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2.xml" ContentType="application/vnd.openxmlformats-officedocument.spreadsheetml.table+xml"/>
  <Override PartName="/xl/worksheets/sheet8.xml" ContentType="application/vnd.openxmlformats-officedocument.spreadsheetml.worksheet+xml"/>
  <Override PartName="/xl/tables/table3.xml" ContentType="application/vnd.openxmlformats-officedocument.spreadsheetml.table+xml"/>
  <Override PartName="/xl/worksheets/sheet9.xml" ContentType="application/vnd.openxmlformats-officedocument.spreadsheetml.worksheet+xml"/>
  <Override PartName="/xl/tables/table4.xml" ContentType="application/vnd.openxmlformats-officedocument.spreadsheetml.table+xml"/>
  <Override PartName="/xl/worksheets/sheet10.xml" ContentType="application/vnd.openxmlformats-officedocument.spreadsheetml.worksheet+xml"/>
  <Override PartName="/xl/tables/table5.xml" ContentType="application/vnd.openxmlformats-officedocument.spreadsheetml.table+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Read Me (Easy Read)" sheetId="2" state="visible" r:id="rId2"/>
    <sheet name="Finance" sheetId="3" state="visible" r:id="rId3"/>
    <sheet name="Month-End" sheetId="4" state="visible" r:id="rId4"/>
    <sheet name="WIP Summary" sheetId="5" state="visible" r:id="rId5"/>
    <sheet name="Deferred Revenue" sheetId="6" state="visible" r:id="rId6"/>
    <sheet name="Onsite" sheetId="7" state="visible" r:id="rId7"/>
    <sheet name="Production" sheetId="8" state="visible" r:id="rId8"/>
    <sheet name="Consulting" sheetId="9" state="visible" r:id="rId9"/>
    <sheet name="WIP Movements" sheetId="10" state="visible" r:id="rId10"/>
    <sheet name="Lists" sheetId="11" state="visible" r:id="rId11"/>
  </sheets>
  <definedNames>
    <definedName name="lst_CostCentre">Lists!$A$5:$A$10</definedName>
    <definedName name="lst_InvoiceType">Lists!$B$5:$B$14</definedName>
    <definedName name="lst_TaxCode">Lists!$C$5:$C$8</definedName>
    <definedName name="lst_Status">Lists!$D$5:$D$13</definedName>
    <definedName name="lst_YN">Lists!$E$5:$E$7</definedName>
    <definedName name="lst_Ariba">Lists!$F$5:$F$10</definedName>
    <definedName name="lst_WIPType">Lists!$G$5:$G$10</definedName>
    <definedName name="lst_WIPGL">Lists!$H$5:$H$7</definedName>
    <definedName name="lst_Team">Lists!$I$5:$I$8</definedName>
    <definedName name="set_GSTRate">Lists!$U$8</definedName>
    <definedName name="set_QwilrBase">Lists!$U$5</definedName>
    <definedName name="set_RMSBase">Lists!$U$6</definedName>
    <definedName name="lst_RevGL">Lists!$K$5:$K$39</definedName>
    <definedName name="lst_Months">Lists!$N$5:$N$100</definedName>
    <definedName name="lst_Jobs">Lists!$P$5:$P$1500</definedName>
    <definedName name="lst_JobName">Lists!$Q$5:$Q$1500</definedName>
    <definedName name="lst_JobCC">Lists!$R$5:$R$1500</definedName>
    <definedName name="_xlnm._FilterDatabase" localSheetId="4" hidden="1">'WIP Summary'!$A$11:$H$434</definedName>
    <definedName name="_xlnm._FilterDatabase" localSheetId="5" hidden="1">'Deferred Revenue'!$A$5:$R$578</definedName>
  </definedNames>
  <calcPr calcId="124519" fullCalcOnLoad="1"/>
</workbook>
</file>

<file path=xl/styles.xml><?xml version="1.0" encoding="utf-8"?>
<styleSheet xmlns="http://schemas.openxmlformats.org/spreadsheetml/2006/main">
  <numFmts count="5">
    <numFmt numFmtId="164" formatCode="0.0%"/>
    <numFmt numFmtId="165" formatCode="yyyy-mm-dd"/>
    <numFmt numFmtId="166" formatCode="dd-mmm-yy"/>
    <numFmt numFmtId="167" formatCode="$#,##0.00;[Red]-$#,##0.00"/>
    <numFmt numFmtId="168" formatCode="yyyy-mm-dd h:mm:ss"/>
  </numFmts>
  <fonts count="23">
    <font>
      <name val="Calibri"/>
      <family val="2"/>
      <color theme="1"/>
      <sz val="11"/>
      <scheme val="minor"/>
    </font>
    <font>
      <b val="1"/>
      <color rgb="003E5066"/>
      <sz val="16"/>
    </font>
    <font>
      <i val="1"/>
      <color rgb="00595959"/>
      <sz val="10"/>
    </font>
    <font>
      <b val="1"/>
      <sz val="10"/>
    </font>
    <font>
      <i val="1"/>
      <color rgb="00808080"/>
      <sz val="9"/>
    </font>
    <font>
      <b val="1"/>
      <color rgb="00FFFFFF"/>
      <sz val="10"/>
    </font>
    <font>
      <sz val="10"/>
    </font>
    <font>
      <color rgb="00595959"/>
      <sz val="10"/>
    </font>
    <font>
      <b val="1"/>
      <color rgb="003E5066"/>
      <sz val="11"/>
    </font>
    <font>
      <b val="1"/>
      <sz val="11"/>
    </font>
    <font>
      <b val="1"/>
      <color rgb="003E5066"/>
      <sz val="12"/>
    </font>
    <font>
      <b val="1"/>
      <color rgb="00FFFFFF"/>
      <sz val="9"/>
    </font>
    <font>
      <color rgb="00595959"/>
      <sz val="9"/>
    </font>
    <font>
      <b val="1"/>
      <color rgb="00FFFFFF"/>
      <sz val="11"/>
    </font>
    <font>
      <b val="1"/>
      <color rgb="003E5066"/>
      <sz val="10"/>
    </font>
    <font>
      <b val="1"/>
      <sz val="9"/>
    </font>
    <font>
      <b val="1"/>
      <color rgb="003E5066"/>
      <sz val="20"/>
    </font>
    <font>
      <color rgb="00000000"/>
      <sz val="10"/>
    </font>
    <font>
      <name val="Verdana"/>
      <b val="1"/>
      <color rgb="003E5066"/>
      <sz val="22"/>
    </font>
    <font>
      <name val="Verdana"/>
      <color rgb="00595959"/>
      <sz val="13"/>
    </font>
    <font>
      <name val="Verdana"/>
      <b val="1"/>
      <color rgb="00FFFFFF"/>
      <sz val="14"/>
    </font>
    <font>
      <name val="Verdana"/>
      <color rgb="001F1F1F"/>
      <sz val="13"/>
    </font>
    <font>
      <name val="Verdana"/>
      <b val="1"/>
      <color rgb="003E5066"/>
      <sz val="13"/>
    </font>
  </fonts>
  <fills count="10">
    <fill>
      <patternFill/>
    </fill>
    <fill>
      <patternFill patternType="gray125"/>
    </fill>
    <fill>
      <patternFill patternType="solid">
        <fgColor rgb="00FFF9E6"/>
      </patternFill>
    </fill>
    <fill>
      <patternFill patternType="solid">
        <fgColor rgb="005B708A"/>
      </patternFill>
    </fill>
    <fill>
      <patternFill patternType="solid">
        <fgColor rgb="003E5066"/>
      </patternFill>
    </fill>
    <fill>
      <patternFill patternType="solid">
        <fgColor rgb="00F2F2F2"/>
      </patternFill>
    </fill>
    <fill>
      <patternFill patternType="solid">
        <fgColor rgb="00EDF1F6"/>
      </patternFill>
    </fill>
    <fill>
      <patternFill patternType="solid">
        <fgColor rgb="008B2B2B"/>
      </patternFill>
    </fill>
    <fill>
      <patternFill patternType="solid">
        <fgColor rgb="00F4EDDD"/>
      </patternFill>
    </fill>
    <fill>
      <patternFill patternType="solid">
        <fgColor rgb="00FFFBF0"/>
      </patternFill>
    </fill>
  </fills>
  <borders count="6">
    <border>
      <left/>
      <right/>
      <top/>
      <bottom/>
      <diagonal/>
    </border>
    <border>
      <left style="thin">
        <color rgb="00B7B7B7"/>
      </left>
      <right style="thin">
        <color rgb="00B7B7B7"/>
      </right>
      <top style="thin">
        <color rgb="00B7B7B7"/>
      </top>
      <bottom style="thin">
        <color rgb="00B7B7B7"/>
      </bottom>
    </border>
    <border>
      <left/>
      <right/>
      <top style="thin">
        <color rgb="00B7B7B7"/>
      </top>
      <bottom/>
      <diagonal/>
    </border>
    <border>
      <left/>
      <right style="thin">
        <color rgb="00B7B7B7"/>
      </right>
      <top style="thin">
        <color rgb="00B7B7B7"/>
      </top>
      <bottom/>
      <diagonal/>
    </border>
    <border>
      <left/>
      <right/>
      <top style="thin">
        <color rgb="00B7B7B7"/>
      </top>
      <bottom style="thin">
        <color rgb="00B7B7B7"/>
      </bottom>
      <diagonal/>
    </border>
    <border>
      <left/>
      <right style="thin">
        <color rgb="00B7B7B7"/>
      </right>
      <top style="thin">
        <color rgb="00B7B7B7"/>
      </top>
      <bottom style="thin">
        <color rgb="00B7B7B7"/>
      </bottom>
      <diagonal/>
    </border>
  </borders>
  <cellStyleXfs count="1">
    <xf numFmtId="0" fontId="0" fillId="0" borderId="0"/>
  </cellStyleXfs>
  <cellXfs count="70">
    <xf numFmtId="0" fontId="0" fillId="0" borderId="0" pivotButton="0" quotePrefix="0" xfId="0"/>
    <xf numFmtId="0" fontId="16" fillId="0" borderId="0" pivotButton="0" quotePrefix="0" xfId="0"/>
    <xf numFmtId="0" fontId="2" fillId="0" borderId="0" pivotButton="0" quotePrefix="0" xfId="0"/>
    <xf numFmtId="0" fontId="13" fillId="4" borderId="0" applyAlignment="1" pivotButton="0" quotePrefix="0" xfId="0">
      <alignment vertical="center" indent="1"/>
    </xf>
    <xf numFmtId="0" fontId="17" fillId="0" borderId="0" applyAlignment="1" pivotButton="0" quotePrefix="0" xfId="0">
      <alignment vertical="top" wrapText="1"/>
    </xf>
    <xf numFmtId="0" fontId="14" fillId="6" borderId="1" applyAlignment="1" pivotButton="0" quotePrefix="0" xfId="0">
      <alignment vertical="top" wrapText="1" indent="1"/>
    </xf>
    <xf numFmtId="0" fontId="17" fillId="0" borderId="1" applyAlignment="1" pivotButton="0" quotePrefix="0" xfId="0">
      <alignment vertical="top" wrapText="1" indent="1"/>
    </xf>
    <xf numFmtId="0" fontId="13" fillId="7" borderId="0" applyAlignment="1" pivotButton="0" quotePrefix="0" xfId="0">
      <alignment vertical="center" indent="1"/>
    </xf>
    <xf numFmtId="0" fontId="14" fillId="6" borderId="1" applyAlignment="1" pivotButton="0" quotePrefix="0" xfId="0">
      <alignment vertical="center" wrapText="1" indent="1"/>
    </xf>
    <xf numFmtId="0" fontId="0" fillId="9" borderId="0" pivotButton="0" quotePrefix="0" xfId="0"/>
    <xf numFmtId="0" fontId="18" fillId="9" borderId="0" pivotButton="0" quotePrefix="0" xfId="0"/>
    <xf numFmtId="0" fontId="19" fillId="9" borderId="0" pivotButton="0" quotePrefix="0" xfId="0"/>
    <xf numFmtId="0" fontId="20" fillId="4" borderId="0" applyAlignment="1" pivotButton="0" quotePrefix="0" xfId="0">
      <alignment vertical="center" indent="1"/>
    </xf>
    <xf numFmtId="0" fontId="21" fillId="9" borderId="0" applyAlignment="1" pivotButton="0" quotePrefix="0" xfId="0">
      <alignment vertical="top" wrapText="1"/>
    </xf>
    <xf numFmtId="0" fontId="22" fillId="8" borderId="1" applyAlignment="1" pivotButton="0" quotePrefix="0" xfId="0">
      <alignment vertical="top" wrapText="1" indent="1"/>
    </xf>
    <xf numFmtId="0" fontId="21" fillId="9" borderId="1" applyAlignment="1" pivotButton="0" quotePrefix="0" xfId="0">
      <alignment vertical="top" wrapText="1" indent="1"/>
    </xf>
    <xf numFmtId="0" fontId="20" fillId="7" borderId="0" applyAlignment="1" pivotButton="0" quotePrefix="0" xfId="0">
      <alignment vertical="center" indent="1"/>
    </xf>
    <xf numFmtId="0" fontId="22" fillId="8" borderId="1" applyAlignment="1" pivotButton="0" quotePrefix="0" xfId="0">
      <alignment vertical="center" wrapText="1" indent="1"/>
    </xf>
    <xf numFmtId="0" fontId="1" fillId="0" borderId="0" pivotButton="0" quotePrefix="0" xfId="0"/>
    <xf numFmtId="0" fontId="8" fillId="6" borderId="1" applyAlignment="1" pivotButton="0" quotePrefix="0" xfId="0">
      <alignment horizontal="left" vertical="center" indent="1"/>
    </xf>
    <xf numFmtId="0" fontId="5" fillId="4" borderId="1" applyAlignment="1" pivotButton="0" quotePrefix="0" xfId="0">
      <alignment horizontal="center" vertical="center" wrapText="1"/>
    </xf>
    <xf numFmtId="0" fontId="5" fillId="3" borderId="1" applyAlignment="1" pivotButton="0" quotePrefix="0" xfId="0">
      <alignment horizontal="center" vertical="center" wrapText="1"/>
    </xf>
    <xf numFmtId="166" fontId="6" fillId="0" borderId="1" applyProtection="1" pivotButton="0" quotePrefix="0" xfId="0">
      <protection locked="0" hidden="0"/>
    </xf>
    <xf numFmtId="17" fontId="7" fillId="5" borderId="1" pivotButton="0" quotePrefix="0" xfId="0"/>
    <xf numFmtId="49" fontId="6" fillId="0" borderId="1" applyProtection="1" pivotButton="0" quotePrefix="0" xfId="0">
      <protection locked="0" hidden="0"/>
    </xf>
    <xf numFmtId="49" fontId="7" fillId="5" borderId="1" pivotButton="0" quotePrefix="0" xfId="0"/>
    <xf numFmtId="167" fontId="6" fillId="0" borderId="1" applyProtection="1" pivotButton="0" quotePrefix="0" xfId="0">
      <protection locked="0" hidden="0"/>
    </xf>
    <xf numFmtId="167" fontId="7" fillId="5" borderId="1" pivotButton="0" quotePrefix="0" xfId="0"/>
    <xf numFmtId="3" fontId="7" fillId="5" borderId="1" pivotButton="0" quotePrefix="0" xfId="0"/>
    <xf numFmtId="164" fontId="7" fillId="5" borderId="1" pivotButton="0" quotePrefix="0" xfId="0"/>
    <xf numFmtId="0" fontId="9" fillId="0" borderId="0" pivotButton="0" quotePrefix="0" xfId="0"/>
    <xf numFmtId="17" fontId="10" fillId="2" borderId="1" applyAlignment="1" pivotButton="0" quotePrefix="0" xfId="0">
      <alignment horizontal="center"/>
    </xf>
    <xf numFmtId="0" fontId="4" fillId="0" borderId="0" pivotButton="0" quotePrefix="0" xfId="0"/>
    <xf numFmtId="0" fontId="11" fillId="3" borderId="1" applyAlignment="1" pivotButton="0" quotePrefix="0" xfId="0">
      <alignment horizontal="center" vertical="center" wrapText="1"/>
    </xf>
    <xf numFmtId="0" fontId="3" fillId="0" borderId="1" pivotButton="0" quotePrefix="0" xfId="0"/>
    <xf numFmtId="167" fontId="0" fillId="0" borderId="1" pivotButton="0" quotePrefix="0" xfId="0"/>
    <xf numFmtId="167" fontId="0" fillId="5" borderId="1" pivotButton="0" quotePrefix="0" xfId="0"/>
    <xf numFmtId="167" fontId="0" fillId="2" borderId="1" pivotButton="0" quotePrefix="0" xfId="0"/>
    <xf numFmtId="0" fontId="0" fillId="0" borderId="1" pivotButton="0" quotePrefix="0" xfId="0"/>
    <xf numFmtId="0" fontId="5" fillId="3" borderId="1" pivotButton="0" quotePrefix="0" xfId="0"/>
    <xf numFmtId="167" fontId="5" fillId="3" borderId="1" pivotButton="0" quotePrefix="0" xfId="0"/>
    <xf numFmtId="0" fontId="6" fillId="0" borderId="0" pivotButton="0" quotePrefix="0" xfId="0"/>
    <xf numFmtId="0" fontId="0" fillId="0" borderId="1" applyAlignment="1" pivotButton="0" quotePrefix="0" xfId="0">
      <alignment horizontal="center"/>
    </xf>
    <xf numFmtId="0" fontId="3" fillId="0" borderId="0" pivotButton="0" quotePrefix="0" xfId="0"/>
    <xf numFmtId="167" fontId="14" fillId="6" borderId="1" pivotButton="0" quotePrefix="0" xfId="0"/>
    <xf numFmtId="167" fontId="3" fillId="5" borderId="1" pivotButton="0" quotePrefix="0" xfId="0"/>
    <xf numFmtId="0" fontId="15" fillId="0" borderId="1" applyAlignment="1" pivotButton="0" quotePrefix="0" xfId="0">
      <alignment horizontal="center"/>
    </xf>
    <xf numFmtId="3" fontId="3" fillId="5" borderId="1" applyAlignment="1" pivotButton="0" quotePrefix="0" xfId="0">
      <alignment horizontal="center"/>
    </xf>
    <xf numFmtId="167" fontId="3" fillId="5" borderId="1" applyAlignment="1" pivotButton="0" quotePrefix="0" xfId="0">
      <alignment horizontal="center"/>
    </xf>
    <xf numFmtId="0" fontId="0" fillId="2" borderId="1" pivotButton="0" quotePrefix="0" xfId="0"/>
    <xf numFmtId="0" fontId="0" fillId="0" borderId="4" pivotButton="0" quotePrefix="0" xfId="0"/>
    <xf numFmtId="0" fontId="0" fillId="0" borderId="5" pivotButton="0" quotePrefix="0" xfId="0"/>
    <xf numFmtId="17" fontId="10" fillId="5" borderId="1" applyAlignment="1" pivotButton="0" quotePrefix="0" xfId="0">
      <alignment horizontal="center"/>
    </xf>
    <xf numFmtId="167" fontId="14" fillId="5" borderId="1" pivotButton="0" quotePrefix="0" xfId="0"/>
    <xf numFmtId="49" fontId="6" fillId="0" borderId="1" pivotButton="0" quotePrefix="0" xfId="0"/>
    <xf numFmtId="167" fontId="6" fillId="5" borderId="1" pivotButton="0" quotePrefix="0" xfId="0"/>
    <xf numFmtId="0" fontId="6" fillId="5" borderId="1" pivotButton="0" quotePrefix="0" xfId="0"/>
    <xf numFmtId="167" fontId="6" fillId="2" borderId="1" pivotButton="0" quotePrefix="0" xfId="0"/>
    <xf numFmtId="0" fontId="11" fillId="4" borderId="1" applyAlignment="1" pivotButton="0" quotePrefix="0" xfId="0">
      <alignment horizontal="center" vertical="center" wrapText="1"/>
    </xf>
    <xf numFmtId="3" fontId="12" fillId="5" borderId="1" pivotButton="0" quotePrefix="0" xfId="0"/>
    <xf numFmtId="166" fontId="12" fillId="5" borderId="1" pivotButton="0" quotePrefix="0" xfId="0"/>
    <xf numFmtId="49" fontId="12" fillId="5" borderId="1" pivotButton="0" quotePrefix="0" xfId="0"/>
    <xf numFmtId="167" fontId="12" fillId="5" borderId="1" pivotButton="0" quotePrefix="0" xfId="0"/>
    <xf numFmtId="166" fontId="7" fillId="5" borderId="1" pivotButton="0" quotePrefix="0" xfId="0"/>
    <xf numFmtId="4" fontId="6" fillId="0" borderId="1" applyProtection="1" pivotButton="0" quotePrefix="0" xfId="0">
      <protection locked="0" hidden="0"/>
    </xf>
    <xf numFmtId="17" fontId="6" fillId="0" borderId="1" applyProtection="1" pivotButton="0" quotePrefix="0" xfId="0">
      <protection locked="0" hidden="0"/>
    </xf>
    <xf numFmtId="49" fontId="0" fillId="0" borderId="1" pivotButton="0" quotePrefix="0" xfId="0"/>
    <xf numFmtId="17" fontId="0" fillId="0" borderId="1" pivotButton="0" quotePrefix="0" xfId="0"/>
    <xf numFmtId="49" fontId="0" fillId="2" borderId="1" pivotButton="0" quotePrefix="0" xfId="0"/>
    <xf numFmtId="164" fontId="0" fillId="2" borderId="1" pivotButton="0" quotePrefix="0" xfId="0"/>
  </cellXfs>
  <cellStyles count="1">
    <cellStyle name="Normal" xfId="0" builtinId="0" hidden="0"/>
  </cellStyles>
  <dxfs count="3">
    <dxf>
      <fill>
        <patternFill patternType="solid">
          <fgColor rgb="00FFF2CC"/>
        </patternFill>
      </fill>
    </dxf>
    <dxf>
      <fill>
        <patternFill patternType="solid">
          <fgColor rgb="00FCE4E4"/>
        </patternFill>
      </fill>
    </dxf>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ables/table1.xml><?xml version="1.0" encoding="utf-8"?>
<table xmlns="http://schemas.openxmlformats.org/spreadsheetml/2006/main" id="1" name="tbl_Finance" displayName="tbl_Finance" ref="A4:AG577" headerRowCount="1">
  <autoFilter ref="A4:AG577"/>
  <tableColumns count="33">
    <tableColumn id="1" name="Date"/>
    <tableColumn id="2" name="Month"/>
    <tableColumn id="3" name="Xero Invoice No"/>
    <tableColumn id="4" name="Client"/>
    <tableColumn id="5" name="Job Number"/>
    <tableColumn id="6" name="Job in Xero?"/>
    <tableColumn id="7" name="Description"/>
    <tableColumn id="8" name="Team"/>
    <tableColumn id="9" name="Cost Centre"/>
    <tableColumn id="10" name="Invoice Type"/>
    <tableColumn id="11" name="Tax Code"/>
    <tableColumn id="12" name="Ex GST"/>
    <tableColumn id="13" name="GST"/>
    <tableColumn id="14" name="Inc GST"/>
    <tableColumn id="15" name="Revenue GL"/>
    <tableColumn id="16" name="Posted to Xero"/>
    <tableColumn id="17" name="To WIP"/>
    <tableColumn id="18" name="Defer Start"/>
    <tableColumn id="19" name="Defer End"/>
    <tableColumn id="20" name="Status"/>
    <tableColumn id="21" name="Notes"/>
    <tableColumn id="22" name="Issue"/>
    <tableColumn id="23" name="Job Name (Xero)"/>
    <tableColumn id="24" name="Lines on this Job"/>
    <tableColumn id="25" name="Job Total Ex GST"/>
    <tableColumn id="26" name="Job Invoiced"/>
    <tableColumn id="27" name="Job To Invoice"/>
    <tableColumn id="28" name="Job Quote / Ref"/>
    <tableColumn id="29" name="Open Quote"/>
    <tableColumn id="30" name="Job Expense"/>
    <tableColumn id="31" name="Job Margin"/>
    <tableColumn id="32" name="Job Margin %"/>
    <tableColumn id="33" name="Dept Notes"/>
  </tableColumns>
  <tableStyleInfo name="TableStyleLight1" showFirstColumn="0" showLastColumn="0" showRowStripes="1" showColumnStripes="0"/>
</table>
</file>

<file path=xl/tables/table2.xml><?xml version="1.0" encoding="utf-8"?>
<table xmlns="http://schemas.openxmlformats.org/spreadsheetml/2006/main" id="2" name="tbl_Onsite" displayName="tbl_Onsite" ref="A4:Q431" headerRowCount="1">
  <autoFilter ref="A4:Q431"/>
  <tableColumns count="17">
    <tableColumn id="1" name="Invoice Date"/>
    <tableColumn id="2" name="Invoice No"/>
    <tableColumn id="3" name="Job Number"/>
    <tableColumn id="4" name="Job in Xero?"/>
    <tableColumn id="5" name="Job Name (Xero)"/>
    <tableColumn id="6" name="Client"/>
    <tableColumn id="7" name="Lines on Job"/>
    <tableColumn id="8" name="Revenue Ex GST"/>
    <tableColumn id="9" name="Invoiced"/>
    <tableColumn id="10" name="To Invoice"/>
    <tableColumn id="11" name="Cost Centres"/>
    <tableColumn id="12" name="PO / Reference"/>
    <tableColumn id="13" name="Qwilr Quote"/>
    <tableColumn id="14" name="Open Qwilr"/>
    <tableColumn id="15" name="Billable Hours"/>
    <tableColumn id="16" name="Approved By"/>
    <tableColumn id="17" name="Notes"/>
  </tableColumns>
  <tableStyleInfo name="TableStyleLight1" showFirstColumn="0" showLastColumn="0" showRowStripes="1" showColumnStripes="0"/>
</table>
</file>

<file path=xl/tables/table3.xml><?xml version="1.0" encoding="utf-8"?>
<table xmlns="http://schemas.openxmlformats.org/spreadsheetml/2006/main" id="3" name="tbl_Production" displayName="tbl_Production" ref="A4:AD462" headerRowCount="1">
  <autoFilter ref="A4:AD462"/>
  <tableColumns count="30">
    <tableColumn id="1" name="Invoice Date"/>
    <tableColumn id="2" name="Invoice No"/>
    <tableColumn id="3" name="Job Number"/>
    <tableColumn id="4" name="Job in Xero?"/>
    <tableColumn id="5" name="Job Name (Xero)"/>
    <tableColumn id="6" name="Client"/>
    <tableColumn id="7" name="Lines on Job"/>
    <tableColumn id="8" name="Revenue Ex GST"/>
    <tableColumn id="9" name="Invoiced"/>
    <tableColumn id="10" name="To Invoice"/>
    <tableColumn id="11" name="Cost Centres"/>
    <tableColumn id="12" name="Event Date"/>
    <tableColumn id="13" name="Current RMS No"/>
    <tableColumn id="14" name="Open in Current RMS"/>
    <tableColumn id="15" name="Zoho Number"/>
    <tableColumn id="16" name="Job Closed"/>
    <tableColumn id="17" name="Discounts Given"/>
    <tableColumn id="18" name="Value Before Discount"/>
    <tableColumn id="19" name="Discount %"/>
    <tableColumn id="20" name="Cross Hire Expense"/>
    <tableColumn id="21" name="Labour Expense (Internal)"/>
    <tableColumn id="22" name="Total Expense"/>
    <tableColumn id="23" name="Margin"/>
    <tableColumn id="24" name="Margin %"/>
    <tableColumn id="25" name="Video Filming Hrs"/>
    <tableColumn id="26" name="Video Editing Hrs"/>
    <tableColumn id="27" name="Project Mgmt Hrs"/>
    <tableColumn id="28" name="Video Project Mgmt Hrs"/>
    <tableColumn id="29" name="Production Labour Hrs"/>
    <tableColumn id="30" name="Notes"/>
  </tableColumns>
  <tableStyleInfo name="TableStyleLight1" showFirstColumn="0" showLastColumn="0" showRowStripes="1" showColumnStripes="0"/>
</table>
</file>

<file path=xl/tables/table4.xml><?xml version="1.0" encoding="utf-8"?>
<table xmlns="http://schemas.openxmlformats.org/spreadsheetml/2006/main" id="4" name="tbl_Consulting" displayName="tbl_Consulting" ref="A4:X432" headerRowCount="1">
  <autoFilter ref="A4:X432"/>
  <tableColumns count="24">
    <tableColumn id="1" name="Invoice Date"/>
    <tableColumn id="2" name="Invoice No"/>
    <tableColumn id="3" name="Job Number"/>
    <tableColumn id="4" name="Job in Xero?"/>
    <tableColumn id="5" name="Job Name (Xero)"/>
    <tableColumn id="6" name="Client"/>
    <tableColumn id="7" name="Lines on Job"/>
    <tableColumn id="8" name="Revenue Ex GST"/>
    <tableColumn id="9" name="Invoiced"/>
    <tableColumn id="10" name="To Invoice"/>
    <tableColumn id="11" name="Cost Centres"/>
    <tableColumn id="12" name="Qwilr Quote"/>
    <tableColumn id="13" name="Open Qwilr"/>
    <tableColumn id="14" name="Labour Revenue"/>
    <tableColumn id="15" name="Equipment Revenue"/>
    <tableColumn id="16" name="Subscription Revenue"/>
    <tableColumn id="17" name="Revenue Split Check"/>
    <tableColumn id="18" name="Labour Expense (External)"/>
    <tableColumn id="19" name="Equipment Expense (Internal)"/>
    <tableColumn id="20" name="Subscription &amp; Licences Expense"/>
    <tableColumn id="21" name="Total Expense"/>
    <tableColumn id="22" name="Margin"/>
    <tableColumn id="23" name="Margin %"/>
    <tableColumn id="24" name="Notes"/>
  </tableColumns>
  <tableStyleInfo name="TableStyleLight1" showFirstColumn="0" showLastColumn="0" showRowStripes="1" showColumnStripes="0"/>
</table>
</file>

<file path=xl/tables/table5.xml><?xml version="1.0" encoding="utf-8"?>
<table xmlns="http://schemas.openxmlformats.org/spreadsheetml/2006/main" id="5" name="tbl_WIP" displayName="tbl_WIP" ref="A4:N330" headerRowCount="1">
  <autoFilter ref="A4:N330"/>
  <tableColumns count="14">
    <tableColumn id="1" name="Month"/>
    <tableColumn id="2" name="Invoice Date"/>
    <tableColumn id="3" name="Xero Invoice No"/>
    <tableColumn id="4" name="Job Number"/>
    <tableColumn id="5" name="Job in Xero?"/>
    <tableColumn id="6" name="Client"/>
    <tableColumn id="7" name="Cost Centre"/>
    <tableColumn id="8" name="Description"/>
    <tableColumn id="9" name="Type"/>
    <tableColumn id="10" name="Amount"/>
    <tableColumn id="11" name="GL Code"/>
    <tableColumn id="12" name="Journal Ref"/>
    <tableColumn id="13" name="Posted to Xero"/>
    <tableColumn id="14" name="Notes"/>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7.xml.rels><Relationships xmlns="http://schemas.openxmlformats.org/package/2006/relationships"><Relationship Type="http://schemas.openxmlformats.org/officeDocument/2006/relationships/table" Target="/xl/tables/table2.xml" Id="rId1" /></Relationships>
</file>

<file path=xl/worksheets/_rels/sheet8.xml.rels><Relationships xmlns="http://schemas.openxmlformats.org/package/2006/relationships"><Relationship Type="http://schemas.openxmlformats.org/officeDocument/2006/relationships/table" Target="/xl/tables/table3.xml" Id="rId1" /></Relationships>
</file>

<file path=xl/worksheets/_rels/sheet9.xml.rels><Relationships xmlns="http://schemas.openxmlformats.org/package/2006/relationships"><Relationship Type="http://schemas.openxmlformats.org/officeDocument/2006/relationships/table" Target="/xl/tables/table4.xml" Id="rId1" /></Relationships>
</file>

<file path=xl/worksheets/_rels/sheet10.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tabColor rgb="007F7F7F"/>
    <outlinePr summaryBelow="1" summaryRight="1"/>
    <pageSetUpPr/>
  </sheetPr>
  <dimension ref="B2:C72"/>
  <sheetViews>
    <sheetView showGridLines="0" tabSelected="1" zoomScale="90" workbookViewId="0">
      <selection activeCell="A1" sqref="A1"/>
    </sheetView>
  </sheetViews>
  <sheetFormatPr baseColWidth="8" defaultRowHeight="15"/>
  <cols>
    <col width="3" customWidth="1" min="1" max="1"/>
    <col width="30" customWidth="1" min="2" max="2"/>
    <col width="106" customWidth="1" min="3" max="3"/>
  </cols>
  <sheetData>
    <row r="2" ht="28" customHeight="1">
      <c r="B2" s="1" t="inlineStr">
        <is>
          <t>FY27 Revenue Tracker</t>
        </is>
      </c>
    </row>
    <row r="4">
      <c r="B4" s="2" t="inlineStr">
        <is>
          <t>Corporate Technology Services Pty Ltd  -  replaces FY27_Revenue_Tracker_v2.xlsm</t>
        </is>
      </c>
    </row>
    <row r="5" ht="10" customHeight="1"/>
    <row r="6" ht="22" customHeight="1">
      <c r="B6" s="3" t="inlineStr">
        <is>
          <t>WHO TYPES WHERE</t>
        </is>
      </c>
    </row>
    <row r="7" ht="14" customHeight="1">
      <c r="C7" s="4" t="inlineStr">
        <is>
          <t>Finance types on the Finance sheet. Nowhere else. Every invoice line, every month.</t>
        </is>
      </c>
    </row>
    <row r="8" ht="14" customHeight="1">
      <c r="C8" s="4" t="inlineStr">
        <is>
          <t>Each department types on its own sheet. Nowhere else. One row per job number.</t>
        </is>
      </c>
    </row>
    <row r="9" ht="28" customHeight="1">
      <c r="C9" s="4" t="inlineStr">
        <is>
          <t>The two meet on Job Number, which is a real Xero tracking category and is checked against the live job list as you type. Nothing has to be kept lined up by hand.</t>
        </is>
      </c>
    </row>
    <row r="10" ht="10" customHeight="1"/>
    <row r="11" ht="22" customHeight="1">
      <c r="B11" s="3" t="inlineStr">
        <is>
          <t>HOW IT FITS TOGETHER</t>
        </is>
      </c>
    </row>
    <row r="12" ht="28" customHeight="1">
      <c r="B12" s="5" t="inlineStr">
        <is>
          <t>Finance</t>
        </is>
      </c>
      <c r="C12" s="6" t="inlineStr">
        <is>
          <t>The invoice register, and the only source of revenue. One row per invoice LINE, coded to one cost centre, exactly as Xero holds it. Filter the Issue column to see everything that needs fixing.</t>
        </is>
      </c>
    </row>
    <row r="13" ht="28" customHeight="1">
      <c r="B13" s="5" t="inlineStr">
        <is>
          <t>Onsite / Production / Consulting</t>
        </is>
      </c>
      <c r="C13" s="6" t="inlineStr">
        <is>
          <t>One row per job. Client, invoice count and revenue come from Finance automatically; the department fills in its own costs, hours and references.</t>
        </is>
      </c>
    </row>
    <row r="14" ht="28" customHeight="1">
      <c r="B14" s="5" t="inlineStr">
        <is>
          <t>WIP Movements</t>
        </is>
      </c>
      <c r="C14" s="6" t="inlineStr">
        <is>
          <t>Manual journals between the P&amp;L and GL 11300 Work in Progress. Anything with a defer start and end on Finance does not belong here - it is handled automatically.</t>
        </is>
      </c>
    </row>
    <row r="15" ht="28" customHeight="1">
      <c r="B15" s="5" t="inlineStr">
        <is>
          <t>Deferred Revenue</t>
        </is>
      </c>
      <c r="C15" s="6" t="inlineStr">
        <is>
          <t>The workings behind the automatic deferrals. Nothing is typed here; it mirrors the Finance lines that carry a defer start and end.</t>
        </is>
      </c>
    </row>
    <row r="16" ht="28" customHeight="1">
      <c r="B16" s="5" t="inlineStr">
        <is>
          <t>Month-End</t>
        </is>
      </c>
      <c r="C16" s="6" t="inlineStr">
        <is>
          <t>The close: revenue by cost centre against Xero, the WIP reconciliation, fifteen data checks and a sign-off box.</t>
        </is>
      </c>
    </row>
    <row r="17" ht="14" customHeight="1">
      <c r="B17" s="5" t="inlineStr">
        <is>
          <t>WIP Summary</t>
        </is>
      </c>
      <c r="C17" s="6" t="inlineStr">
        <is>
          <t>WIP opening / movement / closing for every job, to tie job by job back to the WIP Schedule file.</t>
        </is>
      </c>
    </row>
    <row r="18" ht="28" customHeight="1">
      <c r="B18" s="5" t="inlineStr">
        <is>
          <t>Lists</t>
        </is>
      </c>
      <c r="C18" s="6" t="inlineStr">
        <is>
          <t>Every dropdown. Cost centres, job numbers and revenue GL codes came straight out of your Xero organisation, so they already match.</t>
        </is>
      </c>
    </row>
    <row r="19" ht="10" customHeight="1"/>
    <row r="20" ht="22" customHeight="1">
      <c r="B20" s="3" t="inlineStr">
        <is>
          <t>DEFERRED REVENUE  -  it releases itself</t>
        </is>
      </c>
    </row>
    <row r="21" ht="28" customHeight="1">
      <c r="C21" s="4" t="inlineStr">
        <is>
          <t>Put a Defer Start and a Defer End on a Finance line and the revenue spreads evenly across those months instead of landing all in the month you invoiced. Leave both blank for an ordinary one-off invoice.</t>
        </is>
      </c>
    </row>
    <row r="22" ht="14" customHeight="1">
      <c r="C22" s="4" t="inlineStr">
        <is>
          <t xml:space="preserve">   In the month invoiced: one month is recognised, the rest goes to WIP.</t>
        </is>
      </c>
    </row>
    <row r="23" ht="14" customHeight="1">
      <c r="C23" s="4" t="inlineStr">
        <is>
          <t xml:space="preserve">   Every month after: one more month is released, automatically.</t>
        </is>
      </c>
    </row>
    <row r="24" ht="42" customHeight="1">
      <c r="C24" s="4" t="inlineStr">
        <is>
          <t>Worked example - $12,000 invoiced 15 Sep 2025 for Sep 2025 to Aug 2026. September recognises $1,000 and defers $11,000. Each month after releases $1,000. By August 2026 the balance is nil. Nothing is typed each month and no journal is needed.</t>
        </is>
      </c>
    </row>
    <row r="25" ht="42" customHeight="1">
      <c r="C25" s="4" t="inlineStr">
        <is>
          <t>The Deferred Revenue sheet shows the workings line by line, and Month-End and WIP Summary already include it. One warning: a deferred line must not ALSO have a manual row on WIP Movements or it counts twice - Month-End checks for that.</t>
        </is>
      </c>
    </row>
    <row r="26" ht="10" customHeight="1"/>
    <row r="27" ht="22" customHeight="1">
      <c r="B27" s="3" t="inlineStr">
        <is>
          <t>VIDEO REVENUE</t>
        </is>
      </c>
    </row>
    <row r="28" ht="56" customHeight="1">
      <c r="C28" s="4" t="inlineStr">
        <is>
          <t>There is no video split column any more, and nothing to keep honest. In Xero a cost centre sits on the invoice LINE, so a job invoiced part production and part video is simply two lines on the Finance sheet - one coded PRODUCTION, one coded VIDEO. The VIDEO figure at month-end is then a plain sum of the lines coded VIDEO, and it ties to the Xero VIDEO cost centre without any adjustment.</t>
        </is>
      </c>
    </row>
    <row r="29" ht="28" customHeight="1">
      <c r="C29" s="4" t="inlineStr">
        <is>
          <t>The 26 migrated invoices that carried a video amount were split into two lines each on the way across. Ex GST in total is unchanged.</t>
        </is>
      </c>
    </row>
    <row r="30" ht="10" customHeight="1"/>
    <row r="31" ht="22" customHeight="1">
      <c r="B31" s="3" t="inlineStr">
        <is>
          <t>WHY THIS VERSION IS NOT SLOW, AND WHY IT OPENS</t>
        </is>
      </c>
    </row>
    <row r="32" ht="42" customHeight="1">
      <c r="C32" s="4" t="inlineStr">
        <is>
          <t>The v2 file was slow because of its macro: every keystroke copied 26 columns by 200 rows into hidden storage, and it was capped at 200 rows per department. There are no macros here at all, and it is a .xlsx, so no macro warning and nothing blocked on SharePoint.</t>
        </is>
      </c>
    </row>
    <row r="33" ht="42" customHeight="1">
      <c r="C33" s="4" t="inlineStr">
        <is>
          <t>There are also no dynamic array formulas - no VSTACK, FILTER, SORT, UNIQUE or XLOOKUP. Every sheet is a real Excel Table or a plain SUMIFS grid, which means the filter buttons, sorting and PivotTables all work normally, and every formula runs in any version of Excel.</t>
        </is>
      </c>
    </row>
    <row r="34" ht="10" customHeight="1"/>
    <row r="35" ht="22" customHeight="1">
      <c r="B35" s="3" t="inlineStr">
        <is>
          <t>MONTH-END, IN ORDER</t>
        </is>
      </c>
    </row>
    <row r="36" ht="28" customHeight="1">
      <c r="C36" s="4" t="inlineStr">
        <is>
          <t>1.  Chase the departments until every invoice for the month is on the Finance sheet and Posted to Xero is Y.</t>
        </is>
      </c>
    </row>
    <row r="37" ht="14" customHeight="1">
      <c r="C37" s="4" t="inlineStr">
        <is>
          <t>2.  Open Month-End and set the month.</t>
        </is>
      </c>
    </row>
    <row r="38" ht="28" customHeight="1">
      <c r="C38" s="4" t="inlineStr">
        <is>
          <t>3.  Work section 3 first. Every count must be zero. Fix on the Finance sheet, or filter the Issue column there, which lists the same problems row by row.</t>
        </is>
      </c>
    </row>
    <row r="39" ht="28" customHeight="1">
      <c r="C39" s="4" t="inlineStr">
        <is>
          <t>4.  Section 1: run the Xero P&amp;L for the month by Cost Centre and type the revenue into the yellow column. Each line should read Reconciled.</t>
        </is>
      </c>
    </row>
    <row r="40" ht="14" customHeight="1">
      <c r="C40" s="4" t="inlineStr">
        <is>
          <t>5.  Section 2: type the WIP Schedule closing balance and the Xero GL 11300 balance.</t>
        </is>
      </c>
    </row>
    <row r="41" ht="28" customHeight="1">
      <c r="C41" s="4" t="inlineStr">
        <is>
          <t>6.  Breaks in section 2 - open WIP Summary, paste the WIP Schedule balances into column G and the variance column shows which job is out.</t>
        </is>
      </c>
    </row>
    <row r="42" ht="14" customHeight="1">
      <c r="C42" s="4" t="inlineStr">
        <is>
          <t>7.  Sign off in section 4.</t>
        </is>
      </c>
    </row>
    <row r="43" ht="10" customHeight="1"/>
    <row r="44" ht="22" customHeight="1">
      <c r="B44" s="3" t="inlineStr">
        <is>
          <t>THE WIP SIGN RULE</t>
        </is>
      </c>
    </row>
    <row r="45" ht="56" customHeight="1">
      <c r="C45" s="4" t="inlineStr">
        <is>
          <t>One signed Amount column does both jobs, because GL 11300 nets accrued and deferred revenue. Positive = revenue recognised this month (work done but not yet invoiced, or a deferral released). Negative = revenue pushed out of this month (invoiced in advance). So revenue recognised = invoiced Ex GST + WIP movement, and the running total of the Amount column is the GL 11300 balance.</t>
        </is>
      </c>
    </row>
    <row r="46" ht="10" customHeight="1"/>
    <row r="47" ht="22" customHeight="1">
      <c r="B47" s="3" t="inlineStr">
        <is>
          <t>LOCKED CELLS, LINKS AND TOTALS</t>
        </is>
      </c>
    </row>
    <row r="48" ht="42" customHeight="1">
      <c r="C48" s="4" t="inlineStr">
        <is>
          <t>Every sheet is protected with no password. Only the cells you are meant to fill are open; the grey calculated ones are locked so a stray keystroke cannot wipe a formula. To turn it off: Review, Unprotect Sheet. Sorting and filtering still work.</t>
        </is>
      </c>
    </row>
    <row r="49" ht="70" customHeight="1">
      <c r="C49" s="4" t="inlineStr">
        <is>
          <t>Qwilr quotes and Current RMS numbers are clickable. Paste a full web address and it is used as it stands; type a bare number and it is added to the base address on the Lists sheet. The Qwilr base is already set, and Current RMS on the Production sheet now works exactly the same way - paste the whole Current RMS address into the Current RMS No cell and it links straight away. Only fill in Lists column U row 6 if you would rather type the bare opportunity number.</t>
        </is>
      </c>
    </row>
    <row r="50" ht="28" customHeight="1">
      <c r="C50" s="4" t="inlineStr">
        <is>
          <t>Each sheet shows its total ex-GST at the top, and it follows the filter - filter to one client or one month and the total follows. Finance shows Ex GST, GST and Inc GST.</t>
        </is>
      </c>
    </row>
    <row r="51" ht="28" customHeight="1">
      <c r="C51" s="4" t="inlineStr">
        <is>
          <t>The GST rate is no longer buried in the formula. It sits on the Lists sheet, column U row 8, and every GST cell reads it from there.</t>
        </is>
      </c>
    </row>
    <row r="52" ht="10" customHeight="1"/>
    <row r="53" ht="22" customHeight="1">
      <c r="B53" s="3" t="inlineStr">
        <is>
          <t>RULES THAT KEEP IT FAST</t>
        </is>
      </c>
    </row>
    <row r="54" ht="14" customHeight="1">
      <c r="C54" s="4" t="inlineStr">
        <is>
          <t xml:space="preserve">   Never insert or delete rows above the header row.</t>
        </is>
      </c>
    </row>
    <row r="55" ht="28" customHeight="1">
      <c r="C55" s="4" t="inlineStr">
        <is>
          <t xml:space="preserve">   Add rows by typing in the next blank row of the table, or press Tab at the end of the last row and the table grows with the formulas.</t>
        </is>
      </c>
    </row>
    <row r="56" ht="14" customHeight="1">
      <c r="C56" s="4" t="inlineStr">
        <is>
          <t xml:space="preserve">   Paste values only, never whole columns.</t>
        </is>
      </c>
    </row>
    <row r="57" ht="14" customHeight="1">
      <c r="C57" s="4" t="inlineStr">
        <is>
          <t xml:space="preserve">   Leave calculation on Automatic. Nothing here is volatile - no OFFSET, no INDIRECT, no TODAY in bulk.</t>
        </is>
      </c>
    </row>
    <row r="58" ht="28" customHeight="1">
      <c r="C58" s="4" t="inlineStr">
        <is>
          <t xml:space="preserve">   Keep it as .xlsx. The moment someone saves it as .xlsm and adds a macro you are back where you started.</t>
        </is>
      </c>
    </row>
    <row r="59" ht="10" customHeight="1"/>
    <row r="60" ht="22" customHeight="1">
      <c r="B60" s="3" t="inlineStr">
        <is>
          <t>WHAT CAME ACROSS FROM v2</t>
        </is>
      </c>
    </row>
    <row r="61" ht="28" customHeight="1">
      <c r="C61" s="4" t="inlineStr">
        <is>
          <t xml:space="preserve">   Finance: 175 invoice lines from the 149 v2 records, the difference being the 26 video splits now carried as their own line.</t>
        </is>
      </c>
    </row>
    <row r="62" ht="14" customHeight="1">
      <c r="C62" s="4" t="inlineStr">
        <is>
          <t xml:space="preserve">   Department sheets: one row per job - Onsite 27, Production 58, Consulting 28.</t>
        </is>
      </c>
    </row>
    <row r="63" ht="14" customHeight="1">
      <c r="C63" s="4" t="inlineStr">
        <is>
          <t xml:space="preserve">   WIP Movements: 126 rows.</t>
        </is>
      </c>
    </row>
    <row r="64" ht="28" customHeight="1">
      <c r="C64" s="4" t="inlineStr">
        <is>
          <t xml:space="preserve">   Totals tie to the cent: Onsite 512,023.81, Production 460,883.46, Consulting 857,950.27, WIP 17,537.91.</t>
        </is>
      </c>
    </row>
    <row r="65" ht="28" customHeight="1">
      <c r="C65" s="4" t="inlineStr">
        <is>
          <t xml:space="preserve">   Revenue GL codes were assigned by rule (Onsite 41100, Production 42100, Video 42150, Consulting 42800, Integration 42300). Spot-check them.</t>
        </is>
      </c>
    </row>
    <row r="66" ht="14" customHeight="1">
      <c r="C66" s="4" t="inlineStr">
        <is>
          <t xml:space="preserve">   The 126 WIP rows were given a Type from the sign of the amount. Confirm before relying on them.</t>
        </is>
      </c>
    </row>
    <row r="67" ht="10" customHeight="1"/>
    <row r="68" ht="22" customHeight="1">
      <c r="B68" s="7" t="inlineStr">
        <is>
          <t>STILL TO CONFIRM</t>
        </is>
      </c>
    </row>
    <row r="69" ht="70" customHeight="1">
      <c r="C69" s="4" t="inlineStr">
        <is>
          <t>Discounts. Checked against Xero: for all 17 August production invoices carrying a discount, the ex-GST total on the Xero invoice equals Ex GST here exactly, and not one matched Ex GST minus the discount. So the discount comes off before the invoice is raised and Ex GST is what reconciles. The old "Net Total" is gone; Discounts Given now sits on the Production sheet at job level with Value Before Discount beside it. ASSUMPTION: it records what was given away off standard rates.</t>
        </is>
      </c>
    </row>
    <row r="70" ht="42" customHeight="1">
      <c r="C70" s="4" t="inlineStr">
        <is>
          <t>23 migrated records have no invoice number and 21 have no date - $93,346.99 of revenue that belongs to no month. They are on the Finance sheet with the Issue column filled in. Filter that column and work the list to nothing.</t>
        </is>
      </c>
    </row>
    <row r="72" ht="28" customHeight="1">
      <c r="B72" s="8" t="inlineStr">
        <is>
          <t>Bigger text, shorter lines, one sentence per line: open the Read Me (Easy Read) tab. Same words, easier on the eye.</t>
        </is>
      </c>
    </row>
  </sheetData>
  <mergeCells count="12">
    <mergeCell ref="B6:C6"/>
    <mergeCell ref="B44:C44"/>
    <mergeCell ref="B47:C47"/>
    <mergeCell ref="B68:C68"/>
    <mergeCell ref="B11:C11"/>
    <mergeCell ref="B72:C72"/>
    <mergeCell ref="B20:C20"/>
    <mergeCell ref="B60:C60"/>
    <mergeCell ref="B31:C31"/>
    <mergeCell ref="B27:C27"/>
    <mergeCell ref="B35:C35"/>
    <mergeCell ref="B53:C53"/>
  </mergeCells>
  <pageMargins left="0.75" right="0.75" top="1" bottom="1" header="0.5" footer="0.5"/>
</worksheet>
</file>

<file path=xl/worksheets/sheet2.xml><?xml version="1.0" encoding="utf-8"?>
<worksheet xmlns="http://schemas.openxmlformats.org/spreadsheetml/2006/main">
  <sheetPr>
    <tabColor rgb="00A6A6A6"/>
    <outlinePr summaryBelow="1" summaryRight="1"/>
    <pageSetUpPr/>
  </sheetPr>
  <dimension ref="A1:D150"/>
  <sheetViews>
    <sheetView showGridLines="0" tabSelected="0" zoomScale="90" workbookViewId="0">
      <selection activeCell="A1" sqref="A1"/>
    </sheetView>
  </sheetViews>
  <sheetFormatPr baseColWidth="8" defaultRowHeight="15"/>
  <cols>
    <col width="4" customWidth="1" min="1" max="1"/>
    <col width="34" customWidth="1" min="2" max="2"/>
    <col width="92" customWidth="1" min="3" max="3"/>
  </cols>
  <sheetData>
    <row r="1">
      <c r="A1" s="9" t="n"/>
      <c r="B1" s="9" t="n"/>
      <c r="C1" s="9" t="n"/>
      <c r="D1" s="9" t="n"/>
    </row>
    <row r="2" ht="30.8" customHeight="1">
      <c r="A2" s="9" t="n"/>
      <c r="B2" s="10" t="inlineStr">
        <is>
          <t>FY27 Revenue Tracker</t>
        </is>
      </c>
      <c r="C2" s="9" t="n"/>
      <c r="D2" s="9" t="n"/>
    </row>
    <row r="3">
      <c r="A3" s="9" t="n"/>
      <c r="B3" s="11" t="inlineStr">
        <is>
          <t>Corporate Technology Services Pty Ltd  -  replaces FY27_Revenue_Tracker_v2.xlsm</t>
        </is>
      </c>
      <c r="C3" s="9" t="n"/>
      <c r="D3" s="9" t="n"/>
    </row>
    <row r="4" ht="15.5" customHeight="1">
      <c r="A4" s="9" t="n"/>
      <c r="B4" s="9" t="n"/>
      <c r="C4" s="9" t="n"/>
      <c r="D4" s="9" t="n"/>
    </row>
    <row r="5" ht="28" customHeight="1">
      <c r="A5" s="9" t="n"/>
      <c r="B5" s="12" t="inlineStr">
        <is>
          <t>Who types where</t>
        </is>
      </c>
      <c r="C5" s="9" t="n"/>
      <c r="D5" s="9" t="n"/>
    </row>
    <row r="6" ht="26.35" customHeight="1">
      <c r="A6" s="9" t="n"/>
      <c r="B6" s="9" t="n"/>
      <c r="C6" s="13" t="inlineStr">
        <is>
          <t>Finance types on the Finance sheet.</t>
        </is>
      </c>
      <c r="D6" s="9" t="n"/>
    </row>
    <row r="7" ht="26.35" customHeight="1">
      <c r="A7" s="9" t="n"/>
      <c r="B7" s="9" t="n"/>
      <c r="C7" s="13" t="inlineStr">
        <is>
          <t>Nowhere else.</t>
        </is>
      </c>
      <c r="D7" s="9" t="n"/>
    </row>
    <row r="8" ht="26.35" customHeight="1">
      <c r="A8" s="9" t="n"/>
      <c r="B8" s="9" t="n"/>
      <c r="C8" s="13" t="inlineStr">
        <is>
          <t>Every invoice line, every month.</t>
        </is>
      </c>
      <c r="D8" s="9" t="n"/>
    </row>
    <row r="9" ht="6" customHeight="1">
      <c r="A9" s="9" t="n"/>
      <c r="B9" s="9" t="n"/>
      <c r="C9" s="9" t="n"/>
      <c r="D9" s="9" t="n"/>
    </row>
    <row r="10" ht="26.35" customHeight="1">
      <c r="A10" s="9" t="n"/>
      <c r="B10" s="9" t="n"/>
      <c r="C10" s="13" t="inlineStr">
        <is>
          <t>Each department types on its own sheet.</t>
        </is>
      </c>
      <c r="D10" s="9" t="n"/>
    </row>
    <row r="11" ht="26.35" customHeight="1">
      <c r="A11" s="9" t="n"/>
      <c r="B11" s="9" t="n"/>
      <c r="C11" s="13" t="inlineStr">
        <is>
          <t>Nowhere else.</t>
        </is>
      </c>
      <c r="D11" s="9" t="n"/>
    </row>
    <row r="12" ht="26.35" customHeight="1">
      <c r="A12" s="9" t="n"/>
      <c r="B12" s="9" t="n"/>
      <c r="C12" s="13" t="inlineStr">
        <is>
          <t>One row per job number.</t>
        </is>
      </c>
      <c r="D12" s="9" t="n"/>
    </row>
    <row r="13" ht="6" customHeight="1">
      <c r="A13" s="9" t="n"/>
      <c r="B13" s="9" t="n"/>
      <c r="C13" s="9" t="n"/>
      <c r="D13" s="9" t="n"/>
    </row>
    <row r="14" ht="52.7" customHeight="1">
      <c r="A14" s="9" t="n"/>
      <c r="B14" s="9" t="n"/>
      <c r="C14" s="13" t="inlineStr">
        <is>
          <t>The two meet on Job Number, which is a real Xero tracking category and is checked against the live job list as you type.</t>
        </is>
      </c>
      <c r="D14" s="9" t="n"/>
    </row>
    <row r="15" ht="26.35" customHeight="1">
      <c r="A15" s="9" t="n"/>
      <c r="B15" s="9" t="n"/>
      <c r="C15" s="13" t="inlineStr">
        <is>
          <t>Nothing has to be kept lined up by hand.</t>
        </is>
      </c>
      <c r="D15" s="9" t="n"/>
    </row>
    <row r="16" ht="6" customHeight="1">
      <c r="A16" s="9" t="n"/>
      <c r="B16" s="9" t="n"/>
      <c r="C16" s="9" t="n"/>
      <c r="D16" s="9" t="n"/>
    </row>
    <row r="17" ht="15.5" customHeight="1">
      <c r="A17" s="9" t="n"/>
      <c r="B17" s="9" t="n"/>
      <c r="C17" s="9" t="n"/>
      <c r="D17" s="9" t="n"/>
    </row>
    <row r="18" ht="28" customHeight="1">
      <c r="A18" s="9" t="n"/>
      <c r="B18" s="12" t="inlineStr">
        <is>
          <t>How it fits together</t>
        </is>
      </c>
      <c r="C18" s="9" t="n"/>
      <c r="D18" s="9" t="n"/>
    </row>
    <row r="19" ht="158.1" customHeight="1">
      <c r="A19" s="9" t="n"/>
      <c r="B19" s="14" t="inlineStr">
        <is>
          <t>Finance</t>
        </is>
      </c>
      <c r="C19" s="15" t="inlineStr">
        <is>
          <t>The invoice register, and the only source of revenue.
One row per invoice line, coded to one cost centre, exactly as Xero holds it.
Filter the Issue column to see everything that needs fixing.</t>
        </is>
      </c>
      <c r="D19" s="9" t="n"/>
    </row>
    <row r="20" ht="105.4" customHeight="1">
      <c r="A20" s="9" t="n"/>
      <c r="B20" s="14" t="inlineStr">
        <is>
          <t>Onsite / Production / Consulting</t>
        </is>
      </c>
      <c r="C20" s="15" t="inlineStr">
        <is>
          <t>One row per job.
Client, invoice count and revenue come from Finance automatically; the department fills in its own costs, hours and references.</t>
        </is>
      </c>
      <c r="D20" s="9" t="n"/>
    </row>
    <row r="21" ht="105.4" customHeight="1">
      <c r="A21" s="9" t="n"/>
      <c r="B21" s="14" t="inlineStr">
        <is>
          <t>WIP Movements</t>
        </is>
      </c>
      <c r="C21" s="15" t="inlineStr">
        <is>
          <t>Manual journals between the P&amp;L and GL 11300 Work in Progress.
Anything with a defer start and end on Finance does not belong here - it is handled automatically.</t>
        </is>
      </c>
      <c r="D21" s="9" t="n"/>
    </row>
    <row r="22" ht="105.4" customHeight="1">
      <c r="A22" s="9" t="n"/>
      <c r="B22" s="14" t="inlineStr">
        <is>
          <t>Deferred Revenue</t>
        </is>
      </c>
      <c r="C22" s="15" t="inlineStr">
        <is>
          <t>The workings behind the automatic deferrals.
Nothing is typed here; it mirrors the Finance lines that carry a defer start and end.</t>
        </is>
      </c>
      <c r="D22" s="9" t="n"/>
    </row>
    <row r="23" ht="52.7" customHeight="1">
      <c r="A23" s="9" t="n"/>
      <c r="B23" s="14" t="inlineStr">
        <is>
          <t>Month-End</t>
        </is>
      </c>
      <c r="C23" s="15" t="inlineStr">
        <is>
          <t>The close: revenue by cost centre against Xero, the WIP reconciliation, fifteen data checks and a sign-off box.</t>
        </is>
      </c>
      <c r="D23" s="9" t="n"/>
    </row>
    <row r="24" ht="52.7" customHeight="1">
      <c r="A24" s="9" t="n"/>
      <c r="B24" s="14" t="inlineStr">
        <is>
          <t>WIP Summary</t>
        </is>
      </c>
      <c r="C24" s="15" t="inlineStr">
        <is>
          <t>WIP opening / movement / closing for every job, to tie job by job back to the WIP Schedule file.</t>
        </is>
      </c>
      <c r="D24" s="9" t="n"/>
    </row>
    <row r="25" ht="105.4" customHeight="1">
      <c r="A25" s="9" t="n"/>
      <c r="B25" s="14" t="inlineStr">
        <is>
          <t>Lists</t>
        </is>
      </c>
      <c r="C25" s="15" t="inlineStr">
        <is>
          <t>Every dropdown.
Cost centres, job numbers and revenue GL codes came straight out of your Xero organisation, so they already match.</t>
        </is>
      </c>
      <c r="D25" s="9" t="n"/>
    </row>
    <row r="26" ht="15.5" customHeight="1">
      <c r="A26" s="9" t="n"/>
      <c r="B26" s="9" t="n"/>
      <c r="C26" s="9" t="n"/>
      <c r="D26" s="9" t="n"/>
    </row>
    <row r="27" ht="28" customHeight="1">
      <c r="A27" s="9" t="n"/>
      <c r="B27" s="12" t="inlineStr">
        <is>
          <t>Deferred revenue  -  it releases itself</t>
        </is>
      </c>
      <c r="C27" s="9" t="n"/>
      <c r="D27" s="9" t="n"/>
    </row>
    <row r="28" ht="79.05000000000001" customHeight="1">
      <c r="A28" s="9" t="n"/>
      <c r="B28" s="9" t="n"/>
      <c r="C28" s="13" t="inlineStr">
        <is>
          <t>Put a Defer Start and a Defer End on a Finance line and the revenue spreads evenly across those months instead of landing all in the month you invoiced.</t>
        </is>
      </c>
      <c r="D28" s="9" t="n"/>
    </row>
    <row r="29" ht="26.35" customHeight="1">
      <c r="A29" s="9" t="n"/>
      <c r="B29" s="9" t="n"/>
      <c r="C29" s="13" t="inlineStr">
        <is>
          <t>Leave both blank for an ordinary one-off invoice.</t>
        </is>
      </c>
      <c r="D29" s="9" t="n"/>
    </row>
    <row r="30" ht="6" customHeight="1">
      <c r="A30" s="9" t="n"/>
      <c r="B30" s="9" t="n"/>
      <c r="C30" s="9" t="n"/>
      <c r="D30" s="9" t="n"/>
    </row>
    <row r="31" ht="52.7" customHeight="1">
      <c r="A31" s="9" t="n"/>
      <c r="B31" s="9" t="n"/>
      <c r="C31" s="13" t="inlineStr">
        <is>
          <t>In the month invoiced: one month is recognised, the rest goes to WIP.</t>
        </is>
      </c>
      <c r="D31" s="9" t="n"/>
    </row>
    <row r="32" ht="6" customHeight="1">
      <c r="A32" s="9" t="n"/>
      <c r="B32" s="9" t="n"/>
      <c r="C32" s="9" t="n"/>
      <c r="D32" s="9" t="n"/>
    </row>
    <row r="33" ht="26.35" customHeight="1">
      <c r="A33" s="9" t="n"/>
      <c r="B33" s="9" t="n"/>
      <c r="C33" s="13" t="inlineStr">
        <is>
          <t>Every month after: one more month is released, automatically.</t>
        </is>
      </c>
      <c r="D33" s="9" t="n"/>
    </row>
    <row r="34" ht="6" customHeight="1">
      <c r="A34" s="9" t="n"/>
      <c r="B34" s="9" t="n"/>
      <c r="C34" s="9" t="n"/>
      <c r="D34" s="9" t="n"/>
    </row>
    <row r="35" ht="52.7" customHeight="1">
      <c r="A35" s="9" t="n"/>
      <c r="B35" s="9" t="n"/>
      <c r="C35" s="13" t="inlineStr">
        <is>
          <t>Worked example - $12,000 invoiced 15 Sep 2025 for Sep 2025 to Aug 2026.</t>
        </is>
      </c>
      <c r="D35" s="9" t="n"/>
    </row>
    <row r="36" ht="26.35" customHeight="1">
      <c r="A36" s="9" t="n"/>
      <c r="B36" s="9" t="n"/>
      <c r="C36" s="13" t="inlineStr">
        <is>
          <t>September recognises $1,000 and defers $11,000.</t>
        </is>
      </c>
      <c r="D36" s="9" t="n"/>
    </row>
    <row r="37" ht="26.35" customHeight="1">
      <c r="A37" s="9" t="n"/>
      <c r="B37" s="9" t="n"/>
      <c r="C37" s="13" t="inlineStr">
        <is>
          <t>Each month after releases $1,000.</t>
        </is>
      </c>
      <c r="D37" s="9" t="n"/>
    </row>
    <row r="38" ht="26.35" customHeight="1">
      <c r="A38" s="9" t="n"/>
      <c r="B38" s="9" t="n"/>
      <c r="C38" s="13" t="inlineStr">
        <is>
          <t>By August 2026 the balance is nil.</t>
        </is>
      </c>
      <c r="D38" s="9" t="n"/>
    </row>
    <row r="39" ht="26.35" customHeight="1">
      <c r="A39" s="9" t="n"/>
      <c r="B39" s="9" t="n"/>
      <c r="C39" s="13" t="inlineStr">
        <is>
          <t>Nothing is typed each month and no journal is needed.</t>
        </is>
      </c>
      <c r="D39" s="9" t="n"/>
    </row>
    <row r="40" ht="6" customHeight="1">
      <c r="A40" s="9" t="n"/>
      <c r="B40" s="9" t="n"/>
      <c r="C40" s="9" t="n"/>
      <c r="D40" s="9" t="n"/>
    </row>
    <row r="41" ht="52.7" customHeight="1">
      <c r="A41" s="9" t="n"/>
      <c r="B41" s="9" t="n"/>
      <c r="C41" s="13" t="inlineStr">
        <is>
          <t>The Deferred Revenue sheet shows the workings line by line, and Month-End and WIP Summary already include it.</t>
        </is>
      </c>
      <c r="D41" s="9" t="n"/>
    </row>
    <row r="42" ht="79.05000000000001" customHeight="1">
      <c r="A42" s="9" t="n"/>
      <c r="B42" s="9" t="n"/>
      <c r="C42" s="13" t="inlineStr">
        <is>
          <t>One warning: a deferred line must not also have a manual row on WIP Movements or it counts twice - Month-End checks for that.</t>
        </is>
      </c>
      <c r="D42" s="9" t="n"/>
    </row>
    <row r="43" ht="6" customHeight="1">
      <c r="A43" s="9" t="n"/>
      <c r="B43" s="9" t="n"/>
      <c r="C43" s="9" t="n"/>
      <c r="D43" s="9" t="n"/>
    </row>
    <row r="44" ht="15.5" customHeight="1">
      <c r="A44" s="9" t="n"/>
      <c r="B44" s="9" t="n"/>
      <c r="C44" s="9" t="n"/>
      <c r="D44" s="9" t="n"/>
    </row>
    <row r="45" ht="28" customHeight="1">
      <c r="A45" s="9" t="n"/>
      <c r="B45" s="12" t="inlineStr">
        <is>
          <t>Video revenue</t>
        </is>
      </c>
      <c r="C45" s="9" t="n"/>
      <c r="D45" s="9" t="n"/>
    </row>
    <row r="46" ht="52.7" customHeight="1">
      <c r="A46" s="9" t="n"/>
      <c r="B46" s="9" t="n"/>
      <c r="C46" s="13" t="inlineStr">
        <is>
          <t>There is no video split column any more, and nothing to keep honest.</t>
        </is>
      </c>
      <c r="D46" s="9" t="n"/>
    </row>
    <row r="47" ht="79.05000000000001" customHeight="1">
      <c r="A47" s="9" t="n"/>
      <c r="B47" s="9" t="n"/>
      <c r="C47" s="13" t="inlineStr">
        <is>
          <t>In Xero a cost centre sits on the invoice line, so a job invoiced part production and part video is simply two lines on the Finance sheet - one coded PRODUCTION, one coded VIDEO.</t>
        </is>
      </c>
      <c r="D47" s="9" t="n"/>
    </row>
    <row r="48" ht="79.05000000000001" customHeight="1">
      <c r="A48" s="9" t="n"/>
      <c r="B48" s="9" t="n"/>
      <c r="C48" s="13" t="inlineStr">
        <is>
          <t>The VIDEO figure at month-end is then a plain sum of the lines coded VIDEO, and it ties to the Xero VIDEO cost centre without any adjustment.</t>
        </is>
      </c>
      <c r="D48" s="9" t="n"/>
    </row>
    <row r="49" ht="6" customHeight="1">
      <c r="A49" s="9" t="n"/>
      <c r="B49" s="9" t="n"/>
      <c r="C49" s="9" t="n"/>
      <c r="D49" s="9" t="n"/>
    </row>
    <row r="50" ht="52.7" customHeight="1">
      <c r="A50" s="9" t="n"/>
      <c r="B50" s="9" t="n"/>
      <c r="C50" s="13" t="inlineStr">
        <is>
          <t>The 26 migrated invoices that carried a video amount were split into two lines each on the way across.</t>
        </is>
      </c>
      <c r="D50" s="9" t="n"/>
    </row>
    <row r="51" ht="26.35" customHeight="1">
      <c r="A51" s="9" t="n"/>
      <c r="B51" s="9" t="n"/>
      <c r="C51" s="13" t="inlineStr">
        <is>
          <t>Ex GST in total is unchanged.</t>
        </is>
      </c>
      <c r="D51" s="9" t="n"/>
    </row>
    <row r="52" ht="6" customHeight="1">
      <c r="A52" s="9" t="n"/>
      <c r="B52" s="9" t="n"/>
      <c r="C52" s="9" t="n"/>
      <c r="D52" s="9" t="n"/>
    </row>
    <row r="53" ht="15.5" customHeight="1">
      <c r="A53" s="9" t="n"/>
      <c r="B53" s="9" t="n"/>
      <c r="C53" s="9" t="n"/>
      <c r="D53" s="9" t="n"/>
    </row>
    <row r="54" ht="28" customHeight="1">
      <c r="A54" s="9" t="n"/>
      <c r="B54" s="12" t="inlineStr">
        <is>
          <t>Why this version is not slow, and why it opens</t>
        </is>
      </c>
      <c r="C54" s="9" t="n"/>
      <c r="D54" s="9" t="n"/>
    </row>
    <row r="55" ht="79.05000000000001" customHeight="1">
      <c r="A55" s="9" t="n"/>
      <c r="B55" s="9" t="n"/>
      <c r="C55" s="13" t="inlineStr">
        <is>
          <t>The v2 file was slow because of its macro: every keystroke copied 26 columns by 200 rows into hidden storage, and it was capped at 200 rows per department.</t>
        </is>
      </c>
      <c r="D55" s="9" t="n"/>
    </row>
    <row r="56" ht="52.7" customHeight="1">
      <c r="A56" s="9" t="n"/>
      <c r="B56" s="9" t="n"/>
      <c r="C56" s="13" t="inlineStr">
        <is>
          <t>There are no macros here at all, and it is a .xlsx, so no macro warning and nothing blocked on SharePoint.</t>
        </is>
      </c>
      <c r="D56" s="9" t="n"/>
    </row>
    <row r="57" ht="6" customHeight="1">
      <c r="A57" s="9" t="n"/>
      <c r="B57" s="9" t="n"/>
      <c r="C57" s="9" t="n"/>
      <c r="D57" s="9" t="n"/>
    </row>
    <row r="58" ht="52.7" customHeight="1">
      <c r="A58" s="9" t="n"/>
      <c r="B58" s="9" t="n"/>
      <c r="C58" s="13" t="inlineStr">
        <is>
          <t>There are also no dynamic array formulas - no VSTACK, FILTER, SORT, UNIQUE or XLOOKUP.</t>
        </is>
      </c>
      <c r="D58" s="9" t="n"/>
    </row>
    <row r="59" ht="79.05000000000001" customHeight="1">
      <c r="A59" s="9" t="n"/>
      <c r="B59" s="9" t="n"/>
      <c r="C59" s="13" t="inlineStr">
        <is>
          <t>Every sheet is a real Excel Table or a plain SUMIFS grid, which means the filter buttons, sorting and PivotTables all work normally, and every formula runs in any version of Excel.</t>
        </is>
      </c>
      <c r="D59" s="9" t="n"/>
    </row>
    <row r="60" ht="6" customHeight="1">
      <c r="A60" s="9" t="n"/>
      <c r="B60" s="9" t="n"/>
      <c r="C60" s="9" t="n"/>
      <c r="D60" s="9" t="n"/>
    </row>
    <row r="61" ht="15.5" customHeight="1">
      <c r="A61" s="9" t="n"/>
      <c r="B61" s="9" t="n"/>
      <c r="C61" s="9" t="n"/>
      <c r="D61" s="9" t="n"/>
    </row>
    <row r="62" ht="28" customHeight="1">
      <c r="A62" s="9" t="n"/>
      <c r="B62" s="12" t="inlineStr">
        <is>
          <t>Month-end, in order</t>
        </is>
      </c>
      <c r="C62" s="9" t="n"/>
      <c r="D62" s="9" t="n"/>
    </row>
    <row r="63" ht="52.7" customHeight="1">
      <c r="A63" s="9" t="n"/>
      <c r="B63" s="9" t="n"/>
      <c r="C63" s="13" t="inlineStr">
        <is>
          <t>1.  Chase the departments until every invoice for the month is on the Finance sheet and Posted to Xero is Y.</t>
        </is>
      </c>
      <c r="D63" s="9" t="n"/>
    </row>
    <row r="64" ht="6" customHeight="1">
      <c r="A64" s="9" t="n"/>
      <c r="B64" s="9" t="n"/>
      <c r="C64" s="9" t="n"/>
      <c r="D64" s="9" t="n"/>
    </row>
    <row r="65" ht="26.35" customHeight="1">
      <c r="A65" s="9" t="n"/>
      <c r="B65" s="9" t="n"/>
      <c r="C65" s="13" t="inlineStr">
        <is>
          <t>2.  Open Month-End and set the month.</t>
        </is>
      </c>
      <c r="D65" s="9" t="n"/>
    </row>
    <row r="66" ht="6" customHeight="1">
      <c r="A66" s="9" t="n"/>
      <c r="B66" s="9" t="n"/>
      <c r="C66" s="9" t="n"/>
      <c r="D66" s="9" t="n"/>
    </row>
    <row r="67" ht="26.35" customHeight="1">
      <c r="A67" s="9" t="n"/>
      <c r="B67" s="9" t="n"/>
      <c r="C67" s="13" t="inlineStr">
        <is>
          <t>3.  Work section 3 first.</t>
        </is>
      </c>
      <c r="D67" s="9" t="n"/>
    </row>
    <row r="68" ht="26.35" customHeight="1">
      <c r="A68" s="9" t="n"/>
      <c r="B68" s="9" t="n"/>
      <c r="C68" s="13" t="inlineStr">
        <is>
          <t>Every count must be zero.</t>
        </is>
      </c>
      <c r="D68" s="9" t="n"/>
    </row>
    <row r="69" ht="52.7" customHeight="1">
      <c r="A69" s="9" t="n"/>
      <c r="B69" s="9" t="n"/>
      <c r="C69" s="13" t="inlineStr">
        <is>
          <t>Fix on the Finance sheet, or filter the Issue column there, which lists the same problems row by row.</t>
        </is>
      </c>
      <c r="D69" s="9" t="n"/>
    </row>
    <row r="70" ht="6" customHeight="1">
      <c r="A70" s="9" t="n"/>
      <c r="B70" s="9" t="n"/>
      <c r="C70" s="9" t="n"/>
      <c r="D70" s="9" t="n"/>
    </row>
    <row r="71" ht="52.7" customHeight="1">
      <c r="A71" s="9" t="n"/>
      <c r="B71" s="9" t="n"/>
      <c r="C71" s="13" t="inlineStr">
        <is>
          <t>4.  Section 1: run the Xero P&amp;L for the month by Cost Centre and type the revenue into the yellow column.</t>
        </is>
      </c>
      <c r="D71" s="9" t="n"/>
    </row>
    <row r="72" ht="26.35" customHeight="1">
      <c r="A72" s="9" t="n"/>
      <c r="B72" s="9" t="n"/>
      <c r="C72" s="13" t="inlineStr">
        <is>
          <t>Each line should read Reconciled.</t>
        </is>
      </c>
      <c r="D72" s="9" t="n"/>
    </row>
    <row r="73" ht="6" customHeight="1">
      <c r="A73" s="9" t="n"/>
      <c r="B73" s="9" t="n"/>
      <c r="C73" s="9" t="n"/>
      <c r="D73" s="9" t="n"/>
    </row>
    <row r="74" ht="52.7" customHeight="1">
      <c r="A74" s="9" t="n"/>
      <c r="B74" s="9" t="n"/>
      <c r="C74" s="13" t="inlineStr">
        <is>
          <t>5.  Section 2: type the WIP Schedule closing balance and the Xero GL 11300 balance.</t>
        </is>
      </c>
      <c r="D74" s="9" t="n"/>
    </row>
    <row r="75" ht="6" customHeight="1">
      <c r="A75" s="9" t="n"/>
      <c r="B75" s="9" t="n"/>
      <c r="C75" s="9" t="n"/>
      <c r="D75" s="9" t="n"/>
    </row>
    <row r="76" ht="79.05000000000001" customHeight="1">
      <c r="A76" s="9" t="n"/>
      <c r="B76" s="9" t="n"/>
      <c r="C76" s="13" t="inlineStr">
        <is>
          <t>6.  Breaks in section 2 - open WIP Summary, paste the WIP Schedule balances into column G and the variance column shows which job is out.</t>
        </is>
      </c>
      <c r="D76" s="9" t="n"/>
    </row>
    <row r="77" ht="6" customHeight="1">
      <c r="A77" s="9" t="n"/>
      <c r="B77" s="9" t="n"/>
      <c r="C77" s="9" t="n"/>
      <c r="D77" s="9" t="n"/>
    </row>
    <row r="78" ht="26.35" customHeight="1">
      <c r="A78" s="9" t="n"/>
      <c r="B78" s="9" t="n"/>
      <c r="C78" s="13" t="inlineStr">
        <is>
          <t>7.  Sign off in section 4.</t>
        </is>
      </c>
      <c r="D78" s="9" t="n"/>
    </row>
    <row r="79" ht="6" customHeight="1">
      <c r="A79" s="9" t="n"/>
      <c r="B79" s="9" t="n"/>
      <c r="C79" s="9" t="n"/>
      <c r="D79" s="9" t="n"/>
    </row>
    <row r="80" ht="15.5" customHeight="1">
      <c r="A80" s="9" t="n"/>
      <c r="B80" s="9" t="n"/>
      <c r="C80" s="9" t="n"/>
      <c r="D80" s="9" t="n"/>
    </row>
    <row r="81" ht="28" customHeight="1">
      <c r="A81" s="9" t="n"/>
      <c r="B81" s="12" t="inlineStr">
        <is>
          <t>The WIP sign rule</t>
        </is>
      </c>
      <c r="C81" s="9" t="n"/>
      <c r="D81" s="9" t="n"/>
    </row>
    <row r="82" ht="52.7" customHeight="1">
      <c r="A82" s="9" t="n"/>
      <c r="B82" s="9" t="n"/>
      <c r="C82" s="13" t="inlineStr">
        <is>
          <t>One signed Amount column does both jobs, because GL 11300 nets accrued and deferred revenue.</t>
        </is>
      </c>
      <c r="D82" s="9" t="n"/>
    </row>
    <row r="83" ht="52.7" customHeight="1">
      <c r="A83" s="9" t="n"/>
      <c r="B83" s="9" t="n"/>
      <c r="C83" s="13" t="inlineStr">
        <is>
          <t>Positive = revenue recognised this month (work done but not yet invoiced, or a deferral released).</t>
        </is>
      </c>
      <c r="D83" s="9" t="n"/>
    </row>
    <row r="84" ht="52.7" customHeight="1">
      <c r="A84" s="9" t="n"/>
      <c r="B84" s="9" t="n"/>
      <c r="C84" s="13" t="inlineStr">
        <is>
          <t>Negative = revenue pushed out of this month (invoiced in advance).</t>
        </is>
      </c>
      <c r="D84" s="9" t="n"/>
    </row>
    <row r="85" ht="52.7" customHeight="1">
      <c r="A85" s="9" t="n"/>
      <c r="B85" s="9" t="n"/>
      <c r="C85" s="13" t="inlineStr">
        <is>
          <t>So revenue recognised = invoiced Ex GST + WIP movement, and the running total of the Amount column is the GL 11300 balance.</t>
        </is>
      </c>
      <c r="D85" s="9" t="n"/>
    </row>
    <row r="86" ht="6" customHeight="1">
      <c r="A86" s="9" t="n"/>
      <c r="B86" s="9" t="n"/>
      <c r="C86" s="9" t="n"/>
      <c r="D86" s="9" t="n"/>
    </row>
    <row r="87" ht="15.5" customHeight="1">
      <c r="A87" s="9" t="n"/>
      <c r="B87" s="9" t="n"/>
      <c r="C87" s="9" t="n"/>
      <c r="D87" s="9" t="n"/>
    </row>
    <row r="88" ht="28" customHeight="1">
      <c r="A88" s="9" t="n"/>
      <c r="B88" s="12" t="inlineStr">
        <is>
          <t>Locked cells, links and totals</t>
        </is>
      </c>
      <c r="C88" s="9" t="n"/>
      <c r="D88" s="9" t="n"/>
    </row>
    <row r="89" ht="26.35" customHeight="1">
      <c r="A89" s="9" t="n"/>
      <c r="B89" s="9" t="n"/>
      <c r="C89" s="13" t="inlineStr">
        <is>
          <t>Every sheet is protected with no password.</t>
        </is>
      </c>
      <c r="D89" s="9" t="n"/>
    </row>
    <row r="90" ht="79.05000000000001" customHeight="1">
      <c r="A90" s="9" t="n"/>
      <c r="B90" s="9" t="n"/>
      <c r="C90" s="13" t="inlineStr">
        <is>
          <t>Only the cells you are meant to fill are open; the grey calculated ones are locked so a stray keystroke cannot wipe a formula.</t>
        </is>
      </c>
      <c r="D90" s="9" t="n"/>
    </row>
    <row r="91" ht="26.35" customHeight="1">
      <c r="A91" s="9" t="n"/>
      <c r="B91" s="9" t="n"/>
      <c r="C91" s="13" t="inlineStr">
        <is>
          <t>To turn it off: Review, Unprotect Sheet.</t>
        </is>
      </c>
      <c r="D91" s="9" t="n"/>
    </row>
    <row r="92" ht="26.35" customHeight="1">
      <c r="A92" s="9" t="n"/>
      <c r="B92" s="9" t="n"/>
      <c r="C92" s="13" t="inlineStr">
        <is>
          <t>Sorting and filtering still work.</t>
        </is>
      </c>
      <c r="D92" s="9" t="n"/>
    </row>
    <row r="93" ht="6" customHeight="1">
      <c r="A93" s="9" t="n"/>
      <c r="B93" s="9" t="n"/>
      <c r="C93" s="9" t="n"/>
      <c r="D93" s="9" t="n"/>
    </row>
    <row r="94" ht="26.35" customHeight="1">
      <c r="A94" s="9" t="n"/>
      <c r="B94" s="9" t="n"/>
      <c r="C94" s="13" t="inlineStr">
        <is>
          <t>Qwilr quotes and Current RMS numbers are clickable.</t>
        </is>
      </c>
      <c r="D94" s="9" t="n"/>
    </row>
    <row r="95" ht="79.05000000000001" customHeight="1">
      <c r="A95" s="9" t="n"/>
      <c r="B95" s="9" t="n"/>
      <c r="C95" s="13" t="inlineStr">
        <is>
          <t>Paste a full web address and it is used as it stands; type a bare number and it is added to the base address on the Lists sheet.</t>
        </is>
      </c>
      <c r="D95" s="9" t="n"/>
    </row>
    <row r="96" ht="105.4" customHeight="1">
      <c r="A96" s="9" t="n"/>
      <c r="B96" s="9" t="n"/>
      <c r="C96" s="13" t="inlineStr">
        <is>
          <t>The Qwilr base is already set, and Current RMS on the Production sheet now works exactly the same way - paste the whole Current RMS address into the Current RMS No cell and it links straight away.</t>
        </is>
      </c>
      <c r="D96" s="9" t="n"/>
    </row>
    <row r="97" ht="52.7" customHeight="1">
      <c r="A97" s="9" t="n"/>
      <c r="B97" s="9" t="n"/>
      <c r="C97" s="13" t="inlineStr">
        <is>
          <t>Only fill in Lists column U row 6 if you would rather type the bare opportunity number.</t>
        </is>
      </c>
      <c r="D97" s="9" t="n"/>
    </row>
    <row r="98" ht="6" customHeight="1">
      <c r="A98" s="9" t="n"/>
      <c r="B98" s="9" t="n"/>
      <c r="C98" s="9" t="n"/>
      <c r="D98" s="9" t="n"/>
    </row>
    <row r="99" ht="79.05000000000001" customHeight="1">
      <c r="A99" s="9" t="n"/>
      <c r="B99" s="9" t="n"/>
      <c r="C99" s="13" t="inlineStr">
        <is>
          <t>Each sheet shows its total ex-GST at the top, and it follows the filter - filter to one client or one month and the total follows.</t>
        </is>
      </c>
      <c r="D99" s="9" t="n"/>
    </row>
    <row r="100" ht="26.35" customHeight="1">
      <c r="A100" s="9" t="n"/>
      <c r="B100" s="9" t="n"/>
      <c r="C100" s="13" t="inlineStr">
        <is>
          <t>Finance shows Ex GST, GST and Inc GST.</t>
        </is>
      </c>
      <c r="D100" s="9" t="n"/>
    </row>
    <row r="101" ht="6" customHeight="1">
      <c r="A101" s="9" t="n"/>
      <c r="B101" s="9" t="n"/>
      <c r="C101" s="9" t="n"/>
      <c r="D101" s="9" t="n"/>
    </row>
    <row r="102" ht="26.35" customHeight="1">
      <c r="A102" s="9" t="n"/>
      <c r="B102" s="9" t="n"/>
      <c r="C102" s="13" t="inlineStr">
        <is>
          <t>The GST rate is no longer buried in the formula.</t>
        </is>
      </c>
      <c r="D102" s="9" t="n"/>
    </row>
    <row r="103" ht="52.7" customHeight="1">
      <c r="A103" s="9" t="n"/>
      <c r="B103" s="9" t="n"/>
      <c r="C103" s="13" t="inlineStr">
        <is>
          <t>It sits on the Lists sheet, column U row 8, and every GST cell reads it from there.</t>
        </is>
      </c>
      <c r="D103" s="9" t="n"/>
    </row>
    <row r="104" ht="6" customHeight="1">
      <c r="A104" s="9" t="n"/>
      <c r="B104" s="9" t="n"/>
      <c r="C104" s="9" t="n"/>
      <c r="D104" s="9" t="n"/>
    </row>
    <row r="105" ht="15.5" customHeight="1">
      <c r="A105" s="9" t="n"/>
      <c r="B105" s="9" t="n"/>
      <c r="C105" s="9" t="n"/>
      <c r="D105" s="9" t="n"/>
    </row>
    <row r="106" ht="28" customHeight="1">
      <c r="A106" s="9" t="n"/>
      <c r="B106" s="12" t="inlineStr">
        <is>
          <t>Rules that keep it fast</t>
        </is>
      </c>
      <c r="C106" s="9" t="n"/>
      <c r="D106" s="9" t="n"/>
    </row>
    <row r="107" ht="26.35" customHeight="1">
      <c r="A107" s="9" t="n"/>
      <c r="B107" s="9" t="n"/>
      <c r="C107" s="13" t="inlineStr">
        <is>
          <t>Never insert or delete rows above the header row.</t>
        </is>
      </c>
      <c r="D107" s="9" t="n"/>
    </row>
    <row r="108" ht="6" customHeight="1">
      <c r="A108" s="9" t="n"/>
      <c r="B108" s="9" t="n"/>
      <c r="C108" s="9" t="n"/>
      <c r="D108" s="9" t="n"/>
    </row>
    <row r="109" ht="79.05000000000001" customHeight="1">
      <c r="A109" s="9" t="n"/>
      <c r="B109" s="9" t="n"/>
      <c r="C109" s="13" t="inlineStr">
        <is>
          <t>Add rows by typing in the next blank row of the table, or press Tab at the end of the last row and the table grows with the formulas.</t>
        </is>
      </c>
      <c r="D109" s="9" t="n"/>
    </row>
    <row r="110" ht="6" customHeight="1">
      <c r="A110" s="9" t="n"/>
      <c r="B110" s="9" t="n"/>
      <c r="C110" s="9" t="n"/>
      <c r="D110" s="9" t="n"/>
    </row>
    <row r="111" ht="26.35" customHeight="1">
      <c r="A111" s="9" t="n"/>
      <c r="B111" s="9" t="n"/>
      <c r="C111" s="13" t="inlineStr">
        <is>
          <t>Paste values only, never whole columns.</t>
        </is>
      </c>
      <c r="D111" s="9" t="n"/>
    </row>
    <row r="112" ht="6" customHeight="1">
      <c r="A112" s="9" t="n"/>
      <c r="B112" s="9" t="n"/>
      <c r="C112" s="9" t="n"/>
      <c r="D112" s="9" t="n"/>
    </row>
    <row r="113" ht="26.35" customHeight="1">
      <c r="A113" s="9" t="n"/>
      <c r="B113" s="9" t="n"/>
      <c r="C113" s="13" t="inlineStr">
        <is>
          <t>Leave calculation on Automatic.</t>
        </is>
      </c>
      <c r="D113" s="9" t="n"/>
    </row>
    <row r="114" ht="52.7" customHeight="1">
      <c r="A114" s="9" t="n"/>
      <c r="B114" s="9" t="n"/>
      <c r="C114" s="13" t="inlineStr">
        <is>
          <t>Nothing here is volatile - no OFFSET, no INDIRECT, no TODAY in bulk.</t>
        </is>
      </c>
      <c r="D114" s="9" t="n"/>
    </row>
    <row r="115" ht="6" customHeight="1">
      <c r="A115" s="9" t="n"/>
      <c r="B115" s="9" t="n"/>
      <c r="C115" s="9" t="n"/>
      <c r="D115" s="9" t="n"/>
    </row>
    <row r="116" ht="26.35" customHeight="1">
      <c r="A116" s="9" t="n"/>
      <c r="B116" s="9" t="n"/>
      <c r="C116" s="13" t="inlineStr">
        <is>
          <t>Keep it as .xlsx.</t>
        </is>
      </c>
      <c r="D116" s="9" t="n"/>
    </row>
    <row r="117" ht="52.7" customHeight="1">
      <c r="A117" s="9" t="n"/>
      <c r="B117" s="9" t="n"/>
      <c r="C117" s="13" t="inlineStr">
        <is>
          <t>The moment someone saves it as .xlsm and adds a macro you are back where you started.</t>
        </is>
      </c>
      <c r="D117" s="9" t="n"/>
    </row>
    <row r="118" ht="6" customHeight="1">
      <c r="A118" s="9" t="n"/>
      <c r="B118" s="9" t="n"/>
      <c r="C118" s="9" t="n"/>
      <c r="D118" s="9" t="n"/>
    </row>
    <row r="119" ht="15.5" customHeight="1">
      <c r="A119" s="9" t="n"/>
      <c r="B119" s="9" t="n"/>
      <c r="C119" s="9" t="n"/>
      <c r="D119" s="9" t="n"/>
    </row>
    <row r="120" ht="28" customHeight="1">
      <c r="A120" s="9" t="n"/>
      <c r="B120" s="12" t="inlineStr">
        <is>
          <t>What came across from v2</t>
        </is>
      </c>
      <c r="C120" s="9" t="n"/>
      <c r="D120" s="9" t="n"/>
    </row>
    <row r="121" ht="52.7" customHeight="1">
      <c r="A121" s="9" t="n"/>
      <c r="B121" s="9" t="n"/>
      <c r="C121" s="13" t="inlineStr">
        <is>
          <t>Finance: 175 invoice lines from the 149 v2 records, the difference being the 26 video splits now carried as their own line.</t>
        </is>
      </c>
      <c r="D121" s="9" t="n"/>
    </row>
    <row r="122" ht="6" customHeight="1">
      <c r="A122" s="9" t="n"/>
      <c r="B122" s="9" t="n"/>
      <c r="C122" s="9" t="n"/>
      <c r="D122" s="9" t="n"/>
    </row>
    <row r="123" ht="52.7" customHeight="1">
      <c r="A123" s="9" t="n"/>
      <c r="B123" s="9" t="n"/>
      <c r="C123" s="13" t="inlineStr">
        <is>
          <t>Department sheets: one row per job - Onsite 27, Production 58, Consulting 28.</t>
        </is>
      </c>
      <c r="D123" s="9" t="n"/>
    </row>
    <row r="124" ht="6" customHeight="1">
      <c r="A124" s="9" t="n"/>
      <c r="B124" s="9" t="n"/>
      <c r="C124" s="9" t="n"/>
      <c r="D124" s="9" t="n"/>
    </row>
    <row r="125" ht="26.35" customHeight="1">
      <c r="A125" s="9" t="n"/>
      <c r="B125" s="9" t="n"/>
      <c r="C125" s="13" t="inlineStr">
        <is>
          <t>WIP Movements: 126 rows.</t>
        </is>
      </c>
      <c r="D125" s="9" t="n"/>
    </row>
    <row r="126" ht="6" customHeight="1">
      <c r="A126" s="9" t="n"/>
      <c r="B126" s="9" t="n"/>
      <c r="C126" s="9" t="n"/>
      <c r="D126" s="9" t="n"/>
    </row>
    <row r="127" ht="52.7" customHeight="1">
      <c r="A127" s="9" t="n"/>
      <c r="B127" s="9" t="n"/>
      <c r="C127" s="13" t="inlineStr">
        <is>
          <t>Totals tie to the cent: Onsite 512,023.81, Production 460,883.46, Consulting 857,950.27, WIP 17,537.91.</t>
        </is>
      </c>
      <c r="D127" s="9" t="n"/>
    </row>
    <row r="128" ht="6" customHeight="1">
      <c r="A128" s="9" t="n"/>
      <c r="B128" s="9" t="n"/>
      <c r="C128" s="9" t="n"/>
      <c r="D128" s="9" t="n"/>
    </row>
    <row r="129" ht="52.7" customHeight="1">
      <c r="A129" s="9" t="n"/>
      <c r="B129" s="9" t="n"/>
      <c r="C129" s="13" t="inlineStr">
        <is>
          <t>Revenue GL codes were assigned by rule (Onsite 41100, Production 42100, Video 42150, Consulting 42800, Integration 42300).</t>
        </is>
      </c>
      <c r="D129" s="9" t="n"/>
    </row>
    <row r="130" ht="26.35" customHeight="1">
      <c r="A130" s="9" t="n"/>
      <c r="B130" s="9" t="n"/>
      <c r="C130" s="13" t="inlineStr">
        <is>
          <t>Spot-check them.</t>
        </is>
      </c>
      <c r="D130" s="9" t="n"/>
    </row>
    <row r="131" ht="6" customHeight="1">
      <c r="A131" s="9" t="n"/>
      <c r="B131" s="9" t="n"/>
      <c r="C131" s="9" t="n"/>
      <c r="D131" s="9" t="n"/>
    </row>
    <row r="132" ht="52.7" customHeight="1">
      <c r="A132" s="9" t="n"/>
      <c r="B132" s="9" t="n"/>
      <c r="C132" s="13" t="inlineStr">
        <is>
          <t>The 126 WIP rows were given a Type from the sign of the amount.</t>
        </is>
      </c>
      <c r="D132" s="9" t="n"/>
    </row>
    <row r="133" ht="26.35" customHeight="1">
      <c r="A133" s="9" t="n"/>
      <c r="B133" s="9" t="n"/>
      <c r="C133" s="13" t="inlineStr">
        <is>
          <t>Confirm before relying on them.</t>
        </is>
      </c>
      <c r="D133" s="9" t="n"/>
    </row>
    <row r="134" ht="6" customHeight="1">
      <c r="A134" s="9" t="n"/>
      <c r="B134" s="9" t="n"/>
      <c r="C134" s="9" t="n"/>
      <c r="D134" s="9" t="n"/>
    </row>
    <row r="135" ht="15.5" customHeight="1">
      <c r="A135" s="9" t="n"/>
      <c r="B135" s="9" t="n"/>
      <c r="C135" s="9" t="n"/>
      <c r="D135" s="9" t="n"/>
    </row>
    <row r="136" ht="28" customHeight="1">
      <c r="A136" s="9" t="n"/>
      <c r="B136" s="16" t="inlineStr">
        <is>
          <t>Still to confirm</t>
        </is>
      </c>
      <c r="C136" s="9" t="n"/>
      <c r="D136" s="9" t="n"/>
    </row>
    <row r="137" ht="26.35" customHeight="1">
      <c r="A137" s="9" t="n"/>
      <c r="B137" s="9" t="n"/>
      <c r="C137" s="13" t="inlineStr">
        <is>
          <t>Discounts.</t>
        </is>
      </c>
      <c r="D137" s="9" t="n"/>
    </row>
    <row r="138" ht="105.4" customHeight="1">
      <c r="A138" s="9" t="n"/>
      <c r="B138" s="9" t="n"/>
      <c r="C138" s="13" t="inlineStr">
        <is>
          <t>Checked against Xero: for all 17 August production invoices carrying a discount, the ex-GST total on the Xero invoice equals Ex GST here exactly, and not one matched Ex GST minus the discount.</t>
        </is>
      </c>
      <c r="D138" s="9" t="n"/>
    </row>
    <row r="139" ht="52.7" customHeight="1">
      <c r="A139" s="9" t="n"/>
      <c r="B139" s="9" t="n"/>
      <c r="C139" s="13" t="inlineStr">
        <is>
          <t>So the discount comes off before the invoice is raised and Ex GST is what reconciles.</t>
        </is>
      </c>
      <c r="D139" s="9" t="n"/>
    </row>
    <row r="140" ht="79.05000000000001" customHeight="1">
      <c r="A140" s="9" t="n"/>
      <c r="B140" s="9" t="n"/>
      <c r="C140" s="13" t="inlineStr">
        <is>
          <t>The old "Net Total" is gone; Discounts Given now sits on the Production sheet at job level with Value Before Discount beside it.</t>
        </is>
      </c>
      <c r="D140" s="9" t="n"/>
    </row>
    <row r="141" ht="52.7" customHeight="1">
      <c r="A141" s="9" t="n"/>
      <c r="B141" s="9" t="n"/>
      <c r="C141" s="13" t="inlineStr">
        <is>
          <t>Assumption: it records what was given away off standard rates.</t>
        </is>
      </c>
      <c r="D141" s="9" t="n"/>
    </row>
    <row r="142" ht="6" customHeight="1">
      <c r="A142" s="9" t="n"/>
      <c r="B142" s="9" t="n"/>
      <c r="C142" s="9" t="n"/>
      <c r="D142" s="9" t="n"/>
    </row>
    <row r="143" ht="52.7" customHeight="1">
      <c r="A143" s="9" t="n"/>
      <c r="B143" s="9" t="n"/>
      <c r="C143" s="13" t="inlineStr">
        <is>
          <t>23 migrated records have no invoice number and 21 have no date - $93,346.99 of revenue that belongs to no month.</t>
        </is>
      </c>
      <c r="D143" s="9" t="n"/>
    </row>
    <row r="144" ht="52.7" customHeight="1">
      <c r="A144" s="9" t="n"/>
      <c r="B144" s="9" t="n"/>
      <c r="C144" s="13" t="inlineStr">
        <is>
          <t>They are on the Finance sheet with the Issue column filled in.</t>
        </is>
      </c>
      <c r="D144" s="9" t="n"/>
    </row>
    <row r="145" ht="26.35" customHeight="1">
      <c r="A145" s="9" t="n"/>
      <c r="B145" s="9" t="n"/>
      <c r="C145" s="13" t="inlineStr">
        <is>
          <t>Filter that column and work the list to nothing.</t>
        </is>
      </c>
      <c r="D145" s="9" t="n"/>
    </row>
    <row r="146" ht="6" customHeight="1">
      <c r="A146" s="9" t="n"/>
      <c r="B146" s="9" t="n"/>
      <c r="C146" s="9" t="n"/>
      <c r="D146" s="9" t="n"/>
    </row>
    <row r="147">
      <c r="A147" s="9" t="n"/>
      <c r="B147" s="9" t="n"/>
      <c r="C147" s="9" t="n"/>
      <c r="D147" s="9" t="n"/>
    </row>
    <row r="148" ht="52.7" customHeight="1">
      <c r="A148" s="9" t="n"/>
      <c r="B148" s="17" t="inlineStr">
        <is>
          <t>This is the easy-read version. The standard, more compact version is on the Read Me tab.</t>
        </is>
      </c>
      <c r="C148" s="9" t="n"/>
      <c r="D148" s="9" t="n"/>
    </row>
    <row r="149">
      <c r="A149" s="9" t="n"/>
      <c r="B149" s="9" t="n"/>
      <c r="C149" s="9" t="n"/>
      <c r="D149" s="9" t="n"/>
    </row>
    <row r="150">
      <c r="A150" s="9" t="n"/>
      <c r="B150" s="9" t="n"/>
      <c r="C150" s="9" t="n"/>
      <c r="D150" s="9" t="n"/>
    </row>
  </sheetData>
  <mergeCells count="12">
    <mergeCell ref="B54:C54"/>
    <mergeCell ref="B62:C62"/>
    <mergeCell ref="B120:C120"/>
    <mergeCell ref="B5:C5"/>
    <mergeCell ref="B81:C81"/>
    <mergeCell ref="B27:C27"/>
    <mergeCell ref="B136:C136"/>
    <mergeCell ref="B45:C45"/>
    <mergeCell ref="B18:C18"/>
    <mergeCell ref="B88:C88"/>
    <mergeCell ref="B148:C148"/>
    <mergeCell ref="B106:C106"/>
  </mergeCells>
  <pageMargins left="0.75" right="0.75" top="1" bottom="1" header="0.5" footer="0.5"/>
</worksheet>
</file>

<file path=xl/worksheets/sheet3.xml><?xml version="1.0" encoding="utf-8"?>
<worksheet xmlns="http://schemas.openxmlformats.org/spreadsheetml/2006/main">
  <sheetPr>
    <tabColor rgb="003E5066"/>
    <outlinePr summaryBelow="1" summaryRight="1"/>
    <pageSetUpPr/>
  </sheetPr>
  <dimension ref="A1:AG577"/>
  <sheetViews>
    <sheetView showGridLines="0" tabSelected="0" zoomScale="90" workbookViewId="0">
      <pane xSplit="4" ySplit="4" topLeftCell="E5" activePane="bottomRight" state="frozen"/>
      <selection pane="topRight"/>
      <selection pane="bottomLeft"/>
      <selection pane="bottomRight" activeCell="A1" sqref="A1"/>
    </sheetView>
  </sheetViews>
  <sheetFormatPr baseColWidth="8" defaultRowHeight="15"/>
  <cols>
    <col width="11" customWidth="1" min="1" max="1"/>
    <col width="10" customWidth="1" min="2" max="2"/>
    <col width="16" customWidth="1" min="3" max="3"/>
    <col width="26" customWidth="1" min="4" max="4"/>
    <col width="15" customWidth="1" min="5" max="5"/>
    <col width="12" customWidth="1" min="6" max="6"/>
    <col width="44" customWidth="1" min="7" max="7"/>
    <col width="13" customWidth="1" min="8" max="8"/>
    <col width="14" customWidth="1" min="9" max="9"/>
    <col width="15" customWidth="1" min="10" max="10"/>
    <col width="12" customWidth="1" min="11" max="11"/>
    <col width="14" customWidth="1" min="12" max="12"/>
    <col width="12" customWidth="1" min="13" max="13"/>
    <col width="14" customWidth="1" min="14" max="14"/>
    <col width="13" customWidth="1" min="15" max="15"/>
    <col width="14" customWidth="1" min="16" max="16"/>
    <col width="9" customWidth="1" min="17" max="17"/>
    <col width="12" customWidth="1" min="18" max="18"/>
    <col width="12" customWidth="1" min="19" max="19"/>
    <col width="14" customWidth="1" min="20" max="20"/>
    <col width="40" customWidth="1" min="21" max="21"/>
    <col width="34" customWidth="1" min="22" max="22"/>
    <col width="34" customWidth="1" min="23" max="23"/>
    <col width="12" customWidth="1" min="24" max="24"/>
    <col width="15" customWidth="1" min="25" max="25"/>
    <col width="14" customWidth="1" min="26" max="26"/>
    <col width="14" customWidth="1" min="27" max="27"/>
    <col width="34" customWidth="1" min="28" max="28"/>
    <col width="13" customWidth="1" min="29" max="29"/>
    <col width="14" customWidth="1" min="30" max="30"/>
    <col width="14" customWidth="1" min="31" max="31"/>
    <col width="12" customWidth="1" min="32" max="32"/>
    <col width="34" customWidth="1" min="33" max="33"/>
  </cols>
  <sheetData>
    <row r="1" ht="24" customHeight="1">
      <c r="A1" s="18" t="inlineStr">
        <is>
          <t>Finance - Invoice Register</t>
        </is>
      </c>
    </row>
    <row r="2" ht="16" customHeight="1">
      <c r="A2" s="2" t="inlineStr">
        <is>
          <t>One row per invoice line, coded to one cost centre, the same way Xero holds it. Finance types here and nowhere else. A job invoiced part production and part video is two lines. Filter the Issue column to see what needs fixing.</t>
        </is>
      </c>
    </row>
    <row r="3" ht="22" customHeight="1">
      <c r="A3" s="19">
        <f>"Ex GST  "&amp;TEXT(SUBTOTAL(109,tbl_Finance[Ex GST]),"$#,##0.00")&amp;"      "&amp;"GST  "&amp;TEXT(SUBTOTAL(109,tbl_Finance[GST]),"$#,##0.00")&amp;"      "&amp;"Inc GST  "&amp;TEXT(SUBTOTAL(109,tbl_Finance[Inc GST]),"$#,##0.00")</f>
        <v/>
      </c>
    </row>
    <row r="4" ht="34" customHeight="1">
      <c r="A4" s="20" t="inlineStr">
        <is>
          <t>Date</t>
        </is>
      </c>
      <c r="B4" s="21" t="inlineStr">
        <is>
          <t>Month</t>
        </is>
      </c>
      <c r="C4" s="20" t="inlineStr">
        <is>
          <t>Xero Invoice No</t>
        </is>
      </c>
      <c r="D4" s="20" t="inlineStr">
        <is>
          <t>Client</t>
        </is>
      </c>
      <c r="E4" s="20" t="inlineStr">
        <is>
          <t>Job Number</t>
        </is>
      </c>
      <c r="F4" s="21" t="inlineStr">
        <is>
          <t>Job in Xero?</t>
        </is>
      </c>
      <c r="G4" s="20" t="inlineStr">
        <is>
          <t>Description</t>
        </is>
      </c>
      <c r="H4" s="20" t="inlineStr">
        <is>
          <t>Team</t>
        </is>
      </c>
      <c r="I4" s="20" t="inlineStr">
        <is>
          <t>Cost Centre</t>
        </is>
      </c>
      <c r="J4" s="20" t="inlineStr">
        <is>
          <t>Invoice Type</t>
        </is>
      </c>
      <c r="K4" s="20" t="inlineStr">
        <is>
          <t>Tax Code</t>
        </is>
      </c>
      <c r="L4" s="20" t="inlineStr">
        <is>
          <t>Ex GST</t>
        </is>
      </c>
      <c r="M4" s="21" t="inlineStr">
        <is>
          <t>GST</t>
        </is>
      </c>
      <c r="N4" s="21" t="inlineStr">
        <is>
          <t>Inc GST</t>
        </is>
      </c>
      <c r="O4" s="20" t="inlineStr">
        <is>
          <t>Revenue GL</t>
        </is>
      </c>
      <c r="P4" s="20" t="inlineStr">
        <is>
          <t>Posted to Xero</t>
        </is>
      </c>
      <c r="Q4" s="20" t="inlineStr">
        <is>
          <t>To WIP</t>
        </is>
      </c>
      <c r="R4" s="20" t="inlineStr">
        <is>
          <t>Defer Start</t>
        </is>
      </c>
      <c r="S4" s="20" t="inlineStr">
        <is>
          <t>Defer End</t>
        </is>
      </c>
      <c r="T4" s="20" t="inlineStr">
        <is>
          <t>Status</t>
        </is>
      </c>
      <c r="U4" s="20" t="inlineStr">
        <is>
          <t>Notes</t>
        </is>
      </c>
      <c r="V4" s="21" t="inlineStr">
        <is>
          <t>Issue</t>
        </is>
      </c>
      <c r="W4" s="21" t="inlineStr">
        <is>
          <t>Job Name (Xero)</t>
        </is>
      </c>
      <c r="X4" s="21" t="inlineStr">
        <is>
          <t>Lines on this Job</t>
        </is>
      </c>
      <c r="Y4" s="21" t="inlineStr">
        <is>
          <t>Job Total Ex GST</t>
        </is>
      </c>
      <c r="Z4" s="21" t="inlineStr">
        <is>
          <t>Job Invoiced</t>
        </is>
      </c>
      <c r="AA4" s="21" t="inlineStr">
        <is>
          <t>Job To Invoice</t>
        </is>
      </c>
      <c r="AB4" s="21" t="inlineStr">
        <is>
          <t>Job Quote / Ref</t>
        </is>
      </c>
      <c r="AC4" s="21" t="inlineStr">
        <is>
          <t>Open Quote</t>
        </is>
      </c>
      <c r="AD4" s="21" t="inlineStr">
        <is>
          <t>Job Expense</t>
        </is>
      </c>
      <c r="AE4" s="21" t="inlineStr">
        <is>
          <t>Job Margin</t>
        </is>
      </c>
      <c r="AF4" s="21" t="inlineStr">
        <is>
          <t>Job Margin %</t>
        </is>
      </c>
      <c r="AG4" s="21" t="inlineStr">
        <is>
          <t>Dept Notes</t>
        </is>
      </c>
    </row>
    <row r="5" ht="15" customHeight="1">
      <c r="A5" s="22" t="n">
        <v>46234</v>
      </c>
      <c r="B5" s="23">
        <f>IF(A5="","",EOMONTH(A5,0))</f>
        <v/>
      </c>
      <c r="C5" s="24" t="inlineStr">
        <is>
          <t>INV-10525</t>
        </is>
      </c>
      <c r="D5" s="24" t="inlineStr">
        <is>
          <t>CBA</t>
        </is>
      </c>
      <c r="E5" s="24" t="inlineStr">
        <is>
          <t>1350</t>
        </is>
      </c>
      <c r="F5" s="25">
        <f>IF(E5="","",IF(COUNTIF(lst_Jobs,E5&amp;"")&gt;0,"OK","CHECK"))</f>
        <v/>
      </c>
      <c r="G5" s="24" t="inlineStr">
        <is>
          <t>CBA BNE July 2026</t>
        </is>
      </c>
      <c r="H5" s="24" t="inlineStr">
        <is>
          <t>Onsite</t>
        </is>
      </c>
      <c r="I5" s="24" t="inlineStr">
        <is>
          <t>ONSITE</t>
        </is>
      </c>
      <c r="J5" s="24" t="inlineStr">
        <is>
          <t>Contract</t>
        </is>
      </c>
      <c r="K5" s="24" t="inlineStr">
        <is>
          <t>GST 10%</t>
        </is>
      </c>
      <c r="L5" s="26" t="n">
        <v>8588.450000000001</v>
      </c>
      <c r="M5" s="27">
        <f>IF(L5="","",IF(K5="GST 10%",ROUND(L5*set_GSTRate,2),0))</f>
        <v/>
      </c>
      <c r="N5" s="27">
        <f>IF(L5="","",L5+M5)</f>
        <v/>
      </c>
      <c r="O5" s="24" t="inlineStr">
        <is>
          <t>41100</t>
        </is>
      </c>
      <c r="P5" s="24" t="inlineStr">
        <is>
          <t>Y</t>
        </is>
      </c>
      <c r="Q5" s="24" t="inlineStr">
        <is>
          <t>N</t>
        </is>
      </c>
      <c r="R5" s="22" t="n"/>
      <c r="S5" s="22" t="n"/>
      <c r="T5" s="24" t="inlineStr">
        <is>
          <t>Invoiced</t>
        </is>
      </c>
      <c r="U5" s="24" t="inlineStr">
        <is>
          <t>174.05 hours</t>
        </is>
      </c>
      <c r="V5" s="25">
        <f>IF(COUNTA(A5,D5,C5,L5)=0,"",IF(A5="","No date - sits outside every month",IF(E5="","No job number",IF(F5="CHECK","Job number is not in the Xero job list",IF(I5="","No cost centre",IF(AND(P5="Y",C5=""),"Marked posted to Xero but has no invoice number",IF(AND(L5&lt;&gt;"",K5=""),"No tax code",IF(AND(L5&lt;&gt;"",O5=""),"No revenue GL code",""))))))))</f>
        <v/>
      </c>
      <c r="W5" s="25">
        <f>IF(E5="","",IFERROR(INDEX(lst_JobName,MATCH(E5&amp;"",lst_Jobs,0)),""))</f>
        <v/>
      </c>
      <c r="X5" s="28">
        <f>IF(E5="","",COUNTIFS(tbl_Finance[Job Number],E5&amp;"",tbl_Finance[Ex GST],"&lt;&gt;"))</f>
        <v/>
      </c>
      <c r="Y5" s="27">
        <f>IF(E5="","",SUMIFS(tbl_Finance[Ex GST],tbl_Finance[Job Number],E5&amp;""))</f>
        <v/>
      </c>
      <c r="Z5" s="27">
        <f>IF(E5="","",SUMIFS(tbl_Finance[Ex GST],tbl_Finance[Job Number],E5&amp;"",tbl_Finance[Xero Invoice No],"&lt;&gt;"))</f>
        <v/>
      </c>
      <c r="AA5" s="27">
        <f>IF(E5="","",Y5-Z5)</f>
        <v/>
      </c>
      <c r="AB5" s="25">
        <f>IF(E5="","",IF(H5="Onsite",IFERROR(INDEX(tbl_Onsite[Qwilr Quote],MATCH(E5&amp;"",tbl_Onsite[Job Number],0)),""),IF(H5="Production",IFERROR(INDEX(tbl_Production[Current RMS No],MATCH(E5&amp;"",tbl_Production[Job Number],0)),""),IF(H5="Consulting",IFERROR(INDEX(tbl_Consulting[Qwilr Quote],MATCH(E5&amp;"",tbl_Consulting[Job Number],0)),""),""))))</f>
        <v/>
      </c>
      <c r="AC5" s="25">
        <f>IF(AB5="","",IF(AND(LEFT(AB5,4)&lt;&gt;"http",IF(H5="Production",set_RMSBase,set_QwilrBase)=""),"",HYPERLINK(IF(LEFT(AB5,4)="http",AB5,IF(H5="Production",set_RMSBase,set_QwilrBase)&amp;AB5),"Open")))</f>
        <v/>
      </c>
      <c r="AD5" s="27">
        <f>IF(E5="","",IF(H5="Production",IFERROR(INDEX(tbl_Production[Total Expense],MATCH(E5&amp;"",tbl_Production[Job Number],0)),0),IF(H5="Consulting",IFERROR(INDEX(tbl_Consulting[Total Expense],MATCH(E5&amp;"",tbl_Consulting[Job Number],0)),0),0)))</f>
        <v/>
      </c>
      <c r="AE5" s="27">
        <f>IF(E5="","",Y5-N(AD5))</f>
        <v/>
      </c>
      <c r="AF5" s="29">
        <f>IFERROR(AE5/Y5,"")</f>
        <v/>
      </c>
      <c r="AG5" s="25">
        <f>IF(E5="","",IF(H5="Onsite",IFERROR(INDEX(tbl_Onsite[Notes],MATCH(E5&amp;"",tbl_Onsite[Job Number],0)),""),IF(H5="Production",IFERROR(INDEX(tbl_Production[Notes],MATCH(E5&amp;"",tbl_Production[Job Number],0)),""),IF(H5="Consulting",IFERROR(INDEX(tbl_Consulting[Notes],MATCH(E5&amp;"",tbl_Consulting[Job Number],0)),""),""))))</f>
        <v/>
      </c>
    </row>
    <row r="6" ht="15" customHeight="1">
      <c r="A6" s="22" t="n">
        <v>46234</v>
      </c>
      <c r="B6" s="23">
        <f>IF(A6="","",EOMONTH(A6,0))</f>
        <v/>
      </c>
      <c r="C6" s="24" t="inlineStr">
        <is>
          <t>INV-10526</t>
        </is>
      </c>
      <c r="D6" s="24" t="inlineStr">
        <is>
          <t>CBA</t>
        </is>
      </c>
      <c r="E6" s="24" t="inlineStr">
        <is>
          <t>585/586/1755</t>
        </is>
      </c>
      <c r="F6" s="25">
        <f>IF(E6="","",IF(COUNTIF(lst_Jobs,E6&amp;"")&gt;0,"OK","CHECK"))</f>
        <v/>
      </c>
      <c r="G6" s="24" t="inlineStr">
        <is>
          <t>CBP July 2026</t>
        </is>
      </c>
      <c r="H6" s="24" t="inlineStr">
        <is>
          <t>Onsite</t>
        </is>
      </c>
      <c r="I6" s="24" t="inlineStr">
        <is>
          <t>ONSITE</t>
        </is>
      </c>
      <c r="J6" s="24" t="inlineStr">
        <is>
          <t>Contract</t>
        </is>
      </c>
      <c r="K6" s="24" t="inlineStr">
        <is>
          <t>GST 10%</t>
        </is>
      </c>
      <c r="L6" s="26" t="n">
        <v>22120.57</v>
      </c>
      <c r="M6" s="27">
        <f>IF(L6="","",IF(K6="GST 10%",ROUND(L6*set_GSTRate,2),0))</f>
        <v/>
      </c>
      <c r="N6" s="27">
        <f>IF(L6="","",L6+M6)</f>
        <v/>
      </c>
      <c r="O6" s="24" t="inlineStr">
        <is>
          <t>41100</t>
        </is>
      </c>
      <c r="P6" s="24" t="inlineStr">
        <is>
          <t>Y</t>
        </is>
      </c>
      <c r="Q6" s="24" t="inlineStr">
        <is>
          <t>N</t>
        </is>
      </c>
      <c r="R6" s="22" t="n"/>
      <c r="S6" s="22" t="n"/>
      <c r="T6" s="24" t="inlineStr">
        <is>
          <t>Invoiced</t>
        </is>
      </c>
      <c r="U6" s="24" t="inlineStr">
        <is>
          <t>Deduct 3hrs for TN 01/07 &amp; 6hrs for NP 14/07</t>
        </is>
      </c>
      <c r="V6" s="25">
        <f>IF(COUNTA(A6,D6,C6,L6)=0,"",IF(A6="","No date - sits outside every month",IF(E6="","No job number",IF(F6="CHECK","Job number is not in the Xero job list",IF(I6="","No cost centre",IF(AND(P6="Y",C6=""),"Marked posted to Xero but has no invoice number",IF(AND(L6&lt;&gt;"",K6=""),"No tax code",IF(AND(L6&lt;&gt;"",O6=""),"No revenue GL code",""))))))))</f>
        <v/>
      </c>
      <c r="W6" s="25">
        <f>IF(E6="","",IFERROR(INDEX(lst_JobName,MATCH(E6&amp;"",lst_Jobs,0)),""))</f>
        <v/>
      </c>
      <c r="X6" s="28">
        <f>IF(E6="","",COUNTIFS(tbl_Finance[Job Number],E6&amp;"",tbl_Finance[Ex GST],"&lt;&gt;"))</f>
        <v/>
      </c>
      <c r="Y6" s="27">
        <f>IF(E6="","",SUMIFS(tbl_Finance[Ex GST],tbl_Finance[Job Number],E6&amp;""))</f>
        <v/>
      </c>
      <c r="Z6" s="27">
        <f>IF(E6="","",SUMIFS(tbl_Finance[Ex GST],tbl_Finance[Job Number],E6&amp;"",tbl_Finance[Xero Invoice No],"&lt;&gt;"))</f>
        <v/>
      </c>
      <c r="AA6" s="27">
        <f>IF(E6="","",Y6-Z6)</f>
        <v/>
      </c>
      <c r="AB6" s="25">
        <f>IF(E6="","",IF(H6="Onsite",IFERROR(INDEX(tbl_Onsite[Qwilr Quote],MATCH(E6&amp;"",tbl_Onsite[Job Number],0)),""),IF(H6="Production",IFERROR(INDEX(tbl_Production[Current RMS No],MATCH(E6&amp;"",tbl_Production[Job Number],0)),""),IF(H6="Consulting",IFERROR(INDEX(tbl_Consulting[Qwilr Quote],MATCH(E6&amp;"",tbl_Consulting[Job Number],0)),""),""))))</f>
        <v/>
      </c>
      <c r="AC6" s="25">
        <f>IF(AB6="","",IF(AND(LEFT(AB6,4)&lt;&gt;"http",IF(H6="Production",set_RMSBase,set_QwilrBase)=""),"",HYPERLINK(IF(LEFT(AB6,4)="http",AB6,IF(H6="Production",set_RMSBase,set_QwilrBase)&amp;AB6),"Open")))</f>
        <v/>
      </c>
      <c r="AD6" s="27">
        <f>IF(E6="","",IF(H6="Production",IFERROR(INDEX(tbl_Production[Total Expense],MATCH(E6&amp;"",tbl_Production[Job Number],0)),0),IF(H6="Consulting",IFERROR(INDEX(tbl_Consulting[Total Expense],MATCH(E6&amp;"",tbl_Consulting[Job Number],0)),0),0)))</f>
        <v/>
      </c>
      <c r="AE6" s="27">
        <f>IF(E6="","",Y6-N(AD6))</f>
        <v/>
      </c>
      <c r="AF6" s="29">
        <f>IFERROR(AE6/Y6,"")</f>
        <v/>
      </c>
      <c r="AG6" s="25">
        <f>IF(E6="","",IF(H6="Onsite",IFERROR(INDEX(tbl_Onsite[Notes],MATCH(E6&amp;"",tbl_Onsite[Job Number],0)),""),IF(H6="Production",IFERROR(INDEX(tbl_Production[Notes],MATCH(E6&amp;"",tbl_Production[Job Number],0)),""),IF(H6="Consulting",IFERROR(INDEX(tbl_Consulting[Notes],MATCH(E6&amp;"",tbl_Consulting[Job Number],0)),""),""))))</f>
        <v/>
      </c>
    </row>
    <row r="7" ht="15" customHeight="1">
      <c r="A7" s="22" t="n">
        <v>46234</v>
      </c>
      <c r="B7" s="23">
        <f>IF(A7="","",EOMONTH(A7,0))</f>
        <v/>
      </c>
      <c r="C7" s="24" t="inlineStr">
        <is>
          <t>INV-10527</t>
        </is>
      </c>
      <c r="D7" s="24" t="inlineStr">
        <is>
          <t>CBA</t>
        </is>
      </c>
      <c r="E7" s="24" t="inlineStr">
        <is>
          <t>587</t>
        </is>
      </c>
      <c r="F7" s="25">
        <f>IF(E7="","",IF(COUNTIF(lst_Jobs,E7&amp;"")&gt;0,"OK","CHECK"))</f>
        <v/>
      </c>
      <c r="G7" s="24" t="inlineStr">
        <is>
          <t>CBS July 2026</t>
        </is>
      </c>
      <c r="H7" s="24" t="inlineStr">
        <is>
          <t>Onsite</t>
        </is>
      </c>
      <c r="I7" s="24" t="inlineStr">
        <is>
          <t>ONSITE</t>
        </is>
      </c>
      <c r="J7" s="24" t="inlineStr">
        <is>
          <t>Contract</t>
        </is>
      </c>
      <c r="K7" s="24" t="inlineStr">
        <is>
          <t>GST 10%</t>
        </is>
      </c>
      <c r="L7" s="26" t="n">
        <v>10720</v>
      </c>
      <c r="M7" s="27">
        <f>IF(L7="","",IF(K7="GST 10%",ROUND(L7*set_GSTRate,2),0))</f>
        <v/>
      </c>
      <c r="N7" s="27">
        <f>IF(L7="","",L7+M7)</f>
        <v/>
      </c>
      <c r="O7" s="24" t="inlineStr">
        <is>
          <t>41100</t>
        </is>
      </c>
      <c r="P7" s="24" t="inlineStr">
        <is>
          <t>Y</t>
        </is>
      </c>
      <c r="Q7" s="24" t="inlineStr">
        <is>
          <t>N</t>
        </is>
      </c>
      <c r="R7" s="22" t="n"/>
      <c r="S7" s="22" t="n"/>
      <c r="T7" s="24" t="inlineStr">
        <is>
          <t>Invoiced</t>
        </is>
      </c>
      <c r="U7" s="24" t="n"/>
      <c r="V7" s="25">
        <f>IF(COUNTA(A7,D7,C7,L7)=0,"",IF(A7="","No date - sits outside every month",IF(E7="","No job number",IF(F7="CHECK","Job number is not in the Xero job list",IF(I7="","No cost centre",IF(AND(P7="Y",C7=""),"Marked posted to Xero but has no invoice number",IF(AND(L7&lt;&gt;"",K7=""),"No tax code",IF(AND(L7&lt;&gt;"",O7=""),"No revenue GL code",""))))))))</f>
        <v/>
      </c>
      <c r="W7" s="25">
        <f>IF(E7="","",IFERROR(INDEX(lst_JobName,MATCH(E7&amp;"",lst_Jobs,0)),""))</f>
        <v/>
      </c>
      <c r="X7" s="28">
        <f>IF(E7="","",COUNTIFS(tbl_Finance[Job Number],E7&amp;"",tbl_Finance[Ex GST],"&lt;&gt;"))</f>
        <v/>
      </c>
      <c r="Y7" s="27">
        <f>IF(E7="","",SUMIFS(tbl_Finance[Ex GST],tbl_Finance[Job Number],E7&amp;""))</f>
        <v/>
      </c>
      <c r="Z7" s="27">
        <f>IF(E7="","",SUMIFS(tbl_Finance[Ex GST],tbl_Finance[Job Number],E7&amp;"",tbl_Finance[Xero Invoice No],"&lt;&gt;"))</f>
        <v/>
      </c>
      <c r="AA7" s="27">
        <f>IF(E7="","",Y7-Z7)</f>
        <v/>
      </c>
      <c r="AB7" s="25">
        <f>IF(E7="","",IF(H7="Onsite",IFERROR(INDEX(tbl_Onsite[Qwilr Quote],MATCH(E7&amp;"",tbl_Onsite[Job Number],0)),""),IF(H7="Production",IFERROR(INDEX(tbl_Production[Current RMS No],MATCH(E7&amp;"",tbl_Production[Job Number],0)),""),IF(H7="Consulting",IFERROR(INDEX(tbl_Consulting[Qwilr Quote],MATCH(E7&amp;"",tbl_Consulting[Job Number],0)),""),""))))</f>
        <v/>
      </c>
      <c r="AC7" s="25">
        <f>IF(AB7="","",IF(AND(LEFT(AB7,4)&lt;&gt;"http",IF(H7="Production",set_RMSBase,set_QwilrBase)=""),"",HYPERLINK(IF(LEFT(AB7,4)="http",AB7,IF(H7="Production",set_RMSBase,set_QwilrBase)&amp;AB7),"Open")))</f>
        <v/>
      </c>
      <c r="AD7" s="27">
        <f>IF(E7="","",IF(H7="Production",IFERROR(INDEX(tbl_Production[Total Expense],MATCH(E7&amp;"",tbl_Production[Job Number],0)),0),IF(H7="Consulting",IFERROR(INDEX(tbl_Consulting[Total Expense],MATCH(E7&amp;"",tbl_Consulting[Job Number],0)),0),0)))</f>
        <v/>
      </c>
      <c r="AE7" s="27">
        <f>IF(E7="","",Y7-N(AD7))</f>
        <v/>
      </c>
      <c r="AF7" s="29">
        <f>IFERROR(AE7/Y7,"")</f>
        <v/>
      </c>
      <c r="AG7" s="25">
        <f>IF(E7="","",IF(H7="Onsite",IFERROR(INDEX(tbl_Onsite[Notes],MATCH(E7&amp;"",tbl_Onsite[Job Number],0)),""),IF(H7="Production",IFERROR(INDEX(tbl_Production[Notes],MATCH(E7&amp;"",tbl_Production[Job Number],0)),""),IF(H7="Consulting",IFERROR(INDEX(tbl_Consulting[Notes],MATCH(E7&amp;"",tbl_Consulting[Job Number],0)),""),""))))</f>
        <v/>
      </c>
    </row>
    <row r="8" ht="15" customHeight="1">
      <c r="A8" s="22" t="n">
        <v>46234</v>
      </c>
      <c r="B8" s="23">
        <f>IF(A8="","",EOMONTH(A8,0))</f>
        <v/>
      </c>
      <c r="C8" s="24" t="inlineStr">
        <is>
          <t>INV-10528</t>
        </is>
      </c>
      <c r="D8" s="24" t="inlineStr">
        <is>
          <t>DTTL</t>
        </is>
      </c>
      <c r="E8" s="24" t="inlineStr">
        <is>
          <t>2846/1401/725/1400/1530/1862/2402/2849/974</t>
        </is>
      </c>
      <c r="F8" s="25">
        <f>IF(E8="","",IF(COUNTIF(lst_Jobs,E8&amp;"")&gt;0,"OK","CHECK"))</f>
        <v/>
      </c>
      <c r="G8" s="24" t="inlineStr">
        <is>
          <t>DTTL Contract July 2026</t>
        </is>
      </c>
      <c r="H8" s="24" t="inlineStr">
        <is>
          <t>Onsite</t>
        </is>
      </c>
      <c r="I8" s="24" t="inlineStr">
        <is>
          <t>ONSITE</t>
        </is>
      </c>
      <c r="J8" s="24" t="inlineStr">
        <is>
          <t>Contract</t>
        </is>
      </c>
      <c r="K8" s="24" t="inlineStr">
        <is>
          <t>GST 10%</t>
        </is>
      </c>
      <c r="L8" s="26" t="n">
        <v>103625.44</v>
      </c>
      <c r="M8" s="27">
        <f>IF(L8="","",IF(K8="GST 10%",ROUND(L8*set_GSTRate,2),0))</f>
        <v/>
      </c>
      <c r="N8" s="27">
        <f>IF(L8="","",L8+M8)</f>
        <v/>
      </c>
      <c r="O8" s="24" t="inlineStr">
        <is>
          <t>41100</t>
        </is>
      </c>
      <c r="P8" s="24" t="inlineStr">
        <is>
          <t>Y</t>
        </is>
      </c>
      <c r="Q8" s="24" t="inlineStr">
        <is>
          <t>N</t>
        </is>
      </c>
      <c r="R8" s="22" t="n"/>
      <c r="S8" s="22" t="n"/>
      <c r="T8" s="24" t="inlineStr">
        <is>
          <t>Invoiced</t>
        </is>
      </c>
      <c r="U8" s="24" t="n"/>
      <c r="V8" s="25">
        <f>IF(COUNTA(A8,D8,C8,L8)=0,"",IF(A8="","No date - sits outside every month",IF(E8="","No job number",IF(F8="CHECK","Job number is not in the Xero job list",IF(I8="","No cost centre",IF(AND(P8="Y",C8=""),"Marked posted to Xero but has no invoice number",IF(AND(L8&lt;&gt;"",K8=""),"No tax code",IF(AND(L8&lt;&gt;"",O8=""),"No revenue GL code",""))))))))</f>
        <v/>
      </c>
      <c r="W8" s="25">
        <f>IF(E8="","",IFERROR(INDEX(lst_JobName,MATCH(E8&amp;"",lst_Jobs,0)),""))</f>
        <v/>
      </c>
      <c r="X8" s="28">
        <f>IF(E8="","",COUNTIFS(tbl_Finance[Job Number],E8&amp;"",tbl_Finance[Ex GST],"&lt;&gt;"))</f>
        <v/>
      </c>
      <c r="Y8" s="27">
        <f>IF(E8="","",SUMIFS(tbl_Finance[Ex GST],tbl_Finance[Job Number],E8&amp;""))</f>
        <v/>
      </c>
      <c r="Z8" s="27">
        <f>IF(E8="","",SUMIFS(tbl_Finance[Ex GST],tbl_Finance[Job Number],E8&amp;"",tbl_Finance[Xero Invoice No],"&lt;&gt;"))</f>
        <v/>
      </c>
      <c r="AA8" s="27">
        <f>IF(E8="","",Y8-Z8)</f>
        <v/>
      </c>
      <c r="AB8" s="25">
        <f>IF(E8="","",IF(H8="Onsite",IFERROR(INDEX(tbl_Onsite[Qwilr Quote],MATCH(E8&amp;"",tbl_Onsite[Job Number],0)),""),IF(H8="Production",IFERROR(INDEX(tbl_Production[Current RMS No],MATCH(E8&amp;"",tbl_Production[Job Number],0)),""),IF(H8="Consulting",IFERROR(INDEX(tbl_Consulting[Qwilr Quote],MATCH(E8&amp;"",tbl_Consulting[Job Number],0)),""),""))))</f>
        <v/>
      </c>
      <c r="AC8" s="25">
        <f>IF(AB8="","",IF(AND(LEFT(AB8,4)&lt;&gt;"http",IF(H8="Production",set_RMSBase,set_QwilrBase)=""),"",HYPERLINK(IF(LEFT(AB8,4)="http",AB8,IF(H8="Production",set_RMSBase,set_QwilrBase)&amp;AB8),"Open")))</f>
        <v/>
      </c>
      <c r="AD8" s="27">
        <f>IF(E8="","",IF(H8="Production",IFERROR(INDEX(tbl_Production[Total Expense],MATCH(E8&amp;"",tbl_Production[Job Number],0)),0),IF(H8="Consulting",IFERROR(INDEX(tbl_Consulting[Total Expense],MATCH(E8&amp;"",tbl_Consulting[Job Number],0)),0),0)))</f>
        <v/>
      </c>
      <c r="AE8" s="27">
        <f>IF(E8="","",Y8-N(AD8))</f>
        <v/>
      </c>
      <c r="AF8" s="29">
        <f>IFERROR(AE8/Y8,"")</f>
        <v/>
      </c>
      <c r="AG8" s="25">
        <f>IF(E8="","",IF(H8="Onsite",IFERROR(INDEX(tbl_Onsite[Notes],MATCH(E8&amp;"",tbl_Onsite[Job Number],0)),""),IF(H8="Production",IFERROR(INDEX(tbl_Production[Notes],MATCH(E8&amp;"",tbl_Production[Job Number],0)),""),IF(H8="Consulting",IFERROR(INDEX(tbl_Consulting[Notes],MATCH(E8&amp;"",tbl_Consulting[Job Number],0)),""),""))))</f>
        <v/>
      </c>
    </row>
    <row r="9" ht="15" customHeight="1">
      <c r="A9" s="22" t="n">
        <v>46234</v>
      </c>
      <c r="B9" s="23">
        <f>IF(A9="","",EOMONTH(A9,0))</f>
        <v/>
      </c>
      <c r="C9" s="24" t="inlineStr">
        <is>
          <t>INV-10529</t>
        </is>
      </c>
      <c r="D9" s="24" t="inlineStr">
        <is>
          <t>BW</t>
        </is>
      </c>
      <c r="E9" s="24" t="inlineStr">
        <is>
          <t>732/1144</t>
        </is>
      </c>
      <c r="F9" s="25">
        <f>IF(E9="","",IF(COUNTIF(lst_Jobs,E9&amp;"")&gt;0,"OK","CHECK"))</f>
        <v/>
      </c>
      <c r="G9" s="24" t="inlineStr">
        <is>
          <t>BW Contract July 2026</t>
        </is>
      </c>
      <c r="H9" s="24" t="inlineStr">
        <is>
          <t>Onsite</t>
        </is>
      </c>
      <c r="I9" s="24" t="inlineStr">
        <is>
          <t>ONSITE</t>
        </is>
      </c>
      <c r="J9" s="24" t="inlineStr">
        <is>
          <t>Contract</t>
        </is>
      </c>
      <c r="K9" s="24" t="inlineStr">
        <is>
          <t>GST 10%</t>
        </is>
      </c>
      <c r="L9" s="26" t="n">
        <v>19427.5</v>
      </c>
      <c r="M9" s="27">
        <f>IF(L9="","",IF(K9="GST 10%",ROUND(L9*set_GSTRate,2),0))</f>
        <v/>
      </c>
      <c r="N9" s="27">
        <f>IF(L9="","",L9+M9)</f>
        <v/>
      </c>
      <c r="O9" s="24" t="inlineStr">
        <is>
          <t>41100</t>
        </is>
      </c>
      <c r="P9" s="24" t="inlineStr">
        <is>
          <t>Y</t>
        </is>
      </c>
      <c r="Q9" s="24" t="inlineStr">
        <is>
          <t>N</t>
        </is>
      </c>
      <c r="R9" s="22" t="n"/>
      <c r="S9" s="22" t="n"/>
      <c r="T9" s="24" t="inlineStr">
        <is>
          <t>Invoiced</t>
        </is>
      </c>
      <c r="U9" s="24" t="n"/>
      <c r="V9" s="25">
        <f>IF(COUNTA(A9,D9,C9,L9)=0,"",IF(A9="","No date - sits outside every month",IF(E9="","No job number",IF(F9="CHECK","Job number is not in the Xero job list",IF(I9="","No cost centre",IF(AND(P9="Y",C9=""),"Marked posted to Xero but has no invoice number",IF(AND(L9&lt;&gt;"",K9=""),"No tax code",IF(AND(L9&lt;&gt;"",O9=""),"No revenue GL code",""))))))))</f>
        <v/>
      </c>
      <c r="W9" s="25">
        <f>IF(E9="","",IFERROR(INDEX(lst_JobName,MATCH(E9&amp;"",lst_Jobs,0)),""))</f>
        <v/>
      </c>
      <c r="X9" s="28">
        <f>IF(E9="","",COUNTIFS(tbl_Finance[Job Number],E9&amp;"",tbl_Finance[Ex GST],"&lt;&gt;"))</f>
        <v/>
      </c>
      <c r="Y9" s="27">
        <f>IF(E9="","",SUMIFS(tbl_Finance[Ex GST],tbl_Finance[Job Number],E9&amp;""))</f>
        <v/>
      </c>
      <c r="Z9" s="27">
        <f>IF(E9="","",SUMIFS(tbl_Finance[Ex GST],tbl_Finance[Job Number],E9&amp;"",tbl_Finance[Xero Invoice No],"&lt;&gt;"))</f>
        <v/>
      </c>
      <c r="AA9" s="27">
        <f>IF(E9="","",Y9-Z9)</f>
        <v/>
      </c>
      <c r="AB9" s="25">
        <f>IF(E9="","",IF(H9="Onsite",IFERROR(INDEX(tbl_Onsite[Qwilr Quote],MATCH(E9&amp;"",tbl_Onsite[Job Number],0)),""),IF(H9="Production",IFERROR(INDEX(tbl_Production[Current RMS No],MATCH(E9&amp;"",tbl_Production[Job Number],0)),""),IF(H9="Consulting",IFERROR(INDEX(tbl_Consulting[Qwilr Quote],MATCH(E9&amp;"",tbl_Consulting[Job Number],0)),""),""))))</f>
        <v/>
      </c>
      <c r="AC9" s="25">
        <f>IF(AB9="","",IF(AND(LEFT(AB9,4)&lt;&gt;"http",IF(H9="Production",set_RMSBase,set_QwilrBase)=""),"",HYPERLINK(IF(LEFT(AB9,4)="http",AB9,IF(H9="Production",set_RMSBase,set_QwilrBase)&amp;AB9),"Open")))</f>
        <v/>
      </c>
      <c r="AD9" s="27">
        <f>IF(E9="","",IF(H9="Production",IFERROR(INDEX(tbl_Production[Total Expense],MATCH(E9&amp;"",tbl_Production[Job Number],0)),0),IF(H9="Consulting",IFERROR(INDEX(tbl_Consulting[Total Expense],MATCH(E9&amp;"",tbl_Consulting[Job Number],0)),0),0)))</f>
        <v/>
      </c>
      <c r="AE9" s="27">
        <f>IF(E9="","",Y9-N(AD9))</f>
        <v/>
      </c>
      <c r="AF9" s="29">
        <f>IFERROR(AE9/Y9,"")</f>
        <v/>
      </c>
      <c r="AG9" s="25">
        <f>IF(E9="","",IF(H9="Onsite",IFERROR(INDEX(tbl_Onsite[Notes],MATCH(E9&amp;"",tbl_Onsite[Job Number],0)),""),IF(H9="Production",IFERROR(INDEX(tbl_Production[Notes],MATCH(E9&amp;"",tbl_Production[Job Number],0)),""),IF(H9="Consulting",IFERROR(INDEX(tbl_Consulting[Notes],MATCH(E9&amp;"",tbl_Consulting[Job Number],0)),""),""))))</f>
        <v/>
      </c>
    </row>
    <row r="10" ht="15" customHeight="1">
      <c r="A10" s="22" t="n">
        <v>46234</v>
      </c>
      <c r="B10" s="23">
        <f>IF(A10="","",EOMONTH(A10,0))</f>
        <v/>
      </c>
      <c r="C10" s="24" t="inlineStr">
        <is>
          <t>INV-10530</t>
        </is>
      </c>
      <c r="D10" s="24" t="inlineStr">
        <is>
          <t>BW</t>
        </is>
      </c>
      <c r="E10" s="24" t="inlineStr">
        <is>
          <t>2192</t>
        </is>
      </c>
      <c r="F10" s="25">
        <f>IF(E10="","",IF(COUNTIF(lst_Jobs,E10&amp;"")&gt;0,"OK","CHECK"))</f>
        <v/>
      </c>
      <c r="G10" s="24" t="inlineStr">
        <is>
          <t>BW Additionals July 2026</t>
        </is>
      </c>
      <c r="H10" s="24" t="inlineStr">
        <is>
          <t>Onsite</t>
        </is>
      </c>
      <c r="I10" s="24" t="inlineStr">
        <is>
          <t>ONSITE</t>
        </is>
      </c>
      <c r="J10" s="24" t="inlineStr">
        <is>
          <t>Contract</t>
        </is>
      </c>
      <c r="K10" s="24" t="inlineStr">
        <is>
          <t>GST 10%</t>
        </is>
      </c>
      <c r="L10" s="26" t="n">
        <v>1120</v>
      </c>
      <c r="M10" s="27">
        <f>IF(L10="","",IF(K10="GST 10%",ROUND(L10*set_GSTRate,2),0))</f>
        <v/>
      </c>
      <c r="N10" s="27">
        <f>IF(L10="","",L10+M10)</f>
        <v/>
      </c>
      <c r="O10" s="24" t="inlineStr">
        <is>
          <t>41100</t>
        </is>
      </c>
      <c r="P10" s="24" t="inlineStr">
        <is>
          <t>Y</t>
        </is>
      </c>
      <c r="Q10" s="24" t="inlineStr">
        <is>
          <t>N</t>
        </is>
      </c>
      <c r="R10" s="22" t="n"/>
      <c r="S10" s="22" t="n"/>
      <c r="T10" s="24" t="inlineStr">
        <is>
          <t>Invoiced</t>
        </is>
      </c>
      <c r="U10" s="24" t="n"/>
      <c r="V10" s="25">
        <f>IF(COUNTA(A10,D10,C10,L10)=0,"",IF(A10="","No date - sits outside every month",IF(E10="","No job number",IF(F10="CHECK","Job number is not in the Xero job list",IF(I10="","No cost centre",IF(AND(P10="Y",C10=""),"Marked posted to Xero but has no invoice number",IF(AND(L10&lt;&gt;"",K10=""),"No tax code",IF(AND(L10&lt;&gt;"",O10=""),"No revenue GL code",""))))))))</f>
        <v/>
      </c>
      <c r="W10" s="25">
        <f>IF(E10="","",IFERROR(INDEX(lst_JobName,MATCH(E10&amp;"",lst_Jobs,0)),""))</f>
        <v/>
      </c>
      <c r="X10" s="28">
        <f>IF(E10="","",COUNTIFS(tbl_Finance[Job Number],E10&amp;"",tbl_Finance[Ex GST],"&lt;&gt;"))</f>
        <v/>
      </c>
      <c r="Y10" s="27">
        <f>IF(E10="","",SUMIFS(tbl_Finance[Ex GST],tbl_Finance[Job Number],E10&amp;""))</f>
        <v/>
      </c>
      <c r="Z10" s="27">
        <f>IF(E10="","",SUMIFS(tbl_Finance[Ex GST],tbl_Finance[Job Number],E10&amp;"",tbl_Finance[Xero Invoice No],"&lt;&gt;"))</f>
        <v/>
      </c>
      <c r="AA10" s="27">
        <f>IF(E10="","",Y10-Z10)</f>
        <v/>
      </c>
      <c r="AB10" s="25">
        <f>IF(E10="","",IF(H10="Onsite",IFERROR(INDEX(tbl_Onsite[Qwilr Quote],MATCH(E10&amp;"",tbl_Onsite[Job Number],0)),""),IF(H10="Production",IFERROR(INDEX(tbl_Production[Current RMS No],MATCH(E10&amp;"",tbl_Production[Job Number],0)),""),IF(H10="Consulting",IFERROR(INDEX(tbl_Consulting[Qwilr Quote],MATCH(E10&amp;"",tbl_Consulting[Job Number],0)),""),""))))</f>
        <v/>
      </c>
      <c r="AC10" s="25">
        <f>IF(AB10="","",IF(AND(LEFT(AB10,4)&lt;&gt;"http",IF(H10="Production",set_RMSBase,set_QwilrBase)=""),"",HYPERLINK(IF(LEFT(AB10,4)="http",AB10,IF(H10="Production",set_RMSBase,set_QwilrBase)&amp;AB10),"Open")))</f>
        <v/>
      </c>
      <c r="AD10" s="27">
        <f>IF(E10="","",IF(H10="Production",IFERROR(INDEX(tbl_Production[Total Expense],MATCH(E10&amp;"",tbl_Production[Job Number],0)),0),IF(H10="Consulting",IFERROR(INDEX(tbl_Consulting[Total Expense],MATCH(E10&amp;"",tbl_Consulting[Job Number],0)),0),0)))</f>
        <v/>
      </c>
      <c r="AE10" s="27">
        <f>IF(E10="","",Y10-N(AD10))</f>
        <v/>
      </c>
      <c r="AF10" s="29">
        <f>IFERROR(AE10/Y10,"")</f>
        <v/>
      </c>
      <c r="AG10" s="25">
        <f>IF(E10="","",IF(H10="Onsite",IFERROR(INDEX(tbl_Onsite[Notes],MATCH(E10&amp;"",tbl_Onsite[Job Number],0)),""),IF(H10="Production",IFERROR(INDEX(tbl_Production[Notes],MATCH(E10&amp;"",tbl_Production[Job Number],0)),""),IF(H10="Consulting",IFERROR(INDEX(tbl_Consulting[Notes],MATCH(E10&amp;"",tbl_Consulting[Job Number],0)),""),""))))</f>
        <v/>
      </c>
    </row>
    <row r="11" ht="15" customHeight="1">
      <c r="A11" s="22" t="n">
        <v>46234</v>
      </c>
      <c r="B11" s="23">
        <f>IF(A11="","",EOMONTH(A11,0))</f>
        <v/>
      </c>
      <c r="C11" s="24" t="inlineStr">
        <is>
          <t>INV-10531</t>
        </is>
      </c>
      <c r="D11" s="24" t="inlineStr">
        <is>
          <t>PWC</t>
        </is>
      </c>
      <c r="E11" s="24" t="inlineStr">
        <is>
          <t>2488</t>
        </is>
      </c>
      <c r="F11" s="25">
        <f>IF(E11="","",IF(COUNTIF(lst_Jobs,E11&amp;"")&gt;0,"OK","CHECK"))</f>
        <v/>
      </c>
      <c r="G11" s="24" t="inlineStr">
        <is>
          <t>PWC Brisbane July 2026</t>
        </is>
      </c>
      <c r="H11" s="24" t="inlineStr">
        <is>
          <t>Onsite</t>
        </is>
      </c>
      <c r="I11" s="24" t="inlineStr">
        <is>
          <t>ONSITE</t>
        </is>
      </c>
      <c r="J11" s="24" t="inlineStr">
        <is>
          <t>Contract</t>
        </is>
      </c>
      <c r="K11" s="24" t="inlineStr">
        <is>
          <t>GST 10%</t>
        </is>
      </c>
      <c r="L11" s="26" t="n">
        <v>7150</v>
      </c>
      <c r="M11" s="27">
        <f>IF(L11="","",IF(K11="GST 10%",ROUND(L11*set_GSTRate,2),0))</f>
        <v/>
      </c>
      <c r="N11" s="27">
        <f>IF(L11="","",L11+M11)</f>
        <v/>
      </c>
      <c r="O11" s="24" t="inlineStr">
        <is>
          <t>41100</t>
        </is>
      </c>
      <c r="P11" s="24" t="inlineStr">
        <is>
          <t>Y</t>
        </is>
      </c>
      <c r="Q11" s="24" t="inlineStr">
        <is>
          <t>N</t>
        </is>
      </c>
      <c r="R11" s="22" t="n"/>
      <c r="S11" s="22" t="n"/>
      <c r="T11" s="24" t="inlineStr">
        <is>
          <t>Invoiced</t>
        </is>
      </c>
      <c r="U11" s="24" t="n"/>
      <c r="V11" s="25">
        <f>IF(COUNTA(A11,D11,C11,L11)=0,"",IF(A11="","No date - sits outside every month",IF(E11="","No job number",IF(F11="CHECK","Job number is not in the Xero job list",IF(I11="","No cost centre",IF(AND(P11="Y",C11=""),"Marked posted to Xero but has no invoice number",IF(AND(L11&lt;&gt;"",K11=""),"No tax code",IF(AND(L11&lt;&gt;"",O11=""),"No revenue GL code",""))))))))</f>
        <v/>
      </c>
      <c r="W11" s="25">
        <f>IF(E11="","",IFERROR(INDEX(lst_JobName,MATCH(E11&amp;"",lst_Jobs,0)),""))</f>
        <v/>
      </c>
      <c r="X11" s="28">
        <f>IF(E11="","",COUNTIFS(tbl_Finance[Job Number],E11&amp;"",tbl_Finance[Ex GST],"&lt;&gt;"))</f>
        <v/>
      </c>
      <c r="Y11" s="27">
        <f>IF(E11="","",SUMIFS(tbl_Finance[Ex GST],tbl_Finance[Job Number],E11&amp;""))</f>
        <v/>
      </c>
      <c r="Z11" s="27">
        <f>IF(E11="","",SUMIFS(tbl_Finance[Ex GST],tbl_Finance[Job Number],E11&amp;"",tbl_Finance[Xero Invoice No],"&lt;&gt;"))</f>
        <v/>
      </c>
      <c r="AA11" s="27">
        <f>IF(E11="","",Y11-Z11)</f>
        <v/>
      </c>
      <c r="AB11" s="25">
        <f>IF(E11="","",IF(H11="Onsite",IFERROR(INDEX(tbl_Onsite[Qwilr Quote],MATCH(E11&amp;"",tbl_Onsite[Job Number],0)),""),IF(H11="Production",IFERROR(INDEX(tbl_Production[Current RMS No],MATCH(E11&amp;"",tbl_Production[Job Number],0)),""),IF(H11="Consulting",IFERROR(INDEX(tbl_Consulting[Qwilr Quote],MATCH(E11&amp;"",tbl_Consulting[Job Number],0)),""),""))))</f>
        <v/>
      </c>
      <c r="AC11" s="25">
        <f>IF(AB11="","",IF(AND(LEFT(AB11,4)&lt;&gt;"http",IF(H11="Production",set_RMSBase,set_QwilrBase)=""),"",HYPERLINK(IF(LEFT(AB11,4)="http",AB11,IF(H11="Production",set_RMSBase,set_QwilrBase)&amp;AB11),"Open")))</f>
        <v/>
      </c>
      <c r="AD11" s="27">
        <f>IF(E11="","",IF(H11="Production",IFERROR(INDEX(tbl_Production[Total Expense],MATCH(E11&amp;"",tbl_Production[Job Number],0)),0),IF(H11="Consulting",IFERROR(INDEX(tbl_Consulting[Total Expense],MATCH(E11&amp;"",tbl_Consulting[Job Number],0)),0),0)))</f>
        <v/>
      </c>
      <c r="AE11" s="27">
        <f>IF(E11="","",Y11-N(AD11))</f>
        <v/>
      </c>
      <c r="AF11" s="29">
        <f>IFERROR(AE11/Y11,"")</f>
        <v/>
      </c>
      <c r="AG11" s="25">
        <f>IF(E11="","",IF(H11="Onsite",IFERROR(INDEX(tbl_Onsite[Notes],MATCH(E11&amp;"",tbl_Onsite[Job Number],0)),""),IF(H11="Production",IFERROR(INDEX(tbl_Production[Notes],MATCH(E11&amp;"",tbl_Production[Job Number],0)),""),IF(H11="Consulting",IFERROR(INDEX(tbl_Consulting[Notes],MATCH(E11&amp;"",tbl_Consulting[Job Number],0)),""),""))))</f>
        <v/>
      </c>
    </row>
    <row r="12" ht="15" customHeight="1">
      <c r="A12" s="22" t="n">
        <v>46234</v>
      </c>
      <c r="B12" s="23">
        <f>IF(A12="","",EOMONTH(A12,0))</f>
        <v/>
      </c>
      <c r="C12" s="24" t="inlineStr">
        <is>
          <t>INV-10532</t>
        </is>
      </c>
      <c r="D12" s="24" t="inlineStr">
        <is>
          <t>Gen-E</t>
        </is>
      </c>
      <c r="E12" s="24" t="inlineStr">
        <is>
          <t>26021602</t>
        </is>
      </c>
      <c r="F12" s="25">
        <f>IF(E12="","",IF(COUNTIF(lst_Jobs,E12&amp;"")&gt;0,"OK","CHECK"))</f>
        <v/>
      </c>
      <c r="G12" s="24" t="inlineStr">
        <is>
          <t>Gen-E ABS July 2026</t>
        </is>
      </c>
      <c r="H12" s="24" t="inlineStr">
        <is>
          <t>Onsite</t>
        </is>
      </c>
      <c r="I12" s="24" t="inlineStr">
        <is>
          <t>ONSITE</t>
        </is>
      </c>
      <c r="J12" s="24" t="inlineStr">
        <is>
          <t>Contract</t>
        </is>
      </c>
      <c r="K12" s="24" t="inlineStr">
        <is>
          <t>GST 10%</t>
        </is>
      </c>
      <c r="L12" s="26" t="n">
        <v>12388.8</v>
      </c>
      <c r="M12" s="27">
        <f>IF(L12="","",IF(K12="GST 10%",ROUND(L12*set_GSTRate,2),0))</f>
        <v/>
      </c>
      <c r="N12" s="27">
        <f>IF(L12="","",L12+M12)</f>
        <v/>
      </c>
      <c r="O12" s="24" t="inlineStr">
        <is>
          <t>41100</t>
        </is>
      </c>
      <c r="P12" s="24" t="inlineStr">
        <is>
          <t>Y</t>
        </is>
      </c>
      <c r="Q12" s="24" t="inlineStr">
        <is>
          <t>N</t>
        </is>
      </c>
      <c r="R12" s="22" t="n"/>
      <c r="S12" s="22" t="n"/>
      <c r="T12" s="24" t="inlineStr">
        <is>
          <t>Invoiced</t>
        </is>
      </c>
      <c r="U12" s="24" t="n"/>
      <c r="V12" s="25">
        <f>IF(COUNTA(A12,D12,C12,L12)=0,"",IF(A12="","No date - sits outside every month",IF(E12="","No job number",IF(F12="CHECK","Job number is not in the Xero job list",IF(I12="","No cost centre",IF(AND(P12="Y",C12=""),"Marked posted to Xero but has no invoice number",IF(AND(L12&lt;&gt;"",K12=""),"No tax code",IF(AND(L12&lt;&gt;"",O12=""),"No revenue GL code",""))))))))</f>
        <v/>
      </c>
      <c r="W12" s="25">
        <f>IF(E12="","",IFERROR(INDEX(lst_JobName,MATCH(E12&amp;"",lst_Jobs,0)),""))</f>
        <v/>
      </c>
      <c r="X12" s="28">
        <f>IF(E12="","",COUNTIFS(tbl_Finance[Job Number],E12&amp;"",tbl_Finance[Ex GST],"&lt;&gt;"))</f>
        <v/>
      </c>
      <c r="Y12" s="27">
        <f>IF(E12="","",SUMIFS(tbl_Finance[Ex GST],tbl_Finance[Job Number],E12&amp;""))</f>
        <v/>
      </c>
      <c r="Z12" s="27">
        <f>IF(E12="","",SUMIFS(tbl_Finance[Ex GST],tbl_Finance[Job Number],E12&amp;"",tbl_Finance[Xero Invoice No],"&lt;&gt;"))</f>
        <v/>
      </c>
      <c r="AA12" s="27">
        <f>IF(E12="","",Y12-Z12)</f>
        <v/>
      </c>
      <c r="AB12" s="25">
        <f>IF(E12="","",IF(H12="Onsite",IFERROR(INDEX(tbl_Onsite[Qwilr Quote],MATCH(E12&amp;"",tbl_Onsite[Job Number],0)),""),IF(H12="Production",IFERROR(INDEX(tbl_Production[Current RMS No],MATCH(E12&amp;"",tbl_Production[Job Number],0)),""),IF(H12="Consulting",IFERROR(INDEX(tbl_Consulting[Qwilr Quote],MATCH(E12&amp;"",tbl_Consulting[Job Number],0)),""),""))))</f>
        <v/>
      </c>
      <c r="AC12" s="25">
        <f>IF(AB12="","",IF(AND(LEFT(AB12,4)&lt;&gt;"http",IF(H12="Production",set_RMSBase,set_QwilrBase)=""),"",HYPERLINK(IF(LEFT(AB12,4)="http",AB12,IF(H12="Production",set_RMSBase,set_QwilrBase)&amp;AB12),"Open")))</f>
        <v/>
      </c>
      <c r="AD12" s="27">
        <f>IF(E12="","",IF(H12="Production",IFERROR(INDEX(tbl_Production[Total Expense],MATCH(E12&amp;"",tbl_Production[Job Number],0)),0),IF(H12="Consulting",IFERROR(INDEX(tbl_Consulting[Total Expense],MATCH(E12&amp;"",tbl_Consulting[Job Number],0)),0),0)))</f>
        <v/>
      </c>
      <c r="AE12" s="27">
        <f>IF(E12="","",Y12-N(AD12))</f>
        <v/>
      </c>
      <c r="AF12" s="29">
        <f>IFERROR(AE12/Y12,"")</f>
        <v/>
      </c>
      <c r="AG12" s="25">
        <f>IF(E12="","",IF(H12="Onsite",IFERROR(INDEX(tbl_Onsite[Notes],MATCH(E12&amp;"",tbl_Onsite[Job Number],0)),""),IF(H12="Production",IFERROR(INDEX(tbl_Production[Notes],MATCH(E12&amp;"",tbl_Production[Job Number],0)),""),IF(H12="Consulting",IFERROR(INDEX(tbl_Consulting[Notes],MATCH(E12&amp;"",tbl_Consulting[Job Number],0)),""),""))))</f>
        <v/>
      </c>
    </row>
    <row r="13" ht="15" customHeight="1">
      <c r="A13" s="22" t="n">
        <v>46234</v>
      </c>
      <c r="B13" s="23">
        <f>IF(A13="","",EOMONTH(A13,0))</f>
        <v/>
      </c>
      <c r="C13" s="24" t="inlineStr">
        <is>
          <t>INV-10534</t>
        </is>
      </c>
      <c r="D13" s="24" t="inlineStr">
        <is>
          <t>CBA</t>
        </is>
      </c>
      <c r="E13" s="24" t="inlineStr">
        <is>
          <t>26043001</t>
        </is>
      </c>
      <c r="F13" s="25">
        <f>IF(E13="","",IF(COUNTIF(lst_Jobs,E13&amp;"")&gt;0,"OK","CHECK"))</f>
        <v/>
      </c>
      <c r="G13" s="24" t="inlineStr">
        <is>
          <t>CBA Mel July 2026</t>
        </is>
      </c>
      <c r="H13" s="24" t="inlineStr">
        <is>
          <t>Onsite</t>
        </is>
      </c>
      <c r="I13" s="24" t="inlineStr">
        <is>
          <t>ONSITE</t>
        </is>
      </c>
      <c r="J13" s="24" t="inlineStr">
        <is>
          <t>Contract</t>
        </is>
      </c>
      <c r="K13" s="24" t="inlineStr">
        <is>
          <t>GST 10%</t>
        </is>
      </c>
      <c r="L13" s="26" t="n">
        <v>11377.12</v>
      </c>
      <c r="M13" s="27">
        <f>IF(L13="","",IF(K13="GST 10%",ROUND(L13*set_GSTRate,2),0))</f>
        <v/>
      </c>
      <c r="N13" s="27">
        <f>IF(L13="","",L13+M13)</f>
        <v/>
      </c>
      <c r="O13" s="24" t="inlineStr">
        <is>
          <t>41100</t>
        </is>
      </c>
      <c r="P13" s="24" t="inlineStr">
        <is>
          <t>Y</t>
        </is>
      </c>
      <c r="Q13" s="24" t="inlineStr">
        <is>
          <t>N</t>
        </is>
      </c>
      <c r="R13" s="22" t="n"/>
      <c r="S13" s="22" t="n"/>
      <c r="T13" s="24" t="inlineStr">
        <is>
          <t>Invoiced</t>
        </is>
      </c>
      <c r="U13" s="24" t="inlineStr">
        <is>
          <t>Deduct 8hrs CN for 03/07</t>
        </is>
      </c>
      <c r="V13" s="25">
        <f>IF(COUNTA(A13,D13,C13,L13)=0,"",IF(A13="","No date - sits outside every month",IF(E13="","No job number",IF(F13="CHECK","Job number is not in the Xero job list",IF(I13="","No cost centre",IF(AND(P13="Y",C13=""),"Marked posted to Xero but has no invoice number",IF(AND(L13&lt;&gt;"",K13=""),"No tax code",IF(AND(L13&lt;&gt;"",O13=""),"No revenue GL code",""))))))))</f>
        <v/>
      </c>
      <c r="W13" s="25">
        <f>IF(E13="","",IFERROR(INDEX(lst_JobName,MATCH(E13&amp;"",lst_Jobs,0)),""))</f>
        <v/>
      </c>
      <c r="X13" s="28">
        <f>IF(E13="","",COUNTIFS(tbl_Finance[Job Number],E13&amp;"",tbl_Finance[Ex GST],"&lt;&gt;"))</f>
        <v/>
      </c>
      <c r="Y13" s="27">
        <f>IF(E13="","",SUMIFS(tbl_Finance[Ex GST],tbl_Finance[Job Number],E13&amp;""))</f>
        <v/>
      </c>
      <c r="Z13" s="27">
        <f>IF(E13="","",SUMIFS(tbl_Finance[Ex GST],tbl_Finance[Job Number],E13&amp;"",tbl_Finance[Xero Invoice No],"&lt;&gt;"))</f>
        <v/>
      </c>
      <c r="AA13" s="27">
        <f>IF(E13="","",Y13-Z13)</f>
        <v/>
      </c>
      <c r="AB13" s="25">
        <f>IF(E13="","",IF(H13="Onsite",IFERROR(INDEX(tbl_Onsite[Qwilr Quote],MATCH(E13&amp;"",tbl_Onsite[Job Number],0)),""),IF(H13="Production",IFERROR(INDEX(tbl_Production[Current RMS No],MATCH(E13&amp;"",tbl_Production[Job Number],0)),""),IF(H13="Consulting",IFERROR(INDEX(tbl_Consulting[Qwilr Quote],MATCH(E13&amp;"",tbl_Consulting[Job Number],0)),""),""))))</f>
        <v/>
      </c>
      <c r="AC13" s="25">
        <f>IF(AB13="","",IF(AND(LEFT(AB13,4)&lt;&gt;"http",IF(H13="Production",set_RMSBase,set_QwilrBase)=""),"",HYPERLINK(IF(LEFT(AB13,4)="http",AB13,IF(H13="Production",set_RMSBase,set_QwilrBase)&amp;AB13),"Open")))</f>
        <v/>
      </c>
      <c r="AD13" s="27">
        <f>IF(E13="","",IF(H13="Production",IFERROR(INDEX(tbl_Production[Total Expense],MATCH(E13&amp;"",tbl_Production[Job Number],0)),0),IF(H13="Consulting",IFERROR(INDEX(tbl_Consulting[Total Expense],MATCH(E13&amp;"",tbl_Consulting[Job Number],0)),0),0)))</f>
        <v/>
      </c>
      <c r="AE13" s="27">
        <f>IF(E13="","",Y13-N(AD13))</f>
        <v/>
      </c>
      <c r="AF13" s="29">
        <f>IFERROR(AE13/Y13,"")</f>
        <v/>
      </c>
      <c r="AG13" s="25">
        <f>IF(E13="","",IF(H13="Onsite",IFERROR(INDEX(tbl_Onsite[Notes],MATCH(E13&amp;"",tbl_Onsite[Job Number],0)),""),IF(H13="Production",IFERROR(INDEX(tbl_Production[Notes],MATCH(E13&amp;"",tbl_Production[Job Number],0)),""),IF(H13="Consulting",IFERROR(INDEX(tbl_Consulting[Notes],MATCH(E13&amp;"",tbl_Consulting[Job Number],0)),""),""))))</f>
        <v/>
      </c>
    </row>
    <row r="14" ht="15" customHeight="1">
      <c r="A14" s="22" t="n">
        <v>46234</v>
      </c>
      <c r="B14" s="23">
        <f>IF(A14="","",EOMONTH(A14,0))</f>
        <v/>
      </c>
      <c r="C14" s="24" t="inlineStr">
        <is>
          <t>INV-10535</t>
        </is>
      </c>
      <c r="D14" s="24" t="inlineStr">
        <is>
          <t>PWC</t>
        </is>
      </c>
      <c r="E14" s="24" t="inlineStr">
        <is>
          <t>25101301B</t>
        </is>
      </c>
      <c r="F14" s="25">
        <f>IF(E14="","",IF(COUNTIF(lst_Jobs,E14&amp;"")&gt;0,"OK","CHECK"))</f>
        <v/>
      </c>
      <c r="G14" s="24" t="inlineStr">
        <is>
          <t>PWC Sydney IT July 2026</t>
        </is>
      </c>
      <c r="H14" s="24" t="inlineStr">
        <is>
          <t>Onsite</t>
        </is>
      </c>
      <c r="I14" s="24" t="inlineStr">
        <is>
          <t>ONSITE</t>
        </is>
      </c>
      <c r="J14" s="24" t="inlineStr">
        <is>
          <t>Contract</t>
        </is>
      </c>
      <c r="K14" s="24" t="inlineStr">
        <is>
          <t>GST 10%</t>
        </is>
      </c>
      <c r="L14" s="26" t="n">
        <v>11907</v>
      </c>
      <c r="M14" s="27">
        <f>IF(L14="","",IF(K14="GST 10%",ROUND(L14*set_GSTRate,2),0))</f>
        <v/>
      </c>
      <c r="N14" s="27">
        <f>IF(L14="","",L14+M14)</f>
        <v/>
      </c>
      <c r="O14" s="24" t="inlineStr">
        <is>
          <t>41100</t>
        </is>
      </c>
      <c r="P14" s="24" t="inlineStr">
        <is>
          <t>Y</t>
        </is>
      </c>
      <c r="Q14" s="24" t="inlineStr">
        <is>
          <t>N</t>
        </is>
      </c>
      <c r="R14" s="22" t="n"/>
      <c r="S14" s="22" t="n"/>
      <c r="T14" s="24" t="inlineStr">
        <is>
          <t>Invoiced</t>
        </is>
      </c>
      <c r="U14" s="24" t="n"/>
      <c r="V14" s="25">
        <f>IF(COUNTA(A14,D14,C14,L14)=0,"",IF(A14="","No date - sits outside every month",IF(E14="","No job number",IF(F14="CHECK","Job number is not in the Xero job list",IF(I14="","No cost centre",IF(AND(P14="Y",C14=""),"Marked posted to Xero but has no invoice number",IF(AND(L14&lt;&gt;"",K14=""),"No tax code",IF(AND(L14&lt;&gt;"",O14=""),"No revenue GL code",""))))))))</f>
        <v/>
      </c>
      <c r="W14" s="25">
        <f>IF(E14="","",IFERROR(INDEX(lst_JobName,MATCH(E14&amp;"",lst_Jobs,0)),""))</f>
        <v/>
      </c>
      <c r="X14" s="28">
        <f>IF(E14="","",COUNTIFS(tbl_Finance[Job Number],E14&amp;"",tbl_Finance[Ex GST],"&lt;&gt;"))</f>
        <v/>
      </c>
      <c r="Y14" s="27">
        <f>IF(E14="","",SUMIFS(tbl_Finance[Ex GST],tbl_Finance[Job Number],E14&amp;""))</f>
        <v/>
      </c>
      <c r="Z14" s="27">
        <f>IF(E14="","",SUMIFS(tbl_Finance[Ex GST],tbl_Finance[Job Number],E14&amp;"",tbl_Finance[Xero Invoice No],"&lt;&gt;"))</f>
        <v/>
      </c>
      <c r="AA14" s="27">
        <f>IF(E14="","",Y14-Z14)</f>
        <v/>
      </c>
      <c r="AB14" s="25">
        <f>IF(E14="","",IF(H14="Onsite",IFERROR(INDEX(tbl_Onsite[Qwilr Quote],MATCH(E14&amp;"",tbl_Onsite[Job Number],0)),""),IF(H14="Production",IFERROR(INDEX(tbl_Production[Current RMS No],MATCH(E14&amp;"",tbl_Production[Job Number],0)),""),IF(H14="Consulting",IFERROR(INDEX(tbl_Consulting[Qwilr Quote],MATCH(E14&amp;"",tbl_Consulting[Job Number],0)),""),""))))</f>
        <v/>
      </c>
      <c r="AC14" s="25">
        <f>IF(AB14="","",IF(AND(LEFT(AB14,4)&lt;&gt;"http",IF(H14="Production",set_RMSBase,set_QwilrBase)=""),"",HYPERLINK(IF(LEFT(AB14,4)="http",AB14,IF(H14="Production",set_RMSBase,set_QwilrBase)&amp;AB14),"Open")))</f>
        <v/>
      </c>
      <c r="AD14" s="27">
        <f>IF(E14="","",IF(H14="Production",IFERROR(INDEX(tbl_Production[Total Expense],MATCH(E14&amp;"",tbl_Production[Job Number],0)),0),IF(H14="Consulting",IFERROR(INDEX(tbl_Consulting[Total Expense],MATCH(E14&amp;"",tbl_Consulting[Job Number],0)),0),0)))</f>
        <v/>
      </c>
      <c r="AE14" s="27">
        <f>IF(E14="","",Y14-N(AD14))</f>
        <v/>
      </c>
      <c r="AF14" s="29">
        <f>IFERROR(AE14/Y14,"")</f>
        <v/>
      </c>
      <c r="AG14" s="25">
        <f>IF(E14="","",IF(H14="Onsite",IFERROR(INDEX(tbl_Onsite[Notes],MATCH(E14&amp;"",tbl_Onsite[Job Number],0)),""),IF(H14="Production",IFERROR(INDEX(tbl_Production[Notes],MATCH(E14&amp;"",tbl_Production[Job Number],0)),""),IF(H14="Consulting",IFERROR(INDEX(tbl_Consulting[Notes],MATCH(E14&amp;"",tbl_Consulting[Job Number],0)),""),""))))</f>
        <v/>
      </c>
    </row>
    <row r="15" ht="15" customHeight="1">
      <c r="A15" s="22" t="n">
        <v>46234</v>
      </c>
      <c r="B15" s="23">
        <f>IF(A15="","",EOMONTH(A15,0))</f>
        <v/>
      </c>
      <c r="C15" s="24" t="inlineStr">
        <is>
          <t>INV-10536</t>
        </is>
      </c>
      <c r="D15" s="24" t="inlineStr">
        <is>
          <t>RICOH</t>
        </is>
      </c>
      <c r="E15" s="24" t="inlineStr">
        <is>
          <t>2880</t>
        </is>
      </c>
      <c r="F15" s="25">
        <f>IF(E15="","",IF(COUNTIF(lst_Jobs,E15&amp;"")&gt;0,"OK","CHECK"))</f>
        <v/>
      </c>
      <c r="G15" s="24" t="inlineStr">
        <is>
          <t>Ricoh Contract July 2026</t>
        </is>
      </c>
      <c r="H15" s="24" t="inlineStr">
        <is>
          <t>Onsite</t>
        </is>
      </c>
      <c r="I15" s="24" t="inlineStr">
        <is>
          <t>ONSITE</t>
        </is>
      </c>
      <c r="J15" s="24" t="inlineStr">
        <is>
          <t>Contract</t>
        </is>
      </c>
      <c r="K15" s="24" t="inlineStr">
        <is>
          <t>GST 10%</t>
        </is>
      </c>
      <c r="L15" s="26" t="n">
        <v>11860.5</v>
      </c>
      <c r="M15" s="27">
        <f>IF(L15="","",IF(K15="GST 10%",ROUND(L15*set_GSTRate,2),0))</f>
        <v/>
      </c>
      <c r="N15" s="27">
        <f>IF(L15="","",L15+M15)</f>
        <v/>
      </c>
      <c r="O15" s="24" t="inlineStr">
        <is>
          <t>41100</t>
        </is>
      </c>
      <c r="P15" s="24" t="inlineStr">
        <is>
          <t>Y</t>
        </is>
      </c>
      <c r="Q15" s="24" t="inlineStr">
        <is>
          <t>N</t>
        </is>
      </c>
      <c r="R15" s="22" t="n"/>
      <c r="S15" s="22" t="n"/>
      <c r="T15" s="24" t="inlineStr">
        <is>
          <t>Invoiced</t>
        </is>
      </c>
      <c r="U15" s="24" t="inlineStr">
        <is>
          <t>2 months extension</t>
        </is>
      </c>
      <c r="V15" s="25">
        <f>IF(COUNTA(A15,D15,C15,L15)=0,"",IF(A15="","No date - sits outside every month",IF(E15="","No job number",IF(F15="CHECK","Job number is not in the Xero job list",IF(I15="","No cost centre",IF(AND(P15="Y",C15=""),"Marked posted to Xero but has no invoice number",IF(AND(L15&lt;&gt;"",K15=""),"No tax code",IF(AND(L15&lt;&gt;"",O15=""),"No revenue GL code",""))))))))</f>
        <v/>
      </c>
      <c r="W15" s="25">
        <f>IF(E15="","",IFERROR(INDEX(lst_JobName,MATCH(E15&amp;"",lst_Jobs,0)),""))</f>
        <v/>
      </c>
      <c r="X15" s="28">
        <f>IF(E15="","",COUNTIFS(tbl_Finance[Job Number],E15&amp;"",tbl_Finance[Ex GST],"&lt;&gt;"))</f>
        <v/>
      </c>
      <c r="Y15" s="27">
        <f>IF(E15="","",SUMIFS(tbl_Finance[Ex GST],tbl_Finance[Job Number],E15&amp;""))</f>
        <v/>
      </c>
      <c r="Z15" s="27">
        <f>IF(E15="","",SUMIFS(tbl_Finance[Ex GST],tbl_Finance[Job Number],E15&amp;"",tbl_Finance[Xero Invoice No],"&lt;&gt;"))</f>
        <v/>
      </c>
      <c r="AA15" s="27">
        <f>IF(E15="","",Y15-Z15)</f>
        <v/>
      </c>
      <c r="AB15" s="25">
        <f>IF(E15="","",IF(H15="Onsite",IFERROR(INDEX(tbl_Onsite[Qwilr Quote],MATCH(E15&amp;"",tbl_Onsite[Job Number],0)),""),IF(H15="Production",IFERROR(INDEX(tbl_Production[Current RMS No],MATCH(E15&amp;"",tbl_Production[Job Number],0)),""),IF(H15="Consulting",IFERROR(INDEX(tbl_Consulting[Qwilr Quote],MATCH(E15&amp;"",tbl_Consulting[Job Number],0)),""),""))))</f>
        <v/>
      </c>
      <c r="AC15" s="25">
        <f>IF(AB15="","",IF(AND(LEFT(AB15,4)&lt;&gt;"http",IF(H15="Production",set_RMSBase,set_QwilrBase)=""),"",HYPERLINK(IF(LEFT(AB15,4)="http",AB15,IF(H15="Production",set_RMSBase,set_QwilrBase)&amp;AB15),"Open")))</f>
        <v/>
      </c>
      <c r="AD15" s="27">
        <f>IF(E15="","",IF(H15="Production",IFERROR(INDEX(tbl_Production[Total Expense],MATCH(E15&amp;"",tbl_Production[Job Number],0)),0),IF(H15="Consulting",IFERROR(INDEX(tbl_Consulting[Total Expense],MATCH(E15&amp;"",tbl_Consulting[Job Number],0)),0),0)))</f>
        <v/>
      </c>
      <c r="AE15" s="27">
        <f>IF(E15="","",Y15-N(AD15))</f>
        <v/>
      </c>
      <c r="AF15" s="29">
        <f>IFERROR(AE15/Y15,"")</f>
        <v/>
      </c>
      <c r="AG15" s="25">
        <f>IF(E15="","",IF(H15="Onsite",IFERROR(INDEX(tbl_Onsite[Notes],MATCH(E15&amp;"",tbl_Onsite[Job Number],0)),""),IF(H15="Production",IFERROR(INDEX(tbl_Production[Notes],MATCH(E15&amp;"",tbl_Production[Job Number],0)),""),IF(H15="Consulting",IFERROR(INDEX(tbl_Consulting[Notes],MATCH(E15&amp;"",tbl_Consulting[Job Number],0)),""),""))))</f>
        <v/>
      </c>
    </row>
    <row r="16" ht="15" customHeight="1">
      <c r="A16" s="22" t="n">
        <v>46234</v>
      </c>
      <c r="B16" s="23">
        <f>IF(A16="","",EOMONTH(A16,0))</f>
        <v/>
      </c>
      <c r="C16" s="24" t="inlineStr">
        <is>
          <t>INV-10537</t>
        </is>
      </c>
      <c r="D16" s="24" t="inlineStr">
        <is>
          <t>PWC</t>
        </is>
      </c>
      <c r="E16" s="24" t="n"/>
      <c r="F16" s="25">
        <f>IF(E16="","",IF(COUNTIF(lst_Jobs,E16&amp;"")&gt;0,"OK","CHECK"))</f>
        <v/>
      </c>
      <c r="G16" s="24" t="inlineStr">
        <is>
          <t>PWC Dedicated Tech 29/07/2026</t>
        </is>
      </c>
      <c r="H16" s="24" t="inlineStr">
        <is>
          <t>Onsite</t>
        </is>
      </c>
      <c r="I16" s="24" t="inlineStr">
        <is>
          <t>ONSITE</t>
        </is>
      </c>
      <c r="J16" s="24" t="inlineStr">
        <is>
          <t>Contract</t>
        </is>
      </c>
      <c r="K16" s="24" t="inlineStr">
        <is>
          <t>GST 10%</t>
        </is>
      </c>
      <c r="L16" s="26" t="n">
        <v>340</v>
      </c>
      <c r="M16" s="27">
        <f>IF(L16="","",IF(K16="GST 10%",ROUND(L16*set_GSTRate,2),0))</f>
        <v/>
      </c>
      <c r="N16" s="27">
        <f>IF(L16="","",L16+M16)</f>
        <v/>
      </c>
      <c r="O16" s="24" t="inlineStr">
        <is>
          <t>41100</t>
        </is>
      </c>
      <c r="P16" s="24" t="inlineStr">
        <is>
          <t>Y</t>
        </is>
      </c>
      <c r="Q16" s="24" t="inlineStr">
        <is>
          <t>N</t>
        </is>
      </c>
      <c r="R16" s="22" t="n"/>
      <c r="S16" s="22" t="n"/>
      <c r="T16" s="24" t="inlineStr">
        <is>
          <t>Invoiced</t>
        </is>
      </c>
      <c r="U16" s="24" t="inlineStr">
        <is>
          <t>29/07/2026 4hours</t>
        </is>
      </c>
      <c r="V16" s="25">
        <f>IF(COUNTA(A16,D16,C16,L16)=0,"",IF(A16="","No date - sits outside every month",IF(E16="","No job number",IF(F16="CHECK","Job number is not in the Xero job list",IF(I16="","No cost centre",IF(AND(P16="Y",C16=""),"Marked posted to Xero but has no invoice number",IF(AND(L16&lt;&gt;"",K16=""),"No tax code",IF(AND(L16&lt;&gt;"",O16=""),"No revenue GL code",""))))))))</f>
        <v/>
      </c>
      <c r="W16" s="25">
        <f>IF(E16="","",IFERROR(INDEX(lst_JobName,MATCH(E16&amp;"",lst_Jobs,0)),""))</f>
        <v/>
      </c>
      <c r="X16" s="28">
        <f>IF(E16="","",COUNTIFS(tbl_Finance[Job Number],E16&amp;"",tbl_Finance[Ex GST],"&lt;&gt;"))</f>
        <v/>
      </c>
      <c r="Y16" s="27">
        <f>IF(E16="","",SUMIFS(tbl_Finance[Ex GST],tbl_Finance[Job Number],E16&amp;""))</f>
        <v/>
      </c>
      <c r="Z16" s="27">
        <f>IF(E16="","",SUMIFS(tbl_Finance[Ex GST],tbl_Finance[Job Number],E16&amp;"",tbl_Finance[Xero Invoice No],"&lt;&gt;"))</f>
        <v/>
      </c>
      <c r="AA16" s="27">
        <f>IF(E16="","",Y16-Z16)</f>
        <v/>
      </c>
      <c r="AB16" s="25">
        <f>IF(E16="","",IF(H16="Onsite",IFERROR(INDEX(tbl_Onsite[Qwilr Quote],MATCH(E16&amp;"",tbl_Onsite[Job Number],0)),""),IF(H16="Production",IFERROR(INDEX(tbl_Production[Current RMS No],MATCH(E16&amp;"",tbl_Production[Job Number],0)),""),IF(H16="Consulting",IFERROR(INDEX(tbl_Consulting[Qwilr Quote],MATCH(E16&amp;"",tbl_Consulting[Job Number],0)),""),""))))</f>
        <v/>
      </c>
      <c r="AC16" s="25">
        <f>IF(AB16="","",IF(AND(LEFT(AB16,4)&lt;&gt;"http",IF(H16="Production",set_RMSBase,set_QwilrBase)=""),"",HYPERLINK(IF(LEFT(AB16,4)="http",AB16,IF(H16="Production",set_RMSBase,set_QwilrBase)&amp;AB16),"Open")))</f>
        <v/>
      </c>
      <c r="AD16" s="27">
        <f>IF(E16="","",IF(H16="Production",IFERROR(INDEX(tbl_Production[Total Expense],MATCH(E16&amp;"",tbl_Production[Job Number],0)),0),IF(H16="Consulting",IFERROR(INDEX(tbl_Consulting[Total Expense],MATCH(E16&amp;"",tbl_Consulting[Job Number],0)),0),0)))</f>
        <v/>
      </c>
      <c r="AE16" s="27">
        <f>IF(E16="","",Y16-N(AD16))</f>
        <v/>
      </c>
      <c r="AF16" s="29">
        <f>IFERROR(AE16/Y16,"")</f>
        <v/>
      </c>
      <c r="AG16" s="25">
        <f>IF(E16="","",IF(H16="Onsite",IFERROR(INDEX(tbl_Onsite[Notes],MATCH(E16&amp;"",tbl_Onsite[Job Number],0)),""),IF(H16="Production",IFERROR(INDEX(tbl_Production[Notes],MATCH(E16&amp;"",tbl_Production[Job Number],0)),""),IF(H16="Consulting",IFERROR(INDEX(tbl_Consulting[Notes],MATCH(E16&amp;"",tbl_Consulting[Job Number],0)),""),""))))</f>
        <v/>
      </c>
    </row>
    <row r="17" ht="15" customHeight="1">
      <c r="A17" s="22" t="n">
        <v>46234</v>
      </c>
      <c r="B17" s="23">
        <f>IF(A17="","",EOMONTH(A17,0))</f>
        <v/>
      </c>
      <c r="C17" s="24" t="inlineStr">
        <is>
          <t>INV-10541</t>
        </is>
      </c>
      <c r="D17" s="24" t="inlineStr">
        <is>
          <t>APN</t>
        </is>
      </c>
      <c r="E17" s="24" t="inlineStr">
        <is>
          <t>3056</t>
        </is>
      </c>
      <c r="F17" s="25">
        <f>IF(E17="","",IF(COUNTIF(lst_Jobs,E17&amp;"")&gt;0,"OK","CHECK"))</f>
        <v/>
      </c>
      <c r="G17" s="24" t="inlineStr">
        <is>
          <t>APN Tech Support July 22 &amp; 24</t>
        </is>
      </c>
      <c r="H17" s="24" t="inlineStr">
        <is>
          <t>Onsite</t>
        </is>
      </c>
      <c r="I17" s="24" t="inlineStr">
        <is>
          <t>ONSITE</t>
        </is>
      </c>
      <c r="J17" s="24" t="inlineStr">
        <is>
          <t>Contract</t>
        </is>
      </c>
      <c r="K17" s="24" t="inlineStr">
        <is>
          <t>GST 10%</t>
        </is>
      </c>
      <c r="L17" s="26" t="n">
        <v>680</v>
      </c>
      <c r="M17" s="27">
        <f>IF(L17="","",IF(K17="GST 10%",ROUND(L17*set_GSTRate,2),0))</f>
        <v/>
      </c>
      <c r="N17" s="27">
        <f>IF(L17="","",L17+M17)</f>
        <v/>
      </c>
      <c r="O17" s="24" t="inlineStr">
        <is>
          <t>41100</t>
        </is>
      </c>
      <c r="P17" s="24" t="inlineStr">
        <is>
          <t>Y</t>
        </is>
      </c>
      <c r="Q17" s="24" t="inlineStr">
        <is>
          <t>N</t>
        </is>
      </c>
      <c r="R17" s="22" t="n"/>
      <c r="S17" s="22" t="n"/>
      <c r="T17" s="24" t="inlineStr">
        <is>
          <t>Invoiced</t>
        </is>
      </c>
      <c r="U17" s="24" t="n"/>
      <c r="V17" s="25">
        <f>IF(COUNTA(A17,D17,C17,L17)=0,"",IF(A17="","No date - sits outside every month",IF(E17="","No job number",IF(F17="CHECK","Job number is not in the Xero job list",IF(I17="","No cost centre",IF(AND(P17="Y",C17=""),"Marked posted to Xero but has no invoice number",IF(AND(L17&lt;&gt;"",K17=""),"No tax code",IF(AND(L17&lt;&gt;"",O17=""),"No revenue GL code",""))))))))</f>
        <v/>
      </c>
      <c r="W17" s="25">
        <f>IF(E17="","",IFERROR(INDEX(lst_JobName,MATCH(E17&amp;"",lst_Jobs,0)),""))</f>
        <v/>
      </c>
      <c r="X17" s="28">
        <f>IF(E17="","",COUNTIFS(tbl_Finance[Job Number],E17&amp;"",tbl_Finance[Ex GST],"&lt;&gt;"))</f>
        <v/>
      </c>
      <c r="Y17" s="27">
        <f>IF(E17="","",SUMIFS(tbl_Finance[Ex GST],tbl_Finance[Job Number],E17&amp;""))</f>
        <v/>
      </c>
      <c r="Z17" s="27">
        <f>IF(E17="","",SUMIFS(tbl_Finance[Ex GST],tbl_Finance[Job Number],E17&amp;"",tbl_Finance[Xero Invoice No],"&lt;&gt;"))</f>
        <v/>
      </c>
      <c r="AA17" s="27">
        <f>IF(E17="","",Y17-Z17)</f>
        <v/>
      </c>
      <c r="AB17" s="25">
        <f>IF(E17="","",IF(H17="Onsite",IFERROR(INDEX(tbl_Onsite[Qwilr Quote],MATCH(E17&amp;"",tbl_Onsite[Job Number],0)),""),IF(H17="Production",IFERROR(INDEX(tbl_Production[Current RMS No],MATCH(E17&amp;"",tbl_Production[Job Number],0)),""),IF(H17="Consulting",IFERROR(INDEX(tbl_Consulting[Qwilr Quote],MATCH(E17&amp;"",tbl_Consulting[Job Number],0)),""),""))))</f>
        <v/>
      </c>
      <c r="AC17" s="25">
        <f>IF(AB17="","",IF(AND(LEFT(AB17,4)&lt;&gt;"http",IF(H17="Production",set_RMSBase,set_QwilrBase)=""),"",HYPERLINK(IF(LEFT(AB17,4)="http",AB17,IF(H17="Production",set_RMSBase,set_QwilrBase)&amp;AB17),"Open")))</f>
        <v/>
      </c>
      <c r="AD17" s="27">
        <f>IF(E17="","",IF(H17="Production",IFERROR(INDEX(tbl_Production[Total Expense],MATCH(E17&amp;"",tbl_Production[Job Number],0)),0),IF(H17="Consulting",IFERROR(INDEX(tbl_Consulting[Total Expense],MATCH(E17&amp;"",tbl_Consulting[Job Number],0)),0),0)))</f>
        <v/>
      </c>
      <c r="AE17" s="27">
        <f>IF(E17="","",Y17-N(AD17))</f>
        <v/>
      </c>
      <c r="AF17" s="29">
        <f>IFERROR(AE17/Y17,"")</f>
        <v/>
      </c>
      <c r="AG17" s="25">
        <f>IF(E17="","",IF(H17="Onsite",IFERROR(INDEX(tbl_Onsite[Notes],MATCH(E17&amp;"",tbl_Onsite[Job Number],0)),""),IF(H17="Production",IFERROR(INDEX(tbl_Production[Notes],MATCH(E17&amp;"",tbl_Production[Job Number],0)),""),IF(H17="Consulting",IFERROR(INDEX(tbl_Consulting[Notes],MATCH(E17&amp;"",tbl_Consulting[Job Number],0)),""),""))))</f>
        <v/>
      </c>
    </row>
    <row r="18" ht="15" customHeight="1">
      <c r="A18" s="22" t="n">
        <v>46234</v>
      </c>
      <c r="B18" s="23">
        <f>IF(A18="","",EOMONTH(A18,0))</f>
        <v/>
      </c>
      <c r="C18" s="24" t="inlineStr">
        <is>
          <t>INV-10539</t>
        </is>
      </c>
      <c r="D18" s="24" t="inlineStr">
        <is>
          <t>PWC</t>
        </is>
      </c>
      <c r="E18" s="24" t="inlineStr">
        <is>
          <t>20250731</t>
        </is>
      </c>
      <c r="F18" s="25">
        <f>IF(E18="","",IF(COUNTIF(lst_Jobs,E18&amp;"")&gt;0,"OK","CHECK"))</f>
        <v/>
      </c>
      <c r="G18" s="24" t="inlineStr">
        <is>
          <t>PWC Pool of Hours (50 hours)</t>
        </is>
      </c>
      <c r="H18" s="24" t="inlineStr">
        <is>
          <t>Onsite</t>
        </is>
      </c>
      <c r="I18" s="24" t="inlineStr">
        <is>
          <t>ONSITE</t>
        </is>
      </c>
      <c r="J18" s="24" t="inlineStr">
        <is>
          <t>Contract</t>
        </is>
      </c>
      <c r="K18" s="24" t="inlineStr">
        <is>
          <t>GST 10%</t>
        </is>
      </c>
      <c r="L18" s="26" t="n">
        <v>4250</v>
      </c>
      <c r="M18" s="27">
        <f>IF(L18="","",IF(K18="GST 10%",ROUND(L18*set_GSTRate,2),0))</f>
        <v/>
      </c>
      <c r="N18" s="27">
        <f>IF(L18="","",L18+M18)</f>
        <v/>
      </c>
      <c r="O18" s="24" t="inlineStr">
        <is>
          <t>41100</t>
        </is>
      </c>
      <c r="P18" s="24" t="inlineStr">
        <is>
          <t>Y</t>
        </is>
      </c>
      <c r="Q18" s="24" t="inlineStr">
        <is>
          <t>N</t>
        </is>
      </c>
      <c r="R18" s="22" t="n"/>
      <c r="S18" s="22" t="n"/>
      <c r="T18" s="24" t="inlineStr">
        <is>
          <t>Invoiced</t>
        </is>
      </c>
      <c r="U18" s="24" t="inlineStr">
        <is>
          <t>PO2601703215</t>
        </is>
      </c>
      <c r="V18" s="25">
        <f>IF(COUNTA(A18,D18,C18,L18)=0,"",IF(A18="","No date - sits outside every month",IF(E18="","No job number",IF(F18="CHECK","Job number is not in the Xero job list",IF(I18="","No cost centre",IF(AND(P18="Y",C18=""),"Marked posted to Xero but has no invoice number",IF(AND(L18&lt;&gt;"",K18=""),"No tax code",IF(AND(L18&lt;&gt;"",O18=""),"No revenue GL code",""))))))))</f>
        <v/>
      </c>
      <c r="W18" s="25">
        <f>IF(E18="","",IFERROR(INDEX(lst_JobName,MATCH(E18&amp;"",lst_Jobs,0)),""))</f>
        <v/>
      </c>
      <c r="X18" s="28">
        <f>IF(E18="","",COUNTIFS(tbl_Finance[Job Number],E18&amp;"",tbl_Finance[Ex GST],"&lt;&gt;"))</f>
        <v/>
      </c>
      <c r="Y18" s="27">
        <f>IF(E18="","",SUMIFS(tbl_Finance[Ex GST],tbl_Finance[Job Number],E18&amp;""))</f>
        <v/>
      </c>
      <c r="Z18" s="27">
        <f>IF(E18="","",SUMIFS(tbl_Finance[Ex GST],tbl_Finance[Job Number],E18&amp;"",tbl_Finance[Xero Invoice No],"&lt;&gt;"))</f>
        <v/>
      </c>
      <c r="AA18" s="27">
        <f>IF(E18="","",Y18-Z18)</f>
        <v/>
      </c>
      <c r="AB18" s="25">
        <f>IF(E18="","",IF(H18="Onsite",IFERROR(INDEX(tbl_Onsite[Qwilr Quote],MATCH(E18&amp;"",tbl_Onsite[Job Number],0)),""),IF(H18="Production",IFERROR(INDEX(tbl_Production[Current RMS No],MATCH(E18&amp;"",tbl_Production[Job Number],0)),""),IF(H18="Consulting",IFERROR(INDEX(tbl_Consulting[Qwilr Quote],MATCH(E18&amp;"",tbl_Consulting[Job Number],0)),""),""))))</f>
        <v/>
      </c>
      <c r="AC18" s="25">
        <f>IF(AB18="","",IF(AND(LEFT(AB18,4)&lt;&gt;"http",IF(H18="Production",set_RMSBase,set_QwilrBase)=""),"",HYPERLINK(IF(LEFT(AB18,4)="http",AB18,IF(H18="Production",set_RMSBase,set_QwilrBase)&amp;AB18),"Open")))</f>
        <v/>
      </c>
      <c r="AD18" s="27">
        <f>IF(E18="","",IF(H18="Production",IFERROR(INDEX(tbl_Production[Total Expense],MATCH(E18&amp;"",tbl_Production[Job Number],0)),0),IF(H18="Consulting",IFERROR(INDEX(tbl_Consulting[Total Expense],MATCH(E18&amp;"",tbl_Consulting[Job Number],0)),0),0)))</f>
        <v/>
      </c>
      <c r="AE18" s="27">
        <f>IF(E18="","",Y18-N(AD18))</f>
        <v/>
      </c>
      <c r="AF18" s="29">
        <f>IFERROR(AE18/Y18,"")</f>
        <v/>
      </c>
      <c r="AG18" s="25">
        <f>IF(E18="","",IF(H18="Onsite",IFERROR(INDEX(tbl_Onsite[Notes],MATCH(E18&amp;"",tbl_Onsite[Job Number],0)),""),IF(H18="Production",IFERROR(INDEX(tbl_Production[Notes],MATCH(E18&amp;"",tbl_Production[Job Number],0)),""),IF(H18="Consulting",IFERROR(INDEX(tbl_Consulting[Notes],MATCH(E18&amp;"",tbl_Consulting[Job Number],0)),""),""))))</f>
        <v/>
      </c>
    </row>
    <row r="19" ht="15" customHeight="1">
      <c r="A19" s="22" t="n">
        <v>46234</v>
      </c>
      <c r="B19" s="23">
        <f>IF(A19="","",EOMONTH(A19,0))</f>
        <v/>
      </c>
      <c r="C19" s="24" t="inlineStr">
        <is>
          <t>INV-10542</t>
        </is>
      </c>
      <c r="D19" s="24" t="inlineStr">
        <is>
          <t>CBA</t>
        </is>
      </c>
      <c r="E19" s="24" t="inlineStr">
        <is>
          <t>1668</t>
        </is>
      </c>
      <c r="F19" s="25">
        <f>IF(E19="","",IF(COUNTIF(lst_Jobs,E19&amp;"")&gt;0,"OK","CHECK"))</f>
        <v/>
      </c>
      <c r="G19" s="24" t="inlineStr">
        <is>
          <t>AH Support 02/07/2026</t>
        </is>
      </c>
      <c r="H19" s="24" t="inlineStr">
        <is>
          <t>Onsite</t>
        </is>
      </c>
      <c r="I19" s="24" t="inlineStr">
        <is>
          <t>ONSITE</t>
        </is>
      </c>
      <c r="J19" s="24" t="inlineStr">
        <is>
          <t>Contract</t>
        </is>
      </c>
      <c r="K19" s="24" t="inlineStr">
        <is>
          <t>GST 10%</t>
        </is>
      </c>
      <c r="L19" s="26" t="n">
        <v>180</v>
      </c>
      <c r="M19" s="27">
        <f>IF(L19="","",IF(K19="GST 10%",ROUND(L19*set_GSTRate,2),0))</f>
        <v/>
      </c>
      <c r="N19" s="27">
        <f>IF(L19="","",L19+M19)</f>
        <v/>
      </c>
      <c r="O19" s="24" t="inlineStr">
        <is>
          <t>41100</t>
        </is>
      </c>
      <c r="P19" s="24" t="inlineStr">
        <is>
          <t>Y</t>
        </is>
      </c>
      <c r="Q19" s="24" t="inlineStr">
        <is>
          <t>N</t>
        </is>
      </c>
      <c r="R19" s="22" t="n"/>
      <c r="S19" s="22" t="n"/>
      <c r="T19" s="24" t="inlineStr">
        <is>
          <t>Invoiced</t>
        </is>
      </c>
      <c r="U19" s="24" t="n"/>
      <c r="V19" s="25">
        <f>IF(COUNTA(A19,D19,C19,L19)=0,"",IF(A19="","No date - sits outside every month",IF(E19="","No job number",IF(F19="CHECK","Job number is not in the Xero job list",IF(I19="","No cost centre",IF(AND(P19="Y",C19=""),"Marked posted to Xero but has no invoice number",IF(AND(L19&lt;&gt;"",K19=""),"No tax code",IF(AND(L19&lt;&gt;"",O19=""),"No revenue GL code",""))))))))</f>
        <v/>
      </c>
      <c r="W19" s="25">
        <f>IF(E19="","",IFERROR(INDEX(lst_JobName,MATCH(E19&amp;"",lst_Jobs,0)),""))</f>
        <v/>
      </c>
      <c r="X19" s="28">
        <f>IF(E19="","",COUNTIFS(tbl_Finance[Job Number],E19&amp;"",tbl_Finance[Ex GST],"&lt;&gt;"))</f>
        <v/>
      </c>
      <c r="Y19" s="27">
        <f>IF(E19="","",SUMIFS(tbl_Finance[Ex GST],tbl_Finance[Job Number],E19&amp;""))</f>
        <v/>
      </c>
      <c r="Z19" s="27">
        <f>IF(E19="","",SUMIFS(tbl_Finance[Ex GST],tbl_Finance[Job Number],E19&amp;"",tbl_Finance[Xero Invoice No],"&lt;&gt;"))</f>
        <v/>
      </c>
      <c r="AA19" s="27">
        <f>IF(E19="","",Y19-Z19)</f>
        <v/>
      </c>
      <c r="AB19" s="25">
        <f>IF(E19="","",IF(H19="Onsite",IFERROR(INDEX(tbl_Onsite[Qwilr Quote],MATCH(E19&amp;"",tbl_Onsite[Job Number],0)),""),IF(H19="Production",IFERROR(INDEX(tbl_Production[Current RMS No],MATCH(E19&amp;"",tbl_Production[Job Number],0)),""),IF(H19="Consulting",IFERROR(INDEX(tbl_Consulting[Qwilr Quote],MATCH(E19&amp;"",tbl_Consulting[Job Number],0)),""),""))))</f>
        <v/>
      </c>
      <c r="AC19" s="25">
        <f>IF(AB19="","",IF(AND(LEFT(AB19,4)&lt;&gt;"http",IF(H19="Production",set_RMSBase,set_QwilrBase)=""),"",HYPERLINK(IF(LEFT(AB19,4)="http",AB19,IF(H19="Production",set_RMSBase,set_QwilrBase)&amp;AB19),"Open")))</f>
        <v/>
      </c>
      <c r="AD19" s="27">
        <f>IF(E19="","",IF(H19="Production",IFERROR(INDEX(tbl_Production[Total Expense],MATCH(E19&amp;"",tbl_Production[Job Number],0)),0),IF(H19="Consulting",IFERROR(INDEX(tbl_Consulting[Total Expense],MATCH(E19&amp;"",tbl_Consulting[Job Number],0)),0),0)))</f>
        <v/>
      </c>
      <c r="AE19" s="27">
        <f>IF(E19="","",Y19-N(AD19))</f>
        <v/>
      </c>
      <c r="AF19" s="29">
        <f>IFERROR(AE19/Y19,"")</f>
        <v/>
      </c>
      <c r="AG19" s="25">
        <f>IF(E19="","",IF(H19="Onsite",IFERROR(INDEX(tbl_Onsite[Notes],MATCH(E19&amp;"",tbl_Onsite[Job Number],0)),""),IF(H19="Production",IFERROR(INDEX(tbl_Production[Notes],MATCH(E19&amp;"",tbl_Production[Job Number],0)),""),IF(H19="Consulting",IFERROR(INDEX(tbl_Consulting[Notes],MATCH(E19&amp;"",tbl_Consulting[Job Number],0)),""),""))))</f>
        <v/>
      </c>
    </row>
    <row r="20" ht="15" customHeight="1">
      <c r="A20" s="22" t="n">
        <v>46234</v>
      </c>
      <c r="B20" s="23">
        <f>IF(A20="","",EOMONTH(A20,0))</f>
        <v/>
      </c>
      <c r="C20" s="24" t="inlineStr">
        <is>
          <t>INV-10543</t>
        </is>
      </c>
      <c r="D20" s="24" t="inlineStr">
        <is>
          <t>CBA</t>
        </is>
      </c>
      <c r="E20" s="24" t="inlineStr">
        <is>
          <t>1668</t>
        </is>
      </c>
      <c r="F20" s="25">
        <f>IF(E20="","",IF(COUNTIF(lst_Jobs,E20&amp;"")&gt;0,"OK","CHECK"))</f>
        <v/>
      </c>
      <c r="G20" s="24" t="inlineStr">
        <is>
          <t>DT Support 02/07/2026</t>
        </is>
      </c>
      <c r="H20" s="24" t="inlineStr">
        <is>
          <t>Onsite</t>
        </is>
      </c>
      <c r="I20" s="24" t="inlineStr">
        <is>
          <t>ONSITE</t>
        </is>
      </c>
      <c r="J20" s="24" t="inlineStr">
        <is>
          <t>Contract</t>
        </is>
      </c>
      <c r="K20" s="24" t="inlineStr">
        <is>
          <t>GST 10%</t>
        </is>
      </c>
      <c r="L20" s="26" t="n">
        <v>425</v>
      </c>
      <c r="M20" s="27">
        <f>IF(L20="","",IF(K20="GST 10%",ROUND(L20*set_GSTRate,2),0))</f>
        <v/>
      </c>
      <c r="N20" s="27">
        <f>IF(L20="","",L20+M20)</f>
        <v/>
      </c>
      <c r="O20" s="24" t="inlineStr">
        <is>
          <t>41100</t>
        </is>
      </c>
      <c r="P20" s="24" t="inlineStr">
        <is>
          <t>Y</t>
        </is>
      </c>
      <c r="Q20" s="24" t="inlineStr">
        <is>
          <t>N</t>
        </is>
      </c>
      <c r="R20" s="22" t="n"/>
      <c r="S20" s="22" t="n"/>
      <c r="T20" s="24" t="inlineStr">
        <is>
          <t>Invoiced</t>
        </is>
      </c>
      <c r="U20" s="24" t="n"/>
      <c r="V20" s="25">
        <f>IF(COUNTA(A20,D20,C20,L20)=0,"",IF(A20="","No date - sits outside every month",IF(E20="","No job number",IF(F20="CHECK","Job number is not in the Xero job list",IF(I20="","No cost centre",IF(AND(P20="Y",C20=""),"Marked posted to Xero but has no invoice number",IF(AND(L20&lt;&gt;"",K20=""),"No tax code",IF(AND(L20&lt;&gt;"",O20=""),"No revenue GL code",""))))))))</f>
        <v/>
      </c>
      <c r="W20" s="25">
        <f>IF(E20="","",IFERROR(INDEX(lst_JobName,MATCH(E20&amp;"",lst_Jobs,0)),""))</f>
        <v/>
      </c>
      <c r="X20" s="28">
        <f>IF(E20="","",COUNTIFS(tbl_Finance[Job Number],E20&amp;"",tbl_Finance[Ex GST],"&lt;&gt;"))</f>
        <v/>
      </c>
      <c r="Y20" s="27">
        <f>IF(E20="","",SUMIFS(tbl_Finance[Ex GST],tbl_Finance[Job Number],E20&amp;""))</f>
        <v/>
      </c>
      <c r="Z20" s="27">
        <f>IF(E20="","",SUMIFS(tbl_Finance[Ex GST],tbl_Finance[Job Number],E20&amp;"",tbl_Finance[Xero Invoice No],"&lt;&gt;"))</f>
        <v/>
      </c>
      <c r="AA20" s="27">
        <f>IF(E20="","",Y20-Z20)</f>
        <v/>
      </c>
      <c r="AB20" s="25">
        <f>IF(E20="","",IF(H20="Onsite",IFERROR(INDEX(tbl_Onsite[Qwilr Quote],MATCH(E20&amp;"",tbl_Onsite[Job Number],0)),""),IF(H20="Production",IFERROR(INDEX(tbl_Production[Current RMS No],MATCH(E20&amp;"",tbl_Production[Job Number],0)),""),IF(H20="Consulting",IFERROR(INDEX(tbl_Consulting[Qwilr Quote],MATCH(E20&amp;"",tbl_Consulting[Job Number],0)),""),""))))</f>
        <v/>
      </c>
      <c r="AC20" s="25">
        <f>IF(AB20="","",IF(AND(LEFT(AB20,4)&lt;&gt;"http",IF(H20="Production",set_RMSBase,set_QwilrBase)=""),"",HYPERLINK(IF(LEFT(AB20,4)="http",AB20,IF(H20="Production",set_RMSBase,set_QwilrBase)&amp;AB20),"Open")))</f>
        <v/>
      </c>
      <c r="AD20" s="27">
        <f>IF(E20="","",IF(H20="Production",IFERROR(INDEX(tbl_Production[Total Expense],MATCH(E20&amp;"",tbl_Production[Job Number],0)),0),IF(H20="Consulting",IFERROR(INDEX(tbl_Consulting[Total Expense],MATCH(E20&amp;"",tbl_Consulting[Job Number],0)),0),0)))</f>
        <v/>
      </c>
      <c r="AE20" s="27">
        <f>IF(E20="","",Y20-N(AD20))</f>
        <v/>
      </c>
      <c r="AF20" s="29">
        <f>IFERROR(AE20/Y20,"")</f>
        <v/>
      </c>
      <c r="AG20" s="25">
        <f>IF(E20="","",IF(H20="Onsite",IFERROR(INDEX(tbl_Onsite[Notes],MATCH(E20&amp;"",tbl_Onsite[Job Number],0)),""),IF(H20="Production",IFERROR(INDEX(tbl_Production[Notes],MATCH(E20&amp;"",tbl_Production[Job Number],0)),""),IF(H20="Consulting",IFERROR(INDEX(tbl_Consulting[Notes],MATCH(E20&amp;"",tbl_Consulting[Job Number],0)),""),""))))</f>
        <v/>
      </c>
    </row>
    <row r="21" ht="15" customHeight="1">
      <c r="A21" s="22" t="n">
        <v>46234</v>
      </c>
      <c r="B21" s="23">
        <f>IF(A21="","",EOMONTH(A21,0))</f>
        <v/>
      </c>
      <c r="C21" s="24" t="inlineStr">
        <is>
          <t>INV-10544</t>
        </is>
      </c>
      <c r="D21" s="24" t="inlineStr">
        <is>
          <t>CBA</t>
        </is>
      </c>
      <c r="E21" s="24" t="inlineStr">
        <is>
          <t>1668</t>
        </is>
      </c>
      <c r="F21" s="25">
        <f>IF(E21="","",IF(COUNTIF(lst_Jobs,E21&amp;"")&gt;0,"OK","CHECK"))</f>
        <v/>
      </c>
      <c r="G21" s="24" t="inlineStr">
        <is>
          <t>DT Support 23/07/2026</t>
        </is>
      </c>
      <c r="H21" s="24" t="inlineStr">
        <is>
          <t>Onsite</t>
        </is>
      </c>
      <c r="I21" s="24" t="inlineStr">
        <is>
          <t>ONSITE</t>
        </is>
      </c>
      <c r="J21" s="24" t="inlineStr">
        <is>
          <t>Contract</t>
        </is>
      </c>
      <c r="K21" s="24" t="inlineStr">
        <is>
          <t>GST 10%</t>
        </is>
      </c>
      <c r="L21" s="26" t="n">
        <v>510</v>
      </c>
      <c r="M21" s="27">
        <f>IF(L21="","",IF(K21="GST 10%",ROUND(L21*set_GSTRate,2),0))</f>
        <v/>
      </c>
      <c r="N21" s="27">
        <f>IF(L21="","",L21+M21)</f>
        <v/>
      </c>
      <c r="O21" s="24" t="inlineStr">
        <is>
          <t>41100</t>
        </is>
      </c>
      <c r="P21" s="24" t="inlineStr">
        <is>
          <t>Y</t>
        </is>
      </c>
      <c r="Q21" s="24" t="inlineStr">
        <is>
          <t>N</t>
        </is>
      </c>
      <c r="R21" s="22" t="n"/>
      <c r="S21" s="22" t="n"/>
      <c r="T21" s="24" t="inlineStr">
        <is>
          <t>Invoiced</t>
        </is>
      </c>
      <c r="U21" s="24" t="n"/>
      <c r="V21" s="25">
        <f>IF(COUNTA(A21,D21,C21,L21)=0,"",IF(A21="","No date - sits outside every month",IF(E21="","No job number",IF(F21="CHECK","Job number is not in the Xero job list",IF(I21="","No cost centre",IF(AND(P21="Y",C21=""),"Marked posted to Xero but has no invoice number",IF(AND(L21&lt;&gt;"",K21=""),"No tax code",IF(AND(L21&lt;&gt;"",O21=""),"No revenue GL code",""))))))))</f>
        <v/>
      </c>
      <c r="W21" s="25">
        <f>IF(E21="","",IFERROR(INDEX(lst_JobName,MATCH(E21&amp;"",lst_Jobs,0)),""))</f>
        <v/>
      </c>
      <c r="X21" s="28">
        <f>IF(E21="","",COUNTIFS(tbl_Finance[Job Number],E21&amp;"",tbl_Finance[Ex GST],"&lt;&gt;"))</f>
        <v/>
      </c>
      <c r="Y21" s="27">
        <f>IF(E21="","",SUMIFS(tbl_Finance[Ex GST],tbl_Finance[Job Number],E21&amp;""))</f>
        <v/>
      </c>
      <c r="Z21" s="27">
        <f>IF(E21="","",SUMIFS(tbl_Finance[Ex GST],tbl_Finance[Job Number],E21&amp;"",tbl_Finance[Xero Invoice No],"&lt;&gt;"))</f>
        <v/>
      </c>
      <c r="AA21" s="27">
        <f>IF(E21="","",Y21-Z21)</f>
        <v/>
      </c>
      <c r="AB21" s="25">
        <f>IF(E21="","",IF(H21="Onsite",IFERROR(INDEX(tbl_Onsite[Qwilr Quote],MATCH(E21&amp;"",tbl_Onsite[Job Number],0)),""),IF(H21="Production",IFERROR(INDEX(tbl_Production[Current RMS No],MATCH(E21&amp;"",tbl_Production[Job Number],0)),""),IF(H21="Consulting",IFERROR(INDEX(tbl_Consulting[Qwilr Quote],MATCH(E21&amp;"",tbl_Consulting[Job Number],0)),""),""))))</f>
        <v/>
      </c>
      <c r="AC21" s="25">
        <f>IF(AB21="","",IF(AND(LEFT(AB21,4)&lt;&gt;"http",IF(H21="Production",set_RMSBase,set_QwilrBase)=""),"",HYPERLINK(IF(LEFT(AB21,4)="http",AB21,IF(H21="Production",set_RMSBase,set_QwilrBase)&amp;AB21),"Open")))</f>
        <v/>
      </c>
      <c r="AD21" s="27">
        <f>IF(E21="","",IF(H21="Production",IFERROR(INDEX(tbl_Production[Total Expense],MATCH(E21&amp;"",tbl_Production[Job Number],0)),0),IF(H21="Consulting",IFERROR(INDEX(tbl_Consulting[Total Expense],MATCH(E21&amp;"",tbl_Consulting[Job Number],0)),0),0)))</f>
        <v/>
      </c>
      <c r="AE21" s="27">
        <f>IF(E21="","",Y21-N(AD21))</f>
        <v/>
      </c>
      <c r="AF21" s="29">
        <f>IFERROR(AE21/Y21,"")</f>
        <v/>
      </c>
      <c r="AG21" s="25">
        <f>IF(E21="","",IF(H21="Onsite",IFERROR(INDEX(tbl_Onsite[Notes],MATCH(E21&amp;"",tbl_Onsite[Job Number],0)),""),IF(H21="Production",IFERROR(INDEX(tbl_Production[Notes],MATCH(E21&amp;"",tbl_Production[Job Number],0)),""),IF(H21="Consulting",IFERROR(INDEX(tbl_Consulting[Notes],MATCH(E21&amp;"",tbl_Consulting[Job Number],0)),""),""))))</f>
        <v/>
      </c>
    </row>
    <row r="22" ht="15" customHeight="1">
      <c r="A22" s="22" t="n">
        <v>46233</v>
      </c>
      <c r="B22" s="23">
        <f>IF(A22="","",EOMONTH(A22,0))</f>
        <v/>
      </c>
      <c r="C22" s="24" t="inlineStr">
        <is>
          <t>INV-10545</t>
        </is>
      </c>
      <c r="D22" s="24" t="inlineStr">
        <is>
          <t>PWC</t>
        </is>
      </c>
      <c r="E22" s="24" t="inlineStr">
        <is>
          <t>2540</t>
        </is>
      </c>
      <c r="F22" s="25">
        <f>IF(E22="","",IF(COUNTIF(lst_Jobs,E22&amp;"")&gt;0,"OK","CHECK"))</f>
        <v/>
      </c>
      <c r="G22" s="24" t="inlineStr">
        <is>
          <t>PWC Dedicated Tech 30/07/2026</t>
        </is>
      </c>
      <c r="H22" s="24" t="inlineStr">
        <is>
          <t>Onsite</t>
        </is>
      </c>
      <c r="I22" s="24" t="inlineStr">
        <is>
          <t>ONSITE</t>
        </is>
      </c>
      <c r="J22" s="24" t="inlineStr">
        <is>
          <t>Contract</t>
        </is>
      </c>
      <c r="K22" s="24" t="inlineStr">
        <is>
          <t>GST 10%</t>
        </is>
      </c>
      <c r="L22" s="26" t="n">
        <v>340</v>
      </c>
      <c r="M22" s="27">
        <f>IF(L22="","",IF(K22="GST 10%",ROUND(L22*set_GSTRate,2),0))</f>
        <v/>
      </c>
      <c r="N22" s="27">
        <f>IF(L22="","",L22+M22)</f>
        <v/>
      </c>
      <c r="O22" s="24" t="inlineStr">
        <is>
          <t>41100</t>
        </is>
      </c>
      <c r="P22" s="24" t="inlineStr">
        <is>
          <t>Y</t>
        </is>
      </c>
      <c r="Q22" s="24" t="inlineStr">
        <is>
          <t>N</t>
        </is>
      </c>
      <c r="R22" s="22" t="n"/>
      <c r="S22" s="22" t="n"/>
      <c r="T22" s="24" t="inlineStr">
        <is>
          <t>Invoiced</t>
        </is>
      </c>
      <c r="U22" s="24" t="inlineStr">
        <is>
          <t>PO2601703274</t>
        </is>
      </c>
      <c r="V22" s="25">
        <f>IF(COUNTA(A22,D22,C22,L22)=0,"",IF(A22="","No date - sits outside every month",IF(E22="","No job number",IF(F22="CHECK","Job number is not in the Xero job list",IF(I22="","No cost centre",IF(AND(P22="Y",C22=""),"Marked posted to Xero but has no invoice number",IF(AND(L22&lt;&gt;"",K22=""),"No tax code",IF(AND(L22&lt;&gt;"",O22=""),"No revenue GL code",""))))))))</f>
        <v/>
      </c>
      <c r="W22" s="25">
        <f>IF(E22="","",IFERROR(INDEX(lst_JobName,MATCH(E22&amp;"",lst_Jobs,0)),""))</f>
        <v/>
      </c>
      <c r="X22" s="28">
        <f>IF(E22="","",COUNTIFS(tbl_Finance[Job Number],E22&amp;"",tbl_Finance[Ex GST],"&lt;&gt;"))</f>
        <v/>
      </c>
      <c r="Y22" s="27">
        <f>IF(E22="","",SUMIFS(tbl_Finance[Ex GST],tbl_Finance[Job Number],E22&amp;""))</f>
        <v/>
      </c>
      <c r="Z22" s="27">
        <f>IF(E22="","",SUMIFS(tbl_Finance[Ex GST],tbl_Finance[Job Number],E22&amp;"",tbl_Finance[Xero Invoice No],"&lt;&gt;"))</f>
        <v/>
      </c>
      <c r="AA22" s="27">
        <f>IF(E22="","",Y22-Z22)</f>
        <v/>
      </c>
      <c r="AB22" s="25">
        <f>IF(E22="","",IF(H22="Onsite",IFERROR(INDEX(tbl_Onsite[Qwilr Quote],MATCH(E22&amp;"",tbl_Onsite[Job Number],0)),""),IF(H22="Production",IFERROR(INDEX(tbl_Production[Current RMS No],MATCH(E22&amp;"",tbl_Production[Job Number],0)),""),IF(H22="Consulting",IFERROR(INDEX(tbl_Consulting[Qwilr Quote],MATCH(E22&amp;"",tbl_Consulting[Job Number],0)),""),""))))</f>
        <v/>
      </c>
      <c r="AC22" s="25">
        <f>IF(AB22="","",IF(AND(LEFT(AB22,4)&lt;&gt;"http",IF(H22="Production",set_RMSBase,set_QwilrBase)=""),"",HYPERLINK(IF(LEFT(AB22,4)="http",AB22,IF(H22="Production",set_RMSBase,set_QwilrBase)&amp;AB22),"Open")))</f>
        <v/>
      </c>
      <c r="AD22" s="27">
        <f>IF(E22="","",IF(H22="Production",IFERROR(INDEX(tbl_Production[Total Expense],MATCH(E22&amp;"",tbl_Production[Job Number],0)),0),IF(H22="Consulting",IFERROR(INDEX(tbl_Consulting[Total Expense],MATCH(E22&amp;"",tbl_Consulting[Job Number],0)),0),0)))</f>
        <v/>
      </c>
      <c r="AE22" s="27">
        <f>IF(E22="","",Y22-N(AD22))</f>
        <v/>
      </c>
      <c r="AF22" s="29">
        <f>IFERROR(AE22/Y22,"")</f>
        <v/>
      </c>
      <c r="AG22" s="25">
        <f>IF(E22="","",IF(H22="Onsite",IFERROR(INDEX(tbl_Onsite[Notes],MATCH(E22&amp;"",tbl_Onsite[Job Number],0)),""),IF(H22="Production",IFERROR(INDEX(tbl_Production[Notes],MATCH(E22&amp;"",tbl_Production[Job Number],0)),""),IF(H22="Consulting",IFERROR(INDEX(tbl_Consulting[Notes],MATCH(E22&amp;"",tbl_Consulting[Job Number],0)),""),""))))</f>
        <v/>
      </c>
    </row>
    <row r="23" ht="15" customHeight="1">
      <c r="A23" s="22" t="n">
        <v>46233</v>
      </c>
      <c r="B23" s="23">
        <f>IF(A23="","",EOMONTH(A23,0))</f>
        <v/>
      </c>
      <c r="C23" s="24" t="inlineStr">
        <is>
          <t>INV-10546</t>
        </is>
      </c>
      <c r="D23" s="24" t="inlineStr">
        <is>
          <t>DTTL</t>
        </is>
      </c>
      <c r="E23" s="24" t="inlineStr">
        <is>
          <t>26062501/2347</t>
        </is>
      </c>
      <c r="F23" s="25">
        <f>IF(E23="","",IF(COUNTIF(lst_Jobs,E23&amp;"")&gt;0,"OK","CHECK"))</f>
        <v/>
      </c>
      <c r="G23" s="24" t="inlineStr">
        <is>
          <t>DH Travel 06-07/07 &amp; Ad-hoc Tech Support 30/07 &amp; Market Shapers</t>
        </is>
      </c>
      <c r="H23" s="24" t="inlineStr">
        <is>
          <t>Onsite</t>
        </is>
      </c>
      <c r="I23" s="24" t="inlineStr">
        <is>
          <t>ONSITE</t>
        </is>
      </c>
      <c r="J23" s="24" t="inlineStr">
        <is>
          <t>Contract</t>
        </is>
      </c>
      <c r="K23" s="24" t="inlineStr">
        <is>
          <t>GST 10%</t>
        </is>
      </c>
      <c r="L23" s="26" t="n">
        <v>1672.5</v>
      </c>
      <c r="M23" s="27">
        <f>IF(L23="","",IF(K23="GST 10%",ROUND(L23*set_GSTRate,2),0))</f>
        <v/>
      </c>
      <c r="N23" s="27">
        <f>IF(L23="","",L23+M23)</f>
        <v/>
      </c>
      <c r="O23" s="24" t="inlineStr">
        <is>
          <t>41100</t>
        </is>
      </c>
      <c r="P23" s="24" t="inlineStr">
        <is>
          <t>Y</t>
        </is>
      </c>
      <c r="Q23" s="24" t="inlineStr">
        <is>
          <t>N</t>
        </is>
      </c>
      <c r="R23" s="22" t="n"/>
      <c r="S23" s="22" t="n"/>
      <c r="T23" s="24" t="inlineStr">
        <is>
          <t>Invoiced</t>
        </is>
      </c>
      <c r="U23" s="24" t="n"/>
      <c r="V23" s="25">
        <f>IF(COUNTA(A23,D23,C23,L23)=0,"",IF(A23="","No date - sits outside every month",IF(E23="","No job number",IF(F23="CHECK","Job number is not in the Xero job list",IF(I23="","No cost centre",IF(AND(P23="Y",C23=""),"Marked posted to Xero but has no invoice number",IF(AND(L23&lt;&gt;"",K23=""),"No tax code",IF(AND(L23&lt;&gt;"",O23=""),"No revenue GL code",""))))))))</f>
        <v/>
      </c>
      <c r="W23" s="25">
        <f>IF(E23="","",IFERROR(INDEX(lst_JobName,MATCH(E23&amp;"",lst_Jobs,0)),""))</f>
        <v/>
      </c>
      <c r="X23" s="28">
        <f>IF(E23="","",COUNTIFS(tbl_Finance[Job Number],E23&amp;"",tbl_Finance[Ex GST],"&lt;&gt;"))</f>
        <v/>
      </c>
      <c r="Y23" s="27">
        <f>IF(E23="","",SUMIFS(tbl_Finance[Ex GST],tbl_Finance[Job Number],E23&amp;""))</f>
        <v/>
      </c>
      <c r="Z23" s="27">
        <f>IF(E23="","",SUMIFS(tbl_Finance[Ex GST],tbl_Finance[Job Number],E23&amp;"",tbl_Finance[Xero Invoice No],"&lt;&gt;"))</f>
        <v/>
      </c>
      <c r="AA23" s="27">
        <f>IF(E23="","",Y23-Z23)</f>
        <v/>
      </c>
      <c r="AB23" s="25">
        <f>IF(E23="","",IF(H23="Onsite",IFERROR(INDEX(tbl_Onsite[Qwilr Quote],MATCH(E23&amp;"",tbl_Onsite[Job Number],0)),""),IF(H23="Production",IFERROR(INDEX(tbl_Production[Current RMS No],MATCH(E23&amp;"",tbl_Production[Job Number],0)),""),IF(H23="Consulting",IFERROR(INDEX(tbl_Consulting[Qwilr Quote],MATCH(E23&amp;"",tbl_Consulting[Job Number],0)),""),""))))</f>
        <v/>
      </c>
      <c r="AC23" s="25">
        <f>IF(AB23="","",IF(AND(LEFT(AB23,4)&lt;&gt;"http",IF(H23="Production",set_RMSBase,set_QwilrBase)=""),"",HYPERLINK(IF(LEFT(AB23,4)="http",AB23,IF(H23="Production",set_RMSBase,set_QwilrBase)&amp;AB23),"Open")))</f>
        <v/>
      </c>
      <c r="AD23" s="27">
        <f>IF(E23="","",IF(H23="Production",IFERROR(INDEX(tbl_Production[Total Expense],MATCH(E23&amp;"",tbl_Production[Job Number],0)),0),IF(H23="Consulting",IFERROR(INDEX(tbl_Consulting[Total Expense],MATCH(E23&amp;"",tbl_Consulting[Job Number],0)),0),0)))</f>
        <v/>
      </c>
      <c r="AE23" s="27">
        <f>IF(E23="","",Y23-N(AD23))</f>
        <v/>
      </c>
      <c r="AF23" s="29">
        <f>IFERROR(AE23/Y23,"")</f>
        <v/>
      </c>
      <c r="AG23" s="25">
        <f>IF(E23="","",IF(H23="Onsite",IFERROR(INDEX(tbl_Onsite[Notes],MATCH(E23&amp;"",tbl_Onsite[Job Number],0)),""),IF(H23="Production",IFERROR(INDEX(tbl_Production[Notes],MATCH(E23&amp;"",tbl_Production[Job Number],0)),""),IF(H23="Consulting",IFERROR(INDEX(tbl_Consulting[Notes],MATCH(E23&amp;"",tbl_Consulting[Job Number],0)),""),""))))</f>
        <v/>
      </c>
    </row>
    <row r="24" ht="15" customHeight="1">
      <c r="A24" s="22" t="n">
        <v>46233</v>
      </c>
      <c r="B24" s="23">
        <f>IF(A24="","",EOMONTH(A24,0))</f>
        <v/>
      </c>
      <c r="C24" s="24" t="inlineStr">
        <is>
          <t>INV-10550</t>
        </is>
      </c>
      <c r="D24" s="24" t="inlineStr">
        <is>
          <t>APN</t>
        </is>
      </c>
      <c r="E24" s="24" t="inlineStr">
        <is>
          <t>2026021101</t>
        </is>
      </c>
      <c r="F24" s="25">
        <f>IF(E24="","",IF(COUNTIF(lst_Jobs,E24&amp;"")&gt;0,"OK","CHECK"))</f>
        <v/>
      </c>
      <c r="G24" s="24" t="inlineStr">
        <is>
          <t>APN Quarterly AV Support</t>
        </is>
      </c>
      <c r="H24" s="24" t="inlineStr">
        <is>
          <t>Onsite</t>
        </is>
      </c>
      <c r="I24" s="24" t="inlineStr">
        <is>
          <t>ONSITE</t>
        </is>
      </c>
      <c r="J24" s="24" t="inlineStr">
        <is>
          <t>Contract</t>
        </is>
      </c>
      <c r="K24" s="24" t="inlineStr">
        <is>
          <t>GST 10%</t>
        </is>
      </c>
      <c r="L24" s="26" t="n">
        <v>1670</v>
      </c>
      <c r="M24" s="27">
        <f>IF(L24="","",IF(K24="GST 10%",ROUND(L24*set_GSTRate,2),0))</f>
        <v/>
      </c>
      <c r="N24" s="27">
        <f>IF(L24="","",L24+M24)</f>
        <v/>
      </c>
      <c r="O24" s="24" t="inlineStr">
        <is>
          <t>41100</t>
        </is>
      </c>
      <c r="P24" s="24" t="inlineStr">
        <is>
          <t>Y</t>
        </is>
      </c>
      <c r="Q24" s="24" t="inlineStr">
        <is>
          <t>N</t>
        </is>
      </c>
      <c r="R24" s="22" t="n"/>
      <c r="S24" s="22" t="n"/>
      <c r="T24" s="24" t="inlineStr">
        <is>
          <t>Invoiced</t>
        </is>
      </c>
      <c r="U24" s="24" t="inlineStr">
        <is>
          <t>Invoice 1/2</t>
        </is>
      </c>
      <c r="V24" s="25">
        <f>IF(COUNTA(A24,D24,C24,L24)=0,"",IF(A24="","No date - sits outside every month",IF(E24="","No job number",IF(F24="CHECK","Job number is not in the Xero job list",IF(I24="","No cost centre",IF(AND(P24="Y",C24=""),"Marked posted to Xero but has no invoice number",IF(AND(L24&lt;&gt;"",K24=""),"No tax code",IF(AND(L24&lt;&gt;"",O24=""),"No revenue GL code",""))))))))</f>
        <v/>
      </c>
      <c r="W24" s="25">
        <f>IF(E24="","",IFERROR(INDEX(lst_JobName,MATCH(E24&amp;"",lst_Jobs,0)),""))</f>
        <v/>
      </c>
      <c r="X24" s="28">
        <f>IF(E24="","",COUNTIFS(tbl_Finance[Job Number],E24&amp;"",tbl_Finance[Ex GST],"&lt;&gt;"))</f>
        <v/>
      </c>
      <c r="Y24" s="27">
        <f>IF(E24="","",SUMIFS(tbl_Finance[Ex GST],tbl_Finance[Job Number],E24&amp;""))</f>
        <v/>
      </c>
      <c r="Z24" s="27">
        <f>IF(E24="","",SUMIFS(tbl_Finance[Ex GST],tbl_Finance[Job Number],E24&amp;"",tbl_Finance[Xero Invoice No],"&lt;&gt;"))</f>
        <v/>
      </c>
      <c r="AA24" s="27">
        <f>IF(E24="","",Y24-Z24)</f>
        <v/>
      </c>
      <c r="AB24" s="25">
        <f>IF(E24="","",IF(H24="Onsite",IFERROR(INDEX(tbl_Onsite[Qwilr Quote],MATCH(E24&amp;"",tbl_Onsite[Job Number],0)),""),IF(H24="Production",IFERROR(INDEX(tbl_Production[Current RMS No],MATCH(E24&amp;"",tbl_Production[Job Number],0)),""),IF(H24="Consulting",IFERROR(INDEX(tbl_Consulting[Qwilr Quote],MATCH(E24&amp;"",tbl_Consulting[Job Number],0)),""),""))))</f>
        <v/>
      </c>
      <c r="AC24" s="25">
        <f>IF(AB24="","",IF(AND(LEFT(AB24,4)&lt;&gt;"http",IF(H24="Production",set_RMSBase,set_QwilrBase)=""),"",HYPERLINK(IF(LEFT(AB24,4)="http",AB24,IF(H24="Production",set_RMSBase,set_QwilrBase)&amp;AB24),"Open")))</f>
        <v/>
      </c>
      <c r="AD24" s="27">
        <f>IF(E24="","",IF(H24="Production",IFERROR(INDEX(tbl_Production[Total Expense],MATCH(E24&amp;"",tbl_Production[Job Number],0)),0),IF(H24="Consulting",IFERROR(INDEX(tbl_Consulting[Total Expense],MATCH(E24&amp;"",tbl_Consulting[Job Number],0)),0),0)))</f>
        <v/>
      </c>
      <c r="AE24" s="27">
        <f>IF(E24="","",Y24-N(AD24))</f>
        <v/>
      </c>
      <c r="AF24" s="29">
        <f>IFERROR(AE24/Y24,"")</f>
        <v/>
      </c>
      <c r="AG24" s="25">
        <f>IF(E24="","",IF(H24="Onsite",IFERROR(INDEX(tbl_Onsite[Notes],MATCH(E24&amp;"",tbl_Onsite[Job Number],0)),""),IF(H24="Production",IFERROR(INDEX(tbl_Production[Notes],MATCH(E24&amp;"",tbl_Production[Job Number],0)),""),IF(H24="Consulting",IFERROR(INDEX(tbl_Consulting[Notes],MATCH(E24&amp;"",tbl_Consulting[Job Number],0)),""),""))))</f>
        <v/>
      </c>
    </row>
    <row r="25" ht="15" customHeight="1">
      <c r="A25" s="22" t="n">
        <v>46234</v>
      </c>
      <c r="B25" s="23">
        <f>IF(A25="","",EOMONTH(A25,0))</f>
        <v/>
      </c>
      <c r="C25" s="24" t="inlineStr">
        <is>
          <t>INV-10551</t>
        </is>
      </c>
      <c r="D25" s="24" t="inlineStr">
        <is>
          <t>Aware Super</t>
        </is>
      </c>
      <c r="E25" s="24" t="inlineStr">
        <is>
          <t>26022301</t>
        </is>
      </c>
      <c r="F25" s="25">
        <f>IF(E25="","",IF(COUNTIF(lst_Jobs,E25&amp;"")&gt;0,"OK","CHECK"))</f>
        <v/>
      </c>
      <c r="G25" s="24" t="inlineStr">
        <is>
          <t>Aware Super Contract July 2026</t>
        </is>
      </c>
      <c r="H25" s="24" t="inlineStr">
        <is>
          <t>Onsite</t>
        </is>
      </c>
      <c r="I25" s="24" t="inlineStr">
        <is>
          <t>ONSITE</t>
        </is>
      </c>
      <c r="J25" s="24" t="inlineStr">
        <is>
          <t>Contract</t>
        </is>
      </c>
      <c r="K25" s="24" t="inlineStr">
        <is>
          <t>GST 10%</t>
        </is>
      </c>
      <c r="L25" s="26" t="n">
        <v>11000</v>
      </c>
      <c r="M25" s="27">
        <f>IF(L25="","",IF(K25="GST 10%",ROUND(L25*set_GSTRate,2),0))</f>
        <v/>
      </c>
      <c r="N25" s="27">
        <f>IF(L25="","",L25+M25)</f>
        <v/>
      </c>
      <c r="O25" s="24" t="inlineStr">
        <is>
          <t>41100</t>
        </is>
      </c>
      <c r="P25" s="24" t="inlineStr">
        <is>
          <t>Y</t>
        </is>
      </c>
      <c r="Q25" s="24" t="inlineStr">
        <is>
          <t>N</t>
        </is>
      </c>
      <c r="R25" s="22" t="n"/>
      <c r="S25" s="22" t="n"/>
      <c r="T25" s="24" t="inlineStr">
        <is>
          <t>Invoiced</t>
        </is>
      </c>
      <c r="U25" s="24" t="n"/>
      <c r="V25" s="25">
        <f>IF(COUNTA(A25,D25,C25,L25)=0,"",IF(A25="","No date - sits outside every month",IF(E25="","No job number",IF(F25="CHECK","Job number is not in the Xero job list",IF(I25="","No cost centre",IF(AND(P25="Y",C25=""),"Marked posted to Xero but has no invoice number",IF(AND(L25&lt;&gt;"",K25=""),"No tax code",IF(AND(L25&lt;&gt;"",O25=""),"No revenue GL code",""))))))))</f>
        <v/>
      </c>
      <c r="W25" s="25">
        <f>IF(E25="","",IFERROR(INDEX(lst_JobName,MATCH(E25&amp;"",lst_Jobs,0)),""))</f>
        <v/>
      </c>
      <c r="X25" s="28">
        <f>IF(E25="","",COUNTIFS(tbl_Finance[Job Number],E25&amp;"",tbl_Finance[Ex GST],"&lt;&gt;"))</f>
        <v/>
      </c>
      <c r="Y25" s="27">
        <f>IF(E25="","",SUMIFS(tbl_Finance[Ex GST],tbl_Finance[Job Number],E25&amp;""))</f>
        <v/>
      </c>
      <c r="Z25" s="27">
        <f>IF(E25="","",SUMIFS(tbl_Finance[Ex GST],tbl_Finance[Job Number],E25&amp;"",tbl_Finance[Xero Invoice No],"&lt;&gt;"))</f>
        <v/>
      </c>
      <c r="AA25" s="27">
        <f>IF(E25="","",Y25-Z25)</f>
        <v/>
      </c>
      <c r="AB25" s="25">
        <f>IF(E25="","",IF(H25="Onsite",IFERROR(INDEX(tbl_Onsite[Qwilr Quote],MATCH(E25&amp;"",tbl_Onsite[Job Number],0)),""),IF(H25="Production",IFERROR(INDEX(tbl_Production[Current RMS No],MATCH(E25&amp;"",tbl_Production[Job Number],0)),""),IF(H25="Consulting",IFERROR(INDEX(tbl_Consulting[Qwilr Quote],MATCH(E25&amp;"",tbl_Consulting[Job Number],0)),""),""))))</f>
        <v/>
      </c>
      <c r="AC25" s="25">
        <f>IF(AB25="","",IF(AND(LEFT(AB25,4)&lt;&gt;"http",IF(H25="Production",set_RMSBase,set_QwilrBase)=""),"",HYPERLINK(IF(LEFT(AB25,4)="http",AB25,IF(H25="Production",set_RMSBase,set_QwilrBase)&amp;AB25),"Open")))</f>
        <v/>
      </c>
      <c r="AD25" s="27">
        <f>IF(E25="","",IF(H25="Production",IFERROR(INDEX(tbl_Production[Total Expense],MATCH(E25&amp;"",tbl_Production[Job Number],0)),0),IF(H25="Consulting",IFERROR(INDEX(tbl_Consulting[Total Expense],MATCH(E25&amp;"",tbl_Consulting[Job Number],0)),0),0)))</f>
        <v/>
      </c>
      <c r="AE25" s="27">
        <f>IF(E25="","",Y25-N(AD25))</f>
        <v/>
      </c>
      <c r="AF25" s="29">
        <f>IFERROR(AE25/Y25,"")</f>
        <v/>
      </c>
      <c r="AG25" s="25">
        <f>IF(E25="","",IF(H25="Onsite",IFERROR(INDEX(tbl_Onsite[Notes],MATCH(E25&amp;"",tbl_Onsite[Job Number],0)),""),IF(H25="Production",IFERROR(INDEX(tbl_Production[Notes],MATCH(E25&amp;"",tbl_Production[Job Number],0)),""),IF(H25="Consulting",IFERROR(INDEX(tbl_Consulting[Notes],MATCH(E25&amp;"",tbl_Consulting[Job Number],0)),""),""))))</f>
        <v/>
      </c>
    </row>
    <row r="26" ht="15" customHeight="1">
      <c r="A26" s="22" t="n">
        <v>46265</v>
      </c>
      <c r="B26" s="23">
        <f>IF(A26="","",EOMONTH(A26,0))</f>
        <v/>
      </c>
      <c r="C26" s="24" t="inlineStr">
        <is>
          <t>INV-10597</t>
        </is>
      </c>
      <c r="D26" s="24" t="inlineStr">
        <is>
          <t>DTTL</t>
        </is>
      </c>
      <c r="E26" s="24" t="inlineStr">
        <is>
          <t>2608502</t>
        </is>
      </c>
      <c r="F26" s="25">
        <f>IF(E26="","",IF(COUNTIF(lst_Jobs,E26&amp;"")&gt;0,"OK","CHECK"))</f>
        <v/>
      </c>
      <c r="G26" s="24" t="inlineStr">
        <is>
          <t>DTTL Additionals August 2026</t>
        </is>
      </c>
      <c r="H26" s="24" t="inlineStr">
        <is>
          <t>Onsite</t>
        </is>
      </c>
      <c r="I26" s="24" t="inlineStr">
        <is>
          <t>ONSITE</t>
        </is>
      </c>
      <c r="J26" s="24" t="inlineStr">
        <is>
          <t>Contract</t>
        </is>
      </c>
      <c r="K26" s="24" t="inlineStr">
        <is>
          <t>GST 10%</t>
        </is>
      </c>
      <c r="L26" s="26" t="n">
        <v>1275</v>
      </c>
      <c r="M26" s="27">
        <f>IF(L26="","",IF(K26="GST 10%",ROUND(L26*set_GSTRate,2),0))</f>
        <v/>
      </c>
      <c r="N26" s="27">
        <f>IF(L26="","",L26+M26)</f>
        <v/>
      </c>
      <c r="O26" s="24" t="inlineStr">
        <is>
          <t>41100</t>
        </is>
      </c>
      <c r="P26" s="24" t="inlineStr">
        <is>
          <t>Y</t>
        </is>
      </c>
      <c r="Q26" s="24" t="inlineStr">
        <is>
          <t>N</t>
        </is>
      </c>
      <c r="R26" s="22" t="n"/>
      <c r="S26" s="22" t="n"/>
      <c r="T26" s="24" t="inlineStr">
        <is>
          <t>Invoiced</t>
        </is>
      </c>
      <c r="U26" s="24" t="inlineStr">
        <is>
          <t>8419.62 differe from invoice amount</t>
        </is>
      </c>
      <c r="V26" s="25">
        <f>IF(COUNTA(A26,D26,C26,L26)=0,"",IF(A26="","No date - sits outside every month",IF(E26="","No job number",IF(F26="CHECK","Job number is not in the Xero job list",IF(I26="","No cost centre",IF(AND(P26="Y",C26=""),"Marked posted to Xero but has no invoice number",IF(AND(L26&lt;&gt;"",K26=""),"No tax code",IF(AND(L26&lt;&gt;"",O26=""),"No revenue GL code",""))))))))</f>
        <v/>
      </c>
      <c r="W26" s="25">
        <f>IF(E26="","",IFERROR(INDEX(lst_JobName,MATCH(E26&amp;"",lst_Jobs,0)),""))</f>
        <v/>
      </c>
      <c r="X26" s="28">
        <f>IF(E26="","",COUNTIFS(tbl_Finance[Job Number],E26&amp;"",tbl_Finance[Ex GST],"&lt;&gt;"))</f>
        <v/>
      </c>
      <c r="Y26" s="27">
        <f>IF(E26="","",SUMIFS(tbl_Finance[Ex GST],tbl_Finance[Job Number],E26&amp;""))</f>
        <v/>
      </c>
      <c r="Z26" s="27">
        <f>IF(E26="","",SUMIFS(tbl_Finance[Ex GST],tbl_Finance[Job Number],E26&amp;"",tbl_Finance[Xero Invoice No],"&lt;&gt;"))</f>
        <v/>
      </c>
      <c r="AA26" s="27">
        <f>IF(E26="","",Y26-Z26)</f>
        <v/>
      </c>
      <c r="AB26" s="25">
        <f>IF(E26="","",IF(H26="Onsite",IFERROR(INDEX(tbl_Onsite[Qwilr Quote],MATCH(E26&amp;"",tbl_Onsite[Job Number],0)),""),IF(H26="Production",IFERROR(INDEX(tbl_Production[Current RMS No],MATCH(E26&amp;"",tbl_Production[Job Number],0)),""),IF(H26="Consulting",IFERROR(INDEX(tbl_Consulting[Qwilr Quote],MATCH(E26&amp;"",tbl_Consulting[Job Number],0)),""),""))))</f>
        <v/>
      </c>
      <c r="AC26" s="25">
        <f>IF(AB26="","",IF(AND(LEFT(AB26,4)&lt;&gt;"http",IF(H26="Production",set_RMSBase,set_QwilrBase)=""),"",HYPERLINK(IF(LEFT(AB26,4)="http",AB26,IF(H26="Production",set_RMSBase,set_QwilrBase)&amp;AB26),"Open")))</f>
        <v/>
      </c>
      <c r="AD26" s="27">
        <f>IF(E26="","",IF(H26="Production",IFERROR(INDEX(tbl_Production[Total Expense],MATCH(E26&amp;"",tbl_Production[Job Number],0)),0),IF(H26="Consulting",IFERROR(INDEX(tbl_Consulting[Total Expense],MATCH(E26&amp;"",tbl_Consulting[Job Number],0)),0),0)))</f>
        <v/>
      </c>
      <c r="AE26" s="27">
        <f>IF(E26="","",Y26-N(AD26))</f>
        <v/>
      </c>
      <c r="AF26" s="29">
        <f>IFERROR(AE26/Y26,"")</f>
        <v/>
      </c>
      <c r="AG26" s="25">
        <f>IF(E26="","",IF(H26="Onsite",IFERROR(INDEX(tbl_Onsite[Notes],MATCH(E26&amp;"",tbl_Onsite[Job Number],0)),""),IF(H26="Production",IFERROR(INDEX(tbl_Production[Notes],MATCH(E26&amp;"",tbl_Production[Job Number],0)),""),IF(H26="Consulting",IFERROR(INDEX(tbl_Consulting[Notes],MATCH(E26&amp;"",tbl_Consulting[Job Number],0)),""),""))))</f>
        <v/>
      </c>
    </row>
    <row r="27" ht="15" customHeight="1">
      <c r="A27" s="22" t="n">
        <v>46265</v>
      </c>
      <c r="B27" s="23">
        <f>IF(A27="","",EOMONTH(A27,0))</f>
        <v/>
      </c>
      <c r="C27" s="24" t="inlineStr">
        <is>
          <t>INV-10598</t>
        </is>
      </c>
      <c r="D27" s="24" t="inlineStr">
        <is>
          <t>PWC</t>
        </is>
      </c>
      <c r="E27" s="24" t="inlineStr">
        <is>
          <t>26073102</t>
        </is>
      </c>
      <c r="F27" s="25">
        <f>IF(E27="","",IF(COUNTIF(lst_Jobs,E27&amp;"")&gt;0,"OK","CHECK"))</f>
        <v/>
      </c>
      <c r="G27" s="24" t="inlineStr">
        <is>
          <t>Pool of Hours - National AV/IT Support</t>
        </is>
      </c>
      <c r="H27" s="24" t="inlineStr">
        <is>
          <t>Onsite</t>
        </is>
      </c>
      <c r="I27" s="24" t="inlineStr">
        <is>
          <t>ONSITE</t>
        </is>
      </c>
      <c r="J27" s="24" t="inlineStr">
        <is>
          <t>Contract</t>
        </is>
      </c>
      <c r="K27" s="24" t="inlineStr">
        <is>
          <t>GST 10%</t>
        </is>
      </c>
      <c r="L27" s="26" t="n">
        <v>8500</v>
      </c>
      <c r="M27" s="27">
        <f>IF(L27="","",IF(K27="GST 10%",ROUND(L27*set_GSTRate,2),0))</f>
        <v/>
      </c>
      <c r="N27" s="27">
        <f>IF(L27="","",L27+M27)</f>
        <v/>
      </c>
      <c r="O27" s="24" t="inlineStr">
        <is>
          <t>41100</t>
        </is>
      </c>
      <c r="P27" s="24" t="inlineStr">
        <is>
          <t>Y</t>
        </is>
      </c>
      <c r="Q27" s="24" t="inlineStr">
        <is>
          <t>N</t>
        </is>
      </c>
      <c r="R27" s="22" t="n"/>
      <c r="S27" s="22" t="n"/>
      <c r="T27" s="24" t="inlineStr">
        <is>
          <t>Invoiced</t>
        </is>
      </c>
      <c r="U27" s="24" t="n"/>
      <c r="V27" s="25">
        <f>IF(COUNTA(A27,D27,C27,L27)=0,"",IF(A27="","No date - sits outside every month",IF(E27="","No job number",IF(F27="CHECK","Job number is not in the Xero job list",IF(I27="","No cost centre",IF(AND(P27="Y",C27=""),"Marked posted to Xero but has no invoice number",IF(AND(L27&lt;&gt;"",K27=""),"No tax code",IF(AND(L27&lt;&gt;"",O27=""),"No revenue GL code",""))))))))</f>
        <v/>
      </c>
      <c r="W27" s="25">
        <f>IF(E27="","",IFERROR(INDEX(lst_JobName,MATCH(E27&amp;"",lst_Jobs,0)),""))</f>
        <v/>
      </c>
      <c r="X27" s="28">
        <f>IF(E27="","",COUNTIFS(tbl_Finance[Job Number],E27&amp;"",tbl_Finance[Ex GST],"&lt;&gt;"))</f>
        <v/>
      </c>
      <c r="Y27" s="27">
        <f>IF(E27="","",SUMIFS(tbl_Finance[Ex GST],tbl_Finance[Job Number],E27&amp;""))</f>
        <v/>
      </c>
      <c r="Z27" s="27">
        <f>IF(E27="","",SUMIFS(tbl_Finance[Ex GST],tbl_Finance[Job Number],E27&amp;"",tbl_Finance[Xero Invoice No],"&lt;&gt;"))</f>
        <v/>
      </c>
      <c r="AA27" s="27">
        <f>IF(E27="","",Y27-Z27)</f>
        <v/>
      </c>
      <c r="AB27" s="25">
        <f>IF(E27="","",IF(H27="Onsite",IFERROR(INDEX(tbl_Onsite[Qwilr Quote],MATCH(E27&amp;"",tbl_Onsite[Job Number],0)),""),IF(H27="Production",IFERROR(INDEX(tbl_Production[Current RMS No],MATCH(E27&amp;"",tbl_Production[Job Number],0)),""),IF(H27="Consulting",IFERROR(INDEX(tbl_Consulting[Qwilr Quote],MATCH(E27&amp;"",tbl_Consulting[Job Number],0)),""),""))))</f>
        <v/>
      </c>
      <c r="AC27" s="25">
        <f>IF(AB27="","",IF(AND(LEFT(AB27,4)&lt;&gt;"http",IF(H27="Production",set_RMSBase,set_QwilrBase)=""),"",HYPERLINK(IF(LEFT(AB27,4)="http",AB27,IF(H27="Production",set_RMSBase,set_QwilrBase)&amp;AB27),"Open")))</f>
        <v/>
      </c>
      <c r="AD27" s="27">
        <f>IF(E27="","",IF(H27="Production",IFERROR(INDEX(tbl_Production[Total Expense],MATCH(E27&amp;"",tbl_Production[Job Number],0)),0),IF(H27="Consulting",IFERROR(INDEX(tbl_Consulting[Total Expense],MATCH(E27&amp;"",tbl_Consulting[Job Number],0)),0),0)))</f>
        <v/>
      </c>
      <c r="AE27" s="27">
        <f>IF(E27="","",Y27-N(AD27))</f>
        <v/>
      </c>
      <c r="AF27" s="29">
        <f>IFERROR(AE27/Y27,"")</f>
        <v/>
      </c>
      <c r="AG27" s="25">
        <f>IF(E27="","",IF(H27="Onsite",IFERROR(INDEX(tbl_Onsite[Notes],MATCH(E27&amp;"",tbl_Onsite[Job Number],0)),""),IF(H27="Production",IFERROR(INDEX(tbl_Production[Notes],MATCH(E27&amp;"",tbl_Production[Job Number],0)),""),IF(H27="Consulting",IFERROR(INDEX(tbl_Consulting[Notes],MATCH(E27&amp;"",tbl_Consulting[Job Number],0)),""),""))))</f>
        <v/>
      </c>
    </row>
    <row r="28" ht="15" customHeight="1">
      <c r="A28" s="22" t="n">
        <v>46265</v>
      </c>
      <c r="B28" s="23">
        <f>IF(A28="","",EOMONTH(A28,0))</f>
        <v/>
      </c>
      <c r="C28" s="24" t="inlineStr">
        <is>
          <t>INV-10565</t>
        </is>
      </c>
      <c r="D28" s="24" t="inlineStr">
        <is>
          <t>CBA</t>
        </is>
      </c>
      <c r="E28" s="24" t="inlineStr">
        <is>
          <t>1350</t>
        </is>
      </c>
      <c r="F28" s="25">
        <f>IF(E28="","",IF(COUNTIF(lst_Jobs,E28&amp;"")&gt;0,"OK","CHECK"))</f>
        <v/>
      </c>
      <c r="G28" s="24" t="inlineStr">
        <is>
          <t>CBA BNE August 2026</t>
        </is>
      </c>
      <c r="H28" s="24" t="inlineStr">
        <is>
          <t>Onsite</t>
        </is>
      </c>
      <c r="I28" s="24" t="inlineStr">
        <is>
          <t>ONSITE</t>
        </is>
      </c>
      <c r="J28" s="24" t="inlineStr">
        <is>
          <t>Contract</t>
        </is>
      </c>
      <c r="K28" s="24" t="inlineStr">
        <is>
          <t>GST 10%</t>
        </is>
      </c>
      <c r="L28" s="26" t="n">
        <v>8022.5</v>
      </c>
      <c r="M28" s="27">
        <f>IF(L28="","",IF(K28="GST 10%",ROUND(L28*set_GSTRate,2),0))</f>
        <v/>
      </c>
      <c r="N28" s="27">
        <f>IF(L28="","",L28+M28)</f>
        <v/>
      </c>
      <c r="O28" s="24" t="inlineStr">
        <is>
          <t>41100</t>
        </is>
      </c>
      <c r="P28" s="24" t="inlineStr">
        <is>
          <t>Y</t>
        </is>
      </c>
      <c r="Q28" s="24" t="inlineStr">
        <is>
          <t>N</t>
        </is>
      </c>
      <c r="R28" s="22" t="n"/>
      <c r="S28" s="22" t="n"/>
      <c r="T28" s="24" t="inlineStr">
        <is>
          <t>Invoiced</t>
        </is>
      </c>
      <c r="U28" s="24" t="n"/>
      <c r="V28" s="25">
        <f>IF(COUNTA(A28,D28,C28,L28)=0,"",IF(A28="","No date - sits outside every month",IF(E28="","No job number",IF(F28="CHECK","Job number is not in the Xero job list",IF(I28="","No cost centre",IF(AND(P28="Y",C28=""),"Marked posted to Xero but has no invoice number",IF(AND(L28&lt;&gt;"",K28=""),"No tax code",IF(AND(L28&lt;&gt;"",O28=""),"No revenue GL code",""))))))))</f>
        <v/>
      </c>
      <c r="W28" s="25">
        <f>IF(E28="","",IFERROR(INDEX(lst_JobName,MATCH(E28&amp;"",lst_Jobs,0)),""))</f>
        <v/>
      </c>
      <c r="X28" s="28">
        <f>IF(E28="","",COUNTIFS(tbl_Finance[Job Number],E28&amp;"",tbl_Finance[Ex GST],"&lt;&gt;"))</f>
        <v/>
      </c>
      <c r="Y28" s="27">
        <f>IF(E28="","",SUMIFS(tbl_Finance[Ex GST],tbl_Finance[Job Number],E28&amp;""))</f>
        <v/>
      </c>
      <c r="Z28" s="27">
        <f>IF(E28="","",SUMIFS(tbl_Finance[Ex GST],tbl_Finance[Job Number],E28&amp;"",tbl_Finance[Xero Invoice No],"&lt;&gt;"))</f>
        <v/>
      </c>
      <c r="AA28" s="27">
        <f>IF(E28="","",Y28-Z28)</f>
        <v/>
      </c>
      <c r="AB28" s="25">
        <f>IF(E28="","",IF(H28="Onsite",IFERROR(INDEX(tbl_Onsite[Qwilr Quote],MATCH(E28&amp;"",tbl_Onsite[Job Number],0)),""),IF(H28="Production",IFERROR(INDEX(tbl_Production[Current RMS No],MATCH(E28&amp;"",tbl_Production[Job Number],0)),""),IF(H28="Consulting",IFERROR(INDEX(tbl_Consulting[Qwilr Quote],MATCH(E28&amp;"",tbl_Consulting[Job Number],0)),""),""))))</f>
        <v/>
      </c>
      <c r="AC28" s="25">
        <f>IF(AB28="","",IF(AND(LEFT(AB28,4)&lt;&gt;"http",IF(H28="Production",set_RMSBase,set_QwilrBase)=""),"",HYPERLINK(IF(LEFT(AB28,4)="http",AB28,IF(H28="Production",set_RMSBase,set_QwilrBase)&amp;AB28),"Open")))</f>
        <v/>
      </c>
      <c r="AD28" s="27">
        <f>IF(E28="","",IF(H28="Production",IFERROR(INDEX(tbl_Production[Total Expense],MATCH(E28&amp;"",tbl_Production[Job Number],0)),0),IF(H28="Consulting",IFERROR(INDEX(tbl_Consulting[Total Expense],MATCH(E28&amp;"",tbl_Consulting[Job Number],0)),0),0)))</f>
        <v/>
      </c>
      <c r="AE28" s="27">
        <f>IF(E28="","",Y28-N(AD28))</f>
        <v/>
      </c>
      <c r="AF28" s="29">
        <f>IFERROR(AE28/Y28,"")</f>
        <v/>
      </c>
      <c r="AG28" s="25">
        <f>IF(E28="","",IF(H28="Onsite",IFERROR(INDEX(tbl_Onsite[Notes],MATCH(E28&amp;"",tbl_Onsite[Job Number],0)),""),IF(H28="Production",IFERROR(INDEX(tbl_Production[Notes],MATCH(E28&amp;"",tbl_Production[Job Number],0)),""),IF(H28="Consulting",IFERROR(INDEX(tbl_Consulting[Notes],MATCH(E28&amp;"",tbl_Consulting[Job Number],0)),""),""))))</f>
        <v/>
      </c>
    </row>
    <row r="29" ht="15" customHeight="1">
      <c r="A29" s="22" t="n"/>
      <c r="B29" s="23">
        <f>IF(A29="","",EOMONTH(A29,0))</f>
        <v/>
      </c>
      <c r="C29" s="24" t="n"/>
      <c r="D29" s="24" t="inlineStr">
        <is>
          <t>CBA</t>
        </is>
      </c>
      <c r="E29" s="24" t="inlineStr">
        <is>
          <t>585/586/1755</t>
        </is>
      </c>
      <c r="F29" s="25">
        <f>IF(E29="","",IF(COUNTIF(lst_Jobs,E29&amp;"")&gt;0,"OK","CHECK"))</f>
        <v/>
      </c>
      <c r="G29" s="24" t="inlineStr">
        <is>
          <t>CBP August 2026</t>
        </is>
      </c>
      <c r="H29" s="24" t="inlineStr">
        <is>
          <t>Onsite</t>
        </is>
      </c>
      <c r="I29" s="24" t="inlineStr">
        <is>
          <t>ONSITE</t>
        </is>
      </c>
      <c r="J29" s="24" t="inlineStr">
        <is>
          <t>Contract</t>
        </is>
      </c>
      <c r="K29" s="24" t="inlineStr">
        <is>
          <t>GST 10%</t>
        </is>
      </c>
      <c r="L29" s="26" t="n"/>
      <c r="M29" s="27">
        <f>IF(L29="","",IF(K29="GST 10%",ROUND(L29*set_GSTRate,2),0))</f>
        <v/>
      </c>
      <c r="N29" s="27">
        <f>IF(L29="","",L29+M29)</f>
        <v/>
      </c>
      <c r="O29" s="24" t="inlineStr">
        <is>
          <t>41100</t>
        </is>
      </c>
      <c r="P29" s="24" t="inlineStr">
        <is>
          <t>N</t>
        </is>
      </c>
      <c r="Q29" s="24" t="inlineStr">
        <is>
          <t>N</t>
        </is>
      </c>
      <c r="R29" s="22" t="n"/>
      <c r="S29" s="22" t="n"/>
      <c r="T29" s="24" t="inlineStr">
        <is>
          <t>To Invoice</t>
        </is>
      </c>
      <c r="U29" s="24" t="n"/>
      <c r="V29" s="25">
        <f>IF(COUNTA(A29,D29,C29,L29)=0,"",IF(A29="","No date - sits outside every month",IF(E29="","No job number",IF(F29="CHECK","Job number is not in the Xero job list",IF(I29="","No cost centre",IF(AND(P29="Y",C29=""),"Marked posted to Xero but has no invoice number",IF(AND(L29&lt;&gt;"",K29=""),"No tax code",IF(AND(L29&lt;&gt;"",O29=""),"No revenue GL code",""))))))))</f>
        <v/>
      </c>
      <c r="W29" s="25">
        <f>IF(E29="","",IFERROR(INDEX(lst_JobName,MATCH(E29&amp;"",lst_Jobs,0)),""))</f>
        <v/>
      </c>
      <c r="X29" s="28">
        <f>IF(E29="","",COUNTIFS(tbl_Finance[Job Number],E29&amp;"",tbl_Finance[Ex GST],"&lt;&gt;"))</f>
        <v/>
      </c>
      <c r="Y29" s="27">
        <f>IF(E29="","",SUMIFS(tbl_Finance[Ex GST],tbl_Finance[Job Number],E29&amp;""))</f>
        <v/>
      </c>
      <c r="Z29" s="27">
        <f>IF(E29="","",SUMIFS(tbl_Finance[Ex GST],tbl_Finance[Job Number],E29&amp;"",tbl_Finance[Xero Invoice No],"&lt;&gt;"))</f>
        <v/>
      </c>
      <c r="AA29" s="27">
        <f>IF(E29="","",Y29-Z29)</f>
        <v/>
      </c>
      <c r="AB29" s="25">
        <f>IF(E29="","",IF(H29="Onsite",IFERROR(INDEX(tbl_Onsite[Qwilr Quote],MATCH(E29&amp;"",tbl_Onsite[Job Number],0)),""),IF(H29="Production",IFERROR(INDEX(tbl_Production[Current RMS No],MATCH(E29&amp;"",tbl_Production[Job Number],0)),""),IF(H29="Consulting",IFERROR(INDEX(tbl_Consulting[Qwilr Quote],MATCH(E29&amp;"",tbl_Consulting[Job Number],0)),""),""))))</f>
        <v/>
      </c>
      <c r="AC29" s="25">
        <f>IF(AB29="","",IF(AND(LEFT(AB29,4)&lt;&gt;"http",IF(H29="Production",set_RMSBase,set_QwilrBase)=""),"",HYPERLINK(IF(LEFT(AB29,4)="http",AB29,IF(H29="Production",set_RMSBase,set_QwilrBase)&amp;AB29),"Open")))</f>
        <v/>
      </c>
      <c r="AD29" s="27">
        <f>IF(E29="","",IF(H29="Production",IFERROR(INDEX(tbl_Production[Total Expense],MATCH(E29&amp;"",tbl_Production[Job Number],0)),0),IF(H29="Consulting",IFERROR(INDEX(tbl_Consulting[Total Expense],MATCH(E29&amp;"",tbl_Consulting[Job Number],0)),0),0)))</f>
        <v/>
      </c>
      <c r="AE29" s="27">
        <f>IF(E29="","",Y29-N(AD29))</f>
        <v/>
      </c>
      <c r="AF29" s="29">
        <f>IFERROR(AE29/Y29,"")</f>
        <v/>
      </c>
      <c r="AG29" s="25">
        <f>IF(E29="","",IF(H29="Onsite",IFERROR(INDEX(tbl_Onsite[Notes],MATCH(E29&amp;"",tbl_Onsite[Job Number],0)),""),IF(H29="Production",IFERROR(INDEX(tbl_Production[Notes],MATCH(E29&amp;"",tbl_Production[Job Number],0)),""),IF(H29="Consulting",IFERROR(INDEX(tbl_Consulting[Notes],MATCH(E29&amp;"",tbl_Consulting[Job Number],0)),""),""))))</f>
        <v/>
      </c>
    </row>
    <row r="30" ht="15" customHeight="1">
      <c r="A30" s="22" t="n"/>
      <c r="B30" s="23">
        <f>IF(A30="","",EOMONTH(A30,0))</f>
        <v/>
      </c>
      <c r="C30" s="24" t="n"/>
      <c r="D30" s="24" t="inlineStr">
        <is>
          <t>CBA</t>
        </is>
      </c>
      <c r="E30" s="24" t="inlineStr">
        <is>
          <t>587</t>
        </is>
      </c>
      <c r="F30" s="25">
        <f>IF(E30="","",IF(COUNTIF(lst_Jobs,E30&amp;"")&gt;0,"OK","CHECK"))</f>
        <v/>
      </c>
      <c r="G30" s="24" t="inlineStr">
        <is>
          <t>CBS August 2026</t>
        </is>
      </c>
      <c r="H30" s="24" t="inlineStr">
        <is>
          <t>Onsite</t>
        </is>
      </c>
      <c r="I30" s="24" t="inlineStr">
        <is>
          <t>ONSITE</t>
        </is>
      </c>
      <c r="J30" s="24" t="inlineStr">
        <is>
          <t>Contract</t>
        </is>
      </c>
      <c r="K30" s="24" t="inlineStr">
        <is>
          <t>GST 10%</t>
        </is>
      </c>
      <c r="L30" s="26" t="n"/>
      <c r="M30" s="27">
        <f>IF(L30="","",IF(K30="GST 10%",ROUND(L30*set_GSTRate,2),0))</f>
        <v/>
      </c>
      <c r="N30" s="27">
        <f>IF(L30="","",L30+M30)</f>
        <v/>
      </c>
      <c r="O30" s="24" t="inlineStr">
        <is>
          <t>41100</t>
        </is>
      </c>
      <c r="P30" s="24" t="inlineStr">
        <is>
          <t>N</t>
        </is>
      </c>
      <c r="Q30" s="24" t="inlineStr">
        <is>
          <t>N</t>
        </is>
      </c>
      <c r="R30" s="22" t="n"/>
      <c r="S30" s="22" t="n"/>
      <c r="T30" s="24" t="inlineStr">
        <is>
          <t>To Invoice</t>
        </is>
      </c>
      <c r="U30" s="24" t="n"/>
      <c r="V30" s="25">
        <f>IF(COUNTA(A30,D30,C30,L30)=0,"",IF(A30="","No date - sits outside every month",IF(E30="","No job number",IF(F30="CHECK","Job number is not in the Xero job list",IF(I30="","No cost centre",IF(AND(P30="Y",C30=""),"Marked posted to Xero but has no invoice number",IF(AND(L30&lt;&gt;"",K30=""),"No tax code",IF(AND(L30&lt;&gt;"",O30=""),"No revenue GL code",""))))))))</f>
        <v/>
      </c>
      <c r="W30" s="25">
        <f>IF(E30="","",IFERROR(INDEX(lst_JobName,MATCH(E30&amp;"",lst_Jobs,0)),""))</f>
        <v/>
      </c>
      <c r="X30" s="28">
        <f>IF(E30="","",COUNTIFS(tbl_Finance[Job Number],E30&amp;"",tbl_Finance[Ex GST],"&lt;&gt;"))</f>
        <v/>
      </c>
      <c r="Y30" s="27">
        <f>IF(E30="","",SUMIFS(tbl_Finance[Ex GST],tbl_Finance[Job Number],E30&amp;""))</f>
        <v/>
      </c>
      <c r="Z30" s="27">
        <f>IF(E30="","",SUMIFS(tbl_Finance[Ex GST],tbl_Finance[Job Number],E30&amp;"",tbl_Finance[Xero Invoice No],"&lt;&gt;"))</f>
        <v/>
      </c>
      <c r="AA30" s="27">
        <f>IF(E30="","",Y30-Z30)</f>
        <v/>
      </c>
      <c r="AB30" s="25">
        <f>IF(E30="","",IF(H30="Onsite",IFERROR(INDEX(tbl_Onsite[Qwilr Quote],MATCH(E30&amp;"",tbl_Onsite[Job Number],0)),""),IF(H30="Production",IFERROR(INDEX(tbl_Production[Current RMS No],MATCH(E30&amp;"",tbl_Production[Job Number],0)),""),IF(H30="Consulting",IFERROR(INDEX(tbl_Consulting[Qwilr Quote],MATCH(E30&amp;"",tbl_Consulting[Job Number],0)),""),""))))</f>
        <v/>
      </c>
      <c r="AC30" s="25">
        <f>IF(AB30="","",IF(AND(LEFT(AB30,4)&lt;&gt;"http",IF(H30="Production",set_RMSBase,set_QwilrBase)=""),"",HYPERLINK(IF(LEFT(AB30,4)="http",AB30,IF(H30="Production",set_RMSBase,set_QwilrBase)&amp;AB30),"Open")))</f>
        <v/>
      </c>
      <c r="AD30" s="27">
        <f>IF(E30="","",IF(H30="Production",IFERROR(INDEX(tbl_Production[Total Expense],MATCH(E30&amp;"",tbl_Production[Job Number],0)),0),IF(H30="Consulting",IFERROR(INDEX(tbl_Consulting[Total Expense],MATCH(E30&amp;"",tbl_Consulting[Job Number],0)),0),0)))</f>
        <v/>
      </c>
      <c r="AE30" s="27">
        <f>IF(E30="","",Y30-N(AD30))</f>
        <v/>
      </c>
      <c r="AF30" s="29">
        <f>IFERROR(AE30/Y30,"")</f>
        <v/>
      </c>
      <c r="AG30" s="25">
        <f>IF(E30="","",IF(H30="Onsite",IFERROR(INDEX(tbl_Onsite[Notes],MATCH(E30&amp;"",tbl_Onsite[Job Number],0)),""),IF(H30="Production",IFERROR(INDEX(tbl_Production[Notes],MATCH(E30&amp;"",tbl_Production[Job Number],0)),""),IF(H30="Consulting",IFERROR(INDEX(tbl_Consulting[Notes],MATCH(E30&amp;"",tbl_Consulting[Job Number],0)),""),""))))</f>
        <v/>
      </c>
    </row>
    <row r="31" ht="15" customHeight="1">
      <c r="A31" s="22" t="n">
        <v>46265</v>
      </c>
      <c r="B31" s="23">
        <f>IF(A31="","",EOMONTH(A31,0))</f>
        <v/>
      </c>
      <c r="C31" s="24" t="inlineStr">
        <is>
          <t>INV-10569</t>
        </is>
      </c>
      <c r="D31" s="24" t="inlineStr">
        <is>
          <t>DTTL</t>
        </is>
      </c>
      <c r="E31" s="24" t="inlineStr">
        <is>
          <t>2846/1401/725/1400/1530/1862/2402/2849/974</t>
        </is>
      </c>
      <c r="F31" s="25">
        <f>IF(E31="","",IF(COUNTIF(lst_Jobs,E31&amp;"")&gt;0,"OK","CHECK"))</f>
        <v/>
      </c>
      <c r="G31" s="24" t="inlineStr">
        <is>
          <t>DTTL Contract August 2026</t>
        </is>
      </c>
      <c r="H31" s="24" t="inlineStr">
        <is>
          <t>Onsite</t>
        </is>
      </c>
      <c r="I31" s="24" t="inlineStr">
        <is>
          <t>ONSITE</t>
        </is>
      </c>
      <c r="J31" s="24" t="inlineStr">
        <is>
          <t>Contract</t>
        </is>
      </c>
      <c r="K31" s="24" t="inlineStr">
        <is>
          <t>GST 10%</t>
        </is>
      </c>
      <c r="L31" s="26" t="n">
        <v>103625.44</v>
      </c>
      <c r="M31" s="27">
        <f>IF(L31="","",IF(K31="GST 10%",ROUND(L31*set_GSTRate,2),0))</f>
        <v/>
      </c>
      <c r="N31" s="27">
        <f>IF(L31="","",L31+M31)</f>
        <v/>
      </c>
      <c r="O31" s="24" t="inlineStr">
        <is>
          <t>41100</t>
        </is>
      </c>
      <c r="P31" s="24" t="inlineStr">
        <is>
          <t>Y</t>
        </is>
      </c>
      <c r="Q31" s="24" t="inlineStr">
        <is>
          <t>N</t>
        </is>
      </c>
      <c r="R31" s="22" t="n"/>
      <c r="S31" s="22" t="n"/>
      <c r="T31" s="24" t="inlineStr">
        <is>
          <t>Invoiced</t>
        </is>
      </c>
      <c r="U31" s="24" t="n"/>
      <c r="V31" s="25">
        <f>IF(COUNTA(A31,D31,C31,L31)=0,"",IF(A31="","No date - sits outside every month",IF(E31="","No job number",IF(F31="CHECK","Job number is not in the Xero job list",IF(I31="","No cost centre",IF(AND(P31="Y",C31=""),"Marked posted to Xero but has no invoice number",IF(AND(L31&lt;&gt;"",K31=""),"No tax code",IF(AND(L31&lt;&gt;"",O31=""),"No revenue GL code",""))))))))</f>
        <v/>
      </c>
      <c r="W31" s="25">
        <f>IF(E31="","",IFERROR(INDEX(lst_JobName,MATCH(E31&amp;"",lst_Jobs,0)),""))</f>
        <v/>
      </c>
      <c r="X31" s="28">
        <f>IF(E31="","",COUNTIFS(tbl_Finance[Job Number],E31&amp;"",tbl_Finance[Ex GST],"&lt;&gt;"))</f>
        <v/>
      </c>
      <c r="Y31" s="27">
        <f>IF(E31="","",SUMIFS(tbl_Finance[Ex GST],tbl_Finance[Job Number],E31&amp;""))</f>
        <v/>
      </c>
      <c r="Z31" s="27">
        <f>IF(E31="","",SUMIFS(tbl_Finance[Ex GST],tbl_Finance[Job Number],E31&amp;"",tbl_Finance[Xero Invoice No],"&lt;&gt;"))</f>
        <v/>
      </c>
      <c r="AA31" s="27">
        <f>IF(E31="","",Y31-Z31)</f>
        <v/>
      </c>
      <c r="AB31" s="25">
        <f>IF(E31="","",IF(H31="Onsite",IFERROR(INDEX(tbl_Onsite[Qwilr Quote],MATCH(E31&amp;"",tbl_Onsite[Job Number],0)),""),IF(H31="Production",IFERROR(INDEX(tbl_Production[Current RMS No],MATCH(E31&amp;"",tbl_Production[Job Number],0)),""),IF(H31="Consulting",IFERROR(INDEX(tbl_Consulting[Qwilr Quote],MATCH(E31&amp;"",tbl_Consulting[Job Number],0)),""),""))))</f>
        <v/>
      </c>
      <c r="AC31" s="25">
        <f>IF(AB31="","",IF(AND(LEFT(AB31,4)&lt;&gt;"http",IF(H31="Production",set_RMSBase,set_QwilrBase)=""),"",HYPERLINK(IF(LEFT(AB31,4)="http",AB31,IF(H31="Production",set_RMSBase,set_QwilrBase)&amp;AB31),"Open")))</f>
        <v/>
      </c>
      <c r="AD31" s="27">
        <f>IF(E31="","",IF(H31="Production",IFERROR(INDEX(tbl_Production[Total Expense],MATCH(E31&amp;"",tbl_Production[Job Number],0)),0),IF(H31="Consulting",IFERROR(INDEX(tbl_Consulting[Total Expense],MATCH(E31&amp;"",tbl_Consulting[Job Number],0)),0),0)))</f>
        <v/>
      </c>
      <c r="AE31" s="27">
        <f>IF(E31="","",Y31-N(AD31))</f>
        <v/>
      </c>
      <c r="AF31" s="29">
        <f>IFERROR(AE31/Y31,"")</f>
        <v/>
      </c>
      <c r="AG31" s="25">
        <f>IF(E31="","",IF(H31="Onsite",IFERROR(INDEX(tbl_Onsite[Notes],MATCH(E31&amp;"",tbl_Onsite[Job Number],0)),""),IF(H31="Production",IFERROR(INDEX(tbl_Production[Notes],MATCH(E31&amp;"",tbl_Production[Job Number],0)),""),IF(H31="Consulting",IFERROR(INDEX(tbl_Consulting[Notes],MATCH(E31&amp;"",tbl_Consulting[Job Number],0)),""),""))))</f>
        <v/>
      </c>
    </row>
    <row r="32" ht="15" customHeight="1">
      <c r="A32" s="22" t="n">
        <v>46265</v>
      </c>
      <c r="B32" s="23">
        <f>IF(A32="","",EOMONTH(A32,0))</f>
        <v/>
      </c>
      <c r="C32" s="24" t="inlineStr">
        <is>
          <t>INV-10570</t>
        </is>
      </c>
      <c r="D32" s="24" t="inlineStr">
        <is>
          <t>BW</t>
        </is>
      </c>
      <c r="E32" s="24" t="inlineStr">
        <is>
          <t>732/1144</t>
        </is>
      </c>
      <c r="F32" s="25">
        <f>IF(E32="","",IF(COUNTIF(lst_Jobs,E32&amp;"")&gt;0,"OK","CHECK"))</f>
        <v/>
      </c>
      <c r="G32" s="24" t="inlineStr">
        <is>
          <t>BW Contract August 2026</t>
        </is>
      </c>
      <c r="H32" s="24" t="inlineStr">
        <is>
          <t>Onsite</t>
        </is>
      </c>
      <c r="I32" s="24" t="inlineStr">
        <is>
          <t>ONSITE</t>
        </is>
      </c>
      <c r="J32" s="24" t="inlineStr">
        <is>
          <t>Contract</t>
        </is>
      </c>
      <c r="K32" s="24" t="inlineStr">
        <is>
          <t>GST 10%</t>
        </is>
      </c>
      <c r="L32" s="26" t="n">
        <v>15113.75</v>
      </c>
      <c r="M32" s="27">
        <f>IF(L32="","",IF(K32="GST 10%",ROUND(L32*set_GSTRate,2),0))</f>
        <v/>
      </c>
      <c r="N32" s="27">
        <f>IF(L32="","",L32+M32)</f>
        <v/>
      </c>
      <c r="O32" s="24" t="inlineStr">
        <is>
          <t>41100</t>
        </is>
      </c>
      <c r="P32" s="24" t="inlineStr">
        <is>
          <t>Y</t>
        </is>
      </c>
      <c r="Q32" s="24" t="inlineStr">
        <is>
          <t>N</t>
        </is>
      </c>
      <c r="R32" s="22" t="n"/>
      <c r="S32" s="22" t="n"/>
      <c r="T32" s="24" t="inlineStr">
        <is>
          <t>Invoiced</t>
        </is>
      </c>
      <c r="U32" s="24" t="n"/>
      <c r="V32" s="25">
        <f>IF(COUNTA(A32,D32,C32,L32)=0,"",IF(A32="","No date - sits outside every month",IF(E32="","No job number",IF(F32="CHECK","Job number is not in the Xero job list",IF(I32="","No cost centre",IF(AND(P32="Y",C32=""),"Marked posted to Xero but has no invoice number",IF(AND(L32&lt;&gt;"",K32=""),"No tax code",IF(AND(L32&lt;&gt;"",O32=""),"No revenue GL code",""))))))))</f>
        <v/>
      </c>
      <c r="W32" s="25">
        <f>IF(E32="","",IFERROR(INDEX(lst_JobName,MATCH(E32&amp;"",lst_Jobs,0)),""))</f>
        <v/>
      </c>
      <c r="X32" s="28">
        <f>IF(E32="","",COUNTIFS(tbl_Finance[Job Number],E32&amp;"",tbl_Finance[Ex GST],"&lt;&gt;"))</f>
        <v/>
      </c>
      <c r="Y32" s="27">
        <f>IF(E32="","",SUMIFS(tbl_Finance[Ex GST],tbl_Finance[Job Number],E32&amp;""))</f>
        <v/>
      </c>
      <c r="Z32" s="27">
        <f>IF(E32="","",SUMIFS(tbl_Finance[Ex GST],tbl_Finance[Job Number],E32&amp;"",tbl_Finance[Xero Invoice No],"&lt;&gt;"))</f>
        <v/>
      </c>
      <c r="AA32" s="27">
        <f>IF(E32="","",Y32-Z32)</f>
        <v/>
      </c>
      <c r="AB32" s="25">
        <f>IF(E32="","",IF(H32="Onsite",IFERROR(INDEX(tbl_Onsite[Qwilr Quote],MATCH(E32&amp;"",tbl_Onsite[Job Number],0)),""),IF(H32="Production",IFERROR(INDEX(tbl_Production[Current RMS No],MATCH(E32&amp;"",tbl_Production[Job Number],0)),""),IF(H32="Consulting",IFERROR(INDEX(tbl_Consulting[Qwilr Quote],MATCH(E32&amp;"",tbl_Consulting[Job Number],0)),""),""))))</f>
        <v/>
      </c>
      <c r="AC32" s="25">
        <f>IF(AB32="","",IF(AND(LEFT(AB32,4)&lt;&gt;"http",IF(H32="Production",set_RMSBase,set_QwilrBase)=""),"",HYPERLINK(IF(LEFT(AB32,4)="http",AB32,IF(H32="Production",set_RMSBase,set_QwilrBase)&amp;AB32),"Open")))</f>
        <v/>
      </c>
      <c r="AD32" s="27">
        <f>IF(E32="","",IF(H32="Production",IFERROR(INDEX(tbl_Production[Total Expense],MATCH(E32&amp;"",tbl_Production[Job Number],0)),0),IF(H32="Consulting",IFERROR(INDEX(tbl_Consulting[Total Expense],MATCH(E32&amp;"",tbl_Consulting[Job Number],0)),0),0)))</f>
        <v/>
      </c>
      <c r="AE32" s="27">
        <f>IF(E32="","",Y32-N(AD32))</f>
        <v/>
      </c>
      <c r="AF32" s="29">
        <f>IFERROR(AE32/Y32,"")</f>
        <v/>
      </c>
      <c r="AG32" s="25">
        <f>IF(E32="","",IF(H32="Onsite",IFERROR(INDEX(tbl_Onsite[Notes],MATCH(E32&amp;"",tbl_Onsite[Job Number],0)),""),IF(H32="Production",IFERROR(INDEX(tbl_Production[Notes],MATCH(E32&amp;"",tbl_Production[Job Number],0)),""),IF(H32="Consulting",IFERROR(INDEX(tbl_Consulting[Notes],MATCH(E32&amp;"",tbl_Consulting[Job Number],0)),""),""))))</f>
        <v/>
      </c>
    </row>
    <row r="33" ht="15" customHeight="1">
      <c r="A33" s="22" t="n">
        <v>46265</v>
      </c>
      <c r="B33" s="23">
        <f>IF(A33="","",EOMONTH(A33,0))</f>
        <v/>
      </c>
      <c r="C33" s="24" t="inlineStr">
        <is>
          <t>INV-10571</t>
        </is>
      </c>
      <c r="D33" s="24" t="inlineStr">
        <is>
          <t>BW</t>
        </is>
      </c>
      <c r="E33" s="24" t="inlineStr">
        <is>
          <t>2192</t>
        </is>
      </c>
      <c r="F33" s="25">
        <f>IF(E33="","",IF(COUNTIF(lst_Jobs,E33&amp;"")&gt;0,"OK","CHECK"))</f>
        <v/>
      </c>
      <c r="G33" s="24" t="inlineStr">
        <is>
          <t>BW Additionals August 2026</t>
        </is>
      </c>
      <c r="H33" s="24" t="inlineStr">
        <is>
          <t>Onsite</t>
        </is>
      </c>
      <c r="I33" s="24" t="inlineStr">
        <is>
          <t>ONSITE</t>
        </is>
      </c>
      <c r="J33" s="24" t="inlineStr">
        <is>
          <t>Contract</t>
        </is>
      </c>
      <c r="K33" s="24" t="inlineStr">
        <is>
          <t>GST 10%</t>
        </is>
      </c>
      <c r="L33" s="26" t="n">
        <v>2080</v>
      </c>
      <c r="M33" s="27">
        <f>IF(L33="","",IF(K33="GST 10%",ROUND(L33*set_GSTRate,2),0))</f>
        <v/>
      </c>
      <c r="N33" s="27">
        <f>IF(L33="","",L33+M33)</f>
        <v/>
      </c>
      <c r="O33" s="24" t="inlineStr">
        <is>
          <t>41100</t>
        </is>
      </c>
      <c r="P33" s="24" t="inlineStr">
        <is>
          <t>Y</t>
        </is>
      </c>
      <c r="Q33" s="24" t="inlineStr">
        <is>
          <t>N</t>
        </is>
      </c>
      <c r="R33" s="22" t="n"/>
      <c r="S33" s="22" t="n"/>
      <c r="T33" s="24" t="inlineStr">
        <is>
          <t>Invoiced</t>
        </is>
      </c>
      <c r="U33" s="24" t="n"/>
      <c r="V33" s="25">
        <f>IF(COUNTA(A33,D33,C33,L33)=0,"",IF(A33="","No date - sits outside every month",IF(E33="","No job number",IF(F33="CHECK","Job number is not in the Xero job list",IF(I33="","No cost centre",IF(AND(P33="Y",C33=""),"Marked posted to Xero but has no invoice number",IF(AND(L33&lt;&gt;"",K33=""),"No tax code",IF(AND(L33&lt;&gt;"",O33=""),"No revenue GL code",""))))))))</f>
        <v/>
      </c>
      <c r="W33" s="25">
        <f>IF(E33="","",IFERROR(INDEX(lst_JobName,MATCH(E33&amp;"",lst_Jobs,0)),""))</f>
        <v/>
      </c>
      <c r="X33" s="28">
        <f>IF(E33="","",COUNTIFS(tbl_Finance[Job Number],E33&amp;"",tbl_Finance[Ex GST],"&lt;&gt;"))</f>
        <v/>
      </c>
      <c r="Y33" s="27">
        <f>IF(E33="","",SUMIFS(tbl_Finance[Ex GST],tbl_Finance[Job Number],E33&amp;""))</f>
        <v/>
      </c>
      <c r="Z33" s="27">
        <f>IF(E33="","",SUMIFS(tbl_Finance[Ex GST],tbl_Finance[Job Number],E33&amp;"",tbl_Finance[Xero Invoice No],"&lt;&gt;"))</f>
        <v/>
      </c>
      <c r="AA33" s="27">
        <f>IF(E33="","",Y33-Z33)</f>
        <v/>
      </c>
      <c r="AB33" s="25">
        <f>IF(E33="","",IF(H33="Onsite",IFERROR(INDEX(tbl_Onsite[Qwilr Quote],MATCH(E33&amp;"",tbl_Onsite[Job Number],0)),""),IF(H33="Production",IFERROR(INDEX(tbl_Production[Current RMS No],MATCH(E33&amp;"",tbl_Production[Job Number],0)),""),IF(H33="Consulting",IFERROR(INDEX(tbl_Consulting[Qwilr Quote],MATCH(E33&amp;"",tbl_Consulting[Job Number],0)),""),""))))</f>
        <v/>
      </c>
      <c r="AC33" s="25">
        <f>IF(AB33="","",IF(AND(LEFT(AB33,4)&lt;&gt;"http",IF(H33="Production",set_RMSBase,set_QwilrBase)=""),"",HYPERLINK(IF(LEFT(AB33,4)="http",AB33,IF(H33="Production",set_RMSBase,set_QwilrBase)&amp;AB33),"Open")))</f>
        <v/>
      </c>
      <c r="AD33" s="27">
        <f>IF(E33="","",IF(H33="Production",IFERROR(INDEX(tbl_Production[Total Expense],MATCH(E33&amp;"",tbl_Production[Job Number],0)),0),IF(H33="Consulting",IFERROR(INDEX(tbl_Consulting[Total Expense],MATCH(E33&amp;"",tbl_Consulting[Job Number],0)),0),0)))</f>
        <v/>
      </c>
      <c r="AE33" s="27">
        <f>IF(E33="","",Y33-N(AD33))</f>
        <v/>
      </c>
      <c r="AF33" s="29">
        <f>IFERROR(AE33/Y33,"")</f>
        <v/>
      </c>
      <c r="AG33" s="25">
        <f>IF(E33="","",IF(H33="Onsite",IFERROR(INDEX(tbl_Onsite[Notes],MATCH(E33&amp;"",tbl_Onsite[Job Number],0)),""),IF(H33="Production",IFERROR(INDEX(tbl_Production[Notes],MATCH(E33&amp;"",tbl_Production[Job Number],0)),""),IF(H33="Consulting",IFERROR(INDEX(tbl_Consulting[Notes],MATCH(E33&amp;"",tbl_Consulting[Job Number],0)),""),""))))</f>
        <v/>
      </c>
    </row>
    <row r="34" ht="15" customHeight="1">
      <c r="A34" s="22" t="n">
        <v>46265</v>
      </c>
      <c r="B34" s="23">
        <f>IF(A34="","",EOMONTH(A34,0))</f>
        <v/>
      </c>
      <c r="C34" s="24" t="inlineStr">
        <is>
          <t>INV-10572</t>
        </is>
      </c>
      <c r="D34" s="24" t="inlineStr">
        <is>
          <t>PWC</t>
        </is>
      </c>
      <c r="E34" s="24" t="inlineStr">
        <is>
          <t>2488</t>
        </is>
      </c>
      <c r="F34" s="25">
        <f>IF(E34="","",IF(COUNTIF(lst_Jobs,E34&amp;"")&gt;0,"OK","CHECK"))</f>
        <v/>
      </c>
      <c r="G34" s="24" t="inlineStr">
        <is>
          <t>PWC Brisbane August 2026</t>
        </is>
      </c>
      <c r="H34" s="24" t="inlineStr">
        <is>
          <t>Onsite</t>
        </is>
      </c>
      <c r="I34" s="24" t="inlineStr">
        <is>
          <t>ONSITE</t>
        </is>
      </c>
      <c r="J34" s="24" t="inlineStr">
        <is>
          <t>Contract</t>
        </is>
      </c>
      <c r="K34" s="24" t="inlineStr">
        <is>
          <t>GST 10%</t>
        </is>
      </c>
      <c r="L34" s="26" t="n">
        <v>7150</v>
      </c>
      <c r="M34" s="27">
        <f>IF(L34="","",IF(K34="GST 10%",ROUND(L34*set_GSTRate,2),0))</f>
        <v/>
      </c>
      <c r="N34" s="27">
        <f>IF(L34="","",L34+M34)</f>
        <v/>
      </c>
      <c r="O34" s="24" t="inlineStr">
        <is>
          <t>41100</t>
        </is>
      </c>
      <c r="P34" s="24" t="inlineStr">
        <is>
          <t>Y</t>
        </is>
      </c>
      <c r="Q34" s="24" t="inlineStr">
        <is>
          <t>N</t>
        </is>
      </c>
      <c r="R34" s="22" t="n"/>
      <c r="S34" s="22" t="n"/>
      <c r="T34" s="24" t="inlineStr">
        <is>
          <t>Invoiced</t>
        </is>
      </c>
      <c r="U34" s="24" t="n"/>
      <c r="V34" s="25">
        <f>IF(COUNTA(A34,D34,C34,L34)=0,"",IF(A34="","No date - sits outside every month",IF(E34="","No job number",IF(F34="CHECK","Job number is not in the Xero job list",IF(I34="","No cost centre",IF(AND(P34="Y",C34=""),"Marked posted to Xero but has no invoice number",IF(AND(L34&lt;&gt;"",K34=""),"No tax code",IF(AND(L34&lt;&gt;"",O34=""),"No revenue GL code",""))))))))</f>
        <v/>
      </c>
      <c r="W34" s="25">
        <f>IF(E34="","",IFERROR(INDEX(lst_JobName,MATCH(E34&amp;"",lst_Jobs,0)),""))</f>
        <v/>
      </c>
      <c r="X34" s="28">
        <f>IF(E34="","",COUNTIFS(tbl_Finance[Job Number],E34&amp;"",tbl_Finance[Ex GST],"&lt;&gt;"))</f>
        <v/>
      </c>
      <c r="Y34" s="27">
        <f>IF(E34="","",SUMIFS(tbl_Finance[Ex GST],tbl_Finance[Job Number],E34&amp;""))</f>
        <v/>
      </c>
      <c r="Z34" s="27">
        <f>IF(E34="","",SUMIFS(tbl_Finance[Ex GST],tbl_Finance[Job Number],E34&amp;"",tbl_Finance[Xero Invoice No],"&lt;&gt;"))</f>
        <v/>
      </c>
      <c r="AA34" s="27">
        <f>IF(E34="","",Y34-Z34)</f>
        <v/>
      </c>
      <c r="AB34" s="25">
        <f>IF(E34="","",IF(H34="Onsite",IFERROR(INDEX(tbl_Onsite[Qwilr Quote],MATCH(E34&amp;"",tbl_Onsite[Job Number],0)),""),IF(H34="Production",IFERROR(INDEX(tbl_Production[Current RMS No],MATCH(E34&amp;"",tbl_Production[Job Number],0)),""),IF(H34="Consulting",IFERROR(INDEX(tbl_Consulting[Qwilr Quote],MATCH(E34&amp;"",tbl_Consulting[Job Number],0)),""),""))))</f>
        <v/>
      </c>
      <c r="AC34" s="25">
        <f>IF(AB34="","",IF(AND(LEFT(AB34,4)&lt;&gt;"http",IF(H34="Production",set_RMSBase,set_QwilrBase)=""),"",HYPERLINK(IF(LEFT(AB34,4)="http",AB34,IF(H34="Production",set_RMSBase,set_QwilrBase)&amp;AB34),"Open")))</f>
        <v/>
      </c>
      <c r="AD34" s="27">
        <f>IF(E34="","",IF(H34="Production",IFERROR(INDEX(tbl_Production[Total Expense],MATCH(E34&amp;"",tbl_Production[Job Number],0)),0),IF(H34="Consulting",IFERROR(INDEX(tbl_Consulting[Total Expense],MATCH(E34&amp;"",tbl_Consulting[Job Number],0)),0),0)))</f>
        <v/>
      </c>
      <c r="AE34" s="27">
        <f>IF(E34="","",Y34-N(AD34))</f>
        <v/>
      </c>
      <c r="AF34" s="29">
        <f>IFERROR(AE34/Y34,"")</f>
        <v/>
      </c>
      <c r="AG34" s="25">
        <f>IF(E34="","",IF(H34="Onsite",IFERROR(INDEX(tbl_Onsite[Notes],MATCH(E34&amp;"",tbl_Onsite[Job Number],0)),""),IF(H34="Production",IFERROR(INDEX(tbl_Production[Notes],MATCH(E34&amp;"",tbl_Production[Job Number],0)),""),IF(H34="Consulting",IFERROR(INDEX(tbl_Consulting[Notes],MATCH(E34&amp;"",tbl_Consulting[Job Number],0)),""),""))))</f>
        <v/>
      </c>
    </row>
    <row r="35" ht="15" customHeight="1">
      <c r="A35" s="22" t="n">
        <v>46265</v>
      </c>
      <c r="B35" s="23">
        <f>IF(A35="","",EOMONTH(A35,0))</f>
        <v/>
      </c>
      <c r="C35" s="24" t="inlineStr">
        <is>
          <t>INV-10573</t>
        </is>
      </c>
      <c r="D35" s="24" t="inlineStr">
        <is>
          <t>Gen-E</t>
        </is>
      </c>
      <c r="E35" s="24" t="inlineStr">
        <is>
          <t>26021602</t>
        </is>
      </c>
      <c r="F35" s="25">
        <f>IF(E35="","",IF(COUNTIF(lst_Jobs,E35&amp;"")&gt;0,"OK","CHECK"))</f>
        <v/>
      </c>
      <c r="G35" s="24" t="inlineStr">
        <is>
          <t>Gen-E ABS August 2026</t>
        </is>
      </c>
      <c r="H35" s="24" t="inlineStr">
        <is>
          <t>Onsite</t>
        </is>
      </c>
      <c r="I35" s="24" t="inlineStr">
        <is>
          <t>ONSITE</t>
        </is>
      </c>
      <c r="J35" s="24" t="inlineStr">
        <is>
          <t>Contract</t>
        </is>
      </c>
      <c r="K35" s="24" t="inlineStr">
        <is>
          <t>GST 10%</t>
        </is>
      </c>
      <c r="L35" s="26" t="n">
        <v>12388.8</v>
      </c>
      <c r="M35" s="27">
        <f>IF(L35="","",IF(K35="GST 10%",ROUND(L35*set_GSTRate,2),0))</f>
        <v/>
      </c>
      <c r="N35" s="27">
        <f>IF(L35="","",L35+M35)</f>
        <v/>
      </c>
      <c r="O35" s="24" t="inlineStr">
        <is>
          <t>41100</t>
        </is>
      </c>
      <c r="P35" s="24" t="inlineStr">
        <is>
          <t>Y</t>
        </is>
      </c>
      <c r="Q35" s="24" t="inlineStr">
        <is>
          <t>N</t>
        </is>
      </c>
      <c r="R35" s="22" t="n"/>
      <c r="S35" s="22" t="n"/>
      <c r="T35" s="24" t="inlineStr">
        <is>
          <t>Invoiced</t>
        </is>
      </c>
      <c r="U35" s="24" t="n"/>
      <c r="V35" s="25">
        <f>IF(COUNTA(A35,D35,C35,L35)=0,"",IF(A35="","No date - sits outside every month",IF(E35="","No job number",IF(F35="CHECK","Job number is not in the Xero job list",IF(I35="","No cost centre",IF(AND(P35="Y",C35=""),"Marked posted to Xero but has no invoice number",IF(AND(L35&lt;&gt;"",K35=""),"No tax code",IF(AND(L35&lt;&gt;"",O35=""),"No revenue GL code",""))))))))</f>
        <v/>
      </c>
      <c r="W35" s="25">
        <f>IF(E35="","",IFERROR(INDEX(lst_JobName,MATCH(E35&amp;"",lst_Jobs,0)),""))</f>
        <v/>
      </c>
      <c r="X35" s="28">
        <f>IF(E35="","",COUNTIFS(tbl_Finance[Job Number],E35&amp;"",tbl_Finance[Ex GST],"&lt;&gt;"))</f>
        <v/>
      </c>
      <c r="Y35" s="27">
        <f>IF(E35="","",SUMIFS(tbl_Finance[Ex GST],tbl_Finance[Job Number],E35&amp;""))</f>
        <v/>
      </c>
      <c r="Z35" s="27">
        <f>IF(E35="","",SUMIFS(tbl_Finance[Ex GST],tbl_Finance[Job Number],E35&amp;"",tbl_Finance[Xero Invoice No],"&lt;&gt;"))</f>
        <v/>
      </c>
      <c r="AA35" s="27">
        <f>IF(E35="","",Y35-Z35)</f>
        <v/>
      </c>
      <c r="AB35" s="25">
        <f>IF(E35="","",IF(H35="Onsite",IFERROR(INDEX(tbl_Onsite[Qwilr Quote],MATCH(E35&amp;"",tbl_Onsite[Job Number],0)),""),IF(H35="Production",IFERROR(INDEX(tbl_Production[Current RMS No],MATCH(E35&amp;"",tbl_Production[Job Number],0)),""),IF(H35="Consulting",IFERROR(INDEX(tbl_Consulting[Qwilr Quote],MATCH(E35&amp;"",tbl_Consulting[Job Number],0)),""),""))))</f>
        <v/>
      </c>
      <c r="AC35" s="25">
        <f>IF(AB35="","",IF(AND(LEFT(AB35,4)&lt;&gt;"http",IF(H35="Production",set_RMSBase,set_QwilrBase)=""),"",HYPERLINK(IF(LEFT(AB35,4)="http",AB35,IF(H35="Production",set_RMSBase,set_QwilrBase)&amp;AB35),"Open")))</f>
        <v/>
      </c>
      <c r="AD35" s="27">
        <f>IF(E35="","",IF(H35="Production",IFERROR(INDEX(tbl_Production[Total Expense],MATCH(E35&amp;"",tbl_Production[Job Number],0)),0),IF(H35="Consulting",IFERROR(INDEX(tbl_Consulting[Total Expense],MATCH(E35&amp;"",tbl_Consulting[Job Number],0)),0),0)))</f>
        <v/>
      </c>
      <c r="AE35" s="27">
        <f>IF(E35="","",Y35-N(AD35))</f>
        <v/>
      </c>
      <c r="AF35" s="29">
        <f>IFERROR(AE35/Y35,"")</f>
        <v/>
      </c>
      <c r="AG35" s="25">
        <f>IF(E35="","",IF(H35="Onsite",IFERROR(INDEX(tbl_Onsite[Notes],MATCH(E35&amp;"",tbl_Onsite[Job Number],0)),""),IF(H35="Production",IFERROR(INDEX(tbl_Production[Notes],MATCH(E35&amp;"",tbl_Production[Job Number],0)),""),IF(H35="Consulting",IFERROR(INDEX(tbl_Consulting[Notes],MATCH(E35&amp;"",tbl_Consulting[Job Number],0)),""),""))))</f>
        <v/>
      </c>
    </row>
    <row r="36" ht="15" customHeight="1">
      <c r="A36" s="22" t="n">
        <v>46265</v>
      </c>
      <c r="B36" s="23">
        <f>IF(A36="","",EOMONTH(A36,0))</f>
        <v/>
      </c>
      <c r="C36" s="24" t="inlineStr">
        <is>
          <t>INV-10582</t>
        </is>
      </c>
      <c r="D36" s="24" t="inlineStr">
        <is>
          <t>CBA</t>
        </is>
      </c>
      <c r="E36" s="24" t="inlineStr">
        <is>
          <t>26043001</t>
        </is>
      </c>
      <c r="F36" s="25">
        <f>IF(E36="","",IF(COUNTIF(lst_Jobs,E36&amp;"")&gt;0,"OK","CHECK"))</f>
        <v/>
      </c>
      <c r="G36" s="24" t="inlineStr">
        <is>
          <t>CBA Mel August 2026</t>
        </is>
      </c>
      <c r="H36" s="24" t="inlineStr">
        <is>
          <t>Onsite</t>
        </is>
      </c>
      <c r="I36" s="24" t="inlineStr">
        <is>
          <t>ONSITE</t>
        </is>
      </c>
      <c r="J36" s="24" t="inlineStr">
        <is>
          <t>Contract</t>
        </is>
      </c>
      <c r="K36" s="24" t="inlineStr">
        <is>
          <t>GST 10%</t>
        </is>
      </c>
      <c r="L36" s="26" t="n">
        <v>11960</v>
      </c>
      <c r="M36" s="27">
        <f>IF(L36="","",IF(K36="GST 10%",ROUND(L36*set_GSTRate,2),0))</f>
        <v/>
      </c>
      <c r="N36" s="27">
        <f>IF(L36="","",L36+M36)</f>
        <v/>
      </c>
      <c r="O36" s="24" t="inlineStr">
        <is>
          <t>41100</t>
        </is>
      </c>
      <c r="P36" s="24" t="inlineStr">
        <is>
          <t>Y</t>
        </is>
      </c>
      <c r="Q36" s="24" t="inlineStr">
        <is>
          <t>N</t>
        </is>
      </c>
      <c r="R36" s="22" t="n"/>
      <c r="S36" s="22" t="n"/>
      <c r="T36" s="24" t="inlineStr">
        <is>
          <t>Invoiced</t>
        </is>
      </c>
      <c r="U36" s="24" t="n"/>
      <c r="V36" s="25">
        <f>IF(COUNTA(A36,D36,C36,L36)=0,"",IF(A36="","No date - sits outside every month",IF(E36="","No job number",IF(F36="CHECK","Job number is not in the Xero job list",IF(I36="","No cost centre",IF(AND(P36="Y",C36=""),"Marked posted to Xero but has no invoice number",IF(AND(L36&lt;&gt;"",K36=""),"No tax code",IF(AND(L36&lt;&gt;"",O36=""),"No revenue GL code",""))))))))</f>
        <v/>
      </c>
      <c r="W36" s="25">
        <f>IF(E36="","",IFERROR(INDEX(lst_JobName,MATCH(E36&amp;"",lst_Jobs,0)),""))</f>
        <v/>
      </c>
      <c r="X36" s="28">
        <f>IF(E36="","",COUNTIFS(tbl_Finance[Job Number],E36&amp;"",tbl_Finance[Ex GST],"&lt;&gt;"))</f>
        <v/>
      </c>
      <c r="Y36" s="27">
        <f>IF(E36="","",SUMIFS(tbl_Finance[Ex GST],tbl_Finance[Job Number],E36&amp;""))</f>
        <v/>
      </c>
      <c r="Z36" s="27">
        <f>IF(E36="","",SUMIFS(tbl_Finance[Ex GST],tbl_Finance[Job Number],E36&amp;"",tbl_Finance[Xero Invoice No],"&lt;&gt;"))</f>
        <v/>
      </c>
      <c r="AA36" s="27">
        <f>IF(E36="","",Y36-Z36)</f>
        <v/>
      </c>
      <c r="AB36" s="25">
        <f>IF(E36="","",IF(H36="Onsite",IFERROR(INDEX(tbl_Onsite[Qwilr Quote],MATCH(E36&amp;"",tbl_Onsite[Job Number],0)),""),IF(H36="Production",IFERROR(INDEX(tbl_Production[Current RMS No],MATCH(E36&amp;"",tbl_Production[Job Number],0)),""),IF(H36="Consulting",IFERROR(INDEX(tbl_Consulting[Qwilr Quote],MATCH(E36&amp;"",tbl_Consulting[Job Number],0)),""),""))))</f>
        <v/>
      </c>
      <c r="AC36" s="25">
        <f>IF(AB36="","",IF(AND(LEFT(AB36,4)&lt;&gt;"http",IF(H36="Production",set_RMSBase,set_QwilrBase)=""),"",HYPERLINK(IF(LEFT(AB36,4)="http",AB36,IF(H36="Production",set_RMSBase,set_QwilrBase)&amp;AB36),"Open")))</f>
        <v/>
      </c>
      <c r="AD36" s="27">
        <f>IF(E36="","",IF(H36="Production",IFERROR(INDEX(tbl_Production[Total Expense],MATCH(E36&amp;"",tbl_Production[Job Number],0)),0),IF(H36="Consulting",IFERROR(INDEX(tbl_Consulting[Total Expense],MATCH(E36&amp;"",tbl_Consulting[Job Number],0)),0),0)))</f>
        <v/>
      </c>
      <c r="AE36" s="27">
        <f>IF(E36="","",Y36-N(AD36))</f>
        <v/>
      </c>
      <c r="AF36" s="29">
        <f>IFERROR(AE36/Y36,"")</f>
        <v/>
      </c>
      <c r="AG36" s="25">
        <f>IF(E36="","",IF(H36="Onsite",IFERROR(INDEX(tbl_Onsite[Notes],MATCH(E36&amp;"",tbl_Onsite[Job Number],0)),""),IF(H36="Production",IFERROR(INDEX(tbl_Production[Notes],MATCH(E36&amp;"",tbl_Production[Job Number],0)),""),IF(H36="Consulting",IFERROR(INDEX(tbl_Consulting[Notes],MATCH(E36&amp;"",tbl_Consulting[Job Number],0)),""),""))))</f>
        <v/>
      </c>
    </row>
    <row r="37" ht="15" customHeight="1">
      <c r="A37" s="22" t="n">
        <v>46265</v>
      </c>
      <c r="B37" s="23">
        <f>IF(A37="","",EOMONTH(A37,0))</f>
        <v/>
      </c>
      <c r="C37" s="24" t="inlineStr">
        <is>
          <t>INV-10615</t>
        </is>
      </c>
      <c r="D37" s="24" t="inlineStr">
        <is>
          <t>Aware Super</t>
        </is>
      </c>
      <c r="E37" s="24" t="inlineStr">
        <is>
          <t>26022301</t>
        </is>
      </c>
      <c r="F37" s="25">
        <f>IF(E37="","",IF(COUNTIF(lst_Jobs,E37&amp;"")&gt;0,"OK","CHECK"))</f>
        <v/>
      </c>
      <c r="G37" s="24" t="inlineStr">
        <is>
          <t>Aware Super Contract August 2026</t>
        </is>
      </c>
      <c r="H37" s="24" t="inlineStr">
        <is>
          <t>Onsite</t>
        </is>
      </c>
      <c r="I37" s="24" t="inlineStr">
        <is>
          <t>ONSITE</t>
        </is>
      </c>
      <c r="J37" s="24" t="inlineStr">
        <is>
          <t>Contract</t>
        </is>
      </c>
      <c r="K37" s="24" t="inlineStr">
        <is>
          <t>GST 10%</t>
        </is>
      </c>
      <c r="L37" s="26" t="n">
        <v>11000</v>
      </c>
      <c r="M37" s="27">
        <f>IF(L37="","",IF(K37="GST 10%",ROUND(L37*set_GSTRate,2),0))</f>
        <v/>
      </c>
      <c r="N37" s="27">
        <f>IF(L37="","",L37+M37)</f>
        <v/>
      </c>
      <c r="O37" s="24" t="inlineStr">
        <is>
          <t>41100</t>
        </is>
      </c>
      <c r="P37" s="24" t="inlineStr">
        <is>
          <t>Y</t>
        </is>
      </c>
      <c r="Q37" s="24" t="inlineStr">
        <is>
          <t>N</t>
        </is>
      </c>
      <c r="R37" s="22" t="n"/>
      <c r="S37" s="22" t="n"/>
      <c r="T37" s="24" t="inlineStr">
        <is>
          <t>Invoiced</t>
        </is>
      </c>
      <c r="U37" s="24" t="inlineStr">
        <is>
          <t>Split TBC - Xero split this with production ($850)</t>
        </is>
      </c>
      <c r="V37" s="25">
        <f>IF(COUNTA(A37,D37,C37,L37)=0,"",IF(A37="","No date - sits outside every month",IF(E37="","No job number",IF(F37="CHECK","Job number is not in the Xero job list",IF(I37="","No cost centre",IF(AND(P37="Y",C37=""),"Marked posted to Xero but has no invoice number",IF(AND(L37&lt;&gt;"",K37=""),"No tax code",IF(AND(L37&lt;&gt;"",O37=""),"No revenue GL code",""))))))))</f>
        <v/>
      </c>
      <c r="W37" s="25">
        <f>IF(E37="","",IFERROR(INDEX(lst_JobName,MATCH(E37&amp;"",lst_Jobs,0)),""))</f>
        <v/>
      </c>
      <c r="X37" s="28">
        <f>IF(E37="","",COUNTIFS(tbl_Finance[Job Number],E37&amp;"",tbl_Finance[Ex GST],"&lt;&gt;"))</f>
        <v/>
      </c>
      <c r="Y37" s="27">
        <f>IF(E37="","",SUMIFS(tbl_Finance[Ex GST],tbl_Finance[Job Number],E37&amp;""))</f>
        <v/>
      </c>
      <c r="Z37" s="27">
        <f>IF(E37="","",SUMIFS(tbl_Finance[Ex GST],tbl_Finance[Job Number],E37&amp;"",tbl_Finance[Xero Invoice No],"&lt;&gt;"))</f>
        <v/>
      </c>
      <c r="AA37" s="27">
        <f>IF(E37="","",Y37-Z37)</f>
        <v/>
      </c>
      <c r="AB37" s="25">
        <f>IF(E37="","",IF(H37="Onsite",IFERROR(INDEX(tbl_Onsite[Qwilr Quote],MATCH(E37&amp;"",tbl_Onsite[Job Number],0)),""),IF(H37="Production",IFERROR(INDEX(tbl_Production[Current RMS No],MATCH(E37&amp;"",tbl_Production[Job Number],0)),""),IF(H37="Consulting",IFERROR(INDEX(tbl_Consulting[Qwilr Quote],MATCH(E37&amp;"",tbl_Consulting[Job Number],0)),""),""))))</f>
        <v/>
      </c>
      <c r="AC37" s="25">
        <f>IF(AB37="","",IF(AND(LEFT(AB37,4)&lt;&gt;"http",IF(H37="Production",set_RMSBase,set_QwilrBase)=""),"",HYPERLINK(IF(LEFT(AB37,4)="http",AB37,IF(H37="Production",set_RMSBase,set_QwilrBase)&amp;AB37),"Open")))</f>
        <v/>
      </c>
      <c r="AD37" s="27">
        <f>IF(E37="","",IF(H37="Production",IFERROR(INDEX(tbl_Production[Total Expense],MATCH(E37&amp;"",tbl_Production[Job Number],0)),0),IF(H37="Consulting",IFERROR(INDEX(tbl_Consulting[Total Expense],MATCH(E37&amp;"",tbl_Consulting[Job Number],0)),0),0)))</f>
        <v/>
      </c>
      <c r="AE37" s="27">
        <f>IF(E37="","",Y37-N(AD37))</f>
        <v/>
      </c>
      <c r="AF37" s="29">
        <f>IFERROR(AE37/Y37,"")</f>
        <v/>
      </c>
      <c r="AG37" s="25">
        <f>IF(E37="","",IF(H37="Onsite",IFERROR(INDEX(tbl_Onsite[Notes],MATCH(E37&amp;"",tbl_Onsite[Job Number],0)),""),IF(H37="Production",IFERROR(INDEX(tbl_Production[Notes],MATCH(E37&amp;"",tbl_Production[Job Number],0)),""),IF(H37="Consulting",IFERROR(INDEX(tbl_Consulting[Notes],MATCH(E37&amp;"",tbl_Consulting[Job Number],0)),""),""))))</f>
        <v/>
      </c>
    </row>
    <row r="38" ht="15" customHeight="1">
      <c r="A38" s="22" t="n">
        <v>46265</v>
      </c>
      <c r="B38" s="23">
        <f>IF(A38="","",EOMONTH(A38,0))</f>
        <v/>
      </c>
      <c r="C38" s="24" t="inlineStr">
        <is>
          <t>INV-10585</t>
        </is>
      </c>
      <c r="D38" s="24" t="inlineStr">
        <is>
          <t>PWC</t>
        </is>
      </c>
      <c r="E38" s="24" t="inlineStr">
        <is>
          <t>25101301B</t>
        </is>
      </c>
      <c r="F38" s="25">
        <f>IF(E38="","",IF(COUNTIF(lst_Jobs,E38&amp;"")&gt;0,"OK","CHECK"))</f>
        <v/>
      </c>
      <c r="G38" s="24" t="inlineStr">
        <is>
          <t>PWC Sydney IT August 2026</t>
        </is>
      </c>
      <c r="H38" s="24" t="inlineStr">
        <is>
          <t>Onsite</t>
        </is>
      </c>
      <c r="I38" s="24" t="inlineStr">
        <is>
          <t>ONSITE</t>
        </is>
      </c>
      <c r="J38" s="24" t="inlineStr">
        <is>
          <t>Contract</t>
        </is>
      </c>
      <c r="K38" s="24" t="inlineStr">
        <is>
          <t>GST 10%</t>
        </is>
      </c>
      <c r="L38" s="26" t="n">
        <v>11907</v>
      </c>
      <c r="M38" s="27">
        <f>IF(L38="","",IF(K38="GST 10%",ROUND(L38*set_GSTRate,2),0))</f>
        <v/>
      </c>
      <c r="N38" s="27">
        <f>IF(L38="","",L38+M38)</f>
        <v/>
      </c>
      <c r="O38" s="24" t="inlineStr">
        <is>
          <t>41100</t>
        </is>
      </c>
      <c r="P38" s="24" t="inlineStr">
        <is>
          <t>Y</t>
        </is>
      </c>
      <c r="Q38" s="24" t="inlineStr">
        <is>
          <t>N</t>
        </is>
      </c>
      <c r="R38" s="22" t="n"/>
      <c r="S38" s="22" t="n"/>
      <c r="T38" s="24" t="inlineStr">
        <is>
          <t>Invoiced</t>
        </is>
      </c>
      <c r="U38" s="24" t="n"/>
      <c r="V38" s="25">
        <f>IF(COUNTA(A38,D38,C38,L38)=0,"",IF(A38="","No date - sits outside every month",IF(E38="","No job number",IF(F38="CHECK","Job number is not in the Xero job list",IF(I38="","No cost centre",IF(AND(P38="Y",C38=""),"Marked posted to Xero but has no invoice number",IF(AND(L38&lt;&gt;"",K38=""),"No tax code",IF(AND(L38&lt;&gt;"",O38=""),"No revenue GL code",""))))))))</f>
        <v/>
      </c>
      <c r="W38" s="25">
        <f>IF(E38="","",IFERROR(INDEX(lst_JobName,MATCH(E38&amp;"",lst_Jobs,0)),""))</f>
        <v/>
      </c>
      <c r="X38" s="28">
        <f>IF(E38="","",COUNTIFS(tbl_Finance[Job Number],E38&amp;"",tbl_Finance[Ex GST],"&lt;&gt;"))</f>
        <v/>
      </c>
      <c r="Y38" s="27">
        <f>IF(E38="","",SUMIFS(tbl_Finance[Ex GST],tbl_Finance[Job Number],E38&amp;""))</f>
        <v/>
      </c>
      <c r="Z38" s="27">
        <f>IF(E38="","",SUMIFS(tbl_Finance[Ex GST],tbl_Finance[Job Number],E38&amp;"",tbl_Finance[Xero Invoice No],"&lt;&gt;"))</f>
        <v/>
      </c>
      <c r="AA38" s="27">
        <f>IF(E38="","",Y38-Z38)</f>
        <v/>
      </c>
      <c r="AB38" s="25">
        <f>IF(E38="","",IF(H38="Onsite",IFERROR(INDEX(tbl_Onsite[Qwilr Quote],MATCH(E38&amp;"",tbl_Onsite[Job Number],0)),""),IF(H38="Production",IFERROR(INDEX(tbl_Production[Current RMS No],MATCH(E38&amp;"",tbl_Production[Job Number],0)),""),IF(H38="Consulting",IFERROR(INDEX(tbl_Consulting[Qwilr Quote],MATCH(E38&amp;"",tbl_Consulting[Job Number],0)),""),""))))</f>
        <v/>
      </c>
      <c r="AC38" s="25">
        <f>IF(AB38="","",IF(AND(LEFT(AB38,4)&lt;&gt;"http",IF(H38="Production",set_RMSBase,set_QwilrBase)=""),"",HYPERLINK(IF(LEFT(AB38,4)="http",AB38,IF(H38="Production",set_RMSBase,set_QwilrBase)&amp;AB38),"Open")))</f>
        <v/>
      </c>
      <c r="AD38" s="27">
        <f>IF(E38="","",IF(H38="Production",IFERROR(INDEX(tbl_Production[Total Expense],MATCH(E38&amp;"",tbl_Production[Job Number],0)),0),IF(H38="Consulting",IFERROR(INDEX(tbl_Consulting[Total Expense],MATCH(E38&amp;"",tbl_Consulting[Job Number],0)),0),0)))</f>
        <v/>
      </c>
      <c r="AE38" s="27">
        <f>IF(E38="","",Y38-N(AD38))</f>
        <v/>
      </c>
      <c r="AF38" s="29">
        <f>IFERROR(AE38/Y38,"")</f>
        <v/>
      </c>
      <c r="AG38" s="25">
        <f>IF(E38="","",IF(H38="Onsite",IFERROR(INDEX(tbl_Onsite[Notes],MATCH(E38&amp;"",tbl_Onsite[Job Number],0)),""),IF(H38="Production",IFERROR(INDEX(tbl_Production[Notes],MATCH(E38&amp;"",tbl_Production[Job Number],0)),""),IF(H38="Consulting",IFERROR(INDEX(tbl_Consulting[Notes],MATCH(E38&amp;"",tbl_Consulting[Job Number],0)),""),""))))</f>
        <v/>
      </c>
    </row>
    <row r="39" ht="15" customHeight="1">
      <c r="A39" s="22" t="n"/>
      <c r="B39" s="23">
        <f>IF(A39="","",EOMONTH(A39,0))</f>
        <v/>
      </c>
      <c r="C39" s="24" t="n"/>
      <c r="D39" s="24" t="inlineStr">
        <is>
          <t>TWG</t>
        </is>
      </c>
      <c r="E39" s="24" t="inlineStr">
        <is>
          <t>26081301</t>
        </is>
      </c>
      <c r="F39" s="25">
        <f>IF(E39="","",IF(COUNTIF(lst_Jobs,E39&amp;"")&gt;0,"OK","CHECK"))</f>
        <v/>
      </c>
      <c r="G39" s="24" t="inlineStr">
        <is>
          <t>EY Support Technician BNE</t>
        </is>
      </c>
      <c r="H39" s="24" t="inlineStr">
        <is>
          <t>Onsite</t>
        </is>
      </c>
      <c r="I39" s="24" t="inlineStr">
        <is>
          <t>ONSITE</t>
        </is>
      </c>
      <c r="J39" s="24" t="inlineStr">
        <is>
          <t>Contract</t>
        </is>
      </c>
      <c r="K39" s="24" t="inlineStr">
        <is>
          <t>GST 10%</t>
        </is>
      </c>
      <c r="L39" s="26" t="n">
        <v>3740</v>
      </c>
      <c r="M39" s="27">
        <f>IF(L39="","",IF(K39="GST 10%",ROUND(L39*set_GSTRate,2),0))</f>
        <v/>
      </c>
      <c r="N39" s="27">
        <f>IF(L39="","",L39+M39)</f>
        <v/>
      </c>
      <c r="O39" s="24" t="inlineStr">
        <is>
          <t>41100</t>
        </is>
      </c>
      <c r="P39" s="24" t="inlineStr">
        <is>
          <t>N</t>
        </is>
      </c>
      <c r="Q39" s="24" t="inlineStr">
        <is>
          <t>N</t>
        </is>
      </c>
      <c r="R39" s="22" t="n"/>
      <c r="S39" s="22" t="n"/>
      <c r="T39" s="24" t="inlineStr">
        <is>
          <t>To Invoice</t>
        </is>
      </c>
      <c r="U39" s="24" t="inlineStr">
        <is>
          <t>November</t>
        </is>
      </c>
      <c r="V39" s="25">
        <f>IF(COUNTA(A39,D39,C39,L39)=0,"",IF(A39="","No date - sits outside every month",IF(E39="","No job number",IF(F39="CHECK","Job number is not in the Xero job list",IF(I39="","No cost centre",IF(AND(P39="Y",C39=""),"Marked posted to Xero but has no invoice number",IF(AND(L39&lt;&gt;"",K39=""),"No tax code",IF(AND(L39&lt;&gt;"",O39=""),"No revenue GL code",""))))))))</f>
        <v/>
      </c>
      <c r="W39" s="25">
        <f>IF(E39="","",IFERROR(INDEX(lst_JobName,MATCH(E39&amp;"",lst_Jobs,0)),""))</f>
        <v/>
      </c>
      <c r="X39" s="28">
        <f>IF(E39="","",COUNTIFS(tbl_Finance[Job Number],E39&amp;"",tbl_Finance[Ex GST],"&lt;&gt;"))</f>
        <v/>
      </c>
      <c r="Y39" s="27">
        <f>IF(E39="","",SUMIFS(tbl_Finance[Ex GST],tbl_Finance[Job Number],E39&amp;""))</f>
        <v/>
      </c>
      <c r="Z39" s="27">
        <f>IF(E39="","",SUMIFS(tbl_Finance[Ex GST],tbl_Finance[Job Number],E39&amp;"",tbl_Finance[Xero Invoice No],"&lt;&gt;"))</f>
        <v/>
      </c>
      <c r="AA39" s="27">
        <f>IF(E39="","",Y39-Z39)</f>
        <v/>
      </c>
      <c r="AB39" s="25">
        <f>IF(E39="","",IF(H39="Onsite",IFERROR(INDEX(tbl_Onsite[Qwilr Quote],MATCH(E39&amp;"",tbl_Onsite[Job Number],0)),""),IF(H39="Production",IFERROR(INDEX(tbl_Production[Current RMS No],MATCH(E39&amp;"",tbl_Production[Job Number],0)),""),IF(H39="Consulting",IFERROR(INDEX(tbl_Consulting[Qwilr Quote],MATCH(E39&amp;"",tbl_Consulting[Job Number],0)),""),""))))</f>
        <v/>
      </c>
      <c r="AC39" s="25">
        <f>IF(AB39="","",IF(AND(LEFT(AB39,4)&lt;&gt;"http",IF(H39="Production",set_RMSBase,set_QwilrBase)=""),"",HYPERLINK(IF(LEFT(AB39,4)="http",AB39,IF(H39="Production",set_RMSBase,set_QwilrBase)&amp;AB39),"Open")))</f>
        <v/>
      </c>
      <c r="AD39" s="27">
        <f>IF(E39="","",IF(H39="Production",IFERROR(INDEX(tbl_Production[Total Expense],MATCH(E39&amp;"",tbl_Production[Job Number],0)),0),IF(H39="Consulting",IFERROR(INDEX(tbl_Consulting[Total Expense],MATCH(E39&amp;"",tbl_Consulting[Job Number],0)),0),0)))</f>
        <v/>
      </c>
      <c r="AE39" s="27">
        <f>IF(E39="","",Y39-N(AD39))</f>
        <v/>
      </c>
      <c r="AF39" s="29">
        <f>IFERROR(AE39/Y39,"")</f>
        <v/>
      </c>
      <c r="AG39" s="25">
        <f>IF(E39="","",IF(H39="Onsite",IFERROR(INDEX(tbl_Onsite[Notes],MATCH(E39&amp;"",tbl_Onsite[Job Number],0)),""),IF(H39="Production",IFERROR(INDEX(tbl_Production[Notes],MATCH(E39&amp;"",tbl_Production[Job Number],0)),""),IF(H39="Consulting",IFERROR(INDEX(tbl_Consulting[Notes],MATCH(E39&amp;"",tbl_Consulting[Job Number],0)),""),""))))</f>
        <v/>
      </c>
    </row>
    <row r="40" ht="15" customHeight="1">
      <c r="A40" s="22" t="n">
        <v>46265</v>
      </c>
      <c r="B40" s="23">
        <f>IF(A40="","",EOMONTH(A40,0))</f>
        <v/>
      </c>
      <c r="C40" s="24" t="inlineStr">
        <is>
          <t>INV-10603</t>
        </is>
      </c>
      <c r="D40" s="24" t="inlineStr">
        <is>
          <t>CBA</t>
        </is>
      </c>
      <c r="E40" s="24" t="inlineStr">
        <is>
          <t>1668</t>
        </is>
      </c>
      <c r="F40" s="25">
        <f>IF(E40="","",IF(COUNTIF(lst_Jobs,E40&amp;"")&gt;0,"OK","CHECK"))</f>
        <v/>
      </c>
      <c r="G40" s="24" t="inlineStr">
        <is>
          <t>85720001CBPSCSJUN27 AFTERHOUR</t>
        </is>
      </c>
      <c r="H40" s="24" t="inlineStr">
        <is>
          <t>Onsite</t>
        </is>
      </c>
      <c r="I40" s="24" t="inlineStr">
        <is>
          <t>ONSITE</t>
        </is>
      </c>
      <c r="J40" s="24" t="inlineStr">
        <is>
          <t>Contract</t>
        </is>
      </c>
      <c r="K40" s="24" t="inlineStr">
        <is>
          <t>GST 10%</t>
        </is>
      </c>
      <c r="L40" s="26" t="n">
        <v>775</v>
      </c>
      <c r="M40" s="27">
        <f>IF(L40="","",IF(K40="GST 10%",ROUND(L40*set_GSTRate,2),0))</f>
        <v/>
      </c>
      <c r="N40" s="27">
        <f>IF(L40="","",L40+M40)</f>
        <v/>
      </c>
      <c r="O40" s="24" t="inlineStr">
        <is>
          <t>41100</t>
        </is>
      </c>
      <c r="P40" s="24" t="inlineStr">
        <is>
          <t>Y</t>
        </is>
      </c>
      <c r="Q40" s="24" t="inlineStr">
        <is>
          <t>N</t>
        </is>
      </c>
      <c r="R40" s="22" t="n"/>
      <c r="S40" s="22" t="n"/>
      <c r="T40" s="24" t="inlineStr">
        <is>
          <t>Invoiced</t>
        </is>
      </c>
      <c r="U40" s="24" t="n"/>
      <c r="V40" s="25">
        <f>IF(COUNTA(A40,D40,C40,L40)=0,"",IF(A40="","No date - sits outside every month",IF(E40="","No job number",IF(F40="CHECK","Job number is not in the Xero job list",IF(I40="","No cost centre",IF(AND(P40="Y",C40=""),"Marked posted to Xero but has no invoice number",IF(AND(L40&lt;&gt;"",K40=""),"No tax code",IF(AND(L40&lt;&gt;"",O40=""),"No revenue GL code",""))))))))</f>
        <v/>
      </c>
      <c r="W40" s="25">
        <f>IF(E40="","",IFERROR(INDEX(lst_JobName,MATCH(E40&amp;"",lst_Jobs,0)),""))</f>
        <v/>
      </c>
      <c r="X40" s="28">
        <f>IF(E40="","",COUNTIFS(tbl_Finance[Job Number],E40&amp;"",tbl_Finance[Ex GST],"&lt;&gt;"))</f>
        <v/>
      </c>
      <c r="Y40" s="27">
        <f>IF(E40="","",SUMIFS(tbl_Finance[Ex GST],tbl_Finance[Job Number],E40&amp;""))</f>
        <v/>
      </c>
      <c r="Z40" s="27">
        <f>IF(E40="","",SUMIFS(tbl_Finance[Ex GST],tbl_Finance[Job Number],E40&amp;"",tbl_Finance[Xero Invoice No],"&lt;&gt;"))</f>
        <v/>
      </c>
      <c r="AA40" s="27">
        <f>IF(E40="","",Y40-Z40)</f>
        <v/>
      </c>
      <c r="AB40" s="25">
        <f>IF(E40="","",IF(H40="Onsite",IFERROR(INDEX(tbl_Onsite[Qwilr Quote],MATCH(E40&amp;"",tbl_Onsite[Job Number],0)),""),IF(H40="Production",IFERROR(INDEX(tbl_Production[Current RMS No],MATCH(E40&amp;"",tbl_Production[Job Number],0)),""),IF(H40="Consulting",IFERROR(INDEX(tbl_Consulting[Qwilr Quote],MATCH(E40&amp;"",tbl_Consulting[Job Number],0)),""),""))))</f>
        <v/>
      </c>
      <c r="AC40" s="25">
        <f>IF(AB40="","",IF(AND(LEFT(AB40,4)&lt;&gt;"http",IF(H40="Production",set_RMSBase,set_QwilrBase)=""),"",HYPERLINK(IF(LEFT(AB40,4)="http",AB40,IF(H40="Production",set_RMSBase,set_QwilrBase)&amp;AB40),"Open")))</f>
        <v/>
      </c>
      <c r="AD40" s="27">
        <f>IF(E40="","",IF(H40="Production",IFERROR(INDEX(tbl_Production[Total Expense],MATCH(E40&amp;"",tbl_Production[Job Number],0)),0),IF(H40="Consulting",IFERROR(INDEX(tbl_Consulting[Total Expense],MATCH(E40&amp;"",tbl_Consulting[Job Number],0)),0),0)))</f>
        <v/>
      </c>
      <c r="AE40" s="27">
        <f>IF(E40="","",Y40-N(AD40))</f>
        <v/>
      </c>
      <c r="AF40" s="29">
        <f>IFERROR(AE40/Y40,"")</f>
        <v/>
      </c>
      <c r="AG40" s="25">
        <f>IF(E40="","",IF(H40="Onsite",IFERROR(INDEX(tbl_Onsite[Notes],MATCH(E40&amp;"",tbl_Onsite[Job Number],0)),""),IF(H40="Production",IFERROR(INDEX(tbl_Production[Notes],MATCH(E40&amp;"",tbl_Production[Job Number],0)),""),IF(H40="Consulting",IFERROR(INDEX(tbl_Consulting[Notes],MATCH(E40&amp;"",tbl_Consulting[Job Number],0)),""),""))))</f>
        <v/>
      </c>
    </row>
    <row r="41" ht="15" customHeight="1">
      <c r="A41" s="22" t="n">
        <v>46265</v>
      </c>
      <c r="B41" s="23">
        <f>IF(A41="","",EOMONTH(A41,0))</f>
        <v/>
      </c>
      <c r="C41" s="24" t="inlineStr">
        <is>
          <t>INV-10604</t>
        </is>
      </c>
      <c r="D41" s="24" t="inlineStr">
        <is>
          <t>CBA</t>
        </is>
      </c>
      <c r="E41" s="24" t="inlineStr">
        <is>
          <t>1668</t>
        </is>
      </c>
      <c r="F41" s="25">
        <f>IF(E41="","",IF(COUNTIF(lst_Jobs,E41&amp;"")&gt;0,"OK","CHECK"))</f>
        <v/>
      </c>
      <c r="G41" s="24" t="inlineStr">
        <is>
          <t>85720001CBPSCSJUN27 DEDICATED TECH</t>
        </is>
      </c>
      <c r="H41" s="24" t="inlineStr">
        <is>
          <t>Onsite</t>
        </is>
      </c>
      <c r="I41" s="24" t="inlineStr">
        <is>
          <t>ONSITE</t>
        </is>
      </c>
      <c r="J41" s="24" t="inlineStr">
        <is>
          <t>Contract</t>
        </is>
      </c>
      <c r="K41" s="24" t="inlineStr">
        <is>
          <t>GST 10%</t>
        </is>
      </c>
      <c r="L41" s="26" t="n">
        <v>510</v>
      </c>
      <c r="M41" s="27">
        <f>IF(L41="","",IF(K41="GST 10%",ROUND(L41*set_GSTRate,2),0))</f>
        <v/>
      </c>
      <c r="N41" s="27">
        <f>IF(L41="","",L41+M41)</f>
        <v/>
      </c>
      <c r="O41" s="24" t="inlineStr">
        <is>
          <t>41100</t>
        </is>
      </c>
      <c r="P41" s="24" t="inlineStr">
        <is>
          <t>Y</t>
        </is>
      </c>
      <c r="Q41" s="24" t="inlineStr">
        <is>
          <t>N</t>
        </is>
      </c>
      <c r="R41" s="22" t="n"/>
      <c r="S41" s="22" t="n"/>
      <c r="T41" s="24" t="inlineStr">
        <is>
          <t>Invoiced</t>
        </is>
      </c>
      <c r="U41" s="24" t="n"/>
      <c r="V41" s="25">
        <f>IF(COUNTA(A41,D41,C41,L41)=0,"",IF(A41="","No date - sits outside every month",IF(E41="","No job number",IF(F41="CHECK","Job number is not in the Xero job list",IF(I41="","No cost centre",IF(AND(P41="Y",C41=""),"Marked posted to Xero but has no invoice number",IF(AND(L41&lt;&gt;"",K41=""),"No tax code",IF(AND(L41&lt;&gt;"",O41=""),"No revenue GL code",""))))))))</f>
        <v/>
      </c>
      <c r="W41" s="25">
        <f>IF(E41="","",IFERROR(INDEX(lst_JobName,MATCH(E41&amp;"",lst_Jobs,0)),""))</f>
        <v/>
      </c>
      <c r="X41" s="28">
        <f>IF(E41="","",COUNTIFS(tbl_Finance[Job Number],E41&amp;"",tbl_Finance[Ex GST],"&lt;&gt;"))</f>
        <v/>
      </c>
      <c r="Y41" s="27">
        <f>IF(E41="","",SUMIFS(tbl_Finance[Ex GST],tbl_Finance[Job Number],E41&amp;""))</f>
        <v/>
      </c>
      <c r="Z41" s="27">
        <f>IF(E41="","",SUMIFS(tbl_Finance[Ex GST],tbl_Finance[Job Number],E41&amp;"",tbl_Finance[Xero Invoice No],"&lt;&gt;"))</f>
        <v/>
      </c>
      <c r="AA41" s="27">
        <f>IF(E41="","",Y41-Z41)</f>
        <v/>
      </c>
      <c r="AB41" s="25">
        <f>IF(E41="","",IF(H41="Onsite",IFERROR(INDEX(tbl_Onsite[Qwilr Quote],MATCH(E41&amp;"",tbl_Onsite[Job Number],0)),""),IF(H41="Production",IFERROR(INDEX(tbl_Production[Current RMS No],MATCH(E41&amp;"",tbl_Production[Job Number],0)),""),IF(H41="Consulting",IFERROR(INDEX(tbl_Consulting[Qwilr Quote],MATCH(E41&amp;"",tbl_Consulting[Job Number],0)),""),""))))</f>
        <v/>
      </c>
      <c r="AC41" s="25">
        <f>IF(AB41="","",IF(AND(LEFT(AB41,4)&lt;&gt;"http",IF(H41="Production",set_RMSBase,set_QwilrBase)=""),"",HYPERLINK(IF(LEFT(AB41,4)="http",AB41,IF(H41="Production",set_RMSBase,set_QwilrBase)&amp;AB41),"Open")))</f>
        <v/>
      </c>
      <c r="AD41" s="27">
        <f>IF(E41="","",IF(H41="Production",IFERROR(INDEX(tbl_Production[Total Expense],MATCH(E41&amp;"",tbl_Production[Job Number],0)),0),IF(H41="Consulting",IFERROR(INDEX(tbl_Consulting[Total Expense],MATCH(E41&amp;"",tbl_Consulting[Job Number],0)),0),0)))</f>
        <v/>
      </c>
      <c r="AE41" s="27">
        <f>IF(E41="","",Y41-N(AD41))</f>
        <v/>
      </c>
      <c r="AF41" s="29">
        <f>IFERROR(AE41/Y41,"")</f>
        <v/>
      </c>
      <c r="AG41" s="25">
        <f>IF(E41="","",IF(H41="Onsite",IFERROR(INDEX(tbl_Onsite[Notes],MATCH(E41&amp;"",tbl_Onsite[Job Number],0)),""),IF(H41="Production",IFERROR(INDEX(tbl_Production[Notes],MATCH(E41&amp;"",tbl_Production[Job Number],0)),""),IF(H41="Consulting",IFERROR(INDEX(tbl_Consulting[Notes],MATCH(E41&amp;"",tbl_Consulting[Job Number],0)),""),""))))</f>
        <v/>
      </c>
    </row>
    <row r="42" ht="15" customHeight="1">
      <c r="A42" s="22" t="n">
        <v>46265</v>
      </c>
      <c r="B42" s="23">
        <f>IF(A42="","",EOMONTH(A42,0))</f>
        <v/>
      </c>
      <c r="C42" s="24" t="inlineStr">
        <is>
          <t>INV-10605</t>
        </is>
      </c>
      <c r="D42" s="24" t="inlineStr">
        <is>
          <t>CBA</t>
        </is>
      </c>
      <c r="E42" s="24" t="inlineStr">
        <is>
          <t>1668</t>
        </is>
      </c>
      <c r="F42" s="25">
        <f>IF(E42="","",IF(COUNTIF(lst_Jobs,E42&amp;"")&gt;0,"OK","CHECK"))</f>
        <v/>
      </c>
      <c r="G42" s="24" t="inlineStr">
        <is>
          <t>85720001CBPSCSJUN27 DEDICATED TECH</t>
        </is>
      </c>
      <c r="H42" s="24" t="inlineStr">
        <is>
          <t>Onsite</t>
        </is>
      </c>
      <c r="I42" s="24" t="inlineStr">
        <is>
          <t>ONSITE</t>
        </is>
      </c>
      <c r="J42" s="24" t="inlineStr">
        <is>
          <t>Contract</t>
        </is>
      </c>
      <c r="K42" s="24" t="inlineStr">
        <is>
          <t>GST 10%</t>
        </is>
      </c>
      <c r="L42" s="26" t="n">
        <v>340</v>
      </c>
      <c r="M42" s="27">
        <f>IF(L42="","",IF(K42="GST 10%",ROUND(L42*set_GSTRate,2),0))</f>
        <v/>
      </c>
      <c r="N42" s="27">
        <f>IF(L42="","",L42+M42)</f>
        <v/>
      </c>
      <c r="O42" s="24" t="inlineStr">
        <is>
          <t>41100</t>
        </is>
      </c>
      <c r="P42" s="24" t="inlineStr">
        <is>
          <t>Y</t>
        </is>
      </c>
      <c r="Q42" s="24" t="inlineStr">
        <is>
          <t>N</t>
        </is>
      </c>
      <c r="R42" s="22" t="n"/>
      <c r="S42" s="22" t="n"/>
      <c r="T42" s="24" t="inlineStr">
        <is>
          <t>Invoiced</t>
        </is>
      </c>
      <c r="U42" s="24" t="n"/>
      <c r="V42" s="25">
        <f>IF(COUNTA(A42,D42,C42,L42)=0,"",IF(A42="","No date - sits outside every month",IF(E42="","No job number",IF(F42="CHECK","Job number is not in the Xero job list",IF(I42="","No cost centre",IF(AND(P42="Y",C42=""),"Marked posted to Xero but has no invoice number",IF(AND(L42&lt;&gt;"",K42=""),"No tax code",IF(AND(L42&lt;&gt;"",O42=""),"No revenue GL code",""))))))))</f>
        <v/>
      </c>
      <c r="W42" s="25">
        <f>IF(E42="","",IFERROR(INDEX(lst_JobName,MATCH(E42&amp;"",lst_Jobs,0)),""))</f>
        <v/>
      </c>
      <c r="X42" s="28">
        <f>IF(E42="","",COUNTIFS(tbl_Finance[Job Number],E42&amp;"",tbl_Finance[Ex GST],"&lt;&gt;"))</f>
        <v/>
      </c>
      <c r="Y42" s="27">
        <f>IF(E42="","",SUMIFS(tbl_Finance[Ex GST],tbl_Finance[Job Number],E42&amp;""))</f>
        <v/>
      </c>
      <c r="Z42" s="27">
        <f>IF(E42="","",SUMIFS(tbl_Finance[Ex GST],tbl_Finance[Job Number],E42&amp;"",tbl_Finance[Xero Invoice No],"&lt;&gt;"))</f>
        <v/>
      </c>
      <c r="AA42" s="27">
        <f>IF(E42="","",Y42-Z42)</f>
        <v/>
      </c>
      <c r="AB42" s="25">
        <f>IF(E42="","",IF(H42="Onsite",IFERROR(INDEX(tbl_Onsite[Qwilr Quote],MATCH(E42&amp;"",tbl_Onsite[Job Number],0)),""),IF(H42="Production",IFERROR(INDEX(tbl_Production[Current RMS No],MATCH(E42&amp;"",tbl_Production[Job Number],0)),""),IF(H42="Consulting",IFERROR(INDEX(tbl_Consulting[Qwilr Quote],MATCH(E42&amp;"",tbl_Consulting[Job Number],0)),""),""))))</f>
        <v/>
      </c>
      <c r="AC42" s="25">
        <f>IF(AB42="","",IF(AND(LEFT(AB42,4)&lt;&gt;"http",IF(H42="Production",set_RMSBase,set_QwilrBase)=""),"",HYPERLINK(IF(LEFT(AB42,4)="http",AB42,IF(H42="Production",set_RMSBase,set_QwilrBase)&amp;AB42),"Open")))</f>
        <v/>
      </c>
      <c r="AD42" s="27">
        <f>IF(E42="","",IF(H42="Production",IFERROR(INDEX(tbl_Production[Total Expense],MATCH(E42&amp;"",tbl_Production[Job Number],0)),0),IF(H42="Consulting",IFERROR(INDEX(tbl_Consulting[Total Expense],MATCH(E42&amp;"",tbl_Consulting[Job Number],0)),0),0)))</f>
        <v/>
      </c>
      <c r="AE42" s="27">
        <f>IF(E42="","",Y42-N(AD42))</f>
        <v/>
      </c>
      <c r="AF42" s="29">
        <f>IFERROR(AE42/Y42,"")</f>
        <v/>
      </c>
      <c r="AG42" s="25">
        <f>IF(E42="","",IF(H42="Onsite",IFERROR(INDEX(tbl_Onsite[Notes],MATCH(E42&amp;"",tbl_Onsite[Job Number],0)),""),IF(H42="Production",IFERROR(INDEX(tbl_Production[Notes],MATCH(E42&amp;"",tbl_Production[Job Number],0)),""),IF(H42="Consulting",IFERROR(INDEX(tbl_Consulting[Notes],MATCH(E42&amp;"",tbl_Consulting[Job Number],0)),""),""))))</f>
        <v/>
      </c>
    </row>
    <row r="43" ht="15" customHeight="1">
      <c r="A43" s="22" t="n">
        <v>46265</v>
      </c>
      <c r="B43" s="23">
        <f>IF(A43="","",EOMONTH(A43,0))</f>
        <v/>
      </c>
      <c r="C43" s="24" t="inlineStr">
        <is>
          <t>INV-10606</t>
        </is>
      </c>
      <c r="D43" s="24" t="inlineStr">
        <is>
          <t>CBA</t>
        </is>
      </c>
      <c r="E43" s="24" t="inlineStr">
        <is>
          <t>1668</t>
        </is>
      </c>
      <c r="F43" s="25">
        <f>IF(E43="","",IF(COUNTIF(lst_Jobs,E43&amp;"")&gt;0,"OK","CHECK"))</f>
        <v/>
      </c>
      <c r="G43" s="24" t="inlineStr">
        <is>
          <t>85720001CBPSCSJUN27 DEDICATED TECH</t>
        </is>
      </c>
      <c r="H43" s="24" t="inlineStr">
        <is>
          <t>Onsite</t>
        </is>
      </c>
      <c r="I43" s="24" t="inlineStr">
        <is>
          <t>ONSITE</t>
        </is>
      </c>
      <c r="J43" s="24" t="inlineStr">
        <is>
          <t>Contract</t>
        </is>
      </c>
      <c r="K43" s="24" t="inlineStr">
        <is>
          <t>GST 10%</t>
        </is>
      </c>
      <c r="L43" s="26" t="n">
        <v>510</v>
      </c>
      <c r="M43" s="27">
        <f>IF(L43="","",IF(K43="GST 10%",ROUND(L43*set_GSTRate,2),0))</f>
        <v/>
      </c>
      <c r="N43" s="27">
        <f>IF(L43="","",L43+M43)</f>
        <v/>
      </c>
      <c r="O43" s="24" t="inlineStr">
        <is>
          <t>41100</t>
        </is>
      </c>
      <c r="P43" s="24" t="inlineStr">
        <is>
          <t>Y</t>
        </is>
      </c>
      <c r="Q43" s="24" t="inlineStr">
        <is>
          <t>N</t>
        </is>
      </c>
      <c r="R43" s="22" t="n"/>
      <c r="S43" s="22" t="n"/>
      <c r="T43" s="24" t="inlineStr">
        <is>
          <t>Invoiced</t>
        </is>
      </c>
      <c r="U43" s="24" t="n"/>
      <c r="V43" s="25">
        <f>IF(COUNTA(A43,D43,C43,L43)=0,"",IF(A43="","No date - sits outside every month",IF(E43="","No job number",IF(F43="CHECK","Job number is not in the Xero job list",IF(I43="","No cost centre",IF(AND(P43="Y",C43=""),"Marked posted to Xero but has no invoice number",IF(AND(L43&lt;&gt;"",K43=""),"No tax code",IF(AND(L43&lt;&gt;"",O43=""),"No revenue GL code",""))))))))</f>
        <v/>
      </c>
      <c r="W43" s="25">
        <f>IF(E43="","",IFERROR(INDEX(lst_JobName,MATCH(E43&amp;"",lst_Jobs,0)),""))</f>
        <v/>
      </c>
      <c r="X43" s="28">
        <f>IF(E43="","",COUNTIFS(tbl_Finance[Job Number],E43&amp;"",tbl_Finance[Ex GST],"&lt;&gt;"))</f>
        <v/>
      </c>
      <c r="Y43" s="27">
        <f>IF(E43="","",SUMIFS(tbl_Finance[Ex GST],tbl_Finance[Job Number],E43&amp;""))</f>
        <v/>
      </c>
      <c r="Z43" s="27">
        <f>IF(E43="","",SUMIFS(tbl_Finance[Ex GST],tbl_Finance[Job Number],E43&amp;"",tbl_Finance[Xero Invoice No],"&lt;&gt;"))</f>
        <v/>
      </c>
      <c r="AA43" s="27">
        <f>IF(E43="","",Y43-Z43)</f>
        <v/>
      </c>
      <c r="AB43" s="25">
        <f>IF(E43="","",IF(H43="Onsite",IFERROR(INDEX(tbl_Onsite[Qwilr Quote],MATCH(E43&amp;"",tbl_Onsite[Job Number],0)),""),IF(H43="Production",IFERROR(INDEX(tbl_Production[Current RMS No],MATCH(E43&amp;"",tbl_Production[Job Number],0)),""),IF(H43="Consulting",IFERROR(INDEX(tbl_Consulting[Qwilr Quote],MATCH(E43&amp;"",tbl_Consulting[Job Number],0)),""),""))))</f>
        <v/>
      </c>
      <c r="AC43" s="25">
        <f>IF(AB43="","",IF(AND(LEFT(AB43,4)&lt;&gt;"http",IF(H43="Production",set_RMSBase,set_QwilrBase)=""),"",HYPERLINK(IF(LEFT(AB43,4)="http",AB43,IF(H43="Production",set_RMSBase,set_QwilrBase)&amp;AB43),"Open")))</f>
        <v/>
      </c>
      <c r="AD43" s="27">
        <f>IF(E43="","",IF(H43="Production",IFERROR(INDEX(tbl_Production[Total Expense],MATCH(E43&amp;"",tbl_Production[Job Number],0)),0),IF(H43="Consulting",IFERROR(INDEX(tbl_Consulting[Total Expense],MATCH(E43&amp;"",tbl_Consulting[Job Number],0)),0),0)))</f>
        <v/>
      </c>
      <c r="AE43" s="27">
        <f>IF(E43="","",Y43-N(AD43))</f>
        <v/>
      </c>
      <c r="AF43" s="29">
        <f>IFERROR(AE43/Y43,"")</f>
        <v/>
      </c>
      <c r="AG43" s="25">
        <f>IF(E43="","",IF(H43="Onsite",IFERROR(INDEX(tbl_Onsite[Notes],MATCH(E43&amp;"",tbl_Onsite[Job Number],0)),""),IF(H43="Production",IFERROR(INDEX(tbl_Production[Notes],MATCH(E43&amp;"",tbl_Production[Job Number],0)),""),IF(H43="Consulting",IFERROR(INDEX(tbl_Consulting[Notes],MATCH(E43&amp;"",tbl_Consulting[Job Number],0)),""),""))))</f>
        <v/>
      </c>
    </row>
    <row r="44" ht="15" customHeight="1">
      <c r="A44" s="22" t="n">
        <v>46265</v>
      </c>
      <c r="B44" s="23">
        <f>IF(A44="","",EOMONTH(A44,0))</f>
        <v/>
      </c>
      <c r="C44" s="24" t="inlineStr">
        <is>
          <t>INV-10607</t>
        </is>
      </c>
      <c r="D44" s="24" t="inlineStr">
        <is>
          <t>CBA</t>
        </is>
      </c>
      <c r="E44" s="24" t="inlineStr">
        <is>
          <t>1668</t>
        </is>
      </c>
      <c r="F44" s="25">
        <f>IF(E44="","",IF(COUNTIF(lst_Jobs,E44&amp;"")&gt;0,"OK","CHECK"))</f>
        <v/>
      </c>
      <c r="G44" s="24" t="inlineStr">
        <is>
          <t>85720001CBPSCSJUN27 DEDICATED TECH</t>
        </is>
      </c>
      <c r="H44" s="24" t="inlineStr">
        <is>
          <t>Onsite</t>
        </is>
      </c>
      <c r="I44" s="24" t="inlineStr">
        <is>
          <t>ONSITE</t>
        </is>
      </c>
      <c r="J44" s="24" t="inlineStr">
        <is>
          <t>Contract</t>
        </is>
      </c>
      <c r="K44" s="24" t="inlineStr">
        <is>
          <t>GST 10%</t>
        </is>
      </c>
      <c r="L44" s="26" t="n">
        <v>510</v>
      </c>
      <c r="M44" s="27">
        <f>IF(L44="","",IF(K44="GST 10%",ROUND(L44*set_GSTRate,2),0))</f>
        <v/>
      </c>
      <c r="N44" s="27">
        <f>IF(L44="","",L44+M44)</f>
        <v/>
      </c>
      <c r="O44" s="24" t="inlineStr">
        <is>
          <t>41100</t>
        </is>
      </c>
      <c r="P44" s="24" t="inlineStr">
        <is>
          <t>Y</t>
        </is>
      </c>
      <c r="Q44" s="24" t="inlineStr">
        <is>
          <t>N</t>
        </is>
      </c>
      <c r="R44" s="22" t="n"/>
      <c r="S44" s="22" t="n"/>
      <c r="T44" s="24" t="inlineStr">
        <is>
          <t>Invoiced</t>
        </is>
      </c>
      <c r="U44" s="24" t="n"/>
      <c r="V44" s="25">
        <f>IF(COUNTA(A44,D44,C44,L44)=0,"",IF(A44="","No date - sits outside every month",IF(E44="","No job number",IF(F44="CHECK","Job number is not in the Xero job list",IF(I44="","No cost centre",IF(AND(P44="Y",C44=""),"Marked posted to Xero but has no invoice number",IF(AND(L44&lt;&gt;"",K44=""),"No tax code",IF(AND(L44&lt;&gt;"",O44=""),"No revenue GL code",""))))))))</f>
        <v/>
      </c>
      <c r="W44" s="25">
        <f>IF(E44="","",IFERROR(INDEX(lst_JobName,MATCH(E44&amp;"",lst_Jobs,0)),""))</f>
        <v/>
      </c>
      <c r="X44" s="28">
        <f>IF(E44="","",COUNTIFS(tbl_Finance[Job Number],E44&amp;"",tbl_Finance[Ex GST],"&lt;&gt;"))</f>
        <v/>
      </c>
      <c r="Y44" s="27">
        <f>IF(E44="","",SUMIFS(tbl_Finance[Ex GST],tbl_Finance[Job Number],E44&amp;""))</f>
        <v/>
      </c>
      <c r="Z44" s="27">
        <f>IF(E44="","",SUMIFS(tbl_Finance[Ex GST],tbl_Finance[Job Number],E44&amp;"",tbl_Finance[Xero Invoice No],"&lt;&gt;"))</f>
        <v/>
      </c>
      <c r="AA44" s="27">
        <f>IF(E44="","",Y44-Z44)</f>
        <v/>
      </c>
      <c r="AB44" s="25">
        <f>IF(E44="","",IF(H44="Onsite",IFERROR(INDEX(tbl_Onsite[Qwilr Quote],MATCH(E44&amp;"",tbl_Onsite[Job Number],0)),""),IF(H44="Production",IFERROR(INDEX(tbl_Production[Current RMS No],MATCH(E44&amp;"",tbl_Production[Job Number],0)),""),IF(H44="Consulting",IFERROR(INDEX(tbl_Consulting[Qwilr Quote],MATCH(E44&amp;"",tbl_Consulting[Job Number],0)),""),""))))</f>
        <v/>
      </c>
      <c r="AC44" s="25">
        <f>IF(AB44="","",IF(AND(LEFT(AB44,4)&lt;&gt;"http",IF(H44="Production",set_RMSBase,set_QwilrBase)=""),"",HYPERLINK(IF(LEFT(AB44,4)="http",AB44,IF(H44="Production",set_RMSBase,set_QwilrBase)&amp;AB44),"Open")))</f>
        <v/>
      </c>
      <c r="AD44" s="27">
        <f>IF(E44="","",IF(H44="Production",IFERROR(INDEX(tbl_Production[Total Expense],MATCH(E44&amp;"",tbl_Production[Job Number],0)),0),IF(H44="Consulting",IFERROR(INDEX(tbl_Consulting[Total Expense],MATCH(E44&amp;"",tbl_Consulting[Job Number],0)),0),0)))</f>
        <v/>
      </c>
      <c r="AE44" s="27">
        <f>IF(E44="","",Y44-N(AD44))</f>
        <v/>
      </c>
      <c r="AF44" s="29">
        <f>IFERROR(AE44/Y44,"")</f>
        <v/>
      </c>
      <c r="AG44" s="25">
        <f>IF(E44="","",IF(H44="Onsite",IFERROR(INDEX(tbl_Onsite[Notes],MATCH(E44&amp;"",tbl_Onsite[Job Number],0)),""),IF(H44="Production",IFERROR(INDEX(tbl_Production[Notes],MATCH(E44&amp;"",tbl_Production[Job Number],0)),""),IF(H44="Consulting",IFERROR(INDEX(tbl_Consulting[Notes],MATCH(E44&amp;"",tbl_Consulting[Job Number],0)),""),""))))</f>
        <v/>
      </c>
    </row>
    <row r="45" ht="15" customHeight="1">
      <c r="A45" s="22" t="n">
        <v>46265</v>
      </c>
      <c r="B45" s="23">
        <f>IF(A45="","",EOMONTH(A45,0))</f>
        <v/>
      </c>
      <c r="C45" s="24" t="inlineStr">
        <is>
          <t>INV-10608</t>
        </is>
      </c>
      <c r="D45" s="24" t="inlineStr">
        <is>
          <t>CBA</t>
        </is>
      </c>
      <c r="E45" s="24" t="inlineStr">
        <is>
          <t>1668</t>
        </is>
      </c>
      <c r="F45" s="25">
        <f>IF(E45="","",IF(COUNTIF(lst_Jobs,E45&amp;"")&gt;0,"OK","CHECK"))</f>
        <v/>
      </c>
      <c r="G45" s="24" t="inlineStr">
        <is>
          <t>85720001CBPSCSJUN27 DEDICATED TECH</t>
        </is>
      </c>
      <c r="H45" s="24" t="inlineStr">
        <is>
          <t>Onsite</t>
        </is>
      </c>
      <c r="I45" s="24" t="inlineStr">
        <is>
          <t>ONSITE</t>
        </is>
      </c>
      <c r="J45" s="24" t="inlineStr">
        <is>
          <t>Contract</t>
        </is>
      </c>
      <c r="K45" s="24" t="inlineStr">
        <is>
          <t>GST 10%</t>
        </is>
      </c>
      <c r="L45" s="26" t="n">
        <v>340</v>
      </c>
      <c r="M45" s="27">
        <f>IF(L45="","",IF(K45="GST 10%",ROUND(L45*set_GSTRate,2),0))</f>
        <v/>
      </c>
      <c r="N45" s="27">
        <f>IF(L45="","",L45+M45)</f>
        <v/>
      </c>
      <c r="O45" s="24" t="inlineStr">
        <is>
          <t>41100</t>
        </is>
      </c>
      <c r="P45" s="24" t="inlineStr">
        <is>
          <t>Y</t>
        </is>
      </c>
      <c r="Q45" s="24" t="inlineStr">
        <is>
          <t>N</t>
        </is>
      </c>
      <c r="R45" s="22" t="n"/>
      <c r="S45" s="22" t="n"/>
      <c r="T45" s="24" t="inlineStr">
        <is>
          <t>Invoiced</t>
        </is>
      </c>
      <c r="U45" s="24" t="n"/>
      <c r="V45" s="25">
        <f>IF(COUNTA(A45,D45,C45,L45)=0,"",IF(A45="","No date - sits outside every month",IF(E45="","No job number",IF(F45="CHECK","Job number is not in the Xero job list",IF(I45="","No cost centre",IF(AND(P45="Y",C45=""),"Marked posted to Xero but has no invoice number",IF(AND(L45&lt;&gt;"",K45=""),"No tax code",IF(AND(L45&lt;&gt;"",O45=""),"No revenue GL code",""))))))))</f>
        <v/>
      </c>
      <c r="W45" s="25">
        <f>IF(E45="","",IFERROR(INDEX(lst_JobName,MATCH(E45&amp;"",lst_Jobs,0)),""))</f>
        <v/>
      </c>
      <c r="X45" s="28">
        <f>IF(E45="","",COUNTIFS(tbl_Finance[Job Number],E45&amp;"",tbl_Finance[Ex GST],"&lt;&gt;"))</f>
        <v/>
      </c>
      <c r="Y45" s="27">
        <f>IF(E45="","",SUMIFS(tbl_Finance[Ex GST],tbl_Finance[Job Number],E45&amp;""))</f>
        <v/>
      </c>
      <c r="Z45" s="27">
        <f>IF(E45="","",SUMIFS(tbl_Finance[Ex GST],tbl_Finance[Job Number],E45&amp;"",tbl_Finance[Xero Invoice No],"&lt;&gt;"))</f>
        <v/>
      </c>
      <c r="AA45" s="27">
        <f>IF(E45="","",Y45-Z45)</f>
        <v/>
      </c>
      <c r="AB45" s="25">
        <f>IF(E45="","",IF(H45="Onsite",IFERROR(INDEX(tbl_Onsite[Qwilr Quote],MATCH(E45&amp;"",tbl_Onsite[Job Number],0)),""),IF(H45="Production",IFERROR(INDEX(tbl_Production[Current RMS No],MATCH(E45&amp;"",tbl_Production[Job Number],0)),""),IF(H45="Consulting",IFERROR(INDEX(tbl_Consulting[Qwilr Quote],MATCH(E45&amp;"",tbl_Consulting[Job Number],0)),""),""))))</f>
        <v/>
      </c>
      <c r="AC45" s="25">
        <f>IF(AB45="","",IF(AND(LEFT(AB45,4)&lt;&gt;"http",IF(H45="Production",set_RMSBase,set_QwilrBase)=""),"",HYPERLINK(IF(LEFT(AB45,4)="http",AB45,IF(H45="Production",set_RMSBase,set_QwilrBase)&amp;AB45),"Open")))</f>
        <v/>
      </c>
      <c r="AD45" s="27">
        <f>IF(E45="","",IF(H45="Production",IFERROR(INDEX(tbl_Production[Total Expense],MATCH(E45&amp;"",tbl_Production[Job Number],0)),0),IF(H45="Consulting",IFERROR(INDEX(tbl_Consulting[Total Expense],MATCH(E45&amp;"",tbl_Consulting[Job Number],0)),0),0)))</f>
        <v/>
      </c>
      <c r="AE45" s="27">
        <f>IF(E45="","",Y45-N(AD45))</f>
        <v/>
      </c>
      <c r="AF45" s="29">
        <f>IFERROR(AE45/Y45,"")</f>
        <v/>
      </c>
      <c r="AG45" s="25">
        <f>IF(E45="","",IF(H45="Onsite",IFERROR(INDEX(tbl_Onsite[Notes],MATCH(E45&amp;"",tbl_Onsite[Job Number],0)),""),IF(H45="Production",IFERROR(INDEX(tbl_Production[Notes],MATCH(E45&amp;"",tbl_Production[Job Number],0)),""),IF(H45="Consulting",IFERROR(INDEX(tbl_Consulting[Notes],MATCH(E45&amp;"",tbl_Consulting[Job Number],0)),""),""))))</f>
        <v/>
      </c>
    </row>
    <row r="46" ht="15" customHeight="1">
      <c r="A46" s="22" t="n">
        <v>46265</v>
      </c>
      <c r="B46" s="23">
        <f>IF(A46="","",EOMONTH(A46,0))</f>
        <v/>
      </c>
      <c r="C46" s="24" t="inlineStr">
        <is>
          <t>INV-10609</t>
        </is>
      </c>
      <c r="D46" s="24" t="inlineStr">
        <is>
          <t>CBA</t>
        </is>
      </c>
      <c r="E46" s="24" t="inlineStr">
        <is>
          <t>1668</t>
        </is>
      </c>
      <c r="F46" s="25">
        <f>IF(E46="","",IF(COUNTIF(lst_Jobs,E46&amp;"")&gt;0,"OK","CHECK"))</f>
        <v/>
      </c>
      <c r="G46" s="24" t="inlineStr">
        <is>
          <t>85720001CBPSCSJUN27 DEDICATED TECH</t>
        </is>
      </c>
      <c r="H46" s="24" t="inlineStr">
        <is>
          <t>Onsite</t>
        </is>
      </c>
      <c r="I46" s="24" t="inlineStr">
        <is>
          <t>ONSITE</t>
        </is>
      </c>
      <c r="J46" s="24" t="inlineStr">
        <is>
          <t>Contract</t>
        </is>
      </c>
      <c r="K46" s="24" t="inlineStr">
        <is>
          <t>GST 10%</t>
        </is>
      </c>
      <c r="L46" s="26" t="n">
        <v>425</v>
      </c>
      <c r="M46" s="27">
        <f>IF(L46="","",IF(K46="GST 10%",ROUND(L46*set_GSTRate,2),0))</f>
        <v/>
      </c>
      <c r="N46" s="27">
        <f>IF(L46="","",L46+M46)</f>
        <v/>
      </c>
      <c r="O46" s="24" t="inlineStr">
        <is>
          <t>41100</t>
        </is>
      </c>
      <c r="P46" s="24" t="inlineStr">
        <is>
          <t>Y</t>
        </is>
      </c>
      <c r="Q46" s="24" t="inlineStr">
        <is>
          <t>N</t>
        </is>
      </c>
      <c r="R46" s="22" t="n"/>
      <c r="S46" s="22" t="n"/>
      <c r="T46" s="24" t="inlineStr">
        <is>
          <t>Invoiced</t>
        </is>
      </c>
      <c r="U46" s="24" t="n"/>
      <c r="V46" s="25">
        <f>IF(COUNTA(A46,D46,C46,L46)=0,"",IF(A46="","No date - sits outside every month",IF(E46="","No job number",IF(F46="CHECK","Job number is not in the Xero job list",IF(I46="","No cost centre",IF(AND(P46="Y",C46=""),"Marked posted to Xero but has no invoice number",IF(AND(L46&lt;&gt;"",K46=""),"No tax code",IF(AND(L46&lt;&gt;"",O46=""),"No revenue GL code",""))))))))</f>
        <v/>
      </c>
      <c r="W46" s="25">
        <f>IF(E46="","",IFERROR(INDEX(lst_JobName,MATCH(E46&amp;"",lst_Jobs,0)),""))</f>
        <v/>
      </c>
      <c r="X46" s="28">
        <f>IF(E46="","",COUNTIFS(tbl_Finance[Job Number],E46&amp;"",tbl_Finance[Ex GST],"&lt;&gt;"))</f>
        <v/>
      </c>
      <c r="Y46" s="27">
        <f>IF(E46="","",SUMIFS(tbl_Finance[Ex GST],tbl_Finance[Job Number],E46&amp;""))</f>
        <v/>
      </c>
      <c r="Z46" s="27">
        <f>IF(E46="","",SUMIFS(tbl_Finance[Ex GST],tbl_Finance[Job Number],E46&amp;"",tbl_Finance[Xero Invoice No],"&lt;&gt;"))</f>
        <v/>
      </c>
      <c r="AA46" s="27">
        <f>IF(E46="","",Y46-Z46)</f>
        <v/>
      </c>
      <c r="AB46" s="25">
        <f>IF(E46="","",IF(H46="Onsite",IFERROR(INDEX(tbl_Onsite[Qwilr Quote],MATCH(E46&amp;"",tbl_Onsite[Job Number],0)),""),IF(H46="Production",IFERROR(INDEX(tbl_Production[Current RMS No],MATCH(E46&amp;"",tbl_Production[Job Number],0)),""),IF(H46="Consulting",IFERROR(INDEX(tbl_Consulting[Qwilr Quote],MATCH(E46&amp;"",tbl_Consulting[Job Number],0)),""),""))))</f>
        <v/>
      </c>
      <c r="AC46" s="25">
        <f>IF(AB46="","",IF(AND(LEFT(AB46,4)&lt;&gt;"http",IF(H46="Production",set_RMSBase,set_QwilrBase)=""),"",HYPERLINK(IF(LEFT(AB46,4)="http",AB46,IF(H46="Production",set_RMSBase,set_QwilrBase)&amp;AB46),"Open")))</f>
        <v/>
      </c>
      <c r="AD46" s="27">
        <f>IF(E46="","",IF(H46="Production",IFERROR(INDEX(tbl_Production[Total Expense],MATCH(E46&amp;"",tbl_Production[Job Number],0)),0),IF(H46="Consulting",IFERROR(INDEX(tbl_Consulting[Total Expense],MATCH(E46&amp;"",tbl_Consulting[Job Number],0)),0),0)))</f>
        <v/>
      </c>
      <c r="AE46" s="27">
        <f>IF(E46="","",Y46-N(AD46))</f>
        <v/>
      </c>
      <c r="AF46" s="29">
        <f>IFERROR(AE46/Y46,"")</f>
        <v/>
      </c>
      <c r="AG46" s="25">
        <f>IF(E46="","",IF(H46="Onsite",IFERROR(INDEX(tbl_Onsite[Notes],MATCH(E46&amp;"",tbl_Onsite[Job Number],0)),""),IF(H46="Production",IFERROR(INDEX(tbl_Production[Notes],MATCH(E46&amp;"",tbl_Production[Job Number],0)),""),IF(H46="Consulting",IFERROR(INDEX(tbl_Consulting[Notes],MATCH(E46&amp;"",tbl_Consulting[Job Number],0)),""),""))))</f>
        <v/>
      </c>
    </row>
    <row r="47" ht="15" customHeight="1">
      <c r="A47" s="22" t="n">
        <v>46265</v>
      </c>
      <c r="B47" s="23">
        <f>IF(A47="","",EOMONTH(A47,0))</f>
        <v/>
      </c>
      <c r="C47" s="24" t="inlineStr">
        <is>
          <t>INV-10610</t>
        </is>
      </c>
      <c r="D47" s="24" t="inlineStr">
        <is>
          <t>CBA</t>
        </is>
      </c>
      <c r="E47" s="24" t="inlineStr">
        <is>
          <t>1668</t>
        </is>
      </c>
      <c r="F47" s="25">
        <f>IF(E47="","",IF(COUNTIF(lst_Jobs,E47&amp;"")&gt;0,"OK","CHECK"))</f>
        <v/>
      </c>
      <c r="G47" s="24" t="inlineStr">
        <is>
          <t>85720001CBPSCSJUN27 DEDICATED TECH</t>
        </is>
      </c>
      <c r="H47" s="24" t="inlineStr">
        <is>
          <t>Onsite</t>
        </is>
      </c>
      <c r="I47" s="24" t="inlineStr">
        <is>
          <t>ONSITE</t>
        </is>
      </c>
      <c r="J47" s="24" t="inlineStr">
        <is>
          <t>Contract</t>
        </is>
      </c>
      <c r="K47" s="24" t="inlineStr">
        <is>
          <t>GST 10%</t>
        </is>
      </c>
      <c r="L47" s="26" t="n">
        <v>595</v>
      </c>
      <c r="M47" s="27">
        <f>IF(L47="","",IF(K47="GST 10%",ROUND(L47*set_GSTRate,2),0))</f>
        <v/>
      </c>
      <c r="N47" s="27">
        <f>IF(L47="","",L47+M47)</f>
        <v/>
      </c>
      <c r="O47" s="24" t="inlineStr">
        <is>
          <t>41100</t>
        </is>
      </c>
      <c r="P47" s="24" t="inlineStr">
        <is>
          <t>Y</t>
        </is>
      </c>
      <c r="Q47" s="24" t="inlineStr">
        <is>
          <t>N</t>
        </is>
      </c>
      <c r="R47" s="22" t="n"/>
      <c r="S47" s="22" t="n"/>
      <c r="T47" s="24" t="inlineStr">
        <is>
          <t>Invoiced</t>
        </is>
      </c>
      <c r="U47" s="24" t="n"/>
      <c r="V47" s="25">
        <f>IF(COUNTA(A47,D47,C47,L47)=0,"",IF(A47="","No date - sits outside every month",IF(E47="","No job number",IF(F47="CHECK","Job number is not in the Xero job list",IF(I47="","No cost centre",IF(AND(P47="Y",C47=""),"Marked posted to Xero but has no invoice number",IF(AND(L47&lt;&gt;"",K47=""),"No tax code",IF(AND(L47&lt;&gt;"",O47=""),"No revenue GL code",""))))))))</f>
        <v/>
      </c>
      <c r="W47" s="25">
        <f>IF(E47="","",IFERROR(INDEX(lst_JobName,MATCH(E47&amp;"",lst_Jobs,0)),""))</f>
        <v/>
      </c>
      <c r="X47" s="28">
        <f>IF(E47="","",COUNTIFS(tbl_Finance[Job Number],E47&amp;"",tbl_Finance[Ex GST],"&lt;&gt;"))</f>
        <v/>
      </c>
      <c r="Y47" s="27">
        <f>IF(E47="","",SUMIFS(tbl_Finance[Ex GST],tbl_Finance[Job Number],E47&amp;""))</f>
        <v/>
      </c>
      <c r="Z47" s="27">
        <f>IF(E47="","",SUMIFS(tbl_Finance[Ex GST],tbl_Finance[Job Number],E47&amp;"",tbl_Finance[Xero Invoice No],"&lt;&gt;"))</f>
        <v/>
      </c>
      <c r="AA47" s="27">
        <f>IF(E47="","",Y47-Z47)</f>
        <v/>
      </c>
      <c r="AB47" s="25">
        <f>IF(E47="","",IF(H47="Onsite",IFERROR(INDEX(tbl_Onsite[Qwilr Quote],MATCH(E47&amp;"",tbl_Onsite[Job Number],0)),""),IF(H47="Production",IFERROR(INDEX(tbl_Production[Current RMS No],MATCH(E47&amp;"",tbl_Production[Job Number],0)),""),IF(H47="Consulting",IFERROR(INDEX(tbl_Consulting[Qwilr Quote],MATCH(E47&amp;"",tbl_Consulting[Job Number],0)),""),""))))</f>
        <v/>
      </c>
      <c r="AC47" s="25">
        <f>IF(AB47="","",IF(AND(LEFT(AB47,4)&lt;&gt;"http",IF(H47="Production",set_RMSBase,set_QwilrBase)=""),"",HYPERLINK(IF(LEFT(AB47,4)="http",AB47,IF(H47="Production",set_RMSBase,set_QwilrBase)&amp;AB47),"Open")))</f>
        <v/>
      </c>
      <c r="AD47" s="27">
        <f>IF(E47="","",IF(H47="Production",IFERROR(INDEX(tbl_Production[Total Expense],MATCH(E47&amp;"",tbl_Production[Job Number],0)),0),IF(H47="Consulting",IFERROR(INDEX(tbl_Consulting[Total Expense],MATCH(E47&amp;"",tbl_Consulting[Job Number],0)),0),0)))</f>
        <v/>
      </c>
      <c r="AE47" s="27">
        <f>IF(E47="","",Y47-N(AD47))</f>
        <v/>
      </c>
      <c r="AF47" s="29">
        <f>IFERROR(AE47/Y47,"")</f>
        <v/>
      </c>
      <c r="AG47" s="25">
        <f>IF(E47="","",IF(H47="Onsite",IFERROR(INDEX(tbl_Onsite[Notes],MATCH(E47&amp;"",tbl_Onsite[Job Number],0)),""),IF(H47="Production",IFERROR(INDEX(tbl_Production[Notes],MATCH(E47&amp;"",tbl_Production[Job Number],0)),""),IF(H47="Consulting",IFERROR(INDEX(tbl_Consulting[Notes],MATCH(E47&amp;"",tbl_Consulting[Job Number],0)),""),""))))</f>
        <v/>
      </c>
    </row>
    <row r="48" ht="15" customHeight="1">
      <c r="A48" s="22" t="n">
        <v>46265</v>
      </c>
      <c r="B48" s="23">
        <f>IF(A48="","",EOMONTH(A48,0))</f>
        <v/>
      </c>
      <c r="C48" s="24" t="inlineStr">
        <is>
          <t>INV-10614</t>
        </is>
      </c>
      <c r="D48" s="24" t="inlineStr">
        <is>
          <t>CBA</t>
        </is>
      </c>
      <c r="E48" s="24" t="inlineStr">
        <is>
          <t>585, 586</t>
        </is>
      </c>
      <c r="F48" s="25">
        <f>IF(E48="","",IF(COUNTIF(lst_Jobs,E48&amp;"")&gt;0,"OK","CHECK"))</f>
        <v/>
      </c>
      <c r="G48" s="24" t="inlineStr">
        <is>
          <t>85720001CBPSCSJUN27</t>
        </is>
      </c>
      <c r="H48" s="24" t="inlineStr">
        <is>
          <t>Onsite</t>
        </is>
      </c>
      <c r="I48" s="24" t="inlineStr">
        <is>
          <t>ONSITE</t>
        </is>
      </c>
      <c r="J48" s="24" t="inlineStr">
        <is>
          <t>Contract</t>
        </is>
      </c>
      <c r="K48" s="24" t="inlineStr">
        <is>
          <t>GST 10%</t>
        </is>
      </c>
      <c r="L48" s="26" t="n">
        <v>22680</v>
      </c>
      <c r="M48" s="27">
        <f>IF(L48="","",IF(K48="GST 10%",ROUND(L48*set_GSTRate,2),0))</f>
        <v/>
      </c>
      <c r="N48" s="27">
        <f>IF(L48="","",L48+M48)</f>
        <v/>
      </c>
      <c r="O48" s="24" t="inlineStr">
        <is>
          <t>41100</t>
        </is>
      </c>
      <c r="P48" s="24" t="inlineStr">
        <is>
          <t>Y</t>
        </is>
      </c>
      <c r="Q48" s="24" t="inlineStr">
        <is>
          <t>N</t>
        </is>
      </c>
      <c r="R48" s="22" t="n"/>
      <c r="S48" s="22" t="n"/>
      <c r="T48" s="24" t="inlineStr">
        <is>
          <t>Invoiced</t>
        </is>
      </c>
      <c r="U48" s="24" t="n"/>
      <c r="V48" s="25">
        <f>IF(COUNTA(A48,D48,C48,L48)=0,"",IF(A48="","No date - sits outside every month",IF(E48="","No job number",IF(F48="CHECK","Job number is not in the Xero job list",IF(I48="","No cost centre",IF(AND(P48="Y",C48=""),"Marked posted to Xero but has no invoice number",IF(AND(L48&lt;&gt;"",K48=""),"No tax code",IF(AND(L48&lt;&gt;"",O48=""),"No revenue GL code",""))))))))</f>
        <v/>
      </c>
      <c r="W48" s="25">
        <f>IF(E48="","",IFERROR(INDEX(lst_JobName,MATCH(E48&amp;"",lst_Jobs,0)),""))</f>
        <v/>
      </c>
      <c r="X48" s="28">
        <f>IF(E48="","",COUNTIFS(tbl_Finance[Job Number],E48&amp;"",tbl_Finance[Ex GST],"&lt;&gt;"))</f>
        <v/>
      </c>
      <c r="Y48" s="27">
        <f>IF(E48="","",SUMIFS(tbl_Finance[Ex GST],tbl_Finance[Job Number],E48&amp;""))</f>
        <v/>
      </c>
      <c r="Z48" s="27">
        <f>IF(E48="","",SUMIFS(tbl_Finance[Ex GST],tbl_Finance[Job Number],E48&amp;"",tbl_Finance[Xero Invoice No],"&lt;&gt;"))</f>
        <v/>
      </c>
      <c r="AA48" s="27">
        <f>IF(E48="","",Y48-Z48)</f>
        <v/>
      </c>
      <c r="AB48" s="25">
        <f>IF(E48="","",IF(H48="Onsite",IFERROR(INDEX(tbl_Onsite[Qwilr Quote],MATCH(E48&amp;"",tbl_Onsite[Job Number],0)),""),IF(H48="Production",IFERROR(INDEX(tbl_Production[Current RMS No],MATCH(E48&amp;"",tbl_Production[Job Number],0)),""),IF(H48="Consulting",IFERROR(INDEX(tbl_Consulting[Qwilr Quote],MATCH(E48&amp;"",tbl_Consulting[Job Number],0)),""),""))))</f>
        <v/>
      </c>
      <c r="AC48" s="25">
        <f>IF(AB48="","",IF(AND(LEFT(AB48,4)&lt;&gt;"http",IF(H48="Production",set_RMSBase,set_QwilrBase)=""),"",HYPERLINK(IF(LEFT(AB48,4)="http",AB48,IF(H48="Production",set_RMSBase,set_QwilrBase)&amp;AB48),"Open")))</f>
        <v/>
      </c>
      <c r="AD48" s="27">
        <f>IF(E48="","",IF(H48="Production",IFERROR(INDEX(tbl_Production[Total Expense],MATCH(E48&amp;"",tbl_Production[Job Number],0)),0),IF(H48="Consulting",IFERROR(INDEX(tbl_Consulting[Total Expense],MATCH(E48&amp;"",tbl_Consulting[Job Number],0)),0),0)))</f>
        <v/>
      </c>
      <c r="AE48" s="27">
        <f>IF(E48="","",Y48-N(AD48))</f>
        <v/>
      </c>
      <c r="AF48" s="29">
        <f>IFERROR(AE48/Y48,"")</f>
        <v/>
      </c>
      <c r="AG48" s="25">
        <f>IF(E48="","",IF(H48="Onsite",IFERROR(INDEX(tbl_Onsite[Notes],MATCH(E48&amp;"",tbl_Onsite[Job Number],0)),""),IF(H48="Production",IFERROR(INDEX(tbl_Production[Notes],MATCH(E48&amp;"",tbl_Production[Job Number],0)),""),IF(H48="Consulting",IFERROR(INDEX(tbl_Consulting[Notes],MATCH(E48&amp;"",tbl_Consulting[Job Number],0)),""),""))))</f>
        <v/>
      </c>
    </row>
    <row r="49" ht="15" customHeight="1">
      <c r="A49" s="22" t="n">
        <v>46265</v>
      </c>
      <c r="B49" s="23">
        <f>IF(A49="","",EOMONTH(A49,0))</f>
        <v/>
      </c>
      <c r="C49" s="24" t="inlineStr">
        <is>
          <t>INV-10613</t>
        </is>
      </c>
      <c r="D49" s="24" t="inlineStr">
        <is>
          <t>CBA</t>
        </is>
      </c>
      <c r="E49" s="24" t="inlineStr">
        <is>
          <t>587</t>
        </is>
      </c>
      <c r="F49" s="25">
        <f>IF(E49="","",IF(COUNTIF(lst_Jobs,E49&amp;"")&gt;0,"OK","CHECK"))</f>
        <v/>
      </c>
      <c r="G49" s="24" t="inlineStr">
        <is>
          <t>85720001CBSCSJUN27</t>
        </is>
      </c>
      <c r="H49" s="24" t="inlineStr">
        <is>
          <t>Onsite</t>
        </is>
      </c>
      <c r="I49" s="24" t="inlineStr">
        <is>
          <t>ONSITE</t>
        </is>
      </c>
      <c r="J49" s="24" t="inlineStr">
        <is>
          <t>Contract</t>
        </is>
      </c>
      <c r="K49" s="24" t="inlineStr">
        <is>
          <t>GST 10%</t>
        </is>
      </c>
      <c r="L49" s="26" t="n">
        <v>10197.88</v>
      </c>
      <c r="M49" s="27">
        <f>IF(L49="","",IF(K49="GST 10%",ROUND(L49*set_GSTRate,2),0))</f>
        <v/>
      </c>
      <c r="N49" s="27">
        <f>IF(L49="","",L49+M49)</f>
        <v/>
      </c>
      <c r="O49" s="24" t="inlineStr">
        <is>
          <t>41100</t>
        </is>
      </c>
      <c r="P49" s="24" t="inlineStr">
        <is>
          <t>Y</t>
        </is>
      </c>
      <c r="Q49" s="24" t="inlineStr">
        <is>
          <t>N</t>
        </is>
      </c>
      <c r="R49" s="22" t="n"/>
      <c r="S49" s="22" t="n"/>
      <c r="T49" s="24" t="inlineStr">
        <is>
          <t>Invoiced</t>
        </is>
      </c>
      <c r="U49" s="24" t="n"/>
      <c r="V49" s="25">
        <f>IF(COUNTA(A49,D49,C49,L49)=0,"",IF(A49="","No date - sits outside every month",IF(E49="","No job number",IF(F49="CHECK","Job number is not in the Xero job list",IF(I49="","No cost centre",IF(AND(P49="Y",C49=""),"Marked posted to Xero but has no invoice number",IF(AND(L49&lt;&gt;"",K49=""),"No tax code",IF(AND(L49&lt;&gt;"",O49=""),"No revenue GL code",""))))))))</f>
        <v/>
      </c>
      <c r="W49" s="25">
        <f>IF(E49="","",IFERROR(INDEX(lst_JobName,MATCH(E49&amp;"",lst_Jobs,0)),""))</f>
        <v/>
      </c>
      <c r="X49" s="28">
        <f>IF(E49="","",COUNTIFS(tbl_Finance[Job Number],E49&amp;"",tbl_Finance[Ex GST],"&lt;&gt;"))</f>
        <v/>
      </c>
      <c r="Y49" s="27">
        <f>IF(E49="","",SUMIFS(tbl_Finance[Ex GST],tbl_Finance[Job Number],E49&amp;""))</f>
        <v/>
      </c>
      <c r="Z49" s="27">
        <f>IF(E49="","",SUMIFS(tbl_Finance[Ex GST],tbl_Finance[Job Number],E49&amp;"",tbl_Finance[Xero Invoice No],"&lt;&gt;"))</f>
        <v/>
      </c>
      <c r="AA49" s="27">
        <f>IF(E49="","",Y49-Z49)</f>
        <v/>
      </c>
      <c r="AB49" s="25">
        <f>IF(E49="","",IF(H49="Onsite",IFERROR(INDEX(tbl_Onsite[Qwilr Quote],MATCH(E49&amp;"",tbl_Onsite[Job Number],0)),""),IF(H49="Production",IFERROR(INDEX(tbl_Production[Current RMS No],MATCH(E49&amp;"",tbl_Production[Job Number],0)),""),IF(H49="Consulting",IFERROR(INDEX(tbl_Consulting[Qwilr Quote],MATCH(E49&amp;"",tbl_Consulting[Job Number],0)),""),""))))</f>
        <v/>
      </c>
      <c r="AC49" s="25">
        <f>IF(AB49="","",IF(AND(LEFT(AB49,4)&lt;&gt;"http",IF(H49="Production",set_RMSBase,set_QwilrBase)=""),"",HYPERLINK(IF(LEFT(AB49,4)="http",AB49,IF(H49="Production",set_RMSBase,set_QwilrBase)&amp;AB49),"Open")))</f>
        <v/>
      </c>
      <c r="AD49" s="27">
        <f>IF(E49="","",IF(H49="Production",IFERROR(INDEX(tbl_Production[Total Expense],MATCH(E49&amp;"",tbl_Production[Job Number],0)),0),IF(H49="Consulting",IFERROR(INDEX(tbl_Consulting[Total Expense],MATCH(E49&amp;"",tbl_Consulting[Job Number],0)),0),0)))</f>
        <v/>
      </c>
      <c r="AE49" s="27">
        <f>IF(E49="","",Y49-N(AD49))</f>
        <v/>
      </c>
      <c r="AF49" s="29">
        <f>IFERROR(AE49/Y49,"")</f>
        <v/>
      </c>
      <c r="AG49" s="25">
        <f>IF(E49="","",IF(H49="Onsite",IFERROR(INDEX(tbl_Onsite[Notes],MATCH(E49&amp;"",tbl_Onsite[Job Number],0)),""),IF(H49="Production",IFERROR(INDEX(tbl_Production[Notes],MATCH(E49&amp;"",tbl_Production[Job Number],0)),""),IF(H49="Consulting",IFERROR(INDEX(tbl_Consulting[Notes],MATCH(E49&amp;"",tbl_Consulting[Job Number],0)),""),""))))</f>
        <v/>
      </c>
    </row>
    <row r="50" ht="15" customHeight="1">
      <c r="A50" s="22" t="n">
        <v>46265</v>
      </c>
      <c r="B50" s="23">
        <f>IF(A50="","",EOMONTH(A50,0))</f>
        <v/>
      </c>
      <c r="C50" s="24" t="inlineStr">
        <is>
          <t>INV-10602</t>
        </is>
      </c>
      <c r="D50" s="24" t="inlineStr">
        <is>
          <t>CBA</t>
        </is>
      </c>
      <c r="E50" s="24" t="inlineStr">
        <is>
          <t>1668</t>
        </is>
      </c>
      <c r="F50" s="25">
        <f>IF(E50="","",IF(COUNTIF(lst_Jobs,E50&amp;"")&gt;0,"OK","CHECK"))</f>
        <v/>
      </c>
      <c r="G50" s="24" t="inlineStr">
        <is>
          <t>85720001CBPSCSJUN27 DEDICATED TECH</t>
        </is>
      </c>
      <c r="H50" s="24" t="inlineStr">
        <is>
          <t>Onsite</t>
        </is>
      </c>
      <c r="I50" s="24" t="inlineStr">
        <is>
          <t>ONSITE</t>
        </is>
      </c>
      <c r="J50" s="24" t="inlineStr">
        <is>
          <t>Contract</t>
        </is>
      </c>
      <c r="K50" s="24" t="inlineStr">
        <is>
          <t>GST 10%</t>
        </is>
      </c>
      <c r="L50" s="26" t="n">
        <v>170</v>
      </c>
      <c r="M50" s="27">
        <f>IF(L50="","",IF(K50="GST 10%",ROUND(L50*set_GSTRate,2),0))</f>
        <v/>
      </c>
      <c r="N50" s="27">
        <f>IF(L50="","",L50+M50)</f>
        <v/>
      </c>
      <c r="O50" s="24" t="inlineStr">
        <is>
          <t>41100</t>
        </is>
      </c>
      <c r="P50" s="24" t="inlineStr">
        <is>
          <t>Y</t>
        </is>
      </c>
      <c r="Q50" s="24" t="inlineStr">
        <is>
          <t>N</t>
        </is>
      </c>
      <c r="R50" s="22" t="n"/>
      <c r="S50" s="22" t="n"/>
      <c r="T50" s="24" t="inlineStr">
        <is>
          <t>Invoiced</t>
        </is>
      </c>
      <c r="U50" s="24" t="n"/>
      <c r="V50" s="25">
        <f>IF(COUNTA(A50,D50,C50,L50)=0,"",IF(A50="","No date - sits outside every month",IF(E50="","No job number",IF(F50="CHECK","Job number is not in the Xero job list",IF(I50="","No cost centre",IF(AND(P50="Y",C50=""),"Marked posted to Xero but has no invoice number",IF(AND(L50&lt;&gt;"",K50=""),"No tax code",IF(AND(L50&lt;&gt;"",O50=""),"No revenue GL code",""))))))))</f>
        <v/>
      </c>
      <c r="W50" s="25">
        <f>IF(E50="","",IFERROR(INDEX(lst_JobName,MATCH(E50&amp;"",lst_Jobs,0)),""))</f>
        <v/>
      </c>
      <c r="X50" s="28">
        <f>IF(E50="","",COUNTIFS(tbl_Finance[Job Number],E50&amp;"",tbl_Finance[Ex GST],"&lt;&gt;"))</f>
        <v/>
      </c>
      <c r="Y50" s="27">
        <f>IF(E50="","",SUMIFS(tbl_Finance[Ex GST],tbl_Finance[Job Number],E50&amp;""))</f>
        <v/>
      </c>
      <c r="Z50" s="27">
        <f>IF(E50="","",SUMIFS(tbl_Finance[Ex GST],tbl_Finance[Job Number],E50&amp;"",tbl_Finance[Xero Invoice No],"&lt;&gt;"))</f>
        <v/>
      </c>
      <c r="AA50" s="27">
        <f>IF(E50="","",Y50-Z50)</f>
        <v/>
      </c>
      <c r="AB50" s="25">
        <f>IF(E50="","",IF(H50="Onsite",IFERROR(INDEX(tbl_Onsite[Qwilr Quote],MATCH(E50&amp;"",tbl_Onsite[Job Number],0)),""),IF(H50="Production",IFERROR(INDEX(tbl_Production[Current RMS No],MATCH(E50&amp;"",tbl_Production[Job Number],0)),""),IF(H50="Consulting",IFERROR(INDEX(tbl_Consulting[Qwilr Quote],MATCH(E50&amp;"",tbl_Consulting[Job Number],0)),""),""))))</f>
        <v/>
      </c>
      <c r="AC50" s="25">
        <f>IF(AB50="","",IF(AND(LEFT(AB50,4)&lt;&gt;"http",IF(H50="Production",set_RMSBase,set_QwilrBase)=""),"",HYPERLINK(IF(LEFT(AB50,4)="http",AB50,IF(H50="Production",set_RMSBase,set_QwilrBase)&amp;AB50),"Open")))</f>
        <v/>
      </c>
      <c r="AD50" s="27">
        <f>IF(E50="","",IF(H50="Production",IFERROR(INDEX(tbl_Production[Total Expense],MATCH(E50&amp;"",tbl_Production[Job Number],0)),0),IF(H50="Consulting",IFERROR(INDEX(tbl_Consulting[Total Expense],MATCH(E50&amp;"",tbl_Consulting[Job Number],0)),0),0)))</f>
        <v/>
      </c>
      <c r="AE50" s="27">
        <f>IF(E50="","",Y50-N(AD50))</f>
        <v/>
      </c>
      <c r="AF50" s="29">
        <f>IFERROR(AE50/Y50,"")</f>
        <v/>
      </c>
      <c r="AG50" s="25">
        <f>IF(E50="","",IF(H50="Onsite",IFERROR(INDEX(tbl_Onsite[Notes],MATCH(E50&amp;"",tbl_Onsite[Job Number],0)),""),IF(H50="Production",IFERROR(INDEX(tbl_Production[Notes],MATCH(E50&amp;"",tbl_Production[Job Number],0)),""),IF(H50="Consulting",IFERROR(INDEX(tbl_Consulting[Notes],MATCH(E50&amp;"",tbl_Consulting[Job Number],0)),""),""))))</f>
        <v/>
      </c>
    </row>
    <row r="51" ht="15" customHeight="1">
      <c r="A51" s="22" t="n">
        <v>46265</v>
      </c>
      <c r="B51" s="23">
        <f>IF(A51="","",EOMONTH(A51,0))</f>
        <v/>
      </c>
      <c r="C51" s="24" t="inlineStr">
        <is>
          <t>INV-10618</t>
        </is>
      </c>
      <c r="D51" s="24" t="inlineStr">
        <is>
          <t>Ricoh Australia Pty Ltd</t>
        </is>
      </c>
      <c r="E51" s="24" t="inlineStr">
        <is>
          <t>2880</t>
        </is>
      </c>
      <c r="F51" s="25">
        <f>IF(E51="","",IF(COUNTIF(lst_Jobs,E51&amp;"")&gt;0,"OK","CHECK"))</f>
        <v/>
      </c>
      <c r="G51" s="24" t="inlineStr">
        <is>
          <t>CONTRACT</t>
        </is>
      </c>
      <c r="H51" s="24" t="inlineStr">
        <is>
          <t>Onsite</t>
        </is>
      </c>
      <c r="I51" s="24" t="inlineStr">
        <is>
          <t>ONSITE</t>
        </is>
      </c>
      <c r="J51" s="24" t="inlineStr">
        <is>
          <t>Contract</t>
        </is>
      </c>
      <c r="K51" s="24" t="inlineStr">
        <is>
          <t>GST 10%</t>
        </is>
      </c>
      <c r="L51" s="26" t="n">
        <v>11860.56</v>
      </c>
      <c r="M51" s="27">
        <f>IF(L51="","",IF(K51="GST 10%",ROUND(L51*set_GSTRate,2),0))</f>
        <v/>
      </c>
      <c r="N51" s="27">
        <f>IF(L51="","",L51+M51)</f>
        <v/>
      </c>
      <c r="O51" s="24" t="inlineStr">
        <is>
          <t>41100</t>
        </is>
      </c>
      <c r="P51" s="24" t="inlineStr">
        <is>
          <t>Y</t>
        </is>
      </c>
      <c r="Q51" s="24" t="inlineStr">
        <is>
          <t>N</t>
        </is>
      </c>
      <c r="R51" s="22" t="n"/>
      <c r="S51" s="22" t="n"/>
      <c r="T51" s="24" t="inlineStr">
        <is>
          <t>Invoiced</t>
        </is>
      </c>
      <c r="U51" s="24" t="n"/>
      <c r="V51" s="25">
        <f>IF(COUNTA(A51,D51,C51,L51)=0,"",IF(A51="","No date - sits outside every month",IF(E51="","No job number",IF(F51="CHECK","Job number is not in the Xero job list",IF(I51="","No cost centre",IF(AND(P51="Y",C51=""),"Marked posted to Xero but has no invoice number",IF(AND(L51&lt;&gt;"",K51=""),"No tax code",IF(AND(L51&lt;&gt;"",O51=""),"No revenue GL code",""))))))))</f>
        <v/>
      </c>
      <c r="W51" s="25">
        <f>IF(E51="","",IFERROR(INDEX(lst_JobName,MATCH(E51&amp;"",lst_Jobs,0)),""))</f>
        <v/>
      </c>
      <c r="X51" s="28">
        <f>IF(E51="","",COUNTIFS(tbl_Finance[Job Number],E51&amp;"",tbl_Finance[Ex GST],"&lt;&gt;"))</f>
        <v/>
      </c>
      <c r="Y51" s="27">
        <f>IF(E51="","",SUMIFS(tbl_Finance[Ex GST],tbl_Finance[Job Number],E51&amp;""))</f>
        <v/>
      </c>
      <c r="Z51" s="27">
        <f>IF(E51="","",SUMIFS(tbl_Finance[Ex GST],tbl_Finance[Job Number],E51&amp;"",tbl_Finance[Xero Invoice No],"&lt;&gt;"))</f>
        <v/>
      </c>
      <c r="AA51" s="27">
        <f>IF(E51="","",Y51-Z51)</f>
        <v/>
      </c>
      <c r="AB51" s="25">
        <f>IF(E51="","",IF(H51="Onsite",IFERROR(INDEX(tbl_Onsite[Qwilr Quote],MATCH(E51&amp;"",tbl_Onsite[Job Number],0)),""),IF(H51="Production",IFERROR(INDEX(tbl_Production[Current RMS No],MATCH(E51&amp;"",tbl_Production[Job Number],0)),""),IF(H51="Consulting",IFERROR(INDEX(tbl_Consulting[Qwilr Quote],MATCH(E51&amp;"",tbl_Consulting[Job Number],0)),""),""))))</f>
        <v/>
      </c>
      <c r="AC51" s="25">
        <f>IF(AB51="","",IF(AND(LEFT(AB51,4)&lt;&gt;"http",IF(H51="Production",set_RMSBase,set_QwilrBase)=""),"",HYPERLINK(IF(LEFT(AB51,4)="http",AB51,IF(H51="Production",set_RMSBase,set_QwilrBase)&amp;AB51),"Open")))</f>
        <v/>
      </c>
      <c r="AD51" s="27">
        <f>IF(E51="","",IF(H51="Production",IFERROR(INDEX(tbl_Production[Total Expense],MATCH(E51&amp;"",tbl_Production[Job Number],0)),0),IF(H51="Consulting",IFERROR(INDEX(tbl_Consulting[Total Expense],MATCH(E51&amp;"",tbl_Consulting[Job Number],0)),0),0)))</f>
        <v/>
      </c>
      <c r="AE51" s="27">
        <f>IF(E51="","",Y51-N(AD51))</f>
        <v/>
      </c>
      <c r="AF51" s="29">
        <f>IFERROR(AE51/Y51,"")</f>
        <v/>
      </c>
      <c r="AG51" s="25">
        <f>IF(E51="","",IF(H51="Onsite",IFERROR(INDEX(tbl_Onsite[Notes],MATCH(E51&amp;"",tbl_Onsite[Job Number],0)),""),IF(H51="Production",IFERROR(INDEX(tbl_Production[Notes],MATCH(E51&amp;"",tbl_Production[Job Number],0)),""),IF(H51="Consulting",IFERROR(INDEX(tbl_Consulting[Notes],MATCH(E51&amp;"",tbl_Consulting[Job Number],0)),""),""))))</f>
        <v/>
      </c>
    </row>
    <row r="52" ht="15" customHeight="1">
      <c r="A52" s="22" t="n"/>
      <c r="B52" s="23">
        <f>IF(A52="","",EOMONTH(A52,0))</f>
        <v/>
      </c>
      <c r="C52" s="24" t="n"/>
      <c r="D52" s="24" t="inlineStr">
        <is>
          <t>DTTL</t>
        </is>
      </c>
      <c r="E52" s="24" t="inlineStr">
        <is>
          <t>26073103</t>
        </is>
      </c>
      <c r="F52" s="25">
        <f>IF(E52="","",IF(COUNTIF(lst_Jobs,E52&amp;"")&gt;0,"OK","CHECK"))</f>
        <v/>
      </c>
      <c r="G52" s="24" t="inlineStr">
        <is>
          <t>Perth AV &amp; Hospitality Technician (SEP26-FEB27)</t>
        </is>
      </c>
      <c r="H52" s="24" t="inlineStr">
        <is>
          <t>Onsite</t>
        </is>
      </c>
      <c r="I52" s="24" t="inlineStr">
        <is>
          <t>ONSITE</t>
        </is>
      </c>
      <c r="J52" s="24" t="inlineStr">
        <is>
          <t>Contract</t>
        </is>
      </c>
      <c r="K52" s="24" t="inlineStr">
        <is>
          <t>GST 10%</t>
        </is>
      </c>
      <c r="L52" s="26" t="n"/>
      <c r="M52" s="27">
        <f>IF(L52="","",IF(K52="GST 10%",ROUND(L52*set_GSTRate,2),0))</f>
        <v/>
      </c>
      <c r="N52" s="27">
        <f>IF(L52="","",L52+M52)</f>
        <v/>
      </c>
      <c r="O52" s="24" t="inlineStr">
        <is>
          <t>41100</t>
        </is>
      </c>
      <c r="P52" s="24" t="inlineStr">
        <is>
          <t>N</t>
        </is>
      </c>
      <c r="Q52" s="24" t="inlineStr">
        <is>
          <t>N</t>
        </is>
      </c>
      <c r="R52" s="22" t="n"/>
      <c r="S52" s="22" t="n"/>
      <c r="T52" s="24" t="inlineStr">
        <is>
          <t>To Invoice</t>
        </is>
      </c>
      <c r="U52" s="24" t="inlineStr">
        <is>
          <t>https://protect.checkpoint.com/v2/r04/___https://app.qwilr.com/%23/page/6a6fe5279de8ab6be4a65917___.Y3A0YTpjb3Jwb3JhdGV0ZWNobm9sb2d5c2VydmljZXNwdHlsdGQ6YzpvOmI1YjBhMWJiMjVjM2UxZGViYmNmN2MyYzg2MGMwOGIwOjc6YjdkZDo5NzUxYWEwYjZkNTAxZWIyMGNiNmQ4OWExM2E0MmQ4OWQ0YjVkZmFkYjk0Y2UxYjUzODI4ODM5ODhhNzE3MTM4OnQ6VDpG</t>
        </is>
      </c>
      <c r="V52" s="25">
        <f>IF(COUNTA(A52,D52,C52,L52)=0,"",IF(A52="","No date - sits outside every month",IF(E52="","No job number",IF(F52="CHECK","Job number is not in the Xero job list",IF(I52="","No cost centre",IF(AND(P52="Y",C52=""),"Marked posted to Xero but has no invoice number",IF(AND(L52&lt;&gt;"",K52=""),"No tax code",IF(AND(L52&lt;&gt;"",O52=""),"No revenue GL code",""))))))))</f>
        <v/>
      </c>
      <c r="W52" s="25">
        <f>IF(E52="","",IFERROR(INDEX(lst_JobName,MATCH(E52&amp;"",lst_Jobs,0)),""))</f>
        <v/>
      </c>
      <c r="X52" s="28">
        <f>IF(E52="","",COUNTIFS(tbl_Finance[Job Number],E52&amp;"",tbl_Finance[Ex GST],"&lt;&gt;"))</f>
        <v/>
      </c>
      <c r="Y52" s="27">
        <f>IF(E52="","",SUMIFS(tbl_Finance[Ex GST],tbl_Finance[Job Number],E52&amp;""))</f>
        <v/>
      </c>
      <c r="Z52" s="27">
        <f>IF(E52="","",SUMIFS(tbl_Finance[Ex GST],tbl_Finance[Job Number],E52&amp;"",tbl_Finance[Xero Invoice No],"&lt;&gt;"))</f>
        <v/>
      </c>
      <c r="AA52" s="27">
        <f>IF(E52="","",Y52-Z52)</f>
        <v/>
      </c>
      <c r="AB52" s="25">
        <f>IF(E52="","",IF(H52="Onsite",IFERROR(INDEX(tbl_Onsite[Qwilr Quote],MATCH(E52&amp;"",tbl_Onsite[Job Number],0)),""),IF(H52="Production",IFERROR(INDEX(tbl_Production[Current RMS No],MATCH(E52&amp;"",tbl_Production[Job Number],0)),""),IF(H52="Consulting",IFERROR(INDEX(tbl_Consulting[Qwilr Quote],MATCH(E52&amp;"",tbl_Consulting[Job Number],0)),""),""))))</f>
        <v/>
      </c>
      <c r="AC52" s="25">
        <f>IF(AB52="","",IF(AND(LEFT(AB52,4)&lt;&gt;"http",IF(H52="Production",set_RMSBase,set_QwilrBase)=""),"",HYPERLINK(IF(LEFT(AB52,4)="http",AB52,IF(H52="Production",set_RMSBase,set_QwilrBase)&amp;AB52),"Open")))</f>
        <v/>
      </c>
      <c r="AD52" s="27">
        <f>IF(E52="","",IF(H52="Production",IFERROR(INDEX(tbl_Production[Total Expense],MATCH(E52&amp;"",tbl_Production[Job Number],0)),0),IF(H52="Consulting",IFERROR(INDEX(tbl_Consulting[Total Expense],MATCH(E52&amp;"",tbl_Consulting[Job Number],0)),0),0)))</f>
        <v/>
      </c>
      <c r="AE52" s="27">
        <f>IF(E52="","",Y52-N(AD52))</f>
        <v/>
      </c>
      <c r="AF52" s="29">
        <f>IFERROR(AE52/Y52,"")</f>
        <v/>
      </c>
      <c r="AG52" s="25">
        <f>IF(E52="","",IF(H52="Onsite",IFERROR(INDEX(tbl_Onsite[Notes],MATCH(E52&amp;"",tbl_Onsite[Job Number],0)),""),IF(H52="Production",IFERROR(INDEX(tbl_Production[Notes],MATCH(E52&amp;"",tbl_Production[Job Number],0)),""),IF(H52="Consulting",IFERROR(INDEX(tbl_Consulting[Notes],MATCH(E52&amp;"",tbl_Consulting[Job Number],0)),""),""))))</f>
        <v/>
      </c>
    </row>
    <row r="53" ht="15" customHeight="1">
      <c r="A53" s="22" t="n">
        <v>46268</v>
      </c>
      <c r="B53" s="23">
        <f>IF(A53="","",EOMONTH(A53,0))</f>
        <v/>
      </c>
      <c r="C53" s="24" t="inlineStr">
        <is>
          <t>INV-10620</t>
        </is>
      </c>
      <c r="D53" s="24" t="inlineStr">
        <is>
          <t>Ricoh Australia Pty Ltd</t>
        </is>
      </c>
      <c r="E53" s="24" t="inlineStr">
        <is>
          <t>26082801</t>
        </is>
      </c>
      <c r="F53" s="25">
        <f>IF(E53="","",IF(COUNTIF(lst_Jobs,E53&amp;"")&gt;0,"OK","CHECK"))</f>
        <v/>
      </c>
      <c r="G53" s="24" t="inlineStr">
        <is>
          <t>Ricoh Australia - SHELL AV Support</t>
        </is>
      </c>
      <c r="H53" s="24" t="inlineStr">
        <is>
          <t>Onsite</t>
        </is>
      </c>
      <c r="I53" s="24" t="inlineStr">
        <is>
          <t>ONSITE</t>
        </is>
      </c>
      <c r="J53" s="24" t="inlineStr">
        <is>
          <t>Contract</t>
        </is>
      </c>
      <c r="K53" s="24" t="inlineStr">
        <is>
          <t>GST 10%</t>
        </is>
      </c>
      <c r="L53" s="26" t="n">
        <v>340</v>
      </c>
      <c r="M53" s="27">
        <f>IF(L53="","",IF(K53="GST 10%",ROUND(L53*set_GSTRate,2),0))</f>
        <v/>
      </c>
      <c r="N53" s="27">
        <f>IF(L53="","",L53+M53)</f>
        <v/>
      </c>
      <c r="O53" s="24" t="inlineStr">
        <is>
          <t>41100</t>
        </is>
      </c>
      <c r="P53" s="24" t="inlineStr">
        <is>
          <t>Y</t>
        </is>
      </c>
      <c r="Q53" s="24" t="inlineStr">
        <is>
          <t>N</t>
        </is>
      </c>
      <c r="R53" s="22" t="n"/>
      <c r="S53" s="22" t="n"/>
      <c r="T53" s="24" t="inlineStr">
        <is>
          <t>Invoiced</t>
        </is>
      </c>
      <c r="U53" s="24" t="inlineStr">
        <is>
          <t>This was not actually for Shell - error in quote. End client was Wotton Kearney.</t>
        </is>
      </c>
      <c r="V53" s="25">
        <f>IF(COUNTA(A53,D53,C53,L53)=0,"",IF(A53="","No date - sits outside every month",IF(E53="","No job number",IF(F53="CHECK","Job number is not in the Xero job list",IF(I53="","No cost centre",IF(AND(P53="Y",C53=""),"Marked posted to Xero but has no invoice number",IF(AND(L53&lt;&gt;"",K53=""),"No tax code",IF(AND(L53&lt;&gt;"",O53=""),"No revenue GL code",""))))))))</f>
        <v/>
      </c>
      <c r="W53" s="25">
        <f>IF(E53="","",IFERROR(INDEX(lst_JobName,MATCH(E53&amp;"",lst_Jobs,0)),""))</f>
        <v/>
      </c>
      <c r="X53" s="28">
        <f>IF(E53="","",COUNTIFS(tbl_Finance[Job Number],E53&amp;"",tbl_Finance[Ex GST],"&lt;&gt;"))</f>
        <v/>
      </c>
      <c r="Y53" s="27">
        <f>IF(E53="","",SUMIFS(tbl_Finance[Ex GST],tbl_Finance[Job Number],E53&amp;""))</f>
        <v/>
      </c>
      <c r="Z53" s="27">
        <f>IF(E53="","",SUMIFS(tbl_Finance[Ex GST],tbl_Finance[Job Number],E53&amp;"",tbl_Finance[Xero Invoice No],"&lt;&gt;"))</f>
        <v/>
      </c>
      <c r="AA53" s="27">
        <f>IF(E53="","",Y53-Z53)</f>
        <v/>
      </c>
      <c r="AB53" s="25">
        <f>IF(E53="","",IF(H53="Onsite",IFERROR(INDEX(tbl_Onsite[Qwilr Quote],MATCH(E53&amp;"",tbl_Onsite[Job Number],0)),""),IF(H53="Production",IFERROR(INDEX(tbl_Production[Current RMS No],MATCH(E53&amp;"",tbl_Production[Job Number],0)),""),IF(H53="Consulting",IFERROR(INDEX(tbl_Consulting[Qwilr Quote],MATCH(E53&amp;"",tbl_Consulting[Job Number],0)),""),""))))</f>
        <v/>
      </c>
      <c r="AC53" s="25">
        <f>IF(AB53="","",IF(AND(LEFT(AB53,4)&lt;&gt;"http",IF(H53="Production",set_RMSBase,set_QwilrBase)=""),"",HYPERLINK(IF(LEFT(AB53,4)="http",AB53,IF(H53="Production",set_RMSBase,set_QwilrBase)&amp;AB53),"Open")))</f>
        <v/>
      </c>
      <c r="AD53" s="27">
        <f>IF(E53="","",IF(H53="Production",IFERROR(INDEX(tbl_Production[Total Expense],MATCH(E53&amp;"",tbl_Production[Job Number],0)),0),IF(H53="Consulting",IFERROR(INDEX(tbl_Consulting[Total Expense],MATCH(E53&amp;"",tbl_Consulting[Job Number],0)),0),0)))</f>
        <v/>
      </c>
      <c r="AE53" s="27">
        <f>IF(E53="","",Y53-N(AD53))</f>
        <v/>
      </c>
      <c r="AF53" s="29">
        <f>IFERROR(AE53/Y53,"")</f>
        <v/>
      </c>
      <c r="AG53" s="25">
        <f>IF(E53="","",IF(H53="Onsite",IFERROR(INDEX(tbl_Onsite[Notes],MATCH(E53&amp;"",tbl_Onsite[Job Number],0)),""),IF(H53="Production",IFERROR(INDEX(tbl_Production[Notes],MATCH(E53&amp;"",tbl_Production[Job Number],0)),""),IF(H53="Consulting",IFERROR(INDEX(tbl_Consulting[Notes],MATCH(E53&amp;"",tbl_Consulting[Job Number],0)),""),""))))</f>
        <v/>
      </c>
    </row>
    <row r="54" ht="15" customHeight="1">
      <c r="A54" s="22" t="n"/>
      <c r="B54" s="23">
        <f>IF(A54="","",EOMONTH(A54,0))</f>
        <v/>
      </c>
      <c r="C54" s="24" t="n"/>
      <c r="D54" s="24" t="inlineStr">
        <is>
          <t>PWC</t>
        </is>
      </c>
      <c r="E54" s="24" t="inlineStr">
        <is>
          <t>2608603</t>
        </is>
      </c>
      <c r="F54" s="25">
        <f>IF(E54="","",IF(COUNTIF(lst_Jobs,E54&amp;"")&gt;0,"OK","CHECK"))</f>
        <v/>
      </c>
      <c r="G54" s="24" t="inlineStr">
        <is>
          <t>Pool of Hours - National AV / IT Support</t>
        </is>
      </c>
      <c r="H54" s="24" t="inlineStr">
        <is>
          <t>Onsite</t>
        </is>
      </c>
      <c r="I54" s="24" t="inlineStr">
        <is>
          <t>ONSITE</t>
        </is>
      </c>
      <c r="J54" s="24" t="inlineStr">
        <is>
          <t>Contract</t>
        </is>
      </c>
      <c r="K54" s="24" t="inlineStr">
        <is>
          <t>GST 10%</t>
        </is>
      </c>
      <c r="L54" s="26" t="n">
        <v>8500</v>
      </c>
      <c r="M54" s="27">
        <f>IF(L54="","",IF(K54="GST 10%",ROUND(L54*set_GSTRate,2),0))</f>
        <v/>
      </c>
      <c r="N54" s="27">
        <f>IF(L54="","",L54+M54)</f>
        <v/>
      </c>
      <c r="O54" s="24" t="inlineStr">
        <is>
          <t>41100</t>
        </is>
      </c>
      <c r="P54" s="24" t="inlineStr">
        <is>
          <t>N</t>
        </is>
      </c>
      <c r="Q54" s="24" t="inlineStr">
        <is>
          <t>N</t>
        </is>
      </c>
      <c r="R54" s="22" t="n"/>
      <c r="S54" s="22" t="n"/>
      <c r="T54" s="24" t="inlineStr">
        <is>
          <t>To Invoice</t>
        </is>
      </c>
      <c r="U54" s="24" t="n"/>
      <c r="V54" s="25">
        <f>IF(COUNTA(A54,D54,C54,L54)=0,"",IF(A54="","No date - sits outside every month",IF(E54="","No job number",IF(F54="CHECK","Job number is not in the Xero job list",IF(I54="","No cost centre",IF(AND(P54="Y",C54=""),"Marked posted to Xero but has no invoice number",IF(AND(L54&lt;&gt;"",K54=""),"No tax code",IF(AND(L54&lt;&gt;"",O54=""),"No revenue GL code",""))))))))</f>
        <v/>
      </c>
      <c r="W54" s="25">
        <f>IF(E54="","",IFERROR(INDEX(lst_JobName,MATCH(E54&amp;"",lst_Jobs,0)),""))</f>
        <v/>
      </c>
      <c r="X54" s="28">
        <f>IF(E54="","",COUNTIFS(tbl_Finance[Job Number],E54&amp;"",tbl_Finance[Ex GST],"&lt;&gt;"))</f>
        <v/>
      </c>
      <c r="Y54" s="27">
        <f>IF(E54="","",SUMIFS(tbl_Finance[Ex GST],tbl_Finance[Job Number],E54&amp;""))</f>
        <v/>
      </c>
      <c r="Z54" s="27">
        <f>IF(E54="","",SUMIFS(tbl_Finance[Ex GST],tbl_Finance[Job Number],E54&amp;"",tbl_Finance[Xero Invoice No],"&lt;&gt;"))</f>
        <v/>
      </c>
      <c r="AA54" s="27">
        <f>IF(E54="","",Y54-Z54)</f>
        <v/>
      </c>
      <c r="AB54" s="25">
        <f>IF(E54="","",IF(H54="Onsite",IFERROR(INDEX(tbl_Onsite[Qwilr Quote],MATCH(E54&amp;"",tbl_Onsite[Job Number],0)),""),IF(H54="Production",IFERROR(INDEX(tbl_Production[Current RMS No],MATCH(E54&amp;"",tbl_Production[Job Number],0)),""),IF(H54="Consulting",IFERROR(INDEX(tbl_Consulting[Qwilr Quote],MATCH(E54&amp;"",tbl_Consulting[Job Number],0)),""),""))))</f>
        <v/>
      </c>
      <c r="AC54" s="25">
        <f>IF(AB54="","",IF(AND(LEFT(AB54,4)&lt;&gt;"http",IF(H54="Production",set_RMSBase,set_QwilrBase)=""),"",HYPERLINK(IF(LEFT(AB54,4)="http",AB54,IF(H54="Production",set_RMSBase,set_QwilrBase)&amp;AB54),"Open")))</f>
        <v/>
      </c>
      <c r="AD54" s="27">
        <f>IF(E54="","",IF(H54="Production",IFERROR(INDEX(tbl_Production[Total Expense],MATCH(E54&amp;"",tbl_Production[Job Number],0)),0),IF(H54="Consulting",IFERROR(INDEX(tbl_Consulting[Total Expense],MATCH(E54&amp;"",tbl_Consulting[Job Number],0)),0),0)))</f>
        <v/>
      </c>
      <c r="AE54" s="27">
        <f>IF(E54="","",Y54-N(AD54))</f>
        <v/>
      </c>
      <c r="AF54" s="29">
        <f>IFERROR(AE54/Y54,"")</f>
        <v/>
      </c>
      <c r="AG54" s="25">
        <f>IF(E54="","",IF(H54="Onsite",IFERROR(INDEX(tbl_Onsite[Notes],MATCH(E54&amp;"",tbl_Onsite[Job Number],0)),""),IF(H54="Production",IFERROR(INDEX(tbl_Production[Notes],MATCH(E54&amp;"",tbl_Production[Job Number],0)),""),IF(H54="Consulting",IFERROR(INDEX(tbl_Consulting[Notes],MATCH(E54&amp;"",tbl_Consulting[Job Number],0)),""),""))))</f>
        <v/>
      </c>
    </row>
    <row r="55" ht="15" customHeight="1">
      <c r="A55" s="22" t="n"/>
      <c r="B55" s="23">
        <f>IF(A55="","",EOMONTH(A55,0))</f>
        <v/>
      </c>
      <c r="C55" s="24" t="n"/>
      <c r="D55" s="24" t="inlineStr">
        <is>
          <t>DTTL</t>
        </is>
      </c>
      <c r="E55" s="24" t="inlineStr">
        <is>
          <t>26073107</t>
        </is>
      </c>
      <c r="F55" s="25">
        <f>IF(E55="","",IF(COUNTIF(lst_Jobs,E55&amp;"")&gt;0,"OK","CHECK"))</f>
        <v/>
      </c>
      <c r="G55" s="24" t="inlineStr">
        <is>
          <t>Technician Travel (ADL-HOB Return)</t>
        </is>
      </c>
      <c r="H55" s="24" t="inlineStr">
        <is>
          <t>Onsite</t>
        </is>
      </c>
      <c r="I55" s="24" t="inlineStr">
        <is>
          <t>ONSITE</t>
        </is>
      </c>
      <c r="J55" s="24" t="inlineStr">
        <is>
          <t>Contract</t>
        </is>
      </c>
      <c r="K55" s="24" t="inlineStr">
        <is>
          <t>GST 10%</t>
        </is>
      </c>
      <c r="L55" s="26" t="n">
        <v>7145</v>
      </c>
      <c r="M55" s="27">
        <f>IF(L55="","",IF(K55="GST 10%",ROUND(L55*set_GSTRate,2),0))</f>
        <v/>
      </c>
      <c r="N55" s="27">
        <f>IF(L55="","",L55+M55)</f>
        <v/>
      </c>
      <c r="O55" s="24" t="inlineStr">
        <is>
          <t>41100</t>
        </is>
      </c>
      <c r="P55" s="24" t="inlineStr">
        <is>
          <t>N</t>
        </is>
      </c>
      <c r="Q55" s="24" t="inlineStr">
        <is>
          <t>N</t>
        </is>
      </c>
      <c r="R55" s="22" t="n"/>
      <c r="S55" s="22" t="n"/>
      <c r="T55" s="24" t="inlineStr">
        <is>
          <t>To Invoice</t>
        </is>
      </c>
      <c r="U55" s="24" t="n"/>
      <c r="V55" s="25">
        <f>IF(COUNTA(A55,D55,C55,L55)=0,"",IF(A55="","No date - sits outside every month",IF(E55="","No job number",IF(F55="CHECK","Job number is not in the Xero job list",IF(I55="","No cost centre",IF(AND(P55="Y",C55=""),"Marked posted to Xero but has no invoice number",IF(AND(L55&lt;&gt;"",K55=""),"No tax code",IF(AND(L55&lt;&gt;"",O55=""),"No revenue GL code",""))))))))</f>
        <v/>
      </c>
      <c r="W55" s="25">
        <f>IF(E55="","",IFERROR(INDEX(lst_JobName,MATCH(E55&amp;"",lst_Jobs,0)),""))</f>
        <v/>
      </c>
      <c r="X55" s="28">
        <f>IF(E55="","",COUNTIFS(tbl_Finance[Job Number],E55&amp;"",tbl_Finance[Ex GST],"&lt;&gt;"))</f>
        <v/>
      </c>
      <c r="Y55" s="27">
        <f>IF(E55="","",SUMIFS(tbl_Finance[Ex GST],tbl_Finance[Job Number],E55&amp;""))</f>
        <v/>
      </c>
      <c r="Z55" s="27">
        <f>IF(E55="","",SUMIFS(tbl_Finance[Ex GST],tbl_Finance[Job Number],E55&amp;"",tbl_Finance[Xero Invoice No],"&lt;&gt;"))</f>
        <v/>
      </c>
      <c r="AA55" s="27">
        <f>IF(E55="","",Y55-Z55)</f>
        <v/>
      </c>
      <c r="AB55" s="25">
        <f>IF(E55="","",IF(H55="Onsite",IFERROR(INDEX(tbl_Onsite[Qwilr Quote],MATCH(E55&amp;"",tbl_Onsite[Job Number],0)),""),IF(H55="Production",IFERROR(INDEX(tbl_Production[Current RMS No],MATCH(E55&amp;"",tbl_Production[Job Number],0)),""),IF(H55="Consulting",IFERROR(INDEX(tbl_Consulting[Qwilr Quote],MATCH(E55&amp;"",tbl_Consulting[Job Number],0)),""),""))))</f>
        <v/>
      </c>
      <c r="AC55" s="25">
        <f>IF(AB55="","",IF(AND(LEFT(AB55,4)&lt;&gt;"http",IF(H55="Production",set_RMSBase,set_QwilrBase)=""),"",HYPERLINK(IF(LEFT(AB55,4)="http",AB55,IF(H55="Production",set_RMSBase,set_QwilrBase)&amp;AB55),"Open")))</f>
        <v/>
      </c>
      <c r="AD55" s="27">
        <f>IF(E55="","",IF(H55="Production",IFERROR(INDEX(tbl_Production[Total Expense],MATCH(E55&amp;"",tbl_Production[Job Number],0)),0),IF(H55="Consulting",IFERROR(INDEX(tbl_Consulting[Total Expense],MATCH(E55&amp;"",tbl_Consulting[Job Number],0)),0),0)))</f>
        <v/>
      </c>
      <c r="AE55" s="27">
        <f>IF(E55="","",Y55-N(AD55))</f>
        <v/>
      </c>
      <c r="AF55" s="29">
        <f>IFERROR(AE55/Y55,"")</f>
        <v/>
      </c>
      <c r="AG55" s="25">
        <f>IF(E55="","",IF(H55="Onsite",IFERROR(INDEX(tbl_Onsite[Notes],MATCH(E55&amp;"",tbl_Onsite[Job Number],0)),""),IF(H55="Production",IFERROR(INDEX(tbl_Production[Notes],MATCH(E55&amp;"",tbl_Production[Job Number],0)),""),IF(H55="Consulting",IFERROR(INDEX(tbl_Consulting[Notes],MATCH(E55&amp;"",tbl_Consulting[Job Number],0)),""),""))))</f>
        <v/>
      </c>
    </row>
    <row r="56" ht="15" customHeight="1">
      <c r="A56" s="22" t="n"/>
      <c r="B56" s="23">
        <f>IF(A56="","",EOMONTH(A56,0))</f>
        <v/>
      </c>
      <c r="C56" s="24" t="n"/>
      <c r="D56" s="24" t="inlineStr">
        <is>
          <t>DTTL</t>
        </is>
      </c>
      <c r="E56" s="24" t="inlineStr">
        <is>
          <t>2608502</t>
        </is>
      </c>
      <c r="F56" s="25">
        <f>IF(E56="","",IF(COUNTIF(lst_Jobs,E56&amp;"")&gt;0,"OK","CHECK"))</f>
        <v/>
      </c>
      <c r="G56" s="24" t="inlineStr">
        <is>
          <t>Change Maker</t>
        </is>
      </c>
      <c r="H56" s="24" t="inlineStr">
        <is>
          <t>Onsite</t>
        </is>
      </c>
      <c r="I56" s="24" t="inlineStr">
        <is>
          <t>ONSITE</t>
        </is>
      </c>
      <c r="J56" s="24" t="inlineStr">
        <is>
          <t>Contract</t>
        </is>
      </c>
      <c r="K56" s="24" t="inlineStr">
        <is>
          <t>GST 10%</t>
        </is>
      </c>
      <c r="L56" s="26" t="n">
        <v>1275</v>
      </c>
      <c r="M56" s="27">
        <f>IF(L56="","",IF(K56="GST 10%",ROUND(L56*set_GSTRate,2),0))</f>
        <v/>
      </c>
      <c r="N56" s="27">
        <f>IF(L56="","",L56+M56)</f>
        <v/>
      </c>
      <c r="O56" s="24" t="inlineStr">
        <is>
          <t>41100</t>
        </is>
      </c>
      <c r="P56" s="24" t="inlineStr">
        <is>
          <t>N</t>
        </is>
      </c>
      <c r="Q56" s="24" t="inlineStr">
        <is>
          <t>N</t>
        </is>
      </c>
      <c r="R56" s="22" t="n"/>
      <c r="S56" s="22" t="n"/>
      <c r="T56" s="24" t="inlineStr">
        <is>
          <t>To Invoice</t>
        </is>
      </c>
      <c r="U56" s="24" t="n"/>
      <c r="V56" s="25">
        <f>IF(COUNTA(A56,D56,C56,L56)=0,"",IF(A56="","No date - sits outside every month",IF(E56="","No job number",IF(F56="CHECK","Job number is not in the Xero job list",IF(I56="","No cost centre",IF(AND(P56="Y",C56=""),"Marked posted to Xero but has no invoice number",IF(AND(L56&lt;&gt;"",K56=""),"No tax code",IF(AND(L56&lt;&gt;"",O56=""),"No revenue GL code",""))))))))</f>
        <v/>
      </c>
      <c r="W56" s="25">
        <f>IF(E56="","",IFERROR(INDEX(lst_JobName,MATCH(E56&amp;"",lst_Jobs,0)),""))</f>
        <v/>
      </c>
      <c r="X56" s="28">
        <f>IF(E56="","",COUNTIFS(tbl_Finance[Job Number],E56&amp;"",tbl_Finance[Ex GST],"&lt;&gt;"))</f>
        <v/>
      </c>
      <c r="Y56" s="27">
        <f>IF(E56="","",SUMIFS(tbl_Finance[Ex GST],tbl_Finance[Job Number],E56&amp;""))</f>
        <v/>
      </c>
      <c r="Z56" s="27">
        <f>IF(E56="","",SUMIFS(tbl_Finance[Ex GST],tbl_Finance[Job Number],E56&amp;"",tbl_Finance[Xero Invoice No],"&lt;&gt;"))</f>
        <v/>
      </c>
      <c r="AA56" s="27">
        <f>IF(E56="","",Y56-Z56)</f>
        <v/>
      </c>
      <c r="AB56" s="25">
        <f>IF(E56="","",IF(H56="Onsite",IFERROR(INDEX(tbl_Onsite[Qwilr Quote],MATCH(E56&amp;"",tbl_Onsite[Job Number],0)),""),IF(H56="Production",IFERROR(INDEX(tbl_Production[Current RMS No],MATCH(E56&amp;"",tbl_Production[Job Number],0)),""),IF(H56="Consulting",IFERROR(INDEX(tbl_Consulting[Qwilr Quote],MATCH(E56&amp;"",tbl_Consulting[Job Number],0)),""),""))))</f>
        <v/>
      </c>
      <c r="AC56" s="25">
        <f>IF(AB56="","",IF(AND(LEFT(AB56,4)&lt;&gt;"http",IF(H56="Production",set_RMSBase,set_QwilrBase)=""),"",HYPERLINK(IF(LEFT(AB56,4)="http",AB56,IF(H56="Production",set_RMSBase,set_QwilrBase)&amp;AB56),"Open")))</f>
        <v/>
      </c>
      <c r="AD56" s="27">
        <f>IF(E56="","",IF(H56="Production",IFERROR(INDEX(tbl_Production[Total Expense],MATCH(E56&amp;"",tbl_Production[Job Number],0)),0),IF(H56="Consulting",IFERROR(INDEX(tbl_Consulting[Total Expense],MATCH(E56&amp;"",tbl_Consulting[Job Number],0)),0),0)))</f>
        <v/>
      </c>
      <c r="AE56" s="27">
        <f>IF(E56="","",Y56-N(AD56))</f>
        <v/>
      </c>
      <c r="AF56" s="29">
        <f>IFERROR(AE56/Y56,"")</f>
        <v/>
      </c>
      <c r="AG56" s="25">
        <f>IF(E56="","",IF(H56="Onsite",IFERROR(INDEX(tbl_Onsite[Notes],MATCH(E56&amp;"",tbl_Onsite[Job Number],0)),""),IF(H56="Production",IFERROR(INDEX(tbl_Production[Notes],MATCH(E56&amp;"",tbl_Production[Job Number],0)),""),IF(H56="Consulting",IFERROR(INDEX(tbl_Consulting[Notes],MATCH(E56&amp;"",tbl_Consulting[Job Number],0)),""),""))))</f>
        <v/>
      </c>
    </row>
    <row r="57" ht="15" customHeight="1">
      <c r="A57" s="22" t="n"/>
      <c r="B57" s="23">
        <f>IF(A57="","",EOMONTH(A57,0))</f>
        <v/>
      </c>
      <c r="C57" s="24" t="n"/>
      <c r="D57" s="24" t="inlineStr">
        <is>
          <t>DTTL</t>
        </is>
      </c>
      <c r="E57" s="24" t="inlineStr">
        <is>
          <t>26082704</t>
        </is>
      </c>
      <c r="F57" s="25">
        <f>IF(E57="","",IF(COUNTIF(lst_Jobs,E57&amp;"")&gt;0,"OK","CHECK"))</f>
        <v/>
      </c>
      <c r="G57" s="24" t="inlineStr">
        <is>
          <t>STL Travel (SYD-PER)</t>
        </is>
      </c>
      <c r="H57" s="24" t="inlineStr">
        <is>
          <t>Onsite</t>
        </is>
      </c>
      <c r="I57" s="24" t="inlineStr">
        <is>
          <t>ONSITE</t>
        </is>
      </c>
      <c r="J57" s="24" t="inlineStr">
        <is>
          <t>Contract</t>
        </is>
      </c>
      <c r="K57" s="24" t="inlineStr">
        <is>
          <t>GST 10%</t>
        </is>
      </c>
      <c r="L57" s="26" t="n">
        <v>7735</v>
      </c>
      <c r="M57" s="27">
        <f>IF(L57="","",IF(K57="GST 10%",ROUND(L57*set_GSTRate,2),0))</f>
        <v/>
      </c>
      <c r="N57" s="27">
        <f>IF(L57="","",L57+M57)</f>
        <v/>
      </c>
      <c r="O57" s="24" t="inlineStr">
        <is>
          <t>41100</t>
        </is>
      </c>
      <c r="P57" s="24" t="inlineStr">
        <is>
          <t>N</t>
        </is>
      </c>
      <c r="Q57" s="24" t="inlineStr">
        <is>
          <t>N</t>
        </is>
      </c>
      <c r="R57" s="22" t="n"/>
      <c r="S57" s="22" t="n"/>
      <c r="T57" s="24" t="inlineStr">
        <is>
          <t>To Invoice</t>
        </is>
      </c>
      <c r="U57" s="24" t="n"/>
      <c r="V57" s="25">
        <f>IF(COUNTA(A57,D57,C57,L57)=0,"",IF(A57="","No date - sits outside every month",IF(E57="","No job number",IF(F57="CHECK","Job number is not in the Xero job list",IF(I57="","No cost centre",IF(AND(P57="Y",C57=""),"Marked posted to Xero but has no invoice number",IF(AND(L57&lt;&gt;"",K57=""),"No tax code",IF(AND(L57&lt;&gt;"",O57=""),"No revenue GL code",""))))))))</f>
        <v/>
      </c>
      <c r="W57" s="25">
        <f>IF(E57="","",IFERROR(INDEX(lst_JobName,MATCH(E57&amp;"",lst_Jobs,0)),""))</f>
        <v/>
      </c>
      <c r="X57" s="28">
        <f>IF(E57="","",COUNTIFS(tbl_Finance[Job Number],E57&amp;"",tbl_Finance[Ex GST],"&lt;&gt;"))</f>
        <v/>
      </c>
      <c r="Y57" s="27">
        <f>IF(E57="","",SUMIFS(tbl_Finance[Ex GST],tbl_Finance[Job Number],E57&amp;""))</f>
        <v/>
      </c>
      <c r="Z57" s="27">
        <f>IF(E57="","",SUMIFS(tbl_Finance[Ex GST],tbl_Finance[Job Number],E57&amp;"",tbl_Finance[Xero Invoice No],"&lt;&gt;"))</f>
        <v/>
      </c>
      <c r="AA57" s="27">
        <f>IF(E57="","",Y57-Z57)</f>
        <v/>
      </c>
      <c r="AB57" s="25">
        <f>IF(E57="","",IF(H57="Onsite",IFERROR(INDEX(tbl_Onsite[Qwilr Quote],MATCH(E57&amp;"",tbl_Onsite[Job Number],0)),""),IF(H57="Production",IFERROR(INDEX(tbl_Production[Current RMS No],MATCH(E57&amp;"",tbl_Production[Job Number],0)),""),IF(H57="Consulting",IFERROR(INDEX(tbl_Consulting[Qwilr Quote],MATCH(E57&amp;"",tbl_Consulting[Job Number],0)),""),""))))</f>
        <v/>
      </c>
      <c r="AC57" s="25">
        <f>IF(AB57="","",IF(AND(LEFT(AB57,4)&lt;&gt;"http",IF(H57="Production",set_RMSBase,set_QwilrBase)=""),"",HYPERLINK(IF(LEFT(AB57,4)="http",AB57,IF(H57="Production",set_RMSBase,set_QwilrBase)&amp;AB57),"Open")))</f>
        <v/>
      </c>
      <c r="AD57" s="27">
        <f>IF(E57="","",IF(H57="Production",IFERROR(INDEX(tbl_Production[Total Expense],MATCH(E57&amp;"",tbl_Production[Job Number],0)),0),IF(H57="Consulting",IFERROR(INDEX(tbl_Consulting[Total Expense],MATCH(E57&amp;"",tbl_Consulting[Job Number],0)),0),0)))</f>
        <v/>
      </c>
      <c r="AE57" s="27">
        <f>IF(E57="","",Y57-N(AD57))</f>
        <v/>
      </c>
      <c r="AF57" s="29">
        <f>IFERROR(AE57/Y57,"")</f>
        <v/>
      </c>
      <c r="AG57" s="25">
        <f>IF(E57="","",IF(H57="Onsite",IFERROR(INDEX(tbl_Onsite[Notes],MATCH(E57&amp;"",tbl_Onsite[Job Number],0)),""),IF(H57="Production",IFERROR(INDEX(tbl_Production[Notes],MATCH(E57&amp;"",tbl_Production[Job Number],0)),""),IF(H57="Consulting",IFERROR(INDEX(tbl_Consulting[Notes],MATCH(E57&amp;"",tbl_Consulting[Job Number],0)),""),""))))</f>
        <v/>
      </c>
    </row>
    <row r="58" ht="15" customHeight="1">
      <c r="A58" s="22" t="n"/>
      <c r="B58" s="23">
        <f>IF(A58="","",EOMONTH(A58,0))</f>
        <v/>
      </c>
      <c r="C58" s="24" t="n"/>
      <c r="D58" s="24" t="inlineStr">
        <is>
          <t>CBA</t>
        </is>
      </c>
      <c r="E58" s="24" t="inlineStr">
        <is>
          <t>26043001</t>
        </is>
      </c>
      <c r="F58" s="25">
        <f>IF(E58="","",IF(COUNTIF(lst_Jobs,E58&amp;"")&gt;0,"OK","CHECK"))</f>
        <v/>
      </c>
      <c r="G58" s="24" t="n"/>
      <c r="H58" s="24" t="inlineStr">
        <is>
          <t>Onsite</t>
        </is>
      </c>
      <c r="I58" s="24" t="inlineStr">
        <is>
          <t>ONSITE</t>
        </is>
      </c>
      <c r="J58" s="24" t="inlineStr">
        <is>
          <t>Contract</t>
        </is>
      </c>
      <c r="K58" s="24" t="inlineStr">
        <is>
          <t>GST 10%</t>
        </is>
      </c>
      <c r="L58" s="26" t="n"/>
      <c r="M58" s="27">
        <f>IF(L58="","",IF(K58="GST 10%",ROUND(L58*set_GSTRate,2),0))</f>
        <v/>
      </c>
      <c r="N58" s="27">
        <f>IF(L58="","",L58+M58)</f>
        <v/>
      </c>
      <c r="O58" s="24" t="inlineStr">
        <is>
          <t>41100</t>
        </is>
      </c>
      <c r="P58" s="24" t="inlineStr">
        <is>
          <t>N</t>
        </is>
      </c>
      <c r="Q58" s="24" t="inlineStr">
        <is>
          <t>N</t>
        </is>
      </c>
      <c r="R58" s="22" t="n"/>
      <c r="S58" s="22" t="n"/>
      <c r="T58" s="24" t="inlineStr">
        <is>
          <t>To Invoice</t>
        </is>
      </c>
      <c r="U58" s="24" t="n"/>
      <c r="V58" s="25">
        <f>IF(COUNTA(A58,D58,C58,L58)=0,"",IF(A58="","No date - sits outside every month",IF(E58="","No job number",IF(F58="CHECK","Job number is not in the Xero job list",IF(I58="","No cost centre",IF(AND(P58="Y",C58=""),"Marked posted to Xero but has no invoice number",IF(AND(L58&lt;&gt;"",K58=""),"No tax code",IF(AND(L58&lt;&gt;"",O58=""),"No revenue GL code",""))))))))</f>
        <v/>
      </c>
      <c r="W58" s="25">
        <f>IF(E58="","",IFERROR(INDEX(lst_JobName,MATCH(E58&amp;"",lst_Jobs,0)),""))</f>
        <v/>
      </c>
      <c r="X58" s="28">
        <f>IF(E58="","",COUNTIFS(tbl_Finance[Job Number],E58&amp;"",tbl_Finance[Ex GST],"&lt;&gt;"))</f>
        <v/>
      </c>
      <c r="Y58" s="27">
        <f>IF(E58="","",SUMIFS(tbl_Finance[Ex GST],tbl_Finance[Job Number],E58&amp;""))</f>
        <v/>
      </c>
      <c r="Z58" s="27">
        <f>IF(E58="","",SUMIFS(tbl_Finance[Ex GST],tbl_Finance[Job Number],E58&amp;"",tbl_Finance[Xero Invoice No],"&lt;&gt;"))</f>
        <v/>
      </c>
      <c r="AA58" s="27">
        <f>IF(E58="","",Y58-Z58)</f>
        <v/>
      </c>
      <c r="AB58" s="25">
        <f>IF(E58="","",IF(H58="Onsite",IFERROR(INDEX(tbl_Onsite[Qwilr Quote],MATCH(E58&amp;"",tbl_Onsite[Job Number],0)),""),IF(H58="Production",IFERROR(INDEX(tbl_Production[Current RMS No],MATCH(E58&amp;"",tbl_Production[Job Number],0)),""),IF(H58="Consulting",IFERROR(INDEX(tbl_Consulting[Qwilr Quote],MATCH(E58&amp;"",tbl_Consulting[Job Number],0)),""),""))))</f>
        <v/>
      </c>
      <c r="AC58" s="25">
        <f>IF(AB58="","",IF(AND(LEFT(AB58,4)&lt;&gt;"http",IF(H58="Production",set_RMSBase,set_QwilrBase)=""),"",HYPERLINK(IF(LEFT(AB58,4)="http",AB58,IF(H58="Production",set_RMSBase,set_QwilrBase)&amp;AB58),"Open")))</f>
        <v/>
      </c>
      <c r="AD58" s="27">
        <f>IF(E58="","",IF(H58="Production",IFERROR(INDEX(tbl_Production[Total Expense],MATCH(E58&amp;"",tbl_Production[Job Number],0)),0),IF(H58="Consulting",IFERROR(INDEX(tbl_Consulting[Total Expense],MATCH(E58&amp;"",tbl_Consulting[Job Number],0)),0),0)))</f>
        <v/>
      </c>
      <c r="AE58" s="27">
        <f>IF(E58="","",Y58-N(AD58))</f>
        <v/>
      </c>
      <c r="AF58" s="29">
        <f>IFERROR(AE58/Y58,"")</f>
        <v/>
      </c>
      <c r="AG58" s="25">
        <f>IF(E58="","",IF(H58="Onsite",IFERROR(INDEX(tbl_Onsite[Notes],MATCH(E58&amp;"",tbl_Onsite[Job Number],0)),""),IF(H58="Production",IFERROR(INDEX(tbl_Production[Notes],MATCH(E58&amp;"",tbl_Production[Job Number],0)),""),IF(H58="Consulting",IFERROR(INDEX(tbl_Consulting[Notes],MATCH(E58&amp;"",tbl_Consulting[Job Number],0)),""),""))))</f>
        <v/>
      </c>
    </row>
    <row r="59" ht="15" customHeight="1">
      <c r="A59" s="22" t="n">
        <v>46205</v>
      </c>
      <c r="B59" s="23">
        <f>IF(A59="","",EOMONTH(A59,0))</f>
        <v/>
      </c>
      <c r="C59" s="24" t="inlineStr">
        <is>
          <t>INV-10513</t>
        </is>
      </c>
      <c r="D59" s="24" t="inlineStr">
        <is>
          <t>Elkiem</t>
        </is>
      </c>
      <c r="E59" s="24" t="inlineStr">
        <is>
          <t>2602309</t>
        </is>
      </c>
      <c r="F59" s="25">
        <f>IF(E59="","",IF(COUNTIF(lst_Jobs,E59&amp;"")&gt;0,"OK","CHECK"))</f>
        <v/>
      </c>
      <c r="G59" s="24" t="inlineStr">
        <is>
          <t>Studio Support | 1.7.26</t>
        </is>
      </c>
      <c r="H59" s="24" t="inlineStr">
        <is>
          <t>Production</t>
        </is>
      </c>
      <c r="I59" s="24" t="inlineStr">
        <is>
          <t>PRODUCTION</t>
        </is>
      </c>
      <c r="J59" s="24" t="inlineStr">
        <is>
          <t>Project</t>
        </is>
      </c>
      <c r="K59" s="24" t="inlineStr">
        <is>
          <t>GST 10%</t>
        </is>
      </c>
      <c r="L59" s="26" t="n">
        <v>380</v>
      </c>
      <c r="M59" s="27">
        <f>IF(L59="","",IF(K59="GST 10%",ROUND(L59*set_GSTRate,2),0))</f>
        <v/>
      </c>
      <c r="N59" s="27">
        <f>IF(L59="","",L59+M59)</f>
        <v/>
      </c>
      <c r="O59" s="24" t="inlineStr">
        <is>
          <t>42100</t>
        </is>
      </c>
      <c r="P59" s="24" t="inlineStr">
        <is>
          <t>Y</t>
        </is>
      </c>
      <c r="Q59" s="24" t="inlineStr">
        <is>
          <t>N</t>
        </is>
      </c>
      <c r="R59" s="22" t="n"/>
      <c r="S59" s="22" t="n"/>
      <c r="T59" s="24" t="inlineStr">
        <is>
          <t>Invoiced</t>
        </is>
      </c>
      <c r="U59" s="24" t="n"/>
      <c r="V59" s="25">
        <f>IF(COUNTA(A59,D59,C59,L59)=0,"",IF(A59="","No date - sits outside every month",IF(E59="","No job number",IF(F59="CHECK","Job number is not in the Xero job list",IF(I59="","No cost centre",IF(AND(P59="Y",C59=""),"Marked posted to Xero but has no invoice number",IF(AND(L59&lt;&gt;"",K59=""),"No tax code",IF(AND(L59&lt;&gt;"",O59=""),"No revenue GL code",""))))))))</f>
        <v/>
      </c>
      <c r="W59" s="25">
        <f>IF(E59="","",IFERROR(INDEX(lst_JobName,MATCH(E59&amp;"",lst_Jobs,0)),""))</f>
        <v/>
      </c>
      <c r="X59" s="28">
        <f>IF(E59="","",COUNTIFS(tbl_Finance[Job Number],E59&amp;"",tbl_Finance[Ex GST],"&lt;&gt;"))</f>
        <v/>
      </c>
      <c r="Y59" s="27">
        <f>IF(E59="","",SUMIFS(tbl_Finance[Ex GST],tbl_Finance[Job Number],E59&amp;""))</f>
        <v/>
      </c>
      <c r="Z59" s="27">
        <f>IF(E59="","",SUMIFS(tbl_Finance[Ex GST],tbl_Finance[Job Number],E59&amp;"",tbl_Finance[Xero Invoice No],"&lt;&gt;"))</f>
        <v/>
      </c>
      <c r="AA59" s="27">
        <f>IF(E59="","",Y59-Z59)</f>
        <v/>
      </c>
      <c r="AB59" s="25">
        <f>IF(E59="","",IF(H59="Onsite",IFERROR(INDEX(tbl_Onsite[Qwilr Quote],MATCH(E59&amp;"",tbl_Onsite[Job Number],0)),""),IF(H59="Production",IFERROR(INDEX(tbl_Production[Current RMS No],MATCH(E59&amp;"",tbl_Production[Job Number],0)),""),IF(H59="Consulting",IFERROR(INDEX(tbl_Consulting[Qwilr Quote],MATCH(E59&amp;"",tbl_Consulting[Job Number],0)),""),""))))</f>
        <v/>
      </c>
      <c r="AC59" s="25">
        <f>IF(AB59="","",IF(AND(LEFT(AB59,4)&lt;&gt;"http",IF(H59="Production",set_RMSBase,set_QwilrBase)=""),"",HYPERLINK(IF(LEFT(AB59,4)="http",AB59,IF(H59="Production",set_RMSBase,set_QwilrBase)&amp;AB59),"Open")))</f>
        <v/>
      </c>
      <c r="AD59" s="27">
        <f>IF(E59="","",IF(H59="Production",IFERROR(INDEX(tbl_Production[Total Expense],MATCH(E59&amp;"",tbl_Production[Job Number],0)),0),IF(H59="Consulting",IFERROR(INDEX(tbl_Consulting[Total Expense],MATCH(E59&amp;"",tbl_Consulting[Job Number],0)),0),0)))</f>
        <v/>
      </c>
      <c r="AE59" s="27">
        <f>IF(E59="","",Y59-N(AD59))</f>
        <v/>
      </c>
      <c r="AF59" s="29">
        <f>IFERROR(AE59/Y59,"")</f>
        <v/>
      </c>
      <c r="AG59" s="25">
        <f>IF(E59="","",IF(H59="Onsite",IFERROR(INDEX(tbl_Onsite[Notes],MATCH(E59&amp;"",tbl_Onsite[Job Number],0)),""),IF(H59="Production",IFERROR(INDEX(tbl_Production[Notes],MATCH(E59&amp;"",tbl_Production[Job Number],0)),""),IF(H59="Consulting",IFERROR(INDEX(tbl_Consulting[Notes],MATCH(E59&amp;"",tbl_Consulting[Job Number],0)),""),""))))</f>
        <v/>
      </c>
    </row>
    <row r="60" ht="15" customHeight="1">
      <c r="A60" s="22" t="n">
        <v>46210</v>
      </c>
      <c r="B60" s="23">
        <f>IF(A60="","",EOMONTH(A60,0))</f>
        <v/>
      </c>
      <c r="C60" s="24" t="inlineStr">
        <is>
          <t>INV-10519</t>
        </is>
      </c>
      <c r="D60" s="24" t="inlineStr">
        <is>
          <t>RSNSW</t>
        </is>
      </c>
      <c r="E60" s="24" t="inlineStr">
        <is>
          <t>26032301</t>
        </is>
      </c>
      <c r="F60" s="25">
        <f>IF(E60="","",IF(COUNTIF(lst_Jobs,E60&amp;"")&gt;0,"OK","CHECK"))</f>
        <v/>
      </c>
      <c r="G60" s="24" t="inlineStr">
        <is>
          <t>Ordinary General Meeting | 1.7.26</t>
        </is>
      </c>
      <c r="H60" s="24" t="inlineStr">
        <is>
          <t>Production</t>
        </is>
      </c>
      <c r="I60" s="24" t="inlineStr">
        <is>
          <t>PRODUCTION</t>
        </is>
      </c>
      <c r="J60" s="24" t="inlineStr">
        <is>
          <t>Project</t>
        </is>
      </c>
      <c r="K60" s="24" t="inlineStr">
        <is>
          <t>GST 10%</t>
        </is>
      </c>
      <c r="L60" s="26" t="n">
        <v>2042</v>
      </c>
      <c r="M60" s="27">
        <f>IF(L60="","",IF(K60="GST 10%",ROUND(L60*set_GSTRate,2),0))</f>
        <v/>
      </c>
      <c r="N60" s="27">
        <f>IF(L60="","",L60+M60)</f>
        <v/>
      </c>
      <c r="O60" s="24" t="inlineStr">
        <is>
          <t>42100</t>
        </is>
      </c>
      <c r="P60" s="24" t="inlineStr">
        <is>
          <t>Y</t>
        </is>
      </c>
      <c r="Q60" s="24" t="inlineStr">
        <is>
          <t>N</t>
        </is>
      </c>
      <c r="R60" s="22" t="n"/>
      <c r="S60" s="22" t="n"/>
      <c r="T60" s="24" t="inlineStr">
        <is>
          <t>Invoiced</t>
        </is>
      </c>
      <c r="U60" s="24" t="inlineStr">
        <is>
          <t>Production portion of this invoice</t>
        </is>
      </c>
      <c r="V60" s="25">
        <f>IF(COUNTA(A60,D60,C60,L60)=0,"",IF(A60="","No date - sits outside every month",IF(E60="","No job number",IF(F60="CHECK","Job number is not in the Xero job list",IF(I60="","No cost centre",IF(AND(P60="Y",C60=""),"Marked posted to Xero but has no invoice number",IF(AND(L60&lt;&gt;"",K60=""),"No tax code",IF(AND(L60&lt;&gt;"",O60=""),"No revenue GL code",""))))))))</f>
        <v/>
      </c>
      <c r="W60" s="25">
        <f>IF(E60="","",IFERROR(INDEX(lst_JobName,MATCH(E60&amp;"",lst_Jobs,0)),""))</f>
        <v/>
      </c>
      <c r="X60" s="28">
        <f>IF(E60="","",COUNTIFS(tbl_Finance[Job Number],E60&amp;"",tbl_Finance[Ex GST],"&lt;&gt;"))</f>
        <v/>
      </c>
      <c r="Y60" s="27">
        <f>IF(E60="","",SUMIFS(tbl_Finance[Ex GST],tbl_Finance[Job Number],E60&amp;""))</f>
        <v/>
      </c>
      <c r="Z60" s="27">
        <f>IF(E60="","",SUMIFS(tbl_Finance[Ex GST],tbl_Finance[Job Number],E60&amp;"",tbl_Finance[Xero Invoice No],"&lt;&gt;"))</f>
        <v/>
      </c>
      <c r="AA60" s="27">
        <f>IF(E60="","",Y60-Z60)</f>
        <v/>
      </c>
      <c r="AB60" s="25">
        <f>IF(E60="","",IF(H60="Onsite",IFERROR(INDEX(tbl_Onsite[Qwilr Quote],MATCH(E60&amp;"",tbl_Onsite[Job Number],0)),""),IF(H60="Production",IFERROR(INDEX(tbl_Production[Current RMS No],MATCH(E60&amp;"",tbl_Production[Job Number],0)),""),IF(H60="Consulting",IFERROR(INDEX(tbl_Consulting[Qwilr Quote],MATCH(E60&amp;"",tbl_Consulting[Job Number],0)),""),""))))</f>
        <v/>
      </c>
      <c r="AC60" s="25">
        <f>IF(AB60="","",IF(AND(LEFT(AB60,4)&lt;&gt;"http",IF(H60="Production",set_RMSBase,set_QwilrBase)=""),"",HYPERLINK(IF(LEFT(AB60,4)="http",AB60,IF(H60="Production",set_RMSBase,set_QwilrBase)&amp;AB60),"Open")))</f>
        <v/>
      </c>
      <c r="AD60" s="27">
        <f>IF(E60="","",IF(H60="Production",IFERROR(INDEX(tbl_Production[Total Expense],MATCH(E60&amp;"",tbl_Production[Job Number],0)),0),IF(H60="Consulting",IFERROR(INDEX(tbl_Consulting[Total Expense],MATCH(E60&amp;"",tbl_Consulting[Job Number],0)),0),0)))</f>
        <v/>
      </c>
      <c r="AE60" s="27">
        <f>IF(E60="","",Y60-N(AD60))</f>
        <v/>
      </c>
      <c r="AF60" s="29">
        <f>IFERROR(AE60/Y60,"")</f>
        <v/>
      </c>
      <c r="AG60" s="25">
        <f>IF(E60="","",IF(H60="Onsite",IFERROR(INDEX(tbl_Onsite[Notes],MATCH(E60&amp;"",tbl_Onsite[Job Number],0)),""),IF(H60="Production",IFERROR(INDEX(tbl_Production[Notes],MATCH(E60&amp;"",tbl_Production[Job Number],0)),""),IF(H60="Consulting",IFERROR(INDEX(tbl_Consulting[Notes],MATCH(E60&amp;"",tbl_Consulting[Job Number],0)),""),""))))</f>
        <v/>
      </c>
    </row>
    <row r="61" ht="15" customHeight="1">
      <c r="A61" s="22" t="n">
        <v>46210</v>
      </c>
      <c r="B61" s="23">
        <f>IF(A61="","",EOMONTH(A61,0))</f>
        <v/>
      </c>
      <c r="C61" s="24" t="inlineStr">
        <is>
          <t>INV-10519</t>
        </is>
      </c>
      <c r="D61" s="24" t="inlineStr">
        <is>
          <t>RSNSW</t>
        </is>
      </c>
      <c r="E61" s="24" t="inlineStr">
        <is>
          <t>26032301</t>
        </is>
      </c>
      <c r="F61" s="25">
        <f>IF(E61="","",IF(COUNTIF(lst_Jobs,E61&amp;"")&gt;0,"OK","CHECK"))</f>
        <v/>
      </c>
      <c r="G61" s="24" t="inlineStr">
        <is>
          <t>Ordinary General Meeting | 1.7.26</t>
        </is>
      </c>
      <c r="H61" s="24" t="inlineStr">
        <is>
          <t>Production</t>
        </is>
      </c>
      <c r="I61" s="24" t="inlineStr">
        <is>
          <t>VIDEO</t>
        </is>
      </c>
      <c r="J61" s="24" t="inlineStr">
        <is>
          <t>Project</t>
        </is>
      </c>
      <c r="K61" s="24" t="inlineStr">
        <is>
          <t>GST 10%</t>
        </is>
      </c>
      <c r="L61" s="26" t="n">
        <v>1029</v>
      </c>
      <c r="M61" s="27">
        <f>IF(L61="","",IF(K61="GST 10%",ROUND(L61*set_GSTRate,2),0))</f>
        <v/>
      </c>
      <c r="N61" s="27">
        <f>IF(L61="","",L61+M61)</f>
        <v/>
      </c>
      <c r="O61" s="24" t="inlineStr">
        <is>
          <t>42150</t>
        </is>
      </c>
      <c r="P61" s="24" t="inlineStr">
        <is>
          <t>Y</t>
        </is>
      </c>
      <c r="Q61" s="24" t="inlineStr">
        <is>
          <t>N</t>
        </is>
      </c>
      <c r="R61" s="22" t="n"/>
      <c r="S61" s="22" t="n"/>
      <c r="T61" s="24" t="inlineStr">
        <is>
          <t>Invoiced</t>
        </is>
      </c>
      <c r="U61" s="24" t="inlineStr">
        <is>
          <t>Video portion of this invoice</t>
        </is>
      </c>
      <c r="V61" s="25">
        <f>IF(COUNTA(A61,D61,C61,L61)=0,"",IF(A61="","No date - sits outside every month",IF(E61="","No job number",IF(F61="CHECK","Job number is not in the Xero job list",IF(I61="","No cost centre",IF(AND(P61="Y",C61=""),"Marked posted to Xero but has no invoice number",IF(AND(L61&lt;&gt;"",K61=""),"No tax code",IF(AND(L61&lt;&gt;"",O61=""),"No revenue GL code",""))))))))</f>
        <v/>
      </c>
      <c r="W61" s="25">
        <f>IF(E61="","",IFERROR(INDEX(lst_JobName,MATCH(E61&amp;"",lst_Jobs,0)),""))</f>
        <v/>
      </c>
      <c r="X61" s="28">
        <f>IF(E61="","",COUNTIFS(tbl_Finance[Job Number],E61&amp;"",tbl_Finance[Ex GST],"&lt;&gt;"))</f>
        <v/>
      </c>
      <c r="Y61" s="27">
        <f>IF(E61="","",SUMIFS(tbl_Finance[Ex GST],tbl_Finance[Job Number],E61&amp;""))</f>
        <v/>
      </c>
      <c r="Z61" s="27">
        <f>IF(E61="","",SUMIFS(tbl_Finance[Ex GST],tbl_Finance[Job Number],E61&amp;"",tbl_Finance[Xero Invoice No],"&lt;&gt;"))</f>
        <v/>
      </c>
      <c r="AA61" s="27">
        <f>IF(E61="","",Y61-Z61)</f>
        <v/>
      </c>
      <c r="AB61" s="25">
        <f>IF(E61="","",IF(H61="Onsite",IFERROR(INDEX(tbl_Onsite[Qwilr Quote],MATCH(E61&amp;"",tbl_Onsite[Job Number],0)),""),IF(H61="Production",IFERROR(INDEX(tbl_Production[Current RMS No],MATCH(E61&amp;"",tbl_Production[Job Number],0)),""),IF(H61="Consulting",IFERROR(INDEX(tbl_Consulting[Qwilr Quote],MATCH(E61&amp;"",tbl_Consulting[Job Number],0)),""),""))))</f>
        <v/>
      </c>
      <c r="AC61" s="25">
        <f>IF(AB61="","",IF(AND(LEFT(AB61,4)&lt;&gt;"http",IF(H61="Production",set_RMSBase,set_QwilrBase)=""),"",HYPERLINK(IF(LEFT(AB61,4)="http",AB61,IF(H61="Production",set_RMSBase,set_QwilrBase)&amp;AB61),"Open")))</f>
        <v/>
      </c>
      <c r="AD61" s="27">
        <f>IF(E61="","",IF(H61="Production",IFERROR(INDEX(tbl_Production[Total Expense],MATCH(E61&amp;"",tbl_Production[Job Number],0)),0),IF(H61="Consulting",IFERROR(INDEX(tbl_Consulting[Total Expense],MATCH(E61&amp;"",tbl_Consulting[Job Number],0)),0),0)))</f>
        <v/>
      </c>
      <c r="AE61" s="27">
        <f>IF(E61="","",Y61-N(AD61))</f>
        <v/>
      </c>
      <c r="AF61" s="29">
        <f>IFERROR(AE61/Y61,"")</f>
        <v/>
      </c>
      <c r="AG61" s="25">
        <f>IF(E61="","",IF(H61="Onsite",IFERROR(INDEX(tbl_Onsite[Notes],MATCH(E61&amp;"",tbl_Onsite[Job Number],0)),""),IF(H61="Production",IFERROR(INDEX(tbl_Production[Notes],MATCH(E61&amp;"",tbl_Production[Job Number],0)),""),IF(H61="Consulting",IFERROR(INDEX(tbl_Consulting[Notes],MATCH(E61&amp;"",tbl_Consulting[Job Number],0)),""),""))))</f>
        <v/>
      </c>
    </row>
    <row r="62" ht="15" customHeight="1">
      <c r="A62" s="22" t="n">
        <v>46210</v>
      </c>
      <c r="B62" s="23">
        <f>IF(A62="","",EOMONTH(A62,0))</f>
        <v/>
      </c>
      <c r="C62" s="24" t="inlineStr">
        <is>
          <t>INV-10515</t>
        </is>
      </c>
      <c r="D62" s="24" t="inlineStr">
        <is>
          <t>PWC</t>
        </is>
      </c>
      <c r="E62" s="24" t="inlineStr">
        <is>
          <t>26062201</t>
        </is>
      </c>
      <c r="F62" s="25">
        <f>IF(E62="","",IF(COUNTIF(lst_Jobs,E62&amp;"")&gt;0,"OK","CHECK"))</f>
        <v/>
      </c>
      <c r="G62" s="24" t="inlineStr">
        <is>
          <t>Tax and Legal Webcast 2.7.26</t>
        </is>
      </c>
      <c r="H62" s="24" t="inlineStr">
        <is>
          <t>Production</t>
        </is>
      </c>
      <c r="I62" s="24" t="inlineStr">
        <is>
          <t>PRODUCTION</t>
        </is>
      </c>
      <c r="J62" s="24" t="inlineStr">
        <is>
          <t>Project</t>
        </is>
      </c>
      <c r="K62" s="24" t="inlineStr">
        <is>
          <t>GST 10%</t>
        </is>
      </c>
      <c r="L62" s="26" t="n">
        <v>955</v>
      </c>
      <c r="M62" s="27">
        <f>IF(L62="","",IF(K62="GST 10%",ROUND(L62*set_GSTRate,2),0))</f>
        <v/>
      </c>
      <c r="N62" s="27">
        <f>IF(L62="","",L62+M62)</f>
        <v/>
      </c>
      <c r="O62" s="24" t="inlineStr">
        <is>
          <t>42100</t>
        </is>
      </c>
      <c r="P62" s="24" t="inlineStr">
        <is>
          <t>Y</t>
        </is>
      </c>
      <c r="Q62" s="24" t="inlineStr">
        <is>
          <t>N</t>
        </is>
      </c>
      <c r="R62" s="22" t="n"/>
      <c r="S62" s="22" t="n"/>
      <c r="T62" s="24" t="inlineStr">
        <is>
          <t>Invoiced</t>
        </is>
      </c>
      <c r="U62" s="24" t="inlineStr">
        <is>
          <t>Production portion of this invoice</t>
        </is>
      </c>
      <c r="V62" s="25">
        <f>IF(COUNTA(A62,D62,C62,L62)=0,"",IF(A62="","No date - sits outside every month",IF(E62="","No job number",IF(F62="CHECK","Job number is not in the Xero job list",IF(I62="","No cost centre",IF(AND(P62="Y",C62=""),"Marked posted to Xero but has no invoice number",IF(AND(L62&lt;&gt;"",K62=""),"No tax code",IF(AND(L62&lt;&gt;"",O62=""),"No revenue GL code",""))))))))</f>
        <v/>
      </c>
      <c r="W62" s="25">
        <f>IF(E62="","",IFERROR(INDEX(lst_JobName,MATCH(E62&amp;"",lst_Jobs,0)),""))</f>
        <v/>
      </c>
      <c r="X62" s="28">
        <f>IF(E62="","",COUNTIFS(tbl_Finance[Job Number],E62&amp;"",tbl_Finance[Ex GST],"&lt;&gt;"))</f>
        <v/>
      </c>
      <c r="Y62" s="27">
        <f>IF(E62="","",SUMIFS(tbl_Finance[Ex GST],tbl_Finance[Job Number],E62&amp;""))</f>
        <v/>
      </c>
      <c r="Z62" s="27">
        <f>IF(E62="","",SUMIFS(tbl_Finance[Ex GST],tbl_Finance[Job Number],E62&amp;"",tbl_Finance[Xero Invoice No],"&lt;&gt;"))</f>
        <v/>
      </c>
      <c r="AA62" s="27">
        <f>IF(E62="","",Y62-Z62)</f>
        <v/>
      </c>
      <c r="AB62" s="25">
        <f>IF(E62="","",IF(H62="Onsite",IFERROR(INDEX(tbl_Onsite[Qwilr Quote],MATCH(E62&amp;"",tbl_Onsite[Job Number],0)),""),IF(H62="Production",IFERROR(INDEX(tbl_Production[Current RMS No],MATCH(E62&amp;"",tbl_Production[Job Number],0)),""),IF(H62="Consulting",IFERROR(INDEX(tbl_Consulting[Qwilr Quote],MATCH(E62&amp;"",tbl_Consulting[Job Number],0)),""),""))))</f>
        <v/>
      </c>
      <c r="AC62" s="25">
        <f>IF(AB62="","",IF(AND(LEFT(AB62,4)&lt;&gt;"http",IF(H62="Production",set_RMSBase,set_QwilrBase)=""),"",HYPERLINK(IF(LEFT(AB62,4)="http",AB62,IF(H62="Production",set_RMSBase,set_QwilrBase)&amp;AB62),"Open")))</f>
        <v/>
      </c>
      <c r="AD62" s="27">
        <f>IF(E62="","",IF(H62="Production",IFERROR(INDEX(tbl_Production[Total Expense],MATCH(E62&amp;"",tbl_Production[Job Number],0)),0),IF(H62="Consulting",IFERROR(INDEX(tbl_Consulting[Total Expense],MATCH(E62&amp;"",tbl_Consulting[Job Number],0)),0),0)))</f>
        <v/>
      </c>
      <c r="AE62" s="27">
        <f>IF(E62="","",Y62-N(AD62))</f>
        <v/>
      </c>
      <c r="AF62" s="29">
        <f>IFERROR(AE62/Y62,"")</f>
        <v/>
      </c>
      <c r="AG62" s="25">
        <f>IF(E62="","",IF(H62="Onsite",IFERROR(INDEX(tbl_Onsite[Notes],MATCH(E62&amp;"",tbl_Onsite[Job Number],0)),""),IF(H62="Production",IFERROR(INDEX(tbl_Production[Notes],MATCH(E62&amp;"",tbl_Production[Job Number],0)),""),IF(H62="Consulting",IFERROR(INDEX(tbl_Consulting[Notes],MATCH(E62&amp;"",tbl_Consulting[Job Number],0)),""),""))))</f>
        <v/>
      </c>
    </row>
    <row r="63" ht="15" customHeight="1">
      <c r="A63" s="22" t="n">
        <v>46210</v>
      </c>
      <c r="B63" s="23">
        <f>IF(A63="","",EOMONTH(A63,0))</f>
        <v/>
      </c>
      <c r="C63" s="24" t="inlineStr">
        <is>
          <t>INV-10515</t>
        </is>
      </c>
      <c r="D63" s="24" t="inlineStr">
        <is>
          <t>PWC</t>
        </is>
      </c>
      <c r="E63" s="24" t="inlineStr">
        <is>
          <t>26062201</t>
        </is>
      </c>
      <c r="F63" s="25">
        <f>IF(E63="","",IF(COUNTIF(lst_Jobs,E63&amp;"")&gt;0,"OK","CHECK"))</f>
        <v/>
      </c>
      <c r="G63" s="24" t="inlineStr">
        <is>
          <t>Tax and Legal Webcast 2.7.26</t>
        </is>
      </c>
      <c r="H63" s="24" t="inlineStr">
        <is>
          <t>Production</t>
        </is>
      </c>
      <c r="I63" s="24" t="inlineStr">
        <is>
          <t>VIDEO</t>
        </is>
      </c>
      <c r="J63" s="24" t="inlineStr">
        <is>
          <t>Project</t>
        </is>
      </c>
      <c r="K63" s="24" t="inlineStr">
        <is>
          <t>GST 10%</t>
        </is>
      </c>
      <c r="L63" s="26" t="n">
        <v>970</v>
      </c>
      <c r="M63" s="27">
        <f>IF(L63="","",IF(K63="GST 10%",ROUND(L63*set_GSTRate,2),0))</f>
        <v/>
      </c>
      <c r="N63" s="27">
        <f>IF(L63="","",L63+M63)</f>
        <v/>
      </c>
      <c r="O63" s="24" t="inlineStr">
        <is>
          <t>42150</t>
        </is>
      </c>
      <c r="P63" s="24" t="inlineStr">
        <is>
          <t>Y</t>
        </is>
      </c>
      <c r="Q63" s="24" t="inlineStr">
        <is>
          <t>N</t>
        </is>
      </c>
      <c r="R63" s="22" t="n"/>
      <c r="S63" s="22" t="n"/>
      <c r="T63" s="24" t="inlineStr">
        <is>
          <t>Invoiced</t>
        </is>
      </c>
      <c r="U63" s="24" t="inlineStr">
        <is>
          <t>Video portion of this invoice</t>
        </is>
      </c>
      <c r="V63" s="25">
        <f>IF(COUNTA(A63,D63,C63,L63)=0,"",IF(A63="","No date - sits outside every month",IF(E63="","No job number",IF(F63="CHECK","Job number is not in the Xero job list",IF(I63="","No cost centre",IF(AND(P63="Y",C63=""),"Marked posted to Xero but has no invoice number",IF(AND(L63&lt;&gt;"",K63=""),"No tax code",IF(AND(L63&lt;&gt;"",O63=""),"No revenue GL code",""))))))))</f>
        <v/>
      </c>
      <c r="W63" s="25">
        <f>IF(E63="","",IFERROR(INDEX(lst_JobName,MATCH(E63&amp;"",lst_Jobs,0)),""))</f>
        <v/>
      </c>
      <c r="X63" s="28">
        <f>IF(E63="","",COUNTIFS(tbl_Finance[Job Number],E63&amp;"",tbl_Finance[Ex GST],"&lt;&gt;"))</f>
        <v/>
      </c>
      <c r="Y63" s="27">
        <f>IF(E63="","",SUMIFS(tbl_Finance[Ex GST],tbl_Finance[Job Number],E63&amp;""))</f>
        <v/>
      </c>
      <c r="Z63" s="27">
        <f>IF(E63="","",SUMIFS(tbl_Finance[Ex GST],tbl_Finance[Job Number],E63&amp;"",tbl_Finance[Xero Invoice No],"&lt;&gt;"))</f>
        <v/>
      </c>
      <c r="AA63" s="27">
        <f>IF(E63="","",Y63-Z63)</f>
        <v/>
      </c>
      <c r="AB63" s="25">
        <f>IF(E63="","",IF(H63="Onsite",IFERROR(INDEX(tbl_Onsite[Qwilr Quote],MATCH(E63&amp;"",tbl_Onsite[Job Number],0)),""),IF(H63="Production",IFERROR(INDEX(tbl_Production[Current RMS No],MATCH(E63&amp;"",tbl_Production[Job Number],0)),""),IF(H63="Consulting",IFERROR(INDEX(tbl_Consulting[Qwilr Quote],MATCH(E63&amp;"",tbl_Consulting[Job Number],0)),""),""))))</f>
        <v/>
      </c>
      <c r="AC63" s="25">
        <f>IF(AB63="","",IF(AND(LEFT(AB63,4)&lt;&gt;"http",IF(H63="Production",set_RMSBase,set_QwilrBase)=""),"",HYPERLINK(IF(LEFT(AB63,4)="http",AB63,IF(H63="Production",set_RMSBase,set_QwilrBase)&amp;AB63),"Open")))</f>
        <v/>
      </c>
      <c r="AD63" s="27">
        <f>IF(E63="","",IF(H63="Production",IFERROR(INDEX(tbl_Production[Total Expense],MATCH(E63&amp;"",tbl_Production[Job Number],0)),0),IF(H63="Consulting",IFERROR(INDEX(tbl_Consulting[Total Expense],MATCH(E63&amp;"",tbl_Consulting[Job Number],0)),0),0)))</f>
        <v/>
      </c>
      <c r="AE63" s="27">
        <f>IF(E63="","",Y63-N(AD63))</f>
        <v/>
      </c>
      <c r="AF63" s="29">
        <f>IFERROR(AE63/Y63,"")</f>
        <v/>
      </c>
      <c r="AG63" s="25">
        <f>IF(E63="","",IF(H63="Onsite",IFERROR(INDEX(tbl_Onsite[Notes],MATCH(E63&amp;"",tbl_Onsite[Job Number],0)),""),IF(H63="Production",IFERROR(INDEX(tbl_Production[Notes],MATCH(E63&amp;"",tbl_Production[Job Number],0)),""),IF(H63="Consulting",IFERROR(INDEX(tbl_Consulting[Notes],MATCH(E63&amp;"",tbl_Consulting[Job Number],0)),""),""))))</f>
        <v/>
      </c>
    </row>
    <row r="64" ht="15" customHeight="1">
      <c r="A64" s="22" t="n">
        <v>46219</v>
      </c>
      <c r="B64" s="23">
        <f>IF(A64="","",EOMONTH(A64,0))</f>
        <v/>
      </c>
      <c r="C64" s="24" t="inlineStr">
        <is>
          <t>INV-10524</t>
        </is>
      </c>
      <c r="D64" s="24" t="inlineStr">
        <is>
          <t>Elkiem - PM** Cancelled</t>
        </is>
      </c>
      <c r="E64" s="24" t="inlineStr">
        <is>
          <t>2605802</t>
        </is>
      </c>
      <c r="F64" s="25">
        <f>IF(E64="","",IF(COUNTIF(lst_Jobs,E64&amp;"")&gt;0,"OK","CHECK"))</f>
        <v/>
      </c>
      <c r="G64" s="24" t="inlineStr">
        <is>
          <t>Elkiem Studio Support | 15.7.26</t>
        </is>
      </c>
      <c r="H64" s="24" t="inlineStr">
        <is>
          <t>Production</t>
        </is>
      </c>
      <c r="I64" s="24" t="inlineStr">
        <is>
          <t>PRODUCTION</t>
        </is>
      </c>
      <c r="J64" s="24" t="inlineStr">
        <is>
          <t>Project</t>
        </is>
      </c>
      <c r="K64" s="24" t="inlineStr">
        <is>
          <t>GST 10%</t>
        </is>
      </c>
      <c r="L64" s="26" t="n">
        <v>261.25</v>
      </c>
      <c r="M64" s="27">
        <f>IF(L64="","",IF(K64="GST 10%",ROUND(L64*set_GSTRate,2),0))</f>
        <v/>
      </c>
      <c r="N64" s="27">
        <f>IF(L64="","",L64+M64)</f>
        <v/>
      </c>
      <c r="O64" s="24" t="inlineStr">
        <is>
          <t>42100</t>
        </is>
      </c>
      <c r="P64" s="24" t="inlineStr">
        <is>
          <t>Y</t>
        </is>
      </c>
      <c r="Q64" s="24" t="inlineStr">
        <is>
          <t>N</t>
        </is>
      </c>
      <c r="R64" s="22" t="n"/>
      <c r="S64" s="22" t="n"/>
      <c r="T64" s="24" t="inlineStr">
        <is>
          <t>Invoiced</t>
        </is>
      </c>
      <c r="U64" s="24" t="n"/>
      <c r="V64" s="25">
        <f>IF(COUNTA(A64,D64,C64,L64)=0,"",IF(A64="","No date - sits outside every month",IF(E64="","No job number",IF(F64="CHECK","Job number is not in the Xero job list",IF(I64="","No cost centre",IF(AND(P64="Y",C64=""),"Marked posted to Xero but has no invoice number",IF(AND(L64&lt;&gt;"",K64=""),"No tax code",IF(AND(L64&lt;&gt;"",O64=""),"No revenue GL code",""))))))))</f>
        <v/>
      </c>
      <c r="W64" s="25">
        <f>IF(E64="","",IFERROR(INDEX(lst_JobName,MATCH(E64&amp;"",lst_Jobs,0)),""))</f>
        <v/>
      </c>
      <c r="X64" s="28">
        <f>IF(E64="","",COUNTIFS(tbl_Finance[Job Number],E64&amp;"",tbl_Finance[Ex GST],"&lt;&gt;"))</f>
        <v/>
      </c>
      <c r="Y64" s="27">
        <f>IF(E64="","",SUMIFS(tbl_Finance[Ex GST],tbl_Finance[Job Number],E64&amp;""))</f>
        <v/>
      </c>
      <c r="Z64" s="27">
        <f>IF(E64="","",SUMIFS(tbl_Finance[Ex GST],tbl_Finance[Job Number],E64&amp;"",tbl_Finance[Xero Invoice No],"&lt;&gt;"))</f>
        <v/>
      </c>
      <c r="AA64" s="27">
        <f>IF(E64="","",Y64-Z64)</f>
        <v/>
      </c>
      <c r="AB64" s="25">
        <f>IF(E64="","",IF(H64="Onsite",IFERROR(INDEX(tbl_Onsite[Qwilr Quote],MATCH(E64&amp;"",tbl_Onsite[Job Number],0)),""),IF(H64="Production",IFERROR(INDEX(tbl_Production[Current RMS No],MATCH(E64&amp;"",tbl_Production[Job Number],0)),""),IF(H64="Consulting",IFERROR(INDEX(tbl_Consulting[Qwilr Quote],MATCH(E64&amp;"",tbl_Consulting[Job Number],0)),""),""))))</f>
        <v/>
      </c>
      <c r="AC64" s="25">
        <f>IF(AB64="","",IF(AND(LEFT(AB64,4)&lt;&gt;"http",IF(H64="Production",set_RMSBase,set_QwilrBase)=""),"",HYPERLINK(IF(LEFT(AB64,4)="http",AB64,IF(H64="Production",set_RMSBase,set_QwilrBase)&amp;AB64),"Open")))</f>
        <v/>
      </c>
      <c r="AD64" s="27">
        <f>IF(E64="","",IF(H64="Production",IFERROR(INDEX(tbl_Production[Total Expense],MATCH(E64&amp;"",tbl_Production[Job Number],0)),0),IF(H64="Consulting",IFERROR(INDEX(tbl_Consulting[Total Expense],MATCH(E64&amp;"",tbl_Consulting[Job Number],0)),0),0)))</f>
        <v/>
      </c>
      <c r="AE64" s="27">
        <f>IF(E64="","",Y64-N(AD64))</f>
        <v/>
      </c>
      <c r="AF64" s="29">
        <f>IFERROR(AE64/Y64,"")</f>
        <v/>
      </c>
      <c r="AG64" s="25">
        <f>IF(E64="","",IF(H64="Onsite",IFERROR(INDEX(tbl_Onsite[Notes],MATCH(E64&amp;"",tbl_Onsite[Job Number],0)),""),IF(H64="Production",IFERROR(INDEX(tbl_Production[Notes],MATCH(E64&amp;"",tbl_Production[Job Number],0)),""),IF(H64="Consulting",IFERROR(INDEX(tbl_Consulting[Notes],MATCH(E64&amp;"",tbl_Consulting[Job Number],0)),""),""))))</f>
        <v/>
      </c>
    </row>
    <row r="65" ht="15" customHeight="1">
      <c r="A65" s="22" t="n">
        <v>46210</v>
      </c>
      <c r="B65" s="23">
        <f>IF(A65="","",EOMONTH(A65,0))</f>
        <v/>
      </c>
      <c r="C65" s="24" t="inlineStr">
        <is>
          <t>INV-10518</t>
        </is>
      </c>
      <c r="D65" s="24" t="inlineStr">
        <is>
          <t>Litecard</t>
        </is>
      </c>
      <c r="E65" s="24" t="inlineStr">
        <is>
          <t>2607701</t>
        </is>
      </c>
      <c r="F65" s="25">
        <f>IF(E65="","",IF(COUNTIF(lst_Jobs,E65&amp;"")&gt;0,"OK","CHECK"))</f>
        <v/>
      </c>
      <c r="G65" s="24" t="inlineStr">
        <is>
          <t>Screen &amp; Mic Hire 16.7.26</t>
        </is>
      </c>
      <c r="H65" s="24" t="inlineStr">
        <is>
          <t>Production</t>
        </is>
      </c>
      <c r="I65" s="24" t="inlineStr">
        <is>
          <t>PRODUCTION</t>
        </is>
      </c>
      <c r="J65" s="24" t="inlineStr">
        <is>
          <t>Project</t>
        </is>
      </c>
      <c r="K65" s="24" t="inlineStr">
        <is>
          <t>GST 10%</t>
        </is>
      </c>
      <c r="L65" s="26" t="n">
        <v>500</v>
      </c>
      <c r="M65" s="27">
        <f>IF(L65="","",IF(K65="GST 10%",ROUND(L65*set_GSTRate,2),0))</f>
        <v/>
      </c>
      <c r="N65" s="27">
        <f>IF(L65="","",L65+M65)</f>
        <v/>
      </c>
      <c r="O65" s="24" t="inlineStr">
        <is>
          <t>42100</t>
        </is>
      </c>
      <c r="P65" s="24" t="inlineStr">
        <is>
          <t>Y</t>
        </is>
      </c>
      <c r="Q65" s="24" t="inlineStr">
        <is>
          <t>N</t>
        </is>
      </c>
      <c r="R65" s="22" t="n"/>
      <c r="S65" s="22" t="n"/>
      <c r="T65" s="24" t="inlineStr">
        <is>
          <t>Invoiced</t>
        </is>
      </c>
      <c r="U65" s="24" t="n"/>
      <c r="V65" s="25">
        <f>IF(COUNTA(A65,D65,C65,L65)=0,"",IF(A65="","No date - sits outside every month",IF(E65="","No job number",IF(F65="CHECK","Job number is not in the Xero job list",IF(I65="","No cost centre",IF(AND(P65="Y",C65=""),"Marked posted to Xero but has no invoice number",IF(AND(L65&lt;&gt;"",K65=""),"No tax code",IF(AND(L65&lt;&gt;"",O65=""),"No revenue GL code",""))))))))</f>
        <v/>
      </c>
      <c r="W65" s="25">
        <f>IF(E65="","",IFERROR(INDEX(lst_JobName,MATCH(E65&amp;"",lst_Jobs,0)),""))</f>
        <v/>
      </c>
      <c r="X65" s="28">
        <f>IF(E65="","",COUNTIFS(tbl_Finance[Job Number],E65&amp;"",tbl_Finance[Ex GST],"&lt;&gt;"))</f>
        <v/>
      </c>
      <c r="Y65" s="27">
        <f>IF(E65="","",SUMIFS(tbl_Finance[Ex GST],tbl_Finance[Job Number],E65&amp;""))</f>
        <v/>
      </c>
      <c r="Z65" s="27">
        <f>IF(E65="","",SUMIFS(tbl_Finance[Ex GST],tbl_Finance[Job Number],E65&amp;"",tbl_Finance[Xero Invoice No],"&lt;&gt;"))</f>
        <v/>
      </c>
      <c r="AA65" s="27">
        <f>IF(E65="","",Y65-Z65)</f>
        <v/>
      </c>
      <c r="AB65" s="25">
        <f>IF(E65="","",IF(H65="Onsite",IFERROR(INDEX(tbl_Onsite[Qwilr Quote],MATCH(E65&amp;"",tbl_Onsite[Job Number],0)),""),IF(H65="Production",IFERROR(INDEX(tbl_Production[Current RMS No],MATCH(E65&amp;"",tbl_Production[Job Number],0)),""),IF(H65="Consulting",IFERROR(INDEX(tbl_Consulting[Qwilr Quote],MATCH(E65&amp;"",tbl_Consulting[Job Number],0)),""),""))))</f>
        <v/>
      </c>
      <c r="AC65" s="25">
        <f>IF(AB65="","",IF(AND(LEFT(AB65,4)&lt;&gt;"http",IF(H65="Production",set_RMSBase,set_QwilrBase)=""),"",HYPERLINK(IF(LEFT(AB65,4)="http",AB65,IF(H65="Production",set_RMSBase,set_QwilrBase)&amp;AB65),"Open")))</f>
        <v/>
      </c>
      <c r="AD65" s="27">
        <f>IF(E65="","",IF(H65="Production",IFERROR(INDEX(tbl_Production[Total Expense],MATCH(E65&amp;"",tbl_Production[Job Number],0)),0),IF(H65="Consulting",IFERROR(INDEX(tbl_Consulting[Total Expense],MATCH(E65&amp;"",tbl_Consulting[Job Number],0)),0),0)))</f>
        <v/>
      </c>
      <c r="AE65" s="27">
        <f>IF(E65="","",Y65-N(AD65))</f>
        <v/>
      </c>
      <c r="AF65" s="29">
        <f>IFERROR(AE65/Y65,"")</f>
        <v/>
      </c>
      <c r="AG65" s="25">
        <f>IF(E65="","",IF(H65="Onsite",IFERROR(INDEX(tbl_Onsite[Notes],MATCH(E65&amp;"",tbl_Onsite[Job Number],0)),""),IF(H65="Production",IFERROR(INDEX(tbl_Production[Notes],MATCH(E65&amp;"",tbl_Production[Job Number],0)),""),IF(H65="Consulting",IFERROR(INDEX(tbl_Consulting[Notes],MATCH(E65&amp;"",tbl_Consulting[Job Number],0)),""),""))))</f>
        <v/>
      </c>
    </row>
    <row r="66" ht="15" customHeight="1">
      <c r="A66" s="22" t="n">
        <v>46216</v>
      </c>
      <c r="B66" s="23">
        <f>IF(A66="","",EOMONTH(A66,0))</f>
        <v/>
      </c>
      <c r="C66" s="24" t="inlineStr">
        <is>
          <t>INV-10522</t>
        </is>
      </c>
      <c r="D66" s="24" t="inlineStr">
        <is>
          <t>Litecard</t>
        </is>
      </c>
      <c r="E66" s="24" t="inlineStr">
        <is>
          <t>2607701</t>
        </is>
      </c>
      <c r="F66" s="25">
        <f>IF(E66="","",IF(COUNTIF(lst_Jobs,E66&amp;"")&gt;0,"OK","CHECK"))</f>
        <v/>
      </c>
      <c r="G66" s="24" t="inlineStr">
        <is>
          <t>Litecard - Event Photographer - 16.7.26</t>
        </is>
      </c>
      <c r="H66" s="24" t="inlineStr">
        <is>
          <t>Production</t>
        </is>
      </c>
      <c r="I66" s="24" t="inlineStr">
        <is>
          <t>VIDEO</t>
        </is>
      </c>
      <c r="J66" s="24" t="inlineStr">
        <is>
          <t>Project</t>
        </is>
      </c>
      <c r="K66" s="24" t="inlineStr">
        <is>
          <t>GST 10%</t>
        </is>
      </c>
      <c r="L66" s="26" t="n">
        <v>550</v>
      </c>
      <c r="M66" s="27">
        <f>IF(L66="","",IF(K66="GST 10%",ROUND(L66*set_GSTRate,2),0))</f>
        <v/>
      </c>
      <c r="N66" s="27">
        <f>IF(L66="","",L66+M66)</f>
        <v/>
      </c>
      <c r="O66" s="24" t="inlineStr">
        <is>
          <t>42150</t>
        </is>
      </c>
      <c r="P66" s="24" t="inlineStr">
        <is>
          <t>Y</t>
        </is>
      </c>
      <c r="Q66" s="24" t="inlineStr">
        <is>
          <t>N</t>
        </is>
      </c>
      <c r="R66" s="22" t="n"/>
      <c r="S66" s="22" t="n"/>
      <c r="T66" s="24" t="inlineStr">
        <is>
          <t>Invoiced</t>
        </is>
      </c>
      <c r="U66" s="24" t="n"/>
      <c r="V66" s="25">
        <f>IF(COUNTA(A66,D66,C66,L66)=0,"",IF(A66="","No date - sits outside every month",IF(E66="","No job number",IF(F66="CHECK","Job number is not in the Xero job list",IF(I66="","No cost centre",IF(AND(P66="Y",C66=""),"Marked posted to Xero but has no invoice number",IF(AND(L66&lt;&gt;"",K66=""),"No tax code",IF(AND(L66&lt;&gt;"",O66=""),"No revenue GL code",""))))))))</f>
        <v/>
      </c>
      <c r="W66" s="25">
        <f>IF(E66="","",IFERROR(INDEX(lst_JobName,MATCH(E66&amp;"",lst_Jobs,0)),""))</f>
        <v/>
      </c>
      <c r="X66" s="28">
        <f>IF(E66="","",COUNTIFS(tbl_Finance[Job Number],E66&amp;"",tbl_Finance[Ex GST],"&lt;&gt;"))</f>
        <v/>
      </c>
      <c r="Y66" s="27">
        <f>IF(E66="","",SUMIFS(tbl_Finance[Ex GST],tbl_Finance[Job Number],E66&amp;""))</f>
        <v/>
      </c>
      <c r="Z66" s="27">
        <f>IF(E66="","",SUMIFS(tbl_Finance[Ex GST],tbl_Finance[Job Number],E66&amp;"",tbl_Finance[Xero Invoice No],"&lt;&gt;"))</f>
        <v/>
      </c>
      <c r="AA66" s="27">
        <f>IF(E66="","",Y66-Z66)</f>
        <v/>
      </c>
      <c r="AB66" s="25">
        <f>IF(E66="","",IF(H66="Onsite",IFERROR(INDEX(tbl_Onsite[Qwilr Quote],MATCH(E66&amp;"",tbl_Onsite[Job Number],0)),""),IF(H66="Production",IFERROR(INDEX(tbl_Production[Current RMS No],MATCH(E66&amp;"",tbl_Production[Job Number],0)),""),IF(H66="Consulting",IFERROR(INDEX(tbl_Consulting[Qwilr Quote],MATCH(E66&amp;"",tbl_Consulting[Job Number],0)),""),""))))</f>
        <v/>
      </c>
      <c r="AC66" s="25">
        <f>IF(AB66="","",IF(AND(LEFT(AB66,4)&lt;&gt;"http",IF(H66="Production",set_RMSBase,set_QwilrBase)=""),"",HYPERLINK(IF(LEFT(AB66,4)="http",AB66,IF(H66="Production",set_RMSBase,set_QwilrBase)&amp;AB66),"Open")))</f>
        <v/>
      </c>
      <c r="AD66" s="27">
        <f>IF(E66="","",IF(H66="Production",IFERROR(INDEX(tbl_Production[Total Expense],MATCH(E66&amp;"",tbl_Production[Job Number],0)),0),IF(H66="Consulting",IFERROR(INDEX(tbl_Consulting[Total Expense],MATCH(E66&amp;"",tbl_Consulting[Job Number],0)),0),0)))</f>
        <v/>
      </c>
      <c r="AE66" s="27">
        <f>IF(E66="","",Y66-N(AD66))</f>
        <v/>
      </c>
      <c r="AF66" s="29">
        <f>IFERROR(AE66/Y66,"")</f>
        <v/>
      </c>
      <c r="AG66" s="25">
        <f>IF(E66="","",IF(H66="Onsite",IFERROR(INDEX(tbl_Onsite[Notes],MATCH(E66&amp;"",tbl_Onsite[Job Number],0)),""),IF(H66="Production",IFERROR(INDEX(tbl_Production[Notes],MATCH(E66&amp;"",tbl_Production[Job Number],0)),""),IF(H66="Consulting",IFERROR(INDEX(tbl_Consulting[Notes],MATCH(E66&amp;"",tbl_Consulting[Job Number],0)),""),""))))</f>
        <v/>
      </c>
    </row>
    <row r="67" ht="15" customHeight="1">
      <c r="A67" s="22" t="n">
        <v>46234</v>
      </c>
      <c r="B67" s="23">
        <f>IF(A67="","",EOMONTH(A67,0))</f>
        <v/>
      </c>
      <c r="C67" s="24" t="inlineStr">
        <is>
          <t>INV-10554</t>
        </is>
      </c>
      <c r="D67" s="24" t="inlineStr">
        <is>
          <t>Microsoft</t>
        </is>
      </c>
      <c r="E67" s="24" t="inlineStr">
        <is>
          <t>26052703</t>
        </is>
      </c>
      <c r="F67" s="25">
        <f>IF(E67="","",IF(COUNTIF(lst_Jobs,E67&amp;"")&gt;0,"OK","CHECK"))</f>
        <v/>
      </c>
      <c r="G67" s="24" t="inlineStr">
        <is>
          <t>Microsoft Town Hall 21.7.26</t>
        </is>
      </c>
      <c r="H67" s="24" t="inlineStr">
        <is>
          <t>Production</t>
        </is>
      </c>
      <c r="I67" s="24" t="inlineStr">
        <is>
          <t>PRODUCTION</t>
        </is>
      </c>
      <c r="J67" s="24" t="inlineStr">
        <is>
          <t>Project</t>
        </is>
      </c>
      <c r="K67" s="24" t="inlineStr">
        <is>
          <t>GST 10%</t>
        </is>
      </c>
      <c r="L67" s="26" t="n">
        <v>10885</v>
      </c>
      <c r="M67" s="27">
        <f>IF(L67="","",IF(K67="GST 10%",ROUND(L67*set_GSTRate,2),0))</f>
        <v/>
      </c>
      <c r="N67" s="27">
        <f>IF(L67="","",L67+M67)</f>
        <v/>
      </c>
      <c r="O67" s="24" t="inlineStr">
        <is>
          <t>42100</t>
        </is>
      </c>
      <c r="P67" s="24" t="inlineStr">
        <is>
          <t>Y</t>
        </is>
      </c>
      <c r="Q67" s="24" t="inlineStr">
        <is>
          <t>N</t>
        </is>
      </c>
      <c r="R67" s="22" t="n"/>
      <c r="S67" s="22" t="n"/>
      <c r="T67" s="24" t="inlineStr">
        <is>
          <t>Invoiced</t>
        </is>
      </c>
      <c r="U67" s="24" t="inlineStr">
        <is>
          <t>Production portion of this invoice</t>
        </is>
      </c>
      <c r="V67" s="25">
        <f>IF(COUNTA(A67,D67,C67,L67)=0,"",IF(A67="","No date - sits outside every month",IF(E67="","No job number",IF(F67="CHECK","Job number is not in the Xero job list",IF(I67="","No cost centre",IF(AND(P67="Y",C67=""),"Marked posted to Xero but has no invoice number",IF(AND(L67&lt;&gt;"",K67=""),"No tax code",IF(AND(L67&lt;&gt;"",O67=""),"No revenue GL code",""))))))))</f>
        <v/>
      </c>
      <c r="W67" s="25">
        <f>IF(E67="","",IFERROR(INDEX(lst_JobName,MATCH(E67&amp;"",lst_Jobs,0)),""))</f>
        <v/>
      </c>
      <c r="X67" s="28">
        <f>IF(E67="","",COUNTIFS(tbl_Finance[Job Number],E67&amp;"",tbl_Finance[Ex GST],"&lt;&gt;"))</f>
        <v/>
      </c>
      <c r="Y67" s="27">
        <f>IF(E67="","",SUMIFS(tbl_Finance[Ex GST],tbl_Finance[Job Number],E67&amp;""))</f>
        <v/>
      </c>
      <c r="Z67" s="27">
        <f>IF(E67="","",SUMIFS(tbl_Finance[Ex GST],tbl_Finance[Job Number],E67&amp;"",tbl_Finance[Xero Invoice No],"&lt;&gt;"))</f>
        <v/>
      </c>
      <c r="AA67" s="27">
        <f>IF(E67="","",Y67-Z67)</f>
        <v/>
      </c>
      <c r="AB67" s="25">
        <f>IF(E67="","",IF(H67="Onsite",IFERROR(INDEX(tbl_Onsite[Qwilr Quote],MATCH(E67&amp;"",tbl_Onsite[Job Number],0)),""),IF(H67="Production",IFERROR(INDEX(tbl_Production[Current RMS No],MATCH(E67&amp;"",tbl_Production[Job Number],0)),""),IF(H67="Consulting",IFERROR(INDEX(tbl_Consulting[Qwilr Quote],MATCH(E67&amp;"",tbl_Consulting[Job Number],0)),""),""))))</f>
        <v/>
      </c>
      <c r="AC67" s="25">
        <f>IF(AB67="","",IF(AND(LEFT(AB67,4)&lt;&gt;"http",IF(H67="Production",set_RMSBase,set_QwilrBase)=""),"",HYPERLINK(IF(LEFT(AB67,4)="http",AB67,IF(H67="Production",set_RMSBase,set_QwilrBase)&amp;AB67),"Open")))</f>
        <v/>
      </c>
      <c r="AD67" s="27">
        <f>IF(E67="","",IF(H67="Production",IFERROR(INDEX(tbl_Production[Total Expense],MATCH(E67&amp;"",tbl_Production[Job Number],0)),0),IF(H67="Consulting",IFERROR(INDEX(tbl_Consulting[Total Expense],MATCH(E67&amp;"",tbl_Consulting[Job Number],0)),0),0)))</f>
        <v/>
      </c>
      <c r="AE67" s="27">
        <f>IF(E67="","",Y67-N(AD67))</f>
        <v/>
      </c>
      <c r="AF67" s="29">
        <f>IFERROR(AE67/Y67,"")</f>
        <v/>
      </c>
      <c r="AG67" s="25">
        <f>IF(E67="","",IF(H67="Onsite",IFERROR(INDEX(tbl_Onsite[Notes],MATCH(E67&amp;"",tbl_Onsite[Job Number],0)),""),IF(H67="Production",IFERROR(INDEX(tbl_Production[Notes],MATCH(E67&amp;"",tbl_Production[Job Number],0)),""),IF(H67="Consulting",IFERROR(INDEX(tbl_Consulting[Notes],MATCH(E67&amp;"",tbl_Consulting[Job Number],0)),""),""))))</f>
        <v/>
      </c>
    </row>
    <row r="68" ht="15" customHeight="1">
      <c r="A68" s="22" t="n">
        <v>46234</v>
      </c>
      <c r="B68" s="23">
        <f>IF(A68="","",EOMONTH(A68,0))</f>
        <v/>
      </c>
      <c r="C68" s="24" t="inlineStr">
        <is>
          <t>INV-10554</t>
        </is>
      </c>
      <c r="D68" s="24" t="inlineStr">
        <is>
          <t>Microsoft</t>
        </is>
      </c>
      <c r="E68" s="24" t="inlineStr">
        <is>
          <t>26052703</t>
        </is>
      </c>
      <c r="F68" s="25">
        <f>IF(E68="","",IF(COUNTIF(lst_Jobs,E68&amp;"")&gt;0,"OK","CHECK"))</f>
        <v/>
      </c>
      <c r="G68" s="24" t="inlineStr">
        <is>
          <t>Microsoft Town Hall 21.7.26</t>
        </is>
      </c>
      <c r="H68" s="24" t="inlineStr">
        <is>
          <t>Production</t>
        </is>
      </c>
      <c r="I68" s="24" t="inlineStr">
        <is>
          <t>VIDEO</t>
        </is>
      </c>
      <c r="J68" s="24" t="inlineStr">
        <is>
          <t>Project</t>
        </is>
      </c>
      <c r="K68" s="24" t="inlineStr">
        <is>
          <t>GST 10%</t>
        </is>
      </c>
      <c r="L68" s="26" t="n">
        <v>1702</v>
      </c>
      <c r="M68" s="27">
        <f>IF(L68="","",IF(K68="GST 10%",ROUND(L68*set_GSTRate,2),0))</f>
        <v/>
      </c>
      <c r="N68" s="27">
        <f>IF(L68="","",L68+M68)</f>
        <v/>
      </c>
      <c r="O68" s="24" t="inlineStr">
        <is>
          <t>42150</t>
        </is>
      </c>
      <c r="P68" s="24" t="inlineStr">
        <is>
          <t>Y</t>
        </is>
      </c>
      <c r="Q68" s="24" t="inlineStr">
        <is>
          <t>N</t>
        </is>
      </c>
      <c r="R68" s="22" t="n"/>
      <c r="S68" s="22" t="n"/>
      <c r="T68" s="24" t="inlineStr">
        <is>
          <t>Invoiced</t>
        </is>
      </c>
      <c r="U68" s="24" t="inlineStr">
        <is>
          <t>Video portion of this invoice</t>
        </is>
      </c>
      <c r="V68" s="25">
        <f>IF(COUNTA(A68,D68,C68,L68)=0,"",IF(A68="","No date - sits outside every month",IF(E68="","No job number",IF(F68="CHECK","Job number is not in the Xero job list",IF(I68="","No cost centre",IF(AND(P68="Y",C68=""),"Marked posted to Xero but has no invoice number",IF(AND(L68&lt;&gt;"",K68=""),"No tax code",IF(AND(L68&lt;&gt;"",O68=""),"No revenue GL code",""))))))))</f>
        <v/>
      </c>
      <c r="W68" s="25">
        <f>IF(E68="","",IFERROR(INDEX(lst_JobName,MATCH(E68&amp;"",lst_Jobs,0)),""))</f>
        <v/>
      </c>
      <c r="X68" s="28">
        <f>IF(E68="","",COUNTIFS(tbl_Finance[Job Number],E68&amp;"",tbl_Finance[Ex GST],"&lt;&gt;"))</f>
        <v/>
      </c>
      <c r="Y68" s="27">
        <f>IF(E68="","",SUMIFS(tbl_Finance[Ex GST],tbl_Finance[Job Number],E68&amp;""))</f>
        <v/>
      </c>
      <c r="Z68" s="27">
        <f>IF(E68="","",SUMIFS(tbl_Finance[Ex GST],tbl_Finance[Job Number],E68&amp;"",tbl_Finance[Xero Invoice No],"&lt;&gt;"))</f>
        <v/>
      </c>
      <c r="AA68" s="27">
        <f>IF(E68="","",Y68-Z68)</f>
        <v/>
      </c>
      <c r="AB68" s="25">
        <f>IF(E68="","",IF(H68="Onsite",IFERROR(INDEX(tbl_Onsite[Qwilr Quote],MATCH(E68&amp;"",tbl_Onsite[Job Number],0)),""),IF(H68="Production",IFERROR(INDEX(tbl_Production[Current RMS No],MATCH(E68&amp;"",tbl_Production[Job Number],0)),""),IF(H68="Consulting",IFERROR(INDEX(tbl_Consulting[Qwilr Quote],MATCH(E68&amp;"",tbl_Consulting[Job Number],0)),""),""))))</f>
        <v/>
      </c>
      <c r="AC68" s="25">
        <f>IF(AB68="","",IF(AND(LEFT(AB68,4)&lt;&gt;"http",IF(H68="Production",set_RMSBase,set_QwilrBase)=""),"",HYPERLINK(IF(LEFT(AB68,4)="http",AB68,IF(H68="Production",set_RMSBase,set_QwilrBase)&amp;AB68),"Open")))</f>
        <v/>
      </c>
      <c r="AD68" s="27">
        <f>IF(E68="","",IF(H68="Production",IFERROR(INDEX(tbl_Production[Total Expense],MATCH(E68&amp;"",tbl_Production[Job Number],0)),0),IF(H68="Consulting",IFERROR(INDEX(tbl_Consulting[Total Expense],MATCH(E68&amp;"",tbl_Consulting[Job Number],0)),0),0)))</f>
        <v/>
      </c>
      <c r="AE68" s="27">
        <f>IF(E68="","",Y68-N(AD68))</f>
        <v/>
      </c>
      <c r="AF68" s="29">
        <f>IFERROR(AE68/Y68,"")</f>
        <v/>
      </c>
      <c r="AG68" s="25">
        <f>IF(E68="","",IF(H68="Onsite",IFERROR(INDEX(tbl_Onsite[Notes],MATCH(E68&amp;"",tbl_Onsite[Job Number],0)),""),IF(H68="Production",IFERROR(INDEX(tbl_Production[Notes],MATCH(E68&amp;"",tbl_Production[Job Number],0)),""),IF(H68="Consulting",IFERROR(INDEX(tbl_Consulting[Notes],MATCH(E68&amp;"",tbl_Consulting[Job Number],0)),""),""))))</f>
        <v/>
      </c>
    </row>
    <row r="69" ht="15" customHeight="1">
      <c r="A69" s="22" t="n">
        <v>46232</v>
      </c>
      <c r="B69" s="23">
        <f>IF(A69="","",EOMONTH(A69,0))</f>
        <v/>
      </c>
      <c r="C69" s="24" t="inlineStr">
        <is>
          <t>INV-10538</t>
        </is>
      </c>
      <c r="D69" s="24" t="inlineStr">
        <is>
          <t>Optiver</t>
        </is>
      </c>
      <c r="E69" s="24" t="inlineStr">
        <is>
          <t>26041603</t>
        </is>
      </c>
      <c r="F69" s="25">
        <f>IF(E69="","",IF(COUNTIF(lst_Jobs,E69&amp;"")&gt;0,"OK","CHECK"))</f>
        <v/>
      </c>
      <c r="G69" s="24" t="inlineStr">
        <is>
          <t>Mid-Year Town Hall 23.7.26</t>
        </is>
      </c>
      <c r="H69" s="24" t="inlineStr">
        <is>
          <t>Production</t>
        </is>
      </c>
      <c r="I69" s="24" t="inlineStr">
        <is>
          <t>PRODUCTION</t>
        </is>
      </c>
      <c r="J69" s="24" t="inlineStr">
        <is>
          <t>Project</t>
        </is>
      </c>
      <c r="K69" s="24" t="inlineStr">
        <is>
          <t>GST 10%</t>
        </is>
      </c>
      <c r="L69" s="26" t="n">
        <v>745</v>
      </c>
      <c r="M69" s="27">
        <f>IF(L69="","",IF(K69="GST 10%",ROUND(L69*set_GSTRate,2),0))</f>
        <v/>
      </c>
      <c r="N69" s="27">
        <f>IF(L69="","",L69+M69)</f>
        <v/>
      </c>
      <c r="O69" s="24" t="inlineStr">
        <is>
          <t>42100</t>
        </is>
      </c>
      <c r="P69" s="24" t="inlineStr">
        <is>
          <t>Y</t>
        </is>
      </c>
      <c r="Q69" s="24" t="inlineStr">
        <is>
          <t>N</t>
        </is>
      </c>
      <c r="R69" s="22" t="n"/>
      <c r="S69" s="22" t="n"/>
      <c r="T69" s="24" t="inlineStr">
        <is>
          <t>Invoiced</t>
        </is>
      </c>
      <c r="U69" s="24" t="n"/>
      <c r="V69" s="25">
        <f>IF(COUNTA(A69,D69,C69,L69)=0,"",IF(A69="","No date - sits outside every month",IF(E69="","No job number",IF(F69="CHECK","Job number is not in the Xero job list",IF(I69="","No cost centre",IF(AND(P69="Y",C69=""),"Marked posted to Xero but has no invoice number",IF(AND(L69&lt;&gt;"",K69=""),"No tax code",IF(AND(L69&lt;&gt;"",O69=""),"No revenue GL code",""))))))))</f>
        <v/>
      </c>
      <c r="W69" s="25">
        <f>IF(E69="","",IFERROR(INDEX(lst_JobName,MATCH(E69&amp;"",lst_Jobs,0)),""))</f>
        <v/>
      </c>
      <c r="X69" s="28">
        <f>IF(E69="","",COUNTIFS(tbl_Finance[Job Number],E69&amp;"",tbl_Finance[Ex GST],"&lt;&gt;"))</f>
        <v/>
      </c>
      <c r="Y69" s="27">
        <f>IF(E69="","",SUMIFS(tbl_Finance[Ex GST],tbl_Finance[Job Number],E69&amp;""))</f>
        <v/>
      </c>
      <c r="Z69" s="27">
        <f>IF(E69="","",SUMIFS(tbl_Finance[Ex GST],tbl_Finance[Job Number],E69&amp;"",tbl_Finance[Xero Invoice No],"&lt;&gt;"))</f>
        <v/>
      </c>
      <c r="AA69" s="27">
        <f>IF(E69="","",Y69-Z69)</f>
        <v/>
      </c>
      <c r="AB69" s="25">
        <f>IF(E69="","",IF(H69="Onsite",IFERROR(INDEX(tbl_Onsite[Qwilr Quote],MATCH(E69&amp;"",tbl_Onsite[Job Number],0)),""),IF(H69="Production",IFERROR(INDEX(tbl_Production[Current RMS No],MATCH(E69&amp;"",tbl_Production[Job Number],0)),""),IF(H69="Consulting",IFERROR(INDEX(tbl_Consulting[Qwilr Quote],MATCH(E69&amp;"",tbl_Consulting[Job Number],0)),""),""))))</f>
        <v/>
      </c>
      <c r="AC69" s="25">
        <f>IF(AB69="","",IF(AND(LEFT(AB69,4)&lt;&gt;"http",IF(H69="Production",set_RMSBase,set_QwilrBase)=""),"",HYPERLINK(IF(LEFT(AB69,4)="http",AB69,IF(H69="Production",set_RMSBase,set_QwilrBase)&amp;AB69),"Open")))</f>
        <v/>
      </c>
      <c r="AD69" s="27">
        <f>IF(E69="","",IF(H69="Production",IFERROR(INDEX(tbl_Production[Total Expense],MATCH(E69&amp;"",tbl_Production[Job Number],0)),0),IF(H69="Consulting",IFERROR(INDEX(tbl_Consulting[Total Expense],MATCH(E69&amp;"",tbl_Consulting[Job Number],0)),0),0)))</f>
        <v/>
      </c>
      <c r="AE69" s="27">
        <f>IF(E69="","",Y69-N(AD69))</f>
        <v/>
      </c>
      <c r="AF69" s="29">
        <f>IFERROR(AE69/Y69,"")</f>
        <v/>
      </c>
      <c r="AG69" s="25">
        <f>IF(E69="","",IF(H69="Onsite",IFERROR(INDEX(tbl_Onsite[Notes],MATCH(E69&amp;"",tbl_Onsite[Job Number],0)),""),IF(H69="Production",IFERROR(INDEX(tbl_Production[Notes],MATCH(E69&amp;"",tbl_Production[Job Number],0)),""),IF(H69="Consulting",IFERROR(INDEX(tbl_Consulting[Notes],MATCH(E69&amp;"",tbl_Consulting[Job Number],0)),""),""))))</f>
        <v/>
      </c>
    </row>
    <row r="70" ht="15" customHeight="1">
      <c r="A70" s="22" t="n">
        <v>46234</v>
      </c>
      <c r="B70" s="23">
        <f>IF(A70="","",EOMONTH(A70,0))</f>
        <v/>
      </c>
      <c r="C70" s="24" t="inlineStr">
        <is>
          <t>INV-10540</t>
        </is>
      </c>
      <c r="D70" s="24" t="inlineStr">
        <is>
          <t>Arup</t>
        </is>
      </c>
      <c r="E70" s="24" t="inlineStr">
        <is>
          <t>2605403</t>
        </is>
      </c>
      <c r="F70" s="25">
        <f>IF(E70="","",IF(COUNTIF(lst_Jobs,E70&amp;"")&gt;0,"OK","CHECK"))</f>
        <v/>
      </c>
      <c r="G70" s="24" t="inlineStr">
        <is>
          <t>Oves Awards Night 23.7.26</t>
        </is>
      </c>
      <c r="H70" s="24" t="inlineStr">
        <is>
          <t>Production</t>
        </is>
      </c>
      <c r="I70" s="24" t="inlineStr">
        <is>
          <t>PRODUCTION</t>
        </is>
      </c>
      <c r="J70" s="24" t="inlineStr">
        <is>
          <t>Project</t>
        </is>
      </c>
      <c r="K70" s="24" t="inlineStr">
        <is>
          <t>GST 10%</t>
        </is>
      </c>
      <c r="L70" s="26" t="n">
        <v>5460</v>
      </c>
      <c r="M70" s="27">
        <f>IF(L70="","",IF(K70="GST 10%",ROUND(L70*set_GSTRate,2),0))</f>
        <v/>
      </c>
      <c r="N70" s="27">
        <f>IF(L70="","",L70+M70)</f>
        <v/>
      </c>
      <c r="O70" s="24" t="inlineStr">
        <is>
          <t>42100</t>
        </is>
      </c>
      <c r="P70" s="24" t="inlineStr">
        <is>
          <t>Y</t>
        </is>
      </c>
      <c r="Q70" s="24" t="inlineStr">
        <is>
          <t>N</t>
        </is>
      </c>
      <c r="R70" s="22" t="n"/>
      <c r="S70" s="22" t="n"/>
      <c r="T70" s="24" t="inlineStr">
        <is>
          <t>Invoiced</t>
        </is>
      </c>
      <c r="U70" s="24" t="inlineStr">
        <is>
          <t>Production portion of this invoice</t>
        </is>
      </c>
      <c r="V70" s="25">
        <f>IF(COUNTA(A70,D70,C70,L70)=0,"",IF(A70="","No date - sits outside every month",IF(E70="","No job number",IF(F70="CHECK","Job number is not in the Xero job list",IF(I70="","No cost centre",IF(AND(P70="Y",C70=""),"Marked posted to Xero but has no invoice number",IF(AND(L70&lt;&gt;"",K70=""),"No tax code",IF(AND(L70&lt;&gt;"",O70=""),"No revenue GL code",""))))))))</f>
        <v/>
      </c>
      <c r="W70" s="25">
        <f>IF(E70="","",IFERROR(INDEX(lst_JobName,MATCH(E70&amp;"",lst_Jobs,0)),""))</f>
        <v/>
      </c>
      <c r="X70" s="28">
        <f>IF(E70="","",COUNTIFS(tbl_Finance[Job Number],E70&amp;"",tbl_Finance[Ex GST],"&lt;&gt;"))</f>
        <v/>
      </c>
      <c r="Y70" s="27">
        <f>IF(E70="","",SUMIFS(tbl_Finance[Ex GST],tbl_Finance[Job Number],E70&amp;""))</f>
        <v/>
      </c>
      <c r="Z70" s="27">
        <f>IF(E70="","",SUMIFS(tbl_Finance[Ex GST],tbl_Finance[Job Number],E70&amp;"",tbl_Finance[Xero Invoice No],"&lt;&gt;"))</f>
        <v/>
      </c>
      <c r="AA70" s="27">
        <f>IF(E70="","",Y70-Z70)</f>
        <v/>
      </c>
      <c r="AB70" s="25">
        <f>IF(E70="","",IF(H70="Onsite",IFERROR(INDEX(tbl_Onsite[Qwilr Quote],MATCH(E70&amp;"",tbl_Onsite[Job Number],0)),""),IF(H70="Production",IFERROR(INDEX(tbl_Production[Current RMS No],MATCH(E70&amp;"",tbl_Production[Job Number],0)),""),IF(H70="Consulting",IFERROR(INDEX(tbl_Consulting[Qwilr Quote],MATCH(E70&amp;"",tbl_Consulting[Job Number],0)),""),""))))</f>
        <v/>
      </c>
      <c r="AC70" s="25">
        <f>IF(AB70="","",IF(AND(LEFT(AB70,4)&lt;&gt;"http",IF(H70="Production",set_RMSBase,set_QwilrBase)=""),"",HYPERLINK(IF(LEFT(AB70,4)="http",AB70,IF(H70="Production",set_RMSBase,set_QwilrBase)&amp;AB70),"Open")))</f>
        <v/>
      </c>
      <c r="AD70" s="27">
        <f>IF(E70="","",IF(H70="Production",IFERROR(INDEX(tbl_Production[Total Expense],MATCH(E70&amp;"",tbl_Production[Job Number],0)),0),IF(H70="Consulting",IFERROR(INDEX(tbl_Consulting[Total Expense],MATCH(E70&amp;"",tbl_Consulting[Job Number],0)),0),0)))</f>
        <v/>
      </c>
      <c r="AE70" s="27">
        <f>IF(E70="","",Y70-N(AD70))</f>
        <v/>
      </c>
      <c r="AF70" s="29">
        <f>IFERROR(AE70/Y70,"")</f>
        <v/>
      </c>
      <c r="AG70" s="25">
        <f>IF(E70="","",IF(H70="Onsite",IFERROR(INDEX(tbl_Onsite[Notes],MATCH(E70&amp;"",tbl_Onsite[Job Number],0)),""),IF(H70="Production",IFERROR(INDEX(tbl_Production[Notes],MATCH(E70&amp;"",tbl_Production[Job Number],0)),""),IF(H70="Consulting",IFERROR(INDEX(tbl_Consulting[Notes],MATCH(E70&amp;"",tbl_Consulting[Job Number],0)),""),""))))</f>
        <v/>
      </c>
    </row>
    <row r="71" ht="15" customHeight="1">
      <c r="A71" s="22" t="n">
        <v>46234</v>
      </c>
      <c r="B71" s="23">
        <f>IF(A71="","",EOMONTH(A71,0))</f>
        <v/>
      </c>
      <c r="C71" s="24" t="inlineStr">
        <is>
          <t>INV-10540</t>
        </is>
      </c>
      <c r="D71" s="24" t="inlineStr">
        <is>
          <t>Arup</t>
        </is>
      </c>
      <c r="E71" s="24" t="inlineStr">
        <is>
          <t>2605403</t>
        </is>
      </c>
      <c r="F71" s="25">
        <f>IF(E71="","",IF(COUNTIF(lst_Jobs,E71&amp;"")&gt;0,"OK","CHECK"))</f>
        <v/>
      </c>
      <c r="G71" s="24" t="inlineStr">
        <is>
          <t>Oves Awards Night 23.7.26</t>
        </is>
      </c>
      <c r="H71" s="24" t="inlineStr">
        <is>
          <t>Production</t>
        </is>
      </c>
      <c r="I71" s="24" t="inlineStr">
        <is>
          <t>VIDEO</t>
        </is>
      </c>
      <c r="J71" s="24" t="inlineStr">
        <is>
          <t>Project</t>
        </is>
      </c>
      <c r="K71" s="24" t="inlineStr">
        <is>
          <t>GST 10%</t>
        </is>
      </c>
      <c r="L71" s="26" t="n">
        <v>176</v>
      </c>
      <c r="M71" s="27">
        <f>IF(L71="","",IF(K71="GST 10%",ROUND(L71*set_GSTRate,2),0))</f>
        <v/>
      </c>
      <c r="N71" s="27">
        <f>IF(L71="","",L71+M71)</f>
        <v/>
      </c>
      <c r="O71" s="24" t="inlineStr">
        <is>
          <t>42150</t>
        </is>
      </c>
      <c r="P71" s="24" t="inlineStr">
        <is>
          <t>Y</t>
        </is>
      </c>
      <c r="Q71" s="24" t="inlineStr">
        <is>
          <t>N</t>
        </is>
      </c>
      <c r="R71" s="22" t="n"/>
      <c r="S71" s="22" t="n"/>
      <c r="T71" s="24" t="inlineStr">
        <is>
          <t>Invoiced</t>
        </is>
      </c>
      <c r="U71" s="24" t="inlineStr">
        <is>
          <t>Video portion of this invoice</t>
        </is>
      </c>
      <c r="V71" s="25">
        <f>IF(COUNTA(A71,D71,C71,L71)=0,"",IF(A71="","No date - sits outside every month",IF(E71="","No job number",IF(F71="CHECK","Job number is not in the Xero job list",IF(I71="","No cost centre",IF(AND(P71="Y",C71=""),"Marked posted to Xero but has no invoice number",IF(AND(L71&lt;&gt;"",K71=""),"No tax code",IF(AND(L71&lt;&gt;"",O71=""),"No revenue GL code",""))))))))</f>
        <v/>
      </c>
      <c r="W71" s="25">
        <f>IF(E71="","",IFERROR(INDEX(lst_JobName,MATCH(E71&amp;"",lst_Jobs,0)),""))</f>
        <v/>
      </c>
      <c r="X71" s="28">
        <f>IF(E71="","",COUNTIFS(tbl_Finance[Job Number],E71&amp;"",tbl_Finance[Ex GST],"&lt;&gt;"))</f>
        <v/>
      </c>
      <c r="Y71" s="27">
        <f>IF(E71="","",SUMIFS(tbl_Finance[Ex GST],tbl_Finance[Job Number],E71&amp;""))</f>
        <v/>
      </c>
      <c r="Z71" s="27">
        <f>IF(E71="","",SUMIFS(tbl_Finance[Ex GST],tbl_Finance[Job Number],E71&amp;"",tbl_Finance[Xero Invoice No],"&lt;&gt;"))</f>
        <v/>
      </c>
      <c r="AA71" s="27">
        <f>IF(E71="","",Y71-Z71)</f>
        <v/>
      </c>
      <c r="AB71" s="25">
        <f>IF(E71="","",IF(H71="Onsite",IFERROR(INDEX(tbl_Onsite[Qwilr Quote],MATCH(E71&amp;"",tbl_Onsite[Job Number],0)),""),IF(H71="Production",IFERROR(INDEX(tbl_Production[Current RMS No],MATCH(E71&amp;"",tbl_Production[Job Number],0)),""),IF(H71="Consulting",IFERROR(INDEX(tbl_Consulting[Qwilr Quote],MATCH(E71&amp;"",tbl_Consulting[Job Number],0)),""),""))))</f>
        <v/>
      </c>
      <c r="AC71" s="25">
        <f>IF(AB71="","",IF(AND(LEFT(AB71,4)&lt;&gt;"http",IF(H71="Production",set_RMSBase,set_QwilrBase)=""),"",HYPERLINK(IF(LEFT(AB71,4)="http",AB71,IF(H71="Production",set_RMSBase,set_QwilrBase)&amp;AB71),"Open")))</f>
        <v/>
      </c>
      <c r="AD71" s="27">
        <f>IF(E71="","",IF(H71="Production",IFERROR(INDEX(tbl_Production[Total Expense],MATCH(E71&amp;"",tbl_Production[Job Number],0)),0),IF(H71="Consulting",IFERROR(INDEX(tbl_Consulting[Total Expense],MATCH(E71&amp;"",tbl_Consulting[Job Number],0)),0),0)))</f>
        <v/>
      </c>
      <c r="AE71" s="27">
        <f>IF(E71="","",Y71-N(AD71))</f>
        <v/>
      </c>
      <c r="AF71" s="29">
        <f>IFERROR(AE71/Y71,"")</f>
        <v/>
      </c>
      <c r="AG71" s="25">
        <f>IF(E71="","",IF(H71="Onsite",IFERROR(INDEX(tbl_Onsite[Notes],MATCH(E71&amp;"",tbl_Onsite[Job Number],0)),""),IF(H71="Production",IFERROR(INDEX(tbl_Production[Notes],MATCH(E71&amp;"",tbl_Production[Job Number],0)),""),IF(H71="Consulting",IFERROR(INDEX(tbl_Consulting[Notes],MATCH(E71&amp;"",tbl_Consulting[Job Number],0)),""),""))))</f>
        <v/>
      </c>
    </row>
    <row r="72" ht="15" customHeight="1">
      <c r="A72" s="22" t="n">
        <v>46234</v>
      </c>
      <c r="B72" s="23">
        <f>IF(A72="","",EOMONTH(A72,0))</f>
        <v/>
      </c>
      <c r="C72" s="24" t="inlineStr">
        <is>
          <t>INV-10552</t>
        </is>
      </c>
      <c r="D72" s="24" t="inlineStr">
        <is>
          <t>On24</t>
        </is>
      </c>
      <c r="E72" s="24" t="inlineStr">
        <is>
          <t>2607901</t>
        </is>
      </c>
      <c r="F72" s="25">
        <f>IF(E72="","",IF(COUNTIF(lst_Jobs,E72&amp;"")&gt;0,"OK","CHECK"))</f>
        <v/>
      </c>
      <c r="G72" s="24" t="inlineStr">
        <is>
          <t>KWM Event 23.7.26 (PO #25962)</t>
        </is>
      </c>
      <c r="H72" s="24" t="inlineStr">
        <is>
          <t>Production</t>
        </is>
      </c>
      <c r="I72" s="24" t="inlineStr">
        <is>
          <t>PRODUCTION</t>
        </is>
      </c>
      <c r="J72" s="24" t="inlineStr">
        <is>
          <t>Project</t>
        </is>
      </c>
      <c r="K72" s="24" t="inlineStr">
        <is>
          <t>GST 10%</t>
        </is>
      </c>
      <c r="L72" s="26" t="n">
        <v>2575</v>
      </c>
      <c r="M72" s="27">
        <f>IF(L72="","",IF(K72="GST 10%",ROUND(L72*set_GSTRate,2),0))</f>
        <v/>
      </c>
      <c r="N72" s="27">
        <f>IF(L72="","",L72+M72)</f>
        <v/>
      </c>
      <c r="O72" s="24" t="inlineStr">
        <is>
          <t>42100</t>
        </is>
      </c>
      <c r="P72" s="24" t="inlineStr">
        <is>
          <t>Y</t>
        </is>
      </c>
      <c r="Q72" s="24" t="inlineStr">
        <is>
          <t>N</t>
        </is>
      </c>
      <c r="R72" s="22" t="n"/>
      <c r="S72" s="22" t="n"/>
      <c r="T72" s="24" t="inlineStr">
        <is>
          <t>Invoiced</t>
        </is>
      </c>
      <c r="U72" s="24" t="n"/>
      <c r="V72" s="25">
        <f>IF(COUNTA(A72,D72,C72,L72)=0,"",IF(A72="","No date - sits outside every month",IF(E72="","No job number",IF(F72="CHECK","Job number is not in the Xero job list",IF(I72="","No cost centre",IF(AND(P72="Y",C72=""),"Marked posted to Xero but has no invoice number",IF(AND(L72&lt;&gt;"",K72=""),"No tax code",IF(AND(L72&lt;&gt;"",O72=""),"No revenue GL code",""))))))))</f>
        <v/>
      </c>
      <c r="W72" s="25">
        <f>IF(E72="","",IFERROR(INDEX(lst_JobName,MATCH(E72&amp;"",lst_Jobs,0)),""))</f>
        <v/>
      </c>
      <c r="X72" s="28">
        <f>IF(E72="","",COUNTIFS(tbl_Finance[Job Number],E72&amp;"",tbl_Finance[Ex GST],"&lt;&gt;"))</f>
        <v/>
      </c>
      <c r="Y72" s="27">
        <f>IF(E72="","",SUMIFS(tbl_Finance[Ex GST],tbl_Finance[Job Number],E72&amp;""))</f>
        <v/>
      </c>
      <c r="Z72" s="27">
        <f>IF(E72="","",SUMIFS(tbl_Finance[Ex GST],tbl_Finance[Job Number],E72&amp;"",tbl_Finance[Xero Invoice No],"&lt;&gt;"))</f>
        <v/>
      </c>
      <c r="AA72" s="27">
        <f>IF(E72="","",Y72-Z72)</f>
        <v/>
      </c>
      <c r="AB72" s="25">
        <f>IF(E72="","",IF(H72="Onsite",IFERROR(INDEX(tbl_Onsite[Qwilr Quote],MATCH(E72&amp;"",tbl_Onsite[Job Number],0)),""),IF(H72="Production",IFERROR(INDEX(tbl_Production[Current RMS No],MATCH(E72&amp;"",tbl_Production[Job Number],0)),""),IF(H72="Consulting",IFERROR(INDEX(tbl_Consulting[Qwilr Quote],MATCH(E72&amp;"",tbl_Consulting[Job Number],0)),""),""))))</f>
        <v/>
      </c>
      <c r="AC72" s="25">
        <f>IF(AB72="","",IF(AND(LEFT(AB72,4)&lt;&gt;"http",IF(H72="Production",set_RMSBase,set_QwilrBase)=""),"",HYPERLINK(IF(LEFT(AB72,4)="http",AB72,IF(H72="Production",set_RMSBase,set_QwilrBase)&amp;AB72),"Open")))</f>
        <v/>
      </c>
      <c r="AD72" s="27">
        <f>IF(E72="","",IF(H72="Production",IFERROR(INDEX(tbl_Production[Total Expense],MATCH(E72&amp;"",tbl_Production[Job Number],0)),0),IF(H72="Consulting",IFERROR(INDEX(tbl_Consulting[Total Expense],MATCH(E72&amp;"",tbl_Consulting[Job Number],0)),0),0)))</f>
        <v/>
      </c>
      <c r="AE72" s="27">
        <f>IF(E72="","",Y72-N(AD72))</f>
        <v/>
      </c>
      <c r="AF72" s="29">
        <f>IFERROR(AE72/Y72,"")</f>
        <v/>
      </c>
      <c r="AG72" s="25">
        <f>IF(E72="","",IF(H72="Onsite",IFERROR(INDEX(tbl_Onsite[Notes],MATCH(E72&amp;"",tbl_Onsite[Job Number],0)),""),IF(H72="Production",IFERROR(INDEX(tbl_Production[Notes],MATCH(E72&amp;"",tbl_Production[Job Number],0)),""),IF(H72="Consulting",IFERROR(INDEX(tbl_Consulting[Notes],MATCH(E72&amp;"",tbl_Consulting[Job Number],0)),""),""))))</f>
        <v/>
      </c>
    </row>
    <row r="73" ht="15" customHeight="1">
      <c r="A73" s="22" t="n">
        <v>46223</v>
      </c>
      <c r="B73" s="23">
        <f>IF(A73="","",EOMONTH(A73,0))</f>
        <v/>
      </c>
      <c r="C73" s="24" t="inlineStr">
        <is>
          <t>INV-10533</t>
        </is>
      </c>
      <c r="D73" s="24" t="inlineStr">
        <is>
          <t>Skykick Ranger</t>
        </is>
      </c>
      <c r="E73" s="24" t="inlineStr">
        <is>
          <t>26063001</t>
        </is>
      </c>
      <c r="F73" s="25">
        <f>IF(E73="","",IF(COUNTIF(lst_Jobs,E73&amp;"")&gt;0,"OK","CHECK"))</f>
        <v/>
      </c>
      <c r="G73" s="24" t="inlineStr">
        <is>
          <t>Sydney Performance Dry Hire 26.7.26</t>
        </is>
      </c>
      <c r="H73" s="24" t="inlineStr">
        <is>
          <t>Production</t>
        </is>
      </c>
      <c r="I73" s="24" t="inlineStr">
        <is>
          <t>PRODUCTION</t>
        </is>
      </c>
      <c r="J73" s="24" t="inlineStr">
        <is>
          <t>Project</t>
        </is>
      </c>
      <c r="K73" s="24" t="inlineStr">
        <is>
          <t>GST 10%</t>
        </is>
      </c>
      <c r="L73" s="26" t="n">
        <v>975</v>
      </c>
      <c r="M73" s="27">
        <f>IF(L73="","",IF(K73="GST 10%",ROUND(L73*set_GSTRate,2),0))</f>
        <v/>
      </c>
      <c r="N73" s="27">
        <f>IF(L73="","",L73+M73)</f>
        <v/>
      </c>
      <c r="O73" s="24" t="inlineStr">
        <is>
          <t>42100</t>
        </is>
      </c>
      <c r="P73" s="24" t="inlineStr">
        <is>
          <t>Y</t>
        </is>
      </c>
      <c r="Q73" s="24" t="inlineStr">
        <is>
          <t>N</t>
        </is>
      </c>
      <c r="R73" s="22" t="n"/>
      <c r="S73" s="22" t="n"/>
      <c r="T73" s="24" t="inlineStr">
        <is>
          <t>Invoiced</t>
        </is>
      </c>
      <c r="U73" s="24" t="n"/>
      <c r="V73" s="25">
        <f>IF(COUNTA(A73,D73,C73,L73)=0,"",IF(A73="","No date - sits outside every month",IF(E73="","No job number",IF(F73="CHECK","Job number is not in the Xero job list",IF(I73="","No cost centre",IF(AND(P73="Y",C73=""),"Marked posted to Xero but has no invoice number",IF(AND(L73&lt;&gt;"",K73=""),"No tax code",IF(AND(L73&lt;&gt;"",O73=""),"No revenue GL code",""))))))))</f>
        <v/>
      </c>
      <c r="W73" s="25">
        <f>IF(E73="","",IFERROR(INDEX(lst_JobName,MATCH(E73&amp;"",lst_Jobs,0)),""))</f>
        <v/>
      </c>
      <c r="X73" s="28">
        <f>IF(E73="","",COUNTIFS(tbl_Finance[Job Number],E73&amp;"",tbl_Finance[Ex GST],"&lt;&gt;"))</f>
        <v/>
      </c>
      <c r="Y73" s="27">
        <f>IF(E73="","",SUMIFS(tbl_Finance[Ex GST],tbl_Finance[Job Number],E73&amp;""))</f>
        <v/>
      </c>
      <c r="Z73" s="27">
        <f>IF(E73="","",SUMIFS(tbl_Finance[Ex GST],tbl_Finance[Job Number],E73&amp;"",tbl_Finance[Xero Invoice No],"&lt;&gt;"))</f>
        <v/>
      </c>
      <c r="AA73" s="27">
        <f>IF(E73="","",Y73-Z73)</f>
        <v/>
      </c>
      <c r="AB73" s="25">
        <f>IF(E73="","",IF(H73="Onsite",IFERROR(INDEX(tbl_Onsite[Qwilr Quote],MATCH(E73&amp;"",tbl_Onsite[Job Number],0)),""),IF(H73="Production",IFERROR(INDEX(tbl_Production[Current RMS No],MATCH(E73&amp;"",tbl_Production[Job Number],0)),""),IF(H73="Consulting",IFERROR(INDEX(tbl_Consulting[Qwilr Quote],MATCH(E73&amp;"",tbl_Consulting[Job Number],0)),""),""))))</f>
        <v/>
      </c>
      <c r="AC73" s="25">
        <f>IF(AB73="","",IF(AND(LEFT(AB73,4)&lt;&gt;"http",IF(H73="Production",set_RMSBase,set_QwilrBase)=""),"",HYPERLINK(IF(LEFT(AB73,4)="http",AB73,IF(H73="Production",set_RMSBase,set_QwilrBase)&amp;AB73),"Open")))</f>
        <v/>
      </c>
      <c r="AD73" s="27">
        <f>IF(E73="","",IF(H73="Production",IFERROR(INDEX(tbl_Production[Total Expense],MATCH(E73&amp;"",tbl_Production[Job Number],0)),0),IF(H73="Consulting",IFERROR(INDEX(tbl_Consulting[Total Expense],MATCH(E73&amp;"",tbl_Consulting[Job Number],0)),0),0)))</f>
        <v/>
      </c>
      <c r="AE73" s="27">
        <f>IF(E73="","",Y73-N(AD73))</f>
        <v/>
      </c>
      <c r="AF73" s="29">
        <f>IFERROR(AE73/Y73,"")</f>
        <v/>
      </c>
      <c r="AG73" s="25">
        <f>IF(E73="","",IF(H73="Onsite",IFERROR(INDEX(tbl_Onsite[Notes],MATCH(E73&amp;"",tbl_Onsite[Job Number],0)),""),IF(H73="Production",IFERROR(INDEX(tbl_Production[Notes],MATCH(E73&amp;"",tbl_Production[Job Number],0)),""),IF(H73="Consulting",IFERROR(INDEX(tbl_Consulting[Notes],MATCH(E73&amp;"",tbl_Consulting[Job Number],0)),""),""))))</f>
        <v/>
      </c>
    </row>
    <row r="74" ht="15" customHeight="1">
      <c r="A74" s="22" t="n">
        <v>46234</v>
      </c>
      <c r="B74" s="23">
        <f>IF(A74="","",EOMONTH(A74,0))</f>
        <v/>
      </c>
      <c r="C74" s="24" t="inlineStr">
        <is>
          <t>INV-10557</t>
        </is>
      </c>
      <c r="D74" s="24" t="inlineStr">
        <is>
          <t>Ventia</t>
        </is>
      </c>
      <c r="E74" s="24" t="inlineStr">
        <is>
          <t>2604202</t>
        </is>
      </c>
      <c r="F74" s="25">
        <f>IF(E74="","",IF(COUNTIF(lst_Jobs,E74&amp;"")&gt;0,"OK","CHECK"))</f>
        <v/>
      </c>
      <c r="G74" s="24" t="inlineStr">
        <is>
          <t>Ventia Awards 28 &amp; 30.7.26 (PO 4701355678)</t>
        </is>
      </c>
      <c r="H74" s="24" t="inlineStr">
        <is>
          <t>Production</t>
        </is>
      </c>
      <c r="I74" s="24" t="inlineStr">
        <is>
          <t>PRODUCTION</t>
        </is>
      </c>
      <c r="J74" s="24" t="inlineStr">
        <is>
          <t>Project</t>
        </is>
      </c>
      <c r="K74" s="24" t="inlineStr">
        <is>
          <t>GST 10%</t>
        </is>
      </c>
      <c r="L74" s="26" t="n">
        <v>52749.78</v>
      </c>
      <c r="M74" s="27">
        <f>IF(L74="","",IF(K74="GST 10%",ROUND(L74*set_GSTRate,2),0))</f>
        <v/>
      </c>
      <c r="N74" s="27">
        <f>IF(L74="","",L74+M74)</f>
        <v/>
      </c>
      <c r="O74" s="24" t="inlineStr">
        <is>
          <t>42100</t>
        </is>
      </c>
      <c r="P74" s="24" t="inlineStr">
        <is>
          <t>Y</t>
        </is>
      </c>
      <c r="Q74" s="24" t="inlineStr">
        <is>
          <t>N</t>
        </is>
      </c>
      <c r="R74" s="22" t="n"/>
      <c r="S74" s="22" t="n"/>
      <c r="T74" s="24" t="inlineStr">
        <is>
          <t>Invoiced</t>
        </is>
      </c>
      <c r="U74" s="24" t="n"/>
      <c r="V74" s="25">
        <f>IF(COUNTA(A74,D74,C74,L74)=0,"",IF(A74="","No date - sits outside every month",IF(E74="","No job number",IF(F74="CHECK","Job number is not in the Xero job list",IF(I74="","No cost centre",IF(AND(P74="Y",C74=""),"Marked posted to Xero but has no invoice number",IF(AND(L74&lt;&gt;"",K74=""),"No tax code",IF(AND(L74&lt;&gt;"",O74=""),"No revenue GL code",""))))))))</f>
        <v/>
      </c>
      <c r="W74" s="25">
        <f>IF(E74="","",IFERROR(INDEX(lst_JobName,MATCH(E74&amp;"",lst_Jobs,0)),""))</f>
        <v/>
      </c>
      <c r="X74" s="28">
        <f>IF(E74="","",COUNTIFS(tbl_Finance[Job Number],E74&amp;"",tbl_Finance[Ex GST],"&lt;&gt;"))</f>
        <v/>
      </c>
      <c r="Y74" s="27">
        <f>IF(E74="","",SUMIFS(tbl_Finance[Ex GST],tbl_Finance[Job Number],E74&amp;""))</f>
        <v/>
      </c>
      <c r="Z74" s="27">
        <f>IF(E74="","",SUMIFS(tbl_Finance[Ex GST],tbl_Finance[Job Number],E74&amp;"",tbl_Finance[Xero Invoice No],"&lt;&gt;"))</f>
        <v/>
      </c>
      <c r="AA74" s="27">
        <f>IF(E74="","",Y74-Z74)</f>
        <v/>
      </c>
      <c r="AB74" s="25">
        <f>IF(E74="","",IF(H74="Onsite",IFERROR(INDEX(tbl_Onsite[Qwilr Quote],MATCH(E74&amp;"",tbl_Onsite[Job Number],0)),""),IF(H74="Production",IFERROR(INDEX(tbl_Production[Current RMS No],MATCH(E74&amp;"",tbl_Production[Job Number],0)),""),IF(H74="Consulting",IFERROR(INDEX(tbl_Consulting[Qwilr Quote],MATCH(E74&amp;"",tbl_Consulting[Job Number],0)),""),""))))</f>
        <v/>
      </c>
      <c r="AC74" s="25">
        <f>IF(AB74="","",IF(AND(LEFT(AB74,4)&lt;&gt;"http",IF(H74="Production",set_RMSBase,set_QwilrBase)=""),"",HYPERLINK(IF(LEFT(AB74,4)="http",AB74,IF(H74="Production",set_RMSBase,set_QwilrBase)&amp;AB74),"Open")))</f>
        <v/>
      </c>
      <c r="AD74" s="27">
        <f>IF(E74="","",IF(H74="Production",IFERROR(INDEX(tbl_Production[Total Expense],MATCH(E74&amp;"",tbl_Production[Job Number],0)),0),IF(H74="Consulting",IFERROR(INDEX(tbl_Consulting[Total Expense],MATCH(E74&amp;"",tbl_Consulting[Job Number],0)),0),0)))</f>
        <v/>
      </c>
      <c r="AE74" s="27">
        <f>IF(E74="","",Y74-N(AD74))</f>
        <v/>
      </c>
      <c r="AF74" s="29">
        <f>IFERROR(AE74/Y74,"")</f>
        <v/>
      </c>
      <c r="AG74" s="25">
        <f>IF(E74="","",IF(H74="Onsite",IFERROR(INDEX(tbl_Onsite[Notes],MATCH(E74&amp;"",tbl_Onsite[Job Number],0)),""),IF(H74="Production",IFERROR(INDEX(tbl_Production[Notes],MATCH(E74&amp;"",tbl_Production[Job Number],0)),""),IF(H74="Consulting",IFERROR(INDEX(tbl_Consulting[Notes],MATCH(E74&amp;"",tbl_Consulting[Job Number],0)),""),""))))</f>
        <v/>
      </c>
    </row>
    <row r="75" ht="15" customHeight="1">
      <c r="A75" s="22" t="n">
        <v>46234</v>
      </c>
      <c r="B75" s="23">
        <f>IF(A75="","",EOMONTH(A75,0))</f>
        <v/>
      </c>
      <c r="C75" s="24" t="inlineStr">
        <is>
          <t>INV-10555</t>
        </is>
      </c>
      <c r="D75" s="24" t="inlineStr">
        <is>
          <t>PWC</t>
        </is>
      </c>
      <c r="E75" s="24" t="inlineStr">
        <is>
          <t>26062202</t>
        </is>
      </c>
      <c r="F75" s="25">
        <f>IF(E75="","",IF(COUNTIF(lst_Jobs,E75&amp;"")&gt;0,"OK","CHECK"))</f>
        <v/>
      </c>
      <c r="G75" s="24" t="inlineStr">
        <is>
          <t>Early Careers Webcast 29.7.26</t>
        </is>
      </c>
      <c r="H75" s="24" t="inlineStr">
        <is>
          <t>Production</t>
        </is>
      </c>
      <c r="I75" s="24" t="inlineStr">
        <is>
          <t>PRODUCTION</t>
        </is>
      </c>
      <c r="J75" s="24" t="inlineStr">
        <is>
          <t>Project</t>
        </is>
      </c>
      <c r="K75" s="24" t="inlineStr">
        <is>
          <t>GST 10%</t>
        </is>
      </c>
      <c r="L75" s="26" t="n">
        <v>1925</v>
      </c>
      <c r="M75" s="27">
        <f>IF(L75="","",IF(K75="GST 10%",ROUND(L75*set_GSTRate,2),0))</f>
        <v/>
      </c>
      <c r="N75" s="27">
        <f>IF(L75="","",L75+M75)</f>
        <v/>
      </c>
      <c r="O75" s="24" t="inlineStr">
        <is>
          <t>42100</t>
        </is>
      </c>
      <c r="P75" s="24" t="inlineStr">
        <is>
          <t>Y</t>
        </is>
      </c>
      <c r="Q75" s="24" t="inlineStr">
        <is>
          <t>N</t>
        </is>
      </c>
      <c r="R75" s="22" t="n"/>
      <c r="S75" s="22" t="n"/>
      <c r="T75" s="24" t="inlineStr">
        <is>
          <t>Invoiced</t>
        </is>
      </c>
      <c r="U75" s="24" t="n"/>
      <c r="V75" s="25">
        <f>IF(COUNTA(A75,D75,C75,L75)=0,"",IF(A75="","No date - sits outside every month",IF(E75="","No job number",IF(F75="CHECK","Job number is not in the Xero job list",IF(I75="","No cost centre",IF(AND(P75="Y",C75=""),"Marked posted to Xero but has no invoice number",IF(AND(L75&lt;&gt;"",K75=""),"No tax code",IF(AND(L75&lt;&gt;"",O75=""),"No revenue GL code",""))))))))</f>
        <v/>
      </c>
      <c r="W75" s="25">
        <f>IF(E75="","",IFERROR(INDEX(lst_JobName,MATCH(E75&amp;"",lst_Jobs,0)),""))</f>
        <v/>
      </c>
      <c r="X75" s="28">
        <f>IF(E75="","",COUNTIFS(tbl_Finance[Job Number],E75&amp;"",tbl_Finance[Ex GST],"&lt;&gt;"))</f>
        <v/>
      </c>
      <c r="Y75" s="27">
        <f>IF(E75="","",SUMIFS(tbl_Finance[Ex GST],tbl_Finance[Job Number],E75&amp;""))</f>
        <v/>
      </c>
      <c r="Z75" s="27">
        <f>IF(E75="","",SUMIFS(tbl_Finance[Ex GST],tbl_Finance[Job Number],E75&amp;"",tbl_Finance[Xero Invoice No],"&lt;&gt;"))</f>
        <v/>
      </c>
      <c r="AA75" s="27">
        <f>IF(E75="","",Y75-Z75)</f>
        <v/>
      </c>
      <c r="AB75" s="25">
        <f>IF(E75="","",IF(H75="Onsite",IFERROR(INDEX(tbl_Onsite[Qwilr Quote],MATCH(E75&amp;"",tbl_Onsite[Job Number],0)),""),IF(H75="Production",IFERROR(INDEX(tbl_Production[Current RMS No],MATCH(E75&amp;"",tbl_Production[Job Number],0)),""),IF(H75="Consulting",IFERROR(INDEX(tbl_Consulting[Qwilr Quote],MATCH(E75&amp;"",tbl_Consulting[Job Number],0)),""),""))))</f>
        <v/>
      </c>
      <c r="AC75" s="25">
        <f>IF(AB75="","",IF(AND(LEFT(AB75,4)&lt;&gt;"http",IF(H75="Production",set_RMSBase,set_QwilrBase)=""),"",HYPERLINK(IF(LEFT(AB75,4)="http",AB75,IF(H75="Production",set_RMSBase,set_QwilrBase)&amp;AB75),"Open")))</f>
        <v/>
      </c>
      <c r="AD75" s="27">
        <f>IF(E75="","",IF(H75="Production",IFERROR(INDEX(tbl_Production[Total Expense],MATCH(E75&amp;"",tbl_Production[Job Number],0)),0),IF(H75="Consulting",IFERROR(INDEX(tbl_Consulting[Total Expense],MATCH(E75&amp;"",tbl_Consulting[Job Number],0)),0),0)))</f>
        <v/>
      </c>
      <c r="AE75" s="27">
        <f>IF(E75="","",Y75-N(AD75))</f>
        <v/>
      </c>
      <c r="AF75" s="29">
        <f>IFERROR(AE75/Y75,"")</f>
        <v/>
      </c>
      <c r="AG75" s="25">
        <f>IF(E75="","",IF(H75="Onsite",IFERROR(INDEX(tbl_Onsite[Notes],MATCH(E75&amp;"",tbl_Onsite[Job Number],0)),""),IF(H75="Production",IFERROR(INDEX(tbl_Production[Notes],MATCH(E75&amp;"",tbl_Production[Job Number],0)),""),IF(H75="Consulting",IFERROR(INDEX(tbl_Consulting[Notes],MATCH(E75&amp;"",tbl_Consulting[Job Number],0)),""),""))))</f>
        <v/>
      </c>
    </row>
    <row r="76" ht="15" customHeight="1">
      <c r="A76" s="22" t="n">
        <v>46234</v>
      </c>
      <c r="B76" s="23">
        <f>IF(A76="","",EOMONTH(A76,0))</f>
        <v/>
      </c>
      <c r="C76" s="24" t="inlineStr">
        <is>
          <t>INV-10558</t>
        </is>
      </c>
      <c r="D76" s="24" t="inlineStr">
        <is>
          <t>Ventia (Melbourne)</t>
        </is>
      </c>
      <c r="E76" s="24" t="inlineStr">
        <is>
          <t>26071303</t>
        </is>
      </c>
      <c r="F76" s="25">
        <f>IF(E76="","",IF(COUNTIF(lst_Jobs,E76&amp;"")&gt;0,"OK","CHECK"))</f>
        <v/>
      </c>
      <c r="G76" s="24" t="inlineStr">
        <is>
          <t>Melbourne Office Event 30&amp;31.7.26</t>
        </is>
      </c>
      <c r="H76" s="24" t="inlineStr">
        <is>
          <t>Production</t>
        </is>
      </c>
      <c r="I76" s="24" t="inlineStr">
        <is>
          <t>PRODUCTION</t>
        </is>
      </c>
      <c r="J76" s="24" t="inlineStr">
        <is>
          <t>Project</t>
        </is>
      </c>
      <c r="K76" s="24" t="inlineStr">
        <is>
          <t>GST 10%</t>
        </is>
      </c>
      <c r="L76" s="26" t="n">
        <v>11570</v>
      </c>
      <c r="M76" s="27">
        <f>IF(L76="","",IF(K76="GST 10%",ROUND(L76*set_GSTRate,2),0))</f>
        <v/>
      </c>
      <c r="N76" s="27">
        <f>IF(L76="","",L76+M76)</f>
        <v/>
      </c>
      <c r="O76" s="24" t="inlineStr">
        <is>
          <t>42100</t>
        </is>
      </c>
      <c r="P76" s="24" t="inlineStr">
        <is>
          <t>Y</t>
        </is>
      </c>
      <c r="Q76" s="24" t="inlineStr">
        <is>
          <t>N</t>
        </is>
      </c>
      <c r="R76" s="22" t="n"/>
      <c r="S76" s="22" t="n"/>
      <c r="T76" s="24" t="inlineStr">
        <is>
          <t>Invoiced</t>
        </is>
      </c>
      <c r="U76" s="24" t="n"/>
      <c r="V76" s="25">
        <f>IF(COUNTA(A76,D76,C76,L76)=0,"",IF(A76="","No date - sits outside every month",IF(E76="","No job number",IF(F76="CHECK","Job number is not in the Xero job list",IF(I76="","No cost centre",IF(AND(P76="Y",C76=""),"Marked posted to Xero but has no invoice number",IF(AND(L76&lt;&gt;"",K76=""),"No tax code",IF(AND(L76&lt;&gt;"",O76=""),"No revenue GL code",""))))))))</f>
        <v/>
      </c>
      <c r="W76" s="25">
        <f>IF(E76="","",IFERROR(INDEX(lst_JobName,MATCH(E76&amp;"",lst_Jobs,0)),""))</f>
        <v/>
      </c>
      <c r="X76" s="28">
        <f>IF(E76="","",COUNTIFS(tbl_Finance[Job Number],E76&amp;"",tbl_Finance[Ex GST],"&lt;&gt;"))</f>
        <v/>
      </c>
      <c r="Y76" s="27">
        <f>IF(E76="","",SUMIFS(tbl_Finance[Ex GST],tbl_Finance[Job Number],E76&amp;""))</f>
        <v/>
      </c>
      <c r="Z76" s="27">
        <f>IF(E76="","",SUMIFS(tbl_Finance[Ex GST],tbl_Finance[Job Number],E76&amp;"",tbl_Finance[Xero Invoice No],"&lt;&gt;"))</f>
        <v/>
      </c>
      <c r="AA76" s="27">
        <f>IF(E76="","",Y76-Z76)</f>
        <v/>
      </c>
      <c r="AB76" s="25">
        <f>IF(E76="","",IF(H76="Onsite",IFERROR(INDEX(tbl_Onsite[Qwilr Quote],MATCH(E76&amp;"",tbl_Onsite[Job Number],0)),""),IF(H76="Production",IFERROR(INDEX(tbl_Production[Current RMS No],MATCH(E76&amp;"",tbl_Production[Job Number],0)),""),IF(H76="Consulting",IFERROR(INDEX(tbl_Consulting[Qwilr Quote],MATCH(E76&amp;"",tbl_Consulting[Job Number],0)),""),""))))</f>
        <v/>
      </c>
      <c r="AC76" s="25">
        <f>IF(AB76="","",IF(AND(LEFT(AB76,4)&lt;&gt;"http",IF(H76="Production",set_RMSBase,set_QwilrBase)=""),"",HYPERLINK(IF(LEFT(AB76,4)="http",AB76,IF(H76="Production",set_RMSBase,set_QwilrBase)&amp;AB76),"Open")))</f>
        <v/>
      </c>
      <c r="AD76" s="27">
        <f>IF(E76="","",IF(H76="Production",IFERROR(INDEX(tbl_Production[Total Expense],MATCH(E76&amp;"",tbl_Production[Job Number],0)),0),IF(H76="Consulting",IFERROR(INDEX(tbl_Consulting[Total Expense],MATCH(E76&amp;"",tbl_Consulting[Job Number],0)),0),0)))</f>
        <v/>
      </c>
      <c r="AE76" s="27">
        <f>IF(E76="","",Y76-N(AD76))</f>
        <v/>
      </c>
      <c r="AF76" s="29">
        <f>IFERROR(AE76/Y76,"")</f>
        <v/>
      </c>
      <c r="AG76" s="25">
        <f>IF(E76="","",IF(H76="Onsite",IFERROR(INDEX(tbl_Onsite[Notes],MATCH(E76&amp;"",tbl_Onsite[Job Number],0)),""),IF(H76="Production",IFERROR(INDEX(tbl_Production[Notes],MATCH(E76&amp;"",tbl_Production[Job Number],0)),""),IF(H76="Consulting",IFERROR(INDEX(tbl_Consulting[Notes],MATCH(E76&amp;"",tbl_Consulting[Job Number],0)),""),""))))</f>
        <v/>
      </c>
    </row>
    <row r="77" ht="15" customHeight="1">
      <c r="A77" s="22" t="n">
        <v>46234</v>
      </c>
      <c r="B77" s="23">
        <f>IF(A77="","",EOMONTH(A77,0))</f>
        <v/>
      </c>
      <c r="C77" s="24" t="inlineStr">
        <is>
          <t>INV-10556</t>
        </is>
      </c>
      <c r="D77" s="24" t="inlineStr">
        <is>
          <t>Garvan</t>
        </is>
      </c>
      <c r="E77" s="24" t="inlineStr">
        <is>
          <t>26061702</t>
        </is>
      </c>
      <c r="F77" s="25">
        <f>IF(E77="","",IF(COUNTIF(lst_Jobs,E77&amp;"")&gt;0,"OK","CHECK"))</f>
        <v/>
      </c>
      <c r="G77" s="24" t="inlineStr">
        <is>
          <t>Morning Tea Event 31.7.26 (PO-58817)</t>
        </is>
      </c>
      <c r="H77" s="24" t="inlineStr">
        <is>
          <t>Production</t>
        </is>
      </c>
      <c r="I77" s="24" t="inlineStr">
        <is>
          <t>PRODUCTION</t>
        </is>
      </c>
      <c r="J77" s="24" t="inlineStr">
        <is>
          <t>Project</t>
        </is>
      </c>
      <c r="K77" s="24" t="inlineStr">
        <is>
          <t>GST 10%</t>
        </is>
      </c>
      <c r="L77" s="26" t="n">
        <v>1120</v>
      </c>
      <c r="M77" s="27">
        <f>IF(L77="","",IF(K77="GST 10%",ROUND(L77*set_GSTRate,2),0))</f>
        <v/>
      </c>
      <c r="N77" s="27">
        <f>IF(L77="","",L77+M77)</f>
        <v/>
      </c>
      <c r="O77" s="24" t="inlineStr">
        <is>
          <t>42100</t>
        </is>
      </c>
      <c r="P77" s="24" t="inlineStr">
        <is>
          <t>Y</t>
        </is>
      </c>
      <c r="Q77" s="24" t="inlineStr">
        <is>
          <t>N</t>
        </is>
      </c>
      <c r="R77" s="22" t="n"/>
      <c r="S77" s="22" t="n"/>
      <c r="T77" s="24" t="inlineStr">
        <is>
          <t>Invoiced</t>
        </is>
      </c>
      <c r="U77" s="24" t="n"/>
      <c r="V77" s="25">
        <f>IF(COUNTA(A77,D77,C77,L77)=0,"",IF(A77="","No date - sits outside every month",IF(E77="","No job number",IF(F77="CHECK","Job number is not in the Xero job list",IF(I77="","No cost centre",IF(AND(P77="Y",C77=""),"Marked posted to Xero but has no invoice number",IF(AND(L77&lt;&gt;"",K77=""),"No tax code",IF(AND(L77&lt;&gt;"",O77=""),"No revenue GL code",""))))))))</f>
        <v/>
      </c>
      <c r="W77" s="25">
        <f>IF(E77="","",IFERROR(INDEX(lst_JobName,MATCH(E77&amp;"",lst_Jobs,0)),""))</f>
        <v/>
      </c>
      <c r="X77" s="28">
        <f>IF(E77="","",COUNTIFS(tbl_Finance[Job Number],E77&amp;"",tbl_Finance[Ex GST],"&lt;&gt;"))</f>
        <v/>
      </c>
      <c r="Y77" s="27">
        <f>IF(E77="","",SUMIFS(tbl_Finance[Ex GST],tbl_Finance[Job Number],E77&amp;""))</f>
        <v/>
      </c>
      <c r="Z77" s="27">
        <f>IF(E77="","",SUMIFS(tbl_Finance[Ex GST],tbl_Finance[Job Number],E77&amp;"",tbl_Finance[Xero Invoice No],"&lt;&gt;"))</f>
        <v/>
      </c>
      <c r="AA77" s="27">
        <f>IF(E77="","",Y77-Z77)</f>
        <v/>
      </c>
      <c r="AB77" s="25">
        <f>IF(E77="","",IF(H77="Onsite",IFERROR(INDEX(tbl_Onsite[Qwilr Quote],MATCH(E77&amp;"",tbl_Onsite[Job Number],0)),""),IF(H77="Production",IFERROR(INDEX(tbl_Production[Current RMS No],MATCH(E77&amp;"",tbl_Production[Job Number],0)),""),IF(H77="Consulting",IFERROR(INDEX(tbl_Consulting[Qwilr Quote],MATCH(E77&amp;"",tbl_Consulting[Job Number],0)),""),""))))</f>
        <v/>
      </c>
      <c r="AC77" s="25">
        <f>IF(AB77="","",IF(AND(LEFT(AB77,4)&lt;&gt;"http",IF(H77="Production",set_RMSBase,set_QwilrBase)=""),"",HYPERLINK(IF(LEFT(AB77,4)="http",AB77,IF(H77="Production",set_RMSBase,set_QwilrBase)&amp;AB77),"Open")))</f>
        <v/>
      </c>
      <c r="AD77" s="27">
        <f>IF(E77="","",IF(H77="Production",IFERROR(INDEX(tbl_Production[Total Expense],MATCH(E77&amp;"",tbl_Production[Job Number],0)),0),IF(H77="Consulting",IFERROR(INDEX(tbl_Consulting[Total Expense],MATCH(E77&amp;"",tbl_Consulting[Job Number],0)),0),0)))</f>
        <v/>
      </c>
      <c r="AE77" s="27">
        <f>IF(E77="","",Y77-N(AD77))</f>
        <v/>
      </c>
      <c r="AF77" s="29">
        <f>IFERROR(AE77/Y77,"")</f>
        <v/>
      </c>
      <c r="AG77" s="25">
        <f>IF(E77="","",IF(H77="Onsite",IFERROR(INDEX(tbl_Onsite[Notes],MATCH(E77&amp;"",tbl_Onsite[Job Number],0)),""),IF(H77="Production",IFERROR(INDEX(tbl_Production[Notes],MATCH(E77&amp;"",tbl_Production[Job Number],0)),""),IF(H77="Consulting",IFERROR(INDEX(tbl_Consulting[Notes],MATCH(E77&amp;"",tbl_Consulting[Job Number],0)),""),""))))</f>
        <v/>
      </c>
    </row>
    <row r="78" ht="15" customHeight="1">
      <c r="A78" s="22" t="n">
        <v>46234</v>
      </c>
      <c r="B78" s="23">
        <f>IF(A78="","",EOMONTH(A78,0))</f>
        <v/>
      </c>
      <c r="C78" s="24" t="inlineStr">
        <is>
          <t>INV-10559</t>
        </is>
      </c>
      <c r="D78" s="24" t="inlineStr">
        <is>
          <t>CBA</t>
        </is>
      </c>
      <c r="E78" s="24" t="inlineStr">
        <is>
          <t>26061701</t>
        </is>
      </c>
      <c r="F78" s="25">
        <f>IF(E78="","",IF(COUNTIF(lst_Jobs,E78&amp;"")&gt;0,"OK","CHECK"))</f>
        <v/>
      </c>
      <c r="G78" s="24" t="inlineStr">
        <is>
          <t>CBA LES July 2026</t>
        </is>
      </c>
      <c r="H78" s="24" t="inlineStr">
        <is>
          <t>Production</t>
        </is>
      </c>
      <c r="I78" s="24" t="inlineStr">
        <is>
          <t>PRODUCTION</t>
        </is>
      </c>
      <c r="J78" s="24" t="inlineStr">
        <is>
          <t>Project</t>
        </is>
      </c>
      <c r="K78" s="24" t="inlineStr">
        <is>
          <t>GST 10%</t>
        </is>
      </c>
      <c r="L78" s="26" t="n">
        <v>8550</v>
      </c>
      <c r="M78" s="27">
        <f>IF(L78="","",IF(K78="GST 10%",ROUND(L78*set_GSTRate,2),0))</f>
        <v/>
      </c>
      <c r="N78" s="27">
        <f>IF(L78="","",L78+M78)</f>
        <v/>
      </c>
      <c r="O78" s="24" t="inlineStr">
        <is>
          <t>42100</t>
        </is>
      </c>
      <c r="P78" s="24" t="inlineStr">
        <is>
          <t>Y</t>
        </is>
      </c>
      <c r="Q78" s="24" t="inlineStr">
        <is>
          <t>N</t>
        </is>
      </c>
      <c r="R78" s="22" t="n"/>
      <c r="S78" s="22" t="n"/>
      <c r="T78" s="24" t="inlineStr">
        <is>
          <t>Invoiced</t>
        </is>
      </c>
      <c r="U78" s="24" t="n"/>
      <c r="V78" s="25">
        <f>IF(COUNTA(A78,D78,C78,L78)=0,"",IF(A78="","No date - sits outside every month",IF(E78="","No job number",IF(F78="CHECK","Job number is not in the Xero job list",IF(I78="","No cost centre",IF(AND(P78="Y",C78=""),"Marked posted to Xero but has no invoice number",IF(AND(L78&lt;&gt;"",K78=""),"No tax code",IF(AND(L78&lt;&gt;"",O78=""),"No revenue GL code",""))))))))</f>
        <v/>
      </c>
      <c r="W78" s="25">
        <f>IF(E78="","",IFERROR(INDEX(lst_JobName,MATCH(E78&amp;"",lst_Jobs,0)),""))</f>
        <v/>
      </c>
      <c r="X78" s="28">
        <f>IF(E78="","",COUNTIFS(tbl_Finance[Job Number],E78&amp;"",tbl_Finance[Ex GST],"&lt;&gt;"))</f>
        <v/>
      </c>
      <c r="Y78" s="27">
        <f>IF(E78="","",SUMIFS(tbl_Finance[Ex GST],tbl_Finance[Job Number],E78&amp;""))</f>
        <v/>
      </c>
      <c r="Z78" s="27">
        <f>IF(E78="","",SUMIFS(tbl_Finance[Ex GST],tbl_Finance[Job Number],E78&amp;"",tbl_Finance[Xero Invoice No],"&lt;&gt;"))</f>
        <v/>
      </c>
      <c r="AA78" s="27">
        <f>IF(E78="","",Y78-Z78)</f>
        <v/>
      </c>
      <c r="AB78" s="25">
        <f>IF(E78="","",IF(H78="Onsite",IFERROR(INDEX(tbl_Onsite[Qwilr Quote],MATCH(E78&amp;"",tbl_Onsite[Job Number],0)),""),IF(H78="Production",IFERROR(INDEX(tbl_Production[Current RMS No],MATCH(E78&amp;"",tbl_Production[Job Number],0)),""),IF(H78="Consulting",IFERROR(INDEX(tbl_Consulting[Qwilr Quote],MATCH(E78&amp;"",tbl_Consulting[Job Number],0)),""),""))))</f>
        <v/>
      </c>
      <c r="AC78" s="25">
        <f>IF(AB78="","",IF(AND(LEFT(AB78,4)&lt;&gt;"http",IF(H78="Production",set_RMSBase,set_QwilrBase)=""),"",HYPERLINK(IF(LEFT(AB78,4)="http",AB78,IF(H78="Production",set_RMSBase,set_QwilrBase)&amp;AB78),"Open")))</f>
        <v/>
      </c>
      <c r="AD78" s="27">
        <f>IF(E78="","",IF(H78="Production",IFERROR(INDEX(tbl_Production[Total Expense],MATCH(E78&amp;"",tbl_Production[Job Number],0)),0),IF(H78="Consulting",IFERROR(INDEX(tbl_Consulting[Total Expense],MATCH(E78&amp;"",tbl_Consulting[Job Number],0)),0),0)))</f>
        <v/>
      </c>
      <c r="AE78" s="27">
        <f>IF(E78="","",Y78-N(AD78))</f>
        <v/>
      </c>
      <c r="AF78" s="29">
        <f>IFERROR(AE78/Y78,"")</f>
        <v/>
      </c>
      <c r="AG78" s="25">
        <f>IF(E78="","",IF(H78="Onsite",IFERROR(INDEX(tbl_Onsite[Notes],MATCH(E78&amp;"",tbl_Onsite[Job Number],0)),""),IF(H78="Production",IFERROR(INDEX(tbl_Production[Notes],MATCH(E78&amp;"",tbl_Production[Job Number],0)),""),IF(H78="Consulting",IFERROR(INDEX(tbl_Consulting[Notes],MATCH(E78&amp;"",tbl_Consulting[Job Number],0)),""),""))))</f>
        <v/>
      </c>
    </row>
    <row r="79" ht="15" customHeight="1">
      <c r="A79" s="22" t="n">
        <v>46247</v>
      </c>
      <c r="B79" s="23">
        <f>IF(A79="","",EOMONTH(A79,0))</f>
        <v/>
      </c>
      <c r="C79" s="24" t="inlineStr">
        <is>
          <t>CN-10563</t>
        </is>
      </c>
      <c r="D79" s="24" t="inlineStr">
        <is>
          <t>CBA</t>
        </is>
      </c>
      <c r="E79" s="24" t="inlineStr">
        <is>
          <t>26061701</t>
        </is>
      </c>
      <c r="F79" s="25">
        <f>IF(E79="","",IF(COUNTIF(lst_Jobs,E79&amp;"")&gt;0,"OK","CHECK"))</f>
        <v/>
      </c>
      <c r="G79" s="24" t="inlineStr">
        <is>
          <t>CBA LES July 2026 Loading Reversal</t>
        </is>
      </c>
      <c r="H79" s="24" t="inlineStr">
        <is>
          <t>Production</t>
        </is>
      </c>
      <c r="I79" s="24" t="inlineStr">
        <is>
          <t>PRODUCTION</t>
        </is>
      </c>
      <c r="J79" s="24" t="inlineStr">
        <is>
          <t>Project</t>
        </is>
      </c>
      <c r="K79" s="24" t="inlineStr">
        <is>
          <t>GST 10%</t>
        </is>
      </c>
      <c r="L79" s="26" t="n">
        <v>-332.5</v>
      </c>
      <c r="M79" s="27">
        <f>IF(L79="","",IF(K79="GST 10%",ROUND(L79*set_GSTRate,2),0))</f>
        <v/>
      </c>
      <c r="N79" s="27">
        <f>IF(L79="","",L79+M79)</f>
        <v/>
      </c>
      <c r="O79" s="24" t="inlineStr">
        <is>
          <t>42100</t>
        </is>
      </c>
      <c r="P79" s="24" t="inlineStr">
        <is>
          <t>Y</t>
        </is>
      </c>
      <c r="Q79" s="24" t="inlineStr">
        <is>
          <t>N</t>
        </is>
      </c>
      <c r="R79" s="22" t="n"/>
      <c r="S79" s="22" t="n"/>
      <c r="T79" s="24" t="inlineStr">
        <is>
          <t>Invoiced</t>
        </is>
      </c>
      <c r="U79" s="24" t="n"/>
      <c r="V79" s="25">
        <f>IF(COUNTA(A79,D79,C79,L79)=0,"",IF(A79="","No date - sits outside every month",IF(E79="","No job number",IF(F79="CHECK","Job number is not in the Xero job list",IF(I79="","No cost centre",IF(AND(P79="Y",C79=""),"Marked posted to Xero but has no invoice number",IF(AND(L79&lt;&gt;"",K79=""),"No tax code",IF(AND(L79&lt;&gt;"",O79=""),"No revenue GL code",""))))))))</f>
        <v/>
      </c>
      <c r="W79" s="25">
        <f>IF(E79="","",IFERROR(INDEX(lst_JobName,MATCH(E79&amp;"",lst_Jobs,0)),""))</f>
        <v/>
      </c>
      <c r="X79" s="28">
        <f>IF(E79="","",COUNTIFS(tbl_Finance[Job Number],E79&amp;"",tbl_Finance[Ex GST],"&lt;&gt;"))</f>
        <v/>
      </c>
      <c r="Y79" s="27">
        <f>IF(E79="","",SUMIFS(tbl_Finance[Ex GST],tbl_Finance[Job Number],E79&amp;""))</f>
        <v/>
      </c>
      <c r="Z79" s="27">
        <f>IF(E79="","",SUMIFS(tbl_Finance[Ex GST],tbl_Finance[Job Number],E79&amp;"",tbl_Finance[Xero Invoice No],"&lt;&gt;"))</f>
        <v/>
      </c>
      <c r="AA79" s="27">
        <f>IF(E79="","",Y79-Z79)</f>
        <v/>
      </c>
      <c r="AB79" s="25">
        <f>IF(E79="","",IF(H79="Onsite",IFERROR(INDEX(tbl_Onsite[Qwilr Quote],MATCH(E79&amp;"",tbl_Onsite[Job Number],0)),""),IF(H79="Production",IFERROR(INDEX(tbl_Production[Current RMS No],MATCH(E79&amp;"",tbl_Production[Job Number],0)),""),IF(H79="Consulting",IFERROR(INDEX(tbl_Consulting[Qwilr Quote],MATCH(E79&amp;"",tbl_Consulting[Job Number],0)),""),""))))</f>
        <v/>
      </c>
      <c r="AC79" s="25">
        <f>IF(AB79="","",IF(AND(LEFT(AB79,4)&lt;&gt;"http",IF(H79="Production",set_RMSBase,set_QwilrBase)=""),"",HYPERLINK(IF(LEFT(AB79,4)="http",AB79,IF(H79="Production",set_RMSBase,set_QwilrBase)&amp;AB79),"Open")))</f>
        <v/>
      </c>
      <c r="AD79" s="27">
        <f>IF(E79="","",IF(H79="Production",IFERROR(INDEX(tbl_Production[Total Expense],MATCH(E79&amp;"",tbl_Production[Job Number],0)),0),IF(H79="Consulting",IFERROR(INDEX(tbl_Consulting[Total Expense],MATCH(E79&amp;"",tbl_Consulting[Job Number],0)),0),0)))</f>
        <v/>
      </c>
      <c r="AE79" s="27">
        <f>IF(E79="","",Y79-N(AD79))</f>
        <v/>
      </c>
      <c r="AF79" s="29">
        <f>IFERROR(AE79/Y79,"")</f>
        <v/>
      </c>
      <c r="AG79" s="25">
        <f>IF(E79="","",IF(H79="Onsite",IFERROR(INDEX(tbl_Onsite[Notes],MATCH(E79&amp;"",tbl_Onsite[Job Number],0)),""),IF(H79="Production",IFERROR(INDEX(tbl_Production[Notes],MATCH(E79&amp;"",tbl_Production[Job Number],0)),""),IF(H79="Consulting",IFERROR(INDEX(tbl_Consulting[Notes],MATCH(E79&amp;"",tbl_Consulting[Job Number],0)),""),""))))</f>
        <v/>
      </c>
    </row>
    <row r="80" ht="15" customHeight="1">
      <c r="A80" s="22" t="n">
        <v>46247</v>
      </c>
      <c r="B80" s="23">
        <f>IF(A80="","",EOMONTH(A80,0))</f>
        <v/>
      </c>
      <c r="C80" s="24" t="inlineStr">
        <is>
          <t>INV-10561</t>
        </is>
      </c>
      <c r="D80" s="24" t="inlineStr">
        <is>
          <t>RSNSW</t>
        </is>
      </c>
      <c r="E80" s="24" t="inlineStr">
        <is>
          <t>2512804</t>
        </is>
      </c>
      <c r="F80" s="25">
        <f>IF(E80="","",IF(COUNTIF(lst_Jobs,E80&amp;"")&gt;0,"OK","CHECK"))</f>
        <v/>
      </c>
      <c r="G80" s="24" t="inlineStr">
        <is>
          <t>Ordinary General Meeting 5.8.26</t>
        </is>
      </c>
      <c r="H80" s="24" t="inlineStr">
        <is>
          <t>Production</t>
        </is>
      </c>
      <c r="I80" s="24" t="inlineStr">
        <is>
          <t>PRODUCTION</t>
        </is>
      </c>
      <c r="J80" s="24" t="inlineStr">
        <is>
          <t>Project</t>
        </is>
      </c>
      <c r="K80" s="24" t="inlineStr">
        <is>
          <t>GST 10%</t>
        </is>
      </c>
      <c r="L80" s="26" t="n">
        <v>2232</v>
      </c>
      <c r="M80" s="27">
        <f>IF(L80="","",IF(K80="GST 10%",ROUND(L80*set_GSTRate,2),0))</f>
        <v/>
      </c>
      <c r="N80" s="27">
        <f>IF(L80="","",L80+M80)</f>
        <v/>
      </c>
      <c r="O80" s="24" t="inlineStr">
        <is>
          <t>42100</t>
        </is>
      </c>
      <c r="P80" s="24" t="inlineStr">
        <is>
          <t>Y</t>
        </is>
      </c>
      <c r="Q80" s="24" t="inlineStr">
        <is>
          <t>N</t>
        </is>
      </c>
      <c r="R80" s="22" t="n"/>
      <c r="S80" s="22" t="n"/>
      <c r="T80" s="24" t="inlineStr">
        <is>
          <t>Invoiced</t>
        </is>
      </c>
      <c r="U80" s="24" t="inlineStr">
        <is>
          <t>Production portion of this invoice</t>
        </is>
      </c>
      <c r="V80" s="25">
        <f>IF(COUNTA(A80,D80,C80,L80)=0,"",IF(A80="","No date - sits outside every month",IF(E80="","No job number",IF(F80="CHECK","Job number is not in the Xero job list",IF(I80="","No cost centre",IF(AND(P80="Y",C80=""),"Marked posted to Xero but has no invoice number",IF(AND(L80&lt;&gt;"",K80=""),"No tax code",IF(AND(L80&lt;&gt;"",O80=""),"No revenue GL code",""))))))))</f>
        <v/>
      </c>
      <c r="W80" s="25">
        <f>IF(E80="","",IFERROR(INDEX(lst_JobName,MATCH(E80&amp;"",lst_Jobs,0)),""))</f>
        <v/>
      </c>
      <c r="X80" s="28">
        <f>IF(E80="","",COUNTIFS(tbl_Finance[Job Number],E80&amp;"",tbl_Finance[Ex GST],"&lt;&gt;"))</f>
        <v/>
      </c>
      <c r="Y80" s="27">
        <f>IF(E80="","",SUMIFS(tbl_Finance[Ex GST],tbl_Finance[Job Number],E80&amp;""))</f>
        <v/>
      </c>
      <c r="Z80" s="27">
        <f>IF(E80="","",SUMIFS(tbl_Finance[Ex GST],tbl_Finance[Job Number],E80&amp;"",tbl_Finance[Xero Invoice No],"&lt;&gt;"))</f>
        <v/>
      </c>
      <c r="AA80" s="27">
        <f>IF(E80="","",Y80-Z80)</f>
        <v/>
      </c>
      <c r="AB80" s="25">
        <f>IF(E80="","",IF(H80="Onsite",IFERROR(INDEX(tbl_Onsite[Qwilr Quote],MATCH(E80&amp;"",tbl_Onsite[Job Number],0)),""),IF(H80="Production",IFERROR(INDEX(tbl_Production[Current RMS No],MATCH(E80&amp;"",tbl_Production[Job Number],0)),""),IF(H80="Consulting",IFERROR(INDEX(tbl_Consulting[Qwilr Quote],MATCH(E80&amp;"",tbl_Consulting[Job Number],0)),""),""))))</f>
        <v/>
      </c>
      <c r="AC80" s="25">
        <f>IF(AB80="","",IF(AND(LEFT(AB80,4)&lt;&gt;"http",IF(H80="Production",set_RMSBase,set_QwilrBase)=""),"",HYPERLINK(IF(LEFT(AB80,4)="http",AB80,IF(H80="Production",set_RMSBase,set_QwilrBase)&amp;AB80),"Open")))</f>
        <v/>
      </c>
      <c r="AD80" s="27">
        <f>IF(E80="","",IF(H80="Production",IFERROR(INDEX(tbl_Production[Total Expense],MATCH(E80&amp;"",tbl_Production[Job Number],0)),0),IF(H80="Consulting",IFERROR(INDEX(tbl_Consulting[Total Expense],MATCH(E80&amp;"",tbl_Consulting[Job Number],0)),0),0)))</f>
        <v/>
      </c>
      <c r="AE80" s="27">
        <f>IF(E80="","",Y80-N(AD80))</f>
        <v/>
      </c>
      <c r="AF80" s="29">
        <f>IFERROR(AE80/Y80,"")</f>
        <v/>
      </c>
      <c r="AG80" s="25">
        <f>IF(E80="","",IF(H80="Onsite",IFERROR(INDEX(tbl_Onsite[Notes],MATCH(E80&amp;"",tbl_Onsite[Job Number],0)),""),IF(H80="Production",IFERROR(INDEX(tbl_Production[Notes],MATCH(E80&amp;"",tbl_Production[Job Number],0)),""),IF(H80="Consulting",IFERROR(INDEX(tbl_Consulting[Notes],MATCH(E80&amp;"",tbl_Consulting[Job Number],0)),""),""))))</f>
        <v/>
      </c>
    </row>
    <row r="81" ht="15" customHeight="1">
      <c r="A81" s="22" t="n">
        <v>46247</v>
      </c>
      <c r="B81" s="23">
        <f>IF(A81="","",EOMONTH(A81,0))</f>
        <v/>
      </c>
      <c r="C81" s="24" t="inlineStr">
        <is>
          <t>INV-10561</t>
        </is>
      </c>
      <c r="D81" s="24" t="inlineStr">
        <is>
          <t>RSNSW</t>
        </is>
      </c>
      <c r="E81" s="24" t="inlineStr">
        <is>
          <t>2512804</t>
        </is>
      </c>
      <c r="F81" s="25">
        <f>IF(E81="","",IF(COUNTIF(lst_Jobs,E81&amp;"")&gt;0,"OK","CHECK"))</f>
        <v/>
      </c>
      <c r="G81" s="24" t="inlineStr">
        <is>
          <t>Ordinary General Meeting 5.8.26</t>
        </is>
      </c>
      <c r="H81" s="24" t="inlineStr">
        <is>
          <t>Production</t>
        </is>
      </c>
      <c r="I81" s="24" t="inlineStr">
        <is>
          <t>VIDEO</t>
        </is>
      </c>
      <c r="J81" s="24" t="inlineStr">
        <is>
          <t>Project</t>
        </is>
      </c>
      <c r="K81" s="24" t="inlineStr">
        <is>
          <t>GST 10%</t>
        </is>
      </c>
      <c r="L81" s="26" t="n">
        <v>1029</v>
      </c>
      <c r="M81" s="27">
        <f>IF(L81="","",IF(K81="GST 10%",ROUND(L81*set_GSTRate,2),0))</f>
        <v/>
      </c>
      <c r="N81" s="27">
        <f>IF(L81="","",L81+M81)</f>
        <v/>
      </c>
      <c r="O81" s="24" t="inlineStr">
        <is>
          <t>42150</t>
        </is>
      </c>
      <c r="P81" s="24" t="inlineStr">
        <is>
          <t>Y</t>
        </is>
      </c>
      <c r="Q81" s="24" t="inlineStr">
        <is>
          <t>N</t>
        </is>
      </c>
      <c r="R81" s="22" t="n"/>
      <c r="S81" s="22" t="n"/>
      <c r="T81" s="24" t="inlineStr">
        <is>
          <t>Invoiced</t>
        </is>
      </c>
      <c r="U81" s="24" t="inlineStr">
        <is>
          <t>Video portion of this invoice</t>
        </is>
      </c>
      <c r="V81" s="25">
        <f>IF(COUNTA(A81,D81,C81,L81)=0,"",IF(A81="","No date - sits outside every month",IF(E81="","No job number",IF(F81="CHECK","Job number is not in the Xero job list",IF(I81="","No cost centre",IF(AND(P81="Y",C81=""),"Marked posted to Xero but has no invoice number",IF(AND(L81&lt;&gt;"",K81=""),"No tax code",IF(AND(L81&lt;&gt;"",O81=""),"No revenue GL code",""))))))))</f>
        <v/>
      </c>
      <c r="W81" s="25">
        <f>IF(E81="","",IFERROR(INDEX(lst_JobName,MATCH(E81&amp;"",lst_Jobs,0)),""))</f>
        <v/>
      </c>
      <c r="X81" s="28">
        <f>IF(E81="","",COUNTIFS(tbl_Finance[Job Number],E81&amp;"",tbl_Finance[Ex GST],"&lt;&gt;"))</f>
        <v/>
      </c>
      <c r="Y81" s="27">
        <f>IF(E81="","",SUMIFS(tbl_Finance[Ex GST],tbl_Finance[Job Number],E81&amp;""))</f>
        <v/>
      </c>
      <c r="Z81" s="27">
        <f>IF(E81="","",SUMIFS(tbl_Finance[Ex GST],tbl_Finance[Job Number],E81&amp;"",tbl_Finance[Xero Invoice No],"&lt;&gt;"))</f>
        <v/>
      </c>
      <c r="AA81" s="27">
        <f>IF(E81="","",Y81-Z81)</f>
        <v/>
      </c>
      <c r="AB81" s="25">
        <f>IF(E81="","",IF(H81="Onsite",IFERROR(INDEX(tbl_Onsite[Qwilr Quote],MATCH(E81&amp;"",tbl_Onsite[Job Number],0)),""),IF(H81="Production",IFERROR(INDEX(tbl_Production[Current RMS No],MATCH(E81&amp;"",tbl_Production[Job Number],0)),""),IF(H81="Consulting",IFERROR(INDEX(tbl_Consulting[Qwilr Quote],MATCH(E81&amp;"",tbl_Consulting[Job Number],0)),""),""))))</f>
        <v/>
      </c>
      <c r="AC81" s="25">
        <f>IF(AB81="","",IF(AND(LEFT(AB81,4)&lt;&gt;"http",IF(H81="Production",set_RMSBase,set_QwilrBase)=""),"",HYPERLINK(IF(LEFT(AB81,4)="http",AB81,IF(H81="Production",set_RMSBase,set_QwilrBase)&amp;AB81),"Open")))</f>
        <v/>
      </c>
      <c r="AD81" s="27">
        <f>IF(E81="","",IF(H81="Production",IFERROR(INDEX(tbl_Production[Total Expense],MATCH(E81&amp;"",tbl_Production[Job Number],0)),0),IF(H81="Consulting",IFERROR(INDEX(tbl_Consulting[Total Expense],MATCH(E81&amp;"",tbl_Consulting[Job Number],0)),0),0)))</f>
        <v/>
      </c>
      <c r="AE81" s="27">
        <f>IF(E81="","",Y81-N(AD81))</f>
        <v/>
      </c>
      <c r="AF81" s="29">
        <f>IFERROR(AE81/Y81,"")</f>
        <v/>
      </c>
      <c r="AG81" s="25">
        <f>IF(E81="","",IF(H81="Onsite",IFERROR(INDEX(tbl_Onsite[Notes],MATCH(E81&amp;"",tbl_Onsite[Job Number],0)),""),IF(H81="Production",IFERROR(INDEX(tbl_Production[Notes],MATCH(E81&amp;"",tbl_Production[Job Number],0)),""),IF(H81="Consulting",IFERROR(INDEX(tbl_Consulting[Notes],MATCH(E81&amp;"",tbl_Consulting[Job Number],0)),""),""))))</f>
        <v/>
      </c>
    </row>
    <row r="82" ht="15" customHeight="1">
      <c r="A82" s="22" t="n">
        <v>46247</v>
      </c>
      <c r="B82" s="23">
        <f>IF(A82="","",EOMONTH(A82,0))</f>
        <v/>
      </c>
      <c r="C82" s="24" t="inlineStr">
        <is>
          <t>INV-10560</t>
        </is>
      </c>
      <c r="D82" s="24" t="inlineStr">
        <is>
          <t>Garvan</t>
        </is>
      </c>
      <c r="E82" s="24" t="inlineStr">
        <is>
          <t>2607703</t>
        </is>
      </c>
      <c r="F82" s="25">
        <f>IF(E82="","",IF(COUNTIF(lst_Jobs,E82&amp;"")&gt;0,"OK","CHECK"))</f>
        <v/>
      </c>
      <c r="G82" s="24" t="inlineStr">
        <is>
          <t>YPO Event 6.8.26 (PO-58493)</t>
        </is>
      </c>
      <c r="H82" s="24" t="inlineStr">
        <is>
          <t>Production</t>
        </is>
      </c>
      <c r="I82" s="24" t="inlineStr">
        <is>
          <t>PRODUCTION</t>
        </is>
      </c>
      <c r="J82" s="24" t="inlineStr">
        <is>
          <t>Project</t>
        </is>
      </c>
      <c r="K82" s="24" t="inlineStr">
        <is>
          <t>GST 10%</t>
        </is>
      </c>
      <c r="L82" s="26" t="n">
        <v>2152.5</v>
      </c>
      <c r="M82" s="27">
        <f>IF(L82="","",IF(K82="GST 10%",ROUND(L82*set_GSTRate,2),0))</f>
        <v/>
      </c>
      <c r="N82" s="27">
        <f>IF(L82="","",L82+M82)</f>
        <v/>
      </c>
      <c r="O82" s="24" t="inlineStr">
        <is>
          <t>42100</t>
        </is>
      </c>
      <c r="P82" s="24" t="inlineStr">
        <is>
          <t>Y</t>
        </is>
      </c>
      <c r="Q82" s="24" t="inlineStr">
        <is>
          <t>N</t>
        </is>
      </c>
      <c r="R82" s="22" t="n"/>
      <c r="S82" s="22" t="n"/>
      <c r="T82" s="24" t="inlineStr">
        <is>
          <t>Invoiced</t>
        </is>
      </c>
      <c r="U82" s="24" t="n"/>
      <c r="V82" s="25">
        <f>IF(COUNTA(A82,D82,C82,L82)=0,"",IF(A82="","No date - sits outside every month",IF(E82="","No job number",IF(F82="CHECK","Job number is not in the Xero job list",IF(I82="","No cost centre",IF(AND(P82="Y",C82=""),"Marked posted to Xero but has no invoice number",IF(AND(L82&lt;&gt;"",K82=""),"No tax code",IF(AND(L82&lt;&gt;"",O82=""),"No revenue GL code",""))))))))</f>
        <v/>
      </c>
      <c r="W82" s="25">
        <f>IF(E82="","",IFERROR(INDEX(lst_JobName,MATCH(E82&amp;"",lst_Jobs,0)),""))</f>
        <v/>
      </c>
      <c r="X82" s="28">
        <f>IF(E82="","",COUNTIFS(tbl_Finance[Job Number],E82&amp;"",tbl_Finance[Ex GST],"&lt;&gt;"))</f>
        <v/>
      </c>
      <c r="Y82" s="27">
        <f>IF(E82="","",SUMIFS(tbl_Finance[Ex GST],tbl_Finance[Job Number],E82&amp;""))</f>
        <v/>
      </c>
      <c r="Z82" s="27">
        <f>IF(E82="","",SUMIFS(tbl_Finance[Ex GST],tbl_Finance[Job Number],E82&amp;"",tbl_Finance[Xero Invoice No],"&lt;&gt;"))</f>
        <v/>
      </c>
      <c r="AA82" s="27">
        <f>IF(E82="","",Y82-Z82)</f>
        <v/>
      </c>
      <c r="AB82" s="25">
        <f>IF(E82="","",IF(H82="Onsite",IFERROR(INDEX(tbl_Onsite[Qwilr Quote],MATCH(E82&amp;"",tbl_Onsite[Job Number],0)),""),IF(H82="Production",IFERROR(INDEX(tbl_Production[Current RMS No],MATCH(E82&amp;"",tbl_Production[Job Number],0)),""),IF(H82="Consulting",IFERROR(INDEX(tbl_Consulting[Qwilr Quote],MATCH(E82&amp;"",tbl_Consulting[Job Number],0)),""),""))))</f>
        <v/>
      </c>
      <c r="AC82" s="25">
        <f>IF(AB82="","",IF(AND(LEFT(AB82,4)&lt;&gt;"http",IF(H82="Production",set_RMSBase,set_QwilrBase)=""),"",HYPERLINK(IF(LEFT(AB82,4)="http",AB82,IF(H82="Production",set_RMSBase,set_QwilrBase)&amp;AB82),"Open")))</f>
        <v/>
      </c>
      <c r="AD82" s="27">
        <f>IF(E82="","",IF(H82="Production",IFERROR(INDEX(tbl_Production[Total Expense],MATCH(E82&amp;"",tbl_Production[Job Number],0)),0),IF(H82="Consulting",IFERROR(INDEX(tbl_Consulting[Total Expense],MATCH(E82&amp;"",tbl_Consulting[Job Number],0)),0),0)))</f>
        <v/>
      </c>
      <c r="AE82" s="27">
        <f>IF(E82="","",Y82-N(AD82))</f>
        <v/>
      </c>
      <c r="AF82" s="29">
        <f>IFERROR(AE82/Y82,"")</f>
        <v/>
      </c>
      <c r="AG82" s="25">
        <f>IF(E82="","",IF(H82="Onsite",IFERROR(INDEX(tbl_Onsite[Notes],MATCH(E82&amp;"",tbl_Onsite[Job Number],0)),""),IF(H82="Production",IFERROR(INDEX(tbl_Production[Notes],MATCH(E82&amp;"",tbl_Production[Job Number],0)),""),IF(H82="Consulting",IFERROR(INDEX(tbl_Consulting[Notes],MATCH(E82&amp;"",tbl_Consulting[Job Number],0)),""),""))))</f>
        <v/>
      </c>
    </row>
    <row r="83" ht="15" customHeight="1">
      <c r="A83" s="22" t="n">
        <v>46247</v>
      </c>
      <c r="B83" s="23">
        <f>IF(A83="","",EOMONTH(A83,0))</f>
        <v/>
      </c>
      <c r="C83" s="24" t="inlineStr">
        <is>
          <t>INV-10562</t>
        </is>
      </c>
      <c r="D83" s="24" t="inlineStr">
        <is>
          <t>PwC</t>
        </is>
      </c>
      <c r="E83" s="24" t="inlineStr">
        <is>
          <t>26072902</t>
        </is>
      </c>
      <c r="F83" s="25">
        <f>IF(E83="","",IF(COUNTIF(lst_Jobs,E83&amp;"")&gt;0,"OK","CHECK"))</f>
        <v/>
      </c>
      <c r="G83" s="24" t="inlineStr">
        <is>
          <t>AI Townhall 6.8.26 (PO2601703328)</t>
        </is>
      </c>
      <c r="H83" s="24" t="inlineStr">
        <is>
          <t>Production</t>
        </is>
      </c>
      <c r="I83" s="24" t="inlineStr">
        <is>
          <t>PRODUCTION</t>
        </is>
      </c>
      <c r="J83" s="24" t="inlineStr">
        <is>
          <t>Project</t>
        </is>
      </c>
      <c r="K83" s="24" t="inlineStr">
        <is>
          <t>GST 10%</t>
        </is>
      </c>
      <c r="L83" s="26" t="n">
        <v>1165</v>
      </c>
      <c r="M83" s="27">
        <f>IF(L83="","",IF(K83="GST 10%",ROUND(L83*set_GSTRate,2),0))</f>
        <v/>
      </c>
      <c r="N83" s="27">
        <f>IF(L83="","",L83+M83)</f>
        <v/>
      </c>
      <c r="O83" s="24" t="inlineStr">
        <is>
          <t>42100</t>
        </is>
      </c>
      <c r="P83" s="24" t="inlineStr">
        <is>
          <t>Y</t>
        </is>
      </c>
      <c r="Q83" s="24" t="inlineStr">
        <is>
          <t>N</t>
        </is>
      </c>
      <c r="R83" s="22" t="n"/>
      <c r="S83" s="22" t="n"/>
      <c r="T83" s="24" t="inlineStr">
        <is>
          <t>Invoiced</t>
        </is>
      </c>
      <c r="U83" s="24" t="inlineStr">
        <is>
          <t>Production portion of this invoice</t>
        </is>
      </c>
      <c r="V83" s="25">
        <f>IF(COUNTA(A83,D83,C83,L83)=0,"",IF(A83="","No date - sits outside every month",IF(E83="","No job number",IF(F83="CHECK","Job number is not in the Xero job list",IF(I83="","No cost centre",IF(AND(P83="Y",C83=""),"Marked posted to Xero but has no invoice number",IF(AND(L83&lt;&gt;"",K83=""),"No tax code",IF(AND(L83&lt;&gt;"",O83=""),"No revenue GL code",""))))))))</f>
        <v/>
      </c>
      <c r="W83" s="25">
        <f>IF(E83="","",IFERROR(INDEX(lst_JobName,MATCH(E83&amp;"",lst_Jobs,0)),""))</f>
        <v/>
      </c>
      <c r="X83" s="28">
        <f>IF(E83="","",COUNTIFS(tbl_Finance[Job Number],E83&amp;"",tbl_Finance[Ex GST],"&lt;&gt;"))</f>
        <v/>
      </c>
      <c r="Y83" s="27">
        <f>IF(E83="","",SUMIFS(tbl_Finance[Ex GST],tbl_Finance[Job Number],E83&amp;""))</f>
        <v/>
      </c>
      <c r="Z83" s="27">
        <f>IF(E83="","",SUMIFS(tbl_Finance[Ex GST],tbl_Finance[Job Number],E83&amp;"",tbl_Finance[Xero Invoice No],"&lt;&gt;"))</f>
        <v/>
      </c>
      <c r="AA83" s="27">
        <f>IF(E83="","",Y83-Z83)</f>
        <v/>
      </c>
      <c r="AB83" s="25">
        <f>IF(E83="","",IF(H83="Onsite",IFERROR(INDEX(tbl_Onsite[Qwilr Quote],MATCH(E83&amp;"",tbl_Onsite[Job Number],0)),""),IF(H83="Production",IFERROR(INDEX(tbl_Production[Current RMS No],MATCH(E83&amp;"",tbl_Production[Job Number],0)),""),IF(H83="Consulting",IFERROR(INDEX(tbl_Consulting[Qwilr Quote],MATCH(E83&amp;"",tbl_Consulting[Job Number],0)),""),""))))</f>
        <v/>
      </c>
      <c r="AC83" s="25">
        <f>IF(AB83="","",IF(AND(LEFT(AB83,4)&lt;&gt;"http",IF(H83="Production",set_RMSBase,set_QwilrBase)=""),"",HYPERLINK(IF(LEFT(AB83,4)="http",AB83,IF(H83="Production",set_RMSBase,set_QwilrBase)&amp;AB83),"Open")))</f>
        <v/>
      </c>
      <c r="AD83" s="27">
        <f>IF(E83="","",IF(H83="Production",IFERROR(INDEX(tbl_Production[Total Expense],MATCH(E83&amp;"",tbl_Production[Job Number],0)),0),IF(H83="Consulting",IFERROR(INDEX(tbl_Consulting[Total Expense],MATCH(E83&amp;"",tbl_Consulting[Job Number],0)),0),0)))</f>
        <v/>
      </c>
      <c r="AE83" s="27">
        <f>IF(E83="","",Y83-N(AD83))</f>
        <v/>
      </c>
      <c r="AF83" s="29">
        <f>IFERROR(AE83/Y83,"")</f>
        <v/>
      </c>
      <c r="AG83" s="25">
        <f>IF(E83="","",IF(H83="Onsite",IFERROR(INDEX(tbl_Onsite[Notes],MATCH(E83&amp;"",tbl_Onsite[Job Number],0)),""),IF(H83="Production",IFERROR(INDEX(tbl_Production[Notes],MATCH(E83&amp;"",tbl_Production[Job Number],0)),""),IF(H83="Consulting",IFERROR(INDEX(tbl_Consulting[Notes],MATCH(E83&amp;"",tbl_Consulting[Job Number],0)),""),""))))</f>
        <v/>
      </c>
    </row>
    <row r="84" ht="15" customHeight="1">
      <c r="A84" s="22" t="n">
        <v>46247</v>
      </c>
      <c r="B84" s="23">
        <f>IF(A84="","",EOMONTH(A84,0))</f>
        <v/>
      </c>
      <c r="C84" s="24" t="inlineStr">
        <is>
          <t>INV-10562</t>
        </is>
      </c>
      <c r="D84" s="24" t="inlineStr">
        <is>
          <t>PwC</t>
        </is>
      </c>
      <c r="E84" s="24" t="inlineStr">
        <is>
          <t>26072902</t>
        </is>
      </c>
      <c r="F84" s="25">
        <f>IF(E84="","",IF(COUNTIF(lst_Jobs,E84&amp;"")&gt;0,"OK","CHECK"))</f>
        <v/>
      </c>
      <c r="G84" s="24" t="inlineStr">
        <is>
          <t>AI Townhall 6.8.26 (PO2601703328)</t>
        </is>
      </c>
      <c r="H84" s="24" t="inlineStr">
        <is>
          <t>Production</t>
        </is>
      </c>
      <c r="I84" s="24" t="inlineStr">
        <is>
          <t>VIDEO</t>
        </is>
      </c>
      <c r="J84" s="24" t="inlineStr">
        <is>
          <t>Project</t>
        </is>
      </c>
      <c r="K84" s="24" t="inlineStr">
        <is>
          <t>GST 10%</t>
        </is>
      </c>
      <c r="L84" s="26" t="n">
        <v>485</v>
      </c>
      <c r="M84" s="27">
        <f>IF(L84="","",IF(K84="GST 10%",ROUND(L84*set_GSTRate,2),0))</f>
        <v/>
      </c>
      <c r="N84" s="27">
        <f>IF(L84="","",L84+M84)</f>
        <v/>
      </c>
      <c r="O84" s="24" t="inlineStr">
        <is>
          <t>42150</t>
        </is>
      </c>
      <c r="P84" s="24" t="inlineStr">
        <is>
          <t>Y</t>
        </is>
      </c>
      <c r="Q84" s="24" t="inlineStr">
        <is>
          <t>N</t>
        </is>
      </c>
      <c r="R84" s="22" t="n"/>
      <c r="S84" s="22" t="n"/>
      <c r="T84" s="24" t="inlineStr">
        <is>
          <t>Invoiced</t>
        </is>
      </c>
      <c r="U84" s="24" t="inlineStr">
        <is>
          <t>Video portion of this invoice</t>
        </is>
      </c>
      <c r="V84" s="25">
        <f>IF(COUNTA(A84,D84,C84,L84)=0,"",IF(A84="","No date - sits outside every month",IF(E84="","No job number",IF(F84="CHECK","Job number is not in the Xero job list",IF(I84="","No cost centre",IF(AND(P84="Y",C84=""),"Marked posted to Xero but has no invoice number",IF(AND(L84&lt;&gt;"",K84=""),"No tax code",IF(AND(L84&lt;&gt;"",O84=""),"No revenue GL code",""))))))))</f>
        <v/>
      </c>
      <c r="W84" s="25">
        <f>IF(E84="","",IFERROR(INDEX(lst_JobName,MATCH(E84&amp;"",lst_Jobs,0)),""))</f>
        <v/>
      </c>
      <c r="X84" s="28">
        <f>IF(E84="","",COUNTIFS(tbl_Finance[Job Number],E84&amp;"",tbl_Finance[Ex GST],"&lt;&gt;"))</f>
        <v/>
      </c>
      <c r="Y84" s="27">
        <f>IF(E84="","",SUMIFS(tbl_Finance[Ex GST],tbl_Finance[Job Number],E84&amp;""))</f>
        <v/>
      </c>
      <c r="Z84" s="27">
        <f>IF(E84="","",SUMIFS(tbl_Finance[Ex GST],tbl_Finance[Job Number],E84&amp;"",tbl_Finance[Xero Invoice No],"&lt;&gt;"))</f>
        <v/>
      </c>
      <c r="AA84" s="27">
        <f>IF(E84="","",Y84-Z84)</f>
        <v/>
      </c>
      <c r="AB84" s="25">
        <f>IF(E84="","",IF(H84="Onsite",IFERROR(INDEX(tbl_Onsite[Qwilr Quote],MATCH(E84&amp;"",tbl_Onsite[Job Number],0)),""),IF(H84="Production",IFERROR(INDEX(tbl_Production[Current RMS No],MATCH(E84&amp;"",tbl_Production[Job Number],0)),""),IF(H84="Consulting",IFERROR(INDEX(tbl_Consulting[Qwilr Quote],MATCH(E84&amp;"",tbl_Consulting[Job Number],0)),""),""))))</f>
        <v/>
      </c>
      <c r="AC84" s="25">
        <f>IF(AB84="","",IF(AND(LEFT(AB84,4)&lt;&gt;"http",IF(H84="Production",set_RMSBase,set_QwilrBase)=""),"",HYPERLINK(IF(LEFT(AB84,4)="http",AB84,IF(H84="Production",set_RMSBase,set_QwilrBase)&amp;AB84),"Open")))</f>
        <v/>
      </c>
      <c r="AD84" s="27">
        <f>IF(E84="","",IF(H84="Production",IFERROR(INDEX(tbl_Production[Total Expense],MATCH(E84&amp;"",tbl_Production[Job Number],0)),0),IF(H84="Consulting",IFERROR(INDEX(tbl_Consulting[Total Expense],MATCH(E84&amp;"",tbl_Consulting[Job Number],0)),0),0)))</f>
        <v/>
      </c>
      <c r="AE84" s="27">
        <f>IF(E84="","",Y84-N(AD84))</f>
        <v/>
      </c>
      <c r="AF84" s="29">
        <f>IFERROR(AE84/Y84,"")</f>
        <v/>
      </c>
      <c r="AG84" s="25">
        <f>IF(E84="","",IF(H84="Onsite",IFERROR(INDEX(tbl_Onsite[Notes],MATCH(E84&amp;"",tbl_Onsite[Job Number],0)),""),IF(H84="Production",IFERROR(INDEX(tbl_Production[Notes],MATCH(E84&amp;"",tbl_Production[Job Number],0)),""),IF(H84="Consulting",IFERROR(INDEX(tbl_Consulting[Notes],MATCH(E84&amp;"",tbl_Consulting[Job Number],0)),""),""))))</f>
        <v/>
      </c>
    </row>
    <row r="85" ht="15" customHeight="1">
      <c r="A85" s="22" t="n">
        <v>46255</v>
      </c>
      <c r="B85" s="23">
        <f>IF(A85="","",EOMONTH(A85,0))</f>
        <v/>
      </c>
      <c r="C85" s="24" t="inlineStr">
        <is>
          <t>INV-10580</t>
        </is>
      </c>
      <c r="D85" s="24" t="inlineStr">
        <is>
          <t>Elkiem</t>
        </is>
      </c>
      <c r="E85" s="24" t="inlineStr">
        <is>
          <t>26071901</t>
        </is>
      </c>
      <c r="F85" s="25">
        <f>IF(E85="","",IF(COUNTIF(lst_Jobs,E85&amp;"")&gt;0,"OK","CHECK"))</f>
        <v/>
      </c>
      <c r="G85" s="24" t="inlineStr">
        <is>
          <t>Studio Support 11.8.26</t>
        </is>
      </c>
      <c r="H85" s="24" t="inlineStr">
        <is>
          <t>Production</t>
        </is>
      </c>
      <c r="I85" s="24" t="inlineStr">
        <is>
          <t>PRODUCTION</t>
        </is>
      </c>
      <c r="J85" s="24" t="inlineStr">
        <is>
          <t>Project</t>
        </is>
      </c>
      <c r="K85" s="24" t="inlineStr">
        <is>
          <t>GST 10%</t>
        </is>
      </c>
      <c r="L85" s="26" t="n">
        <v>380</v>
      </c>
      <c r="M85" s="27">
        <f>IF(L85="","",IF(K85="GST 10%",ROUND(L85*set_GSTRate,2),0))</f>
        <v/>
      </c>
      <c r="N85" s="27">
        <f>IF(L85="","",L85+M85)</f>
        <v/>
      </c>
      <c r="O85" s="24" t="inlineStr">
        <is>
          <t>42100</t>
        </is>
      </c>
      <c r="P85" s="24" t="inlineStr">
        <is>
          <t>Y</t>
        </is>
      </c>
      <c r="Q85" s="24" t="inlineStr">
        <is>
          <t>N</t>
        </is>
      </c>
      <c r="R85" s="22" t="n"/>
      <c r="S85" s="22" t="n"/>
      <c r="T85" s="24" t="inlineStr">
        <is>
          <t>Invoiced</t>
        </is>
      </c>
      <c r="U85" s="24" t="n"/>
      <c r="V85" s="25">
        <f>IF(COUNTA(A85,D85,C85,L85)=0,"",IF(A85="","No date - sits outside every month",IF(E85="","No job number",IF(F85="CHECK","Job number is not in the Xero job list",IF(I85="","No cost centre",IF(AND(P85="Y",C85=""),"Marked posted to Xero but has no invoice number",IF(AND(L85&lt;&gt;"",K85=""),"No tax code",IF(AND(L85&lt;&gt;"",O85=""),"No revenue GL code",""))))))))</f>
        <v/>
      </c>
      <c r="W85" s="25">
        <f>IF(E85="","",IFERROR(INDEX(lst_JobName,MATCH(E85&amp;"",lst_Jobs,0)),""))</f>
        <v/>
      </c>
      <c r="X85" s="28">
        <f>IF(E85="","",COUNTIFS(tbl_Finance[Job Number],E85&amp;"",tbl_Finance[Ex GST],"&lt;&gt;"))</f>
        <v/>
      </c>
      <c r="Y85" s="27">
        <f>IF(E85="","",SUMIFS(tbl_Finance[Ex GST],tbl_Finance[Job Number],E85&amp;""))</f>
        <v/>
      </c>
      <c r="Z85" s="27">
        <f>IF(E85="","",SUMIFS(tbl_Finance[Ex GST],tbl_Finance[Job Number],E85&amp;"",tbl_Finance[Xero Invoice No],"&lt;&gt;"))</f>
        <v/>
      </c>
      <c r="AA85" s="27">
        <f>IF(E85="","",Y85-Z85)</f>
        <v/>
      </c>
      <c r="AB85" s="25">
        <f>IF(E85="","",IF(H85="Onsite",IFERROR(INDEX(tbl_Onsite[Qwilr Quote],MATCH(E85&amp;"",tbl_Onsite[Job Number],0)),""),IF(H85="Production",IFERROR(INDEX(tbl_Production[Current RMS No],MATCH(E85&amp;"",tbl_Production[Job Number],0)),""),IF(H85="Consulting",IFERROR(INDEX(tbl_Consulting[Qwilr Quote],MATCH(E85&amp;"",tbl_Consulting[Job Number],0)),""),""))))</f>
        <v/>
      </c>
      <c r="AC85" s="25">
        <f>IF(AB85="","",IF(AND(LEFT(AB85,4)&lt;&gt;"http",IF(H85="Production",set_RMSBase,set_QwilrBase)=""),"",HYPERLINK(IF(LEFT(AB85,4)="http",AB85,IF(H85="Production",set_RMSBase,set_QwilrBase)&amp;AB85),"Open")))</f>
        <v/>
      </c>
      <c r="AD85" s="27">
        <f>IF(E85="","",IF(H85="Production",IFERROR(INDEX(tbl_Production[Total Expense],MATCH(E85&amp;"",tbl_Production[Job Number],0)),0),IF(H85="Consulting",IFERROR(INDEX(tbl_Consulting[Total Expense],MATCH(E85&amp;"",tbl_Consulting[Job Number],0)),0),0)))</f>
        <v/>
      </c>
      <c r="AE85" s="27">
        <f>IF(E85="","",Y85-N(AD85))</f>
        <v/>
      </c>
      <c r="AF85" s="29">
        <f>IFERROR(AE85/Y85,"")</f>
        <v/>
      </c>
      <c r="AG85" s="25">
        <f>IF(E85="","",IF(H85="Onsite",IFERROR(INDEX(tbl_Onsite[Notes],MATCH(E85&amp;"",tbl_Onsite[Job Number],0)),""),IF(H85="Production",IFERROR(INDEX(tbl_Production[Notes],MATCH(E85&amp;"",tbl_Production[Job Number],0)),""),IF(H85="Consulting",IFERROR(INDEX(tbl_Consulting[Notes],MATCH(E85&amp;"",tbl_Consulting[Job Number],0)),""),""))))</f>
        <v/>
      </c>
    </row>
    <row r="86" ht="15" customHeight="1">
      <c r="A86" s="22" t="n">
        <v>46255</v>
      </c>
      <c r="B86" s="23">
        <f>IF(A86="","",EOMONTH(A86,0))</f>
        <v/>
      </c>
      <c r="C86" s="24" t="inlineStr">
        <is>
          <t>INV-10581</t>
        </is>
      </c>
      <c r="D86" s="24" t="inlineStr">
        <is>
          <t>CEO Institute</t>
        </is>
      </c>
      <c r="E86" s="24" t="inlineStr">
        <is>
          <t>26063002</t>
        </is>
      </c>
      <c r="F86" s="25">
        <f>IF(E86="","",IF(COUNTIF(lst_Jobs,E86&amp;"")&gt;0,"OK","CHECK"))</f>
        <v/>
      </c>
      <c r="G86" s="24" t="inlineStr">
        <is>
          <t>CEO Connect 11.8.26</t>
        </is>
      </c>
      <c r="H86" s="24" t="inlineStr">
        <is>
          <t>Production</t>
        </is>
      </c>
      <c r="I86" s="24" t="inlineStr">
        <is>
          <t>PRODUCTION</t>
        </is>
      </c>
      <c r="J86" s="24" t="inlineStr">
        <is>
          <t>Project</t>
        </is>
      </c>
      <c r="K86" s="24" t="inlineStr">
        <is>
          <t>GST 10%</t>
        </is>
      </c>
      <c r="L86" s="26" t="n">
        <v>6283</v>
      </c>
      <c r="M86" s="27">
        <f>IF(L86="","",IF(K86="GST 10%",ROUND(L86*set_GSTRate,2),0))</f>
        <v/>
      </c>
      <c r="N86" s="27">
        <f>IF(L86="","",L86+M86)</f>
        <v/>
      </c>
      <c r="O86" s="24" t="inlineStr">
        <is>
          <t>42100</t>
        </is>
      </c>
      <c r="P86" s="24" t="inlineStr">
        <is>
          <t>Y</t>
        </is>
      </c>
      <c r="Q86" s="24" t="inlineStr">
        <is>
          <t>N</t>
        </is>
      </c>
      <c r="R86" s="22" t="n"/>
      <c r="S86" s="22" t="n"/>
      <c r="T86" s="24" t="inlineStr">
        <is>
          <t>Invoiced</t>
        </is>
      </c>
      <c r="U86" s="24" t="inlineStr">
        <is>
          <t>Production portion of this invoice</t>
        </is>
      </c>
      <c r="V86" s="25">
        <f>IF(COUNTA(A86,D86,C86,L86)=0,"",IF(A86="","No date - sits outside every month",IF(E86="","No job number",IF(F86="CHECK","Job number is not in the Xero job list",IF(I86="","No cost centre",IF(AND(P86="Y",C86=""),"Marked posted to Xero but has no invoice number",IF(AND(L86&lt;&gt;"",K86=""),"No tax code",IF(AND(L86&lt;&gt;"",O86=""),"No revenue GL code",""))))))))</f>
        <v/>
      </c>
      <c r="W86" s="25">
        <f>IF(E86="","",IFERROR(INDEX(lst_JobName,MATCH(E86&amp;"",lst_Jobs,0)),""))</f>
        <v/>
      </c>
      <c r="X86" s="28">
        <f>IF(E86="","",COUNTIFS(tbl_Finance[Job Number],E86&amp;"",tbl_Finance[Ex GST],"&lt;&gt;"))</f>
        <v/>
      </c>
      <c r="Y86" s="27">
        <f>IF(E86="","",SUMIFS(tbl_Finance[Ex GST],tbl_Finance[Job Number],E86&amp;""))</f>
        <v/>
      </c>
      <c r="Z86" s="27">
        <f>IF(E86="","",SUMIFS(tbl_Finance[Ex GST],tbl_Finance[Job Number],E86&amp;"",tbl_Finance[Xero Invoice No],"&lt;&gt;"))</f>
        <v/>
      </c>
      <c r="AA86" s="27">
        <f>IF(E86="","",Y86-Z86)</f>
        <v/>
      </c>
      <c r="AB86" s="25">
        <f>IF(E86="","",IF(H86="Onsite",IFERROR(INDEX(tbl_Onsite[Qwilr Quote],MATCH(E86&amp;"",tbl_Onsite[Job Number],0)),""),IF(H86="Production",IFERROR(INDEX(tbl_Production[Current RMS No],MATCH(E86&amp;"",tbl_Production[Job Number],0)),""),IF(H86="Consulting",IFERROR(INDEX(tbl_Consulting[Qwilr Quote],MATCH(E86&amp;"",tbl_Consulting[Job Number],0)),""),""))))</f>
        <v/>
      </c>
      <c r="AC86" s="25">
        <f>IF(AB86="","",IF(AND(LEFT(AB86,4)&lt;&gt;"http",IF(H86="Production",set_RMSBase,set_QwilrBase)=""),"",HYPERLINK(IF(LEFT(AB86,4)="http",AB86,IF(H86="Production",set_RMSBase,set_QwilrBase)&amp;AB86),"Open")))</f>
        <v/>
      </c>
      <c r="AD86" s="27">
        <f>IF(E86="","",IF(H86="Production",IFERROR(INDEX(tbl_Production[Total Expense],MATCH(E86&amp;"",tbl_Production[Job Number],0)),0),IF(H86="Consulting",IFERROR(INDEX(tbl_Consulting[Total Expense],MATCH(E86&amp;"",tbl_Consulting[Job Number],0)),0),0)))</f>
        <v/>
      </c>
      <c r="AE86" s="27">
        <f>IF(E86="","",Y86-N(AD86))</f>
        <v/>
      </c>
      <c r="AF86" s="29">
        <f>IFERROR(AE86/Y86,"")</f>
        <v/>
      </c>
      <c r="AG86" s="25">
        <f>IF(E86="","",IF(H86="Onsite",IFERROR(INDEX(tbl_Onsite[Notes],MATCH(E86&amp;"",tbl_Onsite[Job Number],0)),""),IF(H86="Production",IFERROR(INDEX(tbl_Production[Notes],MATCH(E86&amp;"",tbl_Production[Job Number],0)),""),IF(H86="Consulting",IFERROR(INDEX(tbl_Consulting[Notes],MATCH(E86&amp;"",tbl_Consulting[Job Number],0)),""),""))))</f>
        <v/>
      </c>
    </row>
    <row r="87" ht="15" customHeight="1">
      <c r="A87" s="22" t="n">
        <v>46255</v>
      </c>
      <c r="B87" s="23">
        <f>IF(A87="","",EOMONTH(A87,0))</f>
        <v/>
      </c>
      <c r="C87" s="24" t="inlineStr">
        <is>
          <t>INV-10581</t>
        </is>
      </c>
      <c r="D87" s="24" t="inlineStr">
        <is>
          <t>CEO Institute</t>
        </is>
      </c>
      <c r="E87" s="24" t="inlineStr">
        <is>
          <t>26063002</t>
        </is>
      </c>
      <c r="F87" s="25">
        <f>IF(E87="","",IF(COUNTIF(lst_Jobs,E87&amp;"")&gt;0,"OK","CHECK"))</f>
        <v/>
      </c>
      <c r="G87" s="24" t="inlineStr">
        <is>
          <t>CEO Connect 11.8.26</t>
        </is>
      </c>
      <c r="H87" s="24" t="inlineStr">
        <is>
          <t>Production</t>
        </is>
      </c>
      <c r="I87" s="24" t="inlineStr">
        <is>
          <t>VIDEO</t>
        </is>
      </c>
      <c r="J87" s="24" t="inlineStr">
        <is>
          <t>Project</t>
        </is>
      </c>
      <c r="K87" s="24" t="inlineStr">
        <is>
          <t>GST 10%</t>
        </is>
      </c>
      <c r="L87" s="26" t="n">
        <v>1977.35</v>
      </c>
      <c r="M87" s="27">
        <f>IF(L87="","",IF(K87="GST 10%",ROUND(L87*set_GSTRate,2),0))</f>
        <v/>
      </c>
      <c r="N87" s="27">
        <f>IF(L87="","",L87+M87)</f>
        <v/>
      </c>
      <c r="O87" s="24" t="inlineStr">
        <is>
          <t>42150</t>
        </is>
      </c>
      <c r="P87" s="24" t="inlineStr">
        <is>
          <t>Y</t>
        </is>
      </c>
      <c r="Q87" s="24" t="inlineStr">
        <is>
          <t>N</t>
        </is>
      </c>
      <c r="R87" s="22" t="n"/>
      <c r="S87" s="22" t="n"/>
      <c r="T87" s="24" t="inlineStr">
        <is>
          <t>Invoiced</t>
        </is>
      </c>
      <c r="U87" s="24" t="inlineStr">
        <is>
          <t>Video portion of this invoice</t>
        </is>
      </c>
      <c r="V87" s="25">
        <f>IF(COUNTA(A87,D87,C87,L87)=0,"",IF(A87="","No date - sits outside every month",IF(E87="","No job number",IF(F87="CHECK","Job number is not in the Xero job list",IF(I87="","No cost centre",IF(AND(P87="Y",C87=""),"Marked posted to Xero but has no invoice number",IF(AND(L87&lt;&gt;"",K87=""),"No tax code",IF(AND(L87&lt;&gt;"",O87=""),"No revenue GL code",""))))))))</f>
        <v/>
      </c>
      <c r="W87" s="25">
        <f>IF(E87="","",IFERROR(INDEX(lst_JobName,MATCH(E87&amp;"",lst_Jobs,0)),""))</f>
        <v/>
      </c>
      <c r="X87" s="28">
        <f>IF(E87="","",COUNTIFS(tbl_Finance[Job Number],E87&amp;"",tbl_Finance[Ex GST],"&lt;&gt;"))</f>
        <v/>
      </c>
      <c r="Y87" s="27">
        <f>IF(E87="","",SUMIFS(tbl_Finance[Ex GST],tbl_Finance[Job Number],E87&amp;""))</f>
        <v/>
      </c>
      <c r="Z87" s="27">
        <f>IF(E87="","",SUMIFS(tbl_Finance[Ex GST],tbl_Finance[Job Number],E87&amp;"",tbl_Finance[Xero Invoice No],"&lt;&gt;"))</f>
        <v/>
      </c>
      <c r="AA87" s="27">
        <f>IF(E87="","",Y87-Z87)</f>
        <v/>
      </c>
      <c r="AB87" s="25">
        <f>IF(E87="","",IF(H87="Onsite",IFERROR(INDEX(tbl_Onsite[Qwilr Quote],MATCH(E87&amp;"",tbl_Onsite[Job Number],0)),""),IF(H87="Production",IFERROR(INDEX(tbl_Production[Current RMS No],MATCH(E87&amp;"",tbl_Production[Job Number],0)),""),IF(H87="Consulting",IFERROR(INDEX(tbl_Consulting[Qwilr Quote],MATCH(E87&amp;"",tbl_Consulting[Job Number],0)),""),""))))</f>
        <v/>
      </c>
      <c r="AC87" s="25">
        <f>IF(AB87="","",IF(AND(LEFT(AB87,4)&lt;&gt;"http",IF(H87="Production",set_RMSBase,set_QwilrBase)=""),"",HYPERLINK(IF(LEFT(AB87,4)="http",AB87,IF(H87="Production",set_RMSBase,set_QwilrBase)&amp;AB87),"Open")))</f>
        <v/>
      </c>
      <c r="AD87" s="27">
        <f>IF(E87="","",IF(H87="Production",IFERROR(INDEX(tbl_Production[Total Expense],MATCH(E87&amp;"",tbl_Production[Job Number],0)),0),IF(H87="Consulting",IFERROR(INDEX(tbl_Consulting[Total Expense],MATCH(E87&amp;"",tbl_Consulting[Job Number],0)),0),0)))</f>
        <v/>
      </c>
      <c r="AE87" s="27">
        <f>IF(E87="","",Y87-N(AD87))</f>
        <v/>
      </c>
      <c r="AF87" s="29">
        <f>IFERROR(AE87/Y87,"")</f>
        <v/>
      </c>
      <c r="AG87" s="25">
        <f>IF(E87="","",IF(H87="Onsite",IFERROR(INDEX(tbl_Onsite[Notes],MATCH(E87&amp;"",tbl_Onsite[Job Number],0)),""),IF(H87="Production",IFERROR(INDEX(tbl_Production[Notes],MATCH(E87&amp;"",tbl_Production[Job Number],0)),""),IF(H87="Consulting",IFERROR(INDEX(tbl_Consulting[Notes],MATCH(E87&amp;"",tbl_Consulting[Job Number],0)),""),""))))</f>
        <v/>
      </c>
    </row>
    <row r="88" ht="15" customHeight="1">
      <c r="A88" s="22" t="n">
        <v>46259</v>
      </c>
      <c r="B88" s="23">
        <f>IF(A88="","",EOMONTH(A88,0))</f>
        <v/>
      </c>
      <c r="C88" s="24" t="inlineStr">
        <is>
          <t>INV-10577</t>
        </is>
      </c>
      <c r="D88" s="24" t="inlineStr">
        <is>
          <t>PwC</t>
        </is>
      </c>
      <c r="E88" s="24" t="inlineStr">
        <is>
          <t>26072903</t>
        </is>
      </c>
      <c r="F88" s="25">
        <f>IF(E88="","",IF(COUNTIF(lst_Jobs,E88&amp;"")&gt;0,"OK","CHECK"))</f>
        <v/>
      </c>
      <c r="G88" s="24" t="inlineStr">
        <is>
          <t>GB Webcast 11.8.26</t>
        </is>
      </c>
      <c r="H88" s="24" t="inlineStr">
        <is>
          <t>Production</t>
        </is>
      </c>
      <c r="I88" s="24" t="inlineStr">
        <is>
          <t>PRODUCTION</t>
        </is>
      </c>
      <c r="J88" s="24" t="inlineStr">
        <is>
          <t>Project</t>
        </is>
      </c>
      <c r="K88" s="24" t="inlineStr">
        <is>
          <t>GST 10%</t>
        </is>
      </c>
      <c r="L88" s="26" t="n">
        <v>3235</v>
      </c>
      <c r="M88" s="27">
        <f>IF(L88="","",IF(K88="GST 10%",ROUND(L88*set_GSTRate,2),0))</f>
        <v/>
      </c>
      <c r="N88" s="27">
        <f>IF(L88="","",L88+M88)</f>
        <v/>
      </c>
      <c r="O88" s="24" t="inlineStr">
        <is>
          <t>42100</t>
        </is>
      </c>
      <c r="P88" s="24" t="inlineStr">
        <is>
          <t>Y</t>
        </is>
      </c>
      <c r="Q88" s="24" t="inlineStr">
        <is>
          <t>N</t>
        </is>
      </c>
      <c r="R88" s="22" t="n"/>
      <c r="S88" s="22" t="n"/>
      <c r="T88" s="24" t="inlineStr">
        <is>
          <t>Invoiced</t>
        </is>
      </c>
      <c r="U88" s="24" t="inlineStr">
        <is>
          <t>Production portion of this invoice</t>
        </is>
      </c>
      <c r="V88" s="25">
        <f>IF(COUNTA(A88,D88,C88,L88)=0,"",IF(A88="","No date - sits outside every month",IF(E88="","No job number",IF(F88="CHECK","Job number is not in the Xero job list",IF(I88="","No cost centre",IF(AND(P88="Y",C88=""),"Marked posted to Xero but has no invoice number",IF(AND(L88&lt;&gt;"",K88=""),"No tax code",IF(AND(L88&lt;&gt;"",O88=""),"No revenue GL code",""))))))))</f>
        <v/>
      </c>
      <c r="W88" s="25">
        <f>IF(E88="","",IFERROR(INDEX(lst_JobName,MATCH(E88&amp;"",lst_Jobs,0)),""))</f>
        <v/>
      </c>
      <c r="X88" s="28">
        <f>IF(E88="","",COUNTIFS(tbl_Finance[Job Number],E88&amp;"",tbl_Finance[Ex GST],"&lt;&gt;"))</f>
        <v/>
      </c>
      <c r="Y88" s="27">
        <f>IF(E88="","",SUMIFS(tbl_Finance[Ex GST],tbl_Finance[Job Number],E88&amp;""))</f>
        <v/>
      </c>
      <c r="Z88" s="27">
        <f>IF(E88="","",SUMIFS(tbl_Finance[Ex GST],tbl_Finance[Job Number],E88&amp;"",tbl_Finance[Xero Invoice No],"&lt;&gt;"))</f>
        <v/>
      </c>
      <c r="AA88" s="27">
        <f>IF(E88="","",Y88-Z88)</f>
        <v/>
      </c>
      <c r="AB88" s="25">
        <f>IF(E88="","",IF(H88="Onsite",IFERROR(INDEX(tbl_Onsite[Qwilr Quote],MATCH(E88&amp;"",tbl_Onsite[Job Number],0)),""),IF(H88="Production",IFERROR(INDEX(tbl_Production[Current RMS No],MATCH(E88&amp;"",tbl_Production[Job Number],0)),""),IF(H88="Consulting",IFERROR(INDEX(tbl_Consulting[Qwilr Quote],MATCH(E88&amp;"",tbl_Consulting[Job Number],0)),""),""))))</f>
        <v/>
      </c>
      <c r="AC88" s="25">
        <f>IF(AB88="","",IF(AND(LEFT(AB88,4)&lt;&gt;"http",IF(H88="Production",set_RMSBase,set_QwilrBase)=""),"",HYPERLINK(IF(LEFT(AB88,4)="http",AB88,IF(H88="Production",set_RMSBase,set_QwilrBase)&amp;AB88),"Open")))</f>
        <v/>
      </c>
      <c r="AD88" s="27">
        <f>IF(E88="","",IF(H88="Production",IFERROR(INDEX(tbl_Production[Total Expense],MATCH(E88&amp;"",tbl_Production[Job Number],0)),0),IF(H88="Consulting",IFERROR(INDEX(tbl_Consulting[Total Expense],MATCH(E88&amp;"",tbl_Consulting[Job Number],0)),0),0)))</f>
        <v/>
      </c>
      <c r="AE88" s="27">
        <f>IF(E88="","",Y88-N(AD88))</f>
        <v/>
      </c>
      <c r="AF88" s="29">
        <f>IFERROR(AE88/Y88,"")</f>
        <v/>
      </c>
      <c r="AG88" s="25">
        <f>IF(E88="","",IF(H88="Onsite",IFERROR(INDEX(tbl_Onsite[Notes],MATCH(E88&amp;"",tbl_Onsite[Job Number],0)),""),IF(H88="Production",IFERROR(INDEX(tbl_Production[Notes],MATCH(E88&amp;"",tbl_Production[Job Number],0)),""),IF(H88="Consulting",IFERROR(INDEX(tbl_Consulting[Notes],MATCH(E88&amp;"",tbl_Consulting[Job Number],0)),""),""))))</f>
        <v/>
      </c>
    </row>
    <row r="89" ht="15" customHeight="1">
      <c r="A89" s="22" t="n">
        <v>46259</v>
      </c>
      <c r="B89" s="23">
        <f>IF(A89="","",EOMONTH(A89,0))</f>
        <v/>
      </c>
      <c r="C89" s="24" t="inlineStr">
        <is>
          <t>INV-10577</t>
        </is>
      </c>
      <c r="D89" s="24" t="inlineStr">
        <is>
          <t>PwC</t>
        </is>
      </c>
      <c r="E89" s="24" t="inlineStr">
        <is>
          <t>26072903</t>
        </is>
      </c>
      <c r="F89" s="25">
        <f>IF(E89="","",IF(COUNTIF(lst_Jobs,E89&amp;"")&gt;0,"OK","CHECK"))</f>
        <v/>
      </c>
      <c r="G89" s="24" t="inlineStr">
        <is>
          <t>GB Webcast 11.8.26</t>
        </is>
      </c>
      <c r="H89" s="24" t="inlineStr">
        <is>
          <t>Production</t>
        </is>
      </c>
      <c r="I89" s="24" t="inlineStr">
        <is>
          <t>VIDEO</t>
        </is>
      </c>
      <c r="J89" s="24" t="inlineStr">
        <is>
          <t>Project</t>
        </is>
      </c>
      <c r="K89" s="24" t="inlineStr">
        <is>
          <t>GST 10%</t>
        </is>
      </c>
      <c r="L89" s="26" t="n">
        <v>1065</v>
      </c>
      <c r="M89" s="27">
        <f>IF(L89="","",IF(K89="GST 10%",ROUND(L89*set_GSTRate,2),0))</f>
        <v/>
      </c>
      <c r="N89" s="27">
        <f>IF(L89="","",L89+M89)</f>
        <v/>
      </c>
      <c r="O89" s="24" t="inlineStr">
        <is>
          <t>42150</t>
        </is>
      </c>
      <c r="P89" s="24" t="inlineStr">
        <is>
          <t>Y</t>
        </is>
      </c>
      <c r="Q89" s="24" t="inlineStr">
        <is>
          <t>N</t>
        </is>
      </c>
      <c r="R89" s="22" t="n"/>
      <c r="S89" s="22" t="n"/>
      <c r="T89" s="24" t="inlineStr">
        <is>
          <t>Invoiced</t>
        </is>
      </c>
      <c r="U89" s="24" t="inlineStr">
        <is>
          <t>Video portion of this invoice</t>
        </is>
      </c>
      <c r="V89" s="25">
        <f>IF(COUNTA(A89,D89,C89,L89)=0,"",IF(A89="","No date - sits outside every month",IF(E89="","No job number",IF(F89="CHECK","Job number is not in the Xero job list",IF(I89="","No cost centre",IF(AND(P89="Y",C89=""),"Marked posted to Xero but has no invoice number",IF(AND(L89&lt;&gt;"",K89=""),"No tax code",IF(AND(L89&lt;&gt;"",O89=""),"No revenue GL code",""))))))))</f>
        <v/>
      </c>
      <c r="W89" s="25">
        <f>IF(E89="","",IFERROR(INDEX(lst_JobName,MATCH(E89&amp;"",lst_Jobs,0)),""))</f>
        <v/>
      </c>
      <c r="X89" s="28">
        <f>IF(E89="","",COUNTIFS(tbl_Finance[Job Number],E89&amp;"",tbl_Finance[Ex GST],"&lt;&gt;"))</f>
        <v/>
      </c>
      <c r="Y89" s="27">
        <f>IF(E89="","",SUMIFS(tbl_Finance[Ex GST],tbl_Finance[Job Number],E89&amp;""))</f>
        <v/>
      </c>
      <c r="Z89" s="27">
        <f>IF(E89="","",SUMIFS(tbl_Finance[Ex GST],tbl_Finance[Job Number],E89&amp;"",tbl_Finance[Xero Invoice No],"&lt;&gt;"))</f>
        <v/>
      </c>
      <c r="AA89" s="27">
        <f>IF(E89="","",Y89-Z89)</f>
        <v/>
      </c>
      <c r="AB89" s="25">
        <f>IF(E89="","",IF(H89="Onsite",IFERROR(INDEX(tbl_Onsite[Qwilr Quote],MATCH(E89&amp;"",tbl_Onsite[Job Number],0)),""),IF(H89="Production",IFERROR(INDEX(tbl_Production[Current RMS No],MATCH(E89&amp;"",tbl_Production[Job Number],0)),""),IF(H89="Consulting",IFERROR(INDEX(tbl_Consulting[Qwilr Quote],MATCH(E89&amp;"",tbl_Consulting[Job Number],0)),""),""))))</f>
        <v/>
      </c>
      <c r="AC89" s="25">
        <f>IF(AB89="","",IF(AND(LEFT(AB89,4)&lt;&gt;"http",IF(H89="Production",set_RMSBase,set_QwilrBase)=""),"",HYPERLINK(IF(LEFT(AB89,4)="http",AB89,IF(H89="Production",set_RMSBase,set_QwilrBase)&amp;AB89),"Open")))</f>
        <v/>
      </c>
      <c r="AD89" s="27">
        <f>IF(E89="","",IF(H89="Production",IFERROR(INDEX(tbl_Production[Total Expense],MATCH(E89&amp;"",tbl_Production[Job Number],0)),0),IF(H89="Consulting",IFERROR(INDEX(tbl_Consulting[Total Expense],MATCH(E89&amp;"",tbl_Consulting[Job Number],0)),0),0)))</f>
        <v/>
      </c>
      <c r="AE89" s="27">
        <f>IF(E89="","",Y89-N(AD89))</f>
        <v/>
      </c>
      <c r="AF89" s="29">
        <f>IFERROR(AE89/Y89,"")</f>
        <v/>
      </c>
      <c r="AG89" s="25">
        <f>IF(E89="","",IF(H89="Onsite",IFERROR(INDEX(tbl_Onsite[Notes],MATCH(E89&amp;"",tbl_Onsite[Job Number],0)),""),IF(H89="Production",IFERROR(INDEX(tbl_Production[Notes],MATCH(E89&amp;"",tbl_Production[Job Number],0)),""),IF(H89="Consulting",IFERROR(INDEX(tbl_Consulting[Notes],MATCH(E89&amp;"",tbl_Consulting[Job Number],0)),""),""))))</f>
        <v/>
      </c>
    </row>
    <row r="90" ht="15" customHeight="1">
      <c r="A90" s="22" t="n">
        <v>46259</v>
      </c>
      <c r="B90" s="23">
        <f>IF(A90="","",EOMONTH(A90,0))</f>
        <v/>
      </c>
      <c r="C90" s="24" t="inlineStr">
        <is>
          <t>INV - 10584
INV - 10585</t>
        </is>
      </c>
      <c r="D90" s="24" t="inlineStr">
        <is>
          <t>MUFG</t>
        </is>
      </c>
      <c r="E90" s="24" t="inlineStr">
        <is>
          <t>26061104</t>
        </is>
      </c>
      <c r="F90" s="25">
        <f>IF(E90="","",IF(COUNTIF(lst_Jobs,E90&amp;"")&gt;0,"OK","CHECK"))</f>
        <v/>
      </c>
      <c r="G90" s="24" t="inlineStr">
        <is>
          <t>MUFG - Suncorp FYR</t>
        </is>
      </c>
      <c r="H90" s="24" t="inlineStr">
        <is>
          <t>Production</t>
        </is>
      </c>
      <c r="I90" s="24" t="inlineStr">
        <is>
          <t>PRODUCTION</t>
        </is>
      </c>
      <c r="J90" s="24" t="inlineStr">
        <is>
          <t>Project</t>
        </is>
      </c>
      <c r="K90" s="24" t="inlineStr">
        <is>
          <t>GST 10%</t>
        </is>
      </c>
      <c r="L90" s="26" t="n">
        <v>25635.25</v>
      </c>
      <c r="M90" s="27">
        <f>IF(L90="","",IF(K90="GST 10%",ROUND(L90*set_GSTRate,2),0))</f>
        <v/>
      </c>
      <c r="N90" s="27">
        <f>IF(L90="","",L90+M90)</f>
        <v/>
      </c>
      <c r="O90" s="24" t="inlineStr">
        <is>
          <t>42100</t>
        </is>
      </c>
      <c r="P90" s="24" t="inlineStr">
        <is>
          <t>Y</t>
        </is>
      </c>
      <c r="Q90" s="24" t="inlineStr">
        <is>
          <t>N</t>
        </is>
      </c>
      <c r="R90" s="22" t="n"/>
      <c r="S90" s="22" t="n"/>
      <c r="T90" s="24" t="inlineStr">
        <is>
          <t>Invoiced</t>
        </is>
      </c>
      <c r="U90" s="24" t="inlineStr">
        <is>
          <t>Production portion of this invoice</t>
        </is>
      </c>
      <c r="V90" s="25">
        <f>IF(COUNTA(A90,D90,C90,L90)=0,"",IF(A90="","No date - sits outside every month",IF(E90="","No job number",IF(F90="CHECK","Job number is not in the Xero job list",IF(I90="","No cost centre",IF(AND(P90="Y",C90=""),"Marked posted to Xero but has no invoice number",IF(AND(L90&lt;&gt;"",K90=""),"No tax code",IF(AND(L90&lt;&gt;"",O90=""),"No revenue GL code",""))))))))</f>
        <v/>
      </c>
      <c r="W90" s="25">
        <f>IF(E90="","",IFERROR(INDEX(lst_JobName,MATCH(E90&amp;"",lst_Jobs,0)),""))</f>
        <v/>
      </c>
      <c r="X90" s="28">
        <f>IF(E90="","",COUNTIFS(tbl_Finance[Job Number],E90&amp;"",tbl_Finance[Ex GST],"&lt;&gt;"))</f>
        <v/>
      </c>
      <c r="Y90" s="27">
        <f>IF(E90="","",SUMIFS(tbl_Finance[Ex GST],tbl_Finance[Job Number],E90&amp;""))</f>
        <v/>
      </c>
      <c r="Z90" s="27">
        <f>IF(E90="","",SUMIFS(tbl_Finance[Ex GST],tbl_Finance[Job Number],E90&amp;"",tbl_Finance[Xero Invoice No],"&lt;&gt;"))</f>
        <v/>
      </c>
      <c r="AA90" s="27">
        <f>IF(E90="","",Y90-Z90)</f>
        <v/>
      </c>
      <c r="AB90" s="25">
        <f>IF(E90="","",IF(H90="Onsite",IFERROR(INDEX(tbl_Onsite[Qwilr Quote],MATCH(E90&amp;"",tbl_Onsite[Job Number],0)),""),IF(H90="Production",IFERROR(INDEX(tbl_Production[Current RMS No],MATCH(E90&amp;"",tbl_Production[Job Number],0)),""),IF(H90="Consulting",IFERROR(INDEX(tbl_Consulting[Qwilr Quote],MATCH(E90&amp;"",tbl_Consulting[Job Number],0)),""),""))))</f>
        <v/>
      </c>
      <c r="AC90" s="25">
        <f>IF(AB90="","",IF(AND(LEFT(AB90,4)&lt;&gt;"http",IF(H90="Production",set_RMSBase,set_QwilrBase)=""),"",HYPERLINK(IF(LEFT(AB90,4)="http",AB90,IF(H90="Production",set_RMSBase,set_QwilrBase)&amp;AB90),"Open")))</f>
        <v/>
      </c>
      <c r="AD90" s="27">
        <f>IF(E90="","",IF(H90="Production",IFERROR(INDEX(tbl_Production[Total Expense],MATCH(E90&amp;"",tbl_Production[Job Number],0)),0),IF(H90="Consulting",IFERROR(INDEX(tbl_Consulting[Total Expense],MATCH(E90&amp;"",tbl_Consulting[Job Number],0)),0),0)))</f>
        <v/>
      </c>
      <c r="AE90" s="27">
        <f>IF(E90="","",Y90-N(AD90))</f>
        <v/>
      </c>
      <c r="AF90" s="29">
        <f>IFERROR(AE90/Y90,"")</f>
        <v/>
      </c>
      <c r="AG90" s="25">
        <f>IF(E90="","",IF(H90="Onsite",IFERROR(INDEX(tbl_Onsite[Notes],MATCH(E90&amp;"",tbl_Onsite[Job Number],0)),""),IF(H90="Production",IFERROR(INDEX(tbl_Production[Notes],MATCH(E90&amp;"",tbl_Production[Job Number],0)),""),IF(H90="Consulting",IFERROR(INDEX(tbl_Consulting[Notes],MATCH(E90&amp;"",tbl_Consulting[Job Number],0)),""),""))))</f>
        <v/>
      </c>
    </row>
    <row r="91" ht="15" customHeight="1">
      <c r="A91" s="22" t="n">
        <v>46259</v>
      </c>
      <c r="B91" s="23">
        <f>IF(A91="","",EOMONTH(A91,0))</f>
        <v/>
      </c>
      <c r="C91" s="24" t="inlineStr">
        <is>
          <t>INV - 10584
INV - 10585</t>
        </is>
      </c>
      <c r="D91" s="24" t="inlineStr">
        <is>
          <t>MUFG</t>
        </is>
      </c>
      <c r="E91" s="24" t="inlineStr">
        <is>
          <t>26061104</t>
        </is>
      </c>
      <c r="F91" s="25">
        <f>IF(E91="","",IF(COUNTIF(lst_Jobs,E91&amp;"")&gt;0,"OK","CHECK"))</f>
        <v/>
      </c>
      <c r="G91" s="24" t="inlineStr">
        <is>
          <t>MUFG - Suncorp FYR</t>
        </is>
      </c>
      <c r="H91" s="24" t="inlineStr">
        <is>
          <t>Production</t>
        </is>
      </c>
      <c r="I91" s="24" t="inlineStr">
        <is>
          <t>VIDEO</t>
        </is>
      </c>
      <c r="J91" s="24" t="inlineStr">
        <is>
          <t>Project</t>
        </is>
      </c>
      <c r="K91" s="24" t="inlineStr">
        <is>
          <t>GST 10%</t>
        </is>
      </c>
      <c r="L91" s="26" t="n">
        <v>3017</v>
      </c>
      <c r="M91" s="27">
        <f>IF(L91="","",IF(K91="GST 10%",ROUND(L91*set_GSTRate,2),0))</f>
        <v/>
      </c>
      <c r="N91" s="27">
        <f>IF(L91="","",L91+M91)</f>
        <v/>
      </c>
      <c r="O91" s="24" t="inlineStr">
        <is>
          <t>42150</t>
        </is>
      </c>
      <c r="P91" s="24" t="inlineStr">
        <is>
          <t>Y</t>
        </is>
      </c>
      <c r="Q91" s="24" t="inlineStr">
        <is>
          <t>N</t>
        </is>
      </c>
      <c r="R91" s="22" t="n"/>
      <c r="S91" s="22" t="n"/>
      <c r="T91" s="24" t="inlineStr">
        <is>
          <t>Invoiced</t>
        </is>
      </c>
      <c r="U91" s="24" t="inlineStr">
        <is>
          <t>Video portion of this invoice</t>
        </is>
      </c>
      <c r="V91" s="25">
        <f>IF(COUNTA(A91,D91,C91,L91)=0,"",IF(A91="","No date - sits outside every month",IF(E91="","No job number",IF(F91="CHECK","Job number is not in the Xero job list",IF(I91="","No cost centre",IF(AND(P91="Y",C91=""),"Marked posted to Xero but has no invoice number",IF(AND(L91&lt;&gt;"",K91=""),"No tax code",IF(AND(L91&lt;&gt;"",O91=""),"No revenue GL code",""))))))))</f>
        <v/>
      </c>
      <c r="W91" s="25">
        <f>IF(E91="","",IFERROR(INDEX(lst_JobName,MATCH(E91&amp;"",lst_Jobs,0)),""))</f>
        <v/>
      </c>
      <c r="X91" s="28">
        <f>IF(E91="","",COUNTIFS(tbl_Finance[Job Number],E91&amp;"",tbl_Finance[Ex GST],"&lt;&gt;"))</f>
        <v/>
      </c>
      <c r="Y91" s="27">
        <f>IF(E91="","",SUMIFS(tbl_Finance[Ex GST],tbl_Finance[Job Number],E91&amp;""))</f>
        <v/>
      </c>
      <c r="Z91" s="27">
        <f>IF(E91="","",SUMIFS(tbl_Finance[Ex GST],tbl_Finance[Job Number],E91&amp;"",tbl_Finance[Xero Invoice No],"&lt;&gt;"))</f>
        <v/>
      </c>
      <c r="AA91" s="27">
        <f>IF(E91="","",Y91-Z91)</f>
        <v/>
      </c>
      <c r="AB91" s="25">
        <f>IF(E91="","",IF(H91="Onsite",IFERROR(INDEX(tbl_Onsite[Qwilr Quote],MATCH(E91&amp;"",tbl_Onsite[Job Number],0)),""),IF(H91="Production",IFERROR(INDEX(tbl_Production[Current RMS No],MATCH(E91&amp;"",tbl_Production[Job Number],0)),""),IF(H91="Consulting",IFERROR(INDEX(tbl_Consulting[Qwilr Quote],MATCH(E91&amp;"",tbl_Consulting[Job Number],0)),""),""))))</f>
        <v/>
      </c>
      <c r="AC91" s="25">
        <f>IF(AB91="","",IF(AND(LEFT(AB91,4)&lt;&gt;"http",IF(H91="Production",set_RMSBase,set_QwilrBase)=""),"",HYPERLINK(IF(LEFT(AB91,4)="http",AB91,IF(H91="Production",set_RMSBase,set_QwilrBase)&amp;AB91),"Open")))</f>
        <v/>
      </c>
      <c r="AD91" s="27">
        <f>IF(E91="","",IF(H91="Production",IFERROR(INDEX(tbl_Production[Total Expense],MATCH(E91&amp;"",tbl_Production[Job Number],0)),0),IF(H91="Consulting",IFERROR(INDEX(tbl_Consulting[Total Expense],MATCH(E91&amp;"",tbl_Consulting[Job Number],0)),0),0)))</f>
        <v/>
      </c>
      <c r="AE91" s="27">
        <f>IF(E91="","",Y91-N(AD91))</f>
        <v/>
      </c>
      <c r="AF91" s="29">
        <f>IFERROR(AE91/Y91,"")</f>
        <v/>
      </c>
      <c r="AG91" s="25">
        <f>IF(E91="","",IF(H91="Onsite",IFERROR(INDEX(tbl_Onsite[Notes],MATCH(E91&amp;"",tbl_Onsite[Job Number],0)),""),IF(H91="Production",IFERROR(INDEX(tbl_Production[Notes],MATCH(E91&amp;"",tbl_Production[Job Number],0)),""),IF(H91="Consulting",IFERROR(INDEX(tbl_Consulting[Notes],MATCH(E91&amp;"",tbl_Consulting[Job Number],0)),""),""))))</f>
        <v/>
      </c>
    </row>
    <row r="92" ht="15" customHeight="1">
      <c r="A92" s="22" t="n">
        <v>46247</v>
      </c>
      <c r="B92" s="23">
        <f>IF(A92="","",EOMONTH(A92,0))</f>
        <v/>
      </c>
      <c r="C92" s="24" t="inlineStr">
        <is>
          <t>INV-10563</t>
        </is>
      </c>
      <c r="D92" s="24" t="inlineStr">
        <is>
          <t>CBA</t>
        </is>
      </c>
      <c r="E92" s="24" t="inlineStr">
        <is>
          <t>26061105</t>
        </is>
      </c>
      <c r="F92" s="25">
        <f>IF(E92="","",IF(COUNTIF(lst_Jobs,E92&amp;"")&gt;0,"OK","CHECK"))</f>
        <v/>
      </c>
      <c r="G92" s="24" t="inlineStr">
        <is>
          <t>CBA FYR 2026 (Order PO3308779)</t>
        </is>
      </c>
      <c r="H92" s="24" t="inlineStr">
        <is>
          <t>Production</t>
        </is>
      </c>
      <c r="I92" s="24" t="inlineStr">
        <is>
          <t>PRODUCTION</t>
        </is>
      </c>
      <c r="J92" s="24" t="inlineStr">
        <is>
          <t>Project</t>
        </is>
      </c>
      <c r="K92" s="24" t="inlineStr">
        <is>
          <t>GST 10%</t>
        </is>
      </c>
      <c r="L92" s="26" t="n">
        <v>11320</v>
      </c>
      <c r="M92" s="27">
        <f>IF(L92="","",IF(K92="GST 10%",ROUND(L92*set_GSTRate,2),0))</f>
        <v/>
      </c>
      <c r="N92" s="27">
        <f>IF(L92="","",L92+M92)</f>
        <v/>
      </c>
      <c r="O92" s="24" t="inlineStr">
        <is>
          <t>42100</t>
        </is>
      </c>
      <c r="P92" s="24" t="inlineStr">
        <is>
          <t>Y</t>
        </is>
      </c>
      <c r="Q92" s="24" t="inlineStr">
        <is>
          <t>N</t>
        </is>
      </c>
      <c r="R92" s="22" t="n"/>
      <c r="S92" s="22" t="n"/>
      <c r="T92" s="24" t="inlineStr">
        <is>
          <t>Invoiced</t>
        </is>
      </c>
      <c r="U92" s="24" t="inlineStr">
        <is>
          <t>Production portion of this invoice</t>
        </is>
      </c>
      <c r="V92" s="25">
        <f>IF(COUNTA(A92,D92,C92,L92)=0,"",IF(A92="","No date - sits outside every month",IF(E92="","No job number",IF(F92="CHECK","Job number is not in the Xero job list",IF(I92="","No cost centre",IF(AND(P92="Y",C92=""),"Marked posted to Xero but has no invoice number",IF(AND(L92&lt;&gt;"",K92=""),"No tax code",IF(AND(L92&lt;&gt;"",O92=""),"No revenue GL code",""))))))))</f>
        <v/>
      </c>
      <c r="W92" s="25">
        <f>IF(E92="","",IFERROR(INDEX(lst_JobName,MATCH(E92&amp;"",lst_Jobs,0)),""))</f>
        <v/>
      </c>
      <c r="X92" s="28">
        <f>IF(E92="","",COUNTIFS(tbl_Finance[Job Number],E92&amp;"",tbl_Finance[Ex GST],"&lt;&gt;"))</f>
        <v/>
      </c>
      <c r="Y92" s="27">
        <f>IF(E92="","",SUMIFS(tbl_Finance[Ex GST],tbl_Finance[Job Number],E92&amp;""))</f>
        <v/>
      </c>
      <c r="Z92" s="27">
        <f>IF(E92="","",SUMIFS(tbl_Finance[Ex GST],tbl_Finance[Job Number],E92&amp;"",tbl_Finance[Xero Invoice No],"&lt;&gt;"))</f>
        <v/>
      </c>
      <c r="AA92" s="27">
        <f>IF(E92="","",Y92-Z92)</f>
        <v/>
      </c>
      <c r="AB92" s="25">
        <f>IF(E92="","",IF(H92="Onsite",IFERROR(INDEX(tbl_Onsite[Qwilr Quote],MATCH(E92&amp;"",tbl_Onsite[Job Number],0)),""),IF(H92="Production",IFERROR(INDEX(tbl_Production[Current RMS No],MATCH(E92&amp;"",tbl_Production[Job Number],0)),""),IF(H92="Consulting",IFERROR(INDEX(tbl_Consulting[Qwilr Quote],MATCH(E92&amp;"",tbl_Consulting[Job Number],0)),""),""))))</f>
        <v/>
      </c>
      <c r="AC92" s="25">
        <f>IF(AB92="","",IF(AND(LEFT(AB92,4)&lt;&gt;"http",IF(H92="Production",set_RMSBase,set_QwilrBase)=""),"",HYPERLINK(IF(LEFT(AB92,4)="http",AB92,IF(H92="Production",set_RMSBase,set_QwilrBase)&amp;AB92),"Open")))</f>
        <v/>
      </c>
      <c r="AD92" s="27">
        <f>IF(E92="","",IF(H92="Production",IFERROR(INDEX(tbl_Production[Total Expense],MATCH(E92&amp;"",tbl_Production[Job Number],0)),0),IF(H92="Consulting",IFERROR(INDEX(tbl_Consulting[Total Expense],MATCH(E92&amp;"",tbl_Consulting[Job Number],0)),0),0)))</f>
        <v/>
      </c>
      <c r="AE92" s="27">
        <f>IF(E92="","",Y92-N(AD92))</f>
        <v/>
      </c>
      <c r="AF92" s="29">
        <f>IFERROR(AE92/Y92,"")</f>
        <v/>
      </c>
      <c r="AG92" s="25">
        <f>IF(E92="","",IF(H92="Onsite",IFERROR(INDEX(tbl_Onsite[Notes],MATCH(E92&amp;"",tbl_Onsite[Job Number],0)),""),IF(H92="Production",IFERROR(INDEX(tbl_Production[Notes],MATCH(E92&amp;"",tbl_Production[Job Number],0)),""),IF(H92="Consulting",IFERROR(INDEX(tbl_Consulting[Notes],MATCH(E92&amp;"",tbl_Consulting[Job Number],0)),""),""))))</f>
        <v/>
      </c>
    </row>
    <row r="93" ht="15" customHeight="1">
      <c r="A93" s="22" t="n">
        <v>46247</v>
      </c>
      <c r="B93" s="23">
        <f>IF(A93="","",EOMONTH(A93,0))</f>
        <v/>
      </c>
      <c r="C93" s="24" t="inlineStr">
        <is>
          <t>INV-10563</t>
        </is>
      </c>
      <c r="D93" s="24" t="inlineStr">
        <is>
          <t>CBA</t>
        </is>
      </c>
      <c r="E93" s="24" t="inlineStr">
        <is>
          <t>26061105</t>
        </is>
      </c>
      <c r="F93" s="25">
        <f>IF(E93="","",IF(COUNTIF(lst_Jobs,E93&amp;"")&gt;0,"OK","CHECK"))</f>
        <v/>
      </c>
      <c r="G93" s="24" t="inlineStr">
        <is>
          <t>CBA FYR 2026 (Order PO3308779)</t>
        </is>
      </c>
      <c r="H93" s="24" t="inlineStr">
        <is>
          <t>Production</t>
        </is>
      </c>
      <c r="I93" s="24" t="inlineStr">
        <is>
          <t>VIDEO</t>
        </is>
      </c>
      <c r="J93" s="24" t="inlineStr">
        <is>
          <t>Project</t>
        </is>
      </c>
      <c r="K93" s="24" t="inlineStr">
        <is>
          <t>GST 10%</t>
        </is>
      </c>
      <c r="L93" s="26" t="n">
        <v>850</v>
      </c>
      <c r="M93" s="27">
        <f>IF(L93="","",IF(K93="GST 10%",ROUND(L93*set_GSTRate,2),0))</f>
        <v/>
      </c>
      <c r="N93" s="27">
        <f>IF(L93="","",L93+M93)</f>
        <v/>
      </c>
      <c r="O93" s="24" t="inlineStr">
        <is>
          <t>42150</t>
        </is>
      </c>
      <c r="P93" s="24" t="inlineStr">
        <is>
          <t>Y</t>
        </is>
      </c>
      <c r="Q93" s="24" t="inlineStr">
        <is>
          <t>N</t>
        </is>
      </c>
      <c r="R93" s="22" t="n"/>
      <c r="S93" s="22" t="n"/>
      <c r="T93" s="24" t="inlineStr">
        <is>
          <t>Invoiced</t>
        </is>
      </c>
      <c r="U93" s="24" t="inlineStr">
        <is>
          <t>Video portion of this invoice</t>
        </is>
      </c>
      <c r="V93" s="25">
        <f>IF(COUNTA(A93,D93,C93,L93)=0,"",IF(A93="","No date - sits outside every month",IF(E93="","No job number",IF(F93="CHECK","Job number is not in the Xero job list",IF(I93="","No cost centre",IF(AND(P93="Y",C93=""),"Marked posted to Xero but has no invoice number",IF(AND(L93&lt;&gt;"",K93=""),"No tax code",IF(AND(L93&lt;&gt;"",O93=""),"No revenue GL code",""))))))))</f>
        <v/>
      </c>
      <c r="W93" s="25">
        <f>IF(E93="","",IFERROR(INDEX(lst_JobName,MATCH(E93&amp;"",lst_Jobs,0)),""))</f>
        <v/>
      </c>
      <c r="X93" s="28">
        <f>IF(E93="","",COUNTIFS(tbl_Finance[Job Number],E93&amp;"",tbl_Finance[Ex GST],"&lt;&gt;"))</f>
        <v/>
      </c>
      <c r="Y93" s="27">
        <f>IF(E93="","",SUMIFS(tbl_Finance[Ex GST],tbl_Finance[Job Number],E93&amp;""))</f>
        <v/>
      </c>
      <c r="Z93" s="27">
        <f>IF(E93="","",SUMIFS(tbl_Finance[Ex GST],tbl_Finance[Job Number],E93&amp;"",tbl_Finance[Xero Invoice No],"&lt;&gt;"))</f>
        <v/>
      </c>
      <c r="AA93" s="27">
        <f>IF(E93="","",Y93-Z93)</f>
        <v/>
      </c>
      <c r="AB93" s="25">
        <f>IF(E93="","",IF(H93="Onsite",IFERROR(INDEX(tbl_Onsite[Qwilr Quote],MATCH(E93&amp;"",tbl_Onsite[Job Number],0)),""),IF(H93="Production",IFERROR(INDEX(tbl_Production[Current RMS No],MATCH(E93&amp;"",tbl_Production[Job Number],0)),""),IF(H93="Consulting",IFERROR(INDEX(tbl_Consulting[Qwilr Quote],MATCH(E93&amp;"",tbl_Consulting[Job Number],0)),""),""))))</f>
        <v/>
      </c>
      <c r="AC93" s="25">
        <f>IF(AB93="","",IF(AND(LEFT(AB93,4)&lt;&gt;"http",IF(H93="Production",set_RMSBase,set_QwilrBase)=""),"",HYPERLINK(IF(LEFT(AB93,4)="http",AB93,IF(H93="Production",set_RMSBase,set_QwilrBase)&amp;AB93),"Open")))</f>
        <v/>
      </c>
      <c r="AD93" s="27">
        <f>IF(E93="","",IF(H93="Production",IFERROR(INDEX(tbl_Production[Total Expense],MATCH(E93&amp;"",tbl_Production[Job Number],0)),0),IF(H93="Consulting",IFERROR(INDEX(tbl_Consulting[Total Expense],MATCH(E93&amp;"",tbl_Consulting[Job Number],0)),0),0)))</f>
        <v/>
      </c>
      <c r="AE93" s="27">
        <f>IF(E93="","",Y93-N(AD93))</f>
        <v/>
      </c>
      <c r="AF93" s="29">
        <f>IFERROR(AE93/Y93,"")</f>
        <v/>
      </c>
      <c r="AG93" s="25">
        <f>IF(E93="","",IF(H93="Onsite",IFERROR(INDEX(tbl_Onsite[Notes],MATCH(E93&amp;"",tbl_Onsite[Job Number],0)),""),IF(H93="Production",IFERROR(INDEX(tbl_Production[Notes],MATCH(E93&amp;"",tbl_Production[Job Number],0)),""),IF(H93="Consulting",IFERROR(INDEX(tbl_Consulting[Notes],MATCH(E93&amp;"",tbl_Consulting[Job Number],0)),""),""))))</f>
        <v/>
      </c>
    </row>
    <row r="94" ht="15" customHeight="1">
      <c r="A94" s="22" t="n">
        <v>46255</v>
      </c>
      <c r="B94" s="23">
        <f>IF(A94="","",EOMONTH(A94,0))</f>
        <v/>
      </c>
      <c r="C94" s="24" t="inlineStr">
        <is>
          <t>INV-10579</t>
        </is>
      </c>
      <c r="D94" s="24" t="inlineStr">
        <is>
          <t>AGL</t>
        </is>
      </c>
      <c r="E94" s="24" t="inlineStr">
        <is>
          <t>2605401</t>
        </is>
      </c>
      <c r="F94" s="25">
        <f>IF(E94="","",IF(COUNTIF(lst_Jobs,E94&amp;"")&gt;0,"OK","CHECK"))</f>
        <v/>
      </c>
      <c r="G94" s="24" t="inlineStr">
        <is>
          <t>AGL FYR - Investor Briefing</t>
        </is>
      </c>
      <c r="H94" s="24" t="inlineStr">
        <is>
          <t>Production</t>
        </is>
      </c>
      <c r="I94" s="24" t="inlineStr">
        <is>
          <t>PRODUCTION</t>
        </is>
      </c>
      <c r="J94" s="24" t="inlineStr">
        <is>
          <t>Project</t>
        </is>
      </c>
      <c r="K94" s="24" t="inlineStr">
        <is>
          <t>GST 10%</t>
        </is>
      </c>
      <c r="L94" s="26" t="n">
        <v>12465.5</v>
      </c>
      <c r="M94" s="27">
        <f>IF(L94="","",IF(K94="GST 10%",ROUND(L94*set_GSTRate,2),0))</f>
        <v/>
      </c>
      <c r="N94" s="27">
        <f>IF(L94="","",L94+M94)</f>
        <v/>
      </c>
      <c r="O94" s="24" t="inlineStr">
        <is>
          <t>42100</t>
        </is>
      </c>
      <c r="P94" s="24" t="inlineStr">
        <is>
          <t>Y</t>
        </is>
      </c>
      <c r="Q94" s="24" t="inlineStr">
        <is>
          <t>N</t>
        </is>
      </c>
      <c r="R94" s="22" t="n"/>
      <c r="S94" s="22" t="n"/>
      <c r="T94" s="24" t="inlineStr">
        <is>
          <t>Invoiced</t>
        </is>
      </c>
      <c r="U94" s="24" t="inlineStr">
        <is>
          <t>Production portion of this invoice</t>
        </is>
      </c>
      <c r="V94" s="25">
        <f>IF(COUNTA(A94,D94,C94,L94)=0,"",IF(A94="","No date - sits outside every month",IF(E94="","No job number",IF(F94="CHECK","Job number is not in the Xero job list",IF(I94="","No cost centre",IF(AND(P94="Y",C94=""),"Marked posted to Xero but has no invoice number",IF(AND(L94&lt;&gt;"",K94=""),"No tax code",IF(AND(L94&lt;&gt;"",O94=""),"No revenue GL code",""))))))))</f>
        <v/>
      </c>
      <c r="W94" s="25">
        <f>IF(E94="","",IFERROR(INDEX(lst_JobName,MATCH(E94&amp;"",lst_Jobs,0)),""))</f>
        <v/>
      </c>
      <c r="X94" s="28">
        <f>IF(E94="","",COUNTIFS(tbl_Finance[Job Number],E94&amp;"",tbl_Finance[Ex GST],"&lt;&gt;"))</f>
        <v/>
      </c>
      <c r="Y94" s="27">
        <f>IF(E94="","",SUMIFS(tbl_Finance[Ex GST],tbl_Finance[Job Number],E94&amp;""))</f>
        <v/>
      </c>
      <c r="Z94" s="27">
        <f>IF(E94="","",SUMIFS(tbl_Finance[Ex GST],tbl_Finance[Job Number],E94&amp;"",tbl_Finance[Xero Invoice No],"&lt;&gt;"))</f>
        <v/>
      </c>
      <c r="AA94" s="27">
        <f>IF(E94="","",Y94-Z94)</f>
        <v/>
      </c>
      <c r="AB94" s="25">
        <f>IF(E94="","",IF(H94="Onsite",IFERROR(INDEX(tbl_Onsite[Qwilr Quote],MATCH(E94&amp;"",tbl_Onsite[Job Number],0)),""),IF(H94="Production",IFERROR(INDEX(tbl_Production[Current RMS No],MATCH(E94&amp;"",tbl_Production[Job Number],0)),""),IF(H94="Consulting",IFERROR(INDEX(tbl_Consulting[Qwilr Quote],MATCH(E94&amp;"",tbl_Consulting[Job Number],0)),""),""))))</f>
        <v/>
      </c>
      <c r="AC94" s="25">
        <f>IF(AB94="","",IF(AND(LEFT(AB94,4)&lt;&gt;"http",IF(H94="Production",set_RMSBase,set_QwilrBase)=""),"",HYPERLINK(IF(LEFT(AB94,4)="http",AB94,IF(H94="Production",set_RMSBase,set_QwilrBase)&amp;AB94),"Open")))</f>
        <v/>
      </c>
      <c r="AD94" s="27">
        <f>IF(E94="","",IF(H94="Production",IFERROR(INDEX(tbl_Production[Total Expense],MATCH(E94&amp;"",tbl_Production[Job Number],0)),0),IF(H94="Consulting",IFERROR(INDEX(tbl_Consulting[Total Expense],MATCH(E94&amp;"",tbl_Consulting[Job Number],0)),0),0)))</f>
        <v/>
      </c>
      <c r="AE94" s="27">
        <f>IF(E94="","",Y94-N(AD94))</f>
        <v/>
      </c>
      <c r="AF94" s="29">
        <f>IFERROR(AE94/Y94,"")</f>
        <v/>
      </c>
      <c r="AG94" s="25">
        <f>IF(E94="","",IF(H94="Onsite",IFERROR(INDEX(tbl_Onsite[Notes],MATCH(E94&amp;"",tbl_Onsite[Job Number],0)),""),IF(H94="Production",IFERROR(INDEX(tbl_Production[Notes],MATCH(E94&amp;"",tbl_Production[Job Number],0)),""),IF(H94="Consulting",IFERROR(INDEX(tbl_Consulting[Notes],MATCH(E94&amp;"",tbl_Consulting[Job Number],0)),""),""))))</f>
        <v/>
      </c>
    </row>
    <row r="95" ht="15" customHeight="1">
      <c r="A95" s="22" t="n">
        <v>46255</v>
      </c>
      <c r="B95" s="23">
        <f>IF(A95="","",EOMONTH(A95,0))</f>
        <v/>
      </c>
      <c r="C95" s="24" t="inlineStr">
        <is>
          <t>INV-10579</t>
        </is>
      </c>
      <c r="D95" s="24" t="inlineStr">
        <is>
          <t>AGL</t>
        </is>
      </c>
      <c r="E95" s="24" t="inlineStr">
        <is>
          <t>2605401</t>
        </is>
      </c>
      <c r="F95" s="25">
        <f>IF(E95="","",IF(COUNTIF(lst_Jobs,E95&amp;"")&gt;0,"OK","CHECK"))</f>
        <v/>
      </c>
      <c r="G95" s="24" t="inlineStr">
        <is>
          <t>AGL FYR - Investor Briefing</t>
        </is>
      </c>
      <c r="H95" s="24" t="inlineStr">
        <is>
          <t>Production</t>
        </is>
      </c>
      <c r="I95" s="24" t="inlineStr">
        <is>
          <t>VIDEO</t>
        </is>
      </c>
      <c r="J95" s="24" t="inlineStr">
        <is>
          <t>Project</t>
        </is>
      </c>
      <c r="K95" s="24" t="inlineStr">
        <is>
          <t>GST 10%</t>
        </is>
      </c>
      <c r="L95" s="26" t="n">
        <v>1806</v>
      </c>
      <c r="M95" s="27">
        <f>IF(L95="","",IF(K95="GST 10%",ROUND(L95*set_GSTRate,2),0))</f>
        <v/>
      </c>
      <c r="N95" s="27">
        <f>IF(L95="","",L95+M95)</f>
        <v/>
      </c>
      <c r="O95" s="24" t="inlineStr">
        <is>
          <t>42150</t>
        </is>
      </c>
      <c r="P95" s="24" t="inlineStr">
        <is>
          <t>Y</t>
        </is>
      </c>
      <c r="Q95" s="24" t="inlineStr">
        <is>
          <t>N</t>
        </is>
      </c>
      <c r="R95" s="22" t="n"/>
      <c r="S95" s="22" t="n"/>
      <c r="T95" s="24" t="inlineStr">
        <is>
          <t>Invoiced</t>
        </is>
      </c>
      <c r="U95" s="24" t="inlineStr">
        <is>
          <t>Video portion of this invoice</t>
        </is>
      </c>
      <c r="V95" s="25">
        <f>IF(COUNTA(A95,D95,C95,L95)=0,"",IF(A95="","No date - sits outside every month",IF(E95="","No job number",IF(F95="CHECK","Job number is not in the Xero job list",IF(I95="","No cost centre",IF(AND(P95="Y",C95=""),"Marked posted to Xero but has no invoice number",IF(AND(L95&lt;&gt;"",K95=""),"No tax code",IF(AND(L95&lt;&gt;"",O95=""),"No revenue GL code",""))))))))</f>
        <v/>
      </c>
      <c r="W95" s="25">
        <f>IF(E95="","",IFERROR(INDEX(lst_JobName,MATCH(E95&amp;"",lst_Jobs,0)),""))</f>
        <v/>
      </c>
      <c r="X95" s="28">
        <f>IF(E95="","",COUNTIFS(tbl_Finance[Job Number],E95&amp;"",tbl_Finance[Ex GST],"&lt;&gt;"))</f>
        <v/>
      </c>
      <c r="Y95" s="27">
        <f>IF(E95="","",SUMIFS(tbl_Finance[Ex GST],tbl_Finance[Job Number],E95&amp;""))</f>
        <v/>
      </c>
      <c r="Z95" s="27">
        <f>IF(E95="","",SUMIFS(tbl_Finance[Ex GST],tbl_Finance[Job Number],E95&amp;"",tbl_Finance[Xero Invoice No],"&lt;&gt;"))</f>
        <v/>
      </c>
      <c r="AA95" s="27">
        <f>IF(E95="","",Y95-Z95)</f>
        <v/>
      </c>
      <c r="AB95" s="25">
        <f>IF(E95="","",IF(H95="Onsite",IFERROR(INDEX(tbl_Onsite[Qwilr Quote],MATCH(E95&amp;"",tbl_Onsite[Job Number],0)),""),IF(H95="Production",IFERROR(INDEX(tbl_Production[Current RMS No],MATCH(E95&amp;"",tbl_Production[Job Number],0)),""),IF(H95="Consulting",IFERROR(INDEX(tbl_Consulting[Qwilr Quote],MATCH(E95&amp;"",tbl_Consulting[Job Number],0)),""),""))))</f>
        <v/>
      </c>
      <c r="AC95" s="25">
        <f>IF(AB95="","",IF(AND(LEFT(AB95,4)&lt;&gt;"http",IF(H95="Production",set_RMSBase,set_QwilrBase)=""),"",HYPERLINK(IF(LEFT(AB95,4)="http",AB95,IF(H95="Production",set_RMSBase,set_QwilrBase)&amp;AB95),"Open")))</f>
        <v/>
      </c>
      <c r="AD95" s="27">
        <f>IF(E95="","",IF(H95="Production",IFERROR(INDEX(tbl_Production[Total Expense],MATCH(E95&amp;"",tbl_Production[Job Number],0)),0),IF(H95="Consulting",IFERROR(INDEX(tbl_Consulting[Total Expense],MATCH(E95&amp;"",tbl_Consulting[Job Number],0)),0),0)))</f>
        <v/>
      </c>
      <c r="AE95" s="27">
        <f>IF(E95="","",Y95-N(AD95))</f>
        <v/>
      </c>
      <c r="AF95" s="29">
        <f>IFERROR(AE95/Y95,"")</f>
        <v/>
      </c>
      <c r="AG95" s="25">
        <f>IF(E95="","",IF(H95="Onsite",IFERROR(INDEX(tbl_Onsite[Notes],MATCH(E95&amp;"",tbl_Onsite[Job Number],0)),""),IF(H95="Production",IFERROR(INDEX(tbl_Production[Notes],MATCH(E95&amp;"",tbl_Production[Job Number],0)),""),IF(H95="Consulting",IFERROR(INDEX(tbl_Consulting[Notes],MATCH(E95&amp;"",tbl_Consulting[Job Number],0)),""),""))))</f>
        <v/>
      </c>
    </row>
    <row r="96" ht="15" customHeight="1">
      <c r="A96" s="22" t="n">
        <v>46255</v>
      </c>
      <c r="B96" s="23">
        <f>IF(A96="","",EOMONTH(A96,0))</f>
        <v/>
      </c>
      <c r="C96" s="24" t="inlineStr">
        <is>
          <t>INV-10578</t>
        </is>
      </c>
      <c r="D96" s="24" t="inlineStr">
        <is>
          <t>AGL</t>
        </is>
      </c>
      <c r="E96" s="24" t="inlineStr">
        <is>
          <t>2605402</t>
        </is>
      </c>
      <c r="F96" s="25">
        <f>IF(E96="","",IF(COUNTIF(lst_Jobs,E96&amp;"")&gt;0,"OK","CHECK"))</f>
        <v/>
      </c>
      <c r="G96" s="24" t="inlineStr">
        <is>
          <t>AGL FYR - Employee Town Hall</t>
        </is>
      </c>
      <c r="H96" s="24" t="inlineStr">
        <is>
          <t>Production</t>
        </is>
      </c>
      <c r="I96" s="24" t="inlineStr">
        <is>
          <t>PRODUCTION</t>
        </is>
      </c>
      <c r="J96" s="24" t="inlineStr">
        <is>
          <t>Project</t>
        </is>
      </c>
      <c r="K96" s="24" t="inlineStr">
        <is>
          <t>GST 10%</t>
        </is>
      </c>
      <c r="L96" s="26" t="n">
        <v>7148.75</v>
      </c>
      <c r="M96" s="27">
        <f>IF(L96="","",IF(K96="GST 10%",ROUND(L96*set_GSTRate,2),0))</f>
        <v/>
      </c>
      <c r="N96" s="27">
        <f>IF(L96="","",L96+M96)</f>
        <v/>
      </c>
      <c r="O96" s="24" t="inlineStr">
        <is>
          <t>42100</t>
        </is>
      </c>
      <c r="P96" s="24" t="inlineStr">
        <is>
          <t>Y</t>
        </is>
      </c>
      <c r="Q96" s="24" t="inlineStr">
        <is>
          <t>N</t>
        </is>
      </c>
      <c r="R96" s="22" t="n"/>
      <c r="S96" s="22" t="n"/>
      <c r="T96" s="24" t="inlineStr">
        <is>
          <t>Invoiced</t>
        </is>
      </c>
      <c r="U96" s="24" t="n"/>
      <c r="V96" s="25">
        <f>IF(COUNTA(A96,D96,C96,L96)=0,"",IF(A96="","No date - sits outside every month",IF(E96="","No job number",IF(F96="CHECK","Job number is not in the Xero job list",IF(I96="","No cost centre",IF(AND(P96="Y",C96=""),"Marked posted to Xero but has no invoice number",IF(AND(L96&lt;&gt;"",K96=""),"No tax code",IF(AND(L96&lt;&gt;"",O96=""),"No revenue GL code",""))))))))</f>
        <v/>
      </c>
      <c r="W96" s="25">
        <f>IF(E96="","",IFERROR(INDEX(lst_JobName,MATCH(E96&amp;"",lst_Jobs,0)),""))</f>
        <v/>
      </c>
      <c r="X96" s="28">
        <f>IF(E96="","",COUNTIFS(tbl_Finance[Job Number],E96&amp;"",tbl_Finance[Ex GST],"&lt;&gt;"))</f>
        <v/>
      </c>
      <c r="Y96" s="27">
        <f>IF(E96="","",SUMIFS(tbl_Finance[Ex GST],tbl_Finance[Job Number],E96&amp;""))</f>
        <v/>
      </c>
      <c r="Z96" s="27">
        <f>IF(E96="","",SUMIFS(tbl_Finance[Ex GST],tbl_Finance[Job Number],E96&amp;"",tbl_Finance[Xero Invoice No],"&lt;&gt;"))</f>
        <v/>
      </c>
      <c r="AA96" s="27">
        <f>IF(E96="","",Y96-Z96)</f>
        <v/>
      </c>
      <c r="AB96" s="25">
        <f>IF(E96="","",IF(H96="Onsite",IFERROR(INDEX(tbl_Onsite[Qwilr Quote],MATCH(E96&amp;"",tbl_Onsite[Job Number],0)),""),IF(H96="Production",IFERROR(INDEX(tbl_Production[Current RMS No],MATCH(E96&amp;"",tbl_Production[Job Number],0)),""),IF(H96="Consulting",IFERROR(INDEX(tbl_Consulting[Qwilr Quote],MATCH(E96&amp;"",tbl_Consulting[Job Number],0)),""),""))))</f>
        <v/>
      </c>
      <c r="AC96" s="25">
        <f>IF(AB96="","",IF(AND(LEFT(AB96,4)&lt;&gt;"http",IF(H96="Production",set_RMSBase,set_QwilrBase)=""),"",HYPERLINK(IF(LEFT(AB96,4)="http",AB96,IF(H96="Production",set_RMSBase,set_QwilrBase)&amp;AB96),"Open")))</f>
        <v/>
      </c>
      <c r="AD96" s="27">
        <f>IF(E96="","",IF(H96="Production",IFERROR(INDEX(tbl_Production[Total Expense],MATCH(E96&amp;"",tbl_Production[Job Number],0)),0),IF(H96="Consulting",IFERROR(INDEX(tbl_Consulting[Total Expense],MATCH(E96&amp;"",tbl_Consulting[Job Number],0)),0),0)))</f>
        <v/>
      </c>
      <c r="AE96" s="27">
        <f>IF(E96="","",Y96-N(AD96))</f>
        <v/>
      </c>
      <c r="AF96" s="29">
        <f>IFERROR(AE96/Y96,"")</f>
        <v/>
      </c>
      <c r="AG96" s="25">
        <f>IF(E96="","",IF(H96="Onsite",IFERROR(INDEX(tbl_Onsite[Notes],MATCH(E96&amp;"",tbl_Onsite[Job Number],0)),""),IF(H96="Production",IFERROR(INDEX(tbl_Production[Notes],MATCH(E96&amp;"",tbl_Production[Job Number],0)),""),IF(H96="Consulting",IFERROR(INDEX(tbl_Consulting[Notes],MATCH(E96&amp;"",tbl_Consulting[Job Number],0)),""),""))))</f>
        <v/>
      </c>
    </row>
    <row r="97" ht="15" customHeight="1">
      <c r="A97" s="22" t="n">
        <v>46255</v>
      </c>
      <c r="B97" s="23">
        <f>IF(A97="","",EOMONTH(A97,0))</f>
        <v/>
      </c>
      <c r="C97" s="24" t="inlineStr">
        <is>
          <t>INV-10599</t>
        </is>
      </c>
      <c r="D97" s="24" t="inlineStr">
        <is>
          <t>ASX</t>
        </is>
      </c>
      <c r="E97" s="24" t="inlineStr">
        <is>
          <t>2608604</t>
        </is>
      </c>
      <c r="F97" s="25">
        <f>IF(E97="","",IF(COUNTIF(lst_Jobs,E97&amp;"")&gt;0,"OK","CHECK"))</f>
        <v/>
      </c>
      <c r="G97" s="24" t="inlineStr">
        <is>
          <t>ASX Employee Townhall 13.8.26</t>
        </is>
      </c>
      <c r="H97" s="24" t="inlineStr">
        <is>
          <t>Production</t>
        </is>
      </c>
      <c r="I97" s="24" t="inlineStr">
        <is>
          <t>PRODUCTION</t>
        </is>
      </c>
      <c r="J97" s="24" t="inlineStr">
        <is>
          <t>Project</t>
        </is>
      </c>
      <c r="K97" s="24" t="inlineStr">
        <is>
          <t>GST 10%</t>
        </is>
      </c>
      <c r="L97" s="26" t="n">
        <v>1025</v>
      </c>
      <c r="M97" s="27">
        <f>IF(L97="","",IF(K97="GST 10%",ROUND(L97*set_GSTRate,2),0))</f>
        <v/>
      </c>
      <c r="N97" s="27">
        <f>IF(L97="","",L97+M97)</f>
        <v/>
      </c>
      <c r="O97" s="24" t="inlineStr">
        <is>
          <t>42100</t>
        </is>
      </c>
      <c r="P97" s="24" t="inlineStr">
        <is>
          <t>Y</t>
        </is>
      </c>
      <c r="Q97" s="24" t="inlineStr">
        <is>
          <t>N</t>
        </is>
      </c>
      <c r="R97" s="22" t="n"/>
      <c r="S97" s="22" t="n"/>
      <c r="T97" s="24" t="inlineStr">
        <is>
          <t>Invoiced</t>
        </is>
      </c>
      <c r="U97" s="24" t="inlineStr">
        <is>
          <t>Production portion of this invoice</t>
        </is>
      </c>
      <c r="V97" s="25">
        <f>IF(COUNTA(A97,D97,C97,L97)=0,"",IF(A97="","No date - sits outside every month",IF(E97="","No job number",IF(F97="CHECK","Job number is not in the Xero job list",IF(I97="","No cost centre",IF(AND(P97="Y",C97=""),"Marked posted to Xero but has no invoice number",IF(AND(L97&lt;&gt;"",K97=""),"No tax code",IF(AND(L97&lt;&gt;"",O97=""),"No revenue GL code",""))))))))</f>
        <v/>
      </c>
      <c r="W97" s="25">
        <f>IF(E97="","",IFERROR(INDEX(lst_JobName,MATCH(E97&amp;"",lst_Jobs,0)),""))</f>
        <v/>
      </c>
      <c r="X97" s="28">
        <f>IF(E97="","",COUNTIFS(tbl_Finance[Job Number],E97&amp;"",tbl_Finance[Ex GST],"&lt;&gt;"))</f>
        <v/>
      </c>
      <c r="Y97" s="27">
        <f>IF(E97="","",SUMIFS(tbl_Finance[Ex GST],tbl_Finance[Job Number],E97&amp;""))</f>
        <v/>
      </c>
      <c r="Z97" s="27">
        <f>IF(E97="","",SUMIFS(tbl_Finance[Ex GST],tbl_Finance[Job Number],E97&amp;"",tbl_Finance[Xero Invoice No],"&lt;&gt;"))</f>
        <v/>
      </c>
      <c r="AA97" s="27">
        <f>IF(E97="","",Y97-Z97)</f>
        <v/>
      </c>
      <c r="AB97" s="25">
        <f>IF(E97="","",IF(H97="Onsite",IFERROR(INDEX(tbl_Onsite[Qwilr Quote],MATCH(E97&amp;"",tbl_Onsite[Job Number],0)),""),IF(H97="Production",IFERROR(INDEX(tbl_Production[Current RMS No],MATCH(E97&amp;"",tbl_Production[Job Number],0)),""),IF(H97="Consulting",IFERROR(INDEX(tbl_Consulting[Qwilr Quote],MATCH(E97&amp;"",tbl_Consulting[Job Number],0)),""),""))))</f>
        <v/>
      </c>
      <c r="AC97" s="25">
        <f>IF(AB97="","",IF(AND(LEFT(AB97,4)&lt;&gt;"http",IF(H97="Production",set_RMSBase,set_QwilrBase)=""),"",HYPERLINK(IF(LEFT(AB97,4)="http",AB97,IF(H97="Production",set_RMSBase,set_QwilrBase)&amp;AB97),"Open")))</f>
        <v/>
      </c>
      <c r="AD97" s="27">
        <f>IF(E97="","",IF(H97="Production",IFERROR(INDEX(tbl_Production[Total Expense],MATCH(E97&amp;"",tbl_Production[Job Number],0)),0),IF(H97="Consulting",IFERROR(INDEX(tbl_Consulting[Total Expense],MATCH(E97&amp;"",tbl_Consulting[Job Number],0)),0),0)))</f>
        <v/>
      </c>
      <c r="AE97" s="27">
        <f>IF(E97="","",Y97-N(AD97))</f>
        <v/>
      </c>
      <c r="AF97" s="29">
        <f>IFERROR(AE97/Y97,"")</f>
        <v/>
      </c>
      <c r="AG97" s="25">
        <f>IF(E97="","",IF(H97="Onsite",IFERROR(INDEX(tbl_Onsite[Notes],MATCH(E97&amp;"",tbl_Onsite[Job Number],0)),""),IF(H97="Production",IFERROR(INDEX(tbl_Production[Notes],MATCH(E97&amp;"",tbl_Production[Job Number],0)),""),IF(H97="Consulting",IFERROR(INDEX(tbl_Consulting[Notes],MATCH(E97&amp;"",tbl_Consulting[Job Number],0)),""),""))))</f>
        <v/>
      </c>
    </row>
    <row r="98" ht="15" customHeight="1">
      <c r="A98" s="22" t="n">
        <v>46255</v>
      </c>
      <c r="B98" s="23">
        <f>IF(A98="","",EOMONTH(A98,0))</f>
        <v/>
      </c>
      <c r="C98" s="24" t="inlineStr">
        <is>
          <t>INV-10599</t>
        </is>
      </c>
      <c r="D98" s="24" t="inlineStr">
        <is>
          <t>ASX</t>
        </is>
      </c>
      <c r="E98" s="24" t="inlineStr">
        <is>
          <t>2608604</t>
        </is>
      </c>
      <c r="F98" s="25">
        <f>IF(E98="","",IF(COUNTIF(lst_Jobs,E98&amp;"")&gt;0,"OK","CHECK"))</f>
        <v/>
      </c>
      <c r="G98" s="24" t="inlineStr">
        <is>
          <t>ASX Employee Townhall 13.8.26</t>
        </is>
      </c>
      <c r="H98" s="24" t="inlineStr">
        <is>
          <t>Production</t>
        </is>
      </c>
      <c r="I98" s="24" t="inlineStr">
        <is>
          <t>VIDEO</t>
        </is>
      </c>
      <c r="J98" s="24" t="inlineStr">
        <is>
          <t>Project</t>
        </is>
      </c>
      <c r="K98" s="24" t="inlineStr">
        <is>
          <t>GST 10%</t>
        </is>
      </c>
      <c r="L98" s="26" t="n">
        <v>485</v>
      </c>
      <c r="M98" s="27">
        <f>IF(L98="","",IF(K98="GST 10%",ROUND(L98*set_GSTRate,2),0))</f>
        <v/>
      </c>
      <c r="N98" s="27">
        <f>IF(L98="","",L98+M98)</f>
        <v/>
      </c>
      <c r="O98" s="24" t="inlineStr">
        <is>
          <t>42150</t>
        </is>
      </c>
      <c r="P98" s="24" t="inlineStr">
        <is>
          <t>Y</t>
        </is>
      </c>
      <c r="Q98" s="24" t="inlineStr">
        <is>
          <t>N</t>
        </is>
      </c>
      <c r="R98" s="22" t="n"/>
      <c r="S98" s="22" t="n"/>
      <c r="T98" s="24" t="inlineStr">
        <is>
          <t>Invoiced</t>
        </is>
      </c>
      <c r="U98" s="24" t="inlineStr">
        <is>
          <t>Video portion of this invoice</t>
        </is>
      </c>
      <c r="V98" s="25">
        <f>IF(COUNTA(A98,D98,C98,L98)=0,"",IF(A98="","No date - sits outside every month",IF(E98="","No job number",IF(F98="CHECK","Job number is not in the Xero job list",IF(I98="","No cost centre",IF(AND(P98="Y",C98=""),"Marked posted to Xero but has no invoice number",IF(AND(L98&lt;&gt;"",K98=""),"No tax code",IF(AND(L98&lt;&gt;"",O98=""),"No revenue GL code",""))))))))</f>
        <v/>
      </c>
      <c r="W98" s="25">
        <f>IF(E98="","",IFERROR(INDEX(lst_JobName,MATCH(E98&amp;"",lst_Jobs,0)),""))</f>
        <v/>
      </c>
      <c r="X98" s="28">
        <f>IF(E98="","",COUNTIFS(tbl_Finance[Job Number],E98&amp;"",tbl_Finance[Ex GST],"&lt;&gt;"))</f>
        <v/>
      </c>
      <c r="Y98" s="27">
        <f>IF(E98="","",SUMIFS(tbl_Finance[Ex GST],tbl_Finance[Job Number],E98&amp;""))</f>
        <v/>
      </c>
      <c r="Z98" s="27">
        <f>IF(E98="","",SUMIFS(tbl_Finance[Ex GST],tbl_Finance[Job Number],E98&amp;"",tbl_Finance[Xero Invoice No],"&lt;&gt;"))</f>
        <v/>
      </c>
      <c r="AA98" s="27">
        <f>IF(E98="","",Y98-Z98)</f>
        <v/>
      </c>
      <c r="AB98" s="25">
        <f>IF(E98="","",IF(H98="Onsite",IFERROR(INDEX(tbl_Onsite[Qwilr Quote],MATCH(E98&amp;"",tbl_Onsite[Job Number],0)),""),IF(H98="Production",IFERROR(INDEX(tbl_Production[Current RMS No],MATCH(E98&amp;"",tbl_Production[Job Number],0)),""),IF(H98="Consulting",IFERROR(INDEX(tbl_Consulting[Qwilr Quote],MATCH(E98&amp;"",tbl_Consulting[Job Number],0)),""),""))))</f>
        <v/>
      </c>
      <c r="AC98" s="25">
        <f>IF(AB98="","",IF(AND(LEFT(AB98,4)&lt;&gt;"http",IF(H98="Production",set_RMSBase,set_QwilrBase)=""),"",HYPERLINK(IF(LEFT(AB98,4)="http",AB98,IF(H98="Production",set_RMSBase,set_QwilrBase)&amp;AB98),"Open")))</f>
        <v/>
      </c>
      <c r="AD98" s="27">
        <f>IF(E98="","",IF(H98="Production",IFERROR(INDEX(tbl_Production[Total Expense],MATCH(E98&amp;"",tbl_Production[Job Number],0)),0),IF(H98="Consulting",IFERROR(INDEX(tbl_Consulting[Total Expense],MATCH(E98&amp;"",tbl_Consulting[Job Number],0)),0),0)))</f>
        <v/>
      </c>
      <c r="AE98" s="27">
        <f>IF(E98="","",Y98-N(AD98))</f>
        <v/>
      </c>
      <c r="AF98" s="29">
        <f>IFERROR(AE98/Y98,"")</f>
        <v/>
      </c>
      <c r="AG98" s="25">
        <f>IF(E98="","",IF(H98="Onsite",IFERROR(INDEX(tbl_Onsite[Notes],MATCH(E98&amp;"",tbl_Onsite[Job Number],0)),""),IF(H98="Production",IFERROR(INDEX(tbl_Production[Notes],MATCH(E98&amp;"",tbl_Production[Job Number],0)),""),IF(H98="Consulting",IFERROR(INDEX(tbl_Consulting[Notes],MATCH(E98&amp;"",tbl_Consulting[Job Number],0)),""),""))))</f>
        <v/>
      </c>
    </row>
    <row r="99" ht="15" customHeight="1">
      <c r="A99" s="22" t="n">
        <v>46255</v>
      </c>
      <c r="B99" s="23">
        <f>IF(A99="","",EOMONTH(A99,0))</f>
        <v/>
      </c>
      <c r="C99" s="24" t="inlineStr">
        <is>
          <t>INV-10576</t>
        </is>
      </c>
      <c r="D99" s="24" t="inlineStr">
        <is>
          <t>ASX</t>
        </is>
      </c>
      <c r="E99" s="24" t="inlineStr">
        <is>
          <t>26052702</t>
        </is>
      </c>
      <c r="F99" s="25">
        <f>IF(E99="","",IF(COUNTIF(lst_Jobs,E99&amp;"")&gt;0,"OK","CHECK"))</f>
        <v/>
      </c>
      <c r="G99" s="24" t="inlineStr">
        <is>
          <t>ASX FYR Briefing 13.8.26</t>
        </is>
      </c>
      <c r="H99" s="24" t="inlineStr">
        <is>
          <t>Production</t>
        </is>
      </c>
      <c r="I99" s="24" t="inlineStr">
        <is>
          <t>PRODUCTION</t>
        </is>
      </c>
      <c r="J99" s="24" t="inlineStr">
        <is>
          <t>Project</t>
        </is>
      </c>
      <c r="K99" s="24" t="inlineStr">
        <is>
          <t>GST 10%</t>
        </is>
      </c>
      <c r="L99" s="26" t="n">
        <v>34222</v>
      </c>
      <c r="M99" s="27">
        <f>IF(L99="","",IF(K99="GST 10%",ROUND(L99*set_GSTRate,2),0))</f>
        <v/>
      </c>
      <c r="N99" s="27">
        <f>IF(L99="","",L99+M99)</f>
        <v/>
      </c>
      <c r="O99" s="24" t="inlineStr">
        <is>
          <t>42100</t>
        </is>
      </c>
      <c r="P99" s="24" t="inlineStr">
        <is>
          <t>Y</t>
        </is>
      </c>
      <c r="Q99" s="24" t="inlineStr">
        <is>
          <t>N</t>
        </is>
      </c>
      <c r="R99" s="22" t="n"/>
      <c r="S99" s="22" t="n"/>
      <c r="T99" s="24" t="inlineStr">
        <is>
          <t>Invoiced</t>
        </is>
      </c>
      <c r="U99" s="24" t="inlineStr">
        <is>
          <t>Production portion of this invoice</t>
        </is>
      </c>
      <c r="V99" s="25">
        <f>IF(COUNTA(A99,D99,C99,L99)=0,"",IF(A99="","No date - sits outside every month",IF(E99="","No job number",IF(F99="CHECK","Job number is not in the Xero job list",IF(I99="","No cost centre",IF(AND(P99="Y",C99=""),"Marked posted to Xero but has no invoice number",IF(AND(L99&lt;&gt;"",K99=""),"No tax code",IF(AND(L99&lt;&gt;"",O99=""),"No revenue GL code",""))))))))</f>
        <v/>
      </c>
      <c r="W99" s="25">
        <f>IF(E99="","",IFERROR(INDEX(lst_JobName,MATCH(E99&amp;"",lst_Jobs,0)),""))</f>
        <v/>
      </c>
      <c r="X99" s="28">
        <f>IF(E99="","",COUNTIFS(tbl_Finance[Job Number],E99&amp;"",tbl_Finance[Ex GST],"&lt;&gt;"))</f>
        <v/>
      </c>
      <c r="Y99" s="27">
        <f>IF(E99="","",SUMIFS(tbl_Finance[Ex GST],tbl_Finance[Job Number],E99&amp;""))</f>
        <v/>
      </c>
      <c r="Z99" s="27">
        <f>IF(E99="","",SUMIFS(tbl_Finance[Ex GST],tbl_Finance[Job Number],E99&amp;"",tbl_Finance[Xero Invoice No],"&lt;&gt;"))</f>
        <v/>
      </c>
      <c r="AA99" s="27">
        <f>IF(E99="","",Y99-Z99)</f>
        <v/>
      </c>
      <c r="AB99" s="25">
        <f>IF(E99="","",IF(H99="Onsite",IFERROR(INDEX(tbl_Onsite[Qwilr Quote],MATCH(E99&amp;"",tbl_Onsite[Job Number],0)),""),IF(H99="Production",IFERROR(INDEX(tbl_Production[Current RMS No],MATCH(E99&amp;"",tbl_Production[Job Number],0)),""),IF(H99="Consulting",IFERROR(INDEX(tbl_Consulting[Qwilr Quote],MATCH(E99&amp;"",tbl_Consulting[Job Number],0)),""),""))))</f>
        <v/>
      </c>
      <c r="AC99" s="25">
        <f>IF(AB99="","",IF(AND(LEFT(AB99,4)&lt;&gt;"http",IF(H99="Production",set_RMSBase,set_QwilrBase)=""),"",HYPERLINK(IF(LEFT(AB99,4)="http",AB99,IF(H99="Production",set_RMSBase,set_QwilrBase)&amp;AB99),"Open")))</f>
        <v/>
      </c>
      <c r="AD99" s="27">
        <f>IF(E99="","",IF(H99="Production",IFERROR(INDEX(tbl_Production[Total Expense],MATCH(E99&amp;"",tbl_Production[Job Number],0)),0),IF(H99="Consulting",IFERROR(INDEX(tbl_Consulting[Total Expense],MATCH(E99&amp;"",tbl_Consulting[Job Number],0)),0),0)))</f>
        <v/>
      </c>
      <c r="AE99" s="27">
        <f>IF(E99="","",Y99-N(AD99))</f>
        <v/>
      </c>
      <c r="AF99" s="29">
        <f>IFERROR(AE99/Y99,"")</f>
        <v/>
      </c>
      <c r="AG99" s="25">
        <f>IF(E99="","",IF(H99="Onsite",IFERROR(INDEX(tbl_Onsite[Notes],MATCH(E99&amp;"",tbl_Onsite[Job Number],0)),""),IF(H99="Production",IFERROR(INDEX(tbl_Production[Notes],MATCH(E99&amp;"",tbl_Production[Job Number],0)),""),IF(H99="Consulting",IFERROR(INDEX(tbl_Consulting[Notes],MATCH(E99&amp;"",tbl_Consulting[Job Number],0)),""),""))))</f>
        <v/>
      </c>
    </row>
    <row r="100" ht="15" customHeight="1">
      <c r="A100" s="22" t="n">
        <v>46255</v>
      </c>
      <c r="B100" s="23">
        <f>IF(A100="","",EOMONTH(A100,0))</f>
        <v/>
      </c>
      <c r="C100" s="24" t="inlineStr">
        <is>
          <t>INV-10576</t>
        </is>
      </c>
      <c r="D100" s="24" t="inlineStr">
        <is>
          <t>ASX</t>
        </is>
      </c>
      <c r="E100" s="24" t="inlineStr">
        <is>
          <t>26052702</t>
        </is>
      </c>
      <c r="F100" s="25">
        <f>IF(E100="","",IF(COUNTIF(lst_Jobs,E100&amp;"")&gt;0,"OK","CHECK"))</f>
        <v/>
      </c>
      <c r="G100" s="24" t="inlineStr">
        <is>
          <t>ASX FYR Briefing 13.8.26</t>
        </is>
      </c>
      <c r="H100" s="24" t="inlineStr">
        <is>
          <t>Production</t>
        </is>
      </c>
      <c r="I100" s="24" t="inlineStr">
        <is>
          <t>VIDEO</t>
        </is>
      </c>
      <c r="J100" s="24" t="inlineStr">
        <is>
          <t>Project</t>
        </is>
      </c>
      <c r="K100" s="24" t="inlineStr">
        <is>
          <t>GST 10%</t>
        </is>
      </c>
      <c r="L100" s="26" t="n">
        <v>3357</v>
      </c>
      <c r="M100" s="27">
        <f>IF(L100="","",IF(K100="GST 10%",ROUND(L100*set_GSTRate,2),0))</f>
        <v/>
      </c>
      <c r="N100" s="27">
        <f>IF(L100="","",L100+M100)</f>
        <v/>
      </c>
      <c r="O100" s="24" t="inlineStr">
        <is>
          <t>42150</t>
        </is>
      </c>
      <c r="P100" s="24" t="inlineStr">
        <is>
          <t>Y</t>
        </is>
      </c>
      <c r="Q100" s="24" t="inlineStr">
        <is>
          <t>N</t>
        </is>
      </c>
      <c r="R100" s="22" t="n"/>
      <c r="S100" s="22" t="n"/>
      <c r="T100" s="24" t="inlineStr">
        <is>
          <t>Invoiced</t>
        </is>
      </c>
      <c r="U100" s="24" t="inlineStr">
        <is>
          <t>Video portion of this invoice</t>
        </is>
      </c>
      <c r="V100" s="25">
        <f>IF(COUNTA(A100,D100,C100,L100)=0,"",IF(A100="","No date - sits outside every month",IF(E100="","No job number",IF(F100="CHECK","Job number is not in the Xero job list",IF(I100="","No cost centre",IF(AND(P100="Y",C100=""),"Marked posted to Xero but has no invoice number",IF(AND(L100&lt;&gt;"",K100=""),"No tax code",IF(AND(L100&lt;&gt;"",O100=""),"No revenue GL code",""))))))))</f>
        <v/>
      </c>
      <c r="W100" s="25">
        <f>IF(E100="","",IFERROR(INDEX(lst_JobName,MATCH(E100&amp;"",lst_Jobs,0)),""))</f>
        <v/>
      </c>
      <c r="X100" s="28">
        <f>IF(E100="","",COUNTIFS(tbl_Finance[Job Number],E100&amp;"",tbl_Finance[Ex GST],"&lt;&gt;"))</f>
        <v/>
      </c>
      <c r="Y100" s="27">
        <f>IF(E100="","",SUMIFS(tbl_Finance[Ex GST],tbl_Finance[Job Number],E100&amp;""))</f>
        <v/>
      </c>
      <c r="Z100" s="27">
        <f>IF(E100="","",SUMIFS(tbl_Finance[Ex GST],tbl_Finance[Job Number],E100&amp;"",tbl_Finance[Xero Invoice No],"&lt;&gt;"))</f>
        <v/>
      </c>
      <c r="AA100" s="27">
        <f>IF(E100="","",Y100-Z100)</f>
        <v/>
      </c>
      <c r="AB100" s="25">
        <f>IF(E100="","",IF(H100="Onsite",IFERROR(INDEX(tbl_Onsite[Qwilr Quote],MATCH(E100&amp;"",tbl_Onsite[Job Number],0)),""),IF(H100="Production",IFERROR(INDEX(tbl_Production[Current RMS No],MATCH(E100&amp;"",tbl_Production[Job Number],0)),""),IF(H100="Consulting",IFERROR(INDEX(tbl_Consulting[Qwilr Quote],MATCH(E100&amp;"",tbl_Consulting[Job Number],0)),""),""))))</f>
        <v/>
      </c>
      <c r="AC100" s="25">
        <f>IF(AB100="","",IF(AND(LEFT(AB100,4)&lt;&gt;"http",IF(H100="Production",set_RMSBase,set_QwilrBase)=""),"",HYPERLINK(IF(LEFT(AB100,4)="http",AB100,IF(H100="Production",set_RMSBase,set_QwilrBase)&amp;AB100),"Open")))</f>
        <v/>
      </c>
      <c r="AD100" s="27">
        <f>IF(E100="","",IF(H100="Production",IFERROR(INDEX(tbl_Production[Total Expense],MATCH(E100&amp;"",tbl_Production[Job Number],0)),0),IF(H100="Consulting",IFERROR(INDEX(tbl_Consulting[Total Expense],MATCH(E100&amp;"",tbl_Consulting[Job Number],0)),0),0)))</f>
        <v/>
      </c>
      <c r="AE100" s="27">
        <f>IF(E100="","",Y100-N(AD100))</f>
        <v/>
      </c>
      <c r="AF100" s="29">
        <f>IFERROR(AE100/Y100,"")</f>
        <v/>
      </c>
      <c r="AG100" s="25">
        <f>IF(E100="","",IF(H100="Onsite",IFERROR(INDEX(tbl_Onsite[Notes],MATCH(E100&amp;"",tbl_Onsite[Job Number],0)),""),IF(H100="Production",IFERROR(INDEX(tbl_Production[Notes],MATCH(E100&amp;"",tbl_Production[Job Number],0)),""),IF(H100="Consulting",IFERROR(INDEX(tbl_Consulting[Notes],MATCH(E100&amp;"",tbl_Consulting[Job Number],0)),""),""))))</f>
        <v/>
      </c>
    </row>
    <row r="101" ht="15" customHeight="1">
      <c r="A101" s="22" t="n">
        <v>46261</v>
      </c>
      <c r="B101" s="23">
        <f>IF(A101="","",EOMONTH(A101,0))</f>
        <v/>
      </c>
      <c r="C101" s="24" t="inlineStr">
        <is>
          <t>INV-10600</t>
        </is>
      </c>
      <c r="D101" s="24" t="inlineStr">
        <is>
          <t>ASX</t>
        </is>
      </c>
      <c r="E101" s="24" t="inlineStr">
        <is>
          <t>26072906</t>
        </is>
      </c>
      <c r="F101" s="25">
        <f>IF(E101="","",IF(COUNTIF(lst_Jobs,E101&amp;"")&gt;0,"OK","CHECK"))</f>
        <v/>
      </c>
      <c r="G101" s="24" t="inlineStr">
        <is>
          <t>ASX Advisory Group on Corporate Governance</t>
        </is>
      </c>
      <c r="H101" s="24" t="inlineStr">
        <is>
          <t>Production</t>
        </is>
      </c>
      <c r="I101" s="24" t="inlineStr">
        <is>
          <t>VIDEO</t>
        </is>
      </c>
      <c r="J101" s="24" t="inlineStr">
        <is>
          <t>Project</t>
        </is>
      </c>
      <c r="K101" s="24" t="inlineStr">
        <is>
          <t>GST 10%</t>
        </is>
      </c>
      <c r="L101" s="26" t="n">
        <v>4601.7</v>
      </c>
      <c r="M101" s="27">
        <f>IF(L101="","",IF(K101="GST 10%",ROUND(L101*set_GSTRate,2),0))</f>
        <v/>
      </c>
      <c r="N101" s="27">
        <f>IF(L101="","",L101+M101)</f>
        <v/>
      </c>
      <c r="O101" s="24" t="inlineStr">
        <is>
          <t>42150</t>
        </is>
      </c>
      <c r="P101" s="24" t="inlineStr">
        <is>
          <t>Y</t>
        </is>
      </c>
      <c r="Q101" s="24" t="inlineStr">
        <is>
          <t>N</t>
        </is>
      </c>
      <c r="R101" s="22" t="n"/>
      <c r="S101" s="22" t="n"/>
      <c r="T101" s="24" t="inlineStr">
        <is>
          <t>Invoiced</t>
        </is>
      </c>
      <c r="U101" s="24" t="n"/>
      <c r="V101" s="25">
        <f>IF(COUNTA(A101,D101,C101,L101)=0,"",IF(A101="","No date - sits outside every month",IF(E101="","No job number",IF(F101="CHECK","Job number is not in the Xero job list",IF(I101="","No cost centre",IF(AND(P101="Y",C101=""),"Marked posted to Xero but has no invoice number",IF(AND(L101&lt;&gt;"",K101=""),"No tax code",IF(AND(L101&lt;&gt;"",O101=""),"No revenue GL code",""))))))))</f>
        <v/>
      </c>
      <c r="W101" s="25">
        <f>IF(E101="","",IFERROR(INDEX(lst_JobName,MATCH(E101&amp;"",lst_Jobs,0)),""))</f>
        <v/>
      </c>
      <c r="X101" s="28">
        <f>IF(E101="","",COUNTIFS(tbl_Finance[Job Number],E101&amp;"",tbl_Finance[Ex GST],"&lt;&gt;"))</f>
        <v/>
      </c>
      <c r="Y101" s="27">
        <f>IF(E101="","",SUMIFS(tbl_Finance[Ex GST],tbl_Finance[Job Number],E101&amp;""))</f>
        <v/>
      </c>
      <c r="Z101" s="27">
        <f>IF(E101="","",SUMIFS(tbl_Finance[Ex GST],tbl_Finance[Job Number],E101&amp;"",tbl_Finance[Xero Invoice No],"&lt;&gt;"))</f>
        <v/>
      </c>
      <c r="AA101" s="27">
        <f>IF(E101="","",Y101-Z101)</f>
        <v/>
      </c>
      <c r="AB101" s="25">
        <f>IF(E101="","",IF(H101="Onsite",IFERROR(INDEX(tbl_Onsite[Qwilr Quote],MATCH(E101&amp;"",tbl_Onsite[Job Number],0)),""),IF(H101="Production",IFERROR(INDEX(tbl_Production[Current RMS No],MATCH(E101&amp;"",tbl_Production[Job Number],0)),""),IF(H101="Consulting",IFERROR(INDEX(tbl_Consulting[Qwilr Quote],MATCH(E101&amp;"",tbl_Consulting[Job Number],0)),""),""))))</f>
        <v/>
      </c>
      <c r="AC101" s="25">
        <f>IF(AB101="","",IF(AND(LEFT(AB101,4)&lt;&gt;"http",IF(H101="Production",set_RMSBase,set_QwilrBase)=""),"",HYPERLINK(IF(LEFT(AB101,4)="http",AB101,IF(H101="Production",set_RMSBase,set_QwilrBase)&amp;AB101),"Open")))</f>
        <v/>
      </c>
      <c r="AD101" s="27">
        <f>IF(E101="","",IF(H101="Production",IFERROR(INDEX(tbl_Production[Total Expense],MATCH(E101&amp;"",tbl_Production[Job Number],0)),0),IF(H101="Consulting",IFERROR(INDEX(tbl_Consulting[Total Expense],MATCH(E101&amp;"",tbl_Consulting[Job Number],0)),0),0)))</f>
        <v/>
      </c>
      <c r="AE101" s="27">
        <f>IF(E101="","",Y101-N(AD101))</f>
        <v/>
      </c>
      <c r="AF101" s="29">
        <f>IFERROR(AE101/Y101,"")</f>
        <v/>
      </c>
      <c r="AG101" s="25">
        <f>IF(E101="","",IF(H101="Onsite",IFERROR(INDEX(tbl_Onsite[Notes],MATCH(E101&amp;"",tbl_Onsite[Job Number],0)),""),IF(H101="Production",IFERROR(INDEX(tbl_Production[Notes],MATCH(E101&amp;"",tbl_Production[Job Number],0)),""),IF(H101="Consulting",IFERROR(INDEX(tbl_Consulting[Notes],MATCH(E101&amp;"",tbl_Consulting[Job Number],0)),""),""))))</f>
        <v/>
      </c>
    </row>
    <row r="102" ht="15" customHeight="1">
      <c r="A102" s="22" t="n">
        <v>46265</v>
      </c>
      <c r="B102" s="23">
        <f>IF(A102="","",EOMONTH(A102,0))</f>
        <v/>
      </c>
      <c r="C102" s="24" t="inlineStr">
        <is>
          <t>INV-10590</t>
        </is>
      </c>
      <c r="D102" s="24" t="inlineStr">
        <is>
          <t>Cochlear</t>
        </is>
      </c>
      <c r="E102" s="24" t="inlineStr">
        <is>
          <t>2603104</t>
        </is>
      </c>
      <c r="F102" s="25">
        <f>IF(E102="","",IF(COUNTIF(lst_Jobs,E102&amp;"")&gt;0,"OK","CHECK"))</f>
        <v/>
      </c>
      <c r="G102" s="24" t="inlineStr">
        <is>
          <t>Cochlear FY26 Results 18.8.26</t>
        </is>
      </c>
      <c r="H102" s="24" t="inlineStr">
        <is>
          <t>Production</t>
        </is>
      </c>
      <c r="I102" s="24" t="inlineStr">
        <is>
          <t>PRODUCTION</t>
        </is>
      </c>
      <c r="J102" s="24" t="inlineStr">
        <is>
          <t>Project</t>
        </is>
      </c>
      <c r="K102" s="24" t="inlineStr">
        <is>
          <t>GST 10%</t>
        </is>
      </c>
      <c r="L102" s="26" t="n">
        <v>10540.5</v>
      </c>
      <c r="M102" s="27">
        <f>IF(L102="","",IF(K102="GST 10%",ROUND(L102*set_GSTRate,2),0))</f>
        <v/>
      </c>
      <c r="N102" s="27">
        <f>IF(L102="","",L102+M102)</f>
        <v/>
      </c>
      <c r="O102" s="24" t="inlineStr">
        <is>
          <t>42100</t>
        </is>
      </c>
      <c r="P102" s="24" t="inlineStr">
        <is>
          <t>Y</t>
        </is>
      </c>
      <c r="Q102" s="24" t="inlineStr">
        <is>
          <t>N</t>
        </is>
      </c>
      <c r="R102" s="22" t="n"/>
      <c r="S102" s="22" t="n"/>
      <c r="T102" s="24" t="inlineStr">
        <is>
          <t>Invoiced</t>
        </is>
      </c>
      <c r="U102" s="24" t="n"/>
      <c r="V102" s="25">
        <f>IF(COUNTA(A102,D102,C102,L102)=0,"",IF(A102="","No date - sits outside every month",IF(E102="","No job number",IF(F102="CHECK","Job number is not in the Xero job list",IF(I102="","No cost centre",IF(AND(P102="Y",C102=""),"Marked posted to Xero but has no invoice number",IF(AND(L102&lt;&gt;"",K102=""),"No tax code",IF(AND(L102&lt;&gt;"",O102=""),"No revenue GL code",""))))))))</f>
        <v/>
      </c>
      <c r="W102" s="25">
        <f>IF(E102="","",IFERROR(INDEX(lst_JobName,MATCH(E102&amp;"",lst_Jobs,0)),""))</f>
        <v/>
      </c>
      <c r="X102" s="28">
        <f>IF(E102="","",COUNTIFS(tbl_Finance[Job Number],E102&amp;"",tbl_Finance[Ex GST],"&lt;&gt;"))</f>
        <v/>
      </c>
      <c r="Y102" s="27">
        <f>IF(E102="","",SUMIFS(tbl_Finance[Ex GST],tbl_Finance[Job Number],E102&amp;""))</f>
        <v/>
      </c>
      <c r="Z102" s="27">
        <f>IF(E102="","",SUMIFS(tbl_Finance[Ex GST],tbl_Finance[Job Number],E102&amp;"",tbl_Finance[Xero Invoice No],"&lt;&gt;"))</f>
        <v/>
      </c>
      <c r="AA102" s="27">
        <f>IF(E102="","",Y102-Z102)</f>
        <v/>
      </c>
      <c r="AB102" s="25">
        <f>IF(E102="","",IF(H102="Onsite",IFERROR(INDEX(tbl_Onsite[Qwilr Quote],MATCH(E102&amp;"",tbl_Onsite[Job Number],0)),""),IF(H102="Production",IFERROR(INDEX(tbl_Production[Current RMS No],MATCH(E102&amp;"",tbl_Production[Job Number],0)),""),IF(H102="Consulting",IFERROR(INDEX(tbl_Consulting[Qwilr Quote],MATCH(E102&amp;"",tbl_Consulting[Job Number],0)),""),""))))</f>
        <v/>
      </c>
      <c r="AC102" s="25">
        <f>IF(AB102="","",IF(AND(LEFT(AB102,4)&lt;&gt;"http",IF(H102="Production",set_RMSBase,set_QwilrBase)=""),"",HYPERLINK(IF(LEFT(AB102,4)="http",AB102,IF(H102="Production",set_RMSBase,set_QwilrBase)&amp;AB102),"Open")))</f>
        <v/>
      </c>
      <c r="AD102" s="27">
        <f>IF(E102="","",IF(H102="Production",IFERROR(INDEX(tbl_Production[Total Expense],MATCH(E102&amp;"",tbl_Production[Job Number],0)),0),IF(H102="Consulting",IFERROR(INDEX(tbl_Consulting[Total Expense],MATCH(E102&amp;"",tbl_Consulting[Job Number],0)),0),0)))</f>
        <v/>
      </c>
      <c r="AE102" s="27">
        <f>IF(E102="","",Y102-N(AD102))</f>
        <v/>
      </c>
      <c r="AF102" s="29">
        <f>IFERROR(AE102/Y102,"")</f>
        <v/>
      </c>
      <c r="AG102" s="25">
        <f>IF(E102="","",IF(H102="Onsite",IFERROR(INDEX(tbl_Onsite[Notes],MATCH(E102&amp;"",tbl_Onsite[Job Number],0)),""),IF(H102="Production",IFERROR(INDEX(tbl_Production[Notes],MATCH(E102&amp;"",tbl_Production[Job Number],0)),""),IF(H102="Consulting",IFERROR(INDEX(tbl_Consulting[Notes],MATCH(E102&amp;"",tbl_Consulting[Job Number],0)),""),""))))</f>
        <v/>
      </c>
    </row>
    <row r="103" ht="15" customHeight="1">
      <c r="A103" s="22" t="n">
        <v>46260</v>
      </c>
      <c r="B103" s="23">
        <f>IF(A103="","",EOMONTH(A103,0))</f>
        <v/>
      </c>
      <c r="C103" s="24" t="inlineStr">
        <is>
          <t>INV-10589</t>
        </is>
      </c>
      <c r="D103" s="24" t="inlineStr">
        <is>
          <t>ON24</t>
        </is>
      </c>
      <c r="E103" s="24" t="inlineStr">
        <is>
          <t>26072802</t>
        </is>
      </c>
      <c r="F103" s="25">
        <f>IF(E103="","",IF(COUNTIF(lst_Jobs,E103&amp;"")&gt;0,"OK","CHECK"))</f>
        <v/>
      </c>
      <c r="G103" s="24" t="inlineStr">
        <is>
          <t>KWM Sydney Event 18.8.26 (PO25962)</t>
        </is>
      </c>
      <c r="H103" s="24" t="inlineStr">
        <is>
          <t>Production</t>
        </is>
      </c>
      <c r="I103" s="24" t="inlineStr">
        <is>
          <t>PRODUCTION</t>
        </is>
      </c>
      <c r="J103" s="24" t="inlineStr">
        <is>
          <t>Project</t>
        </is>
      </c>
      <c r="K103" s="24" t="inlineStr">
        <is>
          <t>GST 10%</t>
        </is>
      </c>
      <c r="L103" s="26" t="n">
        <v>2732.5</v>
      </c>
      <c r="M103" s="27">
        <f>IF(L103="","",IF(K103="GST 10%",ROUND(L103*set_GSTRate,2),0))</f>
        <v/>
      </c>
      <c r="N103" s="27">
        <f>IF(L103="","",L103+M103)</f>
        <v/>
      </c>
      <c r="O103" s="24" t="inlineStr">
        <is>
          <t>42100</t>
        </is>
      </c>
      <c r="P103" s="24" t="inlineStr">
        <is>
          <t>Y</t>
        </is>
      </c>
      <c r="Q103" s="24" t="inlineStr">
        <is>
          <t>N</t>
        </is>
      </c>
      <c r="R103" s="22" t="n"/>
      <c r="S103" s="22" t="n"/>
      <c r="T103" s="24" t="inlineStr">
        <is>
          <t>Invoiced</t>
        </is>
      </c>
      <c r="U103" s="24" t="n"/>
      <c r="V103" s="25">
        <f>IF(COUNTA(A103,D103,C103,L103)=0,"",IF(A103="","No date - sits outside every month",IF(E103="","No job number",IF(F103="CHECK","Job number is not in the Xero job list",IF(I103="","No cost centre",IF(AND(P103="Y",C103=""),"Marked posted to Xero but has no invoice number",IF(AND(L103&lt;&gt;"",K103=""),"No tax code",IF(AND(L103&lt;&gt;"",O103=""),"No revenue GL code",""))))))))</f>
        <v/>
      </c>
      <c r="W103" s="25">
        <f>IF(E103="","",IFERROR(INDEX(lst_JobName,MATCH(E103&amp;"",lst_Jobs,0)),""))</f>
        <v/>
      </c>
      <c r="X103" s="28">
        <f>IF(E103="","",COUNTIFS(tbl_Finance[Job Number],E103&amp;"",tbl_Finance[Ex GST],"&lt;&gt;"))</f>
        <v/>
      </c>
      <c r="Y103" s="27">
        <f>IF(E103="","",SUMIFS(tbl_Finance[Ex GST],tbl_Finance[Job Number],E103&amp;""))</f>
        <v/>
      </c>
      <c r="Z103" s="27">
        <f>IF(E103="","",SUMIFS(tbl_Finance[Ex GST],tbl_Finance[Job Number],E103&amp;"",tbl_Finance[Xero Invoice No],"&lt;&gt;"))</f>
        <v/>
      </c>
      <c r="AA103" s="27">
        <f>IF(E103="","",Y103-Z103)</f>
        <v/>
      </c>
      <c r="AB103" s="25">
        <f>IF(E103="","",IF(H103="Onsite",IFERROR(INDEX(tbl_Onsite[Qwilr Quote],MATCH(E103&amp;"",tbl_Onsite[Job Number],0)),""),IF(H103="Production",IFERROR(INDEX(tbl_Production[Current RMS No],MATCH(E103&amp;"",tbl_Production[Job Number],0)),""),IF(H103="Consulting",IFERROR(INDEX(tbl_Consulting[Qwilr Quote],MATCH(E103&amp;"",tbl_Consulting[Job Number],0)),""),""))))</f>
        <v/>
      </c>
      <c r="AC103" s="25">
        <f>IF(AB103="","",IF(AND(LEFT(AB103,4)&lt;&gt;"http",IF(H103="Production",set_RMSBase,set_QwilrBase)=""),"",HYPERLINK(IF(LEFT(AB103,4)="http",AB103,IF(H103="Production",set_RMSBase,set_QwilrBase)&amp;AB103),"Open")))</f>
        <v/>
      </c>
      <c r="AD103" s="27">
        <f>IF(E103="","",IF(H103="Production",IFERROR(INDEX(tbl_Production[Total Expense],MATCH(E103&amp;"",tbl_Production[Job Number],0)),0),IF(H103="Consulting",IFERROR(INDEX(tbl_Consulting[Total Expense],MATCH(E103&amp;"",tbl_Consulting[Job Number],0)),0),0)))</f>
        <v/>
      </c>
      <c r="AE103" s="27">
        <f>IF(E103="","",Y103-N(AD103))</f>
        <v/>
      </c>
      <c r="AF103" s="29">
        <f>IFERROR(AE103/Y103,"")</f>
        <v/>
      </c>
      <c r="AG103" s="25">
        <f>IF(E103="","",IF(H103="Onsite",IFERROR(INDEX(tbl_Onsite[Notes],MATCH(E103&amp;"",tbl_Onsite[Job Number],0)),""),IF(H103="Production",IFERROR(INDEX(tbl_Production[Notes],MATCH(E103&amp;"",tbl_Production[Job Number],0)),""),IF(H103="Consulting",IFERROR(INDEX(tbl_Consulting[Notes],MATCH(E103&amp;"",tbl_Consulting[Job Number],0)),""),""))))</f>
        <v/>
      </c>
    </row>
    <row r="104" ht="15" customHeight="1">
      <c r="A104" s="22" t="n">
        <v>46260</v>
      </c>
      <c r="B104" s="23">
        <f>IF(A104="","",EOMONTH(A104,0))</f>
        <v/>
      </c>
      <c r="C104" s="24" t="inlineStr">
        <is>
          <t>INV-10588</t>
        </is>
      </c>
      <c r="D104" s="24" t="inlineStr">
        <is>
          <t>Dimensional</t>
        </is>
      </c>
      <c r="E104" s="24" t="inlineStr">
        <is>
          <t>26081402</t>
        </is>
      </c>
      <c r="F104" s="25">
        <f>IF(E104="","",IF(COUNTIF(lst_Jobs,E104&amp;"")&gt;0,"OK","CHECK"))</f>
        <v/>
      </c>
      <c r="G104" s="24" t="inlineStr">
        <is>
          <t>AV Support 19.8.26</t>
        </is>
      </c>
      <c r="H104" s="24" t="inlineStr">
        <is>
          <t>Production</t>
        </is>
      </c>
      <c r="I104" s="24" t="inlineStr">
        <is>
          <t>PRODUCTION</t>
        </is>
      </c>
      <c r="J104" s="24" t="inlineStr">
        <is>
          <t>Project</t>
        </is>
      </c>
      <c r="K104" s="24" t="inlineStr">
        <is>
          <t>GST 10%</t>
        </is>
      </c>
      <c r="L104" s="26" t="n">
        <v>460</v>
      </c>
      <c r="M104" s="27">
        <f>IF(L104="","",IF(K104="GST 10%",ROUND(L104*set_GSTRate,2),0))</f>
        <v/>
      </c>
      <c r="N104" s="27">
        <f>IF(L104="","",L104+M104)</f>
        <v/>
      </c>
      <c r="O104" s="24" t="inlineStr">
        <is>
          <t>42100</t>
        </is>
      </c>
      <c r="P104" s="24" t="inlineStr">
        <is>
          <t>Y</t>
        </is>
      </c>
      <c r="Q104" s="24" t="inlineStr">
        <is>
          <t>N</t>
        </is>
      </c>
      <c r="R104" s="22" t="n"/>
      <c r="S104" s="22" t="n"/>
      <c r="T104" s="24" t="inlineStr">
        <is>
          <t>Invoiced</t>
        </is>
      </c>
      <c r="U104" s="24" t="n"/>
      <c r="V104" s="25">
        <f>IF(COUNTA(A104,D104,C104,L104)=0,"",IF(A104="","No date - sits outside every month",IF(E104="","No job number",IF(F104="CHECK","Job number is not in the Xero job list",IF(I104="","No cost centre",IF(AND(P104="Y",C104=""),"Marked posted to Xero but has no invoice number",IF(AND(L104&lt;&gt;"",K104=""),"No tax code",IF(AND(L104&lt;&gt;"",O104=""),"No revenue GL code",""))))))))</f>
        <v/>
      </c>
      <c r="W104" s="25">
        <f>IF(E104="","",IFERROR(INDEX(lst_JobName,MATCH(E104&amp;"",lst_Jobs,0)),""))</f>
        <v/>
      </c>
      <c r="X104" s="28">
        <f>IF(E104="","",COUNTIFS(tbl_Finance[Job Number],E104&amp;"",tbl_Finance[Ex GST],"&lt;&gt;"))</f>
        <v/>
      </c>
      <c r="Y104" s="27">
        <f>IF(E104="","",SUMIFS(tbl_Finance[Ex GST],tbl_Finance[Job Number],E104&amp;""))</f>
        <v/>
      </c>
      <c r="Z104" s="27">
        <f>IF(E104="","",SUMIFS(tbl_Finance[Ex GST],tbl_Finance[Job Number],E104&amp;"",tbl_Finance[Xero Invoice No],"&lt;&gt;"))</f>
        <v/>
      </c>
      <c r="AA104" s="27">
        <f>IF(E104="","",Y104-Z104)</f>
        <v/>
      </c>
      <c r="AB104" s="25">
        <f>IF(E104="","",IF(H104="Onsite",IFERROR(INDEX(tbl_Onsite[Qwilr Quote],MATCH(E104&amp;"",tbl_Onsite[Job Number],0)),""),IF(H104="Production",IFERROR(INDEX(tbl_Production[Current RMS No],MATCH(E104&amp;"",tbl_Production[Job Number],0)),""),IF(H104="Consulting",IFERROR(INDEX(tbl_Consulting[Qwilr Quote],MATCH(E104&amp;"",tbl_Consulting[Job Number],0)),""),""))))</f>
        <v/>
      </c>
      <c r="AC104" s="25">
        <f>IF(AB104="","",IF(AND(LEFT(AB104,4)&lt;&gt;"http",IF(H104="Production",set_RMSBase,set_QwilrBase)=""),"",HYPERLINK(IF(LEFT(AB104,4)="http",AB104,IF(H104="Production",set_RMSBase,set_QwilrBase)&amp;AB104),"Open")))</f>
        <v/>
      </c>
      <c r="AD104" s="27">
        <f>IF(E104="","",IF(H104="Production",IFERROR(INDEX(tbl_Production[Total Expense],MATCH(E104&amp;"",tbl_Production[Job Number],0)),0),IF(H104="Consulting",IFERROR(INDEX(tbl_Consulting[Total Expense],MATCH(E104&amp;"",tbl_Consulting[Job Number],0)),0),0)))</f>
        <v/>
      </c>
      <c r="AE104" s="27">
        <f>IF(E104="","",Y104-N(AD104))</f>
        <v/>
      </c>
      <c r="AF104" s="29">
        <f>IFERROR(AE104/Y104,"")</f>
        <v/>
      </c>
      <c r="AG104" s="25">
        <f>IF(E104="","",IF(H104="Onsite",IFERROR(INDEX(tbl_Onsite[Notes],MATCH(E104&amp;"",tbl_Onsite[Job Number],0)),""),IF(H104="Production",IFERROR(INDEX(tbl_Production[Notes],MATCH(E104&amp;"",tbl_Production[Job Number],0)),""),IF(H104="Consulting",IFERROR(INDEX(tbl_Consulting[Notes],MATCH(E104&amp;"",tbl_Consulting[Job Number],0)),""),""))))</f>
        <v/>
      </c>
    </row>
    <row r="105" ht="15" customHeight="1">
      <c r="A105" s="22" t="n">
        <v>46259</v>
      </c>
      <c r="B105" s="23">
        <f>IF(A105="","",EOMONTH(A105,0))</f>
        <v/>
      </c>
      <c r="C105" s="24" t="inlineStr">
        <is>
          <t>INV-10591</t>
        </is>
      </c>
      <c r="D105" s="24" t="inlineStr">
        <is>
          <t>TLC -  Melbourne</t>
        </is>
      </c>
      <c r="E105" s="24" t="inlineStr">
        <is>
          <t>26061106</t>
        </is>
      </c>
      <c r="F105" s="25">
        <f>IF(E105="","",IF(COUNTIF(lst_Jobs,E105&amp;"")&gt;0,"OK","CHECK"))</f>
        <v/>
      </c>
      <c r="G105" s="24" t="inlineStr">
        <is>
          <t>TLC Full Year Results</t>
        </is>
      </c>
      <c r="H105" s="24" t="inlineStr">
        <is>
          <t>Production</t>
        </is>
      </c>
      <c r="I105" s="24" t="inlineStr">
        <is>
          <t>PRODUCTION</t>
        </is>
      </c>
      <c r="J105" s="24" t="inlineStr">
        <is>
          <t>Project</t>
        </is>
      </c>
      <c r="K105" s="24" t="inlineStr">
        <is>
          <t>GST 10%</t>
        </is>
      </c>
      <c r="L105" s="26" t="n">
        <v>12987</v>
      </c>
      <c r="M105" s="27">
        <f>IF(L105="","",IF(K105="GST 10%",ROUND(L105*set_GSTRate,2),0))</f>
        <v/>
      </c>
      <c r="N105" s="27">
        <f>IF(L105="","",L105+M105)</f>
        <v/>
      </c>
      <c r="O105" s="24" t="inlineStr">
        <is>
          <t>42100</t>
        </is>
      </c>
      <c r="P105" s="24" t="inlineStr">
        <is>
          <t>Y</t>
        </is>
      </c>
      <c r="Q105" s="24" t="inlineStr">
        <is>
          <t>N</t>
        </is>
      </c>
      <c r="R105" s="22" t="n"/>
      <c r="S105" s="22" t="n"/>
      <c r="T105" s="24" t="inlineStr">
        <is>
          <t>Invoiced</t>
        </is>
      </c>
      <c r="U105" s="24" t="inlineStr">
        <is>
          <t>Production portion of this invoice</t>
        </is>
      </c>
      <c r="V105" s="25">
        <f>IF(COUNTA(A105,D105,C105,L105)=0,"",IF(A105="","No date - sits outside every month",IF(E105="","No job number",IF(F105="CHECK","Job number is not in the Xero job list",IF(I105="","No cost centre",IF(AND(P105="Y",C105=""),"Marked posted to Xero but has no invoice number",IF(AND(L105&lt;&gt;"",K105=""),"No tax code",IF(AND(L105&lt;&gt;"",O105=""),"No revenue GL code",""))))))))</f>
        <v/>
      </c>
      <c r="W105" s="25">
        <f>IF(E105="","",IFERROR(INDEX(lst_JobName,MATCH(E105&amp;"",lst_Jobs,0)),""))</f>
        <v/>
      </c>
      <c r="X105" s="28">
        <f>IF(E105="","",COUNTIFS(tbl_Finance[Job Number],E105&amp;"",tbl_Finance[Ex GST],"&lt;&gt;"))</f>
        <v/>
      </c>
      <c r="Y105" s="27">
        <f>IF(E105="","",SUMIFS(tbl_Finance[Ex GST],tbl_Finance[Job Number],E105&amp;""))</f>
        <v/>
      </c>
      <c r="Z105" s="27">
        <f>IF(E105="","",SUMIFS(tbl_Finance[Ex GST],tbl_Finance[Job Number],E105&amp;"",tbl_Finance[Xero Invoice No],"&lt;&gt;"))</f>
        <v/>
      </c>
      <c r="AA105" s="27">
        <f>IF(E105="","",Y105-Z105)</f>
        <v/>
      </c>
      <c r="AB105" s="25">
        <f>IF(E105="","",IF(H105="Onsite",IFERROR(INDEX(tbl_Onsite[Qwilr Quote],MATCH(E105&amp;"",tbl_Onsite[Job Number],0)),""),IF(H105="Production",IFERROR(INDEX(tbl_Production[Current RMS No],MATCH(E105&amp;"",tbl_Production[Job Number],0)),""),IF(H105="Consulting",IFERROR(INDEX(tbl_Consulting[Qwilr Quote],MATCH(E105&amp;"",tbl_Consulting[Job Number],0)),""),""))))</f>
        <v/>
      </c>
      <c r="AC105" s="25">
        <f>IF(AB105="","",IF(AND(LEFT(AB105,4)&lt;&gt;"http",IF(H105="Production",set_RMSBase,set_QwilrBase)=""),"",HYPERLINK(IF(LEFT(AB105,4)="http",AB105,IF(H105="Production",set_RMSBase,set_QwilrBase)&amp;AB105),"Open")))</f>
        <v/>
      </c>
      <c r="AD105" s="27">
        <f>IF(E105="","",IF(H105="Production",IFERROR(INDEX(tbl_Production[Total Expense],MATCH(E105&amp;"",tbl_Production[Job Number],0)),0),IF(H105="Consulting",IFERROR(INDEX(tbl_Consulting[Total Expense],MATCH(E105&amp;"",tbl_Consulting[Job Number],0)),0),0)))</f>
        <v/>
      </c>
      <c r="AE105" s="27">
        <f>IF(E105="","",Y105-N(AD105))</f>
        <v/>
      </c>
      <c r="AF105" s="29">
        <f>IFERROR(AE105/Y105,"")</f>
        <v/>
      </c>
      <c r="AG105" s="25">
        <f>IF(E105="","",IF(H105="Onsite",IFERROR(INDEX(tbl_Onsite[Notes],MATCH(E105&amp;"",tbl_Onsite[Job Number],0)),""),IF(H105="Production",IFERROR(INDEX(tbl_Production[Notes],MATCH(E105&amp;"",tbl_Production[Job Number],0)),""),IF(H105="Consulting",IFERROR(INDEX(tbl_Consulting[Notes],MATCH(E105&amp;"",tbl_Consulting[Job Number],0)),""),""))))</f>
        <v/>
      </c>
    </row>
    <row r="106" ht="15" customHeight="1">
      <c r="A106" s="22" t="n">
        <v>46259</v>
      </c>
      <c r="B106" s="23">
        <f>IF(A106="","",EOMONTH(A106,0))</f>
        <v/>
      </c>
      <c r="C106" s="24" t="inlineStr">
        <is>
          <t>INV-10591</t>
        </is>
      </c>
      <c r="D106" s="24" t="inlineStr">
        <is>
          <t>TLC -  Melbourne</t>
        </is>
      </c>
      <c r="E106" s="24" t="inlineStr">
        <is>
          <t>26061106</t>
        </is>
      </c>
      <c r="F106" s="25">
        <f>IF(E106="","",IF(COUNTIF(lst_Jobs,E106&amp;"")&gt;0,"OK","CHECK"))</f>
        <v/>
      </c>
      <c r="G106" s="24" t="inlineStr">
        <is>
          <t>TLC Full Year Results</t>
        </is>
      </c>
      <c r="H106" s="24" t="inlineStr">
        <is>
          <t>Production</t>
        </is>
      </c>
      <c r="I106" s="24" t="inlineStr">
        <is>
          <t>VIDEO</t>
        </is>
      </c>
      <c r="J106" s="24" t="inlineStr">
        <is>
          <t>Project</t>
        </is>
      </c>
      <c r="K106" s="24" t="inlineStr">
        <is>
          <t>GST 10%</t>
        </is>
      </c>
      <c r="L106" s="26" t="n">
        <v>674</v>
      </c>
      <c r="M106" s="27">
        <f>IF(L106="","",IF(K106="GST 10%",ROUND(L106*set_GSTRate,2),0))</f>
        <v/>
      </c>
      <c r="N106" s="27">
        <f>IF(L106="","",L106+M106)</f>
        <v/>
      </c>
      <c r="O106" s="24" t="inlineStr">
        <is>
          <t>42150</t>
        </is>
      </c>
      <c r="P106" s="24" t="inlineStr">
        <is>
          <t>Y</t>
        </is>
      </c>
      <c r="Q106" s="24" t="inlineStr">
        <is>
          <t>N</t>
        </is>
      </c>
      <c r="R106" s="22" t="n"/>
      <c r="S106" s="22" t="n"/>
      <c r="T106" s="24" t="inlineStr">
        <is>
          <t>Invoiced</t>
        </is>
      </c>
      <c r="U106" s="24" t="inlineStr">
        <is>
          <t>Video portion of this invoice</t>
        </is>
      </c>
      <c r="V106" s="25">
        <f>IF(COUNTA(A106,D106,C106,L106)=0,"",IF(A106="","No date - sits outside every month",IF(E106="","No job number",IF(F106="CHECK","Job number is not in the Xero job list",IF(I106="","No cost centre",IF(AND(P106="Y",C106=""),"Marked posted to Xero but has no invoice number",IF(AND(L106&lt;&gt;"",K106=""),"No tax code",IF(AND(L106&lt;&gt;"",O106=""),"No revenue GL code",""))))))))</f>
        <v/>
      </c>
      <c r="W106" s="25">
        <f>IF(E106="","",IFERROR(INDEX(lst_JobName,MATCH(E106&amp;"",lst_Jobs,0)),""))</f>
        <v/>
      </c>
      <c r="X106" s="28">
        <f>IF(E106="","",COUNTIFS(tbl_Finance[Job Number],E106&amp;"",tbl_Finance[Ex GST],"&lt;&gt;"))</f>
        <v/>
      </c>
      <c r="Y106" s="27">
        <f>IF(E106="","",SUMIFS(tbl_Finance[Ex GST],tbl_Finance[Job Number],E106&amp;""))</f>
        <v/>
      </c>
      <c r="Z106" s="27">
        <f>IF(E106="","",SUMIFS(tbl_Finance[Ex GST],tbl_Finance[Job Number],E106&amp;"",tbl_Finance[Xero Invoice No],"&lt;&gt;"))</f>
        <v/>
      </c>
      <c r="AA106" s="27">
        <f>IF(E106="","",Y106-Z106)</f>
        <v/>
      </c>
      <c r="AB106" s="25">
        <f>IF(E106="","",IF(H106="Onsite",IFERROR(INDEX(tbl_Onsite[Qwilr Quote],MATCH(E106&amp;"",tbl_Onsite[Job Number],0)),""),IF(H106="Production",IFERROR(INDEX(tbl_Production[Current RMS No],MATCH(E106&amp;"",tbl_Production[Job Number],0)),""),IF(H106="Consulting",IFERROR(INDEX(tbl_Consulting[Qwilr Quote],MATCH(E106&amp;"",tbl_Consulting[Job Number],0)),""),""))))</f>
        <v/>
      </c>
      <c r="AC106" s="25">
        <f>IF(AB106="","",IF(AND(LEFT(AB106,4)&lt;&gt;"http",IF(H106="Production",set_RMSBase,set_QwilrBase)=""),"",HYPERLINK(IF(LEFT(AB106,4)="http",AB106,IF(H106="Production",set_RMSBase,set_QwilrBase)&amp;AB106),"Open")))</f>
        <v/>
      </c>
      <c r="AD106" s="27">
        <f>IF(E106="","",IF(H106="Production",IFERROR(INDEX(tbl_Production[Total Expense],MATCH(E106&amp;"",tbl_Production[Job Number],0)),0),IF(H106="Consulting",IFERROR(INDEX(tbl_Consulting[Total Expense],MATCH(E106&amp;"",tbl_Consulting[Job Number],0)),0),0)))</f>
        <v/>
      </c>
      <c r="AE106" s="27">
        <f>IF(E106="","",Y106-N(AD106))</f>
        <v/>
      </c>
      <c r="AF106" s="29">
        <f>IFERROR(AE106/Y106,"")</f>
        <v/>
      </c>
      <c r="AG106" s="25">
        <f>IF(E106="","",IF(H106="Onsite",IFERROR(INDEX(tbl_Onsite[Notes],MATCH(E106&amp;"",tbl_Onsite[Job Number],0)),""),IF(H106="Production",IFERROR(INDEX(tbl_Production[Notes],MATCH(E106&amp;"",tbl_Production[Job Number],0)),""),IF(H106="Consulting",IFERROR(INDEX(tbl_Consulting[Notes],MATCH(E106&amp;"",tbl_Consulting[Job Number],0)),""),""))))</f>
        <v/>
      </c>
    </row>
    <row r="107" ht="15" customHeight="1">
      <c r="A107" s="22" t="n">
        <v>46259</v>
      </c>
      <c r="B107" s="23">
        <f>IF(A107="","",EOMONTH(A107,0))</f>
        <v/>
      </c>
      <c r="C107" s="24" t="inlineStr">
        <is>
          <t>INV-10587</t>
        </is>
      </c>
      <c r="D107" s="24" t="inlineStr">
        <is>
          <t>Downer</t>
        </is>
      </c>
      <c r="E107" s="24" t="inlineStr">
        <is>
          <t>26061107</t>
        </is>
      </c>
      <c r="F107" s="25">
        <f>IF(E107="","",IF(COUNTIF(lst_Jobs,E107&amp;"")&gt;0,"OK","CHECK"))</f>
        <v/>
      </c>
      <c r="G107" s="24" t="inlineStr">
        <is>
          <t>Downer FYR26 20.8.26</t>
        </is>
      </c>
      <c r="H107" s="24" t="inlineStr">
        <is>
          <t>Production</t>
        </is>
      </c>
      <c r="I107" s="24" t="inlineStr">
        <is>
          <t>PRODUCTION</t>
        </is>
      </c>
      <c r="J107" s="24" t="inlineStr">
        <is>
          <t>Project</t>
        </is>
      </c>
      <c r="K107" s="24" t="inlineStr">
        <is>
          <t>GST 10%</t>
        </is>
      </c>
      <c r="L107" s="26" t="n">
        <v>11380.75</v>
      </c>
      <c r="M107" s="27">
        <f>IF(L107="","",IF(K107="GST 10%",ROUND(L107*set_GSTRate,2),0))</f>
        <v/>
      </c>
      <c r="N107" s="27">
        <f>IF(L107="","",L107+M107)</f>
        <v/>
      </c>
      <c r="O107" s="24" t="inlineStr">
        <is>
          <t>42100</t>
        </is>
      </c>
      <c r="P107" s="24" t="inlineStr">
        <is>
          <t>Y</t>
        </is>
      </c>
      <c r="Q107" s="24" t="inlineStr">
        <is>
          <t>N</t>
        </is>
      </c>
      <c r="R107" s="22" t="n"/>
      <c r="S107" s="22" t="n"/>
      <c r="T107" s="24" t="inlineStr">
        <is>
          <t>Invoiced</t>
        </is>
      </c>
      <c r="U107" s="24" t="inlineStr">
        <is>
          <t>Production portion of this invoice</t>
        </is>
      </c>
      <c r="V107" s="25">
        <f>IF(COUNTA(A107,D107,C107,L107)=0,"",IF(A107="","No date - sits outside every month",IF(E107="","No job number",IF(F107="CHECK","Job number is not in the Xero job list",IF(I107="","No cost centre",IF(AND(P107="Y",C107=""),"Marked posted to Xero but has no invoice number",IF(AND(L107&lt;&gt;"",K107=""),"No tax code",IF(AND(L107&lt;&gt;"",O107=""),"No revenue GL code",""))))))))</f>
        <v/>
      </c>
      <c r="W107" s="25">
        <f>IF(E107="","",IFERROR(INDEX(lst_JobName,MATCH(E107&amp;"",lst_Jobs,0)),""))</f>
        <v/>
      </c>
      <c r="X107" s="28">
        <f>IF(E107="","",COUNTIFS(tbl_Finance[Job Number],E107&amp;"",tbl_Finance[Ex GST],"&lt;&gt;"))</f>
        <v/>
      </c>
      <c r="Y107" s="27">
        <f>IF(E107="","",SUMIFS(tbl_Finance[Ex GST],tbl_Finance[Job Number],E107&amp;""))</f>
        <v/>
      </c>
      <c r="Z107" s="27">
        <f>IF(E107="","",SUMIFS(tbl_Finance[Ex GST],tbl_Finance[Job Number],E107&amp;"",tbl_Finance[Xero Invoice No],"&lt;&gt;"))</f>
        <v/>
      </c>
      <c r="AA107" s="27">
        <f>IF(E107="","",Y107-Z107)</f>
        <v/>
      </c>
      <c r="AB107" s="25">
        <f>IF(E107="","",IF(H107="Onsite",IFERROR(INDEX(tbl_Onsite[Qwilr Quote],MATCH(E107&amp;"",tbl_Onsite[Job Number],0)),""),IF(H107="Production",IFERROR(INDEX(tbl_Production[Current RMS No],MATCH(E107&amp;"",tbl_Production[Job Number],0)),""),IF(H107="Consulting",IFERROR(INDEX(tbl_Consulting[Qwilr Quote],MATCH(E107&amp;"",tbl_Consulting[Job Number],0)),""),""))))</f>
        <v/>
      </c>
      <c r="AC107" s="25">
        <f>IF(AB107="","",IF(AND(LEFT(AB107,4)&lt;&gt;"http",IF(H107="Production",set_RMSBase,set_QwilrBase)=""),"",HYPERLINK(IF(LEFT(AB107,4)="http",AB107,IF(H107="Production",set_RMSBase,set_QwilrBase)&amp;AB107),"Open")))</f>
        <v/>
      </c>
      <c r="AD107" s="27">
        <f>IF(E107="","",IF(H107="Production",IFERROR(INDEX(tbl_Production[Total Expense],MATCH(E107&amp;"",tbl_Production[Job Number],0)),0),IF(H107="Consulting",IFERROR(INDEX(tbl_Consulting[Total Expense],MATCH(E107&amp;"",tbl_Consulting[Job Number],0)),0),0)))</f>
        <v/>
      </c>
      <c r="AE107" s="27">
        <f>IF(E107="","",Y107-N(AD107))</f>
        <v/>
      </c>
      <c r="AF107" s="29">
        <f>IFERROR(AE107/Y107,"")</f>
        <v/>
      </c>
      <c r="AG107" s="25">
        <f>IF(E107="","",IF(H107="Onsite",IFERROR(INDEX(tbl_Onsite[Notes],MATCH(E107&amp;"",tbl_Onsite[Job Number],0)),""),IF(H107="Production",IFERROR(INDEX(tbl_Production[Notes],MATCH(E107&amp;"",tbl_Production[Job Number],0)),""),IF(H107="Consulting",IFERROR(INDEX(tbl_Consulting[Notes],MATCH(E107&amp;"",tbl_Consulting[Job Number],0)),""),""))))</f>
        <v/>
      </c>
    </row>
    <row r="108" ht="15" customHeight="1">
      <c r="A108" s="22" t="n">
        <v>46259</v>
      </c>
      <c r="B108" s="23">
        <f>IF(A108="","",EOMONTH(A108,0))</f>
        <v/>
      </c>
      <c r="C108" s="24" t="inlineStr">
        <is>
          <t>INV-10587</t>
        </is>
      </c>
      <c r="D108" s="24" t="inlineStr">
        <is>
          <t>Downer</t>
        </is>
      </c>
      <c r="E108" s="24" t="inlineStr">
        <is>
          <t>26061107</t>
        </is>
      </c>
      <c r="F108" s="25">
        <f>IF(E108="","",IF(COUNTIF(lst_Jobs,E108&amp;"")&gt;0,"OK","CHECK"))</f>
        <v/>
      </c>
      <c r="G108" s="24" t="inlineStr">
        <is>
          <t>Downer FYR26 20.8.26</t>
        </is>
      </c>
      <c r="H108" s="24" t="inlineStr">
        <is>
          <t>Production</t>
        </is>
      </c>
      <c r="I108" s="24" t="inlineStr">
        <is>
          <t>VIDEO</t>
        </is>
      </c>
      <c r="J108" s="24" t="inlineStr">
        <is>
          <t>Project</t>
        </is>
      </c>
      <c r="K108" s="24" t="inlineStr">
        <is>
          <t>GST 10%</t>
        </is>
      </c>
      <c r="L108" s="26" t="n">
        <v>263.5</v>
      </c>
      <c r="M108" s="27">
        <f>IF(L108="","",IF(K108="GST 10%",ROUND(L108*set_GSTRate,2),0))</f>
        <v/>
      </c>
      <c r="N108" s="27">
        <f>IF(L108="","",L108+M108)</f>
        <v/>
      </c>
      <c r="O108" s="24" t="inlineStr">
        <is>
          <t>42150</t>
        </is>
      </c>
      <c r="P108" s="24" t="inlineStr">
        <is>
          <t>Y</t>
        </is>
      </c>
      <c r="Q108" s="24" t="inlineStr">
        <is>
          <t>N</t>
        </is>
      </c>
      <c r="R108" s="22" t="n"/>
      <c r="S108" s="22" t="n"/>
      <c r="T108" s="24" t="inlineStr">
        <is>
          <t>Invoiced</t>
        </is>
      </c>
      <c r="U108" s="24" t="inlineStr">
        <is>
          <t>Video portion of this invoice</t>
        </is>
      </c>
      <c r="V108" s="25">
        <f>IF(COUNTA(A108,D108,C108,L108)=0,"",IF(A108="","No date - sits outside every month",IF(E108="","No job number",IF(F108="CHECK","Job number is not in the Xero job list",IF(I108="","No cost centre",IF(AND(P108="Y",C108=""),"Marked posted to Xero but has no invoice number",IF(AND(L108&lt;&gt;"",K108=""),"No tax code",IF(AND(L108&lt;&gt;"",O108=""),"No revenue GL code",""))))))))</f>
        <v/>
      </c>
      <c r="W108" s="25">
        <f>IF(E108="","",IFERROR(INDEX(lst_JobName,MATCH(E108&amp;"",lst_Jobs,0)),""))</f>
        <v/>
      </c>
      <c r="X108" s="28">
        <f>IF(E108="","",COUNTIFS(tbl_Finance[Job Number],E108&amp;"",tbl_Finance[Ex GST],"&lt;&gt;"))</f>
        <v/>
      </c>
      <c r="Y108" s="27">
        <f>IF(E108="","",SUMIFS(tbl_Finance[Ex GST],tbl_Finance[Job Number],E108&amp;""))</f>
        <v/>
      </c>
      <c r="Z108" s="27">
        <f>IF(E108="","",SUMIFS(tbl_Finance[Ex GST],tbl_Finance[Job Number],E108&amp;"",tbl_Finance[Xero Invoice No],"&lt;&gt;"))</f>
        <v/>
      </c>
      <c r="AA108" s="27">
        <f>IF(E108="","",Y108-Z108)</f>
        <v/>
      </c>
      <c r="AB108" s="25">
        <f>IF(E108="","",IF(H108="Onsite",IFERROR(INDEX(tbl_Onsite[Qwilr Quote],MATCH(E108&amp;"",tbl_Onsite[Job Number],0)),""),IF(H108="Production",IFERROR(INDEX(tbl_Production[Current RMS No],MATCH(E108&amp;"",tbl_Production[Job Number],0)),""),IF(H108="Consulting",IFERROR(INDEX(tbl_Consulting[Qwilr Quote],MATCH(E108&amp;"",tbl_Consulting[Job Number],0)),""),""))))</f>
        <v/>
      </c>
      <c r="AC108" s="25">
        <f>IF(AB108="","",IF(AND(LEFT(AB108,4)&lt;&gt;"http",IF(H108="Production",set_RMSBase,set_QwilrBase)=""),"",HYPERLINK(IF(LEFT(AB108,4)="http",AB108,IF(H108="Production",set_RMSBase,set_QwilrBase)&amp;AB108),"Open")))</f>
        <v/>
      </c>
      <c r="AD108" s="27">
        <f>IF(E108="","",IF(H108="Production",IFERROR(INDEX(tbl_Production[Total Expense],MATCH(E108&amp;"",tbl_Production[Job Number],0)),0),IF(H108="Consulting",IFERROR(INDEX(tbl_Consulting[Total Expense],MATCH(E108&amp;"",tbl_Consulting[Job Number],0)),0),0)))</f>
        <v/>
      </c>
      <c r="AE108" s="27">
        <f>IF(E108="","",Y108-N(AD108))</f>
        <v/>
      </c>
      <c r="AF108" s="29">
        <f>IFERROR(AE108/Y108,"")</f>
        <v/>
      </c>
      <c r="AG108" s="25">
        <f>IF(E108="","",IF(H108="Onsite",IFERROR(INDEX(tbl_Onsite[Notes],MATCH(E108&amp;"",tbl_Onsite[Job Number],0)),""),IF(H108="Production",IFERROR(INDEX(tbl_Production[Notes],MATCH(E108&amp;"",tbl_Production[Job Number],0)),""),IF(H108="Consulting",IFERROR(INDEX(tbl_Consulting[Notes],MATCH(E108&amp;"",tbl_Consulting[Job Number],0)),""),""))))</f>
        <v/>
      </c>
    </row>
    <row r="109" ht="15" customHeight="1">
      <c r="A109" s="22" t="n">
        <v>46260</v>
      </c>
      <c r="B109" s="23">
        <f>IF(A109="","",EOMONTH(A109,0))</f>
        <v/>
      </c>
      <c r="C109" s="24" t="inlineStr">
        <is>
          <t>INV-10586</t>
        </is>
      </c>
      <c r="D109" s="24" t="inlineStr">
        <is>
          <t>Garvan</t>
        </is>
      </c>
      <c r="E109" s="24" t="inlineStr">
        <is>
          <t>26073110</t>
        </is>
      </c>
      <c r="F109" s="25">
        <f>IF(E109="","",IF(COUNTIF(lst_Jobs,E109&amp;"")&gt;0,"OK","CHECK"))</f>
        <v/>
      </c>
      <c r="G109" s="24" t="inlineStr">
        <is>
          <t>Garvan - Weizmann Dinner Event</t>
        </is>
      </c>
      <c r="H109" s="24" t="inlineStr">
        <is>
          <t>Production</t>
        </is>
      </c>
      <c r="I109" s="24" t="inlineStr">
        <is>
          <t>PRODUCTION</t>
        </is>
      </c>
      <c r="J109" s="24" t="inlineStr">
        <is>
          <t>Project</t>
        </is>
      </c>
      <c r="K109" s="24" t="inlineStr">
        <is>
          <t>GST 10%</t>
        </is>
      </c>
      <c r="L109" s="26" t="n">
        <v>1055</v>
      </c>
      <c r="M109" s="27">
        <f>IF(L109="","",IF(K109="GST 10%",ROUND(L109*set_GSTRate,2),0))</f>
        <v/>
      </c>
      <c r="N109" s="27">
        <f>IF(L109="","",L109+M109)</f>
        <v/>
      </c>
      <c r="O109" s="24" t="inlineStr">
        <is>
          <t>42100</t>
        </is>
      </c>
      <c r="P109" s="24" t="inlineStr">
        <is>
          <t>Y</t>
        </is>
      </c>
      <c r="Q109" s="24" t="inlineStr">
        <is>
          <t>N</t>
        </is>
      </c>
      <c r="R109" s="22" t="n"/>
      <c r="S109" s="22" t="n"/>
      <c r="T109" s="24" t="inlineStr">
        <is>
          <t>Invoiced</t>
        </is>
      </c>
      <c r="U109" s="24" t="n"/>
      <c r="V109" s="25">
        <f>IF(COUNTA(A109,D109,C109,L109)=0,"",IF(A109="","No date - sits outside every month",IF(E109="","No job number",IF(F109="CHECK","Job number is not in the Xero job list",IF(I109="","No cost centre",IF(AND(P109="Y",C109=""),"Marked posted to Xero but has no invoice number",IF(AND(L109&lt;&gt;"",K109=""),"No tax code",IF(AND(L109&lt;&gt;"",O109=""),"No revenue GL code",""))))))))</f>
        <v/>
      </c>
      <c r="W109" s="25">
        <f>IF(E109="","",IFERROR(INDEX(lst_JobName,MATCH(E109&amp;"",lst_Jobs,0)),""))</f>
        <v/>
      </c>
      <c r="X109" s="28">
        <f>IF(E109="","",COUNTIFS(tbl_Finance[Job Number],E109&amp;"",tbl_Finance[Ex GST],"&lt;&gt;"))</f>
        <v/>
      </c>
      <c r="Y109" s="27">
        <f>IF(E109="","",SUMIFS(tbl_Finance[Ex GST],tbl_Finance[Job Number],E109&amp;""))</f>
        <v/>
      </c>
      <c r="Z109" s="27">
        <f>IF(E109="","",SUMIFS(tbl_Finance[Ex GST],tbl_Finance[Job Number],E109&amp;"",tbl_Finance[Xero Invoice No],"&lt;&gt;"))</f>
        <v/>
      </c>
      <c r="AA109" s="27">
        <f>IF(E109="","",Y109-Z109)</f>
        <v/>
      </c>
      <c r="AB109" s="25">
        <f>IF(E109="","",IF(H109="Onsite",IFERROR(INDEX(tbl_Onsite[Qwilr Quote],MATCH(E109&amp;"",tbl_Onsite[Job Number],0)),""),IF(H109="Production",IFERROR(INDEX(tbl_Production[Current RMS No],MATCH(E109&amp;"",tbl_Production[Job Number],0)),""),IF(H109="Consulting",IFERROR(INDEX(tbl_Consulting[Qwilr Quote],MATCH(E109&amp;"",tbl_Consulting[Job Number],0)),""),""))))</f>
        <v/>
      </c>
      <c r="AC109" s="25">
        <f>IF(AB109="","",IF(AND(LEFT(AB109,4)&lt;&gt;"http",IF(H109="Production",set_RMSBase,set_QwilrBase)=""),"",HYPERLINK(IF(LEFT(AB109,4)="http",AB109,IF(H109="Production",set_RMSBase,set_QwilrBase)&amp;AB109),"Open")))</f>
        <v/>
      </c>
      <c r="AD109" s="27">
        <f>IF(E109="","",IF(H109="Production",IFERROR(INDEX(tbl_Production[Total Expense],MATCH(E109&amp;"",tbl_Production[Job Number],0)),0),IF(H109="Consulting",IFERROR(INDEX(tbl_Consulting[Total Expense],MATCH(E109&amp;"",tbl_Consulting[Job Number],0)),0),0)))</f>
        <v/>
      </c>
      <c r="AE109" s="27">
        <f>IF(E109="","",Y109-N(AD109))</f>
        <v/>
      </c>
      <c r="AF109" s="29">
        <f>IFERROR(AE109/Y109,"")</f>
        <v/>
      </c>
      <c r="AG109" s="25">
        <f>IF(E109="","",IF(H109="Onsite",IFERROR(INDEX(tbl_Onsite[Notes],MATCH(E109&amp;"",tbl_Onsite[Job Number],0)),""),IF(H109="Production",IFERROR(INDEX(tbl_Production[Notes],MATCH(E109&amp;"",tbl_Production[Job Number],0)),""),IF(H109="Consulting",IFERROR(INDEX(tbl_Consulting[Notes],MATCH(E109&amp;"",tbl_Consulting[Job Number],0)),""),""))))</f>
        <v/>
      </c>
    </row>
    <row r="110" ht="15" customHeight="1">
      <c r="A110" s="22" t="n"/>
      <c r="B110" s="23">
        <f>IF(A110="","",EOMONTH(A110,0))</f>
        <v/>
      </c>
      <c r="C110" s="24" t="inlineStr">
        <is>
          <t>Package</t>
        </is>
      </c>
      <c r="D110" s="24" t="inlineStr">
        <is>
          <t>APA</t>
        </is>
      </c>
      <c r="E110" s="24" t="inlineStr">
        <is>
          <t>25121208</t>
        </is>
      </c>
      <c r="F110" s="25">
        <f>IF(E110="","",IF(COUNTIF(lst_Jobs,E110&amp;"")&gt;0,"OK","CHECK"))</f>
        <v/>
      </c>
      <c r="G110" s="24" t="inlineStr">
        <is>
          <t>APA FYR Investor Briefing 20.8.26</t>
        </is>
      </c>
      <c r="H110" s="24" t="inlineStr">
        <is>
          <t>Production</t>
        </is>
      </c>
      <c r="I110" s="24" t="inlineStr">
        <is>
          <t>PRODUCTION</t>
        </is>
      </c>
      <c r="J110" s="24" t="inlineStr">
        <is>
          <t>Project</t>
        </is>
      </c>
      <c r="K110" s="24" t="inlineStr">
        <is>
          <t>GST 10%</t>
        </is>
      </c>
      <c r="L110" s="26" t="n">
        <v>8472.5</v>
      </c>
      <c r="M110" s="27">
        <f>IF(L110="","",IF(K110="GST 10%",ROUND(L110*set_GSTRate,2),0))</f>
        <v/>
      </c>
      <c r="N110" s="27">
        <f>IF(L110="","",L110+M110)</f>
        <v/>
      </c>
      <c r="O110" s="24" t="inlineStr">
        <is>
          <t>42100</t>
        </is>
      </c>
      <c r="P110" s="24" t="inlineStr">
        <is>
          <t>Y</t>
        </is>
      </c>
      <c r="Q110" s="24" t="inlineStr">
        <is>
          <t>N</t>
        </is>
      </c>
      <c r="R110" s="22" t="n"/>
      <c r="S110" s="22" t="n"/>
      <c r="T110" s="24" t="inlineStr">
        <is>
          <t>Invoiced</t>
        </is>
      </c>
      <c r="U110" s="24" t="n"/>
      <c r="V110" s="25">
        <f>IF(COUNTA(A110,D110,C110,L110)=0,"",IF(A110="","No date - sits outside every month",IF(E110="","No job number",IF(F110="CHECK","Job number is not in the Xero job list",IF(I110="","No cost centre",IF(AND(P110="Y",C110=""),"Marked posted to Xero but has no invoice number",IF(AND(L110&lt;&gt;"",K110=""),"No tax code",IF(AND(L110&lt;&gt;"",O110=""),"No revenue GL code",""))))))))</f>
        <v/>
      </c>
      <c r="W110" s="25">
        <f>IF(E110="","",IFERROR(INDEX(lst_JobName,MATCH(E110&amp;"",lst_Jobs,0)),""))</f>
        <v/>
      </c>
      <c r="X110" s="28">
        <f>IF(E110="","",COUNTIFS(tbl_Finance[Job Number],E110&amp;"",tbl_Finance[Ex GST],"&lt;&gt;"))</f>
        <v/>
      </c>
      <c r="Y110" s="27">
        <f>IF(E110="","",SUMIFS(tbl_Finance[Ex GST],tbl_Finance[Job Number],E110&amp;""))</f>
        <v/>
      </c>
      <c r="Z110" s="27">
        <f>IF(E110="","",SUMIFS(tbl_Finance[Ex GST],tbl_Finance[Job Number],E110&amp;"",tbl_Finance[Xero Invoice No],"&lt;&gt;"))</f>
        <v/>
      </c>
      <c r="AA110" s="27">
        <f>IF(E110="","",Y110-Z110)</f>
        <v/>
      </c>
      <c r="AB110" s="25">
        <f>IF(E110="","",IF(H110="Onsite",IFERROR(INDEX(tbl_Onsite[Qwilr Quote],MATCH(E110&amp;"",tbl_Onsite[Job Number],0)),""),IF(H110="Production",IFERROR(INDEX(tbl_Production[Current RMS No],MATCH(E110&amp;"",tbl_Production[Job Number],0)),""),IF(H110="Consulting",IFERROR(INDEX(tbl_Consulting[Qwilr Quote],MATCH(E110&amp;"",tbl_Consulting[Job Number],0)),""),""))))</f>
        <v/>
      </c>
      <c r="AC110" s="25">
        <f>IF(AB110="","",IF(AND(LEFT(AB110,4)&lt;&gt;"http",IF(H110="Production",set_RMSBase,set_QwilrBase)=""),"",HYPERLINK(IF(LEFT(AB110,4)="http",AB110,IF(H110="Production",set_RMSBase,set_QwilrBase)&amp;AB110),"Open")))</f>
        <v/>
      </c>
      <c r="AD110" s="27">
        <f>IF(E110="","",IF(H110="Production",IFERROR(INDEX(tbl_Production[Total Expense],MATCH(E110&amp;"",tbl_Production[Job Number],0)),0),IF(H110="Consulting",IFERROR(INDEX(tbl_Consulting[Total Expense],MATCH(E110&amp;"",tbl_Consulting[Job Number],0)),0),0)))</f>
        <v/>
      </c>
      <c r="AE110" s="27">
        <f>IF(E110="","",Y110-N(AD110))</f>
        <v/>
      </c>
      <c r="AF110" s="29">
        <f>IFERROR(AE110/Y110,"")</f>
        <v/>
      </c>
      <c r="AG110" s="25">
        <f>IF(E110="","",IF(H110="Onsite",IFERROR(INDEX(tbl_Onsite[Notes],MATCH(E110&amp;"",tbl_Onsite[Job Number],0)),""),IF(H110="Production",IFERROR(INDEX(tbl_Production[Notes],MATCH(E110&amp;"",tbl_Production[Job Number],0)),""),IF(H110="Consulting",IFERROR(INDEX(tbl_Consulting[Notes],MATCH(E110&amp;"",tbl_Consulting[Job Number],0)),""),""))))</f>
        <v/>
      </c>
    </row>
    <row r="111" ht="15" customHeight="1">
      <c r="A111" s="22" t="n"/>
      <c r="B111" s="23">
        <f>IF(A111="","",EOMONTH(A111,0))</f>
        <v/>
      </c>
      <c r="C111" s="24" t="inlineStr">
        <is>
          <t>Package</t>
        </is>
      </c>
      <c r="D111" s="24" t="inlineStr">
        <is>
          <t>APA</t>
        </is>
      </c>
      <c r="E111" s="24" t="inlineStr">
        <is>
          <t>26061108</t>
        </is>
      </c>
      <c r="F111" s="25">
        <f>IF(E111="","",IF(COUNTIF(lst_Jobs,E111&amp;"")&gt;0,"OK","CHECK"))</f>
        <v/>
      </c>
      <c r="G111" s="24" t="inlineStr">
        <is>
          <t>APA FYR Town Hall 20.8.26</t>
        </is>
      </c>
      <c r="H111" s="24" t="inlineStr">
        <is>
          <t>Production</t>
        </is>
      </c>
      <c r="I111" s="24" t="inlineStr">
        <is>
          <t>PRODUCTION</t>
        </is>
      </c>
      <c r="J111" s="24" t="inlineStr">
        <is>
          <t>Project</t>
        </is>
      </c>
      <c r="K111" s="24" t="inlineStr">
        <is>
          <t>GST 10%</t>
        </is>
      </c>
      <c r="L111" s="26" t="n">
        <v>11339</v>
      </c>
      <c r="M111" s="27">
        <f>IF(L111="","",IF(K111="GST 10%",ROUND(L111*set_GSTRate,2),0))</f>
        <v/>
      </c>
      <c r="N111" s="27">
        <f>IF(L111="","",L111+M111)</f>
        <v/>
      </c>
      <c r="O111" s="24" t="inlineStr">
        <is>
          <t>42100</t>
        </is>
      </c>
      <c r="P111" s="24" t="inlineStr">
        <is>
          <t>Y</t>
        </is>
      </c>
      <c r="Q111" s="24" t="inlineStr">
        <is>
          <t>N</t>
        </is>
      </c>
      <c r="R111" s="22" t="n"/>
      <c r="S111" s="22" t="n"/>
      <c r="T111" s="24" t="inlineStr">
        <is>
          <t>Invoiced</t>
        </is>
      </c>
      <c r="U111" s="24" t="inlineStr">
        <is>
          <t>Production portion of this invoice</t>
        </is>
      </c>
      <c r="V111" s="25">
        <f>IF(COUNTA(A111,D111,C111,L111)=0,"",IF(A111="","No date - sits outside every month",IF(E111="","No job number",IF(F111="CHECK","Job number is not in the Xero job list",IF(I111="","No cost centre",IF(AND(P111="Y",C111=""),"Marked posted to Xero but has no invoice number",IF(AND(L111&lt;&gt;"",K111=""),"No tax code",IF(AND(L111&lt;&gt;"",O111=""),"No revenue GL code",""))))))))</f>
        <v/>
      </c>
      <c r="W111" s="25">
        <f>IF(E111="","",IFERROR(INDEX(lst_JobName,MATCH(E111&amp;"",lst_Jobs,0)),""))</f>
        <v/>
      </c>
      <c r="X111" s="28">
        <f>IF(E111="","",COUNTIFS(tbl_Finance[Job Number],E111&amp;"",tbl_Finance[Ex GST],"&lt;&gt;"))</f>
        <v/>
      </c>
      <c r="Y111" s="27">
        <f>IF(E111="","",SUMIFS(tbl_Finance[Ex GST],tbl_Finance[Job Number],E111&amp;""))</f>
        <v/>
      </c>
      <c r="Z111" s="27">
        <f>IF(E111="","",SUMIFS(tbl_Finance[Ex GST],tbl_Finance[Job Number],E111&amp;"",tbl_Finance[Xero Invoice No],"&lt;&gt;"))</f>
        <v/>
      </c>
      <c r="AA111" s="27">
        <f>IF(E111="","",Y111-Z111)</f>
        <v/>
      </c>
      <c r="AB111" s="25">
        <f>IF(E111="","",IF(H111="Onsite",IFERROR(INDEX(tbl_Onsite[Qwilr Quote],MATCH(E111&amp;"",tbl_Onsite[Job Number],0)),""),IF(H111="Production",IFERROR(INDEX(tbl_Production[Current RMS No],MATCH(E111&amp;"",tbl_Production[Job Number],0)),""),IF(H111="Consulting",IFERROR(INDEX(tbl_Consulting[Qwilr Quote],MATCH(E111&amp;"",tbl_Consulting[Job Number],0)),""),""))))</f>
        <v/>
      </c>
      <c r="AC111" s="25">
        <f>IF(AB111="","",IF(AND(LEFT(AB111,4)&lt;&gt;"http",IF(H111="Production",set_RMSBase,set_QwilrBase)=""),"",HYPERLINK(IF(LEFT(AB111,4)="http",AB111,IF(H111="Production",set_RMSBase,set_QwilrBase)&amp;AB111),"Open")))</f>
        <v/>
      </c>
      <c r="AD111" s="27">
        <f>IF(E111="","",IF(H111="Production",IFERROR(INDEX(tbl_Production[Total Expense],MATCH(E111&amp;"",tbl_Production[Job Number],0)),0),IF(H111="Consulting",IFERROR(INDEX(tbl_Consulting[Total Expense],MATCH(E111&amp;"",tbl_Consulting[Job Number],0)),0),0)))</f>
        <v/>
      </c>
      <c r="AE111" s="27">
        <f>IF(E111="","",Y111-N(AD111))</f>
        <v/>
      </c>
      <c r="AF111" s="29">
        <f>IFERROR(AE111/Y111,"")</f>
        <v/>
      </c>
      <c r="AG111" s="25">
        <f>IF(E111="","",IF(H111="Onsite",IFERROR(INDEX(tbl_Onsite[Notes],MATCH(E111&amp;"",tbl_Onsite[Job Number],0)),""),IF(H111="Production",IFERROR(INDEX(tbl_Production[Notes],MATCH(E111&amp;"",tbl_Production[Job Number],0)),""),IF(H111="Consulting",IFERROR(INDEX(tbl_Consulting[Notes],MATCH(E111&amp;"",tbl_Consulting[Job Number],0)),""),""))))</f>
        <v/>
      </c>
    </row>
    <row r="112" ht="15" customHeight="1">
      <c r="A112" s="22" t="n"/>
      <c r="B112" s="23">
        <f>IF(A112="","",EOMONTH(A112,0))</f>
        <v/>
      </c>
      <c r="C112" s="24" t="inlineStr">
        <is>
          <t>Package</t>
        </is>
      </c>
      <c r="D112" s="24" t="inlineStr">
        <is>
          <t>APA</t>
        </is>
      </c>
      <c r="E112" s="24" t="inlineStr">
        <is>
          <t>26061108</t>
        </is>
      </c>
      <c r="F112" s="25">
        <f>IF(E112="","",IF(COUNTIF(lst_Jobs,E112&amp;"")&gt;0,"OK","CHECK"))</f>
        <v/>
      </c>
      <c r="G112" s="24" t="inlineStr">
        <is>
          <t>APA FYR Town Hall 20.8.26</t>
        </is>
      </c>
      <c r="H112" s="24" t="inlineStr">
        <is>
          <t>Production</t>
        </is>
      </c>
      <c r="I112" s="24" t="inlineStr">
        <is>
          <t>VIDEO</t>
        </is>
      </c>
      <c r="J112" s="24" t="inlineStr">
        <is>
          <t>Project</t>
        </is>
      </c>
      <c r="K112" s="24" t="inlineStr">
        <is>
          <t>GST 10%</t>
        </is>
      </c>
      <c r="L112" s="26" t="n">
        <v>1261.6</v>
      </c>
      <c r="M112" s="27">
        <f>IF(L112="","",IF(K112="GST 10%",ROUND(L112*set_GSTRate,2),0))</f>
        <v/>
      </c>
      <c r="N112" s="27">
        <f>IF(L112="","",L112+M112)</f>
        <v/>
      </c>
      <c r="O112" s="24" t="inlineStr">
        <is>
          <t>42150</t>
        </is>
      </c>
      <c r="P112" s="24" t="inlineStr">
        <is>
          <t>Y</t>
        </is>
      </c>
      <c r="Q112" s="24" t="inlineStr">
        <is>
          <t>N</t>
        </is>
      </c>
      <c r="R112" s="22" t="n"/>
      <c r="S112" s="22" t="n"/>
      <c r="T112" s="24" t="inlineStr">
        <is>
          <t>Invoiced</t>
        </is>
      </c>
      <c r="U112" s="24" t="inlineStr">
        <is>
          <t>Video portion of this invoice</t>
        </is>
      </c>
      <c r="V112" s="25">
        <f>IF(COUNTA(A112,D112,C112,L112)=0,"",IF(A112="","No date - sits outside every month",IF(E112="","No job number",IF(F112="CHECK","Job number is not in the Xero job list",IF(I112="","No cost centre",IF(AND(P112="Y",C112=""),"Marked posted to Xero but has no invoice number",IF(AND(L112&lt;&gt;"",K112=""),"No tax code",IF(AND(L112&lt;&gt;"",O112=""),"No revenue GL code",""))))))))</f>
        <v/>
      </c>
      <c r="W112" s="25">
        <f>IF(E112="","",IFERROR(INDEX(lst_JobName,MATCH(E112&amp;"",lst_Jobs,0)),""))</f>
        <v/>
      </c>
      <c r="X112" s="28">
        <f>IF(E112="","",COUNTIFS(tbl_Finance[Job Number],E112&amp;"",tbl_Finance[Ex GST],"&lt;&gt;"))</f>
        <v/>
      </c>
      <c r="Y112" s="27">
        <f>IF(E112="","",SUMIFS(tbl_Finance[Ex GST],tbl_Finance[Job Number],E112&amp;""))</f>
        <v/>
      </c>
      <c r="Z112" s="27">
        <f>IF(E112="","",SUMIFS(tbl_Finance[Ex GST],tbl_Finance[Job Number],E112&amp;"",tbl_Finance[Xero Invoice No],"&lt;&gt;"))</f>
        <v/>
      </c>
      <c r="AA112" s="27">
        <f>IF(E112="","",Y112-Z112)</f>
        <v/>
      </c>
      <c r="AB112" s="25">
        <f>IF(E112="","",IF(H112="Onsite",IFERROR(INDEX(tbl_Onsite[Qwilr Quote],MATCH(E112&amp;"",tbl_Onsite[Job Number],0)),""),IF(H112="Production",IFERROR(INDEX(tbl_Production[Current RMS No],MATCH(E112&amp;"",tbl_Production[Job Number],0)),""),IF(H112="Consulting",IFERROR(INDEX(tbl_Consulting[Qwilr Quote],MATCH(E112&amp;"",tbl_Consulting[Job Number],0)),""),""))))</f>
        <v/>
      </c>
      <c r="AC112" s="25">
        <f>IF(AB112="","",IF(AND(LEFT(AB112,4)&lt;&gt;"http",IF(H112="Production",set_RMSBase,set_QwilrBase)=""),"",HYPERLINK(IF(LEFT(AB112,4)="http",AB112,IF(H112="Production",set_RMSBase,set_QwilrBase)&amp;AB112),"Open")))</f>
        <v/>
      </c>
      <c r="AD112" s="27">
        <f>IF(E112="","",IF(H112="Production",IFERROR(INDEX(tbl_Production[Total Expense],MATCH(E112&amp;"",tbl_Production[Job Number],0)),0),IF(H112="Consulting",IFERROR(INDEX(tbl_Consulting[Total Expense],MATCH(E112&amp;"",tbl_Consulting[Job Number],0)),0),0)))</f>
        <v/>
      </c>
      <c r="AE112" s="27">
        <f>IF(E112="","",Y112-N(AD112))</f>
        <v/>
      </c>
      <c r="AF112" s="29">
        <f>IFERROR(AE112/Y112,"")</f>
        <v/>
      </c>
      <c r="AG112" s="25">
        <f>IF(E112="","",IF(H112="Onsite",IFERROR(INDEX(tbl_Onsite[Notes],MATCH(E112&amp;"",tbl_Onsite[Job Number],0)),""),IF(H112="Production",IFERROR(INDEX(tbl_Production[Notes],MATCH(E112&amp;"",tbl_Production[Job Number],0)),""),IF(H112="Consulting",IFERROR(INDEX(tbl_Consulting[Notes],MATCH(E112&amp;"",tbl_Consulting[Job Number],0)),""),""))))</f>
        <v/>
      </c>
    </row>
    <row r="113" ht="15" customHeight="1">
      <c r="A113" s="22" t="n">
        <v>46265</v>
      </c>
      <c r="B113" s="23">
        <f>IF(A113="","",EOMONTH(A113,0))</f>
        <v/>
      </c>
      <c r="C113" s="24" t="inlineStr">
        <is>
          <t>INV-10593</t>
        </is>
      </c>
      <c r="D113" s="24" t="inlineStr">
        <is>
          <t>Ventia</t>
        </is>
      </c>
      <c r="E113" s="24" t="inlineStr">
        <is>
          <t>26061109</t>
        </is>
      </c>
      <c r="F113" s="25">
        <f>IF(E113="","",IF(COUNTIF(lst_Jobs,E113&amp;"")&gt;0,"OK","CHECK"))</f>
        <v/>
      </c>
      <c r="G113" s="24" t="inlineStr">
        <is>
          <t>Ventia HYR Employee Town Hall 24.8.26 (PO 4701366307)</t>
        </is>
      </c>
      <c r="H113" s="24" t="inlineStr">
        <is>
          <t>Production</t>
        </is>
      </c>
      <c r="I113" s="24" t="inlineStr">
        <is>
          <t>PRODUCTION</t>
        </is>
      </c>
      <c r="J113" s="24" t="inlineStr">
        <is>
          <t>Project</t>
        </is>
      </c>
      <c r="K113" s="24" t="inlineStr">
        <is>
          <t>GST 10%</t>
        </is>
      </c>
      <c r="L113" s="26" t="n">
        <v>11630.5</v>
      </c>
      <c r="M113" s="27">
        <f>IF(L113="","",IF(K113="GST 10%",ROUND(L113*set_GSTRate,2),0))</f>
        <v/>
      </c>
      <c r="N113" s="27">
        <f>IF(L113="","",L113+M113)</f>
        <v/>
      </c>
      <c r="O113" s="24" t="inlineStr">
        <is>
          <t>42100</t>
        </is>
      </c>
      <c r="P113" s="24" t="inlineStr">
        <is>
          <t>Y</t>
        </is>
      </c>
      <c r="Q113" s="24" t="inlineStr">
        <is>
          <t>N</t>
        </is>
      </c>
      <c r="R113" s="22" t="n"/>
      <c r="S113" s="22" t="n"/>
      <c r="T113" s="24" t="inlineStr">
        <is>
          <t>Invoiced</t>
        </is>
      </c>
      <c r="U113" s="24" t="inlineStr">
        <is>
          <t>Production portion of this invoice</t>
        </is>
      </c>
      <c r="V113" s="25">
        <f>IF(COUNTA(A113,D113,C113,L113)=0,"",IF(A113="","No date - sits outside every month",IF(E113="","No job number",IF(F113="CHECK","Job number is not in the Xero job list",IF(I113="","No cost centre",IF(AND(P113="Y",C113=""),"Marked posted to Xero but has no invoice number",IF(AND(L113&lt;&gt;"",K113=""),"No tax code",IF(AND(L113&lt;&gt;"",O113=""),"No revenue GL code",""))))))))</f>
        <v/>
      </c>
      <c r="W113" s="25">
        <f>IF(E113="","",IFERROR(INDEX(lst_JobName,MATCH(E113&amp;"",lst_Jobs,0)),""))</f>
        <v/>
      </c>
      <c r="X113" s="28">
        <f>IF(E113="","",COUNTIFS(tbl_Finance[Job Number],E113&amp;"",tbl_Finance[Ex GST],"&lt;&gt;"))</f>
        <v/>
      </c>
      <c r="Y113" s="27">
        <f>IF(E113="","",SUMIFS(tbl_Finance[Ex GST],tbl_Finance[Job Number],E113&amp;""))</f>
        <v/>
      </c>
      <c r="Z113" s="27">
        <f>IF(E113="","",SUMIFS(tbl_Finance[Ex GST],tbl_Finance[Job Number],E113&amp;"",tbl_Finance[Xero Invoice No],"&lt;&gt;"))</f>
        <v/>
      </c>
      <c r="AA113" s="27">
        <f>IF(E113="","",Y113-Z113)</f>
        <v/>
      </c>
      <c r="AB113" s="25">
        <f>IF(E113="","",IF(H113="Onsite",IFERROR(INDEX(tbl_Onsite[Qwilr Quote],MATCH(E113&amp;"",tbl_Onsite[Job Number],0)),""),IF(H113="Production",IFERROR(INDEX(tbl_Production[Current RMS No],MATCH(E113&amp;"",tbl_Production[Job Number],0)),""),IF(H113="Consulting",IFERROR(INDEX(tbl_Consulting[Qwilr Quote],MATCH(E113&amp;"",tbl_Consulting[Job Number],0)),""),""))))</f>
        <v/>
      </c>
      <c r="AC113" s="25">
        <f>IF(AB113="","",IF(AND(LEFT(AB113,4)&lt;&gt;"http",IF(H113="Production",set_RMSBase,set_QwilrBase)=""),"",HYPERLINK(IF(LEFT(AB113,4)="http",AB113,IF(H113="Production",set_RMSBase,set_QwilrBase)&amp;AB113),"Open")))</f>
        <v/>
      </c>
      <c r="AD113" s="27">
        <f>IF(E113="","",IF(H113="Production",IFERROR(INDEX(tbl_Production[Total Expense],MATCH(E113&amp;"",tbl_Production[Job Number],0)),0),IF(H113="Consulting",IFERROR(INDEX(tbl_Consulting[Total Expense],MATCH(E113&amp;"",tbl_Consulting[Job Number],0)),0),0)))</f>
        <v/>
      </c>
      <c r="AE113" s="27">
        <f>IF(E113="","",Y113-N(AD113))</f>
        <v/>
      </c>
      <c r="AF113" s="29">
        <f>IFERROR(AE113/Y113,"")</f>
        <v/>
      </c>
      <c r="AG113" s="25">
        <f>IF(E113="","",IF(H113="Onsite",IFERROR(INDEX(tbl_Onsite[Notes],MATCH(E113&amp;"",tbl_Onsite[Job Number],0)),""),IF(H113="Production",IFERROR(INDEX(tbl_Production[Notes],MATCH(E113&amp;"",tbl_Production[Job Number],0)),""),IF(H113="Consulting",IFERROR(INDEX(tbl_Consulting[Notes],MATCH(E113&amp;"",tbl_Consulting[Job Number],0)),""),""))))</f>
        <v/>
      </c>
    </row>
    <row r="114" ht="15" customHeight="1">
      <c r="A114" s="22" t="n">
        <v>46265</v>
      </c>
      <c r="B114" s="23">
        <f>IF(A114="","",EOMONTH(A114,0))</f>
        <v/>
      </c>
      <c r="C114" s="24" t="inlineStr">
        <is>
          <t>INV-10593</t>
        </is>
      </c>
      <c r="D114" s="24" t="inlineStr">
        <is>
          <t>Ventia</t>
        </is>
      </c>
      <c r="E114" s="24" t="inlineStr">
        <is>
          <t>26061109</t>
        </is>
      </c>
      <c r="F114" s="25">
        <f>IF(E114="","",IF(COUNTIF(lst_Jobs,E114&amp;"")&gt;0,"OK","CHECK"))</f>
        <v/>
      </c>
      <c r="G114" s="24" t="inlineStr">
        <is>
          <t>Ventia HYR Employee Town Hall 24.8.26 (PO 4701366307)</t>
        </is>
      </c>
      <c r="H114" s="24" t="inlineStr">
        <is>
          <t>Production</t>
        </is>
      </c>
      <c r="I114" s="24" t="inlineStr">
        <is>
          <t>VIDEO</t>
        </is>
      </c>
      <c r="J114" s="24" t="inlineStr">
        <is>
          <t>Project</t>
        </is>
      </c>
      <c r="K114" s="24" t="inlineStr">
        <is>
          <t>GST 10%</t>
        </is>
      </c>
      <c r="L114" s="26" t="n">
        <v>1771</v>
      </c>
      <c r="M114" s="27">
        <f>IF(L114="","",IF(K114="GST 10%",ROUND(L114*set_GSTRate,2),0))</f>
        <v/>
      </c>
      <c r="N114" s="27">
        <f>IF(L114="","",L114+M114)</f>
        <v/>
      </c>
      <c r="O114" s="24" t="inlineStr">
        <is>
          <t>42150</t>
        </is>
      </c>
      <c r="P114" s="24" t="inlineStr">
        <is>
          <t>Y</t>
        </is>
      </c>
      <c r="Q114" s="24" t="inlineStr">
        <is>
          <t>N</t>
        </is>
      </c>
      <c r="R114" s="22" t="n"/>
      <c r="S114" s="22" t="n"/>
      <c r="T114" s="24" t="inlineStr">
        <is>
          <t>Invoiced</t>
        </is>
      </c>
      <c r="U114" s="24" t="inlineStr">
        <is>
          <t>Video portion of this invoice</t>
        </is>
      </c>
      <c r="V114" s="25">
        <f>IF(COUNTA(A114,D114,C114,L114)=0,"",IF(A114="","No date - sits outside every month",IF(E114="","No job number",IF(F114="CHECK","Job number is not in the Xero job list",IF(I114="","No cost centre",IF(AND(P114="Y",C114=""),"Marked posted to Xero but has no invoice number",IF(AND(L114&lt;&gt;"",K114=""),"No tax code",IF(AND(L114&lt;&gt;"",O114=""),"No revenue GL code",""))))))))</f>
        <v/>
      </c>
      <c r="W114" s="25">
        <f>IF(E114="","",IFERROR(INDEX(lst_JobName,MATCH(E114&amp;"",lst_Jobs,0)),""))</f>
        <v/>
      </c>
      <c r="X114" s="28">
        <f>IF(E114="","",COUNTIFS(tbl_Finance[Job Number],E114&amp;"",tbl_Finance[Ex GST],"&lt;&gt;"))</f>
        <v/>
      </c>
      <c r="Y114" s="27">
        <f>IF(E114="","",SUMIFS(tbl_Finance[Ex GST],tbl_Finance[Job Number],E114&amp;""))</f>
        <v/>
      </c>
      <c r="Z114" s="27">
        <f>IF(E114="","",SUMIFS(tbl_Finance[Ex GST],tbl_Finance[Job Number],E114&amp;"",tbl_Finance[Xero Invoice No],"&lt;&gt;"))</f>
        <v/>
      </c>
      <c r="AA114" s="27">
        <f>IF(E114="","",Y114-Z114)</f>
        <v/>
      </c>
      <c r="AB114" s="25">
        <f>IF(E114="","",IF(H114="Onsite",IFERROR(INDEX(tbl_Onsite[Qwilr Quote],MATCH(E114&amp;"",tbl_Onsite[Job Number],0)),""),IF(H114="Production",IFERROR(INDEX(tbl_Production[Current RMS No],MATCH(E114&amp;"",tbl_Production[Job Number],0)),""),IF(H114="Consulting",IFERROR(INDEX(tbl_Consulting[Qwilr Quote],MATCH(E114&amp;"",tbl_Consulting[Job Number],0)),""),""))))</f>
        <v/>
      </c>
      <c r="AC114" s="25">
        <f>IF(AB114="","",IF(AND(LEFT(AB114,4)&lt;&gt;"http",IF(H114="Production",set_RMSBase,set_QwilrBase)=""),"",HYPERLINK(IF(LEFT(AB114,4)="http",AB114,IF(H114="Production",set_RMSBase,set_QwilrBase)&amp;AB114),"Open")))</f>
        <v/>
      </c>
      <c r="AD114" s="27">
        <f>IF(E114="","",IF(H114="Production",IFERROR(INDEX(tbl_Production[Total Expense],MATCH(E114&amp;"",tbl_Production[Job Number],0)),0),IF(H114="Consulting",IFERROR(INDEX(tbl_Consulting[Total Expense],MATCH(E114&amp;"",tbl_Consulting[Job Number],0)),0),0)))</f>
        <v/>
      </c>
      <c r="AE114" s="27">
        <f>IF(E114="","",Y114-N(AD114))</f>
        <v/>
      </c>
      <c r="AF114" s="29">
        <f>IFERROR(AE114/Y114,"")</f>
        <v/>
      </c>
      <c r="AG114" s="25">
        <f>IF(E114="","",IF(H114="Onsite",IFERROR(INDEX(tbl_Onsite[Notes],MATCH(E114&amp;"",tbl_Onsite[Job Number],0)),""),IF(H114="Production",IFERROR(INDEX(tbl_Production[Notes],MATCH(E114&amp;"",tbl_Production[Job Number],0)),""),IF(H114="Consulting",IFERROR(INDEX(tbl_Consulting[Notes],MATCH(E114&amp;"",tbl_Consulting[Job Number],0)),""),""))))</f>
        <v/>
      </c>
    </row>
    <row r="115" ht="15" customHeight="1">
      <c r="A115" s="22" t="n">
        <v>46265</v>
      </c>
      <c r="B115" s="23">
        <f>IF(A115="","",EOMONTH(A115,0))</f>
        <v/>
      </c>
      <c r="C115" s="24" t="inlineStr">
        <is>
          <t>INV-10612</t>
        </is>
      </c>
      <c r="D115" s="24" t="inlineStr">
        <is>
          <t>Ventia</t>
        </is>
      </c>
      <c r="E115" s="24" t="inlineStr">
        <is>
          <t>26071501</t>
        </is>
      </c>
      <c r="F115" s="25">
        <f>IF(E115="","",IF(COUNTIF(lst_Jobs,E115&amp;"")&gt;0,"OK","CHECK"))</f>
        <v/>
      </c>
      <c r="G115" s="24" t="inlineStr">
        <is>
          <t>Ventia Half Year Results Briefing</t>
        </is>
      </c>
      <c r="H115" s="24" t="inlineStr">
        <is>
          <t>Production</t>
        </is>
      </c>
      <c r="I115" s="24" t="inlineStr">
        <is>
          <t>PRODUCTION</t>
        </is>
      </c>
      <c r="J115" s="24" t="inlineStr">
        <is>
          <t>Project</t>
        </is>
      </c>
      <c r="K115" s="24" t="inlineStr">
        <is>
          <t>GST 10%</t>
        </is>
      </c>
      <c r="L115" s="26" t="n">
        <v>10835.49</v>
      </c>
      <c r="M115" s="27">
        <f>IF(L115="","",IF(K115="GST 10%",ROUND(L115*set_GSTRate,2),0))</f>
        <v/>
      </c>
      <c r="N115" s="27">
        <f>IF(L115="","",L115+M115)</f>
        <v/>
      </c>
      <c r="O115" s="24" t="inlineStr">
        <is>
          <t>42100</t>
        </is>
      </c>
      <c r="P115" s="24" t="inlineStr">
        <is>
          <t>Y</t>
        </is>
      </c>
      <c r="Q115" s="24" t="inlineStr">
        <is>
          <t>N</t>
        </is>
      </c>
      <c r="R115" s="22" t="n"/>
      <c r="S115" s="22" t="n"/>
      <c r="T115" s="24" t="inlineStr">
        <is>
          <t>Invoiced</t>
        </is>
      </c>
      <c r="U115" s="24" t="n"/>
      <c r="V115" s="25">
        <f>IF(COUNTA(A115,D115,C115,L115)=0,"",IF(A115="","No date - sits outside every month",IF(E115="","No job number",IF(F115="CHECK","Job number is not in the Xero job list",IF(I115="","No cost centre",IF(AND(P115="Y",C115=""),"Marked posted to Xero but has no invoice number",IF(AND(L115&lt;&gt;"",K115=""),"No tax code",IF(AND(L115&lt;&gt;"",O115=""),"No revenue GL code",""))))))))</f>
        <v/>
      </c>
      <c r="W115" s="25">
        <f>IF(E115="","",IFERROR(INDEX(lst_JobName,MATCH(E115&amp;"",lst_Jobs,0)),""))</f>
        <v/>
      </c>
      <c r="X115" s="28">
        <f>IF(E115="","",COUNTIFS(tbl_Finance[Job Number],E115&amp;"",tbl_Finance[Ex GST],"&lt;&gt;"))</f>
        <v/>
      </c>
      <c r="Y115" s="27">
        <f>IF(E115="","",SUMIFS(tbl_Finance[Ex GST],tbl_Finance[Job Number],E115&amp;""))</f>
        <v/>
      </c>
      <c r="Z115" s="27">
        <f>IF(E115="","",SUMIFS(tbl_Finance[Ex GST],tbl_Finance[Job Number],E115&amp;"",tbl_Finance[Xero Invoice No],"&lt;&gt;"))</f>
        <v/>
      </c>
      <c r="AA115" s="27">
        <f>IF(E115="","",Y115-Z115)</f>
        <v/>
      </c>
      <c r="AB115" s="25">
        <f>IF(E115="","",IF(H115="Onsite",IFERROR(INDEX(tbl_Onsite[Qwilr Quote],MATCH(E115&amp;"",tbl_Onsite[Job Number],0)),""),IF(H115="Production",IFERROR(INDEX(tbl_Production[Current RMS No],MATCH(E115&amp;"",tbl_Production[Job Number],0)),""),IF(H115="Consulting",IFERROR(INDEX(tbl_Consulting[Qwilr Quote],MATCH(E115&amp;"",tbl_Consulting[Job Number],0)),""),""))))</f>
        <v/>
      </c>
      <c r="AC115" s="25">
        <f>IF(AB115="","",IF(AND(LEFT(AB115,4)&lt;&gt;"http",IF(H115="Production",set_RMSBase,set_QwilrBase)=""),"",HYPERLINK(IF(LEFT(AB115,4)="http",AB115,IF(H115="Production",set_RMSBase,set_QwilrBase)&amp;AB115),"Open")))</f>
        <v/>
      </c>
      <c r="AD115" s="27">
        <f>IF(E115="","",IF(H115="Production",IFERROR(INDEX(tbl_Production[Total Expense],MATCH(E115&amp;"",tbl_Production[Job Number],0)),0),IF(H115="Consulting",IFERROR(INDEX(tbl_Consulting[Total Expense],MATCH(E115&amp;"",tbl_Consulting[Job Number],0)),0),0)))</f>
        <v/>
      </c>
      <c r="AE115" s="27">
        <f>IF(E115="","",Y115-N(AD115))</f>
        <v/>
      </c>
      <c r="AF115" s="29">
        <f>IFERROR(AE115/Y115,"")</f>
        <v/>
      </c>
      <c r="AG115" s="25">
        <f>IF(E115="","",IF(H115="Onsite",IFERROR(INDEX(tbl_Onsite[Notes],MATCH(E115&amp;"",tbl_Onsite[Job Number],0)),""),IF(H115="Production",IFERROR(INDEX(tbl_Production[Notes],MATCH(E115&amp;"",tbl_Production[Job Number],0)),""),IF(H115="Consulting",IFERROR(INDEX(tbl_Consulting[Notes],MATCH(E115&amp;"",tbl_Consulting[Job Number],0)),""),""))))</f>
        <v/>
      </c>
    </row>
    <row r="116" ht="15" customHeight="1">
      <c r="A116" s="22" t="n">
        <v>46265</v>
      </c>
      <c r="B116" s="23">
        <f>IF(A116="","",EOMONTH(A116,0))</f>
        <v/>
      </c>
      <c r="C116" s="24" t="inlineStr">
        <is>
          <t>INV-10611</t>
        </is>
      </c>
      <c r="D116" s="24" t="inlineStr">
        <is>
          <t>Downer - Melbourne</t>
        </is>
      </c>
      <c r="E116" s="24" t="inlineStr">
        <is>
          <t>26073111</t>
        </is>
      </c>
      <c r="F116" s="25">
        <f>IF(E116="","",IF(COUNTIF(lst_Jobs,E116&amp;"")&gt;0,"OK","CHECK"))</f>
        <v/>
      </c>
      <c r="G116" s="24" t="inlineStr">
        <is>
          <t>Employee Results Briefing</t>
        </is>
      </c>
      <c r="H116" s="24" t="inlineStr">
        <is>
          <t>Production</t>
        </is>
      </c>
      <c r="I116" s="24" t="inlineStr">
        <is>
          <t>PRODUCTION</t>
        </is>
      </c>
      <c r="J116" s="24" t="inlineStr">
        <is>
          <t>Project</t>
        </is>
      </c>
      <c r="K116" s="24" t="inlineStr">
        <is>
          <t>GST 10%</t>
        </is>
      </c>
      <c r="L116" s="26" t="n">
        <v>22628.75</v>
      </c>
      <c r="M116" s="27">
        <f>IF(L116="","",IF(K116="GST 10%",ROUND(L116*set_GSTRate,2),0))</f>
        <v/>
      </c>
      <c r="N116" s="27">
        <f>IF(L116="","",L116+M116)</f>
        <v/>
      </c>
      <c r="O116" s="24" t="inlineStr">
        <is>
          <t>42100</t>
        </is>
      </c>
      <c r="P116" s="24" t="inlineStr">
        <is>
          <t>Y</t>
        </is>
      </c>
      <c r="Q116" s="24" t="inlineStr">
        <is>
          <t>N</t>
        </is>
      </c>
      <c r="R116" s="22" t="n"/>
      <c r="S116" s="22" t="n"/>
      <c r="T116" s="24" t="inlineStr">
        <is>
          <t>Invoiced</t>
        </is>
      </c>
      <c r="U116" s="24" t="inlineStr">
        <is>
          <t>Production portion of this invoice</t>
        </is>
      </c>
      <c r="V116" s="25">
        <f>IF(COUNTA(A116,D116,C116,L116)=0,"",IF(A116="","No date - sits outside every month",IF(E116="","No job number",IF(F116="CHECK","Job number is not in the Xero job list",IF(I116="","No cost centre",IF(AND(P116="Y",C116=""),"Marked posted to Xero but has no invoice number",IF(AND(L116&lt;&gt;"",K116=""),"No tax code",IF(AND(L116&lt;&gt;"",O116=""),"No revenue GL code",""))))))))</f>
        <v/>
      </c>
      <c r="W116" s="25">
        <f>IF(E116="","",IFERROR(INDEX(lst_JobName,MATCH(E116&amp;"",lst_Jobs,0)),""))</f>
        <v/>
      </c>
      <c r="X116" s="28">
        <f>IF(E116="","",COUNTIFS(tbl_Finance[Job Number],E116&amp;"",tbl_Finance[Ex GST],"&lt;&gt;"))</f>
        <v/>
      </c>
      <c r="Y116" s="27">
        <f>IF(E116="","",SUMIFS(tbl_Finance[Ex GST],tbl_Finance[Job Number],E116&amp;""))</f>
        <v/>
      </c>
      <c r="Z116" s="27">
        <f>IF(E116="","",SUMIFS(tbl_Finance[Ex GST],tbl_Finance[Job Number],E116&amp;"",tbl_Finance[Xero Invoice No],"&lt;&gt;"))</f>
        <v/>
      </c>
      <c r="AA116" s="27">
        <f>IF(E116="","",Y116-Z116)</f>
        <v/>
      </c>
      <c r="AB116" s="25">
        <f>IF(E116="","",IF(H116="Onsite",IFERROR(INDEX(tbl_Onsite[Qwilr Quote],MATCH(E116&amp;"",tbl_Onsite[Job Number],0)),""),IF(H116="Production",IFERROR(INDEX(tbl_Production[Current RMS No],MATCH(E116&amp;"",tbl_Production[Job Number],0)),""),IF(H116="Consulting",IFERROR(INDEX(tbl_Consulting[Qwilr Quote],MATCH(E116&amp;"",tbl_Consulting[Job Number],0)),""),""))))</f>
        <v/>
      </c>
      <c r="AC116" s="25">
        <f>IF(AB116="","",IF(AND(LEFT(AB116,4)&lt;&gt;"http",IF(H116="Production",set_RMSBase,set_QwilrBase)=""),"",HYPERLINK(IF(LEFT(AB116,4)="http",AB116,IF(H116="Production",set_RMSBase,set_QwilrBase)&amp;AB116),"Open")))</f>
        <v/>
      </c>
      <c r="AD116" s="27">
        <f>IF(E116="","",IF(H116="Production",IFERROR(INDEX(tbl_Production[Total Expense],MATCH(E116&amp;"",tbl_Production[Job Number],0)),0),IF(H116="Consulting",IFERROR(INDEX(tbl_Consulting[Total Expense],MATCH(E116&amp;"",tbl_Consulting[Job Number],0)),0),0)))</f>
        <v/>
      </c>
      <c r="AE116" s="27">
        <f>IF(E116="","",Y116-N(AD116))</f>
        <v/>
      </c>
      <c r="AF116" s="29">
        <f>IFERROR(AE116/Y116,"")</f>
        <v/>
      </c>
      <c r="AG116" s="25">
        <f>IF(E116="","",IF(H116="Onsite",IFERROR(INDEX(tbl_Onsite[Notes],MATCH(E116&amp;"",tbl_Onsite[Job Number],0)),""),IF(H116="Production",IFERROR(INDEX(tbl_Production[Notes],MATCH(E116&amp;"",tbl_Production[Job Number],0)),""),IF(H116="Consulting",IFERROR(INDEX(tbl_Consulting[Notes],MATCH(E116&amp;"",tbl_Consulting[Job Number],0)),""),""))))</f>
        <v/>
      </c>
    </row>
    <row r="117" ht="15" customHeight="1">
      <c r="A117" s="22" t="n">
        <v>46265</v>
      </c>
      <c r="B117" s="23">
        <f>IF(A117="","",EOMONTH(A117,0))</f>
        <v/>
      </c>
      <c r="C117" s="24" t="inlineStr">
        <is>
          <t>INV-10611</t>
        </is>
      </c>
      <c r="D117" s="24" t="inlineStr">
        <is>
          <t>Downer - Melbourne</t>
        </is>
      </c>
      <c r="E117" s="24" t="inlineStr">
        <is>
          <t>26073111</t>
        </is>
      </c>
      <c r="F117" s="25">
        <f>IF(E117="","",IF(COUNTIF(lst_Jobs,E117&amp;"")&gt;0,"OK","CHECK"))</f>
        <v/>
      </c>
      <c r="G117" s="24" t="inlineStr">
        <is>
          <t>Employee Results Briefing</t>
        </is>
      </c>
      <c r="H117" s="24" t="inlineStr">
        <is>
          <t>Production</t>
        </is>
      </c>
      <c r="I117" s="24" t="inlineStr">
        <is>
          <t>VIDEO</t>
        </is>
      </c>
      <c r="J117" s="24" t="inlineStr">
        <is>
          <t>Project</t>
        </is>
      </c>
      <c r="K117" s="24" t="inlineStr">
        <is>
          <t>GST 10%</t>
        </is>
      </c>
      <c r="L117" s="26" t="n">
        <v>1785</v>
      </c>
      <c r="M117" s="27">
        <f>IF(L117="","",IF(K117="GST 10%",ROUND(L117*set_GSTRate,2),0))</f>
        <v/>
      </c>
      <c r="N117" s="27">
        <f>IF(L117="","",L117+M117)</f>
        <v/>
      </c>
      <c r="O117" s="24" t="inlineStr">
        <is>
          <t>42150</t>
        </is>
      </c>
      <c r="P117" s="24" t="inlineStr">
        <is>
          <t>Y</t>
        </is>
      </c>
      <c r="Q117" s="24" t="inlineStr">
        <is>
          <t>N</t>
        </is>
      </c>
      <c r="R117" s="22" t="n"/>
      <c r="S117" s="22" t="n"/>
      <c r="T117" s="24" t="inlineStr">
        <is>
          <t>Invoiced</t>
        </is>
      </c>
      <c r="U117" s="24" t="inlineStr">
        <is>
          <t>Video portion of this invoice</t>
        </is>
      </c>
      <c r="V117" s="25">
        <f>IF(COUNTA(A117,D117,C117,L117)=0,"",IF(A117="","No date - sits outside every month",IF(E117="","No job number",IF(F117="CHECK","Job number is not in the Xero job list",IF(I117="","No cost centre",IF(AND(P117="Y",C117=""),"Marked posted to Xero but has no invoice number",IF(AND(L117&lt;&gt;"",K117=""),"No tax code",IF(AND(L117&lt;&gt;"",O117=""),"No revenue GL code",""))))))))</f>
        <v/>
      </c>
      <c r="W117" s="25">
        <f>IF(E117="","",IFERROR(INDEX(lst_JobName,MATCH(E117&amp;"",lst_Jobs,0)),""))</f>
        <v/>
      </c>
      <c r="X117" s="28">
        <f>IF(E117="","",COUNTIFS(tbl_Finance[Job Number],E117&amp;"",tbl_Finance[Ex GST],"&lt;&gt;"))</f>
        <v/>
      </c>
      <c r="Y117" s="27">
        <f>IF(E117="","",SUMIFS(tbl_Finance[Ex GST],tbl_Finance[Job Number],E117&amp;""))</f>
        <v/>
      </c>
      <c r="Z117" s="27">
        <f>IF(E117="","",SUMIFS(tbl_Finance[Ex GST],tbl_Finance[Job Number],E117&amp;"",tbl_Finance[Xero Invoice No],"&lt;&gt;"))</f>
        <v/>
      </c>
      <c r="AA117" s="27">
        <f>IF(E117="","",Y117-Z117)</f>
        <v/>
      </c>
      <c r="AB117" s="25">
        <f>IF(E117="","",IF(H117="Onsite",IFERROR(INDEX(tbl_Onsite[Qwilr Quote],MATCH(E117&amp;"",tbl_Onsite[Job Number],0)),""),IF(H117="Production",IFERROR(INDEX(tbl_Production[Current RMS No],MATCH(E117&amp;"",tbl_Production[Job Number],0)),""),IF(H117="Consulting",IFERROR(INDEX(tbl_Consulting[Qwilr Quote],MATCH(E117&amp;"",tbl_Consulting[Job Number],0)),""),""))))</f>
        <v/>
      </c>
      <c r="AC117" s="25">
        <f>IF(AB117="","",IF(AND(LEFT(AB117,4)&lt;&gt;"http",IF(H117="Production",set_RMSBase,set_QwilrBase)=""),"",HYPERLINK(IF(LEFT(AB117,4)="http",AB117,IF(H117="Production",set_RMSBase,set_QwilrBase)&amp;AB117),"Open")))</f>
        <v/>
      </c>
      <c r="AD117" s="27">
        <f>IF(E117="","",IF(H117="Production",IFERROR(INDEX(tbl_Production[Total Expense],MATCH(E117&amp;"",tbl_Production[Job Number],0)),0),IF(H117="Consulting",IFERROR(INDEX(tbl_Consulting[Total Expense],MATCH(E117&amp;"",tbl_Consulting[Job Number],0)),0),0)))</f>
        <v/>
      </c>
      <c r="AE117" s="27">
        <f>IF(E117="","",Y117-N(AD117))</f>
        <v/>
      </c>
      <c r="AF117" s="29">
        <f>IFERROR(AE117/Y117,"")</f>
        <v/>
      </c>
      <c r="AG117" s="25">
        <f>IF(E117="","",IF(H117="Onsite",IFERROR(INDEX(tbl_Onsite[Notes],MATCH(E117&amp;"",tbl_Onsite[Job Number],0)),""),IF(H117="Production",IFERROR(INDEX(tbl_Production[Notes],MATCH(E117&amp;"",tbl_Production[Job Number],0)),""),IF(H117="Consulting",IFERROR(INDEX(tbl_Consulting[Notes],MATCH(E117&amp;"",tbl_Consulting[Job Number],0)),""),""))))</f>
        <v/>
      </c>
    </row>
    <row r="118" ht="15" customHeight="1">
      <c r="A118" s="22" t="n">
        <v>46253</v>
      </c>
      <c r="B118" s="23">
        <f>IF(A118="","",EOMONTH(A118,0))</f>
        <v/>
      </c>
      <c r="C118" s="24" t="inlineStr">
        <is>
          <t>INV10567</t>
        </is>
      </c>
      <c r="D118" s="24" t="inlineStr">
        <is>
          <t>Symal - Melbourne</t>
        </is>
      </c>
      <c r="E118" s="24" t="inlineStr">
        <is>
          <t>2606904</t>
        </is>
      </c>
      <c r="F118" s="25">
        <f>IF(E118="","",IF(COUNTIF(lst_Jobs,E118&amp;"")&gt;0,"OK","CHECK"))</f>
        <v/>
      </c>
      <c r="G118" s="24" t="inlineStr">
        <is>
          <t>Symal FYR 2026</t>
        </is>
      </c>
      <c r="H118" s="24" t="inlineStr">
        <is>
          <t>Production</t>
        </is>
      </c>
      <c r="I118" s="24" t="inlineStr">
        <is>
          <t>PRODUCTION</t>
        </is>
      </c>
      <c r="J118" s="24" t="inlineStr">
        <is>
          <t>Project</t>
        </is>
      </c>
      <c r="K118" s="24" t="inlineStr">
        <is>
          <t>GST 10%</t>
        </is>
      </c>
      <c r="L118" s="26" t="n">
        <v>13260.5</v>
      </c>
      <c r="M118" s="27">
        <f>IF(L118="","",IF(K118="GST 10%",ROUND(L118*set_GSTRate,2),0))</f>
        <v/>
      </c>
      <c r="N118" s="27">
        <f>IF(L118="","",L118+M118)</f>
        <v/>
      </c>
      <c r="O118" s="24" t="inlineStr">
        <is>
          <t>42100</t>
        </is>
      </c>
      <c r="P118" s="24" t="inlineStr">
        <is>
          <t>Y</t>
        </is>
      </c>
      <c r="Q118" s="24" t="inlineStr">
        <is>
          <t>N</t>
        </is>
      </c>
      <c r="R118" s="22" t="n"/>
      <c r="S118" s="22" t="n"/>
      <c r="T118" s="24" t="inlineStr">
        <is>
          <t>Invoiced</t>
        </is>
      </c>
      <c r="U118" s="24" t="inlineStr">
        <is>
          <t>Production portion of this invoice</t>
        </is>
      </c>
      <c r="V118" s="25">
        <f>IF(COUNTA(A118,D118,C118,L118)=0,"",IF(A118="","No date - sits outside every month",IF(E118="","No job number",IF(F118="CHECK","Job number is not in the Xero job list",IF(I118="","No cost centre",IF(AND(P118="Y",C118=""),"Marked posted to Xero but has no invoice number",IF(AND(L118&lt;&gt;"",K118=""),"No tax code",IF(AND(L118&lt;&gt;"",O118=""),"No revenue GL code",""))))))))</f>
        <v/>
      </c>
      <c r="W118" s="25">
        <f>IF(E118="","",IFERROR(INDEX(lst_JobName,MATCH(E118&amp;"",lst_Jobs,0)),""))</f>
        <v/>
      </c>
      <c r="X118" s="28">
        <f>IF(E118="","",COUNTIFS(tbl_Finance[Job Number],E118&amp;"",tbl_Finance[Ex GST],"&lt;&gt;"))</f>
        <v/>
      </c>
      <c r="Y118" s="27">
        <f>IF(E118="","",SUMIFS(tbl_Finance[Ex GST],tbl_Finance[Job Number],E118&amp;""))</f>
        <v/>
      </c>
      <c r="Z118" s="27">
        <f>IF(E118="","",SUMIFS(tbl_Finance[Ex GST],tbl_Finance[Job Number],E118&amp;"",tbl_Finance[Xero Invoice No],"&lt;&gt;"))</f>
        <v/>
      </c>
      <c r="AA118" s="27">
        <f>IF(E118="","",Y118-Z118)</f>
        <v/>
      </c>
      <c r="AB118" s="25">
        <f>IF(E118="","",IF(H118="Onsite",IFERROR(INDEX(tbl_Onsite[Qwilr Quote],MATCH(E118&amp;"",tbl_Onsite[Job Number],0)),""),IF(H118="Production",IFERROR(INDEX(tbl_Production[Current RMS No],MATCH(E118&amp;"",tbl_Production[Job Number],0)),""),IF(H118="Consulting",IFERROR(INDEX(tbl_Consulting[Qwilr Quote],MATCH(E118&amp;"",tbl_Consulting[Job Number],0)),""),""))))</f>
        <v/>
      </c>
      <c r="AC118" s="25">
        <f>IF(AB118="","",IF(AND(LEFT(AB118,4)&lt;&gt;"http",IF(H118="Production",set_RMSBase,set_QwilrBase)=""),"",HYPERLINK(IF(LEFT(AB118,4)="http",AB118,IF(H118="Production",set_RMSBase,set_QwilrBase)&amp;AB118),"Open")))</f>
        <v/>
      </c>
      <c r="AD118" s="27">
        <f>IF(E118="","",IF(H118="Production",IFERROR(INDEX(tbl_Production[Total Expense],MATCH(E118&amp;"",tbl_Production[Job Number],0)),0),IF(H118="Consulting",IFERROR(INDEX(tbl_Consulting[Total Expense],MATCH(E118&amp;"",tbl_Consulting[Job Number],0)),0),0)))</f>
        <v/>
      </c>
      <c r="AE118" s="27">
        <f>IF(E118="","",Y118-N(AD118))</f>
        <v/>
      </c>
      <c r="AF118" s="29">
        <f>IFERROR(AE118/Y118,"")</f>
        <v/>
      </c>
      <c r="AG118" s="25">
        <f>IF(E118="","",IF(H118="Onsite",IFERROR(INDEX(tbl_Onsite[Notes],MATCH(E118&amp;"",tbl_Onsite[Job Number],0)),""),IF(H118="Production",IFERROR(INDEX(tbl_Production[Notes],MATCH(E118&amp;"",tbl_Production[Job Number],0)),""),IF(H118="Consulting",IFERROR(INDEX(tbl_Consulting[Notes],MATCH(E118&amp;"",tbl_Consulting[Job Number],0)),""),""))))</f>
        <v/>
      </c>
    </row>
    <row r="119" ht="15" customHeight="1">
      <c r="A119" s="22" t="n">
        <v>46253</v>
      </c>
      <c r="B119" s="23">
        <f>IF(A119="","",EOMONTH(A119,0))</f>
        <v/>
      </c>
      <c r="C119" s="24" t="inlineStr">
        <is>
          <t>INV10567</t>
        </is>
      </c>
      <c r="D119" s="24" t="inlineStr">
        <is>
          <t>Symal - Melbourne</t>
        </is>
      </c>
      <c r="E119" s="24" t="inlineStr">
        <is>
          <t>2606904</t>
        </is>
      </c>
      <c r="F119" s="25">
        <f>IF(E119="","",IF(COUNTIF(lst_Jobs,E119&amp;"")&gt;0,"OK","CHECK"))</f>
        <v/>
      </c>
      <c r="G119" s="24" t="inlineStr">
        <is>
          <t>Symal FYR 2026</t>
        </is>
      </c>
      <c r="H119" s="24" t="inlineStr">
        <is>
          <t>Production</t>
        </is>
      </c>
      <c r="I119" s="24" t="inlineStr">
        <is>
          <t>VIDEO</t>
        </is>
      </c>
      <c r="J119" s="24" t="inlineStr">
        <is>
          <t>Project</t>
        </is>
      </c>
      <c r="K119" s="24" t="inlineStr">
        <is>
          <t>GST 10%</t>
        </is>
      </c>
      <c r="L119" s="26" t="n">
        <v>86.5</v>
      </c>
      <c r="M119" s="27">
        <f>IF(L119="","",IF(K119="GST 10%",ROUND(L119*set_GSTRate,2),0))</f>
        <v/>
      </c>
      <c r="N119" s="27">
        <f>IF(L119="","",L119+M119)</f>
        <v/>
      </c>
      <c r="O119" s="24" t="inlineStr">
        <is>
          <t>42150</t>
        </is>
      </c>
      <c r="P119" s="24" t="inlineStr">
        <is>
          <t>Y</t>
        </is>
      </c>
      <c r="Q119" s="24" t="inlineStr">
        <is>
          <t>N</t>
        </is>
      </c>
      <c r="R119" s="22" t="n"/>
      <c r="S119" s="22" t="n"/>
      <c r="T119" s="24" t="inlineStr">
        <is>
          <t>Invoiced</t>
        </is>
      </c>
      <c r="U119" s="24" t="inlineStr">
        <is>
          <t>Video portion of this invoice</t>
        </is>
      </c>
      <c r="V119" s="25">
        <f>IF(COUNTA(A119,D119,C119,L119)=0,"",IF(A119="","No date - sits outside every month",IF(E119="","No job number",IF(F119="CHECK","Job number is not in the Xero job list",IF(I119="","No cost centre",IF(AND(P119="Y",C119=""),"Marked posted to Xero but has no invoice number",IF(AND(L119&lt;&gt;"",K119=""),"No tax code",IF(AND(L119&lt;&gt;"",O119=""),"No revenue GL code",""))))))))</f>
        <v/>
      </c>
      <c r="W119" s="25">
        <f>IF(E119="","",IFERROR(INDEX(lst_JobName,MATCH(E119&amp;"",lst_Jobs,0)),""))</f>
        <v/>
      </c>
      <c r="X119" s="28">
        <f>IF(E119="","",COUNTIFS(tbl_Finance[Job Number],E119&amp;"",tbl_Finance[Ex GST],"&lt;&gt;"))</f>
        <v/>
      </c>
      <c r="Y119" s="27">
        <f>IF(E119="","",SUMIFS(tbl_Finance[Ex GST],tbl_Finance[Job Number],E119&amp;""))</f>
        <v/>
      </c>
      <c r="Z119" s="27">
        <f>IF(E119="","",SUMIFS(tbl_Finance[Ex GST],tbl_Finance[Job Number],E119&amp;"",tbl_Finance[Xero Invoice No],"&lt;&gt;"))</f>
        <v/>
      </c>
      <c r="AA119" s="27">
        <f>IF(E119="","",Y119-Z119)</f>
        <v/>
      </c>
      <c r="AB119" s="25">
        <f>IF(E119="","",IF(H119="Onsite",IFERROR(INDEX(tbl_Onsite[Qwilr Quote],MATCH(E119&amp;"",tbl_Onsite[Job Number],0)),""),IF(H119="Production",IFERROR(INDEX(tbl_Production[Current RMS No],MATCH(E119&amp;"",tbl_Production[Job Number],0)),""),IF(H119="Consulting",IFERROR(INDEX(tbl_Consulting[Qwilr Quote],MATCH(E119&amp;"",tbl_Consulting[Job Number],0)),""),""))))</f>
        <v/>
      </c>
      <c r="AC119" s="25">
        <f>IF(AB119="","",IF(AND(LEFT(AB119,4)&lt;&gt;"http",IF(H119="Production",set_RMSBase,set_QwilrBase)=""),"",HYPERLINK(IF(LEFT(AB119,4)="http",AB119,IF(H119="Production",set_RMSBase,set_QwilrBase)&amp;AB119),"Open")))</f>
        <v/>
      </c>
      <c r="AD119" s="27">
        <f>IF(E119="","",IF(H119="Production",IFERROR(INDEX(tbl_Production[Total Expense],MATCH(E119&amp;"",tbl_Production[Job Number],0)),0),IF(H119="Consulting",IFERROR(INDEX(tbl_Consulting[Total Expense],MATCH(E119&amp;"",tbl_Consulting[Job Number],0)),0),0)))</f>
        <v/>
      </c>
      <c r="AE119" s="27">
        <f>IF(E119="","",Y119-N(AD119))</f>
        <v/>
      </c>
      <c r="AF119" s="29">
        <f>IFERROR(AE119/Y119,"")</f>
        <v/>
      </c>
      <c r="AG119" s="25">
        <f>IF(E119="","",IF(H119="Onsite",IFERROR(INDEX(tbl_Onsite[Notes],MATCH(E119&amp;"",tbl_Onsite[Job Number],0)),""),IF(H119="Production",IFERROR(INDEX(tbl_Production[Notes],MATCH(E119&amp;"",tbl_Production[Job Number],0)),""),IF(H119="Consulting",IFERROR(INDEX(tbl_Consulting[Notes],MATCH(E119&amp;"",tbl_Consulting[Job Number],0)),""),""))))</f>
        <v/>
      </c>
    </row>
    <row r="120" ht="15" customHeight="1">
      <c r="A120" s="22" t="n">
        <v>46261</v>
      </c>
      <c r="B120" s="23">
        <f>IF(A120="","",EOMONTH(A120,0))</f>
        <v/>
      </c>
      <c r="C120" s="24" t="inlineStr">
        <is>
          <t>INV-10595</t>
        </is>
      </c>
      <c r="D120" s="24" t="inlineStr">
        <is>
          <t>Garvan</t>
        </is>
      </c>
      <c r="E120" s="24" t="inlineStr">
        <is>
          <t>26061001</t>
        </is>
      </c>
      <c r="F120" s="25">
        <f>IF(E120="","",IF(COUNTIF(lst_Jobs,E120&amp;"")&gt;0,"OK","CHECK"))</f>
        <v/>
      </c>
      <c r="G120" s="24" t="inlineStr">
        <is>
          <t>Garvan August All Clear Event 25.8.26</t>
        </is>
      </c>
      <c r="H120" s="24" t="inlineStr">
        <is>
          <t>Production</t>
        </is>
      </c>
      <c r="I120" s="24" t="inlineStr">
        <is>
          <t>PRODUCTION</t>
        </is>
      </c>
      <c r="J120" s="24" t="inlineStr">
        <is>
          <t>Project</t>
        </is>
      </c>
      <c r="K120" s="24" t="inlineStr">
        <is>
          <t>GST 10%</t>
        </is>
      </c>
      <c r="L120" s="26" t="n">
        <v>770</v>
      </c>
      <c r="M120" s="27">
        <f>IF(L120="","",IF(K120="GST 10%",ROUND(L120*set_GSTRate,2),0))</f>
        <v/>
      </c>
      <c r="N120" s="27">
        <f>IF(L120="","",L120+M120)</f>
        <v/>
      </c>
      <c r="O120" s="24" t="inlineStr">
        <is>
          <t>42100</t>
        </is>
      </c>
      <c r="P120" s="24" t="inlineStr">
        <is>
          <t>Y</t>
        </is>
      </c>
      <c r="Q120" s="24" t="inlineStr">
        <is>
          <t>N</t>
        </is>
      </c>
      <c r="R120" s="22" t="n"/>
      <c r="S120" s="22" t="n"/>
      <c r="T120" s="24" t="inlineStr">
        <is>
          <t>Invoiced</t>
        </is>
      </c>
      <c r="U120" s="24" t="n"/>
      <c r="V120" s="25">
        <f>IF(COUNTA(A120,D120,C120,L120)=0,"",IF(A120="","No date - sits outside every month",IF(E120="","No job number",IF(F120="CHECK","Job number is not in the Xero job list",IF(I120="","No cost centre",IF(AND(P120="Y",C120=""),"Marked posted to Xero but has no invoice number",IF(AND(L120&lt;&gt;"",K120=""),"No tax code",IF(AND(L120&lt;&gt;"",O120=""),"No revenue GL code",""))))))))</f>
        <v/>
      </c>
      <c r="W120" s="25">
        <f>IF(E120="","",IFERROR(INDEX(lst_JobName,MATCH(E120&amp;"",lst_Jobs,0)),""))</f>
        <v/>
      </c>
      <c r="X120" s="28">
        <f>IF(E120="","",COUNTIFS(tbl_Finance[Job Number],E120&amp;"",tbl_Finance[Ex GST],"&lt;&gt;"))</f>
        <v/>
      </c>
      <c r="Y120" s="27">
        <f>IF(E120="","",SUMIFS(tbl_Finance[Ex GST],tbl_Finance[Job Number],E120&amp;""))</f>
        <v/>
      </c>
      <c r="Z120" s="27">
        <f>IF(E120="","",SUMIFS(tbl_Finance[Ex GST],tbl_Finance[Job Number],E120&amp;"",tbl_Finance[Xero Invoice No],"&lt;&gt;"))</f>
        <v/>
      </c>
      <c r="AA120" s="27">
        <f>IF(E120="","",Y120-Z120)</f>
        <v/>
      </c>
      <c r="AB120" s="25">
        <f>IF(E120="","",IF(H120="Onsite",IFERROR(INDEX(tbl_Onsite[Qwilr Quote],MATCH(E120&amp;"",tbl_Onsite[Job Number],0)),""),IF(H120="Production",IFERROR(INDEX(tbl_Production[Current RMS No],MATCH(E120&amp;"",tbl_Production[Job Number],0)),""),IF(H120="Consulting",IFERROR(INDEX(tbl_Consulting[Qwilr Quote],MATCH(E120&amp;"",tbl_Consulting[Job Number],0)),""),""))))</f>
        <v/>
      </c>
      <c r="AC120" s="25">
        <f>IF(AB120="","",IF(AND(LEFT(AB120,4)&lt;&gt;"http",IF(H120="Production",set_RMSBase,set_QwilrBase)=""),"",HYPERLINK(IF(LEFT(AB120,4)="http",AB120,IF(H120="Production",set_RMSBase,set_QwilrBase)&amp;AB120),"Open")))</f>
        <v/>
      </c>
      <c r="AD120" s="27">
        <f>IF(E120="","",IF(H120="Production",IFERROR(INDEX(tbl_Production[Total Expense],MATCH(E120&amp;"",tbl_Production[Job Number],0)),0),IF(H120="Consulting",IFERROR(INDEX(tbl_Consulting[Total Expense],MATCH(E120&amp;"",tbl_Consulting[Job Number],0)),0),0)))</f>
        <v/>
      </c>
      <c r="AE120" s="27">
        <f>IF(E120="","",Y120-N(AD120))</f>
        <v/>
      </c>
      <c r="AF120" s="29">
        <f>IFERROR(AE120/Y120,"")</f>
        <v/>
      </c>
      <c r="AG120" s="25">
        <f>IF(E120="","",IF(H120="Onsite",IFERROR(INDEX(tbl_Onsite[Notes],MATCH(E120&amp;"",tbl_Onsite[Job Number],0)),""),IF(H120="Production",IFERROR(INDEX(tbl_Production[Notes],MATCH(E120&amp;"",tbl_Production[Job Number],0)),""),IF(H120="Consulting",IFERROR(INDEX(tbl_Consulting[Notes],MATCH(E120&amp;"",tbl_Consulting[Job Number],0)),""),""))))</f>
        <v/>
      </c>
    </row>
    <row r="121" ht="15" customHeight="1">
      <c r="A121" s="22" t="n">
        <v>46260</v>
      </c>
      <c r="B121" s="23">
        <f>IF(A121="","",EOMONTH(A121,0))</f>
        <v/>
      </c>
      <c r="C121" s="24" t="inlineStr">
        <is>
          <t>INV-10594</t>
        </is>
      </c>
      <c r="D121" s="24" t="inlineStr">
        <is>
          <t>Elkiem</t>
        </is>
      </c>
      <c r="E121" s="24" t="inlineStr">
        <is>
          <t>26073105</t>
        </is>
      </c>
      <c r="F121" s="25">
        <f>IF(E121="","",IF(COUNTIF(lst_Jobs,E121&amp;"")&gt;0,"OK","CHECK"))</f>
        <v/>
      </c>
      <c r="G121" s="24" t="inlineStr">
        <is>
          <t>Studio Support 25.8.26</t>
        </is>
      </c>
      <c r="H121" s="24" t="inlineStr">
        <is>
          <t>Production</t>
        </is>
      </c>
      <c r="I121" s="24" t="inlineStr">
        <is>
          <t>PRODUCTION</t>
        </is>
      </c>
      <c r="J121" s="24" t="inlineStr">
        <is>
          <t>Project</t>
        </is>
      </c>
      <c r="K121" s="24" t="inlineStr">
        <is>
          <t>GST 10%</t>
        </is>
      </c>
      <c r="L121" s="26" t="n">
        <v>380</v>
      </c>
      <c r="M121" s="27">
        <f>IF(L121="","",IF(K121="GST 10%",ROUND(L121*set_GSTRate,2),0))</f>
        <v/>
      </c>
      <c r="N121" s="27">
        <f>IF(L121="","",L121+M121)</f>
        <v/>
      </c>
      <c r="O121" s="24" t="inlineStr">
        <is>
          <t>42100</t>
        </is>
      </c>
      <c r="P121" s="24" t="inlineStr">
        <is>
          <t>Y</t>
        </is>
      </c>
      <c r="Q121" s="24" t="inlineStr">
        <is>
          <t>N</t>
        </is>
      </c>
      <c r="R121" s="22" t="n"/>
      <c r="S121" s="22" t="n"/>
      <c r="T121" s="24" t="inlineStr">
        <is>
          <t>Invoiced</t>
        </is>
      </c>
      <c r="U121" s="24" t="n"/>
      <c r="V121" s="25">
        <f>IF(COUNTA(A121,D121,C121,L121)=0,"",IF(A121="","No date - sits outside every month",IF(E121="","No job number",IF(F121="CHECK","Job number is not in the Xero job list",IF(I121="","No cost centre",IF(AND(P121="Y",C121=""),"Marked posted to Xero but has no invoice number",IF(AND(L121&lt;&gt;"",K121=""),"No tax code",IF(AND(L121&lt;&gt;"",O121=""),"No revenue GL code",""))))))))</f>
        <v/>
      </c>
      <c r="W121" s="25">
        <f>IF(E121="","",IFERROR(INDEX(lst_JobName,MATCH(E121&amp;"",lst_Jobs,0)),""))</f>
        <v/>
      </c>
      <c r="X121" s="28">
        <f>IF(E121="","",COUNTIFS(tbl_Finance[Job Number],E121&amp;"",tbl_Finance[Ex GST],"&lt;&gt;"))</f>
        <v/>
      </c>
      <c r="Y121" s="27">
        <f>IF(E121="","",SUMIFS(tbl_Finance[Ex GST],tbl_Finance[Job Number],E121&amp;""))</f>
        <v/>
      </c>
      <c r="Z121" s="27">
        <f>IF(E121="","",SUMIFS(tbl_Finance[Ex GST],tbl_Finance[Job Number],E121&amp;"",tbl_Finance[Xero Invoice No],"&lt;&gt;"))</f>
        <v/>
      </c>
      <c r="AA121" s="27">
        <f>IF(E121="","",Y121-Z121)</f>
        <v/>
      </c>
      <c r="AB121" s="25">
        <f>IF(E121="","",IF(H121="Onsite",IFERROR(INDEX(tbl_Onsite[Qwilr Quote],MATCH(E121&amp;"",tbl_Onsite[Job Number],0)),""),IF(H121="Production",IFERROR(INDEX(tbl_Production[Current RMS No],MATCH(E121&amp;"",tbl_Production[Job Number],0)),""),IF(H121="Consulting",IFERROR(INDEX(tbl_Consulting[Qwilr Quote],MATCH(E121&amp;"",tbl_Consulting[Job Number],0)),""),""))))</f>
        <v/>
      </c>
      <c r="AC121" s="25">
        <f>IF(AB121="","",IF(AND(LEFT(AB121,4)&lt;&gt;"http",IF(H121="Production",set_RMSBase,set_QwilrBase)=""),"",HYPERLINK(IF(LEFT(AB121,4)="http",AB121,IF(H121="Production",set_RMSBase,set_QwilrBase)&amp;AB121),"Open")))</f>
        <v/>
      </c>
      <c r="AD121" s="27">
        <f>IF(E121="","",IF(H121="Production",IFERROR(INDEX(tbl_Production[Total Expense],MATCH(E121&amp;"",tbl_Production[Job Number],0)),0),IF(H121="Consulting",IFERROR(INDEX(tbl_Consulting[Total Expense],MATCH(E121&amp;"",tbl_Consulting[Job Number],0)),0),0)))</f>
        <v/>
      </c>
      <c r="AE121" s="27">
        <f>IF(E121="","",Y121-N(AD121))</f>
        <v/>
      </c>
      <c r="AF121" s="29">
        <f>IFERROR(AE121/Y121,"")</f>
        <v/>
      </c>
      <c r="AG121" s="25">
        <f>IF(E121="","",IF(H121="Onsite",IFERROR(INDEX(tbl_Onsite[Notes],MATCH(E121&amp;"",tbl_Onsite[Job Number],0)),""),IF(H121="Production",IFERROR(INDEX(tbl_Production[Notes],MATCH(E121&amp;"",tbl_Production[Job Number],0)),""),IF(H121="Consulting",IFERROR(INDEX(tbl_Consulting[Notes],MATCH(E121&amp;"",tbl_Consulting[Job Number],0)),""),""))))</f>
        <v/>
      </c>
    </row>
    <row r="122" ht="15" customHeight="1">
      <c r="A122" s="22" t="n">
        <v>46265</v>
      </c>
      <c r="B122" s="23">
        <f>IF(A122="","",EOMONTH(A122,0))</f>
        <v/>
      </c>
      <c r="C122" s="24" t="inlineStr">
        <is>
          <t>INV-10592</t>
        </is>
      </c>
      <c r="D122" s="24" t="inlineStr">
        <is>
          <t>APA</t>
        </is>
      </c>
      <c r="E122" s="24" t="inlineStr">
        <is>
          <t>2608702</t>
        </is>
      </c>
      <c r="F122" s="25">
        <f>IF(E122="","",IF(COUNTIF(lst_Jobs,E122&amp;"")&gt;0,"OK","CHECK"))</f>
        <v/>
      </c>
      <c r="G122" s="24" t="inlineStr">
        <is>
          <t>APA FYR Town Hall Screen Hire 20.8.26</t>
        </is>
      </c>
      <c r="H122" s="24" t="inlineStr">
        <is>
          <t>Production</t>
        </is>
      </c>
      <c r="I122" s="24" t="inlineStr">
        <is>
          <t>PRODUCTION</t>
        </is>
      </c>
      <c r="J122" s="24" t="inlineStr">
        <is>
          <t>Project</t>
        </is>
      </c>
      <c r="K122" s="24" t="inlineStr">
        <is>
          <t>GST 10%</t>
        </is>
      </c>
      <c r="L122" s="26" t="n">
        <v>830</v>
      </c>
      <c r="M122" s="27">
        <f>IF(L122="","",IF(K122="GST 10%",ROUND(L122*set_GSTRate,2),0))</f>
        <v/>
      </c>
      <c r="N122" s="27">
        <f>IF(L122="","",L122+M122)</f>
        <v/>
      </c>
      <c r="O122" s="24" t="inlineStr">
        <is>
          <t>42100</t>
        </is>
      </c>
      <c r="P122" s="24" t="inlineStr">
        <is>
          <t>Y</t>
        </is>
      </c>
      <c r="Q122" s="24" t="inlineStr">
        <is>
          <t>N</t>
        </is>
      </c>
      <c r="R122" s="22" t="n"/>
      <c r="S122" s="22" t="n"/>
      <c r="T122" s="24" t="inlineStr">
        <is>
          <t>Invoiced</t>
        </is>
      </c>
      <c r="U122" s="24" t="n"/>
      <c r="V122" s="25">
        <f>IF(COUNTA(A122,D122,C122,L122)=0,"",IF(A122="","No date - sits outside every month",IF(E122="","No job number",IF(F122="CHECK","Job number is not in the Xero job list",IF(I122="","No cost centre",IF(AND(P122="Y",C122=""),"Marked posted to Xero but has no invoice number",IF(AND(L122&lt;&gt;"",K122=""),"No tax code",IF(AND(L122&lt;&gt;"",O122=""),"No revenue GL code",""))))))))</f>
        <v/>
      </c>
      <c r="W122" s="25">
        <f>IF(E122="","",IFERROR(INDEX(lst_JobName,MATCH(E122&amp;"",lst_Jobs,0)),""))</f>
        <v/>
      </c>
      <c r="X122" s="28">
        <f>IF(E122="","",COUNTIFS(tbl_Finance[Job Number],E122&amp;"",tbl_Finance[Ex GST],"&lt;&gt;"))</f>
        <v/>
      </c>
      <c r="Y122" s="27">
        <f>IF(E122="","",SUMIFS(tbl_Finance[Ex GST],tbl_Finance[Job Number],E122&amp;""))</f>
        <v/>
      </c>
      <c r="Z122" s="27">
        <f>IF(E122="","",SUMIFS(tbl_Finance[Ex GST],tbl_Finance[Job Number],E122&amp;"",tbl_Finance[Xero Invoice No],"&lt;&gt;"))</f>
        <v/>
      </c>
      <c r="AA122" s="27">
        <f>IF(E122="","",Y122-Z122)</f>
        <v/>
      </c>
      <c r="AB122" s="25">
        <f>IF(E122="","",IF(H122="Onsite",IFERROR(INDEX(tbl_Onsite[Qwilr Quote],MATCH(E122&amp;"",tbl_Onsite[Job Number],0)),""),IF(H122="Production",IFERROR(INDEX(tbl_Production[Current RMS No],MATCH(E122&amp;"",tbl_Production[Job Number],0)),""),IF(H122="Consulting",IFERROR(INDEX(tbl_Consulting[Qwilr Quote],MATCH(E122&amp;"",tbl_Consulting[Job Number],0)),""),""))))</f>
        <v/>
      </c>
      <c r="AC122" s="25">
        <f>IF(AB122="","",IF(AND(LEFT(AB122,4)&lt;&gt;"http",IF(H122="Production",set_RMSBase,set_QwilrBase)=""),"",HYPERLINK(IF(LEFT(AB122,4)="http",AB122,IF(H122="Production",set_RMSBase,set_QwilrBase)&amp;AB122),"Open")))</f>
        <v/>
      </c>
      <c r="AD122" s="27">
        <f>IF(E122="","",IF(H122="Production",IFERROR(INDEX(tbl_Production[Total Expense],MATCH(E122&amp;"",tbl_Production[Job Number],0)),0),IF(H122="Consulting",IFERROR(INDEX(tbl_Consulting[Total Expense],MATCH(E122&amp;"",tbl_Consulting[Job Number],0)),0),0)))</f>
        <v/>
      </c>
      <c r="AE122" s="27">
        <f>IF(E122="","",Y122-N(AD122))</f>
        <v/>
      </c>
      <c r="AF122" s="29">
        <f>IFERROR(AE122/Y122,"")</f>
        <v/>
      </c>
      <c r="AG122" s="25">
        <f>IF(E122="","",IF(H122="Onsite",IFERROR(INDEX(tbl_Onsite[Notes],MATCH(E122&amp;"",tbl_Onsite[Job Number],0)),""),IF(H122="Production",IFERROR(INDEX(tbl_Production[Notes],MATCH(E122&amp;"",tbl_Production[Job Number],0)),""),IF(H122="Consulting",IFERROR(INDEX(tbl_Consulting[Notes],MATCH(E122&amp;"",tbl_Consulting[Job Number],0)),""),""))))</f>
        <v/>
      </c>
    </row>
    <row r="123" ht="15" customHeight="1">
      <c r="A123" s="22" t="n">
        <v>46265</v>
      </c>
      <c r="B123" s="23">
        <f>IF(A123="","",EOMONTH(A123,0))</f>
        <v/>
      </c>
      <c r="C123" s="24" t="inlineStr">
        <is>
          <t>INV-10617</t>
        </is>
      </c>
      <c r="D123" s="24" t="inlineStr">
        <is>
          <t>Virgin - BNE</t>
        </is>
      </c>
      <c r="E123" s="24" t="inlineStr">
        <is>
          <t>2606903</t>
        </is>
      </c>
      <c r="F123" s="25">
        <f>IF(E123="","",IF(COUNTIF(lst_Jobs,E123&amp;"")&gt;0,"OK","CHECK"))</f>
        <v/>
      </c>
      <c r="G123" s="24" t="inlineStr">
        <is>
          <t>FY26 Results - 28.8.26</t>
        </is>
      </c>
      <c r="H123" s="24" t="inlineStr">
        <is>
          <t>Production</t>
        </is>
      </c>
      <c r="I123" s="24" t="inlineStr">
        <is>
          <t>PRODUCTION</t>
        </is>
      </c>
      <c r="J123" s="24" t="inlineStr">
        <is>
          <t>Project</t>
        </is>
      </c>
      <c r="K123" s="24" t="inlineStr">
        <is>
          <t>GST 10%</t>
        </is>
      </c>
      <c r="L123" s="26" t="n">
        <v>13389.5</v>
      </c>
      <c r="M123" s="27">
        <f>IF(L123="","",IF(K123="GST 10%",ROUND(L123*set_GSTRate,2),0))</f>
        <v/>
      </c>
      <c r="N123" s="27">
        <f>IF(L123="","",L123+M123)</f>
        <v/>
      </c>
      <c r="O123" s="24" t="inlineStr">
        <is>
          <t>42100</t>
        </is>
      </c>
      <c r="P123" s="24" t="inlineStr">
        <is>
          <t>Y</t>
        </is>
      </c>
      <c r="Q123" s="24" t="inlineStr">
        <is>
          <t>N</t>
        </is>
      </c>
      <c r="R123" s="22" t="n"/>
      <c r="S123" s="22" t="n"/>
      <c r="T123" s="24" t="inlineStr">
        <is>
          <t>Invoiced</t>
        </is>
      </c>
      <c r="U123" s="24" t="n"/>
      <c r="V123" s="25">
        <f>IF(COUNTA(A123,D123,C123,L123)=0,"",IF(A123="","No date - sits outside every month",IF(E123="","No job number",IF(F123="CHECK","Job number is not in the Xero job list",IF(I123="","No cost centre",IF(AND(P123="Y",C123=""),"Marked posted to Xero but has no invoice number",IF(AND(L123&lt;&gt;"",K123=""),"No tax code",IF(AND(L123&lt;&gt;"",O123=""),"No revenue GL code",""))))))))</f>
        <v/>
      </c>
      <c r="W123" s="25">
        <f>IF(E123="","",IFERROR(INDEX(lst_JobName,MATCH(E123&amp;"",lst_Jobs,0)),""))</f>
        <v/>
      </c>
      <c r="X123" s="28">
        <f>IF(E123="","",COUNTIFS(tbl_Finance[Job Number],E123&amp;"",tbl_Finance[Ex GST],"&lt;&gt;"))</f>
        <v/>
      </c>
      <c r="Y123" s="27">
        <f>IF(E123="","",SUMIFS(tbl_Finance[Ex GST],tbl_Finance[Job Number],E123&amp;""))</f>
        <v/>
      </c>
      <c r="Z123" s="27">
        <f>IF(E123="","",SUMIFS(tbl_Finance[Ex GST],tbl_Finance[Job Number],E123&amp;"",tbl_Finance[Xero Invoice No],"&lt;&gt;"))</f>
        <v/>
      </c>
      <c r="AA123" s="27">
        <f>IF(E123="","",Y123-Z123)</f>
        <v/>
      </c>
      <c r="AB123" s="25">
        <f>IF(E123="","",IF(H123="Onsite",IFERROR(INDEX(tbl_Onsite[Qwilr Quote],MATCH(E123&amp;"",tbl_Onsite[Job Number],0)),""),IF(H123="Production",IFERROR(INDEX(tbl_Production[Current RMS No],MATCH(E123&amp;"",tbl_Production[Job Number],0)),""),IF(H123="Consulting",IFERROR(INDEX(tbl_Consulting[Qwilr Quote],MATCH(E123&amp;"",tbl_Consulting[Job Number],0)),""),""))))</f>
        <v/>
      </c>
      <c r="AC123" s="25">
        <f>IF(AB123="","",IF(AND(LEFT(AB123,4)&lt;&gt;"http",IF(H123="Production",set_RMSBase,set_QwilrBase)=""),"",HYPERLINK(IF(LEFT(AB123,4)="http",AB123,IF(H123="Production",set_RMSBase,set_QwilrBase)&amp;AB123),"Open")))</f>
        <v/>
      </c>
      <c r="AD123" s="27">
        <f>IF(E123="","",IF(H123="Production",IFERROR(INDEX(tbl_Production[Total Expense],MATCH(E123&amp;"",tbl_Production[Job Number],0)),0),IF(H123="Consulting",IFERROR(INDEX(tbl_Consulting[Total Expense],MATCH(E123&amp;"",tbl_Consulting[Job Number],0)),0),0)))</f>
        <v/>
      </c>
      <c r="AE123" s="27">
        <f>IF(E123="","",Y123-N(AD123))</f>
        <v/>
      </c>
      <c r="AF123" s="29">
        <f>IFERROR(AE123/Y123,"")</f>
        <v/>
      </c>
      <c r="AG123" s="25">
        <f>IF(E123="","",IF(H123="Onsite",IFERROR(INDEX(tbl_Onsite[Notes],MATCH(E123&amp;"",tbl_Onsite[Job Number],0)),""),IF(H123="Production",IFERROR(INDEX(tbl_Production[Notes],MATCH(E123&amp;"",tbl_Production[Job Number],0)),""),IF(H123="Consulting",IFERROR(INDEX(tbl_Consulting[Notes],MATCH(E123&amp;"",tbl_Consulting[Job Number],0)),""),""))))</f>
        <v/>
      </c>
    </row>
    <row r="124" ht="15" customHeight="1">
      <c r="A124" s="22" t="n">
        <v>46265</v>
      </c>
      <c r="B124" s="23">
        <f>IF(A124="","",EOMONTH(A124,0))</f>
        <v/>
      </c>
      <c r="C124" s="24" t="inlineStr">
        <is>
          <t>INV-10616</t>
        </is>
      </c>
      <c r="D124" s="24" t="inlineStr">
        <is>
          <t>CBA</t>
        </is>
      </c>
      <c r="E124" s="24" t="inlineStr">
        <is>
          <t>26072003</t>
        </is>
      </c>
      <c r="F124" s="25">
        <f>IF(E124="","",IF(COUNTIF(lst_Jobs,E124&amp;"")&gt;0,"OK","CHECK"))</f>
        <v/>
      </c>
      <c r="G124" s="24" t="inlineStr">
        <is>
          <t>CBA - Live Event Support - August</t>
        </is>
      </c>
      <c r="H124" s="24" t="inlineStr">
        <is>
          <t>Production</t>
        </is>
      </c>
      <c r="I124" s="24" t="inlineStr">
        <is>
          <t>PRODUCTION</t>
        </is>
      </c>
      <c r="J124" s="24" t="inlineStr">
        <is>
          <t>Project</t>
        </is>
      </c>
      <c r="K124" s="24" t="inlineStr">
        <is>
          <t>GST 10%</t>
        </is>
      </c>
      <c r="L124" s="26" t="n">
        <v>3990</v>
      </c>
      <c r="M124" s="27">
        <f>IF(L124="","",IF(K124="GST 10%",ROUND(L124*set_GSTRate,2),0))</f>
        <v/>
      </c>
      <c r="N124" s="27">
        <f>IF(L124="","",L124+M124)</f>
        <v/>
      </c>
      <c r="O124" s="24" t="inlineStr">
        <is>
          <t>42100</t>
        </is>
      </c>
      <c r="P124" s="24" t="inlineStr">
        <is>
          <t>Y</t>
        </is>
      </c>
      <c r="Q124" s="24" t="inlineStr">
        <is>
          <t>N</t>
        </is>
      </c>
      <c r="R124" s="22" t="n"/>
      <c r="S124" s="22" t="n"/>
      <c r="T124" s="24" t="inlineStr">
        <is>
          <t>Invoiced</t>
        </is>
      </c>
      <c r="U124" s="24" t="n"/>
      <c r="V124" s="25">
        <f>IF(COUNTA(A124,D124,C124,L124)=0,"",IF(A124="","No date - sits outside every month",IF(E124="","No job number",IF(F124="CHECK","Job number is not in the Xero job list",IF(I124="","No cost centre",IF(AND(P124="Y",C124=""),"Marked posted to Xero but has no invoice number",IF(AND(L124&lt;&gt;"",K124=""),"No tax code",IF(AND(L124&lt;&gt;"",O124=""),"No revenue GL code",""))))))))</f>
        <v/>
      </c>
      <c r="W124" s="25">
        <f>IF(E124="","",IFERROR(INDEX(lst_JobName,MATCH(E124&amp;"",lst_Jobs,0)),""))</f>
        <v/>
      </c>
      <c r="X124" s="28">
        <f>IF(E124="","",COUNTIFS(tbl_Finance[Job Number],E124&amp;"",tbl_Finance[Ex GST],"&lt;&gt;"))</f>
        <v/>
      </c>
      <c r="Y124" s="27">
        <f>IF(E124="","",SUMIFS(tbl_Finance[Ex GST],tbl_Finance[Job Number],E124&amp;""))</f>
        <v/>
      </c>
      <c r="Z124" s="27">
        <f>IF(E124="","",SUMIFS(tbl_Finance[Ex GST],tbl_Finance[Job Number],E124&amp;"",tbl_Finance[Xero Invoice No],"&lt;&gt;"))</f>
        <v/>
      </c>
      <c r="AA124" s="27">
        <f>IF(E124="","",Y124-Z124)</f>
        <v/>
      </c>
      <c r="AB124" s="25">
        <f>IF(E124="","",IF(H124="Onsite",IFERROR(INDEX(tbl_Onsite[Qwilr Quote],MATCH(E124&amp;"",tbl_Onsite[Job Number],0)),""),IF(H124="Production",IFERROR(INDEX(tbl_Production[Current RMS No],MATCH(E124&amp;"",tbl_Production[Job Number],0)),""),IF(H124="Consulting",IFERROR(INDEX(tbl_Consulting[Qwilr Quote],MATCH(E124&amp;"",tbl_Consulting[Job Number],0)),""),""))))</f>
        <v/>
      </c>
      <c r="AC124" s="25">
        <f>IF(AB124="","",IF(AND(LEFT(AB124,4)&lt;&gt;"http",IF(H124="Production",set_RMSBase,set_QwilrBase)=""),"",HYPERLINK(IF(LEFT(AB124,4)="http",AB124,IF(H124="Production",set_RMSBase,set_QwilrBase)&amp;AB124),"Open")))</f>
        <v/>
      </c>
      <c r="AD124" s="27">
        <f>IF(E124="","",IF(H124="Production",IFERROR(INDEX(tbl_Production[Total Expense],MATCH(E124&amp;"",tbl_Production[Job Number],0)),0),IF(H124="Consulting",IFERROR(INDEX(tbl_Consulting[Total Expense],MATCH(E124&amp;"",tbl_Consulting[Job Number],0)),0),0)))</f>
        <v/>
      </c>
      <c r="AE124" s="27">
        <f>IF(E124="","",Y124-N(AD124))</f>
        <v/>
      </c>
      <c r="AF124" s="29">
        <f>IFERROR(AE124/Y124,"")</f>
        <v/>
      </c>
      <c r="AG124" s="25">
        <f>IF(E124="","",IF(H124="Onsite",IFERROR(INDEX(tbl_Onsite[Notes],MATCH(E124&amp;"",tbl_Onsite[Job Number],0)),""),IF(H124="Production",IFERROR(INDEX(tbl_Production[Notes],MATCH(E124&amp;"",tbl_Production[Job Number],0)),""),IF(H124="Consulting",IFERROR(INDEX(tbl_Consulting[Notes],MATCH(E124&amp;"",tbl_Consulting[Job Number],0)),""),""))))</f>
        <v/>
      </c>
    </row>
    <row r="125" ht="15" customHeight="1">
      <c r="A125" s="22" t="n">
        <v>46218</v>
      </c>
      <c r="B125" s="23">
        <f>IF(A125="","",EOMONTH(A125,0))</f>
        <v/>
      </c>
      <c r="C125" s="24" t="inlineStr">
        <is>
          <t>INV-10521</t>
        </is>
      </c>
      <c r="D125" s="24" t="inlineStr">
        <is>
          <t>APA</t>
        </is>
      </c>
      <c r="E125" s="24" t="inlineStr">
        <is>
          <t>26061609/26061608/26061607/26061108</t>
        </is>
      </c>
      <c r="F125" s="25">
        <f>IF(E125="","",IF(COUNTIF(lst_Jobs,E125&amp;"")&gt;0,"OK","CHECK"))</f>
        <v/>
      </c>
      <c r="G125" s="24" t="inlineStr">
        <is>
          <t>APA - All Hands Package FY27 (PO-00030766)</t>
        </is>
      </c>
      <c r="H125" s="24" t="inlineStr">
        <is>
          <t>Production</t>
        </is>
      </c>
      <c r="I125" s="24" t="inlineStr">
        <is>
          <t>PRODUCTION</t>
        </is>
      </c>
      <c r="J125" s="24" t="inlineStr">
        <is>
          <t>Project</t>
        </is>
      </c>
      <c r="K125" s="24" t="inlineStr">
        <is>
          <t>GST 10%</t>
        </is>
      </c>
      <c r="L125" s="26" t="n">
        <v>49743.4</v>
      </c>
      <c r="M125" s="27">
        <f>IF(L125="","",IF(K125="GST 10%",ROUND(L125*set_GSTRate,2),0))</f>
        <v/>
      </c>
      <c r="N125" s="27">
        <f>IF(L125="","",L125+M125)</f>
        <v/>
      </c>
      <c r="O125" s="24" t="inlineStr">
        <is>
          <t>42100</t>
        </is>
      </c>
      <c r="P125" s="24" t="inlineStr">
        <is>
          <t>Y</t>
        </is>
      </c>
      <c r="Q125" s="24" t="inlineStr">
        <is>
          <t>N</t>
        </is>
      </c>
      <c r="R125" s="22" t="n"/>
      <c r="S125" s="22" t="n"/>
      <c r="T125" s="24" t="inlineStr">
        <is>
          <t>Invoiced</t>
        </is>
      </c>
      <c r="U125" s="24" t="inlineStr">
        <is>
          <t>Production portion of this invoice</t>
        </is>
      </c>
      <c r="V125" s="25">
        <f>IF(COUNTA(A125,D125,C125,L125)=0,"",IF(A125="","No date - sits outside every month",IF(E125="","No job number",IF(F125="CHECK","Job number is not in the Xero job list",IF(I125="","No cost centre",IF(AND(P125="Y",C125=""),"Marked posted to Xero but has no invoice number",IF(AND(L125&lt;&gt;"",K125=""),"No tax code",IF(AND(L125&lt;&gt;"",O125=""),"No revenue GL code",""))))))))</f>
        <v/>
      </c>
      <c r="W125" s="25">
        <f>IF(E125="","",IFERROR(INDEX(lst_JobName,MATCH(E125&amp;"",lst_Jobs,0)),""))</f>
        <v/>
      </c>
      <c r="X125" s="28">
        <f>IF(E125="","",COUNTIFS(tbl_Finance[Job Number],E125&amp;"",tbl_Finance[Ex GST],"&lt;&gt;"))</f>
        <v/>
      </c>
      <c r="Y125" s="27">
        <f>IF(E125="","",SUMIFS(tbl_Finance[Ex GST],tbl_Finance[Job Number],E125&amp;""))</f>
        <v/>
      </c>
      <c r="Z125" s="27">
        <f>IF(E125="","",SUMIFS(tbl_Finance[Ex GST],tbl_Finance[Job Number],E125&amp;"",tbl_Finance[Xero Invoice No],"&lt;&gt;"))</f>
        <v/>
      </c>
      <c r="AA125" s="27">
        <f>IF(E125="","",Y125-Z125)</f>
        <v/>
      </c>
      <c r="AB125" s="25">
        <f>IF(E125="","",IF(H125="Onsite",IFERROR(INDEX(tbl_Onsite[Qwilr Quote],MATCH(E125&amp;"",tbl_Onsite[Job Number],0)),""),IF(H125="Production",IFERROR(INDEX(tbl_Production[Current RMS No],MATCH(E125&amp;"",tbl_Production[Job Number],0)),""),IF(H125="Consulting",IFERROR(INDEX(tbl_Consulting[Qwilr Quote],MATCH(E125&amp;"",tbl_Consulting[Job Number],0)),""),""))))</f>
        <v/>
      </c>
      <c r="AC125" s="25">
        <f>IF(AB125="","",IF(AND(LEFT(AB125,4)&lt;&gt;"http",IF(H125="Production",set_RMSBase,set_QwilrBase)=""),"",HYPERLINK(IF(LEFT(AB125,4)="http",AB125,IF(H125="Production",set_RMSBase,set_QwilrBase)&amp;AB125),"Open")))</f>
        <v/>
      </c>
      <c r="AD125" s="27">
        <f>IF(E125="","",IF(H125="Production",IFERROR(INDEX(tbl_Production[Total Expense],MATCH(E125&amp;"",tbl_Production[Job Number],0)),0),IF(H125="Consulting",IFERROR(INDEX(tbl_Consulting[Total Expense],MATCH(E125&amp;"",tbl_Consulting[Job Number],0)),0),0)))</f>
        <v/>
      </c>
      <c r="AE125" s="27">
        <f>IF(E125="","",Y125-N(AD125))</f>
        <v/>
      </c>
      <c r="AF125" s="29">
        <f>IFERROR(AE125/Y125,"")</f>
        <v/>
      </c>
      <c r="AG125" s="25">
        <f>IF(E125="","",IF(H125="Onsite",IFERROR(INDEX(tbl_Onsite[Notes],MATCH(E125&amp;"",tbl_Onsite[Job Number],0)),""),IF(H125="Production",IFERROR(INDEX(tbl_Production[Notes],MATCH(E125&amp;"",tbl_Production[Job Number],0)),""),IF(H125="Consulting",IFERROR(INDEX(tbl_Consulting[Notes],MATCH(E125&amp;"",tbl_Consulting[Job Number],0)),""),""))))</f>
        <v/>
      </c>
    </row>
    <row r="126" ht="15" customHeight="1">
      <c r="A126" s="22" t="n">
        <v>46218</v>
      </c>
      <c r="B126" s="23">
        <f>IF(A126="","",EOMONTH(A126,0))</f>
        <v/>
      </c>
      <c r="C126" s="24" t="inlineStr">
        <is>
          <t>INV-10521</t>
        </is>
      </c>
      <c r="D126" s="24" t="inlineStr">
        <is>
          <t>APA</t>
        </is>
      </c>
      <c r="E126" s="24" t="inlineStr">
        <is>
          <t>26061609/26061608/26061607/26061108</t>
        </is>
      </c>
      <c r="F126" s="25">
        <f>IF(E126="","",IF(COUNTIF(lst_Jobs,E126&amp;"")&gt;0,"OK","CHECK"))</f>
        <v/>
      </c>
      <c r="G126" s="24" t="inlineStr">
        <is>
          <t>APA - All Hands Package FY27 (PO-00030766)</t>
        </is>
      </c>
      <c r="H126" s="24" t="inlineStr">
        <is>
          <t>Production</t>
        </is>
      </c>
      <c r="I126" s="24" t="inlineStr">
        <is>
          <t>VIDEO</t>
        </is>
      </c>
      <c r="J126" s="24" t="inlineStr">
        <is>
          <t>Project</t>
        </is>
      </c>
      <c r="K126" s="24" t="inlineStr">
        <is>
          <t>GST 10%</t>
        </is>
      </c>
      <c r="L126" s="26" t="n">
        <v>4308</v>
      </c>
      <c r="M126" s="27">
        <f>IF(L126="","",IF(K126="GST 10%",ROUND(L126*set_GSTRate,2),0))</f>
        <v/>
      </c>
      <c r="N126" s="27">
        <f>IF(L126="","",L126+M126)</f>
        <v/>
      </c>
      <c r="O126" s="24" t="inlineStr">
        <is>
          <t>42150</t>
        </is>
      </c>
      <c r="P126" s="24" t="inlineStr">
        <is>
          <t>Y</t>
        </is>
      </c>
      <c r="Q126" s="24" t="inlineStr">
        <is>
          <t>N</t>
        </is>
      </c>
      <c r="R126" s="22" t="n"/>
      <c r="S126" s="22" t="n"/>
      <c r="T126" s="24" t="inlineStr">
        <is>
          <t>Invoiced</t>
        </is>
      </c>
      <c r="U126" s="24" t="inlineStr">
        <is>
          <t>Video portion of this invoice</t>
        </is>
      </c>
      <c r="V126" s="25">
        <f>IF(COUNTA(A126,D126,C126,L126)=0,"",IF(A126="","No date - sits outside every month",IF(E126="","No job number",IF(F126="CHECK","Job number is not in the Xero job list",IF(I126="","No cost centre",IF(AND(P126="Y",C126=""),"Marked posted to Xero but has no invoice number",IF(AND(L126&lt;&gt;"",K126=""),"No tax code",IF(AND(L126&lt;&gt;"",O126=""),"No revenue GL code",""))))))))</f>
        <v/>
      </c>
      <c r="W126" s="25">
        <f>IF(E126="","",IFERROR(INDEX(lst_JobName,MATCH(E126&amp;"",lst_Jobs,0)),""))</f>
        <v/>
      </c>
      <c r="X126" s="28">
        <f>IF(E126="","",COUNTIFS(tbl_Finance[Job Number],E126&amp;"",tbl_Finance[Ex GST],"&lt;&gt;"))</f>
        <v/>
      </c>
      <c r="Y126" s="27">
        <f>IF(E126="","",SUMIFS(tbl_Finance[Ex GST],tbl_Finance[Job Number],E126&amp;""))</f>
        <v/>
      </c>
      <c r="Z126" s="27">
        <f>IF(E126="","",SUMIFS(tbl_Finance[Ex GST],tbl_Finance[Job Number],E126&amp;"",tbl_Finance[Xero Invoice No],"&lt;&gt;"))</f>
        <v/>
      </c>
      <c r="AA126" s="27">
        <f>IF(E126="","",Y126-Z126)</f>
        <v/>
      </c>
      <c r="AB126" s="25">
        <f>IF(E126="","",IF(H126="Onsite",IFERROR(INDEX(tbl_Onsite[Qwilr Quote],MATCH(E126&amp;"",tbl_Onsite[Job Number],0)),""),IF(H126="Production",IFERROR(INDEX(tbl_Production[Current RMS No],MATCH(E126&amp;"",tbl_Production[Job Number],0)),""),IF(H126="Consulting",IFERROR(INDEX(tbl_Consulting[Qwilr Quote],MATCH(E126&amp;"",tbl_Consulting[Job Number],0)),""),""))))</f>
        <v/>
      </c>
      <c r="AC126" s="25">
        <f>IF(AB126="","",IF(AND(LEFT(AB126,4)&lt;&gt;"http",IF(H126="Production",set_RMSBase,set_QwilrBase)=""),"",HYPERLINK(IF(LEFT(AB126,4)="http",AB126,IF(H126="Production",set_RMSBase,set_QwilrBase)&amp;AB126),"Open")))</f>
        <v/>
      </c>
      <c r="AD126" s="27">
        <f>IF(E126="","",IF(H126="Production",IFERROR(INDEX(tbl_Production[Total Expense],MATCH(E126&amp;"",tbl_Production[Job Number],0)),0),IF(H126="Consulting",IFERROR(INDEX(tbl_Consulting[Total Expense],MATCH(E126&amp;"",tbl_Consulting[Job Number],0)),0),0)))</f>
        <v/>
      </c>
      <c r="AE126" s="27">
        <f>IF(E126="","",Y126-N(AD126))</f>
        <v/>
      </c>
      <c r="AF126" s="29">
        <f>IFERROR(AE126/Y126,"")</f>
        <v/>
      </c>
      <c r="AG126" s="25">
        <f>IF(E126="","",IF(H126="Onsite",IFERROR(INDEX(tbl_Onsite[Notes],MATCH(E126&amp;"",tbl_Onsite[Job Number],0)),""),IF(H126="Production",IFERROR(INDEX(tbl_Production[Notes],MATCH(E126&amp;"",tbl_Production[Job Number],0)),""),IF(H126="Consulting",IFERROR(INDEX(tbl_Consulting[Notes],MATCH(E126&amp;"",tbl_Consulting[Job Number],0)),""),""))))</f>
        <v/>
      </c>
    </row>
    <row r="127" ht="15" customHeight="1">
      <c r="A127" s="22" t="n">
        <v>46216</v>
      </c>
      <c r="B127" s="23">
        <f>IF(A127="","",EOMONTH(A127,0))</f>
        <v/>
      </c>
      <c r="C127" s="24" t="inlineStr">
        <is>
          <t>INV-10523</t>
        </is>
      </c>
      <c r="D127" s="24" t="inlineStr">
        <is>
          <t>Jaaz Salanoa</t>
        </is>
      </c>
      <c r="E127" s="24" t="inlineStr">
        <is>
          <t>9100</t>
        </is>
      </c>
      <c r="F127" s="25">
        <f>IF(E127="","",IF(COUNTIF(lst_Jobs,E127&amp;"")&gt;0,"OK","CHECK"))</f>
        <v/>
      </c>
      <c r="G127" s="24" t="inlineStr">
        <is>
          <t>Jaaz - Goget Hire</t>
        </is>
      </c>
      <c r="H127" s="24" t="inlineStr">
        <is>
          <t>Production</t>
        </is>
      </c>
      <c r="I127" s="24" t="inlineStr">
        <is>
          <t>CTS</t>
        </is>
      </c>
      <c r="J127" s="24" t="inlineStr">
        <is>
          <t>Project</t>
        </is>
      </c>
      <c r="K127" s="24" t="inlineStr">
        <is>
          <t>GST 10%</t>
        </is>
      </c>
      <c r="L127" s="26" t="n"/>
      <c r="M127" s="27">
        <f>IF(L127="","",IF(K127="GST 10%",ROUND(L127*set_GSTRate,2),0))</f>
        <v/>
      </c>
      <c r="N127" s="27">
        <f>IF(L127="","",L127+M127)</f>
        <v/>
      </c>
      <c r="O127" s="24" t="inlineStr">
        <is>
          <t>42100</t>
        </is>
      </c>
      <c r="P127" s="24" t="inlineStr">
        <is>
          <t>Y</t>
        </is>
      </c>
      <c r="Q127" s="24" t="inlineStr">
        <is>
          <t>N</t>
        </is>
      </c>
      <c r="R127" s="22" t="n"/>
      <c r="S127" s="22" t="n"/>
      <c r="T127" s="24" t="inlineStr">
        <is>
          <t>Invoiced</t>
        </is>
      </c>
      <c r="U127" s="24" t="n"/>
      <c r="V127" s="25">
        <f>IF(COUNTA(A127,D127,C127,L127)=0,"",IF(A127="","No date - sits outside every month",IF(E127="","No job number",IF(F127="CHECK","Job number is not in the Xero job list",IF(I127="","No cost centre",IF(AND(P127="Y",C127=""),"Marked posted to Xero but has no invoice number",IF(AND(L127&lt;&gt;"",K127=""),"No tax code",IF(AND(L127&lt;&gt;"",O127=""),"No revenue GL code",""))))))))</f>
        <v/>
      </c>
      <c r="W127" s="25">
        <f>IF(E127="","",IFERROR(INDEX(lst_JobName,MATCH(E127&amp;"",lst_Jobs,0)),""))</f>
        <v/>
      </c>
      <c r="X127" s="28">
        <f>IF(E127="","",COUNTIFS(tbl_Finance[Job Number],E127&amp;"",tbl_Finance[Ex GST],"&lt;&gt;"))</f>
        <v/>
      </c>
      <c r="Y127" s="27">
        <f>IF(E127="","",SUMIFS(tbl_Finance[Ex GST],tbl_Finance[Job Number],E127&amp;""))</f>
        <v/>
      </c>
      <c r="Z127" s="27">
        <f>IF(E127="","",SUMIFS(tbl_Finance[Ex GST],tbl_Finance[Job Number],E127&amp;"",tbl_Finance[Xero Invoice No],"&lt;&gt;"))</f>
        <v/>
      </c>
      <c r="AA127" s="27">
        <f>IF(E127="","",Y127-Z127)</f>
        <v/>
      </c>
      <c r="AB127" s="25">
        <f>IF(E127="","",IF(H127="Onsite",IFERROR(INDEX(tbl_Onsite[Qwilr Quote],MATCH(E127&amp;"",tbl_Onsite[Job Number],0)),""),IF(H127="Production",IFERROR(INDEX(tbl_Production[Current RMS No],MATCH(E127&amp;"",tbl_Production[Job Number],0)),""),IF(H127="Consulting",IFERROR(INDEX(tbl_Consulting[Qwilr Quote],MATCH(E127&amp;"",tbl_Consulting[Job Number],0)),""),""))))</f>
        <v/>
      </c>
      <c r="AC127" s="25">
        <f>IF(AB127="","",IF(AND(LEFT(AB127,4)&lt;&gt;"http",IF(H127="Production",set_RMSBase,set_QwilrBase)=""),"",HYPERLINK(IF(LEFT(AB127,4)="http",AB127,IF(H127="Production",set_RMSBase,set_QwilrBase)&amp;AB127),"Open")))</f>
        <v/>
      </c>
      <c r="AD127" s="27">
        <f>IF(E127="","",IF(H127="Production",IFERROR(INDEX(tbl_Production[Total Expense],MATCH(E127&amp;"",tbl_Production[Job Number],0)),0),IF(H127="Consulting",IFERROR(INDEX(tbl_Consulting[Total Expense],MATCH(E127&amp;"",tbl_Consulting[Job Number],0)),0),0)))</f>
        <v/>
      </c>
      <c r="AE127" s="27">
        <f>IF(E127="","",Y127-N(AD127))</f>
        <v/>
      </c>
      <c r="AF127" s="29">
        <f>IFERROR(AE127/Y127,"")</f>
        <v/>
      </c>
      <c r="AG127" s="25">
        <f>IF(E127="","",IF(H127="Onsite",IFERROR(INDEX(tbl_Onsite[Notes],MATCH(E127&amp;"",tbl_Onsite[Job Number],0)),""),IF(H127="Production",IFERROR(INDEX(tbl_Production[Notes],MATCH(E127&amp;"",tbl_Production[Job Number],0)),""),IF(H127="Consulting",IFERROR(INDEX(tbl_Consulting[Notes],MATCH(E127&amp;"",tbl_Consulting[Job Number],0)),""),""))))</f>
        <v/>
      </c>
    </row>
    <row r="128" ht="15" customHeight="1">
      <c r="A128" s="22" t="n">
        <v>46265</v>
      </c>
      <c r="B128" s="23">
        <f>IF(A128="","",EOMONTH(A128,0))</f>
        <v/>
      </c>
      <c r="C128" s="24" t="inlineStr">
        <is>
          <t>INV-10621</t>
        </is>
      </c>
      <c r="D128" s="24" t="inlineStr">
        <is>
          <t>Jaaz Salanoa</t>
        </is>
      </c>
      <c r="E128" s="24" t="inlineStr">
        <is>
          <t>9100</t>
        </is>
      </c>
      <c r="F128" s="25">
        <f>IF(E128="","",IF(COUNTIF(lst_Jobs,E128&amp;"")&gt;0,"OK","CHECK"))</f>
        <v/>
      </c>
      <c r="G128" s="24" t="inlineStr">
        <is>
          <t>Jaaz - Goget Hire</t>
        </is>
      </c>
      <c r="H128" s="24" t="inlineStr">
        <is>
          <t>Production</t>
        </is>
      </c>
      <c r="I128" s="24" t="inlineStr">
        <is>
          <t>CTS</t>
        </is>
      </c>
      <c r="J128" s="24" t="inlineStr">
        <is>
          <t>Project</t>
        </is>
      </c>
      <c r="K128" s="24" t="inlineStr">
        <is>
          <t>GST 10%</t>
        </is>
      </c>
      <c r="L128" s="26" t="n"/>
      <c r="M128" s="27">
        <f>IF(L128="","",IF(K128="GST 10%",ROUND(L128*set_GSTRate,2),0))</f>
        <v/>
      </c>
      <c r="N128" s="27">
        <f>IF(L128="","",L128+M128)</f>
        <v/>
      </c>
      <c r="O128" s="24" t="inlineStr">
        <is>
          <t>42100</t>
        </is>
      </c>
      <c r="P128" s="24" t="inlineStr">
        <is>
          <t>Y</t>
        </is>
      </c>
      <c r="Q128" s="24" t="inlineStr">
        <is>
          <t>N</t>
        </is>
      </c>
      <c r="R128" s="22" t="n"/>
      <c r="S128" s="22" t="n"/>
      <c r="T128" s="24" t="inlineStr">
        <is>
          <t>Invoiced</t>
        </is>
      </c>
      <c r="U128" s="24" t="n"/>
      <c r="V128" s="25">
        <f>IF(COUNTA(A128,D128,C128,L128)=0,"",IF(A128="","No date - sits outside every month",IF(E128="","No job number",IF(F128="CHECK","Job number is not in the Xero job list",IF(I128="","No cost centre",IF(AND(P128="Y",C128=""),"Marked posted to Xero but has no invoice number",IF(AND(L128&lt;&gt;"",K128=""),"No tax code",IF(AND(L128&lt;&gt;"",O128=""),"No revenue GL code",""))))))))</f>
        <v/>
      </c>
      <c r="W128" s="25">
        <f>IF(E128="","",IFERROR(INDEX(lst_JobName,MATCH(E128&amp;"",lst_Jobs,0)),""))</f>
        <v/>
      </c>
      <c r="X128" s="28">
        <f>IF(E128="","",COUNTIFS(tbl_Finance[Job Number],E128&amp;"",tbl_Finance[Ex GST],"&lt;&gt;"))</f>
        <v/>
      </c>
      <c r="Y128" s="27">
        <f>IF(E128="","",SUMIFS(tbl_Finance[Ex GST],tbl_Finance[Job Number],E128&amp;""))</f>
        <v/>
      </c>
      <c r="Z128" s="27">
        <f>IF(E128="","",SUMIFS(tbl_Finance[Ex GST],tbl_Finance[Job Number],E128&amp;"",tbl_Finance[Xero Invoice No],"&lt;&gt;"))</f>
        <v/>
      </c>
      <c r="AA128" s="27">
        <f>IF(E128="","",Y128-Z128)</f>
        <v/>
      </c>
      <c r="AB128" s="25">
        <f>IF(E128="","",IF(H128="Onsite",IFERROR(INDEX(tbl_Onsite[Qwilr Quote],MATCH(E128&amp;"",tbl_Onsite[Job Number],0)),""),IF(H128="Production",IFERROR(INDEX(tbl_Production[Current RMS No],MATCH(E128&amp;"",tbl_Production[Job Number],0)),""),IF(H128="Consulting",IFERROR(INDEX(tbl_Consulting[Qwilr Quote],MATCH(E128&amp;"",tbl_Consulting[Job Number],0)),""),""))))</f>
        <v/>
      </c>
      <c r="AC128" s="25">
        <f>IF(AB128="","",IF(AND(LEFT(AB128,4)&lt;&gt;"http",IF(H128="Production",set_RMSBase,set_QwilrBase)=""),"",HYPERLINK(IF(LEFT(AB128,4)="http",AB128,IF(H128="Production",set_RMSBase,set_QwilrBase)&amp;AB128),"Open")))</f>
        <v/>
      </c>
      <c r="AD128" s="27">
        <f>IF(E128="","",IF(H128="Production",IFERROR(INDEX(tbl_Production[Total Expense],MATCH(E128&amp;"",tbl_Production[Job Number],0)),0),IF(H128="Consulting",IFERROR(INDEX(tbl_Consulting[Total Expense],MATCH(E128&amp;"",tbl_Consulting[Job Number],0)),0),0)))</f>
        <v/>
      </c>
      <c r="AE128" s="27">
        <f>IF(E128="","",Y128-N(AD128))</f>
        <v/>
      </c>
      <c r="AF128" s="29">
        <f>IFERROR(AE128/Y128,"")</f>
        <v/>
      </c>
      <c r="AG128" s="25">
        <f>IF(E128="","",IF(H128="Onsite",IFERROR(INDEX(tbl_Onsite[Notes],MATCH(E128&amp;"",tbl_Onsite[Job Number],0)),""),IF(H128="Production",IFERROR(INDEX(tbl_Production[Notes],MATCH(E128&amp;"",tbl_Production[Job Number],0)),""),IF(H128="Consulting",IFERROR(INDEX(tbl_Consulting[Notes],MATCH(E128&amp;"",tbl_Consulting[Job Number],0)),""),""))))</f>
        <v/>
      </c>
    </row>
    <row r="129" ht="15" customHeight="1">
      <c r="A129" s="22" t="n"/>
      <c r="B129" s="23">
        <f>IF(A129="","",EOMONTH(A129,0))</f>
        <v/>
      </c>
      <c r="C129" s="24" t="n"/>
      <c r="D129" s="24" t="inlineStr">
        <is>
          <t>ASX</t>
        </is>
      </c>
      <c r="E129" s="24" t="inlineStr">
        <is>
          <t>26061602</t>
        </is>
      </c>
      <c r="F129" s="25">
        <f>IF(E129="","",IF(COUNTIF(lst_Jobs,E129&amp;"")&gt;0,"OK","CHECK"))</f>
        <v/>
      </c>
      <c r="G129" s="24" t="inlineStr">
        <is>
          <t>CEO Connect (Extended Results)</t>
        </is>
      </c>
      <c r="H129" s="24" t="inlineStr">
        <is>
          <t>Production</t>
        </is>
      </c>
      <c r="I129" s="24" t="inlineStr">
        <is>
          <t>PRODUCTION</t>
        </is>
      </c>
      <c r="J129" s="24" t="inlineStr">
        <is>
          <t>Project</t>
        </is>
      </c>
      <c r="K129" s="24" t="inlineStr">
        <is>
          <t>GST 10%</t>
        </is>
      </c>
      <c r="L129" s="26" t="n">
        <v>2674</v>
      </c>
      <c r="M129" s="27">
        <f>IF(L129="","",IF(K129="GST 10%",ROUND(L129*set_GSTRate,2),0))</f>
        <v/>
      </c>
      <c r="N129" s="27">
        <f>IF(L129="","",L129+M129)</f>
        <v/>
      </c>
      <c r="O129" s="24" t="inlineStr">
        <is>
          <t>42100</t>
        </is>
      </c>
      <c r="P129" s="24" t="inlineStr">
        <is>
          <t>Y</t>
        </is>
      </c>
      <c r="Q129" s="24" t="inlineStr">
        <is>
          <t>N</t>
        </is>
      </c>
      <c r="R129" s="22" t="n"/>
      <c r="S129" s="22" t="n"/>
      <c r="T129" s="24" t="inlineStr">
        <is>
          <t>To Invoice</t>
        </is>
      </c>
      <c r="U129" s="24" t="inlineStr">
        <is>
          <t>Production portion of this invoice</t>
        </is>
      </c>
      <c r="V129" s="25">
        <f>IF(COUNTA(A129,D129,C129,L129)=0,"",IF(A129="","No date - sits outside every month",IF(E129="","No job number",IF(F129="CHECK","Job number is not in the Xero job list",IF(I129="","No cost centre",IF(AND(P129="Y",C129=""),"Marked posted to Xero but has no invoice number",IF(AND(L129&lt;&gt;"",K129=""),"No tax code",IF(AND(L129&lt;&gt;"",O129=""),"No revenue GL code",""))))))))</f>
        <v/>
      </c>
      <c r="W129" s="25">
        <f>IF(E129="","",IFERROR(INDEX(lst_JobName,MATCH(E129&amp;"",lst_Jobs,0)),""))</f>
        <v/>
      </c>
      <c r="X129" s="28">
        <f>IF(E129="","",COUNTIFS(tbl_Finance[Job Number],E129&amp;"",tbl_Finance[Ex GST],"&lt;&gt;"))</f>
        <v/>
      </c>
      <c r="Y129" s="27">
        <f>IF(E129="","",SUMIFS(tbl_Finance[Ex GST],tbl_Finance[Job Number],E129&amp;""))</f>
        <v/>
      </c>
      <c r="Z129" s="27">
        <f>IF(E129="","",SUMIFS(tbl_Finance[Ex GST],tbl_Finance[Job Number],E129&amp;"",tbl_Finance[Xero Invoice No],"&lt;&gt;"))</f>
        <v/>
      </c>
      <c r="AA129" s="27">
        <f>IF(E129="","",Y129-Z129)</f>
        <v/>
      </c>
      <c r="AB129" s="25">
        <f>IF(E129="","",IF(H129="Onsite",IFERROR(INDEX(tbl_Onsite[Qwilr Quote],MATCH(E129&amp;"",tbl_Onsite[Job Number],0)),""),IF(H129="Production",IFERROR(INDEX(tbl_Production[Current RMS No],MATCH(E129&amp;"",tbl_Production[Job Number],0)),""),IF(H129="Consulting",IFERROR(INDEX(tbl_Consulting[Qwilr Quote],MATCH(E129&amp;"",tbl_Consulting[Job Number],0)),""),""))))</f>
        <v/>
      </c>
      <c r="AC129" s="25">
        <f>IF(AB129="","",IF(AND(LEFT(AB129,4)&lt;&gt;"http",IF(H129="Production",set_RMSBase,set_QwilrBase)=""),"",HYPERLINK(IF(LEFT(AB129,4)="http",AB129,IF(H129="Production",set_RMSBase,set_QwilrBase)&amp;AB129),"Open")))</f>
        <v/>
      </c>
      <c r="AD129" s="27">
        <f>IF(E129="","",IF(H129="Production",IFERROR(INDEX(tbl_Production[Total Expense],MATCH(E129&amp;"",tbl_Production[Job Number],0)),0),IF(H129="Consulting",IFERROR(INDEX(tbl_Consulting[Total Expense],MATCH(E129&amp;"",tbl_Consulting[Job Number],0)),0),0)))</f>
        <v/>
      </c>
      <c r="AE129" s="27">
        <f>IF(E129="","",Y129-N(AD129))</f>
        <v/>
      </c>
      <c r="AF129" s="29">
        <f>IFERROR(AE129/Y129,"")</f>
        <v/>
      </c>
      <c r="AG129" s="25">
        <f>IF(E129="","",IF(H129="Onsite",IFERROR(INDEX(tbl_Onsite[Notes],MATCH(E129&amp;"",tbl_Onsite[Job Number],0)),""),IF(H129="Production",IFERROR(INDEX(tbl_Production[Notes],MATCH(E129&amp;"",tbl_Production[Job Number],0)),""),IF(H129="Consulting",IFERROR(INDEX(tbl_Consulting[Notes],MATCH(E129&amp;"",tbl_Consulting[Job Number],0)),""),""))))</f>
        <v/>
      </c>
    </row>
    <row r="130" ht="15" customHeight="1">
      <c r="A130" s="22" t="n"/>
      <c r="B130" s="23">
        <f>IF(A130="","",EOMONTH(A130,0))</f>
        <v/>
      </c>
      <c r="C130" s="24" t="n"/>
      <c r="D130" s="24" t="inlineStr">
        <is>
          <t>ASX</t>
        </is>
      </c>
      <c r="E130" s="24" t="inlineStr">
        <is>
          <t>26061602</t>
        </is>
      </c>
      <c r="F130" s="25">
        <f>IF(E130="","",IF(COUNTIF(lst_Jobs,E130&amp;"")&gt;0,"OK","CHECK"))</f>
        <v/>
      </c>
      <c r="G130" s="24" t="inlineStr">
        <is>
          <t>CEO Connect (Extended Results)</t>
        </is>
      </c>
      <c r="H130" s="24" t="inlineStr">
        <is>
          <t>Production</t>
        </is>
      </c>
      <c r="I130" s="24" t="inlineStr">
        <is>
          <t>VIDEO</t>
        </is>
      </c>
      <c r="J130" s="24" t="inlineStr">
        <is>
          <t>Project</t>
        </is>
      </c>
      <c r="K130" s="24" t="inlineStr">
        <is>
          <t>GST 10%</t>
        </is>
      </c>
      <c r="L130" s="26" t="n">
        <v>1500</v>
      </c>
      <c r="M130" s="27">
        <f>IF(L130="","",IF(K130="GST 10%",ROUND(L130*set_GSTRate,2),0))</f>
        <v/>
      </c>
      <c r="N130" s="27">
        <f>IF(L130="","",L130+M130)</f>
        <v/>
      </c>
      <c r="O130" s="24" t="inlineStr">
        <is>
          <t>42150</t>
        </is>
      </c>
      <c r="P130" s="24" t="inlineStr">
        <is>
          <t>Y</t>
        </is>
      </c>
      <c r="Q130" s="24" t="inlineStr">
        <is>
          <t>N</t>
        </is>
      </c>
      <c r="R130" s="22" t="n"/>
      <c r="S130" s="22" t="n"/>
      <c r="T130" s="24" t="inlineStr">
        <is>
          <t>To Invoice</t>
        </is>
      </c>
      <c r="U130" s="24" t="inlineStr">
        <is>
          <t>Video portion of this invoice</t>
        </is>
      </c>
      <c r="V130" s="25">
        <f>IF(COUNTA(A130,D130,C130,L130)=0,"",IF(A130="","No date - sits outside every month",IF(E130="","No job number",IF(F130="CHECK","Job number is not in the Xero job list",IF(I130="","No cost centre",IF(AND(P130="Y",C130=""),"Marked posted to Xero but has no invoice number",IF(AND(L130&lt;&gt;"",K130=""),"No tax code",IF(AND(L130&lt;&gt;"",O130=""),"No revenue GL code",""))))))))</f>
        <v/>
      </c>
      <c r="W130" s="25">
        <f>IF(E130="","",IFERROR(INDEX(lst_JobName,MATCH(E130&amp;"",lst_Jobs,0)),""))</f>
        <v/>
      </c>
      <c r="X130" s="28">
        <f>IF(E130="","",COUNTIFS(tbl_Finance[Job Number],E130&amp;"",tbl_Finance[Ex GST],"&lt;&gt;"))</f>
        <v/>
      </c>
      <c r="Y130" s="27">
        <f>IF(E130="","",SUMIFS(tbl_Finance[Ex GST],tbl_Finance[Job Number],E130&amp;""))</f>
        <v/>
      </c>
      <c r="Z130" s="27">
        <f>IF(E130="","",SUMIFS(tbl_Finance[Ex GST],tbl_Finance[Job Number],E130&amp;"",tbl_Finance[Xero Invoice No],"&lt;&gt;"))</f>
        <v/>
      </c>
      <c r="AA130" s="27">
        <f>IF(E130="","",Y130-Z130)</f>
        <v/>
      </c>
      <c r="AB130" s="25">
        <f>IF(E130="","",IF(H130="Onsite",IFERROR(INDEX(tbl_Onsite[Qwilr Quote],MATCH(E130&amp;"",tbl_Onsite[Job Number],0)),""),IF(H130="Production",IFERROR(INDEX(tbl_Production[Current RMS No],MATCH(E130&amp;"",tbl_Production[Job Number],0)),""),IF(H130="Consulting",IFERROR(INDEX(tbl_Consulting[Qwilr Quote],MATCH(E130&amp;"",tbl_Consulting[Job Number],0)),""),""))))</f>
        <v/>
      </c>
      <c r="AC130" s="25">
        <f>IF(AB130="","",IF(AND(LEFT(AB130,4)&lt;&gt;"http",IF(H130="Production",set_RMSBase,set_QwilrBase)=""),"",HYPERLINK(IF(LEFT(AB130,4)="http",AB130,IF(H130="Production",set_RMSBase,set_QwilrBase)&amp;AB130),"Open")))</f>
        <v/>
      </c>
      <c r="AD130" s="27">
        <f>IF(E130="","",IF(H130="Production",IFERROR(INDEX(tbl_Production[Total Expense],MATCH(E130&amp;"",tbl_Production[Job Number],0)),0),IF(H130="Consulting",IFERROR(INDEX(tbl_Consulting[Total Expense],MATCH(E130&amp;"",tbl_Consulting[Job Number],0)),0),0)))</f>
        <v/>
      </c>
      <c r="AE130" s="27">
        <f>IF(E130="","",Y130-N(AD130))</f>
        <v/>
      </c>
      <c r="AF130" s="29">
        <f>IFERROR(AE130/Y130,"")</f>
        <v/>
      </c>
      <c r="AG130" s="25">
        <f>IF(E130="","",IF(H130="Onsite",IFERROR(INDEX(tbl_Onsite[Notes],MATCH(E130&amp;"",tbl_Onsite[Job Number],0)),""),IF(H130="Production",IFERROR(INDEX(tbl_Production[Notes],MATCH(E130&amp;"",tbl_Production[Job Number],0)),""),IF(H130="Consulting",IFERROR(INDEX(tbl_Consulting[Notes],MATCH(E130&amp;"",tbl_Consulting[Job Number],0)),""),""))))</f>
        <v/>
      </c>
    </row>
    <row r="131" ht="15" customHeight="1">
      <c r="A131" s="22" t="n"/>
      <c r="B131" s="23">
        <f>IF(A131="","",EOMONTH(A131,0))</f>
        <v/>
      </c>
      <c r="C131" s="24" t="n"/>
      <c r="D131" s="24" t="inlineStr">
        <is>
          <t>ASX</t>
        </is>
      </c>
      <c r="E131" s="24" t="inlineStr">
        <is>
          <t>26071701</t>
        </is>
      </c>
      <c r="F131" s="25">
        <f>IF(E131="","",IF(COUNTIF(lst_Jobs,E131&amp;"")&gt;0,"OK","CHECK"))</f>
        <v/>
      </c>
      <c r="G131" s="24" t="inlineStr">
        <is>
          <t>ASX Live 1.9.26</t>
        </is>
      </c>
      <c r="H131" s="24" t="inlineStr">
        <is>
          <t>Production</t>
        </is>
      </c>
      <c r="I131" s="24" t="inlineStr">
        <is>
          <t>PRODUCTION</t>
        </is>
      </c>
      <c r="J131" s="24" t="inlineStr">
        <is>
          <t>Project</t>
        </is>
      </c>
      <c r="K131" s="24" t="inlineStr">
        <is>
          <t>GST 10%</t>
        </is>
      </c>
      <c r="L131" s="26" t="n">
        <v>6260</v>
      </c>
      <c r="M131" s="27">
        <f>IF(L131="","",IF(K131="GST 10%",ROUND(L131*set_GSTRate,2),0))</f>
        <v/>
      </c>
      <c r="N131" s="27">
        <f>IF(L131="","",L131+M131)</f>
        <v/>
      </c>
      <c r="O131" s="24" t="inlineStr">
        <is>
          <t>42100</t>
        </is>
      </c>
      <c r="P131" s="24" t="inlineStr">
        <is>
          <t>Y</t>
        </is>
      </c>
      <c r="Q131" s="24" t="inlineStr">
        <is>
          <t>N</t>
        </is>
      </c>
      <c r="R131" s="22" t="n"/>
      <c r="S131" s="22" t="n"/>
      <c r="T131" s="24" t="inlineStr">
        <is>
          <t>To Invoice</t>
        </is>
      </c>
      <c r="U131" s="24" t="inlineStr">
        <is>
          <t>Production portion of this invoice</t>
        </is>
      </c>
      <c r="V131" s="25">
        <f>IF(COUNTA(A131,D131,C131,L131)=0,"",IF(A131="","No date - sits outside every month",IF(E131="","No job number",IF(F131="CHECK","Job number is not in the Xero job list",IF(I131="","No cost centre",IF(AND(P131="Y",C131=""),"Marked posted to Xero but has no invoice number",IF(AND(L131&lt;&gt;"",K131=""),"No tax code",IF(AND(L131&lt;&gt;"",O131=""),"No revenue GL code",""))))))))</f>
        <v/>
      </c>
      <c r="W131" s="25">
        <f>IF(E131="","",IFERROR(INDEX(lst_JobName,MATCH(E131&amp;"",lst_Jobs,0)),""))</f>
        <v/>
      </c>
      <c r="X131" s="28">
        <f>IF(E131="","",COUNTIFS(tbl_Finance[Job Number],E131&amp;"",tbl_Finance[Ex GST],"&lt;&gt;"))</f>
        <v/>
      </c>
      <c r="Y131" s="27">
        <f>IF(E131="","",SUMIFS(tbl_Finance[Ex GST],tbl_Finance[Job Number],E131&amp;""))</f>
        <v/>
      </c>
      <c r="Z131" s="27">
        <f>IF(E131="","",SUMIFS(tbl_Finance[Ex GST],tbl_Finance[Job Number],E131&amp;"",tbl_Finance[Xero Invoice No],"&lt;&gt;"))</f>
        <v/>
      </c>
      <c r="AA131" s="27">
        <f>IF(E131="","",Y131-Z131)</f>
        <v/>
      </c>
      <c r="AB131" s="25">
        <f>IF(E131="","",IF(H131="Onsite",IFERROR(INDEX(tbl_Onsite[Qwilr Quote],MATCH(E131&amp;"",tbl_Onsite[Job Number],0)),""),IF(H131="Production",IFERROR(INDEX(tbl_Production[Current RMS No],MATCH(E131&amp;"",tbl_Production[Job Number],0)),""),IF(H131="Consulting",IFERROR(INDEX(tbl_Consulting[Qwilr Quote],MATCH(E131&amp;"",tbl_Consulting[Job Number],0)),""),""))))</f>
        <v/>
      </c>
      <c r="AC131" s="25">
        <f>IF(AB131="","",IF(AND(LEFT(AB131,4)&lt;&gt;"http",IF(H131="Production",set_RMSBase,set_QwilrBase)=""),"",HYPERLINK(IF(LEFT(AB131,4)="http",AB131,IF(H131="Production",set_RMSBase,set_QwilrBase)&amp;AB131),"Open")))</f>
        <v/>
      </c>
      <c r="AD131" s="27">
        <f>IF(E131="","",IF(H131="Production",IFERROR(INDEX(tbl_Production[Total Expense],MATCH(E131&amp;"",tbl_Production[Job Number],0)),0),IF(H131="Consulting",IFERROR(INDEX(tbl_Consulting[Total Expense],MATCH(E131&amp;"",tbl_Consulting[Job Number],0)),0),0)))</f>
        <v/>
      </c>
      <c r="AE131" s="27">
        <f>IF(E131="","",Y131-N(AD131))</f>
        <v/>
      </c>
      <c r="AF131" s="29">
        <f>IFERROR(AE131/Y131,"")</f>
        <v/>
      </c>
      <c r="AG131" s="25">
        <f>IF(E131="","",IF(H131="Onsite",IFERROR(INDEX(tbl_Onsite[Notes],MATCH(E131&amp;"",tbl_Onsite[Job Number],0)),""),IF(H131="Production",IFERROR(INDEX(tbl_Production[Notes],MATCH(E131&amp;"",tbl_Production[Job Number],0)),""),IF(H131="Consulting",IFERROR(INDEX(tbl_Consulting[Notes],MATCH(E131&amp;"",tbl_Consulting[Job Number],0)),""),""))))</f>
        <v/>
      </c>
    </row>
    <row r="132" ht="15" customHeight="1">
      <c r="A132" s="22" t="n"/>
      <c r="B132" s="23">
        <f>IF(A132="","",EOMONTH(A132,0))</f>
        <v/>
      </c>
      <c r="C132" s="24" t="n"/>
      <c r="D132" s="24" t="inlineStr">
        <is>
          <t>ASX</t>
        </is>
      </c>
      <c r="E132" s="24" t="inlineStr">
        <is>
          <t>26071701</t>
        </is>
      </c>
      <c r="F132" s="25">
        <f>IF(E132="","",IF(COUNTIF(lst_Jobs,E132&amp;"")&gt;0,"OK","CHECK"))</f>
        <v/>
      </c>
      <c r="G132" s="24" t="inlineStr">
        <is>
          <t>ASX Live 1.9.26</t>
        </is>
      </c>
      <c r="H132" s="24" t="inlineStr">
        <is>
          <t>Production</t>
        </is>
      </c>
      <c r="I132" s="24" t="inlineStr">
        <is>
          <t>VIDEO</t>
        </is>
      </c>
      <c r="J132" s="24" t="inlineStr">
        <is>
          <t>Project</t>
        </is>
      </c>
      <c r="K132" s="24" t="inlineStr">
        <is>
          <t>GST 10%</t>
        </is>
      </c>
      <c r="L132" s="26" t="n">
        <v>1508</v>
      </c>
      <c r="M132" s="27">
        <f>IF(L132="","",IF(K132="GST 10%",ROUND(L132*set_GSTRate,2),0))</f>
        <v/>
      </c>
      <c r="N132" s="27">
        <f>IF(L132="","",L132+M132)</f>
        <v/>
      </c>
      <c r="O132" s="24" t="inlineStr">
        <is>
          <t>42150</t>
        </is>
      </c>
      <c r="P132" s="24" t="inlineStr">
        <is>
          <t>Y</t>
        </is>
      </c>
      <c r="Q132" s="24" t="inlineStr">
        <is>
          <t>N</t>
        </is>
      </c>
      <c r="R132" s="22" t="n"/>
      <c r="S132" s="22" t="n"/>
      <c r="T132" s="24" t="inlineStr">
        <is>
          <t>To Invoice</t>
        </is>
      </c>
      <c r="U132" s="24" t="inlineStr">
        <is>
          <t>Video portion of this invoice</t>
        </is>
      </c>
      <c r="V132" s="25">
        <f>IF(COUNTA(A132,D132,C132,L132)=0,"",IF(A132="","No date - sits outside every month",IF(E132="","No job number",IF(F132="CHECK","Job number is not in the Xero job list",IF(I132="","No cost centre",IF(AND(P132="Y",C132=""),"Marked posted to Xero but has no invoice number",IF(AND(L132&lt;&gt;"",K132=""),"No tax code",IF(AND(L132&lt;&gt;"",O132=""),"No revenue GL code",""))))))))</f>
        <v/>
      </c>
      <c r="W132" s="25">
        <f>IF(E132="","",IFERROR(INDEX(lst_JobName,MATCH(E132&amp;"",lst_Jobs,0)),""))</f>
        <v/>
      </c>
      <c r="X132" s="28">
        <f>IF(E132="","",COUNTIFS(tbl_Finance[Job Number],E132&amp;"",tbl_Finance[Ex GST],"&lt;&gt;"))</f>
        <v/>
      </c>
      <c r="Y132" s="27">
        <f>IF(E132="","",SUMIFS(tbl_Finance[Ex GST],tbl_Finance[Job Number],E132&amp;""))</f>
        <v/>
      </c>
      <c r="Z132" s="27">
        <f>IF(E132="","",SUMIFS(tbl_Finance[Ex GST],tbl_Finance[Job Number],E132&amp;"",tbl_Finance[Xero Invoice No],"&lt;&gt;"))</f>
        <v/>
      </c>
      <c r="AA132" s="27">
        <f>IF(E132="","",Y132-Z132)</f>
        <v/>
      </c>
      <c r="AB132" s="25">
        <f>IF(E132="","",IF(H132="Onsite",IFERROR(INDEX(tbl_Onsite[Qwilr Quote],MATCH(E132&amp;"",tbl_Onsite[Job Number],0)),""),IF(H132="Production",IFERROR(INDEX(tbl_Production[Current RMS No],MATCH(E132&amp;"",tbl_Production[Job Number],0)),""),IF(H132="Consulting",IFERROR(INDEX(tbl_Consulting[Qwilr Quote],MATCH(E132&amp;"",tbl_Consulting[Job Number],0)),""),""))))</f>
        <v/>
      </c>
      <c r="AC132" s="25">
        <f>IF(AB132="","",IF(AND(LEFT(AB132,4)&lt;&gt;"http",IF(H132="Production",set_RMSBase,set_QwilrBase)=""),"",HYPERLINK(IF(LEFT(AB132,4)="http",AB132,IF(H132="Production",set_RMSBase,set_QwilrBase)&amp;AB132),"Open")))</f>
        <v/>
      </c>
      <c r="AD132" s="27">
        <f>IF(E132="","",IF(H132="Production",IFERROR(INDEX(tbl_Production[Total Expense],MATCH(E132&amp;"",tbl_Production[Job Number],0)),0),IF(H132="Consulting",IFERROR(INDEX(tbl_Consulting[Total Expense],MATCH(E132&amp;"",tbl_Consulting[Job Number],0)),0),0)))</f>
        <v/>
      </c>
      <c r="AE132" s="27">
        <f>IF(E132="","",Y132-N(AD132))</f>
        <v/>
      </c>
      <c r="AF132" s="29">
        <f>IFERROR(AE132/Y132,"")</f>
        <v/>
      </c>
      <c r="AG132" s="25">
        <f>IF(E132="","",IF(H132="Onsite",IFERROR(INDEX(tbl_Onsite[Notes],MATCH(E132&amp;"",tbl_Onsite[Job Number],0)),""),IF(H132="Production",IFERROR(INDEX(tbl_Production[Notes],MATCH(E132&amp;"",tbl_Production[Job Number],0)),""),IF(H132="Consulting",IFERROR(INDEX(tbl_Consulting[Notes],MATCH(E132&amp;"",tbl_Consulting[Job Number],0)),""),""))))</f>
        <v/>
      </c>
    </row>
    <row r="133" ht="15" customHeight="1">
      <c r="A133" s="22" t="n"/>
      <c r="B133" s="23">
        <f>IF(A133="","",EOMONTH(A133,0))</f>
        <v/>
      </c>
      <c r="C133" s="24" t="n"/>
      <c r="D133" s="24" t="inlineStr">
        <is>
          <t>SVHS</t>
        </is>
      </c>
      <c r="E133" s="24" t="inlineStr">
        <is>
          <t>2608404</t>
        </is>
      </c>
      <c r="F133" s="25">
        <f>IF(E133="","",IF(COUNTIF(lst_Jobs,E133&amp;"")&gt;0,"OK","CHECK"))</f>
        <v/>
      </c>
      <c r="G133" s="24" t="inlineStr">
        <is>
          <t>St Vincent's Hospital - Award Ceremony 2.9.26</t>
        </is>
      </c>
      <c r="H133" s="24" t="inlineStr">
        <is>
          <t>Production</t>
        </is>
      </c>
      <c r="I133" s="24" t="inlineStr">
        <is>
          <t>PRODUCTION</t>
        </is>
      </c>
      <c r="J133" s="24" t="inlineStr">
        <is>
          <t>Project</t>
        </is>
      </c>
      <c r="K133" s="24" t="inlineStr">
        <is>
          <t>GST 10%</t>
        </is>
      </c>
      <c r="L133" s="26" t="n">
        <v>495</v>
      </c>
      <c r="M133" s="27">
        <f>IF(L133="","",IF(K133="GST 10%",ROUND(L133*set_GSTRate,2),0))</f>
        <v/>
      </c>
      <c r="N133" s="27">
        <f>IF(L133="","",L133+M133)</f>
        <v/>
      </c>
      <c r="O133" s="24" t="inlineStr">
        <is>
          <t>42100</t>
        </is>
      </c>
      <c r="P133" s="24" t="inlineStr">
        <is>
          <t>Y</t>
        </is>
      </c>
      <c r="Q133" s="24" t="inlineStr">
        <is>
          <t>N</t>
        </is>
      </c>
      <c r="R133" s="22" t="n"/>
      <c r="S133" s="22" t="n"/>
      <c r="T133" s="24" t="inlineStr">
        <is>
          <t>To Invoice</t>
        </is>
      </c>
      <c r="U133" s="24" t="n"/>
      <c r="V133" s="25">
        <f>IF(COUNTA(A133,D133,C133,L133)=0,"",IF(A133="","No date - sits outside every month",IF(E133="","No job number",IF(F133="CHECK","Job number is not in the Xero job list",IF(I133="","No cost centre",IF(AND(P133="Y",C133=""),"Marked posted to Xero but has no invoice number",IF(AND(L133&lt;&gt;"",K133=""),"No tax code",IF(AND(L133&lt;&gt;"",O133=""),"No revenue GL code",""))))))))</f>
        <v/>
      </c>
      <c r="W133" s="25">
        <f>IF(E133="","",IFERROR(INDEX(lst_JobName,MATCH(E133&amp;"",lst_Jobs,0)),""))</f>
        <v/>
      </c>
      <c r="X133" s="28">
        <f>IF(E133="","",COUNTIFS(tbl_Finance[Job Number],E133&amp;"",tbl_Finance[Ex GST],"&lt;&gt;"))</f>
        <v/>
      </c>
      <c r="Y133" s="27">
        <f>IF(E133="","",SUMIFS(tbl_Finance[Ex GST],tbl_Finance[Job Number],E133&amp;""))</f>
        <v/>
      </c>
      <c r="Z133" s="27">
        <f>IF(E133="","",SUMIFS(tbl_Finance[Ex GST],tbl_Finance[Job Number],E133&amp;"",tbl_Finance[Xero Invoice No],"&lt;&gt;"))</f>
        <v/>
      </c>
      <c r="AA133" s="27">
        <f>IF(E133="","",Y133-Z133)</f>
        <v/>
      </c>
      <c r="AB133" s="25">
        <f>IF(E133="","",IF(H133="Onsite",IFERROR(INDEX(tbl_Onsite[Qwilr Quote],MATCH(E133&amp;"",tbl_Onsite[Job Number],0)),""),IF(H133="Production",IFERROR(INDEX(tbl_Production[Current RMS No],MATCH(E133&amp;"",tbl_Production[Job Number],0)),""),IF(H133="Consulting",IFERROR(INDEX(tbl_Consulting[Qwilr Quote],MATCH(E133&amp;"",tbl_Consulting[Job Number],0)),""),""))))</f>
        <v/>
      </c>
      <c r="AC133" s="25">
        <f>IF(AB133="","",IF(AND(LEFT(AB133,4)&lt;&gt;"http",IF(H133="Production",set_RMSBase,set_QwilrBase)=""),"",HYPERLINK(IF(LEFT(AB133,4)="http",AB133,IF(H133="Production",set_RMSBase,set_QwilrBase)&amp;AB133),"Open")))</f>
        <v/>
      </c>
      <c r="AD133" s="27">
        <f>IF(E133="","",IF(H133="Production",IFERROR(INDEX(tbl_Production[Total Expense],MATCH(E133&amp;"",tbl_Production[Job Number],0)),0),IF(H133="Consulting",IFERROR(INDEX(tbl_Consulting[Total Expense],MATCH(E133&amp;"",tbl_Consulting[Job Number],0)),0),0)))</f>
        <v/>
      </c>
      <c r="AE133" s="27">
        <f>IF(E133="","",Y133-N(AD133))</f>
        <v/>
      </c>
      <c r="AF133" s="29">
        <f>IFERROR(AE133/Y133,"")</f>
        <v/>
      </c>
      <c r="AG133" s="25">
        <f>IF(E133="","",IF(H133="Onsite",IFERROR(INDEX(tbl_Onsite[Notes],MATCH(E133&amp;"",tbl_Onsite[Job Number],0)),""),IF(H133="Production",IFERROR(INDEX(tbl_Production[Notes],MATCH(E133&amp;"",tbl_Production[Job Number],0)),""),IF(H133="Consulting",IFERROR(INDEX(tbl_Consulting[Notes],MATCH(E133&amp;"",tbl_Consulting[Job Number],0)),""),""))))</f>
        <v/>
      </c>
    </row>
    <row r="134" ht="15" customHeight="1">
      <c r="A134" s="22" t="n"/>
      <c r="B134" s="23">
        <f>IF(A134="","",EOMONTH(A134,0))</f>
        <v/>
      </c>
      <c r="C134" s="24" t="n"/>
      <c r="D134" s="24" t="inlineStr">
        <is>
          <t>Garvan</t>
        </is>
      </c>
      <c r="E134" s="24" t="inlineStr">
        <is>
          <t>26081904</t>
        </is>
      </c>
      <c r="F134" s="25">
        <f>IF(E134="","",IF(COUNTIF(lst_Jobs,E134&amp;"")&gt;0,"OK","CHECK"))</f>
        <v/>
      </c>
      <c r="G134" s="24" t="inlineStr">
        <is>
          <t>AllClear Program Meeting - 2.9.26</t>
        </is>
      </c>
      <c r="H134" s="24" t="inlineStr">
        <is>
          <t>Production</t>
        </is>
      </c>
      <c r="I134" s="24" t="inlineStr">
        <is>
          <t>PRODUCTION</t>
        </is>
      </c>
      <c r="J134" s="24" t="inlineStr">
        <is>
          <t>Project</t>
        </is>
      </c>
      <c r="K134" s="24" t="inlineStr">
        <is>
          <t>GST 10%</t>
        </is>
      </c>
      <c r="L134" s="26" t="n">
        <v>865</v>
      </c>
      <c r="M134" s="27">
        <f>IF(L134="","",IF(K134="GST 10%",ROUND(L134*set_GSTRate,2),0))</f>
        <v/>
      </c>
      <c r="N134" s="27">
        <f>IF(L134="","",L134+M134)</f>
        <v/>
      </c>
      <c r="O134" s="24" t="inlineStr">
        <is>
          <t>42100</t>
        </is>
      </c>
      <c r="P134" s="24" t="inlineStr">
        <is>
          <t>Y</t>
        </is>
      </c>
      <c r="Q134" s="24" t="inlineStr">
        <is>
          <t>N</t>
        </is>
      </c>
      <c r="R134" s="22" t="n"/>
      <c r="S134" s="22" t="n"/>
      <c r="T134" s="24" t="inlineStr">
        <is>
          <t>To Invoice</t>
        </is>
      </c>
      <c r="U134" s="24" t="n"/>
      <c r="V134" s="25">
        <f>IF(COUNTA(A134,D134,C134,L134)=0,"",IF(A134="","No date - sits outside every month",IF(E134="","No job number",IF(F134="CHECK","Job number is not in the Xero job list",IF(I134="","No cost centre",IF(AND(P134="Y",C134=""),"Marked posted to Xero but has no invoice number",IF(AND(L134&lt;&gt;"",K134=""),"No tax code",IF(AND(L134&lt;&gt;"",O134=""),"No revenue GL code",""))))))))</f>
        <v/>
      </c>
      <c r="W134" s="25">
        <f>IF(E134="","",IFERROR(INDEX(lst_JobName,MATCH(E134&amp;"",lst_Jobs,0)),""))</f>
        <v/>
      </c>
      <c r="X134" s="28">
        <f>IF(E134="","",COUNTIFS(tbl_Finance[Job Number],E134&amp;"",tbl_Finance[Ex GST],"&lt;&gt;"))</f>
        <v/>
      </c>
      <c r="Y134" s="27">
        <f>IF(E134="","",SUMIFS(tbl_Finance[Ex GST],tbl_Finance[Job Number],E134&amp;""))</f>
        <v/>
      </c>
      <c r="Z134" s="27">
        <f>IF(E134="","",SUMIFS(tbl_Finance[Ex GST],tbl_Finance[Job Number],E134&amp;"",tbl_Finance[Xero Invoice No],"&lt;&gt;"))</f>
        <v/>
      </c>
      <c r="AA134" s="27">
        <f>IF(E134="","",Y134-Z134)</f>
        <v/>
      </c>
      <c r="AB134" s="25">
        <f>IF(E134="","",IF(H134="Onsite",IFERROR(INDEX(tbl_Onsite[Qwilr Quote],MATCH(E134&amp;"",tbl_Onsite[Job Number],0)),""),IF(H134="Production",IFERROR(INDEX(tbl_Production[Current RMS No],MATCH(E134&amp;"",tbl_Production[Job Number],0)),""),IF(H134="Consulting",IFERROR(INDEX(tbl_Consulting[Qwilr Quote],MATCH(E134&amp;"",tbl_Consulting[Job Number],0)),""),""))))</f>
        <v/>
      </c>
      <c r="AC134" s="25">
        <f>IF(AB134="","",IF(AND(LEFT(AB134,4)&lt;&gt;"http",IF(H134="Production",set_RMSBase,set_QwilrBase)=""),"",HYPERLINK(IF(LEFT(AB134,4)="http",AB134,IF(H134="Production",set_RMSBase,set_QwilrBase)&amp;AB134),"Open")))</f>
        <v/>
      </c>
      <c r="AD134" s="27">
        <f>IF(E134="","",IF(H134="Production",IFERROR(INDEX(tbl_Production[Total Expense],MATCH(E134&amp;"",tbl_Production[Job Number],0)),0),IF(H134="Consulting",IFERROR(INDEX(tbl_Consulting[Total Expense],MATCH(E134&amp;"",tbl_Consulting[Job Number],0)),0),0)))</f>
        <v/>
      </c>
      <c r="AE134" s="27">
        <f>IF(E134="","",Y134-N(AD134))</f>
        <v/>
      </c>
      <c r="AF134" s="29">
        <f>IFERROR(AE134/Y134,"")</f>
        <v/>
      </c>
      <c r="AG134" s="25">
        <f>IF(E134="","",IF(H134="Onsite",IFERROR(INDEX(tbl_Onsite[Notes],MATCH(E134&amp;"",tbl_Onsite[Job Number],0)),""),IF(H134="Production",IFERROR(INDEX(tbl_Production[Notes],MATCH(E134&amp;"",tbl_Production[Job Number],0)),""),IF(H134="Consulting",IFERROR(INDEX(tbl_Consulting[Notes],MATCH(E134&amp;"",tbl_Consulting[Job Number],0)),""),""))))</f>
        <v/>
      </c>
    </row>
    <row r="135" ht="15" customHeight="1">
      <c r="A135" s="22" t="n"/>
      <c r="B135" s="23">
        <f>IF(A135="","",EOMONTH(A135,0))</f>
        <v/>
      </c>
      <c r="C135" s="24" t="n"/>
      <c r="D135" s="24" t="inlineStr">
        <is>
          <t>RSNSW</t>
        </is>
      </c>
      <c r="E135" s="24" t="inlineStr">
        <is>
          <t>26032302</t>
        </is>
      </c>
      <c r="F135" s="25">
        <f>IF(E135="","",IF(COUNTIF(lst_Jobs,E135&amp;"")&gt;0,"OK","CHECK"))</f>
        <v/>
      </c>
      <c r="G135" s="24" t="inlineStr">
        <is>
          <t>Ordinary General Meeting 2.9.26</t>
        </is>
      </c>
      <c r="H135" s="24" t="inlineStr">
        <is>
          <t>Production</t>
        </is>
      </c>
      <c r="I135" s="24" t="inlineStr">
        <is>
          <t>PRODUCTION</t>
        </is>
      </c>
      <c r="J135" s="24" t="inlineStr">
        <is>
          <t>Project</t>
        </is>
      </c>
      <c r="K135" s="24" t="inlineStr">
        <is>
          <t>GST 10%</t>
        </is>
      </c>
      <c r="L135" s="26" t="n">
        <v>2232</v>
      </c>
      <c r="M135" s="27">
        <f>IF(L135="","",IF(K135="GST 10%",ROUND(L135*set_GSTRate,2),0))</f>
        <v/>
      </c>
      <c r="N135" s="27">
        <f>IF(L135="","",L135+M135)</f>
        <v/>
      </c>
      <c r="O135" s="24" t="inlineStr">
        <is>
          <t>42100</t>
        </is>
      </c>
      <c r="P135" s="24" t="inlineStr">
        <is>
          <t>Y</t>
        </is>
      </c>
      <c r="Q135" s="24" t="inlineStr">
        <is>
          <t>N</t>
        </is>
      </c>
      <c r="R135" s="22" t="n"/>
      <c r="S135" s="22" t="n"/>
      <c r="T135" s="24" t="inlineStr">
        <is>
          <t>To Invoice</t>
        </is>
      </c>
      <c r="U135" s="24" t="inlineStr">
        <is>
          <t>Production portion of this invoice</t>
        </is>
      </c>
      <c r="V135" s="25">
        <f>IF(COUNTA(A135,D135,C135,L135)=0,"",IF(A135="","No date - sits outside every month",IF(E135="","No job number",IF(F135="CHECK","Job number is not in the Xero job list",IF(I135="","No cost centre",IF(AND(P135="Y",C135=""),"Marked posted to Xero but has no invoice number",IF(AND(L135&lt;&gt;"",K135=""),"No tax code",IF(AND(L135&lt;&gt;"",O135=""),"No revenue GL code",""))))))))</f>
        <v/>
      </c>
      <c r="W135" s="25">
        <f>IF(E135="","",IFERROR(INDEX(lst_JobName,MATCH(E135&amp;"",lst_Jobs,0)),""))</f>
        <v/>
      </c>
      <c r="X135" s="28">
        <f>IF(E135="","",COUNTIFS(tbl_Finance[Job Number],E135&amp;"",tbl_Finance[Ex GST],"&lt;&gt;"))</f>
        <v/>
      </c>
      <c r="Y135" s="27">
        <f>IF(E135="","",SUMIFS(tbl_Finance[Ex GST],tbl_Finance[Job Number],E135&amp;""))</f>
        <v/>
      </c>
      <c r="Z135" s="27">
        <f>IF(E135="","",SUMIFS(tbl_Finance[Ex GST],tbl_Finance[Job Number],E135&amp;"",tbl_Finance[Xero Invoice No],"&lt;&gt;"))</f>
        <v/>
      </c>
      <c r="AA135" s="27">
        <f>IF(E135="","",Y135-Z135)</f>
        <v/>
      </c>
      <c r="AB135" s="25">
        <f>IF(E135="","",IF(H135="Onsite",IFERROR(INDEX(tbl_Onsite[Qwilr Quote],MATCH(E135&amp;"",tbl_Onsite[Job Number],0)),""),IF(H135="Production",IFERROR(INDEX(tbl_Production[Current RMS No],MATCH(E135&amp;"",tbl_Production[Job Number],0)),""),IF(H135="Consulting",IFERROR(INDEX(tbl_Consulting[Qwilr Quote],MATCH(E135&amp;"",tbl_Consulting[Job Number],0)),""),""))))</f>
        <v/>
      </c>
      <c r="AC135" s="25">
        <f>IF(AB135="","",IF(AND(LEFT(AB135,4)&lt;&gt;"http",IF(H135="Production",set_RMSBase,set_QwilrBase)=""),"",HYPERLINK(IF(LEFT(AB135,4)="http",AB135,IF(H135="Production",set_RMSBase,set_QwilrBase)&amp;AB135),"Open")))</f>
        <v/>
      </c>
      <c r="AD135" s="27">
        <f>IF(E135="","",IF(H135="Production",IFERROR(INDEX(tbl_Production[Total Expense],MATCH(E135&amp;"",tbl_Production[Job Number],0)),0),IF(H135="Consulting",IFERROR(INDEX(tbl_Consulting[Total Expense],MATCH(E135&amp;"",tbl_Consulting[Job Number],0)),0),0)))</f>
        <v/>
      </c>
      <c r="AE135" s="27">
        <f>IF(E135="","",Y135-N(AD135))</f>
        <v/>
      </c>
      <c r="AF135" s="29">
        <f>IFERROR(AE135/Y135,"")</f>
        <v/>
      </c>
      <c r="AG135" s="25">
        <f>IF(E135="","",IF(H135="Onsite",IFERROR(INDEX(tbl_Onsite[Notes],MATCH(E135&amp;"",tbl_Onsite[Job Number],0)),""),IF(H135="Production",IFERROR(INDEX(tbl_Production[Notes],MATCH(E135&amp;"",tbl_Production[Job Number],0)),""),IF(H135="Consulting",IFERROR(INDEX(tbl_Consulting[Notes],MATCH(E135&amp;"",tbl_Consulting[Job Number],0)),""),""))))</f>
        <v/>
      </c>
    </row>
    <row r="136" ht="15" customHeight="1">
      <c r="A136" s="22" t="n"/>
      <c r="B136" s="23">
        <f>IF(A136="","",EOMONTH(A136,0))</f>
        <v/>
      </c>
      <c r="C136" s="24" t="n"/>
      <c r="D136" s="24" t="inlineStr">
        <is>
          <t>RSNSW</t>
        </is>
      </c>
      <c r="E136" s="24" t="inlineStr">
        <is>
          <t>26032302</t>
        </is>
      </c>
      <c r="F136" s="25">
        <f>IF(E136="","",IF(COUNTIF(lst_Jobs,E136&amp;"")&gt;0,"OK","CHECK"))</f>
        <v/>
      </c>
      <c r="G136" s="24" t="inlineStr">
        <is>
          <t>Ordinary General Meeting 2.9.26</t>
        </is>
      </c>
      <c r="H136" s="24" t="inlineStr">
        <is>
          <t>Production</t>
        </is>
      </c>
      <c r="I136" s="24" t="inlineStr">
        <is>
          <t>VIDEO</t>
        </is>
      </c>
      <c r="J136" s="24" t="inlineStr">
        <is>
          <t>Project</t>
        </is>
      </c>
      <c r="K136" s="24" t="inlineStr">
        <is>
          <t>GST 10%</t>
        </is>
      </c>
      <c r="L136" s="26" t="n">
        <v>1029</v>
      </c>
      <c r="M136" s="27">
        <f>IF(L136="","",IF(K136="GST 10%",ROUND(L136*set_GSTRate,2),0))</f>
        <v/>
      </c>
      <c r="N136" s="27">
        <f>IF(L136="","",L136+M136)</f>
        <v/>
      </c>
      <c r="O136" s="24" t="inlineStr">
        <is>
          <t>42150</t>
        </is>
      </c>
      <c r="P136" s="24" t="inlineStr">
        <is>
          <t>Y</t>
        </is>
      </c>
      <c r="Q136" s="24" t="inlineStr">
        <is>
          <t>N</t>
        </is>
      </c>
      <c r="R136" s="22" t="n"/>
      <c r="S136" s="22" t="n"/>
      <c r="T136" s="24" t="inlineStr">
        <is>
          <t>To Invoice</t>
        </is>
      </c>
      <c r="U136" s="24" t="inlineStr">
        <is>
          <t>Video portion of this invoice</t>
        </is>
      </c>
      <c r="V136" s="25">
        <f>IF(COUNTA(A136,D136,C136,L136)=0,"",IF(A136="","No date - sits outside every month",IF(E136="","No job number",IF(F136="CHECK","Job number is not in the Xero job list",IF(I136="","No cost centre",IF(AND(P136="Y",C136=""),"Marked posted to Xero but has no invoice number",IF(AND(L136&lt;&gt;"",K136=""),"No tax code",IF(AND(L136&lt;&gt;"",O136=""),"No revenue GL code",""))))))))</f>
        <v/>
      </c>
      <c r="W136" s="25">
        <f>IF(E136="","",IFERROR(INDEX(lst_JobName,MATCH(E136&amp;"",lst_Jobs,0)),""))</f>
        <v/>
      </c>
      <c r="X136" s="28">
        <f>IF(E136="","",COUNTIFS(tbl_Finance[Job Number],E136&amp;"",tbl_Finance[Ex GST],"&lt;&gt;"))</f>
        <v/>
      </c>
      <c r="Y136" s="27">
        <f>IF(E136="","",SUMIFS(tbl_Finance[Ex GST],tbl_Finance[Job Number],E136&amp;""))</f>
        <v/>
      </c>
      <c r="Z136" s="27">
        <f>IF(E136="","",SUMIFS(tbl_Finance[Ex GST],tbl_Finance[Job Number],E136&amp;"",tbl_Finance[Xero Invoice No],"&lt;&gt;"))</f>
        <v/>
      </c>
      <c r="AA136" s="27">
        <f>IF(E136="","",Y136-Z136)</f>
        <v/>
      </c>
      <c r="AB136" s="25">
        <f>IF(E136="","",IF(H136="Onsite",IFERROR(INDEX(tbl_Onsite[Qwilr Quote],MATCH(E136&amp;"",tbl_Onsite[Job Number],0)),""),IF(H136="Production",IFERROR(INDEX(tbl_Production[Current RMS No],MATCH(E136&amp;"",tbl_Production[Job Number],0)),""),IF(H136="Consulting",IFERROR(INDEX(tbl_Consulting[Qwilr Quote],MATCH(E136&amp;"",tbl_Consulting[Job Number],0)),""),""))))</f>
        <v/>
      </c>
      <c r="AC136" s="25">
        <f>IF(AB136="","",IF(AND(LEFT(AB136,4)&lt;&gt;"http",IF(H136="Production",set_RMSBase,set_QwilrBase)=""),"",HYPERLINK(IF(LEFT(AB136,4)="http",AB136,IF(H136="Production",set_RMSBase,set_QwilrBase)&amp;AB136),"Open")))</f>
        <v/>
      </c>
      <c r="AD136" s="27">
        <f>IF(E136="","",IF(H136="Production",IFERROR(INDEX(tbl_Production[Total Expense],MATCH(E136&amp;"",tbl_Production[Job Number],0)),0),IF(H136="Consulting",IFERROR(INDEX(tbl_Consulting[Total Expense],MATCH(E136&amp;"",tbl_Consulting[Job Number],0)),0),0)))</f>
        <v/>
      </c>
      <c r="AE136" s="27">
        <f>IF(E136="","",Y136-N(AD136))</f>
        <v/>
      </c>
      <c r="AF136" s="29">
        <f>IFERROR(AE136/Y136,"")</f>
        <v/>
      </c>
      <c r="AG136" s="25">
        <f>IF(E136="","",IF(H136="Onsite",IFERROR(INDEX(tbl_Onsite[Notes],MATCH(E136&amp;"",tbl_Onsite[Job Number],0)),""),IF(H136="Production",IFERROR(INDEX(tbl_Production[Notes],MATCH(E136&amp;"",tbl_Production[Job Number],0)),""),IF(H136="Consulting",IFERROR(INDEX(tbl_Consulting[Notes],MATCH(E136&amp;"",tbl_Consulting[Job Number],0)),""),""))))</f>
        <v/>
      </c>
    </row>
    <row r="137" ht="15" customHeight="1">
      <c r="A137" s="22" t="n"/>
      <c r="B137" s="23">
        <f>IF(A137="","",EOMONTH(A137,0))</f>
        <v/>
      </c>
      <c r="C137" s="24" t="n"/>
      <c r="D137" s="24" t="inlineStr">
        <is>
          <t>Ventia</t>
        </is>
      </c>
      <c r="E137" s="24" t="inlineStr">
        <is>
          <t>26072102</t>
        </is>
      </c>
      <c r="F137" s="25">
        <f>IF(E137="","",IF(COUNTIF(lst_Jobs,E137&amp;"")&gt;0,"OK","CHECK"))</f>
        <v/>
      </c>
      <c r="G137" s="24" t="inlineStr">
        <is>
          <t>RUOK? Day 10.9.26</t>
        </is>
      </c>
      <c r="H137" s="24" t="inlineStr">
        <is>
          <t>Production</t>
        </is>
      </c>
      <c r="I137" s="24" t="inlineStr">
        <is>
          <t>PRODUCTION</t>
        </is>
      </c>
      <c r="J137" s="24" t="inlineStr">
        <is>
          <t>Project</t>
        </is>
      </c>
      <c r="K137" s="24" t="inlineStr">
        <is>
          <t>GST 10%</t>
        </is>
      </c>
      <c r="L137" s="26" t="n">
        <v>8437.790000000001</v>
      </c>
      <c r="M137" s="27">
        <f>IF(L137="","",IF(K137="GST 10%",ROUND(L137*set_GSTRate,2),0))</f>
        <v/>
      </c>
      <c r="N137" s="27">
        <f>IF(L137="","",L137+M137)</f>
        <v/>
      </c>
      <c r="O137" s="24" t="inlineStr">
        <is>
          <t>42100</t>
        </is>
      </c>
      <c r="P137" s="24" t="inlineStr">
        <is>
          <t>Y</t>
        </is>
      </c>
      <c r="Q137" s="24" t="inlineStr">
        <is>
          <t>N</t>
        </is>
      </c>
      <c r="R137" s="22" t="n"/>
      <c r="S137" s="22" t="n"/>
      <c r="T137" s="24" t="inlineStr">
        <is>
          <t>To Invoice</t>
        </is>
      </c>
      <c r="U137" s="24" t="inlineStr">
        <is>
          <t>Production portion of this invoice</t>
        </is>
      </c>
      <c r="V137" s="25">
        <f>IF(COUNTA(A137,D137,C137,L137)=0,"",IF(A137="","No date - sits outside every month",IF(E137="","No job number",IF(F137="CHECK","Job number is not in the Xero job list",IF(I137="","No cost centre",IF(AND(P137="Y",C137=""),"Marked posted to Xero but has no invoice number",IF(AND(L137&lt;&gt;"",K137=""),"No tax code",IF(AND(L137&lt;&gt;"",O137=""),"No revenue GL code",""))))))))</f>
        <v/>
      </c>
      <c r="W137" s="25">
        <f>IF(E137="","",IFERROR(INDEX(lst_JobName,MATCH(E137&amp;"",lst_Jobs,0)),""))</f>
        <v/>
      </c>
      <c r="X137" s="28">
        <f>IF(E137="","",COUNTIFS(tbl_Finance[Job Number],E137&amp;"",tbl_Finance[Ex GST],"&lt;&gt;"))</f>
        <v/>
      </c>
      <c r="Y137" s="27">
        <f>IF(E137="","",SUMIFS(tbl_Finance[Ex GST],tbl_Finance[Job Number],E137&amp;""))</f>
        <v/>
      </c>
      <c r="Z137" s="27">
        <f>IF(E137="","",SUMIFS(tbl_Finance[Ex GST],tbl_Finance[Job Number],E137&amp;"",tbl_Finance[Xero Invoice No],"&lt;&gt;"))</f>
        <v/>
      </c>
      <c r="AA137" s="27">
        <f>IF(E137="","",Y137-Z137)</f>
        <v/>
      </c>
      <c r="AB137" s="25">
        <f>IF(E137="","",IF(H137="Onsite",IFERROR(INDEX(tbl_Onsite[Qwilr Quote],MATCH(E137&amp;"",tbl_Onsite[Job Number],0)),""),IF(H137="Production",IFERROR(INDEX(tbl_Production[Current RMS No],MATCH(E137&amp;"",tbl_Production[Job Number],0)),""),IF(H137="Consulting",IFERROR(INDEX(tbl_Consulting[Qwilr Quote],MATCH(E137&amp;"",tbl_Consulting[Job Number],0)),""),""))))</f>
        <v/>
      </c>
      <c r="AC137" s="25">
        <f>IF(AB137="","",IF(AND(LEFT(AB137,4)&lt;&gt;"http",IF(H137="Production",set_RMSBase,set_QwilrBase)=""),"",HYPERLINK(IF(LEFT(AB137,4)="http",AB137,IF(H137="Production",set_RMSBase,set_QwilrBase)&amp;AB137),"Open")))</f>
        <v/>
      </c>
      <c r="AD137" s="27">
        <f>IF(E137="","",IF(H137="Production",IFERROR(INDEX(tbl_Production[Total Expense],MATCH(E137&amp;"",tbl_Production[Job Number],0)),0),IF(H137="Consulting",IFERROR(INDEX(tbl_Consulting[Total Expense],MATCH(E137&amp;"",tbl_Consulting[Job Number],0)),0),0)))</f>
        <v/>
      </c>
      <c r="AE137" s="27">
        <f>IF(E137="","",Y137-N(AD137))</f>
        <v/>
      </c>
      <c r="AF137" s="29">
        <f>IFERROR(AE137/Y137,"")</f>
        <v/>
      </c>
      <c r="AG137" s="25">
        <f>IF(E137="","",IF(H137="Onsite",IFERROR(INDEX(tbl_Onsite[Notes],MATCH(E137&amp;"",tbl_Onsite[Job Number],0)),""),IF(H137="Production",IFERROR(INDEX(tbl_Production[Notes],MATCH(E137&amp;"",tbl_Production[Job Number],0)),""),IF(H137="Consulting",IFERROR(INDEX(tbl_Consulting[Notes],MATCH(E137&amp;"",tbl_Consulting[Job Number],0)),""),""))))</f>
        <v/>
      </c>
    </row>
    <row r="138" ht="15" customHeight="1">
      <c r="A138" s="22" t="n"/>
      <c r="B138" s="23">
        <f>IF(A138="","",EOMONTH(A138,0))</f>
        <v/>
      </c>
      <c r="C138" s="24" t="n"/>
      <c r="D138" s="24" t="inlineStr">
        <is>
          <t>Ventia</t>
        </is>
      </c>
      <c r="E138" s="24" t="inlineStr">
        <is>
          <t>26072102</t>
        </is>
      </c>
      <c r="F138" s="25">
        <f>IF(E138="","",IF(COUNTIF(lst_Jobs,E138&amp;"")&gt;0,"OK","CHECK"))</f>
        <v/>
      </c>
      <c r="G138" s="24" t="inlineStr">
        <is>
          <t>RUOK? Day 10.9.26</t>
        </is>
      </c>
      <c r="H138" s="24" t="inlineStr">
        <is>
          <t>Production</t>
        </is>
      </c>
      <c r="I138" s="24" t="inlineStr">
        <is>
          <t>VIDEO</t>
        </is>
      </c>
      <c r="J138" s="24" t="inlineStr">
        <is>
          <t>Project</t>
        </is>
      </c>
      <c r="K138" s="24" t="inlineStr">
        <is>
          <t>GST 10%</t>
        </is>
      </c>
      <c r="L138" s="26" t="n">
        <v>1578.1</v>
      </c>
      <c r="M138" s="27">
        <f>IF(L138="","",IF(K138="GST 10%",ROUND(L138*set_GSTRate,2),0))</f>
        <v/>
      </c>
      <c r="N138" s="27">
        <f>IF(L138="","",L138+M138)</f>
        <v/>
      </c>
      <c r="O138" s="24" t="inlineStr">
        <is>
          <t>42150</t>
        </is>
      </c>
      <c r="P138" s="24" t="inlineStr">
        <is>
          <t>Y</t>
        </is>
      </c>
      <c r="Q138" s="24" t="inlineStr">
        <is>
          <t>N</t>
        </is>
      </c>
      <c r="R138" s="22" t="n"/>
      <c r="S138" s="22" t="n"/>
      <c r="T138" s="24" t="inlineStr">
        <is>
          <t>To Invoice</t>
        </is>
      </c>
      <c r="U138" s="24" t="inlineStr">
        <is>
          <t>Video portion of this invoice</t>
        </is>
      </c>
      <c r="V138" s="25">
        <f>IF(COUNTA(A138,D138,C138,L138)=0,"",IF(A138="","No date - sits outside every month",IF(E138="","No job number",IF(F138="CHECK","Job number is not in the Xero job list",IF(I138="","No cost centre",IF(AND(P138="Y",C138=""),"Marked posted to Xero but has no invoice number",IF(AND(L138&lt;&gt;"",K138=""),"No tax code",IF(AND(L138&lt;&gt;"",O138=""),"No revenue GL code",""))))))))</f>
        <v/>
      </c>
      <c r="W138" s="25">
        <f>IF(E138="","",IFERROR(INDEX(lst_JobName,MATCH(E138&amp;"",lst_Jobs,0)),""))</f>
        <v/>
      </c>
      <c r="X138" s="28">
        <f>IF(E138="","",COUNTIFS(tbl_Finance[Job Number],E138&amp;"",tbl_Finance[Ex GST],"&lt;&gt;"))</f>
        <v/>
      </c>
      <c r="Y138" s="27">
        <f>IF(E138="","",SUMIFS(tbl_Finance[Ex GST],tbl_Finance[Job Number],E138&amp;""))</f>
        <v/>
      </c>
      <c r="Z138" s="27">
        <f>IF(E138="","",SUMIFS(tbl_Finance[Ex GST],tbl_Finance[Job Number],E138&amp;"",tbl_Finance[Xero Invoice No],"&lt;&gt;"))</f>
        <v/>
      </c>
      <c r="AA138" s="27">
        <f>IF(E138="","",Y138-Z138)</f>
        <v/>
      </c>
      <c r="AB138" s="25">
        <f>IF(E138="","",IF(H138="Onsite",IFERROR(INDEX(tbl_Onsite[Qwilr Quote],MATCH(E138&amp;"",tbl_Onsite[Job Number],0)),""),IF(H138="Production",IFERROR(INDEX(tbl_Production[Current RMS No],MATCH(E138&amp;"",tbl_Production[Job Number],0)),""),IF(H138="Consulting",IFERROR(INDEX(tbl_Consulting[Qwilr Quote],MATCH(E138&amp;"",tbl_Consulting[Job Number],0)),""),""))))</f>
        <v/>
      </c>
      <c r="AC138" s="25">
        <f>IF(AB138="","",IF(AND(LEFT(AB138,4)&lt;&gt;"http",IF(H138="Production",set_RMSBase,set_QwilrBase)=""),"",HYPERLINK(IF(LEFT(AB138,4)="http",AB138,IF(H138="Production",set_RMSBase,set_QwilrBase)&amp;AB138),"Open")))</f>
        <v/>
      </c>
      <c r="AD138" s="27">
        <f>IF(E138="","",IF(H138="Production",IFERROR(INDEX(tbl_Production[Total Expense],MATCH(E138&amp;"",tbl_Production[Job Number],0)),0),IF(H138="Consulting",IFERROR(INDEX(tbl_Consulting[Total Expense],MATCH(E138&amp;"",tbl_Consulting[Job Number],0)),0),0)))</f>
        <v/>
      </c>
      <c r="AE138" s="27">
        <f>IF(E138="","",Y138-N(AD138))</f>
        <v/>
      </c>
      <c r="AF138" s="29">
        <f>IFERROR(AE138/Y138,"")</f>
        <v/>
      </c>
      <c r="AG138" s="25">
        <f>IF(E138="","",IF(H138="Onsite",IFERROR(INDEX(tbl_Onsite[Notes],MATCH(E138&amp;"",tbl_Onsite[Job Number],0)),""),IF(H138="Production",IFERROR(INDEX(tbl_Production[Notes],MATCH(E138&amp;"",tbl_Production[Job Number],0)),""),IF(H138="Consulting",IFERROR(INDEX(tbl_Consulting[Notes],MATCH(E138&amp;"",tbl_Consulting[Job Number],0)),""),""))))</f>
        <v/>
      </c>
    </row>
    <row r="139" ht="15" customHeight="1">
      <c r="A139" s="22" t="n"/>
      <c r="B139" s="23">
        <f>IF(A139="","",EOMONTH(A139,0))</f>
        <v/>
      </c>
      <c r="C139" s="24" t="n"/>
      <c r="D139" s="24" t="inlineStr">
        <is>
          <t>APA</t>
        </is>
      </c>
      <c r="E139" s="24" t="inlineStr">
        <is>
          <t>26082703</t>
        </is>
      </c>
      <c r="F139" s="25">
        <f>IF(E139="","",IF(COUNTIF(lst_Jobs,E139&amp;"")&gt;0,"OK","CHECK"))</f>
        <v/>
      </c>
      <c r="G139" s="24" t="inlineStr">
        <is>
          <t>RUOK? Day 10.9.26</t>
        </is>
      </c>
      <c r="H139" s="24" t="inlineStr">
        <is>
          <t>Production</t>
        </is>
      </c>
      <c r="I139" s="24" t="inlineStr">
        <is>
          <t>PRODUCTION</t>
        </is>
      </c>
      <c r="J139" s="24" t="inlineStr">
        <is>
          <t>Project</t>
        </is>
      </c>
      <c r="K139" s="24" t="inlineStr">
        <is>
          <t>GST 10%</t>
        </is>
      </c>
      <c r="L139" s="26" t="n">
        <v>570</v>
      </c>
      <c r="M139" s="27">
        <f>IF(L139="","",IF(K139="GST 10%",ROUND(L139*set_GSTRate,2),0))</f>
        <v/>
      </c>
      <c r="N139" s="27">
        <f>IF(L139="","",L139+M139)</f>
        <v/>
      </c>
      <c r="O139" s="24" t="inlineStr">
        <is>
          <t>42100</t>
        </is>
      </c>
      <c r="P139" s="24" t="inlineStr">
        <is>
          <t>Y</t>
        </is>
      </c>
      <c r="Q139" s="24" t="inlineStr">
        <is>
          <t>N</t>
        </is>
      </c>
      <c r="R139" s="22" t="n"/>
      <c r="S139" s="22" t="n"/>
      <c r="T139" s="24" t="inlineStr">
        <is>
          <t>To Invoice</t>
        </is>
      </c>
      <c r="U139" s="24" t="n"/>
      <c r="V139" s="25">
        <f>IF(COUNTA(A139,D139,C139,L139)=0,"",IF(A139="","No date - sits outside every month",IF(E139="","No job number",IF(F139="CHECK","Job number is not in the Xero job list",IF(I139="","No cost centre",IF(AND(P139="Y",C139=""),"Marked posted to Xero but has no invoice number",IF(AND(L139&lt;&gt;"",K139=""),"No tax code",IF(AND(L139&lt;&gt;"",O139=""),"No revenue GL code",""))))))))</f>
        <v/>
      </c>
      <c r="W139" s="25">
        <f>IF(E139="","",IFERROR(INDEX(lst_JobName,MATCH(E139&amp;"",lst_Jobs,0)),""))</f>
        <v/>
      </c>
      <c r="X139" s="28">
        <f>IF(E139="","",COUNTIFS(tbl_Finance[Job Number],E139&amp;"",tbl_Finance[Ex GST],"&lt;&gt;"))</f>
        <v/>
      </c>
      <c r="Y139" s="27">
        <f>IF(E139="","",SUMIFS(tbl_Finance[Ex GST],tbl_Finance[Job Number],E139&amp;""))</f>
        <v/>
      </c>
      <c r="Z139" s="27">
        <f>IF(E139="","",SUMIFS(tbl_Finance[Ex GST],tbl_Finance[Job Number],E139&amp;"",tbl_Finance[Xero Invoice No],"&lt;&gt;"))</f>
        <v/>
      </c>
      <c r="AA139" s="27">
        <f>IF(E139="","",Y139-Z139)</f>
        <v/>
      </c>
      <c r="AB139" s="25">
        <f>IF(E139="","",IF(H139="Onsite",IFERROR(INDEX(tbl_Onsite[Qwilr Quote],MATCH(E139&amp;"",tbl_Onsite[Job Number],0)),""),IF(H139="Production",IFERROR(INDEX(tbl_Production[Current RMS No],MATCH(E139&amp;"",tbl_Production[Job Number],0)),""),IF(H139="Consulting",IFERROR(INDEX(tbl_Consulting[Qwilr Quote],MATCH(E139&amp;"",tbl_Consulting[Job Number],0)),""),""))))</f>
        <v/>
      </c>
      <c r="AC139" s="25">
        <f>IF(AB139="","",IF(AND(LEFT(AB139,4)&lt;&gt;"http",IF(H139="Production",set_RMSBase,set_QwilrBase)=""),"",HYPERLINK(IF(LEFT(AB139,4)="http",AB139,IF(H139="Production",set_RMSBase,set_QwilrBase)&amp;AB139),"Open")))</f>
        <v/>
      </c>
      <c r="AD139" s="27">
        <f>IF(E139="","",IF(H139="Production",IFERROR(INDEX(tbl_Production[Total Expense],MATCH(E139&amp;"",tbl_Production[Job Number],0)),0),IF(H139="Consulting",IFERROR(INDEX(tbl_Consulting[Total Expense],MATCH(E139&amp;"",tbl_Consulting[Job Number],0)),0),0)))</f>
        <v/>
      </c>
      <c r="AE139" s="27">
        <f>IF(E139="","",Y139-N(AD139))</f>
        <v/>
      </c>
      <c r="AF139" s="29">
        <f>IFERROR(AE139/Y139,"")</f>
        <v/>
      </c>
      <c r="AG139" s="25">
        <f>IF(E139="","",IF(H139="Onsite",IFERROR(INDEX(tbl_Onsite[Notes],MATCH(E139&amp;"",tbl_Onsite[Job Number],0)),""),IF(H139="Production",IFERROR(INDEX(tbl_Production[Notes],MATCH(E139&amp;"",tbl_Production[Job Number],0)),""),IF(H139="Consulting",IFERROR(INDEX(tbl_Consulting[Notes],MATCH(E139&amp;"",tbl_Consulting[Job Number],0)),""),""))))</f>
        <v/>
      </c>
    </row>
    <row r="140" ht="15" customHeight="1">
      <c r="A140" s="22" t="n"/>
      <c r="B140" s="23">
        <f>IF(A140="","",EOMONTH(A140,0))</f>
        <v/>
      </c>
      <c r="C140" s="24" t="n"/>
      <c r="D140" s="24" t="inlineStr">
        <is>
          <t>Ventia</t>
        </is>
      </c>
      <c r="E140" s="24" t="inlineStr">
        <is>
          <t>2608701</t>
        </is>
      </c>
      <c r="F140" s="25">
        <f>IF(E140="","",IF(COUNTIF(lst_Jobs,E140&amp;"")&gt;0,"OK","CHECK"))</f>
        <v/>
      </c>
      <c r="G140" s="24" t="inlineStr">
        <is>
          <t>Elkiem Studio Support 10.9.26</t>
        </is>
      </c>
      <c r="H140" s="24" t="inlineStr">
        <is>
          <t>Production</t>
        </is>
      </c>
      <c r="I140" s="24" t="inlineStr">
        <is>
          <t>PRODUCTION</t>
        </is>
      </c>
      <c r="J140" s="24" t="inlineStr">
        <is>
          <t>Project</t>
        </is>
      </c>
      <c r="K140" s="24" t="inlineStr">
        <is>
          <t>GST 10%</t>
        </is>
      </c>
      <c r="L140" s="26" t="n">
        <v>380</v>
      </c>
      <c r="M140" s="27">
        <f>IF(L140="","",IF(K140="GST 10%",ROUND(L140*set_GSTRate,2),0))</f>
        <v/>
      </c>
      <c r="N140" s="27">
        <f>IF(L140="","",L140+M140)</f>
        <v/>
      </c>
      <c r="O140" s="24" t="inlineStr">
        <is>
          <t>42100</t>
        </is>
      </c>
      <c r="P140" s="24" t="inlineStr">
        <is>
          <t>Y</t>
        </is>
      </c>
      <c r="Q140" s="24" t="inlineStr">
        <is>
          <t>N</t>
        </is>
      </c>
      <c r="R140" s="22" t="n"/>
      <c r="S140" s="22" t="n"/>
      <c r="T140" s="24" t="inlineStr">
        <is>
          <t>To Invoice</t>
        </is>
      </c>
      <c r="U140" s="24" t="n"/>
      <c r="V140" s="25">
        <f>IF(COUNTA(A140,D140,C140,L140)=0,"",IF(A140="","No date - sits outside every month",IF(E140="","No job number",IF(F140="CHECK","Job number is not in the Xero job list",IF(I140="","No cost centre",IF(AND(P140="Y",C140=""),"Marked posted to Xero but has no invoice number",IF(AND(L140&lt;&gt;"",K140=""),"No tax code",IF(AND(L140&lt;&gt;"",O140=""),"No revenue GL code",""))))))))</f>
        <v/>
      </c>
      <c r="W140" s="25">
        <f>IF(E140="","",IFERROR(INDEX(lst_JobName,MATCH(E140&amp;"",lst_Jobs,0)),""))</f>
        <v/>
      </c>
      <c r="X140" s="28">
        <f>IF(E140="","",COUNTIFS(tbl_Finance[Job Number],E140&amp;"",tbl_Finance[Ex GST],"&lt;&gt;"))</f>
        <v/>
      </c>
      <c r="Y140" s="27">
        <f>IF(E140="","",SUMIFS(tbl_Finance[Ex GST],tbl_Finance[Job Number],E140&amp;""))</f>
        <v/>
      </c>
      <c r="Z140" s="27">
        <f>IF(E140="","",SUMIFS(tbl_Finance[Ex GST],tbl_Finance[Job Number],E140&amp;"",tbl_Finance[Xero Invoice No],"&lt;&gt;"))</f>
        <v/>
      </c>
      <c r="AA140" s="27">
        <f>IF(E140="","",Y140-Z140)</f>
        <v/>
      </c>
      <c r="AB140" s="25">
        <f>IF(E140="","",IF(H140="Onsite",IFERROR(INDEX(tbl_Onsite[Qwilr Quote],MATCH(E140&amp;"",tbl_Onsite[Job Number],0)),""),IF(H140="Production",IFERROR(INDEX(tbl_Production[Current RMS No],MATCH(E140&amp;"",tbl_Production[Job Number],0)),""),IF(H140="Consulting",IFERROR(INDEX(tbl_Consulting[Qwilr Quote],MATCH(E140&amp;"",tbl_Consulting[Job Number],0)),""),""))))</f>
        <v/>
      </c>
      <c r="AC140" s="25">
        <f>IF(AB140="","",IF(AND(LEFT(AB140,4)&lt;&gt;"http",IF(H140="Production",set_RMSBase,set_QwilrBase)=""),"",HYPERLINK(IF(LEFT(AB140,4)="http",AB140,IF(H140="Production",set_RMSBase,set_QwilrBase)&amp;AB140),"Open")))</f>
        <v/>
      </c>
      <c r="AD140" s="27">
        <f>IF(E140="","",IF(H140="Production",IFERROR(INDEX(tbl_Production[Total Expense],MATCH(E140&amp;"",tbl_Production[Job Number],0)),0),IF(H140="Consulting",IFERROR(INDEX(tbl_Consulting[Total Expense],MATCH(E140&amp;"",tbl_Consulting[Job Number],0)),0),0)))</f>
        <v/>
      </c>
      <c r="AE140" s="27">
        <f>IF(E140="","",Y140-N(AD140))</f>
        <v/>
      </c>
      <c r="AF140" s="29">
        <f>IFERROR(AE140/Y140,"")</f>
        <v/>
      </c>
      <c r="AG140" s="25">
        <f>IF(E140="","",IF(H140="Onsite",IFERROR(INDEX(tbl_Onsite[Notes],MATCH(E140&amp;"",tbl_Onsite[Job Number],0)),""),IF(H140="Production",IFERROR(INDEX(tbl_Production[Notes],MATCH(E140&amp;"",tbl_Production[Job Number],0)),""),IF(H140="Consulting",IFERROR(INDEX(tbl_Consulting[Notes],MATCH(E140&amp;"",tbl_Consulting[Job Number],0)),""),""))))</f>
        <v/>
      </c>
    </row>
    <row r="141" ht="15" customHeight="1">
      <c r="A141" s="22" t="n"/>
      <c r="B141" s="23">
        <f>IF(A141="","",EOMONTH(A141,0))</f>
        <v/>
      </c>
      <c r="C141" s="24" t="n"/>
      <c r="D141" s="24" t="inlineStr">
        <is>
          <t>Elkeim</t>
        </is>
      </c>
      <c r="E141" s="24" t="inlineStr">
        <is>
          <t>2609801</t>
        </is>
      </c>
      <c r="F141" s="25">
        <f>IF(E141="","",IF(COUNTIF(lst_Jobs,E141&amp;"")&gt;0,"OK","CHECK"))</f>
        <v/>
      </c>
      <c r="G141" s="24" t="inlineStr">
        <is>
          <t>Elkiem Studio Support 16.9.26</t>
        </is>
      </c>
      <c r="H141" s="24" t="inlineStr">
        <is>
          <t>Production</t>
        </is>
      </c>
      <c r="I141" s="24" t="inlineStr">
        <is>
          <t>PRODUCTION</t>
        </is>
      </c>
      <c r="J141" s="24" t="inlineStr">
        <is>
          <t>Project</t>
        </is>
      </c>
      <c r="K141" s="24" t="inlineStr">
        <is>
          <t>GST 10%</t>
        </is>
      </c>
      <c r="L141" s="26" t="n">
        <v>380</v>
      </c>
      <c r="M141" s="27">
        <f>IF(L141="","",IF(K141="GST 10%",ROUND(L141*set_GSTRate,2),0))</f>
        <v/>
      </c>
      <c r="N141" s="27">
        <f>IF(L141="","",L141+M141)</f>
        <v/>
      </c>
      <c r="O141" s="24" t="inlineStr">
        <is>
          <t>42100</t>
        </is>
      </c>
      <c r="P141" s="24" t="inlineStr">
        <is>
          <t>Y</t>
        </is>
      </c>
      <c r="Q141" s="24" t="inlineStr">
        <is>
          <t>N</t>
        </is>
      </c>
      <c r="R141" s="22" t="n"/>
      <c r="S141" s="22" t="n"/>
      <c r="T141" s="24" t="inlineStr">
        <is>
          <t>To Invoice</t>
        </is>
      </c>
      <c r="U141" s="24" t="n"/>
      <c r="V141" s="25">
        <f>IF(COUNTA(A141,D141,C141,L141)=0,"",IF(A141="","No date - sits outside every month",IF(E141="","No job number",IF(F141="CHECK","Job number is not in the Xero job list",IF(I141="","No cost centre",IF(AND(P141="Y",C141=""),"Marked posted to Xero but has no invoice number",IF(AND(L141&lt;&gt;"",K141=""),"No tax code",IF(AND(L141&lt;&gt;"",O141=""),"No revenue GL code",""))))))))</f>
        <v/>
      </c>
      <c r="W141" s="25">
        <f>IF(E141="","",IFERROR(INDEX(lst_JobName,MATCH(E141&amp;"",lst_Jobs,0)),""))</f>
        <v/>
      </c>
      <c r="X141" s="28">
        <f>IF(E141="","",COUNTIFS(tbl_Finance[Job Number],E141&amp;"",tbl_Finance[Ex GST],"&lt;&gt;"))</f>
        <v/>
      </c>
      <c r="Y141" s="27">
        <f>IF(E141="","",SUMIFS(tbl_Finance[Ex GST],tbl_Finance[Job Number],E141&amp;""))</f>
        <v/>
      </c>
      <c r="Z141" s="27">
        <f>IF(E141="","",SUMIFS(tbl_Finance[Ex GST],tbl_Finance[Job Number],E141&amp;"",tbl_Finance[Xero Invoice No],"&lt;&gt;"))</f>
        <v/>
      </c>
      <c r="AA141" s="27">
        <f>IF(E141="","",Y141-Z141)</f>
        <v/>
      </c>
      <c r="AB141" s="25">
        <f>IF(E141="","",IF(H141="Onsite",IFERROR(INDEX(tbl_Onsite[Qwilr Quote],MATCH(E141&amp;"",tbl_Onsite[Job Number],0)),""),IF(H141="Production",IFERROR(INDEX(tbl_Production[Current RMS No],MATCH(E141&amp;"",tbl_Production[Job Number],0)),""),IF(H141="Consulting",IFERROR(INDEX(tbl_Consulting[Qwilr Quote],MATCH(E141&amp;"",tbl_Consulting[Job Number],0)),""),""))))</f>
        <v/>
      </c>
      <c r="AC141" s="25">
        <f>IF(AB141="","",IF(AND(LEFT(AB141,4)&lt;&gt;"http",IF(H141="Production",set_RMSBase,set_QwilrBase)=""),"",HYPERLINK(IF(LEFT(AB141,4)="http",AB141,IF(H141="Production",set_RMSBase,set_QwilrBase)&amp;AB141),"Open")))</f>
        <v/>
      </c>
      <c r="AD141" s="27">
        <f>IF(E141="","",IF(H141="Production",IFERROR(INDEX(tbl_Production[Total Expense],MATCH(E141&amp;"",tbl_Production[Job Number],0)),0),IF(H141="Consulting",IFERROR(INDEX(tbl_Consulting[Total Expense],MATCH(E141&amp;"",tbl_Consulting[Job Number],0)),0),0)))</f>
        <v/>
      </c>
      <c r="AE141" s="27">
        <f>IF(E141="","",Y141-N(AD141))</f>
        <v/>
      </c>
      <c r="AF141" s="29">
        <f>IFERROR(AE141/Y141,"")</f>
        <v/>
      </c>
      <c r="AG141" s="25">
        <f>IF(E141="","",IF(H141="Onsite",IFERROR(INDEX(tbl_Onsite[Notes],MATCH(E141&amp;"",tbl_Onsite[Job Number],0)),""),IF(H141="Production",IFERROR(INDEX(tbl_Production[Notes],MATCH(E141&amp;"",tbl_Production[Job Number],0)),""),IF(H141="Consulting",IFERROR(INDEX(tbl_Consulting[Notes],MATCH(E141&amp;"",tbl_Consulting[Job Number],0)),""),""))))</f>
        <v/>
      </c>
    </row>
    <row r="142" ht="15" customHeight="1">
      <c r="A142" s="22" t="n"/>
      <c r="B142" s="23">
        <f>IF(A142="","",EOMONTH(A142,0))</f>
        <v/>
      </c>
      <c r="C142" s="24" t="n"/>
      <c r="D142" s="24" t="inlineStr">
        <is>
          <t>ICC</t>
        </is>
      </c>
      <c r="E142" s="24" t="inlineStr">
        <is>
          <t>26082502</t>
        </is>
      </c>
      <c r="F142" s="25">
        <f>IF(E142="","",IF(COUNTIF(lst_Jobs,E142&amp;"")&gt;0,"OK","CHECK"))</f>
        <v/>
      </c>
      <c r="G142" s="24" t="inlineStr">
        <is>
          <t>ICC - September Presenter Support Presentations - ISE</t>
        </is>
      </c>
      <c r="H142" s="24" t="inlineStr">
        <is>
          <t>Production</t>
        </is>
      </c>
      <c r="I142" s="24" t="inlineStr">
        <is>
          <t>PRODUCTION</t>
        </is>
      </c>
      <c r="J142" s="24" t="inlineStr">
        <is>
          <t>Project</t>
        </is>
      </c>
      <c r="K142" s="24" t="inlineStr">
        <is>
          <t>GST 10%</t>
        </is>
      </c>
      <c r="L142" s="26" t="n">
        <v>4729</v>
      </c>
      <c r="M142" s="27">
        <f>IF(L142="","",IF(K142="GST 10%",ROUND(L142*set_GSTRate,2),0))</f>
        <v/>
      </c>
      <c r="N142" s="27">
        <f>IF(L142="","",L142+M142)</f>
        <v/>
      </c>
      <c r="O142" s="24" t="inlineStr">
        <is>
          <t>42100</t>
        </is>
      </c>
      <c r="P142" s="24" t="inlineStr">
        <is>
          <t>Y</t>
        </is>
      </c>
      <c r="Q142" s="24" t="inlineStr">
        <is>
          <t>N</t>
        </is>
      </c>
      <c r="R142" s="22" t="n"/>
      <c r="S142" s="22" t="n"/>
      <c r="T142" s="24" t="inlineStr">
        <is>
          <t>To Invoice</t>
        </is>
      </c>
      <c r="U142" s="24" t="n"/>
      <c r="V142" s="25">
        <f>IF(COUNTA(A142,D142,C142,L142)=0,"",IF(A142="","No date - sits outside every month",IF(E142="","No job number",IF(F142="CHECK","Job number is not in the Xero job list",IF(I142="","No cost centre",IF(AND(P142="Y",C142=""),"Marked posted to Xero but has no invoice number",IF(AND(L142&lt;&gt;"",K142=""),"No tax code",IF(AND(L142&lt;&gt;"",O142=""),"No revenue GL code",""))))))))</f>
        <v/>
      </c>
      <c r="W142" s="25">
        <f>IF(E142="","",IFERROR(INDEX(lst_JobName,MATCH(E142&amp;"",lst_Jobs,0)),""))</f>
        <v/>
      </c>
      <c r="X142" s="28">
        <f>IF(E142="","",COUNTIFS(tbl_Finance[Job Number],E142&amp;"",tbl_Finance[Ex GST],"&lt;&gt;"))</f>
        <v/>
      </c>
      <c r="Y142" s="27">
        <f>IF(E142="","",SUMIFS(tbl_Finance[Ex GST],tbl_Finance[Job Number],E142&amp;""))</f>
        <v/>
      </c>
      <c r="Z142" s="27">
        <f>IF(E142="","",SUMIFS(tbl_Finance[Ex GST],tbl_Finance[Job Number],E142&amp;"",tbl_Finance[Xero Invoice No],"&lt;&gt;"))</f>
        <v/>
      </c>
      <c r="AA142" s="27">
        <f>IF(E142="","",Y142-Z142)</f>
        <v/>
      </c>
      <c r="AB142" s="25">
        <f>IF(E142="","",IF(H142="Onsite",IFERROR(INDEX(tbl_Onsite[Qwilr Quote],MATCH(E142&amp;"",tbl_Onsite[Job Number],0)),""),IF(H142="Production",IFERROR(INDEX(tbl_Production[Current RMS No],MATCH(E142&amp;"",tbl_Production[Job Number],0)),""),IF(H142="Consulting",IFERROR(INDEX(tbl_Consulting[Qwilr Quote],MATCH(E142&amp;"",tbl_Consulting[Job Number],0)),""),""))))</f>
        <v/>
      </c>
      <c r="AC142" s="25">
        <f>IF(AB142="","",IF(AND(LEFT(AB142,4)&lt;&gt;"http",IF(H142="Production",set_RMSBase,set_QwilrBase)=""),"",HYPERLINK(IF(LEFT(AB142,4)="http",AB142,IF(H142="Production",set_RMSBase,set_QwilrBase)&amp;AB142),"Open")))</f>
        <v/>
      </c>
      <c r="AD142" s="27">
        <f>IF(E142="","",IF(H142="Production",IFERROR(INDEX(tbl_Production[Total Expense],MATCH(E142&amp;"",tbl_Production[Job Number],0)),0),IF(H142="Consulting",IFERROR(INDEX(tbl_Consulting[Total Expense],MATCH(E142&amp;"",tbl_Consulting[Job Number],0)),0),0)))</f>
        <v/>
      </c>
      <c r="AE142" s="27">
        <f>IF(E142="","",Y142-N(AD142))</f>
        <v/>
      </c>
      <c r="AF142" s="29">
        <f>IFERROR(AE142/Y142,"")</f>
        <v/>
      </c>
      <c r="AG142" s="25">
        <f>IF(E142="","",IF(H142="Onsite",IFERROR(INDEX(tbl_Onsite[Notes],MATCH(E142&amp;"",tbl_Onsite[Job Number],0)),""),IF(H142="Production",IFERROR(INDEX(tbl_Production[Notes],MATCH(E142&amp;"",tbl_Production[Job Number],0)),""),IF(H142="Consulting",IFERROR(INDEX(tbl_Consulting[Notes],MATCH(E142&amp;"",tbl_Consulting[Job Number],0)),""),""))))</f>
        <v/>
      </c>
    </row>
    <row r="143" ht="15" customHeight="1">
      <c r="A143" s="22" t="n"/>
      <c r="B143" s="23">
        <f>IF(A143="","",EOMONTH(A143,0))</f>
        <v/>
      </c>
      <c r="C143" s="24" t="n"/>
      <c r="D143" s="24" t="inlineStr">
        <is>
          <t>ICC</t>
        </is>
      </c>
      <c r="E143" s="24" t="inlineStr">
        <is>
          <t>26082503</t>
        </is>
      </c>
      <c r="F143" s="25">
        <f>IF(E143="","",IF(COUNTIF(lst_Jobs,E143&amp;"")&gt;0,"OK","CHECK"))</f>
        <v/>
      </c>
      <c r="G143" s="24" t="inlineStr">
        <is>
          <t>ICC - September Presenter Support Presentations - ICAS</t>
        </is>
      </c>
      <c r="H143" s="24" t="inlineStr">
        <is>
          <t>Production</t>
        </is>
      </c>
      <c r="I143" s="24" t="inlineStr">
        <is>
          <t>PRODUCTION</t>
        </is>
      </c>
      <c r="J143" s="24" t="inlineStr">
        <is>
          <t>Project</t>
        </is>
      </c>
      <c r="K143" s="24" t="inlineStr">
        <is>
          <t>GST 10%</t>
        </is>
      </c>
      <c r="L143" s="26" t="n">
        <v>946</v>
      </c>
      <c r="M143" s="27">
        <f>IF(L143="","",IF(K143="GST 10%",ROUND(L143*set_GSTRate,2),0))</f>
        <v/>
      </c>
      <c r="N143" s="27">
        <f>IF(L143="","",L143+M143)</f>
        <v/>
      </c>
      <c r="O143" s="24" t="inlineStr">
        <is>
          <t>42100</t>
        </is>
      </c>
      <c r="P143" s="24" t="inlineStr">
        <is>
          <t>Y</t>
        </is>
      </c>
      <c r="Q143" s="24" t="inlineStr">
        <is>
          <t>N</t>
        </is>
      </c>
      <c r="R143" s="22" t="n"/>
      <c r="S143" s="22" t="n"/>
      <c r="T143" s="24" t="inlineStr">
        <is>
          <t>To Invoice</t>
        </is>
      </c>
      <c r="U143" s="24" t="n"/>
      <c r="V143" s="25">
        <f>IF(COUNTA(A143,D143,C143,L143)=0,"",IF(A143="","No date - sits outside every month",IF(E143="","No job number",IF(F143="CHECK","Job number is not in the Xero job list",IF(I143="","No cost centre",IF(AND(P143="Y",C143=""),"Marked posted to Xero but has no invoice number",IF(AND(L143&lt;&gt;"",K143=""),"No tax code",IF(AND(L143&lt;&gt;"",O143=""),"No revenue GL code",""))))))))</f>
        <v/>
      </c>
      <c r="W143" s="25">
        <f>IF(E143="","",IFERROR(INDEX(lst_JobName,MATCH(E143&amp;"",lst_Jobs,0)),""))</f>
        <v/>
      </c>
      <c r="X143" s="28">
        <f>IF(E143="","",COUNTIFS(tbl_Finance[Job Number],E143&amp;"",tbl_Finance[Ex GST],"&lt;&gt;"))</f>
        <v/>
      </c>
      <c r="Y143" s="27">
        <f>IF(E143="","",SUMIFS(tbl_Finance[Ex GST],tbl_Finance[Job Number],E143&amp;""))</f>
        <v/>
      </c>
      <c r="Z143" s="27">
        <f>IF(E143="","",SUMIFS(tbl_Finance[Ex GST],tbl_Finance[Job Number],E143&amp;"",tbl_Finance[Xero Invoice No],"&lt;&gt;"))</f>
        <v/>
      </c>
      <c r="AA143" s="27">
        <f>IF(E143="","",Y143-Z143)</f>
        <v/>
      </c>
      <c r="AB143" s="25">
        <f>IF(E143="","",IF(H143="Onsite",IFERROR(INDEX(tbl_Onsite[Qwilr Quote],MATCH(E143&amp;"",tbl_Onsite[Job Number],0)),""),IF(H143="Production",IFERROR(INDEX(tbl_Production[Current RMS No],MATCH(E143&amp;"",tbl_Production[Job Number],0)),""),IF(H143="Consulting",IFERROR(INDEX(tbl_Consulting[Qwilr Quote],MATCH(E143&amp;"",tbl_Consulting[Job Number],0)),""),""))))</f>
        <v/>
      </c>
      <c r="AC143" s="25">
        <f>IF(AB143="","",IF(AND(LEFT(AB143,4)&lt;&gt;"http",IF(H143="Production",set_RMSBase,set_QwilrBase)=""),"",HYPERLINK(IF(LEFT(AB143,4)="http",AB143,IF(H143="Production",set_RMSBase,set_QwilrBase)&amp;AB143),"Open")))</f>
        <v/>
      </c>
      <c r="AD143" s="27">
        <f>IF(E143="","",IF(H143="Production",IFERROR(INDEX(tbl_Production[Total Expense],MATCH(E143&amp;"",tbl_Production[Job Number],0)),0),IF(H143="Consulting",IFERROR(INDEX(tbl_Consulting[Total Expense],MATCH(E143&amp;"",tbl_Consulting[Job Number],0)),0),0)))</f>
        <v/>
      </c>
      <c r="AE143" s="27">
        <f>IF(E143="","",Y143-N(AD143))</f>
        <v/>
      </c>
      <c r="AF143" s="29">
        <f>IFERROR(AE143/Y143,"")</f>
        <v/>
      </c>
      <c r="AG143" s="25">
        <f>IF(E143="","",IF(H143="Onsite",IFERROR(INDEX(tbl_Onsite[Notes],MATCH(E143&amp;"",tbl_Onsite[Job Number],0)),""),IF(H143="Production",IFERROR(INDEX(tbl_Production[Notes],MATCH(E143&amp;"",tbl_Production[Job Number],0)),""),IF(H143="Consulting",IFERROR(INDEX(tbl_Consulting[Notes],MATCH(E143&amp;"",tbl_Consulting[Job Number],0)),""),""))))</f>
        <v/>
      </c>
    </row>
    <row r="144" ht="15" customHeight="1">
      <c r="A144" s="22" t="n">
        <v>45805</v>
      </c>
      <c r="B144" s="23">
        <f>IF(A144="","",EOMONTH(A144,0))</f>
        <v/>
      </c>
      <c r="C144" s="24" t="inlineStr">
        <is>
          <t>INV-9860</t>
        </is>
      </c>
      <c r="D144" s="24" t="inlineStr">
        <is>
          <t>DAFF</t>
        </is>
      </c>
      <c r="E144" s="24" t="inlineStr">
        <is>
          <t>25021901</t>
        </is>
      </c>
      <c r="F144" s="25">
        <f>IF(E144="","",IF(COUNTIF(lst_Jobs,E144&amp;"")&gt;0,"OK","CHECK"))</f>
        <v/>
      </c>
      <c r="G144" s="24" t="inlineStr">
        <is>
          <t>Technology Standards Evaluation</t>
        </is>
      </c>
      <c r="H144" s="24" t="inlineStr">
        <is>
          <t>Consulting</t>
        </is>
      </c>
      <c r="I144" s="24" t="inlineStr">
        <is>
          <t>CONSULTING</t>
        </is>
      </c>
      <c r="J144" s="24" t="inlineStr">
        <is>
          <t>Project</t>
        </is>
      </c>
      <c r="K144" s="24" t="inlineStr">
        <is>
          <t>GST 10%</t>
        </is>
      </c>
      <c r="L144" s="26" t="n">
        <v>9875</v>
      </c>
      <c r="M144" s="27">
        <f>IF(L144="","",IF(K144="GST 10%",ROUND(L144*set_GSTRate,2),0))</f>
        <v/>
      </c>
      <c r="N144" s="27">
        <f>IF(L144="","",L144+M144)</f>
        <v/>
      </c>
      <c r="O144" s="24" t="inlineStr">
        <is>
          <t>42800</t>
        </is>
      </c>
      <c r="P144" s="24" t="inlineStr">
        <is>
          <t>Y</t>
        </is>
      </c>
      <c r="Q144" s="24" t="inlineStr">
        <is>
          <t>N</t>
        </is>
      </c>
      <c r="R144" s="22" t="n"/>
      <c r="S144" s="22" t="n"/>
      <c r="T144" s="24" t="inlineStr">
        <is>
          <t>Invoiced</t>
        </is>
      </c>
      <c r="U144" s="24" t="inlineStr">
        <is>
          <t>Revenue still in WIP</t>
        </is>
      </c>
      <c r="V144" s="25">
        <f>IF(COUNTA(A144,D144,C144,L144)=0,"",IF(A144="","No date - sits outside every month",IF(E144="","No job number",IF(F144="CHECK","Job number is not in the Xero job list",IF(I144="","No cost centre",IF(AND(P144="Y",C144=""),"Marked posted to Xero but has no invoice number",IF(AND(L144&lt;&gt;"",K144=""),"No tax code",IF(AND(L144&lt;&gt;"",O144=""),"No revenue GL code",""))))))))</f>
        <v/>
      </c>
      <c r="W144" s="25">
        <f>IF(E144="","",IFERROR(INDEX(lst_JobName,MATCH(E144&amp;"",lst_Jobs,0)),""))</f>
        <v/>
      </c>
      <c r="X144" s="28">
        <f>IF(E144="","",COUNTIFS(tbl_Finance[Job Number],E144&amp;"",tbl_Finance[Ex GST],"&lt;&gt;"))</f>
        <v/>
      </c>
      <c r="Y144" s="27">
        <f>IF(E144="","",SUMIFS(tbl_Finance[Ex GST],tbl_Finance[Job Number],E144&amp;""))</f>
        <v/>
      </c>
      <c r="Z144" s="27">
        <f>IF(E144="","",SUMIFS(tbl_Finance[Ex GST],tbl_Finance[Job Number],E144&amp;"",tbl_Finance[Xero Invoice No],"&lt;&gt;"))</f>
        <v/>
      </c>
      <c r="AA144" s="27">
        <f>IF(E144="","",Y144-Z144)</f>
        <v/>
      </c>
      <c r="AB144" s="25">
        <f>IF(E144="","",IF(H144="Onsite",IFERROR(INDEX(tbl_Onsite[Qwilr Quote],MATCH(E144&amp;"",tbl_Onsite[Job Number],0)),""),IF(H144="Production",IFERROR(INDEX(tbl_Production[Current RMS No],MATCH(E144&amp;"",tbl_Production[Job Number],0)),""),IF(H144="Consulting",IFERROR(INDEX(tbl_Consulting[Qwilr Quote],MATCH(E144&amp;"",tbl_Consulting[Job Number],0)),""),""))))</f>
        <v/>
      </c>
      <c r="AC144" s="25">
        <f>IF(AB144="","",IF(AND(LEFT(AB144,4)&lt;&gt;"http",IF(H144="Production",set_RMSBase,set_QwilrBase)=""),"",HYPERLINK(IF(LEFT(AB144,4)="http",AB144,IF(H144="Production",set_RMSBase,set_QwilrBase)&amp;AB144),"Open")))</f>
        <v/>
      </c>
      <c r="AD144" s="27">
        <f>IF(E144="","",IF(H144="Production",IFERROR(INDEX(tbl_Production[Total Expense],MATCH(E144&amp;"",tbl_Production[Job Number],0)),0),IF(H144="Consulting",IFERROR(INDEX(tbl_Consulting[Total Expense],MATCH(E144&amp;"",tbl_Consulting[Job Number],0)),0),0)))</f>
        <v/>
      </c>
      <c r="AE144" s="27">
        <f>IF(E144="","",Y144-N(AD144))</f>
        <v/>
      </c>
      <c r="AF144" s="29">
        <f>IFERROR(AE144/Y144,"")</f>
        <v/>
      </c>
      <c r="AG144" s="25">
        <f>IF(E144="","",IF(H144="Onsite",IFERROR(INDEX(tbl_Onsite[Notes],MATCH(E144&amp;"",tbl_Onsite[Job Number],0)),""),IF(H144="Production",IFERROR(INDEX(tbl_Production[Notes],MATCH(E144&amp;"",tbl_Production[Job Number],0)),""),IF(H144="Consulting",IFERROR(INDEX(tbl_Consulting[Notes],MATCH(E144&amp;"",tbl_Consulting[Job Number],0)),""),""))))</f>
        <v/>
      </c>
    </row>
    <row r="145" ht="15" customHeight="1">
      <c r="A145" s="22" t="n">
        <v>46101</v>
      </c>
      <c r="B145" s="23">
        <f>IF(A145="","",EOMONTH(A145,0))</f>
        <v/>
      </c>
      <c r="C145" s="24" t="inlineStr">
        <is>
          <t>INV-10319</t>
        </is>
      </c>
      <c r="D145" s="24" t="inlineStr">
        <is>
          <t>DEWR</t>
        </is>
      </c>
      <c r="E145" s="24" t="inlineStr">
        <is>
          <t>25102701</t>
        </is>
      </c>
      <c r="F145" s="25">
        <f>IF(E145="","",IF(COUNTIF(lst_Jobs,E145&amp;"")&gt;0,"OK","CHECK"))</f>
        <v/>
      </c>
      <c r="G145" s="24" t="inlineStr">
        <is>
          <t>DEWR Studio Upgrade</t>
        </is>
      </c>
      <c r="H145" s="24" t="inlineStr">
        <is>
          <t>Consulting</t>
        </is>
      </c>
      <c r="I145" s="24" t="inlineStr">
        <is>
          <t>CONSULTING</t>
        </is>
      </c>
      <c r="J145" s="24" t="inlineStr">
        <is>
          <t>Project</t>
        </is>
      </c>
      <c r="K145" s="24" t="inlineStr">
        <is>
          <t>GST 10%</t>
        </is>
      </c>
      <c r="L145" s="26" t="n">
        <v>23050</v>
      </c>
      <c r="M145" s="27">
        <f>IF(L145="","",IF(K145="GST 10%",ROUND(L145*set_GSTRate,2),0))</f>
        <v/>
      </c>
      <c r="N145" s="27">
        <f>IF(L145="","",L145+M145)</f>
        <v/>
      </c>
      <c r="O145" s="24" t="inlineStr">
        <is>
          <t>42800</t>
        </is>
      </c>
      <c r="P145" s="24" t="inlineStr">
        <is>
          <t>Y</t>
        </is>
      </c>
      <c r="Q145" s="24" t="inlineStr">
        <is>
          <t>N</t>
        </is>
      </c>
      <c r="R145" s="22" t="n"/>
      <c r="S145" s="22" t="n"/>
      <c r="T145" s="24" t="inlineStr">
        <is>
          <t>To Invoice</t>
        </is>
      </c>
      <c r="U145" s="24" t="inlineStr">
        <is>
          <t>Progress Claim 01</t>
        </is>
      </c>
      <c r="V145" s="25">
        <f>IF(COUNTA(A145,D145,C145,L145)=0,"",IF(A145="","No date - sits outside every month",IF(E145="","No job number",IF(F145="CHECK","Job number is not in the Xero job list",IF(I145="","No cost centre",IF(AND(P145="Y",C145=""),"Marked posted to Xero but has no invoice number",IF(AND(L145&lt;&gt;"",K145=""),"No tax code",IF(AND(L145&lt;&gt;"",O145=""),"No revenue GL code",""))))))))</f>
        <v/>
      </c>
      <c r="W145" s="25">
        <f>IF(E145="","",IFERROR(INDEX(lst_JobName,MATCH(E145&amp;"",lst_Jobs,0)),""))</f>
        <v/>
      </c>
      <c r="X145" s="28">
        <f>IF(E145="","",COUNTIFS(tbl_Finance[Job Number],E145&amp;"",tbl_Finance[Ex GST],"&lt;&gt;"))</f>
        <v/>
      </c>
      <c r="Y145" s="27">
        <f>IF(E145="","",SUMIFS(tbl_Finance[Ex GST],tbl_Finance[Job Number],E145&amp;""))</f>
        <v/>
      </c>
      <c r="Z145" s="27">
        <f>IF(E145="","",SUMIFS(tbl_Finance[Ex GST],tbl_Finance[Job Number],E145&amp;"",tbl_Finance[Xero Invoice No],"&lt;&gt;"))</f>
        <v/>
      </c>
      <c r="AA145" s="27">
        <f>IF(E145="","",Y145-Z145)</f>
        <v/>
      </c>
      <c r="AB145" s="25">
        <f>IF(E145="","",IF(H145="Onsite",IFERROR(INDEX(tbl_Onsite[Qwilr Quote],MATCH(E145&amp;"",tbl_Onsite[Job Number],0)),""),IF(H145="Production",IFERROR(INDEX(tbl_Production[Current RMS No],MATCH(E145&amp;"",tbl_Production[Job Number],0)),""),IF(H145="Consulting",IFERROR(INDEX(tbl_Consulting[Qwilr Quote],MATCH(E145&amp;"",tbl_Consulting[Job Number],0)),""),""))))</f>
        <v/>
      </c>
      <c r="AC145" s="25">
        <f>IF(AB145="","",IF(AND(LEFT(AB145,4)&lt;&gt;"http",IF(H145="Production",set_RMSBase,set_QwilrBase)=""),"",HYPERLINK(IF(LEFT(AB145,4)="http",AB145,IF(H145="Production",set_RMSBase,set_QwilrBase)&amp;AB145),"Open")))</f>
        <v/>
      </c>
      <c r="AD145" s="27">
        <f>IF(E145="","",IF(H145="Production",IFERROR(INDEX(tbl_Production[Total Expense],MATCH(E145&amp;"",tbl_Production[Job Number],0)),0),IF(H145="Consulting",IFERROR(INDEX(tbl_Consulting[Total Expense],MATCH(E145&amp;"",tbl_Consulting[Job Number],0)),0),0)))</f>
        <v/>
      </c>
      <c r="AE145" s="27">
        <f>IF(E145="","",Y145-N(AD145))</f>
        <v/>
      </c>
      <c r="AF145" s="29">
        <f>IFERROR(AE145/Y145,"")</f>
        <v/>
      </c>
      <c r="AG145" s="25">
        <f>IF(E145="","",IF(H145="Onsite",IFERROR(INDEX(tbl_Onsite[Notes],MATCH(E145&amp;"",tbl_Onsite[Job Number],0)),""),IF(H145="Production",IFERROR(INDEX(tbl_Production[Notes],MATCH(E145&amp;"",tbl_Production[Job Number],0)),""),IF(H145="Consulting",IFERROR(INDEX(tbl_Consulting[Notes],MATCH(E145&amp;"",tbl_Consulting[Job Number],0)),""),""))))</f>
        <v/>
      </c>
    </row>
    <row r="146" ht="15" customHeight="1">
      <c r="A146" s="22" t="n">
        <v>46104</v>
      </c>
      <c r="B146" s="23">
        <f>IF(A146="","",EOMONTH(A146,0))</f>
        <v/>
      </c>
      <c r="C146" s="24" t="inlineStr">
        <is>
          <t>INV-10320</t>
        </is>
      </c>
      <c r="D146" s="24" t="inlineStr">
        <is>
          <t>DEWR</t>
        </is>
      </c>
      <c r="E146" s="24" t="inlineStr">
        <is>
          <t>25102701</t>
        </is>
      </c>
      <c r="F146" s="25">
        <f>IF(E146="","",IF(COUNTIF(lst_Jobs,E146&amp;"")&gt;0,"OK","CHECK"))</f>
        <v/>
      </c>
      <c r="G146" s="24" t="inlineStr">
        <is>
          <t>DEWR Studio Upgrade</t>
        </is>
      </c>
      <c r="H146" s="24" t="inlineStr">
        <is>
          <t>Consulting</t>
        </is>
      </c>
      <c r="I146" s="24" t="inlineStr">
        <is>
          <t>CONSULTING</t>
        </is>
      </c>
      <c r="J146" s="24" t="inlineStr">
        <is>
          <t>Project</t>
        </is>
      </c>
      <c r="K146" s="24" t="inlineStr">
        <is>
          <t>GST 10%</t>
        </is>
      </c>
      <c r="L146" s="26" t="n">
        <v>13250</v>
      </c>
      <c r="M146" s="27">
        <f>IF(L146="","",IF(K146="GST 10%",ROUND(L146*set_GSTRate,2),0))</f>
        <v/>
      </c>
      <c r="N146" s="27">
        <f>IF(L146="","",L146+M146)</f>
        <v/>
      </c>
      <c r="O146" s="24" t="inlineStr">
        <is>
          <t>42800</t>
        </is>
      </c>
      <c r="P146" s="24" t="inlineStr">
        <is>
          <t>Y</t>
        </is>
      </c>
      <c r="Q146" s="24" t="inlineStr">
        <is>
          <t>N</t>
        </is>
      </c>
      <c r="R146" s="22" t="n"/>
      <c r="S146" s="22" t="n"/>
      <c r="T146" s="24" t="inlineStr">
        <is>
          <t>To Invoice</t>
        </is>
      </c>
      <c r="U146" s="24" t="inlineStr">
        <is>
          <t>Progress Claim 02</t>
        </is>
      </c>
      <c r="V146" s="25">
        <f>IF(COUNTA(A146,D146,C146,L146)=0,"",IF(A146="","No date - sits outside every month",IF(E146="","No job number",IF(F146="CHECK","Job number is not in the Xero job list",IF(I146="","No cost centre",IF(AND(P146="Y",C146=""),"Marked posted to Xero but has no invoice number",IF(AND(L146&lt;&gt;"",K146=""),"No tax code",IF(AND(L146&lt;&gt;"",O146=""),"No revenue GL code",""))))))))</f>
        <v/>
      </c>
      <c r="W146" s="25">
        <f>IF(E146="","",IFERROR(INDEX(lst_JobName,MATCH(E146&amp;"",lst_Jobs,0)),""))</f>
        <v/>
      </c>
      <c r="X146" s="28">
        <f>IF(E146="","",COUNTIFS(tbl_Finance[Job Number],E146&amp;"",tbl_Finance[Ex GST],"&lt;&gt;"))</f>
        <v/>
      </c>
      <c r="Y146" s="27">
        <f>IF(E146="","",SUMIFS(tbl_Finance[Ex GST],tbl_Finance[Job Number],E146&amp;""))</f>
        <v/>
      </c>
      <c r="Z146" s="27">
        <f>IF(E146="","",SUMIFS(tbl_Finance[Ex GST],tbl_Finance[Job Number],E146&amp;"",tbl_Finance[Xero Invoice No],"&lt;&gt;"))</f>
        <v/>
      </c>
      <c r="AA146" s="27">
        <f>IF(E146="","",Y146-Z146)</f>
        <v/>
      </c>
      <c r="AB146" s="25">
        <f>IF(E146="","",IF(H146="Onsite",IFERROR(INDEX(tbl_Onsite[Qwilr Quote],MATCH(E146&amp;"",tbl_Onsite[Job Number],0)),""),IF(H146="Production",IFERROR(INDEX(tbl_Production[Current RMS No],MATCH(E146&amp;"",tbl_Production[Job Number],0)),""),IF(H146="Consulting",IFERROR(INDEX(tbl_Consulting[Qwilr Quote],MATCH(E146&amp;"",tbl_Consulting[Job Number],0)),""),""))))</f>
        <v/>
      </c>
      <c r="AC146" s="25">
        <f>IF(AB146="","",IF(AND(LEFT(AB146,4)&lt;&gt;"http",IF(H146="Production",set_RMSBase,set_QwilrBase)=""),"",HYPERLINK(IF(LEFT(AB146,4)="http",AB146,IF(H146="Production",set_RMSBase,set_QwilrBase)&amp;AB146),"Open")))</f>
        <v/>
      </c>
      <c r="AD146" s="27">
        <f>IF(E146="","",IF(H146="Production",IFERROR(INDEX(tbl_Production[Total Expense],MATCH(E146&amp;"",tbl_Production[Job Number],0)),0),IF(H146="Consulting",IFERROR(INDEX(tbl_Consulting[Total Expense],MATCH(E146&amp;"",tbl_Consulting[Job Number],0)),0),0)))</f>
        <v/>
      </c>
      <c r="AE146" s="27">
        <f>IF(E146="","",Y146-N(AD146))</f>
        <v/>
      </c>
      <c r="AF146" s="29">
        <f>IFERROR(AE146/Y146,"")</f>
        <v/>
      </c>
      <c r="AG146" s="25">
        <f>IF(E146="","",IF(H146="Onsite",IFERROR(INDEX(tbl_Onsite[Notes],MATCH(E146&amp;"",tbl_Onsite[Job Number],0)),""),IF(H146="Production",IFERROR(INDEX(tbl_Production[Notes],MATCH(E146&amp;"",tbl_Production[Job Number],0)),""),IF(H146="Consulting",IFERROR(INDEX(tbl_Consulting[Notes],MATCH(E146&amp;"",tbl_Consulting[Job Number],0)),""),""))))</f>
        <v/>
      </c>
    </row>
    <row r="147" ht="15" customHeight="1">
      <c r="A147" s="22" t="n">
        <v>46128</v>
      </c>
      <c r="B147" s="23">
        <f>IF(A147="","",EOMONTH(A147,0))</f>
        <v/>
      </c>
      <c r="C147" s="24" t="inlineStr">
        <is>
          <t>INV-10353</t>
        </is>
      </c>
      <c r="D147" s="24" t="inlineStr">
        <is>
          <t>DEWR</t>
        </is>
      </c>
      <c r="E147" s="24" t="inlineStr">
        <is>
          <t>25102701</t>
        </is>
      </c>
      <c r="F147" s="25">
        <f>IF(E147="","",IF(COUNTIF(lst_Jobs,E147&amp;"")&gt;0,"OK","CHECK"))</f>
        <v/>
      </c>
      <c r="G147" s="24" t="inlineStr">
        <is>
          <t>DEWR Studio Upgrade</t>
        </is>
      </c>
      <c r="H147" s="24" t="inlineStr">
        <is>
          <t>Consulting</t>
        </is>
      </c>
      <c r="I147" s="24" t="inlineStr">
        <is>
          <t>CONSULTING</t>
        </is>
      </c>
      <c r="J147" s="24" t="inlineStr">
        <is>
          <t>Project</t>
        </is>
      </c>
      <c r="K147" s="24" t="inlineStr">
        <is>
          <t>GST 10%</t>
        </is>
      </c>
      <c r="L147" s="26" t="n">
        <v>24410</v>
      </c>
      <c r="M147" s="27">
        <f>IF(L147="","",IF(K147="GST 10%",ROUND(L147*set_GSTRate,2),0))</f>
        <v/>
      </c>
      <c r="N147" s="27">
        <f>IF(L147="","",L147+M147)</f>
        <v/>
      </c>
      <c r="O147" s="24" t="inlineStr">
        <is>
          <t>42800</t>
        </is>
      </c>
      <c r="P147" s="24" t="inlineStr">
        <is>
          <t>Y</t>
        </is>
      </c>
      <c r="Q147" s="24" t="inlineStr">
        <is>
          <t>N</t>
        </is>
      </c>
      <c r="R147" s="22" t="n"/>
      <c r="S147" s="22" t="n"/>
      <c r="T147" s="24" t="inlineStr">
        <is>
          <t>To Invoice</t>
        </is>
      </c>
      <c r="U147" s="24" t="inlineStr">
        <is>
          <t>Progress Claim 03</t>
        </is>
      </c>
      <c r="V147" s="25">
        <f>IF(COUNTA(A147,D147,C147,L147)=0,"",IF(A147="","No date - sits outside every month",IF(E147="","No job number",IF(F147="CHECK","Job number is not in the Xero job list",IF(I147="","No cost centre",IF(AND(P147="Y",C147=""),"Marked posted to Xero but has no invoice number",IF(AND(L147&lt;&gt;"",K147=""),"No tax code",IF(AND(L147&lt;&gt;"",O147=""),"No revenue GL code",""))))))))</f>
        <v/>
      </c>
      <c r="W147" s="25">
        <f>IF(E147="","",IFERROR(INDEX(lst_JobName,MATCH(E147&amp;"",lst_Jobs,0)),""))</f>
        <v/>
      </c>
      <c r="X147" s="28">
        <f>IF(E147="","",COUNTIFS(tbl_Finance[Job Number],E147&amp;"",tbl_Finance[Ex GST],"&lt;&gt;"))</f>
        <v/>
      </c>
      <c r="Y147" s="27">
        <f>IF(E147="","",SUMIFS(tbl_Finance[Ex GST],tbl_Finance[Job Number],E147&amp;""))</f>
        <v/>
      </c>
      <c r="Z147" s="27">
        <f>IF(E147="","",SUMIFS(tbl_Finance[Ex GST],tbl_Finance[Job Number],E147&amp;"",tbl_Finance[Xero Invoice No],"&lt;&gt;"))</f>
        <v/>
      </c>
      <c r="AA147" s="27">
        <f>IF(E147="","",Y147-Z147)</f>
        <v/>
      </c>
      <c r="AB147" s="25">
        <f>IF(E147="","",IF(H147="Onsite",IFERROR(INDEX(tbl_Onsite[Qwilr Quote],MATCH(E147&amp;"",tbl_Onsite[Job Number],0)),""),IF(H147="Production",IFERROR(INDEX(tbl_Production[Current RMS No],MATCH(E147&amp;"",tbl_Production[Job Number],0)),""),IF(H147="Consulting",IFERROR(INDEX(tbl_Consulting[Qwilr Quote],MATCH(E147&amp;"",tbl_Consulting[Job Number],0)),""),""))))</f>
        <v/>
      </c>
      <c r="AC147" s="25">
        <f>IF(AB147="","",IF(AND(LEFT(AB147,4)&lt;&gt;"http",IF(H147="Production",set_RMSBase,set_QwilrBase)=""),"",HYPERLINK(IF(LEFT(AB147,4)="http",AB147,IF(H147="Production",set_RMSBase,set_QwilrBase)&amp;AB147),"Open")))</f>
        <v/>
      </c>
      <c r="AD147" s="27">
        <f>IF(E147="","",IF(H147="Production",IFERROR(INDEX(tbl_Production[Total Expense],MATCH(E147&amp;"",tbl_Production[Job Number],0)),0),IF(H147="Consulting",IFERROR(INDEX(tbl_Consulting[Total Expense],MATCH(E147&amp;"",tbl_Consulting[Job Number],0)),0),0)))</f>
        <v/>
      </c>
      <c r="AE147" s="27">
        <f>IF(E147="","",Y147-N(AD147))</f>
        <v/>
      </c>
      <c r="AF147" s="29">
        <f>IFERROR(AE147/Y147,"")</f>
        <v/>
      </c>
      <c r="AG147" s="25">
        <f>IF(E147="","",IF(H147="Onsite",IFERROR(INDEX(tbl_Onsite[Notes],MATCH(E147&amp;"",tbl_Onsite[Job Number],0)),""),IF(H147="Production",IFERROR(INDEX(tbl_Production[Notes],MATCH(E147&amp;"",tbl_Production[Job Number],0)),""),IF(H147="Consulting",IFERROR(INDEX(tbl_Consulting[Notes],MATCH(E147&amp;"",tbl_Consulting[Job Number],0)),""),""))))</f>
        <v/>
      </c>
    </row>
    <row r="148" ht="15" customHeight="1">
      <c r="A148" s="22" t="n">
        <v>46162</v>
      </c>
      <c r="B148" s="23">
        <f>IF(A148="","",EOMONTH(A148,0))</f>
        <v/>
      </c>
      <c r="C148" s="24" t="inlineStr">
        <is>
          <t>INV-10425</t>
        </is>
      </c>
      <c r="D148" s="24" t="inlineStr">
        <is>
          <t>DTTL</t>
        </is>
      </c>
      <c r="E148" s="24" t="inlineStr">
        <is>
          <t>26052002</t>
        </is>
      </c>
      <c r="F148" s="25">
        <f>IF(E148="","",IF(COUNTIF(lst_Jobs,E148&amp;"")&gt;0,"OK","CHECK"))</f>
        <v/>
      </c>
      <c r="G148" s="24" t="inlineStr">
        <is>
          <t>BNE ​L23 Training Rooms Upgrade</t>
        </is>
      </c>
      <c r="H148" s="24" t="inlineStr">
        <is>
          <t>Consulting</t>
        </is>
      </c>
      <c r="I148" s="24" t="inlineStr">
        <is>
          <t>INTEGRATION</t>
        </is>
      </c>
      <c r="J148" s="24" t="inlineStr">
        <is>
          <t>Project</t>
        </is>
      </c>
      <c r="K148" s="24" t="inlineStr">
        <is>
          <t>GST 10%</t>
        </is>
      </c>
      <c r="L148" s="26" t="n">
        <v>57706</v>
      </c>
      <c r="M148" s="27">
        <f>IF(L148="","",IF(K148="GST 10%",ROUND(L148*set_GSTRate,2),0))</f>
        <v/>
      </c>
      <c r="N148" s="27">
        <f>IF(L148="","",L148+M148)</f>
        <v/>
      </c>
      <c r="O148" s="24" t="inlineStr">
        <is>
          <t>42300</t>
        </is>
      </c>
      <c r="P148" s="24" t="inlineStr">
        <is>
          <t>Y</t>
        </is>
      </c>
      <c r="Q148" s="24" t="inlineStr">
        <is>
          <t>N</t>
        </is>
      </c>
      <c r="R148" s="22" t="n"/>
      <c r="S148" s="22" t="n"/>
      <c r="T148" s="24" t="inlineStr">
        <is>
          <t>To Invoice</t>
        </is>
      </c>
      <c r="U148" s="24" t="n"/>
      <c r="V148" s="25">
        <f>IF(COUNTA(A148,D148,C148,L148)=0,"",IF(A148="","No date - sits outside every month",IF(E148="","No job number",IF(F148="CHECK","Job number is not in the Xero job list",IF(I148="","No cost centre",IF(AND(P148="Y",C148=""),"Marked posted to Xero but has no invoice number",IF(AND(L148&lt;&gt;"",K148=""),"No tax code",IF(AND(L148&lt;&gt;"",O148=""),"No revenue GL code",""))))))))</f>
        <v/>
      </c>
      <c r="W148" s="25">
        <f>IF(E148="","",IFERROR(INDEX(lst_JobName,MATCH(E148&amp;"",lst_Jobs,0)),""))</f>
        <v/>
      </c>
      <c r="X148" s="28">
        <f>IF(E148="","",COUNTIFS(tbl_Finance[Job Number],E148&amp;"",tbl_Finance[Ex GST],"&lt;&gt;"))</f>
        <v/>
      </c>
      <c r="Y148" s="27">
        <f>IF(E148="","",SUMIFS(tbl_Finance[Ex GST],tbl_Finance[Job Number],E148&amp;""))</f>
        <v/>
      </c>
      <c r="Z148" s="27">
        <f>IF(E148="","",SUMIFS(tbl_Finance[Ex GST],tbl_Finance[Job Number],E148&amp;"",tbl_Finance[Xero Invoice No],"&lt;&gt;"))</f>
        <v/>
      </c>
      <c r="AA148" s="27">
        <f>IF(E148="","",Y148-Z148)</f>
        <v/>
      </c>
      <c r="AB148" s="25">
        <f>IF(E148="","",IF(H148="Onsite",IFERROR(INDEX(tbl_Onsite[Qwilr Quote],MATCH(E148&amp;"",tbl_Onsite[Job Number],0)),""),IF(H148="Production",IFERROR(INDEX(tbl_Production[Current RMS No],MATCH(E148&amp;"",tbl_Production[Job Number],0)),""),IF(H148="Consulting",IFERROR(INDEX(tbl_Consulting[Qwilr Quote],MATCH(E148&amp;"",tbl_Consulting[Job Number],0)),""),""))))</f>
        <v/>
      </c>
      <c r="AC148" s="25">
        <f>IF(AB148="","",IF(AND(LEFT(AB148,4)&lt;&gt;"http",IF(H148="Production",set_RMSBase,set_QwilrBase)=""),"",HYPERLINK(IF(LEFT(AB148,4)="http",AB148,IF(H148="Production",set_RMSBase,set_QwilrBase)&amp;AB148),"Open")))</f>
        <v/>
      </c>
      <c r="AD148" s="27">
        <f>IF(E148="","",IF(H148="Production",IFERROR(INDEX(tbl_Production[Total Expense],MATCH(E148&amp;"",tbl_Production[Job Number],0)),0),IF(H148="Consulting",IFERROR(INDEX(tbl_Consulting[Total Expense],MATCH(E148&amp;"",tbl_Consulting[Job Number],0)),0),0)))</f>
        <v/>
      </c>
      <c r="AE148" s="27">
        <f>IF(E148="","",Y148-N(AD148))</f>
        <v/>
      </c>
      <c r="AF148" s="29">
        <f>IFERROR(AE148/Y148,"")</f>
        <v/>
      </c>
      <c r="AG148" s="25">
        <f>IF(E148="","",IF(H148="Onsite",IFERROR(INDEX(tbl_Onsite[Notes],MATCH(E148&amp;"",tbl_Onsite[Job Number],0)),""),IF(H148="Production",IFERROR(INDEX(tbl_Production[Notes],MATCH(E148&amp;"",tbl_Production[Job Number],0)),""),IF(H148="Consulting",IFERROR(INDEX(tbl_Consulting[Notes],MATCH(E148&amp;"",tbl_Consulting[Job Number],0)),""),""))))</f>
        <v/>
      </c>
    </row>
    <row r="149" ht="15" customHeight="1">
      <c r="A149" s="22" t="n">
        <v>46163</v>
      </c>
      <c r="B149" s="23">
        <f>IF(A149="","",EOMONTH(A149,0))</f>
        <v/>
      </c>
      <c r="C149" s="24" t="inlineStr">
        <is>
          <t>INV-10426</t>
        </is>
      </c>
      <c r="D149" s="24" t="inlineStr">
        <is>
          <t>DTTL</t>
        </is>
      </c>
      <c r="E149" s="24" t="inlineStr">
        <is>
          <t>26052003</t>
        </is>
      </c>
      <c r="F149" s="25">
        <f>IF(E149="","",IF(COUNTIF(lst_Jobs,E149&amp;"")&gt;0,"OK","CHECK"))</f>
        <v/>
      </c>
      <c r="G149" s="24" t="inlineStr">
        <is>
          <t>SYD Mobile Display Supply</t>
        </is>
      </c>
      <c r="H149" s="24" t="inlineStr">
        <is>
          <t>Consulting</t>
        </is>
      </c>
      <c r="I149" s="24" t="inlineStr">
        <is>
          <t>INTEGRATION</t>
        </is>
      </c>
      <c r="J149" s="24" t="inlineStr">
        <is>
          <t>Project</t>
        </is>
      </c>
      <c r="K149" s="24" t="inlineStr">
        <is>
          <t>GST 10%</t>
        </is>
      </c>
      <c r="L149" s="26" t="n">
        <v>26234</v>
      </c>
      <c r="M149" s="27">
        <f>IF(L149="","",IF(K149="GST 10%",ROUND(L149*set_GSTRate,2),0))</f>
        <v/>
      </c>
      <c r="N149" s="27">
        <f>IF(L149="","",L149+M149)</f>
        <v/>
      </c>
      <c r="O149" s="24" t="inlineStr">
        <is>
          <t>42300</t>
        </is>
      </c>
      <c r="P149" s="24" t="inlineStr">
        <is>
          <t>Y</t>
        </is>
      </c>
      <c r="Q149" s="24" t="inlineStr">
        <is>
          <t>N</t>
        </is>
      </c>
      <c r="R149" s="22" t="n"/>
      <c r="S149" s="22" t="n"/>
      <c r="T149" s="24" t="inlineStr">
        <is>
          <t>Paid</t>
        </is>
      </c>
      <c r="U149" s="24" t="n"/>
      <c r="V149" s="25">
        <f>IF(COUNTA(A149,D149,C149,L149)=0,"",IF(A149="","No date - sits outside every month",IF(E149="","No job number",IF(F149="CHECK","Job number is not in the Xero job list",IF(I149="","No cost centre",IF(AND(P149="Y",C149=""),"Marked posted to Xero but has no invoice number",IF(AND(L149&lt;&gt;"",K149=""),"No tax code",IF(AND(L149&lt;&gt;"",O149=""),"No revenue GL code",""))))))))</f>
        <v/>
      </c>
      <c r="W149" s="25">
        <f>IF(E149="","",IFERROR(INDEX(lst_JobName,MATCH(E149&amp;"",lst_Jobs,0)),""))</f>
        <v/>
      </c>
      <c r="X149" s="28">
        <f>IF(E149="","",COUNTIFS(tbl_Finance[Job Number],E149&amp;"",tbl_Finance[Ex GST],"&lt;&gt;"))</f>
        <v/>
      </c>
      <c r="Y149" s="27">
        <f>IF(E149="","",SUMIFS(tbl_Finance[Ex GST],tbl_Finance[Job Number],E149&amp;""))</f>
        <v/>
      </c>
      <c r="Z149" s="27">
        <f>IF(E149="","",SUMIFS(tbl_Finance[Ex GST],tbl_Finance[Job Number],E149&amp;"",tbl_Finance[Xero Invoice No],"&lt;&gt;"))</f>
        <v/>
      </c>
      <c r="AA149" s="27">
        <f>IF(E149="","",Y149-Z149)</f>
        <v/>
      </c>
      <c r="AB149" s="25">
        <f>IF(E149="","",IF(H149="Onsite",IFERROR(INDEX(tbl_Onsite[Qwilr Quote],MATCH(E149&amp;"",tbl_Onsite[Job Number],0)),""),IF(H149="Production",IFERROR(INDEX(tbl_Production[Current RMS No],MATCH(E149&amp;"",tbl_Production[Job Number],0)),""),IF(H149="Consulting",IFERROR(INDEX(tbl_Consulting[Qwilr Quote],MATCH(E149&amp;"",tbl_Consulting[Job Number],0)),""),""))))</f>
        <v/>
      </c>
      <c r="AC149" s="25">
        <f>IF(AB149="","",IF(AND(LEFT(AB149,4)&lt;&gt;"http",IF(H149="Production",set_RMSBase,set_QwilrBase)=""),"",HYPERLINK(IF(LEFT(AB149,4)="http",AB149,IF(H149="Production",set_RMSBase,set_QwilrBase)&amp;AB149),"Open")))</f>
        <v/>
      </c>
      <c r="AD149" s="27">
        <f>IF(E149="","",IF(H149="Production",IFERROR(INDEX(tbl_Production[Total Expense],MATCH(E149&amp;"",tbl_Production[Job Number],0)),0),IF(H149="Consulting",IFERROR(INDEX(tbl_Consulting[Total Expense],MATCH(E149&amp;"",tbl_Consulting[Job Number],0)),0),0)))</f>
        <v/>
      </c>
      <c r="AE149" s="27">
        <f>IF(E149="","",Y149-N(AD149))</f>
        <v/>
      </c>
      <c r="AF149" s="29">
        <f>IFERROR(AE149/Y149,"")</f>
        <v/>
      </c>
      <c r="AG149" s="25">
        <f>IF(E149="","",IF(H149="Onsite",IFERROR(INDEX(tbl_Onsite[Notes],MATCH(E149&amp;"",tbl_Onsite[Job Number],0)),""),IF(H149="Production",IFERROR(INDEX(tbl_Production[Notes],MATCH(E149&amp;"",tbl_Production[Job Number],0)),""),IF(H149="Consulting",IFERROR(INDEX(tbl_Consulting[Notes],MATCH(E149&amp;"",tbl_Consulting[Job Number],0)),""),""))))</f>
        <v/>
      </c>
    </row>
    <row r="150" ht="15" customHeight="1">
      <c r="A150" s="22" t="n">
        <v>46171</v>
      </c>
      <c r="B150" s="23">
        <f>IF(A150="","",EOMONTH(A150,0))</f>
        <v/>
      </c>
      <c r="C150" s="24" t="inlineStr">
        <is>
          <t>INV-10442</t>
        </is>
      </c>
      <c r="D150" s="24" t="inlineStr">
        <is>
          <t>DEWR</t>
        </is>
      </c>
      <c r="E150" s="24" t="inlineStr">
        <is>
          <t>25102701</t>
        </is>
      </c>
      <c r="F150" s="25">
        <f>IF(E150="","",IF(COUNTIF(lst_Jobs,E150&amp;"")&gt;0,"OK","CHECK"))</f>
        <v/>
      </c>
      <c r="G150" s="24" t="inlineStr">
        <is>
          <t>DEWR Studio Upgrade</t>
        </is>
      </c>
      <c r="H150" s="24" t="inlineStr">
        <is>
          <t>Consulting</t>
        </is>
      </c>
      <c r="I150" s="24" t="inlineStr">
        <is>
          <t>CONSULTING</t>
        </is>
      </c>
      <c r="J150" s="24" t="inlineStr">
        <is>
          <t>Project</t>
        </is>
      </c>
      <c r="K150" s="24" t="inlineStr">
        <is>
          <t>GST 10%</t>
        </is>
      </c>
      <c r="L150" s="26" t="n">
        <v>7563</v>
      </c>
      <c r="M150" s="27">
        <f>IF(L150="","",IF(K150="GST 10%",ROUND(L150*set_GSTRate,2),0))</f>
        <v/>
      </c>
      <c r="N150" s="27">
        <f>IF(L150="","",L150+M150)</f>
        <v/>
      </c>
      <c r="O150" s="24" t="inlineStr">
        <is>
          <t>42800</t>
        </is>
      </c>
      <c r="P150" s="24" t="inlineStr">
        <is>
          <t>Y</t>
        </is>
      </c>
      <c r="Q150" s="24" t="inlineStr">
        <is>
          <t>N</t>
        </is>
      </c>
      <c r="R150" s="22" t="n"/>
      <c r="S150" s="22" t="n"/>
      <c r="T150" s="24" t="inlineStr">
        <is>
          <t>To Invoice</t>
        </is>
      </c>
      <c r="U150" s="24" t="inlineStr">
        <is>
          <t>Progress Claim 04</t>
        </is>
      </c>
      <c r="V150" s="25">
        <f>IF(COUNTA(A150,D150,C150,L150)=0,"",IF(A150="","No date - sits outside every month",IF(E150="","No job number",IF(F150="CHECK","Job number is not in the Xero job list",IF(I150="","No cost centre",IF(AND(P150="Y",C150=""),"Marked posted to Xero but has no invoice number",IF(AND(L150&lt;&gt;"",K150=""),"No tax code",IF(AND(L150&lt;&gt;"",O150=""),"No revenue GL code",""))))))))</f>
        <v/>
      </c>
      <c r="W150" s="25">
        <f>IF(E150="","",IFERROR(INDEX(lst_JobName,MATCH(E150&amp;"",lst_Jobs,0)),""))</f>
        <v/>
      </c>
      <c r="X150" s="28">
        <f>IF(E150="","",COUNTIFS(tbl_Finance[Job Number],E150&amp;"",tbl_Finance[Ex GST],"&lt;&gt;"))</f>
        <v/>
      </c>
      <c r="Y150" s="27">
        <f>IF(E150="","",SUMIFS(tbl_Finance[Ex GST],tbl_Finance[Job Number],E150&amp;""))</f>
        <v/>
      </c>
      <c r="Z150" s="27">
        <f>IF(E150="","",SUMIFS(tbl_Finance[Ex GST],tbl_Finance[Job Number],E150&amp;"",tbl_Finance[Xero Invoice No],"&lt;&gt;"))</f>
        <v/>
      </c>
      <c r="AA150" s="27">
        <f>IF(E150="","",Y150-Z150)</f>
        <v/>
      </c>
      <c r="AB150" s="25">
        <f>IF(E150="","",IF(H150="Onsite",IFERROR(INDEX(tbl_Onsite[Qwilr Quote],MATCH(E150&amp;"",tbl_Onsite[Job Number],0)),""),IF(H150="Production",IFERROR(INDEX(tbl_Production[Current RMS No],MATCH(E150&amp;"",tbl_Production[Job Number],0)),""),IF(H150="Consulting",IFERROR(INDEX(tbl_Consulting[Qwilr Quote],MATCH(E150&amp;"",tbl_Consulting[Job Number],0)),""),""))))</f>
        <v/>
      </c>
      <c r="AC150" s="25">
        <f>IF(AB150="","",IF(AND(LEFT(AB150,4)&lt;&gt;"http",IF(H150="Production",set_RMSBase,set_QwilrBase)=""),"",HYPERLINK(IF(LEFT(AB150,4)="http",AB150,IF(H150="Production",set_RMSBase,set_QwilrBase)&amp;AB150),"Open")))</f>
        <v/>
      </c>
      <c r="AD150" s="27">
        <f>IF(E150="","",IF(H150="Production",IFERROR(INDEX(tbl_Production[Total Expense],MATCH(E150&amp;"",tbl_Production[Job Number],0)),0),IF(H150="Consulting",IFERROR(INDEX(tbl_Consulting[Total Expense],MATCH(E150&amp;"",tbl_Consulting[Job Number],0)),0),0)))</f>
        <v/>
      </c>
      <c r="AE150" s="27">
        <f>IF(E150="","",Y150-N(AD150))</f>
        <v/>
      </c>
      <c r="AF150" s="29">
        <f>IFERROR(AE150/Y150,"")</f>
        <v/>
      </c>
      <c r="AG150" s="25">
        <f>IF(E150="","",IF(H150="Onsite",IFERROR(INDEX(tbl_Onsite[Notes],MATCH(E150&amp;"",tbl_Onsite[Job Number],0)),""),IF(H150="Production",IFERROR(INDEX(tbl_Production[Notes],MATCH(E150&amp;"",tbl_Production[Job Number],0)),""),IF(H150="Consulting",IFERROR(INDEX(tbl_Consulting[Notes],MATCH(E150&amp;"",tbl_Consulting[Job Number],0)),""),""))))</f>
        <v/>
      </c>
    </row>
    <row r="151" ht="15" customHeight="1">
      <c r="A151" s="22" t="n">
        <v>46190</v>
      </c>
      <c r="B151" s="23">
        <f>IF(A151="","",EOMONTH(A151,0))</f>
        <v/>
      </c>
      <c r="C151" s="24" t="inlineStr">
        <is>
          <t>INV-10462</t>
        </is>
      </c>
      <c r="D151" s="24" t="inlineStr">
        <is>
          <t>PwC</t>
        </is>
      </c>
      <c r="E151" s="24" t="inlineStr">
        <is>
          <t>26051801</t>
        </is>
      </c>
      <c r="F151" s="25">
        <f>IF(E151="","",IF(COUNTIF(lst_Jobs,E151&amp;"")&gt;0,"OK","CHECK"))</f>
        <v/>
      </c>
      <c r="G151" s="24" t="inlineStr">
        <is>
          <t>Mel Studio Equipment</t>
        </is>
      </c>
      <c r="H151" s="24" t="inlineStr">
        <is>
          <t>Consulting</t>
        </is>
      </c>
      <c r="I151" s="24" t="inlineStr">
        <is>
          <t>INTEGRATION</t>
        </is>
      </c>
      <c r="J151" s="24" t="inlineStr">
        <is>
          <t>Project</t>
        </is>
      </c>
      <c r="K151" s="24" t="inlineStr">
        <is>
          <t>GST 10%</t>
        </is>
      </c>
      <c r="L151" s="26" t="n">
        <v>12039</v>
      </c>
      <c r="M151" s="27">
        <f>IF(L151="","",IF(K151="GST 10%",ROUND(L151*set_GSTRate,2),0))</f>
        <v/>
      </c>
      <c r="N151" s="27">
        <f>IF(L151="","",L151+M151)</f>
        <v/>
      </c>
      <c r="O151" s="24" t="inlineStr">
        <is>
          <t>42300</t>
        </is>
      </c>
      <c r="P151" s="24" t="inlineStr">
        <is>
          <t>Y</t>
        </is>
      </c>
      <c r="Q151" s="24" t="inlineStr">
        <is>
          <t>N</t>
        </is>
      </c>
      <c r="R151" s="22" t="n"/>
      <c r="S151" s="22" t="n"/>
      <c r="T151" s="24" t="inlineStr">
        <is>
          <t>Invoiced</t>
        </is>
      </c>
      <c r="U151" s="24" t="n"/>
      <c r="V151" s="25">
        <f>IF(COUNTA(A151,D151,C151,L151)=0,"",IF(A151="","No date - sits outside every month",IF(E151="","No job number",IF(F151="CHECK","Job number is not in the Xero job list",IF(I151="","No cost centre",IF(AND(P151="Y",C151=""),"Marked posted to Xero but has no invoice number",IF(AND(L151&lt;&gt;"",K151=""),"No tax code",IF(AND(L151&lt;&gt;"",O151=""),"No revenue GL code",""))))))))</f>
        <v/>
      </c>
      <c r="W151" s="25">
        <f>IF(E151="","",IFERROR(INDEX(lst_JobName,MATCH(E151&amp;"",lst_Jobs,0)),""))</f>
        <v/>
      </c>
      <c r="X151" s="28">
        <f>IF(E151="","",COUNTIFS(tbl_Finance[Job Number],E151&amp;"",tbl_Finance[Ex GST],"&lt;&gt;"))</f>
        <v/>
      </c>
      <c r="Y151" s="27">
        <f>IF(E151="","",SUMIFS(tbl_Finance[Ex GST],tbl_Finance[Job Number],E151&amp;""))</f>
        <v/>
      </c>
      <c r="Z151" s="27">
        <f>IF(E151="","",SUMIFS(tbl_Finance[Ex GST],tbl_Finance[Job Number],E151&amp;"",tbl_Finance[Xero Invoice No],"&lt;&gt;"))</f>
        <v/>
      </c>
      <c r="AA151" s="27">
        <f>IF(E151="","",Y151-Z151)</f>
        <v/>
      </c>
      <c r="AB151" s="25">
        <f>IF(E151="","",IF(H151="Onsite",IFERROR(INDEX(tbl_Onsite[Qwilr Quote],MATCH(E151&amp;"",tbl_Onsite[Job Number],0)),""),IF(H151="Production",IFERROR(INDEX(tbl_Production[Current RMS No],MATCH(E151&amp;"",tbl_Production[Job Number],0)),""),IF(H151="Consulting",IFERROR(INDEX(tbl_Consulting[Qwilr Quote],MATCH(E151&amp;"",tbl_Consulting[Job Number],0)),""),""))))</f>
        <v/>
      </c>
      <c r="AC151" s="25">
        <f>IF(AB151="","",IF(AND(LEFT(AB151,4)&lt;&gt;"http",IF(H151="Production",set_RMSBase,set_QwilrBase)=""),"",HYPERLINK(IF(LEFT(AB151,4)="http",AB151,IF(H151="Production",set_RMSBase,set_QwilrBase)&amp;AB151),"Open")))</f>
        <v/>
      </c>
      <c r="AD151" s="27">
        <f>IF(E151="","",IF(H151="Production",IFERROR(INDEX(tbl_Production[Total Expense],MATCH(E151&amp;"",tbl_Production[Job Number],0)),0),IF(H151="Consulting",IFERROR(INDEX(tbl_Consulting[Total Expense],MATCH(E151&amp;"",tbl_Consulting[Job Number],0)),0),0)))</f>
        <v/>
      </c>
      <c r="AE151" s="27">
        <f>IF(E151="","",Y151-N(AD151))</f>
        <v/>
      </c>
      <c r="AF151" s="29">
        <f>IFERROR(AE151/Y151,"")</f>
        <v/>
      </c>
      <c r="AG151" s="25">
        <f>IF(E151="","",IF(H151="Onsite",IFERROR(INDEX(tbl_Onsite[Notes],MATCH(E151&amp;"",tbl_Onsite[Job Number],0)),""),IF(H151="Production",IFERROR(INDEX(tbl_Production[Notes],MATCH(E151&amp;"",tbl_Production[Job Number],0)),""),IF(H151="Consulting",IFERROR(INDEX(tbl_Consulting[Notes],MATCH(E151&amp;"",tbl_Consulting[Job Number],0)),""),""))))</f>
        <v/>
      </c>
    </row>
    <row r="152" ht="15" customHeight="1">
      <c r="A152" s="22" t="n">
        <v>46190</v>
      </c>
      <c r="B152" s="23">
        <f>IF(A152="","",EOMONTH(A152,0))</f>
        <v/>
      </c>
      <c r="C152" s="24" t="inlineStr">
        <is>
          <t>INV-10461</t>
        </is>
      </c>
      <c r="D152" s="24" t="inlineStr">
        <is>
          <t>PwC</t>
        </is>
      </c>
      <c r="E152" s="24" t="inlineStr">
        <is>
          <t>26043003</t>
        </is>
      </c>
      <c r="F152" s="25">
        <f>IF(E152="","",IF(COUNTIF(lst_Jobs,E152&amp;"")&gt;0,"OK","CHECK"))</f>
        <v/>
      </c>
      <c r="G152" s="24" t="inlineStr">
        <is>
          <t>Screen Replacements (SYD/MEL)</t>
        </is>
      </c>
      <c r="H152" s="24" t="inlineStr">
        <is>
          <t>Consulting</t>
        </is>
      </c>
      <c r="I152" s="24" t="inlineStr">
        <is>
          <t>INTEGRATION</t>
        </is>
      </c>
      <c r="J152" s="24" t="inlineStr">
        <is>
          <t>Project</t>
        </is>
      </c>
      <c r="K152" s="24" t="inlineStr">
        <is>
          <t>GST 10%</t>
        </is>
      </c>
      <c r="L152" s="26" t="n">
        <v>96068</v>
      </c>
      <c r="M152" s="27">
        <f>IF(L152="","",IF(K152="GST 10%",ROUND(L152*set_GSTRate,2),0))</f>
        <v/>
      </c>
      <c r="N152" s="27">
        <f>IF(L152="","",L152+M152)</f>
        <v/>
      </c>
      <c r="O152" s="24" t="inlineStr">
        <is>
          <t>42300</t>
        </is>
      </c>
      <c r="P152" s="24" t="inlineStr">
        <is>
          <t>Y</t>
        </is>
      </c>
      <c r="Q152" s="24" t="inlineStr">
        <is>
          <t>N</t>
        </is>
      </c>
      <c r="R152" s="22" t="n"/>
      <c r="S152" s="22" t="n"/>
      <c r="T152" s="24" t="inlineStr">
        <is>
          <t>Paid</t>
        </is>
      </c>
      <c r="U152" s="24" t="n"/>
      <c r="V152" s="25">
        <f>IF(COUNTA(A152,D152,C152,L152)=0,"",IF(A152="","No date - sits outside every month",IF(E152="","No job number",IF(F152="CHECK","Job number is not in the Xero job list",IF(I152="","No cost centre",IF(AND(P152="Y",C152=""),"Marked posted to Xero but has no invoice number",IF(AND(L152&lt;&gt;"",K152=""),"No tax code",IF(AND(L152&lt;&gt;"",O152=""),"No revenue GL code",""))))))))</f>
        <v/>
      </c>
      <c r="W152" s="25">
        <f>IF(E152="","",IFERROR(INDEX(lst_JobName,MATCH(E152&amp;"",lst_Jobs,0)),""))</f>
        <v/>
      </c>
      <c r="X152" s="28">
        <f>IF(E152="","",COUNTIFS(tbl_Finance[Job Number],E152&amp;"",tbl_Finance[Ex GST],"&lt;&gt;"))</f>
        <v/>
      </c>
      <c r="Y152" s="27">
        <f>IF(E152="","",SUMIFS(tbl_Finance[Ex GST],tbl_Finance[Job Number],E152&amp;""))</f>
        <v/>
      </c>
      <c r="Z152" s="27">
        <f>IF(E152="","",SUMIFS(tbl_Finance[Ex GST],tbl_Finance[Job Number],E152&amp;"",tbl_Finance[Xero Invoice No],"&lt;&gt;"))</f>
        <v/>
      </c>
      <c r="AA152" s="27">
        <f>IF(E152="","",Y152-Z152)</f>
        <v/>
      </c>
      <c r="AB152" s="25">
        <f>IF(E152="","",IF(H152="Onsite",IFERROR(INDEX(tbl_Onsite[Qwilr Quote],MATCH(E152&amp;"",tbl_Onsite[Job Number],0)),""),IF(H152="Production",IFERROR(INDEX(tbl_Production[Current RMS No],MATCH(E152&amp;"",tbl_Production[Job Number],0)),""),IF(H152="Consulting",IFERROR(INDEX(tbl_Consulting[Qwilr Quote],MATCH(E152&amp;"",tbl_Consulting[Job Number],0)),""),""))))</f>
        <v/>
      </c>
      <c r="AC152" s="25">
        <f>IF(AB152="","",IF(AND(LEFT(AB152,4)&lt;&gt;"http",IF(H152="Production",set_RMSBase,set_QwilrBase)=""),"",HYPERLINK(IF(LEFT(AB152,4)="http",AB152,IF(H152="Production",set_RMSBase,set_QwilrBase)&amp;AB152),"Open")))</f>
        <v/>
      </c>
      <c r="AD152" s="27">
        <f>IF(E152="","",IF(H152="Production",IFERROR(INDEX(tbl_Production[Total Expense],MATCH(E152&amp;"",tbl_Production[Job Number],0)),0),IF(H152="Consulting",IFERROR(INDEX(tbl_Consulting[Total Expense],MATCH(E152&amp;"",tbl_Consulting[Job Number],0)),0),0)))</f>
        <v/>
      </c>
      <c r="AE152" s="27">
        <f>IF(E152="","",Y152-N(AD152))</f>
        <v/>
      </c>
      <c r="AF152" s="29">
        <f>IFERROR(AE152/Y152,"")</f>
        <v/>
      </c>
      <c r="AG152" s="25">
        <f>IF(E152="","",IF(H152="Onsite",IFERROR(INDEX(tbl_Onsite[Notes],MATCH(E152&amp;"",tbl_Onsite[Job Number],0)),""),IF(H152="Production",IFERROR(INDEX(tbl_Production[Notes],MATCH(E152&amp;"",tbl_Production[Job Number],0)),""),IF(H152="Consulting",IFERROR(INDEX(tbl_Consulting[Notes],MATCH(E152&amp;"",tbl_Consulting[Job Number],0)),""),""))))</f>
        <v/>
      </c>
    </row>
    <row r="153" ht="15" customHeight="1">
      <c r="A153" s="22" t="n">
        <v>46198</v>
      </c>
      <c r="B153" s="23">
        <f>IF(A153="","",EOMONTH(A153,0))</f>
        <v/>
      </c>
      <c r="C153" s="24" t="inlineStr">
        <is>
          <t>INV-10500</t>
        </is>
      </c>
      <c r="D153" s="24" t="inlineStr">
        <is>
          <t>PwC</t>
        </is>
      </c>
      <c r="E153" s="24" t="inlineStr">
        <is>
          <t>2606901</t>
        </is>
      </c>
      <c r="F153" s="25">
        <f>IF(E153="","",IF(COUNTIF(lst_Jobs,E153&amp;"")&gt;0,"OK","CHECK"))</f>
        <v/>
      </c>
      <c r="G153" s="24" t="inlineStr">
        <is>
          <t>Sydney Office box drop</t>
        </is>
      </c>
      <c r="H153" s="24" t="inlineStr">
        <is>
          <t>Consulting</t>
        </is>
      </c>
      <c r="I153" s="24" t="inlineStr">
        <is>
          <t>INTEGRATION</t>
        </is>
      </c>
      <c r="J153" s="24" t="inlineStr">
        <is>
          <t>Project</t>
        </is>
      </c>
      <c r="K153" s="24" t="inlineStr">
        <is>
          <t>GST 10%</t>
        </is>
      </c>
      <c r="L153" s="26" t="n">
        <v>561</v>
      </c>
      <c r="M153" s="27">
        <f>IF(L153="","",IF(K153="GST 10%",ROUND(L153*set_GSTRate,2),0))</f>
        <v/>
      </c>
      <c r="N153" s="27">
        <f>IF(L153="","",L153+M153)</f>
        <v/>
      </c>
      <c r="O153" s="24" t="inlineStr">
        <is>
          <t>42300</t>
        </is>
      </c>
      <c r="P153" s="24" t="inlineStr">
        <is>
          <t>Y</t>
        </is>
      </c>
      <c r="Q153" s="24" t="inlineStr">
        <is>
          <t>N</t>
        </is>
      </c>
      <c r="R153" s="22" t="n"/>
      <c r="S153" s="22" t="n"/>
      <c r="T153" s="24" t="inlineStr">
        <is>
          <t>Paid</t>
        </is>
      </c>
      <c r="U153" s="24" t="n"/>
      <c r="V153" s="25">
        <f>IF(COUNTA(A153,D153,C153,L153)=0,"",IF(A153="","No date - sits outside every month",IF(E153="","No job number",IF(F153="CHECK","Job number is not in the Xero job list",IF(I153="","No cost centre",IF(AND(P153="Y",C153=""),"Marked posted to Xero but has no invoice number",IF(AND(L153&lt;&gt;"",K153=""),"No tax code",IF(AND(L153&lt;&gt;"",O153=""),"No revenue GL code",""))))))))</f>
        <v/>
      </c>
      <c r="W153" s="25">
        <f>IF(E153="","",IFERROR(INDEX(lst_JobName,MATCH(E153&amp;"",lst_Jobs,0)),""))</f>
        <v/>
      </c>
      <c r="X153" s="28">
        <f>IF(E153="","",COUNTIFS(tbl_Finance[Job Number],E153&amp;"",tbl_Finance[Ex GST],"&lt;&gt;"))</f>
        <v/>
      </c>
      <c r="Y153" s="27">
        <f>IF(E153="","",SUMIFS(tbl_Finance[Ex GST],tbl_Finance[Job Number],E153&amp;""))</f>
        <v/>
      </c>
      <c r="Z153" s="27">
        <f>IF(E153="","",SUMIFS(tbl_Finance[Ex GST],tbl_Finance[Job Number],E153&amp;"",tbl_Finance[Xero Invoice No],"&lt;&gt;"))</f>
        <v/>
      </c>
      <c r="AA153" s="27">
        <f>IF(E153="","",Y153-Z153)</f>
        <v/>
      </c>
      <c r="AB153" s="25">
        <f>IF(E153="","",IF(H153="Onsite",IFERROR(INDEX(tbl_Onsite[Qwilr Quote],MATCH(E153&amp;"",tbl_Onsite[Job Number],0)),""),IF(H153="Production",IFERROR(INDEX(tbl_Production[Current RMS No],MATCH(E153&amp;"",tbl_Production[Job Number],0)),""),IF(H153="Consulting",IFERROR(INDEX(tbl_Consulting[Qwilr Quote],MATCH(E153&amp;"",tbl_Consulting[Job Number],0)),""),""))))</f>
        <v/>
      </c>
      <c r="AC153" s="25">
        <f>IF(AB153="","",IF(AND(LEFT(AB153,4)&lt;&gt;"http",IF(H153="Production",set_RMSBase,set_QwilrBase)=""),"",HYPERLINK(IF(LEFT(AB153,4)="http",AB153,IF(H153="Production",set_RMSBase,set_QwilrBase)&amp;AB153),"Open")))</f>
        <v/>
      </c>
      <c r="AD153" s="27">
        <f>IF(E153="","",IF(H153="Production",IFERROR(INDEX(tbl_Production[Total Expense],MATCH(E153&amp;"",tbl_Production[Job Number],0)),0),IF(H153="Consulting",IFERROR(INDEX(tbl_Consulting[Total Expense],MATCH(E153&amp;"",tbl_Consulting[Job Number],0)),0),0)))</f>
        <v/>
      </c>
      <c r="AE153" s="27">
        <f>IF(E153="","",Y153-N(AD153))</f>
        <v/>
      </c>
      <c r="AF153" s="29">
        <f>IFERROR(AE153/Y153,"")</f>
        <v/>
      </c>
      <c r="AG153" s="25">
        <f>IF(E153="","",IF(H153="Onsite",IFERROR(INDEX(tbl_Onsite[Notes],MATCH(E153&amp;"",tbl_Onsite[Job Number],0)),""),IF(H153="Production",IFERROR(INDEX(tbl_Production[Notes],MATCH(E153&amp;"",tbl_Production[Job Number],0)),""),IF(H153="Consulting",IFERROR(INDEX(tbl_Consulting[Notes],MATCH(E153&amp;"",tbl_Consulting[Job Number],0)),""),""))))</f>
        <v/>
      </c>
    </row>
    <row r="154" ht="15" customHeight="1">
      <c r="A154" s="22" t="n">
        <v>46198</v>
      </c>
      <c r="B154" s="23">
        <f>IF(A154="","",EOMONTH(A154,0))</f>
        <v/>
      </c>
      <c r="C154" s="24" t="inlineStr">
        <is>
          <t>INV-10499</t>
        </is>
      </c>
      <c r="D154" s="24" t="inlineStr">
        <is>
          <t>YSG Studio</t>
        </is>
      </c>
      <c r="E154" s="24" t="inlineStr">
        <is>
          <t>2602203</t>
        </is>
      </c>
      <c r="F154" s="25">
        <f>IF(E154="","",IF(COUNTIF(lst_Jobs,E154&amp;"")&gt;0,"OK","CHECK"))</f>
        <v/>
      </c>
      <c r="G154" s="24" t="inlineStr">
        <is>
          <t>Orange Room Upgrade CONS</t>
        </is>
      </c>
      <c r="H154" s="24" t="inlineStr">
        <is>
          <t>Consulting</t>
        </is>
      </c>
      <c r="I154" s="24" t="inlineStr">
        <is>
          <t>CONSULTING</t>
        </is>
      </c>
      <c r="J154" s="24" t="inlineStr">
        <is>
          <t>Project</t>
        </is>
      </c>
      <c r="K154" s="24" t="inlineStr">
        <is>
          <t>GST 10%</t>
        </is>
      </c>
      <c r="L154" s="26" t="n">
        <v>2247.5</v>
      </c>
      <c r="M154" s="27">
        <f>IF(L154="","",IF(K154="GST 10%",ROUND(L154*set_GSTRate,2),0))</f>
        <v/>
      </c>
      <c r="N154" s="27">
        <f>IF(L154="","",L154+M154)</f>
        <v/>
      </c>
      <c r="O154" s="24" t="inlineStr">
        <is>
          <t>42800</t>
        </is>
      </c>
      <c r="P154" s="24" t="inlineStr">
        <is>
          <t>Y</t>
        </is>
      </c>
      <c r="Q154" s="24" t="inlineStr">
        <is>
          <t>N</t>
        </is>
      </c>
      <c r="R154" s="22" t="n"/>
      <c r="S154" s="22" t="n"/>
      <c r="T154" s="24" t="inlineStr">
        <is>
          <t>To Invoice</t>
        </is>
      </c>
      <c r="U154" s="24" t="inlineStr">
        <is>
          <t>Progress Claim 03</t>
        </is>
      </c>
      <c r="V154" s="25">
        <f>IF(COUNTA(A154,D154,C154,L154)=0,"",IF(A154="","No date - sits outside every month",IF(E154="","No job number",IF(F154="CHECK","Job number is not in the Xero job list",IF(I154="","No cost centre",IF(AND(P154="Y",C154=""),"Marked posted to Xero but has no invoice number",IF(AND(L154&lt;&gt;"",K154=""),"No tax code",IF(AND(L154&lt;&gt;"",O154=""),"No revenue GL code",""))))))))</f>
        <v/>
      </c>
      <c r="W154" s="25">
        <f>IF(E154="","",IFERROR(INDEX(lst_JobName,MATCH(E154&amp;"",lst_Jobs,0)),""))</f>
        <v/>
      </c>
      <c r="X154" s="28">
        <f>IF(E154="","",COUNTIFS(tbl_Finance[Job Number],E154&amp;"",tbl_Finance[Ex GST],"&lt;&gt;"))</f>
        <v/>
      </c>
      <c r="Y154" s="27">
        <f>IF(E154="","",SUMIFS(tbl_Finance[Ex GST],tbl_Finance[Job Number],E154&amp;""))</f>
        <v/>
      </c>
      <c r="Z154" s="27">
        <f>IF(E154="","",SUMIFS(tbl_Finance[Ex GST],tbl_Finance[Job Number],E154&amp;"",tbl_Finance[Xero Invoice No],"&lt;&gt;"))</f>
        <v/>
      </c>
      <c r="AA154" s="27">
        <f>IF(E154="","",Y154-Z154)</f>
        <v/>
      </c>
      <c r="AB154" s="25">
        <f>IF(E154="","",IF(H154="Onsite",IFERROR(INDEX(tbl_Onsite[Qwilr Quote],MATCH(E154&amp;"",tbl_Onsite[Job Number],0)),""),IF(H154="Production",IFERROR(INDEX(tbl_Production[Current RMS No],MATCH(E154&amp;"",tbl_Production[Job Number],0)),""),IF(H154="Consulting",IFERROR(INDEX(tbl_Consulting[Qwilr Quote],MATCH(E154&amp;"",tbl_Consulting[Job Number],0)),""),""))))</f>
        <v/>
      </c>
      <c r="AC154" s="25">
        <f>IF(AB154="","",IF(AND(LEFT(AB154,4)&lt;&gt;"http",IF(H154="Production",set_RMSBase,set_QwilrBase)=""),"",HYPERLINK(IF(LEFT(AB154,4)="http",AB154,IF(H154="Production",set_RMSBase,set_QwilrBase)&amp;AB154),"Open")))</f>
        <v/>
      </c>
      <c r="AD154" s="27">
        <f>IF(E154="","",IF(H154="Production",IFERROR(INDEX(tbl_Production[Total Expense],MATCH(E154&amp;"",tbl_Production[Job Number],0)),0),IF(H154="Consulting",IFERROR(INDEX(tbl_Consulting[Total Expense],MATCH(E154&amp;"",tbl_Consulting[Job Number],0)),0),0)))</f>
        <v/>
      </c>
      <c r="AE154" s="27">
        <f>IF(E154="","",Y154-N(AD154))</f>
        <v/>
      </c>
      <c r="AF154" s="29">
        <f>IFERROR(AE154/Y154,"")</f>
        <v/>
      </c>
      <c r="AG154" s="25">
        <f>IF(E154="","",IF(H154="Onsite",IFERROR(INDEX(tbl_Onsite[Notes],MATCH(E154&amp;"",tbl_Onsite[Job Number],0)),""),IF(H154="Production",IFERROR(INDEX(tbl_Production[Notes],MATCH(E154&amp;"",tbl_Production[Job Number],0)),""),IF(H154="Consulting",IFERROR(INDEX(tbl_Consulting[Notes],MATCH(E154&amp;"",tbl_Consulting[Job Number],0)),""),""))))</f>
        <v/>
      </c>
    </row>
    <row r="155" ht="15" customHeight="1">
      <c r="A155" s="22" t="n">
        <v>46203</v>
      </c>
      <c r="B155" s="23">
        <f>IF(A155="","",EOMONTH(A155,0))</f>
        <v/>
      </c>
      <c r="C155" s="24" t="inlineStr">
        <is>
          <t>INV-10510</t>
        </is>
      </c>
      <c r="D155" s="24" t="inlineStr">
        <is>
          <t>CoS</t>
        </is>
      </c>
      <c r="E155" s="24" t="inlineStr">
        <is>
          <t>25111203</t>
        </is>
      </c>
      <c r="F155" s="25">
        <f>IF(E155="","",IF(COUNTIF(lst_Jobs,E155&amp;"")&gt;0,"OK","CHECK"))</f>
        <v/>
      </c>
      <c r="G155" s="24" t="inlineStr">
        <is>
          <t>Barco E3 Sale</t>
        </is>
      </c>
      <c r="H155" s="24" t="inlineStr">
        <is>
          <t>Consulting</t>
        </is>
      </c>
      <c r="I155" s="24" t="inlineStr">
        <is>
          <t>INTEGRATION</t>
        </is>
      </c>
      <c r="J155" s="24" t="inlineStr">
        <is>
          <t>Project</t>
        </is>
      </c>
      <c r="K155" s="24" t="inlineStr">
        <is>
          <t>GST 10%</t>
        </is>
      </c>
      <c r="L155" s="26" t="n">
        <v>159150</v>
      </c>
      <c r="M155" s="27">
        <f>IF(L155="","",IF(K155="GST 10%",ROUND(L155*set_GSTRate,2),0))</f>
        <v/>
      </c>
      <c r="N155" s="27">
        <f>IF(L155="","",L155+M155)</f>
        <v/>
      </c>
      <c r="O155" s="24" t="inlineStr">
        <is>
          <t>42300</t>
        </is>
      </c>
      <c r="P155" s="24" t="inlineStr">
        <is>
          <t>Y</t>
        </is>
      </c>
      <c r="Q155" s="24" t="inlineStr">
        <is>
          <t>N</t>
        </is>
      </c>
      <c r="R155" s="22" t="n"/>
      <c r="S155" s="22" t="n"/>
      <c r="T155" s="24" t="inlineStr">
        <is>
          <t>Paid</t>
        </is>
      </c>
      <c r="U155" s="24" t="n"/>
      <c r="V155" s="25">
        <f>IF(COUNTA(A155,D155,C155,L155)=0,"",IF(A155="","No date - sits outside every month",IF(E155="","No job number",IF(F155="CHECK","Job number is not in the Xero job list",IF(I155="","No cost centre",IF(AND(P155="Y",C155=""),"Marked posted to Xero but has no invoice number",IF(AND(L155&lt;&gt;"",K155=""),"No tax code",IF(AND(L155&lt;&gt;"",O155=""),"No revenue GL code",""))))))))</f>
        <v/>
      </c>
      <c r="W155" s="25">
        <f>IF(E155="","",IFERROR(INDEX(lst_JobName,MATCH(E155&amp;"",lst_Jobs,0)),""))</f>
        <v/>
      </c>
      <c r="X155" s="28">
        <f>IF(E155="","",COUNTIFS(tbl_Finance[Job Number],E155&amp;"",tbl_Finance[Ex GST],"&lt;&gt;"))</f>
        <v/>
      </c>
      <c r="Y155" s="27">
        <f>IF(E155="","",SUMIFS(tbl_Finance[Ex GST],tbl_Finance[Job Number],E155&amp;""))</f>
        <v/>
      </c>
      <c r="Z155" s="27">
        <f>IF(E155="","",SUMIFS(tbl_Finance[Ex GST],tbl_Finance[Job Number],E155&amp;"",tbl_Finance[Xero Invoice No],"&lt;&gt;"))</f>
        <v/>
      </c>
      <c r="AA155" s="27">
        <f>IF(E155="","",Y155-Z155)</f>
        <v/>
      </c>
      <c r="AB155" s="25">
        <f>IF(E155="","",IF(H155="Onsite",IFERROR(INDEX(tbl_Onsite[Qwilr Quote],MATCH(E155&amp;"",tbl_Onsite[Job Number],0)),""),IF(H155="Production",IFERROR(INDEX(tbl_Production[Current RMS No],MATCH(E155&amp;"",tbl_Production[Job Number],0)),""),IF(H155="Consulting",IFERROR(INDEX(tbl_Consulting[Qwilr Quote],MATCH(E155&amp;"",tbl_Consulting[Job Number],0)),""),""))))</f>
        <v/>
      </c>
      <c r="AC155" s="25">
        <f>IF(AB155="","",IF(AND(LEFT(AB155,4)&lt;&gt;"http",IF(H155="Production",set_RMSBase,set_QwilrBase)=""),"",HYPERLINK(IF(LEFT(AB155,4)="http",AB155,IF(H155="Production",set_RMSBase,set_QwilrBase)&amp;AB155),"Open")))</f>
        <v/>
      </c>
      <c r="AD155" s="27">
        <f>IF(E155="","",IF(H155="Production",IFERROR(INDEX(tbl_Production[Total Expense],MATCH(E155&amp;"",tbl_Production[Job Number],0)),0),IF(H155="Consulting",IFERROR(INDEX(tbl_Consulting[Total Expense],MATCH(E155&amp;"",tbl_Consulting[Job Number],0)),0),0)))</f>
        <v/>
      </c>
      <c r="AE155" s="27">
        <f>IF(E155="","",Y155-N(AD155))</f>
        <v/>
      </c>
      <c r="AF155" s="29">
        <f>IFERROR(AE155/Y155,"")</f>
        <v/>
      </c>
      <c r="AG155" s="25">
        <f>IF(E155="","",IF(H155="Onsite",IFERROR(INDEX(tbl_Onsite[Notes],MATCH(E155&amp;"",tbl_Onsite[Job Number],0)),""),IF(H155="Production",IFERROR(INDEX(tbl_Production[Notes],MATCH(E155&amp;"",tbl_Production[Job Number],0)),""),IF(H155="Consulting",IFERROR(INDEX(tbl_Consulting[Notes],MATCH(E155&amp;"",tbl_Consulting[Job Number],0)),""),""))))</f>
        <v/>
      </c>
    </row>
    <row r="156" ht="15" customHeight="1">
      <c r="A156" s="22" t="n">
        <v>46203</v>
      </c>
      <c r="B156" s="23">
        <f>IF(A156="","",EOMONTH(A156,0))</f>
        <v/>
      </c>
      <c r="C156" s="24" t="inlineStr">
        <is>
          <t>INV-10355</t>
        </is>
      </c>
      <c r="D156" s="24" t="inlineStr">
        <is>
          <t>DTTL</t>
        </is>
      </c>
      <c r="E156" s="24" t="inlineStr">
        <is>
          <t>26033003</t>
        </is>
      </c>
      <c r="F156" s="25">
        <f>IF(E156="","",IF(COUNTIF(lst_Jobs,E156&amp;"")&gt;0,"OK","CHECK"))</f>
        <v/>
      </c>
      <c r="G156" s="24" t="inlineStr">
        <is>
          <t>8PSQ-Dream-Big-Microphones</t>
        </is>
      </c>
      <c r="H156" s="24" t="inlineStr">
        <is>
          <t>Consulting</t>
        </is>
      </c>
      <c r="I156" s="24" t="inlineStr">
        <is>
          <t>INTEGRATION</t>
        </is>
      </c>
      <c r="J156" s="24" t="inlineStr">
        <is>
          <t>Project</t>
        </is>
      </c>
      <c r="K156" s="24" t="inlineStr">
        <is>
          <t>GST 10%</t>
        </is>
      </c>
      <c r="L156" s="26" t="n">
        <v>27408</v>
      </c>
      <c r="M156" s="27">
        <f>IF(L156="","",IF(K156="GST 10%",ROUND(L156*set_GSTRate,2),0))</f>
        <v/>
      </c>
      <c r="N156" s="27">
        <f>IF(L156="","",L156+M156)</f>
        <v/>
      </c>
      <c r="O156" s="24" t="inlineStr">
        <is>
          <t>42300</t>
        </is>
      </c>
      <c r="P156" s="24" t="inlineStr">
        <is>
          <t>Y</t>
        </is>
      </c>
      <c r="Q156" s="24" t="inlineStr">
        <is>
          <t>N</t>
        </is>
      </c>
      <c r="R156" s="22" t="n"/>
      <c r="S156" s="22" t="n"/>
      <c r="T156" s="24" t="inlineStr">
        <is>
          <t>Paid</t>
        </is>
      </c>
      <c r="U156" s="24" t="inlineStr">
        <is>
          <t>Invoiced in DTTL Additionals</t>
        </is>
      </c>
      <c r="V156" s="25">
        <f>IF(COUNTA(A156,D156,C156,L156)=0,"",IF(A156="","No date - sits outside every month",IF(E156="","No job number",IF(F156="CHECK","Job number is not in the Xero job list",IF(I156="","No cost centre",IF(AND(P156="Y",C156=""),"Marked posted to Xero but has no invoice number",IF(AND(L156&lt;&gt;"",K156=""),"No tax code",IF(AND(L156&lt;&gt;"",O156=""),"No revenue GL code",""))))))))</f>
        <v/>
      </c>
      <c r="W156" s="25">
        <f>IF(E156="","",IFERROR(INDEX(lst_JobName,MATCH(E156&amp;"",lst_Jobs,0)),""))</f>
        <v/>
      </c>
      <c r="X156" s="28">
        <f>IF(E156="","",COUNTIFS(tbl_Finance[Job Number],E156&amp;"",tbl_Finance[Ex GST],"&lt;&gt;"))</f>
        <v/>
      </c>
      <c r="Y156" s="27">
        <f>IF(E156="","",SUMIFS(tbl_Finance[Ex GST],tbl_Finance[Job Number],E156&amp;""))</f>
        <v/>
      </c>
      <c r="Z156" s="27">
        <f>IF(E156="","",SUMIFS(tbl_Finance[Ex GST],tbl_Finance[Job Number],E156&amp;"",tbl_Finance[Xero Invoice No],"&lt;&gt;"))</f>
        <v/>
      </c>
      <c r="AA156" s="27">
        <f>IF(E156="","",Y156-Z156)</f>
        <v/>
      </c>
      <c r="AB156" s="25">
        <f>IF(E156="","",IF(H156="Onsite",IFERROR(INDEX(tbl_Onsite[Qwilr Quote],MATCH(E156&amp;"",tbl_Onsite[Job Number],0)),""),IF(H156="Production",IFERROR(INDEX(tbl_Production[Current RMS No],MATCH(E156&amp;"",tbl_Production[Job Number],0)),""),IF(H156="Consulting",IFERROR(INDEX(tbl_Consulting[Qwilr Quote],MATCH(E156&amp;"",tbl_Consulting[Job Number],0)),""),""))))</f>
        <v/>
      </c>
      <c r="AC156" s="25">
        <f>IF(AB156="","",IF(AND(LEFT(AB156,4)&lt;&gt;"http",IF(H156="Production",set_RMSBase,set_QwilrBase)=""),"",HYPERLINK(IF(LEFT(AB156,4)="http",AB156,IF(H156="Production",set_RMSBase,set_QwilrBase)&amp;AB156),"Open")))</f>
        <v/>
      </c>
      <c r="AD156" s="27">
        <f>IF(E156="","",IF(H156="Production",IFERROR(INDEX(tbl_Production[Total Expense],MATCH(E156&amp;"",tbl_Production[Job Number],0)),0),IF(H156="Consulting",IFERROR(INDEX(tbl_Consulting[Total Expense],MATCH(E156&amp;"",tbl_Consulting[Job Number],0)),0),0)))</f>
        <v/>
      </c>
      <c r="AE156" s="27">
        <f>IF(E156="","",Y156-N(AD156))</f>
        <v/>
      </c>
      <c r="AF156" s="29">
        <f>IFERROR(AE156/Y156,"")</f>
        <v/>
      </c>
      <c r="AG156" s="25">
        <f>IF(E156="","",IF(H156="Onsite",IFERROR(INDEX(tbl_Onsite[Notes],MATCH(E156&amp;"",tbl_Onsite[Job Number],0)),""),IF(H156="Production",IFERROR(INDEX(tbl_Production[Notes],MATCH(E156&amp;"",tbl_Production[Job Number],0)),""),IF(H156="Consulting",IFERROR(INDEX(tbl_Consulting[Notes],MATCH(E156&amp;"",tbl_Consulting[Job Number],0)),""),""))))</f>
        <v/>
      </c>
    </row>
    <row r="157" ht="15" customHeight="1">
      <c r="A157" s="22" t="n">
        <v>46203</v>
      </c>
      <c r="B157" s="23">
        <f>IF(A157="","",EOMONTH(A157,0))</f>
        <v/>
      </c>
      <c r="C157" s="24" t="inlineStr">
        <is>
          <t>INV-10355</t>
        </is>
      </c>
      <c r="D157" s="24" t="inlineStr">
        <is>
          <t>DTTL</t>
        </is>
      </c>
      <c r="E157" s="24" t="inlineStr">
        <is>
          <t>26033005</t>
        </is>
      </c>
      <c r="F157" s="25">
        <f>IF(E157="","",IF(COUNTIF(lst_Jobs,E157&amp;"")&gt;0,"OK","CHECK"))</f>
        <v/>
      </c>
      <c r="G157" s="24" t="inlineStr">
        <is>
          <t>QQT &amp; 8PSQ_Crestron Connect Adaptor</t>
        </is>
      </c>
      <c r="H157" s="24" t="inlineStr">
        <is>
          <t>Consulting</t>
        </is>
      </c>
      <c r="I157" s="24" t="inlineStr">
        <is>
          <t>INTEGRATION</t>
        </is>
      </c>
      <c r="J157" s="24" t="inlineStr">
        <is>
          <t>Project</t>
        </is>
      </c>
      <c r="K157" s="24" t="inlineStr">
        <is>
          <t>GST 10%</t>
        </is>
      </c>
      <c r="L157" s="26" t="n">
        <v>20128</v>
      </c>
      <c r="M157" s="27">
        <f>IF(L157="","",IF(K157="GST 10%",ROUND(L157*set_GSTRate,2),0))</f>
        <v/>
      </c>
      <c r="N157" s="27">
        <f>IF(L157="","",L157+M157)</f>
        <v/>
      </c>
      <c r="O157" s="24" t="inlineStr">
        <is>
          <t>42300</t>
        </is>
      </c>
      <c r="P157" s="24" t="inlineStr">
        <is>
          <t>Y</t>
        </is>
      </c>
      <c r="Q157" s="24" t="inlineStr">
        <is>
          <t>N</t>
        </is>
      </c>
      <c r="R157" s="22" t="n"/>
      <c r="S157" s="22" t="n"/>
      <c r="T157" s="24" t="inlineStr">
        <is>
          <t>To Invoice</t>
        </is>
      </c>
      <c r="U157" s="24" t="n"/>
      <c r="V157" s="25">
        <f>IF(COUNTA(A157,D157,C157,L157)=0,"",IF(A157="","No date - sits outside every month",IF(E157="","No job number",IF(F157="CHECK","Job number is not in the Xero job list",IF(I157="","No cost centre",IF(AND(P157="Y",C157=""),"Marked posted to Xero but has no invoice number",IF(AND(L157&lt;&gt;"",K157=""),"No tax code",IF(AND(L157&lt;&gt;"",O157=""),"No revenue GL code",""))))))))</f>
        <v/>
      </c>
      <c r="W157" s="25">
        <f>IF(E157="","",IFERROR(INDEX(lst_JobName,MATCH(E157&amp;"",lst_Jobs,0)),""))</f>
        <v/>
      </c>
      <c r="X157" s="28">
        <f>IF(E157="","",COUNTIFS(tbl_Finance[Job Number],E157&amp;"",tbl_Finance[Ex GST],"&lt;&gt;"))</f>
        <v/>
      </c>
      <c r="Y157" s="27">
        <f>IF(E157="","",SUMIFS(tbl_Finance[Ex GST],tbl_Finance[Job Number],E157&amp;""))</f>
        <v/>
      </c>
      <c r="Z157" s="27">
        <f>IF(E157="","",SUMIFS(tbl_Finance[Ex GST],tbl_Finance[Job Number],E157&amp;"",tbl_Finance[Xero Invoice No],"&lt;&gt;"))</f>
        <v/>
      </c>
      <c r="AA157" s="27">
        <f>IF(E157="","",Y157-Z157)</f>
        <v/>
      </c>
      <c r="AB157" s="25">
        <f>IF(E157="","",IF(H157="Onsite",IFERROR(INDEX(tbl_Onsite[Qwilr Quote],MATCH(E157&amp;"",tbl_Onsite[Job Number],0)),""),IF(H157="Production",IFERROR(INDEX(tbl_Production[Current RMS No],MATCH(E157&amp;"",tbl_Production[Job Number],0)),""),IF(H157="Consulting",IFERROR(INDEX(tbl_Consulting[Qwilr Quote],MATCH(E157&amp;"",tbl_Consulting[Job Number],0)),""),""))))</f>
        <v/>
      </c>
      <c r="AC157" s="25">
        <f>IF(AB157="","",IF(AND(LEFT(AB157,4)&lt;&gt;"http",IF(H157="Production",set_RMSBase,set_QwilrBase)=""),"",HYPERLINK(IF(LEFT(AB157,4)="http",AB157,IF(H157="Production",set_RMSBase,set_QwilrBase)&amp;AB157),"Open")))</f>
        <v/>
      </c>
      <c r="AD157" s="27">
        <f>IF(E157="","",IF(H157="Production",IFERROR(INDEX(tbl_Production[Total Expense],MATCH(E157&amp;"",tbl_Production[Job Number],0)),0),IF(H157="Consulting",IFERROR(INDEX(tbl_Consulting[Total Expense],MATCH(E157&amp;"",tbl_Consulting[Job Number],0)),0),0)))</f>
        <v/>
      </c>
      <c r="AE157" s="27">
        <f>IF(E157="","",Y157-N(AD157))</f>
        <v/>
      </c>
      <c r="AF157" s="29">
        <f>IFERROR(AE157/Y157,"")</f>
        <v/>
      </c>
      <c r="AG157" s="25">
        <f>IF(E157="","",IF(H157="Onsite",IFERROR(INDEX(tbl_Onsite[Notes],MATCH(E157&amp;"",tbl_Onsite[Job Number],0)),""),IF(H157="Production",IFERROR(INDEX(tbl_Production[Notes],MATCH(E157&amp;"",tbl_Production[Job Number],0)),""),IF(H157="Consulting",IFERROR(INDEX(tbl_Consulting[Notes],MATCH(E157&amp;"",tbl_Consulting[Job Number],0)),""),""))))</f>
        <v/>
      </c>
    </row>
    <row r="158" ht="15" customHeight="1">
      <c r="A158" s="22" t="n">
        <v>46203</v>
      </c>
      <c r="B158" s="23">
        <f>IF(A158="","",EOMONTH(A158,0))</f>
        <v/>
      </c>
      <c r="C158" s="24" t="inlineStr">
        <is>
          <t>INV-10355</t>
        </is>
      </c>
      <c r="D158" s="24" t="inlineStr">
        <is>
          <t>DTTL</t>
        </is>
      </c>
      <c r="E158" s="24" t="inlineStr">
        <is>
          <t>26033006</t>
        </is>
      </c>
      <c r="F158" s="25">
        <f>IF(E158="","",IF(COUNTIF(lst_Jobs,E158&amp;"")&gt;0,"OK","CHECK"))</f>
        <v/>
      </c>
      <c r="G158" s="24" t="inlineStr">
        <is>
          <t>8PSQ_Bluetooth Audio</t>
        </is>
      </c>
      <c r="H158" s="24" t="inlineStr">
        <is>
          <t>Consulting</t>
        </is>
      </c>
      <c r="I158" s="24" t="inlineStr">
        <is>
          <t>INTEGRATION</t>
        </is>
      </c>
      <c r="J158" s="24" t="inlineStr">
        <is>
          <t>Project</t>
        </is>
      </c>
      <c r="K158" s="24" t="inlineStr">
        <is>
          <t>GST 10%</t>
        </is>
      </c>
      <c r="L158" s="26" t="n">
        <v>5065</v>
      </c>
      <c r="M158" s="27">
        <f>IF(L158="","",IF(K158="GST 10%",ROUND(L158*set_GSTRate,2),0))</f>
        <v/>
      </c>
      <c r="N158" s="27">
        <f>IF(L158="","",L158+M158)</f>
        <v/>
      </c>
      <c r="O158" s="24" t="inlineStr">
        <is>
          <t>42300</t>
        </is>
      </c>
      <c r="P158" s="24" t="inlineStr">
        <is>
          <t>Y</t>
        </is>
      </c>
      <c r="Q158" s="24" t="inlineStr">
        <is>
          <t>N</t>
        </is>
      </c>
      <c r="R158" s="22" t="n"/>
      <c r="S158" s="22" t="n"/>
      <c r="T158" s="24" t="inlineStr">
        <is>
          <t>To Invoice</t>
        </is>
      </c>
      <c r="U158" s="24" t="n"/>
      <c r="V158" s="25">
        <f>IF(COUNTA(A158,D158,C158,L158)=0,"",IF(A158="","No date - sits outside every month",IF(E158="","No job number",IF(F158="CHECK","Job number is not in the Xero job list",IF(I158="","No cost centre",IF(AND(P158="Y",C158=""),"Marked posted to Xero but has no invoice number",IF(AND(L158&lt;&gt;"",K158=""),"No tax code",IF(AND(L158&lt;&gt;"",O158=""),"No revenue GL code",""))))))))</f>
        <v/>
      </c>
      <c r="W158" s="25">
        <f>IF(E158="","",IFERROR(INDEX(lst_JobName,MATCH(E158&amp;"",lst_Jobs,0)),""))</f>
        <v/>
      </c>
      <c r="X158" s="28">
        <f>IF(E158="","",COUNTIFS(tbl_Finance[Job Number],E158&amp;"",tbl_Finance[Ex GST],"&lt;&gt;"))</f>
        <v/>
      </c>
      <c r="Y158" s="27">
        <f>IF(E158="","",SUMIFS(tbl_Finance[Ex GST],tbl_Finance[Job Number],E158&amp;""))</f>
        <v/>
      </c>
      <c r="Z158" s="27">
        <f>IF(E158="","",SUMIFS(tbl_Finance[Ex GST],tbl_Finance[Job Number],E158&amp;"",tbl_Finance[Xero Invoice No],"&lt;&gt;"))</f>
        <v/>
      </c>
      <c r="AA158" s="27">
        <f>IF(E158="","",Y158-Z158)</f>
        <v/>
      </c>
      <c r="AB158" s="25">
        <f>IF(E158="","",IF(H158="Onsite",IFERROR(INDEX(tbl_Onsite[Qwilr Quote],MATCH(E158&amp;"",tbl_Onsite[Job Number],0)),""),IF(H158="Production",IFERROR(INDEX(tbl_Production[Current RMS No],MATCH(E158&amp;"",tbl_Production[Job Number],0)),""),IF(H158="Consulting",IFERROR(INDEX(tbl_Consulting[Qwilr Quote],MATCH(E158&amp;"",tbl_Consulting[Job Number],0)),""),""))))</f>
        <v/>
      </c>
      <c r="AC158" s="25">
        <f>IF(AB158="","",IF(AND(LEFT(AB158,4)&lt;&gt;"http",IF(H158="Production",set_RMSBase,set_QwilrBase)=""),"",HYPERLINK(IF(LEFT(AB158,4)="http",AB158,IF(H158="Production",set_RMSBase,set_QwilrBase)&amp;AB158),"Open")))</f>
        <v/>
      </c>
      <c r="AD158" s="27">
        <f>IF(E158="","",IF(H158="Production",IFERROR(INDEX(tbl_Production[Total Expense],MATCH(E158&amp;"",tbl_Production[Job Number],0)),0),IF(H158="Consulting",IFERROR(INDEX(tbl_Consulting[Total Expense],MATCH(E158&amp;"",tbl_Consulting[Job Number],0)),0),0)))</f>
        <v/>
      </c>
      <c r="AE158" s="27">
        <f>IF(E158="","",Y158-N(AD158))</f>
        <v/>
      </c>
      <c r="AF158" s="29">
        <f>IFERROR(AE158/Y158,"")</f>
        <v/>
      </c>
      <c r="AG158" s="25">
        <f>IF(E158="","",IF(H158="Onsite",IFERROR(INDEX(tbl_Onsite[Notes],MATCH(E158&amp;"",tbl_Onsite[Job Number],0)),""),IF(H158="Production",IFERROR(INDEX(tbl_Production[Notes],MATCH(E158&amp;"",tbl_Production[Job Number],0)),""),IF(H158="Consulting",IFERROR(INDEX(tbl_Consulting[Notes],MATCH(E158&amp;"",tbl_Consulting[Job Number],0)),""),""))))</f>
        <v/>
      </c>
    </row>
    <row r="159" ht="15" customHeight="1">
      <c r="A159" s="22" t="n">
        <v>46203</v>
      </c>
      <c r="B159" s="23">
        <f>IF(A159="","",EOMONTH(A159,0))</f>
        <v/>
      </c>
      <c r="C159" s="24" t="inlineStr">
        <is>
          <t>INV-10355</t>
        </is>
      </c>
      <c r="D159" s="24" t="inlineStr">
        <is>
          <t>DTTL</t>
        </is>
      </c>
      <c r="E159" s="24" t="inlineStr">
        <is>
          <t>26033007</t>
        </is>
      </c>
      <c r="F159" s="25">
        <f>IF(E159="","",IF(COUNTIF(lst_Jobs,E159&amp;"")&gt;0,"OK","CHECK"))</f>
        <v/>
      </c>
      <c r="G159" s="24" t="inlineStr">
        <is>
          <t>QQT_Lv45 Seminar-Wheels repair</t>
        </is>
      </c>
      <c r="H159" s="24" t="inlineStr">
        <is>
          <t>Consulting</t>
        </is>
      </c>
      <c r="I159" s="24" t="inlineStr">
        <is>
          <t>INTEGRATION</t>
        </is>
      </c>
      <c r="J159" s="24" t="inlineStr">
        <is>
          <t>Project</t>
        </is>
      </c>
      <c r="K159" s="24" t="inlineStr">
        <is>
          <t>GST 10%</t>
        </is>
      </c>
      <c r="L159" s="26" t="n">
        <v>354</v>
      </c>
      <c r="M159" s="27">
        <f>IF(L159="","",IF(K159="GST 10%",ROUND(L159*set_GSTRate,2),0))</f>
        <v/>
      </c>
      <c r="N159" s="27">
        <f>IF(L159="","",L159+M159)</f>
        <v/>
      </c>
      <c r="O159" s="24" t="inlineStr">
        <is>
          <t>42300</t>
        </is>
      </c>
      <c r="P159" s="24" t="inlineStr">
        <is>
          <t>Y</t>
        </is>
      </c>
      <c r="Q159" s="24" t="inlineStr">
        <is>
          <t>N</t>
        </is>
      </c>
      <c r="R159" s="22" t="n"/>
      <c r="S159" s="22" t="n"/>
      <c r="T159" s="24" t="inlineStr">
        <is>
          <t>To Invoice</t>
        </is>
      </c>
      <c r="U159" s="24" t="n"/>
      <c r="V159" s="25">
        <f>IF(COUNTA(A159,D159,C159,L159)=0,"",IF(A159="","No date - sits outside every month",IF(E159="","No job number",IF(F159="CHECK","Job number is not in the Xero job list",IF(I159="","No cost centre",IF(AND(P159="Y",C159=""),"Marked posted to Xero but has no invoice number",IF(AND(L159&lt;&gt;"",K159=""),"No tax code",IF(AND(L159&lt;&gt;"",O159=""),"No revenue GL code",""))))))))</f>
        <v/>
      </c>
      <c r="W159" s="25">
        <f>IF(E159="","",IFERROR(INDEX(lst_JobName,MATCH(E159&amp;"",lst_Jobs,0)),""))</f>
        <v/>
      </c>
      <c r="X159" s="28">
        <f>IF(E159="","",COUNTIFS(tbl_Finance[Job Number],E159&amp;"",tbl_Finance[Ex GST],"&lt;&gt;"))</f>
        <v/>
      </c>
      <c r="Y159" s="27">
        <f>IF(E159="","",SUMIFS(tbl_Finance[Ex GST],tbl_Finance[Job Number],E159&amp;""))</f>
        <v/>
      </c>
      <c r="Z159" s="27">
        <f>IF(E159="","",SUMIFS(tbl_Finance[Ex GST],tbl_Finance[Job Number],E159&amp;"",tbl_Finance[Xero Invoice No],"&lt;&gt;"))</f>
        <v/>
      </c>
      <c r="AA159" s="27">
        <f>IF(E159="","",Y159-Z159)</f>
        <v/>
      </c>
      <c r="AB159" s="25">
        <f>IF(E159="","",IF(H159="Onsite",IFERROR(INDEX(tbl_Onsite[Qwilr Quote],MATCH(E159&amp;"",tbl_Onsite[Job Number],0)),""),IF(H159="Production",IFERROR(INDEX(tbl_Production[Current RMS No],MATCH(E159&amp;"",tbl_Production[Job Number],0)),""),IF(H159="Consulting",IFERROR(INDEX(tbl_Consulting[Qwilr Quote],MATCH(E159&amp;"",tbl_Consulting[Job Number],0)),""),""))))</f>
        <v/>
      </c>
      <c r="AC159" s="25">
        <f>IF(AB159="","",IF(AND(LEFT(AB159,4)&lt;&gt;"http",IF(H159="Production",set_RMSBase,set_QwilrBase)=""),"",HYPERLINK(IF(LEFT(AB159,4)="http",AB159,IF(H159="Production",set_RMSBase,set_QwilrBase)&amp;AB159),"Open")))</f>
        <v/>
      </c>
      <c r="AD159" s="27">
        <f>IF(E159="","",IF(H159="Production",IFERROR(INDEX(tbl_Production[Total Expense],MATCH(E159&amp;"",tbl_Production[Job Number],0)),0),IF(H159="Consulting",IFERROR(INDEX(tbl_Consulting[Total Expense],MATCH(E159&amp;"",tbl_Consulting[Job Number],0)),0),0)))</f>
        <v/>
      </c>
      <c r="AE159" s="27">
        <f>IF(E159="","",Y159-N(AD159))</f>
        <v/>
      </c>
      <c r="AF159" s="29">
        <f>IFERROR(AE159/Y159,"")</f>
        <v/>
      </c>
      <c r="AG159" s="25">
        <f>IF(E159="","",IF(H159="Onsite",IFERROR(INDEX(tbl_Onsite[Notes],MATCH(E159&amp;"",tbl_Onsite[Job Number],0)),""),IF(H159="Production",IFERROR(INDEX(tbl_Production[Notes],MATCH(E159&amp;"",tbl_Production[Job Number],0)),""),IF(H159="Consulting",IFERROR(INDEX(tbl_Consulting[Notes],MATCH(E159&amp;"",tbl_Consulting[Job Number],0)),""),""))))</f>
        <v/>
      </c>
    </row>
    <row r="160" ht="15" customHeight="1">
      <c r="A160" s="22" t="n">
        <v>46209</v>
      </c>
      <c r="B160" s="23">
        <f>IF(A160="","",EOMONTH(A160,0))</f>
        <v/>
      </c>
      <c r="C160" s="24" t="inlineStr">
        <is>
          <t>INV-10516</t>
        </is>
      </c>
      <c r="D160" s="24" t="inlineStr">
        <is>
          <t>HP Poly - BAE</t>
        </is>
      </c>
      <c r="E160" s="24" t="inlineStr">
        <is>
          <t>26051301</t>
        </is>
      </c>
      <c r="F160" s="25">
        <f>IF(E160="","",IF(COUNTIF(lst_Jobs,E160&amp;"")&gt;0,"OK","CHECK"))</f>
        <v/>
      </c>
      <c r="G160" s="24" t="inlineStr">
        <is>
          <t>Phone Mod</t>
        </is>
      </c>
      <c r="H160" s="24" t="inlineStr">
        <is>
          <t>Consulting</t>
        </is>
      </c>
      <c r="I160" s="24" t="inlineStr">
        <is>
          <t>INTEGRATION</t>
        </is>
      </c>
      <c r="J160" s="24" t="inlineStr">
        <is>
          <t>Project</t>
        </is>
      </c>
      <c r="K160" s="24" t="inlineStr">
        <is>
          <t>GST 10%</t>
        </is>
      </c>
      <c r="L160" s="26" t="n">
        <v>1161</v>
      </c>
      <c r="M160" s="27">
        <f>IF(L160="","",IF(K160="GST 10%",ROUND(L160*set_GSTRate,2),0))</f>
        <v/>
      </c>
      <c r="N160" s="27">
        <f>IF(L160="","",L160+M160)</f>
        <v/>
      </c>
      <c r="O160" s="24" t="inlineStr">
        <is>
          <t>42300</t>
        </is>
      </c>
      <c r="P160" s="24" t="inlineStr">
        <is>
          <t>Y</t>
        </is>
      </c>
      <c r="Q160" s="24" t="inlineStr">
        <is>
          <t>N</t>
        </is>
      </c>
      <c r="R160" s="22" t="n"/>
      <c r="S160" s="22" t="n"/>
      <c r="T160" s="24" t="inlineStr">
        <is>
          <t>Paid</t>
        </is>
      </c>
      <c r="U160" s="24" t="n"/>
      <c r="V160" s="25">
        <f>IF(COUNTA(A160,D160,C160,L160)=0,"",IF(A160="","No date - sits outside every month",IF(E160="","No job number",IF(F160="CHECK","Job number is not in the Xero job list",IF(I160="","No cost centre",IF(AND(P160="Y",C160=""),"Marked posted to Xero but has no invoice number",IF(AND(L160&lt;&gt;"",K160=""),"No tax code",IF(AND(L160&lt;&gt;"",O160=""),"No revenue GL code",""))))))))</f>
        <v/>
      </c>
      <c r="W160" s="25">
        <f>IF(E160="","",IFERROR(INDEX(lst_JobName,MATCH(E160&amp;"",lst_Jobs,0)),""))</f>
        <v/>
      </c>
      <c r="X160" s="28">
        <f>IF(E160="","",COUNTIFS(tbl_Finance[Job Number],E160&amp;"",tbl_Finance[Ex GST],"&lt;&gt;"))</f>
        <v/>
      </c>
      <c r="Y160" s="27">
        <f>IF(E160="","",SUMIFS(tbl_Finance[Ex GST],tbl_Finance[Job Number],E160&amp;""))</f>
        <v/>
      </c>
      <c r="Z160" s="27">
        <f>IF(E160="","",SUMIFS(tbl_Finance[Ex GST],tbl_Finance[Job Number],E160&amp;"",tbl_Finance[Xero Invoice No],"&lt;&gt;"))</f>
        <v/>
      </c>
      <c r="AA160" s="27">
        <f>IF(E160="","",Y160-Z160)</f>
        <v/>
      </c>
      <c r="AB160" s="25">
        <f>IF(E160="","",IF(H160="Onsite",IFERROR(INDEX(tbl_Onsite[Qwilr Quote],MATCH(E160&amp;"",tbl_Onsite[Job Number],0)),""),IF(H160="Production",IFERROR(INDEX(tbl_Production[Current RMS No],MATCH(E160&amp;"",tbl_Production[Job Number],0)),""),IF(H160="Consulting",IFERROR(INDEX(tbl_Consulting[Qwilr Quote],MATCH(E160&amp;"",tbl_Consulting[Job Number],0)),""),""))))</f>
        <v/>
      </c>
      <c r="AC160" s="25">
        <f>IF(AB160="","",IF(AND(LEFT(AB160,4)&lt;&gt;"http",IF(H160="Production",set_RMSBase,set_QwilrBase)=""),"",HYPERLINK(IF(LEFT(AB160,4)="http",AB160,IF(H160="Production",set_RMSBase,set_QwilrBase)&amp;AB160),"Open")))</f>
        <v/>
      </c>
      <c r="AD160" s="27">
        <f>IF(E160="","",IF(H160="Production",IFERROR(INDEX(tbl_Production[Total Expense],MATCH(E160&amp;"",tbl_Production[Job Number],0)),0),IF(H160="Consulting",IFERROR(INDEX(tbl_Consulting[Total Expense],MATCH(E160&amp;"",tbl_Consulting[Job Number],0)),0),0)))</f>
        <v/>
      </c>
      <c r="AE160" s="27">
        <f>IF(E160="","",Y160-N(AD160))</f>
        <v/>
      </c>
      <c r="AF160" s="29">
        <f>IFERROR(AE160/Y160,"")</f>
        <v/>
      </c>
      <c r="AG160" s="25">
        <f>IF(E160="","",IF(H160="Onsite",IFERROR(INDEX(tbl_Onsite[Notes],MATCH(E160&amp;"",tbl_Onsite[Job Number],0)),""),IF(H160="Production",IFERROR(INDEX(tbl_Production[Notes],MATCH(E160&amp;"",tbl_Production[Job Number],0)),""),IF(H160="Consulting",IFERROR(INDEX(tbl_Consulting[Notes],MATCH(E160&amp;"",tbl_Consulting[Job Number],0)),""),""))))</f>
        <v/>
      </c>
    </row>
    <row r="161" ht="15" customHeight="1">
      <c r="A161" s="22" t="n">
        <v>46233</v>
      </c>
      <c r="B161" s="23">
        <f>IF(A161="","",EOMONTH(A161,0))</f>
        <v/>
      </c>
      <c r="C161" s="24" t="inlineStr">
        <is>
          <t>INV-10546</t>
        </is>
      </c>
      <c r="D161" s="24" t="inlineStr">
        <is>
          <t>DTTL</t>
        </is>
      </c>
      <c r="E161" s="24" t="inlineStr">
        <is>
          <t>26061501</t>
        </is>
      </c>
      <c r="F161" s="25">
        <f>IF(E161="","",IF(COUNTIF(lst_Jobs,E161&amp;"")&gt;0,"OK","CHECK"))</f>
        <v/>
      </c>
      <c r="G161" s="24" t="inlineStr">
        <is>
          <t>MEL Lv29 Display Supply</t>
        </is>
      </c>
      <c r="H161" s="24" t="inlineStr">
        <is>
          <t>Consulting</t>
        </is>
      </c>
      <c r="I161" s="24" t="inlineStr">
        <is>
          <t>INTEGRATION</t>
        </is>
      </c>
      <c r="J161" s="24" t="inlineStr">
        <is>
          <t>Project</t>
        </is>
      </c>
      <c r="K161" s="24" t="inlineStr">
        <is>
          <t>GST 10%</t>
        </is>
      </c>
      <c r="L161" s="26" t="n">
        <v>3890</v>
      </c>
      <c r="M161" s="27">
        <f>IF(L161="","",IF(K161="GST 10%",ROUND(L161*set_GSTRate,2),0))</f>
        <v/>
      </c>
      <c r="N161" s="27">
        <f>IF(L161="","",L161+M161)</f>
        <v/>
      </c>
      <c r="O161" s="24" t="inlineStr">
        <is>
          <t>42300</t>
        </is>
      </c>
      <c r="P161" s="24" t="inlineStr">
        <is>
          <t>Y</t>
        </is>
      </c>
      <c r="Q161" s="24" t="inlineStr">
        <is>
          <t>N</t>
        </is>
      </c>
      <c r="R161" s="22" t="n"/>
      <c r="S161" s="22" t="n"/>
      <c r="T161" s="24" t="inlineStr">
        <is>
          <t>Paid</t>
        </is>
      </c>
      <c r="U161" s="24" t="n"/>
      <c r="V161" s="25">
        <f>IF(COUNTA(A161,D161,C161,L161)=0,"",IF(A161="","No date - sits outside every month",IF(E161="","No job number",IF(F161="CHECK","Job number is not in the Xero job list",IF(I161="","No cost centre",IF(AND(P161="Y",C161=""),"Marked posted to Xero but has no invoice number",IF(AND(L161&lt;&gt;"",K161=""),"No tax code",IF(AND(L161&lt;&gt;"",O161=""),"No revenue GL code",""))))))))</f>
        <v/>
      </c>
      <c r="W161" s="25">
        <f>IF(E161="","",IFERROR(INDEX(lst_JobName,MATCH(E161&amp;"",lst_Jobs,0)),""))</f>
        <v/>
      </c>
      <c r="X161" s="28">
        <f>IF(E161="","",COUNTIFS(tbl_Finance[Job Number],E161&amp;"",tbl_Finance[Ex GST],"&lt;&gt;"))</f>
        <v/>
      </c>
      <c r="Y161" s="27">
        <f>IF(E161="","",SUMIFS(tbl_Finance[Ex GST],tbl_Finance[Job Number],E161&amp;""))</f>
        <v/>
      </c>
      <c r="Z161" s="27">
        <f>IF(E161="","",SUMIFS(tbl_Finance[Ex GST],tbl_Finance[Job Number],E161&amp;"",tbl_Finance[Xero Invoice No],"&lt;&gt;"))</f>
        <v/>
      </c>
      <c r="AA161" s="27">
        <f>IF(E161="","",Y161-Z161)</f>
        <v/>
      </c>
      <c r="AB161" s="25">
        <f>IF(E161="","",IF(H161="Onsite",IFERROR(INDEX(tbl_Onsite[Qwilr Quote],MATCH(E161&amp;"",tbl_Onsite[Job Number],0)),""),IF(H161="Production",IFERROR(INDEX(tbl_Production[Current RMS No],MATCH(E161&amp;"",tbl_Production[Job Number],0)),""),IF(H161="Consulting",IFERROR(INDEX(tbl_Consulting[Qwilr Quote],MATCH(E161&amp;"",tbl_Consulting[Job Number],0)),""),""))))</f>
        <v/>
      </c>
      <c r="AC161" s="25">
        <f>IF(AB161="","",IF(AND(LEFT(AB161,4)&lt;&gt;"http",IF(H161="Production",set_RMSBase,set_QwilrBase)=""),"",HYPERLINK(IF(LEFT(AB161,4)="http",AB161,IF(H161="Production",set_RMSBase,set_QwilrBase)&amp;AB161),"Open")))</f>
        <v/>
      </c>
      <c r="AD161" s="27">
        <f>IF(E161="","",IF(H161="Production",IFERROR(INDEX(tbl_Production[Total Expense],MATCH(E161&amp;"",tbl_Production[Job Number],0)),0),IF(H161="Consulting",IFERROR(INDEX(tbl_Consulting[Total Expense],MATCH(E161&amp;"",tbl_Consulting[Job Number],0)),0),0)))</f>
        <v/>
      </c>
      <c r="AE161" s="27">
        <f>IF(E161="","",Y161-N(AD161))</f>
        <v/>
      </c>
      <c r="AF161" s="29">
        <f>IFERROR(AE161/Y161,"")</f>
        <v/>
      </c>
      <c r="AG161" s="25">
        <f>IF(E161="","",IF(H161="Onsite",IFERROR(INDEX(tbl_Onsite[Notes],MATCH(E161&amp;"",tbl_Onsite[Job Number],0)),""),IF(H161="Production",IFERROR(INDEX(tbl_Production[Notes],MATCH(E161&amp;"",tbl_Production[Job Number],0)),""),IF(H161="Consulting",IFERROR(INDEX(tbl_Consulting[Notes],MATCH(E161&amp;"",tbl_Consulting[Job Number],0)),""),""))))</f>
        <v/>
      </c>
    </row>
    <row r="162" ht="15" customHeight="1">
      <c r="A162" s="22" t="n">
        <v>46233</v>
      </c>
      <c r="B162" s="23">
        <f>IF(A162="","",EOMONTH(A162,0))</f>
        <v/>
      </c>
      <c r="C162" s="24" t="inlineStr">
        <is>
          <t>INV-10546</t>
        </is>
      </c>
      <c r="D162" s="24" t="inlineStr">
        <is>
          <t>DTTL</t>
        </is>
      </c>
      <c r="E162" s="24" t="inlineStr">
        <is>
          <t>2605605</t>
        </is>
      </c>
      <c r="F162" s="25">
        <f>IF(E162="","",IF(COUNTIF(lst_Jobs,E162&amp;"")&gt;0,"OK","CHECK"))</f>
        <v/>
      </c>
      <c r="G162" s="24" t="inlineStr">
        <is>
          <t>HBA AV Fitout</t>
        </is>
      </c>
      <c r="H162" s="24" t="inlineStr">
        <is>
          <t>Consulting</t>
        </is>
      </c>
      <c r="I162" s="24" t="inlineStr">
        <is>
          <t>INTEGRATION</t>
        </is>
      </c>
      <c r="J162" s="24" t="inlineStr">
        <is>
          <t>Project</t>
        </is>
      </c>
      <c r="K162" s="24" t="inlineStr">
        <is>
          <t>GST 10%</t>
        </is>
      </c>
      <c r="L162" s="26" t="n">
        <v>60348</v>
      </c>
      <c r="M162" s="27">
        <f>IF(L162="","",IF(K162="GST 10%",ROUND(L162*set_GSTRate,2),0))</f>
        <v/>
      </c>
      <c r="N162" s="27">
        <f>IF(L162="","",L162+M162)</f>
        <v/>
      </c>
      <c r="O162" s="24" t="inlineStr">
        <is>
          <t>42300</t>
        </is>
      </c>
      <c r="P162" s="24" t="inlineStr">
        <is>
          <t>Y</t>
        </is>
      </c>
      <c r="Q162" s="24" t="inlineStr">
        <is>
          <t>N</t>
        </is>
      </c>
      <c r="R162" s="22" t="n"/>
      <c r="S162" s="22" t="n"/>
      <c r="T162" s="24" t="inlineStr">
        <is>
          <t>To Invoice</t>
        </is>
      </c>
      <c r="U162" s="24" t="n"/>
      <c r="V162" s="25">
        <f>IF(COUNTA(A162,D162,C162,L162)=0,"",IF(A162="","No date - sits outside every month",IF(E162="","No job number",IF(F162="CHECK","Job number is not in the Xero job list",IF(I162="","No cost centre",IF(AND(P162="Y",C162=""),"Marked posted to Xero but has no invoice number",IF(AND(L162&lt;&gt;"",K162=""),"No tax code",IF(AND(L162&lt;&gt;"",O162=""),"No revenue GL code",""))))))))</f>
        <v/>
      </c>
      <c r="W162" s="25">
        <f>IF(E162="","",IFERROR(INDEX(lst_JobName,MATCH(E162&amp;"",lst_Jobs,0)),""))</f>
        <v/>
      </c>
      <c r="X162" s="28">
        <f>IF(E162="","",COUNTIFS(tbl_Finance[Job Number],E162&amp;"",tbl_Finance[Ex GST],"&lt;&gt;"))</f>
        <v/>
      </c>
      <c r="Y162" s="27">
        <f>IF(E162="","",SUMIFS(tbl_Finance[Ex GST],tbl_Finance[Job Number],E162&amp;""))</f>
        <v/>
      </c>
      <c r="Z162" s="27">
        <f>IF(E162="","",SUMIFS(tbl_Finance[Ex GST],tbl_Finance[Job Number],E162&amp;"",tbl_Finance[Xero Invoice No],"&lt;&gt;"))</f>
        <v/>
      </c>
      <c r="AA162" s="27">
        <f>IF(E162="","",Y162-Z162)</f>
        <v/>
      </c>
      <c r="AB162" s="25">
        <f>IF(E162="","",IF(H162="Onsite",IFERROR(INDEX(tbl_Onsite[Qwilr Quote],MATCH(E162&amp;"",tbl_Onsite[Job Number],0)),""),IF(H162="Production",IFERROR(INDEX(tbl_Production[Current RMS No],MATCH(E162&amp;"",tbl_Production[Job Number],0)),""),IF(H162="Consulting",IFERROR(INDEX(tbl_Consulting[Qwilr Quote],MATCH(E162&amp;"",tbl_Consulting[Job Number],0)),""),""))))</f>
        <v/>
      </c>
      <c r="AC162" s="25">
        <f>IF(AB162="","",IF(AND(LEFT(AB162,4)&lt;&gt;"http",IF(H162="Production",set_RMSBase,set_QwilrBase)=""),"",HYPERLINK(IF(LEFT(AB162,4)="http",AB162,IF(H162="Production",set_RMSBase,set_QwilrBase)&amp;AB162),"Open")))</f>
        <v/>
      </c>
      <c r="AD162" s="27">
        <f>IF(E162="","",IF(H162="Production",IFERROR(INDEX(tbl_Production[Total Expense],MATCH(E162&amp;"",tbl_Production[Job Number],0)),0),IF(H162="Consulting",IFERROR(INDEX(tbl_Consulting[Total Expense],MATCH(E162&amp;"",tbl_Consulting[Job Number],0)),0),0)))</f>
        <v/>
      </c>
      <c r="AE162" s="27">
        <f>IF(E162="","",Y162-N(AD162))</f>
        <v/>
      </c>
      <c r="AF162" s="29">
        <f>IFERROR(AE162/Y162,"")</f>
        <v/>
      </c>
      <c r="AG162" s="25">
        <f>IF(E162="","",IF(H162="Onsite",IFERROR(INDEX(tbl_Onsite[Notes],MATCH(E162&amp;"",tbl_Onsite[Job Number],0)),""),IF(H162="Production",IFERROR(INDEX(tbl_Production[Notes],MATCH(E162&amp;"",tbl_Production[Job Number],0)),""),IF(H162="Consulting",IFERROR(INDEX(tbl_Consulting[Notes],MATCH(E162&amp;"",tbl_Consulting[Job Number],0)),""),""))))</f>
        <v/>
      </c>
    </row>
    <row r="163" ht="15" customHeight="1">
      <c r="A163" s="22" t="n">
        <v>46233</v>
      </c>
      <c r="B163" s="23">
        <f>IF(A163="","",EOMONTH(A163,0))</f>
        <v/>
      </c>
      <c r="C163" s="24" t="inlineStr">
        <is>
          <t>INV-10546</t>
        </is>
      </c>
      <c r="D163" s="24" t="inlineStr">
        <is>
          <t>DTTL</t>
        </is>
      </c>
      <c r="E163" s="24" t="inlineStr">
        <is>
          <t>26052003</t>
        </is>
      </c>
      <c r="F163" s="25">
        <f>IF(E163="","",IF(COUNTIF(lst_Jobs,E163&amp;"")&gt;0,"OK","CHECK"))</f>
        <v/>
      </c>
      <c r="G163" s="24" t="inlineStr">
        <is>
          <t>SYD Mobile Display Supply</t>
        </is>
      </c>
      <c r="H163" s="24" t="inlineStr">
        <is>
          <t>Consulting</t>
        </is>
      </c>
      <c r="I163" s="24" t="inlineStr">
        <is>
          <t>INTEGRATION</t>
        </is>
      </c>
      <c r="J163" s="24" t="inlineStr">
        <is>
          <t>Project</t>
        </is>
      </c>
      <c r="K163" s="24" t="inlineStr">
        <is>
          <t>GST 10%</t>
        </is>
      </c>
      <c r="L163" s="26" t="n">
        <v>7705</v>
      </c>
      <c r="M163" s="27">
        <f>IF(L163="","",IF(K163="GST 10%",ROUND(L163*set_GSTRate,2),0))</f>
        <v/>
      </c>
      <c r="N163" s="27">
        <f>IF(L163="","",L163+M163)</f>
        <v/>
      </c>
      <c r="O163" s="24" t="inlineStr">
        <is>
          <t>42300</t>
        </is>
      </c>
      <c r="P163" s="24" t="inlineStr">
        <is>
          <t>Y</t>
        </is>
      </c>
      <c r="Q163" s="24" t="inlineStr">
        <is>
          <t>N</t>
        </is>
      </c>
      <c r="R163" s="22" t="n"/>
      <c r="S163" s="22" t="n"/>
      <c r="T163" s="24" t="inlineStr">
        <is>
          <t>Paid</t>
        </is>
      </c>
      <c r="U163" s="24" t="inlineStr">
        <is>
          <t>Variation for slot in PC's</t>
        </is>
      </c>
      <c r="V163" s="25">
        <f>IF(COUNTA(A163,D163,C163,L163)=0,"",IF(A163="","No date - sits outside every month",IF(E163="","No job number",IF(F163="CHECK","Job number is not in the Xero job list",IF(I163="","No cost centre",IF(AND(P163="Y",C163=""),"Marked posted to Xero but has no invoice number",IF(AND(L163&lt;&gt;"",K163=""),"No tax code",IF(AND(L163&lt;&gt;"",O163=""),"No revenue GL code",""))))))))</f>
        <v/>
      </c>
      <c r="W163" s="25">
        <f>IF(E163="","",IFERROR(INDEX(lst_JobName,MATCH(E163&amp;"",lst_Jobs,0)),""))</f>
        <v/>
      </c>
      <c r="X163" s="28">
        <f>IF(E163="","",COUNTIFS(tbl_Finance[Job Number],E163&amp;"",tbl_Finance[Ex GST],"&lt;&gt;"))</f>
        <v/>
      </c>
      <c r="Y163" s="27">
        <f>IF(E163="","",SUMIFS(tbl_Finance[Ex GST],tbl_Finance[Job Number],E163&amp;""))</f>
        <v/>
      </c>
      <c r="Z163" s="27">
        <f>IF(E163="","",SUMIFS(tbl_Finance[Ex GST],tbl_Finance[Job Number],E163&amp;"",tbl_Finance[Xero Invoice No],"&lt;&gt;"))</f>
        <v/>
      </c>
      <c r="AA163" s="27">
        <f>IF(E163="","",Y163-Z163)</f>
        <v/>
      </c>
      <c r="AB163" s="25">
        <f>IF(E163="","",IF(H163="Onsite",IFERROR(INDEX(tbl_Onsite[Qwilr Quote],MATCH(E163&amp;"",tbl_Onsite[Job Number],0)),""),IF(H163="Production",IFERROR(INDEX(tbl_Production[Current RMS No],MATCH(E163&amp;"",tbl_Production[Job Number],0)),""),IF(H163="Consulting",IFERROR(INDEX(tbl_Consulting[Qwilr Quote],MATCH(E163&amp;"",tbl_Consulting[Job Number],0)),""),""))))</f>
        <v/>
      </c>
      <c r="AC163" s="25">
        <f>IF(AB163="","",IF(AND(LEFT(AB163,4)&lt;&gt;"http",IF(H163="Production",set_RMSBase,set_QwilrBase)=""),"",HYPERLINK(IF(LEFT(AB163,4)="http",AB163,IF(H163="Production",set_RMSBase,set_QwilrBase)&amp;AB163),"Open")))</f>
        <v/>
      </c>
      <c r="AD163" s="27">
        <f>IF(E163="","",IF(H163="Production",IFERROR(INDEX(tbl_Production[Total Expense],MATCH(E163&amp;"",tbl_Production[Job Number],0)),0),IF(H163="Consulting",IFERROR(INDEX(tbl_Consulting[Total Expense],MATCH(E163&amp;"",tbl_Consulting[Job Number],0)),0),0)))</f>
        <v/>
      </c>
      <c r="AE163" s="27">
        <f>IF(E163="","",Y163-N(AD163))</f>
        <v/>
      </c>
      <c r="AF163" s="29">
        <f>IFERROR(AE163/Y163,"")</f>
        <v/>
      </c>
      <c r="AG163" s="25">
        <f>IF(E163="","",IF(H163="Onsite",IFERROR(INDEX(tbl_Onsite[Notes],MATCH(E163&amp;"",tbl_Onsite[Job Number],0)),""),IF(H163="Production",IFERROR(INDEX(tbl_Production[Notes],MATCH(E163&amp;"",tbl_Production[Job Number],0)),""),IF(H163="Consulting",IFERROR(INDEX(tbl_Consulting[Notes],MATCH(E163&amp;"",tbl_Consulting[Job Number],0)),""),""))))</f>
        <v/>
      </c>
    </row>
    <row r="164" ht="15" customHeight="1">
      <c r="A164" s="22" t="n">
        <v>46234</v>
      </c>
      <c r="B164" s="23">
        <f>IF(A164="","",EOMONTH(A164,0))</f>
        <v/>
      </c>
      <c r="C164" s="24" t="inlineStr">
        <is>
          <t>INV-10549</t>
        </is>
      </c>
      <c r="D164" s="24" t="inlineStr">
        <is>
          <t>Aware Super</t>
        </is>
      </c>
      <c r="E164" s="24" t="inlineStr">
        <is>
          <t>26072101</t>
        </is>
      </c>
      <c r="F164" s="25">
        <f>IF(E164="","",IF(COUNTIF(lst_Jobs,E164&amp;"")&gt;0,"OK","CHECK"))</f>
        <v/>
      </c>
      <c r="G164" s="24" t="inlineStr">
        <is>
          <t>MEL 17.02 Amp Replacement</t>
        </is>
      </c>
      <c r="H164" s="24" t="inlineStr">
        <is>
          <t>Consulting</t>
        </is>
      </c>
      <c r="I164" s="24" t="inlineStr">
        <is>
          <t>INTEGRATION</t>
        </is>
      </c>
      <c r="J164" s="24" t="inlineStr">
        <is>
          <t>Project</t>
        </is>
      </c>
      <c r="K164" s="24" t="inlineStr">
        <is>
          <t>GST 10%</t>
        </is>
      </c>
      <c r="L164" s="26" t="n">
        <v>6137</v>
      </c>
      <c r="M164" s="27">
        <f>IF(L164="","",IF(K164="GST 10%",ROUND(L164*set_GSTRate,2),0))</f>
        <v/>
      </c>
      <c r="N164" s="27">
        <f>IF(L164="","",L164+M164)</f>
        <v/>
      </c>
      <c r="O164" s="24" t="inlineStr">
        <is>
          <t>42300</t>
        </is>
      </c>
      <c r="P164" s="24" t="inlineStr">
        <is>
          <t>Y</t>
        </is>
      </c>
      <c r="Q164" s="24" t="inlineStr">
        <is>
          <t>N</t>
        </is>
      </c>
      <c r="R164" s="22" t="n"/>
      <c r="S164" s="22" t="n"/>
      <c r="T164" s="24" t="inlineStr">
        <is>
          <t>Paid</t>
        </is>
      </c>
      <c r="U164" s="24" t="n"/>
      <c r="V164" s="25">
        <f>IF(COUNTA(A164,D164,C164,L164)=0,"",IF(A164="","No date - sits outside every month",IF(E164="","No job number",IF(F164="CHECK","Job number is not in the Xero job list",IF(I164="","No cost centre",IF(AND(P164="Y",C164=""),"Marked posted to Xero but has no invoice number",IF(AND(L164&lt;&gt;"",K164=""),"No tax code",IF(AND(L164&lt;&gt;"",O164=""),"No revenue GL code",""))))))))</f>
        <v/>
      </c>
      <c r="W164" s="25">
        <f>IF(E164="","",IFERROR(INDEX(lst_JobName,MATCH(E164&amp;"",lst_Jobs,0)),""))</f>
        <v/>
      </c>
      <c r="X164" s="28">
        <f>IF(E164="","",COUNTIFS(tbl_Finance[Job Number],E164&amp;"",tbl_Finance[Ex GST],"&lt;&gt;"))</f>
        <v/>
      </c>
      <c r="Y164" s="27">
        <f>IF(E164="","",SUMIFS(tbl_Finance[Ex GST],tbl_Finance[Job Number],E164&amp;""))</f>
        <v/>
      </c>
      <c r="Z164" s="27">
        <f>IF(E164="","",SUMIFS(tbl_Finance[Ex GST],tbl_Finance[Job Number],E164&amp;"",tbl_Finance[Xero Invoice No],"&lt;&gt;"))</f>
        <v/>
      </c>
      <c r="AA164" s="27">
        <f>IF(E164="","",Y164-Z164)</f>
        <v/>
      </c>
      <c r="AB164" s="25">
        <f>IF(E164="","",IF(H164="Onsite",IFERROR(INDEX(tbl_Onsite[Qwilr Quote],MATCH(E164&amp;"",tbl_Onsite[Job Number],0)),""),IF(H164="Production",IFERROR(INDEX(tbl_Production[Current RMS No],MATCH(E164&amp;"",tbl_Production[Job Number],0)),""),IF(H164="Consulting",IFERROR(INDEX(tbl_Consulting[Qwilr Quote],MATCH(E164&amp;"",tbl_Consulting[Job Number],0)),""),""))))</f>
        <v/>
      </c>
      <c r="AC164" s="25">
        <f>IF(AB164="","",IF(AND(LEFT(AB164,4)&lt;&gt;"http",IF(H164="Production",set_RMSBase,set_QwilrBase)=""),"",HYPERLINK(IF(LEFT(AB164,4)="http",AB164,IF(H164="Production",set_RMSBase,set_QwilrBase)&amp;AB164),"Open")))</f>
        <v/>
      </c>
      <c r="AD164" s="27">
        <f>IF(E164="","",IF(H164="Production",IFERROR(INDEX(tbl_Production[Total Expense],MATCH(E164&amp;"",tbl_Production[Job Number],0)),0),IF(H164="Consulting",IFERROR(INDEX(tbl_Consulting[Total Expense],MATCH(E164&amp;"",tbl_Consulting[Job Number],0)),0),0)))</f>
        <v/>
      </c>
      <c r="AE164" s="27">
        <f>IF(E164="","",Y164-N(AD164))</f>
        <v/>
      </c>
      <c r="AF164" s="29">
        <f>IFERROR(AE164/Y164,"")</f>
        <v/>
      </c>
      <c r="AG164" s="25">
        <f>IF(E164="","",IF(H164="Onsite",IFERROR(INDEX(tbl_Onsite[Notes],MATCH(E164&amp;"",tbl_Onsite[Job Number],0)),""),IF(H164="Production",IFERROR(INDEX(tbl_Production[Notes],MATCH(E164&amp;"",tbl_Production[Job Number],0)),""),IF(H164="Consulting",IFERROR(INDEX(tbl_Consulting[Notes],MATCH(E164&amp;"",tbl_Consulting[Job Number],0)),""),""))))</f>
        <v/>
      </c>
    </row>
    <row r="165" ht="15" customHeight="1">
      <c r="A165" s="22" t="n">
        <v>46234</v>
      </c>
      <c r="B165" s="23">
        <f>IF(A165="","",EOMONTH(A165,0))</f>
        <v/>
      </c>
      <c r="C165" s="24" t="inlineStr">
        <is>
          <t>INV-10548</t>
        </is>
      </c>
      <c r="D165" s="24" t="inlineStr">
        <is>
          <t>APA</t>
        </is>
      </c>
      <c r="E165" s="24" t="inlineStr">
        <is>
          <t>2606101</t>
        </is>
      </c>
      <c r="F165" s="25">
        <f>IF(E165="","",IF(COUNTIF(lst_Jobs,E165&amp;"")&gt;0,"OK","CHECK"))</f>
        <v/>
      </c>
      <c r="G165" s="24" t="inlineStr">
        <is>
          <t>Young Eptura Proxyclick Licence Renewal</t>
        </is>
      </c>
      <c r="H165" s="24" t="inlineStr">
        <is>
          <t>Consulting</t>
        </is>
      </c>
      <c r="I165" s="24" t="inlineStr">
        <is>
          <t>INTEGRATION</t>
        </is>
      </c>
      <c r="J165" s="24" t="inlineStr">
        <is>
          <t>Project</t>
        </is>
      </c>
      <c r="K165" s="24" t="inlineStr">
        <is>
          <t>GST 10%</t>
        </is>
      </c>
      <c r="L165" s="26" t="n">
        <v>4205</v>
      </c>
      <c r="M165" s="27">
        <f>IF(L165="","",IF(K165="GST 10%",ROUND(L165*set_GSTRate,2),0))</f>
        <v/>
      </c>
      <c r="N165" s="27">
        <f>IF(L165="","",L165+M165)</f>
        <v/>
      </c>
      <c r="O165" s="24" t="inlineStr">
        <is>
          <t>42300</t>
        </is>
      </c>
      <c r="P165" s="24" t="inlineStr">
        <is>
          <t>Y</t>
        </is>
      </c>
      <c r="Q165" s="24" t="inlineStr">
        <is>
          <t>N</t>
        </is>
      </c>
      <c r="R165" s="22" t="n"/>
      <c r="S165" s="22" t="n"/>
      <c r="T165" s="24" t="inlineStr">
        <is>
          <t>Paid</t>
        </is>
      </c>
      <c r="U165" s="24" t="inlineStr">
        <is>
          <t>01/03/2027 to 29/02/2028</t>
        </is>
      </c>
      <c r="V165" s="25">
        <f>IF(COUNTA(A165,D165,C165,L165)=0,"",IF(A165="","No date - sits outside every month",IF(E165="","No job number",IF(F165="CHECK","Job number is not in the Xero job list",IF(I165="","No cost centre",IF(AND(P165="Y",C165=""),"Marked posted to Xero but has no invoice number",IF(AND(L165&lt;&gt;"",K165=""),"No tax code",IF(AND(L165&lt;&gt;"",O165=""),"No revenue GL code",""))))))))</f>
        <v/>
      </c>
      <c r="W165" s="25">
        <f>IF(E165="","",IFERROR(INDEX(lst_JobName,MATCH(E165&amp;"",lst_Jobs,0)),""))</f>
        <v/>
      </c>
      <c r="X165" s="28">
        <f>IF(E165="","",COUNTIFS(tbl_Finance[Job Number],E165&amp;"",tbl_Finance[Ex GST],"&lt;&gt;"))</f>
        <v/>
      </c>
      <c r="Y165" s="27">
        <f>IF(E165="","",SUMIFS(tbl_Finance[Ex GST],tbl_Finance[Job Number],E165&amp;""))</f>
        <v/>
      </c>
      <c r="Z165" s="27">
        <f>IF(E165="","",SUMIFS(tbl_Finance[Ex GST],tbl_Finance[Job Number],E165&amp;"",tbl_Finance[Xero Invoice No],"&lt;&gt;"))</f>
        <v/>
      </c>
      <c r="AA165" s="27">
        <f>IF(E165="","",Y165-Z165)</f>
        <v/>
      </c>
      <c r="AB165" s="25">
        <f>IF(E165="","",IF(H165="Onsite",IFERROR(INDEX(tbl_Onsite[Qwilr Quote],MATCH(E165&amp;"",tbl_Onsite[Job Number],0)),""),IF(H165="Production",IFERROR(INDEX(tbl_Production[Current RMS No],MATCH(E165&amp;"",tbl_Production[Job Number],0)),""),IF(H165="Consulting",IFERROR(INDEX(tbl_Consulting[Qwilr Quote],MATCH(E165&amp;"",tbl_Consulting[Job Number],0)),""),""))))</f>
        <v/>
      </c>
      <c r="AC165" s="25">
        <f>IF(AB165="","",IF(AND(LEFT(AB165,4)&lt;&gt;"http",IF(H165="Production",set_RMSBase,set_QwilrBase)=""),"",HYPERLINK(IF(LEFT(AB165,4)="http",AB165,IF(H165="Production",set_RMSBase,set_QwilrBase)&amp;AB165),"Open")))</f>
        <v/>
      </c>
      <c r="AD165" s="27">
        <f>IF(E165="","",IF(H165="Production",IFERROR(INDEX(tbl_Production[Total Expense],MATCH(E165&amp;"",tbl_Production[Job Number],0)),0),IF(H165="Consulting",IFERROR(INDEX(tbl_Consulting[Total Expense],MATCH(E165&amp;"",tbl_Consulting[Job Number],0)),0),0)))</f>
        <v/>
      </c>
      <c r="AE165" s="27">
        <f>IF(E165="","",Y165-N(AD165))</f>
        <v/>
      </c>
      <c r="AF165" s="29">
        <f>IFERROR(AE165/Y165,"")</f>
        <v/>
      </c>
      <c r="AG165" s="25">
        <f>IF(E165="","",IF(H165="Onsite",IFERROR(INDEX(tbl_Onsite[Notes],MATCH(E165&amp;"",tbl_Onsite[Job Number],0)),""),IF(H165="Production",IFERROR(INDEX(tbl_Production[Notes],MATCH(E165&amp;"",tbl_Production[Job Number],0)),""),IF(H165="Consulting",IFERROR(INDEX(tbl_Consulting[Notes],MATCH(E165&amp;"",tbl_Consulting[Job Number],0)),""),""))))</f>
        <v/>
      </c>
    </row>
    <row r="166" ht="15" customHeight="1">
      <c r="A166" s="22" t="n">
        <v>46234</v>
      </c>
      <c r="B166" s="23">
        <f>IF(A166="","",EOMONTH(A166,0))</f>
        <v/>
      </c>
      <c r="C166" s="24" t="inlineStr">
        <is>
          <t>INV-10547</t>
        </is>
      </c>
      <c r="D166" s="24" t="inlineStr">
        <is>
          <t>YSG Studio</t>
        </is>
      </c>
      <c r="E166" s="24" t="inlineStr">
        <is>
          <t>26071304</t>
        </is>
      </c>
      <c r="F166" s="25">
        <f>IF(E166="","",IF(COUNTIF(lst_Jobs,E166&amp;"")&gt;0,"OK","CHECK"))</f>
        <v/>
      </c>
      <c r="G166" s="24" t="inlineStr">
        <is>
          <t>Orange Room Upgrade INT</t>
        </is>
      </c>
      <c r="H166" s="24" t="inlineStr">
        <is>
          <t>Consulting</t>
        </is>
      </c>
      <c r="I166" s="24" t="inlineStr">
        <is>
          <t>INTEGRATION</t>
        </is>
      </c>
      <c r="J166" s="24" t="inlineStr">
        <is>
          <t>Project</t>
        </is>
      </c>
      <c r="K166" s="24" t="inlineStr">
        <is>
          <t>GST 10%</t>
        </is>
      </c>
      <c r="L166" s="26" t="n">
        <v>4702</v>
      </c>
      <c r="M166" s="27">
        <f>IF(L166="","",IF(K166="GST 10%",ROUND(L166*set_GSTRate,2),0))</f>
        <v/>
      </c>
      <c r="N166" s="27">
        <f>IF(L166="","",L166+M166)</f>
        <v/>
      </c>
      <c r="O166" s="24" t="inlineStr">
        <is>
          <t>42300</t>
        </is>
      </c>
      <c r="P166" s="24" t="inlineStr">
        <is>
          <t>Y</t>
        </is>
      </c>
      <c r="Q166" s="24" t="inlineStr">
        <is>
          <t>N</t>
        </is>
      </c>
      <c r="R166" s="22" t="n"/>
      <c r="S166" s="22" t="n"/>
      <c r="T166" s="24" t="inlineStr">
        <is>
          <t>Paid</t>
        </is>
      </c>
      <c r="U166" s="24" t="inlineStr">
        <is>
          <t>Invoice 1/2 Equipment only</t>
        </is>
      </c>
      <c r="V166" s="25">
        <f>IF(COUNTA(A166,D166,C166,L166)=0,"",IF(A166="","No date - sits outside every month",IF(E166="","No job number",IF(F166="CHECK","Job number is not in the Xero job list",IF(I166="","No cost centre",IF(AND(P166="Y",C166=""),"Marked posted to Xero but has no invoice number",IF(AND(L166&lt;&gt;"",K166=""),"No tax code",IF(AND(L166&lt;&gt;"",O166=""),"No revenue GL code",""))))))))</f>
        <v/>
      </c>
      <c r="W166" s="25">
        <f>IF(E166="","",IFERROR(INDEX(lst_JobName,MATCH(E166&amp;"",lst_Jobs,0)),""))</f>
        <v/>
      </c>
      <c r="X166" s="28">
        <f>IF(E166="","",COUNTIFS(tbl_Finance[Job Number],E166&amp;"",tbl_Finance[Ex GST],"&lt;&gt;"))</f>
        <v/>
      </c>
      <c r="Y166" s="27">
        <f>IF(E166="","",SUMIFS(tbl_Finance[Ex GST],tbl_Finance[Job Number],E166&amp;""))</f>
        <v/>
      </c>
      <c r="Z166" s="27">
        <f>IF(E166="","",SUMIFS(tbl_Finance[Ex GST],tbl_Finance[Job Number],E166&amp;"",tbl_Finance[Xero Invoice No],"&lt;&gt;"))</f>
        <v/>
      </c>
      <c r="AA166" s="27">
        <f>IF(E166="","",Y166-Z166)</f>
        <v/>
      </c>
      <c r="AB166" s="25">
        <f>IF(E166="","",IF(H166="Onsite",IFERROR(INDEX(tbl_Onsite[Qwilr Quote],MATCH(E166&amp;"",tbl_Onsite[Job Number],0)),""),IF(H166="Production",IFERROR(INDEX(tbl_Production[Current RMS No],MATCH(E166&amp;"",tbl_Production[Job Number],0)),""),IF(H166="Consulting",IFERROR(INDEX(tbl_Consulting[Qwilr Quote],MATCH(E166&amp;"",tbl_Consulting[Job Number],0)),""),""))))</f>
        <v/>
      </c>
      <c r="AC166" s="25">
        <f>IF(AB166="","",IF(AND(LEFT(AB166,4)&lt;&gt;"http",IF(H166="Production",set_RMSBase,set_QwilrBase)=""),"",HYPERLINK(IF(LEFT(AB166,4)="http",AB166,IF(H166="Production",set_RMSBase,set_QwilrBase)&amp;AB166),"Open")))</f>
        <v/>
      </c>
      <c r="AD166" s="27">
        <f>IF(E166="","",IF(H166="Production",IFERROR(INDEX(tbl_Production[Total Expense],MATCH(E166&amp;"",tbl_Production[Job Number],0)),0),IF(H166="Consulting",IFERROR(INDEX(tbl_Consulting[Total Expense],MATCH(E166&amp;"",tbl_Consulting[Job Number],0)),0),0)))</f>
        <v/>
      </c>
      <c r="AE166" s="27">
        <f>IF(E166="","",Y166-N(AD166))</f>
        <v/>
      </c>
      <c r="AF166" s="29">
        <f>IFERROR(AE166/Y166,"")</f>
        <v/>
      </c>
      <c r="AG166" s="25">
        <f>IF(E166="","",IF(H166="Onsite",IFERROR(INDEX(tbl_Onsite[Notes],MATCH(E166&amp;"",tbl_Onsite[Job Number],0)),""),IF(H166="Production",IFERROR(INDEX(tbl_Production[Notes],MATCH(E166&amp;"",tbl_Production[Job Number],0)),""),IF(H166="Consulting",IFERROR(INDEX(tbl_Consulting[Notes],MATCH(E166&amp;"",tbl_Consulting[Job Number],0)),""),""))))</f>
        <v/>
      </c>
    </row>
    <row r="167" ht="15" customHeight="1">
      <c r="A167" s="22" t="n">
        <v>46274</v>
      </c>
      <c r="B167" s="23">
        <f>IF(A167="","",EOMONTH(A167,0))</f>
        <v/>
      </c>
      <c r="C167" s="24" t="inlineStr">
        <is>
          <t>To be invoiced 9th Sept 26</t>
        </is>
      </c>
      <c r="D167" s="24" t="inlineStr">
        <is>
          <t>Aware Super</t>
        </is>
      </c>
      <c r="E167" s="24" t="inlineStr">
        <is>
          <t>2604704</t>
        </is>
      </c>
      <c r="F167" s="25">
        <f>IF(E167="","",IF(COUNTIF(lst_Jobs,E167&amp;"")&gt;0,"OK","CHECK"))</f>
        <v/>
      </c>
      <c r="G167" s="24" t="inlineStr">
        <is>
          <t>SYD Seminar Room Audio Upgrade</t>
        </is>
      </c>
      <c r="H167" s="24" t="inlineStr">
        <is>
          <t>Consulting</t>
        </is>
      </c>
      <c r="I167" s="24" t="inlineStr">
        <is>
          <t>INTEGRATION</t>
        </is>
      </c>
      <c r="J167" s="24" t="inlineStr">
        <is>
          <t>Project</t>
        </is>
      </c>
      <c r="K167" s="24" t="inlineStr">
        <is>
          <t>GST 10%</t>
        </is>
      </c>
      <c r="L167" s="26" t="n">
        <v>202647</v>
      </c>
      <c r="M167" s="27">
        <f>IF(L167="","",IF(K167="GST 10%",ROUND(L167*set_GSTRate,2),0))</f>
        <v/>
      </c>
      <c r="N167" s="27">
        <f>IF(L167="","",L167+M167)</f>
        <v/>
      </c>
      <c r="O167" s="24" t="inlineStr">
        <is>
          <t>42300</t>
        </is>
      </c>
      <c r="P167" s="24" t="inlineStr">
        <is>
          <t>Y</t>
        </is>
      </c>
      <c r="Q167" s="24" t="inlineStr">
        <is>
          <t>N</t>
        </is>
      </c>
      <c r="R167" s="22" t="n"/>
      <c r="S167" s="22" t="n"/>
      <c r="T167" s="24" t="inlineStr">
        <is>
          <t>Invoiced</t>
        </is>
      </c>
      <c r="U167" s="24" t="n"/>
      <c r="V167" s="25">
        <f>IF(COUNTA(A167,D167,C167,L167)=0,"",IF(A167="","No date - sits outside every month",IF(E167="","No job number",IF(F167="CHECK","Job number is not in the Xero job list",IF(I167="","No cost centre",IF(AND(P167="Y",C167=""),"Marked posted to Xero but has no invoice number",IF(AND(L167&lt;&gt;"",K167=""),"No tax code",IF(AND(L167&lt;&gt;"",O167=""),"No revenue GL code",""))))))))</f>
        <v/>
      </c>
      <c r="W167" s="25">
        <f>IF(E167="","",IFERROR(INDEX(lst_JobName,MATCH(E167&amp;"",lst_Jobs,0)),""))</f>
        <v/>
      </c>
      <c r="X167" s="28">
        <f>IF(E167="","",COUNTIFS(tbl_Finance[Job Number],E167&amp;"",tbl_Finance[Ex GST],"&lt;&gt;"))</f>
        <v/>
      </c>
      <c r="Y167" s="27">
        <f>IF(E167="","",SUMIFS(tbl_Finance[Ex GST],tbl_Finance[Job Number],E167&amp;""))</f>
        <v/>
      </c>
      <c r="Z167" s="27">
        <f>IF(E167="","",SUMIFS(tbl_Finance[Ex GST],tbl_Finance[Job Number],E167&amp;"",tbl_Finance[Xero Invoice No],"&lt;&gt;"))</f>
        <v/>
      </c>
      <c r="AA167" s="27">
        <f>IF(E167="","",Y167-Z167)</f>
        <v/>
      </c>
      <c r="AB167" s="25">
        <f>IF(E167="","",IF(H167="Onsite",IFERROR(INDEX(tbl_Onsite[Qwilr Quote],MATCH(E167&amp;"",tbl_Onsite[Job Number],0)),""),IF(H167="Production",IFERROR(INDEX(tbl_Production[Current RMS No],MATCH(E167&amp;"",tbl_Production[Job Number],0)),""),IF(H167="Consulting",IFERROR(INDEX(tbl_Consulting[Qwilr Quote],MATCH(E167&amp;"",tbl_Consulting[Job Number],0)),""),""))))</f>
        <v/>
      </c>
      <c r="AC167" s="25">
        <f>IF(AB167="","",IF(AND(LEFT(AB167,4)&lt;&gt;"http",IF(H167="Production",set_RMSBase,set_QwilrBase)=""),"",HYPERLINK(IF(LEFT(AB167,4)="http",AB167,IF(H167="Production",set_RMSBase,set_QwilrBase)&amp;AB167),"Open")))</f>
        <v/>
      </c>
      <c r="AD167" s="27">
        <f>IF(E167="","",IF(H167="Production",IFERROR(INDEX(tbl_Production[Total Expense],MATCH(E167&amp;"",tbl_Production[Job Number],0)),0),IF(H167="Consulting",IFERROR(INDEX(tbl_Consulting[Total Expense],MATCH(E167&amp;"",tbl_Consulting[Job Number],0)),0),0)))</f>
        <v/>
      </c>
      <c r="AE167" s="27">
        <f>IF(E167="","",Y167-N(AD167))</f>
        <v/>
      </c>
      <c r="AF167" s="29">
        <f>IFERROR(AE167/Y167,"")</f>
        <v/>
      </c>
      <c r="AG167" s="25">
        <f>IF(E167="","",IF(H167="Onsite",IFERROR(INDEX(tbl_Onsite[Notes],MATCH(E167&amp;"",tbl_Onsite[Job Number],0)),""),IF(H167="Production",IFERROR(INDEX(tbl_Production[Notes],MATCH(E167&amp;"",tbl_Production[Job Number],0)),""),IF(H167="Consulting",IFERROR(INDEX(tbl_Consulting[Notes],MATCH(E167&amp;"",tbl_Consulting[Job Number],0)),""),""))))</f>
        <v/>
      </c>
    </row>
    <row r="168" ht="15" customHeight="1">
      <c r="A168" s="22" t="n">
        <v>46254</v>
      </c>
      <c r="B168" s="23">
        <f>IF(A168="","",EOMONTH(A168,0))</f>
        <v/>
      </c>
      <c r="C168" s="24" t="inlineStr">
        <is>
          <t>INV-10575</t>
        </is>
      </c>
      <c r="D168" s="24" t="inlineStr">
        <is>
          <t>HP Poly - Data#3</t>
        </is>
      </c>
      <c r="E168" s="24" t="inlineStr">
        <is>
          <t>26052102</t>
        </is>
      </c>
      <c r="F168" s="25">
        <f>IF(E168="","",IF(COUNTIF(lst_Jobs,E168&amp;"")&gt;0,"OK","CHECK"))</f>
        <v/>
      </c>
      <c r="G168" s="24" t="inlineStr">
        <is>
          <t>AUSTRAC Phone Mods</t>
        </is>
      </c>
      <c r="H168" s="24" t="inlineStr">
        <is>
          <t>Consulting</t>
        </is>
      </c>
      <c r="I168" s="24" t="inlineStr">
        <is>
          <t>INTEGRATION</t>
        </is>
      </c>
      <c r="J168" s="24" t="inlineStr">
        <is>
          <t>Project</t>
        </is>
      </c>
      <c r="K168" s="24" t="inlineStr">
        <is>
          <t>GST 10%</t>
        </is>
      </c>
      <c r="L168" s="26" t="n">
        <v>45909</v>
      </c>
      <c r="M168" s="27">
        <f>IF(L168="","",IF(K168="GST 10%",ROUND(L168*set_GSTRate,2),0))</f>
        <v/>
      </c>
      <c r="N168" s="27">
        <f>IF(L168="","",L168+M168)</f>
        <v/>
      </c>
      <c r="O168" s="24" t="inlineStr">
        <is>
          <t>42300</t>
        </is>
      </c>
      <c r="P168" s="24" t="inlineStr">
        <is>
          <t>Y</t>
        </is>
      </c>
      <c r="Q168" s="24" t="inlineStr">
        <is>
          <t>N</t>
        </is>
      </c>
      <c r="R168" s="22" t="n"/>
      <c r="S168" s="22" t="n"/>
      <c r="T168" s="24" t="inlineStr">
        <is>
          <t>Paid</t>
        </is>
      </c>
      <c r="U168" s="24" t="n"/>
      <c r="V168" s="25">
        <f>IF(COUNTA(A168,D168,C168,L168)=0,"",IF(A168="","No date - sits outside every month",IF(E168="","No job number",IF(F168="CHECK","Job number is not in the Xero job list",IF(I168="","No cost centre",IF(AND(P168="Y",C168=""),"Marked posted to Xero but has no invoice number",IF(AND(L168&lt;&gt;"",K168=""),"No tax code",IF(AND(L168&lt;&gt;"",O168=""),"No revenue GL code",""))))))))</f>
        <v/>
      </c>
      <c r="W168" s="25">
        <f>IF(E168="","",IFERROR(INDEX(lst_JobName,MATCH(E168&amp;"",lst_Jobs,0)),""))</f>
        <v/>
      </c>
      <c r="X168" s="28">
        <f>IF(E168="","",COUNTIFS(tbl_Finance[Job Number],E168&amp;"",tbl_Finance[Ex GST],"&lt;&gt;"))</f>
        <v/>
      </c>
      <c r="Y168" s="27">
        <f>IF(E168="","",SUMIFS(tbl_Finance[Ex GST],tbl_Finance[Job Number],E168&amp;""))</f>
        <v/>
      </c>
      <c r="Z168" s="27">
        <f>IF(E168="","",SUMIFS(tbl_Finance[Ex GST],tbl_Finance[Job Number],E168&amp;"",tbl_Finance[Xero Invoice No],"&lt;&gt;"))</f>
        <v/>
      </c>
      <c r="AA168" s="27">
        <f>IF(E168="","",Y168-Z168)</f>
        <v/>
      </c>
      <c r="AB168" s="25">
        <f>IF(E168="","",IF(H168="Onsite",IFERROR(INDEX(tbl_Onsite[Qwilr Quote],MATCH(E168&amp;"",tbl_Onsite[Job Number],0)),""),IF(H168="Production",IFERROR(INDEX(tbl_Production[Current RMS No],MATCH(E168&amp;"",tbl_Production[Job Number],0)),""),IF(H168="Consulting",IFERROR(INDEX(tbl_Consulting[Qwilr Quote],MATCH(E168&amp;"",tbl_Consulting[Job Number],0)),""),""))))</f>
        <v/>
      </c>
      <c r="AC168" s="25">
        <f>IF(AB168="","",IF(AND(LEFT(AB168,4)&lt;&gt;"http",IF(H168="Production",set_RMSBase,set_QwilrBase)=""),"",HYPERLINK(IF(LEFT(AB168,4)="http",AB168,IF(H168="Production",set_RMSBase,set_QwilrBase)&amp;AB168),"Open")))</f>
        <v/>
      </c>
      <c r="AD168" s="27">
        <f>IF(E168="","",IF(H168="Production",IFERROR(INDEX(tbl_Production[Total Expense],MATCH(E168&amp;"",tbl_Production[Job Number],0)),0),IF(H168="Consulting",IFERROR(INDEX(tbl_Consulting[Total Expense],MATCH(E168&amp;"",tbl_Consulting[Job Number],0)),0),0)))</f>
        <v/>
      </c>
      <c r="AE168" s="27">
        <f>IF(E168="","",Y168-N(AD168))</f>
        <v/>
      </c>
      <c r="AF168" s="29">
        <f>IFERROR(AE168/Y168,"")</f>
        <v/>
      </c>
      <c r="AG168" s="25">
        <f>IF(E168="","",IF(H168="Onsite",IFERROR(INDEX(tbl_Onsite[Notes],MATCH(E168&amp;"",tbl_Onsite[Job Number],0)),""),IF(H168="Production",IFERROR(INDEX(tbl_Production[Notes],MATCH(E168&amp;"",tbl_Production[Job Number],0)),""),IF(H168="Consulting",IFERROR(INDEX(tbl_Consulting[Notes],MATCH(E168&amp;"",tbl_Consulting[Job Number],0)),""),""))))</f>
        <v/>
      </c>
    </row>
    <row r="169" ht="15" customHeight="1">
      <c r="A169" s="22" t="n">
        <v>46237</v>
      </c>
      <c r="B169" s="23">
        <f>IF(A169="","",EOMONTH(A169,0))</f>
        <v/>
      </c>
      <c r="C169" s="24" t="inlineStr">
        <is>
          <t>INV-10553</t>
        </is>
      </c>
      <c r="D169" s="24" t="inlineStr">
        <is>
          <t>Aware Super</t>
        </is>
      </c>
      <c r="E169" s="24" t="inlineStr">
        <is>
          <t>26052701</t>
        </is>
      </c>
      <c r="F169" s="25">
        <f>IF(E169="","",IF(COUNTIF(lst_Jobs,E169&amp;"")&gt;0,"OK","CHECK"))</f>
        <v/>
      </c>
      <c r="G169" s="24" t="inlineStr">
        <is>
          <t>SYD 28.06 Equipment</t>
        </is>
      </c>
      <c r="H169" s="24" t="inlineStr">
        <is>
          <t>Consulting</t>
        </is>
      </c>
      <c r="I169" s="24" t="inlineStr">
        <is>
          <t>INTEGRATION</t>
        </is>
      </c>
      <c r="J169" s="24" t="inlineStr">
        <is>
          <t>Project</t>
        </is>
      </c>
      <c r="K169" s="24" t="inlineStr">
        <is>
          <t>GST 10%</t>
        </is>
      </c>
      <c r="L169" s="26" t="n">
        <v>12271</v>
      </c>
      <c r="M169" s="27">
        <f>IF(L169="","",IF(K169="GST 10%",ROUND(L169*set_GSTRate,2),0))</f>
        <v/>
      </c>
      <c r="N169" s="27">
        <f>IF(L169="","",L169+M169)</f>
        <v/>
      </c>
      <c r="O169" s="24" t="inlineStr">
        <is>
          <t>42300</t>
        </is>
      </c>
      <c r="P169" s="24" t="inlineStr">
        <is>
          <t>Y</t>
        </is>
      </c>
      <c r="Q169" s="24" t="inlineStr">
        <is>
          <t>N</t>
        </is>
      </c>
      <c r="R169" s="22" t="n"/>
      <c r="S169" s="22" t="n"/>
      <c r="T169" s="24" t="inlineStr">
        <is>
          <t>Invoiced</t>
        </is>
      </c>
      <c r="U169" s="24" t="n"/>
      <c r="V169" s="25">
        <f>IF(COUNTA(A169,D169,C169,L169)=0,"",IF(A169="","No date - sits outside every month",IF(E169="","No job number",IF(F169="CHECK","Job number is not in the Xero job list",IF(I169="","No cost centre",IF(AND(P169="Y",C169=""),"Marked posted to Xero but has no invoice number",IF(AND(L169&lt;&gt;"",K169=""),"No tax code",IF(AND(L169&lt;&gt;"",O169=""),"No revenue GL code",""))))))))</f>
        <v/>
      </c>
      <c r="W169" s="25">
        <f>IF(E169="","",IFERROR(INDEX(lst_JobName,MATCH(E169&amp;"",lst_Jobs,0)),""))</f>
        <v/>
      </c>
      <c r="X169" s="28">
        <f>IF(E169="","",COUNTIFS(tbl_Finance[Job Number],E169&amp;"",tbl_Finance[Ex GST],"&lt;&gt;"))</f>
        <v/>
      </c>
      <c r="Y169" s="27">
        <f>IF(E169="","",SUMIFS(tbl_Finance[Ex GST],tbl_Finance[Job Number],E169&amp;""))</f>
        <v/>
      </c>
      <c r="Z169" s="27">
        <f>IF(E169="","",SUMIFS(tbl_Finance[Ex GST],tbl_Finance[Job Number],E169&amp;"",tbl_Finance[Xero Invoice No],"&lt;&gt;"))</f>
        <v/>
      </c>
      <c r="AA169" s="27">
        <f>IF(E169="","",Y169-Z169)</f>
        <v/>
      </c>
      <c r="AB169" s="25">
        <f>IF(E169="","",IF(H169="Onsite",IFERROR(INDEX(tbl_Onsite[Qwilr Quote],MATCH(E169&amp;"",tbl_Onsite[Job Number],0)),""),IF(H169="Production",IFERROR(INDEX(tbl_Production[Current RMS No],MATCH(E169&amp;"",tbl_Production[Job Number],0)),""),IF(H169="Consulting",IFERROR(INDEX(tbl_Consulting[Qwilr Quote],MATCH(E169&amp;"",tbl_Consulting[Job Number],0)),""),""))))</f>
        <v/>
      </c>
      <c r="AC169" s="25">
        <f>IF(AB169="","",IF(AND(LEFT(AB169,4)&lt;&gt;"http",IF(H169="Production",set_RMSBase,set_QwilrBase)=""),"",HYPERLINK(IF(LEFT(AB169,4)="http",AB169,IF(H169="Production",set_RMSBase,set_QwilrBase)&amp;AB169),"Open")))</f>
        <v/>
      </c>
      <c r="AD169" s="27">
        <f>IF(E169="","",IF(H169="Production",IFERROR(INDEX(tbl_Production[Total Expense],MATCH(E169&amp;"",tbl_Production[Job Number],0)),0),IF(H169="Consulting",IFERROR(INDEX(tbl_Consulting[Total Expense],MATCH(E169&amp;"",tbl_Consulting[Job Number],0)),0),0)))</f>
        <v/>
      </c>
      <c r="AE169" s="27">
        <f>IF(E169="","",Y169-N(AD169))</f>
        <v/>
      </c>
      <c r="AF169" s="29">
        <f>IFERROR(AE169/Y169,"")</f>
        <v/>
      </c>
      <c r="AG169" s="25">
        <f>IF(E169="","",IF(H169="Onsite",IFERROR(INDEX(tbl_Onsite[Notes],MATCH(E169&amp;"",tbl_Onsite[Job Number],0)),""),IF(H169="Production",IFERROR(INDEX(tbl_Production[Notes],MATCH(E169&amp;"",tbl_Production[Job Number],0)),""),IF(H169="Consulting",IFERROR(INDEX(tbl_Consulting[Notes],MATCH(E169&amp;"",tbl_Consulting[Job Number],0)),""),""))))</f>
        <v/>
      </c>
    </row>
    <row r="170" ht="15" customHeight="1">
      <c r="A170" s="22" t="n">
        <v>46261</v>
      </c>
      <c r="B170" s="23">
        <f>IF(A170="","",EOMONTH(A170,0))</f>
        <v/>
      </c>
      <c r="C170" s="24" t="inlineStr">
        <is>
          <t>INV-10601</t>
        </is>
      </c>
      <c r="D170" s="24" t="inlineStr">
        <is>
          <t>YSG Studio</t>
        </is>
      </c>
      <c r="E170" s="24" t="inlineStr">
        <is>
          <t>26071304</t>
        </is>
      </c>
      <c r="F170" s="25">
        <f>IF(E170="","",IF(COUNTIF(lst_Jobs,E170&amp;"")&gt;0,"OK","CHECK"))</f>
        <v/>
      </c>
      <c r="G170" s="24" t="inlineStr">
        <is>
          <t>Orange Room Upgrade INT</t>
        </is>
      </c>
      <c r="H170" s="24" t="inlineStr">
        <is>
          <t>Consulting</t>
        </is>
      </c>
      <c r="I170" s="24" t="inlineStr">
        <is>
          <t>INTEGRATION</t>
        </is>
      </c>
      <c r="J170" s="24" t="inlineStr">
        <is>
          <t>Project</t>
        </is>
      </c>
      <c r="K170" s="24" t="inlineStr">
        <is>
          <t>GST 10%</t>
        </is>
      </c>
      <c r="L170" s="26" t="n">
        <v>4462</v>
      </c>
      <c r="M170" s="27">
        <f>IF(L170="","",IF(K170="GST 10%",ROUND(L170*set_GSTRate,2),0))</f>
        <v/>
      </c>
      <c r="N170" s="27">
        <f>IF(L170="","",L170+M170)</f>
        <v/>
      </c>
      <c r="O170" s="24" t="inlineStr">
        <is>
          <t>42300</t>
        </is>
      </c>
      <c r="P170" s="24" t="inlineStr">
        <is>
          <t>Y</t>
        </is>
      </c>
      <c r="Q170" s="24" t="inlineStr">
        <is>
          <t>N</t>
        </is>
      </c>
      <c r="R170" s="22" t="n"/>
      <c r="S170" s="22" t="n"/>
      <c r="T170" s="24" t="inlineStr">
        <is>
          <t>Paid</t>
        </is>
      </c>
      <c r="U170" s="24" t="inlineStr">
        <is>
          <t>2/2 Labour only</t>
        </is>
      </c>
      <c r="V170" s="25">
        <f>IF(COUNTA(A170,D170,C170,L170)=0,"",IF(A170="","No date - sits outside every month",IF(E170="","No job number",IF(F170="CHECK","Job number is not in the Xero job list",IF(I170="","No cost centre",IF(AND(P170="Y",C170=""),"Marked posted to Xero but has no invoice number",IF(AND(L170&lt;&gt;"",K170=""),"No tax code",IF(AND(L170&lt;&gt;"",O170=""),"No revenue GL code",""))))))))</f>
        <v/>
      </c>
      <c r="W170" s="25">
        <f>IF(E170="","",IFERROR(INDEX(lst_JobName,MATCH(E170&amp;"",lst_Jobs,0)),""))</f>
        <v/>
      </c>
      <c r="X170" s="28">
        <f>IF(E170="","",COUNTIFS(tbl_Finance[Job Number],E170&amp;"",tbl_Finance[Ex GST],"&lt;&gt;"))</f>
        <v/>
      </c>
      <c r="Y170" s="27">
        <f>IF(E170="","",SUMIFS(tbl_Finance[Ex GST],tbl_Finance[Job Number],E170&amp;""))</f>
        <v/>
      </c>
      <c r="Z170" s="27">
        <f>IF(E170="","",SUMIFS(tbl_Finance[Ex GST],tbl_Finance[Job Number],E170&amp;"",tbl_Finance[Xero Invoice No],"&lt;&gt;"))</f>
        <v/>
      </c>
      <c r="AA170" s="27">
        <f>IF(E170="","",Y170-Z170)</f>
        <v/>
      </c>
      <c r="AB170" s="25">
        <f>IF(E170="","",IF(H170="Onsite",IFERROR(INDEX(tbl_Onsite[Qwilr Quote],MATCH(E170&amp;"",tbl_Onsite[Job Number],0)),""),IF(H170="Production",IFERROR(INDEX(tbl_Production[Current RMS No],MATCH(E170&amp;"",tbl_Production[Job Number],0)),""),IF(H170="Consulting",IFERROR(INDEX(tbl_Consulting[Qwilr Quote],MATCH(E170&amp;"",tbl_Consulting[Job Number],0)),""),""))))</f>
        <v/>
      </c>
      <c r="AC170" s="25">
        <f>IF(AB170="","",IF(AND(LEFT(AB170,4)&lt;&gt;"http",IF(H170="Production",set_RMSBase,set_QwilrBase)=""),"",HYPERLINK(IF(LEFT(AB170,4)="http",AB170,IF(H170="Production",set_RMSBase,set_QwilrBase)&amp;AB170),"Open")))</f>
        <v/>
      </c>
      <c r="AD170" s="27">
        <f>IF(E170="","",IF(H170="Production",IFERROR(INDEX(tbl_Production[Total Expense],MATCH(E170&amp;"",tbl_Production[Job Number],0)),0),IF(H170="Consulting",IFERROR(INDEX(tbl_Consulting[Total Expense],MATCH(E170&amp;"",tbl_Consulting[Job Number],0)),0),0)))</f>
        <v/>
      </c>
      <c r="AE170" s="27">
        <f>IF(E170="","",Y170-N(AD170))</f>
        <v/>
      </c>
      <c r="AF170" s="29">
        <f>IFERROR(AE170/Y170,"")</f>
        <v/>
      </c>
      <c r="AG170" s="25">
        <f>IF(E170="","",IF(H170="Onsite",IFERROR(INDEX(tbl_Onsite[Notes],MATCH(E170&amp;"",tbl_Onsite[Job Number],0)),""),IF(H170="Production",IFERROR(INDEX(tbl_Production[Notes],MATCH(E170&amp;"",tbl_Production[Job Number],0)),""),IF(H170="Consulting",IFERROR(INDEX(tbl_Consulting[Notes],MATCH(E170&amp;"",tbl_Consulting[Job Number],0)),""),""))))</f>
        <v/>
      </c>
    </row>
    <row r="171" ht="15" customHeight="1">
      <c r="A171" s="22" t="n">
        <v>46253</v>
      </c>
      <c r="B171" s="23">
        <f>IF(A171="","",EOMONTH(A171,0))</f>
        <v/>
      </c>
      <c r="C171" s="24" t="inlineStr">
        <is>
          <t>INV-10564</t>
        </is>
      </c>
      <c r="D171" s="24" t="inlineStr">
        <is>
          <t>Aware Super</t>
        </is>
      </c>
      <c r="E171" s="24" t="inlineStr">
        <is>
          <t>26062902</t>
        </is>
      </c>
      <c r="F171" s="25">
        <f>IF(E171="","",IF(COUNTIF(lst_Jobs,E171&amp;"")&gt;0,"OK","CHECK"))</f>
        <v/>
      </c>
      <c r="G171" s="24" t="inlineStr">
        <is>
          <t>SYD Occupancy Sensors</t>
        </is>
      </c>
      <c r="H171" s="24" t="inlineStr">
        <is>
          <t>Consulting</t>
        </is>
      </c>
      <c r="I171" s="24" t="inlineStr">
        <is>
          <t>INTEGRATION</t>
        </is>
      </c>
      <c r="J171" s="24" t="inlineStr">
        <is>
          <t>Project</t>
        </is>
      </c>
      <c r="K171" s="24" t="inlineStr">
        <is>
          <t>GST 10%</t>
        </is>
      </c>
      <c r="L171" s="26" t="n">
        <v>3489</v>
      </c>
      <c r="M171" s="27">
        <f>IF(L171="","",IF(K171="GST 10%",ROUND(L171*set_GSTRate,2),0))</f>
        <v/>
      </c>
      <c r="N171" s="27">
        <f>IF(L171="","",L171+M171)</f>
        <v/>
      </c>
      <c r="O171" s="24" t="inlineStr">
        <is>
          <t>42300</t>
        </is>
      </c>
      <c r="P171" s="24" t="inlineStr">
        <is>
          <t>Y</t>
        </is>
      </c>
      <c r="Q171" s="24" t="inlineStr">
        <is>
          <t>N</t>
        </is>
      </c>
      <c r="R171" s="22" t="n"/>
      <c r="S171" s="22" t="n"/>
      <c r="T171" s="24" t="inlineStr">
        <is>
          <t>Paid</t>
        </is>
      </c>
      <c r="U171" s="24" t="inlineStr">
        <is>
          <t>Invoice 1/2 Equipment only</t>
        </is>
      </c>
      <c r="V171" s="25">
        <f>IF(COUNTA(A171,D171,C171,L171)=0,"",IF(A171="","No date - sits outside every month",IF(E171="","No job number",IF(F171="CHECK","Job number is not in the Xero job list",IF(I171="","No cost centre",IF(AND(P171="Y",C171=""),"Marked posted to Xero but has no invoice number",IF(AND(L171&lt;&gt;"",K171=""),"No tax code",IF(AND(L171&lt;&gt;"",O171=""),"No revenue GL code",""))))))))</f>
        <v/>
      </c>
      <c r="W171" s="25">
        <f>IF(E171="","",IFERROR(INDEX(lst_JobName,MATCH(E171&amp;"",lst_Jobs,0)),""))</f>
        <v/>
      </c>
      <c r="X171" s="28">
        <f>IF(E171="","",COUNTIFS(tbl_Finance[Job Number],E171&amp;"",tbl_Finance[Ex GST],"&lt;&gt;"))</f>
        <v/>
      </c>
      <c r="Y171" s="27">
        <f>IF(E171="","",SUMIFS(tbl_Finance[Ex GST],tbl_Finance[Job Number],E171&amp;""))</f>
        <v/>
      </c>
      <c r="Z171" s="27">
        <f>IF(E171="","",SUMIFS(tbl_Finance[Ex GST],tbl_Finance[Job Number],E171&amp;"",tbl_Finance[Xero Invoice No],"&lt;&gt;"))</f>
        <v/>
      </c>
      <c r="AA171" s="27">
        <f>IF(E171="","",Y171-Z171)</f>
        <v/>
      </c>
      <c r="AB171" s="25">
        <f>IF(E171="","",IF(H171="Onsite",IFERROR(INDEX(tbl_Onsite[Qwilr Quote],MATCH(E171&amp;"",tbl_Onsite[Job Number],0)),""),IF(H171="Production",IFERROR(INDEX(tbl_Production[Current RMS No],MATCH(E171&amp;"",tbl_Production[Job Number],0)),""),IF(H171="Consulting",IFERROR(INDEX(tbl_Consulting[Qwilr Quote],MATCH(E171&amp;"",tbl_Consulting[Job Number],0)),""),""))))</f>
        <v/>
      </c>
      <c r="AC171" s="25">
        <f>IF(AB171="","",IF(AND(LEFT(AB171,4)&lt;&gt;"http",IF(H171="Production",set_RMSBase,set_QwilrBase)=""),"",HYPERLINK(IF(LEFT(AB171,4)="http",AB171,IF(H171="Production",set_RMSBase,set_QwilrBase)&amp;AB171),"Open")))</f>
        <v/>
      </c>
      <c r="AD171" s="27">
        <f>IF(E171="","",IF(H171="Production",IFERROR(INDEX(tbl_Production[Total Expense],MATCH(E171&amp;"",tbl_Production[Job Number],0)),0),IF(H171="Consulting",IFERROR(INDEX(tbl_Consulting[Total Expense],MATCH(E171&amp;"",tbl_Consulting[Job Number],0)),0),0)))</f>
        <v/>
      </c>
      <c r="AE171" s="27">
        <f>IF(E171="","",Y171-N(AD171))</f>
        <v/>
      </c>
      <c r="AF171" s="29">
        <f>IFERROR(AE171/Y171,"")</f>
        <v/>
      </c>
      <c r="AG171" s="25">
        <f>IF(E171="","",IF(H171="Onsite",IFERROR(INDEX(tbl_Onsite[Notes],MATCH(E171&amp;"",tbl_Onsite[Job Number],0)),""),IF(H171="Production",IFERROR(INDEX(tbl_Production[Notes],MATCH(E171&amp;"",tbl_Production[Job Number],0)),""),IF(H171="Consulting",IFERROR(INDEX(tbl_Consulting[Notes],MATCH(E171&amp;"",tbl_Consulting[Job Number],0)),""),""))))</f>
        <v/>
      </c>
    </row>
    <row r="172" ht="15" customHeight="1">
      <c r="A172" s="22" t="n"/>
      <c r="B172" s="23">
        <f>IF(A172="","",EOMONTH(A172,0))</f>
        <v/>
      </c>
      <c r="C172" s="24" t="n"/>
      <c r="D172" s="24" t="inlineStr">
        <is>
          <t>Aware Super</t>
        </is>
      </c>
      <c r="E172" s="24" t="inlineStr">
        <is>
          <t>26062902</t>
        </is>
      </c>
      <c r="F172" s="25">
        <f>IF(E172="","",IF(COUNTIF(lst_Jobs,E172&amp;"")&gt;0,"OK","CHECK"))</f>
        <v/>
      </c>
      <c r="G172" s="24" t="inlineStr">
        <is>
          <t>SYD Occupancy Sensors</t>
        </is>
      </c>
      <c r="H172" s="24" t="inlineStr">
        <is>
          <t>Consulting</t>
        </is>
      </c>
      <c r="I172" s="24" t="inlineStr">
        <is>
          <t>INTEGRATION</t>
        </is>
      </c>
      <c r="J172" s="24" t="inlineStr">
        <is>
          <t>Project</t>
        </is>
      </c>
      <c r="K172" s="24" t="inlineStr">
        <is>
          <t>GST 10%</t>
        </is>
      </c>
      <c r="L172" s="26" t="n">
        <v>2707</v>
      </c>
      <c r="M172" s="27">
        <f>IF(L172="","",IF(K172="GST 10%",ROUND(L172*set_GSTRate,2),0))</f>
        <v/>
      </c>
      <c r="N172" s="27">
        <f>IF(L172="","",L172+M172)</f>
        <v/>
      </c>
      <c r="O172" s="24" t="inlineStr">
        <is>
          <t>42300</t>
        </is>
      </c>
      <c r="P172" s="24" t="inlineStr">
        <is>
          <t>N</t>
        </is>
      </c>
      <c r="Q172" s="24" t="inlineStr">
        <is>
          <t>N</t>
        </is>
      </c>
      <c r="R172" s="22" t="n"/>
      <c r="S172" s="22" t="n"/>
      <c r="T172" s="24" t="inlineStr">
        <is>
          <t>To Invoice</t>
        </is>
      </c>
      <c r="U172" s="24" t="inlineStr">
        <is>
          <t>2/2 Labour only; Not invoiced yet</t>
        </is>
      </c>
      <c r="V172" s="25">
        <f>IF(COUNTA(A172,D172,C172,L172)=0,"",IF(A172="","No date - sits outside every month",IF(E172="","No job number",IF(F172="CHECK","Job number is not in the Xero job list",IF(I172="","No cost centre",IF(AND(P172="Y",C172=""),"Marked posted to Xero but has no invoice number",IF(AND(L172&lt;&gt;"",K172=""),"No tax code",IF(AND(L172&lt;&gt;"",O172=""),"No revenue GL code",""))))))))</f>
        <v/>
      </c>
      <c r="W172" s="25">
        <f>IF(E172="","",IFERROR(INDEX(lst_JobName,MATCH(E172&amp;"",lst_Jobs,0)),""))</f>
        <v/>
      </c>
      <c r="X172" s="28">
        <f>IF(E172="","",COUNTIFS(tbl_Finance[Job Number],E172&amp;"",tbl_Finance[Ex GST],"&lt;&gt;"))</f>
        <v/>
      </c>
      <c r="Y172" s="27">
        <f>IF(E172="","",SUMIFS(tbl_Finance[Ex GST],tbl_Finance[Job Number],E172&amp;""))</f>
        <v/>
      </c>
      <c r="Z172" s="27">
        <f>IF(E172="","",SUMIFS(tbl_Finance[Ex GST],tbl_Finance[Job Number],E172&amp;"",tbl_Finance[Xero Invoice No],"&lt;&gt;"))</f>
        <v/>
      </c>
      <c r="AA172" s="27">
        <f>IF(E172="","",Y172-Z172)</f>
        <v/>
      </c>
      <c r="AB172" s="25">
        <f>IF(E172="","",IF(H172="Onsite",IFERROR(INDEX(tbl_Onsite[Qwilr Quote],MATCH(E172&amp;"",tbl_Onsite[Job Number],0)),""),IF(H172="Production",IFERROR(INDEX(tbl_Production[Current RMS No],MATCH(E172&amp;"",tbl_Production[Job Number],0)),""),IF(H172="Consulting",IFERROR(INDEX(tbl_Consulting[Qwilr Quote],MATCH(E172&amp;"",tbl_Consulting[Job Number],0)),""),""))))</f>
        <v/>
      </c>
      <c r="AC172" s="25">
        <f>IF(AB172="","",IF(AND(LEFT(AB172,4)&lt;&gt;"http",IF(H172="Production",set_RMSBase,set_QwilrBase)=""),"",HYPERLINK(IF(LEFT(AB172,4)="http",AB172,IF(H172="Production",set_RMSBase,set_QwilrBase)&amp;AB172),"Open")))</f>
        <v/>
      </c>
      <c r="AD172" s="27">
        <f>IF(E172="","",IF(H172="Production",IFERROR(INDEX(tbl_Production[Total Expense],MATCH(E172&amp;"",tbl_Production[Job Number],0)),0),IF(H172="Consulting",IFERROR(INDEX(tbl_Consulting[Total Expense],MATCH(E172&amp;"",tbl_Consulting[Job Number],0)),0),0)))</f>
        <v/>
      </c>
      <c r="AE172" s="27">
        <f>IF(E172="","",Y172-N(AD172))</f>
        <v/>
      </c>
      <c r="AF172" s="29">
        <f>IFERROR(AE172/Y172,"")</f>
        <v/>
      </c>
      <c r="AG172" s="25">
        <f>IF(E172="","",IF(H172="Onsite",IFERROR(INDEX(tbl_Onsite[Notes],MATCH(E172&amp;"",tbl_Onsite[Job Number],0)),""),IF(H172="Production",IFERROR(INDEX(tbl_Production[Notes],MATCH(E172&amp;"",tbl_Production[Job Number],0)),""),IF(H172="Consulting",IFERROR(INDEX(tbl_Consulting[Notes],MATCH(E172&amp;"",tbl_Consulting[Job Number],0)),""),""))))</f>
        <v/>
      </c>
    </row>
    <row r="173" ht="15" customHeight="1">
      <c r="A173" s="22" t="n"/>
      <c r="B173" s="23">
        <f>IF(A173="","",EOMONTH(A173,0))</f>
        <v/>
      </c>
      <c r="C173" s="24" t="n"/>
      <c r="D173" s="24" t="inlineStr">
        <is>
          <t>Aware Super</t>
        </is>
      </c>
      <c r="E173" s="24" t="inlineStr">
        <is>
          <t>26062901</t>
        </is>
      </c>
      <c r="F173" s="25">
        <f>IF(E173="","",IF(COUNTIF(lst_Jobs,E173&amp;"")&gt;0,"OK","CHECK"))</f>
        <v/>
      </c>
      <c r="G173" s="24" t="inlineStr">
        <is>
          <t>Aware | SYD 28.06 Services</t>
        </is>
      </c>
      <c r="H173" s="24" t="inlineStr">
        <is>
          <t>Consulting</t>
        </is>
      </c>
      <c r="I173" s="24" t="inlineStr">
        <is>
          <t>INTEGRATION</t>
        </is>
      </c>
      <c r="J173" s="24" t="inlineStr">
        <is>
          <t>Project</t>
        </is>
      </c>
      <c r="K173" s="24" t="inlineStr">
        <is>
          <t>GST 10%</t>
        </is>
      </c>
      <c r="L173" s="26" t="n">
        <v>4631</v>
      </c>
      <c r="M173" s="27">
        <f>IF(L173="","",IF(K173="GST 10%",ROUND(L173*set_GSTRate,2),0))</f>
        <v/>
      </c>
      <c r="N173" s="27">
        <f>IF(L173="","",L173+M173)</f>
        <v/>
      </c>
      <c r="O173" s="24" t="inlineStr">
        <is>
          <t>42300</t>
        </is>
      </c>
      <c r="P173" s="24" t="inlineStr">
        <is>
          <t>N</t>
        </is>
      </c>
      <c r="Q173" s="24" t="inlineStr">
        <is>
          <t>N</t>
        </is>
      </c>
      <c r="R173" s="22" t="n"/>
      <c r="S173" s="22" t="n"/>
      <c r="T173" s="24" t="inlineStr">
        <is>
          <t>To Invoice</t>
        </is>
      </c>
      <c r="U173" s="24" t="n"/>
      <c r="V173" s="25">
        <f>IF(COUNTA(A173,D173,C173,L173)=0,"",IF(A173="","No date - sits outside every month",IF(E173="","No job number",IF(F173="CHECK","Job number is not in the Xero job list",IF(I173="","No cost centre",IF(AND(P173="Y",C173=""),"Marked posted to Xero but has no invoice number",IF(AND(L173&lt;&gt;"",K173=""),"No tax code",IF(AND(L173&lt;&gt;"",O173=""),"No revenue GL code",""))))))))</f>
        <v/>
      </c>
      <c r="W173" s="25">
        <f>IF(E173="","",IFERROR(INDEX(lst_JobName,MATCH(E173&amp;"",lst_Jobs,0)),""))</f>
        <v/>
      </c>
      <c r="X173" s="28">
        <f>IF(E173="","",COUNTIFS(tbl_Finance[Job Number],E173&amp;"",tbl_Finance[Ex GST],"&lt;&gt;"))</f>
        <v/>
      </c>
      <c r="Y173" s="27">
        <f>IF(E173="","",SUMIFS(tbl_Finance[Ex GST],tbl_Finance[Job Number],E173&amp;""))</f>
        <v/>
      </c>
      <c r="Z173" s="27">
        <f>IF(E173="","",SUMIFS(tbl_Finance[Ex GST],tbl_Finance[Job Number],E173&amp;"",tbl_Finance[Xero Invoice No],"&lt;&gt;"))</f>
        <v/>
      </c>
      <c r="AA173" s="27">
        <f>IF(E173="","",Y173-Z173)</f>
        <v/>
      </c>
      <c r="AB173" s="25">
        <f>IF(E173="","",IF(H173="Onsite",IFERROR(INDEX(tbl_Onsite[Qwilr Quote],MATCH(E173&amp;"",tbl_Onsite[Job Number],0)),""),IF(H173="Production",IFERROR(INDEX(tbl_Production[Current RMS No],MATCH(E173&amp;"",tbl_Production[Job Number],0)),""),IF(H173="Consulting",IFERROR(INDEX(tbl_Consulting[Qwilr Quote],MATCH(E173&amp;"",tbl_Consulting[Job Number],0)),""),""))))</f>
        <v/>
      </c>
      <c r="AC173" s="25">
        <f>IF(AB173="","",IF(AND(LEFT(AB173,4)&lt;&gt;"http",IF(H173="Production",set_RMSBase,set_QwilrBase)=""),"",HYPERLINK(IF(LEFT(AB173,4)="http",AB173,IF(H173="Production",set_RMSBase,set_QwilrBase)&amp;AB173),"Open")))</f>
        <v/>
      </c>
      <c r="AD173" s="27">
        <f>IF(E173="","",IF(H173="Production",IFERROR(INDEX(tbl_Production[Total Expense],MATCH(E173&amp;"",tbl_Production[Job Number],0)),0),IF(H173="Consulting",IFERROR(INDEX(tbl_Consulting[Total Expense],MATCH(E173&amp;"",tbl_Consulting[Job Number],0)),0),0)))</f>
        <v/>
      </c>
      <c r="AE173" s="27">
        <f>IF(E173="","",Y173-N(AD173))</f>
        <v/>
      </c>
      <c r="AF173" s="29">
        <f>IFERROR(AE173/Y173,"")</f>
        <v/>
      </c>
      <c r="AG173" s="25">
        <f>IF(E173="","",IF(H173="Onsite",IFERROR(INDEX(tbl_Onsite[Notes],MATCH(E173&amp;"",tbl_Onsite[Job Number],0)),""),IF(H173="Production",IFERROR(INDEX(tbl_Production[Notes],MATCH(E173&amp;"",tbl_Production[Job Number],0)),""),IF(H173="Consulting",IFERROR(INDEX(tbl_Consulting[Notes],MATCH(E173&amp;"",tbl_Consulting[Job Number],0)),""),""))))</f>
        <v/>
      </c>
    </row>
    <row r="174" ht="15" customHeight="1">
      <c r="A174" s="22" t="n">
        <v>46254</v>
      </c>
      <c r="B174" s="23">
        <f>IF(A174="","",EOMONTH(A174,0))</f>
        <v/>
      </c>
      <c r="C174" s="24" t="inlineStr">
        <is>
          <t>INV-10574</t>
        </is>
      </c>
      <c r="D174" s="24" t="inlineStr">
        <is>
          <t>AusPayNet</t>
        </is>
      </c>
      <c r="E174" s="24" t="inlineStr">
        <is>
          <t>26081901</t>
        </is>
      </c>
      <c r="F174" s="25">
        <f>IF(E174="","",IF(COUNTIF(lst_Jobs,E174&amp;"")&gt;0,"OK","CHECK"))</f>
        <v/>
      </c>
      <c r="G174" s="24" t="inlineStr">
        <is>
          <t>Logi Subscription</t>
        </is>
      </c>
      <c r="H174" s="24" t="inlineStr">
        <is>
          <t>Consulting</t>
        </is>
      </c>
      <c r="I174" s="24" t="inlineStr">
        <is>
          <t>INTEGRATION</t>
        </is>
      </c>
      <c r="J174" s="24" t="inlineStr">
        <is>
          <t>Project</t>
        </is>
      </c>
      <c r="K174" s="24" t="inlineStr">
        <is>
          <t>GST 10%</t>
        </is>
      </c>
      <c r="L174" s="26" t="n">
        <v>993</v>
      </c>
      <c r="M174" s="27">
        <f>IF(L174="","",IF(K174="GST 10%",ROUND(L174*set_GSTRate,2),0))</f>
        <v/>
      </c>
      <c r="N174" s="27">
        <f>IF(L174="","",L174+M174)</f>
        <v/>
      </c>
      <c r="O174" s="24" t="inlineStr">
        <is>
          <t>42300</t>
        </is>
      </c>
      <c r="P174" s="24" t="inlineStr">
        <is>
          <t>Y</t>
        </is>
      </c>
      <c r="Q174" s="24" t="inlineStr">
        <is>
          <t>N</t>
        </is>
      </c>
      <c r="R174" s="22" t="n"/>
      <c r="S174" s="22" t="n"/>
      <c r="T174" s="24" t="inlineStr">
        <is>
          <t>Paid</t>
        </is>
      </c>
      <c r="U174" s="24" t="n"/>
      <c r="V174" s="25">
        <f>IF(COUNTA(A174,D174,C174,L174)=0,"",IF(A174="","No date - sits outside every month",IF(E174="","No job number",IF(F174="CHECK","Job number is not in the Xero job list",IF(I174="","No cost centre",IF(AND(P174="Y",C174=""),"Marked posted to Xero but has no invoice number",IF(AND(L174&lt;&gt;"",K174=""),"No tax code",IF(AND(L174&lt;&gt;"",O174=""),"No revenue GL code",""))))))))</f>
        <v/>
      </c>
      <c r="W174" s="25">
        <f>IF(E174="","",IFERROR(INDEX(lst_JobName,MATCH(E174&amp;"",lst_Jobs,0)),""))</f>
        <v/>
      </c>
      <c r="X174" s="28">
        <f>IF(E174="","",COUNTIFS(tbl_Finance[Job Number],E174&amp;"",tbl_Finance[Ex GST],"&lt;&gt;"))</f>
        <v/>
      </c>
      <c r="Y174" s="27">
        <f>IF(E174="","",SUMIFS(tbl_Finance[Ex GST],tbl_Finance[Job Number],E174&amp;""))</f>
        <v/>
      </c>
      <c r="Z174" s="27">
        <f>IF(E174="","",SUMIFS(tbl_Finance[Ex GST],tbl_Finance[Job Number],E174&amp;"",tbl_Finance[Xero Invoice No],"&lt;&gt;"))</f>
        <v/>
      </c>
      <c r="AA174" s="27">
        <f>IF(E174="","",Y174-Z174)</f>
        <v/>
      </c>
      <c r="AB174" s="25">
        <f>IF(E174="","",IF(H174="Onsite",IFERROR(INDEX(tbl_Onsite[Qwilr Quote],MATCH(E174&amp;"",tbl_Onsite[Job Number],0)),""),IF(H174="Production",IFERROR(INDEX(tbl_Production[Current RMS No],MATCH(E174&amp;"",tbl_Production[Job Number],0)),""),IF(H174="Consulting",IFERROR(INDEX(tbl_Consulting[Qwilr Quote],MATCH(E174&amp;"",tbl_Consulting[Job Number],0)),""),""))))</f>
        <v/>
      </c>
      <c r="AC174" s="25">
        <f>IF(AB174="","",IF(AND(LEFT(AB174,4)&lt;&gt;"http",IF(H174="Production",set_RMSBase,set_QwilrBase)=""),"",HYPERLINK(IF(LEFT(AB174,4)="http",AB174,IF(H174="Production",set_RMSBase,set_QwilrBase)&amp;AB174),"Open")))</f>
        <v/>
      </c>
      <c r="AD174" s="27">
        <f>IF(E174="","",IF(H174="Production",IFERROR(INDEX(tbl_Production[Total Expense],MATCH(E174&amp;"",tbl_Production[Job Number],0)),0),IF(H174="Consulting",IFERROR(INDEX(tbl_Consulting[Total Expense],MATCH(E174&amp;"",tbl_Consulting[Job Number],0)),0),0)))</f>
        <v/>
      </c>
      <c r="AE174" s="27">
        <f>IF(E174="","",Y174-N(AD174))</f>
        <v/>
      </c>
      <c r="AF174" s="29">
        <f>IFERROR(AE174/Y174,"")</f>
        <v/>
      </c>
      <c r="AG174" s="25">
        <f>IF(E174="","",IF(H174="Onsite",IFERROR(INDEX(tbl_Onsite[Notes],MATCH(E174&amp;"",tbl_Onsite[Job Number],0)),""),IF(H174="Production",IFERROR(INDEX(tbl_Production[Notes],MATCH(E174&amp;"",tbl_Production[Job Number],0)),""),IF(H174="Consulting",IFERROR(INDEX(tbl_Consulting[Notes],MATCH(E174&amp;"",tbl_Consulting[Job Number],0)),""),""))))</f>
        <v/>
      </c>
    </row>
    <row r="175" ht="15" customHeight="1">
      <c r="A175" s="22" t="n"/>
      <c r="B175" s="23">
        <f>IF(A175="","",EOMONTH(A175,0))</f>
        <v/>
      </c>
      <c r="C175" s="24" t="n"/>
      <c r="D175" s="24" t="inlineStr">
        <is>
          <t>Aware Super</t>
        </is>
      </c>
      <c r="E175" s="24" t="inlineStr">
        <is>
          <t>26071601</t>
        </is>
      </c>
      <c r="F175" s="25">
        <f>IF(E175="","",IF(COUNTIF(lst_Jobs,E175&amp;"")&gt;0,"OK","CHECK"))</f>
        <v/>
      </c>
      <c r="G175" s="24" t="inlineStr">
        <is>
          <t>PER USB-C Cable Replacement</t>
        </is>
      </c>
      <c r="H175" s="24" t="inlineStr">
        <is>
          <t>Consulting</t>
        </is>
      </c>
      <c r="I175" s="24" t="inlineStr">
        <is>
          <t>INTEGRATION</t>
        </is>
      </c>
      <c r="J175" s="24" t="inlineStr">
        <is>
          <t>Project</t>
        </is>
      </c>
      <c r="K175" s="24" t="inlineStr">
        <is>
          <t>GST 10%</t>
        </is>
      </c>
      <c r="L175" s="26" t="n">
        <v>2957</v>
      </c>
      <c r="M175" s="27">
        <f>IF(L175="","",IF(K175="GST 10%",ROUND(L175*set_GSTRate,2),0))</f>
        <v/>
      </c>
      <c r="N175" s="27">
        <f>IF(L175="","",L175+M175)</f>
        <v/>
      </c>
      <c r="O175" s="24" t="inlineStr">
        <is>
          <t>42300</t>
        </is>
      </c>
      <c r="P175" s="24" t="inlineStr">
        <is>
          <t>N</t>
        </is>
      </c>
      <c r="Q175" s="24" t="inlineStr">
        <is>
          <t>N</t>
        </is>
      </c>
      <c r="R175" s="22" t="n"/>
      <c r="S175" s="22" t="n"/>
      <c r="T175" s="24" t="inlineStr">
        <is>
          <t>To Invoice</t>
        </is>
      </c>
      <c r="U175" s="24" t="n"/>
      <c r="V175" s="25">
        <f>IF(COUNTA(A175,D175,C175,L175)=0,"",IF(A175="","No date - sits outside every month",IF(E175="","No job number",IF(F175="CHECK","Job number is not in the Xero job list",IF(I175="","No cost centre",IF(AND(P175="Y",C175=""),"Marked posted to Xero but has no invoice number",IF(AND(L175&lt;&gt;"",K175=""),"No tax code",IF(AND(L175&lt;&gt;"",O175=""),"No revenue GL code",""))))))))</f>
        <v/>
      </c>
      <c r="W175" s="25">
        <f>IF(E175="","",IFERROR(INDEX(lst_JobName,MATCH(E175&amp;"",lst_Jobs,0)),""))</f>
        <v/>
      </c>
      <c r="X175" s="28">
        <f>IF(E175="","",COUNTIFS(tbl_Finance[Job Number],E175&amp;"",tbl_Finance[Ex GST],"&lt;&gt;"))</f>
        <v/>
      </c>
      <c r="Y175" s="27">
        <f>IF(E175="","",SUMIFS(tbl_Finance[Ex GST],tbl_Finance[Job Number],E175&amp;""))</f>
        <v/>
      </c>
      <c r="Z175" s="27">
        <f>IF(E175="","",SUMIFS(tbl_Finance[Ex GST],tbl_Finance[Job Number],E175&amp;"",tbl_Finance[Xero Invoice No],"&lt;&gt;"))</f>
        <v/>
      </c>
      <c r="AA175" s="27">
        <f>IF(E175="","",Y175-Z175)</f>
        <v/>
      </c>
      <c r="AB175" s="25">
        <f>IF(E175="","",IF(H175="Onsite",IFERROR(INDEX(tbl_Onsite[Qwilr Quote],MATCH(E175&amp;"",tbl_Onsite[Job Number],0)),""),IF(H175="Production",IFERROR(INDEX(tbl_Production[Current RMS No],MATCH(E175&amp;"",tbl_Production[Job Number],0)),""),IF(H175="Consulting",IFERROR(INDEX(tbl_Consulting[Qwilr Quote],MATCH(E175&amp;"",tbl_Consulting[Job Number],0)),""),""))))</f>
        <v/>
      </c>
      <c r="AC175" s="25">
        <f>IF(AB175="","",IF(AND(LEFT(AB175,4)&lt;&gt;"http",IF(H175="Production",set_RMSBase,set_QwilrBase)=""),"",HYPERLINK(IF(LEFT(AB175,4)="http",AB175,IF(H175="Production",set_RMSBase,set_QwilrBase)&amp;AB175),"Open")))</f>
        <v/>
      </c>
      <c r="AD175" s="27">
        <f>IF(E175="","",IF(H175="Production",IFERROR(INDEX(tbl_Production[Total Expense],MATCH(E175&amp;"",tbl_Production[Job Number],0)),0),IF(H175="Consulting",IFERROR(INDEX(tbl_Consulting[Total Expense],MATCH(E175&amp;"",tbl_Consulting[Job Number],0)),0),0)))</f>
        <v/>
      </c>
      <c r="AE175" s="27">
        <f>IF(E175="","",Y175-N(AD175))</f>
        <v/>
      </c>
      <c r="AF175" s="29">
        <f>IFERROR(AE175/Y175,"")</f>
        <v/>
      </c>
      <c r="AG175" s="25">
        <f>IF(E175="","",IF(H175="Onsite",IFERROR(INDEX(tbl_Onsite[Notes],MATCH(E175&amp;"",tbl_Onsite[Job Number],0)),""),IF(H175="Production",IFERROR(INDEX(tbl_Production[Notes],MATCH(E175&amp;"",tbl_Production[Job Number],0)),""),IF(H175="Consulting",IFERROR(INDEX(tbl_Consulting[Notes],MATCH(E175&amp;"",tbl_Consulting[Job Number],0)),""),""))))</f>
        <v/>
      </c>
    </row>
    <row r="176" ht="15" customHeight="1">
      <c r="A176" s="22" t="n">
        <v>46267</v>
      </c>
      <c r="B176" s="23">
        <f>IF(A176="","",EOMONTH(A176,0))</f>
        <v/>
      </c>
      <c r="C176" s="24" t="inlineStr">
        <is>
          <t>INV-10619</t>
        </is>
      </c>
      <c r="D176" s="24" t="inlineStr">
        <is>
          <t>Aware Super</t>
        </is>
      </c>
      <c r="E176" s="24" t="inlineStr">
        <is>
          <t>26062503</t>
        </is>
      </c>
      <c r="F176" s="25">
        <f>IF(E176="","",IF(COUNTIF(lst_Jobs,E176&amp;"")&gt;0,"OK","CHECK"))</f>
        <v/>
      </c>
      <c r="G176" s="24" t="inlineStr">
        <is>
          <t>24.16 UC Engine Reimaging</t>
        </is>
      </c>
      <c r="H176" s="24" t="inlineStr">
        <is>
          <t>Consulting</t>
        </is>
      </c>
      <c r="I176" s="24" t="inlineStr">
        <is>
          <t>INTEGRATION</t>
        </is>
      </c>
      <c r="J176" s="24" t="inlineStr">
        <is>
          <t>Project</t>
        </is>
      </c>
      <c r="K176" s="24" t="inlineStr">
        <is>
          <t>GST 10%</t>
        </is>
      </c>
      <c r="L176" s="26" t="n">
        <v>671</v>
      </c>
      <c r="M176" s="27">
        <f>IF(L176="","",IF(K176="GST 10%",ROUND(L176*set_GSTRate,2),0))</f>
        <v/>
      </c>
      <c r="N176" s="27">
        <f>IF(L176="","",L176+M176)</f>
        <v/>
      </c>
      <c r="O176" s="24" t="inlineStr">
        <is>
          <t>42300</t>
        </is>
      </c>
      <c r="P176" s="24" t="inlineStr">
        <is>
          <t>Y</t>
        </is>
      </c>
      <c r="Q176" s="24" t="inlineStr">
        <is>
          <t>N</t>
        </is>
      </c>
      <c r="R176" s="22" t="n"/>
      <c r="S176" s="22" t="n"/>
      <c r="T176" s="24" t="inlineStr">
        <is>
          <t>To Invoice</t>
        </is>
      </c>
      <c r="U176" s="24" t="n"/>
      <c r="V176" s="25">
        <f>IF(COUNTA(A176,D176,C176,L176)=0,"",IF(A176="","No date - sits outside every month",IF(E176="","No job number",IF(F176="CHECK","Job number is not in the Xero job list",IF(I176="","No cost centre",IF(AND(P176="Y",C176=""),"Marked posted to Xero but has no invoice number",IF(AND(L176&lt;&gt;"",K176=""),"No tax code",IF(AND(L176&lt;&gt;"",O176=""),"No revenue GL code",""))))))))</f>
        <v/>
      </c>
      <c r="W176" s="25">
        <f>IF(E176="","",IFERROR(INDEX(lst_JobName,MATCH(E176&amp;"",lst_Jobs,0)),""))</f>
        <v/>
      </c>
      <c r="X176" s="28">
        <f>IF(E176="","",COUNTIFS(tbl_Finance[Job Number],E176&amp;"",tbl_Finance[Ex GST],"&lt;&gt;"))</f>
        <v/>
      </c>
      <c r="Y176" s="27">
        <f>IF(E176="","",SUMIFS(tbl_Finance[Ex GST],tbl_Finance[Job Number],E176&amp;""))</f>
        <v/>
      </c>
      <c r="Z176" s="27">
        <f>IF(E176="","",SUMIFS(tbl_Finance[Ex GST],tbl_Finance[Job Number],E176&amp;"",tbl_Finance[Xero Invoice No],"&lt;&gt;"))</f>
        <v/>
      </c>
      <c r="AA176" s="27">
        <f>IF(E176="","",Y176-Z176)</f>
        <v/>
      </c>
      <c r="AB176" s="25">
        <f>IF(E176="","",IF(H176="Onsite",IFERROR(INDEX(tbl_Onsite[Qwilr Quote],MATCH(E176&amp;"",tbl_Onsite[Job Number],0)),""),IF(H176="Production",IFERROR(INDEX(tbl_Production[Current RMS No],MATCH(E176&amp;"",tbl_Production[Job Number],0)),""),IF(H176="Consulting",IFERROR(INDEX(tbl_Consulting[Qwilr Quote],MATCH(E176&amp;"",tbl_Consulting[Job Number],0)),""),""))))</f>
        <v/>
      </c>
      <c r="AC176" s="25">
        <f>IF(AB176="","",IF(AND(LEFT(AB176,4)&lt;&gt;"http",IF(H176="Production",set_RMSBase,set_QwilrBase)=""),"",HYPERLINK(IF(LEFT(AB176,4)="http",AB176,IF(H176="Production",set_RMSBase,set_QwilrBase)&amp;AB176),"Open")))</f>
        <v/>
      </c>
      <c r="AD176" s="27">
        <f>IF(E176="","",IF(H176="Production",IFERROR(INDEX(tbl_Production[Total Expense],MATCH(E176&amp;"",tbl_Production[Job Number],0)),0),IF(H176="Consulting",IFERROR(INDEX(tbl_Consulting[Total Expense],MATCH(E176&amp;"",tbl_Consulting[Job Number],0)),0),0)))</f>
        <v/>
      </c>
      <c r="AE176" s="27">
        <f>IF(E176="","",Y176-N(AD176))</f>
        <v/>
      </c>
      <c r="AF176" s="29">
        <f>IFERROR(AE176/Y176,"")</f>
        <v/>
      </c>
      <c r="AG176" s="25">
        <f>IF(E176="","",IF(H176="Onsite",IFERROR(INDEX(tbl_Onsite[Notes],MATCH(E176&amp;"",tbl_Onsite[Job Number],0)),""),IF(H176="Production",IFERROR(INDEX(tbl_Production[Notes],MATCH(E176&amp;"",tbl_Production[Job Number],0)),""),IF(H176="Consulting",IFERROR(INDEX(tbl_Consulting[Notes],MATCH(E176&amp;"",tbl_Consulting[Job Number],0)),""),""))))</f>
        <v/>
      </c>
    </row>
    <row r="177" ht="15" customHeight="1">
      <c r="A177" s="22" t="n">
        <v>46275</v>
      </c>
      <c r="B177" s="23">
        <f>IF(A177="","",EOMONTH(A177,0))</f>
        <v/>
      </c>
      <c r="C177" s="24" t="inlineStr">
        <is>
          <t>INV-10622</t>
        </is>
      </c>
      <c r="D177" s="24" t="inlineStr">
        <is>
          <t>APA</t>
        </is>
      </c>
      <c r="E177" s="24" t="inlineStr">
        <is>
          <t>25070702</t>
        </is>
      </c>
      <c r="F177" s="25">
        <f>IF(E177="","",IF(COUNTIF(lst_Jobs,E177&amp;"")&gt;0,"OK","CHECK"))</f>
        <v/>
      </c>
      <c r="G177" s="24" t="inlineStr">
        <is>
          <t>APA BNE &amp; NT Year 2 license</t>
        </is>
      </c>
      <c r="H177" s="24" t="inlineStr">
        <is>
          <t>Consulting</t>
        </is>
      </c>
      <c r="I177" s="24" t="inlineStr">
        <is>
          <t>INTEGRATION</t>
        </is>
      </c>
      <c r="J177" s="24" t="inlineStr">
        <is>
          <t>Project</t>
        </is>
      </c>
      <c r="K177" s="24" t="inlineStr">
        <is>
          <t>GST 10%</t>
        </is>
      </c>
      <c r="L177" s="26" t="n">
        <v>3956.77</v>
      </c>
      <c r="M177" s="27">
        <f>IF(L177="","",IF(K177="GST 10%",ROUND(L177*set_GSTRate,2),0))</f>
        <v/>
      </c>
      <c r="N177" s="27">
        <f>IF(L177="","",L177+M177)</f>
        <v/>
      </c>
      <c r="O177" s="24" t="inlineStr">
        <is>
          <t>42300</t>
        </is>
      </c>
      <c r="P177" s="24" t="inlineStr">
        <is>
          <t>Y</t>
        </is>
      </c>
      <c r="Q177" s="24" t="inlineStr">
        <is>
          <t>N</t>
        </is>
      </c>
      <c r="R177" s="22" t="n"/>
      <c r="S177" s="22" t="n"/>
      <c r="T177" s="24" t="inlineStr">
        <is>
          <t>Paid</t>
        </is>
      </c>
      <c r="U177" s="24" t="n"/>
      <c r="V177" s="25">
        <f>IF(COUNTA(A177,D177,C177,L177)=0,"",IF(A177="","No date - sits outside every month",IF(E177="","No job number",IF(F177="CHECK","Job number is not in the Xero job list",IF(I177="","No cost centre",IF(AND(P177="Y",C177=""),"Marked posted to Xero but has no invoice number",IF(AND(L177&lt;&gt;"",K177=""),"No tax code",IF(AND(L177&lt;&gt;"",O177=""),"No revenue GL code",""))))))))</f>
        <v/>
      </c>
      <c r="W177" s="25">
        <f>IF(E177="","",IFERROR(INDEX(lst_JobName,MATCH(E177&amp;"",lst_Jobs,0)),""))</f>
        <v/>
      </c>
      <c r="X177" s="28">
        <f>IF(E177="","",COUNTIFS(tbl_Finance[Job Number],E177&amp;"",tbl_Finance[Ex GST],"&lt;&gt;"))</f>
        <v/>
      </c>
      <c r="Y177" s="27">
        <f>IF(E177="","",SUMIFS(tbl_Finance[Ex GST],tbl_Finance[Job Number],E177&amp;""))</f>
        <v/>
      </c>
      <c r="Z177" s="27">
        <f>IF(E177="","",SUMIFS(tbl_Finance[Ex GST],tbl_Finance[Job Number],E177&amp;"",tbl_Finance[Xero Invoice No],"&lt;&gt;"))</f>
        <v/>
      </c>
      <c r="AA177" s="27">
        <f>IF(E177="","",Y177-Z177)</f>
        <v/>
      </c>
      <c r="AB177" s="25">
        <f>IF(E177="","",IF(H177="Onsite",IFERROR(INDEX(tbl_Onsite[Qwilr Quote],MATCH(E177&amp;"",tbl_Onsite[Job Number],0)),""),IF(H177="Production",IFERROR(INDEX(tbl_Production[Current RMS No],MATCH(E177&amp;"",tbl_Production[Job Number],0)),""),IF(H177="Consulting",IFERROR(INDEX(tbl_Consulting[Qwilr Quote],MATCH(E177&amp;"",tbl_Consulting[Job Number],0)),""),""))))</f>
        <v/>
      </c>
      <c r="AC177" s="25">
        <f>IF(AB177="","",IF(AND(LEFT(AB177,4)&lt;&gt;"http",IF(H177="Production",set_RMSBase,set_QwilrBase)=""),"",HYPERLINK(IF(LEFT(AB177,4)="http",AB177,IF(H177="Production",set_RMSBase,set_QwilrBase)&amp;AB177),"Open")))</f>
        <v/>
      </c>
      <c r="AD177" s="27">
        <f>IF(E177="","",IF(H177="Production",IFERROR(INDEX(tbl_Production[Total Expense],MATCH(E177&amp;"",tbl_Production[Job Number],0)),0),IF(H177="Consulting",IFERROR(INDEX(tbl_Consulting[Total Expense],MATCH(E177&amp;"",tbl_Consulting[Job Number],0)),0),0)))</f>
        <v/>
      </c>
      <c r="AE177" s="27">
        <f>IF(E177="","",Y177-N(AD177))</f>
        <v/>
      </c>
      <c r="AF177" s="29">
        <f>IFERROR(AE177/Y177,"")</f>
        <v/>
      </c>
      <c r="AG177" s="25">
        <f>IF(E177="","",IF(H177="Onsite",IFERROR(INDEX(tbl_Onsite[Notes],MATCH(E177&amp;"",tbl_Onsite[Job Number],0)),""),IF(H177="Production",IFERROR(INDEX(tbl_Production[Notes],MATCH(E177&amp;"",tbl_Production[Job Number],0)),""),IF(H177="Consulting",IFERROR(INDEX(tbl_Consulting[Notes],MATCH(E177&amp;"",tbl_Consulting[Job Number],0)),""),""))))</f>
        <v/>
      </c>
    </row>
    <row r="178" ht="15" customHeight="1">
      <c r="A178" s="22" t="n"/>
      <c r="B178" s="23">
        <f>IF(A178="","",EOMONTH(A178,0))</f>
        <v/>
      </c>
      <c r="C178" s="24" t="n"/>
      <c r="D178" s="24" t="n"/>
      <c r="E178" s="24" t="n"/>
      <c r="F178" s="25">
        <f>IF(E178="","",IF(COUNTIF(lst_Jobs,E178&amp;"")&gt;0,"OK","CHECK"))</f>
        <v/>
      </c>
      <c r="G178" s="24" t="n"/>
      <c r="H178" s="24" t="n"/>
      <c r="I178" s="24" t="n"/>
      <c r="J178" s="24" t="n"/>
      <c r="K178" s="24" t="n"/>
      <c r="L178" s="26" t="n"/>
      <c r="M178" s="27">
        <f>IF(L178="","",IF(K178="GST 10%",ROUND(L178*set_GSTRate,2),0))</f>
        <v/>
      </c>
      <c r="N178" s="27">
        <f>IF(L178="","",L178+M178)</f>
        <v/>
      </c>
      <c r="O178" s="24" t="n"/>
      <c r="P178" s="24" t="n"/>
      <c r="Q178" s="24" t="n"/>
      <c r="R178" s="22" t="n"/>
      <c r="S178" s="22" t="n"/>
      <c r="T178" s="24" t="n"/>
      <c r="U178" s="24" t="n"/>
      <c r="V178" s="25">
        <f>IF(COUNTA(A178,D178,C178,L178)=0,"",IF(A178="","No date - sits outside every month",IF(E178="","No job number",IF(F178="CHECK","Job number is not in the Xero job list",IF(I178="","No cost centre",IF(AND(P178="Y",C178=""),"Marked posted to Xero but has no invoice number",IF(AND(L178&lt;&gt;"",K178=""),"No tax code",IF(AND(L178&lt;&gt;"",O178=""),"No revenue GL code",""))))))))</f>
        <v/>
      </c>
      <c r="W178" s="25">
        <f>IF(E178="","",IFERROR(INDEX(lst_JobName,MATCH(E178&amp;"",lst_Jobs,0)),""))</f>
        <v/>
      </c>
      <c r="X178" s="28">
        <f>IF(E178="","",COUNTIFS(tbl_Finance[Job Number],E178&amp;"",tbl_Finance[Ex GST],"&lt;&gt;"))</f>
        <v/>
      </c>
      <c r="Y178" s="27">
        <f>IF(E178="","",SUMIFS(tbl_Finance[Ex GST],tbl_Finance[Job Number],E178&amp;""))</f>
        <v/>
      </c>
      <c r="Z178" s="27">
        <f>IF(E178="","",SUMIFS(tbl_Finance[Ex GST],tbl_Finance[Job Number],E178&amp;"",tbl_Finance[Xero Invoice No],"&lt;&gt;"))</f>
        <v/>
      </c>
      <c r="AA178" s="27">
        <f>IF(E178="","",Y178-Z178)</f>
        <v/>
      </c>
      <c r="AB178" s="25">
        <f>IF(E178="","",IF(H178="Onsite",IFERROR(INDEX(tbl_Onsite[Qwilr Quote],MATCH(E178&amp;"",tbl_Onsite[Job Number],0)),""),IF(H178="Production",IFERROR(INDEX(tbl_Production[Current RMS No],MATCH(E178&amp;"",tbl_Production[Job Number],0)),""),IF(H178="Consulting",IFERROR(INDEX(tbl_Consulting[Qwilr Quote],MATCH(E178&amp;"",tbl_Consulting[Job Number],0)),""),""))))</f>
        <v/>
      </c>
      <c r="AC178" s="25">
        <f>IF(AB178="","",IF(AND(LEFT(AB178,4)&lt;&gt;"http",IF(H178="Production",set_RMSBase,set_QwilrBase)=""),"",HYPERLINK(IF(LEFT(AB178,4)="http",AB178,IF(H178="Production",set_RMSBase,set_QwilrBase)&amp;AB178),"Open")))</f>
        <v/>
      </c>
      <c r="AD178" s="27">
        <f>IF(E178="","",IF(H178="Production",IFERROR(INDEX(tbl_Production[Total Expense],MATCH(E178&amp;"",tbl_Production[Job Number],0)),0),IF(H178="Consulting",IFERROR(INDEX(tbl_Consulting[Total Expense],MATCH(E178&amp;"",tbl_Consulting[Job Number],0)),0),0)))</f>
        <v/>
      </c>
      <c r="AE178" s="27">
        <f>IF(E178="","",Y178-N(AD178))</f>
        <v/>
      </c>
      <c r="AF178" s="29">
        <f>IFERROR(AE178/Y178,"")</f>
        <v/>
      </c>
      <c r="AG178" s="25">
        <f>IF(E178="","",IF(H178="Onsite",IFERROR(INDEX(tbl_Onsite[Notes],MATCH(E178&amp;"",tbl_Onsite[Job Number],0)),""),IF(H178="Production",IFERROR(INDEX(tbl_Production[Notes],MATCH(E178&amp;"",tbl_Production[Job Number],0)),""),IF(H178="Consulting",IFERROR(INDEX(tbl_Consulting[Notes],MATCH(E178&amp;"",tbl_Consulting[Job Number],0)),""),""))))</f>
        <v/>
      </c>
    </row>
    <row r="179" ht="15" customHeight="1">
      <c r="A179" s="22" t="n"/>
      <c r="B179" s="23">
        <f>IF(A179="","",EOMONTH(A179,0))</f>
        <v/>
      </c>
      <c r="C179" s="24" t="n"/>
      <c r="D179" s="24" t="n"/>
      <c r="E179" s="24" t="n"/>
      <c r="F179" s="25">
        <f>IF(E179="","",IF(COUNTIF(lst_Jobs,E179&amp;"")&gt;0,"OK","CHECK"))</f>
        <v/>
      </c>
      <c r="G179" s="24" t="n"/>
      <c r="H179" s="24" t="n"/>
      <c r="I179" s="24" t="n"/>
      <c r="J179" s="24" t="n"/>
      <c r="K179" s="24" t="n"/>
      <c r="L179" s="26" t="n"/>
      <c r="M179" s="27">
        <f>IF(L179="","",IF(K179="GST 10%",ROUND(L179*set_GSTRate,2),0))</f>
        <v/>
      </c>
      <c r="N179" s="27">
        <f>IF(L179="","",L179+M179)</f>
        <v/>
      </c>
      <c r="O179" s="24" t="n"/>
      <c r="P179" s="24" t="n"/>
      <c r="Q179" s="24" t="n"/>
      <c r="R179" s="22" t="n"/>
      <c r="S179" s="22" t="n"/>
      <c r="T179" s="24" t="n"/>
      <c r="U179" s="24" t="n"/>
      <c r="V179" s="25">
        <f>IF(COUNTA(A179,D179,C179,L179)=0,"",IF(A179="","No date - sits outside every month",IF(E179="","No job number",IF(F179="CHECK","Job number is not in the Xero job list",IF(I179="","No cost centre",IF(AND(P179="Y",C179=""),"Marked posted to Xero but has no invoice number",IF(AND(L179&lt;&gt;"",K179=""),"No tax code",IF(AND(L179&lt;&gt;"",O179=""),"No revenue GL code",""))))))))</f>
        <v/>
      </c>
      <c r="W179" s="25">
        <f>IF(E179="","",IFERROR(INDEX(lst_JobName,MATCH(E179&amp;"",lst_Jobs,0)),""))</f>
        <v/>
      </c>
      <c r="X179" s="28">
        <f>IF(E179="","",COUNTIFS(tbl_Finance[Job Number],E179&amp;"",tbl_Finance[Ex GST],"&lt;&gt;"))</f>
        <v/>
      </c>
      <c r="Y179" s="27">
        <f>IF(E179="","",SUMIFS(tbl_Finance[Ex GST],tbl_Finance[Job Number],E179&amp;""))</f>
        <v/>
      </c>
      <c r="Z179" s="27">
        <f>IF(E179="","",SUMIFS(tbl_Finance[Ex GST],tbl_Finance[Job Number],E179&amp;"",tbl_Finance[Xero Invoice No],"&lt;&gt;"))</f>
        <v/>
      </c>
      <c r="AA179" s="27">
        <f>IF(E179="","",Y179-Z179)</f>
        <v/>
      </c>
      <c r="AB179" s="25">
        <f>IF(E179="","",IF(H179="Onsite",IFERROR(INDEX(tbl_Onsite[Qwilr Quote],MATCH(E179&amp;"",tbl_Onsite[Job Number],0)),""),IF(H179="Production",IFERROR(INDEX(tbl_Production[Current RMS No],MATCH(E179&amp;"",tbl_Production[Job Number],0)),""),IF(H179="Consulting",IFERROR(INDEX(tbl_Consulting[Qwilr Quote],MATCH(E179&amp;"",tbl_Consulting[Job Number],0)),""),""))))</f>
        <v/>
      </c>
      <c r="AC179" s="25">
        <f>IF(AB179="","",IF(AND(LEFT(AB179,4)&lt;&gt;"http",IF(H179="Production",set_RMSBase,set_QwilrBase)=""),"",HYPERLINK(IF(LEFT(AB179,4)="http",AB179,IF(H179="Production",set_RMSBase,set_QwilrBase)&amp;AB179),"Open")))</f>
        <v/>
      </c>
      <c r="AD179" s="27">
        <f>IF(E179="","",IF(H179="Production",IFERROR(INDEX(tbl_Production[Total Expense],MATCH(E179&amp;"",tbl_Production[Job Number],0)),0),IF(H179="Consulting",IFERROR(INDEX(tbl_Consulting[Total Expense],MATCH(E179&amp;"",tbl_Consulting[Job Number],0)),0),0)))</f>
        <v/>
      </c>
      <c r="AE179" s="27">
        <f>IF(E179="","",Y179-N(AD179))</f>
        <v/>
      </c>
      <c r="AF179" s="29">
        <f>IFERROR(AE179/Y179,"")</f>
        <v/>
      </c>
      <c r="AG179" s="25">
        <f>IF(E179="","",IF(H179="Onsite",IFERROR(INDEX(tbl_Onsite[Notes],MATCH(E179&amp;"",tbl_Onsite[Job Number],0)),""),IF(H179="Production",IFERROR(INDEX(tbl_Production[Notes],MATCH(E179&amp;"",tbl_Production[Job Number],0)),""),IF(H179="Consulting",IFERROR(INDEX(tbl_Consulting[Notes],MATCH(E179&amp;"",tbl_Consulting[Job Number],0)),""),""))))</f>
        <v/>
      </c>
    </row>
    <row r="180" ht="15" customHeight="1">
      <c r="A180" s="22" t="n"/>
      <c r="B180" s="23">
        <f>IF(A180="","",EOMONTH(A180,0))</f>
        <v/>
      </c>
      <c r="C180" s="24" t="n"/>
      <c r="D180" s="24" t="n"/>
      <c r="E180" s="24" t="n"/>
      <c r="F180" s="25">
        <f>IF(E180="","",IF(COUNTIF(lst_Jobs,E180&amp;"")&gt;0,"OK","CHECK"))</f>
        <v/>
      </c>
      <c r="G180" s="24" t="n"/>
      <c r="H180" s="24" t="n"/>
      <c r="I180" s="24" t="n"/>
      <c r="J180" s="24" t="n"/>
      <c r="K180" s="24" t="n"/>
      <c r="L180" s="26" t="n"/>
      <c r="M180" s="27">
        <f>IF(L180="","",IF(K180="GST 10%",ROUND(L180*set_GSTRate,2),0))</f>
        <v/>
      </c>
      <c r="N180" s="27">
        <f>IF(L180="","",L180+M180)</f>
        <v/>
      </c>
      <c r="O180" s="24" t="n"/>
      <c r="P180" s="24" t="n"/>
      <c r="Q180" s="24" t="n"/>
      <c r="R180" s="22" t="n"/>
      <c r="S180" s="22" t="n"/>
      <c r="T180" s="24" t="n"/>
      <c r="U180" s="24" t="n"/>
      <c r="V180" s="25">
        <f>IF(COUNTA(A180,D180,C180,L180)=0,"",IF(A180="","No date - sits outside every month",IF(E180="","No job number",IF(F180="CHECK","Job number is not in the Xero job list",IF(I180="","No cost centre",IF(AND(P180="Y",C180=""),"Marked posted to Xero but has no invoice number",IF(AND(L180&lt;&gt;"",K180=""),"No tax code",IF(AND(L180&lt;&gt;"",O180=""),"No revenue GL code",""))))))))</f>
        <v/>
      </c>
      <c r="W180" s="25">
        <f>IF(E180="","",IFERROR(INDEX(lst_JobName,MATCH(E180&amp;"",lst_Jobs,0)),""))</f>
        <v/>
      </c>
      <c r="X180" s="28">
        <f>IF(E180="","",COUNTIFS(tbl_Finance[Job Number],E180&amp;"",tbl_Finance[Ex GST],"&lt;&gt;"))</f>
        <v/>
      </c>
      <c r="Y180" s="27">
        <f>IF(E180="","",SUMIFS(tbl_Finance[Ex GST],tbl_Finance[Job Number],E180&amp;""))</f>
        <v/>
      </c>
      <c r="Z180" s="27">
        <f>IF(E180="","",SUMIFS(tbl_Finance[Ex GST],tbl_Finance[Job Number],E180&amp;"",tbl_Finance[Xero Invoice No],"&lt;&gt;"))</f>
        <v/>
      </c>
      <c r="AA180" s="27">
        <f>IF(E180="","",Y180-Z180)</f>
        <v/>
      </c>
      <c r="AB180" s="25">
        <f>IF(E180="","",IF(H180="Onsite",IFERROR(INDEX(tbl_Onsite[Qwilr Quote],MATCH(E180&amp;"",tbl_Onsite[Job Number],0)),""),IF(H180="Production",IFERROR(INDEX(tbl_Production[Current RMS No],MATCH(E180&amp;"",tbl_Production[Job Number],0)),""),IF(H180="Consulting",IFERROR(INDEX(tbl_Consulting[Qwilr Quote],MATCH(E180&amp;"",tbl_Consulting[Job Number],0)),""),""))))</f>
        <v/>
      </c>
      <c r="AC180" s="25">
        <f>IF(AB180="","",IF(AND(LEFT(AB180,4)&lt;&gt;"http",IF(H180="Production",set_RMSBase,set_QwilrBase)=""),"",HYPERLINK(IF(LEFT(AB180,4)="http",AB180,IF(H180="Production",set_RMSBase,set_QwilrBase)&amp;AB180),"Open")))</f>
        <v/>
      </c>
      <c r="AD180" s="27">
        <f>IF(E180="","",IF(H180="Production",IFERROR(INDEX(tbl_Production[Total Expense],MATCH(E180&amp;"",tbl_Production[Job Number],0)),0),IF(H180="Consulting",IFERROR(INDEX(tbl_Consulting[Total Expense],MATCH(E180&amp;"",tbl_Consulting[Job Number],0)),0),0)))</f>
        <v/>
      </c>
      <c r="AE180" s="27">
        <f>IF(E180="","",Y180-N(AD180))</f>
        <v/>
      </c>
      <c r="AF180" s="29">
        <f>IFERROR(AE180/Y180,"")</f>
        <v/>
      </c>
      <c r="AG180" s="25">
        <f>IF(E180="","",IF(H180="Onsite",IFERROR(INDEX(tbl_Onsite[Notes],MATCH(E180&amp;"",tbl_Onsite[Job Number],0)),""),IF(H180="Production",IFERROR(INDEX(tbl_Production[Notes],MATCH(E180&amp;"",tbl_Production[Job Number],0)),""),IF(H180="Consulting",IFERROR(INDEX(tbl_Consulting[Notes],MATCH(E180&amp;"",tbl_Consulting[Job Number],0)),""),""))))</f>
        <v/>
      </c>
    </row>
    <row r="181" ht="15" customHeight="1">
      <c r="A181" s="22" t="n"/>
      <c r="B181" s="23">
        <f>IF(A181="","",EOMONTH(A181,0))</f>
        <v/>
      </c>
      <c r="C181" s="24" t="n"/>
      <c r="D181" s="24" t="n"/>
      <c r="E181" s="24" t="n"/>
      <c r="F181" s="25">
        <f>IF(E181="","",IF(COUNTIF(lst_Jobs,E181&amp;"")&gt;0,"OK","CHECK"))</f>
        <v/>
      </c>
      <c r="G181" s="24" t="n"/>
      <c r="H181" s="24" t="n"/>
      <c r="I181" s="24" t="n"/>
      <c r="J181" s="24" t="n"/>
      <c r="K181" s="24" t="n"/>
      <c r="L181" s="26" t="n"/>
      <c r="M181" s="27">
        <f>IF(L181="","",IF(K181="GST 10%",ROUND(L181*set_GSTRate,2),0))</f>
        <v/>
      </c>
      <c r="N181" s="27">
        <f>IF(L181="","",L181+M181)</f>
        <v/>
      </c>
      <c r="O181" s="24" t="n"/>
      <c r="P181" s="24" t="n"/>
      <c r="Q181" s="24" t="n"/>
      <c r="R181" s="22" t="n"/>
      <c r="S181" s="22" t="n"/>
      <c r="T181" s="24" t="n"/>
      <c r="U181" s="24" t="n"/>
      <c r="V181" s="25">
        <f>IF(COUNTA(A181,D181,C181,L181)=0,"",IF(A181="","No date - sits outside every month",IF(E181="","No job number",IF(F181="CHECK","Job number is not in the Xero job list",IF(I181="","No cost centre",IF(AND(P181="Y",C181=""),"Marked posted to Xero but has no invoice number",IF(AND(L181&lt;&gt;"",K181=""),"No tax code",IF(AND(L181&lt;&gt;"",O181=""),"No revenue GL code",""))))))))</f>
        <v/>
      </c>
      <c r="W181" s="25">
        <f>IF(E181="","",IFERROR(INDEX(lst_JobName,MATCH(E181&amp;"",lst_Jobs,0)),""))</f>
        <v/>
      </c>
      <c r="X181" s="28">
        <f>IF(E181="","",COUNTIFS(tbl_Finance[Job Number],E181&amp;"",tbl_Finance[Ex GST],"&lt;&gt;"))</f>
        <v/>
      </c>
      <c r="Y181" s="27">
        <f>IF(E181="","",SUMIFS(tbl_Finance[Ex GST],tbl_Finance[Job Number],E181&amp;""))</f>
        <v/>
      </c>
      <c r="Z181" s="27">
        <f>IF(E181="","",SUMIFS(tbl_Finance[Ex GST],tbl_Finance[Job Number],E181&amp;"",tbl_Finance[Xero Invoice No],"&lt;&gt;"))</f>
        <v/>
      </c>
      <c r="AA181" s="27">
        <f>IF(E181="","",Y181-Z181)</f>
        <v/>
      </c>
      <c r="AB181" s="25">
        <f>IF(E181="","",IF(H181="Onsite",IFERROR(INDEX(tbl_Onsite[Qwilr Quote],MATCH(E181&amp;"",tbl_Onsite[Job Number],0)),""),IF(H181="Production",IFERROR(INDEX(tbl_Production[Current RMS No],MATCH(E181&amp;"",tbl_Production[Job Number],0)),""),IF(H181="Consulting",IFERROR(INDEX(tbl_Consulting[Qwilr Quote],MATCH(E181&amp;"",tbl_Consulting[Job Number],0)),""),""))))</f>
        <v/>
      </c>
      <c r="AC181" s="25">
        <f>IF(AB181="","",IF(AND(LEFT(AB181,4)&lt;&gt;"http",IF(H181="Production",set_RMSBase,set_QwilrBase)=""),"",HYPERLINK(IF(LEFT(AB181,4)="http",AB181,IF(H181="Production",set_RMSBase,set_QwilrBase)&amp;AB181),"Open")))</f>
        <v/>
      </c>
      <c r="AD181" s="27">
        <f>IF(E181="","",IF(H181="Production",IFERROR(INDEX(tbl_Production[Total Expense],MATCH(E181&amp;"",tbl_Production[Job Number],0)),0),IF(H181="Consulting",IFERROR(INDEX(tbl_Consulting[Total Expense],MATCH(E181&amp;"",tbl_Consulting[Job Number],0)),0),0)))</f>
        <v/>
      </c>
      <c r="AE181" s="27">
        <f>IF(E181="","",Y181-N(AD181))</f>
        <v/>
      </c>
      <c r="AF181" s="29">
        <f>IFERROR(AE181/Y181,"")</f>
        <v/>
      </c>
      <c r="AG181" s="25">
        <f>IF(E181="","",IF(H181="Onsite",IFERROR(INDEX(tbl_Onsite[Notes],MATCH(E181&amp;"",tbl_Onsite[Job Number],0)),""),IF(H181="Production",IFERROR(INDEX(tbl_Production[Notes],MATCH(E181&amp;"",tbl_Production[Job Number],0)),""),IF(H181="Consulting",IFERROR(INDEX(tbl_Consulting[Notes],MATCH(E181&amp;"",tbl_Consulting[Job Number],0)),""),""))))</f>
        <v/>
      </c>
    </row>
    <row r="182" ht="15" customHeight="1">
      <c r="A182" s="22" t="n"/>
      <c r="B182" s="23">
        <f>IF(A182="","",EOMONTH(A182,0))</f>
        <v/>
      </c>
      <c r="C182" s="24" t="n"/>
      <c r="D182" s="24" t="n"/>
      <c r="E182" s="24" t="n"/>
      <c r="F182" s="25">
        <f>IF(E182="","",IF(COUNTIF(lst_Jobs,E182&amp;"")&gt;0,"OK","CHECK"))</f>
        <v/>
      </c>
      <c r="G182" s="24" t="n"/>
      <c r="H182" s="24" t="n"/>
      <c r="I182" s="24" t="n"/>
      <c r="J182" s="24" t="n"/>
      <c r="K182" s="24" t="n"/>
      <c r="L182" s="26" t="n"/>
      <c r="M182" s="27">
        <f>IF(L182="","",IF(K182="GST 10%",ROUND(L182*set_GSTRate,2),0))</f>
        <v/>
      </c>
      <c r="N182" s="27">
        <f>IF(L182="","",L182+M182)</f>
        <v/>
      </c>
      <c r="O182" s="24" t="n"/>
      <c r="P182" s="24" t="n"/>
      <c r="Q182" s="24" t="n"/>
      <c r="R182" s="22" t="n"/>
      <c r="S182" s="22" t="n"/>
      <c r="T182" s="24" t="n"/>
      <c r="U182" s="24" t="n"/>
      <c r="V182" s="25">
        <f>IF(COUNTA(A182,D182,C182,L182)=0,"",IF(A182="","No date - sits outside every month",IF(E182="","No job number",IF(F182="CHECK","Job number is not in the Xero job list",IF(I182="","No cost centre",IF(AND(P182="Y",C182=""),"Marked posted to Xero but has no invoice number",IF(AND(L182&lt;&gt;"",K182=""),"No tax code",IF(AND(L182&lt;&gt;"",O182=""),"No revenue GL code",""))))))))</f>
        <v/>
      </c>
      <c r="W182" s="25">
        <f>IF(E182="","",IFERROR(INDEX(lst_JobName,MATCH(E182&amp;"",lst_Jobs,0)),""))</f>
        <v/>
      </c>
      <c r="X182" s="28">
        <f>IF(E182="","",COUNTIFS(tbl_Finance[Job Number],E182&amp;"",tbl_Finance[Ex GST],"&lt;&gt;"))</f>
        <v/>
      </c>
      <c r="Y182" s="27">
        <f>IF(E182="","",SUMIFS(tbl_Finance[Ex GST],tbl_Finance[Job Number],E182&amp;""))</f>
        <v/>
      </c>
      <c r="Z182" s="27">
        <f>IF(E182="","",SUMIFS(tbl_Finance[Ex GST],tbl_Finance[Job Number],E182&amp;"",tbl_Finance[Xero Invoice No],"&lt;&gt;"))</f>
        <v/>
      </c>
      <c r="AA182" s="27">
        <f>IF(E182="","",Y182-Z182)</f>
        <v/>
      </c>
      <c r="AB182" s="25">
        <f>IF(E182="","",IF(H182="Onsite",IFERROR(INDEX(tbl_Onsite[Qwilr Quote],MATCH(E182&amp;"",tbl_Onsite[Job Number],0)),""),IF(H182="Production",IFERROR(INDEX(tbl_Production[Current RMS No],MATCH(E182&amp;"",tbl_Production[Job Number],0)),""),IF(H182="Consulting",IFERROR(INDEX(tbl_Consulting[Qwilr Quote],MATCH(E182&amp;"",tbl_Consulting[Job Number],0)),""),""))))</f>
        <v/>
      </c>
      <c r="AC182" s="25">
        <f>IF(AB182="","",IF(AND(LEFT(AB182,4)&lt;&gt;"http",IF(H182="Production",set_RMSBase,set_QwilrBase)=""),"",HYPERLINK(IF(LEFT(AB182,4)="http",AB182,IF(H182="Production",set_RMSBase,set_QwilrBase)&amp;AB182),"Open")))</f>
        <v/>
      </c>
      <c r="AD182" s="27">
        <f>IF(E182="","",IF(H182="Production",IFERROR(INDEX(tbl_Production[Total Expense],MATCH(E182&amp;"",tbl_Production[Job Number],0)),0),IF(H182="Consulting",IFERROR(INDEX(tbl_Consulting[Total Expense],MATCH(E182&amp;"",tbl_Consulting[Job Number],0)),0),0)))</f>
        <v/>
      </c>
      <c r="AE182" s="27">
        <f>IF(E182="","",Y182-N(AD182))</f>
        <v/>
      </c>
      <c r="AF182" s="29">
        <f>IFERROR(AE182/Y182,"")</f>
        <v/>
      </c>
      <c r="AG182" s="25">
        <f>IF(E182="","",IF(H182="Onsite",IFERROR(INDEX(tbl_Onsite[Notes],MATCH(E182&amp;"",tbl_Onsite[Job Number],0)),""),IF(H182="Production",IFERROR(INDEX(tbl_Production[Notes],MATCH(E182&amp;"",tbl_Production[Job Number],0)),""),IF(H182="Consulting",IFERROR(INDEX(tbl_Consulting[Notes],MATCH(E182&amp;"",tbl_Consulting[Job Number],0)),""),""))))</f>
        <v/>
      </c>
    </row>
    <row r="183" ht="15" customHeight="1">
      <c r="A183" s="22" t="n"/>
      <c r="B183" s="23">
        <f>IF(A183="","",EOMONTH(A183,0))</f>
        <v/>
      </c>
      <c r="C183" s="24" t="n"/>
      <c r="D183" s="24" t="n"/>
      <c r="E183" s="24" t="n"/>
      <c r="F183" s="25">
        <f>IF(E183="","",IF(COUNTIF(lst_Jobs,E183&amp;"")&gt;0,"OK","CHECK"))</f>
        <v/>
      </c>
      <c r="G183" s="24" t="n"/>
      <c r="H183" s="24" t="n"/>
      <c r="I183" s="24" t="n"/>
      <c r="J183" s="24" t="n"/>
      <c r="K183" s="24" t="n"/>
      <c r="L183" s="26" t="n"/>
      <c r="M183" s="27">
        <f>IF(L183="","",IF(K183="GST 10%",ROUND(L183*set_GSTRate,2),0))</f>
        <v/>
      </c>
      <c r="N183" s="27">
        <f>IF(L183="","",L183+M183)</f>
        <v/>
      </c>
      <c r="O183" s="24" t="n"/>
      <c r="P183" s="24" t="n"/>
      <c r="Q183" s="24" t="n"/>
      <c r="R183" s="22" t="n"/>
      <c r="S183" s="22" t="n"/>
      <c r="T183" s="24" t="n"/>
      <c r="U183" s="24" t="n"/>
      <c r="V183" s="25">
        <f>IF(COUNTA(A183,D183,C183,L183)=0,"",IF(A183="","No date - sits outside every month",IF(E183="","No job number",IF(F183="CHECK","Job number is not in the Xero job list",IF(I183="","No cost centre",IF(AND(P183="Y",C183=""),"Marked posted to Xero but has no invoice number",IF(AND(L183&lt;&gt;"",K183=""),"No tax code",IF(AND(L183&lt;&gt;"",O183=""),"No revenue GL code",""))))))))</f>
        <v/>
      </c>
      <c r="W183" s="25">
        <f>IF(E183="","",IFERROR(INDEX(lst_JobName,MATCH(E183&amp;"",lst_Jobs,0)),""))</f>
        <v/>
      </c>
      <c r="X183" s="28">
        <f>IF(E183="","",COUNTIFS(tbl_Finance[Job Number],E183&amp;"",tbl_Finance[Ex GST],"&lt;&gt;"))</f>
        <v/>
      </c>
      <c r="Y183" s="27">
        <f>IF(E183="","",SUMIFS(tbl_Finance[Ex GST],tbl_Finance[Job Number],E183&amp;""))</f>
        <v/>
      </c>
      <c r="Z183" s="27">
        <f>IF(E183="","",SUMIFS(tbl_Finance[Ex GST],tbl_Finance[Job Number],E183&amp;"",tbl_Finance[Xero Invoice No],"&lt;&gt;"))</f>
        <v/>
      </c>
      <c r="AA183" s="27">
        <f>IF(E183="","",Y183-Z183)</f>
        <v/>
      </c>
      <c r="AB183" s="25">
        <f>IF(E183="","",IF(H183="Onsite",IFERROR(INDEX(tbl_Onsite[Qwilr Quote],MATCH(E183&amp;"",tbl_Onsite[Job Number],0)),""),IF(H183="Production",IFERROR(INDEX(tbl_Production[Current RMS No],MATCH(E183&amp;"",tbl_Production[Job Number],0)),""),IF(H183="Consulting",IFERROR(INDEX(tbl_Consulting[Qwilr Quote],MATCH(E183&amp;"",tbl_Consulting[Job Number],0)),""),""))))</f>
        <v/>
      </c>
      <c r="AC183" s="25">
        <f>IF(AB183="","",IF(AND(LEFT(AB183,4)&lt;&gt;"http",IF(H183="Production",set_RMSBase,set_QwilrBase)=""),"",HYPERLINK(IF(LEFT(AB183,4)="http",AB183,IF(H183="Production",set_RMSBase,set_QwilrBase)&amp;AB183),"Open")))</f>
        <v/>
      </c>
      <c r="AD183" s="27">
        <f>IF(E183="","",IF(H183="Production",IFERROR(INDEX(tbl_Production[Total Expense],MATCH(E183&amp;"",tbl_Production[Job Number],0)),0),IF(H183="Consulting",IFERROR(INDEX(tbl_Consulting[Total Expense],MATCH(E183&amp;"",tbl_Consulting[Job Number],0)),0),0)))</f>
        <v/>
      </c>
      <c r="AE183" s="27">
        <f>IF(E183="","",Y183-N(AD183))</f>
        <v/>
      </c>
      <c r="AF183" s="29">
        <f>IFERROR(AE183/Y183,"")</f>
        <v/>
      </c>
      <c r="AG183" s="25">
        <f>IF(E183="","",IF(H183="Onsite",IFERROR(INDEX(tbl_Onsite[Notes],MATCH(E183&amp;"",tbl_Onsite[Job Number],0)),""),IF(H183="Production",IFERROR(INDEX(tbl_Production[Notes],MATCH(E183&amp;"",tbl_Production[Job Number],0)),""),IF(H183="Consulting",IFERROR(INDEX(tbl_Consulting[Notes],MATCH(E183&amp;"",tbl_Consulting[Job Number],0)),""),""))))</f>
        <v/>
      </c>
    </row>
    <row r="184" ht="15" customHeight="1">
      <c r="A184" s="22" t="n"/>
      <c r="B184" s="23">
        <f>IF(A184="","",EOMONTH(A184,0))</f>
        <v/>
      </c>
      <c r="C184" s="24" t="n"/>
      <c r="D184" s="24" t="n"/>
      <c r="E184" s="24" t="n"/>
      <c r="F184" s="25">
        <f>IF(E184="","",IF(COUNTIF(lst_Jobs,E184&amp;"")&gt;0,"OK","CHECK"))</f>
        <v/>
      </c>
      <c r="G184" s="24" t="n"/>
      <c r="H184" s="24" t="n"/>
      <c r="I184" s="24" t="n"/>
      <c r="J184" s="24" t="n"/>
      <c r="K184" s="24" t="n"/>
      <c r="L184" s="26" t="n"/>
      <c r="M184" s="27">
        <f>IF(L184="","",IF(K184="GST 10%",ROUND(L184*set_GSTRate,2),0))</f>
        <v/>
      </c>
      <c r="N184" s="27">
        <f>IF(L184="","",L184+M184)</f>
        <v/>
      </c>
      <c r="O184" s="24" t="n"/>
      <c r="P184" s="24" t="n"/>
      <c r="Q184" s="24" t="n"/>
      <c r="R184" s="22" t="n"/>
      <c r="S184" s="22" t="n"/>
      <c r="T184" s="24" t="n"/>
      <c r="U184" s="24" t="n"/>
      <c r="V184" s="25">
        <f>IF(COUNTA(A184,D184,C184,L184)=0,"",IF(A184="","No date - sits outside every month",IF(E184="","No job number",IF(F184="CHECK","Job number is not in the Xero job list",IF(I184="","No cost centre",IF(AND(P184="Y",C184=""),"Marked posted to Xero but has no invoice number",IF(AND(L184&lt;&gt;"",K184=""),"No tax code",IF(AND(L184&lt;&gt;"",O184=""),"No revenue GL code",""))))))))</f>
        <v/>
      </c>
      <c r="W184" s="25">
        <f>IF(E184="","",IFERROR(INDEX(lst_JobName,MATCH(E184&amp;"",lst_Jobs,0)),""))</f>
        <v/>
      </c>
      <c r="X184" s="28">
        <f>IF(E184="","",COUNTIFS(tbl_Finance[Job Number],E184&amp;"",tbl_Finance[Ex GST],"&lt;&gt;"))</f>
        <v/>
      </c>
      <c r="Y184" s="27">
        <f>IF(E184="","",SUMIFS(tbl_Finance[Ex GST],tbl_Finance[Job Number],E184&amp;""))</f>
        <v/>
      </c>
      <c r="Z184" s="27">
        <f>IF(E184="","",SUMIFS(tbl_Finance[Ex GST],tbl_Finance[Job Number],E184&amp;"",tbl_Finance[Xero Invoice No],"&lt;&gt;"))</f>
        <v/>
      </c>
      <c r="AA184" s="27">
        <f>IF(E184="","",Y184-Z184)</f>
        <v/>
      </c>
      <c r="AB184" s="25">
        <f>IF(E184="","",IF(H184="Onsite",IFERROR(INDEX(tbl_Onsite[Qwilr Quote],MATCH(E184&amp;"",tbl_Onsite[Job Number],0)),""),IF(H184="Production",IFERROR(INDEX(tbl_Production[Current RMS No],MATCH(E184&amp;"",tbl_Production[Job Number],0)),""),IF(H184="Consulting",IFERROR(INDEX(tbl_Consulting[Qwilr Quote],MATCH(E184&amp;"",tbl_Consulting[Job Number],0)),""),""))))</f>
        <v/>
      </c>
      <c r="AC184" s="25">
        <f>IF(AB184="","",IF(AND(LEFT(AB184,4)&lt;&gt;"http",IF(H184="Production",set_RMSBase,set_QwilrBase)=""),"",HYPERLINK(IF(LEFT(AB184,4)="http",AB184,IF(H184="Production",set_RMSBase,set_QwilrBase)&amp;AB184),"Open")))</f>
        <v/>
      </c>
      <c r="AD184" s="27">
        <f>IF(E184="","",IF(H184="Production",IFERROR(INDEX(tbl_Production[Total Expense],MATCH(E184&amp;"",tbl_Production[Job Number],0)),0),IF(H184="Consulting",IFERROR(INDEX(tbl_Consulting[Total Expense],MATCH(E184&amp;"",tbl_Consulting[Job Number],0)),0),0)))</f>
        <v/>
      </c>
      <c r="AE184" s="27">
        <f>IF(E184="","",Y184-N(AD184))</f>
        <v/>
      </c>
      <c r="AF184" s="29">
        <f>IFERROR(AE184/Y184,"")</f>
        <v/>
      </c>
      <c r="AG184" s="25">
        <f>IF(E184="","",IF(H184="Onsite",IFERROR(INDEX(tbl_Onsite[Notes],MATCH(E184&amp;"",tbl_Onsite[Job Number],0)),""),IF(H184="Production",IFERROR(INDEX(tbl_Production[Notes],MATCH(E184&amp;"",tbl_Production[Job Number],0)),""),IF(H184="Consulting",IFERROR(INDEX(tbl_Consulting[Notes],MATCH(E184&amp;"",tbl_Consulting[Job Number],0)),""),""))))</f>
        <v/>
      </c>
    </row>
    <row r="185" ht="15" customHeight="1">
      <c r="A185" s="22" t="n"/>
      <c r="B185" s="23">
        <f>IF(A185="","",EOMONTH(A185,0))</f>
        <v/>
      </c>
      <c r="C185" s="24" t="n"/>
      <c r="D185" s="24" t="n"/>
      <c r="E185" s="24" t="n"/>
      <c r="F185" s="25">
        <f>IF(E185="","",IF(COUNTIF(lst_Jobs,E185&amp;"")&gt;0,"OK","CHECK"))</f>
        <v/>
      </c>
      <c r="G185" s="24" t="n"/>
      <c r="H185" s="24" t="n"/>
      <c r="I185" s="24" t="n"/>
      <c r="J185" s="24" t="n"/>
      <c r="K185" s="24" t="n"/>
      <c r="L185" s="26" t="n"/>
      <c r="M185" s="27">
        <f>IF(L185="","",IF(K185="GST 10%",ROUND(L185*set_GSTRate,2),0))</f>
        <v/>
      </c>
      <c r="N185" s="27">
        <f>IF(L185="","",L185+M185)</f>
        <v/>
      </c>
      <c r="O185" s="24" t="n"/>
      <c r="P185" s="24" t="n"/>
      <c r="Q185" s="24" t="n"/>
      <c r="R185" s="22" t="n"/>
      <c r="S185" s="22" t="n"/>
      <c r="T185" s="24" t="n"/>
      <c r="U185" s="24" t="n"/>
      <c r="V185" s="25">
        <f>IF(COUNTA(A185,D185,C185,L185)=0,"",IF(A185="","No date - sits outside every month",IF(E185="","No job number",IF(F185="CHECK","Job number is not in the Xero job list",IF(I185="","No cost centre",IF(AND(P185="Y",C185=""),"Marked posted to Xero but has no invoice number",IF(AND(L185&lt;&gt;"",K185=""),"No tax code",IF(AND(L185&lt;&gt;"",O185=""),"No revenue GL code",""))))))))</f>
        <v/>
      </c>
      <c r="W185" s="25">
        <f>IF(E185="","",IFERROR(INDEX(lst_JobName,MATCH(E185&amp;"",lst_Jobs,0)),""))</f>
        <v/>
      </c>
      <c r="X185" s="28">
        <f>IF(E185="","",COUNTIFS(tbl_Finance[Job Number],E185&amp;"",tbl_Finance[Ex GST],"&lt;&gt;"))</f>
        <v/>
      </c>
      <c r="Y185" s="27">
        <f>IF(E185="","",SUMIFS(tbl_Finance[Ex GST],tbl_Finance[Job Number],E185&amp;""))</f>
        <v/>
      </c>
      <c r="Z185" s="27">
        <f>IF(E185="","",SUMIFS(tbl_Finance[Ex GST],tbl_Finance[Job Number],E185&amp;"",tbl_Finance[Xero Invoice No],"&lt;&gt;"))</f>
        <v/>
      </c>
      <c r="AA185" s="27">
        <f>IF(E185="","",Y185-Z185)</f>
        <v/>
      </c>
      <c r="AB185" s="25">
        <f>IF(E185="","",IF(H185="Onsite",IFERROR(INDEX(tbl_Onsite[Qwilr Quote],MATCH(E185&amp;"",tbl_Onsite[Job Number],0)),""),IF(H185="Production",IFERROR(INDEX(tbl_Production[Current RMS No],MATCH(E185&amp;"",tbl_Production[Job Number],0)),""),IF(H185="Consulting",IFERROR(INDEX(tbl_Consulting[Qwilr Quote],MATCH(E185&amp;"",tbl_Consulting[Job Number],0)),""),""))))</f>
        <v/>
      </c>
      <c r="AC185" s="25">
        <f>IF(AB185="","",IF(AND(LEFT(AB185,4)&lt;&gt;"http",IF(H185="Production",set_RMSBase,set_QwilrBase)=""),"",HYPERLINK(IF(LEFT(AB185,4)="http",AB185,IF(H185="Production",set_RMSBase,set_QwilrBase)&amp;AB185),"Open")))</f>
        <v/>
      </c>
      <c r="AD185" s="27">
        <f>IF(E185="","",IF(H185="Production",IFERROR(INDEX(tbl_Production[Total Expense],MATCH(E185&amp;"",tbl_Production[Job Number],0)),0),IF(H185="Consulting",IFERROR(INDEX(tbl_Consulting[Total Expense],MATCH(E185&amp;"",tbl_Consulting[Job Number],0)),0),0)))</f>
        <v/>
      </c>
      <c r="AE185" s="27">
        <f>IF(E185="","",Y185-N(AD185))</f>
        <v/>
      </c>
      <c r="AF185" s="29">
        <f>IFERROR(AE185/Y185,"")</f>
        <v/>
      </c>
      <c r="AG185" s="25">
        <f>IF(E185="","",IF(H185="Onsite",IFERROR(INDEX(tbl_Onsite[Notes],MATCH(E185&amp;"",tbl_Onsite[Job Number],0)),""),IF(H185="Production",IFERROR(INDEX(tbl_Production[Notes],MATCH(E185&amp;"",tbl_Production[Job Number],0)),""),IF(H185="Consulting",IFERROR(INDEX(tbl_Consulting[Notes],MATCH(E185&amp;"",tbl_Consulting[Job Number],0)),""),""))))</f>
        <v/>
      </c>
    </row>
    <row r="186" ht="15" customHeight="1">
      <c r="A186" s="22" t="n"/>
      <c r="B186" s="23">
        <f>IF(A186="","",EOMONTH(A186,0))</f>
        <v/>
      </c>
      <c r="C186" s="24" t="n"/>
      <c r="D186" s="24" t="n"/>
      <c r="E186" s="24" t="n"/>
      <c r="F186" s="25">
        <f>IF(E186="","",IF(COUNTIF(lst_Jobs,E186&amp;"")&gt;0,"OK","CHECK"))</f>
        <v/>
      </c>
      <c r="G186" s="24" t="n"/>
      <c r="H186" s="24" t="n"/>
      <c r="I186" s="24" t="n"/>
      <c r="J186" s="24" t="n"/>
      <c r="K186" s="24" t="n"/>
      <c r="L186" s="26" t="n"/>
      <c r="M186" s="27">
        <f>IF(L186="","",IF(K186="GST 10%",ROUND(L186*set_GSTRate,2),0))</f>
        <v/>
      </c>
      <c r="N186" s="27">
        <f>IF(L186="","",L186+M186)</f>
        <v/>
      </c>
      <c r="O186" s="24" t="n"/>
      <c r="P186" s="24" t="n"/>
      <c r="Q186" s="24" t="n"/>
      <c r="R186" s="22" t="n"/>
      <c r="S186" s="22" t="n"/>
      <c r="T186" s="24" t="n"/>
      <c r="U186" s="24" t="n"/>
      <c r="V186" s="25">
        <f>IF(COUNTA(A186,D186,C186,L186)=0,"",IF(A186="","No date - sits outside every month",IF(E186="","No job number",IF(F186="CHECK","Job number is not in the Xero job list",IF(I186="","No cost centre",IF(AND(P186="Y",C186=""),"Marked posted to Xero but has no invoice number",IF(AND(L186&lt;&gt;"",K186=""),"No tax code",IF(AND(L186&lt;&gt;"",O186=""),"No revenue GL code",""))))))))</f>
        <v/>
      </c>
      <c r="W186" s="25">
        <f>IF(E186="","",IFERROR(INDEX(lst_JobName,MATCH(E186&amp;"",lst_Jobs,0)),""))</f>
        <v/>
      </c>
      <c r="X186" s="28">
        <f>IF(E186="","",COUNTIFS(tbl_Finance[Job Number],E186&amp;"",tbl_Finance[Ex GST],"&lt;&gt;"))</f>
        <v/>
      </c>
      <c r="Y186" s="27">
        <f>IF(E186="","",SUMIFS(tbl_Finance[Ex GST],tbl_Finance[Job Number],E186&amp;""))</f>
        <v/>
      </c>
      <c r="Z186" s="27">
        <f>IF(E186="","",SUMIFS(tbl_Finance[Ex GST],tbl_Finance[Job Number],E186&amp;"",tbl_Finance[Xero Invoice No],"&lt;&gt;"))</f>
        <v/>
      </c>
      <c r="AA186" s="27">
        <f>IF(E186="","",Y186-Z186)</f>
        <v/>
      </c>
      <c r="AB186" s="25">
        <f>IF(E186="","",IF(H186="Onsite",IFERROR(INDEX(tbl_Onsite[Qwilr Quote],MATCH(E186&amp;"",tbl_Onsite[Job Number],0)),""),IF(H186="Production",IFERROR(INDEX(tbl_Production[Current RMS No],MATCH(E186&amp;"",tbl_Production[Job Number],0)),""),IF(H186="Consulting",IFERROR(INDEX(tbl_Consulting[Qwilr Quote],MATCH(E186&amp;"",tbl_Consulting[Job Number],0)),""),""))))</f>
        <v/>
      </c>
      <c r="AC186" s="25">
        <f>IF(AB186="","",IF(AND(LEFT(AB186,4)&lt;&gt;"http",IF(H186="Production",set_RMSBase,set_QwilrBase)=""),"",HYPERLINK(IF(LEFT(AB186,4)="http",AB186,IF(H186="Production",set_RMSBase,set_QwilrBase)&amp;AB186),"Open")))</f>
        <v/>
      </c>
      <c r="AD186" s="27">
        <f>IF(E186="","",IF(H186="Production",IFERROR(INDEX(tbl_Production[Total Expense],MATCH(E186&amp;"",tbl_Production[Job Number],0)),0),IF(H186="Consulting",IFERROR(INDEX(tbl_Consulting[Total Expense],MATCH(E186&amp;"",tbl_Consulting[Job Number],0)),0),0)))</f>
        <v/>
      </c>
      <c r="AE186" s="27">
        <f>IF(E186="","",Y186-N(AD186))</f>
        <v/>
      </c>
      <c r="AF186" s="29">
        <f>IFERROR(AE186/Y186,"")</f>
        <v/>
      </c>
      <c r="AG186" s="25">
        <f>IF(E186="","",IF(H186="Onsite",IFERROR(INDEX(tbl_Onsite[Notes],MATCH(E186&amp;"",tbl_Onsite[Job Number],0)),""),IF(H186="Production",IFERROR(INDEX(tbl_Production[Notes],MATCH(E186&amp;"",tbl_Production[Job Number],0)),""),IF(H186="Consulting",IFERROR(INDEX(tbl_Consulting[Notes],MATCH(E186&amp;"",tbl_Consulting[Job Number],0)),""),""))))</f>
        <v/>
      </c>
    </row>
    <row r="187" ht="15" customHeight="1">
      <c r="A187" s="22" t="n"/>
      <c r="B187" s="23">
        <f>IF(A187="","",EOMONTH(A187,0))</f>
        <v/>
      </c>
      <c r="C187" s="24" t="n"/>
      <c r="D187" s="24" t="n"/>
      <c r="E187" s="24" t="n"/>
      <c r="F187" s="25">
        <f>IF(E187="","",IF(COUNTIF(lst_Jobs,E187&amp;"")&gt;0,"OK","CHECK"))</f>
        <v/>
      </c>
      <c r="G187" s="24" t="n"/>
      <c r="H187" s="24" t="n"/>
      <c r="I187" s="24" t="n"/>
      <c r="J187" s="24" t="n"/>
      <c r="K187" s="24" t="n"/>
      <c r="L187" s="26" t="n"/>
      <c r="M187" s="27">
        <f>IF(L187="","",IF(K187="GST 10%",ROUND(L187*set_GSTRate,2),0))</f>
        <v/>
      </c>
      <c r="N187" s="27">
        <f>IF(L187="","",L187+M187)</f>
        <v/>
      </c>
      <c r="O187" s="24" t="n"/>
      <c r="P187" s="24" t="n"/>
      <c r="Q187" s="24" t="n"/>
      <c r="R187" s="22" t="n"/>
      <c r="S187" s="22" t="n"/>
      <c r="T187" s="24" t="n"/>
      <c r="U187" s="24" t="n"/>
      <c r="V187" s="25">
        <f>IF(COUNTA(A187,D187,C187,L187)=0,"",IF(A187="","No date - sits outside every month",IF(E187="","No job number",IF(F187="CHECK","Job number is not in the Xero job list",IF(I187="","No cost centre",IF(AND(P187="Y",C187=""),"Marked posted to Xero but has no invoice number",IF(AND(L187&lt;&gt;"",K187=""),"No tax code",IF(AND(L187&lt;&gt;"",O187=""),"No revenue GL code",""))))))))</f>
        <v/>
      </c>
      <c r="W187" s="25">
        <f>IF(E187="","",IFERROR(INDEX(lst_JobName,MATCH(E187&amp;"",lst_Jobs,0)),""))</f>
        <v/>
      </c>
      <c r="X187" s="28">
        <f>IF(E187="","",COUNTIFS(tbl_Finance[Job Number],E187&amp;"",tbl_Finance[Ex GST],"&lt;&gt;"))</f>
        <v/>
      </c>
      <c r="Y187" s="27">
        <f>IF(E187="","",SUMIFS(tbl_Finance[Ex GST],tbl_Finance[Job Number],E187&amp;""))</f>
        <v/>
      </c>
      <c r="Z187" s="27">
        <f>IF(E187="","",SUMIFS(tbl_Finance[Ex GST],tbl_Finance[Job Number],E187&amp;"",tbl_Finance[Xero Invoice No],"&lt;&gt;"))</f>
        <v/>
      </c>
      <c r="AA187" s="27">
        <f>IF(E187="","",Y187-Z187)</f>
        <v/>
      </c>
      <c r="AB187" s="25">
        <f>IF(E187="","",IF(H187="Onsite",IFERROR(INDEX(tbl_Onsite[Qwilr Quote],MATCH(E187&amp;"",tbl_Onsite[Job Number],0)),""),IF(H187="Production",IFERROR(INDEX(tbl_Production[Current RMS No],MATCH(E187&amp;"",tbl_Production[Job Number],0)),""),IF(H187="Consulting",IFERROR(INDEX(tbl_Consulting[Qwilr Quote],MATCH(E187&amp;"",tbl_Consulting[Job Number],0)),""),""))))</f>
        <v/>
      </c>
      <c r="AC187" s="25">
        <f>IF(AB187="","",IF(AND(LEFT(AB187,4)&lt;&gt;"http",IF(H187="Production",set_RMSBase,set_QwilrBase)=""),"",HYPERLINK(IF(LEFT(AB187,4)="http",AB187,IF(H187="Production",set_RMSBase,set_QwilrBase)&amp;AB187),"Open")))</f>
        <v/>
      </c>
      <c r="AD187" s="27">
        <f>IF(E187="","",IF(H187="Production",IFERROR(INDEX(tbl_Production[Total Expense],MATCH(E187&amp;"",tbl_Production[Job Number],0)),0),IF(H187="Consulting",IFERROR(INDEX(tbl_Consulting[Total Expense],MATCH(E187&amp;"",tbl_Consulting[Job Number],0)),0),0)))</f>
        <v/>
      </c>
      <c r="AE187" s="27">
        <f>IF(E187="","",Y187-N(AD187))</f>
        <v/>
      </c>
      <c r="AF187" s="29">
        <f>IFERROR(AE187/Y187,"")</f>
        <v/>
      </c>
      <c r="AG187" s="25">
        <f>IF(E187="","",IF(H187="Onsite",IFERROR(INDEX(tbl_Onsite[Notes],MATCH(E187&amp;"",tbl_Onsite[Job Number],0)),""),IF(H187="Production",IFERROR(INDEX(tbl_Production[Notes],MATCH(E187&amp;"",tbl_Production[Job Number],0)),""),IF(H187="Consulting",IFERROR(INDEX(tbl_Consulting[Notes],MATCH(E187&amp;"",tbl_Consulting[Job Number],0)),""),""))))</f>
        <v/>
      </c>
    </row>
    <row r="188" ht="15" customHeight="1">
      <c r="A188" s="22" t="n"/>
      <c r="B188" s="23">
        <f>IF(A188="","",EOMONTH(A188,0))</f>
        <v/>
      </c>
      <c r="C188" s="24" t="n"/>
      <c r="D188" s="24" t="n"/>
      <c r="E188" s="24" t="n"/>
      <c r="F188" s="25">
        <f>IF(E188="","",IF(COUNTIF(lst_Jobs,E188&amp;"")&gt;0,"OK","CHECK"))</f>
        <v/>
      </c>
      <c r="G188" s="24" t="n"/>
      <c r="H188" s="24" t="n"/>
      <c r="I188" s="24" t="n"/>
      <c r="J188" s="24" t="n"/>
      <c r="K188" s="24" t="n"/>
      <c r="L188" s="26" t="n"/>
      <c r="M188" s="27">
        <f>IF(L188="","",IF(K188="GST 10%",ROUND(L188*set_GSTRate,2),0))</f>
        <v/>
      </c>
      <c r="N188" s="27">
        <f>IF(L188="","",L188+M188)</f>
        <v/>
      </c>
      <c r="O188" s="24" t="n"/>
      <c r="P188" s="24" t="n"/>
      <c r="Q188" s="24" t="n"/>
      <c r="R188" s="22" t="n"/>
      <c r="S188" s="22" t="n"/>
      <c r="T188" s="24" t="n"/>
      <c r="U188" s="24" t="n"/>
      <c r="V188" s="25">
        <f>IF(COUNTA(A188,D188,C188,L188)=0,"",IF(A188="","No date - sits outside every month",IF(E188="","No job number",IF(F188="CHECK","Job number is not in the Xero job list",IF(I188="","No cost centre",IF(AND(P188="Y",C188=""),"Marked posted to Xero but has no invoice number",IF(AND(L188&lt;&gt;"",K188=""),"No tax code",IF(AND(L188&lt;&gt;"",O188=""),"No revenue GL code",""))))))))</f>
        <v/>
      </c>
      <c r="W188" s="25">
        <f>IF(E188="","",IFERROR(INDEX(lst_JobName,MATCH(E188&amp;"",lst_Jobs,0)),""))</f>
        <v/>
      </c>
      <c r="X188" s="28">
        <f>IF(E188="","",COUNTIFS(tbl_Finance[Job Number],E188&amp;"",tbl_Finance[Ex GST],"&lt;&gt;"))</f>
        <v/>
      </c>
      <c r="Y188" s="27">
        <f>IF(E188="","",SUMIFS(tbl_Finance[Ex GST],tbl_Finance[Job Number],E188&amp;""))</f>
        <v/>
      </c>
      <c r="Z188" s="27">
        <f>IF(E188="","",SUMIFS(tbl_Finance[Ex GST],tbl_Finance[Job Number],E188&amp;"",tbl_Finance[Xero Invoice No],"&lt;&gt;"))</f>
        <v/>
      </c>
      <c r="AA188" s="27">
        <f>IF(E188="","",Y188-Z188)</f>
        <v/>
      </c>
      <c r="AB188" s="25">
        <f>IF(E188="","",IF(H188="Onsite",IFERROR(INDEX(tbl_Onsite[Qwilr Quote],MATCH(E188&amp;"",tbl_Onsite[Job Number],0)),""),IF(H188="Production",IFERROR(INDEX(tbl_Production[Current RMS No],MATCH(E188&amp;"",tbl_Production[Job Number],0)),""),IF(H188="Consulting",IFERROR(INDEX(tbl_Consulting[Qwilr Quote],MATCH(E188&amp;"",tbl_Consulting[Job Number],0)),""),""))))</f>
        <v/>
      </c>
      <c r="AC188" s="25">
        <f>IF(AB188="","",IF(AND(LEFT(AB188,4)&lt;&gt;"http",IF(H188="Production",set_RMSBase,set_QwilrBase)=""),"",HYPERLINK(IF(LEFT(AB188,4)="http",AB188,IF(H188="Production",set_RMSBase,set_QwilrBase)&amp;AB188),"Open")))</f>
        <v/>
      </c>
      <c r="AD188" s="27">
        <f>IF(E188="","",IF(H188="Production",IFERROR(INDEX(tbl_Production[Total Expense],MATCH(E188&amp;"",tbl_Production[Job Number],0)),0),IF(H188="Consulting",IFERROR(INDEX(tbl_Consulting[Total Expense],MATCH(E188&amp;"",tbl_Consulting[Job Number],0)),0),0)))</f>
        <v/>
      </c>
      <c r="AE188" s="27">
        <f>IF(E188="","",Y188-N(AD188))</f>
        <v/>
      </c>
      <c r="AF188" s="29">
        <f>IFERROR(AE188/Y188,"")</f>
        <v/>
      </c>
      <c r="AG188" s="25">
        <f>IF(E188="","",IF(H188="Onsite",IFERROR(INDEX(tbl_Onsite[Notes],MATCH(E188&amp;"",tbl_Onsite[Job Number],0)),""),IF(H188="Production",IFERROR(INDEX(tbl_Production[Notes],MATCH(E188&amp;"",tbl_Production[Job Number],0)),""),IF(H188="Consulting",IFERROR(INDEX(tbl_Consulting[Notes],MATCH(E188&amp;"",tbl_Consulting[Job Number],0)),""),""))))</f>
        <v/>
      </c>
    </row>
    <row r="189" ht="15" customHeight="1">
      <c r="A189" s="22" t="n"/>
      <c r="B189" s="23">
        <f>IF(A189="","",EOMONTH(A189,0))</f>
        <v/>
      </c>
      <c r="C189" s="24" t="n"/>
      <c r="D189" s="24" t="n"/>
      <c r="E189" s="24" t="n"/>
      <c r="F189" s="25">
        <f>IF(E189="","",IF(COUNTIF(lst_Jobs,E189&amp;"")&gt;0,"OK","CHECK"))</f>
        <v/>
      </c>
      <c r="G189" s="24" t="n"/>
      <c r="H189" s="24" t="n"/>
      <c r="I189" s="24" t="n"/>
      <c r="J189" s="24" t="n"/>
      <c r="K189" s="24" t="n"/>
      <c r="L189" s="26" t="n"/>
      <c r="M189" s="27">
        <f>IF(L189="","",IF(K189="GST 10%",ROUND(L189*set_GSTRate,2),0))</f>
        <v/>
      </c>
      <c r="N189" s="27">
        <f>IF(L189="","",L189+M189)</f>
        <v/>
      </c>
      <c r="O189" s="24" t="n"/>
      <c r="P189" s="24" t="n"/>
      <c r="Q189" s="24" t="n"/>
      <c r="R189" s="22" t="n"/>
      <c r="S189" s="22" t="n"/>
      <c r="T189" s="24" t="n"/>
      <c r="U189" s="24" t="n"/>
      <c r="V189" s="25">
        <f>IF(COUNTA(A189,D189,C189,L189)=0,"",IF(A189="","No date - sits outside every month",IF(E189="","No job number",IF(F189="CHECK","Job number is not in the Xero job list",IF(I189="","No cost centre",IF(AND(P189="Y",C189=""),"Marked posted to Xero but has no invoice number",IF(AND(L189&lt;&gt;"",K189=""),"No tax code",IF(AND(L189&lt;&gt;"",O189=""),"No revenue GL code",""))))))))</f>
        <v/>
      </c>
      <c r="W189" s="25">
        <f>IF(E189="","",IFERROR(INDEX(lst_JobName,MATCH(E189&amp;"",lst_Jobs,0)),""))</f>
        <v/>
      </c>
      <c r="X189" s="28">
        <f>IF(E189="","",COUNTIFS(tbl_Finance[Job Number],E189&amp;"",tbl_Finance[Ex GST],"&lt;&gt;"))</f>
        <v/>
      </c>
      <c r="Y189" s="27">
        <f>IF(E189="","",SUMIFS(tbl_Finance[Ex GST],tbl_Finance[Job Number],E189&amp;""))</f>
        <v/>
      </c>
      <c r="Z189" s="27">
        <f>IF(E189="","",SUMIFS(tbl_Finance[Ex GST],tbl_Finance[Job Number],E189&amp;"",tbl_Finance[Xero Invoice No],"&lt;&gt;"))</f>
        <v/>
      </c>
      <c r="AA189" s="27">
        <f>IF(E189="","",Y189-Z189)</f>
        <v/>
      </c>
      <c r="AB189" s="25">
        <f>IF(E189="","",IF(H189="Onsite",IFERROR(INDEX(tbl_Onsite[Qwilr Quote],MATCH(E189&amp;"",tbl_Onsite[Job Number],0)),""),IF(H189="Production",IFERROR(INDEX(tbl_Production[Current RMS No],MATCH(E189&amp;"",tbl_Production[Job Number],0)),""),IF(H189="Consulting",IFERROR(INDEX(tbl_Consulting[Qwilr Quote],MATCH(E189&amp;"",tbl_Consulting[Job Number],0)),""),""))))</f>
        <v/>
      </c>
      <c r="AC189" s="25">
        <f>IF(AB189="","",IF(AND(LEFT(AB189,4)&lt;&gt;"http",IF(H189="Production",set_RMSBase,set_QwilrBase)=""),"",HYPERLINK(IF(LEFT(AB189,4)="http",AB189,IF(H189="Production",set_RMSBase,set_QwilrBase)&amp;AB189),"Open")))</f>
        <v/>
      </c>
      <c r="AD189" s="27">
        <f>IF(E189="","",IF(H189="Production",IFERROR(INDEX(tbl_Production[Total Expense],MATCH(E189&amp;"",tbl_Production[Job Number],0)),0),IF(H189="Consulting",IFERROR(INDEX(tbl_Consulting[Total Expense],MATCH(E189&amp;"",tbl_Consulting[Job Number],0)),0),0)))</f>
        <v/>
      </c>
      <c r="AE189" s="27">
        <f>IF(E189="","",Y189-N(AD189))</f>
        <v/>
      </c>
      <c r="AF189" s="29">
        <f>IFERROR(AE189/Y189,"")</f>
        <v/>
      </c>
      <c r="AG189" s="25">
        <f>IF(E189="","",IF(H189="Onsite",IFERROR(INDEX(tbl_Onsite[Notes],MATCH(E189&amp;"",tbl_Onsite[Job Number],0)),""),IF(H189="Production",IFERROR(INDEX(tbl_Production[Notes],MATCH(E189&amp;"",tbl_Production[Job Number],0)),""),IF(H189="Consulting",IFERROR(INDEX(tbl_Consulting[Notes],MATCH(E189&amp;"",tbl_Consulting[Job Number],0)),""),""))))</f>
        <v/>
      </c>
    </row>
    <row r="190" ht="15" customHeight="1">
      <c r="A190" s="22" t="n"/>
      <c r="B190" s="23">
        <f>IF(A190="","",EOMONTH(A190,0))</f>
        <v/>
      </c>
      <c r="C190" s="24" t="n"/>
      <c r="D190" s="24" t="n"/>
      <c r="E190" s="24" t="n"/>
      <c r="F190" s="25">
        <f>IF(E190="","",IF(COUNTIF(lst_Jobs,E190&amp;"")&gt;0,"OK","CHECK"))</f>
        <v/>
      </c>
      <c r="G190" s="24" t="n"/>
      <c r="H190" s="24" t="n"/>
      <c r="I190" s="24" t="n"/>
      <c r="J190" s="24" t="n"/>
      <c r="K190" s="24" t="n"/>
      <c r="L190" s="26" t="n"/>
      <c r="M190" s="27">
        <f>IF(L190="","",IF(K190="GST 10%",ROUND(L190*set_GSTRate,2),0))</f>
        <v/>
      </c>
      <c r="N190" s="27">
        <f>IF(L190="","",L190+M190)</f>
        <v/>
      </c>
      <c r="O190" s="24" t="n"/>
      <c r="P190" s="24" t="n"/>
      <c r="Q190" s="24" t="n"/>
      <c r="R190" s="22" t="n"/>
      <c r="S190" s="22" t="n"/>
      <c r="T190" s="24" t="n"/>
      <c r="U190" s="24" t="n"/>
      <c r="V190" s="25">
        <f>IF(COUNTA(A190,D190,C190,L190)=0,"",IF(A190="","No date - sits outside every month",IF(E190="","No job number",IF(F190="CHECK","Job number is not in the Xero job list",IF(I190="","No cost centre",IF(AND(P190="Y",C190=""),"Marked posted to Xero but has no invoice number",IF(AND(L190&lt;&gt;"",K190=""),"No tax code",IF(AND(L190&lt;&gt;"",O190=""),"No revenue GL code",""))))))))</f>
        <v/>
      </c>
      <c r="W190" s="25">
        <f>IF(E190="","",IFERROR(INDEX(lst_JobName,MATCH(E190&amp;"",lst_Jobs,0)),""))</f>
        <v/>
      </c>
      <c r="X190" s="28">
        <f>IF(E190="","",COUNTIFS(tbl_Finance[Job Number],E190&amp;"",tbl_Finance[Ex GST],"&lt;&gt;"))</f>
        <v/>
      </c>
      <c r="Y190" s="27">
        <f>IF(E190="","",SUMIFS(tbl_Finance[Ex GST],tbl_Finance[Job Number],E190&amp;""))</f>
        <v/>
      </c>
      <c r="Z190" s="27">
        <f>IF(E190="","",SUMIFS(tbl_Finance[Ex GST],tbl_Finance[Job Number],E190&amp;"",tbl_Finance[Xero Invoice No],"&lt;&gt;"))</f>
        <v/>
      </c>
      <c r="AA190" s="27">
        <f>IF(E190="","",Y190-Z190)</f>
        <v/>
      </c>
      <c r="AB190" s="25">
        <f>IF(E190="","",IF(H190="Onsite",IFERROR(INDEX(tbl_Onsite[Qwilr Quote],MATCH(E190&amp;"",tbl_Onsite[Job Number],0)),""),IF(H190="Production",IFERROR(INDEX(tbl_Production[Current RMS No],MATCH(E190&amp;"",tbl_Production[Job Number],0)),""),IF(H190="Consulting",IFERROR(INDEX(tbl_Consulting[Qwilr Quote],MATCH(E190&amp;"",tbl_Consulting[Job Number],0)),""),""))))</f>
        <v/>
      </c>
      <c r="AC190" s="25">
        <f>IF(AB190="","",IF(AND(LEFT(AB190,4)&lt;&gt;"http",IF(H190="Production",set_RMSBase,set_QwilrBase)=""),"",HYPERLINK(IF(LEFT(AB190,4)="http",AB190,IF(H190="Production",set_RMSBase,set_QwilrBase)&amp;AB190),"Open")))</f>
        <v/>
      </c>
      <c r="AD190" s="27">
        <f>IF(E190="","",IF(H190="Production",IFERROR(INDEX(tbl_Production[Total Expense],MATCH(E190&amp;"",tbl_Production[Job Number],0)),0),IF(H190="Consulting",IFERROR(INDEX(tbl_Consulting[Total Expense],MATCH(E190&amp;"",tbl_Consulting[Job Number],0)),0),0)))</f>
        <v/>
      </c>
      <c r="AE190" s="27">
        <f>IF(E190="","",Y190-N(AD190))</f>
        <v/>
      </c>
      <c r="AF190" s="29">
        <f>IFERROR(AE190/Y190,"")</f>
        <v/>
      </c>
      <c r="AG190" s="25">
        <f>IF(E190="","",IF(H190="Onsite",IFERROR(INDEX(tbl_Onsite[Notes],MATCH(E190&amp;"",tbl_Onsite[Job Number],0)),""),IF(H190="Production",IFERROR(INDEX(tbl_Production[Notes],MATCH(E190&amp;"",tbl_Production[Job Number],0)),""),IF(H190="Consulting",IFERROR(INDEX(tbl_Consulting[Notes],MATCH(E190&amp;"",tbl_Consulting[Job Number],0)),""),""))))</f>
        <v/>
      </c>
    </row>
    <row r="191" ht="15" customHeight="1">
      <c r="A191" s="22" t="n"/>
      <c r="B191" s="23">
        <f>IF(A191="","",EOMONTH(A191,0))</f>
        <v/>
      </c>
      <c r="C191" s="24" t="n"/>
      <c r="D191" s="24" t="n"/>
      <c r="E191" s="24" t="n"/>
      <c r="F191" s="25">
        <f>IF(E191="","",IF(COUNTIF(lst_Jobs,E191&amp;"")&gt;0,"OK","CHECK"))</f>
        <v/>
      </c>
      <c r="G191" s="24" t="n"/>
      <c r="H191" s="24" t="n"/>
      <c r="I191" s="24" t="n"/>
      <c r="J191" s="24" t="n"/>
      <c r="K191" s="24" t="n"/>
      <c r="L191" s="26" t="n"/>
      <c r="M191" s="27">
        <f>IF(L191="","",IF(K191="GST 10%",ROUND(L191*set_GSTRate,2),0))</f>
        <v/>
      </c>
      <c r="N191" s="27">
        <f>IF(L191="","",L191+M191)</f>
        <v/>
      </c>
      <c r="O191" s="24" t="n"/>
      <c r="P191" s="24" t="n"/>
      <c r="Q191" s="24" t="n"/>
      <c r="R191" s="22" t="n"/>
      <c r="S191" s="22" t="n"/>
      <c r="T191" s="24" t="n"/>
      <c r="U191" s="24" t="n"/>
      <c r="V191" s="25">
        <f>IF(COUNTA(A191,D191,C191,L191)=0,"",IF(A191="","No date - sits outside every month",IF(E191="","No job number",IF(F191="CHECK","Job number is not in the Xero job list",IF(I191="","No cost centre",IF(AND(P191="Y",C191=""),"Marked posted to Xero but has no invoice number",IF(AND(L191&lt;&gt;"",K191=""),"No tax code",IF(AND(L191&lt;&gt;"",O191=""),"No revenue GL code",""))))))))</f>
        <v/>
      </c>
      <c r="W191" s="25">
        <f>IF(E191="","",IFERROR(INDEX(lst_JobName,MATCH(E191&amp;"",lst_Jobs,0)),""))</f>
        <v/>
      </c>
      <c r="X191" s="28">
        <f>IF(E191="","",COUNTIFS(tbl_Finance[Job Number],E191&amp;"",tbl_Finance[Ex GST],"&lt;&gt;"))</f>
        <v/>
      </c>
      <c r="Y191" s="27">
        <f>IF(E191="","",SUMIFS(tbl_Finance[Ex GST],tbl_Finance[Job Number],E191&amp;""))</f>
        <v/>
      </c>
      <c r="Z191" s="27">
        <f>IF(E191="","",SUMIFS(tbl_Finance[Ex GST],tbl_Finance[Job Number],E191&amp;"",tbl_Finance[Xero Invoice No],"&lt;&gt;"))</f>
        <v/>
      </c>
      <c r="AA191" s="27">
        <f>IF(E191="","",Y191-Z191)</f>
        <v/>
      </c>
      <c r="AB191" s="25">
        <f>IF(E191="","",IF(H191="Onsite",IFERROR(INDEX(tbl_Onsite[Qwilr Quote],MATCH(E191&amp;"",tbl_Onsite[Job Number],0)),""),IF(H191="Production",IFERROR(INDEX(tbl_Production[Current RMS No],MATCH(E191&amp;"",tbl_Production[Job Number],0)),""),IF(H191="Consulting",IFERROR(INDEX(tbl_Consulting[Qwilr Quote],MATCH(E191&amp;"",tbl_Consulting[Job Number],0)),""),""))))</f>
        <v/>
      </c>
      <c r="AC191" s="25">
        <f>IF(AB191="","",IF(AND(LEFT(AB191,4)&lt;&gt;"http",IF(H191="Production",set_RMSBase,set_QwilrBase)=""),"",HYPERLINK(IF(LEFT(AB191,4)="http",AB191,IF(H191="Production",set_RMSBase,set_QwilrBase)&amp;AB191),"Open")))</f>
        <v/>
      </c>
      <c r="AD191" s="27">
        <f>IF(E191="","",IF(H191="Production",IFERROR(INDEX(tbl_Production[Total Expense],MATCH(E191&amp;"",tbl_Production[Job Number],0)),0),IF(H191="Consulting",IFERROR(INDEX(tbl_Consulting[Total Expense],MATCH(E191&amp;"",tbl_Consulting[Job Number],0)),0),0)))</f>
        <v/>
      </c>
      <c r="AE191" s="27">
        <f>IF(E191="","",Y191-N(AD191))</f>
        <v/>
      </c>
      <c r="AF191" s="29">
        <f>IFERROR(AE191/Y191,"")</f>
        <v/>
      </c>
      <c r="AG191" s="25">
        <f>IF(E191="","",IF(H191="Onsite",IFERROR(INDEX(tbl_Onsite[Notes],MATCH(E191&amp;"",tbl_Onsite[Job Number],0)),""),IF(H191="Production",IFERROR(INDEX(tbl_Production[Notes],MATCH(E191&amp;"",tbl_Production[Job Number],0)),""),IF(H191="Consulting",IFERROR(INDEX(tbl_Consulting[Notes],MATCH(E191&amp;"",tbl_Consulting[Job Number],0)),""),""))))</f>
        <v/>
      </c>
    </row>
    <row r="192" ht="15" customHeight="1">
      <c r="A192" s="22" t="n"/>
      <c r="B192" s="23">
        <f>IF(A192="","",EOMONTH(A192,0))</f>
        <v/>
      </c>
      <c r="C192" s="24" t="n"/>
      <c r="D192" s="24" t="n"/>
      <c r="E192" s="24" t="n"/>
      <c r="F192" s="25">
        <f>IF(E192="","",IF(COUNTIF(lst_Jobs,E192&amp;"")&gt;0,"OK","CHECK"))</f>
        <v/>
      </c>
      <c r="G192" s="24" t="n"/>
      <c r="H192" s="24" t="n"/>
      <c r="I192" s="24" t="n"/>
      <c r="J192" s="24" t="n"/>
      <c r="K192" s="24" t="n"/>
      <c r="L192" s="26" t="n"/>
      <c r="M192" s="27">
        <f>IF(L192="","",IF(K192="GST 10%",ROUND(L192*set_GSTRate,2),0))</f>
        <v/>
      </c>
      <c r="N192" s="27">
        <f>IF(L192="","",L192+M192)</f>
        <v/>
      </c>
      <c r="O192" s="24" t="n"/>
      <c r="P192" s="24" t="n"/>
      <c r="Q192" s="24" t="n"/>
      <c r="R192" s="22" t="n"/>
      <c r="S192" s="22" t="n"/>
      <c r="T192" s="24" t="n"/>
      <c r="U192" s="24" t="n"/>
      <c r="V192" s="25">
        <f>IF(COUNTA(A192,D192,C192,L192)=0,"",IF(A192="","No date - sits outside every month",IF(E192="","No job number",IF(F192="CHECK","Job number is not in the Xero job list",IF(I192="","No cost centre",IF(AND(P192="Y",C192=""),"Marked posted to Xero but has no invoice number",IF(AND(L192&lt;&gt;"",K192=""),"No tax code",IF(AND(L192&lt;&gt;"",O192=""),"No revenue GL code",""))))))))</f>
        <v/>
      </c>
      <c r="W192" s="25">
        <f>IF(E192="","",IFERROR(INDEX(lst_JobName,MATCH(E192&amp;"",lst_Jobs,0)),""))</f>
        <v/>
      </c>
      <c r="X192" s="28">
        <f>IF(E192="","",COUNTIFS(tbl_Finance[Job Number],E192&amp;"",tbl_Finance[Ex GST],"&lt;&gt;"))</f>
        <v/>
      </c>
      <c r="Y192" s="27">
        <f>IF(E192="","",SUMIFS(tbl_Finance[Ex GST],tbl_Finance[Job Number],E192&amp;""))</f>
        <v/>
      </c>
      <c r="Z192" s="27">
        <f>IF(E192="","",SUMIFS(tbl_Finance[Ex GST],tbl_Finance[Job Number],E192&amp;"",tbl_Finance[Xero Invoice No],"&lt;&gt;"))</f>
        <v/>
      </c>
      <c r="AA192" s="27">
        <f>IF(E192="","",Y192-Z192)</f>
        <v/>
      </c>
      <c r="AB192" s="25">
        <f>IF(E192="","",IF(H192="Onsite",IFERROR(INDEX(tbl_Onsite[Qwilr Quote],MATCH(E192&amp;"",tbl_Onsite[Job Number],0)),""),IF(H192="Production",IFERROR(INDEX(tbl_Production[Current RMS No],MATCH(E192&amp;"",tbl_Production[Job Number],0)),""),IF(H192="Consulting",IFERROR(INDEX(tbl_Consulting[Qwilr Quote],MATCH(E192&amp;"",tbl_Consulting[Job Number],0)),""),""))))</f>
        <v/>
      </c>
      <c r="AC192" s="25">
        <f>IF(AB192="","",IF(AND(LEFT(AB192,4)&lt;&gt;"http",IF(H192="Production",set_RMSBase,set_QwilrBase)=""),"",HYPERLINK(IF(LEFT(AB192,4)="http",AB192,IF(H192="Production",set_RMSBase,set_QwilrBase)&amp;AB192),"Open")))</f>
        <v/>
      </c>
      <c r="AD192" s="27">
        <f>IF(E192="","",IF(H192="Production",IFERROR(INDEX(tbl_Production[Total Expense],MATCH(E192&amp;"",tbl_Production[Job Number],0)),0),IF(H192="Consulting",IFERROR(INDEX(tbl_Consulting[Total Expense],MATCH(E192&amp;"",tbl_Consulting[Job Number],0)),0),0)))</f>
        <v/>
      </c>
      <c r="AE192" s="27">
        <f>IF(E192="","",Y192-N(AD192))</f>
        <v/>
      </c>
      <c r="AF192" s="29">
        <f>IFERROR(AE192/Y192,"")</f>
        <v/>
      </c>
      <c r="AG192" s="25">
        <f>IF(E192="","",IF(H192="Onsite",IFERROR(INDEX(tbl_Onsite[Notes],MATCH(E192&amp;"",tbl_Onsite[Job Number],0)),""),IF(H192="Production",IFERROR(INDEX(tbl_Production[Notes],MATCH(E192&amp;"",tbl_Production[Job Number],0)),""),IF(H192="Consulting",IFERROR(INDEX(tbl_Consulting[Notes],MATCH(E192&amp;"",tbl_Consulting[Job Number],0)),""),""))))</f>
        <v/>
      </c>
    </row>
    <row r="193" ht="15" customHeight="1">
      <c r="A193" s="22" t="n"/>
      <c r="B193" s="23">
        <f>IF(A193="","",EOMONTH(A193,0))</f>
        <v/>
      </c>
      <c r="C193" s="24" t="n"/>
      <c r="D193" s="24" t="n"/>
      <c r="E193" s="24" t="n"/>
      <c r="F193" s="25">
        <f>IF(E193="","",IF(COUNTIF(lst_Jobs,E193&amp;"")&gt;0,"OK","CHECK"))</f>
        <v/>
      </c>
      <c r="G193" s="24" t="n"/>
      <c r="H193" s="24" t="n"/>
      <c r="I193" s="24" t="n"/>
      <c r="J193" s="24" t="n"/>
      <c r="K193" s="24" t="n"/>
      <c r="L193" s="26" t="n"/>
      <c r="M193" s="27">
        <f>IF(L193="","",IF(K193="GST 10%",ROUND(L193*set_GSTRate,2),0))</f>
        <v/>
      </c>
      <c r="N193" s="27">
        <f>IF(L193="","",L193+M193)</f>
        <v/>
      </c>
      <c r="O193" s="24" t="n"/>
      <c r="P193" s="24" t="n"/>
      <c r="Q193" s="24" t="n"/>
      <c r="R193" s="22" t="n"/>
      <c r="S193" s="22" t="n"/>
      <c r="T193" s="24" t="n"/>
      <c r="U193" s="24" t="n"/>
      <c r="V193" s="25">
        <f>IF(COUNTA(A193,D193,C193,L193)=0,"",IF(A193="","No date - sits outside every month",IF(E193="","No job number",IF(F193="CHECK","Job number is not in the Xero job list",IF(I193="","No cost centre",IF(AND(P193="Y",C193=""),"Marked posted to Xero but has no invoice number",IF(AND(L193&lt;&gt;"",K193=""),"No tax code",IF(AND(L193&lt;&gt;"",O193=""),"No revenue GL code",""))))))))</f>
        <v/>
      </c>
      <c r="W193" s="25">
        <f>IF(E193="","",IFERROR(INDEX(lst_JobName,MATCH(E193&amp;"",lst_Jobs,0)),""))</f>
        <v/>
      </c>
      <c r="X193" s="28">
        <f>IF(E193="","",COUNTIFS(tbl_Finance[Job Number],E193&amp;"",tbl_Finance[Ex GST],"&lt;&gt;"))</f>
        <v/>
      </c>
      <c r="Y193" s="27">
        <f>IF(E193="","",SUMIFS(tbl_Finance[Ex GST],tbl_Finance[Job Number],E193&amp;""))</f>
        <v/>
      </c>
      <c r="Z193" s="27">
        <f>IF(E193="","",SUMIFS(tbl_Finance[Ex GST],tbl_Finance[Job Number],E193&amp;"",tbl_Finance[Xero Invoice No],"&lt;&gt;"))</f>
        <v/>
      </c>
      <c r="AA193" s="27">
        <f>IF(E193="","",Y193-Z193)</f>
        <v/>
      </c>
      <c r="AB193" s="25">
        <f>IF(E193="","",IF(H193="Onsite",IFERROR(INDEX(tbl_Onsite[Qwilr Quote],MATCH(E193&amp;"",tbl_Onsite[Job Number],0)),""),IF(H193="Production",IFERROR(INDEX(tbl_Production[Current RMS No],MATCH(E193&amp;"",tbl_Production[Job Number],0)),""),IF(H193="Consulting",IFERROR(INDEX(tbl_Consulting[Qwilr Quote],MATCH(E193&amp;"",tbl_Consulting[Job Number],0)),""),""))))</f>
        <v/>
      </c>
      <c r="AC193" s="25">
        <f>IF(AB193="","",IF(AND(LEFT(AB193,4)&lt;&gt;"http",IF(H193="Production",set_RMSBase,set_QwilrBase)=""),"",HYPERLINK(IF(LEFT(AB193,4)="http",AB193,IF(H193="Production",set_RMSBase,set_QwilrBase)&amp;AB193),"Open")))</f>
        <v/>
      </c>
      <c r="AD193" s="27">
        <f>IF(E193="","",IF(H193="Production",IFERROR(INDEX(tbl_Production[Total Expense],MATCH(E193&amp;"",tbl_Production[Job Number],0)),0),IF(H193="Consulting",IFERROR(INDEX(tbl_Consulting[Total Expense],MATCH(E193&amp;"",tbl_Consulting[Job Number],0)),0),0)))</f>
        <v/>
      </c>
      <c r="AE193" s="27">
        <f>IF(E193="","",Y193-N(AD193))</f>
        <v/>
      </c>
      <c r="AF193" s="29">
        <f>IFERROR(AE193/Y193,"")</f>
        <v/>
      </c>
      <c r="AG193" s="25">
        <f>IF(E193="","",IF(H193="Onsite",IFERROR(INDEX(tbl_Onsite[Notes],MATCH(E193&amp;"",tbl_Onsite[Job Number],0)),""),IF(H193="Production",IFERROR(INDEX(tbl_Production[Notes],MATCH(E193&amp;"",tbl_Production[Job Number],0)),""),IF(H193="Consulting",IFERROR(INDEX(tbl_Consulting[Notes],MATCH(E193&amp;"",tbl_Consulting[Job Number],0)),""),""))))</f>
        <v/>
      </c>
    </row>
    <row r="194" ht="15" customHeight="1">
      <c r="A194" s="22" t="n"/>
      <c r="B194" s="23">
        <f>IF(A194="","",EOMONTH(A194,0))</f>
        <v/>
      </c>
      <c r="C194" s="24" t="n"/>
      <c r="D194" s="24" t="n"/>
      <c r="E194" s="24" t="n"/>
      <c r="F194" s="25">
        <f>IF(E194="","",IF(COUNTIF(lst_Jobs,E194&amp;"")&gt;0,"OK","CHECK"))</f>
        <v/>
      </c>
      <c r="G194" s="24" t="n"/>
      <c r="H194" s="24" t="n"/>
      <c r="I194" s="24" t="n"/>
      <c r="J194" s="24" t="n"/>
      <c r="K194" s="24" t="n"/>
      <c r="L194" s="26" t="n"/>
      <c r="M194" s="27">
        <f>IF(L194="","",IF(K194="GST 10%",ROUND(L194*set_GSTRate,2),0))</f>
        <v/>
      </c>
      <c r="N194" s="27">
        <f>IF(L194="","",L194+M194)</f>
        <v/>
      </c>
      <c r="O194" s="24" t="n"/>
      <c r="P194" s="24" t="n"/>
      <c r="Q194" s="24" t="n"/>
      <c r="R194" s="22" t="n"/>
      <c r="S194" s="22" t="n"/>
      <c r="T194" s="24" t="n"/>
      <c r="U194" s="24" t="n"/>
      <c r="V194" s="25">
        <f>IF(COUNTA(A194,D194,C194,L194)=0,"",IF(A194="","No date - sits outside every month",IF(E194="","No job number",IF(F194="CHECK","Job number is not in the Xero job list",IF(I194="","No cost centre",IF(AND(P194="Y",C194=""),"Marked posted to Xero but has no invoice number",IF(AND(L194&lt;&gt;"",K194=""),"No tax code",IF(AND(L194&lt;&gt;"",O194=""),"No revenue GL code",""))))))))</f>
        <v/>
      </c>
      <c r="W194" s="25">
        <f>IF(E194="","",IFERROR(INDEX(lst_JobName,MATCH(E194&amp;"",lst_Jobs,0)),""))</f>
        <v/>
      </c>
      <c r="X194" s="28">
        <f>IF(E194="","",COUNTIFS(tbl_Finance[Job Number],E194&amp;"",tbl_Finance[Ex GST],"&lt;&gt;"))</f>
        <v/>
      </c>
      <c r="Y194" s="27">
        <f>IF(E194="","",SUMIFS(tbl_Finance[Ex GST],tbl_Finance[Job Number],E194&amp;""))</f>
        <v/>
      </c>
      <c r="Z194" s="27">
        <f>IF(E194="","",SUMIFS(tbl_Finance[Ex GST],tbl_Finance[Job Number],E194&amp;"",tbl_Finance[Xero Invoice No],"&lt;&gt;"))</f>
        <v/>
      </c>
      <c r="AA194" s="27">
        <f>IF(E194="","",Y194-Z194)</f>
        <v/>
      </c>
      <c r="AB194" s="25">
        <f>IF(E194="","",IF(H194="Onsite",IFERROR(INDEX(tbl_Onsite[Qwilr Quote],MATCH(E194&amp;"",tbl_Onsite[Job Number],0)),""),IF(H194="Production",IFERROR(INDEX(tbl_Production[Current RMS No],MATCH(E194&amp;"",tbl_Production[Job Number],0)),""),IF(H194="Consulting",IFERROR(INDEX(tbl_Consulting[Qwilr Quote],MATCH(E194&amp;"",tbl_Consulting[Job Number],0)),""),""))))</f>
        <v/>
      </c>
      <c r="AC194" s="25">
        <f>IF(AB194="","",IF(AND(LEFT(AB194,4)&lt;&gt;"http",IF(H194="Production",set_RMSBase,set_QwilrBase)=""),"",HYPERLINK(IF(LEFT(AB194,4)="http",AB194,IF(H194="Production",set_RMSBase,set_QwilrBase)&amp;AB194),"Open")))</f>
        <v/>
      </c>
      <c r="AD194" s="27">
        <f>IF(E194="","",IF(H194="Production",IFERROR(INDEX(tbl_Production[Total Expense],MATCH(E194&amp;"",tbl_Production[Job Number],0)),0),IF(H194="Consulting",IFERROR(INDEX(tbl_Consulting[Total Expense],MATCH(E194&amp;"",tbl_Consulting[Job Number],0)),0),0)))</f>
        <v/>
      </c>
      <c r="AE194" s="27">
        <f>IF(E194="","",Y194-N(AD194))</f>
        <v/>
      </c>
      <c r="AF194" s="29">
        <f>IFERROR(AE194/Y194,"")</f>
        <v/>
      </c>
      <c r="AG194" s="25">
        <f>IF(E194="","",IF(H194="Onsite",IFERROR(INDEX(tbl_Onsite[Notes],MATCH(E194&amp;"",tbl_Onsite[Job Number],0)),""),IF(H194="Production",IFERROR(INDEX(tbl_Production[Notes],MATCH(E194&amp;"",tbl_Production[Job Number],0)),""),IF(H194="Consulting",IFERROR(INDEX(tbl_Consulting[Notes],MATCH(E194&amp;"",tbl_Consulting[Job Number],0)),""),""))))</f>
        <v/>
      </c>
    </row>
    <row r="195" ht="15" customHeight="1">
      <c r="A195" s="22" t="n"/>
      <c r="B195" s="23">
        <f>IF(A195="","",EOMONTH(A195,0))</f>
        <v/>
      </c>
      <c r="C195" s="24" t="n"/>
      <c r="D195" s="24" t="n"/>
      <c r="E195" s="24" t="n"/>
      <c r="F195" s="25">
        <f>IF(E195="","",IF(COUNTIF(lst_Jobs,E195&amp;"")&gt;0,"OK","CHECK"))</f>
        <v/>
      </c>
      <c r="G195" s="24" t="n"/>
      <c r="H195" s="24" t="n"/>
      <c r="I195" s="24" t="n"/>
      <c r="J195" s="24" t="n"/>
      <c r="K195" s="24" t="n"/>
      <c r="L195" s="26" t="n"/>
      <c r="M195" s="27">
        <f>IF(L195="","",IF(K195="GST 10%",ROUND(L195*set_GSTRate,2),0))</f>
        <v/>
      </c>
      <c r="N195" s="27">
        <f>IF(L195="","",L195+M195)</f>
        <v/>
      </c>
      <c r="O195" s="24" t="n"/>
      <c r="P195" s="24" t="n"/>
      <c r="Q195" s="24" t="n"/>
      <c r="R195" s="22" t="n"/>
      <c r="S195" s="22" t="n"/>
      <c r="T195" s="24" t="n"/>
      <c r="U195" s="24" t="n"/>
      <c r="V195" s="25">
        <f>IF(COUNTA(A195,D195,C195,L195)=0,"",IF(A195="","No date - sits outside every month",IF(E195="","No job number",IF(F195="CHECK","Job number is not in the Xero job list",IF(I195="","No cost centre",IF(AND(P195="Y",C195=""),"Marked posted to Xero but has no invoice number",IF(AND(L195&lt;&gt;"",K195=""),"No tax code",IF(AND(L195&lt;&gt;"",O195=""),"No revenue GL code",""))))))))</f>
        <v/>
      </c>
      <c r="W195" s="25">
        <f>IF(E195="","",IFERROR(INDEX(lst_JobName,MATCH(E195&amp;"",lst_Jobs,0)),""))</f>
        <v/>
      </c>
      <c r="X195" s="28">
        <f>IF(E195="","",COUNTIFS(tbl_Finance[Job Number],E195&amp;"",tbl_Finance[Ex GST],"&lt;&gt;"))</f>
        <v/>
      </c>
      <c r="Y195" s="27">
        <f>IF(E195="","",SUMIFS(tbl_Finance[Ex GST],tbl_Finance[Job Number],E195&amp;""))</f>
        <v/>
      </c>
      <c r="Z195" s="27">
        <f>IF(E195="","",SUMIFS(tbl_Finance[Ex GST],tbl_Finance[Job Number],E195&amp;"",tbl_Finance[Xero Invoice No],"&lt;&gt;"))</f>
        <v/>
      </c>
      <c r="AA195" s="27">
        <f>IF(E195="","",Y195-Z195)</f>
        <v/>
      </c>
      <c r="AB195" s="25">
        <f>IF(E195="","",IF(H195="Onsite",IFERROR(INDEX(tbl_Onsite[Qwilr Quote],MATCH(E195&amp;"",tbl_Onsite[Job Number],0)),""),IF(H195="Production",IFERROR(INDEX(tbl_Production[Current RMS No],MATCH(E195&amp;"",tbl_Production[Job Number],0)),""),IF(H195="Consulting",IFERROR(INDEX(tbl_Consulting[Qwilr Quote],MATCH(E195&amp;"",tbl_Consulting[Job Number],0)),""),""))))</f>
        <v/>
      </c>
      <c r="AC195" s="25">
        <f>IF(AB195="","",IF(AND(LEFT(AB195,4)&lt;&gt;"http",IF(H195="Production",set_RMSBase,set_QwilrBase)=""),"",HYPERLINK(IF(LEFT(AB195,4)="http",AB195,IF(H195="Production",set_RMSBase,set_QwilrBase)&amp;AB195),"Open")))</f>
        <v/>
      </c>
      <c r="AD195" s="27">
        <f>IF(E195="","",IF(H195="Production",IFERROR(INDEX(tbl_Production[Total Expense],MATCH(E195&amp;"",tbl_Production[Job Number],0)),0),IF(H195="Consulting",IFERROR(INDEX(tbl_Consulting[Total Expense],MATCH(E195&amp;"",tbl_Consulting[Job Number],0)),0),0)))</f>
        <v/>
      </c>
      <c r="AE195" s="27">
        <f>IF(E195="","",Y195-N(AD195))</f>
        <v/>
      </c>
      <c r="AF195" s="29">
        <f>IFERROR(AE195/Y195,"")</f>
        <v/>
      </c>
      <c r="AG195" s="25">
        <f>IF(E195="","",IF(H195="Onsite",IFERROR(INDEX(tbl_Onsite[Notes],MATCH(E195&amp;"",tbl_Onsite[Job Number],0)),""),IF(H195="Production",IFERROR(INDEX(tbl_Production[Notes],MATCH(E195&amp;"",tbl_Production[Job Number],0)),""),IF(H195="Consulting",IFERROR(INDEX(tbl_Consulting[Notes],MATCH(E195&amp;"",tbl_Consulting[Job Number],0)),""),""))))</f>
        <v/>
      </c>
    </row>
    <row r="196" ht="15" customHeight="1">
      <c r="A196" s="22" t="n"/>
      <c r="B196" s="23">
        <f>IF(A196="","",EOMONTH(A196,0))</f>
        <v/>
      </c>
      <c r="C196" s="24" t="n"/>
      <c r="D196" s="24" t="n"/>
      <c r="E196" s="24" t="n"/>
      <c r="F196" s="25">
        <f>IF(E196="","",IF(COUNTIF(lst_Jobs,E196&amp;"")&gt;0,"OK","CHECK"))</f>
        <v/>
      </c>
      <c r="G196" s="24" t="n"/>
      <c r="H196" s="24" t="n"/>
      <c r="I196" s="24" t="n"/>
      <c r="J196" s="24" t="n"/>
      <c r="K196" s="24" t="n"/>
      <c r="L196" s="26" t="n"/>
      <c r="M196" s="27">
        <f>IF(L196="","",IF(K196="GST 10%",ROUND(L196*set_GSTRate,2),0))</f>
        <v/>
      </c>
      <c r="N196" s="27">
        <f>IF(L196="","",L196+M196)</f>
        <v/>
      </c>
      <c r="O196" s="24" t="n"/>
      <c r="P196" s="24" t="n"/>
      <c r="Q196" s="24" t="n"/>
      <c r="R196" s="22" t="n"/>
      <c r="S196" s="22" t="n"/>
      <c r="T196" s="24" t="n"/>
      <c r="U196" s="24" t="n"/>
      <c r="V196" s="25">
        <f>IF(COUNTA(A196,D196,C196,L196)=0,"",IF(A196="","No date - sits outside every month",IF(E196="","No job number",IF(F196="CHECK","Job number is not in the Xero job list",IF(I196="","No cost centre",IF(AND(P196="Y",C196=""),"Marked posted to Xero but has no invoice number",IF(AND(L196&lt;&gt;"",K196=""),"No tax code",IF(AND(L196&lt;&gt;"",O196=""),"No revenue GL code",""))))))))</f>
        <v/>
      </c>
      <c r="W196" s="25">
        <f>IF(E196="","",IFERROR(INDEX(lst_JobName,MATCH(E196&amp;"",lst_Jobs,0)),""))</f>
        <v/>
      </c>
      <c r="X196" s="28">
        <f>IF(E196="","",COUNTIFS(tbl_Finance[Job Number],E196&amp;"",tbl_Finance[Ex GST],"&lt;&gt;"))</f>
        <v/>
      </c>
      <c r="Y196" s="27">
        <f>IF(E196="","",SUMIFS(tbl_Finance[Ex GST],tbl_Finance[Job Number],E196&amp;""))</f>
        <v/>
      </c>
      <c r="Z196" s="27">
        <f>IF(E196="","",SUMIFS(tbl_Finance[Ex GST],tbl_Finance[Job Number],E196&amp;"",tbl_Finance[Xero Invoice No],"&lt;&gt;"))</f>
        <v/>
      </c>
      <c r="AA196" s="27">
        <f>IF(E196="","",Y196-Z196)</f>
        <v/>
      </c>
      <c r="AB196" s="25">
        <f>IF(E196="","",IF(H196="Onsite",IFERROR(INDEX(tbl_Onsite[Qwilr Quote],MATCH(E196&amp;"",tbl_Onsite[Job Number],0)),""),IF(H196="Production",IFERROR(INDEX(tbl_Production[Current RMS No],MATCH(E196&amp;"",tbl_Production[Job Number],0)),""),IF(H196="Consulting",IFERROR(INDEX(tbl_Consulting[Qwilr Quote],MATCH(E196&amp;"",tbl_Consulting[Job Number],0)),""),""))))</f>
        <v/>
      </c>
      <c r="AC196" s="25">
        <f>IF(AB196="","",IF(AND(LEFT(AB196,4)&lt;&gt;"http",IF(H196="Production",set_RMSBase,set_QwilrBase)=""),"",HYPERLINK(IF(LEFT(AB196,4)="http",AB196,IF(H196="Production",set_RMSBase,set_QwilrBase)&amp;AB196),"Open")))</f>
        <v/>
      </c>
      <c r="AD196" s="27">
        <f>IF(E196="","",IF(H196="Production",IFERROR(INDEX(tbl_Production[Total Expense],MATCH(E196&amp;"",tbl_Production[Job Number],0)),0),IF(H196="Consulting",IFERROR(INDEX(tbl_Consulting[Total Expense],MATCH(E196&amp;"",tbl_Consulting[Job Number],0)),0),0)))</f>
        <v/>
      </c>
      <c r="AE196" s="27">
        <f>IF(E196="","",Y196-N(AD196))</f>
        <v/>
      </c>
      <c r="AF196" s="29">
        <f>IFERROR(AE196/Y196,"")</f>
        <v/>
      </c>
      <c r="AG196" s="25">
        <f>IF(E196="","",IF(H196="Onsite",IFERROR(INDEX(tbl_Onsite[Notes],MATCH(E196&amp;"",tbl_Onsite[Job Number],0)),""),IF(H196="Production",IFERROR(INDEX(tbl_Production[Notes],MATCH(E196&amp;"",tbl_Production[Job Number],0)),""),IF(H196="Consulting",IFERROR(INDEX(tbl_Consulting[Notes],MATCH(E196&amp;"",tbl_Consulting[Job Number],0)),""),""))))</f>
        <v/>
      </c>
    </row>
    <row r="197" ht="15" customHeight="1">
      <c r="A197" s="22" t="n"/>
      <c r="B197" s="23">
        <f>IF(A197="","",EOMONTH(A197,0))</f>
        <v/>
      </c>
      <c r="C197" s="24" t="n"/>
      <c r="D197" s="24" t="n"/>
      <c r="E197" s="24" t="n"/>
      <c r="F197" s="25">
        <f>IF(E197="","",IF(COUNTIF(lst_Jobs,E197&amp;"")&gt;0,"OK","CHECK"))</f>
        <v/>
      </c>
      <c r="G197" s="24" t="n"/>
      <c r="H197" s="24" t="n"/>
      <c r="I197" s="24" t="n"/>
      <c r="J197" s="24" t="n"/>
      <c r="K197" s="24" t="n"/>
      <c r="L197" s="26" t="n"/>
      <c r="M197" s="27">
        <f>IF(L197="","",IF(K197="GST 10%",ROUND(L197*set_GSTRate,2),0))</f>
        <v/>
      </c>
      <c r="N197" s="27">
        <f>IF(L197="","",L197+M197)</f>
        <v/>
      </c>
      <c r="O197" s="24" t="n"/>
      <c r="P197" s="24" t="n"/>
      <c r="Q197" s="24" t="n"/>
      <c r="R197" s="22" t="n"/>
      <c r="S197" s="22" t="n"/>
      <c r="T197" s="24" t="n"/>
      <c r="U197" s="24" t="n"/>
      <c r="V197" s="25">
        <f>IF(COUNTA(A197,D197,C197,L197)=0,"",IF(A197="","No date - sits outside every month",IF(E197="","No job number",IF(F197="CHECK","Job number is not in the Xero job list",IF(I197="","No cost centre",IF(AND(P197="Y",C197=""),"Marked posted to Xero but has no invoice number",IF(AND(L197&lt;&gt;"",K197=""),"No tax code",IF(AND(L197&lt;&gt;"",O197=""),"No revenue GL code",""))))))))</f>
        <v/>
      </c>
      <c r="W197" s="25">
        <f>IF(E197="","",IFERROR(INDEX(lst_JobName,MATCH(E197&amp;"",lst_Jobs,0)),""))</f>
        <v/>
      </c>
      <c r="X197" s="28">
        <f>IF(E197="","",COUNTIFS(tbl_Finance[Job Number],E197&amp;"",tbl_Finance[Ex GST],"&lt;&gt;"))</f>
        <v/>
      </c>
      <c r="Y197" s="27">
        <f>IF(E197="","",SUMIFS(tbl_Finance[Ex GST],tbl_Finance[Job Number],E197&amp;""))</f>
        <v/>
      </c>
      <c r="Z197" s="27">
        <f>IF(E197="","",SUMIFS(tbl_Finance[Ex GST],tbl_Finance[Job Number],E197&amp;"",tbl_Finance[Xero Invoice No],"&lt;&gt;"))</f>
        <v/>
      </c>
      <c r="AA197" s="27">
        <f>IF(E197="","",Y197-Z197)</f>
        <v/>
      </c>
      <c r="AB197" s="25">
        <f>IF(E197="","",IF(H197="Onsite",IFERROR(INDEX(tbl_Onsite[Qwilr Quote],MATCH(E197&amp;"",tbl_Onsite[Job Number],0)),""),IF(H197="Production",IFERROR(INDEX(tbl_Production[Current RMS No],MATCH(E197&amp;"",tbl_Production[Job Number],0)),""),IF(H197="Consulting",IFERROR(INDEX(tbl_Consulting[Qwilr Quote],MATCH(E197&amp;"",tbl_Consulting[Job Number],0)),""),""))))</f>
        <v/>
      </c>
      <c r="AC197" s="25">
        <f>IF(AB197="","",IF(AND(LEFT(AB197,4)&lt;&gt;"http",IF(H197="Production",set_RMSBase,set_QwilrBase)=""),"",HYPERLINK(IF(LEFT(AB197,4)="http",AB197,IF(H197="Production",set_RMSBase,set_QwilrBase)&amp;AB197),"Open")))</f>
        <v/>
      </c>
      <c r="AD197" s="27">
        <f>IF(E197="","",IF(H197="Production",IFERROR(INDEX(tbl_Production[Total Expense],MATCH(E197&amp;"",tbl_Production[Job Number],0)),0),IF(H197="Consulting",IFERROR(INDEX(tbl_Consulting[Total Expense],MATCH(E197&amp;"",tbl_Consulting[Job Number],0)),0),0)))</f>
        <v/>
      </c>
      <c r="AE197" s="27">
        <f>IF(E197="","",Y197-N(AD197))</f>
        <v/>
      </c>
      <c r="AF197" s="29">
        <f>IFERROR(AE197/Y197,"")</f>
        <v/>
      </c>
      <c r="AG197" s="25">
        <f>IF(E197="","",IF(H197="Onsite",IFERROR(INDEX(tbl_Onsite[Notes],MATCH(E197&amp;"",tbl_Onsite[Job Number],0)),""),IF(H197="Production",IFERROR(INDEX(tbl_Production[Notes],MATCH(E197&amp;"",tbl_Production[Job Number],0)),""),IF(H197="Consulting",IFERROR(INDEX(tbl_Consulting[Notes],MATCH(E197&amp;"",tbl_Consulting[Job Number],0)),""),""))))</f>
        <v/>
      </c>
    </row>
    <row r="198" ht="15" customHeight="1">
      <c r="A198" s="22" t="n"/>
      <c r="B198" s="23">
        <f>IF(A198="","",EOMONTH(A198,0))</f>
        <v/>
      </c>
      <c r="C198" s="24" t="n"/>
      <c r="D198" s="24" t="n"/>
      <c r="E198" s="24" t="n"/>
      <c r="F198" s="25">
        <f>IF(E198="","",IF(COUNTIF(lst_Jobs,E198&amp;"")&gt;0,"OK","CHECK"))</f>
        <v/>
      </c>
      <c r="G198" s="24" t="n"/>
      <c r="H198" s="24" t="n"/>
      <c r="I198" s="24" t="n"/>
      <c r="J198" s="24" t="n"/>
      <c r="K198" s="24" t="n"/>
      <c r="L198" s="26" t="n"/>
      <c r="M198" s="27">
        <f>IF(L198="","",IF(K198="GST 10%",ROUND(L198*set_GSTRate,2),0))</f>
        <v/>
      </c>
      <c r="N198" s="27">
        <f>IF(L198="","",L198+M198)</f>
        <v/>
      </c>
      <c r="O198" s="24" t="n"/>
      <c r="P198" s="24" t="n"/>
      <c r="Q198" s="24" t="n"/>
      <c r="R198" s="22" t="n"/>
      <c r="S198" s="22" t="n"/>
      <c r="T198" s="24" t="n"/>
      <c r="U198" s="24" t="n"/>
      <c r="V198" s="25">
        <f>IF(COUNTA(A198,D198,C198,L198)=0,"",IF(A198="","No date - sits outside every month",IF(E198="","No job number",IF(F198="CHECK","Job number is not in the Xero job list",IF(I198="","No cost centre",IF(AND(P198="Y",C198=""),"Marked posted to Xero but has no invoice number",IF(AND(L198&lt;&gt;"",K198=""),"No tax code",IF(AND(L198&lt;&gt;"",O198=""),"No revenue GL code",""))))))))</f>
        <v/>
      </c>
      <c r="W198" s="25">
        <f>IF(E198="","",IFERROR(INDEX(lst_JobName,MATCH(E198&amp;"",lst_Jobs,0)),""))</f>
        <v/>
      </c>
      <c r="X198" s="28">
        <f>IF(E198="","",COUNTIFS(tbl_Finance[Job Number],E198&amp;"",tbl_Finance[Ex GST],"&lt;&gt;"))</f>
        <v/>
      </c>
      <c r="Y198" s="27">
        <f>IF(E198="","",SUMIFS(tbl_Finance[Ex GST],tbl_Finance[Job Number],E198&amp;""))</f>
        <v/>
      </c>
      <c r="Z198" s="27">
        <f>IF(E198="","",SUMIFS(tbl_Finance[Ex GST],tbl_Finance[Job Number],E198&amp;"",tbl_Finance[Xero Invoice No],"&lt;&gt;"))</f>
        <v/>
      </c>
      <c r="AA198" s="27">
        <f>IF(E198="","",Y198-Z198)</f>
        <v/>
      </c>
      <c r="AB198" s="25">
        <f>IF(E198="","",IF(H198="Onsite",IFERROR(INDEX(tbl_Onsite[Qwilr Quote],MATCH(E198&amp;"",tbl_Onsite[Job Number],0)),""),IF(H198="Production",IFERROR(INDEX(tbl_Production[Current RMS No],MATCH(E198&amp;"",tbl_Production[Job Number],0)),""),IF(H198="Consulting",IFERROR(INDEX(tbl_Consulting[Qwilr Quote],MATCH(E198&amp;"",tbl_Consulting[Job Number],0)),""),""))))</f>
        <v/>
      </c>
      <c r="AC198" s="25">
        <f>IF(AB198="","",IF(AND(LEFT(AB198,4)&lt;&gt;"http",IF(H198="Production",set_RMSBase,set_QwilrBase)=""),"",HYPERLINK(IF(LEFT(AB198,4)="http",AB198,IF(H198="Production",set_RMSBase,set_QwilrBase)&amp;AB198),"Open")))</f>
        <v/>
      </c>
      <c r="AD198" s="27">
        <f>IF(E198="","",IF(H198="Production",IFERROR(INDEX(tbl_Production[Total Expense],MATCH(E198&amp;"",tbl_Production[Job Number],0)),0),IF(H198="Consulting",IFERROR(INDEX(tbl_Consulting[Total Expense],MATCH(E198&amp;"",tbl_Consulting[Job Number],0)),0),0)))</f>
        <v/>
      </c>
      <c r="AE198" s="27">
        <f>IF(E198="","",Y198-N(AD198))</f>
        <v/>
      </c>
      <c r="AF198" s="29">
        <f>IFERROR(AE198/Y198,"")</f>
        <v/>
      </c>
      <c r="AG198" s="25">
        <f>IF(E198="","",IF(H198="Onsite",IFERROR(INDEX(tbl_Onsite[Notes],MATCH(E198&amp;"",tbl_Onsite[Job Number],0)),""),IF(H198="Production",IFERROR(INDEX(tbl_Production[Notes],MATCH(E198&amp;"",tbl_Production[Job Number],0)),""),IF(H198="Consulting",IFERROR(INDEX(tbl_Consulting[Notes],MATCH(E198&amp;"",tbl_Consulting[Job Number],0)),""),""))))</f>
        <v/>
      </c>
    </row>
    <row r="199" ht="15" customHeight="1">
      <c r="A199" s="22" t="n"/>
      <c r="B199" s="23">
        <f>IF(A199="","",EOMONTH(A199,0))</f>
        <v/>
      </c>
      <c r="C199" s="24" t="n"/>
      <c r="D199" s="24" t="n"/>
      <c r="E199" s="24" t="n"/>
      <c r="F199" s="25">
        <f>IF(E199="","",IF(COUNTIF(lst_Jobs,E199&amp;"")&gt;0,"OK","CHECK"))</f>
        <v/>
      </c>
      <c r="G199" s="24" t="n"/>
      <c r="H199" s="24" t="n"/>
      <c r="I199" s="24" t="n"/>
      <c r="J199" s="24" t="n"/>
      <c r="K199" s="24" t="n"/>
      <c r="L199" s="26" t="n"/>
      <c r="M199" s="27">
        <f>IF(L199="","",IF(K199="GST 10%",ROUND(L199*set_GSTRate,2),0))</f>
        <v/>
      </c>
      <c r="N199" s="27">
        <f>IF(L199="","",L199+M199)</f>
        <v/>
      </c>
      <c r="O199" s="24" t="n"/>
      <c r="P199" s="24" t="n"/>
      <c r="Q199" s="24" t="n"/>
      <c r="R199" s="22" t="n"/>
      <c r="S199" s="22" t="n"/>
      <c r="T199" s="24" t="n"/>
      <c r="U199" s="24" t="n"/>
      <c r="V199" s="25">
        <f>IF(COUNTA(A199,D199,C199,L199)=0,"",IF(A199="","No date - sits outside every month",IF(E199="","No job number",IF(F199="CHECK","Job number is not in the Xero job list",IF(I199="","No cost centre",IF(AND(P199="Y",C199=""),"Marked posted to Xero but has no invoice number",IF(AND(L199&lt;&gt;"",K199=""),"No tax code",IF(AND(L199&lt;&gt;"",O199=""),"No revenue GL code",""))))))))</f>
        <v/>
      </c>
      <c r="W199" s="25">
        <f>IF(E199="","",IFERROR(INDEX(lst_JobName,MATCH(E199&amp;"",lst_Jobs,0)),""))</f>
        <v/>
      </c>
      <c r="X199" s="28">
        <f>IF(E199="","",COUNTIFS(tbl_Finance[Job Number],E199&amp;"",tbl_Finance[Ex GST],"&lt;&gt;"))</f>
        <v/>
      </c>
      <c r="Y199" s="27">
        <f>IF(E199="","",SUMIFS(tbl_Finance[Ex GST],tbl_Finance[Job Number],E199&amp;""))</f>
        <v/>
      </c>
      <c r="Z199" s="27">
        <f>IF(E199="","",SUMIFS(tbl_Finance[Ex GST],tbl_Finance[Job Number],E199&amp;"",tbl_Finance[Xero Invoice No],"&lt;&gt;"))</f>
        <v/>
      </c>
      <c r="AA199" s="27">
        <f>IF(E199="","",Y199-Z199)</f>
        <v/>
      </c>
      <c r="AB199" s="25">
        <f>IF(E199="","",IF(H199="Onsite",IFERROR(INDEX(tbl_Onsite[Qwilr Quote],MATCH(E199&amp;"",tbl_Onsite[Job Number],0)),""),IF(H199="Production",IFERROR(INDEX(tbl_Production[Current RMS No],MATCH(E199&amp;"",tbl_Production[Job Number],0)),""),IF(H199="Consulting",IFERROR(INDEX(tbl_Consulting[Qwilr Quote],MATCH(E199&amp;"",tbl_Consulting[Job Number],0)),""),""))))</f>
        <v/>
      </c>
      <c r="AC199" s="25">
        <f>IF(AB199="","",IF(AND(LEFT(AB199,4)&lt;&gt;"http",IF(H199="Production",set_RMSBase,set_QwilrBase)=""),"",HYPERLINK(IF(LEFT(AB199,4)="http",AB199,IF(H199="Production",set_RMSBase,set_QwilrBase)&amp;AB199),"Open")))</f>
        <v/>
      </c>
      <c r="AD199" s="27">
        <f>IF(E199="","",IF(H199="Production",IFERROR(INDEX(tbl_Production[Total Expense],MATCH(E199&amp;"",tbl_Production[Job Number],0)),0),IF(H199="Consulting",IFERROR(INDEX(tbl_Consulting[Total Expense],MATCH(E199&amp;"",tbl_Consulting[Job Number],0)),0),0)))</f>
        <v/>
      </c>
      <c r="AE199" s="27">
        <f>IF(E199="","",Y199-N(AD199))</f>
        <v/>
      </c>
      <c r="AF199" s="29">
        <f>IFERROR(AE199/Y199,"")</f>
        <v/>
      </c>
      <c r="AG199" s="25">
        <f>IF(E199="","",IF(H199="Onsite",IFERROR(INDEX(tbl_Onsite[Notes],MATCH(E199&amp;"",tbl_Onsite[Job Number],0)),""),IF(H199="Production",IFERROR(INDEX(tbl_Production[Notes],MATCH(E199&amp;"",tbl_Production[Job Number],0)),""),IF(H199="Consulting",IFERROR(INDEX(tbl_Consulting[Notes],MATCH(E199&amp;"",tbl_Consulting[Job Number],0)),""),""))))</f>
        <v/>
      </c>
    </row>
    <row r="200" ht="15" customHeight="1">
      <c r="A200" s="22" t="n"/>
      <c r="B200" s="23">
        <f>IF(A200="","",EOMONTH(A200,0))</f>
        <v/>
      </c>
      <c r="C200" s="24" t="n"/>
      <c r="D200" s="24" t="n"/>
      <c r="E200" s="24" t="n"/>
      <c r="F200" s="25">
        <f>IF(E200="","",IF(COUNTIF(lst_Jobs,E200&amp;"")&gt;0,"OK","CHECK"))</f>
        <v/>
      </c>
      <c r="G200" s="24" t="n"/>
      <c r="H200" s="24" t="n"/>
      <c r="I200" s="24" t="n"/>
      <c r="J200" s="24" t="n"/>
      <c r="K200" s="24" t="n"/>
      <c r="L200" s="26" t="n"/>
      <c r="M200" s="27">
        <f>IF(L200="","",IF(K200="GST 10%",ROUND(L200*set_GSTRate,2),0))</f>
        <v/>
      </c>
      <c r="N200" s="27">
        <f>IF(L200="","",L200+M200)</f>
        <v/>
      </c>
      <c r="O200" s="24" t="n"/>
      <c r="P200" s="24" t="n"/>
      <c r="Q200" s="24" t="n"/>
      <c r="R200" s="22" t="n"/>
      <c r="S200" s="22" t="n"/>
      <c r="T200" s="24" t="n"/>
      <c r="U200" s="24" t="n"/>
      <c r="V200" s="25">
        <f>IF(COUNTA(A200,D200,C200,L200)=0,"",IF(A200="","No date - sits outside every month",IF(E200="","No job number",IF(F200="CHECK","Job number is not in the Xero job list",IF(I200="","No cost centre",IF(AND(P200="Y",C200=""),"Marked posted to Xero but has no invoice number",IF(AND(L200&lt;&gt;"",K200=""),"No tax code",IF(AND(L200&lt;&gt;"",O200=""),"No revenue GL code",""))))))))</f>
        <v/>
      </c>
      <c r="W200" s="25">
        <f>IF(E200="","",IFERROR(INDEX(lst_JobName,MATCH(E200&amp;"",lst_Jobs,0)),""))</f>
        <v/>
      </c>
      <c r="X200" s="28">
        <f>IF(E200="","",COUNTIFS(tbl_Finance[Job Number],E200&amp;"",tbl_Finance[Ex GST],"&lt;&gt;"))</f>
        <v/>
      </c>
      <c r="Y200" s="27">
        <f>IF(E200="","",SUMIFS(tbl_Finance[Ex GST],tbl_Finance[Job Number],E200&amp;""))</f>
        <v/>
      </c>
      <c r="Z200" s="27">
        <f>IF(E200="","",SUMIFS(tbl_Finance[Ex GST],tbl_Finance[Job Number],E200&amp;"",tbl_Finance[Xero Invoice No],"&lt;&gt;"))</f>
        <v/>
      </c>
      <c r="AA200" s="27">
        <f>IF(E200="","",Y200-Z200)</f>
        <v/>
      </c>
      <c r="AB200" s="25">
        <f>IF(E200="","",IF(H200="Onsite",IFERROR(INDEX(tbl_Onsite[Qwilr Quote],MATCH(E200&amp;"",tbl_Onsite[Job Number],0)),""),IF(H200="Production",IFERROR(INDEX(tbl_Production[Current RMS No],MATCH(E200&amp;"",tbl_Production[Job Number],0)),""),IF(H200="Consulting",IFERROR(INDEX(tbl_Consulting[Qwilr Quote],MATCH(E200&amp;"",tbl_Consulting[Job Number],0)),""),""))))</f>
        <v/>
      </c>
      <c r="AC200" s="25">
        <f>IF(AB200="","",IF(AND(LEFT(AB200,4)&lt;&gt;"http",IF(H200="Production",set_RMSBase,set_QwilrBase)=""),"",HYPERLINK(IF(LEFT(AB200,4)="http",AB200,IF(H200="Production",set_RMSBase,set_QwilrBase)&amp;AB200),"Open")))</f>
        <v/>
      </c>
      <c r="AD200" s="27">
        <f>IF(E200="","",IF(H200="Production",IFERROR(INDEX(tbl_Production[Total Expense],MATCH(E200&amp;"",tbl_Production[Job Number],0)),0),IF(H200="Consulting",IFERROR(INDEX(tbl_Consulting[Total Expense],MATCH(E200&amp;"",tbl_Consulting[Job Number],0)),0),0)))</f>
        <v/>
      </c>
      <c r="AE200" s="27">
        <f>IF(E200="","",Y200-N(AD200))</f>
        <v/>
      </c>
      <c r="AF200" s="29">
        <f>IFERROR(AE200/Y200,"")</f>
        <v/>
      </c>
      <c r="AG200" s="25">
        <f>IF(E200="","",IF(H200="Onsite",IFERROR(INDEX(tbl_Onsite[Notes],MATCH(E200&amp;"",tbl_Onsite[Job Number],0)),""),IF(H200="Production",IFERROR(INDEX(tbl_Production[Notes],MATCH(E200&amp;"",tbl_Production[Job Number],0)),""),IF(H200="Consulting",IFERROR(INDEX(tbl_Consulting[Notes],MATCH(E200&amp;"",tbl_Consulting[Job Number],0)),""),""))))</f>
        <v/>
      </c>
    </row>
    <row r="201" ht="15" customHeight="1">
      <c r="A201" s="22" t="n"/>
      <c r="B201" s="23">
        <f>IF(A201="","",EOMONTH(A201,0))</f>
        <v/>
      </c>
      <c r="C201" s="24" t="n"/>
      <c r="D201" s="24" t="n"/>
      <c r="E201" s="24" t="n"/>
      <c r="F201" s="25">
        <f>IF(E201="","",IF(COUNTIF(lst_Jobs,E201&amp;"")&gt;0,"OK","CHECK"))</f>
        <v/>
      </c>
      <c r="G201" s="24" t="n"/>
      <c r="H201" s="24" t="n"/>
      <c r="I201" s="24" t="n"/>
      <c r="J201" s="24" t="n"/>
      <c r="K201" s="24" t="n"/>
      <c r="L201" s="26" t="n"/>
      <c r="M201" s="27">
        <f>IF(L201="","",IF(K201="GST 10%",ROUND(L201*set_GSTRate,2),0))</f>
        <v/>
      </c>
      <c r="N201" s="27">
        <f>IF(L201="","",L201+M201)</f>
        <v/>
      </c>
      <c r="O201" s="24" t="n"/>
      <c r="P201" s="24" t="n"/>
      <c r="Q201" s="24" t="n"/>
      <c r="R201" s="22" t="n"/>
      <c r="S201" s="22" t="n"/>
      <c r="T201" s="24" t="n"/>
      <c r="U201" s="24" t="n"/>
      <c r="V201" s="25">
        <f>IF(COUNTA(A201,D201,C201,L201)=0,"",IF(A201="","No date - sits outside every month",IF(E201="","No job number",IF(F201="CHECK","Job number is not in the Xero job list",IF(I201="","No cost centre",IF(AND(P201="Y",C201=""),"Marked posted to Xero but has no invoice number",IF(AND(L201&lt;&gt;"",K201=""),"No tax code",IF(AND(L201&lt;&gt;"",O201=""),"No revenue GL code",""))))))))</f>
        <v/>
      </c>
      <c r="W201" s="25">
        <f>IF(E201="","",IFERROR(INDEX(lst_JobName,MATCH(E201&amp;"",lst_Jobs,0)),""))</f>
        <v/>
      </c>
      <c r="X201" s="28">
        <f>IF(E201="","",COUNTIFS(tbl_Finance[Job Number],E201&amp;"",tbl_Finance[Ex GST],"&lt;&gt;"))</f>
        <v/>
      </c>
      <c r="Y201" s="27">
        <f>IF(E201="","",SUMIFS(tbl_Finance[Ex GST],tbl_Finance[Job Number],E201&amp;""))</f>
        <v/>
      </c>
      <c r="Z201" s="27">
        <f>IF(E201="","",SUMIFS(tbl_Finance[Ex GST],tbl_Finance[Job Number],E201&amp;"",tbl_Finance[Xero Invoice No],"&lt;&gt;"))</f>
        <v/>
      </c>
      <c r="AA201" s="27">
        <f>IF(E201="","",Y201-Z201)</f>
        <v/>
      </c>
      <c r="AB201" s="25">
        <f>IF(E201="","",IF(H201="Onsite",IFERROR(INDEX(tbl_Onsite[Qwilr Quote],MATCH(E201&amp;"",tbl_Onsite[Job Number],0)),""),IF(H201="Production",IFERROR(INDEX(tbl_Production[Current RMS No],MATCH(E201&amp;"",tbl_Production[Job Number],0)),""),IF(H201="Consulting",IFERROR(INDEX(tbl_Consulting[Qwilr Quote],MATCH(E201&amp;"",tbl_Consulting[Job Number],0)),""),""))))</f>
        <v/>
      </c>
      <c r="AC201" s="25">
        <f>IF(AB201="","",IF(AND(LEFT(AB201,4)&lt;&gt;"http",IF(H201="Production",set_RMSBase,set_QwilrBase)=""),"",HYPERLINK(IF(LEFT(AB201,4)="http",AB201,IF(H201="Production",set_RMSBase,set_QwilrBase)&amp;AB201),"Open")))</f>
        <v/>
      </c>
      <c r="AD201" s="27">
        <f>IF(E201="","",IF(H201="Production",IFERROR(INDEX(tbl_Production[Total Expense],MATCH(E201&amp;"",tbl_Production[Job Number],0)),0),IF(H201="Consulting",IFERROR(INDEX(tbl_Consulting[Total Expense],MATCH(E201&amp;"",tbl_Consulting[Job Number],0)),0),0)))</f>
        <v/>
      </c>
      <c r="AE201" s="27">
        <f>IF(E201="","",Y201-N(AD201))</f>
        <v/>
      </c>
      <c r="AF201" s="29">
        <f>IFERROR(AE201/Y201,"")</f>
        <v/>
      </c>
      <c r="AG201" s="25">
        <f>IF(E201="","",IF(H201="Onsite",IFERROR(INDEX(tbl_Onsite[Notes],MATCH(E201&amp;"",tbl_Onsite[Job Number],0)),""),IF(H201="Production",IFERROR(INDEX(tbl_Production[Notes],MATCH(E201&amp;"",tbl_Production[Job Number],0)),""),IF(H201="Consulting",IFERROR(INDEX(tbl_Consulting[Notes],MATCH(E201&amp;"",tbl_Consulting[Job Number],0)),""),""))))</f>
        <v/>
      </c>
    </row>
    <row r="202" ht="15" customHeight="1">
      <c r="A202" s="22" t="n"/>
      <c r="B202" s="23">
        <f>IF(A202="","",EOMONTH(A202,0))</f>
        <v/>
      </c>
      <c r="C202" s="24" t="n"/>
      <c r="D202" s="24" t="n"/>
      <c r="E202" s="24" t="n"/>
      <c r="F202" s="25">
        <f>IF(E202="","",IF(COUNTIF(lst_Jobs,E202&amp;"")&gt;0,"OK","CHECK"))</f>
        <v/>
      </c>
      <c r="G202" s="24" t="n"/>
      <c r="H202" s="24" t="n"/>
      <c r="I202" s="24" t="n"/>
      <c r="J202" s="24" t="n"/>
      <c r="K202" s="24" t="n"/>
      <c r="L202" s="26" t="n"/>
      <c r="M202" s="27">
        <f>IF(L202="","",IF(K202="GST 10%",ROUND(L202*set_GSTRate,2),0))</f>
        <v/>
      </c>
      <c r="N202" s="27">
        <f>IF(L202="","",L202+M202)</f>
        <v/>
      </c>
      <c r="O202" s="24" t="n"/>
      <c r="P202" s="24" t="n"/>
      <c r="Q202" s="24" t="n"/>
      <c r="R202" s="22" t="n"/>
      <c r="S202" s="22" t="n"/>
      <c r="T202" s="24" t="n"/>
      <c r="U202" s="24" t="n"/>
      <c r="V202" s="25">
        <f>IF(COUNTA(A202,D202,C202,L202)=0,"",IF(A202="","No date - sits outside every month",IF(E202="","No job number",IF(F202="CHECK","Job number is not in the Xero job list",IF(I202="","No cost centre",IF(AND(P202="Y",C202=""),"Marked posted to Xero but has no invoice number",IF(AND(L202&lt;&gt;"",K202=""),"No tax code",IF(AND(L202&lt;&gt;"",O202=""),"No revenue GL code",""))))))))</f>
        <v/>
      </c>
      <c r="W202" s="25">
        <f>IF(E202="","",IFERROR(INDEX(lst_JobName,MATCH(E202&amp;"",lst_Jobs,0)),""))</f>
        <v/>
      </c>
      <c r="X202" s="28">
        <f>IF(E202="","",COUNTIFS(tbl_Finance[Job Number],E202&amp;"",tbl_Finance[Ex GST],"&lt;&gt;"))</f>
        <v/>
      </c>
      <c r="Y202" s="27">
        <f>IF(E202="","",SUMIFS(tbl_Finance[Ex GST],tbl_Finance[Job Number],E202&amp;""))</f>
        <v/>
      </c>
      <c r="Z202" s="27">
        <f>IF(E202="","",SUMIFS(tbl_Finance[Ex GST],tbl_Finance[Job Number],E202&amp;"",tbl_Finance[Xero Invoice No],"&lt;&gt;"))</f>
        <v/>
      </c>
      <c r="AA202" s="27">
        <f>IF(E202="","",Y202-Z202)</f>
        <v/>
      </c>
      <c r="AB202" s="25">
        <f>IF(E202="","",IF(H202="Onsite",IFERROR(INDEX(tbl_Onsite[Qwilr Quote],MATCH(E202&amp;"",tbl_Onsite[Job Number],0)),""),IF(H202="Production",IFERROR(INDEX(tbl_Production[Current RMS No],MATCH(E202&amp;"",tbl_Production[Job Number],0)),""),IF(H202="Consulting",IFERROR(INDEX(tbl_Consulting[Qwilr Quote],MATCH(E202&amp;"",tbl_Consulting[Job Number],0)),""),""))))</f>
        <v/>
      </c>
      <c r="AC202" s="25">
        <f>IF(AB202="","",IF(AND(LEFT(AB202,4)&lt;&gt;"http",IF(H202="Production",set_RMSBase,set_QwilrBase)=""),"",HYPERLINK(IF(LEFT(AB202,4)="http",AB202,IF(H202="Production",set_RMSBase,set_QwilrBase)&amp;AB202),"Open")))</f>
        <v/>
      </c>
      <c r="AD202" s="27">
        <f>IF(E202="","",IF(H202="Production",IFERROR(INDEX(tbl_Production[Total Expense],MATCH(E202&amp;"",tbl_Production[Job Number],0)),0),IF(H202="Consulting",IFERROR(INDEX(tbl_Consulting[Total Expense],MATCH(E202&amp;"",tbl_Consulting[Job Number],0)),0),0)))</f>
        <v/>
      </c>
      <c r="AE202" s="27">
        <f>IF(E202="","",Y202-N(AD202))</f>
        <v/>
      </c>
      <c r="AF202" s="29">
        <f>IFERROR(AE202/Y202,"")</f>
        <v/>
      </c>
      <c r="AG202" s="25">
        <f>IF(E202="","",IF(H202="Onsite",IFERROR(INDEX(tbl_Onsite[Notes],MATCH(E202&amp;"",tbl_Onsite[Job Number],0)),""),IF(H202="Production",IFERROR(INDEX(tbl_Production[Notes],MATCH(E202&amp;"",tbl_Production[Job Number],0)),""),IF(H202="Consulting",IFERROR(INDEX(tbl_Consulting[Notes],MATCH(E202&amp;"",tbl_Consulting[Job Number],0)),""),""))))</f>
        <v/>
      </c>
    </row>
    <row r="203" ht="15" customHeight="1">
      <c r="A203" s="22" t="n"/>
      <c r="B203" s="23">
        <f>IF(A203="","",EOMONTH(A203,0))</f>
        <v/>
      </c>
      <c r="C203" s="24" t="n"/>
      <c r="D203" s="24" t="n"/>
      <c r="E203" s="24" t="n"/>
      <c r="F203" s="25">
        <f>IF(E203="","",IF(COUNTIF(lst_Jobs,E203&amp;"")&gt;0,"OK","CHECK"))</f>
        <v/>
      </c>
      <c r="G203" s="24" t="n"/>
      <c r="H203" s="24" t="n"/>
      <c r="I203" s="24" t="n"/>
      <c r="J203" s="24" t="n"/>
      <c r="K203" s="24" t="n"/>
      <c r="L203" s="26" t="n"/>
      <c r="M203" s="27">
        <f>IF(L203="","",IF(K203="GST 10%",ROUND(L203*set_GSTRate,2),0))</f>
        <v/>
      </c>
      <c r="N203" s="27">
        <f>IF(L203="","",L203+M203)</f>
        <v/>
      </c>
      <c r="O203" s="24" t="n"/>
      <c r="P203" s="24" t="n"/>
      <c r="Q203" s="24" t="n"/>
      <c r="R203" s="22" t="n"/>
      <c r="S203" s="22" t="n"/>
      <c r="T203" s="24" t="n"/>
      <c r="U203" s="24" t="n"/>
      <c r="V203" s="25">
        <f>IF(COUNTA(A203,D203,C203,L203)=0,"",IF(A203="","No date - sits outside every month",IF(E203="","No job number",IF(F203="CHECK","Job number is not in the Xero job list",IF(I203="","No cost centre",IF(AND(P203="Y",C203=""),"Marked posted to Xero but has no invoice number",IF(AND(L203&lt;&gt;"",K203=""),"No tax code",IF(AND(L203&lt;&gt;"",O203=""),"No revenue GL code",""))))))))</f>
        <v/>
      </c>
      <c r="W203" s="25">
        <f>IF(E203="","",IFERROR(INDEX(lst_JobName,MATCH(E203&amp;"",lst_Jobs,0)),""))</f>
        <v/>
      </c>
      <c r="X203" s="28">
        <f>IF(E203="","",COUNTIFS(tbl_Finance[Job Number],E203&amp;"",tbl_Finance[Ex GST],"&lt;&gt;"))</f>
        <v/>
      </c>
      <c r="Y203" s="27">
        <f>IF(E203="","",SUMIFS(tbl_Finance[Ex GST],tbl_Finance[Job Number],E203&amp;""))</f>
        <v/>
      </c>
      <c r="Z203" s="27">
        <f>IF(E203="","",SUMIFS(tbl_Finance[Ex GST],tbl_Finance[Job Number],E203&amp;"",tbl_Finance[Xero Invoice No],"&lt;&gt;"))</f>
        <v/>
      </c>
      <c r="AA203" s="27">
        <f>IF(E203="","",Y203-Z203)</f>
        <v/>
      </c>
      <c r="AB203" s="25">
        <f>IF(E203="","",IF(H203="Onsite",IFERROR(INDEX(tbl_Onsite[Qwilr Quote],MATCH(E203&amp;"",tbl_Onsite[Job Number],0)),""),IF(H203="Production",IFERROR(INDEX(tbl_Production[Current RMS No],MATCH(E203&amp;"",tbl_Production[Job Number],0)),""),IF(H203="Consulting",IFERROR(INDEX(tbl_Consulting[Qwilr Quote],MATCH(E203&amp;"",tbl_Consulting[Job Number],0)),""),""))))</f>
        <v/>
      </c>
      <c r="AC203" s="25">
        <f>IF(AB203="","",IF(AND(LEFT(AB203,4)&lt;&gt;"http",IF(H203="Production",set_RMSBase,set_QwilrBase)=""),"",HYPERLINK(IF(LEFT(AB203,4)="http",AB203,IF(H203="Production",set_RMSBase,set_QwilrBase)&amp;AB203),"Open")))</f>
        <v/>
      </c>
      <c r="AD203" s="27">
        <f>IF(E203="","",IF(H203="Production",IFERROR(INDEX(tbl_Production[Total Expense],MATCH(E203&amp;"",tbl_Production[Job Number],0)),0),IF(H203="Consulting",IFERROR(INDEX(tbl_Consulting[Total Expense],MATCH(E203&amp;"",tbl_Consulting[Job Number],0)),0),0)))</f>
        <v/>
      </c>
      <c r="AE203" s="27">
        <f>IF(E203="","",Y203-N(AD203))</f>
        <v/>
      </c>
      <c r="AF203" s="29">
        <f>IFERROR(AE203/Y203,"")</f>
        <v/>
      </c>
      <c r="AG203" s="25">
        <f>IF(E203="","",IF(H203="Onsite",IFERROR(INDEX(tbl_Onsite[Notes],MATCH(E203&amp;"",tbl_Onsite[Job Number],0)),""),IF(H203="Production",IFERROR(INDEX(tbl_Production[Notes],MATCH(E203&amp;"",tbl_Production[Job Number],0)),""),IF(H203="Consulting",IFERROR(INDEX(tbl_Consulting[Notes],MATCH(E203&amp;"",tbl_Consulting[Job Number],0)),""),""))))</f>
        <v/>
      </c>
    </row>
    <row r="204" ht="15" customHeight="1">
      <c r="A204" s="22" t="n"/>
      <c r="B204" s="23">
        <f>IF(A204="","",EOMONTH(A204,0))</f>
        <v/>
      </c>
      <c r="C204" s="24" t="n"/>
      <c r="D204" s="24" t="n"/>
      <c r="E204" s="24" t="n"/>
      <c r="F204" s="25">
        <f>IF(E204="","",IF(COUNTIF(lst_Jobs,E204&amp;"")&gt;0,"OK","CHECK"))</f>
        <v/>
      </c>
      <c r="G204" s="24" t="n"/>
      <c r="H204" s="24" t="n"/>
      <c r="I204" s="24" t="n"/>
      <c r="J204" s="24" t="n"/>
      <c r="K204" s="24" t="n"/>
      <c r="L204" s="26" t="n"/>
      <c r="M204" s="27">
        <f>IF(L204="","",IF(K204="GST 10%",ROUND(L204*set_GSTRate,2),0))</f>
        <v/>
      </c>
      <c r="N204" s="27">
        <f>IF(L204="","",L204+M204)</f>
        <v/>
      </c>
      <c r="O204" s="24" t="n"/>
      <c r="P204" s="24" t="n"/>
      <c r="Q204" s="24" t="n"/>
      <c r="R204" s="22" t="n"/>
      <c r="S204" s="22" t="n"/>
      <c r="T204" s="24" t="n"/>
      <c r="U204" s="24" t="n"/>
      <c r="V204" s="25">
        <f>IF(COUNTA(A204,D204,C204,L204)=0,"",IF(A204="","No date - sits outside every month",IF(E204="","No job number",IF(F204="CHECK","Job number is not in the Xero job list",IF(I204="","No cost centre",IF(AND(P204="Y",C204=""),"Marked posted to Xero but has no invoice number",IF(AND(L204&lt;&gt;"",K204=""),"No tax code",IF(AND(L204&lt;&gt;"",O204=""),"No revenue GL code",""))))))))</f>
        <v/>
      </c>
      <c r="W204" s="25">
        <f>IF(E204="","",IFERROR(INDEX(lst_JobName,MATCH(E204&amp;"",lst_Jobs,0)),""))</f>
        <v/>
      </c>
      <c r="X204" s="28">
        <f>IF(E204="","",COUNTIFS(tbl_Finance[Job Number],E204&amp;"",tbl_Finance[Ex GST],"&lt;&gt;"))</f>
        <v/>
      </c>
      <c r="Y204" s="27">
        <f>IF(E204="","",SUMIFS(tbl_Finance[Ex GST],tbl_Finance[Job Number],E204&amp;""))</f>
        <v/>
      </c>
      <c r="Z204" s="27">
        <f>IF(E204="","",SUMIFS(tbl_Finance[Ex GST],tbl_Finance[Job Number],E204&amp;"",tbl_Finance[Xero Invoice No],"&lt;&gt;"))</f>
        <v/>
      </c>
      <c r="AA204" s="27">
        <f>IF(E204="","",Y204-Z204)</f>
        <v/>
      </c>
      <c r="AB204" s="25">
        <f>IF(E204="","",IF(H204="Onsite",IFERROR(INDEX(tbl_Onsite[Qwilr Quote],MATCH(E204&amp;"",tbl_Onsite[Job Number],0)),""),IF(H204="Production",IFERROR(INDEX(tbl_Production[Current RMS No],MATCH(E204&amp;"",tbl_Production[Job Number],0)),""),IF(H204="Consulting",IFERROR(INDEX(tbl_Consulting[Qwilr Quote],MATCH(E204&amp;"",tbl_Consulting[Job Number],0)),""),""))))</f>
        <v/>
      </c>
      <c r="AC204" s="25">
        <f>IF(AB204="","",IF(AND(LEFT(AB204,4)&lt;&gt;"http",IF(H204="Production",set_RMSBase,set_QwilrBase)=""),"",HYPERLINK(IF(LEFT(AB204,4)="http",AB204,IF(H204="Production",set_RMSBase,set_QwilrBase)&amp;AB204),"Open")))</f>
        <v/>
      </c>
      <c r="AD204" s="27">
        <f>IF(E204="","",IF(H204="Production",IFERROR(INDEX(tbl_Production[Total Expense],MATCH(E204&amp;"",tbl_Production[Job Number],0)),0),IF(H204="Consulting",IFERROR(INDEX(tbl_Consulting[Total Expense],MATCH(E204&amp;"",tbl_Consulting[Job Number],0)),0),0)))</f>
        <v/>
      </c>
      <c r="AE204" s="27">
        <f>IF(E204="","",Y204-N(AD204))</f>
        <v/>
      </c>
      <c r="AF204" s="29">
        <f>IFERROR(AE204/Y204,"")</f>
        <v/>
      </c>
      <c r="AG204" s="25">
        <f>IF(E204="","",IF(H204="Onsite",IFERROR(INDEX(tbl_Onsite[Notes],MATCH(E204&amp;"",tbl_Onsite[Job Number],0)),""),IF(H204="Production",IFERROR(INDEX(tbl_Production[Notes],MATCH(E204&amp;"",tbl_Production[Job Number],0)),""),IF(H204="Consulting",IFERROR(INDEX(tbl_Consulting[Notes],MATCH(E204&amp;"",tbl_Consulting[Job Number],0)),""),""))))</f>
        <v/>
      </c>
    </row>
    <row r="205" ht="15" customHeight="1">
      <c r="A205" s="22" t="n"/>
      <c r="B205" s="23">
        <f>IF(A205="","",EOMONTH(A205,0))</f>
        <v/>
      </c>
      <c r="C205" s="24" t="n"/>
      <c r="D205" s="24" t="n"/>
      <c r="E205" s="24" t="n"/>
      <c r="F205" s="25">
        <f>IF(E205="","",IF(COUNTIF(lst_Jobs,E205&amp;"")&gt;0,"OK","CHECK"))</f>
        <v/>
      </c>
      <c r="G205" s="24" t="n"/>
      <c r="H205" s="24" t="n"/>
      <c r="I205" s="24" t="n"/>
      <c r="J205" s="24" t="n"/>
      <c r="K205" s="24" t="n"/>
      <c r="L205" s="26" t="n"/>
      <c r="M205" s="27">
        <f>IF(L205="","",IF(K205="GST 10%",ROUND(L205*set_GSTRate,2),0))</f>
        <v/>
      </c>
      <c r="N205" s="27">
        <f>IF(L205="","",L205+M205)</f>
        <v/>
      </c>
      <c r="O205" s="24" t="n"/>
      <c r="P205" s="24" t="n"/>
      <c r="Q205" s="24" t="n"/>
      <c r="R205" s="22" t="n"/>
      <c r="S205" s="22" t="n"/>
      <c r="T205" s="24" t="n"/>
      <c r="U205" s="24" t="n"/>
      <c r="V205" s="25">
        <f>IF(COUNTA(A205,D205,C205,L205)=0,"",IF(A205="","No date - sits outside every month",IF(E205="","No job number",IF(F205="CHECK","Job number is not in the Xero job list",IF(I205="","No cost centre",IF(AND(P205="Y",C205=""),"Marked posted to Xero but has no invoice number",IF(AND(L205&lt;&gt;"",K205=""),"No tax code",IF(AND(L205&lt;&gt;"",O205=""),"No revenue GL code",""))))))))</f>
        <v/>
      </c>
      <c r="W205" s="25">
        <f>IF(E205="","",IFERROR(INDEX(lst_JobName,MATCH(E205&amp;"",lst_Jobs,0)),""))</f>
        <v/>
      </c>
      <c r="X205" s="28">
        <f>IF(E205="","",COUNTIFS(tbl_Finance[Job Number],E205&amp;"",tbl_Finance[Ex GST],"&lt;&gt;"))</f>
        <v/>
      </c>
      <c r="Y205" s="27">
        <f>IF(E205="","",SUMIFS(tbl_Finance[Ex GST],tbl_Finance[Job Number],E205&amp;""))</f>
        <v/>
      </c>
      <c r="Z205" s="27">
        <f>IF(E205="","",SUMIFS(tbl_Finance[Ex GST],tbl_Finance[Job Number],E205&amp;"",tbl_Finance[Xero Invoice No],"&lt;&gt;"))</f>
        <v/>
      </c>
      <c r="AA205" s="27">
        <f>IF(E205="","",Y205-Z205)</f>
        <v/>
      </c>
      <c r="AB205" s="25">
        <f>IF(E205="","",IF(H205="Onsite",IFERROR(INDEX(tbl_Onsite[Qwilr Quote],MATCH(E205&amp;"",tbl_Onsite[Job Number],0)),""),IF(H205="Production",IFERROR(INDEX(tbl_Production[Current RMS No],MATCH(E205&amp;"",tbl_Production[Job Number],0)),""),IF(H205="Consulting",IFERROR(INDEX(tbl_Consulting[Qwilr Quote],MATCH(E205&amp;"",tbl_Consulting[Job Number],0)),""),""))))</f>
        <v/>
      </c>
      <c r="AC205" s="25">
        <f>IF(AB205="","",IF(AND(LEFT(AB205,4)&lt;&gt;"http",IF(H205="Production",set_RMSBase,set_QwilrBase)=""),"",HYPERLINK(IF(LEFT(AB205,4)="http",AB205,IF(H205="Production",set_RMSBase,set_QwilrBase)&amp;AB205),"Open")))</f>
        <v/>
      </c>
      <c r="AD205" s="27">
        <f>IF(E205="","",IF(H205="Production",IFERROR(INDEX(tbl_Production[Total Expense],MATCH(E205&amp;"",tbl_Production[Job Number],0)),0),IF(H205="Consulting",IFERROR(INDEX(tbl_Consulting[Total Expense],MATCH(E205&amp;"",tbl_Consulting[Job Number],0)),0),0)))</f>
        <v/>
      </c>
      <c r="AE205" s="27">
        <f>IF(E205="","",Y205-N(AD205))</f>
        <v/>
      </c>
      <c r="AF205" s="29">
        <f>IFERROR(AE205/Y205,"")</f>
        <v/>
      </c>
      <c r="AG205" s="25">
        <f>IF(E205="","",IF(H205="Onsite",IFERROR(INDEX(tbl_Onsite[Notes],MATCH(E205&amp;"",tbl_Onsite[Job Number],0)),""),IF(H205="Production",IFERROR(INDEX(tbl_Production[Notes],MATCH(E205&amp;"",tbl_Production[Job Number],0)),""),IF(H205="Consulting",IFERROR(INDEX(tbl_Consulting[Notes],MATCH(E205&amp;"",tbl_Consulting[Job Number],0)),""),""))))</f>
        <v/>
      </c>
    </row>
    <row r="206" ht="15" customHeight="1">
      <c r="A206" s="22" t="n"/>
      <c r="B206" s="23">
        <f>IF(A206="","",EOMONTH(A206,0))</f>
        <v/>
      </c>
      <c r="C206" s="24" t="n"/>
      <c r="D206" s="24" t="n"/>
      <c r="E206" s="24" t="n"/>
      <c r="F206" s="25">
        <f>IF(E206="","",IF(COUNTIF(lst_Jobs,E206&amp;"")&gt;0,"OK","CHECK"))</f>
        <v/>
      </c>
      <c r="G206" s="24" t="n"/>
      <c r="H206" s="24" t="n"/>
      <c r="I206" s="24" t="n"/>
      <c r="J206" s="24" t="n"/>
      <c r="K206" s="24" t="n"/>
      <c r="L206" s="26" t="n"/>
      <c r="M206" s="27">
        <f>IF(L206="","",IF(K206="GST 10%",ROUND(L206*set_GSTRate,2),0))</f>
        <v/>
      </c>
      <c r="N206" s="27">
        <f>IF(L206="","",L206+M206)</f>
        <v/>
      </c>
      <c r="O206" s="24" t="n"/>
      <c r="P206" s="24" t="n"/>
      <c r="Q206" s="24" t="n"/>
      <c r="R206" s="22" t="n"/>
      <c r="S206" s="22" t="n"/>
      <c r="T206" s="24" t="n"/>
      <c r="U206" s="24" t="n"/>
      <c r="V206" s="25">
        <f>IF(COUNTA(A206,D206,C206,L206)=0,"",IF(A206="","No date - sits outside every month",IF(E206="","No job number",IF(F206="CHECK","Job number is not in the Xero job list",IF(I206="","No cost centre",IF(AND(P206="Y",C206=""),"Marked posted to Xero but has no invoice number",IF(AND(L206&lt;&gt;"",K206=""),"No tax code",IF(AND(L206&lt;&gt;"",O206=""),"No revenue GL code",""))))))))</f>
        <v/>
      </c>
      <c r="W206" s="25">
        <f>IF(E206="","",IFERROR(INDEX(lst_JobName,MATCH(E206&amp;"",lst_Jobs,0)),""))</f>
        <v/>
      </c>
      <c r="X206" s="28">
        <f>IF(E206="","",COUNTIFS(tbl_Finance[Job Number],E206&amp;"",tbl_Finance[Ex GST],"&lt;&gt;"))</f>
        <v/>
      </c>
      <c r="Y206" s="27">
        <f>IF(E206="","",SUMIFS(tbl_Finance[Ex GST],tbl_Finance[Job Number],E206&amp;""))</f>
        <v/>
      </c>
      <c r="Z206" s="27">
        <f>IF(E206="","",SUMIFS(tbl_Finance[Ex GST],tbl_Finance[Job Number],E206&amp;"",tbl_Finance[Xero Invoice No],"&lt;&gt;"))</f>
        <v/>
      </c>
      <c r="AA206" s="27">
        <f>IF(E206="","",Y206-Z206)</f>
        <v/>
      </c>
      <c r="AB206" s="25">
        <f>IF(E206="","",IF(H206="Onsite",IFERROR(INDEX(tbl_Onsite[Qwilr Quote],MATCH(E206&amp;"",tbl_Onsite[Job Number],0)),""),IF(H206="Production",IFERROR(INDEX(tbl_Production[Current RMS No],MATCH(E206&amp;"",tbl_Production[Job Number],0)),""),IF(H206="Consulting",IFERROR(INDEX(tbl_Consulting[Qwilr Quote],MATCH(E206&amp;"",tbl_Consulting[Job Number],0)),""),""))))</f>
        <v/>
      </c>
      <c r="AC206" s="25">
        <f>IF(AB206="","",IF(AND(LEFT(AB206,4)&lt;&gt;"http",IF(H206="Production",set_RMSBase,set_QwilrBase)=""),"",HYPERLINK(IF(LEFT(AB206,4)="http",AB206,IF(H206="Production",set_RMSBase,set_QwilrBase)&amp;AB206),"Open")))</f>
        <v/>
      </c>
      <c r="AD206" s="27">
        <f>IF(E206="","",IF(H206="Production",IFERROR(INDEX(tbl_Production[Total Expense],MATCH(E206&amp;"",tbl_Production[Job Number],0)),0),IF(H206="Consulting",IFERROR(INDEX(tbl_Consulting[Total Expense],MATCH(E206&amp;"",tbl_Consulting[Job Number],0)),0),0)))</f>
        <v/>
      </c>
      <c r="AE206" s="27">
        <f>IF(E206="","",Y206-N(AD206))</f>
        <v/>
      </c>
      <c r="AF206" s="29">
        <f>IFERROR(AE206/Y206,"")</f>
        <v/>
      </c>
      <c r="AG206" s="25">
        <f>IF(E206="","",IF(H206="Onsite",IFERROR(INDEX(tbl_Onsite[Notes],MATCH(E206&amp;"",tbl_Onsite[Job Number],0)),""),IF(H206="Production",IFERROR(INDEX(tbl_Production[Notes],MATCH(E206&amp;"",tbl_Production[Job Number],0)),""),IF(H206="Consulting",IFERROR(INDEX(tbl_Consulting[Notes],MATCH(E206&amp;"",tbl_Consulting[Job Number],0)),""),""))))</f>
        <v/>
      </c>
    </row>
    <row r="207" ht="15" customHeight="1">
      <c r="A207" s="22" t="n"/>
      <c r="B207" s="23">
        <f>IF(A207="","",EOMONTH(A207,0))</f>
        <v/>
      </c>
      <c r="C207" s="24" t="n"/>
      <c r="D207" s="24" t="n"/>
      <c r="E207" s="24" t="n"/>
      <c r="F207" s="25">
        <f>IF(E207="","",IF(COUNTIF(lst_Jobs,E207&amp;"")&gt;0,"OK","CHECK"))</f>
        <v/>
      </c>
      <c r="G207" s="24" t="n"/>
      <c r="H207" s="24" t="n"/>
      <c r="I207" s="24" t="n"/>
      <c r="J207" s="24" t="n"/>
      <c r="K207" s="24" t="n"/>
      <c r="L207" s="26" t="n"/>
      <c r="M207" s="27">
        <f>IF(L207="","",IF(K207="GST 10%",ROUND(L207*set_GSTRate,2),0))</f>
        <v/>
      </c>
      <c r="N207" s="27">
        <f>IF(L207="","",L207+M207)</f>
        <v/>
      </c>
      <c r="O207" s="24" t="n"/>
      <c r="P207" s="24" t="n"/>
      <c r="Q207" s="24" t="n"/>
      <c r="R207" s="22" t="n"/>
      <c r="S207" s="22" t="n"/>
      <c r="T207" s="24" t="n"/>
      <c r="U207" s="24" t="n"/>
      <c r="V207" s="25">
        <f>IF(COUNTA(A207,D207,C207,L207)=0,"",IF(A207="","No date - sits outside every month",IF(E207="","No job number",IF(F207="CHECK","Job number is not in the Xero job list",IF(I207="","No cost centre",IF(AND(P207="Y",C207=""),"Marked posted to Xero but has no invoice number",IF(AND(L207&lt;&gt;"",K207=""),"No tax code",IF(AND(L207&lt;&gt;"",O207=""),"No revenue GL code",""))))))))</f>
        <v/>
      </c>
      <c r="W207" s="25">
        <f>IF(E207="","",IFERROR(INDEX(lst_JobName,MATCH(E207&amp;"",lst_Jobs,0)),""))</f>
        <v/>
      </c>
      <c r="X207" s="28">
        <f>IF(E207="","",COUNTIFS(tbl_Finance[Job Number],E207&amp;"",tbl_Finance[Ex GST],"&lt;&gt;"))</f>
        <v/>
      </c>
      <c r="Y207" s="27">
        <f>IF(E207="","",SUMIFS(tbl_Finance[Ex GST],tbl_Finance[Job Number],E207&amp;""))</f>
        <v/>
      </c>
      <c r="Z207" s="27">
        <f>IF(E207="","",SUMIFS(tbl_Finance[Ex GST],tbl_Finance[Job Number],E207&amp;"",tbl_Finance[Xero Invoice No],"&lt;&gt;"))</f>
        <v/>
      </c>
      <c r="AA207" s="27">
        <f>IF(E207="","",Y207-Z207)</f>
        <v/>
      </c>
      <c r="AB207" s="25">
        <f>IF(E207="","",IF(H207="Onsite",IFERROR(INDEX(tbl_Onsite[Qwilr Quote],MATCH(E207&amp;"",tbl_Onsite[Job Number],0)),""),IF(H207="Production",IFERROR(INDEX(tbl_Production[Current RMS No],MATCH(E207&amp;"",tbl_Production[Job Number],0)),""),IF(H207="Consulting",IFERROR(INDEX(tbl_Consulting[Qwilr Quote],MATCH(E207&amp;"",tbl_Consulting[Job Number],0)),""),""))))</f>
        <v/>
      </c>
      <c r="AC207" s="25">
        <f>IF(AB207="","",IF(AND(LEFT(AB207,4)&lt;&gt;"http",IF(H207="Production",set_RMSBase,set_QwilrBase)=""),"",HYPERLINK(IF(LEFT(AB207,4)="http",AB207,IF(H207="Production",set_RMSBase,set_QwilrBase)&amp;AB207),"Open")))</f>
        <v/>
      </c>
      <c r="AD207" s="27">
        <f>IF(E207="","",IF(H207="Production",IFERROR(INDEX(tbl_Production[Total Expense],MATCH(E207&amp;"",tbl_Production[Job Number],0)),0),IF(H207="Consulting",IFERROR(INDEX(tbl_Consulting[Total Expense],MATCH(E207&amp;"",tbl_Consulting[Job Number],0)),0),0)))</f>
        <v/>
      </c>
      <c r="AE207" s="27">
        <f>IF(E207="","",Y207-N(AD207))</f>
        <v/>
      </c>
      <c r="AF207" s="29">
        <f>IFERROR(AE207/Y207,"")</f>
        <v/>
      </c>
      <c r="AG207" s="25">
        <f>IF(E207="","",IF(H207="Onsite",IFERROR(INDEX(tbl_Onsite[Notes],MATCH(E207&amp;"",tbl_Onsite[Job Number],0)),""),IF(H207="Production",IFERROR(INDEX(tbl_Production[Notes],MATCH(E207&amp;"",tbl_Production[Job Number],0)),""),IF(H207="Consulting",IFERROR(INDEX(tbl_Consulting[Notes],MATCH(E207&amp;"",tbl_Consulting[Job Number],0)),""),""))))</f>
        <v/>
      </c>
    </row>
    <row r="208" ht="15" customHeight="1">
      <c r="A208" s="22" t="n"/>
      <c r="B208" s="23">
        <f>IF(A208="","",EOMONTH(A208,0))</f>
        <v/>
      </c>
      <c r="C208" s="24" t="n"/>
      <c r="D208" s="24" t="n"/>
      <c r="E208" s="24" t="n"/>
      <c r="F208" s="25">
        <f>IF(E208="","",IF(COUNTIF(lst_Jobs,E208&amp;"")&gt;0,"OK","CHECK"))</f>
        <v/>
      </c>
      <c r="G208" s="24" t="n"/>
      <c r="H208" s="24" t="n"/>
      <c r="I208" s="24" t="n"/>
      <c r="J208" s="24" t="n"/>
      <c r="K208" s="24" t="n"/>
      <c r="L208" s="26" t="n"/>
      <c r="M208" s="27">
        <f>IF(L208="","",IF(K208="GST 10%",ROUND(L208*set_GSTRate,2),0))</f>
        <v/>
      </c>
      <c r="N208" s="27">
        <f>IF(L208="","",L208+M208)</f>
        <v/>
      </c>
      <c r="O208" s="24" t="n"/>
      <c r="P208" s="24" t="n"/>
      <c r="Q208" s="24" t="n"/>
      <c r="R208" s="22" t="n"/>
      <c r="S208" s="22" t="n"/>
      <c r="T208" s="24" t="n"/>
      <c r="U208" s="24" t="n"/>
      <c r="V208" s="25">
        <f>IF(COUNTA(A208,D208,C208,L208)=0,"",IF(A208="","No date - sits outside every month",IF(E208="","No job number",IF(F208="CHECK","Job number is not in the Xero job list",IF(I208="","No cost centre",IF(AND(P208="Y",C208=""),"Marked posted to Xero but has no invoice number",IF(AND(L208&lt;&gt;"",K208=""),"No tax code",IF(AND(L208&lt;&gt;"",O208=""),"No revenue GL code",""))))))))</f>
        <v/>
      </c>
      <c r="W208" s="25">
        <f>IF(E208="","",IFERROR(INDEX(lst_JobName,MATCH(E208&amp;"",lst_Jobs,0)),""))</f>
        <v/>
      </c>
      <c r="X208" s="28">
        <f>IF(E208="","",COUNTIFS(tbl_Finance[Job Number],E208&amp;"",tbl_Finance[Ex GST],"&lt;&gt;"))</f>
        <v/>
      </c>
      <c r="Y208" s="27">
        <f>IF(E208="","",SUMIFS(tbl_Finance[Ex GST],tbl_Finance[Job Number],E208&amp;""))</f>
        <v/>
      </c>
      <c r="Z208" s="27">
        <f>IF(E208="","",SUMIFS(tbl_Finance[Ex GST],tbl_Finance[Job Number],E208&amp;"",tbl_Finance[Xero Invoice No],"&lt;&gt;"))</f>
        <v/>
      </c>
      <c r="AA208" s="27">
        <f>IF(E208="","",Y208-Z208)</f>
        <v/>
      </c>
      <c r="AB208" s="25">
        <f>IF(E208="","",IF(H208="Onsite",IFERROR(INDEX(tbl_Onsite[Qwilr Quote],MATCH(E208&amp;"",tbl_Onsite[Job Number],0)),""),IF(H208="Production",IFERROR(INDEX(tbl_Production[Current RMS No],MATCH(E208&amp;"",tbl_Production[Job Number],0)),""),IF(H208="Consulting",IFERROR(INDEX(tbl_Consulting[Qwilr Quote],MATCH(E208&amp;"",tbl_Consulting[Job Number],0)),""),""))))</f>
        <v/>
      </c>
      <c r="AC208" s="25">
        <f>IF(AB208="","",IF(AND(LEFT(AB208,4)&lt;&gt;"http",IF(H208="Production",set_RMSBase,set_QwilrBase)=""),"",HYPERLINK(IF(LEFT(AB208,4)="http",AB208,IF(H208="Production",set_RMSBase,set_QwilrBase)&amp;AB208),"Open")))</f>
        <v/>
      </c>
      <c r="AD208" s="27">
        <f>IF(E208="","",IF(H208="Production",IFERROR(INDEX(tbl_Production[Total Expense],MATCH(E208&amp;"",tbl_Production[Job Number],0)),0),IF(H208="Consulting",IFERROR(INDEX(tbl_Consulting[Total Expense],MATCH(E208&amp;"",tbl_Consulting[Job Number],0)),0),0)))</f>
        <v/>
      </c>
      <c r="AE208" s="27">
        <f>IF(E208="","",Y208-N(AD208))</f>
        <v/>
      </c>
      <c r="AF208" s="29">
        <f>IFERROR(AE208/Y208,"")</f>
        <v/>
      </c>
      <c r="AG208" s="25">
        <f>IF(E208="","",IF(H208="Onsite",IFERROR(INDEX(tbl_Onsite[Notes],MATCH(E208&amp;"",tbl_Onsite[Job Number],0)),""),IF(H208="Production",IFERROR(INDEX(tbl_Production[Notes],MATCH(E208&amp;"",tbl_Production[Job Number],0)),""),IF(H208="Consulting",IFERROR(INDEX(tbl_Consulting[Notes],MATCH(E208&amp;"",tbl_Consulting[Job Number],0)),""),""))))</f>
        <v/>
      </c>
    </row>
    <row r="209" ht="15" customHeight="1">
      <c r="A209" s="22" t="n"/>
      <c r="B209" s="23">
        <f>IF(A209="","",EOMONTH(A209,0))</f>
        <v/>
      </c>
      <c r="C209" s="24" t="n"/>
      <c r="D209" s="24" t="n"/>
      <c r="E209" s="24" t="n"/>
      <c r="F209" s="25">
        <f>IF(E209="","",IF(COUNTIF(lst_Jobs,E209&amp;"")&gt;0,"OK","CHECK"))</f>
        <v/>
      </c>
      <c r="G209" s="24" t="n"/>
      <c r="H209" s="24" t="n"/>
      <c r="I209" s="24" t="n"/>
      <c r="J209" s="24" t="n"/>
      <c r="K209" s="24" t="n"/>
      <c r="L209" s="26" t="n"/>
      <c r="M209" s="27">
        <f>IF(L209="","",IF(K209="GST 10%",ROUND(L209*set_GSTRate,2),0))</f>
        <v/>
      </c>
      <c r="N209" s="27">
        <f>IF(L209="","",L209+M209)</f>
        <v/>
      </c>
      <c r="O209" s="24" t="n"/>
      <c r="P209" s="24" t="n"/>
      <c r="Q209" s="24" t="n"/>
      <c r="R209" s="22" t="n"/>
      <c r="S209" s="22" t="n"/>
      <c r="T209" s="24" t="n"/>
      <c r="U209" s="24" t="n"/>
      <c r="V209" s="25">
        <f>IF(COUNTA(A209,D209,C209,L209)=0,"",IF(A209="","No date - sits outside every month",IF(E209="","No job number",IF(F209="CHECK","Job number is not in the Xero job list",IF(I209="","No cost centre",IF(AND(P209="Y",C209=""),"Marked posted to Xero but has no invoice number",IF(AND(L209&lt;&gt;"",K209=""),"No tax code",IF(AND(L209&lt;&gt;"",O209=""),"No revenue GL code",""))))))))</f>
        <v/>
      </c>
      <c r="W209" s="25">
        <f>IF(E209="","",IFERROR(INDEX(lst_JobName,MATCH(E209&amp;"",lst_Jobs,0)),""))</f>
        <v/>
      </c>
      <c r="X209" s="28">
        <f>IF(E209="","",COUNTIFS(tbl_Finance[Job Number],E209&amp;"",tbl_Finance[Ex GST],"&lt;&gt;"))</f>
        <v/>
      </c>
      <c r="Y209" s="27">
        <f>IF(E209="","",SUMIFS(tbl_Finance[Ex GST],tbl_Finance[Job Number],E209&amp;""))</f>
        <v/>
      </c>
      <c r="Z209" s="27">
        <f>IF(E209="","",SUMIFS(tbl_Finance[Ex GST],tbl_Finance[Job Number],E209&amp;"",tbl_Finance[Xero Invoice No],"&lt;&gt;"))</f>
        <v/>
      </c>
      <c r="AA209" s="27">
        <f>IF(E209="","",Y209-Z209)</f>
        <v/>
      </c>
      <c r="AB209" s="25">
        <f>IF(E209="","",IF(H209="Onsite",IFERROR(INDEX(tbl_Onsite[Qwilr Quote],MATCH(E209&amp;"",tbl_Onsite[Job Number],0)),""),IF(H209="Production",IFERROR(INDEX(tbl_Production[Current RMS No],MATCH(E209&amp;"",tbl_Production[Job Number],0)),""),IF(H209="Consulting",IFERROR(INDEX(tbl_Consulting[Qwilr Quote],MATCH(E209&amp;"",tbl_Consulting[Job Number],0)),""),""))))</f>
        <v/>
      </c>
      <c r="AC209" s="25">
        <f>IF(AB209="","",IF(AND(LEFT(AB209,4)&lt;&gt;"http",IF(H209="Production",set_RMSBase,set_QwilrBase)=""),"",HYPERLINK(IF(LEFT(AB209,4)="http",AB209,IF(H209="Production",set_RMSBase,set_QwilrBase)&amp;AB209),"Open")))</f>
        <v/>
      </c>
      <c r="AD209" s="27">
        <f>IF(E209="","",IF(H209="Production",IFERROR(INDEX(tbl_Production[Total Expense],MATCH(E209&amp;"",tbl_Production[Job Number],0)),0),IF(H209="Consulting",IFERROR(INDEX(tbl_Consulting[Total Expense],MATCH(E209&amp;"",tbl_Consulting[Job Number],0)),0),0)))</f>
        <v/>
      </c>
      <c r="AE209" s="27">
        <f>IF(E209="","",Y209-N(AD209))</f>
        <v/>
      </c>
      <c r="AF209" s="29">
        <f>IFERROR(AE209/Y209,"")</f>
        <v/>
      </c>
      <c r="AG209" s="25">
        <f>IF(E209="","",IF(H209="Onsite",IFERROR(INDEX(tbl_Onsite[Notes],MATCH(E209&amp;"",tbl_Onsite[Job Number],0)),""),IF(H209="Production",IFERROR(INDEX(tbl_Production[Notes],MATCH(E209&amp;"",tbl_Production[Job Number],0)),""),IF(H209="Consulting",IFERROR(INDEX(tbl_Consulting[Notes],MATCH(E209&amp;"",tbl_Consulting[Job Number],0)),""),""))))</f>
        <v/>
      </c>
    </row>
    <row r="210" ht="15" customHeight="1">
      <c r="A210" s="22" t="n"/>
      <c r="B210" s="23">
        <f>IF(A210="","",EOMONTH(A210,0))</f>
        <v/>
      </c>
      <c r="C210" s="24" t="n"/>
      <c r="D210" s="24" t="n"/>
      <c r="E210" s="24" t="n"/>
      <c r="F210" s="25">
        <f>IF(E210="","",IF(COUNTIF(lst_Jobs,E210&amp;"")&gt;0,"OK","CHECK"))</f>
        <v/>
      </c>
      <c r="G210" s="24" t="n"/>
      <c r="H210" s="24" t="n"/>
      <c r="I210" s="24" t="n"/>
      <c r="J210" s="24" t="n"/>
      <c r="K210" s="24" t="n"/>
      <c r="L210" s="26" t="n"/>
      <c r="M210" s="27">
        <f>IF(L210="","",IF(K210="GST 10%",ROUND(L210*set_GSTRate,2),0))</f>
        <v/>
      </c>
      <c r="N210" s="27">
        <f>IF(L210="","",L210+M210)</f>
        <v/>
      </c>
      <c r="O210" s="24" t="n"/>
      <c r="P210" s="24" t="n"/>
      <c r="Q210" s="24" t="n"/>
      <c r="R210" s="22" t="n"/>
      <c r="S210" s="22" t="n"/>
      <c r="T210" s="24" t="n"/>
      <c r="U210" s="24" t="n"/>
      <c r="V210" s="25">
        <f>IF(COUNTA(A210,D210,C210,L210)=0,"",IF(A210="","No date - sits outside every month",IF(E210="","No job number",IF(F210="CHECK","Job number is not in the Xero job list",IF(I210="","No cost centre",IF(AND(P210="Y",C210=""),"Marked posted to Xero but has no invoice number",IF(AND(L210&lt;&gt;"",K210=""),"No tax code",IF(AND(L210&lt;&gt;"",O210=""),"No revenue GL code",""))))))))</f>
        <v/>
      </c>
      <c r="W210" s="25">
        <f>IF(E210="","",IFERROR(INDEX(lst_JobName,MATCH(E210&amp;"",lst_Jobs,0)),""))</f>
        <v/>
      </c>
      <c r="X210" s="28">
        <f>IF(E210="","",COUNTIFS(tbl_Finance[Job Number],E210&amp;"",tbl_Finance[Ex GST],"&lt;&gt;"))</f>
        <v/>
      </c>
      <c r="Y210" s="27">
        <f>IF(E210="","",SUMIFS(tbl_Finance[Ex GST],tbl_Finance[Job Number],E210&amp;""))</f>
        <v/>
      </c>
      <c r="Z210" s="27">
        <f>IF(E210="","",SUMIFS(tbl_Finance[Ex GST],tbl_Finance[Job Number],E210&amp;"",tbl_Finance[Xero Invoice No],"&lt;&gt;"))</f>
        <v/>
      </c>
      <c r="AA210" s="27">
        <f>IF(E210="","",Y210-Z210)</f>
        <v/>
      </c>
      <c r="AB210" s="25">
        <f>IF(E210="","",IF(H210="Onsite",IFERROR(INDEX(tbl_Onsite[Qwilr Quote],MATCH(E210&amp;"",tbl_Onsite[Job Number],0)),""),IF(H210="Production",IFERROR(INDEX(tbl_Production[Current RMS No],MATCH(E210&amp;"",tbl_Production[Job Number],0)),""),IF(H210="Consulting",IFERROR(INDEX(tbl_Consulting[Qwilr Quote],MATCH(E210&amp;"",tbl_Consulting[Job Number],0)),""),""))))</f>
        <v/>
      </c>
      <c r="AC210" s="25">
        <f>IF(AB210="","",IF(AND(LEFT(AB210,4)&lt;&gt;"http",IF(H210="Production",set_RMSBase,set_QwilrBase)=""),"",HYPERLINK(IF(LEFT(AB210,4)="http",AB210,IF(H210="Production",set_RMSBase,set_QwilrBase)&amp;AB210),"Open")))</f>
        <v/>
      </c>
      <c r="AD210" s="27">
        <f>IF(E210="","",IF(H210="Production",IFERROR(INDEX(tbl_Production[Total Expense],MATCH(E210&amp;"",tbl_Production[Job Number],0)),0),IF(H210="Consulting",IFERROR(INDEX(tbl_Consulting[Total Expense],MATCH(E210&amp;"",tbl_Consulting[Job Number],0)),0),0)))</f>
        <v/>
      </c>
      <c r="AE210" s="27">
        <f>IF(E210="","",Y210-N(AD210))</f>
        <v/>
      </c>
      <c r="AF210" s="29">
        <f>IFERROR(AE210/Y210,"")</f>
        <v/>
      </c>
      <c r="AG210" s="25">
        <f>IF(E210="","",IF(H210="Onsite",IFERROR(INDEX(tbl_Onsite[Notes],MATCH(E210&amp;"",tbl_Onsite[Job Number],0)),""),IF(H210="Production",IFERROR(INDEX(tbl_Production[Notes],MATCH(E210&amp;"",tbl_Production[Job Number],0)),""),IF(H210="Consulting",IFERROR(INDEX(tbl_Consulting[Notes],MATCH(E210&amp;"",tbl_Consulting[Job Number],0)),""),""))))</f>
        <v/>
      </c>
    </row>
    <row r="211" ht="15" customHeight="1">
      <c r="A211" s="22" t="n"/>
      <c r="B211" s="23">
        <f>IF(A211="","",EOMONTH(A211,0))</f>
        <v/>
      </c>
      <c r="C211" s="24" t="n"/>
      <c r="D211" s="24" t="n"/>
      <c r="E211" s="24" t="n"/>
      <c r="F211" s="25">
        <f>IF(E211="","",IF(COUNTIF(lst_Jobs,E211&amp;"")&gt;0,"OK","CHECK"))</f>
        <v/>
      </c>
      <c r="G211" s="24" t="n"/>
      <c r="H211" s="24" t="n"/>
      <c r="I211" s="24" t="n"/>
      <c r="J211" s="24" t="n"/>
      <c r="K211" s="24" t="n"/>
      <c r="L211" s="26" t="n"/>
      <c r="M211" s="27">
        <f>IF(L211="","",IF(K211="GST 10%",ROUND(L211*set_GSTRate,2),0))</f>
        <v/>
      </c>
      <c r="N211" s="27">
        <f>IF(L211="","",L211+M211)</f>
        <v/>
      </c>
      <c r="O211" s="24" t="n"/>
      <c r="P211" s="24" t="n"/>
      <c r="Q211" s="24" t="n"/>
      <c r="R211" s="22" t="n"/>
      <c r="S211" s="22" t="n"/>
      <c r="T211" s="24" t="n"/>
      <c r="U211" s="24" t="n"/>
      <c r="V211" s="25">
        <f>IF(COUNTA(A211,D211,C211,L211)=0,"",IF(A211="","No date - sits outside every month",IF(E211="","No job number",IF(F211="CHECK","Job number is not in the Xero job list",IF(I211="","No cost centre",IF(AND(P211="Y",C211=""),"Marked posted to Xero but has no invoice number",IF(AND(L211&lt;&gt;"",K211=""),"No tax code",IF(AND(L211&lt;&gt;"",O211=""),"No revenue GL code",""))))))))</f>
        <v/>
      </c>
      <c r="W211" s="25">
        <f>IF(E211="","",IFERROR(INDEX(lst_JobName,MATCH(E211&amp;"",lst_Jobs,0)),""))</f>
        <v/>
      </c>
      <c r="X211" s="28">
        <f>IF(E211="","",COUNTIFS(tbl_Finance[Job Number],E211&amp;"",tbl_Finance[Ex GST],"&lt;&gt;"))</f>
        <v/>
      </c>
      <c r="Y211" s="27">
        <f>IF(E211="","",SUMIFS(tbl_Finance[Ex GST],tbl_Finance[Job Number],E211&amp;""))</f>
        <v/>
      </c>
      <c r="Z211" s="27">
        <f>IF(E211="","",SUMIFS(tbl_Finance[Ex GST],tbl_Finance[Job Number],E211&amp;"",tbl_Finance[Xero Invoice No],"&lt;&gt;"))</f>
        <v/>
      </c>
      <c r="AA211" s="27">
        <f>IF(E211="","",Y211-Z211)</f>
        <v/>
      </c>
      <c r="AB211" s="25">
        <f>IF(E211="","",IF(H211="Onsite",IFERROR(INDEX(tbl_Onsite[Qwilr Quote],MATCH(E211&amp;"",tbl_Onsite[Job Number],0)),""),IF(H211="Production",IFERROR(INDEX(tbl_Production[Current RMS No],MATCH(E211&amp;"",tbl_Production[Job Number],0)),""),IF(H211="Consulting",IFERROR(INDEX(tbl_Consulting[Qwilr Quote],MATCH(E211&amp;"",tbl_Consulting[Job Number],0)),""),""))))</f>
        <v/>
      </c>
      <c r="AC211" s="25">
        <f>IF(AB211="","",IF(AND(LEFT(AB211,4)&lt;&gt;"http",IF(H211="Production",set_RMSBase,set_QwilrBase)=""),"",HYPERLINK(IF(LEFT(AB211,4)="http",AB211,IF(H211="Production",set_RMSBase,set_QwilrBase)&amp;AB211),"Open")))</f>
        <v/>
      </c>
      <c r="AD211" s="27">
        <f>IF(E211="","",IF(H211="Production",IFERROR(INDEX(tbl_Production[Total Expense],MATCH(E211&amp;"",tbl_Production[Job Number],0)),0),IF(H211="Consulting",IFERROR(INDEX(tbl_Consulting[Total Expense],MATCH(E211&amp;"",tbl_Consulting[Job Number],0)),0),0)))</f>
        <v/>
      </c>
      <c r="AE211" s="27">
        <f>IF(E211="","",Y211-N(AD211))</f>
        <v/>
      </c>
      <c r="AF211" s="29">
        <f>IFERROR(AE211/Y211,"")</f>
        <v/>
      </c>
      <c r="AG211" s="25">
        <f>IF(E211="","",IF(H211="Onsite",IFERROR(INDEX(tbl_Onsite[Notes],MATCH(E211&amp;"",tbl_Onsite[Job Number],0)),""),IF(H211="Production",IFERROR(INDEX(tbl_Production[Notes],MATCH(E211&amp;"",tbl_Production[Job Number],0)),""),IF(H211="Consulting",IFERROR(INDEX(tbl_Consulting[Notes],MATCH(E211&amp;"",tbl_Consulting[Job Number],0)),""),""))))</f>
        <v/>
      </c>
    </row>
    <row r="212" ht="15" customHeight="1">
      <c r="A212" s="22" t="n"/>
      <c r="B212" s="23">
        <f>IF(A212="","",EOMONTH(A212,0))</f>
        <v/>
      </c>
      <c r="C212" s="24" t="n"/>
      <c r="D212" s="24" t="n"/>
      <c r="E212" s="24" t="n"/>
      <c r="F212" s="25">
        <f>IF(E212="","",IF(COUNTIF(lst_Jobs,E212&amp;"")&gt;0,"OK","CHECK"))</f>
        <v/>
      </c>
      <c r="G212" s="24" t="n"/>
      <c r="H212" s="24" t="n"/>
      <c r="I212" s="24" t="n"/>
      <c r="J212" s="24" t="n"/>
      <c r="K212" s="24" t="n"/>
      <c r="L212" s="26" t="n"/>
      <c r="M212" s="27">
        <f>IF(L212="","",IF(K212="GST 10%",ROUND(L212*set_GSTRate,2),0))</f>
        <v/>
      </c>
      <c r="N212" s="27">
        <f>IF(L212="","",L212+M212)</f>
        <v/>
      </c>
      <c r="O212" s="24" t="n"/>
      <c r="P212" s="24" t="n"/>
      <c r="Q212" s="24" t="n"/>
      <c r="R212" s="22" t="n"/>
      <c r="S212" s="22" t="n"/>
      <c r="T212" s="24" t="n"/>
      <c r="U212" s="24" t="n"/>
      <c r="V212" s="25">
        <f>IF(COUNTA(A212,D212,C212,L212)=0,"",IF(A212="","No date - sits outside every month",IF(E212="","No job number",IF(F212="CHECK","Job number is not in the Xero job list",IF(I212="","No cost centre",IF(AND(P212="Y",C212=""),"Marked posted to Xero but has no invoice number",IF(AND(L212&lt;&gt;"",K212=""),"No tax code",IF(AND(L212&lt;&gt;"",O212=""),"No revenue GL code",""))))))))</f>
        <v/>
      </c>
      <c r="W212" s="25">
        <f>IF(E212="","",IFERROR(INDEX(lst_JobName,MATCH(E212&amp;"",lst_Jobs,0)),""))</f>
        <v/>
      </c>
      <c r="X212" s="28">
        <f>IF(E212="","",COUNTIFS(tbl_Finance[Job Number],E212&amp;"",tbl_Finance[Ex GST],"&lt;&gt;"))</f>
        <v/>
      </c>
      <c r="Y212" s="27">
        <f>IF(E212="","",SUMIFS(tbl_Finance[Ex GST],tbl_Finance[Job Number],E212&amp;""))</f>
        <v/>
      </c>
      <c r="Z212" s="27">
        <f>IF(E212="","",SUMIFS(tbl_Finance[Ex GST],tbl_Finance[Job Number],E212&amp;"",tbl_Finance[Xero Invoice No],"&lt;&gt;"))</f>
        <v/>
      </c>
      <c r="AA212" s="27">
        <f>IF(E212="","",Y212-Z212)</f>
        <v/>
      </c>
      <c r="AB212" s="25">
        <f>IF(E212="","",IF(H212="Onsite",IFERROR(INDEX(tbl_Onsite[Qwilr Quote],MATCH(E212&amp;"",tbl_Onsite[Job Number],0)),""),IF(H212="Production",IFERROR(INDEX(tbl_Production[Current RMS No],MATCH(E212&amp;"",tbl_Production[Job Number],0)),""),IF(H212="Consulting",IFERROR(INDEX(tbl_Consulting[Qwilr Quote],MATCH(E212&amp;"",tbl_Consulting[Job Number],0)),""),""))))</f>
        <v/>
      </c>
      <c r="AC212" s="25">
        <f>IF(AB212="","",IF(AND(LEFT(AB212,4)&lt;&gt;"http",IF(H212="Production",set_RMSBase,set_QwilrBase)=""),"",HYPERLINK(IF(LEFT(AB212,4)="http",AB212,IF(H212="Production",set_RMSBase,set_QwilrBase)&amp;AB212),"Open")))</f>
        <v/>
      </c>
      <c r="AD212" s="27">
        <f>IF(E212="","",IF(H212="Production",IFERROR(INDEX(tbl_Production[Total Expense],MATCH(E212&amp;"",tbl_Production[Job Number],0)),0),IF(H212="Consulting",IFERROR(INDEX(tbl_Consulting[Total Expense],MATCH(E212&amp;"",tbl_Consulting[Job Number],0)),0),0)))</f>
        <v/>
      </c>
      <c r="AE212" s="27">
        <f>IF(E212="","",Y212-N(AD212))</f>
        <v/>
      </c>
      <c r="AF212" s="29">
        <f>IFERROR(AE212/Y212,"")</f>
        <v/>
      </c>
      <c r="AG212" s="25">
        <f>IF(E212="","",IF(H212="Onsite",IFERROR(INDEX(tbl_Onsite[Notes],MATCH(E212&amp;"",tbl_Onsite[Job Number],0)),""),IF(H212="Production",IFERROR(INDEX(tbl_Production[Notes],MATCH(E212&amp;"",tbl_Production[Job Number],0)),""),IF(H212="Consulting",IFERROR(INDEX(tbl_Consulting[Notes],MATCH(E212&amp;"",tbl_Consulting[Job Number],0)),""),""))))</f>
        <v/>
      </c>
    </row>
    <row r="213" ht="15" customHeight="1">
      <c r="A213" s="22" t="n"/>
      <c r="B213" s="23">
        <f>IF(A213="","",EOMONTH(A213,0))</f>
        <v/>
      </c>
      <c r="C213" s="24" t="n"/>
      <c r="D213" s="24" t="n"/>
      <c r="E213" s="24" t="n"/>
      <c r="F213" s="25">
        <f>IF(E213="","",IF(COUNTIF(lst_Jobs,E213&amp;"")&gt;0,"OK","CHECK"))</f>
        <v/>
      </c>
      <c r="G213" s="24" t="n"/>
      <c r="H213" s="24" t="n"/>
      <c r="I213" s="24" t="n"/>
      <c r="J213" s="24" t="n"/>
      <c r="K213" s="24" t="n"/>
      <c r="L213" s="26" t="n"/>
      <c r="M213" s="27">
        <f>IF(L213="","",IF(K213="GST 10%",ROUND(L213*set_GSTRate,2),0))</f>
        <v/>
      </c>
      <c r="N213" s="27">
        <f>IF(L213="","",L213+M213)</f>
        <v/>
      </c>
      <c r="O213" s="24" t="n"/>
      <c r="P213" s="24" t="n"/>
      <c r="Q213" s="24" t="n"/>
      <c r="R213" s="22" t="n"/>
      <c r="S213" s="22" t="n"/>
      <c r="T213" s="24" t="n"/>
      <c r="U213" s="24" t="n"/>
      <c r="V213" s="25">
        <f>IF(COUNTA(A213,D213,C213,L213)=0,"",IF(A213="","No date - sits outside every month",IF(E213="","No job number",IF(F213="CHECK","Job number is not in the Xero job list",IF(I213="","No cost centre",IF(AND(P213="Y",C213=""),"Marked posted to Xero but has no invoice number",IF(AND(L213&lt;&gt;"",K213=""),"No tax code",IF(AND(L213&lt;&gt;"",O213=""),"No revenue GL code",""))))))))</f>
        <v/>
      </c>
      <c r="W213" s="25">
        <f>IF(E213="","",IFERROR(INDEX(lst_JobName,MATCH(E213&amp;"",lst_Jobs,0)),""))</f>
        <v/>
      </c>
      <c r="X213" s="28">
        <f>IF(E213="","",COUNTIFS(tbl_Finance[Job Number],E213&amp;"",tbl_Finance[Ex GST],"&lt;&gt;"))</f>
        <v/>
      </c>
      <c r="Y213" s="27">
        <f>IF(E213="","",SUMIFS(tbl_Finance[Ex GST],tbl_Finance[Job Number],E213&amp;""))</f>
        <v/>
      </c>
      <c r="Z213" s="27">
        <f>IF(E213="","",SUMIFS(tbl_Finance[Ex GST],tbl_Finance[Job Number],E213&amp;"",tbl_Finance[Xero Invoice No],"&lt;&gt;"))</f>
        <v/>
      </c>
      <c r="AA213" s="27">
        <f>IF(E213="","",Y213-Z213)</f>
        <v/>
      </c>
      <c r="AB213" s="25">
        <f>IF(E213="","",IF(H213="Onsite",IFERROR(INDEX(tbl_Onsite[Qwilr Quote],MATCH(E213&amp;"",tbl_Onsite[Job Number],0)),""),IF(H213="Production",IFERROR(INDEX(tbl_Production[Current RMS No],MATCH(E213&amp;"",tbl_Production[Job Number],0)),""),IF(H213="Consulting",IFERROR(INDEX(tbl_Consulting[Qwilr Quote],MATCH(E213&amp;"",tbl_Consulting[Job Number],0)),""),""))))</f>
        <v/>
      </c>
      <c r="AC213" s="25">
        <f>IF(AB213="","",IF(AND(LEFT(AB213,4)&lt;&gt;"http",IF(H213="Production",set_RMSBase,set_QwilrBase)=""),"",HYPERLINK(IF(LEFT(AB213,4)="http",AB213,IF(H213="Production",set_RMSBase,set_QwilrBase)&amp;AB213),"Open")))</f>
        <v/>
      </c>
      <c r="AD213" s="27">
        <f>IF(E213="","",IF(H213="Production",IFERROR(INDEX(tbl_Production[Total Expense],MATCH(E213&amp;"",tbl_Production[Job Number],0)),0),IF(H213="Consulting",IFERROR(INDEX(tbl_Consulting[Total Expense],MATCH(E213&amp;"",tbl_Consulting[Job Number],0)),0),0)))</f>
        <v/>
      </c>
      <c r="AE213" s="27">
        <f>IF(E213="","",Y213-N(AD213))</f>
        <v/>
      </c>
      <c r="AF213" s="29">
        <f>IFERROR(AE213/Y213,"")</f>
        <v/>
      </c>
      <c r="AG213" s="25">
        <f>IF(E213="","",IF(H213="Onsite",IFERROR(INDEX(tbl_Onsite[Notes],MATCH(E213&amp;"",tbl_Onsite[Job Number],0)),""),IF(H213="Production",IFERROR(INDEX(tbl_Production[Notes],MATCH(E213&amp;"",tbl_Production[Job Number],0)),""),IF(H213="Consulting",IFERROR(INDEX(tbl_Consulting[Notes],MATCH(E213&amp;"",tbl_Consulting[Job Number],0)),""),""))))</f>
        <v/>
      </c>
    </row>
    <row r="214" ht="15" customHeight="1">
      <c r="A214" s="22" t="n"/>
      <c r="B214" s="23">
        <f>IF(A214="","",EOMONTH(A214,0))</f>
        <v/>
      </c>
      <c r="C214" s="24" t="n"/>
      <c r="D214" s="24" t="n"/>
      <c r="E214" s="24" t="n"/>
      <c r="F214" s="25">
        <f>IF(E214="","",IF(COUNTIF(lst_Jobs,E214&amp;"")&gt;0,"OK","CHECK"))</f>
        <v/>
      </c>
      <c r="G214" s="24" t="n"/>
      <c r="H214" s="24" t="n"/>
      <c r="I214" s="24" t="n"/>
      <c r="J214" s="24" t="n"/>
      <c r="K214" s="24" t="n"/>
      <c r="L214" s="26" t="n"/>
      <c r="M214" s="27">
        <f>IF(L214="","",IF(K214="GST 10%",ROUND(L214*set_GSTRate,2),0))</f>
        <v/>
      </c>
      <c r="N214" s="27">
        <f>IF(L214="","",L214+M214)</f>
        <v/>
      </c>
      <c r="O214" s="24" t="n"/>
      <c r="P214" s="24" t="n"/>
      <c r="Q214" s="24" t="n"/>
      <c r="R214" s="22" t="n"/>
      <c r="S214" s="22" t="n"/>
      <c r="T214" s="24" t="n"/>
      <c r="U214" s="24" t="n"/>
      <c r="V214" s="25">
        <f>IF(COUNTA(A214,D214,C214,L214)=0,"",IF(A214="","No date - sits outside every month",IF(E214="","No job number",IF(F214="CHECK","Job number is not in the Xero job list",IF(I214="","No cost centre",IF(AND(P214="Y",C214=""),"Marked posted to Xero but has no invoice number",IF(AND(L214&lt;&gt;"",K214=""),"No tax code",IF(AND(L214&lt;&gt;"",O214=""),"No revenue GL code",""))))))))</f>
        <v/>
      </c>
      <c r="W214" s="25">
        <f>IF(E214="","",IFERROR(INDEX(lst_JobName,MATCH(E214&amp;"",lst_Jobs,0)),""))</f>
        <v/>
      </c>
      <c r="X214" s="28">
        <f>IF(E214="","",COUNTIFS(tbl_Finance[Job Number],E214&amp;"",tbl_Finance[Ex GST],"&lt;&gt;"))</f>
        <v/>
      </c>
      <c r="Y214" s="27">
        <f>IF(E214="","",SUMIFS(tbl_Finance[Ex GST],tbl_Finance[Job Number],E214&amp;""))</f>
        <v/>
      </c>
      <c r="Z214" s="27">
        <f>IF(E214="","",SUMIFS(tbl_Finance[Ex GST],tbl_Finance[Job Number],E214&amp;"",tbl_Finance[Xero Invoice No],"&lt;&gt;"))</f>
        <v/>
      </c>
      <c r="AA214" s="27">
        <f>IF(E214="","",Y214-Z214)</f>
        <v/>
      </c>
      <c r="AB214" s="25">
        <f>IF(E214="","",IF(H214="Onsite",IFERROR(INDEX(tbl_Onsite[Qwilr Quote],MATCH(E214&amp;"",tbl_Onsite[Job Number],0)),""),IF(H214="Production",IFERROR(INDEX(tbl_Production[Current RMS No],MATCH(E214&amp;"",tbl_Production[Job Number],0)),""),IF(H214="Consulting",IFERROR(INDEX(tbl_Consulting[Qwilr Quote],MATCH(E214&amp;"",tbl_Consulting[Job Number],0)),""),""))))</f>
        <v/>
      </c>
      <c r="AC214" s="25">
        <f>IF(AB214="","",IF(AND(LEFT(AB214,4)&lt;&gt;"http",IF(H214="Production",set_RMSBase,set_QwilrBase)=""),"",HYPERLINK(IF(LEFT(AB214,4)="http",AB214,IF(H214="Production",set_RMSBase,set_QwilrBase)&amp;AB214),"Open")))</f>
        <v/>
      </c>
      <c r="AD214" s="27">
        <f>IF(E214="","",IF(H214="Production",IFERROR(INDEX(tbl_Production[Total Expense],MATCH(E214&amp;"",tbl_Production[Job Number],0)),0),IF(H214="Consulting",IFERROR(INDEX(tbl_Consulting[Total Expense],MATCH(E214&amp;"",tbl_Consulting[Job Number],0)),0),0)))</f>
        <v/>
      </c>
      <c r="AE214" s="27">
        <f>IF(E214="","",Y214-N(AD214))</f>
        <v/>
      </c>
      <c r="AF214" s="29">
        <f>IFERROR(AE214/Y214,"")</f>
        <v/>
      </c>
      <c r="AG214" s="25">
        <f>IF(E214="","",IF(H214="Onsite",IFERROR(INDEX(tbl_Onsite[Notes],MATCH(E214&amp;"",tbl_Onsite[Job Number],0)),""),IF(H214="Production",IFERROR(INDEX(tbl_Production[Notes],MATCH(E214&amp;"",tbl_Production[Job Number],0)),""),IF(H214="Consulting",IFERROR(INDEX(tbl_Consulting[Notes],MATCH(E214&amp;"",tbl_Consulting[Job Number],0)),""),""))))</f>
        <v/>
      </c>
    </row>
    <row r="215" ht="15" customHeight="1">
      <c r="A215" s="22" t="n"/>
      <c r="B215" s="23">
        <f>IF(A215="","",EOMONTH(A215,0))</f>
        <v/>
      </c>
      <c r="C215" s="24" t="n"/>
      <c r="D215" s="24" t="n"/>
      <c r="E215" s="24" t="n"/>
      <c r="F215" s="25">
        <f>IF(E215="","",IF(COUNTIF(lst_Jobs,E215&amp;"")&gt;0,"OK","CHECK"))</f>
        <v/>
      </c>
      <c r="G215" s="24" t="n"/>
      <c r="H215" s="24" t="n"/>
      <c r="I215" s="24" t="n"/>
      <c r="J215" s="24" t="n"/>
      <c r="K215" s="24" t="n"/>
      <c r="L215" s="26" t="n"/>
      <c r="M215" s="27">
        <f>IF(L215="","",IF(K215="GST 10%",ROUND(L215*set_GSTRate,2),0))</f>
        <v/>
      </c>
      <c r="N215" s="27">
        <f>IF(L215="","",L215+M215)</f>
        <v/>
      </c>
      <c r="O215" s="24" t="n"/>
      <c r="P215" s="24" t="n"/>
      <c r="Q215" s="24" t="n"/>
      <c r="R215" s="22" t="n"/>
      <c r="S215" s="22" t="n"/>
      <c r="T215" s="24" t="n"/>
      <c r="U215" s="24" t="n"/>
      <c r="V215" s="25">
        <f>IF(COUNTA(A215,D215,C215,L215)=0,"",IF(A215="","No date - sits outside every month",IF(E215="","No job number",IF(F215="CHECK","Job number is not in the Xero job list",IF(I215="","No cost centre",IF(AND(P215="Y",C215=""),"Marked posted to Xero but has no invoice number",IF(AND(L215&lt;&gt;"",K215=""),"No tax code",IF(AND(L215&lt;&gt;"",O215=""),"No revenue GL code",""))))))))</f>
        <v/>
      </c>
      <c r="W215" s="25">
        <f>IF(E215="","",IFERROR(INDEX(lst_JobName,MATCH(E215&amp;"",lst_Jobs,0)),""))</f>
        <v/>
      </c>
      <c r="X215" s="28">
        <f>IF(E215="","",COUNTIFS(tbl_Finance[Job Number],E215&amp;"",tbl_Finance[Ex GST],"&lt;&gt;"))</f>
        <v/>
      </c>
      <c r="Y215" s="27">
        <f>IF(E215="","",SUMIFS(tbl_Finance[Ex GST],tbl_Finance[Job Number],E215&amp;""))</f>
        <v/>
      </c>
      <c r="Z215" s="27">
        <f>IF(E215="","",SUMIFS(tbl_Finance[Ex GST],tbl_Finance[Job Number],E215&amp;"",tbl_Finance[Xero Invoice No],"&lt;&gt;"))</f>
        <v/>
      </c>
      <c r="AA215" s="27">
        <f>IF(E215="","",Y215-Z215)</f>
        <v/>
      </c>
      <c r="AB215" s="25">
        <f>IF(E215="","",IF(H215="Onsite",IFERROR(INDEX(tbl_Onsite[Qwilr Quote],MATCH(E215&amp;"",tbl_Onsite[Job Number],0)),""),IF(H215="Production",IFERROR(INDEX(tbl_Production[Current RMS No],MATCH(E215&amp;"",tbl_Production[Job Number],0)),""),IF(H215="Consulting",IFERROR(INDEX(tbl_Consulting[Qwilr Quote],MATCH(E215&amp;"",tbl_Consulting[Job Number],0)),""),""))))</f>
        <v/>
      </c>
      <c r="AC215" s="25">
        <f>IF(AB215="","",IF(AND(LEFT(AB215,4)&lt;&gt;"http",IF(H215="Production",set_RMSBase,set_QwilrBase)=""),"",HYPERLINK(IF(LEFT(AB215,4)="http",AB215,IF(H215="Production",set_RMSBase,set_QwilrBase)&amp;AB215),"Open")))</f>
        <v/>
      </c>
      <c r="AD215" s="27">
        <f>IF(E215="","",IF(H215="Production",IFERROR(INDEX(tbl_Production[Total Expense],MATCH(E215&amp;"",tbl_Production[Job Number],0)),0),IF(H215="Consulting",IFERROR(INDEX(tbl_Consulting[Total Expense],MATCH(E215&amp;"",tbl_Consulting[Job Number],0)),0),0)))</f>
        <v/>
      </c>
      <c r="AE215" s="27">
        <f>IF(E215="","",Y215-N(AD215))</f>
        <v/>
      </c>
      <c r="AF215" s="29">
        <f>IFERROR(AE215/Y215,"")</f>
        <v/>
      </c>
      <c r="AG215" s="25">
        <f>IF(E215="","",IF(H215="Onsite",IFERROR(INDEX(tbl_Onsite[Notes],MATCH(E215&amp;"",tbl_Onsite[Job Number],0)),""),IF(H215="Production",IFERROR(INDEX(tbl_Production[Notes],MATCH(E215&amp;"",tbl_Production[Job Number],0)),""),IF(H215="Consulting",IFERROR(INDEX(tbl_Consulting[Notes],MATCH(E215&amp;"",tbl_Consulting[Job Number],0)),""),""))))</f>
        <v/>
      </c>
    </row>
    <row r="216" ht="15" customHeight="1">
      <c r="A216" s="22" t="n"/>
      <c r="B216" s="23">
        <f>IF(A216="","",EOMONTH(A216,0))</f>
        <v/>
      </c>
      <c r="C216" s="24" t="n"/>
      <c r="D216" s="24" t="n"/>
      <c r="E216" s="24" t="n"/>
      <c r="F216" s="25">
        <f>IF(E216="","",IF(COUNTIF(lst_Jobs,E216&amp;"")&gt;0,"OK","CHECK"))</f>
        <v/>
      </c>
      <c r="G216" s="24" t="n"/>
      <c r="H216" s="24" t="n"/>
      <c r="I216" s="24" t="n"/>
      <c r="J216" s="24" t="n"/>
      <c r="K216" s="24" t="n"/>
      <c r="L216" s="26" t="n"/>
      <c r="M216" s="27">
        <f>IF(L216="","",IF(K216="GST 10%",ROUND(L216*set_GSTRate,2),0))</f>
        <v/>
      </c>
      <c r="N216" s="27">
        <f>IF(L216="","",L216+M216)</f>
        <v/>
      </c>
      <c r="O216" s="24" t="n"/>
      <c r="P216" s="24" t="n"/>
      <c r="Q216" s="24" t="n"/>
      <c r="R216" s="22" t="n"/>
      <c r="S216" s="22" t="n"/>
      <c r="T216" s="24" t="n"/>
      <c r="U216" s="24" t="n"/>
      <c r="V216" s="25">
        <f>IF(COUNTA(A216,D216,C216,L216)=0,"",IF(A216="","No date - sits outside every month",IF(E216="","No job number",IF(F216="CHECK","Job number is not in the Xero job list",IF(I216="","No cost centre",IF(AND(P216="Y",C216=""),"Marked posted to Xero but has no invoice number",IF(AND(L216&lt;&gt;"",K216=""),"No tax code",IF(AND(L216&lt;&gt;"",O216=""),"No revenue GL code",""))))))))</f>
        <v/>
      </c>
      <c r="W216" s="25">
        <f>IF(E216="","",IFERROR(INDEX(lst_JobName,MATCH(E216&amp;"",lst_Jobs,0)),""))</f>
        <v/>
      </c>
      <c r="X216" s="28">
        <f>IF(E216="","",COUNTIFS(tbl_Finance[Job Number],E216&amp;"",tbl_Finance[Ex GST],"&lt;&gt;"))</f>
        <v/>
      </c>
      <c r="Y216" s="27">
        <f>IF(E216="","",SUMIFS(tbl_Finance[Ex GST],tbl_Finance[Job Number],E216&amp;""))</f>
        <v/>
      </c>
      <c r="Z216" s="27">
        <f>IF(E216="","",SUMIFS(tbl_Finance[Ex GST],tbl_Finance[Job Number],E216&amp;"",tbl_Finance[Xero Invoice No],"&lt;&gt;"))</f>
        <v/>
      </c>
      <c r="AA216" s="27">
        <f>IF(E216="","",Y216-Z216)</f>
        <v/>
      </c>
      <c r="AB216" s="25">
        <f>IF(E216="","",IF(H216="Onsite",IFERROR(INDEX(tbl_Onsite[Qwilr Quote],MATCH(E216&amp;"",tbl_Onsite[Job Number],0)),""),IF(H216="Production",IFERROR(INDEX(tbl_Production[Current RMS No],MATCH(E216&amp;"",tbl_Production[Job Number],0)),""),IF(H216="Consulting",IFERROR(INDEX(tbl_Consulting[Qwilr Quote],MATCH(E216&amp;"",tbl_Consulting[Job Number],0)),""),""))))</f>
        <v/>
      </c>
      <c r="AC216" s="25">
        <f>IF(AB216="","",IF(AND(LEFT(AB216,4)&lt;&gt;"http",IF(H216="Production",set_RMSBase,set_QwilrBase)=""),"",HYPERLINK(IF(LEFT(AB216,4)="http",AB216,IF(H216="Production",set_RMSBase,set_QwilrBase)&amp;AB216),"Open")))</f>
        <v/>
      </c>
      <c r="AD216" s="27">
        <f>IF(E216="","",IF(H216="Production",IFERROR(INDEX(tbl_Production[Total Expense],MATCH(E216&amp;"",tbl_Production[Job Number],0)),0),IF(H216="Consulting",IFERROR(INDEX(tbl_Consulting[Total Expense],MATCH(E216&amp;"",tbl_Consulting[Job Number],0)),0),0)))</f>
        <v/>
      </c>
      <c r="AE216" s="27">
        <f>IF(E216="","",Y216-N(AD216))</f>
        <v/>
      </c>
      <c r="AF216" s="29">
        <f>IFERROR(AE216/Y216,"")</f>
        <v/>
      </c>
      <c r="AG216" s="25">
        <f>IF(E216="","",IF(H216="Onsite",IFERROR(INDEX(tbl_Onsite[Notes],MATCH(E216&amp;"",tbl_Onsite[Job Number],0)),""),IF(H216="Production",IFERROR(INDEX(tbl_Production[Notes],MATCH(E216&amp;"",tbl_Production[Job Number],0)),""),IF(H216="Consulting",IFERROR(INDEX(tbl_Consulting[Notes],MATCH(E216&amp;"",tbl_Consulting[Job Number],0)),""),""))))</f>
        <v/>
      </c>
    </row>
    <row r="217" ht="15" customHeight="1">
      <c r="A217" s="22" t="n"/>
      <c r="B217" s="23">
        <f>IF(A217="","",EOMONTH(A217,0))</f>
        <v/>
      </c>
      <c r="C217" s="24" t="n"/>
      <c r="D217" s="24" t="n"/>
      <c r="E217" s="24" t="n"/>
      <c r="F217" s="25">
        <f>IF(E217="","",IF(COUNTIF(lst_Jobs,E217&amp;"")&gt;0,"OK","CHECK"))</f>
        <v/>
      </c>
      <c r="G217" s="24" t="n"/>
      <c r="H217" s="24" t="n"/>
      <c r="I217" s="24" t="n"/>
      <c r="J217" s="24" t="n"/>
      <c r="K217" s="24" t="n"/>
      <c r="L217" s="26" t="n"/>
      <c r="M217" s="27">
        <f>IF(L217="","",IF(K217="GST 10%",ROUND(L217*set_GSTRate,2),0))</f>
        <v/>
      </c>
      <c r="N217" s="27">
        <f>IF(L217="","",L217+M217)</f>
        <v/>
      </c>
      <c r="O217" s="24" t="n"/>
      <c r="P217" s="24" t="n"/>
      <c r="Q217" s="24" t="n"/>
      <c r="R217" s="22" t="n"/>
      <c r="S217" s="22" t="n"/>
      <c r="T217" s="24" t="n"/>
      <c r="U217" s="24" t="n"/>
      <c r="V217" s="25">
        <f>IF(COUNTA(A217,D217,C217,L217)=0,"",IF(A217="","No date - sits outside every month",IF(E217="","No job number",IF(F217="CHECK","Job number is not in the Xero job list",IF(I217="","No cost centre",IF(AND(P217="Y",C217=""),"Marked posted to Xero but has no invoice number",IF(AND(L217&lt;&gt;"",K217=""),"No tax code",IF(AND(L217&lt;&gt;"",O217=""),"No revenue GL code",""))))))))</f>
        <v/>
      </c>
      <c r="W217" s="25">
        <f>IF(E217="","",IFERROR(INDEX(lst_JobName,MATCH(E217&amp;"",lst_Jobs,0)),""))</f>
        <v/>
      </c>
      <c r="X217" s="28">
        <f>IF(E217="","",COUNTIFS(tbl_Finance[Job Number],E217&amp;"",tbl_Finance[Ex GST],"&lt;&gt;"))</f>
        <v/>
      </c>
      <c r="Y217" s="27">
        <f>IF(E217="","",SUMIFS(tbl_Finance[Ex GST],tbl_Finance[Job Number],E217&amp;""))</f>
        <v/>
      </c>
      <c r="Z217" s="27">
        <f>IF(E217="","",SUMIFS(tbl_Finance[Ex GST],tbl_Finance[Job Number],E217&amp;"",tbl_Finance[Xero Invoice No],"&lt;&gt;"))</f>
        <v/>
      </c>
      <c r="AA217" s="27">
        <f>IF(E217="","",Y217-Z217)</f>
        <v/>
      </c>
      <c r="AB217" s="25">
        <f>IF(E217="","",IF(H217="Onsite",IFERROR(INDEX(tbl_Onsite[Qwilr Quote],MATCH(E217&amp;"",tbl_Onsite[Job Number],0)),""),IF(H217="Production",IFERROR(INDEX(tbl_Production[Current RMS No],MATCH(E217&amp;"",tbl_Production[Job Number],0)),""),IF(H217="Consulting",IFERROR(INDEX(tbl_Consulting[Qwilr Quote],MATCH(E217&amp;"",tbl_Consulting[Job Number],0)),""),""))))</f>
        <v/>
      </c>
      <c r="AC217" s="25">
        <f>IF(AB217="","",IF(AND(LEFT(AB217,4)&lt;&gt;"http",IF(H217="Production",set_RMSBase,set_QwilrBase)=""),"",HYPERLINK(IF(LEFT(AB217,4)="http",AB217,IF(H217="Production",set_RMSBase,set_QwilrBase)&amp;AB217),"Open")))</f>
        <v/>
      </c>
      <c r="AD217" s="27">
        <f>IF(E217="","",IF(H217="Production",IFERROR(INDEX(tbl_Production[Total Expense],MATCH(E217&amp;"",tbl_Production[Job Number],0)),0),IF(H217="Consulting",IFERROR(INDEX(tbl_Consulting[Total Expense],MATCH(E217&amp;"",tbl_Consulting[Job Number],0)),0),0)))</f>
        <v/>
      </c>
      <c r="AE217" s="27">
        <f>IF(E217="","",Y217-N(AD217))</f>
        <v/>
      </c>
      <c r="AF217" s="29">
        <f>IFERROR(AE217/Y217,"")</f>
        <v/>
      </c>
      <c r="AG217" s="25">
        <f>IF(E217="","",IF(H217="Onsite",IFERROR(INDEX(tbl_Onsite[Notes],MATCH(E217&amp;"",tbl_Onsite[Job Number],0)),""),IF(H217="Production",IFERROR(INDEX(tbl_Production[Notes],MATCH(E217&amp;"",tbl_Production[Job Number],0)),""),IF(H217="Consulting",IFERROR(INDEX(tbl_Consulting[Notes],MATCH(E217&amp;"",tbl_Consulting[Job Number],0)),""),""))))</f>
        <v/>
      </c>
    </row>
    <row r="218" ht="15" customHeight="1">
      <c r="A218" s="22" t="n"/>
      <c r="B218" s="23">
        <f>IF(A218="","",EOMONTH(A218,0))</f>
        <v/>
      </c>
      <c r="C218" s="24" t="n"/>
      <c r="D218" s="24" t="n"/>
      <c r="E218" s="24" t="n"/>
      <c r="F218" s="25">
        <f>IF(E218="","",IF(COUNTIF(lst_Jobs,E218&amp;"")&gt;0,"OK","CHECK"))</f>
        <v/>
      </c>
      <c r="G218" s="24" t="n"/>
      <c r="H218" s="24" t="n"/>
      <c r="I218" s="24" t="n"/>
      <c r="J218" s="24" t="n"/>
      <c r="K218" s="24" t="n"/>
      <c r="L218" s="26" t="n"/>
      <c r="M218" s="27">
        <f>IF(L218="","",IF(K218="GST 10%",ROUND(L218*set_GSTRate,2),0))</f>
        <v/>
      </c>
      <c r="N218" s="27">
        <f>IF(L218="","",L218+M218)</f>
        <v/>
      </c>
      <c r="O218" s="24" t="n"/>
      <c r="P218" s="24" t="n"/>
      <c r="Q218" s="24" t="n"/>
      <c r="R218" s="22" t="n"/>
      <c r="S218" s="22" t="n"/>
      <c r="T218" s="24" t="n"/>
      <c r="U218" s="24" t="n"/>
      <c r="V218" s="25">
        <f>IF(COUNTA(A218,D218,C218,L218)=0,"",IF(A218="","No date - sits outside every month",IF(E218="","No job number",IF(F218="CHECK","Job number is not in the Xero job list",IF(I218="","No cost centre",IF(AND(P218="Y",C218=""),"Marked posted to Xero but has no invoice number",IF(AND(L218&lt;&gt;"",K218=""),"No tax code",IF(AND(L218&lt;&gt;"",O218=""),"No revenue GL code",""))))))))</f>
        <v/>
      </c>
      <c r="W218" s="25">
        <f>IF(E218="","",IFERROR(INDEX(lst_JobName,MATCH(E218&amp;"",lst_Jobs,0)),""))</f>
        <v/>
      </c>
      <c r="X218" s="28">
        <f>IF(E218="","",COUNTIFS(tbl_Finance[Job Number],E218&amp;"",tbl_Finance[Ex GST],"&lt;&gt;"))</f>
        <v/>
      </c>
      <c r="Y218" s="27">
        <f>IF(E218="","",SUMIFS(tbl_Finance[Ex GST],tbl_Finance[Job Number],E218&amp;""))</f>
        <v/>
      </c>
      <c r="Z218" s="27">
        <f>IF(E218="","",SUMIFS(tbl_Finance[Ex GST],tbl_Finance[Job Number],E218&amp;"",tbl_Finance[Xero Invoice No],"&lt;&gt;"))</f>
        <v/>
      </c>
      <c r="AA218" s="27">
        <f>IF(E218="","",Y218-Z218)</f>
        <v/>
      </c>
      <c r="AB218" s="25">
        <f>IF(E218="","",IF(H218="Onsite",IFERROR(INDEX(tbl_Onsite[Qwilr Quote],MATCH(E218&amp;"",tbl_Onsite[Job Number],0)),""),IF(H218="Production",IFERROR(INDEX(tbl_Production[Current RMS No],MATCH(E218&amp;"",tbl_Production[Job Number],0)),""),IF(H218="Consulting",IFERROR(INDEX(tbl_Consulting[Qwilr Quote],MATCH(E218&amp;"",tbl_Consulting[Job Number],0)),""),""))))</f>
        <v/>
      </c>
      <c r="AC218" s="25">
        <f>IF(AB218="","",IF(AND(LEFT(AB218,4)&lt;&gt;"http",IF(H218="Production",set_RMSBase,set_QwilrBase)=""),"",HYPERLINK(IF(LEFT(AB218,4)="http",AB218,IF(H218="Production",set_RMSBase,set_QwilrBase)&amp;AB218),"Open")))</f>
        <v/>
      </c>
      <c r="AD218" s="27">
        <f>IF(E218="","",IF(H218="Production",IFERROR(INDEX(tbl_Production[Total Expense],MATCH(E218&amp;"",tbl_Production[Job Number],0)),0),IF(H218="Consulting",IFERROR(INDEX(tbl_Consulting[Total Expense],MATCH(E218&amp;"",tbl_Consulting[Job Number],0)),0),0)))</f>
        <v/>
      </c>
      <c r="AE218" s="27">
        <f>IF(E218="","",Y218-N(AD218))</f>
        <v/>
      </c>
      <c r="AF218" s="29">
        <f>IFERROR(AE218/Y218,"")</f>
        <v/>
      </c>
      <c r="AG218" s="25">
        <f>IF(E218="","",IF(H218="Onsite",IFERROR(INDEX(tbl_Onsite[Notes],MATCH(E218&amp;"",tbl_Onsite[Job Number],0)),""),IF(H218="Production",IFERROR(INDEX(tbl_Production[Notes],MATCH(E218&amp;"",tbl_Production[Job Number],0)),""),IF(H218="Consulting",IFERROR(INDEX(tbl_Consulting[Notes],MATCH(E218&amp;"",tbl_Consulting[Job Number],0)),""),""))))</f>
        <v/>
      </c>
    </row>
    <row r="219" ht="15" customHeight="1">
      <c r="A219" s="22" t="n"/>
      <c r="B219" s="23">
        <f>IF(A219="","",EOMONTH(A219,0))</f>
        <v/>
      </c>
      <c r="C219" s="24" t="n"/>
      <c r="D219" s="24" t="n"/>
      <c r="E219" s="24" t="n"/>
      <c r="F219" s="25">
        <f>IF(E219="","",IF(COUNTIF(lst_Jobs,E219&amp;"")&gt;0,"OK","CHECK"))</f>
        <v/>
      </c>
      <c r="G219" s="24" t="n"/>
      <c r="H219" s="24" t="n"/>
      <c r="I219" s="24" t="n"/>
      <c r="J219" s="24" t="n"/>
      <c r="K219" s="24" t="n"/>
      <c r="L219" s="26" t="n"/>
      <c r="M219" s="27">
        <f>IF(L219="","",IF(K219="GST 10%",ROUND(L219*set_GSTRate,2),0))</f>
        <v/>
      </c>
      <c r="N219" s="27">
        <f>IF(L219="","",L219+M219)</f>
        <v/>
      </c>
      <c r="O219" s="24" t="n"/>
      <c r="P219" s="24" t="n"/>
      <c r="Q219" s="24" t="n"/>
      <c r="R219" s="22" t="n"/>
      <c r="S219" s="22" t="n"/>
      <c r="T219" s="24" t="n"/>
      <c r="U219" s="24" t="n"/>
      <c r="V219" s="25">
        <f>IF(COUNTA(A219,D219,C219,L219)=0,"",IF(A219="","No date - sits outside every month",IF(E219="","No job number",IF(F219="CHECK","Job number is not in the Xero job list",IF(I219="","No cost centre",IF(AND(P219="Y",C219=""),"Marked posted to Xero but has no invoice number",IF(AND(L219&lt;&gt;"",K219=""),"No tax code",IF(AND(L219&lt;&gt;"",O219=""),"No revenue GL code",""))))))))</f>
        <v/>
      </c>
      <c r="W219" s="25">
        <f>IF(E219="","",IFERROR(INDEX(lst_JobName,MATCH(E219&amp;"",lst_Jobs,0)),""))</f>
        <v/>
      </c>
      <c r="X219" s="28">
        <f>IF(E219="","",COUNTIFS(tbl_Finance[Job Number],E219&amp;"",tbl_Finance[Ex GST],"&lt;&gt;"))</f>
        <v/>
      </c>
      <c r="Y219" s="27">
        <f>IF(E219="","",SUMIFS(tbl_Finance[Ex GST],tbl_Finance[Job Number],E219&amp;""))</f>
        <v/>
      </c>
      <c r="Z219" s="27">
        <f>IF(E219="","",SUMIFS(tbl_Finance[Ex GST],tbl_Finance[Job Number],E219&amp;"",tbl_Finance[Xero Invoice No],"&lt;&gt;"))</f>
        <v/>
      </c>
      <c r="AA219" s="27">
        <f>IF(E219="","",Y219-Z219)</f>
        <v/>
      </c>
      <c r="AB219" s="25">
        <f>IF(E219="","",IF(H219="Onsite",IFERROR(INDEX(tbl_Onsite[Qwilr Quote],MATCH(E219&amp;"",tbl_Onsite[Job Number],0)),""),IF(H219="Production",IFERROR(INDEX(tbl_Production[Current RMS No],MATCH(E219&amp;"",tbl_Production[Job Number],0)),""),IF(H219="Consulting",IFERROR(INDEX(tbl_Consulting[Qwilr Quote],MATCH(E219&amp;"",tbl_Consulting[Job Number],0)),""),""))))</f>
        <v/>
      </c>
      <c r="AC219" s="25">
        <f>IF(AB219="","",IF(AND(LEFT(AB219,4)&lt;&gt;"http",IF(H219="Production",set_RMSBase,set_QwilrBase)=""),"",HYPERLINK(IF(LEFT(AB219,4)="http",AB219,IF(H219="Production",set_RMSBase,set_QwilrBase)&amp;AB219),"Open")))</f>
        <v/>
      </c>
      <c r="AD219" s="27">
        <f>IF(E219="","",IF(H219="Production",IFERROR(INDEX(tbl_Production[Total Expense],MATCH(E219&amp;"",tbl_Production[Job Number],0)),0),IF(H219="Consulting",IFERROR(INDEX(tbl_Consulting[Total Expense],MATCH(E219&amp;"",tbl_Consulting[Job Number],0)),0),0)))</f>
        <v/>
      </c>
      <c r="AE219" s="27">
        <f>IF(E219="","",Y219-N(AD219))</f>
        <v/>
      </c>
      <c r="AF219" s="29">
        <f>IFERROR(AE219/Y219,"")</f>
        <v/>
      </c>
      <c r="AG219" s="25">
        <f>IF(E219="","",IF(H219="Onsite",IFERROR(INDEX(tbl_Onsite[Notes],MATCH(E219&amp;"",tbl_Onsite[Job Number],0)),""),IF(H219="Production",IFERROR(INDEX(tbl_Production[Notes],MATCH(E219&amp;"",tbl_Production[Job Number],0)),""),IF(H219="Consulting",IFERROR(INDEX(tbl_Consulting[Notes],MATCH(E219&amp;"",tbl_Consulting[Job Number],0)),""),""))))</f>
        <v/>
      </c>
    </row>
    <row r="220" ht="15" customHeight="1">
      <c r="A220" s="22" t="n"/>
      <c r="B220" s="23">
        <f>IF(A220="","",EOMONTH(A220,0))</f>
        <v/>
      </c>
      <c r="C220" s="24" t="n"/>
      <c r="D220" s="24" t="n"/>
      <c r="E220" s="24" t="n"/>
      <c r="F220" s="25">
        <f>IF(E220="","",IF(COUNTIF(lst_Jobs,E220&amp;"")&gt;0,"OK","CHECK"))</f>
        <v/>
      </c>
      <c r="G220" s="24" t="n"/>
      <c r="H220" s="24" t="n"/>
      <c r="I220" s="24" t="n"/>
      <c r="J220" s="24" t="n"/>
      <c r="K220" s="24" t="n"/>
      <c r="L220" s="26" t="n"/>
      <c r="M220" s="27">
        <f>IF(L220="","",IF(K220="GST 10%",ROUND(L220*set_GSTRate,2),0))</f>
        <v/>
      </c>
      <c r="N220" s="27">
        <f>IF(L220="","",L220+M220)</f>
        <v/>
      </c>
      <c r="O220" s="24" t="n"/>
      <c r="P220" s="24" t="n"/>
      <c r="Q220" s="24" t="n"/>
      <c r="R220" s="22" t="n"/>
      <c r="S220" s="22" t="n"/>
      <c r="T220" s="24" t="n"/>
      <c r="U220" s="24" t="n"/>
      <c r="V220" s="25">
        <f>IF(COUNTA(A220,D220,C220,L220)=0,"",IF(A220="","No date - sits outside every month",IF(E220="","No job number",IF(F220="CHECK","Job number is not in the Xero job list",IF(I220="","No cost centre",IF(AND(P220="Y",C220=""),"Marked posted to Xero but has no invoice number",IF(AND(L220&lt;&gt;"",K220=""),"No tax code",IF(AND(L220&lt;&gt;"",O220=""),"No revenue GL code",""))))))))</f>
        <v/>
      </c>
      <c r="W220" s="25">
        <f>IF(E220="","",IFERROR(INDEX(lst_JobName,MATCH(E220&amp;"",lst_Jobs,0)),""))</f>
        <v/>
      </c>
      <c r="X220" s="28">
        <f>IF(E220="","",COUNTIFS(tbl_Finance[Job Number],E220&amp;"",tbl_Finance[Ex GST],"&lt;&gt;"))</f>
        <v/>
      </c>
      <c r="Y220" s="27">
        <f>IF(E220="","",SUMIFS(tbl_Finance[Ex GST],tbl_Finance[Job Number],E220&amp;""))</f>
        <v/>
      </c>
      <c r="Z220" s="27">
        <f>IF(E220="","",SUMIFS(tbl_Finance[Ex GST],tbl_Finance[Job Number],E220&amp;"",tbl_Finance[Xero Invoice No],"&lt;&gt;"))</f>
        <v/>
      </c>
      <c r="AA220" s="27">
        <f>IF(E220="","",Y220-Z220)</f>
        <v/>
      </c>
      <c r="AB220" s="25">
        <f>IF(E220="","",IF(H220="Onsite",IFERROR(INDEX(tbl_Onsite[Qwilr Quote],MATCH(E220&amp;"",tbl_Onsite[Job Number],0)),""),IF(H220="Production",IFERROR(INDEX(tbl_Production[Current RMS No],MATCH(E220&amp;"",tbl_Production[Job Number],0)),""),IF(H220="Consulting",IFERROR(INDEX(tbl_Consulting[Qwilr Quote],MATCH(E220&amp;"",tbl_Consulting[Job Number],0)),""),""))))</f>
        <v/>
      </c>
      <c r="AC220" s="25">
        <f>IF(AB220="","",IF(AND(LEFT(AB220,4)&lt;&gt;"http",IF(H220="Production",set_RMSBase,set_QwilrBase)=""),"",HYPERLINK(IF(LEFT(AB220,4)="http",AB220,IF(H220="Production",set_RMSBase,set_QwilrBase)&amp;AB220),"Open")))</f>
        <v/>
      </c>
      <c r="AD220" s="27">
        <f>IF(E220="","",IF(H220="Production",IFERROR(INDEX(tbl_Production[Total Expense],MATCH(E220&amp;"",tbl_Production[Job Number],0)),0),IF(H220="Consulting",IFERROR(INDEX(tbl_Consulting[Total Expense],MATCH(E220&amp;"",tbl_Consulting[Job Number],0)),0),0)))</f>
        <v/>
      </c>
      <c r="AE220" s="27">
        <f>IF(E220="","",Y220-N(AD220))</f>
        <v/>
      </c>
      <c r="AF220" s="29">
        <f>IFERROR(AE220/Y220,"")</f>
        <v/>
      </c>
      <c r="AG220" s="25">
        <f>IF(E220="","",IF(H220="Onsite",IFERROR(INDEX(tbl_Onsite[Notes],MATCH(E220&amp;"",tbl_Onsite[Job Number],0)),""),IF(H220="Production",IFERROR(INDEX(tbl_Production[Notes],MATCH(E220&amp;"",tbl_Production[Job Number],0)),""),IF(H220="Consulting",IFERROR(INDEX(tbl_Consulting[Notes],MATCH(E220&amp;"",tbl_Consulting[Job Number],0)),""),""))))</f>
        <v/>
      </c>
    </row>
    <row r="221" ht="15" customHeight="1">
      <c r="A221" s="22" t="n"/>
      <c r="B221" s="23">
        <f>IF(A221="","",EOMONTH(A221,0))</f>
        <v/>
      </c>
      <c r="C221" s="24" t="n"/>
      <c r="D221" s="24" t="n"/>
      <c r="E221" s="24" t="n"/>
      <c r="F221" s="25">
        <f>IF(E221="","",IF(COUNTIF(lst_Jobs,E221&amp;"")&gt;0,"OK","CHECK"))</f>
        <v/>
      </c>
      <c r="G221" s="24" t="n"/>
      <c r="H221" s="24" t="n"/>
      <c r="I221" s="24" t="n"/>
      <c r="J221" s="24" t="n"/>
      <c r="K221" s="24" t="n"/>
      <c r="L221" s="26" t="n"/>
      <c r="M221" s="27">
        <f>IF(L221="","",IF(K221="GST 10%",ROUND(L221*set_GSTRate,2),0))</f>
        <v/>
      </c>
      <c r="N221" s="27">
        <f>IF(L221="","",L221+M221)</f>
        <v/>
      </c>
      <c r="O221" s="24" t="n"/>
      <c r="P221" s="24" t="n"/>
      <c r="Q221" s="24" t="n"/>
      <c r="R221" s="22" t="n"/>
      <c r="S221" s="22" t="n"/>
      <c r="T221" s="24" t="n"/>
      <c r="U221" s="24" t="n"/>
      <c r="V221" s="25">
        <f>IF(COUNTA(A221,D221,C221,L221)=0,"",IF(A221="","No date - sits outside every month",IF(E221="","No job number",IF(F221="CHECK","Job number is not in the Xero job list",IF(I221="","No cost centre",IF(AND(P221="Y",C221=""),"Marked posted to Xero but has no invoice number",IF(AND(L221&lt;&gt;"",K221=""),"No tax code",IF(AND(L221&lt;&gt;"",O221=""),"No revenue GL code",""))))))))</f>
        <v/>
      </c>
      <c r="W221" s="25">
        <f>IF(E221="","",IFERROR(INDEX(lst_JobName,MATCH(E221&amp;"",lst_Jobs,0)),""))</f>
        <v/>
      </c>
      <c r="X221" s="28">
        <f>IF(E221="","",COUNTIFS(tbl_Finance[Job Number],E221&amp;"",tbl_Finance[Ex GST],"&lt;&gt;"))</f>
        <v/>
      </c>
      <c r="Y221" s="27">
        <f>IF(E221="","",SUMIFS(tbl_Finance[Ex GST],tbl_Finance[Job Number],E221&amp;""))</f>
        <v/>
      </c>
      <c r="Z221" s="27">
        <f>IF(E221="","",SUMIFS(tbl_Finance[Ex GST],tbl_Finance[Job Number],E221&amp;"",tbl_Finance[Xero Invoice No],"&lt;&gt;"))</f>
        <v/>
      </c>
      <c r="AA221" s="27">
        <f>IF(E221="","",Y221-Z221)</f>
        <v/>
      </c>
      <c r="AB221" s="25">
        <f>IF(E221="","",IF(H221="Onsite",IFERROR(INDEX(tbl_Onsite[Qwilr Quote],MATCH(E221&amp;"",tbl_Onsite[Job Number],0)),""),IF(H221="Production",IFERROR(INDEX(tbl_Production[Current RMS No],MATCH(E221&amp;"",tbl_Production[Job Number],0)),""),IF(H221="Consulting",IFERROR(INDEX(tbl_Consulting[Qwilr Quote],MATCH(E221&amp;"",tbl_Consulting[Job Number],0)),""),""))))</f>
        <v/>
      </c>
      <c r="AC221" s="25">
        <f>IF(AB221="","",IF(AND(LEFT(AB221,4)&lt;&gt;"http",IF(H221="Production",set_RMSBase,set_QwilrBase)=""),"",HYPERLINK(IF(LEFT(AB221,4)="http",AB221,IF(H221="Production",set_RMSBase,set_QwilrBase)&amp;AB221),"Open")))</f>
        <v/>
      </c>
      <c r="AD221" s="27">
        <f>IF(E221="","",IF(H221="Production",IFERROR(INDEX(tbl_Production[Total Expense],MATCH(E221&amp;"",tbl_Production[Job Number],0)),0),IF(H221="Consulting",IFERROR(INDEX(tbl_Consulting[Total Expense],MATCH(E221&amp;"",tbl_Consulting[Job Number],0)),0),0)))</f>
        <v/>
      </c>
      <c r="AE221" s="27">
        <f>IF(E221="","",Y221-N(AD221))</f>
        <v/>
      </c>
      <c r="AF221" s="29">
        <f>IFERROR(AE221/Y221,"")</f>
        <v/>
      </c>
      <c r="AG221" s="25">
        <f>IF(E221="","",IF(H221="Onsite",IFERROR(INDEX(tbl_Onsite[Notes],MATCH(E221&amp;"",tbl_Onsite[Job Number],0)),""),IF(H221="Production",IFERROR(INDEX(tbl_Production[Notes],MATCH(E221&amp;"",tbl_Production[Job Number],0)),""),IF(H221="Consulting",IFERROR(INDEX(tbl_Consulting[Notes],MATCH(E221&amp;"",tbl_Consulting[Job Number],0)),""),""))))</f>
        <v/>
      </c>
    </row>
    <row r="222" ht="15" customHeight="1">
      <c r="A222" s="22" t="n"/>
      <c r="B222" s="23">
        <f>IF(A222="","",EOMONTH(A222,0))</f>
        <v/>
      </c>
      <c r="C222" s="24" t="n"/>
      <c r="D222" s="24" t="n"/>
      <c r="E222" s="24" t="n"/>
      <c r="F222" s="25">
        <f>IF(E222="","",IF(COUNTIF(lst_Jobs,E222&amp;"")&gt;0,"OK","CHECK"))</f>
        <v/>
      </c>
      <c r="G222" s="24" t="n"/>
      <c r="H222" s="24" t="n"/>
      <c r="I222" s="24" t="n"/>
      <c r="J222" s="24" t="n"/>
      <c r="K222" s="24" t="n"/>
      <c r="L222" s="26" t="n"/>
      <c r="M222" s="27">
        <f>IF(L222="","",IF(K222="GST 10%",ROUND(L222*set_GSTRate,2),0))</f>
        <v/>
      </c>
      <c r="N222" s="27">
        <f>IF(L222="","",L222+M222)</f>
        <v/>
      </c>
      <c r="O222" s="24" t="n"/>
      <c r="P222" s="24" t="n"/>
      <c r="Q222" s="24" t="n"/>
      <c r="R222" s="22" t="n"/>
      <c r="S222" s="22" t="n"/>
      <c r="T222" s="24" t="n"/>
      <c r="U222" s="24" t="n"/>
      <c r="V222" s="25">
        <f>IF(COUNTA(A222,D222,C222,L222)=0,"",IF(A222="","No date - sits outside every month",IF(E222="","No job number",IF(F222="CHECK","Job number is not in the Xero job list",IF(I222="","No cost centre",IF(AND(P222="Y",C222=""),"Marked posted to Xero but has no invoice number",IF(AND(L222&lt;&gt;"",K222=""),"No tax code",IF(AND(L222&lt;&gt;"",O222=""),"No revenue GL code",""))))))))</f>
        <v/>
      </c>
      <c r="W222" s="25">
        <f>IF(E222="","",IFERROR(INDEX(lst_JobName,MATCH(E222&amp;"",lst_Jobs,0)),""))</f>
        <v/>
      </c>
      <c r="X222" s="28">
        <f>IF(E222="","",COUNTIFS(tbl_Finance[Job Number],E222&amp;"",tbl_Finance[Ex GST],"&lt;&gt;"))</f>
        <v/>
      </c>
      <c r="Y222" s="27">
        <f>IF(E222="","",SUMIFS(tbl_Finance[Ex GST],tbl_Finance[Job Number],E222&amp;""))</f>
        <v/>
      </c>
      <c r="Z222" s="27">
        <f>IF(E222="","",SUMIFS(tbl_Finance[Ex GST],tbl_Finance[Job Number],E222&amp;"",tbl_Finance[Xero Invoice No],"&lt;&gt;"))</f>
        <v/>
      </c>
      <c r="AA222" s="27">
        <f>IF(E222="","",Y222-Z222)</f>
        <v/>
      </c>
      <c r="AB222" s="25">
        <f>IF(E222="","",IF(H222="Onsite",IFERROR(INDEX(tbl_Onsite[Qwilr Quote],MATCH(E222&amp;"",tbl_Onsite[Job Number],0)),""),IF(H222="Production",IFERROR(INDEX(tbl_Production[Current RMS No],MATCH(E222&amp;"",tbl_Production[Job Number],0)),""),IF(H222="Consulting",IFERROR(INDEX(tbl_Consulting[Qwilr Quote],MATCH(E222&amp;"",tbl_Consulting[Job Number],0)),""),""))))</f>
        <v/>
      </c>
      <c r="AC222" s="25">
        <f>IF(AB222="","",IF(AND(LEFT(AB222,4)&lt;&gt;"http",IF(H222="Production",set_RMSBase,set_QwilrBase)=""),"",HYPERLINK(IF(LEFT(AB222,4)="http",AB222,IF(H222="Production",set_RMSBase,set_QwilrBase)&amp;AB222),"Open")))</f>
        <v/>
      </c>
      <c r="AD222" s="27">
        <f>IF(E222="","",IF(H222="Production",IFERROR(INDEX(tbl_Production[Total Expense],MATCH(E222&amp;"",tbl_Production[Job Number],0)),0),IF(H222="Consulting",IFERROR(INDEX(tbl_Consulting[Total Expense],MATCH(E222&amp;"",tbl_Consulting[Job Number],0)),0),0)))</f>
        <v/>
      </c>
      <c r="AE222" s="27">
        <f>IF(E222="","",Y222-N(AD222))</f>
        <v/>
      </c>
      <c r="AF222" s="29">
        <f>IFERROR(AE222/Y222,"")</f>
        <v/>
      </c>
      <c r="AG222" s="25">
        <f>IF(E222="","",IF(H222="Onsite",IFERROR(INDEX(tbl_Onsite[Notes],MATCH(E222&amp;"",tbl_Onsite[Job Number],0)),""),IF(H222="Production",IFERROR(INDEX(tbl_Production[Notes],MATCH(E222&amp;"",tbl_Production[Job Number],0)),""),IF(H222="Consulting",IFERROR(INDEX(tbl_Consulting[Notes],MATCH(E222&amp;"",tbl_Consulting[Job Number],0)),""),""))))</f>
        <v/>
      </c>
    </row>
    <row r="223" ht="15" customHeight="1">
      <c r="A223" s="22" t="n"/>
      <c r="B223" s="23">
        <f>IF(A223="","",EOMONTH(A223,0))</f>
        <v/>
      </c>
      <c r="C223" s="24" t="n"/>
      <c r="D223" s="24" t="n"/>
      <c r="E223" s="24" t="n"/>
      <c r="F223" s="25">
        <f>IF(E223="","",IF(COUNTIF(lst_Jobs,E223&amp;"")&gt;0,"OK","CHECK"))</f>
        <v/>
      </c>
      <c r="G223" s="24" t="n"/>
      <c r="H223" s="24" t="n"/>
      <c r="I223" s="24" t="n"/>
      <c r="J223" s="24" t="n"/>
      <c r="K223" s="24" t="n"/>
      <c r="L223" s="26" t="n"/>
      <c r="M223" s="27">
        <f>IF(L223="","",IF(K223="GST 10%",ROUND(L223*set_GSTRate,2),0))</f>
        <v/>
      </c>
      <c r="N223" s="27">
        <f>IF(L223="","",L223+M223)</f>
        <v/>
      </c>
      <c r="O223" s="24" t="n"/>
      <c r="P223" s="24" t="n"/>
      <c r="Q223" s="24" t="n"/>
      <c r="R223" s="22" t="n"/>
      <c r="S223" s="22" t="n"/>
      <c r="T223" s="24" t="n"/>
      <c r="U223" s="24" t="n"/>
      <c r="V223" s="25">
        <f>IF(COUNTA(A223,D223,C223,L223)=0,"",IF(A223="","No date - sits outside every month",IF(E223="","No job number",IF(F223="CHECK","Job number is not in the Xero job list",IF(I223="","No cost centre",IF(AND(P223="Y",C223=""),"Marked posted to Xero but has no invoice number",IF(AND(L223&lt;&gt;"",K223=""),"No tax code",IF(AND(L223&lt;&gt;"",O223=""),"No revenue GL code",""))))))))</f>
        <v/>
      </c>
      <c r="W223" s="25">
        <f>IF(E223="","",IFERROR(INDEX(lst_JobName,MATCH(E223&amp;"",lst_Jobs,0)),""))</f>
        <v/>
      </c>
      <c r="X223" s="28">
        <f>IF(E223="","",COUNTIFS(tbl_Finance[Job Number],E223&amp;"",tbl_Finance[Ex GST],"&lt;&gt;"))</f>
        <v/>
      </c>
      <c r="Y223" s="27">
        <f>IF(E223="","",SUMIFS(tbl_Finance[Ex GST],tbl_Finance[Job Number],E223&amp;""))</f>
        <v/>
      </c>
      <c r="Z223" s="27">
        <f>IF(E223="","",SUMIFS(tbl_Finance[Ex GST],tbl_Finance[Job Number],E223&amp;"",tbl_Finance[Xero Invoice No],"&lt;&gt;"))</f>
        <v/>
      </c>
      <c r="AA223" s="27">
        <f>IF(E223="","",Y223-Z223)</f>
        <v/>
      </c>
      <c r="AB223" s="25">
        <f>IF(E223="","",IF(H223="Onsite",IFERROR(INDEX(tbl_Onsite[Qwilr Quote],MATCH(E223&amp;"",tbl_Onsite[Job Number],0)),""),IF(H223="Production",IFERROR(INDEX(tbl_Production[Current RMS No],MATCH(E223&amp;"",tbl_Production[Job Number],0)),""),IF(H223="Consulting",IFERROR(INDEX(tbl_Consulting[Qwilr Quote],MATCH(E223&amp;"",tbl_Consulting[Job Number],0)),""),""))))</f>
        <v/>
      </c>
      <c r="AC223" s="25">
        <f>IF(AB223="","",IF(AND(LEFT(AB223,4)&lt;&gt;"http",IF(H223="Production",set_RMSBase,set_QwilrBase)=""),"",HYPERLINK(IF(LEFT(AB223,4)="http",AB223,IF(H223="Production",set_RMSBase,set_QwilrBase)&amp;AB223),"Open")))</f>
        <v/>
      </c>
      <c r="AD223" s="27">
        <f>IF(E223="","",IF(H223="Production",IFERROR(INDEX(tbl_Production[Total Expense],MATCH(E223&amp;"",tbl_Production[Job Number],0)),0),IF(H223="Consulting",IFERROR(INDEX(tbl_Consulting[Total Expense],MATCH(E223&amp;"",tbl_Consulting[Job Number],0)),0),0)))</f>
        <v/>
      </c>
      <c r="AE223" s="27">
        <f>IF(E223="","",Y223-N(AD223))</f>
        <v/>
      </c>
      <c r="AF223" s="29">
        <f>IFERROR(AE223/Y223,"")</f>
        <v/>
      </c>
      <c r="AG223" s="25">
        <f>IF(E223="","",IF(H223="Onsite",IFERROR(INDEX(tbl_Onsite[Notes],MATCH(E223&amp;"",tbl_Onsite[Job Number],0)),""),IF(H223="Production",IFERROR(INDEX(tbl_Production[Notes],MATCH(E223&amp;"",tbl_Production[Job Number],0)),""),IF(H223="Consulting",IFERROR(INDEX(tbl_Consulting[Notes],MATCH(E223&amp;"",tbl_Consulting[Job Number],0)),""),""))))</f>
        <v/>
      </c>
    </row>
    <row r="224" ht="15" customHeight="1">
      <c r="A224" s="22" t="n"/>
      <c r="B224" s="23">
        <f>IF(A224="","",EOMONTH(A224,0))</f>
        <v/>
      </c>
      <c r="C224" s="24" t="n"/>
      <c r="D224" s="24" t="n"/>
      <c r="E224" s="24" t="n"/>
      <c r="F224" s="25">
        <f>IF(E224="","",IF(COUNTIF(lst_Jobs,E224&amp;"")&gt;0,"OK","CHECK"))</f>
        <v/>
      </c>
      <c r="G224" s="24" t="n"/>
      <c r="H224" s="24" t="n"/>
      <c r="I224" s="24" t="n"/>
      <c r="J224" s="24" t="n"/>
      <c r="K224" s="24" t="n"/>
      <c r="L224" s="26" t="n"/>
      <c r="M224" s="27">
        <f>IF(L224="","",IF(K224="GST 10%",ROUND(L224*set_GSTRate,2),0))</f>
        <v/>
      </c>
      <c r="N224" s="27">
        <f>IF(L224="","",L224+M224)</f>
        <v/>
      </c>
      <c r="O224" s="24" t="n"/>
      <c r="P224" s="24" t="n"/>
      <c r="Q224" s="24" t="n"/>
      <c r="R224" s="22" t="n"/>
      <c r="S224" s="22" t="n"/>
      <c r="T224" s="24" t="n"/>
      <c r="U224" s="24" t="n"/>
      <c r="V224" s="25">
        <f>IF(COUNTA(A224,D224,C224,L224)=0,"",IF(A224="","No date - sits outside every month",IF(E224="","No job number",IF(F224="CHECK","Job number is not in the Xero job list",IF(I224="","No cost centre",IF(AND(P224="Y",C224=""),"Marked posted to Xero but has no invoice number",IF(AND(L224&lt;&gt;"",K224=""),"No tax code",IF(AND(L224&lt;&gt;"",O224=""),"No revenue GL code",""))))))))</f>
        <v/>
      </c>
      <c r="W224" s="25">
        <f>IF(E224="","",IFERROR(INDEX(lst_JobName,MATCH(E224&amp;"",lst_Jobs,0)),""))</f>
        <v/>
      </c>
      <c r="X224" s="28">
        <f>IF(E224="","",COUNTIFS(tbl_Finance[Job Number],E224&amp;"",tbl_Finance[Ex GST],"&lt;&gt;"))</f>
        <v/>
      </c>
      <c r="Y224" s="27">
        <f>IF(E224="","",SUMIFS(tbl_Finance[Ex GST],tbl_Finance[Job Number],E224&amp;""))</f>
        <v/>
      </c>
      <c r="Z224" s="27">
        <f>IF(E224="","",SUMIFS(tbl_Finance[Ex GST],tbl_Finance[Job Number],E224&amp;"",tbl_Finance[Xero Invoice No],"&lt;&gt;"))</f>
        <v/>
      </c>
      <c r="AA224" s="27">
        <f>IF(E224="","",Y224-Z224)</f>
        <v/>
      </c>
      <c r="AB224" s="25">
        <f>IF(E224="","",IF(H224="Onsite",IFERROR(INDEX(tbl_Onsite[Qwilr Quote],MATCH(E224&amp;"",tbl_Onsite[Job Number],0)),""),IF(H224="Production",IFERROR(INDEX(tbl_Production[Current RMS No],MATCH(E224&amp;"",tbl_Production[Job Number],0)),""),IF(H224="Consulting",IFERROR(INDEX(tbl_Consulting[Qwilr Quote],MATCH(E224&amp;"",tbl_Consulting[Job Number],0)),""),""))))</f>
        <v/>
      </c>
      <c r="AC224" s="25">
        <f>IF(AB224="","",IF(AND(LEFT(AB224,4)&lt;&gt;"http",IF(H224="Production",set_RMSBase,set_QwilrBase)=""),"",HYPERLINK(IF(LEFT(AB224,4)="http",AB224,IF(H224="Production",set_RMSBase,set_QwilrBase)&amp;AB224),"Open")))</f>
        <v/>
      </c>
      <c r="AD224" s="27">
        <f>IF(E224="","",IF(H224="Production",IFERROR(INDEX(tbl_Production[Total Expense],MATCH(E224&amp;"",tbl_Production[Job Number],0)),0),IF(H224="Consulting",IFERROR(INDEX(tbl_Consulting[Total Expense],MATCH(E224&amp;"",tbl_Consulting[Job Number],0)),0),0)))</f>
        <v/>
      </c>
      <c r="AE224" s="27">
        <f>IF(E224="","",Y224-N(AD224))</f>
        <v/>
      </c>
      <c r="AF224" s="29">
        <f>IFERROR(AE224/Y224,"")</f>
        <v/>
      </c>
      <c r="AG224" s="25">
        <f>IF(E224="","",IF(H224="Onsite",IFERROR(INDEX(tbl_Onsite[Notes],MATCH(E224&amp;"",tbl_Onsite[Job Number],0)),""),IF(H224="Production",IFERROR(INDEX(tbl_Production[Notes],MATCH(E224&amp;"",tbl_Production[Job Number],0)),""),IF(H224="Consulting",IFERROR(INDEX(tbl_Consulting[Notes],MATCH(E224&amp;"",tbl_Consulting[Job Number],0)),""),""))))</f>
        <v/>
      </c>
    </row>
    <row r="225" ht="15" customHeight="1">
      <c r="A225" s="22" t="n"/>
      <c r="B225" s="23">
        <f>IF(A225="","",EOMONTH(A225,0))</f>
        <v/>
      </c>
      <c r="C225" s="24" t="n"/>
      <c r="D225" s="24" t="n"/>
      <c r="E225" s="24" t="n"/>
      <c r="F225" s="25">
        <f>IF(E225="","",IF(COUNTIF(lst_Jobs,E225&amp;"")&gt;0,"OK","CHECK"))</f>
        <v/>
      </c>
      <c r="G225" s="24" t="n"/>
      <c r="H225" s="24" t="n"/>
      <c r="I225" s="24" t="n"/>
      <c r="J225" s="24" t="n"/>
      <c r="K225" s="24" t="n"/>
      <c r="L225" s="26" t="n"/>
      <c r="M225" s="27">
        <f>IF(L225="","",IF(K225="GST 10%",ROUND(L225*set_GSTRate,2),0))</f>
        <v/>
      </c>
      <c r="N225" s="27">
        <f>IF(L225="","",L225+M225)</f>
        <v/>
      </c>
      <c r="O225" s="24" t="n"/>
      <c r="P225" s="24" t="n"/>
      <c r="Q225" s="24" t="n"/>
      <c r="R225" s="22" t="n"/>
      <c r="S225" s="22" t="n"/>
      <c r="T225" s="24" t="n"/>
      <c r="U225" s="24" t="n"/>
      <c r="V225" s="25">
        <f>IF(COUNTA(A225,D225,C225,L225)=0,"",IF(A225="","No date - sits outside every month",IF(E225="","No job number",IF(F225="CHECK","Job number is not in the Xero job list",IF(I225="","No cost centre",IF(AND(P225="Y",C225=""),"Marked posted to Xero but has no invoice number",IF(AND(L225&lt;&gt;"",K225=""),"No tax code",IF(AND(L225&lt;&gt;"",O225=""),"No revenue GL code",""))))))))</f>
        <v/>
      </c>
      <c r="W225" s="25">
        <f>IF(E225="","",IFERROR(INDEX(lst_JobName,MATCH(E225&amp;"",lst_Jobs,0)),""))</f>
        <v/>
      </c>
      <c r="X225" s="28">
        <f>IF(E225="","",COUNTIFS(tbl_Finance[Job Number],E225&amp;"",tbl_Finance[Ex GST],"&lt;&gt;"))</f>
        <v/>
      </c>
      <c r="Y225" s="27">
        <f>IF(E225="","",SUMIFS(tbl_Finance[Ex GST],tbl_Finance[Job Number],E225&amp;""))</f>
        <v/>
      </c>
      <c r="Z225" s="27">
        <f>IF(E225="","",SUMIFS(tbl_Finance[Ex GST],tbl_Finance[Job Number],E225&amp;"",tbl_Finance[Xero Invoice No],"&lt;&gt;"))</f>
        <v/>
      </c>
      <c r="AA225" s="27">
        <f>IF(E225="","",Y225-Z225)</f>
        <v/>
      </c>
      <c r="AB225" s="25">
        <f>IF(E225="","",IF(H225="Onsite",IFERROR(INDEX(tbl_Onsite[Qwilr Quote],MATCH(E225&amp;"",tbl_Onsite[Job Number],0)),""),IF(H225="Production",IFERROR(INDEX(tbl_Production[Current RMS No],MATCH(E225&amp;"",tbl_Production[Job Number],0)),""),IF(H225="Consulting",IFERROR(INDEX(tbl_Consulting[Qwilr Quote],MATCH(E225&amp;"",tbl_Consulting[Job Number],0)),""),""))))</f>
        <v/>
      </c>
      <c r="AC225" s="25">
        <f>IF(AB225="","",IF(AND(LEFT(AB225,4)&lt;&gt;"http",IF(H225="Production",set_RMSBase,set_QwilrBase)=""),"",HYPERLINK(IF(LEFT(AB225,4)="http",AB225,IF(H225="Production",set_RMSBase,set_QwilrBase)&amp;AB225),"Open")))</f>
        <v/>
      </c>
      <c r="AD225" s="27">
        <f>IF(E225="","",IF(H225="Production",IFERROR(INDEX(tbl_Production[Total Expense],MATCH(E225&amp;"",tbl_Production[Job Number],0)),0),IF(H225="Consulting",IFERROR(INDEX(tbl_Consulting[Total Expense],MATCH(E225&amp;"",tbl_Consulting[Job Number],0)),0),0)))</f>
        <v/>
      </c>
      <c r="AE225" s="27">
        <f>IF(E225="","",Y225-N(AD225))</f>
        <v/>
      </c>
      <c r="AF225" s="29">
        <f>IFERROR(AE225/Y225,"")</f>
        <v/>
      </c>
      <c r="AG225" s="25">
        <f>IF(E225="","",IF(H225="Onsite",IFERROR(INDEX(tbl_Onsite[Notes],MATCH(E225&amp;"",tbl_Onsite[Job Number],0)),""),IF(H225="Production",IFERROR(INDEX(tbl_Production[Notes],MATCH(E225&amp;"",tbl_Production[Job Number],0)),""),IF(H225="Consulting",IFERROR(INDEX(tbl_Consulting[Notes],MATCH(E225&amp;"",tbl_Consulting[Job Number],0)),""),""))))</f>
        <v/>
      </c>
    </row>
    <row r="226" ht="15" customHeight="1">
      <c r="A226" s="22" t="n"/>
      <c r="B226" s="23">
        <f>IF(A226="","",EOMONTH(A226,0))</f>
        <v/>
      </c>
      <c r="C226" s="24" t="n"/>
      <c r="D226" s="24" t="n"/>
      <c r="E226" s="24" t="n"/>
      <c r="F226" s="25">
        <f>IF(E226="","",IF(COUNTIF(lst_Jobs,E226&amp;"")&gt;0,"OK","CHECK"))</f>
        <v/>
      </c>
      <c r="G226" s="24" t="n"/>
      <c r="H226" s="24" t="n"/>
      <c r="I226" s="24" t="n"/>
      <c r="J226" s="24" t="n"/>
      <c r="K226" s="24" t="n"/>
      <c r="L226" s="26" t="n"/>
      <c r="M226" s="27">
        <f>IF(L226="","",IF(K226="GST 10%",ROUND(L226*set_GSTRate,2),0))</f>
        <v/>
      </c>
      <c r="N226" s="27">
        <f>IF(L226="","",L226+M226)</f>
        <v/>
      </c>
      <c r="O226" s="24" t="n"/>
      <c r="P226" s="24" t="n"/>
      <c r="Q226" s="24" t="n"/>
      <c r="R226" s="22" t="n"/>
      <c r="S226" s="22" t="n"/>
      <c r="T226" s="24" t="n"/>
      <c r="U226" s="24" t="n"/>
      <c r="V226" s="25">
        <f>IF(COUNTA(A226,D226,C226,L226)=0,"",IF(A226="","No date - sits outside every month",IF(E226="","No job number",IF(F226="CHECK","Job number is not in the Xero job list",IF(I226="","No cost centre",IF(AND(P226="Y",C226=""),"Marked posted to Xero but has no invoice number",IF(AND(L226&lt;&gt;"",K226=""),"No tax code",IF(AND(L226&lt;&gt;"",O226=""),"No revenue GL code",""))))))))</f>
        <v/>
      </c>
      <c r="W226" s="25">
        <f>IF(E226="","",IFERROR(INDEX(lst_JobName,MATCH(E226&amp;"",lst_Jobs,0)),""))</f>
        <v/>
      </c>
      <c r="X226" s="28">
        <f>IF(E226="","",COUNTIFS(tbl_Finance[Job Number],E226&amp;"",tbl_Finance[Ex GST],"&lt;&gt;"))</f>
        <v/>
      </c>
      <c r="Y226" s="27">
        <f>IF(E226="","",SUMIFS(tbl_Finance[Ex GST],tbl_Finance[Job Number],E226&amp;""))</f>
        <v/>
      </c>
      <c r="Z226" s="27">
        <f>IF(E226="","",SUMIFS(tbl_Finance[Ex GST],tbl_Finance[Job Number],E226&amp;"",tbl_Finance[Xero Invoice No],"&lt;&gt;"))</f>
        <v/>
      </c>
      <c r="AA226" s="27">
        <f>IF(E226="","",Y226-Z226)</f>
        <v/>
      </c>
      <c r="AB226" s="25">
        <f>IF(E226="","",IF(H226="Onsite",IFERROR(INDEX(tbl_Onsite[Qwilr Quote],MATCH(E226&amp;"",tbl_Onsite[Job Number],0)),""),IF(H226="Production",IFERROR(INDEX(tbl_Production[Current RMS No],MATCH(E226&amp;"",tbl_Production[Job Number],0)),""),IF(H226="Consulting",IFERROR(INDEX(tbl_Consulting[Qwilr Quote],MATCH(E226&amp;"",tbl_Consulting[Job Number],0)),""),""))))</f>
        <v/>
      </c>
      <c r="AC226" s="25">
        <f>IF(AB226="","",IF(AND(LEFT(AB226,4)&lt;&gt;"http",IF(H226="Production",set_RMSBase,set_QwilrBase)=""),"",HYPERLINK(IF(LEFT(AB226,4)="http",AB226,IF(H226="Production",set_RMSBase,set_QwilrBase)&amp;AB226),"Open")))</f>
        <v/>
      </c>
      <c r="AD226" s="27">
        <f>IF(E226="","",IF(H226="Production",IFERROR(INDEX(tbl_Production[Total Expense],MATCH(E226&amp;"",tbl_Production[Job Number],0)),0),IF(H226="Consulting",IFERROR(INDEX(tbl_Consulting[Total Expense],MATCH(E226&amp;"",tbl_Consulting[Job Number],0)),0),0)))</f>
        <v/>
      </c>
      <c r="AE226" s="27">
        <f>IF(E226="","",Y226-N(AD226))</f>
        <v/>
      </c>
      <c r="AF226" s="29">
        <f>IFERROR(AE226/Y226,"")</f>
        <v/>
      </c>
      <c r="AG226" s="25">
        <f>IF(E226="","",IF(H226="Onsite",IFERROR(INDEX(tbl_Onsite[Notes],MATCH(E226&amp;"",tbl_Onsite[Job Number],0)),""),IF(H226="Production",IFERROR(INDEX(tbl_Production[Notes],MATCH(E226&amp;"",tbl_Production[Job Number],0)),""),IF(H226="Consulting",IFERROR(INDEX(tbl_Consulting[Notes],MATCH(E226&amp;"",tbl_Consulting[Job Number],0)),""),""))))</f>
        <v/>
      </c>
    </row>
    <row r="227" ht="15" customHeight="1">
      <c r="A227" s="22" t="n"/>
      <c r="B227" s="23">
        <f>IF(A227="","",EOMONTH(A227,0))</f>
        <v/>
      </c>
      <c r="C227" s="24" t="n"/>
      <c r="D227" s="24" t="n"/>
      <c r="E227" s="24" t="n"/>
      <c r="F227" s="25">
        <f>IF(E227="","",IF(COUNTIF(lst_Jobs,E227&amp;"")&gt;0,"OK","CHECK"))</f>
        <v/>
      </c>
      <c r="G227" s="24" t="n"/>
      <c r="H227" s="24" t="n"/>
      <c r="I227" s="24" t="n"/>
      <c r="J227" s="24" t="n"/>
      <c r="K227" s="24" t="n"/>
      <c r="L227" s="26" t="n"/>
      <c r="M227" s="27">
        <f>IF(L227="","",IF(K227="GST 10%",ROUND(L227*set_GSTRate,2),0))</f>
        <v/>
      </c>
      <c r="N227" s="27">
        <f>IF(L227="","",L227+M227)</f>
        <v/>
      </c>
      <c r="O227" s="24" t="n"/>
      <c r="P227" s="24" t="n"/>
      <c r="Q227" s="24" t="n"/>
      <c r="R227" s="22" t="n"/>
      <c r="S227" s="22" t="n"/>
      <c r="T227" s="24" t="n"/>
      <c r="U227" s="24" t="n"/>
      <c r="V227" s="25">
        <f>IF(COUNTA(A227,D227,C227,L227)=0,"",IF(A227="","No date - sits outside every month",IF(E227="","No job number",IF(F227="CHECK","Job number is not in the Xero job list",IF(I227="","No cost centre",IF(AND(P227="Y",C227=""),"Marked posted to Xero but has no invoice number",IF(AND(L227&lt;&gt;"",K227=""),"No tax code",IF(AND(L227&lt;&gt;"",O227=""),"No revenue GL code",""))))))))</f>
        <v/>
      </c>
      <c r="W227" s="25">
        <f>IF(E227="","",IFERROR(INDEX(lst_JobName,MATCH(E227&amp;"",lst_Jobs,0)),""))</f>
        <v/>
      </c>
      <c r="X227" s="28">
        <f>IF(E227="","",COUNTIFS(tbl_Finance[Job Number],E227&amp;"",tbl_Finance[Ex GST],"&lt;&gt;"))</f>
        <v/>
      </c>
      <c r="Y227" s="27">
        <f>IF(E227="","",SUMIFS(tbl_Finance[Ex GST],tbl_Finance[Job Number],E227&amp;""))</f>
        <v/>
      </c>
      <c r="Z227" s="27">
        <f>IF(E227="","",SUMIFS(tbl_Finance[Ex GST],tbl_Finance[Job Number],E227&amp;"",tbl_Finance[Xero Invoice No],"&lt;&gt;"))</f>
        <v/>
      </c>
      <c r="AA227" s="27">
        <f>IF(E227="","",Y227-Z227)</f>
        <v/>
      </c>
      <c r="AB227" s="25">
        <f>IF(E227="","",IF(H227="Onsite",IFERROR(INDEX(tbl_Onsite[Qwilr Quote],MATCH(E227&amp;"",tbl_Onsite[Job Number],0)),""),IF(H227="Production",IFERROR(INDEX(tbl_Production[Current RMS No],MATCH(E227&amp;"",tbl_Production[Job Number],0)),""),IF(H227="Consulting",IFERROR(INDEX(tbl_Consulting[Qwilr Quote],MATCH(E227&amp;"",tbl_Consulting[Job Number],0)),""),""))))</f>
        <v/>
      </c>
      <c r="AC227" s="25">
        <f>IF(AB227="","",IF(AND(LEFT(AB227,4)&lt;&gt;"http",IF(H227="Production",set_RMSBase,set_QwilrBase)=""),"",HYPERLINK(IF(LEFT(AB227,4)="http",AB227,IF(H227="Production",set_RMSBase,set_QwilrBase)&amp;AB227),"Open")))</f>
        <v/>
      </c>
      <c r="AD227" s="27">
        <f>IF(E227="","",IF(H227="Production",IFERROR(INDEX(tbl_Production[Total Expense],MATCH(E227&amp;"",tbl_Production[Job Number],0)),0),IF(H227="Consulting",IFERROR(INDEX(tbl_Consulting[Total Expense],MATCH(E227&amp;"",tbl_Consulting[Job Number],0)),0),0)))</f>
        <v/>
      </c>
      <c r="AE227" s="27">
        <f>IF(E227="","",Y227-N(AD227))</f>
        <v/>
      </c>
      <c r="AF227" s="29">
        <f>IFERROR(AE227/Y227,"")</f>
        <v/>
      </c>
      <c r="AG227" s="25">
        <f>IF(E227="","",IF(H227="Onsite",IFERROR(INDEX(tbl_Onsite[Notes],MATCH(E227&amp;"",tbl_Onsite[Job Number],0)),""),IF(H227="Production",IFERROR(INDEX(tbl_Production[Notes],MATCH(E227&amp;"",tbl_Production[Job Number],0)),""),IF(H227="Consulting",IFERROR(INDEX(tbl_Consulting[Notes],MATCH(E227&amp;"",tbl_Consulting[Job Number],0)),""),""))))</f>
        <v/>
      </c>
    </row>
    <row r="228" ht="15" customHeight="1">
      <c r="A228" s="22" t="n"/>
      <c r="B228" s="23">
        <f>IF(A228="","",EOMONTH(A228,0))</f>
        <v/>
      </c>
      <c r="C228" s="24" t="n"/>
      <c r="D228" s="24" t="n"/>
      <c r="E228" s="24" t="n"/>
      <c r="F228" s="25">
        <f>IF(E228="","",IF(COUNTIF(lst_Jobs,E228&amp;"")&gt;0,"OK","CHECK"))</f>
        <v/>
      </c>
      <c r="G228" s="24" t="n"/>
      <c r="H228" s="24" t="n"/>
      <c r="I228" s="24" t="n"/>
      <c r="J228" s="24" t="n"/>
      <c r="K228" s="24" t="n"/>
      <c r="L228" s="26" t="n"/>
      <c r="M228" s="27">
        <f>IF(L228="","",IF(K228="GST 10%",ROUND(L228*set_GSTRate,2),0))</f>
        <v/>
      </c>
      <c r="N228" s="27">
        <f>IF(L228="","",L228+M228)</f>
        <v/>
      </c>
      <c r="O228" s="24" t="n"/>
      <c r="P228" s="24" t="n"/>
      <c r="Q228" s="24" t="n"/>
      <c r="R228" s="22" t="n"/>
      <c r="S228" s="22" t="n"/>
      <c r="T228" s="24" t="n"/>
      <c r="U228" s="24" t="n"/>
      <c r="V228" s="25">
        <f>IF(COUNTA(A228,D228,C228,L228)=0,"",IF(A228="","No date - sits outside every month",IF(E228="","No job number",IF(F228="CHECK","Job number is not in the Xero job list",IF(I228="","No cost centre",IF(AND(P228="Y",C228=""),"Marked posted to Xero but has no invoice number",IF(AND(L228&lt;&gt;"",K228=""),"No tax code",IF(AND(L228&lt;&gt;"",O228=""),"No revenue GL code",""))))))))</f>
        <v/>
      </c>
      <c r="W228" s="25">
        <f>IF(E228="","",IFERROR(INDEX(lst_JobName,MATCH(E228&amp;"",lst_Jobs,0)),""))</f>
        <v/>
      </c>
      <c r="X228" s="28">
        <f>IF(E228="","",COUNTIFS(tbl_Finance[Job Number],E228&amp;"",tbl_Finance[Ex GST],"&lt;&gt;"))</f>
        <v/>
      </c>
      <c r="Y228" s="27">
        <f>IF(E228="","",SUMIFS(tbl_Finance[Ex GST],tbl_Finance[Job Number],E228&amp;""))</f>
        <v/>
      </c>
      <c r="Z228" s="27">
        <f>IF(E228="","",SUMIFS(tbl_Finance[Ex GST],tbl_Finance[Job Number],E228&amp;"",tbl_Finance[Xero Invoice No],"&lt;&gt;"))</f>
        <v/>
      </c>
      <c r="AA228" s="27">
        <f>IF(E228="","",Y228-Z228)</f>
        <v/>
      </c>
      <c r="AB228" s="25">
        <f>IF(E228="","",IF(H228="Onsite",IFERROR(INDEX(tbl_Onsite[Qwilr Quote],MATCH(E228&amp;"",tbl_Onsite[Job Number],0)),""),IF(H228="Production",IFERROR(INDEX(tbl_Production[Current RMS No],MATCH(E228&amp;"",tbl_Production[Job Number],0)),""),IF(H228="Consulting",IFERROR(INDEX(tbl_Consulting[Qwilr Quote],MATCH(E228&amp;"",tbl_Consulting[Job Number],0)),""),""))))</f>
        <v/>
      </c>
      <c r="AC228" s="25">
        <f>IF(AB228="","",IF(AND(LEFT(AB228,4)&lt;&gt;"http",IF(H228="Production",set_RMSBase,set_QwilrBase)=""),"",HYPERLINK(IF(LEFT(AB228,4)="http",AB228,IF(H228="Production",set_RMSBase,set_QwilrBase)&amp;AB228),"Open")))</f>
        <v/>
      </c>
      <c r="AD228" s="27">
        <f>IF(E228="","",IF(H228="Production",IFERROR(INDEX(tbl_Production[Total Expense],MATCH(E228&amp;"",tbl_Production[Job Number],0)),0),IF(H228="Consulting",IFERROR(INDEX(tbl_Consulting[Total Expense],MATCH(E228&amp;"",tbl_Consulting[Job Number],0)),0),0)))</f>
        <v/>
      </c>
      <c r="AE228" s="27">
        <f>IF(E228="","",Y228-N(AD228))</f>
        <v/>
      </c>
      <c r="AF228" s="29">
        <f>IFERROR(AE228/Y228,"")</f>
        <v/>
      </c>
      <c r="AG228" s="25">
        <f>IF(E228="","",IF(H228="Onsite",IFERROR(INDEX(tbl_Onsite[Notes],MATCH(E228&amp;"",tbl_Onsite[Job Number],0)),""),IF(H228="Production",IFERROR(INDEX(tbl_Production[Notes],MATCH(E228&amp;"",tbl_Production[Job Number],0)),""),IF(H228="Consulting",IFERROR(INDEX(tbl_Consulting[Notes],MATCH(E228&amp;"",tbl_Consulting[Job Number],0)),""),""))))</f>
        <v/>
      </c>
    </row>
    <row r="229" ht="15" customHeight="1">
      <c r="A229" s="22" t="n"/>
      <c r="B229" s="23">
        <f>IF(A229="","",EOMONTH(A229,0))</f>
        <v/>
      </c>
      <c r="C229" s="24" t="n"/>
      <c r="D229" s="24" t="n"/>
      <c r="E229" s="24" t="n"/>
      <c r="F229" s="25">
        <f>IF(E229="","",IF(COUNTIF(lst_Jobs,E229&amp;"")&gt;0,"OK","CHECK"))</f>
        <v/>
      </c>
      <c r="G229" s="24" t="n"/>
      <c r="H229" s="24" t="n"/>
      <c r="I229" s="24" t="n"/>
      <c r="J229" s="24" t="n"/>
      <c r="K229" s="24" t="n"/>
      <c r="L229" s="26" t="n"/>
      <c r="M229" s="27">
        <f>IF(L229="","",IF(K229="GST 10%",ROUND(L229*set_GSTRate,2),0))</f>
        <v/>
      </c>
      <c r="N229" s="27">
        <f>IF(L229="","",L229+M229)</f>
        <v/>
      </c>
      <c r="O229" s="24" t="n"/>
      <c r="P229" s="24" t="n"/>
      <c r="Q229" s="24" t="n"/>
      <c r="R229" s="22" t="n"/>
      <c r="S229" s="22" t="n"/>
      <c r="T229" s="24" t="n"/>
      <c r="U229" s="24" t="n"/>
      <c r="V229" s="25">
        <f>IF(COUNTA(A229,D229,C229,L229)=0,"",IF(A229="","No date - sits outside every month",IF(E229="","No job number",IF(F229="CHECK","Job number is not in the Xero job list",IF(I229="","No cost centre",IF(AND(P229="Y",C229=""),"Marked posted to Xero but has no invoice number",IF(AND(L229&lt;&gt;"",K229=""),"No tax code",IF(AND(L229&lt;&gt;"",O229=""),"No revenue GL code",""))))))))</f>
        <v/>
      </c>
      <c r="W229" s="25">
        <f>IF(E229="","",IFERROR(INDEX(lst_JobName,MATCH(E229&amp;"",lst_Jobs,0)),""))</f>
        <v/>
      </c>
      <c r="X229" s="28">
        <f>IF(E229="","",COUNTIFS(tbl_Finance[Job Number],E229&amp;"",tbl_Finance[Ex GST],"&lt;&gt;"))</f>
        <v/>
      </c>
      <c r="Y229" s="27">
        <f>IF(E229="","",SUMIFS(tbl_Finance[Ex GST],tbl_Finance[Job Number],E229&amp;""))</f>
        <v/>
      </c>
      <c r="Z229" s="27">
        <f>IF(E229="","",SUMIFS(tbl_Finance[Ex GST],tbl_Finance[Job Number],E229&amp;"",tbl_Finance[Xero Invoice No],"&lt;&gt;"))</f>
        <v/>
      </c>
      <c r="AA229" s="27">
        <f>IF(E229="","",Y229-Z229)</f>
        <v/>
      </c>
      <c r="AB229" s="25">
        <f>IF(E229="","",IF(H229="Onsite",IFERROR(INDEX(tbl_Onsite[Qwilr Quote],MATCH(E229&amp;"",tbl_Onsite[Job Number],0)),""),IF(H229="Production",IFERROR(INDEX(tbl_Production[Current RMS No],MATCH(E229&amp;"",tbl_Production[Job Number],0)),""),IF(H229="Consulting",IFERROR(INDEX(tbl_Consulting[Qwilr Quote],MATCH(E229&amp;"",tbl_Consulting[Job Number],0)),""),""))))</f>
        <v/>
      </c>
      <c r="AC229" s="25">
        <f>IF(AB229="","",IF(AND(LEFT(AB229,4)&lt;&gt;"http",IF(H229="Production",set_RMSBase,set_QwilrBase)=""),"",HYPERLINK(IF(LEFT(AB229,4)="http",AB229,IF(H229="Production",set_RMSBase,set_QwilrBase)&amp;AB229),"Open")))</f>
        <v/>
      </c>
      <c r="AD229" s="27">
        <f>IF(E229="","",IF(H229="Production",IFERROR(INDEX(tbl_Production[Total Expense],MATCH(E229&amp;"",tbl_Production[Job Number],0)),0),IF(H229="Consulting",IFERROR(INDEX(tbl_Consulting[Total Expense],MATCH(E229&amp;"",tbl_Consulting[Job Number],0)),0),0)))</f>
        <v/>
      </c>
      <c r="AE229" s="27">
        <f>IF(E229="","",Y229-N(AD229))</f>
        <v/>
      </c>
      <c r="AF229" s="29">
        <f>IFERROR(AE229/Y229,"")</f>
        <v/>
      </c>
      <c r="AG229" s="25">
        <f>IF(E229="","",IF(H229="Onsite",IFERROR(INDEX(tbl_Onsite[Notes],MATCH(E229&amp;"",tbl_Onsite[Job Number],0)),""),IF(H229="Production",IFERROR(INDEX(tbl_Production[Notes],MATCH(E229&amp;"",tbl_Production[Job Number],0)),""),IF(H229="Consulting",IFERROR(INDEX(tbl_Consulting[Notes],MATCH(E229&amp;"",tbl_Consulting[Job Number],0)),""),""))))</f>
        <v/>
      </c>
    </row>
    <row r="230" ht="15" customHeight="1">
      <c r="A230" s="22" t="n"/>
      <c r="B230" s="23">
        <f>IF(A230="","",EOMONTH(A230,0))</f>
        <v/>
      </c>
      <c r="C230" s="24" t="n"/>
      <c r="D230" s="24" t="n"/>
      <c r="E230" s="24" t="n"/>
      <c r="F230" s="25">
        <f>IF(E230="","",IF(COUNTIF(lst_Jobs,E230&amp;"")&gt;0,"OK","CHECK"))</f>
        <v/>
      </c>
      <c r="G230" s="24" t="n"/>
      <c r="H230" s="24" t="n"/>
      <c r="I230" s="24" t="n"/>
      <c r="J230" s="24" t="n"/>
      <c r="K230" s="24" t="n"/>
      <c r="L230" s="26" t="n"/>
      <c r="M230" s="27">
        <f>IF(L230="","",IF(K230="GST 10%",ROUND(L230*set_GSTRate,2),0))</f>
        <v/>
      </c>
      <c r="N230" s="27">
        <f>IF(L230="","",L230+M230)</f>
        <v/>
      </c>
      <c r="O230" s="24" t="n"/>
      <c r="P230" s="24" t="n"/>
      <c r="Q230" s="24" t="n"/>
      <c r="R230" s="22" t="n"/>
      <c r="S230" s="22" t="n"/>
      <c r="T230" s="24" t="n"/>
      <c r="U230" s="24" t="n"/>
      <c r="V230" s="25">
        <f>IF(COUNTA(A230,D230,C230,L230)=0,"",IF(A230="","No date - sits outside every month",IF(E230="","No job number",IF(F230="CHECK","Job number is not in the Xero job list",IF(I230="","No cost centre",IF(AND(P230="Y",C230=""),"Marked posted to Xero but has no invoice number",IF(AND(L230&lt;&gt;"",K230=""),"No tax code",IF(AND(L230&lt;&gt;"",O230=""),"No revenue GL code",""))))))))</f>
        <v/>
      </c>
      <c r="W230" s="25">
        <f>IF(E230="","",IFERROR(INDEX(lst_JobName,MATCH(E230&amp;"",lst_Jobs,0)),""))</f>
        <v/>
      </c>
      <c r="X230" s="28">
        <f>IF(E230="","",COUNTIFS(tbl_Finance[Job Number],E230&amp;"",tbl_Finance[Ex GST],"&lt;&gt;"))</f>
        <v/>
      </c>
      <c r="Y230" s="27">
        <f>IF(E230="","",SUMIFS(tbl_Finance[Ex GST],tbl_Finance[Job Number],E230&amp;""))</f>
        <v/>
      </c>
      <c r="Z230" s="27">
        <f>IF(E230="","",SUMIFS(tbl_Finance[Ex GST],tbl_Finance[Job Number],E230&amp;"",tbl_Finance[Xero Invoice No],"&lt;&gt;"))</f>
        <v/>
      </c>
      <c r="AA230" s="27">
        <f>IF(E230="","",Y230-Z230)</f>
        <v/>
      </c>
      <c r="AB230" s="25">
        <f>IF(E230="","",IF(H230="Onsite",IFERROR(INDEX(tbl_Onsite[Qwilr Quote],MATCH(E230&amp;"",tbl_Onsite[Job Number],0)),""),IF(H230="Production",IFERROR(INDEX(tbl_Production[Current RMS No],MATCH(E230&amp;"",tbl_Production[Job Number],0)),""),IF(H230="Consulting",IFERROR(INDEX(tbl_Consulting[Qwilr Quote],MATCH(E230&amp;"",tbl_Consulting[Job Number],0)),""),""))))</f>
        <v/>
      </c>
      <c r="AC230" s="25">
        <f>IF(AB230="","",IF(AND(LEFT(AB230,4)&lt;&gt;"http",IF(H230="Production",set_RMSBase,set_QwilrBase)=""),"",HYPERLINK(IF(LEFT(AB230,4)="http",AB230,IF(H230="Production",set_RMSBase,set_QwilrBase)&amp;AB230),"Open")))</f>
        <v/>
      </c>
      <c r="AD230" s="27">
        <f>IF(E230="","",IF(H230="Production",IFERROR(INDEX(tbl_Production[Total Expense],MATCH(E230&amp;"",tbl_Production[Job Number],0)),0),IF(H230="Consulting",IFERROR(INDEX(tbl_Consulting[Total Expense],MATCH(E230&amp;"",tbl_Consulting[Job Number],0)),0),0)))</f>
        <v/>
      </c>
      <c r="AE230" s="27">
        <f>IF(E230="","",Y230-N(AD230))</f>
        <v/>
      </c>
      <c r="AF230" s="29">
        <f>IFERROR(AE230/Y230,"")</f>
        <v/>
      </c>
      <c r="AG230" s="25">
        <f>IF(E230="","",IF(H230="Onsite",IFERROR(INDEX(tbl_Onsite[Notes],MATCH(E230&amp;"",tbl_Onsite[Job Number],0)),""),IF(H230="Production",IFERROR(INDEX(tbl_Production[Notes],MATCH(E230&amp;"",tbl_Production[Job Number],0)),""),IF(H230="Consulting",IFERROR(INDEX(tbl_Consulting[Notes],MATCH(E230&amp;"",tbl_Consulting[Job Number],0)),""),""))))</f>
        <v/>
      </c>
    </row>
    <row r="231" ht="15" customHeight="1">
      <c r="A231" s="22" t="n"/>
      <c r="B231" s="23">
        <f>IF(A231="","",EOMONTH(A231,0))</f>
        <v/>
      </c>
      <c r="C231" s="24" t="n"/>
      <c r="D231" s="24" t="n"/>
      <c r="E231" s="24" t="n"/>
      <c r="F231" s="25">
        <f>IF(E231="","",IF(COUNTIF(lst_Jobs,E231&amp;"")&gt;0,"OK","CHECK"))</f>
        <v/>
      </c>
      <c r="G231" s="24" t="n"/>
      <c r="H231" s="24" t="n"/>
      <c r="I231" s="24" t="n"/>
      <c r="J231" s="24" t="n"/>
      <c r="K231" s="24" t="n"/>
      <c r="L231" s="26" t="n"/>
      <c r="M231" s="27">
        <f>IF(L231="","",IF(K231="GST 10%",ROUND(L231*set_GSTRate,2),0))</f>
        <v/>
      </c>
      <c r="N231" s="27">
        <f>IF(L231="","",L231+M231)</f>
        <v/>
      </c>
      <c r="O231" s="24" t="n"/>
      <c r="P231" s="24" t="n"/>
      <c r="Q231" s="24" t="n"/>
      <c r="R231" s="22" t="n"/>
      <c r="S231" s="22" t="n"/>
      <c r="T231" s="24" t="n"/>
      <c r="U231" s="24" t="n"/>
      <c r="V231" s="25">
        <f>IF(COUNTA(A231,D231,C231,L231)=0,"",IF(A231="","No date - sits outside every month",IF(E231="","No job number",IF(F231="CHECK","Job number is not in the Xero job list",IF(I231="","No cost centre",IF(AND(P231="Y",C231=""),"Marked posted to Xero but has no invoice number",IF(AND(L231&lt;&gt;"",K231=""),"No tax code",IF(AND(L231&lt;&gt;"",O231=""),"No revenue GL code",""))))))))</f>
        <v/>
      </c>
      <c r="W231" s="25">
        <f>IF(E231="","",IFERROR(INDEX(lst_JobName,MATCH(E231&amp;"",lst_Jobs,0)),""))</f>
        <v/>
      </c>
      <c r="X231" s="28">
        <f>IF(E231="","",COUNTIFS(tbl_Finance[Job Number],E231&amp;"",tbl_Finance[Ex GST],"&lt;&gt;"))</f>
        <v/>
      </c>
      <c r="Y231" s="27">
        <f>IF(E231="","",SUMIFS(tbl_Finance[Ex GST],tbl_Finance[Job Number],E231&amp;""))</f>
        <v/>
      </c>
      <c r="Z231" s="27">
        <f>IF(E231="","",SUMIFS(tbl_Finance[Ex GST],tbl_Finance[Job Number],E231&amp;"",tbl_Finance[Xero Invoice No],"&lt;&gt;"))</f>
        <v/>
      </c>
      <c r="AA231" s="27">
        <f>IF(E231="","",Y231-Z231)</f>
        <v/>
      </c>
      <c r="AB231" s="25">
        <f>IF(E231="","",IF(H231="Onsite",IFERROR(INDEX(tbl_Onsite[Qwilr Quote],MATCH(E231&amp;"",tbl_Onsite[Job Number],0)),""),IF(H231="Production",IFERROR(INDEX(tbl_Production[Current RMS No],MATCH(E231&amp;"",tbl_Production[Job Number],0)),""),IF(H231="Consulting",IFERROR(INDEX(tbl_Consulting[Qwilr Quote],MATCH(E231&amp;"",tbl_Consulting[Job Number],0)),""),""))))</f>
        <v/>
      </c>
      <c r="AC231" s="25">
        <f>IF(AB231="","",IF(AND(LEFT(AB231,4)&lt;&gt;"http",IF(H231="Production",set_RMSBase,set_QwilrBase)=""),"",HYPERLINK(IF(LEFT(AB231,4)="http",AB231,IF(H231="Production",set_RMSBase,set_QwilrBase)&amp;AB231),"Open")))</f>
        <v/>
      </c>
      <c r="AD231" s="27">
        <f>IF(E231="","",IF(H231="Production",IFERROR(INDEX(tbl_Production[Total Expense],MATCH(E231&amp;"",tbl_Production[Job Number],0)),0),IF(H231="Consulting",IFERROR(INDEX(tbl_Consulting[Total Expense],MATCH(E231&amp;"",tbl_Consulting[Job Number],0)),0),0)))</f>
        <v/>
      </c>
      <c r="AE231" s="27">
        <f>IF(E231="","",Y231-N(AD231))</f>
        <v/>
      </c>
      <c r="AF231" s="29">
        <f>IFERROR(AE231/Y231,"")</f>
        <v/>
      </c>
      <c r="AG231" s="25">
        <f>IF(E231="","",IF(H231="Onsite",IFERROR(INDEX(tbl_Onsite[Notes],MATCH(E231&amp;"",tbl_Onsite[Job Number],0)),""),IF(H231="Production",IFERROR(INDEX(tbl_Production[Notes],MATCH(E231&amp;"",tbl_Production[Job Number],0)),""),IF(H231="Consulting",IFERROR(INDEX(tbl_Consulting[Notes],MATCH(E231&amp;"",tbl_Consulting[Job Number],0)),""),""))))</f>
        <v/>
      </c>
    </row>
    <row r="232" ht="15" customHeight="1">
      <c r="A232" s="22" t="n"/>
      <c r="B232" s="23">
        <f>IF(A232="","",EOMONTH(A232,0))</f>
        <v/>
      </c>
      <c r="C232" s="24" t="n"/>
      <c r="D232" s="24" t="n"/>
      <c r="E232" s="24" t="n"/>
      <c r="F232" s="25">
        <f>IF(E232="","",IF(COUNTIF(lst_Jobs,E232&amp;"")&gt;0,"OK","CHECK"))</f>
        <v/>
      </c>
      <c r="G232" s="24" t="n"/>
      <c r="H232" s="24" t="n"/>
      <c r="I232" s="24" t="n"/>
      <c r="J232" s="24" t="n"/>
      <c r="K232" s="24" t="n"/>
      <c r="L232" s="26" t="n"/>
      <c r="M232" s="27">
        <f>IF(L232="","",IF(K232="GST 10%",ROUND(L232*set_GSTRate,2),0))</f>
        <v/>
      </c>
      <c r="N232" s="27">
        <f>IF(L232="","",L232+M232)</f>
        <v/>
      </c>
      <c r="O232" s="24" t="n"/>
      <c r="P232" s="24" t="n"/>
      <c r="Q232" s="24" t="n"/>
      <c r="R232" s="22" t="n"/>
      <c r="S232" s="22" t="n"/>
      <c r="T232" s="24" t="n"/>
      <c r="U232" s="24" t="n"/>
      <c r="V232" s="25">
        <f>IF(COUNTA(A232,D232,C232,L232)=0,"",IF(A232="","No date - sits outside every month",IF(E232="","No job number",IF(F232="CHECK","Job number is not in the Xero job list",IF(I232="","No cost centre",IF(AND(P232="Y",C232=""),"Marked posted to Xero but has no invoice number",IF(AND(L232&lt;&gt;"",K232=""),"No tax code",IF(AND(L232&lt;&gt;"",O232=""),"No revenue GL code",""))))))))</f>
        <v/>
      </c>
      <c r="W232" s="25">
        <f>IF(E232="","",IFERROR(INDEX(lst_JobName,MATCH(E232&amp;"",lst_Jobs,0)),""))</f>
        <v/>
      </c>
      <c r="X232" s="28">
        <f>IF(E232="","",COUNTIFS(tbl_Finance[Job Number],E232&amp;"",tbl_Finance[Ex GST],"&lt;&gt;"))</f>
        <v/>
      </c>
      <c r="Y232" s="27">
        <f>IF(E232="","",SUMIFS(tbl_Finance[Ex GST],tbl_Finance[Job Number],E232&amp;""))</f>
        <v/>
      </c>
      <c r="Z232" s="27">
        <f>IF(E232="","",SUMIFS(tbl_Finance[Ex GST],tbl_Finance[Job Number],E232&amp;"",tbl_Finance[Xero Invoice No],"&lt;&gt;"))</f>
        <v/>
      </c>
      <c r="AA232" s="27">
        <f>IF(E232="","",Y232-Z232)</f>
        <v/>
      </c>
      <c r="AB232" s="25">
        <f>IF(E232="","",IF(H232="Onsite",IFERROR(INDEX(tbl_Onsite[Qwilr Quote],MATCH(E232&amp;"",tbl_Onsite[Job Number],0)),""),IF(H232="Production",IFERROR(INDEX(tbl_Production[Current RMS No],MATCH(E232&amp;"",tbl_Production[Job Number],0)),""),IF(H232="Consulting",IFERROR(INDEX(tbl_Consulting[Qwilr Quote],MATCH(E232&amp;"",tbl_Consulting[Job Number],0)),""),""))))</f>
        <v/>
      </c>
      <c r="AC232" s="25">
        <f>IF(AB232="","",IF(AND(LEFT(AB232,4)&lt;&gt;"http",IF(H232="Production",set_RMSBase,set_QwilrBase)=""),"",HYPERLINK(IF(LEFT(AB232,4)="http",AB232,IF(H232="Production",set_RMSBase,set_QwilrBase)&amp;AB232),"Open")))</f>
        <v/>
      </c>
      <c r="AD232" s="27">
        <f>IF(E232="","",IF(H232="Production",IFERROR(INDEX(tbl_Production[Total Expense],MATCH(E232&amp;"",tbl_Production[Job Number],0)),0),IF(H232="Consulting",IFERROR(INDEX(tbl_Consulting[Total Expense],MATCH(E232&amp;"",tbl_Consulting[Job Number],0)),0),0)))</f>
        <v/>
      </c>
      <c r="AE232" s="27">
        <f>IF(E232="","",Y232-N(AD232))</f>
        <v/>
      </c>
      <c r="AF232" s="29">
        <f>IFERROR(AE232/Y232,"")</f>
        <v/>
      </c>
      <c r="AG232" s="25">
        <f>IF(E232="","",IF(H232="Onsite",IFERROR(INDEX(tbl_Onsite[Notes],MATCH(E232&amp;"",tbl_Onsite[Job Number],0)),""),IF(H232="Production",IFERROR(INDEX(tbl_Production[Notes],MATCH(E232&amp;"",tbl_Production[Job Number],0)),""),IF(H232="Consulting",IFERROR(INDEX(tbl_Consulting[Notes],MATCH(E232&amp;"",tbl_Consulting[Job Number],0)),""),""))))</f>
        <v/>
      </c>
    </row>
    <row r="233" ht="15" customHeight="1">
      <c r="A233" s="22" t="n"/>
      <c r="B233" s="23">
        <f>IF(A233="","",EOMONTH(A233,0))</f>
        <v/>
      </c>
      <c r="C233" s="24" t="n"/>
      <c r="D233" s="24" t="n"/>
      <c r="E233" s="24" t="n"/>
      <c r="F233" s="25">
        <f>IF(E233="","",IF(COUNTIF(lst_Jobs,E233&amp;"")&gt;0,"OK","CHECK"))</f>
        <v/>
      </c>
      <c r="G233" s="24" t="n"/>
      <c r="H233" s="24" t="n"/>
      <c r="I233" s="24" t="n"/>
      <c r="J233" s="24" t="n"/>
      <c r="K233" s="24" t="n"/>
      <c r="L233" s="26" t="n"/>
      <c r="M233" s="27">
        <f>IF(L233="","",IF(K233="GST 10%",ROUND(L233*set_GSTRate,2),0))</f>
        <v/>
      </c>
      <c r="N233" s="27">
        <f>IF(L233="","",L233+M233)</f>
        <v/>
      </c>
      <c r="O233" s="24" t="n"/>
      <c r="P233" s="24" t="n"/>
      <c r="Q233" s="24" t="n"/>
      <c r="R233" s="22" t="n"/>
      <c r="S233" s="22" t="n"/>
      <c r="T233" s="24" t="n"/>
      <c r="U233" s="24" t="n"/>
      <c r="V233" s="25">
        <f>IF(COUNTA(A233,D233,C233,L233)=0,"",IF(A233="","No date - sits outside every month",IF(E233="","No job number",IF(F233="CHECK","Job number is not in the Xero job list",IF(I233="","No cost centre",IF(AND(P233="Y",C233=""),"Marked posted to Xero but has no invoice number",IF(AND(L233&lt;&gt;"",K233=""),"No tax code",IF(AND(L233&lt;&gt;"",O233=""),"No revenue GL code",""))))))))</f>
        <v/>
      </c>
      <c r="W233" s="25">
        <f>IF(E233="","",IFERROR(INDEX(lst_JobName,MATCH(E233&amp;"",lst_Jobs,0)),""))</f>
        <v/>
      </c>
      <c r="X233" s="28">
        <f>IF(E233="","",COUNTIFS(tbl_Finance[Job Number],E233&amp;"",tbl_Finance[Ex GST],"&lt;&gt;"))</f>
        <v/>
      </c>
      <c r="Y233" s="27">
        <f>IF(E233="","",SUMIFS(tbl_Finance[Ex GST],tbl_Finance[Job Number],E233&amp;""))</f>
        <v/>
      </c>
      <c r="Z233" s="27">
        <f>IF(E233="","",SUMIFS(tbl_Finance[Ex GST],tbl_Finance[Job Number],E233&amp;"",tbl_Finance[Xero Invoice No],"&lt;&gt;"))</f>
        <v/>
      </c>
      <c r="AA233" s="27">
        <f>IF(E233="","",Y233-Z233)</f>
        <v/>
      </c>
      <c r="AB233" s="25">
        <f>IF(E233="","",IF(H233="Onsite",IFERROR(INDEX(tbl_Onsite[Qwilr Quote],MATCH(E233&amp;"",tbl_Onsite[Job Number],0)),""),IF(H233="Production",IFERROR(INDEX(tbl_Production[Current RMS No],MATCH(E233&amp;"",tbl_Production[Job Number],0)),""),IF(H233="Consulting",IFERROR(INDEX(tbl_Consulting[Qwilr Quote],MATCH(E233&amp;"",tbl_Consulting[Job Number],0)),""),""))))</f>
        <v/>
      </c>
      <c r="AC233" s="25">
        <f>IF(AB233="","",IF(AND(LEFT(AB233,4)&lt;&gt;"http",IF(H233="Production",set_RMSBase,set_QwilrBase)=""),"",HYPERLINK(IF(LEFT(AB233,4)="http",AB233,IF(H233="Production",set_RMSBase,set_QwilrBase)&amp;AB233),"Open")))</f>
        <v/>
      </c>
      <c r="AD233" s="27">
        <f>IF(E233="","",IF(H233="Production",IFERROR(INDEX(tbl_Production[Total Expense],MATCH(E233&amp;"",tbl_Production[Job Number],0)),0),IF(H233="Consulting",IFERROR(INDEX(tbl_Consulting[Total Expense],MATCH(E233&amp;"",tbl_Consulting[Job Number],0)),0),0)))</f>
        <v/>
      </c>
      <c r="AE233" s="27">
        <f>IF(E233="","",Y233-N(AD233))</f>
        <v/>
      </c>
      <c r="AF233" s="29">
        <f>IFERROR(AE233/Y233,"")</f>
        <v/>
      </c>
      <c r="AG233" s="25">
        <f>IF(E233="","",IF(H233="Onsite",IFERROR(INDEX(tbl_Onsite[Notes],MATCH(E233&amp;"",tbl_Onsite[Job Number],0)),""),IF(H233="Production",IFERROR(INDEX(tbl_Production[Notes],MATCH(E233&amp;"",tbl_Production[Job Number],0)),""),IF(H233="Consulting",IFERROR(INDEX(tbl_Consulting[Notes],MATCH(E233&amp;"",tbl_Consulting[Job Number],0)),""),""))))</f>
        <v/>
      </c>
    </row>
    <row r="234" ht="15" customHeight="1">
      <c r="A234" s="22" t="n"/>
      <c r="B234" s="23">
        <f>IF(A234="","",EOMONTH(A234,0))</f>
        <v/>
      </c>
      <c r="C234" s="24" t="n"/>
      <c r="D234" s="24" t="n"/>
      <c r="E234" s="24" t="n"/>
      <c r="F234" s="25">
        <f>IF(E234="","",IF(COUNTIF(lst_Jobs,E234&amp;"")&gt;0,"OK","CHECK"))</f>
        <v/>
      </c>
      <c r="G234" s="24" t="n"/>
      <c r="H234" s="24" t="n"/>
      <c r="I234" s="24" t="n"/>
      <c r="J234" s="24" t="n"/>
      <c r="K234" s="24" t="n"/>
      <c r="L234" s="26" t="n"/>
      <c r="M234" s="27">
        <f>IF(L234="","",IF(K234="GST 10%",ROUND(L234*set_GSTRate,2),0))</f>
        <v/>
      </c>
      <c r="N234" s="27">
        <f>IF(L234="","",L234+M234)</f>
        <v/>
      </c>
      <c r="O234" s="24" t="n"/>
      <c r="P234" s="24" t="n"/>
      <c r="Q234" s="24" t="n"/>
      <c r="R234" s="22" t="n"/>
      <c r="S234" s="22" t="n"/>
      <c r="T234" s="24" t="n"/>
      <c r="U234" s="24" t="n"/>
      <c r="V234" s="25">
        <f>IF(COUNTA(A234,D234,C234,L234)=0,"",IF(A234="","No date - sits outside every month",IF(E234="","No job number",IF(F234="CHECK","Job number is not in the Xero job list",IF(I234="","No cost centre",IF(AND(P234="Y",C234=""),"Marked posted to Xero but has no invoice number",IF(AND(L234&lt;&gt;"",K234=""),"No tax code",IF(AND(L234&lt;&gt;"",O234=""),"No revenue GL code",""))))))))</f>
        <v/>
      </c>
      <c r="W234" s="25">
        <f>IF(E234="","",IFERROR(INDEX(lst_JobName,MATCH(E234&amp;"",lst_Jobs,0)),""))</f>
        <v/>
      </c>
      <c r="X234" s="28">
        <f>IF(E234="","",COUNTIFS(tbl_Finance[Job Number],E234&amp;"",tbl_Finance[Ex GST],"&lt;&gt;"))</f>
        <v/>
      </c>
      <c r="Y234" s="27">
        <f>IF(E234="","",SUMIFS(tbl_Finance[Ex GST],tbl_Finance[Job Number],E234&amp;""))</f>
        <v/>
      </c>
      <c r="Z234" s="27">
        <f>IF(E234="","",SUMIFS(tbl_Finance[Ex GST],tbl_Finance[Job Number],E234&amp;"",tbl_Finance[Xero Invoice No],"&lt;&gt;"))</f>
        <v/>
      </c>
      <c r="AA234" s="27">
        <f>IF(E234="","",Y234-Z234)</f>
        <v/>
      </c>
      <c r="AB234" s="25">
        <f>IF(E234="","",IF(H234="Onsite",IFERROR(INDEX(tbl_Onsite[Qwilr Quote],MATCH(E234&amp;"",tbl_Onsite[Job Number],0)),""),IF(H234="Production",IFERROR(INDEX(tbl_Production[Current RMS No],MATCH(E234&amp;"",tbl_Production[Job Number],0)),""),IF(H234="Consulting",IFERROR(INDEX(tbl_Consulting[Qwilr Quote],MATCH(E234&amp;"",tbl_Consulting[Job Number],0)),""),""))))</f>
        <v/>
      </c>
      <c r="AC234" s="25">
        <f>IF(AB234="","",IF(AND(LEFT(AB234,4)&lt;&gt;"http",IF(H234="Production",set_RMSBase,set_QwilrBase)=""),"",HYPERLINK(IF(LEFT(AB234,4)="http",AB234,IF(H234="Production",set_RMSBase,set_QwilrBase)&amp;AB234),"Open")))</f>
        <v/>
      </c>
      <c r="AD234" s="27">
        <f>IF(E234="","",IF(H234="Production",IFERROR(INDEX(tbl_Production[Total Expense],MATCH(E234&amp;"",tbl_Production[Job Number],0)),0),IF(H234="Consulting",IFERROR(INDEX(tbl_Consulting[Total Expense],MATCH(E234&amp;"",tbl_Consulting[Job Number],0)),0),0)))</f>
        <v/>
      </c>
      <c r="AE234" s="27">
        <f>IF(E234="","",Y234-N(AD234))</f>
        <v/>
      </c>
      <c r="AF234" s="29">
        <f>IFERROR(AE234/Y234,"")</f>
        <v/>
      </c>
      <c r="AG234" s="25">
        <f>IF(E234="","",IF(H234="Onsite",IFERROR(INDEX(tbl_Onsite[Notes],MATCH(E234&amp;"",tbl_Onsite[Job Number],0)),""),IF(H234="Production",IFERROR(INDEX(tbl_Production[Notes],MATCH(E234&amp;"",tbl_Production[Job Number],0)),""),IF(H234="Consulting",IFERROR(INDEX(tbl_Consulting[Notes],MATCH(E234&amp;"",tbl_Consulting[Job Number],0)),""),""))))</f>
        <v/>
      </c>
    </row>
    <row r="235" ht="15" customHeight="1">
      <c r="A235" s="22" t="n"/>
      <c r="B235" s="23">
        <f>IF(A235="","",EOMONTH(A235,0))</f>
        <v/>
      </c>
      <c r="C235" s="24" t="n"/>
      <c r="D235" s="24" t="n"/>
      <c r="E235" s="24" t="n"/>
      <c r="F235" s="25">
        <f>IF(E235="","",IF(COUNTIF(lst_Jobs,E235&amp;"")&gt;0,"OK","CHECK"))</f>
        <v/>
      </c>
      <c r="G235" s="24" t="n"/>
      <c r="H235" s="24" t="n"/>
      <c r="I235" s="24" t="n"/>
      <c r="J235" s="24" t="n"/>
      <c r="K235" s="24" t="n"/>
      <c r="L235" s="26" t="n"/>
      <c r="M235" s="27">
        <f>IF(L235="","",IF(K235="GST 10%",ROUND(L235*set_GSTRate,2),0))</f>
        <v/>
      </c>
      <c r="N235" s="27">
        <f>IF(L235="","",L235+M235)</f>
        <v/>
      </c>
      <c r="O235" s="24" t="n"/>
      <c r="P235" s="24" t="n"/>
      <c r="Q235" s="24" t="n"/>
      <c r="R235" s="22" t="n"/>
      <c r="S235" s="22" t="n"/>
      <c r="T235" s="24" t="n"/>
      <c r="U235" s="24" t="n"/>
      <c r="V235" s="25">
        <f>IF(COUNTA(A235,D235,C235,L235)=0,"",IF(A235="","No date - sits outside every month",IF(E235="","No job number",IF(F235="CHECK","Job number is not in the Xero job list",IF(I235="","No cost centre",IF(AND(P235="Y",C235=""),"Marked posted to Xero but has no invoice number",IF(AND(L235&lt;&gt;"",K235=""),"No tax code",IF(AND(L235&lt;&gt;"",O235=""),"No revenue GL code",""))))))))</f>
        <v/>
      </c>
      <c r="W235" s="25">
        <f>IF(E235="","",IFERROR(INDEX(lst_JobName,MATCH(E235&amp;"",lst_Jobs,0)),""))</f>
        <v/>
      </c>
      <c r="X235" s="28">
        <f>IF(E235="","",COUNTIFS(tbl_Finance[Job Number],E235&amp;"",tbl_Finance[Ex GST],"&lt;&gt;"))</f>
        <v/>
      </c>
      <c r="Y235" s="27">
        <f>IF(E235="","",SUMIFS(tbl_Finance[Ex GST],tbl_Finance[Job Number],E235&amp;""))</f>
        <v/>
      </c>
      <c r="Z235" s="27">
        <f>IF(E235="","",SUMIFS(tbl_Finance[Ex GST],tbl_Finance[Job Number],E235&amp;"",tbl_Finance[Xero Invoice No],"&lt;&gt;"))</f>
        <v/>
      </c>
      <c r="AA235" s="27">
        <f>IF(E235="","",Y235-Z235)</f>
        <v/>
      </c>
      <c r="AB235" s="25">
        <f>IF(E235="","",IF(H235="Onsite",IFERROR(INDEX(tbl_Onsite[Qwilr Quote],MATCH(E235&amp;"",tbl_Onsite[Job Number],0)),""),IF(H235="Production",IFERROR(INDEX(tbl_Production[Current RMS No],MATCH(E235&amp;"",tbl_Production[Job Number],0)),""),IF(H235="Consulting",IFERROR(INDEX(tbl_Consulting[Qwilr Quote],MATCH(E235&amp;"",tbl_Consulting[Job Number],0)),""),""))))</f>
        <v/>
      </c>
      <c r="AC235" s="25">
        <f>IF(AB235="","",IF(AND(LEFT(AB235,4)&lt;&gt;"http",IF(H235="Production",set_RMSBase,set_QwilrBase)=""),"",HYPERLINK(IF(LEFT(AB235,4)="http",AB235,IF(H235="Production",set_RMSBase,set_QwilrBase)&amp;AB235),"Open")))</f>
        <v/>
      </c>
      <c r="AD235" s="27">
        <f>IF(E235="","",IF(H235="Production",IFERROR(INDEX(tbl_Production[Total Expense],MATCH(E235&amp;"",tbl_Production[Job Number],0)),0),IF(H235="Consulting",IFERROR(INDEX(tbl_Consulting[Total Expense],MATCH(E235&amp;"",tbl_Consulting[Job Number],0)),0),0)))</f>
        <v/>
      </c>
      <c r="AE235" s="27">
        <f>IF(E235="","",Y235-N(AD235))</f>
        <v/>
      </c>
      <c r="AF235" s="29">
        <f>IFERROR(AE235/Y235,"")</f>
        <v/>
      </c>
      <c r="AG235" s="25">
        <f>IF(E235="","",IF(H235="Onsite",IFERROR(INDEX(tbl_Onsite[Notes],MATCH(E235&amp;"",tbl_Onsite[Job Number],0)),""),IF(H235="Production",IFERROR(INDEX(tbl_Production[Notes],MATCH(E235&amp;"",tbl_Production[Job Number],0)),""),IF(H235="Consulting",IFERROR(INDEX(tbl_Consulting[Notes],MATCH(E235&amp;"",tbl_Consulting[Job Number],0)),""),""))))</f>
        <v/>
      </c>
    </row>
    <row r="236" ht="15" customHeight="1">
      <c r="A236" s="22" t="n"/>
      <c r="B236" s="23">
        <f>IF(A236="","",EOMONTH(A236,0))</f>
        <v/>
      </c>
      <c r="C236" s="24" t="n"/>
      <c r="D236" s="24" t="n"/>
      <c r="E236" s="24" t="n"/>
      <c r="F236" s="25">
        <f>IF(E236="","",IF(COUNTIF(lst_Jobs,E236&amp;"")&gt;0,"OK","CHECK"))</f>
        <v/>
      </c>
      <c r="G236" s="24" t="n"/>
      <c r="H236" s="24" t="n"/>
      <c r="I236" s="24" t="n"/>
      <c r="J236" s="24" t="n"/>
      <c r="K236" s="24" t="n"/>
      <c r="L236" s="26" t="n"/>
      <c r="M236" s="27">
        <f>IF(L236="","",IF(K236="GST 10%",ROUND(L236*set_GSTRate,2),0))</f>
        <v/>
      </c>
      <c r="N236" s="27">
        <f>IF(L236="","",L236+M236)</f>
        <v/>
      </c>
      <c r="O236" s="24" t="n"/>
      <c r="P236" s="24" t="n"/>
      <c r="Q236" s="24" t="n"/>
      <c r="R236" s="22" t="n"/>
      <c r="S236" s="22" t="n"/>
      <c r="T236" s="24" t="n"/>
      <c r="U236" s="24" t="n"/>
      <c r="V236" s="25">
        <f>IF(COUNTA(A236,D236,C236,L236)=0,"",IF(A236="","No date - sits outside every month",IF(E236="","No job number",IF(F236="CHECK","Job number is not in the Xero job list",IF(I236="","No cost centre",IF(AND(P236="Y",C236=""),"Marked posted to Xero but has no invoice number",IF(AND(L236&lt;&gt;"",K236=""),"No tax code",IF(AND(L236&lt;&gt;"",O236=""),"No revenue GL code",""))))))))</f>
        <v/>
      </c>
      <c r="W236" s="25">
        <f>IF(E236="","",IFERROR(INDEX(lst_JobName,MATCH(E236&amp;"",lst_Jobs,0)),""))</f>
        <v/>
      </c>
      <c r="X236" s="28">
        <f>IF(E236="","",COUNTIFS(tbl_Finance[Job Number],E236&amp;"",tbl_Finance[Ex GST],"&lt;&gt;"))</f>
        <v/>
      </c>
      <c r="Y236" s="27">
        <f>IF(E236="","",SUMIFS(tbl_Finance[Ex GST],tbl_Finance[Job Number],E236&amp;""))</f>
        <v/>
      </c>
      <c r="Z236" s="27">
        <f>IF(E236="","",SUMIFS(tbl_Finance[Ex GST],tbl_Finance[Job Number],E236&amp;"",tbl_Finance[Xero Invoice No],"&lt;&gt;"))</f>
        <v/>
      </c>
      <c r="AA236" s="27">
        <f>IF(E236="","",Y236-Z236)</f>
        <v/>
      </c>
      <c r="AB236" s="25">
        <f>IF(E236="","",IF(H236="Onsite",IFERROR(INDEX(tbl_Onsite[Qwilr Quote],MATCH(E236&amp;"",tbl_Onsite[Job Number],0)),""),IF(H236="Production",IFERROR(INDEX(tbl_Production[Current RMS No],MATCH(E236&amp;"",tbl_Production[Job Number],0)),""),IF(H236="Consulting",IFERROR(INDEX(tbl_Consulting[Qwilr Quote],MATCH(E236&amp;"",tbl_Consulting[Job Number],0)),""),""))))</f>
        <v/>
      </c>
      <c r="AC236" s="25">
        <f>IF(AB236="","",IF(AND(LEFT(AB236,4)&lt;&gt;"http",IF(H236="Production",set_RMSBase,set_QwilrBase)=""),"",HYPERLINK(IF(LEFT(AB236,4)="http",AB236,IF(H236="Production",set_RMSBase,set_QwilrBase)&amp;AB236),"Open")))</f>
        <v/>
      </c>
      <c r="AD236" s="27">
        <f>IF(E236="","",IF(H236="Production",IFERROR(INDEX(tbl_Production[Total Expense],MATCH(E236&amp;"",tbl_Production[Job Number],0)),0),IF(H236="Consulting",IFERROR(INDEX(tbl_Consulting[Total Expense],MATCH(E236&amp;"",tbl_Consulting[Job Number],0)),0),0)))</f>
        <v/>
      </c>
      <c r="AE236" s="27">
        <f>IF(E236="","",Y236-N(AD236))</f>
        <v/>
      </c>
      <c r="AF236" s="29">
        <f>IFERROR(AE236/Y236,"")</f>
        <v/>
      </c>
      <c r="AG236" s="25">
        <f>IF(E236="","",IF(H236="Onsite",IFERROR(INDEX(tbl_Onsite[Notes],MATCH(E236&amp;"",tbl_Onsite[Job Number],0)),""),IF(H236="Production",IFERROR(INDEX(tbl_Production[Notes],MATCH(E236&amp;"",tbl_Production[Job Number],0)),""),IF(H236="Consulting",IFERROR(INDEX(tbl_Consulting[Notes],MATCH(E236&amp;"",tbl_Consulting[Job Number],0)),""),""))))</f>
        <v/>
      </c>
    </row>
    <row r="237" ht="15" customHeight="1">
      <c r="A237" s="22" t="n"/>
      <c r="B237" s="23">
        <f>IF(A237="","",EOMONTH(A237,0))</f>
        <v/>
      </c>
      <c r="C237" s="24" t="n"/>
      <c r="D237" s="24" t="n"/>
      <c r="E237" s="24" t="n"/>
      <c r="F237" s="25">
        <f>IF(E237="","",IF(COUNTIF(lst_Jobs,E237&amp;"")&gt;0,"OK","CHECK"))</f>
        <v/>
      </c>
      <c r="G237" s="24" t="n"/>
      <c r="H237" s="24" t="n"/>
      <c r="I237" s="24" t="n"/>
      <c r="J237" s="24" t="n"/>
      <c r="K237" s="24" t="n"/>
      <c r="L237" s="26" t="n"/>
      <c r="M237" s="27">
        <f>IF(L237="","",IF(K237="GST 10%",ROUND(L237*set_GSTRate,2),0))</f>
        <v/>
      </c>
      <c r="N237" s="27">
        <f>IF(L237="","",L237+M237)</f>
        <v/>
      </c>
      <c r="O237" s="24" t="n"/>
      <c r="P237" s="24" t="n"/>
      <c r="Q237" s="24" t="n"/>
      <c r="R237" s="22" t="n"/>
      <c r="S237" s="22" t="n"/>
      <c r="T237" s="24" t="n"/>
      <c r="U237" s="24" t="n"/>
      <c r="V237" s="25">
        <f>IF(COUNTA(A237,D237,C237,L237)=0,"",IF(A237="","No date - sits outside every month",IF(E237="","No job number",IF(F237="CHECK","Job number is not in the Xero job list",IF(I237="","No cost centre",IF(AND(P237="Y",C237=""),"Marked posted to Xero but has no invoice number",IF(AND(L237&lt;&gt;"",K237=""),"No tax code",IF(AND(L237&lt;&gt;"",O237=""),"No revenue GL code",""))))))))</f>
        <v/>
      </c>
      <c r="W237" s="25">
        <f>IF(E237="","",IFERROR(INDEX(lst_JobName,MATCH(E237&amp;"",lst_Jobs,0)),""))</f>
        <v/>
      </c>
      <c r="X237" s="28">
        <f>IF(E237="","",COUNTIFS(tbl_Finance[Job Number],E237&amp;"",tbl_Finance[Ex GST],"&lt;&gt;"))</f>
        <v/>
      </c>
      <c r="Y237" s="27">
        <f>IF(E237="","",SUMIFS(tbl_Finance[Ex GST],tbl_Finance[Job Number],E237&amp;""))</f>
        <v/>
      </c>
      <c r="Z237" s="27">
        <f>IF(E237="","",SUMIFS(tbl_Finance[Ex GST],tbl_Finance[Job Number],E237&amp;"",tbl_Finance[Xero Invoice No],"&lt;&gt;"))</f>
        <v/>
      </c>
      <c r="AA237" s="27">
        <f>IF(E237="","",Y237-Z237)</f>
        <v/>
      </c>
      <c r="AB237" s="25">
        <f>IF(E237="","",IF(H237="Onsite",IFERROR(INDEX(tbl_Onsite[Qwilr Quote],MATCH(E237&amp;"",tbl_Onsite[Job Number],0)),""),IF(H237="Production",IFERROR(INDEX(tbl_Production[Current RMS No],MATCH(E237&amp;"",tbl_Production[Job Number],0)),""),IF(H237="Consulting",IFERROR(INDEX(tbl_Consulting[Qwilr Quote],MATCH(E237&amp;"",tbl_Consulting[Job Number],0)),""),""))))</f>
        <v/>
      </c>
      <c r="AC237" s="25">
        <f>IF(AB237="","",IF(AND(LEFT(AB237,4)&lt;&gt;"http",IF(H237="Production",set_RMSBase,set_QwilrBase)=""),"",HYPERLINK(IF(LEFT(AB237,4)="http",AB237,IF(H237="Production",set_RMSBase,set_QwilrBase)&amp;AB237),"Open")))</f>
        <v/>
      </c>
      <c r="AD237" s="27">
        <f>IF(E237="","",IF(H237="Production",IFERROR(INDEX(tbl_Production[Total Expense],MATCH(E237&amp;"",tbl_Production[Job Number],0)),0),IF(H237="Consulting",IFERROR(INDEX(tbl_Consulting[Total Expense],MATCH(E237&amp;"",tbl_Consulting[Job Number],0)),0),0)))</f>
        <v/>
      </c>
      <c r="AE237" s="27">
        <f>IF(E237="","",Y237-N(AD237))</f>
        <v/>
      </c>
      <c r="AF237" s="29">
        <f>IFERROR(AE237/Y237,"")</f>
        <v/>
      </c>
      <c r="AG237" s="25">
        <f>IF(E237="","",IF(H237="Onsite",IFERROR(INDEX(tbl_Onsite[Notes],MATCH(E237&amp;"",tbl_Onsite[Job Number],0)),""),IF(H237="Production",IFERROR(INDEX(tbl_Production[Notes],MATCH(E237&amp;"",tbl_Production[Job Number],0)),""),IF(H237="Consulting",IFERROR(INDEX(tbl_Consulting[Notes],MATCH(E237&amp;"",tbl_Consulting[Job Number],0)),""),""))))</f>
        <v/>
      </c>
    </row>
    <row r="238" ht="15" customHeight="1">
      <c r="A238" s="22" t="n"/>
      <c r="B238" s="23">
        <f>IF(A238="","",EOMONTH(A238,0))</f>
        <v/>
      </c>
      <c r="C238" s="24" t="n"/>
      <c r="D238" s="24" t="n"/>
      <c r="E238" s="24" t="n"/>
      <c r="F238" s="25">
        <f>IF(E238="","",IF(COUNTIF(lst_Jobs,E238&amp;"")&gt;0,"OK","CHECK"))</f>
        <v/>
      </c>
      <c r="G238" s="24" t="n"/>
      <c r="H238" s="24" t="n"/>
      <c r="I238" s="24" t="n"/>
      <c r="J238" s="24" t="n"/>
      <c r="K238" s="24" t="n"/>
      <c r="L238" s="26" t="n"/>
      <c r="M238" s="27">
        <f>IF(L238="","",IF(K238="GST 10%",ROUND(L238*set_GSTRate,2),0))</f>
        <v/>
      </c>
      <c r="N238" s="27">
        <f>IF(L238="","",L238+M238)</f>
        <v/>
      </c>
      <c r="O238" s="24" t="n"/>
      <c r="P238" s="24" t="n"/>
      <c r="Q238" s="24" t="n"/>
      <c r="R238" s="22" t="n"/>
      <c r="S238" s="22" t="n"/>
      <c r="T238" s="24" t="n"/>
      <c r="U238" s="24" t="n"/>
      <c r="V238" s="25">
        <f>IF(COUNTA(A238,D238,C238,L238)=0,"",IF(A238="","No date - sits outside every month",IF(E238="","No job number",IF(F238="CHECK","Job number is not in the Xero job list",IF(I238="","No cost centre",IF(AND(P238="Y",C238=""),"Marked posted to Xero but has no invoice number",IF(AND(L238&lt;&gt;"",K238=""),"No tax code",IF(AND(L238&lt;&gt;"",O238=""),"No revenue GL code",""))))))))</f>
        <v/>
      </c>
      <c r="W238" s="25">
        <f>IF(E238="","",IFERROR(INDEX(lst_JobName,MATCH(E238&amp;"",lst_Jobs,0)),""))</f>
        <v/>
      </c>
      <c r="X238" s="28">
        <f>IF(E238="","",COUNTIFS(tbl_Finance[Job Number],E238&amp;"",tbl_Finance[Ex GST],"&lt;&gt;"))</f>
        <v/>
      </c>
      <c r="Y238" s="27">
        <f>IF(E238="","",SUMIFS(tbl_Finance[Ex GST],tbl_Finance[Job Number],E238&amp;""))</f>
        <v/>
      </c>
      <c r="Z238" s="27">
        <f>IF(E238="","",SUMIFS(tbl_Finance[Ex GST],tbl_Finance[Job Number],E238&amp;"",tbl_Finance[Xero Invoice No],"&lt;&gt;"))</f>
        <v/>
      </c>
      <c r="AA238" s="27">
        <f>IF(E238="","",Y238-Z238)</f>
        <v/>
      </c>
      <c r="AB238" s="25">
        <f>IF(E238="","",IF(H238="Onsite",IFERROR(INDEX(tbl_Onsite[Qwilr Quote],MATCH(E238&amp;"",tbl_Onsite[Job Number],0)),""),IF(H238="Production",IFERROR(INDEX(tbl_Production[Current RMS No],MATCH(E238&amp;"",tbl_Production[Job Number],0)),""),IF(H238="Consulting",IFERROR(INDEX(tbl_Consulting[Qwilr Quote],MATCH(E238&amp;"",tbl_Consulting[Job Number],0)),""),""))))</f>
        <v/>
      </c>
      <c r="AC238" s="25">
        <f>IF(AB238="","",IF(AND(LEFT(AB238,4)&lt;&gt;"http",IF(H238="Production",set_RMSBase,set_QwilrBase)=""),"",HYPERLINK(IF(LEFT(AB238,4)="http",AB238,IF(H238="Production",set_RMSBase,set_QwilrBase)&amp;AB238),"Open")))</f>
        <v/>
      </c>
      <c r="AD238" s="27">
        <f>IF(E238="","",IF(H238="Production",IFERROR(INDEX(tbl_Production[Total Expense],MATCH(E238&amp;"",tbl_Production[Job Number],0)),0),IF(H238="Consulting",IFERROR(INDEX(tbl_Consulting[Total Expense],MATCH(E238&amp;"",tbl_Consulting[Job Number],0)),0),0)))</f>
        <v/>
      </c>
      <c r="AE238" s="27">
        <f>IF(E238="","",Y238-N(AD238))</f>
        <v/>
      </c>
      <c r="AF238" s="29">
        <f>IFERROR(AE238/Y238,"")</f>
        <v/>
      </c>
      <c r="AG238" s="25">
        <f>IF(E238="","",IF(H238="Onsite",IFERROR(INDEX(tbl_Onsite[Notes],MATCH(E238&amp;"",tbl_Onsite[Job Number],0)),""),IF(H238="Production",IFERROR(INDEX(tbl_Production[Notes],MATCH(E238&amp;"",tbl_Production[Job Number],0)),""),IF(H238="Consulting",IFERROR(INDEX(tbl_Consulting[Notes],MATCH(E238&amp;"",tbl_Consulting[Job Number],0)),""),""))))</f>
        <v/>
      </c>
    </row>
    <row r="239" ht="15" customHeight="1">
      <c r="A239" s="22" t="n"/>
      <c r="B239" s="23">
        <f>IF(A239="","",EOMONTH(A239,0))</f>
        <v/>
      </c>
      <c r="C239" s="24" t="n"/>
      <c r="D239" s="24" t="n"/>
      <c r="E239" s="24" t="n"/>
      <c r="F239" s="25">
        <f>IF(E239="","",IF(COUNTIF(lst_Jobs,E239&amp;"")&gt;0,"OK","CHECK"))</f>
        <v/>
      </c>
      <c r="G239" s="24" t="n"/>
      <c r="H239" s="24" t="n"/>
      <c r="I239" s="24" t="n"/>
      <c r="J239" s="24" t="n"/>
      <c r="K239" s="24" t="n"/>
      <c r="L239" s="26" t="n"/>
      <c r="M239" s="27">
        <f>IF(L239="","",IF(K239="GST 10%",ROUND(L239*set_GSTRate,2),0))</f>
        <v/>
      </c>
      <c r="N239" s="27">
        <f>IF(L239="","",L239+M239)</f>
        <v/>
      </c>
      <c r="O239" s="24" t="n"/>
      <c r="P239" s="24" t="n"/>
      <c r="Q239" s="24" t="n"/>
      <c r="R239" s="22" t="n"/>
      <c r="S239" s="22" t="n"/>
      <c r="T239" s="24" t="n"/>
      <c r="U239" s="24" t="n"/>
      <c r="V239" s="25">
        <f>IF(COUNTA(A239,D239,C239,L239)=0,"",IF(A239="","No date - sits outside every month",IF(E239="","No job number",IF(F239="CHECK","Job number is not in the Xero job list",IF(I239="","No cost centre",IF(AND(P239="Y",C239=""),"Marked posted to Xero but has no invoice number",IF(AND(L239&lt;&gt;"",K239=""),"No tax code",IF(AND(L239&lt;&gt;"",O239=""),"No revenue GL code",""))))))))</f>
        <v/>
      </c>
      <c r="W239" s="25">
        <f>IF(E239="","",IFERROR(INDEX(lst_JobName,MATCH(E239&amp;"",lst_Jobs,0)),""))</f>
        <v/>
      </c>
      <c r="X239" s="28">
        <f>IF(E239="","",COUNTIFS(tbl_Finance[Job Number],E239&amp;"",tbl_Finance[Ex GST],"&lt;&gt;"))</f>
        <v/>
      </c>
      <c r="Y239" s="27">
        <f>IF(E239="","",SUMIFS(tbl_Finance[Ex GST],tbl_Finance[Job Number],E239&amp;""))</f>
        <v/>
      </c>
      <c r="Z239" s="27">
        <f>IF(E239="","",SUMIFS(tbl_Finance[Ex GST],tbl_Finance[Job Number],E239&amp;"",tbl_Finance[Xero Invoice No],"&lt;&gt;"))</f>
        <v/>
      </c>
      <c r="AA239" s="27">
        <f>IF(E239="","",Y239-Z239)</f>
        <v/>
      </c>
      <c r="AB239" s="25">
        <f>IF(E239="","",IF(H239="Onsite",IFERROR(INDEX(tbl_Onsite[Qwilr Quote],MATCH(E239&amp;"",tbl_Onsite[Job Number],0)),""),IF(H239="Production",IFERROR(INDEX(tbl_Production[Current RMS No],MATCH(E239&amp;"",tbl_Production[Job Number],0)),""),IF(H239="Consulting",IFERROR(INDEX(tbl_Consulting[Qwilr Quote],MATCH(E239&amp;"",tbl_Consulting[Job Number],0)),""),""))))</f>
        <v/>
      </c>
      <c r="AC239" s="25">
        <f>IF(AB239="","",IF(AND(LEFT(AB239,4)&lt;&gt;"http",IF(H239="Production",set_RMSBase,set_QwilrBase)=""),"",HYPERLINK(IF(LEFT(AB239,4)="http",AB239,IF(H239="Production",set_RMSBase,set_QwilrBase)&amp;AB239),"Open")))</f>
        <v/>
      </c>
      <c r="AD239" s="27">
        <f>IF(E239="","",IF(H239="Production",IFERROR(INDEX(tbl_Production[Total Expense],MATCH(E239&amp;"",tbl_Production[Job Number],0)),0),IF(H239="Consulting",IFERROR(INDEX(tbl_Consulting[Total Expense],MATCH(E239&amp;"",tbl_Consulting[Job Number],0)),0),0)))</f>
        <v/>
      </c>
      <c r="AE239" s="27">
        <f>IF(E239="","",Y239-N(AD239))</f>
        <v/>
      </c>
      <c r="AF239" s="29">
        <f>IFERROR(AE239/Y239,"")</f>
        <v/>
      </c>
      <c r="AG239" s="25">
        <f>IF(E239="","",IF(H239="Onsite",IFERROR(INDEX(tbl_Onsite[Notes],MATCH(E239&amp;"",tbl_Onsite[Job Number],0)),""),IF(H239="Production",IFERROR(INDEX(tbl_Production[Notes],MATCH(E239&amp;"",tbl_Production[Job Number],0)),""),IF(H239="Consulting",IFERROR(INDEX(tbl_Consulting[Notes],MATCH(E239&amp;"",tbl_Consulting[Job Number],0)),""),""))))</f>
        <v/>
      </c>
    </row>
    <row r="240" ht="15" customHeight="1">
      <c r="A240" s="22" t="n"/>
      <c r="B240" s="23">
        <f>IF(A240="","",EOMONTH(A240,0))</f>
        <v/>
      </c>
      <c r="C240" s="24" t="n"/>
      <c r="D240" s="24" t="n"/>
      <c r="E240" s="24" t="n"/>
      <c r="F240" s="25">
        <f>IF(E240="","",IF(COUNTIF(lst_Jobs,E240&amp;"")&gt;0,"OK","CHECK"))</f>
        <v/>
      </c>
      <c r="G240" s="24" t="n"/>
      <c r="H240" s="24" t="n"/>
      <c r="I240" s="24" t="n"/>
      <c r="J240" s="24" t="n"/>
      <c r="K240" s="24" t="n"/>
      <c r="L240" s="26" t="n"/>
      <c r="M240" s="27">
        <f>IF(L240="","",IF(K240="GST 10%",ROUND(L240*set_GSTRate,2),0))</f>
        <v/>
      </c>
      <c r="N240" s="27">
        <f>IF(L240="","",L240+M240)</f>
        <v/>
      </c>
      <c r="O240" s="24" t="n"/>
      <c r="P240" s="24" t="n"/>
      <c r="Q240" s="24" t="n"/>
      <c r="R240" s="22" t="n"/>
      <c r="S240" s="22" t="n"/>
      <c r="T240" s="24" t="n"/>
      <c r="U240" s="24" t="n"/>
      <c r="V240" s="25">
        <f>IF(COUNTA(A240,D240,C240,L240)=0,"",IF(A240="","No date - sits outside every month",IF(E240="","No job number",IF(F240="CHECK","Job number is not in the Xero job list",IF(I240="","No cost centre",IF(AND(P240="Y",C240=""),"Marked posted to Xero but has no invoice number",IF(AND(L240&lt;&gt;"",K240=""),"No tax code",IF(AND(L240&lt;&gt;"",O240=""),"No revenue GL code",""))))))))</f>
        <v/>
      </c>
      <c r="W240" s="25">
        <f>IF(E240="","",IFERROR(INDEX(lst_JobName,MATCH(E240&amp;"",lst_Jobs,0)),""))</f>
        <v/>
      </c>
      <c r="X240" s="28">
        <f>IF(E240="","",COUNTIFS(tbl_Finance[Job Number],E240&amp;"",tbl_Finance[Ex GST],"&lt;&gt;"))</f>
        <v/>
      </c>
      <c r="Y240" s="27">
        <f>IF(E240="","",SUMIFS(tbl_Finance[Ex GST],tbl_Finance[Job Number],E240&amp;""))</f>
        <v/>
      </c>
      <c r="Z240" s="27">
        <f>IF(E240="","",SUMIFS(tbl_Finance[Ex GST],tbl_Finance[Job Number],E240&amp;"",tbl_Finance[Xero Invoice No],"&lt;&gt;"))</f>
        <v/>
      </c>
      <c r="AA240" s="27">
        <f>IF(E240="","",Y240-Z240)</f>
        <v/>
      </c>
      <c r="AB240" s="25">
        <f>IF(E240="","",IF(H240="Onsite",IFERROR(INDEX(tbl_Onsite[Qwilr Quote],MATCH(E240&amp;"",tbl_Onsite[Job Number],0)),""),IF(H240="Production",IFERROR(INDEX(tbl_Production[Current RMS No],MATCH(E240&amp;"",tbl_Production[Job Number],0)),""),IF(H240="Consulting",IFERROR(INDEX(tbl_Consulting[Qwilr Quote],MATCH(E240&amp;"",tbl_Consulting[Job Number],0)),""),""))))</f>
        <v/>
      </c>
      <c r="AC240" s="25">
        <f>IF(AB240="","",IF(AND(LEFT(AB240,4)&lt;&gt;"http",IF(H240="Production",set_RMSBase,set_QwilrBase)=""),"",HYPERLINK(IF(LEFT(AB240,4)="http",AB240,IF(H240="Production",set_RMSBase,set_QwilrBase)&amp;AB240),"Open")))</f>
        <v/>
      </c>
      <c r="AD240" s="27">
        <f>IF(E240="","",IF(H240="Production",IFERROR(INDEX(tbl_Production[Total Expense],MATCH(E240&amp;"",tbl_Production[Job Number],0)),0),IF(H240="Consulting",IFERROR(INDEX(tbl_Consulting[Total Expense],MATCH(E240&amp;"",tbl_Consulting[Job Number],0)),0),0)))</f>
        <v/>
      </c>
      <c r="AE240" s="27">
        <f>IF(E240="","",Y240-N(AD240))</f>
        <v/>
      </c>
      <c r="AF240" s="29">
        <f>IFERROR(AE240/Y240,"")</f>
        <v/>
      </c>
      <c r="AG240" s="25">
        <f>IF(E240="","",IF(H240="Onsite",IFERROR(INDEX(tbl_Onsite[Notes],MATCH(E240&amp;"",tbl_Onsite[Job Number],0)),""),IF(H240="Production",IFERROR(INDEX(tbl_Production[Notes],MATCH(E240&amp;"",tbl_Production[Job Number],0)),""),IF(H240="Consulting",IFERROR(INDEX(tbl_Consulting[Notes],MATCH(E240&amp;"",tbl_Consulting[Job Number],0)),""),""))))</f>
        <v/>
      </c>
    </row>
    <row r="241" ht="15" customHeight="1">
      <c r="A241" s="22" t="n"/>
      <c r="B241" s="23">
        <f>IF(A241="","",EOMONTH(A241,0))</f>
        <v/>
      </c>
      <c r="C241" s="24" t="n"/>
      <c r="D241" s="24" t="n"/>
      <c r="E241" s="24" t="n"/>
      <c r="F241" s="25">
        <f>IF(E241="","",IF(COUNTIF(lst_Jobs,E241&amp;"")&gt;0,"OK","CHECK"))</f>
        <v/>
      </c>
      <c r="G241" s="24" t="n"/>
      <c r="H241" s="24" t="n"/>
      <c r="I241" s="24" t="n"/>
      <c r="J241" s="24" t="n"/>
      <c r="K241" s="24" t="n"/>
      <c r="L241" s="26" t="n"/>
      <c r="M241" s="27">
        <f>IF(L241="","",IF(K241="GST 10%",ROUND(L241*set_GSTRate,2),0))</f>
        <v/>
      </c>
      <c r="N241" s="27">
        <f>IF(L241="","",L241+M241)</f>
        <v/>
      </c>
      <c r="O241" s="24" t="n"/>
      <c r="P241" s="24" t="n"/>
      <c r="Q241" s="24" t="n"/>
      <c r="R241" s="22" t="n"/>
      <c r="S241" s="22" t="n"/>
      <c r="T241" s="24" t="n"/>
      <c r="U241" s="24" t="n"/>
      <c r="V241" s="25">
        <f>IF(COUNTA(A241,D241,C241,L241)=0,"",IF(A241="","No date - sits outside every month",IF(E241="","No job number",IF(F241="CHECK","Job number is not in the Xero job list",IF(I241="","No cost centre",IF(AND(P241="Y",C241=""),"Marked posted to Xero but has no invoice number",IF(AND(L241&lt;&gt;"",K241=""),"No tax code",IF(AND(L241&lt;&gt;"",O241=""),"No revenue GL code",""))))))))</f>
        <v/>
      </c>
      <c r="W241" s="25">
        <f>IF(E241="","",IFERROR(INDEX(lst_JobName,MATCH(E241&amp;"",lst_Jobs,0)),""))</f>
        <v/>
      </c>
      <c r="X241" s="28">
        <f>IF(E241="","",COUNTIFS(tbl_Finance[Job Number],E241&amp;"",tbl_Finance[Ex GST],"&lt;&gt;"))</f>
        <v/>
      </c>
      <c r="Y241" s="27">
        <f>IF(E241="","",SUMIFS(tbl_Finance[Ex GST],tbl_Finance[Job Number],E241&amp;""))</f>
        <v/>
      </c>
      <c r="Z241" s="27">
        <f>IF(E241="","",SUMIFS(tbl_Finance[Ex GST],tbl_Finance[Job Number],E241&amp;"",tbl_Finance[Xero Invoice No],"&lt;&gt;"))</f>
        <v/>
      </c>
      <c r="AA241" s="27">
        <f>IF(E241="","",Y241-Z241)</f>
        <v/>
      </c>
      <c r="AB241" s="25">
        <f>IF(E241="","",IF(H241="Onsite",IFERROR(INDEX(tbl_Onsite[Qwilr Quote],MATCH(E241&amp;"",tbl_Onsite[Job Number],0)),""),IF(H241="Production",IFERROR(INDEX(tbl_Production[Current RMS No],MATCH(E241&amp;"",tbl_Production[Job Number],0)),""),IF(H241="Consulting",IFERROR(INDEX(tbl_Consulting[Qwilr Quote],MATCH(E241&amp;"",tbl_Consulting[Job Number],0)),""),""))))</f>
        <v/>
      </c>
      <c r="AC241" s="25">
        <f>IF(AB241="","",IF(AND(LEFT(AB241,4)&lt;&gt;"http",IF(H241="Production",set_RMSBase,set_QwilrBase)=""),"",HYPERLINK(IF(LEFT(AB241,4)="http",AB241,IF(H241="Production",set_RMSBase,set_QwilrBase)&amp;AB241),"Open")))</f>
        <v/>
      </c>
      <c r="AD241" s="27">
        <f>IF(E241="","",IF(H241="Production",IFERROR(INDEX(tbl_Production[Total Expense],MATCH(E241&amp;"",tbl_Production[Job Number],0)),0),IF(H241="Consulting",IFERROR(INDEX(tbl_Consulting[Total Expense],MATCH(E241&amp;"",tbl_Consulting[Job Number],0)),0),0)))</f>
        <v/>
      </c>
      <c r="AE241" s="27">
        <f>IF(E241="","",Y241-N(AD241))</f>
        <v/>
      </c>
      <c r="AF241" s="29">
        <f>IFERROR(AE241/Y241,"")</f>
        <v/>
      </c>
      <c r="AG241" s="25">
        <f>IF(E241="","",IF(H241="Onsite",IFERROR(INDEX(tbl_Onsite[Notes],MATCH(E241&amp;"",tbl_Onsite[Job Number],0)),""),IF(H241="Production",IFERROR(INDEX(tbl_Production[Notes],MATCH(E241&amp;"",tbl_Production[Job Number],0)),""),IF(H241="Consulting",IFERROR(INDEX(tbl_Consulting[Notes],MATCH(E241&amp;"",tbl_Consulting[Job Number],0)),""),""))))</f>
        <v/>
      </c>
    </row>
    <row r="242" ht="15" customHeight="1">
      <c r="A242" s="22" t="n"/>
      <c r="B242" s="23">
        <f>IF(A242="","",EOMONTH(A242,0))</f>
        <v/>
      </c>
      <c r="C242" s="24" t="n"/>
      <c r="D242" s="24" t="n"/>
      <c r="E242" s="24" t="n"/>
      <c r="F242" s="25">
        <f>IF(E242="","",IF(COUNTIF(lst_Jobs,E242&amp;"")&gt;0,"OK","CHECK"))</f>
        <v/>
      </c>
      <c r="G242" s="24" t="n"/>
      <c r="H242" s="24" t="n"/>
      <c r="I242" s="24" t="n"/>
      <c r="J242" s="24" t="n"/>
      <c r="K242" s="24" t="n"/>
      <c r="L242" s="26" t="n"/>
      <c r="M242" s="27">
        <f>IF(L242="","",IF(K242="GST 10%",ROUND(L242*set_GSTRate,2),0))</f>
        <v/>
      </c>
      <c r="N242" s="27">
        <f>IF(L242="","",L242+M242)</f>
        <v/>
      </c>
      <c r="O242" s="24" t="n"/>
      <c r="P242" s="24" t="n"/>
      <c r="Q242" s="24" t="n"/>
      <c r="R242" s="22" t="n"/>
      <c r="S242" s="22" t="n"/>
      <c r="T242" s="24" t="n"/>
      <c r="U242" s="24" t="n"/>
      <c r="V242" s="25">
        <f>IF(COUNTA(A242,D242,C242,L242)=0,"",IF(A242="","No date - sits outside every month",IF(E242="","No job number",IF(F242="CHECK","Job number is not in the Xero job list",IF(I242="","No cost centre",IF(AND(P242="Y",C242=""),"Marked posted to Xero but has no invoice number",IF(AND(L242&lt;&gt;"",K242=""),"No tax code",IF(AND(L242&lt;&gt;"",O242=""),"No revenue GL code",""))))))))</f>
        <v/>
      </c>
      <c r="W242" s="25">
        <f>IF(E242="","",IFERROR(INDEX(lst_JobName,MATCH(E242&amp;"",lst_Jobs,0)),""))</f>
        <v/>
      </c>
      <c r="X242" s="28">
        <f>IF(E242="","",COUNTIFS(tbl_Finance[Job Number],E242&amp;"",tbl_Finance[Ex GST],"&lt;&gt;"))</f>
        <v/>
      </c>
      <c r="Y242" s="27">
        <f>IF(E242="","",SUMIFS(tbl_Finance[Ex GST],tbl_Finance[Job Number],E242&amp;""))</f>
        <v/>
      </c>
      <c r="Z242" s="27">
        <f>IF(E242="","",SUMIFS(tbl_Finance[Ex GST],tbl_Finance[Job Number],E242&amp;"",tbl_Finance[Xero Invoice No],"&lt;&gt;"))</f>
        <v/>
      </c>
      <c r="AA242" s="27">
        <f>IF(E242="","",Y242-Z242)</f>
        <v/>
      </c>
      <c r="AB242" s="25">
        <f>IF(E242="","",IF(H242="Onsite",IFERROR(INDEX(tbl_Onsite[Qwilr Quote],MATCH(E242&amp;"",tbl_Onsite[Job Number],0)),""),IF(H242="Production",IFERROR(INDEX(tbl_Production[Current RMS No],MATCH(E242&amp;"",tbl_Production[Job Number],0)),""),IF(H242="Consulting",IFERROR(INDEX(tbl_Consulting[Qwilr Quote],MATCH(E242&amp;"",tbl_Consulting[Job Number],0)),""),""))))</f>
        <v/>
      </c>
      <c r="AC242" s="25">
        <f>IF(AB242="","",IF(AND(LEFT(AB242,4)&lt;&gt;"http",IF(H242="Production",set_RMSBase,set_QwilrBase)=""),"",HYPERLINK(IF(LEFT(AB242,4)="http",AB242,IF(H242="Production",set_RMSBase,set_QwilrBase)&amp;AB242),"Open")))</f>
        <v/>
      </c>
      <c r="AD242" s="27">
        <f>IF(E242="","",IF(H242="Production",IFERROR(INDEX(tbl_Production[Total Expense],MATCH(E242&amp;"",tbl_Production[Job Number],0)),0),IF(H242="Consulting",IFERROR(INDEX(tbl_Consulting[Total Expense],MATCH(E242&amp;"",tbl_Consulting[Job Number],0)),0),0)))</f>
        <v/>
      </c>
      <c r="AE242" s="27">
        <f>IF(E242="","",Y242-N(AD242))</f>
        <v/>
      </c>
      <c r="AF242" s="29">
        <f>IFERROR(AE242/Y242,"")</f>
        <v/>
      </c>
      <c r="AG242" s="25">
        <f>IF(E242="","",IF(H242="Onsite",IFERROR(INDEX(tbl_Onsite[Notes],MATCH(E242&amp;"",tbl_Onsite[Job Number],0)),""),IF(H242="Production",IFERROR(INDEX(tbl_Production[Notes],MATCH(E242&amp;"",tbl_Production[Job Number],0)),""),IF(H242="Consulting",IFERROR(INDEX(tbl_Consulting[Notes],MATCH(E242&amp;"",tbl_Consulting[Job Number],0)),""),""))))</f>
        <v/>
      </c>
    </row>
    <row r="243" ht="15" customHeight="1">
      <c r="A243" s="22" t="n"/>
      <c r="B243" s="23">
        <f>IF(A243="","",EOMONTH(A243,0))</f>
        <v/>
      </c>
      <c r="C243" s="24" t="n"/>
      <c r="D243" s="24" t="n"/>
      <c r="E243" s="24" t="n"/>
      <c r="F243" s="25">
        <f>IF(E243="","",IF(COUNTIF(lst_Jobs,E243&amp;"")&gt;0,"OK","CHECK"))</f>
        <v/>
      </c>
      <c r="G243" s="24" t="n"/>
      <c r="H243" s="24" t="n"/>
      <c r="I243" s="24" t="n"/>
      <c r="J243" s="24" t="n"/>
      <c r="K243" s="24" t="n"/>
      <c r="L243" s="26" t="n"/>
      <c r="M243" s="27">
        <f>IF(L243="","",IF(K243="GST 10%",ROUND(L243*set_GSTRate,2),0))</f>
        <v/>
      </c>
      <c r="N243" s="27">
        <f>IF(L243="","",L243+M243)</f>
        <v/>
      </c>
      <c r="O243" s="24" t="n"/>
      <c r="P243" s="24" t="n"/>
      <c r="Q243" s="24" t="n"/>
      <c r="R243" s="22" t="n"/>
      <c r="S243" s="22" t="n"/>
      <c r="T243" s="24" t="n"/>
      <c r="U243" s="24" t="n"/>
      <c r="V243" s="25">
        <f>IF(COUNTA(A243,D243,C243,L243)=0,"",IF(A243="","No date - sits outside every month",IF(E243="","No job number",IF(F243="CHECK","Job number is not in the Xero job list",IF(I243="","No cost centre",IF(AND(P243="Y",C243=""),"Marked posted to Xero but has no invoice number",IF(AND(L243&lt;&gt;"",K243=""),"No tax code",IF(AND(L243&lt;&gt;"",O243=""),"No revenue GL code",""))))))))</f>
        <v/>
      </c>
      <c r="W243" s="25">
        <f>IF(E243="","",IFERROR(INDEX(lst_JobName,MATCH(E243&amp;"",lst_Jobs,0)),""))</f>
        <v/>
      </c>
      <c r="X243" s="28">
        <f>IF(E243="","",COUNTIFS(tbl_Finance[Job Number],E243&amp;"",tbl_Finance[Ex GST],"&lt;&gt;"))</f>
        <v/>
      </c>
      <c r="Y243" s="27">
        <f>IF(E243="","",SUMIFS(tbl_Finance[Ex GST],tbl_Finance[Job Number],E243&amp;""))</f>
        <v/>
      </c>
      <c r="Z243" s="27">
        <f>IF(E243="","",SUMIFS(tbl_Finance[Ex GST],tbl_Finance[Job Number],E243&amp;"",tbl_Finance[Xero Invoice No],"&lt;&gt;"))</f>
        <v/>
      </c>
      <c r="AA243" s="27">
        <f>IF(E243="","",Y243-Z243)</f>
        <v/>
      </c>
      <c r="AB243" s="25">
        <f>IF(E243="","",IF(H243="Onsite",IFERROR(INDEX(tbl_Onsite[Qwilr Quote],MATCH(E243&amp;"",tbl_Onsite[Job Number],0)),""),IF(H243="Production",IFERROR(INDEX(tbl_Production[Current RMS No],MATCH(E243&amp;"",tbl_Production[Job Number],0)),""),IF(H243="Consulting",IFERROR(INDEX(tbl_Consulting[Qwilr Quote],MATCH(E243&amp;"",tbl_Consulting[Job Number],0)),""),""))))</f>
        <v/>
      </c>
      <c r="AC243" s="25">
        <f>IF(AB243="","",IF(AND(LEFT(AB243,4)&lt;&gt;"http",IF(H243="Production",set_RMSBase,set_QwilrBase)=""),"",HYPERLINK(IF(LEFT(AB243,4)="http",AB243,IF(H243="Production",set_RMSBase,set_QwilrBase)&amp;AB243),"Open")))</f>
        <v/>
      </c>
      <c r="AD243" s="27">
        <f>IF(E243="","",IF(H243="Production",IFERROR(INDEX(tbl_Production[Total Expense],MATCH(E243&amp;"",tbl_Production[Job Number],0)),0),IF(H243="Consulting",IFERROR(INDEX(tbl_Consulting[Total Expense],MATCH(E243&amp;"",tbl_Consulting[Job Number],0)),0),0)))</f>
        <v/>
      </c>
      <c r="AE243" s="27">
        <f>IF(E243="","",Y243-N(AD243))</f>
        <v/>
      </c>
      <c r="AF243" s="29">
        <f>IFERROR(AE243/Y243,"")</f>
        <v/>
      </c>
      <c r="AG243" s="25">
        <f>IF(E243="","",IF(H243="Onsite",IFERROR(INDEX(tbl_Onsite[Notes],MATCH(E243&amp;"",tbl_Onsite[Job Number],0)),""),IF(H243="Production",IFERROR(INDEX(tbl_Production[Notes],MATCH(E243&amp;"",tbl_Production[Job Number],0)),""),IF(H243="Consulting",IFERROR(INDEX(tbl_Consulting[Notes],MATCH(E243&amp;"",tbl_Consulting[Job Number],0)),""),""))))</f>
        <v/>
      </c>
    </row>
    <row r="244" ht="15" customHeight="1">
      <c r="A244" s="22" t="n"/>
      <c r="B244" s="23">
        <f>IF(A244="","",EOMONTH(A244,0))</f>
        <v/>
      </c>
      <c r="C244" s="24" t="n"/>
      <c r="D244" s="24" t="n"/>
      <c r="E244" s="24" t="n"/>
      <c r="F244" s="25">
        <f>IF(E244="","",IF(COUNTIF(lst_Jobs,E244&amp;"")&gt;0,"OK","CHECK"))</f>
        <v/>
      </c>
      <c r="G244" s="24" t="n"/>
      <c r="H244" s="24" t="n"/>
      <c r="I244" s="24" t="n"/>
      <c r="J244" s="24" t="n"/>
      <c r="K244" s="24" t="n"/>
      <c r="L244" s="26" t="n"/>
      <c r="M244" s="27">
        <f>IF(L244="","",IF(K244="GST 10%",ROUND(L244*set_GSTRate,2),0))</f>
        <v/>
      </c>
      <c r="N244" s="27">
        <f>IF(L244="","",L244+M244)</f>
        <v/>
      </c>
      <c r="O244" s="24" t="n"/>
      <c r="P244" s="24" t="n"/>
      <c r="Q244" s="24" t="n"/>
      <c r="R244" s="22" t="n"/>
      <c r="S244" s="22" t="n"/>
      <c r="T244" s="24" t="n"/>
      <c r="U244" s="24" t="n"/>
      <c r="V244" s="25">
        <f>IF(COUNTA(A244,D244,C244,L244)=0,"",IF(A244="","No date - sits outside every month",IF(E244="","No job number",IF(F244="CHECK","Job number is not in the Xero job list",IF(I244="","No cost centre",IF(AND(P244="Y",C244=""),"Marked posted to Xero but has no invoice number",IF(AND(L244&lt;&gt;"",K244=""),"No tax code",IF(AND(L244&lt;&gt;"",O244=""),"No revenue GL code",""))))))))</f>
        <v/>
      </c>
      <c r="W244" s="25">
        <f>IF(E244="","",IFERROR(INDEX(lst_JobName,MATCH(E244&amp;"",lst_Jobs,0)),""))</f>
        <v/>
      </c>
      <c r="X244" s="28">
        <f>IF(E244="","",COUNTIFS(tbl_Finance[Job Number],E244&amp;"",tbl_Finance[Ex GST],"&lt;&gt;"))</f>
        <v/>
      </c>
      <c r="Y244" s="27">
        <f>IF(E244="","",SUMIFS(tbl_Finance[Ex GST],tbl_Finance[Job Number],E244&amp;""))</f>
        <v/>
      </c>
      <c r="Z244" s="27">
        <f>IF(E244="","",SUMIFS(tbl_Finance[Ex GST],tbl_Finance[Job Number],E244&amp;"",tbl_Finance[Xero Invoice No],"&lt;&gt;"))</f>
        <v/>
      </c>
      <c r="AA244" s="27">
        <f>IF(E244="","",Y244-Z244)</f>
        <v/>
      </c>
      <c r="AB244" s="25">
        <f>IF(E244="","",IF(H244="Onsite",IFERROR(INDEX(tbl_Onsite[Qwilr Quote],MATCH(E244&amp;"",tbl_Onsite[Job Number],0)),""),IF(H244="Production",IFERROR(INDEX(tbl_Production[Current RMS No],MATCH(E244&amp;"",tbl_Production[Job Number],0)),""),IF(H244="Consulting",IFERROR(INDEX(tbl_Consulting[Qwilr Quote],MATCH(E244&amp;"",tbl_Consulting[Job Number],0)),""),""))))</f>
        <v/>
      </c>
      <c r="AC244" s="25">
        <f>IF(AB244="","",IF(AND(LEFT(AB244,4)&lt;&gt;"http",IF(H244="Production",set_RMSBase,set_QwilrBase)=""),"",HYPERLINK(IF(LEFT(AB244,4)="http",AB244,IF(H244="Production",set_RMSBase,set_QwilrBase)&amp;AB244),"Open")))</f>
        <v/>
      </c>
      <c r="AD244" s="27">
        <f>IF(E244="","",IF(H244="Production",IFERROR(INDEX(tbl_Production[Total Expense],MATCH(E244&amp;"",tbl_Production[Job Number],0)),0),IF(H244="Consulting",IFERROR(INDEX(tbl_Consulting[Total Expense],MATCH(E244&amp;"",tbl_Consulting[Job Number],0)),0),0)))</f>
        <v/>
      </c>
      <c r="AE244" s="27">
        <f>IF(E244="","",Y244-N(AD244))</f>
        <v/>
      </c>
      <c r="AF244" s="29">
        <f>IFERROR(AE244/Y244,"")</f>
        <v/>
      </c>
      <c r="AG244" s="25">
        <f>IF(E244="","",IF(H244="Onsite",IFERROR(INDEX(tbl_Onsite[Notes],MATCH(E244&amp;"",tbl_Onsite[Job Number],0)),""),IF(H244="Production",IFERROR(INDEX(tbl_Production[Notes],MATCH(E244&amp;"",tbl_Production[Job Number],0)),""),IF(H244="Consulting",IFERROR(INDEX(tbl_Consulting[Notes],MATCH(E244&amp;"",tbl_Consulting[Job Number],0)),""),""))))</f>
        <v/>
      </c>
    </row>
    <row r="245" ht="15" customHeight="1">
      <c r="A245" s="22" t="n"/>
      <c r="B245" s="23">
        <f>IF(A245="","",EOMONTH(A245,0))</f>
        <v/>
      </c>
      <c r="C245" s="24" t="n"/>
      <c r="D245" s="24" t="n"/>
      <c r="E245" s="24" t="n"/>
      <c r="F245" s="25">
        <f>IF(E245="","",IF(COUNTIF(lst_Jobs,E245&amp;"")&gt;0,"OK","CHECK"))</f>
        <v/>
      </c>
      <c r="G245" s="24" t="n"/>
      <c r="H245" s="24" t="n"/>
      <c r="I245" s="24" t="n"/>
      <c r="J245" s="24" t="n"/>
      <c r="K245" s="24" t="n"/>
      <c r="L245" s="26" t="n"/>
      <c r="M245" s="27">
        <f>IF(L245="","",IF(K245="GST 10%",ROUND(L245*set_GSTRate,2),0))</f>
        <v/>
      </c>
      <c r="N245" s="27">
        <f>IF(L245="","",L245+M245)</f>
        <v/>
      </c>
      <c r="O245" s="24" t="n"/>
      <c r="P245" s="24" t="n"/>
      <c r="Q245" s="24" t="n"/>
      <c r="R245" s="22" t="n"/>
      <c r="S245" s="22" t="n"/>
      <c r="T245" s="24" t="n"/>
      <c r="U245" s="24" t="n"/>
      <c r="V245" s="25">
        <f>IF(COUNTA(A245,D245,C245,L245)=0,"",IF(A245="","No date - sits outside every month",IF(E245="","No job number",IF(F245="CHECK","Job number is not in the Xero job list",IF(I245="","No cost centre",IF(AND(P245="Y",C245=""),"Marked posted to Xero but has no invoice number",IF(AND(L245&lt;&gt;"",K245=""),"No tax code",IF(AND(L245&lt;&gt;"",O245=""),"No revenue GL code",""))))))))</f>
        <v/>
      </c>
      <c r="W245" s="25">
        <f>IF(E245="","",IFERROR(INDEX(lst_JobName,MATCH(E245&amp;"",lst_Jobs,0)),""))</f>
        <v/>
      </c>
      <c r="X245" s="28">
        <f>IF(E245="","",COUNTIFS(tbl_Finance[Job Number],E245&amp;"",tbl_Finance[Ex GST],"&lt;&gt;"))</f>
        <v/>
      </c>
      <c r="Y245" s="27">
        <f>IF(E245="","",SUMIFS(tbl_Finance[Ex GST],tbl_Finance[Job Number],E245&amp;""))</f>
        <v/>
      </c>
      <c r="Z245" s="27">
        <f>IF(E245="","",SUMIFS(tbl_Finance[Ex GST],tbl_Finance[Job Number],E245&amp;"",tbl_Finance[Xero Invoice No],"&lt;&gt;"))</f>
        <v/>
      </c>
      <c r="AA245" s="27">
        <f>IF(E245="","",Y245-Z245)</f>
        <v/>
      </c>
      <c r="AB245" s="25">
        <f>IF(E245="","",IF(H245="Onsite",IFERROR(INDEX(tbl_Onsite[Qwilr Quote],MATCH(E245&amp;"",tbl_Onsite[Job Number],0)),""),IF(H245="Production",IFERROR(INDEX(tbl_Production[Current RMS No],MATCH(E245&amp;"",tbl_Production[Job Number],0)),""),IF(H245="Consulting",IFERROR(INDEX(tbl_Consulting[Qwilr Quote],MATCH(E245&amp;"",tbl_Consulting[Job Number],0)),""),""))))</f>
        <v/>
      </c>
      <c r="AC245" s="25">
        <f>IF(AB245="","",IF(AND(LEFT(AB245,4)&lt;&gt;"http",IF(H245="Production",set_RMSBase,set_QwilrBase)=""),"",HYPERLINK(IF(LEFT(AB245,4)="http",AB245,IF(H245="Production",set_RMSBase,set_QwilrBase)&amp;AB245),"Open")))</f>
        <v/>
      </c>
      <c r="AD245" s="27">
        <f>IF(E245="","",IF(H245="Production",IFERROR(INDEX(tbl_Production[Total Expense],MATCH(E245&amp;"",tbl_Production[Job Number],0)),0),IF(H245="Consulting",IFERROR(INDEX(tbl_Consulting[Total Expense],MATCH(E245&amp;"",tbl_Consulting[Job Number],0)),0),0)))</f>
        <v/>
      </c>
      <c r="AE245" s="27">
        <f>IF(E245="","",Y245-N(AD245))</f>
        <v/>
      </c>
      <c r="AF245" s="29">
        <f>IFERROR(AE245/Y245,"")</f>
        <v/>
      </c>
      <c r="AG245" s="25">
        <f>IF(E245="","",IF(H245="Onsite",IFERROR(INDEX(tbl_Onsite[Notes],MATCH(E245&amp;"",tbl_Onsite[Job Number],0)),""),IF(H245="Production",IFERROR(INDEX(tbl_Production[Notes],MATCH(E245&amp;"",tbl_Production[Job Number],0)),""),IF(H245="Consulting",IFERROR(INDEX(tbl_Consulting[Notes],MATCH(E245&amp;"",tbl_Consulting[Job Number],0)),""),""))))</f>
        <v/>
      </c>
    </row>
    <row r="246" ht="15" customHeight="1">
      <c r="A246" s="22" t="n"/>
      <c r="B246" s="23">
        <f>IF(A246="","",EOMONTH(A246,0))</f>
        <v/>
      </c>
      <c r="C246" s="24" t="n"/>
      <c r="D246" s="24" t="n"/>
      <c r="E246" s="24" t="n"/>
      <c r="F246" s="25">
        <f>IF(E246="","",IF(COUNTIF(lst_Jobs,E246&amp;"")&gt;0,"OK","CHECK"))</f>
        <v/>
      </c>
      <c r="G246" s="24" t="n"/>
      <c r="H246" s="24" t="n"/>
      <c r="I246" s="24" t="n"/>
      <c r="J246" s="24" t="n"/>
      <c r="K246" s="24" t="n"/>
      <c r="L246" s="26" t="n"/>
      <c r="M246" s="27">
        <f>IF(L246="","",IF(K246="GST 10%",ROUND(L246*set_GSTRate,2),0))</f>
        <v/>
      </c>
      <c r="N246" s="27">
        <f>IF(L246="","",L246+M246)</f>
        <v/>
      </c>
      <c r="O246" s="24" t="n"/>
      <c r="P246" s="24" t="n"/>
      <c r="Q246" s="24" t="n"/>
      <c r="R246" s="22" t="n"/>
      <c r="S246" s="22" t="n"/>
      <c r="T246" s="24" t="n"/>
      <c r="U246" s="24" t="n"/>
      <c r="V246" s="25">
        <f>IF(COUNTA(A246,D246,C246,L246)=0,"",IF(A246="","No date - sits outside every month",IF(E246="","No job number",IF(F246="CHECK","Job number is not in the Xero job list",IF(I246="","No cost centre",IF(AND(P246="Y",C246=""),"Marked posted to Xero but has no invoice number",IF(AND(L246&lt;&gt;"",K246=""),"No tax code",IF(AND(L246&lt;&gt;"",O246=""),"No revenue GL code",""))))))))</f>
        <v/>
      </c>
      <c r="W246" s="25">
        <f>IF(E246="","",IFERROR(INDEX(lst_JobName,MATCH(E246&amp;"",lst_Jobs,0)),""))</f>
        <v/>
      </c>
      <c r="X246" s="28">
        <f>IF(E246="","",COUNTIFS(tbl_Finance[Job Number],E246&amp;"",tbl_Finance[Ex GST],"&lt;&gt;"))</f>
        <v/>
      </c>
      <c r="Y246" s="27">
        <f>IF(E246="","",SUMIFS(tbl_Finance[Ex GST],tbl_Finance[Job Number],E246&amp;""))</f>
        <v/>
      </c>
      <c r="Z246" s="27">
        <f>IF(E246="","",SUMIFS(tbl_Finance[Ex GST],tbl_Finance[Job Number],E246&amp;"",tbl_Finance[Xero Invoice No],"&lt;&gt;"))</f>
        <v/>
      </c>
      <c r="AA246" s="27">
        <f>IF(E246="","",Y246-Z246)</f>
        <v/>
      </c>
      <c r="AB246" s="25">
        <f>IF(E246="","",IF(H246="Onsite",IFERROR(INDEX(tbl_Onsite[Qwilr Quote],MATCH(E246&amp;"",tbl_Onsite[Job Number],0)),""),IF(H246="Production",IFERROR(INDEX(tbl_Production[Current RMS No],MATCH(E246&amp;"",tbl_Production[Job Number],0)),""),IF(H246="Consulting",IFERROR(INDEX(tbl_Consulting[Qwilr Quote],MATCH(E246&amp;"",tbl_Consulting[Job Number],0)),""),""))))</f>
        <v/>
      </c>
      <c r="AC246" s="25">
        <f>IF(AB246="","",IF(AND(LEFT(AB246,4)&lt;&gt;"http",IF(H246="Production",set_RMSBase,set_QwilrBase)=""),"",HYPERLINK(IF(LEFT(AB246,4)="http",AB246,IF(H246="Production",set_RMSBase,set_QwilrBase)&amp;AB246),"Open")))</f>
        <v/>
      </c>
      <c r="AD246" s="27">
        <f>IF(E246="","",IF(H246="Production",IFERROR(INDEX(tbl_Production[Total Expense],MATCH(E246&amp;"",tbl_Production[Job Number],0)),0),IF(H246="Consulting",IFERROR(INDEX(tbl_Consulting[Total Expense],MATCH(E246&amp;"",tbl_Consulting[Job Number],0)),0),0)))</f>
        <v/>
      </c>
      <c r="AE246" s="27">
        <f>IF(E246="","",Y246-N(AD246))</f>
        <v/>
      </c>
      <c r="AF246" s="29">
        <f>IFERROR(AE246/Y246,"")</f>
        <v/>
      </c>
      <c r="AG246" s="25">
        <f>IF(E246="","",IF(H246="Onsite",IFERROR(INDEX(tbl_Onsite[Notes],MATCH(E246&amp;"",tbl_Onsite[Job Number],0)),""),IF(H246="Production",IFERROR(INDEX(tbl_Production[Notes],MATCH(E246&amp;"",tbl_Production[Job Number],0)),""),IF(H246="Consulting",IFERROR(INDEX(tbl_Consulting[Notes],MATCH(E246&amp;"",tbl_Consulting[Job Number],0)),""),""))))</f>
        <v/>
      </c>
    </row>
    <row r="247" ht="15" customHeight="1">
      <c r="A247" s="22" t="n"/>
      <c r="B247" s="23">
        <f>IF(A247="","",EOMONTH(A247,0))</f>
        <v/>
      </c>
      <c r="C247" s="24" t="n"/>
      <c r="D247" s="24" t="n"/>
      <c r="E247" s="24" t="n"/>
      <c r="F247" s="25">
        <f>IF(E247="","",IF(COUNTIF(lst_Jobs,E247&amp;"")&gt;0,"OK","CHECK"))</f>
        <v/>
      </c>
      <c r="G247" s="24" t="n"/>
      <c r="H247" s="24" t="n"/>
      <c r="I247" s="24" t="n"/>
      <c r="J247" s="24" t="n"/>
      <c r="K247" s="24" t="n"/>
      <c r="L247" s="26" t="n"/>
      <c r="M247" s="27">
        <f>IF(L247="","",IF(K247="GST 10%",ROUND(L247*set_GSTRate,2),0))</f>
        <v/>
      </c>
      <c r="N247" s="27">
        <f>IF(L247="","",L247+M247)</f>
        <v/>
      </c>
      <c r="O247" s="24" t="n"/>
      <c r="P247" s="24" t="n"/>
      <c r="Q247" s="24" t="n"/>
      <c r="R247" s="22" t="n"/>
      <c r="S247" s="22" t="n"/>
      <c r="T247" s="24" t="n"/>
      <c r="U247" s="24" t="n"/>
      <c r="V247" s="25">
        <f>IF(COUNTA(A247,D247,C247,L247)=0,"",IF(A247="","No date - sits outside every month",IF(E247="","No job number",IF(F247="CHECK","Job number is not in the Xero job list",IF(I247="","No cost centre",IF(AND(P247="Y",C247=""),"Marked posted to Xero but has no invoice number",IF(AND(L247&lt;&gt;"",K247=""),"No tax code",IF(AND(L247&lt;&gt;"",O247=""),"No revenue GL code",""))))))))</f>
        <v/>
      </c>
      <c r="W247" s="25">
        <f>IF(E247="","",IFERROR(INDEX(lst_JobName,MATCH(E247&amp;"",lst_Jobs,0)),""))</f>
        <v/>
      </c>
      <c r="X247" s="28">
        <f>IF(E247="","",COUNTIFS(tbl_Finance[Job Number],E247&amp;"",tbl_Finance[Ex GST],"&lt;&gt;"))</f>
        <v/>
      </c>
      <c r="Y247" s="27">
        <f>IF(E247="","",SUMIFS(tbl_Finance[Ex GST],tbl_Finance[Job Number],E247&amp;""))</f>
        <v/>
      </c>
      <c r="Z247" s="27">
        <f>IF(E247="","",SUMIFS(tbl_Finance[Ex GST],tbl_Finance[Job Number],E247&amp;"",tbl_Finance[Xero Invoice No],"&lt;&gt;"))</f>
        <v/>
      </c>
      <c r="AA247" s="27">
        <f>IF(E247="","",Y247-Z247)</f>
        <v/>
      </c>
      <c r="AB247" s="25">
        <f>IF(E247="","",IF(H247="Onsite",IFERROR(INDEX(tbl_Onsite[Qwilr Quote],MATCH(E247&amp;"",tbl_Onsite[Job Number],0)),""),IF(H247="Production",IFERROR(INDEX(tbl_Production[Current RMS No],MATCH(E247&amp;"",tbl_Production[Job Number],0)),""),IF(H247="Consulting",IFERROR(INDEX(tbl_Consulting[Qwilr Quote],MATCH(E247&amp;"",tbl_Consulting[Job Number],0)),""),""))))</f>
        <v/>
      </c>
      <c r="AC247" s="25">
        <f>IF(AB247="","",IF(AND(LEFT(AB247,4)&lt;&gt;"http",IF(H247="Production",set_RMSBase,set_QwilrBase)=""),"",HYPERLINK(IF(LEFT(AB247,4)="http",AB247,IF(H247="Production",set_RMSBase,set_QwilrBase)&amp;AB247),"Open")))</f>
        <v/>
      </c>
      <c r="AD247" s="27">
        <f>IF(E247="","",IF(H247="Production",IFERROR(INDEX(tbl_Production[Total Expense],MATCH(E247&amp;"",tbl_Production[Job Number],0)),0),IF(H247="Consulting",IFERROR(INDEX(tbl_Consulting[Total Expense],MATCH(E247&amp;"",tbl_Consulting[Job Number],0)),0),0)))</f>
        <v/>
      </c>
      <c r="AE247" s="27">
        <f>IF(E247="","",Y247-N(AD247))</f>
        <v/>
      </c>
      <c r="AF247" s="29">
        <f>IFERROR(AE247/Y247,"")</f>
        <v/>
      </c>
      <c r="AG247" s="25">
        <f>IF(E247="","",IF(H247="Onsite",IFERROR(INDEX(tbl_Onsite[Notes],MATCH(E247&amp;"",tbl_Onsite[Job Number],0)),""),IF(H247="Production",IFERROR(INDEX(tbl_Production[Notes],MATCH(E247&amp;"",tbl_Production[Job Number],0)),""),IF(H247="Consulting",IFERROR(INDEX(tbl_Consulting[Notes],MATCH(E247&amp;"",tbl_Consulting[Job Number],0)),""),""))))</f>
        <v/>
      </c>
    </row>
    <row r="248" ht="15" customHeight="1">
      <c r="A248" s="22" t="n"/>
      <c r="B248" s="23">
        <f>IF(A248="","",EOMONTH(A248,0))</f>
        <v/>
      </c>
      <c r="C248" s="24" t="n"/>
      <c r="D248" s="24" t="n"/>
      <c r="E248" s="24" t="n"/>
      <c r="F248" s="25">
        <f>IF(E248="","",IF(COUNTIF(lst_Jobs,E248&amp;"")&gt;0,"OK","CHECK"))</f>
        <v/>
      </c>
      <c r="G248" s="24" t="n"/>
      <c r="H248" s="24" t="n"/>
      <c r="I248" s="24" t="n"/>
      <c r="J248" s="24" t="n"/>
      <c r="K248" s="24" t="n"/>
      <c r="L248" s="26" t="n"/>
      <c r="M248" s="27">
        <f>IF(L248="","",IF(K248="GST 10%",ROUND(L248*set_GSTRate,2),0))</f>
        <v/>
      </c>
      <c r="N248" s="27">
        <f>IF(L248="","",L248+M248)</f>
        <v/>
      </c>
      <c r="O248" s="24" t="n"/>
      <c r="P248" s="24" t="n"/>
      <c r="Q248" s="24" t="n"/>
      <c r="R248" s="22" t="n"/>
      <c r="S248" s="22" t="n"/>
      <c r="T248" s="24" t="n"/>
      <c r="U248" s="24" t="n"/>
      <c r="V248" s="25">
        <f>IF(COUNTA(A248,D248,C248,L248)=0,"",IF(A248="","No date - sits outside every month",IF(E248="","No job number",IF(F248="CHECK","Job number is not in the Xero job list",IF(I248="","No cost centre",IF(AND(P248="Y",C248=""),"Marked posted to Xero but has no invoice number",IF(AND(L248&lt;&gt;"",K248=""),"No tax code",IF(AND(L248&lt;&gt;"",O248=""),"No revenue GL code",""))))))))</f>
        <v/>
      </c>
      <c r="W248" s="25">
        <f>IF(E248="","",IFERROR(INDEX(lst_JobName,MATCH(E248&amp;"",lst_Jobs,0)),""))</f>
        <v/>
      </c>
      <c r="X248" s="28">
        <f>IF(E248="","",COUNTIFS(tbl_Finance[Job Number],E248&amp;"",tbl_Finance[Ex GST],"&lt;&gt;"))</f>
        <v/>
      </c>
      <c r="Y248" s="27">
        <f>IF(E248="","",SUMIFS(tbl_Finance[Ex GST],tbl_Finance[Job Number],E248&amp;""))</f>
        <v/>
      </c>
      <c r="Z248" s="27">
        <f>IF(E248="","",SUMIFS(tbl_Finance[Ex GST],tbl_Finance[Job Number],E248&amp;"",tbl_Finance[Xero Invoice No],"&lt;&gt;"))</f>
        <v/>
      </c>
      <c r="AA248" s="27">
        <f>IF(E248="","",Y248-Z248)</f>
        <v/>
      </c>
      <c r="AB248" s="25">
        <f>IF(E248="","",IF(H248="Onsite",IFERROR(INDEX(tbl_Onsite[Qwilr Quote],MATCH(E248&amp;"",tbl_Onsite[Job Number],0)),""),IF(H248="Production",IFERROR(INDEX(tbl_Production[Current RMS No],MATCH(E248&amp;"",tbl_Production[Job Number],0)),""),IF(H248="Consulting",IFERROR(INDEX(tbl_Consulting[Qwilr Quote],MATCH(E248&amp;"",tbl_Consulting[Job Number],0)),""),""))))</f>
        <v/>
      </c>
      <c r="AC248" s="25">
        <f>IF(AB248="","",IF(AND(LEFT(AB248,4)&lt;&gt;"http",IF(H248="Production",set_RMSBase,set_QwilrBase)=""),"",HYPERLINK(IF(LEFT(AB248,4)="http",AB248,IF(H248="Production",set_RMSBase,set_QwilrBase)&amp;AB248),"Open")))</f>
        <v/>
      </c>
      <c r="AD248" s="27">
        <f>IF(E248="","",IF(H248="Production",IFERROR(INDEX(tbl_Production[Total Expense],MATCH(E248&amp;"",tbl_Production[Job Number],0)),0),IF(H248="Consulting",IFERROR(INDEX(tbl_Consulting[Total Expense],MATCH(E248&amp;"",tbl_Consulting[Job Number],0)),0),0)))</f>
        <v/>
      </c>
      <c r="AE248" s="27">
        <f>IF(E248="","",Y248-N(AD248))</f>
        <v/>
      </c>
      <c r="AF248" s="29">
        <f>IFERROR(AE248/Y248,"")</f>
        <v/>
      </c>
      <c r="AG248" s="25">
        <f>IF(E248="","",IF(H248="Onsite",IFERROR(INDEX(tbl_Onsite[Notes],MATCH(E248&amp;"",tbl_Onsite[Job Number],0)),""),IF(H248="Production",IFERROR(INDEX(tbl_Production[Notes],MATCH(E248&amp;"",tbl_Production[Job Number],0)),""),IF(H248="Consulting",IFERROR(INDEX(tbl_Consulting[Notes],MATCH(E248&amp;"",tbl_Consulting[Job Number],0)),""),""))))</f>
        <v/>
      </c>
    </row>
    <row r="249" ht="15" customHeight="1">
      <c r="A249" s="22" t="n"/>
      <c r="B249" s="23">
        <f>IF(A249="","",EOMONTH(A249,0))</f>
        <v/>
      </c>
      <c r="C249" s="24" t="n"/>
      <c r="D249" s="24" t="n"/>
      <c r="E249" s="24" t="n"/>
      <c r="F249" s="25">
        <f>IF(E249="","",IF(COUNTIF(lst_Jobs,E249&amp;"")&gt;0,"OK","CHECK"))</f>
        <v/>
      </c>
      <c r="G249" s="24" t="n"/>
      <c r="H249" s="24" t="n"/>
      <c r="I249" s="24" t="n"/>
      <c r="J249" s="24" t="n"/>
      <c r="K249" s="24" t="n"/>
      <c r="L249" s="26" t="n"/>
      <c r="M249" s="27">
        <f>IF(L249="","",IF(K249="GST 10%",ROUND(L249*set_GSTRate,2),0))</f>
        <v/>
      </c>
      <c r="N249" s="27">
        <f>IF(L249="","",L249+M249)</f>
        <v/>
      </c>
      <c r="O249" s="24" t="n"/>
      <c r="P249" s="24" t="n"/>
      <c r="Q249" s="24" t="n"/>
      <c r="R249" s="22" t="n"/>
      <c r="S249" s="22" t="n"/>
      <c r="T249" s="24" t="n"/>
      <c r="U249" s="24" t="n"/>
      <c r="V249" s="25">
        <f>IF(COUNTA(A249,D249,C249,L249)=0,"",IF(A249="","No date - sits outside every month",IF(E249="","No job number",IF(F249="CHECK","Job number is not in the Xero job list",IF(I249="","No cost centre",IF(AND(P249="Y",C249=""),"Marked posted to Xero but has no invoice number",IF(AND(L249&lt;&gt;"",K249=""),"No tax code",IF(AND(L249&lt;&gt;"",O249=""),"No revenue GL code",""))))))))</f>
        <v/>
      </c>
      <c r="W249" s="25">
        <f>IF(E249="","",IFERROR(INDEX(lst_JobName,MATCH(E249&amp;"",lst_Jobs,0)),""))</f>
        <v/>
      </c>
      <c r="X249" s="28">
        <f>IF(E249="","",COUNTIFS(tbl_Finance[Job Number],E249&amp;"",tbl_Finance[Ex GST],"&lt;&gt;"))</f>
        <v/>
      </c>
      <c r="Y249" s="27">
        <f>IF(E249="","",SUMIFS(tbl_Finance[Ex GST],tbl_Finance[Job Number],E249&amp;""))</f>
        <v/>
      </c>
      <c r="Z249" s="27">
        <f>IF(E249="","",SUMIFS(tbl_Finance[Ex GST],tbl_Finance[Job Number],E249&amp;"",tbl_Finance[Xero Invoice No],"&lt;&gt;"))</f>
        <v/>
      </c>
      <c r="AA249" s="27">
        <f>IF(E249="","",Y249-Z249)</f>
        <v/>
      </c>
      <c r="AB249" s="25">
        <f>IF(E249="","",IF(H249="Onsite",IFERROR(INDEX(tbl_Onsite[Qwilr Quote],MATCH(E249&amp;"",tbl_Onsite[Job Number],0)),""),IF(H249="Production",IFERROR(INDEX(tbl_Production[Current RMS No],MATCH(E249&amp;"",tbl_Production[Job Number],0)),""),IF(H249="Consulting",IFERROR(INDEX(tbl_Consulting[Qwilr Quote],MATCH(E249&amp;"",tbl_Consulting[Job Number],0)),""),""))))</f>
        <v/>
      </c>
      <c r="AC249" s="25">
        <f>IF(AB249="","",IF(AND(LEFT(AB249,4)&lt;&gt;"http",IF(H249="Production",set_RMSBase,set_QwilrBase)=""),"",HYPERLINK(IF(LEFT(AB249,4)="http",AB249,IF(H249="Production",set_RMSBase,set_QwilrBase)&amp;AB249),"Open")))</f>
        <v/>
      </c>
      <c r="AD249" s="27">
        <f>IF(E249="","",IF(H249="Production",IFERROR(INDEX(tbl_Production[Total Expense],MATCH(E249&amp;"",tbl_Production[Job Number],0)),0),IF(H249="Consulting",IFERROR(INDEX(tbl_Consulting[Total Expense],MATCH(E249&amp;"",tbl_Consulting[Job Number],0)),0),0)))</f>
        <v/>
      </c>
      <c r="AE249" s="27">
        <f>IF(E249="","",Y249-N(AD249))</f>
        <v/>
      </c>
      <c r="AF249" s="29">
        <f>IFERROR(AE249/Y249,"")</f>
        <v/>
      </c>
      <c r="AG249" s="25">
        <f>IF(E249="","",IF(H249="Onsite",IFERROR(INDEX(tbl_Onsite[Notes],MATCH(E249&amp;"",tbl_Onsite[Job Number],0)),""),IF(H249="Production",IFERROR(INDEX(tbl_Production[Notes],MATCH(E249&amp;"",tbl_Production[Job Number],0)),""),IF(H249="Consulting",IFERROR(INDEX(tbl_Consulting[Notes],MATCH(E249&amp;"",tbl_Consulting[Job Number],0)),""),""))))</f>
        <v/>
      </c>
    </row>
    <row r="250" ht="15" customHeight="1">
      <c r="A250" s="22" t="n"/>
      <c r="B250" s="23">
        <f>IF(A250="","",EOMONTH(A250,0))</f>
        <v/>
      </c>
      <c r="C250" s="24" t="n"/>
      <c r="D250" s="24" t="n"/>
      <c r="E250" s="24" t="n"/>
      <c r="F250" s="25">
        <f>IF(E250="","",IF(COUNTIF(lst_Jobs,E250&amp;"")&gt;0,"OK","CHECK"))</f>
        <v/>
      </c>
      <c r="G250" s="24" t="n"/>
      <c r="H250" s="24" t="n"/>
      <c r="I250" s="24" t="n"/>
      <c r="J250" s="24" t="n"/>
      <c r="K250" s="24" t="n"/>
      <c r="L250" s="26" t="n"/>
      <c r="M250" s="27">
        <f>IF(L250="","",IF(K250="GST 10%",ROUND(L250*set_GSTRate,2),0))</f>
        <v/>
      </c>
      <c r="N250" s="27">
        <f>IF(L250="","",L250+M250)</f>
        <v/>
      </c>
      <c r="O250" s="24" t="n"/>
      <c r="P250" s="24" t="n"/>
      <c r="Q250" s="24" t="n"/>
      <c r="R250" s="22" t="n"/>
      <c r="S250" s="22" t="n"/>
      <c r="T250" s="24" t="n"/>
      <c r="U250" s="24" t="n"/>
      <c r="V250" s="25">
        <f>IF(COUNTA(A250,D250,C250,L250)=0,"",IF(A250="","No date - sits outside every month",IF(E250="","No job number",IF(F250="CHECK","Job number is not in the Xero job list",IF(I250="","No cost centre",IF(AND(P250="Y",C250=""),"Marked posted to Xero but has no invoice number",IF(AND(L250&lt;&gt;"",K250=""),"No tax code",IF(AND(L250&lt;&gt;"",O250=""),"No revenue GL code",""))))))))</f>
        <v/>
      </c>
      <c r="W250" s="25">
        <f>IF(E250="","",IFERROR(INDEX(lst_JobName,MATCH(E250&amp;"",lst_Jobs,0)),""))</f>
        <v/>
      </c>
      <c r="X250" s="28">
        <f>IF(E250="","",COUNTIFS(tbl_Finance[Job Number],E250&amp;"",tbl_Finance[Ex GST],"&lt;&gt;"))</f>
        <v/>
      </c>
      <c r="Y250" s="27">
        <f>IF(E250="","",SUMIFS(tbl_Finance[Ex GST],tbl_Finance[Job Number],E250&amp;""))</f>
        <v/>
      </c>
      <c r="Z250" s="27">
        <f>IF(E250="","",SUMIFS(tbl_Finance[Ex GST],tbl_Finance[Job Number],E250&amp;"",tbl_Finance[Xero Invoice No],"&lt;&gt;"))</f>
        <v/>
      </c>
      <c r="AA250" s="27">
        <f>IF(E250="","",Y250-Z250)</f>
        <v/>
      </c>
      <c r="AB250" s="25">
        <f>IF(E250="","",IF(H250="Onsite",IFERROR(INDEX(tbl_Onsite[Qwilr Quote],MATCH(E250&amp;"",tbl_Onsite[Job Number],0)),""),IF(H250="Production",IFERROR(INDEX(tbl_Production[Current RMS No],MATCH(E250&amp;"",tbl_Production[Job Number],0)),""),IF(H250="Consulting",IFERROR(INDEX(tbl_Consulting[Qwilr Quote],MATCH(E250&amp;"",tbl_Consulting[Job Number],0)),""),""))))</f>
        <v/>
      </c>
      <c r="AC250" s="25">
        <f>IF(AB250="","",IF(AND(LEFT(AB250,4)&lt;&gt;"http",IF(H250="Production",set_RMSBase,set_QwilrBase)=""),"",HYPERLINK(IF(LEFT(AB250,4)="http",AB250,IF(H250="Production",set_RMSBase,set_QwilrBase)&amp;AB250),"Open")))</f>
        <v/>
      </c>
      <c r="AD250" s="27">
        <f>IF(E250="","",IF(H250="Production",IFERROR(INDEX(tbl_Production[Total Expense],MATCH(E250&amp;"",tbl_Production[Job Number],0)),0),IF(H250="Consulting",IFERROR(INDEX(tbl_Consulting[Total Expense],MATCH(E250&amp;"",tbl_Consulting[Job Number],0)),0),0)))</f>
        <v/>
      </c>
      <c r="AE250" s="27">
        <f>IF(E250="","",Y250-N(AD250))</f>
        <v/>
      </c>
      <c r="AF250" s="29">
        <f>IFERROR(AE250/Y250,"")</f>
        <v/>
      </c>
      <c r="AG250" s="25">
        <f>IF(E250="","",IF(H250="Onsite",IFERROR(INDEX(tbl_Onsite[Notes],MATCH(E250&amp;"",tbl_Onsite[Job Number],0)),""),IF(H250="Production",IFERROR(INDEX(tbl_Production[Notes],MATCH(E250&amp;"",tbl_Production[Job Number],0)),""),IF(H250="Consulting",IFERROR(INDEX(tbl_Consulting[Notes],MATCH(E250&amp;"",tbl_Consulting[Job Number],0)),""),""))))</f>
        <v/>
      </c>
    </row>
    <row r="251" ht="15" customHeight="1">
      <c r="A251" s="22" t="n"/>
      <c r="B251" s="23">
        <f>IF(A251="","",EOMONTH(A251,0))</f>
        <v/>
      </c>
      <c r="C251" s="24" t="n"/>
      <c r="D251" s="24" t="n"/>
      <c r="E251" s="24" t="n"/>
      <c r="F251" s="25">
        <f>IF(E251="","",IF(COUNTIF(lst_Jobs,E251&amp;"")&gt;0,"OK","CHECK"))</f>
        <v/>
      </c>
      <c r="G251" s="24" t="n"/>
      <c r="H251" s="24" t="n"/>
      <c r="I251" s="24" t="n"/>
      <c r="J251" s="24" t="n"/>
      <c r="K251" s="24" t="n"/>
      <c r="L251" s="26" t="n"/>
      <c r="M251" s="27">
        <f>IF(L251="","",IF(K251="GST 10%",ROUND(L251*set_GSTRate,2),0))</f>
        <v/>
      </c>
      <c r="N251" s="27">
        <f>IF(L251="","",L251+M251)</f>
        <v/>
      </c>
      <c r="O251" s="24" t="n"/>
      <c r="P251" s="24" t="n"/>
      <c r="Q251" s="24" t="n"/>
      <c r="R251" s="22" t="n"/>
      <c r="S251" s="22" t="n"/>
      <c r="T251" s="24" t="n"/>
      <c r="U251" s="24" t="n"/>
      <c r="V251" s="25">
        <f>IF(COUNTA(A251,D251,C251,L251)=0,"",IF(A251="","No date - sits outside every month",IF(E251="","No job number",IF(F251="CHECK","Job number is not in the Xero job list",IF(I251="","No cost centre",IF(AND(P251="Y",C251=""),"Marked posted to Xero but has no invoice number",IF(AND(L251&lt;&gt;"",K251=""),"No tax code",IF(AND(L251&lt;&gt;"",O251=""),"No revenue GL code",""))))))))</f>
        <v/>
      </c>
      <c r="W251" s="25">
        <f>IF(E251="","",IFERROR(INDEX(lst_JobName,MATCH(E251&amp;"",lst_Jobs,0)),""))</f>
        <v/>
      </c>
      <c r="X251" s="28">
        <f>IF(E251="","",COUNTIFS(tbl_Finance[Job Number],E251&amp;"",tbl_Finance[Ex GST],"&lt;&gt;"))</f>
        <v/>
      </c>
      <c r="Y251" s="27">
        <f>IF(E251="","",SUMIFS(tbl_Finance[Ex GST],tbl_Finance[Job Number],E251&amp;""))</f>
        <v/>
      </c>
      <c r="Z251" s="27">
        <f>IF(E251="","",SUMIFS(tbl_Finance[Ex GST],tbl_Finance[Job Number],E251&amp;"",tbl_Finance[Xero Invoice No],"&lt;&gt;"))</f>
        <v/>
      </c>
      <c r="AA251" s="27">
        <f>IF(E251="","",Y251-Z251)</f>
        <v/>
      </c>
      <c r="AB251" s="25">
        <f>IF(E251="","",IF(H251="Onsite",IFERROR(INDEX(tbl_Onsite[Qwilr Quote],MATCH(E251&amp;"",tbl_Onsite[Job Number],0)),""),IF(H251="Production",IFERROR(INDEX(tbl_Production[Current RMS No],MATCH(E251&amp;"",tbl_Production[Job Number],0)),""),IF(H251="Consulting",IFERROR(INDEX(tbl_Consulting[Qwilr Quote],MATCH(E251&amp;"",tbl_Consulting[Job Number],0)),""),""))))</f>
        <v/>
      </c>
      <c r="AC251" s="25">
        <f>IF(AB251="","",IF(AND(LEFT(AB251,4)&lt;&gt;"http",IF(H251="Production",set_RMSBase,set_QwilrBase)=""),"",HYPERLINK(IF(LEFT(AB251,4)="http",AB251,IF(H251="Production",set_RMSBase,set_QwilrBase)&amp;AB251),"Open")))</f>
        <v/>
      </c>
      <c r="AD251" s="27">
        <f>IF(E251="","",IF(H251="Production",IFERROR(INDEX(tbl_Production[Total Expense],MATCH(E251&amp;"",tbl_Production[Job Number],0)),0),IF(H251="Consulting",IFERROR(INDEX(tbl_Consulting[Total Expense],MATCH(E251&amp;"",tbl_Consulting[Job Number],0)),0),0)))</f>
        <v/>
      </c>
      <c r="AE251" s="27">
        <f>IF(E251="","",Y251-N(AD251))</f>
        <v/>
      </c>
      <c r="AF251" s="29">
        <f>IFERROR(AE251/Y251,"")</f>
        <v/>
      </c>
      <c r="AG251" s="25">
        <f>IF(E251="","",IF(H251="Onsite",IFERROR(INDEX(tbl_Onsite[Notes],MATCH(E251&amp;"",tbl_Onsite[Job Number],0)),""),IF(H251="Production",IFERROR(INDEX(tbl_Production[Notes],MATCH(E251&amp;"",tbl_Production[Job Number],0)),""),IF(H251="Consulting",IFERROR(INDEX(tbl_Consulting[Notes],MATCH(E251&amp;"",tbl_Consulting[Job Number],0)),""),""))))</f>
        <v/>
      </c>
    </row>
    <row r="252" ht="15" customHeight="1">
      <c r="A252" s="22" t="n"/>
      <c r="B252" s="23">
        <f>IF(A252="","",EOMONTH(A252,0))</f>
        <v/>
      </c>
      <c r="C252" s="24" t="n"/>
      <c r="D252" s="24" t="n"/>
      <c r="E252" s="24" t="n"/>
      <c r="F252" s="25">
        <f>IF(E252="","",IF(COUNTIF(lst_Jobs,E252&amp;"")&gt;0,"OK","CHECK"))</f>
        <v/>
      </c>
      <c r="G252" s="24" t="n"/>
      <c r="H252" s="24" t="n"/>
      <c r="I252" s="24" t="n"/>
      <c r="J252" s="24" t="n"/>
      <c r="K252" s="24" t="n"/>
      <c r="L252" s="26" t="n"/>
      <c r="M252" s="27">
        <f>IF(L252="","",IF(K252="GST 10%",ROUND(L252*set_GSTRate,2),0))</f>
        <v/>
      </c>
      <c r="N252" s="27">
        <f>IF(L252="","",L252+M252)</f>
        <v/>
      </c>
      <c r="O252" s="24" t="n"/>
      <c r="P252" s="24" t="n"/>
      <c r="Q252" s="24" t="n"/>
      <c r="R252" s="22" t="n"/>
      <c r="S252" s="22" t="n"/>
      <c r="T252" s="24" t="n"/>
      <c r="U252" s="24" t="n"/>
      <c r="V252" s="25">
        <f>IF(COUNTA(A252,D252,C252,L252)=0,"",IF(A252="","No date - sits outside every month",IF(E252="","No job number",IF(F252="CHECK","Job number is not in the Xero job list",IF(I252="","No cost centre",IF(AND(P252="Y",C252=""),"Marked posted to Xero but has no invoice number",IF(AND(L252&lt;&gt;"",K252=""),"No tax code",IF(AND(L252&lt;&gt;"",O252=""),"No revenue GL code",""))))))))</f>
        <v/>
      </c>
      <c r="W252" s="25">
        <f>IF(E252="","",IFERROR(INDEX(lst_JobName,MATCH(E252&amp;"",lst_Jobs,0)),""))</f>
        <v/>
      </c>
      <c r="X252" s="28">
        <f>IF(E252="","",COUNTIFS(tbl_Finance[Job Number],E252&amp;"",tbl_Finance[Ex GST],"&lt;&gt;"))</f>
        <v/>
      </c>
      <c r="Y252" s="27">
        <f>IF(E252="","",SUMIFS(tbl_Finance[Ex GST],tbl_Finance[Job Number],E252&amp;""))</f>
        <v/>
      </c>
      <c r="Z252" s="27">
        <f>IF(E252="","",SUMIFS(tbl_Finance[Ex GST],tbl_Finance[Job Number],E252&amp;"",tbl_Finance[Xero Invoice No],"&lt;&gt;"))</f>
        <v/>
      </c>
      <c r="AA252" s="27">
        <f>IF(E252="","",Y252-Z252)</f>
        <v/>
      </c>
      <c r="AB252" s="25">
        <f>IF(E252="","",IF(H252="Onsite",IFERROR(INDEX(tbl_Onsite[Qwilr Quote],MATCH(E252&amp;"",tbl_Onsite[Job Number],0)),""),IF(H252="Production",IFERROR(INDEX(tbl_Production[Current RMS No],MATCH(E252&amp;"",tbl_Production[Job Number],0)),""),IF(H252="Consulting",IFERROR(INDEX(tbl_Consulting[Qwilr Quote],MATCH(E252&amp;"",tbl_Consulting[Job Number],0)),""),""))))</f>
        <v/>
      </c>
      <c r="AC252" s="25">
        <f>IF(AB252="","",IF(AND(LEFT(AB252,4)&lt;&gt;"http",IF(H252="Production",set_RMSBase,set_QwilrBase)=""),"",HYPERLINK(IF(LEFT(AB252,4)="http",AB252,IF(H252="Production",set_RMSBase,set_QwilrBase)&amp;AB252),"Open")))</f>
        <v/>
      </c>
      <c r="AD252" s="27">
        <f>IF(E252="","",IF(H252="Production",IFERROR(INDEX(tbl_Production[Total Expense],MATCH(E252&amp;"",tbl_Production[Job Number],0)),0),IF(H252="Consulting",IFERROR(INDEX(tbl_Consulting[Total Expense],MATCH(E252&amp;"",tbl_Consulting[Job Number],0)),0),0)))</f>
        <v/>
      </c>
      <c r="AE252" s="27">
        <f>IF(E252="","",Y252-N(AD252))</f>
        <v/>
      </c>
      <c r="AF252" s="29">
        <f>IFERROR(AE252/Y252,"")</f>
        <v/>
      </c>
      <c r="AG252" s="25">
        <f>IF(E252="","",IF(H252="Onsite",IFERROR(INDEX(tbl_Onsite[Notes],MATCH(E252&amp;"",tbl_Onsite[Job Number],0)),""),IF(H252="Production",IFERROR(INDEX(tbl_Production[Notes],MATCH(E252&amp;"",tbl_Production[Job Number],0)),""),IF(H252="Consulting",IFERROR(INDEX(tbl_Consulting[Notes],MATCH(E252&amp;"",tbl_Consulting[Job Number],0)),""),""))))</f>
        <v/>
      </c>
    </row>
    <row r="253" ht="15" customHeight="1">
      <c r="A253" s="22" t="n"/>
      <c r="B253" s="23">
        <f>IF(A253="","",EOMONTH(A253,0))</f>
        <v/>
      </c>
      <c r="C253" s="24" t="n"/>
      <c r="D253" s="24" t="n"/>
      <c r="E253" s="24" t="n"/>
      <c r="F253" s="25">
        <f>IF(E253="","",IF(COUNTIF(lst_Jobs,E253&amp;"")&gt;0,"OK","CHECK"))</f>
        <v/>
      </c>
      <c r="G253" s="24" t="n"/>
      <c r="H253" s="24" t="n"/>
      <c r="I253" s="24" t="n"/>
      <c r="J253" s="24" t="n"/>
      <c r="K253" s="24" t="n"/>
      <c r="L253" s="26" t="n"/>
      <c r="M253" s="27">
        <f>IF(L253="","",IF(K253="GST 10%",ROUND(L253*set_GSTRate,2),0))</f>
        <v/>
      </c>
      <c r="N253" s="27">
        <f>IF(L253="","",L253+M253)</f>
        <v/>
      </c>
      <c r="O253" s="24" t="n"/>
      <c r="P253" s="24" t="n"/>
      <c r="Q253" s="24" t="n"/>
      <c r="R253" s="22" t="n"/>
      <c r="S253" s="22" t="n"/>
      <c r="T253" s="24" t="n"/>
      <c r="U253" s="24" t="n"/>
      <c r="V253" s="25">
        <f>IF(COUNTA(A253,D253,C253,L253)=0,"",IF(A253="","No date - sits outside every month",IF(E253="","No job number",IF(F253="CHECK","Job number is not in the Xero job list",IF(I253="","No cost centre",IF(AND(P253="Y",C253=""),"Marked posted to Xero but has no invoice number",IF(AND(L253&lt;&gt;"",K253=""),"No tax code",IF(AND(L253&lt;&gt;"",O253=""),"No revenue GL code",""))))))))</f>
        <v/>
      </c>
      <c r="W253" s="25">
        <f>IF(E253="","",IFERROR(INDEX(lst_JobName,MATCH(E253&amp;"",lst_Jobs,0)),""))</f>
        <v/>
      </c>
      <c r="X253" s="28">
        <f>IF(E253="","",COUNTIFS(tbl_Finance[Job Number],E253&amp;"",tbl_Finance[Ex GST],"&lt;&gt;"))</f>
        <v/>
      </c>
      <c r="Y253" s="27">
        <f>IF(E253="","",SUMIFS(tbl_Finance[Ex GST],tbl_Finance[Job Number],E253&amp;""))</f>
        <v/>
      </c>
      <c r="Z253" s="27">
        <f>IF(E253="","",SUMIFS(tbl_Finance[Ex GST],tbl_Finance[Job Number],E253&amp;"",tbl_Finance[Xero Invoice No],"&lt;&gt;"))</f>
        <v/>
      </c>
      <c r="AA253" s="27">
        <f>IF(E253="","",Y253-Z253)</f>
        <v/>
      </c>
      <c r="AB253" s="25">
        <f>IF(E253="","",IF(H253="Onsite",IFERROR(INDEX(tbl_Onsite[Qwilr Quote],MATCH(E253&amp;"",tbl_Onsite[Job Number],0)),""),IF(H253="Production",IFERROR(INDEX(tbl_Production[Current RMS No],MATCH(E253&amp;"",tbl_Production[Job Number],0)),""),IF(H253="Consulting",IFERROR(INDEX(tbl_Consulting[Qwilr Quote],MATCH(E253&amp;"",tbl_Consulting[Job Number],0)),""),""))))</f>
        <v/>
      </c>
      <c r="AC253" s="25">
        <f>IF(AB253="","",IF(AND(LEFT(AB253,4)&lt;&gt;"http",IF(H253="Production",set_RMSBase,set_QwilrBase)=""),"",HYPERLINK(IF(LEFT(AB253,4)="http",AB253,IF(H253="Production",set_RMSBase,set_QwilrBase)&amp;AB253),"Open")))</f>
        <v/>
      </c>
      <c r="AD253" s="27">
        <f>IF(E253="","",IF(H253="Production",IFERROR(INDEX(tbl_Production[Total Expense],MATCH(E253&amp;"",tbl_Production[Job Number],0)),0),IF(H253="Consulting",IFERROR(INDEX(tbl_Consulting[Total Expense],MATCH(E253&amp;"",tbl_Consulting[Job Number],0)),0),0)))</f>
        <v/>
      </c>
      <c r="AE253" s="27">
        <f>IF(E253="","",Y253-N(AD253))</f>
        <v/>
      </c>
      <c r="AF253" s="29">
        <f>IFERROR(AE253/Y253,"")</f>
        <v/>
      </c>
      <c r="AG253" s="25">
        <f>IF(E253="","",IF(H253="Onsite",IFERROR(INDEX(tbl_Onsite[Notes],MATCH(E253&amp;"",tbl_Onsite[Job Number],0)),""),IF(H253="Production",IFERROR(INDEX(tbl_Production[Notes],MATCH(E253&amp;"",tbl_Production[Job Number],0)),""),IF(H253="Consulting",IFERROR(INDEX(tbl_Consulting[Notes],MATCH(E253&amp;"",tbl_Consulting[Job Number],0)),""),""))))</f>
        <v/>
      </c>
    </row>
    <row r="254" ht="15" customHeight="1">
      <c r="A254" s="22" t="n"/>
      <c r="B254" s="23">
        <f>IF(A254="","",EOMONTH(A254,0))</f>
        <v/>
      </c>
      <c r="C254" s="24" t="n"/>
      <c r="D254" s="24" t="n"/>
      <c r="E254" s="24" t="n"/>
      <c r="F254" s="25">
        <f>IF(E254="","",IF(COUNTIF(lst_Jobs,E254&amp;"")&gt;0,"OK","CHECK"))</f>
        <v/>
      </c>
      <c r="G254" s="24" t="n"/>
      <c r="H254" s="24" t="n"/>
      <c r="I254" s="24" t="n"/>
      <c r="J254" s="24" t="n"/>
      <c r="K254" s="24" t="n"/>
      <c r="L254" s="26" t="n"/>
      <c r="M254" s="27">
        <f>IF(L254="","",IF(K254="GST 10%",ROUND(L254*set_GSTRate,2),0))</f>
        <v/>
      </c>
      <c r="N254" s="27">
        <f>IF(L254="","",L254+M254)</f>
        <v/>
      </c>
      <c r="O254" s="24" t="n"/>
      <c r="P254" s="24" t="n"/>
      <c r="Q254" s="24" t="n"/>
      <c r="R254" s="22" t="n"/>
      <c r="S254" s="22" t="n"/>
      <c r="T254" s="24" t="n"/>
      <c r="U254" s="24" t="n"/>
      <c r="V254" s="25">
        <f>IF(COUNTA(A254,D254,C254,L254)=0,"",IF(A254="","No date - sits outside every month",IF(E254="","No job number",IF(F254="CHECK","Job number is not in the Xero job list",IF(I254="","No cost centre",IF(AND(P254="Y",C254=""),"Marked posted to Xero but has no invoice number",IF(AND(L254&lt;&gt;"",K254=""),"No tax code",IF(AND(L254&lt;&gt;"",O254=""),"No revenue GL code",""))))))))</f>
        <v/>
      </c>
      <c r="W254" s="25">
        <f>IF(E254="","",IFERROR(INDEX(lst_JobName,MATCH(E254&amp;"",lst_Jobs,0)),""))</f>
        <v/>
      </c>
      <c r="X254" s="28">
        <f>IF(E254="","",COUNTIFS(tbl_Finance[Job Number],E254&amp;"",tbl_Finance[Ex GST],"&lt;&gt;"))</f>
        <v/>
      </c>
      <c r="Y254" s="27">
        <f>IF(E254="","",SUMIFS(tbl_Finance[Ex GST],tbl_Finance[Job Number],E254&amp;""))</f>
        <v/>
      </c>
      <c r="Z254" s="27">
        <f>IF(E254="","",SUMIFS(tbl_Finance[Ex GST],tbl_Finance[Job Number],E254&amp;"",tbl_Finance[Xero Invoice No],"&lt;&gt;"))</f>
        <v/>
      </c>
      <c r="AA254" s="27">
        <f>IF(E254="","",Y254-Z254)</f>
        <v/>
      </c>
      <c r="AB254" s="25">
        <f>IF(E254="","",IF(H254="Onsite",IFERROR(INDEX(tbl_Onsite[Qwilr Quote],MATCH(E254&amp;"",tbl_Onsite[Job Number],0)),""),IF(H254="Production",IFERROR(INDEX(tbl_Production[Current RMS No],MATCH(E254&amp;"",tbl_Production[Job Number],0)),""),IF(H254="Consulting",IFERROR(INDEX(tbl_Consulting[Qwilr Quote],MATCH(E254&amp;"",tbl_Consulting[Job Number],0)),""),""))))</f>
        <v/>
      </c>
      <c r="AC254" s="25">
        <f>IF(AB254="","",IF(AND(LEFT(AB254,4)&lt;&gt;"http",IF(H254="Production",set_RMSBase,set_QwilrBase)=""),"",HYPERLINK(IF(LEFT(AB254,4)="http",AB254,IF(H254="Production",set_RMSBase,set_QwilrBase)&amp;AB254),"Open")))</f>
        <v/>
      </c>
      <c r="AD254" s="27">
        <f>IF(E254="","",IF(H254="Production",IFERROR(INDEX(tbl_Production[Total Expense],MATCH(E254&amp;"",tbl_Production[Job Number],0)),0),IF(H254="Consulting",IFERROR(INDEX(tbl_Consulting[Total Expense],MATCH(E254&amp;"",tbl_Consulting[Job Number],0)),0),0)))</f>
        <v/>
      </c>
      <c r="AE254" s="27">
        <f>IF(E254="","",Y254-N(AD254))</f>
        <v/>
      </c>
      <c r="AF254" s="29">
        <f>IFERROR(AE254/Y254,"")</f>
        <v/>
      </c>
      <c r="AG254" s="25">
        <f>IF(E254="","",IF(H254="Onsite",IFERROR(INDEX(tbl_Onsite[Notes],MATCH(E254&amp;"",tbl_Onsite[Job Number],0)),""),IF(H254="Production",IFERROR(INDEX(tbl_Production[Notes],MATCH(E254&amp;"",tbl_Production[Job Number],0)),""),IF(H254="Consulting",IFERROR(INDEX(tbl_Consulting[Notes],MATCH(E254&amp;"",tbl_Consulting[Job Number],0)),""),""))))</f>
        <v/>
      </c>
    </row>
    <row r="255" ht="15" customHeight="1">
      <c r="A255" s="22" t="n"/>
      <c r="B255" s="23">
        <f>IF(A255="","",EOMONTH(A255,0))</f>
        <v/>
      </c>
      <c r="C255" s="24" t="n"/>
      <c r="D255" s="24" t="n"/>
      <c r="E255" s="24" t="n"/>
      <c r="F255" s="25">
        <f>IF(E255="","",IF(COUNTIF(lst_Jobs,E255&amp;"")&gt;0,"OK","CHECK"))</f>
        <v/>
      </c>
      <c r="G255" s="24" t="n"/>
      <c r="H255" s="24" t="n"/>
      <c r="I255" s="24" t="n"/>
      <c r="J255" s="24" t="n"/>
      <c r="K255" s="24" t="n"/>
      <c r="L255" s="26" t="n"/>
      <c r="M255" s="27">
        <f>IF(L255="","",IF(K255="GST 10%",ROUND(L255*set_GSTRate,2),0))</f>
        <v/>
      </c>
      <c r="N255" s="27">
        <f>IF(L255="","",L255+M255)</f>
        <v/>
      </c>
      <c r="O255" s="24" t="n"/>
      <c r="P255" s="24" t="n"/>
      <c r="Q255" s="24" t="n"/>
      <c r="R255" s="22" t="n"/>
      <c r="S255" s="22" t="n"/>
      <c r="T255" s="24" t="n"/>
      <c r="U255" s="24" t="n"/>
      <c r="V255" s="25">
        <f>IF(COUNTA(A255,D255,C255,L255)=0,"",IF(A255="","No date - sits outside every month",IF(E255="","No job number",IF(F255="CHECK","Job number is not in the Xero job list",IF(I255="","No cost centre",IF(AND(P255="Y",C255=""),"Marked posted to Xero but has no invoice number",IF(AND(L255&lt;&gt;"",K255=""),"No tax code",IF(AND(L255&lt;&gt;"",O255=""),"No revenue GL code",""))))))))</f>
        <v/>
      </c>
      <c r="W255" s="25">
        <f>IF(E255="","",IFERROR(INDEX(lst_JobName,MATCH(E255&amp;"",lst_Jobs,0)),""))</f>
        <v/>
      </c>
      <c r="X255" s="28">
        <f>IF(E255="","",COUNTIFS(tbl_Finance[Job Number],E255&amp;"",tbl_Finance[Ex GST],"&lt;&gt;"))</f>
        <v/>
      </c>
      <c r="Y255" s="27">
        <f>IF(E255="","",SUMIFS(tbl_Finance[Ex GST],tbl_Finance[Job Number],E255&amp;""))</f>
        <v/>
      </c>
      <c r="Z255" s="27">
        <f>IF(E255="","",SUMIFS(tbl_Finance[Ex GST],tbl_Finance[Job Number],E255&amp;"",tbl_Finance[Xero Invoice No],"&lt;&gt;"))</f>
        <v/>
      </c>
      <c r="AA255" s="27">
        <f>IF(E255="","",Y255-Z255)</f>
        <v/>
      </c>
      <c r="AB255" s="25">
        <f>IF(E255="","",IF(H255="Onsite",IFERROR(INDEX(tbl_Onsite[Qwilr Quote],MATCH(E255&amp;"",tbl_Onsite[Job Number],0)),""),IF(H255="Production",IFERROR(INDEX(tbl_Production[Current RMS No],MATCH(E255&amp;"",tbl_Production[Job Number],0)),""),IF(H255="Consulting",IFERROR(INDEX(tbl_Consulting[Qwilr Quote],MATCH(E255&amp;"",tbl_Consulting[Job Number],0)),""),""))))</f>
        <v/>
      </c>
      <c r="AC255" s="25">
        <f>IF(AB255="","",IF(AND(LEFT(AB255,4)&lt;&gt;"http",IF(H255="Production",set_RMSBase,set_QwilrBase)=""),"",HYPERLINK(IF(LEFT(AB255,4)="http",AB255,IF(H255="Production",set_RMSBase,set_QwilrBase)&amp;AB255),"Open")))</f>
        <v/>
      </c>
      <c r="AD255" s="27">
        <f>IF(E255="","",IF(H255="Production",IFERROR(INDEX(tbl_Production[Total Expense],MATCH(E255&amp;"",tbl_Production[Job Number],0)),0),IF(H255="Consulting",IFERROR(INDEX(tbl_Consulting[Total Expense],MATCH(E255&amp;"",tbl_Consulting[Job Number],0)),0),0)))</f>
        <v/>
      </c>
      <c r="AE255" s="27">
        <f>IF(E255="","",Y255-N(AD255))</f>
        <v/>
      </c>
      <c r="AF255" s="29">
        <f>IFERROR(AE255/Y255,"")</f>
        <v/>
      </c>
      <c r="AG255" s="25">
        <f>IF(E255="","",IF(H255="Onsite",IFERROR(INDEX(tbl_Onsite[Notes],MATCH(E255&amp;"",tbl_Onsite[Job Number],0)),""),IF(H255="Production",IFERROR(INDEX(tbl_Production[Notes],MATCH(E255&amp;"",tbl_Production[Job Number],0)),""),IF(H255="Consulting",IFERROR(INDEX(tbl_Consulting[Notes],MATCH(E255&amp;"",tbl_Consulting[Job Number],0)),""),""))))</f>
        <v/>
      </c>
    </row>
    <row r="256" ht="15" customHeight="1">
      <c r="A256" s="22" t="n"/>
      <c r="B256" s="23">
        <f>IF(A256="","",EOMONTH(A256,0))</f>
        <v/>
      </c>
      <c r="C256" s="24" t="n"/>
      <c r="D256" s="24" t="n"/>
      <c r="E256" s="24" t="n"/>
      <c r="F256" s="25">
        <f>IF(E256="","",IF(COUNTIF(lst_Jobs,E256&amp;"")&gt;0,"OK","CHECK"))</f>
        <v/>
      </c>
      <c r="G256" s="24" t="n"/>
      <c r="H256" s="24" t="n"/>
      <c r="I256" s="24" t="n"/>
      <c r="J256" s="24" t="n"/>
      <c r="K256" s="24" t="n"/>
      <c r="L256" s="26" t="n"/>
      <c r="M256" s="27">
        <f>IF(L256="","",IF(K256="GST 10%",ROUND(L256*set_GSTRate,2),0))</f>
        <v/>
      </c>
      <c r="N256" s="27">
        <f>IF(L256="","",L256+M256)</f>
        <v/>
      </c>
      <c r="O256" s="24" t="n"/>
      <c r="P256" s="24" t="n"/>
      <c r="Q256" s="24" t="n"/>
      <c r="R256" s="22" t="n"/>
      <c r="S256" s="22" t="n"/>
      <c r="T256" s="24" t="n"/>
      <c r="U256" s="24" t="n"/>
      <c r="V256" s="25">
        <f>IF(COUNTA(A256,D256,C256,L256)=0,"",IF(A256="","No date - sits outside every month",IF(E256="","No job number",IF(F256="CHECK","Job number is not in the Xero job list",IF(I256="","No cost centre",IF(AND(P256="Y",C256=""),"Marked posted to Xero but has no invoice number",IF(AND(L256&lt;&gt;"",K256=""),"No tax code",IF(AND(L256&lt;&gt;"",O256=""),"No revenue GL code",""))))))))</f>
        <v/>
      </c>
      <c r="W256" s="25">
        <f>IF(E256="","",IFERROR(INDEX(lst_JobName,MATCH(E256&amp;"",lst_Jobs,0)),""))</f>
        <v/>
      </c>
      <c r="X256" s="28">
        <f>IF(E256="","",COUNTIFS(tbl_Finance[Job Number],E256&amp;"",tbl_Finance[Ex GST],"&lt;&gt;"))</f>
        <v/>
      </c>
      <c r="Y256" s="27">
        <f>IF(E256="","",SUMIFS(tbl_Finance[Ex GST],tbl_Finance[Job Number],E256&amp;""))</f>
        <v/>
      </c>
      <c r="Z256" s="27">
        <f>IF(E256="","",SUMIFS(tbl_Finance[Ex GST],tbl_Finance[Job Number],E256&amp;"",tbl_Finance[Xero Invoice No],"&lt;&gt;"))</f>
        <v/>
      </c>
      <c r="AA256" s="27">
        <f>IF(E256="","",Y256-Z256)</f>
        <v/>
      </c>
      <c r="AB256" s="25">
        <f>IF(E256="","",IF(H256="Onsite",IFERROR(INDEX(tbl_Onsite[Qwilr Quote],MATCH(E256&amp;"",tbl_Onsite[Job Number],0)),""),IF(H256="Production",IFERROR(INDEX(tbl_Production[Current RMS No],MATCH(E256&amp;"",tbl_Production[Job Number],0)),""),IF(H256="Consulting",IFERROR(INDEX(tbl_Consulting[Qwilr Quote],MATCH(E256&amp;"",tbl_Consulting[Job Number],0)),""),""))))</f>
        <v/>
      </c>
      <c r="AC256" s="25">
        <f>IF(AB256="","",IF(AND(LEFT(AB256,4)&lt;&gt;"http",IF(H256="Production",set_RMSBase,set_QwilrBase)=""),"",HYPERLINK(IF(LEFT(AB256,4)="http",AB256,IF(H256="Production",set_RMSBase,set_QwilrBase)&amp;AB256),"Open")))</f>
        <v/>
      </c>
      <c r="AD256" s="27">
        <f>IF(E256="","",IF(H256="Production",IFERROR(INDEX(tbl_Production[Total Expense],MATCH(E256&amp;"",tbl_Production[Job Number],0)),0),IF(H256="Consulting",IFERROR(INDEX(tbl_Consulting[Total Expense],MATCH(E256&amp;"",tbl_Consulting[Job Number],0)),0),0)))</f>
        <v/>
      </c>
      <c r="AE256" s="27">
        <f>IF(E256="","",Y256-N(AD256))</f>
        <v/>
      </c>
      <c r="AF256" s="29">
        <f>IFERROR(AE256/Y256,"")</f>
        <v/>
      </c>
      <c r="AG256" s="25">
        <f>IF(E256="","",IF(H256="Onsite",IFERROR(INDEX(tbl_Onsite[Notes],MATCH(E256&amp;"",tbl_Onsite[Job Number],0)),""),IF(H256="Production",IFERROR(INDEX(tbl_Production[Notes],MATCH(E256&amp;"",tbl_Production[Job Number],0)),""),IF(H256="Consulting",IFERROR(INDEX(tbl_Consulting[Notes],MATCH(E256&amp;"",tbl_Consulting[Job Number],0)),""),""))))</f>
        <v/>
      </c>
    </row>
    <row r="257" ht="15" customHeight="1">
      <c r="A257" s="22" t="n"/>
      <c r="B257" s="23">
        <f>IF(A257="","",EOMONTH(A257,0))</f>
        <v/>
      </c>
      <c r="C257" s="24" t="n"/>
      <c r="D257" s="24" t="n"/>
      <c r="E257" s="24" t="n"/>
      <c r="F257" s="25">
        <f>IF(E257="","",IF(COUNTIF(lst_Jobs,E257&amp;"")&gt;0,"OK","CHECK"))</f>
        <v/>
      </c>
      <c r="G257" s="24" t="n"/>
      <c r="H257" s="24" t="n"/>
      <c r="I257" s="24" t="n"/>
      <c r="J257" s="24" t="n"/>
      <c r="K257" s="24" t="n"/>
      <c r="L257" s="26" t="n"/>
      <c r="M257" s="27">
        <f>IF(L257="","",IF(K257="GST 10%",ROUND(L257*set_GSTRate,2),0))</f>
        <v/>
      </c>
      <c r="N257" s="27">
        <f>IF(L257="","",L257+M257)</f>
        <v/>
      </c>
      <c r="O257" s="24" t="n"/>
      <c r="P257" s="24" t="n"/>
      <c r="Q257" s="24" t="n"/>
      <c r="R257" s="22" t="n"/>
      <c r="S257" s="22" t="n"/>
      <c r="T257" s="24" t="n"/>
      <c r="U257" s="24" t="n"/>
      <c r="V257" s="25">
        <f>IF(COUNTA(A257,D257,C257,L257)=0,"",IF(A257="","No date - sits outside every month",IF(E257="","No job number",IF(F257="CHECK","Job number is not in the Xero job list",IF(I257="","No cost centre",IF(AND(P257="Y",C257=""),"Marked posted to Xero but has no invoice number",IF(AND(L257&lt;&gt;"",K257=""),"No tax code",IF(AND(L257&lt;&gt;"",O257=""),"No revenue GL code",""))))))))</f>
        <v/>
      </c>
      <c r="W257" s="25">
        <f>IF(E257="","",IFERROR(INDEX(lst_JobName,MATCH(E257&amp;"",lst_Jobs,0)),""))</f>
        <v/>
      </c>
      <c r="X257" s="28">
        <f>IF(E257="","",COUNTIFS(tbl_Finance[Job Number],E257&amp;"",tbl_Finance[Ex GST],"&lt;&gt;"))</f>
        <v/>
      </c>
      <c r="Y257" s="27">
        <f>IF(E257="","",SUMIFS(tbl_Finance[Ex GST],tbl_Finance[Job Number],E257&amp;""))</f>
        <v/>
      </c>
      <c r="Z257" s="27">
        <f>IF(E257="","",SUMIFS(tbl_Finance[Ex GST],tbl_Finance[Job Number],E257&amp;"",tbl_Finance[Xero Invoice No],"&lt;&gt;"))</f>
        <v/>
      </c>
      <c r="AA257" s="27">
        <f>IF(E257="","",Y257-Z257)</f>
        <v/>
      </c>
      <c r="AB257" s="25">
        <f>IF(E257="","",IF(H257="Onsite",IFERROR(INDEX(tbl_Onsite[Qwilr Quote],MATCH(E257&amp;"",tbl_Onsite[Job Number],0)),""),IF(H257="Production",IFERROR(INDEX(tbl_Production[Current RMS No],MATCH(E257&amp;"",tbl_Production[Job Number],0)),""),IF(H257="Consulting",IFERROR(INDEX(tbl_Consulting[Qwilr Quote],MATCH(E257&amp;"",tbl_Consulting[Job Number],0)),""),""))))</f>
        <v/>
      </c>
      <c r="AC257" s="25">
        <f>IF(AB257="","",IF(AND(LEFT(AB257,4)&lt;&gt;"http",IF(H257="Production",set_RMSBase,set_QwilrBase)=""),"",HYPERLINK(IF(LEFT(AB257,4)="http",AB257,IF(H257="Production",set_RMSBase,set_QwilrBase)&amp;AB257),"Open")))</f>
        <v/>
      </c>
      <c r="AD257" s="27">
        <f>IF(E257="","",IF(H257="Production",IFERROR(INDEX(tbl_Production[Total Expense],MATCH(E257&amp;"",tbl_Production[Job Number],0)),0),IF(H257="Consulting",IFERROR(INDEX(tbl_Consulting[Total Expense],MATCH(E257&amp;"",tbl_Consulting[Job Number],0)),0),0)))</f>
        <v/>
      </c>
      <c r="AE257" s="27">
        <f>IF(E257="","",Y257-N(AD257))</f>
        <v/>
      </c>
      <c r="AF257" s="29">
        <f>IFERROR(AE257/Y257,"")</f>
        <v/>
      </c>
      <c r="AG257" s="25">
        <f>IF(E257="","",IF(H257="Onsite",IFERROR(INDEX(tbl_Onsite[Notes],MATCH(E257&amp;"",tbl_Onsite[Job Number],0)),""),IF(H257="Production",IFERROR(INDEX(tbl_Production[Notes],MATCH(E257&amp;"",tbl_Production[Job Number],0)),""),IF(H257="Consulting",IFERROR(INDEX(tbl_Consulting[Notes],MATCH(E257&amp;"",tbl_Consulting[Job Number],0)),""),""))))</f>
        <v/>
      </c>
    </row>
    <row r="258" ht="15" customHeight="1">
      <c r="A258" s="22" t="n"/>
      <c r="B258" s="23">
        <f>IF(A258="","",EOMONTH(A258,0))</f>
        <v/>
      </c>
      <c r="C258" s="24" t="n"/>
      <c r="D258" s="24" t="n"/>
      <c r="E258" s="24" t="n"/>
      <c r="F258" s="25">
        <f>IF(E258="","",IF(COUNTIF(lst_Jobs,E258&amp;"")&gt;0,"OK","CHECK"))</f>
        <v/>
      </c>
      <c r="G258" s="24" t="n"/>
      <c r="H258" s="24" t="n"/>
      <c r="I258" s="24" t="n"/>
      <c r="J258" s="24" t="n"/>
      <c r="K258" s="24" t="n"/>
      <c r="L258" s="26" t="n"/>
      <c r="M258" s="27">
        <f>IF(L258="","",IF(K258="GST 10%",ROUND(L258*set_GSTRate,2),0))</f>
        <v/>
      </c>
      <c r="N258" s="27">
        <f>IF(L258="","",L258+M258)</f>
        <v/>
      </c>
      <c r="O258" s="24" t="n"/>
      <c r="P258" s="24" t="n"/>
      <c r="Q258" s="24" t="n"/>
      <c r="R258" s="22" t="n"/>
      <c r="S258" s="22" t="n"/>
      <c r="T258" s="24" t="n"/>
      <c r="U258" s="24" t="n"/>
      <c r="V258" s="25">
        <f>IF(COUNTA(A258,D258,C258,L258)=0,"",IF(A258="","No date - sits outside every month",IF(E258="","No job number",IF(F258="CHECK","Job number is not in the Xero job list",IF(I258="","No cost centre",IF(AND(P258="Y",C258=""),"Marked posted to Xero but has no invoice number",IF(AND(L258&lt;&gt;"",K258=""),"No tax code",IF(AND(L258&lt;&gt;"",O258=""),"No revenue GL code",""))))))))</f>
        <v/>
      </c>
      <c r="W258" s="25">
        <f>IF(E258="","",IFERROR(INDEX(lst_JobName,MATCH(E258&amp;"",lst_Jobs,0)),""))</f>
        <v/>
      </c>
      <c r="X258" s="28">
        <f>IF(E258="","",COUNTIFS(tbl_Finance[Job Number],E258&amp;"",tbl_Finance[Ex GST],"&lt;&gt;"))</f>
        <v/>
      </c>
      <c r="Y258" s="27">
        <f>IF(E258="","",SUMIFS(tbl_Finance[Ex GST],tbl_Finance[Job Number],E258&amp;""))</f>
        <v/>
      </c>
      <c r="Z258" s="27">
        <f>IF(E258="","",SUMIFS(tbl_Finance[Ex GST],tbl_Finance[Job Number],E258&amp;"",tbl_Finance[Xero Invoice No],"&lt;&gt;"))</f>
        <v/>
      </c>
      <c r="AA258" s="27">
        <f>IF(E258="","",Y258-Z258)</f>
        <v/>
      </c>
      <c r="AB258" s="25">
        <f>IF(E258="","",IF(H258="Onsite",IFERROR(INDEX(tbl_Onsite[Qwilr Quote],MATCH(E258&amp;"",tbl_Onsite[Job Number],0)),""),IF(H258="Production",IFERROR(INDEX(tbl_Production[Current RMS No],MATCH(E258&amp;"",tbl_Production[Job Number],0)),""),IF(H258="Consulting",IFERROR(INDEX(tbl_Consulting[Qwilr Quote],MATCH(E258&amp;"",tbl_Consulting[Job Number],0)),""),""))))</f>
        <v/>
      </c>
      <c r="AC258" s="25">
        <f>IF(AB258="","",IF(AND(LEFT(AB258,4)&lt;&gt;"http",IF(H258="Production",set_RMSBase,set_QwilrBase)=""),"",HYPERLINK(IF(LEFT(AB258,4)="http",AB258,IF(H258="Production",set_RMSBase,set_QwilrBase)&amp;AB258),"Open")))</f>
        <v/>
      </c>
      <c r="AD258" s="27">
        <f>IF(E258="","",IF(H258="Production",IFERROR(INDEX(tbl_Production[Total Expense],MATCH(E258&amp;"",tbl_Production[Job Number],0)),0),IF(H258="Consulting",IFERROR(INDEX(tbl_Consulting[Total Expense],MATCH(E258&amp;"",tbl_Consulting[Job Number],0)),0),0)))</f>
        <v/>
      </c>
      <c r="AE258" s="27">
        <f>IF(E258="","",Y258-N(AD258))</f>
        <v/>
      </c>
      <c r="AF258" s="29">
        <f>IFERROR(AE258/Y258,"")</f>
        <v/>
      </c>
      <c r="AG258" s="25">
        <f>IF(E258="","",IF(H258="Onsite",IFERROR(INDEX(tbl_Onsite[Notes],MATCH(E258&amp;"",tbl_Onsite[Job Number],0)),""),IF(H258="Production",IFERROR(INDEX(tbl_Production[Notes],MATCH(E258&amp;"",tbl_Production[Job Number],0)),""),IF(H258="Consulting",IFERROR(INDEX(tbl_Consulting[Notes],MATCH(E258&amp;"",tbl_Consulting[Job Number],0)),""),""))))</f>
        <v/>
      </c>
    </row>
    <row r="259" ht="15" customHeight="1">
      <c r="A259" s="22" t="n"/>
      <c r="B259" s="23">
        <f>IF(A259="","",EOMONTH(A259,0))</f>
        <v/>
      </c>
      <c r="C259" s="24" t="n"/>
      <c r="D259" s="24" t="n"/>
      <c r="E259" s="24" t="n"/>
      <c r="F259" s="25">
        <f>IF(E259="","",IF(COUNTIF(lst_Jobs,E259&amp;"")&gt;0,"OK","CHECK"))</f>
        <v/>
      </c>
      <c r="G259" s="24" t="n"/>
      <c r="H259" s="24" t="n"/>
      <c r="I259" s="24" t="n"/>
      <c r="J259" s="24" t="n"/>
      <c r="K259" s="24" t="n"/>
      <c r="L259" s="26" t="n"/>
      <c r="M259" s="27">
        <f>IF(L259="","",IF(K259="GST 10%",ROUND(L259*set_GSTRate,2),0))</f>
        <v/>
      </c>
      <c r="N259" s="27">
        <f>IF(L259="","",L259+M259)</f>
        <v/>
      </c>
      <c r="O259" s="24" t="n"/>
      <c r="P259" s="24" t="n"/>
      <c r="Q259" s="24" t="n"/>
      <c r="R259" s="22" t="n"/>
      <c r="S259" s="22" t="n"/>
      <c r="T259" s="24" t="n"/>
      <c r="U259" s="24" t="n"/>
      <c r="V259" s="25">
        <f>IF(COUNTA(A259,D259,C259,L259)=0,"",IF(A259="","No date - sits outside every month",IF(E259="","No job number",IF(F259="CHECK","Job number is not in the Xero job list",IF(I259="","No cost centre",IF(AND(P259="Y",C259=""),"Marked posted to Xero but has no invoice number",IF(AND(L259&lt;&gt;"",K259=""),"No tax code",IF(AND(L259&lt;&gt;"",O259=""),"No revenue GL code",""))))))))</f>
        <v/>
      </c>
      <c r="W259" s="25">
        <f>IF(E259="","",IFERROR(INDEX(lst_JobName,MATCH(E259&amp;"",lst_Jobs,0)),""))</f>
        <v/>
      </c>
      <c r="X259" s="28">
        <f>IF(E259="","",COUNTIFS(tbl_Finance[Job Number],E259&amp;"",tbl_Finance[Ex GST],"&lt;&gt;"))</f>
        <v/>
      </c>
      <c r="Y259" s="27">
        <f>IF(E259="","",SUMIFS(tbl_Finance[Ex GST],tbl_Finance[Job Number],E259&amp;""))</f>
        <v/>
      </c>
      <c r="Z259" s="27">
        <f>IF(E259="","",SUMIFS(tbl_Finance[Ex GST],tbl_Finance[Job Number],E259&amp;"",tbl_Finance[Xero Invoice No],"&lt;&gt;"))</f>
        <v/>
      </c>
      <c r="AA259" s="27">
        <f>IF(E259="","",Y259-Z259)</f>
        <v/>
      </c>
      <c r="AB259" s="25">
        <f>IF(E259="","",IF(H259="Onsite",IFERROR(INDEX(tbl_Onsite[Qwilr Quote],MATCH(E259&amp;"",tbl_Onsite[Job Number],0)),""),IF(H259="Production",IFERROR(INDEX(tbl_Production[Current RMS No],MATCH(E259&amp;"",tbl_Production[Job Number],0)),""),IF(H259="Consulting",IFERROR(INDEX(tbl_Consulting[Qwilr Quote],MATCH(E259&amp;"",tbl_Consulting[Job Number],0)),""),""))))</f>
        <v/>
      </c>
      <c r="AC259" s="25">
        <f>IF(AB259="","",IF(AND(LEFT(AB259,4)&lt;&gt;"http",IF(H259="Production",set_RMSBase,set_QwilrBase)=""),"",HYPERLINK(IF(LEFT(AB259,4)="http",AB259,IF(H259="Production",set_RMSBase,set_QwilrBase)&amp;AB259),"Open")))</f>
        <v/>
      </c>
      <c r="AD259" s="27">
        <f>IF(E259="","",IF(H259="Production",IFERROR(INDEX(tbl_Production[Total Expense],MATCH(E259&amp;"",tbl_Production[Job Number],0)),0),IF(H259="Consulting",IFERROR(INDEX(tbl_Consulting[Total Expense],MATCH(E259&amp;"",tbl_Consulting[Job Number],0)),0),0)))</f>
        <v/>
      </c>
      <c r="AE259" s="27">
        <f>IF(E259="","",Y259-N(AD259))</f>
        <v/>
      </c>
      <c r="AF259" s="29">
        <f>IFERROR(AE259/Y259,"")</f>
        <v/>
      </c>
      <c r="AG259" s="25">
        <f>IF(E259="","",IF(H259="Onsite",IFERROR(INDEX(tbl_Onsite[Notes],MATCH(E259&amp;"",tbl_Onsite[Job Number],0)),""),IF(H259="Production",IFERROR(INDEX(tbl_Production[Notes],MATCH(E259&amp;"",tbl_Production[Job Number],0)),""),IF(H259="Consulting",IFERROR(INDEX(tbl_Consulting[Notes],MATCH(E259&amp;"",tbl_Consulting[Job Number],0)),""),""))))</f>
        <v/>
      </c>
    </row>
    <row r="260" ht="15" customHeight="1">
      <c r="A260" s="22" t="n"/>
      <c r="B260" s="23">
        <f>IF(A260="","",EOMONTH(A260,0))</f>
        <v/>
      </c>
      <c r="C260" s="24" t="n"/>
      <c r="D260" s="24" t="n"/>
      <c r="E260" s="24" t="n"/>
      <c r="F260" s="25">
        <f>IF(E260="","",IF(COUNTIF(lst_Jobs,E260&amp;"")&gt;0,"OK","CHECK"))</f>
        <v/>
      </c>
      <c r="G260" s="24" t="n"/>
      <c r="H260" s="24" t="n"/>
      <c r="I260" s="24" t="n"/>
      <c r="J260" s="24" t="n"/>
      <c r="K260" s="24" t="n"/>
      <c r="L260" s="26" t="n"/>
      <c r="M260" s="27">
        <f>IF(L260="","",IF(K260="GST 10%",ROUND(L260*set_GSTRate,2),0))</f>
        <v/>
      </c>
      <c r="N260" s="27">
        <f>IF(L260="","",L260+M260)</f>
        <v/>
      </c>
      <c r="O260" s="24" t="n"/>
      <c r="P260" s="24" t="n"/>
      <c r="Q260" s="24" t="n"/>
      <c r="R260" s="22" t="n"/>
      <c r="S260" s="22" t="n"/>
      <c r="T260" s="24" t="n"/>
      <c r="U260" s="24" t="n"/>
      <c r="V260" s="25">
        <f>IF(COUNTA(A260,D260,C260,L260)=0,"",IF(A260="","No date - sits outside every month",IF(E260="","No job number",IF(F260="CHECK","Job number is not in the Xero job list",IF(I260="","No cost centre",IF(AND(P260="Y",C260=""),"Marked posted to Xero but has no invoice number",IF(AND(L260&lt;&gt;"",K260=""),"No tax code",IF(AND(L260&lt;&gt;"",O260=""),"No revenue GL code",""))))))))</f>
        <v/>
      </c>
      <c r="W260" s="25">
        <f>IF(E260="","",IFERROR(INDEX(lst_JobName,MATCH(E260&amp;"",lst_Jobs,0)),""))</f>
        <v/>
      </c>
      <c r="X260" s="28">
        <f>IF(E260="","",COUNTIFS(tbl_Finance[Job Number],E260&amp;"",tbl_Finance[Ex GST],"&lt;&gt;"))</f>
        <v/>
      </c>
      <c r="Y260" s="27">
        <f>IF(E260="","",SUMIFS(tbl_Finance[Ex GST],tbl_Finance[Job Number],E260&amp;""))</f>
        <v/>
      </c>
      <c r="Z260" s="27">
        <f>IF(E260="","",SUMIFS(tbl_Finance[Ex GST],tbl_Finance[Job Number],E260&amp;"",tbl_Finance[Xero Invoice No],"&lt;&gt;"))</f>
        <v/>
      </c>
      <c r="AA260" s="27">
        <f>IF(E260="","",Y260-Z260)</f>
        <v/>
      </c>
      <c r="AB260" s="25">
        <f>IF(E260="","",IF(H260="Onsite",IFERROR(INDEX(tbl_Onsite[Qwilr Quote],MATCH(E260&amp;"",tbl_Onsite[Job Number],0)),""),IF(H260="Production",IFERROR(INDEX(tbl_Production[Current RMS No],MATCH(E260&amp;"",tbl_Production[Job Number],0)),""),IF(H260="Consulting",IFERROR(INDEX(tbl_Consulting[Qwilr Quote],MATCH(E260&amp;"",tbl_Consulting[Job Number],0)),""),""))))</f>
        <v/>
      </c>
      <c r="AC260" s="25">
        <f>IF(AB260="","",IF(AND(LEFT(AB260,4)&lt;&gt;"http",IF(H260="Production",set_RMSBase,set_QwilrBase)=""),"",HYPERLINK(IF(LEFT(AB260,4)="http",AB260,IF(H260="Production",set_RMSBase,set_QwilrBase)&amp;AB260),"Open")))</f>
        <v/>
      </c>
      <c r="AD260" s="27">
        <f>IF(E260="","",IF(H260="Production",IFERROR(INDEX(tbl_Production[Total Expense],MATCH(E260&amp;"",tbl_Production[Job Number],0)),0),IF(H260="Consulting",IFERROR(INDEX(tbl_Consulting[Total Expense],MATCH(E260&amp;"",tbl_Consulting[Job Number],0)),0),0)))</f>
        <v/>
      </c>
      <c r="AE260" s="27">
        <f>IF(E260="","",Y260-N(AD260))</f>
        <v/>
      </c>
      <c r="AF260" s="29">
        <f>IFERROR(AE260/Y260,"")</f>
        <v/>
      </c>
      <c r="AG260" s="25">
        <f>IF(E260="","",IF(H260="Onsite",IFERROR(INDEX(tbl_Onsite[Notes],MATCH(E260&amp;"",tbl_Onsite[Job Number],0)),""),IF(H260="Production",IFERROR(INDEX(tbl_Production[Notes],MATCH(E260&amp;"",tbl_Production[Job Number],0)),""),IF(H260="Consulting",IFERROR(INDEX(tbl_Consulting[Notes],MATCH(E260&amp;"",tbl_Consulting[Job Number],0)),""),""))))</f>
        <v/>
      </c>
    </row>
    <row r="261" ht="15" customHeight="1">
      <c r="A261" s="22" t="n"/>
      <c r="B261" s="23">
        <f>IF(A261="","",EOMONTH(A261,0))</f>
        <v/>
      </c>
      <c r="C261" s="24" t="n"/>
      <c r="D261" s="24" t="n"/>
      <c r="E261" s="24" t="n"/>
      <c r="F261" s="25">
        <f>IF(E261="","",IF(COUNTIF(lst_Jobs,E261&amp;"")&gt;0,"OK","CHECK"))</f>
        <v/>
      </c>
      <c r="G261" s="24" t="n"/>
      <c r="H261" s="24" t="n"/>
      <c r="I261" s="24" t="n"/>
      <c r="J261" s="24" t="n"/>
      <c r="K261" s="24" t="n"/>
      <c r="L261" s="26" t="n"/>
      <c r="M261" s="27">
        <f>IF(L261="","",IF(K261="GST 10%",ROUND(L261*set_GSTRate,2),0))</f>
        <v/>
      </c>
      <c r="N261" s="27">
        <f>IF(L261="","",L261+M261)</f>
        <v/>
      </c>
      <c r="O261" s="24" t="n"/>
      <c r="P261" s="24" t="n"/>
      <c r="Q261" s="24" t="n"/>
      <c r="R261" s="22" t="n"/>
      <c r="S261" s="22" t="n"/>
      <c r="T261" s="24" t="n"/>
      <c r="U261" s="24" t="n"/>
      <c r="V261" s="25">
        <f>IF(COUNTA(A261,D261,C261,L261)=0,"",IF(A261="","No date - sits outside every month",IF(E261="","No job number",IF(F261="CHECK","Job number is not in the Xero job list",IF(I261="","No cost centre",IF(AND(P261="Y",C261=""),"Marked posted to Xero but has no invoice number",IF(AND(L261&lt;&gt;"",K261=""),"No tax code",IF(AND(L261&lt;&gt;"",O261=""),"No revenue GL code",""))))))))</f>
        <v/>
      </c>
      <c r="W261" s="25">
        <f>IF(E261="","",IFERROR(INDEX(lst_JobName,MATCH(E261&amp;"",lst_Jobs,0)),""))</f>
        <v/>
      </c>
      <c r="X261" s="28">
        <f>IF(E261="","",COUNTIFS(tbl_Finance[Job Number],E261&amp;"",tbl_Finance[Ex GST],"&lt;&gt;"))</f>
        <v/>
      </c>
      <c r="Y261" s="27">
        <f>IF(E261="","",SUMIFS(tbl_Finance[Ex GST],tbl_Finance[Job Number],E261&amp;""))</f>
        <v/>
      </c>
      <c r="Z261" s="27">
        <f>IF(E261="","",SUMIFS(tbl_Finance[Ex GST],tbl_Finance[Job Number],E261&amp;"",tbl_Finance[Xero Invoice No],"&lt;&gt;"))</f>
        <v/>
      </c>
      <c r="AA261" s="27">
        <f>IF(E261="","",Y261-Z261)</f>
        <v/>
      </c>
      <c r="AB261" s="25">
        <f>IF(E261="","",IF(H261="Onsite",IFERROR(INDEX(tbl_Onsite[Qwilr Quote],MATCH(E261&amp;"",tbl_Onsite[Job Number],0)),""),IF(H261="Production",IFERROR(INDEX(tbl_Production[Current RMS No],MATCH(E261&amp;"",tbl_Production[Job Number],0)),""),IF(H261="Consulting",IFERROR(INDEX(tbl_Consulting[Qwilr Quote],MATCH(E261&amp;"",tbl_Consulting[Job Number],0)),""),""))))</f>
        <v/>
      </c>
      <c r="AC261" s="25">
        <f>IF(AB261="","",IF(AND(LEFT(AB261,4)&lt;&gt;"http",IF(H261="Production",set_RMSBase,set_QwilrBase)=""),"",HYPERLINK(IF(LEFT(AB261,4)="http",AB261,IF(H261="Production",set_RMSBase,set_QwilrBase)&amp;AB261),"Open")))</f>
        <v/>
      </c>
      <c r="AD261" s="27">
        <f>IF(E261="","",IF(H261="Production",IFERROR(INDEX(tbl_Production[Total Expense],MATCH(E261&amp;"",tbl_Production[Job Number],0)),0),IF(H261="Consulting",IFERROR(INDEX(tbl_Consulting[Total Expense],MATCH(E261&amp;"",tbl_Consulting[Job Number],0)),0),0)))</f>
        <v/>
      </c>
      <c r="AE261" s="27">
        <f>IF(E261="","",Y261-N(AD261))</f>
        <v/>
      </c>
      <c r="AF261" s="29">
        <f>IFERROR(AE261/Y261,"")</f>
        <v/>
      </c>
      <c r="AG261" s="25">
        <f>IF(E261="","",IF(H261="Onsite",IFERROR(INDEX(tbl_Onsite[Notes],MATCH(E261&amp;"",tbl_Onsite[Job Number],0)),""),IF(H261="Production",IFERROR(INDEX(tbl_Production[Notes],MATCH(E261&amp;"",tbl_Production[Job Number],0)),""),IF(H261="Consulting",IFERROR(INDEX(tbl_Consulting[Notes],MATCH(E261&amp;"",tbl_Consulting[Job Number],0)),""),""))))</f>
        <v/>
      </c>
    </row>
    <row r="262" ht="15" customHeight="1">
      <c r="A262" s="22" t="n"/>
      <c r="B262" s="23">
        <f>IF(A262="","",EOMONTH(A262,0))</f>
        <v/>
      </c>
      <c r="C262" s="24" t="n"/>
      <c r="D262" s="24" t="n"/>
      <c r="E262" s="24" t="n"/>
      <c r="F262" s="25">
        <f>IF(E262="","",IF(COUNTIF(lst_Jobs,E262&amp;"")&gt;0,"OK","CHECK"))</f>
        <v/>
      </c>
      <c r="G262" s="24" t="n"/>
      <c r="H262" s="24" t="n"/>
      <c r="I262" s="24" t="n"/>
      <c r="J262" s="24" t="n"/>
      <c r="K262" s="24" t="n"/>
      <c r="L262" s="26" t="n"/>
      <c r="M262" s="27">
        <f>IF(L262="","",IF(K262="GST 10%",ROUND(L262*set_GSTRate,2),0))</f>
        <v/>
      </c>
      <c r="N262" s="27">
        <f>IF(L262="","",L262+M262)</f>
        <v/>
      </c>
      <c r="O262" s="24" t="n"/>
      <c r="P262" s="24" t="n"/>
      <c r="Q262" s="24" t="n"/>
      <c r="R262" s="22" t="n"/>
      <c r="S262" s="22" t="n"/>
      <c r="T262" s="24" t="n"/>
      <c r="U262" s="24" t="n"/>
      <c r="V262" s="25">
        <f>IF(COUNTA(A262,D262,C262,L262)=0,"",IF(A262="","No date - sits outside every month",IF(E262="","No job number",IF(F262="CHECK","Job number is not in the Xero job list",IF(I262="","No cost centre",IF(AND(P262="Y",C262=""),"Marked posted to Xero but has no invoice number",IF(AND(L262&lt;&gt;"",K262=""),"No tax code",IF(AND(L262&lt;&gt;"",O262=""),"No revenue GL code",""))))))))</f>
        <v/>
      </c>
      <c r="W262" s="25">
        <f>IF(E262="","",IFERROR(INDEX(lst_JobName,MATCH(E262&amp;"",lst_Jobs,0)),""))</f>
        <v/>
      </c>
      <c r="X262" s="28">
        <f>IF(E262="","",COUNTIFS(tbl_Finance[Job Number],E262&amp;"",tbl_Finance[Ex GST],"&lt;&gt;"))</f>
        <v/>
      </c>
      <c r="Y262" s="27">
        <f>IF(E262="","",SUMIFS(tbl_Finance[Ex GST],tbl_Finance[Job Number],E262&amp;""))</f>
        <v/>
      </c>
      <c r="Z262" s="27">
        <f>IF(E262="","",SUMIFS(tbl_Finance[Ex GST],tbl_Finance[Job Number],E262&amp;"",tbl_Finance[Xero Invoice No],"&lt;&gt;"))</f>
        <v/>
      </c>
      <c r="AA262" s="27">
        <f>IF(E262="","",Y262-Z262)</f>
        <v/>
      </c>
      <c r="AB262" s="25">
        <f>IF(E262="","",IF(H262="Onsite",IFERROR(INDEX(tbl_Onsite[Qwilr Quote],MATCH(E262&amp;"",tbl_Onsite[Job Number],0)),""),IF(H262="Production",IFERROR(INDEX(tbl_Production[Current RMS No],MATCH(E262&amp;"",tbl_Production[Job Number],0)),""),IF(H262="Consulting",IFERROR(INDEX(tbl_Consulting[Qwilr Quote],MATCH(E262&amp;"",tbl_Consulting[Job Number],0)),""),""))))</f>
        <v/>
      </c>
      <c r="AC262" s="25">
        <f>IF(AB262="","",IF(AND(LEFT(AB262,4)&lt;&gt;"http",IF(H262="Production",set_RMSBase,set_QwilrBase)=""),"",HYPERLINK(IF(LEFT(AB262,4)="http",AB262,IF(H262="Production",set_RMSBase,set_QwilrBase)&amp;AB262),"Open")))</f>
        <v/>
      </c>
      <c r="AD262" s="27">
        <f>IF(E262="","",IF(H262="Production",IFERROR(INDEX(tbl_Production[Total Expense],MATCH(E262&amp;"",tbl_Production[Job Number],0)),0),IF(H262="Consulting",IFERROR(INDEX(tbl_Consulting[Total Expense],MATCH(E262&amp;"",tbl_Consulting[Job Number],0)),0),0)))</f>
        <v/>
      </c>
      <c r="AE262" s="27">
        <f>IF(E262="","",Y262-N(AD262))</f>
        <v/>
      </c>
      <c r="AF262" s="29">
        <f>IFERROR(AE262/Y262,"")</f>
        <v/>
      </c>
      <c r="AG262" s="25">
        <f>IF(E262="","",IF(H262="Onsite",IFERROR(INDEX(tbl_Onsite[Notes],MATCH(E262&amp;"",tbl_Onsite[Job Number],0)),""),IF(H262="Production",IFERROR(INDEX(tbl_Production[Notes],MATCH(E262&amp;"",tbl_Production[Job Number],0)),""),IF(H262="Consulting",IFERROR(INDEX(tbl_Consulting[Notes],MATCH(E262&amp;"",tbl_Consulting[Job Number],0)),""),""))))</f>
        <v/>
      </c>
    </row>
    <row r="263" ht="15" customHeight="1">
      <c r="A263" s="22" t="n"/>
      <c r="B263" s="23">
        <f>IF(A263="","",EOMONTH(A263,0))</f>
        <v/>
      </c>
      <c r="C263" s="24" t="n"/>
      <c r="D263" s="24" t="n"/>
      <c r="E263" s="24" t="n"/>
      <c r="F263" s="25">
        <f>IF(E263="","",IF(COUNTIF(lst_Jobs,E263&amp;"")&gt;0,"OK","CHECK"))</f>
        <v/>
      </c>
      <c r="G263" s="24" t="n"/>
      <c r="H263" s="24" t="n"/>
      <c r="I263" s="24" t="n"/>
      <c r="J263" s="24" t="n"/>
      <c r="K263" s="24" t="n"/>
      <c r="L263" s="26" t="n"/>
      <c r="M263" s="27">
        <f>IF(L263="","",IF(K263="GST 10%",ROUND(L263*set_GSTRate,2),0))</f>
        <v/>
      </c>
      <c r="N263" s="27">
        <f>IF(L263="","",L263+M263)</f>
        <v/>
      </c>
      <c r="O263" s="24" t="n"/>
      <c r="P263" s="24" t="n"/>
      <c r="Q263" s="24" t="n"/>
      <c r="R263" s="22" t="n"/>
      <c r="S263" s="22" t="n"/>
      <c r="T263" s="24" t="n"/>
      <c r="U263" s="24" t="n"/>
      <c r="V263" s="25">
        <f>IF(COUNTA(A263,D263,C263,L263)=0,"",IF(A263="","No date - sits outside every month",IF(E263="","No job number",IF(F263="CHECK","Job number is not in the Xero job list",IF(I263="","No cost centre",IF(AND(P263="Y",C263=""),"Marked posted to Xero but has no invoice number",IF(AND(L263&lt;&gt;"",K263=""),"No tax code",IF(AND(L263&lt;&gt;"",O263=""),"No revenue GL code",""))))))))</f>
        <v/>
      </c>
      <c r="W263" s="25">
        <f>IF(E263="","",IFERROR(INDEX(lst_JobName,MATCH(E263&amp;"",lst_Jobs,0)),""))</f>
        <v/>
      </c>
      <c r="X263" s="28">
        <f>IF(E263="","",COUNTIFS(tbl_Finance[Job Number],E263&amp;"",tbl_Finance[Ex GST],"&lt;&gt;"))</f>
        <v/>
      </c>
      <c r="Y263" s="27">
        <f>IF(E263="","",SUMIFS(tbl_Finance[Ex GST],tbl_Finance[Job Number],E263&amp;""))</f>
        <v/>
      </c>
      <c r="Z263" s="27">
        <f>IF(E263="","",SUMIFS(tbl_Finance[Ex GST],tbl_Finance[Job Number],E263&amp;"",tbl_Finance[Xero Invoice No],"&lt;&gt;"))</f>
        <v/>
      </c>
      <c r="AA263" s="27">
        <f>IF(E263="","",Y263-Z263)</f>
        <v/>
      </c>
      <c r="AB263" s="25">
        <f>IF(E263="","",IF(H263="Onsite",IFERROR(INDEX(tbl_Onsite[Qwilr Quote],MATCH(E263&amp;"",tbl_Onsite[Job Number],0)),""),IF(H263="Production",IFERROR(INDEX(tbl_Production[Current RMS No],MATCH(E263&amp;"",tbl_Production[Job Number],0)),""),IF(H263="Consulting",IFERROR(INDEX(tbl_Consulting[Qwilr Quote],MATCH(E263&amp;"",tbl_Consulting[Job Number],0)),""),""))))</f>
        <v/>
      </c>
      <c r="AC263" s="25">
        <f>IF(AB263="","",IF(AND(LEFT(AB263,4)&lt;&gt;"http",IF(H263="Production",set_RMSBase,set_QwilrBase)=""),"",HYPERLINK(IF(LEFT(AB263,4)="http",AB263,IF(H263="Production",set_RMSBase,set_QwilrBase)&amp;AB263),"Open")))</f>
        <v/>
      </c>
      <c r="AD263" s="27">
        <f>IF(E263="","",IF(H263="Production",IFERROR(INDEX(tbl_Production[Total Expense],MATCH(E263&amp;"",tbl_Production[Job Number],0)),0),IF(H263="Consulting",IFERROR(INDEX(tbl_Consulting[Total Expense],MATCH(E263&amp;"",tbl_Consulting[Job Number],0)),0),0)))</f>
        <v/>
      </c>
      <c r="AE263" s="27">
        <f>IF(E263="","",Y263-N(AD263))</f>
        <v/>
      </c>
      <c r="AF263" s="29">
        <f>IFERROR(AE263/Y263,"")</f>
        <v/>
      </c>
      <c r="AG263" s="25">
        <f>IF(E263="","",IF(H263="Onsite",IFERROR(INDEX(tbl_Onsite[Notes],MATCH(E263&amp;"",tbl_Onsite[Job Number],0)),""),IF(H263="Production",IFERROR(INDEX(tbl_Production[Notes],MATCH(E263&amp;"",tbl_Production[Job Number],0)),""),IF(H263="Consulting",IFERROR(INDEX(tbl_Consulting[Notes],MATCH(E263&amp;"",tbl_Consulting[Job Number],0)),""),""))))</f>
        <v/>
      </c>
    </row>
    <row r="264" ht="15" customHeight="1">
      <c r="A264" s="22" t="n"/>
      <c r="B264" s="23">
        <f>IF(A264="","",EOMONTH(A264,0))</f>
        <v/>
      </c>
      <c r="C264" s="24" t="n"/>
      <c r="D264" s="24" t="n"/>
      <c r="E264" s="24" t="n"/>
      <c r="F264" s="25">
        <f>IF(E264="","",IF(COUNTIF(lst_Jobs,E264&amp;"")&gt;0,"OK","CHECK"))</f>
        <v/>
      </c>
      <c r="G264" s="24" t="n"/>
      <c r="H264" s="24" t="n"/>
      <c r="I264" s="24" t="n"/>
      <c r="J264" s="24" t="n"/>
      <c r="K264" s="24" t="n"/>
      <c r="L264" s="26" t="n"/>
      <c r="M264" s="27">
        <f>IF(L264="","",IF(K264="GST 10%",ROUND(L264*set_GSTRate,2),0))</f>
        <v/>
      </c>
      <c r="N264" s="27">
        <f>IF(L264="","",L264+M264)</f>
        <v/>
      </c>
      <c r="O264" s="24" t="n"/>
      <c r="P264" s="24" t="n"/>
      <c r="Q264" s="24" t="n"/>
      <c r="R264" s="22" t="n"/>
      <c r="S264" s="22" t="n"/>
      <c r="T264" s="24" t="n"/>
      <c r="U264" s="24" t="n"/>
      <c r="V264" s="25">
        <f>IF(COUNTA(A264,D264,C264,L264)=0,"",IF(A264="","No date - sits outside every month",IF(E264="","No job number",IF(F264="CHECK","Job number is not in the Xero job list",IF(I264="","No cost centre",IF(AND(P264="Y",C264=""),"Marked posted to Xero but has no invoice number",IF(AND(L264&lt;&gt;"",K264=""),"No tax code",IF(AND(L264&lt;&gt;"",O264=""),"No revenue GL code",""))))))))</f>
        <v/>
      </c>
      <c r="W264" s="25">
        <f>IF(E264="","",IFERROR(INDEX(lst_JobName,MATCH(E264&amp;"",lst_Jobs,0)),""))</f>
        <v/>
      </c>
      <c r="X264" s="28">
        <f>IF(E264="","",COUNTIFS(tbl_Finance[Job Number],E264&amp;"",tbl_Finance[Ex GST],"&lt;&gt;"))</f>
        <v/>
      </c>
      <c r="Y264" s="27">
        <f>IF(E264="","",SUMIFS(tbl_Finance[Ex GST],tbl_Finance[Job Number],E264&amp;""))</f>
        <v/>
      </c>
      <c r="Z264" s="27">
        <f>IF(E264="","",SUMIFS(tbl_Finance[Ex GST],tbl_Finance[Job Number],E264&amp;"",tbl_Finance[Xero Invoice No],"&lt;&gt;"))</f>
        <v/>
      </c>
      <c r="AA264" s="27">
        <f>IF(E264="","",Y264-Z264)</f>
        <v/>
      </c>
      <c r="AB264" s="25">
        <f>IF(E264="","",IF(H264="Onsite",IFERROR(INDEX(tbl_Onsite[Qwilr Quote],MATCH(E264&amp;"",tbl_Onsite[Job Number],0)),""),IF(H264="Production",IFERROR(INDEX(tbl_Production[Current RMS No],MATCH(E264&amp;"",tbl_Production[Job Number],0)),""),IF(H264="Consulting",IFERROR(INDEX(tbl_Consulting[Qwilr Quote],MATCH(E264&amp;"",tbl_Consulting[Job Number],0)),""),""))))</f>
        <v/>
      </c>
      <c r="AC264" s="25">
        <f>IF(AB264="","",IF(AND(LEFT(AB264,4)&lt;&gt;"http",IF(H264="Production",set_RMSBase,set_QwilrBase)=""),"",HYPERLINK(IF(LEFT(AB264,4)="http",AB264,IF(H264="Production",set_RMSBase,set_QwilrBase)&amp;AB264),"Open")))</f>
        <v/>
      </c>
      <c r="AD264" s="27">
        <f>IF(E264="","",IF(H264="Production",IFERROR(INDEX(tbl_Production[Total Expense],MATCH(E264&amp;"",tbl_Production[Job Number],0)),0),IF(H264="Consulting",IFERROR(INDEX(tbl_Consulting[Total Expense],MATCH(E264&amp;"",tbl_Consulting[Job Number],0)),0),0)))</f>
        <v/>
      </c>
      <c r="AE264" s="27">
        <f>IF(E264="","",Y264-N(AD264))</f>
        <v/>
      </c>
      <c r="AF264" s="29">
        <f>IFERROR(AE264/Y264,"")</f>
        <v/>
      </c>
      <c r="AG264" s="25">
        <f>IF(E264="","",IF(H264="Onsite",IFERROR(INDEX(tbl_Onsite[Notes],MATCH(E264&amp;"",tbl_Onsite[Job Number],0)),""),IF(H264="Production",IFERROR(INDEX(tbl_Production[Notes],MATCH(E264&amp;"",tbl_Production[Job Number],0)),""),IF(H264="Consulting",IFERROR(INDEX(tbl_Consulting[Notes],MATCH(E264&amp;"",tbl_Consulting[Job Number],0)),""),""))))</f>
        <v/>
      </c>
    </row>
    <row r="265" ht="15" customHeight="1">
      <c r="A265" s="22" t="n"/>
      <c r="B265" s="23">
        <f>IF(A265="","",EOMONTH(A265,0))</f>
        <v/>
      </c>
      <c r="C265" s="24" t="n"/>
      <c r="D265" s="24" t="n"/>
      <c r="E265" s="24" t="n"/>
      <c r="F265" s="25">
        <f>IF(E265="","",IF(COUNTIF(lst_Jobs,E265&amp;"")&gt;0,"OK","CHECK"))</f>
        <v/>
      </c>
      <c r="G265" s="24" t="n"/>
      <c r="H265" s="24" t="n"/>
      <c r="I265" s="24" t="n"/>
      <c r="J265" s="24" t="n"/>
      <c r="K265" s="24" t="n"/>
      <c r="L265" s="26" t="n"/>
      <c r="M265" s="27">
        <f>IF(L265="","",IF(K265="GST 10%",ROUND(L265*set_GSTRate,2),0))</f>
        <v/>
      </c>
      <c r="N265" s="27">
        <f>IF(L265="","",L265+M265)</f>
        <v/>
      </c>
      <c r="O265" s="24" t="n"/>
      <c r="P265" s="24" t="n"/>
      <c r="Q265" s="24" t="n"/>
      <c r="R265" s="22" t="n"/>
      <c r="S265" s="22" t="n"/>
      <c r="T265" s="24" t="n"/>
      <c r="U265" s="24" t="n"/>
      <c r="V265" s="25">
        <f>IF(COUNTA(A265,D265,C265,L265)=0,"",IF(A265="","No date - sits outside every month",IF(E265="","No job number",IF(F265="CHECK","Job number is not in the Xero job list",IF(I265="","No cost centre",IF(AND(P265="Y",C265=""),"Marked posted to Xero but has no invoice number",IF(AND(L265&lt;&gt;"",K265=""),"No tax code",IF(AND(L265&lt;&gt;"",O265=""),"No revenue GL code",""))))))))</f>
        <v/>
      </c>
      <c r="W265" s="25">
        <f>IF(E265="","",IFERROR(INDEX(lst_JobName,MATCH(E265&amp;"",lst_Jobs,0)),""))</f>
        <v/>
      </c>
      <c r="X265" s="28">
        <f>IF(E265="","",COUNTIFS(tbl_Finance[Job Number],E265&amp;"",tbl_Finance[Ex GST],"&lt;&gt;"))</f>
        <v/>
      </c>
      <c r="Y265" s="27">
        <f>IF(E265="","",SUMIFS(tbl_Finance[Ex GST],tbl_Finance[Job Number],E265&amp;""))</f>
        <v/>
      </c>
      <c r="Z265" s="27">
        <f>IF(E265="","",SUMIFS(tbl_Finance[Ex GST],tbl_Finance[Job Number],E265&amp;"",tbl_Finance[Xero Invoice No],"&lt;&gt;"))</f>
        <v/>
      </c>
      <c r="AA265" s="27">
        <f>IF(E265="","",Y265-Z265)</f>
        <v/>
      </c>
      <c r="AB265" s="25">
        <f>IF(E265="","",IF(H265="Onsite",IFERROR(INDEX(tbl_Onsite[Qwilr Quote],MATCH(E265&amp;"",tbl_Onsite[Job Number],0)),""),IF(H265="Production",IFERROR(INDEX(tbl_Production[Current RMS No],MATCH(E265&amp;"",tbl_Production[Job Number],0)),""),IF(H265="Consulting",IFERROR(INDEX(tbl_Consulting[Qwilr Quote],MATCH(E265&amp;"",tbl_Consulting[Job Number],0)),""),""))))</f>
        <v/>
      </c>
      <c r="AC265" s="25">
        <f>IF(AB265="","",IF(AND(LEFT(AB265,4)&lt;&gt;"http",IF(H265="Production",set_RMSBase,set_QwilrBase)=""),"",HYPERLINK(IF(LEFT(AB265,4)="http",AB265,IF(H265="Production",set_RMSBase,set_QwilrBase)&amp;AB265),"Open")))</f>
        <v/>
      </c>
      <c r="AD265" s="27">
        <f>IF(E265="","",IF(H265="Production",IFERROR(INDEX(tbl_Production[Total Expense],MATCH(E265&amp;"",tbl_Production[Job Number],0)),0),IF(H265="Consulting",IFERROR(INDEX(tbl_Consulting[Total Expense],MATCH(E265&amp;"",tbl_Consulting[Job Number],0)),0),0)))</f>
        <v/>
      </c>
      <c r="AE265" s="27">
        <f>IF(E265="","",Y265-N(AD265))</f>
        <v/>
      </c>
      <c r="AF265" s="29">
        <f>IFERROR(AE265/Y265,"")</f>
        <v/>
      </c>
      <c r="AG265" s="25">
        <f>IF(E265="","",IF(H265="Onsite",IFERROR(INDEX(tbl_Onsite[Notes],MATCH(E265&amp;"",tbl_Onsite[Job Number],0)),""),IF(H265="Production",IFERROR(INDEX(tbl_Production[Notes],MATCH(E265&amp;"",tbl_Production[Job Number],0)),""),IF(H265="Consulting",IFERROR(INDEX(tbl_Consulting[Notes],MATCH(E265&amp;"",tbl_Consulting[Job Number],0)),""),""))))</f>
        <v/>
      </c>
    </row>
    <row r="266" ht="15" customHeight="1">
      <c r="A266" s="22" t="n"/>
      <c r="B266" s="23">
        <f>IF(A266="","",EOMONTH(A266,0))</f>
        <v/>
      </c>
      <c r="C266" s="24" t="n"/>
      <c r="D266" s="24" t="n"/>
      <c r="E266" s="24" t="n"/>
      <c r="F266" s="25">
        <f>IF(E266="","",IF(COUNTIF(lst_Jobs,E266&amp;"")&gt;0,"OK","CHECK"))</f>
        <v/>
      </c>
      <c r="G266" s="24" t="n"/>
      <c r="H266" s="24" t="n"/>
      <c r="I266" s="24" t="n"/>
      <c r="J266" s="24" t="n"/>
      <c r="K266" s="24" t="n"/>
      <c r="L266" s="26" t="n"/>
      <c r="M266" s="27">
        <f>IF(L266="","",IF(K266="GST 10%",ROUND(L266*set_GSTRate,2),0))</f>
        <v/>
      </c>
      <c r="N266" s="27">
        <f>IF(L266="","",L266+M266)</f>
        <v/>
      </c>
      <c r="O266" s="24" t="n"/>
      <c r="P266" s="24" t="n"/>
      <c r="Q266" s="24" t="n"/>
      <c r="R266" s="22" t="n"/>
      <c r="S266" s="22" t="n"/>
      <c r="T266" s="24" t="n"/>
      <c r="U266" s="24" t="n"/>
      <c r="V266" s="25">
        <f>IF(COUNTA(A266,D266,C266,L266)=0,"",IF(A266="","No date - sits outside every month",IF(E266="","No job number",IF(F266="CHECK","Job number is not in the Xero job list",IF(I266="","No cost centre",IF(AND(P266="Y",C266=""),"Marked posted to Xero but has no invoice number",IF(AND(L266&lt;&gt;"",K266=""),"No tax code",IF(AND(L266&lt;&gt;"",O266=""),"No revenue GL code",""))))))))</f>
        <v/>
      </c>
      <c r="W266" s="25">
        <f>IF(E266="","",IFERROR(INDEX(lst_JobName,MATCH(E266&amp;"",lst_Jobs,0)),""))</f>
        <v/>
      </c>
      <c r="X266" s="28">
        <f>IF(E266="","",COUNTIFS(tbl_Finance[Job Number],E266&amp;"",tbl_Finance[Ex GST],"&lt;&gt;"))</f>
        <v/>
      </c>
      <c r="Y266" s="27">
        <f>IF(E266="","",SUMIFS(tbl_Finance[Ex GST],tbl_Finance[Job Number],E266&amp;""))</f>
        <v/>
      </c>
      <c r="Z266" s="27">
        <f>IF(E266="","",SUMIFS(tbl_Finance[Ex GST],tbl_Finance[Job Number],E266&amp;"",tbl_Finance[Xero Invoice No],"&lt;&gt;"))</f>
        <v/>
      </c>
      <c r="AA266" s="27">
        <f>IF(E266="","",Y266-Z266)</f>
        <v/>
      </c>
      <c r="AB266" s="25">
        <f>IF(E266="","",IF(H266="Onsite",IFERROR(INDEX(tbl_Onsite[Qwilr Quote],MATCH(E266&amp;"",tbl_Onsite[Job Number],0)),""),IF(H266="Production",IFERROR(INDEX(tbl_Production[Current RMS No],MATCH(E266&amp;"",tbl_Production[Job Number],0)),""),IF(H266="Consulting",IFERROR(INDEX(tbl_Consulting[Qwilr Quote],MATCH(E266&amp;"",tbl_Consulting[Job Number],0)),""),""))))</f>
        <v/>
      </c>
      <c r="AC266" s="25">
        <f>IF(AB266="","",IF(AND(LEFT(AB266,4)&lt;&gt;"http",IF(H266="Production",set_RMSBase,set_QwilrBase)=""),"",HYPERLINK(IF(LEFT(AB266,4)="http",AB266,IF(H266="Production",set_RMSBase,set_QwilrBase)&amp;AB266),"Open")))</f>
        <v/>
      </c>
      <c r="AD266" s="27">
        <f>IF(E266="","",IF(H266="Production",IFERROR(INDEX(tbl_Production[Total Expense],MATCH(E266&amp;"",tbl_Production[Job Number],0)),0),IF(H266="Consulting",IFERROR(INDEX(tbl_Consulting[Total Expense],MATCH(E266&amp;"",tbl_Consulting[Job Number],0)),0),0)))</f>
        <v/>
      </c>
      <c r="AE266" s="27">
        <f>IF(E266="","",Y266-N(AD266))</f>
        <v/>
      </c>
      <c r="AF266" s="29">
        <f>IFERROR(AE266/Y266,"")</f>
        <v/>
      </c>
      <c r="AG266" s="25">
        <f>IF(E266="","",IF(H266="Onsite",IFERROR(INDEX(tbl_Onsite[Notes],MATCH(E266&amp;"",tbl_Onsite[Job Number],0)),""),IF(H266="Production",IFERROR(INDEX(tbl_Production[Notes],MATCH(E266&amp;"",tbl_Production[Job Number],0)),""),IF(H266="Consulting",IFERROR(INDEX(tbl_Consulting[Notes],MATCH(E266&amp;"",tbl_Consulting[Job Number],0)),""),""))))</f>
        <v/>
      </c>
    </row>
    <row r="267" ht="15" customHeight="1">
      <c r="A267" s="22" t="n"/>
      <c r="B267" s="23">
        <f>IF(A267="","",EOMONTH(A267,0))</f>
        <v/>
      </c>
      <c r="C267" s="24" t="n"/>
      <c r="D267" s="24" t="n"/>
      <c r="E267" s="24" t="n"/>
      <c r="F267" s="25">
        <f>IF(E267="","",IF(COUNTIF(lst_Jobs,E267&amp;"")&gt;0,"OK","CHECK"))</f>
        <v/>
      </c>
      <c r="G267" s="24" t="n"/>
      <c r="H267" s="24" t="n"/>
      <c r="I267" s="24" t="n"/>
      <c r="J267" s="24" t="n"/>
      <c r="K267" s="24" t="n"/>
      <c r="L267" s="26" t="n"/>
      <c r="M267" s="27">
        <f>IF(L267="","",IF(K267="GST 10%",ROUND(L267*set_GSTRate,2),0))</f>
        <v/>
      </c>
      <c r="N267" s="27">
        <f>IF(L267="","",L267+M267)</f>
        <v/>
      </c>
      <c r="O267" s="24" t="n"/>
      <c r="P267" s="24" t="n"/>
      <c r="Q267" s="24" t="n"/>
      <c r="R267" s="22" t="n"/>
      <c r="S267" s="22" t="n"/>
      <c r="T267" s="24" t="n"/>
      <c r="U267" s="24" t="n"/>
      <c r="V267" s="25">
        <f>IF(COUNTA(A267,D267,C267,L267)=0,"",IF(A267="","No date - sits outside every month",IF(E267="","No job number",IF(F267="CHECK","Job number is not in the Xero job list",IF(I267="","No cost centre",IF(AND(P267="Y",C267=""),"Marked posted to Xero but has no invoice number",IF(AND(L267&lt;&gt;"",K267=""),"No tax code",IF(AND(L267&lt;&gt;"",O267=""),"No revenue GL code",""))))))))</f>
        <v/>
      </c>
      <c r="W267" s="25">
        <f>IF(E267="","",IFERROR(INDEX(lst_JobName,MATCH(E267&amp;"",lst_Jobs,0)),""))</f>
        <v/>
      </c>
      <c r="X267" s="28">
        <f>IF(E267="","",COUNTIFS(tbl_Finance[Job Number],E267&amp;"",tbl_Finance[Ex GST],"&lt;&gt;"))</f>
        <v/>
      </c>
      <c r="Y267" s="27">
        <f>IF(E267="","",SUMIFS(tbl_Finance[Ex GST],tbl_Finance[Job Number],E267&amp;""))</f>
        <v/>
      </c>
      <c r="Z267" s="27">
        <f>IF(E267="","",SUMIFS(tbl_Finance[Ex GST],tbl_Finance[Job Number],E267&amp;"",tbl_Finance[Xero Invoice No],"&lt;&gt;"))</f>
        <v/>
      </c>
      <c r="AA267" s="27">
        <f>IF(E267="","",Y267-Z267)</f>
        <v/>
      </c>
      <c r="AB267" s="25">
        <f>IF(E267="","",IF(H267="Onsite",IFERROR(INDEX(tbl_Onsite[Qwilr Quote],MATCH(E267&amp;"",tbl_Onsite[Job Number],0)),""),IF(H267="Production",IFERROR(INDEX(tbl_Production[Current RMS No],MATCH(E267&amp;"",tbl_Production[Job Number],0)),""),IF(H267="Consulting",IFERROR(INDEX(tbl_Consulting[Qwilr Quote],MATCH(E267&amp;"",tbl_Consulting[Job Number],0)),""),""))))</f>
        <v/>
      </c>
      <c r="AC267" s="25">
        <f>IF(AB267="","",IF(AND(LEFT(AB267,4)&lt;&gt;"http",IF(H267="Production",set_RMSBase,set_QwilrBase)=""),"",HYPERLINK(IF(LEFT(AB267,4)="http",AB267,IF(H267="Production",set_RMSBase,set_QwilrBase)&amp;AB267),"Open")))</f>
        <v/>
      </c>
      <c r="AD267" s="27">
        <f>IF(E267="","",IF(H267="Production",IFERROR(INDEX(tbl_Production[Total Expense],MATCH(E267&amp;"",tbl_Production[Job Number],0)),0),IF(H267="Consulting",IFERROR(INDEX(tbl_Consulting[Total Expense],MATCH(E267&amp;"",tbl_Consulting[Job Number],0)),0),0)))</f>
        <v/>
      </c>
      <c r="AE267" s="27">
        <f>IF(E267="","",Y267-N(AD267))</f>
        <v/>
      </c>
      <c r="AF267" s="29">
        <f>IFERROR(AE267/Y267,"")</f>
        <v/>
      </c>
      <c r="AG267" s="25">
        <f>IF(E267="","",IF(H267="Onsite",IFERROR(INDEX(tbl_Onsite[Notes],MATCH(E267&amp;"",tbl_Onsite[Job Number],0)),""),IF(H267="Production",IFERROR(INDEX(tbl_Production[Notes],MATCH(E267&amp;"",tbl_Production[Job Number],0)),""),IF(H267="Consulting",IFERROR(INDEX(tbl_Consulting[Notes],MATCH(E267&amp;"",tbl_Consulting[Job Number],0)),""),""))))</f>
        <v/>
      </c>
    </row>
    <row r="268" ht="15" customHeight="1">
      <c r="A268" s="22" t="n"/>
      <c r="B268" s="23">
        <f>IF(A268="","",EOMONTH(A268,0))</f>
        <v/>
      </c>
      <c r="C268" s="24" t="n"/>
      <c r="D268" s="24" t="n"/>
      <c r="E268" s="24" t="n"/>
      <c r="F268" s="25">
        <f>IF(E268="","",IF(COUNTIF(lst_Jobs,E268&amp;"")&gt;0,"OK","CHECK"))</f>
        <v/>
      </c>
      <c r="G268" s="24" t="n"/>
      <c r="H268" s="24" t="n"/>
      <c r="I268" s="24" t="n"/>
      <c r="J268" s="24" t="n"/>
      <c r="K268" s="24" t="n"/>
      <c r="L268" s="26" t="n"/>
      <c r="M268" s="27">
        <f>IF(L268="","",IF(K268="GST 10%",ROUND(L268*set_GSTRate,2),0))</f>
        <v/>
      </c>
      <c r="N268" s="27">
        <f>IF(L268="","",L268+M268)</f>
        <v/>
      </c>
      <c r="O268" s="24" t="n"/>
      <c r="P268" s="24" t="n"/>
      <c r="Q268" s="24" t="n"/>
      <c r="R268" s="22" t="n"/>
      <c r="S268" s="22" t="n"/>
      <c r="T268" s="24" t="n"/>
      <c r="U268" s="24" t="n"/>
      <c r="V268" s="25">
        <f>IF(COUNTA(A268,D268,C268,L268)=0,"",IF(A268="","No date - sits outside every month",IF(E268="","No job number",IF(F268="CHECK","Job number is not in the Xero job list",IF(I268="","No cost centre",IF(AND(P268="Y",C268=""),"Marked posted to Xero but has no invoice number",IF(AND(L268&lt;&gt;"",K268=""),"No tax code",IF(AND(L268&lt;&gt;"",O268=""),"No revenue GL code",""))))))))</f>
        <v/>
      </c>
      <c r="W268" s="25">
        <f>IF(E268="","",IFERROR(INDEX(lst_JobName,MATCH(E268&amp;"",lst_Jobs,0)),""))</f>
        <v/>
      </c>
      <c r="X268" s="28">
        <f>IF(E268="","",COUNTIFS(tbl_Finance[Job Number],E268&amp;"",tbl_Finance[Ex GST],"&lt;&gt;"))</f>
        <v/>
      </c>
      <c r="Y268" s="27">
        <f>IF(E268="","",SUMIFS(tbl_Finance[Ex GST],tbl_Finance[Job Number],E268&amp;""))</f>
        <v/>
      </c>
      <c r="Z268" s="27">
        <f>IF(E268="","",SUMIFS(tbl_Finance[Ex GST],tbl_Finance[Job Number],E268&amp;"",tbl_Finance[Xero Invoice No],"&lt;&gt;"))</f>
        <v/>
      </c>
      <c r="AA268" s="27">
        <f>IF(E268="","",Y268-Z268)</f>
        <v/>
      </c>
      <c r="AB268" s="25">
        <f>IF(E268="","",IF(H268="Onsite",IFERROR(INDEX(tbl_Onsite[Qwilr Quote],MATCH(E268&amp;"",tbl_Onsite[Job Number],0)),""),IF(H268="Production",IFERROR(INDEX(tbl_Production[Current RMS No],MATCH(E268&amp;"",tbl_Production[Job Number],0)),""),IF(H268="Consulting",IFERROR(INDEX(tbl_Consulting[Qwilr Quote],MATCH(E268&amp;"",tbl_Consulting[Job Number],0)),""),""))))</f>
        <v/>
      </c>
      <c r="AC268" s="25">
        <f>IF(AB268="","",IF(AND(LEFT(AB268,4)&lt;&gt;"http",IF(H268="Production",set_RMSBase,set_QwilrBase)=""),"",HYPERLINK(IF(LEFT(AB268,4)="http",AB268,IF(H268="Production",set_RMSBase,set_QwilrBase)&amp;AB268),"Open")))</f>
        <v/>
      </c>
      <c r="AD268" s="27">
        <f>IF(E268="","",IF(H268="Production",IFERROR(INDEX(tbl_Production[Total Expense],MATCH(E268&amp;"",tbl_Production[Job Number],0)),0),IF(H268="Consulting",IFERROR(INDEX(tbl_Consulting[Total Expense],MATCH(E268&amp;"",tbl_Consulting[Job Number],0)),0),0)))</f>
        <v/>
      </c>
      <c r="AE268" s="27">
        <f>IF(E268="","",Y268-N(AD268))</f>
        <v/>
      </c>
      <c r="AF268" s="29">
        <f>IFERROR(AE268/Y268,"")</f>
        <v/>
      </c>
      <c r="AG268" s="25">
        <f>IF(E268="","",IF(H268="Onsite",IFERROR(INDEX(tbl_Onsite[Notes],MATCH(E268&amp;"",tbl_Onsite[Job Number],0)),""),IF(H268="Production",IFERROR(INDEX(tbl_Production[Notes],MATCH(E268&amp;"",tbl_Production[Job Number],0)),""),IF(H268="Consulting",IFERROR(INDEX(tbl_Consulting[Notes],MATCH(E268&amp;"",tbl_Consulting[Job Number],0)),""),""))))</f>
        <v/>
      </c>
    </row>
    <row r="269" ht="15" customHeight="1">
      <c r="A269" s="22" t="n"/>
      <c r="B269" s="23">
        <f>IF(A269="","",EOMONTH(A269,0))</f>
        <v/>
      </c>
      <c r="C269" s="24" t="n"/>
      <c r="D269" s="24" t="n"/>
      <c r="E269" s="24" t="n"/>
      <c r="F269" s="25">
        <f>IF(E269="","",IF(COUNTIF(lst_Jobs,E269&amp;"")&gt;0,"OK","CHECK"))</f>
        <v/>
      </c>
      <c r="G269" s="24" t="n"/>
      <c r="H269" s="24" t="n"/>
      <c r="I269" s="24" t="n"/>
      <c r="J269" s="24" t="n"/>
      <c r="K269" s="24" t="n"/>
      <c r="L269" s="26" t="n"/>
      <c r="M269" s="27">
        <f>IF(L269="","",IF(K269="GST 10%",ROUND(L269*set_GSTRate,2),0))</f>
        <v/>
      </c>
      <c r="N269" s="27">
        <f>IF(L269="","",L269+M269)</f>
        <v/>
      </c>
      <c r="O269" s="24" t="n"/>
      <c r="P269" s="24" t="n"/>
      <c r="Q269" s="24" t="n"/>
      <c r="R269" s="22" t="n"/>
      <c r="S269" s="22" t="n"/>
      <c r="T269" s="24" t="n"/>
      <c r="U269" s="24" t="n"/>
      <c r="V269" s="25">
        <f>IF(COUNTA(A269,D269,C269,L269)=0,"",IF(A269="","No date - sits outside every month",IF(E269="","No job number",IF(F269="CHECK","Job number is not in the Xero job list",IF(I269="","No cost centre",IF(AND(P269="Y",C269=""),"Marked posted to Xero but has no invoice number",IF(AND(L269&lt;&gt;"",K269=""),"No tax code",IF(AND(L269&lt;&gt;"",O269=""),"No revenue GL code",""))))))))</f>
        <v/>
      </c>
      <c r="W269" s="25">
        <f>IF(E269="","",IFERROR(INDEX(lst_JobName,MATCH(E269&amp;"",lst_Jobs,0)),""))</f>
        <v/>
      </c>
      <c r="X269" s="28">
        <f>IF(E269="","",COUNTIFS(tbl_Finance[Job Number],E269&amp;"",tbl_Finance[Ex GST],"&lt;&gt;"))</f>
        <v/>
      </c>
      <c r="Y269" s="27">
        <f>IF(E269="","",SUMIFS(tbl_Finance[Ex GST],tbl_Finance[Job Number],E269&amp;""))</f>
        <v/>
      </c>
      <c r="Z269" s="27">
        <f>IF(E269="","",SUMIFS(tbl_Finance[Ex GST],tbl_Finance[Job Number],E269&amp;"",tbl_Finance[Xero Invoice No],"&lt;&gt;"))</f>
        <v/>
      </c>
      <c r="AA269" s="27">
        <f>IF(E269="","",Y269-Z269)</f>
        <v/>
      </c>
      <c r="AB269" s="25">
        <f>IF(E269="","",IF(H269="Onsite",IFERROR(INDEX(tbl_Onsite[Qwilr Quote],MATCH(E269&amp;"",tbl_Onsite[Job Number],0)),""),IF(H269="Production",IFERROR(INDEX(tbl_Production[Current RMS No],MATCH(E269&amp;"",tbl_Production[Job Number],0)),""),IF(H269="Consulting",IFERROR(INDEX(tbl_Consulting[Qwilr Quote],MATCH(E269&amp;"",tbl_Consulting[Job Number],0)),""),""))))</f>
        <v/>
      </c>
      <c r="AC269" s="25">
        <f>IF(AB269="","",IF(AND(LEFT(AB269,4)&lt;&gt;"http",IF(H269="Production",set_RMSBase,set_QwilrBase)=""),"",HYPERLINK(IF(LEFT(AB269,4)="http",AB269,IF(H269="Production",set_RMSBase,set_QwilrBase)&amp;AB269),"Open")))</f>
        <v/>
      </c>
      <c r="AD269" s="27">
        <f>IF(E269="","",IF(H269="Production",IFERROR(INDEX(tbl_Production[Total Expense],MATCH(E269&amp;"",tbl_Production[Job Number],0)),0),IF(H269="Consulting",IFERROR(INDEX(tbl_Consulting[Total Expense],MATCH(E269&amp;"",tbl_Consulting[Job Number],0)),0),0)))</f>
        <v/>
      </c>
      <c r="AE269" s="27">
        <f>IF(E269="","",Y269-N(AD269))</f>
        <v/>
      </c>
      <c r="AF269" s="29">
        <f>IFERROR(AE269/Y269,"")</f>
        <v/>
      </c>
      <c r="AG269" s="25">
        <f>IF(E269="","",IF(H269="Onsite",IFERROR(INDEX(tbl_Onsite[Notes],MATCH(E269&amp;"",tbl_Onsite[Job Number],0)),""),IF(H269="Production",IFERROR(INDEX(tbl_Production[Notes],MATCH(E269&amp;"",tbl_Production[Job Number],0)),""),IF(H269="Consulting",IFERROR(INDEX(tbl_Consulting[Notes],MATCH(E269&amp;"",tbl_Consulting[Job Number],0)),""),""))))</f>
        <v/>
      </c>
    </row>
    <row r="270" ht="15" customHeight="1">
      <c r="A270" s="22" t="n"/>
      <c r="B270" s="23">
        <f>IF(A270="","",EOMONTH(A270,0))</f>
        <v/>
      </c>
      <c r="C270" s="24" t="n"/>
      <c r="D270" s="24" t="n"/>
      <c r="E270" s="24" t="n"/>
      <c r="F270" s="25">
        <f>IF(E270="","",IF(COUNTIF(lst_Jobs,E270&amp;"")&gt;0,"OK","CHECK"))</f>
        <v/>
      </c>
      <c r="G270" s="24" t="n"/>
      <c r="H270" s="24" t="n"/>
      <c r="I270" s="24" t="n"/>
      <c r="J270" s="24" t="n"/>
      <c r="K270" s="24" t="n"/>
      <c r="L270" s="26" t="n"/>
      <c r="M270" s="27">
        <f>IF(L270="","",IF(K270="GST 10%",ROUND(L270*set_GSTRate,2),0))</f>
        <v/>
      </c>
      <c r="N270" s="27">
        <f>IF(L270="","",L270+M270)</f>
        <v/>
      </c>
      <c r="O270" s="24" t="n"/>
      <c r="P270" s="24" t="n"/>
      <c r="Q270" s="24" t="n"/>
      <c r="R270" s="22" t="n"/>
      <c r="S270" s="22" t="n"/>
      <c r="T270" s="24" t="n"/>
      <c r="U270" s="24" t="n"/>
      <c r="V270" s="25">
        <f>IF(COUNTA(A270,D270,C270,L270)=0,"",IF(A270="","No date - sits outside every month",IF(E270="","No job number",IF(F270="CHECK","Job number is not in the Xero job list",IF(I270="","No cost centre",IF(AND(P270="Y",C270=""),"Marked posted to Xero but has no invoice number",IF(AND(L270&lt;&gt;"",K270=""),"No tax code",IF(AND(L270&lt;&gt;"",O270=""),"No revenue GL code",""))))))))</f>
        <v/>
      </c>
      <c r="W270" s="25">
        <f>IF(E270="","",IFERROR(INDEX(lst_JobName,MATCH(E270&amp;"",lst_Jobs,0)),""))</f>
        <v/>
      </c>
      <c r="X270" s="28">
        <f>IF(E270="","",COUNTIFS(tbl_Finance[Job Number],E270&amp;"",tbl_Finance[Ex GST],"&lt;&gt;"))</f>
        <v/>
      </c>
      <c r="Y270" s="27">
        <f>IF(E270="","",SUMIFS(tbl_Finance[Ex GST],tbl_Finance[Job Number],E270&amp;""))</f>
        <v/>
      </c>
      <c r="Z270" s="27">
        <f>IF(E270="","",SUMIFS(tbl_Finance[Ex GST],tbl_Finance[Job Number],E270&amp;"",tbl_Finance[Xero Invoice No],"&lt;&gt;"))</f>
        <v/>
      </c>
      <c r="AA270" s="27">
        <f>IF(E270="","",Y270-Z270)</f>
        <v/>
      </c>
      <c r="AB270" s="25">
        <f>IF(E270="","",IF(H270="Onsite",IFERROR(INDEX(tbl_Onsite[Qwilr Quote],MATCH(E270&amp;"",tbl_Onsite[Job Number],0)),""),IF(H270="Production",IFERROR(INDEX(tbl_Production[Current RMS No],MATCH(E270&amp;"",tbl_Production[Job Number],0)),""),IF(H270="Consulting",IFERROR(INDEX(tbl_Consulting[Qwilr Quote],MATCH(E270&amp;"",tbl_Consulting[Job Number],0)),""),""))))</f>
        <v/>
      </c>
      <c r="AC270" s="25">
        <f>IF(AB270="","",IF(AND(LEFT(AB270,4)&lt;&gt;"http",IF(H270="Production",set_RMSBase,set_QwilrBase)=""),"",HYPERLINK(IF(LEFT(AB270,4)="http",AB270,IF(H270="Production",set_RMSBase,set_QwilrBase)&amp;AB270),"Open")))</f>
        <v/>
      </c>
      <c r="AD270" s="27">
        <f>IF(E270="","",IF(H270="Production",IFERROR(INDEX(tbl_Production[Total Expense],MATCH(E270&amp;"",tbl_Production[Job Number],0)),0),IF(H270="Consulting",IFERROR(INDEX(tbl_Consulting[Total Expense],MATCH(E270&amp;"",tbl_Consulting[Job Number],0)),0),0)))</f>
        <v/>
      </c>
      <c r="AE270" s="27">
        <f>IF(E270="","",Y270-N(AD270))</f>
        <v/>
      </c>
      <c r="AF270" s="29">
        <f>IFERROR(AE270/Y270,"")</f>
        <v/>
      </c>
      <c r="AG270" s="25">
        <f>IF(E270="","",IF(H270="Onsite",IFERROR(INDEX(tbl_Onsite[Notes],MATCH(E270&amp;"",tbl_Onsite[Job Number],0)),""),IF(H270="Production",IFERROR(INDEX(tbl_Production[Notes],MATCH(E270&amp;"",tbl_Production[Job Number],0)),""),IF(H270="Consulting",IFERROR(INDEX(tbl_Consulting[Notes],MATCH(E270&amp;"",tbl_Consulting[Job Number],0)),""),""))))</f>
        <v/>
      </c>
    </row>
    <row r="271" ht="15" customHeight="1">
      <c r="A271" s="22" t="n"/>
      <c r="B271" s="23">
        <f>IF(A271="","",EOMONTH(A271,0))</f>
        <v/>
      </c>
      <c r="C271" s="24" t="n"/>
      <c r="D271" s="24" t="n"/>
      <c r="E271" s="24" t="n"/>
      <c r="F271" s="25">
        <f>IF(E271="","",IF(COUNTIF(lst_Jobs,E271&amp;"")&gt;0,"OK","CHECK"))</f>
        <v/>
      </c>
      <c r="G271" s="24" t="n"/>
      <c r="H271" s="24" t="n"/>
      <c r="I271" s="24" t="n"/>
      <c r="J271" s="24" t="n"/>
      <c r="K271" s="24" t="n"/>
      <c r="L271" s="26" t="n"/>
      <c r="M271" s="27">
        <f>IF(L271="","",IF(K271="GST 10%",ROUND(L271*set_GSTRate,2),0))</f>
        <v/>
      </c>
      <c r="N271" s="27">
        <f>IF(L271="","",L271+M271)</f>
        <v/>
      </c>
      <c r="O271" s="24" t="n"/>
      <c r="P271" s="24" t="n"/>
      <c r="Q271" s="24" t="n"/>
      <c r="R271" s="22" t="n"/>
      <c r="S271" s="22" t="n"/>
      <c r="T271" s="24" t="n"/>
      <c r="U271" s="24" t="n"/>
      <c r="V271" s="25">
        <f>IF(COUNTA(A271,D271,C271,L271)=0,"",IF(A271="","No date - sits outside every month",IF(E271="","No job number",IF(F271="CHECK","Job number is not in the Xero job list",IF(I271="","No cost centre",IF(AND(P271="Y",C271=""),"Marked posted to Xero but has no invoice number",IF(AND(L271&lt;&gt;"",K271=""),"No tax code",IF(AND(L271&lt;&gt;"",O271=""),"No revenue GL code",""))))))))</f>
        <v/>
      </c>
      <c r="W271" s="25">
        <f>IF(E271="","",IFERROR(INDEX(lst_JobName,MATCH(E271&amp;"",lst_Jobs,0)),""))</f>
        <v/>
      </c>
      <c r="X271" s="28">
        <f>IF(E271="","",COUNTIFS(tbl_Finance[Job Number],E271&amp;"",tbl_Finance[Ex GST],"&lt;&gt;"))</f>
        <v/>
      </c>
      <c r="Y271" s="27">
        <f>IF(E271="","",SUMIFS(tbl_Finance[Ex GST],tbl_Finance[Job Number],E271&amp;""))</f>
        <v/>
      </c>
      <c r="Z271" s="27">
        <f>IF(E271="","",SUMIFS(tbl_Finance[Ex GST],tbl_Finance[Job Number],E271&amp;"",tbl_Finance[Xero Invoice No],"&lt;&gt;"))</f>
        <v/>
      </c>
      <c r="AA271" s="27">
        <f>IF(E271="","",Y271-Z271)</f>
        <v/>
      </c>
      <c r="AB271" s="25">
        <f>IF(E271="","",IF(H271="Onsite",IFERROR(INDEX(tbl_Onsite[Qwilr Quote],MATCH(E271&amp;"",tbl_Onsite[Job Number],0)),""),IF(H271="Production",IFERROR(INDEX(tbl_Production[Current RMS No],MATCH(E271&amp;"",tbl_Production[Job Number],0)),""),IF(H271="Consulting",IFERROR(INDEX(tbl_Consulting[Qwilr Quote],MATCH(E271&amp;"",tbl_Consulting[Job Number],0)),""),""))))</f>
        <v/>
      </c>
      <c r="AC271" s="25">
        <f>IF(AB271="","",IF(AND(LEFT(AB271,4)&lt;&gt;"http",IF(H271="Production",set_RMSBase,set_QwilrBase)=""),"",HYPERLINK(IF(LEFT(AB271,4)="http",AB271,IF(H271="Production",set_RMSBase,set_QwilrBase)&amp;AB271),"Open")))</f>
        <v/>
      </c>
      <c r="AD271" s="27">
        <f>IF(E271="","",IF(H271="Production",IFERROR(INDEX(tbl_Production[Total Expense],MATCH(E271&amp;"",tbl_Production[Job Number],0)),0),IF(H271="Consulting",IFERROR(INDEX(tbl_Consulting[Total Expense],MATCH(E271&amp;"",tbl_Consulting[Job Number],0)),0),0)))</f>
        <v/>
      </c>
      <c r="AE271" s="27">
        <f>IF(E271="","",Y271-N(AD271))</f>
        <v/>
      </c>
      <c r="AF271" s="29">
        <f>IFERROR(AE271/Y271,"")</f>
        <v/>
      </c>
      <c r="AG271" s="25">
        <f>IF(E271="","",IF(H271="Onsite",IFERROR(INDEX(tbl_Onsite[Notes],MATCH(E271&amp;"",tbl_Onsite[Job Number],0)),""),IF(H271="Production",IFERROR(INDEX(tbl_Production[Notes],MATCH(E271&amp;"",tbl_Production[Job Number],0)),""),IF(H271="Consulting",IFERROR(INDEX(tbl_Consulting[Notes],MATCH(E271&amp;"",tbl_Consulting[Job Number],0)),""),""))))</f>
        <v/>
      </c>
    </row>
    <row r="272" ht="15" customHeight="1">
      <c r="A272" s="22" t="n"/>
      <c r="B272" s="23">
        <f>IF(A272="","",EOMONTH(A272,0))</f>
        <v/>
      </c>
      <c r="C272" s="24" t="n"/>
      <c r="D272" s="24" t="n"/>
      <c r="E272" s="24" t="n"/>
      <c r="F272" s="25">
        <f>IF(E272="","",IF(COUNTIF(lst_Jobs,E272&amp;"")&gt;0,"OK","CHECK"))</f>
        <v/>
      </c>
      <c r="G272" s="24" t="n"/>
      <c r="H272" s="24" t="n"/>
      <c r="I272" s="24" t="n"/>
      <c r="J272" s="24" t="n"/>
      <c r="K272" s="24" t="n"/>
      <c r="L272" s="26" t="n"/>
      <c r="M272" s="27">
        <f>IF(L272="","",IF(K272="GST 10%",ROUND(L272*set_GSTRate,2),0))</f>
        <v/>
      </c>
      <c r="N272" s="27">
        <f>IF(L272="","",L272+M272)</f>
        <v/>
      </c>
      <c r="O272" s="24" t="n"/>
      <c r="P272" s="24" t="n"/>
      <c r="Q272" s="24" t="n"/>
      <c r="R272" s="22" t="n"/>
      <c r="S272" s="22" t="n"/>
      <c r="T272" s="24" t="n"/>
      <c r="U272" s="24" t="n"/>
      <c r="V272" s="25">
        <f>IF(COUNTA(A272,D272,C272,L272)=0,"",IF(A272="","No date - sits outside every month",IF(E272="","No job number",IF(F272="CHECK","Job number is not in the Xero job list",IF(I272="","No cost centre",IF(AND(P272="Y",C272=""),"Marked posted to Xero but has no invoice number",IF(AND(L272&lt;&gt;"",K272=""),"No tax code",IF(AND(L272&lt;&gt;"",O272=""),"No revenue GL code",""))))))))</f>
        <v/>
      </c>
      <c r="W272" s="25">
        <f>IF(E272="","",IFERROR(INDEX(lst_JobName,MATCH(E272&amp;"",lst_Jobs,0)),""))</f>
        <v/>
      </c>
      <c r="X272" s="28">
        <f>IF(E272="","",COUNTIFS(tbl_Finance[Job Number],E272&amp;"",tbl_Finance[Ex GST],"&lt;&gt;"))</f>
        <v/>
      </c>
      <c r="Y272" s="27">
        <f>IF(E272="","",SUMIFS(tbl_Finance[Ex GST],tbl_Finance[Job Number],E272&amp;""))</f>
        <v/>
      </c>
      <c r="Z272" s="27">
        <f>IF(E272="","",SUMIFS(tbl_Finance[Ex GST],tbl_Finance[Job Number],E272&amp;"",tbl_Finance[Xero Invoice No],"&lt;&gt;"))</f>
        <v/>
      </c>
      <c r="AA272" s="27">
        <f>IF(E272="","",Y272-Z272)</f>
        <v/>
      </c>
      <c r="AB272" s="25">
        <f>IF(E272="","",IF(H272="Onsite",IFERROR(INDEX(tbl_Onsite[Qwilr Quote],MATCH(E272&amp;"",tbl_Onsite[Job Number],0)),""),IF(H272="Production",IFERROR(INDEX(tbl_Production[Current RMS No],MATCH(E272&amp;"",tbl_Production[Job Number],0)),""),IF(H272="Consulting",IFERROR(INDEX(tbl_Consulting[Qwilr Quote],MATCH(E272&amp;"",tbl_Consulting[Job Number],0)),""),""))))</f>
        <v/>
      </c>
      <c r="AC272" s="25">
        <f>IF(AB272="","",IF(AND(LEFT(AB272,4)&lt;&gt;"http",IF(H272="Production",set_RMSBase,set_QwilrBase)=""),"",HYPERLINK(IF(LEFT(AB272,4)="http",AB272,IF(H272="Production",set_RMSBase,set_QwilrBase)&amp;AB272),"Open")))</f>
        <v/>
      </c>
      <c r="AD272" s="27">
        <f>IF(E272="","",IF(H272="Production",IFERROR(INDEX(tbl_Production[Total Expense],MATCH(E272&amp;"",tbl_Production[Job Number],0)),0),IF(H272="Consulting",IFERROR(INDEX(tbl_Consulting[Total Expense],MATCH(E272&amp;"",tbl_Consulting[Job Number],0)),0),0)))</f>
        <v/>
      </c>
      <c r="AE272" s="27">
        <f>IF(E272="","",Y272-N(AD272))</f>
        <v/>
      </c>
      <c r="AF272" s="29">
        <f>IFERROR(AE272/Y272,"")</f>
        <v/>
      </c>
      <c r="AG272" s="25">
        <f>IF(E272="","",IF(H272="Onsite",IFERROR(INDEX(tbl_Onsite[Notes],MATCH(E272&amp;"",tbl_Onsite[Job Number],0)),""),IF(H272="Production",IFERROR(INDEX(tbl_Production[Notes],MATCH(E272&amp;"",tbl_Production[Job Number],0)),""),IF(H272="Consulting",IFERROR(INDEX(tbl_Consulting[Notes],MATCH(E272&amp;"",tbl_Consulting[Job Number],0)),""),""))))</f>
        <v/>
      </c>
    </row>
    <row r="273" ht="15" customHeight="1">
      <c r="A273" s="22" t="n"/>
      <c r="B273" s="23">
        <f>IF(A273="","",EOMONTH(A273,0))</f>
        <v/>
      </c>
      <c r="C273" s="24" t="n"/>
      <c r="D273" s="24" t="n"/>
      <c r="E273" s="24" t="n"/>
      <c r="F273" s="25">
        <f>IF(E273="","",IF(COUNTIF(lst_Jobs,E273&amp;"")&gt;0,"OK","CHECK"))</f>
        <v/>
      </c>
      <c r="G273" s="24" t="n"/>
      <c r="H273" s="24" t="n"/>
      <c r="I273" s="24" t="n"/>
      <c r="J273" s="24" t="n"/>
      <c r="K273" s="24" t="n"/>
      <c r="L273" s="26" t="n"/>
      <c r="M273" s="27">
        <f>IF(L273="","",IF(K273="GST 10%",ROUND(L273*set_GSTRate,2),0))</f>
        <v/>
      </c>
      <c r="N273" s="27">
        <f>IF(L273="","",L273+M273)</f>
        <v/>
      </c>
      <c r="O273" s="24" t="n"/>
      <c r="P273" s="24" t="n"/>
      <c r="Q273" s="24" t="n"/>
      <c r="R273" s="22" t="n"/>
      <c r="S273" s="22" t="n"/>
      <c r="T273" s="24" t="n"/>
      <c r="U273" s="24" t="n"/>
      <c r="V273" s="25">
        <f>IF(COUNTA(A273,D273,C273,L273)=0,"",IF(A273="","No date - sits outside every month",IF(E273="","No job number",IF(F273="CHECK","Job number is not in the Xero job list",IF(I273="","No cost centre",IF(AND(P273="Y",C273=""),"Marked posted to Xero but has no invoice number",IF(AND(L273&lt;&gt;"",K273=""),"No tax code",IF(AND(L273&lt;&gt;"",O273=""),"No revenue GL code",""))))))))</f>
        <v/>
      </c>
      <c r="W273" s="25">
        <f>IF(E273="","",IFERROR(INDEX(lst_JobName,MATCH(E273&amp;"",lst_Jobs,0)),""))</f>
        <v/>
      </c>
      <c r="X273" s="28">
        <f>IF(E273="","",COUNTIFS(tbl_Finance[Job Number],E273&amp;"",tbl_Finance[Ex GST],"&lt;&gt;"))</f>
        <v/>
      </c>
      <c r="Y273" s="27">
        <f>IF(E273="","",SUMIFS(tbl_Finance[Ex GST],tbl_Finance[Job Number],E273&amp;""))</f>
        <v/>
      </c>
      <c r="Z273" s="27">
        <f>IF(E273="","",SUMIFS(tbl_Finance[Ex GST],tbl_Finance[Job Number],E273&amp;"",tbl_Finance[Xero Invoice No],"&lt;&gt;"))</f>
        <v/>
      </c>
      <c r="AA273" s="27">
        <f>IF(E273="","",Y273-Z273)</f>
        <v/>
      </c>
      <c r="AB273" s="25">
        <f>IF(E273="","",IF(H273="Onsite",IFERROR(INDEX(tbl_Onsite[Qwilr Quote],MATCH(E273&amp;"",tbl_Onsite[Job Number],0)),""),IF(H273="Production",IFERROR(INDEX(tbl_Production[Current RMS No],MATCH(E273&amp;"",tbl_Production[Job Number],0)),""),IF(H273="Consulting",IFERROR(INDEX(tbl_Consulting[Qwilr Quote],MATCH(E273&amp;"",tbl_Consulting[Job Number],0)),""),""))))</f>
        <v/>
      </c>
      <c r="AC273" s="25">
        <f>IF(AB273="","",IF(AND(LEFT(AB273,4)&lt;&gt;"http",IF(H273="Production",set_RMSBase,set_QwilrBase)=""),"",HYPERLINK(IF(LEFT(AB273,4)="http",AB273,IF(H273="Production",set_RMSBase,set_QwilrBase)&amp;AB273),"Open")))</f>
        <v/>
      </c>
      <c r="AD273" s="27">
        <f>IF(E273="","",IF(H273="Production",IFERROR(INDEX(tbl_Production[Total Expense],MATCH(E273&amp;"",tbl_Production[Job Number],0)),0),IF(H273="Consulting",IFERROR(INDEX(tbl_Consulting[Total Expense],MATCH(E273&amp;"",tbl_Consulting[Job Number],0)),0),0)))</f>
        <v/>
      </c>
      <c r="AE273" s="27">
        <f>IF(E273="","",Y273-N(AD273))</f>
        <v/>
      </c>
      <c r="AF273" s="29">
        <f>IFERROR(AE273/Y273,"")</f>
        <v/>
      </c>
      <c r="AG273" s="25">
        <f>IF(E273="","",IF(H273="Onsite",IFERROR(INDEX(tbl_Onsite[Notes],MATCH(E273&amp;"",tbl_Onsite[Job Number],0)),""),IF(H273="Production",IFERROR(INDEX(tbl_Production[Notes],MATCH(E273&amp;"",tbl_Production[Job Number],0)),""),IF(H273="Consulting",IFERROR(INDEX(tbl_Consulting[Notes],MATCH(E273&amp;"",tbl_Consulting[Job Number],0)),""),""))))</f>
        <v/>
      </c>
    </row>
    <row r="274" ht="15" customHeight="1">
      <c r="A274" s="22" t="n"/>
      <c r="B274" s="23">
        <f>IF(A274="","",EOMONTH(A274,0))</f>
        <v/>
      </c>
      <c r="C274" s="24" t="n"/>
      <c r="D274" s="24" t="n"/>
      <c r="E274" s="24" t="n"/>
      <c r="F274" s="25">
        <f>IF(E274="","",IF(COUNTIF(lst_Jobs,E274&amp;"")&gt;0,"OK","CHECK"))</f>
        <v/>
      </c>
      <c r="G274" s="24" t="n"/>
      <c r="H274" s="24" t="n"/>
      <c r="I274" s="24" t="n"/>
      <c r="J274" s="24" t="n"/>
      <c r="K274" s="24" t="n"/>
      <c r="L274" s="26" t="n"/>
      <c r="M274" s="27">
        <f>IF(L274="","",IF(K274="GST 10%",ROUND(L274*set_GSTRate,2),0))</f>
        <v/>
      </c>
      <c r="N274" s="27">
        <f>IF(L274="","",L274+M274)</f>
        <v/>
      </c>
      <c r="O274" s="24" t="n"/>
      <c r="P274" s="24" t="n"/>
      <c r="Q274" s="24" t="n"/>
      <c r="R274" s="22" t="n"/>
      <c r="S274" s="22" t="n"/>
      <c r="T274" s="24" t="n"/>
      <c r="U274" s="24" t="n"/>
      <c r="V274" s="25">
        <f>IF(COUNTA(A274,D274,C274,L274)=0,"",IF(A274="","No date - sits outside every month",IF(E274="","No job number",IF(F274="CHECK","Job number is not in the Xero job list",IF(I274="","No cost centre",IF(AND(P274="Y",C274=""),"Marked posted to Xero but has no invoice number",IF(AND(L274&lt;&gt;"",K274=""),"No tax code",IF(AND(L274&lt;&gt;"",O274=""),"No revenue GL code",""))))))))</f>
        <v/>
      </c>
      <c r="W274" s="25">
        <f>IF(E274="","",IFERROR(INDEX(lst_JobName,MATCH(E274&amp;"",lst_Jobs,0)),""))</f>
        <v/>
      </c>
      <c r="X274" s="28">
        <f>IF(E274="","",COUNTIFS(tbl_Finance[Job Number],E274&amp;"",tbl_Finance[Ex GST],"&lt;&gt;"))</f>
        <v/>
      </c>
      <c r="Y274" s="27">
        <f>IF(E274="","",SUMIFS(tbl_Finance[Ex GST],tbl_Finance[Job Number],E274&amp;""))</f>
        <v/>
      </c>
      <c r="Z274" s="27">
        <f>IF(E274="","",SUMIFS(tbl_Finance[Ex GST],tbl_Finance[Job Number],E274&amp;"",tbl_Finance[Xero Invoice No],"&lt;&gt;"))</f>
        <v/>
      </c>
      <c r="AA274" s="27">
        <f>IF(E274="","",Y274-Z274)</f>
        <v/>
      </c>
      <c r="AB274" s="25">
        <f>IF(E274="","",IF(H274="Onsite",IFERROR(INDEX(tbl_Onsite[Qwilr Quote],MATCH(E274&amp;"",tbl_Onsite[Job Number],0)),""),IF(H274="Production",IFERROR(INDEX(tbl_Production[Current RMS No],MATCH(E274&amp;"",tbl_Production[Job Number],0)),""),IF(H274="Consulting",IFERROR(INDEX(tbl_Consulting[Qwilr Quote],MATCH(E274&amp;"",tbl_Consulting[Job Number],0)),""),""))))</f>
        <v/>
      </c>
      <c r="AC274" s="25">
        <f>IF(AB274="","",IF(AND(LEFT(AB274,4)&lt;&gt;"http",IF(H274="Production",set_RMSBase,set_QwilrBase)=""),"",HYPERLINK(IF(LEFT(AB274,4)="http",AB274,IF(H274="Production",set_RMSBase,set_QwilrBase)&amp;AB274),"Open")))</f>
        <v/>
      </c>
      <c r="AD274" s="27">
        <f>IF(E274="","",IF(H274="Production",IFERROR(INDEX(tbl_Production[Total Expense],MATCH(E274&amp;"",tbl_Production[Job Number],0)),0),IF(H274="Consulting",IFERROR(INDEX(tbl_Consulting[Total Expense],MATCH(E274&amp;"",tbl_Consulting[Job Number],0)),0),0)))</f>
        <v/>
      </c>
      <c r="AE274" s="27">
        <f>IF(E274="","",Y274-N(AD274))</f>
        <v/>
      </c>
      <c r="AF274" s="29">
        <f>IFERROR(AE274/Y274,"")</f>
        <v/>
      </c>
      <c r="AG274" s="25">
        <f>IF(E274="","",IF(H274="Onsite",IFERROR(INDEX(tbl_Onsite[Notes],MATCH(E274&amp;"",tbl_Onsite[Job Number],0)),""),IF(H274="Production",IFERROR(INDEX(tbl_Production[Notes],MATCH(E274&amp;"",tbl_Production[Job Number],0)),""),IF(H274="Consulting",IFERROR(INDEX(tbl_Consulting[Notes],MATCH(E274&amp;"",tbl_Consulting[Job Number],0)),""),""))))</f>
        <v/>
      </c>
    </row>
    <row r="275" ht="15" customHeight="1">
      <c r="A275" s="22" t="n"/>
      <c r="B275" s="23">
        <f>IF(A275="","",EOMONTH(A275,0))</f>
        <v/>
      </c>
      <c r="C275" s="24" t="n"/>
      <c r="D275" s="24" t="n"/>
      <c r="E275" s="24" t="n"/>
      <c r="F275" s="25">
        <f>IF(E275="","",IF(COUNTIF(lst_Jobs,E275&amp;"")&gt;0,"OK","CHECK"))</f>
        <v/>
      </c>
      <c r="G275" s="24" t="n"/>
      <c r="H275" s="24" t="n"/>
      <c r="I275" s="24" t="n"/>
      <c r="J275" s="24" t="n"/>
      <c r="K275" s="24" t="n"/>
      <c r="L275" s="26" t="n"/>
      <c r="M275" s="27">
        <f>IF(L275="","",IF(K275="GST 10%",ROUND(L275*set_GSTRate,2),0))</f>
        <v/>
      </c>
      <c r="N275" s="27">
        <f>IF(L275="","",L275+M275)</f>
        <v/>
      </c>
      <c r="O275" s="24" t="n"/>
      <c r="P275" s="24" t="n"/>
      <c r="Q275" s="24" t="n"/>
      <c r="R275" s="22" t="n"/>
      <c r="S275" s="22" t="n"/>
      <c r="T275" s="24" t="n"/>
      <c r="U275" s="24" t="n"/>
      <c r="V275" s="25">
        <f>IF(COUNTA(A275,D275,C275,L275)=0,"",IF(A275="","No date - sits outside every month",IF(E275="","No job number",IF(F275="CHECK","Job number is not in the Xero job list",IF(I275="","No cost centre",IF(AND(P275="Y",C275=""),"Marked posted to Xero but has no invoice number",IF(AND(L275&lt;&gt;"",K275=""),"No tax code",IF(AND(L275&lt;&gt;"",O275=""),"No revenue GL code",""))))))))</f>
        <v/>
      </c>
      <c r="W275" s="25">
        <f>IF(E275="","",IFERROR(INDEX(lst_JobName,MATCH(E275&amp;"",lst_Jobs,0)),""))</f>
        <v/>
      </c>
      <c r="X275" s="28">
        <f>IF(E275="","",COUNTIFS(tbl_Finance[Job Number],E275&amp;"",tbl_Finance[Ex GST],"&lt;&gt;"))</f>
        <v/>
      </c>
      <c r="Y275" s="27">
        <f>IF(E275="","",SUMIFS(tbl_Finance[Ex GST],tbl_Finance[Job Number],E275&amp;""))</f>
        <v/>
      </c>
      <c r="Z275" s="27">
        <f>IF(E275="","",SUMIFS(tbl_Finance[Ex GST],tbl_Finance[Job Number],E275&amp;"",tbl_Finance[Xero Invoice No],"&lt;&gt;"))</f>
        <v/>
      </c>
      <c r="AA275" s="27">
        <f>IF(E275="","",Y275-Z275)</f>
        <v/>
      </c>
      <c r="AB275" s="25">
        <f>IF(E275="","",IF(H275="Onsite",IFERROR(INDEX(tbl_Onsite[Qwilr Quote],MATCH(E275&amp;"",tbl_Onsite[Job Number],0)),""),IF(H275="Production",IFERROR(INDEX(tbl_Production[Current RMS No],MATCH(E275&amp;"",tbl_Production[Job Number],0)),""),IF(H275="Consulting",IFERROR(INDEX(tbl_Consulting[Qwilr Quote],MATCH(E275&amp;"",tbl_Consulting[Job Number],0)),""),""))))</f>
        <v/>
      </c>
      <c r="AC275" s="25">
        <f>IF(AB275="","",IF(AND(LEFT(AB275,4)&lt;&gt;"http",IF(H275="Production",set_RMSBase,set_QwilrBase)=""),"",HYPERLINK(IF(LEFT(AB275,4)="http",AB275,IF(H275="Production",set_RMSBase,set_QwilrBase)&amp;AB275),"Open")))</f>
        <v/>
      </c>
      <c r="AD275" s="27">
        <f>IF(E275="","",IF(H275="Production",IFERROR(INDEX(tbl_Production[Total Expense],MATCH(E275&amp;"",tbl_Production[Job Number],0)),0),IF(H275="Consulting",IFERROR(INDEX(tbl_Consulting[Total Expense],MATCH(E275&amp;"",tbl_Consulting[Job Number],0)),0),0)))</f>
        <v/>
      </c>
      <c r="AE275" s="27">
        <f>IF(E275="","",Y275-N(AD275))</f>
        <v/>
      </c>
      <c r="AF275" s="29">
        <f>IFERROR(AE275/Y275,"")</f>
        <v/>
      </c>
      <c r="AG275" s="25">
        <f>IF(E275="","",IF(H275="Onsite",IFERROR(INDEX(tbl_Onsite[Notes],MATCH(E275&amp;"",tbl_Onsite[Job Number],0)),""),IF(H275="Production",IFERROR(INDEX(tbl_Production[Notes],MATCH(E275&amp;"",tbl_Production[Job Number],0)),""),IF(H275="Consulting",IFERROR(INDEX(tbl_Consulting[Notes],MATCH(E275&amp;"",tbl_Consulting[Job Number],0)),""),""))))</f>
        <v/>
      </c>
    </row>
    <row r="276" ht="15" customHeight="1">
      <c r="A276" s="22" t="n"/>
      <c r="B276" s="23">
        <f>IF(A276="","",EOMONTH(A276,0))</f>
        <v/>
      </c>
      <c r="C276" s="24" t="n"/>
      <c r="D276" s="24" t="n"/>
      <c r="E276" s="24" t="n"/>
      <c r="F276" s="25">
        <f>IF(E276="","",IF(COUNTIF(lst_Jobs,E276&amp;"")&gt;0,"OK","CHECK"))</f>
        <v/>
      </c>
      <c r="G276" s="24" t="n"/>
      <c r="H276" s="24" t="n"/>
      <c r="I276" s="24" t="n"/>
      <c r="J276" s="24" t="n"/>
      <c r="K276" s="24" t="n"/>
      <c r="L276" s="26" t="n"/>
      <c r="M276" s="27">
        <f>IF(L276="","",IF(K276="GST 10%",ROUND(L276*set_GSTRate,2),0))</f>
        <v/>
      </c>
      <c r="N276" s="27">
        <f>IF(L276="","",L276+M276)</f>
        <v/>
      </c>
      <c r="O276" s="24" t="n"/>
      <c r="P276" s="24" t="n"/>
      <c r="Q276" s="24" t="n"/>
      <c r="R276" s="22" t="n"/>
      <c r="S276" s="22" t="n"/>
      <c r="T276" s="24" t="n"/>
      <c r="U276" s="24" t="n"/>
      <c r="V276" s="25">
        <f>IF(COUNTA(A276,D276,C276,L276)=0,"",IF(A276="","No date - sits outside every month",IF(E276="","No job number",IF(F276="CHECK","Job number is not in the Xero job list",IF(I276="","No cost centre",IF(AND(P276="Y",C276=""),"Marked posted to Xero but has no invoice number",IF(AND(L276&lt;&gt;"",K276=""),"No tax code",IF(AND(L276&lt;&gt;"",O276=""),"No revenue GL code",""))))))))</f>
        <v/>
      </c>
      <c r="W276" s="25">
        <f>IF(E276="","",IFERROR(INDEX(lst_JobName,MATCH(E276&amp;"",lst_Jobs,0)),""))</f>
        <v/>
      </c>
      <c r="X276" s="28">
        <f>IF(E276="","",COUNTIFS(tbl_Finance[Job Number],E276&amp;"",tbl_Finance[Ex GST],"&lt;&gt;"))</f>
        <v/>
      </c>
      <c r="Y276" s="27">
        <f>IF(E276="","",SUMIFS(tbl_Finance[Ex GST],tbl_Finance[Job Number],E276&amp;""))</f>
        <v/>
      </c>
      <c r="Z276" s="27">
        <f>IF(E276="","",SUMIFS(tbl_Finance[Ex GST],tbl_Finance[Job Number],E276&amp;"",tbl_Finance[Xero Invoice No],"&lt;&gt;"))</f>
        <v/>
      </c>
      <c r="AA276" s="27">
        <f>IF(E276="","",Y276-Z276)</f>
        <v/>
      </c>
      <c r="AB276" s="25">
        <f>IF(E276="","",IF(H276="Onsite",IFERROR(INDEX(tbl_Onsite[Qwilr Quote],MATCH(E276&amp;"",tbl_Onsite[Job Number],0)),""),IF(H276="Production",IFERROR(INDEX(tbl_Production[Current RMS No],MATCH(E276&amp;"",tbl_Production[Job Number],0)),""),IF(H276="Consulting",IFERROR(INDEX(tbl_Consulting[Qwilr Quote],MATCH(E276&amp;"",tbl_Consulting[Job Number],0)),""),""))))</f>
        <v/>
      </c>
      <c r="AC276" s="25">
        <f>IF(AB276="","",IF(AND(LEFT(AB276,4)&lt;&gt;"http",IF(H276="Production",set_RMSBase,set_QwilrBase)=""),"",HYPERLINK(IF(LEFT(AB276,4)="http",AB276,IF(H276="Production",set_RMSBase,set_QwilrBase)&amp;AB276),"Open")))</f>
        <v/>
      </c>
      <c r="AD276" s="27">
        <f>IF(E276="","",IF(H276="Production",IFERROR(INDEX(tbl_Production[Total Expense],MATCH(E276&amp;"",tbl_Production[Job Number],0)),0),IF(H276="Consulting",IFERROR(INDEX(tbl_Consulting[Total Expense],MATCH(E276&amp;"",tbl_Consulting[Job Number],0)),0),0)))</f>
        <v/>
      </c>
      <c r="AE276" s="27">
        <f>IF(E276="","",Y276-N(AD276))</f>
        <v/>
      </c>
      <c r="AF276" s="29">
        <f>IFERROR(AE276/Y276,"")</f>
        <v/>
      </c>
      <c r="AG276" s="25">
        <f>IF(E276="","",IF(H276="Onsite",IFERROR(INDEX(tbl_Onsite[Notes],MATCH(E276&amp;"",tbl_Onsite[Job Number],0)),""),IF(H276="Production",IFERROR(INDEX(tbl_Production[Notes],MATCH(E276&amp;"",tbl_Production[Job Number],0)),""),IF(H276="Consulting",IFERROR(INDEX(tbl_Consulting[Notes],MATCH(E276&amp;"",tbl_Consulting[Job Number],0)),""),""))))</f>
        <v/>
      </c>
    </row>
    <row r="277" ht="15" customHeight="1">
      <c r="A277" s="22" t="n"/>
      <c r="B277" s="23">
        <f>IF(A277="","",EOMONTH(A277,0))</f>
        <v/>
      </c>
      <c r="C277" s="24" t="n"/>
      <c r="D277" s="24" t="n"/>
      <c r="E277" s="24" t="n"/>
      <c r="F277" s="25">
        <f>IF(E277="","",IF(COUNTIF(lst_Jobs,E277&amp;"")&gt;0,"OK","CHECK"))</f>
        <v/>
      </c>
      <c r="G277" s="24" t="n"/>
      <c r="H277" s="24" t="n"/>
      <c r="I277" s="24" t="n"/>
      <c r="J277" s="24" t="n"/>
      <c r="K277" s="24" t="n"/>
      <c r="L277" s="26" t="n"/>
      <c r="M277" s="27">
        <f>IF(L277="","",IF(K277="GST 10%",ROUND(L277*set_GSTRate,2),0))</f>
        <v/>
      </c>
      <c r="N277" s="27">
        <f>IF(L277="","",L277+M277)</f>
        <v/>
      </c>
      <c r="O277" s="24" t="n"/>
      <c r="P277" s="24" t="n"/>
      <c r="Q277" s="24" t="n"/>
      <c r="R277" s="22" t="n"/>
      <c r="S277" s="22" t="n"/>
      <c r="T277" s="24" t="n"/>
      <c r="U277" s="24" t="n"/>
      <c r="V277" s="25">
        <f>IF(COUNTA(A277,D277,C277,L277)=0,"",IF(A277="","No date - sits outside every month",IF(E277="","No job number",IF(F277="CHECK","Job number is not in the Xero job list",IF(I277="","No cost centre",IF(AND(P277="Y",C277=""),"Marked posted to Xero but has no invoice number",IF(AND(L277&lt;&gt;"",K277=""),"No tax code",IF(AND(L277&lt;&gt;"",O277=""),"No revenue GL code",""))))))))</f>
        <v/>
      </c>
      <c r="W277" s="25">
        <f>IF(E277="","",IFERROR(INDEX(lst_JobName,MATCH(E277&amp;"",lst_Jobs,0)),""))</f>
        <v/>
      </c>
      <c r="X277" s="28">
        <f>IF(E277="","",COUNTIFS(tbl_Finance[Job Number],E277&amp;"",tbl_Finance[Ex GST],"&lt;&gt;"))</f>
        <v/>
      </c>
      <c r="Y277" s="27">
        <f>IF(E277="","",SUMIFS(tbl_Finance[Ex GST],tbl_Finance[Job Number],E277&amp;""))</f>
        <v/>
      </c>
      <c r="Z277" s="27">
        <f>IF(E277="","",SUMIFS(tbl_Finance[Ex GST],tbl_Finance[Job Number],E277&amp;"",tbl_Finance[Xero Invoice No],"&lt;&gt;"))</f>
        <v/>
      </c>
      <c r="AA277" s="27">
        <f>IF(E277="","",Y277-Z277)</f>
        <v/>
      </c>
      <c r="AB277" s="25">
        <f>IF(E277="","",IF(H277="Onsite",IFERROR(INDEX(tbl_Onsite[Qwilr Quote],MATCH(E277&amp;"",tbl_Onsite[Job Number],0)),""),IF(H277="Production",IFERROR(INDEX(tbl_Production[Current RMS No],MATCH(E277&amp;"",tbl_Production[Job Number],0)),""),IF(H277="Consulting",IFERROR(INDEX(tbl_Consulting[Qwilr Quote],MATCH(E277&amp;"",tbl_Consulting[Job Number],0)),""),""))))</f>
        <v/>
      </c>
      <c r="AC277" s="25">
        <f>IF(AB277="","",IF(AND(LEFT(AB277,4)&lt;&gt;"http",IF(H277="Production",set_RMSBase,set_QwilrBase)=""),"",HYPERLINK(IF(LEFT(AB277,4)="http",AB277,IF(H277="Production",set_RMSBase,set_QwilrBase)&amp;AB277),"Open")))</f>
        <v/>
      </c>
      <c r="AD277" s="27">
        <f>IF(E277="","",IF(H277="Production",IFERROR(INDEX(tbl_Production[Total Expense],MATCH(E277&amp;"",tbl_Production[Job Number],0)),0),IF(H277="Consulting",IFERROR(INDEX(tbl_Consulting[Total Expense],MATCH(E277&amp;"",tbl_Consulting[Job Number],0)),0),0)))</f>
        <v/>
      </c>
      <c r="AE277" s="27">
        <f>IF(E277="","",Y277-N(AD277))</f>
        <v/>
      </c>
      <c r="AF277" s="29">
        <f>IFERROR(AE277/Y277,"")</f>
        <v/>
      </c>
      <c r="AG277" s="25">
        <f>IF(E277="","",IF(H277="Onsite",IFERROR(INDEX(tbl_Onsite[Notes],MATCH(E277&amp;"",tbl_Onsite[Job Number],0)),""),IF(H277="Production",IFERROR(INDEX(tbl_Production[Notes],MATCH(E277&amp;"",tbl_Production[Job Number],0)),""),IF(H277="Consulting",IFERROR(INDEX(tbl_Consulting[Notes],MATCH(E277&amp;"",tbl_Consulting[Job Number],0)),""),""))))</f>
        <v/>
      </c>
    </row>
    <row r="278" ht="15" customHeight="1">
      <c r="A278" s="22" t="n"/>
      <c r="B278" s="23">
        <f>IF(A278="","",EOMONTH(A278,0))</f>
        <v/>
      </c>
      <c r="C278" s="24" t="n"/>
      <c r="D278" s="24" t="n"/>
      <c r="E278" s="24" t="n"/>
      <c r="F278" s="25">
        <f>IF(E278="","",IF(COUNTIF(lst_Jobs,E278&amp;"")&gt;0,"OK","CHECK"))</f>
        <v/>
      </c>
      <c r="G278" s="24" t="n"/>
      <c r="H278" s="24" t="n"/>
      <c r="I278" s="24" t="n"/>
      <c r="J278" s="24" t="n"/>
      <c r="K278" s="24" t="n"/>
      <c r="L278" s="26" t="n"/>
      <c r="M278" s="27">
        <f>IF(L278="","",IF(K278="GST 10%",ROUND(L278*set_GSTRate,2),0))</f>
        <v/>
      </c>
      <c r="N278" s="27">
        <f>IF(L278="","",L278+M278)</f>
        <v/>
      </c>
      <c r="O278" s="24" t="n"/>
      <c r="P278" s="24" t="n"/>
      <c r="Q278" s="24" t="n"/>
      <c r="R278" s="22" t="n"/>
      <c r="S278" s="22" t="n"/>
      <c r="T278" s="24" t="n"/>
      <c r="U278" s="24" t="n"/>
      <c r="V278" s="25">
        <f>IF(COUNTA(A278,D278,C278,L278)=0,"",IF(A278="","No date - sits outside every month",IF(E278="","No job number",IF(F278="CHECK","Job number is not in the Xero job list",IF(I278="","No cost centre",IF(AND(P278="Y",C278=""),"Marked posted to Xero but has no invoice number",IF(AND(L278&lt;&gt;"",K278=""),"No tax code",IF(AND(L278&lt;&gt;"",O278=""),"No revenue GL code",""))))))))</f>
        <v/>
      </c>
      <c r="W278" s="25">
        <f>IF(E278="","",IFERROR(INDEX(lst_JobName,MATCH(E278&amp;"",lst_Jobs,0)),""))</f>
        <v/>
      </c>
      <c r="X278" s="28">
        <f>IF(E278="","",COUNTIFS(tbl_Finance[Job Number],E278&amp;"",tbl_Finance[Ex GST],"&lt;&gt;"))</f>
        <v/>
      </c>
      <c r="Y278" s="27">
        <f>IF(E278="","",SUMIFS(tbl_Finance[Ex GST],tbl_Finance[Job Number],E278&amp;""))</f>
        <v/>
      </c>
      <c r="Z278" s="27">
        <f>IF(E278="","",SUMIFS(tbl_Finance[Ex GST],tbl_Finance[Job Number],E278&amp;"",tbl_Finance[Xero Invoice No],"&lt;&gt;"))</f>
        <v/>
      </c>
      <c r="AA278" s="27">
        <f>IF(E278="","",Y278-Z278)</f>
        <v/>
      </c>
      <c r="AB278" s="25">
        <f>IF(E278="","",IF(H278="Onsite",IFERROR(INDEX(tbl_Onsite[Qwilr Quote],MATCH(E278&amp;"",tbl_Onsite[Job Number],0)),""),IF(H278="Production",IFERROR(INDEX(tbl_Production[Current RMS No],MATCH(E278&amp;"",tbl_Production[Job Number],0)),""),IF(H278="Consulting",IFERROR(INDEX(tbl_Consulting[Qwilr Quote],MATCH(E278&amp;"",tbl_Consulting[Job Number],0)),""),""))))</f>
        <v/>
      </c>
      <c r="AC278" s="25">
        <f>IF(AB278="","",IF(AND(LEFT(AB278,4)&lt;&gt;"http",IF(H278="Production",set_RMSBase,set_QwilrBase)=""),"",HYPERLINK(IF(LEFT(AB278,4)="http",AB278,IF(H278="Production",set_RMSBase,set_QwilrBase)&amp;AB278),"Open")))</f>
        <v/>
      </c>
      <c r="AD278" s="27">
        <f>IF(E278="","",IF(H278="Production",IFERROR(INDEX(tbl_Production[Total Expense],MATCH(E278&amp;"",tbl_Production[Job Number],0)),0),IF(H278="Consulting",IFERROR(INDEX(tbl_Consulting[Total Expense],MATCH(E278&amp;"",tbl_Consulting[Job Number],0)),0),0)))</f>
        <v/>
      </c>
      <c r="AE278" s="27">
        <f>IF(E278="","",Y278-N(AD278))</f>
        <v/>
      </c>
      <c r="AF278" s="29">
        <f>IFERROR(AE278/Y278,"")</f>
        <v/>
      </c>
      <c r="AG278" s="25">
        <f>IF(E278="","",IF(H278="Onsite",IFERROR(INDEX(tbl_Onsite[Notes],MATCH(E278&amp;"",tbl_Onsite[Job Number],0)),""),IF(H278="Production",IFERROR(INDEX(tbl_Production[Notes],MATCH(E278&amp;"",tbl_Production[Job Number],0)),""),IF(H278="Consulting",IFERROR(INDEX(tbl_Consulting[Notes],MATCH(E278&amp;"",tbl_Consulting[Job Number],0)),""),""))))</f>
        <v/>
      </c>
    </row>
    <row r="279" ht="15" customHeight="1">
      <c r="A279" s="22" t="n"/>
      <c r="B279" s="23">
        <f>IF(A279="","",EOMONTH(A279,0))</f>
        <v/>
      </c>
      <c r="C279" s="24" t="n"/>
      <c r="D279" s="24" t="n"/>
      <c r="E279" s="24" t="n"/>
      <c r="F279" s="25">
        <f>IF(E279="","",IF(COUNTIF(lst_Jobs,E279&amp;"")&gt;0,"OK","CHECK"))</f>
        <v/>
      </c>
      <c r="G279" s="24" t="n"/>
      <c r="H279" s="24" t="n"/>
      <c r="I279" s="24" t="n"/>
      <c r="J279" s="24" t="n"/>
      <c r="K279" s="24" t="n"/>
      <c r="L279" s="26" t="n"/>
      <c r="M279" s="27">
        <f>IF(L279="","",IF(K279="GST 10%",ROUND(L279*set_GSTRate,2),0))</f>
        <v/>
      </c>
      <c r="N279" s="27">
        <f>IF(L279="","",L279+M279)</f>
        <v/>
      </c>
      <c r="O279" s="24" t="n"/>
      <c r="P279" s="24" t="n"/>
      <c r="Q279" s="24" t="n"/>
      <c r="R279" s="22" t="n"/>
      <c r="S279" s="22" t="n"/>
      <c r="T279" s="24" t="n"/>
      <c r="U279" s="24" t="n"/>
      <c r="V279" s="25">
        <f>IF(COUNTA(A279,D279,C279,L279)=0,"",IF(A279="","No date - sits outside every month",IF(E279="","No job number",IF(F279="CHECK","Job number is not in the Xero job list",IF(I279="","No cost centre",IF(AND(P279="Y",C279=""),"Marked posted to Xero but has no invoice number",IF(AND(L279&lt;&gt;"",K279=""),"No tax code",IF(AND(L279&lt;&gt;"",O279=""),"No revenue GL code",""))))))))</f>
        <v/>
      </c>
      <c r="W279" s="25">
        <f>IF(E279="","",IFERROR(INDEX(lst_JobName,MATCH(E279&amp;"",lst_Jobs,0)),""))</f>
        <v/>
      </c>
      <c r="X279" s="28">
        <f>IF(E279="","",COUNTIFS(tbl_Finance[Job Number],E279&amp;"",tbl_Finance[Ex GST],"&lt;&gt;"))</f>
        <v/>
      </c>
      <c r="Y279" s="27">
        <f>IF(E279="","",SUMIFS(tbl_Finance[Ex GST],tbl_Finance[Job Number],E279&amp;""))</f>
        <v/>
      </c>
      <c r="Z279" s="27">
        <f>IF(E279="","",SUMIFS(tbl_Finance[Ex GST],tbl_Finance[Job Number],E279&amp;"",tbl_Finance[Xero Invoice No],"&lt;&gt;"))</f>
        <v/>
      </c>
      <c r="AA279" s="27">
        <f>IF(E279="","",Y279-Z279)</f>
        <v/>
      </c>
      <c r="AB279" s="25">
        <f>IF(E279="","",IF(H279="Onsite",IFERROR(INDEX(tbl_Onsite[Qwilr Quote],MATCH(E279&amp;"",tbl_Onsite[Job Number],0)),""),IF(H279="Production",IFERROR(INDEX(tbl_Production[Current RMS No],MATCH(E279&amp;"",tbl_Production[Job Number],0)),""),IF(H279="Consulting",IFERROR(INDEX(tbl_Consulting[Qwilr Quote],MATCH(E279&amp;"",tbl_Consulting[Job Number],0)),""),""))))</f>
        <v/>
      </c>
      <c r="AC279" s="25">
        <f>IF(AB279="","",IF(AND(LEFT(AB279,4)&lt;&gt;"http",IF(H279="Production",set_RMSBase,set_QwilrBase)=""),"",HYPERLINK(IF(LEFT(AB279,4)="http",AB279,IF(H279="Production",set_RMSBase,set_QwilrBase)&amp;AB279),"Open")))</f>
        <v/>
      </c>
      <c r="AD279" s="27">
        <f>IF(E279="","",IF(H279="Production",IFERROR(INDEX(tbl_Production[Total Expense],MATCH(E279&amp;"",tbl_Production[Job Number],0)),0),IF(H279="Consulting",IFERROR(INDEX(tbl_Consulting[Total Expense],MATCH(E279&amp;"",tbl_Consulting[Job Number],0)),0),0)))</f>
        <v/>
      </c>
      <c r="AE279" s="27">
        <f>IF(E279="","",Y279-N(AD279))</f>
        <v/>
      </c>
      <c r="AF279" s="29">
        <f>IFERROR(AE279/Y279,"")</f>
        <v/>
      </c>
      <c r="AG279" s="25">
        <f>IF(E279="","",IF(H279="Onsite",IFERROR(INDEX(tbl_Onsite[Notes],MATCH(E279&amp;"",tbl_Onsite[Job Number],0)),""),IF(H279="Production",IFERROR(INDEX(tbl_Production[Notes],MATCH(E279&amp;"",tbl_Production[Job Number],0)),""),IF(H279="Consulting",IFERROR(INDEX(tbl_Consulting[Notes],MATCH(E279&amp;"",tbl_Consulting[Job Number],0)),""),""))))</f>
        <v/>
      </c>
    </row>
    <row r="280" ht="15" customHeight="1">
      <c r="A280" s="22" t="n"/>
      <c r="B280" s="23">
        <f>IF(A280="","",EOMONTH(A280,0))</f>
        <v/>
      </c>
      <c r="C280" s="24" t="n"/>
      <c r="D280" s="24" t="n"/>
      <c r="E280" s="24" t="n"/>
      <c r="F280" s="25">
        <f>IF(E280="","",IF(COUNTIF(lst_Jobs,E280&amp;"")&gt;0,"OK","CHECK"))</f>
        <v/>
      </c>
      <c r="G280" s="24" t="n"/>
      <c r="H280" s="24" t="n"/>
      <c r="I280" s="24" t="n"/>
      <c r="J280" s="24" t="n"/>
      <c r="K280" s="24" t="n"/>
      <c r="L280" s="26" t="n"/>
      <c r="M280" s="27">
        <f>IF(L280="","",IF(K280="GST 10%",ROUND(L280*set_GSTRate,2),0))</f>
        <v/>
      </c>
      <c r="N280" s="27">
        <f>IF(L280="","",L280+M280)</f>
        <v/>
      </c>
      <c r="O280" s="24" t="n"/>
      <c r="P280" s="24" t="n"/>
      <c r="Q280" s="24" t="n"/>
      <c r="R280" s="22" t="n"/>
      <c r="S280" s="22" t="n"/>
      <c r="T280" s="24" t="n"/>
      <c r="U280" s="24" t="n"/>
      <c r="V280" s="25">
        <f>IF(COUNTA(A280,D280,C280,L280)=0,"",IF(A280="","No date - sits outside every month",IF(E280="","No job number",IF(F280="CHECK","Job number is not in the Xero job list",IF(I280="","No cost centre",IF(AND(P280="Y",C280=""),"Marked posted to Xero but has no invoice number",IF(AND(L280&lt;&gt;"",K280=""),"No tax code",IF(AND(L280&lt;&gt;"",O280=""),"No revenue GL code",""))))))))</f>
        <v/>
      </c>
      <c r="W280" s="25">
        <f>IF(E280="","",IFERROR(INDEX(lst_JobName,MATCH(E280&amp;"",lst_Jobs,0)),""))</f>
        <v/>
      </c>
      <c r="X280" s="28">
        <f>IF(E280="","",COUNTIFS(tbl_Finance[Job Number],E280&amp;"",tbl_Finance[Ex GST],"&lt;&gt;"))</f>
        <v/>
      </c>
      <c r="Y280" s="27">
        <f>IF(E280="","",SUMIFS(tbl_Finance[Ex GST],tbl_Finance[Job Number],E280&amp;""))</f>
        <v/>
      </c>
      <c r="Z280" s="27">
        <f>IF(E280="","",SUMIFS(tbl_Finance[Ex GST],tbl_Finance[Job Number],E280&amp;"",tbl_Finance[Xero Invoice No],"&lt;&gt;"))</f>
        <v/>
      </c>
      <c r="AA280" s="27">
        <f>IF(E280="","",Y280-Z280)</f>
        <v/>
      </c>
      <c r="AB280" s="25">
        <f>IF(E280="","",IF(H280="Onsite",IFERROR(INDEX(tbl_Onsite[Qwilr Quote],MATCH(E280&amp;"",tbl_Onsite[Job Number],0)),""),IF(H280="Production",IFERROR(INDEX(tbl_Production[Current RMS No],MATCH(E280&amp;"",tbl_Production[Job Number],0)),""),IF(H280="Consulting",IFERROR(INDEX(tbl_Consulting[Qwilr Quote],MATCH(E280&amp;"",tbl_Consulting[Job Number],0)),""),""))))</f>
        <v/>
      </c>
      <c r="AC280" s="25">
        <f>IF(AB280="","",IF(AND(LEFT(AB280,4)&lt;&gt;"http",IF(H280="Production",set_RMSBase,set_QwilrBase)=""),"",HYPERLINK(IF(LEFT(AB280,4)="http",AB280,IF(H280="Production",set_RMSBase,set_QwilrBase)&amp;AB280),"Open")))</f>
        <v/>
      </c>
      <c r="AD280" s="27">
        <f>IF(E280="","",IF(H280="Production",IFERROR(INDEX(tbl_Production[Total Expense],MATCH(E280&amp;"",tbl_Production[Job Number],0)),0),IF(H280="Consulting",IFERROR(INDEX(tbl_Consulting[Total Expense],MATCH(E280&amp;"",tbl_Consulting[Job Number],0)),0),0)))</f>
        <v/>
      </c>
      <c r="AE280" s="27">
        <f>IF(E280="","",Y280-N(AD280))</f>
        <v/>
      </c>
      <c r="AF280" s="29">
        <f>IFERROR(AE280/Y280,"")</f>
        <v/>
      </c>
      <c r="AG280" s="25">
        <f>IF(E280="","",IF(H280="Onsite",IFERROR(INDEX(tbl_Onsite[Notes],MATCH(E280&amp;"",tbl_Onsite[Job Number],0)),""),IF(H280="Production",IFERROR(INDEX(tbl_Production[Notes],MATCH(E280&amp;"",tbl_Production[Job Number],0)),""),IF(H280="Consulting",IFERROR(INDEX(tbl_Consulting[Notes],MATCH(E280&amp;"",tbl_Consulting[Job Number],0)),""),""))))</f>
        <v/>
      </c>
    </row>
    <row r="281" ht="15" customHeight="1">
      <c r="A281" s="22" t="n"/>
      <c r="B281" s="23">
        <f>IF(A281="","",EOMONTH(A281,0))</f>
        <v/>
      </c>
      <c r="C281" s="24" t="n"/>
      <c r="D281" s="24" t="n"/>
      <c r="E281" s="24" t="n"/>
      <c r="F281" s="25">
        <f>IF(E281="","",IF(COUNTIF(lst_Jobs,E281&amp;"")&gt;0,"OK","CHECK"))</f>
        <v/>
      </c>
      <c r="G281" s="24" t="n"/>
      <c r="H281" s="24" t="n"/>
      <c r="I281" s="24" t="n"/>
      <c r="J281" s="24" t="n"/>
      <c r="K281" s="24" t="n"/>
      <c r="L281" s="26" t="n"/>
      <c r="M281" s="27">
        <f>IF(L281="","",IF(K281="GST 10%",ROUND(L281*set_GSTRate,2),0))</f>
        <v/>
      </c>
      <c r="N281" s="27">
        <f>IF(L281="","",L281+M281)</f>
        <v/>
      </c>
      <c r="O281" s="24" t="n"/>
      <c r="P281" s="24" t="n"/>
      <c r="Q281" s="24" t="n"/>
      <c r="R281" s="22" t="n"/>
      <c r="S281" s="22" t="n"/>
      <c r="T281" s="24" t="n"/>
      <c r="U281" s="24" t="n"/>
      <c r="V281" s="25">
        <f>IF(COUNTA(A281,D281,C281,L281)=0,"",IF(A281="","No date - sits outside every month",IF(E281="","No job number",IF(F281="CHECK","Job number is not in the Xero job list",IF(I281="","No cost centre",IF(AND(P281="Y",C281=""),"Marked posted to Xero but has no invoice number",IF(AND(L281&lt;&gt;"",K281=""),"No tax code",IF(AND(L281&lt;&gt;"",O281=""),"No revenue GL code",""))))))))</f>
        <v/>
      </c>
      <c r="W281" s="25">
        <f>IF(E281="","",IFERROR(INDEX(lst_JobName,MATCH(E281&amp;"",lst_Jobs,0)),""))</f>
        <v/>
      </c>
      <c r="X281" s="28">
        <f>IF(E281="","",COUNTIFS(tbl_Finance[Job Number],E281&amp;"",tbl_Finance[Ex GST],"&lt;&gt;"))</f>
        <v/>
      </c>
      <c r="Y281" s="27">
        <f>IF(E281="","",SUMIFS(tbl_Finance[Ex GST],tbl_Finance[Job Number],E281&amp;""))</f>
        <v/>
      </c>
      <c r="Z281" s="27">
        <f>IF(E281="","",SUMIFS(tbl_Finance[Ex GST],tbl_Finance[Job Number],E281&amp;"",tbl_Finance[Xero Invoice No],"&lt;&gt;"))</f>
        <v/>
      </c>
      <c r="AA281" s="27">
        <f>IF(E281="","",Y281-Z281)</f>
        <v/>
      </c>
      <c r="AB281" s="25">
        <f>IF(E281="","",IF(H281="Onsite",IFERROR(INDEX(tbl_Onsite[Qwilr Quote],MATCH(E281&amp;"",tbl_Onsite[Job Number],0)),""),IF(H281="Production",IFERROR(INDEX(tbl_Production[Current RMS No],MATCH(E281&amp;"",tbl_Production[Job Number],0)),""),IF(H281="Consulting",IFERROR(INDEX(tbl_Consulting[Qwilr Quote],MATCH(E281&amp;"",tbl_Consulting[Job Number],0)),""),""))))</f>
        <v/>
      </c>
      <c r="AC281" s="25">
        <f>IF(AB281="","",IF(AND(LEFT(AB281,4)&lt;&gt;"http",IF(H281="Production",set_RMSBase,set_QwilrBase)=""),"",HYPERLINK(IF(LEFT(AB281,4)="http",AB281,IF(H281="Production",set_RMSBase,set_QwilrBase)&amp;AB281),"Open")))</f>
        <v/>
      </c>
      <c r="AD281" s="27">
        <f>IF(E281="","",IF(H281="Production",IFERROR(INDEX(tbl_Production[Total Expense],MATCH(E281&amp;"",tbl_Production[Job Number],0)),0),IF(H281="Consulting",IFERROR(INDEX(tbl_Consulting[Total Expense],MATCH(E281&amp;"",tbl_Consulting[Job Number],0)),0),0)))</f>
        <v/>
      </c>
      <c r="AE281" s="27">
        <f>IF(E281="","",Y281-N(AD281))</f>
        <v/>
      </c>
      <c r="AF281" s="29">
        <f>IFERROR(AE281/Y281,"")</f>
        <v/>
      </c>
      <c r="AG281" s="25">
        <f>IF(E281="","",IF(H281="Onsite",IFERROR(INDEX(tbl_Onsite[Notes],MATCH(E281&amp;"",tbl_Onsite[Job Number],0)),""),IF(H281="Production",IFERROR(INDEX(tbl_Production[Notes],MATCH(E281&amp;"",tbl_Production[Job Number],0)),""),IF(H281="Consulting",IFERROR(INDEX(tbl_Consulting[Notes],MATCH(E281&amp;"",tbl_Consulting[Job Number],0)),""),""))))</f>
        <v/>
      </c>
    </row>
    <row r="282" ht="15" customHeight="1">
      <c r="A282" s="22" t="n"/>
      <c r="B282" s="23">
        <f>IF(A282="","",EOMONTH(A282,0))</f>
        <v/>
      </c>
      <c r="C282" s="24" t="n"/>
      <c r="D282" s="24" t="n"/>
      <c r="E282" s="24" t="n"/>
      <c r="F282" s="25">
        <f>IF(E282="","",IF(COUNTIF(lst_Jobs,E282&amp;"")&gt;0,"OK","CHECK"))</f>
        <v/>
      </c>
      <c r="G282" s="24" t="n"/>
      <c r="H282" s="24" t="n"/>
      <c r="I282" s="24" t="n"/>
      <c r="J282" s="24" t="n"/>
      <c r="K282" s="24" t="n"/>
      <c r="L282" s="26" t="n"/>
      <c r="M282" s="27">
        <f>IF(L282="","",IF(K282="GST 10%",ROUND(L282*set_GSTRate,2),0))</f>
        <v/>
      </c>
      <c r="N282" s="27">
        <f>IF(L282="","",L282+M282)</f>
        <v/>
      </c>
      <c r="O282" s="24" t="n"/>
      <c r="P282" s="24" t="n"/>
      <c r="Q282" s="24" t="n"/>
      <c r="R282" s="22" t="n"/>
      <c r="S282" s="22" t="n"/>
      <c r="T282" s="24" t="n"/>
      <c r="U282" s="24" t="n"/>
      <c r="V282" s="25">
        <f>IF(COUNTA(A282,D282,C282,L282)=0,"",IF(A282="","No date - sits outside every month",IF(E282="","No job number",IF(F282="CHECK","Job number is not in the Xero job list",IF(I282="","No cost centre",IF(AND(P282="Y",C282=""),"Marked posted to Xero but has no invoice number",IF(AND(L282&lt;&gt;"",K282=""),"No tax code",IF(AND(L282&lt;&gt;"",O282=""),"No revenue GL code",""))))))))</f>
        <v/>
      </c>
      <c r="W282" s="25">
        <f>IF(E282="","",IFERROR(INDEX(lst_JobName,MATCH(E282&amp;"",lst_Jobs,0)),""))</f>
        <v/>
      </c>
      <c r="X282" s="28">
        <f>IF(E282="","",COUNTIFS(tbl_Finance[Job Number],E282&amp;"",tbl_Finance[Ex GST],"&lt;&gt;"))</f>
        <v/>
      </c>
      <c r="Y282" s="27">
        <f>IF(E282="","",SUMIFS(tbl_Finance[Ex GST],tbl_Finance[Job Number],E282&amp;""))</f>
        <v/>
      </c>
      <c r="Z282" s="27">
        <f>IF(E282="","",SUMIFS(tbl_Finance[Ex GST],tbl_Finance[Job Number],E282&amp;"",tbl_Finance[Xero Invoice No],"&lt;&gt;"))</f>
        <v/>
      </c>
      <c r="AA282" s="27">
        <f>IF(E282="","",Y282-Z282)</f>
        <v/>
      </c>
      <c r="AB282" s="25">
        <f>IF(E282="","",IF(H282="Onsite",IFERROR(INDEX(tbl_Onsite[Qwilr Quote],MATCH(E282&amp;"",tbl_Onsite[Job Number],0)),""),IF(H282="Production",IFERROR(INDEX(tbl_Production[Current RMS No],MATCH(E282&amp;"",tbl_Production[Job Number],0)),""),IF(H282="Consulting",IFERROR(INDEX(tbl_Consulting[Qwilr Quote],MATCH(E282&amp;"",tbl_Consulting[Job Number],0)),""),""))))</f>
        <v/>
      </c>
      <c r="AC282" s="25">
        <f>IF(AB282="","",IF(AND(LEFT(AB282,4)&lt;&gt;"http",IF(H282="Production",set_RMSBase,set_QwilrBase)=""),"",HYPERLINK(IF(LEFT(AB282,4)="http",AB282,IF(H282="Production",set_RMSBase,set_QwilrBase)&amp;AB282),"Open")))</f>
        <v/>
      </c>
      <c r="AD282" s="27">
        <f>IF(E282="","",IF(H282="Production",IFERROR(INDEX(tbl_Production[Total Expense],MATCH(E282&amp;"",tbl_Production[Job Number],0)),0),IF(H282="Consulting",IFERROR(INDEX(tbl_Consulting[Total Expense],MATCH(E282&amp;"",tbl_Consulting[Job Number],0)),0),0)))</f>
        <v/>
      </c>
      <c r="AE282" s="27">
        <f>IF(E282="","",Y282-N(AD282))</f>
        <v/>
      </c>
      <c r="AF282" s="29">
        <f>IFERROR(AE282/Y282,"")</f>
        <v/>
      </c>
      <c r="AG282" s="25">
        <f>IF(E282="","",IF(H282="Onsite",IFERROR(INDEX(tbl_Onsite[Notes],MATCH(E282&amp;"",tbl_Onsite[Job Number],0)),""),IF(H282="Production",IFERROR(INDEX(tbl_Production[Notes],MATCH(E282&amp;"",tbl_Production[Job Number],0)),""),IF(H282="Consulting",IFERROR(INDEX(tbl_Consulting[Notes],MATCH(E282&amp;"",tbl_Consulting[Job Number],0)),""),""))))</f>
        <v/>
      </c>
    </row>
    <row r="283" ht="15" customHeight="1">
      <c r="A283" s="22" t="n"/>
      <c r="B283" s="23">
        <f>IF(A283="","",EOMONTH(A283,0))</f>
        <v/>
      </c>
      <c r="C283" s="24" t="n"/>
      <c r="D283" s="24" t="n"/>
      <c r="E283" s="24" t="n"/>
      <c r="F283" s="25">
        <f>IF(E283="","",IF(COUNTIF(lst_Jobs,E283&amp;"")&gt;0,"OK","CHECK"))</f>
        <v/>
      </c>
      <c r="G283" s="24" t="n"/>
      <c r="H283" s="24" t="n"/>
      <c r="I283" s="24" t="n"/>
      <c r="J283" s="24" t="n"/>
      <c r="K283" s="24" t="n"/>
      <c r="L283" s="26" t="n"/>
      <c r="M283" s="27">
        <f>IF(L283="","",IF(K283="GST 10%",ROUND(L283*set_GSTRate,2),0))</f>
        <v/>
      </c>
      <c r="N283" s="27">
        <f>IF(L283="","",L283+M283)</f>
        <v/>
      </c>
      <c r="O283" s="24" t="n"/>
      <c r="P283" s="24" t="n"/>
      <c r="Q283" s="24" t="n"/>
      <c r="R283" s="22" t="n"/>
      <c r="S283" s="22" t="n"/>
      <c r="T283" s="24" t="n"/>
      <c r="U283" s="24" t="n"/>
      <c r="V283" s="25">
        <f>IF(COUNTA(A283,D283,C283,L283)=0,"",IF(A283="","No date - sits outside every month",IF(E283="","No job number",IF(F283="CHECK","Job number is not in the Xero job list",IF(I283="","No cost centre",IF(AND(P283="Y",C283=""),"Marked posted to Xero but has no invoice number",IF(AND(L283&lt;&gt;"",K283=""),"No tax code",IF(AND(L283&lt;&gt;"",O283=""),"No revenue GL code",""))))))))</f>
        <v/>
      </c>
      <c r="W283" s="25">
        <f>IF(E283="","",IFERROR(INDEX(lst_JobName,MATCH(E283&amp;"",lst_Jobs,0)),""))</f>
        <v/>
      </c>
      <c r="X283" s="28">
        <f>IF(E283="","",COUNTIFS(tbl_Finance[Job Number],E283&amp;"",tbl_Finance[Ex GST],"&lt;&gt;"))</f>
        <v/>
      </c>
      <c r="Y283" s="27">
        <f>IF(E283="","",SUMIFS(tbl_Finance[Ex GST],tbl_Finance[Job Number],E283&amp;""))</f>
        <v/>
      </c>
      <c r="Z283" s="27">
        <f>IF(E283="","",SUMIFS(tbl_Finance[Ex GST],tbl_Finance[Job Number],E283&amp;"",tbl_Finance[Xero Invoice No],"&lt;&gt;"))</f>
        <v/>
      </c>
      <c r="AA283" s="27">
        <f>IF(E283="","",Y283-Z283)</f>
        <v/>
      </c>
      <c r="AB283" s="25">
        <f>IF(E283="","",IF(H283="Onsite",IFERROR(INDEX(tbl_Onsite[Qwilr Quote],MATCH(E283&amp;"",tbl_Onsite[Job Number],0)),""),IF(H283="Production",IFERROR(INDEX(tbl_Production[Current RMS No],MATCH(E283&amp;"",tbl_Production[Job Number],0)),""),IF(H283="Consulting",IFERROR(INDEX(tbl_Consulting[Qwilr Quote],MATCH(E283&amp;"",tbl_Consulting[Job Number],0)),""),""))))</f>
        <v/>
      </c>
      <c r="AC283" s="25">
        <f>IF(AB283="","",IF(AND(LEFT(AB283,4)&lt;&gt;"http",IF(H283="Production",set_RMSBase,set_QwilrBase)=""),"",HYPERLINK(IF(LEFT(AB283,4)="http",AB283,IF(H283="Production",set_RMSBase,set_QwilrBase)&amp;AB283),"Open")))</f>
        <v/>
      </c>
      <c r="AD283" s="27">
        <f>IF(E283="","",IF(H283="Production",IFERROR(INDEX(tbl_Production[Total Expense],MATCH(E283&amp;"",tbl_Production[Job Number],0)),0),IF(H283="Consulting",IFERROR(INDEX(tbl_Consulting[Total Expense],MATCH(E283&amp;"",tbl_Consulting[Job Number],0)),0),0)))</f>
        <v/>
      </c>
      <c r="AE283" s="27">
        <f>IF(E283="","",Y283-N(AD283))</f>
        <v/>
      </c>
      <c r="AF283" s="29">
        <f>IFERROR(AE283/Y283,"")</f>
        <v/>
      </c>
      <c r="AG283" s="25">
        <f>IF(E283="","",IF(H283="Onsite",IFERROR(INDEX(tbl_Onsite[Notes],MATCH(E283&amp;"",tbl_Onsite[Job Number],0)),""),IF(H283="Production",IFERROR(INDEX(tbl_Production[Notes],MATCH(E283&amp;"",tbl_Production[Job Number],0)),""),IF(H283="Consulting",IFERROR(INDEX(tbl_Consulting[Notes],MATCH(E283&amp;"",tbl_Consulting[Job Number],0)),""),""))))</f>
        <v/>
      </c>
    </row>
    <row r="284" ht="15" customHeight="1">
      <c r="A284" s="22" t="n"/>
      <c r="B284" s="23">
        <f>IF(A284="","",EOMONTH(A284,0))</f>
        <v/>
      </c>
      <c r="C284" s="24" t="n"/>
      <c r="D284" s="24" t="n"/>
      <c r="E284" s="24" t="n"/>
      <c r="F284" s="25">
        <f>IF(E284="","",IF(COUNTIF(lst_Jobs,E284&amp;"")&gt;0,"OK","CHECK"))</f>
        <v/>
      </c>
      <c r="G284" s="24" t="n"/>
      <c r="H284" s="24" t="n"/>
      <c r="I284" s="24" t="n"/>
      <c r="J284" s="24" t="n"/>
      <c r="K284" s="24" t="n"/>
      <c r="L284" s="26" t="n"/>
      <c r="M284" s="27">
        <f>IF(L284="","",IF(K284="GST 10%",ROUND(L284*set_GSTRate,2),0))</f>
        <v/>
      </c>
      <c r="N284" s="27">
        <f>IF(L284="","",L284+M284)</f>
        <v/>
      </c>
      <c r="O284" s="24" t="n"/>
      <c r="P284" s="24" t="n"/>
      <c r="Q284" s="24" t="n"/>
      <c r="R284" s="22" t="n"/>
      <c r="S284" s="22" t="n"/>
      <c r="T284" s="24" t="n"/>
      <c r="U284" s="24" t="n"/>
      <c r="V284" s="25">
        <f>IF(COUNTA(A284,D284,C284,L284)=0,"",IF(A284="","No date - sits outside every month",IF(E284="","No job number",IF(F284="CHECK","Job number is not in the Xero job list",IF(I284="","No cost centre",IF(AND(P284="Y",C284=""),"Marked posted to Xero but has no invoice number",IF(AND(L284&lt;&gt;"",K284=""),"No tax code",IF(AND(L284&lt;&gt;"",O284=""),"No revenue GL code",""))))))))</f>
        <v/>
      </c>
      <c r="W284" s="25">
        <f>IF(E284="","",IFERROR(INDEX(lst_JobName,MATCH(E284&amp;"",lst_Jobs,0)),""))</f>
        <v/>
      </c>
      <c r="X284" s="28">
        <f>IF(E284="","",COUNTIFS(tbl_Finance[Job Number],E284&amp;"",tbl_Finance[Ex GST],"&lt;&gt;"))</f>
        <v/>
      </c>
      <c r="Y284" s="27">
        <f>IF(E284="","",SUMIFS(tbl_Finance[Ex GST],tbl_Finance[Job Number],E284&amp;""))</f>
        <v/>
      </c>
      <c r="Z284" s="27">
        <f>IF(E284="","",SUMIFS(tbl_Finance[Ex GST],tbl_Finance[Job Number],E284&amp;"",tbl_Finance[Xero Invoice No],"&lt;&gt;"))</f>
        <v/>
      </c>
      <c r="AA284" s="27">
        <f>IF(E284="","",Y284-Z284)</f>
        <v/>
      </c>
      <c r="AB284" s="25">
        <f>IF(E284="","",IF(H284="Onsite",IFERROR(INDEX(tbl_Onsite[Qwilr Quote],MATCH(E284&amp;"",tbl_Onsite[Job Number],0)),""),IF(H284="Production",IFERROR(INDEX(tbl_Production[Current RMS No],MATCH(E284&amp;"",tbl_Production[Job Number],0)),""),IF(H284="Consulting",IFERROR(INDEX(tbl_Consulting[Qwilr Quote],MATCH(E284&amp;"",tbl_Consulting[Job Number],0)),""),""))))</f>
        <v/>
      </c>
      <c r="AC284" s="25">
        <f>IF(AB284="","",IF(AND(LEFT(AB284,4)&lt;&gt;"http",IF(H284="Production",set_RMSBase,set_QwilrBase)=""),"",HYPERLINK(IF(LEFT(AB284,4)="http",AB284,IF(H284="Production",set_RMSBase,set_QwilrBase)&amp;AB284),"Open")))</f>
        <v/>
      </c>
      <c r="AD284" s="27">
        <f>IF(E284="","",IF(H284="Production",IFERROR(INDEX(tbl_Production[Total Expense],MATCH(E284&amp;"",tbl_Production[Job Number],0)),0),IF(H284="Consulting",IFERROR(INDEX(tbl_Consulting[Total Expense],MATCH(E284&amp;"",tbl_Consulting[Job Number],0)),0),0)))</f>
        <v/>
      </c>
      <c r="AE284" s="27">
        <f>IF(E284="","",Y284-N(AD284))</f>
        <v/>
      </c>
      <c r="AF284" s="29">
        <f>IFERROR(AE284/Y284,"")</f>
        <v/>
      </c>
      <c r="AG284" s="25">
        <f>IF(E284="","",IF(H284="Onsite",IFERROR(INDEX(tbl_Onsite[Notes],MATCH(E284&amp;"",tbl_Onsite[Job Number],0)),""),IF(H284="Production",IFERROR(INDEX(tbl_Production[Notes],MATCH(E284&amp;"",tbl_Production[Job Number],0)),""),IF(H284="Consulting",IFERROR(INDEX(tbl_Consulting[Notes],MATCH(E284&amp;"",tbl_Consulting[Job Number],0)),""),""))))</f>
        <v/>
      </c>
    </row>
    <row r="285" ht="15" customHeight="1">
      <c r="A285" s="22" t="n"/>
      <c r="B285" s="23">
        <f>IF(A285="","",EOMONTH(A285,0))</f>
        <v/>
      </c>
      <c r="C285" s="24" t="n"/>
      <c r="D285" s="24" t="n"/>
      <c r="E285" s="24" t="n"/>
      <c r="F285" s="25">
        <f>IF(E285="","",IF(COUNTIF(lst_Jobs,E285&amp;"")&gt;0,"OK","CHECK"))</f>
        <v/>
      </c>
      <c r="G285" s="24" t="n"/>
      <c r="H285" s="24" t="n"/>
      <c r="I285" s="24" t="n"/>
      <c r="J285" s="24" t="n"/>
      <c r="K285" s="24" t="n"/>
      <c r="L285" s="26" t="n"/>
      <c r="M285" s="27">
        <f>IF(L285="","",IF(K285="GST 10%",ROUND(L285*set_GSTRate,2),0))</f>
        <v/>
      </c>
      <c r="N285" s="27">
        <f>IF(L285="","",L285+M285)</f>
        <v/>
      </c>
      <c r="O285" s="24" t="n"/>
      <c r="P285" s="24" t="n"/>
      <c r="Q285" s="24" t="n"/>
      <c r="R285" s="22" t="n"/>
      <c r="S285" s="22" t="n"/>
      <c r="T285" s="24" t="n"/>
      <c r="U285" s="24" t="n"/>
      <c r="V285" s="25">
        <f>IF(COUNTA(A285,D285,C285,L285)=0,"",IF(A285="","No date - sits outside every month",IF(E285="","No job number",IF(F285="CHECK","Job number is not in the Xero job list",IF(I285="","No cost centre",IF(AND(P285="Y",C285=""),"Marked posted to Xero but has no invoice number",IF(AND(L285&lt;&gt;"",K285=""),"No tax code",IF(AND(L285&lt;&gt;"",O285=""),"No revenue GL code",""))))))))</f>
        <v/>
      </c>
      <c r="W285" s="25">
        <f>IF(E285="","",IFERROR(INDEX(lst_JobName,MATCH(E285&amp;"",lst_Jobs,0)),""))</f>
        <v/>
      </c>
      <c r="X285" s="28">
        <f>IF(E285="","",COUNTIFS(tbl_Finance[Job Number],E285&amp;"",tbl_Finance[Ex GST],"&lt;&gt;"))</f>
        <v/>
      </c>
      <c r="Y285" s="27">
        <f>IF(E285="","",SUMIFS(tbl_Finance[Ex GST],tbl_Finance[Job Number],E285&amp;""))</f>
        <v/>
      </c>
      <c r="Z285" s="27">
        <f>IF(E285="","",SUMIFS(tbl_Finance[Ex GST],tbl_Finance[Job Number],E285&amp;"",tbl_Finance[Xero Invoice No],"&lt;&gt;"))</f>
        <v/>
      </c>
      <c r="AA285" s="27">
        <f>IF(E285="","",Y285-Z285)</f>
        <v/>
      </c>
      <c r="AB285" s="25">
        <f>IF(E285="","",IF(H285="Onsite",IFERROR(INDEX(tbl_Onsite[Qwilr Quote],MATCH(E285&amp;"",tbl_Onsite[Job Number],0)),""),IF(H285="Production",IFERROR(INDEX(tbl_Production[Current RMS No],MATCH(E285&amp;"",tbl_Production[Job Number],0)),""),IF(H285="Consulting",IFERROR(INDEX(tbl_Consulting[Qwilr Quote],MATCH(E285&amp;"",tbl_Consulting[Job Number],0)),""),""))))</f>
        <v/>
      </c>
      <c r="AC285" s="25">
        <f>IF(AB285="","",IF(AND(LEFT(AB285,4)&lt;&gt;"http",IF(H285="Production",set_RMSBase,set_QwilrBase)=""),"",HYPERLINK(IF(LEFT(AB285,4)="http",AB285,IF(H285="Production",set_RMSBase,set_QwilrBase)&amp;AB285),"Open")))</f>
        <v/>
      </c>
      <c r="AD285" s="27">
        <f>IF(E285="","",IF(H285="Production",IFERROR(INDEX(tbl_Production[Total Expense],MATCH(E285&amp;"",tbl_Production[Job Number],0)),0),IF(H285="Consulting",IFERROR(INDEX(tbl_Consulting[Total Expense],MATCH(E285&amp;"",tbl_Consulting[Job Number],0)),0),0)))</f>
        <v/>
      </c>
      <c r="AE285" s="27">
        <f>IF(E285="","",Y285-N(AD285))</f>
        <v/>
      </c>
      <c r="AF285" s="29">
        <f>IFERROR(AE285/Y285,"")</f>
        <v/>
      </c>
      <c r="AG285" s="25">
        <f>IF(E285="","",IF(H285="Onsite",IFERROR(INDEX(tbl_Onsite[Notes],MATCH(E285&amp;"",tbl_Onsite[Job Number],0)),""),IF(H285="Production",IFERROR(INDEX(tbl_Production[Notes],MATCH(E285&amp;"",tbl_Production[Job Number],0)),""),IF(H285="Consulting",IFERROR(INDEX(tbl_Consulting[Notes],MATCH(E285&amp;"",tbl_Consulting[Job Number],0)),""),""))))</f>
        <v/>
      </c>
    </row>
    <row r="286" ht="15" customHeight="1">
      <c r="A286" s="22" t="n"/>
      <c r="B286" s="23">
        <f>IF(A286="","",EOMONTH(A286,0))</f>
        <v/>
      </c>
      <c r="C286" s="24" t="n"/>
      <c r="D286" s="24" t="n"/>
      <c r="E286" s="24" t="n"/>
      <c r="F286" s="25">
        <f>IF(E286="","",IF(COUNTIF(lst_Jobs,E286&amp;"")&gt;0,"OK","CHECK"))</f>
        <v/>
      </c>
      <c r="G286" s="24" t="n"/>
      <c r="H286" s="24" t="n"/>
      <c r="I286" s="24" t="n"/>
      <c r="J286" s="24" t="n"/>
      <c r="K286" s="24" t="n"/>
      <c r="L286" s="26" t="n"/>
      <c r="M286" s="27">
        <f>IF(L286="","",IF(K286="GST 10%",ROUND(L286*set_GSTRate,2),0))</f>
        <v/>
      </c>
      <c r="N286" s="27">
        <f>IF(L286="","",L286+M286)</f>
        <v/>
      </c>
      <c r="O286" s="24" t="n"/>
      <c r="P286" s="24" t="n"/>
      <c r="Q286" s="24" t="n"/>
      <c r="R286" s="22" t="n"/>
      <c r="S286" s="22" t="n"/>
      <c r="T286" s="24" t="n"/>
      <c r="U286" s="24" t="n"/>
      <c r="V286" s="25">
        <f>IF(COUNTA(A286,D286,C286,L286)=0,"",IF(A286="","No date - sits outside every month",IF(E286="","No job number",IF(F286="CHECK","Job number is not in the Xero job list",IF(I286="","No cost centre",IF(AND(P286="Y",C286=""),"Marked posted to Xero but has no invoice number",IF(AND(L286&lt;&gt;"",K286=""),"No tax code",IF(AND(L286&lt;&gt;"",O286=""),"No revenue GL code",""))))))))</f>
        <v/>
      </c>
      <c r="W286" s="25">
        <f>IF(E286="","",IFERROR(INDEX(lst_JobName,MATCH(E286&amp;"",lst_Jobs,0)),""))</f>
        <v/>
      </c>
      <c r="X286" s="28">
        <f>IF(E286="","",COUNTIFS(tbl_Finance[Job Number],E286&amp;"",tbl_Finance[Ex GST],"&lt;&gt;"))</f>
        <v/>
      </c>
      <c r="Y286" s="27">
        <f>IF(E286="","",SUMIFS(tbl_Finance[Ex GST],tbl_Finance[Job Number],E286&amp;""))</f>
        <v/>
      </c>
      <c r="Z286" s="27">
        <f>IF(E286="","",SUMIFS(tbl_Finance[Ex GST],tbl_Finance[Job Number],E286&amp;"",tbl_Finance[Xero Invoice No],"&lt;&gt;"))</f>
        <v/>
      </c>
      <c r="AA286" s="27">
        <f>IF(E286="","",Y286-Z286)</f>
        <v/>
      </c>
      <c r="AB286" s="25">
        <f>IF(E286="","",IF(H286="Onsite",IFERROR(INDEX(tbl_Onsite[Qwilr Quote],MATCH(E286&amp;"",tbl_Onsite[Job Number],0)),""),IF(H286="Production",IFERROR(INDEX(tbl_Production[Current RMS No],MATCH(E286&amp;"",tbl_Production[Job Number],0)),""),IF(H286="Consulting",IFERROR(INDEX(tbl_Consulting[Qwilr Quote],MATCH(E286&amp;"",tbl_Consulting[Job Number],0)),""),""))))</f>
        <v/>
      </c>
      <c r="AC286" s="25">
        <f>IF(AB286="","",IF(AND(LEFT(AB286,4)&lt;&gt;"http",IF(H286="Production",set_RMSBase,set_QwilrBase)=""),"",HYPERLINK(IF(LEFT(AB286,4)="http",AB286,IF(H286="Production",set_RMSBase,set_QwilrBase)&amp;AB286),"Open")))</f>
        <v/>
      </c>
      <c r="AD286" s="27">
        <f>IF(E286="","",IF(H286="Production",IFERROR(INDEX(tbl_Production[Total Expense],MATCH(E286&amp;"",tbl_Production[Job Number],0)),0),IF(H286="Consulting",IFERROR(INDEX(tbl_Consulting[Total Expense],MATCH(E286&amp;"",tbl_Consulting[Job Number],0)),0),0)))</f>
        <v/>
      </c>
      <c r="AE286" s="27">
        <f>IF(E286="","",Y286-N(AD286))</f>
        <v/>
      </c>
      <c r="AF286" s="29">
        <f>IFERROR(AE286/Y286,"")</f>
        <v/>
      </c>
      <c r="AG286" s="25">
        <f>IF(E286="","",IF(H286="Onsite",IFERROR(INDEX(tbl_Onsite[Notes],MATCH(E286&amp;"",tbl_Onsite[Job Number],0)),""),IF(H286="Production",IFERROR(INDEX(tbl_Production[Notes],MATCH(E286&amp;"",tbl_Production[Job Number],0)),""),IF(H286="Consulting",IFERROR(INDEX(tbl_Consulting[Notes],MATCH(E286&amp;"",tbl_Consulting[Job Number],0)),""),""))))</f>
        <v/>
      </c>
    </row>
    <row r="287" ht="15" customHeight="1">
      <c r="A287" s="22" t="n"/>
      <c r="B287" s="23">
        <f>IF(A287="","",EOMONTH(A287,0))</f>
        <v/>
      </c>
      <c r="C287" s="24" t="n"/>
      <c r="D287" s="24" t="n"/>
      <c r="E287" s="24" t="n"/>
      <c r="F287" s="25">
        <f>IF(E287="","",IF(COUNTIF(lst_Jobs,E287&amp;"")&gt;0,"OK","CHECK"))</f>
        <v/>
      </c>
      <c r="G287" s="24" t="n"/>
      <c r="H287" s="24" t="n"/>
      <c r="I287" s="24" t="n"/>
      <c r="J287" s="24" t="n"/>
      <c r="K287" s="24" t="n"/>
      <c r="L287" s="26" t="n"/>
      <c r="M287" s="27">
        <f>IF(L287="","",IF(K287="GST 10%",ROUND(L287*set_GSTRate,2),0))</f>
        <v/>
      </c>
      <c r="N287" s="27">
        <f>IF(L287="","",L287+M287)</f>
        <v/>
      </c>
      <c r="O287" s="24" t="n"/>
      <c r="P287" s="24" t="n"/>
      <c r="Q287" s="24" t="n"/>
      <c r="R287" s="22" t="n"/>
      <c r="S287" s="22" t="n"/>
      <c r="T287" s="24" t="n"/>
      <c r="U287" s="24" t="n"/>
      <c r="V287" s="25">
        <f>IF(COUNTA(A287,D287,C287,L287)=0,"",IF(A287="","No date - sits outside every month",IF(E287="","No job number",IF(F287="CHECK","Job number is not in the Xero job list",IF(I287="","No cost centre",IF(AND(P287="Y",C287=""),"Marked posted to Xero but has no invoice number",IF(AND(L287&lt;&gt;"",K287=""),"No tax code",IF(AND(L287&lt;&gt;"",O287=""),"No revenue GL code",""))))))))</f>
        <v/>
      </c>
      <c r="W287" s="25">
        <f>IF(E287="","",IFERROR(INDEX(lst_JobName,MATCH(E287&amp;"",lst_Jobs,0)),""))</f>
        <v/>
      </c>
      <c r="X287" s="28">
        <f>IF(E287="","",COUNTIFS(tbl_Finance[Job Number],E287&amp;"",tbl_Finance[Ex GST],"&lt;&gt;"))</f>
        <v/>
      </c>
      <c r="Y287" s="27">
        <f>IF(E287="","",SUMIFS(tbl_Finance[Ex GST],tbl_Finance[Job Number],E287&amp;""))</f>
        <v/>
      </c>
      <c r="Z287" s="27">
        <f>IF(E287="","",SUMIFS(tbl_Finance[Ex GST],tbl_Finance[Job Number],E287&amp;"",tbl_Finance[Xero Invoice No],"&lt;&gt;"))</f>
        <v/>
      </c>
      <c r="AA287" s="27">
        <f>IF(E287="","",Y287-Z287)</f>
        <v/>
      </c>
      <c r="AB287" s="25">
        <f>IF(E287="","",IF(H287="Onsite",IFERROR(INDEX(tbl_Onsite[Qwilr Quote],MATCH(E287&amp;"",tbl_Onsite[Job Number],0)),""),IF(H287="Production",IFERROR(INDEX(tbl_Production[Current RMS No],MATCH(E287&amp;"",tbl_Production[Job Number],0)),""),IF(H287="Consulting",IFERROR(INDEX(tbl_Consulting[Qwilr Quote],MATCH(E287&amp;"",tbl_Consulting[Job Number],0)),""),""))))</f>
        <v/>
      </c>
      <c r="AC287" s="25">
        <f>IF(AB287="","",IF(AND(LEFT(AB287,4)&lt;&gt;"http",IF(H287="Production",set_RMSBase,set_QwilrBase)=""),"",HYPERLINK(IF(LEFT(AB287,4)="http",AB287,IF(H287="Production",set_RMSBase,set_QwilrBase)&amp;AB287),"Open")))</f>
        <v/>
      </c>
      <c r="AD287" s="27">
        <f>IF(E287="","",IF(H287="Production",IFERROR(INDEX(tbl_Production[Total Expense],MATCH(E287&amp;"",tbl_Production[Job Number],0)),0),IF(H287="Consulting",IFERROR(INDEX(tbl_Consulting[Total Expense],MATCH(E287&amp;"",tbl_Consulting[Job Number],0)),0),0)))</f>
        <v/>
      </c>
      <c r="AE287" s="27">
        <f>IF(E287="","",Y287-N(AD287))</f>
        <v/>
      </c>
      <c r="AF287" s="29">
        <f>IFERROR(AE287/Y287,"")</f>
        <v/>
      </c>
      <c r="AG287" s="25">
        <f>IF(E287="","",IF(H287="Onsite",IFERROR(INDEX(tbl_Onsite[Notes],MATCH(E287&amp;"",tbl_Onsite[Job Number],0)),""),IF(H287="Production",IFERROR(INDEX(tbl_Production[Notes],MATCH(E287&amp;"",tbl_Production[Job Number],0)),""),IF(H287="Consulting",IFERROR(INDEX(tbl_Consulting[Notes],MATCH(E287&amp;"",tbl_Consulting[Job Number],0)),""),""))))</f>
        <v/>
      </c>
    </row>
    <row r="288" ht="15" customHeight="1">
      <c r="A288" s="22" t="n"/>
      <c r="B288" s="23">
        <f>IF(A288="","",EOMONTH(A288,0))</f>
        <v/>
      </c>
      <c r="C288" s="24" t="n"/>
      <c r="D288" s="24" t="n"/>
      <c r="E288" s="24" t="n"/>
      <c r="F288" s="25">
        <f>IF(E288="","",IF(COUNTIF(lst_Jobs,E288&amp;"")&gt;0,"OK","CHECK"))</f>
        <v/>
      </c>
      <c r="G288" s="24" t="n"/>
      <c r="H288" s="24" t="n"/>
      <c r="I288" s="24" t="n"/>
      <c r="J288" s="24" t="n"/>
      <c r="K288" s="24" t="n"/>
      <c r="L288" s="26" t="n"/>
      <c r="M288" s="27">
        <f>IF(L288="","",IF(K288="GST 10%",ROUND(L288*set_GSTRate,2),0))</f>
        <v/>
      </c>
      <c r="N288" s="27">
        <f>IF(L288="","",L288+M288)</f>
        <v/>
      </c>
      <c r="O288" s="24" t="n"/>
      <c r="P288" s="24" t="n"/>
      <c r="Q288" s="24" t="n"/>
      <c r="R288" s="22" t="n"/>
      <c r="S288" s="22" t="n"/>
      <c r="T288" s="24" t="n"/>
      <c r="U288" s="24" t="n"/>
      <c r="V288" s="25">
        <f>IF(COUNTA(A288,D288,C288,L288)=0,"",IF(A288="","No date - sits outside every month",IF(E288="","No job number",IF(F288="CHECK","Job number is not in the Xero job list",IF(I288="","No cost centre",IF(AND(P288="Y",C288=""),"Marked posted to Xero but has no invoice number",IF(AND(L288&lt;&gt;"",K288=""),"No tax code",IF(AND(L288&lt;&gt;"",O288=""),"No revenue GL code",""))))))))</f>
        <v/>
      </c>
      <c r="W288" s="25">
        <f>IF(E288="","",IFERROR(INDEX(lst_JobName,MATCH(E288&amp;"",lst_Jobs,0)),""))</f>
        <v/>
      </c>
      <c r="X288" s="28">
        <f>IF(E288="","",COUNTIFS(tbl_Finance[Job Number],E288&amp;"",tbl_Finance[Ex GST],"&lt;&gt;"))</f>
        <v/>
      </c>
      <c r="Y288" s="27">
        <f>IF(E288="","",SUMIFS(tbl_Finance[Ex GST],tbl_Finance[Job Number],E288&amp;""))</f>
        <v/>
      </c>
      <c r="Z288" s="27">
        <f>IF(E288="","",SUMIFS(tbl_Finance[Ex GST],tbl_Finance[Job Number],E288&amp;"",tbl_Finance[Xero Invoice No],"&lt;&gt;"))</f>
        <v/>
      </c>
      <c r="AA288" s="27">
        <f>IF(E288="","",Y288-Z288)</f>
        <v/>
      </c>
      <c r="AB288" s="25">
        <f>IF(E288="","",IF(H288="Onsite",IFERROR(INDEX(tbl_Onsite[Qwilr Quote],MATCH(E288&amp;"",tbl_Onsite[Job Number],0)),""),IF(H288="Production",IFERROR(INDEX(tbl_Production[Current RMS No],MATCH(E288&amp;"",tbl_Production[Job Number],0)),""),IF(H288="Consulting",IFERROR(INDEX(tbl_Consulting[Qwilr Quote],MATCH(E288&amp;"",tbl_Consulting[Job Number],0)),""),""))))</f>
        <v/>
      </c>
      <c r="AC288" s="25">
        <f>IF(AB288="","",IF(AND(LEFT(AB288,4)&lt;&gt;"http",IF(H288="Production",set_RMSBase,set_QwilrBase)=""),"",HYPERLINK(IF(LEFT(AB288,4)="http",AB288,IF(H288="Production",set_RMSBase,set_QwilrBase)&amp;AB288),"Open")))</f>
        <v/>
      </c>
      <c r="AD288" s="27">
        <f>IF(E288="","",IF(H288="Production",IFERROR(INDEX(tbl_Production[Total Expense],MATCH(E288&amp;"",tbl_Production[Job Number],0)),0),IF(H288="Consulting",IFERROR(INDEX(tbl_Consulting[Total Expense],MATCH(E288&amp;"",tbl_Consulting[Job Number],0)),0),0)))</f>
        <v/>
      </c>
      <c r="AE288" s="27">
        <f>IF(E288="","",Y288-N(AD288))</f>
        <v/>
      </c>
      <c r="AF288" s="29">
        <f>IFERROR(AE288/Y288,"")</f>
        <v/>
      </c>
      <c r="AG288" s="25">
        <f>IF(E288="","",IF(H288="Onsite",IFERROR(INDEX(tbl_Onsite[Notes],MATCH(E288&amp;"",tbl_Onsite[Job Number],0)),""),IF(H288="Production",IFERROR(INDEX(tbl_Production[Notes],MATCH(E288&amp;"",tbl_Production[Job Number],0)),""),IF(H288="Consulting",IFERROR(INDEX(tbl_Consulting[Notes],MATCH(E288&amp;"",tbl_Consulting[Job Number],0)),""),""))))</f>
        <v/>
      </c>
    </row>
    <row r="289" ht="15" customHeight="1">
      <c r="A289" s="22" t="n"/>
      <c r="B289" s="23">
        <f>IF(A289="","",EOMONTH(A289,0))</f>
        <v/>
      </c>
      <c r="C289" s="24" t="n"/>
      <c r="D289" s="24" t="n"/>
      <c r="E289" s="24" t="n"/>
      <c r="F289" s="25">
        <f>IF(E289="","",IF(COUNTIF(lst_Jobs,E289&amp;"")&gt;0,"OK","CHECK"))</f>
        <v/>
      </c>
      <c r="G289" s="24" t="n"/>
      <c r="H289" s="24" t="n"/>
      <c r="I289" s="24" t="n"/>
      <c r="J289" s="24" t="n"/>
      <c r="K289" s="24" t="n"/>
      <c r="L289" s="26" t="n"/>
      <c r="M289" s="27">
        <f>IF(L289="","",IF(K289="GST 10%",ROUND(L289*set_GSTRate,2),0))</f>
        <v/>
      </c>
      <c r="N289" s="27">
        <f>IF(L289="","",L289+M289)</f>
        <v/>
      </c>
      <c r="O289" s="24" t="n"/>
      <c r="P289" s="24" t="n"/>
      <c r="Q289" s="24" t="n"/>
      <c r="R289" s="22" t="n"/>
      <c r="S289" s="22" t="n"/>
      <c r="T289" s="24" t="n"/>
      <c r="U289" s="24" t="n"/>
      <c r="V289" s="25">
        <f>IF(COUNTA(A289,D289,C289,L289)=0,"",IF(A289="","No date - sits outside every month",IF(E289="","No job number",IF(F289="CHECK","Job number is not in the Xero job list",IF(I289="","No cost centre",IF(AND(P289="Y",C289=""),"Marked posted to Xero but has no invoice number",IF(AND(L289&lt;&gt;"",K289=""),"No tax code",IF(AND(L289&lt;&gt;"",O289=""),"No revenue GL code",""))))))))</f>
        <v/>
      </c>
      <c r="W289" s="25">
        <f>IF(E289="","",IFERROR(INDEX(lst_JobName,MATCH(E289&amp;"",lst_Jobs,0)),""))</f>
        <v/>
      </c>
      <c r="X289" s="28">
        <f>IF(E289="","",COUNTIFS(tbl_Finance[Job Number],E289&amp;"",tbl_Finance[Ex GST],"&lt;&gt;"))</f>
        <v/>
      </c>
      <c r="Y289" s="27">
        <f>IF(E289="","",SUMIFS(tbl_Finance[Ex GST],tbl_Finance[Job Number],E289&amp;""))</f>
        <v/>
      </c>
      <c r="Z289" s="27">
        <f>IF(E289="","",SUMIFS(tbl_Finance[Ex GST],tbl_Finance[Job Number],E289&amp;"",tbl_Finance[Xero Invoice No],"&lt;&gt;"))</f>
        <v/>
      </c>
      <c r="AA289" s="27">
        <f>IF(E289="","",Y289-Z289)</f>
        <v/>
      </c>
      <c r="AB289" s="25">
        <f>IF(E289="","",IF(H289="Onsite",IFERROR(INDEX(tbl_Onsite[Qwilr Quote],MATCH(E289&amp;"",tbl_Onsite[Job Number],0)),""),IF(H289="Production",IFERROR(INDEX(tbl_Production[Current RMS No],MATCH(E289&amp;"",tbl_Production[Job Number],0)),""),IF(H289="Consulting",IFERROR(INDEX(tbl_Consulting[Qwilr Quote],MATCH(E289&amp;"",tbl_Consulting[Job Number],0)),""),""))))</f>
        <v/>
      </c>
      <c r="AC289" s="25">
        <f>IF(AB289="","",IF(AND(LEFT(AB289,4)&lt;&gt;"http",IF(H289="Production",set_RMSBase,set_QwilrBase)=""),"",HYPERLINK(IF(LEFT(AB289,4)="http",AB289,IF(H289="Production",set_RMSBase,set_QwilrBase)&amp;AB289),"Open")))</f>
        <v/>
      </c>
      <c r="AD289" s="27">
        <f>IF(E289="","",IF(H289="Production",IFERROR(INDEX(tbl_Production[Total Expense],MATCH(E289&amp;"",tbl_Production[Job Number],0)),0),IF(H289="Consulting",IFERROR(INDEX(tbl_Consulting[Total Expense],MATCH(E289&amp;"",tbl_Consulting[Job Number],0)),0),0)))</f>
        <v/>
      </c>
      <c r="AE289" s="27">
        <f>IF(E289="","",Y289-N(AD289))</f>
        <v/>
      </c>
      <c r="AF289" s="29">
        <f>IFERROR(AE289/Y289,"")</f>
        <v/>
      </c>
      <c r="AG289" s="25">
        <f>IF(E289="","",IF(H289="Onsite",IFERROR(INDEX(tbl_Onsite[Notes],MATCH(E289&amp;"",tbl_Onsite[Job Number],0)),""),IF(H289="Production",IFERROR(INDEX(tbl_Production[Notes],MATCH(E289&amp;"",tbl_Production[Job Number],0)),""),IF(H289="Consulting",IFERROR(INDEX(tbl_Consulting[Notes],MATCH(E289&amp;"",tbl_Consulting[Job Number],0)),""),""))))</f>
        <v/>
      </c>
    </row>
    <row r="290" ht="15" customHeight="1">
      <c r="A290" s="22" t="n"/>
      <c r="B290" s="23">
        <f>IF(A290="","",EOMONTH(A290,0))</f>
        <v/>
      </c>
      <c r="C290" s="24" t="n"/>
      <c r="D290" s="24" t="n"/>
      <c r="E290" s="24" t="n"/>
      <c r="F290" s="25">
        <f>IF(E290="","",IF(COUNTIF(lst_Jobs,E290&amp;"")&gt;0,"OK","CHECK"))</f>
        <v/>
      </c>
      <c r="G290" s="24" t="n"/>
      <c r="H290" s="24" t="n"/>
      <c r="I290" s="24" t="n"/>
      <c r="J290" s="24" t="n"/>
      <c r="K290" s="24" t="n"/>
      <c r="L290" s="26" t="n"/>
      <c r="M290" s="27">
        <f>IF(L290="","",IF(K290="GST 10%",ROUND(L290*set_GSTRate,2),0))</f>
        <v/>
      </c>
      <c r="N290" s="27">
        <f>IF(L290="","",L290+M290)</f>
        <v/>
      </c>
      <c r="O290" s="24" t="n"/>
      <c r="P290" s="24" t="n"/>
      <c r="Q290" s="24" t="n"/>
      <c r="R290" s="22" t="n"/>
      <c r="S290" s="22" t="n"/>
      <c r="T290" s="24" t="n"/>
      <c r="U290" s="24" t="n"/>
      <c r="V290" s="25">
        <f>IF(COUNTA(A290,D290,C290,L290)=0,"",IF(A290="","No date - sits outside every month",IF(E290="","No job number",IF(F290="CHECK","Job number is not in the Xero job list",IF(I290="","No cost centre",IF(AND(P290="Y",C290=""),"Marked posted to Xero but has no invoice number",IF(AND(L290&lt;&gt;"",K290=""),"No tax code",IF(AND(L290&lt;&gt;"",O290=""),"No revenue GL code",""))))))))</f>
        <v/>
      </c>
      <c r="W290" s="25">
        <f>IF(E290="","",IFERROR(INDEX(lst_JobName,MATCH(E290&amp;"",lst_Jobs,0)),""))</f>
        <v/>
      </c>
      <c r="X290" s="28">
        <f>IF(E290="","",COUNTIFS(tbl_Finance[Job Number],E290&amp;"",tbl_Finance[Ex GST],"&lt;&gt;"))</f>
        <v/>
      </c>
      <c r="Y290" s="27">
        <f>IF(E290="","",SUMIFS(tbl_Finance[Ex GST],tbl_Finance[Job Number],E290&amp;""))</f>
        <v/>
      </c>
      <c r="Z290" s="27">
        <f>IF(E290="","",SUMIFS(tbl_Finance[Ex GST],tbl_Finance[Job Number],E290&amp;"",tbl_Finance[Xero Invoice No],"&lt;&gt;"))</f>
        <v/>
      </c>
      <c r="AA290" s="27">
        <f>IF(E290="","",Y290-Z290)</f>
        <v/>
      </c>
      <c r="AB290" s="25">
        <f>IF(E290="","",IF(H290="Onsite",IFERROR(INDEX(tbl_Onsite[Qwilr Quote],MATCH(E290&amp;"",tbl_Onsite[Job Number],0)),""),IF(H290="Production",IFERROR(INDEX(tbl_Production[Current RMS No],MATCH(E290&amp;"",tbl_Production[Job Number],0)),""),IF(H290="Consulting",IFERROR(INDEX(tbl_Consulting[Qwilr Quote],MATCH(E290&amp;"",tbl_Consulting[Job Number],0)),""),""))))</f>
        <v/>
      </c>
      <c r="AC290" s="25">
        <f>IF(AB290="","",IF(AND(LEFT(AB290,4)&lt;&gt;"http",IF(H290="Production",set_RMSBase,set_QwilrBase)=""),"",HYPERLINK(IF(LEFT(AB290,4)="http",AB290,IF(H290="Production",set_RMSBase,set_QwilrBase)&amp;AB290),"Open")))</f>
        <v/>
      </c>
      <c r="AD290" s="27">
        <f>IF(E290="","",IF(H290="Production",IFERROR(INDEX(tbl_Production[Total Expense],MATCH(E290&amp;"",tbl_Production[Job Number],0)),0),IF(H290="Consulting",IFERROR(INDEX(tbl_Consulting[Total Expense],MATCH(E290&amp;"",tbl_Consulting[Job Number],0)),0),0)))</f>
        <v/>
      </c>
      <c r="AE290" s="27">
        <f>IF(E290="","",Y290-N(AD290))</f>
        <v/>
      </c>
      <c r="AF290" s="29">
        <f>IFERROR(AE290/Y290,"")</f>
        <v/>
      </c>
      <c r="AG290" s="25">
        <f>IF(E290="","",IF(H290="Onsite",IFERROR(INDEX(tbl_Onsite[Notes],MATCH(E290&amp;"",tbl_Onsite[Job Number],0)),""),IF(H290="Production",IFERROR(INDEX(tbl_Production[Notes],MATCH(E290&amp;"",tbl_Production[Job Number],0)),""),IF(H290="Consulting",IFERROR(INDEX(tbl_Consulting[Notes],MATCH(E290&amp;"",tbl_Consulting[Job Number],0)),""),""))))</f>
        <v/>
      </c>
    </row>
    <row r="291" ht="15" customHeight="1">
      <c r="A291" s="22" t="n"/>
      <c r="B291" s="23">
        <f>IF(A291="","",EOMONTH(A291,0))</f>
        <v/>
      </c>
      <c r="C291" s="24" t="n"/>
      <c r="D291" s="24" t="n"/>
      <c r="E291" s="24" t="n"/>
      <c r="F291" s="25">
        <f>IF(E291="","",IF(COUNTIF(lst_Jobs,E291&amp;"")&gt;0,"OK","CHECK"))</f>
        <v/>
      </c>
      <c r="G291" s="24" t="n"/>
      <c r="H291" s="24" t="n"/>
      <c r="I291" s="24" t="n"/>
      <c r="J291" s="24" t="n"/>
      <c r="K291" s="24" t="n"/>
      <c r="L291" s="26" t="n"/>
      <c r="M291" s="27">
        <f>IF(L291="","",IF(K291="GST 10%",ROUND(L291*set_GSTRate,2),0))</f>
        <v/>
      </c>
      <c r="N291" s="27">
        <f>IF(L291="","",L291+M291)</f>
        <v/>
      </c>
      <c r="O291" s="24" t="n"/>
      <c r="P291" s="24" t="n"/>
      <c r="Q291" s="24" t="n"/>
      <c r="R291" s="22" t="n"/>
      <c r="S291" s="22" t="n"/>
      <c r="T291" s="24" t="n"/>
      <c r="U291" s="24" t="n"/>
      <c r="V291" s="25">
        <f>IF(COUNTA(A291,D291,C291,L291)=0,"",IF(A291="","No date - sits outside every month",IF(E291="","No job number",IF(F291="CHECK","Job number is not in the Xero job list",IF(I291="","No cost centre",IF(AND(P291="Y",C291=""),"Marked posted to Xero but has no invoice number",IF(AND(L291&lt;&gt;"",K291=""),"No tax code",IF(AND(L291&lt;&gt;"",O291=""),"No revenue GL code",""))))))))</f>
        <v/>
      </c>
      <c r="W291" s="25">
        <f>IF(E291="","",IFERROR(INDEX(lst_JobName,MATCH(E291&amp;"",lst_Jobs,0)),""))</f>
        <v/>
      </c>
      <c r="X291" s="28">
        <f>IF(E291="","",COUNTIFS(tbl_Finance[Job Number],E291&amp;"",tbl_Finance[Ex GST],"&lt;&gt;"))</f>
        <v/>
      </c>
      <c r="Y291" s="27">
        <f>IF(E291="","",SUMIFS(tbl_Finance[Ex GST],tbl_Finance[Job Number],E291&amp;""))</f>
        <v/>
      </c>
      <c r="Z291" s="27">
        <f>IF(E291="","",SUMIFS(tbl_Finance[Ex GST],tbl_Finance[Job Number],E291&amp;"",tbl_Finance[Xero Invoice No],"&lt;&gt;"))</f>
        <v/>
      </c>
      <c r="AA291" s="27">
        <f>IF(E291="","",Y291-Z291)</f>
        <v/>
      </c>
      <c r="AB291" s="25">
        <f>IF(E291="","",IF(H291="Onsite",IFERROR(INDEX(tbl_Onsite[Qwilr Quote],MATCH(E291&amp;"",tbl_Onsite[Job Number],0)),""),IF(H291="Production",IFERROR(INDEX(tbl_Production[Current RMS No],MATCH(E291&amp;"",tbl_Production[Job Number],0)),""),IF(H291="Consulting",IFERROR(INDEX(tbl_Consulting[Qwilr Quote],MATCH(E291&amp;"",tbl_Consulting[Job Number],0)),""),""))))</f>
        <v/>
      </c>
      <c r="AC291" s="25">
        <f>IF(AB291="","",IF(AND(LEFT(AB291,4)&lt;&gt;"http",IF(H291="Production",set_RMSBase,set_QwilrBase)=""),"",HYPERLINK(IF(LEFT(AB291,4)="http",AB291,IF(H291="Production",set_RMSBase,set_QwilrBase)&amp;AB291),"Open")))</f>
        <v/>
      </c>
      <c r="AD291" s="27">
        <f>IF(E291="","",IF(H291="Production",IFERROR(INDEX(tbl_Production[Total Expense],MATCH(E291&amp;"",tbl_Production[Job Number],0)),0),IF(H291="Consulting",IFERROR(INDEX(tbl_Consulting[Total Expense],MATCH(E291&amp;"",tbl_Consulting[Job Number],0)),0),0)))</f>
        <v/>
      </c>
      <c r="AE291" s="27">
        <f>IF(E291="","",Y291-N(AD291))</f>
        <v/>
      </c>
      <c r="AF291" s="29">
        <f>IFERROR(AE291/Y291,"")</f>
        <v/>
      </c>
      <c r="AG291" s="25">
        <f>IF(E291="","",IF(H291="Onsite",IFERROR(INDEX(tbl_Onsite[Notes],MATCH(E291&amp;"",tbl_Onsite[Job Number],0)),""),IF(H291="Production",IFERROR(INDEX(tbl_Production[Notes],MATCH(E291&amp;"",tbl_Production[Job Number],0)),""),IF(H291="Consulting",IFERROR(INDEX(tbl_Consulting[Notes],MATCH(E291&amp;"",tbl_Consulting[Job Number],0)),""),""))))</f>
        <v/>
      </c>
    </row>
    <row r="292" ht="15" customHeight="1">
      <c r="A292" s="22" t="n"/>
      <c r="B292" s="23">
        <f>IF(A292="","",EOMONTH(A292,0))</f>
        <v/>
      </c>
      <c r="C292" s="24" t="n"/>
      <c r="D292" s="24" t="n"/>
      <c r="E292" s="24" t="n"/>
      <c r="F292" s="25">
        <f>IF(E292="","",IF(COUNTIF(lst_Jobs,E292&amp;"")&gt;0,"OK","CHECK"))</f>
        <v/>
      </c>
      <c r="G292" s="24" t="n"/>
      <c r="H292" s="24" t="n"/>
      <c r="I292" s="24" t="n"/>
      <c r="J292" s="24" t="n"/>
      <c r="K292" s="24" t="n"/>
      <c r="L292" s="26" t="n"/>
      <c r="M292" s="27">
        <f>IF(L292="","",IF(K292="GST 10%",ROUND(L292*set_GSTRate,2),0))</f>
        <v/>
      </c>
      <c r="N292" s="27">
        <f>IF(L292="","",L292+M292)</f>
        <v/>
      </c>
      <c r="O292" s="24" t="n"/>
      <c r="P292" s="24" t="n"/>
      <c r="Q292" s="24" t="n"/>
      <c r="R292" s="22" t="n"/>
      <c r="S292" s="22" t="n"/>
      <c r="T292" s="24" t="n"/>
      <c r="U292" s="24" t="n"/>
      <c r="V292" s="25">
        <f>IF(COUNTA(A292,D292,C292,L292)=0,"",IF(A292="","No date - sits outside every month",IF(E292="","No job number",IF(F292="CHECK","Job number is not in the Xero job list",IF(I292="","No cost centre",IF(AND(P292="Y",C292=""),"Marked posted to Xero but has no invoice number",IF(AND(L292&lt;&gt;"",K292=""),"No tax code",IF(AND(L292&lt;&gt;"",O292=""),"No revenue GL code",""))))))))</f>
        <v/>
      </c>
      <c r="W292" s="25">
        <f>IF(E292="","",IFERROR(INDEX(lst_JobName,MATCH(E292&amp;"",lst_Jobs,0)),""))</f>
        <v/>
      </c>
      <c r="X292" s="28">
        <f>IF(E292="","",COUNTIFS(tbl_Finance[Job Number],E292&amp;"",tbl_Finance[Ex GST],"&lt;&gt;"))</f>
        <v/>
      </c>
      <c r="Y292" s="27">
        <f>IF(E292="","",SUMIFS(tbl_Finance[Ex GST],tbl_Finance[Job Number],E292&amp;""))</f>
        <v/>
      </c>
      <c r="Z292" s="27">
        <f>IF(E292="","",SUMIFS(tbl_Finance[Ex GST],tbl_Finance[Job Number],E292&amp;"",tbl_Finance[Xero Invoice No],"&lt;&gt;"))</f>
        <v/>
      </c>
      <c r="AA292" s="27">
        <f>IF(E292="","",Y292-Z292)</f>
        <v/>
      </c>
      <c r="AB292" s="25">
        <f>IF(E292="","",IF(H292="Onsite",IFERROR(INDEX(tbl_Onsite[Qwilr Quote],MATCH(E292&amp;"",tbl_Onsite[Job Number],0)),""),IF(H292="Production",IFERROR(INDEX(tbl_Production[Current RMS No],MATCH(E292&amp;"",tbl_Production[Job Number],0)),""),IF(H292="Consulting",IFERROR(INDEX(tbl_Consulting[Qwilr Quote],MATCH(E292&amp;"",tbl_Consulting[Job Number],0)),""),""))))</f>
        <v/>
      </c>
      <c r="AC292" s="25">
        <f>IF(AB292="","",IF(AND(LEFT(AB292,4)&lt;&gt;"http",IF(H292="Production",set_RMSBase,set_QwilrBase)=""),"",HYPERLINK(IF(LEFT(AB292,4)="http",AB292,IF(H292="Production",set_RMSBase,set_QwilrBase)&amp;AB292),"Open")))</f>
        <v/>
      </c>
      <c r="AD292" s="27">
        <f>IF(E292="","",IF(H292="Production",IFERROR(INDEX(tbl_Production[Total Expense],MATCH(E292&amp;"",tbl_Production[Job Number],0)),0),IF(H292="Consulting",IFERROR(INDEX(tbl_Consulting[Total Expense],MATCH(E292&amp;"",tbl_Consulting[Job Number],0)),0),0)))</f>
        <v/>
      </c>
      <c r="AE292" s="27">
        <f>IF(E292="","",Y292-N(AD292))</f>
        <v/>
      </c>
      <c r="AF292" s="29">
        <f>IFERROR(AE292/Y292,"")</f>
        <v/>
      </c>
      <c r="AG292" s="25">
        <f>IF(E292="","",IF(H292="Onsite",IFERROR(INDEX(tbl_Onsite[Notes],MATCH(E292&amp;"",tbl_Onsite[Job Number],0)),""),IF(H292="Production",IFERROR(INDEX(tbl_Production[Notes],MATCH(E292&amp;"",tbl_Production[Job Number],0)),""),IF(H292="Consulting",IFERROR(INDEX(tbl_Consulting[Notes],MATCH(E292&amp;"",tbl_Consulting[Job Number],0)),""),""))))</f>
        <v/>
      </c>
    </row>
    <row r="293" ht="15" customHeight="1">
      <c r="A293" s="22" t="n"/>
      <c r="B293" s="23">
        <f>IF(A293="","",EOMONTH(A293,0))</f>
        <v/>
      </c>
      <c r="C293" s="24" t="n"/>
      <c r="D293" s="24" t="n"/>
      <c r="E293" s="24" t="n"/>
      <c r="F293" s="25">
        <f>IF(E293="","",IF(COUNTIF(lst_Jobs,E293&amp;"")&gt;0,"OK","CHECK"))</f>
        <v/>
      </c>
      <c r="G293" s="24" t="n"/>
      <c r="H293" s="24" t="n"/>
      <c r="I293" s="24" t="n"/>
      <c r="J293" s="24" t="n"/>
      <c r="K293" s="24" t="n"/>
      <c r="L293" s="26" t="n"/>
      <c r="M293" s="27">
        <f>IF(L293="","",IF(K293="GST 10%",ROUND(L293*set_GSTRate,2),0))</f>
        <v/>
      </c>
      <c r="N293" s="27">
        <f>IF(L293="","",L293+M293)</f>
        <v/>
      </c>
      <c r="O293" s="24" t="n"/>
      <c r="P293" s="24" t="n"/>
      <c r="Q293" s="24" t="n"/>
      <c r="R293" s="22" t="n"/>
      <c r="S293" s="22" t="n"/>
      <c r="T293" s="24" t="n"/>
      <c r="U293" s="24" t="n"/>
      <c r="V293" s="25">
        <f>IF(COUNTA(A293,D293,C293,L293)=0,"",IF(A293="","No date - sits outside every month",IF(E293="","No job number",IF(F293="CHECK","Job number is not in the Xero job list",IF(I293="","No cost centre",IF(AND(P293="Y",C293=""),"Marked posted to Xero but has no invoice number",IF(AND(L293&lt;&gt;"",K293=""),"No tax code",IF(AND(L293&lt;&gt;"",O293=""),"No revenue GL code",""))))))))</f>
        <v/>
      </c>
      <c r="W293" s="25">
        <f>IF(E293="","",IFERROR(INDEX(lst_JobName,MATCH(E293&amp;"",lst_Jobs,0)),""))</f>
        <v/>
      </c>
      <c r="X293" s="28">
        <f>IF(E293="","",COUNTIFS(tbl_Finance[Job Number],E293&amp;"",tbl_Finance[Ex GST],"&lt;&gt;"))</f>
        <v/>
      </c>
      <c r="Y293" s="27">
        <f>IF(E293="","",SUMIFS(tbl_Finance[Ex GST],tbl_Finance[Job Number],E293&amp;""))</f>
        <v/>
      </c>
      <c r="Z293" s="27">
        <f>IF(E293="","",SUMIFS(tbl_Finance[Ex GST],tbl_Finance[Job Number],E293&amp;"",tbl_Finance[Xero Invoice No],"&lt;&gt;"))</f>
        <v/>
      </c>
      <c r="AA293" s="27">
        <f>IF(E293="","",Y293-Z293)</f>
        <v/>
      </c>
      <c r="AB293" s="25">
        <f>IF(E293="","",IF(H293="Onsite",IFERROR(INDEX(tbl_Onsite[Qwilr Quote],MATCH(E293&amp;"",tbl_Onsite[Job Number],0)),""),IF(H293="Production",IFERROR(INDEX(tbl_Production[Current RMS No],MATCH(E293&amp;"",tbl_Production[Job Number],0)),""),IF(H293="Consulting",IFERROR(INDEX(tbl_Consulting[Qwilr Quote],MATCH(E293&amp;"",tbl_Consulting[Job Number],0)),""),""))))</f>
        <v/>
      </c>
      <c r="AC293" s="25">
        <f>IF(AB293="","",IF(AND(LEFT(AB293,4)&lt;&gt;"http",IF(H293="Production",set_RMSBase,set_QwilrBase)=""),"",HYPERLINK(IF(LEFT(AB293,4)="http",AB293,IF(H293="Production",set_RMSBase,set_QwilrBase)&amp;AB293),"Open")))</f>
        <v/>
      </c>
      <c r="AD293" s="27">
        <f>IF(E293="","",IF(H293="Production",IFERROR(INDEX(tbl_Production[Total Expense],MATCH(E293&amp;"",tbl_Production[Job Number],0)),0),IF(H293="Consulting",IFERROR(INDEX(tbl_Consulting[Total Expense],MATCH(E293&amp;"",tbl_Consulting[Job Number],0)),0),0)))</f>
        <v/>
      </c>
      <c r="AE293" s="27">
        <f>IF(E293="","",Y293-N(AD293))</f>
        <v/>
      </c>
      <c r="AF293" s="29">
        <f>IFERROR(AE293/Y293,"")</f>
        <v/>
      </c>
      <c r="AG293" s="25">
        <f>IF(E293="","",IF(H293="Onsite",IFERROR(INDEX(tbl_Onsite[Notes],MATCH(E293&amp;"",tbl_Onsite[Job Number],0)),""),IF(H293="Production",IFERROR(INDEX(tbl_Production[Notes],MATCH(E293&amp;"",tbl_Production[Job Number],0)),""),IF(H293="Consulting",IFERROR(INDEX(tbl_Consulting[Notes],MATCH(E293&amp;"",tbl_Consulting[Job Number],0)),""),""))))</f>
        <v/>
      </c>
    </row>
    <row r="294" ht="15" customHeight="1">
      <c r="A294" s="22" t="n"/>
      <c r="B294" s="23">
        <f>IF(A294="","",EOMONTH(A294,0))</f>
        <v/>
      </c>
      <c r="C294" s="24" t="n"/>
      <c r="D294" s="24" t="n"/>
      <c r="E294" s="24" t="n"/>
      <c r="F294" s="25">
        <f>IF(E294="","",IF(COUNTIF(lst_Jobs,E294&amp;"")&gt;0,"OK","CHECK"))</f>
        <v/>
      </c>
      <c r="G294" s="24" t="n"/>
      <c r="H294" s="24" t="n"/>
      <c r="I294" s="24" t="n"/>
      <c r="J294" s="24" t="n"/>
      <c r="K294" s="24" t="n"/>
      <c r="L294" s="26" t="n"/>
      <c r="M294" s="27">
        <f>IF(L294="","",IF(K294="GST 10%",ROUND(L294*set_GSTRate,2),0))</f>
        <v/>
      </c>
      <c r="N294" s="27">
        <f>IF(L294="","",L294+M294)</f>
        <v/>
      </c>
      <c r="O294" s="24" t="n"/>
      <c r="P294" s="24" t="n"/>
      <c r="Q294" s="24" t="n"/>
      <c r="R294" s="22" t="n"/>
      <c r="S294" s="22" t="n"/>
      <c r="T294" s="24" t="n"/>
      <c r="U294" s="24" t="n"/>
      <c r="V294" s="25">
        <f>IF(COUNTA(A294,D294,C294,L294)=0,"",IF(A294="","No date - sits outside every month",IF(E294="","No job number",IF(F294="CHECK","Job number is not in the Xero job list",IF(I294="","No cost centre",IF(AND(P294="Y",C294=""),"Marked posted to Xero but has no invoice number",IF(AND(L294&lt;&gt;"",K294=""),"No tax code",IF(AND(L294&lt;&gt;"",O294=""),"No revenue GL code",""))))))))</f>
        <v/>
      </c>
      <c r="W294" s="25">
        <f>IF(E294="","",IFERROR(INDEX(lst_JobName,MATCH(E294&amp;"",lst_Jobs,0)),""))</f>
        <v/>
      </c>
      <c r="X294" s="28">
        <f>IF(E294="","",COUNTIFS(tbl_Finance[Job Number],E294&amp;"",tbl_Finance[Ex GST],"&lt;&gt;"))</f>
        <v/>
      </c>
      <c r="Y294" s="27">
        <f>IF(E294="","",SUMIFS(tbl_Finance[Ex GST],tbl_Finance[Job Number],E294&amp;""))</f>
        <v/>
      </c>
      <c r="Z294" s="27">
        <f>IF(E294="","",SUMIFS(tbl_Finance[Ex GST],tbl_Finance[Job Number],E294&amp;"",tbl_Finance[Xero Invoice No],"&lt;&gt;"))</f>
        <v/>
      </c>
      <c r="AA294" s="27">
        <f>IF(E294="","",Y294-Z294)</f>
        <v/>
      </c>
      <c r="AB294" s="25">
        <f>IF(E294="","",IF(H294="Onsite",IFERROR(INDEX(tbl_Onsite[Qwilr Quote],MATCH(E294&amp;"",tbl_Onsite[Job Number],0)),""),IF(H294="Production",IFERROR(INDEX(tbl_Production[Current RMS No],MATCH(E294&amp;"",tbl_Production[Job Number],0)),""),IF(H294="Consulting",IFERROR(INDEX(tbl_Consulting[Qwilr Quote],MATCH(E294&amp;"",tbl_Consulting[Job Number],0)),""),""))))</f>
        <v/>
      </c>
      <c r="AC294" s="25">
        <f>IF(AB294="","",IF(AND(LEFT(AB294,4)&lt;&gt;"http",IF(H294="Production",set_RMSBase,set_QwilrBase)=""),"",HYPERLINK(IF(LEFT(AB294,4)="http",AB294,IF(H294="Production",set_RMSBase,set_QwilrBase)&amp;AB294),"Open")))</f>
        <v/>
      </c>
      <c r="AD294" s="27">
        <f>IF(E294="","",IF(H294="Production",IFERROR(INDEX(tbl_Production[Total Expense],MATCH(E294&amp;"",tbl_Production[Job Number],0)),0),IF(H294="Consulting",IFERROR(INDEX(tbl_Consulting[Total Expense],MATCH(E294&amp;"",tbl_Consulting[Job Number],0)),0),0)))</f>
        <v/>
      </c>
      <c r="AE294" s="27">
        <f>IF(E294="","",Y294-N(AD294))</f>
        <v/>
      </c>
      <c r="AF294" s="29">
        <f>IFERROR(AE294/Y294,"")</f>
        <v/>
      </c>
      <c r="AG294" s="25">
        <f>IF(E294="","",IF(H294="Onsite",IFERROR(INDEX(tbl_Onsite[Notes],MATCH(E294&amp;"",tbl_Onsite[Job Number],0)),""),IF(H294="Production",IFERROR(INDEX(tbl_Production[Notes],MATCH(E294&amp;"",tbl_Production[Job Number],0)),""),IF(H294="Consulting",IFERROR(INDEX(tbl_Consulting[Notes],MATCH(E294&amp;"",tbl_Consulting[Job Number],0)),""),""))))</f>
        <v/>
      </c>
    </row>
    <row r="295" ht="15" customHeight="1">
      <c r="A295" s="22" t="n"/>
      <c r="B295" s="23">
        <f>IF(A295="","",EOMONTH(A295,0))</f>
        <v/>
      </c>
      <c r="C295" s="24" t="n"/>
      <c r="D295" s="24" t="n"/>
      <c r="E295" s="24" t="n"/>
      <c r="F295" s="25">
        <f>IF(E295="","",IF(COUNTIF(lst_Jobs,E295&amp;"")&gt;0,"OK","CHECK"))</f>
        <v/>
      </c>
      <c r="G295" s="24" t="n"/>
      <c r="H295" s="24" t="n"/>
      <c r="I295" s="24" t="n"/>
      <c r="J295" s="24" t="n"/>
      <c r="K295" s="24" t="n"/>
      <c r="L295" s="26" t="n"/>
      <c r="M295" s="27">
        <f>IF(L295="","",IF(K295="GST 10%",ROUND(L295*set_GSTRate,2),0))</f>
        <v/>
      </c>
      <c r="N295" s="27">
        <f>IF(L295="","",L295+M295)</f>
        <v/>
      </c>
      <c r="O295" s="24" t="n"/>
      <c r="P295" s="24" t="n"/>
      <c r="Q295" s="24" t="n"/>
      <c r="R295" s="22" t="n"/>
      <c r="S295" s="22" t="n"/>
      <c r="T295" s="24" t="n"/>
      <c r="U295" s="24" t="n"/>
      <c r="V295" s="25">
        <f>IF(COUNTA(A295,D295,C295,L295)=0,"",IF(A295="","No date - sits outside every month",IF(E295="","No job number",IF(F295="CHECK","Job number is not in the Xero job list",IF(I295="","No cost centre",IF(AND(P295="Y",C295=""),"Marked posted to Xero but has no invoice number",IF(AND(L295&lt;&gt;"",K295=""),"No tax code",IF(AND(L295&lt;&gt;"",O295=""),"No revenue GL code",""))))))))</f>
        <v/>
      </c>
      <c r="W295" s="25">
        <f>IF(E295="","",IFERROR(INDEX(lst_JobName,MATCH(E295&amp;"",lst_Jobs,0)),""))</f>
        <v/>
      </c>
      <c r="X295" s="28">
        <f>IF(E295="","",COUNTIFS(tbl_Finance[Job Number],E295&amp;"",tbl_Finance[Ex GST],"&lt;&gt;"))</f>
        <v/>
      </c>
      <c r="Y295" s="27">
        <f>IF(E295="","",SUMIFS(tbl_Finance[Ex GST],tbl_Finance[Job Number],E295&amp;""))</f>
        <v/>
      </c>
      <c r="Z295" s="27">
        <f>IF(E295="","",SUMIFS(tbl_Finance[Ex GST],tbl_Finance[Job Number],E295&amp;"",tbl_Finance[Xero Invoice No],"&lt;&gt;"))</f>
        <v/>
      </c>
      <c r="AA295" s="27">
        <f>IF(E295="","",Y295-Z295)</f>
        <v/>
      </c>
      <c r="AB295" s="25">
        <f>IF(E295="","",IF(H295="Onsite",IFERROR(INDEX(tbl_Onsite[Qwilr Quote],MATCH(E295&amp;"",tbl_Onsite[Job Number],0)),""),IF(H295="Production",IFERROR(INDEX(tbl_Production[Current RMS No],MATCH(E295&amp;"",tbl_Production[Job Number],0)),""),IF(H295="Consulting",IFERROR(INDEX(tbl_Consulting[Qwilr Quote],MATCH(E295&amp;"",tbl_Consulting[Job Number],0)),""),""))))</f>
        <v/>
      </c>
      <c r="AC295" s="25">
        <f>IF(AB295="","",IF(AND(LEFT(AB295,4)&lt;&gt;"http",IF(H295="Production",set_RMSBase,set_QwilrBase)=""),"",HYPERLINK(IF(LEFT(AB295,4)="http",AB295,IF(H295="Production",set_RMSBase,set_QwilrBase)&amp;AB295),"Open")))</f>
        <v/>
      </c>
      <c r="AD295" s="27">
        <f>IF(E295="","",IF(H295="Production",IFERROR(INDEX(tbl_Production[Total Expense],MATCH(E295&amp;"",tbl_Production[Job Number],0)),0),IF(H295="Consulting",IFERROR(INDEX(tbl_Consulting[Total Expense],MATCH(E295&amp;"",tbl_Consulting[Job Number],0)),0),0)))</f>
        <v/>
      </c>
      <c r="AE295" s="27">
        <f>IF(E295="","",Y295-N(AD295))</f>
        <v/>
      </c>
      <c r="AF295" s="29">
        <f>IFERROR(AE295/Y295,"")</f>
        <v/>
      </c>
      <c r="AG295" s="25">
        <f>IF(E295="","",IF(H295="Onsite",IFERROR(INDEX(tbl_Onsite[Notes],MATCH(E295&amp;"",tbl_Onsite[Job Number],0)),""),IF(H295="Production",IFERROR(INDEX(tbl_Production[Notes],MATCH(E295&amp;"",tbl_Production[Job Number],0)),""),IF(H295="Consulting",IFERROR(INDEX(tbl_Consulting[Notes],MATCH(E295&amp;"",tbl_Consulting[Job Number],0)),""),""))))</f>
        <v/>
      </c>
    </row>
    <row r="296" ht="15" customHeight="1">
      <c r="A296" s="22" t="n"/>
      <c r="B296" s="23">
        <f>IF(A296="","",EOMONTH(A296,0))</f>
        <v/>
      </c>
      <c r="C296" s="24" t="n"/>
      <c r="D296" s="24" t="n"/>
      <c r="E296" s="24" t="n"/>
      <c r="F296" s="25">
        <f>IF(E296="","",IF(COUNTIF(lst_Jobs,E296&amp;"")&gt;0,"OK","CHECK"))</f>
        <v/>
      </c>
      <c r="G296" s="24" t="n"/>
      <c r="H296" s="24" t="n"/>
      <c r="I296" s="24" t="n"/>
      <c r="J296" s="24" t="n"/>
      <c r="K296" s="24" t="n"/>
      <c r="L296" s="26" t="n"/>
      <c r="M296" s="27">
        <f>IF(L296="","",IF(K296="GST 10%",ROUND(L296*set_GSTRate,2),0))</f>
        <v/>
      </c>
      <c r="N296" s="27">
        <f>IF(L296="","",L296+M296)</f>
        <v/>
      </c>
      <c r="O296" s="24" t="n"/>
      <c r="P296" s="24" t="n"/>
      <c r="Q296" s="24" t="n"/>
      <c r="R296" s="22" t="n"/>
      <c r="S296" s="22" t="n"/>
      <c r="T296" s="24" t="n"/>
      <c r="U296" s="24" t="n"/>
      <c r="V296" s="25">
        <f>IF(COUNTA(A296,D296,C296,L296)=0,"",IF(A296="","No date - sits outside every month",IF(E296="","No job number",IF(F296="CHECK","Job number is not in the Xero job list",IF(I296="","No cost centre",IF(AND(P296="Y",C296=""),"Marked posted to Xero but has no invoice number",IF(AND(L296&lt;&gt;"",K296=""),"No tax code",IF(AND(L296&lt;&gt;"",O296=""),"No revenue GL code",""))))))))</f>
        <v/>
      </c>
      <c r="W296" s="25">
        <f>IF(E296="","",IFERROR(INDEX(lst_JobName,MATCH(E296&amp;"",lst_Jobs,0)),""))</f>
        <v/>
      </c>
      <c r="X296" s="28">
        <f>IF(E296="","",COUNTIFS(tbl_Finance[Job Number],E296&amp;"",tbl_Finance[Ex GST],"&lt;&gt;"))</f>
        <v/>
      </c>
      <c r="Y296" s="27">
        <f>IF(E296="","",SUMIFS(tbl_Finance[Ex GST],tbl_Finance[Job Number],E296&amp;""))</f>
        <v/>
      </c>
      <c r="Z296" s="27">
        <f>IF(E296="","",SUMIFS(tbl_Finance[Ex GST],tbl_Finance[Job Number],E296&amp;"",tbl_Finance[Xero Invoice No],"&lt;&gt;"))</f>
        <v/>
      </c>
      <c r="AA296" s="27">
        <f>IF(E296="","",Y296-Z296)</f>
        <v/>
      </c>
      <c r="AB296" s="25">
        <f>IF(E296="","",IF(H296="Onsite",IFERROR(INDEX(tbl_Onsite[Qwilr Quote],MATCH(E296&amp;"",tbl_Onsite[Job Number],0)),""),IF(H296="Production",IFERROR(INDEX(tbl_Production[Current RMS No],MATCH(E296&amp;"",tbl_Production[Job Number],0)),""),IF(H296="Consulting",IFERROR(INDEX(tbl_Consulting[Qwilr Quote],MATCH(E296&amp;"",tbl_Consulting[Job Number],0)),""),""))))</f>
        <v/>
      </c>
      <c r="AC296" s="25">
        <f>IF(AB296="","",IF(AND(LEFT(AB296,4)&lt;&gt;"http",IF(H296="Production",set_RMSBase,set_QwilrBase)=""),"",HYPERLINK(IF(LEFT(AB296,4)="http",AB296,IF(H296="Production",set_RMSBase,set_QwilrBase)&amp;AB296),"Open")))</f>
        <v/>
      </c>
      <c r="AD296" s="27">
        <f>IF(E296="","",IF(H296="Production",IFERROR(INDEX(tbl_Production[Total Expense],MATCH(E296&amp;"",tbl_Production[Job Number],0)),0),IF(H296="Consulting",IFERROR(INDEX(tbl_Consulting[Total Expense],MATCH(E296&amp;"",tbl_Consulting[Job Number],0)),0),0)))</f>
        <v/>
      </c>
      <c r="AE296" s="27">
        <f>IF(E296="","",Y296-N(AD296))</f>
        <v/>
      </c>
      <c r="AF296" s="29">
        <f>IFERROR(AE296/Y296,"")</f>
        <v/>
      </c>
      <c r="AG296" s="25">
        <f>IF(E296="","",IF(H296="Onsite",IFERROR(INDEX(tbl_Onsite[Notes],MATCH(E296&amp;"",tbl_Onsite[Job Number],0)),""),IF(H296="Production",IFERROR(INDEX(tbl_Production[Notes],MATCH(E296&amp;"",tbl_Production[Job Number],0)),""),IF(H296="Consulting",IFERROR(INDEX(tbl_Consulting[Notes],MATCH(E296&amp;"",tbl_Consulting[Job Number],0)),""),""))))</f>
        <v/>
      </c>
    </row>
    <row r="297" ht="15" customHeight="1">
      <c r="A297" s="22" t="n"/>
      <c r="B297" s="23">
        <f>IF(A297="","",EOMONTH(A297,0))</f>
        <v/>
      </c>
      <c r="C297" s="24" t="n"/>
      <c r="D297" s="24" t="n"/>
      <c r="E297" s="24" t="n"/>
      <c r="F297" s="25">
        <f>IF(E297="","",IF(COUNTIF(lst_Jobs,E297&amp;"")&gt;0,"OK","CHECK"))</f>
        <v/>
      </c>
      <c r="G297" s="24" t="n"/>
      <c r="H297" s="24" t="n"/>
      <c r="I297" s="24" t="n"/>
      <c r="J297" s="24" t="n"/>
      <c r="K297" s="24" t="n"/>
      <c r="L297" s="26" t="n"/>
      <c r="M297" s="27">
        <f>IF(L297="","",IF(K297="GST 10%",ROUND(L297*set_GSTRate,2),0))</f>
        <v/>
      </c>
      <c r="N297" s="27">
        <f>IF(L297="","",L297+M297)</f>
        <v/>
      </c>
      <c r="O297" s="24" t="n"/>
      <c r="P297" s="24" t="n"/>
      <c r="Q297" s="24" t="n"/>
      <c r="R297" s="22" t="n"/>
      <c r="S297" s="22" t="n"/>
      <c r="T297" s="24" t="n"/>
      <c r="U297" s="24" t="n"/>
      <c r="V297" s="25">
        <f>IF(COUNTA(A297,D297,C297,L297)=0,"",IF(A297="","No date - sits outside every month",IF(E297="","No job number",IF(F297="CHECK","Job number is not in the Xero job list",IF(I297="","No cost centre",IF(AND(P297="Y",C297=""),"Marked posted to Xero but has no invoice number",IF(AND(L297&lt;&gt;"",K297=""),"No tax code",IF(AND(L297&lt;&gt;"",O297=""),"No revenue GL code",""))))))))</f>
        <v/>
      </c>
      <c r="W297" s="25">
        <f>IF(E297="","",IFERROR(INDEX(lst_JobName,MATCH(E297&amp;"",lst_Jobs,0)),""))</f>
        <v/>
      </c>
      <c r="X297" s="28">
        <f>IF(E297="","",COUNTIFS(tbl_Finance[Job Number],E297&amp;"",tbl_Finance[Ex GST],"&lt;&gt;"))</f>
        <v/>
      </c>
      <c r="Y297" s="27">
        <f>IF(E297="","",SUMIFS(tbl_Finance[Ex GST],tbl_Finance[Job Number],E297&amp;""))</f>
        <v/>
      </c>
      <c r="Z297" s="27">
        <f>IF(E297="","",SUMIFS(tbl_Finance[Ex GST],tbl_Finance[Job Number],E297&amp;"",tbl_Finance[Xero Invoice No],"&lt;&gt;"))</f>
        <v/>
      </c>
      <c r="AA297" s="27">
        <f>IF(E297="","",Y297-Z297)</f>
        <v/>
      </c>
      <c r="AB297" s="25">
        <f>IF(E297="","",IF(H297="Onsite",IFERROR(INDEX(tbl_Onsite[Qwilr Quote],MATCH(E297&amp;"",tbl_Onsite[Job Number],0)),""),IF(H297="Production",IFERROR(INDEX(tbl_Production[Current RMS No],MATCH(E297&amp;"",tbl_Production[Job Number],0)),""),IF(H297="Consulting",IFERROR(INDEX(tbl_Consulting[Qwilr Quote],MATCH(E297&amp;"",tbl_Consulting[Job Number],0)),""),""))))</f>
        <v/>
      </c>
      <c r="AC297" s="25">
        <f>IF(AB297="","",IF(AND(LEFT(AB297,4)&lt;&gt;"http",IF(H297="Production",set_RMSBase,set_QwilrBase)=""),"",HYPERLINK(IF(LEFT(AB297,4)="http",AB297,IF(H297="Production",set_RMSBase,set_QwilrBase)&amp;AB297),"Open")))</f>
        <v/>
      </c>
      <c r="AD297" s="27">
        <f>IF(E297="","",IF(H297="Production",IFERROR(INDEX(tbl_Production[Total Expense],MATCH(E297&amp;"",tbl_Production[Job Number],0)),0),IF(H297="Consulting",IFERROR(INDEX(tbl_Consulting[Total Expense],MATCH(E297&amp;"",tbl_Consulting[Job Number],0)),0),0)))</f>
        <v/>
      </c>
      <c r="AE297" s="27">
        <f>IF(E297="","",Y297-N(AD297))</f>
        <v/>
      </c>
      <c r="AF297" s="29">
        <f>IFERROR(AE297/Y297,"")</f>
        <v/>
      </c>
      <c r="AG297" s="25">
        <f>IF(E297="","",IF(H297="Onsite",IFERROR(INDEX(tbl_Onsite[Notes],MATCH(E297&amp;"",tbl_Onsite[Job Number],0)),""),IF(H297="Production",IFERROR(INDEX(tbl_Production[Notes],MATCH(E297&amp;"",tbl_Production[Job Number],0)),""),IF(H297="Consulting",IFERROR(INDEX(tbl_Consulting[Notes],MATCH(E297&amp;"",tbl_Consulting[Job Number],0)),""),""))))</f>
        <v/>
      </c>
    </row>
    <row r="298" ht="15" customHeight="1">
      <c r="A298" s="22" t="n"/>
      <c r="B298" s="23">
        <f>IF(A298="","",EOMONTH(A298,0))</f>
        <v/>
      </c>
      <c r="C298" s="24" t="n"/>
      <c r="D298" s="24" t="n"/>
      <c r="E298" s="24" t="n"/>
      <c r="F298" s="25">
        <f>IF(E298="","",IF(COUNTIF(lst_Jobs,E298&amp;"")&gt;0,"OK","CHECK"))</f>
        <v/>
      </c>
      <c r="G298" s="24" t="n"/>
      <c r="H298" s="24" t="n"/>
      <c r="I298" s="24" t="n"/>
      <c r="J298" s="24" t="n"/>
      <c r="K298" s="24" t="n"/>
      <c r="L298" s="26" t="n"/>
      <c r="M298" s="27">
        <f>IF(L298="","",IF(K298="GST 10%",ROUND(L298*set_GSTRate,2),0))</f>
        <v/>
      </c>
      <c r="N298" s="27">
        <f>IF(L298="","",L298+M298)</f>
        <v/>
      </c>
      <c r="O298" s="24" t="n"/>
      <c r="P298" s="24" t="n"/>
      <c r="Q298" s="24" t="n"/>
      <c r="R298" s="22" t="n"/>
      <c r="S298" s="22" t="n"/>
      <c r="T298" s="24" t="n"/>
      <c r="U298" s="24" t="n"/>
      <c r="V298" s="25">
        <f>IF(COUNTA(A298,D298,C298,L298)=0,"",IF(A298="","No date - sits outside every month",IF(E298="","No job number",IF(F298="CHECK","Job number is not in the Xero job list",IF(I298="","No cost centre",IF(AND(P298="Y",C298=""),"Marked posted to Xero but has no invoice number",IF(AND(L298&lt;&gt;"",K298=""),"No tax code",IF(AND(L298&lt;&gt;"",O298=""),"No revenue GL code",""))))))))</f>
        <v/>
      </c>
      <c r="W298" s="25">
        <f>IF(E298="","",IFERROR(INDEX(lst_JobName,MATCH(E298&amp;"",lst_Jobs,0)),""))</f>
        <v/>
      </c>
      <c r="X298" s="28">
        <f>IF(E298="","",COUNTIFS(tbl_Finance[Job Number],E298&amp;"",tbl_Finance[Ex GST],"&lt;&gt;"))</f>
        <v/>
      </c>
      <c r="Y298" s="27">
        <f>IF(E298="","",SUMIFS(tbl_Finance[Ex GST],tbl_Finance[Job Number],E298&amp;""))</f>
        <v/>
      </c>
      <c r="Z298" s="27">
        <f>IF(E298="","",SUMIFS(tbl_Finance[Ex GST],tbl_Finance[Job Number],E298&amp;"",tbl_Finance[Xero Invoice No],"&lt;&gt;"))</f>
        <v/>
      </c>
      <c r="AA298" s="27">
        <f>IF(E298="","",Y298-Z298)</f>
        <v/>
      </c>
      <c r="AB298" s="25">
        <f>IF(E298="","",IF(H298="Onsite",IFERROR(INDEX(tbl_Onsite[Qwilr Quote],MATCH(E298&amp;"",tbl_Onsite[Job Number],0)),""),IF(H298="Production",IFERROR(INDEX(tbl_Production[Current RMS No],MATCH(E298&amp;"",tbl_Production[Job Number],0)),""),IF(H298="Consulting",IFERROR(INDEX(tbl_Consulting[Qwilr Quote],MATCH(E298&amp;"",tbl_Consulting[Job Number],0)),""),""))))</f>
        <v/>
      </c>
      <c r="AC298" s="25">
        <f>IF(AB298="","",IF(AND(LEFT(AB298,4)&lt;&gt;"http",IF(H298="Production",set_RMSBase,set_QwilrBase)=""),"",HYPERLINK(IF(LEFT(AB298,4)="http",AB298,IF(H298="Production",set_RMSBase,set_QwilrBase)&amp;AB298),"Open")))</f>
        <v/>
      </c>
      <c r="AD298" s="27">
        <f>IF(E298="","",IF(H298="Production",IFERROR(INDEX(tbl_Production[Total Expense],MATCH(E298&amp;"",tbl_Production[Job Number],0)),0),IF(H298="Consulting",IFERROR(INDEX(tbl_Consulting[Total Expense],MATCH(E298&amp;"",tbl_Consulting[Job Number],0)),0),0)))</f>
        <v/>
      </c>
      <c r="AE298" s="27">
        <f>IF(E298="","",Y298-N(AD298))</f>
        <v/>
      </c>
      <c r="AF298" s="29">
        <f>IFERROR(AE298/Y298,"")</f>
        <v/>
      </c>
      <c r="AG298" s="25">
        <f>IF(E298="","",IF(H298="Onsite",IFERROR(INDEX(tbl_Onsite[Notes],MATCH(E298&amp;"",tbl_Onsite[Job Number],0)),""),IF(H298="Production",IFERROR(INDEX(tbl_Production[Notes],MATCH(E298&amp;"",tbl_Production[Job Number],0)),""),IF(H298="Consulting",IFERROR(INDEX(tbl_Consulting[Notes],MATCH(E298&amp;"",tbl_Consulting[Job Number],0)),""),""))))</f>
        <v/>
      </c>
    </row>
    <row r="299" ht="15" customHeight="1">
      <c r="A299" s="22" t="n"/>
      <c r="B299" s="23">
        <f>IF(A299="","",EOMONTH(A299,0))</f>
        <v/>
      </c>
      <c r="C299" s="24" t="n"/>
      <c r="D299" s="24" t="n"/>
      <c r="E299" s="24" t="n"/>
      <c r="F299" s="25">
        <f>IF(E299="","",IF(COUNTIF(lst_Jobs,E299&amp;"")&gt;0,"OK","CHECK"))</f>
        <v/>
      </c>
      <c r="G299" s="24" t="n"/>
      <c r="H299" s="24" t="n"/>
      <c r="I299" s="24" t="n"/>
      <c r="J299" s="24" t="n"/>
      <c r="K299" s="24" t="n"/>
      <c r="L299" s="26" t="n"/>
      <c r="M299" s="27">
        <f>IF(L299="","",IF(K299="GST 10%",ROUND(L299*set_GSTRate,2),0))</f>
        <v/>
      </c>
      <c r="N299" s="27">
        <f>IF(L299="","",L299+M299)</f>
        <v/>
      </c>
      <c r="O299" s="24" t="n"/>
      <c r="P299" s="24" t="n"/>
      <c r="Q299" s="24" t="n"/>
      <c r="R299" s="22" t="n"/>
      <c r="S299" s="22" t="n"/>
      <c r="T299" s="24" t="n"/>
      <c r="U299" s="24" t="n"/>
      <c r="V299" s="25">
        <f>IF(COUNTA(A299,D299,C299,L299)=0,"",IF(A299="","No date - sits outside every month",IF(E299="","No job number",IF(F299="CHECK","Job number is not in the Xero job list",IF(I299="","No cost centre",IF(AND(P299="Y",C299=""),"Marked posted to Xero but has no invoice number",IF(AND(L299&lt;&gt;"",K299=""),"No tax code",IF(AND(L299&lt;&gt;"",O299=""),"No revenue GL code",""))))))))</f>
        <v/>
      </c>
      <c r="W299" s="25">
        <f>IF(E299="","",IFERROR(INDEX(lst_JobName,MATCH(E299&amp;"",lst_Jobs,0)),""))</f>
        <v/>
      </c>
      <c r="X299" s="28">
        <f>IF(E299="","",COUNTIFS(tbl_Finance[Job Number],E299&amp;"",tbl_Finance[Ex GST],"&lt;&gt;"))</f>
        <v/>
      </c>
      <c r="Y299" s="27">
        <f>IF(E299="","",SUMIFS(tbl_Finance[Ex GST],tbl_Finance[Job Number],E299&amp;""))</f>
        <v/>
      </c>
      <c r="Z299" s="27">
        <f>IF(E299="","",SUMIFS(tbl_Finance[Ex GST],tbl_Finance[Job Number],E299&amp;"",tbl_Finance[Xero Invoice No],"&lt;&gt;"))</f>
        <v/>
      </c>
      <c r="AA299" s="27">
        <f>IF(E299="","",Y299-Z299)</f>
        <v/>
      </c>
      <c r="AB299" s="25">
        <f>IF(E299="","",IF(H299="Onsite",IFERROR(INDEX(tbl_Onsite[Qwilr Quote],MATCH(E299&amp;"",tbl_Onsite[Job Number],0)),""),IF(H299="Production",IFERROR(INDEX(tbl_Production[Current RMS No],MATCH(E299&amp;"",tbl_Production[Job Number],0)),""),IF(H299="Consulting",IFERROR(INDEX(tbl_Consulting[Qwilr Quote],MATCH(E299&amp;"",tbl_Consulting[Job Number],0)),""),""))))</f>
        <v/>
      </c>
      <c r="AC299" s="25">
        <f>IF(AB299="","",IF(AND(LEFT(AB299,4)&lt;&gt;"http",IF(H299="Production",set_RMSBase,set_QwilrBase)=""),"",HYPERLINK(IF(LEFT(AB299,4)="http",AB299,IF(H299="Production",set_RMSBase,set_QwilrBase)&amp;AB299),"Open")))</f>
        <v/>
      </c>
      <c r="AD299" s="27">
        <f>IF(E299="","",IF(H299="Production",IFERROR(INDEX(tbl_Production[Total Expense],MATCH(E299&amp;"",tbl_Production[Job Number],0)),0),IF(H299="Consulting",IFERROR(INDEX(tbl_Consulting[Total Expense],MATCH(E299&amp;"",tbl_Consulting[Job Number],0)),0),0)))</f>
        <v/>
      </c>
      <c r="AE299" s="27">
        <f>IF(E299="","",Y299-N(AD299))</f>
        <v/>
      </c>
      <c r="AF299" s="29">
        <f>IFERROR(AE299/Y299,"")</f>
        <v/>
      </c>
      <c r="AG299" s="25">
        <f>IF(E299="","",IF(H299="Onsite",IFERROR(INDEX(tbl_Onsite[Notes],MATCH(E299&amp;"",tbl_Onsite[Job Number],0)),""),IF(H299="Production",IFERROR(INDEX(tbl_Production[Notes],MATCH(E299&amp;"",tbl_Production[Job Number],0)),""),IF(H299="Consulting",IFERROR(INDEX(tbl_Consulting[Notes],MATCH(E299&amp;"",tbl_Consulting[Job Number],0)),""),""))))</f>
        <v/>
      </c>
    </row>
    <row r="300" ht="15" customHeight="1">
      <c r="A300" s="22" t="n"/>
      <c r="B300" s="23">
        <f>IF(A300="","",EOMONTH(A300,0))</f>
        <v/>
      </c>
      <c r="C300" s="24" t="n"/>
      <c r="D300" s="24" t="n"/>
      <c r="E300" s="24" t="n"/>
      <c r="F300" s="25">
        <f>IF(E300="","",IF(COUNTIF(lst_Jobs,E300&amp;"")&gt;0,"OK","CHECK"))</f>
        <v/>
      </c>
      <c r="G300" s="24" t="n"/>
      <c r="H300" s="24" t="n"/>
      <c r="I300" s="24" t="n"/>
      <c r="J300" s="24" t="n"/>
      <c r="K300" s="24" t="n"/>
      <c r="L300" s="26" t="n"/>
      <c r="M300" s="27">
        <f>IF(L300="","",IF(K300="GST 10%",ROUND(L300*set_GSTRate,2),0))</f>
        <v/>
      </c>
      <c r="N300" s="27">
        <f>IF(L300="","",L300+M300)</f>
        <v/>
      </c>
      <c r="O300" s="24" t="n"/>
      <c r="P300" s="24" t="n"/>
      <c r="Q300" s="24" t="n"/>
      <c r="R300" s="22" t="n"/>
      <c r="S300" s="22" t="n"/>
      <c r="T300" s="24" t="n"/>
      <c r="U300" s="24" t="n"/>
      <c r="V300" s="25">
        <f>IF(COUNTA(A300,D300,C300,L300)=0,"",IF(A300="","No date - sits outside every month",IF(E300="","No job number",IF(F300="CHECK","Job number is not in the Xero job list",IF(I300="","No cost centre",IF(AND(P300="Y",C300=""),"Marked posted to Xero but has no invoice number",IF(AND(L300&lt;&gt;"",K300=""),"No tax code",IF(AND(L300&lt;&gt;"",O300=""),"No revenue GL code",""))))))))</f>
        <v/>
      </c>
      <c r="W300" s="25">
        <f>IF(E300="","",IFERROR(INDEX(lst_JobName,MATCH(E300&amp;"",lst_Jobs,0)),""))</f>
        <v/>
      </c>
      <c r="X300" s="28">
        <f>IF(E300="","",COUNTIFS(tbl_Finance[Job Number],E300&amp;"",tbl_Finance[Ex GST],"&lt;&gt;"))</f>
        <v/>
      </c>
      <c r="Y300" s="27">
        <f>IF(E300="","",SUMIFS(tbl_Finance[Ex GST],tbl_Finance[Job Number],E300&amp;""))</f>
        <v/>
      </c>
      <c r="Z300" s="27">
        <f>IF(E300="","",SUMIFS(tbl_Finance[Ex GST],tbl_Finance[Job Number],E300&amp;"",tbl_Finance[Xero Invoice No],"&lt;&gt;"))</f>
        <v/>
      </c>
      <c r="AA300" s="27">
        <f>IF(E300="","",Y300-Z300)</f>
        <v/>
      </c>
      <c r="AB300" s="25">
        <f>IF(E300="","",IF(H300="Onsite",IFERROR(INDEX(tbl_Onsite[Qwilr Quote],MATCH(E300&amp;"",tbl_Onsite[Job Number],0)),""),IF(H300="Production",IFERROR(INDEX(tbl_Production[Current RMS No],MATCH(E300&amp;"",tbl_Production[Job Number],0)),""),IF(H300="Consulting",IFERROR(INDEX(tbl_Consulting[Qwilr Quote],MATCH(E300&amp;"",tbl_Consulting[Job Number],0)),""),""))))</f>
        <v/>
      </c>
      <c r="AC300" s="25">
        <f>IF(AB300="","",IF(AND(LEFT(AB300,4)&lt;&gt;"http",IF(H300="Production",set_RMSBase,set_QwilrBase)=""),"",HYPERLINK(IF(LEFT(AB300,4)="http",AB300,IF(H300="Production",set_RMSBase,set_QwilrBase)&amp;AB300),"Open")))</f>
        <v/>
      </c>
      <c r="AD300" s="27">
        <f>IF(E300="","",IF(H300="Production",IFERROR(INDEX(tbl_Production[Total Expense],MATCH(E300&amp;"",tbl_Production[Job Number],0)),0),IF(H300="Consulting",IFERROR(INDEX(tbl_Consulting[Total Expense],MATCH(E300&amp;"",tbl_Consulting[Job Number],0)),0),0)))</f>
        <v/>
      </c>
      <c r="AE300" s="27">
        <f>IF(E300="","",Y300-N(AD300))</f>
        <v/>
      </c>
      <c r="AF300" s="29">
        <f>IFERROR(AE300/Y300,"")</f>
        <v/>
      </c>
      <c r="AG300" s="25">
        <f>IF(E300="","",IF(H300="Onsite",IFERROR(INDEX(tbl_Onsite[Notes],MATCH(E300&amp;"",tbl_Onsite[Job Number],0)),""),IF(H300="Production",IFERROR(INDEX(tbl_Production[Notes],MATCH(E300&amp;"",tbl_Production[Job Number],0)),""),IF(H300="Consulting",IFERROR(INDEX(tbl_Consulting[Notes],MATCH(E300&amp;"",tbl_Consulting[Job Number],0)),""),""))))</f>
        <v/>
      </c>
    </row>
    <row r="301" ht="15" customHeight="1">
      <c r="A301" s="22" t="n"/>
      <c r="B301" s="23">
        <f>IF(A301="","",EOMONTH(A301,0))</f>
        <v/>
      </c>
      <c r="C301" s="24" t="n"/>
      <c r="D301" s="24" t="n"/>
      <c r="E301" s="24" t="n"/>
      <c r="F301" s="25">
        <f>IF(E301="","",IF(COUNTIF(lst_Jobs,E301&amp;"")&gt;0,"OK","CHECK"))</f>
        <v/>
      </c>
      <c r="G301" s="24" t="n"/>
      <c r="H301" s="24" t="n"/>
      <c r="I301" s="24" t="n"/>
      <c r="J301" s="24" t="n"/>
      <c r="K301" s="24" t="n"/>
      <c r="L301" s="26" t="n"/>
      <c r="M301" s="27">
        <f>IF(L301="","",IF(K301="GST 10%",ROUND(L301*set_GSTRate,2),0))</f>
        <v/>
      </c>
      <c r="N301" s="27">
        <f>IF(L301="","",L301+M301)</f>
        <v/>
      </c>
      <c r="O301" s="24" t="n"/>
      <c r="P301" s="24" t="n"/>
      <c r="Q301" s="24" t="n"/>
      <c r="R301" s="22" t="n"/>
      <c r="S301" s="22" t="n"/>
      <c r="T301" s="24" t="n"/>
      <c r="U301" s="24" t="n"/>
      <c r="V301" s="25">
        <f>IF(COUNTA(A301,D301,C301,L301)=0,"",IF(A301="","No date - sits outside every month",IF(E301="","No job number",IF(F301="CHECK","Job number is not in the Xero job list",IF(I301="","No cost centre",IF(AND(P301="Y",C301=""),"Marked posted to Xero but has no invoice number",IF(AND(L301&lt;&gt;"",K301=""),"No tax code",IF(AND(L301&lt;&gt;"",O301=""),"No revenue GL code",""))))))))</f>
        <v/>
      </c>
      <c r="W301" s="25">
        <f>IF(E301="","",IFERROR(INDEX(lst_JobName,MATCH(E301&amp;"",lst_Jobs,0)),""))</f>
        <v/>
      </c>
      <c r="X301" s="28">
        <f>IF(E301="","",COUNTIFS(tbl_Finance[Job Number],E301&amp;"",tbl_Finance[Ex GST],"&lt;&gt;"))</f>
        <v/>
      </c>
      <c r="Y301" s="27">
        <f>IF(E301="","",SUMIFS(tbl_Finance[Ex GST],tbl_Finance[Job Number],E301&amp;""))</f>
        <v/>
      </c>
      <c r="Z301" s="27">
        <f>IF(E301="","",SUMIFS(tbl_Finance[Ex GST],tbl_Finance[Job Number],E301&amp;"",tbl_Finance[Xero Invoice No],"&lt;&gt;"))</f>
        <v/>
      </c>
      <c r="AA301" s="27">
        <f>IF(E301="","",Y301-Z301)</f>
        <v/>
      </c>
      <c r="AB301" s="25">
        <f>IF(E301="","",IF(H301="Onsite",IFERROR(INDEX(tbl_Onsite[Qwilr Quote],MATCH(E301&amp;"",tbl_Onsite[Job Number],0)),""),IF(H301="Production",IFERROR(INDEX(tbl_Production[Current RMS No],MATCH(E301&amp;"",tbl_Production[Job Number],0)),""),IF(H301="Consulting",IFERROR(INDEX(tbl_Consulting[Qwilr Quote],MATCH(E301&amp;"",tbl_Consulting[Job Number],0)),""),""))))</f>
        <v/>
      </c>
      <c r="AC301" s="25">
        <f>IF(AB301="","",IF(AND(LEFT(AB301,4)&lt;&gt;"http",IF(H301="Production",set_RMSBase,set_QwilrBase)=""),"",HYPERLINK(IF(LEFT(AB301,4)="http",AB301,IF(H301="Production",set_RMSBase,set_QwilrBase)&amp;AB301),"Open")))</f>
        <v/>
      </c>
      <c r="AD301" s="27">
        <f>IF(E301="","",IF(H301="Production",IFERROR(INDEX(tbl_Production[Total Expense],MATCH(E301&amp;"",tbl_Production[Job Number],0)),0),IF(H301="Consulting",IFERROR(INDEX(tbl_Consulting[Total Expense],MATCH(E301&amp;"",tbl_Consulting[Job Number],0)),0),0)))</f>
        <v/>
      </c>
      <c r="AE301" s="27">
        <f>IF(E301="","",Y301-N(AD301))</f>
        <v/>
      </c>
      <c r="AF301" s="29">
        <f>IFERROR(AE301/Y301,"")</f>
        <v/>
      </c>
      <c r="AG301" s="25">
        <f>IF(E301="","",IF(H301="Onsite",IFERROR(INDEX(tbl_Onsite[Notes],MATCH(E301&amp;"",tbl_Onsite[Job Number],0)),""),IF(H301="Production",IFERROR(INDEX(tbl_Production[Notes],MATCH(E301&amp;"",tbl_Production[Job Number],0)),""),IF(H301="Consulting",IFERROR(INDEX(tbl_Consulting[Notes],MATCH(E301&amp;"",tbl_Consulting[Job Number],0)),""),""))))</f>
        <v/>
      </c>
    </row>
    <row r="302" ht="15" customHeight="1">
      <c r="A302" s="22" t="n"/>
      <c r="B302" s="23">
        <f>IF(A302="","",EOMONTH(A302,0))</f>
        <v/>
      </c>
      <c r="C302" s="24" t="n"/>
      <c r="D302" s="24" t="n"/>
      <c r="E302" s="24" t="n"/>
      <c r="F302" s="25">
        <f>IF(E302="","",IF(COUNTIF(lst_Jobs,E302&amp;"")&gt;0,"OK","CHECK"))</f>
        <v/>
      </c>
      <c r="G302" s="24" t="n"/>
      <c r="H302" s="24" t="n"/>
      <c r="I302" s="24" t="n"/>
      <c r="J302" s="24" t="n"/>
      <c r="K302" s="24" t="n"/>
      <c r="L302" s="26" t="n"/>
      <c r="M302" s="27">
        <f>IF(L302="","",IF(K302="GST 10%",ROUND(L302*set_GSTRate,2),0))</f>
        <v/>
      </c>
      <c r="N302" s="27">
        <f>IF(L302="","",L302+M302)</f>
        <v/>
      </c>
      <c r="O302" s="24" t="n"/>
      <c r="P302" s="24" t="n"/>
      <c r="Q302" s="24" t="n"/>
      <c r="R302" s="22" t="n"/>
      <c r="S302" s="22" t="n"/>
      <c r="T302" s="24" t="n"/>
      <c r="U302" s="24" t="n"/>
      <c r="V302" s="25">
        <f>IF(COUNTA(A302,D302,C302,L302)=0,"",IF(A302="","No date - sits outside every month",IF(E302="","No job number",IF(F302="CHECK","Job number is not in the Xero job list",IF(I302="","No cost centre",IF(AND(P302="Y",C302=""),"Marked posted to Xero but has no invoice number",IF(AND(L302&lt;&gt;"",K302=""),"No tax code",IF(AND(L302&lt;&gt;"",O302=""),"No revenue GL code",""))))))))</f>
        <v/>
      </c>
      <c r="W302" s="25">
        <f>IF(E302="","",IFERROR(INDEX(lst_JobName,MATCH(E302&amp;"",lst_Jobs,0)),""))</f>
        <v/>
      </c>
      <c r="X302" s="28">
        <f>IF(E302="","",COUNTIFS(tbl_Finance[Job Number],E302&amp;"",tbl_Finance[Ex GST],"&lt;&gt;"))</f>
        <v/>
      </c>
      <c r="Y302" s="27">
        <f>IF(E302="","",SUMIFS(tbl_Finance[Ex GST],tbl_Finance[Job Number],E302&amp;""))</f>
        <v/>
      </c>
      <c r="Z302" s="27">
        <f>IF(E302="","",SUMIFS(tbl_Finance[Ex GST],tbl_Finance[Job Number],E302&amp;"",tbl_Finance[Xero Invoice No],"&lt;&gt;"))</f>
        <v/>
      </c>
      <c r="AA302" s="27">
        <f>IF(E302="","",Y302-Z302)</f>
        <v/>
      </c>
      <c r="AB302" s="25">
        <f>IF(E302="","",IF(H302="Onsite",IFERROR(INDEX(tbl_Onsite[Qwilr Quote],MATCH(E302&amp;"",tbl_Onsite[Job Number],0)),""),IF(H302="Production",IFERROR(INDEX(tbl_Production[Current RMS No],MATCH(E302&amp;"",tbl_Production[Job Number],0)),""),IF(H302="Consulting",IFERROR(INDEX(tbl_Consulting[Qwilr Quote],MATCH(E302&amp;"",tbl_Consulting[Job Number],0)),""),""))))</f>
        <v/>
      </c>
      <c r="AC302" s="25">
        <f>IF(AB302="","",IF(AND(LEFT(AB302,4)&lt;&gt;"http",IF(H302="Production",set_RMSBase,set_QwilrBase)=""),"",HYPERLINK(IF(LEFT(AB302,4)="http",AB302,IF(H302="Production",set_RMSBase,set_QwilrBase)&amp;AB302),"Open")))</f>
        <v/>
      </c>
      <c r="AD302" s="27">
        <f>IF(E302="","",IF(H302="Production",IFERROR(INDEX(tbl_Production[Total Expense],MATCH(E302&amp;"",tbl_Production[Job Number],0)),0),IF(H302="Consulting",IFERROR(INDEX(tbl_Consulting[Total Expense],MATCH(E302&amp;"",tbl_Consulting[Job Number],0)),0),0)))</f>
        <v/>
      </c>
      <c r="AE302" s="27">
        <f>IF(E302="","",Y302-N(AD302))</f>
        <v/>
      </c>
      <c r="AF302" s="29">
        <f>IFERROR(AE302/Y302,"")</f>
        <v/>
      </c>
      <c r="AG302" s="25">
        <f>IF(E302="","",IF(H302="Onsite",IFERROR(INDEX(tbl_Onsite[Notes],MATCH(E302&amp;"",tbl_Onsite[Job Number],0)),""),IF(H302="Production",IFERROR(INDEX(tbl_Production[Notes],MATCH(E302&amp;"",tbl_Production[Job Number],0)),""),IF(H302="Consulting",IFERROR(INDEX(tbl_Consulting[Notes],MATCH(E302&amp;"",tbl_Consulting[Job Number],0)),""),""))))</f>
        <v/>
      </c>
    </row>
    <row r="303" ht="15" customHeight="1">
      <c r="A303" s="22" t="n"/>
      <c r="B303" s="23">
        <f>IF(A303="","",EOMONTH(A303,0))</f>
        <v/>
      </c>
      <c r="C303" s="24" t="n"/>
      <c r="D303" s="24" t="n"/>
      <c r="E303" s="24" t="n"/>
      <c r="F303" s="25">
        <f>IF(E303="","",IF(COUNTIF(lst_Jobs,E303&amp;"")&gt;0,"OK","CHECK"))</f>
        <v/>
      </c>
      <c r="G303" s="24" t="n"/>
      <c r="H303" s="24" t="n"/>
      <c r="I303" s="24" t="n"/>
      <c r="J303" s="24" t="n"/>
      <c r="K303" s="24" t="n"/>
      <c r="L303" s="26" t="n"/>
      <c r="M303" s="27">
        <f>IF(L303="","",IF(K303="GST 10%",ROUND(L303*set_GSTRate,2),0))</f>
        <v/>
      </c>
      <c r="N303" s="27">
        <f>IF(L303="","",L303+M303)</f>
        <v/>
      </c>
      <c r="O303" s="24" t="n"/>
      <c r="P303" s="24" t="n"/>
      <c r="Q303" s="24" t="n"/>
      <c r="R303" s="22" t="n"/>
      <c r="S303" s="22" t="n"/>
      <c r="T303" s="24" t="n"/>
      <c r="U303" s="24" t="n"/>
      <c r="V303" s="25">
        <f>IF(COUNTA(A303,D303,C303,L303)=0,"",IF(A303="","No date - sits outside every month",IF(E303="","No job number",IF(F303="CHECK","Job number is not in the Xero job list",IF(I303="","No cost centre",IF(AND(P303="Y",C303=""),"Marked posted to Xero but has no invoice number",IF(AND(L303&lt;&gt;"",K303=""),"No tax code",IF(AND(L303&lt;&gt;"",O303=""),"No revenue GL code",""))))))))</f>
        <v/>
      </c>
      <c r="W303" s="25">
        <f>IF(E303="","",IFERROR(INDEX(lst_JobName,MATCH(E303&amp;"",lst_Jobs,0)),""))</f>
        <v/>
      </c>
      <c r="X303" s="28">
        <f>IF(E303="","",COUNTIFS(tbl_Finance[Job Number],E303&amp;"",tbl_Finance[Ex GST],"&lt;&gt;"))</f>
        <v/>
      </c>
      <c r="Y303" s="27">
        <f>IF(E303="","",SUMIFS(tbl_Finance[Ex GST],tbl_Finance[Job Number],E303&amp;""))</f>
        <v/>
      </c>
      <c r="Z303" s="27">
        <f>IF(E303="","",SUMIFS(tbl_Finance[Ex GST],tbl_Finance[Job Number],E303&amp;"",tbl_Finance[Xero Invoice No],"&lt;&gt;"))</f>
        <v/>
      </c>
      <c r="AA303" s="27">
        <f>IF(E303="","",Y303-Z303)</f>
        <v/>
      </c>
      <c r="AB303" s="25">
        <f>IF(E303="","",IF(H303="Onsite",IFERROR(INDEX(tbl_Onsite[Qwilr Quote],MATCH(E303&amp;"",tbl_Onsite[Job Number],0)),""),IF(H303="Production",IFERROR(INDEX(tbl_Production[Current RMS No],MATCH(E303&amp;"",tbl_Production[Job Number],0)),""),IF(H303="Consulting",IFERROR(INDEX(tbl_Consulting[Qwilr Quote],MATCH(E303&amp;"",tbl_Consulting[Job Number],0)),""),""))))</f>
        <v/>
      </c>
      <c r="AC303" s="25">
        <f>IF(AB303="","",IF(AND(LEFT(AB303,4)&lt;&gt;"http",IF(H303="Production",set_RMSBase,set_QwilrBase)=""),"",HYPERLINK(IF(LEFT(AB303,4)="http",AB303,IF(H303="Production",set_RMSBase,set_QwilrBase)&amp;AB303),"Open")))</f>
        <v/>
      </c>
      <c r="AD303" s="27">
        <f>IF(E303="","",IF(H303="Production",IFERROR(INDEX(tbl_Production[Total Expense],MATCH(E303&amp;"",tbl_Production[Job Number],0)),0),IF(H303="Consulting",IFERROR(INDEX(tbl_Consulting[Total Expense],MATCH(E303&amp;"",tbl_Consulting[Job Number],0)),0),0)))</f>
        <v/>
      </c>
      <c r="AE303" s="27">
        <f>IF(E303="","",Y303-N(AD303))</f>
        <v/>
      </c>
      <c r="AF303" s="29">
        <f>IFERROR(AE303/Y303,"")</f>
        <v/>
      </c>
      <c r="AG303" s="25">
        <f>IF(E303="","",IF(H303="Onsite",IFERROR(INDEX(tbl_Onsite[Notes],MATCH(E303&amp;"",tbl_Onsite[Job Number],0)),""),IF(H303="Production",IFERROR(INDEX(tbl_Production[Notes],MATCH(E303&amp;"",tbl_Production[Job Number],0)),""),IF(H303="Consulting",IFERROR(INDEX(tbl_Consulting[Notes],MATCH(E303&amp;"",tbl_Consulting[Job Number],0)),""),""))))</f>
        <v/>
      </c>
    </row>
    <row r="304" ht="15" customHeight="1">
      <c r="A304" s="22" t="n"/>
      <c r="B304" s="23">
        <f>IF(A304="","",EOMONTH(A304,0))</f>
        <v/>
      </c>
      <c r="C304" s="24" t="n"/>
      <c r="D304" s="24" t="n"/>
      <c r="E304" s="24" t="n"/>
      <c r="F304" s="25">
        <f>IF(E304="","",IF(COUNTIF(lst_Jobs,E304&amp;"")&gt;0,"OK","CHECK"))</f>
        <v/>
      </c>
      <c r="G304" s="24" t="n"/>
      <c r="H304" s="24" t="n"/>
      <c r="I304" s="24" t="n"/>
      <c r="J304" s="24" t="n"/>
      <c r="K304" s="24" t="n"/>
      <c r="L304" s="26" t="n"/>
      <c r="M304" s="27">
        <f>IF(L304="","",IF(K304="GST 10%",ROUND(L304*set_GSTRate,2),0))</f>
        <v/>
      </c>
      <c r="N304" s="27">
        <f>IF(L304="","",L304+M304)</f>
        <v/>
      </c>
      <c r="O304" s="24" t="n"/>
      <c r="P304" s="24" t="n"/>
      <c r="Q304" s="24" t="n"/>
      <c r="R304" s="22" t="n"/>
      <c r="S304" s="22" t="n"/>
      <c r="T304" s="24" t="n"/>
      <c r="U304" s="24" t="n"/>
      <c r="V304" s="25">
        <f>IF(COUNTA(A304,D304,C304,L304)=0,"",IF(A304="","No date - sits outside every month",IF(E304="","No job number",IF(F304="CHECK","Job number is not in the Xero job list",IF(I304="","No cost centre",IF(AND(P304="Y",C304=""),"Marked posted to Xero but has no invoice number",IF(AND(L304&lt;&gt;"",K304=""),"No tax code",IF(AND(L304&lt;&gt;"",O304=""),"No revenue GL code",""))))))))</f>
        <v/>
      </c>
      <c r="W304" s="25">
        <f>IF(E304="","",IFERROR(INDEX(lst_JobName,MATCH(E304&amp;"",lst_Jobs,0)),""))</f>
        <v/>
      </c>
      <c r="X304" s="28">
        <f>IF(E304="","",COUNTIFS(tbl_Finance[Job Number],E304&amp;"",tbl_Finance[Ex GST],"&lt;&gt;"))</f>
        <v/>
      </c>
      <c r="Y304" s="27">
        <f>IF(E304="","",SUMIFS(tbl_Finance[Ex GST],tbl_Finance[Job Number],E304&amp;""))</f>
        <v/>
      </c>
      <c r="Z304" s="27">
        <f>IF(E304="","",SUMIFS(tbl_Finance[Ex GST],tbl_Finance[Job Number],E304&amp;"",tbl_Finance[Xero Invoice No],"&lt;&gt;"))</f>
        <v/>
      </c>
      <c r="AA304" s="27">
        <f>IF(E304="","",Y304-Z304)</f>
        <v/>
      </c>
      <c r="AB304" s="25">
        <f>IF(E304="","",IF(H304="Onsite",IFERROR(INDEX(tbl_Onsite[Qwilr Quote],MATCH(E304&amp;"",tbl_Onsite[Job Number],0)),""),IF(H304="Production",IFERROR(INDEX(tbl_Production[Current RMS No],MATCH(E304&amp;"",tbl_Production[Job Number],0)),""),IF(H304="Consulting",IFERROR(INDEX(tbl_Consulting[Qwilr Quote],MATCH(E304&amp;"",tbl_Consulting[Job Number],0)),""),""))))</f>
        <v/>
      </c>
      <c r="AC304" s="25">
        <f>IF(AB304="","",IF(AND(LEFT(AB304,4)&lt;&gt;"http",IF(H304="Production",set_RMSBase,set_QwilrBase)=""),"",HYPERLINK(IF(LEFT(AB304,4)="http",AB304,IF(H304="Production",set_RMSBase,set_QwilrBase)&amp;AB304),"Open")))</f>
        <v/>
      </c>
      <c r="AD304" s="27">
        <f>IF(E304="","",IF(H304="Production",IFERROR(INDEX(tbl_Production[Total Expense],MATCH(E304&amp;"",tbl_Production[Job Number],0)),0),IF(H304="Consulting",IFERROR(INDEX(tbl_Consulting[Total Expense],MATCH(E304&amp;"",tbl_Consulting[Job Number],0)),0),0)))</f>
        <v/>
      </c>
      <c r="AE304" s="27">
        <f>IF(E304="","",Y304-N(AD304))</f>
        <v/>
      </c>
      <c r="AF304" s="29">
        <f>IFERROR(AE304/Y304,"")</f>
        <v/>
      </c>
      <c r="AG304" s="25">
        <f>IF(E304="","",IF(H304="Onsite",IFERROR(INDEX(tbl_Onsite[Notes],MATCH(E304&amp;"",tbl_Onsite[Job Number],0)),""),IF(H304="Production",IFERROR(INDEX(tbl_Production[Notes],MATCH(E304&amp;"",tbl_Production[Job Number],0)),""),IF(H304="Consulting",IFERROR(INDEX(tbl_Consulting[Notes],MATCH(E304&amp;"",tbl_Consulting[Job Number],0)),""),""))))</f>
        <v/>
      </c>
    </row>
    <row r="305" ht="15" customHeight="1">
      <c r="A305" s="22" t="n"/>
      <c r="B305" s="23">
        <f>IF(A305="","",EOMONTH(A305,0))</f>
        <v/>
      </c>
      <c r="C305" s="24" t="n"/>
      <c r="D305" s="24" t="n"/>
      <c r="E305" s="24" t="n"/>
      <c r="F305" s="25">
        <f>IF(E305="","",IF(COUNTIF(lst_Jobs,E305&amp;"")&gt;0,"OK","CHECK"))</f>
        <v/>
      </c>
      <c r="G305" s="24" t="n"/>
      <c r="H305" s="24" t="n"/>
      <c r="I305" s="24" t="n"/>
      <c r="J305" s="24" t="n"/>
      <c r="K305" s="24" t="n"/>
      <c r="L305" s="26" t="n"/>
      <c r="M305" s="27">
        <f>IF(L305="","",IF(K305="GST 10%",ROUND(L305*set_GSTRate,2),0))</f>
        <v/>
      </c>
      <c r="N305" s="27">
        <f>IF(L305="","",L305+M305)</f>
        <v/>
      </c>
      <c r="O305" s="24" t="n"/>
      <c r="P305" s="24" t="n"/>
      <c r="Q305" s="24" t="n"/>
      <c r="R305" s="22" t="n"/>
      <c r="S305" s="22" t="n"/>
      <c r="T305" s="24" t="n"/>
      <c r="U305" s="24" t="n"/>
      <c r="V305" s="25">
        <f>IF(COUNTA(A305,D305,C305,L305)=0,"",IF(A305="","No date - sits outside every month",IF(E305="","No job number",IF(F305="CHECK","Job number is not in the Xero job list",IF(I305="","No cost centre",IF(AND(P305="Y",C305=""),"Marked posted to Xero but has no invoice number",IF(AND(L305&lt;&gt;"",K305=""),"No tax code",IF(AND(L305&lt;&gt;"",O305=""),"No revenue GL code",""))))))))</f>
        <v/>
      </c>
      <c r="W305" s="25">
        <f>IF(E305="","",IFERROR(INDEX(lst_JobName,MATCH(E305&amp;"",lst_Jobs,0)),""))</f>
        <v/>
      </c>
      <c r="X305" s="28">
        <f>IF(E305="","",COUNTIFS(tbl_Finance[Job Number],E305&amp;"",tbl_Finance[Ex GST],"&lt;&gt;"))</f>
        <v/>
      </c>
      <c r="Y305" s="27">
        <f>IF(E305="","",SUMIFS(tbl_Finance[Ex GST],tbl_Finance[Job Number],E305&amp;""))</f>
        <v/>
      </c>
      <c r="Z305" s="27">
        <f>IF(E305="","",SUMIFS(tbl_Finance[Ex GST],tbl_Finance[Job Number],E305&amp;"",tbl_Finance[Xero Invoice No],"&lt;&gt;"))</f>
        <v/>
      </c>
      <c r="AA305" s="27">
        <f>IF(E305="","",Y305-Z305)</f>
        <v/>
      </c>
      <c r="AB305" s="25">
        <f>IF(E305="","",IF(H305="Onsite",IFERROR(INDEX(tbl_Onsite[Qwilr Quote],MATCH(E305&amp;"",tbl_Onsite[Job Number],0)),""),IF(H305="Production",IFERROR(INDEX(tbl_Production[Current RMS No],MATCH(E305&amp;"",tbl_Production[Job Number],0)),""),IF(H305="Consulting",IFERROR(INDEX(tbl_Consulting[Qwilr Quote],MATCH(E305&amp;"",tbl_Consulting[Job Number],0)),""),""))))</f>
        <v/>
      </c>
      <c r="AC305" s="25">
        <f>IF(AB305="","",IF(AND(LEFT(AB305,4)&lt;&gt;"http",IF(H305="Production",set_RMSBase,set_QwilrBase)=""),"",HYPERLINK(IF(LEFT(AB305,4)="http",AB305,IF(H305="Production",set_RMSBase,set_QwilrBase)&amp;AB305),"Open")))</f>
        <v/>
      </c>
      <c r="AD305" s="27">
        <f>IF(E305="","",IF(H305="Production",IFERROR(INDEX(tbl_Production[Total Expense],MATCH(E305&amp;"",tbl_Production[Job Number],0)),0),IF(H305="Consulting",IFERROR(INDEX(tbl_Consulting[Total Expense],MATCH(E305&amp;"",tbl_Consulting[Job Number],0)),0),0)))</f>
        <v/>
      </c>
      <c r="AE305" s="27">
        <f>IF(E305="","",Y305-N(AD305))</f>
        <v/>
      </c>
      <c r="AF305" s="29">
        <f>IFERROR(AE305/Y305,"")</f>
        <v/>
      </c>
      <c r="AG305" s="25">
        <f>IF(E305="","",IF(H305="Onsite",IFERROR(INDEX(tbl_Onsite[Notes],MATCH(E305&amp;"",tbl_Onsite[Job Number],0)),""),IF(H305="Production",IFERROR(INDEX(tbl_Production[Notes],MATCH(E305&amp;"",tbl_Production[Job Number],0)),""),IF(H305="Consulting",IFERROR(INDEX(tbl_Consulting[Notes],MATCH(E305&amp;"",tbl_Consulting[Job Number],0)),""),""))))</f>
        <v/>
      </c>
    </row>
    <row r="306" ht="15" customHeight="1">
      <c r="A306" s="22" t="n"/>
      <c r="B306" s="23">
        <f>IF(A306="","",EOMONTH(A306,0))</f>
        <v/>
      </c>
      <c r="C306" s="24" t="n"/>
      <c r="D306" s="24" t="n"/>
      <c r="E306" s="24" t="n"/>
      <c r="F306" s="25">
        <f>IF(E306="","",IF(COUNTIF(lst_Jobs,E306&amp;"")&gt;0,"OK","CHECK"))</f>
        <v/>
      </c>
      <c r="G306" s="24" t="n"/>
      <c r="H306" s="24" t="n"/>
      <c r="I306" s="24" t="n"/>
      <c r="J306" s="24" t="n"/>
      <c r="K306" s="24" t="n"/>
      <c r="L306" s="26" t="n"/>
      <c r="M306" s="27">
        <f>IF(L306="","",IF(K306="GST 10%",ROUND(L306*set_GSTRate,2),0))</f>
        <v/>
      </c>
      <c r="N306" s="27">
        <f>IF(L306="","",L306+M306)</f>
        <v/>
      </c>
      <c r="O306" s="24" t="n"/>
      <c r="P306" s="24" t="n"/>
      <c r="Q306" s="24" t="n"/>
      <c r="R306" s="22" t="n"/>
      <c r="S306" s="22" t="n"/>
      <c r="T306" s="24" t="n"/>
      <c r="U306" s="24" t="n"/>
      <c r="V306" s="25">
        <f>IF(COUNTA(A306,D306,C306,L306)=0,"",IF(A306="","No date - sits outside every month",IF(E306="","No job number",IF(F306="CHECK","Job number is not in the Xero job list",IF(I306="","No cost centre",IF(AND(P306="Y",C306=""),"Marked posted to Xero but has no invoice number",IF(AND(L306&lt;&gt;"",K306=""),"No tax code",IF(AND(L306&lt;&gt;"",O306=""),"No revenue GL code",""))))))))</f>
        <v/>
      </c>
      <c r="W306" s="25">
        <f>IF(E306="","",IFERROR(INDEX(lst_JobName,MATCH(E306&amp;"",lst_Jobs,0)),""))</f>
        <v/>
      </c>
      <c r="X306" s="28">
        <f>IF(E306="","",COUNTIFS(tbl_Finance[Job Number],E306&amp;"",tbl_Finance[Ex GST],"&lt;&gt;"))</f>
        <v/>
      </c>
      <c r="Y306" s="27">
        <f>IF(E306="","",SUMIFS(tbl_Finance[Ex GST],tbl_Finance[Job Number],E306&amp;""))</f>
        <v/>
      </c>
      <c r="Z306" s="27">
        <f>IF(E306="","",SUMIFS(tbl_Finance[Ex GST],tbl_Finance[Job Number],E306&amp;"",tbl_Finance[Xero Invoice No],"&lt;&gt;"))</f>
        <v/>
      </c>
      <c r="AA306" s="27">
        <f>IF(E306="","",Y306-Z306)</f>
        <v/>
      </c>
      <c r="AB306" s="25">
        <f>IF(E306="","",IF(H306="Onsite",IFERROR(INDEX(tbl_Onsite[Qwilr Quote],MATCH(E306&amp;"",tbl_Onsite[Job Number],0)),""),IF(H306="Production",IFERROR(INDEX(tbl_Production[Current RMS No],MATCH(E306&amp;"",tbl_Production[Job Number],0)),""),IF(H306="Consulting",IFERROR(INDEX(tbl_Consulting[Qwilr Quote],MATCH(E306&amp;"",tbl_Consulting[Job Number],0)),""),""))))</f>
        <v/>
      </c>
      <c r="AC306" s="25">
        <f>IF(AB306="","",IF(AND(LEFT(AB306,4)&lt;&gt;"http",IF(H306="Production",set_RMSBase,set_QwilrBase)=""),"",HYPERLINK(IF(LEFT(AB306,4)="http",AB306,IF(H306="Production",set_RMSBase,set_QwilrBase)&amp;AB306),"Open")))</f>
        <v/>
      </c>
      <c r="AD306" s="27">
        <f>IF(E306="","",IF(H306="Production",IFERROR(INDEX(tbl_Production[Total Expense],MATCH(E306&amp;"",tbl_Production[Job Number],0)),0),IF(H306="Consulting",IFERROR(INDEX(tbl_Consulting[Total Expense],MATCH(E306&amp;"",tbl_Consulting[Job Number],0)),0),0)))</f>
        <v/>
      </c>
      <c r="AE306" s="27">
        <f>IF(E306="","",Y306-N(AD306))</f>
        <v/>
      </c>
      <c r="AF306" s="29">
        <f>IFERROR(AE306/Y306,"")</f>
        <v/>
      </c>
      <c r="AG306" s="25">
        <f>IF(E306="","",IF(H306="Onsite",IFERROR(INDEX(tbl_Onsite[Notes],MATCH(E306&amp;"",tbl_Onsite[Job Number],0)),""),IF(H306="Production",IFERROR(INDEX(tbl_Production[Notes],MATCH(E306&amp;"",tbl_Production[Job Number],0)),""),IF(H306="Consulting",IFERROR(INDEX(tbl_Consulting[Notes],MATCH(E306&amp;"",tbl_Consulting[Job Number],0)),""),""))))</f>
        <v/>
      </c>
    </row>
    <row r="307" ht="15" customHeight="1">
      <c r="A307" s="22" t="n"/>
      <c r="B307" s="23">
        <f>IF(A307="","",EOMONTH(A307,0))</f>
        <v/>
      </c>
      <c r="C307" s="24" t="n"/>
      <c r="D307" s="24" t="n"/>
      <c r="E307" s="24" t="n"/>
      <c r="F307" s="25">
        <f>IF(E307="","",IF(COUNTIF(lst_Jobs,E307&amp;"")&gt;0,"OK","CHECK"))</f>
        <v/>
      </c>
      <c r="G307" s="24" t="n"/>
      <c r="H307" s="24" t="n"/>
      <c r="I307" s="24" t="n"/>
      <c r="J307" s="24" t="n"/>
      <c r="K307" s="24" t="n"/>
      <c r="L307" s="26" t="n"/>
      <c r="M307" s="27">
        <f>IF(L307="","",IF(K307="GST 10%",ROUND(L307*set_GSTRate,2),0))</f>
        <v/>
      </c>
      <c r="N307" s="27">
        <f>IF(L307="","",L307+M307)</f>
        <v/>
      </c>
      <c r="O307" s="24" t="n"/>
      <c r="P307" s="24" t="n"/>
      <c r="Q307" s="24" t="n"/>
      <c r="R307" s="22" t="n"/>
      <c r="S307" s="22" t="n"/>
      <c r="T307" s="24" t="n"/>
      <c r="U307" s="24" t="n"/>
      <c r="V307" s="25">
        <f>IF(COUNTA(A307,D307,C307,L307)=0,"",IF(A307="","No date - sits outside every month",IF(E307="","No job number",IF(F307="CHECK","Job number is not in the Xero job list",IF(I307="","No cost centre",IF(AND(P307="Y",C307=""),"Marked posted to Xero but has no invoice number",IF(AND(L307&lt;&gt;"",K307=""),"No tax code",IF(AND(L307&lt;&gt;"",O307=""),"No revenue GL code",""))))))))</f>
        <v/>
      </c>
      <c r="W307" s="25">
        <f>IF(E307="","",IFERROR(INDEX(lst_JobName,MATCH(E307&amp;"",lst_Jobs,0)),""))</f>
        <v/>
      </c>
      <c r="X307" s="28">
        <f>IF(E307="","",COUNTIFS(tbl_Finance[Job Number],E307&amp;"",tbl_Finance[Ex GST],"&lt;&gt;"))</f>
        <v/>
      </c>
      <c r="Y307" s="27">
        <f>IF(E307="","",SUMIFS(tbl_Finance[Ex GST],tbl_Finance[Job Number],E307&amp;""))</f>
        <v/>
      </c>
      <c r="Z307" s="27">
        <f>IF(E307="","",SUMIFS(tbl_Finance[Ex GST],tbl_Finance[Job Number],E307&amp;"",tbl_Finance[Xero Invoice No],"&lt;&gt;"))</f>
        <v/>
      </c>
      <c r="AA307" s="27">
        <f>IF(E307="","",Y307-Z307)</f>
        <v/>
      </c>
      <c r="AB307" s="25">
        <f>IF(E307="","",IF(H307="Onsite",IFERROR(INDEX(tbl_Onsite[Qwilr Quote],MATCH(E307&amp;"",tbl_Onsite[Job Number],0)),""),IF(H307="Production",IFERROR(INDEX(tbl_Production[Current RMS No],MATCH(E307&amp;"",tbl_Production[Job Number],0)),""),IF(H307="Consulting",IFERROR(INDEX(tbl_Consulting[Qwilr Quote],MATCH(E307&amp;"",tbl_Consulting[Job Number],0)),""),""))))</f>
        <v/>
      </c>
      <c r="AC307" s="25">
        <f>IF(AB307="","",IF(AND(LEFT(AB307,4)&lt;&gt;"http",IF(H307="Production",set_RMSBase,set_QwilrBase)=""),"",HYPERLINK(IF(LEFT(AB307,4)="http",AB307,IF(H307="Production",set_RMSBase,set_QwilrBase)&amp;AB307),"Open")))</f>
        <v/>
      </c>
      <c r="AD307" s="27">
        <f>IF(E307="","",IF(H307="Production",IFERROR(INDEX(tbl_Production[Total Expense],MATCH(E307&amp;"",tbl_Production[Job Number],0)),0),IF(H307="Consulting",IFERROR(INDEX(tbl_Consulting[Total Expense],MATCH(E307&amp;"",tbl_Consulting[Job Number],0)),0),0)))</f>
        <v/>
      </c>
      <c r="AE307" s="27">
        <f>IF(E307="","",Y307-N(AD307))</f>
        <v/>
      </c>
      <c r="AF307" s="29">
        <f>IFERROR(AE307/Y307,"")</f>
        <v/>
      </c>
      <c r="AG307" s="25">
        <f>IF(E307="","",IF(H307="Onsite",IFERROR(INDEX(tbl_Onsite[Notes],MATCH(E307&amp;"",tbl_Onsite[Job Number],0)),""),IF(H307="Production",IFERROR(INDEX(tbl_Production[Notes],MATCH(E307&amp;"",tbl_Production[Job Number],0)),""),IF(H307="Consulting",IFERROR(INDEX(tbl_Consulting[Notes],MATCH(E307&amp;"",tbl_Consulting[Job Number],0)),""),""))))</f>
        <v/>
      </c>
    </row>
    <row r="308" ht="15" customHeight="1">
      <c r="A308" s="22" t="n"/>
      <c r="B308" s="23">
        <f>IF(A308="","",EOMONTH(A308,0))</f>
        <v/>
      </c>
      <c r="C308" s="24" t="n"/>
      <c r="D308" s="24" t="n"/>
      <c r="E308" s="24" t="n"/>
      <c r="F308" s="25">
        <f>IF(E308="","",IF(COUNTIF(lst_Jobs,E308&amp;"")&gt;0,"OK","CHECK"))</f>
        <v/>
      </c>
      <c r="G308" s="24" t="n"/>
      <c r="H308" s="24" t="n"/>
      <c r="I308" s="24" t="n"/>
      <c r="J308" s="24" t="n"/>
      <c r="K308" s="24" t="n"/>
      <c r="L308" s="26" t="n"/>
      <c r="M308" s="27">
        <f>IF(L308="","",IF(K308="GST 10%",ROUND(L308*set_GSTRate,2),0))</f>
        <v/>
      </c>
      <c r="N308" s="27">
        <f>IF(L308="","",L308+M308)</f>
        <v/>
      </c>
      <c r="O308" s="24" t="n"/>
      <c r="P308" s="24" t="n"/>
      <c r="Q308" s="24" t="n"/>
      <c r="R308" s="22" t="n"/>
      <c r="S308" s="22" t="n"/>
      <c r="T308" s="24" t="n"/>
      <c r="U308" s="24" t="n"/>
      <c r="V308" s="25">
        <f>IF(COUNTA(A308,D308,C308,L308)=0,"",IF(A308="","No date - sits outside every month",IF(E308="","No job number",IF(F308="CHECK","Job number is not in the Xero job list",IF(I308="","No cost centre",IF(AND(P308="Y",C308=""),"Marked posted to Xero but has no invoice number",IF(AND(L308&lt;&gt;"",K308=""),"No tax code",IF(AND(L308&lt;&gt;"",O308=""),"No revenue GL code",""))))))))</f>
        <v/>
      </c>
      <c r="W308" s="25">
        <f>IF(E308="","",IFERROR(INDEX(lst_JobName,MATCH(E308&amp;"",lst_Jobs,0)),""))</f>
        <v/>
      </c>
      <c r="X308" s="28">
        <f>IF(E308="","",COUNTIFS(tbl_Finance[Job Number],E308&amp;"",tbl_Finance[Ex GST],"&lt;&gt;"))</f>
        <v/>
      </c>
      <c r="Y308" s="27">
        <f>IF(E308="","",SUMIFS(tbl_Finance[Ex GST],tbl_Finance[Job Number],E308&amp;""))</f>
        <v/>
      </c>
      <c r="Z308" s="27">
        <f>IF(E308="","",SUMIFS(tbl_Finance[Ex GST],tbl_Finance[Job Number],E308&amp;"",tbl_Finance[Xero Invoice No],"&lt;&gt;"))</f>
        <v/>
      </c>
      <c r="AA308" s="27">
        <f>IF(E308="","",Y308-Z308)</f>
        <v/>
      </c>
      <c r="AB308" s="25">
        <f>IF(E308="","",IF(H308="Onsite",IFERROR(INDEX(tbl_Onsite[Qwilr Quote],MATCH(E308&amp;"",tbl_Onsite[Job Number],0)),""),IF(H308="Production",IFERROR(INDEX(tbl_Production[Current RMS No],MATCH(E308&amp;"",tbl_Production[Job Number],0)),""),IF(H308="Consulting",IFERROR(INDEX(tbl_Consulting[Qwilr Quote],MATCH(E308&amp;"",tbl_Consulting[Job Number],0)),""),""))))</f>
        <v/>
      </c>
      <c r="AC308" s="25">
        <f>IF(AB308="","",IF(AND(LEFT(AB308,4)&lt;&gt;"http",IF(H308="Production",set_RMSBase,set_QwilrBase)=""),"",HYPERLINK(IF(LEFT(AB308,4)="http",AB308,IF(H308="Production",set_RMSBase,set_QwilrBase)&amp;AB308),"Open")))</f>
        <v/>
      </c>
      <c r="AD308" s="27">
        <f>IF(E308="","",IF(H308="Production",IFERROR(INDEX(tbl_Production[Total Expense],MATCH(E308&amp;"",tbl_Production[Job Number],0)),0),IF(H308="Consulting",IFERROR(INDEX(tbl_Consulting[Total Expense],MATCH(E308&amp;"",tbl_Consulting[Job Number],0)),0),0)))</f>
        <v/>
      </c>
      <c r="AE308" s="27">
        <f>IF(E308="","",Y308-N(AD308))</f>
        <v/>
      </c>
      <c r="AF308" s="29">
        <f>IFERROR(AE308/Y308,"")</f>
        <v/>
      </c>
      <c r="AG308" s="25">
        <f>IF(E308="","",IF(H308="Onsite",IFERROR(INDEX(tbl_Onsite[Notes],MATCH(E308&amp;"",tbl_Onsite[Job Number],0)),""),IF(H308="Production",IFERROR(INDEX(tbl_Production[Notes],MATCH(E308&amp;"",tbl_Production[Job Number],0)),""),IF(H308="Consulting",IFERROR(INDEX(tbl_Consulting[Notes],MATCH(E308&amp;"",tbl_Consulting[Job Number],0)),""),""))))</f>
        <v/>
      </c>
    </row>
    <row r="309" ht="15" customHeight="1">
      <c r="A309" s="22" t="n"/>
      <c r="B309" s="23">
        <f>IF(A309="","",EOMONTH(A309,0))</f>
        <v/>
      </c>
      <c r="C309" s="24" t="n"/>
      <c r="D309" s="24" t="n"/>
      <c r="E309" s="24" t="n"/>
      <c r="F309" s="25">
        <f>IF(E309="","",IF(COUNTIF(lst_Jobs,E309&amp;"")&gt;0,"OK","CHECK"))</f>
        <v/>
      </c>
      <c r="G309" s="24" t="n"/>
      <c r="H309" s="24" t="n"/>
      <c r="I309" s="24" t="n"/>
      <c r="J309" s="24" t="n"/>
      <c r="K309" s="24" t="n"/>
      <c r="L309" s="26" t="n"/>
      <c r="M309" s="27">
        <f>IF(L309="","",IF(K309="GST 10%",ROUND(L309*set_GSTRate,2),0))</f>
        <v/>
      </c>
      <c r="N309" s="27">
        <f>IF(L309="","",L309+M309)</f>
        <v/>
      </c>
      <c r="O309" s="24" t="n"/>
      <c r="P309" s="24" t="n"/>
      <c r="Q309" s="24" t="n"/>
      <c r="R309" s="22" t="n"/>
      <c r="S309" s="22" t="n"/>
      <c r="T309" s="24" t="n"/>
      <c r="U309" s="24" t="n"/>
      <c r="V309" s="25">
        <f>IF(COUNTA(A309,D309,C309,L309)=0,"",IF(A309="","No date - sits outside every month",IF(E309="","No job number",IF(F309="CHECK","Job number is not in the Xero job list",IF(I309="","No cost centre",IF(AND(P309="Y",C309=""),"Marked posted to Xero but has no invoice number",IF(AND(L309&lt;&gt;"",K309=""),"No tax code",IF(AND(L309&lt;&gt;"",O309=""),"No revenue GL code",""))))))))</f>
        <v/>
      </c>
      <c r="W309" s="25">
        <f>IF(E309="","",IFERROR(INDEX(lst_JobName,MATCH(E309&amp;"",lst_Jobs,0)),""))</f>
        <v/>
      </c>
      <c r="X309" s="28">
        <f>IF(E309="","",COUNTIFS(tbl_Finance[Job Number],E309&amp;"",tbl_Finance[Ex GST],"&lt;&gt;"))</f>
        <v/>
      </c>
      <c r="Y309" s="27">
        <f>IF(E309="","",SUMIFS(tbl_Finance[Ex GST],tbl_Finance[Job Number],E309&amp;""))</f>
        <v/>
      </c>
      <c r="Z309" s="27">
        <f>IF(E309="","",SUMIFS(tbl_Finance[Ex GST],tbl_Finance[Job Number],E309&amp;"",tbl_Finance[Xero Invoice No],"&lt;&gt;"))</f>
        <v/>
      </c>
      <c r="AA309" s="27">
        <f>IF(E309="","",Y309-Z309)</f>
        <v/>
      </c>
      <c r="AB309" s="25">
        <f>IF(E309="","",IF(H309="Onsite",IFERROR(INDEX(tbl_Onsite[Qwilr Quote],MATCH(E309&amp;"",tbl_Onsite[Job Number],0)),""),IF(H309="Production",IFERROR(INDEX(tbl_Production[Current RMS No],MATCH(E309&amp;"",tbl_Production[Job Number],0)),""),IF(H309="Consulting",IFERROR(INDEX(tbl_Consulting[Qwilr Quote],MATCH(E309&amp;"",tbl_Consulting[Job Number],0)),""),""))))</f>
        <v/>
      </c>
      <c r="AC309" s="25">
        <f>IF(AB309="","",IF(AND(LEFT(AB309,4)&lt;&gt;"http",IF(H309="Production",set_RMSBase,set_QwilrBase)=""),"",HYPERLINK(IF(LEFT(AB309,4)="http",AB309,IF(H309="Production",set_RMSBase,set_QwilrBase)&amp;AB309),"Open")))</f>
        <v/>
      </c>
      <c r="AD309" s="27">
        <f>IF(E309="","",IF(H309="Production",IFERROR(INDEX(tbl_Production[Total Expense],MATCH(E309&amp;"",tbl_Production[Job Number],0)),0),IF(H309="Consulting",IFERROR(INDEX(tbl_Consulting[Total Expense],MATCH(E309&amp;"",tbl_Consulting[Job Number],0)),0),0)))</f>
        <v/>
      </c>
      <c r="AE309" s="27">
        <f>IF(E309="","",Y309-N(AD309))</f>
        <v/>
      </c>
      <c r="AF309" s="29">
        <f>IFERROR(AE309/Y309,"")</f>
        <v/>
      </c>
      <c r="AG309" s="25">
        <f>IF(E309="","",IF(H309="Onsite",IFERROR(INDEX(tbl_Onsite[Notes],MATCH(E309&amp;"",tbl_Onsite[Job Number],0)),""),IF(H309="Production",IFERROR(INDEX(tbl_Production[Notes],MATCH(E309&amp;"",tbl_Production[Job Number],0)),""),IF(H309="Consulting",IFERROR(INDEX(tbl_Consulting[Notes],MATCH(E309&amp;"",tbl_Consulting[Job Number],0)),""),""))))</f>
        <v/>
      </c>
    </row>
    <row r="310" ht="15" customHeight="1">
      <c r="A310" s="22" t="n"/>
      <c r="B310" s="23">
        <f>IF(A310="","",EOMONTH(A310,0))</f>
        <v/>
      </c>
      <c r="C310" s="24" t="n"/>
      <c r="D310" s="24" t="n"/>
      <c r="E310" s="24" t="n"/>
      <c r="F310" s="25">
        <f>IF(E310="","",IF(COUNTIF(lst_Jobs,E310&amp;"")&gt;0,"OK","CHECK"))</f>
        <v/>
      </c>
      <c r="G310" s="24" t="n"/>
      <c r="H310" s="24" t="n"/>
      <c r="I310" s="24" t="n"/>
      <c r="J310" s="24" t="n"/>
      <c r="K310" s="24" t="n"/>
      <c r="L310" s="26" t="n"/>
      <c r="M310" s="27">
        <f>IF(L310="","",IF(K310="GST 10%",ROUND(L310*set_GSTRate,2),0))</f>
        <v/>
      </c>
      <c r="N310" s="27">
        <f>IF(L310="","",L310+M310)</f>
        <v/>
      </c>
      <c r="O310" s="24" t="n"/>
      <c r="P310" s="24" t="n"/>
      <c r="Q310" s="24" t="n"/>
      <c r="R310" s="22" t="n"/>
      <c r="S310" s="22" t="n"/>
      <c r="T310" s="24" t="n"/>
      <c r="U310" s="24" t="n"/>
      <c r="V310" s="25">
        <f>IF(COUNTA(A310,D310,C310,L310)=0,"",IF(A310="","No date - sits outside every month",IF(E310="","No job number",IF(F310="CHECK","Job number is not in the Xero job list",IF(I310="","No cost centre",IF(AND(P310="Y",C310=""),"Marked posted to Xero but has no invoice number",IF(AND(L310&lt;&gt;"",K310=""),"No tax code",IF(AND(L310&lt;&gt;"",O310=""),"No revenue GL code",""))))))))</f>
        <v/>
      </c>
      <c r="W310" s="25">
        <f>IF(E310="","",IFERROR(INDEX(lst_JobName,MATCH(E310&amp;"",lst_Jobs,0)),""))</f>
        <v/>
      </c>
      <c r="X310" s="28">
        <f>IF(E310="","",COUNTIFS(tbl_Finance[Job Number],E310&amp;"",tbl_Finance[Ex GST],"&lt;&gt;"))</f>
        <v/>
      </c>
      <c r="Y310" s="27">
        <f>IF(E310="","",SUMIFS(tbl_Finance[Ex GST],tbl_Finance[Job Number],E310&amp;""))</f>
        <v/>
      </c>
      <c r="Z310" s="27">
        <f>IF(E310="","",SUMIFS(tbl_Finance[Ex GST],tbl_Finance[Job Number],E310&amp;"",tbl_Finance[Xero Invoice No],"&lt;&gt;"))</f>
        <v/>
      </c>
      <c r="AA310" s="27">
        <f>IF(E310="","",Y310-Z310)</f>
        <v/>
      </c>
      <c r="AB310" s="25">
        <f>IF(E310="","",IF(H310="Onsite",IFERROR(INDEX(tbl_Onsite[Qwilr Quote],MATCH(E310&amp;"",tbl_Onsite[Job Number],0)),""),IF(H310="Production",IFERROR(INDEX(tbl_Production[Current RMS No],MATCH(E310&amp;"",tbl_Production[Job Number],0)),""),IF(H310="Consulting",IFERROR(INDEX(tbl_Consulting[Qwilr Quote],MATCH(E310&amp;"",tbl_Consulting[Job Number],0)),""),""))))</f>
        <v/>
      </c>
      <c r="AC310" s="25">
        <f>IF(AB310="","",IF(AND(LEFT(AB310,4)&lt;&gt;"http",IF(H310="Production",set_RMSBase,set_QwilrBase)=""),"",HYPERLINK(IF(LEFT(AB310,4)="http",AB310,IF(H310="Production",set_RMSBase,set_QwilrBase)&amp;AB310),"Open")))</f>
        <v/>
      </c>
      <c r="AD310" s="27">
        <f>IF(E310="","",IF(H310="Production",IFERROR(INDEX(tbl_Production[Total Expense],MATCH(E310&amp;"",tbl_Production[Job Number],0)),0),IF(H310="Consulting",IFERROR(INDEX(tbl_Consulting[Total Expense],MATCH(E310&amp;"",tbl_Consulting[Job Number],0)),0),0)))</f>
        <v/>
      </c>
      <c r="AE310" s="27">
        <f>IF(E310="","",Y310-N(AD310))</f>
        <v/>
      </c>
      <c r="AF310" s="29">
        <f>IFERROR(AE310/Y310,"")</f>
        <v/>
      </c>
      <c r="AG310" s="25">
        <f>IF(E310="","",IF(H310="Onsite",IFERROR(INDEX(tbl_Onsite[Notes],MATCH(E310&amp;"",tbl_Onsite[Job Number],0)),""),IF(H310="Production",IFERROR(INDEX(tbl_Production[Notes],MATCH(E310&amp;"",tbl_Production[Job Number],0)),""),IF(H310="Consulting",IFERROR(INDEX(tbl_Consulting[Notes],MATCH(E310&amp;"",tbl_Consulting[Job Number],0)),""),""))))</f>
        <v/>
      </c>
    </row>
    <row r="311" ht="15" customHeight="1">
      <c r="A311" s="22" t="n"/>
      <c r="B311" s="23">
        <f>IF(A311="","",EOMONTH(A311,0))</f>
        <v/>
      </c>
      <c r="C311" s="24" t="n"/>
      <c r="D311" s="24" t="n"/>
      <c r="E311" s="24" t="n"/>
      <c r="F311" s="25">
        <f>IF(E311="","",IF(COUNTIF(lst_Jobs,E311&amp;"")&gt;0,"OK","CHECK"))</f>
        <v/>
      </c>
      <c r="G311" s="24" t="n"/>
      <c r="H311" s="24" t="n"/>
      <c r="I311" s="24" t="n"/>
      <c r="J311" s="24" t="n"/>
      <c r="K311" s="24" t="n"/>
      <c r="L311" s="26" t="n"/>
      <c r="M311" s="27">
        <f>IF(L311="","",IF(K311="GST 10%",ROUND(L311*set_GSTRate,2),0))</f>
        <v/>
      </c>
      <c r="N311" s="27">
        <f>IF(L311="","",L311+M311)</f>
        <v/>
      </c>
      <c r="O311" s="24" t="n"/>
      <c r="P311" s="24" t="n"/>
      <c r="Q311" s="24" t="n"/>
      <c r="R311" s="22" t="n"/>
      <c r="S311" s="22" t="n"/>
      <c r="T311" s="24" t="n"/>
      <c r="U311" s="24" t="n"/>
      <c r="V311" s="25">
        <f>IF(COUNTA(A311,D311,C311,L311)=0,"",IF(A311="","No date - sits outside every month",IF(E311="","No job number",IF(F311="CHECK","Job number is not in the Xero job list",IF(I311="","No cost centre",IF(AND(P311="Y",C311=""),"Marked posted to Xero but has no invoice number",IF(AND(L311&lt;&gt;"",K311=""),"No tax code",IF(AND(L311&lt;&gt;"",O311=""),"No revenue GL code",""))))))))</f>
        <v/>
      </c>
      <c r="W311" s="25">
        <f>IF(E311="","",IFERROR(INDEX(lst_JobName,MATCH(E311&amp;"",lst_Jobs,0)),""))</f>
        <v/>
      </c>
      <c r="X311" s="28">
        <f>IF(E311="","",COUNTIFS(tbl_Finance[Job Number],E311&amp;"",tbl_Finance[Ex GST],"&lt;&gt;"))</f>
        <v/>
      </c>
      <c r="Y311" s="27">
        <f>IF(E311="","",SUMIFS(tbl_Finance[Ex GST],tbl_Finance[Job Number],E311&amp;""))</f>
        <v/>
      </c>
      <c r="Z311" s="27">
        <f>IF(E311="","",SUMIFS(tbl_Finance[Ex GST],tbl_Finance[Job Number],E311&amp;"",tbl_Finance[Xero Invoice No],"&lt;&gt;"))</f>
        <v/>
      </c>
      <c r="AA311" s="27">
        <f>IF(E311="","",Y311-Z311)</f>
        <v/>
      </c>
      <c r="AB311" s="25">
        <f>IF(E311="","",IF(H311="Onsite",IFERROR(INDEX(tbl_Onsite[Qwilr Quote],MATCH(E311&amp;"",tbl_Onsite[Job Number],0)),""),IF(H311="Production",IFERROR(INDEX(tbl_Production[Current RMS No],MATCH(E311&amp;"",tbl_Production[Job Number],0)),""),IF(H311="Consulting",IFERROR(INDEX(tbl_Consulting[Qwilr Quote],MATCH(E311&amp;"",tbl_Consulting[Job Number],0)),""),""))))</f>
        <v/>
      </c>
      <c r="AC311" s="25">
        <f>IF(AB311="","",IF(AND(LEFT(AB311,4)&lt;&gt;"http",IF(H311="Production",set_RMSBase,set_QwilrBase)=""),"",HYPERLINK(IF(LEFT(AB311,4)="http",AB311,IF(H311="Production",set_RMSBase,set_QwilrBase)&amp;AB311),"Open")))</f>
        <v/>
      </c>
      <c r="AD311" s="27">
        <f>IF(E311="","",IF(H311="Production",IFERROR(INDEX(tbl_Production[Total Expense],MATCH(E311&amp;"",tbl_Production[Job Number],0)),0),IF(H311="Consulting",IFERROR(INDEX(tbl_Consulting[Total Expense],MATCH(E311&amp;"",tbl_Consulting[Job Number],0)),0),0)))</f>
        <v/>
      </c>
      <c r="AE311" s="27">
        <f>IF(E311="","",Y311-N(AD311))</f>
        <v/>
      </c>
      <c r="AF311" s="29">
        <f>IFERROR(AE311/Y311,"")</f>
        <v/>
      </c>
      <c r="AG311" s="25">
        <f>IF(E311="","",IF(H311="Onsite",IFERROR(INDEX(tbl_Onsite[Notes],MATCH(E311&amp;"",tbl_Onsite[Job Number],0)),""),IF(H311="Production",IFERROR(INDEX(tbl_Production[Notes],MATCH(E311&amp;"",tbl_Production[Job Number],0)),""),IF(H311="Consulting",IFERROR(INDEX(tbl_Consulting[Notes],MATCH(E311&amp;"",tbl_Consulting[Job Number],0)),""),""))))</f>
        <v/>
      </c>
    </row>
    <row r="312" ht="15" customHeight="1">
      <c r="A312" s="22" t="n"/>
      <c r="B312" s="23">
        <f>IF(A312="","",EOMONTH(A312,0))</f>
        <v/>
      </c>
      <c r="C312" s="24" t="n"/>
      <c r="D312" s="24" t="n"/>
      <c r="E312" s="24" t="n"/>
      <c r="F312" s="25">
        <f>IF(E312="","",IF(COUNTIF(lst_Jobs,E312&amp;"")&gt;0,"OK","CHECK"))</f>
        <v/>
      </c>
      <c r="G312" s="24" t="n"/>
      <c r="H312" s="24" t="n"/>
      <c r="I312" s="24" t="n"/>
      <c r="J312" s="24" t="n"/>
      <c r="K312" s="24" t="n"/>
      <c r="L312" s="26" t="n"/>
      <c r="M312" s="27">
        <f>IF(L312="","",IF(K312="GST 10%",ROUND(L312*set_GSTRate,2),0))</f>
        <v/>
      </c>
      <c r="N312" s="27">
        <f>IF(L312="","",L312+M312)</f>
        <v/>
      </c>
      <c r="O312" s="24" t="n"/>
      <c r="P312" s="24" t="n"/>
      <c r="Q312" s="24" t="n"/>
      <c r="R312" s="22" t="n"/>
      <c r="S312" s="22" t="n"/>
      <c r="T312" s="24" t="n"/>
      <c r="U312" s="24" t="n"/>
      <c r="V312" s="25">
        <f>IF(COUNTA(A312,D312,C312,L312)=0,"",IF(A312="","No date - sits outside every month",IF(E312="","No job number",IF(F312="CHECK","Job number is not in the Xero job list",IF(I312="","No cost centre",IF(AND(P312="Y",C312=""),"Marked posted to Xero but has no invoice number",IF(AND(L312&lt;&gt;"",K312=""),"No tax code",IF(AND(L312&lt;&gt;"",O312=""),"No revenue GL code",""))))))))</f>
        <v/>
      </c>
      <c r="W312" s="25">
        <f>IF(E312="","",IFERROR(INDEX(lst_JobName,MATCH(E312&amp;"",lst_Jobs,0)),""))</f>
        <v/>
      </c>
      <c r="X312" s="28">
        <f>IF(E312="","",COUNTIFS(tbl_Finance[Job Number],E312&amp;"",tbl_Finance[Ex GST],"&lt;&gt;"))</f>
        <v/>
      </c>
      <c r="Y312" s="27">
        <f>IF(E312="","",SUMIFS(tbl_Finance[Ex GST],tbl_Finance[Job Number],E312&amp;""))</f>
        <v/>
      </c>
      <c r="Z312" s="27">
        <f>IF(E312="","",SUMIFS(tbl_Finance[Ex GST],tbl_Finance[Job Number],E312&amp;"",tbl_Finance[Xero Invoice No],"&lt;&gt;"))</f>
        <v/>
      </c>
      <c r="AA312" s="27">
        <f>IF(E312="","",Y312-Z312)</f>
        <v/>
      </c>
      <c r="AB312" s="25">
        <f>IF(E312="","",IF(H312="Onsite",IFERROR(INDEX(tbl_Onsite[Qwilr Quote],MATCH(E312&amp;"",tbl_Onsite[Job Number],0)),""),IF(H312="Production",IFERROR(INDEX(tbl_Production[Current RMS No],MATCH(E312&amp;"",tbl_Production[Job Number],0)),""),IF(H312="Consulting",IFERROR(INDEX(tbl_Consulting[Qwilr Quote],MATCH(E312&amp;"",tbl_Consulting[Job Number],0)),""),""))))</f>
        <v/>
      </c>
      <c r="AC312" s="25">
        <f>IF(AB312="","",IF(AND(LEFT(AB312,4)&lt;&gt;"http",IF(H312="Production",set_RMSBase,set_QwilrBase)=""),"",HYPERLINK(IF(LEFT(AB312,4)="http",AB312,IF(H312="Production",set_RMSBase,set_QwilrBase)&amp;AB312),"Open")))</f>
        <v/>
      </c>
      <c r="AD312" s="27">
        <f>IF(E312="","",IF(H312="Production",IFERROR(INDEX(tbl_Production[Total Expense],MATCH(E312&amp;"",tbl_Production[Job Number],0)),0),IF(H312="Consulting",IFERROR(INDEX(tbl_Consulting[Total Expense],MATCH(E312&amp;"",tbl_Consulting[Job Number],0)),0),0)))</f>
        <v/>
      </c>
      <c r="AE312" s="27">
        <f>IF(E312="","",Y312-N(AD312))</f>
        <v/>
      </c>
      <c r="AF312" s="29">
        <f>IFERROR(AE312/Y312,"")</f>
        <v/>
      </c>
      <c r="AG312" s="25">
        <f>IF(E312="","",IF(H312="Onsite",IFERROR(INDEX(tbl_Onsite[Notes],MATCH(E312&amp;"",tbl_Onsite[Job Number],0)),""),IF(H312="Production",IFERROR(INDEX(tbl_Production[Notes],MATCH(E312&amp;"",tbl_Production[Job Number],0)),""),IF(H312="Consulting",IFERROR(INDEX(tbl_Consulting[Notes],MATCH(E312&amp;"",tbl_Consulting[Job Number],0)),""),""))))</f>
        <v/>
      </c>
    </row>
    <row r="313" ht="15" customHeight="1">
      <c r="A313" s="22" t="n"/>
      <c r="B313" s="23">
        <f>IF(A313="","",EOMONTH(A313,0))</f>
        <v/>
      </c>
      <c r="C313" s="24" t="n"/>
      <c r="D313" s="24" t="n"/>
      <c r="E313" s="24" t="n"/>
      <c r="F313" s="25">
        <f>IF(E313="","",IF(COUNTIF(lst_Jobs,E313&amp;"")&gt;0,"OK","CHECK"))</f>
        <v/>
      </c>
      <c r="G313" s="24" t="n"/>
      <c r="H313" s="24" t="n"/>
      <c r="I313" s="24" t="n"/>
      <c r="J313" s="24" t="n"/>
      <c r="K313" s="24" t="n"/>
      <c r="L313" s="26" t="n"/>
      <c r="M313" s="27">
        <f>IF(L313="","",IF(K313="GST 10%",ROUND(L313*set_GSTRate,2),0))</f>
        <v/>
      </c>
      <c r="N313" s="27">
        <f>IF(L313="","",L313+M313)</f>
        <v/>
      </c>
      <c r="O313" s="24" t="n"/>
      <c r="P313" s="24" t="n"/>
      <c r="Q313" s="24" t="n"/>
      <c r="R313" s="22" t="n"/>
      <c r="S313" s="22" t="n"/>
      <c r="T313" s="24" t="n"/>
      <c r="U313" s="24" t="n"/>
      <c r="V313" s="25">
        <f>IF(COUNTA(A313,D313,C313,L313)=0,"",IF(A313="","No date - sits outside every month",IF(E313="","No job number",IF(F313="CHECK","Job number is not in the Xero job list",IF(I313="","No cost centre",IF(AND(P313="Y",C313=""),"Marked posted to Xero but has no invoice number",IF(AND(L313&lt;&gt;"",K313=""),"No tax code",IF(AND(L313&lt;&gt;"",O313=""),"No revenue GL code",""))))))))</f>
        <v/>
      </c>
      <c r="W313" s="25">
        <f>IF(E313="","",IFERROR(INDEX(lst_JobName,MATCH(E313&amp;"",lst_Jobs,0)),""))</f>
        <v/>
      </c>
      <c r="X313" s="28">
        <f>IF(E313="","",COUNTIFS(tbl_Finance[Job Number],E313&amp;"",tbl_Finance[Ex GST],"&lt;&gt;"))</f>
        <v/>
      </c>
      <c r="Y313" s="27">
        <f>IF(E313="","",SUMIFS(tbl_Finance[Ex GST],tbl_Finance[Job Number],E313&amp;""))</f>
        <v/>
      </c>
      <c r="Z313" s="27">
        <f>IF(E313="","",SUMIFS(tbl_Finance[Ex GST],tbl_Finance[Job Number],E313&amp;"",tbl_Finance[Xero Invoice No],"&lt;&gt;"))</f>
        <v/>
      </c>
      <c r="AA313" s="27">
        <f>IF(E313="","",Y313-Z313)</f>
        <v/>
      </c>
      <c r="AB313" s="25">
        <f>IF(E313="","",IF(H313="Onsite",IFERROR(INDEX(tbl_Onsite[Qwilr Quote],MATCH(E313&amp;"",tbl_Onsite[Job Number],0)),""),IF(H313="Production",IFERROR(INDEX(tbl_Production[Current RMS No],MATCH(E313&amp;"",tbl_Production[Job Number],0)),""),IF(H313="Consulting",IFERROR(INDEX(tbl_Consulting[Qwilr Quote],MATCH(E313&amp;"",tbl_Consulting[Job Number],0)),""),""))))</f>
        <v/>
      </c>
      <c r="AC313" s="25">
        <f>IF(AB313="","",IF(AND(LEFT(AB313,4)&lt;&gt;"http",IF(H313="Production",set_RMSBase,set_QwilrBase)=""),"",HYPERLINK(IF(LEFT(AB313,4)="http",AB313,IF(H313="Production",set_RMSBase,set_QwilrBase)&amp;AB313),"Open")))</f>
        <v/>
      </c>
      <c r="AD313" s="27">
        <f>IF(E313="","",IF(H313="Production",IFERROR(INDEX(tbl_Production[Total Expense],MATCH(E313&amp;"",tbl_Production[Job Number],0)),0),IF(H313="Consulting",IFERROR(INDEX(tbl_Consulting[Total Expense],MATCH(E313&amp;"",tbl_Consulting[Job Number],0)),0),0)))</f>
        <v/>
      </c>
      <c r="AE313" s="27">
        <f>IF(E313="","",Y313-N(AD313))</f>
        <v/>
      </c>
      <c r="AF313" s="29">
        <f>IFERROR(AE313/Y313,"")</f>
        <v/>
      </c>
      <c r="AG313" s="25">
        <f>IF(E313="","",IF(H313="Onsite",IFERROR(INDEX(tbl_Onsite[Notes],MATCH(E313&amp;"",tbl_Onsite[Job Number],0)),""),IF(H313="Production",IFERROR(INDEX(tbl_Production[Notes],MATCH(E313&amp;"",tbl_Production[Job Number],0)),""),IF(H313="Consulting",IFERROR(INDEX(tbl_Consulting[Notes],MATCH(E313&amp;"",tbl_Consulting[Job Number],0)),""),""))))</f>
        <v/>
      </c>
    </row>
    <row r="314" ht="15" customHeight="1">
      <c r="A314" s="22" t="n"/>
      <c r="B314" s="23">
        <f>IF(A314="","",EOMONTH(A314,0))</f>
        <v/>
      </c>
      <c r="C314" s="24" t="n"/>
      <c r="D314" s="24" t="n"/>
      <c r="E314" s="24" t="n"/>
      <c r="F314" s="25">
        <f>IF(E314="","",IF(COUNTIF(lst_Jobs,E314&amp;"")&gt;0,"OK","CHECK"))</f>
        <v/>
      </c>
      <c r="G314" s="24" t="n"/>
      <c r="H314" s="24" t="n"/>
      <c r="I314" s="24" t="n"/>
      <c r="J314" s="24" t="n"/>
      <c r="K314" s="24" t="n"/>
      <c r="L314" s="26" t="n"/>
      <c r="M314" s="27">
        <f>IF(L314="","",IF(K314="GST 10%",ROUND(L314*set_GSTRate,2),0))</f>
        <v/>
      </c>
      <c r="N314" s="27">
        <f>IF(L314="","",L314+M314)</f>
        <v/>
      </c>
      <c r="O314" s="24" t="n"/>
      <c r="P314" s="24" t="n"/>
      <c r="Q314" s="24" t="n"/>
      <c r="R314" s="22" t="n"/>
      <c r="S314" s="22" t="n"/>
      <c r="T314" s="24" t="n"/>
      <c r="U314" s="24" t="n"/>
      <c r="V314" s="25">
        <f>IF(COUNTA(A314,D314,C314,L314)=0,"",IF(A314="","No date - sits outside every month",IF(E314="","No job number",IF(F314="CHECK","Job number is not in the Xero job list",IF(I314="","No cost centre",IF(AND(P314="Y",C314=""),"Marked posted to Xero but has no invoice number",IF(AND(L314&lt;&gt;"",K314=""),"No tax code",IF(AND(L314&lt;&gt;"",O314=""),"No revenue GL code",""))))))))</f>
        <v/>
      </c>
      <c r="W314" s="25">
        <f>IF(E314="","",IFERROR(INDEX(lst_JobName,MATCH(E314&amp;"",lst_Jobs,0)),""))</f>
        <v/>
      </c>
      <c r="X314" s="28">
        <f>IF(E314="","",COUNTIFS(tbl_Finance[Job Number],E314&amp;"",tbl_Finance[Ex GST],"&lt;&gt;"))</f>
        <v/>
      </c>
      <c r="Y314" s="27">
        <f>IF(E314="","",SUMIFS(tbl_Finance[Ex GST],tbl_Finance[Job Number],E314&amp;""))</f>
        <v/>
      </c>
      <c r="Z314" s="27">
        <f>IF(E314="","",SUMIFS(tbl_Finance[Ex GST],tbl_Finance[Job Number],E314&amp;"",tbl_Finance[Xero Invoice No],"&lt;&gt;"))</f>
        <v/>
      </c>
      <c r="AA314" s="27">
        <f>IF(E314="","",Y314-Z314)</f>
        <v/>
      </c>
      <c r="AB314" s="25">
        <f>IF(E314="","",IF(H314="Onsite",IFERROR(INDEX(tbl_Onsite[Qwilr Quote],MATCH(E314&amp;"",tbl_Onsite[Job Number],0)),""),IF(H314="Production",IFERROR(INDEX(tbl_Production[Current RMS No],MATCH(E314&amp;"",tbl_Production[Job Number],0)),""),IF(H314="Consulting",IFERROR(INDEX(tbl_Consulting[Qwilr Quote],MATCH(E314&amp;"",tbl_Consulting[Job Number],0)),""),""))))</f>
        <v/>
      </c>
      <c r="AC314" s="25">
        <f>IF(AB314="","",IF(AND(LEFT(AB314,4)&lt;&gt;"http",IF(H314="Production",set_RMSBase,set_QwilrBase)=""),"",HYPERLINK(IF(LEFT(AB314,4)="http",AB314,IF(H314="Production",set_RMSBase,set_QwilrBase)&amp;AB314),"Open")))</f>
        <v/>
      </c>
      <c r="AD314" s="27">
        <f>IF(E314="","",IF(H314="Production",IFERROR(INDEX(tbl_Production[Total Expense],MATCH(E314&amp;"",tbl_Production[Job Number],0)),0),IF(H314="Consulting",IFERROR(INDEX(tbl_Consulting[Total Expense],MATCH(E314&amp;"",tbl_Consulting[Job Number],0)),0),0)))</f>
        <v/>
      </c>
      <c r="AE314" s="27">
        <f>IF(E314="","",Y314-N(AD314))</f>
        <v/>
      </c>
      <c r="AF314" s="29">
        <f>IFERROR(AE314/Y314,"")</f>
        <v/>
      </c>
      <c r="AG314" s="25">
        <f>IF(E314="","",IF(H314="Onsite",IFERROR(INDEX(tbl_Onsite[Notes],MATCH(E314&amp;"",tbl_Onsite[Job Number],0)),""),IF(H314="Production",IFERROR(INDEX(tbl_Production[Notes],MATCH(E314&amp;"",tbl_Production[Job Number],0)),""),IF(H314="Consulting",IFERROR(INDEX(tbl_Consulting[Notes],MATCH(E314&amp;"",tbl_Consulting[Job Number],0)),""),""))))</f>
        <v/>
      </c>
    </row>
    <row r="315" ht="15" customHeight="1">
      <c r="A315" s="22" t="n"/>
      <c r="B315" s="23">
        <f>IF(A315="","",EOMONTH(A315,0))</f>
        <v/>
      </c>
      <c r="C315" s="24" t="n"/>
      <c r="D315" s="24" t="n"/>
      <c r="E315" s="24" t="n"/>
      <c r="F315" s="25">
        <f>IF(E315="","",IF(COUNTIF(lst_Jobs,E315&amp;"")&gt;0,"OK","CHECK"))</f>
        <v/>
      </c>
      <c r="G315" s="24" t="n"/>
      <c r="H315" s="24" t="n"/>
      <c r="I315" s="24" t="n"/>
      <c r="J315" s="24" t="n"/>
      <c r="K315" s="24" t="n"/>
      <c r="L315" s="26" t="n"/>
      <c r="M315" s="27">
        <f>IF(L315="","",IF(K315="GST 10%",ROUND(L315*set_GSTRate,2),0))</f>
        <v/>
      </c>
      <c r="N315" s="27">
        <f>IF(L315="","",L315+M315)</f>
        <v/>
      </c>
      <c r="O315" s="24" t="n"/>
      <c r="P315" s="24" t="n"/>
      <c r="Q315" s="24" t="n"/>
      <c r="R315" s="22" t="n"/>
      <c r="S315" s="22" t="n"/>
      <c r="T315" s="24" t="n"/>
      <c r="U315" s="24" t="n"/>
      <c r="V315" s="25">
        <f>IF(COUNTA(A315,D315,C315,L315)=0,"",IF(A315="","No date - sits outside every month",IF(E315="","No job number",IF(F315="CHECK","Job number is not in the Xero job list",IF(I315="","No cost centre",IF(AND(P315="Y",C315=""),"Marked posted to Xero but has no invoice number",IF(AND(L315&lt;&gt;"",K315=""),"No tax code",IF(AND(L315&lt;&gt;"",O315=""),"No revenue GL code",""))))))))</f>
        <v/>
      </c>
      <c r="W315" s="25">
        <f>IF(E315="","",IFERROR(INDEX(lst_JobName,MATCH(E315&amp;"",lst_Jobs,0)),""))</f>
        <v/>
      </c>
      <c r="X315" s="28">
        <f>IF(E315="","",COUNTIFS(tbl_Finance[Job Number],E315&amp;"",tbl_Finance[Ex GST],"&lt;&gt;"))</f>
        <v/>
      </c>
      <c r="Y315" s="27">
        <f>IF(E315="","",SUMIFS(tbl_Finance[Ex GST],tbl_Finance[Job Number],E315&amp;""))</f>
        <v/>
      </c>
      <c r="Z315" s="27">
        <f>IF(E315="","",SUMIFS(tbl_Finance[Ex GST],tbl_Finance[Job Number],E315&amp;"",tbl_Finance[Xero Invoice No],"&lt;&gt;"))</f>
        <v/>
      </c>
      <c r="AA315" s="27">
        <f>IF(E315="","",Y315-Z315)</f>
        <v/>
      </c>
      <c r="AB315" s="25">
        <f>IF(E315="","",IF(H315="Onsite",IFERROR(INDEX(tbl_Onsite[Qwilr Quote],MATCH(E315&amp;"",tbl_Onsite[Job Number],0)),""),IF(H315="Production",IFERROR(INDEX(tbl_Production[Current RMS No],MATCH(E315&amp;"",tbl_Production[Job Number],0)),""),IF(H315="Consulting",IFERROR(INDEX(tbl_Consulting[Qwilr Quote],MATCH(E315&amp;"",tbl_Consulting[Job Number],0)),""),""))))</f>
        <v/>
      </c>
      <c r="AC315" s="25">
        <f>IF(AB315="","",IF(AND(LEFT(AB315,4)&lt;&gt;"http",IF(H315="Production",set_RMSBase,set_QwilrBase)=""),"",HYPERLINK(IF(LEFT(AB315,4)="http",AB315,IF(H315="Production",set_RMSBase,set_QwilrBase)&amp;AB315),"Open")))</f>
        <v/>
      </c>
      <c r="AD315" s="27">
        <f>IF(E315="","",IF(H315="Production",IFERROR(INDEX(tbl_Production[Total Expense],MATCH(E315&amp;"",tbl_Production[Job Number],0)),0),IF(H315="Consulting",IFERROR(INDEX(tbl_Consulting[Total Expense],MATCH(E315&amp;"",tbl_Consulting[Job Number],0)),0),0)))</f>
        <v/>
      </c>
      <c r="AE315" s="27">
        <f>IF(E315="","",Y315-N(AD315))</f>
        <v/>
      </c>
      <c r="AF315" s="29">
        <f>IFERROR(AE315/Y315,"")</f>
        <v/>
      </c>
      <c r="AG315" s="25">
        <f>IF(E315="","",IF(H315="Onsite",IFERROR(INDEX(tbl_Onsite[Notes],MATCH(E315&amp;"",tbl_Onsite[Job Number],0)),""),IF(H315="Production",IFERROR(INDEX(tbl_Production[Notes],MATCH(E315&amp;"",tbl_Production[Job Number],0)),""),IF(H315="Consulting",IFERROR(INDEX(tbl_Consulting[Notes],MATCH(E315&amp;"",tbl_Consulting[Job Number],0)),""),""))))</f>
        <v/>
      </c>
    </row>
    <row r="316" ht="15" customHeight="1">
      <c r="A316" s="22" t="n"/>
      <c r="B316" s="23">
        <f>IF(A316="","",EOMONTH(A316,0))</f>
        <v/>
      </c>
      <c r="C316" s="24" t="n"/>
      <c r="D316" s="24" t="n"/>
      <c r="E316" s="24" t="n"/>
      <c r="F316" s="25">
        <f>IF(E316="","",IF(COUNTIF(lst_Jobs,E316&amp;"")&gt;0,"OK","CHECK"))</f>
        <v/>
      </c>
      <c r="G316" s="24" t="n"/>
      <c r="H316" s="24" t="n"/>
      <c r="I316" s="24" t="n"/>
      <c r="J316" s="24" t="n"/>
      <c r="K316" s="24" t="n"/>
      <c r="L316" s="26" t="n"/>
      <c r="M316" s="27">
        <f>IF(L316="","",IF(K316="GST 10%",ROUND(L316*set_GSTRate,2),0))</f>
        <v/>
      </c>
      <c r="N316" s="27">
        <f>IF(L316="","",L316+M316)</f>
        <v/>
      </c>
      <c r="O316" s="24" t="n"/>
      <c r="P316" s="24" t="n"/>
      <c r="Q316" s="24" t="n"/>
      <c r="R316" s="22" t="n"/>
      <c r="S316" s="22" t="n"/>
      <c r="T316" s="24" t="n"/>
      <c r="U316" s="24" t="n"/>
      <c r="V316" s="25">
        <f>IF(COUNTA(A316,D316,C316,L316)=0,"",IF(A316="","No date - sits outside every month",IF(E316="","No job number",IF(F316="CHECK","Job number is not in the Xero job list",IF(I316="","No cost centre",IF(AND(P316="Y",C316=""),"Marked posted to Xero but has no invoice number",IF(AND(L316&lt;&gt;"",K316=""),"No tax code",IF(AND(L316&lt;&gt;"",O316=""),"No revenue GL code",""))))))))</f>
        <v/>
      </c>
      <c r="W316" s="25">
        <f>IF(E316="","",IFERROR(INDEX(lst_JobName,MATCH(E316&amp;"",lst_Jobs,0)),""))</f>
        <v/>
      </c>
      <c r="X316" s="28">
        <f>IF(E316="","",COUNTIFS(tbl_Finance[Job Number],E316&amp;"",tbl_Finance[Ex GST],"&lt;&gt;"))</f>
        <v/>
      </c>
      <c r="Y316" s="27">
        <f>IF(E316="","",SUMIFS(tbl_Finance[Ex GST],tbl_Finance[Job Number],E316&amp;""))</f>
        <v/>
      </c>
      <c r="Z316" s="27">
        <f>IF(E316="","",SUMIFS(tbl_Finance[Ex GST],tbl_Finance[Job Number],E316&amp;"",tbl_Finance[Xero Invoice No],"&lt;&gt;"))</f>
        <v/>
      </c>
      <c r="AA316" s="27">
        <f>IF(E316="","",Y316-Z316)</f>
        <v/>
      </c>
      <c r="AB316" s="25">
        <f>IF(E316="","",IF(H316="Onsite",IFERROR(INDEX(tbl_Onsite[Qwilr Quote],MATCH(E316&amp;"",tbl_Onsite[Job Number],0)),""),IF(H316="Production",IFERROR(INDEX(tbl_Production[Current RMS No],MATCH(E316&amp;"",tbl_Production[Job Number],0)),""),IF(H316="Consulting",IFERROR(INDEX(tbl_Consulting[Qwilr Quote],MATCH(E316&amp;"",tbl_Consulting[Job Number],0)),""),""))))</f>
        <v/>
      </c>
      <c r="AC316" s="25">
        <f>IF(AB316="","",IF(AND(LEFT(AB316,4)&lt;&gt;"http",IF(H316="Production",set_RMSBase,set_QwilrBase)=""),"",HYPERLINK(IF(LEFT(AB316,4)="http",AB316,IF(H316="Production",set_RMSBase,set_QwilrBase)&amp;AB316),"Open")))</f>
        <v/>
      </c>
      <c r="AD316" s="27">
        <f>IF(E316="","",IF(H316="Production",IFERROR(INDEX(tbl_Production[Total Expense],MATCH(E316&amp;"",tbl_Production[Job Number],0)),0),IF(H316="Consulting",IFERROR(INDEX(tbl_Consulting[Total Expense],MATCH(E316&amp;"",tbl_Consulting[Job Number],0)),0),0)))</f>
        <v/>
      </c>
      <c r="AE316" s="27">
        <f>IF(E316="","",Y316-N(AD316))</f>
        <v/>
      </c>
      <c r="AF316" s="29">
        <f>IFERROR(AE316/Y316,"")</f>
        <v/>
      </c>
      <c r="AG316" s="25">
        <f>IF(E316="","",IF(H316="Onsite",IFERROR(INDEX(tbl_Onsite[Notes],MATCH(E316&amp;"",tbl_Onsite[Job Number],0)),""),IF(H316="Production",IFERROR(INDEX(tbl_Production[Notes],MATCH(E316&amp;"",tbl_Production[Job Number],0)),""),IF(H316="Consulting",IFERROR(INDEX(tbl_Consulting[Notes],MATCH(E316&amp;"",tbl_Consulting[Job Number],0)),""),""))))</f>
        <v/>
      </c>
    </row>
    <row r="317" ht="15" customHeight="1">
      <c r="A317" s="22" t="n"/>
      <c r="B317" s="23">
        <f>IF(A317="","",EOMONTH(A317,0))</f>
        <v/>
      </c>
      <c r="C317" s="24" t="n"/>
      <c r="D317" s="24" t="n"/>
      <c r="E317" s="24" t="n"/>
      <c r="F317" s="25">
        <f>IF(E317="","",IF(COUNTIF(lst_Jobs,E317&amp;"")&gt;0,"OK","CHECK"))</f>
        <v/>
      </c>
      <c r="G317" s="24" t="n"/>
      <c r="H317" s="24" t="n"/>
      <c r="I317" s="24" t="n"/>
      <c r="J317" s="24" t="n"/>
      <c r="K317" s="24" t="n"/>
      <c r="L317" s="26" t="n"/>
      <c r="M317" s="27">
        <f>IF(L317="","",IF(K317="GST 10%",ROUND(L317*set_GSTRate,2),0))</f>
        <v/>
      </c>
      <c r="N317" s="27">
        <f>IF(L317="","",L317+M317)</f>
        <v/>
      </c>
      <c r="O317" s="24" t="n"/>
      <c r="P317" s="24" t="n"/>
      <c r="Q317" s="24" t="n"/>
      <c r="R317" s="22" t="n"/>
      <c r="S317" s="22" t="n"/>
      <c r="T317" s="24" t="n"/>
      <c r="U317" s="24" t="n"/>
      <c r="V317" s="25">
        <f>IF(COUNTA(A317,D317,C317,L317)=0,"",IF(A317="","No date - sits outside every month",IF(E317="","No job number",IF(F317="CHECK","Job number is not in the Xero job list",IF(I317="","No cost centre",IF(AND(P317="Y",C317=""),"Marked posted to Xero but has no invoice number",IF(AND(L317&lt;&gt;"",K317=""),"No tax code",IF(AND(L317&lt;&gt;"",O317=""),"No revenue GL code",""))))))))</f>
        <v/>
      </c>
      <c r="W317" s="25">
        <f>IF(E317="","",IFERROR(INDEX(lst_JobName,MATCH(E317&amp;"",lst_Jobs,0)),""))</f>
        <v/>
      </c>
      <c r="X317" s="28">
        <f>IF(E317="","",COUNTIFS(tbl_Finance[Job Number],E317&amp;"",tbl_Finance[Ex GST],"&lt;&gt;"))</f>
        <v/>
      </c>
      <c r="Y317" s="27">
        <f>IF(E317="","",SUMIFS(tbl_Finance[Ex GST],tbl_Finance[Job Number],E317&amp;""))</f>
        <v/>
      </c>
      <c r="Z317" s="27">
        <f>IF(E317="","",SUMIFS(tbl_Finance[Ex GST],tbl_Finance[Job Number],E317&amp;"",tbl_Finance[Xero Invoice No],"&lt;&gt;"))</f>
        <v/>
      </c>
      <c r="AA317" s="27">
        <f>IF(E317="","",Y317-Z317)</f>
        <v/>
      </c>
      <c r="AB317" s="25">
        <f>IF(E317="","",IF(H317="Onsite",IFERROR(INDEX(tbl_Onsite[Qwilr Quote],MATCH(E317&amp;"",tbl_Onsite[Job Number],0)),""),IF(H317="Production",IFERROR(INDEX(tbl_Production[Current RMS No],MATCH(E317&amp;"",tbl_Production[Job Number],0)),""),IF(H317="Consulting",IFERROR(INDEX(tbl_Consulting[Qwilr Quote],MATCH(E317&amp;"",tbl_Consulting[Job Number],0)),""),""))))</f>
        <v/>
      </c>
      <c r="AC317" s="25">
        <f>IF(AB317="","",IF(AND(LEFT(AB317,4)&lt;&gt;"http",IF(H317="Production",set_RMSBase,set_QwilrBase)=""),"",HYPERLINK(IF(LEFT(AB317,4)="http",AB317,IF(H317="Production",set_RMSBase,set_QwilrBase)&amp;AB317),"Open")))</f>
        <v/>
      </c>
      <c r="AD317" s="27">
        <f>IF(E317="","",IF(H317="Production",IFERROR(INDEX(tbl_Production[Total Expense],MATCH(E317&amp;"",tbl_Production[Job Number],0)),0),IF(H317="Consulting",IFERROR(INDEX(tbl_Consulting[Total Expense],MATCH(E317&amp;"",tbl_Consulting[Job Number],0)),0),0)))</f>
        <v/>
      </c>
      <c r="AE317" s="27">
        <f>IF(E317="","",Y317-N(AD317))</f>
        <v/>
      </c>
      <c r="AF317" s="29">
        <f>IFERROR(AE317/Y317,"")</f>
        <v/>
      </c>
      <c r="AG317" s="25">
        <f>IF(E317="","",IF(H317="Onsite",IFERROR(INDEX(tbl_Onsite[Notes],MATCH(E317&amp;"",tbl_Onsite[Job Number],0)),""),IF(H317="Production",IFERROR(INDEX(tbl_Production[Notes],MATCH(E317&amp;"",tbl_Production[Job Number],0)),""),IF(H317="Consulting",IFERROR(INDEX(tbl_Consulting[Notes],MATCH(E317&amp;"",tbl_Consulting[Job Number],0)),""),""))))</f>
        <v/>
      </c>
    </row>
    <row r="318" ht="15" customHeight="1">
      <c r="A318" s="22" t="n"/>
      <c r="B318" s="23">
        <f>IF(A318="","",EOMONTH(A318,0))</f>
        <v/>
      </c>
      <c r="C318" s="24" t="n"/>
      <c r="D318" s="24" t="n"/>
      <c r="E318" s="24" t="n"/>
      <c r="F318" s="25">
        <f>IF(E318="","",IF(COUNTIF(lst_Jobs,E318&amp;"")&gt;0,"OK","CHECK"))</f>
        <v/>
      </c>
      <c r="G318" s="24" t="n"/>
      <c r="H318" s="24" t="n"/>
      <c r="I318" s="24" t="n"/>
      <c r="J318" s="24" t="n"/>
      <c r="K318" s="24" t="n"/>
      <c r="L318" s="26" t="n"/>
      <c r="M318" s="27">
        <f>IF(L318="","",IF(K318="GST 10%",ROUND(L318*set_GSTRate,2),0))</f>
        <v/>
      </c>
      <c r="N318" s="27">
        <f>IF(L318="","",L318+M318)</f>
        <v/>
      </c>
      <c r="O318" s="24" t="n"/>
      <c r="P318" s="24" t="n"/>
      <c r="Q318" s="24" t="n"/>
      <c r="R318" s="22" t="n"/>
      <c r="S318" s="22" t="n"/>
      <c r="T318" s="24" t="n"/>
      <c r="U318" s="24" t="n"/>
      <c r="V318" s="25">
        <f>IF(COUNTA(A318,D318,C318,L318)=0,"",IF(A318="","No date - sits outside every month",IF(E318="","No job number",IF(F318="CHECK","Job number is not in the Xero job list",IF(I318="","No cost centre",IF(AND(P318="Y",C318=""),"Marked posted to Xero but has no invoice number",IF(AND(L318&lt;&gt;"",K318=""),"No tax code",IF(AND(L318&lt;&gt;"",O318=""),"No revenue GL code",""))))))))</f>
        <v/>
      </c>
      <c r="W318" s="25">
        <f>IF(E318="","",IFERROR(INDEX(lst_JobName,MATCH(E318&amp;"",lst_Jobs,0)),""))</f>
        <v/>
      </c>
      <c r="X318" s="28">
        <f>IF(E318="","",COUNTIFS(tbl_Finance[Job Number],E318&amp;"",tbl_Finance[Ex GST],"&lt;&gt;"))</f>
        <v/>
      </c>
      <c r="Y318" s="27">
        <f>IF(E318="","",SUMIFS(tbl_Finance[Ex GST],tbl_Finance[Job Number],E318&amp;""))</f>
        <v/>
      </c>
      <c r="Z318" s="27">
        <f>IF(E318="","",SUMIFS(tbl_Finance[Ex GST],tbl_Finance[Job Number],E318&amp;"",tbl_Finance[Xero Invoice No],"&lt;&gt;"))</f>
        <v/>
      </c>
      <c r="AA318" s="27">
        <f>IF(E318="","",Y318-Z318)</f>
        <v/>
      </c>
      <c r="AB318" s="25">
        <f>IF(E318="","",IF(H318="Onsite",IFERROR(INDEX(tbl_Onsite[Qwilr Quote],MATCH(E318&amp;"",tbl_Onsite[Job Number],0)),""),IF(H318="Production",IFERROR(INDEX(tbl_Production[Current RMS No],MATCH(E318&amp;"",tbl_Production[Job Number],0)),""),IF(H318="Consulting",IFERROR(INDEX(tbl_Consulting[Qwilr Quote],MATCH(E318&amp;"",tbl_Consulting[Job Number],0)),""),""))))</f>
        <v/>
      </c>
      <c r="AC318" s="25">
        <f>IF(AB318="","",IF(AND(LEFT(AB318,4)&lt;&gt;"http",IF(H318="Production",set_RMSBase,set_QwilrBase)=""),"",HYPERLINK(IF(LEFT(AB318,4)="http",AB318,IF(H318="Production",set_RMSBase,set_QwilrBase)&amp;AB318),"Open")))</f>
        <v/>
      </c>
      <c r="AD318" s="27">
        <f>IF(E318="","",IF(H318="Production",IFERROR(INDEX(tbl_Production[Total Expense],MATCH(E318&amp;"",tbl_Production[Job Number],0)),0),IF(H318="Consulting",IFERROR(INDEX(tbl_Consulting[Total Expense],MATCH(E318&amp;"",tbl_Consulting[Job Number],0)),0),0)))</f>
        <v/>
      </c>
      <c r="AE318" s="27">
        <f>IF(E318="","",Y318-N(AD318))</f>
        <v/>
      </c>
      <c r="AF318" s="29">
        <f>IFERROR(AE318/Y318,"")</f>
        <v/>
      </c>
      <c r="AG318" s="25">
        <f>IF(E318="","",IF(H318="Onsite",IFERROR(INDEX(tbl_Onsite[Notes],MATCH(E318&amp;"",tbl_Onsite[Job Number],0)),""),IF(H318="Production",IFERROR(INDEX(tbl_Production[Notes],MATCH(E318&amp;"",tbl_Production[Job Number],0)),""),IF(H318="Consulting",IFERROR(INDEX(tbl_Consulting[Notes],MATCH(E318&amp;"",tbl_Consulting[Job Number],0)),""),""))))</f>
        <v/>
      </c>
    </row>
    <row r="319" ht="15" customHeight="1">
      <c r="A319" s="22" t="n"/>
      <c r="B319" s="23">
        <f>IF(A319="","",EOMONTH(A319,0))</f>
        <v/>
      </c>
      <c r="C319" s="24" t="n"/>
      <c r="D319" s="24" t="n"/>
      <c r="E319" s="24" t="n"/>
      <c r="F319" s="25">
        <f>IF(E319="","",IF(COUNTIF(lst_Jobs,E319&amp;"")&gt;0,"OK","CHECK"))</f>
        <v/>
      </c>
      <c r="G319" s="24" t="n"/>
      <c r="H319" s="24" t="n"/>
      <c r="I319" s="24" t="n"/>
      <c r="J319" s="24" t="n"/>
      <c r="K319" s="24" t="n"/>
      <c r="L319" s="26" t="n"/>
      <c r="M319" s="27">
        <f>IF(L319="","",IF(K319="GST 10%",ROUND(L319*set_GSTRate,2),0))</f>
        <v/>
      </c>
      <c r="N319" s="27">
        <f>IF(L319="","",L319+M319)</f>
        <v/>
      </c>
      <c r="O319" s="24" t="n"/>
      <c r="P319" s="24" t="n"/>
      <c r="Q319" s="24" t="n"/>
      <c r="R319" s="22" t="n"/>
      <c r="S319" s="22" t="n"/>
      <c r="T319" s="24" t="n"/>
      <c r="U319" s="24" t="n"/>
      <c r="V319" s="25">
        <f>IF(COUNTA(A319,D319,C319,L319)=0,"",IF(A319="","No date - sits outside every month",IF(E319="","No job number",IF(F319="CHECK","Job number is not in the Xero job list",IF(I319="","No cost centre",IF(AND(P319="Y",C319=""),"Marked posted to Xero but has no invoice number",IF(AND(L319&lt;&gt;"",K319=""),"No tax code",IF(AND(L319&lt;&gt;"",O319=""),"No revenue GL code",""))))))))</f>
        <v/>
      </c>
      <c r="W319" s="25">
        <f>IF(E319="","",IFERROR(INDEX(lst_JobName,MATCH(E319&amp;"",lst_Jobs,0)),""))</f>
        <v/>
      </c>
      <c r="X319" s="28">
        <f>IF(E319="","",COUNTIFS(tbl_Finance[Job Number],E319&amp;"",tbl_Finance[Ex GST],"&lt;&gt;"))</f>
        <v/>
      </c>
      <c r="Y319" s="27">
        <f>IF(E319="","",SUMIFS(tbl_Finance[Ex GST],tbl_Finance[Job Number],E319&amp;""))</f>
        <v/>
      </c>
      <c r="Z319" s="27">
        <f>IF(E319="","",SUMIFS(tbl_Finance[Ex GST],tbl_Finance[Job Number],E319&amp;"",tbl_Finance[Xero Invoice No],"&lt;&gt;"))</f>
        <v/>
      </c>
      <c r="AA319" s="27">
        <f>IF(E319="","",Y319-Z319)</f>
        <v/>
      </c>
      <c r="AB319" s="25">
        <f>IF(E319="","",IF(H319="Onsite",IFERROR(INDEX(tbl_Onsite[Qwilr Quote],MATCH(E319&amp;"",tbl_Onsite[Job Number],0)),""),IF(H319="Production",IFERROR(INDEX(tbl_Production[Current RMS No],MATCH(E319&amp;"",tbl_Production[Job Number],0)),""),IF(H319="Consulting",IFERROR(INDEX(tbl_Consulting[Qwilr Quote],MATCH(E319&amp;"",tbl_Consulting[Job Number],0)),""),""))))</f>
        <v/>
      </c>
      <c r="AC319" s="25">
        <f>IF(AB319="","",IF(AND(LEFT(AB319,4)&lt;&gt;"http",IF(H319="Production",set_RMSBase,set_QwilrBase)=""),"",HYPERLINK(IF(LEFT(AB319,4)="http",AB319,IF(H319="Production",set_RMSBase,set_QwilrBase)&amp;AB319),"Open")))</f>
        <v/>
      </c>
      <c r="AD319" s="27">
        <f>IF(E319="","",IF(H319="Production",IFERROR(INDEX(tbl_Production[Total Expense],MATCH(E319&amp;"",tbl_Production[Job Number],0)),0),IF(H319="Consulting",IFERROR(INDEX(tbl_Consulting[Total Expense],MATCH(E319&amp;"",tbl_Consulting[Job Number],0)),0),0)))</f>
        <v/>
      </c>
      <c r="AE319" s="27">
        <f>IF(E319="","",Y319-N(AD319))</f>
        <v/>
      </c>
      <c r="AF319" s="29">
        <f>IFERROR(AE319/Y319,"")</f>
        <v/>
      </c>
      <c r="AG319" s="25">
        <f>IF(E319="","",IF(H319="Onsite",IFERROR(INDEX(tbl_Onsite[Notes],MATCH(E319&amp;"",tbl_Onsite[Job Number],0)),""),IF(H319="Production",IFERROR(INDEX(tbl_Production[Notes],MATCH(E319&amp;"",tbl_Production[Job Number],0)),""),IF(H319="Consulting",IFERROR(INDEX(tbl_Consulting[Notes],MATCH(E319&amp;"",tbl_Consulting[Job Number],0)),""),""))))</f>
        <v/>
      </c>
    </row>
    <row r="320" ht="15" customHeight="1">
      <c r="A320" s="22" t="n"/>
      <c r="B320" s="23">
        <f>IF(A320="","",EOMONTH(A320,0))</f>
        <v/>
      </c>
      <c r="C320" s="24" t="n"/>
      <c r="D320" s="24" t="n"/>
      <c r="E320" s="24" t="n"/>
      <c r="F320" s="25">
        <f>IF(E320="","",IF(COUNTIF(lst_Jobs,E320&amp;"")&gt;0,"OK","CHECK"))</f>
        <v/>
      </c>
      <c r="G320" s="24" t="n"/>
      <c r="H320" s="24" t="n"/>
      <c r="I320" s="24" t="n"/>
      <c r="J320" s="24" t="n"/>
      <c r="K320" s="24" t="n"/>
      <c r="L320" s="26" t="n"/>
      <c r="M320" s="27">
        <f>IF(L320="","",IF(K320="GST 10%",ROUND(L320*set_GSTRate,2),0))</f>
        <v/>
      </c>
      <c r="N320" s="27">
        <f>IF(L320="","",L320+M320)</f>
        <v/>
      </c>
      <c r="O320" s="24" t="n"/>
      <c r="P320" s="24" t="n"/>
      <c r="Q320" s="24" t="n"/>
      <c r="R320" s="22" t="n"/>
      <c r="S320" s="22" t="n"/>
      <c r="T320" s="24" t="n"/>
      <c r="U320" s="24" t="n"/>
      <c r="V320" s="25">
        <f>IF(COUNTA(A320,D320,C320,L320)=0,"",IF(A320="","No date - sits outside every month",IF(E320="","No job number",IF(F320="CHECK","Job number is not in the Xero job list",IF(I320="","No cost centre",IF(AND(P320="Y",C320=""),"Marked posted to Xero but has no invoice number",IF(AND(L320&lt;&gt;"",K320=""),"No tax code",IF(AND(L320&lt;&gt;"",O320=""),"No revenue GL code",""))))))))</f>
        <v/>
      </c>
      <c r="W320" s="25">
        <f>IF(E320="","",IFERROR(INDEX(lst_JobName,MATCH(E320&amp;"",lst_Jobs,0)),""))</f>
        <v/>
      </c>
      <c r="X320" s="28">
        <f>IF(E320="","",COUNTIFS(tbl_Finance[Job Number],E320&amp;"",tbl_Finance[Ex GST],"&lt;&gt;"))</f>
        <v/>
      </c>
      <c r="Y320" s="27">
        <f>IF(E320="","",SUMIFS(tbl_Finance[Ex GST],tbl_Finance[Job Number],E320&amp;""))</f>
        <v/>
      </c>
      <c r="Z320" s="27">
        <f>IF(E320="","",SUMIFS(tbl_Finance[Ex GST],tbl_Finance[Job Number],E320&amp;"",tbl_Finance[Xero Invoice No],"&lt;&gt;"))</f>
        <v/>
      </c>
      <c r="AA320" s="27">
        <f>IF(E320="","",Y320-Z320)</f>
        <v/>
      </c>
      <c r="AB320" s="25">
        <f>IF(E320="","",IF(H320="Onsite",IFERROR(INDEX(tbl_Onsite[Qwilr Quote],MATCH(E320&amp;"",tbl_Onsite[Job Number],0)),""),IF(H320="Production",IFERROR(INDEX(tbl_Production[Current RMS No],MATCH(E320&amp;"",tbl_Production[Job Number],0)),""),IF(H320="Consulting",IFERROR(INDEX(tbl_Consulting[Qwilr Quote],MATCH(E320&amp;"",tbl_Consulting[Job Number],0)),""),""))))</f>
        <v/>
      </c>
      <c r="AC320" s="25">
        <f>IF(AB320="","",IF(AND(LEFT(AB320,4)&lt;&gt;"http",IF(H320="Production",set_RMSBase,set_QwilrBase)=""),"",HYPERLINK(IF(LEFT(AB320,4)="http",AB320,IF(H320="Production",set_RMSBase,set_QwilrBase)&amp;AB320),"Open")))</f>
        <v/>
      </c>
      <c r="AD320" s="27">
        <f>IF(E320="","",IF(H320="Production",IFERROR(INDEX(tbl_Production[Total Expense],MATCH(E320&amp;"",tbl_Production[Job Number],0)),0),IF(H320="Consulting",IFERROR(INDEX(tbl_Consulting[Total Expense],MATCH(E320&amp;"",tbl_Consulting[Job Number],0)),0),0)))</f>
        <v/>
      </c>
      <c r="AE320" s="27">
        <f>IF(E320="","",Y320-N(AD320))</f>
        <v/>
      </c>
      <c r="AF320" s="29">
        <f>IFERROR(AE320/Y320,"")</f>
        <v/>
      </c>
      <c r="AG320" s="25">
        <f>IF(E320="","",IF(H320="Onsite",IFERROR(INDEX(tbl_Onsite[Notes],MATCH(E320&amp;"",tbl_Onsite[Job Number],0)),""),IF(H320="Production",IFERROR(INDEX(tbl_Production[Notes],MATCH(E320&amp;"",tbl_Production[Job Number],0)),""),IF(H320="Consulting",IFERROR(INDEX(tbl_Consulting[Notes],MATCH(E320&amp;"",tbl_Consulting[Job Number],0)),""),""))))</f>
        <v/>
      </c>
    </row>
    <row r="321" ht="15" customHeight="1">
      <c r="A321" s="22" t="n"/>
      <c r="B321" s="23">
        <f>IF(A321="","",EOMONTH(A321,0))</f>
        <v/>
      </c>
      <c r="C321" s="24" t="n"/>
      <c r="D321" s="24" t="n"/>
      <c r="E321" s="24" t="n"/>
      <c r="F321" s="25">
        <f>IF(E321="","",IF(COUNTIF(lst_Jobs,E321&amp;"")&gt;0,"OK","CHECK"))</f>
        <v/>
      </c>
      <c r="G321" s="24" t="n"/>
      <c r="H321" s="24" t="n"/>
      <c r="I321" s="24" t="n"/>
      <c r="J321" s="24" t="n"/>
      <c r="K321" s="24" t="n"/>
      <c r="L321" s="26" t="n"/>
      <c r="M321" s="27">
        <f>IF(L321="","",IF(K321="GST 10%",ROUND(L321*set_GSTRate,2),0))</f>
        <v/>
      </c>
      <c r="N321" s="27">
        <f>IF(L321="","",L321+M321)</f>
        <v/>
      </c>
      <c r="O321" s="24" t="n"/>
      <c r="P321" s="24" t="n"/>
      <c r="Q321" s="24" t="n"/>
      <c r="R321" s="22" t="n"/>
      <c r="S321" s="22" t="n"/>
      <c r="T321" s="24" t="n"/>
      <c r="U321" s="24" t="n"/>
      <c r="V321" s="25">
        <f>IF(COUNTA(A321,D321,C321,L321)=0,"",IF(A321="","No date - sits outside every month",IF(E321="","No job number",IF(F321="CHECK","Job number is not in the Xero job list",IF(I321="","No cost centre",IF(AND(P321="Y",C321=""),"Marked posted to Xero but has no invoice number",IF(AND(L321&lt;&gt;"",K321=""),"No tax code",IF(AND(L321&lt;&gt;"",O321=""),"No revenue GL code",""))))))))</f>
        <v/>
      </c>
      <c r="W321" s="25">
        <f>IF(E321="","",IFERROR(INDEX(lst_JobName,MATCH(E321&amp;"",lst_Jobs,0)),""))</f>
        <v/>
      </c>
      <c r="X321" s="28">
        <f>IF(E321="","",COUNTIFS(tbl_Finance[Job Number],E321&amp;"",tbl_Finance[Ex GST],"&lt;&gt;"))</f>
        <v/>
      </c>
      <c r="Y321" s="27">
        <f>IF(E321="","",SUMIFS(tbl_Finance[Ex GST],tbl_Finance[Job Number],E321&amp;""))</f>
        <v/>
      </c>
      <c r="Z321" s="27">
        <f>IF(E321="","",SUMIFS(tbl_Finance[Ex GST],tbl_Finance[Job Number],E321&amp;"",tbl_Finance[Xero Invoice No],"&lt;&gt;"))</f>
        <v/>
      </c>
      <c r="AA321" s="27">
        <f>IF(E321="","",Y321-Z321)</f>
        <v/>
      </c>
      <c r="AB321" s="25">
        <f>IF(E321="","",IF(H321="Onsite",IFERROR(INDEX(tbl_Onsite[Qwilr Quote],MATCH(E321&amp;"",tbl_Onsite[Job Number],0)),""),IF(H321="Production",IFERROR(INDEX(tbl_Production[Current RMS No],MATCH(E321&amp;"",tbl_Production[Job Number],0)),""),IF(H321="Consulting",IFERROR(INDEX(tbl_Consulting[Qwilr Quote],MATCH(E321&amp;"",tbl_Consulting[Job Number],0)),""),""))))</f>
        <v/>
      </c>
      <c r="AC321" s="25">
        <f>IF(AB321="","",IF(AND(LEFT(AB321,4)&lt;&gt;"http",IF(H321="Production",set_RMSBase,set_QwilrBase)=""),"",HYPERLINK(IF(LEFT(AB321,4)="http",AB321,IF(H321="Production",set_RMSBase,set_QwilrBase)&amp;AB321),"Open")))</f>
        <v/>
      </c>
      <c r="AD321" s="27">
        <f>IF(E321="","",IF(H321="Production",IFERROR(INDEX(tbl_Production[Total Expense],MATCH(E321&amp;"",tbl_Production[Job Number],0)),0),IF(H321="Consulting",IFERROR(INDEX(tbl_Consulting[Total Expense],MATCH(E321&amp;"",tbl_Consulting[Job Number],0)),0),0)))</f>
        <v/>
      </c>
      <c r="AE321" s="27">
        <f>IF(E321="","",Y321-N(AD321))</f>
        <v/>
      </c>
      <c r="AF321" s="29">
        <f>IFERROR(AE321/Y321,"")</f>
        <v/>
      </c>
      <c r="AG321" s="25">
        <f>IF(E321="","",IF(H321="Onsite",IFERROR(INDEX(tbl_Onsite[Notes],MATCH(E321&amp;"",tbl_Onsite[Job Number],0)),""),IF(H321="Production",IFERROR(INDEX(tbl_Production[Notes],MATCH(E321&amp;"",tbl_Production[Job Number],0)),""),IF(H321="Consulting",IFERROR(INDEX(tbl_Consulting[Notes],MATCH(E321&amp;"",tbl_Consulting[Job Number],0)),""),""))))</f>
        <v/>
      </c>
    </row>
    <row r="322" ht="15" customHeight="1">
      <c r="A322" s="22" t="n"/>
      <c r="B322" s="23">
        <f>IF(A322="","",EOMONTH(A322,0))</f>
        <v/>
      </c>
      <c r="C322" s="24" t="n"/>
      <c r="D322" s="24" t="n"/>
      <c r="E322" s="24" t="n"/>
      <c r="F322" s="25">
        <f>IF(E322="","",IF(COUNTIF(lst_Jobs,E322&amp;"")&gt;0,"OK","CHECK"))</f>
        <v/>
      </c>
      <c r="G322" s="24" t="n"/>
      <c r="H322" s="24" t="n"/>
      <c r="I322" s="24" t="n"/>
      <c r="J322" s="24" t="n"/>
      <c r="K322" s="24" t="n"/>
      <c r="L322" s="26" t="n"/>
      <c r="M322" s="27">
        <f>IF(L322="","",IF(K322="GST 10%",ROUND(L322*set_GSTRate,2),0))</f>
        <v/>
      </c>
      <c r="N322" s="27">
        <f>IF(L322="","",L322+M322)</f>
        <v/>
      </c>
      <c r="O322" s="24" t="n"/>
      <c r="P322" s="24" t="n"/>
      <c r="Q322" s="24" t="n"/>
      <c r="R322" s="22" t="n"/>
      <c r="S322" s="22" t="n"/>
      <c r="T322" s="24" t="n"/>
      <c r="U322" s="24" t="n"/>
      <c r="V322" s="25">
        <f>IF(COUNTA(A322,D322,C322,L322)=0,"",IF(A322="","No date - sits outside every month",IF(E322="","No job number",IF(F322="CHECK","Job number is not in the Xero job list",IF(I322="","No cost centre",IF(AND(P322="Y",C322=""),"Marked posted to Xero but has no invoice number",IF(AND(L322&lt;&gt;"",K322=""),"No tax code",IF(AND(L322&lt;&gt;"",O322=""),"No revenue GL code",""))))))))</f>
        <v/>
      </c>
      <c r="W322" s="25">
        <f>IF(E322="","",IFERROR(INDEX(lst_JobName,MATCH(E322&amp;"",lst_Jobs,0)),""))</f>
        <v/>
      </c>
      <c r="X322" s="28">
        <f>IF(E322="","",COUNTIFS(tbl_Finance[Job Number],E322&amp;"",tbl_Finance[Ex GST],"&lt;&gt;"))</f>
        <v/>
      </c>
      <c r="Y322" s="27">
        <f>IF(E322="","",SUMIFS(tbl_Finance[Ex GST],tbl_Finance[Job Number],E322&amp;""))</f>
        <v/>
      </c>
      <c r="Z322" s="27">
        <f>IF(E322="","",SUMIFS(tbl_Finance[Ex GST],tbl_Finance[Job Number],E322&amp;"",tbl_Finance[Xero Invoice No],"&lt;&gt;"))</f>
        <v/>
      </c>
      <c r="AA322" s="27">
        <f>IF(E322="","",Y322-Z322)</f>
        <v/>
      </c>
      <c r="AB322" s="25">
        <f>IF(E322="","",IF(H322="Onsite",IFERROR(INDEX(tbl_Onsite[Qwilr Quote],MATCH(E322&amp;"",tbl_Onsite[Job Number],0)),""),IF(H322="Production",IFERROR(INDEX(tbl_Production[Current RMS No],MATCH(E322&amp;"",tbl_Production[Job Number],0)),""),IF(H322="Consulting",IFERROR(INDEX(tbl_Consulting[Qwilr Quote],MATCH(E322&amp;"",tbl_Consulting[Job Number],0)),""),""))))</f>
        <v/>
      </c>
      <c r="AC322" s="25">
        <f>IF(AB322="","",IF(AND(LEFT(AB322,4)&lt;&gt;"http",IF(H322="Production",set_RMSBase,set_QwilrBase)=""),"",HYPERLINK(IF(LEFT(AB322,4)="http",AB322,IF(H322="Production",set_RMSBase,set_QwilrBase)&amp;AB322),"Open")))</f>
        <v/>
      </c>
      <c r="AD322" s="27">
        <f>IF(E322="","",IF(H322="Production",IFERROR(INDEX(tbl_Production[Total Expense],MATCH(E322&amp;"",tbl_Production[Job Number],0)),0),IF(H322="Consulting",IFERROR(INDEX(tbl_Consulting[Total Expense],MATCH(E322&amp;"",tbl_Consulting[Job Number],0)),0),0)))</f>
        <v/>
      </c>
      <c r="AE322" s="27">
        <f>IF(E322="","",Y322-N(AD322))</f>
        <v/>
      </c>
      <c r="AF322" s="29">
        <f>IFERROR(AE322/Y322,"")</f>
        <v/>
      </c>
      <c r="AG322" s="25">
        <f>IF(E322="","",IF(H322="Onsite",IFERROR(INDEX(tbl_Onsite[Notes],MATCH(E322&amp;"",tbl_Onsite[Job Number],0)),""),IF(H322="Production",IFERROR(INDEX(tbl_Production[Notes],MATCH(E322&amp;"",tbl_Production[Job Number],0)),""),IF(H322="Consulting",IFERROR(INDEX(tbl_Consulting[Notes],MATCH(E322&amp;"",tbl_Consulting[Job Number],0)),""),""))))</f>
        <v/>
      </c>
    </row>
    <row r="323" ht="15" customHeight="1">
      <c r="A323" s="22" t="n"/>
      <c r="B323" s="23">
        <f>IF(A323="","",EOMONTH(A323,0))</f>
        <v/>
      </c>
      <c r="C323" s="24" t="n"/>
      <c r="D323" s="24" t="n"/>
      <c r="E323" s="24" t="n"/>
      <c r="F323" s="25">
        <f>IF(E323="","",IF(COUNTIF(lst_Jobs,E323&amp;"")&gt;0,"OK","CHECK"))</f>
        <v/>
      </c>
      <c r="G323" s="24" t="n"/>
      <c r="H323" s="24" t="n"/>
      <c r="I323" s="24" t="n"/>
      <c r="J323" s="24" t="n"/>
      <c r="K323" s="24" t="n"/>
      <c r="L323" s="26" t="n"/>
      <c r="M323" s="27">
        <f>IF(L323="","",IF(K323="GST 10%",ROUND(L323*set_GSTRate,2),0))</f>
        <v/>
      </c>
      <c r="N323" s="27">
        <f>IF(L323="","",L323+M323)</f>
        <v/>
      </c>
      <c r="O323" s="24" t="n"/>
      <c r="P323" s="24" t="n"/>
      <c r="Q323" s="24" t="n"/>
      <c r="R323" s="22" t="n"/>
      <c r="S323" s="22" t="n"/>
      <c r="T323" s="24" t="n"/>
      <c r="U323" s="24" t="n"/>
      <c r="V323" s="25">
        <f>IF(COUNTA(A323,D323,C323,L323)=0,"",IF(A323="","No date - sits outside every month",IF(E323="","No job number",IF(F323="CHECK","Job number is not in the Xero job list",IF(I323="","No cost centre",IF(AND(P323="Y",C323=""),"Marked posted to Xero but has no invoice number",IF(AND(L323&lt;&gt;"",K323=""),"No tax code",IF(AND(L323&lt;&gt;"",O323=""),"No revenue GL code",""))))))))</f>
        <v/>
      </c>
      <c r="W323" s="25">
        <f>IF(E323="","",IFERROR(INDEX(lst_JobName,MATCH(E323&amp;"",lst_Jobs,0)),""))</f>
        <v/>
      </c>
      <c r="X323" s="28">
        <f>IF(E323="","",COUNTIFS(tbl_Finance[Job Number],E323&amp;"",tbl_Finance[Ex GST],"&lt;&gt;"))</f>
        <v/>
      </c>
      <c r="Y323" s="27">
        <f>IF(E323="","",SUMIFS(tbl_Finance[Ex GST],tbl_Finance[Job Number],E323&amp;""))</f>
        <v/>
      </c>
      <c r="Z323" s="27">
        <f>IF(E323="","",SUMIFS(tbl_Finance[Ex GST],tbl_Finance[Job Number],E323&amp;"",tbl_Finance[Xero Invoice No],"&lt;&gt;"))</f>
        <v/>
      </c>
      <c r="AA323" s="27">
        <f>IF(E323="","",Y323-Z323)</f>
        <v/>
      </c>
      <c r="AB323" s="25">
        <f>IF(E323="","",IF(H323="Onsite",IFERROR(INDEX(tbl_Onsite[Qwilr Quote],MATCH(E323&amp;"",tbl_Onsite[Job Number],0)),""),IF(H323="Production",IFERROR(INDEX(tbl_Production[Current RMS No],MATCH(E323&amp;"",tbl_Production[Job Number],0)),""),IF(H323="Consulting",IFERROR(INDEX(tbl_Consulting[Qwilr Quote],MATCH(E323&amp;"",tbl_Consulting[Job Number],0)),""),""))))</f>
        <v/>
      </c>
      <c r="AC323" s="25">
        <f>IF(AB323="","",IF(AND(LEFT(AB323,4)&lt;&gt;"http",IF(H323="Production",set_RMSBase,set_QwilrBase)=""),"",HYPERLINK(IF(LEFT(AB323,4)="http",AB323,IF(H323="Production",set_RMSBase,set_QwilrBase)&amp;AB323),"Open")))</f>
        <v/>
      </c>
      <c r="AD323" s="27">
        <f>IF(E323="","",IF(H323="Production",IFERROR(INDEX(tbl_Production[Total Expense],MATCH(E323&amp;"",tbl_Production[Job Number],0)),0),IF(H323="Consulting",IFERROR(INDEX(tbl_Consulting[Total Expense],MATCH(E323&amp;"",tbl_Consulting[Job Number],0)),0),0)))</f>
        <v/>
      </c>
      <c r="AE323" s="27">
        <f>IF(E323="","",Y323-N(AD323))</f>
        <v/>
      </c>
      <c r="AF323" s="29">
        <f>IFERROR(AE323/Y323,"")</f>
        <v/>
      </c>
      <c r="AG323" s="25">
        <f>IF(E323="","",IF(H323="Onsite",IFERROR(INDEX(tbl_Onsite[Notes],MATCH(E323&amp;"",tbl_Onsite[Job Number],0)),""),IF(H323="Production",IFERROR(INDEX(tbl_Production[Notes],MATCH(E323&amp;"",tbl_Production[Job Number],0)),""),IF(H323="Consulting",IFERROR(INDEX(tbl_Consulting[Notes],MATCH(E323&amp;"",tbl_Consulting[Job Number],0)),""),""))))</f>
        <v/>
      </c>
    </row>
    <row r="324" ht="15" customHeight="1">
      <c r="A324" s="22" t="n"/>
      <c r="B324" s="23">
        <f>IF(A324="","",EOMONTH(A324,0))</f>
        <v/>
      </c>
      <c r="C324" s="24" t="n"/>
      <c r="D324" s="24" t="n"/>
      <c r="E324" s="24" t="n"/>
      <c r="F324" s="25">
        <f>IF(E324="","",IF(COUNTIF(lst_Jobs,E324&amp;"")&gt;0,"OK","CHECK"))</f>
        <v/>
      </c>
      <c r="G324" s="24" t="n"/>
      <c r="H324" s="24" t="n"/>
      <c r="I324" s="24" t="n"/>
      <c r="J324" s="24" t="n"/>
      <c r="K324" s="24" t="n"/>
      <c r="L324" s="26" t="n"/>
      <c r="M324" s="27">
        <f>IF(L324="","",IF(K324="GST 10%",ROUND(L324*set_GSTRate,2),0))</f>
        <v/>
      </c>
      <c r="N324" s="27">
        <f>IF(L324="","",L324+M324)</f>
        <v/>
      </c>
      <c r="O324" s="24" t="n"/>
      <c r="P324" s="24" t="n"/>
      <c r="Q324" s="24" t="n"/>
      <c r="R324" s="22" t="n"/>
      <c r="S324" s="22" t="n"/>
      <c r="T324" s="24" t="n"/>
      <c r="U324" s="24" t="n"/>
      <c r="V324" s="25">
        <f>IF(COUNTA(A324,D324,C324,L324)=0,"",IF(A324="","No date - sits outside every month",IF(E324="","No job number",IF(F324="CHECK","Job number is not in the Xero job list",IF(I324="","No cost centre",IF(AND(P324="Y",C324=""),"Marked posted to Xero but has no invoice number",IF(AND(L324&lt;&gt;"",K324=""),"No tax code",IF(AND(L324&lt;&gt;"",O324=""),"No revenue GL code",""))))))))</f>
        <v/>
      </c>
      <c r="W324" s="25">
        <f>IF(E324="","",IFERROR(INDEX(lst_JobName,MATCH(E324&amp;"",lst_Jobs,0)),""))</f>
        <v/>
      </c>
      <c r="X324" s="28">
        <f>IF(E324="","",COUNTIFS(tbl_Finance[Job Number],E324&amp;"",tbl_Finance[Ex GST],"&lt;&gt;"))</f>
        <v/>
      </c>
      <c r="Y324" s="27">
        <f>IF(E324="","",SUMIFS(tbl_Finance[Ex GST],tbl_Finance[Job Number],E324&amp;""))</f>
        <v/>
      </c>
      <c r="Z324" s="27">
        <f>IF(E324="","",SUMIFS(tbl_Finance[Ex GST],tbl_Finance[Job Number],E324&amp;"",tbl_Finance[Xero Invoice No],"&lt;&gt;"))</f>
        <v/>
      </c>
      <c r="AA324" s="27">
        <f>IF(E324="","",Y324-Z324)</f>
        <v/>
      </c>
      <c r="AB324" s="25">
        <f>IF(E324="","",IF(H324="Onsite",IFERROR(INDEX(tbl_Onsite[Qwilr Quote],MATCH(E324&amp;"",tbl_Onsite[Job Number],0)),""),IF(H324="Production",IFERROR(INDEX(tbl_Production[Current RMS No],MATCH(E324&amp;"",tbl_Production[Job Number],0)),""),IF(H324="Consulting",IFERROR(INDEX(tbl_Consulting[Qwilr Quote],MATCH(E324&amp;"",tbl_Consulting[Job Number],0)),""),""))))</f>
        <v/>
      </c>
      <c r="AC324" s="25">
        <f>IF(AB324="","",IF(AND(LEFT(AB324,4)&lt;&gt;"http",IF(H324="Production",set_RMSBase,set_QwilrBase)=""),"",HYPERLINK(IF(LEFT(AB324,4)="http",AB324,IF(H324="Production",set_RMSBase,set_QwilrBase)&amp;AB324),"Open")))</f>
        <v/>
      </c>
      <c r="AD324" s="27">
        <f>IF(E324="","",IF(H324="Production",IFERROR(INDEX(tbl_Production[Total Expense],MATCH(E324&amp;"",tbl_Production[Job Number],0)),0),IF(H324="Consulting",IFERROR(INDEX(tbl_Consulting[Total Expense],MATCH(E324&amp;"",tbl_Consulting[Job Number],0)),0),0)))</f>
        <v/>
      </c>
      <c r="AE324" s="27">
        <f>IF(E324="","",Y324-N(AD324))</f>
        <v/>
      </c>
      <c r="AF324" s="29">
        <f>IFERROR(AE324/Y324,"")</f>
        <v/>
      </c>
      <c r="AG324" s="25">
        <f>IF(E324="","",IF(H324="Onsite",IFERROR(INDEX(tbl_Onsite[Notes],MATCH(E324&amp;"",tbl_Onsite[Job Number],0)),""),IF(H324="Production",IFERROR(INDEX(tbl_Production[Notes],MATCH(E324&amp;"",tbl_Production[Job Number],0)),""),IF(H324="Consulting",IFERROR(INDEX(tbl_Consulting[Notes],MATCH(E324&amp;"",tbl_Consulting[Job Number],0)),""),""))))</f>
        <v/>
      </c>
    </row>
    <row r="325" ht="15" customHeight="1">
      <c r="A325" s="22" t="n"/>
      <c r="B325" s="23">
        <f>IF(A325="","",EOMONTH(A325,0))</f>
        <v/>
      </c>
      <c r="C325" s="24" t="n"/>
      <c r="D325" s="24" t="n"/>
      <c r="E325" s="24" t="n"/>
      <c r="F325" s="25">
        <f>IF(E325="","",IF(COUNTIF(lst_Jobs,E325&amp;"")&gt;0,"OK","CHECK"))</f>
        <v/>
      </c>
      <c r="G325" s="24" t="n"/>
      <c r="H325" s="24" t="n"/>
      <c r="I325" s="24" t="n"/>
      <c r="J325" s="24" t="n"/>
      <c r="K325" s="24" t="n"/>
      <c r="L325" s="26" t="n"/>
      <c r="M325" s="27">
        <f>IF(L325="","",IF(K325="GST 10%",ROUND(L325*set_GSTRate,2),0))</f>
        <v/>
      </c>
      <c r="N325" s="27">
        <f>IF(L325="","",L325+M325)</f>
        <v/>
      </c>
      <c r="O325" s="24" t="n"/>
      <c r="P325" s="24" t="n"/>
      <c r="Q325" s="24" t="n"/>
      <c r="R325" s="22" t="n"/>
      <c r="S325" s="22" t="n"/>
      <c r="T325" s="24" t="n"/>
      <c r="U325" s="24" t="n"/>
      <c r="V325" s="25">
        <f>IF(COUNTA(A325,D325,C325,L325)=0,"",IF(A325="","No date - sits outside every month",IF(E325="","No job number",IF(F325="CHECK","Job number is not in the Xero job list",IF(I325="","No cost centre",IF(AND(P325="Y",C325=""),"Marked posted to Xero but has no invoice number",IF(AND(L325&lt;&gt;"",K325=""),"No tax code",IF(AND(L325&lt;&gt;"",O325=""),"No revenue GL code",""))))))))</f>
        <v/>
      </c>
      <c r="W325" s="25">
        <f>IF(E325="","",IFERROR(INDEX(lst_JobName,MATCH(E325&amp;"",lst_Jobs,0)),""))</f>
        <v/>
      </c>
      <c r="X325" s="28">
        <f>IF(E325="","",COUNTIFS(tbl_Finance[Job Number],E325&amp;"",tbl_Finance[Ex GST],"&lt;&gt;"))</f>
        <v/>
      </c>
      <c r="Y325" s="27">
        <f>IF(E325="","",SUMIFS(tbl_Finance[Ex GST],tbl_Finance[Job Number],E325&amp;""))</f>
        <v/>
      </c>
      <c r="Z325" s="27">
        <f>IF(E325="","",SUMIFS(tbl_Finance[Ex GST],tbl_Finance[Job Number],E325&amp;"",tbl_Finance[Xero Invoice No],"&lt;&gt;"))</f>
        <v/>
      </c>
      <c r="AA325" s="27">
        <f>IF(E325="","",Y325-Z325)</f>
        <v/>
      </c>
      <c r="AB325" s="25">
        <f>IF(E325="","",IF(H325="Onsite",IFERROR(INDEX(tbl_Onsite[Qwilr Quote],MATCH(E325&amp;"",tbl_Onsite[Job Number],0)),""),IF(H325="Production",IFERROR(INDEX(tbl_Production[Current RMS No],MATCH(E325&amp;"",tbl_Production[Job Number],0)),""),IF(H325="Consulting",IFERROR(INDEX(tbl_Consulting[Qwilr Quote],MATCH(E325&amp;"",tbl_Consulting[Job Number],0)),""),""))))</f>
        <v/>
      </c>
      <c r="AC325" s="25">
        <f>IF(AB325="","",IF(AND(LEFT(AB325,4)&lt;&gt;"http",IF(H325="Production",set_RMSBase,set_QwilrBase)=""),"",HYPERLINK(IF(LEFT(AB325,4)="http",AB325,IF(H325="Production",set_RMSBase,set_QwilrBase)&amp;AB325),"Open")))</f>
        <v/>
      </c>
      <c r="AD325" s="27">
        <f>IF(E325="","",IF(H325="Production",IFERROR(INDEX(tbl_Production[Total Expense],MATCH(E325&amp;"",tbl_Production[Job Number],0)),0),IF(H325="Consulting",IFERROR(INDEX(tbl_Consulting[Total Expense],MATCH(E325&amp;"",tbl_Consulting[Job Number],0)),0),0)))</f>
        <v/>
      </c>
      <c r="AE325" s="27">
        <f>IF(E325="","",Y325-N(AD325))</f>
        <v/>
      </c>
      <c r="AF325" s="29">
        <f>IFERROR(AE325/Y325,"")</f>
        <v/>
      </c>
      <c r="AG325" s="25">
        <f>IF(E325="","",IF(H325="Onsite",IFERROR(INDEX(tbl_Onsite[Notes],MATCH(E325&amp;"",tbl_Onsite[Job Number],0)),""),IF(H325="Production",IFERROR(INDEX(tbl_Production[Notes],MATCH(E325&amp;"",tbl_Production[Job Number],0)),""),IF(H325="Consulting",IFERROR(INDEX(tbl_Consulting[Notes],MATCH(E325&amp;"",tbl_Consulting[Job Number],0)),""),""))))</f>
        <v/>
      </c>
    </row>
    <row r="326" ht="15" customHeight="1">
      <c r="A326" s="22" t="n"/>
      <c r="B326" s="23">
        <f>IF(A326="","",EOMONTH(A326,0))</f>
        <v/>
      </c>
      <c r="C326" s="24" t="n"/>
      <c r="D326" s="24" t="n"/>
      <c r="E326" s="24" t="n"/>
      <c r="F326" s="25">
        <f>IF(E326="","",IF(COUNTIF(lst_Jobs,E326&amp;"")&gt;0,"OK","CHECK"))</f>
        <v/>
      </c>
      <c r="G326" s="24" t="n"/>
      <c r="H326" s="24" t="n"/>
      <c r="I326" s="24" t="n"/>
      <c r="J326" s="24" t="n"/>
      <c r="K326" s="24" t="n"/>
      <c r="L326" s="26" t="n"/>
      <c r="M326" s="27">
        <f>IF(L326="","",IF(K326="GST 10%",ROUND(L326*set_GSTRate,2),0))</f>
        <v/>
      </c>
      <c r="N326" s="27">
        <f>IF(L326="","",L326+M326)</f>
        <v/>
      </c>
      <c r="O326" s="24" t="n"/>
      <c r="P326" s="24" t="n"/>
      <c r="Q326" s="24" t="n"/>
      <c r="R326" s="22" t="n"/>
      <c r="S326" s="22" t="n"/>
      <c r="T326" s="24" t="n"/>
      <c r="U326" s="24" t="n"/>
      <c r="V326" s="25">
        <f>IF(COUNTA(A326,D326,C326,L326)=0,"",IF(A326="","No date - sits outside every month",IF(E326="","No job number",IF(F326="CHECK","Job number is not in the Xero job list",IF(I326="","No cost centre",IF(AND(P326="Y",C326=""),"Marked posted to Xero but has no invoice number",IF(AND(L326&lt;&gt;"",K326=""),"No tax code",IF(AND(L326&lt;&gt;"",O326=""),"No revenue GL code",""))))))))</f>
        <v/>
      </c>
      <c r="W326" s="25">
        <f>IF(E326="","",IFERROR(INDEX(lst_JobName,MATCH(E326&amp;"",lst_Jobs,0)),""))</f>
        <v/>
      </c>
      <c r="X326" s="28">
        <f>IF(E326="","",COUNTIFS(tbl_Finance[Job Number],E326&amp;"",tbl_Finance[Ex GST],"&lt;&gt;"))</f>
        <v/>
      </c>
      <c r="Y326" s="27">
        <f>IF(E326="","",SUMIFS(tbl_Finance[Ex GST],tbl_Finance[Job Number],E326&amp;""))</f>
        <v/>
      </c>
      <c r="Z326" s="27">
        <f>IF(E326="","",SUMIFS(tbl_Finance[Ex GST],tbl_Finance[Job Number],E326&amp;"",tbl_Finance[Xero Invoice No],"&lt;&gt;"))</f>
        <v/>
      </c>
      <c r="AA326" s="27">
        <f>IF(E326="","",Y326-Z326)</f>
        <v/>
      </c>
      <c r="AB326" s="25">
        <f>IF(E326="","",IF(H326="Onsite",IFERROR(INDEX(tbl_Onsite[Qwilr Quote],MATCH(E326&amp;"",tbl_Onsite[Job Number],0)),""),IF(H326="Production",IFERROR(INDEX(tbl_Production[Current RMS No],MATCH(E326&amp;"",tbl_Production[Job Number],0)),""),IF(H326="Consulting",IFERROR(INDEX(tbl_Consulting[Qwilr Quote],MATCH(E326&amp;"",tbl_Consulting[Job Number],0)),""),""))))</f>
        <v/>
      </c>
      <c r="AC326" s="25">
        <f>IF(AB326="","",IF(AND(LEFT(AB326,4)&lt;&gt;"http",IF(H326="Production",set_RMSBase,set_QwilrBase)=""),"",HYPERLINK(IF(LEFT(AB326,4)="http",AB326,IF(H326="Production",set_RMSBase,set_QwilrBase)&amp;AB326),"Open")))</f>
        <v/>
      </c>
      <c r="AD326" s="27">
        <f>IF(E326="","",IF(H326="Production",IFERROR(INDEX(tbl_Production[Total Expense],MATCH(E326&amp;"",tbl_Production[Job Number],0)),0),IF(H326="Consulting",IFERROR(INDEX(tbl_Consulting[Total Expense],MATCH(E326&amp;"",tbl_Consulting[Job Number],0)),0),0)))</f>
        <v/>
      </c>
      <c r="AE326" s="27">
        <f>IF(E326="","",Y326-N(AD326))</f>
        <v/>
      </c>
      <c r="AF326" s="29">
        <f>IFERROR(AE326/Y326,"")</f>
        <v/>
      </c>
      <c r="AG326" s="25">
        <f>IF(E326="","",IF(H326="Onsite",IFERROR(INDEX(tbl_Onsite[Notes],MATCH(E326&amp;"",tbl_Onsite[Job Number],0)),""),IF(H326="Production",IFERROR(INDEX(tbl_Production[Notes],MATCH(E326&amp;"",tbl_Production[Job Number],0)),""),IF(H326="Consulting",IFERROR(INDEX(tbl_Consulting[Notes],MATCH(E326&amp;"",tbl_Consulting[Job Number],0)),""),""))))</f>
        <v/>
      </c>
    </row>
    <row r="327" ht="15" customHeight="1">
      <c r="A327" s="22" t="n"/>
      <c r="B327" s="23">
        <f>IF(A327="","",EOMONTH(A327,0))</f>
        <v/>
      </c>
      <c r="C327" s="24" t="n"/>
      <c r="D327" s="24" t="n"/>
      <c r="E327" s="24" t="n"/>
      <c r="F327" s="25">
        <f>IF(E327="","",IF(COUNTIF(lst_Jobs,E327&amp;"")&gt;0,"OK","CHECK"))</f>
        <v/>
      </c>
      <c r="G327" s="24" t="n"/>
      <c r="H327" s="24" t="n"/>
      <c r="I327" s="24" t="n"/>
      <c r="J327" s="24" t="n"/>
      <c r="K327" s="24" t="n"/>
      <c r="L327" s="26" t="n"/>
      <c r="M327" s="27">
        <f>IF(L327="","",IF(K327="GST 10%",ROUND(L327*set_GSTRate,2),0))</f>
        <v/>
      </c>
      <c r="N327" s="27">
        <f>IF(L327="","",L327+M327)</f>
        <v/>
      </c>
      <c r="O327" s="24" t="n"/>
      <c r="P327" s="24" t="n"/>
      <c r="Q327" s="24" t="n"/>
      <c r="R327" s="22" t="n"/>
      <c r="S327" s="22" t="n"/>
      <c r="T327" s="24" t="n"/>
      <c r="U327" s="24" t="n"/>
      <c r="V327" s="25">
        <f>IF(COUNTA(A327,D327,C327,L327)=0,"",IF(A327="","No date - sits outside every month",IF(E327="","No job number",IF(F327="CHECK","Job number is not in the Xero job list",IF(I327="","No cost centre",IF(AND(P327="Y",C327=""),"Marked posted to Xero but has no invoice number",IF(AND(L327&lt;&gt;"",K327=""),"No tax code",IF(AND(L327&lt;&gt;"",O327=""),"No revenue GL code",""))))))))</f>
        <v/>
      </c>
      <c r="W327" s="25">
        <f>IF(E327="","",IFERROR(INDEX(lst_JobName,MATCH(E327&amp;"",lst_Jobs,0)),""))</f>
        <v/>
      </c>
      <c r="X327" s="28">
        <f>IF(E327="","",COUNTIFS(tbl_Finance[Job Number],E327&amp;"",tbl_Finance[Ex GST],"&lt;&gt;"))</f>
        <v/>
      </c>
      <c r="Y327" s="27">
        <f>IF(E327="","",SUMIFS(tbl_Finance[Ex GST],tbl_Finance[Job Number],E327&amp;""))</f>
        <v/>
      </c>
      <c r="Z327" s="27">
        <f>IF(E327="","",SUMIFS(tbl_Finance[Ex GST],tbl_Finance[Job Number],E327&amp;"",tbl_Finance[Xero Invoice No],"&lt;&gt;"))</f>
        <v/>
      </c>
      <c r="AA327" s="27">
        <f>IF(E327="","",Y327-Z327)</f>
        <v/>
      </c>
      <c r="AB327" s="25">
        <f>IF(E327="","",IF(H327="Onsite",IFERROR(INDEX(tbl_Onsite[Qwilr Quote],MATCH(E327&amp;"",tbl_Onsite[Job Number],0)),""),IF(H327="Production",IFERROR(INDEX(tbl_Production[Current RMS No],MATCH(E327&amp;"",tbl_Production[Job Number],0)),""),IF(H327="Consulting",IFERROR(INDEX(tbl_Consulting[Qwilr Quote],MATCH(E327&amp;"",tbl_Consulting[Job Number],0)),""),""))))</f>
        <v/>
      </c>
      <c r="AC327" s="25">
        <f>IF(AB327="","",IF(AND(LEFT(AB327,4)&lt;&gt;"http",IF(H327="Production",set_RMSBase,set_QwilrBase)=""),"",HYPERLINK(IF(LEFT(AB327,4)="http",AB327,IF(H327="Production",set_RMSBase,set_QwilrBase)&amp;AB327),"Open")))</f>
        <v/>
      </c>
      <c r="AD327" s="27">
        <f>IF(E327="","",IF(H327="Production",IFERROR(INDEX(tbl_Production[Total Expense],MATCH(E327&amp;"",tbl_Production[Job Number],0)),0),IF(H327="Consulting",IFERROR(INDEX(tbl_Consulting[Total Expense],MATCH(E327&amp;"",tbl_Consulting[Job Number],0)),0),0)))</f>
        <v/>
      </c>
      <c r="AE327" s="27">
        <f>IF(E327="","",Y327-N(AD327))</f>
        <v/>
      </c>
      <c r="AF327" s="29">
        <f>IFERROR(AE327/Y327,"")</f>
        <v/>
      </c>
      <c r="AG327" s="25">
        <f>IF(E327="","",IF(H327="Onsite",IFERROR(INDEX(tbl_Onsite[Notes],MATCH(E327&amp;"",tbl_Onsite[Job Number],0)),""),IF(H327="Production",IFERROR(INDEX(tbl_Production[Notes],MATCH(E327&amp;"",tbl_Production[Job Number],0)),""),IF(H327="Consulting",IFERROR(INDEX(tbl_Consulting[Notes],MATCH(E327&amp;"",tbl_Consulting[Job Number],0)),""),""))))</f>
        <v/>
      </c>
    </row>
    <row r="328" ht="15" customHeight="1">
      <c r="A328" s="22" t="n"/>
      <c r="B328" s="23">
        <f>IF(A328="","",EOMONTH(A328,0))</f>
        <v/>
      </c>
      <c r="C328" s="24" t="n"/>
      <c r="D328" s="24" t="n"/>
      <c r="E328" s="24" t="n"/>
      <c r="F328" s="25">
        <f>IF(E328="","",IF(COUNTIF(lst_Jobs,E328&amp;"")&gt;0,"OK","CHECK"))</f>
        <v/>
      </c>
      <c r="G328" s="24" t="n"/>
      <c r="H328" s="24" t="n"/>
      <c r="I328" s="24" t="n"/>
      <c r="J328" s="24" t="n"/>
      <c r="K328" s="24" t="n"/>
      <c r="L328" s="26" t="n"/>
      <c r="M328" s="27">
        <f>IF(L328="","",IF(K328="GST 10%",ROUND(L328*set_GSTRate,2),0))</f>
        <v/>
      </c>
      <c r="N328" s="27">
        <f>IF(L328="","",L328+M328)</f>
        <v/>
      </c>
      <c r="O328" s="24" t="n"/>
      <c r="P328" s="24" t="n"/>
      <c r="Q328" s="24" t="n"/>
      <c r="R328" s="22" t="n"/>
      <c r="S328" s="22" t="n"/>
      <c r="T328" s="24" t="n"/>
      <c r="U328" s="24" t="n"/>
      <c r="V328" s="25">
        <f>IF(COUNTA(A328,D328,C328,L328)=0,"",IF(A328="","No date - sits outside every month",IF(E328="","No job number",IF(F328="CHECK","Job number is not in the Xero job list",IF(I328="","No cost centre",IF(AND(P328="Y",C328=""),"Marked posted to Xero but has no invoice number",IF(AND(L328&lt;&gt;"",K328=""),"No tax code",IF(AND(L328&lt;&gt;"",O328=""),"No revenue GL code",""))))))))</f>
        <v/>
      </c>
      <c r="W328" s="25">
        <f>IF(E328="","",IFERROR(INDEX(lst_JobName,MATCH(E328&amp;"",lst_Jobs,0)),""))</f>
        <v/>
      </c>
      <c r="X328" s="28">
        <f>IF(E328="","",COUNTIFS(tbl_Finance[Job Number],E328&amp;"",tbl_Finance[Ex GST],"&lt;&gt;"))</f>
        <v/>
      </c>
      <c r="Y328" s="27">
        <f>IF(E328="","",SUMIFS(tbl_Finance[Ex GST],tbl_Finance[Job Number],E328&amp;""))</f>
        <v/>
      </c>
      <c r="Z328" s="27">
        <f>IF(E328="","",SUMIFS(tbl_Finance[Ex GST],tbl_Finance[Job Number],E328&amp;"",tbl_Finance[Xero Invoice No],"&lt;&gt;"))</f>
        <v/>
      </c>
      <c r="AA328" s="27">
        <f>IF(E328="","",Y328-Z328)</f>
        <v/>
      </c>
      <c r="AB328" s="25">
        <f>IF(E328="","",IF(H328="Onsite",IFERROR(INDEX(tbl_Onsite[Qwilr Quote],MATCH(E328&amp;"",tbl_Onsite[Job Number],0)),""),IF(H328="Production",IFERROR(INDEX(tbl_Production[Current RMS No],MATCH(E328&amp;"",tbl_Production[Job Number],0)),""),IF(H328="Consulting",IFERROR(INDEX(tbl_Consulting[Qwilr Quote],MATCH(E328&amp;"",tbl_Consulting[Job Number],0)),""),""))))</f>
        <v/>
      </c>
      <c r="AC328" s="25">
        <f>IF(AB328="","",IF(AND(LEFT(AB328,4)&lt;&gt;"http",IF(H328="Production",set_RMSBase,set_QwilrBase)=""),"",HYPERLINK(IF(LEFT(AB328,4)="http",AB328,IF(H328="Production",set_RMSBase,set_QwilrBase)&amp;AB328),"Open")))</f>
        <v/>
      </c>
      <c r="AD328" s="27">
        <f>IF(E328="","",IF(H328="Production",IFERROR(INDEX(tbl_Production[Total Expense],MATCH(E328&amp;"",tbl_Production[Job Number],0)),0),IF(H328="Consulting",IFERROR(INDEX(tbl_Consulting[Total Expense],MATCH(E328&amp;"",tbl_Consulting[Job Number],0)),0),0)))</f>
        <v/>
      </c>
      <c r="AE328" s="27">
        <f>IF(E328="","",Y328-N(AD328))</f>
        <v/>
      </c>
      <c r="AF328" s="29">
        <f>IFERROR(AE328/Y328,"")</f>
        <v/>
      </c>
      <c r="AG328" s="25">
        <f>IF(E328="","",IF(H328="Onsite",IFERROR(INDEX(tbl_Onsite[Notes],MATCH(E328&amp;"",tbl_Onsite[Job Number],0)),""),IF(H328="Production",IFERROR(INDEX(tbl_Production[Notes],MATCH(E328&amp;"",tbl_Production[Job Number],0)),""),IF(H328="Consulting",IFERROR(INDEX(tbl_Consulting[Notes],MATCH(E328&amp;"",tbl_Consulting[Job Number],0)),""),""))))</f>
        <v/>
      </c>
    </row>
    <row r="329" ht="15" customHeight="1">
      <c r="A329" s="22" t="n"/>
      <c r="B329" s="23">
        <f>IF(A329="","",EOMONTH(A329,0))</f>
        <v/>
      </c>
      <c r="C329" s="24" t="n"/>
      <c r="D329" s="24" t="n"/>
      <c r="E329" s="24" t="n"/>
      <c r="F329" s="25">
        <f>IF(E329="","",IF(COUNTIF(lst_Jobs,E329&amp;"")&gt;0,"OK","CHECK"))</f>
        <v/>
      </c>
      <c r="G329" s="24" t="n"/>
      <c r="H329" s="24" t="n"/>
      <c r="I329" s="24" t="n"/>
      <c r="J329" s="24" t="n"/>
      <c r="K329" s="24" t="n"/>
      <c r="L329" s="26" t="n"/>
      <c r="M329" s="27">
        <f>IF(L329="","",IF(K329="GST 10%",ROUND(L329*set_GSTRate,2),0))</f>
        <v/>
      </c>
      <c r="N329" s="27">
        <f>IF(L329="","",L329+M329)</f>
        <v/>
      </c>
      <c r="O329" s="24" t="n"/>
      <c r="P329" s="24" t="n"/>
      <c r="Q329" s="24" t="n"/>
      <c r="R329" s="22" t="n"/>
      <c r="S329" s="22" t="n"/>
      <c r="T329" s="24" t="n"/>
      <c r="U329" s="24" t="n"/>
      <c r="V329" s="25">
        <f>IF(COUNTA(A329,D329,C329,L329)=0,"",IF(A329="","No date - sits outside every month",IF(E329="","No job number",IF(F329="CHECK","Job number is not in the Xero job list",IF(I329="","No cost centre",IF(AND(P329="Y",C329=""),"Marked posted to Xero but has no invoice number",IF(AND(L329&lt;&gt;"",K329=""),"No tax code",IF(AND(L329&lt;&gt;"",O329=""),"No revenue GL code",""))))))))</f>
        <v/>
      </c>
      <c r="W329" s="25">
        <f>IF(E329="","",IFERROR(INDEX(lst_JobName,MATCH(E329&amp;"",lst_Jobs,0)),""))</f>
        <v/>
      </c>
      <c r="X329" s="28">
        <f>IF(E329="","",COUNTIFS(tbl_Finance[Job Number],E329&amp;"",tbl_Finance[Ex GST],"&lt;&gt;"))</f>
        <v/>
      </c>
      <c r="Y329" s="27">
        <f>IF(E329="","",SUMIFS(tbl_Finance[Ex GST],tbl_Finance[Job Number],E329&amp;""))</f>
        <v/>
      </c>
      <c r="Z329" s="27">
        <f>IF(E329="","",SUMIFS(tbl_Finance[Ex GST],tbl_Finance[Job Number],E329&amp;"",tbl_Finance[Xero Invoice No],"&lt;&gt;"))</f>
        <v/>
      </c>
      <c r="AA329" s="27">
        <f>IF(E329="","",Y329-Z329)</f>
        <v/>
      </c>
      <c r="AB329" s="25">
        <f>IF(E329="","",IF(H329="Onsite",IFERROR(INDEX(tbl_Onsite[Qwilr Quote],MATCH(E329&amp;"",tbl_Onsite[Job Number],0)),""),IF(H329="Production",IFERROR(INDEX(tbl_Production[Current RMS No],MATCH(E329&amp;"",tbl_Production[Job Number],0)),""),IF(H329="Consulting",IFERROR(INDEX(tbl_Consulting[Qwilr Quote],MATCH(E329&amp;"",tbl_Consulting[Job Number],0)),""),""))))</f>
        <v/>
      </c>
      <c r="AC329" s="25">
        <f>IF(AB329="","",IF(AND(LEFT(AB329,4)&lt;&gt;"http",IF(H329="Production",set_RMSBase,set_QwilrBase)=""),"",HYPERLINK(IF(LEFT(AB329,4)="http",AB329,IF(H329="Production",set_RMSBase,set_QwilrBase)&amp;AB329),"Open")))</f>
        <v/>
      </c>
      <c r="AD329" s="27">
        <f>IF(E329="","",IF(H329="Production",IFERROR(INDEX(tbl_Production[Total Expense],MATCH(E329&amp;"",tbl_Production[Job Number],0)),0),IF(H329="Consulting",IFERROR(INDEX(tbl_Consulting[Total Expense],MATCH(E329&amp;"",tbl_Consulting[Job Number],0)),0),0)))</f>
        <v/>
      </c>
      <c r="AE329" s="27">
        <f>IF(E329="","",Y329-N(AD329))</f>
        <v/>
      </c>
      <c r="AF329" s="29">
        <f>IFERROR(AE329/Y329,"")</f>
        <v/>
      </c>
      <c r="AG329" s="25">
        <f>IF(E329="","",IF(H329="Onsite",IFERROR(INDEX(tbl_Onsite[Notes],MATCH(E329&amp;"",tbl_Onsite[Job Number],0)),""),IF(H329="Production",IFERROR(INDEX(tbl_Production[Notes],MATCH(E329&amp;"",tbl_Production[Job Number],0)),""),IF(H329="Consulting",IFERROR(INDEX(tbl_Consulting[Notes],MATCH(E329&amp;"",tbl_Consulting[Job Number],0)),""),""))))</f>
        <v/>
      </c>
    </row>
    <row r="330" ht="15" customHeight="1">
      <c r="A330" s="22" t="n"/>
      <c r="B330" s="23">
        <f>IF(A330="","",EOMONTH(A330,0))</f>
        <v/>
      </c>
      <c r="C330" s="24" t="n"/>
      <c r="D330" s="24" t="n"/>
      <c r="E330" s="24" t="n"/>
      <c r="F330" s="25">
        <f>IF(E330="","",IF(COUNTIF(lst_Jobs,E330&amp;"")&gt;0,"OK","CHECK"))</f>
        <v/>
      </c>
      <c r="G330" s="24" t="n"/>
      <c r="H330" s="24" t="n"/>
      <c r="I330" s="24" t="n"/>
      <c r="J330" s="24" t="n"/>
      <c r="K330" s="24" t="n"/>
      <c r="L330" s="26" t="n"/>
      <c r="M330" s="27">
        <f>IF(L330="","",IF(K330="GST 10%",ROUND(L330*set_GSTRate,2),0))</f>
        <v/>
      </c>
      <c r="N330" s="27">
        <f>IF(L330="","",L330+M330)</f>
        <v/>
      </c>
      <c r="O330" s="24" t="n"/>
      <c r="P330" s="24" t="n"/>
      <c r="Q330" s="24" t="n"/>
      <c r="R330" s="22" t="n"/>
      <c r="S330" s="22" t="n"/>
      <c r="T330" s="24" t="n"/>
      <c r="U330" s="24" t="n"/>
      <c r="V330" s="25">
        <f>IF(COUNTA(A330,D330,C330,L330)=0,"",IF(A330="","No date - sits outside every month",IF(E330="","No job number",IF(F330="CHECK","Job number is not in the Xero job list",IF(I330="","No cost centre",IF(AND(P330="Y",C330=""),"Marked posted to Xero but has no invoice number",IF(AND(L330&lt;&gt;"",K330=""),"No tax code",IF(AND(L330&lt;&gt;"",O330=""),"No revenue GL code",""))))))))</f>
        <v/>
      </c>
      <c r="W330" s="25">
        <f>IF(E330="","",IFERROR(INDEX(lst_JobName,MATCH(E330&amp;"",lst_Jobs,0)),""))</f>
        <v/>
      </c>
      <c r="X330" s="28">
        <f>IF(E330="","",COUNTIFS(tbl_Finance[Job Number],E330&amp;"",tbl_Finance[Ex GST],"&lt;&gt;"))</f>
        <v/>
      </c>
      <c r="Y330" s="27">
        <f>IF(E330="","",SUMIFS(tbl_Finance[Ex GST],tbl_Finance[Job Number],E330&amp;""))</f>
        <v/>
      </c>
      <c r="Z330" s="27">
        <f>IF(E330="","",SUMIFS(tbl_Finance[Ex GST],tbl_Finance[Job Number],E330&amp;"",tbl_Finance[Xero Invoice No],"&lt;&gt;"))</f>
        <v/>
      </c>
      <c r="AA330" s="27">
        <f>IF(E330="","",Y330-Z330)</f>
        <v/>
      </c>
      <c r="AB330" s="25">
        <f>IF(E330="","",IF(H330="Onsite",IFERROR(INDEX(tbl_Onsite[Qwilr Quote],MATCH(E330&amp;"",tbl_Onsite[Job Number],0)),""),IF(H330="Production",IFERROR(INDEX(tbl_Production[Current RMS No],MATCH(E330&amp;"",tbl_Production[Job Number],0)),""),IF(H330="Consulting",IFERROR(INDEX(tbl_Consulting[Qwilr Quote],MATCH(E330&amp;"",tbl_Consulting[Job Number],0)),""),""))))</f>
        <v/>
      </c>
      <c r="AC330" s="25">
        <f>IF(AB330="","",IF(AND(LEFT(AB330,4)&lt;&gt;"http",IF(H330="Production",set_RMSBase,set_QwilrBase)=""),"",HYPERLINK(IF(LEFT(AB330,4)="http",AB330,IF(H330="Production",set_RMSBase,set_QwilrBase)&amp;AB330),"Open")))</f>
        <v/>
      </c>
      <c r="AD330" s="27">
        <f>IF(E330="","",IF(H330="Production",IFERROR(INDEX(tbl_Production[Total Expense],MATCH(E330&amp;"",tbl_Production[Job Number],0)),0),IF(H330="Consulting",IFERROR(INDEX(tbl_Consulting[Total Expense],MATCH(E330&amp;"",tbl_Consulting[Job Number],0)),0),0)))</f>
        <v/>
      </c>
      <c r="AE330" s="27">
        <f>IF(E330="","",Y330-N(AD330))</f>
        <v/>
      </c>
      <c r="AF330" s="29">
        <f>IFERROR(AE330/Y330,"")</f>
        <v/>
      </c>
      <c r="AG330" s="25">
        <f>IF(E330="","",IF(H330="Onsite",IFERROR(INDEX(tbl_Onsite[Notes],MATCH(E330&amp;"",tbl_Onsite[Job Number],0)),""),IF(H330="Production",IFERROR(INDEX(tbl_Production[Notes],MATCH(E330&amp;"",tbl_Production[Job Number],0)),""),IF(H330="Consulting",IFERROR(INDEX(tbl_Consulting[Notes],MATCH(E330&amp;"",tbl_Consulting[Job Number],0)),""),""))))</f>
        <v/>
      </c>
    </row>
    <row r="331" ht="15" customHeight="1">
      <c r="A331" s="22" t="n"/>
      <c r="B331" s="23">
        <f>IF(A331="","",EOMONTH(A331,0))</f>
        <v/>
      </c>
      <c r="C331" s="24" t="n"/>
      <c r="D331" s="24" t="n"/>
      <c r="E331" s="24" t="n"/>
      <c r="F331" s="25">
        <f>IF(E331="","",IF(COUNTIF(lst_Jobs,E331&amp;"")&gt;0,"OK","CHECK"))</f>
        <v/>
      </c>
      <c r="G331" s="24" t="n"/>
      <c r="H331" s="24" t="n"/>
      <c r="I331" s="24" t="n"/>
      <c r="J331" s="24" t="n"/>
      <c r="K331" s="24" t="n"/>
      <c r="L331" s="26" t="n"/>
      <c r="M331" s="27">
        <f>IF(L331="","",IF(K331="GST 10%",ROUND(L331*set_GSTRate,2),0))</f>
        <v/>
      </c>
      <c r="N331" s="27">
        <f>IF(L331="","",L331+M331)</f>
        <v/>
      </c>
      <c r="O331" s="24" t="n"/>
      <c r="P331" s="24" t="n"/>
      <c r="Q331" s="24" t="n"/>
      <c r="R331" s="22" t="n"/>
      <c r="S331" s="22" t="n"/>
      <c r="T331" s="24" t="n"/>
      <c r="U331" s="24" t="n"/>
      <c r="V331" s="25">
        <f>IF(COUNTA(A331,D331,C331,L331)=0,"",IF(A331="","No date - sits outside every month",IF(E331="","No job number",IF(F331="CHECK","Job number is not in the Xero job list",IF(I331="","No cost centre",IF(AND(P331="Y",C331=""),"Marked posted to Xero but has no invoice number",IF(AND(L331&lt;&gt;"",K331=""),"No tax code",IF(AND(L331&lt;&gt;"",O331=""),"No revenue GL code",""))))))))</f>
        <v/>
      </c>
      <c r="W331" s="25">
        <f>IF(E331="","",IFERROR(INDEX(lst_JobName,MATCH(E331&amp;"",lst_Jobs,0)),""))</f>
        <v/>
      </c>
      <c r="X331" s="28">
        <f>IF(E331="","",COUNTIFS(tbl_Finance[Job Number],E331&amp;"",tbl_Finance[Ex GST],"&lt;&gt;"))</f>
        <v/>
      </c>
      <c r="Y331" s="27">
        <f>IF(E331="","",SUMIFS(tbl_Finance[Ex GST],tbl_Finance[Job Number],E331&amp;""))</f>
        <v/>
      </c>
      <c r="Z331" s="27">
        <f>IF(E331="","",SUMIFS(tbl_Finance[Ex GST],tbl_Finance[Job Number],E331&amp;"",tbl_Finance[Xero Invoice No],"&lt;&gt;"))</f>
        <v/>
      </c>
      <c r="AA331" s="27">
        <f>IF(E331="","",Y331-Z331)</f>
        <v/>
      </c>
      <c r="AB331" s="25">
        <f>IF(E331="","",IF(H331="Onsite",IFERROR(INDEX(tbl_Onsite[Qwilr Quote],MATCH(E331&amp;"",tbl_Onsite[Job Number],0)),""),IF(H331="Production",IFERROR(INDEX(tbl_Production[Current RMS No],MATCH(E331&amp;"",tbl_Production[Job Number],0)),""),IF(H331="Consulting",IFERROR(INDEX(tbl_Consulting[Qwilr Quote],MATCH(E331&amp;"",tbl_Consulting[Job Number],0)),""),""))))</f>
        <v/>
      </c>
      <c r="AC331" s="25">
        <f>IF(AB331="","",IF(AND(LEFT(AB331,4)&lt;&gt;"http",IF(H331="Production",set_RMSBase,set_QwilrBase)=""),"",HYPERLINK(IF(LEFT(AB331,4)="http",AB331,IF(H331="Production",set_RMSBase,set_QwilrBase)&amp;AB331),"Open")))</f>
        <v/>
      </c>
      <c r="AD331" s="27">
        <f>IF(E331="","",IF(H331="Production",IFERROR(INDEX(tbl_Production[Total Expense],MATCH(E331&amp;"",tbl_Production[Job Number],0)),0),IF(H331="Consulting",IFERROR(INDEX(tbl_Consulting[Total Expense],MATCH(E331&amp;"",tbl_Consulting[Job Number],0)),0),0)))</f>
        <v/>
      </c>
      <c r="AE331" s="27">
        <f>IF(E331="","",Y331-N(AD331))</f>
        <v/>
      </c>
      <c r="AF331" s="29">
        <f>IFERROR(AE331/Y331,"")</f>
        <v/>
      </c>
      <c r="AG331" s="25">
        <f>IF(E331="","",IF(H331="Onsite",IFERROR(INDEX(tbl_Onsite[Notes],MATCH(E331&amp;"",tbl_Onsite[Job Number],0)),""),IF(H331="Production",IFERROR(INDEX(tbl_Production[Notes],MATCH(E331&amp;"",tbl_Production[Job Number],0)),""),IF(H331="Consulting",IFERROR(INDEX(tbl_Consulting[Notes],MATCH(E331&amp;"",tbl_Consulting[Job Number],0)),""),""))))</f>
        <v/>
      </c>
    </row>
    <row r="332" ht="15" customHeight="1">
      <c r="A332" s="22" t="n"/>
      <c r="B332" s="23">
        <f>IF(A332="","",EOMONTH(A332,0))</f>
        <v/>
      </c>
      <c r="C332" s="24" t="n"/>
      <c r="D332" s="24" t="n"/>
      <c r="E332" s="24" t="n"/>
      <c r="F332" s="25">
        <f>IF(E332="","",IF(COUNTIF(lst_Jobs,E332&amp;"")&gt;0,"OK","CHECK"))</f>
        <v/>
      </c>
      <c r="G332" s="24" t="n"/>
      <c r="H332" s="24" t="n"/>
      <c r="I332" s="24" t="n"/>
      <c r="J332" s="24" t="n"/>
      <c r="K332" s="24" t="n"/>
      <c r="L332" s="26" t="n"/>
      <c r="M332" s="27">
        <f>IF(L332="","",IF(K332="GST 10%",ROUND(L332*set_GSTRate,2),0))</f>
        <v/>
      </c>
      <c r="N332" s="27">
        <f>IF(L332="","",L332+M332)</f>
        <v/>
      </c>
      <c r="O332" s="24" t="n"/>
      <c r="P332" s="24" t="n"/>
      <c r="Q332" s="24" t="n"/>
      <c r="R332" s="22" t="n"/>
      <c r="S332" s="22" t="n"/>
      <c r="T332" s="24" t="n"/>
      <c r="U332" s="24" t="n"/>
      <c r="V332" s="25">
        <f>IF(COUNTA(A332,D332,C332,L332)=0,"",IF(A332="","No date - sits outside every month",IF(E332="","No job number",IF(F332="CHECK","Job number is not in the Xero job list",IF(I332="","No cost centre",IF(AND(P332="Y",C332=""),"Marked posted to Xero but has no invoice number",IF(AND(L332&lt;&gt;"",K332=""),"No tax code",IF(AND(L332&lt;&gt;"",O332=""),"No revenue GL code",""))))))))</f>
        <v/>
      </c>
      <c r="W332" s="25">
        <f>IF(E332="","",IFERROR(INDEX(lst_JobName,MATCH(E332&amp;"",lst_Jobs,0)),""))</f>
        <v/>
      </c>
      <c r="X332" s="28">
        <f>IF(E332="","",COUNTIFS(tbl_Finance[Job Number],E332&amp;"",tbl_Finance[Ex GST],"&lt;&gt;"))</f>
        <v/>
      </c>
      <c r="Y332" s="27">
        <f>IF(E332="","",SUMIFS(tbl_Finance[Ex GST],tbl_Finance[Job Number],E332&amp;""))</f>
        <v/>
      </c>
      <c r="Z332" s="27">
        <f>IF(E332="","",SUMIFS(tbl_Finance[Ex GST],tbl_Finance[Job Number],E332&amp;"",tbl_Finance[Xero Invoice No],"&lt;&gt;"))</f>
        <v/>
      </c>
      <c r="AA332" s="27">
        <f>IF(E332="","",Y332-Z332)</f>
        <v/>
      </c>
      <c r="AB332" s="25">
        <f>IF(E332="","",IF(H332="Onsite",IFERROR(INDEX(tbl_Onsite[Qwilr Quote],MATCH(E332&amp;"",tbl_Onsite[Job Number],0)),""),IF(H332="Production",IFERROR(INDEX(tbl_Production[Current RMS No],MATCH(E332&amp;"",tbl_Production[Job Number],0)),""),IF(H332="Consulting",IFERROR(INDEX(tbl_Consulting[Qwilr Quote],MATCH(E332&amp;"",tbl_Consulting[Job Number],0)),""),""))))</f>
        <v/>
      </c>
      <c r="AC332" s="25">
        <f>IF(AB332="","",IF(AND(LEFT(AB332,4)&lt;&gt;"http",IF(H332="Production",set_RMSBase,set_QwilrBase)=""),"",HYPERLINK(IF(LEFT(AB332,4)="http",AB332,IF(H332="Production",set_RMSBase,set_QwilrBase)&amp;AB332),"Open")))</f>
        <v/>
      </c>
      <c r="AD332" s="27">
        <f>IF(E332="","",IF(H332="Production",IFERROR(INDEX(tbl_Production[Total Expense],MATCH(E332&amp;"",tbl_Production[Job Number],0)),0),IF(H332="Consulting",IFERROR(INDEX(tbl_Consulting[Total Expense],MATCH(E332&amp;"",tbl_Consulting[Job Number],0)),0),0)))</f>
        <v/>
      </c>
      <c r="AE332" s="27">
        <f>IF(E332="","",Y332-N(AD332))</f>
        <v/>
      </c>
      <c r="AF332" s="29">
        <f>IFERROR(AE332/Y332,"")</f>
        <v/>
      </c>
      <c r="AG332" s="25">
        <f>IF(E332="","",IF(H332="Onsite",IFERROR(INDEX(tbl_Onsite[Notes],MATCH(E332&amp;"",tbl_Onsite[Job Number],0)),""),IF(H332="Production",IFERROR(INDEX(tbl_Production[Notes],MATCH(E332&amp;"",tbl_Production[Job Number],0)),""),IF(H332="Consulting",IFERROR(INDEX(tbl_Consulting[Notes],MATCH(E332&amp;"",tbl_Consulting[Job Number],0)),""),""))))</f>
        <v/>
      </c>
    </row>
    <row r="333" ht="15" customHeight="1">
      <c r="A333" s="22" t="n"/>
      <c r="B333" s="23">
        <f>IF(A333="","",EOMONTH(A333,0))</f>
        <v/>
      </c>
      <c r="C333" s="24" t="n"/>
      <c r="D333" s="24" t="n"/>
      <c r="E333" s="24" t="n"/>
      <c r="F333" s="25">
        <f>IF(E333="","",IF(COUNTIF(lst_Jobs,E333&amp;"")&gt;0,"OK","CHECK"))</f>
        <v/>
      </c>
      <c r="G333" s="24" t="n"/>
      <c r="H333" s="24" t="n"/>
      <c r="I333" s="24" t="n"/>
      <c r="J333" s="24" t="n"/>
      <c r="K333" s="24" t="n"/>
      <c r="L333" s="26" t="n"/>
      <c r="M333" s="27">
        <f>IF(L333="","",IF(K333="GST 10%",ROUND(L333*set_GSTRate,2),0))</f>
        <v/>
      </c>
      <c r="N333" s="27">
        <f>IF(L333="","",L333+M333)</f>
        <v/>
      </c>
      <c r="O333" s="24" t="n"/>
      <c r="P333" s="24" t="n"/>
      <c r="Q333" s="24" t="n"/>
      <c r="R333" s="22" t="n"/>
      <c r="S333" s="22" t="n"/>
      <c r="T333" s="24" t="n"/>
      <c r="U333" s="24" t="n"/>
      <c r="V333" s="25">
        <f>IF(COUNTA(A333,D333,C333,L333)=0,"",IF(A333="","No date - sits outside every month",IF(E333="","No job number",IF(F333="CHECK","Job number is not in the Xero job list",IF(I333="","No cost centre",IF(AND(P333="Y",C333=""),"Marked posted to Xero but has no invoice number",IF(AND(L333&lt;&gt;"",K333=""),"No tax code",IF(AND(L333&lt;&gt;"",O333=""),"No revenue GL code",""))))))))</f>
        <v/>
      </c>
      <c r="W333" s="25">
        <f>IF(E333="","",IFERROR(INDEX(lst_JobName,MATCH(E333&amp;"",lst_Jobs,0)),""))</f>
        <v/>
      </c>
      <c r="X333" s="28">
        <f>IF(E333="","",COUNTIFS(tbl_Finance[Job Number],E333&amp;"",tbl_Finance[Ex GST],"&lt;&gt;"))</f>
        <v/>
      </c>
      <c r="Y333" s="27">
        <f>IF(E333="","",SUMIFS(tbl_Finance[Ex GST],tbl_Finance[Job Number],E333&amp;""))</f>
        <v/>
      </c>
      <c r="Z333" s="27">
        <f>IF(E333="","",SUMIFS(tbl_Finance[Ex GST],tbl_Finance[Job Number],E333&amp;"",tbl_Finance[Xero Invoice No],"&lt;&gt;"))</f>
        <v/>
      </c>
      <c r="AA333" s="27">
        <f>IF(E333="","",Y333-Z333)</f>
        <v/>
      </c>
      <c r="AB333" s="25">
        <f>IF(E333="","",IF(H333="Onsite",IFERROR(INDEX(tbl_Onsite[Qwilr Quote],MATCH(E333&amp;"",tbl_Onsite[Job Number],0)),""),IF(H333="Production",IFERROR(INDEX(tbl_Production[Current RMS No],MATCH(E333&amp;"",tbl_Production[Job Number],0)),""),IF(H333="Consulting",IFERROR(INDEX(tbl_Consulting[Qwilr Quote],MATCH(E333&amp;"",tbl_Consulting[Job Number],0)),""),""))))</f>
        <v/>
      </c>
      <c r="AC333" s="25">
        <f>IF(AB333="","",IF(AND(LEFT(AB333,4)&lt;&gt;"http",IF(H333="Production",set_RMSBase,set_QwilrBase)=""),"",HYPERLINK(IF(LEFT(AB333,4)="http",AB333,IF(H333="Production",set_RMSBase,set_QwilrBase)&amp;AB333),"Open")))</f>
        <v/>
      </c>
      <c r="AD333" s="27">
        <f>IF(E333="","",IF(H333="Production",IFERROR(INDEX(tbl_Production[Total Expense],MATCH(E333&amp;"",tbl_Production[Job Number],0)),0),IF(H333="Consulting",IFERROR(INDEX(tbl_Consulting[Total Expense],MATCH(E333&amp;"",tbl_Consulting[Job Number],0)),0),0)))</f>
        <v/>
      </c>
      <c r="AE333" s="27">
        <f>IF(E333="","",Y333-N(AD333))</f>
        <v/>
      </c>
      <c r="AF333" s="29">
        <f>IFERROR(AE333/Y333,"")</f>
        <v/>
      </c>
      <c r="AG333" s="25">
        <f>IF(E333="","",IF(H333="Onsite",IFERROR(INDEX(tbl_Onsite[Notes],MATCH(E333&amp;"",tbl_Onsite[Job Number],0)),""),IF(H333="Production",IFERROR(INDEX(tbl_Production[Notes],MATCH(E333&amp;"",tbl_Production[Job Number],0)),""),IF(H333="Consulting",IFERROR(INDEX(tbl_Consulting[Notes],MATCH(E333&amp;"",tbl_Consulting[Job Number],0)),""),""))))</f>
        <v/>
      </c>
    </row>
    <row r="334" ht="15" customHeight="1">
      <c r="A334" s="22" t="n"/>
      <c r="B334" s="23">
        <f>IF(A334="","",EOMONTH(A334,0))</f>
        <v/>
      </c>
      <c r="C334" s="24" t="n"/>
      <c r="D334" s="24" t="n"/>
      <c r="E334" s="24" t="n"/>
      <c r="F334" s="25">
        <f>IF(E334="","",IF(COUNTIF(lst_Jobs,E334&amp;"")&gt;0,"OK","CHECK"))</f>
        <v/>
      </c>
      <c r="G334" s="24" t="n"/>
      <c r="H334" s="24" t="n"/>
      <c r="I334" s="24" t="n"/>
      <c r="J334" s="24" t="n"/>
      <c r="K334" s="24" t="n"/>
      <c r="L334" s="26" t="n"/>
      <c r="M334" s="27">
        <f>IF(L334="","",IF(K334="GST 10%",ROUND(L334*set_GSTRate,2),0))</f>
        <v/>
      </c>
      <c r="N334" s="27">
        <f>IF(L334="","",L334+M334)</f>
        <v/>
      </c>
      <c r="O334" s="24" t="n"/>
      <c r="P334" s="24" t="n"/>
      <c r="Q334" s="24" t="n"/>
      <c r="R334" s="22" t="n"/>
      <c r="S334" s="22" t="n"/>
      <c r="T334" s="24" t="n"/>
      <c r="U334" s="24" t="n"/>
      <c r="V334" s="25">
        <f>IF(COUNTA(A334,D334,C334,L334)=0,"",IF(A334="","No date - sits outside every month",IF(E334="","No job number",IF(F334="CHECK","Job number is not in the Xero job list",IF(I334="","No cost centre",IF(AND(P334="Y",C334=""),"Marked posted to Xero but has no invoice number",IF(AND(L334&lt;&gt;"",K334=""),"No tax code",IF(AND(L334&lt;&gt;"",O334=""),"No revenue GL code",""))))))))</f>
        <v/>
      </c>
      <c r="W334" s="25">
        <f>IF(E334="","",IFERROR(INDEX(lst_JobName,MATCH(E334&amp;"",lst_Jobs,0)),""))</f>
        <v/>
      </c>
      <c r="X334" s="28">
        <f>IF(E334="","",COUNTIFS(tbl_Finance[Job Number],E334&amp;"",tbl_Finance[Ex GST],"&lt;&gt;"))</f>
        <v/>
      </c>
      <c r="Y334" s="27">
        <f>IF(E334="","",SUMIFS(tbl_Finance[Ex GST],tbl_Finance[Job Number],E334&amp;""))</f>
        <v/>
      </c>
      <c r="Z334" s="27">
        <f>IF(E334="","",SUMIFS(tbl_Finance[Ex GST],tbl_Finance[Job Number],E334&amp;"",tbl_Finance[Xero Invoice No],"&lt;&gt;"))</f>
        <v/>
      </c>
      <c r="AA334" s="27">
        <f>IF(E334="","",Y334-Z334)</f>
        <v/>
      </c>
      <c r="AB334" s="25">
        <f>IF(E334="","",IF(H334="Onsite",IFERROR(INDEX(tbl_Onsite[Qwilr Quote],MATCH(E334&amp;"",tbl_Onsite[Job Number],0)),""),IF(H334="Production",IFERROR(INDEX(tbl_Production[Current RMS No],MATCH(E334&amp;"",tbl_Production[Job Number],0)),""),IF(H334="Consulting",IFERROR(INDEX(tbl_Consulting[Qwilr Quote],MATCH(E334&amp;"",tbl_Consulting[Job Number],0)),""),""))))</f>
        <v/>
      </c>
      <c r="AC334" s="25">
        <f>IF(AB334="","",IF(AND(LEFT(AB334,4)&lt;&gt;"http",IF(H334="Production",set_RMSBase,set_QwilrBase)=""),"",HYPERLINK(IF(LEFT(AB334,4)="http",AB334,IF(H334="Production",set_RMSBase,set_QwilrBase)&amp;AB334),"Open")))</f>
        <v/>
      </c>
      <c r="AD334" s="27">
        <f>IF(E334="","",IF(H334="Production",IFERROR(INDEX(tbl_Production[Total Expense],MATCH(E334&amp;"",tbl_Production[Job Number],0)),0),IF(H334="Consulting",IFERROR(INDEX(tbl_Consulting[Total Expense],MATCH(E334&amp;"",tbl_Consulting[Job Number],0)),0),0)))</f>
        <v/>
      </c>
      <c r="AE334" s="27">
        <f>IF(E334="","",Y334-N(AD334))</f>
        <v/>
      </c>
      <c r="AF334" s="29">
        <f>IFERROR(AE334/Y334,"")</f>
        <v/>
      </c>
      <c r="AG334" s="25">
        <f>IF(E334="","",IF(H334="Onsite",IFERROR(INDEX(tbl_Onsite[Notes],MATCH(E334&amp;"",tbl_Onsite[Job Number],0)),""),IF(H334="Production",IFERROR(INDEX(tbl_Production[Notes],MATCH(E334&amp;"",tbl_Production[Job Number],0)),""),IF(H334="Consulting",IFERROR(INDEX(tbl_Consulting[Notes],MATCH(E334&amp;"",tbl_Consulting[Job Number],0)),""),""))))</f>
        <v/>
      </c>
    </row>
    <row r="335" ht="15" customHeight="1">
      <c r="A335" s="22" t="n"/>
      <c r="B335" s="23">
        <f>IF(A335="","",EOMONTH(A335,0))</f>
        <v/>
      </c>
      <c r="C335" s="24" t="n"/>
      <c r="D335" s="24" t="n"/>
      <c r="E335" s="24" t="n"/>
      <c r="F335" s="25">
        <f>IF(E335="","",IF(COUNTIF(lst_Jobs,E335&amp;"")&gt;0,"OK","CHECK"))</f>
        <v/>
      </c>
      <c r="G335" s="24" t="n"/>
      <c r="H335" s="24" t="n"/>
      <c r="I335" s="24" t="n"/>
      <c r="J335" s="24" t="n"/>
      <c r="K335" s="24" t="n"/>
      <c r="L335" s="26" t="n"/>
      <c r="M335" s="27">
        <f>IF(L335="","",IF(K335="GST 10%",ROUND(L335*set_GSTRate,2),0))</f>
        <v/>
      </c>
      <c r="N335" s="27">
        <f>IF(L335="","",L335+M335)</f>
        <v/>
      </c>
      <c r="O335" s="24" t="n"/>
      <c r="P335" s="24" t="n"/>
      <c r="Q335" s="24" t="n"/>
      <c r="R335" s="22" t="n"/>
      <c r="S335" s="22" t="n"/>
      <c r="T335" s="24" t="n"/>
      <c r="U335" s="24" t="n"/>
      <c r="V335" s="25">
        <f>IF(COUNTA(A335,D335,C335,L335)=0,"",IF(A335="","No date - sits outside every month",IF(E335="","No job number",IF(F335="CHECK","Job number is not in the Xero job list",IF(I335="","No cost centre",IF(AND(P335="Y",C335=""),"Marked posted to Xero but has no invoice number",IF(AND(L335&lt;&gt;"",K335=""),"No tax code",IF(AND(L335&lt;&gt;"",O335=""),"No revenue GL code",""))))))))</f>
        <v/>
      </c>
      <c r="W335" s="25">
        <f>IF(E335="","",IFERROR(INDEX(lst_JobName,MATCH(E335&amp;"",lst_Jobs,0)),""))</f>
        <v/>
      </c>
      <c r="X335" s="28">
        <f>IF(E335="","",COUNTIFS(tbl_Finance[Job Number],E335&amp;"",tbl_Finance[Ex GST],"&lt;&gt;"))</f>
        <v/>
      </c>
      <c r="Y335" s="27">
        <f>IF(E335="","",SUMIFS(tbl_Finance[Ex GST],tbl_Finance[Job Number],E335&amp;""))</f>
        <v/>
      </c>
      <c r="Z335" s="27">
        <f>IF(E335="","",SUMIFS(tbl_Finance[Ex GST],tbl_Finance[Job Number],E335&amp;"",tbl_Finance[Xero Invoice No],"&lt;&gt;"))</f>
        <v/>
      </c>
      <c r="AA335" s="27">
        <f>IF(E335="","",Y335-Z335)</f>
        <v/>
      </c>
      <c r="AB335" s="25">
        <f>IF(E335="","",IF(H335="Onsite",IFERROR(INDEX(tbl_Onsite[Qwilr Quote],MATCH(E335&amp;"",tbl_Onsite[Job Number],0)),""),IF(H335="Production",IFERROR(INDEX(tbl_Production[Current RMS No],MATCH(E335&amp;"",tbl_Production[Job Number],0)),""),IF(H335="Consulting",IFERROR(INDEX(tbl_Consulting[Qwilr Quote],MATCH(E335&amp;"",tbl_Consulting[Job Number],0)),""),""))))</f>
        <v/>
      </c>
      <c r="AC335" s="25">
        <f>IF(AB335="","",IF(AND(LEFT(AB335,4)&lt;&gt;"http",IF(H335="Production",set_RMSBase,set_QwilrBase)=""),"",HYPERLINK(IF(LEFT(AB335,4)="http",AB335,IF(H335="Production",set_RMSBase,set_QwilrBase)&amp;AB335),"Open")))</f>
        <v/>
      </c>
      <c r="AD335" s="27">
        <f>IF(E335="","",IF(H335="Production",IFERROR(INDEX(tbl_Production[Total Expense],MATCH(E335&amp;"",tbl_Production[Job Number],0)),0),IF(H335="Consulting",IFERROR(INDEX(tbl_Consulting[Total Expense],MATCH(E335&amp;"",tbl_Consulting[Job Number],0)),0),0)))</f>
        <v/>
      </c>
      <c r="AE335" s="27">
        <f>IF(E335="","",Y335-N(AD335))</f>
        <v/>
      </c>
      <c r="AF335" s="29">
        <f>IFERROR(AE335/Y335,"")</f>
        <v/>
      </c>
      <c r="AG335" s="25">
        <f>IF(E335="","",IF(H335="Onsite",IFERROR(INDEX(tbl_Onsite[Notes],MATCH(E335&amp;"",tbl_Onsite[Job Number],0)),""),IF(H335="Production",IFERROR(INDEX(tbl_Production[Notes],MATCH(E335&amp;"",tbl_Production[Job Number],0)),""),IF(H335="Consulting",IFERROR(INDEX(tbl_Consulting[Notes],MATCH(E335&amp;"",tbl_Consulting[Job Number],0)),""),""))))</f>
        <v/>
      </c>
    </row>
    <row r="336" ht="15" customHeight="1">
      <c r="A336" s="22" t="n"/>
      <c r="B336" s="23">
        <f>IF(A336="","",EOMONTH(A336,0))</f>
        <v/>
      </c>
      <c r="C336" s="24" t="n"/>
      <c r="D336" s="24" t="n"/>
      <c r="E336" s="24" t="n"/>
      <c r="F336" s="25">
        <f>IF(E336="","",IF(COUNTIF(lst_Jobs,E336&amp;"")&gt;0,"OK","CHECK"))</f>
        <v/>
      </c>
      <c r="G336" s="24" t="n"/>
      <c r="H336" s="24" t="n"/>
      <c r="I336" s="24" t="n"/>
      <c r="J336" s="24" t="n"/>
      <c r="K336" s="24" t="n"/>
      <c r="L336" s="26" t="n"/>
      <c r="M336" s="27">
        <f>IF(L336="","",IF(K336="GST 10%",ROUND(L336*set_GSTRate,2),0))</f>
        <v/>
      </c>
      <c r="N336" s="27">
        <f>IF(L336="","",L336+M336)</f>
        <v/>
      </c>
      <c r="O336" s="24" t="n"/>
      <c r="P336" s="24" t="n"/>
      <c r="Q336" s="24" t="n"/>
      <c r="R336" s="22" t="n"/>
      <c r="S336" s="22" t="n"/>
      <c r="T336" s="24" t="n"/>
      <c r="U336" s="24" t="n"/>
      <c r="V336" s="25">
        <f>IF(COUNTA(A336,D336,C336,L336)=0,"",IF(A336="","No date - sits outside every month",IF(E336="","No job number",IF(F336="CHECK","Job number is not in the Xero job list",IF(I336="","No cost centre",IF(AND(P336="Y",C336=""),"Marked posted to Xero but has no invoice number",IF(AND(L336&lt;&gt;"",K336=""),"No tax code",IF(AND(L336&lt;&gt;"",O336=""),"No revenue GL code",""))))))))</f>
        <v/>
      </c>
      <c r="W336" s="25">
        <f>IF(E336="","",IFERROR(INDEX(lst_JobName,MATCH(E336&amp;"",lst_Jobs,0)),""))</f>
        <v/>
      </c>
      <c r="X336" s="28">
        <f>IF(E336="","",COUNTIFS(tbl_Finance[Job Number],E336&amp;"",tbl_Finance[Ex GST],"&lt;&gt;"))</f>
        <v/>
      </c>
      <c r="Y336" s="27">
        <f>IF(E336="","",SUMIFS(tbl_Finance[Ex GST],tbl_Finance[Job Number],E336&amp;""))</f>
        <v/>
      </c>
      <c r="Z336" s="27">
        <f>IF(E336="","",SUMIFS(tbl_Finance[Ex GST],tbl_Finance[Job Number],E336&amp;"",tbl_Finance[Xero Invoice No],"&lt;&gt;"))</f>
        <v/>
      </c>
      <c r="AA336" s="27">
        <f>IF(E336="","",Y336-Z336)</f>
        <v/>
      </c>
      <c r="AB336" s="25">
        <f>IF(E336="","",IF(H336="Onsite",IFERROR(INDEX(tbl_Onsite[Qwilr Quote],MATCH(E336&amp;"",tbl_Onsite[Job Number],0)),""),IF(H336="Production",IFERROR(INDEX(tbl_Production[Current RMS No],MATCH(E336&amp;"",tbl_Production[Job Number],0)),""),IF(H336="Consulting",IFERROR(INDEX(tbl_Consulting[Qwilr Quote],MATCH(E336&amp;"",tbl_Consulting[Job Number],0)),""),""))))</f>
        <v/>
      </c>
      <c r="AC336" s="25">
        <f>IF(AB336="","",IF(AND(LEFT(AB336,4)&lt;&gt;"http",IF(H336="Production",set_RMSBase,set_QwilrBase)=""),"",HYPERLINK(IF(LEFT(AB336,4)="http",AB336,IF(H336="Production",set_RMSBase,set_QwilrBase)&amp;AB336),"Open")))</f>
        <v/>
      </c>
      <c r="AD336" s="27">
        <f>IF(E336="","",IF(H336="Production",IFERROR(INDEX(tbl_Production[Total Expense],MATCH(E336&amp;"",tbl_Production[Job Number],0)),0),IF(H336="Consulting",IFERROR(INDEX(tbl_Consulting[Total Expense],MATCH(E336&amp;"",tbl_Consulting[Job Number],0)),0),0)))</f>
        <v/>
      </c>
      <c r="AE336" s="27">
        <f>IF(E336="","",Y336-N(AD336))</f>
        <v/>
      </c>
      <c r="AF336" s="29">
        <f>IFERROR(AE336/Y336,"")</f>
        <v/>
      </c>
      <c r="AG336" s="25">
        <f>IF(E336="","",IF(H336="Onsite",IFERROR(INDEX(tbl_Onsite[Notes],MATCH(E336&amp;"",tbl_Onsite[Job Number],0)),""),IF(H336="Production",IFERROR(INDEX(tbl_Production[Notes],MATCH(E336&amp;"",tbl_Production[Job Number],0)),""),IF(H336="Consulting",IFERROR(INDEX(tbl_Consulting[Notes],MATCH(E336&amp;"",tbl_Consulting[Job Number],0)),""),""))))</f>
        <v/>
      </c>
    </row>
    <row r="337" ht="15" customHeight="1">
      <c r="A337" s="22" t="n"/>
      <c r="B337" s="23">
        <f>IF(A337="","",EOMONTH(A337,0))</f>
        <v/>
      </c>
      <c r="C337" s="24" t="n"/>
      <c r="D337" s="24" t="n"/>
      <c r="E337" s="24" t="n"/>
      <c r="F337" s="25">
        <f>IF(E337="","",IF(COUNTIF(lst_Jobs,E337&amp;"")&gt;0,"OK","CHECK"))</f>
        <v/>
      </c>
      <c r="G337" s="24" t="n"/>
      <c r="H337" s="24" t="n"/>
      <c r="I337" s="24" t="n"/>
      <c r="J337" s="24" t="n"/>
      <c r="K337" s="24" t="n"/>
      <c r="L337" s="26" t="n"/>
      <c r="M337" s="27">
        <f>IF(L337="","",IF(K337="GST 10%",ROUND(L337*set_GSTRate,2),0))</f>
        <v/>
      </c>
      <c r="N337" s="27">
        <f>IF(L337="","",L337+M337)</f>
        <v/>
      </c>
      <c r="O337" s="24" t="n"/>
      <c r="P337" s="24" t="n"/>
      <c r="Q337" s="24" t="n"/>
      <c r="R337" s="22" t="n"/>
      <c r="S337" s="22" t="n"/>
      <c r="T337" s="24" t="n"/>
      <c r="U337" s="24" t="n"/>
      <c r="V337" s="25">
        <f>IF(COUNTA(A337,D337,C337,L337)=0,"",IF(A337="","No date - sits outside every month",IF(E337="","No job number",IF(F337="CHECK","Job number is not in the Xero job list",IF(I337="","No cost centre",IF(AND(P337="Y",C337=""),"Marked posted to Xero but has no invoice number",IF(AND(L337&lt;&gt;"",K337=""),"No tax code",IF(AND(L337&lt;&gt;"",O337=""),"No revenue GL code",""))))))))</f>
        <v/>
      </c>
      <c r="W337" s="25">
        <f>IF(E337="","",IFERROR(INDEX(lst_JobName,MATCH(E337&amp;"",lst_Jobs,0)),""))</f>
        <v/>
      </c>
      <c r="X337" s="28">
        <f>IF(E337="","",COUNTIFS(tbl_Finance[Job Number],E337&amp;"",tbl_Finance[Ex GST],"&lt;&gt;"))</f>
        <v/>
      </c>
      <c r="Y337" s="27">
        <f>IF(E337="","",SUMIFS(tbl_Finance[Ex GST],tbl_Finance[Job Number],E337&amp;""))</f>
        <v/>
      </c>
      <c r="Z337" s="27">
        <f>IF(E337="","",SUMIFS(tbl_Finance[Ex GST],tbl_Finance[Job Number],E337&amp;"",tbl_Finance[Xero Invoice No],"&lt;&gt;"))</f>
        <v/>
      </c>
      <c r="AA337" s="27">
        <f>IF(E337="","",Y337-Z337)</f>
        <v/>
      </c>
      <c r="AB337" s="25">
        <f>IF(E337="","",IF(H337="Onsite",IFERROR(INDEX(tbl_Onsite[Qwilr Quote],MATCH(E337&amp;"",tbl_Onsite[Job Number],0)),""),IF(H337="Production",IFERROR(INDEX(tbl_Production[Current RMS No],MATCH(E337&amp;"",tbl_Production[Job Number],0)),""),IF(H337="Consulting",IFERROR(INDEX(tbl_Consulting[Qwilr Quote],MATCH(E337&amp;"",tbl_Consulting[Job Number],0)),""),""))))</f>
        <v/>
      </c>
      <c r="AC337" s="25">
        <f>IF(AB337="","",IF(AND(LEFT(AB337,4)&lt;&gt;"http",IF(H337="Production",set_RMSBase,set_QwilrBase)=""),"",HYPERLINK(IF(LEFT(AB337,4)="http",AB337,IF(H337="Production",set_RMSBase,set_QwilrBase)&amp;AB337),"Open")))</f>
        <v/>
      </c>
      <c r="AD337" s="27">
        <f>IF(E337="","",IF(H337="Production",IFERROR(INDEX(tbl_Production[Total Expense],MATCH(E337&amp;"",tbl_Production[Job Number],0)),0),IF(H337="Consulting",IFERROR(INDEX(tbl_Consulting[Total Expense],MATCH(E337&amp;"",tbl_Consulting[Job Number],0)),0),0)))</f>
        <v/>
      </c>
      <c r="AE337" s="27">
        <f>IF(E337="","",Y337-N(AD337))</f>
        <v/>
      </c>
      <c r="AF337" s="29">
        <f>IFERROR(AE337/Y337,"")</f>
        <v/>
      </c>
      <c r="AG337" s="25">
        <f>IF(E337="","",IF(H337="Onsite",IFERROR(INDEX(tbl_Onsite[Notes],MATCH(E337&amp;"",tbl_Onsite[Job Number],0)),""),IF(H337="Production",IFERROR(INDEX(tbl_Production[Notes],MATCH(E337&amp;"",tbl_Production[Job Number],0)),""),IF(H337="Consulting",IFERROR(INDEX(tbl_Consulting[Notes],MATCH(E337&amp;"",tbl_Consulting[Job Number],0)),""),""))))</f>
        <v/>
      </c>
    </row>
    <row r="338" ht="15" customHeight="1">
      <c r="A338" s="22" t="n"/>
      <c r="B338" s="23">
        <f>IF(A338="","",EOMONTH(A338,0))</f>
        <v/>
      </c>
      <c r="C338" s="24" t="n"/>
      <c r="D338" s="24" t="n"/>
      <c r="E338" s="24" t="n"/>
      <c r="F338" s="25">
        <f>IF(E338="","",IF(COUNTIF(lst_Jobs,E338&amp;"")&gt;0,"OK","CHECK"))</f>
        <v/>
      </c>
      <c r="G338" s="24" t="n"/>
      <c r="H338" s="24" t="n"/>
      <c r="I338" s="24" t="n"/>
      <c r="J338" s="24" t="n"/>
      <c r="K338" s="24" t="n"/>
      <c r="L338" s="26" t="n"/>
      <c r="M338" s="27">
        <f>IF(L338="","",IF(K338="GST 10%",ROUND(L338*set_GSTRate,2),0))</f>
        <v/>
      </c>
      <c r="N338" s="27">
        <f>IF(L338="","",L338+M338)</f>
        <v/>
      </c>
      <c r="O338" s="24" t="n"/>
      <c r="P338" s="24" t="n"/>
      <c r="Q338" s="24" t="n"/>
      <c r="R338" s="22" t="n"/>
      <c r="S338" s="22" t="n"/>
      <c r="T338" s="24" t="n"/>
      <c r="U338" s="24" t="n"/>
      <c r="V338" s="25">
        <f>IF(COUNTA(A338,D338,C338,L338)=0,"",IF(A338="","No date - sits outside every month",IF(E338="","No job number",IF(F338="CHECK","Job number is not in the Xero job list",IF(I338="","No cost centre",IF(AND(P338="Y",C338=""),"Marked posted to Xero but has no invoice number",IF(AND(L338&lt;&gt;"",K338=""),"No tax code",IF(AND(L338&lt;&gt;"",O338=""),"No revenue GL code",""))))))))</f>
        <v/>
      </c>
      <c r="W338" s="25">
        <f>IF(E338="","",IFERROR(INDEX(lst_JobName,MATCH(E338&amp;"",lst_Jobs,0)),""))</f>
        <v/>
      </c>
      <c r="X338" s="28">
        <f>IF(E338="","",COUNTIFS(tbl_Finance[Job Number],E338&amp;"",tbl_Finance[Ex GST],"&lt;&gt;"))</f>
        <v/>
      </c>
      <c r="Y338" s="27">
        <f>IF(E338="","",SUMIFS(tbl_Finance[Ex GST],tbl_Finance[Job Number],E338&amp;""))</f>
        <v/>
      </c>
      <c r="Z338" s="27">
        <f>IF(E338="","",SUMIFS(tbl_Finance[Ex GST],tbl_Finance[Job Number],E338&amp;"",tbl_Finance[Xero Invoice No],"&lt;&gt;"))</f>
        <v/>
      </c>
      <c r="AA338" s="27">
        <f>IF(E338="","",Y338-Z338)</f>
        <v/>
      </c>
      <c r="AB338" s="25">
        <f>IF(E338="","",IF(H338="Onsite",IFERROR(INDEX(tbl_Onsite[Qwilr Quote],MATCH(E338&amp;"",tbl_Onsite[Job Number],0)),""),IF(H338="Production",IFERROR(INDEX(tbl_Production[Current RMS No],MATCH(E338&amp;"",tbl_Production[Job Number],0)),""),IF(H338="Consulting",IFERROR(INDEX(tbl_Consulting[Qwilr Quote],MATCH(E338&amp;"",tbl_Consulting[Job Number],0)),""),""))))</f>
        <v/>
      </c>
      <c r="AC338" s="25">
        <f>IF(AB338="","",IF(AND(LEFT(AB338,4)&lt;&gt;"http",IF(H338="Production",set_RMSBase,set_QwilrBase)=""),"",HYPERLINK(IF(LEFT(AB338,4)="http",AB338,IF(H338="Production",set_RMSBase,set_QwilrBase)&amp;AB338),"Open")))</f>
        <v/>
      </c>
      <c r="AD338" s="27">
        <f>IF(E338="","",IF(H338="Production",IFERROR(INDEX(tbl_Production[Total Expense],MATCH(E338&amp;"",tbl_Production[Job Number],0)),0),IF(H338="Consulting",IFERROR(INDEX(tbl_Consulting[Total Expense],MATCH(E338&amp;"",tbl_Consulting[Job Number],0)),0),0)))</f>
        <v/>
      </c>
      <c r="AE338" s="27">
        <f>IF(E338="","",Y338-N(AD338))</f>
        <v/>
      </c>
      <c r="AF338" s="29">
        <f>IFERROR(AE338/Y338,"")</f>
        <v/>
      </c>
      <c r="AG338" s="25">
        <f>IF(E338="","",IF(H338="Onsite",IFERROR(INDEX(tbl_Onsite[Notes],MATCH(E338&amp;"",tbl_Onsite[Job Number],0)),""),IF(H338="Production",IFERROR(INDEX(tbl_Production[Notes],MATCH(E338&amp;"",tbl_Production[Job Number],0)),""),IF(H338="Consulting",IFERROR(INDEX(tbl_Consulting[Notes],MATCH(E338&amp;"",tbl_Consulting[Job Number],0)),""),""))))</f>
        <v/>
      </c>
    </row>
    <row r="339" ht="15" customHeight="1">
      <c r="A339" s="22" t="n"/>
      <c r="B339" s="23">
        <f>IF(A339="","",EOMONTH(A339,0))</f>
        <v/>
      </c>
      <c r="C339" s="24" t="n"/>
      <c r="D339" s="24" t="n"/>
      <c r="E339" s="24" t="n"/>
      <c r="F339" s="25">
        <f>IF(E339="","",IF(COUNTIF(lst_Jobs,E339&amp;"")&gt;0,"OK","CHECK"))</f>
        <v/>
      </c>
      <c r="G339" s="24" t="n"/>
      <c r="H339" s="24" t="n"/>
      <c r="I339" s="24" t="n"/>
      <c r="J339" s="24" t="n"/>
      <c r="K339" s="24" t="n"/>
      <c r="L339" s="26" t="n"/>
      <c r="M339" s="27">
        <f>IF(L339="","",IF(K339="GST 10%",ROUND(L339*set_GSTRate,2),0))</f>
        <v/>
      </c>
      <c r="N339" s="27">
        <f>IF(L339="","",L339+M339)</f>
        <v/>
      </c>
      <c r="O339" s="24" t="n"/>
      <c r="P339" s="24" t="n"/>
      <c r="Q339" s="24" t="n"/>
      <c r="R339" s="22" t="n"/>
      <c r="S339" s="22" t="n"/>
      <c r="T339" s="24" t="n"/>
      <c r="U339" s="24" t="n"/>
      <c r="V339" s="25">
        <f>IF(COUNTA(A339,D339,C339,L339)=0,"",IF(A339="","No date - sits outside every month",IF(E339="","No job number",IF(F339="CHECK","Job number is not in the Xero job list",IF(I339="","No cost centre",IF(AND(P339="Y",C339=""),"Marked posted to Xero but has no invoice number",IF(AND(L339&lt;&gt;"",K339=""),"No tax code",IF(AND(L339&lt;&gt;"",O339=""),"No revenue GL code",""))))))))</f>
        <v/>
      </c>
      <c r="W339" s="25">
        <f>IF(E339="","",IFERROR(INDEX(lst_JobName,MATCH(E339&amp;"",lst_Jobs,0)),""))</f>
        <v/>
      </c>
      <c r="X339" s="28">
        <f>IF(E339="","",COUNTIFS(tbl_Finance[Job Number],E339&amp;"",tbl_Finance[Ex GST],"&lt;&gt;"))</f>
        <v/>
      </c>
      <c r="Y339" s="27">
        <f>IF(E339="","",SUMIFS(tbl_Finance[Ex GST],tbl_Finance[Job Number],E339&amp;""))</f>
        <v/>
      </c>
      <c r="Z339" s="27">
        <f>IF(E339="","",SUMIFS(tbl_Finance[Ex GST],tbl_Finance[Job Number],E339&amp;"",tbl_Finance[Xero Invoice No],"&lt;&gt;"))</f>
        <v/>
      </c>
      <c r="AA339" s="27">
        <f>IF(E339="","",Y339-Z339)</f>
        <v/>
      </c>
      <c r="AB339" s="25">
        <f>IF(E339="","",IF(H339="Onsite",IFERROR(INDEX(tbl_Onsite[Qwilr Quote],MATCH(E339&amp;"",tbl_Onsite[Job Number],0)),""),IF(H339="Production",IFERROR(INDEX(tbl_Production[Current RMS No],MATCH(E339&amp;"",tbl_Production[Job Number],0)),""),IF(H339="Consulting",IFERROR(INDEX(tbl_Consulting[Qwilr Quote],MATCH(E339&amp;"",tbl_Consulting[Job Number],0)),""),""))))</f>
        <v/>
      </c>
      <c r="AC339" s="25">
        <f>IF(AB339="","",IF(AND(LEFT(AB339,4)&lt;&gt;"http",IF(H339="Production",set_RMSBase,set_QwilrBase)=""),"",HYPERLINK(IF(LEFT(AB339,4)="http",AB339,IF(H339="Production",set_RMSBase,set_QwilrBase)&amp;AB339),"Open")))</f>
        <v/>
      </c>
      <c r="AD339" s="27">
        <f>IF(E339="","",IF(H339="Production",IFERROR(INDEX(tbl_Production[Total Expense],MATCH(E339&amp;"",tbl_Production[Job Number],0)),0),IF(H339="Consulting",IFERROR(INDEX(tbl_Consulting[Total Expense],MATCH(E339&amp;"",tbl_Consulting[Job Number],0)),0),0)))</f>
        <v/>
      </c>
      <c r="AE339" s="27">
        <f>IF(E339="","",Y339-N(AD339))</f>
        <v/>
      </c>
      <c r="AF339" s="29">
        <f>IFERROR(AE339/Y339,"")</f>
        <v/>
      </c>
      <c r="AG339" s="25">
        <f>IF(E339="","",IF(H339="Onsite",IFERROR(INDEX(tbl_Onsite[Notes],MATCH(E339&amp;"",tbl_Onsite[Job Number],0)),""),IF(H339="Production",IFERROR(INDEX(tbl_Production[Notes],MATCH(E339&amp;"",tbl_Production[Job Number],0)),""),IF(H339="Consulting",IFERROR(INDEX(tbl_Consulting[Notes],MATCH(E339&amp;"",tbl_Consulting[Job Number],0)),""),""))))</f>
        <v/>
      </c>
    </row>
    <row r="340" ht="15" customHeight="1">
      <c r="A340" s="22" t="n"/>
      <c r="B340" s="23">
        <f>IF(A340="","",EOMONTH(A340,0))</f>
        <v/>
      </c>
      <c r="C340" s="24" t="n"/>
      <c r="D340" s="24" t="n"/>
      <c r="E340" s="24" t="n"/>
      <c r="F340" s="25">
        <f>IF(E340="","",IF(COUNTIF(lst_Jobs,E340&amp;"")&gt;0,"OK","CHECK"))</f>
        <v/>
      </c>
      <c r="G340" s="24" t="n"/>
      <c r="H340" s="24" t="n"/>
      <c r="I340" s="24" t="n"/>
      <c r="J340" s="24" t="n"/>
      <c r="K340" s="24" t="n"/>
      <c r="L340" s="26" t="n"/>
      <c r="M340" s="27">
        <f>IF(L340="","",IF(K340="GST 10%",ROUND(L340*set_GSTRate,2),0))</f>
        <v/>
      </c>
      <c r="N340" s="27">
        <f>IF(L340="","",L340+M340)</f>
        <v/>
      </c>
      <c r="O340" s="24" t="n"/>
      <c r="P340" s="24" t="n"/>
      <c r="Q340" s="24" t="n"/>
      <c r="R340" s="22" t="n"/>
      <c r="S340" s="22" t="n"/>
      <c r="T340" s="24" t="n"/>
      <c r="U340" s="24" t="n"/>
      <c r="V340" s="25">
        <f>IF(COUNTA(A340,D340,C340,L340)=0,"",IF(A340="","No date - sits outside every month",IF(E340="","No job number",IF(F340="CHECK","Job number is not in the Xero job list",IF(I340="","No cost centre",IF(AND(P340="Y",C340=""),"Marked posted to Xero but has no invoice number",IF(AND(L340&lt;&gt;"",K340=""),"No tax code",IF(AND(L340&lt;&gt;"",O340=""),"No revenue GL code",""))))))))</f>
        <v/>
      </c>
      <c r="W340" s="25">
        <f>IF(E340="","",IFERROR(INDEX(lst_JobName,MATCH(E340&amp;"",lst_Jobs,0)),""))</f>
        <v/>
      </c>
      <c r="X340" s="28">
        <f>IF(E340="","",COUNTIFS(tbl_Finance[Job Number],E340&amp;"",tbl_Finance[Ex GST],"&lt;&gt;"))</f>
        <v/>
      </c>
      <c r="Y340" s="27">
        <f>IF(E340="","",SUMIFS(tbl_Finance[Ex GST],tbl_Finance[Job Number],E340&amp;""))</f>
        <v/>
      </c>
      <c r="Z340" s="27">
        <f>IF(E340="","",SUMIFS(tbl_Finance[Ex GST],tbl_Finance[Job Number],E340&amp;"",tbl_Finance[Xero Invoice No],"&lt;&gt;"))</f>
        <v/>
      </c>
      <c r="AA340" s="27">
        <f>IF(E340="","",Y340-Z340)</f>
        <v/>
      </c>
      <c r="AB340" s="25">
        <f>IF(E340="","",IF(H340="Onsite",IFERROR(INDEX(tbl_Onsite[Qwilr Quote],MATCH(E340&amp;"",tbl_Onsite[Job Number],0)),""),IF(H340="Production",IFERROR(INDEX(tbl_Production[Current RMS No],MATCH(E340&amp;"",tbl_Production[Job Number],0)),""),IF(H340="Consulting",IFERROR(INDEX(tbl_Consulting[Qwilr Quote],MATCH(E340&amp;"",tbl_Consulting[Job Number],0)),""),""))))</f>
        <v/>
      </c>
      <c r="AC340" s="25">
        <f>IF(AB340="","",IF(AND(LEFT(AB340,4)&lt;&gt;"http",IF(H340="Production",set_RMSBase,set_QwilrBase)=""),"",HYPERLINK(IF(LEFT(AB340,4)="http",AB340,IF(H340="Production",set_RMSBase,set_QwilrBase)&amp;AB340),"Open")))</f>
        <v/>
      </c>
      <c r="AD340" s="27">
        <f>IF(E340="","",IF(H340="Production",IFERROR(INDEX(tbl_Production[Total Expense],MATCH(E340&amp;"",tbl_Production[Job Number],0)),0),IF(H340="Consulting",IFERROR(INDEX(tbl_Consulting[Total Expense],MATCH(E340&amp;"",tbl_Consulting[Job Number],0)),0),0)))</f>
        <v/>
      </c>
      <c r="AE340" s="27">
        <f>IF(E340="","",Y340-N(AD340))</f>
        <v/>
      </c>
      <c r="AF340" s="29">
        <f>IFERROR(AE340/Y340,"")</f>
        <v/>
      </c>
      <c r="AG340" s="25">
        <f>IF(E340="","",IF(H340="Onsite",IFERROR(INDEX(tbl_Onsite[Notes],MATCH(E340&amp;"",tbl_Onsite[Job Number],0)),""),IF(H340="Production",IFERROR(INDEX(tbl_Production[Notes],MATCH(E340&amp;"",tbl_Production[Job Number],0)),""),IF(H340="Consulting",IFERROR(INDEX(tbl_Consulting[Notes],MATCH(E340&amp;"",tbl_Consulting[Job Number],0)),""),""))))</f>
        <v/>
      </c>
    </row>
    <row r="341" ht="15" customHeight="1">
      <c r="A341" s="22" t="n"/>
      <c r="B341" s="23">
        <f>IF(A341="","",EOMONTH(A341,0))</f>
        <v/>
      </c>
      <c r="C341" s="24" t="n"/>
      <c r="D341" s="24" t="n"/>
      <c r="E341" s="24" t="n"/>
      <c r="F341" s="25">
        <f>IF(E341="","",IF(COUNTIF(lst_Jobs,E341&amp;"")&gt;0,"OK","CHECK"))</f>
        <v/>
      </c>
      <c r="G341" s="24" t="n"/>
      <c r="H341" s="24" t="n"/>
      <c r="I341" s="24" t="n"/>
      <c r="J341" s="24" t="n"/>
      <c r="K341" s="24" t="n"/>
      <c r="L341" s="26" t="n"/>
      <c r="M341" s="27">
        <f>IF(L341="","",IF(K341="GST 10%",ROUND(L341*set_GSTRate,2),0))</f>
        <v/>
      </c>
      <c r="N341" s="27">
        <f>IF(L341="","",L341+M341)</f>
        <v/>
      </c>
      <c r="O341" s="24" t="n"/>
      <c r="P341" s="24" t="n"/>
      <c r="Q341" s="24" t="n"/>
      <c r="R341" s="22" t="n"/>
      <c r="S341" s="22" t="n"/>
      <c r="T341" s="24" t="n"/>
      <c r="U341" s="24" t="n"/>
      <c r="V341" s="25">
        <f>IF(COUNTA(A341,D341,C341,L341)=0,"",IF(A341="","No date - sits outside every month",IF(E341="","No job number",IF(F341="CHECK","Job number is not in the Xero job list",IF(I341="","No cost centre",IF(AND(P341="Y",C341=""),"Marked posted to Xero but has no invoice number",IF(AND(L341&lt;&gt;"",K341=""),"No tax code",IF(AND(L341&lt;&gt;"",O341=""),"No revenue GL code",""))))))))</f>
        <v/>
      </c>
      <c r="W341" s="25">
        <f>IF(E341="","",IFERROR(INDEX(lst_JobName,MATCH(E341&amp;"",lst_Jobs,0)),""))</f>
        <v/>
      </c>
      <c r="X341" s="28">
        <f>IF(E341="","",COUNTIFS(tbl_Finance[Job Number],E341&amp;"",tbl_Finance[Ex GST],"&lt;&gt;"))</f>
        <v/>
      </c>
      <c r="Y341" s="27">
        <f>IF(E341="","",SUMIFS(tbl_Finance[Ex GST],tbl_Finance[Job Number],E341&amp;""))</f>
        <v/>
      </c>
      <c r="Z341" s="27">
        <f>IF(E341="","",SUMIFS(tbl_Finance[Ex GST],tbl_Finance[Job Number],E341&amp;"",tbl_Finance[Xero Invoice No],"&lt;&gt;"))</f>
        <v/>
      </c>
      <c r="AA341" s="27">
        <f>IF(E341="","",Y341-Z341)</f>
        <v/>
      </c>
      <c r="AB341" s="25">
        <f>IF(E341="","",IF(H341="Onsite",IFERROR(INDEX(tbl_Onsite[Qwilr Quote],MATCH(E341&amp;"",tbl_Onsite[Job Number],0)),""),IF(H341="Production",IFERROR(INDEX(tbl_Production[Current RMS No],MATCH(E341&amp;"",tbl_Production[Job Number],0)),""),IF(H341="Consulting",IFERROR(INDEX(tbl_Consulting[Qwilr Quote],MATCH(E341&amp;"",tbl_Consulting[Job Number],0)),""),""))))</f>
        <v/>
      </c>
      <c r="AC341" s="25">
        <f>IF(AB341="","",IF(AND(LEFT(AB341,4)&lt;&gt;"http",IF(H341="Production",set_RMSBase,set_QwilrBase)=""),"",HYPERLINK(IF(LEFT(AB341,4)="http",AB341,IF(H341="Production",set_RMSBase,set_QwilrBase)&amp;AB341),"Open")))</f>
        <v/>
      </c>
      <c r="AD341" s="27">
        <f>IF(E341="","",IF(H341="Production",IFERROR(INDEX(tbl_Production[Total Expense],MATCH(E341&amp;"",tbl_Production[Job Number],0)),0),IF(H341="Consulting",IFERROR(INDEX(tbl_Consulting[Total Expense],MATCH(E341&amp;"",tbl_Consulting[Job Number],0)),0),0)))</f>
        <v/>
      </c>
      <c r="AE341" s="27">
        <f>IF(E341="","",Y341-N(AD341))</f>
        <v/>
      </c>
      <c r="AF341" s="29">
        <f>IFERROR(AE341/Y341,"")</f>
        <v/>
      </c>
      <c r="AG341" s="25">
        <f>IF(E341="","",IF(H341="Onsite",IFERROR(INDEX(tbl_Onsite[Notes],MATCH(E341&amp;"",tbl_Onsite[Job Number],0)),""),IF(H341="Production",IFERROR(INDEX(tbl_Production[Notes],MATCH(E341&amp;"",tbl_Production[Job Number],0)),""),IF(H341="Consulting",IFERROR(INDEX(tbl_Consulting[Notes],MATCH(E341&amp;"",tbl_Consulting[Job Number],0)),""),""))))</f>
        <v/>
      </c>
    </row>
    <row r="342" ht="15" customHeight="1">
      <c r="A342" s="22" t="n"/>
      <c r="B342" s="23">
        <f>IF(A342="","",EOMONTH(A342,0))</f>
        <v/>
      </c>
      <c r="C342" s="24" t="n"/>
      <c r="D342" s="24" t="n"/>
      <c r="E342" s="24" t="n"/>
      <c r="F342" s="25">
        <f>IF(E342="","",IF(COUNTIF(lst_Jobs,E342&amp;"")&gt;0,"OK","CHECK"))</f>
        <v/>
      </c>
      <c r="G342" s="24" t="n"/>
      <c r="H342" s="24" t="n"/>
      <c r="I342" s="24" t="n"/>
      <c r="J342" s="24" t="n"/>
      <c r="K342" s="24" t="n"/>
      <c r="L342" s="26" t="n"/>
      <c r="M342" s="27">
        <f>IF(L342="","",IF(K342="GST 10%",ROUND(L342*set_GSTRate,2),0))</f>
        <v/>
      </c>
      <c r="N342" s="27">
        <f>IF(L342="","",L342+M342)</f>
        <v/>
      </c>
      <c r="O342" s="24" t="n"/>
      <c r="P342" s="24" t="n"/>
      <c r="Q342" s="24" t="n"/>
      <c r="R342" s="22" t="n"/>
      <c r="S342" s="22" t="n"/>
      <c r="T342" s="24" t="n"/>
      <c r="U342" s="24" t="n"/>
      <c r="V342" s="25">
        <f>IF(COUNTA(A342,D342,C342,L342)=0,"",IF(A342="","No date - sits outside every month",IF(E342="","No job number",IF(F342="CHECK","Job number is not in the Xero job list",IF(I342="","No cost centre",IF(AND(P342="Y",C342=""),"Marked posted to Xero but has no invoice number",IF(AND(L342&lt;&gt;"",K342=""),"No tax code",IF(AND(L342&lt;&gt;"",O342=""),"No revenue GL code",""))))))))</f>
        <v/>
      </c>
      <c r="W342" s="25">
        <f>IF(E342="","",IFERROR(INDEX(lst_JobName,MATCH(E342&amp;"",lst_Jobs,0)),""))</f>
        <v/>
      </c>
      <c r="X342" s="28">
        <f>IF(E342="","",COUNTIFS(tbl_Finance[Job Number],E342&amp;"",tbl_Finance[Ex GST],"&lt;&gt;"))</f>
        <v/>
      </c>
      <c r="Y342" s="27">
        <f>IF(E342="","",SUMIFS(tbl_Finance[Ex GST],tbl_Finance[Job Number],E342&amp;""))</f>
        <v/>
      </c>
      <c r="Z342" s="27">
        <f>IF(E342="","",SUMIFS(tbl_Finance[Ex GST],tbl_Finance[Job Number],E342&amp;"",tbl_Finance[Xero Invoice No],"&lt;&gt;"))</f>
        <v/>
      </c>
      <c r="AA342" s="27">
        <f>IF(E342="","",Y342-Z342)</f>
        <v/>
      </c>
      <c r="AB342" s="25">
        <f>IF(E342="","",IF(H342="Onsite",IFERROR(INDEX(tbl_Onsite[Qwilr Quote],MATCH(E342&amp;"",tbl_Onsite[Job Number],0)),""),IF(H342="Production",IFERROR(INDEX(tbl_Production[Current RMS No],MATCH(E342&amp;"",tbl_Production[Job Number],0)),""),IF(H342="Consulting",IFERROR(INDEX(tbl_Consulting[Qwilr Quote],MATCH(E342&amp;"",tbl_Consulting[Job Number],0)),""),""))))</f>
        <v/>
      </c>
      <c r="AC342" s="25">
        <f>IF(AB342="","",IF(AND(LEFT(AB342,4)&lt;&gt;"http",IF(H342="Production",set_RMSBase,set_QwilrBase)=""),"",HYPERLINK(IF(LEFT(AB342,4)="http",AB342,IF(H342="Production",set_RMSBase,set_QwilrBase)&amp;AB342),"Open")))</f>
        <v/>
      </c>
      <c r="AD342" s="27">
        <f>IF(E342="","",IF(H342="Production",IFERROR(INDEX(tbl_Production[Total Expense],MATCH(E342&amp;"",tbl_Production[Job Number],0)),0),IF(H342="Consulting",IFERROR(INDEX(tbl_Consulting[Total Expense],MATCH(E342&amp;"",tbl_Consulting[Job Number],0)),0),0)))</f>
        <v/>
      </c>
      <c r="AE342" s="27">
        <f>IF(E342="","",Y342-N(AD342))</f>
        <v/>
      </c>
      <c r="AF342" s="29">
        <f>IFERROR(AE342/Y342,"")</f>
        <v/>
      </c>
      <c r="AG342" s="25">
        <f>IF(E342="","",IF(H342="Onsite",IFERROR(INDEX(tbl_Onsite[Notes],MATCH(E342&amp;"",tbl_Onsite[Job Number],0)),""),IF(H342="Production",IFERROR(INDEX(tbl_Production[Notes],MATCH(E342&amp;"",tbl_Production[Job Number],0)),""),IF(H342="Consulting",IFERROR(INDEX(tbl_Consulting[Notes],MATCH(E342&amp;"",tbl_Consulting[Job Number],0)),""),""))))</f>
        <v/>
      </c>
    </row>
    <row r="343" ht="15" customHeight="1">
      <c r="A343" s="22" t="n"/>
      <c r="B343" s="23">
        <f>IF(A343="","",EOMONTH(A343,0))</f>
        <v/>
      </c>
      <c r="C343" s="24" t="n"/>
      <c r="D343" s="24" t="n"/>
      <c r="E343" s="24" t="n"/>
      <c r="F343" s="25">
        <f>IF(E343="","",IF(COUNTIF(lst_Jobs,E343&amp;"")&gt;0,"OK","CHECK"))</f>
        <v/>
      </c>
      <c r="G343" s="24" t="n"/>
      <c r="H343" s="24" t="n"/>
      <c r="I343" s="24" t="n"/>
      <c r="J343" s="24" t="n"/>
      <c r="K343" s="24" t="n"/>
      <c r="L343" s="26" t="n"/>
      <c r="M343" s="27">
        <f>IF(L343="","",IF(K343="GST 10%",ROUND(L343*set_GSTRate,2),0))</f>
        <v/>
      </c>
      <c r="N343" s="27">
        <f>IF(L343="","",L343+M343)</f>
        <v/>
      </c>
      <c r="O343" s="24" t="n"/>
      <c r="P343" s="24" t="n"/>
      <c r="Q343" s="24" t="n"/>
      <c r="R343" s="22" t="n"/>
      <c r="S343" s="22" t="n"/>
      <c r="T343" s="24" t="n"/>
      <c r="U343" s="24" t="n"/>
      <c r="V343" s="25">
        <f>IF(COUNTA(A343,D343,C343,L343)=0,"",IF(A343="","No date - sits outside every month",IF(E343="","No job number",IF(F343="CHECK","Job number is not in the Xero job list",IF(I343="","No cost centre",IF(AND(P343="Y",C343=""),"Marked posted to Xero but has no invoice number",IF(AND(L343&lt;&gt;"",K343=""),"No tax code",IF(AND(L343&lt;&gt;"",O343=""),"No revenue GL code",""))))))))</f>
        <v/>
      </c>
      <c r="W343" s="25">
        <f>IF(E343="","",IFERROR(INDEX(lst_JobName,MATCH(E343&amp;"",lst_Jobs,0)),""))</f>
        <v/>
      </c>
      <c r="X343" s="28">
        <f>IF(E343="","",COUNTIFS(tbl_Finance[Job Number],E343&amp;"",tbl_Finance[Ex GST],"&lt;&gt;"))</f>
        <v/>
      </c>
      <c r="Y343" s="27">
        <f>IF(E343="","",SUMIFS(tbl_Finance[Ex GST],tbl_Finance[Job Number],E343&amp;""))</f>
        <v/>
      </c>
      <c r="Z343" s="27">
        <f>IF(E343="","",SUMIFS(tbl_Finance[Ex GST],tbl_Finance[Job Number],E343&amp;"",tbl_Finance[Xero Invoice No],"&lt;&gt;"))</f>
        <v/>
      </c>
      <c r="AA343" s="27">
        <f>IF(E343="","",Y343-Z343)</f>
        <v/>
      </c>
      <c r="AB343" s="25">
        <f>IF(E343="","",IF(H343="Onsite",IFERROR(INDEX(tbl_Onsite[Qwilr Quote],MATCH(E343&amp;"",tbl_Onsite[Job Number],0)),""),IF(H343="Production",IFERROR(INDEX(tbl_Production[Current RMS No],MATCH(E343&amp;"",tbl_Production[Job Number],0)),""),IF(H343="Consulting",IFERROR(INDEX(tbl_Consulting[Qwilr Quote],MATCH(E343&amp;"",tbl_Consulting[Job Number],0)),""),""))))</f>
        <v/>
      </c>
      <c r="AC343" s="25">
        <f>IF(AB343="","",IF(AND(LEFT(AB343,4)&lt;&gt;"http",IF(H343="Production",set_RMSBase,set_QwilrBase)=""),"",HYPERLINK(IF(LEFT(AB343,4)="http",AB343,IF(H343="Production",set_RMSBase,set_QwilrBase)&amp;AB343),"Open")))</f>
        <v/>
      </c>
      <c r="AD343" s="27">
        <f>IF(E343="","",IF(H343="Production",IFERROR(INDEX(tbl_Production[Total Expense],MATCH(E343&amp;"",tbl_Production[Job Number],0)),0),IF(H343="Consulting",IFERROR(INDEX(tbl_Consulting[Total Expense],MATCH(E343&amp;"",tbl_Consulting[Job Number],0)),0),0)))</f>
        <v/>
      </c>
      <c r="AE343" s="27">
        <f>IF(E343="","",Y343-N(AD343))</f>
        <v/>
      </c>
      <c r="AF343" s="29">
        <f>IFERROR(AE343/Y343,"")</f>
        <v/>
      </c>
      <c r="AG343" s="25">
        <f>IF(E343="","",IF(H343="Onsite",IFERROR(INDEX(tbl_Onsite[Notes],MATCH(E343&amp;"",tbl_Onsite[Job Number],0)),""),IF(H343="Production",IFERROR(INDEX(tbl_Production[Notes],MATCH(E343&amp;"",tbl_Production[Job Number],0)),""),IF(H343="Consulting",IFERROR(INDEX(tbl_Consulting[Notes],MATCH(E343&amp;"",tbl_Consulting[Job Number],0)),""),""))))</f>
        <v/>
      </c>
    </row>
    <row r="344" ht="15" customHeight="1">
      <c r="A344" s="22" t="n"/>
      <c r="B344" s="23">
        <f>IF(A344="","",EOMONTH(A344,0))</f>
        <v/>
      </c>
      <c r="C344" s="24" t="n"/>
      <c r="D344" s="24" t="n"/>
      <c r="E344" s="24" t="n"/>
      <c r="F344" s="25">
        <f>IF(E344="","",IF(COUNTIF(lst_Jobs,E344&amp;"")&gt;0,"OK","CHECK"))</f>
        <v/>
      </c>
      <c r="G344" s="24" t="n"/>
      <c r="H344" s="24" t="n"/>
      <c r="I344" s="24" t="n"/>
      <c r="J344" s="24" t="n"/>
      <c r="K344" s="24" t="n"/>
      <c r="L344" s="26" t="n"/>
      <c r="M344" s="27">
        <f>IF(L344="","",IF(K344="GST 10%",ROUND(L344*set_GSTRate,2),0))</f>
        <v/>
      </c>
      <c r="N344" s="27">
        <f>IF(L344="","",L344+M344)</f>
        <v/>
      </c>
      <c r="O344" s="24" t="n"/>
      <c r="P344" s="24" t="n"/>
      <c r="Q344" s="24" t="n"/>
      <c r="R344" s="22" t="n"/>
      <c r="S344" s="22" t="n"/>
      <c r="T344" s="24" t="n"/>
      <c r="U344" s="24" t="n"/>
      <c r="V344" s="25">
        <f>IF(COUNTA(A344,D344,C344,L344)=0,"",IF(A344="","No date - sits outside every month",IF(E344="","No job number",IF(F344="CHECK","Job number is not in the Xero job list",IF(I344="","No cost centre",IF(AND(P344="Y",C344=""),"Marked posted to Xero but has no invoice number",IF(AND(L344&lt;&gt;"",K344=""),"No tax code",IF(AND(L344&lt;&gt;"",O344=""),"No revenue GL code",""))))))))</f>
        <v/>
      </c>
      <c r="W344" s="25">
        <f>IF(E344="","",IFERROR(INDEX(lst_JobName,MATCH(E344&amp;"",lst_Jobs,0)),""))</f>
        <v/>
      </c>
      <c r="X344" s="28">
        <f>IF(E344="","",COUNTIFS(tbl_Finance[Job Number],E344&amp;"",tbl_Finance[Ex GST],"&lt;&gt;"))</f>
        <v/>
      </c>
      <c r="Y344" s="27">
        <f>IF(E344="","",SUMIFS(tbl_Finance[Ex GST],tbl_Finance[Job Number],E344&amp;""))</f>
        <v/>
      </c>
      <c r="Z344" s="27">
        <f>IF(E344="","",SUMIFS(tbl_Finance[Ex GST],tbl_Finance[Job Number],E344&amp;"",tbl_Finance[Xero Invoice No],"&lt;&gt;"))</f>
        <v/>
      </c>
      <c r="AA344" s="27">
        <f>IF(E344="","",Y344-Z344)</f>
        <v/>
      </c>
      <c r="AB344" s="25">
        <f>IF(E344="","",IF(H344="Onsite",IFERROR(INDEX(tbl_Onsite[Qwilr Quote],MATCH(E344&amp;"",tbl_Onsite[Job Number],0)),""),IF(H344="Production",IFERROR(INDEX(tbl_Production[Current RMS No],MATCH(E344&amp;"",tbl_Production[Job Number],0)),""),IF(H344="Consulting",IFERROR(INDEX(tbl_Consulting[Qwilr Quote],MATCH(E344&amp;"",tbl_Consulting[Job Number],0)),""),""))))</f>
        <v/>
      </c>
      <c r="AC344" s="25">
        <f>IF(AB344="","",IF(AND(LEFT(AB344,4)&lt;&gt;"http",IF(H344="Production",set_RMSBase,set_QwilrBase)=""),"",HYPERLINK(IF(LEFT(AB344,4)="http",AB344,IF(H344="Production",set_RMSBase,set_QwilrBase)&amp;AB344),"Open")))</f>
        <v/>
      </c>
      <c r="AD344" s="27">
        <f>IF(E344="","",IF(H344="Production",IFERROR(INDEX(tbl_Production[Total Expense],MATCH(E344&amp;"",tbl_Production[Job Number],0)),0),IF(H344="Consulting",IFERROR(INDEX(tbl_Consulting[Total Expense],MATCH(E344&amp;"",tbl_Consulting[Job Number],0)),0),0)))</f>
        <v/>
      </c>
      <c r="AE344" s="27">
        <f>IF(E344="","",Y344-N(AD344))</f>
        <v/>
      </c>
      <c r="AF344" s="29">
        <f>IFERROR(AE344/Y344,"")</f>
        <v/>
      </c>
      <c r="AG344" s="25">
        <f>IF(E344="","",IF(H344="Onsite",IFERROR(INDEX(tbl_Onsite[Notes],MATCH(E344&amp;"",tbl_Onsite[Job Number],0)),""),IF(H344="Production",IFERROR(INDEX(tbl_Production[Notes],MATCH(E344&amp;"",tbl_Production[Job Number],0)),""),IF(H344="Consulting",IFERROR(INDEX(tbl_Consulting[Notes],MATCH(E344&amp;"",tbl_Consulting[Job Number],0)),""),""))))</f>
        <v/>
      </c>
    </row>
    <row r="345" ht="15" customHeight="1">
      <c r="A345" s="22" t="n"/>
      <c r="B345" s="23">
        <f>IF(A345="","",EOMONTH(A345,0))</f>
        <v/>
      </c>
      <c r="C345" s="24" t="n"/>
      <c r="D345" s="24" t="n"/>
      <c r="E345" s="24" t="n"/>
      <c r="F345" s="25">
        <f>IF(E345="","",IF(COUNTIF(lst_Jobs,E345&amp;"")&gt;0,"OK","CHECK"))</f>
        <v/>
      </c>
      <c r="G345" s="24" t="n"/>
      <c r="H345" s="24" t="n"/>
      <c r="I345" s="24" t="n"/>
      <c r="J345" s="24" t="n"/>
      <c r="K345" s="24" t="n"/>
      <c r="L345" s="26" t="n"/>
      <c r="M345" s="27">
        <f>IF(L345="","",IF(K345="GST 10%",ROUND(L345*set_GSTRate,2),0))</f>
        <v/>
      </c>
      <c r="N345" s="27">
        <f>IF(L345="","",L345+M345)</f>
        <v/>
      </c>
      <c r="O345" s="24" t="n"/>
      <c r="P345" s="24" t="n"/>
      <c r="Q345" s="24" t="n"/>
      <c r="R345" s="22" t="n"/>
      <c r="S345" s="22" t="n"/>
      <c r="T345" s="24" t="n"/>
      <c r="U345" s="24" t="n"/>
      <c r="V345" s="25">
        <f>IF(COUNTA(A345,D345,C345,L345)=0,"",IF(A345="","No date - sits outside every month",IF(E345="","No job number",IF(F345="CHECK","Job number is not in the Xero job list",IF(I345="","No cost centre",IF(AND(P345="Y",C345=""),"Marked posted to Xero but has no invoice number",IF(AND(L345&lt;&gt;"",K345=""),"No tax code",IF(AND(L345&lt;&gt;"",O345=""),"No revenue GL code",""))))))))</f>
        <v/>
      </c>
      <c r="W345" s="25">
        <f>IF(E345="","",IFERROR(INDEX(lst_JobName,MATCH(E345&amp;"",lst_Jobs,0)),""))</f>
        <v/>
      </c>
      <c r="X345" s="28">
        <f>IF(E345="","",COUNTIFS(tbl_Finance[Job Number],E345&amp;"",tbl_Finance[Ex GST],"&lt;&gt;"))</f>
        <v/>
      </c>
      <c r="Y345" s="27">
        <f>IF(E345="","",SUMIFS(tbl_Finance[Ex GST],tbl_Finance[Job Number],E345&amp;""))</f>
        <v/>
      </c>
      <c r="Z345" s="27">
        <f>IF(E345="","",SUMIFS(tbl_Finance[Ex GST],tbl_Finance[Job Number],E345&amp;"",tbl_Finance[Xero Invoice No],"&lt;&gt;"))</f>
        <v/>
      </c>
      <c r="AA345" s="27">
        <f>IF(E345="","",Y345-Z345)</f>
        <v/>
      </c>
      <c r="AB345" s="25">
        <f>IF(E345="","",IF(H345="Onsite",IFERROR(INDEX(tbl_Onsite[Qwilr Quote],MATCH(E345&amp;"",tbl_Onsite[Job Number],0)),""),IF(H345="Production",IFERROR(INDEX(tbl_Production[Current RMS No],MATCH(E345&amp;"",tbl_Production[Job Number],0)),""),IF(H345="Consulting",IFERROR(INDEX(tbl_Consulting[Qwilr Quote],MATCH(E345&amp;"",tbl_Consulting[Job Number],0)),""),""))))</f>
        <v/>
      </c>
      <c r="AC345" s="25">
        <f>IF(AB345="","",IF(AND(LEFT(AB345,4)&lt;&gt;"http",IF(H345="Production",set_RMSBase,set_QwilrBase)=""),"",HYPERLINK(IF(LEFT(AB345,4)="http",AB345,IF(H345="Production",set_RMSBase,set_QwilrBase)&amp;AB345),"Open")))</f>
        <v/>
      </c>
      <c r="AD345" s="27">
        <f>IF(E345="","",IF(H345="Production",IFERROR(INDEX(tbl_Production[Total Expense],MATCH(E345&amp;"",tbl_Production[Job Number],0)),0),IF(H345="Consulting",IFERROR(INDEX(tbl_Consulting[Total Expense],MATCH(E345&amp;"",tbl_Consulting[Job Number],0)),0),0)))</f>
        <v/>
      </c>
      <c r="AE345" s="27">
        <f>IF(E345="","",Y345-N(AD345))</f>
        <v/>
      </c>
      <c r="AF345" s="29">
        <f>IFERROR(AE345/Y345,"")</f>
        <v/>
      </c>
      <c r="AG345" s="25">
        <f>IF(E345="","",IF(H345="Onsite",IFERROR(INDEX(tbl_Onsite[Notes],MATCH(E345&amp;"",tbl_Onsite[Job Number],0)),""),IF(H345="Production",IFERROR(INDEX(tbl_Production[Notes],MATCH(E345&amp;"",tbl_Production[Job Number],0)),""),IF(H345="Consulting",IFERROR(INDEX(tbl_Consulting[Notes],MATCH(E345&amp;"",tbl_Consulting[Job Number],0)),""),""))))</f>
        <v/>
      </c>
    </row>
    <row r="346" ht="15" customHeight="1">
      <c r="A346" s="22" t="n"/>
      <c r="B346" s="23">
        <f>IF(A346="","",EOMONTH(A346,0))</f>
        <v/>
      </c>
      <c r="C346" s="24" t="n"/>
      <c r="D346" s="24" t="n"/>
      <c r="E346" s="24" t="n"/>
      <c r="F346" s="25">
        <f>IF(E346="","",IF(COUNTIF(lst_Jobs,E346&amp;"")&gt;0,"OK","CHECK"))</f>
        <v/>
      </c>
      <c r="G346" s="24" t="n"/>
      <c r="H346" s="24" t="n"/>
      <c r="I346" s="24" t="n"/>
      <c r="J346" s="24" t="n"/>
      <c r="K346" s="24" t="n"/>
      <c r="L346" s="26" t="n"/>
      <c r="M346" s="27">
        <f>IF(L346="","",IF(K346="GST 10%",ROUND(L346*set_GSTRate,2),0))</f>
        <v/>
      </c>
      <c r="N346" s="27">
        <f>IF(L346="","",L346+M346)</f>
        <v/>
      </c>
      <c r="O346" s="24" t="n"/>
      <c r="P346" s="24" t="n"/>
      <c r="Q346" s="24" t="n"/>
      <c r="R346" s="22" t="n"/>
      <c r="S346" s="22" t="n"/>
      <c r="T346" s="24" t="n"/>
      <c r="U346" s="24" t="n"/>
      <c r="V346" s="25">
        <f>IF(COUNTA(A346,D346,C346,L346)=0,"",IF(A346="","No date - sits outside every month",IF(E346="","No job number",IF(F346="CHECK","Job number is not in the Xero job list",IF(I346="","No cost centre",IF(AND(P346="Y",C346=""),"Marked posted to Xero but has no invoice number",IF(AND(L346&lt;&gt;"",K346=""),"No tax code",IF(AND(L346&lt;&gt;"",O346=""),"No revenue GL code",""))))))))</f>
        <v/>
      </c>
      <c r="W346" s="25">
        <f>IF(E346="","",IFERROR(INDEX(lst_JobName,MATCH(E346&amp;"",lst_Jobs,0)),""))</f>
        <v/>
      </c>
      <c r="X346" s="28">
        <f>IF(E346="","",COUNTIFS(tbl_Finance[Job Number],E346&amp;"",tbl_Finance[Ex GST],"&lt;&gt;"))</f>
        <v/>
      </c>
      <c r="Y346" s="27">
        <f>IF(E346="","",SUMIFS(tbl_Finance[Ex GST],tbl_Finance[Job Number],E346&amp;""))</f>
        <v/>
      </c>
      <c r="Z346" s="27">
        <f>IF(E346="","",SUMIFS(tbl_Finance[Ex GST],tbl_Finance[Job Number],E346&amp;"",tbl_Finance[Xero Invoice No],"&lt;&gt;"))</f>
        <v/>
      </c>
      <c r="AA346" s="27">
        <f>IF(E346="","",Y346-Z346)</f>
        <v/>
      </c>
      <c r="AB346" s="25">
        <f>IF(E346="","",IF(H346="Onsite",IFERROR(INDEX(tbl_Onsite[Qwilr Quote],MATCH(E346&amp;"",tbl_Onsite[Job Number],0)),""),IF(H346="Production",IFERROR(INDEX(tbl_Production[Current RMS No],MATCH(E346&amp;"",tbl_Production[Job Number],0)),""),IF(H346="Consulting",IFERROR(INDEX(tbl_Consulting[Qwilr Quote],MATCH(E346&amp;"",tbl_Consulting[Job Number],0)),""),""))))</f>
        <v/>
      </c>
      <c r="AC346" s="25">
        <f>IF(AB346="","",IF(AND(LEFT(AB346,4)&lt;&gt;"http",IF(H346="Production",set_RMSBase,set_QwilrBase)=""),"",HYPERLINK(IF(LEFT(AB346,4)="http",AB346,IF(H346="Production",set_RMSBase,set_QwilrBase)&amp;AB346),"Open")))</f>
        <v/>
      </c>
      <c r="AD346" s="27">
        <f>IF(E346="","",IF(H346="Production",IFERROR(INDEX(tbl_Production[Total Expense],MATCH(E346&amp;"",tbl_Production[Job Number],0)),0),IF(H346="Consulting",IFERROR(INDEX(tbl_Consulting[Total Expense],MATCH(E346&amp;"",tbl_Consulting[Job Number],0)),0),0)))</f>
        <v/>
      </c>
      <c r="AE346" s="27">
        <f>IF(E346="","",Y346-N(AD346))</f>
        <v/>
      </c>
      <c r="AF346" s="29">
        <f>IFERROR(AE346/Y346,"")</f>
        <v/>
      </c>
      <c r="AG346" s="25">
        <f>IF(E346="","",IF(H346="Onsite",IFERROR(INDEX(tbl_Onsite[Notes],MATCH(E346&amp;"",tbl_Onsite[Job Number],0)),""),IF(H346="Production",IFERROR(INDEX(tbl_Production[Notes],MATCH(E346&amp;"",tbl_Production[Job Number],0)),""),IF(H346="Consulting",IFERROR(INDEX(tbl_Consulting[Notes],MATCH(E346&amp;"",tbl_Consulting[Job Number],0)),""),""))))</f>
        <v/>
      </c>
    </row>
    <row r="347" ht="15" customHeight="1">
      <c r="A347" s="22" t="n"/>
      <c r="B347" s="23">
        <f>IF(A347="","",EOMONTH(A347,0))</f>
        <v/>
      </c>
      <c r="C347" s="24" t="n"/>
      <c r="D347" s="24" t="n"/>
      <c r="E347" s="24" t="n"/>
      <c r="F347" s="25">
        <f>IF(E347="","",IF(COUNTIF(lst_Jobs,E347&amp;"")&gt;0,"OK","CHECK"))</f>
        <v/>
      </c>
      <c r="G347" s="24" t="n"/>
      <c r="H347" s="24" t="n"/>
      <c r="I347" s="24" t="n"/>
      <c r="J347" s="24" t="n"/>
      <c r="K347" s="24" t="n"/>
      <c r="L347" s="26" t="n"/>
      <c r="M347" s="27">
        <f>IF(L347="","",IF(K347="GST 10%",ROUND(L347*set_GSTRate,2),0))</f>
        <v/>
      </c>
      <c r="N347" s="27">
        <f>IF(L347="","",L347+M347)</f>
        <v/>
      </c>
      <c r="O347" s="24" t="n"/>
      <c r="P347" s="24" t="n"/>
      <c r="Q347" s="24" t="n"/>
      <c r="R347" s="22" t="n"/>
      <c r="S347" s="22" t="n"/>
      <c r="T347" s="24" t="n"/>
      <c r="U347" s="24" t="n"/>
      <c r="V347" s="25">
        <f>IF(COUNTA(A347,D347,C347,L347)=0,"",IF(A347="","No date - sits outside every month",IF(E347="","No job number",IF(F347="CHECK","Job number is not in the Xero job list",IF(I347="","No cost centre",IF(AND(P347="Y",C347=""),"Marked posted to Xero but has no invoice number",IF(AND(L347&lt;&gt;"",K347=""),"No tax code",IF(AND(L347&lt;&gt;"",O347=""),"No revenue GL code",""))))))))</f>
        <v/>
      </c>
      <c r="W347" s="25">
        <f>IF(E347="","",IFERROR(INDEX(lst_JobName,MATCH(E347&amp;"",lst_Jobs,0)),""))</f>
        <v/>
      </c>
      <c r="X347" s="28">
        <f>IF(E347="","",COUNTIFS(tbl_Finance[Job Number],E347&amp;"",tbl_Finance[Ex GST],"&lt;&gt;"))</f>
        <v/>
      </c>
      <c r="Y347" s="27">
        <f>IF(E347="","",SUMIFS(tbl_Finance[Ex GST],tbl_Finance[Job Number],E347&amp;""))</f>
        <v/>
      </c>
      <c r="Z347" s="27">
        <f>IF(E347="","",SUMIFS(tbl_Finance[Ex GST],tbl_Finance[Job Number],E347&amp;"",tbl_Finance[Xero Invoice No],"&lt;&gt;"))</f>
        <v/>
      </c>
      <c r="AA347" s="27">
        <f>IF(E347="","",Y347-Z347)</f>
        <v/>
      </c>
      <c r="AB347" s="25">
        <f>IF(E347="","",IF(H347="Onsite",IFERROR(INDEX(tbl_Onsite[Qwilr Quote],MATCH(E347&amp;"",tbl_Onsite[Job Number],0)),""),IF(H347="Production",IFERROR(INDEX(tbl_Production[Current RMS No],MATCH(E347&amp;"",tbl_Production[Job Number],0)),""),IF(H347="Consulting",IFERROR(INDEX(tbl_Consulting[Qwilr Quote],MATCH(E347&amp;"",tbl_Consulting[Job Number],0)),""),""))))</f>
        <v/>
      </c>
      <c r="AC347" s="25">
        <f>IF(AB347="","",IF(AND(LEFT(AB347,4)&lt;&gt;"http",IF(H347="Production",set_RMSBase,set_QwilrBase)=""),"",HYPERLINK(IF(LEFT(AB347,4)="http",AB347,IF(H347="Production",set_RMSBase,set_QwilrBase)&amp;AB347),"Open")))</f>
        <v/>
      </c>
      <c r="AD347" s="27">
        <f>IF(E347="","",IF(H347="Production",IFERROR(INDEX(tbl_Production[Total Expense],MATCH(E347&amp;"",tbl_Production[Job Number],0)),0),IF(H347="Consulting",IFERROR(INDEX(tbl_Consulting[Total Expense],MATCH(E347&amp;"",tbl_Consulting[Job Number],0)),0),0)))</f>
        <v/>
      </c>
      <c r="AE347" s="27">
        <f>IF(E347="","",Y347-N(AD347))</f>
        <v/>
      </c>
      <c r="AF347" s="29">
        <f>IFERROR(AE347/Y347,"")</f>
        <v/>
      </c>
      <c r="AG347" s="25">
        <f>IF(E347="","",IF(H347="Onsite",IFERROR(INDEX(tbl_Onsite[Notes],MATCH(E347&amp;"",tbl_Onsite[Job Number],0)),""),IF(H347="Production",IFERROR(INDEX(tbl_Production[Notes],MATCH(E347&amp;"",tbl_Production[Job Number],0)),""),IF(H347="Consulting",IFERROR(INDEX(tbl_Consulting[Notes],MATCH(E347&amp;"",tbl_Consulting[Job Number],0)),""),""))))</f>
        <v/>
      </c>
    </row>
    <row r="348" ht="15" customHeight="1">
      <c r="A348" s="22" t="n"/>
      <c r="B348" s="23">
        <f>IF(A348="","",EOMONTH(A348,0))</f>
        <v/>
      </c>
      <c r="C348" s="24" t="n"/>
      <c r="D348" s="24" t="n"/>
      <c r="E348" s="24" t="n"/>
      <c r="F348" s="25">
        <f>IF(E348="","",IF(COUNTIF(lst_Jobs,E348&amp;"")&gt;0,"OK","CHECK"))</f>
        <v/>
      </c>
      <c r="G348" s="24" t="n"/>
      <c r="H348" s="24" t="n"/>
      <c r="I348" s="24" t="n"/>
      <c r="J348" s="24" t="n"/>
      <c r="K348" s="24" t="n"/>
      <c r="L348" s="26" t="n"/>
      <c r="M348" s="27">
        <f>IF(L348="","",IF(K348="GST 10%",ROUND(L348*set_GSTRate,2),0))</f>
        <v/>
      </c>
      <c r="N348" s="27">
        <f>IF(L348="","",L348+M348)</f>
        <v/>
      </c>
      <c r="O348" s="24" t="n"/>
      <c r="P348" s="24" t="n"/>
      <c r="Q348" s="24" t="n"/>
      <c r="R348" s="22" t="n"/>
      <c r="S348" s="22" t="n"/>
      <c r="T348" s="24" t="n"/>
      <c r="U348" s="24" t="n"/>
      <c r="V348" s="25">
        <f>IF(COUNTA(A348,D348,C348,L348)=0,"",IF(A348="","No date - sits outside every month",IF(E348="","No job number",IF(F348="CHECK","Job number is not in the Xero job list",IF(I348="","No cost centre",IF(AND(P348="Y",C348=""),"Marked posted to Xero but has no invoice number",IF(AND(L348&lt;&gt;"",K348=""),"No tax code",IF(AND(L348&lt;&gt;"",O348=""),"No revenue GL code",""))))))))</f>
        <v/>
      </c>
      <c r="W348" s="25">
        <f>IF(E348="","",IFERROR(INDEX(lst_JobName,MATCH(E348&amp;"",lst_Jobs,0)),""))</f>
        <v/>
      </c>
      <c r="X348" s="28">
        <f>IF(E348="","",COUNTIFS(tbl_Finance[Job Number],E348&amp;"",tbl_Finance[Ex GST],"&lt;&gt;"))</f>
        <v/>
      </c>
      <c r="Y348" s="27">
        <f>IF(E348="","",SUMIFS(tbl_Finance[Ex GST],tbl_Finance[Job Number],E348&amp;""))</f>
        <v/>
      </c>
      <c r="Z348" s="27">
        <f>IF(E348="","",SUMIFS(tbl_Finance[Ex GST],tbl_Finance[Job Number],E348&amp;"",tbl_Finance[Xero Invoice No],"&lt;&gt;"))</f>
        <v/>
      </c>
      <c r="AA348" s="27">
        <f>IF(E348="","",Y348-Z348)</f>
        <v/>
      </c>
      <c r="AB348" s="25">
        <f>IF(E348="","",IF(H348="Onsite",IFERROR(INDEX(tbl_Onsite[Qwilr Quote],MATCH(E348&amp;"",tbl_Onsite[Job Number],0)),""),IF(H348="Production",IFERROR(INDEX(tbl_Production[Current RMS No],MATCH(E348&amp;"",tbl_Production[Job Number],0)),""),IF(H348="Consulting",IFERROR(INDEX(tbl_Consulting[Qwilr Quote],MATCH(E348&amp;"",tbl_Consulting[Job Number],0)),""),""))))</f>
        <v/>
      </c>
      <c r="AC348" s="25">
        <f>IF(AB348="","",IF(AND(LEFT(AB348,4)&lt;&gt;"http",IF(H348="Production",set_RMSBase,set_QwilrBase)=""),"",HYPERLINK(IF(LEFT(AB348,4)="http",AB348,IF(H348="Production",set_RMSBase,set_QwilrBase)&amp;AB348),"Open")))</f>
        <v/>
      </c>
      <c r="AD348" s="27">
        <f>IF(E348="","",IF(H348="Production",IFERROR(INDEX(tbl_Production[Total Expense],MATCH(E348&amp;"",tbl_Production[Job Number],0)),0),IF(H348="Consulting",IFERROR(INDEX(tbl_Consulting[Total Expense],MATCH(E348&amp;"",tbl_Consulting[Job Number],0)),0),0)))</f>
        <v/>
      </c>
      <c r="AE348" s="27">
        <f>IF(E348="","",Y348-N(AD348))</f>
        <v/>
      </c>
      <c r="AF348" s="29">
        <f>IFERROR(AE348/Y348,"")</f>
        <v/>
      </c>
      <c r="AG348" s="25">
        <f>IF(E348="","",IF(H348="Onsite",IFERROR(INDEX(tbl_Onsite[Notes],MATCH(E348&amp;"",tbl_Onsite[Job Number],0)),""),IF(H348="Production",IFERROR(INDEX(tbl_Production[Notes],MATCH(E348&amp;"",tbl_Production[Job Number],0)),""),IF(H348="Consulting",IFERROR(INDEX(tbl_Consulting[Notes],MATCH(E348&amp;"",tbl_Consulting[Job Number],0)),""),""))))</f>
        <v/>
      </c>
    </row>
    <row r="349" ht="15" customHeight="1">
      <c r="A349" s="22" t="n"/>
      <c r="B349" s="23">
        <f>IF(A349="","",EOMONTH(A349,0))</f>
        <v/>
      </c>
      <c r="C349" s="24" t="n"/>
      <c r="D349" s="24" t="n"/>
      <c r="E349" s="24" t="n"/>
      <c r="F349" s="25">
        <f>IF(E349="","",IF(COUNTIF(lst_Jobs,E349&amp;"")&gt;0,"OK","CHECK"))</f>
        <v/>
      </c>
      <c r="G349" s="24" t="n"/>
      <c r="H349" s="24" t="n"/>
      <c r="I349" s="24" t="n"/>
      <c r="J349" s="24" t="n"/>
      <c r="K349" s="24" t="n"/>
      <c r="L349" s="26" t="n"/>
      <c r="M349" s="27">
        <f>IF(L349="","",IF(K349="GST 10%",ROUND(L349*set_GSTRate,2),0))</f>
        <v/>
      </c>
      <c r="N349" s="27">
        <f>IF(L349="","",L349+M349)</f>
        <v/>
      </c>
      <c r="O349" s="24" t="n"/>
      <c r="P349" s="24" t="n"/>
      <c r="Q349" s="24" t="n"/>
      <c r="R349" s="22" t="n"/>
      <c r="S349" s="22" t="n"/>
      <c r="T349" s="24" t="n"/>
      <c r="U349" s="24" t="n"/>
      <c r="V349" s="25">
        <f>IF(COUNTA(A349,D349,C349,L349)=0,"",IF(A349="","No date - sits outside every month",IF(E349="","No job number",IF(F349="CHECK","Job number is not in the Xero job list",IF(I349="","No cost centre",IF(AND(P349="Y",C349=""),"Marked posted to Xero but has no invoice number",IF(AND(L349&lt;&gt;"",K349=""),"No tax code",IF(AND(L349&lt;&gt;"",O349=""),"No revenue GL code",""))))))))</f>
        <v/>
      </c>
      <c r="W349" s="25">
        <f>IF(E349="","",IFERROR(INDEX(lst_JobName,MATCH(E349&amp;"",lst_Jobs,0)),""))</f>
        <v/>
      </c>
      <c r="X349" s="28">
        <f>IF(E349="","",COUNTIFS(tbl_Finance[Job Number],E349&amp;"",tbl_Finance[Ex GST],"&lt;&gt;"))</f>
        <v/>
      </c>
      <c r="Y349" s="27">
        <f>IF(E349="","",SUMIFS(tbl_Finance[Ex GST],tbl_Finance[Job Number],E349&amp;""))</f>
        <v/>
      </c>
      <c r="Z349" s="27">
        <f>IF(E349="","",SUMIFS(tbl_Finance[Ex GST],tbl_Finance[Job Number],E349&amp;"",tbl_Finance[Xero Invoice No],"&lt;&gt;"))</f>
        <v/>
      </c>
      <c r="AA349" s="27">
        <f>IF(E349="","",Y349-Z349)</f>
        <v/>
      </c>
      <c r="AB349" s="25">
        <f>IF(E349="","",IF(H349="Onsite",IFERROR(INDEX(tbl_Onsite[Qwilr Quote],MATCH(E349&amp;"",tbl_Onsite[Job Number],0)),""),IF(H349="Production",IFERROR(INDEX(tbl_Production[Current RMS No],MATCH(E349&amp;"",tbl_Production[Job Number],0)),""),IF(H349="Consulting",IFERROR(INDEX(tbl_Consulting[Qwilr Quote],MATCH(E349&amp;"",tbl_Consulting[Job Number],0)),""),""))))</f>
        <v/>
      </c>
      <c r="AC349" s="25">
        <f>IF(AB349="","",IF(AND(LEFT(AB349,4)&lt;&gt;"http",IF(H349="Production",set_RMSBase,set_QwilrBase)=""),"",HYPERLINK(IF(LEFT(AB349,4)="http",AB349,IF(H349="Production",set_RMSBase,set_QwilrBase)&amp;AB349),"Open")))</f>
        <v/>
      </c>
      <c r="AD349" s="27">
        <f>IF(E349="","",IF(H349="Production",IFERROR(INDEX(tbl_Production[Total Expense],MATCH(E349&amp;"",tbl_Production[Job Number],0)),0),IF(H349="Consulting",IFERROR(INDEX(tbl_Consulting[Total Expense],MATCH(E349&amp;"",tbl_Consulting[Job Number],0)),0),0)))</f>
        <v/>
      </c>
      <c r="AE349" s="27">
        <f>IF(E349="","",Y349-N(AD349))</f>
        <v/>
      </c>
      <c r="AF349" s="29">
        <f>IFERROR(AE349/Y349,"")</f>
        <v/>
      </c>
      <c r="AG349" s="25">
        <f>IF(E349="","",IF(H349="Onsite",IFERROR(INDEX(tbl_Onsite[Notes],MATCH(E349&amp;"",tbl_Onsite[Job Number],0)),""),IF(H349="Production",IFERROR(INDEX(tbl_Production[Notes],MATCH(E349&amp;"",tbl_Production[Job Number],0)),""),IF(H349="Consulting",IFERROR(INDEX(tbl_Consulting[Notes],MATCH(E349&amp;"",tbl_Consulting[Job Number],0)),""),""))))</f>
        <v/>
      </c>
    </row>
    <row r="350" ht="15" customHeight="1">
      <c r="A350" s="22" t="n"/>
      <c r="B350" s="23">
        <f>IF(A350="","",EOMONTH(A350,0))</f>
        <v/>
      </c>
      <c r="C350" s="24" t="n"/>
      <c r="D350" s="24" t="n"/>
      <c r="E350" s="24" t="n"/>
      <c r="F350" s="25">
        <f>IF(E350="","",IF(COUNTIF(lst_Jobs,E350&amp;"")&gt;0,"OK","CHECK"))</f>
        <v/>
      </c>
      <c r="G350" s="24" t="n"/>
      <c r="H350" s="24" t="n"/>
      <c r="I350" s="24" t="n"/>
      <c r="J350" s="24" t="n"/>
      <c r="K350" s="24" t="n"/>
      <c r="L350" s="26" t="n"/>
      <c r="M350" s="27">
        <f>IF(L350="","",IF(K350="GST 10%",ROUND(L350*set_GSTRate,2),0))</f>
        <v/>
      </c>
      <c r="N350" s="27">
        <f>IF(L350="","",L350+M350)</f>
        <v/>
      </c>
      <c r="O350" s="24" t="n"/>
      <c r="P350" s="24" t="n"/>
      <c r="Q350" s="24" t="n"/>
      <c r="R350" s="22" t="n"/>
      <c r="S350" s="22" t="n"/>
      <c r="T350" s="24" t="n"/>
      <c r="U350" s="24" t="n"/>
      <c r="V350" s="25">
        <f>IF(COUNTA(A350,D350,C350,L350)=0,"",IF(A350="","No date - sits outside every month",IF(E350="","No job number",IF(F350="CHECK","Job number is not in the Xero job list",IF(I350="","No cost centre",IF(AND(P350="Y",C350=""),"Marked posted to Xero but has no invoice number",IF(AND(L350&lt;&gt;"",K350=""),"No tax code",IF(AND(L350&lt;&gt;"",O350=""),"No revenue GL code",""))))))))</f>
        <v/>
      </c>
      <c r="W350" s="25">
        <f>IF(E350="","",IFERROR(INDEX(lst_JobName,MATCH(E350&amp;"",lst_Jobs,0)),""))</f>
        <v/>
      </c>
      <c r="X350" s="28">
        <f>IF(E350="","",COUNTIFS(tbl_Finance[Job Number],E350&amp;"",tbl_Finance[Ex GST],"&lt;&gt;"))</f>
        <v/>
      </c>
      <c r="Y350" s="27">
        <f>IF(E350="","",SUMIFS(tbl_Finance[Ex GST],tbl_Finance[Job Number],E350&amp;""))</f>
        <v/>
      </c>
      <c r="Z350" s="27">
        <f>IF(E350="","",SUMIFS(tbl_Finance[Ex GST],tbl_Finance[Job Number],E350&amp;"",tbl_Finance[Xero Invoice No],"&lt;&gt;"))</f>
        <v/>
      </c>
      <c r="AA350" s="27">
        <f>IF(E350="","",Y350-Z350)</f>
        <v/>
      </c>
      <c r="AB350" s="25">
        <f>IF(E350="","",IF(H350="Onsite",IFERROR(INDEX(tbl_Onsite[Qwilr Quote],MATCH(E350&amp;"",tbl_Onsite[Job Number],0)),""),IF(H350="Production",IFERROR(INDEX(tbl_Production[Current RMS No],MATCH(E350&amp;"",tbl_Production[Job Number],0)),""),IF(H350="Consulting",IFERROR(INDEX(tbl_Consulting[Qwilr Quote],MATCH(E350&amp;"",tbl_Consulting[Job Number],0)),""),""))))</f>
        <v/>
      </c>
      <c r="AC350" s="25">
        <f>IF(AB350="","",IF(AND(LEFT(AB350,4)&lt;&gt;"http",IF(H350="Production",set_RMSBase,set_QwilrBase)=""),"",HYPERLINK(IF(LEFT(AB350,4)="http",AB350,IF(H350="Production",set_RMSBase,set_QwilrBase)&amp;AB350),"Open")))</f>
        <v/>
      </c>
      <c r="AD350" s="27">
        <f>IF(E350="","",IF(H350="Production",IFERROR(INDEX(tbl_Production[Total Expense],MATCH(E350&amp;"",tbl_Production[Job Number],0)),0),IF(H350="Consulting",IFERROR(INDEX(tbl_Consulting[Total Expense],MATCH(E350&amp;"",tbl_Consulting[Job Number],0)),0),0)))</f>
        <v/>
      </c>
      <c r="AE350" s="27">
        <f>IF(E350="","",Y350-N(AD350))</f>
        <v/>
      </c>
      <c r="AF350" s="29">
        <f>IFERROR(AE350/Y350,"")</f>
        <v/>
      </c>
      <c r="AG350" s="25">
        <f>IF(E350="","",IF(H350="Onsite",IFERROR(INDEX(tbl_Onsite[Notes],MATCH(E350&amp;"",tbl_Onsite[Job Number],0)),""),IF(H350="Production",IFERROR(INDEX(tbl_Production[Notes],MATCH(E350&amp;"",tbl_Production[Job Number],0)),""),IF(H350="Consulting",IFERROR(INDEX(tbl_Consulting[Notes],MATCH(E350&amp;"",tbl_Consulting[Job Number],0)),""),""))))</f>
        <v/>
      </c>
    </row>
    <row r="351" ht="15" customHeight="1">
      <c r="A351" s="22" t="n"/>
      <c r="B351" s="23">
        <f>IF(A351="","",EOMONTH(A351,0))</f>
        <v/>
      </c>
      <c r="C351" s="24" t="n"/>
      <c r="D351" s="24" t="n"/>
      <c r="E351" s="24" t="n"/>
      <c r="F351" s="25">
        <f>IF(E351="","",IF(COUNTIF(lst_Jobs,E351&amp;"")&gt;0,"OK","CHECK"))</f>
        <v/>
      </c>
      <c r="G351" s="24" t="n"/>
      <c r="H351" s="24" t="n"/>
      <c r="I351" s="24" t="n"/>
      <c r="J351" s="24" t="n"/>
      <c r="K351" s="24" t="n"/>
      <c r="L351" s="26" t="n"/>
      <c r="M351" s="27">
        <f>IF(L351="","",IF(K351="GST 10%",ROUND(L351*set_GSTRate,2),0))</f>
        <v/>
      </c>
      <c r="N351" s="27">
        <f>IF(L351="","",L351+M351)</f>
        <v/>
      </c>
      <c r="O351" s="24" t="n"/>
      <c r="P351" s="24" t="n"/>
      <c r="Q351" s="24" t="n"/>
      <c r="R351" s="22" t="n"/>
      <c r="S351" s="22" t="n"/>
      <c r="T351" s="24" t="n"/>
      <c r="U351" s="24" t="n"/>
      <c r="V351" s="25">
        <f>IF(COUNTA(A351,D351,C351,L351)=0,"",IF(A351="","No date - sits outside every month",IF(E351="","No job number",IF(F351="CHECK","Job number is not in the Xero job list",IF(I351="","No cost centre",IF(AND(P351="Y",C351=""),"Marked posted to Xero but has no invoice number",IF(AND(L351&lt;&gt;"",K351=""),"No tax code",IF(AND(L351&lt;&gt;"",O351=""),"No revenue GL code",""))))))))</f>
        <v/>
      </c>
      <c r="W351" s="25">
        <f>IF(E351="","",IFERROR(INDEX(lst_JobName,MATCH(E351&amp;"",lst_Jobs,0)),""))</f>
        <v/>
      </c>
      <c r="X351" s="28">
        <f>IF(E351="","",COUNTIFS(tbl_Finance[Job Number],E351&amp;"",tbl_Finance[Ex GST],"&lt;&gt;"))</f>
        <v/>
      </c>
      <c r="Y351" s="27">
        <f>IF(E351="","",SUMIFS(tbl_Finance[Ex GST],tbl_Finance[Job Number],E351&amp;""))</f>
        <v/>
      </c>
      <c r="Z351" s="27">
        <f>IF(E351="","",SUMIFS(tbl_Finance[Ex GST],tbl_Finance[Job Number],E351&amp;"",tbl_Finance[Xero Invoice No],"&lt;&gt;"))</f>
        <v/>
      </c>
      <c r="AA351" s="27">
        <f>IF(E351="","",Y351-Z351)</f>
        <v/>
      </c>
      <c r="AB351" s="25">
        <f>IF(E351="","",IF(H351="Onsite",IFERROR(INDEX(tbl_Onsite[Qwilr Quote],MATCH(E351&amp;"",tbl_Onsite[Job Number],0)),""),IF(H351="Production",IFERROR(INDEX(tbl_Production[Current RMS No],MATCH(E351&amp;"",tbl_Production[Job Number],0)),""),IF(H351="Consulting",IFERROR(INDEX(tbl_Consulting[Qwilr Quote],MATCH(E351&amp;"",tbl_Consulting[Job Number],0)),""),""))))</f>
        <v/>
      </c>
      <c r="AC351" s="25">
        <f>IF(AB351="","",IF(AND(LEFT(AB351,4)&lt;&gt;"http",IF(H351="Production",set_RMSBase,set_QwilrBase)=""),"",HYPERLINK(IF(LEFT(AB351,4)="http",AB351,IF(H351="Production",set_RMSBase,set_QwilrBase)&amp;AB351),"Open")))</f>
        <v/>
      </c>
      <c r="AD351" s="27">
        <f>IF(E351="","",IF(H351="Production",IFERROR(INDEX(tbl_Production[Total Expense],MATCH(E351&amp;"",tbl_Production[Job Number],0)),0),IF(H351="Consulting",IFERROR(INDEX(tbl_Consulting[Total Expense],MATCH(E351&amp;"",tbl_Consulting[Job Number],0)),0),0)))</f>
        <v/>
      </c>
      <c r="AE351" s="27">
        <f>IF(E351="","",Y351-N(AD351))</f>
        <v/>
      </c>
      <c r="AF351" s="29">
        <f>IFERROR(AE351/Y351,"")</f>
        <v/>
      </c>
      <c r="AG351" s="25">
        <f>IF(E351="","",IF(H351="Onsite",IFERROR(INDEX(tbl_Onsite[Notes],MATCH(E351&amp;"",tbl_Onsite[Job Number],0)),""),IF(H351="Production",IFERROR(INDEX(tbl_Production[Notes],MATCH(E351&amp;"",tbl_Production[Job Number],0)),""),IF(H351="Consulting",IFERROR(INDEX(tbl_Consulting[Notes],MATCH(E351&amp;"",tbl_Consulting[Job Number],0)),""),""))))</f>
        <v/>
      </c>
    </row>
    <row r="352" ht="15" customHeight="1">
      <c r="A352" s="22" t="n"/>
      <c r="B352" s="23">
        <f>IF(A352="","",EOMONTH(A352,0))</f>
        <v/>
      </c>
      <c r="C352" s="24" t="n"/>
      <c r="D352" s="24" t="n"/>
      <c r="E352" s="24" t="n"/>
      <c r="F352" s="25">
        <f>IF(E352="","",IF(COUNTIF(lst_Jobs,E352&amp;"")&gt;0,"OK","CHECK"))</f>
        <v/>
      </c>
      <c r="G352" s="24" t="n"/>
      <c r="H352" s="24" t="n"/>
      <c r="I352" s="24" t="n"/>
      <c r="J352" s="24" t="n"/>
      <c r="K352" s="24" t="n"/>
      <c r="L352" s="26" t="n"/>
      <c r="M352" s="27">
        <f>IF(L352="","",IF(K352="GST 10%",ROUND(L352*set_GSTRate,2),0))</f>
        <v/>
      </c>
      <c r="N352" s="27">
        <f>IF(L352="","",L352+M352)</f>
        <v/>
      </c>
      <c r="O352" s="24" t="n"/>
      <c r="P352" s="24" t="n"/>
      <c r="Q352" s="24" t="n"/>
      <c r="R352" s="22" t="n"/>
      <c r="S352" s="22" t="n"/>
      <c r="T352" s="24" t="n"/>
      <c r="U352" s="24" t="n"/>
      <c r="V352" s="25">
        <f>IF(COUNTA(A352,D352,C352,L352)=0,"",IF(A352="","No date - sits outside every month",IF(E352="","No job number",IF(F352="CHECK","Job number is not in the Xero job list",IF(I352="","No cost centre",IF(AND(P352="Y",C352=""),"Marked posted to Xero but has no invoice number",IF(AND(L352&lt;&gt;"",K352=""),"No tax code",IF(AND(L352&lt;&gt;"",O352=""),"No revenue GL code",""))))))))</f>
        <v/>
      </c>
      <c r="W352" s="25">
        <f>IF(E352="","",IFERROR(INDEX(lst_JobName,MATCH(E352&amp;"",lst_Jobs,0)),""))</f>
        <v/>
      </c>
      <c r="X352" s="28">
        <f>IF(E352="","",COUNTIFS(tbl_Finance[Job Number],E352&amp;"",tbl_Finance[Ex GST],"&lt;&gt;"))</f>
        <v/>
      </c>
      <c r="Y352" s="27">
        <f>IF(E352="","",SUMIFS(tbl_Finance[Ex GST],tbl_Finance[Job Number],E352&amp;""))</f>
        <v/>
      </c>
      <c r="Z352" s="27">
        <f>IF(E352="","",SUMIFS(tbl_Finance[Ex GST],tbl_Finance[Job Number],E352&amp;"",tbl_Finance[Xero Invoice No],"&lt;&gt;"))</f>
        <v/>
      </c>
      <c r="AA352" s="27">
        <f>IF(E352="","",Y352-Z352)</f>
        <v/>
      </c>
      <c r="AB352" s="25">
        <f>IF(E352="","",IF(H352="Onsite",IFERROR(INDEX(tbl_Onsite[Qwilr Quote],MATCH(E352&amp;"",tbl_Onsite[Job Number],0)),""),IF(H352="Production",IFERROR(INDEX(tbl_Production[Current RMS No],MATCH(E352&amp;"",tbl_Production[Job Number],0)),""),IF(H352="Consulting",IFERROR(INDEX(tbl_Consulting[Qwilr Quote],MATCH(E352&amp;"",tbl_Consulting[Job Number],0)),""),""))))</f>
        <v/>
      </c>
      <c r="AC352" s="25">
        <f>IF(AB352="","",IF(AND(LEFT(AB352,4)&lt;&gt;"http",IF(H352="Production",set_RMSBase,set_QwilrBase)=""),"",HYPERLINK(IF(LEFT(AB352,4)="http",AB352,IF(H352="Production",set_RMSBase,set_QwilrBase)&amp;AB352),"Open")))</f>
        <v/>
      </c>
      <c r="AD352" s="27">
        <f>IF(E352="","",IF(H352="Production",IFERROR(INDEX(tbl_Production[Total Expense],MATCH(E352&amp;"",tbl_Production[Job Number],0)),0),IF(H352="Consulting",IFERROR(INDEX(tbl_Consulting[Total Expense],MATCH(E352&amp;"",tbl_Consulting[Job Number],0)),0),0)))</f>
        <v/>
      </c>
      <c r="AE352" s="27">
        <f>IF(E352="","",Y352-N(AD352))</f>
        <v/>
      </c>
      <c r="AF352" s="29">
        <f>IFERROR(AE352/Y352,"")</f>
        <v/>
      </c>
      <c r="AG352" s="25">
        <f>IF(E352="","",IF(H352="Onsite",IFERROR(INDEX(tbl_Onsite[Notes],MATCH(E352&amp;"",tbl_Onsite[Job Number],0)),""),IF(H352="Production",IFERROR(INDEX(tbl_Production[Notes],MATCH(E352&amp;"",tbl_Production[Job Number],0)),""),IF(H352="Consulting",IFERROR(INDEX(tbl_Consulting[Notes],MATCH(E352&amp;"",tbl_Consulting[Job Number],0)),""),""))))</f>
        <v/>
      </c>
    </row>
    <row r="353" ht="15" customHeight="1">
      <c r="A353" s="22" t="n"/>
      <c r="B353" s="23">
        <f>IF(A353="","",EOMONTH(A353,0))</f>
        <v/>
      </c>
      <c r="C353" s="24" t="n"/>
      <c r="D353" s="24" t="n"/>
      <c r="E353" s="24" t="n"/>
      <c r="F353" s="25">
        <f>IF(E353="","",IF(COUNTIF(lst_Jobs,E353&amp;"")&gt;0,"OK","CHECK"))</f>
        <v/>
      </c>
      <c r="G353" s="24" t="n"/>
      <c r="H353" s="24" t="n"/>
      <c r="I353" s="24" t="n"/>
      <c r="J353" s="24" t="n"/>
      <c r="K353" s="24" t="n"/>
      <c r="L353" s="26" t="n"/>
      <c r="M353" s="27">
        <f>IF(L353="","",IF(K353="GST 10%",ROUND(L353*set_GSTRate,2),0))</f>
        <v/>
      </c>
      <c r="N353" s="27">
        <f>IF(L353="","",L353+M353)</f>
        <v/>
      </c>
      <c r="O353" s="24" t="n"/>
      <c r="P353" s="24" t="n"/>
      <c r="Q353" s="24" t="n"/>
      <c r="R353" s="22" t="n"/>
      <c r="S353" s="22" t="n"/>
      <c r="T353" s="24" t="n"/>
      <c r="U353" s="24" t="n"/>
      <c r="V353" s="25">
        <f>IF(COUNTA(A353,D353,C353,L353)=0,"",IF(A353="","No date - sits outside every month",IF(E353="","No job number",IF(F353="CHECK","Job number is not in the Xero job list",IF(I353="","No cost centre",IF(AND(P353="Y",C353=""),"Marked posted to Xero but has no invoice number",IF(AND(L353&lt;&gt;"",K353=""),"No tax code",IF(AND(L353&lt;&gt;"",O353=""),"No revenue GL code",""))))))))</f>
        <v/>
      </c>
      <c r="W353" s="25">
        <f>IF(E353="","",IFERROR(INDEX(lst_JobName,MATCH(E353&amp;"",lst_Jobs,0)),""))</f>
        <v/>
      </c>
      <c r="X353" s="28">
        <f>IF(E353="","",COUNTIFS(tbl_Finance[Job Number],E353&amp;"",tbl_Finance[Ex GST],"&lt;&gt;"))</f>
        <v/>
      </c>
      <c r="Y353" s="27">
        <f>IF(E353="","",SUMIFS(tbl_Finance[Ex GST],tbl_Finance[Job Number],E353&amp;""))</f>
        <v/>
      </c>
      <c r="Z353" s="27">
        <f>IF(E353="","",SUMIFS(tbl_Finance[Ex GST],tbl_Finance[Job Number],E353&amp;"",tbl_Finance[Xero Invoice No],"&lt;&gt;"))</f>
        <v/>
      </c>
      <c r="AA353" s="27">
        <f>IF(E353="","",Y353-Z353)</f>
        <v/>
      </c>
      <c r="AB353" s="25">
        <f>IF(E353="","",IF(H353="Onsite",IFERROR(INDEX(tbl_Onsite[Qwilr Quote],MATCH(E353&amp;"",tbl_Onsite[Job Number],0)),""),IF(H353="Production",IFERROR(INDEX(tbl_Production[Current RMS No],MATCH(E353&amp;"",tbl_Production[Job Number],0)),""),IF(H353="Consulting",IFERROR(INDEX(tbl_Consulting[Qwilr Quote],MATCH(E353&amp;"",tbl_Consulting[Job Number],0)),""),""))))</f>
        <v/>
      </c>
      <c r="AC353" s="25">
        <f>IF(AB353="","",IF(AND(LEFT(AB353,4)&lt;&gt;"http",IF(H353="Production",set_RMSBase,set_QwilrBase)=""),"",HYPERLINK(IF(LEFT(AB353,4)="http",AB353,IF(H353="Production",set_RMSBase,set_QwilrBase)&amp;AB353),"Open")))</f>
        <v/>
      </c>
      <c r="AD353" s="27">
        <f>IF(E353="","",IF(H353="Production",IFERROR(INDEX(tbl_Production[Total Expense],MATCH(E353&amp;"",tbl_Production[Job Number],0)),0),IF(H353="Consulting",IFERROR(INDEX(tbl_Consulting[Total Expense],MATCH(E353&amp;"",tbl_Consulting[Job Number],0)),0),0)))</f>
        <v/>
      </c>
      <c r="AE353" s="27">
        <f>IF(E353="","",Y353-N(AD353))</f>
        <v/>
      </c>
      <c r="AF353" s="29">
        <f>IFERROR(AE353/Y353,"")</f>
        <v/>
      </c>
      <c r="AG353" s="25">
        <f>IF(E353="","",IF(H353="Onsite",IFERROR(INDEX(tbl_Onsite[Notes],MATCH(E353&amp;"",tbl_Onsite[Job Number],0)),""),IF(H353="Production",IFERROR(INDEX(tbl_Production[Notes],MATCH(E353&amp;"",tbl_Production[Job Number],0)),""),IF(H353="Consulting",IFERROR(INDEX(tbl_Consulting[Notes],MATCH(E353&amp;"",tbl_Consulting[Job Number],0)),""),""))))</f>
        <v/>
      </c>
    </row>
    <row r="354" ht="15" customHeight="1">
      <c r="A354" s="22" t="n"/>
      <c r="B354" s="23">
        <f>IF(A354="","",EOMONTH(A354,0))</f>
        <v/>
      </c>
      <c r="C354" s="24" t="n"/>
      <c r="D354" s="24" t="n"/>
      <c r="E354" s="24" t="n"/>
      <c r="F354" s="25">
        <f>IF(E354="","",IF(COUNTIF(lst_Jobs,E354&amp;"")&gt;0,"OK","CHECK"))</f>
        <v/>
      </c>
      <c r="G354" s="24" t="n"/>
      <c r="H354" s="24" t="n"/>
      <c r="I354" s="24" t="n"/>
      <c r="J354" s="24" t="n"/>
      <c r="K354" s="24" t="n"/>
      <c r="L354" s="26" t="n"/>
      <c r="M354" s="27">
        <f>IF(L354="","",IF(K354="GST 10%",ROUND(L354*set_GSTRate,2),0))</f>
        <v/>
      </c>
      <c r="N354" s="27">
        <f>IF(L354="","",L354+M354)</f>
        <v/>
      </c>
      <c r="O354" s="24" t="n"/>
      <c r="P354" s="24" t="n"/>
      <c r="Q354" s="24" t="n"/>
      <c r="R354" s="22" t="n"/>
      <c r="S354" s="22" t="n"/>
      <c r="T354" s="24" t="n"/>
      <c r="U354" s="24" t="n"/>
      <c r="V354" s="25">
        <f>IF(COUNTA(A354,D354,C354,L354)=0,"",IF(A354="","No date - sits outside every month",IF(E354="","No job number",IF(F354="CHECK","Job number is not in the Xero job list",IF(I354="","No cost centre",IF(AND(P354="Y",C354=""),"Marked posted to Xero but has no invoice number",IF(AND(L354&lt;&gt;"",K354=""),"No tax code",IF(AND(L354&lt;&gt;"",O354=""),"No revenue GL code",""))))))))</f>
        <v/>
      </c>
      <c r="W354" s="25">
        <f>IF(E354="","",IFERROR(INDEX(lst_JobName,MATCH(E354&amp;"",lst_Jobs,0)),""))</f>
        <v/>
      </c>
      <c r="X354" s="28">
        <f>IF(E354="","",COUNTIFS(tbl_Finance[Job Number],E354&amp;"",tbl_Finance[Ex GST],"&lt;&gt;"))</f>
        <v/>
      </c>
      <c r="Y354" s="27">
        <f>IF(E354="","",SUMIFS(tbl_Finance[Ex GST],tbl_Finance[Job Number],E354&amp;""))</f>
        <v/>
      </c>
      <c r="Z354" s="27">
        <f>IF(E354="","",SUMIFS(tbl_Finance[Ex GST],tbl_Finance[Job Number],E354&amp;"",tbl_Finance[Xero Invoice No],"&lt;&gt;"))</f>
        <v/>
      </c>
      <c r="AA354" s="27">
        <f>IF(E354="","",Y354-Z354)</f>
        <v/>
      </c>
      <c r="AB354" s="25">
        <f>IF(E354="","",IF(H354="Onsite",IFERROR(INDEX(tbl_Onsite[Qwilr Quote],MATCH(E354&amp;"",tbl_Onsite[Job Number],0)),""),IF(H354="Production",IFERROR(INDEX(tbl_Production[Current RMS No],MATCH(E354&amp;"",tbl_Production[Job Number],0)),""),IF(H354="Consulting",IFERROR(INDEX(tbl_Consulting[Qwilr Quote],MATCH(E354&amp;"",tbl_Consulting[Job Number],0)),""),""))))</f>
        <v/>
      </c>
      <c r="AC354" s="25">
        <f>IF(AB354="","",IF(AND(LEFT(AB354,4)&lt;&gt;"http",IF(H354="Production",set_RMSBase,set_QwilrBase)=""),"",HYPERLINK(IF(LEFT(AB354,4)="http",AB354,IF(H354="Production",set_RMSBase,set_QwilrBase)&amp;AB354),"Open")))</f>
        <v/>
      </c>
      <c r="AD354" s="27">
        <f>IF(E354="","",IF(H354="Production",IFERROR(INDEX(tbl_Production[Total Expense],MATCH(E354&amp;"",tbl_Production[Job Number],0)),0),IF(H354="Consulting",IFERROR(INDEX(tbl_Consulting[Total Expense],MATCH(E354&amp;"",tbl_Consulting[Job Number],0)),0),0)))</f>
        <v/>
      </c>
      <c r="AE354" s="27">
        <f>IF(E354="","",Y354-N(AD354))</f>
        <v/>
      </c>
      <c r="AF354" s="29">
        <f>IFERROR(AE354/Y354,"")</f>
        <v/>
      </c>
      <c r="AG354" s="25">
        <f>IF(E354="","",IF(H354="Onsite",IFERROR(INDEX(tbl_Onsite[Notes],MATCH(E354&amp;"",tbl_Onsite[Job Number],0)),""),IF(H354="Production",IFERROR(INDEX(tbl_Production[Notes],MATCH(E354&amp;"",tbl_Production[Job Number],0)),""),IF(H354="Consulting",IFERROR(INDEX(tbl_Consulting[Notes],MATCH(E354&amp;"",tbl_Consulting[Job Number],0)),""),""))))</f>
        <v/>
      </c>
    </row>
    <row r="355" ht="15" customHeight="1">
      <c r="A355" s="22" t="n"/>
      <c r="B355" s="23">
        <f>IF(A355="","",EOMONTH(A355,0))</f>
        <v/>
      </c>
      <c r="C355" s="24" t="n"/>
      <c r="D355" s="24" t="n"/>
      <c r="E355" s="24" t="n"/>
      <c r="F355" s="25">
        <f>IF(E355="","",IF(COUNTIF(lst_Jobs,E355&amp;"")&gt;0,"OK","CHECK"))</f>
        <v/>
      </c>
      <c r="G355" s="24" t="n"/>
      <c r="H355" s="24" t="n"/>
      <c r="I355" s="24" t="n"/>
      <c r="J355" s="24" t="n"/>
      <c r="K355" s="24" t="n"/>
      <c r="L355" s="26" t="n"/>
      <c r="M355" s="27">
        <f>IF(L355="","",IF(K355="GST 10%",ROUND(L355*set_GSTRate,2),0))</f>
        <v/>
      </c>
      <c r="N355" s="27">
        <f>IF(L355="","",L355+M355)</f>
        <v/>
      </c>
      <c r="O355" s="24" t="n"/>
      <c r="P355" s="24" t="n"/>
      <c r="Q355" s="24" t="n"/>
      <c r="R355" s="22" t="n"/>
      <c r="S355" s="22" t="n"/>
      <c r="T355" s="24" t="n"/>
      <c r="U355" s="24" t="n"/>
      <c r="V355" s="25">
        <f>IF(COUNTA(A355,D355,C355,L355)=0,"",IF(A355="","No date - sits outside every month",IF(E355="","No job number",IF(F355="CHECK","Job number is not in the Xero job list",IF(I355="","No cost centre",IF(AND(P355="Y",C355=""),"Marked posted to Xero but has no invoice number",IF(AND(L355&lt;&gt;"",K355=""),"No tax code",IF(AND(L355&lt;&gt;"",O355=""),"No revenue GL code",""))))))))</f>
        <v/>
      </c>
      <c r="W355" s="25">
        <f>IF(E355="","",IFERROR(INDEX(lst_JobName,MATCH(E355&amp;"",lst_Jobs,0)),""))</f>
        <v/>
      </c>
      <c r="X355" s="28">
        <f>IF(E355="","",COUNTIFS(tbl_Finance[Job Number],E355&amp;"",tbl_Finance[Ex GST],"&lt;&gt;"))</f>
        <v/>
      </c>
      <c r="Y355" s="27">
        <f>IF(E355="","",SUMIFS(tbl_Finance[Ex GST],tbl_Finance[Job Number],E355&amp;""))</f>
        <v/>
      </c>
      <c r="Z355" s="27">
        <f>IF(E355="","",SUMIFS(tbl_Finance[Ex GST],tbl_Finance[Job Number],E355&amp;"",tbl_Finance[Xero Invoice No],"&lt;&gt;"))</f>
        <v/>
      </c>
      <c r="AA355" s="27">
        <f>IF(E355="","",Y355-Z355)</f>
        <v/>
      </c>
      <c r="AB355" s="25">
        <f>IF(E355="","",IF(H355="Onsite",IFERROR(INDEX(tbl_Onsite[Qwilr Quote],MATCH(E355&amp;"",tbl_Onsite[Job Number],0)),""),IF(H355="Production",IFERROR(INDEX(tbl_Production[Current RMS No],MATCH(E355&amp;"",tbl_Production[Job Number],0)),""),IF(H355="Consulting",IFERROR(INDEX(tbl_Consulting[Qwilr Quote],MATCH(E355&amp;"",tbl_Consulting[Job Number],0)),""),""))))</f>
        <v/>
      </c>
      <c r="AC355" s="25">
        <f>IF(AB355="","",IF(AND(LEFT(AB355,4)&lt;&gt;"http",IF(H355="Production",set_RMSBase,set_QwilrBase)=""),"",HYPERLINK(IF(LEFT(AB355,4)="http",AB355,IF(H355="Production",set_RMSBase,set_QwilrBase)&amp;AB355),"Open")))</f>
        <v/>
      </c>
      <c r="AD355" s="27">
        <f>IF(E355="","",IF(H355="Production",IFERROR(INDEX(tbl_Production[Total Expense],MATCH(E355&amp;"",tbl_Production[Job Number],0)),0),IF(H355="Consulting",IFERROR(INDEX(tbl_Consulting[Total Expense],MATCH(E355&amp;"",tbl_Consulting[Job Number],0)),0),0)))</f>
        <v/>
      </c>
      <c r="AE355" s="27">
        <f>IF(E355="","",Y355-N(AD355))</f>
        <v/>
      </c>
      <c r="AF355" s="29">
        <f>IFERROR(AE355/Y355,"")</f>
        <v/>
      </c>
      <c r="AG355" s="25">
        <f>IF(E355="","",IF(H355="Onsite",IFERROR(INDEX(tbl_Onsite[Notes],MATCH(E355&amp;"",tbl_Onsite[Job Number],0)),""),IF(H355="Production",IFERROR(INDEX(tbl_Production[Notes],MATCH(E355&amp;"",tbl_Production[Job Number],0)),""),IF(H355="Consulting",IFERROR(INDEX(tbl_Consulting[Notes],MATCH(E355&amp;"",tbl_Consulting[Job Number],0)),""),""))))</f>
        <v/>
      </c>
    </row>
    <row r="356" ht="15" customHeight="1">
      <c r="A356" s="22" t="n"/>
      <c r="B356" s="23">
        <f>IF(A356="","",EOMONTH(A356,0))</f>
        <v/>
      </c>
      <c r="C356" s="24" t="n"/>
      <c r="D356" s="24" t="n"/>
      <c r="E356" s="24" t="n"/>
      <c r="F356" s="25">
        <f>IF(E356="","",IF(COUNTIF(lst_Jobs,E356&amp;"")&gt;0,"OK","CHECK"))</f>
        <v/>
      </c>
      <c r="G356" s="24" t="n"/>
      <c r="H356" s="24" t="n"/>
      <c r="I356" s="24" t="n"/>
      <c r="J356" s="24" t="n"/>
      <c r="K356" s="24" t="n"/>
      <c r="L356" s="26" t="n"/>
      <c r="M356" s="27">
        <f>IF(L356="","",IF(K356="GST 10%",ROUND(L356*set_GSTRate,2),0))</f>
        <v/>
      </c>
      <c r="N356" s="27">
        <f>IF(L356="","",L356+M356)</f>
        <v/>
      </c>
      <c r="O356" s="24" t="n"/>
      <c r="P356" s="24" t="n"/>
      <c r="Q356" s="24" t="n"/>
      <c r="R356" s="22" t="n"/>
      <c r="S356" s="22" t="n"/>
      <c r="T356" s="24" t="n"/>
      <c r="U356" s="24" t="n"/>
      <c r="V356" s="25">
        <f>IF(COUNTA(A356,D356,C356,L356)=0,"",IF(A356="","No date - sits outside every month",IF(E356="","No job number",IF(F356="CHECK","Job number is not in the Xero job list",IF(I356="","No cost centre",IF(AND(P356="Y",C356=""),"Marked posted to Xero but has no invoice number",IF(AND(L356&lt;&gt;"",K356=""),"No tax code",IF(AND(L356&lt;&gt;"",O356=""),"No revenue GL code",""))))))))</f>
        <v/>
      </c>
      <c r="W356" s="25">
        <f>IF(E356="","",IFERROR(INDEX(lst_JobName,MATCH(E356&amp;"",lst_Jobs,0)),""))</f>
        <v/>
      </c>
      <c r="X356" s="28">
        <f>IF(E356="","",COUNTIFS(tbl_Finance[Job Number],E356&amp;"",tbl_Finance[Ex GST],"&lt;&gt;"))</f>
        <v/>
      </c>
      <c r="Y356" s="27">
        <f>IF(E356="","",SUMIFS(tbl_Finance[Ex GST],tbl_Finance[Job Number],E356&amp;""))</f>
        <v/>
      </c>
      <c r="Z356" s="27">
        <f>IF(E356="","",SUMIFS(tbl_Finance[Ex GST],tbl_Finance[Job Number],E356&amp;"",tbl_Finance[Xero Invoice No],"&lt;&gt;"))</f>
        <v/>
      </c>
      <c r="AA356" s="27">
        <f>IF(E356="","",Y356-Z356)</f>
        <v/>
      </c>
      <c r="AB356" s="25">
        <f>IF(E356="","",IF(H356="Onsite",IFERROR(INDEX(tbl_Onsite[Qwilr Quote],MATCH(E356&amp;"",tbl_Onsite[Job Number],0)),""),IF(H356="Production",IFERROR(INDEX(tbl_Production[Current RMS No],MATCH(E356&amp;"",tbl_Production[Job Number],0)),""),IF(H356="Consulting",IFERROR(INDEX(tbl_Consulting[Qwilr Quote],MATCH(E356&amp;"",tbl_Consulting[Job Number],0)),""),""))))</f>
        <v/>
      </c>
      <c r="AC356" s="25">
        <f>IF(AB356="","",IF(AND(LEFT(AB356,4)&lt;&gt;"http",IF(H356="Production",set_RMSBase,set_QwilrBase)=""),"",HYPERLINK(IF(LEFT(AB356,4)="http",AB356,IF(H356="Production",set_RMSBase,set_QwilrBase)&amp;AB356),"Open")))</f>
        <v/>
      </c>
      <c r="AD356" s="27">
        <f>IF(E356="","",IF(H356="Production",IFERROR(INDEX(tbl_Production[Total Expense],MATCH(E356&amp;"",tbl_Production[Job Number],0)),0),IF(H356="Consulting",IFERROR(INDEX(tbl_Consulting[Total Expense],MATCH(E356&amp;"",tbl_Consulting[Job Number],0)),0),0)))</f>
        <v/>
      </c>
      <c r="AE356" s="27">
        <f>IF(E356="","",Y356-N(AD356))</f>
        <v/>
      </c>
      <c r="AF356" s="29">
        <f>IFERROR(AE356/Y356,"")</f>
        <v/>
      </c>
      <c r="AG356" s="25">
        <f>IF(E356="","",IF(H356="Onsite",IFERROR(INDEX(tbl_Onsite[Notes],MATCH(E356&amp;"",tbl_Onsite[Job Number],0)),""),IF(H356="Production",IFERROR(INDEX(tbl_Production[Notes],MATCH(E356&amp;"",tbl_Production[Job Number],0)),""),IF(H356="Consulting",IFERROR(INDEX(tbl_Consulting[Notes],MATCH(E356&amp;"",tbl_Consulting[Job Number],0)),""),""))))</f>
        <v/>
      </c>
    </row>
    <row r="357" ht="15" customHeight="1">
      <c r="A357" s="22" t="n"/>
      <c r="B357" s="23">
        <f>IF(A357="","",EOMONTH(A357,0))</f>
        <v/>
      </c>
      <c r="C357" s="24" t="n"/>
      <c r="D357" s="24" t="n"/>
      <c r="E357" s="24" t="n"/>
      <c r="F357" s="25">
        <f>IF(E357="","",IF(COUNTIF(lst_Jobs,E357&amp;"")&gt;0,"OK","CHECK"))</f>
        <v/>
      </c>
      <c r="G357" s="24" t="n"/>
      <c r="H357" s="24" t="n"/>
      <c r="I357" s="24" t="n"/>
      <c r="J357" s="24" t="n"/>
      <c r="K357" s="24" t="n"/>
      <c r="L357" s="26" t="n"/>
      <c r="M357" s="27">
        <f>IF(L357="","",IF(K357="GST 10%",ROUND(L357*set_GSTRate,2),0))</f>
        <v/>
      </c>
      <c r="N357" s="27">
        <f>IF(L357="","",L357+M357)</f>
        <v/>
      </c>
      <c r="O357" s="24" t="n"/>
      <c r="P357" s="24" t="n"/>
      <c r="Q357" s="24" t="n"/>
      <c r="R357" s="22" t="n"/>
      <c r="S357" s="22" t="n"/>
      <c r="T357" s="24" t="n"/>
      <c r="U357" s="24" t="n"/>
      <c r="V357" s="25">
        <f>IF(COUNTA(A357,D357,C357,L357)=0,"",IF(A357="","No date - sits outside every month",IF(E357="","No job number",IF(F357="CHECK","Job number is not in the Xero job list",IF(I357="","No cost centre",IF(AND(P357="Y",C357=""),"Marked posted to Xero but has no invoice number",IF(AND(L357&lt;&gt;"",K357=""),"No tax code",IF(AND(L357&lt;&gt;"",O357=""),"No revenue GL code",""))))))))</f>
        <v/>
      </c>
      <c r="W357" s="25">
        <f>IF(E357="","",IFERROR(INDEX(lst_JobName,MATCH(E357&amp;"",lst_Jobs,0)),""))</f>
        <v/>
      </c>
      <c r="X357" s="28">
        <f>IF(E357="","",COUNTIFS(tbl_Finance[Job Number],E357&amp;"",tbl_Finance[Ex GST],"&lt;&gt;"))</f>
        <v/>
      </c>
      <c r="Y357" s="27">
        <f>IF(E357="","",SUMIFS(tbl_Finance[Ex GST],tbl_Finance[Job Number],E357&amp;""))</f>
        <v/>
      </c>
      <c r="Z357" s="27">
        <f>IF(E357="","",SUMIFS(tbl_Finance[Ex GST],tbl_Finance[Job Number],E357&amp;"",tbl_Finance[Xero Invoice No],"&lt;&gt;"))</f>
        <v/>
      </c>
      <c r="AA357" s="27">
        <f>IF(E357="","",Y357-Z357)</f>
        <v/>
      </c>
      <c r="AB357" s="25">
        <f>IF(E357="","",IF(H357="Onsite",IFERROR(INDEX(tbl_Onsite[Qwilr Quote],MATCH(E357&amp;"",tbl_Onsite[Job Number],0)),""),IF(H357="Production",IFERROR(INDEX(tbl_Production[Current RMS No],MATCH(E357&amp;"",tbl_Production[Job Number],0)),""),IF(H357="Consulting",IFERROR(INDEX(tbl_Consulting[Qwilr Quote],MATCH(E357&amp;"",tbl_Consulting[Job Number],0)),""),""))))</f>
        <v/>
      </c>
      <c r="AC357" s="25">
        <f>IF(AB357="","",IF(AND(LEFT(AB357,4)&lt;&gt;"http",IF(H357="Production",set_RMSBase,set_QwilrBase)=""),"",HYPERLINK(IF(LEFT(AB357,4)="http",AB357,IF(H357="Production",set_RMSBase,set_QwilrBase)&amp;AB357),"Open")))</f>
        <v/>
      </c>
      <c r="AD357" s="27">
        <f>IF(E357="","",IF(H357="Production",IFERROR(INDEX(tbl_Production[Total Expense],MATCH(E357&amp;"",tbl_Production[Job Number],0)),0),IF(H357="Consulting",IFERROR(INDEX(tbl_Consulting[Total Expense],MATCH(E357&amp;"",tbl_Consulting[Job Number],0)),0),0)))</f>
        <v/>
      </c>
      <c r="AE357" s="27">
        <f>IF(E357="","",Y357-N(AD357))</f>
        <v/>
      </c>
      <c r="AF357" s="29">
        <f>IFERROR(AE357/Y357,"")</f>
        <v/>
      </c>
      <c r="AG357" s="25">
        <f>IF(E357="","",IF(H357="Onsite",IFERROR(INDEX(tbl_Onsite[Notes],MATCH(E357&amp;"",tbl_Onsite[Job Number],0)),""),IF(H357="Production",IFERROR(INDEX(tbl_Production[Notes],MATCH(E357&amp;"",tbl_Production[Job Number],0)),""),IF(H357="Consulting",IFERROR(INDEX(tbl_Consulting[Notes],MATCH(E357&amp;"",tbl_Consulting[Job Number],0)),""),""))))</f>
        <v/>
      </c>
    </row>
    <row r="358" ht="15" customHeight="1">
      <c r="A358" s="22" t="n"/>
      <c r="B358" s="23">
        <f>IF(A358="","",EOMONTH(A358,0))</f>
        <v/>
      </c>
      <c r="C358" s="24" t="n"/>
      <c r="D358" s="24" t="n"/>
      <c r="E358" s="24" t="n"/>
      <c r="F358" s="25">
        <f>IF(E358="","",IF(COUNTIF(lst_Jobs,E358&amp;"")&gt;0,"OK","CHECK"))</f>
        <v/>
      </c>
      <c r="G358" s="24" t="n"/>
      <c r="H358" s="24" t="n"/>
      <c r="I358" s="24" t="n"/>
      <c r="J358" s="24" t="n"/>
      <c r="K358" s="24" t="n"/>
      <c r="L358" s="26" t="n"/>
      <c r="M358" s="27">
        <f>IF(L358="","",IF(K358="GST 10%",ROUND(L358*set_GSTRate,2),0))</f>
        <v/>
      </c>
      <c r="N358" s="27">
        <f>IF(L358="","",L358+M358)</f>
        <v/>
      </c>
      <c r="O358" s="24" t="n"/>
      <c r="P358" s="24" t="n"/>
      <c r="Q358" s="24" t="n"/>
      <c r="R358" s="22" t="n"/>
      <c r="S358" s="22" t="n"/>
      <c r="T358" s="24" t="n"/>
      <c r="U358" s="24" t="n"/>
      <c r="V358" s="25">
        <f>IF(COUNTA(A358,D358,C358,L358)=0,"",IF(A358="","No date - sits outside every month",IF(E358="","No job number",IF(F358="CHECK","Job number is not in the Xero job list",IF(I358="","No cost centre",IF(AND(P358="Y",C358=""),"Marked posted to Xero but has no invoice number",IF(AND(L358&lt;&gt;"",K358=""),"No tax code",IF(AND(L358&lt;&gt;"",O358=""),"No revenue GL code",""))))))))</f>
        <v/>
      </c>
      <c r="W358" s="25">
        <f>IF(E358="","",IFERROR(INDEX(lst_JobName,MATCH(E358&amp;"",lst_Jobs,0)),""))</f>
        <v/>
      </c>
      <c r="X358" s="28">
        <f>IF(E358="","",COUNTIFS(tbl_Finance[Job Number],E358&amp;"",tbl_Finance[Ex GST],"&lt;&gt;"))</f>
        <v/>
      </c>
      <c r="Y358" s="27">
        <f>IF(E358="","",SUMIFS(tbl_Finance[Ex GST],tbl_Finance[Job Number],E358&amp;""))</f>
        <v/>
      </c>
      <c r="Z358" s="27">
        <f>IF(E358="","",SUMIFS(tbl_Finance[Ex GST],tbl_Finance[Job Number],E358&amp;"",tbl_Finance[Xero Invoice No],"&lt;&gt;"))</f>
        <v/>
      </c>
      <c r="AA358" s="27">
        <f>IF(E358="","",Y358-Z358)</f>
        <v/>
      </c>
      <c r="AB358" s="25">
        <f>IF(E358="","",IF(H358="Onsite",IFERROR(INDEX(tbl_Onsite[Qwilr Quote],MATCH(E358&amp;"",tbl_Onsite[Job Number],0)),""),IF(H358="Production",IFERROR(INDEX(tbl_Production[Current RMS No],MATCH(E358&amp;"",tbl_Production[Job Number],0)),""),IF(H358="Consulting",IFERROR(INDEX(tbl_Consulting[Qwilr Quote],MATCH(E358&amp;"",tbl_Consulting[Job Number],0)),""),""))))</f>
        <v/>
      </c>
      <c r="AC358" s="25">
        <f>IF(AB358="","",IF(AND(LEFT(AB358,4)&lt;&gt;"http",IF(H358="Production",set_RMSBase,set_QwilrBase)=""),"",HYPERLINK(IF(LEFT(AB358,4)="http",AB358,IF(H358="Production",set_RMSBase,set_QwilrBase)&amp;AB358),"Open")))</f>
        <v/>
      </c>
      <c r="AD358" s="27">
        <f>IF(E358="","",IF(H358="Production",IFERROR(INDEX(tbl_Production[Total Expense],MATCH(E358&amp;"",tbl_Production[Job Number],0)),0),IF(H358="Consulting",IFERROR(INDEX(tbl_Consulting[Total Expense],MATCH(E358&amp;"",tbl_Consulting[Job Number],0)),0),0)))</f>
        <v/>
      </c>
      <c r="AE358" s="27">
        <f>IF(E358="","",Y358-N(AD358))</f>
        <v/>
      </c>
      <c r="AF358" s="29">
        <f>IFERROR(AE358/Y358,"")</f>
        <v/>
      </c>
      <c r="AG358" s="25">
        <f>IF(E358="","",IF(H358="Onsite",IFERROR(INDEX(tbl_Onsite[Notes],MATCH(E358&amp;"",tbl_Onsite[Job Number],0)),""),IF(H358="Production",IFERROR(INDEX(tbl_Production[Notes],MATCH(E358&amp;"",tbl_Production[Job Number],0)),""),IF(H358="Consulting",IFERROR(INDEX(tbl_Consulting[Notes],MATCH(E358&amp;"",tbl_Consulting[Job Number],0)),""),""))))</f>
        <v/>
      </c>
    </row>
    <row r="359" ht="15" customHeight="1">
      <c r="A359" s="22" t="n"/>
      <c r="B359" s="23">
        <f>IF(A359="","",EOMONTH(A359,0))</f>
        <v/>
      </c>
      <c r="C359" s="24" t="n"/>
      <c r="D359" s="24" t="n"/>
      <c r="E359" s="24" t="n"/>
      <c r="F359" s="25">
        <f>IF(E359="","",IF(COUNTIF(lst_Jobs,E359&amp;"")&gt;0,"OK","CHECK"))</f>
        <v/>
      </c>
      <c r="G359" s="24" t="n"/>
      <c r="H359" s="24" t="n"/>
      <c r="I359" s="24" t="n"/>
      <c r="J359" s="24" t="n"/>
      <c r="K359" s="24" t="n"/>
      <c r="L359" s="26" t="n"/>
      <c r="M359" s="27">
        <f>IF(L359="","",IF(K359="GST 10%",ROUND(L359*set_GSTRate,2),0))</f>
        <v/>
      </c>
      <c r="N359" s="27">
        <f>IF(L359="","",L359+M359)</f>
        <v/>
      </c>
      <c r="O359" s="24" t="n"/>
      <c r="P359" s="24" t="n"/>
      <c r="Q359" s="24" t="n"/>
      <c r="R359" s="22" t="n"/>
      <c r="S359" s="22" t="n"/>
      <c r="T359" s="24" t="n"/>
      <c r="U359" s="24" t="n"/>
      <c r="V359" s="25">
        <f>IF(COUNTA(A359,D359,C359,L359)=0,"",IF(A359="","No date - sits outside every month",IF(E359="","No job number",IF(F359="CHECK","Job number is not in the Xero job list",IF(I359="","No cost centre",IF(AND(P359="Y",C359=""),"Marked posted to Xero but has no invoice number",IF(AND(L359&lt;&gt;"",K359=""),"No tax code",IF(AND(L359&lt;&gt;"",O359=""),"No revenue GL code",""))))))))</f>
        <v/>
      </c>
      <c r="W359" s="25">
        <f>IF(E359="","",IFERROR(INDEX(lst_JobName,MATCH(E359&amp;"",lst_Jobs,0)),""))</f>
        <v/>
      </c>
      <c r="X359" s="28">
        <f>IF(E359="","",COUNTIFS(tbl_Finance[Job Number],E359&amp;"",tbl_Finance[Ex GST],"&lt;&gt;"))</f>
        <v/>
      </c>
      <c r="Y359" s="27">
        <f>IF(E359="","",SUMIFS(tbl_Finance[Ex GST],tbl_Finance[Job Number],E359&amp;""))</f>
        <v/>
      </c>
      <c r="Z359" s="27">
        <f>IF(E359="","",SUMIFS(tbl_Finance[Ex GST],tbl_Finance[Job Number],E359&amp;"",tbl_Finance[Xero Invoice No],"&lt;&gt;"))</f>
        <v/>
      </c>
      <c r="AA359" s="27">
        <f>IF(E359="","",Y359-Z359)</f>
        <v/>
      </c>
      <c r="AB359" s="25">
        <f>IF(E359="","",IF(H359="Onsite",IFERROR(INDEX(tbl_Onsite[Qwilr Quote],MATCH(E359&amp;"",tbl_Onsite[Job Number],0)),""),IF(H359="Production",IFERROR(INDEX(tbl_Production[Current RMS No],MATCH(E359&amp;"",tbl_Production[Job Number],0)),""),IF(H359="Consulting",IFERROR(INDEX(tbl_Consulting[Qwilr Quote],MATCH(E359&amp;"",tbl_Consulting[Job Number],0)),""),""))))</f>
        <v/>
      </c>
      <c r="AC359" s="25">
        <f>IF(AB359="","",IF(AND(LEFT(AB359,4)&lt;&gt;"http",IF(H359="Production",set_RMSBase,set_QwilrBase)=""),"",HYPERLINK(IF(LEFT(AB359,4)="http",AB359,IF(H359="Production",set_RMSBase,set_QwilrBase)&amp;AB359),"Open")))</f>
        <v/>
      </c>
      <c r="AD359" s="27">
        <f>IF(E359="","",IF(H359="Production",IFERROR(INDEX(tbl_Production[Total Expense],MATCH(E359&amp;"",tbl_Production[Job Number],0)),0),IF(H359="Consulting",IFERROR(INDEX(tbl_Consulting[Total Expense],MATCH(E359&amp;"",tbl_Consulting[Job Number],0)),0),0)))</f>
        <v/>
      </c>
      <c r="AE359" s="27">
        <f>IF(E359="","",Y359-N(AD359))</f>
        <v/>
      </c>
      <c r="AF359" s="29">
        <f>IFERROR(AE359/Y359,"")</f>
        <v/>
      </c>
      <c r="AG359" s="25">
        <f>IF(E359="","",IF(H359="Onsite",IFERROR(INDEX(tbl_Onsite[Notes],MATCH(E359&amp;"",tbl_Onsite[Job Number],0)),""),IF(H359="Production",IFERROR(INDEX(tbl_Production[Notes],MATCH(E359&amp;"",tbl_Production[Job Number],0)),""),IF(H359="Consulting",IFERROR(INDEX(tbl_Consulting[Notes],MATCH(E359&amp;"",tbl_Consulting[Job Number],0)),""),""))))</f>
        <v/>
      </c>
    </row>
    <row r="360" ht="15" customHeight="1">
      <c r="A360" s="22" t="n"/>
      <c r="B360" s="23">
        <f>IF(A360="","",EOMONTH(A360,0))</f>
        <v/>
      </c>
      <c r="C360" s="24" t="n"/>
      <c r="D360" s="24" t="n"/>
      <c r="E360" s="24" t="n"/>
      <c r="F360" s="25">
        <f>IF(E360="","",IF(COUNTIF(lst_Jobs,E360&amp;"")&gt;0,"OK","CHECK"))</f>
        <v/>
      </c>
      <c r="G360" s="24" t="n"/>
      <c r="H360" s="24" t="n"/>
      <c r="I360" s="24" t="n"/>
      <c r="J360" s="24" t="n"/>
      <c r="K360" s="24" t="n"/>
      <c r="L360" s="26" t="n"/>
      <c r="M360" s="27">
        <f>IF(L360="","",IF(K360="GST 10%",ROUND(L360*set_GSTRate,2),0))</f>
        <v/>
      </c>
      <c r="N360" s="27">
        <f>IF(L360="","",L360+M360)</f>
        <v/>
      </c>
      <c r="O360" s="24" t="n"/>
      <c r="P360" s="24" t="n"/>
      <c r="Q360" s="24" t="n"/>
      <c r="R360" s="22" t="n"/>
      <c r="S360" s="22" t="n"/>
      <c r="T360" s="24" t="n"/>
      <c r="U360" s="24" t="n"/>
      <c r="V360" s="25">
        <f>IF(COUNTA(A360,D360,C360,L360)=0,"",IF(A360="","No date - sits outside every month",IF(E360="","No job number",IF(F360="CHECK","Job number is not in the Xero job list",IF(I360="","No cost centre",IF(AND(P360="Y",C360=""),"Marked posted to Xero but has no invoice number",IF(AND(L360&lt;&gt;"",K360=""),"No tax code",IF(AND(L360&lt;&gt;"",O360=""),"No revenue GL code",""))))))))</f>
        <v/>
      </c>
      <c r="W360" s="25">
        <f>IF(E360="","",IFERROR(INDEX(lst_JobName,MATCH(E360&amp;"",lst_Jobs,0)),""))</f>
        <v/>
      </c>
      <c r="X360" s="28">
        <f>IF(E360="","",COUNTIFS(tbl_Finance[Job Number],E360&amp;"",tbl_Finance[Ex GST],"&lt;&gt;"))</f>
        <v/>
      </c>
      <c r="Y360" s="27">
        <f>IF(E360="","",SUMIFS(tbl_Finance[Ex GST],tbl_Finance[Job Number],E360&amp;""))</f>
        <v/>
      </c>
      <c r="Z360" s="27">
        <f>IF(E360="","",SUMIFS(tbl_Finance[Ex GST],tbl_Finance[Job Number],E360&amp;"",tbl_Finance[Xero Invoice No],"&lt;&gt;"))</f>
        <v/>
      </c>
      <c r="AA360" s="27">
        <f>IF(E360="","",Y360-Z360)</f>
        <v/>
      </c>
      <c r="AB360" s="25">
        <f>IF(E360="","",IF(H360="Onsite",IFERROR(INDEX(tbl_Onsite[Qwilr Quote],MATCH(E360&amp;"",tbl_Onsite[Job Number],0)),""),IF(H360="Production",IFERROR(INDEX(tbl_Production[Current RMS No],MATCH(E360&amp;"",tbl_Production[Job Number],0)),""),IF(H360="Consulting",IFERROR(INDEX(tbl_Consulting[Qwilr Quote],MATCH(E360&amp;"",tbl_Consulting[Job Number],0)),""),""))))</f>
        <v/>
      </c>
      <c r="AC360" s="25">
        <f>IF(AB360="","",IF(AND(LEFT(AB360,4)&lt;&gt;"http",IF(H360="Production",set_RMSBase,set_QwilrBase)=""),"",HYPERLINK(IF(LEFT(AB360,4)="http",AB360,IF(H360="Production",set_RMSBase,set_QwilrBase)&amp;AB360),"Open")))</f>
        <v/>
      </c>
      <c r="AD360" s="27">
        <f>IF(E360="","",IF(H360="Production",IFERROR(INDEX(tbl_Production[Total Expense],MATCH(E360&amp;"",tbl_Production[Job Number],0)),0),IF(H360="Consulting",IFERROR(INDEX(tbl_Consulting[Total Expense],MATCH(E360&amp;"",tbl_Consulting[Job Number],0)),0),0)))</f>
        <v/>
      </c>
      <c r="AE360" s="27">
        <f>IF(E360="","",Y360-N(AD360))</f>
        <v/>
      </c>
      <c r="AF360" s="29">
        <f>IFERROR(AE360/Y360,"")</f>
        <v/>
      </c>
      <c r="AG360" s="25">
        <f>IF(E360="","",IF(H360="Onsite",IFERROR(INDEX(tbl_Onsite[Notes],MATCH(E360&amp;"",tbl_Onsite[Job Number],0)),""),IF(H360="Production",IFERROR(INDEX(tbl_Production[Notes],MATCH(E360&amp;"",tbl_Production[Job Number],0)),""),IF(H360="Consulting",IFERROR(INDEX(tbl_Consulting[Notes],MATCH(E360&amp;"",tbl_Consulting[Job Number],0)),""),""))))</f>
        <v/>
      </c>
    </row>
    <row r="361" ht="15" customHeight="1">
      <c r="A361" s="22" t="n"/>
      <c r="B361" s="23">
        <f>IF(A361="","",EOMONTH(A361,0))</f>
        <v/>
      </c>
      <c r="C361" s="24" t="n"/>
      <c r="D361" s="24" t="n"/>
      <c r="E361" s="24" t="n"/>
      <c r="F361" s="25">
        <f>IF(E361="","",IF(COUNTIF(lst_Jobs,E361&amp;"")&gt;0,"OK","CHECK"))</f>
        <v/>
      </c>
      <c r="G361" s="24" t="n"/>
      <c r="H361" s="24" t="n"/>
      <c r="I361" s="24" t="n"/>
      <c r="J361" s="24" t="n"/>
      <c r="K361" s="24" t="n"/>
      <c r="L361" s="26" t="n"/>
      <c r="M361" s="27">
        <f>IF(L361="","",IF(K361="GST 10%",ROUND(L361*set_GSTRate,2),0))</f>
        <v/>
      </c>
      <c r="N361" s="27">
        <f>IF(L361="","",L361+M361)</f>
        <v/>
      </c>
      <c r="O361" s="24" t="n"/>
      <c r="P361" s="24" t="n"/>
      <c r="Q361" s="24" t="n"/>
      <c r="R361" s="22" t="n"/>
      <c r="S361" s="22" t="n"/>
      <c r="T361" s="24" t="n"/>
      <c r="U361" s="24" t="n"/>
      <c r="V361" s="25">
        <f>IF(COUNTA(A361,D361,C361,L361)=0,"",IF(A361="","No date - sits outside every month",IF(E361="","No job number",IF(F361="CHECK","Job number is not in the Xero job list",IF(I361="","No cost centre",IF(AND(P361="Y",C361=""),"Marked posted to Xero but has no invoice number",IF(AND(L361&lt;&gt;"",K361=""),"No tax code",IF(AND(L361&lt;&gt;"",O361=""),"No revenue GL code",""))))))))</f>
        <v/>
      </c>
      <c r="W361" s="25">
        <f>IF(E361="","",IFERROR(INDEX(lst_JobName,MATCH(E361&amp;"",lst_Jobs,0)),""))</f>
        <v/>
      </c>
      <c r="X361" s="28">
        <f>IF(E361="","",COUNTIFS(tbl_Finance[Job Number],E361&amp;"",tbl_Finance[Ex GST],"&lt;&gt;"))</f>
        <v/>
      </c>
      <c r="Y361" s="27">
        <f>IF(E361="","",SUMIFS(tbl_Finance[Ex GST],tbl_Finance[Job Number],E361&amp;""))</f>
        <v/>
      </c>
      <c r="Z361" s="27">
        <f>IF(E361="","",SUMIFS(tbl_Finance[Ex GST],tbl_Finance[Job Number],E361&amp;"",tbl_Finance[Xero Invoice No],"&lt;&gt;"))</f>
        <v/>
      </c>
      <c r="AA361" s="27">
        <f>IF(E361="","",Y361-Z361)</f>
        <v/>
      </c>
      <c r="AB361" s="25">
        <f>IF(E361="","",IF(H361="Onsite",IFERROR(INDEX(tbl_Onsite[Qwilr Quote],MATCH(E361&amp;"",tbl_Onsite[Job Number],0)),""),IF(H361="Production",IFERROR(INDEX(tbl_Production[Current RMS No],MATCH(E361&amp;"",tbl_Production[Job Number],0)),""),IF(H361="Consulting",IFERROR(INDEX(tbl_Consulting[Qwilr Quote],MATCH(E361&amp;"",tbl_Consulting[Job Number],0)),""),""))))</f>
        <v/>
      </c>
      <c r="AC361" s="25">
        <f>IF(AB361="","",IF(AND(LEFT(AB361,4)&lt;&gt;"http",IF(H361="Production",set_RMSBase,set_QwilrBase)=""),"",HYPERLINK(IF(LEFT(AB361,4)="http",AB361,IF(H361="Production",set_RMSBase,set_QwilrBase)&amp;AB361),"Open")))</f>
        <v/>
      </c>
      <c r="AD361" s="27">
        <f>IF(E361="","",IF(H361="Production",IFERROR(INDEX(tbl_Production[Total Expense],MATCH(E361&amp;"",tbl_Production[Job Number],0)),0),IF(H361="Consulting",IFERROR(INDEX(tbl_Consulting[Total Expense],MATCH(E361&amp;"",tbl_Consulting[Job Number],0)),0),0)))</f>
        <v/>
      </c>
      <c r="AE361" s="27">
        <f>IF(E361="","",Y361-N(AD361))</f>
        <v/>
      </c>
      <c r="AF361" s="29">
        <f>IFERROR(AE361/Y361,"")</f>
        <v/>
      </c>
      <c r="AG361" s="25">
        <f>IF(E361="","",IF(H361="Onsite",IFERROR(INDEX(tbl_Onsite[Notes],MATCH(E361&amp;"",tbl_Onsite[Job Number],0)),""),IF(H361="Production",IFERROR(INDEX(tbl_Production[Notes],MATCH(E361&amp;"",tbl_Production[Job Number],0)),""),IF(H361="Consulting",IFERROR(INDEX(tbl_Consulting[Notes],MATCH(E361&amp;"",tbl_Consulting[Job Number],0)),""),""))))</f>
        <v/>
      </c>
    </row>
    <row r="362" ht="15" customHeight="1">
      <c r="A362" s="22" t="n"/>
      <c r="B362" s="23">
        <f>IF(A362="","",EOMONTH(A362,0))</f>
        <v/>
      </c>
      <c r="C362" s="24" t="n"/>
      <c r="D362" s="24" t="n"/>
      <c r="E362" s="24" t="n"/>
      <c r="F362" s="25">
        <f>IF(E362="","",IF(COUNTIF(lst_Jobs,E362&amp;"")&gt;0,"OK","CHECK"))</f>
        <v/>
      </c>
      <c r="G362" s="24" t="n"/>
      <c r="H362" s="24" t="n"/>
      <c r="I362" s="24" t="n"/>
      <c r="J362" s="24" t="n"/>
      <c r="K362" s="24" t="n"/>
      <c r="L362" s="26" t="n"/>
      <c r="M362" s="27">
        <f>IF(L362="","",IF(K362="GST 10%",ROUND(L362*set_GSTRate,2),0))</f>
        <v/>
      </c>
      <c r="N362" s="27">
        <f>IF(L362="","",L362+M362)</f>
        <v/>
      </c>
      <c r="O362" s="24" t="n"/>
      <c r="P362" s="24" t="n"/>
      <c r="Q362" s="24" t="n"/>
      <c r="R362" s="22" t="n"/>
      <c r="S362" s="22" t="n"/>
      <c r="T362" s="24" t="n"/>
      <c r="U362" s="24" t="n"/>
      <c r="V362" s="25">
        <f>IF(COUNTA(A362,D362,C362,L362)=0,"",IF(A362="","No date - sits outside every month",IF(E362="","No job number",IF(F362="CHECK","Job number is not in the Xero job list",IF(I362="","No cost centre",IF(AND(P362="Y",C362=""),"Marked posted to Xero but has no invoice number",IF(AND(L362&lt;&gt;"",K362=""),"No tax code",IF(AND(L362&lt;&gt;"",O362=""),"No revenue GL code",""))))))))</f>
        <v/>
      </c>
      <c r="W362" s="25">
        <f>IF(E362="","",IFERROR(INDEX(lst_JobName,MATCH(E362&amp;"",lst_Jobs,0)),""))</f>
        <v/>
      </c>
      <c r="X362" s="28">
        <f>IF(E362="","",COUNTIFS(tbl_Finance[Job Number],E362&amp;"",tbl_Finance[Ex GST],"&lt;&gt;"))</f>
        <v/>
      </c>
      <c r="Y362" s="27">
        <f>IF(E362="","",SUMIFS(tbl_Finance[Ex GST],tbl_Finance[Job Number],E362&amp;""))</f>
        <v/>
      </c>
      <c r="Z362" s="27">
        <f>IF(E362="","",SUMIFS(tbl_Finance[Ex GST],tbl_Finance[Job Number],E362&amp;"",tbl_Finance[Xero Invoice No],"&lt;&gt;"))</f>
        <v/>
      </c>
      <c r="AA362" s="27">
        <f>IF(E362="","",Y362-Z362)</f>
        <v/>
      </c>
      <c r="AB362" s="25">
        <f>IF(E362="","",IF(H362="Onsite",IFERROR(INDEX(tbl_Onsite[Qwilr Quote],MATCH(E362&amp;"",tbl_Onsite[Job Number],0)),""),IF(H362="Production",IFERROR(INDEX(tbl_Production[Current RMS No],MATCH(E362&amp;"",tbl_Production[Job Number],0)),""),IF(H362="Consulting",IFERROR(INDEX(tbl_Consulting[Qwilr Quote],MATCH(E362&amp;"",tbl_Consulting[Job Number],0)),""),""))))</f>
        <v/>
      </c>
      <c r="AC362" s="25">
        <f>IF(AB362="","",IF(AND(LEFT(AB362,4)&lt;&gt;"http",IF(H362="Production",set_RMSBase,set_QwilrBase)=""),"",HYPERLINK(IF(LEFT(AB362,4)="http",AB362,IF(H362="Production",set_RMSBase,set_QwilrBase)&amp;AB362),"Open")))</f>
        <v/>
      </c>
      <c r="AD362" s="27">
        <f>IF(E362="","",IF(H362="Production",IFERROR(INDEX(tbl_Production[Total Expense],MATCH(E362&amp;"",tbl_Production[Job Number],0)),0),IF(H362="Consulting",IFERROR(INDEX(tbl_Consulting[Total Expense],MATCH(E362&amp;"",tbl_Consulting[Job Number],0)),0),0)))</f>
        <v/>
      </c>
      <c r="AE362" s="27">
        <f>IF(E362="","",Y362-N(AD362))</f>
        <v/>
      </c>
      <c r="AF362" s="29">
        <f>IFERROR(AE362/Y362,"")</f>
        <v/>
      </c>
      <c r="AG362" s="25">
        <f>IF(E362="","",IF(H362="Onsite",IFERROR(INDEX(tbl_Onsite[Notes],MATCH(E362&amp;"",tbl_Onsite[Job Number],0)),""),IF(H362="Production",IFERROR(INDEX(tbl_Production[Notes],MATCH(E362&amp;"",tbl_Production[Job Number],0)),""),IF(H362="Consulting",IFERROR(INDEX(tbl_Consulting[Notes],MATCH(E362&amp;"",tbl_Consulting[Job Number],0)),""),""))))</f>
        <v/>
      </c>
    </row>
    <row r="363" ht="15" customHeight="1">
      <c r="A363" s="22" t="n"/>
      <c r="B363" s="23">
        <f>IF(A363="","",EOMONTH(A363,0))</f>
        <v/>
      </c>
      <c r="C363" s="24" t="n"/>
      <c r="D363" s="24" t="n"/>
      <c r="E363" s="24" t="n"/>
      <c r="F363" s="25">
        <f>IF(E363="","",IF(COUNTIF(lst_Jobs,E363&amp;"")&gt;0,"OK","CHECK"))</f>
        <v/>
      </c>
      <c r="G363" s="24" t="n"/>
      <c r="H363" s="24" t="n"/>
      <c r="I363" s="24" t="n"/>
      <c r="J363" s="24" t="n"/>
      <c r="K363" s="24" t="n"/>
      <c r="L363" s="26" t="n"/>
      <c r="M363" s="27">
        <f>IF(L363="","",IF(K363="GST 10%",ROUND(L363*set_GSTRate,2),0))</f>
        <v/>
      </c>
      <c r="N363" s="27">
        <f>IF(L363="","",L363+M363)</f>
        <v/>
      </c>
      <c r="O363" s="24" t="n"/>
      <c r="P363" s="24" t="n"/>
      <c r="Q363" s="24" t="n"/>
      <c r="R363" s="22" t="n"/>
      <c r="S363" s="22" t="n"/>
      <c r="T363" s="24" t="n"/>
      <c r="U363" s="24" t="n"/>
      <c r="V363" s="25">
        <f>IF(COUNTA(A363,D363,C363,L363)=0,"",IF(A363="","No date - sits outside every month",IF(E363="","No job number",IF(F363="CHECK","Job number is not in the Xero job list",IF(I363="","No cost centre",IF(AND(P363="Y",C363=""),"Marked posted to Xero but has no invoice number",IF(AND(L363&lt;&gt;"",K363=""),"No tax code",IF(AND(L363&lt;&gt;"",O363=""),"No revenue GL code",""))))))))</f>
        <v/>
      </c>
      <c r="W363" s="25">
        <f>IF(E363="","",IFERROR(INDEX(lst_JobName,MATCH(E363&amp;"",lst_Jobs,0)),""))</f>
        <v/>
      </c>
      <c r="X363" s="28">
        <f>IF(E363="","",COUNTIFS(tbl_Finance[Job Number],E363&amp;"",tbl_Finance[Ex GST],"&lt;&gt;"))</f>
        <v/>
      </c>
      <c r="Y363" s="27">
        <f>IF(E363="","",SUMIFS(tbl_Finance[Ex GST],tbl_Finance[Job Number],E363&amp;""))</f>
        <v/>
      </c>
      <c r="Z363" s="27">
        <f>IF(E363="","",SUMIFS(tbl_Finance[Ex GST],tbl_Finance[Job Number],E363&amp;"",tbl_Finance[Xero Invoice No],"&lt;&gt;"))</f>
        <v/>
      </c>
      <c r="AA363" s="27">
        <f>IF(E363="","",Y363-Z363)</f>
        <v/>
      </c>
      <c r="AB363" s="25">
        <f>IF(E363="","",IF(H363="Onsite",IFERROR(INDEX(tbl_Onsite[Qwilr Quote],MATCH(E363&amp;"",tbl_Onsite[Job Number],0)),""),IF(H363="Production",IFERROR(INDEX(tbl_Production[Current RMS No],MATCH(E363&amp;"",tbl_Production[Job Number],0)),""),IF(H363="Consulting",IFERROR(INDEX(tbl_Consulting[Qwilr Quote],MATCH(E363&amp;"",tbl_Consulting[Job Number],0)),""),""))))</f>
        <v/>
      </c>
      <c r="AC363" s="25">
        <f>IF(AB363="","",IF(AND(LEFT(AB363,4)&lt;&gt;"http",IF(H363="Production",set_RMSBase,set_QwilrBase)=""),"",HYPERLINK(IF(LEFT(AB363,4)="http",AB363,IF(H363="Production",set_RMSBase,set_QwilrBase)&amp;AB363),"Open")))</f>
        <v/>
      </c>
      <c r="AD363" s="27">
        <f>IF(E363="","",IF(H363="Production",IFERROR(INDEX(tbl_Production[Total Expense],MATCH(E363&amp;"",tbl_Production[Job Number],0)),0),IF(H363="Consulting",IFERROR(INDEX(tbl_Consulting[Total Expense],MATCH(E363&amp;"",tbl_Consulting[Job Number],0)),0),0)))</f>
        <v/>
      </c>
      <c r="AE363" s="27">
        <f>IF(E363="","",Y363-N(AD363))</f>
        <v/>
      </c>
      <c r="AF363" s="29">
        <f>IFERROR(AE363/Y363,"")</f>
        <v/>
      </c>
      <c r="AG363" s="25">
        <f>IF(E363="","",IF(H363="Onsite",IFERROR(INDEX(tbl_Onsite[Notes],MATCH(E363&amp;"",tbl_Onsite[Job Number],0)),""),IF(H363="Production",IFERROR(INDEX(tbl_Production[Notes],MATCH(E363&amp;"",tbl_Production[Job Number],0)),""),IF(H363="Consulting",IFERROR(INDEX(tbl_Consulting[Notes],MATCH(E363&amp;"",tbl_Consulting[Job Number],0)),""),""))))</f>
        <v/>
      </c>
    </row>
    <row r="364" ht="15" customHeight="1">
      <c r="A364" s="22" t="n"/>
      <c r="B364" s="23">
        <f>IF(A364="","",EOMONTH(A364,0))</f>
        <v/>
      </c>
      <c r="C364" s="24" t="n"/>
      <c r="D364" s="24" t="n"/>
      <c r="E364" s="24" t="n"/>
      <c r="F364" s="25">
        <f>IF(E364="","",IF(COUNTIF(lst_Jobs,E364&amp;"")&gt;0,"OK","CHECK"))</f>
        <v/>
      </c>
      <c r="G364" s="24" t="n"/>
      <c r="H364" s="24" t="n"/>
      <c r="I364" s="24" t="n"/>
      <c r="J364" s="24" t="n"/>
      <c r="K364" s="24" t="n"/>
      <c r="L364" s="26" t="n"/>
      <c r="M364" s="27">
        <f>IF(L364="","",IF(K364="GST 10%",ROUND(L364*set_GSTRate,2),0))</f>
        <v/>
      </c>
      <c r="N364" s="27">
        <f>IF(L364="","",L364+M364)</f>
        <v/>
      </c>
      <c r="O364" s="24" t="n"/>
      <c r="P364" s="24" t="n"/>
      <c r="Q364" s="24" t="n"/>
      <c r="R364" s="22" t="n"/>
      <c r="S364" s="22" t="n"/>
      <c r="T364" s="24" t="n"/>
      <c r="U364" s="24" t="n"/>
      <c r="V364" s="25">
        <f>IF(COUNTA(A364,D364,C364,L364)=0,"",IF(A364="","No date - sits outside every month",IF(E364="","No job number",IF(F364="CHECK","Job number is not in the Xero job list",IF(I364="","No cost centre",IF(AND(P364="Y",C364=""),"Marked posted to Xero but has no invoice number",IF(AND(L364&lt;&gt;"",K364=""),"No tax code",IF(AND(L364&lt;&gt;"",O364=""),"No revenue GL code",""))))))))</f>
        <v/>
      </c>
      <c r="W364" s="25">
        <f>IF(E364="","",IFERROR(INDEX(lst_JobName,MATCH(E364&amp;"",lst_Jobs,0)),""))</f>
        <v/>
      </c>
      <c r="X364" s="28">
        <f>IF(E364="","",COUNTIFS(tbl_Finance[Job Number],E364&amp;"",tbl_Finance[Ex GST],"&lt;&gt;"))</f>
        <v/>
      </c>
      <c r="Y364" s="27">
        <f>IF(E364="","",SUMIFS(tbl_Finance[Ex GST],tbl_Finance[Job Number],E364&amp;""))</f>
        <v/>
      </c>
      <c r="Z364" s="27">
        <f>IF(E364="","",SUMIFS(tbl_Finance[Ex GST],tbl_Finance[Job Number],E364&amp;"",tbl_Finance[Xero Invoice No],"&lt;&gt;"))</f>
        <v/>
      </c>
      <c r="AA364" s="27">
        <f>IF(E364="","",Y364-Z364)</f>
        <v/>
      </c>
      <c r="AB364" s="25">
        <f>IF(E364="","",IF(H364="Onsite",IFERROR(INDEX(tbl_Onsite[Qwilr Quote],MATCH(E364&amp;"",tbl_Onsite[Job Number],0)),""),IF(H364="Production",IFERROR(INDEX(tbl_Production[Current RMS No],MATCH(E364&amp;"",tbl_Production[Job Number],0)),""),IF(H364="Consulting",IFERROR(INDEX(tbl_Consulting[Qwilr Quote],MATCH(E364&amp;"",tbl_Consulting[Job Number],0)),""),""))))</f>
        <v/>
      </c>
      <c r="AC364" s="25">
        <f>IF(AB364="","",IF(AND(LEFT(AB364,4)&lt;&gt;"http",IF(H364="Production",set_RMSBase,set_QwilrBase)=""),"",HYPERLINK(IF(LEFT(AB364,4)="http",AB364,IF(H364="Production",set_RMSBase,set_QwilrBase)&amp;AB364),"Open")))</f>
        <v/>
      </c>
      <c r="AD364" s="27">
        <f>IF(E364="","",IF(H364="Production",IFERROR(INDEX(tbl_Production[Total Expense],MATCH(E364&amp;"",tbl_Production[Job Number],0)),0),IF(H364="Consulting",IFERROR(INDEX(tbl_Consulting[Total Expense],MATCH(E364&amp;"",tbl_Consulting[Job Number],0)),0),0)))</f>
        <v/>
      </c>
      <c r="AE364" s="27">
        <f>IF(E364="","",Y364-N(AD364))</f>
        <v/>
      </c>
      <c r="AF364" s="29">
        <f>IFERROR(AE364/Y364,"")</f>
        <v/>
      </c>
      <c r="AG364" s="25">
        <f>IF(E364="","",IF(H364="Onsite",IFERROR(INDEX(tbl_Onsite[Notes],MATCH(E364&amp;"",tbl_Onsite[Job Number],0)),""),IF(H364="Production",IFERROR(INDEX(tbl_Production[Notes],MATCH(E364&amp;"",tbl_Production[Job Number],0)),""),IF(H364="Consulting",IFERROR(INDEX(tbl_Consulting[Notes],MATCH(E364&amp;"",tbl_Consulting[Job Number],0)),""),""))))</f>
        <v/>
      </c>
    </row>
    <row r="365" ht="15" customHeight="1">
      <c r="A365" s="22" t="n"/>
      <c r="B365" s="23">
        <f>IF(A365="","",EOMONTH(A365,0))</f>
        <v/>
      </c>
      <c r="C365" s="24" t="n"/>
      <c r="D365" s="24" t="n"/>
      <c r="E365" s="24" t="n"/>
      <c r="F365" s="25">
        <f>IF(E365="","",IF(COUNTIF(lst_Jobs,E365&amp;"")&gt;0,"OK","CHECK"))</f>
        <v/>
      </c>
      <c r="G365" s="24" t="n"/>
      <c r="H365" s="24" t="n"/>
      <c r="I365" s="24" t="n"/>
      <c r="J365" s="24" t="n"/>
      <c r="K365" s="24" t="n"/>
      <c r="L365" s="26" t="n"/>
      <c r="M365" s="27">
        <f>IF(L365="","",IF(K365="GST 10%",ROUND(L365*set_GSTRate,2),0))</f>
        <v/>
      </c>
      <c r="N365" s="27">
        <f>IF(L365="","",L365+M365)</f>
        <v/>
      </c>
      <c r="O365" s="24" t="n"/>
      <c r="P365" s="24" t="n"/>
      <c r="Q365" s="24" t="n"/>
      <c r="R365" s="22" t="n"/>
      <c r="S365" s="22" t="n"/>
      <c r="T365" s="24" t="n"/>
      <c r="U365" s="24" t="n"/>
      <c r="V365" s="25">
        <f>IF(COUNTA(A365,D365,C365,L365)=0,"",IF(A365="","No date - sits outside every month",IF(E365="","No job number",IF(F365="CHECK","Job number is not in the Xero job list",IF(I365="","No cost centre",IF(AND(P365="Y",C365=""),"Marked posted to Xero but has no invoice number",IF(AND(L365&lt;&gt;"",K365=""),"No tax code",IF(AND(L365&lt;&gt;"",O365=""),"No revenue GL code",""))))))))</f>
        <v/>
      </c>
      <c r="W365" s="25">
        <f>IF(E365="","",IFERROR(INDEX(lst_JobName,MATCH(E365&amp;"",lst_Jobs,0)),""))</f>
        <v/>
      </c>
      <c r="X365" s="28">
        <f>IF(E365="","",COUNTIFS(tbl_Finance[Job Number],E365&amp;"",tbl_Finance[Ex GST],"&lt;&gt;"))</f>
        <v/>
      </c>
      <c r="Y365" s="27">
        <f>IF(E365="","",SUMIFS(tbl_Finance[Ex GST],tbl_Finance[Job Number],E365&amp;""))</f>
        <v/>
      </c>
      <c r="Z365" s="27">
        <f>IF(E365="","",SUMIFS(tbl_Finance[Ex GST],tbl_Finance[Job Number],E365&amp;"",tbl_Finance[Xero Invoice No],"&lt;&gt;"))</f>
        <v/>
      </c>
      <c r="AA365" s="27">
        <f>IF(E365="","",Y365-Z365)</f>
        <v/>
      </c>
      <c r="AB365" s="25">
        <f>IF(E365="","",IF(H365="Onsite",IFERROR(INDEX(tbl_Onsite[Qwilr Quote],MATCH(E365&amp;"",tbl_Onsite[Job Number],0)),""),IF(H365="Production",IFERROR(INDEX(tbl_Production[Current RMS No],MATCH(E365&amp;"",tbl_Production[Job Number],0)),""),IF(H365="Consulting",IFERROR(INDEX(tbl_Consulting[Qwilr Quote],MATCH(E365&amp;"",tbl_Consulting[Job Number],0)),""),""))))</f>
        <v/>
      </c>
      <c r="AC365" s="25">
        <f>IF(AB365="","",IF(AND(LEFT(AB365,4)&lt;&gt;"http",IF(H365="Production",set_RMSBase,set_QwilrBase)=""),"",HYPERLINK(IF(LEFT(AB365,4)="http",AB365,IF(H365="Production",set_RMSBase,set_QwilrBase)&amp;AB365),"Open")))</f>
        <v/>
      </c>
      <c r="AD365" s="27">
        <f>IF(E365="","",IF(H365="Production",IFERROR(INDEX(tbl_Production[Total Expense],MATCH(E365&amp;"",tbl_Production[Job Number],0)),0),IF(H365="Consulting",IFERROR(INDEX(tbl_Consulting[Total Expense],MATCH(E365&amp;"",tbl_Consulting[Job Number],0)),0),0)))</f>
        <v/>
      </c>
      <c r="AE365" s="27">
        <f>IF(E365="","",Y365-N(AD365))</f>
        <v/>
      </c>
      <c r="AF365" s="29">
        <f>IFERROR(AE365/Y365,"")</f>
        <v/>
      </c>
      <c r="AG365" s="25">
        <f>IF(E365="","",IF(H365="Onsite",IFERROR(INDEX(tbl_Onsite[Notes],MATCH(E365&amp;"",tbl_Onsite[Job Number],0)),""),IF(H365="Production",IFERROR(INDEX(tbl_Production[Notes],MATCH(E365&amp;"",tbl_Production[Job Number],0)),""),IF(H365="Consulting",IFERROR(INDEX(tbl_Consulting[Notes],MATCH(E365&amp;"",tbl_Consulting[Job Number],0)),""),""))))</f>
        <v/>
      </c>
    </row>
    <row r="366" ht="15" customHeight="1">
      <c r="A366" s="22" t="n"/>
      <c r="B366" s="23">
        <f>IF(A366="","",EOMONTH(A366,0))</f>
        <v/>
      </c>
      <c r="C366" s="24" t="n"/>
      <c r="D366" s="24" t="n"/>
      <c r="E366" s="24" t="n"/>
      <c r="F366" s="25">
        <f>IF(E366="","",IF(COUNTIF(lst_Jobs,E366&amp;"")&gt;0,"OK","CHECK"))</f>
        <v/>
      </c>
      <c r="G366" s="24" t="n"/>
      <c r="H366" s="24" t="n"/>
      <c r="I366" s="24" t="n"/>
      <c r="J366" s="24" t="n"/>
      <c r="K366" s="24" t="n"/>
      <c r="L366" s="26" t="n"/>
      <c r="M366" s="27">
        <f>IF(L366="","",IF(K366="GST 10%",ROUND(L366*set_GSTRate,2),0))</f>
        <v/>
      </c>
      <c r="N366" s="27">
        <f>IF(L366="","",L366+M366)</f>
        <v/>
      </c>
      <c r="O366" s="24" t="n"/>
      <c r="P366" s="24" t="n"/>
      <c r="Q366" s="24" t="n"/>
      <c r="R366" s="22" t="n"/>
      <c r="S366" s="22" t="n"/>
      <c r="T366" s="24" t="n"/>
      <c r="U366" s="24" t="n"/>
      <c r="V366" s="25">
        <f>IF(COUNTA(A366,D366,C366,L366)=0,"",IF(A366="","No date - sits outside every month",IF(E366="","No job number",IF(F366="CHECK","Job number is not in the Xero job list",IF(I366="","No cost centre",IF(AND(P366="Y",C366=""),"Marked posted to Xero but has no invoice number",IF(AND(L366&lt;&gt;"",K366=""),"No tax code",IF(AND(L366&lt;&gt;"",O366=""),"No revenue GL code",""))))))))</f>
        <v/>
      </c>
      <c r="W366" s="25">
        <f>IF(E366="","",IFERROR(INDEX(lst_JobName,MATCH(E366&amp;"",lst_Jobs,0)),""))</f>
        <v/>
      </c>
      <c r="X366" s="28">
        <f>IF(E366="","",COUNTIFS(tbl_Finance[Job Number],E366&amp;"",tbl_Finance[Ex GST],"&lt;&gt;"))</f>
        <v/>
      </c>
      <c r="Y366" s="27">
        <f>IF(E366="","",SUMIFS(tbl_Finance[Ex GST],tbl_Finance[Job Number],E366&amp;""))</f>
        <v/>
      </c>
      <c r="Z366" s="27">
        <f>IF(E366="","",SUMIFS(tbl_Finance[Ex GST],tbl_Finance[Job Number],E366&amp;"",tbl_Finance[Xero Invoice No],"&lt;&gt;"))</f>
        <v/>
      </c>
      <c r="AA366" s="27">
        <f>IF(E366="","",Y366-Z366)</f>
        <v/>
      </c>
      <c r="AB366" s="25">
        <f>IF(E366="","",IF(H366="Onsite",IFERROR(INDEX(tbl_Onsite[Qwilr Quote],MATCH(E366&amp;"",tbl_Onsite[Job Number],0)),""),IF(H366="Production",IFERROR(INDEX(tbl_Production[Current RMS No],MATCH(E366&amp;"",tbl_Production[Job Number],0)),""),IF(H366="Consulting",IFERROR(INDEX(tbl_Consulting[Qwilr Quote],MATCH(E366&amp;"",tbl_Consulting[Job Number],0)),""),""))))</f>
        <v/>
      </c>
      <c r="AC366" s="25">
        <f>IF(AB366="","",IF(AND(LEFT(AB366,4)&lt;&gt;"http",IF(H366="Production",set_RMSBase,set_QwilrBase)=""),"",HYPERLINK(IF(LEFT(AB366,4)="http",AB366,IF(H366="Production",set_RMSBase,set_QwilrBase)&amp;AB366),"Open")))</f>
        <v/>
      </c>
      <c r="AD366" s="27">
        <f>IF(E366="","",IF(H366="Production",IFERROR(INDEX(tbl_Production[Total Expense],MATCH(E366&amp;"",tbl_Production[Job Number],0)),0),IF(H366="Consulting",IFERROR(INDEX(tbl_Consulting[Total Expense],MATCH(E366&amp;"",tbl_Consulting[Job Number],0)),0),0)))</f>
        <v/>
      </c>
      <c r="AE366" s="27">
        <f>IF(E366="","",Y366-N(AD366))</f>
        <v/>
      </c>
      <c r="AF366" s="29">
        <f>IFERROR(AE366/Y366,"")</f>
        <v/>
      </c>
      <c r="AG366" s="25">
        <f>IF(E366="","",IF(H366="Onsite",IFERROR(INDEX(tbl_Onsite[Notes],MATCH(E366&amp;"",tbl_Onsite[Job Number],0)),""),IF(H366="Production",IFERROR(INDEX(tbl_Production[Notes],MATCH(E366&amp;"",tbl_Production[Job Number],0)),""),IF(H366="Consulting",IFERROR(INDEX(tbl_Consulting[Notes],MATCH(E366&amp;"",tbl_Consulting[Job Number],0)),""),""))))</f>
        <v/>
      </c>
    </row>
    <row r="367" ht="15" customHeight="1">
      <c r="A367" s="22" t="n"/>
      <c r="B367" s="23">
        <f>IF(A367="","",EOMONTH(A367,0))</f>
        <v/>
      </c>
      <c r="C367" s="24" t="n"/>
      <c r="D367" s="24" t="n"/>
      <c r="E367" s="24" t="n"/>
      <c r="F367" s="25">
        <f>IF(E367="","",IF(COUNTIF(lst_Jobs,E367&amp;"")&gt;0,"OK","CHECK"))</f>
        <v/>
      </c>
      <c r="G367" s="24" t="n"/>
      <c r="H367" s="24" t="n"/>
      <c r="I367" s="24" t="n"/>
      <c r="J367" s="24" t="n"/>
      <c r="K367" s="24" t="n"/>
      <c r="L367" s="26" t="n"/>
      <c r="M367" s="27">
        <f>IF(L367="","",IF(K367="GST 10%",ROUND(L367*set_GSTRate,2),0))</f>
        <v/>
      </c>
      <c r="N367" s="27">
        <f>IF(L367="","",L367+M367)</f>
        <v/>
      </c>
      <c r="O367" s="24" t="n"/>
      <c r="P367" s="24" t="n"/>
      <c r="Q367" s="24" t="n"/>
      <c r="R367" s="22" t="n"/>
      <c r="S367" s="22" t="n"/>
      <c r="T367" s="24" t="n"/>
      <c r="U367" s="24" t="n"/>
      <c r="V367" s="25">
        <f>IF(COUNTA(A367,D367,C367,L367)=0,"",IF(A367="","No date - sits outside every month",IF(E367="","No job number",IF(F367="CHECK","Job number is not in the Xero job list",IF(I367="","No cost centre",IF(AND(P367="Y",C367=""),"Marked posted to Xero but has no invoice number",IF(AND(L367&lt;&gt;"",K367=""),"No tax code",IF(AND(L367&lt;&gt;"",O367=""),"No revenue GL code",""))))))))</f>
        <v/>
      </c>
      <c r="W367" s="25">
        <f>IF(E367="","",IFERROR(INDEX(lst_JobName,MATCH(E367&amp;"",lst_Jobs,0)),""))</f>
        <v/>
      </c>
      <c r="X367" s="28">
        <f>IF(E367="","",COUNTIFS(tbl_Finance[Job Number],E367&amp;"",tbl_Finance[Ex GST],"&lt;&gt;"))</f>
        <v/>
      </c>
      <c r="Y367" s="27">
        <f>IF(E367="","",SUMIFS(tbl_Finance[Ex GST],tbl_Finance[Job Number],E367&amp;""))</f>
        <v/>
      </c>
      <c r="Z367" s="27">
        <f>IF(E367="","",SUMIFS(tbl_Finance[Ex GST],tbl_Finance[Job Number],E367&amp;"",tbl_Finance[Xero Invoice No],"&lt;&gt;"))</f>
        <v/>
      </c>
      <c r="AA367" s="27">
        <f>IF(E367="","",Y367-Z367)</f>
        <v/>
      </c>
      <c r="AB367" s="25">
        <f>IF(E367="","",IF(H367="Onsite",IFERROR(INDEX(tbl_Onsite[Qwilr Quote],MATCH(E367&amp;"",tbl_Onsite[Job Number],0)),""),IF(H367="Production",IFERROR(INDEX(tbl_Production[Current RMS No],MATCH(E367&amp;"",tbl_Production[Job Number],0)),""),IF(H367="Consulting",IFERROR(INDEX(tbl_Consulting[Qwilr Quote],MATCH(E367&amp;"",tbl_Consulting[Job Number],0)),""),""))))</f>
        <v/>
      </c>
      <c r="AC367" s="25">
        <f>IF(AB367="","",IF(AND(LEFT(AB367,4)&lt;&gt;"http",IF(H367="Production",set_RMSBase,set_QwilrBase)=""),"",HYPERLINK(IF(LEFT(AB367,4)="http",AB367,IF(H367="Production",set_RMSBase,set_QwilrBase)&amp;AB367),"Open")))</f>
        <v/>
      </c>
      <c r="AD367" s="27">
        <f>IF(E367="","",IF(H367="Production",IFERROR(INDEX(tbl_Production[Total Expense],MATCH(E367&amp;"",tbl_Production[Job Number],0)),0),IF(H367="Consulting",IFERROR(INDEX(tbl_Consulting[Total Expense],MATCH(E367&amp;"",tbl_Consulting[Job Number],0)),0),0)))</f>
        <v/>
      </c>
      <c r="AE367" s="27">
        <f>IF(E367="","",Y367-N(AD367))</f>
        <v/>
      </c>
      <c r="AF367" s="29">
        <f>IFERROR(AE367/Y367,"")</f>
        <v/>
      </c>
      <c r="AG367" s="25">
        <f>IF(E367="","",IF(H367="Onsite",IFERROR(INDEX(tbl_Onsite[Notes],MATCH(E367&amp;"",tbl_Onsite[Job Number],0)),""),IF(H367="Production",IFERROR(INDEX(tbl_Production[Notes],MATCH(E367&amp;"",tbl_Production[Job Number],0)),""),IF(H367="Consulting",IFERROR(INDEX(tbl_Consulting[Notes],MATCH(E367&amp;"",tbl_Consulting[Job Number],0)),""),""))))</f>
        <v/>
      </c>
    </row>
    <row r="368" ht="15" customHeight="1">
      <c r="A368" s="22" t="n"/>
      <c r="B368" s="23">
        <f>IF(A368="","",EOMONTH(A368,0))</f>
        <v/>
      </c>
      <c r="C368" s="24" t="n"/>
      <c r="D368" s="24" t="n"/>
      <c r="E368" s="24" t="n"/>
      <c r="F368" s="25">
        <f>IF(E368="","",IF(COUNTIF(lst_Jobs,E368&amp;"")&gt;0,"OK","CHECK"))</f>
        <v/>
      </c>
      <c r="G368" s="24" t="n"/>
      <c r="H368" s="24" t="n"/>
      <c r="I368" s="24" t="n"/>
      <c r="J368" s="24" t="n"/>
      <c r="K368" s="24" t="n"/>
      <c r="L368" s="26" t="n"/>
      <c r="M368" s="27">
        <f>IF(L368="","",IF(K368="GST 10%",ROUND(L368*set_GSTRate,2),0))</f>
        <v/>
      </c>
      <c r="N368" s="27">
        <f>IF(L368="","",L368+M368)</f>
        <v/>
      </c>
      <c r="O368" s="24" t="n"/>
      <c r="P368" s="24" t="n"/>
      <c r="Q368" s="24" t="n"/>
      <c r="R368" s="22" t="n"/>
      <c r="S368" s="22" t="n"/>
      <c r="T368" s="24" t="n"/>
      <c r="U368" s="24" t="n"/>
      <c r="V368" s="25">
        <f>IF(COUNTA(A368,D368,C368,L368)=0,"",IF(A368="","No date - sits outside every month",IF(E368="","No job number",IF(F368="CHECK","Job number is not in the Xero job list",IF(I368="","No cost centre",IF(AND(P368="Y",C368=""),"Marked posted to Xero but has no invoice number",IF(AND(L368&lt;&gt;"",K368=""),"No tax code",IF(AND(L368&lt;&gt;"",O368=""),"No revenue GL code",""))))))))</f>
        <v/>
      </c>
      <c r="W368" s="25">
        <f>IF(E368="","",IFERROR(INDEX(lst_JobName,MATCH(E368&amp;"",lst_Jobs,0)),""))</f>
        <v/>
      </c>
      <c r="X368" s="28">
        <f>IF(E368="","",COUNTIFS(tbl_Finance[Job Number],E368&amp;"",tbl_Finance[Ex GST],"&lt;&gt;"))</f>
        <v/>
      </c>
      <c r="Y368" s="27">
        <f>IF(E368="","",SUMIFS(tbl_Finance[Ex GST],tbl_Finance[Job Number],E368&amp;""))</f>
        <v/>
      </c>
      <c r="Z368" s="27">
        <f>IF(E368="","",SUMIFS(tbl_Finance[Ex GST],tbl_Finance[Job Number],E368&amp;"",tbl_Finance[Xero Invoice No],"&lt;&gt;"))</f>
        <v/>
      </c>
      <c r="AA368" s="27">
        <f>IF(E368="","",Y368-Z368)</f>
        <v/>
      </c>
      <c r="AB368" s="25">
        <f>IF(E368="","",IF(H368="Onsite",IFERROR(INDEX(tbl_Onsite[Qwilr Quote],MATCH(E368&amp;"",tbl_Onsite[Job Number],0)),""),IF(H368="Production",IFERROR(INDEX(tbl_Production[Current RMS No],MATCH(E368&amp;"",tbl_Production[Job Number],0)),""),IF(H368="Consulting",IFERROR(INDEX(tbl_Consulting[Qwilr Quote],MATCH(E368&amp;"",tbl_Consulting[Job Number],0)),""),""))))</f>
        <v/>
      </c>
      <c r="AC368" s="25">
        <f>IF(AB368="","",IF(AND(LEFT(AB368,4)&lt;&gt;"http",IF(H368="Production",set_RMSBase,set_QwilrBase)=""),"",HYPERLINK(IF(LEFT(AB368,4)="http",AB368,IF(H368="Production",set_RMSBase,set_QwilrBase)&amp;AB368),"Open")))</f>
        <v/>
      </c>
      <c r="AD368" s="27">
        <f>IF(E368="","",IF(H368="Production",IFERROR(INDEX(tbl_Production[Total Expense],MATCH(E368&amp;"",tbl_Production[Job Number],0)),0),IF(H368="Consulting",IFERROR(INDEX(tbl_Consulting[Total Expense],MATCH(E368&amp;"",tbl_Consulting[Job Number],0)),0),0)))</f>
        <v/>
      </c>
      <c r="AE368" s="27">
        <f>IF(E368="","",Y368-N(AD368))</f>
        <v/>
      </c>
      <c r="AF368" s="29">
        <f>IFERROR(AE368/Y368,"")</f>
        <v/>
      </c>
      <c r="AG368" s="25">
        <f>IF(E368="","",IF(H368="Onsite",IFERROR(INDEX(tbl_Onsite[Notes],MATCH(E368&amp;"",tbl_Onsite[Job Number],0)),""),IF(H368="Production",IFERROR(INDEX(tbl_Production[Notes],MATCH(E368&amp;"",tbl_Production[Job Number],0)),""),IF(H368="Consulting",IFERROR(INDEX(tbl_Consulting[Notes],MATCH(E368&amp;"",tbl_Consulting[Job Number],0)),""),""))))</f>
        <v/>
      </c>
    </row>
    <row r="369" ht="15" customHeight="1">
      <c r="A369" s="22" t="n"/>
      <c r="B369" s="23">
        <f>IF(A369="","",EOMONTH(A369,0))</f>
        <v/>
      </c>
      <c r="C369" s="24" t="n"/>
      <c r="D369" s="24" t="n"/>
      <c r="E369" s="24" t="n"/>
      <c r="F369" s="25">
        <f>IF(E369="","",IF(COUNTIF(lst_Jobs,E369&amp;"")&gt;0,"OK","CHECK"))</f>
        <v/>
      </c>
      <c r="G369" s="24" t="n"/>
      <c r="H369" s="24" t="n"/>
      <c r="I369" s="24" t="n"/>
      <c r="J369" s="24" t="n"/>
      <c r="K369" s="24" t="n"/>
      <c r="L369" s="26" t="n"/>
      <c r="M369" s="27">
        <f>IF(L369="","",IF(K369="GST 10%",ROUND(L369*set_GSTRate,2),0))</f>
        <v/>
      </c>
      <c r="N369" s="27">
        <f>IF(L369="","",L369+M369)</f>
        <v/>
      </c>
      <c r="O369" s="24" t="n"/>
      <c r="P369" s="24" t="n"/>
      <c r="Q369" s="24" t="n"/>
      <c r="R369" s="22" t="n"/>
      <c r="S369" s="22" t="n"/>
      <c r="T369" s="24" t="n"/>
      <c r="U369" s="24" t="n"/>
      <c r="V369" s="25">
        <f>IF(COUNTA(A369,D369,C369,L369)=0,"",IF(A369="","No date - sits outside every month",IF(E369="","No job number",IF(F369="CHECK","Job number is not in the Xero job list",IF(I369="","No cost centre",IF(AND(P369="Y",C369=""),"Marked posted to Xero but has no invoice number",IF(AND(L369&lt;&gt;"",K369=""),"No tax code",IF(AND(L369&lt;&gt;"",O369=""),"No revenue GL code",""))))))))</f>
        <v/>
      </c>
      <c r="W369" s="25">
        <f>IF(E369="","",IFERROR(INDEX(lst_JobName,MATCH(E369&amp;"",lst_Jobs,0)),""))</f>
        <v/>
      </c>
      <c r="X369" s="28">
        <f>IF(E369="","",COUNTIFS(tbl_Finance[Job Number],E369&amp;"",tbl_Finance[Ex GST],"&lt;&gt;"))</f>
        <v/>
      </c>
      <c r="Y369" s="27">
        <f>IF(E369="","",SUMIFS(tbl_Finance[Ex GST],tbl_Finance[Job Number],E369&amp;""))</f>
        <v/>
      </c>
      <c r="Z369" s="27">
        <f>IF(E369="","",SUMIFS(tbl_Finance[Ex GST],tbl_Finance[Job Number],E369&amp;"",tbl_Finance[Xero Invoice No],"&lt;&gt;"))</f>
        <v/>
      </c>
      <c r="AA369" s="27">
        <f>IF(E369="","",Y369-Z369)</f>
        <v/>
      </c>
      <c r="AB369" s="25">
        <f>IF(E369="","",IF(H369="Onsite",IFERROR(INDEX(tbl_Onsite[Qwilr Quote],MATCH(E369&amp;"",tbl_Onsite[Job Number],0)),""),IF(H369="Production",IFERROR(INDEX(tbl_Production[Current RMS No],MATCH(E369&amp;"",tbl_Production[Job Number],0)),""),IF(H369="Consulting",IFERROR(INDEX(tbl_Consulting[Qwilr Quote],MATCH(E369&amp;"",tbl_Consulting[Job Number],0)),""),""))))</f>
        <v/>
      </c>
      <c r="AC369" s="25">
        <f>IF(AB369="","",IF(AND(LEFT(AB369,4)&lt;&gt;"http",IF(H369="Production",set_RMSBase,set_QwilrBase)=""),"",HYPERLINK(IF(LEFT(AB369,4)="http",AB369,IF(H369="Production",set_RMSBase,set_QwilrBase)&amp;AB369),"Open")))</f>
        <v/>
      </c>
      <c r="AD369" s="27">
        <f>IF(E369="","",IF(H369="Production",IFERROR(INDEX(tbl_Production[Total Expense],MATCH(E369&amp;"",tbl_Production[Job Number],0)),0),IF(H369="Consulting",IFERROR(INDEX(tbl_Consulting[Total Expense],MATCH(E369&amp;"",tbl_Consulting[Job Number],0)),0),0)))</f>
        <v/>
      </c>
      <c r="AE369" s="27">
        <f>IF(E369="","",Y369-N(AD369))</f>
        <v/>
      </c>
      <c r="AF369" s="29">
        <f>IFERROR(AE369/Y369,"")</f>
        <v/>
      </c>
      <c r="AG369" s="25">
        <f>IF(E369="","",IF(H369="Onsite",IFERROR(INDEX(tbl_Onsite[Notes],MATCH(E369&amp;"",tbl_Onsite[Job Number],0)),""),IF(H369="Production",IFERROR(INDEX(tbl_Production[Notes],MATCH(E369&amp;"",tbl_Production[Job Number],0)),""),IF(H369="Consulting",IFERROR(INDEX(tbl_Consulting[Notes],MATCH(E369&amp;"",tbl_Consulting[Job Number],0)),""),""))))</f>
        <v/>
      </c>
    </row>
    <row r="370" ht="15" customHeight="1">
      <c r="A370" s="22" t="n"/>
      <c r="B370" s="23">
        <f>IF(A370="","",EOMONTH(A370,0))</f>
        <v/>
      </c>
      <c r="C370" s="24" t="n"/>
      <c r="D370" s="24" t="n"/>
      <c r="E370" s="24" t="n"/>
      <c r="F370" s="25">
        <f>IF(E370="","",IF(COUNTIF(lst_Jobs,E370&amp;"")&gt;0,"OK","CHECK"))</f>
        <v/>
      </c>
      <c r="G370" s="24" t="n"/>
      <c r="H370" s="24" t="n"/>
      <c r="I370" s="24" t="n"/>
      <c r="J370" s="24" t="n"/>
      <c r="K370" s="24" t="n"/>
      <c r="L370" s="26" t="n"/>
      <c r="M370" s="27">
        <f>IF(L370="","",IF(K370="GST 10%",ROUND(L370*set_GSTRate,2),0))</f>
        <v/>
      </c>
      <c r="N370" s="27">
        <f>IF(L370="","",L370+M370)</f>
        <v/>
      </c>
      <c r="O370" s="24" t="n"/>
      <c r="P370" s="24" t="n"/>
      <c r="Q370" s="24" t="n"/>
      <c r="R370" s="22" t="n"/>
      <c r="S370" s="22" t="n"/>
      <c r="T370" s="24" t="n"/>
      <c r="U370" s="24" t="n"/>
      <c r="V370" s="25">
        <f>IF(COUNTA(A370,D370,C370,L370)=0,"",IF(A370="","No date - sits outside every month",IF(E370="","No job number",IF(F370="CHECK","Job number is not in the Xero job list",IF(I370="","No cost centre",IF(AND(P370="Y",C370=""),"Marked posted to Xero but has no invoice number",IF(AND(L370&lt;&gt;"",K370=""),"No tax code",IF(AND(L370&lt;&gt;"",O370=""),"No revenue GL code",""))))))))</f>
        <v/>
      </c>
      <c r="W370" s="25">
        <f>IF(E370="","",IFERROR(INDEX(lst_JobName,MATCH(E370&amp;"",lst_Jobs,0)),""))</f>
        <v/>
      </c>
      <c r="X370" s="28">
        <f>IF(E370="","",COUNTIFS(tbl_Finance[Job Number],E370&amp;"",tbl_Finance[Ex GST],"&lt;&gt;"))</f>
        <v/>
      </c>
      <c r="Y370" s="27">
        <f>IF(E370="","",SUMIFS(tbl_Finance[Ex GST],tbl_Finance[Job Number],E370&amp;""))</f>
        <v/>
      </c>
      <c r="Z370" s="27">
        <f>IF(E370="","",SUMIFS(tbl_Finance[Ex GST],tbl_Finance[Job Number],E370&amp;"",tbl_Finance[Xero Invoice No],"&lt;&gt;"))</f>
        <v/>
      </c>
      <c r="AA370" s="27">
        <f>IF(E370="","",Y370-Z370)</f>
        <v/>
      </c>
      <c r="AB370" s="25">
        <f>IF(E370="","",IF(H370="Onsite",IFERROR(INDEX(tbl_Onsite[Qwilr Quote],MATCH(E370&amp;"",tbl_Onsite[Job Number],0)),""),IF(H370="Production",IFERROR(INDEX(tbl_Production[Current RMS No],MATCH(E370&amp;"",tbl_Production[Job Number],0)),""),IF(H370="Consulting",IFERROR(INDEX(tbl_Consulting[Qwilr Quote],MATCH(E370&amp;"",tbl_Consulting[Job Number],0)),""),""))))</f>
        <v/>
      </c>
      <c r="AC370" s="25">
        <f>IF(AB370="","",IF(AND(LEFT(AB370,4)&lt;&gt;"http",IF(H370="Production",set_RMSBase,set_QwilrBase)=""),"",HYPERLINK(IF(LEFT(AB370,4)="http",AB370,IF(H370="Production",set_RMSBase,set_QwilrBase)&amp;AB370),"Open")))</f>
        <v/>
      </c>
      <c r="AD370" s="27">
        <f>IF(E370="","",IF(H370="Production",IFERROR(INDEX(tbl_Production[Total Expense],MATCH(E370&amp;"",tbl_Production[Job Number],0)),0),IF(H370="Consulting",IFERROR(INDEX(tbl_Consulting[Total Expense],MATCH(E370&amp;"",tbl_Consulting[Job Number],0)),0),0)))</f>
        <v/>
      </c>
      <c r="AE370" s="27">
        <f>IF(E370="","",Y370-N(AD370))</f>
        <v/>
      </c>
      <c r="AF370" s="29">
        <f>IFERROR(AE370/Y370,"")</f>
        <v/>
      </c>
      <c r="AG370" s="25">
        <f>IF(E370="","",IF(H370="Onsite",IFERROR(INDEX(tbl_Onsite[Notes],MATCH(E370&amp;"",tbl_Onsite[Job Number],0)),""),IF(H370="Production",IFERROR(INDEX(tbl_Production[Notes],MATCH(E370&amp;"",tbl_Production[Job Number],0)),""),IF(H370="Consulting",IFERROR(INDEX(tbl_Consulting[Notes],MATCH(E370&amp;"",tbl_Consulting[Job Number],0)),""),""))))</f>
        <v/>
      </c>
    </row>
    <row r="371" ht="15" customHeight="1">
      <c r="A371" s="22" t="n"/>
      <c r="B371" s="23">
        <f>IF(A371="","",EOMONTH(A371,0))</f>
        <v/>
      </c>
      <c r="C371" s="24" t="n"/>
      <c r="D371" s="24" t="n"/>
      <c r="E371" s="24" t="n"/>
      <c r="F371" s="25">
        <f>IF(E371="","",IF(COUNTIF(lst_Jobs,E371&amp;"")&gt;0,"OK","CHECK"))</f>
        <v/>
      </c>
      <c r="G371" s="24" t="n"/>
      <c r="H371" s="24" t="n"/>
      <c r="I371" s="24" t="n"/>
      <c r="J371" s="24" t="n"/>
      <c r="K371" s="24" t="n"/>
      <c r="L371" s="26" t="n"/>
      <c r="M371" s="27">
        <f>IF(L371="","",IF(K371="GST 10%",ROUND(L371*set_GSTRate,2),0))</f>
        <v/>
      </c>
      <c r="N371" s="27">
        <f>IF(L371="","",L371+M371)</f>
        <v/>
      </c>
      <c r="O371" s="24" t="n"/>
      <c r="P371" s="24" t="n"/>
      <c r="Q371" s="24" t="n"/>
      <c r="R371" s="22" t="n"/>
      <c r="S371" s="22" t="n"/>
      <c r="T371" s="24" t="n"/>
      <c r="U371" s="24" t="n"/>
      <c r="V371" s="25">
        <f>IF(COUNTA(A371,D371,C371,L371)=0,"",IF(A371="","No date - sits outside every month",IF(E371="","No job number",IF(F371="CHECK","Job number is not in the Xero job list",IF(I371="","No cost centre",IF(AND(P371="Y",C371=""),"Marked posted to Xero but has no invoice number",IF(AND(L371&lt;&gt;"",K371=""),"No tax code",IF(AND(L371&lt;&gt;"",O371=""),"No revenue GL code",""))))))))</f>
        <v/>
      </c>
      <c r="W371" s="25">
        <f>IF(E371="","",IFERROR(INDEX(lst_JobName,MATCH(E371&amp;"",lst_Jobs,0)),""))</f>
        <v/>
      </c>
      <c r="X371" s="28">
        <f>IF(E371="","",COUNTIFS(tbl_Finance[Job Number],E371&amp;"",tbl_Finance[Ex GST],"&lt;&gt;"))</f>
        <v/>
      </c>
      <c r="Y371" s="27">
        <f>IF(E371="","",SUMIFS(tbl_Finance[Ex GST],tbl_Finance[Job Number],E371&amp;""))</f>
        <v/>
      </c>
      <c r="Z371" s="27">
        <f>IF(E371="","",SUMIFS(tbl_Finance[Ex GST],tbl_Finance[Job Number],E371&amp;"",tbl_Finance[Xero Invoice No],"&lt;&gt;"))</f>
        <v/>
      </c>
      <c r="AA371" s="27">
        <f>IF(E371="","",Y371-Z371)</f>
        <v/>
      </c>
      <c r="AB371" s="25">
        <f>IF(E371="","",IF(H371="Onsite",IFERROR(INDEX(tbl_Onsite[Qwilr Quote],MATCH(E371&amp;"",tbl_Onsite[Job Number],0)),""),IF(H371="Production",IFERROR(INDEX(tbl_Production[Current RMS No],MATCH(E371&amp;"",tbl_Production[Job Number],0)),""),IF(H371="Consulting",IFERROR(INDEX(tbl_Consulting[Qwilr Quote],MATCH(E371&amp;"",tbl_Consulting[Job Number],0)),""),""))))</f>
        <v/>
      </c>
      <c r="AC371" s="25">
        <f>IF(AB371="","",IF(AND(LEFT(AB371,4)&lt;&gt;"http",IF(H371="Production",set_RMSBase,set_QwilrBase)=""),"",HYPERLINK(IF(LEFT(AB371,4)="http",AB371,IF(H371="Production",set_RMSBase,set_QwilrBase)&amp;AB371),"Open")))</f>
        <v/>
      </c>
      <c r="AD371" s="27">
        <f>IF(E371="","",IF(H371="Production",IFERROR(INDEX(tbl_Production[Total Expense],MATCH(E371&amp;"",tbl_Production[Job Number],0)),0),IF(H371="Consulting",IFERROR(INDEX(tbl_Consulting[Total Expense],MATCH(E371&amp;"",tbl_Consulting[Job Number],0)),0),0)))</f>
        <v/>
      </c>
      <c r="AE371" s="27">
        <f>IF(E371="","",Y371-N(AD371))</f>
        <v/>
      </c>
      <c r="AF371" s="29">
        <f>IFERROR(AE371/Y371,"")</f>
        <v/>
      </c>
      <c r="AG371" s="25">
        <f>IF(E371="","",IF(H371="Onsite",IFERROR(INDEX(tbl_Onsite[Notes],MATCH(E371&amp;"",tbl_Onsite[Job Number],0)),""),IF(H371="Production",IFERROR(INDEX(tbl_Production[Notes],MATCH(E371&amp;"",tbl_Production[Job Number],0)),""),IF(H371="Consulting",IFERROR(INDEX(tbl_Consulting[Notes],MATCH(E371&amp;"",tbl_Consulting[Job Number],0)),""),""))))</f>
        <v/>
      </c>
    </row>
    <row r="372" ht="15" customHeight="1">
      <c r="A372" s="22" t="n"/>
      <c r="B372" s="23">
        <f>IF(A372="","",EOMONTH(A372,0))</f>
        <v/>
      </c>
      <c r="C372" s="24" t="n"/>
      <c r="D372" s="24" t="n"/>
      <c r="E372" s="24" t="n"/>
      <c r="F372" s="25">
        <f>IF(E372="","",IF(COUNTIF(lst_Jobs,E372&amp;"")&gt;0,"OK","CHECK"))</f>
        <v/>
      </c>
      <c r="G372" s="24" t="n"/>
      <c r="H372" s="24" t="n"/>
      <c r="I372" s="24" t="n"/>
      <c r="J372" s="24" t="n"/>
      <c r="K372" s="24" t="n"/>
      <c r="L372" s="26" t="n"/>
      <c r="M372" s="27">
        <f>IF(L372="","",IF(K372="GST 10%",ROUND(L372*set_GSTRate,2),0))</f>
        <v/>
      </c>
      <c r="N372" s="27">
        <f>IF(L372="","",L372+M372)</f>
        <v/>
      </c>
      <c r="O372" s="24" t="n"/>
      <c r="P372" s="24" t="n"/>
      <c r="Q372" s="24" t="n"/>
      <c r="R372" s="22" t="n"/>
      <c r="S372" s="22" t="n"/>
      <c r="T372" s="24" t="n"/>
      <c r="U372" s="24" t="n"/>
      <c r="V372" s="25">
        <f>IF(COUNTA(A372,D372,C372,L372)=0,"",IF(A372="","No date - sits outside every month",IF(E372="","No job number",IF(F372="CHECK","Job number is not in the Xero job list",IF(I372="","No cost centre",IF(AND(P372="Y",C372=""),"Marked posted to Xero but has no invoice number",IF(AND(L372&lt;&gt;"",K372=""),"No tax code",IF(AND(L372&lt;&gt;"",O372=""),"No revenue GL code",""))))))))</f>
        <v/>
      </c>
      <c r="W372" s="25">
        <f>IF(E372="","",IFERROR(INDEX(lst_JobName,MATCH(E372&amp;"",lst_Jobs,0)),""))</f>
        <v/>
      </c>
      <c r="X372" s="28">
        <f>IF(E372="","",COUNTIFS(tbl_Finance[Job Number],E372&amp;"",tbl_Finance[Ex GST],"&lt;&gt;"))</f>
        <v/>
      </c>
      <c r="Y372" s="27">
        <f>IF(E372="","",SUMIFS(tbl_Finance[Ex GST],tbl_Finance[Job Number],E372&amp;""))</f>
        <v/>
      </c>
      <c r="Z372" s="27">
        <f>IF(E372="","",SUMIFS(tbl_Finance[Ex GST],tbl_Finance[Job Number],E372&amp;"",tbl_Finance[Xero Invoice No],"&lt;&gt;"))</f>
        <v/>
      </c>
      <c r="AA372" s="27">
        <f>IF(E372="","",Y372-Z372)</f>
        <v/>
      </c>
      <c r="AB372" s="25">
        <f>IF(E372="","",IF(H372="Onsite",IFERROR(INDEX(tbl_Onsite[Qwilr Quote],MATCH(E372&amp;"",tbl_Onsite[Job Number],0)),""),IF(H372="Production",IFERROR(INDEX(tbl_Production[Current RMS No],MATCH(E372&amp;"",tbl_Production[Job Number],0)),""),IF(H372="Consulting",IFERROR(INDEX(tbl_Consulting[Qwilr Quote],MATCH(E372&amp;"",tbl_Consulting[Job Number],0)),""),""))))</f>
        <v/>
      </c>
      <c r="AC372" s="25">
        <f>IF(AB372="","",IF(AND(LEFT(AB372,4)&lt;&gt;"http",IF(H372="Production",set_RMSBase,set_QwilrBase)=""),"",HYPERLINK(IF(LEFT(AB372,4)="http",AB372,IF(H372="Production",set_RMSBase,set_QwilrBase)&amp;AB372),"Open")))</f>
        <v/>
      </c>
      <c r="AD372" s="27">
        <f>IF(E372="","",IF(H372="Production",IFERROR(INDEX(tbl_Production[Total Expense],MATCH(E372&amp;"",tbl_Production[Job Number],0)),0),IF(H372="Consulting",IFERROR(INDEX(tbl_Consulting[Total Expense],MATCH(E372&amp;"",tbl_Consulting[Job Number],0)),0),0)))</f>
        <v/>
      </c>
      <c r="AE372" s="27">
        <f>IF(E372="","",Y372-N(AD372))</f>
        <v/>
      </c>
      <c r="AF372" s="29">
        <f>IFERROR(AE372/Y372,"")</f>
        <v/>
      </c>
      <c r="AG372" s="25">
        <f>IF(E372="","",IF(H372="Onsite",IFERROR(INDEX(tbl_Onsite[Notes],MATCH(E372&amp;"",tbl_Onsite[Job Number],0)),""),IF(H372="Production",IFERROR(INDEX(tbl_Production[Notes],MATCH(E372&amp;"",tbl_Production[Job Number],0)),""),IF(H372="Consulting",IFERROR(INDEX(tbl_Consulting[Notes],MATCH(E372&amp;"",tbl_Consulting[Job Number],0)),""),""))))</f>
        <v/>
      </c>
    </row>
    <row r="373" ht="15" customHeight="1">
      <c r="A373" s="22" t="n"/>
      <c r="B373" s="23">
        <f>IF(A373="","",EOMONTH(A373,0))</f>
        <v/>
      </c>
      <c r="C373" s="24" t="n"/>
      <c r="D373" s="24" t="n"/>
      <c r="E373" s="24" t="n"/>
      <c r="F373" s="25">
        <f>IF(E373="","",IF(COUNTIF(lst_Jobs,E373&amp;"")&gt;0,"OK","CHECK"))</f>
        <v/>
      </c>
      <c r="G373" s="24" t="n"/>
      <c r="H373" s="24" t="n"/>
      <c r="I373" s="24" t="n"/>
      <c r="J373" s="24" t="n"/>
      <c r="K373" s="24" t="n"/>
      <c r="L373" s="26" t="n"/>
      <c r="M373" s="27">
        <f>IF(L373="","",IF(K373="GST 10%",ROUND(L373*set_GSTRate,2),0))</f>
        <v/>
      </c>
      <c r="N373" s="27">
        <f>IF(L373="","",L373+M373)</f>
        <v/>
      </c>
      <c r="O373" s="24" t="n"/>
      <c r="P373" s="24" t="n"/>
      <c r="Q373" s="24" t="n"/>
      <c r="R373" s="22" t="n"/>
      <c r="S373" s="22" t="n"/>
      <c r="T373" s="24" t="n"/>
      <c r="U373" s="24" t="n"/>
      <c r="V373" s="25">
        <f>IF(COUNTA(A373,D373,C373,L373)=0,"",IF(A373="","No date - sits outside every month",IF(E373="","No job number",IF(F373="CHECK","Job number is not in the Xero job list",IF(I373="","No cost centre",IF(AND(P373="Y",C373=""),"Marked posted to Xero but has no invoice number",IF(AND(L373&lt;&gt;"",K373=""),"No tax code",IF(AND(L373&lt;&gt;"",O373=""),"No revenue GL code",""))))))))</f>
        <v/>
      </c>
      <c r="W373" s="25">
        <f>IF(E373="","",IFERROR(INDEX(lst_JobName,MATCH(E373&amp;"",lst_Jobs,0)),""))</f>
        <v/>
      </c>
      <c r="X373" s="28">
        <f>IF(E373="","",COUNTIFS(tbl_Finance[Job Number],E373&amp;"",tbl_Finance[Ex GST],"&lt;&gt;"))</f>
        <v/>
      </c>
      <c r="Y373" s="27">
        <f>IF(E373="","",SUMIFS(tbl_Finance[Ex GST],tbl_Finance[Job Number],E373&amp;""))</f>
        <v/>
      </c>
      <c r="Z373" s="27">
        <f>IF(E373="","",SUMIFS(tbl_Finance[Ex GST],tbl_Finance[Job Number],E373&amp;"",tbl_Finance[Xero Invoice No],"&lt;&gt;"))</f>
        <v/>
      </c>
      <c r="AA373" s="27">
        <f>IF(E373="","",Y373-Z373)</f>
        <v/>
      </c>
      <c r="AB373" s="25">
        <f>IF(E373="","",IF(H373="Onsite",IFERROR(INDEX(tbl_Onsite[Qwilr Quote],MATCH(E373&amp;"",tbl_Onsite[Job Number],0)),""),IF(H373="Production",IFERROR(INDEX(tbl_Production[Current RMS No],MATCH(E373&amp;"",tbl_Production[Job Number],0)),""),IF(H373="Consulting",IFERROR(INDEX(tbl_Consulting[Qwilr Quote],MATCH(E373&amp;"",tbl_Consulting[Job Number],0)),""),""))))</f>
        <v/>
      </c>
      <c r="AC373" s="25">
        <f>IF(AB373="","",IF(AND(LEFT(AB373,4)&lt;&gt;"http",IF(H373="Production",set_RMSBase,set_QwilrBase)=""),"",HYPERLINK(IF(LEFT(AB373,4)="http",AB373,IF(H373="Production",set_RMSBase,set_QwilrBase)&amp;AB373),"Open")))</f>
        <v/>
      </c>
      <c r="AD373" s="27">
        <f>IF(E373="","",IF(H373="Production",IFERROR(INDEX(tbl_Production[Total Expense],MATCH(E373&amp;"",tbl_Production[Job Number],0)),0),IF(H373="Consulting",IFERROR(INDEX(tbl_Consulting[Total Expense],MATCH(E373&amp;"",tbl_Consulting[Job Number],0)),0),0)))</f>
        <v/>
      </c>
      <c r="AE373" s="27">
        <f>IF(E373="","",Y373-N(AD373))</f>
        <v/>
      </c>
      <c r="AF373" s="29">
        <f>IFERROR(AE373/Y373,"")</f>
        <v/>
      </c>
      <c r="AG373" s="25">
        <f>IF(E373="","",IF(H373="Onsite",IFERROR(INDEX(tbl_Onsite[Notes],MATCH(E373&amp;"",tbl_Onsite[Job Number],0)),""),IF(H373="Production",IFERROR(INDEX(tbl_Production[Notes],MATCH(E373&amp;"",tbl_Production[Job Number],0)),""),IF(H373="Consulting",IFERROR(INDEX(tbl_Consulting[Notes],MATCH(E373&amp;"",tbl_Consulting[Job Number],0)),""),""))))</f>
        <v/>
      </c>
    </row>
    <row r="374" ht="15" customHeight="1">
      <c r="A374" s="22" t="n"/>
      <c r="B374" s="23">
        <f>IF(A374="","",EOMONTH(A374,0))</f>
        <v/>
      </c>
      <c r="C374" s="24" t="n"/>
      <c r="D374" s="24" t="n"/>
      <c r="E374" s="24" t="n"/>
      <c r="F374" s="25">
        <f>IF(E374="","",IF(COUNTIF(lst_Jobs,E374&amp;"")&gt;0,"OK","CHECK"))</f>
        <v/>
      </c>
      <c r="G374" s="24" t="n"/>
      <c r="H374" s="24" t="n"/>
      <c r="I374" s="24" t="n"/>
      <c r="J374" s="24" t="n"/>
      <c r="K374" s="24" t="n"/>
      <c r="L374" s="26" t="n"/>
      <c r="M374" s="27">
        <f>IF(L374="","",IF(K374="GST 10%",ROUND(L374*set_GSTRate,2),0))</f>
        <v/>
      </c>
      <c r="N374" s="27">
        <f>IF(L374="","",L374+M374)</f>
        <v/>
      </c>
      <c r="O374" s="24" t="n"/>
      <c r="P374" s="24" t="n"/>
      <c r="Q374" s="24" t="n"/>
      <c r="R374" s="22" t="n"/>
      <c r="S374" s="22" t="n"/>
      <c r="T374" s="24" t="n"/>
      <c r="U374" s="24" t="n"/>
      <c r="V374" s="25">
        <f>IF(COUNTA(A374,D374,C374,L374)=0,"",IF(A374="","No date - sits outside every month",IF(E374="","No job number",IF(F374="CHECK","Job number is not in the Xero job list",IF(I374="","No cost centre",IF(AND(P374="Y",C374=""),"Marked posted to Xero but has no invoice number",IF(AND(L374&lt;&gt;"",K374=""),"No tax code",IF(AND(L374&lt;&gt;"",O374=""),"No revenue GL code",""))))))))</f>
        <v/>
      </c>
      <c r="W374" s="25">
        <f>IF(E374="","",IFERROR(INDEX(lst_JobName,MATCH(E374&amp;"",lst_Jobs,0)),""))</f>
        <v/>
      </c>
      <c r="X374" s="28">
        <f>IF(E374="","",COUNTIFS(tbl_Finance[Job Number],E374&amp;"",tbl_Finance[Ex GST],"&lt;&gt;"))</f>
        <v/>
      </c>
      <c r="Y374" s="27">
        <f>IF(E374="","",SUMIFS(tbl_Finance[Ex GST],tbl_Finance[Job Number],E374&amp;""))</f>
        <v/>
      </c>
      <c r="Z374" s="27">
        <f>IF(E374="","",SUMIFS(tbl_Finance[Ex GST],tbl_Finance[Job Number],E374&amp;"",tbl_Finance[Xero Invoice No],"&lt;&gt;"))</f>
        <v/>
      </c>
      <c r="AA374" s="27">
        <f>IF(E374="","",Y374-Z374)</f>
        <v/>
      </c>
      <c r="AB374" s="25">
        <f>IF(E374="","",IF(H374="Onsite",IFERROR(INDEX(tbl_Onsite[Qwilr Quote],MATCH(E374&amp;"",tbl_Onsite[Job Number],0)),""),IF(H374="Production",IFERROR(INDEX(tbl_Production[Current RMS No],MATCH(E374&amp;"",tbl_Production[Job Number],0)),""),IF(H374="Consulting",IFERROR(INDEX(tbl_Consulting[Qwilr Quote],MATCH(E374&amp;"",tbl_Consulting[Job Number],0)),""),""))))</f>
        <v/>
      </c>
      <c r="AC374" s="25">
        <f>IF(AB374="","",IF(AND(LEFT(AB374,4)&lt;&gt;"http",IF(H374="Production",set_RMSBase,set_QwilrBase)=""),"",HYPERLINK(IF(LEFT(AB374,4)="http",AB374,IF(H374="Production",set_RMSBase,set_QwilrBase)&amp;AB374),"Open")))</f>
        <v/>
      </c>
      <c r="AD374" s="27">
        <f>IF(E374="","",IF(H374="Production",IFERROR(INDEX(tbl_Production[Total Expense],MATCH(E374&amp;"",tbl_Production[Job Number],0)),0),IF(H374="Consulting",IFERROR(INDEX(tbl_Consulting[Total Expense],MATCH(E374&amp;"",tbl_Consulting[Job Number],0)),0),0)))</f>
        <v/>
      </c>
      <c r="AE374" s="27">
        <f>IF(E374="","",Y374-N(AD374))</f>
        <v/>
      </c>
      <c r="AF374" s="29">
        <f>IFERROR(AE374/Y374,"")</f>
        <v/>
      </c>
      <c r="AG374" s="25">
        <f>IF(E374="","",IF(H374="Onsite",IFERROR(INDEX(tbl_Onsite[Notes],MATCH(E374&amp;"",tbl_Onsite[Job Number],0)),""),IF(H374="Production",IFERROR(INDEX(tbl_Production[Notes],MATCH(E374&amp;"",tbl_Production[Job Number],0)),""),IF(H374="Consulting",IFERROR(INDEX(tbl_Consulting[Notes],MATCH(E374&amp;"",tbl_Consulting[Job Number],0)),""),""))))</f>
        <v/>
      </c>
    </row>
    <row r="375" ht="15" customHeight="1">
      <c r="A375" s="22" t="n"/>
      <c r="B375" s="23">
        <f>IF(A375="","",EOMONTH(A375,0))</f>
        <v/>
      </c>
      <c r="C375" s="24" t="n"/>
      <c r="D375" s="24" t="n"/>
      <c r="E375" s="24" t="n"/>
      <c r="F375" s="25">
        <f>IF(E375="","",IF(COUNTIF(lst_Jobs,E375&amp;"")&gt;0,"OK","CHECK"))</f>
        <v/>
      </c>
      <c r="G375" s="24" t="n"/>
      <c r="H375" s="24" t="n"/>
      <c r="I375" s="24" t="n"/>
      <c r="J375" s="24" t="n"/>
      <c r="K375" s="24" t="n"/>
      <c r="L375" s="26" t="n"/>
      <c r="M375" s="27">
        <f>IF(L375="","",IF(K375="GST 10%",ROUND(L375*set_GSTRate,2),0))</f>
        <v/>
      </c>
      <c r="N375" s="27">
        <f>IF(L375="","",L375+M375)</f>
        <v/>
      </c>
      <c r="O375" s="24" t="n"/>
      <c r="P375" s="24" t="n"/>
      <c r="Q375" s="24" t="n"/>
      <c r="R375" s="22" t="n"/>
      <c r="S375" s="22" t="n"/>
      <c r="T375" s="24" t="n"/>
      <c r="U375" s="24" t="n"/>
      <c r="V375" s="25">
        <f>IF(COUNTA(A375,D375,C375,L375)=0,"",IF(A375="","No date - sits outside every month",IF(E375="","No job number",IF(F375="CHECK","Job number is not in the Xero job list",IF(I375="","No cost centre",IF(AND(P375="Y",C375=""),"Marked posted to Xero but has no invoice number",IF(AND(L375&lt;&gt;"",K375=""),"No tax code",IF(AND(L375&lt;&gt;"",O375=""),"No revenue GL code",""))))))))</f>
        <v/>
      </c>
      <c r="W375" s="25">
        <f>IF(E375="","",IFERROR(INDEX(lst_JobName,MATCH(E375&amp;"",lst_Jobs,0)),""))</f>
        <v/>
      </c>
      <c r="X375" s="28">
        <f>IF(E375="","",COUNTIFS(tbl_Finance[Job Number],E375&amp;"",tbl_Finance[Ex GST],"&lt;&gt;"))</f>
        <v/>
      </c>
      <c r="Y375" s="27">
        <f>IF(E375="","",SUMIFS(tbl_Finance[Ex GST],tbl_Finance[Job Number],E375&amp;""))</f>
        <v/>
      </c>
      <c r="Z375" s="27">
        <f>IF(E375="","",SUMIFS(tbl_Finance[Ex GST],tbl_Finance[Job Number],E375&amp;"",tbl_Finance[Xero Invoice No],"&lt;&gt;"))</f>
        <v/>
      </c>
      <c r="AA375" s="27">
        <f>IF(E375="","",Y375-Z375)</f>
        <v/>
      </c>
      <c r="AB375" s="25">
        <f>IF(E375="","",IF(H375="Onsite",IFERROR(INDEX(tbl_Onsite[Qwilr Quote],MATCH(E375&amp;"",tbl_Onsite[Job Number],0)),""),IF(H375="Production",IFERROR(INDEX(tbl_Production[Current RMS No],MATCH(E375&amp;"",tbl_Production[Job Number],0)),""),IF(H375="Consulting",IFERROR(INDEX(tbl_Consulting[Qwilr Quote],MATCH(E375&amp;"",tbl_Consulting[Job Number],0)),""),""))))</f>
        <v/>
      </c>
      <c r="AC375" s="25">
        <f>IF(AB375="","",IF(AND(LEFT(AB375,4)&lt;&gt;"http",IF(H375="Production",set_RMSBase,set_QwilrBase)=""),"",HYPERLINK(IF(LEFT(AB375,4)="http",AB375,IF(H375="Production",set_RMSBase,set_QwilrBase)&amp;AB375),"Open")))</f>
        <v/>
      </c>
      <c r="AD375" s="27">
        <f>IF(E375="","",IF(H375="Production",IFERROR(INDEX(tbl_Production[Total Expense],MATCH(E375&amp;"",tbl_Production[Job Number],0)),0),IF(H375="Consulting",IFERROR(INDEX(tbl_Consulting[Total Expense],MATCH(E375&amp;"",tbl_Consulting[Job Number],0)),0),0)))</f>
        <v/>
      </c>
      <c r="AE375" s="27">
        <f>IF(E375="","",Y375-N(AD375))</f>
        <v/>
      </c>
      <c r="AF375" s="29">
        <f>IFERROR(AE375/Y375,"")</f>
        <v/>
      </c>
      <c r="AG375" s="25">
        <f>IF(E375="","",IF(H375="Onsite",IFERROR(INDEX(tbl_Onsite[Notes],MATCH(E375&amp;"",tbl_Onsite[Job Number],0)),""),IF(H375="Production",IFERROR(INDEX(tbl_Production[Notes],MATCH(E375&amp;"",tbl_Production[Job Number],0)),""),IF(H375="Consulting",IFERROR(INDEX(tbl_Consulting[Notes],MATCH(E375&amp;"",tbl_Consulting[Job Number],0)),""),""))))</f>
        <v/>
      </c>
    </row>
    <row r="376" ht="15" customHeight="1">
      <c r="A376" s="22" t="n"/>
      <c r="B376" s="23">
        <f>IF(A376="","",EOMONTH(A376,0))</f>
        <v/>
      </c>
      <c r="C376" s="24" t="n"/>
      <c r="D376" s="24" t="n"/>
      <c r="E376" s="24" t="n"/>
      <c r="F376" s="25">
        <f>IF(E376="","",IF(COUNTIF(lst_Jobs,E376&amp;"")&gt;0,"OK","CHECK"))</f>
        <v/>
      </c>
      <c r="G376" s="24" t="n"/>
      <c r="H376" s="24" t="n"/>
      <c r="I376" s="24" t="n"/>
      <c r="J376" s="24" t="n"/>
      <c r="K376" s="24" t="n"/>
      <c r="L376" s="26" t="n"/>
      <c r="M376" s="27">
        <f>IF(L376="","",IF(K376="GST 10%",ROUND(L376*set_GSTRate,2),0))</f>
        <v/>
      </c>
      <c r="N376" s="27">
        <f>IF(L376="","",L376+M376)</f>
        <v/>
      </c>
      <c r="O376" s="24" t="n"/>
      <c r="P376" s="24" t="n"/>
      <c r="Q376" s="24" t="n"/>
      <c r="R376" s="22" t="n"/>
      <c r="S376" s="22" t="n"/>
      <c r="T376" s="24" t="n"/>
      <c r="U376" s="24" t="n"/>
      <c r="V376" s="25">
        <f>IF(COUNTA(A376,D376,C376,L376)=0,"",IF(A376="","No date - sits outside every month",IF(E376="","No job number",IF(F376="CHECK","Job number is not in the Xero job list",IF(I376="","No cost centre",IF(AND(P376="Y",C376=""),"Marked posted to Xero but has no invoice number",IF(AND(L376&lt;&gt;"",K376=""),"No tax code",IF(AND(L376&lt;&gt;"",O376=""),"No revenue GL code",""))))))))</f>
        <v/>
      </c>
      <c r="W376" s="25">
        <f>IF(E376="","",IFERROR(INDEX(lst_JobName,MATCH(E376&amp;"",lst_Jobs,0)),""))</f>
        <v/>
      </c>
      <c r="X376" s="28">
        <f>IF(E376="","",COUNTIFS(tbl_Finance[Job Number],E376&amp;"",tbl_Finance[Ex GST],"&lt;&gt;"))</f>
        <v/>
      </c>
      <c r="Y376" s="27">
        <f>IF(E376="","",SUMIFS(tbl_Finance[Ex GST],tbl_Finance[Job Number],E376&amp;""))</f>
        <v/>
      </c>
      <c r="Z376" s="27">
        <f>IF(E376="","",SUMIFS(tbl_Finance[Ex GST],tbl_Finance[Job Number],E376&amp;"",tbl_Finance[Xero Invoice No],"&lt;&gt;"))</f>
        <v/>
      </c>
      <c r="AA376" s="27">
        <f>IF(E376="","",Y376-Z376)</f>
        <v/>
      </c>
      <c r="AB376" s="25">
        <f>IF(E376="","",IF(H376="Onsite",IFERROR(INDEX(tbl_Onsite[Qwilr Quote],MATCH(E376&amp;"",tbl_Onsite[Job Number],0)),""),IF(H376="Production",IFERROR(INDEX(tbl_Production[Current RMS No],MATCH(E376&amp;"",tbl_Production[Job Number],0)),""),IF(H376="Consulting",IFERROR(INDEX(tbl_Consulting[Qwilr Quote],MATCH(E376&amp;"",tbl_Consulting[Job Number],0)),""),""))))</f>
        <v/>
      </c>
      <c r="AC376" s="25">
        <f>IF(AB376="","",IF(AND(LEFT(AB376,4)&lt;&gt;"http",IF(H376="Production",set_RMSBase,set_QwilrBase)=""),"",HYPERLINK(IF(LEFT(AB376,4)="http",AB376,IF(H376="Production",set_RMSBase,set_QwilrBase)&amp;AB376),"Open")))</f>
        <v/>
      </c>
      <c r="AD376" s="27">
        <f>IF(E376="","",IF(H376="Production",IFERROR(INDEX(tbl_Production[Total Expense],MATCH(E376&amp;"",tbl_Production[Job Number],0)),0),IF(H376="Consulting",IFERROR(INDEX(tbl_Consulting[Total Expense],MATCH(E376&amp;"",tbl_Consulting[Job Number],0)),0),0)))</f>
        <v/>
      </c>
      <c r="AE376" s="27">
        <f>IF(E376="","",Y376-N(AD376))</f>
        <v/>
      </c>
      <c r="AF376" s="29">
        <f>IFERROR(AE376/Y376,"")</f>
        <v/>
      </c>
      <c r="AG376" s="25">
        <f>IF(E376="","",IF(H376="Onsite",IFERROR(INDEX(tbl_Onsite[Notes],MATCH(E376&amp;"",tbl_Onsite[Job Number],0)),""),IF(H376="Production",IFERROR(INDEX(tbl_Production[Notes],MATCH(E376&amp;"",tbl_Production[Job Number],0)),""),IF(H376="Consulting",IFERROR(INDEX(tbl_Consulting[Notes],MATCH(E376&amp;"",tbl_Consulting[Job Number],0)),""),""))))</f>
        <v/>
      </c>
    </row>
    <row r="377" ht="15" customHeight="1">
      <c r="A377" s="22" t="n"/>
      <c r="B377" s="23">
        <f>IF(A377="","",EOMONTH(A377,0))</f>
        <v/>
      </c>
      <c r="C377" s="24" t="n"/>
      <c r="D377" s="24" t="n"/>
      <c r="E377" s="24" t="n"/>
      <c r="F377" s="25">
        <f>IF(E377="","",IF(COUNTIF(lst_Jobs,E377&amp;"")&gt;0,"OK","CHECK"))</f>
        <v/>
      </c>
      <c r="G377" s="24" t="n"/>
      <c r="H377" s="24" t="n"/>
      <c r="I377" s="24" t="n"/>
      <c r="J377" s="24" t="n"/>
      <c r="K377" s="24" t="n"/>
      <c r="L377" s="26" t="n"/>
      <c r="M377" s="27">
        <f>IF(L377="","",IF(K377="GST 10%",ROUND(L377*set_GSTRate,2),0))</f>
        <v/>
      </c>
      <c r="N377" s="27">
        <f>IF(L377="","",L377+M377)</f>
        <v/>
      </c>
      <c r="O377" s="24" t="n"/>
      <c r="P377" s="24" t="n"/>
      <c r="Q377" s="24" t="n"/>
      <c r="R377" s="22" t="n"/>
      <c r="S377" s="22" t="n"/>
      <c r="T377" s="24" t="n"/>
      <c r="U377" s="24" t="n"/>
      <c r="V377" s="25">
        <f>IF(COUNTA(A377,D377,C377,L377)=0,"",IF(A377="","No date - sits outside every month",IF(E377="","No job number",IF(F377="CHECK","Job number is not in the Xero job list",IF(I377="","No cost centre",IF(AND(P377="Y",C377=""),"Marked posted to Xero but has no invoice number",IF(AND(L377&lt;&gt;"",K377=""),"No tax code",IF(AND(L377&lt;&gt;"",O377=""),"No revenue GL code",""))))))))</f>
        <v/>
      </c>
      <c r="W377" s="25">
        <f>IF(E377="","",IFERROR(INDEX(lst_JobName,MATCH(E377&amp;"",lst_Jobs,0)),""))</f>
        <v/>
      </c>
      <c r="X377" s="28">
        <f>IF(E377="","",COUNTIFS(tbl_Finance[Job Number],E377&amp;"",tbl_Finance[Ex GST],"&lt;&gt;"))</f>
        <v/>
      </c>
      <c r="Y377" s="27">
        <f>IF(E377="","",SUMIFS(tbl_Finance[Ex GST],tbl_Finance[Job Number],E377&amp;""))</f>
        <v/>
      </c>
      <c r="Z377" s="27">
        <f>IF(E377="","",SUMIFS(tbl_Finance[Ex GST],tbl_Finance[Job Number],E377&amp;"",tbl_Finance[Xero Invoice No],"&lt;&gt;"))</f>
        <v/>
      </c>
      <c r="AA377" s="27">
        <f>IF(E377="","",Y377-Z377)</f>
        <v/>
      </c>
      <c r="AB377" s="25">
        <f>IF(E377="","",IF(H377="Onsite",IFERROR(INDEX(tbl_Onsite[Qwilr Quote],MATCH(E377&amp;"",tbl_Onsite[Job Number],0)),""),IF(H377="Production",IFERROR(INDEX(tbl_Production[Current RMS No],MATCH(E377&amp;"",tbl_Production[Job Number],0)),""),IF(H377="Consulting",IFERROR(INDEX(tbl_Consulting[Qwilr Quote],MATCH(E377&amp;"",tbl_Consulting[Job Number],0)),""),""))))</f>
        <v/>
      </c>
      <c r="AC377" s="25">
        <f>IF(AB377="","",IF(AND(LEFT(AB377,4)&lt;&gt;"http",IF(H377="Production",set_RMSBase,set_QwilrBase)=""),"",HYPERLINK(IF(LEFT(AB377,4)="http",AB377,IF(H377="Production",set_RMSBase,set_QwilrBase)&amp;AB377),"Open")))</f>
        <v/>
      </c>
      <c r="AD377" s="27">
        <f>IF(E377="","",IF(H377="Production",IFERROR(INDEX(tbl_Production[Total Expense],MATCH(E377&amp;"",tbl_Production[Job Number],0)),0),IF(H377="Consulting",IFERROR(INDEX(tbl_Consulting[Total Expense],MATCH(E377&amp;"",tbl_Consulting[Job Number],0)),0),0)))</f>
        <v/>
      </c>
      <c r="AE377" s="27">
        <f>IF(E377="","",Y377-N(AD377))</f>
        <v/>
      </c>
      <c r="AF377" s="29">
        <f>IFERROR(AE377/Y377,"")</f>
        <v/>
      </c>
      <c r="AG377" s="25">
        <f>IF(E377="","",IF(H377="Onsite",IFERROR(INDEX(tbl_Onsite[Notes],MATCH(E377&amp;"",tbl_Onsite[Job Number],0)),""),IF(H377="Production",IFERROR(INDEX(tbl_Production[Notes],MATCH(E377&amp;"",tbl_Production[Job Number],0)),""),IF(H377="Consulting",IFERROR(INDEX(tbl_Consulting[Notes],MATCH(E377&amp;"",tbl_Consulting[Job Number],0)),""),""))))</f>
        <v/>
      </c>
    </row>
    <row r="378" ht="15" customHeight="1">
      <c r="A378" s="22" t="n"/>
      <c r="B378" s="23">
        <f>IF(A378="","",EOMONTH(A378,0))</f>
        <v/>
      </c>
      <c r="C378" s="24" t="n"/>
      <c r="D378" s="24" t="n"/>
      <c r="E378" s="24" t="n"/>
      <c r="F378" s="25">
        <f>IF(E378="","",IF(COUNTIF(lst_Jobs,E378&amp;"")&gt;0,"OK","CHECK"))</f>
        <v/>
      </c>
      <c r="G378" s="24" t="n"/>
      <c r="H378" s="24" t="n"/>
      <c r="I378" s="24" t="n"/>
      <c r="J378" s="24" t="n"/>
      <c r="K378" s="24" t="n"/>
      <c r="L378" s="26" t="n"/>
      <c r="M378" s="27">
        <f>IF(L378="","",IF(K378="GST 10%",ROUND(L378*set_GSTRate,2),0))</f>
        <v/>
      </c>
      <c r="N378" s="27">
        <f>IF(L378="","",L378+M378)</f>
        <v/>
      </c>
      <c r="O378" s="24" t="n"/>
      <c r="P378" s="24" t="n"/>
      <c r="Q378" s="24" t="n"/>
      <c r="R378" s="22" t="n"/>
      <c r="S378" s="22" t="n"/>
      <c r="T378" s="24" t="n"/>
      <c r="U378" s="24" t="n"/>
      <c r="V378" s="25">
        <f>IF(COUNTA(A378,D378,C378,L378)=0,"",IF(A378="","No date - sits outside every month",IF(E378="","No job number",IF(F378="CHECK","Job number is not in the Xero job list",IF(I378="","No cost centre",IF(AND(P378="Y",C378=""),"Marked posted to Xero but has no invoice number",IF(AND(L378&lt;&gt;"",K378=""),"No tax code",IF(AND(L378&lt;&gt;"",O378=""),"No revenue GL code",""))))))))</f>
        <v/>
      </c>
      <c r="W378" s="25">
        <f>IF(E378="","",IFERROR(INDEX(lst_JobName,MATCH(E378&amp;"",lst_Jobs,0)),""))</f>
        <v/>
      </c>
      <c r="X378" s="28">
        <f>IF(E378="","",COUNTIFS(tbl_Finance[Job Number],E378&amp;"",tbl_Finance[Ex GST],"&lt;&gt;"))</f>
        <v/>
      </c>
      <c r="Y378" s="27">
        <f>IF(E378="","",SUMIFS(tbl_Finance[Ex GST],tbl_Finance[Job Number],E378&amp;""))</f>
        <v/>
      </c>
      <c r="Z378" s="27">
        <f>IF(E378="","",SUMIFS(tbl_Finance[Ex GST],tbl_Finance[Job Number],E378&amp;"",tbl_Finance[Xero Invoice No],"&lt;&gt;"))</f>
        <v/>
      </c>
      <c r="AA378" s="27">
        <f>IF(E378="","",Y378-Z378)</f>
        <v/>
      </c>
      <c r="AB378" s="25">
        <f>IF(E378="","",IF(H378="Onsite",IFERROR(INDEX(tbl_Onsite[Qwilr Quote],MATCH(E378&amp;"",tbl_Onsite[Job Number],0)),""),IF(H378="Production",IFERROR(INDEX(tbl_Production[Current RMS No],MATCH(E378&amp;"",tbl_Production[Job Number],0)),""),IF(H378="Consulting",IFERROR(INDEX(tbl_Consulting[Qwilr Quote],MATCH(E378&amp;"",tbl_Consulting[Job Number],0)),""),""))))</f>
        <v/>
      </c>
      <c r="AC378" s="25">
        <f>IF(AB378="","",IF(AND(LEFT(AB378,4)&lt;&gt;"http",IF(H378="Production",set_RMSBase,set_QwilrBase)=""),"",HYPERLINK(IF(LEFT(AB378,4)="http",AB378,IF(H378="Production",set_RMSBase,set_QwilrBase)&amp;AB378),"Open")))</f>
        <v/>
      </c>
      <c r="AD378" s="27">
        <f>IF(E378="","",IF(H378="Production",IFERROR(INDEX(tbl_Production[Total Expense],MATCH(E378&amp;"",tbl_Production[Job Number],0)),0),IF(H378="Consulting",IFERROR(INDEX(tbl_Consulting[Total Expense],MATCH(E378&amp;"",tbl_Consulting[Job Number],0)),0),0)))</f>
        <v/>
      </c>
      <c r="AE378" s="27">
        <f>IF(E378="","",Y378-N(AD378))</f>
        <v/>
      </c>
      <c r="AF378" s="29">
        <f>IFERROR(AE378/Y378,"")</f>
        <v/>
      </c>
      <c r="AG378" s="25">
        <f>IF(E378="","",IF(H378="Onsite",IFERROR(INDEX(tbl_Onsite[Notes],MATCH(E378&amp;"",tbl_Onsite[Job Number],0)),""),IF(H378="Production",IFERROR(INDEX(tbl_Production[Notes],MATCH(E378&amp;"",tbl_Production[Job Number],0)),""),IF(H378="Consulting",IFERROR(INDEX(tbl_Consulting[Notes],MATCH(E378&amp;"",tbl_Consulting[Job Number],0)),""),""))))</f>
        <v/>
      </c>
    </row>
    <row r="379" ht="15" customHeight="1">
      <c r="A379" s="22" t="n"/>
      <c r="B379" s="23">
        <f>IF(A379="","",EOMONTH(A379,0))</f>
        <v/>
      </c>
      <c r="C379" s="24" t="n"/>
      <c r="D379" s="24" t="n"/>
      <c r="E379" s="24" t="n"/>
      <c r="F379" s="25">
        <f>IF(E379="","",IF(COUNTIF(lst_Jobs,E379&amp;"")&gt;0,"OK","CHECK"))</f>
        <v/>
      </c>
      <c r="G379" s="24" t="n"/>
      <c r="H379" s="24" t="n"/>
      <c r="I379" s="24" t="n"/>
      <c r="J379" s="24" t="n"/>
      <c r="K379" s="24" t="n"/>
      <c r="L379" s="26" t="n"/>
      <c r="M379" s="27">
        <f>IF(L379="","",IF(K379="GST 10%",ROUND(L379*set_GSTRate,2),0))</f>
        <v/>
      </c>
      <c r="N379" s="27">
        <f>IF(L379="","",L379+M379)</f>
        <v/>
      </c>
      <c r="O379" s="24" t="n"/>
      <c r="P379" s="24" t="n"/>
      <c r="Q379" s="24" t="n"/>
      <c r="R379" s="22" t="n"/>
      <c r="S379" s="22" t="n"/>
      <c r="T379" s="24" t="n"/>
      <c r="U379" s="24" t="n"/>
      <c r="V379" s="25">
        <f>IF(COUNTA(A379,D379,C379,L379)=0,"",IF(A379="","No date - sits outside every month",IF(E379="","No job number",IF(F379="CHECK","Job number is not in the Xero job list",IF(I379="","No cost centre",IF(AND(P379="Y",C379=""),"Marked posted to Xero but has no invoice number",IF(AND(L379&lt;&gt;"",K379=""),"No tax code",IF(AND(L379&lt;&gt;"",O379=""),"No revenue GL code",""))))))))</f>
        <v/>
      </c>
      <c r="W379" s="25">
        <f>IF(E379="","",IFERROR(INDEX(lst_JobName,MATCH(E379&amp;"",lst_Jobs,0)),""))</f>
        <v/>
      </c>
      <c r="X379" s="28">
        <f>IF(E379="","",COUNTIFS(tbl_Finance[Job Number],E379&amp;"",tbl_Finance[Ex GST],"&lt;&gt;"))</f>
        <v/>
      </c>
      <c r="Y379" s="27">
        <f>IF(E379="","",SUMIFS(tbl_Finance[Ex GST],tbl_Finance[Job Number],E379&amp;""))</f>
        <v/>
      </c>
      <c r="Z379" s="27">
        <f>IF(E379="","",SUMIFS(tbl_Finance[Ex GST],tbl_Finance[Job Number],E379&amp;"",tbl_Finance[Xero Invoice No],"&lt;&gt;"))</f>
        <v/>
      </c>
      <c r="AA379" s="27">
        <f>IF(E379="","",Y379-Z379)</f>
        <v/>
      </c>
      <c r="AB379" s="25">
        <f>IF(E379="","",IF(H379="Onsite",IFERROR(INDEX(tbl_Onsite[Qwilr Quote],MATCH(E379&amp;"",tbl_Onsite[Job Number],0)),""),IF(H379="Production",IFERROR(INDEX(tbl_Production[Current RMS No],MATCH(E379&amp;"",tbl_Production[Job Number],0)),""),IF(H379="Consulting",IFERROR(INDEX(tbl_Consulting[Qwilr Quote],MATCH(E379&amp;"",tbl_Consulting[Job Number],0)),""),""))))</f>
        <v/>
      </c>
      <c r="AC379" s="25">
        <f>IF(AB379="","",IF(AND(LEFT(AB379,4)&lt;&gt;"http",IF(H379="Production",set_RMSBase,set_QwilrBase)=""),"",HYPERLINK(IF(LEFT(AB379,4)="http",AB379,IF(H379="Production",set_RMSBase,set_QwilrBase)&amp;AB379),"Open")))</f>
        <v/>
      </c>
      <c r="AD379" s="27">
        <f>IF(E379="","",IF(H379="Production",IFERROR(INDEX(tbl_Production[Total Expense],MATCH(E379&amp;"",tbl_Production[Job Number],0)),0),IF(H379="Consulting",IFERROR(INDEX(tbl_Consulting[Total Expense],MATCH(E379&amp;"",tbl_Consulting[Job Number],0)),0),0)))</f>
        <v/>
      </c>
      <c r="AE379" s="27">
        <f>IF(E379="","",Y379-N(AD379))</f>
        <v/>
      </c>
      <c r="AF379" s="29">
        <f>IFERROR(AE379/Y379,"")</f>
        <v/>
      </c>
      <c r="AG379" s="25">
        <f>IF(E379="","",IF(H379="Onsite",IFERROR(INDEX(tbl_Onsite[Notes],MATCH(E379&amp;"",tbl_Onsite[Job Number],0)),""),IF(H379="Production",IFERROR(INDEX(tbl_Production[Notes],MATCH(E379&amp;"",tbl_Production[Job Number],0)),""),IF(H379="Consulting",IFERROR(INDEX(tbl_Consulting[Notes],MATCH(E379&amp;"",tbl_Consulting[Job Number],0)),""),""))))</f>
        <v/>
      </c>
    </row>
    <row r="380" ht="15" customHeight="1">
      <c r="A380" s="22" t="n"/>
      <c r="B380" s="23">
        <f>IF(A380="","",EOMONTH(A380,0))</f>
        <v/>
      </c>
      <c r="C380" s="24" t="n"/>
      <c r="D380" s="24" t="n"/>
      <c r="E380" s="24" t="n"/>
      <c r="F380" s="25">
        <f>IF(E380="","",IF(COUNTIF(lst_Jobs,E380&amp;"")&gt;0,"OK","CHECK"))</f>
        <v/>
      </c>
      <c r="G380" s="24" t="n"/>
      <c r="H380" s="24" t="n"/>
      <c r="I380" s="24" t="n"/>
      <c r="J380" s="24" t="n"/>
      <c r="K380" s="24" t="n"/>
      <c r="L380" s="26" t="n"/>
      <c r="M380" s="27">
        <f>IF(L380="","",IF(K380="GST 10%",ROUND(L380*set_GSTRate,2),0))</f>
        <v/>
      </c>
      <c r="N380" s="27">
        <f>IF(L380="","",L380+M380)</f>
        <v/>
      </c>
      <c r="O380" s="24" t="n"/>
      <c r="P380" s="24" t="n"/>
      <c r="Q380" s="24" t="n"/>
      <c r="R380" s="22" t="n"/>
      <c r="S380" s="22" t="n"/>
      <c r="T380" s="24" t="n"/>
      <c r="U380" s="24" t="n"/>
      <c r="V380" s="25">
        <f>IF(COUNTA(A380,D380,C380,L380)=0,"",IF(A380="","No date - sits outside every month",IF(E380="","No job number",IF(F380="CHECK","Job number is not in the Xero job list",IF(I380="","No cost centre",IF(AND(P380="Y",C380=""),"Marked posted to Xero but has no invoice number",IF(AND(L380&lt;&gt;"",K380=""),"No tax code",IF(AND(L380&lt;&gt;"",O380=""),"No revenue GL code",""))))))))</f>
        <v/>
      </c>
      <c r="W380" s="25">
        <f>IF(E380="","",IFERROR(INDEX(lst_JobName,MATCH(E380&amp;"",lst_Jobs,0)),""))</f>
        <v/>
      </c>
      <c r="X380" s="28">
        <f>IF(E380="","",COUNTIFS(tbl_Finance[Job Number],E380&amp;"",tbl_Finance[Ex GST],"&lt;&gt;"))</f>
        <v/>
      </c>
      <c r="Y380" s="27">
        <f>IF(E380="","",SUMIFS(tbl_Finance[Ex GST],tbl_Finance[Job Number],E380&amp;""))</f>
        <v/>
      </c>
      <c r="Z380" s="27">
        <f>IF(E380="","",SUMIFS(tbl_Finance[Ex GST],tbl_Finance[Job Number],E380&amp;"",tbl_Finance[Xero Invoice No],"&lt;&gt;"))</f>
        <v/>
      </c>
      <c r="AA380" s="27">
        <f>IF(E380="","",Y380-Z380)</f>
        <v/>
      </c>
      <c r="AB380" s="25">
        <f>IF(E380="","",IF(H380="Onsite",IFERROR(INDEX(tbl_Onsite[Qwilr Quote],MATCH(E380&amp;"",tbl_Onsite[Job Number],0)),""),IF(H380="Production",IFERROR(INDEX(tbl_Production[Current RMS No],MATCH(E380&amp;"",tbl_Production[Job Number],0)),""),IF(H380="Consulting",IFERROR(INDEX(tbl_Consulting[Qwilr Quote],MATCH(E380&amp;"",tbl_Consulting[Job Number],0)),""),""))))</f>
        <v/>
      </c>
      <c r="AC380" s="25">
        <f>IF(AB380="","",IF(AND(LEFT(AB380,4)&lt;&gt;"http",IF(H380="Production",set_RMSBase,set_QwilrBase)=""),"",HYPERLINK(IF(LEFT(AB380,4)="http",AB380,IF(H380="Production",set_RMSBase,set_QwilrBase)&amp;AB380),"Open")))</f>
        <v/>
      </c>
      <c r="AD380" s="27">
        <f>IF(E380="","",IF(H380="Production",IFERROR(INDEX(tbl_Production[Total Expense],MATCH(E380&amp;"",tbl_Production[Job Number],0)),0),IF(H380="Consulting",IFERROR(INDEX(tbl_Consulting[Total Expense],MATCH(E380&amp;"",tbl_Consulting[Job Number],0)),0),0)))</f>
        <v/>
      </c>
      <c r="AE380" s="27">
        <f>IF(E380="","",Y380-N(AD380))</f>
        <v/>
      </c>
      <c r="AF380" s="29">
        <f>IFERROR(AE380/Y380,"")</f>
        <v/>
      </c>
      <c r="AG380" s="25">
        <f>IF(E380="","",IF(H380="Onsite",IFERROR(INDEX(tbl_Onsite[Notes],MATCH(E380&amp;"",tbl_Onsite[Job Number],0)),""),IF(H380="Production",IFERROR(INDEX(tbl_Production[Notes],MATCH(E380&amp;"",tbl_Production[Job Number],0)),""),IF(H380="Consulting",IFERROR(INDEX(tbl_Consulting[Notes],MATCH(E380&amp;"",tbl_Consulting[Job Number],0)),""),""))))</f>
        <v/>
      </c>
    </row>
    <row r="381" ht="15" customHeight="1">
      <c r="A381" s="22" t="n"/>
      <c r="B381" s="23">
        <f>IF(A381="","",EOMONTH(A381,0))</f>
        <v/>
      </c>
      <c r="C381" s="24" t="n"/>
      <c r="D381" s="24" t="n"/>
      <c r="E381" s="24" t="n"/>
      <c r="F381" s="25">
        <f>IF(E381="","",IF(COUNTIF(lst_Jobs,E381&amp;"")&gt;0,"OK","CHECK"))</f>
        <v/>
      </c>
      <c r="G381" s="24" t="n"/>
      <c r="H381" s="24" t="n"/>
      <c r="I381" s="24" t="n"/>
      <c r="J381" s="24" t="n"/>
      <c r="K381" s="24" t="n"/>
      <c r="L381" s="26" t="n"/>
      <c r="M381" s="27">
        <f>IF(L381="","",IF(K381="GST 10%",ROUND(L381*set_GSTRate,2),0))</f>
        <v/>
      </c>
      <c r="N381" s="27">
        <f>IF(L381="","",L381+M381)</f>
        <v/>
      </c>
      <c r="O381" s="24" t="n"/>
      <c r="P381" s="24" t="n"/>
      <c r="Q381" s="24" t="n"/>
      <c r="R381" s="22" t="n"/>
      <c r="S381" s="22" t="n"/>
      <c r="T381" s="24" t="n"/>
      <c r="U381" s="24" t="n"/>
      <c r="V381" s="25">
        <f>IF(COUNTA(A381,D381,C381,L381)=0,"",IF(A381="","No date - sits outside every month",IF(E381="","No job number",IF(F381="CHECK","Job number is not in the Xero job list",IF(I381="","No cost centre",IF(AND(P381="Y",C381=""),"Marked posted to Xero but has no invoice number",IF(AND(L381&lt;&gt;"",K381=""),"No tax code",IF(AND(L381&lt;&gt;"",O381=""),"No revenue GL code",""))))))))</f>
        <v/>
      </c>
      <c r="W381" s="25">
        <f>IF(E381="","",IFERROR(INDEX(lst_JobName,MATCH(E381&amp;"",lst_Jobs,0)),""))</f>
        <v/>
      </c>
      <c r="X381" s="28">
        <f>IF(E381="","",COUNTIFS(tbl_Finance[Job Number],E381&amp;"",tbl_Finance[Ex GST],"&lt;&gt;"))</f>
        <v/>
      </c>
      <c r="Y381" s="27">
        <f>IF(E381="","",SUMIFS(tbl_Finance[Ex GST],tbl_Finance[Job Number],E381&amp;""))</f>
        <v/>
      </c>
      <c r="Z381" s="27">
        <f>IF(E381="","",SUMIFS(tbl_Finance[Ex GST],tbl_Finance[Job Number],E381&amp;"",tbl_Finance[Xero Invoice No],"&lt;&gt;"))</f>
        <v/>
      </c>
      <c r="AA381" s="27">
        <f>IF(E381="","",Y381-Z381)</f>
        <v/>
      </c>
      <c r="AB381" s="25">
        <f>IF(E381="","",IF(H381="Onsite",IFERROR(INDEX(tbl_Onsite[Qwilr Quote],MATCH(E381&amp;"",tbl_Onsite[Job Number],0)),""),IF(H381="Production",IFERROR(INDEX(tbl_Production[Current RMS No],MATCH(E381&amp;"",tbl_Production[Job Number],0)),""),IF(H381="Consulting",IFERROR(INDEX(tbl_Consulting[Qwilr Quote],MATCH(E381&amp;"",tbl_Consulting[Job Number],0)),""),""))))</f>
        <v/>
      </c>
      <c r="AC381" s="25">
        <f>IF(AB381="","",IF(AND(LEFT(AB381,4)&lt;&gt;"http",IF(H381="Production",set_RMSBase,set_QwilrBase)=""),"",HYPERLINK(IF(LEFT(AB381,4)="http",AB381,IF(H381="Production",set_RMSBase,set_QwilrBase)&amp;AB381),"Open")))</f>
        <v/>
      </c>
      <c r="AD381" s="27">
        <f>IF(E381="","",IF(H381="Production",IFERROR(INDEX(tbl_Production[Total Expense],MATCH(E381&amp;"",tbl_Production[Job Number],0)),0),IF(H381="Consulting",IFERROR(INDEX(tbl_Consulting[Total Expense],MATCH(E381&amp;"",tbl_Consulting[Job Number],0)),0),0)))</f>
        <v/>
      </c>
      <c r="AE381" s="27">
        <f>IF(E381="","",Y381-N(AD381))</f>
        <v/>
      </c>
      <c r="AF381" s="29">
        <f>IFERROR(AE381/Y381,"")</f>
        <v/>
      </c>
      <c r="AG381" s="25">
        <f>IF(E381="","",IF(H381="Onsite",IFERROR(INDEX(tbl_Onsite[Notes],MATCH(E381&amp;"",tbl_Onsite[Job Number],0)),""),IF(H381="Production",IFERROR(INDEX(tbl_Production[Notes],MATCH(E381&amp;"",tbl_Production[Job Number],0)),""),IF(H381="Consulting",IFERROR(INDEX(tbl_Consulting[Notes],MATCH(E381&amp;"",tbl_Consulting[Job Number],0)),""),""))))</f>
        <v/>
      </c>
    </row>
    <row r="382" ht="15" customHeight="1">
      <c r="A382" s="22" t="n"/>
      <c r="B382" s="23">
        <f>IF(A382="","",EOMONTH(A382,0))</f>
        <v/>
      </c>
      <c r="C382" s="24" t="n"/>
      <c r="D382" s="24" t="n"/>
      <c r="E382" s="24" t="n"/>
      <c r="F382" s="25">
        <f>IF(E382="","",IF(COUNTIF(lst_Jobs,E382&amp;"")&gt;0,"OK","CHECK"))</f>
        <v/>
      </c>
      <c r="G382" s="24" t="n"/>
      <c r="H382" s="24" t="n"/>
      <c r="I382" s="24" t="n"/>
      <c r="J382" s="24" t="n"/>
      <c r="K382" s="24" t="n"/>
      <c r="L382" s="26" t="n"/>
      <c r="M382" s="27">
        <f>IF(L382="","",IF(K382="GST 10%",ROUND(L382*set_GSTRate,2),0))</f>
        <v/>
      </c>
      <c r="N382" s="27">
        <f>IF(L382="","",L382+M382)</f>
        <v/>
      </c>
      <c r="O382" s="24" t="n"/>
      <c r="P382" s="24" t="n"/>
      <c r="Q382" s="24" t="n"/>
      <c r="R382" s="22" t="n"/>
      <c r="S382" s="22" t="n"/>
      <c r="T382" s="24" t="n"/>
      <c r="U382" s="24" t="n"/>
      <c r="V382" s="25">
        <f>IF(COUNTA(A382,D382,C382,L382)=0,"",IF(A382="","No date - sits outside every month",IF(E382="","No job number",IF(F382="CHECK","Job number is not in the Xero job list",IF(I382="","No cost centre",IF(AND(P382="Y",C382=""),"Marked posted to Xero but has no invoice number",IF(AND(L382&lt;&gt;"",K382=""),"No tax code",IF(AND(L382&lt;&gt;"",O382=""),"No revenue GL code",""))))))))</f>
        <v/>
      </c>
      <c r="W382" s="25">
        <f>IF(E382="","",IFERROR(INDEX(lst_JobName,MATCH(E382&amp;"",lst_Jobs,0)),""))</f>
        <v/>
      </c>
      <c r="X382" s="28">
        <f>IF(E382="","",COUNTIFS(tbl_Finance[Job Number],E382&amp;"",tbl_Finance[Ex GST],"&lt;&gt;"))</f>
        <v/>
      </c>
      <c r="Y382" s="27">
        <f>IF(E382="","",SUMIFS(tbl_Finance[Ex GST],tbl_Finance[Job Number],E382&amp;""))</f>
        <v/>
      </c>
      <c r="Z382" s="27">
        <f>IF(E382="","",SUMIFS(tbl_Finance[Ex GST],tbl_Finance[Job Number],E382&amp;"",tbl_Finance[Xero Invoice No],"&lt;&gt;"))</f>
        <v/>
      </c>
      <c r="AA382" s="27">
        <f>IF(E382="","",Y382-Z382)</f>
        <v/>
      </c>
      <c r="AB382" s="25">
        <f>IF(E382="","",IF(H382="Onsite",IFERROR(INDEX(tbl_Onsite[Qwilr Quote],MATCH(E382&amp;"",tbl_Onsite[Job Number],0)),""),IF(H382="Production",IFERROR(INDEX(tbl_Production[Current RMS No],MATCH(E382&amp;"",tbl_Production[Job Number],0)),""),IF(H382="Consulting",IFERROR(INDEX(tbl_Consulting[Qwilr Quote],MATCH(E382&amp;"",tbl_Consulting[Job Number],0)),""),""))))</f>
        <v/>
      </c>
      <c r="AC382" s="25">
        <f>IF(AB382="","",IF(AND(LEFT(AB382,4)&lt;&gt;"http",IF(H382="Production",set_RMSBase,set_QwilrBase)=""),"",HYPERLINK(IF(LEFT(AB382,4)="http",AB382,IF(H382="Production",set_RMSBase,set_QwilrBase)&amp;AB382),"Open")))</f>
        <v/>
      </c>
      <c r="AD382" s="27">
        <f>IF(E382="","",IF(H382="Production",IFERROR(INDEX(tbl_Production[Total Expense],MATCH(E382&amp;"",tbl_Production[Job Number],0)),0),IF(H382="Consulting",IFERROR(INDEX(tbl_Consulting[Total Expense],MATCH(E382&amp;"",tbl_Consulting[Job Number],0)),0),0)))</f>
        <v/>
      </c>
      <c r="AE382" s="27">
        <f>IF(E382="","",Y382-N(AD382))</f>
        <v/>
      </c>
      <c r="AF382" s="29">
        <f>IFERROR(AE382/Y382,"")</f>
        <v/>
      </c>
      <c r="AG382" s="25">
        <f>IF(E382="","",IF(H382="Onsite",IFERROR(INDEX(tbl_Onsite[Notes],MATCH(E382&amp;"",tbl_Onsite[Job Number],0)),""),IF(H382="Production",IFERROR(INDEX(tbl_Production[Notes],MATCH(E382&amp;"",tbl_Production[Job Number],0)),""),IF(H382="Consulting",IFERROR(INDEX(tbl_Consulting[Notes],MATCH(E382&amp;"",tbl_Consulting[Job Number],0)),""),""))))</f>
        <v/>
      </c>
    </row>
    <row r="383" ht="15" customHeight="1">
      <c r="A383" s="22" t="n"/>
      <c r="B383" s="23">
        <f>IF(A383="","",EOMONTH(A383,0))</f>
        <v/>
      </c>
      <c r="C383" s="24" t="n"/>
      <c r="D383" s="24" t="n"/>
      <c r="E383" s="24" t="n"/>
      <c r="F383" s="25">
        <f>IF(E383="","",IF(COUNTIF(lst_Jobs,E383&amp;"")&gt;0,"OK","CHECK"))</f>
        <v/>
      </c>
      <c r="G383" s="24" t="n"/>
      <c r="H383" s="24" t="n"/>
      <c r="I383" s="24" t="n"/>
      <c r="J383" s="24" t="n"/>
      <c r="K383" s="24" t="n"/>
      <c r="L383" s="26" t="n"/>
      <c r="M383" s="27">
        <f>IF(L383="","",IF(K383="GST 10%",ROUND(L383*set_GSTRate,2),0))</f>
        <v/>
      </c>
      <c r="N383" s="27">
        <f>IF(L383="","",L383+M383)</f>
        <v/>
      </c>
      <c r="O383" s="24" t="n"/>
      <c r="P383" s="24" t="n"/>
      <c r="Q383" s="24" t="n"/>
      <c r="R383" s="22" t="n"/>
      <c r="S383" s="22" t="n"/>
      <c r="T383" s="24" t="n"/>
      <c r="U383" s="24" t="n"/>
      <c r="V383" s="25">
        <f>IF(COUNTA(A383,D383,C383,L383)=0,"",IF(A383="","No date - sits outside every month",IF(E383="","No job number",IF(F383="CHECK","Job number is not in the Xero job list",IF(I383="","No cost centre",IF(AND(P383="Y",C383=""),"Marked posted to Xero but has no invoice number",IF(AND(L383&lt;&gt;"",K383=""),"No tax code",IF(AND(L383&lt;&gt;"",O383=""),"No revenue GL code",""))))))))</f>
        <v/>
      </c>
      <c r="W383" s="25">
        <f>IF(E383="","",IFERROR(INDEX(lst_JobName,MATCH(E383&amp;"",lst_Jobs,0)),""))</f>
        <v/>
      </c>
      <c r="X383" s="28">
        <f>IF(E383="","",COUNTIFS(tbl_Finance[Job Number],E383&amp;"",tbl_Finance[Ex GST],"&lt;&gt;"))</f>
        <v/>
      </c>
      <c r="Y383" s="27">
        <f>IF(E383="","",SUMIFS(tbl_Finance[Ex GST],tbl_Finance[Job Number],E383&amp;""))</f>
        <v/>
      </c>
      <c r="Z383" s="27">
        <f>IF(E383="","",SUMIFS(tbl_Finance[Ex GST],tbl_Finance[Job Number],E383&amp;"",tbl_Finance[Xero Invoice No],"&lt;&gt;"))</f>
        <v/>
      </c>
      <c r="AA383" s="27">
        <f>IF(E383="","",Y383-Z383)</f>
        <v/>
      </c>
      <c r="AB383" s="25">
        <f>IF(E383="","",IF(H383="Onsite",IFERROR(INDEX(tbl_Onsite[Qwilr Quote],MATCH(E383&amp;"",tbl_Onsite[Job Number],0)),""),IF(H383="Production",IFERROR(INDEX(tbl_Production[Current RMS No],MATCH(E383&amp;"",tbl_Production[Job Number],0)),""),IF(H383="Consulting",IFERROR(INDEX(tbl_Consulting[Qwilr Quote],MATCH(E383&amp;"",tbl_Consulting[Job Number],0)),""),""))))</f>
        <v/>
      </c>
      <c r="AC383" s="25">
        <f>IF(AB383="","",IF(AND(LEFT(AB383,4)&lt;&gt;"http",IF(H383="Production",set_RMSBase,set_QwilrBase)=""),"",HYPERLINK(IF(LEFT(AB383,4)="http",AB383,IF(H383="Production",set_RMSBase,set_QwilrBase)&amp;AB383),"Open")))</f>
        <v/>
      </c>
      <c r="AD383" s="27">
        <f>IF(E383="","",IF(H383="Production",IFERROR(INDEX(tbl_Production[Total Expense],MATCH(E383&amp;"",tbl_Production[Job Number],0)),0),IF(H383="Consulting",IFERROR(INDEX(tbl_Consulting[Total Expense],MATCH(E383&amp;"",tbl_Consulting[Job Number],0)),0),0)))</f>
        <v/>
      </c>
      <c r="AE383" s="27">
        <f>IF(E383="","",Y383-N(AD383))</f>
        <v/>
      </c>
      <c r="AF383" s="29">
        <f>IFERROR(AE383/Y383,"")</f>
        <v/>
      </c>
      <c r="AG383" s="25">
        <f>IF(E383="","",IF(H383="Onsite",IFERROR(INDEX(tbl_Onsite[Notes],MATCH(E383&amp;"",tbl_Onsite[Job Number],0)),""),IF(H383="Production",IFERROR(INDEX(tbl_Production[Notes],MATCH(E383&amp;"",tbl_Production[Job Number],0)),""),IF(H383="Consulting",IFERROR(INDEX(tbl_Consulting[Notes],MATCH(E383&amp;"",tbl_Consulting[Job Number],0)),""),""))))</f>
        <v/>
      </c>
    </row>
    <row r="384" ht="15" customHeight="1">
      <c r="A384" s="22" t="n"/>
      <c r="B384" s="23">
        <f>IF(A384="","",EOMONTH(A384,0))</f>
        <v/>
      </c>
      <c r="C384" s="24" t="n"/>
      <c r="D384" s="24" t="n"/>
      <c r="E384" s="24" t="n"/>
      <c r="F384" s="25">
        <f>IF(E384="","",IF(COUNTIF(lst_Jobs,E384&amp;"")&gt;0,"OK","CHECK"))</f>
        <v/>
      </c>
      <c r="G384" s="24" t="n"/>
      <c r="H384" s="24" t="n"/>
      <c r="I384" s="24" t="n"/>
      <c r="J384" s="24" t="n"/>
      <c r="K384" s="24" t="n"/>
      <c r="L384" s="26" t="n"/>
      <c r="M384" s="27">
        <f>IF(L384="","",IF(K384="GST 10%",ROUND(L384*set_GSTRate,2),0))</f>
        <v/>
      </c>
      <c r="N384" s="27">
        <f>IF(L384="","",L384+M384)</f>
        <v/>
      </c>
      <c r="O384" s="24" t="n"/>
      <c r="P384" s="24" t="n"/>
      <c r="Q384" s="24" t="n"/>
      <c r="R384" s="22" t="n"/>
      <c r="S384" s="22" t="n"/>
      <c r="T384" s="24" t="n"/>
      <c r="U384" s="24" t="n"/>
      <c r="V384" s="25">
        <f>IF(COUNTA(A384,D384,C384,L384)=0,"",IF(A384="","No date - sits outside every month",IF(E384="","No job number",IF(F384="CHECK","Job number is not in the Xero job list",IF(I384="","No cost centre",IF(AND(P384="Y",C384=""),"Marked posted to Xero but has no invoice number",IF(AND(L384&lt;&gt;"",K384=""),"No tax code",IF(AND(L384&lt;&gt;"",O384=""),"No revenue GL code",""))))))))</f>
        <v/>
      </c>
      <c r="W384" s="25">
        <f>IF(E384="","",IFERROR(INDEX(lst_JobName,MATCH(E384&amp;"",lst_Jobs,0)),""))</f>
        <v/>
      </c>
      <c r="X384" s="28">
        <f>IF(E384="","",COUNTIFS(tbl_Finance[Job Number],E384&amp;"",tbl_Finance[Ex GST],"&lt;&gt;"))</f>
        <v/>
      </c>
      <c r="Y384" s="27">
        <f>IF(E384="","",SUMIFS(tbl_Finance[Ex GST],tbl_Finance[Job Number],E384&amp;""))</f>
        <v/>
      </c>
      <c r="Z384" s="27">
        <f>IF(E384="","",SUMIFS(tbl_Finance[Ex GST],tbl_Finance[Job Number],E384&amp;"",tbl_Finance[Xero Invoice No],"&lt;&gt;"))</f>
        <v/>
      </c>
      <c r="AA384" s="27">
        <f>IF(E384="","",Y384-Z384)</f>
        <v/>
      </c>
      <c r="AB384" s="25">
        <f>IF(E384="","",IF(H384="Onsite",IFERROR(INDEX(tbl_Onsite[Qwilr Quote],MATCH(E384&amp;"",tbl_Onsite[Job Number],0)),""),IF(H384="Production",IFERROR(INDEX(tbl_Production[Current RMS No],MATCH(E384&amp;"",tbl_Production[Job Number],0)),""),IF(H384="Consulting",IFERROR(INDEX(tbl_Consulting[Qwilr Quote],MATCH(E384&amp;"",tbl_Consulting[Job Number],0)),""),""))))</f>
        <v/>
      </c>
      <c r="AC384" s="25">
        <f>IF(AB384="","",IF(AND(LEFT(AB384,4)&lt;&gt;"http",IF(H384="Production",set_RMSBase,set_QwilrBase)=""),"",HYPERLINK(IF(LEFT(AB384,4)="http",AB384,IF(H384="Production",set_RMSBase,set_QwilrBase)&amp;AB384),"Open")))</f>
        <v/>
      </c>
      <c r="AD384" s="27">
        <f>IF(E384="","",IF(H384="Production",IFERROR(INDEX(tbl_Production[Total Expense],MATCH(E384&amp;"",tbl_Production[Job Number],0)),0),IF(H384="Consulting",IFERROR(INDEX(tbl_Consulting[Total Expense],MATCH(E384&amp;"",tbl_Consulting[Job Number],0)),0),0)))</f>
        <v/>
      </c>
      <c r="AE384" s="27">
        <f>IF(E384="","",Y384-N(AD384))</f>
        <v/>
      </c>
      <c r="AF384" s="29">
        <f>IFERROR(AE384/Y384,"")</f>
        <v/>
      </c>
      <c r="AG384" s="25">
        <f>IF(E384="","",IF(H384="Onsite",IFERROR(INDEX(tbl_Onsite[Notes],MATCH(E384&amp;"",tbl_Onsite[Job Number],0)),""),IF(H384="Production",IFERROR(INDEX(tbl_Production[Notes],MATCH(E384&amp;"",tbl_Production[Job Number],0)),""),IF(H384="Consulting",IFERROR(INDEX(tbl_Consulting[Notes],MATCH(E384&amp;"",tbl_Consulting[Job Number],0)),""),""))))</f>
        <v/>
      </c>
    </row>
    <row r="385" ht="15" customHeight="1">
      <c r="A385" s="22" t="n"/>
      <c r="B385" s="23">
        <f>IF(A385="","",EOMONTH(A385,0))</f>
        <v/>
      </c>
      <c r="C385" s="24" t="n"/>
      <c r="D385" s="24" t="n"/>
      <c r="E385" s="24" t="n"/>
      <c r="F385" s="25">
        <f>IF(E385="","",IF(COUNTIF(lst_Jobs,E385&amp;"")&gt;0,"OK","CHECK"))</f>
        <v/>
      </c>
      <c r="G385" s="24" t="n"/>
      <c r="H385" s="24" t="n"/>
      <c r="I385" s="24" t="n"/>
      <c r="J385" s="24" t="n"/>
      <c r="K385" s="24" t="n"/>
      <c r="L385" s="26" t="n"/>
      <c r="M385" s="27">
        <f>IF(L385="","",IF(K385="GST 10%",ROUND(L385*set_GSTRate,2),0))</f>
        <v/>
      </c>
      <c r="N385" s="27">
        <f>IF(L385="","",L385+M385)</f>
        <v/>
      </c>
      <c r="O385" s="24" t="n"/>
      <c r="P385" s="24" t="n"/>
      <c r="Q385" s="24" t="n"/>
      <c r="R385" s="22" t="n"/>
      <c r="S385" s="22" t="n"/>
      <c r="T385" s="24" t="n"/>
      <c r="U385" s="24" t="n"/>
      <c r="V385" s="25">
        <f>IF(COUNTA(A385,D385,C385,L385)=0,"",IF(A385="","No date - sits outside every month",IF(E385="","No job number",IF(F385="CHECK","Job number is not in the Xero job list",IF(I385="","No cost centre",IF(AND(P385="Y",C385=""),"Marked posted to Xero but has no invoice number",IF(AND(L385&lt;&gt;"",K385=""),"No tax code",IF(AND(L385&lt;&gt;"",O385=""),"No revenue GL code",""))))))))</f>
        <v/>
      </c>
      <c r="W385" s="25">
        <f>IF(E385="","",IFERROR(INDEX(lst_JobName,MATCH(E385&amp;"",lst_Jobs,0)),""))</f>
        <v/>
      </c>
      <c r="X385" s="28">
        <f>IF(E385="","",COUNTIFS(tbl_Finance[Job Number],E385&amp;"",tbl_Finance[Ex GST],"&lt;&gt;"))</f>
        <v/>
      </c>
      <c r="Y385" s="27">
        <f>IF(E385="","",SUMIFS(tbl_Finance[Ex GST],tbl_Finance[Job Number],E385&amp;""))</f>
        <v/>
      </c>
      <c r="Z385" s="27">
        <f>IF(E385="","",SUMIFS(tbl_Finance[Ex GST],tbl_Finance[Job Number],E385&amp;"",tbl_Finance[Xero Invoice No],"&lt;&gt;"))</f>
        <v/>
      </c>
      <c r="AA385" s="27">
        <f>IF(E385="","",Y385-Z385)</f>
        <v/>
      </c>
      <c r="AB385" s="25">
        <f>IF(E385="","",IF(H385="Onsite",IFERROR(INDEX(tbl_Onsite[Qwilr Quote],MATCH(E385&amp;"",tbl_Onsite[Job Number],0)),""),IF(H385="Production",IFERROR(INDEX(tbl_Production[Current RMS No],MATCH(E385&amp;"",tbl_Production[Job Number],0)),""),IF(H385="Consulting",IFERROR(INDEX(tbl_Consulting[Qwilr Quote],MATCH(E385&amp;"",tbl_Consulting[Job Number],0)),""),""))))</f>
        <v/>
      </c>
      <c r="AC385" s="25">
        <f>IF(AB385="","",IF(AND(LEFT(AB385,4)&lt;&gt;"http",IF(H385="Production",set_RMSBase,set_QwilrBase)=""),"",HYPERLINK(IF(LEFT(AB385,4)="http",AB385,IF(H385="Production",set_RMSBase,set_QwilrBase)&amp;AB385),"Open")))</f>
        <v/>
      </c>
      <c r="AD385" s="27">
        <f>IF(E385="","",IF(H385="Production",IFERROR(INDEX(tbl_Production[Total Expense],MATCH(E385&amp;"",tbl_Production[Job Number],0)),0),IF(H385="Consulting",IFERROR(INDEX(tbl_Consulting[Total Expense],MATCH(E385&amp;"",tbl_Consulting[Job Number],0)),0),0)))</f>
        <v/>
      </c>
      <c r="AE385" s="27">
        <f>IF(E385="","",Y385-N(AD385))</f>
        <v/>
      </c>
      <c r="AF385" s="29">
        <f>IFERROR(AE385/Y385,"")</f>
        <v/>
      </c>
      <c r="AG385" s="25">
        <f>IF(E385="","",IF(H385="Onsite",IFERROR(INDEX(tbl_Onsite[Notes],MATCH(E385&amp;"",tbl_Onsite[Job Number],0)),""),IF(H385="Production",IFERROR(INDEX(tbl_Production[Notes],MATCH(E385&amp;"",tbl_Production[Job Number],0)),""),IF(H385="Consulting",IFERROR(INDEX(tbl_Consulting[Notes],MATCH(E385&amp;"",tbl_Consulting[Job Number],0)),""),""))))</f>
        <v/>
      </c>
    </row>
    <row r="386" ht="15" customHeight="1">
      <c r="A386" s="22" t="n"/>
      <c r="B386" s="23">
        <f>IF(A386="","",EOMONTH(A386,0))</f>
        <v/>
      </c>
      <c r="C386" s="24" t="n"/>
      <c r="D386" s="24" t="n"/>
      <c r="E386" s="24" t="n"/>
      <c r="F386" s="25">
        <f>IF(E386="","",IF(COUNTIF(lst_Jobs,E386&amp;"")&gt;0,"OK","CHECK"))</f>
        <v/>
      </c>
      <c r="G386" s="24" t="n"/>
      <c r="H386" s="24" t="n"/>
      <c r="I386" s="24" t="n"/>
      <c r="J386" s="24" t="n"/>
      <c r="K386" s="24" t="n"/>
      <c r="L386" s="26" t="n"/>
      <c r="M386" s="27">
        <f>IF(L386="","",IF(K386="GST 10%",ROUND(L386*set_GSTRate,2),0))</f>
        <v/>
      </c>
      <c r="N386" s="27">
        <f>IF(L386="","",L386+M386)</f>
        <v/>
      </c>
      <c r="O386" s="24" t="n"/>
      <c r="P386" s="24" t="n"/>
      <c r="Q386" s="24" t="n"/>
      <c r="R386" s="22" t="n"/>
      <c r="S386" s="22" t="n"/>
      <c r="T386" s="24" t="n"/>
      <c r="U386" s="24" t="n"/>
      <c r="V386" s="25">
        <f>IF(COUNTA(A386,D386,C386,L386)=0,"",IF(A386="","No date - sits outside every month",IF(E386="","No job number",IF(F386="CHECK","Job number is not in the Xero job list",IF(I386="","No cost centre",IF(AND(P386="Y",C386=""),"Marked posted to Xero but has no invoice number",IF(AND(L386&lt;&gt;"",K386=""),"No tax code",IF(AND(L386&lt;&gt;"",O386=""),"No revenue GL code",""))))))))</f>
        <v/>
      </c>
      <c r="W386" s="25">
        <f>IF(E386="","",IFERROR(INDEX(lst_JobName,MATCH(E386&amp;"",lst_Jobs,0)),""))</f>
        <v/>
      </c>
      <c r="X386" s="28">
        <f>IF(E386="","",COUNTIFS(tbl_Finance[Job Number],E386&amp;"",tbl_Finance[Ex GST],"&lt;&gt;"))</f>
        <v/>
      </c>
      <c r="Y386" s="27">
        <f>IF(E386="","",SUMIFS(tbl_Finance[Ex GST],tbl_Finance[Job Number],E386&amp;""))</f>
        <v/>
      </c>
      <c r="Z386" s="27">
        <f>IF(E386="","",SUMIFS(tbl_Finance[Ex GST],tbl_Finance[Job Number],E386&amp;"",tbl_Finance[Xero Invoice No],"&lt;&gt;"))</f>
        <v/>
      </c>
      <c r="AA386" s="27">
        <f>IF(E386="","",Y386-Z386)</f>
        <v/>
      </c>
      <c r="AB386" s="25">
        <f>IF(E386="","",IF(H386="Onsite",IFERROR(INDEX(tbl_Onsite[Qwilr Quote],MATCH(E386&amp;"",tbl_Onsite[Job Number],0)),""),IF(H386="Production",IFERROR(INDEX(tbl_Production[Current RMS No],MATCH(E386&amp;"",tbl_Production[Job Number],0)),""),IF(H386="Consulting",IFERROR(INDEX(tbl_Consulting[Qwilr Quote],MATCH(E386&amp;"",tbl_Consulting[Job Number],0)),""),""))))</f>
        <v/>
      </c>
      <c r="AC386" s="25">
        <f>IF(AB386="","",IF(AND(LEFT(AB386,4)&lt;&gt;"http",IF(H386="Production",set_RMSBase,set_QwilrBase)=""),"",HYPERLINK(IF(LEFT(AB386,4)="http",AB386,IF(H386="Production",set_RMSBase,set_QwilrBase)&amp;AB386),"Open")))</f>
        <v/>
      </c>
      <c r="AD386" s="27">
        <f>IF(E386="","",IF(H386="Production",IFERROR(INDEX(tbl_Production[Total Expense],MATCH(E386&amp;"",tbl_Production[Job Number],0)),0),IF(H386="Consulting",IFERROR(INDEX(tbl_Consulting[Total Expense],MATCH(E386&amp;"",tbl_Consulting[Job Number],0)),0),0)))</f>
        <v/>
      </c>
      <c r="AE386" s="27">
        <f>IF(E386="","",Y386-N(AD386))</f>
        <v/>
      </c>
      <c r="AF386" s="29">
        <f>IFERROR(AE386/Y386,"")</f>
        <v/>
      </c>
      <c r="AG386" s="25">
        <f>IF(E386="","",IF(H386="Onsite",IFERROR(INDEX(tbl_Onsite[Notes],MATCH(E386&amp;"",tbl_Onsite[Job Number],0)),""),IF(H386="Production",IFERROR(INDEX(tbl_Production[Notes],MATCH(E386&amp;"",tbl_Production[Job Number],0)),""),IF(H386="Consulting",IFERROR(INDEX(tbl_Consulting[Notes],MATCH(E386&amp;"",tbl_Consulting[Job Number],0)),""),""))))</f>
        <v/>
      </c>
    </row>
    <row r="387" ht="15" customHeight="1">
      <c r="A387" s="22" t="n"/>
      <c r="B387" s="23">
        <f>IF(A387="","",EOMONTH(A387,0))</f>
        <v/>
      </c>
      <c r="C387" s="24" t="n"/>
      <c r="D387" s="24" t="n"/>
      <c r="E387" s="24" t="n"/>
      <c r="F387" s="25">
        <f>IF(E387="","",IF(COUNTIF(lst_Jobs,E387&amp;"")&gt;0,"OK","CHECK"))</f>
        <v/>
      </c>
      <c r="G387" s="24" t="n"/>
      <c r="H387" s="24" t="n"/>
      <c r="I387" s="24" t="n"/>
      <c r="J387" s="24" t="n"/>
      <c r="K387" s="24" t="n"/>
      <c r="L387" s="26" t="n"/>
      <c r="M387" s="27">
        <f>IF(L387="","",IF(K387="GST 10%",ROUND(L387*set_GSTRate,2),0))</f>
        <v/>
      </c>
      <c r="N387" s="27">
        <f>IF(L387="","",L387+M387)</f>
        <v/>
      </c>
      <c r="O387" s="24" t="n"/>
      <c r="P387" s="24" t="n"/>
      <c r="Q387" s="24" t="n"/>
      <c r="R387" s="22" t="n"/>
      <c r="S387" s="22" t="n"/>
      <c r="T387" s="24" t="n"/>
      <c r="U387" s="24" t="n"/>
      <c r="V387" s="25">
        <f>IF(COUNTA(A387,D387,C387,L387)=0,"",IF(A387="","No date - sits outside every month",IF(E387="","No job number",IF(F387="CHECK","Job number is not in the Xero job list",IF(I387="","No cost centre",IF(AND(P387="Y",C387=""),"Marked posted to Xero but has no invoice number",IF(AND(L387&lt;&gt;"",K387=""),"No tax code",IF(AND(L387&lt;&gt;"",O387=""),"No revenue GL code",""))))))))</f>
        <v/>
      </c>
      <c r="W387" s="25">
        <f>IF(E387="","",IFERROR(INDEX(lst_JobName,MATCH(E387&amp;"",lst_Jobs,0)),""))</f>
        <v/>
      </c>
      <c r="X387" s="28">
        <f>IF(E387="","",COUNTIFS(tbl_Finance[Job Number],E387&amp;"",tbl_Finance[Ex GST],"&lt;&gt;"))</f>
        <v/>
      </c>
      <c r="Y387" s="27">
        <f>IF(E387="","",SUMIFS(tbl_Finance[Ex GST],tbl_Finance[Job Number],E387&amp;""))</f>
        <v/>
      </c>
      <c r="Z387" s="27">
        <f>IF(E387="","",SUMIFS(tbl_Finance[Ex GST],tbl_Finance[Job Number],E387&amp;"",tbl_Finance[Xero Invoice No],"&lt;&gt;"))</f>
        <v/>
      </c>
      <c r="AA387" s="27">
        <f>IF(E387="","",Y387-Z387)</f>
        <v/>
      </c>
      <c r="AB387" s="25">
        <f>IF(E387="","",IF(H387="Onsite",IFERROR(INDEX(tbl_Onsite[Qwilr Quote],MATCH(E387&amp;"",tbl_Onsite[Job Number],0)),""),IF(H387="Production",IFERROR(INDEX(tbl_Production[Current RMS No],MATCH(E387&amp;"",tbl_Production[Job Number],0)),""),IF(H387="Consulting",IFERROR(INDEX(tbl_Consulting[Qwilr Quote],MATCH(E387&amp;"",tbl_Consulting[Job Number],0)),""),""))))</f>
        <v/>
      </c>
      <c r="AC387" s="25">
        <f>IF(AB387="","",IF(AND(LEFT(AB387,4)&lt;&gt;"http",IF(H387="Production",set_RMSBase,set_QwilrBase)=""),"",HYPERLINK(IF(LEFT(AB387,4)="http",AB387,IF(H387="Production",set_RMSBase,set_QwilrBase)&amp;AB387),"Open")))</f>
        <v/>
      </c>
      <c r="AD387" s="27">
        <f>IF(E387="","",IF(H387="Production",IFERROR(INDEX(tbl_Production[Total Expense],MATCH(E387&amp;"",tbl_Production[Job Number],0)),0),IF(H387="Consulting",IFERROR(INDEX(tbl_Consulting[Total Expense],MATCH(E387&amp;"",tbl_Consulting[Job Number],0)),0),0)))</f>
        <v/>
      </c>
      <c r="AE387" s="27">
        <f>IF(E387="","",Y387-N(AD387))</f>
        <v/>
      </c>
      <c r="AF387" s="29">
        <f>IFERROR(AE387/Y387,"")</f>
        <v/>
      </c>
      <c r="AG387" s="25">
        <f>IF(E387="","",IF(H387="Onsite",IFERROR(INDEX(tbl_Onsite[Notes],MATCH(E387&amp;"",tbl_Onsite[Job Number],0)),""),IF(H387="Production",IFERROR(INDEX(tbl_Production[Notes],MATCH(E387&amp;"",tbl_Production[Job Number],0)),""),IF(H387="Consulting",IFERROR(INDEX(tbl_Consulting[Notes],MATCH(E387&amp;"",tbl_Consulting[Job Number],0)),""),""))))</f>
        <v/>
      </c>
    </row>
    <row r="388" ht="15" customHeight="1">
      <c r="A388" s="22" t="n"/>
      <c r="B388" s="23">
        <f>IF(A388="","",EOMONTH(A388,0))</f>
        <v/>
      </c>
      <c r="C388" s="24" t="n"/>
      <c r="D388" s="24" t="n"/>
      <c r="E388" s="24" t="n"/>
      <c r="F388" s="25">
        <f>IF(E388="","",IF(COUNTIF(lst_Jobs,E388&amp;"")&gt;0,"OK","CHECK"))</f>
        <v/>
      </c>
      <c r="G388" s="24" t="n"/>
      <c r="H388" s="24" t="n"/>
      <c r="I388" s="24" t="n"/>
      <c r="J388" s="24" t="n"/>
      <c r="K388" s="24" t="n"/>
      <c r="L388" s="26" t="n"/>
      <c r="M388" s="27">
        <f>IF(L388="","",IF(K388="GST 10%",ROUND(L388*set_GSTRate,2),0))</f>
        <v/>
      </c>
      <c r="N388" s="27">
        <f>IF(L388="","",L388+M388)</f>
        <v/>
      </c>
      <c r="O388" s="24" t="n"/>
      <c r="P388" s="24" t="n"/>
      <c r="Q388" s="24" t="n"/>
      <c r="R388" s="22" t="n"/>
      <c r="S388" s="22" t="n"/>
      <c r="T388" s="24" t="n"/>
      <c r="U388" s="24" t="n"/>
      <c r="V388" s="25">
        <f>IF(COUNTA(A388,D388,C388,L388)=0,"",IF(A388="","No date - sits outside every month",IF(E388="","No job number",IF(F388="CHECK","Job number is not in the Xero job list",IF(I388="","No cost centre",IF(AND(P388="Y",C388=""),"Marked posted to Xero but has no invoice number",IF(AND(L388&lt;&gt;"",K388=""),"No tax code",IF(AND(L388&lt;&gt;"",O388=""),"No revenue GL code",""))))))))</f>
        <v/>
      </c>
      <c r="W388" s="25">
        <f>IF(E388="","",IFERROR(INDEX(lst_JobName,MATCH(E388&amp;"",lst_Jobs,0)),""))</f>
        <v/>
      </c>
      <c r="X388" s="28">
        <f>IF(E388="","",COUNTIFS(tbl_Finance[Job Number],E388&amp;"",tbl_Finance[Ex GST],"&lt;&gt;"))</f>
        <v/>
      </c>
      <c r="Y388" s="27">
        <f>IF(E388="","",SUMIFS(tbl_Finance[Ex GST],tbl_Finance[Job Number],E388&amp;""))</f>
        <v/>
      </c>
      <c r="Z388" s="27">
        <f>IF(E388="","",SUMIFS(tbl_Finance[Ex GST],tbl_Finance[Job Number],E388&amp;"",tbl_Finance[Xero Invoice No],"&lt;&gt;"))</f>
        <v/>
      </c>
      <c r="AA388" s="27">
        <f>IF(E388="","",Y388-Z388)</f>
        <v/>
      </c>
      <c r="AB388" s="25">
        <f>IF(E388="","",IF(H388="Onsite",IFERROR(INDEX(tbl_Onsite[Qwilr Quote],MATCH(E388&amp;"",tbl_Onsite[Job Number],0)),""),IF(H388="Production",IFERROR(INDEX(tbl_Production[Current RMS No],MATCH(E388&amp;"",tbl_Production[Job Number],0)),""),IF(H388="Consulting",IFERROR(INDEX(tbl_Consulting[Qwilr Quote],MATCH(E388&amp;"",tbl_Consulting[Job Number],0)),""),""))))</f>
        <v/>
      </c>
      <c r="AC388" s="25">
        <f>IF(AB388="","",IF(AND(LEFT(AB388,4)&lt;&gt;"http",IF(H388="Production",set_RMSBase,set_QwilrBase)=""),"",HYPERLINK(IF(LEFT(AB388,4)="http",AB388,IF(H388="Production",set_RMSBase,set_QwilrBase)&amp;AB388),"Open")))</f>
        <v/>
      </c>
      <c r="AD388" s="27">
        <f>IF(E388="","",IF(H388="Production",IFERROR(INDEX(tbl_Production[Total Expense],MATCH(E388&amp;"",tbl_Production[Job Number],0)),0),IF(H388="Consulting",IFERROR(INDEX(tbl_Consulting[Total Expense],MATCH(E388&amp;"",tbl_Consulting[Job Number],0)),0),0)))</f>
        <v/>
      </c>
      <c r="AE388" s="27">
        <f>IF(E388="","",Y388-N(AD388))</f>
        <v/>
      </c>
      <c r="AF388" s="29">
        <f>IFERROR(AE388/Y388,"")</f>
        <v/>
      </c>
      <c r="AG388" s="25">
        <f>IF(E388="","",IF(H388="Onsite",IFERROR(INDEX(tbl_Onsite[Notes],MATCH(E388&amp;"",tbl_Onsite[Job Number],0)),""),IF(H388="Production",IFERROR(INDEX(tbl_Production[Notes],MATCH(E388&amp;"",tbl_Production[Job Number],0)),""),IF(H388="Consulting",IFERROR(INDEX(tbl_Consulting[Notes],MATCH(E388&amp;"",tbl_Consulting[Job Number],0)),""),""))))</f>
        <v/>
      </c>
    </row>
    <row r="389" ht="15" customHeight="1">
      <c r="A389" s="22" t="n"/>
      <c r="B389" s="23">
        <f>IF(A389="","",EOMONTH(A389,0))</f>
        <v/>
      </c>
      <c r="C389" s="24" t="n"/>
      <c r="D389" s="24" t="n"/>
      <c r="E389" s="24" t="n"/>
      <c r="F389" s="25">
        <f>IF(E389="","",IF(COUNTIF(lst_Jobs,E389&amp;"")&gt;0,"OK","CHECK"))</f>
        <v/>
      </c>
      <c r="G389" s="24" t="n"/>
      <c r="H389" s="24" t="n"/>
      <c r="I389" s="24" t="n"/>
      <c r="J389" s="24" t="n"/>
      <c r="K389" s="24" t="n"/>
      <c r="L389" s="26" t="n"/>
      <c r="M389" s="27">
        <f>IF(L389="","",IF(K389="GST 10%",ROUND(L389*set_GSTRate,2),0))</f>
        <v/>
      </c>
      <c r="N389" s="27">
        <f>IF(L389="","",L389+M389)</f>
        <v/>
      </c>
      <c r="O389" s="24" t="n"/>
      <c r="P389" s="24" t="n"/>
      <c r="Q389" s="24" t="n"/>
      <c r="R389" s="22" t="n"/>
      <c r="S389" s="22" t="n"/>
      <c r="T389" s="24" t="n"/>
      <c r="U389" s="24" t="n"/>
      <c r="V389" s="25">
        <f>IF(COUNTA(A389,D389,C389,L389)=0,"",IF(A389="","No date - sits outside every month",IF(E389="","No job number",IF(F389="CHECK","Job number is not in the Xero job list",IF(I389="","No cost centre",IF(AND(P389="Y",C389=""),"Marked posted to Xero but has no invoice number",IF(AND(L389&lt;&gt;"",K389=""),"No tax code",IF(AND(L389&lt;&gt;"",O389=""),"No revenue GL code",""))))))))</f>
        <v/>
      </c>
      <c r="W389" s="25">
        <f>IF(E389="","",IFERROR(INDEX(lst_JobName,MATCH(E389&amp;"",lst_Jobs,0)),""))</f>
        <v/>
      </c>
      <c r="X389" s="28">
        <f>IF(E389="","",COUNTIFS(tbl_Finance[Job Number],E389&amp;"",tbl_Finance[Ex GST],"&lt;&gt;"))</f>
        <v/>
      </c>
      <c r="Y389" s="27">
        <f>IF(E389="","",SUMIFS(tbl_Finance[Ex GST],tbl_Finance[Job Number],E389&amp;""))</f>
        <v/>
      </c>
      <c r="Z389" s="27">
        <f>IF(E389="","",SUMIFS(tbl_Finance[Ex GST],tbl_Finance[Job Number],E389&amp;"",tbl_Finance[Xero Invoice No],"&lt;&gt;"))</f>
        <v/>
      </c>
      <c r="AA389" s="27">
        <f>IF(E389="","",Y389-Z389)</f>
        <v/>
      </c>
      <c r="AB389" s="25">
        <f>IF(E389="","",IF(H389="Onsite",IFERROR(INDEX(tbl_Onsite[Qwilr Quote],MATCH(E389&amp;"",tbl_Onsite[Job Number],0)),""),IF(H389="Production",IFERROR(INDEX(tbl_Production[Current RMS No],MATCH(E389&amp;"",tbl_Production[Job Number],0)),""),IF(H389="Consulting",IFERROR(INDEX(tbl_Consulting[Qwilr Quote],MATCH(E389&amp;"",tbl_Consulting[Job Number],0)),""),""))))</f>
        <v/>
      </c>
      <c r="AC389" s="25">
        <f>IF(AB389="","",IF(AND(LEFT(AB389,4)&lt;&gt;"http",IF(H389="Production",set_RMSBase,set_QwilrBase)=""),"",HYPERLINK(IF(LEFT(AB389,4)="http",AB389,IF(H389="Production",set_RMSBase,set_QwilrBase)&amp;AB389),"Open")))</f>
        <v/>
      </c>
      <c r="AD389" s="27">
        <f>IF(E389="","",IF(H389="Production",IFERROR(INDEX(tbl_Production[Total Expense],MATCH(E389&amp;"",tbl_Production[Job Number],0)),0),IF(H389="Consulting",IFERROR(INDEX(tbl_Consulting[Total Expense],MATCH(E389&amp;"",tbl_Consulting[Job Number],0)),0),0)))</f>
        <v/>
      </c>
      <c r="AE389" s="27">
        <f>IF(E389="","",Y389-N(AD389))</f>
        <v/>
      </c>
      <c r="AF389" s="29">
        <f>IFERROR(AE389/Y389,"")</f>
        <v/>
      </c>
      <c r="AG389" s="25">
        <f>IF(E389="","",IF(H389="Onsite",IFERROR(INDEX(tbl_Onsite[Notes],MATCH(E389&amp;"",tbl_Onsite[Job Number],0)),""),IF(H389="Production",IFERROR(INDEX(tbl_Production[Notes],MATCH(E389&amp;"",tbl_Production[Job Number],0)),""),IF(H389="Consulting",IFERROR(INDEX(tbl_Consulting[Notes],MATCH(E389&amp;"",tbl_Consulting[Job Number],0)),""),""))))</f>
        <v/>
      </c>
    </row>
    <row r="390" ht="15" customHeight="1">
      <c r="A390" s="22" t="n"/>
      <c r="B390" s="23">
        <f>IF(A390="","",EOMONTH(A390,0))</f>
        <v/>
      </c>
      <c r="C390" s="24" t="n"/>
      <c r="D390" s="24" t="n"/>
      <c r="E390" s="24" t="n"/>
      <c r="F390" s="25">
        <f>IF(E390="","",IF(COUNTIF(lst_Jobs,E390&amp;"")&gt;0,"OK","CHECK"))</f>
        <v/>
      </c>
      <c r="G390" s="24" t="n"/>
      <c r="H390" s="24" t="n"/>
      <c r="I390" s="24" t="n"/>
      <c r="J390" s="24" t="n"/>
      <c r="K390" s="24" t="n"/>
      <c r="L390" s="26" t="n"/>
      <c r="M390" s="27">
        <f>IF(L390="","",IF(K390="GST 10%",ROUND(L390*set_GSTRate,2),0))</f>
        <v/>
      </c>
      <c r="N390" s="27">
        <f>IF(L390="","",L390+M390)</f>
        <v/>
      </c>
      <c r="O390" s="24" t="n"/>
      <c r="P390" s="24" t="n"/>
      <c r="Q390" s="24" t="n"/>
      <c r="R390" s="22" t="n"/>
      <c r="S390" s="22" t="n"/>
      <c r="T390" s="24" t="n"/>
      <c r="U390" s="24" t="n"/>
      <c r="V390" s="25">
        <f>IF(COUNTA(A390,D390,C390,L390)=0,"",IF(A390="","No date - sits outside every month",IF(E390="","No job number",IF(F390="CHECK","Job number is not in the Xero job list",IF(I390="","No cost centre",IF(AND(P390="Y",C390=""),"Marked posted to Xero but has no invoice number",IF(AND(L390&lt;&gt;"",K390=""),"No tax code",IF(AND(L390&lt;&gt;"",O390=""),"No revenue GL code",""))))))))</f>
        <v/>
      </c>
      <c r="W390" s="25">
        <f>IF(E390="","",IFERROR(INDEX(lst_JobName,MATCH(E390&amp;"",lst_Jobs,0)),""))</f>
        <v/>
      </c>
      <c r="X390" s="28">
        <f>IF(E390="","",COUNTIFS(tbl_Finance[Job Number],E390&amp;"",tbl_Finance[Ex GST],"&lt;&gt;"))</f>
        <v/>
      </c>
      <c r="Y390" s="27">
        <f>IF(E390="","",SUMIFS(tbl_Finance[Ex GST],tbl_Finance[Job Number],E390&amp;""))</f>
        <v/>
      </c>
      <c r="Z390" s="27">
        <f>IF(E390="","",SUMIFS(tbl_Finance[Ex GST],tbl_Finance[Job Number],E390&amp;"",tbl_Finance[Xero Invoice No],"&lt;&gt;"))</f>
        <v/>
      </c>
      <c r="AA390" s="27">
        <f>IF(E390="","",Y390-Z390)</f>
        <v/>
      </c>
      <c r="AB390" s="25">
        <f>IF(E390="","",IF(H390="Onsite",IFERROR(INDEX(tbl_Onsite[Qwilr Quote],MATCH(E390&amp;"",tbl_Onsite[Job Number],0)),""),IF(H390="Production",IFERROR(INDEX(tbl_Production[Current RMS No],MATCH(E390&amp;"",tbl_Production[Job Number],0)),""),IF(H390="Consulting",IFERROR(INDEX(tbl_Consulting[Qwilr Quote],MATCH(E390&amp;"",tbl_Consulting[Job Number],0)),""),""))))</f>
        <v/>
      </c>
      <c r="AC390" s="25">
        <f>IF(AB390="","",IF(AND(LEFT(AB390,4)&lt;&gt;"http",IF(H390="Production",set_RMSBase,set_QwilrBase)=""),"",HYPERLINK(IF(LEFT(AB390,4)="http",AB390,IF(H390="Production",set_RMSBase,set_QwilrBase)&amp;AB390),"Open")))</f>
        <v/>
      </c>
      <c r="AD390" s="27">
        <f>IF(E390="","",IF(H390="Production",IFERROR(INDEX(tbl_Production[Total Expense],MATCH(E390&amp;"",tbl_Production[Job Number],0)),0),IF(H390="Consulting",IFERROR(INDEX(tbl_Consulting[Total Expense],MATCH(E390&amp;"",tbl_Consulting[Job Number],0)),0),0)))</f>
        <v/>
      </c>
      <c r="AE390" s="27">
        <f>IF(E390="","",Y390-N(AD390))</f>
        <v/>
      </c>
      <c r="AF390" s="29">
        <f>IFERROR(AE390/Y390,"")</f>
        <v/>
      </c>
      <c r="AG390" s="25">
        <f>IF(E390="","",IF(H390="Onsite",IFERROR(INDEX(tbl_Onsite[Notes],MATCH(E390&amp;"",tbl_Onsite[Job Number],0)),""),IF(H390="Production",IFERROR(INDEX(tbl_Production[Notes],MATCH(E390&amp;"",tbl_Production[Job Number],0)),""),IF(H390="Consulting",IFERROR(INDEX(tbl_Consulting[Notes],MATCH(E390&amp;"",tbl_Consulting[Job Number],0)),""),""))))</f>
        <v/>
      </c>
    </row>
    <row r="391" ht="15" customHeight="1">
      <c r="A391" s="22" t="n"/>
      <c r="B391" s="23">
        <f>IF(A391="","",EOMONTH(A391,0))</f>
        <v/>
      </c>
      <c r="C391" s="24" t="n"/>
      <c r="D391" s="24" t="n"/>
      <c r="E391" s="24" t="n"/>
      <c r="F391" s="25">
        <f>IF(E391="","",IF(COUNTIF(lst_Jobs,E391&amp;"")&gt;0,"OK","CHECK"))</f>
        <v/>
      </c>
      <c r="G391" s="24" t="n"/>
      <c r="H391" s="24" t="n"/>
      <c r="I391" s="24" t="n"/>
      <c r="J391" s="24" t="n"/>
      <c r="K391" s="24" t="n"/>
      <c r="L391" s="26" t="n"/>
      <c r="M391" s="27">
        <f>IF(L391="","",IF(K391="GST 10%",ROUND(L391*set_GSTRate,2),0))</f>
        <v/>
      </c>
      <c r="N391" s="27">
        <f>IF(L391="","",L391+M391)</f>
        <v/>
      </c>
      <c r="O391" s="24" t="n"/>
      <c r="P391" s="24" t="n"/>
      <c r="Q391" s="24" t="n"/>
      <c r="R391" s="22" t="n"/>
      <c r="S391" s="22" t="n"/>
      <c r="T391" s="24" t="n"/>
      <c r="U391" s="24" t="n"/>
      <c r="V391" s="25">
        <f>IF(COUNTA(A391,D391,C391,L391)=0,"",IF(A391="","No date - sits outside every month",IF(E391="","No job number",IF(F391="CHECK","Job number is not in the Xero job list",IF(I391="","No cost centre",IF(AND(P391="Y",C391=""),"Marked posted to Xero but has no invoice number",IF(AND(L391&lt;&gt;"",K391=""),"No tax code",IF(AND(L391&lt;&gt;"",O391=""),"No revenue GL code",""))))))))</f>
        <v/>
      </c>
      <c r="W391" s="25">
        <f>IF(E391="","",IFERROR(INDEX(lst_JobName,MATCH(E391&amp;"",lst_Jobs,0)),""))</f>
        <v/>
      </c>
      <c r="X391" s="28">
        <f>IF(E391="","",COUNTIFS(tbl_Finance[Job Number],E391&amp;"",tbl_Finance[Ex GST],"&lt;&gt;"))</f>
        <v/>
      </c>
      <c r="Y391" s="27">
        <f>IF(E391="","",SUMIFS(tbl_Finance[Ex GST],tbl_Finance[Job Number],E391&amp;""))</f>
        <v/>
      </c>
      <c r="Z391" s="27">
        <f>IF(E391="","",SUMIFS(tbl_Finance[Ex GST],tbl_Finance[Job Number],E391&amp;"",tbl_Finance[Xero Invoice No],"&lt;&gt;"))</f>
        <v/>
      </c>
      <c r="AA391" s="27">
        <f>IF(E391="","",Y391-Z391)</f>
        <v/>
      </c>
      <c r="AB391" s="25">
        <f>IF(E391="","",IF(H391="Onsite",IFERROR(INDEX(tbl_Onsite[Qwilr Quote],MATCH(E391&amp;"",tbl_Onsite[Job Number],0)),""),IF(H391="Production",IFERROR(INDEX(tbl_Production[Current RMS No],MATCH(E391&amp;"",tbl_Production[Job Number],0)),""),IF(H391="Consulting",IFERROR(INDEX(tbl_Consulting[Qwilr Quote],MATCH(E391&amp;"",tbl_Consulting[Job Number],0)),""),""))))</f>
        <v/>
      </c>
      <c r="AC391" s="25">
        <f>IF(AB391="","",IF(AND(LEFT(AB391,4)&lt;&gt;"http",IF(H391="Production",set_RMSBase,set_QwilrBase)=""),"",HYPERLINK(IF(LEFT(AB391,4)="http",AB391,IF(H391="Production",set_RMSBase,set_QwilrBase)&amp;AB391),"Open")))</f>
        <v/>
      </c>
      <c r="AD391" s="27">
        <f>IF(E391="","",IF(H391="Production",IFERROR(INDEX(tbl_Production[Total Expense],MATCH(E391&amp;"",tbl_Production[Job Number],0)),0),IF(H391="Consulting",IFERROR(INDEX(tbl_Consulting[Total Expense],MATCH(E391&amp;"",tbl_Consulting[Job Number],0)),0),0)))</f>
        <v/>
      </c>
      <c r="AE391" s="27">
        <f>IF(E391="","",Y391-N(AD391))</f>
        <v/>
      </c>
      <c r="AF391" s="29">
        <f>IFERROR(AE391/Y391,"")</f>
        <v/>
      </c>
      <c r="AG391" s="25">
        <f>IF(E391="","",IF(H391="Onsite",IFERROR(INDEX(tbl_Onsite[Notes],MATCH(E391&amp;"",tbl_Onsite[Job Number],0)),""),IF(H391="Production",IFERROR(INDEX(tbl_Production[Notes],MATCH(E391&amp;"",tbl_Production[Job Number],0)),""),IF(H391="Consulting",IFERROR(INDEX(tbl_Consulting[Notes],MATCH(E391&amp;"",tbl_Consulting[Job Number],0)),""),""))))</f>
        <v/>
      </c>
    </row>
    <row r="392" ht="15" customHeight="1">
      <c r="A392" s="22" t="n"/>
      <c r="B392" s="23">
        <f>IF(A392="","",EOMONTH(A392,0))</f>
        <v/>
      </c>
      <c r="C392" s="24" t="n"/>
      <c r="D392" s="24" t="n"/>
      <c r="E392" s="24" t="n"/>
      <c r="F392" s="25">
        <f>IF(E392="","",IF(COUNTIF(lst_Jobs,E392&amp;"")&gt;0,"OK","CHECK"))</f>
        <v/>
      </c>
      <c r="G392" s="24" t="n"/>
      <c r="H392" s="24" t="n"/>
      <c r="I392" s="24" t="n"/>
      <c r="J392" s="24" t="n"/>
      <c r="K392" s="24" t="n"/>
      <c r="L392" s="26" t="n"/>
      <c r="M392" s="27">
        <f>IF(L392="","",IF(K392="GST 10%",ROUND(L392*set_GSTRate,2),0))</f>
        <v/>
      </c>
      <c r="N392" s="27">
        <f>IF(L392="","",L392+M392)</f>
        <v/>
      </c>
      <c r="O392" s="24" t="n"/>
      <c r="P392" s="24" t="n"/>
      <c r="Q392" s="24" t="n"/>
      <c r="R392" s="22" t="n"/>
      <c r="S392" s="22" t="n"/>
      <c r="T392" s="24" t="n"/>
      <c r="U392" s="24" t="n"/>
      <c r="V392" s="25">
        <f>IF(COUNTA(A392,D392,C392,L392)=0,"",IF(A392="","No date - sits outside every month",IF(E392="","No job number",IF(F392="CHECK","Job number is not in the Xero job list",IF(I392="","No cost centre",IF(AND(P392="Y",C392=""),"Marked posted to Xero but has no invoice number",IF(AND(L392&lt;&gt;"",K392=""),"No tax code",IF(AND(L392&lt;&gt;"",O392=""),"No revenue GL code",""))))))))</f>
        <v/>
      </c>
      <c r="W392" s="25">
        <f>IF(E392="","",IFERROR(INDEX(lst_JobName,MATCH(E392&amp;"",lst_Jobs,0)),""))</f>
        <v/>
      </c>
      <c r="X392" s="28">
        <f>IF(E392="","",COUNTIFS(tbl_Finance[Job Number],E392&amp;"",tbl_Finance[Ex GST],"&lt;&gt;"))</f>
        <v/>
      </c>
      <c r="Y392" s="27">
        <f>IF(E392="","",SUMIFS(tbl_Finance[Ex GST],tbl_Finance[Job Number],E392&amp;""))</f>
        <v/>
      </c>
      <c r="Z392" s="27">
        <f>IF(E392="","",SUMIFS(tbl_Finance[Ex GST],tbl_Finance[Job Number],E392&amp;"",tbl_Finance[Xero Invoice No],"&lt;&gt;"))</f>
        <v/>
      </c>
      <c r="AA392" s="27">
        <f>IF(E392="","",Y392-Z392)</f>
        <v/>
      </c>
      <c r="AB392" s="25">
        <f>IF(E392="","",IF(H392="Onsite",IFERROR(INDEX(tbl_Onsite[Qwilr Quote],MATCH(E392&amp;"",tbl_Onsite[Job Number],0)),""),IF(H392="Production",IFERROR(INDEX(tbl_Production[Current RMS No],MATCH(E392&amp;"",tbl_Production[Job Number],0)),""),IF(H392="Consulting",IFERROR(INDEX(tbl_Consulting[Qwilr Quote],MATCH(E392&amp;"",tbl_Consulting[Job Number],0)),""),""))))</f>
        <v/>
      </c>
      <c r="AC392" s="25">
        <f>IF(AB392="","",IF(AND(LEFT(AB392,4)&lt;&gt;"http",IF(H392="Production",set_RMSBase,set_QwilrBase)=""),"",HYPERLINK(IF(LEFT(AB392,4)="http",AB392,IF(H392="Production",set_RMSBase,set_QwilrBase)&amp;AB392),"Open")))</f>
        <v/>
      </c>
      <c r="AD392" s="27">
        <f>IF(E392="","",IF(H392="Production",IFERROR(INDEX(tbl_Production[Total Expense],MATCH(E392&amp;"",tbl_Production[Job Number],0)),0),IF(H392="Consulting",IFERROR(INDEX(tbl_Consulting[Total Expense],MATCH(E392&amp;"",tbl_Consulting[Job Number],0)),0),0)))</f>
        <v/>
      </c>
      <c r="AE392" s="27">
        <f>IF(E392="","",Y392-N(AD392))</f>
        <v/>
      </c>
      <c r="AF392" s="29">
        <f>IFERROR(AE392/Y392,"")</f>
        <v/>
      </c>
      <c r="AG392" s="25">
        <f>IF(E392="","",IF(H392="Onsite",IFERROR(INDEX(tbl_Onsite[Notes],MATCH(E392&amp;"",tbl_Onsite[Job Number],0)),""),IF(H392="Production",IFERROR(INDEX(tbl_Production[Notes],MATCH(E392&amp;"",tbl_Production[Job Number],0)),""),IF(H392="Consulting",IFERROR(INDEX(tbl_Consulting[Notes],MATCH(E392&amp;"",tbl_Consulting[Job Number],0)),""),""))))</f>
        <v/>
      </c>
    </row>
    <row r="393" ht="15" customHeight="1">
      <c r="A393" s="22" t="n"/>
      <c r="B393" s="23">
        <f>IF(A393="","",EOMONTH(A393,0))</f>
        <v/>
      </c>
      <c r="C393" s="24" t="n"/>
      <c r="D393" s="24" t="n"/>
      <c r="E393" s="24" t="n"/>
      <c r="F393" s="25">
        <f>IF(E393="","",IF(COUNTIF(lst_Jobs,E393&amp;"")&gt;0,"OK","CHECK"))</f>
        <v/>
      </c>
      <c r="G393" s="24" t="n"/>
      <c r="H393" s="24" t="n"/>
      <c r="I393" s="24" t="n"/>
      <c r="J393" s="24" t="n"/>
      <c r="K393" s="24" t="n"/>
      <c r="L393" s="26" t="n"/>
      <c r="M393" s="27">
        <f>IF(L393="","",IF(K393="GST 10%",ROUND(L393*set_GSTRate,2),0))</f>
        <v/>
      </c>
      <c r="N393" s="27">
        <f>IF(L393="","",L393+M393)</f>
        <v/>
      </c>
      <c r="O393" s="24" t="n"/>
      <c r="P393" s="24" t="n"/>
      <c r="Q393" s="24" t="n"/>
      <c r="R393" s="22" t="n"/>
      <c r="S393" s="22" t="n"/>
      <c r="T393" s="24" t="n"/>
      <c r="U393" s="24" t="n"/>
      <c r="V393" s="25">
        <f>IF(COUNTA(A393,D393,C393,L393)=0,"",IF(A393="","No date - sits outside every month",IF(E393="","No job number",IF(F393="CHECK","Job number is not in the Xero job list",IF(I393="","No cost centre",IF(AND(P393="Y",C393=""),"Marked posted to Xero but has no invoice number",IF(AND(L393&lt;&gt;"",K393=""),"No tax code",IF(AND(L393&lt;&gt;"",O393=""),"No revenue GL code",""))))))))</f>
        <v/>
      </c>
      <c r="W393" s="25">
        <f>IF(E393="","",IFERROR(INDEX(lst_JobName,MATCH(E393&amp;"",lst_Jobs,0)),""))</f>
        <v/>
      </c>
      <c r="X393" s="28">
        <f>IF(E393="","",COUNTIFS(tbl_Finance[Job Number],E393&amp;"",tbl_Finance[Ex GST],"&lt;&gt;"))</f>
        <v/>
      </c>
      <c r="Y393" s="27">
        <f>IF(E393="","",SUMIFS(tbl_Finance[Ex GST],tbl_Finance[Job Number],E393&amp;""))</f>
        <v/>
      </c>
      <c r="Z393" s="27">
        <f>IF(E393="","",SUMIFS(tbl_Finance[Ex GST],tbl_Finance[Job Number],E393&amp;"",tbl_Finance[Xero Invoice No],"&lt;&gt;"))</f>
        <v/>
      </c>
      <c r="AA393" s="27">
        <f>IF(E393="","",Y393-Z393)</f>
        <v/>
      </c>
      <c r="AB393" s="25">
        <f>IF(E393="","",IF(H393="Onsite",IFERROR(INDEX(tbl_Onsite[Qwilr Quote],MATCH(E393&amp;"",tbl_Onsite[Job Number],0)),""),IF(H393="Production",IFERROR(INDEX(tbl_Production[Current RMS No],MATCH(E393&amp;"",tbl_Production[Job Number],0)),""),IF(H393="Consulting",IFERROR(INDEX(tbl_Consulting[Qwilr Quote],MATCH(E393&amp;"",tbl_Consulting[Job Number],0)),""),""))))</f>
        <v/>
      </c>
      <c r="AC393" s="25">
        <f>IF(AB393="","",IF(AND(LEFT(AB393,4)&lt;&gt;"http",IF(H393="Production",set_RMSBase,set_QwilrBase)=""),"",HYPERLINK(IF(LEFT(AB393,4)="http",AB393,IF(H393="Production",set_RMSBase,set_QwilrBase)&amp;AB393),"Open")))</f>
        <v/>
      </c>
      <c r="AD393" s="27">
        <f>IF(E393="","",IF(H393="Production",IFERROR(INDEX(tbl_Production[Total Expense],MATCH(E393&amp;"",tbl_Production[Job Number],0)),0),IF(H393="Consulting",IFERROR(INDEX(tbl_Consulting[Total Expense],MATCH(E393&amp;"",tbl_Consulting[Job Number],0)),0),0)))</f>
        <v/>
      </c>
      <c r="AE393" s="27">
        <f>IF(E393="","",Y393-N(AD393))</f>
        <v/>
      </c>
      <c r="AF393" s="29">
        <f>IFERROR(AE393/Y393,"")</f>
        <v/>
      </c>
      <c r="AG393" s="25">
        <f>IF(E393="","",IF(H393="Onsite",IFERROR(INDEX(tbl_Onsite[Notes],MATCH(E393&amp;"",tbl_Onsite[Job Number],0)),""),IF(H393="Production",IFERROR(INDEX(tbl_Production[Notes],MATCH(E393&amp;"",tbl_Production[Job Number],0)),""),IF(H393="Consulting",IFERROR(INDEX(tbl_Consulting[Notes],MATCH(E393&amp;"",tbl_Consulting[Job Number],0)),""),""))))</f>
        <v/>
      </c>
    </row>
    <row r="394" ht="15" customHeight="1">
      <c r="A394" s="22" t="n"/>
      <c r="B394" s="23">
        <f>IF(A394="","",EOMONTH(A394,0))</f>
        <v/>
      </c>
      <c r="C394" s="24" t="n"/>
      <c r="D394" s="24" t="n"/>
      <c r="E394" s="24" t="n"/>
      <c r="F394" s="25">
        <f>IF(E394="","",IF(COUNTIF(lst_Jobs,E394&amp;"")&gt;0,"OK","CHECK"))</f>
        <v/>
      </c>
      <c r="G394" s="24" t="n"/>
      <c r="H394" s="24" t="n"/>
      <c r="I394" s="24" t="n"/>
      <c r="J394" s="24" t="n"/>
      <c r="K394" s="24" t="n"/>
      <c r="L394" s="26" t="n"/>
      <c r="M394" s="27">
        <f>IF(L394="","",IF(K394="GST 10%",ROUND(L394*set_GSTRate,2),0))</f>
        <v/>
      </c>
      <c r="N394" s="27">
        <f>IF(L394="","",L394+M394)</f>
        <v/>
      </c>
      <c r="O394" s="24" t="n"/>
      <c r="P394" s="24" t="n"/>
      <c r="Q394" s="24" t="n"/>
      <c r="R394" s="22" t="n"/>
      <c r="S394" s="22" t="n"/>
      <c r="T394" s="24" t="n"/>
      <c r="U394" s="24" t="n"/>
      <c r="V394" s="25">
        <f>IF(COUNTA(A394,D394,C394,L394)=0,"",IF(A394="","No date - sits outside every month",IF(E394="","No job number",IF(F394="CHECK","Job number is not in the Xero job list",IF(I394="","No cost centre",IF(AND(P394="Y",C394=""),"Marked posted to Xero but has no invoice number",IF(AND(L394&lt;&gt;"",K394=""),"No tax code",IF(AND(L394&lt;&gt;"",O394=""),"No revenue GL code",""))))))))</f>
        <v/>
      </c>
      <c r="W394" s="25">
        <f>IF(E394="","",IFERROR(INDEX(lst_JobName,MATCH(E394&amp;"",lst_Jobs,0)),""))</f>
        <v/>
      </c>
      <c r="X394" s="28">
        <f>IF(E394="","",COUNTIFS(tbl_Finance[Job Number],E394&amp;"",tbl_Finance[Ex GST],"&lt;&gt;"))</f>
        <v/>
      </c>
      <c r="Y394" s="27">
        <f>IF(E394="","",SUMIFS(tbl_Finance[Ex GST],tbl_Finance[Job Number],E394&amp;""))</f>
        <v/>
      </c>
      <c r="Z394" s="27">
        <f>IF(E394="","",SUMIFS(tbl_Finance[Ex GST],tbl_Finance[Job Number],E394&amp;"",tbl_Finance[Xero Invoice No],"&lt;&gt;"))</f>
        <v/>
      </c>
      <c r="AA394" s="27">
        <f>IF(E394="","",Y394-Z394)</f>
        <v/>
      </c>
      <c r="AB394" s="25">
        <f>IF(E394="","",IF(H394="Onsite",IFERROR(INDEX(tbl_Onsite[Qwilr Quote],MATCH(E394&amp;"",tbl_Onsite[Job Number],0)),""),IF(H394="Production",IFERROR(INDEX(tbl_Production[Current RMS No],MATCH(E394&amp;"",tbl_Production[Job Number],0)),""),IF(H394="Consulting",IFERROR(INDEX(tbl_Consulting[Qwilr Quote],MATCH(E394&amp;"",tbl_Consulting[Job Number],0)),""),""))))</f>
        <v/>
      </c>
      <c r="AC394" s="25">
        <f>IF(AB394="","",IF(AND(LEFT(AB394,4)&lt;&gt;"http",IF(H394="Production",set_RMSBase,set_QwilrBase)=""),"",HYPERLINK(IF(LEFT(AB394,4)="http",AB394,IF(H394="Production",set_RMSBase,set_QwilrBase)&amp;AB394),"Open")))</f>
        <v/>
      </c>
      <c r="AD394" s="27">
        <f>IF(E394="","",IF(H394="Production",IFERROR(INDEX(tbl_Production[Total Expense],MATCH(E394&amp;"",tbl_Production[Job Number],0)),0),IF(H394="Consulting",IFERROR(INDEX(tbl_Consulting[Total Expense],MATCH(E394&amp;"",tbl_Consulting[Job Number],0)),0),0)))</f>
        <v/>
      </c>
      <c r="AE394" s="27">
        <f>IF(E394="","",Y394-N(AD394))</f>
        <v/>
      </c>
      <c r="AF394" s="29">
        <f>IFERROR(AE394/Y394,"")</f>
        <v/>
      </c>
      <c r="AG394" s="25">
        <f>IF(E394="","",IF(H394="Onsite",IFERROR(INDEX(tbl_Onsite[Notes],MATCH(E394&amp;"",tbl_Onsite[Job Number],0)),""),IF(H394="Production",IFERROR(INDEX(tbl_Production[Notes],MATCH(E394&amp;"",tbl_Production[Job Number],0)),""),IF(H394="Consulting",IFERROR(INDEX(tbl_Consulting[Notes],MATCH(E394&amp;"",tbl_Consulting[Job Number],0)),""),""))))</f>
        <v/>
      </c>
    </row>
    <row r="395" ht="15" customHeight="1">
      <c r="A395" s="22" t="n"/>
      <c r="B395" s="23">
        <f>IF(A395="","",EOMONTH(A395,0))</f>
        <v/>
      </c>
      <c r="C395" s="24" t="n"/>
      <c r="D395" s="24" t="n"/>
      <c r="E395" s="24" t="n"/>
      <c r="F395" s="25">
        <f>IF(E395="","",IF(COUNTIF(lst_Jobs,E395&amp;"")&gt;0,"OK","CHECK"))</f>
        <v/>
      </c>
      <c r="G395" s="24" t="n"/>
      <c r="H395" s="24" t="n"/>
      <c r="I395" s="24" t="n"/>
      <c r="J395" s="24" t="n"/>
      <c r="K395" s="24" t="n"/>
      <c r="L395" s="26" t="n"/>
      <c r="M395" s="27">
        <f>IF(L395="","",IF(K395="GST 10%",ROUND(L395*set_GSTRate,2),0))</f>
        <v/>
      </c>
      <c r="N395" s="27">
        <f>IF(L395="","",L395+M395)</f>
        <v/>
      </c>
      <c r="O395" s="24" t="n"/>
      <c r="P395" s="24" t="n"/>
      <c r="Q395" s="24" t="n"/>
      <c r="R395" s="22" t="n"/>
      <c r="S395" s="22" t="n"/>
      <c r="T395" s="24" t="n"/>
      <c r="U395" s="24" t="n"/>
      <c r="V395" s="25">
        <f>IF(COUNTA(A395,D395,C395,L395)=0,"",IF(A395="","No date - sits outside every month",IF(E395="","No job number",IF(F395="CHECK","Job number is not in the Xero job list",IF(I395="","No cost centre",IF(AND(P395="Y",C395=""),"Marked posted to Xero but has no invoice number",IF(AND(L395&lt;&gt;"",K395=""),"No tax code",IF(AND(L395&lt;&gt;"",O395=""),"No revenue GL code",""))))))))</f>
        <v/>
      </c>
      <c r="W395" s="25">
        <f>IF(E395="","",IFERROR(INDEX(lst_JobName,MATCH(E395&amp;"",lst_Jobs,0)),""))</f>
        <v/>
      </c>
      <c r="X395" s="28">
        <f>IF(E395="","",COUNTIFS(tbl_Finance[Job Number],E395&amp;"",tbl_Finance[Ex GST],"&lt;&gt;"))</f>
        <v/>
      </c>
      <c r="Y395" s="27">
        <f>IF(E395="","",SUMIFS(tbl_Finance[Ex GST],tbl_Finance[Job Number],E395&amp;""))</f>
        <v/>
      </c>
      <c r="Z395" s="27">
        <f>IF(E395="","",SUMIFS(tbl_Finance[Ex GST],tbl_Finance[Job Number],E395&amp;"",tbl_Finance[Xero Invoice No],"&lt;&gt;"))</f>
        <v/>
      </c>
      <c r="AA395" s="27">
        <f>IF(E395="","",Y395-Z395)</f>
        <v/>
      </c>
      <c r="AB395" s="25">
        <f>IF(E395="","",IF(H395="Onsite",IFERROR(INDEX(tbl_Onsite[Qwilr Quote],MATCH(E395&amp;"",tbl_Onsite[Job Number],0)),""),IF(H395="Production",IFERROR(INDEX(tbl_Production[Current RMS No],MATCH(E395&amp;"",tbl_Production[Job Number],0)),""),IF(H395="Consulting",IFERROR(INDEX(tbl_Consulting[Qwilr Quote],MATCH(E395&amp;"",tbl_Consulting[Job Number],0)),""),""))))</f>
        <v/>
      </c>
      <c r="AC395" s="25">
        <f>IF(AB395="","",IF(AND(LEFT(AB395,4)&lt;&gt;"http",IF(H395="Production",set_RMSBase,set_QwilrBase)=""),"",HYPERLINK(IF(LEFT(AB395,4)="http",AB395,IF(H395="Production",set_RMSBase,set_QwilrBase)&amp;AB395),"Open")))</f>
        <v/>
      </c>
      <c r="AD395" s="27">
        <f>IF(E395="","",IF(H395="Production",IFERROR(INDEX(tbl_Production[Total Expense],MATCH(E395&amp;"",tbl_Production[Job Number],0)),0),IF(H395="Consulting",IFERROR(INDEX(tbl_Consulting[Total Expense],MATCH(E395&amp;"",tbl_Consulting[Job Number],0)),0),0)))</f>
        <v/>
      </c>
      <c r="AE395" s="27">
        <f>IF(E395="","",Y395-N(AD395))</f>
        <v/>
      </c>
      <c r="AF395" s="29">
        <f>IFERROR(AE395/Y395,"")</f>
        <v/>
      </c>
      <c r="AG395" s="25">
        <f>IF(E395="","",IF(H395="Onsite",IFERROR(INDEX(tbl_Onsite[Notes],MATCH(E395&amp;"",tbl_Onsite[Job Number],0)),""),IF(H395="Production",IFERROR(INDEX(tbl_Production[Notes],MATCH(E395&amp;"",tbl_Production[Job Number],0)),""),IF(H395="Consulting",IFERROR(INDEX(tbl_Consulting[Notes],MATCH(E395&amp;"",tbl_Consulting[Job Number],0)),""),""))))</f>
        <v/>
      </c>
    </row>
    <row r="396" ht="15" customHeight="1">
      <c r="A396" s="22" t="n"/>
      <c r="B396" s="23">
        <f>IF(A396="","",EOMONTH(A396,0))</f>
        <v/>
      </c>
      <c r="C396" s="24" t="n"/>
      <c r="D396" s="24" t="n"/>
      <c r="E396" s="24" t="n"/>
      <c r="F396" s="25">
        <f>IF(E396="","",IF(COUNTIF(lst_Jobs,E396&amp;"")&gt;0,"OK","CHECK"))</f>
        <v/>
      </c>
      <c r="G396" s="24" t="n"/>
      <c r="H396" s="24" t="n"/>
      <c r="I396" s="24" t="n"/>
      <c r="J396" s="24" t="n"/>
      <c r="K396" s="24" t="n"/>
      <c r="L396" s="26" t="n"/>
      <c r="M396" s="27">
        <f>IF(L396="","",IF(K396="GST 10%",ROUND(L396*set_GSTRate,2),0))</f>
        <v/>
      </c>
      <c r="N396" s="27">
        <f>IF(L396="","",L396+M396)</f>
        <v/>
      </c>
      <c r="O396" s="24" t="n"/>
      <c r="P396" s="24" t="n"/>
      <c r="Q396" s="24" t="n"/>
      <c r="R396" s="22" t="n"/>
      <c r="S396" s="22" t="n"/>
      <c r="T396" s="24" t="n"/>
      <c r="U396" s="24" t="n"/>
      <c r="V396" s="25">
        <f>IF(COUNTA(A396,D396,C396,L396)=0,"",IF(A396="","No date - sits outside every month",IF(E396="","No job number",IF(F396="CHECK","Job number is not in the Xero job list",IF(I396="","No cost centre",IF(AND(P396="Y",C396=""),"Marked posted to Xero but has no invoice number",IF(AND(L396&lt;&gt;"",K396=""),"No tax code",IF(AND(L396&lt;&gt;"",O396=""),"No revenue GL code",""))))))))</f>
        <v/>
      </c>
      <c r="W396" s="25">
        <f>IF(E396="","",IFERROR(INDEX(lst_JobName,MATCH(E396&amp;"",lst_Jobs,0)),""))</f>
        <v/>
      </c>
      <c r="X396" s="28">
        <f>IF(E396="","",COUNTIFS(tbl_Finance[Job Number],E396&amp;"",tbl_Finance[Ex GST],"&lt;&gt;"))</f>
        <v/>
      </c>
      <c r="Y396" s="27">
        <f>IF(E396="","",SUMIFS(tbl_Finance[Ex GST],tbl_Finance[Job Number],E396&amp;""))</f>
        <v/>
      </c>
      <c r="Z396" s="27">
        <f>IF(E396="","",SUMIFS(tbl_Finance[Ex GST],tbl_Finance[Job Number],E396&amp;"",tbl_Finance[Xero Invoice No],"&lt;&gt;"))</f>
        <v/>
      </c>
      <c r="AA396" s="27">
        <f>IF(E396="","",Y396-Z396)</f>
        <v/>
      </c>
      <c r="AB396" s="25">
        <f>IF(E396="","",IF(H396="Onsite",IFERROR(INDEX(tbl_Onsite[Qwilr Quote],MATCH(E396&amp;"",tbl_Onsite[Job Number],0)),""),IF(H396="Production",IFERROR(INDEX(tbl_Production[Current RMS No],MATCH(E396&amp;"",tbl_Production[Job Number],0)),""),IF(H396="Consulting",IFERROR(INDEX(tbl_Consulting[Qwilr Quote],MATCH(E396&amp;"",tbl_Consulting[Job Number],0)),""),""))))</f>
        <v/>
      </c>
      <c r="AC396" s="25">
        <f>IF(AB396="","",IF(AND(LEFT(AB396,4)&lt;&gt;"http",IF(H396="Production",set_RMSBase,set_QwilrBase)=""),"",HYPERLINK(IF(LEFT(AB396,4)="http",AB396,IF(H396="Production",set_RMSBase,set_QwilrBase)&amp;AB396),"Open")))</f>
        <v/>
      </c>
      <c r="AD396" s="27">
        <f>IF(E396="","",IF(H396="Production",IFERROR(INDEX(tbl_Production[Total Expense],MATCH(E396&amp;"",tbl_Production[Job Number],0)),0),IF(H396="Consulting",IFERROR(INDEX(tbl_Consulting[Total Expense],MATCH(E396&amp;"",tbl_Consulting[Job Number],0)),0),0)))</f>
        <v/>
      </c>
      <c r="AE396" s="27">
        <f>IF(E396="","",Y396-N(AD396))</f>
        <v/>
      </c>
      <c r="AF396" s="29">
        <f>IFERROR(AE396/Y396,"")</f>
        <v/>
      </c>
      <c r="AG396" s="25">
        <f>IF(E396="","",IF(H396="Onsite",IFERROR(INDEX(tbl_Onsite[Notes],MATCH(E396&amp;"",tbl_Onsite[Job Number],0)),""),IF(H396="Production",IFERROR(INDEX(tbl_Production[Notes],MATCH(E396&amp;"",tbl_Production[Job Number],0)),""),IF(H396="Consulting",IFERROR(INDEX(tbl_Consulting[Notes],MATCH(E396&amp;"",tbl_Consulting[Job Number],0)),""),""))))</f>
        <v/>
      </c>
    </row>
    <row r="397" ht="15" customHeight="1">
      <c r="A397" s="22" t="n"/>
      <c r="B397" s="23">
        <f>IF(A397="","",EOMONTH(A397,0))</f>
        <v/>
      </c>
      <c r="C397" s="24" t="n"/>
      <c r="D397" s="24" t="n"/>
      <c r="E397" s="24" t="n"/>
      <c r="F397" s="25">
        <f>IF(E397="","",IF(COUNTIF(lst_Jobs,E397&amp;"")&gt;0,"OK","CHECK"))</f>
        <v/>
      </c>
      <c r="G397" s="24" t="n"/>
      <c r="H397" s="24" t="n"/>
      <c r="I397" s="24" t="n"/>
      <c r="J397" s="24" t="n"/>
      <c r="K397" s="24" t="n"/>
      <c r="L397" s="26" t="n"/>
      <c r="M397" s="27">
        <f>IF(L397="","",IF(K397="GST 10%",ROUND(L397*set_GSTRate,2),0))</f>
        <v/>
      </c>
      <c r="N397" s="27">
        <f>IF(L397="","",L397+M397)</f>
        <v/>
      </c>
      <c r="O397" s="24" t="n"/>
      <c r="P397" s="24" t="n"/>
      <c r="Q397" s="24" t="n"/>
      <c r="R397" s="22" t="n"/>
      <c r="S397" s="22" t="n"/>
      <c r="T397" s="24" t="n"/>
      <c r="U397" s="24" t="n"/>
      <c r="V397" s="25">
        <f>IF(COUNTA(A397,D397,C397,L397)=0,"",IF(A397="","No date - sits outside every month",IF(E397="","No job number",IF(F397="CHECK","Job number is not in the Xero job list",IF(I397="","No cost centre",IF(AND(P397="Y",C397=""),"Marked posted to Xero but has no invoice number",IF(AND(L397&lt;&gt;"",K397=""),"No tax code",IF(AND(L397&lt;&gt;"",O397=""),"No revenue GL code",""))))))))</f>
        <v/>
      </c>
      <c r="W397" s="25">
        <f>IF(E397="","",IFERROR(INDEX(lst_JobName,MATCH(E397&amp;"",lst_Jobs,0)),""))</f>
        <v/>
      </c>
      <c r="X397" s="28">
        <f>IF(E397="","",COUNTIFS(tbl_Finance[Job Number],E397&amp;"",tbl_Finance[Ex GST],"&lt;&gt;"))</f>
        <v/>
      </c>
      <c r="Y397" s="27">
        <f>IF(E397="","",SUMIFS(tbl_Finance[Ex GST],tbl_Finance[Job Number],E397&amp;""))</f>
        <v/>
      </c>
      <c r="Z397" s="27">
        <f>IF(E397="","",SUMIFS(tbl_Finance[Ex GST],tbl_Finance[Job Number],E397&amp;"",tbl_Finance[Xero Invoice No],"&lt;&gt;"))</f>
        <v/>
      </c>
      <c r="AA397" s="27">
        <f>IF(E397="","",Y397-Z397)</f>
        <v/>
      </c>
      <c r="AB397" s="25">
        <f>IF(E397="","",IF(H397="Onsite",IFERROR(INDEX(tbl_Onsite[Qwilr Quote],MATCH(E397&amp;"",tbl_Onsite[Job Number],0)),""),IF(H397="Production",IFERROR(INDEX(tbl_Production[Current RMS No],MATCH(E397&amp;"",tbl_Production[Job Number],0)),""),IF(H397="Consulting",IFERROR(INDEX(tbl_Consulting[Qwilr Quote],MATCH(E397&amp;"",tbl_Consulting[Job Number],0)),""),""))))</f>
        <v/>
      </c>
      <c r="AC397" s="25">
        <f>IF(AB397="","",IF(AND(LEFT(AB397,4)&lt;&gt;"http",IF(H397="Production",set_RMSBase,set_QwilrBase)=""),"",HYPERLINK(IF(LEFT(AB397,4)="http",AB397,IF(H397="Production",set_RMSBase,set_QwilrBase)&amp;AB397),"Open")))</f>
        <v/>
      </c>
      <c r="AD397" s="27">
        <f>IF(E397="","",IF(H397="Production",IFERROR(INDEX(tbl_Production[Total Expense],MATCH(E397&amp;"",tbl_Production[Job Number],0)),0),IF(H397="Consulting",IFERROR(INDEX(tbl_Consulting[Total Expense],MATCH(E397&amp;"",tbl_Consulting[Job Number],0)),0),0)))</f>
        <v/>
      </c>
      <c r="AE397" s="27">
        <f>IF(E397="","",Y397-N(AD397))</f>
        <v/>
      </c>
      <c r="AF397" s="29">
        <f>IFERROR(AE397/Y397,"")</f>
        <v/>
      </c>
      <c r="AG397" s="25">
        <f>IF(E397="","",IF(H397="Onsite",IFERROR(INDEX(tbl_Onsite[Notes],MATCH(E397&amp;"",tbl_Onsite[Job Number],0)),""),IF(H397="Production",IFERROR(INDEX(tbl_Production[Notes],MATCH(E397&amp;"",tbl_Production[Job Number],0)),""),IF(H397="Consulting",IFERROR(INDEX(tbl_Consulting[Notes],MATCH(E397&amp;"",tbl_Consulting[Job Number],0)),""),""))))</f>
        <v/>
      </c>
    </row>
    <row r="398" ht="15" customHeight="1">
      <c r="A398" s="22" t="n"/>
      <c r="B398" s="23">
        <f>IF(A398="","",EOMONTH(A398,0))</f>
        <v/>
      </c>
      <c r="C398" s="24" t="n"/>
      <c r="D398" s="24" t="n"/>
      <c r="E398" s="24" t="n"/>
      <c r="F398" s="25">
        <f>IF(E398="","",IF(COUNTIF(lst_Jobs,E398&amp;"")&gt;0,"OK","CHECK"))</f>
        <v/>
      </c>
      <c r="G398" s="24" t="n"/>
      <c r="H398" s="24" t="n"/>
      <c r="I398" s="24" t="n"/>
      <c r="J398" s="24" t="n"/>
      <c r="K398" s="24" t="n"/>
      <c r="L398" s="26" t="n"/>
      <c r="M398" s="27">
        <f>IF(L398="","",IF(K398="GST 10%",ROUND(L398*set_GSTRate,2),0))</f>
        <v/>
      </c>
      <c r="N398" s="27">
        <f>IF(L398="","",L398+M398)</f>
        <v/>
      </c>
      <c r="O398" s="24" t="n"/>
      <c r="P398" s="24" t="n"/>
      <c r="Q398" s="24" t="n"/>
      <c r="R398" s="22" t="n"/>
      <c r="S398" s="22" t="n"/>
      <c r="T398" s="24" t="n"/>
      <c r="U398" s="24" t="n"/>
      <c r="V398" s="25">
        <f>IF(COUNTA(A398,D398,C398,L398)=0,"",IF(A398="","No date - sits outside every month",IF(E398="","No job number",IF(F398="CHECK","Job number is not in the Xero job list",IF(I398="","No cost centre",IF(AND(P398="Y",C398=""),"Marked posted to Xero but has no invoice number",IF(AND(L398&lt;&gt;"",K398=""),"No tax code",IF(AND(L398&lt;&gt;"",O398=""),"No revenue GL code",""))))))))</f>
        <v/>
      </c>
      <c r="W398" s="25">
        <f>IF(E398="","",IFERROR(INDEX(lst_JobName,MATCH(E398&amp;"",lst_Jobs,0)),""))</f>
        <v/>
      </c>
      <c r="X398" s="28">
        <f>IF(E398="","",COUNTIFS(tbl_Finance[Job Number],E398&amp;"",tbl_Finance[Ex GST],"&lt;&gt;"))</f>
        <v/>
      </c>
      <c r="Y398" s="27">
        <f>IF(E398="","",SUMIFS(tbl_Finance[Ex GST],tbl_Finance[Job Number],E398&amp;""))</f>
        <v/>
      </c>
      <c r="Z398" s="27">
        <f>IF(E398="","",SUMIFS(tbl_Finance[Ex GST],tbl_Finance[Job Number],E398&amp;"",tbl_Finance[Xero Invoice No],"&lt;&gt;"))</f>
        <v/>
      </c>
      <c r="AA398" s="27">
        <f>IF(E398="","",Y398-Z398)</f>
        <v/>
      </c>
      <c r="AB398" s="25">
        <f>IF(E398="","",IF(H398="Onsite",IFERROR(INDEX(tbl_Onsite[Qwilr Quote],MATCH(E398&amp;"",tbl_Onsite[Job Number],0)),""),IF(H398="Production",IFERROR(INDEX(tbl_Production[Current RMS No],MATCH(E398&amp;"",tbl_Production[Job Number],0)),""),IF(H398="Consulting",IFERROR(INDEX(tbl_Consulting[Qwilr Quote],MATCH(E398&amp;"",tbl_Consulting[Job Number],0)),""),""))))</f>
        <v/>
      </c>
      <c r="AC398" s="25">
        <f>IF(AB398="","",IF(AND(LEFT(AB398,4)&lt;&gt;"http",IF(H398="Production",set_RMSBase,set_QwilrBase)=""),"",HYPERLINK(IF(LEFT(AB398,4)="http",AB398,IF(H398="Production",set_RMSBase,set_QwilrBase)&amp;AB398),"Open")))</f>
        <v/>
      </c>
      <c r="AD398" s="27">
        <f>IF(E398="","",IF(H398="Production",IFERROR(INDEX(tbl_Production[Total Expense],MATCH(E398&amp;"",tbl_Production[Job Number],0)),0),IF(H398="Consulting",IFERROR(INDEX(tbl_Consulting[Total Expense],MATCH(E398&amp;"",tbl_Consulting[Job Number],0)),0),0)))</f>
        <v/>
      </c>
      <c r="AE398" s="27">
        <f>IF(E398="","",Y398-N(AD398))</f>
        <v/>
      </c>
      <c r="AF398" s="29">
        <f>IFERROR(AE398/Y398,"")</f>
        <v/>
      </c>
      <c r="AG398" s="25">
        <f>IF(E398="","",IF(H398="Onsite",IFERROR(INDEX(tbl_Onsite[Notes],MATCH(E398&amp;"",tbl_Onsite[Job Number],0)),""),IF(H398="Production",IFERROR(INDEX(tbl_Production[Notes],MATCH(E398&amp;"",tbl_Production[Job Number],0)),""),IF(H398="Consulting",IFERROR(INDEX(tbl_Consulting[Notes],MATCH(E398&amp;"",tbl_Consulting[Job Number],0)),""),""))))</f>
        <v/>
      </c>
    </row>
    <row r="399" ht="15" customHeight="1">
      <c r="A399" s="22" t="n"/>
      <c r="B399" s="23">
        <f>IF(A399="","",EOMONTH(A399,0))</f>
        <v/>
      </c>
      <c r="C399" s="24" t="n"/>
      <c r="D399" s="24" t="n"/>
      <c r="E399" s="24" t="n"/>
      <c r="F399" s="25">
        <f>IF(E399="","",IF(COUNTIF(lst_Jobs,E399&amp;"")&gt;0,"OK","CHECK"))</f>
        <v/>
      </c>
      <c r="G399" s="24" t="n"/>
      <c r="H399" s="24" t="n"/>
      <c r="I399" s="24" t="n"/>
      <c r="J399" s="24" t="n"/>
      <c r="K399" s="24" t="n"/>
      <c r="L399" s="26" t="n"/>
      <c r="M399" s="27">
        <f>IF(L399="","",IF(K399="GST 10%",ROUND(L399*set_GSTRate,2),0))</f>
        <v/>
      </c>
      <c r="N399" s="27">
        <f>IF(L399="","",L399+M399)</f>
        <v/>
      </c>
      <c r="O399" s="24" t="n"/>
      <c r="P399" s="24" t="n"/>
      <c r="Q399" s="24" t="n"/>
      <c r="R399" s="22" t="n"/>
      <c r="S399" s="22" t="n"/>
      <c r="T399" s="24" t="n"/>
      <c r="U399" s="24" t="n"/>
      <c r="V399" s="25">
        <f>IF(COUNTA(A399,D399,C399,L399)=0,"",IF(A399="","No date - sits outside every month",IF(E399="","No job number",IF(F399="CHECK","Job number is not in the Xero job list",IF(I399="","No cost centre",IF(AND(P399="Y",C399=""),"Marked posted to Xero but has no invoice number",IF(AND(L399&lt;&gt;"",K399=""),"No tax code",IF(AND(L399&lt;&gt;"",O399=""),"No revenue GL code",""))))))))</f>
        <v/>
      </c>
      <c r="W399" s="25">
        <f>IF(E399="","",IFERROR(INDEX(lst_JobName,MATCH(E399&amp;"",lst_Jobs,0)),""))</f>
        <v/>
      </c>
      <c r="X399" s="28">
        <f>IF(E399="","",COUNTIFS(tbl_Finance[Job Number],E399&amp;"",tbl_Finance[Ex GST],"&lt;&gt;"))</f>
        <v/>
      </c>
      <c r="Y399" s="27">
        <f>IF(E399="","",SUMIFS(tbl_Finance[Ex GST],tbl_Finance[Job Number],E399&amp;""))</f>
        <v/>
      </c>
      <c r="Z399" s="27">
        <f>IF(E399="","",SUMIFS(tbl_Finance[Ex GST],tbl_Finance[Job Number],E399&amp;"",tbl_Finance[Xero Invoice No],"&lt;&gt;"))</f>
        <v/>
      </c>
      <c r="AA399" s="27">
        <f>IF(E399="","",Y399-Z399)</f>
        <v/>
      </c>
      <c r="AB399" s="25">
        <f>IF(E399="","",IF(H399="Onsite",IFERROR(INDEX(tbl_Onsite[Qwilr Quote],MATCH(E399&amp;"",tbl_Onsite[Job Number],0)),""),IF(H399="Production",IFERROR(INDEX(tbl_Production[Current RMS No],MATCH(E399&amp;"",tbl_Production[Job Number],0)),""),IF(H399="Consulting",IFERROR(INDEX(tbl_Consulting[Qwilr Quote],MATCH(E399&amp;"",tbl_Consulting[Job Number],0)),""),""))))</f>
        <v/>
      </c>
      <c r="AC399" s="25">
        <f>IF(AB399="","",IF(AND(LEFT(AB399,4)&lt;&gt;"http",IF(H399="Production",set_RMSBase,set_QwilrBase)=""),"",HYPERLINK(IF(LEFT(AB399,4)="http",AB399,IF(H399="Production",set_RMSBase,set_QwilrBase)&amp;AB399),"Open")))</f>
        <v/>
      </c>
      <c r="AD399" s="27">
        <f>IF(E399="","",IF(H399="Production",IFERROR(INDEX(tbl_Production[Total Expense],MATCH(E399&amp;"",tbl_Production[Job Number],0)),0),IF(H399="Consulting",IFERROR(INDEX(tbl_Consulting[Total Expense],MATCH(E399&amp;"",tbl_Consulting[Job Number],0)),0),0)))</f>
        <v/>
      </c>
      <c r="AE399" s="27">
        <f>IF(E399="","",Y399-N(AD399))</f>
        <v/>
      </c>
      <c r="AF399" s="29">
        <f>IFERROR(AE399/Y399,"")</f>
        <v/>
      </c>
      <c r="AG399" s="25">
        <f>IF(E399="","",IF(H399="Onsite",IFERROR(INDEX(tbl_Onsite[Notes],MATCH(E399&amp;"",tbl_Onsite[Job Number],0)),""),IF(H399="Production",IFERROR(INDEX(tbl_Production[Notes],MATCH(E399&amp;"",tbl_Production[Job Number],0)),""),IF(H399="Consulting",IFERROR(INDEX(tbl_Consulting[Notes],MATCH(E399&amp;"",tbl_Consulting[Job Number],0)),""),""))))</f>
        <v/>
      </c>
    </row>
    <row r="400" ht="15" customHeight="1">
      <c r="A400" s="22" t="n"/>
      <c r="B400" s="23">
        <f>IF(A400="","",EOMONTH(A400,0))</f>
        <v/>
      </c>
      <c r="C400" s="24" t="n"/>
      <c r="D400" s="24" t="n"/>
      <c r="E400" s="24" t="n"/>
      <c r="F400" s="25">
        <f>IF(E400="","",IF(COUNTIF(lst_Jobs,E400&amp;"")&gt;0,"OK","CHECK"))</f>
        <v/>
      </c>
      <c r="G400" s="24" t="n"/>
      <c r="H400" s="24" t="n"/>
      <c r="I400" s="24" t="n"/>
      <c r="J400" s="24" t="n"/>
      <c r="K400" s="24" t="n"/>
      <c r="L400" s="26" t="n"/>
      <c r="M400" s="27">
        <f>IF(L400="","",IF(K400="GST 10%",ROUND(L400*set_GSTRate,2),0))</f>
        <v/>
      </c>
      <c r="N400" s="27">
        <f>IF(L400="","",L400+M400)</f>
        <v/>
      </c>
      <c r="O400" s="24" t="n"/>
      <c r="P400" s="24" t="n"/>
      <c r="Q400" s="24" t="n"/>
      <c r="R400" s="22" t="n"/>
      <c r="S400" s="22" t="n"/>
      <c r="T400" s="24" t="n"/>
      <c r="U400" s="24" t="n"/>
      <c r="V400" s="25">
        <f>IF(COUNTA(A400,D400,C400,L400)=0,"",IF(A400="","No date - sits outside every month",IF(E400="","No job number",IF(F400="CHECK","Job number is not in the Xero job list",IF(I400="","No cost centre",IF(AND(P400="Y",C400=""),"Marked posted to Xero but has no invoice number",IF(AND(L400&lt;&gt;"",K400=""),"No tax code",IF(AND(L400&lt;&gt;"",O400=""),"No revenue GL code",""))))))))</f>
        <v/>
      </c>
      <c r="W400" s="25">
        <f>IF(E400="","",IFERROR(INDEX(lst_JobName,MATCH(E400&amp;"",lst_Jobs,0)),""))</f>
        <v/>
      </c>
      <c r="X400" s="28">
        <f>IF(E400="","",COUNTIFS(tbl_Finance[Job Number],E400&amp;"",tbl_Finance[Ex GST],"&lt;&gt;"))</f>
        <v/>
      </c>
      <c r="Y400" s="27">
        <f>IF(E400="","",SUMIFS(tbl_Finance[Ex GST],tbl_Finance[Job Number],E400&amp;""))</f>
        <v/>
      </c>
      <c r="Z400" s="27">
        <f>IF(E400="","",SUMIFS(tbl_Finance[Ex GST],tbl_Finance[Job Number],E400&amp;"",tbl_Finance[Xero Invoice No],"&lt;&gt;"))</f>
        <v/>
      </c>
      <c r="AA400" s="27">
        <f>IF(E400="","",Y400-Z400)</f>
        <v/>
      </c>
      <c r="AB400" s="25">
        <f>IF(E400="","",IF(H400="Onsite",IFERROR(INDEX(tbl_Onsite[Qwilr Quote],MATCH(E400&amp;"",tbl_Onsite[Job Number],0)),""),IF(H400="Production",IFERROR(INDEX(tbl_Production[Current RMS No],MATCH(E400&amp;"",tbl_Production[Job Number],0)),""),IF(H400="Consulting",IFERROR(INDEX(tbl_Consulting[Qwilr Quote],MATCH(E400&amp;"",tbl_Consulting[Job Number],0)),""),""))))</f>
        <v/>
      </c>
      <c r="AC400" s="25">
        <f>IF(AB400="","",IF(AND(LEFT(AB400,4)&lt;&gt;"http",IF(H400="Production",set_RMSBase,set_QwilrBase)=""),"",HYPERLINK(IF(LEFT(AB400,4)="http",AB400,IF(H400="Production",set_RMSBase,set_QwilrBase)&amp;AB400),"Open")))</f>
        <v/>
      </c>
      <c r="AD400" s="27">
        <f>IF(E400="","",IF(H400="Production",IFERROR(INDEX(tbl_Production[Total Expense],MATCH(E400&amp;"",tbl_Production[Job Number],0)),0),IF(H400="Consulting",IFERROR(INDEX(tbl_Consulting[Total Expense],MATCH(E400&amp;"",tbl_Consulting[Job Number],0)),0),0)))</f>
        <v/>
      </c>
      <c r="AE400" s="27">
        <f>IF(E400="","",Y400-N(AD400))</f>
        <v/>
      </c>
      <c r="AF400" s="29">
        <f>IFERROR(AE400/Y400,"")</f>
        <v/>
      </c>
      <c r="AG400" s="25">
        <f>IF(E400="","",IF(H400="Onsite",IFERROR(INDEX(tbl_Onsite[Notes],MATCH(E400&amp;"",tbl_Onsite[Job Number],0)),""),IF(H400="Production",IFERROR(INDEX(tbl_Production[Notes],MATCH(E400&amp;"",tbl_Production[Job Number],0)),""),IF(H400="Consulting",IFERROR(INDEX(tbl_Consulting[Notes],MATCH(E400&amp;"",tbl_Consulting[Job Number],0)),""),""))))</f>
        <v/>
      </c>
    </row>
    <row r="401" ht="15" customHeight="1">
      <c r="A401" s="22" t="n"/>
      <c r="B401" s="23">
        <f>IF(A401="","",EOMONTH(A401,0))</f>
        <v/>
      </c>
      <c r="C401" s="24" t="n"/>
      <c r="D401" s="24" t="n"/>
      <c r="E401" s="24" t="n"/>
      <c r="F401" s="25">
        <f>IF(E401="","",IF(COUNTIF(lst_Jobs,E401&amp;"")&gt;0,"OK","CHECK"))</f>
        <v/>
      </c>
      <c r="G401" s="24" t="n"/>
      <c r="H401" s="24" t="n"/>
      <c r="I401" s="24" t="n"/>
      <c r="J401" s="24" t="n"/>
      <c r="K401" s="24" t="n"/>
      <c r="L401" s="26" t="n"/>
      <c r="M401" s="27">
        <f>IF(L401="","",IF(K401="GST 10%",ROUND(L401*set_GSTRate,2),0))</f>
        <v/>
      </c>
      <c r="N401" s="27">
        <f>IF(L401="","",L401+M401)</f>
        <v/>
      </c>
      <c r="O401" s="24" t="n"/>
      <c r="P401" s="24" t="n"/>
      <c r="Q401" s="24" t="n"/>
      <c r="R401" s="22" t="n"/>
      <c r="S401" s="22" t="n"/>
      <c r="T401" s="24" t="n"/>
      <c r="U401" s="24" t="n"/>
      <c r="V401" s="25">
        <f>IF(COUNTA(A401,D401,C401,L401)=0,"",IF(A401="","No date - sits outside every month",IF(E401="","No job number",IF(F401="CHECK","Job number is not in the Xero job list",IF(I401="","No cost centre",IF(AND(P401="Y",C401=""),"Marked posted to Xero but has no invoice number",IF(AND(L401&lt;&gt;"",K401=""),"No tax code",IF(AND(L401&lt;&gt;"",O401=""),"No revenue GL code",""))))))))</f>
        <v/>
      </c>
      <c r="W401" s="25">
        <f>IF(E401="","",IFERROR(INDEX(lst_JobName,MATCH(E401&amp;"",lst_Jobs,0)),""))</f>
        <v/>
      </c>
      <c r="X401" s="28">
        <f>IF(E401="","",COUNTIFS(tbl_Finance[Job Number],E401&amp;"",tbl_Finance[Ex GST],"&lt;&gt;"))</f>
        <v/>
      </c>
      <c r="Y401" s="27">
        <f>IF(E401="","",SUMIFS(tbl_Finance[Ex GST],tbl_Finance[Job Number],E401&amp;""))</f>
        <v/>
      </c>
      <c r="Z401" s="27">
        <f>IF(E401="","",SUMIFS(tbl_Finance[Ex GST],tbl_Finance[Job Number],E401&amp;"",tbl_Finance[Xero Invoice No],"&lt;&gt;"))</f>
        <v/>
      </c>
      <c r="AA401" s="27">
        <f>IF(E401="","",Y401-Z401)</f>
        <v/>
      </c>
      <c r="AB401" s="25">
        <f>IF(E401="","",IF(H401="Onsite",IFERROR(INDEX(tbl_Onsite[Qwilr Quote],MATCH(E401&amp;"",tbl_Onsite[Job Number],0)),""),IF(H401="Production",IFERROR(INDEX(tbl_Production[Current RMS No],MATCH(E401&amp;"",tbl_Production[Job Number],0)),""),IF(H401="Consulting",IFERROR(INDEX(tbl_Consulting[Qwilr Quote],MATCH(E401&amp;"",tbl_Consulting[Job Number],0)),""),""))))</f>
        <v/>
      </c>
      <c r="AC401" s="25">
        <f>IF(AB401="","",IF(AND(LEFT(AB401,4)&lt;&gt;"http",IF(H401="Production",set_RMSBase,set_QwilrBase)=""),"",HYPERLINK(IF(LEFT(AB401,4)="http",AB401,IF(H401="Production",set_RMSBase,set_QwilrBase)&amp;AB401),"Open")))</f>
        <v/>
      </c>
      <c r="AD401" s="27">
        <f>IF(E401="","",IF(H401="Production",IFERROR(INDEX(tbl_Production[Total Expense],MATCH(E401&amp;"",tbl_Production[Job Number],0)),0),IF(H401="Consulting",IFERROR(INDEX(tbl_Consulting[Total Expense],MATCH(E401&amp;"",tbl_Consulting[Job Number],0)),0),0)))</f>
        <v/>
      </c>
      <c r="AE401" s="27">
        <f>IF(E401="","",Y401-N(AD401))</f>
        <v/>
      </c>
      <c r="AF401" s="29">
        <f>IFERROR(AE401/Y401,"")</f>
        <v/>
      </c>
      <c r="AG401" s="25">
        <f>IF(E401="","",IF(H401="Onsite",IFERROR(INDEX(tbl_Onsite[Notes],MATCH(E401&amp;"",tbl_Onsite[Job Number],0)),""),IF(H401="Production",IFERROR(INDEX(tbl_Production[Notes],MATCH(E401&amp;"",tbl_Production[Job Number],0)),""),IF(H401="Consulting",IFERROR(INDEX(tbl_Consulting[Notes],MATCH(E401&amp;"",tbl_Consulting[Job Number],0)),""),""))))</f>
        <v/>
      </c>
    </row>
    <row r="402" ht="15" customHeight="1">
      <c r="A402" s="22" t="n"/>
      <c r="B402" s="23">
        <f>IF(A402="","",EOMONTH(A402,0))</f>
        <v/>
      </c>
      <c r="C402" s="24" t="n"/>
      <c r="D402" s="24" t="n"/>
      <c r="E402" s="24" t="n"/>
      <c r="F402" s="25">
        <f>IF(E402="","",IF(COUNTIF(lst_Jobs,E402&amp;"")&gt;0,"OK","CHECK"))</f>
        <v/>
      </c>
      <c r="G402" s="24" t="n"/>
      <c r="H402" s="24" t="n"/>
      <c r="I402" s="24" t="n"/>
      <c r="J402" s="24" t="n"/>
      <c r="K402" s="24" t="n"/>
      <c r="L402" s="26" t="n"/>
      <c r="M402" s="27">
        <f>IF(L402="","",IF(K402="GST 10%",ROUND(L402*set_GSTRate,2),0))</f>
        <v/>
      </c>
      <c r="N402" s="27">
        <f>IF(L402="","",L402+M402)</f>
        <v/>
      </c>
      <c r="O402" s="24" t="n"/>
      <c r="P402" s="24" t="n"/>
      <c r="Q402" s="24" t="n"/>
      <c r="R402" s="22" t="n"/>
      <c r="S402" s="22" t="n"/>
      <c r="T402" s="24" t="n"/>
      <c r="U402" s="24" t="n"/>
      <c r="V402" s="25">
        <f>IF(COUNTA(A402,D402,C402,L402)=0,"",IF(A402="","No date - sits outside every month",IF(E402="","No job number",IF(F402="CHECK","Job number is not in the Xero job list",IF(I402="","No cost centre",IF(AND(P402="Y",C402=""),"Marked posted to Xero but has no invoice number",IF(AND(L402&lt;&gt;"",K402=""),"No tax code",IF(AND(L402&lt;&gt;"",O402=""),"No revenue GL code",""))))))))</f>
        <v/>
      </c>
      <c r="W402" s="25">
        <f>IF(E402="","",IFERROR(INDEX(lst_JobName,MATCH(E402&amp;"",lst_Jobs,0)),""))</f>
        <v/>
      </c>
      <c r="X402" s="28">
        <f>IF(E402="","",COUNTIFS(tbl_Finance[Job Number],E402&amp;"",tbl_Finance[Ex GST],"&lt;&gt;"))</f>
        <v/>
      </c>
      <c r="Y402" s="27">
        <f>IF(E402="","",SUMIFS(tbl_Finance[Ex GST],tbl_Finance[Job Number],E402&amp;""))</f>
        <v/>
      </c>
      <c r="Z402" s="27">
        <f>IF(E402="","",SUMIFS(tbl_Finance[Ex GST],tbl_Finance[Job Number],E402&amp;"",tbl_Finance[Xero Invoice No],"&lt;&gt;"))</f>
        <v/>
      </c>
      <c r="AA402" s="27">
        <f>IF(E402="","",Y402-Z402)</f>
        <v/>
      </c>
      <c r="AB402" s="25">
        <f>IF(E402="","",IF(H402="Onsite",IFERROR(INDEX(tbl_Onsite[Qwilr Quote],MATCH(E402&amp;"",tbl_Onsite[Job Number],0)),""),IF(H402="Production",IFERROR(INDEX(tbl_Production[Current RMS No],MATCH(E402&amp;"",tbl_Production[Job Number],0)),""),IF(H402="Consulting",IFERROR(INDEX(tbl_Consulting[Qwilr Quote],MATCH(E402&amp;"",tbl_Consulting[Job Number],0)),""),""))))</f>
        <v/>
      </c>
      <c r="AC402" s="25">
        <f>IF(AB402="","",IF(AND(LEFT(AB402,4)&lt;&gt;"http",IF(H402="Production",set_RMSBase,set_QwilrBase)=""),"",HYPERLINK(IF(LEFT(AB402,4)="http",AB402,IF(H402="Production",set_RMSBase,set_QwilrBase)&amp;AB402),"Open")))</f>
        <v/>
      </c>
      <c r="AD402" s="27">
        <f>IF(E402="","",IF(H402="Production",IFERROR(INDEX(tbl_Production[Total Expense],MATCH(E402&amp;"",tbl_Production[Job Number],0)),0),IF(H402="Consulting",IFERROR(INDEX(tbl_Consulting[Total Expense],MATCH(E402&amp;"",tbl_Consulting[Job Number],0)),0),0)))</f>
        <v/>
      </c>
      <c r="AE402" s="27">
        <f>IF(E402="","",Y402-N(AD402))</f>
        <v/>
      </c>
      <c r="AF402" s="29">
        <f>IFERROR(AE402/Y402,"")</f>
        <v/>
      </c>
      <c r="AG402" s="25">
        <f>IF(E402="","",IF(H402="Onsite",IFERROR(INDEX(tbl_Onsite[Notes],MATCH(E402&amp;"",tbl_Onsite[Job Number],0)),""),IF(H402="Production",IFERROR(INDEX(tbl_Production[Notes],MATCH(E402&amp;"",tbl_Production[Job Number],0)),""),IF(H402="Consulting",IFERROR(INDEX(tbl_Consulting[Notes],MATCH(E402&amp;"",tbl_Consulting[Job Number],0)),""),""))))</f>
        <v/>
      </c>
    </row>
    <row r="403" ht="15" customHeight="1">
      <c r="A403" s="22" t="n"/>
      <c r="B403" s="23">
        <f>IF(A403="","",EOMONTH(A403,0))</f>
        <v/>
      </c>
      <c r="C403" s="24" t="n"/>
      <c r="D403" s="24" t="n"/>
      <c r="E403" s="24" t="n"/>
      <c r="F403" s="25">
        <f>IF(E403="","",IF(COUNTIF(lst_Jobs,E403&amp;"")&gt;0,"OK","CHECK"))</f>
        <v/>
      </c>
      <c r="G403" s="24" t="n"/>
      <c r="H403" s="24" t="n"/>
      <c r="I403" s="24" t="n"/>
      <c r="J403" s="24" t="n"/>
      <c r="K403" s="24" t="n"/>
      <c r="L403" s="26" t="n"/>
      <c r="M403" s="27">
        <f>IF(L403="","",IF(K403="GST 10%",ROUND(L403*set_GSTRate,2),0))</f>
        <v/>
      </c>
      <c r="N403" s="27">
        <f>IF(L403="","",L403+M403)</f>
        <v/>
      </c>
      <c r="O403" s="24" t="n"/>
      <c r="P403" s="24" t="n"/>
      <c r="Q403" s="24" t="n"/>
      <c r="R403" s="22" t="n"/>
      <c r="S403" s="22" t="n"/>
      <c r="T403" s="24" t="n"/>
      <c r="U403" s="24" t="n"/>
      <c r="V403" s="25">
        <f>IF(COUNTA(A403,D403,C403,L403)=0,"",IF(A403="","No date - sits outside every month",IF(E403="","No job number",IF(F403="CHECK","Job number is not in the Xero job list",IF(I403="","No cost centre",IF(AND(P403="Y",C403=""),"Marked posted to Xero but has no invoice number",IF(AND(L403&lt;&gt;"",K403=""),"No tax code",IF(AND(L403&lt;&gt;"",O403=""),"No revenue GL code",""))))))))</f>
        <v/>
      </c>
      <c r="W403" s="25">
        <f>IF(E403="","",IFERROR(INDEX(lst_JobName,MATCH(E403&amp;"",lst_Jobs,0)),""))</f>
        <v/>
      </c>
      <c r="X403" s="28">
        <f>IF(E403="","",COUNTIFS(tbl_Finance[Job Number],E403&amp;"",tbl_Finance[Ex GST],"&lt;&gt;"))</f>
        <v/>
      </c>
      <c r="Y403" s="27">
        <f>IF(E403="","",SUMIFS(tbl_Finance[Ex GST],tbl_Finance[Job Number],E403&amp;""))</f>
        <v/>
      </c>
      <c r="Z403" s="27">
        <f>IF(E403="","",SUMIFS(tbl_Finance[Ex GST],tbl_Finance[Job Number],E403&amp;"",tbl_Finance[Xero Invoice No],"&lt;&gt;"))</f>
        <v/>
      </c>
      <c r="AA403" s="27">
        <f>IF(E403="","",Y403-Z403)</f>
        <v/>
      </c>
      <c r="AB403" s="25">
        <f>IF(E403="","",IF(H403="Onsite",IFERROR(INDEX(tbl_Onsite[Qwilr Quote],MATCH(E403&amp;"",tbl_Onsite[Job Number],0)),""),IF(H403="Production",IFERROR(INDEX(tbl_Production[Current RMS No],MATCH(E403&amp;"",tbl_Production[Job Number],0)),""),IF(H403="Consulting",IFERROR(INDEX(tbl_Consulting[Qwilr Quote],MATCH(E403&amp;"",tbl_Consulting[Job Number],0)),""),""))))</f>
        <v/>
      </c>
      <c r="AC403" s="25">
        <f>IF(AB403="","",IF(AND(LEFT(AB403,4)&lt;&gt;"http",IF(H403="Production",set_RMSBase,set_QwilrBase)=""),"",HYPERLINK(IF(LEFT(AB403,4)="http",AB403,IF(H403="Production",set_RMSBase,set_QwilrBase)&amp;AB403),"Open")))</f>
        <v/>
      </c>
      <c r="AD403" s="27">
        <f>IF(E403="","",IF(H403="Production",IFERROR(INDEX(tbl_Production[Total Expense],MATCH(E403&amp;"",tbl_Production[Job Number],0)),0),IF(H403="Consulting",IFERROR(INDEX(tbl_Consulting[Total Expense],MATCH(E403&amp;"",tbl_Consulting[Job Number],0)),0),0)))</f>
        <v/>
      </c>
      <c r="AE403" s="27">
        <f>IF(E403="","",Y403-N(AD403))</f>
        <v/>
      </c>
      <c r="AF403" s="29">
        <f>IFERROR(AE403/Y403,"")</f>
        <v/>
      </c>
      <c r="AG403" s="25">
        <f>IF(E403="","",IF(H403="Onsite",IFERROR(INDEX(tbl_Onsite[Notes],MATCH(E403&amp;"",tbl_Onsite[Job Number],0)),""),IF(H403="Production",IFERROR(INDEX(tbl_Production[Notes],MATCH(E403&amp;"",tbl_Production[Job Number],0)),""),IF(H403="Consulting",IFERROR(INDEX(tbl_Consulting[Notes],MATCH(E403&amp;"",tbl_Consulting[Job Number],0)),""),""))))</f>
        <v/>
      </c>
    </row>
    <row r="404" ht="15" customHeight="1">
      <c r="A404" s="22" t="n"/>
      <c r="B404" s="23">
        <f>IF(A404="","",EOMONTH(A404,0))</f>
        <v/>
      </c>
      <c r="C404" s="24" t="n"/>
      <c r="D404" s="24" t="n"/>
      <c r="E404" s="24" t="n"/>
      <c r="F404" s="25">
        <f>IF(E404="","",IF(COUNTIF(lst_Jobs,E404&amp;"")&gt;0,"OK","CHECK"))</f>
        <v/>
      </c>
      <c r="G404" s="24" t="n"/>
      <c r="H404" s="24" t="n"/>
      <c r="I404" s="24" t="n"/>
      <c r="J404" s="24" t="n"/>
      <c r="K404" s="24" t="n"/>
      <c r="L404" s="26" t="n"/>
      <c r="M404" s="27">
        <f>IF(L404="","",IF(K404="GST 10%",ROUND(L404*set_GSTRate,2),0))</f>
        <v/>
      </c>
      <c r="N404" s="27">
        <f>IF(L404="","",L404+M404)</f>
        <v/>
      </c>
      <c r="O404" s="24" t="n"/>
      <c r="P404" s="24" t="n"/>
      <c r="Q404" s="24" t="n"/>
      <c r="R404" s="22" t="n"/>
      <c r="S404" s="22" t="n"/>
      <c r="T404" s="24" t="n"/>
      <c r="U404" s="24" t="n"/>
      <c r="V404" s="25">
        <f>IF(COUNTA(A404,D404,C404,L404)=0,"",IF(A404="","No date - sits outside every month",IF(E404="","No job number",IF(F404="CHECK","Job number is not in the Xero job list",IF(I404="","No cost centre",IF(AND(P404="Y",C404=""),"Marked posted to Xero but has no invoice number",IF(AND(L404&lt;&gt;"",K404=""),"No tax code",IF(AND(L404&lt;&gt;"",O404=""),"No revenue GL code",""))))))))</f>
        <v/>
      </c>
      <c r="W404" s="25">
        <f>IF(E404="","",IFERROR(INDEX(lst_JobName,MATCH(E404&amp;"",lst_Jobs,0)),""))</f>
        <v/>
      </c>
      <c r="X404" s="28">
        <f>IF(E404="","",COUNTIFS(tbl_Finance[Job Number],E404&amp;"",tbl_Finance[Ex GST],"&lt;&gt;"))</f>
        <v/>
      </c>
      <c r="Y404" s="27">
        <f>IF(E404="","",SUMIFS(tbl_Finance[Ex GST],tbl_Finance[Job Number],E404&amp;""))</f>
        <v/>
      </c>
      <c r="Z404" s="27">
        <f>IF(E404="","",SUMIFS(tbl_Finance[Ex GST],tbl_Finance[Job Number],E404&amp;"",tbl_Finance[Xero Invoice No],"&lt;&gt;"))</f>
        <v/>
      </c>
      <c r="AA404" s="27">
        <f>IF(E404="","",Y404-Z404)</f>
        <v/>
      </c>
      <c r="AB404" s="25">
        <f>IF(E404="","",IF(H404="Onsite",IFERROR(INDEX(tbl_Onsite[Qwilr Quote],MATCH(E404&amp;"",tbl_Onsite[Job Number],0)),""),IF(H404="Production",IFERROR(INDEX(tbl_Production[Current RMS No],MATCH(E404&amp;"",tbl_Production[Job Number],0)),""),IF(H404="Consulting",IFERROR(INDEX(tbl_Consulting[Qwilr Quote],MATCH(E404&amp;"",tbl_Consulting[Job Number],0)),""),""))))</f>
        <v/>
      </c>
      <c r="AC404" s="25">
        <f>IF(AB404="","",IF(AND(LEFT(AB404,4)&lt;&gt;"http",IF(H404="Production",set_RMSBase,set_QwilrBase)=""),"",HYPERLINK(IF(LEFT(AB404,4)="http",AB404,IF(H404="Production",set_RMSBase,set_QwilrBase)&amp;AB404),"Open")))</f>
        <v/>
      </c>
      <c r="AD404" s="27">
        <f>IF(E404="","",IF(H404="Production",IFERROR(INDEX(tbl_Production[Total Expense],MATCH(E404&amp;"",tbl_Production[Job Number],0)),0),IF(H404="Consulting",IFERROR(INDEX(tbl_Consulting[Total Expense],MATCH(E404&amp;"",tbl_Consulting[Job Number],0)),0),0)))</f>
        <v/>
      </c>
      <c r="AE404" s="27">
        <f>IF(E404="","",Y404-N(AD404))</f>
        <v/>
      </c>
      <c r="AF404" s="29">
        <f>IFERROR(AE404/Y404,"")</f>
        <v/>
      </c>
      <c r="AG404" s="25">
        <f>IF(E404="","",IF(H404="Onsite",IFERROR(INDEX(tbl_Onsite[Notes],MATCH(E404&amp;"",tbl_Onsite[Job Number],0)),""),IF(H404="Production",IFERROR(INDEX(tbl_Production[Notes],MATCH(E404&amp;"",tbl_Production[Job Number],0)),""),IF(H404="Consulting",IFERROR(INDEX(tbl_Consulting[Notes],MATCH(E404&amp;"",tbl_Consulting[Job Number],0)),""),""))))</f>
        <v/>
      </c>
    </row>
    <row r="405" ht="15" customHeight="1">
      <c r="A405" s="22" t="n"/>
      <c r="B405" s="23">
        <f>IF(A405="","",EOMONTH(A405,0))</f>
        <v/>
      </c>
      <c r="C405" s="24" t="n"/>
      <c r="D405" s="24" t="n"/>
      <c r="E405" s="24" t="n"/>
      <c r="F405" s="25">
        <f>IF(E405="","",IF(COUNTIF(lst_Jobs,E405&amp;"")&gt;0,"OK","CHECK"))</f>
        <v/>
      </c>
      <c r="G405" s="24" t="n"/>
      <c r="H405" s="24" t="n"/>
      <c r="I405" s="24" t="n"/>
      <c r="J405" s="24" t="n"/>
      <c r="K405" s="24" t="n"/>
      <c r="L405" s="26" t="n"/>
      <c r="M405" s="27">
        <f>IF(L405="","",IF(K405="GST 10%",ROUND(L405*set_GSTRate,2),0))</f>
        <v/>
      </c>
      <c r="N405" s="27">
        <f>IF(L405="","",L405+M405)</f>
        <v/>
      </c>
      <c r="O405" s="24" t="n"/>
      <c r="P405" s="24" t="n"/>
      <c r="Q405" s="24" t="n"/>
      <c r="R405" s="22" t="n"/>
      <c r="S405" s="22" t="n"/>
      <c r="T405" s="24" t="n"/>
      <c r="U405" s="24" t="n"/>
      <c r="V405" s="25">
        <f>IF(COUNTA(A405,D405,C405,L405)=0,"",IF(A405="","No date - sits outside every month",IF(E405="","No job number",IF(F405="CHECK","Job number is not in the Xero job list",IF(I405="","No cost centre",IF(AND(P405="Y",C405=""),"Marked posted to Xero but has no invoice number",IF(AND(L405&lt;&gt;"",K405=""),"No tax code",IF(AND(L405&lt;&gt;"",O405=""),"No revenue GL code",""))))))))</f>
        <v/>
      </c>
      <c r="W405" s="25">
        <f>IF(E405="","",IFERROR(INDEX(lst_JobName,MATCH(E405&amp;"",lst_Jobs,0)),""))</f>
        <v/>
      </c>
      <c r="X405" s="28">
        <f>IF(E405="","",COUNTIFS(tbl_Finance[Job Number],E405&amp;"",tbl_Finance[Ex GST],"&lt;&gt;"))</f>
        <v/>
      </c>
      <c r="Y405" s="27">
        <f>IF(E405="","",SUMIFS(tbl_Finance[Ex GST],tbl_Finance[Job Number],E405&amp;""))</f>
        <v/>
      </c>
      <c r="Z405" s="27">
        <f>IF(E405="","",SUMIFS(tbl_Finance[Ex GST],tbl_Finance[Job Number],E405&amp;"",tbl_Finance[Xero Invoice No],"&lt;&gt;"))</f>
        <v/>
      </c>
      <c r="AA405" s="27">
        <f>IF(E405="","",Y405-Z405)</f>
        <v/>
      </c>
      <c r="AB405" s="25">
        <f>IF(E405="","",IF(H405="Onsite",IFERROR(INDEX(tbl_Onsite[Qwilr Quote],MATCH(E405&amp;"",tbl_Onsite[Job Number],0)),""),IF(H405="Production",IFERROR(INDEX(tbl_Production[Current RMS No],MATCH(E405&amp;"",tbl_Production[Job Number],0)),""),IF(H405="Consulting",IFERROR(INDEX(tbl_Consulting[Qwilr Quote],MATCH(E405&amp;"",tbl_Consulting[Job Number],0)),""),""))))</f>
        <v/>
      </c>
      <c r="AC405" s="25">
        <f>IF(AB405="","",IF(AND(LEFT(AB405,4)&lt;&gt;"http",IF(H405="Production",set_RMSBase,set_QwilrBase)=""),"",HYPERLINK(IF(LEFT(AB405,4)="http",AB405,IF(H405="Production",set_RMSBase,set_QwilrBase)&amp;AB405),"Open")))</f>
        <v/>
      </c>
      <c r="AD405" s="27">
        <f>IF(E405="","",IF(H405="Production",IFERROR(INDEX(tbl_Production[Total Expense],MATCH(E405&amp;"",tbl_Production[Job Number],0)),0),IF(H405="Consulting",IFERROR(INDEX(tbl_Consulting[Total Expense],MATCH(E405&amp;"",tbl_Consulting[Job Number],0)),0),0)))</f>
        <v/>
      </c>
      <c r="AE405" s="27">
        <f>IF(E405="","",Y405-N(AD405))</f>
        <v/>
      </c>
      <c r="AF405" s="29">
        <f>IFERROR(AE405/Y405,"")</f>
        <v/>
      </c>
      <c r="AG405" s="25">
        <f>IF(E405="","",IF(H405="Onsite",IFERROR(INDEX(tbl_Onsite[Notes],MATCH(E405&amp;"",tbl_Onsite[Job Number],0)),""),IF(H405="Production",IFERROR(INDEX(tbl_Production[Notes],MATCH(E405&amp;"",tbl_Production[Job Number],0)),""),IF(H405="Consulting",IFERROR(INDEX(tbl_Consulting[Notes],MATCH(E405&amp;"",tbl_Consulting[Job Number],0)),""),""))))</f>
        <v/>
      </c>
    </row>
    <row r="406" ht="15" customHeight="1">
      <c r="A406" s="22" t="n"/>
      <c r="B406" s="23">
        <f>IF(A406="","",EOMONTH(A406,0))</f>
        <v/>
      </c>
      <c r="C406" s="24" t="n"/>
      <c r="D406" s="24" t="n"/>
      <c r="E406" s="24" t="n"/>
      <c r="F406" s="25">
        <f>IF(E406="","",IF(COUNTIF(lst_Jobs,E406&amp;"")&gt;0,"OK","CHECK"))</f>
        <v/>
      </c>
      <c r="G406" s="24" t="n"/>
      <c r="H406" s="24" t="n"/>
      <c r="I406" s="24" t="n"/>
      <c r="J406" s="24" t="n"/>
      <c r="K406" s="24" t="n"/>
      <c r="L406" s="26" t="n"/>
      <c r="M406" s="27">
        <f>IF(L406="","",IF(K406="GST 10%",ROUND(L406*set_GSTRate,2),0))</f>
        <v/>
      </c>
      <c r="N406" s="27">
        <f>IF(L406="","",L406+M406)</f>
        <v/>
      </c>
      <c r="O406" s="24" t="n"/>
      <c r="P406" s="24" t="n"/>
      <c r="Q406" s="24" t="n"/>
      <c r="R406" s="22" t="n"/>
      <c r="S406" s="22" t="n"/>
      <c r="T406" s="24" t="n"/>
      <c r="U406" s="24" t="n"/>
      <c r="V406" s="25">
        <f>IF(COUNTA(A406,D406,C406,L406)=0,"",IF(A406="","No date - sits outside every month",IF(E406="","No job number",IF(F406="CHECK","Job number is not in the Xero job list",IF(I406="","No cost centre",IF(AND(P406="Y",C406=""),"Marked posted to Xero but has no invoice number",IF(AND(L406&lt;&gt;"",K406=""),"No tax code",IF(AND(L406&lt;&gt;"",O406=""),"No revenue GL code",""))))))))</f>
        <v/>
      </c>
      <c r="W406" s="25">
        <f>IF(E406="","",IFERROR(INDEX(lst_JobName,MATCH(E406&amp;"",lst_Jobs,0)),""))</f>
        <v/>
      </c>
      <c r="X406" s="28">
        <f>IF(E406="","",COUNTIFS(tbl_Finance[Job Number],E406&amp;"",tbl_Finance[Ex GST],"&lt;&gt;"))</f>
        <v/>
      </c>
      <c r="Y406" s="27">
        <f>IF(E406="","",SUMIFS(tbl_Finance[Ex GST],tbl_Finance[Job Number],E406&amp;""))</f>
        <v/>
      </c>
      <c r="Z406" s="27">
        <f>IF(E406="","",SUMIFS(tbl_Finance[Ex GST],tbl_Finance[Job Number],E406&amp;"",tbl_Finance[Xero Invoice No],"&lt;&gt;"))</f>
        <v/>
      </c>
      <c r="AA406" s="27">
        <f>IF(E406="","",Y406-Z406)</f>
        <v/>
      </c>
      <c r="AB406" s="25">
        <f>IF(E406="","",IF(H406="Onsite",IFERROR(INDEX(tbl_Onsite[Qwilr Quote],MATCH(E406&amp;"",tbl_Onsite[Job Number],0)),""),IF(H406="Production",IFERROR(INDEX(tbl_Production[Current RMS No],MATCH(E406&amp;"",tbl_Production[Job Number],0)),""),IF(H406="Consulting",IFERROR(INDEX(tbl_Consulting[Qwilr Quote],MATCH(E406&amp;"",tbl_Consulting[Job Number],0)),""),""))))</f>
        <v/>
      </c>
      <c r="AC406" s="25">
        <f>IF(AB406="","",IF(AND(LEFT(AB406,4)&lt;&gt;"http",IF(H406="Production",set_RMSBase,set_QwilrBase)=""),"",HYPERLINK(IF(LEFT(AB406,4)="http",AB406,IF(H406="Production",set_RMSBase,set_QwilrBase)&amp;AB406),"Open")))</f>
        <v/>
      </c>
      <c r="AD406" s="27">
        <f>IF(E406="","",IF(H406="Production",IFERROR(INDEX(tbl_Production[Total Expense],MATCH(E406&amp;"",tbl_Production[Job Number],0)),0),IF(H406="Consulting",IFERROR(INDEX(tbl_Consulting[Total Expense],MATCH(E406&amp;"",tbl_Consulting[Job Number],0)),0),0)))</f>
        <v/>
      </c>
      <c r="AE406" s="27">
        <f>IF(E406="","",Y406-N(AD406))</f>
        <v/>
      </c>
      <c r="AF406" s="29">
        <f>IFERROR(AE406/Y406,"")</f>
        <v/>
      </c>
      <c r="AG406" s="25">
        <f>IF(E406="","",IF(H406="Onsite",IFERROR(INDEX(tbl_Onsite[Notes],MATCH(E406&amp;"",tbl_Onsite[Job Number],0)),""),IF(H406="Production",IFERROR(INDEX(tbl_Production[Notes],MATCH(E406&amp;"",tbl_Production[Job Number],0)),""),IF(H406="Consulting",IFERROR(INDEX(tbl_Consulting[Notes],MATCH(E406&amp;"",tbl_Consulting[Job Number],0)),""),""))))</f>
        <v/>
      </c>
    </row>
    <row r="407" ht="15" customHeight="1">
      <c r="A407" s="22" t="n"/>
      <c r="B407" s="23">
        <f>IF(A407="","",EOMONTH(A407,0))</f>
        <v/>
      </c>
      <c r="C407" s="24" t="n"/>
      <c r="D407" s="24" t="n"/>
      <c r="E407" s="24" t="n"/>
      <c r="F407" s="25">
        <f>IF(E407="","",IF(COUNTIF(lst_Jobs,E407&amp;"")&gt;0,"OK","CHECK"))</f>
        <v/>
      </c>
      <c r="G407" s="24" t="n"/>
      <c r="H407" s="24" t="n"/>
      <c r="I407" s="24" t="n"/>
      <c r="J407" s="24" t="n"/>
      <c r="K407" s="24" t="n"/>
      <c r="L407" s="26" t="n"/>
      <c r="M407" s="27">
        <f>IF(L407="","",IF(K407="GST 10%",ROUND(L407*set_GSTRate,2),0))</f>
        <v/>
      </c>
      <c r="N407" s="27">
        <f>IF(L407="","",L407+M407)</f>
        <v/>
      </c>
      <c r="O407" s="24" t="n"/>
      <c r="P407" s="24" t="n"/>
      <c r="Q407" s="24" t="n"/>
      <c r="R407" s="22" t="n"/>
      <c r="S407" s="22" t="n"/>
      <c r="T407" s="24" t="n"/>
      <c r="U407" s="24" t="n"/>
      <c r="V407" s="25">
        <f>IF(COUNTA(A407,D407,C407,L407)=0,"",IF(A407="","No date - sits outside every month",IF(E407="","No job number",IF(F407="CHECK","Job number is not in the Xero job list",IF(I407="","No cost centre",IF(AND(P407="Y",C407=""),"Marked posted to Xero but has no invoice number",IF(AND(L407&lt;&gt;"",K407=""),"No tax code",IF(AND(L407&lt;&gt;"",O407=""),"No revenue GL code",""))))))))</f>
        <v/>
      </c>
      <c r="W407" s="25">
        <f>IF(E407="","",IFERROR(INDEX(lst_JobName,MATCH(E407&amp;"",lst_Jobs,0)),""))</f>
        <v/>
      </c>
      <c r="X407" s="28">
        <f>IF(E407="","",COUNTIFS(tbl_Finance[Job Number],E407&amp;"",tbl_Finance[Ex GST],"&lt;&gt;"))</f>
        <v/>
      </c>
      <c r="Y407" s="27">
        <f>IF(E407="","",SUMIFS(tbl_Finance[Ex GST],tbl_Finance[Job Number],E407&amp;""))</f>
        <v/>
      </c>
      <c r="Z407" s="27">
        <f>IF(E407="","",SUMIFS(tbl_Finance[Ex GST],tbl_Finance[Job Number],E407&amp;"",tbl_Finance[Xero Invoice No],"&lt;&gt;"))</f>
        <v/>
      </c>
      <c r="AA407" s="27">
        <f>IF(E407="","",Y407-Z407)</f>
        <v/>
      </c>
      <c r="AB407" s="25">
        <f>IF(E407="","",IF(H407="Onsite",IFERROR(INDEX(tbl_Onsite[Qwilr Quote],MATCH(E407&amp;"",tbl_Onsite[Job Number],0)),""),IF(H407="Production",IFERROR(INDEX(tbl_Production[Current RMS No],MATCH(E407&amp;"",tbl_Production[Job Number],0)),""),IF(H407="Consulting",IFERROR(INDEX(tbl_Consulting[Qwilr Quote],MATCH(E407&amp;"",tbl_Consulting[Job Number],0)),""),""))))</f>
        <v/>
      </c>
      <c r="AC407" s="25">
        <f>IF(AB407="","",IF(AND(LEFT(AB407,4)&lt;&gt;"http",IF(H407="Production",set_RMSBase,set_QwilrBase)=""),"",HYPERLINK(IF(LEFT(AB407,4)="http",AB407,IF(H407="Production",set_RMSBase,set_QwilrBase)&amp;AB407),"Open")))</f>
        <v/>
      </c>
      <c r="AD407" s="27">
        <f>IF(E407="","",IF(H407="Production",IFERROR(INDEX(tbl_Production[Total Expense],MATCH(E407&amp;"",tbl_Production[Job Number],0)),0),IF(H407="Consulting",IFERROR(INDEX(tbl_Consulting[Total Expense],MATCH(E407&amp;"",tbl_Consulting[Job Number],0)),0),0)))</f>
        <v/>
      </c>
      <c r="AE407" s="27">
        <f>IF(E407="","",Y407-N(AD407))</f>
        <v/>
      </c>
      <c r="AF407" s="29">
        <f>IFERROR(AE407/Y407,"")</f>
        <v/>
      </c>
      <c r="AG407" s="25">
        <f>IF(E407="","",IF(H407="Onsite",IFERROR(INDEX(tbl_Onsite[Notes],MATCH(E407&amp;"",tbl_Onsite[Job Number],0)),""),IF(H407="Production",IFERROR(INDEX(tbl_Production[Notes],MATCH(E407&amp;"",tbl_Production[Job Number],0)),""),IF(H407="Consulting",IFERROR(INDEX(tbl_Consulting[Notes],MATCH(E407&amp;"",tbl_Consulting[Job Number],0)),""),""))))</f>
        <v/>
      </c>
    </row>
    <row r="408" ht="15" customHeight="1">
      <c r="A408" s="22" t="n"/>
      <c r="B408" s="23">
        <f>IF(A408="","",EOMONTH(A408,0))</f>
        <v/>
      </c>
      <c r="C408" s="24" t="n"/>
      <c r="D408" s="24" t="n"/>
      <c r="E408" s="24" t="n"/>
      <c r="F408" s="25">
        <f>IF(E408="","",IF(COUNTIF(lst_Jobs,E408&amp;"")&gt;0,"OK","CHECK"))</f>
        <v/>
      </c>
      <c r="G408" s="24" t="n"/>
      <c r="H408" s="24" t="n"/>
      <c r="I408" s="24" t="n"/>
      <c r="J408" s="24" t="n"/>
      <c r="K408" s="24" t="n"/>
      <c r="L408" s="26" t="n"/>
      <c r="M408" s="27">
        <f>IF(L408="","",IF(K408="GST 10%",ROUND(L408*set_GSTRate,2),0))</f>
        <v/>
      </c>
      <c r="N408" s="27">
        <f>IF(L408="","",L408+M408)</f>
        <v/>
      </c>
      <c r="O408" s="24" t="n"/>
      <c r="P408" s="24" t="n"/>
      <c r="Q408" s="24" t="n"/>
      <c r="R408" s="22" t="n"/>
      <c r="S408" s="22" t="n"/>
      <c r="T408" s="24" t="n"/>
      <c r="U408" s="24" t="n"/>
      <c r="V408" s="25">
        <f>IF(COUNTA(A408,D408,C408,L408)=0,"",IF(A408="","No date - sits outside every month",IF(E408="","No job number",IF(F408="CHECK","Job number is not in the Xero job list",IF(I408="","No cost centre",IF(AND(P408="Y",C408=""),"Marked posted to Xero but has no invoice number",IF(AND(L408&lt;&gt;"",K408=""),"No tax code",IF(AND(L408&lt;&gt;"",O408=""),"No revenue GL code",""))))))))</f>
        <v/>
      </c>
      <c r="W408" s="25">
        <f>IF(E408="","",IFERROR(INDEX(lst_JobName,MATCH(E408&amp;"",lst_Jobs,0)),""))</f>
        <v/>
      </c>
      <c r="X408" s="28">
        <f>IF(E408="","",COUNTIFS(tbl_Finance[Job Number],E408&amp;"",tbl_Finance[Ex GST],"&lt;&gt;"))</f>
        <v/>
      </c>
      <c r="Y408" s="27">
        <f>IF(E408="","",SUMIFS(tbl_Finance[Ex GST],tbl_Finance[Job Number],E408&amp;""))</f>
        <v/>
      </c>
      <c r="Z408" s="27">
        <f>IF(E408="","",SUMIFS(tbl_Finance[Ex GST],tbl_Finance[Job Number],E408&amp;"",tbl_Finance[Xero Invoice No],"&lt;&gt;"))</f>
        <v/>
      </c>
      <c r="AA408" s="27">
        <f>IF(E408="","",Y408-Z408)</f>
        <v/>
      </c>
      <c r="AB408" s="25">
        <f>IF(E408="","",IF(H408="Onsite",IFERROR(INDEX(tbl_Onsite[Qwilr Quote],MATCH(E408&amp;"",tbl_Onsite[Job Number],0)),""),IF(H408="Production",IFERROR(INDEX(tbl_Production[Current RMS No],MATCH(E408&amp;"",tbl_Production[Job Number],0)),""),IF(H408="Consulting",IFERROR(INDEX(tbl_Consulting[Qwilr Quote],MATCH(E408&amp;"",tbl_Consulting[Job Number],0)),""),""))))</f>
        <v/>
      </c>
      <c r="AC408" s="25">
        <f>IF(AB408="","",IF(AND(LEFT(AB408,4)&lt;&gt;"http",IF(H408="Production",set_RMSBase,set_QwilrBase)=""),"",HYPERLINK(IF(LEFT(AB408,4)="http",AB408,IF(H408="Production",set_RMSBase,set_QwilrBase)&amp;AB408),"Open")))</f>
        <v/>
      </c>
      <c r="AD408" s="27">
        <f>IF(E408="","",IF(H408="Production",IFERROR(INDEX(tbl_Production[Total Expense],MATCH(E408&amp;"",tbl_Production[Job Number],0)),0),IF(H408="Consulting",IFERROR(INDEX(tbl_Consulting[Total Expense],MATCH(E408&amp;"",tbl_Consulting[Job Number],0)),0),0)))</f>
        <v/>
      </c>
      <c r="AE408" s="27">
        <f>IF(E408="","",Y408-N(AD408))</f>
        <v/>
      </c>
      <c r="AF408" s="29">
        <f>IFERROR(AE408/Y408,"")</f>
        <v/>
      </c>
      <c r="AG408" s="25">
        <f>IF(E408="","",IF(H408="Onsite",IFERROR(INDEX(tbl_Onsite[Notes],MATCH(E408&amp;"",tbl_Onsite[Job Number],0)),""),IF(H408="Production",IFERROR(INDEX(tbl_Production[Notes],MATCH(E408&amp;"",tbl_Production[Job Number],0)),""),IF(H408="Consulting",IFERROR(INDEX(tbl_Consulting[Notes],MATCH(E408&amp;"",tbl_Consulting[Job Number],0)),""),""))))</f>
        <v/>
      </c>
    </row>
    <row r="409" ht="15" customHeight="1">
      <c r="A409" s="22" t="n"/>
      <c r="B409" s="23">
        <f>IF(A409="","",EOMONTH(A409,0))</f>
        <v/>
      </c>
      <c r="C409" s="24" t="n"/>
      <c r="D409" s="24" t="n"/>
      <c r="E409" s="24" t="n"/>
      <c r="F409" s="25">
        <f>IF(E409="","",IF(COUNTIF(lst_Jobs,E409&amp;"")&gt;0,"OK","CHECK"))</f>
        <v/>
      </c>
      <c r="G409" s="24" t="n"/>
      <c r="H409" s="24" t="n"/>
      <c r="I409" s="24" t="n"/>
      <c r="J409" s="24" t="n"/>
      <c r="K409" s="24" t="n"/>
      <c r="L409" s="26" t="n"/>
      <c r="M409" s="27">
        <f>IF(L409="","",IF(K409="GST 10%",ROUND(L409*set_GSTRate,2),0))</f>
        <v/>
      </c>
      <c r="N409" s="27">
        <f>IF(L409="","",L409+M409)</f>
        <v/>
      </c>
      <c r="O409" s="24" t="n"/>
      <c r="P409" s="24" t="n"/>
      <c r="Q409" s="24" t="n"/>
      <c r="R409" s="22" t="n"/>
      <c r="S409" s="22" t="n"/>
      <c r="T409" s="24" t="n"/>
      <c r="U409" s="24" t="n"/>
      <c r="V409" s="25">
        <f>IF(COUNTA(A409,D409,C409,L409)=0,"",IF(A409="","No date - sits outside every month",IF(E409="","No job number",IF(F409="CHECK","Job number is not in the Xero job list",IF(I409="","No cost centre",IF(AND(P409="Y",C409=""),"Marked posted to Xero but has no invoice number",IF(AND(L409&lt;&gt;"",K409=""),"No tax code",IF(AND(L409&lt;&gt;"",O409=""),"No revenue GL code",""))))))))</f>
        <v/>
      </c>
      <c r="W409" s="25">
        <f>IF(E409="","",IFERROR(INDEX(lst_JobName,MATCH(E409&amp;"",lst_Jobs,0)),""))</f>
        <v/>
      </c>
      <c r="X409" s="28">
        <f>IF(E409="","",COUNTIFS(tbl_Finance[Job Number],E409&amp;"",tbl_Finance[Ex GST],"&lt;&gt;"))</f>
        <v/>
      </c>
      <c r="Y409" s="27">
        <f>IF(E409="","",SUMIFS(tbl_Finance[Ex GST],tbl_Finance[Job Number],E409&amp;""))</f>
        <v/>
      </c>
      <c r="Z409" s="27">
        <f>IF(E409="","",SUMIFS(tbl_Finance[Ex GST],tbl_Finance[Job Number],E409&amp;"",tbl_Finance[Xero Invoice No],"&lt;&gt;"))</f>
        <v/>
      </c>
      <c r="AA409" s="27">
        <f>IF(E409="","",Y409-Z409)</f>
        <v/>
      </c>
      <c r="AB409" s="25">
        <f>IF(E409="","",IF(H409="Onsite",IFERROR(INDEX(tbl_Onsite[Qwilr Quote],MATCH(E409&amp;"",tbl_Onsite[Job Number],0)),""),IF(H409="Production",IFERROR(INDEX(tbl_Production[Current RMS No],MATCH(E409&amp;"",tbl_Production[Job Number],0)),""),IF(H409="Consulting",IFERROR(INDEX(tbl_Consulting[Qwilr Quote],MATCH(E409&amp;"",tbl_Consulting[Job Number],0)),""),""))))</f>
        <v/>
      </c>
      <c r="AC409" s="25">
        <f>IF(AB409="","",IF(AND(LEFT(AB409,4)&lt;&gt;"http",IF(H409="Production",set_RMSBase,set_QwilrBase)=""),"",HYPERLINK(IF(LEFT(AB409,4)="http",AB409,IF(H409="Production",set_RMSBase,set_QwilrBase)&amp;AB409),"Open")))</f>
        <v/>
      </c>
      <c r="AD409" s="27">
        <f>IF(E409="","",IF(H409="Production",IFERROR(INDEX(tbl_Production[Total Expense],MATCH(E409&amp;"",tbl_Production[Job Number],0)),0),IF(H409="Consulting",IFERROR(INDEX(tbl_Consulting[Total Expense],MATCH(E409&amp;"",tbl_Consulting[Job Number],0)),0),0)))</f>
        <v/>
      </c>
      <c r="AE409" s="27">
        <f>IF(E409="","",Y409-N(AD409))</f>
        <v/>
      </c>
      <c r="AF409" s="29">
        <f>IFERROR(AE409/Y409,"")</f>
        <v/>
      </c>
      <c r="AG409" s="25">
        <f>IF(E409="","",IF(H409="Onsite",IFERROR(INDEX(tbl_Onsite[Notes],MATCH(E409&amp;"",tbl_Onsite[Job Number],0)),""),IF(H409="Production",IFERROR(INDEX(tbl_Production[Notes],MATCH(E409&amp;"",tbl_Production[Job Number],0)),""),IF(H409="Consulting",IFERROR(INDEX(tbl_Consulting[Notes],MATCH(E409&amp;"",tbl_Consulting[Job Number],0)),""),""))))</f>
        <v/>
      </c>
    </row>
    <row r="410" ht="15" customHeight="1">
      <c r="A410" s="22" t="n"/>
      <c r="B410" s="23">
        <f>IF(A410="","",EOMONTH(A410,0))</f>
        <v/>
      </c>
      <c r="C410" s="24" t="n"/>
      <c r="D410" s="24" t="n"/>
      <c r="E410" s="24" t="n"/>
      <c r="F410" s="25">
        <f>IF(E410="","",IF(COUNTIF(lst_Jobs,E410&amp;"")&gt;0,"OK","CHECK"))</f>
        <v/>
      </c>
      <c r="G410" s="24" t="n"/>
      <c r="H410" s="24" t="n"/>
      <c r="I410" s="24" t="n"/>
      <c r="J410" s="24" t="n"/>
      <c r="K410" s="24" t="n"/>
      <c r="L410" s="26" t="n"/>
      <c r="M410" s="27">
        <f>IF(L410="","",IF(K410="GST 10%",ROUND(L410*set_GSTRate,2),0))</f>
        <v/>
      </c>
      <c r="N410" s="27">
        <f>IF(L410="","",L410+M410)</f>
        <v/>
      </c>
      <c r="O410" s="24" t="n"/>
      <c r="P410" s="24" t="n"/>
      <c r="Q410" s="24" t="n"/>
      <c r="R410" s="22" t="n"/>
      <c r="S410" s="22" t="n"/>
      <c r="T410" s="24" t="n"/>
      <c r="U410" s="24" t="n"/>
      <c r="V410" s="25">
        <f>IF(COUNTA(A410,D410,C410,L410)=0,"",IF(A410="","No date - sits outside every month",IF(E410="","No job number",IF(F410="CHECK","Job number is not in the Xero job list",IF(I410="","No cost centre",IF(AND(P410="Y",C410=""),"Marked posted to Xero but has no invoice number",IF(AND(L410&lt;&gt;"",K410=""),"No tax code",IF(AND(L410&lt;&gt;"",O410=""),"No revenue GL code",""))))))))</f>
        <v/>
      </c>
      <c r="W410" s="25">
        <f>IF(E410="","",IFERROR(INDEX(lst_JobName,MATCH(E410&amp;"",lst_Jobs,0)),""))</f>
        <v/>
      </c>
      <c r="X410" s="28">
        <f>IF(E410="","",COUNTIFS(tbl_Finance[Job Number],E410&amp;"",tbl_Finance[Ex GST],"&lt;&gt;"))</f>
        <v/>
      </c>
      <c r="Y410" s="27">
        <f>IF(E410="","",SUMIFS(tbl_Finance[Ex GST],tbl_Finance[Job Number],E410&amp;""))</f>
        <v/>
      </c>
      <c r="Z410" s="27">
        <f>IF(E410="","",SUMIFS(tbl_Finance[Ex GST],tbl_Finance[Job Number],E410&amp;"",tbl_Finance[Xero Invoice No],"&lt;&gt;"))</f>
        <v/>
      </c>
      <c r="AA410" s="27">
        <f>IF(E410="","",Y410-Z410)</f>
        <v/>
      </c>
      <c r="AB410" s="25">
        <f>IF(E410="","",IF(H410="Onsite",IFERROR(INDEX(tbl_Onsite[Qwilr Quote],MATCH(E410&amp;"",tbl_Onsite[Job Number],0)),""),IF(H410="Production",IFERROR(INDEX(tbl_Production[Current RMS No],MATCH(E410&amp;"",tbl_Production[Job Number],0)),""),IF(H410="Consulting",IFERROR(INDEX(tbl_Consulting[Qwilr Quote],MATCH(E410&amp;"",tbl_Consulting[Job Number],0)),""),""))))</f>
        <v/>
      </c>
      <c r="AC410" s="25">
        <f>IF(AB410="","",IF(AND(LEFT(AB410,4)&lt;&gt;"http",IF(H410="Production",set_RMSBase,set_QwilrBase)=""),"",HYPERLINK(IF(LEFT(AB410,4)="http",AB410,IF(H410="Production",set_RMSBase,set_QwilrBase)&amp;AB410),"Open")))</f>
        <v/>
      </c>
      <c r="AD410" s="27">
        <f>IF(E410="","",IF(H410="Production",IFERROR(INDEX(tbl_Production[Total Expense],MATCH(E410&amp;"",tbl_Production[Job Number],0)),0),IF(H410="Consulting",IFERROR(INDEX(tbl_Consulting[Total Expense],MATCH(E410&amp;"",tbl_Consulting[Job Number],0)),0),0)))</f>
        <v/>
      </c>
      <c r="AE410" s="27">
        <f>IF(E410="","",Y410-N(AD410))</f>
        <v/>
      </c>
      <c r="AF410" s="29">
        <f>IFERROR(AE410/Y410,"")</f>
        <v/>
      </c>
      <c r="AG410" s="25">
        <f>IF(E410="","",IF(H410="Onsite",IFERROR(INDEX(tbl_Onsite[Notes],MATCH(E410&amp;"",tbl_Onsite[Job Number],0)),""),IF(H410="Production",IFERROR(INDEX(tbl_Production[Notes],MATCH(E410&amp;"",tbl_Production[Job Number],0)),""),IF(H410="Consulting",IFERROR(INDEX(tbl_Consulting[Notes],MATCH(E410&amp;"",tbl_Consulting[Job Number],0)),""),""))))</f>
        <v/>
      </c>
    </row>
    <row r="411" ht="15" customHeight="1">
      <c r="A411" s="22" t="n"/>
      <c r="B411" s="23">
        <f>IF(A411="","",EOMONTH(A411,0))</f>
        <v/>
      </c>
      <c r="C411" s="24" t="n"/>
      <c r="D411" s="24" t="n"/>
      <c r="E411" s="24" t="n"/>
      <c r="F411" s="25">
        <f>IF(E411="","",IF(COUNTIF(lst_Jobs,E411&amp;"")&gt;0,"OK","CHECK"))</f>
        <v/>
      </c>
      <c r="G411" s="24" t="n"/>
      <c r="H411" s="24" t="n"/>
      <c r="I411" s="24" t="n"/>
      <c r="J411" s="24" t="n"/>
      <c r="K411" s="24" t="n"/>
      <c r="L411" s="26" t="n"/>
      <c r="M411" s="27">
        <f>IF(L411="","",IF(K411="GST 10%",ROUND(L411*set_GSTRate,2),0))</f>
        <v/>
      </c>
      <c r="N411" s="27">
        <f>IF(L411="","",L411+M411)</f>
        <v/>
      </c>
      <c r="O411" s="24" t="n"/>
      <c r="P411" s="24" t="n"/>
      <c r="Q411" s="24" t="n"/>
      <c r="R411" s="22" t="n"/>
      <c r="S411" s="22" t="n"/>
      <c r="T411" s="24" t="n"/>
      <c r="U411" s="24" t="n"/>
      <c r="V411" s="25">
        <f>IF(COUNTA(A411,D411,C411,L411)=0,"",IF(A411="","No date - sits outside every month",IF(E411="","No job number",IF(F411="CHECK","Job number is not in the Xero job list",IF(I411="","No cost centre",IF(AND(P411="Y",C411=""),"Marked posted to Xero but has no invoice number",IF(AND(L411&lt;&gt;"",K411=""),"No tax code",IF(AND(L411&lt;&gt;"",O411=""),"No revenue GL code",""))))))))</f>
        <v/>
      </c>
      <c r="W411" s="25">
        <f>IF(E411="","",IFERROR(INDEX(lst_JobName,MATCH(E411&amp;"",lst_Jobs,0)),""))</f>
        <v/>
      </c>
      <c r="X411" s="28">
        <f>IF(E411="","",COUNTIFS(tbl_Finance[Job Number],E411&amp;"",tbl_Finance[Ex GST],"&lt;&gt;"))</f>
        <v/>
      </c>
      <c r="Y411" s="27">
        <f>IF(E411="","",SUMIFS(tbl_Finance[Ex GST],tbl_Finance[Job Number],E411&amp;""))</f>
        <v/>
      </c>
      <c r="Z411" s="27">
        <f>IF(E411="","",SUMIFS(tbl_Finance[Ex GST],tbl_Finance[Job Number],E411&amp;"",tbl_Finance[Xero Invoice No],"&lt;&gt;"))</f>
        <v/>
      </c>
      <c r="AA411" s="27">
        <f>IF(E411="","",Y411-Z411)</f>
        <v/>
      </c>
      <c r="AB411" s="25">
        <f>IF(E411="","",IF(H411="Onsite",IFERROR(INDEX(tbl_Onsite[Qwilr Quote],MATCH(E411&amp;"",tbl_Onsite[Job Number],0)),""),IF(H411="Production",IFERROR(INDEX(tbl_Production[Current RMS No],MATCH(E411&amp;"",tbl_Production[Job Number],0)),""),IF(H411="Consulting",IFERROR(INDEX(tbl_Consulting[Qwilr Quote],MATCH(E411&amp;"",tbl_Consulting[Job Number],0)),""),""))))</f>
        <v/>
      </c>
      <c r="AC411" s="25">
        <f>IF(AB411="","",IF(AND(LEFT(AB411,4)&lt;&gt;"http",IF(H411="Production",set_RMSBase,set_QwilrBase)=""),"",HYPERLINK(IF(LEFT(AB411,4)="http",AB411,IF(H411="Production",set_RMSBase,set_QwilrBase)&amp;AB411),"Open")))</f>
        <v/>
      </c>
      <c r="AD411" s="27">
        <f>IF(E411="","",IF(H411="Production",IFERROR(INDEX(tbl_Production[Total Expense],MATCH(E411&amp;"",tbl_Production[Job Number],0)),0),IF(H411="Consulting",IFERROR(INDEX(tbl_Consulting[Total Expense],MATCH(E411&amp;"",tbl_Consulting[Job Number],0)),0),0)))</f>
        <v/>
      </c>
      <c r="AE411" s="27">
        <f>IF(E411="","",Y411-N(AD411))</f>
        <v/>
      </c>
      <c r="AF411" s="29">
        <f>IFERROR(AE411/Y411,"")</f>
        <v/>
      </c>
      <c r="AG411" s="25">
        <f>IF(E411="","",IF(H411="Onsite",IFERROR(INDEX(tbl_Onsite[Notes],MATCH(E411&amp;"",tbl_Onsite[Job Number],0)),""),IF(H411="Production",IFERROR(INDEX(tbl_Production[Notes],MATCH(E411&amp;"",tbl_Production[Job Number],0)),""),IF(H411="Consulting",IFERROR(INDEX(tbl_Consulting[Notes],MATCH(E411&amp;"",tbl_Consulting[Job Number],0)),""),""))))</f>
        <v/>
      </c>
    </row>
    <row r="412" ht="15" customHeight="1">
      <c r="A412" s="22" t="n"/>
      <c r="B412" s="23">
        <f>IF(A412="","",EOMONTH(A412,0))</f>
        <v/>
      </c>
      <c r="C412" s="24" t="n"/>
      <c r="D412" s="24" t="n"/>
      <c r="E412" s="24" t="n"/>
      <c r="F412" s="25">
        <f>IF(E412="","",IF(COUNTIF(lst_Jobs,E412&amp;"")&gt;0,"OK","CHECK"))</f>
        <v/>
      </c>
      <c r="G412" s="24" t="n"/>
      <c r="H412" s="24" t="n"/>
      <c r="I412" s="24" t="n"/>
      <c r="J412" s="24" t="n"/>
      <c r="K412" s="24" t="n"/>
      <c r="L412" s="26" t="n"/>
      <c r="M412" s="27">
        <f>IF(L412="","",IF(K412="GST 10%",ROUND(L412*set_GSTRate,2),0))</f>
        <v/>
      </c>
      <c r="N412" s="27">
        <f>IF(L412="","",L412+M412)</f>
        <v/>
      </c>
      <c r="O412" s="24" t="n"/>
      <c r="P412" s="24" t="n"/>
      <c r="Q412" s="24" t="n"/>
      <c r="R412" s="22" t="n"/>
      <c r="S412" s="22" t="n"/>
      <c r="T412" s="24" t="n"/>
      <c r="U412" s="24" t="n"/>
      <c r="V412" s="25">
        <f>IF(COUNTA(A412,D412,C412,L412)=0,"",IF(A412="","No date - sits outside every month",IF(E412="","No job number",IF(F412="CHECK","Job number is not in the Xero job list",IF(I412="","No cost centre",IF(AND(P412="Y",C412=""),"Marked posted to Xero but has no invoice number",IF(AND(L412&lt;&gt;"",K412=""),"No tax code",IF(AND(L412&lt;&gt;"",O412=""),"No revenue GL code",""))))))))</f>
        <v/>
      </c>
      <c r="W412" s="25">
        <f>IF(E412="","",IFERROR(INDEX(lst_JobName,MATCH(E412&amp;"",lst_Jobs,0)),""))</f>
        <v/>
      </c>
      <c r="X412" s="28">
        <f>IF(E412="","",COUNTIFS(tbl_Finance[Job Number],E412&amp;"",tbl_Finance[Ex GST],"&lt;&gt;"))</f>
        <v/>
      </c>
      <c r="Y412" s="27">
        <f>IF(E412="","",SUMIFS(tbl_Finance[Ex GST],tbl_Finance[Job Number],E412&amp;""))</f>
        <v/>
      </c>
      <c r="Z412" s="27">
        <f>IF(E412="","",SUMIFS(tbl_Finance[Ex GST],tbl_Finance[Job Number],E412&amp;"",tbl_Finance[Xero Invoice No],"&lt;&gt;"))</f>
        <v/>
      </c>
      <c r="AA412" s="27">
        <f>IF(E412="","",Y412-Z412)</f>
        <v/>
      </c>
      <c r="AB412" s="25">
        <f>IF(E412="","",IF(H412="Onsite",IFERROR(INDEX(tbl_Onsite[Qwilr Quote],MATCH(E412&amp;"",tbl_Onsite[Job Number],0)),""),IF(H412="Production",IFERROR(INDEX(tbl_Production[Current RMS No],MATCH(E412&amp;"",tbl_Production[Job Number],0)),""),IF(H412="Consulting",IFERROR(INDEX(tbl_Consulting[Qwilr Quote],MATCH(E412&amp;"",tbl_Consulting[Job Number],0)),""),""))))</f>
        <v/>
      </c>
      <c r="AC412" s="25">
        <f>IF(AB412="","",IF(AND(LEFT(AB412,4)&lt;&gt;"http",IF(H412="Production",set_RMSBase,set_QwilrBase)=""),"",HYPERLINK(IF(LEFT(AB412,4)="http",AB412,IF(H412="Production",set_RMSBase,set_QwilrBase)&amp;AB412),"Open")))</f>
        <v/>
      </c>
      <c r="AD412" s="27">
        <f>IF(E412="","",IF(H412="Production",IFERROR(INDEX(tbl_Production[Total Expense],MATCH(E412&amp;"",tbl_Production[Job Number],0)),0),IF(H412="Consulting",IFERROR(INDEX(tbl_Consulting[Total Expense],MATCH(E412&amp;"",tbl_Consulting[Job Number],0)),0),0)))</f>
        <v/>
      </c>
      <c r="AE412" s="27">
        <f>IF(E412="","",Y412-N(AD412))</f>
        <v/>
      </c>
      <c r="AF412" s="29">
        <f>IFERROR(AE412/Y412,"")</f>
        <v/>
      </c>
      <c r="AG412" s="25">
        <f>IF(E412="","",IF(H412="Onsite",IFERROR(INDEX(tbl_Onsite[Notes],MATCH(E412&amp;"",tbl_Onsite[Job Number],0)),""),IF(H412="Production",IFERROR(INDEX(tbl_Production[Notes],MATCH(E412&amp;"",tbl_Production[Job Number],0)),""),IF(H412="Consulting",IFERROR(INDEX(tbl_Consulting[Notes],MATCH(E412&amp;"",tbl_Consulting[Job Number],0)),""),""))))</f>
        <v/>
      </c>
    </row>
    <row r="413" ht="15" customHeight="1">
      <c r="A413" s="22" t="n"/>
      <c r="B413" s="23">
        <f>IF(A413="","",EOMONTH(A413,0))</f>
        <v/>
      </c>
      <c r="C413" s="24" t="n"/>
      <c r="D413" s="24" t="n"/>
      <c r="E413" s="24" t="n"/>
      <c r="F413" s="25">
        <f>IF(E413="","",IF(COUNTIF(lst_Jobs,E413&amp;"")&gt;0,"OK","CHECK"))</f>
        <v/>
      </c>
      <c r="G413" s="24" t="n"/>
      <c r="H413" s="24" t="n"/>
      <c r="I413" s="24" t="n"/>
      <c r="J413" s="24" t="n"/>
      <c r="K413" s="24" t="n"/>
      <c r="L413" s="26" t="n"/>
      <c r="M413" s="27">
        <f>IF(L413="","",IF(K413="GST 10%",ROUND(L413*set_GSTRate,2),0))</f>
        <v/>
      </c>
      <c r="N413" s="27">
        <f>IF(L413="","",L413+M413)</f>
        <v/>
      </c>
      <c r="O413" s="24" t="n"/>
      <c r="P413" s="24" t="n"/>
      <c r="Q413" s="24" t="n"/>
      <c r="R413" s="22" t="n"/>
      <c r="S413" s="22" t="n"/>
      <c r="T413" s="24" t="n"/>
      <c r="U413" s="24" t="n"/>
      <c r="V413" s="25">
        <f>IF(COUNTA(A413,D413,C413,L413)=0,"",IF(A413="","No date - sits outside every month",IF(E413="","No job number",IF(F413="CHECK","Job number is not in the Xero job list",IF(I413="","No cost centre",IF(AND(P413="Y",C413=""),"Marked posted to Xero but has no invoice number",IF(AND(L413&lt;&gt;"",K413=""),"No tax code",IF(AND(L413&lt;&gt;"",O413=""),"No revenue GL code",""))))))))</f>
        <v/>
      </c>
      <c r="W413" s="25">
        <f>IF(E413="","",IFERROR(INDEX(lst_JobName,MATCH(E413&amp;"",lst_Jobs,0)),""))</f>
        <v/>
      </c>
      <c r="X413" s="28">
        <f>IF(E413="","",COUNTIFS(tbl_Finance[Job Number],E413&amp;"",tbl_Finance[Ex GST],"&lt;&gt;"))</f>
        <v/>
      </c>
      <c r="Y413" s="27">
        <f>IF(E413="","",SUMIFS(tbl_Finance[Ex GST],tbl_Finance[Job Number],E413&amp;""))</f>
        <v/>
      </c>
      <c r="Z413" s="27">
        <f>IF(E413="","",SUMIFS(tbl_Finance[Ex GST],tbl_Finance[Job Number],E413&amp;"",tbl_Finance[Xero Invoice No],"&lt;&gt;"))</f>
        <v/>
      </c>
      <c r="AA413" s="27">
        <f>IF(E413="","",Y413-Z413)</f>
        <v/>
      </c>
      <c r="AB413" s="25">
        <f>IF(E413="","",IF(H413="Onsite",IFERROR(INDEX(tbl_Onsite[Qwilr Quote],MATCH(E413&amp;"",tbl_Onsite[Job Number],0)),""),IF(H413="Production",IFERROR(INDEX(tbl_Production[Current RMS No],MATCH(E413&amp;"",tbl_Production[Job Number],0)),""),IF(H413="Consulting",IFERROR(INDEX(tbl_Consulting[Qwilr Quote],MATCH(E413&amp;"",tbl_Consulting[Job Number],0)),""),""))))</f>
        <v/>
      </c>
      <c r="AC413" s="25">
        <f>IF(AB413="","",IF(AND(LEFT(AB413,4)&lt;&gt;"http",IF(H413="Production",set_RMSBase,set_QwilrBase)=""),"",HYPERLINK(IF(LEFT(AB413,4)="http",AB413,IF(H413="Production",set_RMSBase,set_QwilrBase)&amp;AB413),"Open")))</f>
        <v/>
      </c>
      <c r="AD413" s="27">
        <f>IF(E413="","",IF(H413="Production",IFERROR(INDEX(tbl_Production[Total Expense],MATCH(E413&amp;"",tbl_Production[Job Number],0)),0),IF(H413="Consulting",IFERROR(INDEX(tbl_Consulting[Total Expense],MATCH(E413&amp;"",tbl_Consulting[Job Number],0)),0),0)))</f>
        <v/>
      </c>
      <c r="AE413" s="27">
        <f>IF(E413="","",Y413-N(AD413))</f>
        <v/>
      </c>
      <c r="AF413" s="29">
        <f>IFERROR(AE413/Y413,"")</f>
        <v/>
      </c>
      <c r="AG413" s="25">
        <f>IF(E413="","",IF(H413="Onsite",IFERROR(INDEX(tbl_Onsite[Notes],MATCH(E413&amp;"",tbl_Onsite[Job Number],0)),""),IF(H413="Production",IFERROR(INDEX(tbl_Production[Notes],MATCH(E413&amp;"",tbl_Production[Job Number],0)),""),IF(H413="Consulting",IFERROR(INDEX(tbl_Consulting[Notes],MATCH(E413&amp;"",tbl_Consulting[Job Number],0)),""),""))))</f>
        <v/>
      </c>
    </row>
    <row r="414" ht="15" customHeight="1">
      <c r="A414" s="22" t="n"/>
      <c r="B414" s="23">
        <f>IF(A414="","",EOMONTH(A414,0))</f>
        <v/>
      </c>
      <c r="C414" s="24" t="n"/>
      <c r="D414" s="24" t="n"/>
      <c r="E414" s="24" t="n"/>
      <c r="F414" s="25">
        <f>IF(E414="","",IF(COUNTIF(lst_Jobs,E414&amp;"")&gt;0,"OK","CHECK"))</f>
        <v/>
      </c>
      <c r="G414" s="24" t="n"/>
      <c r="H414" s="24" t="n"/>
      <c r="I414" s="24" t="n"/>
      <c r="J414" s="24" t="n"/>
      <c r="K414" s="24" t="n"/>
      <c r="L414" s="26" t="n"/>
      <c r="M414" s="27">
        <f>IF(L414="","",IF(K414="GST 10%",ROUND(L414*set_GSTRate,2),0))</f>
        <v/>
      </c>
      <c r="N414" s="27">
        <f>IF(L414="","",L414+M414)</f>
        <v/>
      </c>
      <c r="O414" s="24" t="n"/>
      <c r="P414" s="24" t="n"/>
      <c r="Q414" s="24" t="n"/>
      <c r="R414" s="22" t="n"/>
      <c r="S414" s="22" t="n"/>
      <c r="T414" s="24" t="n"/>
      <c r="U414" s="24" t="n"/>
      <c r="V414" s="25">
        <f>IF(COUNTA(A414,D414,C414,L414)=0,"",IF(A414="","No date - sits outside every month",IF(E414="","No job number",IF(F414="CHECK","Job number is not in the Xero job list",IF(I414="","No cost centre",IF(AND(P414="Y",C414=""),"Marked posted to Xero but has no invoice number",IF(AND(L414&lt;&gt;"",K414=""),"No tax code",IF(AND(L414&lt;&gt;"",O414=""),"No revenue GL code",""))))))))</f>
        <v/>
      </c>
      <c r="W414" s="25">
        <f>IF(E414="","",IFERROR(INDEX(lst_JobName,MATCH(E414&amp;"",lst_Jobs,0)),""))</f>
        <v/>
      </c>
      <c r="X414" s="28">
        <f>IF(E414="","",COUNTIFS(tbl_Finance[Job Number],E414&amp;"",tbl_Finance[Ex GST],"&lt;&gt;"))</f>
        <v/>
      </c>
      <c r="Y414" s="27">
        <f>IF(E414="","",SUMIFS(tbl_Finance[Ex GST],tbl_Finance[Job Number],E414&amp;""))</f>
        <v/>
      </c>
      <c r="Z414" s="27">
        <f>IF(E414="","",SUMIFS(tbl_Finance[Ex GST],tbl_Finance[Job Number],E414&amp;"",tbl_Finance[Xero Invoice No],"&lt;&gt;"))</f>
        <v/>
      </c>
      <c r="AA414" s="27">
        <f>IF(E414="","",Y414-Z414)</f>
        <v/>
      </c>
      <c r="AB414" s="25">
        <f>IF(E414="","",IF(H414="Onsite",IFERROR(INDEX(tbl_Onsite[Qwilr Quote],MATCH(E414&amp;"",tbl_Onsite[Job Number],0)),""),IF(H414="Production",IFERROR(INDEX(tbl_Production[Current RMS No],MATCH(E414&amp;"",tbl_Production[Job Number],0)),""),IF(H414="Consulting",IFERROR(INDEX(tbl_Consulting[Qwilr Quote],MATCH(E414&amp;"",tbl_Consulting[Job Number],0)),""),""))))</f>
        <v/>
      </c>
      <c r="AC414" s="25">
        <f>IF(AB414="","",IF(AND(LEFT(AB414,4)&lt;&gt;"http",IF(H414="Production",set_RMSBase,set_QwilrBase)=""),"",HYPERLINK(IF(LEFT(AB414,4)="http",AB414,IF(H414="Production",set_RMSBase,set_QwilrBase)&amp;AB414),"Open")))</f>
        <v/>
      </c>
      <c r="AD414" s="27">
        <f>IF(E414="","",IF(H414="Production",IFERROR(INDEX(tbl_Production[Total Expense],MATCH(E414&amp;"",tbl_Production[Job Number],0)),0),IF(H414="Consulting",IFERROR(INDEX(tbl_Consulting[Total Expense],MATCH(E414&amp;"",tbl_Consulting[Job Number],0)),0),0)))</f>
        <v/>
      </c>
      <c r="AE414" s="27">
        <f>IF(E414="","",Y414-N(AD414))</f>
        <v/>
      </c>
      <c r="AF414" s="29">
        <f>IFERROR(AE414/Y414,"")</f>
        <v/>
      </c>
      <c r="AG414" s="25">
        <f>IF(E414="","",IF(H414="Onsite",IFERROR(INDEX(tbl_Onsite[Notes],MATCH(E414&amp;"",tbl_Onsite[Job Number],0)),""),IF(H414="Production",IFERROR(INDEX(tbl_Production[Notes],MATCH(E414&amp;"",tbl_Production[Job Number],0)),""),IF(H414="Consulting",IFERROR(INDEX(tbl_Consulting[Notes],MATCH(E414&amp;"",tbl_Consulting[Job Number],0)),""),""))))</f>
        <v/>
      </c>
    </row>
    <row r="415" ht="15" customHeight="1">
      <c r="A415" s="22" t="n"/>
      <c r="B415" s="23">
        <f>IF(A415="","",EOMONTH(A415,0))</f>
        <v/>
      </c>
      <c r="C415" s="24" t="n"/>
      <c r="D415" s="24" t="n"/>
      <c r="E415" s="24" t="n"/>
      <c r="F415" s="25">
        <f>IF(E415="","",IF(COUNTIF(lst_Jobs,E415&amp;"")&gt;0,"OK","CHECK"))</f>
        <v/>
      </c>
      <c r="G415" s="24" t="n"/>
      <c r="H415" s="24" t="n"/>
      <c r="I415" s="24" t="n"/>
      <c r="J415" s="24" t="n"/>
      <c r="K415" s="24" t="n"/>
      <c r="L415" s="26" t="n"/>
      <c r="M415" s="27">
        <f>IF(L415="","",IF(K415="GST 10%",ROUND(L415*set_GSTRate,2),0))</f>
        <v/>
      </c>
      <c r="N415" s="27">
        <f>IF(L415="","",L415+M415)</f>
        <v/>
      </c>
      <c r="O415" s="24" t="n"/>
      <c r="P415" s="24" t="n"/>
      <c r="Q415" s="24" t="n"/>
      <c r="R415" s="22" t="n"/>
      <c r="S415" s="22" t="n"/>
      <c r="T415" s="24" t="n"/>
      <c r="U415" s="24" t="n"/>
      <c r="V415" s="25">
        <f>IF(COUNTA(A415,D415,C415,L415)=0,"",IF(A415="","No date - sits outside every month",IF(E415="","No job number",IF(F415="CHECK","Job number is not in the Xero job list",IF(I415="","No cost centre",IF(AND(P415="Y",C415=""),"Marked posted to Xero but has no invoice number",IF(AND(L415&lt;&gt;"",K415=""),"No tax code",IF(AND(L415&lt;&gt;"",O415=""),"No revenue GL code",""))))))))</f>
        <v/>
      </c>
      <c r="W415" s="25">
        <f>IF(E415="","",IFERROR(INDEX(lst_JobName,MATCH(E415&amp;"",lst_Jobs,0)),""))</f>
        <v/>
      </c>
      <c r="X415" s="28">
        <f>IF(E415="","",COUNTIFS(tbl_Finance[Job Number],E415&amp;"",tbl_Finance[Ex GST],"&lt;&gt;"))</f>
        <v/>
      </c>
      <c r="Y415" s="27">
        <f>IF(E415="","",SUMIFS(tbl_Finance[Ex GST],tbl_Finance[Job Number],E415&amp;""))</f>
        <v/>
      </c>
      <c r="Z415" s="27">
        <f>IF(E415="","",SUMIFS(tbl_Finance[Ex GST],tbl_Finance[Job Number],E415&amp;"",tbl_Finance[Xero Invoice No],"&lt;&gt;"))</f>
        <v/>
      </c>
      <c r="AA415" s="27">
        <f>IF(E415="","",Y415-Z415)</f>
        <v/>
      </c>
      <c r="AB415" s="25">
        <f>IF(E415="","",IF(H415="Onsite",IFERROR(INDEX(tbl_Onsite[Qwilr Quote],MATCH(E415&amp;"",tbl_Onsite[Job Number],0)),""),IF(H415="Production",IFERROR(INDEX(tbl_Production[Current RMS No],MATCH(E415&amp;"",tbl_Production[Job Number],0)),""),IF(H415="Consulting",IFERROR(INDEX(tbl_Consulting[Qwilr Quote],MATCH(E415&amp;"",tbl_Consulting[Job Number],0)),""),""))))</f>
        <v/>
      </c>
      <c r="AC415" s="25">
        <f>IF(AB415="","",IF(AND(LEFT(AB415,4)&lt;&gt;"http",IF(H415="Production",set_RMSBase,set_QwilrBase)=""),"",HYPERLINK(IF(LEFT(AB415,4)="http",AB415,IF(H415="Production",set_RMSBase,set_QwilrBase)&amp;AB415),"Open")))</f>
        <v/>
      </c>
      <c r="AD415" s="27">
        <f>IF(E415="","",IF(H415="Production",IFERROR(INDEX(tbl_Production[Total Expense],MATCH(E415&amp;"",tbl_Production[Job Number],0)),0),IF(H415="Consulting",IFERROR(INDEX(tbl_Consulting[Total Expense],MATCH(E415&amp;"",tbl_Consulting[Job Number],0)),0),0)))</f>
        <v/>
      </c>
      <c r="AE415" s="27">
        <f>IF(E415="","",Y415-N(AD415))</f>
        <v/>
      </c>
      <c r="AF415" s="29">
        <f>IFERROR(AE415/Y415,"")</f>
        <v/>
      </c>
      <c r="AG415" s="25">
        <f>IF(E415="","",IF(H415="Onsite",IFERROR(INDEX(tbl_Onsite[Notes],MATCH(E415&amp;"",tbl_Onsite[Job Number],0)),""),IF(H415="Production",IFERROR(INDEX(tbl_Production[Notes],MATCH(E415&amp;"",tbl_Production[Job Number],0)),""),IF(H415="Consulting",IFERROR(INDEX(tbl_Consulting[Notes],MATCH(E415&amp;"",tbl_Consulting[Job Number],0)),""),""))))</f>
        <v/>
      </c>
    </row>
    <row r="416" ht="15" customHeight="1">
      <c r="A416" s="22" t="n"/>
      <c r="B416" s="23">
        <f>IF(A416="","",EOMONTH(A416,0))</f>
        <v/>
      </c>
      <c r="C416" s="24" t="n"/>
      <c r="D416" s="24" t="n"/>
      <c r="E416" s="24" t="n"/>
      <c r="F416" s="25">
        <f>IF(E416="","",IF(COUNTIF(lst_Jobs,E416&amp;"")&gt;0,"OK","CHECK"))</f>
        <v/>
      </c>
      <c r="G416" s="24" t="n"/>
      <c r="H416" s="24" t="n"/>
      <c r="I416" s="24" t="n"/>
      <c r="J416" s="24" t="n"/>
      <c r="K416" s="24" t="n"/>
      <c r="L416" s="26" t="n"/>
      <c r="M416" s="27">
        <f>IF(L416="","",IF(K416="GST 10%",ROUND(L416*set_GSTRate,2),0))</f>
        <v/>
      </c>
      <c r="N416" s="27">
        <f>IF(L416="","",L416+M416)</f>
        <v/>
      </c>
      <c r="O416" s="24" t="n"/>
      <c r="P416" s="24" t="n"/>
      <c r="Q416" s="24" t="n"/>
      <c r="R416" s="22" t="n"/>
      <c r="S416" s="22" t="n"/>
      <c r="T416" s="24" t="n"/>
      <c r="U416" s="24" t="n"/>
      <c r="V416" s="25">
        <f>IF(COUNTA(A416,D416,C416,L416)=0,"",IF(A416="","No date - sits outside every month",IF(E416="","No job number",IF(F416="CHECK","Job number is not in the Xero job list",IF(I416="","No cost centre",IF(AND(P416="Y",C416=""),"Marked posted to Xero but has no invoice number",IF(AND(L416&lt;&gt;"",K416=""),"No tax code",IF(AND(L416&lt;&gt;"",O416=""),"No revenue GL code",""))))))))</f>
        <v/>
      </c>
      <c r="W416" s="25">
        <f>IF(E416="","",IFERROR(INDEX(lst_JobName,MATCH(E416&amp;"",lst_Jobs,0)),""))</f>
        <v/>
      </c>
      <c r="X416" s="28">
        <f>IF(E416="","",COUNTIFS(tbl_Finance[Job Number],E416&amp;"",tbl_Finance[Ex GST],"&lt;&gt;"))</f>
        <v/>
      </c>
      <c r="Y416" s="27">
        <f>IF(E416="","",SUMIFS(tbl_Finance[Ex GST],tbl_Finance[Job Number],E416&amp;""))</f>
        <v/>
      </c>
      <c r="Z416" s="27">
        <f>IF(E416="","",SUMIFS(tbl_Finance[Ex GST],tbl_Finance[Job Number],E416&amp;"",tbl_Finance[Xero Invoice No],"&lt;&gt;"))</f>
        <v/>
      </c>
      <c r="AA416" s="27">
        <f>IF(E416="","",Y416-Z416)</f>
        <v/>
      </c>
      <c r="AB416" s="25">
        <f>IF(E416="","",IF(H416="Onsite",IFERROR(INDEX(tbl_Onsite[Qwilr Quote],MATCH(E416&amp;"",tbl_Onsite[Job Number],0)),""),IF(H416="Production",IFERROR(INDEX(tbl_Production[Current RMS No],MATCH(E416&amp;"",tbl_Production[Job Number],0)),""),IF(H416="Consulting",IFERROR(INDEX(tbl_Consulting[Qwilr Quote],MATCH(E416&amp;"",tbl_Consulting[Job Number],0)),""),""))))</f>
        <v/>
      </c>
      <c r="AC416" s="25">
        <f>IF(AB416="","",IF(AND(LEFT(AB416,4)&lt;&gt;"http",IF(H416="Production",set_RMSBase,set_QwilrBase)=""),"",HYPERLINK(IF(LEFT(AB416,4)="http",AB416,IF(H416="Production",set_RMSBase,set_QwilrBase)&amp;AB416),"Open")))</f>
        <v/>
      </c>
      <c r="AD416" s="27">
        <f>IF(E416="","",IF(H416="Production",IFERROR(INDEX(tbl_Production[Total Expense],MATCH(E416&amp;"",tbl_Production[Job Number],0)),0),IF(H416="Consulting",IFERROR(INDEX(tbl_Consulting[Total Expense],MATCH(E416&amp;"",tbl_Consulting[Job Number],0)),0),0)))</f>
        <v/>
      </c>
      <c r="AE416" s="27">
        <f>IF(E416="","",Y416-N(AD416))</f>
        <v/>
      </c>
      <c r="AF416" s="29">
        <f>IFERROR(AE416/Y416,"")</f>
        <v/>
      </c>
      <c r="AG416" s="25">
        <f>IF(E416="","",IF(H416="Onsite",IFERROR(INDEX(tbl_Onsite[Notes],MATCH(E416&amp;"",tbl_Onsite[Job Number],0)),""),IF(H416="Production",IFERROR(INDEX(tbl_Production[Notes],MATCH(E416&amp;"",tbl_Production[Job Number],0)),""),IF(H416="Consulting",IFERROR(INDEX(tbl_Consulting[Notes],MATCH(E416&amp;"",tbl_Consulting[Job Number],0)),""),""))))</f>
        <v/>
      </c>
    </row>
    <row r="417" ht="15" customHeight="1">
      <c r="A417" s="22" t="n"/>
      <c r="B417" s="23">
        <f>IF(A417="","",EOMONTH(A417,0))</f>
        <v/>
      </c>
      <c r="C417" s="24" t="n"/>
      <c r="D417" s="24" t="n"/>
      <c r="E417" s="24" t="n"/>
      <c r="F417" s="25">
        <f>IF(E417="","",IF(COUNTIF(lst_Jobs,E417&amp;"")&gt;0,"OK","CHECK"))</f>
        <v/>
      </c>
      <c r="G417" s="24" t="n"/>
      <c r="H417" s="24" t="n"/>
      <c r="I417" s="24" t="n"/>
      <c r="J417" s="24" t="n"/>
      <c r="K417" s="24" t="n"/>
      <c r="L417" s="26" t="n"/>
      <c r="M417" s="27">
        <f>IF(L417="","",IF(K417="GST 10%",ROUND(L417*set_GSTRate,2),0))</f>
        <v/>
      </c>
      <c r="N417" s="27">
        <f>IF(L417="","",L417+M417)</f>
        <v/>
      </c>
      <c r="O417" s="24" t="n"/>
      <c r="P417" s="24" t="n"/>
      <c r="Q417" s="24" t="n"/>
      <c r="R417" s="22" t="n"/>
      <c r="S417" s="22" t="n"/>
      <c r="T417" s="24" t="n"/>
      <c r="U417" s="24" t="n"/>
      <c r="V417" s="25">
        <f>IF(COUNTA(A417,D417,C417,L417)=0,"",IF(A417="","No date - sits outside every month",IF(E417="","No job number",IF(F417="CHECK","Job number is not in the Xero job list",IF(I417="","No cost centre",IF(AND(P417="Y",C417=""),"Marked posted to Xero but has no invoice number",IF(AND(L417&lt;&gt;"",K417=""),"No tax code",IF(AND(L417&lt;&gt;"",O417=""),"No revenue GL code",""))))))))</f>
        <v/>
      </c>
      <c r="W417" s="25">
        <f>IF(E417="","",IFERROR(INDEX(lst_JobName,MATCH(E417&amp;"",lst_Jobs,0)),""))</f>
        <v/>
      </c>
      <c r="X417" s="28">
        <f>IF(E417="","",COUNTIFS(tbl_Finance[Job Number],E417&amp;"",tbl_Finance[Ex GST],"&lt;&gt;"))</f>
        <v/>
      </c>
      <c r="Y417" s="27">
        <f>IF(E417="","",SUMIFS(tbl_Finance[Ex GST],tbl_Finance[Job Number],E417&amp;""))</f>
        <v/>
      </c>
      <c r="Z417" s="27">
        <f>IF(E417="","",SUMIFS(tbl_Finance[Ex GST],tbl_Finance[Job Number],E417&amp;"",tbl_Finance[Xero Invoice No],"&lt;&gt;"))</f>
        <v/>
      </c>
      <c r="AA417" s="27">
        <f>IF(E417="","",Y417-Z417)</f>
        <v/>
      </c>
      <c r="AB417" s="25">
        <f>IF(E417="","",IF(H417="Onsite",IFERROR(INDEX(tbl_Onsite[Qwilr Quote],MATCH(E417&amp;"",tbl_Onsite[Job Number],0)),""),IF(H417="Production",IFERROR(INDEX(tbl_Production[Current RMS No],MATCH(E417&amp;"",tbl_Production[Job Number],0)),""),IF(H417="Consulting",IFERROR(INDEX(tbl_Consulting[Qwilr Quote],MATCH(E417&amp;"",tbl_Consulting[Job Number],0)),""),""))))</f>
        <v/>
      </c>
      <c r="AC417" s="25">
        <f>IF(AB417="","",IF(AND(LEFT(AB417,4)&lt;&gt;"http",IF(H417="Production",set_RMSBase,set_QwilrBase)=""),"",HYPERLINK(IF(LEFT(AB417,4)="http",AB417,IF(H417="Production",set_RMSBase,set_QwilrBase)&amp;AB417),"Open")))</f>
        <v/>
      </c>
      <c r="AD417" s="27">
        <f>IF(E417="","",IF(H417="Production",IFERROR(INDEX(tbl_Production[Total Expense],MATCH(E417&amp;"",tbl_Production[Job Number],0)),0),IF(H417="Consulting",IFERROR(INDEX(tbl_Consulting[Total Expense],MATCH(E417&amp;"",tbl_Consulting[Job Number],0)),0),0)))</f>
        <v/>
      </c>
      <c r="AE417" s="27">
        <f>IF(E417="","",Y417-N(AD417))</f>
        <v/>
      </c>
      <c r="AF417" s="29">
        <f>IFERROR(AE417/Y417,"")</f>
        <v/>
      </c>
      <c r="AG417" s="25">
        <f>IF(E417="","",IF(H417="Onsite",IFERROR(INDEX(tbl_Onsite[Notes],MATCH(E417&amp;"",tbl_Onsite[Job Number],0)),""),IF(H417="Production",IFERROR(INDEX(tbl_Production[Notes],MATCH(E417&amp;"",tbl_Production[Job Number],0)),""),IF(H417="Consulting",IFERROR(INDEX(tbl_Consulting[Notes],MATCH(E417&amp;"",tbl_Consulting[Job Number],0)),""),""))))</f>
        <v/>
      </c>
    </row>
    <row r="418" ht="15" customHeight="1">
      <c r="A418" s="22" t="n"/>
      <c r="B418" s="23">
        <f>IF(A418="","",EOMONTH(A418,0))</f>
        <v/>
      </c>
      <c r="C418" s="24" t="n"/>
      <c r="D418" s="24" t="n"/>
      <c r="E418" s="24" t="n"/>
      <c r="F418" s="25">
        <f>IF(E418="","",IF(COUNTIF(lst_Jobs,E418&amp;"")&gt;0,"OK","CHECK"))</f>
        <v/>
      </c>
      <c r="G418" s="24" t="n"/>
      <c r="H418" s="24" t="n"/>
      <c r="I418" s="24" t="n"/>
      <c r="J418" s="24" t="n"/>
      <c r="K418" s="24" t="n"/>
      <c r="L418" s="26" t="n"/>
      <c r="M418" s="27">
        <f>IF(L418="","",IF(K418="GST 10%",ROUND(L418*set_GSTRate,2),0))</f>
        <v/>
      </c>
      <c r="N418" s="27">
        <f>IF(L418="","",L418+M418)</f>
        <v/>
      </c>
      <c r="O418" s="24" t="n"/>
      <c r="P418" s="24" t="n"/>
      <c r="Q418" s="24" t="n"/>
      <c r="R418" s="22" t="n"/>
      <c r="S418" s="22" t="n"/>
      <c r="T418" s="24" t="n"/>
      <c r="U418" s="24" t="n"/>
      <c r="V418" s="25">
        <f>IF(COUNTA(A418,D418,C418,L418)=0,"",IF(A418="","No date - sits outside every month",IF(E418="","No job number",IF(F418="CHECK","Job number is not in the Xero job list",IF(I418="","No cost centre",IF(AND(P418="Y",C418=""),"Marked posted to Xero but has no invoice number",IF(AND(L418&lt;&gt;"",K418=""),"No tax code",IF(AND(L418&lt;&gt;"",O418=""),"No revenue GL code",""))))))))</f>
        <v/>
      </c>
      <c r="W418" s="25">
        <f>IF(E418="","",IFERROR(INDEX(lst_JobName,MATCH(E418&amp;"",lst_Jobs,0)),""))</f>
        <v/>
      </c>
      <c r="X418" s="28">
        <f>IF(E418="","",COUNTIFS(tbl_Finance[Job Number],E418&amp;"",tbl_Finance[Ex GST],"&lt;&gt;"))</f>
        <v/>
      </c>
      <c r="Y418" s="27">
        <f>IF(E418="","",SUMIFS(tbl_Finance[Ex GST],tbl_Finance[Job Number],E418&amp;""))</f>
        <v/>
      </c>
      <c r="Z418" s="27">
        <f>IF(E418="","",SUMIFS(tbl_Finance[Ex GST],tbl_Finance[Job Number],E418&amp;"",tbl_Finance[Xero Invoice No],"&lt;&gt;"))</f>
        <v/>
      </c>
      <c r="AA418" s="27">
        <f>IF(E418="","",Y418-Z418)</f>
        <v/>
      </c>
      <c r="AB418" s="25">
        <f>IF(E418="","",IF(H418="Onsite",IFERROR(INDEX(tbl_Onsite[Qwilr Quote],MATCH(E418&amp;"",tbl_Onsite[Job Number],0)),""),IF(H418="Production",IFERROR(INDEX(tbl_Production[Current RMS No],MATCH(E418&amp;"",tbl_Production[Job Number],0)),""),IF(H418="Consulting",IFERROR(INDEX(tbl_Consulting[Qwilr Quote],MATCH(E418&amp;"",tbl_Consulting[Job Number],0)),""),""))))</f>
        <v/>
      </c>
      <c r="AC418" s="25">
        <f>IF(AB418="","",IF(AND(LEFT(AB418,4)&lt;&gt;"http",IF(H418="Production",set_RMSBase,set_QwilrBase)=""),"",HYPERLINK(IF(LEFT(AB418,4)="http",AB418,IF(H418="Production",set_RMSBase,set_QwilrBase)&amp;AB418),"Open")))</f>
        <v/>
      </c>
      <c r="AD418" s="27">
        <f>IF(E418="","",IF(H418="Production",IFERROR(INDEX(tbl_Production[Total Expense],MATCH(E418&amp;"",tbl_Production[Job Number],0)),0),IF(H418="Consulting",IFERROR(INDEX(tbl_Consulting[Total Expense],MATCH(E418&amp;"",tbl_Consulting[Job Number],0)),0),0)))</f>
        <v/>
      </c>
      <c r="AE418" s="27">
        <f>IF(E418="","",Y418-N(AD418))</f>
        <v/>
      </c>
      <c r="AF418" s="29">
        <f>IFERROR(AE418/Y418,"")</f>
        <v/>
      </c>
      <c r="AG418" s="25">
        <f>IF(E418="","",IF(H418="Onsite",IFERROR(INDEX(tbl_Onsite[Notes],MATCH(E418&amp;"",tbl_Onsite[Job Number],0)),""),IF(H418="Production",IFERROR(INDEX(tbl_Production[Notes],MATCH(E418&amp;"",tbl_Production[Job Number],0)),""),IF(H418="Consulting",IFERROR(INDEX(tbl_Consulting[Notes],MATCH(E418&amp;"",tbl_Consulting[Job Number],0)),""),""))))</f>
        <v/>
      </c>
    </row>
    <row r="419" ht="15" customHeight="1">
      <c r="A419" s="22" t="n"/>
      <c r="B419" s="23">
        <f>IF(A419="","",EOMONTH(A419,0))</f>
        <v/>
      </c>
      <c r="C419" s="24" t="n"/>
      <c r="D419" s="24" t="n"/>
      <c r="E419" s="24" t="n"/>
      <c r="F419" s="25">
        <f>IF(E419="","",IF(COUNTIF(lst_Jobs,E419&amp;"")&gt;0,"OK","CHECK"))</f>
        <v/>
      </c>
      <c r="G419" s="24" t="n"/>
      <c r="H419" s="24" t="n"/>
      <c r="I419" s="24" t="n"/>
      <c r="J419" s="24" t="n"/>
      <c r="K419" s="24" t="n"/>
      <c r="L419" s="26" t="n"/>
      <c r="M419" s="27">
        <f>IF(L419="","",IF(K419="GST 10%",ROUND(L419*set_GSTRate,2),0))</f>
        <v/>
      </c>
      <c r="N419" s="27">
        <f>IF(L419="","",L419+M419)</f>
        <v/>
      </c>
      <c r="O419" s="24" t="n"/>
      <c r="P419" s="24" t="n"/>
      <c r="Q419" s="24" t="n"/>
      <c r="R419" s="22" t="n"/>
      <c r="S419" s="22" t="n"/>
      <c r="T419" s="24" t="n"/>
      <c r="U419" s="24" t="n"/>
      <c r="V419" s="25">
        <f>IF(COUNTA(A419,D419,C419,L419)=0,"",IF(A419="","No date - sits outside every month",IF(E419="","No job number",IF(F419="CHECK","Job number is not in the Xero job list",IF(I419="","No cost centre",IF(AND(P419="Y",C419=""),"Marked posted to Xero but has no invoice number",IF(AND(L419&lt;&gt;"",K419=""),"No tax code",IF(AND(L419&lt;&gt;"",O419=""),"No revenue GL code",""))))))))</f>
        <v/>
      </c>
      <c r="W419" s="25">
        <f>IF(E419="","",IFERROR(INDEX(lst_JobName,MATCH(E419&amp;"",lst_Jobs,0)),""))</f>
        <v/>
      </c>
      <c r="X419" s="28">
        <f>IF(E419="","",COUNTIFS(tbl_Finance[Job Number],E419&amp;"",tbl_Finance[Ex GST],"&lt;&gt;"))</f>
        <v/>
      </c>
      <c r="Y419" s="27">
        <f>IF(E419="","",SUMIFS(tbl_Finance[Ex GST],tbl_Finance[Job Number],E419&amp;""))</f>
        <v/>
      </c>
      <c r="Z419" s="27">
        <f>IF(E419="","",SUMIFS(tbl_Finance[Ex GST],tbl_Finance[Job Number],E419&amp;"",tbl_Finance[Xero Invoice No],"&lt;&gt;"))</f>
        <v/>
      </c>
      <c r="AA419" s="27">
        <f>IF(E419="","",Y419-Z419)</f>
        <v/>
      </c>
      <c r="AB419" s="25">
        <f>IF(E419="","",IF(H419="Onsite",IFERROR(INDEX(tbl_Onsite[Qwilr Quote],MATCH(E419&amp;"",tbl_Onsite[Job Number],0)),""),IF(H419="Production",IFERROR(INDEX(tbl_Production[Current RMS No],MATCH(E419&amp;"",tbl_Production[Job Number],0)),""),IF(H419="Consulting",IFERROR(INDEX(tbl_Consulting[Qwilr Quote],MATCH(E419&amp;"",tbl_Consulting[Job Number],0)),""),""))))</f>
        <v/>
      </c>
      <c r="AC419" s="25">
        <f>IF(AB419="","",IF(AND(LEFT(AB419,4)&lt;&gt;"http",IF(H419="Production",set_RMSBase,set_QwilrBase)=""),"",HYPERLINK(IF(LEFT(AB419,4)="http",AB419,IF(H419="Production",set_RMSBase,set_QwilrBase)&amp;AB419),"Open")))</f>
        <v/>
      </c>
      <c r="AD419" s="27">
        <f>IF(E419="","",IF(H419="Production",IFERROR(INDEX(tbl_Production[Total Expense],MATCH(E419&amp;"",tbl_Production[Job Number],0)),0),IF(H419="Consulting",IFERROR(INDEX(tbl_Consulting[Total Expense],MATCH(E419&amp;"",tbl_Consulting[Job Number],0)),0),0)))</f>
        <v/>
      </c>
      <c r="AE419" s="27">
        <f>IF(E419="","",Y419-N(AD419))</f>
        <v/>
      </c>
      <c r="AF419" s="29">
        <f>IFERROR(AE419/Y419,"")</f>
        <v/>
      </c>
      <c r="AG419" s="25">
        <f>IF(E419="","",IF(H419="Onsite",IFERROR(INDEX(tbl_Onsite[Notes],MATCH(E419&amp;"",tbl_Onsite[Job Number],0)),""),IF(H419="Production",IFERROR(INDEX(tbl_Production[Notes],MATCH(E419&amp;"",tbl_Production[Job Number],0)),""),IF(H419="Consulting",IFERROR(INDEX(tbl_Consulting[Notes],MATCH(E419&amp;"",tbl_Consulting[Job Number],0)),""),""))))</f>
        <v/>
      </c>
    </row>
    <row r="420" ht="15" customHeight="1">
      <c r="A420" s="22" t="n"/>
      <c r="B420" s="23">
        <f>IF(A420="","",EOMONTH(A420,0))</f>
        <v/>
      </c>
      <c r="C420" s="24" t="n"/>
      <c r="D420" s="24" t="n"/>
      <c r="E420" s="24" t="n"/>
      <c r="F420" s="25">
        <f>IF(E420="","",IF(COUNTIF(lst_Jobs,E420&amp;"")&gt;0,"OK","CHECK"))</f>
        <v/>
      </c>
      <c r="G420" s="24" t="n"/>
      <c r="H420" s="24" t="n"/>
      <c r="I420" s="24" t="n"/>
      <c r="J420" s="24" t="n"/>
      <c r="K420" s="24" t="n"/>
      <c r="L420" s="26" t="n"/>
      <c r="M420" s="27">
        <f>IF(L420="","",IF(K420="GST 10%",ROUND(L420*set_GSTRate,2),0))</f>
        <v/>
      </c>
      <c r="N420" s="27">
        <f>IF(L420="","",L420+M420)</f>
        <v/>
      </c>
      <c r="O420" s="24" t="n"/>
      <c r="P420" s="24" t="n"/>
      <c r="Q420" s="24" t="n"/>
      <c r="R420" s="22" t="n"/>
      <c r="S420" s="22" t="n"/>
      <c r="T420" s="24" t="n"/>
      <c r="U420" s="24" t="n"/>
      <c r="V420" s="25">
        <f>IF(COUNTA(A420,D420,C420,L420)=0,"",IF(A420="","No date - sits outside every month",IF(E420="","No job number",IF(F420="CHECK","Job number is not in the Xero job list",IF(I420="","No cost centre",IF(AND(P420="Y",C420=""),"Marked posted to Xero but has no invoice number",IF(AND(L420&lt;&gt;"",K420=""),"No tax code",IF(AND(L420&lt;&gt;"",O420=""),"No revenue GL code",""))))))))</f>
        <v/>
      </c>
      <c r="W420" s="25">
        <f>IF(E420="","",IFERROR(INDEX(lst_JobName,MATCH(E420&amp;"",lst_Jobs,0)),""))</f>
        <v/>
      </c>
      <c r="X420" s="28">
        <f>IF(E420="","",COUNTIFS(tbl_Finance[Job Number],E420&amp;"",tbl_Finance[Ex GST],"&lt;&gt;"))</f>
        <v/>
      </c>
      <c r="Y420" s="27">
        <f>IF(E420="","",SUMIFS(tbl_Finance[Ex GST],tbl_Finance[Job Number],E420&amp;""))</f>
        <v/>
      </c>
      <c r="Z420" s="27">
        <f>IF(E420="","",SUMIFS(tbl_Finance[Ex GST],tbl_Finance[Job Number],E420&amp;"",tbl_Finance[Xero Invoice No],"&lt;&gt;"))</f>
        <v/>
      </c>
      <c r="AA420" s="27">
        <f>IF(E420="","",Y420-Z420)</f>
        <v/>
      </c>
      <c r="AB420" s="25">
        <f>IF(E420="","",IF(H420="Onsite",IFERROR(INDEX(tbl_Onsite[Qwilr Quote],MATCH(E420&amp;"",tbl_Onsite[Job Number],0)),""),IF(H420="Production",IFERROR(INDEX(tbl_Production[Current RMS No],MATCH(E420&amp;"",tbl_Production[Job Number],0)),""),IF(H420="Consulting",IFERROR(INDEX(tbl_Consulting[Qwilr Quote],MATCH(E420&amp;"",tbl_Consulting[Job Number],0)),""),""))))</f>
        <v/>
      </c>
      <c r="AC420" s="25">
        <f>IF(AB420="","",IF(AND(LEFT(AB420,4)&lt;&gt;"http",IF(H420="Production",set_RMSBase,set_QwilrBase)=""),"",HYPERLINK(IF(LEFT(AB420,4)="http",AB420,IF(H420="Production",set_RMSBase,set_QwilrBase)&amp;AB420),"Open")))</f>
        <v/>
      </c>
      <c r="AD420" s="27">
        <f>IF(E420="","",IF(H420="Production",IFERROR(INDEX(tbl_Production[Total Expense],MATCH(E420&amp;"",tbl_Production[Job Number],0)),0),IF(H420="Consulting",IFERROR(INDEX(tbl_Consulting[Total Expense],MATCH(E420&amp;"",tbl_Consulting[Job Number],0)),0),0)))</f>
        <v/>
      </c>
      <c r="AE420" s="27">
        <f>IF(E420="","",Y420-N(AD420))</f>
        <v/>
      </c>
      <c r="AF420" s="29">
        <f>IFERROR(AE420/Y420,"")</f>
        <v/>
      </c>
      <c r="AG420" s="25">
        <f>IF(E420="","",IF(H420="Onsite",IFERROR(INDEX(tbl_Onsite[Notes],MATCH(E420&amp;"",tbl_Onsite[Job Number],0)),""),IF(H420="Production",IFERROR(INDEX(tbl_Production[Notes],MATCH(E420&amp;"",tbl_Production[Job Number],0)),""),IF(H420="Consulting",IFERROR(INDEX(tbl_Consulting[Notes],MATCH(E420&amp;"",tbl_Consulting[Job Number],0)),""),""))))</f>
        <v/>
      </c>
    </row>
    <row r="421" ht="15" customHeight="1">
      <c r="A421" s="22" t="n"/>
      <c r="B421" s="23">
        <f>IF(A421="","",EOMONTH(A421,0))</f>
        <v/>
      </c>
      <c r="C421" s="24" t="n"/>
      <c r="D421" s="24" t="n"/>
      <c r="E421" s="24" t="n"/>
      <c r="F421" s="25">
        <f>IF(E421="","",IF(COUNTIF(lst_Jobs,E421&amp;"")&gt;0,"OK","CHECK"))</f>
        <v/>
      </c>
      <c r="G421" s="24" t="n"/>
      <c r="H421" s="24" t="n"/>
      <c r="I421" s="24" t="n"/>
      <c r="J421" s="24" t="n"/>
      <c r="K421" s="24" t="n"/>
      <c r="L421" s="26" t="n"/>
      <c r="M421" s="27">
        <f>IF(L421="","",IF(K421="GST 10%",ROUND(L421*set_GSTRate,2),0))</f>
        <v/>
      </c>
      <c r="N421" s="27">
        <f>IF(L421="","",L421+M421)</f>
        <v/>
      </c>
      <c r="O421" s="24" t="n"/>
      <c r="P421" s="24" t="n"/>
      <c r="Q421" s="24" t="n"/>
      <c r="R421" s="22" t="n"/>
      <c r="S421" s="22" t="n"/>
      <c r="T421" s="24" t="n"/>
      <c r="U421" s="24" t="n"/>
      <c r="V421" s="25">
        <f>IF(COUNTA(A421,D421,C421,L421)=0,"",IF(A421="","No date - sits outside every month",IF(E421="","No job number",IF(F421="CHECK","Job number is not in the Xero job list",IF(I421="","No cost centre",IF(AND(P421="Y",C421=""),"Marked posted to Xero but has no invoice number",IF(AND(L421&lt;&gt;"",K421=""),"No tax code",IF(AND(L421&lt;&gt;"",O421=""),"No revenue GL code",""))))))))</f>
        <v/>
      </c>
      <c r="W421" s="25">
        <f>IF(E421="","",IFERROR(INDEX(lst_JobName,MATCH(E421&amp;"",lst_Jobs,0)),""))</f>
        <v/>
      </c>
      <c r="X421" s="28">
        <f>IF(E421="","",COUNTIFS(tbl_Finance[Job Number],E421&amp;"",tbl_Finance[Ex GST],"&lt;&gt;"))</f>
        <v/>
      </c>
      <c r="Y421" s="27">
        <f>IF(E421="","",SUMIFS(tbl_Finance[Ex GST],tbl_Finance[Job Number],E421&amp;""))</f>
        <v/>
      </c>
      <c r="Z421" s="27">
        <f>IF(E421="","",SUMIFS(tbl_Finance[Ex GST],tbl_Finance[Job Number],E421&amp;"",tbl_Finance[Xero Invoice No],"&lt;&gt;"))</f>
        <v/>
      </c>
      <c r="AA421" s="27">
        <f>IF(E421="","",Y421-Z421)</f>
        <v/>
      </c>
      <c r="AB421" s="25">
        <f>IF(E421="","",IF(H421="Onsite",IFERROR(INDEX(tbl_Onsite[Qwilr Quote],MATCH(E421&amp;"",tbl_Onsite[Job Number],0)),""),IF(H421="Production",IFERROR(INDEX(tbl_Production[Current RMS No],MATCH(E421&amp;"",tbl_Production[Job Number],0)),""),IF(H421="Consulting",IFERROR(INDEX(tbl_Consulting[Qwilr Quote],MATCH(E421&amp;"",tbl_Consulting[Job Number],0)),""),""))))</f>
        <v/>
      </c>
      <c r="AC421" s="25">
        <f>IF(AB421="","",IF(AND(LEFT(AB421,4)&lt;&gt;"http",IF(H421="Production",set_RMSBase,set_QwilrBase)=""),"",HYPERLINK(IF(LEFT(AB421,4)="http",AB421,IF(H421="Production",set_RMSBase,set_QwilrBase)&amp;AB421),"Open")))</f>
        <v/>
      </c>
      <c r="AD421" s="27">
        <f>IF(E421="","",IF(H421="Production",IFERROR(INDEX(tbl_Production[Total Expense],MATCH(E421&amp;"",tbl_Production[Job Number],0)),0),IF(H421="Consulting",IFERROR(INDEX(tbl_Consulting[Total Expense],MATCH(E421&amp;"",tbl_Consulting[Job Number],0)),0),0)))</f>
        <v/>
      </c>
      <c r="AE421" s="27">
        <f>IF(E421="","",Y421-N(AD421))</f>
        <v/>
      </c>
      <c r="AF421" s="29">
        <f>IFERROR(AE421/Y421,"")</f>
        <v/>
      </c>
      <c r="AG421" s="25">
        <f>IF(E421="","",IF(H421="Onsite",IFERROR(INDEX(tbl_Onsite[Notes],MATCH(E421&amp;"",tbl_Onsite[Job Number],0)),""),IF(H421="Production",IFERROR(INDEX(tbl_Production[Notes],MATCH(E421&amp;"",tbl_Production[Job Number],0)),""),IF(H421="Consulting",IFERROR(INDEX(tbl_Consulting[Notes],MATCH(E421&amp;"",tbl_Consulting[Job Number],0)),""),""))))</f>
        <v/>
      </c>
    </row>
    <row r="422" ht="15" customHeight="1">
      <c r="A422" s="22" t="n"/>
      <c r="B422" s="23">
        <f>IF(A422="","",EOMONTH(A422,0))</f>
        <v/>
      </c>
      <c r="C422" s="24" t="n"/>
      <c r="D422" s="24" t="n"/>
      <c r="E422" s="24" t="n"/>
      <c r="F422" s="25">
        <f>IF(E422="","",IF(COUNTIF(lst_Jobs,E422&amp;"")&gt;0,"OK","CHECK"))</f>
        <v/>
      </c>
      <c r="G422" s="24" t="n"/>
      <c r="H422" s="24" t="n"/>
      <c r="I422" s="24" t="n"/>
      <c r="J422" s="24" t="n"/>
      <c r="K422" s="24" t="n"/>
      <c r="L422" s="26" t="n"/>
      <c r="M422" s="27">
        <f>IF(L422="","",IF(K422="GST 10%",ROUND(L422*set_GSTRate,2),0))</f>
        <v/>
      </c>
      <c r="N422" s="27">
        <f>IF(L422="","",L422+M422)</f>
        <v/>
      </c>
      <c r="O422" s="24" t="n"/>
      <c r="P422" s="24" t="n"/>
      <c r="Q422" s="24" t="n"/>
      <c r="R422" s="22" t="n"/>
      <c r="S422" s="22" t="n"/>
      <c r="T422" s="24" t="n"/>
      <c r="U422" s="24" t="n"/>
      <c r="V422" s="25">
        <f>IF(COUNTA(A422,D422,C422,L422)=0,"",IF(A422="","No date - sits outside every month",IF(E422="","No job number",IF(F422="CHECK","Job number is not in the Xero job list",IF(I422="","No cost centre",IF(AND(P422="Y",C422=""),"Marked posted to Xero but has no invoice number",IF(AND(L422&lt;&gt;"",K422=""),"No tax code",IF(AND(L422&lt;&gt;"",O422=""),"No revenue GL code",""))))))))</f>
        <v/>
      </c>
      <c r="W422" s="25">
        <f>IF(E422="","",IFERROR(INDEX(lst_JobName,MATCH(E422&amp;"",lst_Jobs,0)),""))</f>
        <v/>
      </c>
      <c r="X422" s="28">
        <f>IF(E422="","",COUNTIFS(tbl_Finance[Job Number],E422&amp;"",tbl_Finance[Ex GST],"&lt;&gt;"))</f>
        <v/>
      </c>
      <c r="Y422" s="27">
        <f>IF(E422="","",SUMIFS(tbl_Finance[Ex GST],tbl_Finance[Job Number],E422&amp;""))</f>
        <v/>
      </c>
      <c r="Z422" s="27">
        <f>IF(E422="","",SUMIFS(tbl_Finance[Ex GST],tbl_Finance[Job Number],E422&amp;"",tbl_Finance[Xero Invoice No],"&lt;&gt;"))</f>
        <v/>
      </c>
      <c r="AA422" s="27">
        <f>IF(E422="","",Y422-Z422)</f>
        <v/>
      </c>
      <c r="AB422" s="25">
        <f>IF(E422="","",IF(H422="Onsite",IFERROR(INDEX(tbl_Onsite[Qwilr Quote],MATCH(E422&amp;"",tbl_Onsite[Job Number],0)),""),IF(H422="Production",IFERROR(INDEX(tbl_Production[Current RMS No],MATCH(E422&amp;"",tbl_Production[Job Number],0)),""),IF(H422="Consulting",IFERROR(INDEX(tbl_Consulting[Qwilr Quote],MATCH(E422&amp;"",tbl_Consulting[Job Number],0)),""),""))))</f>
        <v/>
      </c>
      <c r="AC422" s="25">
        <f>IF(AB422="","",IF(AND(LEFT(AB422,4)&lt;&gt;"http",IF(H422="Production",set_RMSBase,set_QwilrBase)=""),"",HYPERLINK(IF(LEFT(AB422,4)="http",AB422,IF(H422="Production",set_RMSBase,set_QwilrBase)&amp;AB422),"Open")))</f>
        <v/>
      </c>
      <c r="AD422" s="27">
        <f>IF(E422="","",IF(H422="Production",IFERROR(INDEX(tbl_Production[Total Expense],MATCH(E422&amp;"",tbl_Production[Job Number],0)),0),IF(H422="Consulting",IFERROR(INDEX(tbl_Consulting[Total Expense],MATCH(E422&amp;"",tbl_Consulting[Job Number],0)),0),0)))</f>
        <v/>
      </c>
      <c r="AE422" s="27">
        <f>IF(E422="","",Y422-N(AD422))</f>
        <v/>
      </c>
      <c r="AF422" s="29">
        <f>IFERROR(AE422/Y422,"")</f>
        <v/>
      </c>
      <c r="AG422" s="25">
        <f>IF(E422="","",IF(H422="Onsite",IFERROR(INDEX(tbl_Onsite[Notes],MATCH(E422&amp;"",tbl_Onsite[Job Number],0)),""),IF(H422="Production",IFERROR(INDEX(tbl_Production[Notes],MATCH(E422&amp;"",tbl_Production[Job Number],0)),""),IF(H422="Consulting",IFERROR(INDEX(tbl_Consulting[Notes],MATCH(E422&amp;"",tbl_Consulting[Job Number],0)),""),""))))</f>
        <v/>
      </c>
    </row>
    <row r="423" ht="15" customHeight="1">
      <c r="A423" s="22" t="n"/>
      <c r="B423" s="23">
        <f>IF(A423="","",EOMONTH(A423,0))</f>
        <v/>
      </c>
      <c r="C423" s="24" t="n"/>
      <c r="D423" s="24" t="n"/>
      <c r="E423" s="24" t="n"/>
      <c r="F423" s="25">
        <f>IF(E423="","",IF(COUNTIF(lst_Jobs,E423&amp;"")&gt;0,"OK","CHECK"))</f>
        <v/>
      </c>
      <c r="G423" s="24" t="n"/>
      <c r="H423" s="24" t="n"/>
      <c r="I423" s="24" t="n"/>
      <c r="J423" s="24" t="n"/>
      <c r="K423" s="24" t="n"/>
      <c r="L423" s="26" t="n"/>
      <c r="M423" s="27">
        <f>IF(L423="","",IF(K423="GST 10%",ROUND(L423*set_GSTRate,2),0))</f>
        <v/>
      </c>
      <c r="N423" s="27">
        <f>IF(L423="","",L423+M423)</f>
        <v/>
      </c>
      <c r="O423" s="24" t="n"/>
      <c r="P423" s="24" t="n"/>
      <c r="Q423" s="24" t="n"/>
      <c r="R423" s="22" t="n"/>
      <c r="S423" s="22" t="n"/>
      <c r="T423" s="24" t="n"/>
      <c r="U423" s="24" t="n"/>
      <c r="V423" s="25">
        <f>IF(COUNTA(A423,D423,C423,L423)=0,"",IF(A423="","No date - sits outside every month",IF(E423="","No job number",IF(F423="CHECK","Job number is not in the Xero job list",IF(I423="","No cost centre",IF(AND(P423="Y",C423=""),"Marked posted to Xero but has no invoice number",IF(AND(L423&lt;&gt;"",K423=""),"No tax code",IF(AND(L423&lt;&gt;"",O423=""),"No revenue GL code",""))))))))</f>
        <v/>
      </c>
      <c r="W423" s="25">
        <f>IF(E423="","",IFERROR(INDEX(lst_JobName,MATCH(E423&amp;"",lst_Jobs,0)),""))</f>
        <v/>
      </c>
      <c r="X423" s="28">
        <f>IF(E423="","",COUNTIFS(tbl_Finance[Job Number],E423&amp;"",tbl_Finance[Ex GST],"&lt;&gt;"))</f>
        <v/>
      </c>
      <c r="Y423" s="27">
        <f>IF(E423="","",SUMIFS(tbl_Finance[Ex GST],tbl_Finance[Job Number],E423&amp;""))</f>
        <v/>
      </c>
      <c r="Z423" s="27">
        <f>IF(E423="","",SUMIFS(tbl_Finance[Ex GST],tbl_Finance[Job Number],E423&amp;"",tbl_Finance[Xero Invoice No],"&lt;&gt;"))</f>
        <v/>
      </c>
      <c r="AA423" s="27">
        <f>IF(E423="","",Y423-Z423)</f>
        <v/>
      </c>
      <c r="AB423" s="25">
        <f>IF(E423="","",IF(H423="Onsite",IFERROR(INDEX(tbl_Onsite[Qwilr Quote],MATCH(E423&amp;"",tbl_Onsite[Job Number],0)),""),IF(H423="Production",IFERROR(INDEX(tbl_Production[Current RMS No],MATCH(E423&amp;"",tbl_Production[Job Number],0)),""),IF(H423="Consulting",IFERROR(INDEX(tbl_Consulting[Qwilr Quote],MATCH(E423&amp;"",tbl_Consulting[Job Number],0)),""),""))))</f>
        <v/>
      </c>
      <c r="AC423" s="25">
        <f>IF(AB423="","",IF(AND(LEFT(AB423,4)&lt;&gt;"http",IF(H423="Production",set_RMSBase,set_QwilrBase)=""),"",HYPERLINK(IF(LEFT(AB423,4)="http",AB423,IF(H423="Production",set_RMSBase,set_QwilrBase)&amp;AB423),"Open")))</f>
        <v/>
      </c>
      <c r="AD423" s="27">
        <f>IF(E423="","",IF(H423="Production",IFERROR(INDEX(tbl_Production[Total Expense],MATCH(E423&amp;"",tbl_Production[Job Number],0)),0),IF(H423="Consulting",IFERROR(INDEX(tbl_Consulting[Total Expense],MATCH(E423&amp;"",tbl_Consulting[Job Number],0)),0),0)))</f>
        <v/>
      </c>
      <c r="AE423" s="27">
        <f>IF(E423="","",Y423-N(AD423))</f>
        <v/>
      </c>
      <c r="AF423" s="29">
        <f>IFERROR(AE423/Y423,"")</f>
        <v/>
      </c>
      <c r="AG423" s="25">
        <f>IF(E423="","",IF(H423="Onsite",IFERROR(INDEX(tbl_Onsite[Notes],MATCH(E423&amp;"",tbl_Onsite[Job Number],0)),""),IF(H423="Production",IFERROR(INDEX(tbl_Production[Notes],MATCH(E423&amp;"",tbl_Production[Job Number],0)),""),IF(H423="Consulting",IFERROR(INDEX(tbl_Consulting[Notes],MATCH(E423&amp;"",tbl_Consulting[Job Number],0)),""),""))))</f>
        <v/>
      </c>
    </row>
    <row r="424" ht="15" customHeight="1">
      <c r="A424" s="22" t="n"/>
      <c r="B424" s="23">
        <f>IF(A424="","",EOMONTH(A424,0))</f>
        <v/>
      </c>
      <c r="C424" s="24" t="n"/>
      <c r="D424" s="24" t="n"/>
      <c r="E424" s="24" t="n"/>
      <c r="F424" s="25">
        <f>IF(E424="","",IF(COUNTIF(lst_Jobs,E424&amp;"")&gt;0,"OK","CHECK"))</f>
        <v/>
      </c>
      <c r="G424" s="24" t="n"/>
      <c r="H424" s="24" t="n"/>
      <c r="I424" s="24" t="n"/>
      <c r="J424" s="24" t="n"/>
      <c r="K424" s="24" t="n"/>
      <c r="L424" s="26" t="n"/>
      <c r="M424" s="27">
        <f>IF(L424="","",IF(K424="GST 10%",ROUND(L424*set_GSTRate,2),0))</f>
        <v/>
      </c>
      <c r="N424" s="27">
        <f>IF(L424="","",L424+M424)</f>
        <v/>
      </c>
      <c r="O424" s="24" t="n"/>
      <c r="P424" s="24" t="n"/>
      <c r="Q424" s="24" t="n"/>
      <c r="R424" s="22" t="n"/>
      <c r="S424" s="22" t="n"/>
      <c r="T424" s="24" t="n"/>
      <c r="U424" s="24" t="n"/>
      <c r="V424" s="25">
        <f>IF(COUNTA(A424,D424,C424,L424)=0,"",IF(A424="","No date - sits outside every month",IF(E424="","No job number",IF(F424="CHECK","Job number is not in the Xero job list",IF(I424="","No cost centre",IF(AND(P424="Y",C424=""),"Marked posted to Xero but has no invoice number",IF(AND(L424&lt;&gt;"",K424=""),"No tax code",IF(AND(L424&lt;&gt;"",O424=""),"No revenue GL code",""))))))))</f>
        <v/>
      </c>
      <c r="W424" s="25">
        <f>IF(E424="","",IFERROR(INDEX(lst_JobName,MATCH(E424&amp;"",lst_Jobs,0)),""))</f>
        <v/>
      </c>
      <c r="X424" s="28">
        <f>IF(E424="","",COUNTIFS(tbl_Finance[Job Number],E424&amp;"",tbl_Finance[Ex GST],"&lt;&gt;"))</f>
        <v/>
      </c>
      <c r="Y424" s="27">
        <f>IF(E424="","",SUMIFS(tbl_Finance[Ex GST],tbl_Finance[Job Number],E424&amp;""))</f>
        <v/>
      </c>
      <c r="Z424" s="27">
        <f>IF(E424="","",SUMIFS(tbl_Finance[Ex GST],tbl_Finance[Job Number],E424&amp;"",tbl_Finance[Xero Invoice No],"&lt;&gt;"))</f>
        <v/>
      </c>
      <c r="AA424" s="27">
        <f>IF(E424="","",Y424-Z424)</f>
        <v/>
      </c>
      <c r="AB424" s="25">
        <f>IF(E424="","",IF(H424="Onsite",IFERROR(INDEX(tbl_Onsite[Qwilr Quote],MATCH(E424&amp;"",tbl_Onsite[Job Number],0)),""),IF(H424="Production",IFERROR(INDEX(tbl_Production[Current RMS No],MATCH(E424&amp;"",tbl_Production[Job Number],0)),""),IF(H424="Consulting",IFERROR(INDEX(tbl_Consulting[Qwilr Quote],MATCH(E424&amp;"",tbl_Consulting[Job Number],0)),""),""))))</f>
        <v/>
      </c>
      <c r="AC424" s="25">
        <f>IF(AB424="","",IF(AND(LEFT(AB424,4)&lt;&gt;"http",IF(H424="Production",set_RMSBase,set_QwilrBase)=""),"",HYPERLINK(IF(LEFT(AB424,4)="http",AB424,IF(H424="Production",set_RMSBase,set_QwilrBase)&amp;AB424),"Open")))</f>
        <v/>
      </c>
      <c r="AD424" s="27">
        <f>IF(E424="","",IF(H424="Production",IFERROR(INDEX(tbl_Production[Total Expense],MATCH(E424&amp;"",tbl_Production[Job Number],0)),0),IF(H424="Consulting",IFERROR(INDEX(tbl_Consulting[Total Expense],MATCH(E424&amp;"",tbl_Consulting[Job Number],0)),0),0)))</f>
        <v/>
      </c>
      <c r="AE424" s="27">
        <f>IF(E424="","",Y424-N(AD424))</f>
        <v/>
      </c>
      <c r="AF424" s="29">
        <f>IFERROR(AE424/Y424,"")</f>
        <v/>
      </c>
      <c r="AG424" s="25">
        <f>IF(E424="","",IF(H424="Onsite",IFERROR(INDEX(tbl_Onsite[Notes],MATCH(E424&amp;"",tbl_Onsite[Job Number],0)),""),IF(H424="Production",IFERROR(INDEX(tbl_Production[Notes],MATCH(E424&amp;"",tbl_Production[Job Number],0)),""),IF(H424="Consulting",IFERROR(INDEX(tbl_Consulting[Notes],MATCH(E424&amp;"",tbl_Consulting[Job Number],0)),""),""))))</f>
        <v/>
      </c>
    </row>
    <row r="425" ht="15" customHeight="1">
      <c r="A425" s="22" t="n"/>
      <c r="B425" s="23">
        <f>IF(A425="","",EOMONTH(A425,0))</f>
        <v/>
      </c>
      <c r="C425" s="24" t="n"/>
      <c r="D425" s="24" t="n"/>
      <c r="E425" s="24" t="n"/>
      <c r="F425" s="25">
        <f>IF(E425="","",IF(COUNTIF(lst_Jobs,E425&amp;"")&gt;0,"OK","CHECK"))</f>
        <v/>
      </c>
      <c r="G425" s="24" t="n"/>
      <c r="H425" s="24" t="n"/>
      <c r="I425" s="24" t="n"/>
      <c r="J425" s="24" t="n"/>
      <c r="K425" s="24" t="n"/>
      <c r="L425" s="26" t="n"/>
      <c r="M425" s="27">
        <f>IF(L425="","",IF(K425="GST 10%",ROUND(L425*set_GSTRate,2),0))</f>
        <v/>
      </c>
      <c r="N425" s="27">
        <f>IF(L425="","",L425+M425)</f>
        <v/>
      </c>
      <c r="O425" s="24" t="n"/>
      <c r="P425" s="24" t="n"/>
      <c r="Q425" s="24" t="n"/>
      <c r="R425" s="22" t="n"/>
      <c r="S425" s="22" t="n"/>
      <c r="T425" s="24" t="n"/>
      <c r="U425" s="24" t="n"/>
      <c r="V425" s="25">
        <f>IF(COUNTA(A425,D425,C425,L425)=0,"",IF(A425="","No date - sits outside every month",IF(E425="","No job number",IF(F425="CHECK","Job number is not in the Xero job list",IF(I425="","No cost centre",IF(AND(P425="Y",C425=""),"Marked posted to Xero but has no invoice number",IF(AND(L425&lt;&gt;"",K425=""),"No tax code",IF(AND(L425&lt;&gt;"",O425=""),"No revenue GL code",""))))))))</f>
        <v/>
      </c>
      <c r="W425" s="25">
        <f>IF(E425="","",IFERROR(INDEX(lst_JobName,MATCH(E425&amp;"",lst_Jobs,0)),""))</f>
        <v/>
      </c>
      <c r="X425" s="28">
        <f>IF(E425="","",COUNTIFS(tbl_Finance[Job Number],E425&amp;"",tbl_Finance[Ex GST],"&lt;&gt;"))</f>
        <v/>
      </c>
      <c r="Y425" s="27">
        <f>IF(E425="","",SUMIFS(tbl_Finance[Ex GST],tbl_Finance[Job Number],E425&amp;""))</f>
        <v/>
      </c>
      <c r="Z425" s="27">
        <f>IF(E425="","",SUMIFS(tbl_Finance[Ex GST],tbl_Finance[Job Number],E425&amp;"",tbl_Finance[Xero Invoice No],"&lt;&gt;"))</f>
        <v/>
      </c>
      <c r="AA425" s="27">
        <f>IF(E425="","",Y425-Z425)</f>
        <v/>
      </c>
      <c r="AB425" s="25">
        <f>IF(E425="","",IF(H425="Onsite",IFERROR(INDEX(tbl_Onsite[Qwilr Quote],MATCH(E425&amp;"",tbl_Onsite[Job Number],0)),""),IF(H425="Production",IFERROR(INDEX(tbl_Production[Current RMS No],MATCH(E425&amp;"",tbl_Production[Job Number],0)),""),IF(H425="Consulting",IFERROR(INDEX(tbl_Consulting[Qwilr Quote],MATCH(E425&amp;"",tbl_Consulting[Job Number],0)),""),""))))</f>
        <v/>
      </c>
      <c r="AC425" s="25">
        <f>IF(AB425="","",IF(AND(LEFT(AB425,4)&lt;&gt;"http",IF(H425="Production",set_RMSBase,set_QwilrBase)=""),"",HYPERLINK(IF(LEFT(AB425,4)="http",AB425,IF(H425="Production",set_RMSBase,set_QwilrBase)&amp;AB425),"Open")))</f>
        <v/>
      </c>
      <c r="AD425" s="27">
        <f>IF(E425="","",IF(H425="Production",IFERROR(INDEX(tbl_Production[Total Expense],MATCH(E425&amp;"",tbl_Production[Job Number],0)),0),IF(H425="Consulting",IFERROR(INDEX(tbl_Consulting[Total Expense],MATCH(E425&amp;"",tbl_Consulting[Job Number],0)),0),0)))</f>
        <v/>
      </c>
      <c r="AE425" s="27">
        <f>IF(E425="","",Y425-N(AD425))</f>
        <v/>
      </c>
      <c r="AF425" s="29">
        <f>IFERROR(AE425/Y425,"")</f>
        <v/>
      </c>
      <c r="AG425" s="25">
        <f>IF(E425="","",IF(H425="Onsite",IFERROR(INDEX(tbl_Onsite[Notes],MATCH(E425&amp;"",tbl_Onsite[Job Number],0)),""),IF(H425="Production",IFERROR(INDEX(tbl_Production[Notes],MATCH(E425&amp;"",tbl_Production[Job Number],0)),""),IF(H425="Consulting",IFERROR(INDEX(tbl_Consulting[Notes],MATCH(E425&amp;"",tbl_Consulting[Job Number],0)),""),""))))</f>
        <v/>
      </c>
    </row>
    <row r="426" ht="15" customHeight="1">
      <c r="A426" s="22" t="n"/>
      <c r="B426" s="23">
        <f>IF(A426="","",EOMONTH(A426,0))</f>
        <v/>
      </c>
      <c r="C426" s="24" t="n"/>
      <c r="D426" s="24" t="n"/>
      <c r="E426" s="24" t="n"/>
      <c r="F426" s="25">
        <f>IF(E426="","",IF(COUNTIF(lst_Jobs,E426&amp;"")&gt;0,"OK","CHECK"))</f>
        <v/>
      </c>
      <c r="G426" s="24" t="n"/>
      <c r="H426" s="24" t="n"/>
      <c r="I426" s="24" t="n"/>
      <c r="J426" s="24" t="n"/>
      <c r="K426" s="24" t="n"/>
      <c r="L426" s="26" t="n"/>
      <c r="M426" s="27">
        <f>IF(L426="","",IF(K426="GST 10%",ROUND(L426*set_GSTRate,2),0))</f>
        <v/>
      </c>
      <c r="N426" s="27">
        <f>IF(L426="","",L426+M426)</f>
        <v/>
      </c>
      <c r="O426" s="24" t="n"/>
      <c r="P426" s="24" t="n"/>
      <c r="Q426" s="24" t="n"/>
      <c r="R426" s="22" t="n"/>
      <c r="S426" s="22" t="n"/>
      <c r="T426" s="24" t="n"/>
      <c r="U426" s="24" t="n"/>
      <c r="V426" s="25">
        <f>IF(COUNTA(A426,D426,C426,L426)=0,"",IF(A426="","No date - sits outside every month",IF(E426="","No job number",IF(F426="CHECK","Job number is not in the Xero job list",IF(I426="","No cost centre",IF(AND(P426="Y",C426=""),"Marked posted to Xero but has no invoice number",IF(AND(L426&lt;&gt;"",K426=""),"No tax code",IF(AND(L426&lt;&gt;"",O426=""),"No revenue GL code",""))))))))</f>
        <v/>
      </c>
      <c r="W426" s="25">
        <f>IF(E426="","",IFERROR(INDEX(lst_JobName,MATCH(E426&amp;"",lst_Jobs,0)),""))</f>
        <v/>
      </c>
      <c r="X426" s="28">
        <f>IF(E426="","",COUNTIFS(tbl_Finance[Job Number],E426&amp;"",tbl_Finance[Ex GST],"&lt;&gt;"))</f>
        <v/>
      </c>
      <c r="Y426" s="27">
        <f>IF(E426="","",SUMIFS(tbl_Finance[Ex GST],tbl_Finance[Job Number],E426&amp;""))</f>
        <v/>
      </c>
      <c r="Z426" s="27">
        <f>IF(E426="","",SUMIFS(tbl_Finance[Ex GST],tbl_Finance[Job Number],E426&amp;"",tbl_Finance[Xero Invoice No],"&lt;&gt;"))</f>
        <v/>
      </c>
      <c r="AA426" s="27">
        <f>IF(E426="","",Y426-Z426)</f>
        <v/>
      </c>
      <c r="AB426" s="25">
        <f>IF(E426="","",IF(H426="Onsite",IFERROR(INDEX(tbl_Onsite[Qwilr Quote],MATCH(E426&amp;"",tbl_Onsite[Job Number],0)),""),IF(H426="Production",IFERROR(INDEX(tbl_Production[Current RMS No],MATCH(E426&amp;"",tbl_Production[Job Number],0)),""),IF(H426="Consulting",IFERROR(INDEX(tbl_Consulting[Qwilr Quote],MATCH(E426&amp;"",tbl_Consulting[Job Number],0)),""),""))))</f>
        <v/>
      </c>
      <c r="AC426" s="25">
        <f>IF(AB426="","",IF(AND(LEFT(AB426,4)&lt;&gt;"http",IF(H426="Production",set_RMSBase,set_QwilrBase)=""),"",HYPERLINK(IF(LEFT(AB426,4)="http",AB426,IF(H426="Production",set_RMSBase,set_QwilrBase)&amp;AB426),"Open")))</f>
        <v/>
      </c>
      <c r="AD426" s="27">
        <f>IF(E426="","",IF(H426="Production",IFERROR(INDEX(tbl_Production[Total Expense],MATCH(E426&amp;"",tbl_Production[Job Number],0)),0),IF(H426="Consulting",IFERROR(INDEX(tbl_Consulting[Total Expense],MATCH(E426&amp;"",tbl_Consulting[Job Number],0)),0),0)))</f>
        <v/>
      </c>
      <c r="AE426" s="27">
        <f>IF(E426="","",Y426-N(AD426))</f>
        <v/>
      </c>
      <c r="AF426" s="29">
        <f>IFERROR(AE426/Y426,"")</f>
        <v/>
      </c>
      <c r="AG426" s="25">
        <f>IF(E426="","",IF(H426="Onsite",IFERROR(INDEX(tbl_Onsite[Notes],MATCH(E426&amp;"",tbl_Onsite[Job Number],0)),""),IF(H426="Production",IFERROR(INDEX(tbl_Production[Notes],MATCH(E426&amp;"",tbl_Production[Job Number],0)),""),IF(H426="Consulting",IFERROR(INDEX(tbl_Consulting[Notes],MATCH(E426&amp;"",tbl_Consulting[Job Number],0)),""),""))))</f>
        <v/>
      </c>
    </row>
    <row r="427" ht="15" customHeight="1">
      <c r="A427" s="22" t="n"/>
      <c r="B427" s="23">
        <f>IF(A427="","",EOMONTH(A427,0))</f>
        <v/>
      </c>
      <c r="C427" s="24" t="n"/>
      <c r="D427" s="24" t="n"/>
      <c r="E427" s="24" t="n"/>
      <c r="F427" s="25">
        <f>IF(E427="","",IF(COUNTIF(lst_Jobs,E427&amp;"")&gt;0,"OK","CHECK"))</f>
        <v/>
      </c>
      <c r="G427" s="24" t="n"/>
      <c r="H427" s="24" t="n"/>
      <c r="I427" s="24" t="n"/>
      <c r="J427" s="24" t="n"/>
      <c r="K427" s="24" t="n"/>
      <c r="L427" s="26" t="n"/>
      <c r="M427" s="27">
        <f>IF(L427="","",IF(K427="GST 10%",ROUND(L427*set_GSTRate,2),0))</f>
        <v/>
      </c>
      <c r="N427" s="27">
        <f>IF(L427="","",L427+M427)</f>
        <v/>
      </c>
      <c r="O427" s="24" t="n"/>
      <c r="P427" s="24" t="n"/>
      <c r="Q427" s="24" t="n"/>
      <c r="R427" s="22" t="n"/>
      <c r="S427" s="22" t="n"/>
      <c r="T427" s="24" t="n"/>
      <c r="U427" s="24" t="n"/>
      <c r="V427" s="25">
        <f>IF(COUNTA(A427,D427,C427,L427)=0,"",IF(A427="","No date - sits outside every month",IF(E427="","No job number",IF(F427="CHECK","Job number is not in the Xero job list",IF(I427="","No cost centre",IF(AND(P427="Y",C427=""),"Marked posted to Xero but has no invoice number",IF(AND(L427&lt;&gt;"",K427=""),"No tax code",IF(AND(L427&lt;&gt;"",O427=""),"No revenue GL code",""))))))))</f>
        <v/>
      </c>
      <c r="W427" s="25">
        <f>IF(E427="","",IFERROR(INDEX(lst_JobName,MATCH(E427&amp;"",lst_Jobs,0)),""))</f>
        <v/>
      </c>
      <c r="X427" s="28">
        <f>IF(E427="","",COUNTIFS(tbl_Finance[Job Number],E427&amp;"",tbl_Finance[Ex GST],"&lt;&gt;"))</f>
        <v/>
      </c>
      <c r="Y427" s="27">
        <f>IF(E427="","",SUMIFS(tbl_Finance[Ex GST],tbl_Finance[Job Number],E427&amp;""))</f>
        <v/>
      </c>
      <c r="Z427" s="27">
        <f>IF(E427="","",SUMIFS(tbl_Finance[Ex GST],tbl_Finance[Job Number],E427&amp;"",tbl_Finance[Xero Invoice No],"&lt;&gt;"))</f>
        <v/>
      </c>
      <c r="AA427" s="27">
        <f>IF(E427="","",Y427-Z427)</f>
        <v/>
      </c>
      <c r="AB427" s="25">
        <f>IF(E427="","",IF(H427="Onsite",IFERROR(INDEX(tbl_Onsite[Qwilr Quote],MATCH(E427&amp;"",tbl_Onsite[Job Number],0)),""),IF(H427="Production",IFERROR(INDEX(tbl_Production[Current RMS No],MATCH(E427&amp;"",tbl_Production[Job Number],0)),""),IF(H427="Consulting",IFERROR(INDEX(tbl_Consulting[Qwilr Quote],MATCH(E427&amp;"",tbl_Consulting[Job Number],0)),""),""))))</f>
        <v/>
      </c>
      <c r="AC427" s="25">
        <f>IF(AB427="","",IF(AND(LEFT(AB427,4)&lt;&gt;"http",IF(H427="Production",set_RMSBase,set_QwilrBase)=""),"",HYPERLINK(IF(LEFT(AB427,4)="http",AB427,IF(H427="Production",set_RMSBase,set_QwilrBase)&amp;AB427),"Open")))</f>
        <v/>
      </c>
      <c r="AD427" s="27">
        <f>IF(E427="","",IF(H427="Production",IFERROR(INDEX(tbl_Production[Total Expense],MATCH(E427&amp;"",tbl_Production[Job Number],0)),0),IF(H427="Consulting",IFERROR(INDEX(tbl_Consulting[Total Expense],MATCH(E427&amp;"",tbl_Consulting[Job Number],0)),0),0)))</f>
        <v/>
      </c>
      <c r="AE427" s="27">
        <f>IF(E427="","",Y427-N(AD427))</f>
        <v/>
      </c>
      <c r="AF427" s="29">
        <f>IFERROR(AE427/Y427,"")</f>
        <v/>
      </c>
      <c r="AG427" s="25">
        <f>IF(E427="","",IF(H427="Onsite",IFERROR(INDEX(tbl_Onsite[Notes],MATCH(E427&amp;"",tbl_Onsite[Job Number],0)),""),IF(H427="Production",IFERROR(INDEX(tbl_Production[Notes],MATCH(E427&amp;"",tbl_Production[Job Number],0)),""),IF(H427="Consulting",IFERROR(INDEX(tbl_Consulting[Notes],MATCH(E427&amp;"",tbl_Consulting[Job Number],0)),""),""))))</f>
        <v/>
      </c>
    </row>
    <row r="428" ht="15" customHeight="1">
      <c r="A428" s="22" t="n"/>
      <c r="B428" s="23">
        <f>IF(A428="","",EOMONTH(A428,0))</f>
        <v/>
      </c>
      <c r="C428" s="24" t="n"/>
      <c r="D428" s="24" t="n"/>
      <c r="E428" s="24" t="n"/>
      <c r="F428" s="25">
        <f>IF(E428="","",IF(COUNTIF(lst_Jobs,E428&amp;"")&gt;0,"OK","CHECK"))</f>
        <v/>
      </c>
      <c r="G428" s="24" t="n"/>
      <c r="H428" s="24" t="n"/>
      <c r="I428" s="24" t="n"/>
      <c r="J428" s="24" t="n"/>
      <c r="K428" s="24" t="n"/>
      <c r="L428" s="26" t="n"/>
      <c r="M428" s="27">
        <f>IF(L428="","",IF(K428="GST 10%",ROUND(L428*set_GSTRate,2),0))</f>
        <v/>
      </c>
      <c r="N428" s="27">
        <f>IF(L428="","",L428+M428)</f>
        <v/>
      </c>
      <c r="O428" s="24" t="n"/>
      <c r="P428" s="24" t="n"/>
      <c r="Q428" s="24" t="n"/>
      <c r="R428" s="22" t="n"/>
      <c r="S428" s="22" t="n"/>
      <c r="T428" s="24" t="n"/>
      <c r="U428" s="24" t="n"/>
      <c r="V428" s="25">
        <f>IF(COUNTA(A428,D428,C428,L428)=0,"",IF(A428="","No date - sits outside every month",IF(E428="","No job number",IF(F428="CHECK","Job number is not in the Xero job list",IF(I428="","No cost centre",IF(AND(P428="Y",C428=""),"Marked posted to Xero but has no invoice number",IF(AND(L428&lt;&gt;"",K428=""),"No tax code",IF(AND(L428&lt;&gt;"",O428=""),"No revenue GL code",""))))))))</f>
        <v/>
      </c>
      <c r="W428" s="25">
        <f>IF(E428="","",IFERROR(INDEX(lst_JobName,MATCH(E428&amp;"",lst_Jobs,0)),""))</f>
        <v/>
      </c>
      <c r="X428" s="28">
        <f>IF(E428="","",COUNTIFS(tbl_Finance[Job Number],E428&amp;"",tbl_Finance[Ex GST],"&lt;&gt;"))</f>
        <v/>
      </c>
      <c r="Y428" s="27">
        <f>IF(E428="","",SUMIFS(tbl_Finance[Ex GST],tbl_Finance[Job Number],E428&amp;""))</f>
        <v/>
      </c>
      <c r="Z428" s="27">
        <f>IF(E428="","",SUMIFS(tbl_Finance[Ex GST],tbl_Finance[Job Number],E428&amp;"",tbl_Finance[Xero Invoice No],"&lt;&gt;"))</f>
        <v/>
      </c>
      <c r="AA428" s="27">
        <f>IF(E428="","",Y428-Z428)</f>
        <v/>
      </c>
      <c r="AB428" s="25">
        <f>IF(E428="","",IF(H428="Onsite",IFERROR(INDEX(tbl_Onsite[Qwilr Quote],MATCH(E428&amp;"",tbl_Onsite[Job Number],0)),""),IF(H428="Production",IFERROR(INDEX(tbl_Production[Current RMS No],MATCH(E428&amp;"",tbl_Production[Job Number],0)),""),IF(H428="Consulting",IFERROR(INDEX(tbl_Consulting[Qwilr Quote],MATCH(E428&amp;"",tbl_Consulting[Job Number],0)),""),""))))</f>
        <v/>
      </c>
      <c r="AC428" s="25">
        <f>IF(AB428="","",IF(AND(LEFT(AB428,4)&lt;&gt;"http",IF(H428="Production",set_RMSBase,set_QwilrBase)=""),"",HYPERLINK(IF(LEFT(AB428,4)="http",AB428,IF(H428="Production",set_RMSBase,set_QwilrBase)&amp;AB428),"Open")))</f>
        <v/>
      </c>
      <c r="AD428" s="27">
        <f>IF(E428="","",IF(H428="Production",IFERROR(INDEX(tbl_Production[Total Expense],MATCH(E428&amp;"",tbl_Production[Job Number],0)),0),IF(H428="Consulting",IFERROR(INDEX(tbl_Consulting[Total Expense],MATCH(E428&amp;"",tbl_Consulting[Job Number],0)),0),0)))</f>
        <v/>
      </c>
      <c r="AE428" s="27">
        <f>IF(E428="","",Y428-N(AD428))</f>
        <v/>
      </c>
      <c r="AF428" s="29">
        <f>IFERROR(AE428/Y428,"")</f>
        <v/>
      </c>
      <c r="AG428" s="25">
        <f>IF(E428="","",IF(H428="Onsite",IFERROR(INDEX(tbl_Onsite[Notes],MATCH(E428&amp;"",tbl_Onsite[Job Number],0)),""),IF(H428="Production",IFERROR(INDEX(tbl_Production[Notes],MATCH(E428&amp;"",tbl_Production[Job Number],0)),""),IF(H428="Consulting",IFERROR(INDEX(tbl_Consulting[Notes],MATCH(E428&amp;"",tbl_Consulting[Job Number],0)),""),""))))</f>
        <v/>
      </c>
    </row>
    <row r="429" ht="15" customHeight="1">
      <c r="A429" s="22" t="n"/>
      <c r="B429" s="23">
        <f>IF(A429="","",EOMONTH(A429,0))</f>
        <v/>
      </c>
      <c r="C429" s="24" t="n"/>
      <c r="D429" s="24" t="n"/>
      <c r="E429" s="24" t="n"/>
      <c r="F429" s="25">
        <f>IF(E429="","",IF(COUNTIF(lst_Jobs,E429&amp;"")&gt;0,"OK","CHECK"))</f>
        <v/>
      </c>
      <c r="G429" s="24" t="n"/>
      <c r="H429" s="24" t="n"/>
      <c r="I429" s="24" t="n"/>
      <c r="J429" s="24" t="n"/>
      <c r="K429" s="24" t="n"/>
      <c r="L429" s="26" t="n"/>
      <c r="M429" s="27">
        <f>IF(L429="","",IF(K429="GST 10%",ROUND(L429*set_GSTRate,2),0))</f>
        <v/>
      </c>
      <c r="N429" s="27">
        <f>IF(L429="","",L429+M429)</f>
        <v/>
      </c>
      <c r="O429" s="24" t="n"/>
      <c r="P429" s="24" t="n"/>
      <c r="Q429" s="24" t="n"/>
      <c r="R429" s="22" t="n"/>
      <c r="S429" s="22" t="n"/>
      <c r="T429" s="24" t="n"/>
      <c r="U429" s="24" t="n"/>
      <c r="V429" s="25">
        <f>IF(COUNTA(A429,D429,C429,L429)=0,"",IF(A429="","No date - sits outside every month",IF(E429="","No job number",IF(F429="CHECK","Job number is not in the Xero job list",IF(I429="","No cost centre",IF(AND(P429="Y",C429=""),"Marked posted to Xero but has no invoice number",IF(AND(L429&lt;&gt;"",K429=""),"No tax code",IF(AND(L429&lt;&gt;"",O429=""),"No revenue GL code",""))))))))</f>
        <v/>
      </c>
      <c r="W429" s="25">
        <f>IF(E429="","",IFERROR(INDEX(lst_JobName,MATCH(E429&amp;"",lst_Jobs,0)),""))</f>
        <v/>
      </c>
      <c r="X429" s="28">
        <f>IF(E429="","",COUNTIFS(tbl_Finance[Job Number],E429&amp;"",tbl_Finance[Ex GST],"&lt;&gt;"))</f>
        <v/>
      </c>
      <c r="Y429" s="27">
        <f>IF(E429="","",SUMIFS(tbl_Finance[Ex GST],tbl_Finance[Job Number],E429&amp;""))</f>
        <v/>
      </c>
      <c r="Z429" s="27">
        <f>IF(E429="","",SUMIFS(tbl_Finance[Ex GST],tbl_Finance[Job Number],E429&amp;"",tbl_Finance[Xero Invoice No],"&lt;&gt;"))</f>
        <v/>
      </c>
      <c r="AA429" s="27">
        <f>IF(E429="","",Y429-Z429)</f>
        <v/>
      </c>
      <c r="AB429" s="25">
        <f>IF(E429="","",IF(H429="Onsite",IFERROR(INDEX(tbl_Onsite[Qwilr Quote],MATCH(E429&amp;"",tbl_Onsite[Job Number],0)),""),IF(H429="Production",IFERROR(INDEX(tbl_Production[Current RMS No],MATCH(E429&amp;"",tbl_Production[Job Number],0)),""),IF(H429="Consulting",IFERROR(INDEX(tbl_Consulting[Qwilr Quote],MATCH(E429&amp;"",tbl_Consulting[Job Number],0)),""),""))))</f>
        <v/>
      </c>
      <c r="AC429" s="25">
        <f>IF(AB429="","",IF(AND(LEFT(AB429,4)&lt;&gt;"http",IF(H429="Production",set_RMSBase,set_QwilrBase)=""),"",HYPERLINK(IF(LEFT(AB429,4)="http",AB429,IF(H429="Production",set_RMSBase,set_QwilrBase)&amp;AB429),"Open")))</f>
        <v/>
      </c>
      <c r="AD429" s="27">
        <f>IF(E429="","",IF(H429="Production",IFERROR(INDEX(tbl_Production[Total Expense],MATCH(E429&amp;"",tbl_Production[Job Number],0)),0),IF(H429="Consulting",IFERROR(INDEX(tbl_Consulting[Total Expense],MATCH(E429&amp;"",tbl_Consulting[Job Number],0)),0),0)))</f>
        <v/>
      </c>
      <c r="AE429" s="27">
        <f>IF(E429="","",Y429-N(AD429))</f>
        <v/>
      </c>
      <c r="AF429" s="29">
        <f>IFERROR(AE429/Y429,"")</f>
        <v/>
      </c>
      <c r="AG429" s="25">
        <f>IF(E429="","",IF(H429="Onsite",IFERROR(INDEX(tbl_Onsite[Notes],MATCH(E429&amp;"",tbl_Onsite[Job Number],0)),""),IF(H429="Production",IFERROR(INDEX(tbl_Production[Notes],MATCH(E429&amp;"",tbl_Production[Job Number],0)),""),IF(H429="Consulting",IFERROR(INDEX(tbl_Consulting[Notes],MATCH(E429&amp;"",tbl_Consulting[Job Number],0)),""),""))))</f>
        <v/>
      </c>
    </row>
    <row r="430" ht="15" customHeight="1">
      <c r="A430" s="22" t="n"/>
      <c r="B430" s="23">
        <f>IF(A430="","",EOMONTH(A430,0))</f>
        <v/>
      </c>
      <c r="C430" s="24" t="n"/>
      <c r="D430" s="24" t="n"/>
      <c r="E430" s="24" t="n"/>
      <c r="F430" s="25">
        <f>IF(E430="","",IF(COUNTIF(lst_Jobs,E430&amp;"")&gt;0,"OK","CHECK"))</f>
        <v/>
      </c>
      <c r="G430" s="24" t="n"/>
      <c r="H430" s="24" t="n"/>
      <c r="I430" s="24" t="n"/>
      <c r="J430" s="24" t="n"/>
      <c r="K430" s="24" t="n"/>
      <c r="L430" s="26" t="n"/>
      <c r="M430" s="27">
        <f>IF(L430="","",IF(K430="GST 10%",ROUND(L430*set_GSTRate,2),0))</f>
        <v/>
      </c>
      <c r="N430" s="27">
        <f>IF(L430="","",L430+M430)</f>
        <v/>
      </c>
      <c r="O430" s="24" t="n"/>
      <c r="P430" s="24" t="n"/>
      <c r="Q430" s="24" t="n"/>
      <c r="R430" s="22" t="n"/>
      <c r="S430" s="22" t="n"/>
      <c r="T430" s="24" t="n"/>
      <c r="U430" s="24" t="n"/>
      <c r="V430" s="25">
        <f>IF(COUNTA(A430,D430,C430,L430)=0,"",IF(A430="","No date - sits outside every month",IF(E430="","No job number",IF(F430="CHECK","Job number is not in the Xero job list",IF(I430="","No cost centre",IF(AND(P430="Y",C430=""),"Marked posted to Xero but has no invoice number",IF(AND(L430&lt;&gt;"",K430=""),"No tax code",IF(AND(L430&lt;&gt;"",O430=""),"No revenue GL code",""))))))))</f>
        <v/>
      </c>
      <c r="W430" s="25">
        <f>IF(E430="","",IFERROR(INDEX(lst_JobName,MATCH(E430&amp;"",lst_Jobs,0)),""))</f>
        <v/>
      </c>
      <c r="X430" s="28">
        <f>IF(E430="","",COUNTIFS(tbl_Finance[Job Number],E430&amp;"",tbl_Finance[Ex GST],"&lt;&gt;"))</f>
        <v/>
      </c>
      <c r="Y430" s="27">
        <f>IF(E430="","",SUMIFS(tbl_Finance[Ex GST],tbl_Finance[Job Number],E430&amp;""))</f>
        <v/>
      </c>
      <c r="Z430" s="27">
        <f>IF(E430="","",SUMIFS(tbl_Finance[Ex GST],tbl_Finance[Job Number],E430&amp;"",tbl_Finance[Xero Invoice No],"&lt;&gt;"))</f>
        <v/>
      </c>
      <c r="AA430" s="27">
        <f>IF(E430="","",Y430-Z430)</f>
        <v/>
      </c>
      <c r="AB430" s="25">
        <f>IF(E430="","",IF(H430="Onsite",IFERROR(INDEX(tbl_Onsite[Qwilr Quote],MATCH(E430&amp;"",tbl_Onsite[Job Number],0)),""),IF(H430="Production",IFERROR(INDEX(tbl_Production[Current RMS No],MATCH(E430&amp;"",tbl_Production[Job Number],0)),""),IF(H430="Consulting",IFERROR(INDEX(tbl_Consulting[Qwilr Quote],MATCH(E430&amp;"",tbl_Consulting[Job Number],0)),""),""))))</f>
        <v/>
      </c>
      <c r="AC430" s="25">
        <f>IF(AB430="","",IF(AND(LEFT(AB430,4)&lt;&gt;"http",IF(H430="Production",set_RMSBase,set_QwilrBase)=""),"",HYPERLINK(IF(LEFT(AB430,4)="http",AB430,IF(H430="Production",set_RMSBase,set_QwilrBase)&amp;AB430),"Open")))</f>
        <v/>
      </c>
      <c r="AD430" s="27">
        <f>IF(E430="","",IF(H430="Production",IFERROR(INDEX(tbl_Production[Total Expense],MATCH(E430&amp;"",tbl_Production[Job Number],0)),0),IF(H430="Consulting",IFERROR(INDEX(tbl_Consulting[Total Expense],MATCH(E430&amp;"",tbl_Consulting[Job Number],0)),0),0)))</f>
        <v/>
      </c>
      <c r="AE430" s="27">
        <f>IF(E430="","",Y430-N(AD430))</f>
        <v/>
      </c>
      <c r="AF430" s="29">
        <f>IFERROR(AE430/Y430,"")</f>
        <v/>
      </c>
      <c r="AG430" s="25">
        <f>IF(E430="","",IF(H430="Onsite",IFERROR(INDEX(tbl_Onsite[Notes],MATCH(E430&amp;"",tbl_Onsite[Job Number],0)),""),IF(H430="Production",IFERROR(INDEX(tbl_Production[Notes],MATCH(E430&amp;"",tbl_Production[Job Number],0)),""),IF(H430="Consulting",IFERROR(INDEX(tbl_Consulting[Notes],MATCH(E430&amp;"",tbl_Consulting[Job Number],0)),""),""))))</f>
        <v/>
      </c>
    </row>
    <row r="431" ht="15" customHeight="1">
      <c r="A431" s="22" t="n"/>
      <c r="B431" s="23">
        <f>IF(A431="","",EOMONTH(A431,0))</f>
        <v/>
      </c>
      <c r="C431" s="24" t="n"/>
      <c r="D431" s="24" t="n"/>
      <c r="E431" s="24" t="n"/>
      <c r="F431" s="25">
        <f>IF(E431="","",IF(COUNTIF(lst_Jobs,E431&amp;"")&gt;0,"OK","CHECK"))</f>
        <v/>
      </c>
      <c r="G431" s="24" t="n"/>
      <c r="H431" s="24" t="n"/>
      <c r="I431" s="24" t="n"/>
      <c r="J431" s="24" t="n"/>
      <c r="K431" s="24" t="n"/>
      <c r="L431" s="26" t="n"/>
      <c r="M431" s="27">
        <f>IF(L431="","",IF(K431="GST 10%",ROUND(L431*set_GSTRate,2),0))</f>
        <v/>
      </c>
      <c r="N431" s="27">
        <f>IF(L431="","",L431+M431)</f>
        <v/>
      </c>
      <c r="O431" s="24" t="n"/>
      <c r="P431" s="24" t="n"/>
      <c r="Q431" s="24" t="n"/>
      <c r="R431" s="22" t="n"/>
      <c r="S431" s="22" t="n"/>
      <c r="T431" s="24" t="n"/>
      <c r="U431" s="24" t="n"/>
      <c r="V431" s="25">
        <f>IF(COUNTA(A431,D431,C431,L431)=0,"",IF(A431="","No date - sits outside every month",IF(E431="","No job number",IF(F431="CHECK","Job number is not in the Xero job list",IF(I431="","No cost centre",IF(AND(P431="Y",C431=""),"Marked posted to Xero but has no invoice number",IF(AND(L431&lt;&gt;"",K431=""),"No tax code",IF(AND(L431&lt;&gt;"",O431=""),"No revenue GL code",""))))))))</f>
        <v/>
      </c>
      <c r="W431" s="25">
        <f>IF(E431="","",IFERROR(INDEX(lst_JobName,MATCH(E431&amp;"",lst_Jobs,0)),""))</f>
        <v/>
      </c>
      <c r="X431" s="28">
        <f>IF(E431="","",COUNTIFS(tbl_Finance[Job Number],E431&amp;"",tbl_Finance[Ex GST],"&lt;&gt;"))</f>
        <v/>
      </c>
      <c r="Y431" s="27">
        <f>IF(E431="","",SUMIFS(tbl_Finance[Ex GST],tbl_Finance[Job Number],E431&amp;""))</f>
        <v/>
      </c>
      <c r="Z431" s="27">
        <f>IF(E431="","",SUMIFS(tbl_Finance[Ex GST],tbl_Finance[Job Number],E431&amp;"",tbl_Finance[Xero Invoice No],"&lt;&gt;"))</f>
        <v/>
      </c>
      <c r="AA431" s="27">
        <f>IF(E431="","",Y431-Z431)</f>
        <v/>
      </c>
      <c r="AB431" s="25">
        <f>IF(E431="","",IF(H431="Onsite",IFERROR(INDEX(tbl_Onsite[Qwilr Quote],MATCH(E431&amp;"",tbl_Onsite[Job Number],0)),""),IF(H431="Production",IFERROR(INDEX(tbl_Production[Current RMS No],MATCH(E431&amp;"",tbl_Production[Job Number],0)),""),IF(H431="Consulting",IFERROR(INDEX(tbl_Consulting[Qwilr Quote],MATCH(E431&amp;"",tbl_Consulting[Job Number],0)),""),""))))</f>
        <v/>
      </c>
      <c r="AC431" s="25">
        <f>IF(AB431="","",IF(AND(LEFT(AB431,4)&lt;&gt;"http",IF(H431="Production",set_RMSBase,set_QwilrBase)=""),"",HYPERLINK(IF(LEFT(AB431,4)="http",AB431,IF(H431="Production",set_RMSBase,set_QwilrBase)&amp;AB431),"Open")))</f>
        <v/>
      </c>
      <c r="AD431" s="27">
        <f>IF(E431="","",IF(H431="Production",IFERROR(INDEX(tbl_Production[Total Expense],MATCH(E431&amp;"",tbl_Production[Job Number],0)),0),IF(H431="Consulting",IFERROR(INDEX(tbl_Consulting[Total Expense],MATCH(E431&amp;"",tbl_Consulting[Job Number],0)),0),0)))</f>
        <v/>
      </c>
      <c r="AE431" s="27">
        <f>IF(E431="","",Y431-N(AD431))</f>
        <v/>
      </c>
      <c r="AF431" s="29">
        <f>IFERROR(AE431/Y431,"")</f>
        <v/>
      </c>
      <c r="AG431" s="25">
        <f>IF(E431="","",IF(H431="Onsite",IFERROR(INDEX(tbl_Onsite[Notes],MATCH(E431&amp;"",tbl_Onsite[Job Number],0)),""),IF(H431="Production",IFERROR(INDEX(tbl_Production[Notes],MATCH(E431&amp;"",tbl_Production[Job Number],0)),""),IF(H431="Consulting",IFERROR(INDEX(tbl_Consulting[Notes],MATCH(E431&amp;"",tbl_Consulting[Job Number],0)),""),""))))</f>
        <v/>
      </c>
    </row>
    <row r="432" ht="15" customHeight="1">
      <c r="A432" s="22" t="n"/>
      <c r="B432" s="23">
        <f>IF(A432="","",EOMONTH(A432,0))</f>
        <v/>
      </c>
      <c r="C432" s="24" t="n"/>
      <c r="D432" s="24" t="n"/>
      <c r="E432" s="24" t="n"/>
      <c r="F432" s="25">
        <f>IF(E432="","",IF(COUNTIF(lst_Jobs,E432&amp;"")&gt;0,"OK","CHECK"))</f>
        <v/>
      </c>
      <c r="G432" s="24" t="n"/>
      <c r="H432" s="24" t="n"/>
      <c r="I432" s="24" t="n"/>
      <c r="J432" s="24" t="n"/>
      <c r="K432" s="24" t="n"/>
      <c r="L432" s="26" t="n"/>
      <c r="M432" s="27">
        <f>IF(L432="","",IF(K432="GST 10%",ROUND(L432*set_GSTRate,2),0))</f>
        <v/>
      </c>
      <c r="N432" s="27">
        <f>IF(L432="","",L432+M432)</f>
        <v/>
      </c>
      <c r="O432" s="24" t="n"/>
      <c r="P432" s="24" t="n"/>
      <c r="Q432" s="24" t="n"/>
      <c r="R432" s="22" t="n"/>
      <c r="S432" s="22" t="n"/>
      <c r="T432" s="24" t="n"/>
      <c r="U432" s="24" t="n"/>
      <c r="V432" s="25">
        <f>IF(COUNTA(A432,D432,C432,L432)=0,"",IF(A432="","No date - sits outside every month",IF(E432="","No job number",IF(F432="CHECK","Job number is not in the Xero job list",IF(I432="","No cost centre",IF(AND(P432="Y",C432=""),"Marked posted to Xero but has no invoice number",IF(AND(L432&lt;&gt;"",K432=""),"No tax code",IF(AND(L432&lt;&gt;"",O432=""),"No revenue GL code",""))))))))</f>
        <v/>
      </c>
      <c r="W432" s="25">
        <f>IF(E432="","",IFERROR(INDEX(lst_JobName,MATCH(E432&amp;"",lst_Jobs,0)),""))</f>
        <v/>
      </c>
      <c r="X432" s="28">
        <f>IF(E432="","",COUNTIFS(tbl_Finance[Job Number],E432&amp;"",tbl_Finance[Ex GST],"&lt;&gt;"))</f>
        <v/>
      </c>
      <c r="Y432" s="27">
        <f>IF(E432="","",SUMIFS(tbl_Finance[Ex GST],tbl_Finance[Job Number],E432&amp;""))</f>
        <v/>
      </c>
      <c r="Z432" s="27">
        <f>IF(E432="","",SUMIFS(tbl_Finance[Ex GST],tbl_Finance[Job Number],E432&amp;"",tbl_Finance[Xero Invoice No],"&lt;&gt;"))</f>
        <v/>
      </c>
      <c r="AA432" s="27">
        <f>IF(E432="","",Y432-Z432)</f>
        <v/>
      </c>
      <c r="AB432" s="25">
        <f>IF(E432="","",IF(H432="Onsite",IFERROR(INDEX(tbl_Onsite[Qwilr Quote],MATCH(E432&amp;"",tbl_Onsite[Job Number],0)),""),IF(H432="Production",IFERROR(INDEX(tbl_Production[Current RMS No],MATCH(E432&amp;"",tbl_Production[Job Number],0)),""),IF(H432="Consulting",IFERROR(INDEX(tbl_Consulting[Qwilr Quote],MATCH(E432&amp;"",tbl_Consulting[Job Number],0)),""),""))))</f>
        <v/>
      </c>
      <c r="AC432" s="25">
        <f>IF(AB432="","",IF(AND(LEFT(AB432,4)&lt;&gt;"http",IF(H432="Production",set_RMSBase,set_QwilrBase)=""),"",HYPERLINK(IF(LEFT(AB432,4)="http",AB432,IF(H432="Production",set_RMSBase,set_QwilrBase)&amp;AB432),"Open")))</f>
        <v/>
      </c>
      <c r="AD432" s="27">
        <f>IF(E432="","",IF(H432="Production",IFERROR(INDEX(tbl_Production[Total Expense],MATCH(E432&amp;"",tbl_Production[Job Number],0)),0),IF(H432="Consulting",IFERROR(INDEX(tbl_Consulting[Total Expense],MATCH(E432&amp;"",tbl_Consulting[Job Number],0)),0),0)))</f>
        <v/>
      </c>
      <c r="AE432" s="27">
        <f>IF(E432="","",Y432-N(AD432))</f>
        <v/>
      </c>
      <c r="AF432" s="29">
        <f>IFERROR(AE432/Y432,"")</f>
        <v/>
      </c>
      <c r="AG432" s="25">
        <f>IF(E432="","",IF(H432="Onsite",IFERROR(INDEX(tbl_Onsite[Notes],MATCH(E432&amp;"",tbl_Onsite[Job Number],0)),""),IF(H432="Production",IFERROR(INDEX(tbl_Production[Notes],MATCH(E432&amp;"",tbl_Production[Job Number],0)),""),IF(H432="Consulting",IFERROR(INDEX(tbl_Consulting[Notes],MATCH(E432&amp;"",tbl_Consulting[Job Number],0)),""),""))))</f>
        <v/>
      </c>
    </row>
    <row r="433" ht="15" customHeight="1">
      <c r="A433" s="22" t="n"/>
      <c r="B433" s="23">
        <f>IF(A433="","",EOMONTH(A433,0))</f>
        <v/>
      </c>
      <c r="C433" s="24" t="n"/>
      <c r="D433" s="24" t="n"/>
      <c r="E433" s="24" t="n"/>
      <c r="F433" s="25">
        <f>IF(E433="","",IF(COUNTIF(lst_Jobs,E433&amp;"")&gt;0,"OK","CHECK"))</f>
        <v/>
      </c>
      <c r="G433" s="24" t="n"/>
      <c r="H433" s="24" t="n"/>
      <c r="I433" s="24" t="n"/>
      <c r="J433" s="24" t="n"/>
      <c r="K433" s="24" t="n"/>
      <c r="L433" s="26" t="n"/>
      <c r="M433" s="27">
        <f>IF(L433="","",IF(K433="GST 10%",ROUND(L433*set_GSTRate,2),0))</f>
        <v/>
      </c>
      <c r="N433" s="27">
        <f>IF(L433="","",L433+M433)</f>
        <v/>
      </c>
      <c r="O433" s="24" t="n"/>
      <c r="P433" s="24" t="n"/>
      <c r="Q433" s="24" t="n"/>
      <c r="R433" s="22" t="n"/>
      <c r="S433" s="22" t="n"/>
      <c r="T433" s="24" t="n"/>
      <c r="U433" s="24" t="n"/>
      <c r="V433" s="25">
        <f>IF(COUNTA(A433,D433,C433,L433)=0,"",IF(A433="","No date - sits outside every month",IF(E433="","No job number",IF(F433="CHECK","Job number is not in the Xero job list",IF(I433="","No cost centre",IF(AND(P433="Y",C433=""),"Marked posted to Xero but has no invoice number",IF(AND(L433&lt;&gt;"",K433=""),"No tax code",IF(AND(L433&lt;&gt;"",O433=""),"No revenue GL code",""))))))))</f>
        <v/>
      </c>
      <c r="W433" s="25">
        <f>IF(E433="","",IFERROR(INDEX(lst_JobName,MATCH(E433&amp;"",lst_Jobs,0)),""))</f>
        <v/>
      </c>
      <c r="X433" s="28">
        <f>IF(E433="","",COUNTIFS(tbl_Finance[Job Number],E433&amp;"",tbl_Finance[Ex GST],"&lt;&gt;"))</f>
        <v/>
      </c>
      <c r="Y433" s="27">
        <f>IF(E433="","",SUMIFS(tbl_Finance[Ex GST],tbl_Finance[Job Number],E433&amp;""))</f>
        <v/>
      </c>
      <c r="Z433" s="27">
        <f>IF(E433="","",SUMIFS(tbl_Finance[Ex GST],tbl_Finance[Job Number],E433&amp;"",tbl_Finance[Xero Invoice No],"&lt;&gt;"))</f>
        <v/>
      </c>
      <c r="AA433" s="27">
        <f>IF(E433="","",Y433-Z433)</f>
        <v/>
      </c>
      <c r="AB433" s="25">
        <f>IF(E433="","",IF(H433="Onsite",IFERROR(INDEX(tbl_Onsite[Qwilr Quote],MATCH(E433&amp;"",tbl_Onsite[Job Number],0)),""),IF(H433="Production",IFERROR(INDEX(tbl_Production[Current RMS No],MATCH(E433&amp;"",tbl_Production[Job Number],0)),""),IF(H433="Consulting",IFERROR(INDEX(tbl_Consulting[Qwilr Quote],MATCH(E433&amp;"",tbl_Consulting[Job Number],0)),""),""))))</f>
        <v/>
      </c>
      <c r="AC433" s="25">
        <f>IF(AB433="","",IF(AND(LEFT(AB433,4)&lt;&gt;"http",IF(H433="Production",set_RMSBase,set_QwilrBase)=""),"",HYPERLINK(IF(LEFT(AB433,4)="http",AB433,IF(H433="Production",set_RMSBase,set_QwilrBase)&amp;AB433),"Open")))</f>
        <v/>
      </c>
      <c r="AD433" s="27">
        <f>IF(E433="","",IF(H433="Production",IFERROR(INDEX(tbl_Production[Total Expense],MATCH(E433&amp;"",tbl_Production[Job Number],0)),0),IF(H433="Consulting",IFERROR(INDEX(tbl_Consulting[Total Expense],MATCH(E433&amp;"",tbl_Consulting[Job Number],0)),0),0)))</f>
        <v/>
      </c>
      <c r="AE433" s="27">
        <f>IF(E433="","",Y433-N(AD433))</f>
        <v/>
      </c>
      <c r="AF433" s="29">
        <f>IFERROR(AE433/Y433,"")</f>
        <v/>
      </c>
      <c r="AG433" s="25">
        <f>IF(E433="","",IF(H433="Onsite",IFERROR(INDEX(tbl_Onsite[Notes],MATCH(E433&amp;"",tbl_Onsite[Job Number],0)),""),IF(H433="Production",IFERROR(INDEX(tbl_Production[Notes],MATCH(E433&amp;"",tbl_Production[Job Number],0)),""),IF(H433="Consulting",IFERROR(INDEX(tbl_Consulting[Notes],MATCH(E433&amp;"",tbl_Consulting[Job Number],0)),""),""))))</f>
        <v/>
      </c>
    </row>
    <row r="434" ht="15" customHeight="1">
      <c r="A434" s="22" t="n"/>
      <c r="B434" s="23">
        <f>IF(A434="","",EOMONTH(A434,0))</f>
        <v/>
      </c>
      <c r="C434" s="24" t="n"/>
      <c r="D434" s="24" t="n"/>
      <c r="E434" s="24" t="n"/>
      <c r="F434" s="25">
        <f>IF(E434="","",IF(COUNTIF(lst_Jobs,E434&amp;"")&gt;0,"OK","CHECK"))</f>
        <v/>
      </c>
      <c r="G434" s="24" t="n"/>
      <c r="H434" s="24" t="n"/>
      <c r="I434" s="24" t="n"/>
      <c r="J434" s="24" t="n"/>
      <c r="K434" s="24" t="n"/>
      <c r="L434" s="26" t="n"/>
      <c r="M434" s="27">
        <f>IF(L434="","",IF(K434="GST 10%",ROUND(L434*set_GSTRate,2),0))</f>
        <v/>
      </c>
      <c r="N434" s="27">
        <f>IF(L434="","",L434+M434)</f>
        <v/>
      </c>
      <c r="O434" s="24" t="n"/>
      <c r="P434" s="24" t="n"/>
      <c r="Q434" s="24" t="n"/>
      <c r="R434" s="22" t="n"/>
      <c r="S434" s="22" t="n"/>
      <c r="T434" s="24" t="n"/>
      <c r="U434" s="24" t="n"/>
      <c r="V434" s="25">
        <f>IF(COUNTA(A434,D434,C434,L434)=0,"",IF(A434="","No date - sits outside every month",IF(E434="","No job number",IF(F434="CHECK","Job number is not in the Xero job list",IF(I434="","No cost centre",IF(AND(P434="Y",C434=""),"Marked posted to Xero but has no invoice number",IF(AND(L434&lt;&gt;"",K434=""),"No tax code",IF(AND(L434&lt;&gt;"",O434=""),"No revenue GL code",""))))))))</f>
        <v/>
      </c>
      <c r="W434" s="25">
        <f>IF(E434="","",IFERROR(INDEX(lst_JobName,MATCH(E434&amp;"",lst_Jobs,0)),""))</f>
        <v/>
      </c>
      <c r="X434" s="28">
        <f>IF(E434="","",COUNTIFS(tbl_Finance[Job Number],E434&amp;"",tbl_Finance[Ex GST],"&lt;&gt;"))</f>
        <v/>
      </c>
      <c r="Y434" s="27">
        <f>IF(E434="","",SUMIFS(tbl_Finance[Ex GST],tbl_Finance[Job Number],E434&amp;""))</f>
        <v/>
      </c>
      <c r="Z434" s="27">
        <f>IF(E434="","",SUMIFS(tbl_Finance[Ex GST],tbl_Finance[Job Number],E434&amp;"",tbl_Finance[Xero Invoice No],"&lt;&gt;"))</f>
        <v/>
      </c>
      <c r="AA434" s="27">
        <f>IF(E434="","",Y434-Z434)</f>
        <v/>
      </c>
      <c r="AB434" s="25">
        <f>IF(E434="","",IF(H434="Onsite",IFERROR(INDEX(tbl_Onsite[Qwilr Quote],MATCH(E434&amp;"",tbl_Onsite[Job Number],0)),""),IF(H434="Production",IFERROR(INDEX(tbl_Production[Current RMS No],MATCH(E434&amp;"",tbl_Production[Job Number],0)),""),IF(H434="Consulting",IFERROR(INDEX(tbl_Consulting[Qwilr Quote],MATCH(E434&amp;"",tbl_Consulting[Job Number],0)),""),""))))</f>
        <v/>
      </c>
      <c r="AC434" s="25">
        <f>IF(AB434="","",IF(AND(LEFT(AB434,4)&lt;&gt;"http",IF(H434="Production",set_RMSBase,set_QwilrBase)=""),"",HYPERLINK(IF(LEFT(AB434,4)="http",AB434,IF(H434="Production",set_RMSBase,set_QwilrBase)&amp;AB434),"Open")))</f>
        <v/>
      </c>
      <c r="AD434" s="27">
        <f>IF(E434="","",IF(H434="Production",IFERROR(INDEX(tbl_Production[Total Expense],MATCH(E434&amp;"",tbl_Production[Job Number],0)),0),IF(H434="Consulting",IFERROR(INDEX(tbl_Consulting[Total Expense],MATCH(E434&amp;"",tbl_Consulting[Job Number],0)),0),0)))</f>
        <v/>
      </c>
      <c r="AE434" s="27">
        <f>IF(E434="","",Y434-N(AD434))</f>
        <v/>
      </c>
      <c r="AF434" s="29">
        <f>IFERROR(AE434/Y434,"")</f>
        <v/>
      </c>
      <c r="AG434" s="25">
        <f>IF(E434="","",IF(H434="Onsite",IFERROR(INDEX(tbl_Onsite[Notes],MATCH(E434&amp;"",tbl_Onsite[Job Number],0)),""),IF(H434="Production",IFERROR(INDEX(tbl_Production[Notes],MATCH(E434&amp;"",tbl_Production[Job Number],0)),""),IF(H434="Consulting",IFERROR(INDEX(tbl_Consulting[Notes],MATCH(E434&amp;"",tbl_Consulting[Job Number],0)),""),""))))</f>
        <v/>
      </c>
    </row>
    <row r="435" ht="15" customHeight="1">
      <c r="A435" s="22" t="n"/>
      <c r="B435" s="23">
        <f>IF(A435="","",EOMONTH(A435,0))</f>
        <v/>
      </c>
      <c r="C435" s="24" t="n"/>
      <c r="D435" s="24" t="n"/>
      <c r="E435" s="24" t="n"/>
      <c r="F435" s="25">
        <f>IF(E435="","",IF(COUNTIF(lst_Jobs,E435&amp;"")&gt;0,"OK","CHECK"))</f>
        <v/>
      </c>
      <c r="G435" s="24" t="n"/>
      <c r="H435" s="24" t="n"/>
      <c r="I435" s="24" t="n"/>
      <c r="J435" s="24" t="n"/>
      <c r="K435" s="24" t="n"/>
      <c r="L435" s="26" t="n"/>
      <c r="M435" s="27">
        <f>IF(L435="","",IF(K435="GST 10%",ROUND(L435*set_GSTRate,2),0))</f>
        <v/>
      </c>
      <c r="N435" s="27">
        <f>IF(L435="","",L435+M435)</f>
        <v/>
      </c>
      <c r="O435" s="24" t="n"/>
      <c r="P435" s="24" t="n"/>
      <c r="Q435" s="24" t="n"/>
      <c r="R435" s="22" t="n"/>
      <c r="S435" s="22" t="n"/>
      <c r="T435" s="24" t="n"/>
      <c r="U435" s="24" t="n"/>
      <c r="V435" s="25">
        <f>IF(COUNTA(A435,D435,C435,L435)=0,"",IF(A435="","No date - sits outside every month",IF(E435="","No job number",IF(F435="CHECK","Job number is not in the Xero job list",IF(I435="","No cost centre",IF(AND(P435="Y",C435=""),"Marked posted to Xero but has no invoice number",IF(AND(L435&lt;&gt;"",K435=""),"No tax code",IF(AND(L435&lt;&gt;"",O435=""),"No revenue GL code",""))))))))</f>
        <v/>
      </c>
      <c r="W435" s="25">
        <f>IF(E435="","",IFERROR(INDEX(lst_JobName,MATCH(E435&amp;"",lst_Jobs,0)),""))</f>
        <v/>
      </c>
      <c r="X435" s="28">
        <f>IF(E435="","",COUNTIFS(tbl_Finance[Job Number],E435&amp;"",tbl_Finance[Ex GST],"&lt;&gt;"))</f>
        <v/>
      </c>
      <c r="Y435" s="27">
        <f>IF(E435="","",SUMIFS(tbl_Finance[Ex GST],tbl_Finance[Job Number],E435&amp;""))</f>
        <v/>
      </c>
      <c r="Z435" s="27">
        <f>IF(E435="","",SUMIFS(tbl_Finance[Ex GST],tbl_Finance[Job Number],E435&amp;"",tbl_Finance[Xero Invoice No],"&lt;&gt;"))</f>
        <v/>
      </c>
      <c r="AA435" s="27">
        <f>IF(E435="","",Y435-Z435)</f>
        <v/>
      </c>
      <c r="AB435" s="25">
        <f>IF(E435="","",IF(H435="Onsite",IFERROR(INDEX(tbl_Onsite[Qwilr Quote],MATCH(E435&amp;"",tbl_Onsite[Job Number],0)),""),IF(H435="Production",IFERROR(INDEX(tbl_Production[Current RMS No],MATCH(E435&amp;"",tbl_Production[Job Number],0)),""),IF(H435="Consulting",IFERROR(INDEX(tbl_Consulting[Qwilr Quote],MATCH(E435&amp;"",tbl_Consulting[Job Number],0)),""),""))))</f>
        <v/>
      </c>
      <c r="AC435" s="25">
        <f>IF(AB435="","",IF(AND(LEFT(AB435,4)&lt;&gt;"http",IF(H435="Production",set_RMSBase,set_QwilrBase)=""),"",HYPERLINK(IF(LEFT(AB435,4)="http",AB435,IF(H435="Production",set_RMSBase,set_QwilrBase)&amp;AB435),"Open")))</f>
        <v/>
      </c>
      <c r="AD435" s="27">
        <f>IF(E435="","",IF(H435="Production",IFERROR(INDEX(tbl_Production[Total Expense],MATCH(E435&amp;"",tbl_Production[Job Number],0)),0),IF(H435="Consulting",IFERROR(INDEX(tbl_Consulting[Total Expense],MATCH(E435&amp;"",tbl_Consulting[Job Number],0)),0),0)))</f>
        <v/>
      </c>
      <c r="AE435" s="27">
        <f>IF(E435="","",Y435-N(AD435))</f>
        <v/>
      </c>
      <c r="AF435" s="29">
        <f>IFERROR(AE435/Y435,"")</f>
        <v/>
      </c>
      <c r="AG435" s="25">
        <f>IF(E435="","",IF(H435="Onsite",IFERROR(INDEX(tbl_Onsite[Notes],MATCH(E435&amp;"",tbl_Onsite[Job Number],0)),""),IF(H435="Production",IFERROR(INDEX(tbl_Production[Notes],MATCH(E435&amp;"",tbl_Production[Job Number],0)),""),IF(H435="Consulting",IFERROR(INDEX(tbl_Consulting[Notes],MATCH(E435&amp;"",tbl_Consulting[Job Number],0)),""),""))))</f>
        <v/>
      </c>
    </row>
    <row r="436" ht="15" customHeight="1">
      <c r="A436" s="22" t="n"/>
      <c r="B436" s="23">
        <f>IF(A436="","",EOMONTH(A436,0))</f>
        <v/>
      </c>
      <c r="C436" s="24" t="n"/>
      <c r="D436" s="24" t="n"/>
      <c r="E436" s="24" t="n"/>
      <c r="F436" s="25">
        <f>IF(E436="","",IF(COUNTIF(lst_Jobs,E436&amp;"")&gt;0,"OK","CHECK"))</f>
        <v/>
      </c>
      <c r="G436" s="24" t="n"/>
      <c r="H436" s="24" t="n"/>
      <c r="I436" s="24" t="n"/>
      <c r="J436" s="24" t="n"/>
      <c r="K436" s="24" t="n"/>
      <c r="L436" s="26" t="n"/>
      <c r="M436" s="27">
        <f>IF(L436="","",IF(K436="GST 10%",ROUND(L436*set_GSTRate,2),0))</f>
        <v/>
      </c>
      <c r="N436" s="27">
        <f>IF(L436="","",L436+M436)</f>
        <v/>
      </c>
      <c r="O436" s="24" t="n"/>
      <c r="P436" s="24" t="n"/>
      <c r="Q436" s="24" t="n"/>
      <c r="R436" s="22" t="n"/>
      <c r="S436" s="22" t="n"/>
      <c r="T436" s="24" t="n"/>
      <c r="U436" s="24" t="n"/>
      <c r="V436" s="25">
        <f>IF(COUNTA(A436,D436,C436,L436)=0,"",IF(A436="","No date - sits outside every month",IF(E436="","No job number",IF(F436="CHECK","Job number is not in the Xero job list",IF(I436="","No cost centre",IF(AND(P436="Y",C436=""),"Marked posted to Xero but has no invoice number",IF(AND(L436&lt;&gt;"",K436=""),"No tax code",IF(AND(L436&lt;&gt;"",O436=""),"No revenue GL code",""))))))))</f>
        <v/>
      </c>
      <c r="W436" s="25">
        <f>IF(E436="","",IFERROR(INDEX(lst_JobName,MATCH(E436&amp;"",lst_Jobs,0)),""))</f>
        <v/>
      </c>
      <c r="X436" s="28">
        <f>IF(E436="","",COUNTIFS(tbl_Finance[Job Number],E436&amp;"",tbl_Finance[Ex GST],"&lt;&gt;"))</f>
        <v/>
      </c>
      <c r="Y436" s="27">
        <f>IF(E436="","",SUMIFS(tbl_Finance[Ex GST],tbl_Finance[Job Number],E436&amp;""))</f>
        <v/>
      </c>
      <c r="Z436" s="27">
        <f>IF(E436="","",SUMIFS(tbl_Finance[Ex GST],tbl_Finance[Job Number],E436&amp;"",tbl_Finance[Xero Invoice No],"&lt;&gt;"))</f>
        <v/>
      </c>
      <c r="AA436" s="27">
        <f>IF(E436="","",Y436-Z436)</f>
        <v/>
      </c>
      <c r="AB436" s="25">
        <f>IF(E436="","",IF(H436="Onsite",IFERROR(INDEX(tbl_Onsite[Qwilr Quote],MATCH(E436&amp;"",tbl_Onsite[Job Number],0)),""),IF(H436="Production",IFERROR(INDEX(tbl_Production[Current RMS No],MATCH(E436&amp;"",tbl_Production[Job Number],0)),""),IF(H436="Consulting",IFERROR(INDEX(tbl_Consulting[Qwilr Quote],MATCH(E436&amp;"",tbl_Consulting[Job Number],0)),""),""))))</f>
        <v/>
      </c>
      <c r="AC436" s="25">
        <f>IF(AB436="","",IF(AND(LEFT(AB436,4)&lt;&gt;"http",IF(H436="Production",set_RMSBase,set_QwilrBase)=""),"",HYPERLINK(IF(LEFT(AB436,4)="http",AB436,IF(H436="Production",set_RMSBase,set_QwilrBase)&amp;AB436),"Open")))</f>
        <v/>
      </c>
      <c r="AD436" s="27">
        <f>IF(E436="","",IF(H436="Production",IFERROR(INDEX(tbl_Production[Total Expense],MATCH(E436&amp;"",tbl_Production[Job Number],0)),0),IF(H436="Consulting",IFERROR(INDEX(tbl_Consulting[Total Expense],MATCH(E436&amp;"",tbl_Consulting[Job Number],0)),0),0)))</f>
        <v/>
      </c>
      <c r="AE436" s="27">
        <f>IF(E436="","",Y436-N(AD436))</f>
        <v/>
      </c>
      <c r="AF436" s="29">
        <f>IFERROR(AE436/Y436,"")</f>
        <v/>
      </c>
      <c r="AG436" s="25">
        <f>IF(E436="","",IF(H436="Onsite",IFERROR(INDEX(tbl_Onsite[Notes],MATCH(E436&amp;"",tbl_Onsite[Job Number],0)),""),IF(H436="Production",IFERROR(INDEX(tbl_Production[Notes],MATCH(E436&amp;"",tbl_Production[Job Number],0)),""),IF(H436="Consulting",IFERROR(INDEX(tbl_Consulting[Notes],MATCH(E436&amp;"",tbl_Consulting[Job Number],0)),""),""))))</f>
        <v/>
      </c>
    </row>
    <row r="437" ht="15" customHeight="1">
      <c r="A437" s="22" t="n"/>
      <c r="B437" s="23">
        <f>IF(A437="","",EOMONTH(A437,0))</f>
        <v/>
      </c>
      <c r="C437" s="24" t="n"/>
      <c r="D437" s="24" t="n"/>
      <c r="E437" s="24" t="n"/>
      <c r="F437" s="25">
        <f>IF(E437="","",IF(COUNTIF(lst_Jobs,E437&amp;"")&gt;0,"OK","CHECK"))</f>
        <v/>
      </c>
      <c r="G437" s="24" t="n"/>
      <c r="H437" s="24" t="n"/>
      <c r="I437" s="24" t="n"/>
      <c r="J437" s="24" t="n"/>
      <c r="K437" s="24" t="n"/>
      <c r="L437" s="26" t="n"/>
      <c r="M437" s="27">
        <f>IF(L437="","",IF(K437="GST 10%",ROUND(L437*set_GSTRate,2),0))</f>
        <v/>
      </c>
      <c r="N437" s="27">
        <f>IF(L437="","",L437+M437)</f>
        <v/>
      </c>
      <c r="O437" s="24" t="n"/>
      <c r="P437" s="24" t="n"/>
      <c r="Q437" s="24" t="n"/>
      <c r="R437" s="22" t="n"/>
      <c r="S437" s="22" t="n"/>
      <c r="T437" s="24" t="n"/>
      <c r="U437" s="24" t="n"/>
      <c r="V437" s="25">
        <f>IF(COUNTA(A437,D437,C437,L437)=0,"",IF(A437="","No date - sits outside every month",IF(E437="","No job number",IF(F437="CHECK","Job number is not in the Xero job list",IF(I437="","No cost centre",IF(AND(P437="Y",C437=""),"Marked posted to Xero but has no invoice number",IF(AND(L437&lt;&gt;"",K437=""),"No tax code",IF(AND(L437&lt;&gt;"",O437=""),"No revenue GL code",""))))))))</f>
        <v/>
      </c>
      <c r="W437" s="25">
        <f>IF(E437="","",IFERROR(INDEX(lst_JobName,MATCH(E437&amp;"",lst_Jobs,0)),""))</f>
        <v/>
      </c>
      <c r="X437" s="28">
        <f>IF(E437="","",COUNTIFS(tbl_Finance[Job Number],E437&amp;"",tbl_Finance[Ex GST],"&lt;&gt;"))</f>
        <v/>
      </c>
      <c r="Y437" s="27">
        <f>IF(E437="","",SUMIFS(tbl_Finance[Ex GST],tbl_Finance[Job Number],E437&amp;""))</f>
        <v/>
      </c>
      <c r="Z437" s="27">
        <f>IF(E437="","",SUMIFS(tbl_Finance[Ex GST],tbl_Finance[Job Number],E437&amp;"",tbl_Finance[Xero Invoice No],"&lt;&gt;"))</f>
        <v/>
      </c>
      <c r="AA437" s="27">
        <f>IF(E437="","",Y437-Z437)</f>
        <v/>
      </c>
      <c r="AB437" s="25">
        <f>IF(E437="","",IF(H437="Onsite",IFERROR(INDEX(tbl_Onsite[Qwilr Quote],MATCH(E437&amp;"",tbl_Onsite[Job Number],0)),""),IF(H437="Production",IFERROR(INDEX(tbl_Production[Current RMS No],MATCH(E437&amp;"",tbl_Production[Job Number],0)),""),IF(H437="Consulting",IFERROR(INDEX(tbl_Consulting[Qwilr Quote],MATCH(E437&amp;"",tbl_Consulting[Job Number],0)),""),""))))</f>
        <v/>
      </c>
      <c r="AC437" s="25">
        <f>IF(AB437="","",IF(AND(LEFT(AB437,4)&lt;&gt;"http",IF(H437="Production",set_RMSBase,set_QwilrBase)=""),"",HYPERLINK(IF(LEFT(AB437,4)="http",AB437,IF(H437="Production",set_RMSBase,set_QwilrBase)&amp;AB437),"Open")))</f>
        <v/>
      </c>
      <c r="AD437" s="27">
        <f>IF(E437="","",IF(H437="Production",IFERROR(INDEX(tbl_Production[Total Expense],MATCH(E437&amp;"",tbl_Production[Job Number],0)),0),IF(H437="Consulting",IFERROR(INDEX(tbl_Consulting[Total Expense],MATCH(E437&amp;"",tbl_Consulting[Job Number],0)),0),0)))</f>
        <v/>
      </c>
      <c r="AE437" s="27">
        <f>IF(E437="","",Y437-N(AD437))</f>
        <v/>
      </c>
      <c r="AF437" s="29">
        <f>IFERROR(AE437/Y437,"")</f>
        <v/>
      </c>
      <c r="AG437" s="25">
        <f>IF(E437="","",IF(H437="Onsite",IFERROR(INDEX(tbl_Onsite[Notes],MATCH(E437&amp;"",tbl_Onsite[Job Number],0)),""),IF(H437="Production",IFERROR(INDEX(tbl_Production[Notes],MATCH(E437&amp;"",tbl_Production[Job Number],0)),""),IF(H437="Consulting",IFERROR(INDEX(tbl_Consulting[Notes],MATCH(E437&amp;"",tbl_Consulting[Job Number],0)),""),""))))</f>
        <v/>
      </c>
    </row>
    <row r="438" ht="15" customHeight="1">
      <c r="A438" s="22" t="n"/>
      <c r="B438" s="23">
        <f>IF(A438="","",EOMONTH(A438,0))</f>
        <v/>
      </c>
      <c r="C438" s="24" t="n"/>
      <c r="D438" s="24" t="n"/>
      <c r="E438" s="24" t="n"/>
      <c r="F438" s="25">
        <f>IF(E438="","",IF(COUNTIF(lst_Jobs,E438&amp;"")&gt;0,"OK","CHECK"))</f>
        <v/>
      </c>
      <c r="G438" s="24" t="n"/>
      <c r="H438" s="24" t="n"/>
      <c r="I438" s="24" t="n"/>
      <c r="J438" s="24" t="n"/>
      <c r="K438" s="24" t="n"/>
      <c r="L438" s="26" t="n"/>
      <c r="M438" s="27">
        <f>IF(L438="","",IF(K438="GST 10%",ROUND(L438*set_GSTRate,2),0))</f>
        <v/>
      </c>
      <c r="N438" s="27">
        <f>IF(L438="","",L438+M438)</f>
        <v/>
      </c>
      <c r="O438" s="24" t="n"/>
      <c r="P438" s="24" t="n"/>
      <c r="Q438" s="24" t="n"/>
      <c r="R438" s="22" t="n"/>
      <c r="S438" s="22" t="n"/>
      <c r="T438" s="24" t="n"/>
      <c r="U438" s="24" t="n"/>
      <c r="V438" s="25">
        <f>IF(COUNTA(A438,D438,C438,L438)=0,"",IF(A438="","No date - sits outside every month",IF(E438="","No job number",IF(F438="CHECK","Job number is not in the Xero job list",IF(I438="","No cost centre",IF(AND(P438="Y",C438=""),"Marked posted to Xero but has no invoice number",IF(AND(L438&lt;&gt;"",K438=""),"No tax code",IF(AND(L438&lt;&gt;"",O438=""),"No revenue GL code",""))))))))</f>
        <v/>
      </c>
      <c r="W438" s="25">
        <f>IF(E438="","",IFERROR(INDEX(lst_JobName,MATCH(E438&amp;"",lst_Jobs,0)),""))</f>
        <v/>
      </c>
      <c r="X438" s="28">
        <f>IF(E438="","",COUNTIFS(tbl_Finance[Job Number],E438&amp;"",tbl_Finance[Ex GST],"&lt;&gt;"))</f>
        <v/>
      </c>
      <c r="Y438" s="27">
        <f>IF(E438="","",SUMIFS(tbl_Finance[Ex GST],tbl_Finance[Job Number],E438&amp;""))</f>
        <v/>
      </c>
      <c r="Z438" s="27">
        <f>IF(E438="","",SUMIFS(tbl_Finance[Ex GST],tbl_Finance[Job Number],E438&amp;"",tbl_Finance[Xero Invoice No],"&lt;&gt;"))</f>
        <v/>
      </c>
      <c r="AA438" s="27">
        <f>IF(E438="","",Y438-Z438)</f>
        <v/>
      </c>
      <c r="AB438" s="25">
        <f>IF(E438="","",IF(H438="Onsite",IFERROR(INDEX(tbl_Onsite[Qwilr Quote],MATCH(E438&amp;"",tbl_Onsite[Job Number],0)),""),IF(H438="Production",IFERROR(INDEX(tbl_Production[Current RMS No],MATCH(E438&amp;"",tbl_Production[Job Number],0)),""),IF(H438="Consulting",IFERROR(INDEX(tbl_Consulting[Qwilr Quote],MATCH(E438&amp;"",tbl_Consulting[Job Number],0)),""),""))))</f>
        <v/>
      </c>
      <c r="AC438" s="25">
        <f>IF(AB438="","",IF(AND(LEFT(AB438,4)&lt;&gt;"http",IF(H438="Production",set_RMSBase,set_QwilrBase)=""),"",HYPERLINK(IF(LEFT(AB438,4)="http",AB438,IF(H438="Production",set_RMSBase,set_QwilrBase)&amp;AB438),"Open")))</f>
        <v/>
      </c>
      <c r="AD438" s="27">
        <f>IF(E438="","",IF(H438="Production",IFERROR(INDEX(tbl_Production[Total Expense],MATCH(E438&amp;"",tbl_Production[Job Number],0)),0),IF(H438="Consulting",IFERROR(INDEX(tbl_Consulting[Total Expense],MATCH(E438&amp;"",tbl_Consulting[Job Number],0)),0),0)))</f>
        <v/>
      </c>
      <c r="AE438" s="27">
        <f>IF(E438="","",Y438-N(AD438))</f>
        <v/>
      </c>
      <c r="AF438" s="29">
        <f>IFERROR(AE438/Y438,"")</f>
        <v/>
      </c>
      <c r="AG438" s="25">
        <f>IF(E438="","",IF(H438="Onsite",IFERROR(INDEX(tbl_Onsite[Notes],MATCH(E438&amp;"",tbl_Onsite[Job Number],0)),""),IF(H438="Production",IFERROR(INDEX(tbl_Production[Notes],MATCH(E438&amp;"",tbl_Production[Job Number],0)),""),IF(H438="Consulting",IFERROR(INDEX(tbl_Consulting[Notes],MATCH(E438&amp;"",tbl_Consulting[Job Number],0)),""),""))))</f>
        <v/>
      </c>
    </row>
    <row r="439" ht="15" customHeight="1">
      <c r="A439" s="22" t="n"/>
      <c r="B439" s="23">
        <f>IF(A439="","",EOMONTH(A439,0))</f>
        <v/>
      </c>
      <c r="C439" s="24" t="n"/>
      <c r="D439" s="24" t="n"/>
      <c r="E439" s="24" t="n"/>
      <c r="F439" s="25">
        <f>IF(E439="","",IF(COUNTIF(lst_Jobs,E439&amp;"")&gt;0,"OK","CHECK"))</f>
        <v/>
      </c>
      <c r="G439" s="24" t="n"/>
      <c r="H439" s="24" t="n"/>
      <c r="I439" s="24" t="n"/>
      <c r="J439" s="24" t="n"/>
      <c r="K439" s="24" t="n"/>
      <c r="L439" s="26" t="n"/>
      <c r="M439" s="27">
        <f>IF(L439="","",IF(K439="GST 10%",ROUND(L439*set_GSTRate,2),0))</f>
        <v/>
      </c>
      <c r="N439" s="27">
        <f>IF(L439="","",L439+M439)</f>
        <v/>
      </c>
      <c r="O439" s="24" t="n"/>
      <c r="P439" s="24" t="n"/>
      <c r="Q439" s="24" t="n"/>
      <c r="R439" s="22" t="n"/>
      <c r="S439" s="22" t="n"/>
      <c r="T439" s="24" t="n"/>
      <c r="U439" s="24" t="n"/>
      <c r="V439" s="25">
        <f>IF(COUNTA(A439,D439,C439,L439)=0,"",IF(A439="","No date - sits outside every month",IF(E439="","No job number",IF(F439="CHECK","Job number is not in the Xero job list",IF(I439="","No cost centre",IF(AND(P439="Y",C439=""),"Marked posted to Xero but has no invoice number",IF(AND(L439&lt;&gt;"",K439=""),"No tax code",IF(AND(L439&lt;&gt;"",O439=""),"No revenue GL code",""))))))))</f>
        <v/>
      </c>
      <c r="W439" s="25">
        <f>IF(E439="","",IFERROR(INDEX(lst_JobName,MATCH(E439&amp;"",lst_Jobs,0)),""))</f>
        <v/>
      </c>
      <c r="X439" s="28">
        <f>IF(E439="","",COUNTIFS(tbl_Finance[Job Number],E439&amp;"",tbl_Finance[Ex GST],"&lt;&gt;"))</f>
        <v/>
      </c>
      <c r="Y439" s="27">
        <f>IF(E439="","",SUMIFS(tbl_Finance[Ex GST],tbl_Finance[Job Number],E439&amp;""))</f>
        <v/>
      </c>
      <c r="Z439" s="27">
        <f>IF(E439="","",SUMIFS(tbl_Finance[Ex GST],tbl_Finance[Job Number],E439&amp;"",tbl_Finance[Xero Invoice No],"&lt;&gt;"))</f>
        <v/>
      </c>
      <c r="AA439" s="27">
        <f>IF(E439="","",Y439-Z439)</f>
        <v/>
      </c>
      <c r="AB439" s="25">
        <f>IF(E439="","",IF(H439="Onsite",IFERROR(INDEX(tbl_Onsite[Qwilr Quote],MATCH(E439&amp;"",tbl_Onsite[Job Number],0)),""),IF(H439="Production",IFERROR(INDEX(tbl_Production[Current RMS No],MATCH(E439&amp;"",tbl_Production[Job Number],0)),""),IF(H439="Consulting",IFERROR(INDEX(tbl_Consulting[Qwilr Quote],MATCH(E439&amp;"",tbl_Consulting[Job Number],0)),""),""))))</f>
        <v/>
      </c>
      <c r="AC439" s="25">
        <f>IF(AB439="","",IF(AND(LEFT(AB439,4)&lt;&gt;"http",IF(H439="Production",set_RMSBase,set_QwilrBase)=""),"",HYPERLINK(IF(LEFT(AB439,4)="http",AB439,IF(H439="Production",set_RMSBase,set_QwilrBase)&amp;AB439),"Open")))</f>
        <v/>
      </c>
      <c r="AD439" s="27">
        <f>IF(E439="","",IF(H439="Production",IFERROR(INDEX(tbl_Production[Total Expense],MATCH(E439&amp;"",tbl_Production[Job Number],0)),0),IF(H439="Consulting",IFERROR(INDEX(tbl_Consulting[Total Expense],MATCH(E439&amp;"",tbl_Consulting[Job Number],0)),0),0)))</f>
        <v/>
      </c>
      <c r="AE439" s="27">
        <f>IF(E439="","",Y439-N(AD439))</f>
        <v/>
      </c>
      <c r="AF439" s="29">
        <f>IFERROR(AE439/Y439,"")</f>
        <v/>
      </c>
      <c r="AG439" s="25">
        <f>IF(E439="","",IF(H439="Onsite",IFERROR(INDEX(tbl_Onsite[Notes],MATCH(E439&amp;"",tbl_Onsite[Job Number],0)),""),IF(H439="Production",IFERROR(INDEX(tbl_Production[Notes],MATCH(E439&amp;"",tbl_Production[Job Number],0)),""),IF(H439="Consulting",IFERROR(INDEX(tbl_Consulting[Notes],MATCH(E439&amp;"",tbl_Consulting[Job Number],0)),""),""))))</f>
        <v/>
      </c>
    </row>
    <row r="440" ht="15" customHeight="1">
      <c r="A440" s="22" t="n"/>
      <c r="B440" s="23">
        <f>IF(A440="","",EOMONTH(A440,0))</f>
        <v/>
      </c>
      <c r="C440" s="24" t="n"/>
      <c r="D440" s="24" t="n"/>
      <c r="E440" s="24" t="n"/>
      <c r="F440" s="25">
        <f>IF(E440="","",IF(COUNTIF(lst_Jobs,E440&amp;"")&gt;0,"OK","CHECK"))</f>
        <v/>
      </c>
      <c r="G440" s="24" t="n"/>
      <c r="H440" s="24" t="n"/>
      <c r="I440" s="24" t="n"/>
      <c r="J440" s="24" t="n"/>
      <c r="K440" s="24" t="n"/>
      <c r="L440" s="26" t="n"/>
      <c r="M440" s="27">
        <f>IF(L440="","",IF(K440="GST 10%",ROUND(L440*set_GSTRate,2),0))</f>
        <v/>
      </c>
      <c r="N440" s="27">
        <f>IF(L440="","",L440+M440)</f>
        <v/>
      </c>
      <c r="O440" s="24" t="n"/>
      <c r="P440" s="24" t="n"/>
      <c r="Q440" s="24" t="n"/>
      <c r="R440" s="22" t="n"/>
      <c r="S440" s="22" t="n"/>
      <c r="T440" s="24" t="n"/>
      <c r="U440" s="24" t="n"/>
      <c r="V440" s="25">
        <f>IF(COUNTA(A440,D440,C440,L440)=0,"",IF(A440="","No date - sits outside every month",IF(E440="","No job number",IF(F440="CHECK","Job number is not in the Xero job list",IF(I440="","No cost centre",IF(AND(P440="Y",C440=""),"Marked posted to Xero but has no invoice number",IF(AND(L440&lt;&gt;"",K440=""),"No tax code",IF(AND(L440&lt;&gt;"",O440=""),"No revenue GL code",""))))))))</f>
        <v/>
      </c>
      <c r="W440" s="25">
        <f>IF(E440="","",IFERROR(INDEX(lst_JobName,MATCH(E440&amp;"",lst_Jobs,0)),""))</f>
        <v/>
      </c>
      <c r="X440" s="28">
        <f>IF(E440="","",COUNTIFS(tbl_Finance[Job Number],E440&amp;"",tbl_Finance[Ex GST],"&lt;&gt;"))</f>
        <v/>
      </c>
      <c r="Y440" s="27">
        <f>IF(E440="","",SUMIFS(tbl_Finance[Ex GST],tbl_Finance[Job Number],E440&amp;""))</f>
        <v/>
      </c>
      <c r="Z440" s="27">
        <f>IF(E440="","",SUMIFS(tbl_Finance[Ex GST],tbl_Finance[Job Number],E440&amp;"",tbl_Finance[Xero Invoice No],"&lt;&gt;"))</f>
        <v/>
      </c>
      <c r="AA440" s="27">
        <f>IF(E440="","",Y440-Z440)</f>
        <v/>
      </c>
      <c r="AB440" s="25">
        <f>IF(E440="","",IF(H440="Onsite",IFERROR(INDEX(tbl_Onsite[Qwilr Quote],MATCH(E440&amp;"",tbl_Onsite[Job Number],0)),""),IF(H440="Production",IFERROR(INDEX(tbl_Production[Current RMS No],MATCH(E440&amp;"",tbl_Production[Job Number],0)),""),IF(H440="Consulting",IFERROR(INDEX(tbl_Consulting[Qwilr Quote],MATCH(E440&amp;"",tbl_Consulting[Job Number],0)),""),""))))</f>
        <v/>
      </c>
      <c r="AC440" s="25">
        <f>IF(AB440="","",IF(AND(LEFT(AB440,4)&lt;&gt;"http",IF(H440="Production",set_RMSBase,set_QwilrBase)=""),"",HYPERLINK(IF(LEFT(AB440,4)="http",AB440,IF(H440="Production",set_RMSBase,set_QwilrBase)&amp;AB440),"Open")))</f>
        <v/>
      </c>
      <c r="AD440" s="27">
        <f>IF(E440="","",IF(H440="Production",IFERROR(INDEX(tbl_Production[Total Expense],MATCH(E440&amp;"",tbl_Production[Job Number],0)),0),IF(H440="Consulting",IFERROR(INDEX(tbl_Consulting[Total Expense],MATCH(E440&amp;"",tbl_Consulting[Job Number],0)),0),0)))</f>
        <v/>
      </c>
      <c r="AE440" s="27">
        <f>IF(E440="","",Y440-N(AD440))</f>
        <v/>
      </c>
      <c r="AF440" s="29">
        <f>IFERROR(AE440/Y440,"")</f>
        <v/>
      </c>
      <c r="AG440" s="25">
        <f>IF(E440="","",IF(H440="Onsite",IFERROR(INDEX(tbl_Onsite[Notes],MATCH(E440&amp;"",tbl_Onsite[Job Number],0)),""),IF(H440="Production",IFERROR(INDEX(tbl_Production[Notes],MATCH(E440&amp;"",tbl_Production[Job Number],0)),""),IF(H440="Consulting",IFERROR(INDEX(tbl_Consulting[Notes],MATCH(E440&amp;"",tbl_Consulting[Job Number],0)),""),""))))</f>
        <v/>
      </c>
    </row>
    <row r="441" ht="15" customHeight="1">
      <c r="A441" s="22" t="n"/>
      <c r="B441" s="23">
        <f>IF(A441="","",EOMONTH(A441,0))</f>
        <v/>
      </c>
      <c r="C441" s="24" t="n"/>
      <c r="D441" s="24" t="n"/>
      <c r="E441" s="24" t="n"/>
      <c r="F441" s="25">
        <f>IF(E441="","",IF(COUNTIF(lst_Jobs,E441&amp;"")&gt;0,"OK","CHECK"))</f>
        <v/>
      </c>
      <c r="G441" s="24" t="n"/>
      <c r="H441" s="24" t="n"/>
      <c r="I441" s="24" t="n"/>
      <c r="J441" s="24" t="n"/>
      <c r="K441" s="24" t="n"/>
      <c r="L441" s="26" t="n"/>
      <c r="M441" s="27">
        <f>IF(L441="","",IF(K441="GST 10%",ROUND(L441*set_GSTRate,2),0))</f>
        <v/>
      </c>
      <c r="N441" s="27">
        <f>IF(L441="","",L441+M441)</f>
        <v/>
      </c>
      <c r="O441" s="24" t="n"/>
      <c r="P441" s="24" t="n"/>
      <c r="Q441" s="24" t="n"/>
      <c r="R441" s="22" t="n"/>
      <c r="S441" s="22" t="n"/>
      <c r="T441" s="24" t="n"/>
      <c r="U441" s="24" t="n"/>
      <c r="V441" s="25">
        <f>IF(COUNTA(A441,D441,C441,L441)=0,"",IF(A441="","No date - sits outside every month",IF(E441="","No job number",IF(F441="CHECK","Job number is not in the Xero job list",IF(I441="","No cost centre",IF(AND(P441="Y",C441=""),"Marked posted to Xero but has no invoice number",IF(AND(L441&lt;&gt;"",K441=""),"No tax code",IF(AND(L441&lt;&gt;"",O441=""),"No revenue GL code",""))))))))</f>
        <v/>
      </c>
      <c r="W441" s="25">
        <f>IF(E441="","",IFERROR(INDEX(lst_JobName,MATCH(E441&amp;"",lst_Jobs,0)),""))</f>
        <v/>
      </c>
      <c r="X441" s="28">
        <f>IF(E441="","",COUNTIFS(tbl_Finance[Job Number],E441&amp;"",tbl_Finance[Ex GST],"&lt;&gt;"))</f>
        <v/>
      </c>
      <c r="Y441" s="27">
        <f>IF(E441="","",SUMIFS(tbl_Finance[Ex GST],tbl_Finance[Job Number],E441&amp;""))</f>
        <v/>
      </c>
      <c r="Z441" s="27">
        <f>IF(E441="","",SUMIFS(tbl_Finance[Ex GST],tbl_Finance[Job Number],E441&amp;"",tbl_Finance[Xero Invoice No],"&lt;&gt;"))</f>
        <v/>
      </c>
      <c r="AA441" s="27">
        <f>IF(E441="","",Y441-Z441)</f>
        <v/>
      </c>
      <c r="AB441" s="25">
        <f>IF(E441="","",IF(H441="Onsite",IFERROR(INDEX(tbl_Onsite[Qwilr Quote],MATCH(E441&amp;"",tbl_Onsite[Job Number],0)),""),IF(H441="Production",IFERROR(INDEX(tbl_Production[Current RMS No],MATCH(E441&amp;"",tbl_Production[Job Number],0)),""),IF(H441="Consulting",IFERROR(INDEX(tbl_Consulting[Qwilr Quote],MATCH(E441&amp;"",tbl_Consulting[Job Number],0)),""),""))))</f>
        <v/>
      </c>
      <c r="AC441" s="25">
        <f>IF(AB441="","",IF(AND(LEFT(AB441,4)&lt;&gt;"http",IF(H441="Production",set_RMSBase,set_QwilrBase)=""),"",HYPERLINK(IF(LEFT(AB441,4)="http",AB441,IF(H441="Production",set_RMSBase,set_QwilrBase)&amp;AB441),"Open")))</f>
        <v/>
      </c>
      <c r="AD441" s="27">
        <f>IF(E441="","",IF(H441="Production",IFERROR(INDEX(tbl_Production[Total Expense],MATCH(E441&amp;"",tbl_Production[Job Number],0)),0),IF(H441="Consulting",IFERROR(INDEX(tbl_Consulting[Total Expense],MATCH(E441&amp;"",tbl_Consulting[Job Number],0)),0),0)))</f>
        <v/>
      </c>
      <c r="AE441" s="27">
        <f>IF(E441="","",Y441-N(AD441))</f>
        <v/>
      </c>
      <c r="AF441" s="29">
        <f>IFERROR(AE441/Y441,"")</f>
        <v/>
      </c>
      <c r="AG441" s="25">
        <f>IF(E441="","",IF(H441="Onsite",IFERROR(INDEX(tbl_Onsite[Notes],MATCH(E441&amp;"",tbl_Onsite[Job Number],0)),""),IF(H441="Production",IFERROR(INDEX(tbl_Production[Notes],MATCH(E441&amp;"",tbl_Production[Job Number],0)),""),IF(H441="Consulting",IFERROR(INDEX(tbl_Consulting[Notes],MATCH(E441&amp;"",tbl_Consulting[Job Number],0)),""),""))))</f>
        <v/>
      </c>
    </row>
    <row r="442" ht="15" customHeight="1">
      <c r="A442" s="22" t="n"/>
      <c r="B442" s="23">
        <f>IF(A442="","",EOMONTH(A442,0))</f>
        <v/>
      </c>
      <c r="C442" s="24" t="n"/>
      <c r="D442" s="24" t="n"/>
      <c r="E442" s="24" t="n"/>
      <c r="F442" s="25">
        <f>IF(E442="","",IF(COUNTIF(lst_Jobs,E442&amp;"")&gt;0,"OK","CHECK"))</f>
        <v/>
      </c>
      <c r="G442" s="24" t="n"/>
      <c r="H442" s="24" t="n"/>
      <c r="I442" s="24" t="n"/>
      <c r="J442" s="24" t="n"/>
      <c r="K442" s="24" t="n"/>
      <c r="L442" s="26" t="n"/>
      <c r="M442" s="27">
        <f>IF(L442="","",IF(K442="GST 10%",ROUND(L442*set_GSTRate,2),0))</f>
        <v/>
      </c>
      <c r="N442" s="27">
        <f>IF(L442="","",L442+M442)</f>
        <v/>
      </c>
      <c r="O442" s="24" t="n"/>
      <c r="P442" s="24" t="n"/>
      <c r="Q442" s="24" t="n"/>
      <c r="R442" s="22" t="n"/>
      <c r="S442" s="22" t="n"/>
      <c r="T442" s="24" t="n"/>
      <c r="U442" s="24" t="n"/>
      <c r="V442" s="25">
        <f>IF(COUNTA(A442,D442,C442,L442)=0,"",IF(A442="","No date - sits outside every month",IF(E442="","No job number",IF(F442="CHECK","Job number is not in the Xero job list",IF(I442="","No cost centre",IF(AND(P442="Y",C442=""),"Marked posted to Xero but has no invoice number",IF(AND(L442&lt;&gt;"",K442=""),"No tax code",IF(AND(L442&lt;&gt;"",O442=""),"No revenue GL code",""))))))))</f>
        <v/>
      </c>
      <c r="W442" s="25">
        <f>IF(E442="","",IFERROR(INDEX(lst_JobName,MATCH(E442&amp;"",lst_Jobs,0)),""))</f>
        <v/>
      </c>
      <c r="X442" s="28">
        <f>IF(E442="","",COUNTIFS(tbl_Finance[Job Number],E442&amp;"",tbl_Finance[Ex GST],"&lt;&gt;"))</f>
        <v/>
      </c>
      <c r="Y442" s="27">
        <f>IF(E442="","",SUMIFS(tbl_Finance[Ex GST],tbl_Finance[Job Number],E442&amp;""))</f>
        <v/>
      </c>
      <c r="Z442" s="27">
        <f>IF(E442="","",SUMIFS(tbl_Finance[Ex GST],tbl_Finance[Job Number],E442&amp;"",tbl_Finance[Xero Invoice No],"&lt;&gt;"))</f>
        <v/>
      </c>
      <c r="AA442" s="27">
        <f>IF(E442="","",Y442-Z442)</f>
        <v/>
      </c>
      <c r="AB442" s="25">
        <f>IF(E442="","",IF(H442="Onsite",IFERROR(INDEX(tbl_Onsite[Qwilr Quote],MATCH(E442&amp;"",tbl_Onsite[Job Number],0)),""),IF(H442="Production",IFERROR(INDEX(tbl_Production[Current RMS No],MATCH(E442&amp;"",tbl_Production[Job Number],0)),""),IF(H442="Consulting",IFERROR(INDEX(tbl_Consulting[Qwilr Quote],MATCH(E442&amp;"",tbl_Consulting[Job Number],0)),""),""))))</f>
        <v/>
      </c>
      <c r="AC442" s="25">
        <f>IF(AB442="","",IF(AND(LEFT(AB442,4)&lt;&gt;"http",IF(H442="Production",set_RMSBase,set_QwilrBase)=""),"",HYPERLINK(IF(LEFT(AB442,4)="http",AB442,IF(H442="Production",set_RMSBase,set_QwilrBase)&amp;AB442),"Open")))</f>
        <v/>
      </c>
      <c r="AD442" s="27">
        <f>IF(E442="","",IF(H442="Production",IFERROR(INDEX(tbl_Production[Total Expense],MATCH(E442&amp;"",tbl_Production[Job Number],0)),0),IF(H442="Consulting",IFERROR(INDEX(tbl_Consulting[Total Expense],MATCH(E442&amp;"",tbl_Consulting[Job Number],0)),0),0)))</f>
        <v/>
      </c>
      <c r="AE442" s="27">
        <f>IF(E442="","",Y442-N(AD442))</f>
        <v/>
      </c>
      <c r="AF442" s="29">
        <f>IFERROR(AE442/Y442,"")</f>
        <v/>
      </c>
      <c r="AG442" s="25">
        <f>IF(E442="","",IF(H442="Onsite",IFERROR(INDEX(tbl_Onsite[Notes],MATCH(E442&amp;"",tbl_Onsite[Job Number],0)),""),IF(H442="Production",IFERROR(INDEX(tbl_Production[Notes],MATCH(E442&amp;"",tbl_Production[Job Number],0)),""),IF(H442="Consulting",IFERROR(INDEX(tbl_Consulting[Notes],MATCH(E442&amp;"",tbl_Consulting[Job Number],0)),""),""))))</f>
        <v/>
      </c>
    </row>
    <row r="443" ht="15" customHeight="1">
      <c r="A443" s="22" t="n"/>
      <c r="B443" s="23">
        <f>IF(A443="","",EOMONTH(A443,0))</f>
        <v/>
      </c>
      <c r="C443" s="24" t="n"/>
      <c r="D443" s="24" t="n"/>
      <c r="E443" s="24" t="n"/>
      <c r="F443" s="25">
        <f>IF(E443="","",IF(COUNTIF(lst_Jobs,E443&amp;"")&gt;0,"OK","CHECK"))</f>
        <v/>
      </c>
      <c r="G443" s="24" t="n"/>
      <c r="H443" s="24" t="n"/>
      <c r="I443" s="24" t="n"/>
      <c r="J443" s="24" t="n"/>
      <c r="K443" s="24" t="n"/>
      <c r="L443" s="26" t="n"/>
      <c r="M443" s="27">
        <f>IF(L443="","",IF(K443="GST 10%",ROUND(L443*set_GSTRate,2),0))</f>
        <v/>
      </c>
      <c r="N443" s="27">
        <f>IF(L443="","",L443+M443)</f>
        <v/>
      </c>
      <c r="O443" s="24" t="n"/>
      <c r="P443" s="24" t="n"/>
      <c r="Q443" s="24" t="n"/>
      <c r="R443" s="22" t="n"/>
      <c r="S443" s="22" t="n"/>
      <c r="T443" s="24" t="n"/>
      <c r="U443" s="24" t="n"/>
      <c r="V443" s="25">
        <f>IF(COUNTA(A443,D443,C443,L443)=0,"",IF(A443="","No date - sits outside every month",IF(E443="","No job number",IF(F443="CHECK","Job number is not in the Xero job list",IF(I443="","No cost centre",IF(AND(P443="Y",C443=""),"Marked posted to Xero but has no invoice number",IF(AND(L443&lt;&gt;"",K443=""),"No tax code",IF(AND(L443&lt;&gt;"",O443=""),"No revenue GL code",""))))))))</f>
        <v/>
      </c>
      <c r="W443" s="25">
        <f>IF(E443="","",IFERROR(INDEX(lst_JobName,MATCH(E443&amp;"",lst_Jobs,0)),""))</f>
        <v/>
      </c>
      <c r="X443" s="28">
        <f>IF(E443="","",COUNTIFS(tbl_Finance[Job Number],E443&amp;"",tbl_Finance[Ex GST],"&lt;&gt;"))</f>
        <v/>
      </c>
      <c r="Y443" s="27">
        <f>IF(E443="","",SUMIFS(tbl_Finance[Ex GST],tbl_Finance[Job Number],E443&amp;""))</f>
        <v/>
      </c>
      <c r="Z443" s="27">
        <f>IF(E443="","",SUMIFS(tbl_Finance[Ex GST],tbl_Finance[Job Number],E443&amp;"",tbl_Finance[Xero Invoice No],"&lt;&gt;"))</f>
        <v/>
      </c>
      <c r="AA443" s="27">
        <f>IF(E443="","",Y443-Z443)</f>
        <v/>
      </c>
      <c r="AB443" s="25">
        <f>IF(E443="","",IF(H443="Onsite",IFERROR(INDEX(tbl_Onsite[Qwilr Quote],MATCH(E443&amp;"",tbl_Onsite[Job Number],0)),""),IF(H443="Production",IFERROR(INDEX(tbl_Production[Current RMS No],MATCH(E443&amp;"",tbl_Production[Job Number],0)),""),IF(H443="Consulting",IFERROR(INDEX(tbl_Consulting[Qwilr Quote],MATCH(E443&amp;"",tbl_Consulting[Job Number],0)),""),""))))</f>
        <v/>
      </c>
      <c r="AC443" s="25">
        <f>IF(AB443="","",IF(AND(LEFT(AB443,4)&lt;&gt;"http",IF(H443="Production",set_RMSBase,set_QwilrBase)=""),"",HYPERLINK(IF(LEFT(AB443,4)="http",AB443,IF(H443="Production",set_RMSBase,set_QwilrBase)&amp;AB443),"Open")))</f>
        <v/>
      </c>
      <c r="AD443" s="27">
        <f>IF(E443="","",IF(H443="Production",IFERROR(INDEX(tbl_Production[Total Expense],MATCH(E443&amp;"",tbl_Production[Job Number],0)),0),IF(H443="Consulting",IFERROR(INDEX(tbl_Consulting[Total Expense],MATCH(E443&amp;"",tbl_Consulting[Job Number],0)),0),0)))</f>
        <v/>
      </c>
      <c r="AE443" s="27">
        <f>IF(E443="","",Y443-N(AD443))</f>
        <v/>
      </c>
      <c r="AF443" s="29">
        <f>IFERROR(AE443/Y443,"")</f>
        <v/>
      </c>
      <c r="AG443" s="25">
        <f>IF(E443="","",IF(H443="Onsite",IFERROR(INDEX(tbl_Onsite[Notes],MATCH(E443&amp;"",tbl_Onsite[Job Number],0)),""),IF(H443="Production",IFERROR(INDEX(tbl_Production[Notes],MATCH(E443&amp;"",tbl_Production[Job Number],0)),""),IF(H443="Consulting",IFERROR(INDEX(tbl_Consulting[Notes],MATCH(E443&amp;"",tbl_Consulting[Job Number],0)),""),""))))</f>
        <v/>
      </c>
    </row>
    <row r="444" ht="15" customHeight="1">
      <c r="A444" s="22" t="n"/>
      <c r="B444" s="23">
        <f>IF(A444="","",EOMONTH(A444,0))</f>
        <v/>
      </c>
      <c r="C444" s="24" t="n"/>
      <c r="D444" s="24" t="n"/>
      <c r="E444" s="24" t="n"/>
      <c r="F444" s="25">
        <f>IF(E444="","",IF(COUNTIF(lst_Jobs,E444&amp;"")&gt;0,"OK","CHECK"))</f>
        <v/>
      </c>
      <c r="G444" s="24" t="n"/>
      <c r="H444" s="24" t="n"/>
      <c r="I444" s="24" t="n"/>
      <c r="J444" s="24" t="n"/>
      <c r="K444" s="24" t="n"/>
      <c r="L444" s="26" t="n"/>
      <c r="M444" s="27">
        <f>IF(L444="","",IF(K444="GST 10%",ROUND(L444*set_GSTRate,2),0))</f>
        <v/>
      </c>
      <c r="N444" s="27">
        <f>IF(L444="","",L444+M444)</f>
        <v/>
      </c>
      <c r="O444" s="24" t="n"/>
      <c r="P444" s="24" t="n"/>
      <c r="Q444" s="24" t="n"/>
      <c r="R444" s="22" t="n"/>
      <c r="S444" s="22" t="n"/>
      <c r="T444" s="24" t="n"/>
      <c r="U444" s="24" t="n"/>
      <c r="V444" s="25">
        <f>IF(COUNTA(A444,D444,C444,L444)=0,"",IF(A444="","No date - sits outside every month",IF(E444="","No job number",IF(F444="CHECK","Job number is not in the Xero job list",IF(I444="","No cost centre",IF(AND(P444="Y",C444=""),"Marked posted to Xero but has no invoice number",IF(AND(L444&lt;&gt;"",K444=""),"No tax code",IF(AND(L444&lt;&gt;"",O444=""),"No revenue GL code",""))))))))</f>
        <v/>
      </c>
      <c r="W444" s="25">
        <f>IF(E444="","",IFERROR(INDEX(lst_JobName,MATCH(E444&amp;"",lst_Jobs,0)),""))</f>
        <v/>
      </c>
      <c r="X444" s="28">
        <f>IF(E444="","",COUNTIFS(tbl_Finance[Job Number],E444&amp;"",tbl_Finance[Ex GST],"&lt;&gt;"))</f>
        <v/>
      </c>
      <c r="Y444" s="27">
        <f>IF(E444="","",SUMIFS(tbl_Finance[Ex GST],tbl_Finance[Job Number],E444&amp;""))</f>
        <v/>
      </c>
      <c r="Z444" s="27">
        <f>IF(E444="","",SUMIFS(tbl_Finance[Ex GST],tbl_Finance[Job Number],E444&amp;"",tbl_Finance[Xero Invoice No],"&lt;&gt;"))</f>
        <v/>
      </c>
      <c r="AA444" s="27">
        <f>IF(E444="","",Y444-Z444)</f>
        <v/>
      </c>
      <c r="AB444" s="25">
        <f>IF(E444="","",IF(H444="Onsite",IFERROR(INDEX(tbl_Onsite[Qwilr Quote],MATCH(E444&amp;"",tbl_Onsite[Job Number],0)),""),IF(H444="Production",IFERROR(INDEX(tbl_Production[Current RMS No],MATCH(E444&amp;"",tbl_Production[Job Number],0)),""),IF(H444="Consulting",IFERROR(INDEX(tbl_Consulting[Qwilr Quote],MATCH(E444&amp;"",tbl_Consulting[Job Number],0)),""),""))))</f>
        <v/>
      </c>
      <c r="AC444" s="25">
        <f>IF(AB444="","",IF(AND(LEFT(AB444,4)&lt;&gt;"http",IF(H444="Production",set_RMSBase,set_QwilrBase)=""),"",HYPERLINK(IF(LEFT(AB444,4)="http",AB444,IF(H444="Production",set_RMSBase,set_QwilrBase)&amp;AB444),"Open")))</f>
        <v/>
      </c>
      <c r="AD444" s="27">
        <f>IF(E444="","",IF(H444="Production",IFERROR(INDEX(tbl_Production[Total Expense],MATCH(E444&amp;"",tbl_Production[Job Number],0)),0),IF(H444="Consulting",IFERROR(INDEX(tbl_Consulting[Total Expense],MATCH(E444&amp;"",tbl_Consulting[Job Number],0)),0),0)))</f>
        <v/>
      </c>
      <c r="AE444" s="27">
        <f>IF(E444="","",Y444-N(AD444))</f>
        <v/>
      </c>
      <c r="AF444" s="29">
        <f>IFERROR(AE444/Y444,"")</f>
        <v/>
      </c>
      <c r="AG444" s="25">
        <f>IF(E444="","",IF(H444="Onsite",IFERROR(INDEX(tbl_Onsite[Notes],MATCH(E444&amp;"",tbl_Onsite[Job Number],0)),""),IF(H444="Production",IFERROR(INDEX(tbl_Production[Notes],MATCH(E444&amp;"",tbl_Production[Job Number],0)),""),IF(H444="Consulting",IFERROR(INDEX(tbl_Consulting[Notes],MATCH(E444&amp;"",tbl_Consulting[Job Number],0)),""),""))))</f>
        <v/>
      </c>
    </row>
    <row r="445" ht="15" customHeight="1">
      <c r="A445" s="22" t="n"/>
      <c r="B445" s="23">
        <f>IF(A445="","",EOMONTH(A445,0))</f>
        <v/>
      </c>
      <c r="C445" s="24" t="n"/>
      <c r="D445" s="24" t="n"/>
      <c r="E445" s="24" t="n"/>
      <c r="F445" s="25">
        <f>IF(E445="","",IF(COUNTIF(lst_Jobs,E445&amp;"")&gt;0,"OK","CHECK"))</f>
        <v/>
      </c>
      <c r="G445" s="24" t="n"/>
      <c r="H445" s="24" t="n"/>
      <c r="I445" s="24" t="n"/>
      <c r="J445" s="24" t="n"/>
      <c r="K445" s="24" t="n"/>
      <c r="L445" s="26" t="n"/>
      <c r="M445" s="27">
        <f>IF(L445="","",IF(K445="GST 10%",ROUND(L445*set_GSTRate,2),0))</f>
        <v/>
      </c>
      <c r="N445" s="27">
        <f>IF(L445="","",L445+M445)</f>
        <v/>
      </c>
      <c r="O445" s="24" t="n"/>
      <c r="P445" s="24" t="n"/>
      <c r="Q445" s="24" t="n"/>
      <c r="R445" s="22" t="n"/>
      <c r="S445" s="22" t="n"/>
      <c r="T445" s="24" t="n"/>
      <c r="U445" s="24" t="n"/>
      <c r="V445" s="25">
        <f>IF(COUNTA(A445,D445,C445,L445)=0,"",IF(A445="","No date - sits outside every month",IF(E445="","No job number",IF(F445="CHECK","Job number is not in the Xero job list",IF(I445="","No cost centre",IF(AND(P445="Y",C445=""),"Marked posted to Xero but has no invoice number",IF(AND(L445&lt;&gt;"",K445=""),"No tax code",IF(AND(L445&lt;&gt;"",O445=""),"No revenue GL code",""))))))))</f>
        <v/>
      </c>
      <c r="W445" s="25">
        <f>IF(E445="","",IFERROR(INDEX(lst_JobName,MATCH(E445&amp;"",lst_Jobs,0)),""))</f>
        <v/>
      </c>
      <c r="X445" s="28">
        <f>IF(E445="","",COUNTIFS(tbl_Finance[Job Number],E445&amp;"",tbl_Finance[Ex GST],"&lt;&gt;"))</f>
        <v/>
      </c>
      <c r="Y445" s="27">
        <f>IF(E445="","",SUMIFS(tbl_Finance[Ex GST],tbl_Finance[Job Number],E445&amp;""))</f>
        <v/>
      </c>
      <c r="Z445" s="27">
        <f>IF(E445="","",SUMIFS(tbl_Finance[Ex GST],tbl_Finance[Job Number],E445&amp;"",tbl_Finance[Xero Invoice No],"&lt;&gt;"))</f>
        <v/>
      </c>
      <c r="AA445" s="27">
        <f>IF(E445="","",Y445-Z445)</f>
        <v/>
      </c>
      <c r="AB445" s="25">
        <f>IF(E445="","",IF(H445="Onsite",IFERROR(INDEX(tbl_Onsite[Qwilr Quote],MATCH(E445&amp;"",tbl_Onsite[Job Number],0)),""),IF(H445="Production",IFERROR(INDEX(tbl_Production[Current RMS No],MATCH(E445&amp;"",tbl_Production[Job Number],0)),""),IF(H445="Consulting",IFERROR(INDEX(tbl_Consulting[Qwilr Quote],MATCH(E445&amp;"",tbl_Consulting[Job Number],0)),""),""))))</f>
        <v/>
      </c>
      <c r="AC445" s="25">
        <f>IF(AB445="","",IF(AND(LEFT(AB445,4)&lt;&gt;"http",IF(H445="Production",set_RMSBase,set_QwilrBase)=""),"",HYPERLINK(IF(LEFT(AB445,4)="http",AB445,IF(H445="Production",set_RMSBase,set_QwilrBase)&amp;AB445),"Open")))</f>
        <v/>
      </c>
      <c r="AD445" s="27">
        <f>IF(E445="","",IF(H445="Production",IFERROR(INDEX(tbl_Production[Total Expense],MATCH(E445&amp;"",tbl_Production[Job Number],0)),0),IF(H445="Consulting",IFERROR(INDEX(tbl_Consulting[Total Expense],MATCH(E445&amp;"",tbl_Consulting[Job Number],0)),0),0)))</f>
        <v/>
      </c>
      <c r="AE445" s="27">
        <f>IF(E445="","",Y445-N(AD445))</f>
        <v/>
      </c>
      <c r="AF445" s="29">
        <f>IFERROR(AE445/Y445,"")</f>
        <v/>
      </c>
      <c r="AG445" s="25">
        <f>IF(E445="","",IF(H445="Onsite",IFERROR(INDEX(tbl_Onsite[Notes],MATCH(E445&amp;"",tbl_Onsite[Job Number],0)),""),IF(H445="Production",IFERROR(INDEX(tbl_Production[Notes],MATCH(E445&amp;"",tbl_Production[Job Number],0)),""),IF(H445="Consulting",IFERROR(INDEX(tbl_Consulting[Notes],MATCH(E445&amp;"",tbl_Consulting[Job Number],0)),""),""))))</f>
        <v/>
      </c>
    </row>
    <row r="446" ht="15" customHeight="1">
      <c r="A446" s="22" t="n"/>
      <c r="B446" s="23">
        <f>IF(A446="","",EOMONTH(A446,0))</f>
        <v/>
      </c>
      <c r="C446" s="24" t="n"/>
      <c r="D446" s="24" t="n"/>
      <c r="E446" s="24" t="n"/>
      <c r="F446" s="25">
        <f>IF(E446="","",IF(COUNTIF(lst_Jobs,E446&amp;"")&gt;0,"OK","CHECK"))</f>
        <v/>
      </c>
      <c r="G446" s="24" t="n"/>
      <c r="H446" s="24" t="n"/>
      <c r="I446" s="24" t="n"/>
      <c r="J446" s="24" t="n"/>
      <c r="K446" s="24" t="n"/>
      <c r="L446" s="26" t="n"/>
      <c r="M446" s="27">
        <f>IF(L446="","",IF(K446="GST 10%",ROUND(L446*set_GSTRate,2),0))</f>
        <v/>
      </c>
      <c r="N446" s="27">
        <f>IF(L446="","",L446+M446)</f>
        <v/>
      </c>
      <c r="O446" s="24" t="n"/>
      <c r="P446" s="24" t="n"/>
      <c r="Q446" s="24" t="n"/>
      <c r="R446" s="22" t="n"/>
      <c r="S446" s="22" t="n"/>
      <c r="T446" s="24" t="n"/>
      <c r="U446" s="24" t="n"/>
      <c r="V446" s="25">
        <f>IF(COUNTA(A446,D446,C446,L446)=0,"",IF(A446="","No date - sits outside every month",IF(E446="","No job number",IF(F446="CHECK","Job number is not in the Xero job list",IF(I446="","No cost centre",IF(AND(P446="Y",C446=""),"Marked posted to Xero but has no invoice number",IF(AND(L446&lt;&gt;"",K446=""),"No tax code",IF(AND(L446&lt;&gt;"",O446=""),"No revenue GL code",""))))))))</f>
        <v/>
      </c>
      <c r="W446" s="25">
        <f>IF(E446="","",IFERROR(INDEX(lst_JobName,MATCH(E446&amp;"",lst_Jobs,0)),""))</f>
        <v/>
      </c>
      <c r="X446" s="28">
        <f>IF(E446="","",COUNTIFS(tbl_Finance[Job Number],E446&amp;"",tbl_Finance[Ex GST],"&lt;&gt;"))</f>
        <v/>
      </c>
      <c r="Y446" s="27">
        <f>IF(E446="","",SUMIFS(tbl_Finance[Ex GST],tbl_Finance[Job Number],E446&amp;""))</f>
        <v/>
      </c>
      <c r="Z446" s="27">
        <f>IF(E446="","",SUMIFS(tbl_Finance[Ex GST],tbl_Finance[Job Number],E446&amp;"",tbl_Finance[Xero Invoice No],"&lt;&gt;"))</f>
        <v/>
      </c>
      <c r="AA446" s="27">
        <f>IF(E446="","",Y446-Z446)</f>
        <v/>
      </c>
      <c r="AB446" s="25">
        <f>IF(E446="","",IF(H446="Onsite",IFERROR(INDEX(tbl_Onsite[Qwilr Quote],MATCH(E446&amp;"",tbl_Onsite[Job Number],0)),""),IF(H446="Production",IFERROR(INDEX(tbl_Production[Current RMS No],MATCH(E446&amp;"",tbl_Production[Job Number],0)),""),IF(H446="Consulting",IFERROR(INDEX(tbl_Consulting[Qwilr Quote],MATCH(E446&amp;"",tbl_Consulting[Job Number],0)),""),""))))</f>
        <v/>
      </c>
      <c r="AC446" s="25">
        <f>IF(AB446="","",IF(AND(LEFT(AB446,4)&lt;&gt;"http",IF(H446="Production",set_RMSBase,set_QwilrBase)=""),"",HYPERLINK(IF(LEFT(AB446,4)="http",AB446,IF(H446="Production",set_RMSBase,set_QwilrBase)&amp;AB446),"Open")))</f>
        <v/>
      </c>
      <c r="AD446" s="27">
        <f>IF(E446="","",IF(H446="Production",IFERROR(INDEX(tbl_Production[Total Expense],MATCH(E446&amp;"",tbl_Production[Job Number],0)),0),IF(H446="Consulting",IFERROR(INDEX(tbl_Consulting[Total Expense],MATCH(E446&amp;"",tbl_Consulting[Job Number],0)),0),0)))</f>
        <v/>
      </c>
      <c r="AE446" s="27">
        <f>IF(E446="","",Y446-N(AD446))</f>
        <v/>
      </c>
      <c r="AF446" s="29">
        <f>IFERROR(AE446/Y446,"")</f>
        <v/>
      </c>
      <c r="AG446" s="25">
        <f>IF(E446="","",IF(H446="Onsite",IFERROR(INDEX(tbl_Onsite[Notes],MATCH(E446&amp;"",tbl_Onsite[Job Number],0)),""),IF(H446="Production",IFERROR(INDEX(tbl_Production[Notes],MATCH(E446&amp;"",tbl_Production[Job Number],0)),""),IF(H446="Consulting",IFERROR(INDEX(tbl_Consulting[Notes],MATCH(E446&amp;"",tbl_Consulting[Job Number],0)),""),""))))</f>
        <v/>
      </c>
    </row>
    <row r="447" ht="15" customHeight="1">
      <c r="A447" s="22" t="n"/>
      <c r="B447" s="23">
        <f>IF(A447="","",EOMONTH(A447,0))</f>
        <v/>
      </c>
      <c r="C447" s="24" t="n"/>
      <c r="D447" s="24" t="n"/>
      <c r="E447" s="24" t="n"/>
      <c r="F447" s="25">
        <f>IF(E447="","",IF(COUNTIF(lst_Jobs,E447&amp;"")&gt;0,"OK","CHECK"))</f>
        <v/>
      </c>
      <c r="G447" s="24" t="n"/>
      <c r="H447" s="24" t="n"/>
      <c r="I447" s="24" t="n"/>
      <c r="J447" s="24" t="n"/>
      <c r="K447" s="24" t="n"/>
      <c r="L447" s="26" t="n"/>
      <c r="M447" s="27">
        <f>IF(L447="","",IF(K447="GST 10%",ROUND(L447*set_GSTRate,2),0))</f>
        <v/>
      </c>
      <c r="N447" s="27">
        <f>IF(L447="","",L447+M447)</f>
        <v/>
      </c>
      <c r="O447" s="24" t="n"/>
      <c r="P447" s="24" t="n"/>
      <c r="Q447" s="24" t="n"/>
      <c r="R447" s="22" t="n"/>
      <c r="S447" s="22" t="n"/>
      <c r="T447" s="24" t="n"/>
      <c r="U447" s="24" t="n"/>
      <c r="V447" s="25">
        <f>IF(COUNTA(A447,D447,C447,L447)=0,"",IF(A447="","No date - sits outside every month",IF(E447="","No job number",IF(F447="CHECK","Job number is not in the Xero job list",IF(I447="","No cost centre",IF(AND(P447="Y",C447=""),"Marked posted to Xero but has no invoice number",IF(AND(L447&lt;&gt;"",K447=""),"No tax code",IF(AND(L447&lt;&gt;"",O447=""),"No revenue GL code",""))))))))</f>
        <v/>
      </c>
      <c r="W447" s="25">
        <f>IF(E447="","",IFERROR(INDEX(lst_JobName,MATCH(E447&amp;"",lst_Jobs,0)),""))</f>
        <v/>
      </c>
      <c r="X447" s="28">
        <f>IF(E447="","",COUNTIFS(tbl_Finance[Job Number],E447&amp;"",tbl_Finance[Ex GST],"&lt;&gt;"))</f>
        <v/>
      </c>
      <c r="Y447" s="27">
        <f>IF(E447="","",SUMIFS(tbl_Finance[Ex GST],tbl_Finance[Job Number],E447&amp;""))</f>
        <v/>
      </c>
      <c r="Z447" s="27">
        <f>IF(E447="","",SUMIFS(tbl_Finance[Ex GST],tbl_Finance[Job Number],E447&amp;"",tbl_Finance[Xero Invoice No],"&lt;&gt;"))</f>
        <v/>
      </c>
      <c r="AA447" s="27">
        <f>IF(E447="","",Y447-Z447)</f>
        <v/>
      </c>
      <c r="AB447" s="25">
        <f>IF(E447="","",IF(H447="Onsite",IFERROR(INDEX(tbl_Onsite[Qwilr Quote],MATCH(E447&amp;"",tbl_Onsite[Job Number],0)),""),IF(H447="Production",IFERROR(INDEX(tbl_Production[Current RMS No],MATCH(E447&amp;"",tbl_Production[Job Number],0)),""),IF(H447="Consulting",IFERROR(INDEX(tbl_Consulting[Qwilr Quote],MATCH(E447&amp;"",tbl_Consulting[Job Number],0)),""),""))))</f>
        <v/>
      </c>
      <c r="AC447" s="25">
        <f>IF(AB447="","",IF(AND(LEFT(AB447,4)&lt;&gt;"http",IF(H447="Production",set_RMSBase,set_QwilrBase)=""),"",HYPERLINK(IF(LEFT(AB447,4)="http",AB447,IF(H447="Production",set_RMSBase,set_QwilrBase)&amp;AB447),"Open")))</f>
        <v/>
      </c>
      <c r="AD447" s="27">
        <f>IF(E447="","",IF(H447="Production",IFERROR(INDEX(tbl_Production[Total Expense],MATCH(E447&amp;"",tbl_Production[Job Number],0)),0),IF(H447="Consulting",IFERROR(INDEX(tbl_Consulting[Total Expense],MATCH(E447&amp;"",tbl_Consulting[Job Number],0)),0),0)))</f>
        <v/>
      </c>
      <c r="AE447" s="27">
        <f>IF(E447="","",Y447-N(AD447))</f>
        <v/>
      </c>
      <c r="AF447" s="29">
        <f>IFERROR(AE447/Y447,"")</f>
        <v/>
      </c>
      <c r="AG447" s="25">
        <f>IF(E447="","",IF(H447="Onsite",IFERROR(INDEX(tbl_Onsite[Notes],MATCH(E447&amp;"",tbl_Onsite[Job Number],0)),""),IF(H447="Production",IFERROR(INDEX(tbl_Production[Notes],MATCH(E447&amp;"",tbl_Production[Job Number],0)),""),IF(H447="Consulting",IFERROR(INDEX(tbl_Consulting[Notes],MATCH(E447&amp;"",tbl_Consulting[Job Number],0)),""),""))))</f>
        <v/>
      </c>
    </row>
    <row r="448" ht="15" customHeight="1">
      <c r="A448" s="22" t="n"/>
      <c r="B448" s="23">
        <f>IF(A448="","",EOMONTH(A448,0))</f>
        <v/>
      </c>
      <c r="C448" s="24" t="n"/>
      <c r="D448" s="24" t="n"/>
      <c r="E448" s="24" t="n"/>
      <c r="F448" s="25">
        <f>IF(E448="","",IF(COUNTIF(lst_Jobs,E448&amp;"")&gt;0,"OK","CHECK"))</f>
        <v/>
      </c>
      <c r="G448" s="24" t="n"/>
      <c r="H448" s="24" t="n"/>
      <c r="I448" s="24" t="n"/>
      <c r="J448" s="24" t="n"/>
      <c r="K448" s="24" t="n"/>
      <c r="L448" s="26" t="n"/>
      <c r="M448" s="27">
        <f>IF(L448="","",IF(K448="GST 10%",ROUND(L448*set_GSTRate,2),0))</f>
        <v/>
      </c>
      <c r="N448" s="27">
        <f>IF(L448="","",L448+M448)</f>
        <v/>
      </c>
      <c r="O448" s="24" t="n"/>
      <c r="P448" s="24" t="n"/>
      <c r="Q448" s="24" t="n"/>
      <c r="R448" s="22" t="n"/>
      <c r="S448" s="22" t="n"/>
      <c r="T448" s="24" t="n"/>
      <c r="U448" s="24" t="n"/>
      <c r="V448" s="25">
        <f>IF(COUNTA(A448,D448,C448,L448)=0,"",IF(A448="","No date - sits outside every month",IF(E448="","No job number",IF(F448="CHECK","Job number is not in the Xero job list",IF(I448="","No cost centre",IF(AND(P448="Y",C448=""),"Marked posted to Xero but has no invoice number",IF(AND(L448&lt;&gt;"",K448=""),"No tax code",IF(AND(L448&lt;&gt;"",O448=""),"No revenue GL code",""))))))))</f>
        <v/>
      </c>
      <c r="W448" s="25">
        <f>IF(E448="","",IFERROR(INDEX(lst_JobName,MATCH(E448&amp;"",lst_Jobs,0)),""))</f>
        <v/>
      </c>
      <c r="X448" s="28">
        <f>IF(E448="","",COUNTIFS(tbl_Finance[Job Number],E448&amp;"",tbl_Finance[Ex GST],"&lt;&gt;"))</f>
        <v/>
      </c>
      <c r="Y448" s="27">
        <f>IF(E448="","",SUMIFS(tbl_Finance[Ex GST],tbl_Finance[Job Number],E448&amp;""))</f>
        <v/>
      </c>
      <c r="Z448" s="27">
        <f>IF(E448="","",SUMIFS(tbl_Finance[Ex GST],tbl_Finance[Job Number],E448&amp;"",tbl_Finance[Xero Invoice No],"&lt;&gt;"))</f>
        <v/>
      </c>
      <c r="AA448" s="27">
        <f>IF(E448="","",Y448-Z448)</f>
        <v/>
      </c>
      <c r="AB448" s="25">
        <f>IF(E448="","",IF(H448="Onsite",IFERROR(INDEX(tbl_Onsite[Qwilr Quote],MATCH(E448&amp;"",tbl_Onsite[Job Number],0)),""),IF(H448="Production",IFERROR(INDEX(tbl_Production[Current RMS No],MATCH(E448&amp;"",tbl_Production[Job Number],0)),""),IF(H448="Consulting",IFERROR(INDEX(tbl_Consulting[Qwilr Quote],MATCH(E448&amp;"",tbl_Consulting[Job Number],0)),""),""))))</f>
        <v/>
      </c>
      <c r="AC448" s="25">
        <f>IF(AB448="","",IF(AND(LEFT(AB448,4)&lt;&gt;"http",IF(H448="Production",set_RMSBase,set_QwilrBase)=""),"",HYPERLINK(IF(LEFT(AB448,4)="http",AB448,IF(H448="Production",set_RMSBase,set_QwilrBase)&amp;AB448),"Open")))</f>
        <v/>
      </c>
      <c r="AD448" s="27">
        <f>IF(E448="","",IF(H448="Production",IFERROR(INDEX(tbl_Production[Total Expense],MATCH(E448&amp;"",tbl_Production[Job Number],0)),0),IF(H448="Consulting",IFERROR(INDEX(tbl_Consulting[Total Expense],MATCH(E448&amp;"",tbl_Consulting[Job Number],0)),0),0)))</f>
        <v/>
      </c>
      <c r="AE448" s="27">
        <f>IF(E448="","",Y448-N(AD448))</f>
        <v/>
      </c>
      <c r="AF448" s="29">
        <f>IFERROR(AE448/Y448,"")</f>
        <v/>
      </c>
      <c r="AG448" s="25">
        <f>IF(E448="","",IF(H448="Onsite",IFERROR(INDEX(tbl_Onsite[Notes],MATCH(E448&amp;"",tbl_Onsite[Job Number],0)),""),IF(H448="Production",IFERROR(INDEX(tbl_Production[Notes],MATCH(E448&amp;"",tbl_Production[Job Number],0)),""),IF(H448="Consulting",IFERROR(INDEX(tbl_Consulting[Notes],MATCH(E448&amp;"",tbl_Consulting[Job Number],0)),""),""))))</f>
        <v/>
      </c>
    </row>
    <row r="449" ht="15" customHeight="1">
      <c r="A449" s="22" t="n"/>
      <c r="B449" s="23">
        <f>IF(A449="","",EOMONTH(A449,0))</f>
        <v/>
      </c>
      <c r="C449" s="24" t="n"/>
      <c r="D449" s="24" t="n"/>
      <c r="E449" s="24" t="n"/>
      <c r="F449" s="25">
        <f>IF(E449="","",IF(COUNTIF(lst_Jobs,E449&amp;"")&gt;0,"OK","CHECK"))</f>
        <v/>
      </c>
      <c r="G449" s="24" t="n"/>
      <c r="H449" s="24" t="n"/>
      <c r="I449" s="24" t="n"/>
      <c r="J449" s="24" t="n"/>
      <c r="K449" s="24" t="n"/>
      <c r="L449" s="26" t="n"/>
      <c r="M449" s="27">
        <f>IF(L449="","",IF(K449="GST 10%",ROUND(L449*set_GSTRate,2),0))</f>
        <v/>
      </c>
      <c r="N449" s="27">
        <f>IF(L449="","",L449+M449)</f>
        <v/>
      </c>
      <c r="O449" s="24" t="n"/>
      <c r="P449" s="24" t="n"/>
      <c r="Q449" s="24" t="n"/>
      <c r="R449" s="22" t="n"/>
      <c r="S449" s="22" t="n"/>
      <c r="T449" s="24" t="n"/>
      <c r="U449" s="24" t="n"/>
      <c r="V449" s="25">
        <f>IF(COUNTA(A449,D449,C449,L449)=0,"",IF(A449="","No date - sits outside every month",IF(E449="","No job number",IF(F449="CHECK","Job number is not in the Xero job list",IF(I449="","No cost centre",IF(AND(P449="Y",C449=""),"Marked posted to Xero but has no invoice number",IF(AND(L449&lt;&gt;"",K449=""),"No tax code",IF(AND(L449&lt;&gt;"",O449=""),"No revenue GL code",""))))))))</f>
        <v/>
      </c>
      <c r="W449" s="25">
        <f>IF(E449="","",IFERROR(INDEX(lst_JobName,MATCH(E449&amp;"",lst_Jobs,0)),""))</f>
        <v/>
      </c>
      <c r="X449" s="28">
        <f>IF(E449="","",COUNTIFS(tbl_Finance[Job Number],E449&amp;"",tbl_Finance[Ex GST],"&lt;&gt;"))</f>
        <v/>
      </c>
      <c r="Y449" s="27">
        <f>IF(E449="","",SUMIFS(tbl_Finance[Ex GST],tbl_Finance[Job Number],E449&amp;""))</f>
        <v/>
      </c>
      <c r="Z449" s="27">
        <f>IF(E449="","",SUMIFS(tbl_Finance[Ex GST],tbl_Finance[Job Number],E449&amp;"",tbl_Finance[Xero Invoice No],"&lt;&gt;"))</f>
        <v/>
      </c>
      <c r="AA449" s="27">
        <f>IF(E449="","",Y449-Z449)</f>
        <v/>
      </c>
      <c r="AB449" s="25">
        <f>IF(E449="","",IF(H449="Onsite",IFERROR(INDEX(tbl_Onsite[Qwilr Quote],MATCH(E449&amp;"",tbl_Onsite[Job Number],0)),""),IF(H449="Production",IFERROR(INDEX(tbl_Production[Current RMS No],MATCH(E449&amp;"",tbl_Production[Job Number],0)),""),IF(H449="Consulting",IFERROR(INDEX(tbl_Consulting[Qwilr Quote],MATCH(E449&amp;"",tbl_Consulting[Job Number],0)),""),""))))</f>
        <v/>
      </c>
      <c r="AC449" s="25">
        <f>IF(AB449="","",IF(AND(LEFT(AB449,4)&lt;&gt;"http",IF(H449="Production",set_RMSBase,set_QwilrBase)=""),"",HYPERLINK(IF(LEFT(AB449,4)="http",AB449,IF(H449="Production",set_RMSBase,set_QwilrBase)&amp;AB449),"Open")))</f>
        <v/>
      </c>
      <c r="AD449" s="27">
        <f>IF(E449="","",IF(H449="Production",IFERROR(INDEX(tbl_Production[Total Expense],MATCH(E449&amp;"",tbl_Production[Job Number],0)),0),IF(H449="Consulting",IFERROR(INDEX(tbl_Consulting[Total Expense],MATCH(E449&amp;"",tbl_Consulting[Job Number],0)),0),0)))</f>
        <v/>
      </c>
      <c r="AE449" s="27">
        <f>IF(E449="","",Y449-N(AD449))</f>
        <v/>
      </c>
      <c r="AF449" s="29">
        <f>IFERROR(AE449/Y449,"")</f>
        <v/>
      </c>
      <c r="AG449" s="25">
        <f>IF(E449="","",IF(H449="Onsite",IFERROR(INDEX(tbl_Onsite[Notes],MATCH(E449&amp;"",tbl_Onsite[Job Number],0)),""),IF(H449="Production",IFERROR(INDEX(tbl_Production[Notes],MATCH(E449&amp;"",tbl_Production[Job Number],0)),""),IF(H449="Consulting",IFERROR(INDEX(tbl_Consulting[Notes],MATCH(E449&amp;"",tbl_Consulting[Job Number],0)),""),""))))</f>
        <v/>
      </c>
    </row>
    <row r="450" ht="15" customHeight="1">
      <c r="A450" s="22" t="n"/>
      <c r="B450" s="23">
        <f>IF(A450="","",EOMONTH(A450,0))</f>
        <v/>
      </c>
      <c r="C450" s="24" t="n"/>
      <c r="D450" s="24" t="n"/>
      <c r="E450" s="24" t="n"/>
      <c r="F450" s="25">
        <f>IF(E450="","",IF(COUNTIF(lst_Jobs,E450&amp;"")&gt;0,"OK","CHECK"))</f>
        <v/>
      </c>
      <c r="G450" s="24" t="n"/>
      <c r="H450" s="24" t="n"/>
      <c r="I450" s="24" t="n"/>
      <c r="J450" s="24" t="n"/>
      <c r="K450" s="24" t="n"/>
      <c r="L450" s="26" t="n"/>
      <c r="M450" s="27">
        <f>IF(L450="","",IF(K450="GST 10%",ROUND(L450*set_GSTRate,2),0))</f>
        <v/>
      </c>
      <c r="N450" s="27">
        <f>IF(L450="","",L450+M450)</f>
        <v/>
      </c>
      <c r="O450" s="24" t="n"/>
      <c r="P450" s="24" t="n"/>
      <c r="Q450" s="24" t="n"/>
      <c r="R450" s="22" t="n"/>
      <c r="S450" s="22" t="n"/>
      <c r="T450" s="24" t="n"/>
      <c r="U450" s="24" t="n"/>
      <c r="V450" s="25">
        <f>IF(COUNTA(A450,D450,C450,L450)=0,"",IF(A450="","No date - sits outside every month",IF(E450="","No job number",IF(F450="CHECK","Job number is not in the Xero job list",IF(I450="","No cost centre",IF(AND(P450="Y",C450=""),"Marked posted to Xero but has no invoice number",IF(AND(L450&lt;&gt;"",K450=""),"No tax code",IF(AND(L450&lt;&gt;"",O450=""),"No revenue GL code",""))))))))</f>
        <v/>
      </c>
      <c r="W450" s="25">
        <f>IF(E450="","",IFERROR(INDEX(lst_JobName,MATCH(E450&amp;"",lst_Jobs,0)),""))</f>
        <v/>
      </c>
      <c r="X450" s="28">
        <f>IF(E450="","",COUNTIFS(tbl_Finance[Job Number],E450&amp;"",tbl_Finance[Ex GST],"&lt;&gt;"))</f>
        <v/>
      </c>
      <c r="Y450" s="27">
        <f>IF(E450="","",SUMIFS(tbl_Finance[Ex GST],tbl_Finance[Job Number],E450&amp;""))</f>
        <v/>
      </c>
      <c r="Z450" s="27">
        <f>IF(E450="","",SUMIFS(tbl_Finance[Ex GST],tbl_Finance[Job Number],E450&amp;"",tbl_Finance[Xero Invoice No],"&lt;&gt;"))</f>
        <v/>
      </c>
      <c r="AA450" s="27">
        <f>IF(E450="","",Y450-Z450)</f>
        <v/>
      </c>
      <c r="AB450" s="25">
        <f>IF(E450="","",IF(H450="Onsite",IFERROR(INDEX(tbl_Onsite[Qwilr Quote],MATCH(E450&amp;"",tbl_Onsite[Job Number],0)),""),IF(H450="Production",IFERROR(INDEX(tbl_Production[Current RMS No],MATCH(E450&amp;"",tbl_Production[Job Number],0)),""),IF(H450="Consulting",IFERROR(INDEX(tbl_Consulting[Qwilr Quote],MATCH(E450&amp;"",tbl_Consulting[Job Number],0)),""),""))))</f>
        <v/>
      </c>
      <c r="AC450" s="25">
        <f>IF(AB450="","",IF(AND(LEFT(AB450,4)&lt;&gt;"http",IF(H450="Production",set_RMSBase,set_QwilrBase)=""),"",HYPERLINK(IF(LEFT(AB450,4)="http",AB450,IF(H450="Production",set_RMSBase,set_QwilrBase)&amp;AB450),"Open")))</f>
        <v/>
      </c>
      <c r="AD450" s="27">
        <f>IF(E450="","",IF(H450="Production",IFERROR(INDEX(tbl_Production[Total Expense],MATCH(E450&amp;"",tbl_Production[Job Number],0)),0),IF(H450="Consulting",IFERROR(INDEX(tbl_Consulting[Total Expense],MATCH(E450&amp;"",tbl_Consulting[Job Number],0)),0),0)))</f>
        <v/>
      </c>
      <c r="AE450" s="27">
        <f>IF(E450="","",Y450-N(AD450))</f>
        <v/>
      </c>
      <c r="AF450" s="29">
        <f>IFERROR(AE450/Y450,"")</f>
        <v/>
      </c>
      <c r="AG450" s="25">
        <f>IF(E450="","",IF(H450="Onsite",IFERROR(INDEX(tbl_Onsite[Notes],MATCH(E450&amp;"",tbl_Onsite[Job Number],0)),""),IF(H450="Production",IFERROR(INDEX(tbl_Production[Notes],MATCH(E450&amp;"",tbl_Production[Job Number],0)),""),IF(H450="Consulting",IFERROR(INDEX(tbl_Consulting[Notes],MATCH(E450&amp;"",tbl_Consulting[Job Number],0)),""),""))))</f>
        <v/>
      </c>
    </row>
    <row r="451" ht="15" customHeight="1">
      <c r="A451" s="22" t="n"/>
      <c r="B451" s="23">
        <f>IF(A451="","",EOMONTH(A451,0))</f>
        <v/>
      </c>
      <c r="C451" s="24" t="n"/>
      <c r="D451" s="24" t="n"/>
      <c r="E451" s="24" t="n"/>
      <c r="F451" s="25">
        <f>IF(E451="","",IF(COUNTIF(lst_Jobs,E451&amp;"")&gt;0,"OK","CHECK"))</f>
        <v/>
      </c>
      <c r="G451" s="24" t="n"/>
      <c r="H451" s="24" t="n"/>
      <c r="I451" s="24" t="n"/>
      <c r="J451" s="24" t="n"/>
      <c r="K451" s="24" t="n"/>
      <c r="L451" s="26" t="n"/>
      <c r="M451" s="27">
        <f>IF(L451="","",IF(K451="GST 10%",ROUND(L451*set_GSTRate,2),0))</f>
        <v/>
      </c>
      <c r="N451" s="27">
        <f>IF(L451="","",L451+M451)</f>
        <v/>
      </c>
      <c r="O451" s="24" t="n"/>
      <c r="P451" s="24" t="n"/>
      <c r="Q451" s="24" t="n"/>
      <c r="R451" s="22" t="n"/>
      <c r="S451" s="22" t="n"/>
      <c r="T451" s="24" t="n"/>
      <c r="U451" s="24" t="n"/>
      <c r="V451" s="25">
        <f>IF(COUNTA(A451,D451,C451,L451)=0,"",IF(A451="","No date - sits outside every month",IF(E451="","No job number",IF(F451="CHECK","Job number is not in the Xero job list",IF(I451="","No cost centre",IF(AND(P451="Y",C451=""),"Marked posted to Xero but has no invoice number",IF(AND(L451&lt;&gt;"",K451=""),"No tax code",IF(AND(L451&lt;&gt;"",O451=""),"No revenue GL code",""))))))))</f>
        <v/>
      </c>
      <c r="W451" s="25">
        <f>IF(E451="","",IFERROR(INDEX(lst_JobName,MATCH(E451&amp;"",lst_Jobs,0)),""))</f>
        <v/>
      </c>
      <c r="X451" s="28">
        <f>IF(E451="","",COUNTIFS(tbl_Finance[Job Number],E451&amp;"",tbl_Finance[Ex GST],"&lt;&gt;"))</f>
        <v/>
      </c>
      <c r="Y451" s="27">
        <f>IF(E451="","",SUMIFS(tbl_Finance[Ex GST],tbl_Finance[Job Number],E451&amp;""))</f>
        <v/>
      </c>
      <c r="Z451" s="27">
        <f>IF(E451="","",SUMIFS(tbl_Finance[Ex GST],tbl_Finance[Job Number],E451&amp;"",tbl_Finance[Xero Invoice No],"&lt;&gt;"))</f>
        <v/>
      </c>
      <c r="AA451" s="27">
        <f>IF(E451="","",Y451-Z451)</f>
        <v/>
      </c>
      <c r="AB451" s="25">
        <f>IF(E451="","",IF(H451="Onsite",IFERROR(INDEX(tbl_Onsite[Qwilr Quote],MATCH(E451&amp;"",tbl_Onsite[Job Number],0)),""),IF(H451="Production",IFERROR(INDEX(tbl_Production[Current RMS No],MATCH(E451&amp;"",tbl_Production[Job Number],0)),""),IF(H451="Consulting",IFERROR(INDEX(tbl_Consulting[Qwilr Quote],MATCH(E451&amp;"",tbl_Consulting[Job Number],0)),""),""))))</f>
        <v/>
      </c>
      <c r="AC451" s="25">
        <f>IF(AB451="","",IF(AND(LEFT(AB451,4)&lt;&gt;"http",IF(H451="Production",set_RMSBase,set_QwilrBase)=""),"",HYPERLINK(IF(LEFT(AB451,4)="http",AB451,IF(H451="Production",set_RMSBase,set_QwilrBase)&amp;AB451),"Open")))</f>
        <v/>
      </c>
      <c r="AD451" s="27">
        <f>IF(E451="","",IF(H451="Production",IFERROR(INDEX(tbl_Production[Total Expense],MATCH(E451&amp;"",tbl_Production[Job Number],0)),0),IF(H451="Consulting",IFERROR(INDEX(tbl_Consulting[Total Expense],MATCH(E451&amp;"",tbl_Consulting[Job Number],0)),0),0)))</f>
        <v/>
      </c>
      <c r="AE451" s="27">
        <f>IF(E451="","",Y451-N(AD451))</f>
        <v/>
      </c>
      <c r="AF451" s="29">
        <f>IFERROR(AE451/Y451,"")</f>
        <v/>
      </c>
      <c r="AG451" s="25">
        <f>IF(E451="","",IF(H451="Onsite",IFERROR(INDEX(tbl_Onsite[Notes],MATCH(E451&amp;"",tbl_Onsite[Job Number],0)),""),IF(H451="Production",IFERROR(INDEX(tbl_Production[Notes],MATCH(E451&amp;"",tbl_Production[Job Number],0)),""),IF(H451="Consulting",IFERROR(INDEX(tbl_Consulting[Notes],MATCH(E451&amp;"",tbl_Consulting[Job Number],0)),""),""))))</f>
        <v/>
      </c>
    </row>
    <row r="452" ht="15" customHeight="1">
      <c r="A452" s="22" t="n"/>
      <c r="B452" s="23">
        <f>IF(A452="","",EOMONTH(A452,0))</f>
        <v/>
      </c>
      <c r="C452" s="24" t="n"/>
      <c r="D452" s="24" t="n"/>
      <c r="E452" s="24" t="n"/>
      <c r="F452" s="25">
        <f>IF(E452="","",IF(COUNTIF(lst_Jobs,E452&amp;"")&gt;0,"OK","CHECK"))</f>
        <v/>
      </c>
      <c r="G452" s="24" t="n"/>
      <c r="H452" s="24" t="n"/>
      <c r="I452" s="24" t="n"/>
      <c r="J452" s="24" t="n"/>
      <c r="K452" s="24" t="n"/>
      <c r="L452" s="26" t="n"/>
      <c r="M452" s="27">
        <f>IF(L452="","",IF(K452="GST 10%",ROUND(L452*set_GSTRate,2),0))</f>
        <v/>
      </c>
      <c r="N452" s="27">
        <f>IF(L452="","",L452+M452)</f>
        <v/>
      </c>
      <c r="O452" s="24" t="n"/>
      <c r="P452" s="24" t="n"/>
      <c r="Q452" s="24" t="n"/>
      <c r="R452" s="22" t="n"/>
      <c r="S452" s="22" t="n"/>
      <c r="T452" s="24" t="n"/>
      <c r="U452" s="24" t="n"/>
      <c r="V452" s="25">
        <f>IF(COUNTA(A452,D452,C452,L452)=0,"",IF(A452="","No date - sits outside every month",IF(E452="","No job number",IF(F452="CHECK","Job number is not in the Xero job list",IF(I452="","No cost centre",IF(AND(P452="Y",C452=""),"Marked posted to Xero but has no invoice number",IF(AND(L452&lt;&gt;"",K452=""),"No tax code",IF(AND(L452&lt;&gt;"",O452=""),"No revenue GL code",""))))))))</f>
        <v/>
      </c>
      <c r="W452" s="25">
        <f>IF(E452="","",IFERROR(INDEX(lst_JobName,MATCH(E452&amp;"",lst_Jobs,0)),""))</f>
        <v/>
      </c>
      <c r="X452" s="28">
        <f>IF(E452="","",COUNTIFS(tbl_Finance[Job Number],E452&amp;"",tbl_Finance[Ex GST],"&lt;&gt;"))</f>
        <v/>
      </c>
      <c r="Y452" s="27">
        <f>IF(E452="","",SUMIFS(tbl_Finance[Ex GST],tbl_Finance[Job Number],E452&amp;""))</f>
        <v/>
      </c>
      <c r="Z452" s="27">
        <f>IF(E452="","",SUMIFS(tbl_Finance[Ex GST],tbl_Finance[Job Number],E452&amp;"",tbl_Finance[Xero Invoice No],"&lt;&gt;"))</f>
        <v/>
      </c>
      <c r="AA452" s="27">
        <f>IF(E452="","",Y452-Z452)</f>
        <v/>
      </c>
      <c r="AB452" s="25">
        <f>IF(E452="","",IF(H452="Onsite",IFERROR(INDEX(tbl_Onsite[Qwilr Quote],MATCH(E452&amp;"",tbl_Onsite[Job Number],0)),""),IF(H452="Production",IFERROR(INDEX(tbl_Production[Current RMS No],MATCH(E452&amp;"",tbl_Production[Job Number],0)),""),IF(H452="Consulting",IFERROR(INDEX(tbl_Consulting[Qwilr Quote],MATCH(E452&amp;"",tbl_Consulting[Job Number],0)),""),""))))</f>
        <v/>
      </c>
      <c r="AC452" s="25">
        <f>IF(AB452="","",IF(AND(LEFT(AB452,4)&lt;&gt;"http",IF(H452="Production",set_RMSBase,set_QwilrBase)=""),"",HYPERLINK(IF(LEFT(AB452,4)="http",AB452,IF(H452="Production",set_RMSBase,set_QwilrBase)&amp;AB452),"Open")))</f>
        <v/>
      </c>
      <c r="AD452" s="27">
        <f>IF(E452="","",IF(H452="Production",IFERROR(INDEX(tbl_Production[Total Expense],MATCH(E452&amp;"",tbl_Production[Job Number],0)),0),IF(H452="Consulting",IFERROR(INDEX(tbl_Consulting[Total Expense],MATCH(E452&amp;"",tbl_Consulting[Job Number],0)),0),0)))</f>
        <v/>
      </c>
      <c r="AE452" s="27">
        <f>IF(E452="","",Y452-N(AD452))</f>
        <v/>
      </c>
      <c r="AF452" s="29">
        <f>IFERROR(AE452/Y452,"")</f>
        <v/>
      </c>
      <c r="AG452" s="25">
        <f>IF(E452="","",IF(H452="Onsite",IFERROR(INDEX(tbl_Onsite[Notes],MATCH(E452&amp;"",tbl_Onsite[Job Number],0)),""),IF(H452="Production",IFERROR(INDEX(tbl_Production[Notes],MATCH(E452&amp;"",tbl_Production[Job Number],0)),""),IF(H452="Consulting",IFERROR(INDEX(tbl_Consulting[Notes],MATCH(E452&amp;"",tbl_Consulting[Job Number],0)),""),""))))</f>
        <v/>
      </c>
    </row>
    <row r="453" ht="15" customHeight="1">
      <c r="A453" s="22" t="n"/>
      <c r="B453" s="23">
        <f>IF(A453="","",EOMONTH(A453,0))</f>
        <v/>
      </c>
      <c r="C453" s="24" t="n"/>
      <c r="D453" s="24" t="n"/>
      <c r="E453" s="24" t="n"/>
      <c r="F453" s="25">
        <f>IF(E453="","",IF(COUNTIF(lst_Jobs,E453&amp;"")&gt;0,"OK","CHECK"))</f>
        <v/>
      </c>
      <c r="G453" s="24" t="n"/>
      <c r="H453" s="24" t="n"/>
      <c r="I453" s="24" t="n"/>
      <c r="J453" s="24" t="n"/>
      <c r="K453" s="24" t="n"/>
      <c r="L453" s="26" t="n"/>
      <c r="M453" s="27">
        <f>IF(L453="","",IF(K453="GST 10%",ROUND(L453*set_GSTRate,2),0))</f>
        <v/>
      </c>
      <c r="N453" s="27">
        <f>IF(L453="","",L453+M453)</f>
        <v/>
      </c>
      <c r="O453" s="24" t="n"/>
      <c r="P453" s="24" t="n"/>
      <c r="Q453" s="24" t="n"/>
      <c r="R453" s="22" t="n"/>
      <c r="S453" s="22" t="n"/>
      <c r="T453" s="24" t="n"/>
      <c r="U453" s="24" t="n"/>
      <c r="V453" s="25">
        <f>IF(COUNTA(A453,D453,C453,L453)=0,"",IF(A453="","No date - sits outside every month",IF(E453="","No job number",IF(F453="CHECK","Job number is not in the Xero job list",IF(I453="","No cost centre",IF(AND(P453="Y",C453=""),"Marked posted to Xero but has no invoice number",IF(AND(L453&lt;&gt;"",K453=""),"No tax code",IF(AND(L453&lt;&gt;"",O453=""),"No revenue GL code",""))))))))</f>
        <v/>
      </c>
      <c r="W453" s="25">
        <f>IF(E453="","",IFERROR(INDEX(lst_JobName,MATCH(E453&amp;"",lst_Jobs,0)),""))</f>
        <v/>
      </c>
      <c r="X453" s="28">
        <f>IF(E453="","",COUNTIFS(tbl_Finance[Job Number],E453&amp;"",tbl_Finance[Ex GST],"&lt;&gt;"))</f>
        <v/>
      </c>
      <c r="Y453" s="27">
        <f>IF(E453="","",SUMIFS(tbl_Finance[Ex GST],tbl_Finance[Job Number],E453&amp;""))</f>
        <v/>
      </c>
      <c r="Z453" s="27">
        <f>IF(E453="","",SUMIFS(tbl_Finance[Ex GST],tbl_Finance[Job Number],E453&amp;"",tbl_Finance[Xero Invoice No],"&lt;&gt;"))</f>
        <v/>
      </c>
      <c r="AA453" s="27">
        <f>IF(E453="","",Y453-Z453)</f>
        <v/>
      </c>
      <c r="AB453" s="25">
        <f>IF(E453="","",IF(H453="Onsite",IFERROR(INDEX(tbl_Onsite[Qwilr Quote],MATCH(E453&amp;"",tbl_Onsite[Job Number],0)),""),IF(H453="Production",IFERROR(INDEX(tbl_Production[Current RMS No],MATCH(E453&amp;"",tbl_Production[Job Number],0)),""),IF(H453="Consulting",IFERROR(INDEX(tbl_Consulting[Qwilr Quote],MATCH(E453&amp;"",tbl_Consulting[Job Number],0)),""),""))))</f>
        <v/>
      </c>
      <c r="AC453" s="25">
        <f>IF(AB453="","",IF(AND(LEFT(AB453,4)&lt;&gt;"http",IF(H453="Production",set_RMSBase,set_QwilrBase)=""),"",HYPERLINK(IF(LEFT(AB453,4)="http",AB453,IF(H453="Production",set_RMSBase,set_QwilrBase)&amp;AB453),"Open")))</f>
        <v/>
      </c>
      <c r="AD453" s="27">
        <f>IF(E453="","",IF(H453="Production",IFERROR(INDEX(tbl_Production[Total Expense],MATCH(E453&amp;"",tbl_Production[Job Number],0)),0),IF(H453="Consulting",IFERROR(INDEX(tbl_Consulting[Total Expense],MATCH(E453&amp;"",tbl_Consulting[Job Number],0)),0),0)))</f>
        <v/>
      </c>
      <c r="AE453" s="27">
        <f>IF(E453="","",Y453-N(AD453))</f>
        <v/>
      </c>
      <c r="AF453" s="29">
        <f>IFERROR(AE453/Y453,"")</f>
        <v/>
      </c>
      <c r="AG453" s="25">
        <f>IF(E453="","",IF(H453="Onsite",IFERROR(INDEX(tbl_Onsite[Notes],MATCH(E453&amp;"",tbl_Onsite[Job Number],0)),""),IF(H453="Production",IFERROR(INDEX(tbl_Production[Notes],MATCH(E453&amp;"",tbl_Production[Job Number],0)),""),IF(H453="Consulting",IFERROR(INDEX(tbl_Consulting[Notes],MATCH(E453&amp;"",tbl_Consulting[Job Number],0)),""),""))))</f>
        <v/>
      </c>
    </row>
    <row r="454" ht="15" customHeight="1">
      <c r="A454" s="22" t="n"/>
      <c r="B454" s="23">
        <f>IF(A454="","",EOMONTH(A454,0))</f>
        <v/>
      </c>
      <c r="C454" s="24" t="n"/>
      <c r="D454" s="24" t="n"/>
      <c r="E454" s="24" t="n"/>
      <c r="F454" s="25">
        <f>IF(E454="","",IF(COUNTIF(lst_Jobs,E454&amp;"")&gt;0,"OK","CHECK"))</f>
        <v/>
      </c>
      <c r="G454" s="24" t="n"/>
      <c r="H454" s="24" t="n"/>
      <c r="I454" s="24" t="n"/>
      <c r="J454" s="24" t="n"/>
      <c r="K454" s="24" t="n"/>
      <c r="L454" s="26" t="n"/>
      <c r="M454" s="27">
        <f>IF(L454="","",IF(K454="GST 10%",ROUND(L454*set_GSTRate,2),0))</f>
        <v/>
      </c>
      <c r="N454" s="27">
        <f>IF(L454="","",L454+M454)</f>
        <v/>
      </c>
      <c r="O454" s="24" t="n"/>
      <c r="P454" s="24" t="n"/>
      <c r="Q454" s="24" t="n"/>
      <c r="R454" s="22" t="n"/>
      <c r="S454" s="22" t="n"/>
      <c r="T454" s="24" t="n"/>
      <c r="U454" s="24" t="n"/>
      <c r="V454" s="25">
        <f>IF(COUNTA(A454,D454,C454,L454)=0,"",IF(A454="","No date - sits outside every month",IF(E454="","No job number",IF(F454="CHECK","Job number is not in the Xero job list",IF(I454="","No cost centre",IF(AND(P454="Y",C454=""),"Marked posted to Xero but has no invoice number",IF(AND(L454&lt;&gt;"",K454=""),"No tax code",IF(AND(L454&lt;&gt;"",O454=""),"No revenue GL code",""))))))))</f>
        <v/>
      </c>
      <c r="W454" s="25">
        <f>IF(E454="","",IFERROR(INDEX(lst_JobName,MATCH(E454&amp;"",lst_Jobs,0)),""))</f>
        <v/>
      </c>
      <c r="X454" s="28">
        <f>IF(E454="","",COUNTIFS(tbl_Finance[Job Number],E454&amp;"",tbl_Finance[Ex GST],"&lt;&gt;"))</f>
        <v/>
      </c>
      <c r="Y454" s="27">
        <f>IF(E454="","",SUMIFS(tbl_Finance[Ex GST],tbl_Finance[Job Number],E454&amp;""))</f>
        <v/>
      </c>
      <c r="Z454" s="27">
        <f>IF(E454="","",SUMIFS(tbl_Finance[Ex GST],tbl_Finance[Job Number],E454&amp;"",tbl_Finance[Xero Invoice No],"&lt;&gt;"))</f>
        <v/>
      </c>
      <c r="AA454" s="27">
        <f>IF(E454="","",Y454-Z454)</f>
        <v/>
      </c>
      <c r="AB454" s="25">
        <f>IF(E454="","",IF(H454="Onsite",IFERROR(INDEX(tbl_Onsite[Qwilr Quote],MATCH(E454&amp;"",tbl_Onsite[Job Number],0)),""),IF(H454="Production",IFERROR(INDEX(tbl_Production[Current RMS No],MATCH(E454&amp;"",tbl_Production[Job Number],0)),""),IF(H454="Consulting",IFERROR(INDEX(tbl_Consulting[Qwilr Quote],MATCH(E454&amp;"",tbl_Consulting[Job Number],0)),""),""))))</f>
        <v/>
      </c>
      <c r="AC454" s="25">
        <f>IF(AB454="","",IF(AND(LEFT(AB454,4)&lt;&gt;"http",IF(H454="Production",set_RMSBase,set_QwilrBase)=""),"",HYPERLINK(IF(LEFT(AB454,4)="http",AB454,IF(H454="Production",set_RMSBase,set_QwilrBase)&amp;AB454),"Open")))</f>
        <v/>
      </c>
      <c r="AD454" s="27">
        <f>IF(E454="","",IF(H454="Production",IFERROR(INDEX(tbl_Production[Total Expense],MATCH(E454&amp;"",tbl_Production[Job Number],0)),0),IF(H454="Consulting",IFERROR(INDEX(tbl_Consulting[Total Expense],MATCH(E454&amp;"",tbl_Consulting[Job Number],0)),0),0)))</f>
        <v/>
      </c>
      <c r="AE454" s="27">
        <f>IF(E454="","",Y454-N(AD454))</f>
        <v/>
      </c>
      <c r="AF454" s="29">
        <f>IFERROR(AE454/Y454,"")</f>
        <v/>
      </c>
      <c r="AG454" s="25">
        <f>IF(E454="","",IF(H454="Onsite",IFERROR(INDEX(tbl_Onsite[Notes],MATCH(E454&amp;"",tbl_Onsite[Job Number],0)),""),IF(H454="Production",IFERROR(INDEX(tbl_Production[Notes],MATCH(E454&amp;"",tbl_Production[Job Number],0)),""),IF(H454="Consulting",IFERROR(INDEX(tbl_Consulting[Notes],MATCH(E454&amp;"",tbl_Consulting[Job Number],0)),""),""))))</f>
        <v/>
      </c>
    </row>
    <row r="455" ht="15" customHeight="1">
      <c r="A455" s="22" t="n"/>
      <c r="B455" s="23">
        <f>IF(A455="","",EOMONTH(A455,0))</f>
        <v/>
      </c>
      <c r="C455" s="24" t="n"/>
      <c r="D455" s="24" t="n"/>
      <c r="E455" s="24" t="n"/>
      <c r="F455" s="25">
        <f>IF(E455="","",IF(COUNTIF(lst_Jobs,E455&amp;"")&gt;0,"OK","CHECK"))</f>
        <v/>
      </c>
      <c r="G455" s="24" t="n"/>
      <c r="H455" s="24" t="n"/>
      <c r="I455" s="24" t="n"/>
      <c r="J455" s="24" t="n"/>
      <c r="K455" s="24" t="n"/>
      <c r="L455" s="26" t="n"/>
      <c r="M455" s="27">
        <f>IF(L455="","",IF(K455="GST 10%",ROUND(L455*set_GSTRate,2),0))</f>
        <v/>
      </c>
      <c r="N455" s="27">
        <f>IF(L455="","",L455+M455)</f>
        <v/>
      </c>
      <c r="O455" s="24" t="n"/>
      <c r="P455" s="24" t="n"/>
      <c r="Q455" s="24" t="n"/>
      <c r="R455" s="22" t="n"/>
      <c r="S455" s="22" t="n"/>
      <c r="T455" s="24" t="n"/>
      <c r="U455" s="24" t="n"/>
      <c r="V455" s="25">
        <f>IF(COUNTA(A455,D455,C455,L455)=0,"",IF(A455="","No date - sits outside every month",IF(E455="","No job number",IF(F455="CHECK","Job number is not in the Xero job list",IF(I455="","No cost centre",IF(AND(P455="Y",C455=""),"Marked posted to Xero but has no invoice number",IF(AND(L455&lt;&gt;"",K455=""),"No tax code",IF(AND(L455&lt;&gt;"",O455=""),"No revenue GL code",""))))))))</f>
        <v/>
      </c>
      <c r="W455" s="25">
        <f>IF(E455="","",IFERROR(INDEX(lst_JobName,MATCH(E455&amp;"",lst_Jobs,0)),""))</f>
        <v/>
      </c>
      <c r="X455" s="28">
        <f>IF(E455="","",COUNTIFS(tbl_Finance[Job Number],E455&amp;"",tbl_Finance[Ex GST],"&lt;&gt;"))</f>
        <v/>
      </c>
      <c r="Y455" s="27">
        <f>IF(E455="","",SUMIFS(tbl_Finance[Ex GST],tbl_Finance[Job Number],E455&amp;""))</f>
        <v/>
      </c>
      <c r="Z455" s="27">
        <f>IF(E455="","",SUMIFS(tbl_Finance[Ex GST],tbl_Finance[Job Number],E455&amp;"",tbl_Finance[Xero Invoice No],"&lt;&gt;"))</f>
        <v/>
      </c>
      <c r="AA455" s="27">
        <f>IF(E455="","",Y455-Z455)</f>
        <v/>
      </c>
      <c r="AB455" s="25">
        <f>IF(E455="","",IF(H455="Onsite",IFERROR(INDEX(tbl_Onsite[Qwilr Quote],MATCH(E455&amp;"",tbl_Onsite[Job Number],0)),""),IF(H455="Production",IFERROR(INDEX(tbl_Production[Current RMS No],MATCH(E455&amp;"",tbl_Production[Job Number],0)),""),IF(H455="Consulting",IFERROR(INDEX(tbl_Consulting[Qwilr Quote],MATCH(E455&amp;"",tbl_Consulting[Job Number],0)),""),""))))</f>
        <v/>
      </c>
      <c r="AC455" s="25">
        <f>IF(AB455="","",IF(AND(LEFT(AB455,4)&lt;&gt;"http",IF(H455="Production",set_RMSBase,set_QwilrBase)=""),"",HYPERLINK(IF(LEFT(AB455,4)="http",AB455,IF(H455="Production",set_RMSBase,set_QwilrBase)&amp;AB455),"Open")))</f>
        <v/>
      </c>
      <c r="AD455" s="27">
        <f>IF(E455="","",IF(H455="Production",IFERROR(INDEX(tbl_Production[Total Expense],MATCH(E455&amp;"",tbl_Production[Job Number],0)),0),IF(H455="Consulting",IFERROR(INDEX(tbl_Consulting[Total Expense],MATCH(E455&amp;"",tbl_Consulting[Job Number],0)),0),0)))</f>
        <v/>
      </c>
      <c r="AE455" s="27">
        <f>IF(E455="","",Y455-N(AD455))</f>
        <v/>
      </c>
      <c r="AF455" s="29">
        <f>IFERROR(AE455/Y455,"")</f>
        <v/>
      </c>
      <c r="AG455" s="25">
        <f>IF(E455="","",IF(H455="Onsite",IFERROR(INDEX(tbl_Onsite[Notes],MATCH(E455&amp;"",tbl_Onsite[Job Number],0)),""),IF(H455="Production",IFERROR(INDEX(tbl_Production[Notes],MATCH(E455&amp;"",tbl_Production[Job Number],0)),""),IF(H455="Consulting",IFERROR(INDEX(tbl_Consulting[Notes],MATCH(E455&amp;"",tbl_Consulting[Job Number],0)),""),""))))</f>
        <v/>
      </c>
    </row>
    <row r="456" ht="15" customHeight="1">
      <c r="A456" s="22" t="n"/>
      <c r="B456" s="23">
        <f>IF(A456="","",EOMONTH(A456,0))</f>
        <v/>
      </c>
      <c r="C456" s="24" t="n"/>
      <c r="D456" s="24" t="n"/>
      <c r="E456" s="24" t="n"/>
      <c r="F456" s="25">
        <f>IF(E456="","",IF(COUNTIF(lst_Jobs,E456&amp;"")&gt;0,"OK","CHECK"))</f>
        <v/>
      </c>
      <c r="G456" s="24" t="n"/>
      <c r="H456" s="24" t="n"/>
      <c r="I456" s="24" t="n"/>
      <c r="J456" s="24" t="n"/>
      <c r="K456" s="24" t="n"/>
      <c r="L456" s="26" t="n"/>
      <c r="M456" s="27">
        <f>IF(L456="","",IF(K456="GST 10%",ROUND(L456*set_GSTRate,2),0))</f>
        <v/>
      </c>
      <c r="N456" s="27">
        <f>IF(L456="","",L456+M456)</f>
        <v/>
      </c>
      <c r="O456" s="24" t="n"/>
      <c r="P456" s="24" t="n"/>
      <c r="Q456" s="24" t="n"/>
      <c r="R456" s="22" t="n"/>
      <c r="S456" s="22" t="n"/>
      <c r="T456" s="24" t="n"/>
      <c r="U456" s="24" t="n"/>
      <c r="V456" s="25">
        <f>IF(COUNTA(A456,D456,C456,L456)=0,"",IF(A456="","No date - sits outside every month",IF(E456="","No job number",IF(F456="CHECK","Job number is not in the Xero job list",IF(I456="","No cost centre",IF(AND(P456="Y",C456=""),"Marked posted to Xero but has no invoice number",IF(AND(L456&lt;&gt;"",K456=""),"No tax code",IF(AND(L456&lt;&gt;"",O456=""),"No revenue GL code",""))))))))</f>
        <v/>
      </c>
      <c r="W456" s="25">
        <f>IF(E456="","",IFERROR(INDEX(lst_JobName,MATCH(E456&amp;"",lst_Jobs,0)),""))</f>
        <v/>
      </c>
      <c r="X456" s="28">
        <f>IF(E456="","",COUNTIFS(tbl_Finance[Job Number],E456&amp;"",tbl_Finance[Ex GST],"&lt;&gt;"))</f>
        <v/>
      </c>
      <c r="Y456" s="27">
        <f>IF(E456="","",SUMIFS(tbl_Finance[Ex GST],tbl_Finance[Job Number],E456&amp;""))</f>
        <v/>
      </c>
      <c r="Z456" s="27">
        <f>IF(E456="","",SUMIFS(tbl_Finance[Ex GST],tbl_Finance[Job Number],E456&amp;"",tbl_Finance[Xero Invoice No],"&lt;&gt;"))</f>
        <v/>
      </c>
      <c r="AA456" s="27">
        <f>IF(E456="","",Y456-Z456)</f>
        <v/>
      </c>
      <c r="AB456" s="25">
        <f>IF(E456="","",IF(H456="Onsite",IFERROR(INDEX(tbl_Onsite[Qwilr Quote],MATCH(E456&amp;"",tbl_Onsite[Job Number],0)),""),IF(H456="Production",IFERROR(INDEX(tbl_Production[Current RMS No],MATCH(E456&amp;"",tbl_Production[Job Number],0)),""),IF(H456="Consulting",IFERROR(INDEX(tbl_Consulting[Qwilr Quote],MATCH(E456&amp;"",tbl_Consulting[Job Number],0)),""),""))))</f>
        <v/>
      </c>
      <c r="AC456" s="25">
        <f>IF(AB456="","",IF(AND(LEFT(AB456,4)&lt;&gt;"http",IF(H456="Production",set_RMSBase,set_QwilrBase)=""),"",HYPERLINK(IF(LEFT(AB456,4)="http",AB456,IF(H456="Production",set_RMSBase,set_QwilrBase)&amp;AB456),"Open")))</f>
        <v/>
      </c>
      <c r="AD456" s="27">
        <f>IF(E456="","",IF(H456="Production",IFERROR(INDEX(tbl_Production[Total Expense],MATCH(E456&amp;"",tbl_Production[Job Number],0)),0),IF(H456="Consulting",IFERROR(INDEX(tbl_Consulting[Total Expense],MATCH(E456&amp;"",tbl_Consulting[Job Number],0)),0),0)))</f>
        <v/>
      </c>
      <c r="AE456" s="27">
        <f>IF(E456="","",Y456-N(AD456))</f>
        <v/>
      </c>
      <c r="AF456" s="29">
        <f>IFERROR(AE456/Y456,"")</f>
        <v/>
      </c>
      <c r="AG456" s="25">
        <f>IF(E456="","",IF(H456="Onsite",IFERROR(INDEX(tbl_Onsite[Notes],MATCH(E456&amp;"",tbl_Onsite[Job Number],0)),""),IF(H456="Production",IFERROR(INDEX(tbl_Production[Notes],MATCH(E456&amp;"",tbl_Production[Job Number],0)),""),IF(H456="Consulting",IFERROR(INDEX(tbl_Consulting[Notes],MATCH(E456&amp;"",tbl_Consulting[Job Number],0)),""),""))))</f>
        <v/>
      </c>
    </row>
    <row r="457" ht="15" customHeight="1">
      <c r="A457" s="22" t="n"/>
      <c r="B457" s="23">
        <f>IF(A457="","",EOMONTH(A457,0))</f>
        <v/>
      </c>
      <c r="C457" s="24" t="n"/>
      <c r="D457" s="24" t="n"/>
      <c r="E457" s="24" t="n"/>
      <c r="F457" s="25">
        <f>IF(E457="","",IF(COUNTIF(lst_Jobs,E457&amp;"")&gt;0,"OK","CHECK"))</f>
        <v/>
      </c>
      <c r="G457" s="24" t="n"/>
      <c r="H457" s="24" t="n"/>
      <c r="I457" s="24" t="n"/>
      <c r="J457" s="24" t="n"/>
      <c r="K457" s="24" t="n"/>
      <c r="L457" s="26" t="n"/>
      <c r="M457" s="27">
        <f>IF(L457="","",IF(K457="GST 10%",ROUND(L457*set_GSTRate,2),0))</f>
        <v/>
      </c>
      <c r="N457" s="27">
        <f>IF(L457="","",L457+M457)</f>
        <v/>
      </c>
      <c r="O457" s="24" t="n"/>
      <c r="P457" s="24" t="n"/>
      <c r="Q457" s="24" t="n"/>
      <c r="R457" s="22" t="n"/>
      <c r="S457" s="22" t="n"/>
      <c r="T457" s="24" t="n"/>
      <c r="U457" s="24" t="n"/>
      <c r="V457" s="25">
        <f>IF(COUNTA(A457,D457,C457,L457)=0,"",IF(A457="","No date - sits outside every month",IF(E457="","No job number",IF(F457="CHECK","Job number is not in the Xero job list",IF(I457="","No cost centre",IF(AND(P457="Y",C457=""),"Marked posted to Xero but has no invoice number",IF(AND(L457&lt;&gt;"",K457=""),"No tax code",IF(AND(L457&lt;&gt;"",O457=""),"No revenue GL code",""))))))))</f>
        <v/>
      </c>
      <c r="W457" s="25">
        <f>IF(E457="","",IFERROR(INDEX(lst_JobName,MATCH(E457&amp;"",lst_Jobs,0)),""))</f>
        <v/>
      </c>
      <c r="X457" s="28">
        <f>IF(E457="","",COUNTIFS(tbl_Finance[Job Number],E457&amp;"",tbl_Finance[Ex GST],"&lt;&gt;"))</f>
        <v/>
      </c>
      <c r="Y457" s="27">
        <f>IF(E457="","",SUMIFS(tbl_Finance[Ex GST],tbl_Finance[Job Number],E457&amp;""))</f>
        <v/>
      </c>
      <c r="Z457" s="27">
        <f>IF(E457="","",SUMIFS(tbl_Finance[Ex GST],tbl_Finance[Job Number],E457&amp;"",tbl_Finance[Xero Invoice No],"&lt;&gt;"))</f>
        <v/>
      </c>
      <c r="AA457" s="27">
        <f>IF(E457="","",Y457-Z457)</f>
        <v/>
      </c>
      <c r="AB457" s="25">
        <f>IF(E457="","",IF(H457="Onsite",IFERROR(INDEX(tbl_Onsite[Qwilr Quote],MATCH(E457&amp;"",tbl_Onsite[Job Number],0)),""),IF(H457="Production",IFERROR(INDEX(tbl_Production[Current RMS No],MATCH(E457&amp;"",tbl_Production[Job Number],0)),""),IF(H457="Consulting",IFERROR(INDEX(tbl_Consulting[Qwilr Quote],MATCH(E457&amp;"",tbl_Consulting[Job Number],0)),""),""))))</f>
        <v/>
      </c>
      <c r="AC457" s="25">
        <f>IF(AB457="","",IF(AND(LEFT(AB457,4)&lt;&gt;"http",IF(H457="Production",set_RMSBase,set_QwilrBase)=""),"",HYPERLINK(IF(LEFT(AB457,4)="http",AB457,IF(H457="Production",set_RMSBase,set_QwilrBase)&amp;AB457),"Open")))</f>
        <v/>
      </c>
      <c r="AD457" s="27">
        <f>IF(E457="","",IF(H457="Production",IFERROR(INDEX(tbl_Production[Total Expense],MATCH(E457&amp;"",tbl_Production[Job Number],0)),0),IF(H457="Consulting",IFERROR(INDEX(tbl_Consulting[Total Expense],MATCH(E457&amp;"",tbl_Consulting[Job Number],0)),0),0)))</f>
        <v/>
      </c>
      <c r="AE457" s="27">
        <f>IF(E457="","",Y457-N(AD457))</f>
        <v/>
      </c>
      <c r="AF457" s="29">
        <f>IFERROR(AE457/Y457,"")</f>
        <v/>
      </c>
      <c r="AG457" s="25">
        <f>IF(E457="","",IF(H457="Onsite",IFERROR(INDEX(tbl_Onsite[Notes],MATCH(E457&amp;"",tbl_Onsite[Job Number],0)),""),IF(H457="Production",IFERROR(INDEX(tbl_Production[Notes],MATCH(E457&amp;"",tbl_Production[Job Number],0)),""),IF(H457="Consulting",IFERROR(INDEX(tbl_Consulting[Notes],MATCH(E457&amp;"",tbl_Consulting[Job Number],0)),""),""))))</f>
        <v/>
      </c>
    </row>
    <row r="458" ht="15" customHeight="1">
      <c r="A458" s="22" t="n"/>
      <c r="B458" s="23">
        <f>IF(A458="","",EOMONTH(A458,0))</f>
        <v/>
      </c>
      <c r="C458" s="24" t="n"/>
      <c r="D458" s="24" t="n"/>
      <c r="E458" s="24" t="n"/>
      <c r="F458" s="25">
        <f>IF(E458="","",IF(COUNTIF(lst_Jobs,E458&amp;"")&gt;0,"OK","CHECK"))</f>
        <v/>
      </c>
      <c r="G458" s="24" t="n"/>
      <c r="H458" s="24" t="n"/>
      <c r="I458" s="24" t="n"/>
      <c r="J458" s="24" t="n"/>
      <c r="K458" s="24" t="n"/>
      <c r="L458" s="26" t="n"/>
      <c r="M458" s="27">
        <f>IF(L458="","",IF(K458="GST 10%",ROUND(L458*set_GSTRate,2),0))</f>
        <v/>
      </c>
      <c r="N458" s="27">
        <f>IF(L458="","",L458+M458)</f>
        <v/>
      </c>
      <c r="O458" s="24" t="n"/>
      <c r="P458" s="24" t="n"/>
      <c r="Q458" s="24" t="n"/>
      <c r="R458" s="22" t="n"/>
      <c r="S458" s="22" t="n"/>
      <c r="T458" s="24" t="n"/>
      <c r="U458" s="24" t="n"/>
      <c r="V458" s="25">
        <f>IF(COUNTA(A458,D458,C458,L458)=0,"",IF(A458="","No date - sits outside every month",IF(E458="","No job number",IF(F458="CHECK","Job number is not in the Xero job list",IF(I458="","No cost centre",IF(AND(P458="Y",C458=""),"Marked posted to Xero but has no invoice number",IF(AND(L458&lt;&gt;"",K458=""),"No tax code",IF(AND(L458&lt;&gt;"",O458=""),"No revenue GL code",""))))))))</f>
        <v/>
      </c>
      <c r="W458" s="25">
        <f>IF(E458="","",IFERROR(INDEX(lst_JobName,MATCH(E458&amp;"",lst_Jobs,0)),""))</f>
        <v/>
      </c>
      <c r="X458" s="28">
        <f>IF(E458="","",COUNTIFS(tbl_Finance[Job Number],E458&amp;"",tbl_Finance[Ex GST],"&lt;&gt;"))</f>
        <v/>
      </c>
      <c r="Y458" s="27">
        <f>IF(E458="","",SUMIFS(tbl_Finance[Ex GST],tbl_Finance[Job Number],E458&amp;""))</f>
        <v/>
      </c>
      <c r="Z458" s="27">
        <f>IF(E458="","",SUMIFS(tbl_Finance[Ex GST],tbl_Finance[Job Number],E458&amp;"",tbl_Finance[Xero Invoice No],"&lt;&gt;"))</f>
        <v/>
      </c>
      <c r="AA458" s="27">
        <f>IF(E458="","",Y458-Z458)</f>
        <v/>
      </c>
      <c r="AB458" s="25">
        <f>IF(E458="","",IF(H458="Onsite",IFERROR(INDEX(tbl_Onsite[Qwilr Quote],MATCH(E458&amp;"",tbl_Onsite[Job Number],0)),""),IF(H458="Production",IFERROR(INDEX(tbl_Production[Current RMS No],MATCH(E458&amp;"",tbl_Production[Job Number],0)),""),IF(H458="Consulting",IFERROR(INDEX(tbl_Consulting[Qwilr Quote],MATCH(E458&amp;"",tbl_Consulting[Job Number],0)),""),""))))</f>
        <v/>
      </c>
      <c r="AC458" s="25">
        <f>IF(AB458="","",IF(AND(LEFT(AB458,4)&lt;&gt;"http",IF(H458="Production",set_RMSBase,set_QwilrBase)=""),"",HYPERLINK(IF(LEFT(AB458,4)="http",AB458,IF(H458="Production",set_RMSBase,set_QwilrBase)&amp;AB458),"Open")))</f>
        <v/>
      </c>
      <c r="AD458" s="27">
        <f>IF(E458="","",IF(H458="Production",IFERROR(INDEX(tbl_Production[Total Expense],MATCH(E458&amp;"",tbl_Production[Job Number],0)),0),IF(H458="Consulting",IFERROR(INDEX(tbl_Consulting[Total Expense],MATCH(E458&amp;"",tbl_Consulting[Job Number],0)),0),0)))</f>
        <v/>
      </c>
      <c r="AE458" s="27">
        <f>IF(E458="","",Y458-N(AD458))</f>
        <v/>
      </c>
      <c r="AF458" s="29">
        <f>IFERROR(AE458/Y458,"")</f>
        <v/>
      </c>
      <c r="AG458" s="25">
        <f>IF(E458="","",IF(H458="Onsite",IFERROR(INDEX(tbl_Onsite[Notes],MATCH(E458&amp;"",tbl_Onsite[Job Number],0)),""),IF(H458="Production",IFERROR(INDEX(tbl_Production[Notes],MATCH(E458&amp;"",tbl_Production[Job Number],0)),""),IF(H458="Consulting",IFERROR(INDEX(tbl_Consulting[Notes],MATCH(E458&amp;"",tbl_Consulting[Job Number],0)),""),""))))</f>
        <v/>
      </c>
    </row>
    <row r="459" ht="15" customHeight="1">
      <c r="A459" s="22" t="n"/>
      <c r="B459" s="23">
        <f>IF(A459="","",EOMONTH(A459,0))</f>
        <v/>
      </c>
      <c r="C459" s="24" t="n"/>
      <c r="D459" s="24" t="n"/>
      <c r="E459" s="24" t="n"/>
      <c r="F459" s="25">
        <f>IF(E459="","",IF(COUNTIF(lst_Jobs,E459&amp;"")&gt;0,"OK","CHECK"))</f>
        <v/>
      </c>
      <c r="G459" s="24" t="n"/>
      <c r="H459" s="24" t="n"/>
      <c r="I459" s="24" t="n"/>
      <c r="J459" s="24" t="n"/>
      <c r="K459" s="24" t="n"/>
      <c r="L459" s="26" t="n"/>
      <c r="M459" s="27">
        <f>IF(L459="","",IF(K459="GST 10%",ROUND(L459*set_GSTRate,2),0))</f>
        <v/>
      </c>
      <c r="N459" s="27">
        <f>IF(L459="","",L459+M459)</f>
        <v/>
      </c>
      <c r="O459" s="24" t="n"/>
      <c r="P459" s="24" t="n"/>
      <c r="Q459" s="24" t="n"/>
      <c r="R459" s="22" t="n"/>
      <c r="S459" s="22" t="n"/>
      <c r="T459" s="24" t="n"/>
      <c r="U459" s="24" t="n"/>
      <c r="V459" s="25">
        <f>IF(COUNTA(A459,D459,C459,L459)=0,"",IF(A459="","No date - sits outside every month",IF(E459="","No job number",IF(F459="CHECK","Job number is not in the Xero job list",IF(I459="","No cost centre",IF(AND(P459="Y",C459=""),"Marked posted to Xero but has no invoice number",IF(AND(L459&lt;&gt;"",K459=""),"No tax code",IF(AND(L459&lt;&gt;"",O459=""),"No revenue GL code",""))))))))</f>
        <v/>
      </c>
      <c r="W459" s="25">
        <f>IF(E459="","",IFERROR(INDEX(lst_JobName,MATCH(E459&amp;"",lst_Jobs,0)),""))</f>
        <v/>
      </c>
      <c r="X459" s="28">
        <f>IF(E459="","",COUNTIFS(tbl_Finance[Job Number],E459&amp;"",tbl_Finance[Ex GST],"&lt;&gt;"))</f>
        <v/>
      </c>
      <c r="Y459" s="27">
        <f>IF(E459="","",SUMIFS(tbl_Finance[Ex GST],tbl_Finance[Job Number],E459&amp;""))</f>
        <v/>
      </c>
      <c r="Z459" s="27">
        <f>IF(E459="","",SUMIFS(tbl_Finance[Ex GST],tbl_Finance[Job Number],E459&amp;"",tbl_Finance[Xero Invoice No],"&lt;&gt;"))</f>
        <v/>
      </c>
      <c r="AA459" s="27">
        <f>IF(E459="","",Y459-Z459)</f>
        <v/>
      </c>
      <c r="AB459" s="25">
        <f>IF(E459="","",IF(H459="Onsite",IFERROR(INDEX(tbl_Onsite[Qwilr Quote],MATCH(E459&amp;"",tbl_Onsite[Job Number],0)),""),IF(H459="Production",IFERROR(INDEX(tbl_Production[Current RMS No],MATCH(E459&amp;"",tbl_Production[Job Number],0)),""),IF(H459="Consulting",IFERROR(INDEX(tbl_Consulting[Qwilr Quote],MATCH(E459&amp;"",tbl_Consulting[Job Number],0)),""),""))))</f>
        <v/>
      </c>
      <c r="AC459" s="25">
        <f>IF(AB459="","",IF(AND(LEFT(AB459,4)&lt;&gt;"http",IF(H459="Production",set_RMSBase,set_QwilrBase)=""),"",HYPERLINK(IF(LEFT(AB459,4)="http",AB459,IF(H459="Production",set_RMSBase,set_QwilrBase)&amp;AB459),"Open")))</f>
        <v/>
      </c>
      <c r="AD459" s="27">
        <f>IF(E459="","",IF(H459="Production",IFERROR(INDEX(tbl_Production[Total Expense],MATCH(E459&amp;"",tbl_Production[Job Number],0)),0),IF(H459="Consulting",IFERROR(INDEX(tbl_Consulting[Total Expense],MATCH(E459&amp;"",tbl_Consulting[Job Number],0)),0),0)))</f>
        <v/>
      </c>
      <c r="AE459" s="27">
        <f>IF(E459="","",Y459-N(AD459))</f>
        <v/>
      </c>
      <c r="AF459" s="29">
        <f>IFERROR(AE459/Y459,"")</f>
        <v/>
      </c>
      <c r="AG459" s="25">
        <f>IF(E459="","",IF(H459="Onsite",IFERROR(INDEX(tbl_Onsite[Notes],MATCH(E459&amp;"",tbl_Onsite[Job Number],0)),""),IF(H459="Production",IFERROR(INDEX(tbl_Production[Notes],MATCH(E459&amp;"",tbl_Production[Job Number],0)),""),IF(H459="Consulting",IFERROR(INDEX(tbl_Consulting[Notes],MATCH(E459&amp;"",tbl_Consulting[Job Number],0)),""),""))))</f>
        <v/>
      </c>
    </row>
    <row r="460" ht="15" customHeight="1">
      <c r="A460" s="22" t="n"/>
      <c r="B460" s="23">
        <f>IF(A460="","",EOMONTH(A460,0))</f>
        <v/>
      </c>
      <c r="C460" s="24" t="n"/>
      <c r="D460" s="24" t="n"/>
      <c r="E460" s="24" t="n"/>
      <c r="F460" s="25">
        <f>IF(E460="","",IF(COUNTIF(lst_Jobs,E460&amp;"")&gt;0,"OK","CHECK"))</f>
        <v/>
      </c>
      <c r="G460" s="24" t="n"/>
      <c r="H460" s="24" t="n"/>
      <c r="I460" s="24" t="n"/>
      <c r="J460" s="24" t="n"/>
      <c r="K460" s="24" t="n"/>
      <c r="L460" s="26" t="n"/>
      <c r="M460" s="27">
        <f>IF(L460="","",IF(K460="GST 10%",ROUND(L460*set_GSTRate,2),0))</f>
        <v/>
      </c>
      <c r="N460" s="27">
        <f>IF(L460="","",L460+M460)</f>
        <v/>
      </c>
      <c r="O460" s="24" t="n"/>
      <c r="P460" s="24" t="n"/>
      <c r="Q460" s="24" t="n"/>
      <c r="R460" s="22" t="n"/>
      <c r="S460" s="22" t="n"/>
      <c r="T460" s="24" t="n"/>
      <c r="U460" s="24" t="n"/>
      <c r="V460" s="25">
        <f>IF(COUNTA(A460,D460,C460,L460)=0,"",IF(A460="","No date - sits outside every month",IF(E460="","No job number",IF(F460="CHECK","Job number is not in the Xero job list",IF(I460="","No cost centre",IF(AND(P460="Y",C460=""),"Marked posted to Xero but has no invoice number",IF(AND(L460&lt;&gt;"",K460=""),"No tax code",IF(AND(L460&lt;&gt;"",O460=""),"No revenue GL code",""))))))))</f>
        <v/>
      </c>
      <c r="W460" s="25">
        <f>IF(E460="","",IFERROR(INDEX(lst_JobName,MATCH(E460&amp;"",lst_Jobs,0)),""))</f>
        <v/>
      </c>
      <c r="X460" s="28">
        <f>IF(E460="","",COUNTIFS(tbl_Finance[Job Number],E460&amp;"",tbl_Finance[Ex GST],"&lt;&gt;"))</f>
        <v/>
      </c>
      <c r="Y460" s="27">
        <f>IF(E460="","",SUMIFS(tbl_Finance[Ex GST],tbl_Finance[Job Number],E460&amp;""))</f>
        <v/>
      </c>
      <c r="Z460" s="27">
        <f>IF(E460="","",SUMIFS(tbl_Finance[Ex GST],tbl_Finance[Job Number],E460&amp;"",tbl_Finance[Xero Invoice No],"&lt;&gt;"))</f>
        <v/>
      </c>
      <c r="AA460" s="27">
        <f>IF(E460="","",Y460-Z460)</f>
        <v/>
      </c>
      <c r="AB460" s="25">
        <f>IF(E460="","",IF(H460="Onsite",IFERROR(INDEX(tbl_Onsite[Qwilr Quote],MATCH(E460&amp;"",tbl_Onsite[Job Number],0)),""),IF(H460="Production",IFERROR(INDEX(tbl_Production[Current RMS No],MATCH(E460&amp;"",tbl_Production[Job Number],0)),""),IF(H460="Consulting",IFERROR(INDEX(tbl_Consulting[Qwilr Quote],MATCH(E460&amp;"",tbl_Consulting[Job Number],0)),""),""))))</f>
        <v/>
      </c>
      <c r="AC460" s="25">
        <f>IF(AB460="","",IF(AND(LEFT(AB460,4)&lt;&gt;"http",IF(H460="Production",set_RMSBase,set_QwilrBase)=""),"",HYPERLINK(IF(LEFT(AB460,4)="http",AB460,IF(H460="Production",set_RMSBase,set_QwilrBase)&amp;AB460),"Open")))</f>
        <v/>
      </c>
      <c r="AD460" s="27">
        <f>IF(E460="","",IF(H460="Production",IFERROR(INDEX(tbl_Production[Total Expense],MATCH(E460&amp;"",tbl_Production[Job Number],0)),0),IF(H460="Consulting",IFERROR(INDEX(tbl_Consulting[Total Expense],MATCH(E460&amp;"",tbl_Consulting[Job Number],0)),0),0)))</f>
        <v/>
      </c>
      <c r="AE460" s="27">
        <f>IF(E460="","",Y460-N(AD460))</f>
        <v/>
      </c>
      <c r="AF460" s="29">
        <f>IFERROR(AE460/Y460,"")</f>
        <v/>
      </c>
      <c r="AG460" s="25">
        <f>IF(E460="","",IF(H460="Onsite",IFERROR(INDEX(tbl_Onsite[Notes],MATCH(E460&amp;"",tbl_Onsite[Job Number],0)),""),IF(H460="Production",IFERROR(INDEX(tbl_Production[Notes],MATCH(E460&amp;"",tbl_Production[Job Number],0)),""),IF(H460="Consulting",IFERROR(INDEX(tbl_Consulting[Notes],MATCH(E460&amp;"",tbl_Consulting[Job Number],0)),""),""))))</f>
        <v/>
      </c>
    </row>
    <row r="461" ht="15" customHeight="1">
      <c r="A461" s="22" t="n"/>
      <c r="B461" s="23">
        <f>IF(A461="","",EOMONTH(A461,0))</f>
        <v/>
      </c>
      <c r="C461" s="24" t="n"/>
      <c r="D461" s="24" t="n"/>
      <c r="E461" s="24" t="n"/>
      <c r="F461" s="25">
        <f>IF(E461="","",IF(COUNTIF(lst_Jobs,E461&amp;"")&gt;0,"OK","CHECK"))</f>
        <v/>
      </c>
      <c r="G461" s="24" t="n"/>
      <c r="H461" s="24" t="n"/>
      <c r="I461" s="24" t="n"/>
      <c r="J461" s="24" t="n"/>
      <c r="K461" s="24" t="n"/>
      <c r="L461" s="26" t="n"/>
      <c r="M461" s="27">
        <f>IF(L461="","",IF(K461="GST 10%",ROUND(L461*set_GSTRate,2),0))</f>
        <v/>
      </c>
      <c r="N461" s="27">
        <f>IF(L461="","",L461+M461)</f>
        <v/>
      </c>
      <c r="O461" s="24" t="n"/>
      <c r="P461" s="24" t="n"/>
      <c r="Q461" s="24" t="n"/>
      <c r="R461" s="22" t="n"/>
      <c r="S461" s="22" t="n"/>
      <c r="T461" s="24" t="n"/>
      <c r="U461" s="24" t="n"/>
      <c r="V461" s="25">
        <f>IF(COUNTA(A461,D461,C461,L461)=0,"",IF(A461="","No date - sits outside every month",IF(E461="","No job number",IF(F461="CHECK","Job number is not in the Xero job list",IF(I461="","No cost centre",IF(AND(P461="Y",C461=""),"Marked posted to Xero but has no invoice number",IF(AND(L461&lt;&gt;"",K461=""),"No tax code",IF(AND(L461&lt;&gt;"",O461=""),"No revenue GL code",""))))))))</f>
        <v/>
      </c>
      <c r="W461" s="25">
        <f>IF(E461="","",IFERROR(INDEX(lst_JobName,MATCH(E461&amp;"",lst_Jobs,0)),""))</f>
        <v/>
      </c>
      <c r="X461" s="28">
        <f>IF(E461="","",COUNTIFS(tbl_Finance[Job Number],E461&amp;"",tbl_Finance[Ex GST],"&lt;&gt;"))</f>
        <v/>
      </c>
      <c r="Y461" s="27">
        <f>IF(E461="","",SUMIFS(tbl_Finance[Ex GST],tbl_Finance[Job Number],E461&amp;""))</f>
        <v/>
      </c>
      <c r="Z461" s="27">
        <f>IF(E461="","",SUMIFS(tbl_Finance[Ex GST],tbl_Finance[Job Number],E461&amp;"",tbl_Finance[Xero Invoice No],"&lt;&gt;"))</f>
        <v/>
      </c>
      <c r="AA461" s="27">
        <f>IF(E461="","",Y461-Z461)</f>
        <v/>
      </c>
      <c r="AB461" s="25">
        <f>IF(E461="","",IF(H461="Onsite",IFERROR(INDEX(tbl_Onsite[Qwilr Quote],MATCH(E461&amp;"",tbl_Onsite[Job Number],0)),""),IF(H461="Production",IFERROR(INDEX(tbl_Production[Current RMS No],MATCH(E461&amp;"",tbl_Production[Job Number],0)),""),IF(H461="Consulting",IFERROR(INDEX(tbl_Consulting[Qwilr Quote],MATCH(E461&amp;"",tbl_Consulting[Job Number],0)),""),""))))</f>
        <v/>
      </c>
      <c r="AC461" s="25">
        <f>IF(AB461="","",IF(AND(LEFT(AB461,4)&lt;&gt;"http",IF(H461="Production",set_RMSBase,set_QwilrBase)=""),"",HYPERLINK(IF(LEFT(AB461,4)="http",AB461,IF(H461="Production",set_RMSBase,set_QwilrBase)&amp;AB461),"Open")))</f>
        <v/>
      </c>
      <c r="AD461" s="27">
        <f>IF(E461="","",IF(H461="Production",IFERROR(INDEX(tbl_Production[Total Expense],MATCH(E461&amp;"",tbl_Production[Job Number],0)),0),IF(H461="Consulting",IFERROR(INDEX(tbl_Consulting[Total Expense],MATCH(E461&amp;"",tbl_Consulting[Job Number],0)),0),0)))</f>
        <v/>
      </c>
      <c r="AE461" s="27">
        <f>IF(E461="","",Y461-N(AD461))</f>
        <v/>
      </c>
      <c r="AF461" s="29">
        <f>IFERROR(AE461/Y461,"")</f>
        <v/>
      </c>
      <c r="AG461" s="25">
        <f>IF(E461="","",IF(H461="Onsite",IFERROR(INDEX(tbl_Onsite[Notes],MATCH(E461&amp;"",tbl_Onsite[Job Number],0)),""),IF(H461="Production",IFERROR(INDEX(tbl_Production[Notes],MATCH(E461&amp;"",tbl_Production[Job Number],0)),""),IF(H461="Consulting",IFERROR(INDEX(tbl_Consulting[Notes],MATCH(E461&amp;"",tbl_Consulting[Job Number],0)),""),""))))</f>
        <v/>
      </c>
    </row>
    <row r="462" ht="15" customHeight="1">
      <c r="A462" s="22" t="n"/>
      <c r="B462" s="23">
        <f>IF(A462="","",EOMONTH(A462,0))</f>
        <v/>
      </c>
      <c r="C462" s="24" t="n"/>
      <c r="D462" s="24" t="n"/>
      <c r="E462" s="24" t="n"/>
      <c r="F462" s="25">
        <f>IF(E462="","",IF(COUNTIF(lst_Jobs,E462&amp;"")&gt;0,"OK","CHECK"))</f>
        <v/>
      </c>
      <c r="G462" s="24" t="n"/>
      <c r="H462" s="24" t="n"/>
      <c r="I462" s="24" t="n"/>
      <c r="J462" s="24" t="n"/>
      <c r="K462" s="24" t="n"/>
      <c r="L462" s="26" t="n"/>
      <c r="M462" s="27">
        <f>IF(L462="","",IF(K462="GST 10%",ROUND(L462*set_GSTRate,2),0))</f>
        <v/>
      </c>
      <c r="N462" s="27">
        <f>IF(L462="","",L462+M462)</f>
        <v/>
      </c>
      <c r="O462" s="24" t="n"/>
      <c r="P462" s="24" t="n"/>
      <c r="Q462" s="24" t="n"/>
      <c r="R462" s="22" t="n"/>
      <c r="S462" s="22" t="n"/>
      <c r="T462" s="24" t="n"/>
      <c r="U462" s="24" t="n"/>
      <c r="V462" s="25">
        <f>IF(COUNTA(A462,D462,C462,L462)=0,"",IF(A462="","No date - sits outside every month",IF(E462="","No job number",IF(F462="CHECK","Job number is not in the Xero job list",IF(I462="","No cost centre",IF(AND(P462="Y",C462=""),"Marked posted to Xero but has no invoice number",IF(AND(L462&lt;&gt;"",K462=""),"No tax code",IF(AND(L462&lt;&gt;"",O462=""),"No revenue GL code",""))))))))</f>
        <v/>
      </c>
      <c r="W462" s="25">
        <f>IF(E462="","",IFERROR(INDEX(lst_JobName,MATCH(E462&amp;"",lst_Jobs,0)),""))</f>
        <v/>
      </c>
      <c r="X462" s="28">
        <f>IF(E462="","",COUNTIFS(tbl_Finance[Job Number],E462&amp;"",tbl_Finance[Ex GST],"&lt;&gt;"))</f>
        <v/>
      </c>
      <c r="Y462" s="27">
        <f>IF(E462="","",SUMIFS(tbl_Finance[Ex GST],tbl_Finance[Job Number],E462&amp;""))</f>
        <v/>
      </c>
      <c r="Z462" s="27">
        <f>IF(E462="","",SUMIFS(tbl_Finance[Ex GST],tbl_Finance[Job Number],E462&amp;"",tbl_Finance[Xero Invoice No],"&lt;&gt;"))</f>
        <v/>
      </c>
      <c r="AA462" s="27">
        <f>IF(E462="","",Y462-Z462)</f>
        <v/>
      </c>
      <c r="AB462" s="25">
        <f>IF(E462="","",IF(H462="Onsite",IFERROR(INDEX(tbl_Onsite[Qwilr Quote],MATCH(E462&amp;"",tbl_Onsite[Job Number],0)),""),IF(H462="Production",IFERROR(INDEX(tbl_Production[Current RMS No],MATCH(E462&amp;"",tbl_Production[Job Number],0)),""),IF(H462="Consulting",IFERROR(INDEX(tbl_Consulting[Qwilr Quote],MATCH(E462&amp;"",tbl_Consulting[Job Number],0)),""),""))))</f>
        <v/>
      </c>
      <c r="AC462" s="25">
        <f>IF(AB462="","",IF(AND(LEFT(AB462,4)&lt;&gt;"http",IF(H462="Production",set_RMSBase,set_QwilrBase)=""),"",HYPERLINK(IF(LEFT(AB462,4)="http",AB462,IF(H462="Production",set_RMSBase,set_QwilrBase)&amp;AB462),"Open")))</f>
        <v/>
      </c>
      <c r="AD462" s="27">
        <f>IF(E462="","",IF(H462="Production",IFERROR(INDEX(tbl_Production[Total Expense],MATCH(E462&amp;"",tbl_Production[Job Number],0)),0),IF(H462="Consulting",IFERROR(INDEX(tbl_Consulting[Total Expense],MATCH(E462&amp;"",tbl_Consulting[Job Number],0)),0),0)))</f>
        <v/>
      </c>
      <c r="AE462" s="27">
        <f>IF(E462="","",Y462-N(AD462))</f>
        <v/>
      </c>
      <c r="AF462" s="29">
        <f>IFERROR(AE462/Y462,"")</f>
        <v/>
      </c>
      <c r="AG462" s="25">
        <f>IF(E462="","",IF(H462="Onsite",IFERROR(INDEX(tbl_Onsite[Notes],MATCH(E462&amp;"",tbl_Onsite[Job Number],0)),""),IF(H462="Production",IFERROR(INDEX(tbl_Production[Notes],MATCH(E462&amp;"",tbl_Production[Job Number],0)),""),IF(H462="Consulting",IFERROR(INDEX(tbl_Consulting[Notes],MATCH(E462&amp;"",tbl_Consulting[Job Number],0)),""),""))))</f>
        <v/>
      </c>
    </row>
    <row r="463" ht="15" customHeight="1">
      <c r="A463" s="22" t="n"/>
      <c r="B463" s="23">
        <f>IF(A463="","",EOMONTH(A463,0))</f>
        <v/>
      </c>
      <c r="C463" s="24" t="n"/>
      <c r="D463" s="24" t="n"/>
      <c r="E463" s="24" t="n"/>
      <c r="F463" s="25">
        <f>IF(E463="","",IF(COUNTIF(lst_Jobs,E463&amp;"")&gt;0,"OK","CHECK"))</f>
        <v/>
      </c>
      <c r="G463" s="24" t="n"/>
      <c r="H463" s="24" t="n"/>
      <c r="I463" s="24" t="n"/>
      <c r="J463" s="24" t="n"/>
      <c r="K463" s="24" t="n"/>
      <c r="L463" s="26" t="n"/>
      <c r="M463" s="27">
        <f>IF(L463="","",IF(K463="GST 10%",ROUND(L463*set_GSTRate,2),0))</f>
        <v/>
      </c>
      <c r="N463" s="27">
        <f>IF(L463="","",L463+M463)</f>
        <v/>
      </c>
      <c r="O463" s="24" t="n"/>
      <c r="P463" s="24" t="n"/>
      <c r="Q463" s="24" t="n"/>
      <c r="R463" s="22" t="n"/>
      <c r="S463" s="22" t="n"/>
      <c r="T463" s="24" t="n"/>
      <c r="U463" s="24" t="n"/>
      <c r="V463" s="25">
        <f>IF(COUNTA(A463,D463,C463,L463)=0,"",IF(A463="","No date - sits outside every month",IF(E463="","No job number",IF(F463="CHECK","Job number is not in the Xero job list",IF(I463="","No cost centre",IF(AND(P463="Y",C463=""),"Marked posted to Xero but has no invoice number",IF(AND(L463&lt;&gt;"",K463=""),"No tax code",IF(AND(L463&lt;&gt;"",O463=""),"No revenue GL code",""))))))))</f>
        <v/>
      </c>
      <c r="W463" s="25">
        <f>IF(E463="","",IFERROR(INDEX(lst_JobName,MATCH(E463&amp;"",lst_Jobs,0)),""))</f>
        <v/>
      </c>
      <c r="X463" s="28">
        <f>IF(E463="","",COUNTIFS(tbl_Finance[Job Number],E463&amp;"",tbl_Finance[Ex GST],"&lt;&gt;"))</f>
        <v/>
      </c>
      <c r="Y463" s="27">
        <f>IF(E463="","",SUMIFS(tbl_Finance[Ex GST],tbl_Finance[Job Number],E463&amp;""))</f>
        <v/>
      </c>
      <c r="Z463" s="27">
        <f>IF(E463="","",SUMIFS(tbl_Finance[Ex GST],tbl_Finance[Job Number],E463&amp;"",tbl_Finance[Xero Invoice No],"&lt;&gt;"))</f>
        <v/>
      </c>
      <c r="AA463" s="27">
        <f>IF(E463="","",Y463-Z463)</f>
        <v/>
      </c>
      <c r="AB463" s="25">
        <f>IF(E463="","",IF(H463="Onsite",IFERROR(INDEX(tbl_Onsite[Qwilr Quote],MATCH(E463&amp;"",tbl_Onsite[Job Number],0)),""),IF(H463="Production",IFERROR(INDEX(tbl_Production[Current RMS No],MATCH(E463&amp;"",tbl_Production[Job Number],0)),""),IF(H463="Consulting",IFERROR(INDEX(tbl_Consulting[Qwilr Quote],MATCH(E463&amp;"",tbl_Consulting[Job Number],0)),""),""))))</f>
        <v/>
      </c>
      <c r="AC463" s="25">
        <f>IF(AB463="","",IF(AND(LEFT(AB463,4)&lt;&gt;"http",IF(H463="Production",set_RMSBase,set_QwilrBase)=""),"",HYPERLINK(IF(LEFT(AB463,4)="http",AB463,IF(H463="Production",set_RMSBase,set_QwilrBase)&amp;AB463),"Open")))</f>
        <v/>
      </c>
      <c r="AD463" s="27">
        <f>IF(E463="","",IF(H463="Production",IFERROR(INDEX(tbl_Production[Total Expense],MATCH(E463&amp;"",tbl_Production[Job Number],0)),0),IF(H463="Consulting",IFERROR(INDEX(tbl_Consulting[Total Expense],MATCH(E463&amp;"",tbl_Consulting[Job Number],0)),0),0)))</f>
        <v/>
      </c>
      <c r="AE463" s="27">
        <f>IF(E463="","",Y463-N(AD463))</f>
        <v/>
      </c>
      <c r="AF463" s="29">
        <f>IFERROR(AE463/Y463,"")</f>
        <v/>
      </c>
      <c r="AG463" s="25">
        <f>IF(E463="","",IF(H463="Onsite",IFERROR(INDEX(tbl_Onsite[Notes],MATCH(E463&amp;"",tbl_Onsite[Job Number],0)),""),IF(H463="Production",IFERROR(INDEX(tbl_Production[Notes],MATCH(E463&amp;"",tbl_Production[Job Number],0)),""),IF(H463="Consulting",IFERROR(INDEX(tbl_Consulting[Notes],MATCH(E463&amp;"",tbl_Consulting[Job Number],0)),""),""))))</f>
        <v/>
      </c>
    </row>
    <row r="464" ht="15" customHeight="1">
      <c r="A464" s="22" t="n"/>
      <c r="B464" s="23">
        <f>IF(A464="","",EOMONTH(A464,0))</f>
        <v/>
      </c>
      <c r="C464" s="24" t="n"/>
      <c r="D464" s="24" t="n"/>
      <c r="E464" s="24" t="n"/>
      <c r="F464" s="25">
        <f>IF(E464="","",IF(COUNTIF(lst_Jobs,E464&amp;"")&gt;0,"OK","CHECK"))</f>
        <v/>
      </c>
      <c r="G464" s="24" t="n"/>
      <c r="H464" s="24" t="n"/>
      <c r="I464" s="24" t="n"/>
      <c r="J464" s="24" t="n"/>
      <c r="K464" s="24" t="n"/>
      <c r="L464" s="26" t="n"/>
      <c r="M464" s="27">
        <f>IF(L464="","",IF(K464="GST 10%",ROUND(L464*set_GSTRate,2),0))</f>
        <v/>
      </c>
      <c r="N464" s="27">
        <f>IF(L464="","",L464+M464)</f>
        <v/>
      </c>
      <c r="O464" s="24" t="n"/>
      <c r="P464" s="24" t="n"/>
      <c r="Q464" s="24" t="n"/>
      <c r="R464" s="22" t="n"/>
      <c r="S464" s="22" t="n"/>
      <c r="T464" s="24" t="n"/>
      <c r="U464" s="24" t="n"/>
      <c r="V464" s="25">
        <f>IF(COUNTA(A464,D464,C464,L464)=0,"",IF(A464="","No date - sits outside every month",IF(E464="","No job number",IF(F464="CHECK","Job number is not in the Xero job list",IF(I464="","No cost centre",IF(AND(P464="Y",C464=""),"Marked posted to Xero but has no invoice number",IF(AND(L464&lt;&gt;"",K464=""),"No tax code",IF(AND(L464&lt;&gt;"",O464=""),"No revenue GL code",""))))))))</f>
        <v/>
      </c>
      <c r="W464" s="25">
        <f>IF(E464="","",IFERROR(INDEX(lst_JobName,MATCH(E464&amp;"",lst_Jobs,0)),""))</f>
        <v/>
      </c>
      <c r="X464" s="28">
        <f>IF(E464="","",COUNTIFS(tbl_Finance[Job Number],E464&amp;"",tbl_Finance[Ex GST],"&lt;&gt;"))</f>
        <v/>
      </c>
      <c r="Y464" s="27">
        <f>IF(E464="","",SUMIFS(tbl_Finance[Ex GST],tbl_Finance[Job Number],E464&amp;""))</f>
        <v/>
      </c>
      <c r="Z464" s="27">
        <f>IF(E464="","",SUMIFS(tbl_Finance[Ex GST],tbl_Finance[Job Number],E464&amp;"",tbl_Finance[Xero Invoice No],"&lt;&gt;"))</f>
        <v/>
      </c>
      <c r="AA464" s="27">
        <f>IF(E464="","",Y464-Z464)</f>
        <v/>
      </c>
      <c r="AB464" s="25">
        <f>IF(E464="","",IF(H464="Onsite",IFERROR(INDEX(tbl_Onsite[Qwilr Quote],MATCH(E464&amp;"",tbl_Onsite[Job Number],0)),""),IF(H464="Production",IFERROR(INDEX(tbl_Production[Current RMS No],MATCH(E464&amp;"",tbl_Production[Job Number],0)),""),IF(H464="Consulting",IFERROR(INDEX(tbl_Consulting[Qwilr Quote],MATCH(E464&amp;"",tbl_Consulting[Job Number],0)),""),""))))</f>
        <v/>
      </c>
      <c r="AC464" s="25">
        <f>IF(AB464="","",IF(AND(LEFT(AB464,4)&lt;&gt;"http",IF(H464="Production",set_RMSBase,set_QwilrBase)=""),"",HYPERLINK(IF(LEFT(AB464,4)="http",AB464,IF(H464="Production",set_RMSBase,set_QwilrBase)&amp;AB464),"Open")))</f>
        <v/>
      </c>
      <c r="AD464" s="27">
        <f>IF(E464="","",IF(H464="Production",IFERROR(INDEX(tbl_Production[Total Expense],MATCH(E464&amp;"",tbl_Production[Job Number],0)),0),IF(H464="Consulting",IFERROR(INDEX(tbl_Consulting[Total Expense],MATCH(E464&amp;"",tbl_Consulting[Job Number],0)),0),0)))</f>
        <v/>
      </c>
      <c r="AE464" s="27">
        <f>IF(E464="","",Y464-N(AD464))</f>
        <v/>
      </c>
      <c r="AF464" s="29">
        <f>IFERROR(AE464/Y464,"")</f>
        <v/>
      </c>
      <c r="AG464" s="25">
        <f>IF(E464="","",IF(H464="Onsite",IFERROR(INDEX(tbl_Onsite[Notes],MATCH(E464&amp;"",tbl_Onsite[Job Number],0)),""),IF(H464="Production",IFERROR(INDEX(tbl_Production[Notes],MATCH(E464&amp;"",tbl_Production[Job Number],0)),""),IF(H464="Consulting",IFERROR(INDEX(tbl_Consulting[Notes],MATCH(E464&amp;"",tbl_Consulting[Job Number],0)),""),""))))</f>
        <v/>
      </c>
    </row>
    <row r="465" ht="15" customHeight="1">
      <c r="A465" s="22" t="n"/>
      <c r="B465" s="23">
        <f>IF(A465="","",EOMONTH(A465,0))</f>
        <v/>
      </c>
      <c r="C465" s="24" t="n"/>
      <c r="D465" s="24" t="n"/>
      <c r="E465" s="24" t="n"/>
      <c r="F465" s="25">
        <f>IF(E465="","",IF(COUNTIF(lst_Jobs,E465&amp;"")&gt;0,"OK","CHECK"))</f>
        <v/>
      </c>
      <c r="G465" s="24" t="n"/>
      <c r="H465" s="24" t="n"/>
      <c r="I465" s="24" t="n"/>
      <c r="J465" s="24" t="n"/>
      <c r="K465" s="24" t="n"/>
      <c r="L465" s="26" t="n"/>
      <c r="M465" s="27">
        <f>IF(L465="","",IF(K465="GST 10%",ROUND(L465*set_GSTRate,2),0))</f>
        <v/>
      </c>
      <c r="N465" s="27">
        <f>IF(L465="","",L465+M465)</f>
        <v/>
      </c>
      <c r="O465" s="24" t="n"/>
      <c r="P465" s="24" t="n"/>
      <c r="Q465" s="24" t="n"/>
      <c r="R465" s="22" t="n"/>
      <c r="S465" s="22" t="n"/>
      <c r="T465" s="24" t="n"/>
      <c r="U465" s="24" t="n"/>
      <c r="V465" s="25">
        <f>IF(COUNTA(A465,D465,C465,L465)=0,"",IF(A465="","No date - sits outside every month",IF(E465="","No job number",IF(F465="CHECK","Job number is not in the Xero job list",IF(I465="","No cost centre",IF(AND(P465="Y",C465=""),"Marked posted to Xero but has no invoice number",IF(AND(L465&lt;&gt;"",K465=""),"No tax code",IF(AND(L465&lt;&gt;"",O465=""),"No revenue GL code",""))))))))</f>
        <v/>
      </c>
      <c r="W465" s="25">
        <f>IF(E465="","",IFERROR(INDEX(lst_JobName,MATCH(E465&amp;"",lst_Jobs,0)),""))</f>
        <v/>
      </c>
      <c r="X465" s="28">
        <f>IF(E465="","",COUNTIFS(tbl_Finance[Job Number],E465&amp;"",tbl_Finance[Ex GST],"&lt;&gt;"))</f>
        <v/>
      </c>
      <c r="Y465" s="27">
        <f>IF(E465="","",SUMIFS(tbl_Finance[Ex GST],tbl_Finance[Job Number],E465&amp;""))</f>
        <v/>
      </c>
      <c r="Z465" s="27">
        <f>IF(E465="","",SUMIFS(tbl_Finance[Ex GST],tbl_Finance[Job Number],E465&amp;"",tbl_Finance[Xero Invoice No],"&lt;&gt;"))</f>
        <v/>
      </c>
      <c r="AA465" s="27">
        <f>IF(E465="","",Y465-Z465)</f>
        <v/>
      </c>
      <c r="AB465" s="25">
        <f>IF(E465="","",IF(H465="Onsite",IFERROR(INDEX(tbl_Onsite[Qwilr Quote],MATCH(E465&amp;"",tbl_Onsite[Job Number],0)),""),IF(H465="Production",IFERROR(INDEX(tbl_Production[Current RMS No],MATCH(E465&amp;"",tbl_Production[Job Number],0)),""),IF(H465="Consulting",IFERROR(INDEX(tbl_Consulting[Qwilr Quote],MATCH(E465&amp;"",tbl_Consulting[Job Number],0)),""),""))))</f>
        <v/>
      </c>
      <c r="AC465" s="25">
        <f>IF(AB465="","",IF(AND(LEFT(AB465,4)&lt;&gt;"http",IF(H465="Production",set_RMSBase,set_QwilrBase)=""),"",HYPERLINK(IF(LEFT(AB465,4)="http",AB465,IF(H465="Production",set_RMSBase,set_QwilrBase)&amp;AB465),"Open")))</f>
        <v/>
      </c>
      <c r="AD465" s="27">
        <f>IF(E465="","",IF(H465="Production",IFERROR(INDEX(tbl_Production[Total Expense],MATCH(E465&amp;"",tbl_Production[Job Number],0)),0),IF(H465="Consulting",IFERROR(INDEX(tbl_Consulting[Total Expense],MATCH(E465&amp;"",tbl_Consulting[Job Number],0)),0),0)))</f>
        <v/>
      </c>
      <c r="AE465" s="27">
        <f>IF(E465="","",Y465-N(AD465))</f>
        <v/>
      </c>
      <c r="AF465" s="29">
        <f>IFERROR(AE465/Y465,"")</f>
        <v/>
      </c>
      <c r="AG465" s="25">
        <f>IF(E465="","",IF(H465="Onsite",IFERROR(INDEX(tbl_Onsite[Notes],MATCH(E465&amp;"",tbl_Onsite[Job Number],0)),""),IF(H465="Production",IFERROR(INDEX(tbl_Production[Notes],MATCH(E465&amp;"",tbl_Production[Job Number],0)),""),IF(H465="Consulting",IFERROR(INDEX(tbl_Consulting[Notes],MATCH(E465&amp;"",tbl_Consulting[Job Number],0)),""),""))))</f>
        <v/>
      </c>
    </row>
    <row r="466" ht="15" customHeight="1">
      <c r="A466" s="22" t="n"/>
      <c r="B466" s="23">
        <f>IF(A466="","",EOMONTH(A466,0))</f>
        <v/>
      </c>
      <c r="C466" s="24" t="n"/>
      <c r="D466" s="24" t="n"/>
      <c r="E466" s="24" t="n"/>
      <c r="F466" s="25">
        <f>IF(E466="","",IF(COUNTIF(lst_Jobs,E466&amp;"")&gt;0,"OK","CHECK"))</f>
        <v/>
      </c>
      <c r="G466" s="24" t="n"/>
      <c r="H466" s="24" t="n"/>
      <c r="I466" s="24" t="n"/>
      <c r="J466" s="24" t="n"/>
      <c r="K466" s="24" t="n"/>
      <c r="L466" s="26" t="n"/>
      <c r="M466" s="27">
        <f>IF(L466="","",IF(K466="GST 10%",ROUND(L466*set_GSTRate,2),0))</f>
        <v/>
      </c>
      <c r="N466" s="27">
        <f>IF(L466="","",L466+M466)</f>
        <v/>
      </c>
      <c r="O466" s="24" t="n"/>
      <c r="P466" s="24" t="n"/>
      <c r="Q466" s="24" t="n"/>
      <c r="R466" s="22" t="n"/>
      <c r="S466" s="22" t="n"/>
      <c r="T466" s="24" t="n"/>
      <c r="U466" s="24" t="n"/>
      <c r="V466" s="25">
        <f>IF(COUNTA(A466,D466,C466,L466)=0,"",IF(A466="","No date - sits outside every month",IF(E466="","No job number",IF(F466="CHECK","Job number is not in the Xero job list",IF(I466="","No cost centre",IF(AND(P466="Y",C466=""),"Marked posted to Xero but has no invoice number",IF(AND(L466&lt;&gt;"",K466=""),"No tax code",IF(AND(L466&lt;&gt;"",O466=""),"No revenue GL code",""))))))))</f>
        <v/>
      </c>
      <c r="W466" s="25">
        <f>IF(E466="","",IFERROR(INDEX(lst_JobName,MATCH(E466&amp;"",lst_Jobs,0)),""))</f>
        <v/>
      </c>
      <c r="X466" s="28">
        <f>IF(E466="","",COUNTIFS(tbl_Finance[Job Number],E466&amp;"",tbl_Finance[Ex GST],"&lt;&gt;"))</f>
        <v/>
      </c>
      <c r="Y466" s="27">
        <f>IF(E466="","",SUMIFS(tbl_Finance[Ex GST],tbl_Finance[Job Number],E466&amp;""))</f>
        <v/>
      </c>
      <c r="Z466" s="27">
        <f>IF(E466="","",SUMIFS(tbl_Finance[Ex GST],tbl_Finance[Job Number],E466&amp;"",tbl_Finance[Xero Invoice No],"&lt;&gt;"))</f>
        <v/>
      </c>
      <c r="AA466" s="27">
        <f>IF(E466="","",Y466-Z466)</f>
        <v/>
      </c>
      <c r="AB466" s="25">
        <f>IF(E466="","",IF(H466="Onsite",IFERROR(INDEX(tbl_Onsite[Qwilr Quote],MATCH(E466&amp;"",tbl_Onsite[Job Number],0)),""),IF(H466="Production",IFERROR(INDEX(tbl_Production[Current RMS No],MATCH(E466&amp;"",tbl_Production[Job Number],0)),""),IF(H466="Consulting",IFERROR(INDEX(tbl_Consulting[Qwilr Quote],MATCH(E466&amp;"",tbl_Consulting[Job Number],0)),""),""))))</f>
        <v/>
      </c>
      <c r="AC466" s="25">
        <f>IF(AB466="","",IF(AND(LEFT(AB466,4)&lt;&gt;"http",IF(H466="Production",set_RMSBase,set_QwilrBase)=""),"",HYPERLINK(IF(LEFT(AB466,4)="http",AB466,IF(H466="Production",set_RMSBase,set_QwilrBase)&amp;AB466),"Open")))</f>
        <v/>
      </c>
      <c r="AD466" s="27">
        <f>IF(E466="","",IF(H466="Production",IFERROR(INDEX(tbl_Production[Total Expense],MATCH(E466&amp;"",tbl_Production[Job Number],0)),0),IF(H466="Consulting",IFERROR(INDEX(tbl_Consulting[Total Expense],MATCH(E466&amp;"",tbl_Consulting[Job Number],0)),0),0)))</f>
        <v/>
      </c>
      <c r="AE466" s="27">
        <f>IF(E466="","",Y466-N(AD466))</f>
        <v/>
      </c>
      <c r="AF466" s="29">
        <f>IFERROR(AE466/Y466,"")</f>
        <v/>
      </c>
      <c r="AG466" s="25">
        <f>IF(E466="","",IF(H466="Onsite",IFERROR(INDEX(tbl_Onsite[Notes],MATCH(E466&amp;"",tbl_Onsite[Job Number],0)),""),IF(H466="Production",IFERROR(INDEX(tbl_Production[Notes],MATCH(E466&amp;"",tbl_Production[Job Number],0)),""),IF(H466="Consulting",IFERROR(INDEX(tbl_Consulting[Notes],MATCH(E466&amp;"",tbl_Consulting[Job Number],0)),""),""))))</f>
        <v/>
      </c>
    </row>
    <row r="467" ht="15" customHeight="1">
      <c r="A467" s="22" t="n"/>
      <c r="B467" s="23">
        <f>IF(A467="","",EOMONTH(A467,0))</f>
        <v/>
      </c>
      <c r="C467" s="24" t="n"/>
      <c r="D467" s="24" t="n"/>
      <c r="E467" s="24" t="n"/>
      <c r="F467" s="25">
        <f>IF(E467="","",IF(COUNTIF(lst_Jobs,E467&amp;"")&gt;0,"OK","CHECK"))</f>
        <v/>
      </c>
      <c r="G467" s="24" t="n"/>
      <c r="H467" s="24" t="n"/>
      <c r="I467" s="24" t="n"/>
      <c r="J467" s="24" t="n"/>
      <c r="K467" s="24" t="n"/>
      <c r="L467" s="26" t="n"/>
      <c r="M467" s="27">
        <f>IF(L467="","",IF(K467="GST 10%",ROUND(L467*set_GSTRate,2),0))</f>
        <v/>
      </c>
      <c r="N467" s="27">
        <f>IF(L467="","",L467+M467)</f>
        <v/>
      </c>
      <c r="O467" s="24" t="n"/>
      <c r="P467" s="24" t="n"/>
      <c r="Q467" s="24" t="n"/>
      <c r="R467" s="22" t="n"/>
      <c r="S467" s="22" t="n"/>
      <c r="T467" s="24" t="n"/>
      <c r="U467" s="24" t="n"/>
      <c r="V467" s="25">
        <f>IF(COUNTA(A467,D467,C467,L467)=0,"",IF(A467="","No date - sits outside every month",IF(E467="","No job number",IF(F467="CHECK","Job number is not in the Xero job list",IF(I467="","No cost centre",IF(AND(P467="Y",C467=""),"Marked posted to Xero but has no invoice number",IF(AND(L467&lt;&gt;"",K467=""),"No tax code",IF(AND(L467&lt;&gt;"",O467=""),"No revenue GL code",""))))))))</f>
        <v/>
      </c>
      <c r="W467" s="25">
        <f>IF(E467="","",IFERROR(INDEX(lst_JobName,MATCH(E467&amp;"",lst_Jobs,0)),""))</f>
        <v/>
      </c>
      <c r="X467" s="28">
        <f>IF(E467="","",COUNTIFS(tbl_Finance[Job Number],E467&amp;"",tbl_Finance[Ex GST],"&lt;&gt;"))</f>
        <v/>
      </c>
      <c r="Y467" s="27">
        <f>IF(E467="","",SUMIFS(tbl_Finance[Ex GST],tbl_Finance[Job Number],E467&amp;""))</f>
        <v/>
      </c>
      <c r="Z467" s="27">
        <f>IF(E467="","",SUMIFS(tbl_Finance[Ex GST],tbl_Finance[Job Number],E467&amp;"",tbl_Finance[Xero Invoice No],"&lt;&gt;"))</f>
        <v/>
      </c>
      <c r="AA467" s="27">
        <f>IF(E467="","",Y467-Z467)</f>
        <v/>
      </c>
      <c r="AB467" s="25">
        <f>IF(E467="","",IF(H467="Onsite",IFERROR(INDEX(tbl_Onsite[Qwilr Quote],MATCH(E467&amp;"",tbl_Onsite[Job Number],0)),""),IF(H467="Production",IFERROR(INDEX(tbl_Production[Current RMS No],MATCH(E467&amp;"",tbl_Production[Job Number],0)),""),IF(H467="Consulting",IFERROR(INDEX(tbl_Consulting[Qwilr Quote],MATCH(E467&amp;"",tbl_Consulting[Job Number],0)),""),""))))</f>
        <v/>
      </c>
      <c r="AC467" s="25">
        <f>IF(AB467="","",IF(AND(LEFT(AB467,4)&lt;&gt;"http",IF(H467="Production",set_RMSBase,set_QwilrBase)=""),"",HYPERLINK(IF(LEFT(AB467,4)="http",AB467,IF(H467="Production",set_RMSBase,set_QwilrBase)&amp;AB467),"Open")))</f>
        <v/>
      </c>
      <c r="AD467" s="27">
        <f>IF(E467="","",IF(H467="Production",IFERROR(INDEX(tbl_Production[Total Expense],MATCH(E467&amp;"",tbl_Production[Job Number],0)),0),IF(H467="Consulting",IFERROR(INDEX(tbl_Consulting[Total Expense],MATCH(E467&amp;"",tbl_Consulting[Job Number],0)),0),0)))</f>
        <v/>
      </c>
      <c r="AE467" s="27">
        <f>IF(E467="","",Y467-N(AD467))</f>
        <v/>
      </c>
      <c r="AF467" s="29">
        <f>IFERROR(AE467/Y467,"")</f>
        <v/>
      </c>
      <c r="AG467" s="25">
        <f>IF(E467="","",IF(H467="Onsite",IFERROR(INDEX(tbl_Onsite[Notes],MATCH(E467&amp;"",tbl_Onsite[Job Number],0)),""),IF(H467="Production",IFERROR(INDEX(tbl_Production[Notes],MATCH(E467&amp;"",tbl_Production[Job Number],0)),""),IF(H467="Consulting",IFERROR(INDEX(tbl_Consulting[Notes],MATCH(E467&amp;"",tbl_Consulting[Job Number],0)),""),""))))</f>
        <v/>
      </c>
    </row>
    <row r="468" ht="15" customHeight="1">
      <c r="A468" s="22" t="n"/>
      <c r="B468" s="23">
        <f>IF(A468="","",EOMONTH(A468,0))</f>
        <v/>
      </c>
      <c r="C468" s="24" t="n"/>
      <c r="D468" s="24" t="n"/>
      <c r="E468" s="24" t="n"/>
      <c r="F468" s="25">
        <f>IF(E468="","",IF(COUNTIF(lst_Jobs,E468&amp;"")&gt;0,"OK","CHECK"))</f>
        <v/>
      </c>
      <c r="G468" s="24" t="n"/>
      <c r="H468" s="24" t="n"/>
      <c r="I468" s="24" t="n"/>
      <c r="J468" s="24" t="n"/>
      <c r="K468" s="24" t="n"/>
      <c r="L468" s="26" t="n"/>
      <c r="M468" s="27">
        <f>IF(L468="","",IF(K468="GST 10%",ROUND(L468*set_GSTRate,2),0))</f>
        <v/>
      </c>
      <c r="N468" s="27">
        <f>IF(L468="","",L468+M468)</f>
        <v/>
      </c>
      <c r="O468" s="24" t="n"/>
      <c r="P468" s="24" t="n"/>
      <c r="Q468" s="24" t="n"/>
      <c r="R468" s="22" t="n"/>
      <c r="S468" s="22" t="n"/>
      <c r="T468" s="24" t="n"/>
      <c r="U468" s="24" t="n"/>
      <c r="V468" s="25">
        <f>IF(COUNTA(A468,D468,C468,L468)=0,"",IF(A468="","No date - sits outside every month",IF(E468="","No job number",IF(F468="CHECK","Job number is not in the Xero job list",IF(I468="","No cost centre",IF(AND(P468="Y",C468=""),"Marked posted to Xero but has no invoice number",IF(AND(L468&lt;&gt;"",K468=""),"No tax code",IF(AND(L468&lt;&gt;"",O468=""),"No revenue GL code",""))))))))</f>
        <v/>
      </c>
      <c r="W468" s="25">
        <f>IF(E468="","",IFERROR(INDEX(lst_JobName,MATCH(E468&amp;"",lst_Jobs,0)),""))</f>
        <v/>
      </c>
      <c r="X468" s="28">
        <f>IF(E468="","",COUNTIFS(tbl_Finance[Job Number],E468&amp;"",tbl_Finance[Ex GST],"&lt;&gt;"))</f>
        <v/>
      </c>
      <c r="Y468" s="27">
        <f>IF(E468="","",SUMIFS(tbl_Finance[Ex GST],tbl_Finance[Job Number],E468&amp;""))</f>
        <v/>
      </c>
      <c r="Z468" s="27">
        <f>IF(E468="","",SUMIFS(tbl_Finance[Ex GST],tbl_Finance[Job Number],E468&amp;"",tbl_Finance[Xero Invoice No],"&lt;&gt;"))</f>
        <v/>
      </c>
      <c r="AA468" s="27">
        <f>IF(E468="","",Y468-Z468)</f>
        <v/>
      </c>
      <c r="AB468" s="25">
        <f>IF(E468="","",IF(H468="Onsite",IFERROR(INDEX(tbl_Onsite[Qwilr Quote],MATCH(E468&amp;"",tbl_Onsite[Job Number],0)),""),IF(H468="Production",IFERROR(INDEX(tbl_Production[Current RMS No],MATCH(E468&amp;"",tbl_Production[Job Number],0)),""),IF(H468="Consulting",IFERROR(INDEX(tbl_Consulting[Qwilr Quote],MATCH(E468&amp;"",tbl_Consulting[Job Number],0)),""),""))))</f>
        <v/>
      </c>
      <c r="AC468" s="25">
        <f>IF(AB468="","",IF(AND(LEFT(AB468,4)&lt;&gt;"http",IF(H468="Production",set_RMSBase,set_QwilrBase)=""),"",HYPERLINK(IF(LEFT(AB468,4)="http",AB468,IF(H468="Production",set_RMSBase,set_QwilrBase)&amp;AB468),"Open")))</f>
        <v/>
      </c>
      <c r="AD468" s="27">
        <f>IF(E468="","",IF(H468="Production",IFERROR(INDEX(tbl_Production[Total Expense],MATCH(E468&amp;"",tbl_Production[Job Number],0)),0),IF(H468="Consulting",IFERROR(INDEX(tbl_Consulting[Total Expense],MATCH(E468&amp;"",tbl_Consulting[Job Number],0)),0),0)))</f>
        <v/>
      </c>
      <c r="AE468" s="27">
        <f>IF(E468="","",Y468-N(AD468))</f>
        <v/>
      </c>
      <c r="AF468" s="29">
        <f>IFERROR(AE468/Y468,"")</f>
        <v/>
      </c>
      <c r="AG468" s="25">
        <f>IF(E468="","",IF(H468="Onsite",IFERROR(INDEX(tbl_Onsite[Notes],MATCH(E468&amp;"",tbl_Onsite[Job Number],0)),""),IF(H468="Production",IFERROR(INDEX(tbl_Production[Notes],MATCH(E468&amp;"",tbl_Production[Job Number],0)),""),IF(H468="Consulting",IFERROR(INDEX(tbl_Consulting[Notes],MATCH(E468&amp;"",tbl_Consulting[Job Number],0)),""),""))))</f>
        <v/>
      </c>
    </row>
    <row r="469" ht="15" customHeight="1">
      <c r="A469" s="22" t="n"/>
      <c r="B469" s="23">
        <f>IF(A469="","",EOMONTH(A469,0))</f>
        <v/>
      </c>
      <c r="C469" s="24" t="n"/>
      <c r="D469" s="24" t="n"/>
      <c r="E469" s="24" t="n"/>
      <c r="F469" s="25">
        <f>IF(E469="","",IF(COUNTIF(lst_Jobs,E469&amp;"")&gt;0,"OK","CHECK"))</f>
        <v/>
      </c>
      <c r="G469" s="24" t="n"/>
      <c r="H469" s="24" t="n"/>
      <c r="I469" s="24" t="n"/>
      <c r="J469" s="24" t="n"/>
      <c r="K469" s="24" t="n"/>
      <c r="L469" s="26" t="n"/>
      <c r="M469" s="27">
        <f>IF(L469="","",IF(K469="GST 10%",ROUND(L469*set_GSTRate,2),0))</f>
        <v/>
      </c>
      <c r="N469" s="27">
        <f>IF(L469="","",L469+M469)</f>
        <v/>
      </c>
      <c r="O469" s="24" t="n"/>
      <c r="P469" s="24" t="n"/>
      <c r="Q469" s="24" t="n"/>
      <c r="R469" s="22" t="n"/>
      <c r="S469" s="22" t="n"/>
      <c r="T469" s="24" t="n"/>
      <c r="U469" s="24" t="n"/>
      <c r="V469" s="25">
        <f>IF(COUNTA(A469,D469,C469,L469)=0,"",IF(A469="","No date - sits outside every month",IF(E469="","No job number",IF(F469="CHECK","Job number is not in the Xero job list",IF(I469="","No cost centre",IF(AND(P469="Y",C469=""),"Marked posted to Xero but has no invoice number",IF(AND(L469&lt;&gt;"",K469=""),"No tax code",IF(AND(L469&lt;&gt;"",O469=""),"No revenue GL code",""))))))))</f>
        <v/>
      </c>
      <c r="W469" s="25">
        <f>IF(E469="","",IFERROR(INDEX(lst_JobName,MATCH(E469&amp;"",lst_Jobs,0)),""))</f>
        <v/>
      </c>
      <c r="X469" s="28">
        <f>IF(E469="","",COUNTIFS(tbl_Finance[Job Number],E469&amp;"",tbl_Finance[Ex GST],"&lt;&gt;"))</f>
        <v/>
      </c>
      <c r="Y469" s="27">
        <f>IF(E469="","",SUMIFS(tbl_Finance[Ex GST],tbl_Finance[Job Number],E469&amp;""))</f>
        <v/>
      </c>
      <c r="Z469" s="27">
        <f>IF(E469="","",SUMIFS(tbl_Finance[Ex GST],tbl_Finance[Job Number],E469&amp;"",tbl_Finance[Xero Invoice No],"&lt;&gt;"))</f>
        <v/>
      </c>
      <c r="AA469" s="27">
        <f>IF(E469="","",Y469-Z469)</f>
        <v/>
      </c>
      <c r="AB469" s="25">
        <f>IF(E469="","",IF(H469="Onsite",IFERROR(INDEX(tbl_Onsite[Qwilr Quote],MATCH(E469&amp;"",tbl_Onsite[Job Number],0)),""),IF(H469="Production",IFERROR(INDEX(tbl_Production[Current RMS No],MATCH(E469&amp;"",tbl_Production[Job Number],0)),""),IF(H469="Consulting",IFERROR(INDEX(tbl_Consulting[Qwilr Quote],MATCH(E469&amp;"",tbl_Consulting[Job Number],0)),""),""))))</f>
        <v/>
      </c>
      <c r="AC469" s="25">
        <f>IF(AB469="","",IF(AND(LEFT(AB469,4)&lt;&gt;"http",IF(H469="Production",set_RMSBase,set_QwilrBase)=""),"",HYPERLINK(IF(LEFT(AB469,4)="http",AB469,IF(H469="Production",set_RMSBase,set_QwilrBase)&amp;AB469),"Open")))</f>
        <v/>
      </c>
      <c r="AD469" s="27">
        <f>IF(E469="","",IF(H469="Production",IFERROR(INDEX(tbl_Production[Total Expense],MATCH(E469&amp;"",tbl_Production[Job Number],0)),0),IF(H469="Consulting",IFERROR(INDEX(tbl_Consulting[Total Expense],MATCH(E469&amp;"",tbl_Consulting[Job Number],0)),0),0)))</f>
        <v/>
      </c>
      <c r="AE469" s="27">
        <f>IF(E469="","",Y469-N(AD469))</f>
        <v/>
      </c>
      <c r="AF469" s="29">
        <f>IFERROR(AE469/Y469,"")</f>
        <v/>
      </c>
      <c r="AG469" s="25">
        <f>IF(E469="","",IF(H469="Onsite",IFERROR(INDEX(tbl_Onsite[Notes],MATCH(E469&amp;"",tbl_Onsite[Job Number],0)),""),IF(H469="Production",IFERROR(INDEX(tbl_Production[Notes],MATCH(E469&amp;"",tbl_Production[Job Number],0)),""),IF(H469="Consulting",IFERROR(INDEX(tbl_Consulting[Notes],MATCH(E469&amp;"",tbl_Consulting[Job Number],0)),""),""))))</f>
        <v/>
      </c>
    </row>
    <row r="470" ht="15" customHeight="1">
      <c r="A470" s="22" t="n"/>
      <c r="B470" s="23">
        <f>IF(A470="","",EOMONTH(A470,0))</f>
        <v/>
      </c>
      <c r="C470" s="24" t="n"/>
      <c r="D470" s="24" t="n"/>
      <c r="E470" s="24" t="n"/>
      <c r="F470" s="25">
        <f>IF(E470="","",IF(COUNTIF(lst_Jobs,E470&amp;"")&gt;0,"OK","CHECK"))</f>
        <v/>
      </c>
      <c r="G470" s="24" t="n"/>
      <c r="H470" s="24" t="n"/>
      <c r="I470" s="24" t="n"/>
      <c r="J470" s="24" t="n"/>
      <c r="K470" s="24" t="n"/>
      <c r="L470" s="26" t="n"/>
      <c r="M470" s="27">
        <f>IF(L470="","",IF(K470="GST 10%",ROUND(L470*set_GSTRate,2),0))</f>
        <v/>
      </c>
      <c r="N470" s="27">
        <f>IF(L470="","",L470+M470)</f>
        <v/>
      </c>
      <c r="O470" s="24" t="n"/>
      <c r="P470" s="24" t="n"/>
      <c r="Q470" s="24" t="n"/>
      <c r="R470" s="22" t="n"/>
      <c r="S470" s="22" t="n"/>
      <c r="T470" s="24" t="n"/>
      <c r="U470" s="24" t="n"/>
      <c r="V470" s="25">
        <f>IF(COUNTA(A470,D470,C470,L470)=0,"",IF(A470="","No date - sits outside every month",IF(E470="","No job number",IF(F470="CHECK","Job number is not in the Xero job list",IF(I470="","No cost centre",IF(AND(P470="Y",C470=""),"Marked posted to Xero but has no invoice number",IF(AND(L470&lt;&gt;"",K470=""),"No tax code",IF(AND(L470&lt;&gt;"",O470=""),"No revenue GL code",""))))))))</f>
        <v/>
      </c>
      <c r="W470" s="25">
        <f>IF(E470="","",IFERROR(INDEX(lst_JobName,MATCH(E470&amp;"",lst_Jobs,0)),""))</f>
        <v/>
      </c>
      <c r="X470" s="28">
        <f>IF(E470="","",COUNTIFS(tbl_Finance[Job Number],E470&amp;"",tbl_Finance[Ex GST],"&lt;&gt;"))</f>
        <v/>
      </c>
      <c r="Y470" s="27">
        <f>IF(E470="","",SUMIFS(tbl_Finance[Ex GST],tbl_Finance[Job Number],E470&amp;""))</f>
        <v/>
      </c>
      <c r="Z470" s="27">
        <f>IF(E470="","",SUMIFS(tbl_Finance[Ex GST],tbl_Finance[Job Number],E470&amp;"",tbl_Finance[Xero Invoice No],"&lt;&gt;"))</f>
        <v/>
      </c>
      <c r="AA470" s="27">
        <f>IF(E470="","",Y470-Z470)</f>
        <v/>
      </c>
      <c r="AB470" s="25">
        <f>IF(E470="","",IF(H470="Onsite",IFERROR(INDEX(tbl_Onsite[Qwilr Quote],MATCH(E470&amp;"",tbl_Onsite[Job Number],0)),""),IF(H470="Production",IFERROR(INDEX(tbl_Production[Current RMS No],MATCH(E470&amp;"",tbl_Production[Job Number],0)),""),IF(H470="Consulting",IFERROR(INDEX(tbl_Consulting[Qwilr Quote],MATCH(E470&amp;"",tbl_Consulting[Job Number],0)),""),""))))</f>
        <v/>
      </c>
      <c r="AC470" s="25">
        <f>IF(AB470="","",IF(AND(LEFT(AB470,4)&lt;&gt;"http",IF(H470="Production",set_RMSBase,set_QwilrBase)=""),"",HYPERLINK(IF(LEFT(AB470,4)="http",AB470,IF(H470="Production",set_RMSBase,set_QwilrBase)&amp;AB470),"Open")))</f>
        <v/>
      </c>
      <c r="AD470" s="27">
        <f>IF(E470="","",IF(H470="Production",IFERROR(INDEX(tbl_Production[Total Expense],MATCH(E470&amp;"",tbl_Production[Job Number],0)),0),IF(H470="Consulting",IFERROR(INDEX(tbl_Consulting[Total Expense],MATCH(E470&amp;"",tbl_Consulting[Job Number],0)),0),0)))</f>
        <v/>
      </c>
      <c r="AE470" s="27">
        <f>IF(E470="","",Y470-N(AD470))</f>
        <v/>
      </c>
      <c r="AF470" s="29">
        <f>IFERROR(AE470/Y470,"")</f>
        <v/>
      </c>
      <c r="AG470" s="25">
        <f>IF(E470="","",IF(H470="Onsite",IFERROR(INDEX(tbl_Onsite[Notes],MATCH(E470&amp;"",tbl_Onsite[Job Number],0)),""),IF(H470="Production",IFERROR(INDEX(tbl_Production[Notes],MATCH(E470&amp;"",tbl_Production[Job Number],0)),""),IF(H470="Consulting",IFERROR(INDEX(tbl_Consulting[Notes],MATCH(E470&amp;"",tbl_Consulting[Job Number],0)),""),""))))</f>
        <v/>
      </c>
    </row>
    <row r="471" ht="15" customHeight="1">
      <c r="A471" s="22" t="n"/>
      <c r="B471" s="23">
        <f>IF(A471="","",EOMONTH(A471,0))</f>
        <v/>
      </c>
      <c r="C471" s="24" t="n"/>
      <c r="D471" s="24" t="n"/>
      <c r="E471" s="24" t="n"/>
      <c r="F471" s="25">
        <f>IF(E471="","",IF(COUNTIF(lst_Jobs,E471&amp;"")&gt;0,"OK","CHECK"))</f>
        <v/>
      </c>
      <c r="G471" s="24" t="n"/>
      <c r="H471" s="24" t="n"/>
      <c r="I471" s="24" t="n"/>
      <c r="J471" s="24" t="n"/>
      <c r="K471" s="24" t="n"/>
      <c r="L471" s="26" t="n"/>
      <c r="M471" s="27">
        <f>IF(L471="","",IF(K471="GST 10%",ROUND(L471*set_GSTRate,2),0))</f>
        <v/>
      </c>
      <c r="N471" s="27">
        <f>IF(L471="","",L471+M471)</f>
        <v/>
      </c>
      <c r="O471" s="24" t="n"/>
      <c r="P471" s="24" t="n"/>
      <c r="Q471" s="24" t="n"/>
      <c r="R471" s="22" t="n"/>
      <c r="S471" s="22" t="n"/>
      <c r="T471" s="24" t="n"/>
      <c r="U471" s="24" t="n"/>
      <c r="V471" s="25">
        <f>IF(COUNTA(A471,D471,C471,L471)=0,"",IF(A471="","No date - sits outside every month",IF(E471="","No job number",IF(F471="CHECK","Job number is not in the Xero job list",IF(I471="","No cost centre",IF(AND(P471="Y",C471=""),"Marked posted to Xero but has no invoice number",IF(AND(L471&lt;&gt;"",K471=""),"No tax code",IF(AND(L471&lt;&gt;"",O471=""),"No revenue GL code",""))))))))</f>
        <v/>
      </c>
      <c r="W471" s="25">
        <f>IF(E471="","",IFERROR(INDEX(lst_JobName,MATCH(E471&amp;"",lst_Jobs,0)),""))</f>
        <v/>
      </c>
      <c r="X471" s="28">
        <f>IF(E471="","",COUNTIFS(tbl_Finance[Job Number],E471&amp;"",tbl_Finance[Ex GST],"&lt;&gt;"))</f>
        <v/>
      </c>
      <c r="Y471" s="27">
        <f>IF(E471="","",SUMIFS(tbl_Finance[Ex GST],tbl_Finance[Job Number],E471&amp;""))</f>
        <v/>
      </c>
      <c r="Z471" s="27">
        <f>IF(E471="","",SUMIFS(tbl_Finance[Ex GST],tbl_Finance[Job Number],E471&amp;"",tbl_Finance[Xero Invoice No],"&lt;&gt;"))</f>
        <v/>
      </c>
      <c r="AA471" s="27">
        <f>IF(E471="","",Y471-Z471)</f>
        <v/>
      </c>
      <c r="AB471" s="25">
        <f>IF(E471="","",IF(H471="Onsite",IFERROR(INDEX(tbl_Onsite[Qwilr Quote],MATCH(E471&amp;"",tbl_Onsite[Job Number],0)),""),IF(H471="Production",IFERROR(INDEX(tbl_Production[Current RMS No],MATCH(E471&amp;"",tbl_Production[Job Number],0)),""),IF(H471="Consulting",IFERROR(INDEX(tbl_Consulting[Qwilr Quote],MATCH(E471&amp;"",tbl_Consulting[Job Number],0)),""),""))))</f>
        <v/>
      </c>
      <c r="AC471" s="25">
        <f>IF(AB471="","",IF(AND(LEFT(AB471,4)&lt;&gt;"http",IF(H471="Production",set_RMSBase,set_QwilrBase)=""),"",HYPERLINK(IF(LEFT(AB471,4)="http",AB471,IF(H471="Production",set_RMSBase,set_QwilrBase)&amp;AB471),"Open")))</f>
        <v/>
      </c>
      <c r="AD471" s="27">
        <f>IF(E471="","",IF(H471="Production",IFERROR(INDEX(tbl_Production[Total Expense],MATCH(E471&amp;"",tbl_Production[Job Number],0)),0),IF(H471="Consulting",IFERROR(INDEX(tbl_Consulting[Total Expense],MATCH(E471&amp;"",tbl_Consulting[Job Number],0)),0),0)))</f>
        <v/>
      </c>
      <c r="AE471" s="27">
        <f>IF(E471="","",Y471-N(AD471))</f>
        <v/>
      </c>
      <c r="AF471" s="29">
        <f>IFERROR(AE471/Y471,"")</f>
        <v/>
      </c>
      <c r="AG471" s="25">
        <f>IF(E471="","",IF(H471="Onsite",IFERROR(INDEX(tbl_Onsite[Notes],MATCH(E471&amp;"",tbl_Onsite[Job Number],0)),""),IF(H471="Production",IFERROR(INDEX(tbl_Production[Notes],MATCH(E471&amp;"",tbl_Production[Job Number],0)),""),IF(H471="Consulting",IFERROR(INDEX(tbl_Consulting[Notes],MATCH(E471&amp;"",tbl_Consulting[Job Number],0)),""),""))))</f>
        <v/>
      </c>
    </row>
    <row r="472" ht="15" customHeight="1">
      <c r="A472" s="22" t="n"/>
      <c r="B472" s="23">
        <f>IF(A472="","",EOMONTH(A472,0))</f>
        <v/>
      </c>
      <c r="C472" s="24" t="n"/>
      <c r="D472" s="24" t="n"/>
      <c r="E472" s="24" t="n"/>
      <c r="F472" s="25">
        <f>IF(E472="","",IF(COUNTIF(lst_Jobs,E472&amp;"")&gt;0,"OK","CHECK"))</f>
        <v/>
      </c>
      <c r="G472" s="24" t="n"/>
      <c r="H472" s="24" t="n"/>
      <c r="I472" s="24" t="n"/>
      <c r="J472" s="24" t="n"/>
      <c r="K472" s="24" t="n"/>
      <c r="L472" s="26" t="n"/>
      <c r="M472" s="27">
        <f>IF(L472="","",IF(K472="GST 10%",ROUND(L472*set_GSTRate,2),0))</f>
        <v/>
      </c>
      <c r="N472" s="27">
        <f>IF(L472="","",L472+M472)</f>
        <v/>
      </c>
      <c r="O472" s="24" t="n"/>
      <c r="P472" s="24" t="n"/>
      <c r="Q472" s="24" t="n"/>
      <c r="R472" s="22" t="n"/>
      <c r="S472" s="22" t="n"/>
      <c r="T472" s="24" t="n"/>
      <c r="U472" s="24" t="n"/>
      <c r="V472" s="25">
        <f>IF(COUNTA(A472,D472,C472,L472)=0,"",IF(A472="","No date - sits outside every month",IF(E472="","No job number",IF(F472="CHECK","Job number is not in the Xero job list",IF(I472="","No cost centre",IF(AND(P472="Y",C472=""),"Marked posted to Xero but has no invoice number",IF(AND(L472&lt;&gt;"",K472=""),"No tax code",IF(AND(L472&lt;&gt;"",O472=""),"No revenue GL code",""))))))))</f>
        <v/>
      </c>
      <c r="W472" s="25">
        <f>IF(E472="","",IFERROR(INDEX(lst_JobName,MATCH(E472&amp;"",lst_Jobs,0)),""))</f>
        <v/>
      </c>
      <c r="X472" s="28">
        <f>IF(E472="","",COUNTIFS(tbl_Finance[Job Number],E472&amp;"",tbl_Finance[Ex GST],"&lt;&gt;"))</f>
        <v/>
      </c>
      <c r="Y472" s="27">
        <f>IF(E472="","",SUMIFS(tbl_Finance[Ex GST],tbl_Finance[Job Number],E472&amp;""))</f>
        <v/>
      </c>
      <c r="Z472" s="27">
        <f>IF(E472="","",SUMIFS(tbl_Finance[Ex GST],tbl_Finance[Job Number],E472&amp;"",tbl_Finance[Xero Invoice No],"&lt;&gt;"))</f>
        <v/>
      </c>
      <c r="AA472" s="27">
        <f>IF(E472="","",Y472-Z472)</f>
        <v/>
      </c>
      <c r="AB472" s="25">
        <f>IF(E472="","",IF(H472="Onsite",IFERROR(INDEX(tbl_Onsite[Qwilr Quote],MATCH(E472&amp;"",tbl_Onsite[Job Number],0)),""),IF(H472="Production",IFERROR(INDEX(tbl_Production[Current RMS No],MATCH(E472&amp;"",tbl_Production[Job Number],0)),""),IF(H472="Consulting",IFERROR(INDEX(tbl_Consulting[Qwilr Quote],MATCH(E472&amp;"",tbl_Consulting[Job Number],0)),""),""))))</f>
        <v/>
      </c>
      <c r="AC472" s="25">
        <f>IF(AB472="","",IF(AND(LEFT(AB472,4)&lt;&gt;"http",IF(H472="Production",set_RMSBase,set_QwilrBase)=""),"",HYPERLINK(IF(LEFT(AB472,4)="http",AB472,IF(H472="Production",set_RMSBase,set_QwilrBase)&amp;AB472),"Open")))</f>
        <v/>
      </c>
      <c r="AD472" s="27">
        <f>IF(E472="","",IF(H472="Production",IFERROR(INDEX(tbl_Production[Total Expense],MATCH(E472&amp;"",tbl_Production[Job Number],0)),0),IF(H472="Consulting",IFERROR(INDEX(tbl_Consulting[Total Expense],MATCH(E472&amp;"",tbl_Consulting[Job Number],0)),0),0)))</f>
        <v/>
      </c>
      <c r="AE472" s="27">
        <f>IF(E472="","",Y472-N(AD472))</f>
        <v/>
      </c>
      <c r="AF472" s="29">
        <f>IFERROR(AE472/Y472,"")</f>
        <v/>
      </c>
      <c r="AG472" s="25">
        <f>IF(E472="","",IF(H472="Onsite",IFERROR(INDEX(tbl_Onsite[Notes],MATCH(E472&amp;"",tbl_Onsite[Job Number],0)),""),IF(H472="Production",IFERROR(INDEX(tbl_Production[Notes],MATCH(E472&amp;"",tbl_Production[Job Number],0)),""),IF(H472="Consulting",IFERROR(INDEX(tbl_Consulting[Notes],MATCH(E472&amp;"",tbl_Consulting[Job Number],0)),""),""))))</f>
        <v/>
      </c>
    </row>
    <row r="473" ht="15" customHeight="1">
      <c r="A473" s="22" t="n"/>
      <c r="B473" s="23">
        <f>IF(A473="","",EOMONTH(A473,0))</f>
        <v/>
      </c>
      <c r="C473" s="24" t="n"/>
      <c r="D473" s="24" t="n"/>
      <c r="E473" s="24" t="n"/>
      <c r="F473" s="25">
        <f>IF(E473="","",IF(COUNTIF(lst_Jobs,E473&amp;"")&gt;0,"OK","CHECK"))</f>
        <v/>
      </c>
      <c r="G473" s="24" t="n"/>
      <c r="H473" s="24" t="n"/>
      <c r="I473" s="24" t="n"/>
      <c r="J473" s="24" t="n"/>
      <c r="K473" s="24" t="n"/>
      <c r="L473" s="26" t="n"/>
      <c r="M473" s="27">
        <f>IF(L473="","",IF(K473="GST 10%",ROUND(L473*set_GSTRate,2),0))</f>
        <v/>
      </c>
      <c r="N473" s="27">
        <f>IF(L473="","",L473+M473)</f>
        <v/>
      </c>
      <c r="O473" s="24" t="n"/>
      <c r="P473" s="24" t="n"/>
      <c r="Q473" s="24" t="n"/>
      <c r="R473" s="22" t="n"/>
      <c r="S473" s="22" t="n"/>
      <c r="T473" s="24" t="n"/>
      <c r="U473" s="24" t="n"/>
      <c r="V473" s="25">
        <f>IF(COUNTA(A473,D473,C473,L473)=0,"",IF(A473="","No date - sits outside every month",IF(E473="","No job number",IF(F473="CHECK","Job number is not in the Xero job list",IF(I473="","No cost centre",IF(AND(P473="Y",C473=""),"Marked posted to Xero but has no invoice number",IF(AND(L473&lt;&gt;"",K473=""),"No tax code",IF(AND(L473&lt;&gt;"",O473=""),"No revenue GL code",""))))))))</f>
        <v/>
      </c>
      <c r="W473" s="25">
        <f>IF(E473="","",IFERROR(INDEX(lst_JobName,MATCH(E473&amp;"",lst_Jobs,0)),""))</f>
        <v/>
      </c>
      <c r="X473" s="28">
        <f>IF(E473="","",COUNTIFS(tbl_Finance[Job Number],E473&amp;"",tbl_Finance[Ex GST],"&lt;&gt;"))</f>
        <v/>
      </c>
      <c r="Y473" s="27">
        <f>IF(E473="","",SUMIFS(tbl_Finance[Ex GST],tbl_Finance[Job Number],E473&amp;""))</f>
        <v/>
      </c>
      <c r="Z473" s="27">
        <f>IF(E473="","",SUMIFS(tbl_Finance[Ex GST],tbl_Finance[Job Number],E473&amp;"",tbl_Finance[Xero Invoice No],"&lt;&gt;"))</f>
        <v/>
      </c>
      <c r="AA473" s="27">
        <f>IF(E473="","",Y473-Z473)</f>
        <v/>
      </c>
      <c r="AB473" s="25">
        <f>IF(E473="","",IF(H473="Onsite",IFERROR(INDEX(tbl_Onsite[Qwilr Quote],MATCH(E473&amp;"",tbl_Onsite[Job Number],0)),""),IF(H473="Production",IFERROR(INDEX(tbl_Production[Current RMS No],MATCH(E473&amp;"",tbl_Production[Job Number],0)),""),IF(H473="Consulting",IFERROR(INDEX(tbl_Consulting[Qwilr Quote],MATCH(E473&amp;"",tbl_Consulting[Job Number],0)),""),""))))</f>
        <v/>
      </c>
      <c r="AC473" s="25">
        <f>IF(AB473="","",IF(AND(LEFT(AB473,4)&lt;&gt;"http",IF(H473="Production",set_RMSBase,set_QwilrBase)=""),"",HYPERLINK(IF(LEFT(AB473,4)="http",AB473,IF(H473="Production",set_RMSBase,set_QwilrBase)&amp;AB473),"Open")))</f>
        <v/>
      </c>
      <c r="AD473" s="27">
        <f>IF(E473="","",IF(H473="Production",IFERROR(INDEX(tbl_Production[Total Expense],MATCH(E473&amp;"",tbl_Production[Job Number],0)),0),IF(H473="Consulting",IFERROR(INDEX(tbl_Consulting[Total Expense],MATCH(E473&amp;"",tbl_Consulting[Job Number],0)),0),0)))</f>
        <v/>
      </c>
      <c r="AE473" s="27">
        <f>IF(E473="","",Y473-N(AD473))</f>
        <v/>
      </c>
      <c r="AF473" s="29">
        <f>IFERROR(AE473/Y473,"")</f>
        <v/>
      </c>
      <c r="AG473" s="25">
        <f>IF(E473="","",IF(H473="Onsite",IFERROR(INDEX(tbl_Onsite[Notes],MATCH(E473&amp;"",tbl_Onsite[Job Number],0)),""),IF(H473="Production",IFERROR(INDEX(tbl_Production[Notes],MATCH(E473&amp;"",tbl_Production[Job Number],0)),""),IF(H473="Consulting",IFERROR(INDEX(tbl_Consulting[Notes],MATCH(E473&amp;"",tbl_Consulting[Job Number],0)),""),""))))</f>
        <v/>
      </c>
    </row>
    <row r="474" ht="15" customHeight="1">
      <c r="A474" s="22" t="n"/>
      <c r="B474" s="23">
        <f>IF(A474="","",EOMONTH(A474,0))</f>
        <v/>
      </c>
      <c r="C474" s="24" t="n"/>
      <c r="D474" s="24" t="n"/>
      <c r="E474" s="24" t="n"/>
      <c r="F474" s="25">
        <f>IF(E474="","",IF(COUNTIF(lst_Jobs,E474&amp;"")&gt;0,"OK","CHECK"))</f>
        <v/>
      </c>
      <c r="G474" s="24" t="n"/>
      <c r="H474" s="24" t="n"/>
      <c r="I474" s="24" t="n"/>
      <c r="J474" s="24" t="n"/>
      <c r="K474" s="24" t="n"/>
      <c r="L474" s="26" t="n"/>
      <c r="M474" s="27">
        <f>IF(L474="","",IF(K474="GST 10%",ROUND(L474*set_GSTRate,2),0))</f>
        <v/>
      </c>
      <c r="N474" s="27">
        <f>IF(L474="","",L474+M474)</f>
        <v/>
      </c>
      <c r="O474" s="24" t="n"/>
      <c r="P474" s="24" t="n"/>
      <c r="Q474" s="24" t="n"/>
      <c r="R474" s="22" t="n"/>
      <c r="S474" s="22" t="n"/>
      <c r="T474" s="24" t="n"/>
      <c r="U474" s="24" t="n"/>
      <c r="V474" s="25">
        <f>IF(COUNTA(A474,D474,C474,L474)=0,"",IF(A474="","No date - sits outside every month",IF(E474="","No job number",IF(F474="CHECK","Job number is not in the Xero job list",IF(I474="","No cost centre",IF(AND(P474="Y",C474=""),"Marked posted to Xero but has no invoice number",IF(AND(L474&lt;&gt;"",K474=""),"No tax code",IF(AND(L474&lt;&gt;"",O474=""),"No revenue GL code",""))))))))</f>
        <v/>
      </c>
      <c r="W474" s="25">
        <f>IF(E474="","",IFERROR(INDEX(lst_JobName,MATCH(E474&amp;"",lst_Jobs,0)),""))</f>
        <v/>
      </c>
      <c r="X474" s="28">
        <f>IF(E474="","",COUNTIFS(tbl_Finance[Job Number],E474&amp;"",tbl_Finance[Ex GST],"&lt;&gt;"))</f>
        <v/>
      </c>
      <c r="Y474" s="27">
        <f>IF(E474="","",SUMIFS(tbl_Finance[Ex GST],tbl_Finance[Job Number],E474&amp;""))</f>
        <v/>
      </c>
      <c r="Z474" s="27">
        <f>IF(E474="","",SUMIFS(tbl_Finance[Ex GST],tbl_Finance[Job Number],E474&amp;"",tbl_Finance[Xero Invoice No],"&lt;&gt;"))</f>
        <v/>
      </c>
      <c r="AA474" s="27">
        <f>IF(E474="","",Y474-Z474)</f>
        <v/>
      </c>
      <c r="AB474" s="25">
        <f>IF(E474="","",IF(H474="Onsite",IFERROR(INDEX(tbl_Onsite[Qwilr Quote],MATCH(E474&amp;"",tbl_Onsite[Job Number],0)),""),IF(H474="Production",IFERROR(INDEX(tbl_Production[Current RMS No],MATCH(E474&amp;"",tbl_Production[Job Number],0)),""),IF(H474="Consulting",IFERROR(INDEX(tbl_Consulting[Qwilr Quote],MATCH(E474&amp;"",tbl_Consulting[Job Number],0)),""),""))))</f>
        <v/>
      </c>
      <c r="AC474" s="25">
        <f>IF(AB474="","",IF(AND(LEFT(AB474,4)&lt;&gt;"http",IF(H474="Production",set_RMSBase,set_QwilrBase)=""),"",HYPERLINK(IF(LEFT(AB474,4)="http",AB474,IF(H474="Production",set_RMSBase,set_QwilrBase)&amp;AB474),"Open")))</f>
        <v/>
      </c>
      <c r="AD474" s="27">
        <f>IF(E474="","",IF(H474="Production",IFERROR(INDEX(tbl_Production[Total Expense],MATCH(E474&amp;"",tbl_Production[Job Number],0)),0),IF(H474="Consulting",IFERROR(INDEX(tbl_Consulting[Total Expense],MATCH(E474&amp;"",tbl_Consulting[Job Number],0)),0),0)))</f>
        <v/>
      </c>
      <c r="AE474" s="27">
        <f>IF(E474="","",Y474-N(AD474))</f>
        <v/>
      </c>
      <c r="AF474" s="29">
        <f>IFERROR(AE474/Y474,"")</f>
        <v/>
      </c>
      <c r="AG474" s="25">
        <f>IF(E474="","",IF(H474="Onsite",IFERROR(INDEX(tbl_Onsite[Notes],MATCH(E474&amp;"",tbl_Onsite[Job Number],0)),""),IF(H474="Production",IFERROR(INDEX(tbl_Production[Notes],MATCH(E474&amp;"",tbl_Production[Job Number],0)),""),IF(H474="Consulting",IFERROR(INDEX(tbl_Consulting[Notes],MATCH(E474&amp;"",tbl_Consulting[Job Number],0)),""),""))))</f>
        <v/>
      </c>
    </row>
    <row r="475" ht="15" customHeight="1">
      <c r="A475" s="22" t="n"/>
      <c r="B475" s="23">
        <f>IF(A475="","",EOMONTH(A475,0))</f>
        <v/>
      </c>
      <c r="C475" s="24" t="n"/>
      <c r="D475" s="24" t="n"/>
      <c r="E475" s="24" t="n"/>
      <c r="F475" s="25">
        <f>IF(E475="","",IF(COUNTIF(lst_Jobs,E475&amp;"")&gt;0,"OK","CHECK"))</f>
        <v/>
      </c>
      <c r="G475" s="24" t="n"/>
      <c r="H475" s="24" t="n"/>
      <c r="I475" s="24" t="n"/>
      <c r="J475" s="24" t="n"/>
      <c r="K475" s="24" t="n"/>
      <c r="L475" s="26" t="n"/>
      <c r="M475" s="27">
        <f>IF(L475="","",IF(K475="GST 10%",ROUND(L475*set_GSTRate,2),0))</f>
        <v/>
      </c>
      <c r="N475" s="27">
        <f>IF(L475="","",L475+M475)</f>
        <v/>
      </c>
      <c r="O475" s="24" t="n"/>
      <c r="P475" s="24" t="n"/>
      <c r="Q475" s="24" t="n"/>
      <c r="R475" s="22" t="n"/>
      <c r="S475" s="22" t="n"/>
      <c r="T475" s="24" t="n"/>
      <c r="U475" s="24" t="n"/>
      <c r="V475" s="25">
        <f>IF(COUNTA(A475,D475,C475,L475)=0,"",IF(A475="","No date - sits outside every month",IF(E475="","No job number",IF(F475="CHECK","Job number is not in the Xero job list",IF(I475="","No cost centre",IF(AND(P475="Y",C475=""),"Marked posted to Xero but has no invoice number",IF(AND(L475&lt;&gt;"",K475=""),"No tax code",IF(AND(L475&lt;&gt;"",O475=""),"No revenue GL code",""))))))))</f>
        <v/>
      </c>
      <c r="W475" s="25">
        <f>IF(E475="","",IFERROR(INDEX(lst_JobName,MATCH(E475&amp;"",lst_Jobs,0)),""))</f>
        <v/>
      </c>
      <c r="X475" s="28">
        <f>IF(E475="","",COUNTIFS(tbl_Finance[Job Number],E475&amp;"",tbl_Finance[Ex GST],"&lt;&gt;"))</f>
        <v/>
      </c>
      <c r="Y475" s="27">
        <f>IF(E475="","",SUMIFS(tbl_Finance[Ex GST],tbl_Finance[Job Number],E475&amp;""))</f>
        <v/>
      </c>
      <c r="Z475" s="27">
        <f>IF(E475="","",SUMIFS(tbl_Finance[Ex GST],tbl_Finance[Job Number],E475&amp;"",tbl_Finance[Xero Invoice No],"&lt;&gt;"))</f>
        <v/>
      </c>
      <c r="AA475" s="27">
        <f>IF(E475="","",Y475-Z475)</f>
        <v/>
      </c>
      <c r="AB475" s="25">
        <f>IF(E475="","",IF(H475="Onsite",IFERROR(INDEX(tbl_Onsite[Qwilr Quote],MATCH(E475&amp;"",tbl_Onsite[Job Number],0)),""),IF(H475="Production",IFERROR(INDEX(tbl_Production[Current RMS No],MATCH(E475&amp;"",tbl_Production[Job Number],0)),""),IF(H475="Consulting",IFERROR(INDEX(tbl_Consulting[Qwilr Quote],MATCH(E475&amp;"",tbl_Consulting[Job Number],0)),""),""))))</f>
        <v/>
      </c>
      <c r="AC475" s="25">
        <f>IF(AB475="","",IF(AND(LEFT(AB475,4)&lt;&gt;"http",IF(H475="Production",set_RMSBase,set_QwilrBase)=""),"",HYPERLINK(IF(LEFT(AB475,4)="http",AB475,IF(H475="Production",set_RMSBase,set_QwilrBase)&amp;AB475),"Open")))</f>
        <v/>
      </c>
      <c r="AD475" s="27">
        <f>IF(E475="","",IF(H475="Production",IFERROR(INDEX(tbl_Production[Total Expense],MATCH(E475&amp;"",tbl_Production[Job Number],0)),0),IF(H475="Consulting",IFERROR(INDEX(tbl_Consulting[Total Expense],MATCH(E475&amp;"",tbl_Consulting[Job Number],0)),0),0)))</f>
        <v/>
      </c>
      <c r="AE475" s="27">
        <f>IF(E475="","",Y475-N(AD475))</f>
        <v/>
      </c>
      <c r="AF475" s="29">
        <f>IFERROR(AE475/Y475,"")</f>
        <v/>
      </c>
      <c r="AG475" s="25">
        <f>IF(E475="","",IF(H475="Onsite",IFERROR(INDEX(tbl_Onsite[Notes],MATCH(E475&amp;"",tbl_Onsite[Job Number],0)),""),IF(H475="Production",IFERROR(INDEX(tbl_Production[Notes],MATCH(E475&amp;"",tbl_Production[Job Number],0)),""),IF(H475="Consulting",IFERROR(INDEX(tbl_Consulting[Notes],MATCH(E475&amp;"",tbl_Consulting[Job Number],0)),""),""))))</f>
        <v/>
      </c>
    </row>
    <row r="476" ht="15" customHeight="1">
      <c r="A476" s="22" t="n"/>
      <c r="B476" s="23">
        <f>IF(A476="","",EOMONTH(A476,0))</f>
        <v/>
      </c>
      <c r="C476" s="24" t="n"/>
      <c r="D476" s="24" t="n"/>
      <c r="E476" s="24" t="n"/>
      <c r="F476" s="25">
        <f>IF(E476="","",IF(COUNTIF(lst_Jobs,E476&amp;"")&gt;0,"OK","CHECK"))</f>
        <v/>
      </c>
      <c r="G476" s="24" t="n"/>
      <c r="H476" s="24" t="n"/>
      <c r="I476" s="24" t="n"/>
      <c r="J476" s="24" t="n"/>
      <c r="K476" s="24" t="n"/>
      <c r="L476" s="26" t="n"/>
      <c r="M476" s="27">
        <f>IF(L476="","",IF(K476="GST 10%",ROUND(L476*set_GSTRate,2),0))</f>
        <v/>
      </c>
      <c r="N476" s="27">
        <f>IF(L476="","",L476+M476)</f>
        <v/>
      </c>
      <c r="O476" s="24" t="n"/>
      <c r="P476" s="24" t="n"/>
      <c r="Q476" s="24" t="n"/>
      <c r="R476" s="22" t="n"/>
      <c r="S476" s="22" t="n"/>
      <c r="T476" s="24" t="n"/>
      <c r="U476" s="24" t="n"/>
      <c r="V476" s="25">
        <f>IF(COUNTA(A476,D476,C476,L476)=0,"",IF(A476="","No date - sits outside every month",IF(E476="","No job number",IF(F476="CHECK","Job number is not in the Xero job list",IF(I476="","No cost centre",IF(AND(P476="Y",C476=""),"Marked posted to Xero but has no invoice number",IF(AND(L476&lt;&gt;"",K476=""),"No tax code",IF(AND(L476&lt;&gt;"",O476=""),"No revenue GL code",""))))))))</f>
        <v/>
      </c>
      <c r="W476" s="25">
        <f>IF(E476="","",IFERROR(INDEX(lst_JobName,MATCH(E476&amp;"",lst_Jobs,0)),""))</f>
        <v/>
      </c>
      <c r="X476" s="28">
        <f>IF(E476="","",COUNTIFS(tbl_Finance[Job Number],E476&amp;"",tbl_Finance[Ex GST],"&lt;&gt;"))</f>
        <v/>
      </c>
      <c r="Y476" s="27">
        <f>IF(E476="","",SUMIFS(tbl_Finance[Ex GST],tbl_Finance[Job Number],E476&amp;""))</f>
        <v/>
      </c>
      <c r="Z476" s="27">
        <f>IF(E476="","",SUMIFS(tbl_Finance[Ex GST],tbl_Finance[Job Number],E476&amp;"",tbl_Finance[Xero Invoice No],"&lt;&gt;"))</f>
        <v/>
      </c>
      <c r="AA476" s="27">
        <f>IF(E476="","",Y476-Z476)</f>
        <v/>
      </c>
      <c r="AB476" s="25">
        <f>IF(E476="","",IF(H476="Onsite",IFERROR(INDEX(tbl_Onsite[Qwilr Quote],MATCH(E476&amp;"",tbl_Onsite[Job Number],0)),""),IF(H476="Production",IFERROR(INDEX(tbl_Production[Current RMS No],MATCH(E476&amp;"",tbl_Production[Job Number],0)),""),IF(H476="Consulting",IFERROR(INDEX(tbl_Consulting[Qwilr Quote],MATCH(E476&amp;"",tbl_Consulting[Job Number],0)),""),""))))</f>
        <v/>
      </c>
      <c r="AC476" s="25">
        <f>IF(AB476="","",IF(AND(LEFT(AB476,4)&lt;&gt;"http",IF(H476="Production",set_RMSBase,set_QwilrBase)=""),"",HYPERLINK(IF(LEFT(AB476,4)="http",AB476,IF(H476="Production",set_RMSBase,set_QwilrBase)&amp;AB476),"Open")))</f>
        <v/>
      </c>
      <c r="AD476" s="27">
        <f>IF(E476="","",IF(H476="Production",IFERROR(INDEX(tbl_Production[Total Expense],MATCH(E476&amp;"",tbl_Production[Job Number],0)),0),IF(H476="Consulting",IFERROR(INDEX(tbl_Consulting[Total Expense],MATCH(E476&amp;"",tbl_Consulting[Job Number],0)),0),0)))</f>
        <v/>
      </c>
      <c r="AE476" s="27">
        <f>IF(E476="","",Y476-N(AD476))</f>
        <v/>
      </c>
      <c r="AF476" s="29">
        <f>IFERROR(AE476/Y476,"")</f>
        <v/>
      </c>
      <c r="AG476" s="25">
        <f>IF(E476="","",IF(H476="Onsite",IFERROR(INDEX(tbl_Onsite[Notes],MATCH(E476&amp;"",tbl_Onsite[Job Number],0)),""),IF(H476="Production",IFERROR(INDEX(tbl_Production[Notes],MATCH(E476&amp;"",tbl_Production[Job Number],0)),""),IF(H476="Consulting",IFERROR(INDEX(tbl_Consulting[Notes],MATCH(E476&amp;"",tbl_Consulting[Job Number],0)),""),""))))</f>
        <v/>
      </c>
    </row>
    <row r="477" ht="15" customHeight="1">
      <c r="A477" s="22" t="n"/>
      <c r="B477" s="23">
        <f>IF(A477="","",EOMONTH(A477,0))</f>
        <v/>
      </c>
      <c r="C477" s="24" t="n"/>
      <c r="D477" s="24" t="n"/>
      <c r="E477" s="24" t="n"/>
      <c r="F477" s="25">
        <f>IF(E477="","",IF(COUNTIF(lst_Jobs,E477&amp;"")&gt;0,"OK","CHECK"))</f>
        <v/>
      </c>
      <c r="G477" s="24" t="n"/>
      <c r="H477" s="24" t="n"/>
      <c r="I477" s="24" t="n"/>
      <c r="J477" s="24" t="n"/>
      <c r="K477" s="24" t="n"/>
      <c r="L477" s="26" t="n"/>
      <c r="M477" s="27">
        <f>IF(L477="","",IF(K477="GST 10%",ROUND(L477*set_GSTRate,2),0))</f>
        <v/>
      </c>
      <c r="N477" s="27">
        <f>IF(L477="","",L477+M477)</f>
        <v/>
      </c>
      <c r="O477" s="24" t="n"/>
      <c r="P477" s="24" t="n"/>
      <c r="Q477" s="24" t="n"/>
      <c r="R477" s="22" t="n"/>
      <c r="S477" s="22" t="n"/>
      <c r="T477" s="24" t="n"/>
      <c r="U477" s="24" t="n"/>
      <c r="V477" s="25">
        <f>IF(COUNTA(A477,D477,C477,L477)=0,"",IF(A477="","No date - sits outside every month",IF(E477="","No job number",IF(F477="CHECK","Job number is not in the Xero job list",IF(I477="","No cost centre",IF(AND(P477="Y",C477=""),"Marked posted to Xero but has no invoice number",IF(AND(L477&lt;&gt;"",K477=""),"No tax code",IF(AND(L477&lt;&gt;"",O477=""),"No revenue GL code",""))))))))</f>
        <v/>
      </c>
      <c r="W477" s="25">
        <f>IF(E477="","",IFERROR(INDEX(lst_JobName,MATCH(E477&amp;"",lst_Jobs,0)),""))</f>
        <v/>
      </c>
      <c r="X477" s="28">
        <f>IF(E477="","",COUNTIFS(tbl_Finance[Job Number],E477&amp;"",tbl_Finance[Ex GST],"&lt;&gt;"))</f>
        <v/>
      </c>
      <c r="Y477" s="27">
        <f>IF(E477="","",SUMIFS(tbl_Finance[Ex GST],tbl_Finance[Job Number],E477&amp;""))</f>
        <v/>
      </c>
      <c r="Z477" s="27">
        <f>IF(E477="","",SUMIFS(tbl_Finance[Ex GST],tbl_Finance[Job Number],E477&amp;"",tbl_Finance[Xero Invoice No],"&lt;&gt;"))</f>
        <v/>
      </c>
      <c r="AA477" s="27">
        <f>IF(E477="","",Y477-Z477)</f>
        <v/>
      </c>
      <c r="AB477" s="25">
        <f>IF(E477="","",IF(H477="Onsite",IFERROR(INDEX(tbl_Onsite[Qwilr Quote],MATCH(E477&amp;"",tbl_Onsite[Job Number],0)),""),IF(H477="Production",IFERROR(INDEX(tbl_Production[Current RMS No],MATCH(E477&amp;"",tbl_Production[Job Number],0)),""),IF(H477="Consulting",IFERROR(INDEX(tbl_Consulting[Qwilr Quote],MATCH(E477&amp;"",tbl_Consulting[Job Number],0)),""),""))))</f>
        <v/>
      </c>
      <c r="AC477" s="25">
        <f>IF(AB477="","",IF(AND(LEFT(AB477,4)&lt;&gt;"http",IF(H477="Production",set_RMSBase,set_QwilrBase)=""),"",HYPERLINK(IF(LEFT(AB477,4)="http",AB477,IF(H477="Production",set_RMSBase,set_QwilrBase)&amp;AB477),"Open")))</f>
        <v/>
      </c>
      <c r="AD477" s="27">
        <f>IF(E477="","",IF(H477="Production",IFERROR(INDEX(tbl_Production[Total Expense],MATCH(E477&amp;"",tbl_Production[Job Number],0)),0),IF(H477="Consulting",IFERROR(INDEX(tbl_Consulting[Total Expense],MATCH(E477&amp;"",tbl_Consulting[Job Number],0)),0),0)))</f>
        <v/>
      </c>
      <c r="AE477" s="27">
        <f>IF(E477="","",Y477-N(AD477))</f>
        <v/>
      </c>
      <c r="AF477" s="29">
        <f>IFERROR(AE477/Y477,"")</f>
        <v/>
      </c>
      <c r="AG477" s="25">
        <f>IF(E477="","",IF(H477="Onsite",IFERROR(INDEX(tbl_Onsite[Notes],MATCH(E477&amp;"",tbl_Onsite[Job Number],0)),""),IF(H477="Production",IFERROR(INDEX(tbl_Production[Notes],MATCH(E477&amp;"",tbl_Production[Job Number],0)),""),IF(H477="Consulting",IFERROR(INDEX(tbl_Consulting[Notes],MATCH(E477&amp;"",tbl_Consulting[Job Number],0)),""),""))))</f>
        <v/>
      </c>
    </row>
    <row r="478" ht="15" customHeight="1">
      <c r="A478" s="22" t="n"/>
      <c r="B478" s="23">
        <f>IF(A478="","",EOMONTH(A478,0))</f>
        <v/>
      </c>
      <c r="C478" s="24" t="n"/>
      <c r="D478" s="24" t="n"/>
      <c r="E478" s="24" t="n"/>
      <c r="F478" s="25">
        <f>IF(E478="","",IF(COUNTIF(lst_Jobs,E478&amp;"")&gt;0,"OK","CHECK"))</f>
        <v/>
      </c>
      <c r="G478" s="24" t="n"/>
      <c r="H478" s="24" t="n"/>
      <c r="I478" s="24" t="n"/>
      <c r="J478" s="24" t="n"/>
      <c r="K478" s="24" t="n"/>
      <c r="L478" s="26" t="n"/>
      <c r="M478" s="27">
        <f>IF(L478="","",IF(K478="GST 10%",ROUND(L478*set_GSTRate,2),0))</f>
        <v/>
      </c>
      <c r="N478" s="27">
        <f>IF(L478="","",L478+M478)</f>
        <v/>
      </c>
      <c r="O478" s="24" t="n"/>
      <c r="P478" s="24" t="n"/>
      <c r="Q478" s="24" t="n"/>
      <c r="R478" s="22" t="n"/>
      <c r="S478" s="22" t="n"/>
      <c r="T478" s="24" t="n"/>
      <c r="U478" s="24" t="n"/>
      <c r="V478" s="25">
        <f>IF(COUNTA(A478,D478,C478,L478)=0,"",IF(A478="","No date - sits outside every month",IF(E478="","No job number",IF(F478="CHECK","Job number is not in the Xero job list",IF(I478="","No cost centre",IF(AND(P478="Y",C478=""),"Marked posted to Xero but has no invoice number",IF(AND(L478&lt;&gt;"",K478=""),"No tax code",IF(AND(L478&lt;&gt;"",O478=""),"No revenue GL code",""))))))))</f>
        <v/>
      </c>
      <c r="W478" s="25">
        <f>IF(E478="","",IFERROR(INDEX(lst_JobName,MATCH(E478&amp;"",lst_Jobs,0)),""))</f>
        <v/>
      </c>
      <c r="X478" s="28">
        <f>IF(E478="","",COUNTIFS(tbl_Finance[Job Number],E478&amp;"",tbl_Finance[Ex GST],"&lt;&gt;"))</f>
        <v/>
      </c>
      <c r="Y478" s="27">
        <f>IF(E478="","",SUMIFS(tbl_Finance[Ex GST],tbl_Finance[Job Number],E478&amp;""))</f>
        <v/>
      </c>
      <c r="Z478" s="27">
        <f>IF(E478="","",SUMIFS(tbl_Finance[Ex GST],tbl_Finance[Job Number],E478&amp;"",tbl_Finance[Xero Invoice No],"&lt;&gt;"))</f>
        <v/>
      </c>
      <c r="AA478" s="27">
        <f>IF(E478="","",Y478-Z478)</f>
        <v/>
      </c>
      <c r="AB478" s="25">
        <f>IF(E478="","",IF(H478="Onsite",IFERROR(INDEX(tbl_Onsite[Qwilr Quote],MATCH(E478&amp;"",tbl_Onsite[Job Number],0)),""),IF(H478="Production",IFERROR(INDEX(tbl_Production[Current RMS No],MATCH(E478&amp;"",tbl_Production[Job Number],0)),""),IF(H478="Consulting",IFERROR(INDEX(tbl_Consulting[Qwilr Quote],MATCH(E478&amp;"",tbl_Consulting[Job Number],0)),""),""))))</f>
        <v/>
      </c>
      <c r="AC478" s="25">
        <f>IF(AB478="","",IF(AND(LEFT(AB478,4)&lt;&gt;"http",IF(H478="Production",set_RMSBase,set_QwilrBase)=""),"",HYPERLINK(IF(LEFT(AB478,4)="http",AB478,IF(H478="Production",set_RMSBase,set_QwilrBase)&amp;AB478),"Open")))</f>
        <v/>
      </c>
      <c r="AD478" s="27">
        <f>IF(E478="","",IF(H478="Production",IFERROR(INDEX(tbl_Production[Total Expense],MATCH(E478&amp;"",tbl_Production[Job Number],0)),0),IF(H478="Consulting",IFERROR(INDEX(tbl_Consulting[Total Expense],MATCH(E478&amp;"",tbl_Consulting[Job Number],0)),0),0)))</f>
        <v/>
      </c>
      <c r="AE478" s="27">
        <f>IF(E478="","",Y478-N(AD478))</f>
        <v/>
      </c>
      <c r="AF478" s="29">
        <f>IFERROR(AE478/Y478,"")</f>
        <v/>
      </c>
      <c r="AG478" s="25">
        <f>IF(E478="","",IF(H478="Onsite",IFERROR(INDEX(tbl_Onsite[Notes],MATCH(E478&amp;"",tbl_Onsite[Job Number],0)),""),IF(H478="Production",IFERROR(INDEX(tbl_Production[Notes],MATCH(E478&amp;"",tbl_Production[Job Number],0)),""),IF(H478="Consulting",IFERROR(INDEX(tbl_Consulting[Notes],MATCH(E478&amp;"",tbl_Consulting[Job Number],0)),""),""))))</f>
        <v/>
      </c>
    </row>
    <row r="479" ht="15" customHeight="1">
      <c r="A479" s="22" t="n"/>
      <c r="B479" s="23">
        <f>IF(A479="","",EOMONTH(A479,0))</f>
        <v/>
      </c>
      <c r="C479" s="24" t="n"/>
      <c r="D479" s="24" t="n"/>
      <c r="E479" s="24" t="n"/>
      <c r="F479" s="25">
        <f>IF(E479="","",IF(COUNTIF(lst_Jobs,E479&amp;"")&gt;0,"OK","CHECK"))</f>
        <v/>
      </c>
      <c r="G479" s="24" t="n"/>
      <c r="H479" s="24" t="n"/>
      <c r="I479" s="24" t="n"/>
      <c r="J479" s="24" t="n"/>
      <c r="K479" s="24" t="n"/>
      <c r="L479" s="26" t="n"/>
      <c r="M479" s="27">
        <f>IF(L479="","",IF(K479="GST 10%",ROUND(L479*set_GSTRate,2),0))</f>
        <v/>
      </c>
      <c r="N479" s="27">
        <f>IF(L479="","",L479+M479)</f>
        <v/>
      </c>
      <c r="O479" s="24" t="n"/>
      <c r="P479" s="24" t="n"/>
      <c r="Q479" s="24" t="n"/>
      <c r="R479" s="22" t="n"/>
      <c r="S479" s="22" t="n"/>
      <c r="T479" s="24" t="n"/>
      <c r="U479" s="24" t="n"/>
      <c r="V479" s="25">
        <f>IF(COUNTA(A479,D479,C479,L479)=0,"",IF(A479="","No date - sits outside every month",IF(E479="","No job number",IF(F479="CHECK","Job number is not in the Xero job list",IF(I479="","No cost centre",IF(AND(P479="Y",C479=""),"Marked posted to Xero but has no invoice number",IF(AND(L479&lt;&gt;"",K479=""),"No tax code",IF(AND(L479&lt;&gt;"",O479=""),"No revenue GL code",""))))))))</f>
        <v/>
      </c>
      <c r="W479" s="25">
        <f>IF(E479="","",IFERROR(INDEX(lst_JobName,MATCH(E479&amp;"",lst_Jobs,0)),""))</f>
        <v/>
      </c>
      <c r="X479" s="28">
        <f>IF(E479="","",COUNTIFS(tbl_Finance[Job Number],E479&amp;"",tbl_Finance[Ex GST],"&lt;&gt;"))</f>
        <v/>
      </c>
      <c r="Y479" s="27">
        <f>IF(E479="","",SUMIFS(tbl_Finance[Ex GST],tbl_Finance[Job Number],E479&amp;""))</f>
        <v/>
      </c>
      <c r="Z479" s="27">
        <f>IF(E479="","",SUMIFS(tbl_Finance[Ex GST],tbl_Finance[Job Number],E479&amp;"",tbl_Finance[Xero Invoice No],"&lt;&gt;"))</f>
        <v/>
      </c>
      <c r="AA479" s="27">
        <f>IF(E479="","",Y479-Z479)</f>
        <v/>
      </c>
      <c r="AB479" s="25">
        <f>IF(E479="","",IF(H479="Onsite",IFERROR(INDEX(tbl_Onsite[Qwilr Quote],MATCH(E479&amp;"",tbl_Onsite[Job Number],0)),""),IF(H479="Production",IFERROR(INDEX(tbl_Production[Current RMS No],MATCH(E479&amp;"",tbl_Production[Job Number],0)),""),IF(H479="Consulting",IFERROR(INDEX(tbl_Consulting[Qwilr Quote],MATCH(E479&amp;"",tbl_Consulting[Job Number],0)),""),""))))</f>
        <v/>
      </c>
      <c r="AC479" s="25">
        <f>IF(AB479="","",IF(AND(LEFT(AB479,4)&lt;&gt;"http",IF(H479="Production",set_RMSBase,set_QwilrBase)=""),"",HYPERLINK(IF(LEFT(AB479,4)="http",AB479,IF(H479="Production",set_RMSBase,set_QwilrBase)&amp;AB479),"Open")))</f>
        <v/>
      </c>
      <c r="AD479" s="27">
        <f>IF(E479="","",IF(H479="Production",IFERROR(INDEX(tbl_Production[Total Expense],MATCH(E479&amp;"",tbl_Production[Job Number],0)),0),IF(H479="Consulting",IFERROR(INDEX(tbl_Consulting[Total Expense],MATCH(E479&amp;"",tbl_Consulting[Job Number],0)),0),0)))</f>
        <v/>
      </c>
      <c r="AE479" s="27">
        <f>IF(E479="","",Y479-N(AD479))</f>
        <v/>
      </c>
      <c r="AF479" s="29">
        <f>IFERROR(AE479/Y479,"")</f>
        <v/>
      </c>
      <c r="AG479" s="25">
        <f>IF(E479="","",IF(H479="Onsite",IFERROR(INDEX(tbl_Onsite[Notes],MATCH(E479&amp;"",tbl_Onsite[Job Number],0)),""),IF(H479="Production",IFERROR(INDEX(tbl_Production[Notes],MATCH(E479&amp;"",tbl_Production[Job Number],0)),""),IF(H479="Consulting",IFERROR(INDEX(tbl_Consulting[Notes],MATCH(E479&amp;"",tbl_Consulting[Job Number],0)),""),""))))</f>
        <v/>
      </c>
    </row>
    <row r="480" ht="15" customHeight="1">
      <c r="A480" s="22" t="n"/>
      <c r="B480" s="23">
        <f>IF(A480="","",EOMONTH(A480,0))</f>
        <v/>
      </c>
      <c r="C480" s="24" t="n"/>
      <c r="D480" s="24" t="n"/>
      <c r="E480" s="24" t="n"/>
      <c r="F480" s="25">
        <f>IF(E480="","",IF(COUNTIF(lst_Jobs,E480&amp;"")&gt;0,"OK","CHECK"))</f>
        <v/>
      </c>
      <c r="G480" s="24" t="n"/>
      <c r="H480" s="24" t="n"/>
      <c r="I480" s="24" t="n"/>
      <c r="J480" s="24" t="n"/>
      <c r="K480" s="24" t="n"/>
      <c r="L480" s="26" t="n"/>
      <c r="M480" s="27">
        <f>IF(L480="","",IF(K480="GST 10%",ROUND(L480*set_GSTRate,2),0))</f>
        <v/>
      </c>
      <c r="N480" s="27">
        <f>IF(L480="","",L480+M480)</f>
        <v/>
      </c>
      <c r="O480" s="24" t="n"/>
      <c r="P480" s="24" t="n"/>
      <c r="Q480" s="24" t="n"/>
      <c r="R480" s="22" t="n"/>
      <c r="S480" s="22" t="n"/>
      <c r="T480" s="24" t="n"/>
      <c r="U480" s="24" t="n"/>
      <c r="V480" s="25">
        <f>IF(COUNTA(A480,D480,C480,L480)=0,"",IF(A480="","No date - sits outside every month",IF(E480="","No job number",IF(F480="CHECK","Job number is not in the Xero job list",IF(I480="","No cost centre",IF(AND(P480="Y",C480=""),"Marked posted to Xero but has no invoice number",IF(AND(L480&lt;&gt;"",K480=""),"No tax code",IF(AND(L480&lt;&gt;"",O480=""),"No revenue GL code",""))))))))</f>
        <v/>
      </c>
      <c r="W480" s="25">
        <f>IF(E480="","",IFERROR(INDEX(lst_JobName,MATCH(E480&amp;"",lst_Jobs,0)),""))</f>
        <v/>
      </c>
      <c r="X480" s="28">
        <f>IF(E480="","",COUNTIFS(tbl_Finance[Job Number],E480&amp;"",tbl_Finance[Ex GST],"&lt;&gt;"))</f>
        <v/>
      </c>
      <c r="Y480" s="27">
        <f>IF(E480="","",SUMIFS(tbl_Finance[Ex GST],tbl_Finance[Job Number],E480&amp;""))</f>
        <v/>
      </c>
      <c r="Z480" s="27">
        <f>IF(E480="","",SUMIFS(tbl_Finance[Ex GST],tbl_Finance[Job Number],E480&amp;"",tbl_Finance[Xero Invoice No],"&lt;&gt;"))</f>
        <v/>
      </c>
      <c r="AA480" s="27">
        <f>IF(E480="","",Y480-Z480)</f>
        <v/>
      </c>
      <c r="AB480" s="25">
        <f>IF(E480="","",IF(H480="Onsite",IFERROR(INDEX(tbl_Onsite[Qwilr Quote],MATCH(E480&amp;"",tbl_Onsite[Job Number],0)),""),IF(H480="Production",IFERROR(INDEX(tbl_Production[Current RMS No],MATCH(E480&amp;"",tbl_Production[Job Number],0)),""),IF(H480="Consulting",IFERROR(INDEX(tbl_Consulting[Qwilr Quote],MATCH(E480&amp;"",tbl_Consulting[Job Number],0)),""),""))))</f>
        <v/>
      </c>
      <c r="AC480" s="25">
        <f>IF(AB480="","",IF(AND(LEFT(AB480,4)&lt;&gt;"http",IF(H480="Production",set_RMSBase,set_QwilrBase)=""),"",HYPERLINK(IF(LEFT(AB480,4)="http",AB480,IF(H480="Production",set_RMSBase,set_QwilrBase)&amp;AB480),"Open")))</f>
        <v/>
      </c>
      <c r="AD480" s="27">
        <f>IF(E480="","",IF(H480="Production",IFERROR(INDEX(tbl_Production[Total Expense],MATCH(E480&amp;"",tbl_Production[Job Number],0)),0),IF(H480="Consulting",IFERROR(INDEX(tbl_Consulting[Total Expense],MATCH(E480&amp;"",tbl_Consulting[Job Number],0)),0),0)))</f>
        <v/>
      </c>
      <c r="AE480" s="27">
        <f>IF(E480="","",Y480-N(AD480))</f>
        <v/>
      </c>
      <c r="AF480" s="29">
        <f>IFERROR(AE480/Y480,"")</f>
        <v/>
      </c>
      <c r="AG480" s="25">
        <f>IF(E480="","",IF(H480="Onsite",IFERROR(INDEX(tbl_Onsite[Notes],MATCH(E480&amp;"",tbl_Onsite[Job Number],0)),""),IF(H480="Production",IFERROR(INDEX(tbl_Production[Notes],MATCH(E480&amp;"",tbl_Production[Job Number],0)),""),IF(H480="Consulting",IFERROR(INDEX(tbl_Consulting[Notes],MATCH(E480&amp;"",tbl_Consulting[Job Number],0)),""),""))))</f>
        <v/>
      </c>
    </row>
    <row r="481" ht="15" customHeight="1">
      <c r="A481" s="22" t="n"/>
      <c r="B481" s="23">
        <f>IF(A481="","",EOMONTH(A481,0))</f>
        <v/>
      </c>
      <c r="C481" s="24" t="n"/>
      <c r="D481" s="24" t="n"/>
      <c r="E481" s="24" t="n"/>
      <c r="F481" s="25">
        <f>IF(E481="","",IF(COUNTIF(lst_Jobs,E481&amp;"")&gt;0,"OK","CHECK"))</f>
        <v/>
      </c>
      <c r="G481" s="24" t="n"/>
      <c r="H481" s="24" t="n"/>
      <c r="I481" s="24" t="n"/>
      <c r="J481" s="24" t="n"/>
      <c r="K481" s="24" t="n"/>
      <c r="L481" s="26" t="n"/>
      <c r="M481" s="27">
        <f>IF(L481="","",IF(K481="GST 10%",ROUND(L481*set_GSTRate,2),0))</f>
        <v/>
      </c>
      <c r="N481" s="27">
        <f>IF(L481="","",L481+M481)</f>
        <v/>
      </c>
      <c r="O481" s="24" t="n"/>
      <c r="P481" s="24" t="n"/>
      <c r="Q481" s="24" t="n"/>
      <c r="R481" s="22" t="n"/>
      <c r="S481" s="22" t="n"/>
      <c r="T481" s="24" t="n"/>
      <c r="U481" s="24" t="n"/>
      <c r="V481" s="25">
        <f>IF(COUNTA(A481,D481,C481,L481)=0,"",IF(A481="","No date - sits outside every month",IF(E481="","No job number",IF(F481="CHECK","Job number is not in the Xero job list",IF(I481="","No cost centre",IF(AND(P481="Y",C481=""),"Marked posted to Xero but has no invoice number",IF(AND(L481&lt;&gt;"",K481=""),"No tax code",IF(AND(L481&lt;&gt;"",O481=""),"No revenue GL code",""))))))))</f>
        <v/>
      </c>
      <c r="W481" s="25">
        <f>IF(E481="","",IFERROR(INDEX(lst_JobName,MATCH(E481&amp;"",lst_Jobs,0)),""))</f>
        <v/>
      </c>
      <c r="X481" s="28">
        <f>IF(E481="","",COUNTIFS(tbl_Finance[Job Number],E481&amp;"",tbl_Finance[Ex GST],"&lt;&gt;"))</f>
        <v/>
      </c>
      <c r="Y481" s="27">
        <f>IF(E481="","",SUMIFS(tbl_Finance[Ex GST],tbl_Finance[Job Number],E481&amp;""))</f>
        <v/>
      </c>
      <c r="Z481" s="27">
        <f>IF(E481="","",SUMIFS(tbl_Finance[Ex GST],tbl_Finance[Job Number],E481&amp;"",tbl_Finance[Xero Invoice No],"&lt;&gt;"))</f>
        <v/>
      </c>
      <c r="AA481" s="27">
        <f>IF(E481="","",Y481-Z481)</f>
        <v/>
      </c>
      <c r="AB481" s="25">
        <f>IF(E481="","",IF(H481="Onsite",IFERROR(INDEX(tbl_Onsite[Qwilr Quote],MATCH(E481&amp;"",tbl_Onsite[Job Number],0)),""),IF(H481="Production",IFERROR(INDEX(tbl_Production[Current RMS No],MATCH(E481&amp;"",tbl_Production[Job Number],0)),""),IF(H481="Consulting",IFERROR(INDEX(tbl_Consulting[Qwilr Quote],MATCH(E481&amp;"",tbl_Consulting[Job Number],0)),""),""))))</f>
        <v/>
      </c>
      <c r="AC481" s="25">
        <f>IF(AB481="","",IF(AND(LEFT(AB481,4)&lt;&gt;"http",IF(H481="Production",set_RMSBase,set_QwilrBase)=""),"",HYPERLINK(IF(LEFT(AB481,4)="http",AB481,IF(H481="Production",set_RMSBase,set_QwilrBase)&amp;AB481),"Open")))</f>
        <v/>
      </c>
      <c r="AD481" s="27">
        <f>IF(E481="","",IF(H481="Production",IFERROR(INDEX(tbl_Production[Total Expense],MATCH(E481&amp;"",tbl_Production[Job Number],0)),0),IF(H481="Consulting",IFERROR(INDEX(tbl_Consulting[Total Expense],MATCH(E481&amp;"",tbl_Consulting[Job Number],0)),0),0)))</f>
        <v/>
      </c>
      <c r="AE481" s="27">
        <f>IF(E481="","",Y481-N(AD481))</f>
        <v/>
      </c>
      <c r="AF481" s="29">
        <f>IFERROR(AE481/Y481,"")</f>
        <v/>
      </c>
      <c r="AG481" s="25">
        <f>IF(E481="","",IF(H481="Onsite",IFERROR(INDEX(tbl_Onsite[Notes],MATCH(E481&amp;"",tbl_Onsite[Job Number],0)),""),IF(H481="Production",IFERROR(INDEX(tbl_Production[Notes],MATCH(E481&amp;"",tbl_Production[Job Number],0)),""),IF(H481="Consulting",IFERROR(INDEX(tbl_Consulting[Notes],MATCH(E481&amp;"",tbl_Consulting[Job Number],0)),""),""))))</f>
        <v/>
      </c>
    </row>
    <row r="482" ht="15" customHeight="1">
      <c r="A482" s="22" t="n"/>
      <c r="B482" s="23">
        <f>IF(A482="","",EOMONTH(A482,0))</f>
        <v/>
      </c>
      <c r="C482" s="24" t="n"/>
      <c r="D482" s="24" t="n"/>
      <c r="E482" s="24" t="n"/>
      <c r="F482" s="25">
        <f>IF(E482="","",IF(COUNTIF(lst_Jobs,E482&amp;"")&gt;0,"OK","CHECK"))</f>
        <v/>
      </c>
      <c r="G482" s="24" t="n"/>
      <c r="H482" s="24" t="n"/>
      <c r="I482" s="24" t="n"/>
      <c r="J482" s="24" t="n"/>
      <c r="K482" s="24" t="n"/>
      <c r="L482" s="26" t="n"/>
      <c r="M482" s="27">
        <f>IF(L482="","",IF(K482="GST 10%",ROUND(L482*set_GSTRate,2),0))</f>
        <v/>
      </c>
      <c r="N482" s="27">
        <f>IF(L482="","",L482+M482)</f>
        <v/>
      </c>
      <c r="O482" s="24" t="n"/>
      <c r="P482" s="24" t="n"/>
      <c r="Q482" s="24" t="n"/>
      <c r="R482" s="22" t="n"/>
      <c r="S482" s="22" t="n"/>
      <c r="T482" s="24" t="n"/>
      <c r="U482" s="24" t="n"/>
      <c r="V482" s="25">
        <f>IF(COUNTA(A482,D482,C482,L482)=0,"",IF(A482="","No date - sits outside every month",IF(E482="","No job number",IF(F482="CHECK","Job number is not in the Xero job list",IF(I482="","No cost centre",IF(AND(P482="Y",C482=""),"Marked posted to Xero but has no invoice number",IF(AND(L482&lt;&gt;"",K482=""),"No tax code",IF(AND(L482&lt;&gt;"",O482=""),"No revenue GL code",""))))))))</f>
        <v/>
      </c>
      <c r="W482" s="25">
        <f>IF(E482="","",IFERROR(INDEX(lst_JobName,MATCH(E482&amp;"",lst_Jobs,0)),""))</f>
        <v/>
      </c>
      <c r="X482" s="28">
        <f>IF(E482="","",COUNTIFS(tbl_Finance[Job Number],E482&amp;"",tbl_Finance[Ex GST],"&lt;&gt;"))</f>
        <v/>
      </c>
      <c r="Y482" s="27">
        <f>IF(E482="","",SUMIFS(tbl_Finance[Ex GST],tbl_Finance[Job Number],E482&amp;""))</f>
        <v/>
      </c>
      <c r="Z482" s="27">
        <f>IF(E482="","",SUMIFS(tbl_Finance[Ex GST],tbl_Finance[Job Number],E482&amp;"",tbl_Finance[Xero Invoice No],"&lt;&gt;"))</f>
        <v/>
      </c>
      <c r="AA482" s="27">
        <f>IF(E482="","",Y482-Z482)</f>
        <v/>
      </c>
      <c r="AB482" s="25">
        <f>IF(E482="","",IF(H482="Onsite",IFERROR(INDEX(tbl_Onsite[Qwilr Quote],MATCH(E482&amp;"",tbl_Onsite[Job Number],0)),""),IF(H482="Production",IFERROR(INDEX(tbl_Production[Current RMS No],MATCH(E482&amp;"",tbl_Production[Job Number],0)),""),IF(H482="Consulting",IFERROR(INDEX(tbl_Consulting[Qwilr Quote],MATCH(E482&amp;"",tbl_Consulting[Job Number],0)),""),""))))</f>
        <v/>
      </c>
      <c r="AC482" s="25">
        <f>IF(AB482="","",IF(AND(LEFT(AB482,4)&lt;&gt;"http",IF(H482="Production",set_RMSBase,set_QwilrBase)=""),"",HYPERLINK(IF(LEFT(AB482,4)="http",AB482,IF(H482="Production",set_RMSBase,set_QwilrBase)&amp;AB482),"Open")))</f>
        <v/>
      </c>
      <c r="AD482" s="27">
        <f>IF(E482="","",IF(H482="Production",IFERROR(INDEX(tbl_Production[Total Expense],MATCH(E482&amp;"",tbl_Production[Job Number],0)),0),IF(H482="Consulting",IFERROR(INDEX(tbl_Consulting[Total Expense],MATCH(E482&amp;"",tbl_Consulting[Job Number],0)),0),0)))</f>
        <v/>
      </c>
      <c r="AE482" s="27">
        <f>IF(E482="","",Y482-N(AD482))</f>
        <v/>
      </c>
      <c r="AF482" s="29">
        <f>IFERROR(AE482/Y482,"")</f>
        <v/>
      </c>
      <c r="AG482" s="25">
        <f>IF(E482="","",IF(H482="Onsite",IFERROR(INDEX(tbl_Onsite[Notes],MATCH(E482&amp;"",tbl_Onsite[Job Number],0)),""),IF(H482="Production",IFERROR(INDEX(tbl_Production[Notes],MATCH(E482&amp;"",tbl_Production[Job Number],0)),""),IF(H482="Consulting",IFERROR(INDEX(tbl_Consulting[Notes],MATCH(E482&amp;"",tbl_Consulting[Job Number],0)),""),""))))</f>
        <v/>
      </c>
    </row>
    <row r="483" ht="15" customHeight="1">
      <c r="A483" s="22" t="n"/>
      <c r="B483" s="23">
        <f>IF(A483="","",EOMONTH(A483,0))</f>
        <v/>
      </c>
      <c r="C483" s="24" t="n"/>
      <c r="D483" s="24" t="n"/>
      <c r="E483" s="24" t="n"/>
      <c r="F483" s="25">
        <f>IF(E483="","",IF(COUNTIF(lst_Jobs,E483&amp;"")&gt;0,"OK","CHECK"))</f>
        <v/>
      </c>
      <c r="G483" s="24" t="n"/>
      <c r="H483" s="24" t="n"/>
      <c r="I483" s="24" t="n"/>
      <c r="J483" s="24" t="n"/>
      <c r="K483" s="24" t="n"/>
      <c r="L483" s="26" t="n"/>
      <c r="M483" s="27">
        <f>IF(L483="","",IF(K483="GST 10%",ROUND(L483*set_GSTRate,2),0))</f>
        <v/>
      </c>
      <c r="N483" s="27">
        <f>IF(L483="","",L483+M483)</f>
        <v/>
      </c>
      <c r="O483" s="24" t="n"/>
      <c r="P483" s="24" t="n"/>
      <c r="Q483" s="24" t="n"/>
      <c r="R483" s="22" t="n"/>
      <c r="S483" s="22" t="n"/>
      <c r="T483" s="24" t="n"/>
      <c r="U483" s="24" t="n"/>
      <c r="V483" s="25">
        <f>IF(COUNTA(A483,D483,C483,L483)=0,"",IF(A483="","No date - sits outside every month",IF(E483="","No job number",IF(F483="CHECK","Job number is not in the Xero job list",IF(I483="","No cost centre",IF(AND(P483="Y",C483=""),"Marked posted to Xero but has no invoice number",IF(AND(L483&lt;&gt;"",K483=""),"No tax code",IF(AND(L483&lt;&gt;"",O483=""),"No revenue GL code",""))))))))</f>
        <v/>
      </c>
      <c r="W483" s="25">
        <f>IF(E483="","",IFERROR(INDEX(lst_JobName,MATCH(E483&amp;"",lst_Jobs,0)),""))</f>
        <v/>
      </c>
      <c r="X483" s="28">
        <f>IF(E483="","",COUNTIFS(tbl_Finance[Job Number],E483&amp;"",tbl_Finance[Ex GST],"&lt;&gt;"))</f>
        <v/>
      </c>
      <c r="Y483" s="27">
        <f>IF(E483="","",SUMIFS(tbl_Finance[Ex GST],tbl_Finance[Job Number],E483&amp;""))</f>
        <v/>
      </c>
      <c r="Z483" s="27">
        <f>IF(E483="","",SUMIFS(tbl_Finance[Ex GST],tbl_Finance[Job Number],E483&amp;"",tbl_Finance[Xero Invoice No],"&lt;&gt;"))</f>
        <v/>
      </c>
      <c r="AA483" s="27">
        <f>IF(E483="","",Y483-Z483)</f>
        <v/>
      </c>
      <c r="AB483" s="25">
        <f>IF(E483="","",IF(H483="Onsite",IFERROR(INDEX(tbl_Onsite[Qwilr Quote],MATCH(E483&amp;"",tbl_Onsite[Job Number],0)),""),IF(H483="Production",IFERROR(INDEX(tbl_Production[Current RMS No],MATCH(E483&amp;"",tbl_Production[Job Number],0)),""),IF(H483="Consulting",IFERROR(INDEX(tbl_Consulting[Qwilr Quote],MATCH(E483&amp;"",tbl_Consulting[Job Number],0)),""),""))))</f>
        <v/>
      </c>
      <c r="AC483" s="25">
        <f>IF(AB483="","",IF(AND(LEFT(AB483,4)&lt;&gt;"http",IF(H483="Production",set_RMSBase,set_QwilrBase)=""),"",HYPERLINK(IF(LEFT(AB483,4)="http",AB483,IF(H483="Production",set_RMSBase,set_QwilrBase)&amp;AB483),"Open")))</f>
        <v/>
      </c>
      <c r="AD483" s="27">
        <f>IF(E483="","",IF(H483="Production",IFERROR(INDEX(tbl_Production[Total Expense],MATCH(E483&amp;"",tbl_Production[Job Number],0)),0),IF(H483="Consulting",IFERROR(INDEX(tbl_Consulting[Total Expense],MATCH(E483&amp;"",tbl_Consulting[Job Number],0)),0),0)))</f>
        <v/>
      </c>
      <c r="AE483" s="27">
        <f>IF(E483="","",Y483-N(AD483))</f>
        <v/>
      </c>
      <c r="AF483" s="29">
        <f>IFERROR(AE483/Y483,"")</f>
        <v/>
      </c>
      <c r="AG483" s="25">
        <f>IF(E483="","",IF(H483="Onsite",IFERROR(INDEX(tbl_Onsite[Notes],MATCH(E483&amp;"",tbl_Onsite[Job Number],0)),""),IF(H483="Production",IFERROR(INDEX(tbl_Production[Notes],MATCH(E483&amp;"",tbl_Production[Job Number],0)),""),IF(H483="Consulting",IFERROR(INDEX(tbl_Consulting[Notes],MATCH(E483&amp;"",tbl_Consulting[Job Number],0)),""),""))))</f>
        <v/>
      </c>
    </row>
    <row r="484" ht="15" customHeight="1">
      <c r="A484" s="22" t="n"/>
      <c r="B484" s="23">
        <f>IF(A484="","",EOMONTH(A484,0))</f>
        <v/>
      </c>
      <c r="C484" s="24" t="n"/>
      <c r="D484" s="24" t="n"/>
      <c r="E484" s="24" t="n"/>
      <c r="F484" s="25">
        <f>IF(E484="","",IF(COUNTIF(lst_Jobs,E484&amp;"")&gt;0,"OK","CHECK"))</f>
        <v/>
      </c>
      <c r="G484" s="24" t="n"/>
      <c r="H484" s="24" t="n"/>
      <c r="I484" s="24" t="n"/>
      <c r="J484" s="24" t="n"/>
      <c r="K484" s="24" t="n"/>
      <c r="L484" s="26" t="n"/>
      <c r="M484" s="27">
        <f>IF(L484="","",IF(K484="GST 10%",ROUND(L484*set_GSTRate,2),0))</f>
        <v/>
      </c>
      <c r="N484" s="27">
        <f>IF(L484="","",L484+M484)</f>
        <v/>
      </c>
      <c r="O484" s="24" t="n"/>
      <c r="P484" s="24" t="n"/>
      <c r="Q484" s="24" t="n"/>
      <c r="R484" s="22" t="n"/>
      <c r="S484" s="22" t="n"/>
      <c r="T484" s="24" t="n"/>
      <c r="U484" s="24" t="n"/>
      <c r="V484" s="25">
        <f>IF(COUNTA(A484,D484,C484,L484)=0,"",IF(A484="","No date - sits outside every month",IF(E484="","No job number",IF(F484="CHECK","Job number is not in the Xero job list",IF(I484="","No cost centre",IF(AND(P484="Y",C484=""),"Marked posted to Xero but has no invoice number",IF(AND(L484&lt;&gt;"",K484=""),"No tax code",IF(AND(L484&lt;&gt;"",O484=""),"No revenue GL code",""))))))))</f>
        <v/>
      </c>
      <c r="W484" s="25">
        <f>IF(E484="","",IFERROR(INDEX(lst_JobName,MATCH(E484&amp;"",lst_Jobs,0)),""))</f>
        <v/>
      </c>
      <c r="X484" s="28">
        <f>IF(E484="","",COUNTIFS(tbl_Finance[Job Number],E484&amp;"",tbl_Finance[Ex GST],"&lt;&gt;"))</f>
        <v/>
      </c>
      <c r="Y484" s="27">
        <f>IF(E484="","",SUMIFS(tbl_Finance[Ex GST],tbl_Finance[Job Number],E484&amp;""))</f>
        <v/>
      </c>
      <c r="Z484" s="27">
        <f>IF(E484="","",SUMIFS(tbl_Finance[Ex GST],tbl_Finance[Job Number],E484&amp;"",tbl_Finance[Xero Invoice No],"&lt;&gt;"))</f>
        <v/>
      </c>
      <c r="AA484" s="27">
        <f>IF(E484="","",Y484-Z484)</f>
        <v/>
      </c>
      <c r="AB484" s="25">
        <f>IF(E484="","",IF(H484="Onsite",IFERROR(INDEX(tbl_Onsite[Qwilr Quote],MATCH(E484&amp;"",tbl_Onsite[Job Number],0)),""),IF(H484="Production",IFERROR(INDEX(tbl_Production[Current RMS No],MATCH(E484&amp;"",tbl_Production[Job Number],0)),""),IF(H484="Consulting",IFERROR(INDEX(tbl_Consulting[Qwilr Quote],MATCH(E484&amp;"",tbl_Consulting[Job Number],0)),""),""))))</f>
        <v/>
      </c>
      <c r="AC484" s="25">
        <f>IF(AB484="","",IF(AND(LEFT(AB484,4)&lt;&gt;"http",IF(H484="Production",set_RMSBase,set_QwilrBase)=""),"",HYPERLINK(IF(LEFT(AB484,4)="http",AB484,IF(H484="Production",set_RMSBase,set_QwilrBase)&amp;AB484),"Open")))</f>
        <v/>
      </c>
      <c r="AD484" s="27">
        <f>IF(E484="","",IF(H484="Production",IFERROR(INDEX(tbl_Production[Total Expense],MATCH(E484&amp;"",tbl_Production[Job Number],0)),0),IF(H484="Consulting",IFERROR(INDEX(tbl_Consulting[Total Expense],MATCH(E484&amp;"",tbl_Consulting[Job Number],0)),0),0)))</f>
        <v/>
      </c>
      <c r="AE484" s="27">
        <f>IF(E484="","",Y484-N(AD484))</f>
        <v/>
      </c>
      <c r="AF484" s="29">
        <f>IFERROR(AE484/Y484,"")</f>
        <v/>
      </c>
      <c r="AG484" s="25">
        <f>IF(E484="","",IF(H484="Onsite",IFERROR(INDEX(tbl_Onsite[Notes],MATCH(E484&amp;"",tbl_Onsite[Job Number],0)),""),IF(H484="Production",IFERROR(INDEX(tbl_Production[Notes],MATCH(E484&amp;"",tbl_Production[Job Number],0)),""),IF(H484="Consulting",IFERROR(INDEX(tbl_Consulting[Notes],MATCH(E484&amp;"",tbl_Consulting[Job Number],0)),""),""))))</f>
        <v/>
      </c>
    </row>
    <row r="485" ht="15" customHeight="1">
      <c r="A485" s="22" t="n"/>
      <c r="B485" s="23">
        <f>IF(A485="","",EOMONTH(A485,0))</f>
        <v/>
      </c>
      <c r="C485" s="24" t="n"/>
      <c r="D485" s="24" t="n"/>
      <c r="E485" s="24" t="n"/>
      <c r="F485" s="25">
        <f>IF(E485="","",IF(COUNTIF(lst_Jobs,E485&amp;"")&gt;0,"OK","CHECK"))</f>
        <v/>
      </c>
      <c r="G485" s="24" t="n"/>
      <c r="H485" s="24" t="n"/>
      <c r="I485" s="24" t="n"/>
      <c r="J485" s="24" t="n"/>
      <c r="K485" s="24" t="n"/>
      <c r="L485" s="26" t="n"/>
      <c r="M485" s="27">
        <f>IF(L485="","",IF(K485="GST 10%",ROUND(L485*set_GSTRate,2),0))</f>
        <v/>
      </c>
      <c r="N485" s="27">
        <f>IF(L485="","",L485+M485)</f>
        <v/>
      </c>
      <c r="O485" s="24" t="n"/>
      <c r="P485" s="24" t="n"/>
      <c r="Q485" s="24" t="n"/>
      <c r="R485" s="22" t="n"/>
      <c r="S485" s="22" t="n"/>
      <c r="T485" s="24" t="n"/>
      <c r="U485" s="24" t="n"/>
      <c r="V485" s="25">
        <f>IF(COUNTA(A485,D485,C485,L485)=0,"",IF(A485="","No date - sits outside every month",IF(E485="","No job number",IF(F485="CHECK","Job number is not in the Xero job list",IF(I485="","No cost centre",IF(AND(P485="Y",C485=""),"Marked posted to Xero but has no invoice number",IF(AND(L485&lt;&gt;"",K485=""),"No tax code",IF(AND(L485&lt;&gt;"",O485=""),"No revenue GL code",""))))))))</f>
        <v/>
      </c>
      <c r="W485" s="25">
        <f>IF(E485="","",IFERROR(INDEX(lst_JobName,MATCH(E485&amp;"",lst_Jobs,0)),""))</f>
        <v/>
      </c>
      <c r="X485" s="28">
        <f>IF(E485="","",COUNTIFS(tbl_Finance[Job Number],E485&amp;"",tbl_Finance[Ex GST],"&lt;&gt;"))</f>
        <v/>
      </c>
      <c r="Y485" s="27">
        <f>IF(E485="","",SUMIFS(tbl_Finance[Ex GST],tbl_Finance[Job Number],E485&amp;""))</f>
        <v/>
      </c>
      <c r="Z485" s="27">
        <f>IF(E485="","",SUMIFS(tbl_Finance[Ex GST],tbl_Finance[Job Number],E485&amp;"",tbl_Finance[Xero Invoice No],"&lt;&gt;"))</f>
        <v/>
      </c>
      <c r="AA485" s="27">
        <f>IF(E485="","",Y485-Z485)</f>
        <v/>
      </c>
      <c r="AB485" s="25">
        <f>IF(E485="","",IF(H485="Onsite",IFERROR(INDEX(tbl_Onsite[Qwilr Quote],MATCH(E485&amp;"",tbl_Onsite[Job Number],0)),""),IF(H485="Production",IFERROR(INDEX(tbl_Production[Current RMS No],MATCH(E485&amp;"",tbl_Production[Job Number],0)),""),IF(H485="Consulting",IFERROR(INDEX(tbl_Consulting[Qwilr Quote],MATCH(E485&amp;"",tbl_Consulting[Job Number],0)),""),""))))</f>
        <v/>
      </c>
      <c r="AC485" s="25">
        <f>IF(AB485="","",IF(AND(LEFT(AB485,4)&lt;&gt;"http",IF(H485="Production",set_RMSBase,set_QwilrBase)=""),"",HYPERLINK(IF(LEFT(AB485,4)="http",AB485,IF(H485="Production",set_RMSBase,set_QwilrBase)&amp;AB485),"Open")))</f>
        <v/>
      </c>
      <c r="AD485" s="27">
        <f>IF(E485="","",IF(H485="Production",IFERROR(INDEX(tbl_Production[Total Expense],MATCH(E485&amp;"",tbl_Production[Job Number],0)),0),IF(H485="Consulting",IFERROR(INDEX(tbl_Consulting[Total Expense],MATCH(E485&amp;"",tbl_Consulting[Job Number],0)),0),0)))</f>
        <v/>
      </c>
      <c r="AE485" s="27">
        <f>IF(E485="","",Y485-N(AD485))</f>
        <v/>
      </c>
      <c r="AF485" s="29">
        <f>IFERROR(AE485/Y485,"")</f>
        <v/>
      </c>
      <c r="AG485" s="25">
        <f>IF(E485="","",IF(H485="Onsite",IFERROR(INDEX(tbl_Onsite[Notes],MATCH(E485&amp;"",tbl_Onsite[Job Number],0)),""),IF(H485="Production",IFERROR(INDEX(tbl_Production[Notes],MATCH(E485&amp;"",tbl_Production[Job Number],0)),""),IF(H485="Consulting",IFERROR(INDEX(tbl_Consulting[Notes],MATCH(E485&amp;"",tbl_Consulting[Job Number],0)),""),""))))</f>
        <v/>
      </c>
    </row>
    <row r="486" ht="15" customHeight="1">
      <c r="A486" s="22" t="n"/>
      <c r="B486" s="23">
        <f>IF(A486="","",EOMONTH(A486,0))</f>
        <v/>
      </c>
      <c r="C486" s="24" t="n"/>
      <c r="D486" s="24" t="n"/>
      <c r="E486" s="24" t="n"/>
      <c r="F486" s="25">
        <f>IF(E486="","",IF(COUNTIF(lst_Jobs,E486&amp;"")&gt;0,"OK","CHECK"))</f>
        <v/>
      </c>
      <c r="G486" s="24" t="n"/>
      <c r="H486" s="24" t="n"/>
      <c r="I486" s="24" t="n"/>
      <c r="J486" s="24" t="n"/>
      <c r="K486" s="24" t="n"/>
      <c r="L486" s="26" t="n"/>
      <c r="M486" s="27">
        <f>IF(L486="","",IF(K486="GST 10%",ROUND(L486*set_GSTRate,2),0))</f>
        <v/>
      </c>
      <c r="N486" s="27">
        <f>IF(L486="","",L486+M486)</f>
        <v/>
      </c>
      <c r="O486" s="24" t="n"/>
      <c r="P486" s="24" t="n"/>
      <c r="Q486" s="24" t="n"/>
      <c r="R486" s="22" t="n"/>
      <c r="S486" s="22" t="n"/>
      <c r="T486" s="24" t="n"/>
      <c r="U486" s="24" t="n"/>
      <c r="V486" s="25">
        <f>IF(COUNTA(A486,D486,C486,L486)=0,"",IF(A486="","No date - sits outside every month",IF(E486="","No job number",IF(F486="CHECK","Job number is not in the Xero job list",IF(I486="","No cost centre",IF(AND(P486="Y",C486=""),"Marked posted to Xero but has no invoice number",IF(AND(L486&lt;&gt;"",K486=""),"No tax code",IF(AND(L486&lt;&gt;"",O486=""),"No revenue GL code",""))))))))</f>
        <v/>
      </c>
      <c r="W486" s="25">
        <f>IF(E486="","",IFERROR(INDEX(lst_JobName,MATCH(E486&amp;"",lst_Jobs,0)),""))</f>
        <v/>
      </c>
      <c r="X486" s="28">
        <f>IF(E486="","",COUNTIFS(tbl_Finance[Job Number],E486&amp;"",tbl_Finance[Ex GST],"&lt;&gt;"))</f>
        <v/>
      </c>
      <c r="Y486" s="27">
        <f>IF(E486="","",SUMIFS(tbl_Finance[Ex GST],tbl_Finance[Job Number],E486&amp;""))</f>
        <v/>
      </c>
      <c r="Z486" s="27">
        <f>IF(E486="","",SUMIFS(tbl_Finance[Ex GST],tbl_Finance[Job Number],E486&amp;"",tbl_Finance[Xero Invoice No],"&lt;&gt;"))</f>
        <v/>
      </c>
      <c r="AA486" s="27">
        <f>IF(E486="","",Y486-Z486)</f>
        <v/>
      </c>
      <c r="AB486" s="25">
        <f>IF(E486="","",IF(H486="Onsite",IFERROR(INDEX(tbl_Onsite[Qwilr Quote],MATCH(E486&amp;"",tbl_Onsite[Job Number],0)),""),IF(H486="Production",IFERROR(INDEX(tbl_Production[Current RMS No],MATCH(E486&amp;"",tbl_Production[Job Number],0)),""),IF(H486="Consulting",IFERROR(INDEX(tbl_Consulting[Qwilr Quote],MATCH(E486&amp;"",tbl_Consulting[Job Number],0)),""),""))))</f>
        <v/>
      </c>
      <c r="AC486" s="25">
        <f>IF(AB486="","",IF(AND(LEFT(AB486,4)&lt;&gt;"http",IF(H486="Production",set_RMSBase,set_QwilrBase)=""),"",HYPERLINK(IF(LEFT(AB486,4)="http",AB486,IF(H486="Production",set_RMSBase,set_QwilrBase)&amp;AB486),"Open")))</f>
        <v/>
      </c>
      <c r="AD486" s="27">
        <f>IF(E486="","",IF(H486="Production",IFERROR(INDEX(tbl_Production[Total Expense],MATCH(E486&amp;"",tbl_Production[Job Number],0)),0),IF(H486="Consulting",IFERROR(INDEX(tbl_Consulting[Total Expense],MATCH(E486&amp;"",tbl_Consulting[Job Number],0)),0),0)))</f>
        <v/>
      </c>
      <c r="AE486" s="27">
        <f>IF(E486="","",Y486-N(AD486))</f>
        <v/>
      </c>
      <c r="AF486" s="29">
        <f>IFERROR(AE486/Y486,"")</f>
        <v/>
      </c>
      <c r="AG486" s="25">
        <f>IF(E486="","",IF(H486="Onsite",IFERROR(INDEX(tbl_Onsite[Notes],MATCH(E486&amp;"",tbl_Onsite[Job Number],0)),""),IF(H486="Production",IFERROR(INDEX(tbl_Production[Notes],MATCH(E486&amp;"",tbl_Production[Job Number],0)),""),IF(H486="Consulting",IFERROR(INDEX(tbl_Consulting[Notes],MATCH(E486&amp;"",tbl_Consulting[Job Number],0)),""),""))))</f>
        <v/>
      </c>
    </row>
    <row r="487" ht="15" customHeight="1">
      <c r="A487" s="22" t="n"/>
      <c r="B487" s="23">
        <f>IF(A487="","",EOMONTH(A487,0))</f>
        <v/>
      </c>
      <c r="C487" s="24" t="n"/>
      <c r="D487" s="24" t="n"/>
      <c r="E487" s="24" t="n"/>
      <c r="F487" s="25">
        <f>IF(E487="","",IF(COUNTIF(lst_Jobs,E487&amp;"")&gt;0,"OK","CHECK"))</f>
        <v/>
      </c>
      <c r="G487" s="24" t="n"/>
      <c r="H487" s="24" t="n"/>
      <c r="I487" s="24" t="n"/>
      <c r="J487" s="24" t="n"/>
      <c r="K487" s="24" t="n"/>
      <c r="L487" s="26" t="n"/>
      <c r="M487" s="27">
        <f>IF(L487="","",IF(K487="GST 10%",ROUND(L487*set_GSTRate,2),0))</f>
        <v/>
      </c>
      <c r="N487" s="27">
        <f>IF(L487="","",L487+M487)</f>
        <v/>
      </c>
      <c r="O487" s="24" t="n"/>
      <c r="P487" s="24" t="n"/>
      <c r="Q487" s="24" t="n"/>
      <c r="R487" s="22" t="n"/>
      <c r="S487" s="22" t="n"/>
      <c r="T487" s="24" t="n"/>
      <c r="U487" s="24" t="n"/>
      <c r="V487" s="25">
        <f>IF(COUNTA(A487,D487,C487,L487)=0,"",IF(A487="","No date - sits outside every month",IF(E487="","No job number",IF(F487="CHECK","Job number is not in the Xero job list",IF(I487="","No cost centre",IF(AND(P487="Y",C487=""),"Marked posted to Xero but has no invoice number",IF(AND(L487&lt;&gt;"",K487=""),"No tax code",IF(AND(L487&lt;&gt;"",O487=""),"No revenue GL code",""))))))))</f>
        <v/>
      </c>
      <c r="W487" s="25">
        <f>IF(E487="","",IFERROR(INDEX(lst_JobName,MATCH(E487&amp;"",lst_Jobs,0)),""))</f>
        <v/>
      </c>
      <c r="X487" s="28">
        <f>IF(E487="","",COUNTIFS(tbl_Finance[Job Number],E487&amp;"",tbl_Finance[Ex GST],"&lt;&gt;"))</f>
        <v/>
      </c>
      <c r="Y487" s="27">
        <f>IF(E487="","",SUMIFS(tbl_Finance[Ex GST],tbl_Finance[Job Number],E487&amp;""))</f>
        <v/>
      </c>
      <c r="Z487" s="27">
        <f>IF(E487="","",SUMIFS(tbl_Finance[Ex GST],tbl_Finance[Job Number],E487&amp;"",tbl_Finance[Xero Invoice No],"&lt;&gt;"))</f>
        <v/>
      </c>
      <c r="AA487" s="27">
        <f>IF(E487="","",Y487-Z487)</f>
        <v/>
      </c>
      <c r="AB487" s="25">
        <f>IF(E487="","",IF(H487="Onsite",IFERROR(INDEX(tbl_Onsite[Qwilr Quote],MATCH(E487&amp;"",tbl_Onsite[Job Number],0)),""),IF(H487="Production",IFERROR(INDEX(tbl_Production[Current RMS No],MATCH(E487&amp;"",tbl_Production[Job Number],0)),""),IF(H487="Consulting",IFERROR(INDEX(tbl_Consulting[Qwilr Quote],MATCH(E487&amp;"",tbl_Consulting[Job Number],0)),""),""))))</f>
        <v/>
      </c>
      <c r="AC487" s="25">
        <f>IF(AB487="","",IF(AND(LEFT(AB487,4)&lt;&gt;"http",IF(H487="Production",set_RMSBase,set_QwilrBase)=""),"",HYPERLINK(IF(LEFT(AB487,4)="http",AB487,IF(H487="Production",set_RMSBase,set_QwilrBase)&amp;AB487),"Open")))</f>
        <v/>
      </c>
      <c r="AD487" s="27">
        <f>IF(E487="","",IF(H487="Production",IFERROR(INDEX(tbl_Production[Total Expense],MATCH(E487&amp;"",tbl_Production[Job Number],0)),0),IF(H487="Consulting",IFERROR(INDEX(tbl_Consulting[Total Expense],MATCH(E487&amp;"",tbl_Consulting[Job Number],0)),0),0)))</f>
        <v/>
      </c>
      <c r="AE487" s="27">
        <f>IF(E487="","",Y487-N(AD487))</f>
        <v/>
      </c>
      <c r="AF487" s="29">
        <f>IFERROR(AE487/Y487,"")</f>
        <v/>
      </c>
      <c r="AG487" s="25">
        <f>IF(E487="","",IF(H487="Onsite",IFERROR(INDEX(tbl_Onsite[Notes],MATCH(E487&amp;"",tbl_Onsite[Job Number],0)),""),IF(H487="Production",IFERROR(INDEX(tbl_Production[Notes],MATCH(E487&amp;"",tbl_Production[Job Number],0)),""),IF(H487="Consulting",IFERROR(INDEX(tbl_Consulting[Notes],MATCH(E487&amp;"",tbl_Consulting[Job Number],0)),""),""))))</f>
        <v/>
      </c>
    </row>
    <row r="488" ht="15" customHeight="1">
      <c r="A488" s="22" t="n"/>
      <c r="B488" s="23">
        <f>IF(A488="","",EOMONTH(A488,0))</f>
        <v/>
      </c>
      <c r="C488" s="24" t="n"/>
      <c r="D488" s="24" t="n"/>
      <c r="E488" s="24" t="n"/>
      <c r="F488" s="25">
        <f>IF(E488="","",IF(COUNTIF(lst_Jobs,E488&amp;"")&gt;0,"OK","CHECK"))</f>
        <v/>
      </c>
      <c r="G488" s="24" t="n"/>
      <c r="H488" s="24" t="n"/>
      <c r="I488" s="24" t="n"/>
      <c r="J488" s="24" t="n"/>
      <c r="K488" s="24" t="n"/>
      <c r="L488" s="26" t="n"/>
      <c r="M488" s="27">
        <f>IF(L488="","",IF(K488="GST 10%",ROUND(L488*set_GSTRate,2),0))</f>
        <v/>
      </c>
      <c r="N488" s="27">
        <f>IF(L488="","",L488+M488)</f>
        <v/>
      </c>
      <c r="O488" s="24" t="n"/>
      <c r="P488" s="24" t="n"/>
      <c r="Q488" s="24" t="n"/>
      <c r="R488" s="22" t="n"/>
      <c r="S488" s="22" t="n"/>
      <c r="T488" s="24" t="n"/>
      <c r="U488" s="24" t="n"/>
      <c r="V488" s="25">
        <f>IF(COUNTA(A488,D488,C488,L488)=0,"",IF(A488="","No date - sits outside every month",IF(E488="","No job number",IF(F488="CHECK","Job number is not in the Xero job list",IF(I488="","No cost centre",IF(AND(P488="Y",C488=""),"Marked posted to Xero but has no invoice number",IF(AND(L488&lt;&gt;"",K488=""),"No tax code",IF(AND(L488&lt;&gt;"",O488=""),"No revenue GL code",""))))))))</f>
        <v/>
      </c>
      <c r="W488" s="25">
        <f>IF(E488="","",IFERROR(INDEX(lst_JobName,MATCH(E488&amp;"",lst_Jobs,0)),""))</f>
        <v/>
      </c>
      <c r="X488" s="28">
        <f>IF(E488="","",COUNTIFS(tbl_Finance[Job Number],E488&amp;"",tbl_Finance[Ex GST],"&lt;&gt;"))</f>
        <v/>
      </c>
      <c r="Y488" s="27">
        <f>IF(E488="","",SUMIFS(tbl_Finance[Ex GST],tbl_Finance[Job Number],E488&amp;""))</f>
        <v/>
      </c>
      <c r="Z488" s="27">
        <f>IF(E488="","",SUMIFS(tbl_Finance[Ex GST],tbl_Finance[Job Number],E488&amp;"",tbl_Finance[Xero Invoice No],"&lt;&gt;"))</f>
        <v/>
      </c>
      <c r="AA488" s="27">
        <f>IF(E488="","",Y488-Z488)</f>
        <v/>
      </c>
      <c r="AB488" s="25">
        <f>IF(E488="","",IF(H488="Onsite",IFERROR(INDEX(tbl_Onsite[Qwilr Quote],MATCH(E488&amp;"",tbl_Onsite[Job Number],0)),""),IF(H488="Production",IFERROR(INDEX(tbl_Production[Current RMS No],MATCH(E488&amp;"",tbl_Production[Job Number],0)),""),IF(H488="Consulting",IFERROR(INDEX(tbl_Consulting[Qwilr Quote],MATCH(E488&amp;"",tbl_Consulting[Job Number],0)),""),""))))</f>
        <v/>
      </c>
      <c r="AC488" s="25">
        <f>IF(AB488="","",IF(AND(LEFT(AB488,4)&lt;&gt;"http",IF(H488="Production",set_RMSBase,set_QwilrBase)=""),"",HYPERLINK(IF(LEFT(AB488,4)="http",AB488,IF(H488="Production",set_RMSBase,set_QwilrBase)&amp;AB488),"Open")))</f>
        <v/>
      </c>
      <c r="AD488" s="27">
        <f>IF(E488="","",IF(H488="Production",IFERROR(INDEX(tbl_Production[Total Expense],MATCH(E488&amp;"",tbl_Production[Job Number],0)),0),IF(H488="Consulting",IFERROR(INDEX(tbl_Consulting[Total Expense],MATCH(E488&amp;"",tbl_Consulting[Job Number],0)),0),0)))</f>
        <v/>
      </c>
      <c r="AE488" s="27">
        <f>IF(E488="","",Y488-N(AD488))</f>
        <v/>
      </c>
      <c r="AF488" s="29">
        <f>IFERROR(AE488/Y488,"")</f>
        <v/>
      </c>
      <c r="AG488" s="25">
        <f>IF(E488="","",IF(H488="Onsite",IFERROR(INDEX(tbl_Onsite[Notes],MATCH(E488&amp;"",tbl_Onsite[Job Number],0)),""),IF(H488="Production",IFERROR(INDEX(tbl_Production[Notes],MATCH(E488&amp;"",tbl_Production[Job Number],0)),""),IF(H488="Consulting",IFERROR(INDEX(tbl_Consulting[Notes],MATCH(E488&amp;"",tbl_Consulting[Job Number],0)),""),""))))</f>
        <v/>
      </c>
    </row>
    <row r="489" ht="15" customHeight="1">
      <c r="A489" s="22" t="n"/>
      <c r="B489" s="23">
        <f>IF(A489="","",EOMONTH(A489,0))</f>
        <v/>
      </c>
      <c r="C489" s="24" t="n"/>
      <c r="D489" s="24" t="n"/>
      <c r="E489" s="24" t="n"/>
      <c r="F489" s="25">
        <f>IF(E489="","",IF(COUNTIF(lst_Jobs,E489&amp;"")&gt;0,"OK","CHECK"))</f>
        <v/>
      </c>
      <c r="G489" s="24" t="n"/>
      <c r="H489" s="24" t="n"/>
      <c r="I489" s="24" t="n"/>
      <c r="J489" s="24" t="n"/>
      <c r="K489" s="24" t="n"/>
      <c r="L489" s="26" t="n"/>
      <c r="M489" s="27">
        <f>IF(L489="","",IF(K489="GST 10%",ROUND(L489*set_GSTRate,2),0))</f>
        <v/>
      </c>
      <c r="N489" s="27">
        <f>IF(L489="","",L489+M489)</f>
        <v/>
      </c>
      <c r="O489" s="24" t="n"/>
      <c r="P489" s="24" t="n"/>
      <c r="Q489" s="24" t="n"/>
      <c r="R489" s="22" t="n"/>
      <c r="S489" s="22" t="n"/>
      <c r="T489" s="24" t="n"/>
      <c r="U489" s="24" t="n"/>
      <c r="V489" s="25">
        <f>IF(COUNTA(A489,D489,C489,L489)=0,"",IF(A489="","No date - sits outside every month",IF(E489="","No job number",IF(F489="CHECK","Job number is not in the Xero job list",IF(I489="","No cost centre",IF(AND(P489="Y",C489=""),"Marked posted to Xero but has no invoice number",IF(AND(L489&lt;&gt;"",K489=""),"No tax code",IF(AND(L489&lt;&gt;"",O489=""),"No revenue GL code",""))))))))</f>
        <v/>
      </c>
      <c r="W489" s="25">
        <f>IF(E489="","",IFERROR(INDEX(lst_JobName,MATCH(E489&amp;"",lst_Jobs,0)),""))</f>
        <v/>
      </c>
      <c r="X489" s="28">
        <f>IF(E489="","",COUNTIFS(tbl_Finance[Job Number],E489&amp;"",tbl_Finance[Ex GST],"&lt;&gt;"))</f>
        <v/>
      </c>
      <c r="Y489" s="27">
        <f>IF(E489="","",SUMIFS(tbl_Finance[Ex GST],tbl_Finance[Job Number],E489&amp;""))</f>
        <v/>
      </c>
      <c r="Z489" s="27">
        <f>IF(E489="","",SUMIFS(tbl_Finance[Ex GST],tbl_Finance[Job Number],E489&amp;"",tbl_Finance[Xero Invoice No],"&lt;&gt;"))</f>
        <v/>
      </c>
      <c r="AA489" s="27">
        <f>IF(E489="","",Y489-Z489)</f>
        <v/>
      </c>
      <c r="AB489" s="25">
        <f>IF(E489="","",IF(H489="Onsite",IFERROR(INDEX(tbl_Onsite[Qwilr Quote],MATCH(E489&amp;"",tbl_Onsite[Job Number],0)),""),IF(H489="Production",IFERROR(INDEX(tbl_Production[Current RMS No],MATCH(E489&amp;"",tbl_Production[Job Number],0)),""),IF(H489="Consulting",IFERROR(INDEX(tbl_Consulting[Qwilr Quote],MATCH(E489&amp;"",tbl_Consulting[Job Number],0)),""),""))))</f>
        <v/>
      </c>
      <c r="AC489" s="25">
        <f>IF(AB489="","",IF(AND(LEFT(AB489,4)&lt;&gt;"http",IF(H489="Production",set_RMSBase,set_QwilrBase)=""),"",HYPERLINK(IF(LEFT(AB489,4)="http",AB489,IF(H489="Production",set_RMSBase,set_QwilrBase)&amp;AB489),"Open")))</f>
        <v/>
      </c>
      <c r="AD489" s="27">
        <f>IF(E489="","",IF(H489="Production",IFERROR(INDEX(tbl_Production[Total Expense],MATCH(E489&amp;"",tbl_Production[Job Number],0)),0),IF(H489="Consulting",IFERROR(INDEX(tbl_Consulting[Total Expense],MATCH(E489&amp;"",tbl_Consulting[Job Number],0)),0),0)))</f>
        <v/>
      </c>
      <c r="AE489" s="27">
        <f>IF(E489="","",Y489-N(AD489))</f>
        <v/>
      </c>
      <c r="AF489" s="29">
        <f>IFERROR(AE489/Y489,"")</f>
        <v/>
      </c>
      <c r="AG489" s="25">
        <f>IF(E489="","",IF(H489="Onsite",IFERROR(INDEX(tbl_Onsite[Notes],MATCH(E489&amp;"",tbl_Onsite[Job Number],0)),""),IF(H489="Production",IFERROR(INDEX(tbl_Production[Notes],MATCH(E489&amp;"",tbl_Production[Job Number],0)),""),IF(H489="Consulting",IFERROR(INDEX(tbl_Consulting[Notes],MATCH(E489&amp;"",tbl_Consulting[Job Number],0)),""),""))))</f>
        <v/>
      </c>
    </row>
    <row r="490" ht="15" customHeight="1">
      <c r="A490" s="22" t="n"/>
      <c r="B490" s="23">
        <f>IF(A490="","",EOMONTH(A490,0))</f>
        <v/>
      </c>
      <c r="C490" s="24" t="n"/>
      <c r="D490" s="24" t="n"/>
      <c r="E490" s="24" t="n"/>
      <c r="F490" s="25">
        <f>IF(E490="","",IF(COUNTIF(lst_Jobs,E490&amp;"")&gt;0,"OK","CHECK"))</f>
        <v/>
      </c>
      <c r="G490" s="24" t="n"/>
      <c r="H490" s="24" t="n"/>
      <c r="I490" s="24" t="n"/>
      <c r="J490" s="24" t="n"/>
      <c r="K490" s="24" t="n"/>
      <c r="L490" s="26" t="n"/>
      <c r="M490" s="27">
        <f>IF(L490="","",IF(K490="GST 10%",ROUND(L490*set_GSTRate,2),0))</f>
        <v/>
      </c>
      <c r="N490" s="27">
        <f>IF(L490="","",L490+M490)</f>
        <v/>
      </c>
      <c r="O490" s="24" t="n"/>
      <c r="P490" s="24" t="n"/>
      <c r="Q490" s="24" t="n"/>
      <c r="R490" s="22" t="n"/>
      <c r="S490" s="22" t="n"/>
      <c r="T490" s="24" t="n"/>
      <c r="U490" s="24" t="n"/>
      <c r="V490" s="25">
        <f>IF(COUNTA(A490,D490,C490,L490)=0,"",IF(A490="","No date - sits outside every month",IF(E490="","No job number",IF(F490="CHECK","Job number is not in the Xero job list",IF(I490="","No cost centre",IF(AND(P490="Y",C490=""),"Marked posted to Xero but has no invoice number",IF(AND(L490&lt;&gt;"",K490=""),"No tax code",IF(AND(L490&lt;&gt;"",O490=""),"No revenue GL code",""))))))))</f>
        <v/>
      </c>
      <c r="W490" s="25">
        <f>IF(E490="","",IFERROR(INDEX(lst_JobName,MATCH(E490&amp;"",lst_Jobs,0)),""))</f>
        <v/>
      </c>
      <c r="X490" s="28">
        <f>IF(E490="","",COUNTIFS(tbl_Finance[Job Number],E490&amp;"",tbl_Finance[Ex GST],"&lt;&gt;"))</f>
        <v/>
      </c>
      <c r="Y490" s="27">
        <f>IF(E490="","",SUMIFS(tbl_Finance[Ex GST],tbl_Finance[Job Number],E490&amp;""))</f>
        <v/>
      </c>
      <c r="Z490" s="27">
        <f>IF(E490="","",SUMIFS(tbl_Finance[Ex GST],tbl_Finance[Job Number],E490&amp;"",tbl_Finance[Xero Invoice No],"&lt;&gt;"))</f>
        <v/>
      </c>
      <c r="AA490" s="27">
        <f>IF(E490="","",Y490-Z490)</f>
        <v/>
      </c>
      <c r="AB490" s="25">
        <f>IF(E490="","",IF(H490="Onsite",IFERROR(INDEX(tbl_Onsite[Qwilr Quote],MATCH(E490&amp;"",tbl_Onsite[Job Number],0)),""),IF(H490="Production",IFERROR(INDEX(tbl_Production[Current RMS No],MATCH(E490&amp;"",tbl_Production[Job Number],0)),""),IF(H490="Consulting",IFERROR(INDEX(tbl_Consulting[Qwilr Quote],MATCH(E490&amp;"",tbl_Consulting[Job Number],0)),""),""))))</f>
        <v/>
      </c>
      <c r="AC490" s="25">
        <f>IF(AB490="","",IF(AND(LEFT(AB490,4)&lt;&gt;"http",IF(H490="Production",set_RMSBase,set_QwilrBase)=""),"",HYPERLINK(IF(LEFT(AB490,4)="http",AB490,IF(H490="Production",set_RMSBase,set_QwilrBase)&amp;AB490),"Open")))</f>
        <v/>
      </c>
      <c r="AD490" s="27">
        <f>IF(E490="","",IF(H490="Production",IFERROR(INDEX(tbl_Production[Total Expense],MATCH(E490&amp;"",tbl_Production[Job Number],0)),0),IF(H490="Consulting",IFERROR(INDEX(tbl_Consulting[Total Expense],MATCH(E490&amp;"",tbl_Consulting[Job Number],0)),0),0)))</f>
        <v/>
      </c>
      <c r="AE490" s="27">
        <f>IF(E490="","",Y490-N(AD490))</f>
        <v/>
      </c>
      <c r="AF490" s="29">
        <f>IFERROR(AE490/Y490,"")</f>
        <v/>
      </c>
      <c r="AG490" s="25">
        <f>IF(E490="","",IF(H490="Onsite",IFERROR(INDEX(tbl_Onsite[Notes],MATCH(E490&amp;"",tbl_Onsite[Job Number],0)),""),IF(H490="Production",IFERROR(INDEX(tbl_Production[Notes],MATCH(E490&amp;"",tbl_Production[Job Number],0)),""),IF(H490="Consulting",IFERROR(INDEX(tbl_Consulting[Notes],MATCH(E490&amp;"",tbl_Consulting[Job Number],0)),""),""))))</f>
        <v/>
      </c>
    </row>
    <row r="491" ht="15" customHeight="1">
      <c r="A491" s="22" t="n"/>
      <c r="B491" s="23">
        <f>IF(A491="","",EOMONTH(A491,0))</f>
        <v/>
      </c>
      <c r="C491" s="24" t="n"/>
      <c r="D491" s="24" t="n"/>
      <c r="E491" s="24" t="n"/>
      <c r="F491" s="25">
        <f>IF(E491="","",IF(COUNTIF(lst_Jobs,E491&amp;"")&gt;0,"OK","CHECK"))</f>
        <v/>
      </c>
      <c r="G491" s="24" t="n"/>
      <c r="H491" s="24" t="n"/>
      <c r="I491" s="24" t="n"/>
      <c r="J491" s="24" t="n"/>
      <c r="K491" s="24" t="n"/>
      <c r="L491" s="26" t="n"/>
      <c r="M491" s="27">
        <f>IF(L491="","",IF(K491="GST 10%",ROUND(L491*set_GSTRate,2),0))</f>
        <v/>
      </c>
      <c r="N491" s="27">
        <f>IF(L491="","",L491+M491)</f>
        <v/>
      </c>
      <c r="O491" s="24" t="n"/>
      <c r="P491" s="24" t="n"/>
      <c r="Q491" s="24" t="n"/>
      <c r="R491" s="22" t="n"/>
      <c r="S491" s="22" t="n"/>
      <c r="T491" s="24" t="n"/>
      <c r="U491" s="24" t="n"/>
      <c r="V491" s="25">
        <f>IF(COUNTA(A491,D491,C491,L491)=0,"",IF(A491="","No date - sits outside every month",IF(E491="","No job number",IF(F491="CHECK","Job number is not in the Xero job list",IF(I491="","No cost centre",IF(AND(P491="Y",C491=""),"Marked posted to Xero but has no invoice number",IF(AND(L491&lt;&gt;"",K491=""),"No tax code",IF(AND(L491&lt;&gt;"",O491=""),"No revenue GL code",""))))))))</f>
        <v/>
      </c>
      <c r="W491" s="25">
        <f>IF(E491="","",IFERROR(INDEX(lst_JobName,MATCH(E491&amp;"",lst_Jobs,0)),""))</f>
        <v/>
      </c>
      <c r="X491" s="28">
        <f>IF(E491="","",COUNTIFS(tbl_Finance[Job Number],E491&amp;"",tbl_Finance[Ex GST],"&lt;&gt;"))</f>
        <v/>
      </c>
      <c r="Y491" s="27">
        <f>IF(E491="","",SUMIFS(tbl_Finance[Ex GST],tbl_Finance[Job Number],E491&amp;""))</f>
        <v/>
      </c>
      <c r="Z491" s="27">
        <f>IF(E491="","",SUMIFS(tbl_Finance[Ex GST],tbl_Finance[Job Number],E491&amp;"",tbl_Finance[Xero Invoice No],"&lt;&gt;"))</f>
        <v/>
      </c>
      <c r="AA491" s="27">
        <f>IF(E491="","",Y491-Z491)</f>
        <v/>
      </c>
      <c r="AB491" s="25">
        <f>IF(E491="","",IF(H491="Onsite",IFERROR(INDEX(tbl_Onsite[Qwilr Quote],MATCH(E491&amp;"",tbl_Onsite[Job Number],0)),""),IF(H491="Production",IFERROR(INDEX(tbl_Production[Current RMS No],MATCH(E491&amp;"",tbl_Production[Job Number],0)),""),IF(H491="Consulting",IFERROR(INDEX(tbl_Consulting[Qwilr Quote],MATCH(E491&amp;"",tbl_Consulting[Job Number],0)),""),""))))</f>
        <v/>
      </c>
      <c r="AC491" s="25">
        <f>IF(AB491="","",IF(AND(LEFT(AB491,4)&lt;&gt;"http",IF(H491="Production",set_RMSBase,set_QwilrBase)=""),"",HYPERLINK(IF(LEFT(AB491,4)="http",AB491,IF(H491="Production",set_RMSBase,set_QwilrBase)&amp;AB491),"Open")))</f>
        <v/>
      </c>
      <c r="AD491" s="27">
        <f>IF(E491="","",IF(H491="Production",IFERROR(INDEX(tbl_Production[Total Expense],MATCH(E491&amp;"",tbl_Production[Job Number],0)),0),IF(H491="Consulting",IFERROR(INDEX(tbl_Consulting[Total Expense],MATCH(E491&amp;"",tbl_Consulting[Job Number],0)),0),0)))</f>
        <v/>
      </c>
      <c r="AE491" s="27">
        <f>IF(E491="","",Y491-N(AD491))</f>
        <v/>
      </c>
      <c r="AF491" s="29">
        <f>IFERROR(AE491/Y491,"")</f>
        <v/>
      </c>
      <c r="AG491" s="25">
        <f>IF(E491="","",IF(H491="Onsite",IFERROR(INDEX(tbl_Onsite[Notes],MATCH(E491&amp;"",tbl_Onsite[Job Number],0)),""),IF(H491="Production",IFERROR(INDEX(tbl_Production[Notes],MATCH(E491&amp;"",tbl_Production[Job Number],0)),""),IF(H491="Consulting",IFERROR(INDEX(tbl_Consulting[Notes],MATCH(E491&amp;"",tbl_Consulting[Job Number],0)),""),""))))</f>
        <v/>
      </c>
    </row>
    <row r="492" ht="15" customHeight="1">
      <c r="A492" s="22" t="n"/>
      <c r="B492" s="23">
        <f>IF(A492="","",EOMONTH(A492,0))</f>
        <v/>
      </c>
      <c r="C492" s="24" t="n"/>
      <c r="D492" s="24" t="n"/>
      <c r="E492" s="24" t="n"/>
      <c r="F492" s="25">
        <f>IF(E492="","",IF(COUNTIF(lst_Jobs,E492&amp;"")&gt;0,"OK","CHECK"))</f>
        <v/>
      </c>
      <c r="G492" s="24" t="n"/>
      <c r="H492" s="24" t="n"/>
      <c r="I492" s="24" t="n"/>
      <c r="J492" s="24" t="n"/>
      <c r="K492" s="24" t="n"/>
      <c r="L492" s="26" t="n"/>
      <c r="M492" s="27">
        <f>IF(L492="","",IF(K492="GST 10%",ROUND(L492*set_GSTRate,2),0))</f>
        <v/>
      </c>
      <c r="N492" s="27">
        <f>IF(L492="","",L492+M492)</f>
        <v/>
      </c>
      <c r="O492" s="24" t="n"/>
      <c r="P492" s="24" t="n"/>
      <c r="Q492" s="24" t="n"/>
      <c r="R492" s="22" t="n"/>
      <c r="S492" s="22" t="n"/>
      <c r="T492" s="24" t="n"/>
      <c r="U492" s="24" t="n"/>
      <c r="V492" s="25">
        <f>IF(COUNTA(A492,D492,C492,L492)=0,"",IF(A492="","No date - sits outside every month",IF(E492="","No job number",IF(F492="CHECK","Job number is not in the Xero job list",IF(I492="","No cost centre",IF(AND(P492="Y",C492=""),"Marked posted to Xero but has no invoice number",IF(AND(L492&lt;&gt;"",K492=""),"No tax code",IF(AND(L492&lt;&gt;"",O492=""),"No revenue GL code",""))))))))</f>
        <v/>
      </c>
      <c r="W492" s="25">
        <f>IF(E492="","",IFERROR(INDEX(lst_JobName,MATCH(E492&amp;"",lst_Jobs,0)),""))</f>
        <v/>
      </c>
      <c r="X492" s="28">
        <f>IF(E492="","",COUNTIFS(tbl_Finance[Job Number],E492&amp;"",tbl_Finance[Ex GST],"&lt;&gt;"))</f>
        <v/>
      </c>
      <c r="Y492" s="27">
        <f>IF(E492="","",SUMIFS(tbl_Finance[Ex GST],tbl_Finance[Job Number],E492&amp;""))</f>
        <v/>
      </c>
      <c r="Z492" s="27">
        <f>IF(E492="","",SUMIFS(tbl_Finance[Ex GST],tbl_Finance[Job Number],E492&amp;"",tbl_Finance[Xero Invoice No],"&lt;&gt;"))</f>
        <v/>
      </c>
      <c r="AA492" s="27">
        <f>IF(E492="","",Y492-Z492)</f>
        <v/>
      </c>
      <c r="AB492" s="25">
        <f>IF(E492="","",IF(H492="Onsite",IFERROR(INDEX(tbl_Onsite[Qwilr Quote],MATCH(E492&amp;"",tbl_Onsite[Job Number],0)),""),IF(H492="Production",IFERROR(INDEX(tbl_Production[Current RMS No],MATCH(E492&amp;"",tbl_Production[Job Number],0)),""),IF(H492="Consulting",IFERROR(INDEX(tbl_Consulting[Qwilr Quote],MATCH(E492&amp;"",tbl_Consulting[Job Number],0)),""),""))))</f>
        <v/>
      </c>
      <c r="AC492" s="25">
        <f>IF(AB492="","",IF(AND(LEFT(AB492,4)&lt;&gt;"http",IF(H492="Production",set_RMSBase,set_QwilrBase)=""),"",HYPERLINK(IF(LEFT(AB492,4)="http",AB492,IF(H492="Production",set_RMSBase,set_QwilrBase)&amp;AB492),"Open")))</f>
        <v/>
      </c>
      <c r="AD492" s="27">
        <f>IF(E492="","",IF(H492="Production",IFERROR(INDEX(tbl_Production[Total Expense],MATCH(E492&amp;"",tbl_Production[Job Number],0)),0),IF(H492="Consulting",IFERROR(INDEX(tbl_Consulting[Total Expense],MATCH(E492&amp;"",tbl_Consulting[Job Number],0)),0),0)))</f>
        <v/>
      </c>
      <c r="AE492" s="27">
        <f>IF(E492="","",Y492-N(AD492))</f>
        <v/>
      </c>
      <c r="AF492" s="29">
        <f>IFERROR(AE492/Y492,"")</f>
        <v/>
      </c>
      <c r="AG492" s="25">
        <f>IF(E492="","",IF(H492="Onsite",IFERROR(INDEX(tbl_Onsite[Notes],MATCH(E492&amp;"",tbl_Onsite[Job Number],0)),""),IF(H492="Production",IFERROR(INDEX(tbl_Production[Notes],MATCH(E492&amp;"",tbl_Production[Job Number],0)),""),IF(H492="Consulting",IFERROR(INDEX(tbl_Consulting[Notes],MATCH(E492&amp;"",tbl_Consulting[Job Number],0)),""),""))))</f>
        <v/>
      </c>
    </row>
    <row r="493" ht="15" customHeight="1">
      <c r="A493" s="22" t="n"/>
      <c r="B493" s="23">
        <f>IF(A493="","",EOMONTH(A493,0))</f>
        <v/>
      </c>
      <c r="C493" s="24" t="n"/>
      <c r="D493" s="24" t="n"/>
      <c r="E493" s="24" t="n"/>
      <c r="F493" s="25">
        <f>IF(E493="","",IF(COUNTIF(lst_Jobs,E493&amp;"")&gt;0,"OK","CHECK"))</f>
        <v/>
      </c>
      <c r="G493" s="24" t="n"/>
      <c r="H493" s="24" t="n"/>
      <c r="I493" s="24" t="n"/>
      <c r="J493" s="24" t="n"/>
      <c r="K493" s="24" t="n"/>
      <c r="L493" s="26" t="n"/>
      <c r="M493" s="27">
        <f>IF(L493="","",IF(K493="GST 10%",ROUND(L493*set_GSTRate,2),0))</f>
        <v/>
      </c>
      <c r="N493" s="27">
        <f>IF(L493="","",L493+M493)</f>
        <v/>
      </c>
      <c r="O493" s="24" t="n"/>
      <c r="P493" s="24" t="n"/>
      <c r="Q493" s="24" t="n"/>
      <c r="R493" s="22" t="n"/>
      <c r="S493" s="22" t="n"/>
      <c r="T493" s="24" t="n"/>
      <c r="U493" s="24" t="n"/>
      <c r="V493" s="25">
        <f>IF(COUNTA(A493,D493,C493,L493)=0,"",IF(A493="","No date - sits outside every month",IF(E493="","No job number",IF(F493="CHECK","Job number is not in the Xero job list",IF(I493="","No cost centre",IF(AND(P493="Y",C493=""),"Marked posted to Xero but has no invoice number",IF(AND(L493&lt;&gt;"",K493=""),"No tax code",IF(AND(L493&lt;&gt;"",O493=""),"No revenue GL code",""))))))))</f>
        <v/>
      </c>
      <c r="W493" s="25">
        <f>IF(E493="","",IFERROR(INDEX(lst_JobName,MATCH(E493&amp;"",lst_Jobs,0)),""))</f>
        <v/>
      </c>
      <c r="X493" s="28">
        <f>IF(E493="","",COUNTIFS(tbl_Finance[Job Number],E493&amp;"",tbl_Finance[Ex GST],"&lt;&gt;"))</f>
        <v/>
      </c>
      <c r="Y493" s="27">
        <f>IF(E493="","",SUMIFS(tbl_Finance[Ex GST],tbl_Finance[Job Number],E493&amp;""))</f>
        <v/>
      </c>
      <c r="Z493" s="27">
        <f>IF(E493="","",SUMIFS(tbl_Finance[Ex GST],tbl_Finance[Job Number],E493&amp;"",tbl_Finance[Xero Invoice No],"&lt;&gt;"))</f>
        <v/>
      </c>
      <c r="AA493" s="27">
        <f>IF(E493="","",Y493-Z493)</f>
        <v/>
      </c>
      <c r="AB493" s="25">
        <f>IF(E493="","",IF(H493="Onsite",IFERROR(INDEX(tbl_Onsite[Qwilr Quote],MATCH(E493&amp;"",tbl_Onsite[Job Number],0)),""),IF(H493="Production",IFERROR(INDEX(tbl_Production[Current RMS No],MATCH(E493&amp;"",tbl_Production[Job Number],0)),""),IF(H493="Consulting",IFERROR(INDEX(tbl_Consulting[Qwilr Quote],MATCH(E493&amp;"",tbl_Consulting[Job Number],0)),""),""))))</f>
        <v/>
      </c>
      <c r="AC493" s="25">
        <f>IF(AB493="","",IF(AND(LEFT(AB493,4)&lt;&gt;"http",IF(H493="Production",set_RMSBase,set_QwilrBase)=""),"",HYPERLINK(IF(LEFT(AB493,4)="http",AB493,IF(H493="Production",set_RMSBase,set_QwilrBase)&amp;AB493),"Open")))</f>
        <v/>
      </c>
      <c r="AD493" s="27">
        <f>IF(E493="","",IF(H493="Production",IFERROR(INDEX(tbl_Production[Total Expense],MATCH(E493&amp;"",tbl_Production[Job Number],0)),0),IF(H493="Consulting",IFERROR(INDEX(tbl_Consulting[Total Expense],MATCH(E493&amp;"",tbl_Consulting[Job Number],0)),0),0)))</f>
        <v/>
      </c>
      <c r="AE493" s="27">
        <f>IF(E493="","",Y493-N(AD493))</f>
        <v/>
      </c>
      <c r="AF493" s="29">
        <f>IFERROR(AE493/Y493,"")</f>
        <v/>
      </c>
      <c r="AG493" s="25">
        <f>IF(E493="","",IF(H493="Onsite",IFERROR(INDEX(tbl_Onsite[Notes],MATCH(E493&amp;"",tbl_Onsite[Job Number],0)),""),IF(H493="Production",IFERROR(INDEX(tbl_Production[Notes],MATCH(E493&amp;"",tbl_Production[Job Number],0)),""),IF(H493="Consulting",IFERROR(INDEX(tbl_Consulting[Notes],MATCH(E493&amp;"",tbl_Consulting[Job Number],0)),""),""))))</f>
        <v/>
      </c>
    </row>
    <row r="494" ht="15" customHeight="1">
      <c r="A494" s="22" t="n"/>
      <c r="B494" s="23">
        <f>IF(A494="","",EOMONTH(A494,0))</f>
        <v/>
      </c>
      <c r="C494" s="24" t="n"/>
      <c r="D494" s="24" t="n"/>
      <c r="E494" s="24" t="n"/>
      <c r="F494" s="25">
        <f>IF(E494="","",IF(COUNTIF(lst_Jobs,E494&amp;"")&gt;0,"OK","CHECK"))</f>
        <v/>
      </c>
      <c r="G494" s="24" t="n"/>
      <c r="H494" s="24" t="n"/>
      <c r="I494" s="24" t="n"/>
      <c r="J494" s="24" t="n"/>
      <c r="K494" s="24" t="n"/>
      <c r="L494" s="26" t="n"/>
      <c r="M494" s="27">
        <f>IF(L494="","",IF(K494="GST 10%",ROUND(L494*set_GSTRate,2),0))</f>
        <v/>
      </c>
      <c r="N494" s="27">
        <f>IF(L494="","",L494+M494)</f>
        <v/>
      </c>
      <c r="O494" s="24" t="n"/>
      <c r="P494" s="24" t="n"/>
      <c r="Q494" s="24" t="n"/>
      <c r="R494" s="22" t="n"/>
      <c r="S494" s="22" t="n"/>
      <c r="T494" s="24" t="n"/>
      <c r="U494" s="24" t="n"/>
      <c r="V494" s="25">
        <f>IF(COUNTA(A494,D494,C494,L494)=0,"",IF(A494="","No date - sits outside every month",IF(E494="","No job number",IF(F494="CHECK","Job number is not in the Xero job list",IF(I494="","No cost centre",IF(AND(P494="Y",C494=""),"Marked posted to Xero but has no invoice number",IF(AND(L494&lt;&gt;"",K494=""),"No tax code",IF(AND(L494&lt;&gt;"",O494=""),"No revenue GL code",""))))))))</f>
        <v/>
      </c>
      <c r="W494" s="25">
        <f>IF(E494="","",IFERROR(INDEX(lst_JobName,MATCH(E494&amp;"",lst_Jobs,0)),""))</f>
        <v/>
      </c>
      <c r="X494" s="28">
        <f>IF(E494="","",COUNTIFS(tbl_Finance[Job Number],E494&amp;"",tbl_Finance[Ex GST],"&lt;&gt;"))</f>
        <v/>
      </c>
      <c r="Y494" s="27">
        <f>IF(E494="","",SUMIFS(tbl_Finance[Ex GST],tbl_Finance[Job Number],E494&amp;""))</f>
        <v/>
      </c>
      <c r="Z494" s="27">
        <f>IF(E494="","",SUMIFS(tbl_Finance[Ex GST],tbl_Finance[Job Number],E494&amp;"",tbl_Finance[Xero Invoice No],"&lt;&gt;"))</f>
        <v/>
      </c>
      <c r="AA494" s="27">
        <f>IF(E494="","",Y494-Z494)</f>
        <v/>
      </c>
      <c r="AB494" s="25">
        <f>IF(E494="","",IF(H494="Onsite",IFERROR(INDEX(tbl_Onsite[Qwilr Quote],MATCH(E494&amp;"",tbl_Onsite[Job Number],0)),""),IF(H494="Production",IFERROR(INDEX(tbl_Production[Current RMS No],MATCH(E494&amp;"",tbl_Production[Job Number],0)),""),IF(H494="Consulting",IFERROR(INDEX(tbl_Consulting[Qwilr Quote],MATCH(E494&amp;"",tbl_Consulting[Job Number],0)),""),""))))</f>
        <v/>
      </c>
      <c r="AC494" s="25">
        <f>IF(AB494="","",IF(AND(LEFT(AB494,4)&lt;&gt;"http",IF(H494="Production",set_RMSBase,set_QwilrBase)=""),"",HYPERLINK(IF(LEFT(AB494,4)="http",AB494,IF(H494="Production",set_RMSBase,set_QwilrBase)&amp;AB494),"Open")))</f>
        <v/>
      </c>
      <c r="AD494" s="27">
        <f>IF(E494="","",IF(H494="Production",IFERROR(INDEX(tbl_Production[Total Expense],MATCH(E494&amp;"",tbl_Production[Job Number],0)),0),IF(H494="Consulting",IFERROR(INDEX(tbl_Consulting[Total Expense],MATCH(E494&amp;"",tbl_Consulting[Job Number],0)),0),0)))</f>
        <v/>
      </c>
      <c r="AE494" s="27">
        <f>IF(E494="","",Y494-N(AD494))</f>
        <v/>
      </c>
      <c r="AF494" s="29">
        <f>IFERROR(AE494/Y494,"")</f>
        <v/>
      </c>
      <c r="AG494" s="25">
        <f>IF(E494="","",IF(H494="Onsite",IFERROR(INDEX(tbl_Onsite[Notes],MATCH(E494&amp;"",tbl_Onsite[Job Number],0)),""),IF(H494="Production",IFERROR(INDEX(tbl_Production[Notes],MATCH(E494&amp;"",tbl_Production[Job Number],0)),""),IF(H494="Consulting",IFERROR(INDEX(tbl_Consulting[Notes],MATCH(E494&amp;"",tbl_Consulting[Job Number],0)),""),""))))</f>
        <v/>
      </c>
    </row>
    <row r="495" ht="15" customHeight="1">
      <c r="A495" s="22" t="n"/>
      <c r="B495" s="23">
        <f>IF(A495="","",EOMONTH(A495,0))</f>
        <v/>
      </c>
      <c r="C495" s="24" t="n"/>
      <c r="D495" s="24" t="n"/>
      <c r="E495" s="24" t="n"/>
      <c r="F495" s="25">
        <f>IF(E495="","",IF(COUNTIF(lst_Jobs,E495&amp;"")&gt;0,"OK","CHECK"))</f>
        <v/>
      </c>
      <c r="G495" s="24" t="n"/>
      <c r="H495" s="24" t="n"/>
      <c r="I495" s="24" t="n"/>
      <c r="J495" s="24" t="n"/>
      <c r="K495" s="24" t="n"/>
      <c r="L495" s="26" t="n"/>
      <c r="M495" s="27">
        <f>IF(L495="","",IF(K495="GST 10%",ROUND(L495*set_GSTRate,2),0))</f>
        <v/>
      </c>
      <c r="N495" s="27">
        <f>IF(L495="","",L495+M495)</f>
        <v/>
      </c>
      <c r="O495" s="24" t="n"/>
      <c r="P495" s="24" t="n"/>
      <c r="Q495" s="24" t="n"/>
      <c r="R495" s="22" t="n"/>
      <c r="S495" s="22" t="n"/>
      <c r="T495" s="24" t="n"/>
      <c r="U495" s="24" t="n"/>
      <c r="V495" s="25">
        <f>IF(COUNTA(A495,D495,C495,L495)=0,"",IF(A495="","No date - sits outside every month",IF(E495="","No job number",IF(F495="CHECK","Job number is not in the Xero job list",IF(I495="","No cost centre",IF(AND(P495="Y",C495=""),"Marked posted to Xero but has no invoice number",IF(AND(L495&lt;&gt;"",K495=""),"No tax code",IF(AND(L495&lt;&gt;"",O495=""),"No revenue GL code",""))))))))</f>
        <v/>
      </c>
      <c r="W495" s="25">
        <f>IF(E495="","",IFERROR(INDEX(lst_JobName,MATCH(E495&amp;"",lst_Jobs,0)),""))</f>
        <v/>
      </c>
      <c r="X495" s="28">
        <f>IF(E495="","",COUNTIFS(tbl_Finance[Job Number],E495&amp;"",tbl_Finance[Ex GST],"&lt;&gt;"))</f>
        <v/>
      </c>
      <c r="Y495" s="27">
        <f>IF(E495="","",SUMIFS(tbl_Finance[Ex GST],tbl_Finance[Job Number],E495&amp;""))</f>
        <v/>
      </c>
      <c r="Z495" s="27">
        <f>IF(E495="","",SUMIFS(tbl_Finance[Ex GST],tbl_Finance[Job Number],E495&amp;"",tbl_Finance[Xero Invoice No],"&lt;&gt;"))</f>
        <v/>
      </c>
      <c r="AA495" s="27">
        <f>IF(E495="","",Y495-Z495)</f>
        <v/>
      </c>
      <c r="AB495" s="25">
        <f>IF(E495="","",IF(H495="Onsite",IFERROR(INDEX(tbl_Onsite[Qwilr Quote],MATCH(E495&amp;"",tbl_Onsite[Job Number],0)),""),IF(H495="Production",IFERROR(INDEX(tbl_Production[Current RMS No],MATCH(E495&amp;"",tbl_Production[Job Number],0)),""),IF(H495="Consulting",IFERROR(INDEX(tbl_Consulting[Qwilr Quote],MATCH(E495&amp;"",tbl_Consulting[Job Number],0)),""),""))))</f>
        <v/>
      </c>
      <c r="AC495" s="25">
        <f>IF(AB495="","",IF(AND(LEFT(AB495,4)&lt;&gt;"http",IF(H495="Production",set_RMSBase,set_QwilrBase)=""),"",HYPERLINK(IF(LEFT(AB495,4)="http",AB495,IF(H495="Production",set_RMSBase,set_QwilrBase)&amp;AB495),"Open")))</f>
        <v/>
      </c>
      <c r="AD495" s="27">
        <f>IF(E495="","",IF(H495="Production",IFERROR(INDEX(tbl_Production[Total Expense],MATCH(E495&amp;"",tbl_Production[Job Number],0)),0),IF(H495="Consulting",IFERROR(INDEX(tbl_Consulting[Total Expense],MATCH(E495&amp;"",tbl_Consulting[Job Number],0)),0),0)))</f>
        <v/>
      </c>
      <c r="AE495" s="27">
        <f>IF(E495="","",Y495-N(AD495))</f>
        <v/>
      </c>
      <c r="AF495" s="29">
        <f>IFERROR(AE495/Y495,"")</f>
        <v/>
      </c>
      <c r="AG495" s="25">
        <f>IF(E495="","",IF(H495="Onsite",IFERROR(INDEX(tbl_Onsite[Notes],MATCH(E495&amp;"",tbl_Onsite[Job Number],0)),""),IF(H495="Production",IFERROR(INDEX(tbl_Production[Notes],MATCH(E495&amp;"",tbl_Production[Job Number],0)),""),IF(H495="Consulting",IFERROR(INDEX(tbl_Consulting[Notes],MATCH(E495&amp;"",tbl_Consulting[Job Number],0)),""),""))))</f>
        <v/>
      </c>
    </row>
    <row r="496" ht="15" customHeight="1">
      <c r="A496" s="22" t="n"/>
      <c r="B496" s="23">
        <f>IF(A496="","",EOMONTH(A496,0))</f>
        <v/>
      </c>
      <c r="C496" s="24" t="n"/>
      <c r="D496" s="24" t="n"/>
      <c r="E496" s="24" t="n"/>
      <c r="F496" s="25">
        <f>IF(E496="","",IF(COUNTIF(lst_Jobs,E496&amp;"")&gt;0,"OK","CHECK"))</f>
        <v/>
      </c>
      <c r="G496" s="24" t="n"/>
      <c r="H496" s="24" t="n"/>
      <c r="I496" s="24" t="n"/>
      <c r="J496" s="24" t="n"/>
      <c r="K496" s="24" t="n"/>
      <c r="L496" s="26" t="n"/>
      <c r="M496" s="27">
        <f>IF(L496="","",IF(K496="GST 10%",ROUND(L496*set_GSTRate,2),0))</f>
        <v/>
      </c>
      <c r="N496" s="27">
        <f>IF(L496="","",L496+M496)</f>
        <v/>
      </c>
      <c r="O496" s="24" t="n"/>
      <c r="P496" s="24" t="n"/>
      <c r="Q496" s="24" t="n"/>
      <c r="R496" s="22" t="n"/>
      <c r="S496" s="22" t="n"/>
      <c r="T496" s="24" t="n"/>
      <c r="U496" s="24" t="n"/>
      <c r="V496" s="25">
        <f>IF(COUNTA(A496,D496,C496,L496)=0,"",IF(A496="","No date - sits outside every month",IF(E496="","No job number",IF(F496="CHECK","Job number is not in the Xero job list",IF(I496="","No cost centre",IF(AND(P496="Y",C496=""),"Marked posted to Xero but has no invoice number",IF(AND(L496&lt;&gt;"",K496=""),"No tax code",IF(AND(L496&lt;&gt;"",O496=""),"No revenue GL code",""))))))))</f>
        <v/>
      </c>
      <c r="W496" s="25">
        <f>IF(E496="","",IFERROR(INDEX(lst_JobName,MATCH(E496&amp;"",lst_Jobs,0)),""))</f>
        <v/>
      </c>
      <c r="X496" s="28">
        <f>IF(E496="","",COUNTIFS(tbl_Finance[Job Number],E496&amp;"",tbl_Finance[Ex GST],"&lt;&gt;"))</f>
        <v/>
      </c>
      <c r="Y496" s="27">
        <f>IF(E496="","",SUMIFS(tbl_Finance[Ex GST],tbl_Finance[Job Number],E496&amp;""))</f>
        <v/>
      </c>
      <c r="Z496" s="27">
        <f>IF(E496="","",SUMIFS(tbl_Finance[Ex GST],tbl_Finance[Job Number],E496&amp;"",tbl_Finance[Xero Invoice No],"&lt;&gt;"))</f>
        <v/>
      </c>
      <c r="AA496" s="27">
        <f>IF(E496="","",Y496-Z496)</f>
        <v/>
      </c>
      <c r="AB496" s="25">
        <f>IF(E496="","",IF(H496="Onsite",IFERROR(INDEX(tbl_Onsite[Qwilr Quote],MATCH(E496&amp;"",tbl_Onsite[Job Number],0)),""),IF(H496="Production",IFERROR(INDEX(tbl_Production[Current RMS No],MATCH(E496&amp;"",tbl_Production[Job Number],0)),""),IF(H496="Consulting",IFERROR(INDEX(tbl_Consulting[Qwilr Quote],MATCH(E496&amp;"",tbl_Consulting[Job Number],0)),""),""))))</f>
        <v/>
      </c>
      <c r="AC496" s="25">
        <f>IF(AB496="","",IF(AND(LEFT(AB496,4)&lt;&gt;"http",IF(H496="Production",set_RMSBase,set_QwilrBase)=""),"",HYPERLINK(IF(LEFT(AB496,4)="http",AB496,IF(H496="Production",set_RMSBase,set_QwilrBase)&amp;AB496),"Open")))</f>
        <v/>
      </c>
      <c r="AD496" s="27">
        <f>IF(E496="","",IF(H496="Production",IFERROR(INDEX(tbl_Production[Total Expense],MATCH(E496&amp;"",tbl_Production[Job Number],0)),0),IF(H496="Consulting",IFERROR(INDEX(tbl_Consulting[Total Expense],MATCH(E496&amp;"",tbl_Consulting[Job Number],0)),0),0)))</f>
        <v/>
      </c>
      <c r="AE496" s="27">
        <f>IF(E496="","",Y496-N(AD496))</f>
        <v/>
      </c>
      <c r="AF496" s="29">
        <f>IFERROR(AE496/Y496,"")</f>
        <v/>
      </c>
      <c r="AG496" s="25">
        <f>IF(E496="","",IF(H496="Onsite",IFERROR(INDEX(tbl_Onsite[Notes],MATCH(E496&amp;"",tbl_Onsite[Job Number],0)),""),IF(H496="Production",IFERROR(INDEX(tbl_Production[Notes],MATCH(E496&amp;"",tbl_Production[Job Number],0)),""),IF(H496="Consulting",IFERROR(INDEX(tbl_Consulting[Notes],MATCH(E496&amp;"",tbl_Consulting[Job Number],0)),""),""))))</f>
        <v/>
      </c>
    </row>
    <row r="497" ht="15" customHeight="1">
      <c r="A497" s="22" t="n"/>
      <c r="B497" s="23">
        <f>IF(A497="","",EOMONTH(A497,0))</f>
        <v/>
      </c>
      <c r="C497" s="24" t="n"/>
      <c r="D497" s="24" t="n"/>
      <c r="E497" s="24" t="n"/>
      <c r="F497" s="25">
        <f>IF(E497="","",IF(COUNTIF(lst_Jobs,E497&amp;"")&gt;0,"OK","CHECK"))</f>
        <v/>
      </c>
      <c r="G497" s="24" t="n"/>
      <c r="H497" s="24" t="n"/>
      <c r="I497" s="24" t="n"/>
      <c r="J497" s="24" t="n"/>
      <c r="K497" s="24" t="n"/>
      <c r="L497" s="26" t="n"/>
      <c r="M497" s="27">
        <f>IF(L497="","",IF(K497="GST 10%",ROUND(L497*set_GSTRate,2),0))</f>
        <v/>
      </c>
      <c r="N497" s="27">
        <f>IF(L497="","",L497+M497)</f>
        <v/>
      </c>
      <c r="O497" s="24" t="n"/>
      <c r="P497" s="24" t="n"/>
      <c r="Q497" s="24" t="n"/>
      <c r="R497" s="22" t="n"/>
      <c r="S497" s="22" t="n"/>
      <c r="T497" s="24" t="n"/>
      <c r="U497" s="24" t="n"/>
      <c r="V497" s="25">
        <f>IF(COUNTA(A497,D497,C497,L497)=0,"",IF(A497="","No date - sits outside every month",IF(E497="","No job number",IF(F497="CHECK","Job number is not in the Xero job list",IF(I497="","No cost centre",IF(AND(P497="Y",C497=""),"Marked posted to Xero but has no invoice number",IF(AND(L497&lt;&gt;"",K497=""),"No tax code",IF(AND(L497&lt;&gt;"",O497=""),"No revenue GL code",""))))))))</f>
        <v/>
      </c>
      <c r="W497" s="25">
        <f>IF(E497="","",IFERROR(INDEX(lst_JobName,MATCH(E497&amp;"",lst_Jobs,0)),""))</f>
        <v/>
      </c>
      <c r="X497" s="28">
        <f>IF(E497="","",COUNTIFS(tbl_Finance[Job Number],E497&amp;"",tbl_Finance[Ex GST],"&lt;&gt;"))</f>
        <v/>
      </c>
      <c r="Y497" s="27">
        <f>IF(E497="","",SUMIFS(tbl_Finance[Ex GST],tbl_Finance[Job Number],E497&amp;""))</f>
        <v/>
      </c>
      <c r="Z497" s="27">
        <f>IF(E497="","",SUMIFS(tbl_Finance[Ex GST],tbl_Finance[Job Number],E497&amp;"",tbl_Finance[Xero Invoice No],"&lt;&gt;"))</f>
        <v/>
      </c>
      <c r="AA497" s="27">
        <f>IF(E497="","",Y497-Z497)</f>
        <v/>
      </c>
      <c r="AB497" s="25">
        <f>IF(E497="","",IF(H497="Onsite",IFERROR(INDEX(tbl_Onsite[Qwilr Quote],MATCH(E497&amp;"",tbl_Onsite[Job Number],0)),""),IF(H497="Production",IFERROR(INDEX(tbl_Production[Current RMS No],MATCH(E497&amp;"",tbl_Production[Job Number],0)),""),IF(H497="Consulting",IFERROR(INDEX(tbl_Consulting[Qwilr Quote],MATCH(E497&amp;"",tbl_Consulting[Job Number],0)),""),""))))</f>
        <v/>
      </c>
      <c r="AC497" s="25">
        <f>IF(AB497="","",IF(AND(LEFT(AB497,4)&lt;&gt;"http",IF(H497="Production",set_RMSBase,set_QwilrBase)=""),"",HYPERLINK(IF(LEFT(AB497,4)="http",AB497,IF(H497="Production",set_RMSBase,set_QwilrBase)&amp;AB497),"Open")))</f>
        <v/>
      </c>
      <c r="AD497" s="27">
        <f>IF(E497="","",IF(H497="Production",IFERROR(INDEX(tbl_Production[Total Expense],MATCH(E497&amp;"",tbl_Production[Job Number],0)),0),IF(H497="Consulting",IFERROR(INDEX(tbl_Consulting[Total Expense],MATCH(E497&amp;"",tbl_Consulting[Job Number],0)),0),0)))</f>
        <v/>
      </c>
      <c r="AE497" s="27">
        <f>IF(E497="","",Y497-N(AD497))</f>
        <v/>
      </c>
      <c r="AF497" s="29">
        <f>IFERROR(AE497/Y497,"")</f>
        <v/>
      </c>
      <c r="AG497" s="25">
        <f>IF(E497="","",IF(H497="Onsite",IFERROR(INDEX(tbl_Onsite[Notes],MATCH(E497&amp;"",tbl_Onsite[Job Number],0)),""),IF(H497="Production",IFERROR(INDEX(tbl_Production[Notes],MATCH(E497&amp;"",tbl_Production[Job Number],0)),""),IF(H497="Consulting",IFERROR(INDEX(tbl_Consulting[Notes],MATCH(E497&amp;"",tbl_Consulting[Job Number],0)),""),""))))</f>
        <v/>
      </c>
    </row>
    <row r="498" ht="15" customHeight="1">
      <c r="A498" s="22" t="n"/>
      <c r="B498" s="23">
        <f>IF(A498="","",EOMONTH(A498,0))</f>
        <v/>
      </c>
      <c r="C498" s="24" t="n"/>
      <c r="D498" s="24" t="n"/>
      <c r="E498" s="24" t="n"/>
      <c r="F498" s="25">
        <f>IF(E498="","",IF(COUNTIF(lst_Jobs,E498&amp;"")&gt;0,"OK","CHECK"))</f>
        <v/>
      </c>
      <c r="G498" s="24" t="n"/>
      <c r="H498" s="24" t="n"/>
      <c r="I498" s="24" t="n"/>
      <c r="J498" s="24" t="n"/>
      <c r="K498" s="24" t="n"/>
      <c r="L498" s="26" t="n"/>
      <c r="M498" s="27">
        <f>IF(L498="","",IF(K498="GST 10%",ROUND(L498*set_GSTRate,2),0))</f>
        <v/>
      </c>
      <c r="N498" s="27">
        <f>IF(L498="","",L498+M498)</f>
        <v/>
      </c>
      <c r="O498" s="24" t="n"/>
      <c r="P498" s="24" t="n"/>
      <c r="Q498" s="24" t="n"/>
      <c r="R498" s="22" t="n"/>
      <c r="S498" s="22" t="n"/>
      <c r="T498" s="24" t="n"/>
      <c r="U498" s="24" t="n"/>
      <c r="V498" s="25">
        <f>IF(COUNTA(A498,D498,C498,L498)=0,"",IF(A498="","No date - sits outside every month",IF(E498="","No job number",IF(F498="CHECK","Job number is not in the Xero job list",IF(I498="","No cost centre",IF(AND(P498="Y",C498=""),"Marked posted to Xero but has no invoice number",IF(AND(L498&lt;&gt;"",K498=""),"No tax code",IF(AND(L498&lt;&gt;"",O498=""),"No revenue GL code",""))))))))</f>
        <v/>
      </c>
      <c r="W498" s="25">
        <f>IF(E498="","",IFERROR(INDEX(lst_JobName,MATCH(E498&amp;"",lst_Jobs,0)),""))</f>
        <v/>
      </c>
      <c r="X498" s="28">
        <f>IF(E498="","",COUNTIFS(tbl_Finance[Job Number],E498&amp;"",tbl_Finance[Ex GST],"&lt;&gt;"))</f>
        <v/>
      </c>
      <c r="Y498" s="27">
        <f>IF(E498="","",SUMIFS(tbl_Finance[Ex GST],tbl_Finance[Job Number],E498&amp;""))</f>
        <v/>
      </c>
      <c r="Z498" s="27">
        <f>IF(E498="","",SUMIFS(tbl_Finance[Ex GST],tbl_Finance[Job Number],E498&amp;"",tbl_Finance[Xero Invoice No],"&lt;&gt;"))</f>
        <v/>
      </c>
      <c r="AA498" s="27">
        <f>IF(E498="","",Y498-Z498)</f>
        <v/>
      </c>
      <c r="AB498" s="25">
        <f>IF(E498="","",IF(H498="Onsite",IFERROR(INDEX(tbl_Onsite[Qwilr Quote],MATCH(E498&amp;"",tbl_Onsite[Job Number],0)),""),IF(H498="Production",IFERROR(INDEX(tbl_Production[Current RMS No],MATCH(E498&amp;"",tbl_Production[Job Number],0)),""),IF(H498="Consulting",IFERROR(INDEX(tbl_Consulting[Qwilr Quote],MATCH(E498&amp;"",tbl_Consulting[Job Number],0)),""),""))))</f>
        <v/>
      </c>
      <c r="AC498" s="25">
        <f>IF(AB498="","",IF(AND(LEFT(AB498,4)&lt;&gt;"http",IF(H498="Production",set_RMSBase,set_QwilrBase)=""),"",HYPERLINK(IF(LEFT(AB498,4)="http",AB498,IF(H498="Production",set_RMSBase,set_QwilrBase)&amp;AB498),"Open")))</f>
        <v/>
      </c>
      <c r="AD498" s="27">
        <f>IF(E498="","",IF(H498="Production",IFERROR(INDEX(tbl_Production[Total Expense],MATCH(E498&amp;"",tbl_Production[Job Number],0)),0),IF(H498="Consulting",IFERROR(INDEX(tbl_Consulting[Total Expense],MATCH(E498&amp;"",tbl_Consulting[Job Number],0)),0),0)))</f>
        <v/>
      </c>
      <c r="AE498" s="27">
        <f>IF(E498="","",Y498-N(AD498))</f>
        <v/>
      </c>
      <c r="AF498" s="29">
        <f>IFERROR(AE498/Y498,"")</f>
        <v/>
      </c>
      <c r="AG498" s="25">
        <f>IF(E498="","",IF(H498="Onsite",IFERROR(INDEX(tbl_Onsite[Notes],MATCH(E498&amp;"",tbl_Onsite[Job Number],0)),""),IF(H498="Production",IFERROR(INDEX(tbl_Production[Notes],MATCH(E498&amp;"",tbl_Production[Job Number],0)),""),IF(H498="Consulting",IFERROR(INDEX(tbl_Consulting[Notes],MATCH(E498&amp;"",tbl_Consulting[Job Number],0)),""),""))))</f>
        <v/>
      </c>
    </row>
    <row r="499" ht="15" customHeight="1">
      <c r="A499" s="22" t="n"/>
      <c r="B499" s="23">
        <f>IF(A499="","",EOMONTH(A499,0))</f>
        <v/>
      </c>
      <c r="C499" s="24" t="n"/>
      <c r="D499" s="24" t="n"/>
      <c r="E499" s="24" t="n"/>
      <c r="F499" s="25">
        <f>IF(E499="","",IF(COUNTIF(lst_Jobs,E499&amp;"")&gt;0,"OK","CHECK"))</f>
        <v/>
      </c>
      <c r="G499" s="24" t="n"/>
      <c r="H499" s="24" t="n"/>
      <c r="I499" s="24" t="n"/>
      <c r="J499" s="24" t="n"/>
      <c r="K499" s="24" t="n"/>
      <c r="L499" s="26" t="n"/>
      <c r="M499" s="27">
        <f>IF(L499="","",IF(K499="GST 10%",ROUND(L499*set_GSTRate,2),0))</f>
        <v/>
      </c>
      <c r="N499" s="27">
        <f>IF(L499="","",L499+M499)</f>
        <v/>
      </c>
      <c r="O499" s="24" t="n"/>
      <c r="P499" s="24" t="n"/>
      <c r="Q499" s="24" t="n"/>
      <c r="R499" s="22" t="n"/>
      <c r="S499" s="22" t="n"/>
      <c r="T499" s="24" t="n"/>
      <c r="U499" s="24" t="n"/>
      <c r="V499" s="25">
        <f>IF(COUNTA(A499,D499,C499,L499)=0,"",IF(A499="","No date - sits outside every month",IF(E499="","No job number",IF(F499="CHECK","Job number is not in the Xero job list",IF(I499="","No cost centre",IF(AND(P499="Y",C499=""),"Marked posted to Xero but has no invoice number",IF(AND(L499&lt;&gt;"",K499=""),"No tax code",IF(AND(L499&lt;&gt;"",O499=""),"No revenue GL code",""))))))))</f>
        <v/>
      </c>
      <c r="W499" s="25">
        <f>IF(E499="","",IFERROR(INDEX(lst_JobName,MATCH(E499&amp;"",lst_Jobs,0)),""))</f>
        <v/>
      </c>
      <c r="X499" s="28">
        <f>IF(E499="","",COUNTIFS(tbl_Finance[Job Number],E499&amp;"",tbl_Finance[Ex GST],"&lt;&gt;"))</f>
        <v/>
      </c>
      <c r="Y499" s="27">
        <f>IF(E499="","",SUMIFS(tbl_Finance[Ex GST],tbl_Finance[Job Number],E499&amp;""))</f>
        <v/>
      </c>
      <c r="Z499" s="27">
        <f>IF(E499="","",SUMIFS(tbl_Finance[Ex GST],tbl_Finance[Job Number],E499&amp;"",tbl_Finance[Xero Invoice No],"&lt;&gt;"))</f>
        <v/>
      </c>
      <c r="AA499" s="27">
        <f>IF(E499="","",Y499-Z499)</f>
        <v/>
      </c>
      <c r="AB499" s="25">
        <f>IF(E499="","",IF(H499="Onsite",IFERROR(INDEX(tbl_Onsite[Qwilr Quote],MATCH(E499&amp;"",tbl_Onsite[Job Number],0)),""),IF(H499="Production",IFERROR(INDEX(tbl_Production[Current RMS No],MATCH(E499&amp;"",tbl_Production[Job Number],0)),""),IF(H499="Consulting",IFERROR(INDEX(tbl_Consulting[Qwilr Quote],MATCH(E499&amp;"",tbl_Consulting[Job Number],0)),""),""))))</f>
        <v/>
      </c>
      <c r="AC499" s="25">
        <f>IF(AB499="","",IF(AND(LEFT(AB499,4)&lt;&gt;"http",IF(H499="Production",set_RMSBase,set_QwilrBase)=""),"",HYPERLINK(IF(LEFT(AB499,4)="http",AB499,IF(H499="Production",set_RMSBase,set_QwilrBase)&amp;AB499),"Open")))</f>
        <v/>
      </c>
      <c r="AD499" s="27">
        <f>IF(E499="","",IF(H499="Production",IFERROR(INDEX(tbl_Production[Total Expense],MATCH(E499&amp;"",tbl_Production[Job Number],0)),0),IF(H499="Consulting",IFERROR(INDEX(tbl_Consulting[Total Expense],MATCH(E499&amp;"",tbl_Consulting[Job Number],0)),0),0)))</f>
        <v/>
      </c>
      <c r="AE499" s="27">
        <f>IF(E499="","",Y499-N(AD499))</f>
        <v/>
      </c>
      <c r="AF499" s="29">
        <f>IFERROR(AE499/Y499,"")</f>
        <v/>
      </c>
      <c r="AG499" s="25">
        <f>IF(E499="","",IF(H499="Onsite",IFERROR(INDEX(tbl_Onsite[Notes],MATCH(E499&amp;"",tbl_Onsite[Job Number],0)),""),IF(H499="Production",IFERROR(INDEX(tbl_Production[Notes],MATCH(E499&amp;"",tbl_Production[Job Number],0)),""),IF(H499="Consulting",IFERROR(INDEX(tbl_Consulting[Notes],MATCH(E499&amp;"",tbl_Consulting[Job Number],0)),""),""))))</f>
        <v/>
      </c>
    </row>
    <row r="500" ht="15" customHeight="1">
      <c r="A500" s="22" t="n"/>
      <c r="B500" s="23">
        <f>IF(A500="","",EOMONTH(A500,0))</f>
        <v/>
      </c>
      <c r="C500" s="24" t="n"/>
      <c r="D500" s="24" t="n"/>
      <c r="E500" s="24" t="n"/>
      <c r="F500" s="25">
        <f>IF(E500="","",IF(COUNTIF(lst_Jobs,E500&amp;"")&gt;0,"OK","CHECK"))</f>
        <v/>
      </c>
      <c r="G500" s="24" t="n"/>
      <c r="H500" s="24" t="n"/>
      <c r="I500" s="24" t="n"/>
      <c r="J500" s="24" t="n"/>
      <c r="K500" s="24" t="n"/>
      <c r="L500" s="26" t="n"/>
      <c r="M500" s="27">
        <f>IF(L500="","",IF(K500="GST 10%",ROUND(L500*set_GSTRate,2),0))</f>
        <v/>
      </c>
      <c r="N500" s="27">
        <f>IF(L500="","",L500+M500)</f>
        <v/>
      </c>
      <c r="O500" s="24" t="n"/>
      <c r="P500" s="24" t="n"/>
      <c r="Q500" s="24" t="n"/>
      <c r="R500" s="22" t="n"/>
      <c r="S500" s="22" t="n"/>
      <c r="T500" s="24" t="n"/>
      <c r="U500" s="24" t="n"/>
      <c r="V500" s="25">
        <f>IF(COUNTA(A500,D500,C500,L500)=0,"",IF(A500="","No date - sits outside every month",IF(E500="","No job number",IF(F500="CHECK","Job number is not in the Xero job list",IF(I500="","No cost centre",IF(AND(P500="Y",C500=""),"Marked posted to Xero but has no invoice number",IF(AND(L500&lt;&gt;"",K500=""),"No tax code",IF(AND(L500&lt;&gt;"",O500=""),"No revenue GL code",""))))))))</f>
        <v/>
      </c>
      <c r="W500" s="25">
        <f>IF(E500="","",IFERROR(INDEX(lst_JobName,MATCH(E500&amp;"",lst_Jobs,0)),""))</f>
        <v/>
      </c>
      <c r="X500" s="28">
        <f>IF(E500="","",COUNTIFS(tbl_Finance[Job Number],E500&amp;"",tbl_Finance[Ex GST],"&lt;&gt;"))</f>
        <v/>
      </c>
      <c r="Y500" s="27">
        <f>IF(E500="","",SUMIFS(tbl_Finance[Ex GST],tbl_Finance[Job Number],E500&amp;""))</f>
        <v/>
      </c>
      <c r="Z500" s="27">
        <f>IF(E500="","",SUMIFS(tbl_Finance[Ex GST],tbl_Finance[Job Number],E500&amp;"",tbl_Finance[Xero Invoice No],"&lt;&gt;"))</f>
        <v/>
      </c>
      <c r="AA500" s="27">
        <f>IF(E500="","",Y500-Z500)</f>
        <v/>
      </c>
      <c r="AB500" s="25">
        <f>IF(E500="","",IF(H500="Onsite",IFERROR(INDEX(tbl_Onsite[Qwilr Quote],MATCH(E500&amp;"",tbl_Onsite[Job Number],0)),""),IF(H500="Production",IFERROR(INDEX(tbl_Production[Current RMS No],MATCH(E500&amp;"",tbl_Production[Job Number],0)),""),IF(H500="Consulting",IFERROR(INDEX(tbl_Consulting[Qwilr Quote],MATCH(E500&amp;"",tbl_Consulting[Job Number],0)),""),""))))</f>
        <v/>
      </c>
      <c r="AC500" s="25">
        <f>IF(AB500="","",IF(AND(LEFT(AB500,4)&lt;&gt;"http",IF(H500="Production",set_RMSBase,set_QwilrBase)=""),"",HYPERLINK(IF(LEFT(AB500,4)="http",AB500,IF(H500="Production",set_RMSBase,set_QwilrBase)&amp;AB500),"Open")))</f>
        <v/>
      </c>
      <c r="AD500" s="27">
        <f>IF(E500="","",IF(H500="Production",IFERROR(INDEX(tbl_Production[Total Expense],MATCH(E500&amp;"",tbl_Production[Job Number],0)),0),IF(H500="Consulting",IFERROR(INDEX(tbl_Consulting[Total Expense],MATCH(E500&amp;"",tbl_Consulting[Job Number],0)),0),0)))</f>
        <v/>
      </c>
      <c r="AE500" s="27">
        <f>IF(E500="","",Y500-N(AD500))</f>
        <v/>
      </c>
      <c r="AF500" s="29">
        <f>IFERROR(AE500/Y500,"")</f>
        <v/>
      </c>
      <c r="AG500" s="25">
        <f>IF(E500="","",IF(H500="Onsite",IFERROR(INDEX(tbl_Onsite[Notes],MATCH(E500&amp;"",tbl_Onsite[Job Number],0)),""),IF(H500="Production",IFERROR(INDEX(tbl_Production[Notes],MATCH(E500&amp;"",tbl_Production[Job Number],0)),""),IF(H500="Consulting",IFERROR(INDEX(tbl_Consulting[Notes],MATCH(E500&amp;"",tbl_Consulting[Job Number],0)),""),""))))</f>
        <v/>
      </c>
    </row>
    <row r="501" ht="15" customHeight="1">
      <c r="A501" s="22" t="n"/>
      <c r="B501" s="23">
        <f>IF(A501="","",EOMONTH(A501,0))</f>
        <v/>
      </c>
      <c r="C501" s="24" t="n"/>
      <c r="D501" s="24" t="n"/>
      <c r="E501" s="24" t="n"/>
      <c r="F501" s="25">
        <f>IF(E501="","",IF(COUNTIF(lst_Jobs,E501&amp;"")&gt;0,"OK","CHECK"))</f>
        <v/>
      </c>
      <c r="G501" s="24" t="n"/>
      <c r="H501" s="24" t="n"/>
      <c r="I501" s="24" t="n"/>
      <c r="J501" s="24" t="n"/>
      <c r="K501" s="24" t="n"/>
      <c r="L501" s="26" t="n"/>
      <c r="M501" s="27">
        <f>IF(L501="","",IF(K501="GST 10%",ROUND(L501*set_GSTRate,2),0))</f>
        <v/>
      </c>
      <c r="N501" s="27">
        <f>IF(L501="","",L501+M501)</f>
        <v/>
      </c>
      <c r="O501" s="24" t="n"/>
      <c r="P501" s="24" t="n"/>
      <c r="Q501" s="24" t="n"/>
      <c r="R501" s="22" t="n"/>
      <c r="S501" s="22" t="n"/>
      <c r="T501" s="24" t="n"/>
      <c r="U501" s="24" t="n"/>
      <c r="V501" s="25">
        <f>IF(COUNTA(A501,D501,C501,L501)=0,"",IF(A501="","No date - sits outside every month",IF(E501="","No job number",IF(F501="CHECK","Job number is not in the Xero job list",IF(I501="","No cost centre",IF(AND(P501="Y",C501=""),"Marked posted to Xero but has no invoice number",IF(AND(L501&lt;&gt;"",K501=""),"No tax code",IF(AND(L501&lt;&gt;"",O501=""),"No revenue GL code",""))))))))</f>
        <v/>
      </c>
      <c r="W501" s="25">
        <f>IF(E501="","",IFERROR(INDEX(lst_JobName,MATCH(E501&amp;"",lst_Jobs,0)),""))</f>
        <v/>
      </c>
      <c r="X501" s="28">
        <f>IF(E501="","",COUNTIFS(tbl_Finance[Job Number],E501&amp;"",tbl_Finance[Ex GST],"&lt;&gt;"))</f>
        <v/>
      </c>
      <c r="Y501" s="27">
        <f>IF(E501="","",SUMIFS(tbl_Finance[Ex GST],tbl_Finance[Job Number],E501&amp;""))</f>
        <v/>
      </c>
      <c r="Z501" s="27">
        <f>IF(E501="","",SUMIFS(tbl_Finance[Ex GST],tbl_Finance[Job Number],E501&amp;"",tbl_Finance[Xero Invoice No],"&lt;&gt;"))</f>
        <v/>
      </c>
      <c r="AA501" s="27">
        <f>IF(E501="","",Y501-Z501)</f>
        <v/>
      </c>
      <c r="AB501" s="25">
        <f>IF(E501="","",IF(H501="Onsite",IFERROR(INDEX(tbl_Onsite[Qwilr Quote],MATCH(E501&amp;"",tbl_Onsite[Job Number],0)),""),IF(H501="Production",IFERROR(INDEX(tbl_Production[Current RMS No],MATCH(E501&amp;"",tbl_Production[Job Number],0)),""),IF(H501="Consulting",IFERROR(INDEX(tbl_Consulting[Qwilr Quote],MATCH(E501&amp;"",tbl_Consulting[Job Number],0)),""),""))))</f>
        <v/>
      </c>
      <c r="AC501" s="25">
        <f>IF(AB501="","",IF(AND(LEFT(AB501,4)&lt;&gt;"http",IF(H501="Production",set_RMSBase,set_QwilrBase)=""),"",HYPERLINK(IF(LEFT(AB501,4)="http",AB501,IF(H501="Production",set_RMSBase,set_QwilrBase)&amp;AB501),"Open")))</f>
        <v/>
      </c>
      <c r="AD501" s="27">
        <f>IF(E501="","",IF(H501="Production",IFERROR(INDEX(tbl_Production[Total Expense],MATCH(E501&amp;"",tbl_Production[Job Number],0)),0),IF(H501="Consulting",IFERROR(INDEX(tbl_Consulting[Total Expense],MATCH(E501&amp;"",tbl_Consulting[Job Number],0)),0),0)))</f>
        <v/>
      </c>
      <c r="AE501" s="27">
        <f>IF(E501="","",Y501-N(AD501))</f>
        <v/>
      </c>
      <c r="AF501" s="29">
        <f>IFERROR(AE501/Y501,"")</f>
        <v/>
      </c>
      <c r="AG501" s="25">
        <f>IF(E501="","",IF(H501="Onsite",IFERROR(INDEX(tbl_Onsite[Notes],MATCH(E501&amp;"",tbl_Onsite[Job Number],0)),""),IF(H501="Production",IFERROR(INDEX(tbl_Production[Notes],MATCH(E501&amp;"",tbl_Production[Job Number],0)),""),IF(H501="Consulting",IFERROR(INDEX(tbl_Consulting[Notes],MATCH(E501&amp;"",tbl_Consulting[Job Number],0)),""),""))))</f>
        <v/>
      </c>
    </row>
    <row r="502" ht="15" customHeight="1">
      <c r="A502" s="22" t="n"/>
      <c r="B502" s="23">
        <f>IF(A502="","",EOMONTH(A502,0))</f>
        <v/>
      </c>
      <c r="C502" s="24" t="n"/>
      <c r="D502" s="24" t="n"/>
      <c r="E502" s="24" t="n"/>
      <c r="F502" s="25">
        <f>IF(E502="","",IF(COUNTIF(lst_Jobs,E502&amp;"")&gt;0,"OK","CHECK"))</f>
        <v/>
      </c>
      <c r="G502" s="24" t="n"/>
      <c r="H502" s="24" t="n"/>
      <c r="I502" s="24" t="n"/>
      <c r="J502" s="24" t="n"/>
      <c r="K502" s="24" t="n"/>
      <c r="L502" s="26" t="n"/>
      <c r="M502" s="27">
        <f>IF(L502="","",IF(K502="GST 10%",ROUND(L502*set_GSTRate,2),0))</f>
        <v/>
      </c>
      <c r="N502" s="27">
        <f>IF(L502="","",L502+M502)</f>
        <v/>
      </c>
      <c r="O502" s="24" t="n"/>
      <c r="P502" s="24" t="n"/>
      <c r="Q502" s="24" t="n"/>
      <c r="R502" s="22" t="n"/>
      <c r="S502" s="22" t="n"/>
      <c r="T502" s="24" t="n"/>
      <c r="U502" s="24" t="n"/>
      <c r="V502" s="25">
        <f>IF(COUNTA(A502,D502,C502,L502)=0,"",IF(A502="","No date - sits outside every month",IF(E502="","No job number",IF(F502="CHECK","Job number is not in the Xero job list",IF(I502="","No cost centre",IF(AND(P502="Y",C502=""),"Marked posted to Xero but has no invoice number",IF(AND(L502&lt;&gt;"",K502=""),"No tax code",IF(AND(L502&lt;&gt;"",O502=""),"No revenue GL code",""))))))))</f>
        <v/>
      </c>
      <c r="W502" s="25">
        <f>IF(E502="","",IFERROR(INDEX(lst_JobName,MATCH(E502&amp;"",lst_Jobs,0)),""))</f>
        <v/>
      </c>
      <c r="X502" s="28">
        <f>IF(E502="","",COUNTIFS(tbl_Finance[Job Number],E502&amp;"",tbl_Finance[Ex GST],"&lt;&gt;"))</f>
        <v/>
      </c>
      <c r="Y502" s="27">
        <f>IF(E502="","",SUMIFS(tbl_Finance[Ex GST],tbl_Finance[Job Number],E502&amp;""))</f>
        <v/>
      </c>
      <c r="Z502" s="27">
        <f>IF(E502="","",SUMIFS(tbl_Finance[Ex GST],tbl_Finance[Job Number],E502&amp;"",tbl_Finance[Xero Invoice No],"&lt;&gt;"))</f>
        <v/>
      </c>
      <c r="AA502" s="27">
        <f>IF(E502="","",Y502-Z502)</f>
        <v/>
      </c>
      <c r="AB502" s="25">
        <f>IF(E502="","",IF(H502="Onsite",IFERROR(INDEX(tbl_Onsite[Qwilr Quote],MATCH(E502&amp;"",tbl_Onsite[Job Number],0)),""),IF(H502="Production",IFERROR(INDEX(tbl_Production[Current RMS No],MATCH(E502&amp;"",tbl_Production[Job Number],0)),""),IF(H502="Consulting",IFERROR(INDEX(tbl_Consulting[Qwilr Quote],MATCH(E502&amp;"",tbl_Consulting[Job Number],0)),""),""))))</f>
        <v/>
      </c>
      <c r="AC502" s="25">
        <f>IF(AB502="","",IF(AND(LEFT(AB502,4)&lt;&gt;"http",IF(H502="Production",set_RMSBase,set_QwilrBase)=""),"",HYPERLINK(IF(LEFT(AB502,4)="http",AB502,IF(H502="Production",set_RMSBase,set_QwilrBase)&amp;AB502),"Open")))</f>
        <v/>
      </c>
      <c r="AD502" s="27">
        <f>IF(E502="","",IF(H502="Production",IFERROR(INDEX(tbl_Production[Total Expense],MATCH(E502&amp;"",tbl_Production[Job Number],0)),0),IF(H502="Consulting",IFERROR(INDEX(tbl_Consulting[Total Expense],MATCH(E502&amp;"",tbl_Consulting[Job Number],0)),0),0)))</f>
        <v/>
      </c>
      <c r="AE502" s="27">
        <f>IF(E502="","",Y502-N(AD502))</f>
        <v/>
      </c>
      <c r="AF502" s="29">
        <f>IFERROR(AE502/Y502,"")</f>
        <v/>
      </c>
      <c r="AG502" s="25">
        <f>IF(E502="","",IF(H502="Onsite",IFERROR(INDEX(tbl_Onsite[Notes],MATCH(E502&amp;"",tbl_Onsite[Job Number],0)),""),IF(H502="Production",IFERROR(INDEX(tbl_Production[Notes],MATCH(E502&amp;"",tbl_Production[Job Number],0)),""),IF(H502="Consulting",IFERROR(INDEX(tbl_Consulting[Notes],MATCH(E502&amp;"",tbl_Consulting[Job Number],0)),""),""))))</f>
        <v/>
      </c>
    </row>
    <row r="503" ht="15" customHeight="1">
      <c r="A503" s="22" t="n"/>
      <c r="B503" s="23">
        <f>IF(A503="","",EOMONTH(A503,0))</f>
        <v/>
      </c>
      <c r="C503" s="24" t="n"/>
      <c r="D503" s="24" t="n"/>
      <c r="E503" s="24" t="n"/>
      <c r="F503" s="25">
        <f>IF(E503="","",IF(COUNTIF(lst_Jobs,E503&amp;"")&gt;0,"OK","CHECK"))</f>
        <v/>
      </c>
      <c r="G503" s="24" t="n"/>
      <c r="H503" s="24" t="n"/>
      <c r="I503" s="24" t="n"/>
      <c r="J503" s="24" t="n"/>
      <c r="K503" s="24" t="n"/>
      <c r="L503" s="26" t="n"/>
      <c r="M503" s="27">
        <f>IF(L503="","",IF(K503="GST 10%",ROUND(L503*set_GSTRate,2),0))</f>
        <v/>
      </c>
      <c r="N503" s="27">
        <f>IF(L503="","",L503+M503)</f>
        <v/>
      </c>
      <c r="O503" s="24" t="n"/>
      <c r="P503" s="24" t="n"/>
      <c r="Q503" s="24" t="n"/>
      <c r="R503" s="22" t="n"/>
      <c r="S503" s="22" t="n"/>
      <c r="T503" s="24" t="n"/>
      <c r="U503" s="24" t="n"/>
      <c r="V503" s="25">
        <f>IF(COUNTA(A503,D503,C503,L503)=0,"",IF(A503="","No date - sits outside every month",IF(E503="","No job number",IF(F503="CHECK","Job number is not in the Xero job list",IF(I503="","No cost centre",IF(AND(P503="Y",C503=""),"Marked posted to Xero but has no invoice number",IF(AND(L503&lt;&gt;"",K503=""),"No tax code",IF(AND(L503&lt;&gt;"",O503=""),"No revenue GL code",""))))))))</f>
        <v/>
      </c>
      <c r="W503" s="25">
        <f>IF(E503="","",IFERROR(INDEX(lst_JobName,MATCH(E503&amp;"",lst_Jobs,0)),""))</f>
        <v/>
      </c>
      <c r="X503" s="28">
        <f>IF(E503="","",COUNTIFS(tbl_Finance[Job Number],E503&amp;"",tbl_Finance[Ex GST],"&lt;&gt;"))</f>
        <v/>
      </c>
      <c r="Y503" s="27">
        <f>IF(E503="","",SUMIFS(tbl_Finance[Ex GST],tbl_Finance[Job Number],E503&amp;""))</f>
        <v/>
      </c>
      <c r="Z503" s="27">
        <f>IF(E503="","",SUMIFS(tbl_Finance[Ex GST],tbl_Finance[Job Number],E503&amp;"",tbl_Finance[Xero Invoice No],"&lt;&gt;"))</f>
        <v/>
      </c>
      <c r="AA503" s="27">
        <f>IF(E503="","",Y503-Z503)</f>
        <v/>
      </c>
      <c r="AB503" s="25">
        <f>IF(E503="","",IF(H503="Onsite",IFERROR(INDEX(tbl_Onsite[Qwilr Quote],MATCH(E503&amp;"",tbl_Onsite[Job Number],0)),""),IF(H503="Production",IFERROR(INDEX(tbl_Production[Current RMS No],MATCH(E503&amp;"",tbl_Production[Job Number],0)),""),IF(H503="Consulting",IFERROR(INDEX(tbl_Consulting[Qwilr Quote],MATCH(E503&amp;"",tbl_Consulting[Job Number],0)),""),""))))</f>
        <v/>
      </c>
      <c r="AC503" s="25">
        <f>IF(AB503="","",IF(AND(LEFT(AB503,4)&lt;&gt;"http",IF(H503="Production",set_RMSBase,set_QwilrBase)=""),"",HYPERLINK(IF(LEFT(AB503,4)="http",AB503,IF(H503="Production",set_RMSBase,set_QwilrBase)&amp;AB503),"Open")))</f>
        <v/>
      </c>
      <c r="AD503" s="27">
        <f>IF(E503="","",IF(H503="Production",IFERROR(INDEX(tbl_Production[Total Expense],MATCH(E503&amp;"",tbl_Production[Job Number],0)),0),IF(H503="Consulting",IFERROR(INDEX(tbl_Consulting[Total Expense],MATCH(E503&amp;"",tbl_Consulting[Job Number],0)),0),0)))</f>
        <v/>
      </c>
      <c r="AE503" s="27">
        <f>IF(E503="","",Y503-N(AD503))</f>
        <v/>
      </c>
      <c r="AF503" s="29">
        <f>IFERROR(AE503/Y503,"")</f>
        <v/>
      </c>
      <c r="AG503" s="25">
        <f>IF(E503="","",IF(H503="Onsite",IFERROR(INDEX(tbl_Onsite[Notes],MATCH(E503&amp;"",tbl_Onsite[Job Number],0)),""),IF(H503="Production",IFERROR(INDEX(tbl_Production[Notes],MATCH(E503&amp;"",tbl_Production[Job Number],0)),""),IF(H503="Consulting",IFERROR(INDEX(tbl_Consulting[Notes],MATCH(E503&amp;"",tbl_Consulting[Job Number],0)),""),""))))</f>
        <v/>
      </c>
    </row>
    <row r="504" ht="15" customHeight="1">
      <c r="A504" s="22" t="n"/>
      <c r="B504" s="23">
        <f>IF(A504="","",EOMONTH(A504,0))</f>
        <v/>
      </c>
      <c r="C504" s="24" t="n"/>
      <c r="D504" s="24" t="n"/>
      <c r="E504" s="24" t="n"/>
      <c r="F504" s="25">
        <f>IF(E504="","",IF(COUNTIF(lst_Jobs,E504&amp;"")&gt;0,"OK","CHECK"))</f>
        <v/>
      </c>
      <c r="G504" s="24" t="n"/>
      <c r="H504" s="24" t="n"/>
      <c r="I504" s="24" t="n"/>
      <c r="J504" s="24" t="n"/>
      <c r="K504" s="24" t="n"/>
      <c r="L504" s="26" t="n"/>
      <c r="M504" s="27">
        <f>IF(L504="","",IF(K504="GST 10%",ROUND(L504*set_GSTRate,2),0))</f>
        <v/>
      </c>
      <c r="N504" s="27">
        <f>IF(L504="","",L504+M504)</f>
        <v/>
      </c>
      <c r="O504" s="24" t="n"/>
      <c r="P504" s="24" t="n"/>
      <c r="Q504" s="24" t="n"/>
      <c r="R504" s="22" t="n"/>
      <c r="S504" s="22" t="n"/>
      <c r="T504" s="24" t="n"/>
      <c r="U504" s="24" t="n"/>
      <c r="V504" s="25">
        <f>IF(COUNTA(A504,D504,C504,L504)=0,"",IF(A504="","No date - sits outside every month",IF(E504="","No job number",IF(F504="CHECK","Job number is not in the Xero job list",IF(I504="","No cost centre",IF(AND(P504="Y",C504=""),"Marked posted to Xero but has no invoice number",IF(AND(L504&lt;&gt;"",K504=""),"No tax code",IF(AND(L504&lt;&gt;"",O504=""),"No revenue GL code",""))))))))</f>
        <v/>
      </c>
      <c r="W504" s="25">
        <f>IF(E504="","",IFERROR(INDEX(lst_JobName,MATCH(E504&amp;"",lst_Jobs,0)),""))</f>
        <v/>
      </c>
      <c r="X504" s="28">
        <f>IF(E504="","",COUNTIFS(tbl_Finance[Job Number],E504&amp;"",tbl_Finance[Ex GST],"&lt;&gt;"))</f>
        <v/>
      </c>
      <c r="Y504" s="27">
        <f>IF(E504="","",SUMIFS(tbl_Finance[Ex GST],tbl_Finance[Job Number],E504&amp;""))</f>
        <v/>
      </c>
      <c r="Z504" s="27">
        <f>IF(E504="","",SUMIFS(tbl_Finance[Ex GST],tbl_Finance[Job Number],E504&amp;"",tbl_Finance[Xero Invoice No],"&lt;&gt;"))</f>
        <v/>
      </c>
      <c r="AA504" s="27">
        <f>IF(E504="","",Y504-Z504)</f>
        <v/>
      </c>
      <c r="AB504" s="25">
        <f>IF(E504="","",IF(H504="Onsite",IFERROR(INDEX(tbl_Onsite[Qwilr Quote],MATCH(E504&amp;"",tbl_Onsite[Job Number],0)),""),IF(H504="Production",IFERROR(INDEX(tbl_Production[Current RMS No],MATCH(E504&amp;"",tbl_Production[Job Number],0)),""),IF(H504="Consulting",IFERROR(INDEX(tbl_Consulting[Qwilr Quote],MATCH(E504&amp;"",tbl_Consulting[Job Number],0)),""),""))))</f>
        <v/>
      </c>
      <c r="AC504" s="25">
        <f>IF(AB504="","",IF(AND(LEFT(AB504,4)&lt;&gt;"http",IF(H504="Production",set_RMSBase,set_QwilrBase)=""),"",HYPERLINK(IF(LEFT(AB504,4)="http",AB504,IF(H504="Production",set_RMSBase,set_QwilrBase)&amp;AB504),"Open")))</f>
        <v/>
      </c>
      <c r="AD504" s="27">
        <f>IF(E504="","",IF(H504="Production",IFERROR(INDEX(tbl_Production[Total Expense],MATCH(E504&amp;"",tbl_Production[Job Number],0)),0),IF(H504="Consulting",IFERROR(INDEX(tbl_Consulting[Total Expense],MATCH(E504&amp;"",tbl_Consulting[Job Number],0)),0),0)))</f>
        <v/>
      </c>
      <c r="AE504" s="27">
        <f>IF(E504="","",Y504-N(AD504))</f>
        <v/>
      </c>
      <c r="AF504" s="29">
        <f>IFERROR(AE504/Y504,"")</f>
        <v/>
      </c>
      <c r="AG504" s="25">
        <f>IF(E504="","",IF(H504="Onsite",IFERROR(INDEX(tbl_Onsite[Notes],MATCH(E504&amp;"",tbl_Onsite[Job Number],0)),""),IF(H504="Production",IFERROR(INDEX(tbl_Production[Notes],MATCH(E504&amp;"",tbl_Production[Job Number],0)),""),IF(H504="Consulting",IFERROR(INDEX(tbl_Consulting[Notes],MATCH(E504&amp;"",tbl_Consulting[Job Number],0)),""),""))))</f>
        <v/>
      </c>
    </row>
    <row r="505" ht="15" customHeight="1">
      <c r="A505" s="22" t="n"/>
      <c r="B505" s="23">
        <f>IF(A505="","",EOMONTH(A505,0))</f>
        <v/>
      </c>
      <c r="C505" s="24" t="n"/>
      <c r="D505" s="24" t="n"/>
      <c r="E505" s="24" t="n"/>
      <c r="F505" s="25">
        <f>IF(E505="","",IF(COUNTIF(lst_Jobs,E505&amp;"")&gt;0,"OK","CHECK"))</f>
        <v/>
      </c>
      <c r="G505" s="24" t="n"/>
      <c r="H505" s="24" t="n"/>
      <c r="I505" s="24" t="n"/>
      <c r="J505" s="24" t="n"/>
      <c r="K505" s="24" t="n"/>
      <c r="L505" s="26" t="n"/>
      <c r="M505" s="27">
        <f>IF(L505="","",IF(K505="GST 10%",ROUND(L505*set_GSTRate,2),0))</f>
        <v/>
      </c>
      <c r="N505" s="27">
        <f>IF(L505="","",L505+M505)</f>
        <v/>
      </c>
      <c r="O505" s="24" t="n"/>
      <c r="P505" s="24" t="n"/>
      <c r="Q505" s="24" t="n"/>
      <c r="R505" s="22" t="n"/>
      <c r="S505" s="22" t="n"/>
      <c r="T505" s="24" t="n"/>
      <c r="U505" s="24" t="n"/>
      <c r="V505" s="25">
        <f>IF(COUNTA(A505,D505,C505,L505)=0,"",IF(A505="","No date - sits outside every month",IF(E505="","No job number",IF(F505="CHECK","Job number is not in the Xero job list",IF(I505="","No cost centre",IF(AND(P505="Y",C505=""),"Marked posted to Xero but has no invoice number",IF(AND(L505&lt;&gt;"",K505=""),"No tax code",IF(AND(L505&lt;&gt;"",O505=""),"No revenue GL code",""))))))))</f>
        <v/>
      </c>
      <c r="W505" s="25">
        <f>IF(E505="","",IFERROR(INDEX(lst_JobName,MATCH(E505&amp;"",lst_Jobs,0)),""))</f>
        <v/>
      </c>
      <c r="X505" s="28">
        <f>IF(E505="","",COUNTIFS(tbl_Finance[Job Number],E505&amp;"",tbl_Finance[Ex GST],"&lt;&gt;"))</f>
        <v/>
      </c>
      <c r="Y505" s="27">
        <f>IF(E505="","",SUMIFS(tbl_Finance[Ex GST],tbl_Finance[Job Number],E505&amp;""))</f>
        <v/>
      </c>
      <c r="Z505" s="27">
        <f>IF(E505="","",SUMIFS(tbl_Finance[Ex GST],tbl_Finance[Job Number],E505&amp;"",tbl_Finance[Xero Invoice No],"&lt;&gt;"))</f>
        <v/>
      </c>
      <c r="AA505" s="27">
        <f>IF(E505="","",Y505-Z505)</f>
        <v/>
      </c>
      <c r="AB505" s="25">
        <f>IF(E505="","",IF(H505="Onsite",IFERROR(INDEX(tbl_Onsite[Qwilr Quote],MATCH(E505&amp;"",tbl_Onsite[Job Number],0)),""),IF(H505="Production",IFERROR(INDEX(tbl_Production[Current RMS No],MATCH(E505&amp;"",tbl_Production[Job Number],0)),""),IF(H505="Consulting",IFERROR(INDEX(tbl_Consulting[Qwilr Quote],MATCH(E505&amp;"",tbl_Consulting[Job Number],0)),""),""))))</f>
        <v/>
      </c>
      <c r="AC505" s="25">
        <f>IF(AB505="","",IF(AND(LEFT(AB505,4)&lt;&gt;"http",IF(H505="Production",set_RMSBase,set_QwilrBase)=""),"",HYPERLINK(IF(LEFT(AB505,4)="http",AB505,IF(H505="Production",set_RMSBase,set_QwilrBase)&amp;AB505),"Open")))</f>
        <v/>
      </c>
      <c r="AD505" s="27">
        <f>IF(E505="","",IF(H505="Production",IFERROR(INDEX(tbl_Production[Total Expense],MATCH(E505&amp;"",tbl_Production[Job Number],0)),0),IF(H505="Consulting",IFERROR(INDEX(tbl_Consulting[Total Expense],MATCH(E505&amp;"",tbl_Consulting[Job Number],0)),0),0)))</f>
        <v/>
      </c>
      <c r="AE505" s="27">
        <f>IF(E505="","",Y505-N(AD505))</f>
        <v/>
      </c>
      <c r="AF505" s="29">
        <f>IFERROR(AE505/Y505,"")</f>
        <v/>
      </c>
      <c r="AG505" s="25">
        <f>IF(E505="","",IF(H505="Onsite",IFERROR(INDEX(tbl_Onsite[Notes],MATCH(E505&amp;"",tbl_Onsite[Job Number],0)),""),IF(H505="Production",IFERROR(INDEX(tbl_Production[Notes],MATCH(E505&amp;"",tbl_Production[Job Number],0)),""),IF(H505="Consulting",IFERROR(INDEX(tbl_Consulting[Notes],MATCH(E505&amp;"",tbl_Consulting[Job Number],0)),""),""))))</f>
        <v/>
      </c>
    </row>
    <row r="506" ht="15" customHeight="1">
      <c r="A506" s="22" t="n"/>
      <c r="B506" s="23">
        <f>IF(A506="","",EOMONTH(A506,0))</f>
        <v/>
      </c>
      <c r="C506" s="24" t="n"/>
      <c r="D506" s="24" t="n"/>
      <c r="E506" s="24" t="n"/>
      <c r="F506" s="25">
        <f>IF(E506="","",IF(COUNTIF(lst_Jobs,E506&amp;"")&gt;0,"OK","CHECK"))</f>
        <v/>
      </c>
      <c r="G506" s="24" t="n"/>
      <c r="H506" s="24" t="n"/>
      <c r="I506" s="24" t="n"/>
      <c r="J506" s="24" t="n"/>
      <c r="K506" s="24" t="n"/>
      <c r="L506" s="26" t="n"/>
      <c r="M506" s="27">
        <f>IF(L506="","",IF(K506="GST 10%",ROUND(L506*set_GSTRate,2),0))</f>
        <v/>
      </c>
      <c r="N506" s="27">
        <f>IF(L506="","",L506+M506)</f>
        <v/>
      </c>
      <c r="O506" s="24" t="n"/>
      <c r="P506" s="24" t="n"/>
      <c r="Q506" s="24" t="n"/>
      <c r="R506" s="22" t="n"/>
      <c r="S506" s="22" t="n"/>
      <c r="T506" s="24" t="n"/>
      <c r="U506" s="24" t="n"/>
      <c r="V506" s="25">
        <f>IF(COUNTA(A506,D506,C506,L506)=0,"",IF(A506="","No date - sits outside every month",IF(E506="","No job number",IF(F506="CHECK","Job number is not in the Xero job list",IF(I506="","No cost centre",IF(AND(P506="Y",C506=""),"Marked posted to Xero but has no invoice number",IF(AND(L506&lt;&gt;"",K506=""),"No tax code",IF(AND(L506&lt;&gt;"",O506=""),"No revenue GL code",""))))))))</f>
        <v/>
      </c>
      <c r="W506" s="25">
        <f>IF(E506="","",IFERROR(INDEX(lst_JobName,MATCH(E506&amp;"",lst_Jobs,0)),""))</f>
        <v/>
      </c>
      <c r="X506" s="28">
        <f>IF(E506="","",COUNTIFS(tbl_Finance[Job Number],E506&amp;"",tbl_Finance[Ex GST],"&lt;&gt;"))</f>
        <v/>
      </c>
      <c r="Y506" s="27">
        <f>IF(E506="","",SUMIFS(tbl_Finance[Ex GST],tbl_Finance[Job Number],E506&amp;""))</f>
        <v/>
      </c>
      <c r="Z506" s="27">
        <f>IF(E506="","",SUMIFS(tbl_Finance[Ex GST],tbl_Finance[Job Number],E506&amp;"",tbl_Finance[Xero Invoice No],"&lt;&gt;"))</f>
        <v/>
      </c>
      <c r="AA506" s="27">
        <f>IF(E506="","",Y506-Z506)</f>
        <v/>
      </c>
      <c r="AB506" s="25">
        <f>IF(E506="","",IF(H506="Onsite",IFERROR(INDEX(tbl_Onsite[Qwilr Quote],MATCH(E506&amp;"",tbl_Onsite[Job Number],0)),""),IF(H506="Production",IFERROR(INDEX(tbl_Production[Current RMS No],MATCH(E506&amp;"",tbl_Production[Job Number],0)),""),IF(H506="Consulting",IFERROR(INDEX(tbl_Consulting[Qwilr Quote],MATCH(E506&amp;"",tbl_Consulting[Job Number],0)),""),""))))</f>
        <v/>
      </c>
      <c r="AC506" s="25">
        <f>IF(AB506="","",IF(AND(LEFT(AB506,4)&lt;&gt;"http",IF(H506="Production",set_RMSBase,set_QwilrBase)=""),"",HYPERLINK(IF(LEFT(AB506,4)="http",AB506,IF(H506="Production",set_RMSBase,set_QwilrBase)&amp;AB506),"Open")))</f>
        <v/>
      </c>
      <c r="AD506" s="27">
        <f>IF(E506="","",IF(H506="Production",IFERROR(INDEX(tbl_Production[Total Expense],MATCH(E506&amp;"",tbl_Production[Job Number],0)),0),IF(H506="Consulting",IFERROR(INDEX(tbl_Consulting[Total Expense],MATCH(E506&amp;"",tbl_Consulting[Job Number],0)),0),0)))</f>
        <v/>
      </c>
      <c r="AE506" s="27">
        <f>IF(E506="","",Y506-N(AD506))</f>
        <v/>
      </c>
      <c r="AF506" s="29">
        <f>IFERROR(AE506/Y506,"")</f>
        <v/>
      </c>
      <c r="AG506" s="25">
        <f>IF(E506="","",IF(H506="Onsite",IFERROR(INDEX(tbl_Onsite[Notes],MATCH(E506&amp;"",tbl_Onsite[Job Number],0)),""),IF(H506="Production",IFERROR(INDEX(tbl_Production[Notes],MATCH(E506&amp;"",tbl_Production[Job Number],0)),""),IF(H506="Consulting",IFERROR(INDEX(tbl_Consulting[Notes],MATCH(E506&amp;"",tbl_Consulting[Job Number],0)),""),""))))</f>
        <v/>
      </c>
    </row>
    <row r="507" ht="15" customHeight="1">
      <c r="A507" s="22" t="n"/>
      <c r="B507" s="23">
        <f>IF(A507="","",EOMONTH(A507,0))</f>
        <v/>
      </c>
      <c r="C507" s="24" t="n"/>
      <c r="D507" s="24" t="n"/>
      <c r="E507" s="24" t="n"/>
      <c r="F507" s="25">
        <f>IF(E507="","",IF(COUNTIF(lst_Jobs,E507&amp;"")&gt;0,"OK","CHECK"))</f>
        <v/>
      </c>
      <c r="G507" s="24" t="n"/>
      <c r="H507" s="24" t="n"/>
      <c r="I507" s="24" t="n"/>
      <c r="J507" s="24" t="n"/>
      <c r="K507" s="24" t="n"/>
      <c r="L507" s="26" t="n"/>
      <c r="M507" s="27">
        <f>IF(L507="","",IF(K507="GST 10%",ROUND(L507*set_GSTRate,2),0))</f>
        <v/>
      </c>
      <c r="N507" s="27">
        <f>IF(L507="","",L507+M507)</f>
        <v/>
      </c>
      <c r="O507" s="24" t="n"/>
      <c r="P507" s="24" t="n"/>
      <c r="Q507" s="24" t="n"/>
      <c r="R507" s="22" t="n"/>
      <c r="S507" s="22" t="n"/>
      <c r="T507" s="24" t="n"/>
      <c r="U507" s="24" t="n"/>
      <c r="V507" s="25">
        <f>IF(COUNTA(A507,D507,C507,L507)=0,"",IF(A507="","No date - sits outside every month",IF(E507="","No job number",IF(F507="CHECK","Job number is not in the Xero job list",IF(I507="","No cost centre",IF(AND(P507="Y",C507=""),"Marked posted to Xero but has no invoice number",IF(AND(L507&lt;&gt;"",K507=""),"No tax code",IF(AND(L507&lt;&gt;"",O507=""),"No revenue GL code",""))))))))</f>
        <v/>
      </c>
      <c r="W507" s="25">
        <f>IF(E507="","",IFERROR(INDEX(lst_JobName,MATCH(E507&amp;"",lst_Jobs,0)),""))</f>
        <v/>
      </c>
      <c r="X507" s="28">
        <f>IF(E507="","",COUNTIFS(tbl_Finance[Job Number],E507&amp;"",tbl_Finance[Ex GST],"&lt;&gt;"))</f>
        <v/>
      </c>
      <c r="Y507" s="27">
        <f>IF(E507="","",SUMIFS(tbl_Finance[Ex GST],tbl_Finance[Job Number],E507&amp;""))</f>
        <v/>
      </c>
      <c r="Z507" s="27">
        <f>IF(E507="","",SUMIFS(tbl_Finance[Ex GST],tbl_Finance[Job Number],E507&amp;"",tbl_Finance[Xero Invoice No],"&lt;&gt;"))</f>
        <v/>
      </c>
      <c r="AA507" s="27">
        <f>IF(E507="","",Y507-Z507)</f>
        <v/>
      </c>
      <c r="AB507" s="25">
        <f>IF(E507="","",IF(H507="Onsite",IFERROR(INDEX(tbl_Onsite[Qwilr Quote],MATCH(E507&amp;"",tbl_Onsite[Job Number],0)),""),IF(H507="Production",IFERROR(INDEX(tbl_Production[Current RMS No],MATCH(E507&amp;"",tbl_Production[Job Number],0)),""),IF(H507="Consulting",IFERROR(INDEX(tbl_Consulting[Qwilr Quote],MATCH(E507&amp;"",tbl_Consulting[Job Number],0)),""),""))))</f>
        <v/>
      </c>
      <c r="AC507" s="25">
        <f>IF(AB507="","",IF(AND(LEFT(AB507,4)&lt;&gt;"http",IF(H507="Production",set_RMSBase,set_QwilrBase)=""),"",HYPERLINK(IF(LEFT(AB507,4)="http",AB507,IF(H507="Production",set_RMSBase,set_QwilrBase)&amp;AB507),"Open")))</f>
        <v/>
      </c>
      <c r="AD507" s="27">
        <f>IF(E507="","",IF(H507="Production",IFERROR(INDEX(tbl_Production[Total Expense],MATCH(E507&amp;"",tbl_Production[Job Number],0)),0),IF(H507="Consulting",IFERROR(INDEX(tbl_Consulting[Total Expense],MATCH(E507&amp;"",tbl_Consulting[Job Number],0)),0),0)))</f>
        <v/>
      </c>
      <c r="AE507" s="27">
        <f>IF(E507="","",Y507-N(AD507))</f>
        <v/>
      </c>
      <c r="AF507" s="29">
        <f>IFERROR(AE507/Y507,"")</f>
        <v/>
      </c>
      <c r="AG507" s="25">
        <f>IF(E507="","",IF(H507="Onsite",IFERROR(INDEX(tbl_Onsite[Notes],MATCH(E507&amp;"",tbl_Onsite[Job Number],0)),""),IF(H507="Production",IFERROR(INDEX(tbl_Production[Notes],MATCH(E507&amp;"",tbl_Production[Job Number],0)),""),IF(H507="Consulting",IFERROR(INDEX(tbl_Consulting[Notes],MATCH(E507&amp;"",tbl_Consulting[Job Number],0)),""),""))))</f>
        <v/>
      </c>
    </row>
    <row r="508" ht="15" customHeight="1">
      <c r="A508" s="22" t="n"/>
      <c r="B508" s="23">
        <f>IF(A508="","",EOMONTH(A508,0))</f>
        <v/>
      </c>
      <c r="C508" s="24" t="n"/>
      <c r="D508" s="24" t="n"/>
      <c r="E508" s="24" t="n"/>
      <c r="F508" s="25">
        <f>IF(E508="","",IF(COUNTIF(lst_Jobs,E508&amp;"")&gt;0,"OK","CHECK"))</f>
        <v/>
      </c>
      <c r="G508" s="24" t="n"/>
      <c r="H508" s="24" t="n"/>
      <c r="I508" s="24" t="n"/>
      <c r="J508" s="24" t="n"/>
      <c r="K508" s="24" t="n"/>
      <c r="L508" s="26" t="n"/>
      <c r="M508" s="27">
        <f>IF(L508="","",IF(K508="GST 10%",ROUND(L508*set_GSTRate,2),0))</f>
        <v/>
      </c>
      <c r="N508" s="27">
        <f>IF(L508="","",L508+M508)</f>
        <v/>
      </c>
      <c r="O508" s="24" t="n"/>
      <c r="P508" s="24" t="n"/>
      <c r="Q508" s="24" t="n"/>
      <c r="R508" s="22" t="n"/>
      <c r="S508" s="22" t="n"/>
      <c r="T508" s="24" t="n"/>
      <c r="U508" s="24" t="n"/>
      <c r="V508" s="25">
        <f>IF(COUNTA(A508,D508,C508,L508)=0,"",IF(A508="","No date - sits outside every month",IF(E508="","No job number",IF(F508="CHECK","Job number is not in the Xero job list",IF(I508="","No cost centre",IF(AND(P508="Y",C508=""),"Marked posted to Xero but has no invoice number",IF(AND(L508&lt;&gt;"",K508=""),"No tax code",IF(AND(L508&lt;&gt;"",O508=""),"No revenue GL code",""))))))))</f>
        <v/>
      </c>
      <c r="W508" s="25">
        <f>IF(E508="","",IFERROR(INDEX(lst_JobName,MATCH(E508&amp;"",lst_Jobs,0)),""))</f>
        <v/>
      </c>
      <c r="X508" s="28">
        <f>IF(E508="","",COUNTIFS(tbl_Finance[Job Number],E508&amp;"",tbl_Finance[Ex GST],"&lt;&gt;"))</f>
        <v/>
      </c>
      <c r="Y508" s="27">
        <f>IF(E508="","",SUMIFS(tbl_Finance[Ex GST],tbl_Finance[Job Number],E508&amp;""))</f>
        <v/>
      </c>
      <c r="Z508" s="27">
        <f>IF(E508="","",SUMIFS(tbl_Finance[Ex GST],tbl_Finance[Job Number],E508&amp;"",tbl_Finance[Xero Invoice No],"&lt;&gt;"))</f>
        <v/>
      </c>
      <c r="AA508" s="27">
        <f>IF(E508="","",Y508-Z508)</f>
        <v/>
      </c>
      <c r="AB508" s="25">
        <f>IF(E508="","",IF(H508="Onsite",IFERROR(INDEX(tbl_Onsite[Qwilr Quote],MATCH(E508&amp;"",tbl_Onsite[Job Number],0)),""),IF(H508="Production",IFERROR(INDEX(tbl_Production[Current RMS No],MATCH(E508&amp;"",tbl_Production[Job Number],0)),""),IF(H508="Consulting",IFERROR(INDEX(tbl_Consulting[Qwilr Quote],MATCH(E508&amp;"",tbl_Consulting[Job Number],0)),""),""))))</f>
        <v/>
      </c>
      <c r="AC508" s="25">
        <f>IF(AB508="","",IF(AND(LEFT(AB508,4)&lt;&gt;"http",IF(H508="Production",set_RMSBase,set_QwilrBase)=""),"",HYPERLINK(IF(LEFT(AB508,4)="http",AB508,IF(H508="Production",set_RMSBase,set_QwilrBase)&amp;AB508),"Open")))</f>
        <v/>
      </c>
      <c r="AD508" s="27">
        <f>IF(E508="","",IF(H508="Production",IFERROR(INDEX(tbl_Production[Total Expense],MATCH(E508&amp;"",tbl_Production[Job Number],0)),0),IF(H508="Consulting",IFERROR(INDEX(tbl_Consulting[Total Expense],MATCH(E508&amp;"",tbl_Consulting[Job Number],0)),0),0)))</f>
        <v/>
      </c>
      <c r="AE508" s="27">
        <f>IF(E508="","",Y508-N(AD508))</f>
        <v/>
      </c>
      <c r="AF508" s="29">
        <f>IFERROR(AE508/Y508,"")</f>
        <v/>
      </c>
      <c r="AG508" s="25">
        <f>IF(E508="","",IF(H508="Onsite",IFERROR(INDEX(tbl_Onsite[Notes],MATCH(E508&amp;"",tbl_Onsite[Job Number],0)),""),IF(H508="Production",IFERROR(INDEX(tbl_Production[Notes],MATCH(E508&amp;"",tbl_Production[Job Number],0)),""),IF(H508="Consulting",IFERROR(INDEX(tbl_Consulting[Notes],MATCH(E508&amp;"",tbl_Consulting[Job Number],0)),""),""))))</f>
        <v/>
      </c>
    </row>
    <row r="509" ht="15" customHeight="1">
      <c r="A509" s="22" t="n"/>
      <c r="B509" s="23">
        <f>IF(A509="","",EOMONTH(A509,0))</f>
        <v/>
      </c>
      <c r="C509" s="24" t="n"/>
      <c r="D509" s="24" t="n"/>
      <c r="E509" s="24" t="n"/>
      <c r="F509" s="25">
        <f>IF(E509="","",IF(COUNTIF(lst_Jobs,E509&amp;"")&gt;0,"OK","CHECK"))</f>
        <v/>
      </c>
      <c r="G509" s="24" t="n"/>
      <c r="H509" s="24" t="n"/>
      <c r="I509" s="24" t="n"/>
      <c r="J509" s="24" t="n"/>
      <c r="K509" s="24" t="n"/>
      <c r="L509" s="26" t="n"/>
      <c r="M509" s="27">
        <f>IF(L509="","",IF(K509="GST 10%",ROUND(L509*set_GSTRate,2),0))</f>
        <v/>
      </c>
      <c r="N509" s="27">
        <f>IF(L509="","",L509+M509)</f>
        <v/>
      </c>
      <c r="O509" s="24" t="n"/>
      <c r="P509" s="24" t="n"/>
      <c r="Q509" s="24" t="n"/>
      <c r="R509" s="22" t="n"/>
      <c r="S509" s="22" t="n"/>
      <c r="T509" s="24" t="n"/>
      <c r="U509" s="24" t="n"/>
      <c r="V509" s="25">
        <f>IF(COUNTA(A509,D509,C509,L509)=0,"",IF(A509="","No date - sits outside every month",IF(E509="","No job number",IF(F509="CHECK","Job number is not in the Xero job list",IF(I509="","No cost centre",IF(AND(P509="Y",C509=""),"Marked posted to Xero but has no invoice number",IF(AND(L509&lt;&gt;"",K509=""),"No tax code",IF(AND(L509&lt;&gt;"",O509=""),"No revenue GL code",""))))))))</f>
        <v/>
      </c>
      <c r="W509" s="25">
        <f>IF(E509="","",IFERROR(INDEX(lst_JobName,MATCH(E509&amp;"",lst_Jobs,0)),""))</f>
        <v/>
      </c>
      <c r="X509" s="28">
        <f>IF(E509="","",COUNTIFS(tbl_Finance[Job Number],E509&amp;"",tbl_Finance[Ex GST],"&lt;&gt;"))</f>
        <v/>
      </c>
      <c r="Y509" s="27">
        <f>IF(E509="","",SUMIFS(tbl_Finance[Ex GST],tbl_Finance[Job Number],E509&amp;""))</f>
        <v/>
      </c>
      <c r="Z509" s="27">
        <f>IF(E509="","",SUMIFS(tbl_Finance[Ex GST],tbl_Finance[Job Number],E509&amp;"",tbl_Finance[Xero Invoice No],"&lt;&gt;"))</f>
        <v/>
      </c>
      <c r="AA509" s="27">
        <f>IF(E509="","",Y509-Z509)</f>
        <v/>
      </c>
      <c r="AB509" s="25">
        <f>IF(E509="","",IF(H509="Onsite",IFERROR(INDEX(tbl_Onsite[Qwilr Quote],MATCH(E509&amp;"",tbl_Onsite[Job Number],0)),""),IF(H509="Production",IFERROR(INDEX(tbl_Production[Current RMS No],MATCH(E509&amp;"",tbl_Production[Job Number],0)),""),IF(H509="Consulting",IFERROR(INDEX(tbl_Consulting[Qwilr Quote],MATCH(E509&amp;"",tbl_Consulting[Job Number],0)),""),""))))</f>
        <v/>
      </c>
      <c r="AC509" s="25">
        <f>IF(AB509="","",IF(AND(LEFT(AB509,4)&lt;&gt;"http",IF(H509="Production",set_RMSBase,set_QwilrBase)=""),"",HYPERLINK(IF(LEFT(AB509,4)="http",AB509,IF(H509="Production",set_RMSBase,set_QwilrBase)&amp;AB509),"Open")))</f>
        <v/>
      </c>
      <c r="AD509" s="27">
        <f>IF(E509="","",IF(H509="Production",IFERROR(INDEX(tbl_Production[Total Expense],MATCH(E509&amp;"",tbl_Production[Job Number],0)),0),IF(H509="Consulting",IFERROR(INDEX(tbl_Consulting[Total Expense],MATCH(E509&amp;"",tbl_Consulting[Job Number],0)),0),0)))</f>
        <v/>
      </c>
      <c r="AE509" s="27">
        <f>IF(E509="","",Y509-N(AD509))</f>
        <v/>
      </c>
      <c r="AF509" s="29">
        <f>IFERROR(AE509/Y509,"")</f>
        <v/>
      </c>
      <c r="AG509" s="25">
        <f>IF(E509="","",IF(H509="Onsite",IFERROR(INDEX(tbl_Onsite[Notes],MATCH(E509&amp;"",tbl_Onsite[Job Number],0)),""),IF(H509="Production",IFERROR(INDEX(tbl_Production[Notes],MATCH(E509&amp;"",tbl_Production[Job Number],0)),""),IF(H509="Consulting",IFERROR(INDEX(tbl_Consulting[Notes],MATCH(E509&amp;"",tbl_Consulting[Job Number],0)),""),""))))</f>
        <v/>
      </c>
    </row>
    <row r="510" ht="15" customHeight="1">
      <c r="A510" s="22" t="n"/>
      <c r="B510" s="23">
        <f>IF(A510="","",EOMONTH(A510,0))</f>
        <v/>
      </c>
      <c r="C510" s="24" t="n"/>
      <c r="D510" s="24" t="n"/>
      <c r="E510" s="24" t="n"/>
      <c r="F510" s="25">
        <f>IF(E510="","",IF(COUNTIF(lst_Jobs,E510&amp;"")&gt;0,"OK","CHECK"))</f>
        <v/>
      </c>
      <c r="G510" s="24" t="n"/>
      <c r="H510" s="24" t="n"/>
      <c r="I510" s="24" t="n"/>
      <c r="J510" s="24" t="n"/>
      <c r="K510" s="24" t="n"/>
      <c r="L510" s="26" t="n"/>
      <c r="M510" s="27">
        <f>IF(L510="","",IF(K510="GST 10%",ROUND(L510*set_GSTRate,2),0))</f>
        <v/>
      </c>
      <c r="N510" s="27">
        <f>IF(L510="","",L510+M510)</f>
        <v/>
      </c>
      <c r="O510" s="24" t="n"/>
      <c r="P510" s="24" t="n"/>
      <c r="Q510" s="24" t="n"/>
      <c r="R510" s="22" t="n"/>
      <c r="S510" s="22" t="n"/>
      <c r="T510" s="24" t="n"/>
      <c r="U510" s="24" t="n"/>
      <c r="V510" s="25">
        <f>IF(COUNTA(A510,D510,C510,L510)=0,"",IF(A510="","No date - sits outside every month",IF(E510="","No job number",IF(F510="CHECK","Job number is not in the Xero job list",IF(I510="","No cost centre",IF(AND(P510="Y",C510=""),"Marked posted to Xero but has no invoice number",IF(AND(L510&lt;&gt;"",K510=""),"No tax code",IF(AND(L510&lt;&gt;"",O510=""),"No revenue GL code",""))))))))</f>
        <v/>
      </c>
      <c r="W510" s="25">
        <f>IF(E510="","",IFERROR(INDEX(lst_JobName,MATCH(E510&amp;"",lst_Jobs,0)),""))</f>
        <v/>
      </c>
      <c r="X510" s="28">
        <f>IF(E510="","",COUNTIFS(tbl_Finance[Job Number],E510&amp;"",tbl_Finance[Ex GST],"&lt;&gt;"))</f>
        <v/>
      </c>
      <c r="Y510" s="27">
        <f>IF(E510="","",SUMIFS(tbl_Finance[Ex GST],tbl_Finance[Job Number],E510&amp;""))</f>
        <v/>
      </c>
      <c r="Z510" s="27">
        <f>IF(E510="","",SUMIFS(tbl_Finance[Ex GST],tbl_Finance[Job Number],E510&amp;"",tbl_Finance[Xero Invoice No],"&lt;&gt;"))</f>
        <v/>
      </c>
      <c r="AA510" s="27">
        <f>IF(E510="","",Y510-Z510)</f>
        <v/>
      </c>
      <c r="AB510" s="25">
        <f>IF(E510="","",IF(H510="Onsite",IFERROR(INDEX(tbl_Onsite[Qwilr Quote],MATCH(E510&amp;"",tbl_Onsite[Job Number],0)),""),IF(H510="Production",IFERROR(INDEX(tbl_Production[Current RMS No],MATCH(E510&amp;"",tbl_Production[Job Number],0)),""),IF(H510="Consulting",IFERROR(INDEX(tbl_Consulting[Qwilr Quote],MATCH(E510&amp;"",tbl_Consulting[Job Number],0)),""),""))))</f>
        <v/>
      </c>
      <c r="AC510" s="25">
        <f>IF(AB510="","",IF(AND(LEFT(AB510,4)&lt;&gt;"http",IF(H510="Production",set_RMSBase,set_QwilrBase)=""),"",HYPERLINK(IF(LEFT(AB510,4)="http",AB510,IF(H510="Production",set_RMSBase,set_QwilrBase)&amp;AB510),"Open")))</f>
        <v/>
      </c>
      <c r="AD510" s="27">
        <f>IF(E510="","",IF(H510="Production",IFERROR(INDEX(tbl_Production[Total Expense],MATCH(E510&amp;"",tbl_Production[Job Number],0)),0),IF(H510="Consulting",IFERROR(INDEX(tbl_Consulting[Total Expense],MATCH(E510&amp;"",tbl_Consulting[Job Number],0)),0),0)))</f>
        <v/>
      </c>
      <c r="AE510" s="27">
        <f>IF(E510="","",Y510-N(AD510))</f>
        <v/>
      </c>
      <c r="AF510" s="29">
        <f>IFERROR(AE510/Y510,"")</f>
        <v/>
      </c>
      <c r="AG510" s="25">
        <f>IF(E510="","",IF(H510="Onsite",IFERROR(INDEX(tbl_Onsite[Notes],MATCH(E510&amp;"",tbl_Onsite[Job Number],0)),""),IF(H510="Production",IFERROR(INDEX(tbl_Production[Notes],MATCH(E510&amp;"",tbl_Production[Job Number],0)),""),IF(H510="Consulting",IFERROR(INDEX(tbl_Consulting[Notes],MATCH(E510&amp;"",tbl_Consulting[Job Number],0)),""),""))))</f>
        <v/>
      </c>
    </row>
    <row r="511" ht="15" customHeight="1">
      <c r="A511" s="22" t="n"/>
      <c r="B511" s="23">
        <f>IF(A511="","",EOMONTH(A511,0))</f>
        <v/>
      </c>
      <c r="C511" s="24" t="n"/>
      <c r="D511" s="24" t="n"/>
      <c r="E511" s="24" t="n"/>
      <c r="F511" s="25">
        <f>IF(E511="","",IF(COUNTIF(lst_Jobs,E511&amp;"")&gt;0,"OK","CHECK"))</f>
        <v/>
      </c>
      <c r="G511" s="24" t="n"/>
      <c r="H511" s="24" t="n"/>
      <c r="I511" s="24" t="n"/>
      <c r="J511" s="24" t="n"/>
      <c r="K511" s="24" t="n"/>
      <c r="L511" s="26" t="n"/>
      <c r="M511" s="27">
        <f>IF(L511="","",IF(K511="GST 10%",ROUND(L511*set_GSTRate,2),0))</f>
        <v/>
      </c>
      <c r="N511" s="27">
        <f>IF(L511="","",L511+M511)</f>
        <v/>
      </c>
      <c r="O511" s="24" t="n"/>
      <c r="P511" s="24" t="n"/>
      <c r="Q511" s="24" t="n"/>
      <c r="R511" s="22" t="n"/>
      <c r="S511" s="22" t="n"/>
      <c r="T511" s="24" t="n"/>
      <c r="U511" s="24" t="n"/>
      <c r="V511" s="25">
        <f>IF(COUNTA(A511,D511,C511,L511)=0,"",IF(A511="","No date - sits outside every month",IF(E511="","No job number",IF(F511="CHECK","Job number is not in the Xero job list",IF(I511="","No cost centre",IF(AND(P511="Y",C511=""),"Marked posted to Xero but has no invoice number",IF(AND(L511&lt;&gt;"",K511=""),"No tax code",IF(AND(L511&lt;&gt;"",O511=""),"No revenue GL code",""))))))))</f>
        <v/>
      </c>
      <c r="W511" s="25">
        <f>IF(E511="","",IFERROR(INDEX(lst_JobName,MATCH(E511&amp;"",lst_Jobs,0)),""))</f>
        <v/>
      </c>
      <c r="X511" s="28">
        <f>IF(E511="","",COUNTIFS(tbl_Finance[Job Number],E511&amp;"",tbl_Finance[Ex GST],"&lt;&gt;"))</f>
        <v/>
      </c>
      <c r="Y511" s="27">
        <f>IF(E511="","",SUMIFS(tbl_Finance[Ex GST],tbl_Finance[Job Number],E511&amp;""))</f>
        <v/>
      </c>
      <c r="Z511" s="27">
        <f>IF(E511="","",SUMIFS(tbl_Finance[Ex GST],tbl_Finance[Job Number],E511&amp;"",tbl_Finance[Xero Invoice No],"&lt;&gt;"))</f>
        <v/>
      </c>
      <c r="AA511" s="27">
        <f>IF(E511="","",Y511-Z511)</f>
        <v/>
      </c>
      <c r="AB511" s="25">
        <f>IF(E511="","",IF(H511="Onsite",IFERROR(INDEX(tbl_Onsite[Qwilr Quote],MATCH(E511&amp;"",tbl_Onsite[Job Number],0)),""),IF(H511="Production",IFERROR(INDEX(tbl_Production[Current RMS No],MATCH(E511&amp;"",tbl_Production[Job Number],0)),""),IF(H511="Consulting",IFERROR(INDEX(tbl_Consulting[Qwilr Quote],MATCH(E511&amp;"",tbl_Consulting[Job Number],0)),""),""))))</f>
        <v/>
      </c>
      <c r="AC511" s="25">
        <f>IF(AB511="","",IF(AND(LEFT(AB511,4)&lt;&gt;"http",IF(H511="Production",set_RMSBase,set_QwilrBase)=""),"",HYPERLINK(IF(LEFT(AB511,4)="http",AB511,IF(H511="Production",set_RMSBase,set_QwilrBase)&amp;AB511),"Open")))</f>
        <v/>
      </c>
      <c r="AD511" s="27">
        <f>IF(E511="","",IF(H511="Production",IFERROR(INDEX(tbl_Production[Total Expense],MATCH(E511&amp;"",tbl_Production[Job Number],0)),0),IF(H511="Consulting",IFERROR(INDEX(tbl_Consulting[Total Expense],MATCH(E511&amp;"",tbl_Consulting[Job Number],0)),0),0)))</f>
        <v/>
      </c>
      <c r="AE511" s="27">
        <f>IF(E511="","",Y511-N(AD511))</f>
        <v/>
      </c>
      <c r="AF511" s="29">
        <f>IFERROR(AE511/Y511,"")</f>
        <v/>
      </c>
      <c r="AG511" s="25">
        <f>IF(E511="","",IF(H511="Onsite",IFERROR(INDEX(tbl_Onsite[Notes],MATCH(E511&amp;"",tbl_Onsite[Job Number],0)),""),IF(H511="Production",IFERROR(INDEX(tbl_Production[Notes],MATCH(E511&amp;"",tbl_Production[Job Number],0)),""),IF(H511="Consulting",IFERROR(INDEX(tbl_Consulting[Notes],MATCH(E511&amp;"",tbl_Consulting[Job Number],0)),""),""))))</f>
        <v/>
      </c>
    </row>
    <row r="512" ht="15" customHeight="1">
      <c r="A512" s="22" t="n"/>
      <c r="B512" s="23">
        <f>IF(A512="","",EOMONTH(A512,0))</f>
        <v/>
      </c>
      <c r="C512" s="24" t="n"/>
      <c r="D512" s="24" t="n"/>
      <c r="E512" s="24" t="n"/>
      <c r="F512" s="25">
        <f>IF(E512="","",IF(COUNTIF(lst_Jobs,E512&amp;"")&gt;0,"OK","CHECK"))</f>
        <v/>
      </c>
      <c r="G512" s="24" t="n"/>
      <c r="H512" s="24" t="n"/>
      <c r="I512" s="24" t="n"/>
      <c r="J512" s="24" t="n"/>
      <c r="K512" s="24" t="n"/>
      <c r="L512" s="26" t="n"/>
      <c r="M512" s="27">
        <f>IF(L512="","",IF(K512="GST 10%",ROUND(L512*set_GSTRate,2),0))</f>
        <v/>
      </c>
      <c r="N512" s="27">
        <f>IF(L512="","",L512+M512)</f>
        <v/>
      </c>
      <c r="O512" s="24" t="n"/>
      <c r="P512" s="24" t="n"/>
      <c r="Q512" s="24" t="n"/>
      <c r="R512" s="22" t="n"/>
      <c r="S512" s="22" t="n"/>
      <c r="T512" s="24" t="n"/>
      <c r="U512" s="24" t="n"/>
      <c r="V512" s="25">
        <f>IF(COUNTA(A512,D512,C512,L512)=0,"",IF(A512="","No date - sits outside every month",IF(E512="","No job number",IF(F512="CHECK","Job number is not in the Xero job list",IF(I512="","No cost centre",IF(AND(P512="Y",C512=""),"Marked posted to Xero but has no invoice number",IF(AND(L512&lt;&gt;"",K512=""),"No tax code",IF(AND(L512&lt;&gt;"",O512=""),"No revenue GL code",""))))))))</f>
        <v/>
      </c>
      <c r="W512" s="25">
        <f>IF(E512="","",IFERROR(INDEX(lst_JobName,MATCH(E512&amp;"",lst_Jobs,0)),""))</f>
        <v/>
      </c>
      <c r="X512" s="28">
        <f>IF(E512="","",COUNTIFS(tbl_Finance[Job Number],E512&amp;"",tbl_Finance[Ex GST],"&lt;&gt;"))</f>
        <v/>
      </c>
      <c r="Y512" s="27">
        <f>IF(E512="","",SUMIFS(tbl_Finance[Ex GST],tbl_Finance[Job Number],E512&amp;""))</f>
        <v/>
      </c>
      <c r="Z512" s="27">
        <f>IF(E512="","",SUMIFS(tbl_Finance[Ex GST],tbl_Finance[Job Number],E512&amp;"",tbl_Finance[Xero Invoice No],"&lt;&gt;"))</f>
        <v/>
      </c>
      <c r="AA512" s="27">
        <f>IF(E512="","",Y512-Z512)</f>
        <v/>
      </c>
      <c r="AB512" s="25">
        <f>IF(E512="","",IF(H512="Onsite",IFERROR(INDEX(tbl_Onsite[Qwilr Quote],MATCH(E512&amp;"",tbl_Onsite[Job Number],0)),""),IF(H512="Production",IFERROR(INDEX(tbl_Production[Current RMS No],MATCH(E512&amp;"",tbl_Production[Job Number],0)),""),IF(H512="Consulting",IFERROR(INDEX(tbl_Consulting[Qwilr Quote],MATCH(E512&amp;"",tbl_Consulting[Job Number],0)),""),""))))</f>
        <v/>
      </c>
      <c r="AC512" s="25">
        <f>IF(AB512="","",IF(AND(LEFT(AB512,4)&lt;&gt;"http",IF(H512="Production",set_RMSBase,set_QwilrBase)=""),"",HYPERLINK(IF(LEFT(AB512,4)="http",AB512,IF(H512="Production",set_RMSBase,set_QwilrBase)&amp;AB512),"Open")))</f>
        <v/>
      </c>
      <c r="AD512" s="27">
        <f>IF(E512="","",IF(H512="Production",IFERROR(INDEX(tbl_Production[Total Expense],MATCH(E512&amp;"",tbl_Production[Job Number],0)),0),IF(H512="Consulting",IFERROR(INDEX(tbl_Consulting[Total Expense],MATCH(E512&amp;"",tbl_Consulting[Job Number],0)),0),0)))</f>
        <v/>
      </c>
      <c r="AE512" s="27">
        <f>IF(E512="","",Y512-N(AD512))</f>
        <v/>
      </c>
      <c r="AF512" s="29">
        <f>IFERROR(AE512/Y512,"")</f>
        <v/>
      </c>
      <c r="AG512" s="25">
        <f>IF(E512="","",IF(H512="Onsite",IFERROR(INDEX(tbl_Onsite[Notes],MATCH(E512&amp;"",tbl_Onsite[Job Number],0)),""),IF(H512="Production",IFERROR(INDEX(tbl_Production[Notes],MATCH(E512&amp;"",tbl_Production[Job Number],0)),""),IF(H512="Consulting",IFERROR(INDEX(tbl_Consulting[Notes],MATCH(E512&amp;"",tbl_Consulting[Job Number],0)),""),""))))</f>
        <v/>
      </c>
    </row>
    <row r="513" ht="15" customHeight="1">
      <c r="A513" s="22" t="n"/>
      <c r="B513" s="23">
        <f>IF(A513="","",EOMONTH(A513,0))</f>
        <v/>
      </c>
      <c r="C513" s="24" t="n"/>
      <c r="D513" s="24" t="n"/>
      <c r="E513" s="24" t="n"/>
      <c r="F513" s="25">
        <f>IF(E513="","",IF(COUNTIF(lst_Jobs,E513&amp;"")&gt;0,"OK","CHECK"))</f>
        <v/>
      </c>
      <c r="G513" s="24" t="n"/>
      <c r="H513" s="24" t="n"/>
      <c r="I513" s="24" t="n"/>
      <c r="J513" s="24" t="n"/>
      <c r="K513" s="24" t="n"/>
      <c r="L513" s="26" t="n"/>
      <c r="M513" s="27">
        <f>IF(L513="","",IF(K513="GST 10%",ROUND(L513*set_GSTRate,2),0))</f>
        <v/>
      </c>
      <c r="N513" s="27">
        <f>IF(L513="","",L513+M513)</f>
        <v/>
      </c>
      <c r="O513" s="24" t="n"/>
      <c r="P513" s="24" t="n"/>
      <c r="Q513" s="24" t="n"/>
      <c r="R513" s="22" t="n"/>
      <c r="S513" s="22" t="n"/>
      <c r="T513" s="24" t="n"/>
      <c r="U513" s="24" t="n"/>
      <c r="V513" s="25">
        <f>IF(COUNTA(A513,D513,C513,L513)=0,"",IF(A513="","No date - sits outside every month",IF(E513="","No job number",IF(F513="CHECK","Job number is not in the Xero job list",IF(I513="","No cost centre",IF(AND(P513="Y",C513=""),"Marked posted to Xero but has no invoice number",IF(AND(L513&lt;&gt;"",K513=""),"No tax code",IF(AND(L513&lt;&gt;"",O513=""),"No revenue GL code",""))))))))</f>
        <v/>
      </c>
      <c r="W513" s="25">
        <f>IF(E513="","",IFERROR(INDEX(lst_JobName,MATCH(E513&amp;"",lst_Jobs,0)),""))</f>
        <v/>
      </c>
      <c r="X513" s="28">
        <f>IF(E513="","",COUNTIFS(tbl_Finance[Job Number],E513&amp;"",tbl_Finance[Ex GST],"&lt;&gt;"))</f>
        <v/>
      </c>
      <c r="Y513" s="27">
        <f>IF(E513="","",SUMIFS(tbl_Finance[Ex GST],tbl_Finance[Job Number],E513&amp;""))</f>
        <v/>
      </c>
      <c r="Z513" s="27">
        <f>IF(E513="","",SUMIFS(tbl_Finance[Ex GST],tbl_Finance[Job Number],E513&amp;"",tbl_Finance[Xero Invoice No],"&lt;&gt;"))</f>
        <v/>
      </c>
      <c r="AA513" s="27">
        <f>IF(E513="","",Y513-Z513)</f>
        <v/>
      </c>
      <c r="AB513" s="25">
        <f>IF(E513="","",IF(H513="Onsite",IFERROR(INDEX(tbl_Onsite[Qwilr Quote],MATCH(E513&amp;"",tbl_Onsite[Job Number],0)),""),IF(H513="Production",IFERROR(INDEX(tbl_Production[Current RMS No],MATCH(E513&amp;"",tbl_Production[Job Number],0)),""),IF(H513="Consulting",IFERROR(INDEX(tbl_Consulting[Qwilr Quote],MATCH(E513&amp;"",tbl_Consulting[Job Number],0)),""),""))))</f>
        <v/>
      </c>
      <c r="AC513" s="25">
        <f>IF(AB513="","",IF(AND(LEFT(AB513,4)&lt;&gt;"http",IF(H513="Production",set_RMSBase,set_QwilrBase)=""),"",HYPERLINK(IF(LEFT(AB513,4)="http",AB513,IF(H513="Production",set_RMSBase,set_QwilrBase)&amp;AB513),"Open")))</f>
        <v/>
      </c>
      <c r="AD513" s="27">
        <f>IF(E513="","",IF(H513="Production",IFERROR(INDEX(tbl_Production[Total Expense],MATCH(E513&amp;"",tbl_Production[Job Number],0)),0),IF(H513="Consulting",IFERROR(INDEX(tbl_Consulting[Total Expense],MATCH(E513&amp;"",tbl_Consulting[Job Number],0)),0),0)))</f>
        <v/>
      </c>
      <c r="AE513" s="27">
        <f>IF(E513="","",Y513-N(AD513))</f>
        <v/>
      </c>
      <c r="AF513" s="29">
        <f>IFERROR(AE513/Y513,"")</f>
        <v/>
      </c>
      <c r="AG513" s="25">
        <f>IF(E513="","",IF(H513="Onsite",IFERROR(INDEX(tbl_Onsite[Notes],MATCH(E513&amp;"",tbl_Onsite[Job Number],0)),""),IF(H513="Production",IFERROR(INDEX(tbl_Production[Notes],MATCH(E513&amp;"",tbl_Production[Job Number],0)),""),IF(H513="Consulting",IFERROR(INDEX(tbl_Consulting[Notes],MATCH(E513&amp;"",tbl_Consulting[Job Number],0)),""),""))))</f>
        <v/>
      </c>
    </row>
    <row r="514" ht="15" customHeight="1">
      <c r="A514" s="22" t="n"/>
      <c r="B514" s="23">
        <f>IF(A514="","",EOMONTH(A514,0))</f>
        <v/>
      </c>
      <c r="C514" s="24" t="n"/>
      <c r="D514" s="24" t="n"/>
      <c r="E514" s="24" t="n"/>
      <c r="F514" s="25">
        <f>IF(E514="","",IF(COUNTIF(lst_Jobs,E514&amp;"")&gt;0,"OK","CHECK"))</f>
        <v/>
      </c>
      <c r="G514" s="24" t="n"/>
      <c r="H514" s="24" t="n"/>
      <c r="I514" s="24" t="n"/>
      <c r="J514" s="24" t="n"/>
      <c r="K514" s="24" t="n"/>
      <c r="L514" s="26" t="n"/>
      <c r="M514" s="27">
        <f>IF(L514="","",IF(K514="GST 10%",ROUND(L514*set_GSTRate,2),0))</f>
        <v/>
      </c>
      <c r="N514" s="27">
        <f>IF(L514="","",L514+M514)</f>
        <v/>
      </c>
      <c r="O514" s="24" t="n"/>
      <c r="P514" s="24" t="n"/>
      <c r="Q514" s="24" t="n"/>
      <c r="R514" s="22" t="n"/>
      <c r="S514" s="22" t="n"/>
      <c r="T514" s="24" t="n"/>
      <c r="U514" s="24" t="n"/>
      <c r="V514" s="25">
        <f>IF(COUNTA(A514,D514,C514,L514)=0,"",IF(A514="","No date - sits outside every month",IF(E514="","No job number",IF(F514="CHECK","Job number is not in the Xero job list",IF(I514="","No cost centre",IF(AND(P514="Y",C514=""),"Marked posted to Xero but has no invoice number",IF(AND(L514&lt;&gt;"",K514=""),"No tax code",IF(AND(L514&lt;&gt;"",O514=""),"No revenue GL code",""))))))))</f>
        <v/>
      </c>
      <c r="W514" s="25">
        <f>IF(E514="","",IFERROR(INDEX(lst_JobName,MATCH(E514&amp;"",lst_Jobs,0)),""))</f>
        <v/>
      </c>
      <c r="X514" s="28">
        <f>IF(E514="","",COUNTIFS(tbl_Finance[Job Number],E514&amp;"",tbl_Finance[Ex GST],"&lt;&gt;"))</f>
        <v/>
      </c>
      <c r="Y514" s="27">
        <f>IF(E514="","",SUMIFS(tbl_Finance[Ex GST],tbl_Finance[Job Number],E514&amp;""))</f>
        <v/>
      </c>
      <c r="Z514" s="27">
        <f>IF(E514="","",SUMIFS(tbl_Finance[Ex GST],tbl_Finance[Job Number],E514&amp;"",tbl_Finance[Xero Invoice No],"&lt;&gt;"))</f>
        <v/>
      </c>
      <c r="AA514" s="27">
        <f>IF(E514="","",Y514-Z514)</f>
        <v/>
      </c>
      <c r="AB514" s="25">
        <f>IF(E514="","",IF(H514="Onsite",IFERROR(INDEX(tbl_Onsite[Qwilr Quote],MATCH(E514&amp;"",tbl_Onsite[Job Number],0)),""),IF(H514="Production",IFERROR(INDEX(tbl_Production[Current RMS No],MATCH(E514&amp;"",tbl_Production[Job Number],0)),""),IF(H514="Consulting",IFERROR(INDEX(tbl_Consulting[Qwilr Quote],MATCH(E514&amp;"",tbl_Consulting[Job Number],0)),""),""))))</f>
        <v/>
      </c>
      <c r="AC514" s="25">
        <f>IF(AB514="","",IF(AND(LEFT(AB514,4)&lt;&gt;"http",IF(H514="Production",set_RMSBase,set_QwilrBase)=""),"",HYPERLINK(IF(LEFT(AB514,4)="http",AB514,IF(H514="Production",set_RMSBase,set_QwilrBase)&amp;AB514),"Open")))</f>
        <v/>
      </c>
      <c r="AD514" s="27">
        <f>IF(E514="","",IF(H514="Production",IFERROR(INDEX(tbl_Production[Total Expense],MATCH(E514&amp;"",tbl_Production[Job Number],0)),0),IF(H514="Consulting",IFERROR(INDEX(tbl_Consulting[Total Expense],MATCH(E514&amp;"",tbl_Consulting[Job Number],0)),0),0)))</f>
        <v/>
      </c>
      <c r="AE514" s="27">
        <f>IF(E514="","",Y514-N(AD514))</f>
        <v/>
      </c>
      <c r="AF514" s="29">
        <f>IFERROR(AE514/Y514,"")</f>
        <v/>
      </c>
      <c r="AG514" s="25">
        <f>IF(E514="","",IF(H514="Onsite",IFERROR(INDEX(tbl_Onsite[Notes],MATCH(E514&amp;"",tbl_Onsite[Job Number],0)),""),IF(H514="Production",IFERROR(INDEX(tbl_Production[Notes],MATCH(E514&amp;"",tbl_Production[Job Number],0)),""),IF(H514="Consulting",IFERROR(INDEX(tbl_Consulting[Notes],MATCH(E514&amp;"",tbl_Consulting[Job Number],0)),""),""))))</f>
        <v/>
      </c>
    </row>
    <row r="515" ht="15" customHeight="1">
      <c r="A515" s="22" t="n"/>
      <c r="B515" s="23">
        <f>IF(A515="","",EOMONTH(A515,0))</f>
        <v/>
      </c>
      <c r="C515" s="24" t="n"/>
      <c r="D515" s="24" t="n"/>
      <c r="E515" s="24" t="n"/>
      <c r="F515" s="25">
        <f>IF(E515="","",IF(COUNTIF(lst_Jobs,E515&amp;"")&gt;0,"OK","CHECK"))</f>
        <v/>
      </c>
      <c r="G515" s="24" t="n"/>
      <c r="H515" s="24" t="n"/>
      <c r="I515" s="24" t="n"/>
      <c r="J515" s="24" t="n"/>
      <c r="K515" s="24" t="n"/>
      <c r="L515" s="26" t="n"/>
      <c r="M515" s="27">
        <f>IF(L515="","",IF(K515="GST 10%",ROUND(L515*set_GSTRate,2),0))</f>
        <v/>
      </c>
      <c r="N515" s="27">
        <f>IF(L515="","",L515+M515)</f>
        <v/>
      </c>
      <c r="O515" s="24" t="n"/>
      <c r="P515" s="24" t="n"/>
      <c r="Q515" s="24" t="n"/>
      <c r="R515" s="22" t="n"/>
      <c r="S515" s="22" t="n"/>
      <c r="T515" s="24" t="n"/>
      <c r="U515" s="24" t="n"/>
      <c r="V515" s="25">
        <f>IF(COUNTA(A515,D515,C515,L515)=0,"",IF(A515="","No date - sits outside every month",IF(E515="","No job number",IF(F515="CHECK","Job number is not in the Xero job list",IF(I515="","No cost centre",IF(AND(P515="Y",C515=""),"Marked posted to Xero but has no invoice number",IF(AND(L515&lt;&gt;"",K515=""),"No tax code",IF(AND(L515&lt;&gt;"",O515=""),"No revenue GL code",""))))))))</f>
        <v/>
      </c>
      <c r="W515" s="25">
        <f>IF(E515="","",IFERROR(INDEX(lst_JobName,MATCH(E515&amp;"",lst_Jobs,0)),""))</f>
        <v/>
      </c>
      <c r="X515" s="28">
        <f>IF(E515="","",COUNTIFS(tbl_Finance[Job Number],E515&amp;"",tbl_Finance[Ex GST],"&lt;&gt;"))</f>
        <v/>
      </c>
      <c r="Y515" s="27">
        <f>IF(E515="","",SUMIFS(tbl_Finance[Ex GST],tbl_Finance[Job Number],E515&amp;""))</f>
        <v/>
      </c>
      <c r="Z515" s="27">
        <f>IF(E515="","",SUMIFS(tbl_Finance[Ex GST],tbl_Finance[Job Number],E515&amp;"",tbl_Finance[Xero Invoice No],"&lt;&gt;"))</f>
        <v/>
      </c>
      <c r="AA515" s="27">
        <f>IF(E515="","",Y515-Z515)</f>
        <v/>
      </c>
      <c r="AB515" s="25">
        <f>IF(E515="","",IF(H515="Onsite",IFERROR(INDEX(tbl_Onsite[Qwilr Quote],MATCH(E515&amp;"",tbl_Onsite[Job Number],0)),""),IF(H515="Production",IFERROR(INDEX(tbl_Production[Current RMS No],MATCH(E515&amp;"",tbl_Production[Job Number],0)),""),IF(H515="Consulting",IFERROR(INDEX(tbl_Consulting[Qwilr Quote],MATCH(E515&amp;"",tbl_Consulting[Job Number],0)),""),""))))</f>
        <v/>
      </c>
      <c r="AC515" s="25">
        <f>IF(AB515="","",IF(AND(LEFT(AB515,4)&lt;&gt;"http",IF(H515="Production",set_RMSBase,set_QwilrBase)=""),"",HYPERLINK(IF(LEFT(AB515,4)="http",AB515,IF(H515="Production",set_RMSBase,set_QwilrBase)&amp;AB515),"Open")))</f>
        <v/>
      </c>
      <c r="AD515" s="27">
        <f>IF(E515="","",IF(H515="Production",IFERROR(INDEX(tbl_Production[Total Expense],MATCH(E515&amp;"",tbl_Production[Job Number],0)),0),IF(H515="Consulting",IFERROR(INDEX(tbl_Consulting[Total Expense],MATCH(E515&amp;"",tbl_Consulting[Job Number],0)),0),0)))</f>
        <v/>
      </c>
      <c r="AE515" s="27">
        <f>IF(E515="","",Y515-N(AD515))</f>
        <v/>
      </c>
      <c r="AF515" s="29">
        <f>IFERROR(AE515/Y515,"")</f>
        <v/>
      </c>
      <c r="AG515" s="25">
        <f>IF(E515="","",IF(H515="Onsite",IFERROR(INDEX(tbl_Onsite[Notes],MATCH(E515&amp;"",tbl_Onsite[Job Number],0)),""),IF(H515="Production",IFERROR(INDEX(tbl_Production[Notes],MATCH(E515&amp;"",tbl_Production[Job Number],0)),""),IF(H515="Consulting",IFERROR(INDEX(tbl_Consulting[Notes],MATCH(E515&amp;"",tbl_Consulting[Job Number],0)),""),""))))</f>
        <v/>
      </c>
    </row>
    <row r="516" ht="15" customHeight="1">
      <c r="A516" s="22" t="n"/>
      <c r="B516" s="23">
        <f>IF(A516="","",EOMONTH(A516,0))</f>
        <v/>
      </c>
      <c r="C516" s="24" t="n"/>
      <c r="D516" s="24" t="n"/>
      <c r="E516" s="24" t="n"/>
      <c r="F516" s="25">
        <f>IF(E516="","",IF(COUNTIF(lst_Jobs,E516&amp;"")&gt;0,"OK","CHECK"))</f>
        <v/>
      </c>
      <c r="G516" s="24" t="n"/>
      <c r="H516" s="24" t="n"/>
      <c r="I516" s="24" t="n"/>
      <c r="J516" s="24" t="n"/>
      <c r="K516" s="24" t="n"/>
      <c r="L516" s="26" t="n"/>
      <c r="M516" s="27">
        <f>IF(L516="","",IF(K516="GST 10%",ROUND(L516*set_GSTRate,2),0))</f>
        <v/>
      </c>
      <c r="N516" s="27">
        <f>IF(L516="","",L516+M516)</f>
        <v/>
      </c>
      <c r="O516" s="24" t="n"/>
      <c r="P516" s="24" t="n"/>
      <c r="Q516" s="24" t="n"/>
      <c r="R516" s="22" t="n"/>
      <c r="S516" s="22" t="n"/>
      <c r="T516" s="24" t="n"/>
      <c r="U516" s="24" t="n"/>
      <c r="V516" s="25">
        <f>IF(COUNTA(A516,D516,C516,L516)=0,"",IF(A516="","No date - sits outside every month",IF(E516="","No job number",IF(F516="CHECK","Job number is not in the Xero job list",IF(I516="","No cost centre",IF(AND(P516="Y",C516=""),"Marked posted to Xero but has no invoice number",IF(AND(L516&lt;&gt;"",K516=""),"No tax code",IF(AND(L516&lt;&gt;"",O516=""),"No revenue GL code",""))))))))</f>
        <v/>
      </c>
      <c r="W516" s="25">
        <f>IF(E516="","",IFERROR(INDEX(lst_JobName,MATCH(E516&amp;"",lst_Jobs,0)),""))</f>
        <v/>
      </c>
      <c r="X516" s="28">
        <f>IF(E516="","",COUNTIFS(tbl_Finance[Job Number],E516&amp;"",tbl_Finance[Ex GST],"&lt;&gt;"))</f>
        <v/>
      </c>
      <c r="Y516" s="27">
        <f>IF(E516="","",SUMIFS(tbl_Finance[Ex GST],tbl_Finance[Job Number],E516&amp;""))</f>
        <v/>
      </c>
      <c r="Z516" s="27">
        <f>IF(E516="","",SUMIFS(tbl_Finance[Ex GST],tbl_Finance[Job Number],E516&amp;"",tbl_Finance[Xero Invoice No],"&lt;&gt;"))</f>
        <v/>
      </c>
      <c r="AA516" s="27">
        <f>IF(E516="","",Y516-Z516)</f>
        <v/>
      </c>
      <c r="AB516" s="25">
        <f>IF(E516="","",IF(H516="Onsite",IFERROR(INDEX(tbl_Onsite[Qwilr Quote],MATCH(E516&amp;"",tbl_Onsite[Job Number],0)),""),IF(H516="Production",IFERROR(INDEX(tbl_Production[Current RMS No],MATCH(E516&amp;"",tbl_Production[Job Number],0)),""),IF(H516="Consulting",IFERROR(INDEX(tbl_Consulting[Qwilr Quote],MATCH(E516&amp;"",tbl_Consulting[Job Number],0)),""),""))))</f>
        <v/>
      </c>
      <c r="AC516" s="25">
        <f>IF(AB516="","",IF(AND(LEFT(AB516,4)&lt;&gt;"http",IF(H516="Production",set_RMSBase,set_QwilrBase)=""),"",HYPERLINK(IF(LEFT(AB516,4)="http",AB516,IF(H516="Production",set_RMSBase,set_QwilrBase)&amp;AB516),"Open")))</f>
        <v/>
      </c>
      <c r="AD516" s="27">
        <f>IF(E516="","",IF(H516="Production",IFERROR(INDEX(tbl_Production[Total Expense],MATCH(E516&amp;"",tbl_Production[Job Number],0)),0),IF(H516="Consulting",IFERROR(INDEX(tbl_Consulting[Total Expense],MATCH(E516&amp;"",tbl_Consulting[Job Number],0)),0),0)))</f>
        <v/>
      </c>
      <c r="AE516" s="27">
        <f>IF(E516="","",Y516-N(AD516))</f>
        <v/>
      </c>
      <c r="AF516" s="29">
        <f>IFERROR(AE516/Y516,"")</f>
        <v/>
      </c>
      <c r="AG516" s="25">
        <f>IF(E516="","",IF(H516="Onsite",IFERROR(INDEX(tbl_Onsite[Notes],MATCH(E516&amp;"",tbl_Onsite[Job Number],0)),""),IF(H516="Production",IFERROR(INDEX(tbl_Production[Notes],MATCH(E516&amp;"",tbl_Production[Job Number],0)),""),IF(H516="Consulting",IFERROR(INDEX(tbl_Consulting[Notes],MATCH(E516&amp;"",tbl_Consulting[Job Number],0)),""),""))))</f>
        <v/>
      </c>
    </row>
    <row r="517" ht="15" customHeight="1">
      <c r="A517" s="22" t="n"/>
      <c r="B517" s="23">
        <f>IF(A517="","",EOMONTH(A517,0))</f>
        <v/>
      </c>
      <c r="C517" s="24" t="n"/>
      <c r="D517" s="24" t="n"/>
      <c r="E517" s="24" t="n"/>
      <c r="F517" s="25">
        <f>IF(E517="","",IF(COUNTIF(lst_Jobs,E517&amp;"")&gt;0,"OK","CHECK"))</f>
        <v/>
      </c>
      <c r="G517" s="24" t="n"/>
      <c r="H517" s="24" t="n"/>
      <c r="I517" s="24" t="n"/>
      <c r="J517" s="24" t="n"/>
      <c r="K517" s="24" t="n"/>
      <c r="L517" s="26" t="n"/>
      <c r="M517" s="27">
        <f>IF(L517="","",IF(K517="GST 10%",ROUND(L517*set_GSTRate,2),0))</f>
        <v/>
      </c>
      <c r="N517" s="27">
        <f>IF(L517="","",L517+M517)</f>
        <v/>
      </c>
      <c r="O517" s="24" t="n"/>
      <c r="P517" s="24" t="n"/>
      <c r="Q517" s="24" t="n"/>
      <c r="R517" s="22" t="n"/>
      <c r="S517" s="22" t="n"/>
      <c r="T517" s="24" t="n"/>
      <c r="U517" s="24" t="n"/>
      <c r="V517" s="25">
        <f>IF(COUNTA(A517,D517,C517,L517)=0,"",IF(A517="","No date - sits outside every month",IF(E517="","No job number",IF(F517="CHECK","Job number is not in the Xero job list",IF(I517="","No cost centre",IF(AND(P517="Y",C517=""),"Marked posted to Xero but has no invoice number",IF(AND(L517&lt;&gt;"",K517=""),"No tax code",IF(AND(L517&lt;&gt;"",O517=""),"No revenue GL code",""))))))))</f>
        <v/>
      </c>
      <c r="W517" s="25">
        <f>IF(E517="","",IFERROR(INDEX(lst_JobName,MATCH(E517&amp;"",lst_Jobs,0)),""))</f>
        <v/>
      </c>
      <c r="X517" s="28">
        <f>IF(E517="","",COUNTIFS(tbl_Finance[Job Number],E517&amp;"",tbl_Finance[Ex GST],"&lt;&gt;"))</f>
        <v/>
      </c>
      <c r="Y517" s="27">
        <f>IF(E517="","",SUMIFS(tbl_Finance[Ex GST],tbl_Finance[Job Number],E517&amp;""))</f>
        <v/>
      </c>
      <c r="Z517" s="27">
        <f>IF(E517="","",SUMIFS(tbl_Finance[Ex GST],tbl_Finance[Job Number],E517&amp;"",tbl_Finance[Xero Invoice No],"&lt;&gt;"))</f>
        <v/>
      </c>
      <c r="AA517" s="27">
        <f>IF(E517="","",Y517-Z517)</f>
        <v/>
      </c>
      <c r="AB517" s="25">
        <f>IF(E517="","",IF(H517="Onsite",IFERROR(INDEX(tbl_Onsite[Qwilr Quote],MATCH(E517&amp;"",tbl_Onsite[Job Number],0)),""),IF(H517="Production",IFERROR(INDEX(tbl_Production[Current RMS No],MATCH(E517&amp;"",tbl_Production[Job Number],0)),""),IF(H517="Consulting",IFERROR(INDEX(tbl_Consulting[Qwilr Quote],MATCH(E517&amp;"",tbl_Consulting[Job Number],0)),""),""))))</f>
        <v/>
      </c>
      <c r="AC517" s="25">
        <f>IF(AB517="","",IF(AND(LEFT(AB517,4)&lt;&gt;"http",IF(H517="Production",set_RMSBase,set_QwilrBase)=""),"",HYPERLINK(IF(LEFT(AB517,4)="http",AB517,IF(H517="Production",set_RMSBase,set_QwilrBase)&amp;AB517),"Open")))</f>
        <v/>
      </c>
      <c r="AD517" s="27">
        <f>IF(E517="","",IF(H517="Production",IFERROR(INDEX(tbl_Production[Total Expense],MATCH(E517&amp;"",tbl_Production[Job Number],0)),0),IF(H517="Consulting",IFERROR(INDEX(tbl_Consulting[Total Expense],MATCH(E517&amp;"",tbl_Consulting[Job Number],0)),0),0)))</f>
        <v/>
      </c>
      <c r="AE517" s="27">
        <f>IF(E517="","",Y517-N(AD517))</f>
        <v/>
      </c>
      <c r="AF517" s="29">
        <f>IFERROR(AE517/Y517,"")</f>
        <v/>
      </c>
      <c r="AG517" s="25">
        <f>IF(E517="","",IF(H517="Onsite",IFERROR(INDEX(tbl_Onsite[Notes],MATCH(E517&amp;"",tbl_Onsite[Job Number],0)),""),IF(H517="Production",IFERROR(INDEX(tbl_Production[Notes],MATCH(E517&amp;"",tbl_Production[Job Number],0)),""),IF(H517="Consulting",IFERROR(INDEX(tbl_Consulting[Notes],MATCH(E517&amp;"",tbl_Consulting[Job Number],0)),""),""))))</f>
        <v/>
      </c>
    </row>
    <row r="518" ht="15" customHeight="1">
      <c r="A518" s="22" t="n"/>
      <c r="B518" s="23">
        <f>IF(A518="","",EOMONTH(A518,0))</f>
        <v/>
      </c>
      <c r="C518" s="24" t="n"/>
      <c r="D518" s="24" t="n"/>
      <c r="E518" s="24" t="n"/>
      <c r="F518" s="25">
        <f>IF(E518="","",IF(COUNTIF(lst_Jobs,E518&amp;"")&gt;0,"OK","CHECK"))</f>
        <v/>
      </c>
      <c r="G518" s="24" t="n"/>
      <c r="H518" s="24" t="n"/>
      <c r="I518" s="24" t="n"/>
      <c r="J518" s="24" t="n"/>
      <c r="K518" s="24" t="n"/>
      <c r="L518" s="26" t="n"/>
      <c r="M518" s="27">
        <f>IF(L518="","",IF(K518="GST 10%",ROUND(L518*set_GSTRate,2),0))</f>
        <v/>
      </c>
      <c r="N518" s="27">
        <f>IF(L518="","",L518+M518)</f>
        <v/>
      </c>
      <c r="O518" s="24" t="n"/>
      <c r="P518" s="24" t="n"/>
      <c r="Q518" s="24" t="n"/>
      <c r="R518" s="22" t="n"/>
      <c r="S518" s="22" t="n"/>
      <c r="T518" s="24" t="n"/>
      <c r="U518" s="24" t="n"/>
      <c r="V518" s="25">
        <f>IF(COUNTA(A518,D518,C518,L518)=0,"",IF(A518="","No date - sits outside every month",IF(E518="","No job number",IF(F518="CHECK","Job number is not in the Xero job list",IF(I518="","No cost centre",IF(AND(P518="Y",C518=""),"Marked posted to Xero but has no invoice number",IF(AND(L518&lt;&gt;"",K518=""),"No tax code",IF(AND(L518&lt;&gt;"",O518=""),"No revenue GL code",""))))))))</f>
        <v/>
      </c>
      <c r="W518" s="25">
        <f>IF(E518="","",IFERROR(INDEX(lst_JobName,MATCH(E518&amp;"",lst_Jobs,0)),""))</f>
        <v/>
      </c>
      <c r="X518" s="28">
        <f>IF(E518="","",COUNTIFS(tbl_Finance[Job Number],E518&amp;"",tbl_Finance[Ex GST],"&lt;&gt;"))</f>
        <v/>
      </c>
      <c r="Y518" s="27">
        <f>IF(E518="","",SUMIFS(tbl_Finance[Ex GST],tbl_Finance[Job Number],E518&amp;""))</f>
        <v/>
      </c>
      <c r="Z518" s="27">
        <f>IF(E518="","",SUMIFS(tbl_Finance[Ex GST],tbl_Finance[Job Number],E518&amp;"",tbl_Finance[Xero Invoice No],"&lt;&gt;"))</f>
        <v/>
      </c>
      <c r="AA518" s="27">
        <f>IF(E518="","",Y518-Z518)</f>
        <v/>
      </c>
      <c r="AB518" s="25">
        <f>IF(E518="","",IF(H518="Onsite",IFERROR(INDEX(tbl_Onsite[Qwilr Quote],MATCH(E518&amp;"",tbl_Onsite[Job Number],0)),""),IF(H518="Production",IFERROR(INDEX(tbl_Production[Current RMS No],MATCH(E518&amp;"",tbl_Production[Job Number],0)),""),IF(H518="Consulting",IFERROR(INDEX(tbl_Consulting[Qwilr Quote],MATCH(E518&amp;"",tbl_Consulting[Job Number],0)),""),""))))</f>
        <v/>
      </c>
      <c r="AC518" s="25">
        <f>IF(AB518="","",IF(AND(LEFT(AB518,4)&lt;&gt;"http",IF(H518="Production",set_RMSBase,set_QwilrBase)=""),"",HYPERLINK(IF(LEFT(AB518,4)="http",AB518,IF(H518="Production",set_RMSBase,set_QwilrBase)&amp;AB518),"Open")))</f>
        <v/>
      </c>
      <c r="AD518" s="27">
        <f>IF(E518="","",IF(H518="Production",IFERROR(INDEX(tbl_Production[Total Expense],MATCH(E518&amp;"",tbl_Production[Job Number],0)),0),IF(H518="Consulting",IFERROR(INDEX(tbl_Consulting[Total Expense],MATCH(E518&amp;"",tbl_Consulting[Job Number],0)),0),0)))</f>
        <v/>
      </c>
      <c r="AE518" s="27">
        <f>IF(E518="","",Y518-N(AD518))</f>
        <v/>
      </c>
      <c r="AF518" s="29">
        <f>IFERROR(AE518/Y518,"")</f>
        <v/>
      </c>
      <c r="AG518" s="25">
        <f>IF(E518="","",IF(H518="Onsite",IFERROR(INDEX(tbl_Onsite[Notes],MATCH(E518&amp;"",tbl_Onsite[Job Number],0)),""),IF(H518="Production",IFERROR(INDEX(tbl_Production[Notes],MATCH(E518&amp;"",tbl_Production[Job Number],0)),""),IF(H518="Consulting",IFERROR(INDEX(tbl_Consulting[Notes],MATCH(E518&amp;"",tbl_Consulting[Job Number],0)),""),""))))</f>
        <v/>
      </c>
    </row>
    <row r="519" ht="15" customHeight="1">
      <c r="A519" s="22" t="n"/>
      <c r="B519" s="23">
        <f>IF(A519="","",EOMONTH(A519,0))</f>
        <v/>
      </c>
      <c r="C519" s="24" t="n"/>
      <c r="D519" s="24" t="n"/>
      <c r="E519" s="24" t="n"/>
      <c r="F519" s="25">
        <f>IF(E519="","",IF(COUNTIF(lst_Jobs,E519&amp;"")&gt;0,"OK","CHECK"))</f>
        <v/>
      </c>
      <c r="G519" s="24" t="n"/>
      <c r="H519" s="24" t="n"/>
      <c r="I519" s="24" t="n"/>
      <c r="J519" s="24" t="n"/>
      <c r="K519" s="24" t="n"/>
      <c r="L519" s="26" t="n"/>
      <c r="M519" s="27">
        <f>IF(L519="","",IF(K519="GST 10%",ROUND(L519*set_GSTRate,2),0))</f>
        <v/>
      </c>
      <c r="N519" s="27">
        <f>IF(L519="","",L519+M519)</f>
        <v/>
      </c>
      <c r="O519" s="24" t="n"/>
      <c r="P519" s="24" t="n"/>
      <c r="Q519" s="24" t="n"/>
      <c r="R519" s="22" t="n"/>
      <c r="S519" s="22" t="n"/>
      <c r="T519" s="24" t="n"/>
      <c r="U519" s="24" t="n"/>
      <c r="V519" s="25">
        <f>IF(COUNTA(A519,D519,C519,L519)=0,"",IF(A519="","No date - sits outside every month",IF(E519="","No job number",IF(F519="CHECK","Job number is not in the Xero job list",IF(I519="","No cost centre",IF(AND(P519="Y",C519=""),"Marked posted to Xero but has no invoice number",IF(AND(L519&lt;&gt;"",K519=""),"No tax code",IF(AND(L519&lt;&gt;"",O519=""),"No revenue GL code",""))))))))</f>
        <v/>
      </c>
      <c r="W519" s="25">
        <f>IF(E519="","",IFERROR(INDEX(lst_JobName,MATCH(E519&amp;"",lst_Jobs,0)),""))</f>
        <v/>
      </c>
      <c r="X519" s="28">
        <f>IF(E519="","",COUNTIFS(tbl_Finance[Job Number],E519&amp;"",tbl_Finance[Ex GST],"&lt;&gt;"))</f>
        <v/>
      </c>
      <c r="Y519" s="27">
        <f>IF(E519="","",SUMIFS(tbl_Finance[Ex GST],tbl_Finance[Job Number],E519&amp;""))</f>
        <v/>
      </c>
      <c r="Z519" s="27">
        <f>IF(E519="","",SUMIFS(tbl_Finance[Ex GST],tbl_Finance[Job Number],E519&amp;"",tbl_Finance[Xero Invoice No],"&lt;&gt;"))</f>
        <v/>
      </c>
      <c r="AA519" s="27">
        <f>IF(E519="","",Y519-Z519)</f>
        <v/>
      </c>
      <c r="AB519" s="25">
        <f>IF(E519="","",IF(H519="Onsite",IFERROR(INDEX(tbl_Onsite[Qwilr Quote],MATCH(E519&amp;"",tbl_Onsite[Job Number],0)),""),IF(H519="Production",IFERROR(INDEX(tbl_Production[Current RMS No],MATCH(E519&amp;"",tbl_Production[Job Number],0)),""),IF(H519="Consulting",IFERROR(INDEX(tbl_Consulting[Qwilr Quote],MATCH(E519&amp;"",tbl_Consulting[Job Number],0)),""),""))))</f>
        <v/>
      </c>
      <c r="AC519" s="25">
        <f>IF(AB519="","",IF(AND(LEFT(AB519,4)&lt;&gt;"http",IF(H519="Production",set_RMSBase,set_QwilrBase)=""),"",HYPERLINK(IF(LEFT(AB519,4)="http",AB519,IF(H519="Production",set_RMSBase,set_QwilrBase)&amp;AB519),"Open")))</f>
        <v/>
      </c>
      <c r="AD519" s="27">
        <f>IF(E519="","",IF(H519="Production",IFERROR(INDEX(tbl_Production[Total Expense],MATCH(E519&amp;"",tbl_Production[Job Number],0)),0),IF(H519="Consulting",IFERROR(INDEX(tbl_Consulting[Total Expense],MATCH(E519&amp;"",tbl_Consulting[Job Number],0)),0),0)))</f>
        <v/>
      </c>
      <c r="AE519" s="27">
        <f>IF(E519="","",Y519-N(AD519))</f>
        <v/>
      </c>
      <c r="AF519" s="29">
        <f>IFERROR(AE519/Y519,"")</f>
        <v/>
      </c>
      <c r="AG519" s="25">
        <f>IF(E519="","",IF(H519="Onsite",IFERROR(INDEX(tbl_Onsite[Notes],MATCH(E519&amp;"",tbl_Onsite[Job Number],0)),""),IF(H519="Production",IFERROR(INDEX(tbl_Production[Notes],MATCH(E519&amp;"",tbl_Production[Job Number],0)),""),IF(H519="Consulting",IFERROR(INDEX(tbl_Consulting[Notes],MATCH(E519&amp;"",tbl_Consulting[Job Number],0)),""),""))))</f>
        <v/>
      </c>
    </row>
    <row r="520" ht="15" customHeight="1">
      <c r="A520" s="22" t="n"/>
      <c r="B520" s="23">
        <f>IF(A520="","",EOMONTH(A520,0))</f>
        <v/>
      </c>
      <c r="C520" s="24" t="n"/>
      <c r="D520" s="24" t="n"/>
      <c r="E520" s="24" t="n"/>
      <c r="F520" s="25">
        <f>IF(E520="","",IF(COUNTIF(lst_Jobs,E520&amp;"")&gt;0,"OK","CHECK"))</f>
        <v/>
      </c>
      <c r="G520" s="24" t="n"/>
      <c r="H520" s="24" t="n"/>
      <c r="I520" s="24" t="n"/>
      <c r="J520" s="24" t="n"/>
      <c r="K520" s="24" t="n"/>
      <c r="L520" s="26" t="n"/>
      <c r="M520" s="27">
        <f>IF(L520="","",IF(K520="GST 10%",ROUND(L520*set_GSTRate,2),0))</f>
        <v/>
      </c>
      <c r="N520" s="27">
        <f>IF(L520="","",L520+M520)</f>
        <v/>
      </c>
      <c r="O520" s="24" t="n"/>
      <c r="P520" s="24" t="n"/>
      <c r="Q520" s="24" t="n"/>
      <c r="R520" s="22" t="n"/>
      <c r="S520" s="22" t="n"/>
      <c r="T520" s="24" t="n"/>
      <c r="U520" s="24" t="n"/>
      <c r="V520" s="25">
        <f>IF(COUNTA(A520,D520,C520,L520)=0,"",IF(A520="","No date - sits outside every month",IF(E520="","No job number",IF(F520="CHECK","Job number is not in the Xero job list",IF(I520="","No cost centre",IF(AND(P520="Y",C520=""),"Marked posted to Xero but has no invoice number",IF(AND(L520&lt;&gt;"",K520=""),"No tax code",IF(AND(L520&lt;&gt;"",O520=""),"No revenue GL code",""))))))))</f>
        <v/>
      </c>
      <c r="W520" s="25">
        <f>IF(E520="","",IFERROR(INDEX(lst_JobName,MATCH(E520&amp;"",lst_Jobs,0)),""))</f>
        <v/>
      </c>
      <c r="X520" s="28">
        <f>IF(E520="","",COUNTIFS(tbl_Finance[Job Number],E520&amp;"",tbl_Finance[Ex GST],"&lt;&gt;"))</f>
        <v/>
      </c>
      <c r="Y520" s="27">
        <f>IF(E520="","",SUMIFS(tbl_Finance[Ex GST],tbl_Finance[Job Number],E520&amp;""))</f>
        <v/>
      </c>
      <c r="Z520" s="27">
        <f>IF(E520="","",SUMIFS(tbl_Finance[Ex GST],tbl_Finance[Job Number],E520&amp;"",tbl_Finance[Xero Invoice No],"&lt;&gt;"))</f>
        <v/>
      </c>
      <c r="AA520" s="27">
        <f>IF(E520="","",Y520-Z520)</f>
        <v/>
      </c>
      <c r="AB520" s="25">
        <f>IF(E520="","",IF(H520="Onsite",IFERROR(INDEX(tbl_Onsite[Qwilr Quote],MATCH(E520&amp;"",tbl_Onsite[Job Number],0)),""),IF(H520="Production",IFERROR(INDEX(tbl_Production[Current RMS No],MATCH(E520&amp;"",tbl_Production[Job Number],0)),""),IF(H520="Consulting",IFERROR(INDEX(tbl_Consulting[Qwilr Quote],MATCH(E520&amp;"",tbl_Consulting[Job Number],0)),""),""))))</f>
        <v/>
      </c>
      <c r="AC520" s="25">
        <f>IF(AB520="","",IF(AND(LEFT(AB520,4)&lt;&gt;"http",IF(H520="Production",set_RMSBase,set_QwilrBase)=""),"",HYPERLINK(IF(LEFT(AB520,4)="http",AB520,IF(H520="Production",set_RMSBase,set_QwilrBase)&amp;AB520),"Open")))</f>
        <v/>
      </c>
      <c r="AD520" s="27">
        <f>IF(E520="","",IF(H520="Production",IFERROR(INDEX(tbl_Production[Total Expense],MATCH(E520&amp;"",tbl_Production[Job Number],0)),0),IF(H520="Consulting",IFERROR(INDEX(tbl_Consulting[Total Expense],MATCH(E520&amp;"",tbl_Consulting[Job Number],0)),0),0)))</f>
        <v/>
      </c>
      <c r="AE520" s="27">
        <f>IF(E520="","",Y520-N(AD520))</f>
        <v/>
      </c>
      <c r="AF520" s="29">
        <f>IFERROR(AE520/Y520,"")</f>
        <v/>
      </c>
      <c r="AG520" s="25">
        <f>IF(E520="","",IF(H520="Onsite",IFERROR(INDEX(tbl_Onsite[Notes],MATCH(E520&amp;"",tbl_Onsite[Job Number],0)),""),IF(H520="Production",IFERROR(INDEX(tbl_Production[Notes],MATCH(E520&amp;"",tbl_Production[Job Number],0)),""),IF(H520="Consulting",IFERROR(INDEX(tbl_Consulting[Notes],MATCH(E520&amp;"",tbl_Consulting[Job Number],0)),""),""))))</f>
        <v/>
      </c>
    </row>
    <row r="521" ht="15" customHeight="1">
      <c r="A521" s="22" t="n"/>
      <c r="B521" s="23">
        <f>IF(A521="","",EOMONTH(A521,0))</f>
        <v/>
      </c>
      <c r="C521" s="24" t="n"/>
      <c r="D521" s="24" t="n"/>
      <c r="E521" s="24" t="n"/>
      <c r="F521" s="25">
        <f>IF(E521="","",IF(COUNTIF(lst_Jobs,E521&amp;"")&gt;0,"OK","CHECK"))</f>
        <v/>
      </c>
      <c r="G521" s="24" t="n"/>
      <c r="H521" s="24" t="n"/>
      <c r="I521" s="24" t="n"/>
      <c r="J521" s="24" t="n"/>
      <c r="K521" s="24" t="n"/>
      <c r="L521" s="26" t="n"/>
      <c r="M521" s="27">
        <f>IF(L521="","",IF(K521="GST 10%",ROUND(L521*set_GSTRate,2),0))</f>
        <v/>
      </c>
      <c r="N521" s="27">
        <f>IF(L521="","",L521+M521)</f>
        <v/>
      </c>
      <c r="O521" s="24" t="n"/>
      <c r="P521" s="24" t="n"/>
      <c r="Q521" s="24" t="n"/>
      <c r="R521" s="22" t="n"/>
      <c r="S521" s="22" t="n"/>
      <c r="T521" s="24" t="n"/>
      <c r="U521" s="24" t="n"/>
      <c r="V521" s="25">
        <f>IF(COUNTA(A521,D521,C521,L521)=0,"",IF(A521="","No date - sits outside every month",IF(E521="","No job number",IF(F521="CHECK","Job number is not in the Xero job list",IF(I521="","No cost centre",IF(AND(P521="Y",C521=""),"Marked posted to Xero but has no invoice number",IF(AND(L521&lt;&gt;"",K521=""),"No tax code",IF(AND(L521&lt;&gt;"",O521=""),"No revenue GL code",""))))))))</f>
        <v/>
      </c>
      <c r="W521" s="25">
        <f>IF(E521="","",IFERROR(INDEX(lst_JobName,MATCH(E521&amp;"",lst_Jobs,0)),""))</f>
        <v/>
      </c>
      <c r="X521" s="28">
        <f>IF(E521="","",COUNTIFS(tbl_Finance[Job Number],E521&amp;"",tbl_Finance[Ex GST],"&lt;&gt;"))</f>
        <v/>
      </c>
      <c r="Y521" s="27">
        <f>IF(E521="","",SUMIFS(tbl_Finance[Ex GST],tbl_Finance[Job Number],E521&amp;""))</f>
        <v/>
      </c>
      <c r="Z521" s="27">
        <f>IF(E521="","",SUMIFS(tbl_Finance[Ex GST],tbl_Finance[Job Number],E521&amp;"",tbl_Finance[Xero Invoice No],"&lt;&gt;"))</f>
        <v/>
      </c>
      <c r="AA521" s="27">
        <f>IF(E521="","",Y521-Z521)</f>
        <v/>
      </c>
      <c r="AB521" s="25">
        <f>IF(E521="","",IF(H521="Onsite",IFERROR(INDEX(tbl_Onsite[Qwilr Quote],MATCH(E521&amp;"",tbl_Onsite[Job Number],0)),""),IF(H521="Production",IFERROR(INDEX(tbl_Production[Current RMS No],MATCH(E521&amp;"",tbl_Production[Job Number],0)),""),IF(H521="Consulting",IFERROR(INDEX(tbl_Consulting[Qwilr Quote],MATCH(E521&amp;"",tbl_Consulting[Job Number],0)),""),""))))</f>
        <v/>
      </c>
      <c r="AC521" s="25">
        <f>IF(AB521="","",IF(AND(LEFT(AB521,4)&lt;&gt;"http",IF(H521="Production",set_RMSBase,set_QwilrBase)=""),"",HYPERLINK(IF(LEFT(AB521,4)="http",AB521,IF(H521="Production",set_RMSBase,set_QwilrBase)&amp;AB521),"Open")))</f>
        <v/>
      </c>
      <c r="AD521" s="27">
        <f>IF(E521="","",IF(H521="Production",IFERROR(INDEX(tbl_Production[Total Expense],MATCH(E521&amp;"",tbl_Production[Job Number],0)),0),IF(H521="Consulting",IFERROR(INDEX(tbl_Consulting[Total Expense],MATCH(E521&amp;"",tbl_Consulting[Job Number],0)),0),0)))</f>
        <v/>
      </c>
      <c r="AE521" s="27">
        <f>IF(E521="","",Y521-N(AD521))</f>
        <v/>
      </c>
      <c r="AF521" s="29">
        <f>IFERROR(AE521/Y521,"")</f>
        <v/>
      </c>
      <c r="AG521" s="25">
        <f>IF(E521="","",IF(H521="Onsite",IFERROR(INDEX(tbl_Onsite[Notes],MATCH(E521&amp;"",tbl_Onsite[Job Number],0)),""),IF(H521="Production",IFERROR(INDEX(tbl_Production[Notes],MATCH(E521&amp;"",tbl_Production[Job Number],0)),""),IF(H521="Consulting",IFERROR(INDEX(tbl_Consulting[Notes],MATCH(E521&amp;"",tbl_Consulting[Job Number],0)),""),""))))</f>
        <v/>
      </c>
    </row>
    <row r="522" ht="15" customHeight="1">
      <c r="A522" s="22" t="n"/>
      <c r="B522" s="23">
        <f>IF(A522="","",EOMONTH(A522,0))</f>
        <v/>
      </c>
      <c r="C522" s="24" t="n"/>
      <c r="D522" s="24" t="n"/>
      <c r="E522" s="24" t="n"/>
      <c r="F522" s="25">
        <f>IF(E522="","",IF(COUNTIF(lst_Jobs,E522&amp;"")&gt;0,"OK","CHECK"))</f>
        <v/>
      </c>
      <c r="G522" s="24" t="n"/>
      <c r="H522" s="24" t="n"/>
      <c r="I522" s="24" t="n"/>
      <c r="J522" s="24" t="n"/>
      <c r="K522" s="24" t="n"/>
      <c r="L522" s="26" t="n"/>
      <c r="M522" s="27">
        <f>IF(L522="","",IF(K522="GST 10%",ROUND(L522*set_GSTRate,2),0))</f>
        <v/>
      </c>
      <c r="N522" s="27">
        <f>IF(L522="","",L522+M522)</f>
        <v/>
      </c>
      <c r="O522" s="24" t="n"/>
      <c r="P522" s="24" t="n"/>
      <c r="Q522" s="24" t="n"/>
      <c r="R522" s="22" t="n"/>
      <c r="S522" s="22" t="n"/>
      <c r="T522" s="24" t="n"/>
      <c r="U522" s="24" t="n"/>
      <c r="V522" s="25">
        <f>IF(COUNTA(A522,D522,C522,L522)=0,"",IF(A522="","No date - sits outside every month",IF(E522="","No job number",IF(F522="CHECK","Job number is not in the Xero job list",IF(I522="","No cost centre",IF(AND(P522="Y",C522=""),"Marked posted to Xero but has no invoice number",IF(AND(L522&lt;&gt;"",K522=""),"No tax code",IF(AND(L522&lt;&gt;"",O522=""),"No revenue GL code",""))))))))</f>
        <v/>
      </c>
      <c r="W522" s="25">
        <f>IF(E522="","",IFERROR(INDEX(lst_JobName,MATCH(E522&amp;"",lst_Jobs,0)),""))</f>
        <v/>
      </c>
      <c r="X522" s="28">
        <f>IF(E522="","",COUNTIFS(tbl_Finance[Job Number],E522&amp;"",tbl_Finance[Ex GST],"&lt;&gt;"))</f>
        <v/>
      </c>
      <c r="Y522" s="27">
        <f>IF(E522="","",SUMIFS(tbl_Finance[Ex GST],tbl_Finance[Job Number],E522&amp;""))</f>
        <v/>
      </c>
      <c r="Z522" s="27">
        <f>IF(E522="","",SUMIFS(tbl_Finance[Ex GST],tbl_Finance[Job Number],E522&amp;"",tbl_Finance[Xero Invoice No],"&lt;&gt;"))</f>
        <v/>
      </c>
      <c r="AA522" s="27">
        <f>IF(E522="","",Y522-Z522)</f>
        <v/>
      </c>
      <c r="AB522" s="25">
        <f>IF(E522="","",IF(H522="Onsite",IFERROR(INDEX(tbl_Onsite[Qwilr Quote],MATCH(E522&amp;"",tbl_Onsite[Job Number],0)),""),IF(H522="Production",IFERROR(INDEX(tbl_Production[Current RMS No],MATCH(E522&amp;"",tbl_Production[Job Number],0)),""),IF(H522="Consulting",IFERROR(INDEX(tbl_Consulting[Qwilr Quote],MATCH(E522&amp;"",tbl_Consulting[Job Number],0)),""),""))))</f>
        <v/>
      </c>
      <c r="AC522" s="25">
        <f>IF(AB522="","",IF(AND(LEFT(AB522,4)&lt;&gt;"http",IF(H522="Production",set_RMSBase,set_QwilrBase)=""),"",HYPERLINK(IF(LEFT(AB522,4)="http",AB522,IF(H522="Production",set_RMSBase,set_QwilrBase)&amp;AB522),"Open")))</f>
        <v/>
      </c>
      <c r="AD522" s="27">
        <f>IF(E522="","",IF(H522="Production",IFERROR(INDEX(tbl_Production[Total Expense],MATCH(E522&amp;"",tbl_Production[Job Number],0)),0),IF(H522="Consulting",IFERROR(INDEX(tbl_Consulting[Total Expense],MATCH(E522&amp;"",tbl_Consulting[Job Number],0)),0),0)))</f>
        <v/>
      </c>
      <c r="AE522" s="27">
        <f>IF(E522="","",Y522-N(AD522))</f>
        <v/>
      </c>
      <c r="AF522" s="29">
        <f>IFERROR(AE522/Y522,"")</f>
        <v/>
      </c>
      <c r="AG522" s="25">
        <f>IF(E522="","",IF(H522="Onsite",IFERROR(INDEX(tbl_Onsite[Notes],MATCH(E522&amp;"",tbl_Onsite[Job Number],0)),""),IF(H522="Production",IFERROR(INDEX(tbl_Production[Notes],MATCH(E522&amp;"",tbl_Production[Job Number],0)),""),IF(H522="Consulting",IFERROR(INDEX(tbl_Consulting[Notes],MATCH(E522&amp;"",tbl_Consulting[Job Number],0)),""),""))))</f>
        <v/>
      </c>
    </row>
    <row r="523" ht="15" customHeight="1">
      <c r="A523" s="22" t="n"/>
      <c r="B523" s="23">
        <f>IF(A523="","",EOMONTH(A523,0))</f>
        <v/>
      </c>
      <c r="C523" s="24" t="n"/>
      <c r="D523" s="24" t="n"/>
      <c r="E523" s="24" t="n"/>
      <c r="F523" s="25">
        <f>IF(E523="","",IF(COUNTIF(lst_Jobs,E523&amp;"")&gt;0,"OK","CHECK"))</f>
        <v/>
      </c>
      <c r="G523" s="24" t="n"/>
      <c r="H523" s="24" t="n"/>
      <c r="I523" s="24" t="n"/>
      <c r="J523" s="24" t="n"/>
      <c r="K523" s="24" t="n"/>
      <c r="L523" s="26" t="n"/>
      <c r="M523" s="27">
        <f>IF(L523="","",IF(K523="GST 10%",ROUND(L523*set_GSTRate,2),0))</f>
        <v/>
      </c>
      <c r="N523" s="27">
        <f>IF(L523="","",L523+M523)</f>
        <v/>
      </c>
      <c r="O523" s="24" t="n"/>
      <c r="P523" s="24" t="n"/>
      <c r="Q523" s="24" t="n"/>
      <c r="R523" s="22" t="n"/>
      <c r="S523" s="22" t="n"/>
      <c r="T523" s="24" t="n"/>
      <c r="U523" s="24" t="n"/>
      <c r="V523" s="25">
        <f>IF(COUNTA(A523,D523,C523,L523)=0,"",IF(A523="","No date - sits outside every month",IF(E523="","No job number",IF(F523="CHECK","Job number is not in the Xero job list",IF(I523="","No cost centre",IF(AND(P523="Y",C523=""),"Marked posted to Xero but has no invoice number",IF(AND(L523&lt;&gt;"",K523=""),"No tax code",IF(AND(L523&lt;&gt;"",O523=""),"No revenue GL code",""))))))))</f>
        <v/>
      </c>
      <c r="W523" s="25">
        <f>IF(E523="","",IFERROR(INDEX(lst_JobName,MATCH(E523&amp;"",lst_Jobs,0)),""))</f>
        <v/>
      </c>
      <c r="X523" s="28">
        <f>IF(E523="","",COUNTIFS(tbl_Finance[Job Number],E523&amp;"",tbl_Finance[Ex GST],"&lt;&gt;"))</f>
        <v/>
      </c>
      <c r="Y523" s="27">
        <f>IF(E523="","",SUMIFS(tbl_Finance[Ex GST],tbl_Finance[Job Number],E523&amp;""))</f>
        <v/>
      </c>
      <c r="Z523" s="27">
        <f>IF(E523="","",SUMIFS(tbl_Finance[Ex GST],tbl_Finance[Job Number],E523&amp;"",tbl_Finance[Xero Invoice No],"&lt;&gt;"))</f>
        <v/>
      </c>
      <c r="AA523" s="27">
        <f>IF(E523="","",Y523-Z523)</f>
        <v/>
      </c>
      <c r="AB523" s="25">
        <f>IF(E523="","",IF(H523="Onsite",IFERROR(INDEX(tbl_Onsite[Qwilr Quote],MATCH(E523&amp;"",tbl_Onsite[Job Number],0)),""),IF(H523="Production",IFERROR(INDEX(tbl_Production[Current RMS No],MATCH(E523&amp;"",tbl_Production[Job Number],0)),""),IF(H523="Consulting",IFERROR(INDEX(tbl_Consulting[Qwilr Quote],MATCH(E523&amp;"",tbl_Consulting[Job Number],0)),""),""))))</f>
        <v/>
      </c>
      <c r="AC523" s="25">
        <f>IF(AB523="","",IF(AND(LEFT(AB523,4)&lt;&gt;"http",IF(H523="Production",set_RMSBase,set_QwilrBase)=""),"",HYPERLINK(IF(LEFT(AB523,4)="http",AB523,IF(H523="Production",set_RMSBase,set_QwilrBase)&amp;AB523),"Open")))</f>
        <v/>
      </c>
      <c r="AD523" s="27">
        <f>IF(E523="","",IF(H523="Production",IFERROR(INDEX(tbl_Production[Total Expense],MATCH(E523&amp;"",tbl_Production[Job Number],0)),0),IF(H523="Consulting",IFERROR(INDEX(tbl_Consulting[Total Expense],MATCH(E523&amp;"",tbl_Consulting[Job Number],0)),0),0)))</f>
        <v/>
      </c>
      <c r="AE523" s="27">
        <f>IF(E523="","",Y523-N(AD523))</f>
        <v/>
      </c>
      <c r="AF523" s="29">
        <f>IFERROR(AE523/Y523,"")</f>
        <v/>
      </c>
      <c r="AG523" s="25">
        <f>IF(E523="","",IF(H523="Onsite",IFERROR(INDEX(tbl_Onsite[Notes],MATCH(E523&amp;"",tbl_Onsite[Job Number],0)),""),IF(H523="Production",IFERROR(INDEX(tbl_Production[Notes],MATCH(E523&amp;"",tbl_Production[Job Number],0)),""),IF(H523="Consulting",IFERROR(INDEX(tbl_Consulting[Notes],MATCH(E523&amp;"",tbl_Consulting[Job Number],0)),""),""))))</f>
        <v/>
      </c>
    </row>
    <row r="524" ht="15" customHeight="1">
      <c r="A524" s="22" t="n"/>
      <c r="B524" s="23">
        <f>IF(A524="","",EOMONTH(A524,0))</f>
        <v/>
      </c>
      <c r="C524" s="24" t="n"/>
      <c r="D524" s="24" t="n"/>
      <c r="E524" s="24" t="n"/>
      <c r="F524" s="25">
        <f>IF(E524="","",IF(COUNTIF(lst_Jobs,E524&amp;"")&gt;0,"OK","CHECK"))</f>
        <v/>
      </c>
      <c r="G524" s="24" t="n"/>
      <c r="H524" s="24" t="n"/>
      <c r="I524" s="24" t="n"/>
      <c r="J524" s="24" t="n"/>
      <c r="K524" s="24" t="n"/>
      <c r="L524" s="26" t="n"/>
      <c r="M524" s="27">
        <f>IF(L524="","",IF(K524="GST 10%",ROUND(L524*set_GSTRate,2),0))</f>
        <v/>
      </c>
      <c r="N524" s="27">
        <f>IF(L524="","",L524+M524)</f>
        <v/>
      </c>
      <c r="O524" s="24" t="n"/>
      <c r="P524" s="24" t="n"/>
      <c r="Q524" s="24" t="n"/>
      <c r="R524" s="22" t="n"/>
      <c r="S524" s="22" t="n"/>
      <c r="T524" s="24" t="n"/>
      <c r="U524" s="24" t="n"/>
      <c r="V524" s="25">
        <f>IF(COUNTA(A524,D524,C524,L524)=0,"",IF(A524="","No date - sits outside every month",IF(E524="","No job number",IF(F524="CHECK","Job number is not in the Xero job list",IF(I524="","No cost centre",IF(AND(P524="Y",C524=""),"Marked posted to Xero but has no invoice number",IF(AND(L524&lt;&gt;"",K524=""),"No tax code",IF(AND(L524&lt;&gt;"",O524=""),"No revenue GL code",""))))))))</f>
        <v/>
      </c>
      <c r="W524" s="25">
        <f>IF(E524="","",IFERROR(INDEX(lst_JobName,MATCH(E524&amp;"",lst_Jobs,0)),""))</f>
        <v/>
      </c>
      <c r="X524" s="28">
        <f>IF(E524="","",COUNTIFS(tbl_Finance[Job Number],E524&amp;"",tbl_Finance[Ex GST],"&lt;&gt;"))</f>
        <v/>
      </c>
      <c r="Y524" s="27">
        <f>IF(E524="","",SUMIFS(tbl_Finance[Ex GST],tbl_Finance[Job Number],E524&amp;""))</f>
        <v/>
      </c>
      <c r="Z524" s="27">
        <f>IF(E524="","",SUMIFS(tbl_Finance[Ex GST],tbl_Finance[Job Number],E524&amp;"",tbl_Finance[Xero Invoice No],"&lt;&gt;"))</f>
        <v/>
      </c>
      <c r="AA524" s="27">
        <f>IF(E524="","",Y524-Z524)</f>
        <v/>
      </c>
      <c r="AB524" s="25">
        <f>IF(E524="","",IF(H524="Onsite",IFERROR(INDEX(tbl_Onsite[Qwilr Quote],MATCH(E524&amp;"",tbl_Onsite[Job Number],0)),""),IF(H524="Production",IFERROR(INDEX(tbl_Production[Current RMS No],MATCH(E524&amp;"",tbl_Production[Job Number],0)),""),IF(H524="Consulting",IFERROR(INDEX(tbl_Consulting[Qwilr Quote],MATCH(E524&amp;"",tbl_Consulting[Job Number],0)),""),""))))</f>
        <v/>
      </c>
      <c r="AC524" s="25">
        <f>IF(AB524="","",IF(AND(LEFT(AB524,4)&lt;&gt;"http",IF(H524="Production",set_RMSBase,set_QwilrBase)=""),"",HYPERLINK(IF(LEFT(AB524,4)="http",AB524,IF(H524="Production",set_RMSBase,set_QwilrBase)&amp;AB524),"Open")))</f>
        <v/>
      </c>
      <c r="AD524" s="27">
        <f>IF(E524="","",IF(H524="Production",IFERROR(INDEX(tbl_Production[Total Expense],MATCH(E524&amp;"",tbl_Production[Job Number],0)),0),IF(H524="Consulting",IFERROR(INDEX(tbl_Consulting[Total Expense],MATCH(E524&amp;"",tbl_Consulting[Job Number],0)),0),0)))</f>
        <v/>
      </c>
      <c r="AE524" s="27">
        <f>IF(E524="","",Y524-N(AD524))</f>
        <v/>
      </c>
      <c r="AF524" s="29">
        <f>IFERROR(AE524/Y524,"")</f>
        <v/>
      </c>
      <c r="AG524" s="25">
        <f>IF(E524="","",IF(H524="Onsite",IFERROR(INDEX(tbl_Onsite[Notes],MATCH(E524&amp;"",tbl_Onsite[Job Number],0)),""),IF(H524="Production",IFERROR(INDEX(tbl_Production[Notes],MATCH(E524&amp;"",tbl_Production[Job Number],0)),""),IF(H524="Consulting",IFERROR(INDEX(tbl_Consulting[Notes],MATCH(E524&amp;"",tbl_Consulting[Job Number],0)),""),""))))</f>
        <v/>
      </c>
    </row>
    <row r="525" ht="15" customHeight="1">
      <c r="A525" s="22" t="n"/>
      <c r="B525" s="23">
        <f>IF(A525="","",EOMONTH(A525,0))</f>
        <v/>
      </c>
      <c r="C525" s="24" t="n"/>
      <c r="D525" s="24" t="n"/>
      <c r="E525" s="24" t="n"/>
      <c r="F525" s="25">
        <f>IF(E525="","",IF(COUNTIF(lst_Jobs,E525&amp;"")&gt;0,"OK","CHECK"))</f>
        <v/>
      </c>
      <c r="G525" s="24" t="n"/>
      <c r="H525" s="24" t="n"/>
      <c r="I525" s="24" t="n"/>
      <c r="J525" s="24" t="n"/>
      <c r="K525" s="24" t="n"/>
      <c r="L525" s="26" t="n"/>
      <c r="M525" s="27">
        <f>IF(L525="","",IF(K525="GST 10%",ROUND(L525*set_GSTRate,2),0))</f>
        <v/>
      </c>
      <c r="N525" s="27">
        <f>IF(L525="","",L525+M525)</f>
        <v/>
      </c>
      <c r="O525" s="24" t="n"/>
      <c r="P525" s="24" t="n"/>
      <c r="Q525" s="24" t="n"/>
      <c r="R525" s="22" t="n"/>
      <c r="S525" s="22" t="n"/>
      <c r="T525" s="24" t="n"/>
      <c r="U525" s="24" t="n"/>
      <c r="V525" s="25">
        <f>IF(COUNTA(A525,D525,C525,L525)=0,"",IF(A525="","No date - sits outside every month",IF(E525="","No job number",IF(F525="CHECK","Job number is not in the Xero job list",IF(I525="","No cost centre",IF(AND(P525="Y",C525=""),"Marked posted to Xero but has no invoice number",IF(AND(L525&lt;&gt;"",K525=""),"No tax code",IF(AND(L525&lt;&gt;"",O525=""),"No revenue GL code",""))))))))</f>
        <v/>
      </c>
      <c r="W525" s="25">
        <f>IF(E525="","",IFERROR(INDEX(lst_JobName,MATCH(E525&amp;"",lst_Jobs,0)),""))</f>
        <v/>
      </c>
      <c r="X525" s="28">
        <f>IF(E525="","",COUNTIFS(tbl_Finance[Job Number],E525&amp;"",tbl_Finance[Ex GST],"&lt;&gt;"))</f>
        <v/>
      </c>
      <c r="Y525" s="27">
        <f>IF(E525="","",SUMIFS(tbl_Finance[Ex GST],tbl_Finance[Job Number],E525&amp;""))</f>
        <v/>
      </c>
      <c r="Z525" s="27">
        <f>IF(E525="","",SUMIFS(tbl_Finance[Ex GST],tbl_Finance[Job Number],E525&amp;"",tbl_Finance[Xero Invoice No],"&lt;&gt;"))</f>
        <v/>
      </c>
      <c r="AA525" s="27">
        <f>IF(E525="","",Y525-Z525)</f>
        <v/>
      </c>
      <c r="AB525" s="25">
        <f>IF(E525="","",IF(H525="Onsite",IFERROR(INDEX(tbl_Onsite[Qwilr Quote],MATCH(E525&amp;"",tbl_Onsite[Job Number],0)),""),IF(H525="Production",IFERROR(INDEX(tbl_Production[Current RMS No],MATCH(E525&amp;"",tbl_Production[Job Number],0)),""),IF(H525="Consulting",IFERROR(INDEX(tbl_Consulting[Qwilr Quote],MATCH(E525&amp;"",tbl_Consulting[Job Number],0)),""),""))))</f>
        <v/>
      </c>
      <c r="AC525" s="25">
        <f>IF(AB525="","",IF(AND(LEFT(AB525,4)&lt;&gt;"http",IF(H525="Production",set_RMSBase,set_QwilrBase)=""),"",HYPERLINK(IF(LEFT(AB525,4)="http",AB525,IF(H525="Production",set_RMSBase,set_QwilrBase)&amp;AB525),"Open")))</f>
        <v/>
      </c>
      <c r="AD525" s="27">
        <f>IF(E525="","",IF(H525="Production",IFERROR(INDEX(tbl_Production[Total Expense],MATCH(E525&amp;"",tbl_Production[Job Number],0)),0),IF(H525="Consulting",IFERROR(INDEX(tbl_Consulting[Total Expense],MATCH(E525&amp;"",tbl_Consulting[Job Number],0)),0),0)))</f>
        <v/>
      </c>
      <c r="AE525" s="27">
        <f>IF(E525="","",Y525-N(AD525))</f>
        <v/>
      </c>
      <c r="AF525" s="29">
        <f>IFERROR(AE525/Y525,"")</f>
        <v/>
      </c>
      <c r="AG525" s="25">
        <f>IF(E525="","",IF(H525="Onsite",IFERROR(INDEX(tbl_Onsite[Notes],MATCH(E525&amp;"",tbl_Onsite[Job Number],0)),""),IF(H525="Production",IFERROR(INDEX(tbl_Production[Notes],MATCH(E525&amp;"",tbl_Production[Job Number],0)),""),IF(H525="Consulting",IFERROR(INDEX(tbl_Consulting[Notes],MATCH(E525&amp;"",tbl_Consulting[Job Number],0)),""),""))))</f>
        <v/>
      </c>
    </row>
    <row r="526" ht="15" customHeight="1">
      <c r="A526" s="22" t="n"/>
      <c r="B526" s="23">
        <f>IF(A526="","",EOMONTH(A526,0))</f>
        <v/>
      </c>
      <c r="C526" s="24" t="n"/>
      <c r="D526" s="24" t="n"/>
      <c r="E526" s="24" t="n"/>
      <c r="F526" s="25">
        <f>IF(E526="","",IF(COUNTIF(lst_Jobs,E526&amp;"")&gt;0,"OK","CHECK"))</f>
        <v/>
      </c>
      <c r="G526" s="24" t="n"/>
      <c r="H526" s="24" t="n"/>
      <c r="I526" s="24" t="n"/>
      <c r="J526" s="24" t="n"/>
      <c r="K526" s="24" t="n"/>
      <c r="L526" s="26" t="n"/>
      <c r="M526" s="27">
        <f>IF(L526="","",IF(K526="GST 10%",ROUND(L526*set_GSTRate,2),0))</f>
        <v/>
      </c>
      <c r="N526" s="27">
        <f>IF(L526="","",L526+M526)</f>
        <v/>
      </c>
      <c r="O526" s="24" t="n"/>
      <c r="P526" s="24" t="n"/>
      <c r="Q526" s="24" t="n"/>
      <c r="R526" s="22" t="n"/>
      <c r="S526" s="22" t="n"/>
      <c r="T526" s="24" t="n"/>
      <c r="U526" s="24" t="n"/>
      <c r="V526" s="25">
        <f>IF(COUNTA(A526,D526,C526,L526)=0,"",IF(A526="","No date - sits outside every month",IF(E526="","No job number",IF(F526="CHECK","Job number is not in the Xero job list",IF(I526="","No cost centre",IF(AND(P526="Y",C526=""),"Marked posted to Xero but has no invoice number",IF(AND(L526&lt;&gt;"",K526=""),"No tax code",IF(AND(L526&lt;&gt;"",O526=""),"No revenue GL code",""))))))))</f>
        <v/>
      </c>
      <c r="W526" s="25">
        <f>IF(E526="","",IFERROR(INDEX(lst_JobName,MATCH(E526&amp;"",lst_Jobs,0)),""))</f>
        <v/>
      </c>
      <c r="X526" s="28">
        <f>IF(E526="","",COUNTIFS(tbl_Finance[Job Number],E526&amp;"",tbl_Finance[Ex GST],"&lt;&gt;"))</f>
        <v/>
      </c>
      <c r="Y526" s="27">
        <f>IF(E526="","",SUMIFS(tbl_Finance[Ex GST],tbl_Finance[Job Number],E526&amp;""))</f>
        <v/>
      </c>
      <c r="Z526" s="27">
        <f>IF(E526="","",SUMIFS(tbl_Finance[Ex GST],tbl_Finance[Job Number],E526&amp;"",tbl_Finance[Xero Invoice No],"&lt;&gt;"))</f>
        <v/>
      </c>
      <c r="AA526" s="27">
        <f>IF(E526="","",Y526-Z526)</f>
        <v/>
      </c>
      <c r="AB526" s="25">
        <f>IF(E526="","",IF(H526="Onsite",IFERROR(INDEX(tbl_Onsite[Qwilr Quote],MATCH(E526&amp;"",tbl_Onsite[Job Number],0)),""),IF(H526="Production",IFERROR(INDEX(tbl_Production[Current RMS No],MATCH(E526&amp;"",tbl_Production[Job Number],0)),""),IF(H526="Consulting",IFERROR(INDEX(tbl_Consulting[Qwilr Quote],MATCH(E526&amp;"",tbl_Consulting[Job Number],0)),""),""))))</f>
        <v/>
      </c>
      <c r="AC526" s="25">
        <f>IF(AB526="","",IF(AND(LEFT(AB526,4)&lt;&gt;"http",IF(H526="Production",set_RMSBase,set_QwilrBase)=""),"",HYPERLINK(IF(LEFT(AB526,4)="http",AB526,IF(H526="Production",set_RMSBase,set_QwilrBase)&amp;AB526),"Open")))</f>
        <v/>
      </c>
      <c r="AD526" s="27">
        <f>IF(E526="","",IF(H526="Production",IFERROR(INDEX(tbl_Production[Total Expense],MATCH(E526&amp;"",tbl_Production[Job Number],0)),0),IF(H526="Consulting",IFERROR(INDEX(tbl_Consulting[Total Expense],MATCH(E526&amp;"",tbl_Consulting[Job Number],0)),0),0)))</f>
        <v/>
      </c>
      <c r="AE526" s="27">
        <f>IF(E526="","",Y526-N(AD526))</f>
        <v/>
      </c>
      <c r="AF526" s="29">
        <f>IFERROR(AE526/Y526,"")</f>
        <v/>
      </c>
      <c r="AG526" s="25">
        <f>IF(E526="","",IF(H526="Onsite",IFERROR(INDEX(tbl_Onsite[Notes],MATCH(E526&amp;"",tbl_Onsite[Job Number],0)),""),IF(H526="Production",IFERROR(INDEX(tbl_Production[Notes],MATCH(E526&amp;"",tbl_Production[Job Number],0)),""),IF(H526="Consulting",IFERROR(INDEX(tbl_Consulting[Notes],MATCH(E526&amp;"",tbl_Consulting[Job Number],0)),""),""))))</f>
        <v/>
      </c>
    </row>
    <row r="527" ht="15" customHeight="1">
      <c r="A527" s="22" t="n"/>
      <c r="B527" s="23">
        <f>IF(A527="","",EOMONTH(A527,0))</f>
        <v/>
      </c>
      <c r="C527" s="24" t="n"/>
      <c r="D527" s="24" t="n"/>
      <c r="E527" s="24" t="n"/>
      <c r="F527" s="25">
        <f>IF(E527="","",IF(COUNTIF(lst_Jobs,E527&amp;"")&gt;0,"OK","CHECK"))</f>
        <v/>
      </c>
      <c r="G527" s="24" t="n"/>
      <c r="H527" s="24" t="n"/>
      <c r="I527" s="24" t="n"/>
      <c r="J527" s="24" t="n"/>
      <c r="K527" s="24" t="n"/>
      <c r="L527" s="26" t="n"/>
      <c r="M527" s="27">
        <f>IF(L527="","",IF(K527="GST 10%",ROUND(L527*set_GSTRate,2),0))</f>
        <v/>
      </c>
      <c r="N527" s="27">
        <f>IF(L527="","",L527+M527)</f>
        <v/>
      </c>
      <c r="O527" s="24" t="n"/>
      <c r="P527" s="24" t="n"/>
      <c r="Q527" s="24" t="n"/>
      <c r="R527" s="22" t="n"/>
      <c r="S527" s="22" t="n"/>
      <c r="T527" s="24" t="n"/>
      <c r="U527" s="24" t="n"/>
      <c r="V527" s="25">
        <f>IF(COUNTA(A527,D527,C527,L527)=0,"",IF(A527="","No date - sits outside every month",IF(E527="","No job number",IF(F527="CHECK","Job number is not in the Xero job list",IF(I527="","No cost centre",IF(AND(P527="Y",C527=""),"Marked posted to Xero but has no invoice number",IF(AND(L527&lt;&gt;"",K527=""),"No tax code",IF(AND(L527&lt;&gt;"",O527=""),"No revenue GL code",""))))))))</f>
        <v/>
      </c>
      <c r="W527" s="25">
        <f>IF(E527="","",IFERROR(INDEX(lst_JobName,MATCH(E527&amp;"",lst_Jobs,0)),""))</f>
        <v/>
      </c>
      <c r="X527" s="28">
        <f>IF(E527="","",COUNTIFS(tbl_Finance[Job Number],E527&amp;"",tbl_Finance[Ex GST],"&lt;&gt;"))</f>
        <v/>
      </c>
      <c r="Y527" s="27">
        <f>IF(E527="","",SUMIFS(tbl_Finance[Ex GST],tbl_Finance[Job Number],E527&amp;""))</f>
        <v/>
      </c>
      <c r="Z527" s="27">
        <f>IF(E527="","",SUMIFS(tbl_Finance[Ex GST],tbl_Finance[Job Number],E527&amp;"",tbl_Finance[Xero Invoice No],"&lt;&gt;"))</f>
        <v/>
      </c>
      <c r="AA527" s="27">
        <f>IF(E527="","",Y527-Z527)</f>
        <v/>
      </c>
      <c r="AB527" s="25">
        <f>IF(E527="","",IF(H527="Onsite",IFERROR(INDEX(tbl_Onsite[Qwilr Quote],MATCH(E527&amp;"",tbl_Onsite[Job Number],0)),""),IF(H527="Production",IFERROR(INDEX(tbl_Production[Current RMS No],MATCH(E527&amp;"",tbl_Production[Job Number],0)),""),IF(H527="Consulting",IFERROR(INDEX(tbl_Consulting[Qwilr Quote],MATCH(E527&amp;"",tbl_Consulting[Job Number],0)),""),""))))</f>
        <v/>
      </c>
      <c r="AC527" s="25">
        <f>IF(AB527="","",IF(AND(LEFT(AB527,4)&lt;&gt;"http",IF(H527="Production",set_RMSBase,set_QwilrBase)=""),"",HYPERLINK(IF(LEFT(AB527,4)="http",AB527,IF(H527="Production",set_RMSBase,set_QwilrBase)&amp;AB527),"Open")))</f>
        <v/>
      </c>
      <c r="AD527" s="27">
        <f>IF(E527="","",IF(H527="Production",IFERROR(INDEX(tbl_Production[Total Expense],MATCH(E527&amp;"",tbl_Production[Job Number],0)),0),IF(H527="Consulting",IFERROR(INDEX(tbl_Consulting[Total Expense],MATCH(E527&amp;"",tbl_Consulting[Job Number],0)),0),0)))</f>
        <v/>
      </c>
      <c r="AE527" s="27">
        <f>IF(E527="","",Y527-N(AD527))</f>
        <v/>
      </c>
      <c r="AF527" s="29">
        <f>IFERROR(AE527/Y527,"")</f>
        <v/>
      </c>
      <c r="AG527" s="25">
        <f>IF(E527="","",IF(H527="Onsite",IFERROR(INDEX(tbl_Onsite[Notes],MATCH(E527&amp;"",tbl_Onsite[Job Number],0)),""),IF(H527="Production",IFERROR(INDEX(tbl_Production[Notes],MATCH(E527&amp;"",tbl_Production[Job Number],0)),""),IF(H527="Consulting",IFERROR(INDEX(tbl_Consulting[Notes],MATCH(E527&amp;"",tbl_Consulting[Job Number],0)),""),""))))</f>
        <v/>
      </c>
    </row>
    <row r="528" ht="15" customHeight="1">
      <c r="A528" s="22" t="n"/>
      <c r="B528" s="23">
        <f>IF(A528="","",EOMONTH(A528,0))</f>
        <v/>
      </c>
      <c r="C528" s="24" t="n"/>
      <c r="D528" s="24" t="n"/>
      <c r="E528" s="24" t="n"/>
      <c r="F528" s="25">
        <f>IF(E528="","",IF(COUNTIF(lst_Jobs,E528&amp;"")&gt;0,"OK","CHECK"))</f>
        <v/>
      </c>
      <c r="G528" s="24" t="n"/>
      <c r="H528" s="24" t="n"/>
      <c r="I528" s="24" t="n"/>
      <c r="J528" s="24" t="n"/>
      <c r="K528" s="24" t="n"/>
      <c r="L528" s="26" t="n"/>
      <c r="M528" s="27">
        <f>IF(L528="","",IF(K528="GST 10%",ROUND(L528*set_GSTRate,2),0))</f>
        <v/>
      </c>
      <c r="N528" s="27">
        <f>IF(L528="","",L528+M528)</f>
        <v/>
      </c>
      <c r="O528" s="24" t="n"/>
      <c r="P528" s="24" t="n"/>
      <c r="Q528" s="24" t="n"/>
      <c r="R528" s="22" t="n"/>
      <c r="S528" s="22" t="n"/>
      <c r="T528" s="24" t="n"/>
      <c r="U528" s="24" t="n"/>
      <c r="V528" s="25">
        <f>IF(COUNTA(A528,D528,C528,L528)=0,"",IF(A528="","No date - sits outside every month",IF(E528="","No job number",IF(F528="CHECK","Job number is not in the Xero job list",IF(I528="","No cost centre",IF(AND(P528="Y",C528=""),"Marked posted to Xero but has no invoice number",IF(AND(L528&lt;&gt;"",K528=""),"No tax code",IF(AND(L528&lt;&gt;"",O528=""),"No revenue GL code",""))))))))</f>
        <v/>
      </c>
      <c r="W528" s="25">
        <f>IF(E528="","",IFERROR(INDEX(lst_JobName,MATCH(E528&amp;"",lst_Jobs,0)),""))</f>
        <v/>
      </c>
      <c r="X528" s="28">
        <f>IF(E528="","",COUNTIFS(tbl_Finance[Job Number],E528&amp;"",tbl_Finance[Ex GST],"&lt;&gt;"))</f>
        <v/>
      </c>
      <c r="Y528" s="27">
        <f>IF(E528="","",SUMIFS(tbl_Finance[Ex GST],tbl_Finance[Job Number],E528&amp;""))</f>
        <v/>
      </c>
      <c r="Z528" s="27">
        <f>IF(E528="","",SUMIFS(tbl_Finance[Ex GST],tbl_Finance[Job Number],E528&amp;"",tbl_Finance[Xero Invoice No],"&lt;&gt;"))</f>
        <v/>
      </c>
      <c r="AA528" s="27">
        <f>IF(E528="","",Y528-Z528)</f>
        <v/>
      </c>
      <c r="AB528" s="25">
        <f>IF(E528="","",IF(H528="Onsite",IFERROR(INDEX(tbl_Onsite[Qwilr Quote],MATCH(E528&amp;"",tbl_Onsite[Job Number],0)),""),IF(H528="Production",IFERROR(INDEX(tbl_Production[Current RMS No],MATCH(E528&amp;"",tbl_Production[Job Number],0)),""),IF(H528="Consulting",IFERROR(INDEX(tbl_Consulting[Qwilr Quote],MATCH(E528&amp;"",tbl_Consulting[Job Number],0)),""),""))))</f>
        <v/>
      </c>
      <c r="AC528" s="25">
        <f>IF(AB528="","",IF(AND(LEFT(AB528,4)&lt;&gt;"http",IF(H528="Production",set_RMSBase,set_QwilrBase)=""),"",HYPERLINK(IF(LEFT(AB528,4)="http",AB528,IF(H528="Production",set_RMSBase,set_QwilrBase)&amp;AB528),"Open")))</f>
        <v/>
      </c>
      <c r="AD528" s="27">
        <f>IF(E528="","",IF(H528="Production",IFERROR(INDEX(tbl_Production[Total Expense],MATCH(E528&amp;"",tbl_Production[Job Number],0)),0),IF(H528="Consulting",IFERROR(INDEX(tbl_Consulting[Total Expense],MATCH(E528&amp;"",tbl_Consulting[Job Number],0)),0),0)))</f>
        <v/>
      </c>
      <c r="AE528" s="27">
        <f>IF(E528="","",Y528-N(AD528))</f>
        <v/>
      </c>
      <c r="AF528" s="29">
        <f>IFERROR(AE528/Y528,"")</f>
        <v/>
      </c>
      <c r="AG528" s="25">
        <f>IF(E528="","",IF(H528="Onsite",IFERROR(INDEX(tbl_Onsite[Notes],MATCH(E528&amp;"",tbl_Onsite[Job Number],0)),""),IF(H528="Production",IFERROR(INDEX(tbl_Production[Notes],MATCH(E528&amp;"",tbl_Production[Job Number],0)),""),IF(H528="Consulting",IFERROR(INDEX(tbl_Consulting[Notes],MATCH(E528&amp;"",tbl_Consulting[Job Number],0)),""),""))))</f>
        <v/>
      </c>
    </row>
    <row r="529" ht="15" customHeight="1">
      <c r="A529" s="22" t="n"/>
      <c r="B529" s="23">
        <f>IF(A529="","",EOMONTH(A529,0))</f>
        <v/>
      </c>
      <c r="C529" s="24" t="n"/>
      <c r="D529" s="24" t="n"/>
      <c r="E529" s="24" t="n"/>
      <c r="F529" s="25">
        <f>IF(E529="","",IF(COUNTIF(lst_Jobs,E529&amp;"")&gt;0,"OK","CHECK"))</f>
        <v/>
      </c>
      <c r="G529" s="24" t="n"/>
      <c r="H529" s="24" t="n"/>
      <c r="I529" s="24" t="n"/>
      <c r="J529" s="24" t="n"/>
      <c r="K529" s="24" t="n"/>
      <c r="L529" s="26" t="n"/>
      <c r="M529" s="27">
        <f>IF(L529="","",IF(K529="GST 10%",ROUND(L529*set_GSTRate,2),0))</f>
        <v/>
      </c>
      <c r="N529" s="27">
        <f>IF(L529="","",L529+M529)</f>
        <v/>
      </c>
      <c r="O529" s="24" t="n"/>
      <c r="P529" s="24" t="n"/>
      <c r="Q529" s="24" t="n"/>
      <c r="R529" s="22" t="n"/>
      <c r="S529" s="22" t="n"/>
      <c r="T529" s="24" t="n"/>
      <c r="U529" s="24" t="n"/>
      <c r="V529" s="25">
        <f>IF(COUNTA(A529,D529,C529,L529)=0,"",IF(A529="","No date - sits outside every month",IF(E529="","No job number",IF(F529="CHECK","Job number is not in the Xero job list",IF(I529="","No cost centre",IF(AND(P529="Y",C529=""),"Marked posted to Xero but has no invoice number",IF(AND(L529&lt;&gt;"",K529=""),"No tax code",IF(AND(L529&lt;&gt;"",O529=""),"No revenue GL code",""))))))))</f>
        <v/>
      </c>
      <c r="W529" s="25">
        <f>IF(E529="","",IFERROR(INDEX(lst_JobName,MATCH(E529&amp;"",lst_Jobs,0)),""))</f>
        <v/>
      </c>
      <c r="X529" s="28">
        <f>IF(E529="","",COUNTIFS(tbl_Finance[Job Number],E529&amp;"",tbl_Finance[Ex GST],"&lt;&gt;"))</f>
        <v/>
      </c>
      <c r="Y529" s="27">
        <f>IF(E529="","",SUMIFS(tbl_Finance[Ex GST],tbl_Finance[Job Number],E529&amp;""))</f>
        <v/>
      </c>
      <c r="Z529" s="27">
        <f>IF(E529="","",SUMIFS(tbl_Finance[Ex GST],tbl_Finance[Job Number],E529&amp;"",tbl_Finance[Xero Invoice No],"&lt;&gt;"))</f>
        <v/>
      </c>
      <c r="AA529" s="27">
        <f>IF(E529="","",Y529-Z529)</f>
        <v/>
      </c>
      <c r="AB529" s="25">
        <f>IF(E529="","",IF(H529="Onsite",IFERROR(INDEX(tbl_Onsite[Qwilr Quote],MATCH(E529&amp;"",tbl_Onsite[Job Number],0)),""),IF(H529="Production",IFERROR(INDEX(tbl_Production[Current RMS No],MATCH(E529&amp;"",tbl_Production[Job Number],0)),""),IF(H529="Consulting",IFERROR(INDEX(tbl_Consulting[Qwilr Quote],MATCH(E529&amp;"",tbl_Consulting[Job Number],0)),""),""))))</f>
        <v/>
      </c>
      <c r="AC529" s="25">
        <f>IF(AB529="","",IF(AND(LEFT(AB529,4)&lt;&gt;"http",IF(H529="Production",set_RMSBase,set_QwilrBase)=""),"",HYPERLINK(IF(LEFT(AB529,4)="http",AB529,IF(H529="Production",set_RMSBase,set_QwilrBase)&amp;AB529),"Open")))</f>
        <v/>
      </c>
      <c r="AD529" s="27">
        <f>IF(E529="","",IF(H529="Production",IFERROR(INDEX(tbl_Production[Total Expense],MATCH(E529&amp;"",tbl_Production[Job Number],0)),0),IF(H529="Consulting",IFERROR(INDEX(tbl_Consulting[Total Expense],MATCH(E529&amp;"",tbl_Consulting[Job Number],0)),0),0)))</f>
        <v/>
      </c>
      <c r="AE529" s="27">
        <f>IF(E529="","",Y529-N(AD529))</f>
        <v/>
      </c>
      <c r="AF529" s="29">
        <f>IFERROR(AE529/Y529,"")</f>
        <v/>
      </c>
      <c r="AG529" s="25">
        <f>IF(E529="","",IF(H529="Onsite",IFERROR(INDEX(tbl_Onsite[Notes],MATCH(E529&amp;"",tbl_Onsite[Job Number],0)),""),IF(H529="Production",IFERROR(INDEX(tbl_Production[Notes],MATCH(E529&amp;"",tbl_Production[Job Number],0)),""),IF(H529="Consulting",IFERROR(INDEX(tbl_Consulting[Notes],MATCH(E529&amp;"",tbl_Consulting[Job Number],0)),""),""))))</f>
        <v/>
      </c>
    </row>
    <row r="530" ht="15" customHeight="1">
      <c r="A530" s="22" t="n"/>
      <c r="B530" s="23">
        <f>IF(A530="","",EOMONTH(A530,0))</f>
        <v/>
      </c>
      <c r="C530" s="24" t="n"/>
      <c r="D530" s="24" t="n"/>
      <c r="E530" s="24" t="n"/>
      <c r="F530" s="25">
        <f>IF(E530="","",IF(COUNTIF(lst_Jobs,E530&amp;"")&gt;0,"OK","CHECK"))</f>
        <v/>
      </c>
      <c r="G530" s="24" t="n"/>
      <c r="H530" s="24" t="n"/>
      <c r="I530" s="24" t="n"/>
      <c r="J530" s="24" t="n"/>
      <c r="K530" s="24" t="n"/>
      <c r="L530" s="26" t="n"/>
      <c r="M530" s="27">
        <f>IF(L530="","",IF(K530="GST 10%",ROUND(L530*set_GSTRate,2),0))</f>
        <v/>
      </c>
      <c r="N530" s="27">
        <f>IF(L530="","",L530+M530)</f>
        <v/>
      </c>
      <c r="O530" s="24" t="n"/>
      <c r="P530" s="24" t="n"/>
      <c r="Q530" s="24" t="n"/>
      <c r="R530" s="22" t="n"/>
      <c r="S530" s="22" t="n"/>
      <c r="T530" s="24" t="n"/>
      <c r="U530" s="24" t="n"/>
      <c r="V530" s="25">
        <f>IF(COUNTA(A530,D530,C530,L530)=0,"",IF(A530="","No date - sits outside every month",IF(E530="","No job number",IF(F530="CHECK","Job number is not in the Xero job list",IF(I530="","No cost centre",IF(AND(P530="Y",C530=""),"Marked posted to Xero but has no invoice number",IF(AND(L530&lt;&gt;"",K530=""),"No tax code",IF(AND(L530&lt;&gt;"",O530=""),"No revenue GL code",""))))))))</f>
        <v/>
      </c>
      <c r="W530" s="25">
        <f>IF(E530="","",IFERROR(INDEX(lst_JobName,MATCH(E530&amp;"",lst_Jobs,0)),""))</f>
        <v/>
      </c>
      <c r="X530" s="28">
        <f>IF(E530="","",COUNTIFS(tbl_Finance[Job Number],E530&amp;"",tbl_Finance[Ex GST],"&lt;&gt;"))</f>
        <v/>
      </c>
      <c r="Y530" s="27">
        <f>IF(E530="","",SUMIFS(tbl_Finance[Ex GST],tbl_Finance[Job Number],E530&amp;""))</f>
        <v/>
      </c>
      <c r="Z530" s="27">
        <f>IF(E530="","",SUMIFS(tbl_Finance[Ex GST],tbl_Finance[Job Number],E530&amp;"",tbl_Finance[Xero Invoice No],"&lt;&gt;"))</f>
        <v/>
      </c>
      <c r="AA530" s="27">
        <f>IF(E530="","",Y530-Z530)</f>
        <v/>
      </c>
      <c r="AB530" s="25">
        <f>IF(E530="","",IF(H530="Onsite",IFERROR(INDEX(tbl_Onsite[Qwilr Quote],MATCH(E530&amp;"",tbl_Onsite[Job Number],0)),""),IF(H530="Production",IFERROR(INDEX(tbl_Production[Current RMS No],MATCH(E530&amp;"",tbl_Production[Job Number],0)),""),IF(H530="Consulting",IFERROR(INDEX(tbl_Consulting[Qwilr Quote],MATCH(E530&amp;"",tbl_Consulting[Job Number],0)),""),""))))</f>
        <v/>
      </c>
      <c r="AC530" s="25">
        <f>IF(AB530="","",IF(AND(LEFT(AB530,4)&lt;&gt;"http",IF(H530="Production",set_RMSBase,set_QwilrBase)=""),"",HYPERLINK(IF(LEFT(AB530,4)="http",AB530,IF(H530="Production",set_RMSBase,set_QwilrBase)&amp;AB530),"Open")))</f>
        <v/>
      </c>
      <c r="AD530" s="27">
        <f>IF(E530="","",IF(H530="Production",IFERROR(INDEX(tbl_Production[Total Expense],MATCH(E530&amp;"",tbl_Production[Job Number],0)),0),IF(H530="Consulting",IFERROR(INDEX(tbl_Consulting[Total Expense],MATCH(E530&amp;"",tbl_Consulting[Job Number],0)),0),0)))</f>
        <v/>
      </c>
      <c r="AE530" s="27">
        <f>IF(E530="","",Y530-N(AD530))</f>
        <v/>
      </c>
      <c r="AF530" s="29">
        <f>IFERROR(AE530/Y530,"")</f>
        <v/>
      </c>
      <c r="AG530" s="25">
        <f>IF(E530="","",IF(H530="Onsite",IFERROR(INDEX(tbl_Onsite[Notes],MATCH(E530&amp;"",tbl_Onsite[Job Number],0)),""),IF(H530="Production",IFERROR(INDEX(tbl_Production[Notes],MATCH(E530&amp;"",tbl_Production[Job Number],0)),""),IF(H530="Consulting",IFERROR(INDEX(tbl_Consulting[Notes],MATCH(E530&amp;"",tbl_Consulting[Job Number],0)),""),""))))</f>
        <v/>
      </c>
    </row>
    <row r="531" ht="15" customHeight="1">
      <c r="A531" s="22" t="n"/>
      <c r="B531" s="23">
        <f>IF(A531="","",EOMONTH(A531,0))</f>
        <v/>
      </c>
      <c r="C531" s="24" t="n"/>
      <c r="D531" s="24" t="n"/>
      <c r="E531" s="24" t="n"/>
      <c r="F531" s="25">
        <f>IF(E531="","",IF(COUNTIF(lst_Jobs,E531&amp;"")&gt;0,"OK","CHECK"))</f>
        <v/>
      </c>
      <c r="G531" s="24" t="n"/>
      <c r="H531" s="24" t="n"/>
      <c r="I531" s="24" t="n"/>
      <c r="J531" s="24" t="n"/>
      <c r="K531" s="24" t="n"/>
      <c r="L531" s="26" t="n"/>
      <c r="M531" s="27">
        <f>IF(L531="","",IF(K531="GST 10%",ROUND(L531*set_GSTRate,2),0))</f>
        <v/>
      </c>
      <c r="N531" s="27">
        <f>IF(L531="","",L531+M531)</f>
        <v/>
      </c>
      <c r="O531" s="24" t="n"/>
      <c r="P531" s="24" t="n"/>
      <c r="Q531" s="24" t="n"/>
      <c r="R531" s="22" t="n"/>
      <c r="S531" s="22" t="n"/>
      <c r="T531" s="24" t="n"/>
      <c r="U531" s="24" t="n"/>
      <c r="V531" s="25">
        <f>IF(COUNTA(A531,D531,C531,L531)=0,"",IF(A531="","No date - sits outside every month",IF(E531="","No job number",IF(F531="CHECK","Job number is not in the Xero job list",IF(I531="","No cost centre",IF(AND(P531="Y",C531=""),"Marked posted to Xero but has no invoice number",IF(AND(L531&lt;&gt;"",K531=""),"No tax code",IF(AND(L531&lt;&gt;"",O531=""),"No revenue GL code",""))))))))</f>
        <v/>
      </c>
      <c r="W531" s="25">
        <f>IF(E531="","",IFERROR(INDEX(lst_JobName,MATCH(E531&amp;"",lst_Jobs,0)),""))</f>
        <v/>
      </c>
      <c r="X531" s="28">
        <f>IF(E531="","",COUNTIFS(tbl_Finance[Job Number],E531&amp;"",tbl_Finance[Ex GST],"&lt;&gt;"))</f>
        <v/>
      </c>
      <c r="Y531" s="27">
        <f>IF(E531="","",SUMIFS(tbl_Finance[Ex GST],tbl_Finance[Job Number],E531&amp;""))</f>
        <v/>
      </c>
      <c r="Z531" s="27">
        <f>IF(E531="","",SUMIFS(tbl_Finance[Ex GST],tbl_Finance[Job Number],E531&amp;"",tbl_Finance[Xero Invoice No],"&lt;&gt;"))</f>
        <v/>
      </c>
      <c r="AA531" s="27">
        <f>IF(E531="","",Y531-Z531)</f>
        <v/>
      </c>
      <c r="AB531" s="25">
        <f>IF(E531="","",IF(H531="Onsite",IFERROR(INDEX(tbl_Onsite[Qwilr Quote],MATCH(E531&amp;"",tbl_Onsite[Job Number],0)),""),IF(H531="Production",IFERROR(INDEX(tbl_Production[Current RMS No],MATCH(E531&amp;"",tbl_Production[Job Number],0)),""),IF(H531="Consulting",IFERROR(INDEX(tbl_Consulting[Qwilr Quote],MATCH(E531&amp;"",tbl_Consulting[Job Number],0)),""),""))))</f>
        <v/>
      </c>
      <c r="AC531" s="25">
        <f>IF(AB531="","",IF(AND(LEFT(AB531,4)&lt;&gt;"http",IF(H531="Production",set_RMSBase,set_QwilrBase)=""),"",HYPERLINK(IF(LEFT(AB531,4)="http",AB531,IF(H531="Production",set_RMSBase,set_QwilrBase)&amp;AB531),"Open")))</f>
        <v/>
      </c>
      <c r="AD531" s="27">
        <f>IF(E531="","",IF(H531="Production",IFERROR(INDEX(tbl_Production[Total Expense],MATCH(E531&amp;"",tbl_Production[Job Number],0)),0),IF(H531="Consulting",IFERROR(INDEX(tbl_Consulting[Total Expense],MATCH(E531&amp;"",tbl_Consulting[Job Number],0)),0),0)))</f>
        <v/>
      </c>
      <c r="AE531" s="27">
        <f>IF(E531="","",Y531-N(AD531))</f>
        <v/>
      </c>
      <c r="AF531" s="29">
        <f>IFERROR(AE531/Y531,"")</f>
        <v/>
      </c>
      <c r="AG531" s="25">
        <f>IF(E531="","",IF(H531="Onsite",IFERROR(INDEX(tbl_Onsite[Notes],MATCH(E531&amp;"",tbl_Onsite[Job Number],0)),""),IF(H531="Production",IFERROR(INDEX(tbl_Production[Notes],MATCH(E531&amp;"",tbl_Production[Job Number],0)),""),IF(H531="Consulting",IFERROR(INDEX(tbl_Consulting[Notes],MATCH(E531&amp;"",tbl_Consulting[Job Number],0)),""),""))))</f>
        <v/>
      </c>
    </row>
    <row r="532" ht="15" customHeight="1">
      <c r="A532" s="22" t="n"/>
      <c r="B532" s="23">
        <f>IF(A532="","",EOMONTH(A532,0))</f>
        <v/>
      </c>
      <c r="C532" s="24" t="n"/>
      <c r="D532" s="24" t="n"/>
      <c r="E532" s="24" t="n"/>
      <c r="F532" s="25">
        <f>IF(E532="","",IF(COUNTIF(lst_Jobs,E532&amp;"")&gt;0,"OK","CHECK"))</f>
        <v/>
      </c>
      <c r="G532" s="24" t="n"/>
      <c r="H532" s="24" t="n"/>
      <c r="I532" s="24" t="n"/>
      <c r="J532" s="24" t="n"/>
      <c r="K532" s="24" t="n"/>
      <c r="L532" s="26" t="n"/>
      <c r="M532" s="27">
        <f>IF(L532="","",IF(K532="GST 10%",ROUND(L532*set_GSTRate,2),0))</f>
        <v/>
      </c>
      <c r="N532" s="27">
        <f>IF(L532="","",L532+M532)</f>
        <v/>
      </c>
      <c r="O532" s="24" t="n"/>
      <c r="P532" s="24" t="n"/>
      <c r="Q532" s="24" t="n"/>
      <c r="R532" s="22" t="n"/>
      <c r="S532" s="22" t="n"/>
      <c r="T532" s="24" t="n"/>
      <c r="U532" s="24" t="n"/>
      <c r="V532" s="25">
        <f>IF(COUNTA(A532,D532,C532,L532)=0,"",IF(A532="","No date - sits outside every month",IF(E532="","No job number",IF(F532="CHECK","Job number is not in the Xero job list",IF(I532="","No cost centre",IF(AND(P532="Y",C532=""),"Marked posted to Xero but has no invoice number",IF(AND(L532&lt;&gt;"",K532=""),"No tax code",IF(AND(L532&lt;&gt;"",O532=""),"No revenue GL code",""))))))))</f>
        <v/>
      </c>
      <c r="W532" s="25">
        <f>IF(E532="","",IFERROR(INDEX(lst_JobName,MATCH(E532&amp;"",lst_Jobs,0)),""))</f>
        <v/>
      </c>
      <c r="X532" s="28">
        <f>IF(E532="","",COUNTIFS(tbl_Finance[Job Number],E532&amp;"",tbl_Finance[Ex GST],"&lt;&gt;"))</f>
        <v/>
      </c>
      <c r="Y532" s="27">
        <f>IF(E532="","",SUMIFS(tbl_Finance[Ex GST],tbl_Finance[Job Number],E532&amp;""))</f>
        <v/>
      </c>
      <c r="Z532" s="27">
        <f>IF(E532="","",SUMIFS(tbl_Finance[Ex GST],tbl_Finance[Job Number],E532&amp;"",tbl_Finance[Xero Invoice No],"&lt;&gt;"))</f>
        <v/>
      </c>
      <c r="AA532" s="27">
        <f>IF(E532="","",Y532-Z532)</f>
        <v/>
      </c>
      <c r="AB532" s="25">
        <f>IF(E532="","",IF(H532="Onsite",IFERROR(INDEX(tbl_Onsite[Qwilr Quote],MATCH(E532&amp;"",tbl_Onsite[Job Number],0)),""),IF(H532="Production",IFERROR(INDEX(tbl_Production[Current RMS No],MATCH(E532&amp;"",tbl_Production[Job Number],0)),""),IF(H532="Consulting",IFERROR(INDEX(tbl_Consulting[Qwilr Quote],MATCH(E532&amp;"",tbl_Consulting[Job Number],0)),""),""))))</f>
        <v/>
      </c>
      <c r="AC532" s="25">
        <f>IF(AB532="","",IF(AND(LEFT(AB532,4)&lt;&gt;"http",IF(H532="Production",set_RMSBase,set_QwilrBase)=""),"",HYPERLINK(IF(LEFT(AB532,4)="http",AB532,IF(H532="Production",set_RMSBase,set_QwilrBase)&amp;AB532),"Open")))</f>
        <v/>
      </c>
      <c r="AD532" s="27">
        <f>IF(E532="","",IF(H532="Production",IFERROR(INDEX(tbl_Production[Total Expense],MATCH(E532&amp;"",tbl_Production[Job Number],0)),0),IF(H532="Consulting",IFERROR(INDEX(tbl_Consulting[Total Expense],MATCH(E532&amp;"",tbl_Consulting[Job Number],0)),0),0)))</f>
        <v/>
      </c>
      <c r="AE532" s="27">
        <f>IF(E532="","",Y532-N(AD532))</f>
        <v/>
      </c>
      <c r="AF532" s="29">
        <f>IFERROR(AE532/Y532,"")</f>
        <v/>
      </c>
      <c r="AG532" s="25">
        <f>IF(E532="","",IF(H532="Onsite",IFERROR(INDEX(tbl_Onsite[Notes],MATCH(E532&amp;"",tbl_Onsite[Job Number],0)),""),IF(H532="Production",IFERROR(INDEX(tbl_Production[Notes],MATCH(E532&amp;"",tbl_Production[Job Number],0)),""),IF(H532="Consulting",IFERROR(INDEX(tbl_Consulting[Notes],MATCH(E532&amp;"",tbl_Consulting[Job Number],0)),""),""))))</f>
        <v/>
      </c>
    </row>
    <row r="533" ht="15" customHeight="1">
      <c r="A533" s="22" t="n"/>
      <c r="B533" s="23">
        <f>IF(A533="","",EOMONTH(A533,0))</f>
        <v/>
      </c>
      <c r="C533" s="24" t="n"/>
      <c r="D533" s="24" t="n"/>
      <c r="E533" s="24" t="n"/>
      <c r="F533" s="25">
        <f>IF(E533="","",IF(COUNTIF(lst_Jobs,E533&amp;"")&gt;0,"OK","CHECK"))</f>
        <v/>
      </c>
      <c r="G533" s="24" t="n"/>
      <c r="H533" s="24" t="n"/>
      <c r="I533" s="24" t="n"/>
      <c r="J533" s="24" t="n"/>
      <c r="K533" s="24" t="n"/>
      <c r="L533" s="26" t="n"/>
      <c r="M533" s="27">
        <f>IF(L533="","",IF(K533="GST 10%",ROUND(L533*set_GSTRate,2),0))</f>
        <v/>
      </c>
      <c r="N533" s="27">
        <f>IF(L533="","",L533+M533)</f>
        <v/>
      </c>
      <c r="O533" s="24" t="n"/>
      <c r="P533" s="24" t="n"/>
      <c r="Q533" s="24" t="n"/>
      <c r="R533" s="22" t="n"/>
      <c r="S533" s="22" t="n"/>
      <c r="T533" s="24" t="n"/>
      <c r="U533" s="24" t="n"/>
      <c r="V533" s="25">
        <f>IF(COUNTA(A533,D533,C533,L533)=0,"",IF(A533="","No date - sits outside every month",IF(E533="","No job number",IF(F533="CHECK","Job number is not in the Xero job list",IF(I533="","No cost centre",IF(AND(P533="Y",C533=""),"Marked posted to Xero but has no invoice number",IF(AND(L533&lt;&gt;"",K533=""),"No tax code",IF(AND(L533&lt;&gt;"",O533=""),"No revenue GL code",""))))))))</f>
        <v/>
      </c>
      <c r="W533" s="25">
        <f>IF(E533="","",IFERROR(INDEX(lst_JobName,MATCH(E533&amp;"",lst_Jobs,0)),""))</f>
        <v/>
      </c>
      <c r="X533" s="28">
        <f>IF(E533="","",COUNTIFS(tbl_Finance[Job Number],E533&amp;"",tbl_Finance[Ex GST],"&lt;&gt;"))</f>
        <v/>
      </c>
      <c r="Y533" s="27">
        <f>IF(E533="","",SUMIFS(tbl_Finance[Ex GST],tbl_Finance[Job Number],E533&amp;""))</f>
        <v/>
      </c>
      <c r="Z533" s="27">
        <f>IF(E533="","",SUMIFS(tbl_Finance[Ex GST],tbl_Finance[Job Number],E533&amp;"",tbl_Finance[Xero Invoice No],"&lt;&gt;"))</f>
        <v/>
      </c>
      <c r="AA533" s="27">
        <f>IF(E533="","",Y533-Z533)</f>
        <v/>
      </c>
      <c r="AB533" s="25">
        <f>IF(E533="","",IF(H533="Onsite",IFERROR(INDEX(tbl_Onsite[Qwilr Quote],MATCH(E533&amp;"",tbl_Onsite[Job Number],0)),""),IF(H533="Production",IFERROR(INDEX(tbl_Production[Current RMS No],MATCH(E533&amp;"",tbl_Production[Job Number],0)),""),IF(H533="Consulting",IFERROR(INDEX(tbl_Consulting[Qwilr Quote],MATCH(E533&amp;"",tbl_Consulting[Job Number],0)),""),""))))</f>
        <v/>
      </c>
      <c r="AC533" s="25">
        <f>IF(AB533="","",IF(AND(LEFT(AB533,4)&lt;&gt;"http",IF(H533="Production",set_RMSBase,set_QwilrBase)=""),"",HYPERLINK(IF(LEFT(AB533,4)="http",AB533,IF(H533="Production",set_RMSBase,set_QwilrBase)&amp;AB533),"Open")))</f>
        <v/>
      </c>
      <c r="AD533" s="27">
        <f>IF(E533="","",IF(H533="Production",IFERROR(INDEX(tbl_Production[Total Expense],MATCH(E533&amp;"",tbl_Production[Job Number],0)),0),IF(H533="Consulting",IFERROR(INDEX(tbl_Consulting[Total Expense],MATCH(E533&amp;"",tbl_Consulting[Job Number],0)),0),0)))</f>
        <v/>
      </c>
      <c r="AE533" s="27">
        <f>IF(E533="","",Y533-N(AD533))</f>
        <v/>
      </c>
      <c r="AF533" s="29">
        <f>IFERROR(AE533/Y533,"")</f>
        <v/>
      </c>
      <c r="AG533" s="25">
        <f>IF(E533="","",IF(H533="Onsite",IFERROR(INDEX(tbl_Onsite[Notes],MATCH(E533&amp;"",tbl_Onsite[Job Number],0)),""),IF(H533="Production",IFERROR(INDEX(tbl_Production[Notes],MATCH(E533&amp;"",tbl_Production[Job Number],0)),""),IF(H533="Consulting",IFERROR(INDEX(tbl_Consulting[Notes],MATCH(E533&amp;"",tbl_Consulting[Job Number],0)),""),""))))</f>
        <v/>
      </c>
    </row>
    <row r="534" ht="15" customHeight="1">
      <c r="A534" s="22" t="n"/>
      <c r="B534" s="23">
        <f>IF(A534="","",EOMONTH(A534,0))</f>
        <v/>
      </c>
      <c r="C534" s="24" t="n"/>
      <c r="D534" s="24" t="n"/>
      <c r="E534" s="24" t="n"/>
      <c r="F534" s="25">
        <f>IF(E534="","",IF(COUNTIF(lst_Jobs,E534&amp;"")&gt;0,"OK","CHECK"))</f>
        <v/>
      </c>
      <c r="G534" s="24" t="n"/>
      <c r="H534" s="24" t="n"/>
      <c r="I534" s="24" t="n"/>
      <c r="J534" s="24" t="n"/>
      <c r="K534" s="24" t="n"/>
      <c r="L534" s="26" t="n"/>
      <c r="M534" s="27">
        <f>IF(L534="","",IF(K534="GST 10%",ROUND(L534*set_GSTRate,2),0))</f>
        <v/>
      </c>
      <c r="N534" s="27">
        <f>IF(L534="","",L534+M534)</f>
        <v/>
      </c>
      <c r="O534" s="24" t="n"/>
      <c r="P534" s="24" t="n"/>
      <c r="Q534" s="24" t="n"/>
      <c r="R534" s="22" t="n"/>
      <c r="S534" s="22" t="n"/>
      <c r="T534" s="24" t="n"/>
      <c r="U534" s="24" t="n"/>
      <c r="V534" s="25">
        <f>IF(COUNTA(A534,D534,C534,L534)=0,"",IF(A534="","No date - sits outside every month",IF(E534="","No job number",IF(F534="CHECK","Job number is not in the Xero job list",IF(I534="","No cost centre",IF(AND(P534="Y",C534=""),"Marked posted to Xero but has no invoice number",IF(AND(L534&lt;&gt;"",K534=""),"No tax code",IF(AND(L534&lt;&gt;"",O534=""),"No revenue GL code",""))))))))</f>
        <v/>
      </c>
      <c r="W534" s="25">
        <f>IF(E534="","",IFERROR(INDEX(lst_JobName,MATCH(E534&amp;"",lst_Jobs,0)),""))</f>
        <v/>
      </c>
      <c r="X534" s="28">
        <f>IF(E534="","",COUNTIFS(tbl_Finance[Job Number],E534&amp;"",tbl_Finance[Ex GST],"&lt;&gt;"))</f>
        <v/>
      </c>
      <c r="Y534" s="27">
        <f>IF(E534="","",SUMIFS(tbl_Finance[Ex GST],tbl_Finance[Job Number],E534&amp;""))</f>
        <v/>
      </c>
      <c r="Z534" s="27">
        <f>IF(E534="","",SUMIFS(tbl_Finance[Ex GST],tbl_Finance[Job Number],E534&amp;"",tbl_Finance[Xero Invoice No],"&lt;&gt;"))</f>
        <v/>
      </c>
      <c r="AA534" s="27">
        <f>IF(E534="","",Y534-Z534)</f>
        <v/>
      </c>
      <c r="AB534" s="25">
        <f>IF(E534="","",IF(H534="Onsite",IFERROR(INDEX(tbl_Onsite[Qwilr Quote],MATCH(E534&amp;"",tbl_Onsite[Job Number],0)),""),IF(H534="Production",IFERROR(INDEX(tbl_Production[Current RMS No],MATCH(E534&amp;"",tbl_Production[Job Number],0)),""),IF(H534="Consulting",IFERROR(INDEX(tbl_Consulting[Qwilr Quote],MATCH(E534&amp;"",tbl_Consulting[Job Number],0)),""),""))))</f>
        <v/>
      </c>
      <c r="AC534" s="25">
        <f>IF(AB534="","",IF(AND(LEFT(AB534,4)&lt;&gt;"http",IF(H534="Production",set_RMSBase,set_QwilrBase)=""),"",HYPERLINK(IF(LEFT(AB534,4)="http",AB534,IF(H534="Production",set_RMSBase,set_QwilrBase)&amp;AB534),"Open")))</f>
        <v/>
      </c>
      <c r="AD534" s="27">
        <f>IF(E534="","",IF(H534="Production",IFERROR(INDEX(tbl_Production[Total Expense],MATCH(E534&amp;"",tbl_Production[Job Number],0)),0),IF(H534="Consulting",IFERROR(INDEX(tbl_Consulting[Total Expense],MATCH(E534&amp;"",tbl_Consulting[Job Number],0)),0),0)))</f>
        <v/>
      </c>
      <c r="AE534" s="27">
        <f>IF(E534="","",Y534-N(AD534))</f>
        <v/>
      </c>
      <c r="AF534" s="29">
        <f>IFERROR(AE534/Y534,"")</f>
        <v/>
      </c>
      <c r="AG534" s="25">
        <f>IF(E534="","",IF(H534="Onsite",IFERROR(INDEX(tbl_Onsite[Notes],MATCH(E534&amp;"",tbl_Onsite[Job Number],0)),""),IF(H534="Production",IFERROR(INDEX(tbl_Production[Notes],MATCH(E534&amp;"",tbl_Production[Job Number],0)),""),IF(H534="Consulting",IFERROR(INDEX(tbl_Consulting[Notes],MATCH(E534&amp;"",tbl_Consulting[Job Number],0)),""),""))))</f>
        <v/>
      </c>
    </row>
    <row r="535" ht="15" customHeight="1">
      <c r="A535" s="22" t="n"/>
      <c r="B535" s="23">
        <f>IF(A535="","",EOMONTH(A535,0))</f>
        <v/>
      </c>
      <c r="C535" s="24" t="n"/>
      <c r="D535" s="24" t="n"/>
      <c r="E535" s="24" t="n"/>
      <c r="F535" s="25">
        <f>IF(E535="","",IF(COUNTIF(lst_Jobs,E535&amp;"")&gt;0,"OK","CHECK"))</f>
        <v/>
      </c>
      <c r="G535" s="24" t="n"/>
      <c r="H535" s="24" t="n"/>
      <c r="I535" s="24" t="n"/>
      <c r="J535" s="24" t="n"/>
      <c r="K535" s="24" t="n"/>
      <c r="L535" s="26" t="n"/>
      <c r="M535" s="27">
        <f>IF(L535="","",IF(K535="GST 10%",ROUND(L535*set_GSTRate,2),0))</f>
        <v/>
      </c>
      <c r="N535" s="27">
        <f>IF(L535="","",L535+M535)</f>
        <v/>
      </c>
      <c r="O535" s="24" t="n"/>
      <c r="P535" s="24" t="n"/>
      <c r="Q535" s="24" t="n"/>
      <c r="R535" s="22" t="n"/>
      <c r="S535" s="22" t="n"/>
      <c r="T535" s="24" t="n"/>
      <c r="U535" s="24" t="n"/>
      <c r="V535" s="25">
        <f>IF(COUNTA(A535,D535,C535,L535)=0,"",IF(A535="","No date - sits outside every month",IF(E535="","No job number",IF(F535="CHECK","Job number is not in the Xero job list",IF(I535="","No cost centre",IF(AND(P535="Y",C535=""),"Marked posted to Xero but has no invoice number",IF(AND(L535&lt;&gt;"",K535=""),"No tax code",IF(AND(L535&lt;&gt;"",O535=""),"No revenue GL code",""))))))))</f>
        <v/>
      </c>
      <c r="W535" s="25">
        <f>IF(E535="","",IFERROR(INDEX(lst_JobName,MATCH(E535&amp;"",lst_Jobs,0)),""))</f>
        <v/>
      </c>
      <c r="X535" s="28">
        <f>IF(E535="","",COUNTIFS(tbl_Finance[Job Number],E535&amp;"",tbl_Finance[Ex GST],"&lt;&gt;"))</f>
        <v/>
      </c>
      <c r="Y535" s="27">
        <f>IF(E535="","",SUMIFS(tbl_Finance[Ex GST],tbl_Finance[Job Number],E535&amp;""))</f>
        <v/>
      </c>
      <c r="Z535" s="27">
        <f>IF(E535="","",SUMIFS(tbl_Finance[Ex GST],tbl_Finance[Job Number],E535&amp;"",tbl_Finance[Xero Invoice No],"&lt;&gt;"))</f>
        <v/>
      </c>
      <c r="AA535" s="27">
        <f>IF(E535="","",Y535-Z535)</f>
        <v/>
      </c>
      <c r="AB535" s="25">
        <f>IF(E535="","",IF(H535="Onsite",IFERROR(INDEX(tbl_Onsite[Qwilr Quote],MATCH(E535&amp;"",tbl_Onsite[Job Number],0)),""),IF(H535="Production",IFERROR(INDEX(tbl_Production[Current RMS No],MATCH(E535&amp;"",tbl_Production[Job Number],0)),""),IF(H535="Consulting",IFERROR(INDEX(tbl_Consulting[Qwilr Quote],MATCH(E535&amp;"",tbl_Consulting[Job Number],0)),""),""))))</f>
        <v/>
      </c>
      <c r="AC535" s="25">
        <f>IF(AB535="","",IF(AND(LEFT(AB535,4)&lt;&gt;"http",IF(H535="Production",set_RMSBase,set_QwilrBase)=""),"",HYPERLINK(IF(LEFT(AB535,4)="http",AB535,IF(H535="Production",set_RMSBase,set_QwilrBase)&amp;AB535),"Open")))</f>
        <v/>
      </c>
      <c r="AD535" s="27">
        <f>IF(E535="","",IF(H535="Production",IFERROR(INDEX(tbl_Production[Total Expense],MATCH(E535&amp;"",tbl_Production[Job Number],0)),0),IF(H535="Consulting",IFERROR(INDEX(tbl_Consulting[Total Expense],MATCH(E535&amp;"",tbl_Consulting[Job Number],0)),0),0)))</f>
        <v/>
      </c>
      <c r="AE535" s="27">
        <f>IF(E535="","",Y535-N(AD535))</f>
        <v/>
      </c>
      <c r="AF535" s="29">
        <f>IFERROR(AE535/Y535,"")</f>
        <v/>
      </c>
      <c r="AG535" s="25">
        <f>IF(E535="","",IF(H535="Onsite",IFERROR(INDEX(tbl_Onsite[Notes],MATCH(E535&amp;"",tbl_Onsite[Job Number],0)),""),IF(H535="Production",IFERROR(INDEX(tbl_Production[Notes],MATCH(E535&amp;"",tbl_Production[Job Number],0)),""),IF(H535="Consulting",IFERROR(INDEX(tbl_Consulting[Notes],MATCH(E535&amp;"",tbl_Consulting[Job Number],0)),""),""))))</f>
        <v/>
      </c>
    </row>
    <row r="536" ht="15" customHeight="1">
      <c r="A536" s="22" t="n"/>
      <c r="B536" s="23">
        <f>IF(A536="","",EOMONTH(A536,0))</f>
        <v/>
      </c>
      <c r="C536" s="24" t="n"/>
      <c r="D536" s="24" t="n"/>
      <c r="E536" s="24" t="n"/>
      <c r="F536" s="25">
        <f>IF(E536="","",IF(COUNTIF(lst_Jobs,E536&amp;"")&gt;0,"OK","CHECK"))</f>
        <v/>
      </c>
      <c r="G536" s="24" t="n"/>
      <c r="H536" s="24" t="n"/>
      <c r="I536" s="24" t="n"/>
      <c r="J536" s="24" t="n"/>
      <c r="K536" s="24" t="n"/>
      <c r="L536" s="26" t="n"/>
      <c r="M536" s="27">
        <f>IF(L536="","",IF(K536="GST 10%",ROUND(L536*set_GSTRate,2),0))</f>
        <v/>
      </c>
      <c r="N536" s="27">
        <f>IF(L536="","",L536+M536)</f>
        <v/>
      </c>
      <c r="O536" s="24" t="n"/>
      <c r="P536" s="24" t="n"/>
      <c r="Q536" s="24" t="n"/>
      <c r="R536" s="22" t="n"/>
      <c r="S536" s="22" t="n"/>
      <c r="T536" s="24" t="n"/>
      <c r="U536" s="24" t="n"/>
      <c r="V536" s="25">
        <f>IF(COUNTA(A536,D536,C536,L536)=0,"",IF(A536="","No date - sits outside every month",IF(E536="","No job number",IF(F536="CHECK","Job number is not in the Xero job list",IF(I536="","No cost centre",IF(AND(P536="Y",C536=""),"Marked posted to Xero but has no invoice number",IF(AND(L536&lt;&gt;"",K536=""),"No tax code",IF(AND(L536&lt;&gt;"",O536=""),"No revenue GL code",""))))))))</f>
        <v/>
      </c>
      <c r="W536" s="25">
        <f>IF(E536="","",IFERROR(INDEX(lst_JobName,MATCH(E536&amp;"",lst_Jobs,0)),""))</f>
        <v/>
      </c>
      <c r="X536" s="28">
        <f>IF(E536="","",COUNTIFS(tbl_Finance[Job Number],E536&amp;"",tbl_Finance[Ex GST],"&lt;&gt;"))</f>
        <v/>
      </c>
      <c r="Y536" s="27">
        <f>IF(E536="","",SUMIFS(tbl_Finance[Ex GST],tbl_Finance[Job Number],E536&amp;""))</f>
        <v/>
      </c>
      <c r="Z536" s="27">
        <f>IF(E536="","",SUMIFS(tbl_Finance[Ex GST],tbl_Finance[Job Number],E536&amp;"",tbl_Finance[Xero Invoice No],"&lt;&gt;"))</f>
        <v/>
      </c>
      <c r="AA536" s="27">
        <f>IF(E536="","",Y536-Z536)</f>
        <v/>
      </c>
      <c r="AB536" s="25">
        <f>IF(E536="","",IF(H536="Onsite",IFERROR(INDEX(tbl_Onsite[Qwilr Quote],MATCH(E536&amp;"",tbl_Onsite[Job Number],0)),""),IF(H536="Production",IFERROR(INDEX(tbl_Production[Current RMS No],MATCH(E536&amp;"",tbl_Production[Job Number],0)),""),IF(H536="Consulting",IFERROR(INDEX(tbl_Consulting[Qwilr Quote],MATCH(E536&amp;"",tbl_Consulting[Job Number],0)),""),""))))</f>
        <v/>
      </c>
      <c r="AC536" s="25">
        <f>IF(AB536="","",IF(AND(LEFT(AB536,4)&lt;&gt;"http",IF(H536="Production",set_RMSBase,set_QwilrBase)=""),"",HYPERLINK(IF(LEFT(AB536,4)="http",AB536,IF(H536="Production",set_RMSBase,set_QwilrBase)&amp;AB536),"Open")))</f>
        <v/>
      </c>
      <c r="AD536" s="27">
        <f>IF(E536="","",IF(H536="Production",IFERROR(INDEX(tbl_Production[Total Expense],MATCH(E536&amp;"",tbl_Production[Job Number],0)),0),IF(H536="Consulting",IFERROR(INDEX(tbl_Consulting[Total Expense],MATCH(E536&amp;"",tbl_Consulting[Job Number],0)),0),0)))</f>
        <v/>
      </c>
      <c r="AE536" s="27">
        <f>IF(E536="","",Y536-N(AD536))</f>
        <v/>
      </c>
      <c r="AF536" s="29">
        <f>IFERROR(AE536/Y536,"")</f>
        <v/>
      </c>
      <c r="AG536" s="25">
        <f>IF(E536="","",IF(H536="Onsite",IFERROR(INDEX(tbl_Onsite[Notes],MATCH(E536&amp;"",tbl_Onsite[Job Number],0)),""),IF(H536="Production",IFERROR(INDEX(tbl_Production[Notes],MATCH(E536&amp;"",tbl_Production[Job Number],0)),""),IF(H536="Consulting",IFERROR(INDEX(tbl_Consulting[Notes],MATCH(E536&amp;"",tbl_Consulting[Job Number],0)),""),""))))</f>
        <v/>
      </c>
    </row>
    <row r="537" ht="15" customHeight="1">
      <c r="A537" s="22" t="n"/>
      <c r="B537" s="23">
        <f>IF(A537="","",EOMONTH(A537,0))</f>
        <v/>
      </c>
      <c r="C537" s="24" t="n"/>
      <c r="D537" s="24" t="n"/>
      <c r="E537" s="24" t="n"/>
      <c r="F537" s="25">
        <f>IF(E537="","",IF(COUNTIF(lst_Jobs,E537&amp;"")&gt;0,"OK","CHECK"))</f>
        <v/>
      </c>
      <c r="G537" s="24" t="n"/>
      <c r="H537" s="24" t="n"/>
      <c r="I537" s="24" t="n"/>
      <c r="J537" s="24" t="n"/>
      <c r="K537" s="24" t="n"/>
      <c r="L537" s="26" t="n"/>
      <c r="M537" s="27">
        <f>IF(L537="","",IF(K537="GST 10%",ROUND(L537*set_GSTRate,2),0))</f>
        <v/>
      </c>
      <c r="N537" s="27">
        <f>IF(L537="","",L537+M537)</f>
        <v/>
      </c>
      <c r="O537" s="24" t="n"/>
      <c r="P537" s="24" t="n"/>
      <c r="Q537" s="24" t="n"/>
      <c r="R537" s="22" t="n"/>
      <c r="S537" s="22" t="n"/>
      <c r="T537" s="24" t="n"/>
      <c r="U537" s="24" t="n"/>
      <c r="V537" s="25">
        <f>IF(COUNTA(A537,D537,C537,L537)=0,"",IF(A537="","No date - sits outside every month",IF(E537="","No job number",IF(F537="CHECK","Job number is not in the Xero job list",IF(I537="","No cost centre",IF(AND(P537="Y",C537=""),"Marked posted to Xero but has no invoice number",IF(AND(L537&lt;&gt;"",K537=""),"No tax code",IF(AND(L537&lt;&gt;"",O537=""),"No revenue GL code",""))))))))</f>
        <v/>
      </c>
      <c r="W537" s="25">
        <f>IF(E537="","",IFERROR(INDEX(lst_JobName,MATCH(E537&amp;"",lst_Jobs,0)),""))</f>
        <v/>
      </c>
      <c r="X537" s="28">
        <f>IF(E537="","",COUNTIFS(tbl_Finance[Job Number],E537&amp;"",tbl_Finance[Ex GST],"&lt;&gt;"))</f>
        <v/>
      </c>
      <c r="Y537" s="27">
        <f>IF(E537="","",SUMIFS(tbl_Finance[Ex GST],tbl_Finance[Job Number],E537&amp;""))</f>
        <v/>
      </c>
      <c r="Z537" s="27">
        <f>IF(E537="","",SUMIFS(tbl_Finance[Ex GST],tbl_Finance[Job Number],E537&amp;"",tbl_Finance[Xero Invoice No],"&lt;&gt;"))</f>
        <v/>
      </c>
      <c r="AA537" s="27">
        <f>IF(E537="","",Y537-Z537)</f>
        <v/>
      </c>
      <c r="AB537" s="25">
        <f>IF(E537="","",IF(H537="Onsite",IFERROR(INDEX(tbl_Onsite[Qwilr Quote],MATCH(E537&amp;"",tbl_Onsite[Job Number],0)),""),IF(H537="Production",IFERROR(INDEX(tbl_Production[Current RMS No],MATCH(E537&amp;"",tbl_Production[Job Number],0)),""),IF(H537="Consulting",IFERROR(INDEX(tbl_Consulting[Qwilr Quote],MATCH(E537&amp;"",tbl_Consulting[Job Number],0)),""),""))))</f>
        <v/>
      </c>
      <c r="AC537" s="25">
        <f>IF(AB537="","",IF(AND(LEFT(AB537,4)&lt;&gt;"http",IF(H537="Production",set_RMSBase,set_QwilrBase)=""),"",HYPERLINK(IF(LEFT(AB537,4)="http",AB537,IF(H537="Production",set_RMSBase,set_QwilrBase)&amp;AB537),"Open")))</f>
        <v/>
      </c>
      <c r="AD537" s="27">
        <f>IF(E537="","",IF(H537="Production",IFERROR(INDEX(tbl_Production[Total Expense],MATCH(E537&amp;"",tbl_Production[Job Number],0)),0),IF(H537="Consulting",IFERROR(INDEX(tbl_Consulting[Total Expense],MATCH(E537&amp;"",tbl_Consulting[Job Number],0)),0),0)))</f>
        <v/>
      </c>
      <c r="AE537" s="27">
        <f>IF(E537="","",Y537-N(AD537))</f>
        <v/>
      </c>
      <c r="AF537" s="29">
        <f>IFERROR(AE537/Y537,"")</f>
        <v/>
      </c>
      <c r="AG537" s="25">
        <f>IF(E537="","",IF(H537="Onsite",IFERROR(INDEX(tbl_Onsite[Notes],MATCH(E537&amp;"",tbl_Onsite[Job Number],0)),""),IF(H537="Production",IFERROR(INDEX(tbl_Production[Notes],MATCH(E537&amp;"",tbl_Production[Job Number],0)),""),IF(H537="Consulting",IFERROR(INDEX(tbl_Consulting[Notes],MATCH(E537&amp;"",tbl_Consulting[Job Number],0)),""),""))))</f>
        <v/>
      </c>
    </row>
    <row r="538" ht="15" customHeight="1">
      <c r="A538" s="22" t="n"/>
      <c r="B538" s="23">
        <f>IF(A538="","",EOMONTH(A538,0))</f>
        <v/>
      </c>
      <c r="C538" s="24" t="n"/>
      <c r="D538" s="24" t="n"/>
      <c r="E538" s="24" t="n"/>
      <c r="F538" s="25">
        <f>IF(E538="","",IF(COUNTIF(lst_Jobs,E538&amp;"")&gt;0,"OK","CHECK"))</f>
        <v/>
      </c>
      <c r="G538" s="24" t="n"/>
      <c r="H538" s="24" t="n"/>
      <c r="I538" s="24" t="n"/>
      <c r="J538" s="24" t="n"/>
      <c r="K538" s="24" t="n"/>
      <c r="L538" s="26" t="n"/>
      <c r="M538" s="27">
        <f>IF(L538="","",IF(K538="GST 10%",ROUND(L538*set_GSTRate,2),0))</f>
        <v/>
      </c>
      <c r="N538" s="27">
        <f>IF(L538="","",L538+M538)</f>
        <v/>
      </c>
      <c r="O538" s="24" t="n"/>
      <c r="P538" s="24" t="n"/>
      <c r="Q538" s="24" t="n"/>
      <c r="R538" s="22" t="n"/>
      <c r="S538" s="22" t="n"/>
      <c r="T538" s="24" t="n"/>
      <c r="U538" s="24" t="n"/>
      <c r="V538" s="25">
        <f>IF(COUNTA(A538,D538,C538,L538)=0,"",IF(A538="","No date - sits outside every month",IF(E538="","No job number",IF(F538="CHECK","Job number is not in the Xero job list",IF(I538="","No cost centre",IF(AND(P538="Y",C538=""),"Marked posted to Xero but has no invoice number",IF(AND(L538&lt;&gt;"",K538=""),"No tax code",IF(AND(L538&lt;&gt;"",O538=""),"No revenue GL code",""))))))))</f>
        <v/>
      </c>
      <c r="W538" s="25">
        <f>IF(E538="","",IFERROR(INDEX(lst_JobName,MATCH(E538&amp;"",lst_Jobs,0)),""))</f>
        <v/>
      </c>
      <c r="X538" s="28">
        <f>IF(E538="","",COUNTIFS(tbl_Finance[Job Number],E538&amp;"",tbl_Finance[Ex GST],"&lt;&gt;"))</f>
        <v/>
      </c>
      <c r="Y538" s="27">
        <f>IF(E538="","",SUMIFS(tbl_Finance[Ex GST],tbl_Finance[Job Number],E538&amp;""))</f>
        <v/>
      </c>
      <c r="Z538" s="27">
        <f>IF(E538="","",SUMIFS(tbl_Finance[Ex GST],tbl_Finance[Job Number],E538&amp;"",tbl_Finance[Xero Invoice No],"&lt;&gt;"))</f>
        <v/>
      </c>
      <c r="AA538" s="27">
        <f>IF(E538="","",Y538-Z538)</f>
        <v/>
      </c>
      <c r="AB538" s="25">
        <f>IF(E538="","",IF(H538="Onsite",IFERROR(INDEX(tbl_Onsite[Qwilr Quote],MATCH(E538&amp;"",tbl_Onsite[Job Number],0)),""),IF(H538="Production",IFERROR(INDEX(tbl_Production[Current RMS No],MATCH(E538&amp;"",tbl_Production[Job Number],0)),""),IF(H538="Consulting",IFERROR(INDEX(tbl_Consulting[Qwilr Quote],MATCH(E538&amp;"",tbl_Consulting[Job Number],0)),""),""))))</f>
        <v/>
      </c>
      <c r="AC538" s="25">
        <f>IF(AB538="","",IF(AND(LEFT(AB538,4)&lt;&gt;"http",IF(H538="Production",set_RMSBase,set_QwilrBase)=""),"",HYPERLINK(IF(LEFT(AB538,4)="http",AB538,IF(H538="Production",set_RMSBase,set_QwilrBase)&amp;AB538),"Open")))</f>
        <v/>
      </c>
      <c r="AD538" s="27">
        <f>IF(E538="","",IF(H538="Production",IFERROR(INDEX(tbl_Production[Total Expense],MATCH(E538&amp;"",tbl_Production[Job Number],0)),0),IF(H538="Consulting",IFERROR(INDEX(tbl_Consulting[Total Expense],MATCH(E538&amp;"",tbl_Consulting[Job Number],0)),0),0)))</f>
        <v/>
      </c>
      <c r="AE538" s="27">
        <f>IF(E538="","",Y538-N(AD538))</f>
        <v/>
      </c>
      <c r="AF538" s="29">
        <f>IFERROR(AE538/Y538,"")</f>
        <v/>
      </c>
      <c r="AG538" s="25">
        <f>IF(E538="","",IF(H538="Onsite",IFERROR(INDEX(tbl_Onsite[Notes],MATCH(E538&amp;"",tbl_Onsite[Job Number],0)),""),IF(H538="Production",IFERROR(INDEX(tbl_Production[Notes],MATCH(E538&amp;"",tbl_Production[Job Number],0)),""),IF(H538="Consulting",IFERROR(INDEX(tbl_Consulting[Notes],MATCH(E538&amp;"",tbl_Consulting[Job Number],0)),""),""))))</f>
        <v/>
      </c>
    </row>
    <row r="539" ht="15" customHeight="1">
      <c r="A539" s="22" t="n"/>
      <c r="B539" s="23">
        <f>IF(A539="","",EOMONTH(A539,0))</f>
        <v/>
      </c>
      <c r="C539" s="24" t="n"/>
      <c r="D539" s="24" t="n"/>
      <c r="E539" s="24" t="n"/>
      <c r="F539" s="25">
        <f>IF(E539="","",IF(COUNTIF(lst_Jobs,E539&amp;"")&gt;0,"OK","CHECK"))</f>
        <v/>
      </c>
      <c r="G539" s="24" t="n"/>
      <c r="H539" s="24" t="n"/>
      <c r="I539" s="24" t="n"/>
      <c r="J539" s="24" t="n"/>
      <c r="K539" s="24" t="n"/>
      <c r="L539" s="26" t="n"/>
      <c r="M539" s="27">
        <f>IF(L539="","",IF(K539="GST 10%",ROUND(L539*set_GSTRate,2),0))</f>
        <v/>
      </c>
      <c r="N539" s="27">
        <f>IF(L539="","",L539+M539)</f>
        <v/>
      </c>
      <c r="O539" s="24" t="n"/>
      <c r="P539" s="24" t="n"/>
      <c r="Q539" s="24" t="n"/>
      <c r="R539" s="22" t="n"/>
      <c r="S539" s="22" t="n"/>
      <c r="T539" s="24" t="n"/>
      <c r="U539" s="24" t="n"/>
      <c r="V539" s="25">
        <f>IF(COUNTA(A539,D539,C539,L539)=0,"",IF(A539="","No date - sits outside every month",IF(E539="","No job number",IF(F539="CHECK","Job number is not in the Xero job list",IF(I539="","No cost centre",IF(AND(P539="Y",C539=""),"Marked posted to Xero but has no invoice number",IF(AND(L539&lt;&gt;"",K539=""),"No tax code",IF(AND(L539&lt;&gt;"",O539=""),"No revenue GL code",""))))))))</f>
        <v/>
      </c>
      <c r="W539" s="25">
        <f>IF(E539="","",IFERROR(INDEX(lst_JobName,MATCH(E539&amp;"",lst_Jobs,0)),""))</f>
        <v/>
      </c>
      <c r="X539" s="28">
        <f>IF(E539="","",COUNTIFS(tbl_Finance[Job Number],E539&amp;"",tbl_Finance[Ex GST],"&lt;&gt;"))</f>
        <v/>
      </c>
      <c r="Y539" s="27">
        <f>IF(E539="","",SUMIFS(tbl_Finance[Ex GST],tbl_Finance[Job Number],E539&amp;""))</f>
        <v/>
      </c>
      <c r="Z539" s="27">
        <f>IF(E539="","",SUMIFS(tbl_Finance[Ex GST],tbl_Finance[Job Number],E539&amp;"",tbl_Finance[Xero Invoice No],"&lt;&gt;"))</f>
        <v/>
      </c>
      <c r="AA539" s="27">
        <f>IF(E539="","",Y539-Z539)</f>
        <v/>
      </c>
      <c r="AB539" s="25">
        <f>IF(E539="","",IF(H539="Onsite",IFERROR(INDEX(tbl_Onsite[Qwilr Quote],MATCH(E539&amp;"",tbl_Onsite[Job Number],0)),""),IF(H539="Production",IFERROR(INDEX(tbl_Production[Current RMS No],MATCH(E539&amp;"",tbl_Production[Job Number],0)),""),IF(H539="Consulting",IFERROR(INDEX(tbl_Consulting[Qwilr Quote],MATCH(E539&amp;"",tbl_Consulting[Job Number],0)),""),""))))</f>
        <v/>
      </c>
      <c r="AC539" s="25">
        <f>IF(AB539="","",IF(AND(LEFT(AB539,4)&lt;&gt;"http",IF(H539="Production",set_RMSBase,set_QwilrBase)=""),"",HYPERLINK(IF(LEFT(AB539,4)="http",AB539,IF(H539="Production",set_RMSBase,set_QwilrBase)&amp;AB539),"Open")))</f>
        <v/>
      </c>
      <c r="AD539" s="27">
        <f>IF(E539="","",IF(H539="Production",IFERROR(INDEX(tbl_Production[Total Expense],MATCH(E539&amp;"",tbl_Production[Job Number],0)),0),IF(H539="Consulting",IFERROR(INDEX(tbl_Consulting[Total Expense],MATCH(E539&amp;"",tbl_Consulting[Job Number],0)),0),0)))</f>
        <v/>
      </c>
      <c r="AE539" s="27">
        <f>IF(E539="","",Y539-N(AD539))</f>
        <v/>
      </c>
      <c r="AF539" s="29">
        <f>IFERROR(AE539/Y539,"")</f>
        <v/>
      </c>
      <c r="AG539" s="25">
        <f>IF(E539="","",IF(H539="Onsite",IFERROR(INDEX(tbl_Onsite[Notes],MATCH(E539&amp;"",tbl_Onsite[Job Number],0)),""),IF(H539="Production",IFERROR(INDEX(tbl_Production[Notes],MATCH(E539&amp;"",tbl_Production[Job Number],0)),""),IF(H539="Consulting",IFERROR(INDEX(tbl_Consulting[Notes],MATCH(E539&amp;"",tbl_Consulting[Job Number],0)),""),""))))</f>
        <v/>
      </c>
    </row>
    <row r="540" ht="15" customHeight="1">
      <c r="A540" s="22" t="n"/>
      <c r="B540" s="23">
        <f>IF(A540="","",EOMONTH(A540,0))</f>
        <v/>
      </c>
      <c r="C540" s="24" t="n"/>
      <c r="D540" s="24" t="n"/>
      <c r="E540" s="24" t="n"/>
      <c r="F540" s="25">
        <f>IF(E540="","",IF(COUNTIF(lst_Jobs,E540&amp;"")&gt;0,"OK","CHECK"))</f>
        <v/>
      </c>
      <c r="G540" s="24" t="n"/>
      <c r="H540" s="24" t="n"/>
      <c r="I540" s="24" t="n"/>
      <c r="J540" s="24" t="n"/>
      <c r="K540" s="24" t="n"/>
      <c r="L540" s="26" t="n"/>
      <c r="M540" s="27">
        <f>IF(L540="","",IF(K540="GST 10%",ROUND(L540*set_GSTRate,2),0))</f>
        <v/>
      </c>
      <c r="N540" s="27">
        <f>IF(L540="","",L540+M540)</f>
        <v/>
      </c>
      <c r="O540" s="24" t="n"/>
      <c r="P540" s="24" t="n"/>
      <c r="Q540" s="24" t="n"/>
      <c r="R540" s="22" t="n"/>
      <c r="S540" s="22" t="n"/>
      <c r="T540" s="24" t="n"/>
      <c r="U540" s="24" t="n"/>
      <c r="V540" s="25">
        <f>IF(COUNTA(A540,D540,C540,L540)=0,"",IF(A540="","No date - sits outside every month",IF(E540="","No job number",IF(F540="CHECK","Job number is not in the Xero job list",IF(I540="","No cost centre",IF(AND(P540="Y",C540=""),"Marked posted to Xero but has no invoice number",IF(AND(L540&lt;&gt;"",K540=""),"No tax code",IF(AND(L540&lt;&gt;"",O540=""),"No revenue GL code",""))))))))</f>
        <v/>
      </c>
      <c r="W540" s="25">
        <f>IF(E540="","",IFERROR(INDEX(lst_JobName,MATCH(E540&amp;"",lst_Jobs,0)),""))</f>
        <v/>
      </c>
      <c r="X540" s="28">
        <f>IF(E540="","",COUNTIFS(tbl_Finance[Job Number],E540&amp;"",tbl_Finance[Ex GST],"&lt;&gt;"))</f>
        <v/>
      </c>
      <c r="Y540" s="27">
        <f>IF(E540="","",SUMIFS(tbl_Finance[Ex GST],tbl_Finance[Job Number],E540&amp;""))</f>
        <v/>
      </c>
      <c r="Z540" s="27">
        <f>IF(E540="","",SUMIFS(tbl_Finance[Ex GST],tbl_Finance[Job Number],E540&amp;"",tbl_Finance[Xero Invoice No],"&lt;&gt;"))</f>
        <v/>
      </c>
      <c r="AA540" s="27">
        <f>IF(E540="","",Y540-Z540)</f>
        <v/>
      </c>
      <c r="AB540" s="25">
        <f>IF(E540="","",IF(H540="Onsite",IFERROR(INDEX(tbl_Onsite[Qwilr Quote],MATCH(E540&amp;"",tbl_Onsite[Job Number],0)),""),IF(H540="Production",IFERROR(INDEX(tbl_Production[Current RMS No],MATCH(E540&amp;"",tbl_Production[Job Number],0)),""),IF(H540="Consulting",IFERROR(INDEX(tbl_Consulting[Qwilr Quote],MATCH(E540&amp;"",tbl_Consulting[Job Number],0)),""),""))))</f>
        <v/>
      </c>
      <c r="AC540" s="25">
        <f>IF(AB540="","",IF(AND(LEFT(AB540,4)&lt;&gt;"http",IF(H540="Production",set_RMSBase,set_QwilrBase)=""),"",HYPERLINK(IF(LEFT(AB540,4)="http",AB540,IF(H540="Production",set_RMSBase,set_QwilrBase)&amp;AB540),"Open")))</f>
        <v/>
      </c>
      <c r="AD540" s="27">
        <f>IF(E540="","",IF(H540="Production",IFERROR(INDEX(tbl_Production[Total Expense],MATCH(E540&amp;"",tbl_Production[Job Number],0)),0),IF(H540="Consulting",IFERROR(INDEX(tbl_Consulting[Total Expense],MATCH(E540&amp;"",tbl_Consulting[Job Number],0)),0),0)))</f>
        <v/>
      </c>
      <c r="AE540" s="27">
        <f>IF(E540="","",Y540-N(AD540))</f>
        <v/>
      </c>
      <c r="AF540" s="29">
        <f>IFERROR(AE540/Y540,"")</f>
        <v/>
      </c>
      <c r="AG540" s="25">
        <f>IF(E540="","",IF(H540="Onsite",IFERROR(INDEX(tbl_Onsite[Notes],MATCH(E540&amp;"",tbl_Onsite[Job Number],0)),""),IF(H540="Production",IFERROR(INDEX(tbl_Production[Notes],MATCH(E540&amp;"",tbl_Production[Job Number],0)),""),IF(H540="Consulting",IFERROR(INDEX(tbl_Consulting[Notes],MATCH(E540&amp;"",tbl_Consulting[Job Number],0)),""),""))))</f>
        <v/>
      </c>
    </row>
    <row r="541" ht="15" customHeight="1">
      <c r="A541" s="22" t="n"/>
      <c r="B541" s="23">
        <f>IF(A541="","",EOMONTH(A541,0))</f>
        <v/>
      </c>
      <c r="C541" s="24" t="n"/>
      <c r="D541" s="24" t="n"/>
      <c r="E541" s="24" t="n"/>
      <c r="F541" s="25">
        <f>IF(E541="","",IF(COUNTIF(lst_Jobs,E541&amp;"")&gt;0,"OK","CHECK"))</f>
        <v/>
      </c>
      <c r="G541" s="24" t="n"/>
      <c r="H541" s="24" t="n"/>
      <c r="I541" s="24" t="n"/>
      <c r="J541" s="24" t="n"/>
      <c r="K541" s="24" t="n"/>
      <c r="L541" s="26" t="n"/>
      <c r="M541" s="27">
        <f>IF(L541="","",IF(K541="GST 10%",ROUND(L541*set_GSTRate,2),0))</f>
        <v/>
      </c>
      <c r="N541" s="27">
        <f>IF(L541="","",L541+M541)</f>
        <v/>
      </c>
      <c r="O541" s="24" t="n"/>
      <c r="P541" s="24" t="n"/>
      <c r="Q541" s="24" t="n"/>
      <c r="R541" s="22" t="n"/>
      <c r="S541" s="22" t="n"/>
      <c r="T541" s="24" t="n"/>
      <c r="U541" s="24" t="n"/>
      <c r="V541" s="25">
        <f>IF(COUNTA(A541,D541,C541,L541)=0,"",IF(A541="","No date - sits outside every month",IF(E541="","No job number",IF(F541="CHECK","Job number is not in the Xero job list",IF(I541="","No cost centre",IF(AND(P541="Y",C541=""),"Marked posted to Xero but has no invoice number",IF(AND(L541&lt;&gt;"",K541=""),"No tax code",IF(AND(L541&lt;&gt;"",O541=""),"No revenue GL code",""))))))))</f>
        <v/>
      </c>
      <c r="W541" s="25">
        <f>IF(E541="","",IFERROR(INDEX(lst_JobName,MATCH(E541&amp;"",lst_Jobs,0)),""))</f>
        <v/>
      </c>
      <c r="X541" s="28">
        <f>IF(E541="","",COUNTIFS(tbl_Finance[Job Number],E541&amp;"",tbl_Finance[Ex GST],"&lt;&gt;"))</f>
        <v/>
      </c>
      <c r="Y541" s="27">
        <f>IF(E541="","",SUMIFS(tbl_Finance[Ex GST],tbl_Finance[Job Number],E541&amp;""))</f>
        <v/>
      </c>
      <c r="Z541" s="27">
        <f>IF(E541="","",SUMIFS(tbl_Finance[Ex GST],tbl_Finance[Job Number],E541&amp;"",tbl_Finance[Xero Invoice No],"&lt;&gt;"))</f>
        <v/>
      </c>
      <c r="AA541" s="27">
        <f>IF(E541="","",Y541-Z541)</f>
        <v/>
      </c>
      <c r="AB541" s="25">
        <f>IF(E541="","",IF(H541="Onsite",IFERROR(INDEX(tbl_Onsite[Qwilr Quote],MATCH(E541&amp;"",tbl_Onsite[Job Number],0)),""),IF(H541="Production",IFERROR(INDEX(tbl_Production[Current RMS No],MATCH(E541&amp;"",tbl_Production[Job Number],0)),""),IF(H541="Consulting",IFERROR(INDEX(tbl_Consulting[Qwilr Quote],MATCH(E541&amp;"",tbl_Consulting[Job Number],0)),""),""))))</f>
        <v/>
      </c>
      <c r="AC541" s="25">
        <f>IF(AB541="","",IF(AND(LEFT(AB541,4)&lt;&gt;"http",IF(H541="Production",set_RMSBase,set_QwilrBase)=""),"",HYPERLINK(IF(LEFT(AB541,4)="http",AB541,IF(H541="Production",set_RMSBase,set_QwilrBase)&amp;AB541),"Open")))</f>
        <v/>
      </c>
      <c r="AD541" s="27">
        <f>IF(E541="","",IF(H541="Production",IFERROR(INDEX(tbl_Production[Total Expense],MATCH(E541&amp;"",tbl_Production[Job Number],0)),0),IF(H541="Consulting",IFERROR(INDEX(tbl_Consulting[Total Expense],MATCH(E541&amp;"",tbl_Consulting[Job Number],0)),0),0)))</f>
        <v/>
      </c>
      <c r="AE541" s="27">
        <f>IF(E541="","",Y541-N(AD541))</f>
        <v/>
      </c>
      <c r="AF541" s="29">
        <f>IFERROR(AE541/Y541,"")</f>
        <v/>
      </c>
      <c r="AG541" s="25">
        <f>IF(E541="","",IF(H541="Onsite",IFERROR(INDEX(tbl_Onsite[Notes],MATCH(E541&amp;"",tbl_Onsite[Job Number],0)),""),IF(H541="Production",IFERROR(INDEX(tbl_Production[Notes],MATCH(E541&amp;"",tbl_Production[Job Number],0)),""),IF(H541="Consulting",IFERROR(INDEX(tbl_Consulting[Notes],MATCH(E541&amp;"",tbl_Consulting[Job Number],0)),""),""))))</f>
        <v/>
      </c>
    </row>
    <row r="542" ht="15" customHeight="1">
      <c r="A542" s="22" t="n"/>
      <c r="B542" s="23">
        <f>IF(A542="","",EOMONTH(A542,0))</f>
        <v/>
      </c>
      <c r="C542" s="24" t="n"/>
      <c r="D542" s="24" t="n"/>
      <c r="E542" s="24" t="n"/>
      <c r="F542" s="25">
        <f>IF(E542="","",IF(COUNTIF(lst_Jobs,E542&amp;"")&gt;0,"OK","CHECK"))</f>
        <v/>
      </c>
      <c r="G542" s="24" t="n"/>
      <c r="H542" s="24" t="n"/>
      <c r="I542" s="24" t="n"/>
      <c r="J542" s="24" t="n"/>
      <c r="K542" s="24" t="n"/>
      <c r="L542" s="26" t="n"/>
      <c r="M542" s="27">
        <f>IF(L542="","",IF(K542="GST 10%",ROUND(L542*set_GSTRate,2),0))</f>
        <v/>
      </c>
      <c r="N542" s="27">
        <f>IF(L542="","",L542+M542)</f>
        <v/>
      </c>
      <c r="O542" s="24" t="n"/>
      <c r="P542" s="24" t="n"/>
      <c r="Q542" s="24" t="n"/>
      <c r="R542" s="22" t="n"/>
      <c r="S542" s="22" t="n"/>
      <c r="T542" s="24" t="n"/>
      <c r="U542" s="24" t="n"/>
      <c r="V542" s="25">
        <f>IF(COUNTA(A542,D542,C542,L542)=0,"",IF(A542="","No date - sits outside every month",IF(E542="","No job number",IF(F542="CHECK","Job number is not in the Xero job list",IF(I542="","No cost centre",IF(AND(P542="Y",C542=""),"Marked posted to Xero but has no invoice number",IF(AND(L542&lt;&gt;"",K542=""),"No tax code",IF(AND(L542&lt;&gt;"",O542=""),"No revenue GL code",""))))))))</f>
        <v/>
      </c>
      <c r="W542" s="25">
        <f>IF(E542="","",IFERROR(INDEX(lst_JobName,MATCH(E542&amp;"",lst_Jobs,0)),""))</f>
        <v/>
      </c>
      <c r="X542" s="28">
        <f>IF(E542="","",COUNTIFS(tbl_Finance[Job Number],E542&amp;"",tbl_Finance[Ex GST],"&lt;&gt;"))</f>
        <v/>
      </c>
      <c r="Y542" s="27">
        <f>IF(E542="","",SUMIFS(tbl_Finance[Ex GST],tbl_Finance[Job Number],E542&amp;""))</f>
        <v/>
      </c>
      <c r="Z542" s="27">
        <f>IF(E542="","",SUMIFS(tbl_Finance[Ex GST],tbl_Finance[Job Number],E542&amp;"",tbl_Finance[Xero Invoice No],"&lt;&gt;"))</f>
        <v/>
      </c>
      <c r="AA542" s="27">
        <f>IF(E542="","",Y542-Z542)</f>
        <v/>
      </c>
      <c r="AB542" s="25">
        <f>IF(E542="","",IF(H542="Onsite",IFERROR(INDEX(tbl_Onsite[Qwilr Quote],MATCH(E542&amp;"",tbl_Onsite[Job Number],0)),""),IF(H542="Production",IFERROR(INDEX(tbl_Production[Current RMS No],MATCH(E542&amp;"",tbl_Production[Job Number],0)),""),IF(H542="Consulting",IFERROR(INDEX(tbl_Consulting[Qwilr Quote],MATCH(E542&amp;"",tbl_Consulting[Job Number],0)),""),""))))</f>
        <v/>
      </c>
      <c r="AC542" s="25">
        <f>IF(AB542="","",IF(AND(LEFT(AB542,4)&lt;&gt;"http",IF(H542="Production",set_RMSBase,set_QwilrBase)=""),"",HYPERLINK(IF(LEFT(AB542,4)="http",AB542,IF(H542="Production",set_RMSBase,set_QwilrBase)&amp;AB542),"Open")))</f>
        <v/>
      </c>
      <c r="AD542" s="27">
        <f>IF(E542="","",IF(H542="Production",IFERROR(INDEX(tbl_Production[Total Expense],MATCH(E542&amp;"",tbl_Production[Job Number],0)),0),IF(H542="Consulting",IFERROR(INDEX(tbl_Consulting[Total Expense],MATCH(E542&amp;"",tbl_Consulting[Job Number],0)),0),0)))</f>
        <v/>
      </c>
      <c r="AE542" s="27">
        <f>IF(E542="","",Y542-N(AD542))</f>
        <v/>
      </c>
      <c r="AF542" s="29">
        <f>IFERROR(AE542/Y542,"")</f>
        <v/>
      </c>
      <c r="AG542" s="25">
        <f>IF(E542="","",IF(H542="Onsite",IFERROR(INDEX(tbl_Onsite[Notes],MATCH(E542&amp;"",tbl_Onsite[Job Number],0)),""),IF(H542="Production",IFERROR(INDEX(tbl_Production[Notes],MATCH(E542&amp;"",tbl_Production[Job Number],0)),""),IF(H542="Consulting",IFERROR(INDEX(tbl_Consulting[Notes],MATCH(E542&amp;"",tbl_Consulting[Job Number],0)),""),""))))</f>
        <v/>
      </c>
    </row>
    <row r="543" ht="15" customHeight="1">
      <c r="A543" s="22" t="n"/>
      <c r="B543" s="23">
        <f>IF(A543="","",EOMONTH(A543,0))</f>
        <v/>
      </c>
      <c r="C543" s="24" t="n"/>
      <c r="D543" s="24" t="n"/>
      <c r="E543" s="24" t="n"/>
      <c r="F543" s="25">
        <f>IF(E543="","",IF(COUNTIF(lst_Jobs,E543&amp;"")&gt;0,"OK","CHECK"))</f>
        <v/>
      </c>
      <c r="G543" s="24" t="n"/>
      <c r="H543" s="24" t="n"/>
      <c r="I543" s="24" t="n"/>
      <c r="J543" s="24" t="n"/>
      <c r="K543" s="24" t="n"/>
      <c r="L543" s="26" t="n"/>
      <c r="M543" s="27">
        <f>IF(L543="","",IF(K543="GST 10%",ROUND(L543*set_GSTRate,2),0))</f>
        <v/>
      </c>
      <c r="N543" s="27">
        <f>IF(L543="","",L543+M543)</f>
        <v/>
      </c>
      <c r="O543" s="24" t="n"/>
      <c r="P543" s="24" t="n"/>
      <c r="Q543" s="24" t="n"/>
      <c r="R543" s="22" t="n"/>
      <c r="S543" s="22" t="n"/>
      <c r="T543" s="24" t="n"/>
      <c r="U543" s="24" t="n"/>
      <c r="V543" s="25">
        <f>IF(COUNTA(A543,D543,C543,L543)=0,"",IF(A543="","No date - sits outside every month",IF(E543="","No job number",IF(F543="CHECK","Job number is not in the Xero job list",IF(I543="","No cost centre",IF(AND(P543="Y",C543=""),"Marked posted to Xero but has no invoice number",IF(AND(L543&lt;&gt;"",K543=""),"No tax code",IF(AND(L543&lt;&gt;"",O543=""),"No revenue GL code",""))))))))</f>
        <v/>
      </c>
      <c r="W543" s="25">
        <f>IF(E543="","",IFERROR(INDEX(lst_JobName,MATCH(E543&amp;"",lst_Jobs,0)),""))</f>
        <v/>
      </c>
      <c r="X543" s="28">
        <f>IF(E543="","",COUNTIFS(tbl_Finance[Job Number],E543&amp;"",tbl_Finance[Ex GST],"&lt;&gt;"))</f>
        <v/>
      </c>
      <c r="Y543" s="27">
        <f>IF(E543="","",SUMIFS(tbl_Finance[Ex GST],tbl_Finance[Job Number],E543&amp;""))</f>
        <v/>
      </c>
      <c r="Z543" s="27">
        <f>IF(E543="","",SUMIFS(tbl_Finance[Ex GST],tbl_Finance[Job Number],E543&amp;"",tbl_Finance[Xero Invoice No],"&lt;&gt;"))</f>
        <v/>
      </c>
      <c r="AA543" s="27">
        <f>IF(E543="","",Y543-Z543)</f>
        <v/>
      </c>
      <c r="AB543" s="25">
        <f>IF(E543="","",IF(H543="Onsite",IFERROR(INDEX(tbl_Onsite[Qwilr Quote],MATCH(E543&amp;"",tbl_Onsite[Job Number],0)),""),IF(H543="Production",IFERROR(INDEX(tbl_Production[Current RMS No],MATCH(E543&amp;"",tbl_Production[Job Number],0)),""),IF(H543="Consulting",IFERROR(INDEX(tbl_Consulting[Qwilr Quote],MATCH(E543&amp;"",tbl_Consulting[Job Number],0)),""),""))))</f>
        <v/>
      </c>
      <c r="AC543" s="25">
        <f>IF(AB543="","",IF(AND(LEFT(AB543,4)&lt;&gt;"http",IF(H543="Production",set_RMSBase,set_QwilrBase)=""),"",HYPERLINK(IF(LEFT(AB543,4)="http",AB543,IF(H543="Production",set_RMSBase,set_QwilrBase)&amp;AB543),"Open")))</f>
        <v/>
      </c>
      <c r="AD543" s="27">
        <f>IF(E543="","",IF(H543="Production",IFERROR(INDEX(tbl_Production[Total Expense],MATCH(E543&amp;"",tbl_Production[Job Number],0)),0),IF(H543="Consulting",IFERROR(INDEX(tbl_Consulting[Total Expense],MATCH(E543&amp;"",tbl_Consulting[Job Number],0)),0),0)))</f>
        <v/>
      </c>
      <c r="AE543" s="27">
        <f>IF(E543="","",Y543-N(AD543))</f>
        <v/>
      </c>
      <c r="AF543" s="29">
        <f>IFERROR(AE543/Y543,"")</f>
        <v/>
      </c>
      <c r="AG543" s="25">
        <f>IF(E543="","",IF(H543="Onsite",IFERROR(INDEX(tbl_Onsite[Notes],MATCH(E543&amp;"",tbl_Onsite[Job Number],0)),""),IF(H543="Production",IFERROR(INDEX(tbl_Production[Notes],MATCH(E543&amp;"",tbl_Production[Job Number],0)),""),IF(H543="Consulting",IFERROR(INDEX(tbl_Consulting[Notes],MATCH(E543&amp;"",tbl_Consulting[Job Number],0)),""),""))))</f>
        <v/>
      </c>
    </row>
    <row r="544" ht="15" customHeight="1">
      <c r="A544" s="22" t="n"/>
      <c r="B544" s="23">
        <f>IF(A544="","",EOMONTH(A544,0))</f>
        <v/>
      </c>
      <c r="C544" s="24" t="n"/>
      <c r="D544" s="24" t="n"/>
      <c r="E544" s="24" t="n"/>
      <c r="F544" s="25">
        <f>IF(E544="","",IF(COUNTIF(lst_Jobs,E544&amp;"")&gt;0,"OK","CHECK"))</f>
        <v/>
      </c>
      <c r="G544" s="24" t="n"/>
      <c r="H544" s="24" t="n"/>
      <c r="I544" s="24" t="n"/>
      <c r="J544" s="24" t="n"/>
      <c r="K544" s="24" t="n"/>
      <c r="L544" s="26" t="n"/>
      <c r="M544" s="27">
        <f>IF(L544="","",IF(K544="GST 10%",ROUND(L544*set_GSTRate,2),0))</f>
        <v/>
      </c>
      <c r="N544" s="27">
        <f>IF(L544="","",L544+M544)</f>
        <v/>
      </c>
      <c r="O544" s="24" t="n"/>
      <c r="P544" s="24" t="n"/>
      <c r="Q544" s="24" t="n"/>
      <c r="R544" s="22" t="n"/>
      <c r="S544" s="22" t="n"/>
      <c r="T544" s="24" t="n"/>
      <c r="U544" s="24" t="n"/>
      <c r="V544" s="25">
        <f>IF(COUNTA(A544,D544,C544,L544)=0,"",IF(A544="","No date - sits outside every month",IF(E544="","No job number",IF(F544="CHECK","Job number is not in the Xero job list",IF(I544="","No cost centre",IF(AND(P544="Y",C544=""),"Marked posted to Xero but has no invoice number",IF(AND(L544&lt;&gt;"",K544=""),"No tax code",IF(AND(L544&lt;&gt;"",O544=""),"No revenue GL code",""))))))))</f>
        <v/>
      </c>
      <c r="W544" s="25">
        <f>IF(E544="","",IFERROR(INDEX(lst_JobName,MATCH(E544&amp;"",lst_Jobs,0)),""))</f>
        <v/>
      </c>
      <c r="X544" s="28">
        <f>IF(E544="","",COUNTIFS(tbl_Finance[Job Number],E544&amp;"",tbl_Finance[Ex GST],"&lt;&gt;"))</f>
        <v/>
      </c>
      <c r="Y544" s="27">
        <f>IF(E544="","",SUMIFS(tbl_Finance[Ex GST],tbl_Finance[Job Number],E544&amp;""))</f>
        <v/>
      </c>
      <c r="Z544" s="27">
        <f>IF(E544="","",SUMIFS(tbl_Finance[Ex GST],tbl_Finance[Job Number],E544&amp;"",tbl_Finance[Xero Invoice No],"&lt;&gt;"))</f>
        <v/>
      </c>
      <c r="AA544" s="27">
        <f>IF(E544="","",Y544-Z544)</f>
        <v/>
      </c>
      <c r="AB544" s="25">
        <f>IF(E544="","",IF(H544="Onsite",IFERROR(INDEX(tbl_Onsite[Qwilr Quote],MATCH(E544&amp;"",tbl_Onsite[Job Number],0)),""),IF(H544="Production",IFERROR(INDEX(tbl_Production[Current RMS No],MATCH(E544&amp;"",tbl_Production[Job Number],0)),""),IF(H544="Consulting",IFERROR(INDEX(tbl_Consulting[Qwilr Quote],MATCH(E544&amp;"",tbl_Consulting[Job Number],0)),""),""))))</f>
        <v/>
      </c>
      <c r="AC544" s="25">
        <f>IF(AB544="","",IF(AND(LEFT(AB544,4)&lt;&gt;"http",IF(H544="Production",set_RMSBase,set_QwilrBase)=""),"",HYPERLINK(IF(LEFT(AB544,4)="http",AB544,IF(H544="Production",set_RMSBase,set_QwilrBase)&amp;AB544),"Open")))</f>
        <v/>
      </c>
      <c r="AD544" s="27">
        <f>IF(E544="","",IF(H544="Production",IFERROR(INDEX(tbl_Production[Total Expense],MATCH(E544&amp;"",tbl_Production[Job Number],0)),0),IF(H544="Consulting",IFERROR(INDEX(tbl_Consulting[Total Expense],MATCH(E544&amp;"",tbl_Consulting[Job Number],0)),0),0)))</f>
        <v/>
      </c>
      <c r="AE544" s="27">
        <f>IF(E544="","",Y544-N(AD544))</f>
        <v/>
      </c>
      <c r="AF544" s="29">
        <f>IFERROR(AE544/Y544,"")</f>
        <v/>
      </c>
      <c r="AG544" s="25">
        <f>IF(E544="","",IF(H544="Onsite",IFERROR(INDEX(tbl_Onsite[Notes],MATCH(E544&amp;"",tbl_Onsite[Job Number],0)),""),IF(H544="Production",IFERROR(INDEX(tbl_Production[Notes],MATCH(E544&amp;"",tbl_Production[Job Number],0)),""),IF(H544="Consulting",IFERROR(INDEX(tbl_Consulting[Notes],MATCH(E544&amp;"",tbl_Consulting[Job Number],0)),""),""))))</f>
        <v/>
      </c>
    </row>
    <row r="545" ht="15" customHeight="1">
      <c r="A545" s="22" t="n"/>
      <c r="B545" s="23">
        <f>IF(A545="","",EOMONTH(A545,0))</f>
        <v/>
      </c>
      <c r="C545" s="24" t="n"/>
      <c r="D545" s="24" t="n"/>
      <c r="E545" s="24" t="n"/>
      <c r="F545" s="25">
        <f>IF(E545="","",IF(COUNTIF(lst_Jobs,E545&amp;"")&gt;0,"OK","CHECK"))</f>
        <v/>
      </c>
      <c r="G545" s="24" t="n"/>
      <c r="H545" s="24" t="n"/>
      <c r="I545" s="24" t="n"/>
      <c r="J545" s="24" t="n"/>
      <c r="K545" s="24" t="n"/>
      <c r="L545" s="26" t="n"/>
      <c r="M545" s="27">
        <f>IF(L545="","",IF(K545="GST 10%",ROUND(L545*set_GSTRate,2),0))</f>
        <v/>
      </c>
      <c r="N545" s="27">
        <f>IF(L545="","",L545+M545)</f>
        <v/>
      </c>
      <c r="O545" s="24" t="n"/>
      <c r="P545" s="24" t="n"/>
      <c r="Q545" s="24" t="n"/>
      <c r="R545" s="22" t="n"/>
      <c r="S545" s="22" t="n"/>
      <c r="T545" s="24" t="n"/>
      <c r="U545" s="24" t="n"/>
      <c r="V545" s="25">
        <f>IF(COUNTA(A545,D545,C545,L545)=0,"",IF(A545="","No date - sits outside every month",IF(E545="","No job number",IF(F545="CHECK","Job number is not in the Xero job list",IF(I545="","No cost centre",IF(AND(P545="Y",C545=""),"Marked posted to Xero but has no invoice number",IF(AND(L545&lt;&gt;"",K545=""),"No tax code",IF(AND(L545&lt;&gt;"",O545=""),"No revenue GL code",""))))))))</f>
        <v/>
      </c>
      <c r="W545" s="25">
        <f>IF(E545="","",IFERROR(INDEX(lst_JobName,MATCH(E545&amp;"",lst_Jobs,0)),""))</f>
        <v/>
      </c>
      <c r="X545" s="28">
        <f>IF(E545="","",COUNTIFS(tbl_Finance[Job Number],E545&amp;"",tbl_Finance[Ex GST],"&lt;&gt;"))</f>
        <v/>
      </c>
      <c r="Y545" s="27">
        <f>IF(E545="","",SUMIFS(tbl_Finance[Ex GST],tbl_Finance[Job Number],E545&amp;""))</f>
        <v/>
      </c>
      <c r="Z545" s="27">
        <f>IF(E545="","",SUMIFS(tbl_Finance[Ex GST],tbl_Finance[Job Number],E545&amp;"",tbl_Finance[Xero Invoice No],"&lt;&gt;"))</f>
        <v/>
      </c>
      <c r="AA545" s="27">
        <f>IF(E545="","",Y545-Z545)</f>
        <v/>
      </c>
      <c r="AB545" s="25">
        <f>IF(E545="","",IF(H545="Onsite",IFERROR(INDEX(tbl_Onsite[Qwilr Quote],MATCH(E545&amp;"",tbl_Onsite[Job Number],0)),""),IF(H545="Production",IFERROR(INDEX(tbl_Production[Current RMS No],MATCH(E545&amp;"",tbl_Production[Job Number],0)),""),IF(H545="Consulting",IFERROR(INDEX(tbl_Consulting[Qwilr Quote],MATCH(E545&amp;"",tbl_Consulting[Job Number],0)),""),""))))</f>
        <v/>
      </c>
      <c r="AC545" s="25">
        <f>IF(AB545="","",IF(AND(LEFT(AB545,4)&lt;&gt;"http",IF(H545="Production",set_RMSBase,set_QwilrBase)=""),"",HYPERLINK(IF(LEFT(AB545,4)="http",AB545,IF(H545="Production",set_RMSBase,set_QwilrBase)&amp;AB545),"Open")))</f>
        <v/>
      </c>
      <c r="AD545" s="27">
        <f>IF(E545="","",IF(H545="Production",IFERROR(INDEX(tbl_Production[Total Expense],MATCH(E545&amp;"",tbl_Production[Job Number],0)),0),IF(H545="Consulting",IFERROR(INDEX(tbl_Consulting[Total Expense],MATCH(E545&amp;"",tbl_Consulting[Job Number],0)),0),0)))</f>
        <v/>
      </c>
      <c r="AE545" s="27">
        <f>IF(E545="","",Y545-N(AD545))</f>
        <v/>
      </c>
      <c r="AF545" s="29">
        <f>IFERROR(AE545/Y545,"")</f>
        <v/>
      </c>
      <c r="AG545" s="25">
        <f>IF(E545="","",IF(H545="Onsite",IFERROR(INDEX(tbl_Onsite[Notes],MATCH(E545&amp;"",tbl_Onsite[Job Number],0)),""),IF(H545="Production",IFERROR(INDEX(tbl_Production[Notes],MATCH(E545&amp;"",tbl_Production[Job Number],0)),""),IF(H545="Consulting",IFERROR(INDEX(tbl_Consulting[Notes],MATCH(E545&amp;"",tbl_Consulting[Job Number],0)),""),""))))</f>
        <v/>
      </c>
    </row>
    <row r="546" ht="15" customHeight="1">
      <c r="A546" s="22" t="n"/>
      <c r="B546" s="23">
        <f>IF(A546="","",EOMONTH(A546,0))</f>
        <v/>
      </c>
      <c r="C546" s="24" t="n"/>
      <c r="D546" s="24" t="n"/>
      <c r="E546" s="24" t="n"/>
      <c r="F546" s="25">
        <f>IF(E546="","",IF(COUNTIF(lst_Jobs,E546&amp;"")&gt;0,"OK","CHECK"))</f>
        <v/>
      </c>
      <c r="G546" s="24" t="n"/>
      <c r="H546" s="24" t="n"/>
      <c r="I546" s="24" t="n"/>
      <c r="J546" s="24" t="n"/>
      <c r="K546" s="24" t="n"/>
      <c r="L546" s="26" t="n"/>
      <c r="M546" s="27">
        <f>IF(L546="","",IF(K546="GST 10%",ROUND(L546*set_GSTRate,2),0))</f>
        <v/>
      </c>
      <c r="N546" s="27">
        <f>IF(L546="","",L546+M546)</f>
        <v/>
      </c>
      <c r="O546" s="24" t="n"/>
      <c r="P546" s="24" t="n"/>
      <c r="Q546" s="24" t="n"/>
      <c r="R546" s="22" t="n"/>
      <c r="S546" s="22" t="n"/>
      <c r="T546" s="24" t="n"/>
      <c r="U546" s="24" t="n"/>
      <c r="V546" s="25">
        <f>IF(COUNTA(A546,D546,C546,L546)=0,"",IF(A546="","No date - sits outside every month",IF(E546="","No job number",IF(F546="CHECK","Job number is not in the Xero job list",IF(I546="","No cost centre",IF(AND(P546="Y",C546=""),"Marked posted to Xero but has no invoice number",IF(AND(L546&lt;&gt;"",K546=""),"No tax code",IF(AND(L546&lt;&gt;"",O546=""),"No revenue GL code",""))))))))</f>
        <v/>
      </c>
      <c r="W546" s="25">
        <f>IF(E546="","",IFERROR(INDEX(lst_JobName,MATCH(E546&amp;"",lst_Jobs,0)),""))</f>
        <v/>
      </c>
      <c r="X546" s="28">
        <f>IF(E546="","",COUNTIFS(tbl_Finance[Job Number],E546&amp;"",tbl_Finance[Ex GST],"&lt;&gt;"))</f>
        <v/>
      </c>
      <c r="Y546" s="27">
        <f>IF(E546="","",SUMIFS(tbl_Finance[Ex GST],tbl_Finance[Job Number],E546&amp;""))</f>
        <v/>
      </c>
      <c r="Z546" s="27">
        <f>IF(E546="","",SUMIFS(tbl_Finance[Ex GST],tbl_Finance[Job Number],E546&amp;"",tbl_Finance[Xero Invoice No],"&lt;&gt;"))</f>
        <v/>
      </c>
      <c r="AA546" s="27">
        <f>IF(E546="","",Y546-Z546)</f>
        <v/>
      </c>
      <c r="AB546" s="25">
        <f>IF(E546="","",IF(H546="Onsite",IFERROR(INDEX(tbl_Onsite[Qwilr Quote],MATCH(E546&amp;"",tbl_Onsite[Job Number],0)),""),IF(H546="Production",IFERROR(INDEX(tbl_Production[Current RMS No],MATCH(E546&amp;"",tbl_Production[Job Number],0)),""),IF(H546="Consulting",IFERROR(INDEX(tbl_Consulting[Qwilr Quote],MATCH(E546&amp;"",tbl_Consulting[Job Number],0)),""),""))))</f>
        <v/>
      </c>
      <c r="AC546" s="25">
        <f>IF(AB546="","",IF(AND(LEFT(AB546,4)&lt;&gt;"http",IF(H546="Production",set_RMSBase,set_QwilrBase)=""),"",HYPERLINK(IF(LEFT(AB546,4)="http",AB546,IF(H546="Production",set_RMSBase,set_QwilrBase)&amp;AB546),"Open")))</f>
        <v/>
      </c>
      <c r="AD546" s="27">
        <f>IF(E546="","",IF(H546="Production",IFERROR(INDEX(tbl_Production[Total Expense],MATCH(E546&amp;"",tbl_Production[Job Number],0)),0),IF(H546="Consulting",IFERROR(INDEX(tbl_Consulting[Total Expense],MATCH(E546&amp;"",tbl_Consulting[Job Number],0)),0),0)))</f>
        <v/>
      </c>
      <c r="AE546" s="27">
        <f>IF(E546="","",Y546-N(AD546))</f>
        <v/>
      </c>
      <c r="AF546" s="29">
        <f>IFERROR(AE546/Y546,"")</f>
        <v/>
      </c>
      <c r="AG546" s="25">
        <f>IF(E546="","",IF(H546="Onsite",IFERROR(INDEX(tbl_Onsite[Notes],MATCH(E546&amp;"",tbl_Onsite[Job Number],0)),""),IF(H546="Production",IFERROR(INDEX(tbl_Production[Notes],MATCH(E546&amp;"",tbl_Production[Job Number],0)),""),IF(H546="Consulting",IFERROR(INDEX(tbl_Consulting[Notes],MATCH(E546&amp;"",tbl_Consulting[Job Number],0)),""),""))))</f>
        <v/>
      </c>
    </row>
    <row r="547" ht="15" customHeight="1">
      <c r="A547" s="22" t="n"/>
      <c r="B547" s="23">
        <f>IF(A547="","",EOMONTH(A547,0))</f>
        <v/>
      </c>
      <c r="C547" s="24" t="n"/>
      <c r="D547" s="24" t="n"/>
      <c r="E547" s="24" t="n"/>
      <c r="F547" s="25">
        <f>IF(E547="","",IF(COUNTIF(lst_Jobs,E547&amp;"")&gt;0,"OK","CHECK"))</f>
        <v/>
      </c>
      <c r="G547" s="24" t="n"/>
      <c r="H547" s="24" t="n"/>
      <c r="I547" s="24" t="n"/>
      <c r="J547" s="24" t="n"/>
      <c r="K547" s="24" t="n"/>
      <c r="L547" s="26" t="n"/>
      <c r="M547" s="27">
        <f>IF(L547="","",IF(K547="GST 10%",ROUND(L547*set_GSTRate,2),0))</f>
        <v/>
      </c>
      <c r="N547" s="27">
        <f>IF(L547="","",L547+M547)</f>
        <v/>
      </c>
      <c r="O547" s="24" t="n"/>
      <c r="P547" s="24" t="n"/>
      <c r="Q547" s="24" t="n"/>
      <c r="R547" s="22" t="n"/>
      <c r="S547" s="22" t="n"/>
      <c r="T547" s="24" t="n"/>
      <c r="U547" s="24" t="n"/>
      <c r="V547" s="25">
        <f>IF(COUNTA(A547,D547,C547,L547)=0,"",IF(A547="","No date - sits outside every month",IF(E547="","No job number",IF(F547="CHECK","Job number is not in the Xero job list",IF(I547="","No cost centre",IF(AND(P547="Y",C547=""),"Marked posted to Xero but has no invoice number",IF(AND(L547&lt;&gt;"",K547=""),"No tax code",IF(AND(L547&lt;&gt;"",O547=""),"No revenue GL code",""))))))))</f>
        <v/>
      </c>
      <c r="W547" s="25">
        <f>IF(E547="","",IFERROR(INDEX(lst_JobName,MATCH(E547&amp;"",lst_Jobs,0)),""))</f>
        <v/>
      </c>
      <c r="X547" s="28">
        <f>IF(E547="","",COUNTIFS(tbl_Finance[Job Number],E547&amp;"",tbl_Finance[Ex GST],"&lt;&gt;"))</f>
        <v/>
      </c>
      <c r="Y547" s="27">
        <f>IF(E547="","",SUMIFS(tbl_Finance[Ex GST],tbl_Finance[Job Number],E547&amp;""))</f>
        <v/>
      </c>
      <c r="Z547" s="27">
        <f>IF(E547="","",SUMIFS(tbl_Finance[Ex GST],tbl_Finance[Job Number],E547&amp;"",tbl_Finance[Xero Invoice No],"&lt;&gt;"))</f>
        <v/>
      </c>
      <c r="AA547" s="27">
        <f>IF(E547="","",Y547-Z547)</f>
        <v/>
      </c>
      <c r="AB547" s="25">
        <f>IF(E547="","",IF(H547="Onsite",IFERROR(INDEX(tbl_Onsite[Qwilr Quote],MATCH(E547&amp;"",tbl_Onsite[Job Number],0)),""),IF(H547="Production",IFERROR(INDEX(tbl_Production[Current RMS No],MATCH(E547&amp;"",tbl_Production[Job Number],0)),""),IF(H547="Consulting",IFERROR(INDEX(tbl_Consulting[Qwilr Quote],MATCH(E547&amp;"",tbl_Consulting[Job Number],0)),""),""))))</f>
        <v/>
      </c>
      <c r="AC547" s="25">
        <f>IF(AB547="","",IF(AND(LEFT(AB547,4)&lt;&gt;"http",IF(H547="Production",set_RMSBase,set_QwilrBase)=""),"",HYPERLINK(IF(LEFT(AB547,4)="http",AB547,IF(H547="Production",set_RMSBase,set_QwilrBase)&amp;AB547),"Open")))</f>
        <v/>
      </c>
      <c r="AD547" s="27">
        <f>IF(E547="","",IF(H547="Production",IFERROR(INDEX(tbl_Production[Total Expense],MATCH(E547&amp;"",tbl_Production[Job Number],0)),0),IF(H547="Consulting",IFERROR(INDEX(tbl_Consulting[Total Expense],MATCH(E547&amp;"",tbl_Consulting[Job Number],0)),0),0)))</f>
        <v/>
      </c>
      <c r="AE547" s="27">
        <f>IF(E547="","",Y547-N(AD547))</f>
        <v/>
      </c>
      <c r="AF547" s="29">
        <f>IFERROR(AE547/Y547,"")</f>
        <v/>
      </c>
      <c r="AG547" s="25">
        <f>IF(E547="","",IF(H547="Onsite",IFERROR(INDEX(tbl_Onsite[Notes],MATCH(E547&amp;"",tbl_Onsite[Job Number],0)),""),IF(H547="Production",IFERROR(INDEX(tbl_Production[Notes],MATCH(E547&amp;"",tbl_Production[Job Number],0)),""),IF(H547="Consulting",IFERROR(INDEX(tbl_Consulting[Notes],MATCH(E547&amp;"",tbl_Consulting[Job Number],0)),""),""))))</f>
        <v/>
      </c>
    </row>
    <row r="548" ht="15" customHeight="1">
      <c r="A548" s="22" t="n"/>
      <c r="B548" s="23">
        <f>IF(A548="","",EOMONTH(A548,0))</f>
        <v/>
      </c>
      <c r="C548" s="24" t="n"/>
      <c r="D548" s="24" t="n"/>
      <c r="E548" s="24" t="n"/>
      <c r="F548" s="25">
        <f>IF(E548="","",IF(COUNTIF(lst_Jobs,E548&amp;"")&gt;0,"OK","CHECK"))</f>
        <v/>
      </c>
      <c r="G548" s="24" t="n"/>
      <c r="H548" s="24" t="n"/>
      <c r="I548" s="24" t="n"/>
      <c r="J548" s="24" t="n"/>
      <c r="K548" s="24" t="n"/>
      <c r="L548" s="26" t="n"/>
      <c r="M548" s="27">
        <f>IF(L548="","",IF(K548="GST 10%",ROUND(L548*set_GSTRate,2),0))</f>
        <v/>
      </c>
      <c r="N548" s="27">
        <f>IF(L548="","",L548+M548)</f>
        <v/>
      </c>
      <c r="O548" s="24" t="n"/>
      <c r="P548" s="24" t="n"/>
      <c r="Q548" s="24" t="n"/>
      <c r="R548" s="22" t="n"/>
      <c r="S548" s="22" t="n"/>
      <c r="T548" s="24" t="n"/>
      <c r="U548" s="24" t="n"/>
      <c r="V548" s="25">
        <f>IF(COUNTA(A548,D548,C548,L548)=0,"",IF(A548="","No date - sits outside every month",IF(E548="","No job number",IF(F548="CHECK","Job number is not in the Xero job list",IF(I548="","No cost centre",IF(AND(P548="Y",C548=""),"Marked posted to Xero but has no invoice number",IF(AND(L548&lt;&gt;"",K548=""),"No tax code",IF(AND(L548&lt;&gt;"",O548=""),"No revenue GL code",""))))))))</f>
        <v/>
      </c>
      <c r="W548" s="25">
        <f>IF(E548="","",IFERROR(INDEX(lst_JobName,MATCH(E548&amp;"",lst_Jobs,0)),""))</f>
        <v/>
      </c>
      <c r="X548" s="28">
        <f>IF(E548="","",COUNTIFS(tbl_Finance[Job Number],E548&amp;"",tbl_Finance[Ex GST],"&lt;&gt;"))</f>
        <v/>
      </c>
      <c r="Y548" s="27">
        <f>IF(E548="","",SUMIFS(tbl_Finance[Ex GST],tbl_Finance[Job Number],E548&amp;""))</f>
        <v/>
      </c>
      <c r="Z548" s="27">
        <f>IF(E548="","",SUMIFS(tbl_Finance[Ex GST],tbl_Finance[Job Number],E548&amp;"",tbl_Finance[Xero Invoice No],"&lt;&gt;"))</f>
        <v/>
      </c>
      <c r="AA548" s="27">
        <f>IF(E548="","",Y548-Z548)</f>
        <v/>
      </c>
      <c r="AB548" s="25">
        <f>IF(E548="","",IF(H548="Onsite",IFERROR(INDEX(tbl_Onsite[Qwilr Quote],MATCH(E548&amp;"",tbl_Onsite[Job Number],0)),""),IF(H548="Production",IFERROR(INDEX(tbl_Production[Current RMS No],MATCH(E548&amp;"",tbl_Production[Job Number],0)),""),IF(H548="Consulting",IFERROR(INDEX(tbl_Consulting[Qwilr Quote],MATCH(E548&amp;"",tbl_Consulting[Job Number],0)),""),""))))</f>
        <v/>
      </c>
      <c r="AC548" s="25">
        <f>IF(AB548="","",IF(AND(LEFT(AB548,4)&lt;&gt;"http",IF(H548="Production",set_RMSBase,set_QwilrBase)=""),"",HYPERLINK(IF(LEFT(AB548,4)="http",AB548,IF(H548="Production",set_RMSBase,set_QwilrBase)&amp;AB548),"Open")))</f>
        <v/>
      </c>
      <c r="AD548" s="27">
        <f>IF(E548="","",IF(H548="Production",IFERROR(INDEX(tbl_Production[Total Expense],MATCH(E548&amp;"",tbl_Production[Job Number],0)),0),IF(H548="Consulting",IFERROR(INDEX(tbl_Consulting[Total Expense],MATCH(E548&amp;"",tbl_Consulting[Job Number],0)),0),0)))</f>
        <v/>
      </c>
      <c r="AE548" s="27">
        <f>IF(E548="","",Y548-N(AD548))</f>
        <v/>
      </c>
      <c r="AF548" s="29">
        <f>IFERROR(AE548/Y548,"")</f>
        <v/>
      </c>
      <c r="AG548" s="25">
        <f>IF(E548="","",IF(H548="Onsite",IFERROR(INDEX(tbl_Onsite[Notes],MATCH(E548&amp;"",tbl_Onsite[Job Number],0)),""),IF(H548="Production",IFERROR(INDEX(tbl_Production[Notes],MATCH(E548&amp;"",tbl_Production[Job Number],0)),""),IF(H548="Consulting",IFERROR(INDEX(tbl_Consulting[Notes],MATCH(E548&amp;"",tbl_Consulting[Job Number],0)),""),""))))</f>
        <v/>
      </c>
    </row>
    <row r="549" ht="15" customHeight="1">
      <c r="A549" s="22" t="n"/>
      <c r="B549" s="23">
        <f>IF(A549="","",EOMONTH(A549,0))</f>
        <v/>
      </c>
      <c r="C549" s="24" t="n"/>
      <c r="D549" s="24" t="n"/>
      <c r="E549" s="24" t="n"/>
      <c r="F549" s="25">
        <f>IF(E549="","",IF(COUNTIF(lst_Jobs,E549&amp;"")&gt;0,"OK","CHECK"))</f>
        <v/>
      </c>
      <c r="G549" s="24" t="n"/>
      <c r="H549" s="24" t="n"/>
      <c r="I549" s="24" t="n"/>
      <c r="J549" s="24" t="n"/>
      <c r="K549" s="24" t="n"/>
      <c r="L549" s="26" t="n"/>
      <c r="M549" s="27">
        <f>IF(L549="","",IF(K549="GST 10%",ROUND(L549*set_GSTRate,2),0))</f>
        <v/>
      </c>
      <c r="N549" s="27">
        <f>IF(L549="","",L549+M549)</f>
        <v/>
      </c>
      <c r="O549" s="24" t="n"/>
      <c r="P549" s="24" t="n"/>
      <c r="Q549" s="24" t="n"/>
      <c r="R549" s="22" t="n"/>
      <c r="S549" s="22" t="n"/>
      <c r="T549" s="24" t="n"/>
      <c r="U549" s="24" t="n"/>
      <c r="V549" s="25">
        <f>IF(COUNTA(A549,D549,C549,L549)=0,"",IF(A549="","No date - sits outside every month",IF(E549="","No job number",IF(F549="CHECK","Job number is not in the Xero job list",IF(I549="","No cost centre",IF(AND(P549="Y",C549=""),"Marked posted to Xero but has no invoice number",IF(AND(L549&lt;&gt;"",K549=""),"No tax code",IF(AND(L549&lt;&gt;"",O549=""),"No revenue GL code",""))))))))</f>
        <v/>
      </c>
      <c r="W549" s="25">
        <f>IF(E549="","",IFERROR(INDEX(lst_JobName,MATCH(E549&amp;"",lst_Jobs,0)),""))</f>
        <v/>
      </c>
      <c r="X549" s="28">
        <f>IF(E549="","",COUNTIFS(tbl_Finance[Job Number],E549&amp;"",tbl_Finance[Ex GST],"&lt;&gt;"))</f>
        <v/>
      </c>
      <c r="Y549" s="27">
        <f>IF(E549="","",SUMIFS(tbl_Finance[Ex GST],tbl_Finance[Job Number],E549&amp;""))</f>
        <v/>
      </c>
      <c r="Z549" s="27">
        <f>IF(E549="","",SUMIFS(tbl_Finance[Ex GST],tbl_Finance[Job Number],E549&amp;"",tbl_Finance[Xero Invoice No],"&lt;&gt;"))</f>
        <v/>
      </c>
      <c r="AA549" s="27">
        <f>IF(E549="","",Y549-Z549)</f>
        <v/>
      </c>
      <c r="AB549" s="25">
        <f>IF(E549="","",IF(H549="Onsite",IFERROR(INDEX(tbl_Onsite[Qwilr Quote],MATCH(E549&amp;"",tbl_Onsite[Job Number],0)),""),IF(H549="Production",IFERROR(INDEX(tbl_Production[Current RMS No],MATCH(E549&amp;"",tbl_Production[Job Number],0)),""),IF(H549="Consulting",IFERROR(INDEX(tbl_Consulting[Qwilr Quote],MATCH(E549&amp;"",tbl_Consulting[Job Number],0)),""),""))))</f>
        <v/>
      </c>
      <c r="AC549" s="25">
        <f>IF(AB549="","",IF(AND(LEFT(AB549,4)&lt;&gt;"http",IF(H549="Production",set_RMSBase,set_QwilrBase)=""),"",HYPERLINK(IF(LEFT(AB549,4)="http",AB549,IF(H549="Production",set_RMSBase,set_QwilrBase)&amp;AB549),"Open")))</f>
        <v/>
      </c>
      <c r="AD549" s="27">
        <f>IF(E549="","",IF(H549="Production",IFERROR(INDEX(tbl_Production[Total Expense],MATCH(E549&amp;"",tbl_Production[Job Number],0)),0),IF(H549="Consulting",IFERROR(INDEX(tbl_Consulting[Total Expense],MATCH(E549&amp;"",tbl_Consulting[Job Number],0)),0),0)))</f>
        <v/>
      </c>
      <c r="AE549" s="27">
        <f>IF(E549="","",Y549-N(AD549))</f>
        <v/>
      </c>
      <c r="AF549" s="29">
        <f>IFERROR(AE549/Y549,"")</f>
        <v/>
      </c>
      <c r="AG549" s="25">
        <f>IF(E549="","",IF(H549="Onsite",IFERROR(INDEX(tbl_Onsite[Notes],MATCH(E549&amp;"",tbl_Onsite[Job Number],0)),""),IF(H549="Production",IFERROR(INDEX(tbl_Production[Notes],MATCH(E549&amp;"",tbl_Production[Job Number],0)),""),IF(H549="Consulting",IFERROR(INDEX(tbl_Consulting[Notes],MATCH(E549&amp;"",tbl_Consulting[Job Number],0)),""),""))))</f>
        <v/>
      </c>
    </row>
    <row r="550" ht="15" customHeight="1">
      <c r="A550" s="22" t="n"/>
      <c r="B550" s="23">
        <f>IF(A550="","",EOMONTH(A550,0))</f>
        <v/>
      </c>
      <c r="C550" s="24" t="n"/>
      <c r="D550" s="24" t="n"/>
      <c r="E550" s="24" t="n"/>
      <c r="F550" s="25">
        <f>IF(E550="","",IF(COUNTIF(lst_Jobs,E550&amp;"")&gt;0,"OK","CHECK"))</f>
        <v/>
      </c>
      <c r="G550" s="24" t="n"/>
      <c r="H550" s="24" t="n"/>
      <c r="I550" s="24" t="n"/>
      <c r="J550" s="24" t="n"/>
      <c r="K550" s="24" t="n"/>
      <c r="L550" s="26" t="n"/>
      <c r="M550" s="27">
        <f>IF(L550="","",IF(K550="GST 10%",ROUND(L550*set_GSTRate,2),0))</f>
        <v/>
      </c>
      <c r="N550" s="27">
        <f>IF(L550="","",L550+M550)</f>
        <v/>
      </c>
      <c r="O550" s="24" t="n"/>
      <c r="P550" s="24" t="n"/>
      <c r="Q550" s="24" t="n"/>
      <c r="R550" s="22" t="n"/>
      <c r="S550" s="22" t="n"/>
      <c r="T550" s="24" t="n"/>
      <c r="U550" s="24" t="n"/>
      <c r="V550" s="25">
        <f>IF(COUNTA(A550,D550,C550,L550)=0,"",IF(A550="","No date - sits outside every month",IF(E550="","No job number",IF(F550="CHECK","Job number is not in the Xero job list",IF(I550="","No cost centre",IF(AND(P550="Y",C550=""),"Marked posted to Xero but has no invoice number",IF(AND(L550&lt;&gt;"",K550=""),"No tax code",IF(AND(L550&lt;&gt;"",O550=""),"No revenue GL code",""))))))))</f>
        <v/>
      </c>
      <c r="W550" s="25">
        <f>IF(E550="","",IFERROR(INDEX(lst_JobName,MATCH(E550&amp;"",lst_Jobs,0)),""))</f>
        <v/>
      </c>
      <c r="X550" s="28">
        <f>IF(E550="","",COUNTIFS(tbl_Finance[Job Number],E550&amp;"",tbl_Finance[Ex GST],"&lt;&gt;"))</f>
        <v/>
      </c>
      <c r="Y550" s="27">
        <f>IF(E550="","",SUMIFS(tbl_Finance[Ex GST],tbl_Finance[Job Number],E550&amp;""))</f>
        <v/>
      </c>
      <c r="Z550" s="27">
        <f>IF(E550="","",SUMIFS(tbl_Finance[Ex GST],tbl_Finance[Job Number],E550&amp;"",tbl_Finance[Xero Invoice No],"&lt;&gt;"))</f>
        <v/>
      </c>
      <c r="AA550" s="27">
        <f>IF(E550="","",Y550-Z550)</f>
        <v/>
      </c>
      <c r="AB550" s="25">
        <f>IF(E550="","",IF(H550="Onsite",IFERROR(INDEX(tbl_Onsite[Qwilr Quote],MATCH(E550&amp;"",tbl_Onsite[Job Number],0)),""),IF(H550="Production",IFERROR(INDEX(tbl_Production[Current RMS No],MATCH(E550&amp;"",tbl_Production[Job Number],0)),""),IF(H550="Consulting",IFERROR(INDEX(tbl_Consulting[Qwilr Quote],MATCH(E550&amp;"",tbl_Consulting[Job Number],0)),""),""))))</f>
        <v/>
      </c>
      <c r="AC550" s="25">
        <f>IF(AB550="","",IF(AND(LEFT(AB550,4)&lt;&gt;"http",IF(H550="Production",set_RMSBase,set_QwilrBase)=""),"",HYPERLINK(IF(LEFT(AB550,4)="http",AB550,IF(H550="Production",set_RMSBase,set_QwilrBase)&amp;AB550),"Open")))</f>
        <v/>
      </c>
      <c r="AD550" s="27">
        <f>IF(E550="","",IF(H550="Production",IFERROR(INDEX(tbl_Production[Total Expense],MATCH(E550&amp;"",tbl_Production[Job Number],0)),0),IF(H550="Consulting",IFERROR(INDEX(tbl_Consulting[Total Expense],MATCH(E550&amp;"",tbl_Consulting[Job Number],0)),0),0)))</f>
        <v/>
      </c>
      <c r="AE550" s="27">
        <f>IF(E550="","",Y550-N(AD550))</f>
        <v/>
      </c>
      <c r="AF550" s="29">
        <f>IFERROR(AE550/Y550,"")</f>
        <v/>
      </c>
      <c r="AG550" s="25">
        <f>IF(E550="","",IF(H550="Onsite",IFERROR(INDEX(tbl_Onsite[Notes],MATCH(E550&amp;"",tbl_Onsite[Job Number],0)),""),IF(H550="Production",IFERROR(INDEX(tbl_Production[Notes],MATCH(E550&amp;"",tbl_Production[Job Number],0)),""),IF(H550="Consulting",IFERROR(INDEX(tbl_Consulting[Notes],MATCH(E550&amp;"",tbl_Consulting[Job Number],0)),""),""))))</f>
        <v/>
      </c>
    </row>
    <row r="551" ht="15" customHeight="1">
      <c r="A551" s="22" t="n"/>
      <c r="B551" s="23">
        <f>IF(A551="","",EOMONTH(A551,0))</f>
        <v/>
      </c>
      <c r="C551" s="24" t="n"/>
      <c r="D551" s="24" t="n"/>
      <c r="E551" s="24" t="n"/>
      <c r="F551" s="25">
        <f>IF(E551="","",IF(COUNTIF(lst_Jobs,E551&amp;"")&gt;0,"OK","CHECK"))</f>
        <v/>
      </c>
      <c r="G551" s="24" t="n"/>
      <c r="H551" s="24" t="n"/>
      <c r="I551" s="24" t="n"/>
      <c r="J551" s="24" t="n"/>
      <c r="K551" s="24" t="n"/>
      <c r="L551" s="26" t="n"/>
      <c r="M551" s="27">
        <f>IF(L551="","",IF(K551="GST 10%",ROUND(L551*set_GSTRate,2),0))</f>
        <v/>
      </c>
      <c r="N551" s="27">
        <f>IF(L551="","",L551+M551)</f>
        <v/>
      </c>
      <c r="O551" s="24" t="n"/>
      <c r="P551" s="24" t="n"/>
      <c r="Q551" s="24" t="n"/>
      <c r="R551" s="22" t="n"/>
      <c r="S551" s="22" t="n"/>
      <c r="T551" s="24" t="n"/>
      <c r="U551" s="24" t="n"/>
      <c r="V551" s="25">
        <f>IF(COUNTA(A551,D551,C551,L551)=0,"",IF(A551="","No date - sits outside every month",IF(E551="","No job number",IF(F551="CHECK","Job number is not in the Xero job list",IF(I551="","No cost centre",IF(AND(P551="Y",C551=""),"Marked posted to Xero but has no invoice number",IF(AND(L551&lt;&gt;"",K551=""),"No tax code",IF(AND(L551&lt;&gt;"",O551=""),"No revenue GL code",""))))))))</f>
        <v/>
      </c>
      <c r="W551" s="25">
        <f>IF(E551="","",IFERROR(INDEX(lst_JobName,MATCH(E551&amp;"",lst_Jobs,0)),""))</f>
        <v/>
      </c>
      <c r="X551" s="28">
        <f>IF(E551="","",COUNTIFS(tbl_Finance[Job Number],E551&amp;"",tbl_Finance[Ex GST],"&lt;&gt;"))</f>
        <v/>
      </c>
      <c r="Y551" s="27">
        <f>IF(E551="","",SUMIFS(tbl_Finance[Ex GST],tbl_Finance[Job Number],E551&amp;""))</f>
        <v/>
      </c>
      <c r="Z551" s="27">
        <f>IF(E551="","",SUMIFS(tbl_Finance[Ex GST],tbl_Finance[Job Number],E551&amp;"",tbl_Finance[Xero Invoice No],"&lt;&gt;"))</f>
        <v/>
      </c>
      <c r="AA551" s="27">
        <f>IF(E551="","",Y551-Z551)</f>
        <v/>
      </c>
      <c r="AB551" s="25">
        <f>IF(E551="","",IF(H551="Onsite",IFERROR(INDEX(tbl_Onsite[Qwilr Quote],MATCH(E551&amp;"",tbl_Onsite[Job Number],0)),""),IF(H551="Production",IFERROR(INDEX(tbl_Production[Current RMS No],MATCH(E551&amp;"",tbl_Production[Job Number],0)),""),IF(H551="Consulting",IFERROR(INDEX(tbl_Consulting[Qwilr Quote],MATCH(E551&amp;"",tbl_Consulting[Job Number],0)),""),""))))</f>
        <v/>
      </c>
      <c r="AC551" s="25">
        <f>IF(AB551="","",IF(AND(LEFT(AB551,4)&lt;&gt;"http",IF(H551="Production",set_RMSBase,set_QwilrBase)=""),"",HYPERLINK(IF(LEFT(AB551,4)="http",AB551,IF(H551="Production",set_RMSBase,set_QwilrBase)&amp;AB551),"Open")))</f>
        <v/>
      </c>
      <c r="AD551" s="27">
        <f>IF(E551="","",IF(H551="Production",IFERROR(INDEX(tbl_Production[Total Expense],MATCH(E551&amp;"",tbl_Production[Job Number],0)),0),IF(H551="Consulting",IFERROR(INDEX(tbl_Consulting[Total Expense],MATCH(E551&amp;"",tbl_Consulting[Job Number],0)),0),0)))</f>
        <v/>
      </c>
      <c r="AE551" s="27">
        <f>IF(E551="","",Y551-N(AD551))</f>
        <v/>
      </c>
      <c r="AF551" s="29">
        <f>IFERROR(AE551/Y551,"")</f>
        <v/>
      </c>
      <c r="AG551" s="25">
        <f>IF(E551="","",IF(H551="Onsite",IFERROR(INDEX(tbl_Onsite[Notes],MATCH(E551&amp;"",tbl_Onsite[Job Number],0)),""),IF(H551="Production",IFERROR(INDEX(tbl_Production[Notes],MATCH(E551&amp;"",tbl_Production[Job Number],0)),""),IF(H551="Consulting",IFERROR(INDEX(tbl_Consulting[Notes],MATCH(E551&amp;"",tbl_Consulting[Job Number],0)),""),""))))</f>
        <v/>
      </c>
    </row>
    <row r="552" ht="15" customHeight="1">
      <c r="A552" s="22" t="n"/>
      <c r="B552" s="23">
        <f>IF(A552="","",EOMONTH(A552,0))</f>
        <v/>
      </c>
      <c r="C552" s="24" t="n"/>
      <c r="D552" s="24" t="n"/>
      <c r="E552" s="24" t="n"/>
      <c r="F552" s="25">
        <f>IF(E552="","",IF(COUNTIF(lst_Jobs,E552&amp;"")&gt;0,"OK","CHECK"))</f>
        <v/>
      </c>
      <c r="G552" s="24" t="n"/>
      <c r="H552" s="24" t="n"/>
      <c r="I552" s="24" t="n"/>
      <c r="J552" s="24" t="n"/>
      <c r="K552" s="24" t="n"/>
      <c r="L552" s="26" t="n"/>
      <c r="M552" s="27">
        <f>IF(L552="","",IF(K552="GST 10%",ROUND(L552*set_GSTRate,2),0))</f>
        <v/>
      </c>
      <c r="N552" s="27">
        <f>IF(L552="","",L552+M552)</f>
        <v/>
      </c>
      <c r="O552" s="24" t="n"/>
      <c r="P552" s="24" t="n"/>
      <c r="Q552" s="24" t="n"/>
      <c r="R552" s="22" t="n"/>
      <c r="S552" s="22" t="n"/>
      <c r="T552" s="24" t="n"/>
      <c r="U552" s="24" t="n"/>
      <c r="V552" s="25">
        <f>IF(COUNTA(A552,D552,C552,L552)=0,"",IF(A552="","No date - sits outside every month",IF(E552="","No job number",IF(F552="CHECK","Job number is not in the Xero job list",IF(I552="","No cost centre",IF(AND(P552="Y",C552=""),"Marked posted to Xero but has no invoice number",IF(AND(L552&lt;&gt;"",K552=""),"No tax code",IF(AND(L552&lt;&gt;"",O552=""),"No revenue GL code",""))))))))</f>
        <v/>
      </c>
      <c r="W552" s="25">
        <f>IF(E552="","",IFERROR(INDEX(lst_JobName,MATCH(E552&amp;"",lst_Jobs,0)),""))</f>
        <v/>
      </c>
      <c r="X552" s="28">
        <f>IF(E552="","",COUNTIFS(tbl_Finance[Job Number],E552&amp;"",tbl_Finance[Ex GST],"&lt;&gt;"))</f>
        <v/>
      </c>
      <c r="Y552" s="27">
        <f>IF(E552="","",SUMIFS(tbl_Finance[Ex GST],tbl_Finance[Job Number],E552&amp;""))</f>
        <v/>
      </c>
      <c r="Z552" s="27">
        <f>IF(E552="","",SUMIFS(tbl_Finance[Ex GST],tbl_Finance[Job Number],E552&amp;"",tbl_Finance[Xero Invoice No],"&lt;&gt;"))</f>
        <v/>
      </c>
      <c r="AA552" s="27">
        <f>IF(E552="","",Y552-Z552)</f>
        <v/>
      </c>
      <c r="AB552" s="25">
        <f>IF(E552="","",IF(H552="Onsite",IFERROR(INDEX(tbl_Onsite[Qwilr Quote],MATCH(E552&amp;"",tbl_Onsite[Job Number],0)),""),IF(H552="Production",IFERROR(INDEX(tbl_Production[Current RMS No],MATCH(E552&amp;"",tbl_Production[Job Number],0)),""),IF(H552="Consulting",IFERROR(INDEX(tbl_Consulting[Qwilr Quote],MATCH(E552&amp;"",tbl_Consulting[Job Number],0)),""),""))))</f>
        <v/>
      </c>
      <c r="AC552" s="25">
        <f>IF(AB552="","",IF(AND(LEFT(AB552,4)&lt;&gt;"http",IF(H552="Production",set_RMSBase,set_QwilrBase)=""),"",HYPERLINK(IF(LEFT(AB552,4)="http",AB552,IF(H552="Production",set_RMSBase,set_QwilrBase)&amp;AB552),"Open")))</f>
        <v/>
      </c>
      <c r="AD552" s="27">
        <f>IF(E552="","",IF(H552="Production",IFERROR(INDEX(tbl_Production[Total Expense],MATCH(E552&amp;"",tbl_Production[Job Number],0)),0),IF(H552="Consulting",IFERROR(INDEX(tbl_Consulting[Total Expense],MATCH(E552&amp;"",tbl_Consulting[Job Number],0)),0),0)))</f>
        <v/>
      </c>
      <c r="AE552" s="27">
        <f>IF(E552="","",Y552-N(AD552))</f>
        <v/>
      </c>
      <c r="AF552" s="29">
        <f>IFERROR(AE552/Y552,"")</f>
        <v/>
      </c>
      <c r="AG552" s="25">
        <f>IF(E552="","",IF(H552="Onsite",IFERROR(INDEX(tbl_Onsite[Notes],MATCH(E552&amp;"",tbl_Onsite[Job Number],0)),""),IF(H552="Production",IFERROR(INDEX(tbl_Production[Notes],MATCH(E552&amp;"",tbl_Production[Job Number],0)),""),IF(H552="Consulting",IFERROR(INDEX(tbl_Consulting[Notes],MATCH(E552&amp;"",tbl_Consulting[Job Number],0)),""),""))))</f>
        <v/>
      </c>
    </row>
    <row r="553" ht="15" customHeight="1">
      <c r="A553" s="22" t="n"/>
      <c r="B553" s="23">
        <f>IF(A553="","",EOMONTH(A553,0))</f>
        <v/>
      </c>
      <c r="C553" s="24" t="n"/>
      <c r="D553" s="24" t="n"/>
      <c r="E553" s="24" t="n"/>
      <c r="F553" s="25">
        <f>IF(E553="","",IF(COUNTIF(lst_Jobs,E553&amp;"")&gt;0,"OK","CHECK"))</f>
        <v/>
      </c>
      <c r="G553" s="24" t="n"/>
      <c r="H553" s="24" t="n"/>
      <c r="I553" s="24" t="n"/>
      <c r="J553" s="24" t="n"/>
      <c r="K553" s="24" t="n"/>
      <c r="L553" s="26" t="n"/>
      <c r="M553" s="27">
        <f>IF(L553="","",IF(K553="GST 10%",ROUND(L553*set_GSTRate,2),0))</f>
        <v/>
      </c>
      <c r="N553" s="27">
        <f>IF(L553="","",L553+M553)</f>
        <v/>
      </c>
      <c r="O553" s="24" t="n"/>
      <c r="P553" s="24" t="n"/>
      <c r="Q553" s="24" t="n"/>
      <c r="R553" s="22" t="n"/>
      <c r="S553" s="22" t="n"/>
      <c r="T553" s="24" t="n"/>
      <c r="U553" s="24" t="n"/>
      <c r="V553" s="25">
        <f>IF(COUNTA(A553,D553,C553,L553)=0,"",IF(A553="","No date - sits outside every month",IF(E553="","No job number",IF(F553="CHECK","Job number is not in the Xero job list",IF(I553="","No cost centre",IF(AND(P553="Y",C553=""),"Marked posted to Xero but has no invoice number",IF(AND(L553&lt;&gt;"",K553=""),"No tax code",IF(AND(L553&lt;&gt;"",O553=""),"No revenue GL code",""))))))))</f>
        <v/>
      </c>
      <c r="W553" s="25">
        <f>IF(E553="","",IFERROR(INDEX(lst_JobName,MATCH(E553&amp;"",lst_Jobs,0)),""))</f>
        <v/>
      </c>
      <c r="X553" s="28">
        <f>IF(E553="","",COUNTIFS(tbl_Finance[Job Number],E553&amp;"",tbl_Finance[Ex GST],"&lt;&gt;"))</f>
        <v/>
      </c>
      <c r="Y553" s="27">
        <f>IF(E553="","",SUMIFS(tbl_Finance[Ex GST],tbl_Finance[Job Number],E553&amp;""))</f>
        <v/>
      </c>
      <c r="Z553" s="27">
        <f>IF(E553="","",SUMIFS(tbl_Finance[Ex GST],tbl_Finance[Job Number],E553&amp;"",tbl_Finance[Xero Invoice No],"&lt;&gt;"))</f>
        <v/>
      </c>
      <c r="AA553" s="27">
        <f>IF(E553="","",Y553-Z553)</f>
        <v/>
      </c>
      <c r="AB553" s="25">
        <f>IF(E553="","",IF(H553="Onsite",IFERROR(INDEX(tbl_Onsite[Qwilr Quote],MATCH(E553&amp;"",tbl_Onsite[Job Number],0)),""),IF(H553="Production",IFERROR(INDEX(tbl_Production[Current RMS No],MATCH(E553&amp;"",tbl_Production[Job Number],0)),""),IF(H553="Consulting",IFERROR(INDEX(tbl_Consulting[Qwilr Quote],MATCH(E553&amp;"",tbl_Consulting[Job Number],0)),""),""))))</f>
        <v/>
      </c>
      <c r="AC553" s="25">
        <f>IF(AB553="","",IF(AND(LEFT(AB553,4)&lt;&gt;"http",IF(H553="Production",set_RMSBase,set_QwilrBase)=""),"",HYPERLINK(IF(LEFT(AB553,4)="http",AB553,IF(H553="Production",set_RMSBase,set_QwilrBase)&amp;AB553),"Open")))</f>
        <v/>
      </c>
      <c r="AD553" s="27">
        <f>IF(E553="","",IF(H553="Production",IFERROR(INDEX(tbl_Production[Total Expense],MATCH(E553&amp;"",tbl_Production[Job Number],0)),0),IF(H553="Consulting",IFERROR(INDEX(tbl_Consulting[Total Expense],MATCH(E553&amp;"",tbl_Consulting[Job Number],0)),0),0)))</f>
        <v/>
      </c>
      <c r="AE553" s="27">
        <f>IF(E553="","",Y553-N(AD553))</f>
        <v/>
      </c>
      <c r="AF553" s="29">
        <f>IFERROR(AE553/Y553,"")</f>
        <v/>
      </c>
      <c r="AG553" s="25">
        <f>IF(E553="","",IF(H553="Onsite",IFERROR(INDEX(tbl_Onsite[Notes],MATCH(E553&amp;"",tbl_Onsite[Job Number],0)),""),IF(H553="Production",IFERROR(INDEX(tbl_Production[Notes],MATCH(E553&amp;"",tbl_Production[Job Number],0)),""),IF(H553="Consulting",IFERROR(INDEX(tbl_Consulting[Notes],MATCH(E553&amp;"",tbl_Consulting[Job Number],0)),""),""))))</f>
        <v/>
      </c>
    </row>
    <row r="554" ht="15" customHeight="1">
      <c r="A554" s="22" t="n"/>
      <c r="B554" s="23">
        <f>IF(A554="","",EOMONTH(A554,0))</f>
        <v/>
      </c>
      <c r="C554" s="24" t="n"/>
      <c r="D554" s="24" t="n"/>
      <c r="E554" s="24" t="n"/>
      <c r="F554" s="25">
        <f>IF(E554="","",IF(COUNTIF(lst_Jobs,E554&amp;"")&gt;0,"OK","CHECK"))</f>
        <v/>
      </c>
      <c r="G554" s="24" t="n"/>
      <c r="H554" s="24" t="n"/>
      <c r="I554" s="24" t="n"/>
      <c r="J554" s="24" t="n"/>
      <c r="K554" s="24" t="n"/>
      <c r="L554" s="26" t="n"/>
      <c r="M554" s="27">
        <f>IF(L554="","",IF(K554="GST 10%",ROUND(L554*set_GSTRate,2),0))</f>
        <v/>
      </c>
      <c r="N554" s="27">
        <f>IF(L554="","",L554+M554)</f>
        <v/>
      </c>
      <c r="O554" s="24" t="n"/>
      <c r="P554" s="24" t="n"/>
      <c r="Q554" s="24" t="n"/>
      <c r="R554" s="22" t="n"/>
      <c r="S554" s="22" t="n"/>
      <c r="T554" s="24" t="n"/>
      <c r="U554" s="24" t="n"/>
      <c r="V554" s="25">
        <f>IF(COUNTA(A554,D554,C554,L554)=0,"",IF(A554="","No date - sits outside every month",IF(E554="","No job number",IF(F554="CHECK","Job number is not in the Xero job list",IF(I554="","No cost centre",IF(AND(P554="Y",C554=""),"Marked posted to Xero but has no invoice number",IF(AND(L554&lt;&gt;"",K554=""),"No tax code",IF(AND(L554&lt;&gt;"",O554=""),"No revenue GL code",""))))))))</f>
        <v/>
      </c>
      <c r="W554" s="25">
        <f>IF(E554="","",IFERROR(INDEX(lst_JobName,MATCH(E554&amp;"",lst_Jobs,0)),""))</f>
        <v/>
      </c>
      <c r="X554" s="28">
        <f>IF(E554="","",COUNTIFS(tbl_Finance[Job Number],E554&amp;"",tbl_Finance[Ex GST],"&lt;&gt;"))</f>
        <v/>
      </c>
      <c r="Y554" s="27">
        <f>IF(E554="","",SUMIFS(tbl_Finance[Ex GST],tbl_Finance[Job Number],E554&amp;""))</f>
        <v/>
      </c>
      <c r="Z554" s="27">
        <f>IF(E554="","",SUMIFS(tbl_Finance[Ex GST],tbl_Finance[Job Number],E554&amp;"",tbl_Finance[Xero Invoice No],"&lt;&gt;"))</f>
        <v/>
      </c>
      <c r="AA554" s="27">
        <f>IF(E554="","",Y554-Z554)</f>
        <v/>
      </c>
      <c r="AB554" s="25">
        <f>IF(E554="","",IF(H554="Onsite",IFERROR(INDEX(tbl_Onsite[Qwilr Quote],MATCH(E554&amp;"",tbl_Onsite[Job Number],0)),""),IF(H554="Production",IFERROR(INDEX(tbl_Production[Current RMS No],MATCH(E554&amp;"",tbl_Production[Job Number],0)),""),IF(H554="Consulting",IFERROR(INDEX(tbl_Consulting[Qwilr Quote],MATCH(E554&amp;"",tbl_Consulting[Job Number],0)),""),""))))</f>
        <v/>
      </c>
      <c r="AC554" s="25">
        <f>IF(AB554="","",IF(AND(LEFT(AB554,4)&lt;&gt;"http",IF(H554="Production",set_RMSBase,set_QwilrBase)=""),"",HYPERLINK(IF(LEFT(AB554,4)="http",AB554,IF(H554="Production",set_RMSBase,set_QwilrBase)&amp;AB554),"Open")))</f>
        <v/>
      </c>
      <c r="AD554" s="27">
        <f>IF(E554="","",IF(H554="Production",IFERROR(INDEX(tbl_Production[Total Expense],MATCH(E554&amp;"",tbl_Production[Job Number],0)),0),IF(H554="Consulting",IFERROR(INDEX(tbl_Consulting[Total Expense],MATCH(E554&amp;"",tbl_Consulting[Job Number],0)),0),0)))</f>
        <v/>
      </c>
      <c r="AE554" s="27">
        <f>IF(E554="","",Y554-N(AD554))</f>
        <v/>
      </c>
      <c r="AF554" s="29">
        <f>IFERROR(AE554/Y554,"")</f>
        <v/>
      </c>
      <c r="AG554" s="25">
        <f>IF(E554="","",IF(H554="Onsite",IFERROR(INDEX(tbl_Onsite[Notes],MATCH(E554&amp;"",tbl_Onsite[Job Number],0)),""),IF(H554="Production",IFERROR(INDEX(tbl_Production[Notes],MATCH(E554&amp;"",tbl_Production[Job Number],0)),""),IF(H554="Consulting",IFERROR(INDEX(tbl_Consulting[Notes],MATCH(E554&amp;"",tbl_Consulting[Job Number],0)),""),""))))</f>
        <v/>
      </c>
    </row>
    <row r="555" ht="15" customHeight="1">
      <c r="A555" s="22" t="n"/>
      <c r="B555" s="23">
        <f>IF(A555="","",EOMONTH(A555,0))</f>
        <v/>
      </c>
      <c r="C555" s="24" t="n"/>
      <c r="D555" s="24" t="n"/>
      <c r="E555" s="24" t="n"/>
      <c r="F555" s="25">
        <f>IF(E555="","",IF(COUNTIF(lst_Jobs,E555&amp;"")&gt;0,"OK","CHECK"))</f>
        <v/>
      </c>
      <c r="G555" s="24" t="n"/>
      <c r="H555" s="24" t="n"/>
      <c r="I555" s="24" t="n"/>
      <c r="J555" s="24" t="n"/>
      <c r="K555" s="24" t="n"/>
      <c r="L555" s="26" t="n"/>
      <c r="M555" s="27">
        <f>IF(L555="","",IF(K555="GST 10%",ROUND(L555*set_GSTRate,2),0))</f>
        <v/>
      </c>
      <c r="N555" s="27">
        <f>IF(L555="","",L555+M555)</f>
        <v/>
      </c>
      <c r="O555" s="24" t="n"/>
      <c r="P555" s="24" t="n"/>
      <c r="Q555" s="24" t="n"/>
      <c r="R555" s="22" t="n"/>
      <c r="S555" s="22" t="n"/>
      <c r="T555" s="24" t="n"/>
      <c r="U555" s="24" t="n"/>
      <c r="V555" s="25">
        <f>IF(COUNTA(A555,D555,C555,L555)=0,"",IF(A555="","No date - sits outside every month",IF(E555="","No job number",IF(F555="CHECK","Job number is not in the Xero job list",IF(I555="","No cost centre",IF(AND(P555="Y",C555=""),"Marked posted to Xero but has no invoice number",IF(AND(L555&lt;&gt;"",K555=""),"No tax code",IF(AND(L555&lt;&gt;"",O555=""),"No revenue GL code",""))))))))</f>
        <v/>
      </c>
      <c r="W555" s="25">
        <f>IF(E555="","",IFERROR(INDEX(lst_JobName,MATCH(E555&amp;"",lst_Jobs,0)),""))</f>
        <v/>
      </c>
      <c r="X555" s="28">
        <f>IF(E555="","",COUNTIFS(tbl_Finance[Job Number],E555&amp;"",tbl_Finance[Ex GST],"&lt;&gt;"))</f>
        <v/>
      </c>
      <c r="Y555" s="27">
        <f>IF(E555="","",SUMIFS(tbl_Finance[Ex GST],tbl_Finance[Job Number],E555&amp;""))</f>
        <v/>
      </c>
      <c r="Z555" s="27">
        <f>IF(E555="","",SUMIFS(tbl_Finance[Ex GST],tbl_Finance[Job Number],E555&amp;"",tbl_Finance[Xero Invoice No],"&lt;&gt;"))</f>
        <v/>
      </c>
      <c r="AA555" s="27">
        <f>IF(E555="","",Y555-Z555)</f>
        <v/>
      </c>
      <c r="AB555" s="25">
        <f>IF(E555="","",IF(H555="Onsite",IFERROR(INDEX(tbl_Onsite[Qwilr Quote],MATCH(E555&amp;"",tbl_Onsite[Job Number],0)),""),IF(H555="Production",IFERROR(INDEX(tbl_Production[Current RMS No],MATCH(E555&amp;"",tbl_Production[Job Number],0)),""),IF(H555="Consulting",IFERROR(INDEX(tbl_Consulting[Qwilr Quote],MATCH(E555&amp;"",tbl_Consulting[Job Number],0)),""),""))))</f>
        <v/>
      </c>
      <c r="AC555" s="25">
        <f>IF(AB555="","",IF(AND(LEFT(AB555,4)&lt;&gt;"http",IF(H555="Production",set_RMSBase,set_QwilrBase)=""),"",HYPERLINK(IF(LEFT(AB555,4)="http",AB555,IF(H555="Production",set_RMSBase,set_QwilrBase)&amp;AB555),"Open")))</f>
        <v/>
      </c>
      <c r="AD555" s="27">
        <f>IF(E555="","",IF(H555="Production",IFERROR(INDEX(tbl_Production[Total Expense],MATCH(E555&amp;"",tbl_Production[Job Number],0)),0),IF(H555="Consulting",IFERROR(INDEX(tbl_Consulting[Total Expense],MATCH(E555&amp;"",tbl_Consulting[Job Number],0)),0),0)))</f>
        <v/>
      </c>
      <c r="AE555" s="27">
        <f>IF(E555="","",Y555-N(AD555))</f>
        <v/>
      </c>
      <c r="AF555" s="29">
        <f>IFERROR(AE555/Y555,"")</f>
        <v/>
      </c>
      <c r="AG555" s="25">
        <f>IF(E555="","",IF(H555="Onsite",IFERROR(INDEX(tbl_Onsite[Notes],MATCH(E555&amp;"",tbl_Onsite[Job Number],0)),""),IF(H555="Production",IFERROR(INDEX(tbl_Production[Notes],MATCH(E555&amp;"",tbl_Production[Job Number],0)),""),IF(H555="Consulting",IFERROR(INDEX(tbl_Consulting[Notes],MATCH(E555&amp;"",tbl_Consulting[Job Number],0)),""),""))))</f>
        <v/>
      </c>
    </row>
    <row r="556" ht="15" customHeight="1">
      <c r="A556" s="22" t="n"/>
      <c r="B556" s="23">
        <f>IF(A556="","",EOMONTH(A556,0))</f>
        <v/>
      </c>
      <c r="C556" s="24" t="n"/>
      <c r="D556" s="24" t="n"/>
      <c r="E556" s="24" t="n"/>
      <c r="F556" s="25">
        <f>IF(E556="","",IF(COUNTIF(lst_Jobs,E556&amp;"")&gt;0,"OK","CHECK"))</f>
        <v/>
      </c>
      <c r="G556" s="24" t="n"/>
      <c r="H556" s="24" t="n"/>
      <c r="I556" s="24" t="n"/>
      <c r="J556" s="24" t="n"/>
      <c r="K556" s="24" t="n"/>
      <c r="L556" s="26" t="n"/>
      <c r="M556" s="27">
        <f>IF(L556="","",IF(K556="GST 10%",ROUND(L556*set_GSTRate,2),0))</f>
        <v/>
      </c>
      <c r="N556" s="27">
        <f>IF(L556="","",L556+M556)</f>
        <v/>
      </c>
      <c r="O556" s="24" t="n"/>
      <c r="P556" s="24" t="n"/>
      <c r="Q556" s="24" t="n"/>
      <c r="R556" s="22" t="n"/>
      <c r="S556" s="22" t="n"/>
      <c r="T556" s="24" t="n"/>
      <c r="U556" s="24" t="n"/>
      <c r="V556" s="25">
        <f>IF(COUNTA(A556,D556,C556,L556)=0,"",IF(A556="","No date - sits outside every month",IF(E556="","No job number",IF(F556="CHECK","Job number is not in the Xero job list",IF(I556="","No cost centre",IF(AND(P556="Y",C556=""),"Marked posted to Xero but has no invoice number",IF(AND(L556&lt;&gt;"",K556=""),"No tax code",IF(AND(L556&lt;&gt;"",O556=""),"No revenue GL code",""))))))))</f>
        <v/>
      </c>
      <c r="W556" s="25">
        <f>IF(E556="","",IFERROR(INDEX(lst_JobName,MATCH(E556&amp;"",lst_Jobs,0)),""))</f>
        <v/>
      </c>
      <c r="X556" s="28">
        <f>IF(E556="","",COUNTIFS(tbl_Finance[Job Number],E556&amp;"",tbl_Finance[Ex GST],"&lt;&gt;"))</f>
        <v/>
      </c>
      <c r="Y556" s="27">
        <f>IF(E556="","",SUMIFS(tbl_Finance[Ex GST],tbl_Finance[Job Number],E556&amp;""))</f>
        <v/>
      </c>
      <c r="Z556" s="27">
        <f>IF(E556="","",SUMIFS(tbl_Finance[Ex GST],tbl_Finance[Job Number],E556&amp;"",tbl_Finance[Xero Invoice No],"&lt;&gt;"))</f>
        <v/>
      </c>
      <c r="AA556" s="27">
        <f>IF(E556="","",Y556-Z556)</f>
        <v/>
      </c>
      <c r="AB556" s="25">
        <f>IF(E556="","",IF(H556="Onsite",IFERROR(INDEX(tbl_Onsite[Qwilr Quote],MATCH(E556&amp;"",tbl_Onsite[Job Number],0)),""),IF(H556="Production",IFERROR(INDEX(tbl_Production[Current RMS No],MATCH(E556&amp;"",tbl_Production[Job Number],0)),""),IF(H556="Consulting",IFERROR(INDEX(tbl_Consulting[Qwilr Quote],MATCH(E556&amp;"",tbl_Consulting[Job Number],0)),""),""))))</f>
        <v/>
      </c>
      <c r="AC556" s="25">
        <f>IF(AB556="","",IF(AND(LEFT(AB556,4)&lt;&gt;"http",IF(H556="Production",set_RMSBase,set_QwilrBase)=""),"",HYPERLINK(IF(LEFT(AB556,4)="http",AB556,IF(H556="Production",set_RMSBase,set_QwilrBase)&amp;AB556),"Open")))</f>
        <v/>
      </c>
      <c r="AD556" s="27">
        <f>IF(E556="","",IF(H556="Production",IFERROR(INDEX(tbl_Production[Total Expense],MATCH(E556&amp;"",tbl_Production[Job Number],0)),0),IF(H556="Consulting",IFERROR(INDEX(tbl_Consulting[Total Expense],MATCH(E556&amp;"",tbl_Consulting[Job Number],0)),0),0)))</f>
        <v/>
      </c>
      <c r="AE556" s="27">
        <f>IF(E556="","",Y556-N(AD556))</f>
        <v/>
      </c>
      <c r="AF556" s="29">
        <f>IFERROR(AE556/Y556,"")</f>
        <v/>
      </c>
      <c r="AG556" s="25">
        <f>IF(E556="","",IF(H556="Onsite",IFERROR(INDEX(tbl_Onsite[Notes],MATCH(E556&amp;"",tbl_Onsite[Job Number],0)),""),IF(H556="Production",IFERROR(INDEX(tbl_Production[Notes],MATCH(E556&amp;"",tbl_Production[Job Number],0)),""),IF(H556="Consulting",IFERROR(INDEX(tbl_Consulting[Notes],MATCH(E556&amp;"",tbl_Consulting[Job Number],0)),""),""))))</f>
        <v/>
      </c>
    </row>
    <row r="557" ht="15" customHeight="1">
      <c r="A557" s="22" t="n"/>
      <c r="B557" s="23">
        <f>IF(A557="","",EOMONTH(A557,0))</f>
        <v/>
      </c>
      <c r="C557" s="24" t="n"/>
      <c r="D557" s="24" t="n"/>
      <c r="E557" s="24" t="n"/>
      <c r="F557" s="25">
        <f>IF(E557="","",IF(COUNTIF(lst_Jobs,E557&amp;"")&gt;0,"OK","CHECK"))</f>
        <v/>
      </c>
      <c r="G557" s="24" t="n"/>
      <c r="H557" s="24" t="n"/>
      <c r="I557" s="24" t="n"/>
      <c r="J557" s="24" t="n"/>
      <c r="K557" s="24" t="n"/>
      <c r="L557" s="26" t="n"/>
      <c r="M557" s="27">
        <f>IF(L557="","",IF(K557="GST 10%",ROUND(L557*set_GSTRate,2),0))</f>
        <v/>
      </c>
      <c r="N557" s="27">
        <f>IF(L557="","",L557+M557)</f>
        <v/>
      </c>
      <c r="O557" s="24" t="n"/>
      <c r="P557" s="24" t="n"/>
      <c r="Q557" s="24" t="n"/>
      <c r="R557" s="22" t="n"/>
      <c r="S557" s="22" t="n"/>
      <c r="T557" s="24" t="n"/>
      <c r="U557" s="24" t="n"/>
      <c r="V557" s="25">
        <f>IF(COUNTA(A557,D557,C557,L557)=0,"",IF(A557="","No date - sits outside every month",IF(E557="","No job number",IF(F557="CHECK","Job number is not in the Xero job list",IF(I557="","No cost centre",IF(AND(P557="Y",C557=""),"Marked posted to Xero but has no invoice number",IF(AND(L557&lt;&gt;"",K557=""),"No tax code",IF(AND(L557&lt;&gt;"",O557=""),"No revenue GL code",""))))))))</f>
        <v/>
      </c>
      <c r="W557" s="25">
        <f>IF(E557="","",IFERROR(INDEX(lst_JobName,MATCH(E557&amp;"",lst_Jobs,0)),""))</f>
        <v/>
      </c>
      <c r="X557" s="28">
        <f>IF(E557="","",COUNTIFS(tbl_Finance[Job Number],E557&amp;"",tbl_Finance[Ex GST],"&lt;&gt;"))</f>
        <v/>
      </c>
      <c r="Y557" s="27">
        <f>IF(E557="","",SUMIFS(tbl_Finance[Ex GST],tbl_Finance[Job Number],E557&amp;""))</f>
        <v/>
      </c>
      <c r="Z557" s="27">
        <f>IF(E557="","",SUMIFS(tbl_Finance[Ex GST],tbl_Finance[Job Number],E557&amp;"",tbl_Finance[Xero Invoice No],"&lt;&gt;"))</f>
        <v/>
      </c>
      <c r="AA557" s="27">
        <f>IF(E557="","",Y557-Z557)</f>
        <v/>
      </c>
      <c r="AB557" s="25">
        <f>IF(E557="","",IF(H557="Onsite",IFERROR(INDEX(tbl_Onsite[Qwilr Quote],MATCH(E557&amp;"",tbl_Onsite[Job Number],0)),""),IF(H557="Production",IFERROR(INDEX(tbl_Production[Current RMS No],MATCH(E557&amp;"",tbl_Production[Job Number],0)),""),IF(H557="Consulting",IFERROR(INDEX(tbl_Consulting[Qwilr Quote],MATCH(E557&amp;"",tbl_Consulting[Job Number],0)),""),""))))</f>
        <v/>
      </c>
      <c r="AC557" s="25">
        <f>IF(AB557="","",IF(AND(LEFT(AB557,4)&lt;&gt;"http",IF(H557="Production",set_RMSBase,set_QwilrBase)=""),"",HYPERLINK(IF(LEFT(AB557,4)="http",AB557,IF(H557="Production",set_RMSBase,set_QwilrBase)&amp;AB557),"Open")))</f>
        <v/>
      </c>
      <c r="AD557" s="27">
        <f>IF(E557="","",IF(H557="Production",IFERROR(INDEX(tbl_Production[Total Expense],MATCH(E557&amp;"",tbl_Production[Job Number],0)),0),IF(H557="Consulting",IFERROR(INDEX(tbl_Consulting[Total Expense],MATCH(E557&amp;"",tbl_Consulting[Job Number],0)),0),0)))</f>
        <v/>
      </c>
      <c r="AE557" s="27">
        <f>IF(E557="","",Y557-N(AD557))</f>
        <v/>
      </c>
      <c r="AF557" s="29">
        <f>IFERROR(AE557/Y557,"")</f>
        <v/>
      </c>
      <c r="AG557" s="25">
        <f>IF(E557="","",IF(H557="Onsite",IFERROR(INDEX(tbl_Onsite[Notes],MATCH(E557&amp;"",tbl_Onsite[Job Number],0)),""),IF(H557="Production",IFERROR(INDEX(tbl_Production[Notes],MATCH(E557&amp;"",tbl_Production[Job Number],0)),""),IF(H557="Consulting",IFERROR(INDEX(tbl_Consulting[Notes],MATCH(E557&amp;"",tbl_Consulting[Job Number],0)),""),""))))</f>
        <v/>
      </c>
    </row>
    <row r="558" ht="15" customHeight="1">
      <c r="A558" s="22" t="n"/>
      <c r="B558" s="23">
        <f>IF(A558="","",EOMONTH(A558,0))</f>
        <v/>
      </c>
      <c r="C558" s="24" t="n"/>
      <c r="D558" s="24" t="n"/>
      <c r="E558" s="24" t="n"/>
      <c r="F558" s="25">
        <f>IF(E558="","",IF(COUNTIF(lst_Jobs,E558&amp;"")&gt;0,"OK","CHECK"))</f>
        <v/>
      </c>
      <c r="G558" s="24" t="n"/>
      <c r="H558" s="24" t="n"/>
      <c r="I558" s="24" t="n"/>
      <c r="J558" s="24" t="n"/>
      <c r="K558" s="24" t="n"/>
      <c r="L558" s="26" t="n"/>
      <c r="M558" s="27">
        <f>IF(L558="","",IF(K558="GST 10%",ROUND(L558*set_GSTRate,2),0))</f>
        <v/>
      </c>
      <c r="N558" s="27">
        <f>IF(L558="","",L558+M558)</f>
        <v/>
      </c>
      <c r="O558" s="24" t="n"/>
      <c r="P558" s="24" t="n"/>
      <c r="Q558" s="24" t="n"/>
      <c r="R558" s="22" t="n"/>
      <c r="S558" s="22" t="n"/>
      <c r="T558" s="24" t="n"/>
      <c r="U558" s="24" t="n"/>
      <c r="V558" s="25">
        <f>IF(COUNTA(A558,D558,C558,L558)=0,"",IF(A558="","No date - sits outside every month",IF(E558="","No job number",IF(F558="CHECK","Job number is not in the Xero job list",IF(I558="","No cost centre",IF(AND(P558="Y",C558=""),"Marked posted to Xero but has no invoice number",IF(AND(L558&lt;&gt;"",K558=""),"No tax code",IF(AND(L558&lt;&gt;"",O558=""),"No revenue GL code",""))))))))</f>
        <v/>
      </c>
      <c r="W558" s="25">
        <f>IF(E558="","",IFERROR(INDEX(lst_JobName,MATCH(E558&amp;"",lst_Jobs,0)),""))</f>
        <v/>
      </c>
      <c r="X558" s="28">
        <f>IF(E558="","",COUNTIFS(tbl_Finance[Job Number],E558&amp;"",tbl_Finance[Ex GST],"&lt;&gt;"))</f>
        <v/>
      </c>
      <c r="Y558" s="27">
        <f>IF(E558="","",SUMIFS(tbl_Finance[Ex GST],tbl_Finance[Job Number],E558&amp;""))</f>
        <v/>
      </c>
      <c r="Z558" s="27">
        <f>IF(E558="","",SUMIFS(tbl_Finance[Ex GST],tbl_Finance[Job Number],E558&amp;"",tbl_Finance[Xero Invoice No],"&lt;&gt;"))</f>
        <v/>
      </c>
      <c r="AA558" s="27">
        <f>IF(E558="","",Y558-Z558)</f>
        <v/>
      </c>
      <c r="AB558" s="25">
        <f>IF(E558="","",IF(H558="Onsite",IFERROR(INDEX(tbl_Onsite[Qwilr Quote],MATCH(E558&amp;"",tbl_Onsite[Job Number],0)),""),IF(H558="Production",IFERROR(INDEX(tbl_Production[Current RMS No],MATCH(E558&amp;"",tbl_Production[Job Number],0)),""),IF(H558="Consulting",IFERROR(INDEX(tbl_Consulting[Qwilr Quote],MATCH(E558&amp;"",tbl_Consulting[Job Number],0)),""),""))))</f>
        <v/>
      </c>
      <c r="AC558" s="25">
        <f>IF(AB558="","",IF(AND(LEFT(AB558,4)&lt;&gt;"http",IF(H558="Production",set_RMSBase,set_QwilrBase)=""),"",HYPERLINK(IF(LEFT(AB558,4)="http",AB558,IF(H558="Production",set_RMSBase,set_QwilrBase)&amp;AB558),"Open")))</f>
        <v/>
      </c>
      <c r="AD558" s="27">
        <f>IF(E558="","",IF(H558="Production",IFERROR(INDEX(tbl_Production[Total Expense],MATCH(E558&amp;"",tbl_Production[Job Number],0)),0),IF(H558="Consulting",IFERROR(INDEX(tbl_Consulting[Total Expense],MATCH(E558&amp;"",tbl_Consulting[Job Number],0)),0),0)))</f>
        <v/>
      </c>
      <c r="AE558" s="27">
        <f>IF(E558="","",Y558-N(AD558))</f>
        <v/>
      </c>
      <c r="AF558" s="29">
        <f>IFERROR(AE558/Y558,"")</f>
        <v/>
      </c>
      <c r="AG558" s="25">
        <f>IF(E558="","",IF(H558="Onsite",IFERROR(INDEX(tbl_Onsite[Notes],MATCH(E558&amp;"",tbl_Onsite[Job Number],0)),""),IF(H558="Production",IFERROR(INDEX(tbl_Production[Notes],MATCH(E558&amp;"",tbl_Production[Job Number],0)),""),IF(H558="Consulting",IFERROR(INDEX(tbl_Consulting[Notes],MATCH(E558&amp;"",tbl_Consulting[Job Number],0)),""),""))))</f>
        <v/>
      </c>
    </row>
    <row r="559" ht="15" customHeight="1">
      <c r="A559" s="22" t="n"/>
      <c r="B559" s="23">
        <f>IF(A559="","",EOMONTH(A559,0))</f>
        <v/>
      </c>
      <c r="C559" s="24" t="n"/>
      <c r="D559" s="24" t="n"/>
      <c r="E559" s="24" t="n"/>
      <c r="F559" s="25">
        <f>IF(E559="","",IF(COUNTIF(lst_Jobs,E559&amp;"")&gt;0,"OK","CHECK"))</f>
        <v/>
      </c>
      <c r="G559" s="24" t="n"/>
      <c r="H559" s="24" t="n"/>
      <c r="I559" s="24" t="n"/>
      <c r="J559" s="24" t="n"/>
      <c r="K559" s="24" t="n"/>
      <c r="L559" s="26" t="n"/>
      <c r="M559" s="27">
        <f>IF(L559="","",IF(K559="GST 10%",ROUND(L559*set_GSTRate,2),0))</f>
        <v/>
      </c>
      <c r="N559" s="27">
        <f>IF(L559="","",L559+M559)</f>
        <v/>
      </c>
      <c r="O559" s="24" t="n"/>
      <c r="P559" s="24" t="n"/>
      <c r="Q559" s="24" t="n"/>
      <c r="R559" s="22" t="n"/>
      <c r="S559" s="22" t="n"/>
      <c r="T559" s="24" t="n"/>
      <c r="U559" s="24" t="n"/>
      <c r="V559" s="25">
        <f>IF(COUNTA(A559,D559,C559,L559)=0,"",IF(A559="","No date - sits outside every month",IF(E559="","No job number",IF(F559="CHECK","Job number is not in the Xero job list",IF(I559="","No cost centre",IF(AND(P559="Y",C559=""),"Marked posted to Xero but has no invoice number",IF(AND(L559&lt;&gt;"",K559=""),"No tax code",IF(AND(L559&lt;&gt;"",O559=""),"No revenue GL code",""))))))))</f>
        <v/>
      </c>
      <c r="W559" s="25">
        <f>IF(E559="","",IFERROR(INDEX(lst_JobName,MATCH(E559&amp;"",lst_Jobs,0)),""))</f>
        <v/>
      </c>
      <c r="X559" s="28">
        <f>IF(E559="","",COUNTIFS(tbl_Finance[Job Number],E559&amp;"",tbl_Finance[Ex GST],"&lt;&gt;"))</f>
        <v/>
      </c>
      <c r="Y559" s="27">
        <f>IF(E559="","",SUMIFS(tbl_Finance[Ex GST],tbl_Finance[Job Number],E559&amp;""))</f>
        <v/>
      </c>
      <c r="Z559" s="27">
        <f>IF(E559="","",SUMIFS(tbl_Finance[Ex GST],tbl_Finance[Job Number],E559&amp;"",tbl_Finance[Xero Invoice No],"&lt;&gt;"))</f>
        <v/>
      </c>
      <c r="AA559" s="27">
        <f>IF(E559="","",Y559-Z559)</f>
        <v/>
      </c>
      <c r="AB559" s="25">
        <f>IF(E559="","",IF(H559="Onsite",IFERROR(INDEX(tbl_Onsite[Qwilr Quote],MATCH(E559&amp;"",tbl_Onsite[Job Number],0)),""),IF(H559="Production",IFERROR(INDEX(tbl_Production[Current RMS No],MATCH(E559&amp;"",tbl_Production[Job Number],0)),""),IF(H559="Consulting",IFERROR(INDEX(tbl_Consulting[Qwilr Quote],MATCH(E559&amp;"",tbl_Consulting[Job Number],0)),""),""))))</f>
        <v/>
      </c>
      <c r="AC559" s="25">
        <f>IF(AB559="","",IF(AND(LEFT(AB559,4)&lt;&gt;"http",IF(H559="Production",set_RMSBase,set_QwilrBase)=""),"",HYPERLINK(IF(LEFT(AB559,4)="http",AB559,IF(H559="Production",set_RMSBase,set_QwilrBase)&amp;AB559),"Open")))</f>
        <v/>
      </c>
      <c r="AD559" s="27">
        <f>IF(E559="","",IF(H559="Production",IFERROR(INDEX(tbl_Production[Total Expense],MATCH(E559&amp;"",tbl_Production[Job Number],0)),0),IF(H559="Consulting",IFERROR(INDEX(tbl_Consulting[Total Expense],MATCH(E559&amp;"",tbl_Consulting[Job Number],0)),0),0)))</f>
        <v/>
      </c>
      <c r="AE559" s="27">
        <f>IF(E559="","",Y559-N(AD559))</f>
        <v/>
      </c>
      <c r="AF559" s="29">
        <f>IFERROR(AE559/Y559,"")</f>
        <v/>
      </c>
      <c r="AG559" s="25">
        <f>IF(E559="","",IF(H559="Onsite",IFERROR(INDEX(tbl_Onsite[Notes],MATCH(E559&amp;"",tbl_Onsite[Job Number],0)),""),IF(H559="Production",IFERROR(INDEX(tbl_Production[Notes],MATCH(E559&amp;"",tbl_Production[Job Number],0)),""),IF(H559="Consulting",IFERROR(INDEX(tbl_Consulting[Notes],MATCH(E559&amp;"",tbl_Consulting[Job Number],0)),""),""))))</f>
        <v/>
      </c>
    </row>
    <row r="560" ht="15" customHeight="1">
      <c r="A560" s="22" t="n"/>
      <c r="B560" s="23">
        <f>IF(A560="","",EOMONTH(A560,0))</f>
        <v/>
      </c>
      <c r="C560" s="24" t="n"/>
      <c r="D560" s="24" t="n"/>
      <c r="E560" s="24" t="n"/>
      <c r="F560" s="25">
        <f>IF(E560="","",IF(COUNTIF(lst_Jobs,E560&amp;"")&gt;0,"OK","CHECK"))</f>
        <v/>
      </c>
      <c r="G560" s="24" t="n"/>
      <c r="H560" s="24" t="n"/>
      <c r="I560" s="24" t="n"/>
      <c r="J560" s="24" t="n"/>
      <c r="K560" s="24" t="n"/>
      <c r="L560" s="26" t="n"/>
      <c r="M560" s="27">
        <f>IF(L560="","",IF(K560="GST 10%",ROUND(L560*set_GSTRate,2),0))</f>
        <v/>
      </c>
      <c r="N560" s="27">
        <f>IF(L560="","",L560+M560)</f>
        <v/>
      </c>
      <c r="O560" s="24" t="n"/>
      <c r="P560" s="24" t="n"/>
      <c r="Q560" s="24" t="n"/>
      <c r="R560" s="22" t="n"/>
      <c r="S560" s="22" t="n"/>
      <c r="T560" s="24" t="n"/>
      <c r="U560" s="24" t="n"/>
      <c r="V560" s="25">
        <f>IF(COUNTA(A560,D560,C560,L560)=0,"",IF(A560="","No date - sits outside every month",IF(E560="","No job number",IF(F560="CHECK","Job number is not in the Xero job list",IF(I560="","No cost centre",IF(AND(P560="Y",C560=""),"Marked posted to Xero but has no invoice number",IF(AND(L560&lt;&gt;"",K560=""),"No tax code",IF(AND(L560&lt;&gt;"",O560=""),"No revenue GL code",""))))))))</f>
        <v/>
      </c>
      <c r="W560" s="25">
        <f>IF(E560="","",IFERROR(INDEX(lst_JobName,MATCH(E560&amp;"",lst_Jobs,0)),""))</f>
        <v/>
      </c>
      <c r="X560" s="28">
        <f>IF(E560="","",COUNTIFS(tbl_Finance[Job Number],E560&amp;"",tbl_Finance[Ex GST],"&lt;&gt;"))</f>
        <v/>
      </c>
      <c r="Y560" s="27">
        <f>IF(E560="","",SUMIFS(tbl_Finance[Ex GST],tbl_Finance[Job Number],E560&amp;""))</f>
        <v/>
      </c>
      <c r="Z560" s="27">
        <f>IF(E560="","",SUMIFS(tbl_Finance[Ex GST],tbl_Finance[Job Number],E560&amp;"",tbl_Finance[Xero Invoice No],"&lt;&gt;"))</f>
        <v/>
      </c>
      <c r="AA560" s="27">
        <f>IF(E560="","",Y560-Z560)</f>
        <v/>
      </c>
      <c r="AB560" s="25">
        <f>IF(E560="","",IF(H560="Onsite",IFERROR(INDEX(tbl_Onsite[Qwilr Quote],MATCH(E560&amp;"",tbl_Onsite[Job Number],0)),""),IF(H560="Production",IFERROR(INDEX(tbl_Production[Current RMS No],MATCH(E560&amp;"",tbl_Production[Job Number],0)),""),IF(H560="Consulting",IFERROR(INDEX(tbl_Consulting[Qwilr Quote],MATCH(E560&amp;"",tbl_Consulting[Job Number],0)),""),""))))</f>
        <v/>
      </c>
      <c r="AC560" s="25">
        <f>IF(AB560="","",IF(AND(LEFT(AB560,4)&lt;&gt;"http",IF(H560="Production",set_RMSBase,set_QwilrBase)=""),"",HYPERLINK(IF(LEFT(AB560,4)="http",AB560,IF(H560="Production",set_RMSBase,set_QwilrBase)&amp;AB560),"Open")))</f>
        <v/>
      </c>
      <c r="AD560" s="27">
        <f>IF(E560="","",IF(H560="Production",IFERROR(INDEX(tbl_Production[Total Expense],MATCH(E560&amp;"",tbl_Production[Job Number],0)),0),IF(H560="Consulting",IFERROR(INDEX(tbl_Consulting[Total Expense],MATCH(E560&amp;"",tbl_Consulting[Job Number],0)),0),0)))</f>
        <v/>
      </c>
      <c r="AE560" s="27">
        <f>IF(E560="","",Y560-N(AD560))</f>
        <v/>
      </c>
      <c r="AF560" s="29">
        <f>IFERROR(AE560/Y560,"")</f>
        <v/>
      </c>
      <c r="AG560" s="25">
        <f>IF(E560="","",IF(H560="Onsite",IFERROR(INDEX(tbl_Onsite[Notes],MATCH(E560&amp;"",tbl_Onsite[Job Number],0)),""),IF(H560="Production",IFERROR(INDEX(tbl_Production[Notes],MATCH(E560&amp;"",tbl_Production[Job Number],0)),""),IF(H560="Consulting",IFERROR(INDEX(tbl_Consulting[Notes],MATCH(E560&amp;"",tbl_Consulting[Job Number],0)),""),""))))</f>
        <v/>
      </c>
    </row>
    <row r="561" ht="15" customHeight="1">
      <c r="A561" s="22" t="n"/>
      <c r="B561" s="23">
        <f>IF(A561="","",EOMONTH(A561,0))</f>
        <v/>
      </c>
      <c r="C561" s="24" t="n"/>
      <c r="D561" s="24" t="n"/>
      <c r="E561" s="24" t="n"/>
      <c r="F561" s="25">
        <f>IF(E561="","",IF(COUNTIF(lst_Jobs,E561&amp;"")&gt;0,"OK","CHECK"))</f>
        <v/>
      </c>
      <c r="G561" s="24" t="n"/>
      <c r="H561" s="24" t="n"/>
      <c r="I561" s="24" t="n"/>
      <c r="J561" s="24" t="n"/>
      <c r="K561" s="24" t="n"/>
      <c r="L561" s="26" t="n"/>
      <c r="M561" s="27">
        <f>IF(L561="","",IF(K561="GST 10%",ROUND(L561*set_GSTRate,2),0))</f>
        <v/>
      </c>
      <c r="N561" s="27">
        <f>IF(L561="","",L561+M561)</f>
        <v/>
      </c>
      <c r="O561" s="24" t="n"/>
      <c r="P561" s="24" t="n"/>
      <c r="Q561" s="24" t="n"/>
      <c r="R561" s="22" t="n"/>
      <c r="S561" s="22" t="n"/>
      <c r="T561" s="24" t="n"/>
      <c r="U561" s="24" t="n"/>
      <c r="V561" s="25">
        <f>IF(COUNTA(A561,D561,C561,L561)=0,"",IF(A561="","No date - sits outside every month",IF(E561="","No job number",IF(F561="CHECK","Job number is not in the Xero job list",IF(I561="","No cost centre",IF(AND(P561="Y",C561=""),"Marked posted to Xero but has no invoice number",IF(AND(L561&lt;&gt;"",K561=""),"No tax code",IF(AND(L561&lt;&gt;"",O561=""),"No revenue GL code",""))))))))</f>
        <v/>
      </c>
      <c r="W561" s="25">
        <f>IF(E561="","",IFERROR(INDEX(lst_JobName,MATCH(E561&amp;"",lst_Jobs,0)),""))</f>
        <v/>
      </c>
      <c r="X561" s="28">
        <f>IF(E561="","",COUNTIFS(tbl_Finance[Job Number],E561&amp;"",tbl_Finance[Ex GST],"&lt;&gt;"))</f>
        <v/>
      </c>
      <c r="Y561" s="27">
        <f>IF(E561="","",SUMIFS(tbl_Finance[Ex GST],tbl_Finance[Job Number],E561&amp;""))</f>
        <v/>
      </c>
      <c r="Z561" s="27">
        <f>IF(E561="","",SUMIFS(tbl_Finance[Ex GST],tbl_Finance[Job Number],E561&amp;"",tbl_Finance[Xero Invoice No],"&lt;&gt;"))</f>
        <v/>
      </c>
      <c r="AA561" s="27">
        <f>IF(E561="","",Y561-Z561)</f>
        <v/>
      </c>
      <c r="AB561" s="25">
        <f>IF(E561="","",IF(H561="Onsite",IFERROR(INDEX(tbl_Onsite[Qwilr Quote],MATCH(E561&amp;"",tbl_Onsite[Job Number],0)),""),IF(H561="Production",IFERROR(INDEX(tbl_Production[Current RMS No],MATCH(E561&amp;"",tbl_Production[Job Number],0)),""),IF(H561="Consulting",IFERROR(INDEX(tbl_Consulting[Qwilr Quote],MATCH(E561&amp;"",tbl_Consulting[Job Number],0)),""),""))))</f>
        <v/>
      </c>
      <c r="AC561" s="25">
        <f>IF(AB561="","",IF(AND(LEFT(AB561,4)&lt;&gt;"http",IF(H561="Production",set_RMSBase,set_QwilrBase)=""),"",HYPERLINK(IF(LEFT(AB561,4)="http",AB561,IF(H561="Production",set_RMSBase,set_QwilrBase)&amp;AB561),"Open")))</f>
        <v/>
      </c>
      <c r="AD561" s="27">
        <f>IF(E561="","",IF(H561="Production",IFERROR(INDEX(tbl_Production[Total Expense],MATCH(E561&amp;"",tbl_Production[Job Number],0)),0),IF(H561="Consulting",IFERROR(INDEX(tbl_Consulting[Total Expense],MATCH(E561&amp;"",tbl_Consulting[Job Number],0)),0),0)))</f>
        <v/>
      </c>
      <c r="AE561" s="27">
        <f>IF(E561="","",Y561-N(AD561))</f>
        <v/>
      </c>
      <c r="AF561" s="29">
        <f>IFERROR(AE561/Y561,"")</f>
        <v/>
      </c>
      <c r="AG561" s="25">
        <f>IF(E561="","",IF(H561="Onsite",IFERROR(INDEX(tbl_Onsite[Notes],MATCH(E561&amp;"",tbl_Onsite[Job Number],0)),""),IF(H561="Production",IFERROR(INDEX(tbl_Production[Notes],MATCH(E561&amp;"",tbl_Production[Job Number],0)),""),IF(H561="Consulting",IFERROR(INDEX(tbl_Consulting[Notes],MATCH(E561&amp;"",tbl_Consulting[Job Number],0)),""),""))))</f>
        <v/>
      </c>
    </row>
    <row r="562" ht="15" customHeight="1">
      <c r="A562" s="22" t="n"/>
      <c r="B562" s="23">
        <f>IF(A562="","",EOMONTH(A562,0))</f>
        <v/>
      </c>
      <c r="C562" s="24" t="n"/>
      <c r="D562" s="24" t="n"/>
      <c r="E562" s="24" t="n"/>
      <c r="F562" s="25">
        <f>IF(E562="","",IF(COUNTIF(lst_Jobs,E562&amp;"")&gt;0,"OK","CHECK"))</f>
        <v/>
      </c>
      <c r="G562" s="24" t="n"/>
      <c r="H562" s="24" t="n"/>
      <c r="I562" s="24" t="n"/>
      <c r="J562" s="24" t="n"/>
      <c r="K562" s="24" t="n"/>
      <c r="L562" s="26" t="n"/>
      <c r="M562" s="27">
        <f>IF(L562="","",IF(K562="GST 10%",ROUND(L562*set_GSTRate,2),0))</f>
        <v/>
      </c>
      <c r="N562" s="27">
        <f>IF(L562="","",L562+M562)</f>
        <v/>
      </c>
      <c r="O562" s="24" t="n"/>
      <c r="P562" s="24" t="n"/>
      <c r="Q562" s="24" t="n"/>
      <c r="R562" s="22" t="n"/>
      <c r="S562" s="22" t="n"/>
      <c r="T562" s="24" t="n"/>
      <c r="U562" s="24" t="n"/>
      <c r="V562" s="25">
        <f>IF(COUNTA(A562,D562,C562,L562)=0,"",IF(A562="","No date - sits outside every month",IF(E562="","No job number",IF(F562="CHECK","Job number is not in the Xero job list",IF(I562="","No cost centre",IF(AND(P562="Y",C562=""),"Marked posted to Xero but has no invoice number",IF(AND(L562&lt;&gt;"",K562=""),"No tax code",IF(AND(L562&lt;&gt;"",O562=""),"No revenue GL code",""))))))))</f>
        <v/>
      </c>
      <c r="W562" s="25">
        <f>IF(E562="","",IFERROR(INDEX(lst_JobName,MATCH(E562&amp;"",lst_Jobs,0)),""))</f>
        <v/>
      </c>
      <c r="X562" s="28">
        <f>IF(E562="","",COUNTIFS(tbl_Finance[Job Number],E562&amp;"",tbl_Finance[Ex GST],"&lt;&gt;"))</f>
        <v/>
      </c>
      <c r="Y562" s="27">
        <f>IF(E562="","",SUMIFS(tbl_Finance[Ex GST],tbl_Finance[Job Number],E562&amp;""))</f>
        <v/>
      </c>
      <c r="Z562" s="27">
        <f>IF(E562="","",SUMIFS(tbl_Finance[Ex GST],tbl_Finance[Job Number],E562&amp;"",tbl_Finance[Xero Invoice No],"&lt;&gt;"))</f>
        <v/>
      </c>
      <c r="AA562" s="27">
        <f>IF(E562="","",Y562-Z562)</f>
        <v/>
      </c>
      <c r="AB562" s="25">
        <f>IF(E562="","",IF(H562="Onsite",IFERROR(INDEX(tbl_Onsite[Qwilr Quote],MATCH(E562&amp;"",tbl_Onsite[Job Number],0)),""),IF(H562="Production",IFERROR(INDEX(tbl_Production[Current RMS No],MATCH(E562&amp;"",tbl_Production[Job Number],0)),""),IF(H562="Consulting",IFERROR(INDEX(tbl_Consulting[Qwilr Quote],MATCH(E562&amp;"",tbl_Consulting[Job Number],0)),""),""))))</f>
        <v/>
      </c>
      <c r="AC562" s="25">
        <f>IF(AB562="","",IF(AND(LEFT(AB562,4)&lt;&gt;"http",IF(H562="Production",set_RMSBase,set_QwilrBase)=""),"",HYPERLINK(IF(LEFT(AB562,4)="http",AB562,IF(H562="Production",set_RMSBase,set_QwilrBase)&amp;AB562),"Open")))</f>
        <v/>
      </c>
      <c r="AD562" s="27">
        <f>IF(E562="","",IF(H562="Production",IFERROR(INDEX(tbl_Production[Total Expense],MATCH(E562&amp;"",tbl_Production[Job Number],0)),0),IF(H562="Consulting",IFERROR(INDEX(tbl_Consulting[Total Expense],MATCH(E562&amp;"",tbl_Consulting[Job Number],0)),0),0)))</f>
        <v/>
      </c>
      <c r="AE562" s="27">
        <f>IF(E562="","",Y562-N(AD562))</f>
        <v/>
      </c>
      <c r="AF562" s="29">
        <f>IFERROR(AE562/Y562,"")</f>
        <v/>
      </c>
      <c r="AG562" s="25">
        <f>IF(E562="","",IF(H562="Onsite",IFERROR(INDEX(tbl_Onsite[Notes],MATCH(E562&amp;"",tbl_Onsite[Job Number],0)),""),IF(H562="Production",IFERROR(INDEX(tbl_Production[Notes],MATCH(E562&amp;"",tbl_Production[Job Number],0)),""),IF(H562="Consulting",IFERROR(INDEX(tbl_Consulting[Notes],MATCH(E562&amp;"",tbl_Consulting[Job Number],0)),""),""))))</f>
        <v/>
      </c>
    </row>
    <row r="563" ht="15" customHeight="1">
      <c r="A563" s="22" t="n"/>
      <c r="B563" s="23">
        <f>IF(A563="","",EOMONTH(A563,0))</f>
        <v/>
      </c>
      <c r="C563" s="24" t="n"/>
      <c r="D563" s="24" t="n"/>
      <c r="E563" s="24" t="n"/>
      <c r="F563" s="25">
        <f>IF(E563="","",IF(COUNTIF(lst_Jobs,E563&amp;"")&gt;0,"OK","CHECK"))</f>
        <v/>
      </c>
      <c r="G563" s="24" t="n"/>
      <c r="H563" s="24" t="n"/>
      <c r="I563" s="24" t="n"/>
      <c r="J563" s="24" t="n"/>
      <c r="K563" s="24" t="n"/>
      <c r="L563" s="26" t="n"/>
      <c r="M563" s="27">
        <f>IF(L563="","",IF(K563="GST 10%",ROUND(L563*set_GSTRate,2),0))</f>
        <v/>
      </c>
      <c r="N563" s="27">
        <f>IF(L563="","",L563+M563)</f>
        <v/>
      </c>
      <c r="O563" s="24" t="n"/>
      <c r="P563" s="24" t="n"/>
      <c r="Q563" s="24" t="n"/>
      <c r="R563" s="22" t="n"/>
      <c r="S563" s="22" t="n"/>
      <c r="T563" s="24" t="n"/>
      <c r="U563" s="24" t="n"/>
      <c r="V563" s="25">
        <f>IF(COUNTA(A563,D563,C563,L563)=0,"",IF(A563="","No date - sits outside every month",IF(E563="","No job number",IF(F563="CHECK","Job number is not in the Xero job list",IF(I563="","No cost centre",IF(AND(P563="Y",C563=""),"Marked posted to Xero but has no invoice number",IF(AND(L563&lt;&gt;"",K563=""),"No tax code",IF(AND(L563&lt;&gt;"",O563=""),"No revenue GL code",""))))))))</f>
        <v/>
      </c>
      <c r="W563" s="25">
        <f>IF(E563="","",IFERROR(INDEX(lst_JobName,MATCH(E563&amp;"",lst_Jobs,0)),""))</f>
        <v/>
      </c>
      <c r="X563" s="28">
        <f>IF(E563="","",COUNTIFS(tbl_Finance[Job Number],E563&amp;"",tbl_Finance[Ex GST],"&lt;&gt;"))</f>
        <v/>
      </c>
      <c r="Y563" s="27">
        <f>IF(E563="","",SUMIFS(tbl_Finance[Ex GST],tbl_Finance[Job Number],E563&amp;""))</f>
        <v/>
      </c>
      <c r="Z563" s="27">
        <f>IF(E563="","",SUMIFS(tbl_Finance[Ex GST],tbl_Finance[Job Number],E563&amp;"",tbl_Finance[Xero Invoice No],"&lt;&gt;"))</f>
        <v/>
      </c>
      <c r="AA563" s="27">
        <f>IF(E563="","",Y563-Z563)</f>
        <v/>
      </c>
      <c r="AB563" s="25">
        <f>IF(E563="","",IF(H563="Onsite",IFERROR(INDEX(tbl_Onsite[Qwilr Quote],MATCH(E563&amp;"",tbl_Onsite[Job Number],0)),""),IF(H563="Production",IFERROR(INDEX(tbl_Production[Current RMS No],MATCH(E563&amp;"",tbl_Production[Job Number],0)),""),IF(H563="Consulting",IFERROR(INDEX(tbl_Consulting[Qwilr Quote],MATCH(E563&amp;"",tbl_Consulting[Job Number],0)),""),""))))</f>
        <v/>
      </c>
      <c r="AC563" s="25">
        <f>IF(AB563="","",IF(AND(LEFT(AB563,4)&lt;&gt;"http",IF(H563="Production",set_RMSBase,set_QwilrBase)=""),"",HYPERLINK(IF(LEFT(AB563,4)="http",AB563,IF(H563="Production",set_RMSBase,set_QwilrBase)&amp;AB563),"Open")))</f>
        <v/>
      </c>
      <c r="AD563" s="27">
        <f>IF(E563="","",IF(H563="Production",IFERROR(INDEX(tbl_Production[Total Expense],MATCH(E563&amp;"",tbl_Production[Job Number],0)),0),IF(H563="Consulting",IFERROR(INDEX(tbl_Consulting[Total Expense],MATCH(E563&amp;"",tbl_Consulting[Job Number],0)),0),0)))</f>
        <v/>
      </c>
      <c r="AE563" s="27">
        <f>IF(E563="","",Y563-N(AD563))</f>
        <v/>
      </c>
      <c r="AF563" s="29">
        <f>IFERROR(AE563/Y563,"")</f>
        <v/>
      </c>
      <c r="AG563" s="25">
        <f>IF(E563="","",IF(H563="Onsite",IFERROR(INDEX(tbl_Onsite[Notes],MATCH(E563&amp;"",tbl_Onsite[Job Number],0)),""),IF(H563="Production",IFERROR(INDEX(tbl_Production[Notes],MATCH(E563&amp;"",tbl_Production[Job Number],0)),""),IF(H563="Consulting",IFERROR(INDEX(tbl_Consulting[Notes],MATCH(E563&amp;"",tbl_Consulting[Job Number],0)),""),""))))</f>
        <v/>
      </c>
    </row>
    <row r="564" ht="15" customHeight="1">
      <c r="A564" s="22" t="n"/>
      <c r="B564" s="23">
        <f>IF(A564="","",EOMONTH(A564,0))</f>
        <v/>
      </c>
      <c r="C564" s="24" t="n"/>
      <c r="D564" s="24" t="n"/>
      <c r="E564" s="24" t="n"/>
      <c r="F564" s="25">
        <f>IF(E564="","",IF(COUNTIF(lst_Jobs,E564&amp;"")&gt;0,"OK","CHECK"))</f>
        <v/>
      </c>
      <c r="G564" s="24" t="n"/>
      <c r="H564" s="24" t="n"/>
      <c r="I564" s="24" t="n"/>
      <c r="J564" s="24" t="n"/>
      <c r="K564" s="24" t="n"/>
      <c r="L564" s="26" t="n"/>
      <c r="M564" s="27">
        <f>IF(L564="","",IF(K564="GST 10%",ROUND(L564*set_GSTRate,2),0))</f>
        <v/>
      </c>
      <c r="N564" s="27">
        <f>IF(L564="","",L564+M564)</f>
        <v/>
      </c>
      <c r="O564" s="24" t="n"/>
      <c r="P564" s="24" t="n"/>
      <c r="Q564" s="24" t="n"/>
      <c r="R564" s="22" t="n"/>
      <c r="S564" s="22" t="n"/>
      <c r="T564" s="24" t="n"/>
      <c r="U564" s="24" t="n"/>
      <c r="V564" s="25">
        <f>IF(COUNTA(A564,D564,C564,L564)=0,"",IF(A564="","No date - sits outside every month",IF(E564="","No job number",IF(F564="CHECK","Job number is not in the Xero job list",IF(I564="","No cost centre",IF(AND(P564="Y",C564=""),"Marked posted to Xero but has no invoice number",IF(AND(L564&lt;&gt;"",K564=""),"No tax code",IF(AND(L564&lt;&gt;"",O564=""),"No revenue GL code",""))))))))</f>
        <v/>
      </c>
      <c r="W564" s="25">
        <f>IF(E564="","",IFERROR(INDEX(lst_JobName,MATCH(E564&amp;"",lst_Jobs,0)),""))</f>
        <v/>
      </c>
      <c r="X564" s="28">
        <f>IF(E564="","",COUNTIFS(tbl_Finance[Job Number],E564&amp;"",tbl_Finance[Ex GST],"&lt;&gt;"))</f>
        <v/>
      </c>
      <c r="Y564" s="27">
        <f>IF(E564="","",SUMIFS(tbl_Finance[Ex GST],tbl_Finance[Job Number],E564&amp;""))</f>
        <v/>
      </c>
      <c r="Z564" s="27">
        <f>IF(E564="","",SUMIFS(tbl_Finance[Ex GST],tbl_Finance[Job Number],E564&amp;"",tbl_Finance[Xero Invoice No],"&lt;&gt;"))</f>
        <v/>
      </c>
      <c r="AA564" s="27">
        <f>IF(E564="","",Y564-Z564)</f>
        <v/>
      </c>
      <c r="AB564" s="25">
        <f>IF(E564="","",IF(H564="Onsite",IFERROR(INDEX(tbl_Onsite[Qwilr Quote],MATCH(E564&amp;"",tbl_Onsite[Job Number],0)),""),IF(H564="Production",IFERROR(INDEX(tbl_Production[Current RMS No],MATCH(E564&amp;"",tbl_Production[Job Number],0)),""),IF(H564="Consulting",IFERROR(INDEX(tbl_Consulting[Qwilr Quote],MATCH(E564&amp;"",tbl_Consulting[Job Number],0)),""),""))))</f>
        <v/>
      </c>
      <c r="AC564" s="25">
        <f>IF(AB564="","",IF(AND(LEFT(AB564,4)&lt;&gt;"http",IF(H564="Production",set_RMSBase,set_QwilrBase)=""),"",HYPERLINK(IF(LEFT(AB564,4)="http",AB564,IF(H564="Production",set_RMSBase,set_QwilrBase)&amp;AB564),"Open")))</f>
        <v/>
      </c>
      <c r="AD564" s="27">
        <f>IF(E564="","",IF(H564="Production",IFERROR(INDEX(tbl_Production[Total Expense],MATCH(E564&amp;"",tbl_Production[Job Number],0)),0),IF(H564="Consulting",IFERROR(INDEX(tbl_Consulting[Total Expense],MATCH(E564&amp;"",tbl_Consulting[Job Number],0)),0),0)))</f>
        <v/>
      </c>
      <c r="AE564" s="27">
        <f>IF(E564="","",Y564-N(AD564))</f>
        <v/>
      </c>
      <c r="AF564" s="29">
        <f>IFERROR(AE564/Y564,"")</f>
        <v/>
      </c>
      <c r="AG564" s="25">
        <f>IF(E564="","",IF(H564="Onsite",IFERROR(INDEX(tbl_Onsite[Notes],MATCH(E564&amp;"",tbl_Onsite[Job Number],0)),""),IF(H564="Production",IFERROR(INDEX(tbl_Production[Notes],MATCH(E564&amp;"",tbl_Production[Job Number],0)),""),IF(H564="Consulting",IFERROR(INDEX(tbl_Consulting[Notes],MATCH(E564&amp;"",tbl_Consulting[Job Number],0)),""),""))))</f>
        <v/>
      </c>
    </row>
    <row r="565" ht="15" customHeight="1">
      <c r="A565" s="22" t="n"/>
      <c r="B565" s="23">
        <f>IF(A565="","",EOMONTH(A565,0))</f>
        <v/>
      </c>
      <c r="C565" s="24" t="n"/>
      <c r="D565" s="24" t="n"/>
      <c r="E565" s="24" t="n"/>
      <c r="F565" s="25">
        <f>IF(E565="","",IF(COUNTIF(lst_Jobs,E565&amp;"")&gt;0,"OK","CHECK"))</f>
        <v/>
      </c>
      <c r="G565" s="24" t="n"/>
      <c r="H565" s="24" t="n"/>
      <c r="I565" s="24" t="n"/>
      <c r="J565" s="24" t="n"/>
      <c r="K565" s="24" t="n"/>
      <c r="L565" s="26" t="n"/>
      <c r="M565" s="27">
        <f>IF(L565="","",IF(K565="GST 10%",ROUND(L565*set_GSTRate,2),0))</f>
        <v/>
      </c>
      <c r="N565" s="27">
        <f>IF(L565="","",L565+M565)</f>
        <v/>
      </c>
      <c r="O565" s="24" t="n"/>
      <c r="P565" s="24" t="n"/>
      <c r="Q565" s="24" t="n"/>
      <c r="R565" s="22" t="n"/>
      <c r="S565" s="22" t="n"/>
      <c r="T565" s="24" t="n"/>
      <c r="U565" s="24" t="n"/>
      <c r="V565" s="25">
        <f>IF(COUNTA(A565,D565,C565,L565)=0,"",IF(A565="","No date - sits outside every month",IF(E565="","No job number",IF(F565="CHECK","Job number is not in the Xero job list",IF(I565="","No cost centre",IF(AND(P565="Y",C565=""),"Marked posted to Xero but has no invoice number",IF(AND(L565&lt;&gt;"",K565=""),"No tax code",IF(AND(L565&lt;&gt;"",O565=""),"No revenue GL code",""))))))))</f>
        <v/>
      </c>
      <c r="W565" s="25">
        <f>IF(E565="","",IFERROR(INDEX(lst_JobName,MATCH(E565&amp;"",lst_Jobs,0)),""))</f>
        <v/>
      </c>
      <c r="X565" s="28">
        <f>IF(E565="","",COUNTIFS(tbl_Finance[Job Number],E565&amp;"",tbl_Finance[Ex GST],"&lt;&gt;"))</f>
        <v/>
      </c>
      <c r="Y565" s="27">
        <f>IF(E565="","",SUMIFS(tbl_Finance[Ex GST],tbl_Finance[Job Number],E565&amp;""))</f>
        <v/>
      </c>
      <c r="Z565" s="27">
        <f>IF(E565="","",SUMIFS(tbl_Finance[Ex GST],tbl_Finance[Job Number],E565&amp;"",tbl_Finance[Xero Invoice No],"&lt;&gt;"))</f>
        <v/>
      </c>
      <c r="AA565" s="27">
        <f>IF(E565="","",Y565-Z565)</f>
        <v/>
      </c>
      <c r="AB565" s="25">
        <f>IF(E565="","",IF(H565="Onsite",IFERROR(INDEX(tbl_Onsite[Qwilr Quote],MATCH(E565&amp;"",tbl_Onsite[Job Number],0)),""),IF(H565="Production",IFERROR(INDEX(tbl_Production[Current RMS No],MATCH(E565&amp;"",tbl_Production[Job Number],0)),""),IF(H565="Consulting",IFERROR(INDEX(tbl_Consulting[Qwilr Quote],MATCH(E565&amp;"",tbl_Consulting[Job Number],0)),""),""))))</f>
        <v/>
      </c>
      <c r="AC565" s="25">
        <f>IF(AB565="","",IF(AND(LEFT(AB565,4)&lt;&gt;"http",IF(H565="Production",set_RMSBase,set_QwilrBase)=""),"",HYPERLINK(IF(LEFT(AB565,4)="http",AB565,IF(H565="Production",set_RMSBase,set_QwilrBase)&amp;AB565),"Open")))</f>
        <v/>
      </c>
      <c r="AD565" s="27">
        <f>IF(E565="","",IF(H565="Production",IFERROR(INDEX(tbl_Production[Total Expense],MATCH(E565&amp;"",tbl_Production[Job Number],0)),0),IF(H565="Consulting",IFERROR(INDEX(tbl_Consulting[Total Expense],MATCH(E565&amp;"",tbl_Consulting[Job Number],0)),0),0)))</f>
        <v/>
      </c>
      <c r="AE565" s="27">
        <f>IF(E565="","",Y565-N(AD565))</f>
        <v/>
      </c>
      <c r="AF565" s="29">
        <f>IFERROR(AE565/Y565,"")</f>
        <v/>
      </c>
      <c r="AG565" s="25">
        <f>IF(E565="","",IF(H565="Onsite",IFERROR(INDEX(tbl_Onsite[Notes],MATCH(E565&amp;"",tbl_Onsite[Job Number],0)),""),IF(H565="Production",IFERROR(INDEX(tbl_Production[Notes],MATCH(E565&amp;"",tbl_Production[Job Number],0)),""),IF(H565="Consulting",IFERROR(INDEX(tbl_Consulting[Notes],MATCH(E565&amp;"",tbl_Consulting[Job Number],0)),""),""))))</f>
        <v/>
      </c>
    </row>
    <row r="566" ht="15" customHeight="1">
      <c r="A566" s="22" t="n"/>
      <c r="B566" s="23">
        <f>IF(A566="","",EOMONTH(A566,0))</f>
        <v/>
      </c>
      <c r="C566" s="24" t="n"/>
      <c r="D566" s="24" t="n"/>
      <c r="E566" s="24" t="n"/>
      <c r="F566" s="25">
        <f>IF(E566="","",IF(COUNTIF(lst_Jobs,E566&amp;"")&gt;0,"OK","CHECK"))</f>
        <v/>
      </c>
      <c r="G566" s="24" t="n"/>
      <c r="H566" s="24" t="n"/>
      <c r="I566" s="24" t="n"/>
      <c r="J566" s="24" t="n"/>
      <c r="K566" s="24" t="n"/>
      <c r="L566" s="26" t="n"/>
      <c r="M566" s="27">
        <f>IF(L566="","",IF(K566="GST 10%",ROUND(L566*set_GSTRate,2),0))</f>
        <v/>
      </c>
      <c r="N566" s="27">
        <f>IF(L566="","",L566+M566)</f>
        <v/>
      </c>
      <c r="O566" s="24" t="n"/>
      <c r="P566" s="24" t="n"/>
      <c r="Q566" s="24" t="n"/>
      <c r="R566" s="22" t="n"/>
      <c r="S566" s="22" t="n"/>
      <c r="T566" s="24" t="n"/>
      <c r="U566" s="24" t="n"/>
      <c r="V566" s="25">
        <f>IF(COUNTA(A566,D566,C566,L566)=0,"",IF(A566="","No date - sits outside every month",IF(E566="","No job number",IF(F566="CHECK","Job number is not in the Xero job list",IF(I566="","No cost centre",IF(AND(P566="Y",C566=""),"Marked posted to Xero but has no invoice number",IF(AND(L566&lt;&gt;"",K566=""),"No tax code",IF(AND(L566&lt;&gt;"",O566=""),"No revenue GL code",""))))))))</f>
        <v/>
      </c>
      <c r="W566" s="25">
        <f>IF(E566="","",IFERROR(INDEX(lst_JobName,MATCH(E566&amp;"",lst_Jobs,0)),""))</f>
        <v/>
      </c>
      <c r="X566" s="28">
        <f>IF(E566="","",COUNTIFS(tbl_Finance[Job Number],E566&amp;"",tbl_Finance[Ex GST],"&lt;&gt;"))</f>
        <v/>
      </c>
      <c r="Y566" s="27">
        <f>IF(E566="","",SUMIFS(tbl_Finance[Ex GST],tbl_Finance[Job Number],E566&amp;""))</f>
        <v/>
      </c>
      <c r="Z566" s="27">
        <f>IF(E566="","",SUMIFS(tbl_Finance[Ex GST],tbl_Finance[Job Number],E566&amp;"",tbl_Finance[Xero Invoice No],"&lt;&gt;"))</f>
        <v/>
      </c>
      <c r="AA566" s="27">
        <f>IF(E566="","",Y566-Z566)</f>
        <v/>
      </c>
      <c r="AB566" s="25">
        <f>IF(E566="","",IF(H566="Onsite",IFERROR(INDEX(tbl_Onsite[Qwilr Quote],MATCH(E566&amp;"",tbl_Onsite[Job Number],0)),""),IF(H566="Production",IFERROR(INDEX(tbl_Production[Current RMS No],MATCH(E566&amp;"",tbl_Production[Job Number],0)),""),IF(H566="Consulting",IFERROR(INDEX(tbl_Consulting[Qwilr Quote],MATCH(E566&amp;"",tbl_Consulting[Job Number],0)),""),""))))</f>
        <v/>
      </c>
      <c r="AC566" s="25">
        <f>IF(AB566="","",IF(AND(LEFT(AB566,4)&lt;&gt;"http",IF(H566="Production",set_RMSBase,set_QwilrBase)=""),"",HYPERLINK(IF(LEFT(AB566,4)="http",AB566,IF(H566="Production",set_RMSBase,set_QwilrBase)&amp;AB566),"Open")))</f>
        <v/>
      </c>
      <c r="AD566" s="27">
        <f>IF(E566="","",IF(H566="Production",IFERROR(INDEX(tbl_Production[Total Expense],MATCH(E566&amp;"",tbl_Production[Job Number],0)),0),IF(H566="Consulting",IFERROR(INDEX(tbl_Consulting[Total Expense],MATCH(E566&amp;"",tbl_Consulting[Job Number],0)),0),0)))</f>
        <v/>
      </c>
      <c r="AE566" s="27">
        <f>IF(E566="","",Y566-N(AD566))</f>
        <v/>
      </c>
      <c r="AF566" s="29">
        <f>IFERROR(AE566/Y566,"")</f>
        <v/>
      </c>
      <c r="AG566" s="25">
        <f>IF(E566="","",IF(H566="Onsite",IFERROR(INDEX(tbl_Onsite[Notes],MATCH(E566&amp;"",tbl_Onsite[Job Number],0)),""),IF(H566="Production",IFERROR(INDEX(tbl_Production[Notes],MATCH(E566&amp;"",tbl_Production[Job Number],0)),""),IF(H566="Consulting",IFERROR(INDEX(tbl_Consulting[Notes],MATCH(E566&amp;"",tbl_Consulting[Job Number],0)),""),""))))</f>
        <v/>
      </c>
    </row>
    <row r="567" ht="15" customHeight="1">
      <c r="A567" s="22" t="n"/>
      <c r="B567" s="23">
        <f>IF(A567="","",EOMONTH(A567,0))</f>
        <v/>
      </c>
      <c r="C567" s="24" t="n"/>
      <c r="D567" s="24" t="n"/>
      <c r="E567" s="24" t="n"/>
      <c r="F567" s="25">
        <f>IF(E567="","",IF(COUNTIF(lst_Jobs,E567&amp;"")&gt;0,"OK","CHECK"))</f>
        <v/>
      </c>
      <c r="G567" s="24" t="n"/>
      <c r="H567" s="24" t="n"/>
      <c r="I567" s="24" t="n"/>
      <c r="J567" s="24" t="n"/>
      <c r="K567" s="24" t="n"/>
      <c r="L567" s="26" t="n"/>
      <c r="M567" s="27">
        <f>IF(L567="","",IF(K567="GST 10%",ROUND(L567*set_GSTRate,2),0))</f>
        <v/>
      </c>
      <c r="N567" s="27">
        <f>IF(L567="","",L567+M567)</f>
        <v/>
      </c>
      <c r="O567" s="24" t="n"/>
      <c r="P567" s="24" t="n"/>
      <c r="Q567" s="24" t="n"/>
      <c r="R567" s="22" t="n"/>
      <c r="S567" s="22" t="n"/>
      <c r="T567" s="24" t="n"/>
      <c r="U567" s="24" t="n"/>
      <c r="V567" s="25">
        <f>IF(COUNTA(A567,D567,C567,L567)=0,"",IF(A567="","No date - sits outside every month",IF(E567="","No job number",IF(F567="CHECK","Job number is not in the Xero job list",IF(I567="","No cost centre",IF(AND(P567="Y",C567=""),"Marked posted to Xero but has no invoice number",IF(AND(L567&lt;&gt;"",K567=""),"No tax code",IF(AND(L567&lt;&gt;"",O567=""),"No revenue GL code",""))))))))</f>
        <v/>
      </c>
      <c r="W567" s="25">
        <f>IF(E567="","",IFERROR(INDEX(lst_JobName,MATCH(E567&amp;"",lst_Jobs,0)),""))</f>
        <v/>
      </c>
      <c r="X567" s="28">
        <f>IF(E567="","",COUNTIFS(tbl_Finance[Job Number],E567&amp;"",tbl_Finance[Ex GST],"&lt;&gt;"))</f>
        <v/>
      </c>
      <c r="Y567" s="27">
        <f>IF(E567="","",SUMIFS(tbl_Finance[Ex GST],tbl_Finance[Job Number],E567&amp;""))</f>
        <v/>
      </c>
      <c r="Z567" s="27">
        <f>IF(E567="","",SUMIFS(tbl_Finance[Ex GST],tbl_Finance[Job Number],E567&amp;"",tbl_Finance[Xero Invoice No],"&lt;&gt;"))</f>
        <v/>
      </c>
      <c r="AA567" s="27">
        <f>IF(E567="","",Y567-Z567)</f>
        <v/>
      </c>
      <c r="AB567" s="25">
        <f>IF(E567="","",IF(H567="Onsite",IFERROR(INDEX(tbl_Onsite[Qwilr Quote],MATCH(E567&amp;"",tbl_Onsite[Job Number],0)),""),IF(H567="Production",IFERROR(INDEX(tbl_Production[Current RMS No],MATCH(E567&amp;"",tbl_Production[Job Number],0)),""),IF(H567="Consulting",IFERROR(INDEX(tbl_Consulting[Qwilr Quote],MATCH(E567&amp;"",tbl_Consulting[Job Number],0)),""),""))))</f>
        <v/>
      </c>
      <c r="AC567" s="25">
        <f>IF(AB567="","",IF(AND(LEFT(AB567,4)&lt;&gt;"http",IF(H567="Production",set_RMSBase,set_QwilrBase)=""),"",HYPERLINK(IF(LEFT(AB567,4)="http",AB567,IF(H567="Production",set_RMSBase,set_QwilrBase)&amp;AB567),"Open")))</f>
        <v/>
      </c>
      <c r="AD567" s="27">
        <f>IF(E567="","",IF(H567="Production",IFERROR(INDEX(tbl_Production[Total Expense],MATCH(E567&amp;"",tbl_Production[Job Number],0)),0),IF(H567="Consulting",IFERROR(INDEX(tbl_Consulting[Total Expense],MATCH(E567&amp;"",tbl_Consulting[Job Number],0)),0),0)))</f>
        <v/>
      </c>
      <c r="AE567" s="27">
        <f>IF(E567="","",Y567-N(AD567))</f>
        <v/>
      </c>
      <c r="AF567" s="29">
        <f>IFERROR(AE567/Y567,"")</f>
        <v/>
      </c>
      <c r="AG567" s="25">
        <f>IF(E567="","",IF(H567="Onsite",IFERROR(INDEX(tbl_Onsite[Notes],MATCH(E567&amp;"",tbl_Onsite[Job Number],0)),""),IF(H567="Production",IFERROR(INDEX(tbl_Production[Notes],MATCH(E567&amp;"",tbl_Production[Job Number],0)),""),IF(H567="Consulting",IFERROR(INDEX(tbl_Consulting[Notes],MATCH(E567&amp;"",tbl_Consulting[Job Number],0)),""),""))))</f>
        <v/>
      </c>
    </row>
    <row r="568" ht="15" customHeight="1">
      <c r="A568" s="22" t="n"/>
      <c r="B568" s="23">
        <f>IF(A568="","",EOMONTH(A568,0))</f>
        <v/>
      </c>
      <c r="C568" s="24" t="n"/>
      <c r="D568" s="24" t="n"/>
      <c r="E568" s="24" t="n"/>
      <c r="F568" s="25">
        <f>IF(E568="","",IF(COUNTIF(lst_Jobs,E568&amp;"")&gt;0,"OK","CHECK"))</f>
        <v/>
      </c>
      <c r="G568" s="24" t="n"/>
      <c r="H568" s="24" t="n"/>
      <c r="I568" s="24" t="n"/>
      <c r="J568" s="24" t="n"/>
      <c r="K568" s="24" t="n"/>
      <c r="L568" s="26" t="n"/>
      <c r="M568" s="27">
        <f>IF(L568="","",IF(K568="GST 10%",ROUND(L568*set_GSTRate,2),0))</f>
        <v/>
      </c>
      <c r="N568" s="27">
        <f>IF(L568="","",L568+M568)</f>
        <v/>
      </c>
      <c r="O568" s="24" t="n"/>
      <c r="P568" s="24" t="n"/>
      <c r="Q568" s="24" t="n"/>
      <c r="R568" s="22" t="n"/>
      <c r="S568" s="22" t="n"/>
      <c r="T568" s="24" t="n"/>
      <c r="U568" s="24" t="n"/>
      <c r="V568" s="25">
        <f>IF(COUNTA(A568,D568,C568,L568)=0,"",IF(A568="","No date - sits outside every month",IF(E568="","No job number",IF(F568="CHECK","Job number is not in the Xero job list",IF(I568="","No cost centre",IF(AND(P568="Y",C568=""),"Marked posted to Xero but has no invoice number",IF(AND(L568&lt;&gt;"",K568=""),"No tax code",IF(AND(L568&lt;&gt;"",O568=""),"No revenue GL code",""))))))))</f>
        <v/>
      </c>
      <c r="W568" s="25">
        <f>IF(E568="","",IFERROR(INDEX(lst_JobName,MATCH(E568&amp;"",lst_Jobs,0)),""))</f>
        <v/>
      </c>
      <c r="X568" s="28">
        <f>IF(E568="","",COUNTIFS(tbl_Finance[Job Number],E568&amp;"",tbl_Finance[Ex GST],"&lt;&gt;"))</f>
        <v/>
      </c>
      <c r="Y568" s="27">
        <f>IF(E568="","",SUMIFS(tbl_Finance[Ex GST],tbl_Finance[Job Number],E568&amp;""))</f>
        <v/>
      </c>
      <c r="Z568" s="27">
        <f>IF(E568="","",SUMIFS(tbl_Finance[Ex GST],tbl_Finance[Job Number],E568&amp;"",tbl_Finance[Xero Invoice No],"&lt;&gt;"))</f>
        <v/>
      </c>
      <c r="AA568" s="27">
        <f>IF(E568="","",Y568-Z568)</f>
        <v/>
      </c>
      <c r="AB568" s="25">
        <f>IF(E568="","",IF(H568="Onsite",IFERROR(INDEX(tbl_Onsite[Qwilr Quote],MATCH(E568&amp;"",tbl_Onsite[Job Number],0)),""),IF(H568="Production",IFERROR(INDEX(tbl_Production[Current RMS No],MATCH(E568&amp;"",tbl_Production[Job Number],0)),""),IF(H568="Consulting",IFERROR(INDEX(tbl_Consulting[Qwilr Quote],MATCH(E568&amp;"",tbl_Consulting[Job Number],0)),""),""))))</f>
        <v/>
      </c>
      <c r="AC568" s="25">
        <f>IF(AB568="","",IF(AND(LEFT(AB568,4)&lt;&gt;"http",IF(H568="Production",set_RMSBase,set_QwilrBase)=""),"",HYPERLINK(IF(LEFT(AB568,4)="http",AB568,IF(H568="Production",set_RMSBase,set_QwilrBase)&amp;AB568),"Open")))</f>
        <v/>
      </c>
      <c r="AD568" s="27">
        <f>IF(E568="","",IF(H568="Production",IFERROR(INDEX(tbl_Production[Total Expense],MATCH(E568&amp;"",tbl_Production[Job Number],0)),0),IF(H568="Consulting",IFERROR(INDEX(tbl_Consulting[Total Expense],MATCH(E568&amp;"",tbl_Consulting[Job Number],0)),0),0)))</f>
        <v/>
      </c>
      <c r="AE568" s="27">
        <f>IF(E568="","",Y568-N(AD568))</f>
        <v/>
      </c>
      <c r="AF568" s="29">
        <f>IFERROR(AE568/Y568,"")</f>
        <v/>
      </c>
      <c r="AG568" s="25">
        <f>IF(E568="","",IF(H568="Onsite",IFERROR(INDEX(tbl_Onsite[Notes],MATCH(E568&amp;"",tbl_Onsite[Job Number],0)),""),IF(H568="Production",IFERROR(INDEX(tbl_Production[Notes],MATCH(E568&amp;"",tbl_Production[Job Number],0)),""),IF(H568="Consulting",IFERROR(INDEX(tbl_Consulting[Notes],MATCH(E568&amp;"",tbl_Consulting[Job Number],0)),""),""))))</f>
        <v/>
      </c>
    </row>
    <row r="569" ht="15" customHeight="1">
      <c r="A569" s="22" t="n"/>
      <c r="B569" s="23">
        <f>IF(A569="","",EOMONTH(A569,0))</f>
        <v/>
      </c>
      <c r="C569" s="24" t="n"/>
      <c r="D569" s="24" t="n"/>
      <c r="E569" s="24" t="n"/>
      <c r="F569" s="25">
        <f>IF(E569="","",IF(COUNTIF(lst_Jobs,E569&amp;"")&gt;0,"OK","CHECK"))</f>
        <v/>
      </c>
      <c r="G569" s="24" t="n"/>
      <c r="H569" s="24" t="n"/>
      <c r="I569" s="24" t="n"/>
      <c r="J569" s="24" t="n"/>
      <c r="K569" s="24" t="n"/>
      <c r="L569" s="26" t="n"/>
      <c r="M569" s="27">
        <f>IF(L569="","",IF(K569="GST 10%",ROUND(L569*set_GSTRate,2),0))</f>
        <v/>
      </c>
      <c r="N569" s="27">
        <f>IF(L569="","",L569+M569)</f>
        <v/>
      </c>
      <c r="O569" s="24" t="n"/>
      <c r="P569" s="24" t="n"/>
      <c r="Q569" s="24" t="n"/>
      <c r="R569" s="22" t="n"/>
      <c r="S569" s="22" t="n"/>
      <c r="T569" s="24" t="n"/>
      <c r="U569" s="24" t="n"/>
      <c r="V569" s="25">
        <f>IF(COUNTA(A569,D569,C569,L569)=0,"",IF(A569="","No date - sits outside every month",IF(E569="","No job number",IF(F569="CHECK","Job number is not in the Xero job list",IF(I569="","No cost centre",IF(AND(P569="Y",C569=""),"Marked posted to Xero but has no invoice number",IF(AND(L569&lt;&gt;"",K569=""),"No tax code",IF(AND(L569&lt;&gt;"",O569=""),"No revenue GL code",""))))))))</f>
        <v/>
      </c>
      <c r="W569" s="25">
        <f>IF(E569="","",IFERROR(INDEX(lst_JobName,MATCH(E569&amp;"",lst_Jobs,0)),""))</f>
        <v/>
      </c>
      <c r="X569" s="28">
        <f>IF(E569="","",COUNTIFS(tbl_Finance[Job Number],E569&amp;"",tbl_Finance[Ex GST],"&lt;&gt;"))</f>
        <v/>
      </c>
      <c r="Y569" s="27">
        <f>IF(E569="","",SUMIFS(tbl_Finance[Ex GST],tbl_Finance[Job Number],E569&amp;""))</f>
        <v/>
      </c>
      <c r="Z569" s="27">
        <f>IF(E569="","",SUMIFS(tbl_Finance[Ex GST],tbl_Finance[Job Number],E569&amp;"",tbl_Finance[Xero Invoice No],"&lt;&gt;"))</f>
        <v/>
      </c>
      <c r="AA569" s="27">
        <f>IF(E569="","",Y569-Z569)</f>
        <v/>
      </c>
      <c r="AB569" s="25">
        <f>IF(E569="","",IF(H569="Onsite",IFERROR(INDEX(tbl_Onsite[Qwilr Quote],MATCH(E569&amp;"",tbl_Onsite[Job Number],0)),""),IF(H569="Production",IFERROR(INDEX(tbl_Production[Current RMS No],MATCH(E569&amp;"",tbl_Production[Job Number],0)),""),IF(H569="Consulting",IFERROR(INDEX(tbl_Consulting[Qwilr Quote],MATCH(E569&amp;"",tbl_Consulting[Job Number],0)),""),""))))</f>
        <v/>
      </c>
      <c r="AC569" s="25">
        <f>IF(AB569="","",IF(AND(LEFT(AB569,4)&lt;&gt;"http",IF(H569="Production",set_RMSBase,set_QwilrBase)=""),"",HYPERLINK(IF(LEFT(AB569,4)="http",AB569,IF(H569="Production",set_RMSBase,set_QwilrBase)&amp;AB569),"Open")))</f>
        <v/>
      </c>
      <c r="AD569" s="27">
        <f>IF(E569="","",IF(H569="Production",IFERROR(INDEX(tbl_Production[Total Expense],MATCH(E569&amp;"",tbl_Production[Job Number],0)),0),IF(H569="Consulting",IFERROR(INDEX(tbl_Consulting[Total Expense],MATCH(E569&amp;"",tbl_Consulting[Job Number],0)),0),0)))</f>
        <v/>
      </c>
      <c r="AE569" s="27">
        <f>IF(E569="","",Y569-N(AD569))</f>
        <v/>
      </c>
      <c r="AF569" s="29">
        <f>IFERROR(AE569/Y569,"")</f>
        <v/>
      </c>
      <c r="AG569" s="25">
        <f>IF(E569="","",IF(H569="Onsite",IFERROR(INDEX(tbl_Onsite[Notes],MATCH(E569&amp;"",tbl_Onsite[Job Number],0)),""),IF(H569="Production",IFERROR(INDEX(tbl_Production[Notes],MATCH(E569&amp;"",tbl_Production[Job Number],0)),""),IF(H569="Consulting",IFERROR(INDEX(tbl_Consulting[Notes],MATCH(E569&amp;"",tbl_Consulting[Job Number],0)),""),""))))</f>
        <v/>
      </c>
    </row>
    <row r="570" ht="15" customHeight="1">
      <c r="A570" s="22" t="n"/>
      <c r="B570" s="23">
        <f>IF(A570="","",EOMONTH(A570,0))</f>
        <v/>
      </c>
      <c r="C570" s="24" t="n"/>
      <c r="D570" s="24" t="n"/>
      <c r="E570" s="24" t="n"/>
      <c r="F570" s="25">
        <f>IF(E570="","",IF(COUNTIF(lst_Jobs,E570&amp;"")&gt;0,"OK","CHECK"))</f>
        <v/>
      </c>
      <c r="G570" s="24" t="n"/>
      <c r="H570" s="24" t="n"/>
      <c r="I570" s="24" t="n"/>
      <c r="J570" s="24" t="n"/>
      <c r="K570" s="24" t="n"/>
      <c r="L570" s="26" t="n"/>
      <c r="M570" s="27">
        <f>IF(L570="","",IF(K570="GST 10%",ROUND(L570*set_GSTRate,2),0))</f>
        <v/>
      </c>
      <c r="N570" s="27">
        <f>IF(L570="","",L570+M570)</f>
        <v/>
      </c>
      <c r="O570" s="24" t="n"/>
      <c r="P570" s="24" t="n"/>
      <c r="Q570" s="24" t="n"/>
      <c r="R570" s="22" t="n"/>
      <c r="S570" s="22" t="n"/>
      <c r="T570" s="24" t="n"/>
      <c r="U570" s="24" t="n"/>
      <c r="V570" s="25">
        <f>IF(COUNTA(A570,D570,C570,L570)=0,"",IF(A570="","No date - sits outside every month",IF(E570="","No job number",IF(F570="CHECK","Job number is not in the Xero job list",IF(I570="","No cost centre",IF(AND(P570="Y",C570=""),"Marked posted to Xero but has no invoice number",IF(AND(L570&lt;&gt;"",K570=""),"No tax code",IF(AND(L570&lt;&gt;"",O570=""),"No revenue GL code",""))))))))</f>
        <v/>
      </c>
      <c r="W570" s="25">
        <f>IF(E570="","",IFERROR(INDEX(lst_JobName,MATCH(E570&amp;"",lst_Jobs,0)),""))</f>
        <v/>
      </c>
      <c r="X570" s="28">
        <f>IF(E570="","",COUNTIFS(tbl_Finance[Job Number],E570&amp;"",tbl_Finance[Ex GST],"&lt;&gt;"))</f>
        <v/>
      </c>
      <c r="Y570" s="27">
        <f>IF(E570="","",SUMIFS(tbl_Finance[Ex GST],tbl_Finance[Job Number],E570&amp;""))</f>
        <v/>
      </c>
      <c r="Z570" s="27">
        <f>IF(E570="","",SUMIFS(tbl_Finance[Ex GST],tbl_Finance[Job Number],E570&amp;"",tbl_Finance[Xero Invoice No],"&lt;&gt;"))</f>
        <v/>
      </c>
      <c r="AA570" s="27">
        <f>IF(E570="","",Y570-Z570)</f>
        <v/>
      </c>
      <c r="AB570" s="25">
        <f>IF(E570="","",IF(H570="Onsite",IFERROR(INDEX(tbl_Onsite[Qwilr Quote],MATCH(E570&amp;"",tbl_Onsite[Job Number],0)),""),IF(H570="Production",IFERROR(INDEX(tbl_Production[Current RMS No],MATCH(E570&amp;"",tbl_Production[Job Number],0)),""),IF(H570="Consulting",IFERROR(INDEX(tbl_Consulting[Qwilr Quote],MATCH(E570&amp;"",tbl_Consulting[Job Number],0)),""),""))))</f>
        <v/>
      </c>
      <c r="AC570" s="25">
        <f>IF(AB570="","",IF(AND(LEFT(AB570,4)&lt;&gt;"http",IF(H570="Production",set_RMSBase,set_QwilrBase)=""),"",HYPERLINK(IF(LEFT(AB570,4)="http",AB570,IF(H570="Production",set_RMSBase,set_QwilrBase)&amp;AB570),"Open")))</f>
        <v/>
      </c>
      <c r="AD570" s="27">
        <f>IF(E570="","",IF(H570="Production",IFERROR(INDEX(tbl_Production[Total Expense],MATCH(E570&amp;"",tbl_Production[Job Number],0)),0),IF(H570="Consulting",IFERROR(INDEX(tbl_Consulting[Total Expense],MATCH(E570&amp;"",tbl_Consulting[Job Number],0)),0),0)))</f>
        <v/>
      </c>
      <c r="AE570" s="27">
        <f>IF(E570="","",Y570-N(AD570))</f>
        <v/>
      </c>
      <c r="AF570" s="29">
        <f>IFERROR(AE570/Y570,"")</f>
        <v/>
      </c>
      <c r="AG570" s="25">
        <f>IF(E570="","",IF(H570="Onsite",IFERROR(INDEX(tbl_Onsite[Notes],MATCH(E570&amp;"",tbl_Onsite[Job Number],0)),""),IF(H570="Production",IFERROR(INDEX(tbl_Production[Notes],MATCH(E570&amp;"",tbl_Production[Job Number],0)),""),IF(H570="Consulting",IFERROR(INDEX(tbl_Consulting[Notes],MATCH(E570&amp;"",tbl_Consulting[Job Number],0)),""),""))))</f>
        <v/>
      </c>
    </row>
    <row r="571" ht="15" customHeight="1">
      <c r="A571" s="22" t="n"/>
      <c r="B571" s="23">
        <f>IF(A571="","",EOMONTH(A571,0))</f>
        <v/>
      </c>
      <c r="C571" s="24" t="n"/>
      <c r="D571" s="24" t="n"/>
      <c r="E571" s="24" t="n"/>
      <c r="F571" s="25">
        <f>IF(E571="","",IF(COUNTIF(lst_Jobs,E571&amp;"")&gt;0,"OK","CHECK"))</f>
        <v/>
      </c>
      <c r="G571" s="24" t="n"/>
      <c r="H571" s="24" t="n"/>
      <c r="I571" s="24" t="n"/>
      <c r="J571" s="24" t="n"/>
      <c r="K571" s="24" t="n"/>
      <c r="L571" s="26" t="n"/>
      <c r="M571" s="27">
        <f>IF(L571="","",IF(K571="GST 10%",ROUND(L571*set_GSTRate,2),0))</f>
        <v/>
      </c>
      <c r="N571" s="27">
        <f>IF(L571="","",L571+M571)</f>
        <v/>
      </c>
      <c r="O571" s="24" t="n"/>
      <c r="P571" s="24" t="n"/>
      <c r="Q571" s="24" t="n"/>
      <c r="R571" s="22" t="n"/>
      <c r="S571" s="22" t="n"/>
      <c r="T571" s="24" t="n"/>
      <c r="U571" s="24" t="n"/>
      <c r="V571" s="25">
        <f>IF(COUNTA(A571,D571,C571,L571)=0,"",IF(A571="","No date - sits outside every month",IF(E571="","No job number",IF(F571="CHECK","Job number is not in the Xero job list",IF(I571="","No cost centre",IF(AND(P571="Y",C571=""),"Marked posted to Xero but has no invoice number",IF(AND(L571&lt;&gt;"",K571=""),"No tax code",IF(AND(L571&lt;&gt;"",O571=""),"No revenue GL code",""))))))))</f>
        <v/>
      </c>
      <c r="W571" s="25">
        <f>IF(E571="","",IFERROR(INDEX(lst_JobName,MATCH(E571&amp;"",lst_Jobs,0)),""))</f>
        <v/>
      </c>
      <c r="X571" s="28">
        <f>IF(E571="","",COUNTIFS(tbl_Finance[Job Number],E571&amp;"",tbl_Finance[Ex GST],"&lt;&gt;"))</f>
        <v/>
      </c>
      <c r="Y571" s="27">
        <f>IF(E571="","",SUMIFS(tbl_Finance[Ex GST],tbl_Finance[Job Number],E571&amp;""))</f>
        <v/>
      </c>
      <c r="Z571" s="27">
        <f>IF(E571="","",SUMIFS(tbl_Finance[Ex GST],tbl_Finance[Job Number],E571&amp;"",tbl_Finance[Xero Invoice No],"&lt;&gt;"))</f>
        <v/>
      </c>
      <c r="AA571" s="27">
        <f>IF(E571="","",Y571-Z571)</f>
        <v/>
      </c>
      <c r="AB571" s="25">
        <f>IF(E571="","",IF(H571="Onsite",IFERROR(INDEX(tbl_Onsite[Qwilr Quote],MATCH(E571&amp;"",tbl_Onsite[Job Number],0)),""),IF(H571="Production",IFERROR(INDEX(tbl_Production[Current RMS No],MATCH(E571&amp;"",tbl_Production[Job Number],0)),""),IF(H571="Consulting",IFERROR(INDEX(tbl_Consulting[Qwilr Quote],MATCH(E571&amp;"",tbl_Consulting[Job Number],0)),""),""))))</f>
        <v/>
      </c>
      <c r="AC571" s="25">
        <f>IF(AB571="","",IF(AND(LEFT(AB571,4)&lt;&gt;"http",IF(H571="Production",set_RMSBase,set_QwilrBase)=""),"",HYPERLINK(IF(LEFT(AB571,4)="http",AB571,IF(H571="Production",set_RMSBase,set_QwilrBase)&amp;AB571),"Open")))</f>
        <v/>
      </c>
      <c r="AD571" s="27">
        <f>IF(E571="","",IF(H571="Production",IFERROR(INDEX(tbl_Production[Total Expense],MATCH(E571&amp;"",tbl_Production[Job Number],0)),0),IF(H571="Consulting",IFERROR(INDEX(tbl_Consulting[Total Expense],MATCH(E571&amp;"",tbl_Consulting[Job Number],0)),0),0)))</f>
        <v/>
      </c>
      <c r="AE571" s="27">
        <f>IF(E571="","",Y571-N(AD571))</f>
        <v/>
      </c>
      <c r="AF571" s="29">
        <f>IFERROR(AE571/Y571,"")</f>
        <v/>
      </c>
      <c r="AG571" s="25">
        <f>IF(E571="","",IF(H571="Onsite",IFERROR(INDEX(tbl_Onsite[Notes],MATCH(E571&amp;"",tbl_Onsite[Job Number],0)),""),IF(H571="Production",IFERROR(INDEX(tbl_Production[Notes],MATCH(E571&amp;"",tbl_Production[Job Number],0)),""),IF(H571="Consulting",IFERROR(INDEX(tbl_Consulting[Notes],MATCH(E571&amp;"",tbl_Consulting[Job Number],0)),""),""))))</f>
        <v/>
      </c>
    </row>
    <row r="572" ht="15" customHeight="1">
      <c r="A572" s="22" t="n"/>
      <c r="B572" s="23">
        <f>IF(A572="","",EOMONTH(A572,0))</f>
        <v/>
      </c>
      <c r="C572" s="24" t="n"/>
      <c r="D572" s="24" t="n"/>
      <c r="E572" s="24" t="n"/>
      <c r="F572" s="25">
        <f>IF(E572="","",IF(COUNTIF(lst_Jobs,E572&amp;"")&gt;0,"OK","CHECK"))</f>
        <v/>
      </c>
      <c r="G572" s="24" t="n"/>
      <c r="H572" s="24" t="n"/>
      <c r="I572" s="24" t="n"/>
      <c r="J572" s="24" t="n"/>
      <c r="K572" s="24" t="n"/>
      <c r="L572" s="26" t="n"/>
      <c r="M572" s="27">
        <f>IF(L572="","",IF(K572="GST 10%",ROUND(L572*set_GSTRate,2),0))</f>
        <v/>
      </c>
      <c r="N572" s="27">
        <f>IF(L572="","",L572+M572)</f>
        <v/>
      </c>
      <c r="O572" s="24" t="n"/>
      <c r="P572" s="24" t="n"/>
      <c r="Q572" s="24" t="n"/>
      <c r="R572" s="22" t="n"/>
      <c r="S572" s="22" t="n"/>
      <c r="T572" s="24" t="n"/>
      <c r="U572" s="24" t="n"/>
      <c r="V572" s="25">
        <f>IF(COUNTA(A572,D572,C572,L572)=0,"",IF(A572="","No date - sits outside every month",IF(E572="","No job number",IF(F572="CHECK","Job number is not in the Xero job list",IF(I572="","No cost centre",IF(AND(P572="Y",C572=""),"Marked posted to Xero but has no invoice number",IF(AND(L572&lt;&gt;"",K572=""),"No tax code",IF(AND(L572&lt;&gt;"",O572=""),"No revenue GL code",""))))))))</f>
        <v/>
      </c>
      <c r="W572" s="25">
        <f>IF(E572="","",IFERROR(INDEX(lst_JobName,MATCH(E572&amp;"",lst_Jobs,0)),""))</f>
        <v/>
      </c>
      <c r="X572" s="28">
        <f>IF(E572="","",COUNTIFS(tbl_Finance[Job Number],E572&amp;"",tbl_Finance[Ex GST],"&lt;&gt;"))</f>
        <v/>
      </c>
      <c r="Y572" s="27">
        <f>IF(E572="","",SUMIFS(tbl_Finance[Ex GST],tbl_Finance[Job Number],E572&amp;""))</f>
        <v/>
      </c>
      <c r="Z572" s="27">
        <f>IF(E572="","",SUMIFS(tbl_Finance[Ex GST],tbl_Finance[Job Number],E572&amp;"",tbl_Finance[Xero Invoice No],"&lt;&gt;"))</f>
        <v/>
      </c>
      <c r="AA572" s="27">
        <f>IF(E572="","",Y572-Z572)</f>
        <v/>
      </c>
      <c r="AB572" s="25">
        <f>IF(E572="","",IF(H572="Onsite",IFERROR(INDEX(tbl_Onsite[Qwilr Quote],MATCH(E572&amp;"",tbl_Onsite[Job Number],0)),""),IF(H572="Production",IFERROR(INDEX(tbl_Production[Current RMS No],MATCH(E572&amp;"",tbl_Production[Job Number],0)),""),IF(H572="Consulting",IFERROR(INDEX(tbl_Consulting[Qwilr Quote],MATCH(E572&amp;"",tbl_Consulting[Job Number],0)),""),""))))</f>
        <v/>
      </c>
      <c r="AC572" s="25">
        <f>IF(AB572="","",IF(AND(LEFT(AB572,4)&lt;&gt;"http",IF(H572="Production",set_RMSBase,set_QwilrBase)=""),"",HYPERLINK(IF(LEFT(AB572,4)="http",AB572,IF(H572="Production",set_RMSBase,set_QwilrBase)&amp;AB572),"Open")))</f>
        <v/>
      </c>
      <c r="AD572" s="27">
        <f>IF(E572="","",IF(H572="Production",IFERROR(INDEX(tbl_Production[Total Expense],MATCH(E572&amp;"",tbl_Production[Job Number],0)),0),IF(H572="Consulting",IFERROR(INDEX(tbl_Consulting[Total Expense],MATCH(E572&amp;"",tbl_Consulting[Job Number],0)),0),0)))</f>
        <v/>
      </c>
      <c r="AE572" s="27">
        <f>IF(E572="","",Y572-N(AD572))</f>
        <v/>
      </c>
      <c r="AF572" s="29">
        <f>IFERROR(AE572/Y572,"")</f>
        <v/>
      </c>
      <c r="AG572" s="25">
        <f>IF(E572="","",IF(H572="Onsite",IFERROR(INDEX(tbl_Onsite[Notes],MATCH(E572&amp;"",tbl_Onsite[Job Number],0)),""),IF(H572="Production",IFERROR(INDEX(tbl_Production[Notes],MATCH(E572&amp;"",tbl_Production[Job Number],0)),""),IF(H572="Consulting",IFERROR(INDEX(tbl_Consulting[Notes],MATCH(E572&amp;"",tbl_Consulting[Job Number],0)),""),""))))</f>
        <v/>
      </c>
    </row>
    <row r="573" ht="15" customHeight="1">
      <c r="A573" s="22" t="n"/>
      <c r="B573" s="23">
        <f>IF(A573="","",EOMONTH(A573,0))</f>
        <v/>
      </c>
      <c r="C573" s="24" t="n"/>
      <c r="D573" s="24" t="n"/>
      <c r="E573" s="24" t="n"/>
      <c r="F573" s="25">
        <f>IF(E573="","",IF(COUNTIF(lst_Jobs,E573&amp;"")&gt;0,"OK","CHECK"))</f>
        <v/>
      </c>
      <c r="G573" s="24" t="n"/>
      <c r="H573" s="24" t="n"/>
      <c r="I573" s="24" t="n"/>
      <c r="J573" s="24" t="n"/>
      <c r="K573" s="24" t="n"/>
      <c r="L573" s="26" t="n"/>
      <c r="M573" s="27">
        <f>IF(L573="","",IF(K573="GST 10%",ROUND(L573*set_GSTRate,2),0))</f>
        <v/>
      </c>
      <c r="N573" s="27">
        <f>IF(L573="","",L573+M573)</f>
        <v/>
      </c>
      <c r="O573" s="24" t="n"/>
      <c r="P573" s="24" t="n"/>
      <c r="Q573" s="24" t="n"/>
      <c r="R573" s="22" t="n"/>
      <c r="S573" s="22" t="n"/>
      <c r="T573" s="24" t="n"/>
      <c r="U573" s="24" t="n"/>
      <c r="V573" s="25">
        <f>IF(COUNTA(A573,D573,C573,L573)=0,"",IF(A573="","No date - sits outside every month",IF(E573="","No job number",IF(F573="CHECK","Job number is not in the Xero job list",IF(I573="","No cost centre",IF(AND(P573="Y",C573=""),"Marked posted to Xero but has no invoice number",IF(AND(L573&lt;&gt;"",K573=""),"No tax code",IF(AND(L573&lt;&gt;"",O573=""),"No revenue GL code",""))))))))</f>
        <v/>
      </c>
      <c r="W573" s="25">
        <f>IF(E573="","",IFERROR(INDEX(lst_JobName,MATCH(E573&amp;"",lst_Jobs,0)),""))</f>
        <v/>
      </c>
      <c r="X573" s="28">
        <f>IF(E573="","",COUNTIFS(tbl_Finance[Job Number],E573&amp;"",tbl_Finance[Ex GST],"&lt;&gt;"))</f>
        <v/>
      </c>
      <c r="Y573" s="27">
        <f>IF(E573="","",SUMIFS(tbl_Finance[Ex GST],tbl_Finance[Job Number],E573&amp;""))</f>
        <v/>
      </c>
      <c r="Z573" s="27">
        <f>IF(E573="","",SUMIFS(tbl_Finance[Ex GST],tbl_Finance[Job Number],E573&amp;"",tbl_Finance[Xero Invoice No],"&lt;&gt;"))</f>
        <v/>
      </c>
      <c r="AA573" s="27">
        <f>IF(E573="","",Y573-Z573)</f>
        <v/>
      </c>
      <c r="AB573" s="25">
        <f>IF(E573="","",IF(H573="Onsite",IFERROR(INDEX(tbl_Onsite[Qwilr Quote],MATCH(E573&amp;"",tbl_Onsite[Job Number],0)),""),IF(H573="Production",IFERROR(INDEX(tbl_Production[Current RMS No],MATCH(E573&amp;"",tbl_Production[Job Number],0)),""),IF(H573="Consulting",IFERROR(INDEX(tbl_Consulting[Qwilr Quote],MATCH(E573&amp;"",tbl_Consulting[Job Number],0)),""),""))))</f>
        <v/>
      </c>
      <c r="AC573" s="25">
        <f>IF(AB573="","",IF(AND(LEFT(AB573,4)&lt;&gt;"http",IF(H573="Production",set_RMSBase,set_QwilrBase)=""),"",HYPERLINK(IF(LEFT(AB573,4)="http",AB573,IF(H573="Production",set_RMSBase,set_QwilrBase)&amp;AB573),"Open")))</f>
        <v/>
      </c>
      <c r="AD573" s="27">
        <f>IF(E573="","",IF(H573="Production",IFERROR(INDEX(tbl_Production[Total Expense],MATCH(E573&amp;"",tbl_Production[Job Number],0)),0),IF(H573="Consulting",IFERROR(INDEX(tbl_Consulting[Total Expense],MATCH(E573&amp;"",tbl_Consulting[Job Number],0)),0),0)))</f>
        <v/>
      </c>
      <c r="AE573" s="27">
        <f>IF(E573="","",Y573-N(AD573))</f>
        <v/>
      </c>
      <c r="AF573" s="29">
        <f>IFERROR(AE573/Y573,"")</f>
        <v/>
      </c>
      <c r="AG573" s="25">
        <f>IF(E573="","",IF(H573="Onsite",IFERROR(INDEX(tbl_Onsite[Notes],MATCH(E573&amp;"",tbl_Onsite[Job Number],0)),""),IF(H573="Production",IFERROR(INDEX(tbl_Production[Notes],MATCH(E573&amp;"",tbl_Production[Job Number],0)),""),IF(H573="Consulting",IFERROR(INDEX(tbl_Consulting[Notes],MATCH(E573&amp;"",tbl_Consulting[Job Number],0)),""),""))))</f>
        <v/>
      </c>
    </row>
    <row r="574" ht="15" customHeight="1">
      <c r="A574" s="22" t="n"/>
      <c r="B574" s="23">
        <f>IF(A574="","",EOMONTH(A574,0))</f>
        <v/>
      </c>
      <c r="C574" s="24" t="n"/>
      <c r="D574" s="24" t="n"/>
      <c r="E574" s="24" t="n"/>
      <c r="F574" s="25">
        <f>IF(E574="","",IF(COUNTIF(lst_Jobs,E574&amp;"")&gt;0,"OK","CHECK"))</f>
        <v/>
      </c>
      <c r="G574" s="24" t="n"/>
      <c r="H574" s="24" t="n"/>
      <c r="I574" s="24" t="n"/>
      <c r="J574" s="24" t="n"/>
      <c r="K574" s="24" t="n"/>
      <c r="L574" s="26" t="n"/>
      <c r="M574" s="27">
        <f>IF(L574="","",IF(K574="GST 10%",ROUND(L574*set_GSTRate,2),0))</f>
        <v/>
      </c>
      <c r="N574" s="27">
        <f>IF(L574="","",L574+M574)</f>
        <v/>
      </c>
      <c r="O574" s="24" t="n"/>
      <c r="P574" s="24" t="n"/>
      <c r="Q574" s="24" t="n"/>
      <c r="R574" s="22" t="n"/>
      <c r="S574" s="22" t="n"/>
      <c r="T574" s="24" t="n"/>
      <c r="U574" s="24" t="n"/>
      <c r="V574" s="25">
        <f>IF(COUNTA(A574,D574,C574,L574)=0,"",IF(A574="","No date - sits outside every month",IF(E574="","No job number",IF(F574="CHECK","Job number is not in the Xero job list",IF(I574="","No cost centre",IF(AND(P574="Y",C574=""),"Marked posted to Xero but has no invoice number",IF(AND(L574&lt;&gt;"",K574=""),"No tax code",IF(AND(L574&lt;&gt;"",O574=""),"No revenue GL code",""))))))))</f>
        <v/>
      </c>
      <c r="W574" s="25">
        <f>IF(E574="","",IFERROR(INDEX(lst_JobName,MATCH(E574&amp;"",lst_Jobs,0)),""))</f>
        <v/>
      </c>
      <c r="X574" s="28">
        <f>IF(E574="","",COUNTIFS(tbl_Finance[Job Number],E574&amp;"",tbl_Finance[Ex GST],"&lt;&gt;"))</f>
        <v/>
      </c>
      <c r="Y574" s="27">
        <f>IF(E574="","",SUMIFS(tbl_Finance[Ex GST],tbl_Finance[Job Number],E574&amp;""))</f>
        <v/>
      </c>
      <c r="Z574" s="27">
        <f>IF(E574="","",SUMIFS(tbl_Finance[Ex GST],tbl_Finance[Job Number],E574&amp;"",tbl_Finance[Xero Invoice No],"&lt;&gt;"))</f>
        <v/>
      </c>
      <c r="AA574" s="27">
        <f>IF(E574="","",Y574-Z574)</f>
        <v/>
      </c>
      <c r="AB574" s="25">
        <f>IF(E574="","",IF(H574="Onsite",IFERROR(INDEX(tbl_Onsite[Qwilr Quote],MATCH(E574&amp;"",tbl_Onsite[Job Number],0)),""),IF(H574="Production",IFERROR(INDEX(tbl_Production[Current RMS No],MATCH(E574&amp;"",tbl_Production[Job Number],0)),""),IF(H574="Consulting",IFERROR(INDEX(tbl_Consulting[Qwilr Quote],MATCH(E574&amp;"",tbl_Consulting[Job Number],0)),""),""))))</f>
        <v/>
      </c>
      <c r="AC574" s="25">
        <f>IF(AB574="","",IF(AND(LEFT(AB574,4)&lt;&gt;"http",IF(H574="Production",set_RMSBase,set_QwilrBase)=""),"",HYPERLINK(IF(LEFT(AB574,4)="http",AB574,IF(H574="Production",set_RMSBase,set_QwilrBase)&amp;AB574),"Open")))</f>
        <v/>
      </c>
      <c r="AD574" s="27">
        <f>IF(E574="","",IF(H574="Production",IFERROR(INDEX(tbl_Production[Total Expense],MATCH(E574&amp;"",tbl_Production[Job Number],0)),0),IF(H574="Consulting",IFERROR(INDEX(tbl_Consulting[Total Expense],MATCH(E574&amp;"",tbl_Consulting[Job Number],0)),0),0)))</f>
        <v/>
      </c>
      <c r="AE574" s="27">
        <f>IF(E574="","",Y574-N(AD574))</f>
        <v/>
      </c>
      <c r="AF574" s="29">
        <f>IFERROR(AE574/Y574,"")</f>
        <v/>
      </c>
      <c r="AG574" s="25">
        <f>IF(E574="","",IF(H574="Onsite",IFERROR(INDEX(tbl_Onsite[Notes],MATCH(E574&amp;"",tbl_Onsite[Job Number],0)),""),IF(H574="Production",IFERROR(INDEX(tbl_Production[Notes],MATCH(E574&amp;"",tbl_Production[Job Number],0)),""),IF(H574="Consulting",IFERROR(INDEX(tbl_Consulting[Notes],MATCH(E574&amp;"",tbl_Consulting[Job Number],0)),""),""))))</f>
        <v/>
      </c>
    </row>
    <row r="575" ht="15" customHeight="1">
      <c r="A575" s="22" t="n"/>
      <c r="B575" s="23">
        <f>IF(A575="","",EOMONTH(A575,0))</f>
        <v/>
      </c>
      <c r="C575" s="24" t="n"/>
      <c r="D575" s="24" t="n"/>
      <c r="E575" s="24" t="n"/>
      <c r="F575" s="25">
        <f>IF(E575="","",IF(COUNTIF(lst_Jobs,E575&amp;"")&gt;0,"OK","CHECK"))</f>
        <v/>
      </c>
      <c r="G575" s="24" t="n"/>
      <c r="H575" s="24" t="n"/>
      <c r="I575" s="24" t="n"/>
      <c r="J575" s="24" t="n"/>
      <c r="K575" s="24" t="n"/>
      <c r="L575" s="26" t="n"/>
      <c r="M575" s="27">
        <f>IF(L575="","",IF(K575="GST 10%",ROUND(L575*set_GSTRate,2),0))</f>
        <v/>
      </c>
      <c r="N575" s="27">
        <f>IF(L575="","",L575+M575)</f>
        <v/>
      </c>
      <c r="O575" s="24" t="n"/>
      <c r="P575" s="24" t="n"/>
      <c r="Q575" s="24" t="n"/>
      <c r="R575" s="22" t="n"/>
      <c r="S575" s="22" t="n"/>
      <c r="T575" s="24" t="n"/>
      <c r="U575" s="24" t="n"/>
      <c r="V575" s="25">
        <f>IF(COUNTA(A575,D575,C575,L575)=0,"",IF(A575="","No date - sits outside every month",IF(E575="","No job number",IF(F575="CHECK","Job number is not in the Xero job list",IF(I575="","No cost centre",IF(AND(P575="Y",C575=""),"Marked posted to Xero but has no invoice number",IF(AND(L575&lt;&gt;"",K575=""),"No tax code",IF(AND(L575&lt;&gt;"",O575=""),"No revenue GL code",""))))))))</f>
        <v/>
      </c>
      <c r="W575" s="25">
        <f>IF(E575="","",IFERROR(INDEX(lst_JobName,MATCH(E575&amp;"",lst_Jobs,0)),""))</f>
        <v/>
      </c>
      <c r="X575" s="28">
        <f>IF(E575="","",COUNTIFS(tbl_Finance[Job Number],E575&amp;"",tbl_Finance[Ex GST],"&lt;&gt;"))</f>
        <v/>
      </c>
      <c r="Y575" s="27">
        <f>IF(E575="","",SUMIFS(tbl_Finance[Ex GST],tbl_Finance[Job Number],E575&amp;""))</f>
        <v/>
      </c>
      <c r="Z575" s="27">
        <f>IF(E575="","",SUMIFS(tbl_Finance[Ex GST],tbl_Finance[Job Number],E575&amp;"",tbl_Finance[Xero Invoice No],"&lt;&gt;"))</f>
        <v/>
      </c>
      <c r="AA575" s="27">
        <f>IF(E575="","",Y575-Z575)</f>
        <v/>
      </c>
      <c r="AB575" s="25">
        <f>IF(E575="","",IF(H575="Onsite",IFERROR(INDEX(tbl_Onsite[Qwilr Quote],MATCH(E575&amp;"",tbl_Onsite[Job Number],0)),""),IF(H575="Production",IFERROR(INDEX(tbl_Production[Current RMS No],MATCH(E575&amp;"",tbl_Production[Job Number],0)),""),IF(H575="Consulting",IFERROR(INDEX(tbl_Consulting[Qwilr Quote],MATCH(E575&amp;"",tbl_Consulting[Job Number],0)),""),""))))</f>
        <v/>
      </c>
      <c r="AC575" s="25">
        <f>IF(AB575="","",IF(AND(LEFT(AB575,4)&lt;&gt;"http",IF(H575="Production",set_RMSBase,set_QwilrBase)=""),"",HYPERLINK(IF(LEFT(AB575,4)="http",AB575,IF(H575="Production",set_RMSBase,set_QwilrBase)&amp;AB575),"Open")))</f>
        <v/>
      </c>
      <c r="AD575" s="27">
        <f>IF(E575="","",IF(H575="Production",IFERROR(INDEX(tbl_Production[Total Expense],MATCH(E575&amp;"",tbl_Production[Job Number],0)),0),IF(H575="Consulting",IFERROR(INDEX(tbl_Consulting[Total Expense],MATCH(E575&amp;"",tbl_Consulting[Job Number],0)),0),0)))</f>
        <v/>
      </c>
      <c r="AE575" s="27">
        <f>IF(E575="","",Y575-N(AD575))</f>
        <v/>
      </c>
      <c r="AF575" s="29">
        <f>IFERROR(AE575/Y575,"")</f>
        <v/>
      </c>
      <c r="AG575" s="25">
        <f>IF(E575="","",IF(H575="Onsite",IFERROR(INDEX(tbl_Onsite[Notes],MATCH(E575&amp;"",tbl_Onsite[Job Number],0)),""),IF(H575="Production",IFERROR(INDEX(tbl_Production[Notes],MATCH(E575&amp;"",tbl_Production[Job Number],0)),""),IF(H575="Consulting",IFERROR(INDEX(tbl_Consulting[Notes],MATCH(E575&amp;"",tbl_Consulting[Job Number],0)),""),""))))</f>
        <v/>
      </c>
    </row>
    <row r="576" ht="15" customHeight="1">
      <c r="A576" s="22" t="n"/>
      <c r="B576" s="23">
        <f>IF(A576="","",EOMONTH(A576,0))</f>
        <v/>
      </c>
      <c r="C576" s="24" t="n"/>
      <c r="D576" s="24" t="n"/>
      <c r="E576" s="24" t="n"/>
      <c r="F576" s="25">
        <f>IF(E576="","",IF(COUNTIF(lst_Jobs,E576&amp;"")&gt;0,"OK","CHECK"))</f>
        <v/>
      </c>
      <c r="G576" s="24" t="n"/>
      <c r="H576" s="24" t="n"/>
      <c r="I576" s="24" t="n"/>
      <c r="J576" s="24" t="n"/>
      <c r="K576" s="24" t="n"/>
      <c r="L576" s="26" t="n"/>
      <c r="M576" s="27">
        <f>IF(L576="","",IF(K576="GST 10%",ROUND(L576*set_GSTRate,2),0))</f>
        <v/>
      </c>
      <c r="N576" s="27">
        <f>IF(L576="","",L576+M576)</f>
        <v/>
      </c>
      <c r="O576" s="24" t="n"/>
      <c r="P576" s="24" t="n"/>
      <c r="Q576" s="24" t="n"/>
      <c r="R576" s="22" t="n"/>
      <c r="S576" s="22" t="n"/>
      <c r="T576" s="24" t="n"/>
      <c r="U576" s="24" t="n"/>
      <c r="V576" s="25">
        <f>IF(COUNTA(A576,D576,C576,L576)=0,"",IF(A576="","No date - sits outside every month",IF(E576="","No job number",IF(F576="CHECK","Job number is not in the Xero job list",IF(I576="","No cost centre",IF(AND(P576="Y",C576=""),"Marked posted to Xero but has no invoice number",IF(AND(L576&lt;&gt;"",K576=""),"No tax code",IF(AND(L576&lt;&gt;"",O576=""),"No revenue GL code",""))))))))</f>
        <v/>
      </c>
      <c r="W576" s="25">
        <f>IF(E576="","",IFERROR(INDEX(lst_JobName,MATCH(E576&amp;"",lst_Jobs,0)),""))</f>
        <v/>
      </c>
      <c r="X576" s="28">
        <f>IF(E576="","",COUNTIFS(tbl_Finance[Job Number],E576&amp;"",tbl_Finance[Ex GST],"&lt;&gt;"))</f>
        <v/>
      </c>
      <c r="Y576" s="27">
        <f>IF(E576="","",SUMIFS(tbl_Finance[Ex GST],tbl_Finance[Job Number],E576&amp;""))</f>
        <v/>
      </c>
      <c r="Z576" s="27">
        <f>IF(E576="","",SUMIFS(tbl_Finance[Ex GST],tbl_Finance[Job Number],E576&amp;"",tbl_Finance[Xero Invoice No],"&lt;&gt;"))</f>
        <v/>
      </c>
      <c r="AA576" s="27">
        <f>IF(E576="","",Y576-Z576)</f>
        <v/>
      </c>
      <c r="AB576" s="25">
        <f>IF(E576="","",IF(H576="Onsite",IFERROR(INDEX(tbl_Onsite[Qwilr Quote],MATCH(E576&amp;"",tbl_Onsite[Job Number],0)),""),IF(H576="Production",IFERROR(INDEX(tbl_Production[Current RMS No],MATCH(E576&amp;"",tbl_Production[Job Number],0)),""),IF(H576="Consulting",IFERROR(INDEX(tbl_Consulting[Qwilr Quote],MATCH(E576&amp;"",tbl_Consulting[Job Number],0)),""),""))))</f>
        <v/>
      </c>
      <c r="AC576" s="25">
        <f>IF(AB576="","",IF(AND(LEFT(AB576,4)&lt;&gt;"http",IF(H576="Production",set_RMSBase,set_QwilrBase)=""),"",HYPERLINK(IF(LEFT(AB576,4)="http",AB576,IF(H576="Production",set_RMSBase,set_QwilrBase)&amp;AB576),"Open")))</f>
        <v/>
      </c>
      <c r="AD576" s="27">
        <f>IF(E576="","",IF(H576="Production",IFERROR(INDEX(tbl_Production[Total Expense],MATCH(E576&amp;"",tbl_Production[Job Number],0)),0),IF(H576="Consulting",IFERROR(INDEX(tbl_Consulting[Total Expense],MATCH(E576&amp;"",tbl_Consulting[Job Number],0)),0),0)))</f>
        <v/>
      </c>
      <c r="AE576" s="27">
        <f>IF(E576="","",Y576-N(AD576))</f>
        <v/>
      </c>
      <c r="AF576" s="29">
        <f>IFERROR(AE576/Y576,"")</f>
        <v/>
      </c>
      <c r="AG576" s="25">
        <f>IF(E576="","",IF(H576="Onsite",IFERROR(INDEX(tbl_Onsite[Notes],MATCH(E576&amp;"",tbl_Onsite[Job Number],0)),""),IF(H576="Production",IFERROR(INDEX(tbl_Production[Notes],MATCH(E576&amp;"",tbl_Production[Job Number],0)),""),IF(H576="Consulting",IFERROR(INDEX(tbl_Consulting[Notes],MATCH(E576&amp;"",tbl_Consulting[Job Number],0)),""),""))))</f>
        <v/>
      </c>
    </row>
    <row r="577" ht="15" customHeight="1">
      <c r="A577" s="22" t="n"/>
      <c r="B577" s="23">
        <f>IF(A577="","",EOMONTH(A577,0))</f>
        <v/>
      </c>
      <c r="C577" s="24" t="n"/>
      <c r="D577" s="24" t="n"/>
      <c r="E577" s="24" t="n"/>
      <c r="F577" s="25">
        <f>IF(E577="","",IF(COUNTIF(lst_Jobs,E577&amp;"")&gt;0,"OK","CHECK"))</f>
        <v/>
      </c>
      <c r="G577" s="24" t="n"/>
      <c r="H577" s="24" t="n"/>
      <c r="I577" s="24" t="n"/>
      <c r="J577" s="24" t="n"/>
      <c r="K577" s="24" t="n"/>
      <c r="L577" s="26" t="n"/>
      <c r="M577" s="27">
        <f>IF(L577="","",IF(K577="GST 10%",ROUND(L577*set_GSTRate,2),0))</f>
        <v/>
      </c>
      <c r="N577" s="27">
        <f>IF(L577="","",L577+M577)</f>
        <v/>
      </c>
      <c r="O577" s="24" t="n"/>
      <c r="P577" s="24" t="n"/>
      <c r="Q577" s="24" t="n"/>
      <c r="R577" s="22" t="n"/>
      <c r="S577" s="22" t="n"/>
      <c r="T577" s="24" t="n"/>
      <c r="U577" s="24" t="n"/>
      <c r="V577" s="25">
        <f>IF(COUNTA(A577,D577,C577,L577)=0,"",IF(A577="","No date - sits outside every month",IF(E577="","No job number",IF(F577="CHECK","Job number is not in the Xero job list",IF(I577="","No cost centre",IF(AND(P577="Y",C577=""),"Marked posted to Xero but has no invoice number",IF(AND(L577&lt;&gt;"",K577=""),"No tax code",IF(AND(L577&lt;&gt;"",O577=""),"No revenue GL code",""))))))))</f>
        <v/>
      </c>
      <c r="W577" s="25">
        <f>IF(E577="","",IFERROR(INDEX(lst_JobName,MATCH(E577&amp;"",lst_Jobs,0)),""))</f>
        <v/>
      </c>
      <c r="X577" s="28">
        <f>IF(E577="","",COUNTIFS(tbl_Finance[Job Number],E577&amp;"",tbl_Finance[Ex GST],"&lt;&gt;"))</f>
        <v/>
      </c>
      <c r="Y577" s="27">
        <f>IF(E577="","",SUMIFS(tbl_Finance[Ex GST],tbl_Finance[Job Number],E577&amp;""))</f>
        <v/>
      </c>
      <c r="Z577" s="27">
        <f>IF(E577="","",SUMIFS(tbl_Finance[Ex GST],tbl_Finance[Job Number],E577&amp;"",tbl_Finance[Xero Invoice No],"&lt;&gt;"))</f>
        <v/>
      </c>
      <c r="AA577" s="27">
        <f>IF(E577="","",Y577-Z577)</f>
        <v/>
      </c>
      <c r="AB577" s="25">
        <f>IF(E577="","",IF(H577="Onsite",IFERROR(INDEX(tbl_Onsite[Qwilr Quote],MATCH(E577&amp;"",tbl_Onsite[Job Number],0)),""),IF(H577="Production",IFERROR(INDEX(tbl_Production[Current RMS No],MATCH(E577&amp;"",tbl_Production[Job Number],0)),""),IF(H577="Consulting",IFERROR(INDEX(tbl_Consulting[Qwilr Quote],MATCH(E577&amp;"",tbl_Consulting[Job Number],0)),""),""))))</f>
        <v/>
      </c>
      <c r="AC577" s="25">
        <f>IF(AB577="","",IF(AND(LEFT(AB577,4)&lt;&gt;"http",IF(H577="Production",set_RMSBase,set_QwilrBase)=""),"",HYPERLINK(IF(LEFT(AB577,4)="http",AB577,IF(H577="Production",set_RMSBase,set_QwilrBase)&amp;AB577),"Open")))</f>
        <v/>
      </c>
      <c r="AD577" s="27">
        <f>IF(E577="","",IF(H577="Production",IFERROR(INDEX(tbl_Production[Total Expense],MATCH(E577&amp;"",tbl_Production[Job Number],0)),0),IF(H577="Consulting",IFERROR(INDEX(tbl_Consulting[Total Expense],MATCH(E577&amp;"",tbl_Consulting[Job Number],0)),0),0)))</f>
        <v/>
      </c>
      <c r="AE577" s="27">
        <f>IF(E577="","",Y577-N(AD577))</f>
        <v/>
      </c>
      <c r="AF577" s="29">
        <f>IFERROR(AE577/Y577,"")</f>
        <v/>
      </c>
      <c r="AG577" s="25">
        <f>IF(E577="","",IF(H577="Onsite",IFERROR(INDEX(tbl_Onsite[Notes],MATCH(E577&amp;"",tbl_Onsite[Job Number],0)),""),IF(H577="Production",IFERROR(INDEX(tbl_Production[Notes],MATCH(E577&amp;"",tbl_Production[Job Number],0)),""),IF(H577="Consulting",IFERROR(INDEX(tbl_Consulting[Notes],MATCH(E577&amp;"",tbl_Consulting[Job Number],0)),""),""))))</f>
        <v/>
      </c>
    </row>
  </sheetData>
  <sheetProtection selectLockedCells="0" selectUnlockedCells="0" sheet="1" objects="0" insertRows="0" insertHyperlinks="1" autoFilter="0" scenarios="0" formatColumns="0" deleteColumns="1" insertColumns="1" pivotTables="1" deleteRows="1" formatCells="0" formatRows="0" sort="0"/>
  <mergeCells count="1">
    <mergeCell ref="A3:L3"/>
  </mergeCells>
  <conditionalFormatting sqref="F5:F5000">
    <cfRule type="expression" priority="1" dxfId="0" stopIfTrue="0">
      <formula>F5="CHECK"</formula>
    </cfRule>
  </conditionalFormatting>
  <conditionalFormatting sqref="P5:P5000">
    <cfRule type="expression" priority="2" dxfId="1" stopIfTrue="0">
      <formula>P5="N"</formula>
    </cfRule>
  </conditionalFormatting>
  <conditionalFormatting sqref="V5:V5000">
    <cfRule type="expression" priority="3" dxfId="1" stopIfTrue="0">
      <formula>V5&lt;&gt;""</formula>
    </cfRule>
  </conditionalFormatting>
  <dataValidations count="8">
    <dataValidation sqref="H5:H20000" showDropDown="0" showInputMessage="0" showErrorMessage="1" allowBlank="1" errorTitle="Not on the list" error="&quot;Team&quot; is not on the list in the Lists sheet. Add it there if it is genuinely new." type="list" errorStyle="warning">
      <formula1>lst_Team</formula1>
    </dataValidation>
    <dataValidation sqref="I5:I20000" showDropDown="0" showInputMessage="0" showErrorMessage="1" allowBlank="1" errorTitle="Not on the list" error="&quot;Cost Centre&quot; is not on the list in the Lists sheet. Add it there if it is genuinely new." type="list" errorStyle="warning">
      <formula1>lst_CostCentre</formula1>
    </dataValidation>
    <dataValidation sqref="J5:J20000" showDropDown="0" showInputMessage="0" showErrorMessage="1" allowBlank="1" errorTitle="Not on the list" error="&quot;Invoice Type&quot; is not on the list in the Lists sheet. Add it there if it is genuinely new." type="list" errorStyle="warning">
      <formula1>lst_InvoiceType</formula1>
    </dataValidation>
    <dataValidation sqref="K5:K20000" showDropDown="0" showInputMessage="0" showErrorMessage="1" allowBlank="1" errorTitle="Not on the list" error="&quot;Tax Code&quot; is not on the list in the Lists sheet. Add it there if it is genuinely new." type="list" errorStyle="warning">
      <formula1>lst_TaxCode</formula1>
    </dataValidation>
    <dataValidation sqref="O5:O20000" showDropDown="0" showInputMessage="0" showErrorMessage="1" allowBlank="1" errorTitle="Not on the list" error="&quot;Revenue GL&quot; is not on the list in the Lists sheet. Add it there if it is genuinely new." type="list" errorStyle="warning">
      <formula1>lst_RevGL</formula1>
    </dataValidation>
    <dataValidation sqref="P5:P20000" showDropDown="0" showInputMessage="0" showErrorMessage="1" allowBlank="1" errorTitle="Not on the list" error="&quot;Posted to Xero&quot; is not on the list in the Lists sheet. Add it there if it is genuinely new." type="list" errorStyle="warning">
      <formula1>lst_YN</formula1>
    </dataValidation>
    <dataValidation sqref="Q5:Q20000" showDropDown="0" showInputMessage="0" showErrorMessage="1" allowBlank="1" errorTitle="Not on the list" error="&quot;To WIP&quot; is not on the list in the Lists sheet. Add it there if it is genuinely new." type="list" errorStyle="warning">
      <formula1>lst_YN</formula1>
    </dataValidation>
    <dataValidation sqref="T5:T20000" showDropDown="0" showInputMessage="0" showErrorMessage="1" allowBlank="1" errorTitle="Not on the list" error="&quot;Status&quot; is not on the list in the Lists sheet. Add it there if it is genuinely new." type="list" errorStyle="warning">
      <formula1>lst_Status</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rgb="002E6B4F"/>
    <outlinePr summaryBelow="1" summaryRight="1"/>
    <pageSetUpPr/>
  </sheetPr>
  <dimension ref="A1:I52"/>
  <sheetViews>
    <sheetView showGridLines="0" tabSelected="0" zoomScale="90" workbookViewId="0">
      <pane ySplit="4" topLeftCell="A5" activePane="bottomLeft" state="frozen"/>
      <selection pane="bottomLeft" activeCell="A1" sqref="A1"/>
    </sheetView>
  </sheetViews>
  <sheetFormatPr baseColWidth="8" defaultRowHeight="15"/>
  <cols>
    <col width="22" customWidth="1" min="1" max="1"/>
    <col width="16" customWidth="1" min="2" max="2"/>
    <col width="14" customWidth="1" min="3" max="3"/>
    <col width="15" customWidth="1" min="4" max="4"/>
    <col width="16" customWidth="1" min="5" max="5"/>
    <col width="18" customWidth="1" min="6" max="6"/>
    <col width="17" customWidth="1" min="7" max="7"/>
    <col width="15" customWidth="1" min="8" max="8"/>
    <col width="20" customWidth="1" min="9" max="9"/>
  </cols>
  <sheetData>
    <row r="1" ht="24" customHeight="1">
      <c r="A1" s="18" t="inlineStr">
        <is>
          <t>Month-End Revenue Close</t>
        </is>
      </c>
    </row>
    <row r="2" ht="16" customHeight="1">
      <c r="A2" s="2" t="inlineStr">
        <is>
          <t>Pick the month, type the Xero figures into the yellow cells, and work down. Everything white or grey calculates itself.</t>
        </is>
      </c>
    </row>
    <row r="3" ht="6" customHeight="1"/>
    <row r="4">
      <c r="A4" s="30" t="inlineStr">
        <is>
          <t>Month being closed</t>
        </is>
      </c>
      <c r="C4" s="31" t="n">
        <v>46265</v>
      </c>
      <c r="D4" s="32" t="inlineStr">
        <is>
          <t>&lt;- month end date</t>
        </is>
      </c>
    </row>
    <row r="6" ht="20" customHeight="1">
      <c r="A6" s="3" t="inlineStr">
        <is>
          <t>1.  REVENUE BY COST CENTRE  -  tracker vs Xero</t>
        </is>
      </c>
    </row>
    <row r="7" ht="30" customHeight="1">
      <c r="A7" s="33" t="inlineStr">
        <is>
          <t>Cost Centre</t>
        </is>
      </c>
      <c r="B7" s="33" t="inlineStr">
        <is>
          <t>Invoiced Ex GST</t>
        </is>
      </c>
      <c r="C7" s="33" t="inlineStr">
        <is>
          <t>GST</t>
        </is>
      </c>
      <c r="D7" s="33" t="inlineStr">
        <is>
          <t>Inc GST</t>
        </is>
      </c>
      <c r="E7" s="33" t="inlineStr">
        <is>
          <t>WIP Movement</t>
        </is>
      </c>
      <c r="F7" s="33" t="inlineStr">
        <is>
          <t>Revenue Recognised</t>
        </is>
      </c>
      <c r="G7" s="33" t="inlineStr">
        <is>
          <t>Xero Revenue (type in)</t>
        </is>
      </c>
      <c r="H7" s="33" t="inlineStr">
        <is>
          <t>Variance</t>
        </is>
      </c>
      <c r="I7" s="33" t="inlineStr">
        <is>
          <t>Check</t>
        </is>
      </c>
    </row>
    <row r="8">
      <c r="A8" s="34" t="inlineStr">
        <is>
          <t>ONSITE</t>
        </is>
      </c>
      <c r="B8" s="35">
        <f>SUMIFS(tbl_Finance[Ex GST],tbl_Finance[Month],$C$4,tbl_Finance[Cost Centre],$A8)</f>
        <v/>
      </c>
      <c r="C8" s="35">
        <f>SUMIFS(tbl_Finance[GST],tbl_Finance[Month],$C$4,tbl_Finance[Cost Centre],$A8)</f>
        <v/>
      </c>
      <c r="D8" s="36">
        <f>B8+C8</f>
        <v/>
      </c>
      <c r="E8" s="35">
        <f>SUMIFS(tbl_WIP[Amount],tbl_WIP[Month],$C$4,tbl_WIP[Cost Centre],$A8)+SUMIF('Deferred Revenue'!$F$6:$F$578,$A8,'Deferred Revenue'!$Q$6:$Q$578)</f>
        <v/>
      </c>
      <c r="F8" s="36">
        <f>B8+E8</f>
        <v/>
      </c>
      <c r="G8" s="37" t="n"/>
      <c r="H8" s="36">
        <f>IF($G8="","",$F8-$G8)</f>
        <v/>
      </c>
      <c r="I8" s="38">
        <f>IF($G8="","Enter Xero figure",IF(ROUND($H8,2)=0,"Reconciled","CHECK - "&amp;TEXT($H8,"$#,##0.00")))</f>
        <v/>
      </c>
    </row>
    <row r="9">
      <c r="A9" s="34" t="inlineStr">
        <is>
          <t>PRODUCTION</t>
        </is>
      </c>
      <c r="B9" s="35">
        <f>SUMIFS(tbl_Finance[Ex GST],tbl_Finance[Month],$C$4,tbl_Finance[Cost Centre],$A9)</f>
        <v/>
      </c>
      <c r="C9" s="35">
        <f>SUMIFS(tbl_Finance[GST],tbl_Finance[Month],$C$4,tbl_Finance[Cost Centre],$A9)</f>
        <v/>
      </c>
      <c r="D9" s="36">
        <f>B9+C9</f>
        <v/>
      </c>
      <c r="E9" s="35">
        <f>SUMIFS(tbl_WIP[Amount],tbl_WIP[Month],$C$4,tbl_WIP[Cost Centre],$A9)+SUMIF('Deferred Revenue'!$F$6:$F$578,$A9,'Deferred Revenue'!$Q$6:$Q$578)</f>
        <v/>
      </c>
      <c r="F9" s="36">
        <f>B9+E9</f>
        <v/>
      </c>
      <c r="G9" s="37" t="n"/>
      <c r="H9" s="36">
        <f>IF($G9="","",$F9-$G9)</f>
        <v/>
      </c>
      <c r="I9" s="38">
        <f>IF($G9="","Enter Xero figure",IF(ROUND($H9,2)=0,"Reconciled","CHECK - "&amp;TEXT($H9,"$#,##0.00")))</f>
        <v/>
      </c>
    </row>
    <row r="10">
      <c r="A10" s="34" t="inlineStr">
        <is>
          <t>VIDEO</t>
        </is>
      </c>
      <c r="B10" s="35">
        <f>SUMIFS(tbl_Finance[Ex GST],tbl_Finance[Month],$C$4,tbl_Finance[Cost Centre],$A10)</f>
        <v/>
      </c>
      <c r="C10" s="35">
        <f>SUMIFS(tbl_Finance[GST],tbl_Finance[Month],$C$4,tbl_Finance[Cost Centre],$A10)</f>
        <v/>
      </c>
      <c r="D10" s="36">
        <f>B10+C10</f>
        <v/>
      </c>
      <c r="E10" s="35">
        <f>SUMIFS(tbl_WIP[Amount],tbl_WIP[Month],$C$4,tbl_WIP[Cost Centre],$A10)+SUMIF('Deferred Revenue'!$F$6:$F$578,$A10,'Deferred Revenue'!$Q$6:$Q$578)</f>
        <v/>
      </c>
      <c r="F10" s="36">
        <f>B10+E10</f>
        <v/>
      </c>
      <c r="G10" s="37" t="n"/>
      <c r="H10" s="36">
        <f>IF($G10="","",$F10-$G10)</f>
        <v/>
      </c>
      <c r="I10" s="38">
        <f>IF($G10="","Enter Xero figure",IF(ROUND($H10,2)=0,"Reconciled","CHECK - "&amp;TEXT($H10,"$#,##0.00")))</f>
        <v/>
      </c>
    </row>
    <row r="11">
      <c r="A11" s="34" t="inlineStr">
        <is>
          <t>INTEGRATION</t>
        </is>
      </c>
      <c r="B11" s="35">
        <f>SUMIFS(tbl_Finance[Ex GST],tbl_Finance[Month],$C$4,tbl_Finance[Cost Centre],$A11)</f>
        <v/>
      </c>
      <c r="C11" s="35">
        <f>SUMIFS(tbl_Finance[GST],tbl_Finance[Month],$C$4,tbl_Finance[Cost Centre],$A11)</f>
        <v/>
      </c>
      <c r="D11" s="36">
        <f>B11+C11</f>
        <v/>
      </c>
      <c r="E11" s="35">
        <f>SUMIFS(tbl_WIP[Amount],tbl_WIP[Month],$C$4,tbl_WIP[Cost Centre],$A11)+SUMIF('Deferred Revenue'!$F$6:$F$578,$A11,'Deferred Revenue'!$Q$6:$Q$578)</f>
        <v/>
      </c>
      <c r="F11" s="36">
        <f>B11+E11</f>
        <v/>
      </c>
      <c r="G11" s="37" t="n"/>
      <c r="H11" s="36">
        <f>IF($G11="","",$F11-$G11)</f>
        <v/>
      </c>
      <c r="I11" s="38">
        <f>IF($G11="","Enter Xero figure",IF(ROUND($H11,2)=0,"Reconciled","CHECK - "&amp;TEXT($H11,"$#,##0.00")))</f>
        <v/>
      </c>
    </row>
    <row r="12">
      <c r="A12" s="34" t="inlineStr">
        <is>
          <t>CONSULTING</t>
        </is>
      </c>
      <c r="B12" s="35">
        <f>SUMIFS(tbl_Finance[Ex GST],tbl_Finance[Month],$C$4,tbl_Finance[Cost Centre],$A12)</f>
        <v/>
      </c>
      <c r="C12" s="35">
        <f>SUMIFS(tbl_Finance[GST],tbl_Finance[Month],$C$4,tbl_Finance[Cost Centre],$A12)</f>
        <v/>
      </c>
      <c r="D12" s="36">
        <f>B12+C12</f>
        <v/>
      </c>
      <c r="E12" s="35">
        <f>SUMIFS(tbl_WIP[Amount],tbl_WIP[Month],$C$4,tbl_WIP[Cost Centre],$A12)+SUMIF('Deferred Revenue'!$F$6:$F$578,$A12,'Deferred Revenue'!$Q$6:$Q$578)</f>
        <v/>
      </c>
      <c r="F12" s="36">
        <f>B12+E12</f>
        <v/>
      </c>
      <c r="G12" s="37" t="n"/>
      <c r="H12" s="36">
        <f>IF($G12="","",$F12-$G12)</f>
        <v/>
      </c>
      <c r="I12" s="38">
        <f>IF($G12="","Enter Xero figure",IF(ROUND($H12,2)=0,"Reconciled","CHECK - "&amp;TEXT($H12,"$#,##0.00")))</f>
        <v/>
      </c>
    </row>
    <row r="13">
      <c r="A13" s="34" t="inlineStr">
        <is>
          <t>CTS</t>
        </is>
      </c>
      <c r="B13" s="35">
        <f>SUMIFS(tbl_Finance[Ex GST],tbl_Finance[Month],$C$4,tbl_Finance[Cost Centre],$A13)</f>
        <v/>
      </c>
      <c r="C13" s="35">
        <f>SUMIFS(tbl_Finance[GST],tbl_Finance[Month],$C$4,tbl_Finance[Cost Centre],$A13)</f>
        <v/>
      </c>
      <c r="D13" s="36">
        <f>B13+C13</f>
        <v/>
      </c>
      <c r="E13" s="35">
        <f>SUMIFS(tbl_WIP[Amount],tbl_WIP[Month],$C$4,tbl_WIP[Cost Centre],$A13)+SUMIF('Deferred Revenue'!$F$6:$F$578,$A13,'Deferred Revenue'!$Q$6:$Q$578)</f>
        <v/>
      </c>
      <c r="F13" s="36">
        <f>B13+E13</f>
        <v/>
      </c>
      <c r="G13" s="37" t="n"/>
      <c r="H13" s="36">
        <f>IF($G13="","",$F13-$G13)</f>
        <v/>
      </c>
      <c r="I13" s="38">
        <f>IF($G13="","Enter Xero figure",IF(ROUND($H13,2)=0,"Reconciled","CHECK - "&amp;TEXT($H13,"$#,##0.00")))</f>
        <v/>
      </c>
    </row>
    <row r="14">
      <c r="A14" s="39" t="inlineStr">
        <is>
          <t>TOTAL</t>
        </is>
      </c>
      <c r="B14" s="40">
        <f>SUM(B8:B13)</f>
        <v/>
      </c>
      <c r="C14" s="40">
        <f>SUM(C8:C13)</f>
        <v/>
      </c>
      <c r="D14" s="40">
        <f>SUM(D8:D13)</f>
        <v/>
      </c>
      <c r="E14" s="40">
        <f>SUM(E8:E13)</f>
        <v/>
      </c>
      <c r="F14" s="40">
        <f>SUM(F8:F13)</f>
        <v/>
      </c>
      <c r="G14" s="40">
        <f>SUM(G8:G13)</f>
        <v/>
      </c>
      <c r="H14" s="40">
        <f>SUM(H8:H13)</f>
        <v/>
      </c>
      <c r="I14" s="39">
        <f>IF(COUNT($G8:$G13)=0,"Enter Xero figures",IF(ROUND($H14,2)=0,"Reconciled","CHECK - "&amp;TEXT($H14,"$#,##0.00")))</f>
        <v/>
      </c>
    </row>
    <row r="15">
      <c r="A15" s="32" t="inlineStr">
        <is>
          <t>Every line on the Finance sheet carries one cost centre, so these add to the month's invoicing exactly.</t>
        </is>
      </c>
    </row>
    <row r="17" ht="20" customHeight="1">
      <c r="A17" s="3" t="inlineStr">
        <is>
          <t>2.  WORK IN PROGRESS  -  GL 11300</t>
        </is>
      </c>
    </row>
    <row r="18" ht="30" customHeight="1">
      <c r="A18" s="33" t="inlineStr"/>
      <c r="B18" s="33" t="inlineStr">
        <is>
          <t>Amount</t>
        </is>
      </c>
      <c r="C18" s="33" t="inlineStr"/>
      <c r="D18" s="33" t="inlineStr"/>
      <c r="E18" s="33" t="inlineStr"/>
      <c r="F18" s="33" t="inlineStr"/>
      <c r="G18" s="33" t="inlineStr"/>
      <c r="H18" s="33" t="inlineStr"/>
      <c r="I18" s="33" t="inlineStr">
        <is>
          <t>Check</t>
        </is>
      </c>
    </row>
    <row r="19">
      <c r="A19" s="41" t="inlineStr">
        <is>
          <t>Opening WIP balance (all months before this one)</t>
        </is>
      </c>
      <c r="B19" s="36">
        <f>SUMIFS(tbl_WIP[Amount],tbl_WIP[Month],"&lt;&gt;",tbl_WIP[Month],"&lt;"&amp;$C$4)+SUM('Deferred Revenue'!$P$6:$P$578)</f>
        <v/>
      </c>
      <c r="I19" s="42" t="n"/>
    </row>
    <row r="20">
      <c r="A20" s="41" t="inlineStr">
        <is>
          <t>Movement this month</t>
        </is>
      </c>
      <c r="B20" s="36">
        <f>SUMIFS(tbl_WIP[Amount],tbl_WIP[Month],$C$4)+SUM('Deferred Revenue'!$Q$6:$Q$578)</f>
        <v/>
      </c>
      <c r="I20" s="42" t="n"/>
    </row>
    <row r="21">
      <c r="A21" s="43" t="inlineStr">
        <is>
          <t>Closing WIP balance per this tracker</t>
        </is>
      </c>
      <c r="B21" s="44">
        <f>B19+B20</f>
        <v/>
      </c>
      <c r="I21" s="42" t="n"/>
    </row>
    <row r="22">
      <c r="A22" s="41" t="inlineStr">
        <is>
          <t>Closing balance per the WIP Schedule file</t>
        </is>
      </c>
      <c r="B22" s="37" t="n"/>
      <c r="I22" s="42" t="n"/>
    </row>
    <row r="23">
      <c r="A23" s="43" t="inlineStr">
        <is>
          <t>Variance - tracker vs WIP Schedule</t>
        </is>
      </c>
      <c r="B23" s="45">
        <f>IF(B22="","",B21-B22)</f>
        <v/>
      </c>
      <c r="I23" s="46">
        <f>IF(B22="","Enter WIP Schedule figure",IF(ROUND(B23,2)=0,"Reconciled","CHECK"))</f>
        <v/>
      </c>
    </row>
    <row r="24">
      <c r="A24" s="41" t="inlineStr">
        <is>
          <t>Closing balance per Xero GL 11300</t>
        </is>
      </c>
      <c r="B24" s="37" t="n"/>
      <c r="I24" s="42" t="n"/>
    </row>
    <row r="25">
      <c r="A25" s="43" t="inlineStr">
        <is>
          <t>Variance - tracker vs Xero</t>
        </is>
      </c>
      <c r="B25" s="45">
        <f>IF(B24="","",B21-B24)</f>
        <v/>
      </c>
      <c r="I25" s="46">
        <f>IF(B24="","Enter Xero 11300 balance",IF(ROUND(B25,2)=0,"Reconciled","CHECK"))</f>
        <v/>
      </c>
    </row>
    <row r="26">
      <c r="A26" s="32" t="inlineStr">
        <is>
          <t>Sign rule: + = revenue recognised this month and WIP balance goes up.  - = revenue deferred out of this month and WIP balance goes down.</t>
        </is>
      </c>
    </row>
    <row r="28" ht="20" customHeight="1">
      <c r="A28" s="3" t="inlineStr">
        <is>
          <t>3.  DATA CHECKS  -  every count should be zero before you close</t>
        </is>
      </c>
    </row>
    <row r="29" ht="30" customHeight="1">
      <c r="A29" s="33" t="inlineStr">
        <is>
          <t>Check</t>
        </is>
      </c>
      <c r="B29" s="33" t="inlineStr">
        <is>
          <t>Count</t>
        </is>
      </c>
      <c r="C29" s="33" t="inlineStr"/>
      <c r="D29" s="33" t="inlineStr"/>
      <c r="E29" s="33" t="inlineStr"/>
      <c r="F29" s="33" t="inlineStr"/>
      <c r="G29" s="33" t="inlineStr"/>
      <c r="H29" s="33" t="inlineStr"/>
      <c r="I29" s="33" t="inlineStr">
        <is>
          <t>Status</t>
        </is>
      </c>
    </row>
    <row r="30">
      <c r="A30" s="41" t="inlineStr">
        <is>
          <t>Invoice lines with an amount but no date</t>
        </is>
      </c>
      <c r="B30" s="47">
        <f>SUMPRODUCT(--(tbl_Finance[Date]=""),--(tbl_Finance[Ex GST]&lt;&gt;""))</f>
        <v/>
      </c>
      <c r="I30" s="46">
        <f>IF(B30=0,"Clear","REVIEW")</f>
        <v/>
      </c>
    </row>
    <row r="31">
      <c r="A31" s="41" t="inlineStr">
        <is>
          <t>Invoice lines with an amount but no job number</t>
        </is>
      </c>
      <c r="B31" s="47">
        <f>COUNTIFS(tbl_Finance[Ex GST],"&lt;&gt;",tbl_Finance[Job Number],"")</f>
        <v/>
      </c>
      <c r="I31" s="46">
        <f>IF(B31=0,"Clear","REVIEW")</f>
        <v/>
      </c>
    </row>
    <row r="32">
      <c r="A32" s="41" t="inlineStr">
        <is>
          <t>Job numbers not found in the Xero job list</t>
        </is>
      </c>
      <c r="B32" s="47">
        <f>COUNTIF(tbl_Finance[Job in Xero?],"CHECK")</f>
        <v/>
      </c>
      <c r="I32" s="46">
        <f>IF(B32=0,"Clear","REVIEW")</f>
        <v/>
      </c>
    </row>
    <row r="33">
      <c r="A33" s="41" t="inlineStr">
        <is>
          <t>Marked posted to Xero but no invoice number</t>
        </is>
      </c>
      <c r="B33" s="47">
        <f>COUNTIFS(tbl_Finance[Posted to Xero],"Y",tbl_Finance[Xero Invoice No],"")</f>
        <v/>
      </c>
      <c r="I33" s="46">
        <f>IF(B33=0,"Clear","REVIEW")</f>
        <v/>
      </c>
    </row>
    <row r="34">
      <c r="A34" s="41" t="inlineStr">
        <is>
          <t>Invoice lines with an amount but no cost centre</t>
        </is>
      </c>
      <c r="B34" s="47">
        <f>COUNTIFS(tbl_Finance[Ex GST],"&lt;&gt;",tbl_Finance[Cost Centre],"")</f>
        <v/>
      </c>
      <c r="I34" s="46">
        <f>IF(B34=0,"Clear","REVIEW")</f>
        <v/>
      </c>
    </row>
    <row r="35">
      <c r="A35" s="41" t="inlineStr">
        <is>
          <t>Invoice lines with an amount but no tax code</t>
        </is>
      </c>
      <c r="B35" s="47">
        <f>COUNTIFS(tbl_Finance[Ex GST],"&lt;&gt;",tbl_Finance[Tax Code],"")</f>
        <v/>
      </c>
      <c r="I35" s="46">
        <f>IF(B35=0,"Clear","REVIEW")</f>
        <v/>
      </c>
    </row>
    <row r="36">
      <c r="A36" s="41" t="inlineStr">
        <is>
          <t>Invoice lines with an amount but no revenue GL code</t>
        </is>
      </c>
      <c r="B36" s="47">
        <f>COUNTIFS(tbl_Finance[Ex GST],"&lt;&gt;",tbl_Finance[Revenue GL],"")</f>
        <v/>
      </c>
      <c r="I36" s="46">
        <f>IF(B36=0,"Clear","REVIEW")</f>
        <v/>
      </c>
    </row>
    <row r="37">
      <c r="A37" s="41" t="inlineStr">
        <is>
          <t>Anything flagged in the Issue column</t>
        </is>
      </c>
      <c r="B37" s="47">
        <f>COUNTIF(tbl_Finance[Issue],"?*")</f>
        <v/>
      </c>
      <c r="I37" s="46">
        <f>IF(B37=0,"Clear","REVIEW")</f>
        <v/>
      </c>
    </row>
    <row r="38">
      <c r="A38" s="41" t="inlineStr">
        <is>
          <t>Flagged "To WIP = Y" but no matching WIP movement</t>
        </is>
      </c>
      <c r="B38" s="47">
        <f>SUMPRODUCT(--(tbl_Finance[To WIP]="Y"),--(tbl_Finance[Xero Invoice No]&lt;&gt;""),--(COUNTIF(tbl_WIP[Xero Invoice No],tbl_Finance[Xero Invoice No]&amp;"")=0))</f>
        <v/>
      </c>
      <c r="I38" s="46">
        <f>IF(B38=0,"Clear","REVIEW")</f>
        <v/>
      </c>
    </row>
    <row r="39">
      <c r="A39" s="41" t="inlineStr">
        <is>
          <t>WIP movements with an amount but no month or no job</t>
        </is>
      </c>
      <c r="B39" s="47">
        <f>COUNTIFS(tbl_WIP[Month],"",tbl_WIP[Amount],"&lt;&gt;")+COUNTIFS(tbl_WIP[Job Number],"",tbl_WIP[Amount],"&lt;&gt;")</f>
        <v/>
      </c>
      <c r="I39" s="46">
        <f>IF(B39=0,"Clear","REVIEW")</f>
        <v/>
      </c>
    </row>
    <row r="40">
      <c r="A40" s="41" t="inlineStr">
        <is>
          <t>WIP job numbers not found in the Xero job list</t>
        </is>
      </c>
      <c r="B40" s="47">
        <f>COUNTIF(tbl_WIP[Job in Xero?],"CHECK")</f>
        <v/>
      </c>
      <c r="I40" s="46">
        <f>IF(B40=0,"Clear","REVIEW")</f>
        <v/>
      </c>
    </row>
    <row r="41">
      <c r="A41" s="41" t="inlineStr">
        <is>
          <t>Consulting revenue split does not equal the job revenue</t>
        </is>
      </c>
      <c r="B41" s="47">
        <f>COUNTIF(tbl_Consulting[Revenue Split Check],"MISMATCH")</f>
        <v/>
      </c>
      <c r="I41" s="46">
        <f>IF(B41=0,"Clear","REVIEW")</f>
        <v/>
      </c>
    </row>
    <row r="42">
      <c r="A42" s="41" t="inlineStr">
        <is>
          <t>Jobs on a department sheet with no invoice yet</t>
        </is>
      </c>
      <c r="B42" s="47">
        <f>COUNTIFS(tbl_Onsite[Job Number],"&lt;&gt;",tbl_Onsite[Lines on Job],0)+COUNTIFS(tbl_Production[Job Number],"&lt;&gt;",tbl_Production[Lines on Job],0)+COUNTIFS(tbl_Consulting[Job Number],"&lt;&gt;",tbl_Consulting[Lines on Job],0)</f>
        <v/>
      </c>
      <c r="I42" s="46">
        <f>IF(B42=0,"Clear","REVIEW")</f>
        <v/>
      </c>
    </row>
    <row r="43">
      <c r="A43" s="41" t="inlineStr">
        <is>
          <t>Deferred lines that also have a manual WIP journal (would double count)</t>
        </is>
      </c>
      <c r="B43" s="47">
        <f>SUMPRODUCT(--(tbl_Finance[Defer Start]&lt;&gt;""),--(tbl_Finance[Xero Invoice No]&lt;&gt;""),--(COUNTIF(tbl_WIP[Xero Invoice No],tbl_Finance[Xero Invoice No]&amp;"")&gt;0))</f>
        <v/>
      </c>
      <c r="I43" s="46">
        <f>IF(B43=0,"Clear","REVIEW")</f>
        <v/>
      </c>
    </row>
    <row r="44">
      <c r="A44" s="41" t="inlineStr">
        <is>
          <t>Deferred lines missing an end date</t>
        </is>
      </c>
      <c r="B44" s="47">
        <f>SUMPRODUCT(--(tbl_Finance[Defer Start]&lt;&gt;""),--(tbl_Finance[Defer End]=""))</f>
        <v/>
      </c>
      <c r="I44" s="46">
        <f>IF(B44=0,"Clear","REVIEW")</f>
        <v/>
      </c>
    </row>
    <row r="45">
      <c r="A45" s="41" t="inlineStr">
        <is>
          <t>Still sitting at "To Invoice" for the selected month</t>
        </is>
      </c>
      <c r="B45" s="47">
        <f>COUNTIFS(tbl_Finance[Month],$C$4,tbl_Finance[Status],"To Invoice")</f>
        <v/>
      </c>
      <c r="I45" s="46">
        <f>IF(B45=0,"Clear","REVIEW")</f>
        <v/>
      </c>
    </row>
    <row r="46">
      <c r="A46" s="43" t="inlineStr">
        <is>
          <t>Value of invoice lines with no date (excluded from every month)</t>
        </is>
      </c>
      <c r="B46" s="48">
        <f>SUMPRODUCT(--(tbl_Finance[Date]=""),IFERROR(tbl_Finance[Ex GST]*1,0))</f>
        <v/>
      </c>
      <c r="I46" s="46">
        <f>IF(ROUND(B46,2)=0,"Clear","REVIEW")</f>
        <v/>
      </c>
    </row>
    <row r="48" ht="20" customHeight="1">
      <c r="A48" s="3" t="inlineStr">
        <is>
          <t>4.  SIGN-OFF</t>
        </is>
      </c>
    </row>
    <row r="49">
      <c r="A49" s="43" t="inlineStr">
        <is>
          <t>Prepared by</t>
        </is>
      </c>
      <c r="B49" s="49" t="n"/>
      <c r="C49" s="50" t="n"/>
      <c r="D49" s="51" t="n"/>
      <c r="E49" s="32" t="inlineStr">
        <is>
          <t>Accounts Assistant</t>
        </is>
      </c>
    </row>
    <row r="50">
      <c r="A50" s="43" t="inlineStr">
        <is>
          <t>Reviewed by</t>
        </is>
      </c>
      <c r="B50" s="49" t="n"/>
      <c r="C50" s="50" t="n"/>
      <c r="D50" s="51" t="n"/>
      <c r="E50" s="32" t="inlineStr">
        <is>
          <t>Finance Operations Manager</t>
        </is>
      </c>
    </row>
    <row r="51">
      <c r="A51" s="43" t="inlineStr">
        <is>
          <t>Date closed</t>
        </is>
      </c>
      <c r="B51" s="49" t="n"/>
      <c r="C51" s="50" t="n"/>
      <c r="D51" s="51" t="n"/>
    </row>
    <row r="52">
      <c r="A52" s="43" t="inlineStr">
        <is>
          <t>Notes / carried forward items</t>
        </is>
      </c>
      <c r="B52" s="49" t="n"/>
      <c r="C52" s="50" t="n"/>
      <c r="D52" s="51" t="n"/>
    </row>
  </sheetData>
  <mergeCells count="8">
    <mergeCell ref="A28:I28"/>
    <mergeCell ref="B49:D49"/>
    <mergeCell ref="B50:D50"/>
    <mergeCell ref="A17:I17"/>
    <mergeCell ref="B52:D52"/>
    <mergeCell ref="A6:I6"/>
    <mergeCell ref="A48:I48"/>
    <mergeCell ref="B51:D51"/>
  </mergeCells>
  <conditionalFormatting sqref="I8:I14">
    <cfRule type="expression" priority="1" dxfId="1">
      <formula>LEFT(I8,5)="CHECK"</formula>
    </cfRule>
    <cfRule type="expression" priority="2" dxfId="2">
      <formula>I8="Reconciled"</formula>
    </cfRule>
  </conditionalFormatting>
  <conditionalFormatting sqref="I19:I25">
    <cfRule type="expression" priority="3" dxfId="1">
      <formula>I19="CHECK"</formula>
    </cfRule>
    <cfRule type="expression" priority="4" dxfId="2">
      <formula>I19="Reconciled"</formula>
    </cfRule>
  </conditionalFormatting>
  <conditionalFormatting sqref="I30:I46">
    <cfRule type="expression" priority="5" dxfId="1">
      <formula>I30="REVIEW"</formula>
    </cfRule>
    <cfRule type="expression" priority="6" dxfId="2">
      <formula>I30="Clear"</formula>
    </cfRule>
  </conditionalFormatting>
  <conditionalFormatting sqref="B30:B45">
    <cfRule type="cellIs" priority="7" operator="greaterThan" dxfId="0">
      <formula>0</formula>
    </cfRule>
  </conditionalFormatting>
  <dataValidations count="1">
    <dataValidation sqref="C4" showDropDown="0" showInputMessage="0" showErrorMessage="0" allowBlank="0" type="list" errorStyle="warning">
      <formula1>lst_Months</formula1>
    </dataValidation>
  </dataValidations>
  <pageMargins left="0.75" right="0.75" top="1" bottom="1" header="0.5" footer="0.5"/>
</worksheet>
</file>

<file path=xl/worksheets/sheet5.xml><?xml version="1.0" encoding="utf-8"?>
<worksheet xmlns="http://schemas.openxmlformats.org/spreadsheetml/2006/main">
  <sheetPr>
    <tabColor rgb="002E6B4F"/>
    <outlinePr summaryBelow="1" summaryRight="1"/>
    <pageSetUpPr/>
  </sheetPr>
  <dimension ref="A1:H434"/>
  <sheetViews>
    <sheetView showGridLines="0" tabSelected="0" zoomScale="90" workbookViewId="0">
      <pane ySplit="11" topLeftCell="A12" activePane="bottomLeft" state="frozen"/>
      <selection pane="bottomLeft" activeCell="A1" sqref="A1"/>
    </sheetView>
  </sheetViews>
  <sheetFormatPr baseColWidth="8" defaultRowHeight="15"/>
  <cols>
    <col width="16" customWidth="1" min="1" max="1"/>
    <col width="42" customWidth="1" min="2" max="2"/>
    <col width="15" customWidth="1" min="3" max="3"/>
    <col width="15" customWidth="1" min="4" max="4"/>
    <col width="15" customWidth="1" min="5" max="5"/>
    <col width="13" customWidth="1" min="6" max="6"/>
    <col width="20" customWidth="1" min="7" max="7"/>
    <col width="14" customWidth="1" min="8" max="8"/>
  </cols>
  <sheetData>
    <row r="1" ht="24" customHeight="1">
      <c r="A1" s="18" t="inlineStr">
        <is>
          <t>WIP Balance by Job</t>
        </is>
      </c>
    </row>
    <row r="2" ht="16" customHeight="1">
      <c r="A2" s="2" t="inlineStr">
        <is>
          <t>Job-level WIP for the month selected on the Month-End sheet. Paste the matching balance from the WIP Schedule file into column G and the variance column finds the breaks. Filter column F to hide the nil rows.</t>
        </is>
      </c>
    </row>
    <row r="3" ht="6" customHeight="1"/>
    <row r="4">
      <c r="A4" s="30" t="inlineStr">
        <is>
          <t>Month</t>
        </is>
      </c>
      <c r="C4" s="52">
        <f>'Month-End'!C4</f>
        <v/>
      </c>
      <c r="D4" s="32" t="inlineStr">
        <is>
          <t>&lt;- set this on the Month-End sheet</t>
        </is>
      </c>
    </row>
    <row r="6">
      <c r="A6" s="43" t="inlineStr">
        <is>
          <t>Opening total</t>
        </is>
      </c>
      <c r="B6" s="53">
        <f>SUMIFS(tbl_WIP[Amount],tbl_WIP[Month],"&lt;&gt;",tbl_WIP[Month],"&lt;"&amp;$C$4)+SUM('Deferred Revenue'!$P$6:$P$578)</f>
        <v/>
      </c>
    </row>
    <row r="7">
      <c r="A7" s="43" t="inlineStr">
        <is>
          <t>Movement this month</t>
        </is>
      </c>
      <c r="B7" s="53">
        <f>SUMIFS(tbl_WIP[Amount],tbl_WIP[Month],$C$4)+SUM('Deferred Revenue'!$Q$6:$Q$578)</f>
        <v/>
      </c>
    </row>
    <row r="8">
      <c r="A8" s="43" t="inlineStr">
        <is>
          <t>Closing total</t>
        </is>
      </c>
      <c r="B8" s="44">
        <f>B6+B7</f>
        <v/>
      </c>
    </row>
    <row r="9">
      <c r="A9" s="43" t="inlineStr">
        <is>
          <t>Of which is on a job Xero does not have - fix these</t>
        </is>
      </c>
      <c r="B9" s="53">
        <f>SUMIFS(tbl_WIP[Amount],tbl_WIP[Job in Xero?],"CHECK",tbl_WIP[Month],"&lt;="&amp;$C$4)</f>
        <v/>
      </c>
    </row>
    <row r="10">
      <c r="A10" s="43" t="inlineStr">
        <is>
          <t>Closing listed below, job by job</t>
        </is>
      </c>
      <c r="B10" s="44">
        <f>B8-B9</f>
        <v/>
      </c>
    </row>
    <row r="11" ht="30" customHeight="1">
      <c r="A11" s="33" t="inlineStr">
        <is>
          <t>Job Number</t>
        </is>
      </c>
      <c r="B11" s="33" t="inlineStr">
        <is>
          <t>Job Name (Xero)</t>
        </is>
      </c>
      <c r="C11" s="33" t="inlineStr">
        <is>
          <t>Opening</t>
        </is>
      </c>
      <c r="D11" s="33" t="inlineStr">
        <is>
          <t>Movement</t>
        </is>
      </c>
      <c r="E11" s="33" t="inlineStr">
        <is>
          <t>Closing</t>
        </is>
      </c>
      <c r="F11" s="33" t="inlineStr">
        <is>
          <t>Any balance?</t>
        </is>
      </c>
      <c r="G11" s="33" t="inlineStr">
        <is>
          <t>Per WIP Schedule (paste in)</t>
        </is>
      </c>
      <c r="H11" s="33" t="inlineStr">
        <is>
          <t>Variance</t>
        </is>
      </c>
    </row>
    <row r="12">
      <c r="A12" s="54" t="inlineStr">
        <is>
          <t>1144</t>
        </is>
      </c>
      <c r="B12" s="54" t="inlineStr">
        <is>
          <t>Bankwest PER Half Tech</t>
        </is>
      </c>
      <c r="C12" s="55">
        <f>SUMIFS(tbl_WIP[Amount],tbl_WIP[Job Number],$A12,tbl_WIP[Month],"&lt;&gt;",tbl_WIP[Month],"&lt;"&amp;$C$4)+SUMIF('Deferred Revenue'!$E$6:$E$578,$A12,'Deferred Revenue'!$P$6:$P$578)</f>
        <v/>
      </c>
      <c r="D12" s="55">
        <f>SUMIFS(tbl_WIP[Amount],tbl_WIP[Job Number],$A12,tbl_WIP[Month],$C$4)+SUMIF('Deferred Revenue'!$E$6:$E$578,$A12,'Deferred Revenue'!$Q$6:$Q$578)</f>
        <v/>
      </c>
      <c r="E12" s="55">
        <f>C12+D12</f>
        <v/>
      </c>
      <c r="F12" s="56">
        <f>IF(ROUND(C12,2)+ROUND(D12,2)=0,"","yes")</f>
        <v/>
      </c>
      <c r="G12" s="57" t="n"/>
      <c r="H12" s="55">
        <f>IF($G12="","",$E12-$G12)</f>
        <v/>
      </c>
    </row>
    <row r="13">
      <c r="A13" s="54" t="inlineStr">
        <is>
          <t>1350</t>
        </is>
      </c>
      <c r="B13" s="54" t="inlineStr">
        <is>
          <t>CBA Brisbane ONS</t>
        </is>
      </c>
      <c r="C13" s="55">
        <f>SUMIFS(tbl_WIP[Amount],tbl_WIP[Job Number],$A13,tbl_WIP[Month],"&lt;&gt;",tbl_WIP[Month],"&lt;"&amp;$C$4)+SUMIF('Deferred Revenue'!$E$6:$E$578,$A13,'Deferred Revenue'!$P$6:$P$578)</f>
        <v/>
      </c>
      <c r="D13" s="55">
        <f>SUMIFS(tbl_WIP[Amount],tbl_WIP[Job Number],$A13,tbl_WIP[Month],$C$4)+SUMIF('Deferred Revenue'!$E$6:$E$578,$A13,'Deferred Revenue'!$Q$6:$Q$578)</f>
        <v/>
      </c>
      <c r="E13" s="55">
        <f>C13+D13</f>
        <v/>
      </c>
      <c r="F13" s="56">
        <f>IF(ROUND(C13,2)+ROUND(D13,2)=0,"","yes")</f>
        <v/>
      </c>
      <c r="G13" s="57" t="n"/>
      <c r="H13" s="55">
        <f>IF($G13="","",$E13-$G13)</f>
        <v/>
      </c>
    </row>
    <row r="14">
      <c r="A14" s="54" t="inlineStr">
        <is>
          <t>1400</t>
        </is>
      </c>
      <c r="B14" s="54" t="inlineStr">
        <is>
          <t>DTTL Mel Tech FT 2</t>
        </is>
      </c>
      <c r="C14" s="55">
        <f>SUMIFS(tbl_WIP[Amount],tbl_WIP[Job Number],$A14,tbl_WIP[Month],"&lt;&gt;",tbl_WIP[Month],"&lt;"&amp;$C$4)+SUMIF('Deferred Revenue'!$E$6:$E$578,$A14,'Deferred Revenue'!$P$6:$P$578)</f>
        <v/>
      </c>
      <c r="D14" s="55">
        <f>SUMIFS(tbl_WIP[Amount],tbl_WIP[Job Number],$A14,tbl_WIP[Month],$C$4)+SUMIF('Deferred Revenue'!$E$6:$E$578,$A14,'Deferred Revenue'!$Q$6:$Q$578)</f>
        <v/>
      </c>
      <c r="E14" s="55">
        <f>C14+D14</f>
        <v/>
      </c>
      <c r="F14" s="56">
        <f>IF(ROUND(C14,2)+ROUND(D14,2)=0,"","yes")</f>
        <v/>
      </c>
      <c r="G14" s="57" t="n"/>
      <c r="H14" s="55">
        <f>IF($G14="","",$E14-$G14)</f>
        <v/>
      </c>
    </row>
    <row r="15">
      <c r="A15" s="54" t="inlineStr">
        <is>
          <t>1401</t>
        </is>
      </c>
      <c r="B15" s="54" t="inlineStr">
        <is>
          <t>DTTL SYD FT Tech 2</t>
        </is>
      </c>
      <c r="C15" s="55">
        <f>SUMIFS(tbl_WIP[Amount],tbl_WIP[Job Number],$A15,tbl_WIP[Month],"&lt;&gt;",tbl_WIP[Month],"&lt;"&amp;$C$4)+SUMIF('Deferred Revenue'!$E$6:$E$578,$A15,'Deferred Revenue'!$P$6:$P$578)</f>
        <v/>
      </c>
      <c r="D15" s="55">
        <f>SUMIFS(tbl_WIP[Amount],tbl_WIP[Job Number],$A15,tbl_WIP[Month],$C$4)+SUMIF('Deferred Revenue'!$E$6:$E$578,$A15,'Deferred Revenue'!$Q$6:$Q$578)</f>
        <v/>
      </c>
      <c r="E15" s="55">
        <f>C15+D15</f>
        <v/>
      </c>
      <c r="F15" s="56">
        <f>IF(ROUND(C15,2)+ROUND(D15,2)=0,"","yes")</f>
        <v/>
      </c>
      <c r="G15" s="57" t="n"/>
      <c r="H15" s="55">
        <f>IF($G15="","",$E15-$G15)</f>
        <v/>
      </c>
    </row>
    <row r="16">
      <c r="A16" s="54" t="inlineStr">
        <is>
          <t>1530</t>
        </is>
      </c>
      <c r="B16" s="54" t="inlineStr">
        <is>
          <t>DTTL BNE Onsite</t>
        </is>
      </c>
      <c r="C16" s="55">
        <f>SUMIFS(tbl_WIP[Amount],tbl_WIP[Job Number],$A16,tbl_WIP[Month],"&lt;&gt;",tbl_WIP[Month],"&lt;"&amp;$C$4)+SUMIF('Deferred Revenue'!$E$6:$E$578,$A16,'Deferred Revenue'!$P$6:$P$578)</f>
        <v/>
      </c>
      <c r="D16" s="55">
        <f>SUMIFS(tbl_WIP[Amount],tbl_WIP[Job Number],$A16,tbl_WIP[Month],$C$4)+SUMIF('Deferred Revenue'!$E$6:$E$578,$A16,'Deferred Revenue'!$Q$6:$Q$578)</f>
        <v/>
      </c>
      <c r="E16" s="55">
        <f>C16+D16</f>
        <v/>
      </c>
      <c r="F16" s="56">
        <f>IF(ROUND(C16,2)+ROUND(D16,2)=0,"","yes")</f>
        <v/>
      </c>
      <c r="G16" s="57" t="n"/>
      <c r="H16" s="55">
        <f>IF($G16="","",$E16-$G16)</f>
        <v/>
      </c>
    </row>
    <row r="17">
      <c r="A17" s="54" t="inlineStr">
        <is>
          <t>1668</t>
        </is>
      </c>
      <c r="B17" s="54" t="inlineStr">
        <is>
          <t>CBA Dedicated Tech</t>
        </is>
      </c>
      <c r="C17" s="55">
        <f>SUMIFS(tbl_WIP[Amount],tbl_WIP[Job Number],$A17,tbl_WIP[Month],"&lt;&gt;",tbl_WIP[Month],"&lt;"&amp;$C$4)+SUMIF('Deferred Revenue'!$E$6:$E$578,$A17,'Deferred Revenue'!$P$6:$P$578)</f>
        <v/>
      </c>
      <c r="D17" s="55">
        <f>SUMIFS(tbl_WIP[Amount],tbl_WIP[Job Number],$A17,tbl_WIP[Month],$C$4)+SUMIF('Deferred Revenue'!$E$6:$E$578,$A17,'Deferred Revenue'!$Q$6:$Q$578)</f>
        <v/>
      </c>
      <c r="E17" s="55">
        <f>C17+D17</f>
        <v/>
      </c>
      <c r="F17" s="56">
        <f>IF(ROUND(C17,2)+ROUND(D17,2)=0,"","yes")</f>
        <v/>
      </c>
      <c r="G17" s="57" t="n"/>
      <c r="H17" s="55">
        <f>IF($G17="","",$E17-$G17)</f>
        <v/>
      </c>
    </row>
    <row r="18">
      <c r="A18" s="54" t="inlineStr">
        <is>
          <t>1750</t>
        </is>
      </c>
      <c r="B18" s="54" t="inlineStr">
        <is>
          <t>Bankwest Spotify</t>
        </is>
      </c>
      <c r="C18" s="55">
        <f>SUMIFS(tbl_WIP[Amount],tbl_WIP[Job Number],$A18,tbl_WIP[Month],"&lt;&gt;",tbl_WIP[Month],"&lt;"&amp;$C$4)+SUMIF('Deferred Revenue'!$E$6:$E$578,$A18,'Deferred Revenue'!$P$6:$P$578)</f>
        <v/>
      </c>
      <c r="D18" s="55">
        <f>SUMIFS(tbl_WIP[Amount],tbl_WIP[Job Number],$A18,tbl_WIP[Month],$C$4)+SUMIF('Deferred Revenue'!$E$6:$E$578,$A18,'Deferred Revenue'!$Q$6:$Q$578)</f>
        <v/>
      </c>
      <c r="E18" s="55">
        <f>C18+D18</f>
        <v/>
      </c>
      <c r="F18" s="56">
        <f>IF(ROUND(C18,2)+ROUND(D18,2)=0,"","yes")</f>
        <v/>
      </c>
      <c r="G18" s="57" t="n"/>
      <c r="H18" s="55">
        <f>IF($G18="","",$E18-$G18)</f>
        <v/>
      </c>
    </row>
    <row r="19">
      <c r="A19" s="54" t="inlineStr">
        <is>
          <t>1755</t>
        </is>
      </c>
      <c r="B19" s="54" t="inlineStr">
        <is>
          <t>CBA Spotify</t>
        </is>
      </c>
      <c r="C19" s="55">
        <f>SUMIFS(tbl_WIP[Amount],tbl_WIP[Job Number],$A19,tbl_WIP[Month],"&lt;&gt;",tbl_WIP[Month],"&lt;"&amp;$C$4)+SUMIF('Deferred Revenue'!$E$6:$E$578,$A19,'Deferred Revenue'!$P$6:$P$578)</f>
        <v/>
      </c>
      <c r="D19" s="55">
        <f>SUMIFS(tbl_WIP[Amount],tbl_WIP[Job Number],$A19,tbl_WIP[Month],$C$4)+SUMIF('Deferred Revenue'!$E$6:$E$578,$A19,'Deferred Revenue'!$Q$6:$Q$578)</f>
        <v/>
      </c>
      <c r="E19" s="55">
        <f>C19+D19</f>
        <v/>
      </c>
      <c r="F19" s="56">
        <f>IF(ROUND(C19,2)+ROUND(D19,2)=0,"","yes")</f>
        <v/>
      </c>
      <c r="G19" s="57" t="n"/>
      <c r="H19" s="55">
        <f>IF($G19="","",$E19-$G19)</f>
        <v/>
      </c>
    </row>
    <row r="20">
      <c r="A20" s="54" t="inlineStr">
        <is>
          <t>1771</t>
        </is>
      </c>
      <c r="B20" s="54" t="inlineStr">
        <is>
          <t>Integration - Training</t>
        </is>
      </c>
      <c r="C20" s="55">
        <f>SUMIFS(tbl_WIP[Amount],tbl_WIP[Job Number],$A20,tbl_WIP[Month],"&lt;&gt;",tbl_WIP[Month],"&lt;"&amp;$C$4)+SUMIF('Deferred Revenue'!$E$6:$E$578,$A20,'Deferred Revenue'!$P$6:$P$578)</f>
        <v/>
      </c>
      <c r="D20" s="55">
        <f>SUMIFS(tbl_WIP[Amount],tbl_WIP[Job Number],$A20,tbl_WIP[Month],$C$4)+SUMIF('Deferred Revenue'!$E$6:$E$578,$A20,'Deferred Revenue'!$Q$6:$Q$578)</f>
        <v/>
      </c>
      <c r="E20" s="55">
        <f>C20+D20</f>
        <v/>
      </c>
      <c r="F20" s="56">
        <f>IF(ROUND(C20,2)+ROUND(D20,2)=0,"","yes")</f>
        <v/>
      </c>
      <c r="G20" s="57" t="n"/>
      <c r="H20" s="55">
        <f>IF($G20="","",$E20-$G20)</f>
        <v/>
      </c>
    </row>
    <row r="21">
      <c r="A21" s="54" t="inlineStr">
        <is>
          <t>1862</t>
        </is>
      </c>
      <c r="B21" s="54" t="inlineStr">
        <is>
          <t>DTTL ADL Onsite</t>
        </is>
      </c>
      <c r="C21" s="55">
        <f>SUMIFS(tbl_WIP[Amount],tbl_WIP[Job Number],$A21,tbl_WIP[Month],"&lt;&gt;",tbl_WIP[Month],"&lt;"&amp;$C$4)+SUMIF('Deferred Revenue'!$E$6:$E$578,$A21,'Deferred Revenue'!$P$6:$P$578)</f>
        <v/>
      </c>
      <c r="D21" s="55">
        <f>SUMIFS(tbl_WIP[Amount],tbl_WIP[Job Number],$A21,tbl_WIP[Month],$C$4)+SUMIF('Deferred Revenue'!$E$6:$E$578,$A21,'Deferred Revenue'!$Q$6:$Q$578)</f>
        <v/>
      </c>
      <c r="E21" s="55">
        <f>C21+D21</f>
        <v/>
      </c>
      <c r="F21" s="56">
        <f>IF(ROUND(C21,2)+ROUND(D21,2)=0,"","yes")</f>
        <v/>
      </c>
      <c r="G21" s="57" t="n"/>
      <c r="H21" s="55">
        <f>IF($G21="","",$E21-$G21)</f>
        <v/>
      </c>
    </row>
    <row r="22">
      <c r="A22" s="54" t="inlineStr">
        <is>
          <t>20250731</t>
        </is>
      </c>
      <c r="B22" s="54" t="inlineStr">
        <is>
          <t>PWC National Pool of Hours</t>
        </is>
      </c>
      <c r="C22" s="55">
        <f>SUMIFS(tbl_WIP[Amount],tbl_WIP[Job Number],$A22,tbl_WIP[Month],"&lt;&gt;",tbl_WIP[Month],"&lt;"&amp;$C$4)+SUMIF('Deferred Revenue'!$E$6:$E$578,$A22,'Deferred Revenue'!$P$6:$P$578)</f>
        <v/>
      </c>
      <c r="D22" s="55">
        <f>SUMIFS(tbl_WIP[Amount],tbl_WIP[Job Number],$A22,tbl_WIP[Month],$C$4)+SUMIF('Deferred Revenue'!$E$6:$E$578,$A22,'Deferred Revenue'!$Q$6:$Q$578)</f>
        <v/>
      </c>
      <c r="E22" s="55">
        <f>C22+D22</f>
        <v/>
      </c>
      <c r="F22" s="56">
        <f>IF(ROUND(C22,2)+ROUND(D22,2)=0,"","yes")</f>
        <v/>
      </c>
      <c r="G22" s="57" t="n"/>
      <c r="H22" s="55">
        <f>IF($G22="","",$E22-$G22)</f>
        <v/>
      </c>
    </row>
    <row r="23">
      <c r="A23" s="54" t="inlineStr">
        <is>
          <t>2026021101</t>
        </is>
      </c>
      <c r="B23" s="54" t="inlineStr">
        <is>
          <t>AusPayNet Quarterly AV Support &amp; Maintenance 2026</t>
        </is>
      </c>
      <c r="C23" s="55">
        <f>SUMIFS(tbl_WIP[Amount],tbl_WIP[Job Number],$A23,tbl_WIP[Month],"&lt;&gt;",tbl_WIP[Month],"&lt;"&amp;$C$4)+SUMIF('Deferred Revenue'!$E$6:$E$578,$A23,'Deferred Revenue'!$P$6:$P$578)</f>
        <v/>
      </c>
      <c r="D23" s="55">
        <f>SUMIFS(tbl_WIP[Amount],tbl_WIP[Job Number],$A23,tbl_WIP[Month],$C$4)+SUMIF('Deferred Revenue'!$E$6:$E$578,$A23,'Deferred Revenue'!$Q$6:$Q$578)</f>
        <v/>
      </c>
      <c r="E23" s="55">
        <f>C23+D23</f>
        <v/>
      </c>
      <c r="F23" s="56">
        <f>IF(ROUND(C23,2)+ROUND(D23,2)=0,"","yes")</f>
        <v/>
      </c>
      <c r="G23" s="57" t="n"/>
      <c r="H23" s="55">
        <f>IF($G23="","",$E23-$G23)</f>
        <v/>
      </c>
    </row>
    <row r="24">
      <c r="A24" s="54" t="inlineStr">
        <is>
          <t>20260801</t>
        </is>
      </c>
      <c r="B24" s="54" t="inlineStr">
        <is>
          <t>CTS Day 2026</t>
        </is>
      </c>
      <c r="C24" s="55">
        <f>SUMIFS(tbl_WIP[Amount],tbl_WIP[Job Number],$A24,tbl_WIP[Month],"&lt;&gt;",tbl_WIP[Month],"&lt;"&amp;$C$4)+SUMIF('Deferred Revenue'!$E$6:$E$578,$A24,'Deferred Revenue'!$P$6:$P$578)</f>
        <v/>
      </c>
      <c r="D24" s="55">
        <f>SUMIFS(tbl_WIP[Amount],tbl_WIP[Job Number],$A24,tbl_WIP[Month],$C$4)+SUMIF('Deferred Revenue'!$E$6:$E$578,$A24,'Deferred Revenue'!$Q$6:$Q$578)</f>
        <v/>
      </c>
      <c r="E24" s="55">
        <f>C24+D24</f>
        <v/>
      </c>
      <c r="F24" s="56">
        <f>IF(ROUND(C24,2)+ROUND(D24,2)=0,"","yes")</f>
        <v/>
      </c>
      <c r="G24" s="57" t="n"/>
      <c r="H24" s="55">
        <f>IF($G24="","",$E24-$G24)</f>
        <v/>
      </c>
    </row>
    <row r="25">
      <c r="A25" s="54" t="inlineStr">
        <is>
          <t>2192</t>
        </is>
      </c>
      <c r="B25" s="54" t="inlineStr">
        <is>
          <t>Bankwest Additional Tech</t>
        </is>
      </c>
      <c r="C25" s="55">
        <f>SUMIFS(tbl_WIP[Amount],tbl_WIP[Job Number],$A25,tbl_WIP[Month],"&lt;&gt;",tbl_WIP[Month],"&lt;"&amp;$C$4)+SUMIF('Deferred Revenue'!$E$6:$E$578,$A25,'Deferred Revenue'!$P$6:$P$578)</f>
        <v/>
      </c>
      <c r="D25" s="55">
        <f>SUMIFS(tbl_WIP[Amount],tbl_WIP[Job Number],$A25,tbl_WIP[Month],$C$4)+SUMIF('Deferred Revenue'!$E$6:$E$578,$A25,'Deferred Revenue'!$Q$6:$Q$578)</f>
        <v/>
      </c>
      <c r="E25" s="55">
        <f>C25+D25</f>
        <v/>
      </c>
      <c r="F25" s="56">
        <f>IF(ROUND(C25,2)+ROUND(D25,2)=0,"","yes")</f>
        <v/>
      </c>
      <c r="G25" s="57" t="n"/>
      <c r="H25" s="55">
        <f>IF($G25="","",$E25-$G25)</f>
        <v/>
      </c>
    </row>
    <row r="26">
      <c r="A26" s="54" t="inlineStr">
        <is>
          <t>2347</t>
        </is>
      </c>
      <c r="B26" s="54" t="inlineStr">
        <is>
          <t>DTTL Dedicated Tech</t>
        </is>
      </c>
      <c r="C26" s="55">
        <f>SUMIFS(tbl_WIP[Amount],tbl_WIP[Job Number],$A26,tbl_WIP[Month],"&lt;&gt;",tbl_WIP[Month],"&lt;"&amp;$C$4)+SUMIF('Deferred Revenue'!$E$6:$E$578,$A26,'Deferred Revenue'!$P$6:$P$578)</f>
        <v/>
      </c>
      <c r="D26" s="55">
        <f>SUMIFS(tbl_WIP[Amount],tbl_WIP[Job Number],$A26,tbl_WIP[Month],$C$4)+SUMIF('Deferred Revenue'!$E$6:$E$578,$A26,'Deferred Revenue'!$Q$6:$Q$578)</f>
        <v/>
      </c>
      <c r="E26" s="55">
        <f>C26+D26</f>
        <v/>
      </c>
      <c r="F26" s="56">
        <f>IF(ROUND(C26,2)+ROUND(D26,2)=0,"","yes")</f>
        <v/>
      </c>
      <c r="G26" s="57" t="n"/>
      <c r="H26" s="55">
        <f>IF($G26="","",$E26-$G26)</f>
        <v/>
      </c>
    </row>
    <row r="27">
      <c r="A27" s="54" t="inlineStr">
        <is>
          <t>2392</t>
        </is>
      </c>
      <c r="B27" s="54" t="inlineStr">
        <is>
          <t>PWC – MEL Technician</t>
        </is>
      </c>
      <c r="C27" s="55">
        <f>SUMIFS(tbl_WIP[Amount],tbl_WIP[Job Number],$A27,tbl_WIP[Month],"&lt;&gt;",tbl_WIP[Month],"&lt;"&amp;$C$4)+SUMIF('Deferred Revenue'!$E$6:$E$578,$A27,'Deferred Revenue'!$P$6:$P$578)</f>
        <v/>
      </c>
      <c r="D27" s="55">
        <f>SUMIFS(tbl_WIP[Amount],tbl_WIP[Job Number],$A27,tbl_WIP[Month],$C$4)+SUMIF('Deferred Revenue'!$E$6:$E$578,$A27,'Deferred Revenue'!$Q$6:$Q$578)</f>
        <v/>
      </c>
      <c r="E27" s="55">
        <f>C27+D27</f>
        <v/>
      </c>
      <c r="F27" s="56">
        <f>IF(ROUND(C27,2)+ROUND(D27,2)=0,"","yes")</f>
        <v/>
      </c>
      <c r="G27" s="57" t="n"/>
      <c r="H27" s="55">
        <f>IF($G27="","",$E27-$G27)</f>
        <v/>
      </c>
    </row>
    <row r="28">
      <c r="A28" s="54" t="inlineStr">
        <is>
          <t>2402</t>
        </is>
      </c>
      <c r="B28" s="54" t="inlineStr">
        <is>
          <t>DTTL SYD FT Tech 1</t>
        </is>
      </c>
      <c r="C28" s="55">
        <f>SUMIFS(tbl_WIP[Amount],tbl_WIP[Job Number],$A28,tbl_WIP[Month],"&lt;&gt;",tbl_WIP[Month],"&lt;"&amp;$C$4)+SUMIF('Deferred Revenue'!$E$6:$E$578,$A28,'Deferred Revenue'!$P$6:$P$578)</f>
        <v/>
      </c>
      <c r="D28" s="55">
        <f>SUMIFS(tbl_WIP[Amount],tbl_WIP[Job Number],$A28,tbl_WIP[Month],$C$4)+SUMIF('Deferred Revenue'!$E$6:$E$578,$A28,'Deferred Revenue'!$Q$6:$Q$578)</f>
        <v/>
      </c>
      <c r="E28" s="55">
        <f>C28+D28</f>
        <v/>
      </c>
      <c r="F28" s="56">
        <f>IF(ROUND(C28,2)+ROUND(D28,2)=0,"","yes")</f>
        <v/>
      </c>
      <c r="G28" s="57" t="n"/>
      <c r="H28" s="55">
        <f>IF($G28="","",$E28-$G28)</f>
        <v/>
      </c>
    </row>
    <row r="29">
      <c r="A29" s="54" t="inlineStr">
        <is>
          <t>2407312</t>
        </is>
      </c>
      <c r="B29" s="54" t="inlineStr">
        <is>
          <t>Hills Performance Centre</t>
        </is>
      </c>
      <c r="C29" s="55">
        <f>SUMIFS(tbl_WIP[Amount],tbl_WIP[Job Number],$A29,tbl_WIP[Month],"&lt;&gt;",tbl_WIP[Month],"&lt;"&amp;$C$4)+SUMIF('Deferred Revenue'!$E$6:$E$578,$A29,'Deferred Revenue'!$P$6:$P$578)</f>
        <v/>
      </c>
      <c r="D29" s="55">
        <f>SUMIFS(tbl_WIP[Amount],tbl_WIP[Job Number],$A29,tbl_WIP[Month],$C$4)+SUMIF('Deferred Revenue'!$E$6:$E$578,$A29,'Deferred Revenue'!$Q$6:$Q$578)</f>
        <v/>
      </c>
      <c r="E29" s="55">
        <f>C29+D29</f>
        <v/>
      </c>
      <c r="F29" s="56">
        <f>IF(ROUND(C29,2)+ROUND(D29,2)=0,"","yes")</f>
        <v/>
      </c>
      <c r="G29" s="57" t="n"/>
      <c r="H29" s="55">
        <f>IF($G29="","",$E29-$G29)</f>
        <v/>
      </c>
    </row>
    <row r="30">
      <c r="A30" s="54" t="inlineStr">
        <is>
          <t>24102501</t>
        </is>
      </c>
      <c r="B30" s="54" t="inlineStr">
        <is>
          <t>PWC - MEL Tech 12Months</t>
        </is>
      </c>
      <c r="C30" s="55">
        <f>SUMIFS(tbl_WIP[Amount],tbl_WIP[Job Number],$A30,tbl_WIP[Month],"&lt;&gt;",tbl_WIP[Month],"&lt;"&amp;$C$4)+SUMIF('Deferred Revenue'!$E$6:$E$578,$A30,'Deferred Revenue'!$P$6:$P$578)</f>
        <v/>
      </c>
      <c r="D30" s="55">
        <f>SUMIFS(tbl_WIP[Amount],tbl_WIP[Job Number],$A30,tbl_WIP[Month],$C$4)+SUMIF('Deferred Revenue'!$E$6:$E$578,$A30,'Deferred Revenue'!$Q$6:$Q$578)</f>
        <v/>
      </c>
      <c r="E30" s="55">
        <f>C30+D30</f>
        <v/>
      </c>
      <c r="F30" s="56">
        <f>IF(ROUND(C30,2)+ROUND(D30,2)=0,"","yes")</f>
        <v/>
      </c>
      <c r="G30" s="57" t="n"/>
      <c r="H30" s="55">
        <f>IF($G30="","",$E30-$G30)</f>
        <v/>
      </c>
    </row>
    <row r="31">
      <c r="A31" s="54" t="inlineStr">
        <is>
          <t>24121001</t>
        </is>
      </c>
      <c r="B31" s="54" t="inlineStr">
        <is>
          <t>BW PER Studio Equipment Supply</t>
        </is>
      </c>
      <c r="C31" s="55">
        <f>SUMIFS(tbl_WIP[Amount],tbl_WIP[Job Number],$A31,tbl_WIP[Month],"&lt;&gt;",tbl_WIP[Month],"&lt;"&amp;$C$4)+SUMIF('Deferred Revenue'!$E$6:$E$578,$A31,'Deferred Revenue'!$P$6:$P$578)</f>
        <v/>
      </c>
      <c r="D31" s="55">
        <f>SUMIFS(tbl_WIP[Amount],tbl_WIP[Job Number],$A31,tbl_WIP[Month],$C$4)+SUMIF('Deferred Revenue'!$E$6:$E$578,$A31,'Deferred Revenue'!$Q$6:$Q$578)</f>
        <v/>
      </c>
      <c r="E31" s="55">
        <f>C31+D31</f>
        <v/>
      </c>
      <c r="F31" s="56">
        <f>IF(ROUND(C31,2)+ROUND(D31,2)=0,"","yes")</f>
        <v/>
      </c>
      <c r="G31" s="57" t="n"/>
      <c r="H31" s="55">
        <f>IF($G31="","",$E31-$G31)</f>
        <v/>
      </c>
    </row>
    <row r="32">
      <c r="A32" s="54" t="inlineStr">
        <is>
          <t>2479</t>
        </is>
      </c>
      <c r="B32" s="54" t="inlineStr">
        <is>
          <t>CONSULTING - Quotes</t>
        </is>
      </c>
      <c r="C32" s="55">
        <f>SUMIFS(tbl_WIP[Amount],tbl_WIP[Job Number],$A32,tbl_WIP[Month],"&lt;&gt;",tbl_WIP[Month],"&lt;"&amp;$C$4)+SUMIF('Deferred Revenue'!$E$6:$E$578,$A32,'Deferred Revenue'!$P$6:$P$578)</f>
        <v/>
      </c>
      <c r="D32" s="55">
        <f>SUMIFS(tbl_WIP[Amount],tbl_WIP[Job Number],$A32,tbl_WIP[Month],$C$4)+SUMIF('Deferred Revenue'!$E$6:$E$578,$A32,'Deferred Revenue'!$Q$6:$Q$578)</f>
        <v/>
      </c>
      <c r="E32" s="55">
        <f>C32+D32</f>
        <v/>
      </c>
      <c r="F32" s="56">
        <f>IF(ROUND(C32,2)+ROUND(D32,2)=0,"","yes")</f>
        <v/>
      </c>
      <c r="G32" s="57" t="n"/>
      <c r="H32" s="55">
        <f>IF($G32="","",$E32-$G32)</f>
        <v/>
      </c>
    </row>
    <row r="33">
      <c r="A33" s="54" t="inlineStr">
        <is>
          <t>2480</t>
        </is>
      </c>
      <c r="B33" s="54" t="inlineStr">
        <is>
          <t>ONSITE - Quotes</t>
        </is>
      </c>
      <c r="C33" s="55">
        <f>SUMIFS(tbl_WIP[Amount],tbl_WIP[Job Number],$A33,tbl_WIP[Month],"&lt;&gt;",tbl_WIP[Month],"&lt;"&amp;$C$4)+SUMIF('Deferred Revenue'!$E$6:$E$578,$A33,'Deferred Revenue'!$P$6:$P$578)</f>
        <v/>
      </c>
      <c r="D33" s="55">
        <f>SUMIFS(tbl_WIP[Amount],tbl_WIP[Job Number],$A33,tbl_WIP[Month],$C$4)+SUMIF('Deferred Revenue'!$E$6:$E$578,$A33,'Deferred Revenue'!$Q$6:$Q$578)</f>
        <v/>
      </c>
      <c r="E33" s="55">
        <f>C33+D33</f>
        <v/>
      </c>
      <c r="F33" s="56">
        <f>IF(ROUND(C33,2)+ROUND(D33,2)=0,"","yes")</f>
        <v/>
      </c>
      <c r="G33" s="57" t="n"/>
      <c r="H33" s="55">
        <f>IF($G33="","",$E33-$G33)</f>
        <v/>
      </c>
    </row>
    <row r="34">
      <c r="A34" s="54" t="inlineStr">
        <is>
          <t>2481</t>
        </is>
      </c>
      <c r="B34" s="54" t="inlineStr">
        <is>
          <t>Production - Quotes</t>
        </is>
      </c>
      <c r="C34" s="55">
        <f>SUMIFS(tbl_WIP[Amount],tbl_WIP[Job Number],$A34,tbl_WIP[Month],"&lt;&gt;",tbl_WIP[Month],"&lt;"&amp;$C$4)+SUMIF('Deferred Revenue'!$E$6:$E$578,$A34,'Deferred Revenue'!$P$6:$P$578)</f>
        <v/>
      </c>
      <c r="D34" s="55">
        <f>SUMIFS(tbl_WIP[Amount],tbl_WIP[Job Number],$A34,tbl_WIP[Month],$C$4)+SUMIF('Deferred Revenue'!$E$6:$E$578,$A34,'Deferred Revenue'!$Q$6:$Q$578)</f>
        <v/>
      </c>
      <c r="E34" s="55">
        <f>C34+D34</f>
        <v/>
      </c>
      <c r="F34" s="56">
        <f>IF(ROUND(C34,2)+ROUND(D34,2)=0,"","yes")</f>
        <v/>
      </c>
      <c r="G34" s="57" t="n"/>
      <c r="H34" s="55">
        <f>IF($G34="","",$E34-$G34)</f>
        <v/>
      </c>
    </row>
    <row r="35">
      <c r="A35" s="54" t="inlineStr">
        <is>
          <t>2482</t>
        </is>
      </c>
      <c r="B35" s="54" t="inlineStr">
        <is>
          <t>VIDEO - Quotes</t>
        </is>
      </c>
      <c r="C35" s="55">
        <f>SUMIFS(tbl_WIP[Amount],tbl_WIP[Job Number],$A35,tbl_WIP[Month],"&lt;&gt;",tbl_WIP[Month],"&lt;"&amp;$C$4)+SUMIF('Deferred Revenue'!$E$6:$E$578,$A35,'Deferred Revenue'!$P$6:$P$578)</f>
        <v/>
      </c>
      <c r="D35" s="55">
        <f>SUMIFS(tbl_WIP[Amount],tbl_WIP[Job Number],$A35,tbl_WIP[Month],$C$4)+SUMIF('Deferred Revenue'!$E$6:$E$578,$A35,'Deferred Revenue'!$Q$6:$Q$578)</f>
        <v/>
      </c>
      <c r="E35" s="55">
        <f>C35+D35</f>
        <v/>
      </c>
      <c r="F35" s="56">
        <f>IF(ROUND(C35,2)+ROUND(D35,2)=0,"","yes")</f>
        <v/>
      </c>
      <c r="G35" s="57" t="n"/>
      <c r="H35" s="55">
        <f>IF($G35="","",$E35-$G35)</f>
        <v/>
      </c>
    </row>
    <row r="36">
      <c r="A36" s="54" t="inlineStr">
        <is>
          <t>2488</t>
        </is>
      </c>
      <c r="B36" s="54" t="inlineStr">
        <is>
          <t>PWC IT P/T BNE</t>
        </is>
      </c>
      <c r="C36" s="55">
        <f>SUMIFS(tbl_WIP[Amount],tbl_WIP[Job Number],$A36,tbl_WIP[Month],"&lt;&gt;",tbl_WIP[Month],"&lt;"&amp;$C$4)+SUMIF('Deferred Revenue'!$E$6:$E$578,$A36,'Deferred Revenue'!$P$6:$P$578)</f>
        <v/>
      </c>
      <c r="D36" s="55">
        <f>SUMIFS(tbl_WIP[Amount],tbl_WIP[Job Number],$A36,tbl_WIP[Month],$C$4)+SUMIF('Deferred Revenue'!$E$6:$E$578,$A36,'Deferred Revenue'!$Q$6:$Q$578)</f>
        <v/>
      </c>
      <c r="E36" s="55">
        <f>C36+D36</f>
        <v/>
      </c>
      <c r="F36" s="56">
        <f>IF(ROUND(C36,2)+ROUND(D36,2)=0,"","yes")</f>
        <v/>
      </c>
      <c r="G36" s="57" t="n"/>
      <c r="H36" s="55">
        <f>IF($G36="","",$E36-$G36)</f>
        <v/>
      </c>
    </row>
    <row r="37">
      <c r="A37" s="54" t="inlineStr">
        <is>
          <t>25011601</t>
        </is>
      </c>
      <c r="B37" s="54" t="inlineStr">
        <is>
          <t>DTTL Hobart ITS AV Ref</t>
        </is>
      </c>
      <c r="C37" s="55">
        <f>SUMIFS(tbl_WIP[Amount],tbl_WIP[Job Number],$A37,tbl_WIP[Month],"&lt;&gt;",tbl_WIP[Month],"&lt;"&amp;$C$4)+SUMIF('Deferred Revenue'!$E$6:$E$578,$A37,'Deferred Revenue'!$P$6:$P$578)</f>
        <v/>
      </c>
      <c r="D37" s="55">
        <f>SUMIFS(tbl_WIP[Amount],tbl_WIP[Job Number],$A37,tbl_WIP[Month],$C$4)+SUMIF('Deferred Revenue'!$E$6:$E$578,$A37,'Deferred Revenue'!$Q$6:$Q$578)</f>
        <v/>
      </c>
      <c r="E37" s="55">
        <f>C37+D37</f>
        <v/>
      </c>
      <c r="F37" s="56">
        <f>IF(ROUND(C37,2)+ROUND(D37,2)=0,"","yes")</f>
        <v/>
      </c>
      <c r="G37" s="57" t="n"/>
      <c r="H37" s="55">
        <f>IF($G37="","",$E37-$G37)</f>
        <v/>
      </c>
    </row>
    <row r="38">
      <c r="A38" s="54" t="inlineStr">
        <is>
          <t>2501738</t>
        </is>
      </c>
      <c r="B38" s="54" t="inlineStr">
        <is>
          <t>APA HYR25 &amp; FYR25</t>
        </is>
      </c>
      <c r="C38" s="55">
        <f>SUMIFS(tbl_WIP[Amount],tbl_WIP[Job Number],$A38,tbl_WIP[Month],"&lt;&gt;",tbl_WIP[Month],"&lt;"&amp;$C$4)+SUMIF('Deferred Revenue'!$E$6:$E$578,$A38,'Deferred Revenue'!$P$6:$P$578)</f>
        <v/>
      </c>
      <c r="D38" s="55">
        <f>SUMIFS(tbl_WIP[Amount],tbl_WIP[Job Number],$A38,tbl_WIP[Month],$C$4)+SUMIF('Deferred Revenue'!$E$6:$E$578,$A38,'Deferred Revenue'!$Q$6:$Q$578)</f>
        <v/>
      </c>
      <c r="E38" s="55">
        <f>C38+D38</f>
        <v/>
      </c>
      <c r="F38" s="56">
        <f>IF(ROUND(C38,2)+ROUND(D38,2)=0,"","yes")</f>
        <v/>
      </c>
      <c r="G38" s="57" t="n"/>
      <c r="H38" s="55">
        <f>IF($G38="","",$E38-$G38)</f>
        <v/>
      </c>
    </row>
    <row r="39">
      <c r="A39" s="54" t="inlineStr">
        <is>
          <t>2502</t>
        </is>
      </c>
      <c r="B39" s="54" t="inlineStr">
        <is>
          <t>ONS CBA (non-chargeable)</t>
        </is>
      </c>
      <c r="C39" s="55">
        <f>SUMIFS(tbl_WIP[Amount],tbl_WIP[Job Number],$A39,tbl_WIP[Month],"&lt;&gt;",tbl_WIP[Month],"&lt;"&amp;$C$4)+SUMIF('Deferred Revenue'!$E$6:$E$578,$A39,'Deferred Revenue'!$P$6:$P$578)</f>
        <v/>
      </c>
      <c r="D39" s="55">
        <f>SUMIFS(tbl_WIP[Amount],tbl_WIP[Job Number],$A39,tbl_WIP[Month],$C$4)+SUMIF('Deferred Revenue'!$E$6:$E$578,$A39,'Deferred Revenue'!$Q$6:$Q$578)</f>
        <v/>
      </c>
      <c r="E39" s="55">
        <f>C39+D39</f>
        <v/>
      </c>
      <c r="F39" s="56">
        <f>IF(ROUND(C39,2)+ROUND(D39,2)=0,"","yes")</f>
        <v/>
      </c>
      <c r="G39" s="57" t="n"/>
      <c r="H39" s="55">
        <f>IF($G39="","",$E39-$G39)</f>
        <v/>
      </c>
    </row>
    <row r="40">
      <c r="A40" s="54" t="inlineStr">
        <is>
          <t>25021901</t>
        </is>
      </c>
      <c r="B40" s="54" t="inlineStr">
        <is>
          <t>DAFF Technology Standard</t>
        </is>
      </c>
      <c r="C40" s="55">
        <f>SUMIFS(tbl_WIP[Amount],tbl_WIP[Job Number],$A40,tbl_WIP[Month],"&lt;&gt;",tbl_WIP[Month],"&lt;"&amp;$C$4)+SUMIF('Deferred Revenue'!$E$6:$E$578,$A40,'Deferred Revenue'!$P$6:$P$578)</f>
        <v/>
      </c>
      <c r="D40" s="55">
        <f>SUMIFS(tbl_WIP[Amount],tbl_WIP[Job Number],$A40,tbl_WIP[Month],$C$4)+SUMIF('Deferred Revenue'!$E$6:$E$578,$A40,'Deferred Revenue'!$Q$6:$Q$578)</f>
        <v/>
      </c>
      <c r="E40" s="55">
        <f>C40+D40</f>
        <v/>
      </c>
      <c r="F40" s="56">
        <f>IF(ROUND(C40,2)+ROUND(D40,2)=0,"","yes")</f>
        <v/>
      </c>
      <c r="G40" s="57" t="n"/>
      <c r="H40" s="55">
        <f>IF($G40="","",$E40-$G40)</f>
        <v/>
      </c>
    </row>
    <row r="41">
      <c r="A41" s="54" t="inlineStr">
        <is>
          <t>2503</t>
        </is>
      </c>
      <c r="B41" s="54" t="inlineStr">
        <is>
          <t>ONS DTTL (non-chargeable)</t>
        </is>
      </c>
      <c r="C41" s="55">
        <f>SUMIFS(tbl_WIP[Amount],tbl_WIP[Job Number],$A41,tbl_WIP[Month],"&lt;&gt;",tbl_WIP[Month],"&lt;"&amp;$C$4)+SUMIF('Deferred Revenue'!$E$6:$E$578,$A41,'Deferred Revenue'!$P$6:$P$578)</f>
        <v/>
      </c>
      <c r="D41" s="55">
        <f>SUMIFS(tbl_WIP[Amount],tbl_WIP[Job Number],$A41,tbl_WIP[Month],$C$4)+SUMIF('Deferred Revenue'!$E$6:$E$578,$A41,'Deferred Revenue'!$Q$6:$Q$578)</f>
        <v/>
      </c>
      <c r="E41" s="55">
        <f>C41+D41</f>
        <v/>
      </c>
      <c r="F41" s="56">
        <f>IF(ROUND(C41,2)+ROUND(D41,2)=0,"","yes")</f>
        <v/>
      </c>
      <c r="G41" s="57" t="n"/>
      <c r="H41" s="55">
        <f>IF($G41="","",$E41-$G41)</f>
        <v/>
      </c>
    </row>
    <row r="42">
      <c r="A42" s="54" t="inlineStr">
        <is>
          <t>25032701</t>
        </is>
      </c>
      <c r="B42" s="54" t="inlineStr">
        <is>
          <t>St Catherines Chargeable</t>
        </is>
      </c>
      <c r="C42" s="55">
        <f>SUMIFS(tbl_WIP[Amount],tbl_WIP[Job Number],$A42,tbl_WIP[Month],"&lt;&gt;",tbl_WIP[Month],"&lt;"&amp;$C$4)+SUMIF('Deferred Revenue'!$E$6:$E$578,$A42,'Deferred Revenue'!$P$6:$P$578)</f>
        <v/>
      </c>
      <c r="D42" s="55">
        <f>SUMIFS(tbl_WIP[Amount],tbl_WIP[Job Number],$A42,tbl_WIP[Month],$C$4)+SUMIF('Deferred Revenue'!$E$6:$E$578,$A42,'Deferred Revenue'!$Q$6:$Q$578)</f>
        <v/>
      </c>
      <c r="E42" s="55">
        <f>C42+D42</f>
        <v/>
      </c>
      <c r="F42" s="56">
        <f>IF(ROUND(C42,2)+ROUND(D42,2)=0,"","yes")</f>
        <v/>
      </c>
      <c r="G42" s="57" t="n"/>
      <c r="H42" s="55">
        <f>IF($G42="","",$E42-$G42)</f>
        <v/>
      </c>
    </row>
    <row r="43">
      <c r="A43" s="54" t="inlineStr">
        <is>
          <t>25032701NC</t>
        </is>
      </c>
      <c r="B43" s="54" t="inlineStr">
        <is>
          <t>St Catherines Non-Chgble</t>
        </is>
      </c>
      <c r="C43" s="55">
        <f>SUMIFS(tbl_WIP[Amount],tbl_WIP[Job Number],$A43,tbl_WIP[Month],"&lt;&gt;",tbl_WIP[Month],"&lt;"&amp;$C$4)+SUMIF('Deferred Revenue'!$E$6:$E$578,$A43,'Deferred Revenue'!$P$6:$P$578)</f>
        <v/>
      </c>
      <c r="D43" s="55">
        <f>SUMIFS(tbl_WIP[Amount],tbl_WIP[Job Number],$A43,tbl_WIP[Month],$C$4)+SUMIF('Deferred Revenue'!$E$6:$E$578,$A43,'Deferred Revenue'!$Q$6:$Q$578)</f>
        <v/>
      </c>
      <c r="E43" s="55">
        <f>C43+D43</f>
        <v/>
      </c>
      <c r="F43" s="56">
        <f>IF(ROUND(C43,2)+ROUND(D43,2)=0,"","yes")</f>
        <v/>
      </c>
      <c r="G43" s="57" t="n"/>
      <c r="H43" s="55">
        <f>IF($G43="","",$E43-$G43)</f>
        <v/>
      </c>
    </row>
    <row r="44">
      <c r="A44" s="54" t="inlineStr">
        <is>
          <t>2504</t>
        </is>
      </c>
      <c r="B44" s="54" t="inlineStr">
        <is>
          <t>ONS WBC (non-chargeable)</t>
        </is>
      </c>
      <c r="C44" s="55">
        <f>SUMIFS(tbl_WIP[Amount],tbl_WIP[Job Number],$A44,tbl_WIP[Month],"&lt;&gt;",tbl_WIP[Month],"&lt;"&amp;$C$4)+SUMIF('Deferred Revenue'!$E$6:$E$578,$A44,'Deferred Revenue'!$P$6:$P$578)</f>
        <v/>
      </c>
      <c r="D44" s="55">
        <f>SUMIFS(tbl_WIP[Amount],tbl_WIP[Job Number],$A44,tbl_WIP[Month],$C$4)+SUMIF('Deferred Revenue'!$E$6:$E$578,$A44,'Deferred Revenue'!$Q$6:$Q$578)</f>
        <v/>
      </c>
      <c r="E44" s="55">
        <f>C44+D44</f>
        <v/>
      </c>
      <c r="F44" s="56">
        <f>IF(ROUND(C44,2)+ROUND(D44,2)=0,"","yes")</f>
        <v/>
      </c>
      <c r="G44" s="57" t="n"/>
      <c r="H44" s="55">
        <f>IF($G44="","",$E44-$G44)</f>
        <v/>
      </c>
    </row>
    <row r="45">
      <c r="A45" s="54" t="inlineStr">
        <is>
          <t>25041502</t>
        </is>
      </c>
      <c r="B45" s="54" t="inlineStr">
        <is>
          <t>PDNSW DB License Ext</t>
        </is>
      </c>
      <c r="C45" s="55">
        <f>SUMIFS(tbl_WIP[Amount],tbl_WIP[Job Number],$A45,tbl_WIP[Month],"&lt;&gt;",tbl_WIP[Month],"&lt;"&amp;$C$4)+SUMIF('Deferred Revenue'!$E$6:$E$578,$A45,'Deferred Revenue'!$P$6:$P$578)</f>
        <v/>
      </c>
      <c r="D45" s="55">
        <f>SUMIFS(tbl_WIP[Amount],tbl_WIP[Job Number],$A45,tbl_WIP[Month],$C$4)+SUMIF('Deferred Revenue'!$E$6:$E$578,$A45,'Deferred Revenue'!$Q$6:$Q$578)</f>
        <v/>
      </c>
      <c r="E45" s="55">
        <f>C45+D45</f>
        <v/>
      </c>
      <c r="F45" s="56">
        <f>IF(ROUND(C45,2)+ROUND(D45,2)=0,"","yes")</f>
        <v/>
      </c>
      <c r="G45" s="57" t="n"/>
      <c r="H45" s="55">
        <f>IF($G45="","",$E45-$G45)</f>
        <v/>
      </c>
    </row>
    <row r="46">
      <c r="A46" s="54" t="inlineStr">
        <is>
          <t>2505</t>
        </is>
      </c>
      <c r="B46" s="54" t="inlineStr">
        <is>
          <t>ONS PWC (non-chargeable)</t>
        </is>
      </c>
      <c r="C46" s="55">
        <f>SUMIFS(tbl_WIP[Amount],tbl_WIP[Job Number],$A46,tbl_WIP[Month],"&lt;&gt;",tbl_WIP[Month],"&lt;"&amp;$C$4)+SUMIF('Deferred Revenue'!$E$6:$E$578,$A46,'Deferred Revenue'!$P$6:$P$578)</f>
        <v/>
      </c>
      <c r="D46" s="55">
        <f>SUMIFS(tbl_WIP[Amount],tbl_WIP[Job Number],$A46,tbl_WIP[Month],$C$4)+SUMIF('Deferred Revenue'!$E$6:$E$578,$A46,'Deferred Revenue'!$Q$6:$Q$578)</f>
        <v/>
      </c>
      <c r="E46" s="55">
        <f>C46+D46</f>
        <v/>
      </c>
      <c r="F46" s="56">
        <f>IF(ROUND(C46,2)+ROUND(D46,2)=0,"","yes")</f>
        <v/>
      </c>
      <c r="G46" s="57" t="n"/>
      <c r="H46" s="55">
        <f>IF($G46="","",$E46-$G46)</f>
        <v/>
      </c>
    </row>
    <row r="47">
      <c r="A47" s="54" t="inlineStr">
        <is>
          <t>25051302</t>
        </is>
      </c>
      <c r="B47" s="54" t="inlineStr">
        <is>
          <t>NSW Prop Bradfield Desk Booking + Penrith Additional</t>
        </is>
      </c>
      <c r="C47" s="55">
        <f>SUMIFS(tbl_WIP[Amount],tbl_WIP[Job Number],$A47,tbl_WIP[Month],"&lt;&gt;",tbl_WIP[Month],"&lt;"&amp;$C$4)+SUMIF('Deferred Revenue'!$E$6:$E$578,$A47,'Deferred Revenue'!$P$6:$P$578)</f>
        <v/>
      </c>
      <c r="D47" s="55">
        <f>SUMIFS(tbl_WIP[Amount],tbl_WIP[Job Number],$A47,tbl_WIP[Month],$C$4)+SUMIF('Deferred Revenue'!$E$6:$E$578,$A47,'Deferred Revenue'!$Q$6:$Q$578)</f>
        <v/>
      </c>
      <c r="E47" s="55">
        <f>C47+D47</f>
        <v/>
      </c>
      <c r="F47" s="56">
        <f>IF(ROUND(C47,2)+ROUND(D47,2)=0,"","yes")</f>
        <v/>
      </c>
      <c r="G47" s="57" t="n"/>
      <c r="H47" s="55">
        <f>IF($G47="","",$E47-$G47)</f>
        <v/>
      </c>
    </row>
    <row r="48">
      <c r="A48" s="54" t="inlineStr">
        <is>
          <t>25051403</t>
        </is>
      </c>
      <c r="B48" s="54" t="inlineStr">
        <is>
          <t>DTTL SYD Tech Supp TMT AP</t>
        </is>
      </c>
      <c r="C48" s="55">
        <f>SUMIFS(tbl_WIP[Amount],tbl_WIP[Job Number],$A48,tbl_WIP[Month],"&lt;&gt;",tbl_WIP[Month],"&lt;"&amp;$C$4)+SUMIF('Deferred Revenue'!$E$6:$E$578,$A48,'Deferred Revenue'!$P$6:$P$578)</f>
        <v/>
      </c>
      <c r="D48" s="55">
        <f>SUMIFS(tbl_WIP[Amount],tbl_WIP[Job Number],$A48,tbl_WIP[Month],$C$4)+SUMIF('Deferred Revenue'!$E$6:$E$578,$A48,'Deferred Revenue'!$Q$6:$Q$578)</f>
        <v/>
      </c>
      <c r="E48" s="55">
        <f>C48+D48</f>
        <v/>
      </c>
      <c r="F48" s="56">
        <f>IF(ROUND(C48,2)+ROUND(D48,2)=0,"","yes")</f>
        <v/>
      </c>
      <c r="G48" s="57" t="n"/>
      <c r="H48" s="55">
        <f>IF($G48="","",$E48-$G48)</f>
        <v/>
      </c>
    </row>
    <row r="49">
      <c r="A49" s="54" t="inlineStr">
        <is>
          <t>25052802</t>
        </is>
      </c>
      <c r="B49" s="54" t="inlineStr">
        <is>
          <t>Aus Retirement Trust Members Meeting 2025</t>
        </is>
      </c>
      <c r="C49" s="55">
        <f>SUMIFS(tbl_WIP[Amount],tbl_WIP[Job Number],$A49,tbl_WIP[Month],"&lt;&gt;",tbl_WIP[Month],"&lt;"&amp;$C$4)+SUMIF('Deferred Revenue'!$E$6:$E$578,$A49,'Deferred Revenue'!$P$6:$P$578)</f>
        <v/>
      </c>
      <c r="D49" s="55">
        <f>SUMIFS(tbl_WIP[Amount],tbl_WIP[Job Number],$A49,tbl_WIP[Month],$C$4)+SUMIF('Deferred Revenue'!$E$6:$E$578,$A49,'Deferred Revenue'!$Q$6:$Q$578)</f>
        <v/>
      </c>
      <c r="E49" s="55">
        <f>C49+D49</f>
        <v/>
      </c>
      <c r="F49" s="56">
        <f>IF(ROUND(C49,2)+ROUND(D49,2)=0,"","yes")</f>
        <v/>
      </c>
      <c r="G49" s="57" t="n"/>
      <c r="H49" s="55">
        <f>IF($G49="","",$E49-$G49)</f>
        <v/>
      </c>
    </row>
    <row r="50">
      <c r="A50" s="54" t="inlineStr">
        <is>
          <t>2505901</t>
        </is>
      </c>
      <c r="B50" s="54" t="inlineStr">
        <is>
          <t>COS Projector Lens Supply</t>
        </is>
      </c>
      <c r="C50" s="55">
        <f>SUMIFS(tbl_WIP[Amount],tbl_WIP[Job Number],$A50,tbl_WIP[Month],"&lt;&gt;",tbl_WIP[Month],"&lt;"&amp;$C$4)+SUMIF('Deferred Revenue'!$E$6:$E$578,$A50,'Deferred Revenue'!$P$6:$P$578)</f>
        <v/>
      </c>
      <c r="D50" s="55">
        <f>SUMIFS(tbl_WIP[Amount],tbl_WIP[Job Number],$A50,tbl_WIP[Month],$C$4)+SUMIF('Deferred Revenue'!$E$6:$E$578,$A50,'Deferred Revenue'!$Q$6:$Q$578)</f>
        <v/>
      </c>
      <c r="E50" s="55">
        <f>C50+D50</f>
        <v/>
      </c>
      <c r="F50" s="56">
        <f>IF(ROUND(C50,2)+ROUND(D50,2)=0,"","yes")</f>
        <v/>
      </c>
      <c r="G50" s="57" t="n"/>
      <c r="H50" s="55">
        <f>IF($G50="","",$E50-$G50)</f>
        <v/>
      </c>
    </row>
    <row r="51">
      <c r="A51" s="54" t="inlineStr">
        <is>
          <t>2506</t>
        </is>
      </c>
      <c r="B51" s="54" t="inlineStr">
        <is>
          <t>ONS BWEST (non-chargeable)</t>
        </is>
      </c>
      <c r="C51" s="55">
        <f>SUMIFS(tbl_WIP[Amount],tbl_WIP[Job Number],$A51,tbl_WIP[Month],"&lt;&gt;",tbl_WIP[Month],"&lt;"&amp;$C$4)+SUMIF('Deferred Revenue'!$E$6:$E$578,$A51,'Deferred Revenue'!$P$6:$P$578)</f>
        <v/>
      </c>
      <c r="D51" s="55">
        <f>SUMIFS(tbl_WIP[Amount],tbl_WIP[Job Number],$A51,tbl_WIP[Month],$C$4)+SUMIF('Deferred Revenue'!$E$6:$E$578,$A51,'Deferred Revenue'!$Q$6:$Q$578)</f>
        <v/>
      </c>
      <c r="E51" s="55">
        <f>C51+D51</f>
        <v/>
      </c>
      <c r="F51" s="56">
        <f>IF(ROUND(C51,2)+ROUND(D51,2)=0,"","yes")</f>
        <v/>
      </c>
      <c r="G51" s="57" t="n"/>
      <c r="H51" s="55">
        <f>IF($G51="","",$E51-$G51)</f>
        <v/>
      </c>
    </row>
    <row r="52">
      <c r="A52" s="54" t="inlineStr">
        <is>
          <t>25060301</t>
        </is>
      </c>
      <c r="B52" s="54" t="inlineStr">
        <is>
          <t>6PSQ L12 Desk Booking</t>
        </is>
      </c>
      <c r="C52" s="55">
        <f>SUMIFS(tbl_WIP[Amount],tbl_WIP[Job Number],$A52,tbl_WIP[Month],"&lt;&gt;",tbl_WIP[Month],"&lt;"&amp;$C$4)+SUMIF('Deferred Revenue'!$E$6:$E$578,$A52,'Deferred Revenue'!$P$6:$P$578)</f>
        <v/>
      </c>
      <c r="D52" s="55">
        <f>SUMIFS(tbl_WIP[Amount],tbl_WIP[Job Number],$A52,tbl_WIP[Month],$C$4)+SUMIF('Deferred Revenue'!$E$6:$E$578,$A52,'Deferred Revenue'!$Q$6:$Q$578)</f>
        <v/>
      </c>
      <c r="E52" s="55">
        <f>C52+D52</f>
        <v/>
      </c>
      <c r="F52" s="56">
        <f>IF(ROUND(C52,2)+ROUND(D52,2)=0,"","yes")</f>
        <v/>
      </c>
      <c r="G52" s="57" t="n"/>
      <c r="H52" s="55">
        <f>IF($G52="","",$E52-$G52)</f>
        <v/>
      </c>
    </row>
    <row r="53">
      <c r="A53" s="54" t="inlineStr">
        <is>
          <t>25060307</t>
        </is>
      </c>
      <c r="B53" s="54" t="inlineStr">
        <is>
          <t>DPIE Molesworth St D/B</t>
        </is>
      </c>
      <c r="C53" s="55">
        <f>SUMIFS(tbl_WIP[Amount],tbl_WIP[Job Number],$A53,tbl_WIP[Month],"&lt;&gt;",tbl_WIP[Month],"&lt;"&amp;$C$4)+SUMIF('Deferred Revenue'!$E$6:$E$578,$A53,'Deferred Revenue'!$P$6:$P$578)</f>
        <v/>
      </c>
      <c r="D53" s="55">
        <f>SUMIFS(tbl_WIP[Amount],tbl_WIP[Job Number],$A53,tbl_WIP[Month],$C$4)+SUMIF('Deferred Revenue'!$E$6:$E$578,$A53,'Deferred Revenue'!$Q$6:$Q$578)</f>
        <v/>
      </c>
      <c r="E53" s="55">
        <f>C53+D53</f>
        <v/>
      </c>
      <c r="F53" s="56">
        <f>IF(ROUND(C53,2)+ROUND(D53,2)=0,"","yes")</f>
        <v/>
      </c>
      <c r="G53" s="57" t="n"/>
      <c r="H53" s="55">
        <f>IF($G53="","",$E53-$G53)</f>
        <v/>
      </c>
    </row>
    <row r="54">
      <c r="A54" s="54" t="inlineStr">
        <is>
          <t>2506208</t>
        </is>
      </c>
      <c r="B54" s="54" t="inlineStr">
        <is>
          <t>CBA AGM 2026</t>
        </is>
      </c>
      <c r="C54" s="55">
        <f>SUMIFS(tbl_WIP[Amount],tbl_WIP[Job Number],$A54,tbl_WIP[Month],"&lt;&gt;",tbl_WIP[Month],"&lt;"&amp;$C$4)+SUMIF('Deferred Revenue'!$E$6:$E$578,$A54,'Deferred Revenue'!$P$6:$P$578)</f>
        <v/>
      </c>
      <c r="D54" s="55">
        <f>SUMIFS(tbl_WIP[Amount],tbl_WIP[Job Number],$A54,tbl_WIP[Month],$C$4)+SUMIF('Deferred Revenue'!$E$6:$E$578,$A54,'Deferred Revenue'!$Q$6:$Q$578)</f>
        <v/>
      </c>
      <c r="E54" s="55">
        <f>C54+D54</f>
        <v/>
      </c>
      <c r="F54" s="56">
        <f>IF(ROUND(C54,2)+ROUND(D54,2)=0,"","yes")</f>
        <v/>
      </c>
      <c r="G54" s="57" t="n"/>
      <c r="H54" s="55">
        <f>IF($G54="","",$E54-$G54)</f>
        <v/>
      </c>
    </row>
    <row r="55">
      <c r="A55" s="54" t="inlineStr">
        <is>
          <t>2506208V</t>
        </is>
      </c>
      <c r="B55" s="54" t="inlineStr">
        <is>
          <t>CBA AGM 2026</t>
        </is>
      </c>
      <c r="C55" s="55">
        <f>SUMIFS(tbl_WIP[Amount],tbl_WIP[Job Number],$A55,tbl_WIP[Month],"&lt;&gt;",tbl_WIP[Month],"&lt;"&amp;$C$4)+SUMIF('Deferred Revenue'!$E$6:$E$578,$A55,'Deferred Revenue'!$P$6:$P$578)</f>
        <v/>
      </c>
      <c r="D55" s="55">
        <f>SUMIFS(tbl_WIP[Amount],tbl_WIP[Job Number],$A55,tbl_WIP[Month],$C$4)+SUMIF('Deferred Revenue'!$E$6:$E$578,$A55,'Deferred Revenue'!$Q$6:$Q$578)</f>
        <v/>
      </c>
      <c r="E55" s="55">
        <f>C55+D55</f>
        <v/>
      </c>
      <c r="F55" s="56">
        <f>IF(ROUND(C55,2)+ROUND(D55,2)=0,"","yes")</f>
        <v/>
      </c>
      <c r="G55" s="57" t="n"/>
      <c r="H55" s="55">
        <f>IF($G55="","",$E55-$G55)</f>
        <v/>
      </c>
    </row>
    <row r="56">
      <c r="A56" s="54" t="inlineStr">
        <is>
          <t>25063001V</t>
        </is>
      </c>
      <c r="B56" s="54" t="inlineStr">
        <is>
          <t>APA All Hands Staff</t>
        </is>
      </c>
      <c r="C56" s="55">
        <f>SUMIFS(tbl_WIP[Amount],tbl_WIP[Job Number],$A56,tbl_WIP[Month],"&lt;&gt;",tbl_WIP[Month],"&lt;"&amp;$C$4)+SUMIF('Deferred Revenue'!$E$6:$E$578,$A56,'Deferred Revenue'!$P$6:$P$578)</f>
        <v/>
      </c>
      <c r="D56" s="55">
        <f>SUMIFS(tbl_WIP[Amount],tbl_WIP[Job Number],$A56,tbl_WIP[Month],$C$4)+SUMIF('Deferred Revenue'!$E$6:$E$578,$A56,'Deferred Revenue'!$Q$6:$Q$578)</f>
        <v/>
      </c>
      <c r="E56" s="55">
        <f>C56+D56</f>
        <v/>
      </c>
      <c r="F56" s="56">
        <f>IF(ROUND(C56,2)+ROUND(D56,2)=0,"","yes")</f>
        <v/>
      </c>
      <c r="G56" s="57" t="n"/>
      <c r="H56" s="55">
        <f>IF($G56="","",$E56-$G56)</f>
        <v/>
      </c>
    </row>
    <row r="57">
      <c r="A57" s="54" t="inlineStr">
        <is>
          <t>25070702</t>
        </is>
      </c>
      <c r="B57" s="54" t="inlineStr">
        <is>
          <t>APA VMS Brisbane &amp; Darwin</t>
        </is>
      </c>
      <c r="C57" s="55">
        <f>SUMIFS(tbl_WIP[Amount],tbl_WIP[Job Number],$A57,tbl_WIP[Month],"&lt;&gt;",tbl_WIP[Month],"&lt;"&amp;$C$4)+SUMIF('Deferred Revenue'!$E$6:$E$578,$A57,'Deferred Revenue'!$P$6:$P$578)</f>
        <v/>
      </c>
      <c r="D57" s="55">
        <f>SUMIFS(tbl_WIP[Amount],tbl_WIP[Job Number],$A57,tbl_WIP[Month],$C$4)+SUMIF('Deferred Revenue'!$E$6:$E$578,$A57,'Deferred Revenue'!$Q$6:$Q$578)</f>
        <v/>
      </c>
      <c r="E57" s="55">
        <f>C57+D57</f>
        <v/>
      </c>
      <c r="F57" s="56">
        <f>IF(ROUND(C57,2)+ROUND(D57,2)=0,"","yes")</f>
        <v/>
      </c>
      <c r="G57" s="57" t="n"/>
      <c r="H57" s="55">
        <f>IF($G57="","",$E57-$G57)</f>
        <v/>
      </c>
    </row>
    <row r="58">
      <c r="A58" s="54" t="inlineStr">
        <is>
          <t>2507203</t>
        </is>
      </c>
      <c r="B58" s="54" t="inlineStr">
        <is>
          <t>Hills Grammar Airmedia Supply</t>
        </is>
      </c>
      <c r="C58" s="55">
        <f>SUMIFS(tbl_WIP[Amount],tbl_WIP[Job Number],$A58,tbl_WIP[Month],"&lt;&gt;",tbl_WIP[Month],"&lt;"&amp;$C$4)+SUMIF('Deferred Revenue'!$E$6:$E$578,$A58,'Deferred Revenue'!$P$6:$P$578)</f>
        <v/>
      </c>
      <c r="D58" s="55">
        <f>SUMIFS(tbl_WIP[Amount],tbl_WIP[Job Number],$A58,tbl_WIP[Month],$C$4)+SUMIF('Deferred Revenue'!$E$6:$E$578,$A58,'Deferred Revenue'!$Q$6:$Q$578)</f>
        <v/>
      </c>
      <c r="E58" s="55">
        <f>C58+D58</f>
        <v/>
      </c>
      <c r="F58" s="56">
        <f>IF(ROUND(C58,2)+ROUND(D58,2)=0,"","yes")</f>
        <v/>
      </c>
      <c r="G58" s="57" t="n"/>
      <c r="H58" s="55">
        <f>IF($G58="","",$E58-$G58)</f>
        <v/>
      </c>
    </row>
    <row r="59">
      <c r="A59" s="54" t="inlineStr">
        <is>
          <t>25081402</t>
        </is>
      </c>
      <c r="B59" s="54" t="inlineStr">
        <is>
          <t>Hills Grammar Loan Airmedia Purchase</t>
        </is>
      </c>
      <c r="C59" s="55">
        <f>SUMIFS(tbl_WIP[Amount],tbl_WIP[Job Number],$A59,tbl_WIP[Month],"&lt;&gt;",tbl_WIP[Month],"&lt;"&amp;$C$4)+SUMIF('Deferred Revenue'!$E$6:$E$578,$A59,'Deferred Revenue'!$P$6:$P$578)</f>
        <v/>
      </c>
      <c r="D59" s="55">
        <f>SUMIFS(tbl_WIP[Amount],tbl_WIP[Job Number],$A59,tbl_WIP[Month],$C$4)+SUMIF('Deferred Revenue'!$E$6:$E$578,$A59,'Deferred Revenue'!$Q$6:$Q$578)</f>
        <v/>
      </c>
      <c r="E59" s="55">
        <f>C59+D59</f>
        <v/>
      </c>
      <c r="F59" s="56">
        <f>IF(ROUND(C59,2)+ROUND(D59,2)=0,"","yes")</f>
        <v/>
      </c>
      <c r="G59" s="57" t="n"/>
      <c r="H59" s="55">
        <f>IF($G59="","",$E59-$G59)</f>
        <v/>
      </c>
    </row>
    <row r="60">
      <c r="A60" s="54" t="inlineStr">
        <is>
          <t>25082501</t>
        </is>
      </c>
      <c r="B60" s="54" t="inlineStr">
        <is>
          <t>APA Sydney Tablet Brackets</t>
        </is>
      </c>
      <c r="C60" s="55">
        <f>SUMIFS(tbl_WIP[Amount],tbl_WIP[Job Number],$A60,tbl_WIP[Month],"&lt;&gt;",tbl_WIP[Month],"&lt;"&amp;$C$4)+SUMIF('Deferred Revenue'!$E$6:$E$578,$A60,'Deferred Revenue'!$P$6:$P$578)</f>
        <v/>
      </c>
      <c r="D60" s="55">
        <f>SUMIFS(tbl_WIP[Amount],tbl_WIP[Job Number],$A60,tbl_WIP[Month],$C$4)+SUMIF('Deferred Revenue'!$E$6:$E$578,$A60,'Deferred Revenue'!$Q$6:$Q$578)</f>
        <v/>
      </c>
      <c r="E60" s="55">
        <f>C60+D60</f>
        <v/>
      </c>
      <c r="F60" s="56">
        <f>IF(ROUND(C60,2)+ROUND(D60,2)=0,"","yes")</f>
        <v/>
      </c>
      <c r="G60" s="57" t="n"/>
      <c r="H60" s="55">
        <f>IF($G60="","",$E60-$G60)</f>
        <v/>
      </c>
    </row>
    <row r="61">
      <c r="A61" s="54" t="inlineStr">
        <is>
          <t>25091703</t>
        </is>
      </c>
      <c r="B61" s="54" t="inlineStr">
        <is>
          <t>Scentre Group Marion Superscreen (D10396) Test and Cert</t>
        </is>
      </c>
      <c r="C61" s="55">
        <f>SUMIFS(tbl_WIP[Amount],tbl_WIP[Job Number],$A61,tbl_WIP[Month],"&lt;&gt;",tbl_WIP[Month],"&lt;"&amp;$C$4)+SUMIF('Deferred Revenue'!$E$6:$E$578,$A61,'Deferred Revenue'!$P$6:$P$578)</f>
        <v/>
      </c>
      <c r="D61" s="55">
        <f>SUMIFS(tbl_WIP[Amount],tbl_WIP[Job Number],$A61,tbl_WIP[Month],$C$4)+SUMIF('Deferred Revenue'!$E$6:$E$578,$A61,'Deferred Revenue'!$Q$6:$Q$578)</f>
        <v/>
      </c>
      <c r="E61" s="55">
        <f>C61+D61</f>
        <v/>
      </c>
      <c r="F61" s="56">
        <f>IF(ROUND(C61,2)+ROUND(D61,2)=0,"","yes")</f>
        <v/>
      </c>
      <c r="G61" s="57" t="n"/>
      <c r="H61" s="55">
        <f>IF($G61="","",$E61-$G61)</f>
        <v/>
      </c>
    </row>
    <row r="62">
      <c r="A62" s="54" t="inlineStr">
        <is>
          <t>25101301</t>
        </is>
      </c>
      <c r="B62" s="54" t="inlineStr">
        <is>
          <t>PWC IT Support – Melbourne</t>
        </is>
      </c>
      <c r="C62" s="55">
        <f>SUMIFS(tbl_WIP[Amount],tbl_WIP[Job Number],$A62,tbl_WIP[Month],"&lt;&gt;",tbl_WIP[Month],"&lt;"&amp;$C$4)+SUMIF('Deferred Revenue'!$E$6:$E$578,$A62,'Deferred Revenue'!$P$6:$P$578)</f>
        <v/>
      </c>
      <c r="D62" s="55">
        <f>SUMIFS(tbl_WIP[Amount],tbl_WIP[Job Number],$A62,tbl_WIP[Month],$C$4)+SUMIF('Deferred Revenue'!$E$6:$E$578,$A62,'Deferred Revenue'!$Q$6:$Q$578)</f>
        <v/>
      </c>
      <c r="E62" s="55">
        <f>C62+D62</f>
        <v/>
      </c>
      <c r="F62" s="56">
        <f>IF(ROUND(C62,2)+ROUND(D62,2)=0,"","yes")</f>
        <v/>
      </c>
      <c r="G62" s="57" t="n"/>
      <c r="H62" s="55">
        <f>IF($G62="","",$E62-$G62)</f>
        <v/>
      </c>
    </row>
    <row r="63">
      <c r="A63" s="54" t="inlineStr">
        <is>
          <t>25101301B</t>
        </is>
      </c>
      <c r="B63" s="54" t="inlineStr">
        <is>
          <t>PWC IT Support – Sydney</t>
        </is>
      </c>
      <c r="C63" s="55">
        <f>SUMIFS(tbl_WIP[Amount],tbl_WIP[Job Number],$A63,tbl_WIP[Month],"&lt;&gt;",tbl_WIP[Month],"&lt;"&amp;$C$4)+SUMIF('Deferred Revenue'!$E$6:$E$578,$A63,'Deferred Revenue'!$P$6:$P$578)</f>
        <v/>
      </c>
      <c r="D63" s="55">
        <f>SUMIFS(tbl_WIP[Amount],tbl_WIP[Job Number],$A63,tbl_WIP[Month],$C$4)+SUMIF('Deferred Revenue'!$E$6:$E$578,$A63,'Deferred Revenue'!$Q$6:$Q$578)</f>
        <v/>
      </c>
      <c r="E63" s="55">
        <f>C63+D63</f>
        <v/>
      </c>
      <c r="F63" s="56">
        <f>IF(ROUND(C63,2)+ROUND(D63,2)=0,"","yes")</f>
        <v/>
      </c>
      <c r="G63" s="57" t="n"/>
      <c r="H63" s="55">
        <f>IF($G63="","",$E63-$G63)</f>
        <v/>
      </c>
    </row>
    <row r="64">
      <c r="A64" s="54" t="inlineStr">
        <is>
          <t>2510202</t>
        </is>
      </c>
      <c r="B64" s="54" t="inlineStr">
        <is>
          <t>HP Poly Room Assessment</t>
        </is>
      </c>
      <c r="C64" s="55">
        <f>SUMIFS(tbl_WIP[Amount],tbl_WIP[Job Number],$A64,tbl_WIP[Month],"&lt;&gt;",tbl_WIP[Month],"&lt;"&amp;$C$4)+SUMIF('Deferred Revenue'!$E$6:$E$578,$A64,'Deferred Revenue'!$P$6:$P$578)</f>
        <v/>
      </c>
      <c r="D64" s="55">
        <f>SUMIFS(tbl_WIP[Amount],tbl_WIP[Job Number],$A64,tbl_WIP[Month],$C$4)+SUMIF('Deferred Revenue'!$E$6:$E$578,$A64,'Deferred Revenue'!$Q$6:$Q$578)</f>
        <v/>
      </c>
      <c r="E64" s="55">
        <f>C64+D64</f>
        <v/>
      </c>
      <c r="F64" s="56">
        <f>IF(ROUND(C64,2)+ROUND(D64,2)=0,"","yes")</f>
        <v/>
      </c>
      <c r="G64" s="57" t="n"/>
      <c r="H64" s="55">
        <f>IF($G64="","",$E64-$G64)</f>
        <v/>
      </c>
    </row>
    <row r="65">
      <c r="A65" s="54" t="inlineStr">
        <is>
          <t>2510205</t>
        </is>
      </c>
      <c r="B65" s="54" t="inlineStr">
        <is>
          <t>NSW Property RGB Desk Booking</t>
        </is>
      </c>
      <c r="C65" s="55">
        <f>SUMIFS(tbl_WIP[Amount],tbl_WIP[Job Number],$A65,tbl_WIP[Month],"&lt;&gt;",tbl_WIP[Month],"&lt;"&amp;$C$4)+SUMIF('Deferred Revenue'!$E$6:$E$578,$A65,'Deferred Revenue'!$P$6:$P$578)</f>
        <v/>
      </c>
      <c r="D65" s="55">
        <f>SUMIFS(tbl_WIP[Amount],tbl_WIP[Job Number],$A65,tbl_WIP[Month],$C$4)+SUMIF('Deferred Revenue'!$E$6:$E$578,$A65,'Deferred Revenue'!$Q$6:$Q$578)</f>
        <v/>
      </c>
      <c r="E65" s="55">
        <f>C65+D65</f>
        <v/>
      </c>
      <c r="F65" s="56">
        <f>IF(ROUND(C65,2)+ROUND(D65,2)=0,"","yes")</f>
        <v/>
      </c>
      <c r="G65" s="57" t="n"/>
      <c r="H65" s="55">
        <f>IF($G65="","",$E65-$G65)</f>
        <v/>
      </c>
    </row>
    <row r="66">
      <c r="A66" s="54" t="inlineStr">
        <is>
          <t>2510210</t>
        </is>
      </c>
      <c r="B66" s="54" t="inlineStr">
        <is>
          <t>Scentre Group Westfield Bondi Screen Tests</t>
        </is>
      </c>
      <c r="C66" s="55">
        <f>SUMIFS(tbl_WIP[Amount],tbl_WIP[Job Number],$A66,tbl_WIP[Month],"&lt;&gt;",tbl_WIP[Month],"&lt;"&amp;$C$4)+SUMIF('Deferred Revenue'!$E$6:$E$578,$A66,'Deferred Revenue'!$P$6:$P$578)</f>
        <v/>
      </c>
      <c r="D66" s="55">
        <f>SUMIFS(tbl_WIP[Amount],tbl_WIP[Job Number],$A66,tbl_WIP[Month],$C$4)+SUMIF('Deferred Revenue'!$E$6:$E$578,$A66,'Deferred Revenue'!$Q$6:$Q$578)</f>
        <v/>
      </c>
      <c r="E66" s="55">
        <f>C66+D66</f>
        <v/>
      </c>
      <c r="F66" s="56">
        <f>IF(ROUND(C66,2)+ROUND(D66,2)=0,"","yes")</f>
        <v/>
      </c>
      <c r="G66" s="57" t="n"/>
      <c r="H66" s="55">
        <f>IF($G66="","",$E66-$G66)</f>
        <v/>
      </c>
    </row>
    <row r="67">
      <c r="A67" s="54" t="inlineStr">
        <is>
          <t>25102701</t>
        </is>
      </c>
      <c r="B67" s="54" t="inlineStr">
        <is>
          <t>DEWR - Studio Upgrade - Consulting, Design</t>
        </is>
      </c>
      <c r="C67" s="55">
        <f>SUMIFS(tbl_WIP[Amount],tbl_WIP[Job Number],$A67,tbl_WIP[Month],"&lt;&gt;",tbl_WIP[Month],"&lt;"&amp;$C$4)+SUMIF('Deferred Revenue'!$E$6:$E$578,$A67,'Deferred Revenue'!$P$6:$P$578)</f>
        <v/>
      </c>
      <c r="D67" s="55">
        <f>SUMIFS(tbl_WIP[Amount],tbl_WIP[Job Number],$A67,tbl_WIP[Month],$C$4)+SUMIF('Deferred Revenue'!$E$6:$E$578,$A67,'Deferred Revenue'!$Q$6:$Q$578)</f>
        <v/>
      </c>
      <c r="E67" s="55">
        <f>C67+D67</f>
        <v/>
      </c>
      <c r="F67" s="56">
        <f>IF(ROUND(C67,2)+ROUND(D67,2)=0,"","yes")</f>
        <v/>
      </c>
      <c r="G67" s="57" t="n"/>
      <c r="H67" s="55">
        <f>IF($G67="","",$E67-$G67)</f>
        <v/>
      </c>
    </row>
    <row r="68">
      <c r="A68" s="54" t="inlineStr">
        <is>
          <t>25102801</t>
        </is>
      </c>
      <c r="B68" s="54" t="inlineStr">
        <is>
          <t>DTTL SYD QQT Additional Mics Install in L45 Seminar Space</t>
        </is>
      </c>
      <c r="C68" s="55">
        <f>SUMIFS(tbl_WIP[Amount],tbl_WIP[Job Number],$A68,tbl_WIP[Month],"&lt;&gt;",tbl_WIP[Month],"&lt;"&amp;$C$4)+SUMIF('Deferred Revenue'!$E$6:$E$578,$A68,'Deferred Revenue'!$P$6:$P$578)</f>
        <v/>
      </c>
      <c r="D68" s="55">
        <f>SUMIFS(tbl_WIP[Amount],tbl_WIP[Job Number],$A68,tbl_WIP[Month],$C$4)+SUMIF('Deferred Revenue'!$E$6:$E$578,$A68,'Deferred Revenue'!$Q$6:$Q$578)</f>
        <v/>
      </c>
      <c r="E68" s="55">
        <f>C68+D68</f>
        <v/>
      </c>
      <c r="F68" s="56">
        <f>IF(ROUND(C68,2)+ROUND(D68,2)=0,"","yes")</f>
        <v/>
      </c>
      <c r="G68" s="57" t="n"/>
      <c r="H68" s="55">
        <f>IF($G68="","",$E68-$G68)</f>
        <v/>
      </c>
    </row>
    <row r="69">
      <c r="A69" s="54" t="inlineStr">
        <is>
          <t>25102802</t>
        </is>
      </c>
      <c r="B69" s="54" t="inlineStr">
        <is>
          <t>Novigi Meeting Space Inspection</t>
        </is>
      </c>
      <c r="C69" s="55">
        <f>SUMIFS(tbl_WIP[Amount],tbl_WIP[Job Number],$A69,tbl_WIP[Month],"&lt;&gt;",tbl_WIP[Month],"&lt;"&amp;$C$4)+SUMIF('Deferred Revenue'!$E$6:$E$578,$A69,'Deferred Revenue'!$P$6:$P$578)</f>
        <v/>
      </c>
      <c r="D69" s="55">
        <f>SUMIFS(tbl_WIP[Amount],tbl_WIP[Job Number],$A69,tbl_WIP[Month],$C$4)+SUMIF('Deferred Revenue'!$E$6:$E$578,$A69,'Deferred Revenue'!$Q$6:$Q$578)</f>
        <v/>
      </c>
      <c r="E69" s="55">
        <f>C69+D69</f>
        <v/>
      </c>
      <c r="F69" s="56">
        <f>IF(ROUND(C69,2)+ROUND(D69,2)=0,"","yes")</f>
        <v/>
      </c>
      <c r="G69" s="57" t="n"/>
      <c r="H69" s="55">
        <f>IF($G69="","",$E69-$G69)</f>
        <v/>
      </c>
    </row>
    <row r="70">
      <c r="A70" s="54" t="inlineStr">
        <is>
          <t>2510804</t>
        </is>
      </c>
      <c r="B70" s="54" t="inlineStr">
        <is>
          <t>CommSecurity Presynct QLD Desk Booking</t>
        </is>
      </c>
      <c r="C70" s="55">
        <f>SUMIFS(tbl_WIP[Amount],tbl_WIP[Job Number],$A70,tbl_WIP[Month],"&lt;&gt;",tbl_WIP[Month],"&lt;"&amp;$C$4)+SUMIF('Deferred Revenue'!$E$6:$E$578,$A70,'Deferred Revenue'!$P$6:$P$578)</f>
        <v/>
      </c>
      <c r="D70" s="55">
        <f>SUMIFS(tbl_WIP[Amount],tbl_WIP[Job Number],$A70,tbl_WIP[Month],$C$4)+SUMIF('Deferred Revenue'!$E$6:$E$578,$A70,'Deferred Revenue'!$Q$6:$Q$578)</f>
        <v/>
      </c>
      <c r="E70" s="55">
        <f>C70+D70</f>
        <v/>
      </c>
      <c r="F70" s="56">
        <f>IF(ROUND(C70,2)+ROUND(D70,2)=0,"","yes")</f>
        <v/>
      </c>
      <c r="G70" s="57" t="n"/>
      <c r="H70" s="55">
        <f>IF($G70="","",$E70-$G70)</f>
        <v/>
      </c>
    </row>
    <row r="71">
      <c r="A71" s="54" t="inlineStr">
        <is>
          <t>2510805</t>
        </is>
      </c>
      <c r="B71" s="54" t="inlineStr">
        <is>
          <t>PNSW Reconstruction Authority Newcastle</t>
        </is>
      </c>
      <c r="C71" s="55">
        <f>SUMIFS(tbl_WIP[Amount],tbl_WIP[Job Number],$A71,tbl_WIP[Month],"&lt;&gt;",tbl_WIP[Month],"&lt;"&amp;$C$4)+SUMIF('Deferred Revenue'!$E$6:$E$578,$A71,'Deferred Revenue'!$P$6:$P$578)</f>
        <v/>
      </c>
      <c r="D71" s="55">
        <f>SUMIFS(tbl_WIP[Amount],tbl_WIP[Job Number],$A71,tbl_WIP[Month],$C$4)+SUMIF('Deferred Revenue'!$E$6:$E$578,$A71,'Deferred Revenue'!$Q$6:$Q$578)</f>
        <v/>
      </c>
      <c r="E71" s="55">
        <f>C71+D71</f>
        <v/>
      </c>
      <c r="F71" s="56">
        <f>IF(ROUND(C71,2)+ROUND(D71,2)=0,"","yes")</f>
        <v/>
      </c>
      <c r="G71" s="57" t="n"/>
      <c r="H71" s="55">
        <f>IF($G71="","",$E71-$G71)</f>
        <v/>
      </c>
    </row>
    <row r="72">
      <c r="A72" s="54" t="inlineStr">
        <is>
          <t>25111203</t>
        </is>
      </c>
      <c r="B72" s="54" t="inlineStr">
        <is>
          <t>CoS | Barco E3 Sale</t>
        </is>
      </c>
      <c r="C72" s="55">
        <f>SUMIFS(tbl_WIP[Amount],tbl_WIP[Job Number],$A72,tbl_WIP[Month],"&lt;&gt;",tbl_WIP[Month],"&lt;"&amp;$C$4)+SUMIF('Deferred Revenue'!$E$6:$E$578,$A72,'Deferred Revenue'!$P$6:$P$578)</f>
        <v/>
      </c>
      <c r="D72" s="55">
        <f>SUMIFS(tbl_WIP[Amount],tbl_WIP[Job Number],$A72,tbl_WIP[Month],$C$4)+SUMIF('Deferred Revenue'!$E$6:$E$578,$A72,'Deferred Revenue'!$Q$6:$Q$578)</f>
        <v/>
      </c>
      <c r="E72" s="55">
        <f>C72+D72</f>
        <v/>
      </c>
      <c r="F72" s="56">
        <f>IF(ROUND(C72,2)+ROUND(D72,2)=0,"","yes")</f>
        <v/>
      </c>
      <c r="G72" s="57" t="n"/>
      <c r="H72" s="55">
        <f>IF($G72="","",$E72-$G72)</f>
        <v/>
      </c>
    </row>
    <row r="73">
      <c r="A73" s="54" t="inlineStr">
        <is>
          <t>25112801</t>
        </is>
      </c>
      <c r="B73" s="54" t="inlineStr">
        <is>
          <t>APA MEL - iPad &amp; Bouncepad Sale</t>
        </is>
      </c>
      <c r="C73" s="55">
        <f>SUMIFS(tbl_WIP[Amount],tbl_WIP[Job Number],$A73,tbl_WIP[Month],"&lt;&gt;",tbl_WIP[Month],"&lt;"&amp;$C$4)+SUMIF('Deferred Revenue'!$E$6:$E$578,$A73,'Deferred Revenue'!$P$6:$P$578)</f>
        <v/>
      </c>
      <c r="D73" s="55">
        <f>SUMIFS(tbl_WIP[Amount],tbl_WIP[Job Number],$A73,tbl_WIP[Month],$C$4)+SUMIF('Deferred Revenue'!$E$6:$E$578,$A73,'Deferred Revenue'!$Q$6:$Q$578)</f>
        <v/>
      </c>
      <c r="E73" s="55">
        <f>C73+D73</f>
        <v/>
      </c>
      <c r="F73" s="56">
        <f>IF(ROUND(C73,2)+ROUND(D73,2)=0,"","yes")</f>
        <v/>
      </c>
      <c r="G73" s="57" t="n"/>
      <c r="H73" s="55">
        <f>IF($G73="","",$E73-$G73)</f>
        <v/>
      </c>
    </row>
    <row r="74">
      <c r="A74" s="54" t="inlineStr">
        <is>
          <t>25121001</t>
        </is>
      </c>
      <c r="B74" s="54" t="inlineStr">
        <is>
          <t>HP Poly Mic System Sale and Install at Mission Australia</t>
        </is>
      </c>
      <c r="C74" s="55">
        <f>SUMIFS(tbl_WIP[Amount],tbl_WIP[Job Number],$A74,tbl_WIP[Month],"&lt;&gt;",tbl_WIP[Month],"&lt;"&amp;$C$4)+SUMIF('Deferred Revenue'!$E$6:$E$578,$A74,'Deferred Revenue'!$P$6:$P$578)</f>
        <v/>
      </c>
      <c r="D74" s="55">
        <f>SUMIFS(tbl_WIP[Amount],tbl_WIP[Job Number],$A74,tbl_WIP[Month],$C$4)+SUMIF('Deferred Revenue'!$E$6:$E$578,$A74,'Deferred Revenue'!$Q$6:$Q$578)</f>
        <v/>
      </c>
      <c r="E74" s="55">
        <f>C74+D74</f>
        <v/>
      </c>
      <c r="F74" s="56">
        <f>IF(ROUND(C74,2)+ROUND(D74,2)=0,"","yes")</f>
        <v/>
      </c>
      <c r="G74" s="57" t="n"/>
      <c r="H74" s="55">
        <f>IF($G74="","",$E74-$G74)</f>
        <v/>
      </c>
    </row>
    <row r="75">
      <c r="A75" s="54" t="inlineStr">
        <is>
          <t>25121007</t>
        </is>
      </c>
      <c r="B75" s="54" t="inlineStr">
        <is>
          <t>Novigi SYD/MEL boardroom Mic upgrade + Cable Tidy</t>
        </is>
      </c>
      <c r="C75" s="55">
        <f>SUMIFS(tbl_WIP[Amount],tbl_WIP[Job Number],$A75,tbl_WIP[Month],"&lt;&gt;",tbl_WIP[Month],"&lt;"&amp;$C$4)+SUMIF('Deferred Revenue'!$E$6:$E$578,$A75,'Deferred Revenue'!$P$6:$P$578)</f>
        <v/>
      </c>
      <c r="D75" s="55">
        <f>SUMIFS(tbl_WIP[Amount],tbl_WIP[Job Number],$A75,tbl_WIP[Month],$C$4)+SUMIF('Deferred Revenue'!$E$6:$E$578,$A75,'Deferred Revenue'!$Q$6:$Q$578)</f>
        <v/>
      </c>
      <c r="E75" s="55">
        <f>C75+D75</f>
        <v/>
      </c>
      <c r="F75" s="56">
        <f>IF(ROUND(C75,2)+ROUND(D75,2)=0,"","yes")</f>
        <v/>
      </c>
      <c r="G75" s="57" t="n"/>
      <c r="H75" s="55">
        <f>IF($G75="","",$E75-$G75)</f>
        <v/>
      </c>
    </row>
    <row r="76">
      <c r="A76" s="54" t="inlineStr">
        <is>
          <t>25121208</t>
        </is>
      </c>
      <c r="B76" s="54" t="inlineStr">
        <is>
          <t>APA HYR &amp; FYR Package 2026</t>
        </is>
      </c>
      <c r="C76" s="55">
        <f>SUMIFS(tbl_WIP[Amount],tbl_WIP[Job Number],$A76,tbl_WIP[Month],"&lt;&gt;",tbl_WIP[Month],"&lt;"&amp;$C$4)+SUMIF('Deferred Revenue'!$E$6:$E$578,$A76,'Deferred Revenue'!$P$6:$P$578)</f>
        <v/>
      </c>
      <c r="D76" s="55">
        <f>SUMIFS(tbl_WIP[Amount],tbl_WIP[Job Number],$A76,tbl_WIP[Month],$C$4)+SUMIF('Deferred Revenue'!$E$6:$E$578,$A76,'Deferred Revenue'!$Q$6:$Q$578)</f>
        <v/>
      </c>
      <c r="E76" s="55">
        <f>C76+D76</f>
        <v/>
      </c>
      <c r="F76" s="56">
        <f>IF(ROUND(C76,2)+ROUND(D76,2)=0,"","yes")</f>
        <v/>
      </c>
      <c r="G76" s="57" t="n"/>
      <c r="H76" s="55">
        <f>IF($G76="","",$E76-$G76)</f>
        <v/>
      </c>
    </row>
    <row r="77">
      <c r="A77" s="54" t="inlineStr">
        <is>
          <t>2512503</t>
        </is>
      </c>
      <c r="B77" s="54" t="inlineStr">
        <is>
          <t>Ventia EOY Town Hall 10.12.2025</t>
        </is>
      </c>
      <c r="C77" s="55">
        <f>SUMIFS(tbl_WIP[Amount],tbl_WIP[Job Number],$A77,tbl_WIP[Month],"&lt;&gt;",tbl_WIP[Month],"&lt;"&amp;$C$4)+SUMIF('Deferred Revenue'!$E$6:$E$578,$A77,'Deferred Revenue'!$P$6:$P$578)</f>
        <v/>
      </c>
      <c r="D77" s="55">
        <f>SUMIFS(tbl_WIP[Amount],tbl_WIP[Job Number],$A77,tbl_WIP[Month],$C$4)+SUMIF('Deferred Revenue'!$E$6:$E$578,$A77,'Deferred Revenue'!$Q$6:$Q$578)</f>
        <v/>
      </c>
      <c r="E77" s="55">
        <f>C77+D77</f>
        <v/>
      </c>
      <c r="F77" s="56">
        <f>IF(ROUND(C77,2)+ROUND(D77,2)=0,"","yes")</f>
        <v/>
      </c>
      <c r="G77" s="57" t="n"/>
      <c r="H77" s="55">
        <f>IF($G77="","",$E77-$G77)</f>
        <v/>
      </c>
    </row>
    <row r="78">
      <c r="A78" s="54" t="inlineStr">
        <is>
          <t>2512503V</t>
        </is>
      </c>
      <c r="B78" s="54" t="inlineStr">
        <is>
          <t>Ventia EOY Town Hall 10.12.2025</t>
        </is>
      </c>
      <c r="C78" s="55">
        <f>SUMIFS(tbl_WIP[Amount],tbl_WIP[Job Number],$A78,tbl_WIP[Month],"&lt;&gt;",tbl_WIP[Month],"&lt;"&amp;$C$4)+SUMIF('Deferred Revenue'!$E$6:$E$578,$A78,'Deferred Revenue'!$P$6:$P$578)</f>
        <v/>
      </c>
      <c r="D78" s="55">
        <f>SUMIFS(tbl_WIP[Amount],tbl_WIP[Job Number],$A78,tbl_WIP[Month],$C$4)+SUMIF('Deferred Revenue'!$E$6:$E$578,$A78,'Deferred Revenue'!$Q$6:$Q$578)</f>
        <v/>
      </c>
      <c r="E78" s="55">
        <f>C78+D78</f>
        <v/>
      </c>
      <c r="F78" s="56">
        <f>IF(ROUND(C78,2)+ROUND(D78,2)=0,"","yes")</f>
        <v/>
      </c>
      <c r="G78" s="57" t="n"/>
      <c r="H78" s="55">
        <f>IF($G78="","",$E78-$G78)</f>
        <v/>
      </c>
    </row>
    <row r="79">
      <c r="A79" s="54" t="inlineStr">
        <is>
          <t>2512804</t>
        </is>
      </c>
      <c r="B79" s="54" t="inlineStr">
        <is>
          <t>RSNSW Ordinary General Meeting 5.8.26</t>
        </is>
      </c>
      <c r="C79" s="55">
        <f>SUMIFS(tbl_WIP[Amount],tbl_WIP[Job Number],$A79,tbl_WIP[Month],"&lt;&gt;",tbl_WIP[Month],"&lt;"&amp;$C$4)+SUMIF('Deferred Revenue'!$E$6:$E$578,$A79,'Deferred Revenue'!$P$6:$P$578)</f>
        <v/>
      </c>
      <c r="D79" s="55">
        <f>SUMIFS(tbl_WIP[Amount],tbl_WIP[Job Number],$A79,tbl_WIP[Month],$C$4)+SUMIF('Deferred Revenue'!$E$6:$E$578,$A79,'Deferred Revenue'!$Q$6:$Q$578)</f>
        <v/>
      </c>
      <c r="E79" s="55">
        <f>C79+D79</f>
        <v/>
      </c>
      <c r="F79" s="56">
        <f>IF(ROUND(C79,2)+ROUND(D79,2)=0,"","yes")</f>
        <v/>
      </c>
      <c r="G79" s="57" t="n"/>
      <c r="H79" s="55">
        <f>IF($G79="","",$E79-$G79)</f>
        <v/>
      </c>
    </row>
    <row r="80">
      <c r="A80" s="54" t="inlineStr">
        <is>
          <t>2512804V</t>
        </is>
      </c>
      <c r="B80" s="54" t="inlineStr">
        <is>
          <t>RSNSW Ordinary General Meeting 5.8.26</t>
        </is>
      </c>
      <c r="C80" s="55">
        <f>SUMIFS(tbl_WIP[Amount],tbl_WIP[Job Number],$A80,tbl_WIP[Month],"&lt;&gt;",tbl_WIP[Month],"&lt;"&amp;$C$4)+SUMIF('Deferred Revenue'!$E$6:$E$578,$A80,'Deferred Revenue'!$P$6:$P$578)</f>
        <v/>
      </c>
      <c r="D80" s="55">
        <f>SUMIFS(tbl_WIP[Amount],tbl_WIP[Job Number],$A80,tbl_WIP[Month],$C$4)+SUMIF('Deferred Revenue'!$E$6:$E$578,$A80,'Deferred Revenue'!$Q$6:$Q$578)</f>
        <v/>
      </c>
      <c r="E80" s="55">
        <f>C80+D80</f>
        <v/>
      </c>
      <c r="F80" s="56">
        <f>IF(ROUND(C80,2)+ROUND(D80,2)=0,"","yes")</f>
        <v/>
      </c>
      <c r="G80" s="57" t="n"/>
      <c r="H80" s="55">
        <f>IF($G80="","",$E80-$G80)</f>
        <v/>
      </c>
    </row>
    <row r="81">
      <c r="A81" s="54" t="inlineStr">
        <is>
          <t>2512805</t>
        </is>
      </c>
      <c r="B81" s="54" t="inlineStr">
        <is>
          <t>RSNSW Ordinary General Meeting 7.10.2026</t>
        </is>
      </c>
      <c r="C81" s="55">
        <f>SUMIFS(tbl_WIP[Amount],tbl_WIP[Job Number],$A81,tbl_WIP[Month],"&lt;&gt;",tbl_WIP[Month],"&lt;"&amp;$C$4)+SUMIF('Deferred Revenue'!$E$6:$E$578,$A81,'Deferred Revenue'!$P$6:$P$578)</f>
        <v/>
      </c>
      <c r="D81" s="55">
        <f>SUMIFS(tbl_WIP[Amount],tbl_WIP[Job Number],$A81,tbl_WIP[Month],$C$4)+SUMIF('Deferred Revenue'!$E$6:$E$578,$A81,'Deferred Revenue'!$Q$6:$Q$578)</f>
        <v/>
      </c>
      <c r="E81" s="55">
        <f>C81+D81</f>
        <v/>
      </c>
      <c r="F81" s="56">
        <f>IF(ROUND(C81,2)+ROUND(D81,2)=0,"","yes")</f>
        <v/>
      </c>
      <c r="G81" s="57" t="n"/>
      <c r="H81" s="55">
        <f>IF($G81="","",$E81-$G81)</f>
        <v/>
      </c>
    </row>
    <row r="82">
      <c r="A82" s="54" t="inlineStr">
        <is>
          <t>2512805V</t>
        </is>
      </c>
      <c r="B82" s="54" t="inlineStr">
        <is>
          <t>RSNSW Ordinary General Meeting 7.10.2026</t>
        </is>
      </c>
      <c r="C82" s="55">
        <f>SUMIFS(tbl_WIP[Amount],tbl_WIP[Job Number],$A82,tbl_WIP[Month],"&lt;&gt;",tbl_WIP[Month],"&lt;"&amp;$C$4)+SUMIF('Deferred Revenue'!$E$6:$E$578,$A82,'Deferred Revenue'!$P$6:$P$578)</f>
        <v/>
      </c>
      <c r="D82" s="55">
        <f>SUMIFS(tbl_WIP[Amount],tbl_WIP[Job Number],$A82,tbl_WIP[Month],$C$4)+SUMIF('Deferred Revenue'!$E$6:$E$578,$A82,'Deferred Revenue'!$Q$6:$Q$578)</f>
        <v/>
      </c>
      <c r="E82" s="55">
        <f>C82+D82</f>
        <v/>
      </c>
      <c r="F82" s="56">
        <f>IF(ROUND(C82,2)+ROUND(D82,2)=0,"","yes")</f>
        <v/>
      </c>
      <c r="G82" s="57" t="n"/>
      <c r="H82" s="55">
        <f>IF($G82="","",$E82-$G82)</f>
        <v/>
      </c>
    </row>
    <row r="83">
      <c r="A83" s="54" t="inlineStr">
        <is>
          <t>2512806</t>
        </is>
      </c>
      <c r="B83" s="54" t="inlineStr">
        <is>
          <t>RSNSW Ordinary General Meeting 2.12.26</t>
        </is>
      </c>
      <c r="C83" s="55">
        <f>SUMIFS(tbl_WIP[Amount],tbl_WIP[Job Number],$A83,tbl_WIP[Month],"&lt;&gt;",tbl_WIP[Month],"&lt;"&amp;$C$4)+SUMIF('Deferred Revenue'!$E$6:$E$578,$A83,'Deferred Revenue'!$P$6:$P$578)</f>
        <v/>
      </c>
      <c r="D83" s="55">
        <f>SUMIFS(tbl_WIP[Amount],tbl_WIP[Job Number],$A83,tbl_WIP[Month],$C$4)+SUMIF('Deferred Revenue'!$E$6:$E$578,$A83,'Deferred Revenue'!$Q$6:$Q$578)</f>
        <v/>
      </c>
      <c r="E83" s="55">
        <f>C83+D83</f>
        <v/>
      </c>
      <c r="F83" s="56">
        <f>IF(ROUND(C83,2)+ROUND(D83,2)=0,"","yes")</f>
        <v/>
      </c>
      <c r="G83" s="57" t="n"/>
      <c r="H83" s="55">
        <f>IF($G83="","",$E83-$G83)</f>
        <v/>
      </c>
    </row>
    <row r="84">
      <c r="A84" s="54" t="inlineStr">
        <is>
          <t>2512806V</t>
        </is>
      </c>
      <c r="B84" s="54" t="inlineStr">
        <is>
          <t>RSNSW Ordinary General Meeting 2.12.26</t>
        </is>
      </c>
      <c r="C84" s="55">
        <f>SUMIFS(tbl_WIP[Amount],tbl_WIP[Job Number],$A84,tbl_WIP[Month],"&lt;&gt;",tbl_WIP[Month],"&lt;"&amp;$C$4)+SUMIF('Deferred Revenue'!$E$6:$E$578,$A84,'Deferred Revenue'!$P$6:$P$578)</f>
        <v/>
      </c>
      <c r="D84" s="55">
        <f>SUMIFS(tbl_WIP[Amount],tbl_WIP[Job Number],$A84,tbl_WIP[Month],$C$4)+SUMIF('Deferred Revenue'!$E$6:$E$578,$A84,'Deferred Revenue'!$Q$6:$Q$578)</f>
        <v/>
      </c>
      <c r="E84" s="55">
        <f>C84+D84</f>
        <v/>
      </c>
      <c r="F84" s="56">
        <f>IF(ROUND(C84,2)+ROUND(D84,2)=0,"","yes")</f>
        <v/>
      </c>
      <c r="G84" s="57" t="n"/>
      <c r="H84" s="55">
        <f>IF($G84="","",$E84-$G84)</f>
        <v/>
      </c>
    </row>
    <row r="85">
      <c r="A85" s="54" t="inlineStr">
        <is>
          <t>2519</t>
        </is>
      </c>
      <c r="B85" s="54" t="inlineStr">
        <is>
          <t>NSW Prop-6PSQ Visitor MG</t>
        </is>
      </c>
      <c r="C85" s="55">
        <f>SUMIFS(tbl_WIP[Amount],tbl_WIP[Job Number],$A85,tbl_WIP[Month],"&lt;&gt;",tbl_WIP[Month],"&lt;"&amp;$C$4)+SUMIF('Deferred Revenue'!$E$6:$E$578,$A85,'Deferred Revenue'!$P$6:$P$578)</f>
        <v/>
      </c>
      <c r="D85" s="55">
        <f>SUMIFS(tbl_WIP[Amount],tbl_WIP[Job Number],$A85,tbl_WIP[Month],$C$4)+SUMIF('Deferred Revenue'!$E$6:$E$578,$A85,'Deferred Revenue'!$Q$6:$Q$578)</f>
        <v/>
      </c>
      <c r="E85" s="55">
        <f>C85+D85</f>
        <v/>
      </c>
      <c r="F85" s="56">
        <f>IF(ROUND(C85,2)+ROUND(D85,2)=0,"","yes")</f>
        <v/>
      </c>
      <c r="G85" s="57" t="n"/>
      <c r="H85" s="55">
        <f>IF($G85="","",$E85-$G85)</f>
        <v/>
      </c>
    </row>
    <row r="86">
      <c r="A86" s="54" t="inlineStr">
        <is>
          <t>2521</t>
        </is>
      </c>
      <c r="B86" s="54" t="inlineStr">
        <is>
          <t>PWC - PER Tech</t>
        </is>
      </c>
      <c r="C86" s="55">
        <f>SUMIFS(tbl_WIP[Amount],tbl_WIP[Job Number],$A86,tbl_WIP[Month],"&lt;&gt;",tbl_WIP[Month],"&lt;"&amp;$C$4)+SUMIF('Deferred Revenue'!$E$6:$E$578,$A86,'Deferred Revenue'!$P$6:$P$578)</f>
        <v/>
      </c>
      <c r="D86" s="55">
        <f>SUMIFS(tbl_WIP[Amount],tbl_WIP[Job Number],$A86,tbl_WIP[Month],$C$4)+SUMIF('Deferred Revenue'!$E$6:$E$578,$A86,'Deferred Revenue'!$Q$6:$Q$578)</f>
        <v/>
      </c>
      <c r="E86" s="55">
        <f>C86+D86</f>
        <v/>
      </c>
      <c r="F86" s="56">
        <f>IF(ROUND(C86,2)+ROUND(D86,2)=0,"","yes")</f>
        <v/>
      </c>
      <c r="G86" s="57" t="n"/>
      <c r="H86" s="55">
        <f>IF($G86="","",$E86-$G86)</f>
        <v/>
      </c>
    </row>
    <row r="87">
      <c r="A87" s="54" t="inlineStr">
        <is>
          <t>2540</t>
        </is>
      </c>
      <c r="B87" s="54" t="inlineStr">
        <is>
          <t>PWC - SYD Tech</t>
        </is>
      </c>
      <c r="C87" s="55">
        <f>SUMIFS(tbl_WIP[Amount],tbl_WIP[Job Number],$A87,tbl_WIP[Month],"&lt;&gt;",tbl_WIP[Month],"&lt;"&amp;$C$4)+SUMIF('Deferred Revenue'!$E$6:$E$578,$A87,'Deferred Revenue'!$P$6:$P$578)</f>
        <v/>
      </c>
      <c r="D87" s="55">
        <f>SUMIFS(tbl_WIP[Amount],tbl_WIP[Job Number],$A87,tbl_WIP[Month],$C$4)+SUMIF('Deferred Revenue'!$E$6:$E$578,$A87,'Deferred Revenue'!$Q$6:$Q$578)</f>
        <v/>
      </c>
      <c r="E87" s="55">
        <f>C87+D87</f>
        <v/>
      </c>
      <c r="F87" s="56">
        <f>IF(ROUND(C87,2)+ROUND(D87,2)=0,"","yes")</f>
        <v/>
      </c>
      <c r="G87" s="57" t="n"/>
      <c r="H87" s="55">
        <f>IF($G87="","",$E87-$G87)</f>
        <v/>
      </c>
    </row>
    <row r="88">
      <c r="A88" s="54" t="inlineStr">
        <is>
          <t>2543</t>
        </is>
      </c>
      <c r="B88" s="54" t="inlineStr">
        <is>
          <t>DTTL MEL Tech (PT)</t>
        </is>
      </c>
      <c r="C88" s="55">
        <f>SUMIFS(tbl_WIP[Amount],tbl_WIP[Job Number],$A88,tbl_WIP[Month],"&lt;&gt;",tbl_WIP[Month],"&lt;"&amp;$C$4)+SUMIF('Deferred Revenue'!$E$6:$E$578,$A88,'Deferred Revenue'!$P$6:$P$578)</f>
        <v/>
      </c>
      <c r="D88" s="55">
        <f>SUMIFS(tbl_WIP[Amount],tbl_WIP[Job Number],$A88,tbl_WIP[Month],$C$4)+SUMIF('Deferred Revenue'!$E$6:$E$578,$A88,'Deferred Revenue'!$Q$6:$Q$578)</f>
        <v/>
      </c>
      <c r="E88" s="55">
        <f>C88+D88</f>
        <v/>
      </c>
      <c r="F88" s="56">
        <f>IF(ROUND(C88,2)+ROUND(D88,2)=0,"","yes")</f>
        <v/>
      </c>
      <c r="G88" s="57" t="n"/>
      <c r="H88" s="55">
        <f>IF($G88="","",$E88-$G88)</f>
        <v/>
      </c>
    </row>
    <row r="89">
      <c r="A89" s="54" t="inlineStr">
        <is>
          <t>2591012</t>
        </is>
      </c>
      <c r="B89" s="54" t="inlineStr">
        <is>
          <t>St. Luke's Non-chargeable</t>
        </is>
      </c>
      <c r="C89" s="55">
        <f>SUMIFS(tbl_WIP[Amount],tbl_WIP[Job Number],$A89,tbl_WIP[Month],"&lt;&gt;",tbl_WIP[Month],"&lt;"&amp;$C$4)+SUMIF('Deferred Revenue'!$E$6:$E$578,$A89,'Deferred Revenue'!$P$6:$P$578)</f>
        <v/>
      </c>
      <c r="D89" s="55">
        <f>SUMIFS(tbl_WIP[Amount],tbl_WIP[Job Number],$A89,tbl_WIP[Month],$C$4)+SUMIF('Deferred Revenue'!$E$6:$E$578,$A89,'Deferred Revenue'!$Q$6:$Q$578)</f>
        <v/>
      </c>
      <c r="E89" s="55">
        <f>C89+D89</f>
        <v/>
      </c>
      <c r="F89" s="56">
        <f>IF(ROUND(C89,2)+ROUND(D89,2)=0,"","yes")</f>
        <v/>
      </c>
      <c r="G89" s="57" t="n"/>
      <c r="H89" s="55">
        <f>IF($G89="","",$E89-$G89)</f>
        <v/>
      </c>
    </row>
    <row r="90">
      <c r="A90" s="54" t="inlineStr">
        <is>
          <t>2591012C</t>
        </is>
      </c>
      <c r="B90" s="54" t="inlineStr">
        <is>
          <t>St. Luke's Church</t>
        </is>
      </c>
      <c r="C90" s="55">
        <f>SUMIFS(tbl_WIP[Amount],tbl_WIP[Job Number],$A90,tbl_WIP[Month],"&lt;&gt;",tbl_WIP[Month],"&lt;"&amp;$C$4)+SUMIF('Deferred Revenue'!$E$6:$E$578,$A90,'Deferred Revenue'!$P$6:$P$578)</f>
        <v/>
      </c>
      <c r="D90" s="55">
        <f>SUMIFS(tbl_WIP[Amount],tbl_WIP[Job Number],$A90,tbl_WIP[Month],$C$4)+SUMIF('Deferred Revenue'!$E$6:$E$578,$A90,'Deferred Revenue'!$Q$6:$Q$578)</f>
        <v/>
      </c>
      <c r="E90" s="55">
        <f>C90+D90</f>
        <v/>
      </c>
      <c r="F90" s="56">
        <f>IF(ROUND(C90,2)+ROUND(D90,2)=0,"","yes")</f>
        <v/>
      </c>
      <c r="G90" s="57" t="n"/>
      <c r="H90" s="55">
        <f>IF($G90="","",$E90-$G90)</f>
        <v/>
      </c>
    </row>
    <row r="91">
      <c r="A91" s="54" t="inlineStr">
        <is>
          <t>2593</t>
        </is>
      </c>
      <c r="B91" s="54" t="inlineStr">
        <is>
          <t>PWC CBR Technician</t>
        </is>
      </c>
      <c r="C91" s="55">
        <f>SUMIFS(tbl_WIP[Amount],tbl_WIP[Job Number],$A91,tbl_WIP[Month],"&lt;&gt;",tbl_WIP[Month],"&lt;"&amp;$C$4)+SUMIF('Deferred Revenue'!$E$6:$E$578,$A91,'Deferred Revenue'!$P$6:$P$578)</f>
        <v/>
      </c>
      <c r="D91" s="55">
        <f>SUMIFS(tbl_WIP[Amount],tbl_WIP[Job Number],$A91,tbl_WIP[Month],$C$4)+SUMIF('Deferred Revenue'!$E$6:$E$578,$A91,'Deferred Revenue'!$Q$6:$Q$578)</f>
        <v/>
      </c>
      <c r="E91" s="55">
        <f>C91+D91</f>
        <v/>
      </c>
      <c r="F91" s="56">
        <f>IF(ROUND(C91,2)+ROUND(D91,2)=0,"","yes")</f>
        <v/>
      </c>
      <c r="G91" s="57" t="n"/>
      <c r="H91" s="55">
        <f>IF($G91="","",$E91-$G91)</f>
        <v/>
      </c>
    </row>
    <row r="92">
      <c r="A92" s="54" t="inlineStr">
        <is>
          <t>2598</t>
        </is>
      </c>
      <c r="B92" s="54" t="inlineStr">
        <is>
          <t>DTTL WA Tech</t>
        </is>
      </c>
      <c r="C92" s="55">
        <f>SUMIFS(tbl_WIP[Amount],tbl_WIP[Job Number],$A92,tbl_WIP[Month],"&lt;&gt;",tbl_WIP[Month],"&lt;"&amp;$C$4)+SUMIF('Deferred Revenue'!$E$6:$E$578,$A92,'Deferred Revenue'!$P$6:$P$578)</f>
        <v/>
      </c>
      <c r="D92" s="55">
        <f>SUMIFS(tbl_WIP[Amount],tbl_WIP[Job Number],$A92,tbl_WIP[Month],$C$4)+SUMIF('Deferred Revenue'!$E$6:$E$578,$A92,'Deferred Revenue'!$Q$6:$Q$578)</f>
        <v/>
      </c>
      <c r="E92" s="55">
        <f>C92+D92</f>
        <v/>
      </c>
      <c r="F92" s="56">
        <f>IF(ROUND(C92,2)+ROUND(D92,2)=0,"","yes")</f>
        <v/>
      </c>
      <c r="G92" s="57" t="n"/>
      <c r="H92" s="55">
        <f>IF($G92="","",$E92-$G92)</f>
        <v/>
      </c>
    </row>
    <row r="93">
      <c r="A93" s="54" t="inlineStr">
        <is>
          <t>26011404</t>
        </is>
      </c>
      <c r="B93" s="54" t="inlineStr">
        <is>
          <t>ASX CEO Connect (Extended Results) 1.9.26</t>
        </is>
      </c>
      <c r="C93" s="55">
        <f>SUMIFS(tbl_WIP[Amount],tbl_WIP[Job Number],$A93,tbl_WIP[Month],"&lt;&gt;",tbl_WIP[Month],"&lt;"&amp;$C$4)+SUMIF('Deferred Revenue'!$E$6:$E$578,$A93,'Deferred Revenue'!$P$6:$P$578)</f>
        <v/>
      </c>
      <c r="D93" s="55">
        <f>SUMIFS(tbl_WIP[Amount],tbl_WIP[Job Number],$A93,tbl_WIP[Month],$C$4)+SUMIF('Deferred Revenue'!$E$6:$E$578,$A93,'Deferred Revenue'!$Q$6:$Q$578)</f>
        <v/>
      </c>
      <c r="E93" s="55">
        <f>C93+D93</f>
        <v/>
      </c>
      <c r="F93" s="56">
        <f>IF(ROUND(C93,2)+ROUND(D93,2)=0,"","yes")</f>
        <v/>
      </c>
      <c r="G93" s="57" t="n"/>
      <c r="H93" s="55">
        <f>IF($G93="","",$E93-$G93)</f>
        <v/>
      </c>
    </row>
    <row r="94">
      <c r="A94" s="54" t="inlineStr">
        <is>
          <t>26011404V</t>
        </is>
      </c>
      <c r="B94" s="54" t="inlineStr">
        <is>
          <t>ASX CEO Connect (Extended Results) 1.9.26</t>
        </is>
      </c>
      <c r="C94" s="55">
        <f>SUMIFS(tbl_WIP[Amount],tbl_WIP[Job Number],$A94,tbl_WIP[Month],"&lt;&gt;",tbl_WIP[Month],"&lt;"&amp;$C$4)+SUMIF('Deferred Revenue'!$E$6:$E$578,$A94,'Deferred Revenue'!$P$6:$P$578)</f>
        <v/>
      </c>
      <c r="D94" s="55">
        <f>SUMIFS(tbl_WIP[Amount],tbl_WIP[Job Number],$A94,tbl_WIP[Month],$C$4)+SUMIF('Deferred Revenue'!$E$6:$E$578,$A94,'Deferred Revenue'!$Q$6:$Q$578)</f>
        <v/>
      </c>
      <c r="E94" s="55">
        <f>C94+D94</f>
        <v/>
      </c>
      <c r="F94" s="56">
        <f>IF(ROUND(C94,2)+ROUND(D94,2)=0,"","yes")</f>
        <v/>
      </c>
      <c r="G94" s="57" t="n"/>
      <c r="H94" s="55">
        <f>IF($G94="","",$E94-$G94)</f>
        <v/>
      </c>
    </row>
    <row r="95">
      <c r="A95" s="54" t="inlineStr">
        <is>
          <t>26011407</t>
        </is>
      </c>
      <c r="B95" s="54" t="inlineStr">
        <is>
          <t>ASX CEO Connect 27.10.26</t>
        </is>
      </c>
      <c r="C95" s="55">
        <f>SUMIFS(tbl_WIP[Amount],tbl_WIP[Job Number],$A95,tbl_WIP[Month],"&lt;&gt;",tbl_WIP[Month],"&lt;"&amp;$C$4)+SUMIF('Deferred Revenue'!$E$6:$E$578,$A95,'Deferred Revenue'!$P$6:$P$578)</f>
        <v/>
      </c>
      <c r="D95" s="55">
        <f>SUMIFS(tbl_WIP[Amount],tbl_WIP[Job Number],$A95,tbl_WIP[Month],$C$4)+SUMIF('Deferred Revenue'!$E$6:$E$578,$A95,'Deferred Revenue'!$Q$6:$Q$578)</f>
        <v/>
      </c>
      <c r="E95" s="55">
        <f>C95+D95</f>
        <v/>
      </c>
      <c r="F95" s="56">
        <f>IF(ROUND(C95,2)+ROUND(D95,2)=0,"","yes")</f>
        <v/>
      </c>
      <c r="G95" s="57" t="n"/>
      <c r="H95" s="55">
        <f>IF($G95="","",$E95-$G95)</f>
        <v/>
      </c>
    </row>
    <row r="96">
      <c r="A96" s="54" t="inlineStr">
        <is>
          <t>26011407V</t>
        </is>
      </c>
      <c r="B96" s="54" t="inlineStr">
        <is>
          <t>ASX CEO Connect 27.10.26</t>
        </is>
      </c>
      <c r="C96" s="55">
        <f>SUMIFS(tbl_WIP[Amount],tbl_WIP[Job Number],$A96,tbl_WIP[Month],"&lt;&gt;",tbl_WIP[Month],"&lt;"&amp;$C$4)+SUMIF('Deferred Revenue'!$E$6:$E$578,$A96,'Deferred Revenue'!$P$6:$P$578)</f>
        <v/>
      </c>
      <c r="D96" s="55">
        <f>SUMIFS(tbl_WIP[Amount],tbl_WIP[Job Number],$A96,tbl_WIP[Month],$C$4)+SUMIF('Deferred Revenue'!$E$6:$E$578,$A96,'Deferred Revenue'!$Q$6:$Q$578)</f>
        <v/>
      </c>
      <c r="E96" s="55">
        <f>C96+D96</f>
        <v/>
      </c>
      <c r="F96" s="56">
        <f>IF(ROUND(C96,2)+ROUND(D96,2)=0,"","yes")</f>
        <v/>
      </c>
      <c r="G96" s="57" t="n"/>
      <c r="H96" s="55">
        <f>IF($G96="","",$E96-$G96)</f>
        <v/>
      </c>
    </row>
    <row r="97">
      <c r="A97" s="54" t="inlineStr">
        <is>
          <t>26011408</t>
        </is>
      </c>
      <c r="B97" s="54" t="inlineStr">
        <is>
          <t>ASX CEO Connect 1.12.26</t>
        </is>
      </c>
      <c r="C97" s="55">
        <f>SUMIFS(tbl_WIP[Amount],tbl_WIP[Job Number],$A97,tbl_WIP[Month],"&lt;&gt;",tbl_WIP[Month],"&lt;"&amp;$C$4)+SUMIF('Deferred Revenue'!$E$6:$E$578,$A97,'Deferred Revenue'!$P$6:$P$578)</f>
        <v/>
      </c>
      <c r="D97" s="55">
        <f>SUMIFS(tbl_WIP[Amount],tbl_WIP[Job Number],$A97,tbl_WIP[Month],$C$4)+SUMIF('Deferred Revenue'!$E$6:$E$578,$A97,'Deferred Revenue'!$Q$6:$Q$578)</f>
        <v/>
      </c>
      <c r="E97" s="55">
        <f>C97+D97</f>
        <v/>
      </c>
      <c r="F97" s="56">
        <f>IF(ROUND(C97,2)+ROUND(D97,2)=0,"","yes")</f>
        <v/>
      </c>
      <c r="G97" s="57" t="n"/>
      <c r="H97" s="55">
        <f>IF($G97="","",$E97-$G97)</f>
        <v/>
      </c>
    </row>
    <row r="98">
      <c r="A98" s="54" t="inlineStr">
        <is>
          <t>26011408V</t>
        </is>
      </c>
      <c r="B98" s="54" t="inlineStr">
        <is>
          <t>ASX CEO Connect 1.12.26</t>
        </is>
      </c>
      <c r="C98" s="55">
        <f>SUMIFS(tbl_WIP[Amount],tbl_WIP[Job Number],$A98,tbl_WIP[Month],"&lt;&gt;",tbl_WIP[Month],"&lt;"&amp;$C$4)+SUMIF('Deferred Revenue'!$E$6:$E$578,$A98,'Deferred Revenue'!$P$6:$P$578)</f>
        <v/>
      </c>
      <c r="D98" s="55">
        <f>SUMIFS(tbl_WIP[Amount],tbl_WIP[Job Number],$A98,tbl_WIP[Month],$C$4)+SUMIF('Deferred Revenue'!$E$6:$E$578,$A98,'Deferred Revenue'!$Q$6:$Q$578)</f>
        <v/>
      </c>
      <c r="E98" s="55">
        <f>C98+D98</f>
        <v/>
      </c>
      <c r="F98" s="56">
        <f>IF(ROUND(C98,2)+ROUND(D98,2)=0,"","yes")</f>
        <v/>
      </c>
      <c r="G98" s="57" t="n"/>
      <c r="H98" s="55">
        <f>IF($G98="","",$E98-$G98)</f>
        <v/>
      </c>
    </row>
    <row r="99">
      <c r="A99" s="54" t="inlineStr">
        <is>
          <t>26011409</t>
        </is>
      </c>
      <c r="B99" s="54" t="inlineStr">
        <is>
          <t>ASX Investor Days Sydney &amp; Melbourne 2026</t>
        </is>
      </c>
      <c r="C99" s="55">
        <f>SUMIFS(tbl_WIP[Amount],tbl_WIP[Job Number],$A99,tbl_WIP[Month],"&lt;&gt;",tbl_WIP[Month],"&lt;"&amp;$C$4)+SUMIF('Deferred Revenue'!$E$6:$E$578,$A99,'Deferred Revenue'!$P$6:$P$578)</f>
        <v/>
      </c>
      <c r="D99" s="55">
        <f>SUMIFS(tbl_WIP[Amount],tbl_WIP[Job Number],$A99,tbl_WIP[Month],$C$4)+SUMIF('Deferred Revenue'!$E$6:$E$578,$A99,'Deferred Revenue'!$Q$6:$Q$578)</f>
        <v/>
      </c>
      <c r="E99" s="55">
        <f>C99+D99</f>
        <v/>
      </c>
      <c r="F99" s="56">
        <f>IF(ROUND(C99,2)+ROUND(D99,2)=0,"","yes")</f>
        <v/>
      </c>
      <c r="G99" s="57" t="n"/>
      <c r="H99" s="55">
        <f>IF($G99="","",$E99-$G99)</f>
        <v/>
      </c>
    </row>
    <row r="100">
      <c r="A100" s="54" t="inlineStr">
        <is>
          <t>26011501</t>
        </is>
      </c>
      <c r="B100" s="54" t="inlineStr">
        <is>
          <t>ASX Refinitiv Charity Golf Classic H/L Vid 2026</t>
        </is>
      </c>
      <c r="C100" s="55">
        <f>SUMIFS(tbl_WIP[Amount],tbl_WIP[Job Number],$A100,tbl_WIP[Month],"&lt;&gt;",tbl_WIP[Month],"&lt;"&amp;$C$4)+SUMIF('Deferred Revenue'!$E$6:$E$578,$A100,'Deferred Revenue'!$P$6:$P$578)</f>
        <v/>
      </c>
      <c r="D100" s="55">
        <f>SUMIFS(tbl_WIP[Amount],tbl_WIP[Job Number],$A100,tbl_WIP[Month],$C$4)+SUMIF('Deferred Revenue'!$E$6:$E$578,$A100,'Deferred Revenue'!$Q$6:$Q$578)</f>
        <v/>
      </c>
      <c r="E100" s="55">
        <f>C100+D100</f>
        <v/>
      </c>
      <c r="F100" s="56">
        <f>IF(ROUND(C100,2)+ROUND(D100,2)=0,"","yes")</f>
        <v/>
      </c>
      <c r="G100" s="57" t="n"/>
      <c r="H100" s="55">
        <f>IF($G100="","",$E100-$G100)</f>
        <v/>
      </c>
    </row>
    <row r="101">
      <c r="A101" s="54" t="inlineStr">
        <is>
          <t>26011502</t>
        </is>
      </c>
      <c r="B101" s="54" t="inlineStr">
        <is>
          <t>ASX Charity Regatta Highlights Video 2026</t>
        </is>
      </c>
      <c r="C101" s="55">
        <f>SUMIFS(tbl_WIP[Amount],tbl_WIP[Job Number],$A101,tbl_WIP[Month],"&lt;&gt;",tbl_WIP[Month],"&lt;"&amp;$C$4)+SUMIF('Deferred Revenue'!$E$6:$E$578,$A101,'Deferred Revenue'!$P$6:$P$578)</f>
        <v/>
      </c>
      <c r="D101" s="55">
        <f>SUMIFS(tbl_WIP[Amount],tbl_WIP[Job Number],$A101,tbl_WIP[Month],$C$4)+SUMIF('Deferred Revenue'!$E$6:$E$578,$A101,'Deferred Revenue'!$Q$6:$Q$578)</f>
        <v/>
      </c>
      <c r="E101" s="55">
        <f>C101+D101</f>
        <v/>
      </c>
      <c r="F101" s="56">
        <f>IF(ROUND(C101,2)+ROUND(D101,2)=0,"","yes")</f>
        <v/>
      </c>
      <c r="G101" s="57" t="n"/>
      <c r="H101" s="55">
        <f>IF($G101="","",$E101-$G101)</f>
        <v/>
      </c>
    </row>
    <row r="102">
      <c r="A102" s="54" t="inlineStr">
        <is>
          <t>26012301</t>
        </is>
      </c>
      <c r="B102" s="54" t="inlineStr">
        <is>
          <t>PWC IT Support - Brisbane</t>
        </is>
      </c>
      <c r="C102" s="55">
        <f>SUMIFS(tbl_WIP[Amount],tbl_WIP[Job Number],$A102,tbl_WIP[Month],"&lt;&gt;",tbl_WIP[Month],"&lt;"&amp;$C$4)+SUMIF('Deferred Revenue'!$E$6:$E$578,$A102,'Deferred Revenue'!$P$6:$P$578)</f>
        <v/>
      </c>
      <c r="D102" s="55">
        <f>SUMIFS(tbl_WIP[Amount],tbl_WIP[Job Number],$A102,tbl_WIP[Month],$C$4)+SUMIF('Deferred Revenue'!$E$6:$E$578,$A102,'Deferred Revenue'!$Q$6:$Q$578)</f>
        <v/>
      </c>
      <c r="E102" s="55">
        <f>C102+D102</f>
        <v/>
      </c>
      <c r="F102" s="56">
        <f>IF(ROUND(C102,2)+ROUND(D102,2)=0,"","yes")</f>
        <v/>
      </c>
      <c r="G102" s="57" t="n"/>
      <c r="H102" s="55">
        <f>IF($G102="","",$E102-$G102)</f>
        <v/>
      </c>
    </row>
    <row r="103">
      <c r="A103" s="54" t="inlineStr">
        <is>
          <t>2601701</t>
        </is>
      </c>
      <c r="B103" s="54" t="inlineStr">
        <is>
          <t>CEOi - TLP Brand Video</t>
        </is>
      </c>
      <c r="C103" s="55">
        <f>SUMIFS(tbl_WIP[Amount],tbl_WIP[Job Number],$A103,tbl_WIP[Month],"&lt;&gt;",tbl_WIP[Month],"&lt;"&amp;$C$4)+SUMIF('Deferred Revenue'!$E$6:$E$578,$A103,'Deferred Revenue'!$P$6:$P$578)</f>
        <v/>
      </c>
      <c r="D103" s="55">
        <f>SUMIFS(tbl_WIP[Amount],tbl_WIP[Job Number],$A103,tbl_WIP[Month],$C$4)+SUMIF('Deferred Revenue'!$E$6:$E$578,$A103,'Deferred Revenue'!$Q$6:$Q$578)</f>
        <v/>
      </c>
      <c r="E103" s="55">
        <f>C103+D103</f>
        <v/>
      </c>
      <c r="F103" s="56">
        <f>IF(ROUND(C103,2)+ROUND(D103,2)=0,"","yes")</f>
        <v/>
      </c>
      <c r="G103" s="57" t="n"/>
      <c r="H103" s="55">
        <f>IF($G103="","",$E103-$G103)</f>
        <v/>
      </c>
    </row>
    <row r="104">
      <c r="A104" s="54" t="inlineStr">
        <is>
          <t>26021602</t>
        </is>
      </c>
      <c r="B104" s="54" t="inlineStr">
        <is>
          <t>Gen E ABS AV Support (Canberra)</t>
        </is>
      </c>
      <c r="C104" s="55">
        <f>SUMIFS(tbl_WIP[Amount],tbl_WIP[Job Number],$A104,tbl_WIP[Month],"&lt;&gt;",tbl_WIP[Month],"&lt;"&amp;$C$4)+SUMIF('Deferred Revenue'!$E$6:$E$578,$A104,'Deferred Revenue'!$P$6:$P$578)</f>
        <v/>
      </c>
      <c r="D104" s="55">
        <f>SUMIFS(tbl_WIP[Amount],tbl_WIP[Job Number],$A104,tbl_WIP[Month],$C$4)+SUMIF('Deferred Revenue'!$E$6:$E$578,$A104,'Deferred Revenue'!$Q$6:$Q$578)</f>
        <v/>
      </c>
      <c r="E104" s="55">
        <f>C104+D104</f>
        <v/>
      </c>
      <c r="F104" s="56">
        <f>IF(ROUND(C104,2)+ROUND(D104,2)=0,"","yes")</f>
        <v/>
      </c>
      <c r="G104" s="57" t="n"/>
      <c r="H104" s="55">
        <f>IF($G104="","",$E104-$G104)</f>
        <v/>
      </c>
    </row>
    <row r="105">
      <c r="A105" s="54" t="inlineStr">
        <is>
          <t>26021602N</t>
        </is>
      </c>
      <c r="B105" s="54" t="inlineStr">
        <is>
          <t>Gen E ABS AV Support (Canberra) [ONS non-chargeable]</t>
        </is>
      </c>
      <c r="C105" s="55">
        <f>SUMIFS(tbl_WIP[Amount],tbl_WIP[Job Number],$A105,tbl_WIP[Month],"&lt;&gt;",tbl_WIP[Month],"&lt;"&amp;$C$4)+SUMIF('Deferred Revenue'!$E$6:$E$578,$A105,'Deferred Revenue'!$P$6:$P$578)</f>
        <v/>
      </c>
      <c r="D105" s="55">
        <f>SUMIFS(tbl_WIP[Amount],tbl_WIP[Job Number],$A105,tbl_WIP[Month],$C$4)+SUMIF('Deferred Revenue'!$E$6:$E$578,$A105,'Deferred Revenue'!$Q$6:$Q$578)</f>
        <v/>
      </c>
      <c r="E105" s="55">
        <f>C105+D105</f>
        <v/>
      </c>
      <c r="F105" s="56">
        <f>IF(ROUND(C105,2)+ROUND(D105,2)=0,"","yes")</f>
        <v/>
      </c>
      <c r="G105" s="57" t="n"/>
      <c r="H105" s="55">
        <f>IF($G105="","",$E105-$G105)</f>
        <v/>
      </c>
    </row>
    <row r="106">
      <c r="A106" s="54" t="inlineStr">
        <is>
          <t>26021801</t>
        </is>
      </c>
      <c r="B106" s="54" t="inlineStr">
        <is>
          <t>Aware Super Seminar Room AV Upgrade</t>
        </is>
      </c>
      <c r="C106" s="55">
        <f>SUMIFS(tbl_WIP[Amount],tbl_WIP[Job Number],$A106,tbl_WIP[Month],"&lt;&gt;",tbl_WIP[Month],"&lt;"&amp;$C$4)+SUMIF('Deferred Revenue'!$E$6:$E$578,$A106,'Deferred Revenue'!$P$6:$P$578)</f>
        <v/>
      </c>
      <c r="D106" s="55">
        <f>SUMIFS(tbl_WIP[Amount],tbl_WIP[Job Number],$A106,tbl_WIP[Month],$C$4)+SUMIF('Deferred Revenue'!$E$6:$E$578,$A106,'Deferred Revenue'!$Q$6:$Q$578)</f>
        <v/>
      </c>
      <c r="E106" s="55">
        <f>C106+D106</f>
        <v/>
      </c>
      <c r="F106" s="56">
        <f>IF(ROUND(C106,2)+ROUND(D106,2)=0,"","yes")</f>
        <v/>
      </c>
      <c r="G106" s="57" t="n"/>
      <c r="H106" s="55">
        <f>IF($G106="","",$E106-$G106)</f>
        <v/>
      </c>
    </row>
    <row r="107">
      <c r="A107" s="54" t="inlineStr">
        <is>
          <t>2602203</t>
        </is>
      </c>
      <c r="B107" s="54" t="inlineStr">
        <is>
          <t>YSG Studio Orange Room Upgrade</t>
        </is>
      </c>
      <c r="C107" s="55">
        <f>SUMIFS(tbl_WIP[Amount],tbl_WIP[Job Number],$A107,tbl_WIP[Month],"&lt;&gt;",tbl_WIP[Month],"&lt;"&amp;$C$4)+SUMIF('Deferred Revenue'!$E$6:$E$578,$A107,'Deferred Revenue'!$P$6:$P$578)</f>
        <v/>
      </c>
      <c r="D107" s="55">
        <f>SUMIFS(tbl_WIP[Amount],tbl_WIP[Job Number],$A107,tbl_WIP[Month],$C$4)+SUMIF('Deferred Revenue'!$E$6:$E$578,$A107,'Deferred Revenue'!$Q$6:$Q$578)</f>
        <v/>
      </c>
      <c r="E107" s="55">
        <f>C107+D107</f>
        <v/>
      </c>
      <c r="F107" s="56">
        <f>IF(ROUND(C107,2)+ROUND(D107,2)=0,"","yes")</f>
        <v/>
      </c>
      <c r="G107" s="57" t="n"/>
      <c r="H107" s="55">
        <f>IF($G107="","",$E107-$G107)</f>
        <v/>
      </c>
    </row>
    <row r="108">
      <c r="A108" s="54" t="inlineStr">
        <is>
          <t>26022301</t>
        </is>
      </c>
      <c r="B108" s="54" t="inlineStr">
        <is>
          <t>Aware Super AV Maintenance</t>
        </is>
      </c>
      <c r="C108" s="55">
        <f>SUMIFS(tbl_WIP[Amount],tbl_WIP[Job Number],$A108,tbl_WIP[Month],"&lt;&gt;",tbl_WIP[Month],"&lt;"&amp;$C$4)+SUMIF('Deferred Revenue'!$E$6:$E$578,$A108,'Deferred Revenue'!$P$6:$P$578)</f>
        <v/>
      </c>
      <c r="D108" s="55">
        <f>SUMIFS(tbl_WIP[Amount],tbl_WIP[Job Number],$A108,tbl_WIP[Month],$C$4)+SUMIF('Deferred Revenue'!$E$6:$E$578,$A108,'Deferred Revenue'!$Q$6:$Q$578)</f>
        <v/>
      </c>
      <c r="E108" s="55">
        <f>C108+D108</f>
        <v/>
      </c>
      <c r="F108" s="56">
        <f>IF(ROUND(C108,2)+ROUND(D108,2)=0,"","yes")</f>
        <v/>
      </c>
      <c r="G108" s="57" t="n"/>
      <c r="H108" s="55">
        <f>IF($G108="","",$E108-$G108)</f>
        <v/>
      </c>
    </row>
    <row r="109">
      <c r="A109" s="54" t="inlineStr">
        <is>
          <t>26022301C</t>
        </is>
      </c>
      <c r="B109" s="54" t="inlineStr">
        <is>
          <t>Aware Super AV Maintenance</t>
        </is>
      </c>
      <c r="C109" s="55">
        <f>SUMIFS(tbl_WIP[Amount],tbl_WIP[Job Number],$A109,tbl_WIP[Month],"&lt;&gt;",tbl_WIP[Month],"&lt;"&amp;$C$4)+SUMIF('Deferred Revenue'!$E$6:$E$578,$A109,'Deferred Revenue'!$P$6:$P$578)</f>
        <v/>
      </c>
      <c r="D109" s="55">
        <f>SUMIFS(tbl_WIP[Amount],tbl_WIP[Job Number],$A109,tbl_WIP[Month],$C$4)+SUMIF('Deferred Revenue'!$E$6:$E$578,$A109,'Deferred Revenue'!$Q$6:$Q$578)</f>
        <v/>
      </c>
      <c r="E109" s="55">
        <f>C109+D109</f>
        <v/>
      </c>
      <c r="F109" s="56">
        <f>IF(ROUND(C109,2)+ROUND(D109,2)=0,"","yes")</f>
        <v/>
      </c>
      <c r="G109" s="57" t="n"/>
      <c r="H109" s="55">
        <f>IF($G109="","",$E109-$G109)</f>
        <v/>
      </c>
    </row>
    <row r="110">
      <c r="A110" s="54" t="inlineStr">
        <is>
          <t>26022301NC</t>
        </is>
      </c>
      <c r="B110" s="54" t="inlineStr">
        <is>
          <t>Aware Super AV Maintenance Non-chargeable</t>
        </is>
      </c>
      <c r="C110" s="55">
        <f>SUMIFS(tbl_WIP[Amount],tbl_WIP[Job Number],$A110,tbl_WIP[Month],"&lt;&gt;",tbl_WIP[Month],"&lt;"&amp;$C$4)+SUMIF('Deferred Revenue'!$E$6:$E$578,$A110,'Deferred Revenue'!$P$6:$P$578)</f>
        <v/>
      </c>
      <c r="D110" s="55">
        <f>SUMIFS(tbl_WIP[Amount],tbl_WIP[Job Number],$A110,tbl_WIP[Month],$C$4)+SUMIF('Deferred Revenue'!$E$6:$E$578,$A110,'Deferred Revenue'!$Q$6:$Q$578)</f>
        <v/>
      </c>
      <c r="E110" s="55">
        <f>C110+D110</f>
        <v/>
      </c>
      <c r="F110" s="56">
        <f>IF(ROUND(C110,2)+ROUND(D110,2)=0,"","yes")</f>
        <v/>
      </c>
      <c r="G110" s="57" t="n"/>
      <c r="H110" s="55">
        <f>IF($G110="","",$E110-$G110)</f>
        <v/>
      </c>
    </row>
    <row r="111">
      <c r="A111" s="54" t="inlineStr">
        <is>
          <t>26022301P</t>
        </is>
      </c>
      <c r="B111" s="54" t="inlineStr">
        <is>
          <t>Aware Super AV Maintenance</t>
        </is>
      </c>
      <c r="C111" s="55">
        <f>SUMIFS(tbl_WIP[Amount],tbl_WIP[Job Number],$A111,tbl_WIP[Month],"&lt;&gt;",tbl_WIP[Month],"&lt;"&amp;$C$4)+SUMIF('Deferred Revenue'!$E$6:$E$578,$A111,'Deferred Revenue'!$P$6:$P$578)</f>
        <v/>
      </c>
      <c r="D111" s="55">
        <f>SUMIFS(tbl_WIP[Amount],tbl_WIP[Job Number],$A111,tbl_WIP[Month],$C$4)+SUMIF('Deferred Revenue'!$E$6:$E$578,$A111,'Deferred Revenue'!$Q$6:$Q$578)</f>
        <v/>
      </c>
      <c r="E111" s="55">
        <f>C111+D111</f>
        <v/>
      </c>
      <c r="F111" s="56">
        <f>IF(ROUND(C111,2)+ROUND(D111,2)=0,"","yes")</f>
        <v/>
      </c>
      <c r="G111" s="57" t="n"/>
      <c r="H111" s="55">
        <f>IF($G111="","",$E111-$G111)</f>
        <v/>
      </c>
    </row>
    <row r="112">
      <c r="A112" s="54" t="inlineStr">
        <is>
          <t>26022302</t>
        </is>
      </c>
      <c r="B112" s="54" t="inlineStr">
        <is>
          <t>GP - Talking Philanthropy - 18.9.26</t>
        </is>
      </c>
      <c r="C112" s="55">
        <f>SUMIFS(tbl_WIP[Amount],tbl_WIP[Job Number],$A112,tbl_WIP[Month],"&lt;&gt;",tbl_WIP[Month],"&lt;"&amp;$C$4)+SUMIF('Deferred Revenue'!$E$6:$E$578,$A112,'Deferred Revenue'!$P$6:$P$578)</f>
        <v/>
      </c>
      <c r="D112" s="55">
        <f>SUMIFS(tbl_WIP[Amount],tbl_WIP[Job Number],$A112,tbl_WIP[Month],$C$4)+SUMIF('Deferred Revenue'!$E$6:$E$578,$A112,'Deferred Revenue'!$Q$6:$Q$578)</f>
        <v/>
      </c>
      <c r="E112" s="55">
        <f>C112+D112</f>
        <v/>
      </c>
      <c r="F112" s="56">
        <f>IF(ROUND(C112,2)+ROUND(D112,2)=0,"","yes")</f>
        <v/>
      </c>
      <c r="G112" s="57" t="n"/>
      <c r="H112" s="55">
        <f>IF($G112="","",$E112-$G112)</f>
        <v/>
      </c>
    </row>
    <row r="113">
      <c r="A113" s="54" t="inlineStr">
        <is>
          <t>26022302V</t>
        </is>
      </c>
      <c r="B113" s="54" t="inlineStr">
        <is>
          <t>GP - Talking Philanthropy - 18.9.26</t>
        </is>
      </c>
      <c r="C113" s="55">
        <f>SUMIFS(tbl_WIP[Amount],tbl_WIP[Job Number],$A113,tbl_WIP[Month],"&lt;&gt;",tbl_WIP[Month],"&lt;"&amp;$C$4)+SUMIF('Deferred Revenue'!$E$6:$E$578,$A113,'Deferred Revenue'!$P$6:$P$578)</f>
        <v/>
      </c>
      <c r="D113" s="55">
        <f>SUMIFS(tbl_WIP[Amount],tbl_WIP[Job Number],$A113,tbl_WIP[Month],$C$4)+SUMIF('Deferred Revenue'!$E$6:$E$578,$A113,'Deferred Revenue'!$Q$6:$Q$578)</f>
        <v/>
      </c>
      <c r="E113" s="55">
        <f>C113+D113</f>
        <v/>
      </c>
      <c r="F113" s="56">
        <f>IF(ROUND(C113,2)+ROUND(D113,2)=0,"","yes")</f>
        <v/>
      </c>
      <c r="G113" s="57" t="n"/>
      <c r="H113" s="55">
        <f>IF($G113="","",$E113-$G113)</f>
        <v/>
      </c>
    </row>
    <row r="114">
      <c r="A114" s="54" t="inlineStr">
        <is>
          <t>26022601</t>
        </is>
      </c>
      <c r="B114" s="54" t="inlineStr">
        <is>
          <t>ART - Annual Members Meeting - 25.11.26</t>
        </is>
      </c>
      <c r="C114" s="55">
        <f>SUMIFS(tbl_WIP[Amount],tbl_WIP[Job Number],$A114,tbl_WIP[Month],"&lt;&gt;",tbl_WIP[Month],"&lt;"&amp;$C$4)+SUMIF('Deferred Revenue'!$E$6:$E$578,$A114,'Deferred Revenue'!$P$6:$P$578)</f>
        <v/>
      </c>
      <c r="D114" s="55">
        <f>SUMIFS(tbl_WIP[Amount],tbl_WIP[Job Number],$A114,tbl_WIP[Month],$C$4)+SUMIF('Deferred Revenue'!$E$6:$E$578,$A114,'Deferred Revenue'!$Q$6:$Q$578)</f>
        <v/>
      </c>
      <c r="E114" s="55">
        <f>C114+D114</f>
        <v/>
      </c>
      <c r="F114" s="56">
        <f>IF(ROUND(C114,2)+ROUND(D114,2)=0,"","yes")</f>
        <v/>
      </c>
      <c r="G114" s="57" t="n"/>
      <c r="H114" s="55">
        <f>IF($G114="","",$E114-$G114)</f>
        <v/>
      </c>
    </row>
    <row r="115">
      <c r="A115" s="54" t="inlineStr">
        <is>
          <t>26022601V</t>
        </is>
      </c>
      <c r="B115" s="54" t="inlineStr">
        <is>
          <t>ART - Annual Members Meeting - 25.11.26</t>
        </is>
      </c>
      <c r="C115" s="55">
        <f>SUMIFS(tbl_WIP[Amount],tbl_WIP[Job Number],$A115,tbl_WIP[Month],"&lt;&gt;",tbl_WIP[Month],"&lt;"&amp;$C$4)+SUMIF('Deferred Revenue'!$E$6:$E$578,$A115,'Deferred Revenue'!$P$6:$P$578)</f>
        <v/>
      </c>
      <c r="D115" s="55">
        <f>SUMIFS(tbl_WIP[Amount],tbl_WIP[Job Number],$A115,tbl_WIP[Month],$C$4)+SUMIF('Deferred Revenue'!$E$6:$E$578,$A115,'Deferred Revenue'!$Q$6:$Q$578)</f>
        <v/>
      </c>
      <c r="E115" s="55">
        <f>C115+D115</f>
        <v/>
      </c>
      <c r="F115" s="56">
        <f>IF(ROUND(C115,2)+ROUND(D115,2)=0,"","yes")</f>
        <v/>
      </c>
      <c r="G115" s="57" t="n"/>
      <c r="H115" s="55">
        <f>IF($G115="","",$E115-$G115)</f>
        <v/>
      </c>
    </row>
    <row r="116">
      <c r="A116" s="54" t="inlineStr">
        <is>
          <t>2602901</t>
        </is>
      </c>
      <c r="B116" s="54" t="inlineStr">
        <is>
          <t>HP-Telstra: Phone Modification</t>
        </is>
      </c>
      <c r="C116" s="55">
        <f>SUMIFS(tbl_WIP[Amount],tbl_WIP[Job Number],$A116,tbl_WIP[Month],"&lt;&gt;",tbl_WIP[Month],"&lt;"&amp;$C$4)+SUMIF('Deferred Revenue'!$E$6:$E$578,$A116,'Deferred Revenue'!$P$6:$P$578)</f>
        <v/>
      </c>
      <c r="D116" s="55">
        <f>SUMIFS(tbl_WIP[Amount],tbl_WIP[Job Number],$A116,tbl_WIP[Month],$C$4)+SUMIF('Deferred Revenue'!$E$6:$E$578,$A116,'Deferred Revenue'!$Q$6:$Q$578)</f>
        <v/>
      </c>
      <c r="E116" s="55">
        <f>C116+D116</f>
        <v/>
      </c>
      <c r="F116" s="56">
        <f>IF(ROUND(C116,2)+ROUND(D116,2)=0,"","yes")</f>
        <v/>
      </c>
      <c r="G116" s="57" t="n"/>
      <c r="H116" s="55">
        <f>IF($G116="","",$E116-$G116)</f>
        <v/>
      </c>
    </row>
    <row r="117">
      <c r="A117" s="54" t="inlineStr">
        <is>
          <t>2603104</t>
        </is>
      </c>
      <c r="B117" s="54" t="inlineStr">
        <is>
          <t>Cochlear FY26 Results 18.8.26</t>
        </is>
      </c>
      <c r="C117" s="55">
        <f>SUMIFS(tbl_WIP[Amount],tbl_WIP[Job Number],$A117,tbl_WIP[Month],"&lt;&gt;",tbl_WIP[Month],"&lt;"&amp;$C$4)+SUMIF('Deferred Revenue'!$E$6:$E$578,$A117,'Deferred Revenue'!$P$6:$P$578)</f>
        <v/>
      </c>
      <c r="D117" s="55">
        <f>SUMIFS(tbl_WIP[Amount],tbl_WIP[Job Number],$A117,tbl_WIP[Month],$C$4)+SUMIF('Deferred Revenue'!$E$6:$E$578,$A117,'Deferred Revenue'!$Q$6:$Q$578)</f>
        <v/>
      </c>
      <c r="E117" s="55">
        <f>C117+D117</f>
        <v/>
      </c>
      <c r="F117" s="56">
        <f>IF(ROUND(C117,2)+ROUND(D117,2)=0,"","yes")</f>
        <v/>
      </c>
      <c r="G117" s="57" t="n"/>
      <c r="H117" s="55">
        <f>IF($G117="","",$E117-$G117)</f>
        <v/>
      </c>
    </row>
    <row r="118">
      <c r="A118" s="54" t="inlineStr">
        <is>
          <t>2603104V</t>
        </is>
      </c>
      <c r="B118" s="54" t="inlineStr">
        <is>
          <t>Cochlear FY26 Results 18.8.26</t>
        </is>
      </c>
      <c r="C118" s="55">
        <f>SUMIFS(tbl_WIP[Amount],tbl_WIP[Job Number],$A118,tbl_WIP[Month],"&lt;&gt;",tbl_WIP[Month],"&lt;"&amp;$C$4)+SUMIF('Deferred Revenue'!$E$6:$E$578,$A118,'Deferred Revenue'!$P$6:$P$578)</f>
        <v/>
      </c>
      <c r="D118" s="55">
        <f>SUMIFS(tbl_WIP[Amount],tbl_WIP[Job Number],$A118,tbl_WIP[Month],$C$4)+SUMIF('Deferred Revenue'!$E$6:$E$578,$A118,'Deferred Revenue'!$Q$6:$Q$578)</f>
        <v/>
      </c>
      <c r="E118" s="55">
        <f>C118+D118</f>
        <v/>
      </c>
      <c r="F118" s="56">
        <f>IF(ROUND(C118,2)+ROUND(D118,2)=0,"","yes")</f>
        <v/>
      </c>
      <c r="G118" s="57" t="n"/>
      <c r="H118" s="55">
        <f>IF($G118="","",$E118-$G118)</f>
        <v/>
      </c>
    </row>
    <row r="119">
      <c r="A119" s="54" t="inlineStr">
        <is>
          <t>2603105</t>
        </is>
      </c>
      <c r="B119" s="54" t="inlineStr">
        <is>
          <t>Cochlear - AGM - 26.10.26</t>
        </is>
      </c>
      <c r="C119" s="55">
        <f>SUMIFS(tbl_WIP[Amount],tbl_WIP[Job Number],$A119,tbl_WIP[Month],"&lt;&gt;",tbl_WIP[Month],"&lt;"&amp;$C$4)+SUMIF('Deferred Revenue'!$E$6:$E$578,$A119,'Deferred Revenue'!$P$6:$P$578)</f>
        <v/>
      </c>
      <c r="D119" s="55">
        <f>SUMIFS(tbl_WIP[Amount],tbl_WIP[Job Number],$A119,tbl_WIP[Month],$C$4)+SUMIF('Deferred Revenue'!$E$6:$E$578,$A119,'Deferred Revenue'!$Q$6:$Q$578)</f>
        <v/>
      </c>
      <c r="E119" s="55">
        <f>C119+D119</f>
        <v/>
      </c>
      <c r="F119" s="56">
        <f>IF(ROUND(C119,2)+ROUND(D119,2)=0,"","yes")</f>
        <v/>
      </c>
      <c r="G119" s="57" t="n"/>
      <c r="H119" s="55">
        <f>IF($G119="","",$E119-$G119)</f>
        <v/>
      </c>
    </row>
    <row r="120">
      <c r="A120" s="54" t="inlineStr">
        <is>
          <t>2603105V</t>
        </is>
      </c>
      <c r="B120" s="54" t="inlineStr">
        <is>
          <t>Cochlear - AGM - 26.10.26</t>
        </is>
      </c>
      <c r="C120" s="55">
        <f>SUMIFS(tbl_WIP[Amount],tbl_WIP[Job Number],$A120,tbl_WIP[Month],"&lt;&gt;",tbl_WIP[Month],"&lt;"&amp;$C$4)+SUMIF('Deferred Revenue'!$E$6:$E$578,$A120,'Deferred Revenue'!$P$6:$P$578)</f>
        <v/>
      </c>
      <c r="D120" s="55">
        <f>SUMIFS(tbl_WIP[Amount],tbl_WIP[Job Number],$A120,tbl_WIP[Month],$C$4)+SUMIF('Deferred Revenue'!$E$6:$E$578,$A120,'Deferred Revenue'!$Q$6:$Q$578)</f>
        <v/>
      </c>
      <c r="E120" s="55">
        <f>C120+D120</f>
        <v/>
      </c>
      <c r="F120" s="56">
        <f>IF(ROUND(C120,2)+ROUND(D120,2)=0,"","yes")</f>
        <v/>
      </c>
      <c r="G120" s="57" t="n"/>
      <c r="H120" s="55">
        <f>IF($G120="","",$E120-$G120)</f>
        <v/>
      </c>
    </row>
    <row r="121">
      <c r="A121" s="54" t="inlineStr">
        <is>
          <t>2603202</t>
        </is>
      </c>
      <c r="B121" s="54" t="inlineStr">
        <is>
          <t>Property NSW 5 O’Keefe Ave Nowra Workplace Hub</t>
        </is>
      </c>
      <c r="C121" s="55">
        <f>SUMIFS(tbl_WIP[Amount],tbl_WIP[Job Number],$A121,tbl_WIP[Month],"&lt;&gt;",tbl_WIP[Month],"&lt;"&amp;$C$4)+SUMIF('Deferred Revenue'!$E$6:$E$578,$A121,'Deferred Revenue'!$P$6:$P$578)</f>
        <v/>
      </c>
      <c r="D121" s="55">
        <f>SUMIFS(tbl_WIP[Amount],tbl_WIP[Job Number],$A121,tbl_WIP[Month],$C$4)+SUMIF('Deferred Revenue'!$E$6:$E$578,$A121,'Deferred Revenue'!$Q$6:$Q$578)</f>
        <v/>
      </c>
      <c r="E121" s="55">
        <f>C121+D121</f>
        <v/>
      </c>
      <c r="F121" s="56">
        <f>IF(ROUND(C121,2)+ROUND(D121,2)=0,"","yes")</f>
        <v/>
      </c>
      <c r="G121" s="57" t="n"/>
      <c r="H121" s="55">
        <f>IF($G121="","",$E121-$G121)</f>
        <v/>
      </c>
    </row>
    <row r="122">
      <c r="A122" s="54" t="inlineStr">
        <is>
          <t>26032301</t>
        </is>
      </c>
      <c r="B122" s="54" t="inlineStr">
        <is>
          <t>RSNSW - OGM - 1.7.2026</t>
        </is>
      </c>
      <c r="C122" s="55">
        <f>SUMIFS(tbl_WIP[Amount],tbl_WIP[Job Number],$A122,tbl_WIP[Month],"&lt;&gt;",tbl_WIP[Month],"&lt;"&amp;$C$4)+SUMIF('Deferred Revenue'!$E$6:$E$578,$A122,'Deferred Revenue'!$P$6:$P$578)</f>
        <v/>
      </c>
      <c r="D122" s="55">
        <f>SUMIFS(tbl_WIP[Amount],tbl_WIP[Job Number],$A122,tbl_WIP[Month],$C$4)+SUMIF('Deferred Revenue'!$E$6:$E$578,$A122,'Deferred Revenue'!$Q$6:$Q$578)</f>
        <v/>
      </c>
      <c r="E122" s="55">
        <f>C122+D122</f>
        <v/>
      </c>
      <c r="F122" s="56">
        <f>IF(ROUND(C122,2)+ROUND(D122,2)=0,"","yes")</f>
        <v/>
      </c>
      <c r="G122" s="57" t="n"/>
      <c r="H122" s="55">
        <f>IF($G122="","",$E122-$G122)</f>
        <v/>
      </c>
    </row>
    <row r="123">
      <c r="A123" s="54" t="inlineStr">
        <is>
          <t>26032301V</t>
        </is>
      </c>
      <c r="B123" s="54" t="inlineStr">
        <is>
          <t>RSNSW - OGM - 1.7.2026</t>
        </is>
      </c>
      <c r="C123" s="55">
        <f>SUMIFS(tbl_WIP[Amount],tbl_WIP[Job Number],$A123,tbl_WIP[Month],"&lt;&gt;",tbl_WIP[Month],"&lt;"&amp;$C$4)+SUMIF('Deferred Revenue'!$E$6:$E$578,$A123,'Deferred Revenue'!$P$6:$P$578)</f>
        <v/>
      </c>
      <c r="D123" s="55">
        <f>SUMIFS(tbl_WIP[Amount],tbl_WIP[Job Number],$A123,tbl_WIP[Month],$C$4)+SUMIF('Deferred Revenue'!$E$6:$E$578,$A123,'Deferred Revenue'!$Q$6:$Q$578)</f>
        <v/>
      </c>
      <c r="E123" s="55">
        <f>C123+D123</f>
        <v/>
      </c>
      <c r="F123" s="56">
        <f>IF(ROUND(C123,2)+ROUND(D123,2)=0,"","yes")</f>
        <v/>
      </c>
      <c r="G123" s="57" t="n"/>
      <c r="H123" s="55">
        <f>IF($G123="","",$E123-$G123)</f>
        <v/>
      </c>
    </row>
    <row r="124">
      <c r="A124" s="54" t="inlineStr">
        <is>
          <t>26032302</t>
        </is>
      </c>
      <c r="B124" s="54" t="inlineStr">
        <is>
          <t>RSNSW - OGM - 2.9.2026</t>
        </is>
      </c>
      <c r="C124" s="55">
        <f>SUMIFS(tbl_WIP[Amount],tbl_WIP[Job Number],$A124,tbl_WIP[Month],"&lt;&gt;",tbl_WIP[Month],"&lt;"&amp;$C$4)+SUMIF('Deferred Revenue'!$E$6:$E$578,$A124,'Deferred Revenue'!$P$6:$P$578)</f>
        <v/>
      </c>
      <c r="D124" s="55">
        <f>SUMIFS(tbl_WIP[Amount],tbl_WIP[Job Number],$A124,tbl_WIP[Month],$C$4)+SUMIF('Deferred Revenue'!$E$6:$E$578,$A124,'Deferred Revenue'!$Q$6:$Q$578)</f>
        <v/>
      </c>
      <c r="E124" s="55">
        <f>C124+D124</f>
        <v/>
      </c>
      <c r="F124" s="56">
        <f>IF(ROUND(C124,2)+ROUND(D124,2)=0,"","yes")</f>
        <v/>
      </c>
      <c r="G124" s="57" t="n"/>
      <c r="H124" s="55">
        <f>IF($G124="","",$E124-$G124)</f>
        <v/>
      </c>
    </row>
    <row r="125">
      <c r="A125" s="54" t="inlineStr">
        <is>
          <t>26032302V</t>
        </is>
      </c>
      <c r="B125" s="54" t="inlineStr">
        <is>
          <t>RSNSW - OGM - 2.9.2026</t>
        </is>
      </c>
      <c r="C125" s="55">
        <f>SUMIFS(tbl_WIP[Amount],tbl_WIP[Job Number],$A125,tbl_WIP[Month],"&lt;&gt;",tbl_WIP[Month],"&lt;"&amp;$C$4)+SUMIF('Deferred Revenue'!$E$6:$E$578,$A125,'Deferred Revenue'!$P$6:$P$578)</f>
        <v/>
      </c>
      <c r="D125" s="55">
        <f>SUMIFS(tbl_WIP[Amount],tbl_WIP[Job Number],$A125,tbl_WIP[Month],$C$4)+SUMIF('Deferred Revenue'!$E$6:$E$578,$A125,'Deferred Revenue'!$Q$6:$Q$578)</f>
        <v/>
      </c>
      <c r="E125" s="55">
        <f>C125+D125</f>
        <v/>
      </c>
      <c r="F125" s="56">
        <f>IF(ROUND(C125,2)+ROUND(D125,2)=0,"","yes")</f>
        <v/>
      </c>
      <c r="G125" s="57" t="n"/>
      <c r="H125" s="55">
        <f>IF($G125="","",$E125-$G125)</f>
        <v/>
      </c>
    </row>
    <row r="126">
      <c r="A126" s="54" t="inlineStr">
        <is>
          <t>26032501</t>
        </is>
      </c>
      <c r="B126" s="54" t="inlineStr">
        <is>
          <t>ChorusCall - Regal Partners AGM - 28.5.26</t>
        </is>
      </c>
      <c r="C126" s="55">
        <f>SUMIFS(tbl_WIP[Amount],tbl_WIP[Job Number],$A126,tbl_WIP[Month],"&lt;&gt;",tbl_WIP[Month],"&lt;"&amp;$C$4)+SUMIF('Deferred Revenue'!$E$6:$E$578,$A126,'Deferred Revenue'!$P$6:$P$578)</f>
        <v/>
      </c>
      <c r="D126" s="55">
        <f>SUMIFS(tbl_WIP[Amount],tbl_WIP[Job Number],$A126,tbl_WIP[Month],$C$4)+SUMIF('Deferred Revenue'!$E$6:$E$578,$A126,'Deferred Revenue'!$Q$6:$Q$578)</f>
        <v/>
      </c>
      <c r="E126" s="55">
        <f>C126+D126</f>
        <v/>
      </c>
      <c r="F126" s="56">
        <f>IF(ROUND(C126,2)+ROUND(D126,2)=0,"","yes")</f>
        <v/>
      </c>
      <c r="G126" s="57" t="n"/>
      <c r="H126" s="55">
        <f>IF($G126="","",$E126-$G126)</f>
        <v/>
      </c>
    </row>
    <row r="127">
      <c r="A127" s="54" t="inlineStr">
        <is>
          <t>26032502</t>
        </is>
      </c>
      <c r="B127" s="54" t="inlineStr">
        <is>
          <t>3YS Owls - Governance Top 100 2026 - 30.10.26</t>
        </is>
      </c>
      <c r="C127" s="55">
        <f>SUMIFS(tbl_WIP[Amount],tbl_WIP[Job Number],$A127,tbl_WIP[Month],"&lt;&gt;",tbl_WIP[Month],"&lt;"&amp;$C$4)+SUMIF('Deferred Revenue'!$E$6:$E$578,$A127,'Deferred Revenue'!$P$6:$P$578)</f>
        <v/>
      </c>
      <c r="D127" s="55">
        <f>SUMIFS(tbl_WIP[Amount],tbl_WIP[Job Number],$A127,tbl_WIP[Month],$C$4)+SUMIF('Deferred Revenue'!$E$6:$E$578,$A127,'Deferred Revenue'!$Q$6:$Q$578)</f>
        <v/>
      </c>
      <c r="E127" s="55">
        <f>C127+D127</f>
        <v/>
      </c>
      <c r="F127" s="56">
        <f>IF(ROUND(C127,2)+ROUND(D127,2)=0,"","yes")</f>
        <v/>
      </c>
      <c r="G127" s="57" t="n"/>
      <c r="H127" s="55">
        <f>IF($G127="","",$E127-$G127)</f>
        <v/>
      </c>
    </row>
    <row r="128">
      <c r="A128" s="54" t="inlineStr">
        <is>
          <t>26032502V</t>
        </is>
      </c>
      <c r="B128" s="54" t="inlineStr">
        <is>
          <t>3YS Owls - Governance Top 100 2026 - 30.10.26</t>
        </is>
      </c>
      <c r="C128" s="55">
        <f>SUMIFS(tbl_WIP[Amount],tbl_WIP[Job Number],$A128,tbl_WIP[Month],"&lt;&gt;",tbl_WIP[Month],"&lt;"&amp;$C$4)+SUMIF('Deferred Revenue'!$E$6:$E$578,$A128,'Deferred Revenue'!$P$6:$P$578)</f>
        <v/>
      </c>
      <c r="D128" s="55">
        <f>SUMIFS(tbl_WIP[Amount],tbl_WIP[Job Number],$A128,tbl_WIP[Month],$C$4)+SUMIF('Deferred Revenue'!$E$6:$E$578,$A128,'Deferred Revenue'!$Q$6:$Q$578)</f>
        <v/>
      </c>
      <c r="E128" s="55">
        <f>C128+D128</f>
        <v/>
      </c>
      <c r="F128" s="56">
        <f>IF(ROUND(C128,2)+ROUND(D128,2)=0,"","yes")</f>
        <v/>
      </c>
      <c r="G128" s="57" t="n"/>
      <c r="H128" s="55">
        <f>IF($G128="","",$E128-$G128)</f>
        <v/>
      </c>
    </row>
    <row r="129">
      <c r="A129" s="54" t="inlineStr">
        <is>
          <t>26032701</t>
        </is>
      </c>
      <c r="B129" s="54" t="inlineStr">
        <is>
          <t>MUFG - A1N AGM - 7.5.26</t>
        </is>
      </c>
      <c r="C129" s="55">
        <f>SUMIFS(tbl_WIP[Amount],tbl_WIP[Job Number],$A129,tbl_WIP[Month],"&lt;&gt;",tbl_WIP[Month],"&lt;"&amp;$C$4)+SUMIF('Deferred Revenue'!$E$6:$E$578,$A129,'Deferred Revenue'!$P$6:$P$578)</f>
        <v/>
      </c>
      <c r="D129" s="55">
        <f>SUMIFS(tbl_WIP[Amount],tbl_WIP[Job Number],$A129,tbl_WIP[Month],$C$4)+SUMIF('Deferred Revenue'!$E$6:$E$578,$A129,'Deferred Revenue'!$Q$6:$Q$578)</f>
        <v/>
      </c>
      <c r="E129" s="55">
        <f>C129+D129</f>
        <v/>
      </c>
      <c r="F129" s="56">
        <f>IF(ROUND(C129,2)+ROUND(D129,2)=0,"","yes")</f>
        <v/>
      </c>
      <c r="G129" s="57" t="n"/>
      <c r="H129" s="55">
        <f>IF($G129="","",$E129-$G129)</f>
        <v/>
      </c>
    </row>
    <row r="130">
      <c r="A130" s="54" t="inlineStr">
        <is>
          <t>26032701V</t>
        </is>
      </c>
      <c r="B130" s="54" t="inlineStr">
        <is>
          <t>MUFG - A1N AGM - 7.5.26</t>
        </is>
      </c>
      <c r="C130" s="55">
        <f>SUMIFS(tbl_WIP[Amount],tbl_WIP[Job Number],$A130,tbl_WIP[Month],"&lt;&gt;",tbl_WIP[Month],"&lt;"&amp;$C$4)+SUMIF('Deferred Revenue'!$E$6:$E$578,$A130,'Deferred Revenue'!$P$6:$P$578)</f>
        <v/>
      </c>
      <c r="D130" s="55">
        <f>SUMIFS(tbl_WIP[Amount],tbl_WIP[Job Number],$A130,tbl_WIP[Month],$C$4)+SUMIF('Deferred Revenue'!$E$6:$E$578,$A130,'Deferred Revenue'!$Q$6:$Q$578)</f>
        <v/>
      </c>
      <c r="E130" s="55">
        <f>C130+D130</f>
        <v/>
      </c>
      <c r="F130" s="56">
        <f>IF(ROUND(C130,2)+ROUND(D130,2)=0,"","yes")</f>
        <v/>
      </c>
      <c r="G130" s="57" t="n"/>
      <c r="H130" s="55">
        <f>IF($G130="","",$E130-$G130)</f>
        <v/>
      </c>
    </row>
    <row r="131">
      <c r="A131" s="54" t="inlineStr">
        <is>
          <t>26032702</t>
        </is>
      </c>
      <c r="B131" s="54" t="inlineStr">
        <is>
          <t>Ventia Transport Australia and Ventia Networking 6.5.26</t>
        </is>
      </c>
      <c r="C131" s="55">
        <f>SUMIFS(tbl_WIP[Amount],tbl_WIP[Job Number],$A131,tbl_WIP[Month],"&lt;&gt;",tbl_WIP[Month],"&lt;"&amp;$C$4)+SUMIF('Deferred Revenue'!$E$6:$E$578,$A131,'Deferred Revenue'!$P$6:$P$578)</f>
        <v/>
      </c>
      <c r="D131" s="55">
        <f>SUMIFS(tbl_WIP[Amount],tbl_WIP[Job Number],$A131,tbl_WIP[Month],$C$4)+SUMIF('Deferred Revenue'!$E$6:$E$578,$A131,'Deferred Revenue'!$Q$6:$Q$578)</f>
        <v/>
      </c>
      <c r="E131" s="55">
        <f>C131+D131</f>
        <v/>
      </c>
      <c r="F131" s="56">
        <f>IF(ROUND(C131,2)+ROUND(D131,2)=0,"","yes")</f>
        <v/>
      </c>
      <c r="G131" s="57" t="n"/>
      <c r="H131" s="55">
        <f>IF($G131="","",$E131-$G131)</f>
        <v/>
      </c>
    </row>
    <row r="132">
      <c r="A132" s="54" t="inlineStr">
        <is>
          <t>26032704</t>
        </is>
      </c>
      <c r="B132" s="54" t="inlineStr">
        <is>
          <t>CBA LES - April 2026</t>
        </is>
      </c>
      <c r="C132" s="55">
        <f>SUMIFS(tbl_WIP[Amount],tbl_WIP[Job Number],$A132,tbl_WIP[Month],"&lt;&gt;",tbl_WIP[Month],"&lt;"&amp;$C$4)+SUMIF('Deferred Revenue'!$E$6:$E$578,$A132,'Deferred Revenue'!$P$6:$P$578)</f>
        <v/>
      </c>
      <c r="D132" s="55">
        <f>SUMIFS(tbl_WIP[Amount],tbl_WIP[Job Number],$A132,tbl_WIP[Month],$C$4)+SUMIF('Deferred Revenue'!$E$6:$E$578,$A132,'Deferred Revenue'!$Q$6:$Q$578)</f>
        <v/>
      </c>
      <c r="E132" s="55">
        <f>C132+D132</f>
        <v/>
      </c>
      <c r="F132" s="56">
        <f>IF(ROUND(C132,2)+ROUND(D132,2)=0,"","yes")</f>
        <v/>
      </c>
      <c r="G132" s="57" t="n"/>
      <c r="H132" s="55">
        <f>IF($G132="","",$E132-$G132)</f>
        <v/>
      </c>
    </row>
    <row r="133">
      <c r="A133" s="54" t="inlineStr">
        <is>
          <t>26033003</t>
        </is>
      </c>
      <c r="B133" s="54" t="inlineStr">
        <is>
          <t>DTTL 8PSQ Dream Big Microphones</t>
        </is>
      </c>
      <c r="C133" s="55">
        <f>SUMIFS(tbl_WIP[Amount],tbl_WIP[Job Number],$A133,tbl_WIP[Month],"&lt;&gt;",tbl_WIP[Month],"&lt;"&amp;$C$4)+SUMIF('Deferred Revenue'!$E$6:$E$578,$A133,'Deferred Revenue'!$P$6:$P$578)</f>
        <v/>
      </c>
      <c r="D133" s="55">
        <f>SUMIFS(tbl_WIP[Amount],tbl_WIP[Job Number],$A133,tbl_WIP[Month],$C$4)+SUMIF('Deferred Revenue'!$E$6:$E$578,$A133,'Deferred Revenue'!$Q$6:$Q$578)</f>
        <v/>
      </c>
      <c r="E133" s="55">
        <f>C133+D133</f>
        <v/>
      </c>
      <c r="F133" s="56">
        <f>IF(ROUND(C133,2)+ROUND(D133,2)=0,"","yes")</f>
        <v/>
      </c>
      <c r="G133" s="57" t="n"/>
      <c r="H133" s="55">
        <f>IF($G133="","",$E133-$G133)</f>
        <v/>
      </c>
    </row>
    <row r="134">
      <c r="A134" s="54" t="inlineStr">
        <is>
          <t>26033004</t>
        </is>
      </c>
      <c r="B134" s="54" t="inlineStr">
        <is>
          <t>DTTL Melbourne Bluetooth Audio</t>
        </is>
      </c>
      <c r="C134" s="55">
        <f>SUMIFS(tbl_WIP[Amount],tbl_WIP[Job Number],$A134,tbl_WIP[Month],"&lt;&gt;",tbl_WIP[Month],"&lt;"&amp;$C$4)+SUMIF('Deferred Revenue'!$E$6:$E$578,$A134,'Deferred Revenue'!$P$6:$P$578)</f>
        <v/>
      </c>
      <c r="D134" s="55">
        <f>SUMIFS(tbl_WIP[Amount],tbl_WIP[Job Number],$A134,tbl_WIP[Month],$C$4)+SUMIF('Deferred Revenue'!$E$6:$E$578,$A134,'Deferred Revenue'!$Q$6:$Q$578)</f>
        <v/>
      </c>
      <c r="E134" s="55">
        <f>C134+D134</f>
        <v/>
      </c>
      <c r="F134" s="56">
        <f>IF(ROUND(C134,2)+ROUND(D134,2)=0,"","yes")</f>
        <v/>
      </c>
      <c r="G134" s="57" t="n"/>
      <c r="H134" s="55">
        <f>IF($G134="","",$E134-$G134)</f>
        <v/>
      </c>
    </row>
    <row r="135">
      <c r="A135" s="54" t="inlineStr">
        <is>
          <t>26033005</t>
        </is>
      </c>
      <c r="B135" s="54" t="inlineStr">
        <is>
          <t>DTTL QQT &amp; 8PSQ Crestron Connect Adaptor</t>
        </is>
      </c>
      <c r="C135" s="55">
        <f>SUMIFS(tbl_WIP[Amount],tbl_WIP[Job Number],$A135,tbl_WIP[Month],"&lt;&gt;",tbl_WIP[Month],"&lt;"&amp;$C$4)+SUMIF('Deferred Revenue'!$E$6:$E$578,$A135,'Deferred Revenue'!$P$6:$P$578)</f>
        <v/>
      </c>
      <c r="D135" s="55">
        <f>SUMIFS(tbl_WIP[Amount],tbl_WIP[Job Number],$A135,tbl_WIP[Month],$C$4)+SUMIF('Deferred Revenue'!$E$6:$E$578,$A135,'Deferred Revenue'!$Q$6:$Q$578)</f>
        <v/>
      </c>
      <c r="E135" s="55">
        <f>C135+D135</f>
        <v/>
      </c>
      <c r="F135" s="56">
        <f>IF(ROUND(C135,2)+ROUND(D135,2)=0,"","yes")</f>
        <v/>
      </c>
      <c r="G135" s="57" t="n"/>
      <c r="H135" s="55">
        <f>IF($G135="","",$E135-$G135)</f>
        <v/>
      </c>
    </row>
    <row r="136">
      <c r="A136" s="54" t="inlineStr">
        <is>
          <t>26033006</t>
        </is>
      </c>
      <c r="B136" s="54" t="inlineStr">
        <is>
          <t>DTTL 8PSQ Bluetooth Audio</t>
        </is>
      </c>
      <c r="C136" s="55">
        <f>SUMIFS(tbl_WIP[Amount],tbl_WIP[Job Number],$A136,tbl_WIP[Month],"&lt;&gt;",tbl_WIP[Month],"&lt;"&amp;$C$4)+SUMIF('Deferred Revenue'!$E$6:$E$578,$A136,'Deferred Revenue'!$P$6:$P$578)</f>
        <v/>
      </c>
      <c r="D136" s="55">
        <f>SUMIFS(tbl_WIP[Amount],tbl_WIP[Job Number],$A136,tbl_WIP[Month],$C$4)+SUMIF('Deferred Revenue'!$E$6:$E$578,$A136,'Deferred Revenue'!$Q$6:$Q$578)</f>
        <v/>
      </c>
      <c r="E136" s="55">
        <f>C136+D136</f>
        <v/>
      </c>
      <c r="F136" s="56">
        <f>IF(ROUND(C136,2)+ROUND(D136,2)=0,"","yes")</f>
        <v/>
      </c>
      <c r="G136" s="57" t="n"/>
      <c r="H136" s="55">
        <f>IF($G136="","",$E136-$G136)</f>
        <v/>
      </c>
    </row>
    <row r="137">
      <c r="A137" s="54" t="inlineStr">
        <is>
          <t>26033007</t>
        </is>
      </c>
      <c r="B137" s="54" t="inlineStr">
        <is>
          <t>DTTL QQT Lv45 Seminar Wheels repair</t>
        </is>
      </c>
      <c r="C137" s="55">
        <f>SUMIFS(tbl_WIP[Amount],tbl_WIP[Job Number],$A137,tbl_WIP[Month],"&lt;&gt;",tbl_WIP[Month],"&lt;"&amp;$C$4)+SUMIF('Deferred Revenue'!$E$6:$E$578,$A137,'Deferred Revenue'!$P$6:$P$578)</f>
        <v/>
      </c>
      <c r="D137" s="55">
        <f>SUMIFS(tbl_WIP[Amount],tbl_WIP[Job Number],$A137,tbl_WIP[Month],$C$4)+SUMIF('Deferred Revenue'!$E$6:$E$578,$A137,'Deferred Revenue'!$Q$6:$Q$578)</f>
        <v/>
      </c>
      <c r="E137" s="55">
        <f>C137+D137</f>
        <v/>
      </c>
      <c r="F137" s="56">
        <f>IF(ROUND(C137,2)+ROUND(D137,2)=0,"","yes")</f>
        <v/>
      </c>
      <c r="G137" s="57" t="n"/>
      <c r="H137" s="55">
        <f>IF($G137="","",$E137-$G137)</f>
        <v/>
      </c>
    </row>
    <row r="138">
      <c r="A138" s="54" t="inlineStr">
        <is>
          <t>26033008</t>
        </is>
      </c>
      <c r="B138" s="54" t="inlineStr">
        <is>
          <t>DTTL MEL Repair of Lv31 LED panels</t>
        </is>
      </c>
      <c r="C138" s="55">
        <f>SUMIFS(tbl_WIP[Amount],tbl_WIP[Job Number],$A138,tbl_WIP[Month],"&lt;&gt;",tbl_WIP[Month],"&lt;"&amp;$C$4)+SUMIF('Deferred Revenue'!$E$6:$E$578,$A138,'Deferred Revenue'!$P$6:$P$578)</f>
        <v/>
      </c>
      <c r="D138" s="55">
        <f>SUMIFS(tbl_WIP[Amount],tbl_WIP[Job Number],$A138,tbl_WIP[Month],$C$4)+SUMIF('Deferred Revenue'!$E$6:$E$578,$A138,'Deferred Revenue'!$Q$6:$Q$578)</f>
        <v/>
      </c>
      <c r="E138" s="55">
        <f>C138+D138</f>
        <v/>
      </c>
      <c r="F138" s="56">
        <f>IF(ROUND(C138,2)+ROUND(D138,2)=0,"","yes")</f>
        <v/>
      </c>
      <c r="G138" s="57" t="n"/>
      <c r="H138" s="55">
        <f>IF($G138="","",$E138-$G138)</f>
        <v/>
      </c>
    </row>
    <row r="139">
      <c r="A139" s="54" t="inlineStr">
        <is>
          <t>26041603</t>
        </is>
      </c>
      <c r="B139" s="54" t="inlineStr">
        <is>
          <t>Optiver - Town Hall - 23.7.26</t>
        </is>
      </c>
      <c r="C139" s="55">
        <f>SUMIFS(tbl_WIP[Amount],tbl_WIP[Job Number],$A139,tbl_WIP[Month],"&lt;&gt;",tbl_WIP[Month],"&lt;"&amp;$C$4)+SUMIF('Deferred Revenue'!$E$6:$E$578,$A139,'Deferred Revenue'!$P$6:$P$578)</f>
        <v/>
      </c>
      <c r="D139" s="55">
        <f>SUMIFS(tbl_WIP[Amount],tbl_WIP[Job Number],$A139,tbl_WIP[Month],$C$4)+SUMIF('Deferred Revenue'!$E$6:$E$578,$A139,'Deferred Revenue'!$Q$6:$Q$578)</f>
        <v/>
      </c>
      <c r="E139" s="55">
        <f>C139+D139</f>
        <v/>
      </c>
      <c r="F139" s="56">
        <f>IF(ROUND(C139,2)+ROUND(D139,2)=0,"","yes")</f>
        <v/>
      </c>
      <c r="G139" s="57" t="n"/>
      <c r="H139" s="55">
        <f>IF($G139="","",$E139-$G139)</f>
        <v/>
      </c>
    </row>
    <row r="140">
      <c r="A140" s="54" t="inlineStr">
        <is>
          <t>26041603V</t>
        </is>
      </c>
      <c r="B140" s="54" t="inlineStr">
        <is>
          <t>Optiver - Town Hall - 23.7.26</t>
        </is>
      </c>
      <c r="C140" s="55">
        <f>SUMIFS(tbl_WIP[Amount],tbl_WIP[Job Number],$A140,tbl_WIP[Month],"&lt;&gt;",tbl_WIP[Month],"&lt;"&amp;$C$4)+SUMIF('Deferred Revenue'!$E$6:$E$578,$A140,'Deferred Revenue'!$P$6:$P$578)</f>
        <v/>
      </c>
      <c r="D140" s="55">
        <f>SUMIFS(tbl_WIP[Amount],tbl_WIP[Job Number],$A140,tbl_WIP[Month],$C$4)+SUMIF('Deferred Revenue'!$E$6:$E$578,$A140,'Deferred Revenue'!$Q$6:$Q$578)</f>
        <v/>
      </c>
      <c r="E140" s="55">
        <f>C140+D140</f>
        <v/>
      </c>
      <c r="F140" s="56">
        <f>IF(ROUND(C140,2)+ROUND(D140,2)=0,"","yes")</f>
        <v/>
      </c>
      <c r="G140" s="57" t="n"/>
      <c r="H140" s="55">
        <f>IF($G140="","",$E140-$G140)</f>
        <v/>
      </c>
    </row>
    <row r="141">
      <c r="A141" s="54" t="inlineStr">
        <is>
          <t>26041701</t>
        </is>
      </c>
      <c r="B141" s="54" t="inlineStr">
        <is>
          <t>N2 Dance End of Year Concert Videos 2026</t>
        </is>
      </c>
      <c r="C141" s="55">
        <f>SUMIFS(tbl_WIP[Amount],tbl_WIP[Job Number],$A141,tbl_WIP[Month],"&lt;&gt;",tbl_WIP[Month],"&lt;"&amp;$C$4)+SUMIF('Deferred Revenue'!$E$6:$E$578,$A141,'Deferred Revenue'!$P$6:$P$578)</f>
        <v/>
      </c>
      <c r="D141" s="55">
        <f>SUMIFS(tbl_WIP[Amount],tbl_WIP[Job Number],$A141,tbl_WIP[Month],$C$4)+SUMIF('Deferred Revenue'!$E$6:$E$578,$A141,'Deferred Revenue'!$Q$6:$Q$578)</f>
        <v/>
      </c>
      <c r="E141" s="55">
        <f>C141+D141</f>
        <v/>
      </c>
      <c r="F141" s="56">
        <f>IF(ROUND(C141,2)+ROUND(D141,2)=0,"","yes")</f>
        <v/>
      </c>
      <c r="G141" s="57" t="n"/>
      <c r="H141" s="55">
        <f>IF($G141="","",$E141-$G141)</f>
        <v/>
      </c>
    </row>
    <row r="142">
      <c r="A142" s="54" t="inlineStr">
        <is>
          <t>26042001</t>
        </is>
      </c>
      <c r="B142" s="54" t="inlineStr">
        <is>
          <t>ASX - AGM - 22.10.26</t>
        </is>
      </c>
      <c r="C142" s="55">
        <f>SUMIFS(tbl_WIP[Amount],tbl_WIP[Job Number],$A142,tbl_WIP[Month],"&lt;&gt;",tbl_WIP[Month],"&lt;"&amp;$C$4)+SUMIF('Deferred Revenue'!$E$6:$E$578,$A142,'Deferred Revenue'!$P$6:$P$578)</f>
        <v/>
      </c>
      <c r="D142" s="55">
        <f>SUMIFS(tbl_WIP[Amount],tbl_WIP[Job Number],$A142,tbl_WIP[Month],$C$4)+SUMIF('Deferred Revenue'!$E$6:$E$578,$A142,'Deferred Revenue'!$Q$6:$Q$578)</f>
        <v/>
      </c>
      <c r="E142" s="55">
        <f>C142+D142</f>
        <v/>
      </c>
      <c r="F142" s="56">
        <f>IF(ROUND(C142,2)+ROUND(D142,2)=0,"","yes")</f>
        <v/>
      </c>
      <c r="G142" s="57" t="n"/>
      <c r="H142" s="55">
        <f>IF($G142="","",$E142-$G142)</f>
        <v/>
      </c>
    </row>
    <row r="143">
      <c r="A143" s="54" t="inlineStr">
        <is>
          <t>26042001V</t>
        </is>
      </c>
      <c r="B143" s="54" t="inlineStr">
        <is>
          <t>ASX - AGM - 22.10.26</t>
        </is>
      </c>
      <c r="C143" s="55">
        <f>SUMIFS(tbl_WIP[Amount],tbl_WIP[Job Number],$A143,tbl_WIP[Month],"&lt;&gt;",tbl_WIP[Month],"&lt;"&amp;$C$4)+SUMIF('Deferred Revenue'!$E$6:$E$578,$A143,'Deferred Revenue'!$P$6:$P$578)</f>
        <v/>
      </c>
      <c r="D143" s="55">
        <f>SUMIFS(tbl_WIP[Amount],tbl_WIP[Job Number],$A143,tbl_WIP[Month],$C$4)+SUMIF('Deferred Revenue'!$E$6:$E$578,$A143,'Deferred Revenue'!$Q$6:$Q$578)</f>
        <v/>
      </c>
      <c r="E143" s="55">
        <f>C143+D143</f>
        <v/>
      </c>
      <c r="F143" s="56">
        <f>IF(ROUND(C143,2)+ROUND(D143,2)=0,"","yes")</f>
        <v/>
      </c>
      <c r="G143" s="57" t="n"/>
      <c r="H143" s="55">
        <f>IF($G143="","",$E143-$G143)</f>
        <v/>
      </c>
    </row>
    <row r="144">
      <c r="A144" s="54" t="inlineStr">
        <is>
          <t>2604201</t>
        </is>
      </c>
      <c r="B144" s="54" t="inlineStr">
        <is>
          <t>Bankwest - Stage Hire - 27.5.2026</t>
        </is>
      </c>
      <c r="C144" s="55">
        <f>SUMIFS(tbl_WIP[Amount],tbl_WIP[Job Number],$A144,tbl_WIP[Month],"&lt;&gt;",tbl_WIP[Month],"&lt;"&amp;$C$4)+SUMIF('Deferred Revenue'!$E$6:$E$578,$A144,'Deferred Revenue'!$P$6:$P$578)</f>
        <v/>
      </c>
      <c r="D144" s="55">
        <f>SUMIFS(tbl_WIP[Amount],tbl_WIP[Job Number],$A144,tbl_WIP[Month],$C$4)+SUMIF('Deferred Revenue'!$E$6:$E$578,$A144,'Deferred Revenue'!$Q$6:$Q$578)</f>
        <v/>
      </c>
      <c r="E144" s="55">
        <f>C144+D144</f>
        <v/>
      </c>
      <c r="F144" s="56">
        <f>IF(ROUND(C144,2)+ROUND(D144,2)=0,"","yes")</f>
        <v/>
      </c>
      <c r="G144" s="57" t="n"/>
      <c r="H144" s="55">
        <f>IF($G144="","",$E144-$G144)</f>
        <v/>
      </c>
    </row>
    <row r="145">
      <c r="A145" s="54" t="inlineStr">
        <is>
          <t>2604202</t>
        </is>
      </c>
      <c r="B145" s="54" t="inlineStr">
        <is>
          <t>Ventia - Ventia Awards - 30.7.26</t>
        </is>
      </c>
      <c r="C145" s="55">
        <f>SUMIFS(tbl_WIP[Amount],tbl_WIP[Job Number],$A145,tbl_WIP[Month],"&lt;&gt;",tbl_WIP[Month],"&lt;"&amp;$C$4)+SUMIF('Deferred Revenue'!$E$6:$E$578,$A145,'Deferred Revenue'!$P$6:$P$578)</f>
        <v/>
      </c>
      <c r="D145" s="55">
        <f>SUMIFS(tbl_WIP[Amount],tbl_WIP[Job Number],$A145,tbl_WIP[Month],$C$4)+SUMIF('Deferred Revenue'!$E$6:$E$578,$A145,'Deferred Revenue'!$Q$6:$Q$578)</f>
        <v/>
      </c>
      <c r="E145" s="55">
        <f>C145+D145</f>
        <v/>
      </c>
      <c r="F145" s="56">
        <f>IF(ROUND(C145,2)+ROUND(D145,2)=0,"","yes")</f>
        <v/>
      </c>
      <c r="G145" s="57" t="n"/>
      <c r="H145" s="55">
        <f>IF($G145="","",$E145-$G145)</f>
        <v/>
      </c>
    </row>
    <row r="146">
      <c r="A146" s="54" t="inlineStr">
        <is>
          <t>2604202V</t>
        </is>
      </c>
      <c r="B146" s="54" t="inlineStr">
        <is>
          <t>Ventia - Ventia Awards - 30.7.26</t>
        </is>
      </c>
      <c r="C146" s="55">
        <f>SUMIFS(tbl_WIP[Amount],tbl_WIP[Job Number],$A146,tbl_WIP[Month],"&lt;&gt;",tbl_WIP[Month],"&lt;"&amp;$C$4)+SUMIF('Deferred Revenue'!$E$6:$E$578,$A146,'Deferred Revenue'!$P$6:$P$578)</f>
        <v/>
      </c>
      <c r="D146" s="55">
        <f>SUMIFS(tbl_WIP[Amount],tbl_WIP[Job Number],$A146,tbl_WIP[Month],$C$4)+SUMIF('Deferred Revenue'!$E$6:$E$578,$A146,'Deferred Revenue'!$Q$6:$Q$578)</f>
        <v/>
      </c>
      <c r="E146" s="55">
        <f>C146+D146</f>
        <v/>
      </c>
      <c r="F146" s="56">
        <f>IF(ROUND(C146,2)+ROUND(D146,2)=0,"","yes")</f>
        <v/>
      </c>
      <c r="G146" s="57" t="n"/>
      <c r="H146" s="55">
        <f>IF($G146="","",$E146-$G146)</f>
        <v/>
      </c>
    </row>
    <row r="147">
      <c r="A147" s="54" t="inlineStr">
        <is>
          <t>2604203V</t>
        </is>
      </c>
      <c r="B147" s="54" t="inlineStr">
        <is>
          <t>Ventia - Investor Day - 4.5.2026</t>
        </is>
      </c>
      <c r="C147" s="55">
        <f>SUMIFS(tbl_WIP[Amount],tbl_WIP[Job Number],$A147,tbl_WIP[Month],"&lt;&gt;",tbl_WIP[Month],"&lt;"&amp;$C$4)+SUMIF('Deferred Revenue'!$E$6:$E$578,$A147,'Deferred Revenue'!$P$6:$P$578)</f>
        <v/>
      </c>
      <c r="D147" s="55">
        <f>SUMIFS(tbl_WIP[Amount],tbl_WIP[Job Number],$A147,tbl_WIP[Month],$C$4)+SUMIF('Deferred Revenue'!$E$6:$E$578,$A147,'Deferred Revenue'!$Q$6:$Q$578)</f>
        <v/>
      </c>
      <c r="E147" s="55">
        <f>C147+D147</f>
        <v/>
      </c>
      <c r="F147" s="56">
        <f>IF(ROUND(C147,2)+ROUND(D147,2)=0,"","yes")</f>
        <v/>
      </c>
      <c r="G147" s="57" t="n"/>
      <c r="H147" s="55">
        <f>IF($G147="","",$E147-$G147)</f>
        <v/>
      </c>
    </row>
    <row r="148">
      <c r="A148" s="54" t="inlineStr">
        <is>
          <t>2604204</t>
        </is>
      </c>
      <c r="B148" s="54" t="inlineStr">
        <is>
          <t>Ventia - AGM - 21.5.26</t>
        </is>
      </c>
      <c r="C148" s="55">
        <f>SUMIFS(tbl_WIP[Amount],tbl_WIP[Job Number],$A148,tbl_WIP[Month],"&lt;&gt;",tbl_WIP[Month],"&lt;"&amp;$C$4)+SUMIF('Deferred Revenue'!$E$6:$E$578,$A148,'Deferred Revenue'!$P$6:$P$578)</f>
        <v/>
      </c>
      <c r="D148" s="55">
        <f>SUMIFS(tbl_WIP[Amount],tbl_WIP[Job Number],$A148,tbl_WIP[Month],$C$4)+SUMIF('Deferred Revenue'!$E$6:$E$578,$A148,'Deferred Revenue'!$Q$6:$Q$578)</f>
        <v/>
      </c>
      <c r="E148" s="55">
        <f>C148+D148</f>
        <v/>
      </c>
      <c r="F148" s="56">
        <f>IF(ROUND(C148,2)+ROUND(D148,2)=0,"","yes")</f>
        <v/>
      </c>
      <c r="G148" s="57" t="n"/>
      <c r="H148" s="55">
        <f>IF($G148="","",$E148-$G148)</f>
        <v/>
      </c>
    </row>
    <row r="149">
      <c r="A149" s="54" t="inlineStr">
        <is>
          <t>2604204V</t>
        </is>
      </c>
      <c r="B149" s="54" t="inlineStr">
        <is>
          <t>Ventia - AGM - 21.5.26</t>
        </is>
      </c>
      <c r="C149" s="55">
        <f>SUMIFS(tbl_WIP[Amount],tbl_WIP[Job Number],$A149,tbl_WIP[Month],"&lt;&gt;",tbl_WIP[Month],"&lt;"&amp;$C$4)+SUMIF('Deferred Revenue'!$E$6:$E$578,$A149,'Deferred Revenue'!$P$6:$P$578)</f>
        <v/>
      </c>
      <c r="D149" s="55">
        <f>SUMIFS(tbl_WIP[Amount],tbl_WIP[Job Number],$A149,tbl_WIP[Month],$C$4)+SUMIF('Deferred Revenue'!$E$6:$E$578,$A149,'Deferred Revenue'!$Q$6:$Q$578)</f>
        <v/>
      </c>
      <c r="E149" s="55">
        <f>C149+D149</f>
        <v/>
      </c>
      <c r="F149" s="56">
        <f>IF(ROUND(C149,2)+ROUND(D149,2)=0,"","yes")</f>
        <v/>
      </c>
      <c r="G149" s="57" t="n"/>
      <c r="H149" s="55">
        <f>IF($G149="","",$E149-$G149)</f>
        <v/>
      </c>
    </row>
    <row r="150">
      <c r="A150" s="54" t="inlineStr">
        <is>
          <t>26042802</t>
        </is>
      </c>
      <c r="B150" s="54" t="inlineStr">
        <is>
          <t>DTTL DAR Meeting Room Extension Cable Install</t>
        </is>
      </c>
      <c r="C150" s="55">
        <f>SUMIFS(tbl_WIP[Amount],tbl_WIP[Job Number],$A150,tbl_WIP[Month],"&lt;&gt;",tbl_WIP[Month],"&lt;"&amp;$C$4)+SUMIF('Deferred Revenue'!$E$6:$E$578,$A150,'Deferred Revenue'!$P$6:$P$578)</f>
        <v/>
      </c>
      <c r="D150" s="55">
        <f>SUMIFS(tbl_WIP[Amount],tbl_WIP[Job Number],$A150,tbl_WIP[Month],$C$4)+SUMIF('Deferred Revenue'!$E$6:$E$578,$A150,'Deferred Revenue'!$Q$6:$Q$578)</f>
        <v/>
      </c>
      <c r="E150" s="55">
        <f>C150+D150</f>
        <v/>
      </c>
      <c r="F150" s="56">
        <f>IF(ROUND(C150,2)+ROUND(D150,2)=0,"","yes")</f>
        <v/>
      </c>
      <c r="G150" s="57" t="n"/>
      <c r="H150" s="55">
        <f>IF($G150="","",$E150-$G150)</f>
        <v/>
      </c>
    </row>
    <row r="151">
      <c r="A151" s="54" t="inlineStr">
        <is>
          <t>26043001</t>
        </is>
      </c>
      <c r="B151" s="54" t="inlineStr">
        <is>
          <t>CBA FT Tech MEL - 12 months</t>
        </is>
      </c>
      <c r="C151" s="55">
        <f>SUMIFS(tbl_WIP[Amount],tbl_WIP[Job Number],$A151,tbl_WIP[Month],"&lt;&gt;",tbl_WIP[Month],"&lt;"&amp;$C$4)+SUMIF('Deferred Revenue'!$E$6:$E$578,$A151,'Deferred Revenue'!$P$6:$P$578)</f>
        <v/>
      </c>
      <c r="D151" s="55">
        <f>SUMIFS(tbl_WIP[Amount],tbl_WIP[Job Number],$A151,tbl_WIP[Month],$C$4)+SUMIF('Deferred Revenue'!$E$6:$E$578,$A151,'Deferred Revenue'!$Q$6:$Q$578)</f>
        <v/>
      </c>
      <c r="E151" s="55">
        <f>C151+D151</f>
        <v/>
      </c>
      <c r="F151" s="56">
        <f>IF(ROUND(C151,2)+ROUND(D151,2)=0,"","yes")</f>
        <v/>
      </c>
      <c r="G151" s="57" t="n"/>
      <c r="H151" s="55">
        <f>IF($G151="","",$E151-$G151)</f>
        <v/>
      </c>
    </row>
    <row r="152">
      <c r="A152" s="54" t="inlineStr">
        <is>
          <t>26043002</t>
        </is>
      </c>
      <c r="B152" s="54" t="inlineStr">
        <is>
          <t>CTS Town Hall</t>
        </is>
      </c>
      <c r="C152" s="55">
        <f>SUMIFS(tbl_WIP[Amount],tbl_WIP[Job Number],$A152,tbl_WIP[Month],"&lt;&gt;",tbl_WIP[Month],"&lt;"&amp;$C$4)+SUMIF('Deferred Revenue'!$E$6:$E$578,$A152,'Deferred Revenue'!$P$6:$P$578)</f>
        <v/>
      </c>
      <c r="D152" s="55">
        <f>SUMIFS(tbl_WIP[Amount],tbl_WIP[Job Number],$A152,tbl_WIP[Month],$C$4)+SUMIF('Deferred Revenue'!$E$6:$E$578,$A152,'Deferred Revenue'!$Q$6:$Q$578)</f>
        <v/>
      </c>
      <c r="E152" s="55">
        <f>C152+D152</f>
        <v/>
      </c>
      <c r="F152" s="56">
        <f>IF(ROUND(C152,2)+ROUND(D152,2)=0,"","yes")</f>
        <v/>
      </c>
      <c r="G152" s="57" t="n"/>
      <c r="H152" s="55">
        <f>IF($G152="","",$E152-$G152)</f>
        <v/>
      </c>
    </row>
    <row r="153">
      <c r="A153" s="54" t="inlineStr">
        <is>
          <t>26043003</t>
        </is>
      </c>
      <c r="B153" s="54" t="inlineStr">
        <is>
          <t>PwC Screen Replacements SYD+MEL</t>
        </is>
      </c>
      <c r="C153" s="55">
        <f>SUMIFS(tbl_WIP[Amount],tbl_WIP[Job Number],$A153,tbl_WIP[Month],"&lt;&gt;",tbl_WIP[Month],"&lt;"&amp;$C$4)+SUMIF('Deferred Revenue'!$E$6:$E$578,$A153,'Deferred Revenue'!$P$6:$P$578)</f>
        <v/>
      </c>
      <c r="D153" s="55">
        <f>SUMIFS(tbl_WIP[Amount],tbl_WIP[Job Number],$A153,tbl_WIP[Month],$C$4)+SUMIF('Deferred Revenue'!$E$6:$E$578,$A153,'Deferred Revenue'!$Q$6:$Q$578)</f>
        <v/>
      </c>
      <c r="E153" s="55">
        <f>C153+D153</f>
        <v/>
      </c>
      <c r="F153" s="56">
        <f>IF(ROUND(C153,2)+ROUND(D153,2)=0,"","yes")</f>
        <v/>
      </c>
      <c r="G153" s="57" t="n"/>
      <c r="H153" s="55">
        <f>IF($G153="","",$E153-$G153)</f>
        <v/>
      </c>
    </row>
    <row r="154">
      <c r="A154" s="54" t="inlineStr">
        <is>
          <t>2604704</t>
        </is>
      </c>
      <c r="B154" s="54" t="inlineStr">
        <is>
          <t>Aware Super Seminar Room Audio Upgrade</t>
        </is>
      </c>
      <c r="C154" s="55">
        <f>SUMIFS(tbl_WIP[Amount],tbl_WIP[Job Number],$A154,tbl_WIP[Month],"&lt;&gt;",tbl_WIP[Month],"&lt;"&amp;$C$4)+SUMIF('Deferred Revenue'!$E$6:$E$578,$A154,'Deferred Revenue'!$P$6:$P$578)</f>
        <v/>
      </c>
      <c r="D154" s="55">
        <f>SUMIFS(tbl_WIP[Amount],tbl_WIP[Job Number],$A154,tbl_WIP[Month],$C$4)+SUMIF('Deferred Revenue'!$E$6:$E$578,$A154,'Deferred Revenue'!$Q$6:$Q$578)</f>
        <v/>
      </c>
      <c r="E154" s="55">
        <f>C154+D154</f>
        <v/>
      </c>
      <c r="F154" s="56">
        <f>IF(ROUND(C154,2)+ROUND(D154,2)=0,"","yes")</f>
        <v/>
      </c>
      <c r="G154" s="57" t="n"/>
      <c r="H154" s="55">
        <f>IF($G154="","",$E154-$G154)</f>
        <v/>
      </c>
    </row>
    <row r="155">
      <c r="A155" s="54" t="inlineStr">
        <is>
          <t>2604802</t>
        </is>
      </c>
      <c r="B155" s="54" t="inlineStr">
        <is>
          <t>PwC - Audio Support - 29.4.26</t>
        </is>
      </c>
      <c r="C155" s="55">
        <f>SUMIFS(tbl_WIP[Amount],tbl_WIP[Job Number],$A155,tbl_WIP[Month],"&lt;&gt;",tbl_WIP[Month],"&lt;"&amp;$C$4)+SUMIF('Deferred Revenue'!$E$6:$E$578,$A155,'Deferred Revenue'!$P$6:$P$578)</f>
        <v/>
      </c>
      <c r="D155" s="55">
        <f>SUMIFS(tbl_WIP[Amount],tbl_WIP[Job Number],$A155,tbl_WIP[Month],$C$4)+SUMIF('Deferred Revenue'!$E$6:$E$578,$A155,'Deferred Revenue'!$Q$6:$Q$578)</f>
        <v/>
      </c>
      <c r="E155" s="55">
        <f>C155+D155</f>
        <v/>
      </c>
      <c r="F155" s="56">
        <f>IF(ROUND(C155,2)+ROUND(D155,2)=0,"","yes")</f>
        <v/>
      </c>
      <c r="G155" s="57" t="n"/>
      <c r="H155" s="55">
        <f>IF($G155="","",$E155-$G155)</f>
        <v/>
      </c>
    </row>
    <row r="156">
      <c r="A156" s="54" t="inlineStr">
        <is>
          <t>26051101</t>
        </is>
      </c>
      <c r="B156" s="54" t="inlineStr">
        <is>
          <t>DTTL Mardi Gras/Vivid Event 27/05/26</t>
        </is>
      </c>
      <c r="C156" s="55">
        <f>SUMIFS(tbl_WIP[Amount],tbl_WIP[Job Number],$A156,tbl_WIP[Month],"&lt;&gt;",tbl_WIP[Month],"&lt;"&amp;$C$4)+SUMIF('Deferred Revenue'!$E$6:$E$578,$A156,'Deferred Revenue'!$P$6:$P$578)</f>
        <v/>
      </c>
      <c r="D156" s="55">
        <f>SUMIFS(tbl_WIP[Amount],tbl_WIP[Job Number],$A156,tbl_WIP[Month],$C$4)+SUMIF('Deferred Revenue'!$E$6:$E$578,$A156,'Deferred Revenue'!$Q$6:$Q$578)</f>
        <v/>
      </c>
      <c r="E156" s="55">
        <f>C156+D156</f>
        <v/>
      </c>
      <c r="F156" s="56">
        <f>IF(ROUND(C156,2)+ROUND(D156,2)=0,"","yes")</f>
        <v/>
      </c>
      <c r="G156" s="57" t="n"/>
      <c r="H156" s="55">
        <f>IF($G156="","",$E156-$G156)</f>
        <v/>
      </c>
    </row>
    <row r="157">
      <c r="A157" s="54" t="inlineStr">
        <is>
          <t>26051101V</t>
        </is>
      </c>
      <c r="B157" s="54" t="inlineStr">
        <is>
          <t>DTTL Mardi Gras/Vivid Event 27/05/26</t>
        </is>
      </c>
      <c r="C157" s="55">
        <f>SUMIFS(tbl_WIP[Amount],tbl_WIP[Job Number],$A157,tbl_WIP[Month],"&lt;&gt;",tbl_WIP[Month],"&lt;"&amp;$C$4)+SUMIF('Deferred Revenue'!$E$6:$E$578,$A157,'Deferred Revenue'!$P$6:$P$578)</f>
        <v/>
      </c>
      <c r="D157" s="55">
        <f>SUMIFS(tbl_WIP[Amount],tbl_WIP[Job Number],$A157,tbl_WIP[Month],$C$4)+SUMIF('Deferred Revenue'!$E$6:$E$578,$A157,'Deferred Revenue'!$Q$6:$Q$578)</f>
        <v/>
      </c>
      <c r="E157" s="55">
        <f>C157+D157</f>
        <v/>
      </c>
      <c r="F157" s="56">
        <f>IF(ROUND(C157,2)+ROUND(D157,2)=0,"","yes")</f>
        <v/>
      </c>
      <c r="G157" s="57" t="n"/>
      <c r="H157" s="55">
        <f>IF($G157="","",$E157-$G157)</f>
        <v/>
      </c>
    </row>
    <row r="158">
      <c r="A158" s="54" t="inlineStr">
        <is>
          <t>26051102</t>
        </is>
      </c>
      <c r="B158" s="54" t="inlineStr">
        <is>
          <t>DTTL - CEO Roadshow - 1.6.26</t>
        </is>
      </c>
      <c r="C158" s="55">
        <f>SUMIFS(tbl_WIP[Amount],tbl_WIP[Job Number],$A158,tbl_WIP[Month],"&lt;&gt;",tbl_WIP[Month],"&lt;"&amp;$C$4)+SUMIF('Deferred Revenue'!$E$6:$E$578,$A158,'Deferred Revenue'!$P$6:$P$578)</f>
        <v/>
      </c>
      <c r="D158" s="55">
        <f>SUMIFS(tbl_WIP[Amount],tbl_WIP[Job Number],$A158,tbl_WIP[Month],$C$4)+SUMIF('Deferred Revenue'!$E$6:$E$578,$A158,'Deferred Revenue'!$Q$6:$Q$578)</f>
        <v/>
      </c>
      <c r="E158" s="55">
        <f>C158+D158</f>
        <v/>
      </c>
      <c r="F158" s="56">
        <f>IF(ROUND(C158,2)+ROUND(D158,2)=0,"","yes")</f>
        <v/>
      </c>
      <c r="G158" s="57" t="n"/>
      <c r="H158" s="55">
        <f>IF($G158="","",$E158-$G158)</f>
        <v/>
      </c>
    </row>
    <row r="159">
      <c r="A159" s="54" t="inlineStr">
        <is>
          <t>26051102V</t>
        </is>
      </c>
      <c r="B159" s="54" t="inlineStr">
        <is>
          <t>DTTL - CEO Roadshow - 1.6.26</t>
        </is>
      </c>
      <c r="C159" s="55">
        <f>SUMIFS(tbl_WIP[Amount],tbl_WIP[Job Number],$A159,tbl_WIP[Month],"&lt;&gt;",tbl_WIP[Month],"&lt;"&amp;$C$4)+SUMIF('Deferred Revenue'!$E$6:$E$578,$A159,'Deferred Revenue'!$P$6:$P$578)</f>
        <v/>
      </c>
      <c r="D159" s="55">
        <f>SUMIFS(tbl_WIP[Amount],tbl_WIP[Job Number],$A159,tbl_WIP[Month],$C$4)+SUMIF('Deferred Revenue'!$E$6:$E$578,$A159,'Deferred Revenue'!$Q$6:$Q$578)</f>
        <v/>
      </c>
      <c r="E159" s="55">
        <f>C159+D159</f>
        <v/>
      </c>
      <c r="F159" s="56">
        <f>IF(ROUND(C159,2)+ROUND(D159,2)=0,"","yes")</f>
        <v/>
      </c>
      <c r="G159" s="57" t="n"/>
      <c r="H159" s="55">
        <f>IF($G159="","",$E159-$G159)</f>
        <v/>
      </c>
    </row>
    <row r="160">
      <c r="A160" s="54" t="inlineStr">
        <is>
          <t>26051103</t>
        </is>
      </c>
      <c r="B160" s="54" t="inlineStr">
        <is>
          <t>PwC PER Studio Support 25.05.26</t>
        </is>
      </c>
      <c r="C160" s="55">
        <f>SUMIFS(tbl_WIP[Amount],tbl_WIP[Job Number],$A160,tbl_WIP[Month],"&lt;&gt;",tbl_WIP[Month],"&lt;"&amp;$C$4)+SUMIF('Deferred Revenue'!$E$6:$E$578,$A160,'Deferred Revenue'!$P$6:$P$578)</f>
        <v/>
      </c>
      <c r="D160" s="55">
        <f>SUMIFS(tbl_WIP[Amount],tbl_WIP[Job Number],$A160,tbl_WIP[Month],$C$4)+SUMIF('Deferred Revenue'!$E$6:$E$578,$A160,'Deferred Revenue'!$Q$6:$Q$578)</f>
        <v/>
      </c>
      <c r="E160" s="55">
        <f>C160+D160</f>
        <v/>
      </c>
      <c r="F160" s="56">
        <f>IF(ROUND(C160,2)+ROUND(D160,2)=0,"","yes")</f>
        <v/>
      </c>
      <c r="G160" s="57" t="n"/>
      <c r="H160" s="55">
        <f>IF($G160="","",$E160-$G160)</f>
        <v/>
      </c>
    </row>
    <row r="161">
      <c r="A161" s="54" t="inlineStr">
        <is>
          <t>26051103V</t>
        </is>
      </c>
      <c r="B161" s="54" t="inlineStr">
        <is>
          <t>PwC PER Studio Support 25.05.26</t>
        </is>
      </c>
      <c r="C161" s="55">
        <f>SUMIFS(tbl_WIP[Amount],tbl_WIP[Job Number],$A161,tbl_WIP[Month],"&lt;&gt;",tbl_WIP[Month],"&lt;"&amp;$C$4)+SUMIF('Deferred Revenue'!$E$6:$E$578,$A161,'Deferred Revenue'!$P$6:$P$578)</f>
        <v/>
      </c>
      <c r="D161" s="55">
        <f>SUMIFS(tbl_WIP[Amount],tbl_WIP[Job Number],$A161,tbl_WIP[Month],$C$4)+SUMIF('Deferred Revenue'!$E$6:$E$578,$A161,'Deferred Revenue'!$Q$6:$Q$578)</f>
        <v/>
      </c>
      <c r="E161" s="55">
        <f>C161+D161</f>
        <v/>
      </c>
      <c r="F161" s="56">
        <f>IF(ROUND(C161,2)+ROUND(D161,2)=0,"","yes")</f>
        <v/>
      </c>
      <c r="G161" s="57" t="n"/>
      <c r="H161" s="55">
        <f>IF($G161="","",$E161-$G161)</f>
        <v/>
      </c>
    </row>
    <row r="162">
      <c r="A162" s="54" t="inlineStr">
        <is>
          <t>26051201</t>
        </is>
      </c>
      <c r="B162" s="54" t="inlineStr">
        <is>
          <t>ASX CEO Farewell Highlights</t>
        </is>
      </c>
      <c r="C162" s="55">
        <f>SUMIFS(tbl_WIP[Amount],tbl_WIP[Job Number],$A162,tbl_WIP[Month],"&lt;&gt;",tbl_WIP[Month],"&lt;"&amp;$C$4)+SUMIF('Deferred Revenue'!$E$6:$E$578,$A162,'Deferred Revenue'!$P$6:$P$578)</f>
        <v/>
      </c>
      <c r="D162" s="55">
        <f>SUMIFS(tbl_WIP[Amount],tbl_WIP[Job Number],$A162,tbl_WIP[Month],$C$4)+SUMIF('Deferred Revenue'!$E$6:$E$578,$A162,'Deferred Revenue'!$Q$6:$Q$578)</f>
        <v/>
      </c>
      <c r="E162" s="55">
        <f>C162+D162</f>
        <v/>
      </c>
      <c r="F162" s="56">
        <f>IF(ROUND(C162,2)+ROUND(D162,2)=0,"","yes")</f>
        <v/>
      </c>
      <c r="G162" s="57" t="n"/>
      <c r="H162" s="55">
        <f>IF($G162="","",$E162-$G162)</f>
        <v/>
      </c>
    </row>
    <row r="163">
      <c r="A163" s="54" t="inlineStr">
        <is>
          <t>26051301</t>
        </is>
      </c>
      <c r="B163" s="54" t="inlineStr">
        <is>
          <t>HP-BAE | Phone Mod</t>
        </is>
      </c>
      <c r="C163" s="55">
        <f>SUMIFS(tbl_WIP[Amount],tbl_WIP[Job Number],$A163,tbl_WIP[Month],"&lt;&gt;",tbl_WIP[Month],"&lt;"&amp;$C$4)+SUMIF('Deferred Revenue'!$E$6:$E$578,$A163,'Deferred Revenue'!$P$6:$P$578)</f>
        <v/>
      </c>
      <c r="D163" s="55">
        <f>SUMIFS(tbl_WIP[Amount],tbl_WIP[Job Number],$A163,tbl_WIP[Month],$C$4)+SUMIF('Deferred Revenue'!$E$6:$E$578,$A163,'Deferred Revenue'!$Q$6:$Q$578)</f>
        <v/>
      </c>
      <c r="E163" s="55">
        <f>C163+D163</f>
        <v/>
      </c>
      <c r="F163" s="56">
        <f>IF(ROUND(C163,2)+ROUND(D163,2)=0,"","yes")</f>
        <v/>
      </c>
      <c r="G163" s="57" t="n"/>
      <c r="H163" s="55">
        <f>IF($G163="","",$E163-$G163)</f>
        <v/>
      </c>
    </row>
    <row r="164">
      <c r="A164" s="54" t="inlineStr">
        <is>
          <t>26051401</t>
        </is>
      </c>
      <c r="B164" s="54" t="inlineStr">
        <is>
          <t>ASX - Business Meeting - 27.5.26</t>
        </is>
      </c>
      <c r="C164" s="55">
        <f>SUMIFS(tbl_WIP[Amount],tbl_WIP[Job Number],$A164,tbl_WIP[Month],"&lt;&gt;",tbl_WIP[Month],"&lt;"&amp;$C$4)+SUMIF('Deferred Revenue'!$E$6:$E$578,$A164,'Deferred Revenue'!$P$6:$P$578)</f>
        <v/>
      </c>
      <c r="D164" s="55">
        <f>SUMIFS(tbl_WIP[Amount],tbl_WIP[Job Number],$A164,tbl_WIP[Month],$C$4)+SUMIF('Deferred Revenue'!$E$6:$E$578,$A164,'Deferred Revenue'!$Q$6:$Q$578)</f>
        <v/>
      </c>
      <c r="E164" s="55">
        <f>C164+D164</f>
        <v/>
      </c>
      <c r="F164" s="56">
        <f>IF(ROUND(C164,2)+ROUND(D164,2)=0,"","yes")</f>
        <v/>
      </c>
      <c r="G164" s="57" t="n"/>
      <c r="H164" s="55">
        <f>IF($G164="","",$E164-$G164)</f>
        <v/>
      </c>
    </row>
    <row r="165">
      <c r="A165" s="54" t="inlineStr">
        <is>
          <t>26051401V</t>
        </is>
      </c>
      <c r="B165" s="54" t="inlineStr">
        <is>
          <t>ASX - Business Meeting - 27.5.26</t>
        </is>
      </c>
      <c r="C165" s="55">
        <f>SUMIFS(tbl_WIP[Amount],tbl_WIP[Job Number],$A165,tbl_WIP[Month],"&lt;&gt;",tbl_WIP[Month],"&lt;"&amp;$C$4)+SUMIF('Deferred Revenue'!$E$6:$E$578,$A165,'Deferred Revenue'!$P$6:$P$578)</f>
        <v/>
      </c>
      <c r="D165" s="55">
        <f>SUMIFS(tbl_WIP[Amount],tbl_WIP[Job Number],$A165,tbl_WIP[Month],$C$4)+SUMIF('Deferred Revenue'!$E$6:$E$578,$A165,'Deferred Revenue'!$Q$6:$Q$578)</f>
        <v/>
      </c>
      <c r="E165" s="55">
        <f>C165+D165</f>
        <v/>
      </c>
      <c r="F165" s="56">
        <f>IF(ROUND(C165,2)+ROUND(D165,2)=0,"","yes")</f>
        <v/>
      </c>
      <c r="G165" s="57" t="n"/>
      <c r="H165" s="55">
        <f>IF($G165="","",$E165-$G165)</f>
        <v/>
      </c>
    </row>
    <row r="166">
      <c r="A166" s="54" t="inlineStr">
        <is>
          <t>26051402</t>
        </is>
      </c>
      <c r="B166" s="54" t="inlineStr">
        <is>
          <t>PwC Foldback Monitor Hire</t>
        </is>
      </c>
      <c r="C166" s="55">
        <f>SUMIFS(tbl_WIP[Amount],tbl_WIP[Job Number],$A166,tbl_WIP[Month],"&lt;&gt;",tbl_WIP[Month],"&lt;"&amp;$C$4)+SUMIF('Deferred Revenue'!$E$6:$E$578,$A166,'Deferred Revenue'!$P$6:$P$578)</f>
        <v/>
      </c>
      <c r="D166" s="55">
        <f>SUMIFS(tbl_WIP[Amount],tbl_WIP[Job Number],$A166,tbl_WIP[Month],$C$4)+SUMIF('Deferred Revenue'!$E$6:$E$578,$A166,'Deferred Revenue'!$Q$6:$Q$578)</f>
        <v/>
      </c>
      <c r="E166" s="55">
        <f>C166+D166</f>
        <v/>
      </c>
      <c r="F166" s="56">
        <f>IF(ROUND(C166,2)+ROUND(D166,2)=0,"","yes")</f>
        <v/>
      </c>
      <c r="G166" s="57" t="n"/>
      <c r="H166" s="55">
        <f>IF($G166="","",$E166-$G166)</f>
        <v/>
      </c>
    </row>
    <row r="167">
      <c r="A167" s="54" t="inlineStr">
        <is>
          <t>26051801</t>
        </is>
      </c>
      <c r="B167" s="54" t="inlineStr">
        <is>
          <t>PwC | Mel Studio Equipment</t>
        </is>
      </c>
      <c r="C167" s="55">
        <f>SUMIFS(tbl_WIP[Amount],tbl_WIP[Job Number],$A167,tbl_WIP[Month],"&lt;&gt;",tbl_WIP[Month],"&lt;"&amp;$C$4)+SUMIF('Deferred Revenue'!$E$6:$E$578,$A167,'Deferred Revenue'!$P$6:$P$578)</f>
        <v/>
      </c>
      <c r="D167" s="55">
        <f>SUMIFS(tbl_WIP[Amount],tbl_WIP[Job Number],$A167,tbl_WIP[Month],$C$4)+SUMIF('Deferred Revenue'!$E$6:$E$578,$A167,'Deferred Revenue'!$Q$6:$Q$578)</f>
        <v/>
      </c>
      <c r="E167" s="55">
        <f>C167+D167</f>
        <v/>
      </c>
      <c r="F167" s="56">
        <f>IF(ROUND(C167,2)+ROUND(D167,2)=0,"","yes")</f>
        <v/>
      </c>
      <c r="G167" s="57" t="n"/>
      <c r="H167" s="55">
        <f>IF($G167="","",$E167-$G167)</f>
        <v/>
      </c>
    </row>
    <row r="168">
      <c r="A168" s="54" t="inlineStr">
        <is>
          <t>26051803</t>
        </is>
      </c>
      <c r="B168" s="54" t="inlineStr">
        <is>
          <t>AVIT - Taronga ZOO AV Support - May 2026</t>
        </is>
      </c>
      <c r="C168" s="55">
        <f>SUMIFS(tbl_WIP[Amount],tbl_WIP[Job Number],$A168,tbl_WIP[Month],"&lt;&gt;",tbl_WIP[Month],"&lt;"&amp;$C$4)+SUMIF('Deferred Revenue'!$E$6:$E$578,$A168,'Deferred Revenue'!$P$6:$P$578)</f>
        <v/>
      </c>
      <c r="D168" s="55">
        <f>SUMIFS(tbl_WIP[Amount],tbl_WIP[Job Number],$A168,tbl_WIP[Month],$C$4)+SUMIF('Deferred Revenue'!$E$6:$E$578,$A168,'Deferred Revenue'!$Q$6:$Q$578)</f>
        <v/>
      </c>
      <c r="E168" s="55">
        <f>C168+D168</f>
        <v/>
      </c>
      <c r="F168" s="56">
        <f>IF(ROUND(C168,2)+ROUND(D168,2)=0,"","yes")</f>
        <v/>
      </c>
      <c r="G168" s="57" t="n"/>
      <c r="H168" s="55">
        <f>IF($G168="","",$E168-$G168)</f>
        <v/>
      </c>
    </row>
    <row r="169">
      <c r="A169" s="54" t="inlineStr">
        <is>
          <t>26052001</t>
        </is>
      </c>
      <c r="B169" s="54" t="inlineStr">
        <is>
          <t>MeetMagic - AI Behaviour Event - 29.5.26</t>
        </is>
      </c>
      <c r="C169" s="55">
        <f>SUMIFS(tbl_WIP[Amount],tbl_WIP[Job Number],$A169,tbl_WIP[Month],"&lt;&gt;",tbl_WIP[Month],"&lt;"&amp;$C$4)+SUMIF('Deferred Revenue'!$E$6:$E$578,$A169,'Deferred Revenue'!$P$6:$P$578)</f>
        <v/>
      </c>
      <c r="D169" s="55">
        <f>SUMIFS(tbl_WIP[Amount],tbl_WIP[Job Number],$A169,tbl_WIP[Month],$C$4)+SUMIF('Deferred Revenue'!$E$6:$E$578,$A169,'Deferred Revenue'!$Q$6:$Q$578)</f>
        <v/>
      </c>
      <c r="E169" s="55">
        <f>C169+D169</f>
        <v/>
      </c>
      <c r="F169" s="56">
        <f>IF(ROUND(C169,2)+ROUND(D169,2)=0,"","yes")</f>
        <v/>
      </c>
      <c r="G169" s="57" t="n"/>
      <c r="H169" s="55">
        <f>IF($G169="","",$E169-$G169)</f>
        <v/>
      </c>
    </row>
    <row r="170">
      <c r="A170" s="54" t="inlineStr">
        <is>
          <t>26052001V</t>
        </is>
      </c>
      <c r="B170" s="54" t="inlineStr">
        <is>
          <t>MeetMagic - AI Behaviour Event - 29.5.26</t>
        </is>
      </c>
      <c r="C170" s="55">
        <f>SUMIFS(tbl_WIP[Amount],tbl_WIP[Job Number],$A170,tbl_WIP[Month],"&lt;&gt;",tbl_WIP[Month],"&lt;"&amp;$C$4)+SUMIF('Deferred Revenue'!$E$6:$E$578,$A170,'Deferred Revenue'!$P$6:$P$578)</f>
        <v/>
      </c>
      <c r="D170" s="55">
        <f>SUMIFS(tbl_WIP[Amount],tbl_WIP[Job Number],$A170,tbl_WIP[Month],$C$4)+SUMIF('Deferred Revenue'!$E$6:$E$578,$A170,'Deferred Revenue'!$Q$6:$Q$578)</f>
        <v/>
      </c>
      <c r="E170" s="55">
        <f>C170+D170</f>
        <v/>
      </c>
      <c r="F170" s="56">
        <f>IF(ROUND(C170,2)+ROUND(D170,2)=0,"","yes")</f>
        <v/>
      </c>
      <c r="G170" s="57" t="n"/>
      <c r="H170" s="55">
        <f>IF($G170="","",$E170-$G170)</f>
        <v/>
      </c>
    </row>
    <row r="171">
      <c r="A171" s="54" t="inlineStr">
        <is>
          <t>26052002</t>
        </is>
      </c>
      <c r="B171" s="54" t="inlineStr">
        <is>
          <t>DTTL BNE L23 Training Rooms Upgrade</t>
        </is>
      </c>
      <c r="C171" s="55">
        <f>SUMIFS(tbl_WIP[Amount],tbl_WIP[Job Number],$A171,tbl_WIP[Month],"&lt;&gt;",tbl_WIP[Month],"&lt;"&amp;$C$4)+SUMIF('Deferred Revenue'!$E$6:$E$578,$A171,'Deferred Revenue'!$P$6:$P$578)</f>
        <v/>
      </c>
      <c r="D171" s="55">
        <f>SUMIFS(tbl_WIP[Amount],tbl_WIP[Job Number],$A171,tbl_WIP[Month],$C$4)+SUMIF('Deferred Revenue'!$E$6:$E$578,$A171,'Deferred Revenue'!$Q$6:$Q$578)</f>
        <v/>
      </c>
      <c r="E171" s="55">
        <f>C171+D171</f>
        <v/>
      </c>
      <c r="F171" s="56">
        <f>IF(ROUND(C171,2)+ROUND(D171,2)=0,"","yes")</f>
        <v/>
      </c>
      <c r="G171" s="57" t="n"/>
      <c r="H171" s="55">
        <f>IF($G171="","",$E171-$G171)</f>
        <v/>
      </c>
    </row>
    <row r="172">
      <c r="A172" s="54" t="inlineStr">
        <is>
          <t>26052003</t>
        </is>
      </c>
      <c r="B172" s="54" t="inlineStr">
        <is>
          <t>DTTL Mobile Commbox Displays</t>
        </is>
      </c>
      <c r="C172" s="55">
        <f>SUMIFS(tbl_WIP[Amount],tbl_WIP[Job Number],$A172,tbl_WIP[Month],"&lt;&gt;",tbl_WIP[Month],"&lt;"&amp;$C$4)+SUMIF('Deferred Revenue'!$E$6:$E$578,$A172,'Deferred Revenue'!$P$6:$P$578)</f>
        <v/>
      </c>
      <c r="D172" s="55">
        <f>SUMIFS(tbl_WIP[Amount],tbl_WIP[Job Number],$A172,tbl_WIP[Month],$C$4)+SUMIF('Deferred Revenue'!$E$6:$E$578,$A172,'Deferred Revenue'!$Q$6:$Q$578)</f>
        <v/>
      </c>
      <c r="E172" s="55">
        <f>C172+D172</f>
        <v/>
      </c>
      <c r="F172" s="56">
        <f>IF(ROUND(C172,2)+ROUND(D172,2)=0,"","yes")</f>
        <v/>
      </c>
      <c r="G172" s="57" t="n"/>
      <c r="H172" s="55">
        <f>IF($G172="","",$E172-$G172)</f>
        <v/>
      </c>
    </row>
    <row r="173">
      <c r="A173" s="54" t="inlineStr">
        <is>
          <t>26052004</t>
        </is>
      </c>
      <c r="B173" s="54" t="inlineStr">
        <is>
          <t>CBA - Live Event Support - June 2026</t>
        </is>
      </c>
      <c r="C173" s="55">
        <f>SUMIFS(tbl_WIP[Amount],tbl_WIP[Job Number],$A173,tbl_WIP[Month],"&lt;&gt;",tbl_WIP[Month],"&lt;"&amp;$C$4)+SUMIF('Deferred Revenue'!$E$6:$E$578,$A173,'Deferred Revenue'!$P$6:$P$578)</f>
        <v/>
      </c>
      <c r="D173" s="55">
        <f>SUMIFS(tbl_WIP[Amount],tbl_WIP[Job Number],$A173,tbl_WIP[Month],$C$4)+SUMIF('Deferred Revenue'!$E$6:$E$578,$A173,'Deferred Revenue'!$Q$6:$Q$578)</f>
        <v/>
      </c>
      <c r="E173" s="55">
        <f>C173+D173</f>
        <v/>
      </c>
      <c r="F173" s="56">
        <f>IF(ROUND(C173,2)+ROUND(D173,2)=0,"","yes")</f>
        <v/>
      </c>
      <c r="G173" s="57" t="n"/>
      <c r="H173" s="55">
        <f>IF($G173="","",$E173-$G173)</f>
        <v/>
      </c>
    </row>
    <row r="174">
      <c r="A174" s="54" t="inlineStr">
        <is>
          <t>26052101</t>
        </is>
      </c>
      <c r="B174" s="54" t="inlineStr">
        <is>
          <t>MeetMagic - Human AI Event Highlights</t>
        </is>
      </c>
      <c r="C174" s="55">
        <f>SUMIFS(tbl_WIP[Amount],tbl_WIP[Job Number],$A174,tbl_WIP[Month],"&lt;&gt;",tbl_WIP[Month],"&lt;"&amp;$C$4)+SUMIF('Deferred Revenue'!$E$6:$E$578,$A174,'Deferred Revenue'!$P$6:$P$578)</f>
        <v/>
      </c>
      <c r="D174" s="55">
        <f>SUMIFS(tbl_WIP[Amount],tbl_WIP[Job Number],$A174,tbl_WIP[Month],$C$4)+SUMIF('Deferred Revenue'!$E$6:$E$578,$A174,'Deferred Revenue'!$Q$6:$Q$578)</f>
        <v/>
      </c>
      <c r="E174" s="55">
        <f>C174+D174</f>
        <v/>
      </c>
      <c r="F174" s="56">
        <f>IF(ROUND(C174,2)+ROUND(D174,2)=0,"","yes")</f>
        <v/>
      </c>
      <c r="G174" s="57" t="n"/>
      <c r="H174" s="55">
        <f>IF($G174="","",$E174-$G174)</f>
        <v/>
      </c>
    </row>
    <row r="175">
      <c r="A175" s="54" t="inlineStr">
        <is>
          <t>26052102</t>
        </is>
      </c>
      <c r="B175" s="54" t="inlineStr">
        <is>
          <t>HP-D3 | Austrac Phone Mods</t>
        </is>
      </c>
      <c r="C175" s="55">
        <f>SUMIFS(tbl_WIP[Amount],tbl_WIP[Job Number],$A175,tbl_WIP[Month],"&lt;&gt;",tbl_WIP[Month],"&lt;"&amp;$C$4)+SUMIF('Deferred Revenue'!$E$6:$E$578,$A175,'Deferred Revenue'!$P$6:$P$578)</f>
        <v/>
      </c>
      <c r="D175" s="55">
        <f>SUMIFS(tbl_WIP[Amount],tbl_WIP[Job Number],$A175,tbl_WIP[Month],$C$4)+SUMIF('Deferred Revenue'!$E$6:$E$578,$A175,'Deferred Revenue'!$Q$6:$Q$578)</f>
        <v/>
      </c>
      <c r="E175" s="55">
        <f>C175+D175</f>
        <v/>
      </c>
      <c r="F175" s="56">
        <f>IF(ROUND(C175,2)+ROUND(D175,2)=0,"","yes")</f>
        <v/>
      </c>
      <c r="G175" s="57" t="n"/>
      <c r="H175" s="55">
        <f>IF($G175="","",$E175-$G175)</f>
        <v/>
      </c>
    </row>
    <row r="176">
      <c r="A176" s="54" t="inlineStr">
        <is>
          <t>26052103</t>
        </is>
      </c>
      <c r="B176" s="54" t="inlineStr">
        <is>
          <t>Ventia - LTI FY26 Video Record</t>
        </is>
      </c>
      <c r="C176" s="55">
        <f>SUMIFS(tbl_WIP[Amount],tbl_WIP[Job Number],$A176,tbl_WIP[Month],"&lt;&gt;",tbl_WIP[Month],"&lt;"&amp;$C$4)+SUMIF('Deferred Revenue'!$E$6:$E$578,$A176,'Deferred Revenue'!$P$6:$P$578)</f>
        <v/>
      </c>
      <c r="D176" s="55">
        <f>SUMIFS(tbl_WIP[Amount],tbl_WIP[Job Number],$A176,tbl_WIP[Month],$C$4)+SUMIF('Deferred Revenue'!$E$6:$E$578,$A176,'Deferred Revenue'!$Q$6:$Q$578)</f>
        <v/>
      </c>
      <c r="E176" s="55">
        <f>C176+D176</f>
        <v/>
      </c>
      <c r="F176" s="56">
        <f>IF(ROUND(C176,2)+ROUND(D176,2)=0,"","yes")</f>
        <v/>
      </c>
      <c r="G176" s="57" t="n"/>
      <c r="H176" s="55">
        <f>IF($G176="","",$E176-$G176)</f>
        <v/>
      </c>
    </row>
    <row r="177">
      <c r="A177" s="54" t="inlineStr">
        <is>
          <t>26052501V</t>
        </is>
      </c>
      <c r="B177" s="54" t="inlineStr">
        <is>
          <t>AVIT - Taronga AV Event Support - 26-27.5.26</t>
        </is>
      </c>
      <c r="C177" s="55">
        <f>SUMIFS(tbl_WIP[Amount],tbl_WIP[Job Number],$A177,tbl_WIP[Month],"&lt;&gt;",tbl_WIP[Month],"&lt;"&amp;$C$4)+SUMIF('Deferred Revenue'!$E$6:$E$578,$A177,'Deferred Revenue'!$P$6:$P$578)</f>
        <v/>
      </c>
      <c r="D177" s="55">
        <f>SUMIFS(tbl_WIP[Amount],tbl_WIP[Job Number],$A177,tbl_WIP[Month],$C$4)+SUMIF('Deferred Revenue'!$E$6:$E$578,$A177,'Deferred Revenue'!$Q$6:$Q$578)</f>
        <v/>
      </c>
      <c r="E177" s="55">
        <f>C177+D177</f>
        <v/>
      </c>
      <c r="F177" s="56">
        <f>IF(ROUND(C177,2)+ROUND(D177,2)=0,"","yes")</f>
        <v/>
      </c>
      <c r="G177" s="57" t="n"/>
      <c r="H177" s="55">
        <f>IF($G177="","",$E177-$G177)</f>
        <v/>
      </c>
    </row>
    <row r="178">
      <c r="A178" s="54" t="inlineStr">
        <is>
          <t>26052502</t>
        </is>
      </c>
      <c r="B178" s="54" t="inlineStr">
        <is>
          <t>AVIT - Taronga AV Event Support 4-5.06.26</t>
        </is>
      </c>
      <c r="C178" s="55">
        <f>SUMIFS(tbl_WIP[Amount],tbl_WIP[Job Number],$A178,tbl_WIP[Month],"&lt;&gt;",tbl_WIP[Month],"&lt;"&amp;$C$4)+SUMIF('Deferred Revenue'!$E$6:$E$578,$A178,'Deferred Revenue'!$P$6:$P$578)</f>
        <v/>
      </c>
      <c r="D178" s="55">
        <f>SUMIFS(tbl_WIP[Amount],tbl_WIP[Job Number],$A178,tbl_WIP[Month],$C$4)+SUMIF('Deferred Revenue'!$E$6:$E$578,$A178,'Deferred Revenue'!$Q$6:$Q$578)</f>
        <v/>
      </c>
      <c r="E178" s="55">
        <f>C178+D178</f>
        <v/>
      </c>
      <c r="F178" s="56">
        <f>IF(ROUND(C178,2)+ROUND(D178,2)=0,"","yes")</f>
        <v/>
      </c>
      <c r="G178" s="57" t="n"/>
      <c r="H178" s="55">
        <f>IF($G178="","",$E178-$G178)</f>
        <v/>
      </c>
    </row>
    <row r="179">
      <c r="A179" s="54" t="inlineStr">
        <is>
          <t>26052502V</t>
        </is>
      </c>
      <c r="B179" s="54" t="inlineStr">
        <is>
          <t>AVIT - Taronga AV Event Support 4-5.06.26</t>
        </is>
      </c>
      <c r="C179" s="55">
        <f>SUMIFS(tbl_WIP[Amount],tbl_WIP[Job Number],$A179,tbl_WIP[Month],"&lt;&gt;",tbl_WIP[Month],"&lt;"&amp;$C$4)+SUMIF('Deferred Revenue'!$E$6:$E$578,$A179,'Deferred Revenue'!$P$6:$P$578)</f>
        <v/>
      </c>
      <c r="D179" s="55">
        <f>SUMIFS(tbl_WIP[Amount],tbl_WIP[Job Number],$A179,tbl_WIP[Month],$C$4)+SUMIF('Deferred Revenue'!$E$6:$E$578,$A179,'Deferred Revenue'!$Q$6:$Q$578)</f>
        <v/>
      </c>
      <c r="E179" s="55">
        <f>C179+D179</f>
        <v/>
      </c>
      <c r="F179" s="56">
        <f>IF(ROUND(C179,2)+ROUND(D179,2)=0,"","yes")</f>
        <v/>
      </c>
      <c r="G179" s="57" t="n"/>
      <c r="H179" s="55">
        <f>IF($G179="","",$E179-$G179)</f>
        <v/>
      </c>
    </row>
    <row r="180">
      <c r="A180" s="54" t="inlineStr">
        <is>
          <t>26052602</t>
        </is>
      </c>
      <c r="B180" s="54" t="inlineStr">
        <is>
          <t>DTTL MEL Display Supply</t>
        </is>
      </c>
      <c r="C180" s="55">
        <f>SUMIFS(tbl_WIP[Amount],tbl_WIP[Job Number],$A180,tbl_WIP[Month],"&lt;&gt;",tbl_WIP[Month],"&lt;"&amp;$C$4)+SUMIF('Deferred Revenue'!$E$6:$E$578,$A180,'Deferred Revenue'!$P$6:$P$578)</f>
        <v/>
      </c>
      <c r="D180" s="55">
        <f>SUMIFS(tbl_WIP[Amount],tbl_WIP[Job Number],$A180,tbl_WIP[Month],$C$4)+SUMIF('Deferred Revenue'!$E$6:$E$578,$A180,'Deferred Revenue'!$Q$6:$Q$578)</f>
        <v/>
      </c>
      <c r="E180" s="55">
        <f>C180+D180</f>
        <v/>
      </c>
      <c r="F180" s="56">
        <f>IF(ROUND(C180,2)+ROUND(D180,2)=0,"","yes")</f>
        <v/>
      </c>
      <c r="G180" s="57" t="n"/>
      <c r="H180" s="55">
        <f>IF($G180="","",$E180-$G180)</f>
        <v/>
      </c>
    </row>
    <row r="181">
      <c r="A181" s="54" t="inlineStr">
        <is>
          <t>26052701</t>
        </is>
      </c>
      <c r="B181" s="54" t="inlineStr">
        <is>
          <t>Aware | SYD 28.06 Equipment</t>
        </is>
      </c>
      <c r="C181" s="55">
        <f>SUMIFS(tbl_WIP[Amount],tbl_WIP[Job Number],$A181,tbl_WIP[Month],"&lt;&gt;",tbl_WIP[Month],"&lt;"&amp;$C$4)+SUMIF('Deferred Revenue'!$E$6:$E$578,$A181,'Deferred Revenue'!$P$6:$P$578)</f>
        <v/>
      </c>
      <c r="D181" s="55">
        <f>SUMIFS(tbl_WIP[Amount],tbl_WIP[Job Number],$A181,tbl_WIP[Month],$C$4)+SUMIF('Deferred Revenue'!$E$6:$E$578,$A181,'Deferred Revenue'!$Q$6:$Q$578)</f>
        <v/>
      </c>
      <c r="E181" s="55">
        <f>C181+D181</f>
        <v/>
      </c>
      <c r="F181" s="56">
        <f>IF(ROUND(C181,2)+ROUND(D181,2)=0,"","yes")</f>
        <v/>
      </c>
      <c r="G181" s="57" t="n"/>
      <c r="H181" s="55">
        <f>IF($G181="","",$E181-$G181)</f>
        <v/>
      </c>
    </row>
    <row r="182">
      <c r="A182" s="54" t="inlineStr">
        <is>
          <t>26052702</t>
        </is>
      </c>
      <c r="B182" s="54" t="inlineStr">
        <is>
          <t>ASX - FYR - 13.8.26</t>
        </is>
      </c>
      <c r="C182" s="55">
        <f>SUMIFS(tbl_WIP[Amount],tbl_WIP[Job Number],$A182,tbl_WIP[Month],"&lt;&gt;",tbl_WIP[Month],"&lt;"&amp;$C$4)+SUMIF('Deferred Revenue'!$E$6:$E$578,$A182,'Deferred Revenue'!$P$6:$P$578)</f>
        <v/>
      </c>
      <c r="D182" s="55">
        <f>SUMIFS(tbl_WIP[Amount],tbl_WIP[Job Number],$A182,tbl_WIP[Month],$C$4)+SUMIF('Deferred Revenue'!$E$6:$E$578,$A182,'Deferred Revenue'!$Q$6:$Q$578)</f>
        <v/>
      </c>
      <c r="E182" s="55">
        <f>C182+D182</f>
        <v/>
      </c>
      <c r="F182" s="56">
        <f>IF(ROUND(C182,2)+ROUND(D182,2)=0,"","yes")</f>
        <v/>
      </c>
      <c r="G182" s="57" t="n"/>
      <c r="H182" s="55">
        <f>IF($G182="","",$E182-$G182)</f>
        <v/>
      </c>
    </row>
    <row r="183">
      <c r="A183" s="54" t="inlineStr">
        <is>
          <t>26052702V</t>
        </is>
      </c>
      <c r="B183" s="54" t="inlineStr">
        <is>
          <t>ASX - FYR - 13.8.26</t>
        </is>
      </c>
      <c r="C183" s="55">
        <f>SUMIFS(tbl_WIP[Amount],tbl_WIP[Job Number],$A183,tbl_WIP[Month],"&lt;&gt;",tbl_WIP[Month],"&lt;"&amp;$C$4)+SUMIF('Deferred Revenue'!$E$6:$E$578,$A183,'Deferred Revenue'!$P$6:$P$578)</f>
        <v/>
      </c>
      <c r="D183" s="55">
        <f>SUMIFS(tbl_WIP[Amount],tbl_WIP[Job Number],$A183,tbl_WIP[Month],$C$4)+SUMIF('Deferred Revenue'!$E$6:$E$578,$A183,'Deferred Revenue'!$Q$6:$Q$578)</f>
        <v/>
      </c>
      <c r="E183" s="55">
        <f>C183+D183</f>
        <v/>
      </c>
      <c r="F183" s="56">
        <f>IF(ROUND(C183,2)+ROUND(D183,2)=0,"","yes")</f>
        <v/>
      </c>
      <c r="G183" s="57" t="n"/>
      <c r="H183" s="55">
        <f>IF($G183="","",$E183-$G183)</f>
        <v/>
      </c>
    </row>
    <row r="184">
      <c r="A184" s="54" t="inlineStr">
        <is>
          <t>26052703</t>
        </is>
      </c>
      <c r="B184" s="54" t="inlineStr">
        <is>
          <t>Microsoft Town Hall - 21.7.26</t>
        </is>
      </c>
      <c r="C184" s="55">
        <f>SUMIFS(tbl_WIP[Amount],tbl_WIP[Job Number],$A184,tbl_WIP[Month],"&lt;&gt;",tbl_WIP[Month],"&lt;"&amp;$C$4)+SUMIF('Deferred Revenue'!$E$6:$E$578,$A184,'Deferred Revenue'!$P$6:$P$578)</f>
        <v/>
      </c>
      <c r="D184" s="55">
        <f>SUMIFS(tbl_WIP[Amount],tbl_WIP[Job Number],$A184,tbl_WIP[Month],$C$4)+SUMIF('Deferred Revenue'!$E$6:$E$578,$A184,'Deferred Revenue'!$Q$6:$Q$578)</f>
        <v/>
      </c>
      <c r="E184" s="55">
        <f>C184+D184</f>
        <v/>
      </c>
      <c r="F184" s="56">
        <f>IF(ROUND(C184,2)+ROUND(D184,2)=0,"","yes")</f>
        <v/>
      </c>
      <c r="G184" s="57" t="n"/>
      <c r="H184" s="55">
        <f>IF($G184="","",$E184-$G184)</f>
        <v/>
      </c>
    </row>
    <row r="185">
      <c r="A185" s="54" t="inlineStr">
        <is>
          <t>26052703V</t>
        </is>
      </c>
      <c r="B185" s="54" t="inlineStr">
        <is>
          <t>Microsoft Town Hall - 21.7.26</t>
        </is>
      </c>
      <c r="C185" s="55">
        <f>SUMIFS(tbl_WIP[Amount],tbl_WIP[Job Number],$A185,tbl_WIP[Month],"&lt;&gt;",tbl_WIP[Month],"&lt;"&amp;$C$4)+SUMIF('Deferred Revenue'!$E$6:$E$578,$A185,'Deferred Revenue'!$P$6:$P$578)</f>
        <v/>
      </c>
      <c r="D185" s="55">
        <f>SUMIFS(tbl_WIP[Amount],tbl_WIP[Job Number],$A185,tbl_WIP[Month],$C$4)+SUMIF('Deferred Revenue'!$E$6:$E$578,$A185,'Deferred Revenue'!$Q$6:$Q$578)</f>
        <v/>
      </c>
      <c r="E185" s="55">
        <f>C185+D185</f>
        <v/>
      </c>
      <c r="F185" s="56">
        <f>IF(ROUND(C185,2)+ROUND(D185,2)=0,"","yes")</f>
        <v/>
      </c>
      <c r="G185" s="57" t="n"/>
      <c r="H185" s="55">
        <f>IF($G185="","",$E185-$G185)</f>
        <v/>
      </c>
    </row>
    <row r="186">
      <c r="A186" s="54" t="inlineStr">
        <is>
          <t>26052704</t>
        </is>
      </c>
      <c r="B186" s="54" t="inlineStr">
        <is>
          <t>AVIT - Pinsent Masons Technician Callout</t>
        </is>
      </c>
      <c r="C186" s="55">
        <f>SUMIFS(tbl_WIP[Amount],tbl_WIP[Job Number],$A186,tbl_WIP[Month],"&lt;&gt;",tbl_WIP[Month],"&lt;"&amp;$C$4)+SUMIF('Deferred Revenue'!$E$6:$E$578,$A186,'Deferred Revenue'!$P$6:$P$578)</f>
        <v/>
      </c>
      <c r="D186" s="55">
        <f>SUMIFS(tbl_WIP[Amount],tbl_WIP[Job Number],$A186,tbl_WIP[Month],$C$4)+SUMIF('Deferred Revenue'!$E$6:$E$578,$A186,'Deferred Revenue'!$Q$6:$Q$578)</f>
        <v/>
      </c>
      <c r="E186" s="55">
        <f>C186+D186</f>
        <v/>
      </c>
      <c r="F186" s="56">
        <f>IF(ROUND(C186,2)+ROUND(D186,2)=0,"","yes")</f>
        <v/>
      </c>
      <c r="G186" s="57" t="n"/>
      <c r="H186" s="55">
        <f>IF($G186="","",$E186-$G186)</f>
        <v/>
      </c>
    </row>
    <row r="187">
      <c r="A187" s="54" t="inlineStr">
        <is>
          <t>26052901</t>
        </is>
      </c>
      <c r="B187" s="54" t="inlineStr">
        <is>
          <t>Causeway Productions - Stool Hire - 1.6.27</t>
        </is>
      </c>
      <c r="C187" s="55">
        <f>SUMIFS(tbl_WIP[Amount],tbl_WIP[Job Number],$A187,tbl_WIP[Month],"&lt;&gt;",tbl_WIP[Month],"&lt;"&amp;$C$4)+SUMIF('Deferred Revenue'!$E$6:$E$578,$A187,'Deferred Revenue'!$P$6:$P$578)</f>
        <v/>
      </c>
      <c r="D187" s="55">
        <f>SUMIFS(tbl_WIP[Amount],tbl_WIP[Job Number],$A187,tbl_WIP[Month],$C$4)+SUMIF('Deferred Revenue'!$E$6:$E$578,$A187,'Deferred Revenue'!$Q$6:$Q$578)</f>
        <v/>
      </c>
      <c r="E187" s="55">
        <f>C187+D187</f>
        <v/>
      </c>
      <c r="F187" s="56">
        <f>IF(ROUND(C187,2)+ROUND(D187,2)=0,"","yes")</f>
        <v/>
      </c>
      <c r="G187" s="57" t="n"/>
      <c r="H187" s="55">
        <f>IF($G187="","",$E187-$G187)</f>
        <v/>
      </c>
    </row>
    <row r="188">
      <c r="A188" s="54" t="inlineStr">
        <is>
          <t>26052901V</t>
        </is>
      </c>
      <c r="B188" s="54" t="inlineStr">
        <is>
          <t>Causeway Productions - Stool Hire - 1.6.27</t>
        </is>
      </c>
      <c r="C188" s="55">
        <f>SUMIFS(tbl_WIP[Amount],tbl_WIP[Job Number],$A188,tbl_WIP[Month],"&lt;&gt;",tbl_WIP[Month],"&lt;"&amp;$C$4)+SUMIF('Deferred Revenue'!$E$6:$E$578,$A188,'Deferred Revenue'!$P$6:$P$578)</f>
        <v/>
      </c>
      <c r="D188" s="55">
        <f>SUMIFS(tbl_WIP[Amount],tbl_WIP[Job Number],$A188,tbl_WIP[Month],$C$4)+SUMIF('Deferred Revenue'!$E$6:$E$578,$A188,'Deferred Revenue'!$Q$6:$Q$578)</f>
        <v/>
      </c>
      <c r="E188" s="55">
        <f>C188+D188</f>
        <v/>
      </c>
      <c r="F188" s="56">
        <f>IF(ROUND(C188,2)+ROUND(D188,2)=0,"","yes")</f>
        <v/>
      </c>
      <c r="G188" s="57" t="n"/>
      <c r="H188" s="55">
        <f>IF($G188="","",$E188-$G188)</f>
        <v/>
      </c>
    </row>
    <row r="189">
      <c r="A189" s="54" t="inlineStr">
        <is>
          <t>2605401</t>
        </is>
      </c>
      <c r="B189" s="54" t="inlineStr">
        <is>
          <t>AGL FYR - Investor Briefing - 12.8.26</t>
        </is>
      </c>
      <c r="C189" s="55">
        <f>SUMIFS(tbl_WIP[Amount],tbl_WIP[Job Number],$A189,tbl_WIP[Month],"&lt;&gt;",tbl_WIP[Month],"&lt;"&amp;$C$4)+SUMIF('Deferred Revenue'!$E$6:$E$578,$A189,'Deferred Revenue'!$P$6:$P$578)</f>
        <v/>
      </c>
      <c r="D189" s="55">
        <f>SUMIFS(tbl_WIP[Amount],tbl_WIP[Job Number],$A189,tbl_WIP[Month],$C$4)+SUMIF('Deferred Revenue'!$E$6:$E$578,$A189,'Deferred Revenue'!$Q$6:$Q$578)</f>
        <v/>
      </c>
      <c r="E189" s="55">
        <f>C189+D189</f>
        <v/>
      </c>
      <c r="F189" s="56">
        <f>IF(ROUND(C189,2)+ROUND(D189,2)=0,"","yes")</f>
        <v/>
      </c>
      <c r="G189" s="57" t="n"/>
      <c r="H189" s="55">
        <f>IF($G189="","",$E189-$G189)</f>
        <v/>
      </c>
    </row>
    <row r="190">
      <c r="A190" s="54" t="inlineStr">
        <is>
          <t>2605401V</t>
        </is>
      </c>
      <c r="B190" s="54" t="inlineStr">
        <is>
          <t>AGL FYR - Investor Briefing - 12.8.26</t>
        </is>
      </c>
      <c r="C190" s="55">
        <f>SUMIFS(tbl_WIP[Amount],tbl_WIP[Job Number],$A190,tbl_WIP[Month],"&lt;&gt;",tbl_WIP[Month],"&lt;"&amp;$C$4)+SUMIF('Deferred Revenue'!$E$6:$E$578,$A190,'Deferred Revenue'!$P$6:$P$578)</f>
        <v/>
      </c>
      <c r="D190" s="55">
        <f>SUMIFS(tbl_WIP[Amount],tbl_WIP[Job Number],$A190,tbl_WIP[Month],$C$4)+SUMIF('Deferred Revenue'!$E$6:$E$578,$A190,'Deferred Revenue'!$Q$6:$Q$578)</f>
        <v/>
      </c>
      <c r="E190" s="55">
        <f>C190+D190</f>
        <v/>
      </c>
      <c r="F190" s="56">
        <f>IF(ROUND(C190,2)+ROUND(D190,2)=0,"","yes")</f>
        <v/>
      </c>
      <c r="G190" s="57" t="n"/>
      <c r="H190" s="55">
        <f>IF($G190="","",$E190-$G190)</f>
        <v/>
      </c>
    </row>
    <row r="191">
      <c r="A191" s="54" t="inlineStr">
        <is>
          <t>2605402</t>
        </is>
      </c>
      <c r="B191" s="54" t="inlineStr">
        <is>
          <t>AGL FYR - Employee Town Hall - 12.8.26</t>
        </is>
      </c>
      <c r="C191" s="55">
        <f>SUMIFS(tbl_WIP[Amount],tbl_WIP[Job Number],$A191,tbl_WIP[Month],"&lt;&gt;",tbl_WIP[Month],"&lt;"&amp;$C$4)+SUMIF('Deferred Revenue'!$E$6:$E$578,$A191,'Deferred Revenue'!$P$6:$P$578)</f>
        <v/>
      </c>
      <c r="D191" s="55">
        <f>SUMIFS(tbl_WIP[Amount],tbl_WIP[Job Number],$A191,tbl_WIP[Month],$C$4)+SUMIF('Deferred Revenue'!$E$6:$E$578,$A191,'Deferred Revenue'!$Q$6:$Q$578)</f>
        <v/>
      </c>
      <c r="E191" s="55">
        <f>C191+D191</f>
        <v/>
      </c>
      <c r="F191" s="56">
        <f>IF(ROUND(C191,2)+ROUND(D191,2)=0,"","yes")</f>
        <v/>
      </c>
      <c r="G191" s="57" t="n"/>
      <c r="H191" s="55">
        <f>IF($G191="","",$E191-$G191)</f>
        <v/>
      </c>
    </row>
    <row r="192">
      <c r="A192" s="54" t="inlineStr">
        <is>
          <t>2605402V</t>
        </is>
      </c>
      <c r="B192" s="54" t="inlineStr">
        <is>
          <t>AGL FYR - Employee Town Hall - 12.8.26</t>
        </is>
      </c>
      <c r="C192" s="55">
        <f>SUMIFS(tbl_WIP[Amount],tbl_WIP[Job Number],$A192,tbl_WIP[Month],"&lt;&gt;",tbl_WIP[Month],"&lt;"&amp;$C$4)+SUMIF('Deferred Revenue'!$E$6:$E$578,$A192,'Deferred Revenue'!$P$6:$P$578)</f>
        <v/>
      </c>
      <c r="D192" s="55">
        <f>SUMIFS(tbl_WIP[Amount],tbl_WIP[Job Number],$A192,tbl_WIP[Month],$C$4)+SUMIF('Deferred Revenue'!$E$6:$E$578,$A192,'Deferred Revenue'!$Q$6:$Q$578)</f>
        <v/>
      </c>
      <c r="E192" s="55">
        <f>C192+D192</f>
        <v/>
      </c>
      <c r="F192" s="56">
        <f>IF(ROUND(C192,2)+ROUND(D192,2)=0,"","yes")</f>
        <v/>
      </c>
      <c r="G192" s="57" t="n"/>
      <c r="H192" s="55">
        <f>IF($G192="","",$E192-$G192)</f>
        <v/>
      </c>
    </row>
    <row r="193">
      <c r="A193" s="54" t="inlineStr">
        <is>
          <t>2605403</t>
        </is>
      </c>
      <c r="B193" s="54" t="inlineStr">
        <is>
          <t>ARUP - Oves Awards - 23.7.26</t>
        </is>
      </c>
      <c r="C193" s="55">
        <f>SUMIFS(tbl_WIP[Amount],tbl_WIP[Job Number],$A193,tbl_WIP[Month],"&lt;&gt;",tbl_WIP[Month],"&lt;"&amp;$C$4)+SUMIF('Deferred Revenue'!$E$6:$E$578,$A193,'Deferred Revenue'!$P$6:$P$578)</f>
        <v/>
      </c>
      <c r="D193" s="55">
        <f>SUMIFS(tbl_WIP[Amount],tbl_WIP[Job Number],$A193,tbl_WIP[Month],$C$4)+SUMIF('Deferred Revenue'!$E$6:$E$578,$A193,'Deferred Revenue'!$Q$6:$Q$578)</f>
        <v/>
      </c>
      <c r="E193" s="55">
        <f>C193+D193</f>
        <v/>
      </c>
      <c r="F193" s="56">
        <f>IF(ROUND(C193,2)+ROUND(D193,2)=0,"","yes")</f>
        <v/>
      </c>
      <c r="G193" s="57" t="n"/>
      <c r="H193" s="55">
        <f>IF($G193="","",$E193-$G193)</f>
        <v/>
      </c>
    </row>
    <row r="194">
      <c r="A194" s="54" t="inlineStr">
        <is>
          <t>2605403V</t>
        </is>
      </c>
      <c r="B194" s="54" t="inlineStr">
        <is>
          <t>ARUP - Oves Awards - 23.7.26</t>
        </is>
      </c>
      <c r="C194" s="55">
        <f>SUMIFS(tbl_WIP[Amount],tbl_WIP[Job Number],$A194,tbl_WIP[Month],"&lt;&gt;",tbl_WIP[Month],"&lt;"&amp;$C$4)+SUMIF('Deferred Revenue'!$E$6:$E$578,$A194,'Deferred Revenue'!$P$6:$P$578)</f>
        <v/>
      </c>
      <c r="D194" s="55">
        <f>SUMIFS(tbl_WIP[Amount],tbl_WIP[Job Number],$A194,tbl_WIP[Month],$C$4)+SUMIF('Deferred Revenue'!$E$6:$E$578,$A194,'Deferred Revenue'!$Q$6:$Q$578)</f>
        <v/>
      </c>
      <c r="E194" s="55">
        <f>C194+D194</f>
        <v/>
      </c>
      <c r="F194" s="56">
        <f>IF(ROUND(C194,2)+ROUND(D194,2)=0,"","yes")</f>
        <v/>
      </c>
      <c r="G194" s="57" t="n"/>
      <c r="H194" s="55">
        <f>IF($G194="","",$E194-$G194)</f>
        <v/>
      </c>
    </row>
    <row r="195">
      <c r="A195" s="54" t="inlineStr">
        <is>
          <t>2605501</t>
        </is>
      </c>
      <c r="B195" s="54" t="inlineStr">
        <is>
          <t>DTTL Tech Support AWS AP AI Symposium</t>
        </is>
      </c>
      <c r="C195" s="55">
        <f>SUMIFS(tbl_WIP[Amount],tbl_WIP[Job Number],$A195,tbl_WIP[Month],"&lt;&gt;",tbl_WIP[Month],"&lt;"&amp;$C$4)+SUMIF('Deferred Revenue'!$E$6:$E$578,$A195,'Deferred Revenue'!$P$6:$P$578)</f>
        <v/>
      </c>
      <c r="D195" s="55">
        <f>SUMIFS(tbl_WIP[Amount],tbl_WIP[Job Number],$A195,tbl_WIP[Month],$C$4)+SUMIF('Deferred Revenue'!$E$6:$E$578,$A195,'Deferred Revenue'!$Q$6:$Q$578)</f>
        <v/>
      </c>
      <c r="E195" s="55">
        <f>C195+D195</f>
        <v/>
      </c>
      <c r="F195" s="56">
        <f>IF(ROUND(C195,2)+ROUND(D195,2)=0,"","yes")</f>
        <v/>
      </c>
      <c r="G195" s="57" t="n"/>
      <c r="H195" s="55">
        <f>IF($G195="","",$E195-$G195)</f>
        <v/>
      </c>
    </row>
    <row r="196">
      <c r="A196" s="54" t="inlineStr">
        <is>
          <t>2605502</t>
        </is>
      </c>
      <c r="B196" s="54" t="inlineStr">
        <is>
          <t>CBA BNE - Event Support - 13.5.26</t>
        </is>
      </c>
      <c r="C196" s="55">
        <f>SUMIFS(tbl_WIP[Amount],tbl_WIP[Job Number],$A196,tbl_WIP[Month],"&lt;&gt;",tbl_WIP[Month],"&lt;"&amp;$C$4)+SUMIF('Deferred Revenue'!$E$6:$E$578,$A196,'Deferred Revenue'!$P$6:$P$578)</f>
        <v/>
      </c>
      <c r="D196" s="55">
        <f>SUMIFS(tbl_WIP[Amount],tbl_WIP[Job Number],$A196,tbl_WIP[Month],$C$4)+SUMIF('Deferred Revenue'!$E$6:$E$578,$A196,'Deferred Revenue'!$Q$6:$Q$578)</f>
        <v/>
      </c>
      <c r="E196" s="55">
        <f>C196+D196</f>
        <v/>
      </c>
      <c r="F196" s="56">
        <f>IF(ROUND(C196,2)+ROUND(D196,2)=0,"","yes")</f>
        <v/>
      </c>
      <c r="G196" s="57" t="n"/>
      <c r="H196" s="55">
        <f>IF($G196="","",$E196-$G196)</f>
        <v/>
      </c>
    </row>
    <row r="197">
      <c r="A197" s="54" t="inlineStr">
        <is>
          <t>2605502V</t>
        </is>
      </c>
      <c r="B197" s="54" t="inlineStr">
        <is>
          <t>CBA BNE - Event Support - 13.5.26</t>
        </is>
      </c>
      <c r="C197" s="55">
        <f>SUMIFS(tbl_WIP[Amount],tbl_WIP[Job Number],$A197,tbl_WIP[Month],"&lt;&gt;",tbl_WIP[Month],"&lt;"&amp;$C$4)+SUMIF('Deferred Revenue'!$E$6:$E$578,$A197,'Deferred Revenue'!$P$6:$P$578)</f>
        <v/>
      </c>
      <c r="D197" s="55">
        <f>SUMIFS(tbl_WIP[Amount],tbl_WIP[Job Number],$A197,tbl_WIP[Month],$C$4)+SUMIF('Deferred Revenue'!$E$6:$E$578,$A197,'Deferred Revenue'!$Q$6:$Q$578)</f>
        <v/>
      </c>
      <c r="E197" s="55">
        <f>C197+D197</f>
        <v/>
      </c>
      <c r="F197" s="56">
        <f>IF(ROUND(C197,2)+ROUND(D197,2)=0,"","yes")</f>
        <v/>
      </c>
      <c r="G197" s="57" t="n"/>
      <c r="H197" s="55">
        <f>IF($G197="","",$E197-$G197)</f>
        <v/>
      </c>
    </row>
    <row r="198">
      <c r="A198" s="54" t="inlineStr">
        <is>
          <t>2605503</t>
        </is>
      </c>
      <c r="B198" s="54" t="inlineStr">
        <is>
          <t>DTTL L31 reception Led Wall Audio DSP Repair</t>
        </is>
      </c>
      <c r="C198" s="55">
        <f>SUMIFS(tbl_WIP[Amount],tbl_WIP[Job Number],$A198,tbl_WIP[Month],"&lt;&gt;",tbl_WIP[Month],"&lt;"&amp;$C$4)+SUMIF('Deferred Revenue'!$E$6:$E$578,$A198,'Deferred Revenue'!$P$6:$P$578)</f>
        <v/>
      </c>
      <c r="D198" s="55">
        <f>SUMIFS(tbl_WIP[Amount],tbl_WIP[Job Number],$A198,tbl_WIP[Month],$C$4)+SUMIF('Deferred Revenue'!$E$6:$E$578,$A198,'Deferred Revenue'!$Q$6:$Q$578)</f>
        <v/>
      </c>
      <c r="E198" s="55">
        <f>C198+D198</f>
        <v/>
      </c>
      <c r="F198" s="56">
        <f>IF(ROUND(C198,2)+ROUND(D198,2)=0,"","yes")</f>
        <v/>
      </c>
      <c r="G198" s="57" t="n"/>
      <c r="H198" s="55">
        <f>IF($G198="","",$E198-$G198)</f>
        <v/>
      </c>
    </row>
    <row r="199">
      <c r="A199" s="54" t="inlineStr">
        <is>
          <t>2605605</t>
        </is>
      </c>
      <c r="B199" s="54" t="inlineStr">
        <is>
          <t>DTTL Hobart AV Fitout</t>
        </is>
      </c>
      <c r="C199" s="55">
        <f>SUMIFS(tbl_WIP[Amount],tbl_WIP[Job Number],$A199,tbl_WIP[Month],"&lt;&gt;",tbl_WIP[Month],"&lt;"&amp;$C$4)+SUMIF('Deferred Revenue'!$E$6:$E$578,$A199,'Deferred Revenue'!$P$6:$P$578)</f>
        <v/>
      </c>
      <c r="D199" s="55">
        <f>SUMIFS(tbl_WIP[Amount],tbl_WIP[Job Number],$A199,tbl_WIP[Month],$C$4)+SUMIF('Deferred Revenue'!$E$6:$E$578,$A199,'Deferred Revenue'!$Q$6:$Q$578)</f>
        <v/>
      </c>
      <c r="E199" s="55">
        <f>C199+D199</f>
        <v/>
      </c>
      <c r="F199" s="56">
        <f>IF(ROUND(C199,2)+ROUND(D199,2)=0,"","yes")</f>
        <v/>
      </c>
      <c r="G199" s="57" t="n"/>
      <c r="H199" s="55">
        <f>IF($G199="","",$E199-$G199)</f>
        <v/>
      </c>
    </row>
    <row r="200">
      <c r="A200" s="54" t="inlineStr">
        <is>
          <t>2605606</t>
        </is>
      </c>
      <c r="B200" s="54" t="inlineStr">
        <is>
          <t>Ventia Internal Townhall 8.05.26</t>
        </is>
      </c>
      <c r="C200" s="55">
        <f>SUMIFS(tbl_WIP[Amount],tbl_WIP[Job Number],$A200,tbl_WIP[Month],"&lt;&gt;",tbl_WIP[Month],"&lt;"&amp;$C$4)+SUMIF('Deferred Revenue'!$E$6:$E$578,$A200,'Deferred Revenue'!$P$6:$P$578)</f>
        <v/>
      </c>
      <c r="D200" s="55">
        <f>SUMIFS(tbl_WIP[Amount],tbl_WIP[Job Number],$A200,tbl_WIP[Month],$C$4)+SUMIF('Deferred Revenue'!$E$6:$E$578,$A200,'Deferred Revenue'!$Q$6:$Q$578)</f>
        <v/>
      </c>
      <c r="E200" s="55">
        <f>C200+D200</f>
        <v/>
      </c>
      <c r="F200" s="56">
        <f>IF(ROUND(C200,2)+ROUND(D200,2)=0,"","yes")</f>
        <v/>
      </c>
      <c r="G200" s="57" t="n"/>
      <c r="H200" s="55">
        <f>IF($G200="","",$E200-$G200)</f>
        <v/>
      </c>
    </row>
    <row r="201">
      <c r="A201" s="54" t="inlineStr">
        <is>
          <t>2605606V</t>
        </is>
      </c>
      <c r="B201" s="54" t="inlineStr">
        <is>
          <t>Ventia Internal Townhall 8.05.26</t>
        </is>
      </c>
      <c r="C201" s="55">
        <f>SUMIFS(tbl_WIP[Amount],tbl_WIP[Job Number],$A201,tbl_WIP[Month],"&lt;&gt;",tbl_WIP[Month],"&lt;"&amp;$C$4)+SUMIF('Deferred Revenue'!$E$6:$E$578,$A201,'Deferred Revenue'!$P$6:$P$578)</f>
        <v/>
      </c>
      <c r="D201" s="55">
        <f>SUMIFS(tbl_WIP[Amount],tbl_WIP[Job Number],$A201,tbl_WIP[Month],$C$4)+SUMIF('Deferred Revenue'!$E$6:$E$578,$A201,'Deferred Revenue'!$Q$6:$Q$578)</f>
        <v/>
      </c>
      <c r="E201" s="55">
        <f>C201+D201</f>
        <v/>
      </c>
      <c r="F201" s="56">
        <f>IF(ROUND(C201,2)+ROUND(D201,2)=0,"","yes")</f>
        <v/>
      </c>
      <c r="G201" s="57" t="n"/>
      <c r="H201" s="55">
        <f>IF($G201="","",$E201-$G201)</f>
        <v/>
      </c>
    </row>
    <row r="202">
      <c r="A202" s="54" t="inlineStr">
        <is>
          <t>2605609</t>
        </is>
      </c>
      <c r="B202" s="54" t="inlineStr">
        <is>
          <t>ASX - CEO Farewell - 27.5.26</t>
        </is>
      </c>
      <c r="C202" s="55">
        <f>SUMIFS(tbl_WIP[Amount],tbl_WIP[Job Number],$A202,tbl_WIP[Month],"&lt;&gt;",tbl_WIP[Month],"&lt;"&amp;$C$4)+SUMIF('Deferred Revenue'!$E$6:$E$578,$A202,'Deferred Revenue'!$P$6:$P$578)</f>
        <v/>
      </c>
      <c r="D202" s="55">
        <f>SUMIFS(tbl_WIP[Amount],tbl_WIP[Job Number],$A202,tbl_WIP[Month],$C$4)+SUMIF('Deferred Revenue'!$E$6:$E$578,$A202,'Deferred Revenue'!$Q$6:$Q$578)</f>
        <v/>
      </c>
      <c r="E202" s="55">
        <f>C202+D202</f>
        <v/>
      </c>
      <c r="F202" s="56">
        <f>IF(ROUND(C202,2)+ROUND(D202,2)=0,"","yes")</f>
        <v/>
      </c>
      <c r="G202" s="57" t="n"/>
      <c r="H202" s="55">
        <f>IF($G202="","",$E202-$G202)</f>
        <v/>
      </c>
    </row>
    <row r="203">
      <c r="A203" s="54" t="inlineStr">
        <is>
          <t>2605609V</t>
        </is>
      </c>
      <c r="B203" s="54" t="inlineStr">
        <is>
          <t>ASX - CEO Farewell - 27.5.26</t>
        </is>
      </c>
      <c r="C203" s="55">
        <f>SUMIFS(tbl_WIP[Amount],tbl_WIP[Job Number],$A203,tbl_WIP[Month],"&lt;&gt;",tbl_WIP[Month],"&lt;"&amp;$C$4)+SUMIF('Deferred Revenue'!$E$6:$E$578,$A203,'Deferred Revenue'!$P$6:$P$578)</f>
        <v/>
      </c>
      <c r="D203" s="55">
        <f>SUMIFS(tbl_WIP[Amount],tbl_WIP[Job Number],$A203,tbl_WIP[Month],$C$4)+SUMIF('Deferred Revenue'!$E$6:$E$578,$A203,'Deferred Revenue'!$Q$6:$Q$578)</f>
        <v/>
      </c>
      <c r="E203" s="55">
        <f>C203+D203</f>
        <v/>
      </c>
      <c r="F203" s="56">
        <f>IF(ROUND(C203,2)+ROUND(D203,2)=0,"","yes")</f>
        <v/>
      </c>
      <c r="G203" s="57" t="n"/>
      <c r="H203" s="55">
        <f>IF($G203="","",$E203-$G203)</f>
        <v/>
      </c>
    </row>
    <row r="204">
      <c r="A204" s="54" t="inlineStr">
        <is>
          <t>2605610</t>
        </is>
      </c>
      <c r="B204" s="54" t="inlineStr">
        <is>
          <t>ASX CEO Farewell Additional Costs</t>
        </is>
      </c>
      <c r="C204" s="55">
        <f>SUMIFS(tbl_WIP[Amount],tbl_WIP[Job Number],$A204,tbl_WIP[Month],"&lt;&gt;",tbl_WIP[Month],"&lt;"&amp;$C$4)+SUMIF('Deferred Revenue'!$E$6:$E$578,$A204,'Deferred Revenue'!$P$6:$P$578)</f>
        <v/>
      </c>
      <c r="D204" s="55">
        <f>SUMIFS(tbl_WIP[Amount],tbl_WIP[Job Number],$A204,tbl_WIP[Month],$C$4)+SUMIF('Deferred Revenue'!$E$6:$E$578,$A204,'Deferred Revenue'!$Q$6:$Q$578)</f>
        <v/>
      </c>
      <c r="E204" s="55">
        <f>C204+D204</f>
        <v/>
      </c>
      <c r="F204" s="56">
        <f>IF(ROUND(C204,2)+ROUND(D204,2)=0,"","yes")</f>
        <v/>
      </c>
      <c r="G204" s="57" t="n"/>
      <c r="H204" s="55">
        <f>IF($G204="","",$E204-$G204)</f>
        <v/>
      </c>
    </row>
    <row r="205">
      <c r="A205" s="54" t="inlineStr">
        <is>
          <t>2605704</t>
        </is>
      </c>
      <c r="B205" s="54" t="inlineStr">
        <is>
          <t>CBA CBPS Auditorium Upgrade</t>
        </is>
      </c>
      <c r="C205" s="55">
        <f>SUMIFS(tbl_WIP[Amount],tbl_WIP[Job Number],$A205,tbl_WIP[Month],"&lt;&gt;",tbl_WIP[Month],"&lt;"&amp;$C$4)+SUMIF('Deferred Revenue'!$E$6:$E$578,$A205,'Deferred Revenue'!$P$6:$P$578)</f>
        <v/>
      </c>
      <c r="D205" s="55">
        <f>SUMIFS(tbl_WIP[Amount],tbl_WIP[Job Number],$A205,tbl_WIP[Month],$C$4)+SUMIF('Deferred Revenue'!$E$6:$E$578,$A205,'Deferred Revenue'!$Q$6:$Q$578)</f>
        <v/>
      </c>
      <c r="E205" s="55">
        <f>C205+D205</f>
        <v/>
      </c>
      <c r="F205" s="56">
        <f>IF(ROUND(C205,2)+ROUND(D205,2)=0,"","yes")</f>
        <v/>
      </c>
      <c r="G205" s="57" t="n"/>
      <c r="H205" s="55">
        <f>IF($G205="","",$E205-$G205)</f>
        <v/>
      </c>
    </row>
    <row r="206">
      <c r="A206" s="54" t="inlineStr">
        <is>
          <t>2605801</t>
        </is>
      </c>
      <c r="B206" s="54" t="inlineStr">
        <is>
          <t>Dimensional - AV Support - 3-4.6.26</t>
        </is>
      </c>
      <c r="C206" s="55">
        <f>SUMIFS(tbl_WIP[Amount],tbl_WIP[Job Number],$A206,tbl_WIP[Month],"&lt;&gt;",tbl_WIP[Month],"&lt;"&amp;$C$4)+SUMIF('Deferred Revenue'!$E$6:$E$578,$A206,'Deferred Revenue'!$P$6:$P$578)</f>
        <v/>
      </c>
      <c r="D206" s="55">
        <f>SUMIFS(tbl_WIP[Amount],tbl_WIP[Job Number],$A206,tbl_WIP[Month],$C$4)+SUMIF('Deferred Revenue'!$E$6:$E$578,$A206,'Deferred Revenue'!$Q$6:$Q$578)</f>
        <v/>
      </c>
      <c r="E206" s="55">
        <f>C206+D206</f>
        <v/>
      </c>
      <c r="F206" s="56">
        <f>IF(ROUND(C206,2)+ROUND(D206,2)=0,"","yes")</f>
        <v/>
      </c>
      <c r="G206" s="57" t="n"/>
      <c r="H206" s="55">
        <f>IF($G206="","",$E206-$G206)</f>
        <v/>
      </c>
    </row>
    <row r="207">
      <c r="A207" s="54" t="inlineStr">
        <is>
          <t>2605803</t>
        </is>
      </c>
      <c r="B207" s="54" t="inlineStr">
        <is>
          <t>St Catherine's - Dedicated Tech - 12.6.26</t>
        </is>
      </c>
      <c r="C207" s="55">
        <f>SUMIFS(tbl_WIP[Amount],tbl_WIP[Job Number],$A207,tbl_WIP[Month],"&lt;&gt;",tbl_WIP[Month],"&lt;"&amp;$C$4)+SUMIF('Deferred Revenue'!$E$6:$E$578,$A207,'Deferred Revenue'!$P$6:$P$578)</f>
        <v/>
      </c>
      <c r="D207" s="55">
        <f>SUMIFS(tbl_WIP[Amount],tbl_WIP[Job Number],$A207,tbl_WIP[Month],$C$4)+SUMIF('Deferred Revenue'!$E$6:$E$578,$A207,'Deferred Revenue'!$Q$6:$Q$578)</f>
        <v/>
      </c>
      <c r="E207" s="55">
        <f>C207+D207</f>
        <v/>
      </c>
      <c r="F207" s="56">
        <f>IF(ROUND(C207,2)+ROUND(D207,2)=0,"","yes")</f>
        <v/>
      </c>
      <c r="G207" s="57" t="n"/>
      <c r="H207" s="55">
        <f>IF($G207="","",$E207-$G207)</f>
        <v/>
      </c>
    </row>
    <row r="208">
      <c r="A208" s="54" t="inlineStr">
        <is>
          <t>2605804</t>
        </is>
      </c>
      <c r="B208" s="54" t="inlineStr">
        <is>
          <t>City of Sydney Supply of Barco Projector Shutters</t>
        </is>
      </c>
      <c r="C208" s="55">
        <f>SUMIFS(tbl_WIP[Amount],tbl_WIP[Job Number],$A208,tbl_WIP[Month],"&lt;&gt;",tbl_WIP[Month],"&lt;"&amp;$C$4)+SUMIF('Deferred Revenue'!$E$6:$E$578,$A208,'Deferred Revenue'!$P$6:$P$578)</f>
        <v/>
      </c>
      <c r="D208" s="55">
        <f>SUMIFS(tbl_WIP[Amount],tbl_WIP[Job Number],$A208,tbl_WIP[Month],$C$4)+SUMIF('Deferred Revenue'!$E$6:$E$578,$A208,'Deferred Revenue'!$Q$6:$Q$578)</f>
        <v/>
      </c>
      <c r="E208" s="55">
        <f>C208+D208</f>
        <v/>
      </c>
      <c r="F208" s="56">
        <f>IF(ROUND(C208,2)+ROUND(D208,2)=0,"","yes")</f>
        <v/>
      </c>
      <c r="G208" s="57" t="n"/>
      <c r="H208" s="55">
        <f>IF($G208="","",$E208-$G208)</f>
        <v/>
      </c>
    </row>
    <row r="209">
      <c r="A209" s="54" t="inlineStr">
        <is>
          <t>2605806</t>
        </is>
      </c>
      <c r="B209" s="54" t="inlineStr">
        <is>
          <t>Aware Super AV Fitout @ 555 Collins Street MEL</t>
        </is>
      </c>
      <c r="C209" s="55">
        <f>SUMIFS(tbl_WIP[Amount],tbl_WIP[Job Number],$A209,tbl_WIP[Month],"&lt;&gt;",tbl_WIP[Month],"&lt;"&amp;$C$4)+SUMIF('Deferred Revenue'!$E$6:$E$578,$A209,'Deferred Revenue'!$P$6:$P$578)</f>
        <v/>
      </c>
      <c r="D209" s="55">
        <f>SUMIFS(tbl_WIP[Amount],tbl_WIP[Job Number],$A209,tbl_WIP[Month],$C$4)+SUMIF('Deferred Revenue'!$E$6:$E$578,$A209,'Deferred Revenue'!$Q$6:$Q$578)</f>
        <v/>
      </c>
      <c r="E209" s="55">
        <f>C209+D209</f>
        <v/>
      </c>
      <c r="F209" s="56">
        <f>IF(ROUND(C209,2)+ROUND(D209,2)=0,"","yes")</f>
        <v/>
      </c>
      <c r="G209" s="57" t="n"/>
      <c r="H209" s="55">
        <f>IF($G209="","",$E209-$G209)</f>
        <v/>
      </c>
    </row>
    <row r="210">
      <c r="A210" s="54" t="inlineStr">
        <is>
          <t>26061001</t>
        </is>
      </c>
      <c r="B210" s="54" t="inlineStr">
        <is>
          <t>Garvan August All Clear Event 25.8.26</t>
        </is>
      </c>
      <c r="C210" s="55">
        <f>SUMIFS(tbl_WIP[Amount],tbl_WIP[Job Number],$A210,tbl_WIP[Month],"&lt;&gt;",tbl_WIP[Month],"&lt;"&amp;$C$4)+SUMIF('Deferred Revenue'!$E$6:$E$578,$A210,'Deferred Revenue'!$P$6:$P$578)</f>
        <v/>
      </c>
      <c r="D210" s="55">
        <f>SUMIFS(tbl_WIP[Amount],tbl_WIP[Job Number],$A210,tbl_WIP[Month],$C$4)+SUMIF('Deferred Revenue'!$E$6:$E$578,$A210,'Deferred Revenue'!$Q$6:$Q$578)</f>
        <v/>
      </c>
      <c r="E210" s="55">
        <f>C210+D210</f>
        <v/>
      </c>
      <c r="F210" s="56">
        <f>IF(ROUND(C210,2)+ROUND(D210,2)=0,"","yes")</f>
        <v/>
      </c>
      <c r="G210" s="57" t="n"/>
      <c r="H210" s="55">
        <f>IF($G210="","",$E210-$G210)</f>
        <v/>
      </c>
    </row>
    <row r="211">
      <c r="A211" s="54" t="inlineStr">
        <is>
          <t>26061002</t>
        </is>
      </c>
      <c r="B211" s="54" t="inlineStr">
        <is>
          <t>Optiver - Fireside Event Support - 18.6.26</t>
        </is>
      </c>
      <c r="C211" s="55">
        <f>SUMIFS(tbl_WIP[Amount],tbl_WIP[Job Number],$A211,tbl_WIP[Month],"&lt;&gt;",tbl_WIP[Month],"&lt;"&amp;$C$4)+SUMIF('Deferred Revenue'!$E$6:$E$578,$A211,'Deferred Revenue'!$P$6:$P$578)</f>
        <v/>
      </c>
      <c r="D211" s="55">
        <f>SUMIFS(tbl_WIP[Amount],tbl_WIP[Job Number],$A211,tbl_WIP[Month],$C$4)+SUMIF('Deferred Revenue'!$E$6:$E$578,$A211,'Deferred Revenue'!$Q$6:$Q$578)</f>
        <v/>
      </c>
      <c r="E211" s="55">
        <f>C211+D211</f>
        <v/>
      </c>
      <c r="F211" s="56">
        <f>IF(ROUND(C211,2)+ROUND(D211,2)=0,"","yes")</f>
        <v/>
      </c>
      <c r="G211" s="57" t="n"/>
      <c r="H211" s="55">
        <f>IF($G211="","",$E211-$G211)</f>
        <v/>
      </c>
    </row>
    <row r="212">
      <c r="A212" s="54" t="inlineStr">
        <is>
          <t>26061002V</t>
        </is>
      </c>
      <c r="B212" s="54" t="inlineStr">
        <is>
          <t>Optiver - Fireside Event Support - 18.6.26</t>
        </is>
      </c>
      <c r="C212" s="55">
        <f>SUMIFS(tbl_WIP[Amount],tbl_WIP[Job Number],$A212,tbl_WIP[Month],"&lt;&gt;",tbl_WIP[Month],"&lt;"&amp;$C$4)+SUMIF('Deferred Revenue'!$E$6:$E$578,$A212,'Deferred Revenue'!$P$6:$P$578)</f>
        <v/>
      </c>
      <c r="D212" s="55">
        <f>SUMIFS(tbl_WIP[Amount],tbl_WIP[Job Number],$A212,tbl_WIP[Month],$C$4)+SUMIF('Deferred Revenue'!$E$6:$E$578,$A212,'Deferred Revenue'!$Q$6:$Q$578)</f>
        <v/>
      </c>
      <c r="E212" s="55">
        <f>C212+D212</f>
        <v/>
      </c>
      <c r="F212" s="56">
        <f>IF(ROUND(C212,2)+ROUND(D212,2)=0,"","yes")</f>
        <v/>
      </c>
      <c r="G212" s="57" t="n"/>
      <c r="H212" s="55">
        <f>IF($G212="","",$E212-$G212)</f>
        <v/>
      </c>
    </row>
    <row r="213">
      <c r="A213" s="54" t="inlineStr">
        <is>
          <t>26061102</t>
        </is>
      </c>
      <c r="B213" s="54" t="inlineStr">
        <is>
          <t>CSE Invest Sri Lanka | 16.8.26</t>
        </is>
      </c>
      <c r="C213" s="55">
        <f>SUMIFS(tbl_WIP[Amount],tbl_WIP[Job Number],$A213,tbl_WIP[Month],"&lt;&gt;",tbl_WIP[Month],"&lt;"&amp;$C$4)+SUMIF('Deferred Revenue'!$E$6:$E$578,$A213,'Deferred Revenue'!$P$6:$P$578)</f>
        <v/>
      </c>
      <c r="D213" s="55">
        <f>SUMIFS(tbl_WIP[Amount],tbl_WIP[Job Number],$A213,tbl_WIP[Month],$C$4)+SUMIF('Deferred Revenue'!$E$6:$E$578,$A213,'Deferred Revenue'!$Q$6:$Q$578)</f>
        <v/>
      </c>
      <c r="E213" s="55">
        <f>C213+D213</f>
        <v/>
      </c>
      <c r="F213" s="56">
        <f>IF(ROUND(C213,2)+ROUND(D213,2)=0,"","yes")</f>
        <v/>
      </c>
      <c r="G213" s="57" t="n"/>
      <c r="H213" s="55">
        <f>IF($G213="","",$E213-$G213)</f>
        <v/>
      </c>
    </row>
    <row r="214">
      <c r="A214" s="54" t="inlineStr">
        <is>
          <t>26061102V</t>
        </is>
      </c>
      <c r="B214" s="54" t="inlineStr">
        <is>
          <t>CSE Invest Sri Lanka | 16.8.26</t>
        </is>
      </c>
      <c r="C214" s="55">
        <f>SUMIFS(tbl_WIP[Amount],tbl_WIP[Job Number],$A214,tbl_WIP[Month],"&lt;&gt;",tbl_WIP[Month],"&lt;"&amp;$C$4)+SUMIF('Deferred Revenue'!$E$6:$E$578,$A214,'Deferred Revenue'!$P$6:$P$578)</f>
        <v/>
      </c>
      <c r="D214" s="55">
        <f>SUMIFS(tbl_WIP[Amount],tbl_WIP[Job Number],$A214,tbl_WIP[Month],$C$4)+SUMIF('Deferred Revenue'!$E$6:$E$578,$A214,'Deferred Revenue'!$Q$6:$Q$578)</f>
        <v/>
      </c>
      <c r="E214" s="55">
        <f>C214+D214</f>
        <v/>
      </c>
      <c r="F214" s="56">
        <f>IF(ROUND(C214,2)+ROUND(D214,2)=0,"","yes")</f>
        <v/>
      </c>
      <c r="G214" s="57" t="n"/>
      <c r="H214" s="55">
        <f>IF($G214="","",$E214-$G214)</f>
        <v/>
      </c>
    </row>
    <row r="215">
      <c r="A215" s="54" t="inlineStr">
        <is>
          <t>26061103</t>
        </is>
      </c>
      <c r="B215" s="54" t="inlineStr">
        <is>
          <t>Circadia Australia Elevate | 14.8.26</t>
        </is>
      </c>
      <c r="C215" s="55">
        <f>SUMIFS(tbl_WIP[Amount],tbl_WIP[Job Number],$A215,tbl_WIP[Month],"&lt;&gt;",tbl_WIP[Month],"&lt;"&amp;$C$4)+SUMIF('Deferred Revenue'!$E$6:$E$578,$A215,'Deferred Revenue'!$P$6:$P$578)</f>
        <v/>
      </c>
      <c r="D215" s="55">
        <f>SUMIFS(tbl_WIP[Amount],tbl_WIP[Job Number],$A215,tbl_WIP[Month],$C$4)+SUMIF('Deferred Revenue'!$E$6:$E$578,$A215,'Deferred Revenue'!$Q$6:$Q$578)</f>
        <v/>
      </c>
      <c r="E215" s="55">
        <f>C215+D215</f>
        <v/>
      </c>
      <c r="F215" s="56">
        <f>IF(ROUND(C215,2)+ROUND(D215,2)=0,"","yes")</f>
        <v/>
      </c>
      <c r="G215" s="57" t="n"/>
      <c r="H215" s="55">
        <f>IF($G215="","",$E215-$G215)</f>
        <v/>
      </c>
    </row>
    <row r="216">
      <c r="A216" s="54" t="inlineStr">
        <is>
          <t>26061103V</t>
        </is>
      </c>
      <c r="B216" s="54" t="inlineStr">
        <is>
          <t>Circadia Australia Elevate | 14.8.26</t>
        </is>
      </c>
      <c r="C216" s="55">
        <f>SUMIFS(tbl_WIP[Amount],tbl_WIP[Job Number],$A216,tbl_WIP[Month],"&lt;&gt;",tbl_WIP[Month],"&lt;"&amp;$C$4)+SUMIF('Deferred Revenue'!$E$6:$E$578,$A216,'Deferred Revenue'!$P$6:$P$578)</f>
        <v/>
      </c>
      <c r="D216" s="55">
        <f>SUMIFS(tbl_WIP[Amount],tbl_WIP[Job Number],$A216,tbl_WIP[Month],$C$4)+SUMIF('Deferred Revenue'!$E$6:$E$578,$A216,'Deferred Revenue'!$Q$6:$Q$578)</f>
        <v/>
      </c>
      <c r="E216" s="55">
        <f>C216+D216</f>
        <v/>
      </c>
      <c r="F216" s="56">
        <f>IF(ROUND(C216,2)+ROUND(D216,2)=0,"","yes")</f>
        <v/>
      </c>
      <c r="G216" s="57" t="n"/>
      <c r="H216" s="55">
        <f>IF($G216="","",$E216-$G216)</f>
        <v/>
      </c>
    </row>
    <row r="217">
      <c r="A217" s="54" t="inlineStr">
        <is>
          <t>26061104</t>
        </is>
      </c>
      <c r="B217" s="54" t="inlineStr">
        <is>
          <t>MUFG - FYR26 - 12.8.26</t>
        </is>
      </c>
      <c r="C217" s="55">
        <f>SUMIFS(tbl_WIP[Amount],tbl_WIP[Job Number],$A217,tbl_WIP[Month],"&lt;&gt;",tbl_WIP[Month],"&lt;"&amp;$C$4)+SUMIF('Deferred Revenue'!$E$6:$E$578,$A217,'Deferred Revenue'!$P$6:$P$578)</f>
        <v/>
      </c>
      <c r="D217" s="55">
        <f>SUMIFS(tbl_WIP[Amount],tbl_WIP[Job Number],$A217,tbl_WIP[Month],$C$4)+SUMIF('Deferred Revenue'!$E$6:$E$578,$A217,'Deferred Revenue'!$Q$6:$Q$578)</f>
        <v/>
      </c>
      <c r="E217" s="55">
        <f>C217+D217</f>
        <v/>
      </c>
      <c r="F217" s="56">
        <f>IF(ROUND(C217,2)+ROUND(D217,2)=0,"","yes")</f>
        <v/>
      </c>
      <c r="G217" s="57" t="n"/>
      <c r="H217" s="55">
        <f>IF($G217="","",$E217-$G217)</f>
        <v/>
      </c>
    </row>
    <row r="218">
      <c r="A218" s="54" t="inlineStr">
        <is>
          <t>26061104V</t>
        </is>
      </c>
      <c r="B218" s="54" t="inlineStr">
        <is>
          <t>MUFG - FYR26 - 12.8.26</t>
        </is>
      </c>
      <c r="C218" s="55">
        <f>SUMIFS(tbl_WIP[Amount],tbl_WIP[Job Number],$A218,tbl_WIP[Month],"&lt;&gt;",tbl_WIP[Month],"&lt;"&amp;$C$4)+SUMIF('Deferred Revenue'!$E$6:$E$578,$A218,'Deferred Revenue'!$P$6:$P$578)</f>
        <v/>
      </c>
      <c r="D218" s="55">
        <f>SUMIFS(tbl_WIP[Amount],tbl_WIP[Job Number],$A218,tbl_WIP[Month],$C$4)+SUMIF('Deferred Revenue'!$E$6:$E$578,$A218,'Deferred Revenue'!$Q$6:$Q$578)</f>
        <v/>
      </c>
      <c r="E218" s="55">
        <f>C218+D218</f>
        <v/>
      </c>
      <c r="F218" s="56">
        <f>IF(ROUND(C218,2)+ROUND(D218,2)=0,"","yes")</f>
        <v/>
      </c>
      <c r="G218" s="57" t="n"/>
      <c r="H218" s="55">
        <f>IF($G218="","",$E218-$G218)</f>
        <v/>
      </c>
    </row>
    <row r="219">
      <c r="A219" s="54" t="inlineStr">
        <is>
          <t>26061105</t>
        </is>
      </c>
      <c r="B219" s="54" t="inlineStr">
        <is>
          <t>CBA - FYR 2026 - 12.8.26</t>
        </is>
      </c>
      <c r="C219" s="55">
        <f>SUMIFS(tbl_WIP[Amount],tbl_WIP[Job Number],$A219,tbl_WIP[Month],"&lt;&gt;",tbl_WIP[Month],"&lt;"&amp;$C$4)+SUMIF('Deferred Revenue'!$E$6:$E$578,$A219,'Deferred Revenue'!$P$6:$P$578)</f>
        <v/>
      </c>
      <c r="D219" s="55">
        <f>SUMIFS(tbl_WIP[Amount],tbl_WIP[Job Number],$A219,tbl_WIP[Month],$C$4)+SUMIF('Deferred Revenue'!$E$6:$E$578,$A219,'Deferred Revenue'!$Q$6:$Q$578)</f>
        <v/>
      </c>
      <c r="E219" s="55">
        <f>C219+D219</f>
        <v/>
      </c>
      <c r="F219" s="56">
        <f>IF(ROUND(C219,2)+ROUND(D219,2)=0,"","yes")</f>
        <v/>
      </c>
      <c r="G219" s="57" t="n"/>
      <c r="H219" s="55">
        <f>IF($G219="","",$E219-$G219)</f>
        <v/>
      </c>
    </row>
    <row r="220">
      <c r="A220" s="54" t="inlineStr">
        <is>
          <t>26061105V</t>
        </is>
      </c>
      <c r="B220" s="54" t="inlineStr">
        <is>
          <t>CBA - FYR 2026 - 12.8.26</t>
        </is>
      </c>
      <c r="C220" s="55">
        <f>SUMIFS(tbl_WIP[Amount],tbl_WIP[Job Number],$A220,tbl_WIP[Month],"&lt;&gt;",tbl_WIP[Month],"&lt;"&amp;$C$4)+SUMIF('Deferred Revenue'!$E$6:$E$578,$A220,'Deferred Revenue'!$P$6:$P$578)</f>
        <v/>
      </c>
      <c r="D220" s="55">
        <f>SUMIFS(tbl_WIP[Amount],tbl_WIP[Job Number],$A220,tbl_WIP[Month],$C$4)+SUMIF('Deferred Revenue'!$E$6:$E$578,$A220,'Deferred Revenue'!$Q$6:$Q$578)</f>
        <v/>
      </c>
      <c r="E220" s="55">
        <f>C220+D220</f>
        <v/>
      </c>
      <c r="F220" s="56">
        <f>IF(ROUND(C220,2)+ROUND(D220,2)=0,"","yes")</f>
        <v/>
      </c>
      <c r="G220" s="57" t="n"/>
      <c r="H220" s="55">
        <f>IF($G220="","",$E220-$G220)</f>
        <v/>
      </c>
    </row>
    <row r="221">
      <c r="A221" s="54" t="inlineStr">
        <is>
          <t>26061106</t>
        </is>
      </c>
      <c r="B221" s="54" t="inlineStr">
        <is>
          <t>TLC Full Year Results MEL</t>
        </is>
      </c>
      <c r="C221" s="55">
        <f>SUMIFS(tbl_WIP[Amount],tbl_WIP[Job Number],$A221,tbl_WIP[Month],"&lt;&gt;",tbl_WIP[Month],"&lt;"&amp;$C$4)+SUMIF('Deferred Revenue'!$E$6:$E$578,$A221,'Deferred Revenue'!$P$6:$P$578)</f>
        <v/>
      </c>
      <c r="D221" s="55">
        <f>SUMIFS(tbl_WIP[Amount],tbl_WIP[Job Number],$A221,tbl_WIP[Month],$C$4)+SUMIF('Deferred Revenue'!$E$6:$E$578,$A221,'Deferred Revenue'!$Q$6:$Q$578)</f>
        <v/>
      </c>
      <c r="E221" s="55">
        <f>C221+D221</f>
        <v/>
      </c>
      <c r="F221" s="56">
        <f>IF(ROUND(C221,2)+ROUND(D221,2)=0,"","yes")</f>
        <v/>
      </c>
      <c r="G221" s="57" t="n"/>
      <c r="H221" s="55">
        <f>IF($G221="","",$E221-$G221)</f>
        <v/>
      </c>
    </row>
    <row r="222">
      <c r="A222" s="54" t="inlineStr">
        <is>
          <t>26061106V</t>
        </is>
      </c>
      <c r="B222" s="54" t="inlineStr">
        <is>
          <t>TLC Full Year Results MEL</t>
        </is>
      </c>
      <c r="C222" s="55">
        <f>SUMIFS(tbl_WIP[Amount],tbl_WIP[Job Number],$A222,tbl_WIP[Month],"&lt;&gt;",tbl_WIP[Month],"&lt;"&amp;$C$4)+SUMIF('Deferred Revenue'!$E$6:$E$578,$A222,'Deferred Revenue'!$P$6:$P$578)</f>
        <v/>
      </c>
      <c r="D222" s="55">
        <f>SUMIFS(tbl_WIP[Amount],tbl_WIP[Job Number],$A222,tbl_WIP[Month],$C$4)+SUMIF('Deferred Revenue'!$E$6:$E$578,$A222,'Deferred Revenue'!$Q$6:$Q$578)</f>
        <v/>
      </c>
      <c r="E222" s="55">
        <f>C222+D222</f>
        <v/>
      </c>
      <c r="F222" s="56">
        <f>IF(ROUND(C222,2)+ROUND(D222,2)=0,"","yes")</f>
        <v/>
      </c>
      <c r="G222" s="57" t="n"/>
      <c r="H222" s="55">
        <f>IF($G222="","",$E222-$G222)</f>
        <v/>
      </c>
    </row>
    <row r="223">
      <c r="A223" s="54" t="inlineStr">
        <is>
          <t>26061107</t>
        </is>
      </c>
      <c r="B223" s="54" t="inlineStr">
        <is>
          <t>Downer - FYR 2026 - 20.8.26</t>
        </is>
      </c>
      <c r="C223" s="55">
        <f>SUMIFS(tbl_WIP[Amount],tbl_WIP[Job Number],$A223,tbl_WIP[Month],"&lt;&gt;",tbl_WIP[Month],"&lt;"&amp;$C$4)+SUMIF('Deferred Revenue'!$E$6:$E$578,$A223,'Deferred Revenue'!$P$6:$P$578)</f>
        <v/>
      </c>
      <c r="D223" s="55">
        <f>SUMIFS(tbl_WIP[Amount],tbl_WIP[Job Number],$A223,tbl_WIP[Month],$C$4)+SUMIF('Deferred Revenue'!$E$6:$E$578,$A223,'Deferred Revenue'!$Q$6:$Q$578)</f>
        <v/>
      </c>
      <c r="E223" s="55">
        <f>C223+D223</f>
        <v/>
      </c>
      <c r="F223" s="56">
        <f>IF(ROUND(C223,2)+ROUND(D223,2)=0,"","yes")</f>
        <v/>
      </c>
      <c r="G223" s="57" t="n"/>
      <c r="H223" s="55">
        <f>IF($G223="","",$E223-$G223)</f>
        <v/>
      </c>
    </row>
    <row r="224">
      <c r="A224" s="54" t="inlineStr">
        <is>
          <t>26061107V</t>
        </is>
      </c>
      <c r="B224" s="54" t="inlineStr">
        <is>
          <t>Downer - FYR 2026 - 20.8.26</t>
        </is>
      </c>
      <c r="C224" s="55">
        <f>SUMIFS(tbl_WIP[Amount],tbl_WIP[Job Number],$A224,tbl_WIP[Month],"&lt;&gt;",tbl_WIP[Month],"&lt;"&amp;$C$4)+SUMIF('Deferred Revenue'!$E$6:$E$578,$A224,'Deferred Revenue'!$P$6:$P$578)</f>
        <v/>
      </c>
      <c r="D224" s="55">
        <f>SUMIFS(tbl_WIP[Amount],tbl_WIP[Job Number],$A224,tbl_WIP[Month],$C$4)+SUMIF('Deferred Revenue'!$E$6:$E$578,$A224,'Deferred Revenue'!$Q$6:$Q$578)</f>
        <v/>
      </c>
      <c r="E224" s="55">
        <f>C224+D224</f>
        <v/>
      </c>
      <c r="F224" s="56">
        <f>IF(ROUND(C224,2)+ROUND(D224,2)=0,"","yes")</f>
        <v/>
      </c>
      <c r="G224" s="57" t="n"/>
      <c r="H224" s="55">
        <f>IF($G224="","",$E224-$G224)</f>
        <v/>
      </c>
    </row>
    <row r="225">
      <c r="A225" s="54" t="inlineStr">
        <is>
          <t>26061108</t>
        </is>
      </c>
      <c r="B225" s="54" t="inlineStr">
        <is>
          <t>APA - Qtly All Hands FYR26 - 20.8.26</t>
        </is>
      </c>
      <c r="C225" s="55">
        <f>SUMIFS(tbl_WIP[Amount],tbl_WIP[Job Number],$A225,tbl_WIP[Month],"&lt;&gt;",tbl_WIP[Month],"&lt;"&amp;$C$4)+SUMIF('Deferred Revenue'!$E$6:$E$578,$A225,'Deferred Revenue'!$P$6:$P$578)</f>
        <v/>
      </c>
      <c r="D225" s="55">
        <f>SUMIFS(tbl_WIP[Amount],tbl_WIP[Job Number],$A225,tbl_WIP[Month],$C$4)+SUMIF('Deferred Revenue'!$E$6:$E$578,$A225,'Deferred Revenue'!$Q$6:$Q$578)</f>
        <v/>
      </c>
      <c r="E225" s="55">
        <f>C225+D225</f>
        <v/>
      </c>
      <c r="F225" s="56">
        <f>IF(ROUND(C225,2)+ROUND(D225,2)=0,"","yes")</f>
        <v/>
      </c>
      <c r="G225" s="57" t="n"/>
      <c r="H225" s="55">
        <f>IF($G225="","",$E225-$G225)</f>
        <v/>
      </c>
    </row>
    <row r="226">
      <c r="A226" s="54" t="inlineStr">
        <is>
          <t>26061108V</t>
        </is>
      </c>
      <c r="B226" s="54" t="inlineStr">
        <is>
          <t>APA - Qtly All Hands FYR26 - 20.8.26</t>
        </is>
      </c>
      <c r="C226" s="55">
        <f>SUMIFS(tbl_WIP[Amount],tbl_WIP[Job Number],$A226,tbl_WIP[Month],"&lt;&gt;",tbl_WIP[Month],"&lt;"&amp;$C$4)+SUMIF('Deferred Revenue'!$E$6:$E$578,$A226,'Deferred Revenue'!$P$6:$P$578)</f>
        <v/>
      </c>
      <c r="D226" s="55">
        <f>SUMIFS(tbl_WIP[Amount],tbl_WIP[Job Number],$A226,tbl_WIP[Month],$C$4)+SUMIF('Deferred Revenue'!$E$6:$E$578,$A226,'Deferred Revenue'!$Q$6:$Q$578)</f>
        <v/>
      </c>
      <c r="E226" s="55">
        <f>C226+D226</f>
        <v/>
      </c>
      <c r="F226" s="56">
        <f>IF(ROUND(C226,2)+ROUND(D226,2)=0,"","yes")</f>
        <v/>
      </c>
      <c r="G226" s="57" t="n"/>
      <c r="H226" s="55">
        <f>IF($G226="","",$E226-$G226)</f>
        <v/>
      </c>
    </row>
    <row r="227">
      <c r="A227" s="54" t="inlineStr">
        <is>
          <t>26061109</t>
        </is>
      </c>
      <c r="B227" s="54" t="inlineStr">
        <is>
          <t>Ventia - FYR26 - 24.8.26</t>
        </is>
      </c>
      <c r="C227" s="55">
        <f>SUMIFS(tbl_WIP[Amount],tbl_WIP[Job Number],$A227,tbl_WIP[Month],"&lt;&gt;",tbl_WIP[Month],"&lt;"&amp;$C$4)+SUMIF('Deferred Revenue'!$E$6:$E$578,$A227,'Deferred Revenue'!$P$6:$P$578)</f>
        <v/>
      </c>
      <c r="D227" s="55">
        <f>SUMIFS(tbl_WIP[Amount],tbl_WIP[Job Number],$A227,tbl_WIP[Month],$C$4)+SUMIF('Deferred Revenue'!$E$6:$E$578,$A227,'Deferred Revenue'!$Q$6:$Q$578)</f>
        <v/>
      </c>
      <c r="E227" s="55">
        <f>C227+D227</f>
        <v/>
      </c>
      <c r="F227" s="56">
        <f>IF(ROUND(C227,2)+ROUND(D227,2)=0,"","yes")</f>
        <v/>
      </c>
      <c r="G227" s="57" t="n"/>
      <c r="H227" s="55">
        <f>IF($G227="","",$E227-$G227)</f>
        <v/>
      </c>
    </row>
    <row r="228">
      <c r="A228" s="54" t="inlineStr">
        <is>
          <t>26061109V</t>
        </is>
      </c>
      <c r="B228" s="54" t="inlineStr">
        <is>
          <t>Ventia - FYR26 - 24.8.26</t>
        </is>
      </c>
      <c r="C228" s="55">
        <f>SUMIFS(tbl_WIP[Amount],tbl_WIP[Job Number],$A228,tbl_WIP[Month],"&lt;&gt;",tbl_WIP[Month],"&lt;"&amp;$C$4)+SUMIF('Deferred Revenue'!$E$6:$E$578,$A228,'Deferred Revenue'!$P$6:$P$578)</f>
        <v/>
      </c>
      <c r="D228" s="55">
        <f>SUMIFS(tbl_WIP[Amount],tbl_WIP[Job Number],$A228,tbl_WIP[Month],$C$4)+SUMIF('Deferred Revenue'!$E$6:$E$578,$A228,'Deferred Revenue'!$Q$6:$Q$578)</f>
        <v/>
      </c>
      <c r="E228" s="55">
        <f>C228+D228</f>
        <v/>
      </c>
      <c r="F228" s="56">
        <f>IF(ROUND(C228,2)+ROUND(D228,2)=0,"","yes")</f>
        <v/>
      </c>
      <c r="G228" s="57" t="n"/>
      <c r="H228" s="55">
        <f>IF($G228="","",$E228-$G228)</f>
        <v/>
      </c>
    </row>
    <row r="229">
      <c r="A229" s="54" t="inlineStr">
        <is>
          <t>26061201</t>
        </is>
      </c>
      <c r="B229" s="54" t="inlineStr">
        <is>
          <t>PWC - Firmwide Webcast - 30.6.26</t>
        </is>
      </c>
      <c r="C229" s="55">
        <f>SUMIFS(tbl_WIP[Amount],tbl_WIP[Job Number],$A229,tbl_WIP[Month],"&lt;&gt;",tbl_WIP[Month],"&lt;"&amp;$C$4)+SUMIF('Deferred Revenue'!$E$6:$E$578,$A229,'Deferred Revenue'!$P$6:$P$578)</f>
        <v/>
      </c>
      <c r="D229" s="55">
        <f>SUMIFS(tbl_WIP[Amount],tbl_WIP[Job Number],$A229,tbl_WIP[Month],$C$4)+SUMIF('Deferred Revenue'!$E$6:$E$578,$A229,'Deferred Revenue'!$Q$6:$Q$578)</f>
        <v/>
      </c>
      <c r="E229" s="55">
        <f>C229+D229</f>
        <v/>
      </c>
      <c r="F229" s="56">
        <f>IF(ROUND(C229,2)+ROUND(D229,2)=0,"","yes")</f>
        <v/>
      </c>
      <c r="G229" s="57" t="n"/>
      <c r="H229" s="55">
        <f>IF($G229="","",$E229-$G229)</f>
        <v/>
      </c>
    </row>
    <row r="230">
      <c r="A230" s="54" t="inlineStr">
        <is>
          <t>26061201V</t>
        </is>
      </c>
      <c r="B230" s="54" t="inlineStr">
        <is>
          <t>PWC - Firmwide Webcast - 30.6.26</t>
        </is>
      </c>
      <c r="C230" s="55">
        <f>SUMIFS(tbl_WIP[Amount],tbl_WIP[Job Number],$A230,tbl_WIP[Month],"&lt;&gt;",tbl_WIP[Month],"&lt;"&amp;$C$4)+SUMIF('Deferred Revenue'!$E$6:$E$578,$A230,'Deferred Revenue'!$P$6:$P$578)</f>
        <v/>
      </c>
      <c r="D230" s="55">
        <f>SUMIFS(tbl_WIP[Amount],tbl_WIP[Job Number],$A230,tbl_WIP[Month],$C$4)+SUMIF('Deferred Revenue'!$E$6:$E$578,$A230,'Deferred Revenue'!$Q$6:$Q$578)</f>
        <v/>
      </c>
      <c r="E230" s="55">
        <f>C230+D230</f>
        <v/>
      </c>
      <c r="F230" s="56">
        <f>IF(ROUND(C230,2)+ROUND(D230,2)=0,"","yes")</f>
        <v/>
      </c>
      <c r="G230" s="57" t="n"/>
      <c r="H230" s="55">
        <f>IF($G230="","",$E230-$G230)</f>
        <v/>
      </c>
    </row>
    <row r="231">
      <c r="A231" s="54" t="inlineStr">
        <is>
          <t>26061202</t>
        </is>
      </c>
      <c r="B231" s="54" t="inlineStr">
        <is>
          <t>CBA AGM 2027</t>
        </is>
      </c>
      <c r="C231" s="55">
        <f>SUMIFS(tbl_WIP[Amount],tbl_WIP[Job Number],$A231,tbl_WIP[Month],"&lt;&gt;",tbl_WIP[Month],"&lt;"&amp;$C$4)+SUMIF('Deferred Revenue'!$E$6:$E$578,$A231,'Deferred Revenue'!$P$6:$P$578)</f>
        <v/>
      </c>
      <c r="D231" s="55">
        <f>SUMIFS(tbl_WIP[Amount],tbl_WIP[Job Number],$A231,tbl_WIP[Month],$C$4)+SUMIF('Deferred Revenue'!$E$6:$E$578,$A231,'Deferred Revenue'!$Q$6:$Q$578)</f>
        <v/>
      </c>
      <c r="E231" s="55">
        <f>C231+D231</f>
        <v/>
      </c>
      <c r="F231" s="56">
        <f>IF(ROUND(C231,2)+ROUND(D231,2)=0,"","yes")</f>
        <v/>
      </c>
      <c r="G231" s="57" t="n"/>
      <c r="H231" s="55">
        <f>IF($G231="","",$E231-$G231)</f>
        <v/>
      </c>
    </row>
    <row r="232">
      <c r="A232" s="54" t="inlineStr">
        <is>
          <t>26061202V</t>
        </is>
      </c>
      <c r="B232" s="54" t="inlineStr">
        <is>
          <t>CBA AGM 2027</t>
        </is>
      </c>
      <c r="C232" s="55">
        <f>SUMIFS(tbl_WIP[Amount],tbl_WIP[Job Number],$A232,tbl_WIP[Month],"&lt;&gt;",tbl_WIP[Month],"&lt;"&amp;$C$4)+SUMIF('Deferred Revenue'!$E$6:$E$578,$A232,'Deferred Revenue'!$P$6:$P$578)</f>
        <v/>
      </c>
      <c r="D232" s="55">
        <f>SUMIFS(tbl_WIP[Amount],tbl_WIP[Job Number],$A232,tbl_WIP[Month],$C$4)+SUMIF('Deferred Revenue'!$E$6:$E$578,$A232,'Deferred Revenue'!$Q$6:$Q$578)</f>
        <v/>
      </c>
      <c r="E232" s="55">
        <f>C232+D232</f>
        <v/>
      </c>
      <c r="F232" s="56">
        <f>IF(ROUND(C232,2)+ROUND(D232,2)=0,"","yes")</f>
        <v/>
      </c>
      <c r="G232" s="57" t="n"/>
      <c r="H232" s="55">
        <f>IF($G232="","",$E232-$G232)</f>
        <v/>
      </c>
    </row>
    <row r="233">
      <c r="A233" s="54" t="inlineStr">
        <is>
          <t>26061501</t>
        </is>
      </c>
      <c r="B233" s="54" t="inlineStr">
        <is>
          <t>DTTL MEL Lv29 Display Supply</t>
        </is>
      </c>
      <c r="C233" s="55">
        <f>SUMIFS(tbl_WIP[Amount],tbl_WIP[Job Number],$A233,tbl_WIP[Month],"&lt;&gt;",tbl_WIP[Month],"&lt;"&amp;$C$4)+SUMIF('Deferred Revenue'!$E$6:$E$578,$A233,'Deferred Revenue'!$P$6:$P$578)</f>
        <v/>
      </c>
      <c r="D233" s="55">
        <f>SUMIFS(tbl_WIP[Amount],tbl_WIP[Job Number],$A233,tbl_WIP[Month],$C$4)+SUMIF('Deferred Revenue'!$E$6:$E$578,$A233,'Deferred Revenue'!$Q$6:$Q$578)</f>
        <v/>
      </c>
      <c r="E233" s="55">
        <f>C233+D233</f>
        <v/>
      </c>
      <c r="F233" s="56">
        <f>IF(ROUND(C233,2)+ROUND(D233,2)=0,"","yes")</f>
        <v/>
      </c>
      <c r="G233" s="57" t="n"/>
      <c r="H233" s="55">
        <f>IF($G233="","",$E233-$G233)</f>
        <v/>
      </c>
    </row>
    <row r="234">
      <c r="A234" s="54" t="inlineStr">
        <is>
          <t>26061602</t>
        </is>
      </c>
      <c r="B234" s="54" t="inlineStr">
        <is>
          <t>ASX - CEO Connect (Extended) - 1.9.26</t>
        </is>
      </c>
      <c r="C234" s="55">
        <f>SUMIFS(tbl_WIP[Amount],tbl_WIP[Job Number],$A234,tbl_WIP[Month],"&lt;&gt;",tbl_WIP[Month],"&lt;"&amp;$C$4)+SUMIF('Deferred Revenue'!$E$6:$E$578,$A234,'Deferred Revenue'!$P$6:$P$578)</f>
        <v/>
      </c>
      <c r="D234" s="55">
        <f>SUMIFS(tbl_WIP[Amount],tbl_WIP[Job Number],$A234,tbl_WIP[Month],$C$4)+SUMIF('Deferred Revenue'!$E$6:$E$578,$A234,'Deferred Revenue'!$Q$6:$Q$578)</f>
        <v/>
      </c>
      <c r="E234" s="55">
        <f>C234+D234</f>
        <v/>
      </c>
      <c r="F234" s="56">
        <f>IF(ROUND(C234,2)+ROUND(D234,2)=0,"","yes")</f>
        <v/>
      </c>
      <c r="G234" s="57" t="n"/>
      <c r="H234" s="55">
        <f>IF($G234="","",$E234-$G234)</f>
        <v/>
      </c>
    </row>
    <row r="235">
      <c r="A235" s="54" t="inlineStr">
        <is>
          <t>26061602V</t>
        </is>
      </c>
      <c r="B235" s="54" t="inlineStr">
        <is>
          <t>ASX - CEO Connect (Extended) - 1.9.26</t>
        </is>
      </c>
      <c r="C235" s="55">
        <f>SUMIFS(tbl_WIP[Amount],tbl_WIP[Job Number],$A235,tbl_WIP[Month],"&lt;&gt;",tbl_WIP[Month],"&lt;"&amp;$C$4)+SUMIF('Deferred Revenue'!$E$6:$E$578,$A235,'Deferred Revenue'!$P$6:$P$578)</f>
        <v/>
      </c>
      <c r="D235" s="55">
        <f>SUMIFS(tbl_WIP[Amount],tbl_WIP[Job Number],$A235,tbl_WIP[Month],$C$4)+SUMIF('Deferred Revenue'!$E$6:$E$578,$A235,'Deferred Revenue'!$Q$6:$Q$578)</f>
        <v/>
      </c>
      <c r="E235" s="55">
        <f>C235+D235</f>
        <v/>
      </c>
      <c r="F235" s="56">
        <f>IF(ROUND(C235,2)+ROUND(D235,2)=0,"","yes")</f>
        <v/>
      </c>
      <c r="G235" s="57" t="n"/>
      <c r="H235" s="55">
        <f>IF($G235="","",$E235-$G235)</f>
        <v/>
      </c>
    </row>
    <row r="236">
      <c r="A236" s="54" t="inlineStr">
        <is>
          <t>26061605</t>
        </is>
      </c>
      <c r="B236" s="54" t="inlineStr">
        <is>
          <t>MUFG - IBM Ltd AGM - 27.10.26</t>
        </is>
      </c>
      <c r="C236" s="55">
        <f>SUMIFS(tbl_WIP[Amount],tbl_WIP[Job Number],$A236,tbl_WIP[Month],"&lt;&gt;",tbl_WIP[Month],"&lt;"&amp;$C$4)+SUMIF('Deferred Revenue'!$E$6:$E$578,$A236,'Deferred Revenue'!$P$6:$P$578)</f>
        <v/>
      </c>
      <c r="D236" s="55">
        <f>SUMIFS(tbl_WIP[Amount],tbl_WIP[Job Number],$A236,tbl_WIP[Month],$C$4)+SUMIF('Deferred Revenue'!$E$6:$E$578,$A236,'Deferred Revenue'!$Q$6:$Q$578)</f>
        <v/>
      </c>
      <c r="E236" s="55">
        <f>C236+D236</f>
        <v/>
      </c>
      <c r="F236" s="56">
        <f>IF(ROUND(C236,2)+ROUND(D236,2)=0,"","yes")</f>
        <v/>
      </c>
      <c r="G236" s="57" t="n"/>
      <c r="H236" s="55">
        <f>IF($G236="","",$E236-$G236)</f>
        <v/>
      </c>
    </row>
    <row r="237">
      <c r="A237" s="54" t="inlineStr">
        <is>
          <t>26061605V</t>
        </is>
      </c>
      <c r="B237" s="54" t="inlineStr">
        <is>
          <t>MUFG - IBM Ltd AGM - 27.10.26</t>
        </is>
      </c>
      <c r="C237" s="55">
        <f>SUMIFS(tbl_WIP[Amount],tbl_WIP[Job Number],$A237,tbl_WIP[Month],"&lt;&gt;",tbl_WIP[Month],"&lt;"&amp;$C$4)+SUMIF('Deferred Revenue'!$E$6:$E$578,$A237,'Deferred Revenue'!$P$6:$P$578)</f>
        <v/>
      </c>
      <c r="D237" s="55">
        <f>SUMIFS(tbl_WIP[Amount],tbl_WIP[Job Number],$A237,tbl_WIP[Month],$C$4)+SUMIF('Deferred Revenue'!$E$6:$E$578,$A237,'Deferred Revenue'!$Q$6:$Q$578)</f>
        <v/>
      </c>
      <c r="E237" s="55">
        <f>C237+D237</f>
        <v/>
      </c>
      <c r="F237" s="56">
        <f>IF(ROUND(C237,2)+ROUND(D237,2)=0,"","yes")</f>
        <v/>
      </c>
      <c r="G237" s="57" t="n"/>
      <c r="H237" s="55">
        <f>IF($G237="","",$E237-$G237)</f>
        <v/>
      </c>
    </row>
    <row r="238">
      <c r="A238" s="54" t="inlineStr">
        <is>
          <t>26061606</t>
        </is>
      </c>
      <c r="B238" s="54" t="inlineStr">
        <is>
          <t>MUFG - Endeavour AGM - 30.10.26</t>
        </is>
      </c>
      <c r="C238" s="55">
        <f>SUMIFS(tbl_WIP[Amount],tbl_WIP[Job Number],$A238,tbl_WIP[Month],"&lt;&gt;",tbl_WIP[Month],"&lt;"&amp;$C$4)+SUMIF('Deferred Revenue'!$E$6:$E$578,$A238,'Deferred Revenue'!$P$6:$P$578)</f>
        <v/>
      </c>
      <c r="D238" s="55">
        <f>SUMIFS(tbl_WIP[Amount],tbl_WIP[Job Number],$A238,tbl_WIP[Month],$C$4)+SUMIF('Deferred Revenue'!$E$6:$E$578,$A238,'Deferred Revenue'!$Q$6:$Q$578)</f>
        <v/>
      </c>
      <c r="E238" s="55">
        <f>C238+D238</f>
        <v/>
      </c>
      <c r="F238" s="56">
        <f>IF(ROUND(C238,2)+ROUND(D238,2)=0,"","yes")</f>
        <v/>
      </c>
      <c r="G238" s="57" t="n"/>
      <c r="H238" s="55">
        <f>IF($G238="","",$E238-$G238)</f>
        <v/>
      </c>
    </row>
    <row r="239">
      <c r="A239" s="54" t="inlineStr">
        <is>
          <t>26061606V</t>
        </is>
      </c>
      <c r="B239" s="54" t="inlineStr">
        <is>
          <t>MUFG - Endeavour AGM - 30.10.26</t>
        </is>
      </c>
      <c r="C239" s="55">
        <f>SUMIFS(tbl_WIP[Amount],tbl_WIP[Job Number],$A239,tbl_WIP[Month],"&lt;&gt;",tbl_WIP[Month],"&lt;"&amp;$C$4)+SUMIF('Deferred Revenue'!$E$6:$E$578,$A239,'Deferred Revenue'!$P$6:$P$578)</f>
        <v/>
      </c>
      <c r="D239" s="55">
        <f>SUMIFS(tbl_WIP[Amount],tbl_WIP[Job Number],$A239,tbl_WIP[Month],$C$4)+SUMIF('Deferred Revenue'!$E$6:$E$578,$A239,'Deferred Revenue'!$Q$6:$Q$578)</f>
        <v/>
      </c>
      <c r="E239" s="55">
        <f>C239+D239</f>
        <v/>
      </c>
      <c r="F239" s="56">
        <f>IF(ROUND(C239,2)+ROUND(D239,2)=0,"","yes")</f>
        <v/>
      </c>
      <c r="G239" s="57" t="n"/>
      <c r="H239" s="55">
        <f>IF($G239="","",$E239-$G239)</f>
        <v/>
      </c>
    </row>
    <row r="240">
      <c r="A240" s="54" t="inlineStr">
        <is>
          <t>26061607</t>
        </is>
      </c>
      <c r="B240" s="54" t="inlineStr">
        <is>
          <t>APA - Qtly All Hands (BNE) - 4.11.26</t>
        </is>
      </c>
      <c r="C240" s="55">
        <f>SUMIFS(tbl_WIP[Amount],tbl_WIP[Job Number],$A240,tbl_WIP[Month],"&lt;&gt;",tbl_WIP[Month],"&lt;"&amp;$C$4)+SUMIF('Deferred Revenue'!$E$6:$E$578,$A240,'Deferred Revenue'!$P$6:$P$578)</f>
        <v/>
      </c>
      <c r="D240" s="55">
        <f>SUMIFS(tbl_WIP[Amount],tbl_WIP[Job Number],$A240,tbl_WIP[Month],$C$4)+SUMIF('Deferred Revenue'!$E$6:$E$578,$A240,'Deferred Revenue'!$Q$6:$Q$578)</f>
        <v/>
      </c>
      <c r="E240" s="55">
        <f>C240+D240</f>
        <v/>
      </c>
      <c r="F240" s="56">
        <f>IF(ROUND(C240,2)+ROUND(D240,2)=0,"","yes")</f>
        <v/>
      </c>
      <c r="G240" s="57" t="n"/>
      <c r="H240" s="55">
        <f>IF($G240="","",$E240-$G240)</f>
        <v/>
      </c>
    </row>
    <row r="241">
      <c r="A241" s="54" t="inlineStr">
        <is>
          <t>26061607V</t>
        </is>
      </c>
      <c r="B241" s="54" t="inlineStr">
        <is>
          <t>APA - Qtly All Hands (BNE) - 4.11.26</t>
        </is>
      </c>
      <c r="C241" s="55">
        <f>SUMIFS(tbl_WIP[Amount],tbl_WIP[Job Number],$A241,tbl_WIP[Month],"&lt;&gt;",tbl_WIP[Month],"&lt;"&amp;$C$4)+SUMIF('Deferred Revenue'!$E$6:$E$578,$A241,'Deferred Revenue'!$P$6:$P$578)</f>
        <v/>
      </c>
      <c r="D241" s="55">
        <f>SUMIFS(tbl_WIP[Amount],tbl_WIP[Job Number],$A241,tbl_WIP[Month],$C$4)+SUMIF('Deferred Revenue'!$E$6:$E$578,$A241,'Deferred Revenue'!$Q$6:$Q$578)</f>
        <v/>
      </c>
      <c r="E241" s="55">
        <f>C241+D241</f>
        <v/>
      </c>
      <c r="F241" s="56">
        <f>IF(ROUND(C241,2)+ROUND(D241,2)=0,"","yes")</f>
        <v/>
      </c>
      <c r="G241" s="57" t="n"/>
      <c r="H241" s="55">
        <f>IF($G241="","",$E241-$G241)</f>
        <v/>
      </c>
    </row>
    <row r="242">
      <c r="A242" s="54" t="inlineStr">
        <is>
          <t>26061608</t>
        </is>
      </c>
      <c r="B242" s="54" t="inlineStr">
        <is>
          <t>APA - Qtly All Hands Sydney - Feb 27</t>
        </is>
      </c>
      <c r="C242" s="55">
        <f>SUMIFS(tbl_WIP[Amount],tbl_WIP[Job Number],$A242,tbl_WIP[Month],"&lt;&gt;",tbl_WIP[Month],"&lt;"&amp;$C$4)+SUMIF('Deferred Revenue'!$E$6:$E$578,$A242,'Deferred Revenue'!$P$6:$P$578)</f>
        <v/>
      </c>
      <c r="D242" s="55">
        <f>SUMIFS(tbl_WIP[Amount],tbl_WIP[Job Number],$A242,tbl_WIP[Month],$C$4)+SUMIF('Deferred Revenue'!$E$6:$E$578,$A242,'Deferred Revenue'!$Q$6:$Q$578)</f>
        <v/>
      </c>
      <c r="E242" s="55">
        <f>C242+D242</f>
        <v/>
      </c>
      <c r="F242" s="56">
        <f>IF(ROUND(C242,2)+ROUND(D242,2)=0,"","yes")</f>
        <v/>
      </c>
      <c r="G242" s="57" t="n"/>
      <c r="H242" s="55">
        <f>IF($G242="","",$E242-$G242)</f>
        <v/>
      </c>
    </row>
    <row r="243">
      <c r="A243" s="54" t="inlineStr">
        <is>
          <t>26061608V</t>
        </is>
      </c>
      <c r="B243" s="54" t="inlineStr">
        <is>
          <t>APA - Qtly All Hands Sydney - Feb 27</t>
        </is>
      </c>
      <c r="C243" s="55">
        <f>SUMIFS(tbl_WIP[Amount],tbl_WIP[Job Number],$A243,tbl_WIP[Month],"&lt;&gt;",tbl_WIP[Month],"&lt;"&amp;$C$4)+SUMIF('Deferred Revenue'!$E$6:$E$578,$A243,'Deferred Revenue'!$P$6:$P$578)</f>
        <v/>
      </c>
      <c r="D243" s="55">
        <f>SUMIFS(tbl_WIP[Amount],tbl_WIP[Job Number],$A243,tbl_WIP[Month],$C$4)+SUMIF('Deferred Revenue'!$E$6:$E$578,$A243,'Deferred Revenue'!$Q$6:$Q$578)</f>
        <v/>
      </c>
      <c r="E243" s="55">
        <f>C243+D243</f>
        <v/>
      </c>
      <c r="F243" s="56">
        <f>IF(ROUND(C243,2)+ROUND(D243,2)=0,"","yes")</f>
        <v/>
      </c>
      <c r="G243" s="57" t="n"/>
      <c r="H243" s="55">
        <f>IF($G243="","",$E243-$G243)</f>
        <v/>
      </c>
    </row>
    <row r="244">
      <c r="A244" s="54" t="inlineStr">
        <is>
          <t>26061609</t>
        </is>
      </c>
      <c r="B244" s="54" t="inlineStr">
        <is>
          <t>APA Qtly All Hands Perth - May 2027</t>
        </is>
      </c>
      <c r="C244" s="55">
        <f>SUMIFS(tbl_WIP[Amount],tbl_WIP[Job Number],$A244,tbl_WIP[Month],"&lt;&gt;",tbl_WIP[Month],"&lt;"&amp;$C$4)+SUMIF('Deferred Revenue'!$E$6:$E$578,$A244,'Deferred Revenue'!$P$6:$P$578)</f>
        <v/>
      </c>
      <c r="D244" s="55">
        <f>SUMIFS(tbl_WIP[Amount],tbl_WIP[Job Number],$A244,tbl_WIP[Month],$C$4)+SUMIF('Deferred Revenue'!$E$6:$E$578,$A244,'Deferred Revenue'!$Q$6:$Q$578)</f>
        <v/>
      </c>
      <c r="E244" s="55">
        <f>C244+D244</f>
        <v/>
      </c>
      <c r="F244" s="56">
        <f>IF(ROUND(C244,2)+ROUND(D244,2)=0,"","yes")</f>
        <v/>
      </c>
      <c r="G244" s="57" t="n"/>
      <c r="H244" s="55">
        <f>IF($G244="","",$E244-$G244)</f>
        <v/>
      </c>
    </row>
    <row r="245">
      <c r="A245" s="54" t="inlineStr">
        <is>
          <t>26061609V</t>
        </is>
      </c>
      <c r="B245" s="54" t="inlineStr">
        <is>
          <t>APA Qtly All Hands Perth - May 2027</t>
        </is>
      </c>
      <c r="C245" s="55">
        <f>SUMIFS(tbl_WIP[Amount],tbl_WIP[Job Number],$A245,tbl_WIP[Month],"&lt;&gt;",tbl_WIP[Month],"&lt;"&amp;$C$4)+SUMIF('Deferred Revenue'!$E$6:$E$578,$A245,'Deferred Revenue'!$P$6:$P$578)</f>
        <v/>
      </c>
      <c r="D245" s="55">
        <f>SUMIFS(tbl_WIP[Amount],tbl_WIP[Job Number],$A245,tbl_WIP[Month],$C$4)+SUMIF('Deferred Revenue'!$E$6:$E$578,$A245,'Deferred Revenue'!$Q$6:$Q$578)</f>
        <v/>
      </c>
      <c r="E245" s="55">
        <f>C245+D245</f>
        <v/>
      </c>
      <c r="F245" s="56">
        <f>IF(ROUND(C245,2)+ROUND(D245,2)=0,"","yes")</f>
        <v/>
      </c>
      <c r="G245" s="57" t="n"/>
      <c r="H245" s="55">
        <f>IF($G245="","",$E245-$G245)</f>
        <v/>
      </c>
    </row>
    <row r="246">
      <c r="A246" s="54" t="inlineStr">
        <is>
          <t>26061611</t>
        </is>
      </c>
      <c r="B246" s="54" t="inlineStr">
        <is>
          <t>QBE - Keynote Event - 27.10.26</t>
        </is>
      </c>
      <c r="C246" s="55">
        <f>SUMIFS(tbl_WIP[Amount],tbl_WIP[Job Number],$A246,tbl_WIP[Month],"&lt;&gt;",tbl_WIP[Month],"&lt;"&amp;$C$4)+SUMIF('Deferred Revenue'!$E$6:$E$578,$A246,'Deferred Revenue'!$P$6:$P$578)</f>
        <v/>
      </c>
      <c r="D246" s="55">
        <f>SUMIFS(tbl_WIP[Amount],tbl_WIP[Job Number],$A246,tbl_WIP[Month],$C$4)+SUMIF('Deferred Revenue'!$E$6:$E$578,$A246,'Deferred Revenue'!$Q$6:$Q$578)</f>
        <v/>
      </c>
      <c r="E246" s="55">
        <f>C246+D246</f>
        <v/>
      </c>
      <c r="F246" s="56">
        <f>IF(ROUND(C246,2)+ROUND(D246,2)=0,"","yes")</f>
        <v/>
      </c>
      <c r="G246" s="57" t="n"/>
      <c r="H246" s="55">
        <f>IF($G246="","",$E246-$G246)</f>
        <v/>
      </c>
    </row>
    <row r="247">
      <c r="A247" s="54" t="inlineStr">
        <is>
          <t>26061611V</t>
        </is>
      </c>
      <c r="B247" s="54" t="inlineStr">
        <is>
          <t>QBE - Keynote Event - 27.10.26</t>
        </is>
      </c>
      <c r="C247" s="55">
        <f>SUMIFS(tbl_WIP[Amount],tbl_WIP[Job Number],$A247,tbl_WIP[Month],"&lt;&gt;",tbl_WIP[Month],"&lt;"&amp;$C$4)+SUMIF('Deferred Revenue'!$E$6:$E$578,$A247,'Deferred Revenue'!$P$6:$P$578)</f>
        <v/>
      </c>
      <c r="D247" s="55">
        <f>SUMIFS(tbl_WIP[Amount],tbl_WIP[Job Number],$A247,tbl_WIP[Month],$C$4)+SUMIF('Deferred Revenue'!$E$6:$E$578,$A247,'Deferred Revenue'!$Q$6:$Q$578)</f>
        <v/>
      </c>
      <c r="E247" s="55">
        <f>C247+D247</f>
        <v/>
      </c>
      <c r="F247" s="56">
        <f>IF(ROUND(C247,2)+ROUND(D247,2)=0,"","yes")</f>
        <v/>
      </c>
      <c r="G247" s="57" t="n"/>
      <c r="H247" s="55">
        <f>IF($G247="","",$E247-$G247)</f>
        <v/>
      </c>
    </row>
    <row r="248">
      <c r="A248" s="54" t="inlineStr">
        <is>
          <t>26061612</t>
        </is>
      </c>
      <c r="B248" s="54" t="inlineStr">
        <is>
          <t>Chorus Call - Redox AGM - 7.10.26</t>
        </is>
      </c>
      <c r="C248" s="55">
        <f>SUMIFS(tbl_WIP[Amount],tbl_WIP[Job Number],$A248,tbl_WIP[Month],"&lt;&gt;",tbl_WIP[Month],"&lt;"&amp;$C$4)+SUMIF('Deferred Revenue'!$E$6:$E$578,$A248,'Deferred Revenue'!$P$6:$P$578)</f>
        <v/>
      </c>
      <c r="D248" s="55">
        <f>SUMIFS(tbl_WIP[Amount],tbl_WIP[Job Number],$A248,tbl_WIP[Month],$C$4)+SUMIF('Deferred Revenue'!$E$6:$E$578,$A248,'Deferred Revenue'!$Q$6:$Q$578)</f>
        <v/>
      </c>
      <c r="E248" s="55">
        <f>C248+D248</f>
        <v/>
      </c>
      <c r="F248" s="56">
        <f>IF(ROUND(C248,2)+ROUND(D248,2)=0,"","yes")</f>
        <v/>
      </c>
      <c r="G248" s="57" t="n"/>
      <c r="H248" s="55">
        <f>IF($G248="","",$E248-$G248)</f>
        <v/>
      </c>
    </row>
    <row r="249">
      <c r="A249" s="54" t="inlineStr">
        <is>
          <t>26061612V</t>
        </is>
      </c>
      <c r="B249" s="54" t="inlineStr">
        <is>
          <t>Chorus Call - Redox AGM - 7.10.26</t>
        </is>
      </c>
      <c r="C249" s="55">
        <f>SUMIFS(tbl_WIP[Amount],tbl_WIP[Job Number],$A249,tbl_WIP[Month],"&lt;&gt;",tbl_WIP[Month],"&lt;"&amp;$C$4)+SUMIF('Deferred Revenue'!$E$6:$E$578,$A249,'Deferred Revenue'!$P$6:$P$578)</f>
        <v/>
      </c>
      <c r="D249" s="55">
        <f>SUMIFS(tbl_WIP[Amount],tbl_WIP[Job Number],$A249,tbl_WIP[Month],$C$4)+SUMIF('Deferred Revenue'!$E$6:$E$578,$A249,'Deferred Revenue'!$Q$6:$Q$578)</f>
        <v/>
      </c>
      <c r="E249" s="55">
        <f>C249+D249</f>
        <v/>
      </c>
      <c r="F249" s="56">
        <f>IF(ROUND(C249,2)+ROUND(D249,2)=0,"","yes")</f>
        <v/>
      </c>
      <c r="G249" s="57" t="n"/>
      <c r="H249" s="55">
        <f>IF($G249="","",$E249-$G249)</f>
        <v/>
      </c>
    </row>
    <row r="250">
      <c r="A250" s="54" t="inlineStr">
        <is>
          <t>26061701</t>
        </is>
      </c>
      <c r="B250" s="54" t="inlineStr">
        <is>
          <t>CBA - LES - July 2026</t>
        </is>
      </c>
      <c r="C250" s="55">
        <f>SUMIFS(tbl_WIP[Amount],tbl_WIP[Job Number],$A250,tbl_WIP[Month],"&lt;&gt;",tbl_WIP[Month],"&lt;"&amp;$C$4)+SUMIF('Deferred Revenue'!$E$6:$E$578,$A250,'Deferred Revenue'!$P$6:$P$578)</f>
        <v/>
      </c>
      <c r="D250" s="55">
        <f>SUMIFS(tbl_WIP[Amount],tbl_WIP[Job Number],$A250,tbl_WIP[Month],$C$4)+SUMIF('Deferred Revenue'!$E$6:$E$578,$A250,'Deferred Revenue'!$Q$6:$Q$578)</f>
        <v/>
      </c>
      <c r="E250" s="55">
        <f>C250+D250</f>
        <v/>
      </c>
      <c r="F250" s="56">
        <f>IF(ROUND(C250,2)+ROUND(D250,2)=0,"","yes")</f>
        <v/>
      </c>
      <c r="G250" s="57" t="n"/>
      <c r="H250" s="55">
        <f>IF($G250="","",$E250-$G250)</f>
        <v/>
      </c>
    </row>
    <row r="251">
      <c r="A251" s="54" t="inlineStr">
        <is>
          <t>26061702</t>
        </is>
      </c>
      <c r="B251" s="54" t="inlineStr">
        <is>
          <t>Garvan - Morning Tea Event - 31.7.26</t>
        </is>
      </c>
      <c r="C251" s="55">
        <f>SUMIFS(tbl_WIP[Amount],tbl_WIP[Job Number],$A251,tbl_WIP[Month],"&lt;&gt;",tbl_WIP[Month],"&lt;"&amp;$C$4)+SUMIF('Deferred Revenue'!$E$6:$E$578,$A251,'Deferred Revenue'!$P$6:$P$578)</f>
        <v/>
      </c>
      <c r="D251" s="55">
        <f>SUMIFS(tbl_WIP[Amount],tbl_WIP[Job Number],$A251,tbl_WIP[Month],$C$4)+SUMIF('Deferred Revenue'!$E$6:$E$578,$A251,'Deferred Revenue'!$Q$6:$Q$578)</f>
        <v/>
      </c>
      <c r="E251" s="55">
        <f>C251+D251</f>
        <v/>
      </c>
      <c r="F251" s="56">
        <f>IF(ROUND(C251,2)+ROUND(D251,2)=0,"","yes")</f>
        <v/>
      </c>
      <c r="G251" s="57" t="n"/>
      <c r="H251" s="55">
        <f>IF($G251="","",$E251-$G251)</f>
        <v/>
      </c>
    </row>
    <row r="252">
      <c r="A252" s="54" t="inlineStr">
        <is>
          <t>26061801</t>
        </is>
      </c>
      <c r="B252" s="54" t="inlineStr">
        <is>
          <t>APA - Investor Briefing FYR26 - 20.8.26</t>
        </is>
      </c>
      <c r="C252" s="55">
        <f>SUMIFS(tbl_WIP[Amount],tbl_WIP[Job Number],$A252,tbl_WIP[Month],"&lt;&gt;",tbl_WIP[Month],"&lt;"&amp;$C$4)+SUMIF('Deferred Revenue'!$E$6:$E$578,$A252,'Deferred Revenue'!$P$6:$P$578)</f>
        <v/>
      </c>
      <c r="D252" s="55">
        <f>SUMIFS(tbl_WIP[Amount],tbl_WIP[Job Number],$A252,tbl_WIP[Month],$C$4)+SUMIF('Deferred Revenue'!$E$6:$E$578,$A252,'Deferred Revenue'!$Q$6:$Q$578)</f>
        <v/>
      </c>
      <c r="E252" s="55">
        <f>C252+D252</f>
        <v/>
      </c>
      <c r="F252" s="56">
        <f>IF(ROUND(C252,2)+ROUND(D252,2)=0,"","yes")</f>
        <v/>
      </c>
      <c r="G252" s="57" t="n"/>
      <c r="H252" s="55">
        <f>IF($G252="","",$E252-$G252)</f>
        <v/>
      </c>
    </row>
    <row r="253">
      <c r="A253" s="54" t="inlineStr">
        <is>
          <t>26061801V</t>
        </is>
      </c>
      <c r="B253" s="54" t="inlineStr">
        <is>
          <t>APA - Investor Briefing FYR26 - 20.8.26</t>
        </is>
      </c>
      <c r="C253" s="55">
        <f>SUMIFS(tbl_WIP[Amount],tbl_WIP[Job Number],$A253,tbl_WIP[Month],"&lt;&gt;",tbl_WIP[Month],"&lt;"&amp;$C$4)+SUMIF('Deferred Revenue'!$E$6:$E$578,$A253,'Deferred Revenue'!$P$6:$P$578)</f>
        <v/>
      </c>
      <c r="D253" s="55">
        <f>SUMIFS(tbl_WIP[Amount],tbl_WIP[Job Number],$A253,tbl_WIP[Month],$C$4)+SUMIF('Deferred Revenue'!$E$6:$E$578,$A253,'Deferred Revenue'!$Q$6:$Q$578)</f>
        <v/>
      </c>
      <c r="E253" s="55">
        <f>C253+D253</f>
        <v/>
      </c>
      <c r="F253" s="56">
        <f>IF(ROUND(C253,2)+ROUND(D253,2)=0,"","yes")</f>
        <v/>
      </c>
      <c r="G253" s="57" t="n"/>
      <c r="H253" s="55">
        <f>IF($G253="","",$E253-$G253)</f>
        <v/>
      </c>
    </row>
    <row r="254">
      <c r="A254" s="54" t="inlineStr">
        <is>
          <t>26062201</t>
        </is>
      </c>
      <c r="B254" s="54" t="inlineStr">
        <is>
          <t>PWC - Tax &amp; Legal Webcast 02.07.26</t>
        </is>
      </c>
      <c r="C254" s="55">
        <f>SUMIFS(tbl_WIP[Amount],tbl_WIP[Job Number],$A254,tbl_WIP[Month],"&lt;&gt;",tbl_WIP[Month],"&lt;"&amp;$C$4)+SUMIF('Deferred Revenue'!$E$6:$E$578,$A254,'Deferred Revenue'!$P$6:$P$578)</f>
        <v/>
      </c>
      <c r="D254" s="55">
        <f>SUMIFS(tbl_WIP[Amount],tbl_WIP[Job Number],$A254,tbl_WIP[Month],$C$4)+SUMIF('Deferred Revenue'!$E$6:$E$578,$A254,'Deferred Revenue'!$Q$6:$Q$578)</f>
        <v/>
      </c>
      <c r="E254" s="55">
        <f>C254+D254</f>
        <v/>
      </c>
      <c r="F254" s="56">
        <f>IF(ROUND(C254,2)+ROUND(D254,2)=0,"","yes")</f>
        <v/>
      </c>
      <c r="G254" s="57" t="n"/>
      <c r="H254" s="55">
        <f>IF($G254="","",$E254-$G254)</f>
        <v/>
      </c>
    </row>
    <row r="255">
      <c r="A255" s="54" t="inlineStr">
        <is>
          <t>26062201V</t>
        </is>
      </c>
      <c r="B255" s="54" t="inlineStr">
        <is>
          <t>PWC - Tax &amp; Legal Webcast 02.07.26</t>
        </is>
      </c>
      <c r="C255" s="55">
        <f>SUMIFS(tbl_WIP[Amount],tbl_WIP[Job Number],$A255,tbl_WIP[Month],"&lt;&gt;",tbl_WIP[Month],"&lt;"&amp;$C$4)+SUMIF('Deferred Revenue'!$E$6:$E$578,$A255,'Deferred Revenue'!$P$6:$P$578)</f>
        <v/>
      </c>
      <c r="D255" s="55">
        <f>SUMIFS(tbl_WIP[Amount],tbl_WIP[Job Number],$A255,tbl_WIP[Month],$C$4)+SUMIF('Deferred Revenue'!$E$6:$E$578,$A255,'Deferred Revenue'!$Q$6:$Q$578)</f>
        <v/>
      </c>
      <c r="E255" s="55">
        <f>C255+D255</f>
        <v/>
      </c>
      <c r="F255" s="56">
        <f>IF(ROUND(C255,2)+ROUND(D255,2)=0,"","yes")</f>
        <v/>
      </c>
      <c r="G255" s="57" t="n"/>
      <c r="H255" s="55">
        <f>IF($G255="","",$E255-$G255)</f>
        <v/>
      </c>
    </row>
    <row r="256">
      <c r="A256" s="54" t="inlineStr">
        <is>
          <t>26062202</t>
        </is>
      </c>
      <c r="B256" s="54" t="inlineStr">
        <is>
          <t>PWC - Early Careers Webcast - 29.7.26</t>
        </is>
      </c>
      <c r="C256" s="55">
        <f>SUMIFS(tbl_WIP[Amount],tbl_WIP[Job Number],$A256,tbl_WIP[Month],"&lt;&gt;",tbl_WIP[Month],"&lt;"&amp;$C$4)+SUMIF('Deferred Revenue'!$E$6:$E$578,$A256,'Deferred Revenue'!$P$6:$P$578)</f>
        <v/>
      </c>
      <c r="D256" s="55">
        <f>SUMIFS(tbl_WIP[Amount],tbl_WIP[Job Number],$A256,tbl_WIP[Month],$C$4)+SUMIF('Deferred Revenue'!$E$6:$E$578,$A256,'Deferred Revenue'!$Q$6:$Q$578)</f>
        <v/>
      </c>
      <c r="E256" s="55">
        <f>C256+D256</f>
        <v/>
      </c>
      <c r="F256" s="56">
        <f>IF(ROUND(C256,2)+ROUND(D256,2)=0,"","yes")</f>
        <v/>
      </c>
      <c r="G256" s="57" t="n"/>
      <c r="H256" s="55">
        <f>IF($G256="","",$E256-$G256)</f>
        <v/>
      </c>
    </row>
    <row r="257">
      <c r="A257" s="54" t="inlineStr">
        <is>
          <t>26062202V</t>
        </is>
      </c>
      <c r="B257" s="54" t="inlineStr">
        <is>
          <t>PWC - Early Careers Webcast - 29.7.26</t>
        </is>
      </c>
      <c r="C257" s="55">
        <f>SUMIFS(tbl_WIP[Amount],tbl_WIP[Job Number],$A257,tbl_WIP[Month],"&lt;&gt;",tbl_WIP[Month],"&lt;"&amp;$C$4)+SUMIF('Deferred Revenue'!$E$6:$E$578,$A257,'Deferred Revenue'!$P$6:$P$578)</f>
        <v/>
      </c>
      <c r="D257" s="55">
        <f>SUMIFS(tbl_WIP[Amount],tbl_WIP[Job Number],$A257,tbl_WIP[Month],$C$4)+SUMIF('Deferred Revenue'!$E$6:$E$578,$A257,'Deferred Revenue'!$Q$6:$Q$578)</f>
        <v/>
      </c>
      <c r="E257" s="55">
        <f>C257+D257</f>
        <v/>
      </c>
      <c r="F257" s="56">
        <f>IF(ROUND(C257,2)+ROUND(D257,2)=0,"","yes")</f>
        <v/>
      </c>
      <c r="G257" s="57" t="n"/>
      <c r="H257" s="55">
        <f>IF($G257="","",$E257-$G257)</f>
        <v/>
      </c>
    </row>
    <row r="258">
      <c r="A258" s="54" t="inlineStr">
        <is>
          <t>26062403</t>
        </is>
      </c>
      <c r="B258" s="54" t="inlineStr">
        <is>
          <t>CBA - CommBank Private Hosting 25.6.26</t>
        </is>
      </c>
      <c r="C258" s="55">
        <f>SUMIFS(tbl_WIP[Amount],tbl_WIP[Job Number],$A258,tbl_WIP[Month],"&lt;&gt;",tbl_WIP[Month],"&lt;"&amp;$C$4)+SUMIF('Deferred Revenue'!$E$6:$E$578,$A258,'Deferred Revenue'!$P$6:$P$578)</f>
        <v/>
      </c>
      <c r="D258" s="55">
        <f>SUMIFS(tbl_WIP[Amount],tbl_WIP[Job Number],$A258,tbl_WIP[Month],$C$4)+SUMIF('Deferred Revenue'!$E$6:$E$578,$A258,'Deferred Revenue'!$Q$6:$Q$578)</f>
        <v/>
      </c>
      <c r="E258" s="55">
        <f>C258+D258</f>
        <v/>
      </c>
      <c r="F258" s="56">
        <f>IF(ROUND(C258,2)+ROUND(D258,2)=0,"","yes")</f>
        <v/>
      </c>
      <c r="G258" s="57" t="n"/>
      <c r="H258" s="55">
        <f>IF($G258="","",$E258-$G258)</f>
        <v/>
      </c>
    </row>
    <row r="259">
      <c r="A259" s="54" t="inlineStr">
        <is>
          <t>26062403V</t>
        </is>
      </c>
      <c r="B259" s="54" t="inlineStr">
        <is>
          <t>CBA - CommBank Private Hosting 25.6.26</t>
        </is>
      </c>
      <c r="C259" s="55">
        <f>SUMIFS(tbl_WIP[Amount],tbl_WIP[Job Number],$A259,tbl_WIP[Month],"&lt;&gt;",tbl_WIP[Month],"&lt;"&amp;$C$4)+SUMIF('Deferred Revenue'!$E$6:$E$578,$A259,'Deferred Revenue'!$P$6:$P$578)</f>
        <v/>
      </c>
      <c r="D259" s="55">
        <f>SUMIFS(tbl_WIP[Amount],tbl_WIP[Job Number],$A259,tbl_WIP[Month],$C$4)+SUMIF('Deferred Revenue'!$E$6:$E$578,$A259,'Deferred Revenue'!$Q$6:$Q$578)</f>
        <v/>
      </c>
      <c r="E259" s="55">
        <f>C259+D259</f>
        <v/>
      </c>
      <c r="F259" s="56">
        <f>IF(ROUND(C259,2)+ROUND(D259,2)=0,"","yes")</f>
        <v/>
      </c>
      <c r="G259" s="57" t="n"/>
      <c r="H259" s="55">
        <f>IF($G259="","",$E259-$G259)</f>
        <v/>
      </c>
    </row>
    <row r="260">
      <c r="A260" s="54" t="inlineStr">
        <is>
          <t>26062501</t>
        </is>
      </c>
      <c r="B260" s="54" t="inlineStr">
        <is>
          <t>DTTL STL Travel (SYD-MEL Return)</t>
        </is>
      </c>
      <c r="C260" s="55">
        <f>SUMIFS(tbl_WIP[Amount],tbl_WIP[Job Number],$A260,tbl_WIP[Month],"&lt;&gt;",tbl_WIP[Month],"&lt;"&amp;$C$4)+SUMIF('Deferred Revenue'!$E$6:$E$578,$A260,'Deferred Revenue'!$P$6:$P$578)</f>
        <v/>
      </c>
      <c r="D260" s="55">
        <f>SUMIFS(tbl_WIP[Amount],tbl_WIP[Job Number],$A260,tbl_WIP[Month],$C$4)+SUMIF('Deferred Revenue'!$E$6:$E$578,$A260,'Deferred Revenue'!$Q$6:$Q$578)</f>
        <v/>
      </c>
      <c r="E260" s="55">
        <f>C260+D260</f>
        <v/>
      </c>
      <c r="F260" s="56">
        <f>IF(ROUND(C260,2)+ROUND(D260,2)=0,"","yes")</f>
        <v/>
      </c>
      <c r="G260" s="57" t="n"/>
      <c r="H260" s="55">
        <f>IF($G260="","",$E260-$G260)</f>
        <v/>
      </c>
    </row>
    <row r="261">
      <c r="A261" s="54" t="inlineStr">
        <is>
          <t>26062503</t>
        </is>
      </c>
      <c r="B261" s="54" t="inlineStr">
        <is>
          <t>Aware Super 24.16 UC Engine Replacement</t>
        </is>
      </c>
      <c r="C261" s="55">
        <f>SUMIFS(tbl_WIP[Amount],tbl_WIP[Job Number],$A261,tbl_WIP[Month],"&lt;&gt;",tbl_WIP[Month],"&lt;"&amp;$C$4)+SUMIF('Deferred Revenue'!$E$6:$E$578,$A261,'Deferred Revenue'!$P$6:$P$578)</f>
        <v/>
      </c>
      <c r="D261" s="55">
        <f>SUMIFS(tbl_WIP[Amount],tbl_WIP[Job Number],$A261,tbl_WIP[Month],$C$4)+SUMIF('Deferred Revenue'!$E$6:$E$578,$A261,'Deferred Revenue'!$Q$6:$Q$578)</f>
        <v/>
      </c>
      <c r="E261" s="55">
        <f>C261+D261</f>
        <v/>
      </c>
      <c r="F261" s="56">
        <f>IF(ROUND(C261,2)+ROUND(D261,2)=0,"","yes")</f>
        <v/>
      </c>
      <c r="G261" s="57" t="n"/>
      <c r="H261" s="55">
        <f>IF($G261="","",$E261-$G261)</f>
        <v/>
      </c>
    </row>
    <row r="262">
      <c r="A262" s="54" t="inlineStr">
        <is>
          <t>26062601</t>
        </is>
      </c>
      <c r="B262" s="54" t="inlineStr">
        <is>
          <t>Ventia - XELT Event - 29.6.26</t>
        </is>
      </c>
      <c r="C262" s="55">
        <f>SUMIFS(tbl_WIP[Amount],tbl_WIP[Job Number],$A262,tbl_WIP[Month],"&lt;&gt;",tbl_WIP[Month],"&lt;"&amp;$C$4)+SUMIF('Deferred Revenue'!$E$6:$E$578,$A262,'Deferred Revenue'!$P$6:$P$578)</f>
        <v/>
      </c>
      <c r="D262" s="55">
        <f>SUMIFS(tbl_WIP[Amount],tbl_WIP[Job Number],$A262,tbl_WIP[Month],$C$4)+SUMIF('Deferred Revenue'!$E$6:$E$578,$A262,'Deferred Revenue'!$Q$6:$Q$578)</f>
        <v/>
      </c>
      <c r="E262" s="55">
        <f>C262+D262</f>
        <v/>
      </c>
      <c r="F262" s="56">
        <f>IF(ROUND(C262,2)+ROUND(D262,2)=0,"","yes")</f>
        <v/>
      </c>
      <c r="G262" s="57" t="n"/>
      <c r="H262" s="55">
        <f>IF($G262="","",$E262-$G262)</f>
        <v/>
      </c>
    </row>
    <row r="263">
      <c r="A263" s="54" t="inlineStr">
        <is>
          <t>26062601V</t>
        </is>
      </c>
      <c r="B263" s="54" t="inlineStr">
        <is>
          <t>Ventia - XELT Event - 29.6.26</t>
        </is>
      </c>
      <c r="C263" s="55">
        <f>SUMIFS(tbl_WIP[Amount],tbl_WIP[Job Number],$A263,tbl_WIP[Month],"&lt;&gt;",tbl_WIP[Month],"&lt;"&amp;$C$4)+SUMIF('Deferred Revenue'!$E$6:$E$578,$A263,'Deferred Revenue'!$P$6:$P$578)</f>
        <v/>
      </c>
      <c r="D263" s="55">
        <f>SUMIFS(tbl_WIP[Amount],tbl_WIP[Job Number],$A263,tbl_WIP[Month],$C$4)+SUMIF('Deferred Revenue'!$E$6:$E$578,$A263,'Deferred Revenue'!$Q$6:$Q$578)</f>
        <v/>
      </c>
      <c r="E263" s="55">
        <f>C263+D263</f>
        <v/>
      </c>
      <c r="F263" s="56">
        <f>IF(ROUND(C263,2)+ROUND(D263,2)=0,"","yes")</f>
        <v/>
      </c>
      <c r="G263" s="57" t="n"/>
      <c r="H263" s="55">
        <f>IF($G263="","",$E263-$G263)</f>
        <v/>
      </c>
    </row>
    <row r="264">
      <c r="A264" s="54" t="inlineStr">
        <is>
          <t>26062901</t>
        </is>
      </c>
      <c r="B264" s="54" t="inlineStr">
        <is>
          <t>Aware | SYD 28.06 Services</t>
        </is>
      </c>
      <c r="C264" s="55">
        <f>SUMIFS(tbl_WIP[Amount],tbl_WIP[Job Number],$A264,tbl_WIP[Month],"&lt;&gt;",tbl_WIP[Month],"&lt;"&amp;$C$4)+SUMIF('Deferred Revenue'!$E$6:$E$578,$A264,'Deferred Revenue'!$P$6:$P$578)</f>
        <v/>
      </c>
      <c r="D264" s="55">
        <f>SUMIFS(tbl_WIP[Amount],tbl_WIP[Job Number],$A264,tbl_WIP[Month],$C$4)+SUMIF('Deferred Revenue'!$E$6:$E$578,$A264,'Deferred Revenue'!$Q$6:$Q$578)</f>
        <v/>
      </c>
      <c r="E264" s="55">
        <f>C264+D264</f>
        <v/>
      </c>
      <c r="F264" s="56">
        <f>IF(ROUND(C264,2)+ROUND(D264,2)=0,"","yes")</f>
        <v/>
      </c>
      <c r="G264" s="57" t="n"/>
      <c r="H264" s="55">
        <f>IF($G264="","",$E264-$G264)</f>
        <v/>
      </c>
    </row>
    <row r="265">
      <c r="A265" s="54" t="inlineStr">
        <is>
          <t>26062902</t>
        </is>
      </c>
      <c r="B265" s="54" t="inlineStr">
        <is>
          <t>Aware | SYD Occupancy Sensors</t>
        </is>
      </c>
      <c r="C265" s="55">
        <f>SUMIFS(tbl_WIP[Amount],tbl_WIP[Job Number],$A265,tbl_WIP[Month],"&lt;&gt;",tbl_WIP[Month],"&lt;"&amp;$C$4)+SUMIF('Deferred Revenue'!$E$6:$E$578,$A265,'Deferred Revenue'!$P$6:$P$578)</f>
        <v/>
      </c>
      <c r="D265" s="55">
        <f>SUMIFS(tbl_WIP[Amount],tbl_WIP[Job Number],$A265,tbl_WIP[Month],$C$4)+SUMIF('Deferred Revenue'!$E$6:$E$578,$A265,'Deferred Revenue'!$Q$6:$Q$578)</f>
        <v/>
      </c>
      <c r="E265" s="55">
        <f>C265+D265</f>
        <v/>
      </c>
      <c r="F265" s="56">
        <f>IF(ROUND(C265,2)+ROUND(D265,2)=0,"","yes")</f>
        <v/>
      </c>
      <c r="G265" s="57" t="n"/>
      <c r="H265" s="55">
        <f>IF($G265="","",$E265-$G265)</f>
        <v/>
      </c>
    </row>
    <row r="266">
      <c r="A266" s="54" t="inlineStr">
        <is>
          <t>26063002</t>
        </is>
      </c>
      <c r="B266" s="54" t="inlineStr">
        <is>
          <t>CEOi - CEO Connect - 11.8.26</t>
        </is>
      </c>
      <c r="C266" s="55">
        <f>SUMIFS(tbl_WIP[Amount],tbl_WIP[Job Number],$A266,tbl_WIP[Month],"&lt;&gt;",tbl_WIP[Month],"&lt;"&amp;$C$4)+SUMIF('Deferred Revenue'!$E$6:$E$578,$A266,'Deferred Revenue'!$P$6:$P$578)</f>
        <v/>
      </c>
      <c r="D266" s="55">
        <f>SUMIFS(tbl_WIP[Amount],tbl_WIP[Job Number],$A266,tbl_WIP[Month],$C$4)+SUMIF('Deferred Revenue'!$E$6:$E$578,$A266,'Deferred Revenue'!$Q$6:$Q$578)</f>
        <v/>
      </c>
      <c r="E266" s="55">
        <f>C266+D266</f>
        <v/>
      </c>
      <c r="F266" s="56">
        <f>IF(ROUND(C266,2)+ROUND(D266,2)=0,"","yes")</f>
        <v/>
      </c>
      <c r="G266" s="57" t="n"/>
      <c r="H266" s="55">
        <f>IF($G266="","",$E266-$G266)</f>
        <v/>
      </c>
    </row>
    <row r="267">
      <c r="A267" s="54" t="inlineStr">
        <is>
          <t>26063002V</t>
        </is>
      </c>
      <c r="B267" s="54" t="inlineStr">
        <is>
          <t>CEOi - CEO Connect - 11.8.26</t>
        </is>
      </c>
      <c r="C267" s="55">
        <f>SUMIFS(tbl_WIP[Amount],tbl_WIP[Job Number],$A267,tbl_WIP[Month],"&lt;&gt;",tbl_WIP[Month],"&lt;"&amp;$C$4)+SUMIF('Deferred Revenue'!$E$6:$E$578,$A267,'Deferred Revenue'!$P$6:$P$578)</f>
        <v/>
      </c>
      <c r="D267" s="55">
        <f>SUMIFS(tbl_WIP[Amount],tbl_WIP[Job Number],$A267,tbl_WIP[Month],$C$4)+SUMIF('Deferred Revenue'!$E$6:$E$578,$A267,'Deferred Revenue'!$Q$6:$Q$578)</f>
        <v/>
      </c>
      <c r="E267" s="55">
        <f>C267+D267</f>
        <v/>
      </c>
      <c r="F267" s="56">
        <f>IF(ROUND(C267,2)+ROUND(D267,2)=0,"","yes")</f>
        <v/>
      </c>
      <c r="G267" s="57" t="n"/>
      <c r="H267" s="55">
        <f>IF($G267="","",$E267-$G267)</f>
        <v/>
      </c>
    </row>
    <row r="268">
      <c r="A268" s="54" t="inlineStr">
        <is>
          <t>2606401V</t>
        </is>
      </c>
      <c r="B268" s="54" t="inlineStr">
        <is>
          <t>PWC - NRW Webcast - 11.6.26</t>
        </is>
      </c>
      <c r="C268" s="55">
        <f>SUMIFS(tbl_WIP[Amount],tbl_WIP[Job Number],$A268,tbl_WIP[Month],"&lt;&gt;",tbl_WIP[Month],"&lt;"&amp;$C$4)+SUMIF('Deferred Revenue'!$E$6:$E$578,$A268,'Deferred Revenue'!$P$6:$P$578)</f>
        <v/>
      </c>
      <c r="D268" s="55">
        <f>SUMIFS(tbl_WIP[Amount],tbl_WIP[Job Number],$A268,tbl_WIP[Month],$C$4)+SUMIF('Deferred Revenue'!$E$6:$E$578,$A268,'Deferred Revenue'!$Q$6:$Q$578)</f>
        <v/>
      </c>
      <c r="E268" s="55">
        <f>C268+D268</f>
        <v/>
      </c>
      <c r="F268" s="56">
        <f>IF(ROUND(C268,2)+ROUND(D268,2)=0,"","yes")</f>
        <v/>
      </c>
      <c r="G268" s="57" t="n"/>
      <c r="H268" s="55">
        <f>IF($G268="","",$E268-$G268)</f>
        <v/>
      </c>
    </row>
    <row r="269">
      <c r="A269" s="54" t="inlineStr">
        <is>
          <t>2606901</t>
        </is>
      </c>
      <c r="B269" s="54" t="inlineStr">
        <is>
          <t>PwC | Syd Studio Equipment</t>
        </is>
      </c>
      <c r="C269" s="55">
        <f>SUMIFS(tbl_WIP[Amount],tbl_WIP[Job Number],$A269,tbl_WIP[Month],"&lt;&gt;",tbl_WIP[Month],"&lt;"&amp;$C$4)+SUMIF('Deferred Revenue'!$E$6:$E$578,$A269,'Deferred Revenue'!$P$6:$P$578)</f>
        <v/>
      </c>
      <c r="D269" s="55">
        <f>SUMIFS(tbl_WIP[Amount],tbl_WIP[Job Number],$A269,tbl_WIP[Month],$C$4)+SUMIF('Deferred Revenue'!$E$6:$E$578,$A269,'Deferred Revenue'!$Q$6:$Q$578)</f>
        <v/>
      </c>
      <c r="E269" s="55">
        <f>C269+D269</f>
        <v/>
      </c>
      <c r="F269" s="56">
        <f>IF(ROUND(C269,2)+ROUND(D269,2)=0,"","yes")</f>
        <v/>
      </c>
      <c r="G269" s="57" t="n"/>
      <c r="H269" s="55">
        <f>IF($G269="","",$E269-$G269)</f>
        <v/>
      </c>
    </row>
    <row r="270">
      <c r="A270" s="54" t="inlineStr">
        <is>
          <t>2606902</t>
        </is>
      </c>
      <c r="B270" s="54" t="inlineStr">
        <is>
          <t>AVIT - Taronga AV Support - 9-11.6.26</t>
        </is>
      </c>
      <c r="C270" s="55">
        <f>SUMIFS(tbl_WIP[Amount],tbl_WIP[Job Number],$A270,tbl_WIP[Month],"&lt;&gt;",tbl_WIP[Month],"&lt;"&amp;$C$4)+SUMIF('Deferred Revenue'!$E$6:$E$578,$A270,'Deferred Revenue'!$P$6:$P$578)</f>
        <v/>
      </c>
      <c r="D270" s="55">
        <f>SUMIFS(tbl_WIP[Amount],tbl_WIP[Job Number],$A270,tbl_WIP[Month],$C$4)+SUMIF('Deferred Revenue'!$E$6:$E$578,$A270,'Deferred Revenue'!$Q$6:$Q$578)</f>
        <v/>
      </c>
      <c r="E270" s="55">
        <f>C270+D270</f>
        <v/>
      </c>
      <c r="F270" s="56">
        <f>IF(ROUND(C270,2)+ROUND(D270,2)=0,"","yes")</f>
        <v/>
      </c>
      <c r="G270" s="57" t="n"/>
      <c r="H270" s="55">
        <f>IF($G270="","",$E270-$G270)</f>
        <v/>
      </c>
    </row>
    <row r="271">
      <c r="A271" s="54" t="inlineStr">
        <is>
          <t>2606903</t>
        </is>
      </c>
      <c r="B271" s="54" t="inlineStr">
        <is>
          <t>Virgin FY26 Results</t>
        </is>
      </c>
      <c r="C271" s="55">
        <f>SUMIFS(tbl_WIP[Amount],tbl_WIP[Job Number],$A271,tbl_WIP[Month],"&lt;&gt;",tbl_WIP[Month],"&lt;"&amp;$C$4)+SUMIF('Deferred Revenue'!$E$6:$E$578,$A271,'Deferred Revenue'!$P$6:$P$578)</f>
        <v/>
      </c>
      <c r="D271" s="55">
        <f>SUMIFS(tbl_WIP[Amount],tbl_WIP[Job Number],$A271,tbl_WIP[Month],$C$4)+SUMIF('Deferred Revenue'!$E$6:$E$578,$A271,'Deferred Revenue'!$Q$6:$Q$578)</f>
        <v/>
      </c>
      <c r="E271" s="55">
        <f>C271+D271</f>
        <v/>
      </c>
      <c r="F271" s="56">
        <f>IF(ROUND(C271,2)+ROUND(D271,2)=0,"","yes")</f>
        <v/>
      </c>
      <c r="G271" s="57" t="n"/>
      <c r="H271" s="55">
        <f>IF($G271="","",$E271-$G271)</f>
        <v/>
      </c>
    </row>
    <row r="272">
      <c r="A272" s="54" t="inlineStr">
        <is>
          <t>2606903V</t>
        </is>
      </c>
      <c r="B272" s="54" t="inlineStr">
        <is>
          <t>Virgin FY26 Results</t>
        </is>
      </c>
      <c r="C272" s="55">
        <f>SUMIFS(tbl_WIP[Amount],tbl_WIP[Job Number],$A272,tbl_WIP[Month],"&lt;&gt;",tbl_WIP[Month],"&lt;"&amp;$C$4)+SUMIF('Deferred Revenue'!$E$6:$E$578,$A272,'Deferred Revenue'!$P$6:$P$578)</f>
        <v/>
      </c>
      <c r="D272" s="55">
        <f>SUMIFS(tbl_WIP[Amount],tbl_WIP[Job Number],$A272,tbl_WIP[Month],$C$4)+SUMIF('Deferred Revenue'!$E$6:$E$578,$A272,'Deferred Revenue'!$Q$6:$Q$578)</f>
        <v/>
      </c>
      <c r="E272" s="55">
        <f>C272+D272</f>
        <v/>
      </c>
      <c r="F272" s="56">
        <f>IF(ROUND(C272,2)+ROUND(D272,2)=0,"","yes")</f>
        <v/>
      </c>
      <c r="G272" s="57" t="n"/>
      <c r="H272" s="55">
        <f>IF($G272="","",$E272-$G272)</f>
        <v/>
      </c>
    </row>
    <row r="273">
      <c r="A273" s="54" t="inlineStr">
        <is>
          <t>2606904</t>
        </is>
      </c>
      <c r="B273" s="54" t="inlineStr">
        <is>
          <t>Symal - FYR26 (Melb) - 24.8.26</t>
        </is>
      </c>
      <c r="C273" s="55">
        <f>SUMIFS(tbl_WIP[Amount],tbl_WIP[Job Number],$A273,tbl_WIP[Month],"&lt;&gt;",tbl_WIP[Month],"&lt;"&amp;$C$4)+SUMIF('Deferred Revenue'!$E$6:$E$578,$A273,'Deferred Revenue'!$P$6:$P$578)</f>
        <v/>
      </c>
      <c r="D273" s="55">
        <f>SUMIFS(tbl_WIP[Amount],tbl_WIP[Job Number],$A273,tbl_WIP[Month],$C$4)+SUMIF('Deferred Revenue'!$E$6:$E$578,$A273,'Deferred Revenue'!$Q$6:$Q$578)</f>
        <v/>
      </c>
      <c r="E273" s="55">
        <f>C273+D273</f>
        <v/>
      </c>
      <c r="F273" s="56">
        <f>IF(ROUND(C273,2)+ROUND(D273,2)=0,"","yes")</f>
        <v/>
      </c>
      <c r="G273" s="57" t="n"/>
      <c r="H273" s="55">
        <f>IF($G273="","",$E273-$G273)</f>
        <v/>
      </c>
    </row>
    <row r="274">
      <c r="A274" s="54" t="inlineStr">
        <is>
          <t>2606904V</t>
        </is>
      </c>
      <c r="B274" s="54" t="inlineStr">
        <is>
          <t>Symal - FYR26 (Melb) - 24.8.26</t>
        </is>
      </c>
      <c r="C274" s="55">
        <f>SUMIFS(tbl_WIP[Amount],tbl_WIP[Job Number],$A274,tbl_WIP[Month],"&lt;&gt;",tbl_WIP[Month],"&lt;"&amp;$C$4)+SUMIF('Deferred Revenue'!$E$6:$E$578,$A274,'Deferred Revenue'!$P$6:$P$578)</f>
        <v/>
      </c>
      <c r="D274" s="55">
        <f>SUMIFS(tbl_WIP[Amount],tbl_WIP[Job Number],$A274,tbl_WIP[Month],$C$4)+SUMIF('Deferred Revenue'!$E$6:$E$578,$A274,'Deferred Revenue'!$Q$6:$Q$578)</f>
        <v/>
      </c>
      <c r="E274" s="55">
        <f>C274+D274</f>
        <v/>
      </c>
      <c r="F274" s="56">
        <f>IF(ROUND(C274,2)+ROUND(D274,2)=0,"","yes")</f>
        <v/>
      </c>
      <c r="G274" s="57" t="n"/>
      <c r="H274" s="55">
        <f>IF($G274="","",$E274-$G274)</f>
        <v/>
      </c>
    </row>
    <row r="275">
      <c r="A275" s="54" t="inlineStr">
        <is>
          <t>2606905</t>
        </is>
      </c>
      <c r="B275" s="54" t="inlineStr">
        <is>
          <t>Dimensional - Audio Tech Support - 22.6.26</t>
        </is>
      </c>
      <c r="C275" s="55">
        <f>SUMIFS(tbl_WIP[Amount],tbl_WIP[Job Number],$A275,tbl_WIP[Month],"&lt;&gt;",tbl_WIP[Month],"&lt;"&amp;$C$4)+SUMIF('Deferred Revenue'!$E$6:$E$578,$A275,'Deferred Revenue'!$P$6:$P$578)</f>
        <v/>
      </c>
      <c r="D275" s="55">
        <f>SUMIFS(tbl_WIP[Amount],tbl_WIP[Job Number],$A275,tbl_WIP[Month],$C$4)+SUMIF('Deferred Revenue'!$E$6:$E$578,$A275,'Deferred Revenue'!$Q$6:$Q$578)</f>
        <v/>
      </c>
      <c r="E275" s="55">
        <f>C275+D275</f>
        <v/>
      </c>
      <c r="F275" s="56">
        <f>IF(ROUND(C275,2)+ROUND(D275,2)=0,"","yes")</f>
        <v/>
      </c>
      <c r="G275" s="57" t="n"/>
      <c r="H275" s="55">
        <f>IF($G275="","",$E275-$G275)</f>
        <v/>
      </c>
    </row>
    <row r="276">
      <c r="A276" s="54" t="inlineStr">
        <is>
          <t>2606906</t>
        </is>
      </c>
      <c r="B276" s="54" t="inlineStr">
        <is>
          <t>St Catherines Case Study Video Non-Chrgable</t>
        </is>
      </c>
      <c r="C276" s="55">
        <f>SUMIFS(tbl_WIP[Amount],tbl_WIP[Job Number],$A276,tbl_WIP[Month],"&lt;&gt;",tbl_WIP[Month],"&lt;"&amp;$C$4)+SUMIF('Deferred Revenue'!$E$6:$E$578,$A276,'Deferred Revenue'!$P$6:$P$578)</f>
        <v/>
      </c>
      <c r="D276" s="55">
        <f>SUMIFS(tbl_WIP[Amount],tbl_WIP[Job Number],$A276,tbl_WIP[Month],$C$4)+SUMIF('Deferred Revenue'!$E$6:$E$578,$A276,'Deferred Revenue'!$Q$6:$Q$578)</f>
        <v/>
      </c>
      <c r="E276" s="55">
        <f>C276+D276</f>
        <v/>
      </c>
      <c r="F276" s="56">
        <f>IF(ROUND(C276,2)+ROUND(D276,2)=0,"","yes")</f>
        <v/>
      </c>
      <c r="G276" s="57" t="n"/>
      <c r="H276" s="55">
        <f>IF($G276="","",$E276-$G276)</f>
        <v/>
      </c>
    </row>
    <row r="277">
      <c r="A277" s="54" t="inlineStr">
        <is>
          <t>26071303</t>
        </is>
      </c>
      <c r="B277" s="54" t="inlineStr">
        <is>
          <t>Ventia - Melbourne Office Event - 30.7.26</t>
        </is>
      </c>
      <c r="C277" s="55">
        <f>SUMIFS(tbl_WIP[Amount],tbl_WIP[Job Number],$A277,tbl_WIP[Month],"&lt;&gt;",tbl_WIP[Month],"&lt;"&amp;$C$4)+SUMIF('Deferred Revenue'!$E$6:$E$578,$A277,'Deferred Revenue'!$P$6:$P$578)</f>
        <v/>
      </c>
      <c r="D277" s="55">
        <f>SUMIFS(tbl_WIP[Amount],tbl_WIP[Job Number],$A277,tbl_WIP[Month],$C$4)+SUMIF('Deferred Revenue'!$E$6:$E$578,$A277,'Deferred Revenue'!$Q$6:$Q$578)</f>
        <v/>
      </c>
      <c r="E277" s="55">
        <f>C277+D277</f>
        <v/>
      </c>
      <c r="F277" s="56">
        <f>IF(ROUND(C277,2)+ROUND(D277,2)=0,"","yes")</f>
        <v/>
      </c>
      <c r="G277" s="57" t="n"/>
      <c r="H277" s="55">
        <f>IF($G277="","",$E277-$G277)</f>
        <v/>
      </c>
    </row>
    <row r="278">
      <c r="A278" s="54" t="inlineStr">
        <is>
          <t>26071304</t>
        </is>
      </c>
      <c r="B278" s="54" t="inlineStr">
        <is>
          <t>YSG | Orange Room Upgrade</t>
        </is>
      </c>
      <c r="C278" s="55">
        <f>SUMIFS(tbl_WIP[Amount],tbl_WIP[Job Number],$A278,tbl_WIP[Month],"&lt;&gt;",tbl_WIP[Month],"&lt;"&amp;$C$4)+SUMIF('Deferred Revenue'!$E$6:$E$578,$A278,'Deferred Revenue'!$P$6:$P$578)</f>
        <v/>
      </c>
      <c r="D278" s="55">
        <f>SUMIFS(tbl_WIP[Amount],tbl_WIP[Job Number],$A278,tbl_WIP[Month],$C$4)+SUMIF('Deferred Revenue'!$E$6:$E$578,$A278,'Deferred Revenue'!$Q$6:$Q$578)</f>
        <v/>
      </c>
      <c r="E278" s="55">
        <f>C278+D278</f>
        <v/>
      </c>
      <c r="F278" s="56">
        <f>IF(ROUND(C278,2)+ROUND(D278,2)=0,"","yes")</f>
        <v/>
      </c>
      <c r="G278" s="57" t="n"/>
      <c r="H278" s="55">
        <f>IF($G278="","",$E278-$G278)</f>
        <v/>
      </c>
    </row>
    <row r="279">
      <c r="A279" s="54" t="inlineStr">
        <is>
          <t>26071403</t>
        </is>
      </c>
      <c r="B279" s="54" t="inlineStr">
        <is>
          <t>Elkiem - Studio Support - 4.11.26</t>
        </is>
      </c>
      <c r="C279" s="55">
        <f>SUMIFS(tbl_WIP[Amount],tbl_WIP[Job Number],$A279,tbl_WIP[Month],"&lt;&gt;",tbl_WIP[Month],"&lt;"&amp;$C$4)+SUMIF('Deferred Revenue'!$E$6:$E$578,$A279,'Deferred Revenue'!$P$6:$P$578)</f>
        <v/>
      </c>
      <c r="D279" s="55">
        <f>SUMIFS(tbl_WIP[Amount],tbl_WIP[Job Number],$A279,tbl_WIP[Month],$C$4)+SUMIF('Deferred Revenue'!$E$6:$E$578,$A279,'Deferred Revenue'!$Q$6:$Q$578)</f>
        <v/>
      </c>
      <c r="E279" s="55">
        <f>C279+D279</f>
        <v/>
      </c>
      <c r="F279" s="56">
        <f>IF(ROUND(C279,2)+ROUND(D279,2)=0,"","yes")</f>
        <v/>
      </c>
      <c r="G279" s="57" t="n"/>
      <c r="H279" s="55">
        <f>IF($G279="","",$E279-$G279)</f>
        <v/>
      </c>
    </row>
    <row r="280">
      <c r="A280" s="54" t="inlineStr">
        <is>
          <t>26071404</t>
        </is>
      </c>
      <c r="B280" s="54" t="inlineStr">
        <is>
          <t>Elkiem - Studio Support - 9.12.26</t>
        </is>
      </c>
      <c r="C280" s="55">
        <f>SUMIFS(tbl_WIP[Amount],tbl_WIP[Job Number],$A280,tbl_WIP[Month],"&lt;&gt;",tbl_WIP[Month],"&lt;"&amp;$C$4)+SUMIF('Deferred Revenue'!$E$6:$E$578,$A280,'Deferred Revenue'!$P$6:$P$578)</f>
        <v/>
      </c>
      <c r="D280" s="55">
        <f>SUMIFS(tbl_WIP[Amount],tbl_WIP[Job Number],$A280,tbl_WIP[Month],$C$4)+SUMIF('Deferred Revenue'!$E$6:$E$578,$A280,'Deferred Revenue'!$Q$6:$Q$578)</f>
        <v/>
      </c>
      <c r="E280" s="55">
        <f>C280+D280</f>
        <v/>
      </c>
      <c r="F280" s="56">
        <f>IF(ROUND(C280,2)+ROUND(D280,2)=0,"","yes")</f>
        <v/>
      </c>
      <c r="G280" s="57" t="n"/>
      <c r="H280" s="55">
        <f>IF($G280="","",$E280-$G280)</f>
        <v/>
      </c>
    </row>
    <row r="281">
      <c r="A281" s="54" t="inlineStr">
        <is>
          <t>26071405</t>
        </is>
      </c>
      <c r="B281" s="54" t="inlineStr">
        <is>
          <t>PWC - Event Technician - 29.7.26</t>
        </is>
      </c>
      <c r="C281" s="55">
        <f>SUMIFS(tbl_WIP[Amount],tbl_WIP[Job Number],$A281,tbl_WIP[Month],"&lt;&gt;",tbl_WIP[Month],"&lt;"&amp;$C$4)+SUMIF('Deferred Revenue'!$E$6:$E$578,$A281,'Deferred Revenue'!$P$6:$P$578)</f>
        <v/>
      </c>
      <c r="D281" s="55">
        <f>SUMIFS(tbl_WIP[Amount],tbl_WIP[Job Number],$A281,tbl_WIP[Month],$C$4)+SUMIF('Deferred Revenue'!$E$6:$E$578,$A281,'Deferred Revenue'!$Q$6:$Q$578)</f>
        <v/>
      </c>
      <c r="E281" s="55">
        <f>C281+D281</f>
        <v/>
      </c>
      <c r="F281" s="56">
        <f>IF(ROUND(C281,2)+ROUND(D281,2)=0,"","yes")</f>
        <v/>
      </c>
      <c r="G281" s="57" t="n"/>
      <c r="H281" s="55">
        <f>IF($G281="","",$E281-$G281)</f>
        <v/>
      </c>
    </row>
    <row r="282">
      <c r="A282" s="54" t="inlineStr">
        <is>
          <t>26071501</t>
        </is>
      </c>
      <c r="B282" s="54" t="inlineStr">
        <is>
          <t>Ventia - Half Year Results Briefing - 24.8.26</t>
        </is>
      </c>
      <c r="C282" s="55">
        <f>SUMIFS(tbl_WIP[Amount],tbl_WIP[Job Number],$A282,tbl_WIP[Month],"&lt;&gt;",tbl_WIP[Month],"&lt;"&amp;$C$4)+SUMIF('Deferred Revenue'!$E$6:$E$578,$A282,'Deferred Revenue'!$P$6:$P$578)</f>
        <v/>
      </c>
      <c r="D282" s="55">
        <f>SUMIFS(tbl_WIP[Amount],tbl_WIP[Job Number],$A282,tbl_WIP[Month],$C$4)+SUMIF('Deferred Revenue'!$E$6:$E$578,$A282,'Deferred Revenue'!$Q$6:$Q$578)</f>
        <v/>
      </c>
      <c r="E282" s="55">
        <f>C282+D282</f>
        <v/>
      </c>
      <c r="F282" s="56">
        <f>IF(ROUND(C282,2)+ROUND(D282,2)=0,"","yes")</f>
        <v/>
      </c>
      <c r="G282" s="57" t="n"/>
      <c r="H282" s="55">
        <f>IF($G282="","",$E282-$G282)</f>
        <v/>
      </c>
    </row>
    <row r="283">
      <c r="A283" s="54" t="inlineStr">
        <is>
          <t>26071501V</t>
        </is>
      </c>
      <c r="B283" s="54" t="inlineStr">
        <is>
          <t>Ventia - Half Year Results Briefing - 24.8.26</t>
        </is>
      </c>
      <c r="C283" s="55">
        <f>SUMIFS(tbl_WIP[Amount],tbl_WIP[Job Number],$A283,tbl_WIP[Month],"&lt;&gt;",tbl_WIP[Month],"&lt;"&amp;$C$4)+SUMIF('Deferred Revenue'!$E$6:$E$578,$A283,'Deferred Revenue'!$P$6:$P$578)</f>
        <v/>
      </c>
      <c r="D283" s="55">
        <f>SUMIFS(tbl_WIP[Amount],tbl_WIP[Job Number],$A283,tbl_WIP[Month],$C$4)+SUMIF('Deferred Revenue'!$E$6:$E$578,$A283,'Deferred Revenue'!$Q$6:$Q$578)</f>
        <v/>
      </c>
      <c r="E283" s="55">
        <f>C283+D283</f>
        <v/>
      </c>
      <c r="F283" s="56">
        <f>IF(ROUND(C283,2)+ROUND(D283,2)=0,"","yes")</f>
        <v/>
      </c>
      <c r="G283" s="57" t="n"/>
      <c r="H283" s="55">
        <f>IF($G283="","",$E283-$G283)</f>
        <v/>
      </c>
    </row>
    <row r="284">
      <c r="A284" s="54" t="inlineStr">
        <is>
          <t>26071601</t>
        </is>
      </c>
      <c r="B284" s="54" t="inlineStr">
        <is>
          <t>Aware | PER | Barry Marshall and Albany Rooms BYOD USB-C Replcmnt</t>
        </is>
      </c>
      <c r="C284" s="55">
        <f>SUMIFS(tbl_WIP[Amount],tbl_WIP[Job Number],$A284,tbl_WIP[Month],"&lt;&gt;",tbl_WIP[Month],"&lt;"&amp;$C$4)+SUMIF('Deferred Revenue'!$E$6:$E$578,$A284,'Deferred Revenue'!$P$6:$P$578)</f>
        <v/>
      </c>
      <c r="D284" s="55">
        <f>SUMIFS(tbl_WIP[Amount],tbl_WIP[Job Number],$A284,tbl_WIP[Month],$C$4)+SUMIF('Deferred Revenue'!$E$6:$E$578,$A284,'Deferred Revenue'!$Q$6:$Q$578)</f>
        <v/>
      </c>
      <c r="E284" s="55">
        <f>C284+D284</f>
        <v/>
      </c>
      <c r="F284" s="56">
        <f>IF(ROUND(C284,2)+ROUND(D284,2)=0,"","yes")</f>
        <v/>
      </c>
      <c r="G284" s="57" t="n"/>
      <c r="H284" s="55">
        <f>IF($G284="","",$E284-$G284)</f>
        <v/>
      </c>
    </row>
    <row r="285">
      <c r="A285" s="54" t="inlineStr">
        <is>
          <t>26071701</t>
        </is>
      </c>
      <c r="B285" s="54" t="inlineStr">
        <is>
          <t>ASX Live - 9.9.26</t>
        </is>
      </c>
      <c r="C285" s="55">
        <f>SUMIFS(tbl_WIP[Amount],tbl_WIP[Job Number],$A285,tbl_WIP[Month],"&lt;&gt;",tbl_WIP[Month],"&lt;"&amp;$C$4)+SUMIF('Deferred Revenue'!$E$6:$E$578,$A285,'Deferred Revenue'!$P$6:$P$578)</f>
        <v/>
      </c>
      <c r="D285" s="55">
        <f>SUMIFS(tbl_WIP[Amount],tbl_WIP[Job Number],$A285,tbl_WIP[Month],$C$4)+SUMIF('Deferred Revenue'!$E$6:$E$578,$A285,'Deferred Revenue'!$Q$6:$Q$578)</f>
        <v/>
      </c>
      <c r="E285" s="55">
        <f>C285+D285</f>
        <v/>
      </c>
      <c r="F285" s="56">
        <f>IF(ROUND(C285,2)+ROUND(D285,2)=0,"","yes")</f>
        <v/>
      </c>
      <c r="G285" s="57" t="n"/>
      <c r="H285" s="55">
        <f>IF($G285="","",$E285-$G285)</f>
        <v/>
      </c>
    </row>
    <row r="286">
      <c r="A286" s="54" t="inlineStr">
        <is>
          <t>26071701V</t>
        </is>
      </c>
      <c r="B286" s="54" t="inlineStr">
        <is>
          <t>ASX Live - 9.9.26</t>
        </is>
      </c>
      <c r="C286" s="55">
        <f>SUMIFS(tbl_WIP[Amount],tbl_WIP[Job Number],$A286,tbl_WIP[Month],"&lt;&gt;",tbl_WIP[Month],"&lt;"&amp;$C$4)+SUMIF('Deferred Revenue'!$E$6:$E$578,$A286,'Deferred Revenue'!$P$6:$P$578)</f>
        <v/>
      </c>
      <c r="D286" s="55">
        <f>SUMIFS(tbl_WIP[Amount],tbl_WIP[Job Number],$A286,tbl_WIP[Month],$C$4)+SUMIF('Deferred Revenue'!$E$6:$E$578,$A286,'Deferred Revenue'!$Q$6:$Q$578)</f>
        <v/>
      </c>
      <c r="E286" s="55">
        <f>C286+D286</f>
        <v/>
      </c>
      <c r="F286" s="56">
        <f>IF(ROUND(C286,2)+ROUND(D286,2)=0,"","yes")</f>
        <v/>
      </c>
      <c r="G286" s="57" t="n"/>
      <c r="H286" s="55">
        <f>IF($G286="","",$E286-$G286)</f>
        <v/>
      </c>
    </row>
    <row r="287">
      <c r="A287" s="54" t="inlineStr">
        <is>
          <t>26071901</t>
        </is>
      </c>
      <c r="B287" s="54" t="inlineStr">
        <is>
          <t>Elkiem - Studio Support - 11.8.26</t>
        </is>
      </c>
      <c r="C287" s="55">
        <f>SUMIFS(tbl_WIP[Amount],tbl_WIP[Job Number],$A287,tbl_WIP[Month],"&lt;&gt;",tbl_WIP[Month],"&lt;"&amp;$C$4)+SUMIF('Deferred Revenue'!$E$6:$E$578,$A287,'Deferred Revenue'!$P$6:$P$578)</f>
        <v/>
      </c>
      <c r="D287" s="55">
        <f>SUMIFS(tbl_WIP[Amount],tbl_WIP[Job Number],$A287,tbl_WIP[Month],$C$4)+SUMIF('Deferred Revenue'!$E$6:$E$578,$A287,'Deferred Revenue'!$Q$6:$Q$578)</f>
        <v/>
      </c>
      <c r="E287" s="55">
        <f>C287+D287</f>
        <v/>
      </c>
      <c r="F287" s="56">
        <f>IF(ROUND(C287,2)+ROUND(D287,2)=0,"","yes")</f>
        <v/>
      </c>
      <c r="G287" s="57" t="n"/>
      <c r="H287" s="55">
        <f>IF($G287="","",$E287-$G287)</f>
        <v/>
      </c>
    </row>
    <row r="288">
      <c r="A288" s="54" t="inlineStr">
        <is>
          <t>26072003</t>
        </is>
      </c>
      <c r="B288" s="54" t="inlineStr">
        <is>
          <t>CBA Live Event Support August 2026</t>
        </is>
      </c>
      <c r="C288" s="55">
        <f>SUMIFS(tbl_WIP[Amount],tbl_WIP[Job Number],$A288,tbl_WIP[Month],"&lt;&gt;",tbl_WIP[Month],"&lt;"&amp;$C$4)+SUMIF('Deferred Revenue'!$E$6:$E$578,$A288,'Deferred Revenue'!$P$6:$P$578)</f>
        <v/>
      </c>
      <c r="D288" s="55">
        <f>SUMIFS(tbl_WIP[Amount],tbl_WIP[Job Number],$A288,tbl_WIP[Month],$C$4)+SUMIF('Deferred Revenue'!$E$6:$E$578,$A288,'Deferred Revenue'!$Q$6:$Q$578)</f>
        <v/>
      </c>
      <c r="E288" s="55">
        <f>C288+D288</f>
        <v/>
      </c>
      <c r="F288" s="56">
        <f>IF(ROUND(C288,2)+ROUND(D288,2)=0,"","yes")</f>
        <v/>
      </c>
      <c r="G288" s="57" t="n"/>
      <c r="H288" s="55">
        <f>IF($G288="","",$E288-$G288)</f>
        <v/>
      </c>
    </row>
    <row r="289">
      <c r="A289" s="54" t="inlineStr">
        <is>
          <t>26072101</t>
        </is>
      </c>
      <c r="B289" s="54" t="inlineStr">
        <is>
          <t>Aware MEL 17.02 Amp Replacement</t>
        </is>
      </c>
      <c r="C289" s="55">
        <f>SUMIFS(tbl_WIP[Amount],tbl_WIP[Job Number],$A289,tbl_WIP[Month],"&lt;&gt;",tbl_WIP[Month],"&lt;"&amp;$C$4)+SUMIF('Deferred Revenue'!$E$6:$E$578,$A289,'Deferred Revenue'!$P$6:$P$578)</f>
        <v/>
      </c>
      <c r="D289" s="55">
        <f>SUMIFS(tbl_WIP[Amount],tbl_WIP[Job Number],$A289,tbl_WIP[Month],$C$4)+SUMIF('Deferred Revenue'!$E$6:$E$578,$A289,'Deferred Revenue'!$Q$6:$Q$578)</f>
        <v/>
      </c>
      <c r="E289" s="55">
        <f>C289+D289</f>
        <v/>
      </c>
      <c r="F289" s="56">
        <f>IF(ROUND(C289,2)+ROUND(D289,2)=0,"","yes")</f>
        <v/>
      </c>
      <c r="G289" s="57" t="n"/>
      <c r="H289" s="55">
        <f>IF($G289="","",$E289-$G289)</f>
        <v/>
      </c>
    </row>
    <row r="290">
      <c r="A290" s="54" t="inlineStr">
        <is>
          <t>26072101</t>
        </is>
      </c>
      <c r="B290" s="54" t="inlineStr">
        <is>
          <t>Aware_Mel 17.02 Amp Replacement</t>
        </is>
      </c>
      <c r="C290" s="55">
        <f>SUMIFS(tbl_WIP[Amount],tbl_WIP[Job Number],$A290,tbl_WIP[Month],"&lt;&gt;",tbl_WIP[Month],"&lt;"&amp;$C$4)+SUMIF('Deferred Revenue'!$E$6:$E$578,$A290,'Deferred Revenue'!$P$6:$P$578)</f>
        <v/>
      </c>
      <c r="D290" s="55">
        <f>SUMIFS(tbl_WIP[Amount],tbl_WIP[Job Number],$A290,tbl_WIP[Month],$C$4)+SUMIF('Deferred Revenue'!$E$6:$E$578,$A290,'Deferred Revenue'!$Q$6:$Q$578)</f>
        <v/>
      </c>
      <c r="E290" s="55">
        <f>C290+D290</f>
        <v/>
      </c>
      <c r="F290" s="56">
        <f>IF(ROUND(C290,2)+ROUND(D290,2)=0,"","yes")</f>
        <v/>
      </c>
      <c r="G290" s="57" t="n"/>
      <c r="H290" s="55">
        <f>IF($G290="","",$E290-$G290)</f>
        <v/>
      </c>
    </row>
    <row r="291">
      <c r="A291" s="54" t="inlineStr">
        <is>
          <t>26072102</t>
        </is>
      </c>
      <c r="B291" s="54" t="inlineStr">
        <is>
          <t>Ventia - RUOK? Day - 10.09.2026</t>
        </is>
      </c>
      <c r="C291" s="55">
        <f>SUMIFS(tbl_WIP[Amount],tbl_WIP[Job Number],$A291,tbl_WIP[Month],"&lt;&gt;",tbl_WIP[Month],"&lt;"&amp;$C$4)+SUMIF('Deferred Revenue'!$E$6:$E$578,$A291,'Deferred Revenue'!$P$6:$P$578)</f>
        <v/>
      </c>
      <c r="D291" s="55">
        <f>SUMIFS(tbl_WIP[Amount],tbl_WIP[Job Number],$A291,tbl_WIP[Month],$C$4)+SUMIF('Deferred Revenue'!$E$6:$E$578,$A291,'Deferred Revenue'!$Q$6:$Q$578)</f>
        <v/>
      </c>
      <c r="E291" s="55">
        <f>C291+D291</f>
        <v/>
      </c>
      <c r="F291" s="56">
        <f>IF(ROUND(C291,2)+ROUND(D291,2)=0,"","yes")</f>
        <v/>
      </c>
      <c r="G291" s="57" t="n"/>
      <c r="H291" s="55">
        <f>IF($G291="","",$E291-$G291)</f>
        <v/>
      </c>
    </row>
    <row r="292">
      <c r="A292" s="54" t="inlineStr">
        <is>
          <t>26072102V</t>
        </is>
      </c>
      <c r="B292" s="54" t="inlineStr">
        <is>
          <t>Ventia - RUOK? Day - 10.09.2026</t>
        </is>
      </c>
      <c r="C292" s="55">
        <f>SUMIFS(tbl_WIP[Amount],tbl_WIP[Job Number],$A292,tbl_WIP[Month],"&lt;&gt;",tbl_WIP[Month],"&lt;"&amp;$C$4)+SUMIF('Deferred Revenue'!$E$6:$E$578,$A292,'Deferred Revenue'!$P$6:$P$578)</f>
        <v/>
      </c>
      <c r="D292" s="55">
        <f>SUMIFS(tbl_WIP[Amount],tbl_WIP[Job Number],$A292,tbl_WIP[Month],$C$4)+SUMIF('Deferred Revenue'!$E$6:$E$578,$A292,'Deferred Revenue'!$Q$6:$Q$578)</f>
        <v/>
      </c>
      <c r="E292" s="55">
        <f>C292+D292</f>
        <v/>
      </c>
      <c r="F292" s="56">
        <f>IF(ROUND(C292,2)+ROUND(D292,2)=0,"","yes")</f>
        <v/>
      </c>
      <c r="G292" s="57" t="n"/>
      <c r="H292" s="55">
        <f>IF($G292="","",$E292-$G292)</f>
        <v/>
      </c>
    </row>
    <row r="293">
      <c r="A293" s="54" t="inlineStr">
        <is>
          <t>26072802</t>
        </is>
      </c>
      <c r="B293" s="54" t="inlineStr">
        <is>
          <t>ON24 KWM Sydney Event - 18.08.2026</t>
        </is>
      </c>
      <c r="C293" s="55">
        <f>SUMIFS(tbl_WIP[Amount],tbl_WIP[Job Number],$A293,tbl_WIP[Month],"&lt;&gt;",tbl_WIP[Month],"&lt;"&amp;$C$4)+SUMIF('Deferred Revenue'!$E$6:$E$578,$A293,'Deferred Revenue'!$P$6:$P$578)</f>
        <v/>
      </c>
      <c r="D293" s="55">
        <f>SUMIFS(tbl_WIP[Amount],tbl_WIP[Job Number],$A293,tbl_WIP[Month],$C$4)+SUMIF('Deferred Revenue'!$E$6:$E$578,$A293,'Deferred Revenue'!$Q$6:$Q$578)</f>
        <v/>
      </c>
      <c r="E293" s="55">
        <f>C293+D293</f>
        <v/>
      </c>
      <c r="F293" s="56">
        <f>IF(ROUND(C293,2)+ROUND(D293,2)=0,"","yes")</f>
        <v/>
      </c>
      <c r="G293" s="57" t="n"/>
      <c r="H293" s="55">
        <f>IF($G293="","",$E293-$G293)</f>
        <v/>
      </c>
    </row>
    <row r="294">
      <c r="A294" s="54" t="inlineStr">
        <is>
          <t>26072802V</t>
        </is>
      </c>
      <c r="B294" s="54" t="inlineStr">
        <is>
          <t>ON24 KWM Sydney Event - 18.08.2026</t>
        </is>
      </c>
      <c r="C294" s="55">
        <f>SUMIFS(tbl_WIP[Amount],tbl_WIP[Job Number],$A294,tbl_WIP[Month],"&lt;&gt;",tbl_WIP[Month],"&lt;"&amp;$C$4)+SUMIF('Deferred Revenue'!$E$6:$E$578,$A294,'Deferred Revenue'!$P$6:$P$578)</f>
        <v/>
      </c>
      <c r="D294" s="55">
        <f>SUMIFS(tbl_WIP[Amount],tbl_WIP[Job Number],$A294,tbl_WIP[Month],$C$4)+SUMIF('Deferred Revenue'!$E$6:$E$578,$A294,'Deferred Revenue'!$Q$6:$Q$578)</f>
        <v/>
      </c>
      <c r="E294" s="55">
        <f>C294+D294</f>
        <v/>
      </c>
      <c r="F294" s="56">
        <f>IF(ROUND(C294,2)+ROUND(D294,2)=0,"","yes")</f>
        <v/>
      </c>
      <c r="G294" s="57" t="n"/>
      <c r="H294" s="55">
        <f>IF($G294="","",$E294-$G294)</f>
        <v/>
      </c>
    </row>
    <row r="295">
      <c r="A295" s="54" t="inlineStr">
        <is>
          <t>26072902</t>
        </is>
      </c>
      <c r="B295" s="54" t="inlineStr">
        <is>
          <t>PWC AI Townhall 6.8.26</t>
        </is>
      </c>
      <c r="C295" s="55">
        <f>SUMIFS(tbl_WIP[Amount],tbl_WIP[Job Number],$A295,tbl_WIP[Month],"&lt;&gt;",tbl_WIP[Month],"&lt;"&amp;$C$4)+SUMIF('Deferred Revenue'!$E$6:$E$578,$A295,'Deferred Revenue'!$P$6:$P$578)</f>
        <v/>
      </c>
      <c r="D295" s="55">
        <f>SUMIFS(tbl_WIP[Amount],tbl_WIP[Job Number],$A295,tbl_WIP[Month],$C$4)+SUMIF('Deferred Revenue'!$E$6:$E$578,$A295,'Deferred Revenue'!$Q$6:$Q$578)</f>
        <v/>
      </c>
      <c r="E295" s="55">
        <f>C295+D295</f>
        <v/>
      </c>
      <c r="F295" s="56">
        <f>IF(ROUND(C295,2)+ROUND(D295,2)=0,"","yes")</f>
        <v/>
      </c>
      <c r="G295" s="57" t="n"/>
      <c r="H295" s="55">
        <f>IF($G295="","",$E295-$G295)</f>
        <v/>
      </c>
    </row>
    <row r="296">
      <c r="A296" s="54" t="inlineStr">
        <is>
          <t>26072902V</t>
        </is>
      </c>
      <c r="B296" s="54" t="inlineStr">
        <is>
          <t>PWC AI Townhall 6.8.26</t>
        </is>
      </c>
      <c r="C296" s="55">
        <f>SUMIFS(tbl_WIP[Amount],tbl_WIP[Job Number],$A296,tbl_WIP[Month],"&lt;&gt;",tbl_WIP[Month],"&lt;"&amp;$C$4)+SUMIF('Deferred Revenue'!$E$6:$E$578,$A296,'Deferred Revenue'!$P$6:$P$578)</f>
        <v/>
      </c>
      <c r="D296" s="55">
        <f>SUMIFS(tbl_WIP[Amount],tbl_WIP[Job Number],$A296,tbl_WIP[Month],$C$4)+SUMIF('Deferred Revenue'!$E$6:$E$578,$A296,'Deferred Revenue'!$Q$6:$Q$578)</f>
        <v/>
      </c>
      <c r="E296" s="55">
        <f>C296+D296</f>
        <v/>
      </c>
      <c r="F296" s="56">
        <f>IF(ROUND(C296,2)+ROUND(D296,2)=0,"","yes")</f>
        <v/>
      </c>
      <c r="G296" s="57" t="n"/>
      <c r="H296" s="55">
        <f>IF($G296="","",$E296-$G296)</f>
        <v/>
      </c>
    </row>
    <row r="297">
      <c r="A297" s="54" t="inlineStr">
        <is>
          <t>26072903</t>
        </is>
      </c>
      <c r="B297" s="54" t="inlineStr">
        <is>
          <t>PWC - GB Webcast - 11.8.26</t>
        </is>
      </c>
      <c r="C297" s="55">
        <f>SUMIFS(tbl_WIP[Amount],tbl_WIP[Job Number],$A297,tbl_WIP[Month],"&lt;&gt;",tbl_WIP[Month],"&lt;"&amp;$C$4)+SUMIF('Deferred Revenue'!$E$6:$E$578,$A297,'Deferred Revenue'!$P$6:$P$578)</f>
        <v/>
      </c>
      <c r="D297" s="55">
        <f>SUMIFS(tbl_WIP[Amount],tbl_WIP[Job Number],$A297,tbl_WIP[Month],$C$4)+SUMIF('Deferred Revenue'!$E$6:$E$578,$A297,'Deferred Revenue'!$Q$6:$Q$578)</f>
        <v/>
      </c>
      <c r="E297" s="55">
        <f>C297+D297</f>
        <v/>
      </c>
      <c r="F297" s="56">
        <f>IF(ROUND(C297,2)+ROUND(D297,2)=0,"","yes")</f>
        <v/>
      </c>
      <c r="G297" s="57" t="n"/>
      <c r="H297" s="55">
        <f>IF($G297="","",$E297-$G297)</f>
        <v/>
      </c>
    </row>
    <row r="298">
      <c r="A298" s="54" t="inlineStr">
        <is>
          <t>26072903V</t>
        </is>
      </c>
      <c r="B298" s="54" t="inlineStr">
        <is>
          <t>PWC - GB Webcast - 11.8.26</t>
        </is>
      </c>
      <c r="C298" s="55">
        <f>SUMIFS(tbl_WIP[Amount],tbl_WIP[Job Number],$A298,tbl_WIP[Month],"&lt;&gt;",tbl_WIP[Month],"&lt;"&amp;$C$4)+SUMIF('Deferred Revenue'!$E$6:$E$578,$A298,'Deferred Revenue'!$P$6:$P$578)</f>
        <v/>
      </c>
      <c r="D298" s="55">
        <f>SUMIFS(tbl_WIP[Amount],tbl_WIP[Job Number],$A298,tbl_WIP[Month],$C$4)+SUMIF('Deferred Revenue'!$E$6:$E$578,$A298,'Deferred Revenue'!$Q$6:$Q$578)</f>
        <v/>
      </c>
      <c r="E298" s="55">
        <f>C298+D298</f>
        <v/>
      </c>
      <c r="F298" s="56">
        <f>IF(ROUND(C298,2)+ROUND(D298,2)=0,"","yes")</f>
        <v/>
      </c>
      <c r="G298" s="57" t="n"/>
      <c r="H298" s="55">
        <f>IF($G298="","",$E298-$G298)</f>
        <v/>
      </c>
    </row>
    <row r="299">
      <c r="A299" s="54" t="inlineStr">
        <is>
          <t>26072906</t>
        </is>
      </c>
      <c r="B299" s="54" t="inlineStr">
        <is>
          <t>ASX Advisory Group on Corporate Governance</t>
        </is>
      </c>
      <c r="C299" s="55">
        <f>SUMIFS(tbl_WIP[Amount],tbl_WIP[Job Number],$A299,tbl_WIP[Month],"&lt;&gt;",tbl_WIP[Month],"&lt;"&amp;$C$4)+SUMIF('Deferred Revenue'!$E$6:$E$578,$A299,'Deferred Revenue'!$P$6:$P$578)</f>
        <v/>
      </c>
      <c r="D299" s="55">
        <f>SUMIFS(tbl_WIP[Amount],tbl_WIP[Job Number],$A299,tbl_WIP[Month],$C$4)+SUMIF('Deferred Revenue'!$E$6:$E$578,$A299,'Deferred Revenue'!$Q$6:$Q$578)</f>
        <v/>
      </c>
      <c r="E299" s="55">
        <f>C299+D299</f>
        <v/>
      </c>
      <c r="F299" s="56">
        <f>IF(ROUND(C299,2)+ROUND(D299,2)=0,"","yes")</f>
        <v/>
      </c>
      <c r="G299" s="57" t="n"/>
      <c r="H299" s="55">
        <f>IF($G299="","",$E299-$G299)</f>
        <v/>
      </c>
    </row>
    <row r="300">
      <c r="A300" s="54" t="inlineStr">
        <is>
          <t>26072906V</t>
        </is>
      </c>
      <c r="B300" s="54" t="inlineStr">
        <is>
          <t>ASX Advisory Group on Corporate Governance</t>
        </is>
      </c>
      <c r="C300" s="55">
        <f>SUMIFS(tbl_WIP[Amount],tbl_WIP[Job Number],$A300,tbl_WIP[Month],"&lt;&gt;",tbl_WIP[Month],"&lt;"&amp;$C$4)+SUMIF('Deferred Revenue'!$E$6:$E$578,$A300,'Deferred Revenue'!$P$6:$P$578)</f>
        <v/>
      </c>
      <c r="D300" s="55">
        <f>SUMIFS(tbl_WIP[Amount],tbl_WIP[Job Number],$A300,tbl_WIP[Month],$C$4)+SUMIF('Deferred Revenue'!$E$6:$E$578,$A300,'Deferred Revenue'!$Q$6:$Q$578)</f>
        <v/>
      </c>
      <c r="E300" s="55">
        <f>C300+D300</f>
        <v/>
      </c>
      <c r="F300" s="56">
        <f>IF(ROUND(C300,2)+ROUND(D300,2)=0,"","yes")</f>
        <v/>
      </c>
      <c r="G300" s="57" t="n"/>
      <c r="H300" s="55">
        <f>IF($G300="","",$E300-$G300)</f>
        <v/>
      </c>
    </row>
    <row r="301">
      <c r="A301" s="54" t="inlineStr">
        <is>
          <t>26073103</t>
        </is>
      </c>
      <c r="B301" s="54" t="inlineStr">
        <is>
          <t>DTTL PER AV &amp; Hospitality Tech (SEP26-FEB27)</t>
        </is>
      </c>
      <c r="C301" s="55">
        <f>SUMIFS(tbl_WIP[Amount],tbl_WIP[Job Number],$A301,tbl_WIP[Month],"&lt;&gt;",tbl_WIP[Month],"&lt;"&amp;$C$4)+SUMIF('Deferred Revenue'!$E$6:$E$578,$A301,'Deferred Revenue'!$P$6:$P$578)</f>
        <v/>
      </c>
      <c r="D301" s="55">
        <f>SUMIFS(tbl_WIP[Amount],tbl_WIP[Job Number],$A301,tbl_WIP[Month],$C$4)+SUMIF('Deferred Revenue'!$E$6:$E$578,$A301,'Deferred Revenue'!$Q$6:$Q$578)</f>
        <v/>
      </c>
      <c r="E301" s="55">
        <f>C301+D301</f>
        <v/>
      </c>
      <c r="F301" s="56">
        <f>IF(ROUND(C301,2)+ROUND(D301,2)=0,"","yes")</f>
        <v/>
      </c>
      <c r="G301" s="57" t="n"/>
      <c r="H301" s="55">
        <f>IF($G301="","",$E301-$G301)</f>
        <v/>
      </c>
    </row>
    <row r="302">
      <c r="A302" s="54" t="inlineStr">
        <is>
          <t>26073103N</t>
        </is>
      </c>
      <c r="B302" s="54" t="inlineStr">
        <is>
          <t>DTTL PER AV &amp; Hospitality Tech (SEP26-FEB27) [ONS] non-chargeable</t>
        </is>
      </c>
      <c r="C302" s="55">
        <f>SUMIFS(tbl_WIP[Amount],tbl_WIP[Job Number],$A302,tbl_WIP[Month],"&lt;&gt;",tbl_WIP[Month],"&lt;"&amp;$C$4)+SUMIF('Deferred Revenue'!$E$6:$E$578,$A302,'Deferred Revenue'!$P$6:$P$578)</f>
        <v/>
      </c>
      <c r="D302" s="55">
        <f>SUMIFS(tbl_WIP[Amount],tbl_WIP[Job Number],$A302,tbl_WIP[Month],$C$4)+SUMIF('Deferred Revenue'!$E$6:$E$578,$A302,'Deferred Revenue'!$Q$6:$Q$578)</f>
        <v/>
      </c>
      <c r="E302" s="55">
        <f>C302+D302</f>
        <v/>
      </c>
      <c r="F302" s="56">
        <f>IF(ROUND(C302,2)+ROUND(D302,2)=0,"","yes")</f>
        <v/>
      </c>
      <c r="G302" s="57" t="n"/>
      <c r="H302" s="55">
        <f>IF($G302="","",$E302-$G302)</f>
        <v/>
      </c>
    </row>
    <row r="303">
      <c r="A303" s="54" t="inlineStr">
        <is>
          <t>26073105</t>
        </is>
      </c>
      <c r="B303" s="54" t="inlineStr">
        <is>
          <t>Elkiem - Studio Support - 25.8.26</t>
        </is>
      </c>
      <c r="C303" s="55">
        <f>SUMIFS(tbl_WIP[Amount],tbl_WIP[Job Number],$A303,tbl_WIP[Month],"&lt;&gt;",tbl_WIP[Month],"&lt;"&amp;$C$4)+SUMIF('Deferred Revenue'!$E$6:$E$578,$A303,'Deferred Revenue'!$P$6:$P$578)</f>
        <v/>
      </c>
      <c r="D303" s="55">
        <f>SUMIFS(tbl_WIP[Amount],tbl_WIP[Job Number],$A303,tbl_WIP[Month],$C$4)+SUMIF('Deferred Revenue'!$E$6:$E$578,$A303,'Deferred Revenue'!$Q$6:$Q$578)</f>
        <v/>
      </c>
      <c r="E303" s="55">
        <f>C303+D303</f>
        <v/>
      </c>
      <c r="F303" s="56">
        <f>IF(ROUND(C303,2)+ROUND(D303,2)=0,"","yes")</f>
        <v/>
      </c>
      <c r="G303" s="57" t="n"/>
      <c r="H303" s="55">
        <f>IF($G303="","",$E303-$G303)</f>
        <v/>
      </c>
    </row>
    <row r="304">
      <c r="A304" s="54" t="inlineStr">
        <is>
          <t>26073106</t>
        </is>
      </c>
      <c r="B304" s="54" t="inlineStr">
        <is>
          <t>Elkiem - Studio Support - 18.9.26</t>
        </is>
      </c>
      <c r="C304" s="55">
        <f>SUMIFS(tbl_WIP[Amount],tbl_WIP[Job Number],$A304,tbl_WIP[Month],"&lt;&gt;",tbl_WIP[Month],"&lt;"&amp;$C$4)+SUMIF('Deferred Revenue'!$E$6:$E$578,$A304,'Deferred Revenue'!$P$6:$P$578)</f>
        <v/>
      </c>
      <c r="D304" s="55">
        <f>SUMIFS(tbl_WIP[Amount],tbl_WIP[Job Number],$A304,tbl_WIP[Month],$C$4)+SUMIF('Deferred Revenue'!$E$6:$E$578,$A304,'Deferred Revenue'!$Q$6:$Q$578)</f>
        <v/>
      </c>
      <c r="E304" s="55">
        <f>C304+D304</f>
        <v/>
      </c>
      <c r="F304" s="56">
        <f>IF(ROUND(C304,2)+ROUND(D304,2)=0,"","yes")</f>
        <v/>
      </c>
      <c r="G304" s="57" t="n"/>
      <c r="H304" s="55">
        <f>IF($G304="","",$E304-$G304)</f>
        <v/>
      </c>
    </row>
    <row r="305">
      <c r="A305" s="54" t="inlineStr">
        <is>
          <t>26073107</t>
        </is>
      </c>
      <c r="B305" s="54" t="inlineStr">
        <is>
          <t>DTTL Travel for Technician &amp; Coverage ADL-HOB</t>
        </is>
      </c>
      <c r="C305" s="55">
        <f>SUMIFS(tbl_WIP[Amount],tbl_WIP[Job Number],$A305,tbl_WIP[Month],"&lt;&gt;",tbl_WIP[Month],"&lt;"&amp;$C$4)+SUMIF('Deferred Revenue'!$E$6:$E$578,$A305,'Deferred Revenue'!$P$6:$P$578)</f>
        <v/>
      </c>
      <c r="D305" s="55">
        <f>SUMIFS(tbl_WIP[Amount],tbl_WIP[Job Number],$A305,tbl_WIP[Month],$C$4)+SUMIF('Deferred Revenue'!$E$6:$E$578,$A305,'Deferred Revenue'!$Q$6:$Q$578)</f>
        <v/>
      </c>
      <c r="E305" s="55">
        <f>C305+D305</f>
        <v/>
      </c>
      <c r="F305" s="56">
        <f>IF(ROUND(C305,2)+ROUND(D305,2)=0,"","yes")</f>
        <v/>
      </c>
      <c r="G305" s="57" t="n"/>
      <c r="H305" s="55">
        <f>IF($G305="","",$E305-$G305)</f>
        <v/>
      </c>
    </row>
    <row r="306">
      <c r="A306" s="54" t="inlineStr">
        <is>
          <t>26073110</t>
        </is>
      </c>
      <c r="B306" s="54" t="inlineStr">
        <is>
          <t>Garvan - Weizmann Dinner Event - 20.8.26</t>
        </is>
      </c>
      <c r="C306" s="55">
        <f>SUMIFS(tbl_WIP[Amount],tbl_WIP[Job Number],$A306,tbl_WIP[Month],"&lt;&gt;",tbl_WIP[Month],"&lt;"&amp;$C$4)+SUMIF('Deferred Revenue'!$E$6:$E$578,$A306,'Deferred Revenue'!$P$6:$P$578)</f>
        <v/>
      </c>
      <c r="D306" s="55">
        <f>SUMIFS(tbl_WIP[Amount],tbl_WIP[Job Number],$A306,tbl_WIP[Month],$C$4)+SUMIF('Deferred Revenue'!$E$6:$E$578,$A306,'Deferred Revenue'!$Q$6:$Q$578)</f>
        <v/>
      </c>
      <c r="E306" s="55">
        <f>C306+D306</f>
        <v/>
      </c>
      <c r="F306" s="56">
        <f>IF(ROUND(C306,2)+ROUND(D306,2)=0,"","yes")</f>
        <v/>
      </c>
      <c r="G306" s="57" t="n"/>
      <c r="H306" s="55">
        <f>IF($G306="","",$E306-$G306)</f>
        <v/>
      </c>
    </row>
    <row r="307">
      <c r="A307" s="54" t="inlineStr">
        <is>
          <t>26073110V</t>
        </is>
      </c>
      <c r="B307" s="54" t="inlineStr">
        <is>
          <t>Garvan - Weizmann Dinner Event - 20.8.26</t>
        </is>
      </c>
      <c r="C307" s="55">
        <f>SUMIFS(tbl_WIP[Amount],tbl_WIP[Job Number],$A307,tbl_WIP[Month],"&lt;&gt;",tbl_WIP[Month],"&lt;"&amp;$C$4)+SUMIF('Deferred Revenue'!$E$6:$E$578,$A307,'Deferred Revenue'!$P$6:$P$578)</f>
        <v/>
      </c>
      <c r="D307" s="55">
        <f>SUMIFS(tbl_WIP[Amount],tbl_WIP[Job Number],$A307,tbl_WIP[Month],$C$4)+SUMIF('Deferred Revenue'!$E$6:$E$578,$A307,'Deferred Revenue'!$Q$6:$Q$578)</f>
        <v/>
      </c>
      <c r="E307" s="55">
        <f>C307+D307</f>
        <v/>
      </c>
      <c r="F307" s="56">
        <f>IF(ROUND(C307,2)+ROUND(D307,2)=0,"","yes")</f>
        <v/>
      </c>
      <c r="G307" s="57" t="n"/>
      <c r="H307" s="55">
        <f>IF($G307="","",$E307-$G307)</f>
        <v/>
      </c>
    </row>
    <row r="308">
      <c r="A308" s="54" t="inlineStr">
        <is>
          <t>26073111</t>
        </is>
      </c>
      <c r="B308" s="54" t="inlineStr">
        <is>
          <t>Downer - FYR &amp; Employee Webcast - 25.8.26</t>
        </is>
      </c>
      <c r="C308" s="55">
        <f>SUMIFS(tbl_WIP[Amount],tbl_WIP[Job Number],$A308,tbl_WIP[Month],"&lt;&gt;",tbl_WIP[Month],"&lt;"&amp;$C$4)+SUMIF('Deferred Revenue'!$E$6:$E$578,$A308,'Deferred Revenue'!$P$6:$P$578)</f>
        <v/>
      </c>
      <c r="D308" s="55">
        <f>SUMIFS(tbl_WIP[Amount],tbl_WIP[Job Number],$A308,tbl_WIP[Month],$C$4)+SUMIF('Deferred Revenue'!$E$6:$E$578,$A308,'Deferred Revenue'!$Q$6:$Q$578)</f>
        <v/>
      </c>
      <c r="E308" s="55">
        <f>C308+D308</f>
        <v/>
      </c>
      <c r="F308" s="56">
        <f>IF(ROUND(C308,2)+ROUND(D308,2)=0,"","yes")</f>
        <v/>
      </c>
      <c r="G308" s="57" t="n"/>
      <c r="H308" s="55">
        <f>IF($G308="","",$E308-$G308)</f>
        <v/>
      </c>
    </row>
    <row r="309">
      <c r="A309" s="54" t="inlineStr">
        <is>
          <t>26073111V</t>
        </is>
      </c>
      <c r="B309" s="54" t="inlineStr">
        <is>
          <t>Downer - FYR &amp; Employee Webcast - 25.8.26</t>
        </is>
      </c>
      <c r="C309" s="55">
        <f>SUMIFS(tbl_WIP[Amount],tbl_WIP[Job Number],$A309,tbl_WIP[Month],"&lt;&gt;",tbl_WIP[Month],"&lt;"&amp;$C$4)+SUMIF('Deferred Revenue'!$E$6:$E$578,$A309,'Deferred Revenue'!$P$6:$P$578)</f>
        <v/>
      </c>
      <c r="D309" s="55">
        <f>SUMIFS(tbl_WIP[Amount],tbl_WIP[Job Number],$A309,tbl_WIP[Month],$C$4)+SUMIF('Deferred Revenue'!$E$6:$E$578,$A309,'Deferred Revenue'!$Q$6:$Q$578)</f>
        <v/>
      </c>
      <c r="E309" s="55">
        <f>C309+D309</f>
        <v/>
      </c>
      <c r="F309" s="56">
        <f>IF(ROUND(C309,2)+ROUND(D309,2)=0,"","yes")</f>
        <v/>
      </c>
      <c r="G309" s="57" t="n"/>
      <c r="H309" s="55">
        <f>IF($G309="","",$E309-$G309)</f>
        <v/>
      </c>
    </row>
    <row r="310">
      <c r="A310" s="54" t="inlineStr">
        <is>
          <t>2607703</t>
        </is>
      </c>
      <c r="B310" s="54" t="inlineStr">
        <is>
          <t>Garvan - YPO Event - 6.8.2026</t>
        </is>
      </c>
      <c r="C310" s="55">
        <f>SUMIFS(tbl_WIP[Amount],tbl_WIP[Job Number],$A310,tbl_WIP[Month],"&lt;&gt;",tbl_WIP[Month],"&lt;"&amp;$C$4)+SUMIF('Deferred Revenue'!$E$6:$E$578,$A310,'Deferred Revenue'!$P$6:$P$578)</f>
        <v/>
      </c>
      <c r="D310" s="55">
        <f>SUMIFS(tbl_WIP[Amount],tbl_WIP[Job Number],$A310,tbl_WIP[Month],$C$4)+SUMIF('Deferred Revenue'!$E$6:$E$578,$A310,'Deferred Revenue'!$Q$6:$Q$578)</f>
        <v/>
      </c>
      <c r="E310" s="55">
        <f>C310+D310</f>
        <v/>
      </c>
      <c r="F310" s="56">
        <f>IF(ROUND(C310,2)+ROUND(D310,2)=0,"","yes")</f>
        <v/>
      </c>
      <c r="G310" s="57" t="n"/>
      <c r="H310" s="55">
        <f>IF($G310="","",$E310-$G310)</f>
        <v/>
      </c>
    </row>
    <row r="311">
      <c r="A311" s="54" t="inlineStr">
        <is>
          <t>2607703V</t>
        </is>
      </c>
      <c r="B311" s="54" t="inlineStr">
        <is>
          <t>Garvan - YPO Event - 6.8.2026</t>
        </is>
      </c>
      <c r="C311" s="55">
        <f>SUMIFS(tbl_WIP[Amount],tbl_WIP[Job Number],$A311,tbl_WIP[Month],"&lt;&gt;",tbl_WIP[Month],"&lt;"&amp;$C$4)+SUMIF('Deferred Revenue'!$E$6:$E$578,$A311,'Deferred Revenue'!$P$6:$P$578)</f>
        <v/>
      </c>
      <c r="D311" s="55">
        <f>SUMIFS(tbl_WIP[Amount],tbl_WIP[Job Number],$A311,tbl_WIP[Month],$C$4)+SUMIF('Deferred Revenue'!$E$6:$E$578,$A311,'Deferred Revenue'!$Q$6:$Q$578)</f>
        <v/>
      </c>
      <c r="E311" s="55">
        <f>C311+D311</f>
        <v/>
      </c>
      <c r="F311" s="56">
        <f>IF(ROUND(C311,2)+ROUND(D311,2)=0,"","yes")</f>
        <v/>
      </c>
      <c r="G311" s="57" t="n"/>
      <c r="H311" s="55">
        <f>IF($G311="","",$E311-$G311)</f>
        <v/>
      </c>
    </row>
    <row r="312">
      <c r="A312" s="54" t="inlineStr">
        <is>
          <t>2608101</t>
        </is>
      </c>
      <c r="B312" s="54" t="inlineStr">
        <is>
          <t>ART - AMM Captioning - 25.11.26</t>
        </is>
      </c>
      <c r="C312" s="55">
        <f>SUMIFS(tbl_WIP[Amount],tbl_WIP[Job Number],$A312,tbl_WIP[Month],"&lt;&gt;",tbl_WIP[Month],"&lt;"&amp;$C$4)+SUMIF('Deferred Revenue'!$E$6:$E$578,$A312,'Deferred Revenue'!$P$6:$P$578)</f>
        <v/>
      </c>
      <c r="D312" s="55">
        <f>SUMIFS(tbl_WIP[Amount],tbl_WIP[Job Number],$A312,tbl_WIP[Month],$C$4)+SUMIF('Deferred Revenue'!$E$6:$E$578,$A312,'Deferred Revenue'!$Q$6:$Q$578)</f>
        <v/>
      </c>
      <c r="E312" s="55">
        <f>C312+D312</f>
        <v/>
      </c>
      <c r="F312" s="56">
        <f>IF(ROUND(C312,2)+ROUND(D312,2)=0,"","yes")</f>
        <v/>
      </c>
      <c r="G312" s="57" t="n"/>
      <c r="H312" s="55">
        <f>IF($G312="","",$E312-$G312)</f>
        <v/>
      </c>
    </row>
    <row r="313">
      <c r="A313" s="54" t="inlineStr">
        <is>
          <t>2608101V</t>
        </is>
      </c>
      <c r="B313" s="54" t="inlineStr">
        <is>
          <t>ART - AMM Captioning - 25.11.26</t>
        </is>
      </c>
      <c r="C313" s="55">
        <f>SUMIFS(tbl_WIP[Amount],tbl_WIP[Job Number],$A313,tbl_WIP[Month],"&lt;&gt;",tbl_WIP[Month],"&lt;"&amp;$C$4)+SUMIF('Deferred Revenue'!$E$6:$E$578,$A313,'Deferred Revenue'!$P$6:$P$578)</f>
        <v/>
      </c>
      <c r="D313" s="55">
        <f>SUMIFS(tbl_WIP[Amount],tbl_WIP[Job Number],$A313,tbl_WIP[Month],$C$4)+SUMIF('Deferred Revenue'!$E$6:$E$578,$A313,'Deferred Revenue'!$Q$6:$Q$578)</f>
        <v/>
      </c>
      <c r="E313" s="55">
        <f>C313+D313</f>
        <v/>
      </c>
      <c r="F313" s="56">
        <f>IF(ROUND(C313,2)+ROUND(D313,2)=0,"","yes")</f>
        <v/>
      </c>
      <c r="G313" s="57" t="n"/>
      <c r="H313" s="55">
        <f>IF($G313="","",$E313-$G313)</f>
        <v/>
      </c>
    </row>
    <row r="314">
      <c r="A314" s="54" t="inlineStr">
        <is>
          <t>2608102</t>
        </is>
      </c>
      <c r="B314" s="54" t="inlineStr">
        <is>
          <t>ART - Education Session Captioning - 25.11.26</t>
        </is>
      </c>
      <c r="C314" s="55">
        <f>SUMIFS(tbl_WIP[Amount],tbl_WIP[Job Number],$A314,tbl_WIP[Month],"&lt;&gt;",tbl_WIP[Month],"&lt;"&amp;$C$4)+SUMIF('Deferred Revenue'!$E$6:$E$578,$A314,'Deferred Revenue'!$P$6:$P$578)</f>
        <v/>
      </c>
      <c r="D314" s="55">
        <f>SUMIFS(tbl_WIP[Amount],tbl_WIP[Job Number],$A314,tbl_WIP[Month],$C$4)+SUMIF('Deferred Revenue'!$E$6:$E$578,$A314,'Deferred Revenue'!$Q$6:$Q$578)</f>
        <v/>
      </c>
      <c r="E314" s="55">
        <f>C314+D314</f>
        <v/>
      </c>
      <c r="F314" s="56">
        <f>IF(ROUND(C314,2)+ROUND(D314,2)=0,"","yes")</f>
        <v/>
      </c>
      <c r="G314" s="57" t="n"/>
      <c r="H314" s="55">
        <f>IF($G314="","",$E314-$G314)</f>
        <v/>
      </c>
    </row>
    <row r="315">
      <c r="A315" s="54" t="inlineStr">
        <is>
          <t>26081101</t>
        </is>
      </c>
      <c r="B315" s="54" t="inlineStr">
        <is>
          <t>Vega Global - Payments Forum - 17.9.26</t>
        </is>
      </c>
      <c r="C315" s="55">
        <f>SUMIFS(tbl_WIP[Amount],tbl_WIP[Job Number],$A315,tbl_WIP[Month],"&lt;&gt;",tbl_WIP[Month],"&lt;"&amp;$C$4)+SUMIF('Deferred Revenue'!$E$6:$E$578,$A315,'Deferred Revenue'!$P$6:$P$578)</f>
        <v/>
      </c>
      <c r="D315" s="55">
        <f>SUMIFS(tbl_WIP[Amount],tbl_WIP[Job Number],$A315,tbl_WIP[Month],$C$4)+SUMIF('Deferred Revenue'!$E$6:$E$578,$A315,'Deferred Revenue'!$Q$6:$Q$578)</f>
        <v/>
      </c>
      <c r="E315" s="55">
        <f>C315+D315</f>
        <v/>
      </c>
      <c r="F315" s="56">
        <f>IF(ROUND(C315,2)+ROUND(D315,2)=0,"","yes")</f>
        <v/>
      </c>
      <c r="G315" s="57" t="n"/>
      <c r="H315" s="55">
        <f>IF($G315="","",$E315-$G315)</f>
        <v/>
      </c>
    </row>
    <row r="316">
      <c r="A316" s="54" t="inlineStr">
        <is>
          <t>26081302</t>
        </is>
      </c>
      <c r="B316" s="54" t="inlineStr">
        <is>
          <t>Ubank - Volunteer Day - 11.11.26</t>
        </is>
      </c>
      <c r="C316" s="55">
        <f>SUMIFS(tbl_WIP[Amount],tbl_WIP[Job Number],$A316,tbl_WIP[Month],"&lt;&gt;",tbl_WIP[Month],"&lt;"&amp;$C$4)+SUMIF('Deferred Revenue'!$E$6:$E$578,$A316,'Deferred Revenue'!$P$6:$P$578)</f>
        <v/>
      </c>
      <c r="D316" s="55">
        <f>SUMIFS(tbl_WIP[Amount],tbl_WIP[Job Number],$A316,tbl_WIP[Month],$C$4)+SUMIF('Deferred Revenue'!$E$6:$E$578,$A316,'Deferred Revenue'!$Q$6:$Q$578)</f>
        <v/>
      </c>
      <c r="E316" s="55">
        <f>C316+D316</f>
        <v/>
      </c>
      <c r="F316" s="56">
        <f>IF(ROUND(C316,2)+ROUND(D316,2)=0,"","yes")</f>
        <v/>
      </c>
      <c r="G316" s="57" t="n"/>
      <c r="H316" s="55">
        <f>IF($G316="","",$E316-$G316)</f>
        <v/>
      </c>
    </row>
    <row r="317">
      <c r="A317" s="54" t="inlineStr">
        <is>
          <t>26081302V</t>
        </is>
      </c>
      <c r="B317" s="54" t="inlineStr">
        <is>
          <t>Ubank - Volunteer Day - 11.11.26</t>
        </is>
      </c>
      <c r="C317" s="55">
        <f>SUMIFS(tbl_WIP[Amount],tbl_WIP[Job Number],$A317,tbl_WIP[Month],"&lt;&gt;",tbl_WIP[Month],"&lt;"&amp;$C$4)+SUMIF('Deferred Revenue'!$E$6:$E$578,$A317,'Deferred Revenue'!$P$6:$P$578)</f>
        <v/>
      </c>
      <c r="D317" s="55">
        <f>SUMIFS(tbl_WIP[Amount],tbl_WIP[Job Number],$A317,tbl_WIP[Month],$C$4)+SUMIF('Deferred Revenue'!$E$6:$E$578,$A317,'Deferred Revenue'!$Q$6:$Q$578)</f>
        <v/>
      </c>
      <c r="E317" s="55">
        <f>C317+D317</f>
        <v/>
      </c>
      <c r="F317" s="56">
        <f>IF(ROUND(C317,2)+ROUND(D317,2)=0,"","yes")</f>
        <v/>
      </c>
      <c r="G317" s="57" t="n"/>
      <c r="H317" s="55">
        <f>IF($G317="","",$E317-$G317)</f>
        <v/>
      </c>
    </row>
    <row r="318">
      <c r="A318" s="54" t="inlineStr">
        <is>
          <t>26081402</t>
        </is>
      </c>
      <c r="B318" s="54" t="inlineStr">
        <is>
          <t>Dimensional - AV Support - 19.8.26</t>
        </is>
      </c>
      <c r="C318" s="55">
        <f>SUMIFS(tbl_WIP[Amount],tbl_WIP[Job Number],$A318,tbl_WIP[Month],"&lt;&gt;",tbl_WIP[Month],"&lt;"&amp;$C$4)+SUMIF('Deferred Revenue'!$E$6:$E$578,$A318,'Deferred Revenue'!$P$6:$P$578)</f>
        <v/>
      </c>
      <c r="D318" s="55">
        <f>SUMIFS(tbl_WIP[Amount],tbl_WIP[Job Number],$A318,tbl_WIP[Month],$C$4)+SUMIF('Deferred Revenue'!$E$6:$E$578,$A318,'Deferred Revenue'!$Q$6:$Q$578)</f>
        <v/>
      </c>
      <c r="E318" s="55">
        <f>C318+D318</f>
        <v/>
      </c>
      <c r="F318" s="56">
        <f>IF(ROUND(C318,2)+ROUND(D318,2)=0,"","yes")</f>
        <v/>
      </c>
      <c r="G318" s="57" t="n"/>
      <c r="H318" s="55">
        <f>IF($G318="","",$E318-$G318)</f>
        <v/>
      </c>
    </row>
    <row r="319">
      <c r="A319" s="54" t="inlineStr">
        <is>
          <t>26081801</t>
        </is>
      </c>
      <c r="B319" s="54" t="inlineStr">
        <is>
          <t>Microsoft - SME&amp;C Town Hall 14.10.2026</t>
        </is>
      </c>
      <c r="C319" s="55">
        <f>SUMIFS(tbl_WIP[Amount],tbl_WIP[Job Number],$A319,tbl_WIP[Month],"&lt;&gt;",tbl_WIP[Month],"&lt;"&amp;$C$4)+SUMIF('Deferred Revenue'!$E$6:$E$578,$A319,'Deferred Revenue'!$P$6:$P$578)</f>
        <v/>
      </c>
      <c r="D319" s="55">
        <f>SUMIFS(tbl_WIP[Amount],tbl_WIP[Job Number],$A319,tbl_WIP[Month],$C$4)+SUMIF('Deferred Revenue'!$E$6:$E$578,$A319,'Deferred Revenue'!$Q$6:$Q$578)</f>
        <v/>
      </c>
      <c r="E319" s="55">
        <f>C319+D319</f>
        <v/>
      </c>
      <c r="F319" s="56">
        <f>IF(ROUND(C319,2)+ROUND(D319,2)=0,"","yes")</f>
        <v/>
      </c>
      <c r="G319" s="57" t="n"/>
      <c r="H319" s="55">
        <f>IF($G319="","",$E319-$G319)</f>
        <v/>
      </c>
    </row>
    <row r="320">
      <c r="A320" s="54" t="inlineStr">
        <is>
          <t>26081801V</t>
        </is>
      </c>
      <c r="B320" s="54" t="inlineStr">
        <is>
          <t>Microsoft - SME&amp;C Town Hall 14.10.2026</t>
        </is>
      </c>
      <c r="C320" s="55">
        <f>SUMIFS(tbl_WIP[Amount],tbl_WIP[Job Number],$A320,tbl_WIP[Month],"&lt;&gt;",tbl_WIP[Month],"&lt;"&amp;$C$4)+SUMIF('Deferred Revenue'!$E$6:$E$578,$A320,'Deferred Revenue'!$P$6:$P$578)</f>
        <v/>
      </c>
      <c r="D320" s="55">
        <f>SUMIFS(tbl_WIP[Amount],tbl_WIP[Job Number],$A320,tbl_WIP[Month],$C$4)+SUMIF('Deferred Revenue'!$E$6:$E$578,$A320,'Deferred Revenue'!$Q$6:$Q$578)</f>
        <v/>
      </c>
      <c r="E320" s="55">
        <f>C320+D320</f>
        <v/>
      </c>
      <c r="F320" s="56">
        <f>IF(ROUND(C320,2)+ROUND(D320,2)=0,"","yes")</f>
        <v/>
      </c>
      <c r="G320" s="57" t="n"/>
      <c r="H320" s="55">
        <f>IF($G320="","",$E320-$G320)</f>
        <v/>
      </c>
    </row>
    <row r="321">
      <c r="A321" s="54" t="inlineStr">
        <is>
          <t>26081901</t>
        </is>
      </c>
      <c r="B321" s="54" t="inlineStr">
        <is>
          <t>AusPayNet Logitech Essentials for Room License Renewal</t>
        </is>
      </c>
      <c r="C321" s="55">
        <f>SUMIFS(tbl_WIP[Amount],tbl_WIP[Job Number],$A321,tbl_WIP[Month],"&lt;&gt;",tbl_WIP[Month],"&lt;"&amp;$C$4)+SUMIF('Deferred Revenue'!$E$6:$E$578,$A321,'Deferred Revenue'!$P$6:$P$578)</f>
        <v/>
      </c>
      <c r="D321" s="55">
        <f>SUMIFS(tbl_WIP[Amount],tbl_WIP[Job Number],$A321,tbl_WIP[Month],$C$4)+SUMIF('Deferred Revenue'!$E$6:$E$578,$A321,'Deferred Revenue'!$Q$6:$Q$578)</f>
        <v/>
      </c>
      <c r="E321" s="55">
        <f>C321+D321</f>
        <v/>
      </c>
      <c r="F321" s="56">
        <f>IF(ROUND(C321,2)+ROUND(D321,2)=0,"","yes")</f>
        <v/>
      </c>
      <c r="G321" s="57" t="n"/>
      <c r="H321" s="55">
        <f>IF($G321="","",$E321-$G321)</f>
        <v/>
      </c>
    </row>
    <row r="322">
      <c r="A322" s="54" t="inlineStr">
        <is>
          <t>26081904</t>
        </is>
      </c>
      <c r="B322" s="54" t="inlineStr">
        <is>
          <t>Garvan - AllClear Program Meeting - 2.9.26</t>
        </is>
      </c>
      <c r="C322" s="55">
        <f>SUMIFS(tbl_WIP[Amount],tbl_WIP[Job Number],$A322,tbl_WIP[Month],"&lt;&gt;",tbl_WIP[Month],"&lt;"&amp;$C$4)+SUMIF('Deferred Revenue'!$E$6:$E$578,$A322,'Deferred Revenue'!$P$6:$P$578)</f>
        <v/>
      </c>
      <c r="D322" s="55">
        <f>SUMIFS(tbl_WIP[Amount],tbl_WIP[Job Number],$A322,tbl_WIP[Month],$C$4)+SUMIF('Deferred Revenue'!$E$6:$E$578,$A322,'Deferred Revenue'!$Q$6:$Q$578)</f>
        <v/>
      </c>
      <c r="E322" s="55">
        <f>C322+D322</f>
        <v/>
      </c>
      <c r="F322" s="56">
        <f>IF(ROUND(C322,2)+ROUND(D322,2)=0,"","yes")</f>
        <v/>
      </c>
      <c r="G322" s="57" t="n"/>
      <c r="H322" s="55">
        <f>IF($G322="","",$E322-$G322)</f>
        <v/>
      </c>
    </row>
    <row r="323">
      <c r="A323" s="54" t="inlineStr">
        <is>
          <t>26082402</t>
        </is>
      </c>
      <c r="B323" s="54" t="inlineStr">
        <is>
          <t>TLC - 2026 AGM - 14.10.26</t>
        </is>
      </c>
      <c r="C323" s="55">
        <f>SUMIFS(tbl_WIP[Amount],tbl_WIP[Job Number],$A323,tbl_WIP[Month],"&lt;&gt;",tbl_WIP[Month],"&lt;"&amp;$C$4)+SUMIF('Deferred Revenue'!$E$6:$E$578,$A323,'Deferred Revenue'!$P$6:$P$578)</f>
        <v/>
      </c>
      <c r="D323" s="55">
        <f>SUMIFS(tbl_WIP[Amount],tbl_WIP[Job Number],$A323,tbl_WIP[Month],$C$4)+SUMIF('Deferred Revenue'!$E$6:$E$578,$A323,'Deferred Revenue'!$Q$6:$Q$578)</f>
        <v/>
      </c>
      <c r="E323" s="55">
        <f>C323+D323</f>
        <v/>
      </c>
      <c r="F323" s="56">
        <f>IF(ROUND(C323,2)+ROUND(D323,2)=0,"","yes")</f>
        <v/>
      </c>
      <c r="G323" s="57" t="n"/>
      <c r="H323" s="55">
        <f>IF($G323="","",$E323-$G323)</f>
        <v/>
      </c>
    </row>
    <row r="324">
      <c r="A324" s="54" t="inlineStr">
        <is>
          <t>26082402V</t>
        </is>
      </c>
      <c r="B324" s="54" t="inlineStr">
        <is>
          <t>TLC - 2026 AGM - 14.10.26</t>
        </is>
      </c>
      <c r="C324" s="55">
        <f>SUMIFS(tbl_WIP[Amount],tbl_WIP[Job Number],$A324,tbl_WIP[Month],"&lt;&gt;",tbl_WIP[Month],"&lt;"&amp;$C$4)+SUMIF('Deferred Revenue'!$E$6:$E$578,$A324,'Deferred Revenue'!$P$6:$P$578)</f>
        <v/>
      </c>
      <c r="D324" s="55">
        <f>SUMIFS(tbl_WIP[Amount],tbl_WIP[Job Number],$A324,tbl_WIP[Month],$C$4)+SUMIF('Deferred Revenue'!$E$6:$E$578,$A324,'Deferred Revenue'!$Q$6:$Q$578)</f>
        <v/>
      </c>
      <c r="E324" s="55">
        <f>C324+D324</f>
        <v/>
      </c>
      <c r="F324" s="56">
        <f>IF(ROUND(C324,2)+ROUND(D324,2)=0,"","yes")</f>
        <v/>
      </c>
      <c r="G324" s="57" t="n"/>
      <c r="H324" s="55">
        <f>IF($G324="","",$E324-$G324)</f>
        <v/>
      </c>
    </row>
    <row r="325">
      <c r="A325" s="54" t="inlineStr">
        <is>
          <t>26082501</t>
        </is>
      </c>
      <c r="B325" s="54" t="inlineStr">
        <is>
          <t>CBA - LES - September 2026</t>
        </is>
      </c>
      <c r="C325" s="55">
        <f>SUMIFS(tbl_WIP[Amount],tbl_WIP[Job Number],$A325,tbl_WIP[Month],"&lt;&gt;",tbl_WIP[Month],"&lt;"&amp;$C$4)+SUMIF('Deferred Revenue'!$E$6:$E$578,$A325,'Deferred Revenue'!$P$6:$P$578)</f>
        <v/>
      </c>
      <c r="D325" s="55">
        <f>SUMIFS(tbl_WIP[Amount],tbl_WIP[Job Number],$A325,tbl_WIP[Month],$C$4)+SUMIF('Deferred Revenue'!$E$6:$E$578,$A325,'Deferred Revenue'!$Q$6:$Q$578)</f>
        <v/>
      </c>
      <c r="E325" s="55">
        <f>C325+D325</f>
        <v/>
      </c>
      <c r="F325" s="56">
        <f>IF(ROUND(C325,2)+ROUND(D325,2)=0,"","yes")</f>
        <v/>
      </c>
      <c r="G325" s="57" t="n"/>
      <c r="H325" s="55">
        <f>IF($G325="","",$E325-$G325)</f>
        <v/>
      </c>
    </row>
    <row r="326">
      <c r="A326" s="54" t="inlineStr">
        <is>
          <t>26082502</t>
        </is>
      </c>
      <c r="B326" s="54" t="inlineStr">
        <is>
          <t>ICC - Presenter &amp; Speaker Preparation - September 2026</t>
        </is>
      </c>
      <c r="C326" s="55">
        <f>SUMIFS(tbl_WIP[Amount],tbl_WIP[Job Number],$A326,tbl_WIP[Month],"&lt;&gt;",tbl_WIP[Month],"&lt;"&amp;$C$4)+SUMIF('Deferred Revenue'!$E$6:$E$578,$A326,'Deferred Revenue'!$P$6:$P$578)</f>
        <v/>
      </c>
      <c r="D326" s="55">
        <f>SUMIFS(tbl_WIP[Amount],tbl_WIP[Job Number],$A326,tbl_WIP[Month],$C$4)+SUMIF('Deferred Revenue'!$E$6:$E$578,$A326,'Deferred Revenue'!$Q$6:$Q$578)</f>
        <v/>
      </c>
      <c r="E326" s="55">
        <f>C326+D326</f>
        <v/>
      </c>
      <c r="F326" s="56">
        <f>IF(ROUND(C326,2)+ROUND(D326,2)=0,"","yes")</f>
        <v/>
      </c>
      <c r="G326" s="57" t="n"/>
      <c r="H326" s="55">
        <f>IF($G326="","",$E326-$G326)</f>
        <v/>
      </c>
    </row>
    <row r="327">
      <c r="A327" s="54" t="inlineStr">
        <is>
          <t>26082502V</t>
        </is>
      </c>
      <c r="B327" s="54" t="inlineStr">
        <is>
          <t>ICC - Presenter &amp; Speaker Preparation - September 2026</t>
        </is>
      </c>
      <c r="C327" s="55">
        <f>SUMIFS(tbl_WIP[Amount],tbl_WIP[Job Number],$A327,tbl_WIP[Month],"&lt;&gt;",tbl_WIP[Month],"&lt;"&amp;$C$4)+SUMIF('Deferred Revenue'!$E$6:$E$578,$A327,'Deferred Revenue'!$P$6:$P$578)</f>
        <v/>
      </c>
      <c r="D327" s="55">
        <f>SUMIFS(tbl_WIP[Amount],tbl_WIP[Job Number],$A327,tbl_WIP[Month],$C$4)+SUMIF('Deferred Revenue'!$E$6:$E$578,$A327,'Deferred Revenue'!$Q$6:$Q$578)</f>
        <v/>
      </c>
      <c r="E327" s="55">
        <f>C327+D327</f>
        <v/>
      </c>
      <c r="F327" s="56">
        <f>IF(ROUND(C327,2)+ROUND(D327,2)=0,"","yes")</f>
        <v/>
      </c>
      <c r="G327" s="57" t="n"/>
      <c r="H327" s="55">
        <f>IF($G327="","",$E327-$G327)</f>
        <v/>
      </c>
    </row>
    <row r="328">
      <c r="A328" s="54" t="inlineStr">
        <is>
          <t>26082702</t>
        </is>
      </c>
      <c r="B328" s="54" t="inlineStr">
        <is>
          <t>Garvan - Breast Cancer Public Lecture - 1.10.26</t>
        </is>
      </c>
      <c r="C328" s="55">
        <f>SUMIFS(tbl_WIP[Amount],tbl_WIP[Job Number],$A328,tbl_WIP[Month],"&lt;&gt;",tbl_WIP[Month],"&lt;"&amp;$C$4)+SUMIF('Deferred Revenue'!$E$6:$E$578,$A328,'Deferred Revenue'!$P$6:$P$578)</f>
        <v/>
      </c>
      <c r="D328" s="55">
        <f>SUMIFS(tbl_WIP[Amount],tbl_WIP[Job Number],$A328,tbl_WIP[Month],$C$4)+SUMIF('Deferred Revenue'!$E$6:$E$578,$A328,'Deferred Revenue'!$Q$6:$Q$578)</f>
        <v/>
      </c>
      <c r="E328" s="55">
        <f>C328+D328</f>
        <v/>
      </c>
      <c r="F328" s="56">
        <f>IF(ROUND(C328,2)+ROUND(D328,2)=0,"","yes")</f>
        <v/>
      </c>
      <c r="G328" s="57" t="n"/>
      <c r="H328" s="55">
        <f>IF($G328="","",$E328-$G328)</f>
        <v/>
      </c>
    </row>
    <row r="329">
      <c r="A329" s="54" t="inlineStr">
        <is>
          <t>26082703</t>
        </is>
      </c>
      <c r="B329" s="54" t="inlineStr">
        <is>
          <t>APA - RUOK Day - 10.9.26</t>
        </is>
      </c>
      <c r="C329" s="55">
        <f>SUMIFS(tbl_WIP[Amount],tbl_WIP[Job Number],$A329,tbl_WIP[Month],"&lt;&gt;",tbl_WIP[Month],"&lt;"&amp;$C$4)+SUMIF('Deferred Revenue'!$E$6:$E$578,$A329,'Deferred Revenue'!$P$6:$P$578)</f>
        <v/>
      </c>
      <c r="D329" s="55">
        <f>SUMIFS(tbl_WIP[Amount],tbl_WIP[Job Number],$A329,tbl_WIP[Month],$C$4)+SUMIF('Deferred Revenue'!$E$6:$E$578,$A329,'Deferred Revenue'!$Q$6:$Q$578)</f>
        <v/>
      </c>
      <c r="E329" s="55">
        <f>C329+D329</f>
        <v/>
      </c>
      <c r="F329" s="56">
        <f>IF(ROUND(C329,2)+ROUND(D329,2)=0,"","yes")</f>
        <v/>
      </c>
      <c r="G329" s="57" t="n"/>
      <c r="H329" s="55">
        <f>IF($G329="","",$E329-$G329)</f>
        <v/>
      </c>
    </row>
    <row r="330">
      <c r="A330" s="54" t="inlineStr">
        <is>
          <t>26082703V</t>
        </is>
      </c>
      <c r="B330" s="54" t="inlineStr">
        <is>
          <t>APA - RUOK Day - 10.9.26</t>
        </is>
      </c>
      <c r="C330" s="55">
        <f>SUMIFS(tbl_WIP[Amount],tbl_WIP[Job Number],$A330,tbl_WIP[Month],"&lt;&gt;",tbl_WIP[Month],"&lt;"&amp;$C$4)+SUMIF('Deferred Revenue'!$E$6:$E$578,$A330,'Deferred Revenue'!$P$6:$P$578)</f>
        <v/>
      </c>
      <c r="D330" s="55">
        <f>SUMIFS(tbl_WIP[Amount],tbl_WIP[Job Number],$A330,tbl_WIP[Month],$C$4)+SUMIF('Deferred Revenue'!$E$6:$E$578,$A330,'Deferred Revenue'!$Q$6:$Q$578)</f>
        <v/>
      </c>
      <c r="E330" s="55">
        <f>C330+D330</f>
        <v/>
      </c>
      <c r="F330" s="56">
        <f>IF(ROUND(C330,2)+ROUND(D330,2)=0,"","yes")</f>
        <v/>
      </c>
      <c r="G330" s="57" t="n"/>
      <c r="H330" s="55">
        <f>IF($G330="","",$E330-$G330)</f>
        <v/>
      </c>
    </row>
    <row r="331">
      <c r="A331" s="54" t="inlineStr">
        <is>
          <t>26082704</t>
        </is>
      </c>
      <c r="B331" s="54" t="inlineStr">
        <is>
          <t>DTTL Travel for National STL &amp; Coverage SYD-PER</t>
        </is>
      </c>
      <c r="C331" s="55">
        <f>SUMIFS(tbl_WIP[Amount],tbl_WIP[Job Number],$A331,tbl_WIP[Month],"&lt;&gt;",tbl_WIP[Month],"&lt;"&amp;$C$4)+SUMIF('Deferred Revenue'!$E$6:$E$578,$A331,'Deferred Revenue'!$P$6:$P$578)</f>
        <v/>
      </c>
      <c r="D331" s="55">
        <f>SUMIFS(tbl_WIP[Amount],tbl_WIP[Job Number],$A331,tbl_WIP[Month],$C$4)+SUMIF('Deferred Revenue'!$E$6:$E$578,$A331,'Deferred Revenue'!$Q$6:$Q$578)</f>
        <v/>
      </c>
      <c r="E331" s="55">
        <f>C331+D331</f>
        <v/>
      </c>
      <c r="F331" s="56">
        <f>IF(ROUND(C331,2)+ROUND(D331,2)=0,"","yes")</f>
        <v/>
      </c>
      <c r="G331" s="57" t="n"/>
      <c r="H331" s="55">
        <f>IF($G331="","",$E331-$G331)</f>
        <v/>
      </c>
    </row>
    <row r="332">
      <c r="A332" s="54" t="inlineStr">
        <is>
          <t>26082801</t>
        </is>
      </c>
      <c r="B332" s="54" t="inlineStr">
        <is>
          <t>Ricoh Australia - SHELL AV Support</t>
        </is>
      </c>
      <c r="C332" s="55">
        <f>SUMIFS(tbl_WIP[Amount],tbl_WIP[Job Number],$A332,tbl_WIP[Month],"&lt;&gt;",tbl_WIP[Month],"&lt;"&amp;$C$4)+SUMIF('Deferred Revenue'!$E$6:$E$578,$A332,'Deferred Revenue'!$P$6:$P$578)</f>
        <v/>
      </c>
      <c r="D332" s="55">
        <f>SUMIFS(tbl_WIP[Amount],tbl_WIP[Job Number],$A332,tbl_WIP[Month],$C$4)+SUMIF('Deferred Revenue'!$E$6:$E$578,$A332,'Deferred Revenue'!$Q$6:$Q$578)</f>
        <v/>
      </c>
      <c r="E332" s="55">
        <f>C332+D332</f>
        <v/>
      </c>
      <c r="F332" s="56">
        <f>IF(ROUND(C332,2)+ROUND(D332,2)=0,"","yes")</f>
        <v/>
      </c>
      <c r="G332" s="57" t="n"/>
      <c r="H332" s="55">
        <f>IF($G332="","",$E332-$G332)</f>
        <v/>
      </c>
    </row>
    <row r="333">
      <c r="A333" s="54" t="inlineStr">
        <is>
          <t>2608402</t>
        </is>
      </c>
      <c r="B333" s="54" t="inlineStr">
        <is>
          <t>Garvan - Suttons Event - 15.10.26</t>
        </is>
      </c>
      <c r="C333" s="55">
        <f>SUMIFS(tbl_WIP[Amount],tbl_WIP[Job Number],$A333,tbl_WIP[Month],"&lt;&gt;",tbl_WIP[Month],"&lt;"&amp;$C$4)+SUMIF('Deferred Revenue'!$E$6:$E$578,$A333,'Deferred Revenue'!$P$6:$P$578)</f>
        <v/>
      </c>
      <c r="D333" s="55">
        <f>SUMIFS(tbl_WIP[Amount],tbl_WIP[Job Number],$A333,tbl_WIP[Month],$C$4)+SUMIF('Deferred Revenue'!$E$6:$E$578,$A333,'Deferred Revenue'!$Q$6:$Q$578)</f>
        <v/>
      </c>
      <c r="E333" s="55">
        <f>C333+D333</f>
        <v/>
      </c>
      <c r="F333" s="56">
        <f>IF(ROUND(C333,2)+ROUND(D333,2)=0,"","yes")</f>
        <v/>
      </c>
      <c r="G333" s="57" t="n"/>
      <c r="H333" s="55">
        <f>IF($G333="","",$E333-$G333)</f>
        <v/>
      </c>
    </row>
    <row r="334">
      <c r="A334" s="54" t="inlineStr">
        <is>
          <t>2608404</t>
        </is>
      </c>
      <c r="B334" s="54" t="inlineStr">
        <is>
          <t>St Vincents Public Hospital - Awards Night - 26.8.25</t>
        </is>
      </c>
      <c r="C334" s="55">
        <f>SUMIFS(tbl_WIP[Amount],tbl_WIP[Job Number],$A334,tbl_WIP[Month],"&lt;&gt;",tbl_WIP[Month],"&lt;"&amp;$C$4)+SUMIF('Deferred Revenue'!$E$6:$E$578,$A334,'Deferred Revenue'!$P$6:$P$578)</f>
        <v/>
      </c>
      <c r="D334" s="55">
        <f>SUMIFS(tbl_WIP[Amount],tbl_WIP[Job Number],$A334,tbl_WIP[Month],$C$4)+SUMIF('Deferred Revenue'!$E$6:$E$578,$A334,'Deferred Revenue'!$Q$6:$Q$578)</f>
        <v/>
      </c>
      <c r="E334" s="55">
        <f>C334+D334</f>
        <v/>
      </c>
      <c r="F334" s="56">
        <f>IF(ROUND(C334,2)+ROUND(D334,2)=0,"","yes")</f>
        <v/>
      </c>
      <c r="G334" s="57" t="n"/>
      <c r="H334" s="55">
        <f>IF($G334="","",$E334-$G334)</f>
        <v/>
      </c>
    </row>
    <row r="335">
      <c r="A335" s="54" t="inlineStr">
        <is>
          <t>2608404V</t>
        </is>
      </c>
      <c r="B335" s="54" t="inlineStr">
        <is>
          <t>St Vincents Public Hospital - Awards Night - 26.8.25</t>
        </is>
      </c>
      <c r="C335" s="55">
        <f>SUMIFS(tbl_WIP[Amount],tbl_WIP[Job Number],$A335,tbl_WIP[Month],"&lt;&gt;",tbl_WIP[Month],"&lt;"&amp;$C$4)+SUMIF('Deferred Revenue'!$E$6:$E$578,$A335,'Deferred Revenue'!$P$6:$P$578)</f>
        <v/>
      </c>
      <c r="D335" s="55">
        <f>SUMIFS(tbl_WIP[Amount],tbl_WIP[Job Number],$A335,tbl_WIP[Month],$C$4)+SUMIF('Deferred Revenue'!$E$6:$E$578,$A335,'Deferred Revenue'!$Q$6:$Q$578)</f>
        <v/>
      </c>
      <c r="E335" s="55">
        <f>C335+D335</f>
        <v/>
      </c>
      <c r="F335" s="56">
        <f>IF(ROUND(C335,2)+ROUND(D335,2)=0,"","yes")</f>
        <v/>
      </c>
      <c r="G335" s="57" t="n"/>
      <c r="H335" s="55">
        <f>IF($G335="","",$E335-$G335)</f>
        <v/>
      </c>
    </row>
    <row r="336">
      <c r="A336" s="54" t="inlineStr">
        <is>
          <t>2608604</t>
        </is>
      </c>
      <c r="B336" s="54" t="inlineStr">
        <is>
          <t>ASX - FYR Employee Town Hall - 13.8.26</t>
        </is>
      </c>
      <c r="C336" s="55">
        <f>SUMIFS(tbl_WIP[Amount],tbl_WIP[Job Number],$A336,tbl_WIP[Month],"&lt;&gt;",tbl_WIP[Month],"&lt;"&amp;$C$4)+SUMIF('Deferred Revenue'!$E$6:$E$578,$A336,'Deferred Revenue'!$P$6:$P$578)</f>
        <v/>
      </c>
      <c r="D336" s="55">
        <f>SUMIFS(tbl_WIP[Amount],tbl_WIP[Job Number],$A336,tbl_WIP[Month],$C$4)+SUMIF('Deferred Revenue'!$E$6:$E$578,$A336,'Deferred Revenue'!$Q$6:$Q$578)</f>
        <v/>
      </c>
      <c r="E336" s="55">
        <f>C336+D336</f>
        <v/>
      </c>
      <c r="F336" s="56">
        <f>IF(ROUND(C336,2)+ROUND(D336,2)=0,"","yes")</f>
        <v/>
      </c>
      <c r="G336" s="57" t="n"/>
      <c r="H336" s="55">
        <f>IF($G336="","",$E336-$G336)</f>
        <v/>
      </c>
    </row>
    <row r="337">
      <c r="A337" s="54" t="inlineStr">
        <is>
          <t>2608604V</t>
        </is>
      </c>
      <c r="B337" s="54" t="inlineStr">
        <is>
          <t>ASX - FYR Employee Town Hall - 13.8.26</t>
        </is>
      </c>
      <c r="C337" s="55">
        <f>SUMIFS(tbl_WIP[Amount],tbl_WIP[Job Number],$A337,tbl_WIP[Month],"&lt;&gt;",tbl_WIP[Month],"&lt;"&amp;$C$4)+SUMIF('Deferred Revenue'!$E$6:$E$578,$A337,'Deferred Revenue'!$P$6:$P$578)</f>
        <v/>
      </c>
      <c r="D337" s="55">
        <f>SUMIFS(tbl_WIP[Amount],tbl_WIP[Job Number],$A337,tbl_WIP[Month],$C$4)+SUMIF('Deferred Revenue'!$E$6:$E$578,$A337,'Deferred Revenue'!$Q$6:$Q$578)</f>
        <v/>
      </c>
      <c r="E337" s="55">
        <f>C337+D337</f>
        <v/>
      </c>
      <c r="F337" s="56">
        <f>IF(ROUND(C337,2)+ROUND(D337,2)=0,"","yes")</f>
        <v/>
      </c>
      <c r="G337" s="57" t="n"/>
      <c r="H337" s="55">
        <f>IF($G337="","",$E337-$G337)</f>
        <v/>
      </c>
    </row>
    <row r="338">
      <c r="A338" s="54" t="inlineStr">
        <is>
          <t>2608701</t>
        </is>
      </c>
      <c r="B338" s="54" t="inlineStr">
        <is>
          <t>Elkeim - Studio Support - 10.9.26</t>
        </is>
      </c>
      <c r="C338" s="55">
        <f>SUMIFS(tbl_WIP[Amount],tbl_WIP[Job Number],$A338,tbl_WIP[Month],"&lt;&gt;",tbl_WIP[Month],"&lt;"&amp;$C$4)+SUMIF('Deferred Revenue'!$E$6:$E$578,$A338,'Deferred Revenue'!$P$6:$P$578)</f>
        <v/>
      </c>
      <c r="D338" s="55">
        <f>SUMIFS(tbl_WIP[Amount],tbl_WIP[Job Number],$A338,tbl_WIP[Month],$C$4)+SUMIF('Deferred Revenue'!$E$6:$E$578,$A338,'Deferred Revenue'!$Q$6:$Q$578)</f>
        <v/>
      </c>
      <c r="E338" s="55">
        <f>C338+D338</f>
        <v/>
      </c>
      <c r="F338" s="56">
        <f>IF(ROUND(C338,2)+ROUND(D338,2)=0,"","yes")</f>
        <v/>
      </c>
      <c r="G338" s="57" t="n"/>
      <c r="H338" s="55">
        <f>IF($G338="","",$E338-$G338)</f>
        <v/>
      </c>
    </row>
    <row r="339">
      <c r="A339" s="54" t="inlineStr">
        <is>
          <t>2608702</t>
        </is>
      </c>
      <c r="B339" s="54" t="inlineStr">
        <is>
          <t>APA - Qtly All Hands SYD Screen Hire - 20.8.26</t>
        </is>
      </c>
      <c r="C339" s="55">
        <f>SUMIFS(tbl_WIP[Amount],tbl_WIP[Job Number],$A339,tbl_WIP[Month],"&lt;&gt;",tbl_WIP[Month],"&lt;"&amp;$C$4)+SUMIF('Deferred Revenue'!$E$6:$E$578,$A339,'Deferred Revenue'!$P$6:$P$578)</f>
        <v/>
      </c>
      <c r="D339" s="55">
        <f>SUMIFS(tbl_WIP[Amount],tbl_WIP[Job Number],$A339,tbl_WIP[Month],$C$4)+SUMIF('Deferred Revenue'!$E$6:$E$578,$A339,'Deferred Revenue'!$Q$6:$Q$578)</f>
        <v/>
      </c>
      <c r="E339" s="55">
        <f>C339+D339</f>
        <v/>
      </c>
      <c r="F339" s="56">
        <f>IF(ROUND(C339,2)+ROUND(D339,2)=0,"","yes")</f>
        <v/>
      </c>
      <c r="G339" s="57" t="n"/>
      <c r="H339" s="55">
        <f>IF($G339="","",$E339-$G339)</f>
        <v/>
      </c>
    </row>
    <row r="340">
      <c r="A340" s="54" t="inlineStr">
        <is>
          <t>26091002</t>
        </is>
      </c>
      <c r="B340" s="54" t="inlineStr">
        <is>
          <t>GP - Talking Philanthropy - Event Videography 18.9.26</t>
        </is>
      </c>
      <c r="C340" s="55">
        <f>SUMIFS(tbl_WIP[Amount],tbl_WIP[Job Number],$A340,tbl_WIP[Month],"&lt;&gt;",tbl_WIP[Month],"&lt;"&amp;$C$4)+SUMIF('Deferred Revenue'!$E$6:$E$578,$A340,'Deferred Revenue'!$P$6:$P$578)</f>
        <v/>
      </c>
      <c r="D340" s="55">
        <f>SUMIFS(tbl_WIP[Amount],tbl_WIP[Job Number],$A340,tbl_WIP[Month],$C$4)+SUMIF('Deferred Revenue'!$E$6:$E$578,$A340,'Deferred Revenue'!$Q$6:$Q$578)</f>
        <v/>
      </c>
      <c r="E340" s="55">
        <f>C340+D340</f>
        <v/>
      </c>
      <c r="F340" s="56">
        <f>IF(ROUND(C340,2)+ROUND(D340,2)=0,"","yes")</f>
        <v/>
      </c>
      <c r="G340" s="57" t="n"/>
      <c r="H340" s="55">
        <f>IF($G340="","",$E340-$G340)</f>
        <v/>
      </c>
    </row>
    <row r="341">
      <c r="A341" s="54" t="inlineStr">
        <is>
          <t>26091002V</t>
        </is>
      </c>
      <c r="B341" s="54" t="inlineStr">
        <is>
          <t>GP - Talking Philanthropy - Event Videography 18.9.26</t>
        </is>
      </c>
      <c r="C341" s="55">
        <f>SUMIFS(tbl_WIP[Amount],tbl_WIP[Job Number],$A341,tbl_WIP[Month],"&lt;&gt;",tbl_WIP[Month],"&lt;"&amp;$C$4)+SUMIF('Deferred Revenue'!$E$6:$E$578,$A341,'Deferred Revenue'!$P$6:$P$578)</f>
        <v/>
      </c>
      <c r="D341" s="55">
        <f>SUMIFS(tbl_WIP[Amount],tbl_WIP[Job Number],$A341,tbl_WIP[Month],$C$4)+SUMIF('Deferred Revenue'!$E$6:$E$578,$A341,'Deferred Revenue'!$Q$6:$Q$578)</f>
        <v/>
      </c>
      <c r="E341" s="55">
        <f>C341+D341</f>
        <v/>
      </c>
      <c r="F341" s="56">
        <f>IF(ROUND(C341,2)+ROUND(D341,2)=0,"","yes")</f>
        <v/>
      </c>
      <c r="G341" s="57" t="n"/>
      <c r="H341" s="55">
        <f>IF($G341="","",$E341-$G341)</f>
        <v/>
      </c>
    </row>
    <row r="342">
      <c r="A342" s="54" t="inlineStr">
        <is>
          <t>26091601</t>
        </is>
      </c>
      <c r="B342" s="54" t="inlineStr">
        <is>
          <t>Automic - September All Hands - 25.9.26</t>
        </is>
      </c>
      <c r="C342" s="55">
        <f>SUMIFS(tbl_WIP[Amount],tbl_WIP[Job Number],$A342,tbl_WIP[Month],"&lt;&gt;",tbl_WIP[Month],"&lt;"&amp;$C$4)+SUMIF('Deferred Revenue'!$E$6:$E$578,$A342,'Deferred Revenue'!$P$6:$P$578)</f>
        <v/>
      </c>
      <c r="D342" s="55">
        <f>SUMIFS(tbl_WIP[Amount],tbl_WIP[Job Number],$A342,tbl_WIP[Month],$C$4)+SUMIF('Deferred Revenue'!$E$6:$E$578,$A342,'Deferred Revenue'!$Q$6:$Q$578)</f>
        <v/>
      </c>
      <c r="E342" s="55">
        <f>C342+D342</f>
        <v/>
      </c>
      <c r="F342" s="56">
        <f>IF(ROUND(C342,2)+ROUND(D342,2)=0,"","yes")</f>
        <v/>
      </c>
      <c r="G342" s="57" t="n"/>
      <c r="H342" s="55">
        <f>IF($G342="","",$E342-$G342)</f>
        <v/>
      </c>
    </row>
    <row r="343">
      <c r="A343" s="54" t="inlineStr">
        <is>
          <t>26091601V</t>
        </is>
      </c>
      <c r="B343" s="54" t="inlineStr">
        <is>
          <t>Automic - September All Hands - 25.9.26</t>
        </is>
      </c>
      <c r="C343" s="55">
        <f>SUMIFS(tbl_WIP[Amount],tbl_WIP[Job Number],$A343,tbl_WIP[Month],"&lt;&gt;",tbl_WIP[Month],"&lt;"&amp;$C$4)+SUMIF('Deferred Revenue'!$E$6:$E$578,$A343,'Deferred Revenue'!$P$6:$P$578)</f>
        <v/>
      </c>
      <c r="D343" s="55">
        <f>SUMIFS(tbl_WIP[Amount],tbl_WIP[Job Number],$A343,tbl_WIP[Month],$C$4)+SUMIF('Deferred Revenue'!$E$6:$E$578,$A343,'Deferred Revenue'!$Q$6:$Q$578)</f>
        <v/>
      </c>
      <c r="E343" s="55">
        <f>C343+D343</f>
        <v/>
      </c>
      <c r="F343" s="56">
        <f>IF(ROUND(C343,2)+ROUND(D343,2)=0,"","yes")</f>
        <v/>
      </c>
      <c r="G343" s="57" t="n"/>
      <c r="H343" s="55">
        <f>IF($G343="","",$E343-$G343)</f>
        <v/>
      </c>
    </row>
    <row r="344">
      <c r="A344" s="54" t="inlineStr">
        <is>
          <t>26091604</t>
        </is>
      </c>
      <c r="B344" s="54" t="inlineStr">
        <is>
          <t>The George Institute - SYD CV Symposium - 29-30.10.26</t>
        </is>
      </c>
      <c r="C344" s="55">
        <f>SUMIFS(tbl_WIP[Amount],tbl_WIP[Job Number],$A344,tbl_WIP[Month],"&lt;&gt;",tbl_WIP[Month],"&lt;"&amp;$C$4)+SUMIF('Deferred Revenue'!$E$6:$E$578,$A344,'Deferred Revenue'!$P$6:$P$578)</f>
        <v/>
      </c>
      <c r="D344" s="55">
        <f>SUMIFS(tbl_WIP[Amount],tbl_WIP[Job Number],$A344,tbl_WIP[Month],$C$4)+SUMIF('Deferred Revenue'!$E$6:$E$578,$A344,'Deferred Revenue'!$Q$6:$Q$578)</f>
        <v/>
      </c>
      <c r="E344" s="55">
        <f>C344+D344</f>
        <v/>
      </c>
      <c r="F344" s="56">
        <f>IF(ROUND(C344,2)+ROUND(D344,2)=0,"","yes")</f>
        <v/>
      </c>
      <c r="G344" s="57" t="n"/>
      <c r="H344" s="55">
        <f>IF($G344="","",$E344-$G344)</f>
        <v/>
      </c>
    </row>
    <row r="345">
      <c r="A345" s="54" t="inlineStr">
        <is>
          <t>26091604V</t>
        </is>
      </c>
      <c r="B345" s="54" t="inlineStr">
        <is>
          <t>The George Institute - SYD CV Symposium - 29-30.10.26</t>
        </is>
      </c>
      <c r="C345" s="55">
        <f>SUMIFS(tbl_WIP[Amount],tbl_WIP[Job Number],$A345,tbl_WIP[Month],"&lt;&gt;",tbl_WIP[Month],"&lt;"&amp;$C$4)+SUMIF('Deferred Revenue'!$E$6:$E$578,$A345,'Deferred Revenue'!$P$6:$P$578)</f>
        <v/>
      </c>
      <c r="D345" s="55">
        <f>SUMIFS(tbl_WIP[Amount],tbl_WIP[Job Number],$A345,tbl_WIP[Month],$C$4)+SUMIF('Deferred Revenue'!$E$6:$E$578,$A345,'Deferred Revenue'!$Q$6:$Q$578)</f>
        <v/>
      </c>
      <c r="E345" s="55">
        <f>C345+D345</f>
        <v/>
      </c>
      <c r="F345" s="56">
        <f>IF(ROUND(C345,2)+ROUND(D345,2)=0,"","yes")</f>
        <v/>
      </c>
      <c r="G345" s="57" t="n"/>
      <c r="H345" s="55">
        <f>IF($G345="","",$E345-$G345)</f>
        <v/>
      </c>
    </row>
    <row r="346">
      <c r="A346" s="54" t="inlineStr">
        <is>
          <t>2609402</t>
        </is>
      </c>
      <c r="B346" s="54" t="inlineStr">
        <is>
          <t>MUFG - SUN Investor Day - 29.10.26</t>
        </is>
      </c>
      <c r="C346" s="55">
        <f>SUMIFS(tbl_WIP[Amount],tbl_WIP[Job Number],$A346,tbl_WIP[Month],"&lt;&gt;",tbl_WIP[Month],"&lt;"&amp;$C$4)+SUMIF('Deferred Revenue'!$E$6:$E$578,$A346,'Deferred Revenue'!$P$6:$P$578)</f>
        <v/>
      </c>
      <c r="D346" s="55">
        <f>SUMIFS(tbl_WIP[Amount],tbl_WIP[Job Number],$A346,tbl_WIP[Month],$C$4)+SUMIF('Deferred Revenue'!$E$6:$E$578,$A346,'Deferred Revenue'!$Q$6:$Q$578)</f>
        <v/>
      </c>
      <c r="E346" s="55">
        <f>C346+D346</f>
        <v/>
      </c>
      <c r="F346" s="56">
        <f>IF(ROUND(C346,2)+ROUND(D346,2)=0,"","yes")</f>
        <v/>
      </c>
      <c r="G346" s="57" t="n"/>
      <c r="H346" s="55">
        <f>IF($G346="","",$E346-$G346)</f>
        <v/>
      </c>
    </row>
    <row r="347">
      <c r="A347" s="54" t="inlineStr">
        <is>
          <t>2609402V</t>
        </is>
      </c>
      <c r="B347" s="54" t="inlineStr">
        <is>
          <t>MUFG - SUN Investor Day - 29.10.26</t>
        </is>
      </c>
      <c r="C347" s="55">
        <f>SUMIFS(tbl_WIP[Amount],tbl_WIP[Job Number],$A347,tbl_WIP[Month],"&lt;&gt;",tbl_WIP[Month],"&lt;"&amp;$C$4)+SUMIF('Deferred Revenue'!$E$6:$E$578,$A347,'Deferred Revenue'!$P$6:$P$578)</f>
        <v/>
      </c>
      <c r="D347" s="55">
        <f>SUMIFS(tbl_WIP[Amount],tbl_WIP[Job Number],$A347,tbl_WIP[Month],$C$4)+SUMIF('Deferred Revenue'!$E$6:$E$578,$A347,'Deferred Revenue'!$Q$6:$Q$578)</f>
        <v/>
      </c>
      <c r="E347" s="55">
        <f>C347+D347</f>
        <v/>
      </c>
      <c r="F347" s="56">
        <f>IF(ROUND(C347,2)+ROUND(D347,2)=0,"","yes")</f>
        <v/>
      </c>
      <c r="G347" s="57" t="n"/>
      <c r="H347" s="55">
        <f>IF($G347="","",$E347-$G347)</f>
        <v/>
      </c>
    </row>
    <row r="348">
      <c r="A348" s="54" t="inlineStr">
        <is>
          <t>2609801</t>
        </is>
      </c>
      <c r="B348" s="54" t="inlineStr">
        <is>
          <t>Elkiem - Studio Support - 16.9.26</t>
        </is>
      </c>
      <c r="C348" s="55">
        <f>SUMIFS(tbl_WIP[Amount],tbl_WIP[Job Number],$A348,tbl_WIP[Month],"&lt;&gt;",tbl_WIP[Month],"&lt;"&amp;$C$4)+SUMIF('Deferred Revenue'!$E$6:$E$578,$A348,'Deferred Revenue'!$P$6:$P$578)</f>
        <v/>
      </c>
      <c r="D348" s="55">
        <f>SUMIFS(tbl_WIP[Amount],tbl_WIP[Job Number],$A348,tbl_WIP[Month],$C$4)+SUMIF('Deferred Revenue'!$E$6:$E$578,$A348,'Deferred Revenue'!$Q$6:$Q$578)</f>
        <v/>
      </c>
      <c r="E348" s="55">
        <f>C348+D348</f>
        <v/>
      </c>
      <c r="F348" s="56">
        <f>IF(ROUND(C348,2)+ROUND(D348,2)=0,"","yes")</f>
        <v/>
      </c>
      <c r="G348" s="57" t="n"/>
      <c r="H348" s="55">
        <f>IF($G348="","",$E348-$G348)</f>
        <v/>
      </c>
    </row>
    <row r="349">
      <c r="A349" s="54" t="inlineStr">
        <is>
          <t>2645</t>
        </is>
      </c>
      <c r="B349" s="54" t="inlineStr">
        <is>
          <t>EY SYD Tech Support</t>
        </is>
      </c>
      <c r="C349" s="55">
        <f>SUMIFS(tbl_WIP[Amount],tbl_WIP[Job Number],$A349,tbl_WIP[Month],"&lt;&gt;",tbl_WIP[Month],"&lt;"&amp;$C$4)+SUMIF('Deferred Revenue'!$E$6:$E$578,$A349,'Deferred Revenue'!$P$6:$P$578)</f>
        <v/>
      </c>
      <c r="D349" s="55">
        <f>SUMIFS(tbl_WIP[Amount],tbl_WIP[Job Number],$A349,tbl_WIP[Month],$C$4)+SUMIF('Deferred Revenue'!$E$6:$E$578,$A349,'Deferred Revenue'!$Q$6:$Q$578)</f>
        <v/>
      </c>
      <c r="E349" s="55">
        <f>C349+D349</f>
        <v/>
      </c>
      <c r="F349" s="56">
        <f>IF(ROUND(C349,2)+ROUND(D349,2)=0,"","yes")</f>
        <v/>
      </c>
      <c r="G349" s="57" t="n"/>
      <c r="H349" s="55">
        <f>IF($G349="","",$E349-$G349)</f>
        <v/>
      </c>
    </row>
    <row r="350">
      <c r="A350" s="54" t="inlineStr">
        <is>
          <t>2648</t>
        </is>
      </c>
      <c r="B350" s="54" t="inlineStr">
        <is>
          <t>DTTL MEL Additional Tech</t>
        </is>
      </c>
      <c r="C350" s="55">
        <f>SUMIFS(tbl_WIP[Amount],tbl_WIP[Job Number],$A350,tbl_WIP[Month],"&lt;&gt;",tbl_WIP[Month],"&lt;"&amp;$C$4)+SUMIF('Deferred Revenue'!$E$6:$E$578,$A350,'Deferred Revenue'!$P$6:$P$578)</f>
        <v/>
      </c>
      <c r="D350" s="55">
        <f>SUMIFS(tbl_WIP[Amount],tbl_WIP[Job Number],$A350,tbl_WIP[Month],$C$4)+SUMIF('Deferred Revenue'!$E$6:$E$578,$A350,'Deferred Revenue'!$Q$6:$Q$578)</f>
        <v/>
      </c>
      <c r="E350" s="55">
        <f>C350+D350</f>
        <v/>
      </c>
      <c r="F350" s="56">
        <f>IF(ROUND(C350,2)+ROUND(D350,2)=0,"","yes")</f>
        <v/>
      </c>
      <c r="G350" s="57" t="n"/>
      <c r="H350" s="55">
        <f>IF($G350="","",$E350-$G350)</f>
        <v/>
      </c>
    </row>
    <row r="351">
      <c r="A351" s="54" t="inlineStr">
        <is>
          <t>2658</t>
        </is>
      </c>
      <c r="B351" s="54" t="inlineStr">
        <is>
          <t>EY MELB Tech</t>
        </is>
      </c>
      <c r="C351" s="55">
        <f>SUMIFS(tbl_WIP[Amount],tbl_WIP[Job Number],$A351,tbl_WIP[Month],"&lt;&gt;",tbl_WIP[Month],"&lt;"&amp;$C$4)+SUMIF('Deferred Revenue'!$E$6:$E$578,$A351,'Deferred Revenue'!$P$6:$P$578)</f>
        <v/>
      </c>
      <c r="D351" s="55">
        <f>SUMIFS(tbl_WIP[Amount],tbl_WIP[Job Number],$A351,tbl_WIP[Month],$C$4)+SUMIF('Deferred Revenue'!$E$6:$E$578,$A351,'Deferred Revenue'!$Q$6:$Q$578)</f>
        <v/>
      </c>
      <c r="E351" s="55">
        <f>C351+D351</f>
        <v/>
      </c>
      <c r="F351" s="56">
        <f>IF(ROUND(C351,2)+ROUND(D351,2)=0,"","yes")</f>
        <v/>
      </c>
      <c r="G351" s="57" t="n"/>
      <c r="H351" s="55">
        <f>IF($G351="","",$E351-$G351)</f>
        <v/>
      </c>
    </row>
    <row r="352">
      <c r="A352" s="54" t="inlineStr">
        <is>
          <t>2675</t>
        </is>
      </c>
      <c r="B352" s="54" t="inlineStr">
        <is>
          <t>ONS EY (non-chargeable)</t>
        </is>
      </c>
      <c r="C352" s="55">
        <f>SUMIFS(tbl_WIP[Amount],tbl_WIP[Job Number],$A352,tbl_WIP[Month],"&lt;&gt;",tbl_WIP[Month],"&lt;"&amp;$C$4)+SUMIF('Deferred Revenue'!$E$6:$E$578,$A352,'Deferred Revenue'!$P$6:$P$578)</f>
        <v/>
      </c>
      <c r="D352" s="55">
        <f>SUMIFS(tbl_WIP[Amount],tbl_WIP[Job Number],$A352,tbl_WIP[Month],$C$4)+SUMIF('Deferred Revenue'!$E$6:$E$578,$A352,'Deferred Revenue'!$Q$6:$Q$578)</f>
        <v/>
      </c>
      <c r="E352" s="55">
        <f>C352+D352</f>
        <v/>
      </c>
      <c r="F352" s="56">
        <f>IF(ROUND(C352,2)+ROUND(D352,2)=0,"","yes")</f>
        <v/>
      </c>
      <c r="G352" s="57" t="n"/>
      <c r="H352" s="55">
        <f>IF($G352="","",$E352-$G352)</f>
        <v/>
      </c>
    </row>
    <row r="353">
      <c r="A353" s="54" t="inlineStr">
        <is>
          <t>2685</t>
        </is>
      </c>
      <c r="B353" s="54" t="inlineStr">
        <is>
          <t>APA Proxyclick BNE &amp; DRW</t>
        </is>
      </c>
      <c r="C353" s="55">
        <f>SUMIFS(tbl_WIP[Amount],tbl_WIP[Job Number],$A353,tbl_WIP[Month],"&lt;&gt;",tbl_WIP[Month],"&lt;"&amp;$C$4)+SUMIF('Deferred Revenue'!$E$6:$E$578,$A353,'Deferred Revenue'!$P$6:$P$578)</f>
        <v/>
      </c>
      <c r="D353" s="55">
        <f>SUMIFS(tbl_WIP[Amount],tbl_WIP[Job Number],$A353,tbl_WIP[Month],$C$4)+SUMIF('Deferred Revenue'!$E$6:$E$578,$A353,'Deferred Revenue'!$Q$6:$Q$578)</f>
        <v/>
      </c>
      <c r="E353" s="55">
        <f>C353+D353</f>
        <v/>
      </c>
      <c r="F353" s="56">
        <f>IF(ROUND(C353,2)+ROUND(D353,2)=0,"","yes")</f>
        <v/>
      </c>
      <c r="G353" s="57" t="n"/>
      <c r="H353" s="55">
        <f>IF($G353="","",$E353-$G353)</f>
        <v/>
      </c>
    </row>
    <row r="354">
      <c r="A354" s="54" t="inlineStr">
        <is>
          <t>2706</t>
        </is>
      </c>
      <c r="B354" s="54" t="inlineStr">
        <is>
          <t>EPA 6PSQ Proxyclick VMS</t>
        </is>
      </c>
      <c r="C354" s="55">
        <f>SUMIFS(tbl_WIP[Amount],tbl_WIP[Job Number],$A354,tbl_WIP[Month],"&lt;&gt;",tbl_WIP[Month],"&lt;"&amp;$C$4)+SUMIF('Deferred Revenue'!$E$6:$E$578,$A354,'Deferred Revenue'!$P$6:$P$578)</f>
        <v/>
      </c>
      <c r="D354" s="55">
        <f>SUMIFS(tbl_WIP[Amount],tbl_WIP[Job Number],$A354,tbl_WIP[Month],$C$4)+SUMIF('Deferred Revenue'!$E$6:$E$578,$A354,'Deferred Revenue'!$Q$6:$Q$578)</f>
        <v/>
      </c>
      <c r="E354" s="55">
        <f>C354+D354</f>
        <v/>
      </c>
      <c r="F354" s="56">
        <f>IF(ROUND(C354,2)+ROUND(D354,2)=0,"","yes")</f>
        <v/>
      </c>
      <c r="G354" s="57" t="n"/>
      <c r="H354" s="55">
        <f>IF($G354="","",$E354-$G354)</f>
        <v/>
      </c>
    </row>
    <row r="355">
      <c r="A355" s="54" t="inlineStr">
        <is>
          <t>2719</t>
        </is>
      </c>
      <c r="B355" s="54" t="inlineStr">
        <is>
          <t>GSP - 6PSQProxyclickOnb</t>
        </is>
      </c>
      <c r="C355" s="55">
        <f>SUMIFS(tbl_WIP[Amount],tbl_WIP[Job Number],$A355,tbl_WIP[Month],"&lt;&gt;",tbl_WIP[Month],"&lt;"&amp;$C$4)+SUMIF('Deferred Revenue'!$E$6:$E$578,$A355,'Deferred Revenue'!$P$6:$P$578)</f>
        <v/>
      </c>
      <c r="D355" s="55">
        <f>SUMIFS(tbl_WIP[Amount],tbl_WIP[Job Number],$A355,tbl_WIP[Month],$C$4)+SUMIF('Deferred Revenue'!$E$6:$E$578,$A355,'Deferred Revenue'!$Q$6:$Q$578)</f>
        <v/>
      </c>
      <c r="E355" s="55">
        <f>C355+D355</f>
        <v/>
      </c>
      <c r="F355" s="56">
        <f>IF(ROUND(C355,2)+ROUND(D355,2)=0,"","yes")</f>
        <v/>
      </c>
      <c r="G355" s="57" t="n"/>
      <c r="H355" s="55">
        <f>IF($G355="","",$E355-$G355)</f>
        <v/>
      </c>
    </row>
    <row r="356">
      <c r="A356" s="54" t="inlineStr">
        <is>
          <t>2722</t>
        </is>
      </c>
      <c r="B356" s="54" t="inlineStr">
        <is>
          <t>PWC Monthly Consulting</t>
        </is>
      </c>
      <c r="C356" s="55">
        <f>SUMIFS(tbl_WIP[Amount],tbl_WIP[Job Number],$A356,tbl_WIP[Month],"&lt;&gt;",tbl_WIP[Month],"&lt;"&amp;$C$4)+SUMIF('Deferred Revenue'!$E$6:$E$578,$A356,'Deferred Revenue'!$P$6:$P$578)</f>
        <v/>
      </c>
      <c r="D356" s="55">
        <f>SUMIFS(tbl_WIP[Amount],tbl_WIP[Job Number],$A356,tbl_WIP[Month],$C$4)+SUMIF('Deferred Revenue'!$E$6:$E$578,$A356,'Deferred Revenue'!$Q$6:$Q$578)</f>
        <v/>
      </c>
      <c r="E356" s="55">
        <f>C356+D356</f>
        <v/>
      </c>
      <c r="F356" s="56">
        <f>IF(ROUND(C356,2)+ROUND(D356,2)=0,"","yes")</f>
        <v/>
      </c>
      <c r="G356" s="57" t="n"/>
      <c r="H356" s="55">
        <f>IF($G356="","",$E356-$G356)</f>
        <v/>
      </c>
    </row>
    <row r="357">
      <c r="A357" s="54" t="inlineStr">
        <is>
          <t>2726</t>
        </is>
      </c>
      <c r="B357" s="54" t="inlineStr">
        <is>
          <t>KPMG MEL Tech</t>
        </is>
      </c>
      <c r="C357" s="55">
        <f>SUMIFS(tbl_WIP[Amount],tbl_WIP[Job Number],$A357,tbl_WIP[Month],"&lt;&gt;",tbl_WIP[Month],"&lt;"&amp;$C$4)+SUMIF('Deferred Revenue'!$E$6:$E$578,$A357,'Deferred Revenue'!$P$6:$P$578)</f>
        <v/>
      </c>
      <c r="D357" s="55">
        <f>SUMIFS(tbl_WIP[Amount],tbl_WIP[Job Number],$A357,tbl_WIP[Month],$C$4)+SUMIF('Deferred Revenue'!$E$6:$E$578,$A357,'Deferred Revenue'!$Q$6:$Q$578)</f>
        <v/>
      </c>
      <c r="E357" s="55">
        <f>C357+D357</f>
        <v/>
      </c>
      <c r="F357" s="56">
        <f>IF(ROUND(C357,2)+ROUND(D357,2)=0,"","yes")</f>
        <v/>
      </c>
      <c r="G357" s="57" t="n"/>
      <c r="H357" s="55">
        <f>IF($G357="","",$E357-$G357)</f>
        <v/>
      </c>
    </row>
    <row r="358">
      <c r="A358" s="54" t="inlineStr">
        <is>
          <t>2756</t>
        </is>
      </c>
      <c r="B358" s="54" t="inlineStr">
        <is>
          <t>CTS Mgmt Meetings</t>
        </is>
      </c>
      <c r="C358" s="55">
        <f>SUMIFS(tbl_WIP[Amount],tbl_WIP[Job Number],$A358,tbl_WIP[Month],"&lt;&gt;",tbl_WIP[Month],"&lt;"&amp;$C$4)+SUMIF('Deferred Revenue'!$E$6:$E$578,$A358,'Deferred Revenue'!$P$6:$P$578)</f>
        <v/>
      </c>
      <c r="D358" s="55">
        <f>SUMIFS(tbl_WIP[Amount],tbl_WIP[Job Number],$A358,tbl_WIP[Month],$C$4)+SUMIF('Deferred Revenue'!$E$6:$E$578,$A358,'Deferred Revenue'!$Q$6:$Q$578)</f>
        <v/>
      </c>
      <c r="E358" s="55">
        <f>C358+D358</f>
        <v/>
      </c>
      <c r="F358" s="56">
        <f>IF(ROUND(C358,2)+ROUND(D358,2)=0,"","yes")</f>
        <v/>
      </c>
      <c r="G358" s="57" t="n"/>
      <c r="H358" s="55">
        <f>IF($G358="","",$E358-$G358)</f>
        <v/>
      </c>
    </row>
    <row r="359">
      <c r="A359" s="54" t="inlineStr">
        <is>
          <t>2834</t>
        </is>
      </c>
      <c r="B359" s="54" t="inlineStr">
        <is>
          <t>APA Young - Visitor Mgmt</t>
        </is>
      </c>
      <c r="C359" s="55">
        <f>SUMIFS(tbl_WIP[Amount],tbl_WIP[Job Number],$A359,tbl_WIP[Month],"&lt;&gt;",tbl_WIP[Month],"&lt;"&amp;$C$4)+SUMIF('Deferred Revenue'!$E$6:$E$578,$A359,'Deferred Revenue'!$P$6:$P$578)</f>
        <v/>
      </c>
      <c r="D359" s="55">
        <f>SUMIFS(tbl_WIP[Amount],tbl_WIP[Job Number],$A359,tbl_WIP[Month],$C$4)+SUMIF('Deferred Revenue'!$E$6:$E$578,$A359,'Deferred Revenue'!$Q$6:$Q$578)</f>
        <v/>
      </c>
      <c r="E359" s="55">
        <f>C359+D359</f>
        <v/>
      </c>
      <c r="F359" s="56">
        <f>IF(ROUND(C359,2)+ROUND(D359,2)=0,"","yes")</f>
        <v/>
      </c>
      <c r="G359" s="57" t="n"/>
      <c r="H359" s="55">
        <f>IF($G359="","",$E359-$G359)</f>
        <v/>
      </c>
    </row>
    <row r="360">
      <c r="A360" s="54" t="inlineStr">
        <is>
          <t>2838</t>
        </is>
      </c>
      <c r="B360" s="54" t="inlineStr">
        <is>
          <t>KPMG SYD Tech</t>
        </is>
      </c>
      <c r="C360" s="55">
        <f>SUMIFS(tbl_WIP[Amount],tbl_WIP[Job Number],$A360,tbl_WIP[Month],"&lt;&gt;",tbl_WIP[Month],"&lt;"&amp;$C$4)+SUMIF('Deferred Revenue'!$E$6:$E$578,$A360,'Deferred Revenue'!$P$6:$P$578)</f>
        <v/>
      </c>
      <c r="D360" s="55">
        <f>SUMIFS(tbl_WIP[Amount],tbl_WIP[Job Number],$A360,tbl_WIP[Month],$C$4)+SUMIF('Deferred Revenue'!$E$6:$E$578,$A360,'Deferred Revenue'!$Q$6:$Q$578)</f>
        <v/>
      </c>
      <c r="E360" s="55">
        <f>C360+D360</f>
        <v/>
      </c>
      <c r="F360" s="56">
        <f>IF(ROUND(C360,2)+ROUND(D360,2)=0,"","yes")</f>
        <v/>
      </c>
      <c r="G360" s="57" t="n"/>
      <c r="H360" s="55">
        <f>IF($G360="","",$E360-$G360)</f>
        <v/>
      </c>
    </row>
    <row r="361">
      <c r="A361" s="54" t="inlineStr">
        <is>
          <t>2846</t>
        </is>
      </c>
      <c r="B361" s="54" t="inlineStr">
        <is>
          <t>DTTL National STL</t>
        </is>
      </c>
      <c r="C361" s="55">
        <f>SUMIFS(tbl_WIP[Amount],tbl_WIP[Job Number],$A361,tbl_WIP[Month],"&lt;&gt;",tbl_WIP[Month],"&lt;"&amp;$C$4)+SUMIF('Deferred Revenue'!$E$6:$E$578,$A361,'Deferred Revenue'!$P$6:$P$578)</f>
        <v/>
      </c>
      <c r="D361" s="55">
        <f>SUMIFS(tbl_WIP[Amount],tbl_WIP[Job Number],$A361,tbl_WIP[Month],$C$4)+SUMIF('Deferred Revenue'!$E$6:$E$578,$A361,'Deferred Revenue'!$Q$6:$Q$578)</f>
        <v/>
      </c>
      <c r="E361" s="55">
        <f>C361+D361</f>
        <v/>
      </c>
      <c r="F361" s="56">
        <f>IF(ROUND(C361,2)+ROUND(D361,2)=0,"","yes")</f>
        <v/>
      </c>
      <c r="G361" s="57" t="n"/>
      <c r="H361" s="55">
        <f>IF($G361="","",$E361-$G361)</f>
        <v/>
      </c>
    </row>
    <row r="362">
      <c r="A362" s="54" t="inlineStr">
        <is>
          <t>2848</t>
        </is>
      </c>
      <c r="B362" s="54" t="inlineStr">
        <is>
          <t>APA ADL Visitor Mgmt</t>
        </is>
      </c>
      <c r="C362" s="55">
        <f>SUMIFS(tbl_WIP[Amount],tbl_WIP[Job Number],$A362,tbl_WIP[Month],"&lt;&gt;",tbl_WIP[Month],"&lt;"&amp;$C$4)+SUMIF('Deferred Revenue'!$E$6:$E$578,$A362,'Deferred Revenue'!$P$6:$P$578)</f>
        <v/>
      </c>
      <c r="D362" s="55">
        <f>SUMIFS(tbl_WIP[Amount],tbl_WIP[Job Number],$A362,tbl_WIP[Month],$C$4)+SUMIF('Deferred Revenue'!$E$6:$E$578,$A362,'Deferred Revenue'!$Q$6:$Q$578)</f>
        <v/>
      </c>
      <c r="E362" s="55">
        <f>C362+D362</f>
        <v/>
      </c>
      <c r="F362" s="56">
        <f>IF(ROUND(C362,2)+ROUND(D362,2)=0,"","yes")</f>
        <v/>
      </c>
      <c r="G362" s="57" t="n"/>
      <c r="H362" s="55">
        <f>IF($G362="","",$E362-$G362)</f>
        <v/>
      </c>
    </row>
    <row r="363">
      <c r="A363" s="54" t="inlineStr">
        <is>
          <t>2849</t>
        </is>
      </c>
      <c r="B363" s="54" t="inlineStr">
        <is>
          <t>DTTL SYD Internal</t>
        </is>
      </c>
      <c r="C363" s="55">
        <f>SUMIFS(tbl_WIP[Amount],tbl_WIP[Job Number],$A363,tbl_WIP[Month],"&lt;&gt;",tbl_WIP[Month],"&lt;"&amp;$C$4)+SUMIF('Deferred Revenue'!$E$6:$E$578,$A363,'Deferred Revenue'!$P$6:$P$578)</f>
        <v/>
      </c>
      <c r="D363" s="55">
        <f>SUMIFS(tbl_WIP[Amount],tbl_WIP[Job Number],$A363,tbl_WIP[Month],$C$4)+SUMIF('Deferred Revenue'!$E$6:$E$578,$A363,'Deferred Revenue'!$Q$6:$Q$578)</f>
        <v/>
      </c>
      <c r="E363" s="55">
        <f>C363+D363</f>
        <v/>
      </c>
      <c r="F363" s="56">
        <f>IF(ROUND(C363,2)+ROUND(D363,2)=0,"","yes")</f>
        <v/>
      </c>
      <c r="G363" s="57" t="n"/>
      <c r="H363" s="55">
        <f>IF($G363="","",$E363-$G363)</f>
        <v/>
      </c>
    </row>
    <row r="364">
      <c r="A364" s="54" t="inlineStr">
        <is>
          <t>2855</t>
        </is>
      </c>
      <c r="B364" s="54" t="inlineStr">
        <is>
          <t>APA Melbourne VMS</t>
        </is>
      </c>
      <c r="C364" s="55">
        <f>SUMIFS(tbl_WIP[Amount],tbl_WIP[Job Number],$A364,tbl_WIP[Month],"&lt;&gt;",tbl_WIP[Month],"&lt;"&amp;$C$4)+SUMIF('Deferred Revenue'!$E$6:$E$578,$A364,'Deferred Revenue'!$P$6:$P$578)</f>
        <v/>
      </c>
      <c r="D364" s="55">
        <f>SUMIFS(tbl_WIP[Amount],tbl_WIP[Job Number],$A364,tbl_WIP[Month],$C$4)+SUMIF('Deferred Revenue'!$E$6:$E$578,$A364,'Deferred Revenue'!$Q$6:$Q$578)</f>
        <v/>
      </c>
      <c r="E364" s="55">
        <f>C364+D364</f>
        <v/>
      </c>
      <c r="F364" s="56">
        <f>IF(ROUND(C364,2)+ROUND(D364,2)=0,"","yes")</f>
        <v/>
      </c>
      <c r="G364" s="57" t="n"/>
      <c r="H364" s="55">
        <f>IF($G364="","",$E364-$G364)</f>
        <v/>
      </c>
    </row>
    <row r="365">
      <c r="A365" s="54" t="inlineStr">
        <is>
          <t>2857</t>
        </is>
      </c>
      <c r="B365" s="54" t="inlineStr">
        <is>
          <t>APA Sydney Visitor Mgmt</t>
        </is>
      </c>
      <c r="C365" s="55">
        <f>SUMIFS(tbl_WIP[Amount],tbl_WIP[Job Number],$A365,tbl_WIP[Month],"&lt;&gt;",tbl_WIP[Month],"&lt;"&amp;$C$4)+SUMIF('Deferred Revenue'!$E$6:$E$578,$A365,'Deferred Revenue'!$P$6:$P$578)</f>
        <v/>
      </c>
      <c r="D365" s="55">
        <f>SUMIFS(tbl_WIP[Amount],tbl_WIP[Job Number],$A365,tbl_WIP[Month],$C$4)+SUMIF('Deferred Revenue'!$E$6:$E$578,$A365,'Deferred Revenue'!$Q$6:$Q$578)</f>
        <v/>
      </c>
      <c r="E365" s="55">
        <f>C365+D365</f>
        <v/>
      </c>
      <c r="F365" s="56">
        <f>IF(ROUND(C365,2)+ROUND(D365,2)=0,"","yes")</f>
        <v/>
      </c>
      <c r="G365" s="57" t="n"/>
      <c r="H365" s="55">
        <f>IF($G365="","",$E365-$G365)</f>
        <v/>
      </c>
    </row>
    <row r="366">
      <c r="A366" s="54" t="inlineStr">
        <is>
          <t>2877</t>
        </is>
      </c>
      <c r="B366" s="54" t="inlineStr">
        <is>
          <t>DEWR Maintenance Ext</t>
        </is>
      </c>
      <c r="C366" s="55">
        <f>SUMIFS(tbl_WIP[Amount],tbl_WIP[Job Number],$A366,tbl_WIP[Month],"&lt;&gt;",tbl_WIP[Month],"&lt;"&amp;$C$4)+SUMIF('Deferred Revenue'!$E$6:$E$578,$A366,'Deferred Revenue'!$P$6:$P$578)</f>
        <v/>
      </c>
      <c r="D366" s="55">
        <f>SUMIFS(tbl_WIP[Amount],tbl_WIP[Job Number],$A366,tbl_WIP[Month],$C$4)+SUMIF('Deferred Revenue'!$E$6:$E$578,$A366,'Deferred Revenue'!$Q$6:$Q$578)</f>
        <v/>
      </c>
      <c r="E366" s="55">
        <f>C366+D366</f>
        <v/>
      </c>
      <c r="F366" s="56">
        <f>IF(ROUND(C366,2)+ROUND(D366,2)=0,"","yes")</f>
        <v/>
      </c>
      <c r="G366" s="57" t="n"/>
      <c r="H366" s="55">
        <f>IF($G366="","",$E366-$G366)</f>
        <v/>
      </c>
    </row>
    <row r="367">
      <c r="A367" s="54" t="inlineStr">
        <is>
          <t>2879</t>
        </is>
      </c>
      <c r="B367" s="54" t="inlineStr">
        <is>
          <t>ONS Ricoh-QANTAS (non-chgble)</t>
        </is>
      </c>
      <c r="C367" s="55">
        <f>SUMIFS(tbl_WIP[Amount],tbl_WIP[Job Number],$A367,tbl_WIP[Month],"&lt;&gt;",tbl_WIP[Month],"&lt;"&amp;$C$4)+SUMIF('Deferred Revenue'!$E$6:$E$578,$A367,'Deferred Revenue'!$P$6:$P$578)</f>
        <v/>
      </c>
      <c r="D367" s="55">
        <f>SUMIFS(tbl_WIP[Amount],tbl_WIP[Job Number],$A367,tbl_WIP[Month],$C$4)+SUMIF('Deferred Revenue'!$E$6:$E$578,$A367,'Deferred Revenue'!$Q$6:$Q$578)</f>
        <v/>
      </c>
      <c r="E367" s="55">
        <f>C367+D367</f>
        <v/>
      </c>
      <c r="F367" s="56">
        <f>IF(ROUND(C367,2)+ROUND(D367,2)=0,"","yes")</f>
        <v/>
      </c>
      <c r="G367" s="57" t="n"/>
      <c r="H367" s="55">
        <f>IF($G367="","",$E367-$G367)</f>
        <v/>
      </c>
    </row>
    <row r="368">
      <c r="A368" s="54" t="inlineStr">
        <is>
          <t>2880</t>
        </is>
      </c>
      <c r="B368" s="54" t="inlineStr">
        <is>
          <t>Ricoh - QANTAS</t>
        </is>
      </c>
      <c r="C368" s="55">
        <f>SUMIFS(tbl_WIP[Amount],tbl_WIP[Job Number],$A368,tbl_WIP[Month],"&lt;&gt;",tbl_WIP[Month],"&lt;"&amp;$C$4)+SUMIF('Deferred Revenue'!$E$6:$E$578,$A368,'Deferred Revenue'!$P$6:$P$578)</f>
        <v/>
      </c>
      <c r="D368" s="55">
        <f>SUMIFS(tbl_WIP[Amount],tbl_WIP[Job Number],$A368,tbl_WIP[Month],$C$4)+SUMIF('Deferred Revenue'!$E$6:$E$578,$A368,'Deferred Revenue'!$Q$6:$Q$578)</f>
        <v/>
      </c>
      <c r="E368" s="55">
        <f>C368+D368</f>
        <v/>
      </c>
      <c r="F368" s="56">
        <f>IF(ROUND(C368,2)+ROUND(D368,2)=0,"","yes")</f>
        <v/>
      </c>
      <c r="G368" s="57" t="n"/>
      <c r="H368" s="55">
        <f>IF($G368="","",$E368-$G368)</f>
        <v/>
      </c>
    </row>
    <row r="369">
      <c r="A369" s="54" t="inlineStr">
        <is>
          <t>2892</t>
        </is>
      </c>
      <c r="B369" s="54" t="inlineStr">
        <is>
          <t>JP Morgan Onsite Tech</t>
        </is>
      </c>
      <c r="C369" s="55">
        <f>SUMIFS(tbl_WIP[Amount],tbl_WIP[Job Number],$A369,tbl_WIP[Month],"&lt;&gt;",tbl_WIP[Month],"&lt;"&amp;$C$4)+SUMIF('Deferred Revenue'!$E$6:$E$578,$A369,'Deferred Revenue'!$P$6:$P$578)</f>
        <v/>
      </c>
      <c r="D369" s="55">
        <f>SUMIFS(tbl_WIP[Amount],tbl_WIP[Job Number],$A369,tbl_WIP[Month],$C$4)+SUMIF('Deferred Revenue'!$E$6:$E$578,$A369,'Deferred Revenue'!$Q$6:$Q$578)</f>
        <v/>
      </c>
      <c r="E369" s="55">
        <f>C369+D369</f>
        <v/>
      </c>
      <c r="F369" s="56">
        <f>IF(ROUND(C369,2)+ROUND(D369,2)=0,"","yes")</f>
        <v/>
      </c>
      <c r="G369" s="57" t="n"/>
      <c r="H369" s="55">
        <f>IF($G369="","",$E369-$G369)</f>
        <v/>
      </c>
    </row>
    <row r="370">
      <c r="A370" s="54" t="inlineStr">
        <is>
          <t>2896</t>
        </is>
      </c>
      <c r="B370" s="54" t="inlineStr">
        <is>
          <t>ONS KPMG (non-chargeable)</t>
        </is>
      </c>
      <c r="C370" s="55">
        <f>SUMIFS(tbl_WIP[Amount],tbl_WIP[Job Number],$A370,tbl_WIP[Month],"&lt;&gt;",tbl_WIP[Month],"&lt;"&amp;$C$4)+SUMIF('Deferred Revenue'!$E$6:$E$578,$A370,'Deferred Revenue'!$P$6:$P$578)</f>
        <v/>
      </c>
      <c r="D370" s="55">
        <f>SUMIFS(tbl_WIP[Amount],tbl_WIP[Job Number],$A370,tbl_WIP[Month],$C$4)+SUMIF('Deferred Revenue'!$E$6:$E$578,$A370,'Deferred Revenue'!$Q$6:$Q$578)</f>
        <v/>
      </c>
      <c r="E370" s="55">
        <f>C370+D370</f>
        <v/>
      </c>
      <c r="F370" s="56">
        <f>IF(ROUND(C370,2)+ROUND(D370,2)=0,"","yes")</f>
        <v/>
      </c>
      <c r="G370" s="57" t="n"/>
      <c r="H370" s="55">
        <f>IF($G370="","",$E370-$G370)</f>
        <v/>
      </c>
    </row>
    <row r="371">
      <c r="A371" s="54" t="inlineStr">
        <is>
          <t>2897</t>
        </is>
      </c>
      <c r="B371" s="54" t="inlineStr">
        <is>
          <t>ONS JPM (non-chargeable)</t>
        </is>
      </c>
      <c r="C371" s="55">
        <f>SUMIFS(tbl_WIP[Amount],tbl_WIP[Job Number],$A371,tbl_WIP[Month],"&lt;&gt;",tbl_WIP[Month],"&lt;"&amp;$C$4)+SUMIF('Deferred Revenue'!$E$6:$E$578,$A371,'Deferred Revenue'!$P$6:$P$578)</f>
        <v/>
      </c>
      <c r="D371" s="55">
        <f>SUMIFS(tbl_WIP[Amount],tbl_WIP[Job Number],$A371,tbl_WIP[Month],$C$4)+SUMIF('Deferred Revenue'!$E$6:$E$578,$A371,'Deferred Revenue'!$Q$6:$Q$578)</f>
        <v/>
      </c>
      <c r="E371" s="55">
        <f>C371+D371</f>
        <v/>
      </c>
      <c r="F371" s="56">
        <f>IF(ROUND(C371,2)+ROUND(D371,2)=0,"","yes")</f>
        <v/>
      </c>
      <c r="G371" s="57" t="n"/>
      <c r="H371" s="55">
        <f>IF($G371="","",$E371-$G371)</f>
        <v/>
      </c>
    </row>
    <row r="372">
      <c r="A372" s="54" t="inlineStr">
        <is>
          <t>2900</t>
        </is>
      </c>
      <c r="B372" s="54" t="inlineStr">
        <is>
          <t>ONS Ammacus-Woolworths (non-chargeable)</t>
        </is>
      </c>
      <c r="C372" s="55">
        <f>SUMIFS(tbl_WIP[Amount],tbl_WIP[Job Number],$A372,tbl_WIP[Month],"&lt;&gt;",tbl_WIP[Month],"&lt;"&amp;$C$4)+SUMIF('Deferred Revenue'!$E$6:$E$578,$A372,'Deferred Revenue'!$P$6:$P$578)</f>
        <v/>
      </c>
      <c r="D372" s="55">
        <f>SUMIFS(tbl_WIP[Amount],tbl_WIP[Job Number],$A372,tbl_WIP[Month],$C$4)+SUMIF('Deferred Revenue'!$E$6:$E$578,$A372,'Deferred Revenue'!$Q$6:$Q$578)</f>
        <v/>
      </c>
      <c r="E372" s="55">
        <f>C372+D372</f>
        <v/>
      </c>
      <c r="F372" s="56">
        <f>IF(ROUND(C372,2)+ROUND(D372,2)=0,"","yes")</f>
        <v/>
      </c>
      <c r="G372" s="57" t="n"/>
      <c r="H372" s="55">
        <f>IF($G372="","",$E372-$G372)</f>
        <v/>
      </c>
    </row>
    <row r="373">
      <c r="A373" s="54" t="inlineStr">
        <is>
          <t>2906</t>
        </is>
      </c>
      <c r="B373" s="54" t="inlineStr">
        <is>
          <t>KPMG BNE Tech</t>
        </is>
      </c>
      <c r="C373" s="55">
        <f>SUMIFS(tbl_WIP[Amount],tbl_WIP[Job Number],$A373,tbl_WIP[Month],"&lt;&gt;",tbl_WIP[Month],"&lt;"&amp;$C$4)+SUMIF('Deferred Revenue'!$E$6:$E$578,$A373,'Deferred Revenue'!$P$6:$P$578)</f>
        <v/>
      </c>
      <c r="D373" s="55">
        <f>SUMIFS(tbl_WIP[Amount],tbl_WIP[Job Number],$A373,tbl_WIP[Month],$C$4)+SUMIF('Deferred Revenue'!$E$6:$E$578,$A373,'Deferred Revenue'!$Q$6:$Q$578)</f>
        <v/>
      </c>
      <c r="E373" s="55">
        <f>C373+D373</f>
        <v/>
      </c>
      <c r="F373" s="56">
        <f>IF(ROUND(C373,2)+ROUND(D373,2)=0,"","yes")</f>
        <v/>
      </c>
      <c r="G373" s="57" t="n"/>
      <c r="H373" s="55">
        <f>IF($G373="","",$E373-$G373)</f>
        <v/>
      </c>
    </row>
    <row r="374">
      <c r="A374" s="54" t="inlineStr">
        <is>
          <t>2907</t>
        </is>
      </c>
      <c r="B374" s="54" t="inlineStr">
        <is>
          <t>Ammacus-Woolworths Tech</t>
        </is>
      </c>
      <c r="C374" s="55">
        <f>SUMIFS(tbl_WIP[Amount],tbl_WIP[Job Number],$A374,tbl_WIP[Month],"&lt;&gt;",tbl_WIP[Month],"&lt;"&amp;$C$4)+SUMIF('Deferred Revenue'!$E$6:$E$578,$A374,'Deferred Revenue'!$P$6:$P$578)</f>
        <v/>
      </c>
      <c r="D374" s="55">
        <f>SUMIFS(tbl_WIP[Amount],tbl_WIP[Job Number],$A374,tbl_WIP[Month],$C$4)+SUMIF('Deferred Revenue'!$E$6:$E$578,$A374,'Deferred Revenue'!$Q$6:$Q$578)</f>
        <v/>
      </c>
      <c r="E374" s="55">
        <f>C374+D374</f>
        <v/>
      </c>
      <c r="F374" s="56">
        <f>IF(ROUND(C374,2)+ROUND(D374,2)=0,"","yes")</f>
        <v/>
      </c>
      <c r="G374" s="57" t="n"/>
      <c r="H374" s="55">
        <f>IF($G374="","",$E374-$G374)</f>
        <v/>
      </c>
    </row>
    <row r="375">
      <c r="A375" s="54" t="inlineStr">
        <is>
          <t>2910</t>
        </is>
      </c>
      <c r="B375" s="54" t="inlineStr">
        <is>
          <t>Office Move 2024</t>
        </is>
      </c>
      <c r="C375" s="55">
        <f>SUMIFS(tbl_WIP[Amount],tbl_WIP[Job Number],$A375,tbl_WIP[Month],"&lt;&gt;",tbl_WIP[Month],"&lt;"&amp;$C$4)+SUMIF('Deferred Revenue'!$E$6:$E$578,$A375,'Deferred Revenue'!$P$6:$P$578)</f>
        <v/>
      </c>
      <c r="D375" s="55">
        <f>SUMIFS(tbl_WIP[Amount],tbl_WIP[Job Number],$A375,tbl_WIP[Month],$C$4)+SUMIF('Deferred Revenue'!$E$6:$E$578,$A375,'Deferred Revenue'!$Q$6:$Q$578)</f>
        <v/>
      </c>
      <c r="E375" s="55">
        <f>C375+D375</f>
        <v/>
      </c>
      <c r="F375" s="56">
        <f>IF(ROUND(C375,2)+ROUND(D375,2)=0,"","yes")</f>
        <v/>
      </c>
      <c r="G375" s="57" t="n"/>
      <c r="H375" s="55">
        <f>IF($G375="","",$E375-$G375)</f>
        <v/>
      </c>
    </row>
    <row r="376">
      <c r="A376" s="54" t="inlineStr">
        <is>
          <t>2977</t>
        </is>
      </c>
      <c r="B376" s="54" t="inlineStr">
        <is>
          <t>St Catherine's School (CONS)</t>
        </is>
      </c>
      <c r="C376" s="55">
        <f>SUMIFS(tbl_WIP[Amount],tbl_WIP[Job Number],$A376,tbl_WIP[Month],"&lt;&gt;",tbl_WIP[Month],"&lt;"&amp;$C$4)+SUMIF('Deferred Revenue'!$E$6:$E$578,$A376,'Deferred Revenue'!$P$6:$P$578)</f>
        <v/>
      </c>
      <c r="D376" s="55">
        <f>SUMIFS(tbl_WIP[Amount],tbl_WIP[Job Number],$A376,tbl_WIP[Month],$C$4)+SUMIF('Deferred Revenue'!$E$6:$E$578,$A376,'Deferred Revenue'!$Q$6:$Q$578)</f>
        <v/>
      </c>
      <c r="E376" s="55">
        <f>C376+D376</f>
        <v/>
      </c>
      <c r="F376" s="56">
        <f>IF(ROUND(C376,2)+ROUND(D376,2)=0,"","yes")</f>
        <v/>
      </c>
      <c r="G376" s="57" t="n"/>
      <c r="H376" s="55">
        <f>IF($G376="","",$E376-$G376)</f>
        <v/>
      </c>
    </row>
    <row r="377">
      <c r="A377" s="54" t="inlineStr">
        <is>
          <t>3014</t>
        </is>
      </c>
      <c r="B377" s="54" t="inlineStr">
        <is>
          <t>ONS Ricoh/Campari (Chargeable)</t>
        </is>
      </c>
      <c r="C377" s="55">
        <f>SUMIFS(tbl_WIP[Amount],tbl_WIP[Job Number],$A377,tbl_WIP[Month],"&lt;&gt;",tbl_WIP[Month],"&lt;"&amp;$C$4)+SUMIF('Deferred Revenue'!$E$6:$E$578,$A377,'Deferred Revenue'!$P$6:$P$578)</f>
        <v/>
      </c>
      <c r="D377" s="55">
        <f>SUMIFS(tbl_WIP[Amount],tbl_WIP[Job Number],$A377,tbl_WIP[Month],$C$4)+SUMIF('Deferred Revenue'!$E$6:$E$578,$A377,'Deferred Revenue'!$Q$6:$Q$578)</f>
        <v/>
      </c>
      <c r="E377" s="55">
        <f>C377+D377</f>
        <v/>
      </c>
      <c r="F377" s="56">
        <f>IF(ROUND(C377,2)+ROUND(D377,2)=0,"","yes")</f>
        <v/>
      </c>
      <c r="G377" s="57" t="n"/>
      <c r="H377" s="55">
        <f>IF($G377="","",$E377-$G377)</f>
        <v/>
      </c>
    </row>
    <row r="378">
      <c r="A378" s="54" t="inlineStr">
        <is>
          <t>3015</t>
        </is>
      </c>
      <c r="B378" s="54" t="inlineStr">
        <is>
          <t>ONS Ricoh/Campari (Non Chgble)</t>
        </is>
      </c>
      <c r="C378" s="55">
        <f>SUMIFS(tbl_WIP[Amount],tbl_WIP[Job Number],$A378,tbl_WIP[Month],"&lt;&gt;",tbl_WIP[Month],"&lt;"&amp;$C$4)+SUMIF('Deferred Revenue'!$E$6:$E$578,$A378,'Deferred Revenue'!$P$6:$P$578)</f>
        <v/>
      </c>
      <c r="D378" s="55">
        <f>SUMIFS(tbl_WIP[Amount],tbl_WIP[Job Number],$A378,tbl_WIP[Month],$C$4)+SUMIF('Deferred Revenue'!$E$6:$E$578,$A378,'Deferred Revenue'!$Q$6:$Q$578)</f>
        <v/>
      </c>
      <c r="E378" s="55">
        <f>C378+D378</f>
        <v/>
      </c>
      <c r="F378" s="56">
        <f>IF(ROUND(C378,2)+ROUND(D378,2)=0,"","yes")</f>
        <v/>
      </c>
      <c r="G378" s="57" t="n"/>
      <c r="H378" s="55">
        <f>IF($G378="","",$E378-$G378)</f>
        <v/>
      </c>
    </row>
    <row r="379">
      <c r="A379" s="54" t="inlineStr">
        <is>
          <t>3027</t>
        </is>
      </c>
      <c r="B379" s="54" t="inlineStr">
        <is>
          <t>DPIE Elizabeth St Booking</t>
        </is>
      </c>
      <c r="C379" s="55">
        <f>SUMIFS(tbl_WIP[Amount],tbl_WIP[Job Number],$A379,tbl_WIP[Month],"&lt;&gt;",tbl_WIP[Month],"&lt;"&amp;$C$4)+SUMIF('Deferred Revenue'!$E$6:$E$578,$A379,'Deferred Revenue'!$P$6:$P$578)</f>
        <v/>
      </c>
      <c r="D379" s="55">
        <f>SUMIFS(tbl_WIP[Amount],tbl_WIP[Job Number],$A379,tbl_WIP[Month],$C$4)+SUMIF('Deferred Revenue'!$E$6:$E$578,$A379,'Deferred Revenue'!$Q$6:$Q$578)</f>
        <v/>
      </c>
      <c r="E379" s="55">
        <f>C379+D379</f>
        <v/>
      </c>
      <c r="F379" s="56">
        <f>IF(ROUND(C379,2)+ROUND(D379,2)=0,"","yes")</f>
        <v/>
      </c>
      <c r="G379" s="57" t="n"/>
      <c r="H379" s="55">
        <f>IF($G379="","",$E379-$G379)</f>
        <v/>
      </c>
    </row>
    <row r="380">
      <c r="A380" s="54" t="inlineStr">
        <is>
          <t>3028</t>
        </is>
      </c>
      <c r="B380" s="54" t="inlineStr">
        <is>
          <t>APA Kidman Park VMS</t>
        </is>
      </c>
      <c r="C380" s="55">
        <f>SUMIFS(tbl_WIP[Amount],tbl_WIP[Job Number],$A380,tbl_WIP[Month],"&lt;&gt;",tbl_WIP[Month],"&lt;"&amp;$C$4)+SUMIF('Deferred Revenue'!$E$6:$E$578,$A380,'Deferred Revenue'!$P$6:$P$578)</f>
        <v/>
      </c>
      <c r="D380" s="55">
        <f>SUMIFS(tbl_WIP[Amount],tbl_WIP[Job Number],$A380,tbl_WIP[Month],$C$4)+SUMIF('Deferred Revenue'!$E$6:$E$578,$A380,'Deferred Revenue'!$Q$6:$Q$578)</f>
        <v/>
      </c>
      <c r="E380" s="55">
        <f>C380+D380</f>
        <v/>
      </c>
      <c r="F380" s="56">
        <f>IF(ROUND(C380,2)+ROUND(D380,2)=0,"","yes")</f>
        <v/>
      </c>
      <c r="G380" s="57" t="n"/>
      <c r="H380" s="55">
        <f>IF($G380="","",$E380-$G380)</f>
        <v/>
      </c>
    </row>
    <row r="381">
      <c r="A381" s="54" t="inlineStr">
        <is>
          <t>3034</t>
        </is>
      </c>
      <c r="B381" s="54" t="inlineStr">
        <is>
          <t>ARUP ONS (non-chargeable)</t>
        </is>
      </c>
      <c r="C381" s="55">
        <f>SUMIFS(tbl_WIP[Amount],tbl_WIP[Job Number],$A381,tbl_WIP[Month],"&lt;&gt;",tbl_WIP[Month],"&lt;"&amp;$C$4)+SUMIF('Deferred Revenue'!$E$6:$E$578,$A381,'Deferred Revenue'!$P$6:$P$578)</f>
        <v/>
      </c>
      <c r="D381" s="55">
        <f>SUMIFS(tbl_WIP[Amount],tbl_WIP[Job Number],$A381,tbl_WIP[Month],$C$4)+SUMIF('Deferred Revenue'!$E$6:$E$578,$A381,'Deferred Revenue'!$Q$6:$Q$578)</f>
        <v/>
      </c>
      <c r="E381" s="55">
        <f>C381+D381</f>
        <v/>
      </c>
      <c r="F381" s="56">
        <f>IF(ROUND(C381,2)+ROUND(D381,2)=0,"","yes")</f>
        <v/>
      </c>
      <c r="G381" s="57" t="n"/>
      <c r="H381" s="55">
        <f>IF($G381="","",$E381-$G381)</f>
        <v/>
      </c>
    </row>
    <row r="382">
      <c r="A382" s="54" t="inlineStr">
        <is>
          <t>3035</t>
        </is>
      </c>
      <c r="B382" s="54" t="inlineStr">
        <is>
          <t>ARUP ONS National (Chargeable)</t>
        </is>
      </c>
      <c r="C382" s="55">
        <f>SUMIFS(tbl_WIP[Amount],tbl_WIP[Job Number],$A382,tbl_WIP[Month],"&lt;&gt;",tbl_WIP[Month],"&lt;"&amp;$C$4)+SUMIF('Deferred Revenue'!$E$6:$E$578,$A382,'Deferred Revenue'!$P$6:$P$578)</f>
        <v/>
      </c>
      <c r="D382" s="55">
        <f>SUMIFS(tbl_WIP[Amount],tbl_WIP[Job Number],$A382,tbl_WIP[Month],$C$4)+SUMIF('Deferred Revenue'!$E$6:$E$578,$A382,'Deferred Revenue'!$Q$6:$Q$578)</f>
        <v/>
      </c>
      <c r="E382" s="55">
        <f>C382+D382</f>
        <v/>
      </c>
      <c r="F382" s="56">
        <f>IF(ROUND(C382,2)+ROUND(D382,2)=0,"","yes")</f>
        <v/>
      </c>
      <c r="G382" s="57" t="n"/>
      <c r="H382" s="55">
        <f>IF($G382="","",$E382-$G382)</f>
        <v/>
      </c>
    </row>
    <row r="383">
      <c r="A383" s="54" t="inlineStr">
        <is>
          <t>3040</t>
        </is>
      </c>
      <c r="B383" s="54" t="inlineStr">
        <is>
          <t>Corrs MELB Office Reloc</t>
        </is>
      </c>
      <c r="C383" s="55">
        <f>SUMIFS(tbl_WIP[Amount],tbl_WIP[Job Number],$A383,tbl_WIP[Month],"&lt;&gt;",tbl_WIP[Month],"&lt;"&amp;$C$4)+SUMIF('Deferred Revenue'!$E$6:$E$578,$A383,'Deferred Revenue'!$P$6:$P$578)</f>
        <v/>
      </c>
      <c r="D383" s="55">
        <f>SUMIFS(tbl_WIP[Amount],tbl_WIP[Job Number],$A383,tbl_WIP[Month],$C$4)+SUMIF('Deferred Revenue'!$E$6:$E$578,$A383,'Deferred Revenue'!$Q$6:$Q$578)</f>
        <v/>
      </c>
      <c r="E383" s="55">
        <f>C383+D383</f>
        <v/>
      </c>
      <c r="F383" s="56">
        <f>IF(ROUND(C383,2)+ROUND(D383,2)=0,"","yes")</f>
        <v/>
      </c>
      <c r="G383" s="57" t="n"/>
      <c r="H383" s="55">
        <f>IF($G383="","",$E383-$G383)</f>
        <v/>
      </c>
    </row>
    <row r="384">
      <c r="A384" s="54" t="inlineStr">
        <is>
          <t>3042</t>
        </is>
      </c>
      <c r="B384" s="54" t="inlineStr">
        <is>
          <t>Corrs-PER Office Reloc</t>
        </is>
      </c>
      <c r="C384" s="55">
        <f>SUMIFS(tbl_WIP[Amount],tbl_WIP[Job Number],$A384,tbl_WIP[Month],"&lt;&gt;",tbl_WIP[Month],"&lt;"&amp;$C$4)+SUMIF('Deferred Revenue'!$E$6:$E$578,$A384,'Deferred Revenue'!$P$6:$P$578)</f>
        <v/>
      </c>
      <c r="D384" s="55">
        <f>SUMIFS(tbl_WIP[Amount],tbl_WIP[Job Number],$A384,tbl_WIP[Month],$C$4)+SUMIF('Deferred Revenue'!$E$6:$E$578,$A384,'Deferred Revenue'!$Q$6:$Q$578)</f>
        <v/>
      </c>
      <c r="E384" s="55">
        <f>C384+D384</f>
        <v/>
      </c>
      <c r="F384" s="56">
        <f>IF(ROUND(C384,2)+ROUND(D384,2)=0,"","yes")</f>
        <v/>
      </c>
      <c r="G384" s="57" t="n"/>
      <c r="H384" s="55">
        <f>IF($G384="","",$E384-$G384)</f>
        <v/>
      </c>
    </row>
    <row r="385">
      <c r="A385" s="54" t="inlineStr">
        <is>
          <t>3046</t>
        </is>
      </c>
      <c r="B385" s="54" t="inlineStr">
        <is>
          <t>Stone&amp;Chalk ONS [chargeable]</t>
        </is>
      </c>
      <c r="C385" s="55">
        <f>SUMIFS(tbl_WIP[Amount],tbl_WIP[Job Number],$A385,tbl_WIP[Month],"&lt;&gt;",tbl_WIP[Month],"&lt;"&amp;$C$4)+SUMIF('Deferred Revenue'!$E$6:$E$578,$A385,'Deferred Revenue'!$P$6:$P$578)</f>
        <v/>
      </c>
      <c r="D385" s="55">
        <f>SUMIFS(tbl_WIP[Amount],tbl_WIP[Job Number],$A385,tbl_WIP[Month],$C$4)+SUMIF('Deferred Revenue'!$E$6:$E$578,$A385,'Deferred Revenue'!$Q$6:$Q$578)</f>
        <v/>
      </c>
      <c r="E385" s="55">
        <f>C385+D385</f>
        <v/>
      </c>
      <c r="F385" s="56">
        <f>IF(ROUND(C385,2)+ROUND(D385,2)=0,"","yes")</f>
        <v/>
      </c>
      <c r="G385" s="57" t="n"/>
      <c r="H385" s="55">
        <f>IF($G385="","",$E385-$G385)</f>
        <v/>
      </c>
    </row>
    <row r="386">
      <c r="A386" s="54" t="inlineStr">
        <is>
          <t>3047</t>
        </is>
      </c>
      <c r="B386" s="54" t="inlineStr">
        <is>
          <t>Stone&amp;Chalk ONS [non-chargable]</t>
        </is>
      </c>
      <c r="C386" s="55">
        <f>SUMIFS(tbl_WIP[Amount],tbl_WIP[Job Number],$A386,tbl_WIP[Month],"&lt;&gt;",tbl_WIP[Month],"&lt;"&amp;$C$4)+SUMIF('Deferred Revenue'!$E$6:$E$578,$A386,'Deferred Revenue'!$P$6:$P$578)</f>
        <v/>
      </c>
      <c r="D386" s="55">
        <f>SUMIFS(tbl_WIP[Amount],tbl_WIP[Job Number],$A386,tbl_WIP[Month],$C$4)+SUMIF('Deferred Revenue'!$E$6:$E$578,$A386,'Deferred Revenue'!$Q$6:$Q$578)</f>
        <v/>
      </c>
      <c r="E386" s="55">
        <f>C386+D386</f>
        <v/>
      </c>
      <c r="F386" s="56">
        <f>IF(ROUND(C386,2)+ROUND(D386,2)=0,"","yes")</f>
        <v/>
      </c>
      <c r="G386" s="57" t="n"/>
      <c r="H386" s="55">
        <f>IF($G386="","",$E386-$G386)</f>
        <v/>
      </c>
    </row>
    <row r="387">
      <c r="A387" s="54" t="inlineStr">
        <is>
          <t>3048</t>
        </is>
      </c>
      <c r="B387" s="54" t="inlineStr">
        <is>
          <t>Stone &amp; Chalk Audit 2</t>
        </is>
      </c>
      <c r="C387" s="55">
        <f>SUMIFS(tbl_WIP[Amount],tbl_WIP[Job Number],$A387,tbl_WIP[Month],"&lt;&gt;",tbl_WIP[Month],"&lt;"&amp;$C$4)+SUMIF('Deferred Revenue'!$E$6:$E$578,$A387,'Deferred Revenue'!$P$6:$P$578)</f>
        <v/>
      </c>
      <c r="D387" s="55">
        <f>SUMIFS(tbl_WIP[Amount],tbl_WIP[Job Number],$A387,tbl_WIP[Month],$C$4)+SUMIF('Deferred Revenue'!$E$6:$E$578,$A387,'Deferred Revenue'!$Q$6:$Q$578)</f>
        <v/>
      </c>
      <c r="E387" s="55">
        <f>C387+D387</f>
        <v/>
      </c>
      <c r="F387" s="56">
        <f>IF(ROUND(C387,2)+ROUND(D387,2)=0,"","yes")</f>
        <v/>
      </c>
      <c r="G387" s="57" t="n"/>
      <c r="H387" s="55">
        <f>IF($G387="","",$E387-$G387)</f>
        <v/>
      </c>
    </row>
    <row r="388">
      <c r="A388" s="54" t="inlineStr">
        <is>
          <t>3056</t>
        </is>
      </c>
      <c r="B388" s="54" t="inlineStr">
        <is>
          <t>AusPayNet Onsite [Chargeable]</t>
        </is>
      </c>
      <c r="C388" s="55">
        <f>SUMIFS(tbl_WIP[Amount],tbl_WIP[Job Number],$A388,tbl_WIP[Month],"&lt;&gt;",tbl_WIP[Month],"&lt;"&amp;$C$4)+SUMIF('Deferred Revenue'!$E$6:$E$578,$A388,'Deferred Revenue'!$P$6:$P$578)</f>
        <v/>
      </c>
      <c r="D388" s="55">
        <f>SUMIFS(tbl_WIP[Amount],tbl_WIP[Job Number],$A388,tbl_WIP[Month],$C$4)+SUMIF('Deferred Revenue'!$E$6:$E$578,$A388,'Deferred Revenue'!$Q$6:$Q$578)</f>
        <v/>
      </c>
      <c r="E388" s="55">
        <f>C388+D388</f>
        <v/>
      </c>
      <c r="F388" s="56">
        <f>IF(ROUND(C388,2)+ROUND(D388,2)=0,"","yes")</f>
        <v/>
      </c>
      <c r="G388" s="57" t="n"/>
      <c r="H388" s="55">
        <f>IF($G388="","",$E388-$G388)</f>
        <v/>
      </c>
    </row>
    <row r="389">
      <c r="A389" s="54" t="inlineStr">
        <is>
          <t>3057</t>
        </is>
      </c>
      <c r="B389" s="54" t="inlineStr">
        <is>
          <t>AusPayNet ONS[Non-Chargeable]</t>
        </is>
      </c>
      <c r="C389" s="55">
        <f>SUMIFS(tbl_WIP[Amount],tbl_WIP[Job Number],$A389,tbl_WIP[Month],"&lt;&gt;",tbl_WIP[Month],"&lt;"&amp;$C$4)+SUMIF('Deferred Revenue'!$E$6:$E$578,$A389,'Deferred Revenue'!$P$6:$P$578)</f>
        <v/>
      </c>
      <c r="D389" s="55">
        <f>SUMIFS(tbl_WIP[Amount],tbl_WIP[Job Number],$A389,tbl_WIP[Month],$C$4)+SUMIF('Deferred Revenue'!$E$6:$E$578,$A389,'Deferred Revenue'!$Q$6:$Q$578)</f>
        <v/>
      </c>
      <c r="E389" s="55">
        <f>C389+D389</f>
        <v/>
      </c>
      <c r="F389" s="56">
        <f>IF(ROUND(C389,2)+ROUND(D389,2)=0,"","yes")</f>
        <v/>
      </c>
      <c r="G389" s="57" t="n"/>
      <c r="H389" s="55">
        <f>IF($G389="","",$E389-$G389)</f>
        <v/>
      </c>
    </row>
    <row r="390">
      <c r="A390" s="54" t="inlineStr">
        <is>
          <t>3059</t>
        </is>
      </c>
      <c r="B390" s="54" t="inlineStr">
        <is>
          <t>CBA AGM 2025</t>
        </is>
      </c>
      <c r="C390" s="55">
        <f>SUMIFS(tbl_WIP[Amount],tbl_WIP[Job Number],$A390,tbl_WIP[Month],"&lt;&gt;",tbl_WIP[Month],"&lt;"&amp;$C$4)+SUMIF('Deferred Revenue'!$E$6:$E$578,$A390,'Deferred Revenue'!$P$6:$P$578)</f>
        <v/>
      </c>
      <c r="D390" s="55">
        <f>SUMIFS(tbl_WIP[Amount],tbl_WIP[Job Number],$A390,tbl_WIP[Month],$C$4)+SUMIF('Deferred Revenue'!$E$6:$E$578,$A390,'Deferred Revenue'!$Q$6:$Q$578)</f>
        <v/>
      </c>
      <c r="E390" s="55">
        <f>C390+D390</f>
        <v/>
      </c>
      <c r="F390" s="56">
        <f>IF(ROUND(C390,2)+ROUND(D390,2)=0,"","yes")</f>
        <v/>
      </c>
      <c r="G390" s="57" t="n"/>
      <c r="H390" s="55">
        <f>IF($G390="","",$E390-$G390)</f>
        <v/>
      </c>
    </row>
    <row r="391">
      <c r="A391" s="54" t="inlineStr">
        <is>
          <t>3068</t>
        </is>
      </c>
      <c r="B391" s="54" t="inlineStr">
        <is>
          <t>DPIE Pitt and Penrith</t>
        </is>
      </c>
      <c r="C391" s="55">
        <f>SUMIFS(tbl_WIP[Amount],tbl_WIP[Job Number],$A391,tbl_WIP[Month],"&lt;&gt;",tbl_WIP[Month],"&lt;"&amp;$C$4)+SUMIF('Deferred Revenue'!$E$6:$E$578,$A391,'Deferred Revenue'!$P$6:$P$578)</f>
        <v/>
      </c>
      <c r="D391" s="55">
        <f>SUMIFS(tbl_WIP[Amount],tbl_WIP[Job Number],$A391,tbl_WIP[Month],$C$4)+SUMIF('Deferred Revenue'!$E$6:$E$578,$A391,'Deferred Revenue'!$Q$6:$Q$578)</f>
        <v/>
      </c>
      <c r="E391" s="55">
        <f>C391+D391</f>
        <v/>
      </c>
      <c r="F391" s="56">
        <f>IF(ROUND(C391,2)+ROUND(D391,2)=0,"","yes")</f>
        <v/>
      </c>
      <c r="G391" s="57" t="n"/>
      <c r="H391" s="55">
        <f>IF($G391="","",$E391-$G391)</f>
        <v/>
      </c>
    </row>
    <row r="392">
      <c r="A392" s="54" t="inlineStr">
        <is>
          <t>3072</t>
        </is>
      </c>
      <c r="B392" s="54" t="inlineStr">
        <is>
          <t>APA Thomastown</t>
        </is>
      </c>
      <c r="C392" s="55">
        <f>SUMIFS(tbl_WIP[Amount],tbl_WIP[Job Number],$A392,tbl_WIP[Month],"&lt;&gt;",tbl_WIP[Month],"&lt;"&amp;$C$4)+SUMIF('Deferred Revenue'!$E$6:$E$578,$A392,'Deferred Revenue'!$P$6:$P$578)</f>
        <v/>
      </c>
      <c r="D392" s="55">
        <f>SUMIFS(tbl_WIP[Amount],tbl_WIP[Job Number],$A392,tbl_WIP[Month],$C$4)+SUMIF('Deferred Revenue'!$E$6:$E$578,$A392,'Deferred Revenue'!$Q$6:$Q$578)</f>
        <v/>
      </c>
      <c r="E392" s="55">
        <f>C392+D392</f>
        <v/>
      </c>
      <c r="F392" s="56">
        <f>IF(ROUND(C392,2)+ROUND(D392,2)=0,"","yes")</f>
        <v/>
      </c>
      <c r="G392" s="57" t="n"/>
      <c r="H392" s="55">
        <f>IF($G392="","",$E392-$G392)</f>
        <v/>
      </c>
    </row>
    <row r="393">
      <c r="A393" s="54" t="inlineStr">
        <is>
          <t>585</t>
        </is>
      </c>
      <c r="B393" s="54" t="inlineStr">
        <is>
          <t>CBA Team Leader</t>
        </is>
      </c>
      <c r="C393" s="55">
        <f>SUMIFS(tbl_WIP[Amount],tbl_WIP[Job Number],$A393,tbl_WIP[Month],"&lt;&gt;",tbl_WIP[Month],"&lt;"&amp;$C$4)+SUMIF('Deferred Revenue'!$E$6:$E$578,$A393,'Deferred Revenue'!$P$6:$P$578)</f>
        <v/>
      </c>
      <c r="D393" s="55">
        <f>SUMIFS(tbl_WIP[Amount],tbl_WIP[Job Number],$A393,tbl_WIP[Month],$C$4)+SUMIF('Deferred Revenue'!$E$6:$E$578,$A393,'Deferred Revenue'!$Q$6:$Q$578)</f>
        <v/>
      </c>
      <c r="E393" s="55">
        <f>C393+D393</f>
        <v/>
      </c>
      <c r="F393" s="56">
        <f>IF(ROUND(C393,2)+ROUND(D393,2)=0,"","yes")</f>
        <v/>
      </c>
      <c r="G393" s="57" t="n"/>
      <c r="H393" s="55">
        <f>IF($G393="","",$E393-$G393)</f>
        <v/>
      </c>
    </row>
    <row r="394">
      <c r="A394" s="54" t="inlineStr">
        <is>
          <t>586</t>
        </is>
      </c>
      <c r="B394" s="54" t="inlineStr">
        <is>
          <t>CBA Tech NP</t>
        </is>
      </c>
      <c r="C394" s="55">
        <f>SUMIFS(tbl_WIP[Amount],tbl_WIP[Job Number],$A394,tbl_WIP[Month],"&lt;&gt;",tbl_WIP[Month],"&lt;"&amp;$C$4)+SUMIF('Deferred Revenue'!$E$6:$E$578,$A394,'Deferred Revenue'!$P$6:$P$578)</f>
        <v/>
      </c>
      <c r="D394" s="55">
        <f>SUMIFS(tbl_WIP[Amount],tbl_WIP[Job Number],$A394,tbl_WIP[Month],$C$4)+SUMIF('Deferred Revenue'!$E$6:$E$578,$A394,'Deferred Revenue'!$Q$6:$Q$578)</f>
        <v/>
      </c>
      <c r="E394" s="55">
        <f>C394+D394</f>
        <v/>
      </c>
      <c r="F394" s="56">
        <f>IF(ROUND(C394,2)+ROUND(D394,2)=0,"","yes")</f>
        <v/>
      </c>
      <c r="G394" s="57" t="n"/>
      <c r="H394" s="55">
        <f>IF($G394="","",$E394-$G394)</f>
        <v/>
      </c>
    </row>
    <row r="395">
      <c r="A395" s="54" t="inlineStr">
        <is>
          <t>587</t>
        </is>
      </c>
      <c r="B395" s="54" t="inlineStr">
        <is>
          <t>CBA Tech TN</t>
        </is>
      </c>
      <c r="C395" s="55">
        <f>SUMIFS(tbl_WIP[Amount],tbl_WIP[Job Number],$A395,tbl_WIP[Month],"&lt;&gt;",tbl_WIP[Month],"&lt;"&amp;$C$4)+SUMIF('Deferred Revenue'!$E$6:$E$578,$A395,'Deferred Revenue'!$P$6:$P$578)</f>
        <v/>
      </c>
      <c r="D395" s="55">
        <f>SUMIFS(tbl_WIP[Amount],tbl_WIP[Job Number],$A395,tbl_WIP[Month],$C$4)+SUMIF('Deferred Revenue'!$E$6:$E$578,$A395,'Deferred Revenue'!$Q$6:$Q$578)</f>
        <v/>
      </c>
      <c r="E395" s="55">
        <f>C395+D395</f>
        <v/>
      </c>
      <c r="F395" s="56">
        <f>IF(ROUND(C395,2)+ROUND(D395,2)=0,"","yes")</f>
        <v/>
      </c>
      <c r="G395" s="57" t="n"/>
      <c r="H395" s="55">
        <f>IF($G395="","",$E395-$G395)</f>
        <v/>
      </c>
    </row>
    <row r="396">
      <c r="A396" s="54" t="inlineStr">
        <is>
          <t>724</t>
        </is>
      </c>
      <c r="B396" s="54" t="inlineStr">
        <is>
          <t>DTTL SYD NTSL</t>
        </is>
      </c>
      <c r="C396" s="55">
        <f>SUMIFS(tbl_WIP[Amount],tbl_WIP[Job Number],$A396,tbl_WIP[Month],"&lt;&gt;",tbl_WIP[Month],"&lt;"&amp;$C$4)+SUMIF('Deferred Revenue'!$E$6:$E$578,$A396,'Deferred Revenue'!$P$6:$P$578)</f>
        <v/>
      </c>
      <c r="D396" s="55">
        <f>SUMIFS(tbl_WIP[Amount],tbl_WIP[Job Number],$A396,tbl_WIP[Month],$C$4)+SUMIF('Deferred Revenue'!$E$6:$E$578,$A396,'Deferred Revenue'!$Q$6:$Q$578)</f>
        <v/>
      </c>
      <c r="E396" s="55">
        <f>C396+D396</f>
        <v/>
      </c>
      <c r="F396" s="56">
        <f>IF(ROUND(C396,2)+ROUND(D396,2)=0,"","yes")</f>
        <v/>
      </c>
      <c r="G396" s="57" t="n"/>
      <c r="H396" s="55">
        <f>IF($G396="","",$E396-$G396)</f>
        <v/>
      </c>
    </row>
    <row r="397">
      <c r="A397" s="54" t="inlineStr">
        <is>
          <t>725</t>
        </is>
      </c>
      <c r="B397" s="54" t="inlineStr">
        <is>
          <t>DTTL Mel Tech FT 1</t>
        </is>
      </c>
      <c r="C397" s="55">
        <f>SUMIFS(tbl_WIP[Amount],tbl_WIP[Job Number],$A397,tbl_WIP[Month],"&lt;&gt;",tbl_WIP[Month],"&lt;"&amp;$C$4)+SUMIF('Deferred Revenue'!$E$6:$E$578,$A397,'Deferred Revenue'!$P$6:$P$578)</f>
        <v/>
      </c>
      <c r="D397" s="55">
        <f>SUMIFS(tbl_WIP[Amount],tbl_WIP[Job Number],$A397,tbl_WIP[Month],$C$4)+SUMIF('Deferred Revenue'!$E$6:$E$578,$A397,'Deferred Revenue'!$Q$6:$Q$578)</f>
        <v/>
      </c>
      <c r="E397" s="55">
        <f>C397+D397</f>
        <v/>
      </c>
      <c r="F397" s="56">
        <f>IF(ROUND(C397,2)+ROUND(D397,2)=0,"","yes")</f>
        <v/>
      </c>
      <c r="G397" s="57" t="n"/>
      <c r="H397" s="55">
        <f>IF($G397="","",$E397-$G397)</f>
        <v/>
      </c>
    </row>
    <row r="398">
      <c r="A398" s="54" t="inlineStr">
        <is>
          <t>729</t>
        </is>
      </c>
      <c r="B398" s="54" t="inlineStr">
        <is>
          <t>DTTL Consulting</t>
        </is>
      </c>
      <c r="C398" s="55">
        <f>SUMIFS(tbl_WIP[Amount],tbl_WIP[Job Number],$A398,tbl_WIP[Month],"&lt;&gt;",tbl_WIP[Month],"&lt;"&amp;$C$4)+SUMIF('Deferred Revenue'!$E$6:$E$578,$A398,'Deferred Revenue'!$P$6:$P$578)</f>
        <v/>
      </c>
      <c r="D398" s="55">
        <f>SUMIFS(tbl_WIP[Amount],tbl_WIP[Job Number],$A398,tbl_WIP[Month],$C$4)+SUMIF('Deferred Revenue'!$E$6:$E$578,$A398,'Deferred Revenue'!$Q$6:$Q$578)</f>
        <v/>
      </c>
      <c r="E398" s="55">
        <f>C398+D398</f>
        <v/>
      </c>
      <c r="F398" s="56">
        <f>IF(ROUND(C398,2)+ROUND(D398,2)=0,"","yes")</f>
        <v/>
      </c>
      <c r="G398" s="57" t="n"/>
      <c r="H398" s="55">
        <f>IF($G398="","",$E398-$G398)</f>
        <v/>
      </c>
    </row>
    <row r="399">
      <c r="A399" s="54" t="inlineStr">
        <is>
          <t>732</t>
        </is>
      </c>
      <c r="B399" s="54" t="inlineStr">
        <is>
          <t>Bank West Contract</t>
        </is>
      </c>
      <c r="C399" s="55">
        <f>SUMIFS(tbl_WIP[Amount],tbl_WIP[Job Number],$A399,tbl_WIP[Month],"&lt;&gt;",tbl_WIP[Month],"&lt;"&amp;$C$4)+SUMIF('Deferred Revenue'!$E$6:$E$578,$A399,'Deferred Revenue'!$P$6:$P$578)</f>
        <v/>
      </c>
      <c r="D399" s="55">
        <f>SUMIFS(tbl_WIP[Amount],tbl_WIP[Job Number],$A399,tbl_WIP[Month],$C$4)+SUMIF('Deferred Revenue'!$E$6:$E$578,$A399,'Deferred Revenue'!$Q$6:$Q$578)</f>
        <v/>
      </c>
      <c r="E399" s="55">
        <f>C399+D399</f>
        <v/>
      </c>
      <c r="F399" s="56">
        <f>IF(ROUND(C399,2)+ROUND(D399,2)=0,"","yes")</f>
        <v/>
      </c>
      <c r="G399" s="57" t="n"/>
      <c r="H399" s="55">
        <f>IF($G399="","",$E399-$G399)</f>
        <v/>
      </c>
    </row>
    <row r="400">
      <c r="A400" s="54" t="inlineStr">
        <is>
          <t>9000</t>
        </is>
      </c>
      <c r="B400" s="54" t="inlineStr">
        <is>
          <t>OFFICE / ADMIN</t>
        </is>
      </c>
      <c r="C400" s="55">
        <f>SUMIFS(tbl_WIP[Amount],tbl_WIP[Job Number],$A400,tbl_WIP[Month],"&lt;&gt;",tbl_WIP[Month],"&lt;"&amp;$C$4)+SUMIF('Deferred Revenue'!$E$6:$E$578,$A400,'Deferred Revenue'!$P$6:$P$578)</f>
        <v/>
      </c>
      <c r="D400" s="55">
        <f>SUMIFS(tbl_WIP[Amount],tbl_WIP[Job Number],$A400,tbl_WIP[Month],$C$4)+SUMIF('Deferred Revenue'!$E$6:$E$578,$A400,'Deferred Revenue'!$Q$6:$Q$578)</f>
        <v/>
      </c>
      <c r="E400" s="55">
        <f>C400+D400</f>
        <v/>
      </c>
      <c r="F400" s="56">
        <f>IF(ROUND(C400,2)+ROUND(D400,2)=0,"","yes")</f>
        <v/>
      </c>
      <c r="G400" s="57" t="n"/>
      <c r="H400" s="55">
        <f>IF($G400="","",$E400-$G400)</f>
        <v/>
      </c>
    </row>
    <row r="401">
      <c r="A401" s="54" t="inlineStr">
        <is>
          <t>9001</t>
        </is>
      </c>
      <c r="B401" s="54" t="inlineStr">
        <is>
          <t>OFFICE/ADMIN Orientation</t>
        </is>
      </c>
      <c r="C401" s="55">
        <f>SUMIFS(tbl_WIP[Amount],tbl_WIP[Job Number],$A401,tbl_WIP[Month],"&lt;&gt;",tbl_WIP[Month],"&lt;"&amp;$C$4)+SUMIF('Deferred Revenue'!$E$6:$E$578,$A401,'Deferred Revenue'!$P$6:$P$578)</f>
        <v/>
      </c>
      <c r="D401" s="55">
        <f>SUMIFS(tbl_WIP[Amount],tbl_WIP[Job Number],$A401,tbl_WIP[Month],$C$4)+SUMIF('Deferred Revenue'!$E$6:$E$578,$A401,'Deferred Revenue'!$Q$6:$Q$578)</f>
        <v/>
      </c>
      <c r="E401" s="55">
        <f>C401+D401</f>
        <v/>
      </c>
      <c r="F401" s="56">
        <f>IF(ROUND(C401,2)+ROUND(D401,2)=0,"","yes")</f>
        <v/>
      </c>
      <c r="G401" s="57" t="n"/>
      <c r="H401" s="55">
        <f>IF($G401="","",$E401-$G401)</f>
        <v/>
      </c>
    </row>
    <row r="402">
      <c r="A402" s="54" t="inlineStr">
        <is>
          <t>9050</t>
        </is>
      </c>
      <c r="B402" s="54" t="inlineStr">
        <is>
          <t>OFFICE ASSETS</t>
        </is>
      </c>
      <c r="C402" s="55">
        <f>SUMIFS(tbl_WIP[Amount],tbl_WIP[Job Number],$A402,tbl_WIP[Month],"&lt;&gt;",tbl_WIP[Month],"&lt;"&amp;$C$4)+SUMIF('Deferred Revenue'!$E$6:$E$578,$A402,'Deferred Revenue'!$P$6:$P$578)</f>
        <v/>
      </c>
      <c r="D402" s="55">
        <f>SUMIFS(tbl_WIP[Amount],tbl_WIP[Job Number],$A402,tbl_WIP[Month],$C$4)+SUMIF('Deferred Revenue'!$E$6:$E$578,$A402,'Deferred Revenue'!$Q$6:$Q$578)</f>
        <v/>
      </c>
      <c r="E402" s="55">
        <f>C402+D402</f>
        <v/>
      </c>
      <c r="F402" s="56">
        <f>IF(ROUND(C402,2)+ROUND(D402,2)=0,"","yes")</f>
        <v/>
      </c>
      <c r="G402" s="57" t="n"/>
      <c r="H402" s="55">
        <f>IF($G402="","",$E402-$G402)</f>
        <v/>
      </c>
    </row>
    <row r="403">
      <c r="A403" s="54" t="inlineStr">
        <is>
          <t>9100</t>
        </is>
      </c>
      <c r="B403" s="54" t="inlineStr">
        <is>
          <t>PRODUCTION</t>
        </is>
      </c>
      <c r="C403" s="55">
        <f>SUMIFS(tbl_WIP[Amount],tbl_WIP[Job Number],$A403,tbl_WIP[Month],"&lt;&gt;",tbl_WIP[Month],"&lt;"&amp;$C$4)+SUMIF('Deferred Revenue'!$E$6:$E$578,$A403,'Deferred Revenue'!$P$6:$P$578)</f>
        <v/>
      </c>
      <c r="D403" s="55">
        <f>SUMIFS(tbl_WIP[Amount],tbl_WIP[Job Number],$A403,tbl_WIP[Month],$C$4)+SUMIF('Deferred Revenue'!$E$6:$E$578,$A403,'Deferred Revenue'!$Q$6:$Q$578)</f>
        <v/>
      </c>
      <c r="E403" s="55">
        <f>C403+D403</f>
        <v/>
      </c>
      <c r="F403" s="56">
        <f>IF(ROUND(C403,2)+ROUND(D403,2)=0,"","yes")</f>
        <v/>
      </c>
      <c r="G403" s="57" t="n"/>
      <c r="H403" s="55">
        <f>IF($G403="","",$E403-$G403)</f>
        <v/>
      </c>
    </row>
    <row r="404">
      <c r="A404" s="54" t="inlineStr">
        <is>
          <t>9101</t>
        </is>
      </c>
      <c r="B404" s="54" t="inlineStr">
        <is>
          <t>PRODUCTION - Orientation</t>
        </is>
      </c>
      <c r="C404" s="55">
        <f>SUMIFS(tbl_WIP[Amount],tbl_WIP[Job Number],$A404,tbl_WIP[Month],"&lt;&gt;",tbl_WIP[Month],"&lt;"&amp;$C$4)+SUMIF('Deferred Revenue'!$E$6:$E$578,$A404,'Deferred Revenue'!$P$6:$P$578)</f>
        <v/>
      </c>
      <c r="D404" s="55">
        <f>SUMIFS(tbl_WIP[Amount],tbl_WIP[Job Number],$A404,tbl_WIP[Month],$C$4)+SUMIF('Deferred Revenue'!$E$6:$E$578,$A404,'Deferred Revenue'!$Q$6:$Q$578)</f>
        <v/>
      </c>
      <c r="E404" s="55">
        <f>C404+D404</f>
        <v/>
      </c>
      <c r="F404" s="56">
        <f>IF(ROUND(C404,2)+ROUND(D404,2)=0,"","yes")</f>
        <v/>
      </c>
      <c r="G404" s="57" t="n"/>
      <c r="H404" s="55">
        <f>IF($G404="","",$E404-$G404)</f>
        <v/>
      </c>
    </row>
    <row r="405">
      <c r="A405" s="54" t="inlineStr">
        <is>
          <t>9102</t>
        </is>
      </c>
      <c r="B405" s="54" t="inlineStr">
        <is>
          <t>Production - Training</t>
        </is>
      </c>
      <c r="C405" s="55">
        <f>SUMIFS(tbl_WIP[Amount],tbl_WIP[Job Number],$A405,tbl_WIP[Month],"&lt;&gt;",tbl_WIP[Month],"&lt;"&amp;$C$4)+SUMIF('Deferred Revenue'!$E$6:$E$578,$A405,'Deferred Revenue'!$P$6:$P$578)</f>
        <v/>
      </c>
      <c r="D405" s="55">
        <f>SUMIFS(tbl_WIP[Amount],tbl_WIP[Job Number],$A405,tbl_WIP[Month],$C$4)+SUMIF('Deferred Revenue'!$E$6:$E$578,$A405,'Deferred Revenue'!$Q$6:$Q$578)</f>
        <v/>
      </c>
      <c r="E405" s="55">
        <f>C405+D405</f>
        <v/>
      </c>
      <c r="F405" s="56">
        <f>IF(ROUND(C405,2)+ROUND(D405,2)=0,"","yes")</f>
        <v/>
      </c>
      <c r="G405" s="57" t="n"/>
      <c r="H405" s="55">
        <f>IF($G405="","",$E405-$G405)</f>
        <v/>
      </c>
    </row>
    <row r="406">
      <c r="A406" s="54" t="inlineStr">
        <is>
          <t>9105</t>
        </is>
      </c>
      <c r="B406" s="54" t="inlineStr">
        <is>
          <t>ONSITE (including PROD backup)</t>
        </is>
      </c>
      <c r="C406" s="55">
        <f>SUMIFS(tbl_WIP[Amount],tbl_WIP[Job Number],$A406,tbl_WIP[Month],"&lt;&gt;",tbl_WIP[Month],"&lt;"&amp;$C$4)+SUMIF('Deferred Revenue'!$E$6:$E$578,$A406,'Deferred Revenue'!$P$6:$P$578)</f>
        <v/>
      </c>
      <c r="D406" s="55">
        <f>SUMIFS(tbl_WIP[Amount],tbl_WIP[Job Number],$A406,tbl_WIP[Month],$C$4)+SUMIF('Deferred Revenue'!$E$6:$E$578,$A406,'Deferred Revenue'!$Q$6:$Q$578)</f>
        <v/>
      </c>
      <c r="E406" s="55">
        <f>C406+D406</f>
        <v/>
      </c>
      <c r="F406" s="56">
        <f>IF(ROUND(C406,2)+ROUND(D406,2)=0,"","yes")</f>
        <v/>
      </c>
      <c r="G406" s="57" t="n"/>
      <c r="H406" s="55">
        <f>IF($G406="","",$E406-$G406)</f>
        <v/>
      </c>
    </row>
    <row r="407">
      <c r="A407" s="54" t="inlineStr">
        <is>
          <t>9106</t>
        </is>
      </c>
      <c r="B407" s="54" t="inlineStr">
        <is>
          <t>ONSITE - Orientation</t>
        </is>
      </c>
      <c r="C407" s="55">
        <f>SUMIFS(tbl_WIP[Amount],tbl_WIP[Job Number],$A407,tbl_WIP[Month],"&lt;&gt;",tbl_WIP[Month],"&lt;"&amp;$C$4)+SUMIF('Deferred Revenue'!$E$6:$E$578,$A407,'Deferred Revenue'!$P$6:$P$578)</f>
        <v/>
      </c>
      <c r="D407" s="55">
        <f>SUMIFS(tbl_WIP[Amount],tbl_WIP[Job Number],$A407,tbl_WIP[Month],$C$4)+SUMIF('Deferred Revenue'!$E$6:$E$578,$A407,'Deferred Revenue'!$Q$6:$Q$578)</f>
        <v/>
      </c>
      <c r="E407" s="55">
        <f>C407+D407</f>
        <v/>
      </c>
      <c r="F407" s="56">
        <f>IF(ROUND(C407,2)+ROUND(D407,2)=0,"","yes")</f>
        <v/>
      </c>
      <c r="G407" s="57" t="n"/>
      <c r="H407" s="55">
        <f>IF($G407="","",$E407-$G407)</f>
        <v/>
      </c>
    </row>
    <row r="408">
      <c r="A408" s="54" t="inlineStr">
        <is>
          <t>9107</t>
        </is>
      </c>
      <c r="B408" s="54" t="inlineStr">
        <is>
          <t>ONSITE - Assets</t>
        </is>
      </c>
      <c r="C408" s="55">
        <f>SUMIFS(tbl_WIP[Amount],tbl_WIP[Job Number],$A408,tbl_WIP[Month],"&lt;&gt;",tbl_WIP[Month],"&lt;"&amp;$C$4)+SUMIF('Deferred Revenue'!$E$6:$E$578,$A408,'Deferred Revenue'!$P$6:$P$578)</f>
        <v/>
      </c>
      <c r="D408" s="55">
        <f>SUMIFS(tbl_WIP[Amount],tbl_WIP[Job Number],$A408,tbl_WIP[Month],$C$4)+SUMIF('Deferred Revenue'!$E$6:$E$578,$A408,'Deferred Revenue'!$Q$6:$Q$578)</f>
        <v/>
      </c>
      <c r="E408" s="55">
        <f>C408+D408</f>
        <v/>
      </c>
      <c r="F408" s="56">
        <f>IF(ROUND(C408,2)+ROUND(D408,2)=0,"","yes")</f>
        <v/>
      </c>
      <c r="G408" s="57" t="n"/>
      <c r="H408" s="55">
        <f>IF($G408="","",$E408-$G408)</f>
        <v/>
      </c>
    </row>
    <row r="409">
      <c r="A409" s="54" t="inlineStr">
        <is>
          <t>9108</t>
        </is>
      </c>
      <c r="B409" s="54" t="inlineStr">
        <is>
          <t>ONSITE - Sales</t>
        </is>
      </c>
      <c r="C409" s="55">
        <f>SUMIFS(tbl_WIP[Amount],tbl_WIP[Job Number],$A409,tbl_WIP[Month],"&lt;&gt;",tbl_WIP[Month],"&lt;"&amp;$C$4)+SUMIF('Deferred Revenue'!$E$6:$E$578,$A409,'Deferred Revenue'!$P$6:$P$578)</f>
        <v/>
      </c>
      <c r="D409" s="55">
        <f>SUMIFS(tbl_WIP[Amount],tbl_WIP[Job Number],$A409,tbl_WIP[Month],$C$4)+SUMIF('Deferred Revenue'!$E$6:$E$578,$A409,'Deferred Revenue'!$Q$6:$Q$578)</f>
        <v/>
      </c>
      <c r="E409" s="55">
        <f>C409+D409</f>
        <v/>
      </c>
      <c r="F409" s="56">
        <f>IF(ROUND(C409,2)+ROUND(D409,2)=0,"","yes")</f>
        <v/>
      </c>
      <c r="G409" s="57" t="n"/>
      <c r="H409" s="55">
        <f>IF($G409="","",$E409-$G409)</f>
        <v/>
      </c>
    </row>
    <row r="410">
      <c r="A410" s="54" t="inlineStr">
        <is>
          <t>9109</t>
        </is>
      </c>
      <c r="B410" s="54" t="inlineStr">
        <is>
          <t>ONSITE - Marketing</t>
        </is>
      </c>
      <c r="C410" s="55">
        <f>SUMIFS(tbl_WIP[Amount],tbl_WIP[Job Number],$A410,tbl_WIP[Month],"&lt;&gt;",tbl_WIP[Month],"&lt;"&amp;$C$4)+SUMIF('Deferred Revenue'!$E$6:$E$578,$A410,'Deferred Revenue'!$P$6:$P$578)</f>
        <v/>
      </c>
      <c r="D410" s="55">
        <f>SUMIFS(tbl_WIP[Amount],tbl_WIP[Job Number],$A410,tbl_WIP[Month],$C$4)+SUMIF('Deferred Revenue'!$E$6:$E$578,$A410,'Deferred Revenue'!$Q$6:$Q$578)</f>
        <v/>
      </c>
      <c r="E410" s="55">
        <f>C410+D410</f>
        <v/>
      </c>
      <c r="F410" s="56">
        <f>IF(ROUND(C410,2)+ROUND(D410,2)=0,"","yes")</f>
        <v/>
      </c>
      <c r="G410" s="57" t="n"/>
      <c r="H410" s="55">
        <f>IF($G410="","",$E410-$G410)</f>
        <v/>
      </c>
    </row>
    <row r="411">
      <c r="A411" s="54" t="inlineStr">
        <is>
          <t>9125</t>
        </is>
      </c>
      <c r="B411" s="54" t="inlineStr">
        <is>
          <t>VIDEO DEPT</t>
        </is>
      </c>
      <c r="C411" s="55">
        <f>SUMIFS(tbl_WIP[Amount],tbl_WIP[Job Number],$A411,tbl_WIP[Month],"&lt;&gt;",tbl_WIP[Month],"&lt;"&amp;$C$4)+SUMIF('Deferred Revenue'!$E$6:$E$578,$A411,'Deferred Revenue'!$P$6:$P$578)</f>
        <v/>
      </c>
      <c r="D411" s="55">
        <f>SUMIFS(tbl_WIP[Amount],tbl_WIP[Job Number],$A411,tbl_WIP[Month],$C$4)+SUMIF('Deferred Revenue'!$E$6:$E$578,$A411,'Deferred Revenue'!$Q$6:$Q$578)</f>
        <v/>
      </c>
      <c r="E411" s="55">
        <f>C411+D411</f>
        <v/>
      </c>
      <c r="F411" s="56">
        <f>IF(ROUND(C411,2)+ROUND(D411,2)=0,"","yes")</f>
        <v/>
      </c>
      <c r="G411" s="57" t="n"/>
      <c r="H411" s="55">
        <f>IF($G411="","",$E411-$G411)</f>
        <v/>
      </c>
    </row>
    <row r="412">
      <c r="A412" s="54" t="inlineStr">
        <is>
          <t>9126</t>
        </is>
      </c>
      <c r="B412" s="54" t="inlineStr">
        <is>
          <t>VIDEO - Orientation</t>
        </is>
      </c>
      <c r="C412" s="55">
        <f>SUMIFS(tbl_WIP[Amount],tbl_WIP[Job Number],$A412,tbl_WIP[Month],"&lt;&gt;",tbl_WIP[Month],"&lt;"&amp;$C$4)+SUMIF('Deferred Revenue'!$E$6:$E$578,$A412,'Deferred Revenue'!$P$6:$P$578)</f>
        <v/>
      </c>
      <c r="D412" s="55">
        <f>SUMIFS(tbl_WIP[Amount],tbl_WIP[Job Number],$A412,tbl_WIP[Month],$C$4)+SUMIF('Deferred Revenue'!$E$6:$E$578,$A412,'Deferred Revenue'!$Q$6:$Q$578)</f>
        <v/>
      </c>
      <c r="E412" s="55">
        <f>C412+D412</f>
        <v/>
      </c>
      <c r="F412" s="56">
        <f>IF(ROUND(C412,2)+ROUND(D412,2)=0,"","yes")</f>
        <v/>
      </c>
      <c r="G412" s="57" t="n"/>
      <c r="H412" s="55">
        <f>IF($G412="","",$E412-$G412)</f>
        <v/>
      </c>
    </row>
    <row r="413">
      <c r="A413" s="54" t="inlineStr">
        <is>
          <t>9127</t>
        </is>
      </c>
      <c r="B413" s="54" t="inlineStr">
        <is>
          <t>VIDEO - Assets</t>
        </is>
      </c>
      <c r="C413" s="55">
        <f>SUMIFS(tbl_WIP[Amount],tbl_WIP[Job Number],$A413,tbl_WIP[Month],"&lt;&gt;",tbl_WIP[Month],"&lt;"&amp;$C$4)+SUMIF('Deferred Revenue'!$E$6:$E$578,$A413,'Deferred Revenue'!$P$6:$P$578)</f>
        <v/>
      </c>
      <c r="D413" s="55">
        <f>SUMIFS(tbl_WIP[Amount],tbl_WIP[Job Number],$A413,tbl_WIP[Month],$C$4)+SUMIF('Deferred Revenue'!$E$6:$E$578,$A413,'Deferred Revenue'!$Q$6:$Q$578)</f>
        <v/>
      </c>
      <c r="E413" s="55">
        <f>C413+D413</f>
        <v/>
      </c>
      <c r="F413" s="56">
        <f>IF(ROUND(C413,2)+ROUND(D413,2)=0,"","yes")</f>
        <v/>
      </c>
      <c r="G413" s="57" t="n"/>
      <c r="H413" s="55">
        <f>IF($G413="","",$E413-$G413)</f>
        <v/>
      </c>
    </row>
    <row r="414">
      <c r="A414" s="54" t="inlineStr">
        <is>
          <t>9128</t>
        </is>
      </c>
      <c r="B414" s="54" t="inlineStr">
        <is>
          <t>VIDEO - Sales</t>
        </is>
      </c>
      <c r="C414" s="55">
        <f>SUMIFS(tbl_WIP[Amount],tbl_WIP[Job Number],$A414,tbl_WIP[Month],"&lt;&gt;",tbl_WIP[Month],"&lt;"&amp;$C$4)+SUMIF('Deferred Revenue'!$E$6:$E$578,$A414,'Deferred Revenue'!$P$6:$P$578)</f>
        <v/>
      </c>
      <c r="D414" s="55">
        <f>SUMIFS(tbl_WIP[Amount],tbl_WIP[Job Number],$A414,tbl_WIP[Month],$C$4)+SUMIF('Deferred Revenue'!$E$6:$E$578,$A414,'Deferred Revenue'!$Q$6:$Q$578)</f>
        <v/>
      </c>
      <c r="E414" s="55">
        <f>C414+D414</f>
        <v/>
      </c>
      <c r="F414" s="56">
        <f>IF(ROUND(C414,2)+ROUND(D414,2)=0,"","yes")</f>
        <v/>
      </c>
      <c r="G414" s="57" t="n"/>
      <c r="H414" s="55">
        <f>IF($G414="","",$E414-$G414)</f>
        <v/>
      </c>
    </row>
    <row r="415">
      <c r="A415" s="54" t="inlineStr">
        <is>
          <t>9129</t>
        </is>
      </c>
      <c r="B415" s="54" t="inlineStr">
        <is>
          <t>VIDEO - Marketing</t>
        </is>
      </c>
      <c r="C415" s="55">
        <f>SUMIFS(tbl_WIP[Amount],tbl_WIP[Job Number],$A415,tbl_WIP[Month],"&lt;&gt;",tbl_WIP[Month],"&lt;"&amp;$C$4)+SUMIF('Deferred Revenue'!$E$6:$E$578,$A415,'Deferred Revenue'!$P$6:$P$578)</f>
        <v/>
      </c>
      <c r="D415" s="55">
        <f>SUMIFS(tbl_WIP[Amount],tbl_WIP[Job Number],$A415,tbl_WIP[Month],$C$4)+SUMIF('Deferred Revenue'!$E$6:$E$578,$A415,'Deferred Revenue'!$Q$6:$Q$578)</f>
        <v/>
      </c>
      <c r="E415" s="55">
        <f>C415+D415</f>
        <v/>
      </c>
      <c r="F415" s="56">
        <f>IF(ROUND(C415,2)+ROUND(D415,2)=0,"","yes")</f>
        <v/>
      </c>
      <c r="G415" s="57" t="n"/>
      <c r="H415" s="55">
        <f>IF($G415="","",$E415-$G415)</f>
        <v/>
      </c>
    </row>
    <row r="416">
      <c r="A416" s="54" t="inlineStr">
        <is>
          <t>9150</t>
        </is>
      </c>
      <c r="B416" s="54" t="inlineStr">
        <is>
          <t>PRODUCTION - Assets</t>
        </is>
      </c>
      <c r="C416" s="55">
        <f>SUMIFS(tbl_WIP[Amount],tbl_WIP[Job Number],$A416,tbl_WIP[Month],"&lt;&gt;",tbl_WIP[Month],"&lt;"&amp;$C$4)+SUMIF('Deferred Revenue'!$E$6:$E$578,$A416,'Deferred Revenue'!$P$6:$P$578)</f>
        <v/>
      </c>
      <c r="D416" s="55">
        <f>SUMIFS(tbl_WIP[Amount],tbl_WIP[Job Number],$A416,tbl_WIP[Month],$C$4)+SUMIF('Deferred Revenue'!$E$6:$E$578,$A416,'Deferred Revenue'!$Q$6:$Q$578)</f>
        <v/>
      </c>
      <c r="E416" s="55">
        <f>C416+D416</f>
        <v/>
      </c>
      <c r="F416" s="56">
        <f>IF(ROUND(C416,2)+ROUND(D416,2)=0,"","yes")</f>
        <v/>
      </c>
      <c r="G416" s="57" t="n"/>
      <c r="H416" s="55">
        <f>IF($G416="","",$E416-$G416)</f>
        <v/>
      </c>
    </row>
    <row r="417">
      <c r="A417" s="54" t="inlineStr">
        <is>
          <t>9175</t>
        </is>
      </c>
      <c r="B417" s="54" t="inlineStr">
        <is>
          <t>PRODUCTION - Sales</t>
        </is>
      </c>
      <c r="C417" s="55">
        <f>SUMIFS(tbl_WIP[Amount],tbl_WIP[Job Number],$A417,tbl_WIP[Month],"&lt;&gt;",tbl_WIP[Month],"&lt;"&amp;$C$4)+SUMIF('Deferred Revenue'!$E$6:$E$578,$A417,'Deferred Revenue'!$P$6:$P$578)</f>
        <v/>
      </c>
      <c r="D417" s="55">
        <f>SUMIFS(tbl_WIP[Amount],tbl_WIP[Job Number],$A417,tbl_WIP[Month],$C$4)+SUMIF('Deferred Revenue'!$E$6:$E$578,$A417,'Deferred Revenue'!$Q$6:$Q$578)</f>
        <v/>
      </c>
      <c r="E417" s="55">
        <f>C417+D417</f>
        <v/>
      </c>
      <c r="F417" s="56">
        <f>IF(ROUND(C417,2)+ROUND(D417,2)=0,"","yes")</f>
        <v/>
      </c>
      <c r="G417" s="57" t="n"/>
      <c r="H417" s="55">
        <f>IF($G417="","",$E417-$G417)</f>
        <v/>
      </c>
    </row>
    <row r="418">
      <c r="A418" s="54" t="inlineStr">
        <is>
          <t>9176</t>
        </is>
      </c>
      <c r="B418" s="54" t="inlineStr">
        <is>
          <t>Production - Marketing</t>
        </is>
      </c>
      <c r="C418" s="55">
        <f>SUMIFS(tbl_WIP[Amount],tbl_WIP[Job Number],$A418,tbl_WIP[Month],"&lt;&gt;",tbl_WIP[Month],"&lt;"&amp;$C$4)+SUMIF('Deferred Revenue'!$E$6:$E$578,$A418,'Deferred Revenue'!$P$6:$P$578)</f>
        <v/>
      </c>
      <c r="D418" s="55">
        <f>SUMIFS(tbl_WIP[Amount],tbl_WIP[Job Number],$A418,tbl_WIP[Month],$C$4)+SUMIF('Deferred Revenue'!$E$6:$E$578,$A418,'Deferred Revenue'!$Q$6:$Q$578)</f>
        <v/>
      </c>
      <c r="E418" s="55">
        <f>C418+D418</f>
        <v/>
      </c>
      <c r="F418" s="56">
        <f>IF(ROUND(C418,2)+ROUND(D418,2)=0,"","yes")</f>
        <v/>
      </c>
      <c r="G418" s="57" t="n"/>
      <c r="H418" s="55">
        <f>IF($G418="","",$E418-$G418)</f>
        <v/>
      </c>
    </row>
    <row r="419">
      <c r="A419" s="54" t="inlineStr">
        <is>
          <t>9178</t>
        </is>
      </c>
      <c r="B419" s="54" t="inlineStr">
        <is>
          <t>Production – Webcasts</t>
        </is>
      </c>
      <c r="C419" s="55">
        <f>SUMIFS(tbl_WIP[Amount],tbl_WIP[Job Number],$A419,tbl_WIP[Month],"&lt;&gt;",tbl_WIP[Month],"&lt;"&amp;$C$4)+SUMIF('Deferred Revenue'!$E$6:$E$578,$A419,'Deferred Revenue'!$P$6:$P$578)</f>
        <v/>
      </c>
      <c r="D419" s="55">
        <f>SUMIFS(tbl_WIP[Amount],tbl_WIP[Job Number],$A419,tbl_WIP[Month],$C$4)+SUMIF('Deferred Revenue'!$E$6:$E$578,$A419,'Deferred Revenue'!$Q$6:$Q$578)</f>
        <v/>
      </c>
      <c r="E419" s="55">
        <f>C419+D419</f>
        <v/>
      </c>
      <c r="F419" s="56">
        <f>IF(ROUND(C419,2)+ROUND(D419,2)=0,"","yes")</f>
        <v/>
      </c>
      <c r="G419" s="57" t="n"/>
      <c r="H419" s="55">
        <f>IF($G419="","",$E419-$G419)</f>
        <v/>
      </c>
    </row>
    <row r="420">
      <c r="A420" s="54" t="inlineStr">
        <is>
          <t>9200</t>
        </is>
      </c>
      <c r="B420" s="54" t="inlineStr">
        <is>
          <t>INTEGRATION</t>
        </is>
      </c>
      <c r="C420" s="55">
        <f>SUMIFS(tbl_WIP[Amount],tbl_WIP[Job Number],$A420,tbl_WIP[Month],"&lt;&gt;",tbl_WIP[Month],"&lt;"&amp;$C$4)+SUMIF('Deferred Revenue'!$E$6:$E$578,$A420,'Deferred Revenue'!$P$6:$P$578)</f>
        <v/>
      </c>
      <c r="D420" s="55">
        <f>SUMIFS(tbl_WIP[Amount],tbl_WIP[Job Number],$A420,tbl_WIP[Month],$C$4)+SUMIF('Deferred Revenue'!$E$6:$E$578,$A420,'Deferred Revenue'!$Q$6:$Q$578)</f>
        <v/>
      </c>
      <c r="E420" s="55">
        <f>C420+D420</f>
        <v/>
      </c>
      <c r="F420" s="56">
        <f>IF(ROUND(C420,2)+ROUND(D420,2)=0,"","yes")</f>
        <v/>
      </c>
      <c r="G420" s="57" t="n"/>
      <c r="H420" s="55">
        <f>IF($G420="","",$E420-$G420)</f>
        <v/>
      </c>
    </row>
    <row r="421">
      <c r="A421" s="54" t="inlineStr">
        <is>
          <t>9201</t>
        </is>
      </c>
      <c r="B421" s="54" t="inlineStr">
        <is>
          <t>INTEGRATION - Orientation [INT</t>
        </is>
      </c>
      <c r="C421" s="55">
        <f>SUMIFS(tbl_WIP[Amount],tbl_WIP[Job Number],$A421,tbl_WIP[Month],"&lt;&gt;",tbl_WIP[Month],"&lt;"&amp;$C$4)+SUMIF('Deferred Revenue'!$E$6:$E$578,$A421,'Deferred Revenue'!$P$6:$P$578)</f>
        <v/>
      </c>
      <c r="D421" s="55">
        <f>SUMIFS(tbl_WIP[Amount],tbl_WIP[Job Number],$A421,tbl_WIP[Month],$C$4)+SUMIF('Deferred Revenue'!$E$6:$E$578,$A421,'Deferred Revenue'!$Q$6:$Q$578)</f>
        <v/>
      </c>
      <c r="E421" s="55">
        <f>C421+D421</f>
        <v/>
      </c>
      <c r="F421" s="56">
        <f>IF(ROUND(C421,2)+ROUND(D421,2)=0,"","yes")</f>
        <v/>
      </c>
      <c r="G421" s="57" t="n"/>
      <c r="H421" s="55">
        <f>IF($G421="","",$E421-$G421)</f>
        <v/>
      </c>
    </row>
    <row r="422">
      <c r="A422" s="54" t="inlineStr">
        <is>
          <t>9202</t>
        </is>
      </c>
      <c r="B422" s="54" t="inlineStr">
        <is>
          <t>INTEGRATION - Quotes</t>
        </is>
      </c>
      <c r="C422" s="55">
        <f>SUMIFS(tbl_WIP[Amount],tbl_WIP[Job Number],$A422,tbl_WIP[Month],"&lt;&gt;",tbl_WIP[Month],"&lt;"&amp;$C$4)+SUMIF('Deferred Revenue'!$E$6:$E$578,$A422,'Deferred Revenue'!$P$6:$P$578)</f>
        <v/>
      </c>
      <c r="D422" s="55">
        <f>SUMIFS(tbl_WIP[Amount],tbl_WIP[Job Number],$A422,tbl_WIP[Month],$C$4)+SUMIF('Deferred Revenue'!$E$6:$E$578,$A422,'Deferred Revenue'!$Q$6:$Q$578)</f>
        <v/>
      </c>
      <c r="E422" s="55">
        <f>C422+D422</f>
        <v/>
      </c>
      <c r="F422" s="56">
        <f>IF(ROUND(C422,2)+ROUND(D422,2)=0,"","yes")</f>
        <v/>
      </c>
      <c r="G422" s="57" t="n"/>
      <c r="H422" s="55">
        <f>IF($G422="","",$E422-$G422)</f>
        <v/>
      </c>
    </row>
    <row r="423">
      <c r="A423" s="54" t="inlineStr">
        <is>
          <t>9225</t>
        </is>
      </c>
      <c r="B423" s="54" t="inlineStr">
        <is>
          <t>Integration - SALES</t>
        </is>
      </c>
      <c r="C423" s="55">
        <f>SUMIFS(tbl_WIP[Amount],tbl_WIP[Job Number],$A423,tbl_WIP[Month],"&lt;&gt;",tbl_WIP[Month],"&lt;"&amp;$C$4)+SUMIF('Deferred Revenue'!$E$6:$E$578,$A423,'Deferred Revenue'!$P$6:$P$578)</f>
        <v/>
      </c>
      <c r="D423" s="55">
        <f>SUMIFS(tbl_WIP[Amount],tbl_WIP[Job Number],$A423,tbl_WIP[Month],$C$4)+SUMIF('Deferred Revenue'!$E$6:$E$578,$A423,'Deferred Revenue'!$Q$6:$Q$578)</f>
        <v/>
      </c>
      <c r="E423" s="55">
        <f>C423+D423</f>
        <v/>
      </c>
      <c r="F423" s="56">
        <f>IF(ROUND(C423,2)+ROUND(D423,2)=0,"","yes")</f>
        <v/>
      </c>
      <c r="G423" s="57" t="n"/>
      <c r="H423" s="55">
        <f>IF($G423="","",$E423-$G423)</f>
        <v/>
      </c>
    </row>
    <row r="424">
      <c r="A424" s="54" t="inlineStr">
        <is>
          <t>9226</t>
        </is>
      </c>
      <c r="B424" s="54" t="inlineStr">
        <is>
          <t>Integration - Marketing</t>
        </is>
      </c>
      <c r="C424" s="55">
        <f>SUMIFS(tbl_WIP[Amount],tbl_WIP[Job Number],$A424,tbl_WIP[Month],"&lt;&gt;",tbl_WIP[Month],"&lt;"&amp;$C$4)+SUMIF('Deferred Revenue'!$E$6:$E$578,$A424,'Deferred Revenue'!$P$6:$P$578)</f>
        <v/>
      </c>
      <c r="D424" s="55">
        <f>SUMIFS(tbl_WIP[Amount],tbl_WIP[Job Number],$A424,tbl_WIP[Month],$C$4)+SUMIF('Deferred Revenue'!$E$6:$E$578,$A424,'Deferred Revenue'!$Q$6:$Q$578)</f>
        <v/>
      </c>
      <c r="E424" s="55">
        <f>C424+D424</f>
        <v/>
      </c>
      <c r="F424" s="56">
        <f>IF(ROUND(C424,2)+ROUND(D424,2)=0,"","yes")</f>
        <v/>
      </c>
      <c r="G424" s="57" t="n"/>
      <c r="H424" s="55">
        <f>IF($G424="","",$E424-$G424)</f>
        <v/>
      </c>
    </row>
    <row r="425">
      <c r="A425" s="54" t="inlineStr">
        <is>
          <t>9300</t>
        </is>
      </c>
      <c r="B425" s="54" t="inlineStr">
        <is>
          <t>HUMAN RESOURCES</t>
        </is>
      </c>
      <c r="C425" s="55">
        <f>SUMIFS(tbl_WIP[Amount],tbl_WIP[Job Number],$A425,tbl_WIP[Month],"&lt;&gt;",tbl_WIP[Month],"&lt;"&amp;$C$4)+SUMIF('Deferred Revenue'!$E$6:$E$578,$A425,'Deferred Revenue'!$P$6:$P$578)</f>
        <v/>
      </c>
      <c r="D425" s="55">
        <f>SUMIFS(tbl_WIP[Amount],tbl_WIP[Job Number],$A425,tbl_WIP[Month],$C$4)+SUMIF('Deferred Revenue'!$E$6:$E$578,$A425,'Deferred Revenue'!$Q$6:$Q$578)</f>
        <v/>
      </c>
      <c r="E425" s="55">
        <f>C425+D425</f>
        <v/>
      </c>
      <c r="F425" s="56">
        <f>IF(ROUND(C425,2)+ROUND(D425,2)=0,"","yes")</f>
        <v/>
      </c>
      <c r="G425" s="57" t="n"/>
      <c r="H425" s="55">
        <f>IF($G425="","",$E425-$G425)</f>
        <v/>
      </c>
    </row>
    <row r="426">
      <c r="A426" s="54" t="inlineStr">
        <is>
          <t>9301</t>
        </is>
      </c>
      <c r="B426" s="54" t="inlineStr">
        <is>
          <t>Recruitment</t>
        </is>
      </c>
      <c r="C426" s="55">
        <f>SUMIFS(tbl_WIP[Amount],tbl_WIP[Job Number],$A426,tbl_WIP[Month],"&lt;&gt;",tbl_WIP[Month],"&lt;"&amp;$C$4)+SUMIF('Deferred Revenue'!$E$6:$E$578,$A426,'Deferred Revenue'!$P$6:$P$578)</f>
        <v/>
      </c>
      <c r="D426" s="55">
        <f>SUMIFS(tbl_WIP[Amount],tbl_WIP[Job Number],$A426,tbl_WIP[Month],$C$4)+SUMIF('Deferred Revenue'!$E$6:$E$578,$A426,'Deferred Revenue'!$Q$6:$Q$578)</f>
        <v/>
      </c>
      <c r="E426" s="55">
        <f>C426+D426</f>
        <v/>
      </c>
      <c r="F426" s="56">
        <f>IF(ROUND(C426,2)+ROUND(D426,2)=0,"","yes")</f>
        <v/>
      </c>
      <c r="G426" s="57" t="n"/>
      <c r="H426" s="55">
        <f>IF($G426="","",$E426-$G426)</f>
        <v/>
      </c>
    </row>
    <row r="427">
      <c r="A427" s="54" t="inlineStr">
        <is>
          <t>9350</t>
        </is>
      </c>
      <c r="B427" s="54" t="inlineStr">
        <is>
          <t>MARKETING (external)</t>
        </is>
      </c>
      <c r="C427" s="55">
        <f>SUMIFS(tbl_WIP[Amount],tbl_WIP[Job Number],$A427,tbl_WIP[Month],"&lt;&gt;",tbl_WIP[Month],"&lt;"&amp;$C$4)+SUMIF('Deferred Revenue'!$E$6:$E$578,$A427,'Deferred Revenue'!$P$6:$P$578)</f>
        <v/>
      </c>
      <c r="D427" s="55">
        <f>SUMIFS(tbl_WIP[Amount],tbl_WIP[Job Number],$A427,tbl_WIP[Month],$C$4)+SUMIF('Deferred Revenue'!$E$6:$E$578,$A427,'Deferred Revenue'!$Q$6:$Q$578)</f>
        <v/>
      </c>
      <c r="E427" s="55">
        <f>C427+D427</f>
        <v/>
      </c>
      <c r="F427" s="56">
        <f>IF(ROUND(C427,2)+ROUND(D427,2)=0,"","yes")</f>
        <v/>
      </c>
      <c r="G427" s="57" t="n"/>
      <c r="H427" s="55">
        <f>IF($G427="","",$E427-$G427)</f>
        <v/>
      </c>
    </row>
    <row r="428">
      <c r="A428" s="54" t="inlineStr">
        <is>
          <t>9375</t>
        </is>
      </c>
      <c r="B428" s="54" t="inlineStr">
        <is>
          <t>MARKETING / COMMS</t>
        </is>
      </c>
      <c r="C428" s="55">
        <f>SUMIFS(tbl_WIP[Amount],tbl_WIP[Job Number],$A428,tbl_WIP[Month],"&lt;&gt;",tbl_WIP[Month],"&lt;"&amp;$C$4)+SUMIF('Deferred Revenue'!$E$6:$E$578,$A428,'Deferred Revenue'!$P$6:$P$578)</f>
        <v/>
      </c>
      <c r="D428" s="55">
        <f>SUMIFS(tbl_WIP[Amount],tbl_WIP[Job Number],$A428,tbl_WIP[Month],$C$4)+SUMIF('Deferred Revenue'!$E$6:$E$578,$A428,'Deferred Revenue'!$Q$6:$Q$578)</f>
        <v/>
      </c>
      <c r="E428" s="55">
        <f>C428+D428</f>
        <v/>
      </c>
      <c r="F428" s="56">
        <f>IF(ROUND(C428,2)+ROUND(D428,2)=0,"","yes")</f>
        <v/>
      </c>
      <c r="G428" s="57" t="n"/>
      <c r="H428" s="55">
        <f>IF($G428="","",$E428-$G428)</f>
        <v/>
      </c>
    </row>
    <row r="429">
      <c r="A429" s="54" t="inlineStr">
        <is>
          <t>9400</t>
        </is>
      </c>
      <c r="B429" s="54" t="inlineStr">
        <is>
          <t>CONSULTING</t>
        </is>
      </c>
      <c r="C429" s="55">
        <f>SUMIFS(tbl_WIP[Amount],tbl_WIP[Job Number],$A429,tbl_WIP[Month],"&lt;&gt;",tbl_WIP[Month],"&lt;"&amp;$C$4)+SUMIF('Deferred Revenue'!$E$6:$E$578,$A429,'Deferred Revenue'!$P$6:$P$578)</f>
        <v/>
      </c>
      <c r="D429" s="55">
        <f>SUMIFS(tbl_WIP[Amount],tbl_WIP[Job Number],$A429,tbl_WIP[Month],$C$4)+SUMIF('Deferred Revenue'!$E$6:$E$578,$A429,'Deferred Revenue'!$Q$6:$Q$578)</f>
        <v/>
      </c>
      <c r="E429" s="55">
        <f>C429+D429</f>
        <v/>
      </c>
      <c r="F429" s="56">
        <f>IF(ROUND(C429,2)+ROUND(D429,2)=0,"","yes")</f>
        <v/>
      </c>
      <c r="G429" s="57" t="n"/>
      <c r="H429" s="55">
        <f>IF($G429="","",$E429-$G429)</f>
        <v/>
      </c>
    </row>
    <row r="430">
      <c r="A430" s="54" t="inlineStr">
        <is>
          <t>9402</t>
        </is>
      </c>
      <c r="B430" s="54" t="inlineStr">
        <is>
          <t>CONSULTING - Assets</t>
        </is>
      </c>
      <c r="C430" s="55">
        <f>SUMIFS(tbl_WIP[Amount],tbl_WIP[Job Number],$A430,tbl_WIP[Month],"&lt;&gt;",tbl_WIP[Month],"&lt;"&amp;$C$4)+SUMIF('Deferred Revenue'!$E$6:$E$578,$A430,'Deferred Revenue'!$P$6:$P$578)</f>
        <v/>
      </c>
      <c r="D430" s="55">
        <f>SUMIFS(tbl_WIP[Amount],tbl_WIP[Job Number],$A430,tbl_WIP[Month],$C$4)+SUMIF('Deferred Revenue'!$E$6:$E$578,$A430,'Deferred Revenue'!$Q$6:$Q$578)</f>
        <v/>
      </c>
      <c r="E430" s="55">
        <f>C430+D430</f>
        <v/>
      </c>
      <c r="F430" s="56">
        <f>IF(ROUND(C430,2)+ROUND(D430,2)=0,"","yes")</f>
        <v/>
      </c>
      <c r="G430" s="57" t="n"/>
      <c r="H430" s="55">
        <f>IF($G430="","",$E430-$G430)</f>
        <v/>
      </c>
    </row>
    <row r="431">
      <c r="A431" s="54" t="inlineStr">
        <is>
          <t>9403</t>
        </is>
      </c>
      <c r="B431" s="54" t="inlineStr">
        <is>
          <t>CONSULTING - Sales</t>
        </is>
      </c>
      <c r="C431" s="55">
        <f>SUMIFS(tbl_WIP[Amount],tbl_WIP[Job Number],$A431,tbl_WIP[Month],"&lt;&gt;",tbl_WIP[Month],"&lt;"&amp;$C$4)+SUMIF('Deferred Revenue'!$E$6:$E$578,$A431,'Deferred Revenue'!$P$6:$P$578)</f>
        <v/>
      </c>
      <c r="D431" s="55">
        <f>SUMIFS(tbl_WIP[Amount],tbl_WIP[Job Number],$A431,tbl_WIP[Month],$C$4)+SUMIF('Deferred Revenue'!$E$6:$E$578,$A431,'Deferred Revenue'!$Q$6:$Q$578)</f>
        <v/>
      </c>
      <c r="E431" s="55">
        <f>C431+D431</f>
        <v/>
      </c>
      <c r="F431" s="56">
        <f>IF(ROUND(C431,2)+ROUND(D431,2)=0,"","yes")</f>
        <v/>
      </c>
      <c r="G431" s="57" t="n"/>
      <c r="H431" s="55">
        <f>IF($G431="","",$E431-$G431)</f>
        <v/>
      </c>
    </row>
    <row r="432">
      <c r="A432" s="54" t="inlineStr">
        <is>
          <t>9405</t>
        </is>
      </c>
      <c r="B432" s="54" t="inlineStr">
        <is>
          <t>CONSULTING - Marketing</t>
        </is>
      </c>
      <c r="C432" s="55">
        <f>SUMIFS(tbl_WIP[Amount],tbl_WIP[Job Number],$A432,tbl_WIP[Month],"&lt;&gt;",tbl_WIP[Month],"&lt;"&amp;$C$4)+SUMIF('Deferred Revenue'!$E$6:$E$578,$A432,'Deferred Revenue'!$P$6:$P$578)</f>
        <v/>
      </c>
      <c r="D432" s="55">
        <f>SUMIFS(tbl_WIP[Amount],tbl_WIP[Job Number],$A432,tbl_WIP[Month],$C$4)+SUMIF('Deferred Revenue'!$E$6:$E$578,$A432,'Deferred Revenue'!$Q$6:$Q$578)</f>
        <v/>
      </c>
      <c r="E432" s="55">
        <f>C432+D432</f>
        <v/>
      </c>
      <c r="F432" s="56">
        <f>IF(ROUND(C432,2)+ROUND(D432,2)=0,"","yes")</f>
        <v/>
      </c>
      <c r="G432" s="57" t="n"/>
      <c r="H432" s="55">
        <f>IF($G432="","",$E432-$G432)</f>
        <v/>
      </c>
    </row>
    <row r="433">
      <c r="A433" s="54" t="inlineStr">
        <is>
          <t>9407</t>
        </is>
      </c>
      <c r="B433" s="54" t="inlineStr">
        <is>
          <t>CONSULTING - Training</t>
        </is>
      </c>
      <c r="C433" s="55">
        <f>SUMIFS(tbl_WIP[Amount],tbl_WIP[Job Number],$A433,tbl_WIP[Month],"&lt;&gt;",tbl_WIP[Month],"&lt;"&amp;$C$4)+SUMIF('Deferred Revenue'!$E$6:$E$578,$A433,'Deferred Revenue'!$P$6:$P$578)</f>
        <v/>
      </c>
      <c r="D433" s="55">
        <f>SUMIFS(tbl_WIP[Amount],tbl_WIP[Job Number],$A433,tbl_WIP[Month],$C$4)+SUMIF('Deferred Revenue'!$E$6:$E$578,$A433,'Deferred Revenue'!$Q$6:$Q$578)</f>
        <v/>
      </c>
      <c r="E433" s="55">
        <f>C433+D433</f>
        <v/>
      </c>
      <c r="F433" s="56">
        <f>IF(ROUND(C433,2)+ROUND(D433,2)=0,"","yes")</f>
        <v/>
      </c>
      <c r="G433" s="57" t="n"/>
      <c r="H433" s="55">
        <f>IF($G433="","",$E433-$G433)</f>
        <v/>
      </c>
    </row>
    <row r="434">
      <c r="A434" s="54" t="inlineStr">
        <is>
          <t>974</t>
        </is>
      </c>
      <c r="B434" s="54" t="inlineStr">
        <is>
          <t>DTTL 1300 Number</t>
        </is>
      </c>
      <c r="C434" s="55">
        <f>SUMIFS(tbl_WIP[Amount],tbl_WIP[Job Number],$A434,tbl_WIP[Month],"&lt;&gt;",tbl_WIP[Month],"&lt;"&amp;$C$4)+SUMIF('Deferred Revenue'!$E$6:$E$578,$A434,'Deferred Revenue'!$P$6:$P$578)</f>
        <v/>
      </c>
      <c r="D434" s="55">
        <f>SUMIFS(tbl_WIP[Amount],tbl_WIP[Job Number],$A434,tbl_WIP[Month],$C$4)+SUMIF('Deferred Revenue'!$E$6:$E$578,$A434,'Deferred Revenue'!$Q$6:$Q$578)</f>
        <v/>
      </c>
      <c r="E434" s="55">
        <f>C434+D434</f>
        <v/>
      </c>
      <c r="F434" s="56">
        <f>IF(ROUND(C434,2)+ROUND(D434,2)=0,"","yes")</f>
        <v/>
      </c>
      <c r="G434" s="57" t="n"/>
      <c r="H434" s="55">
        <f>IF($G434="","",$E434-$G434)</f>
        <v/>
      </c>
    </row>
  </sheetData>
  <autoFilter ref="A11:H434"/>
  <conditionalFormatting sqref="B9">
    <cfRule type="expression" priority="1" dxfId="1">
      <formula>ROUND(B9,2)&lt;&gt;0</formula>
    </cfRule>
  </conditionalFormatting>
  <conditionalFormatting sqref="H12:H434">
    <cfRule type="expression" priority="2" dxfId="1">
      <formula>AND(H12&lt;&gt;"",ROUND(H12,2)&lt;&gt;0)</formula>
    </cfRule>
  </conditionalFormatting>
  <pageMargins left="0.75" right="0.75" top="1" bottom="1" header="0.5" footer="0.5"/>
</worksheet>
</file>

<file path=xl/worksheets/sheet6.xml><?xml version="1.0" encoding="utf-8"?>
<worksheet xmlns="http://schemas.openxmlformats.org/spreadsheetml/2006/main">
  <sheetPr>
    <tabColor rgb="008B6A2B"/>
    <outlinePr summaryBelow="1" summaryRight="1"/>
    <pageSetUpPr/>
  </sheetPr>
  <dimension ref="A1:R578"/>
  <sheetViews>
    <sheetView showGridLines="0" tabSelected="0" zoomScale="90" workbookViewId="0">
      <pane xSplit="1" ySplit="5" topLeftCell="B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15" customWidth="1" min="3" max="3"/>
    <col width="22" customWidth="1" min="4" max="4"/>
    <col width="14" customWidth="1" min="5" max="5"/>
    <col width="14" customWidth="1" min="6" max="6"/>
    <col width="14" customWidth="1" min="7" max="7"/>
    <col width="12" customWidth="1" min="8" max="8"/>
    <col width="12" customWidth="1" min="9" max="9"/>
    <col width="9" customWidth="1" min="10" max="10"/>
    <col width="14" customWidth="1" min="11" max="11"/>
    <col width="17" customWidth="1" min="12" max="12"/>
    <col width="18" customWidth="1" min="13" max="13"/>
    <col width="16" customWidth="1" min="14" max="14"/>
    <col width="17" customWidth="1" min="15" max="15"/>
    <col width="14" customWidth="1" min="16" max="16"/>
    <col width="14" customWidth="1" min="17" max="17"/>
    <col width="14" customWidth="1" min="18" max="18"/>
  </cols>
  <sheetData>
    <row r="1" ht="24" customHeight="1">
      <c r="A1" s="18" t="inlineStr">
        <is>
          <t>Deferred Revenue - released automatically</t>
        </is>
      </c>
    </row>
    <row r="2" ht="16" customHeight="1">
      <c r="A2" s="2" t="inlineStr">
        <is>
          <t>Every Finance line that carries a Defer Start and a Defer End. The revenue spreads evenly across those months and the WIP movement works itself out. Nothing is typed on this sheet - fill the two dates on Finance and this follows.</t>
        </is>
      </c>
    </row>
    <row r="3" ht="6" customHeight="1">
      <c r="A3" s="30" t="inlineStr">
        <is>
          <t>Month</t>
        </is>
      </c>
      <c r="C3" s="52">
        <f>'Month-End'!C4</f>
        <v/>
      </c>
      <c r="D3" s="32" t="inlineStr">
        <is>
          <t>&lt;- set on the Month-End sheet</t>
        </is>
      </c>
    </row>
    <row r="5" ht="32" customHeight="1">
      <c r="A5" s="58" t="inlineStr">
        <is>
          <t>Line</t>
        </is>
      </c>
      <c r="B5" s="58" t="inlineStr">
        <is>
          <t>Date</t>
        </is>
      </c>
      <c r="C5" s="58" t="inlineStr">
        <is>
          <t>Xero Invoice No</t>
        </is>
      </c>
      <c r="D5" s="58" t="inlineStr">
        <is>
          <t>Client</t>
        </is>
      </c>
      <c r="E5" s="58" t="inlineStr">
        <is>
          <t>Job Number</t>
        </is>
      </c>
      <c r="F5" s="58" t="inlineStr">
        <is>
          <t>Cost Centre</t>
        </is>
      </c>
      <c r="G5" s="58" t="inlineStr">
        <is>
          <t>Ex GST</t>
        </is>
      </c>
      <c r="H5" s="58" t="inlineStr">
        <is>
          <t>Defer Start</t>
        </is>
      </c>
      <c r="I5" s="58" t="inlineStr">
        <is>
          <t>Defer End</t>
        </is>
      </c>
      <c r="J5" s="58" t="inlineStr">
        <is>
          <t>Months</t>
        </is>
      </c>
      <c r="K5" s="58" t="inlineStr">
        <is>
          <t>Per Month</t>
        </is>
      </c>
      <c r="L5" s="58" t="inlineStr">
        <is>
          <t>Recognised to date</t>
        </is>
      </c>
      <c r="M5" s="58" t="inlineStr">
        <is>
          <t>Recognised to prior</t>
        </is>
      </c>
      <c r="N5" s="58" t="inlineStr">
        <is>
          <t>Invoiced to date</t>
        </is>
      </c>
      <c r="O5" s="58" t="inlineStr">
        <is>
          <t>Invoiced to prior</t>
        </is>
      </c>
      <c r="P5" s="58" t="inlineStr">
        <is>
          <t>Opening WIP</t>
        </is>
      </c>
      <c r="Q5" s="58" t="inlineStr">
        <is>
          <t>Movement</t>
        </is>
      </c>
      <c r="R5" s="58" t="inlineStr">
        <is>
          <t>Closing WIP</t>
        </is>
      </c>
    </row>
    <row r="6">
      <c r="A6" s="59">
        <f>ROW()-5</f>
        <v/>
      </c>
      <c r="B6" s="60">
        <f>IFERROR(INDEX(tbl_Finance[Date],$A6),"")</f>
        <v/>
      </c>
      <c r="C6" s="61">
        <f>IFERROR(INDEX(tbl_Finance[Xero Invoice No],$A6),"")</f>
        <v/>
      </c>
      <c r="D6" s="61">
        <f>IFERROR(INDEX(tbl_Finance[Client],$A6),"")</f>
        <v/>
      </c>
      <c r="E6" s="61">
        <f>IFERROR(INDEX(tbl_Finance[Job Number],$A6),"")</f>
        <v/>
      </c>
      <c r="F6" s="61">
        <f>IFERROR(INDEX(tbl_Finance[Cost Centre],$A6),"")</f>
        <v/>
      </c>
      <c r="G6" s="62">
        <f>IFERROR(INDEX(tbl_Finance[Ex GST],$A6),"")</f>
        <v/>
      </c>
      <c r="H6" s="60">
        <f>IFERROR(INDEX(tbl_Finance[Defer Start],$A6),"")</f>
        <v/>
      </c>
      <c r="I6" s="60">
        <f>IFERROR(INDEX(tbl_Finance[Defer End],$A6),"")</f>
        <v/>
      </c>
      <c r="J6" s="59">
        <f>IF(OR($H6="",$I6="",$G6=""),"",MAX(1,(YEAR($I6)-YEAR($H6))*12+MONTH($I6)-MONTH($H6)+1))</f>
        <v/>
      </c>
      <c r="K6" s="62">
        <f>IF($J6="","",$G6/$J6)</f>
        <v/>
      </c>
      <c r="L6" s="62">
        <f>IF($J6="",0,$K6*MAX(0,MIN(YEAR($C$3)*12+MONTH($C$3),YEAR($I6)*12+MONTH($I6))-(YEAR($H6)*12+MONTH($H6))+1))</f>
        <v/>
      </c>
      <c r="M6" s="62">
        <f>IF($J6="",0,$K6*MAX(0,MIN(YEAR($C$3)*12+MONTH($C$3)-1,YEAR($I6)*12+MONTH($I6))-(YEAR($H6)*12+MONTH($H6))+1))</f>
        <v/>
      </c>
      <c r="N6" s="62">
        <f>IF(OR($J6="",$B6=""),0,IF(YEAR($B6)*12+MONTH($B6)&lt;=YEAR($C$3)*12+MONTH($C$3),$G6,0))</f>
        <v/>
      </c>
      <c r="O6" s="62">
        <f>IF(OR($J6="",$B6=""),0,IF(YEAR($B6)*12+MONTH($B6)&lt;=YEAR($C$3)*12+MONTH($C$3)-1,$G6,0))</f>
        <v/>
      </c>
      <c r="P6" s="62">
        <f>$M6-$O6</f>
        <v/>
      </c>
      <c r="Q6" s="62">
        <f>($L6-$M6)-($N6-$O6)</f>
        <v/>
      </c>
      <c r="R6" s="62">
        <f>$L6-$N6</f>
        <v/>
      </c>
    </row>
    <row r="7">
      <c r="A7" s="59">
        <f>ROW()-5</f>
        <v/>
      </c>
      <c r="B7" s="60">
        <f>IFERROR(INDEX(tbl_Finance[Date],$A7),"")</f>
        <v/>
      </c>
      <c r="C7" s="61">
        <f>IFERROR(INDEX(tbl_Finance[Xero Invoice No],$A7),"")</f>
        <v/>
      </c>
      <c r="D7" s="61">
        <f>IFERROR(INDEX(tbl_Finance[Client],$A7),"")</f>
        <v/>
      </c>
      <c r="E7" s="61">
        <f>IFERROR(INDEX(tbl_Finance[Job Number],$A7),"")</f>
        <v/>
      </c>
      <c r="F7" s="61">
        <f>IFERROR(INDEX(tbl_Finance[Cost Centre],$A7),"")</f>
        <v/>
      </c>
      <c r="G7" s="62">
        <f>IFERROR(INDEX(tbl_Finance[Ex GST],$A7),"")</f>
        <v/>
      </c>
      <c r="H7" s="60">
        <f>IFERROR(INDEX(tbl_Finance[Defer Start],$A7),"")</f>
        <v/>
      </c>
      <c r="I7" s="60">
        <f>IFERROR(INDEX(tbl_Finance[Defer End],$A7),"")</f>
        <v/>
      </c>
      <c r="J7" s="59">
        <f>IF(OR($H7="",$I7="",$G7=""),"",MAX(1,(YEAR($I7)-YEAR($H7))*12+MONTH($I7)-MONTH($H7)+1))</f>
        <v/>
      </c>
      <c r="K7" s="62">
        <f>IF($J7="","",$G7/$J7)</f>
        <v/>
      </c>
      <c r="L7" s="62">
        <f>IF($J7="",0,$K7*MAX(0,MIN(YEAR($C$3)*12+MONTH($C$3),YEAR($I7)*12+MONTH($I7))-(YEAR($H7)*12+MONTH($H7))+1))</f>
        <v/>
      </c>
      <c r="M7" s="62">
        <f>IF($J7="",0,$K7*MAX(0,MIN(YEAR($C$3)*12+MONTH($C$3)-1,YEAR($I7)*12+MONTH($I7))-(YEAR($H7)*12+MONTH($H7))+1))</f>
        <v/>
      </c>
      <c r="N7" s="62">
        <f>IF(OR($J7="",$B7=""),0,IF(YEAR($B7)*12+MONTH($B7)&lt;=YEAR($C$3)*12+MONTH($C$3),$G7,0))</f>
        <v/>
      </c>
      <c r="O7" s="62">
        <f>IF(OR($J7="",$B7=""),0,IF(YEAR($B7)*12+MONTH($B7)&lt;=YEAR($C$3)*12+MONTH($C$3)-1,$G7,0))</f>
        <v/>
      </c>
      <c r="P7" s="62">
        <f>$M7-$O7</f>
        <v/>
      </c>
      <c r="Q7" s="62">
        <f>($L7-$M7)-($N7-$O7)</f>
        <v/>
      </c>
      <c r="R7" s="62">
        <f>$L7-$N7</f>
        <v/>
      </c>
    </row>
    <row r="8">
      <c r="A8" s="59">
        <f>ROW()-5</f>
        <v/>
      </c>
      <c r="B8" s="60">
        <f>IFERROR(INDEX(tbl_Finance[Date],$A8),"")</f>
        <v/>
      </c>
      <c r="C8" s="61">
        <f>IFERROR(INDEX(tbl_Finance[Xero Invoice No],$A8),"")</f>
        <v/>
      </c>
      <c r="D8" s="61">
        <f>IFERROR(INDEX(tbl_Finance[Client],$A8),"")</f>
        <v/>
      </c>
      <c r="E8" s="61">
        <f>IFERROR(INDEX(tbl_Finance[Job Number],$A8),"")</f>
        <v/>
      </c>
      <c r="F8" s="61">
        <f>IFERROR(INDEX(tbl_Finance[Cost Centre],$A8),"")</f>
        <v/>
      </c>
      <c r="G8" s="62">
        <f>IFERROR(INDEX(tbl_Finance[Ex GST],$A8),"")</f>
        <v/>
      </c>
      <c r="H8" s="60">
        <f>IFERROR(INDEX(tbl_Finance[Defer Start],$A8),"")</f>
        <v/>
      </c>
      <c r="I8" s="60">
        <f>IFERROR(INDEX(tbl_Finance[Defer End],$A8),"")</f>
        <v/>
      </c>
      <c r="J8" s="59">
        <f>IF(OR($H8="",$I8="",$G8=""),"",MAX(1,(YEAR($I8)-YEAR($H8))*12+MONTH($I8)-MONTH($H8)+1))</f>
        <v/>
      </c>
      <c r="K8" s="62">
        <f>IF($J8="","",$G8/$J8)</f>
        <v/>
      </c>
      <c r="L8" s="62">
        <f>IF($J8="",0,$K8*MAX(0,MIN(YEAR($C$3)*12+MONTH($C$3),YEAR($I8)*12+MONTH($I8))-(YEAR($H8)*12+MONTH($H8))+1))</f>
        <v/>
      </c>
      <c r="M8" s="62">
        <f>IF($J8="",0,$K8*MAX(0,MIN(YEAR($C$3)*12+MONTH($C$3)-1,YEAR($I8)*12+MONTH($I8))-(YEAR($H8)*12+MONTH($H8))+1))</f>
        <v/>
      </c>
      <c r="N8" s="62">
        <f>IF(OR($J8="",$B8=""),0,IF(YEAR($B8)*12+MONTH($B8)&lt;=YEAR($C$3)*12+MONTH($C$3),$G8,0))</f>
        <v/>
      </c>
      <c r="O8" s="62">
        <f>IF(OR($J8="",$B8=""),0,IF(YEAR($B8)*12+MONTH($B8)&lt;=YEAR($C$3)*12+MONTH($C$3)-1,$G8,0))</f>
        <v/>
      </c>
      <c r="P8" s="62">
        <f>$M8-$O8</f>
        <v/>
      </c>
      <c r="Q8" s="62">
        <f>($L8-$M8)-($N8-$O8)</f>
        <v/>
      </c>
      <c r="R8" s="62">
        <f>$L8-$N8</f>
        <v/>
      </c>
    </row>
    <row r="9">
      <c r="A9" s="59">
        <f>ROW()-5</f>
        <v/>
      </c>
      <c r="B9" s="60">
        <f>IFERROR(INDEX(tbl_Finance[Date],$A9),"")</f>
        <v/>
      </c>
      <c r="C9" s="61">
        <f>IFERROR(INDEX(tbl_Finance[Xero Invoice No],$A9),"")</f>
        <v/>
      </c>
      <c r="D9" s="61">
        <f>IFERROR(INDEX(tbl_Finance[Client],$A9),"")</f>
        <v/>
      </c>
      <c r="E9" s="61">
        <f>IFERROR(INDEX(tbl_Finance[Job Number],$A9),"")</f>
        <v/>
      </c>
      <c r="F9" s="61">
        <f>IFERROR(INDEX(tbl_Finance[Cost Centre],$A9),"")</f>
        <v/>
      </c>
      <c r="G9" s="62">
        <f>IFERROR(INDEX(tbl_Finance[Ex GST],$A9),"")</f>
        <v/>
      </c>
      <c r="H9" s="60">
        <f>IFERROR(INDEX(tbl_Finance[Defer Start],$A9),"")</f>
        <v/>
      </c>
      <c r="I9" s="60">
        <f>IFERROR(INDEX(tbl_Finance[Defer End],$A9),"")</f>
        <v/>
      </c>
      <c r="J9" s="59">
        <f>IF(OR($H9="",$I9="",$G9=""),"",MAX(1,(YEAR($I9)-YEAR($H9))*12+MONTH($I9)-MONTH($H9)+1))</f>
        <v/>
      </c>
      <c r="K9" s="62">
        <f>IF($J9="","",$G9/$J9)</f>
        <v/>
      </c>
      <c r="L9" s="62">
        <f>IF($J9="",0,$K9*MAX(0,MIN(YEAR($C$3)*12+MONTH($C$3),YEAR($I9)*12+MONTH($I9))-(YEAR($H9)*12+MONTH($H9))+1))</f>
        <v/>
      </c>
      <c r="M9" s="62">
        <f>IF($J9="",0,$K9*MAX(0,MIN(YEAR($C$3)*12+MONTH($C$3)-1,YEAR($I9)*12+MONTH($I9))-(YEAR($H9)*12+MONTH($H9))+1))</f>
        <v/>
      </c>
      <c r="N9" s="62">
        <f>IF(OR($J9="",$B9=""),0,IF(YEAR($B9)*12+MONTH($B9)&lt;=YEAR($C$3)*12+MONTH($C$3),$G9,0))</f>
        <v/>
      </c>
      <c r="O9" s="62">
        <f>IF(OR($J9="",$B9=""),0,IF(YEAR($B9)*12+MONTH($B9)&lt;=YEAR($C$3)*12+MONTH($C$3)-1,$G9,0))</f>
        <v/>
      </c>
      <c r="P9" s="62">
        <f>$M9-$O9</f>
        <v/>
      </c>
      <c r="Q9" s="62">
        <f>($L9-$M9)-($N9-$O9)</f>
        <v/>
      </c>
      <c r="R9" s="62">
        <f>$L9-$N9</f>
        <v/>
      </c>
    </row>
    <row r="10">
      <c r="A10" s="59">
        <f>ROW()-5</f>
        <v/>
      </c>
      <c r="B10" s="60">
        <f>IFERROR(INDEX(tbl_Finance[Date],$A10),"")</f>
        <v/>
      </c>
      <c r="C10" s="61">
        <f>IFERROR(INDEX(tbl_Finance[Xero Invoice No],$A10),"")</f>
        <v/>
      </c>
      <c r="D10" s="61">
        <f>IFERROR(INDEX(tbl_Finance[Client],$A10),"")</f>
        <v/>
      </c>
      <c r="E10" s="61">
        <f>IFERROR(INDEX(tbl_Finance[Job Number],$A10),"")</f>
        <v/>
      </c>
      <c r="F10" s="61">
        <f>IFERROR(INDEX(tbl_Finance[Cost Centre],$A10),"")</f>
        <v/>
      </c>
      <c r="G10" s="62">
        <f>IFERROR(INDEX(tbl_Finance[Ex GST],$A10),"")</f>
        <v/>
      </c>
      <c r="H10" s="60">
        <f>IFERROR(INDEX(tbl_Finance[Defer Start],$A10),"")</f>
        <v/>
      </c>
      <c r="I10" s="60">
        <f>IFERROR(INDEX(tbl_Finance[Defer End],$A10),"")</f>
        <v/>
      </c>
      <c r="J10" s="59">
        <f>IF(OR($H10="",$I10="",$G10=""),"",MAX(1,(YEAR($I10)-YEAR($H10))*12+MONTH($I10)-MONTH($H10)+1))</f>
        <v/>
      </c>
      <c r="K10" s="62">
        <f>IF($J10="","",$G10/$J10)</f>
        <v/>
      </c>
      <c r="L10" s="62">
        <f>IF($J10="",0,$K10*MAX(0,MIN(YEAR($C$3)*12+MONTH($C$3),YEAR($I10)*12+MONTH($I10))-(YEAR($H10)*12+MONTH($H10))+1))</f>
        <v/>
      </c>
      <c r="M10" s="62">
        <f>IF($J10="",0,$K10*MAX(0,MIN(YEAR($C$3)*12+MONTH($C$3)-1,YEAR($I10)*12+MONTH($I10))-(YEAR($H10)*12+MONTH($H10))+1))</f>
        <v/>
      </c>
      <c r="N10" s="62">
        <f>IF(OR($J10="",$B10=""),0,IF(YEAR($B10)*12+MONTH($B10)&lt;=YEAR($C$3)*12+MONTH($C$3),$G10,0))</f>
        <v/>
      </c>
      <c r="O10" s="62">
        <f>IF(OR($J10="",$B10=""),0,IF(YEAR($B10)*12+MONTH($B10)&lt;=YEAR($C$3)*12+MONTH($C$3)-1,$G10,0))</f>
        <v/>
      </c>
      <c r="P10" s="62">
        <f>$M10-$O10</f>
        <v/>
      </c>
      <c r="Q10" s="62">
        <f>($L10-$M10)-($N10-$O10)</f>
        <v/>
      </c>
      <c r="R10" s="62">
        <f>$L10-$N10</f>
        <v/>
      </c>
    </row>
    <row r="11">
      <c r="A11" s="59">
        <f>ROW()-5</f>
        <v/>
      </c>
      <c r="B11" s="60">
        <f>IFERROR(INDEX(tbl_Finance[Date],$A11),"")</f>
        <v/>
      </c>
      <c r="C11" s="61">
        <f>IFERROR(INDEX(tbl_Finance[Xero Invoice No],$A11),"")</f>
        <v/>
      </c>
      <c r="D11" s="61">
        <f>IFERROR(INDEX(tbl_Finance[Client],$A11),"")</f>
        <v/>
      </c>
      <c r="E11" s="61">
        <f>IFERROR(INDEX(tbl_Finance[Job Number],$A11),"")</f>
        <v/>
      </c>
      <c r="F11" s="61">
        <f>IFERROR(INDEX(tbl_Finance[Cost Centre],$A11),"")</f>
        <v/>
      </c>
      <c r="G11" s="62">
        <f>IFERROR(INDEX(tbl_Finance[Ex GST],$A11),"")</f>
        <v/>
      </c>
      <c r="H11" s="60">
        <f>IFERROR(INDEX(tbl_Finance[Defer Start],$A11),"")</f>
        <v/>
      </c>
      <c r="I11" s="60">
        <f>IFERROR(INDEX(tbl_Finance[Defer End],$A11),"")</f>
        <v/>
      </c>
      <c r="J11" s="59">
        <f>IF(OR($H11="",$I11="",$G11=""),"",MAX(1,(YEAR($I11)-YEAR($H11))*12+MONTH($I11)-MONTH($H11)+1))</f>
        <v/>
      </c>
      <c r="K11" s="62">
        <f>IF($J11="","",$G11/$J11)</f>
        <v/>
      </c>
      <c r="L11" s="62">
        <f>IF($J11="",0,$K11*MAX(0,MIN(YEAR($C$3)*12+MONTH($C$3),YEAR($I11)*12+MONTH($I11))-(YEAR($H11)*12+MONTH($H11))+1))</f>
        <v/>
      </c>
      <c r="M11" s="62">
        <f>IF($J11="",0,$K11*MAX(0,MIN(YEAR($C$3)*12+MONTH($C$3)-1,YEAR($I11)*12+MONTH($I11))-(YEAR($H11)*12+MONTH($H11))+1))</f>
        <v/>
      </c>
      <c r="N11" s="62">
        <f>IF(OR($J11="",$B11=""),0,IF(YEAR($B11)*12+MONTH($B11)&lt;=YEAR($C$3)*12+MONTH($C$3),$G11,0))</f>
        <v/>
      </c>
      <c r="O11" s="62">
        <f>IF(OR($J11="",$B11=""),0,IF(YEAR($B11)*12+MONTH($B11)&lt;=YEAR($C$3)*12+MONTH($C$3)-1,$G11,0))</f>
        <v/>
      </c>
      <c r="P11" s="62">
        <f>$M11-$O11</f>
        <v/>
      </c>
      <c r="Q11" s="62">
        <f>($L11-$M11)-($N11-$O11)</f>
        <v/>
      </c>
      <c r="R11" s="62">
        <f>$L11-$N11</f>
        <v/>
      </c>
    </row>
    <row r="12">
      <c r="A12" s="59">
        <f>ROW()-5</f>
        <v/>
      </c>
      <c r="B12" s="60">
        <f>IFERROR(INDEX(tbl_Finance[Date],$A12),"")</f>
        <v/>
      </c>
      <c r="C12" s="61">
        <f>IFERROR(INDEX(tbl_Finance[Xero Invoice No],$A12),"")</f>
        <v/>
      </c>
      <c r="D12" s="61">
        <f>IFERROR(INDEX(tbl_Finance[Client],$A12),"")</f>
        <v/>
      </c>
      <c r="E12" s="61">
        <f>IFERROR(INDEX(tbl_Finance[Job Number],$A12),"")</f>
        <v/>
      </c>
      <c r="F12" s="61">
        <f>IFERROR(INDEX(tbl_Finance[Cost Centre],$A12),"")</f>
        <v/>
      </c>
      <c r="G12" s="62">
        <f>IFERROR(INDEX(tbl_Finance[Ex GST],$A12),"")</f>
        <v/>
      </c>
      <c r="H12" s="60">
        <f>IFERROR(INDEX(tbl_Finance[Defer Start],$A12),"")</f>
        <v/>
      </c>
      <c r="I12" s="60">
        <f>IFERROR(INDEX(tbl_Finance[Defer End],$A12),"")</f>
        <v/>
      </c>
      <c r="J12" s="59">
        <f>IF(OR($H12="",$I12="",$G12=""),"",MAX(1,(YEAR($I12)-YEAR($H12))*12+MONTH($I12)-MONTH($H12)+1))</f>
        <v/>
      </c>
      <c r="K12" s="62">
        <f>IF($J12="","",$G12/$J12)</f>
        <v/>
      </c>
      <c r="L12" s="62">
        <f>IF($J12="",0,$K12*MAX(0,MIN(YEAR($C$3)*12+MONTH($C$3),YEAR($I12)*12+MONTH($I12))-(YEAR($H12)*12+MONTH($H12))+1))</f>
        <v/>
      </c>
      <c r="M12" s="62">
        <f>IF($J12="",0,$K12*MAX(0,MIN(YEAR($C$3)*12+MONTH($C$3)-1,YEAR($I12)*12+MONTH($I12))-(YEAR($H12)*12+MONTH($H12))+1))</f>
        <v/>
      </c>
      <c r="N12" s="62">
        <f>IF(OR($J12="",$B12=""),0,IF(YEAR($B12)*12+MONTH($B12)&lt;=YEAR($C$3)*12+MONTH($C$3),$G12,0))</f>
        <v/>
      </c>
      <c r="O12" s="62">
        <f>IF(OR($J12="",$B12=""),0,IF(YEAR($B12)*12+MONTH($B12)&lt;=YEAR($C$3)*12+MONTH($C$3)-1,$G12,0))</f>
        <v/>
      </c>
      <c r="P12" s="62">
        <f>$M12-$O12</f>
        <v/>
      </c>
      <c r="Q12" s="62">
        <f>($L12-$M12)-($N12-$O12)</f>
        <v/>
      </c>
      <c r="R12" s="62">
        <f>$L12-$N12</f>
        <v/>
      </c>
    </row>
    <row r="13">
      <c r="A13" s="59">
        <f>ROW()-5</f>
        <v/>
      </c>
      <c r="B13" s="60">
        <f>IFERROR(INDEX(tbl_Finance[Date],$A13),"")</f>
        <v/>
      </c>
      <c r="C13" s="61">
        <f>IFERROR(INDEX(tbl_Finance[Xero Invoice No],$A13),"")</f>
        <v/>
      </c>
      <c r="D13" s="61">
        <f>IFERROR(INDEX(tbl_Finance[Client],$A13),"")</f>
        <v/>
      </c>
      <c r="E13" s="61">
        <f>IFERROR(INDEX(tbl_Finance[Job Number],$A13),"")</f>
        <v/>
      </c>
      <c r="F13" s="61">
        <f>IFERROR(INDEX(tbl_Finance[Cost Centre],$A13),"")</f>
        <v/>
      </c>
      <c r="G13" s="62">
        <f>IFERROR(INDEX(tbl_Finance[Ex GST],$A13),"")</f>
        <v/>
      </c>
      <c r="H13" s="60">
        <f>IFERROR(INDEX(tbl_Finance[Defer Start],$A13),"")</f>
        <v/>
      </c>
      <c r="I13" s="60">
        <f>IFERROR(INDEX(tbl_Finance[Defer End],$A13),"")</f>
        <v/>
      </c>
      <c r="J13" s="59">
        <f>IF(OR($H13="",$I13="",$G13=""),"",MAX(1,(YEAR($I13)-YEAR($H13))*12+MONTH($I13)-MONTH($H13)+1))</f>
        <v/>
      </c>
      <c r="K13" s="62">
        <f>IF($J13="","",$G13/$J13)</f>
        <v/>
      </c>
      <c r="L13" s="62">
        <f>IF($J13="",0,$K13*MAX(0,MIN(YEAR($C$3)*12+MONTH($C$3),YEAR($I13)*12+MONTH($I13))-(YEAR($H13)*12+MONTH($H13))+1))</f>
        <v/>
      </c>
      <c r="M13" s="62">
        <f>IF($J13="",0,$K13*MAX(0,MIN(YEAR($C$3)*12+MONTH($C$3)-1,YEAR($I13)*12+MONTH($I13))-(YEAR($H13)*12+MONTH($H13))+1))</f>
        <v/>
      </c>
      <c r="N13" s="62">
        <f>IF(OR($J13="",$B13=""),0,IF(YEAR($B13)*12+MONTH($B13)&lt;=YEAR($C$3)*12+MONTH($C$3),$G13,0))</f>
        <v/>
      </c>
      <c r="O13" s="62">
        <f>IF(OR($J13="",$B13=""),0,IF(YEAR($B13)*12+MONTH($B13)&lt;=YEAR($C$3)*12+MONTH($C$3)-1,$G13,0))</f>
        <v/>
      </c>
      <c r="P13" s="62">
        <f>$M13-$O13</f>
        <v/>
      </c>
      <c r="Q13" s="62">
        <f>($L13-$M13)-($N13-$O13)</f>
        <v/>
      </c>
      <c r="R13" s="62">
        <f>$L13-$N13</f>
        <v/>
      </c>
    </row>
    <row r="14">
      <c r="A14" s="59">
        <f>ROW()-5</f>
        <v/>
      </c>
      <c r="B14" s="60">
        <f>IFERROR(INDEX(tbl_Finance[Date],$A14),"")</f>
        <v/>
      </c>
      <c r="C14" s="61">
        <f>IFERROR(INDEX(tbl_Finance[Xero Invoice No],$A14),"")</f>
        <v/>
      </c>
      <c r="D14" s="61">
        <f>IFERROR(INDEX(tbl_Finance[Client],$A14),"")</f>
        <v/>
      </c>
      <c r="E14" s="61">
        <f>IFERROR(INDEX(tbl_Finance[Job Number],$A14),"")</f>
        <v/>
      </c>
      <c r="F14" s="61">
        <f>IFERROR(INDEX(tbl_Finance[Cost Centre],$A14),"")</f>
        <v/>
      </c>
      <c r="G14" s="62">
        <f>IFERROR(INDEX(tbl_Finance[Ex GST],$A14),"")</f>
        <v/>
      </c>
      <c r="H14" s="60">
        <f>IFERROR(INDEX(tbl_Finance[Defer Start],$A14),"")</f>
        <v/>
      </c>
      <c r="I14" s="60">
        <f>IFERROR(INDEX(tbl_Finance[Defer End],$A14),"")</f>
        <v/>
      </c>
      <c r="J14" s="59">
        <f>IF(OR($H14="",$I14="",$G14=""),"",MAX(1,(YEAR($I14)-YEAR($H14))*12+MONTH($I14)-MONTH($H14)+1))</f>
        <v/>
      </c>
      <c r="K14" s="62">
        <f>IF($J14="","",$G14/$J14)</f>
        <v/>
      </c>
      <c r="L14" s="62">
        <f>IF($J14="",0,$K14*MAX(0,MIN(YEAR($C$3)*12+MONTH($C$3),YEAR($I14)*12+MONTH($I14))-(YEAR($H14)*12+MONTH($H14))+1))</f>
        <v/>
      </c>
      <c r="M14" s="62">
        <f>IF($J14="",0,$K14*MAX(0,MIN(YEAR($C$3)*12+MONTH($C$3)-1,YEAR($I14)*12+MONTH($I14))-(YEAR($H14)*12+MONTH($H14))+1))</f>
        <v/>
      </c>
      <c r="N14" s="62">
        <f>IF(OR($J14="",$B14=""),0,IF(YEAR($B14)*12+MONTH($B14)&lt;=YEAR($C$3)*12+MONTH($C$3),$G14,0))</f>
        <v/>
      </c>
      <c r="O14" s="62">
        <f>IF(OR($J14="",$B14=""),0,IF(YEAR($B14)*12+MONTH($B14)&lt;=YEAR($C$3)*12+MONTH($C$3)-1,$G14,0))</f>
        <v/>
      </c>
      <c r="P14" s="62">
        <f>$M14-$O14</f>
        <v/>
      </c>
      <c r="Q14" s="62">
        <f>($L14-$M14)-($N14-$O14)</f>
        <v/>
      </c>
      <c r="R14" s="62">
        <f>$L14-$N14</f>
        <v/>
      </c>
    </row>
    <row r="15">
      <c r="A15" s="59">
        <f>ROW()-5</f>
        <v/>
      </c>
      <c r="B15" s="60">
        <f>IFERROR(INDEX(tbl_Finance[Date],$A15),"")</f>
        <v/>
      </c>
      <c r="C15" s="61">
        <f>IFERROR(INDEX(tbl_Finance[Xero Invoice No],$A15),"")</f>
        <v/>
      </c>
      <c r="D15" s="61">
        <f>IFERROR(INDEX(tbl_Finance[Client],$A15),"")</f>
        <v/>
      </c>
      <c r="E15" s="61">
        <f>IFERROR(INDEX(tbl_Finance[Job Number],$A15),"")</f>
        <v/>
      </c>
      <c r="F15" s="61">
        <f>IFERROR(INDEX(tbl_Finance[Cost Centre],$A15),"")</f>
        <v/>
      </c>
      <c r="G15" s="62">
        <f>IFERROR(INDEX(tbl_Finance[Ex GST],$A15),"")</f>
        <v/>
      </c>
      <c r="H15" s="60">
        <f>IFERROR(INDEX(tbl_Finance[Defer Start],$A15),"")</f>
        <v/>
      </c>
      <c r="I15" s="60">
        <f>IFERROR(INDEX(tbl_Finance[Defer End],$A15),"")</f>
        <v/>
      </c>
      <c r="J15" s="59">
        <f>IF(OR($H15="",$I15="",$G15=""),"",MAX(1,(YEAR($I15)-YEAR($H15))*12+MONTH($I15)-MONTH($H15)+1))</f>
        <v/>
      </c>
      <c r="K15" s="62">
        <f>IF($J15="","",$G15/$J15)</f>
        <v/>
      </c>
      <c r="L15" s="62">
        <f>IF($J15="",0,$K15*MAX(0,MIN(YEAR($C$3)*12+MONTH($C$3),YEAR($I15)*12+MONTH($I15))-(YEAR($H15)*12+MONTH($H15))+1))</f>
        <v/>
      </c>
      <c r="M15" s="62">
        <f>IF($J15="",0,$K15*MAX(0,MIN(YEAR($C$3)*12+MONTH($C$3)-1,YEAR($I15)*12+MONTH($I15))-(YEAR($H15)*12+MONTH($H15))+1))</f>
        <v/>
      </c>
      <c r="N15" s="62">
        <f>IF(OR($J15="",$B15=""),0,IF(YEAR($B15)*12+MONTH($B15)&lt;=YEAR($C$3)*12+MONTH($C$3),$G15,0))</f>
        <v/>
      </c>
      <c r="O15" s="62">
        <f>IF(OR($J15="",$B15=""),0,IF(YEAR($B15)*12+MONTH($B15)&lt;=YEAR($C$3)*12+MONTH($C$3)-1,$G15,0))</f>
        <v/>
      </c>
      <c r="P15" s="62">
        <f>$M15-$O15</f>
        <v/>
      </c>
      <c r="Q15" s="62">
        <f>($L15-$M15)-($N15-$O15)</f>
        <v/>
      </c>
      <c r="R15" s="62">
        <f>$L15-$N15</f>
        <v/>
      </c>
    </row>
    <row r="16">
      <c r="A16" s="59">
        <f>ROW()-5</f>
        <v/>
      </c>
      <c r="B16" s="60">
        <f>IFERROR(INDEX(tbl_Finance[Date],$A16),"")</f>
        <v/>
      </c>
      <c r="C16" s="61">
        <f>IFERROR(INDEX(tbl_Finance[Xero Invoice No],$A16),"")</f>
        <v/>
      </c>
      <c r="D16" s="61">
        <f>IFERROR(INDEX(tbl_Finance[Client],$A16),"")</f>
        <v/>
      </c>
      <c r="E16" s="61">
        <f>IFERROR(INDEX(tbl_Finance[Job Number],$A16),"")</f>
        <v/>
      </c>
      <c r="F16" s="61">
        <f>IFERROR(INDEX(tbl_Finance[Cost Centre],$A16),"")</f>
        <v/>
      </c>
      <c r="G16" s="62">
        <f>IFERROR(INDEX(tbl_Finance[Ex GST],$A16),"")</f>
        <v/>
      </c>
      <c r="H16" s="60">
        <f>IFERROR(INDEX(tbl_Finance[Defer Start],$A16),"")</f>
        <v/>
      </c>
      <c r="I16" s="60">
        <f>IFERROR(INDEX(tbl_Finance[Defer End],$A16),"")</f>
        <v/>
      </c>
      <c r="J16" s="59">
        <f>IF(OR($H16="",$I16="",$G16=""),"",MAX(1,(YEAR($I16)-YEAR($H16))*12+MONTH($I16)-MONTH($H16)+1))</f>
        <v/>
      </c>
      <c r="K16" s="62">
        <f>IF($J16="","",$G16/$J16)</f>
        <v/>
      </c>
      <c r="L16" s="62">
        <f>IF($J16="",0,$K16*MAX(0,MIN(YEAR($C$3)*12+MONTH($C$3),YEAR($I16)*12+MONTH($I16))-(YEAR($H16)*12+MONTH($H16))+1))</f>
        <v/>
      </c>
      <c r="M16" s="62">
        <f>IF($J16="",0,$K16*MAX(0,MIN(YEAR($C$3)*12+MONTH($C$3)-1,YEAR($I16)*12+MONTH($I16))-(YEAR($H16)*12+MONTH($H16))+1))</f>
        <v/>
      </c>
      <c r="N16" s="62">
        <f>IF(OR($J16="",$B16=""),0,IF(YEAR($B16)*12+MONTH($B16)&lt;=YEAR($C$3)*12+MONTH($C$3),$G16,0))</f>
        <v/>
      </c>
      <c r="O16" s="62">
        <f>IF(OR($J16="",$B16=""),0,IF(YEAR($B16)*12+MONTH($B16)&lt;=YEAR($C$3)*12+MONTH($C$3)-1,$G16,0))</f>
        <v/>
      </c>
      <c r="P16" s="62">
        <f>$M16-$O16</f>
        <v/>
      </c>
      <c r="Q16" s="62">
        <f>($L16-$M16)-($N16-$O16)</f>
        <v/>
      </c>
      <c r="R16" s="62">
        <f>$L16-$N16</f>
        <v/>
      </c>
    </row>
    <row r="17">
      <c r="A17" s="59">
        <f>ROW()-5</f>
        <v/>
      </c>
      <c r="B17" s="60">
        <f>IFERROR(INDEX(tbl_Finance[Date],$A17),"")</f>
        <v/>
      </c>
      <c r="C17" s="61">
        <f>IFERROR(INDEX(tbl_Finance[Xero Invoice No],$A17),"")</f>
        <v/>
      </c>
      <c r="D17" s="61">
        <f>IFERROR(INDEX(tbl_Finance[Client],$A17),"")</f>
        <v/>
      </c>
      <c r="E17" s="61">
        <f>IFERROR(INDEX(tbl_Finance[Job Number],$A17),"")</f>
        <v/>
      </c>
      <c r="F17" s="61">
        <f>IFERROR(INDEX(tbl_Finance[Cost Centre],$A17),"")</f>
        <v/>
      </c>
      <c r="G17" s="62">
        <f>IFERROR(INDEX(tbl_Finance[Ex GST],$A17),"")</f>
        <v/>
      </c>
      <c r="H17" s="60">
        <f>IFERROR(INDEX(tbl_Finance[Defer Start],$A17),"")</f>
        <v/>
      </c>
      <c r="I17" s="60">
        <f>IFERROR(INDEX(tbl_Finance[Defer End],$A17),"")</f>
        <v/>
      </c>
      <c r="J17" s="59">
        <f>IF(OR($H17="",$I17="",$G17=""),"",MAX(1,(YEAR($I17)-YEAR($H17))*12+MONTH($I17)-MONTH($H17)+1))</f>
        <v/>
      </c>
      <c r="K17" s="62">
        <f>IF($J17="","",$G17/$J17)</f>
        <v/>
      </c>
      <c r="L17" s="62">
        <f>IF($J17="",0,$K17*MAX(0,MIN(YEAR($C$3)*12+MONTH($C$3),YEAR($I17)*12+MONTH($I17))-(YEAR($H17)*12+MONTH($H17))+1))</f>
        <v/>
      </c>
      <c r="M17" s="62">
        <f>IF($J17="",0,$K17*MAX(0,MIN(YEAR($C$3)*12+MONTH($C$3)-1,YEAR($I17)*12+MONTH($I17))-(YEAR($H17)*12+MONTH($H17))+1))</f>
        <v/>
      </c>
      <c r="N17" s="62">
        <f>IF(OR($J17="",$B17=""),0,IF(YEAR($B17)*12+MONTH($B17)&lt;=YEAR($C$3)*12+MONTH($C$3),$G17,0))</f>
        <v/>
      </c>
      <c r="O17" s="62">
        <f>IF(OR($J17="",$B17=""),0,IF(YEAR($B17)*12+MONTH($B17)&lt;=YEAR($C$3)*12+MONTH($C$3)-1,$G17,0))</f>
        <v/>
      </c>
      <c r="P17" s="62">
        <f>$M17-$O17</f>
        <v/>
      </c>
      <c r="Q17" s="62">
        <f>($L17-$M17)-($N17-$O17)</f>
        <v/>
      </c>
      <c r="R17" s="62">
        <f>$L17-$N17</f>
        <v/>
      </c>
    </row>
    <row r="18">
      <c r="A18" s="59">
        <f>ROW()-5</f>
        <v/>
      </c>
      <c r="B18" s="60">
        <f>IFERROR(INDEX(tbl_Finance[Date],$A18),"")</f>
        <v/>
      </c>
      <c r="C18" s="61">
        <f>IFERROR(INDEX(tbl_Finance[Xero Invoice No],$A18),"")</f>
        <v/>
      </c>
      <c r="D18" s="61">
        <f>IFERROR(INDEX(tbl_Finance[Client],$A18),"")</f>
        <v/>
      </c>
      <c r="E18" s="61">
        <f>IFERROR(INDEX(tbl_Finance[Job Number],$A18),"")</f>
        <v/>
      </c>
      <c r="F18" s="61">
        <f>IFERROR(INDEX(tbl_Finance[Cost Centre],$A18),"")</f>
        <v/>
      </c>
      <c r="G18" s="62">
        <f>IFERROR(INDEX(tbl_Finance[Ex GST],$A18),"")</f>
        <v/>
      </c>
      <c r="H18" s="60">
        <f>IFERROR(INDEX(tbl_Finance[Defer Start],$A18),"")</f>
        <v/>
      </c>
      <c r="I18" s="60">
        <f>IFERROR(INDEX(tbl_Finance[Defer End],$A18),"")</f>
        <v/>
      </c>
      <c r="J18" s="59">
        <f>IF(OR($H18="",$I18="",$G18=""),"",MAX(1,(YEAR($I18)-YEAR($H18))*12+MONTH($I18)-MONTH($H18)+1))</f>
        <v/>
      </c>
      <c r="K18" s="62">
        <f>IF($J18="","",$G18/$J18)</f>
        <v/>
      </c>
      <c r="L18" s="62">
        <f>IF($J18="",0,$K18*MAX(0,MIN(YEAR($C$3)*12+MONTH($C$3),YEAR($I18)*12+MONTH($I18))-(YEAR($H18)*12+MONTH($H18))+1))</f>
        <v/>
      </c>
      <c r="M18" s="62">
        <f>IF($J18="",0,$K18*MAX(0,MIN(YEAR($C$3)*12+MONTH($C$3)-1,YEAR($I18)*12+MONTH($I18))-(YEAR($H18)*12+MONTH($H18))+1))</f>
        <v/>
      </c>
      <c r="N18" s="62">
        <f>IF(OR($J18="",$B18=""),0,IF(YEAR($B18)*12+MONTH($B18)&lt;=YEAR($C$3)*12+MONTH($C$3),$G18,0))</f>
        <v/>
      </c>
      <c r="O18" s="62">
        <f>IF(OR($J18="",$B18=""),0,IF(YEAR($B18)*12+MONTH($B18)&lt;=YEAR($C$3)*12+MONTH($C$3)-1,$G18,0))</f>
        <v/>
      </c>
      <c r="P18" s="62">
        <f>$M18-$O18</f>
        <v/>
      </c>
      <c r="Q18" s="62">
        <f>($L18-$M18)-($N18-$O18)</f>
        <v/>
      </c>
      <c r="R18" s="62">
        <f>$L18-$N18</f>
        <v/>
      </c>
    </row>
    <row r="19">
      <c r="A19" s="59">
        <f>ROW()-5</f>
        <v/>
      </c>
      <c r="B19" s="60">
        <f>IFERROR(INDEX(tbl_Finance[Date],$A19),"")</f>
        <v/>
      </c>
      <c r="C19" s="61">
        <f>IFERROR(INDEX(tbl_Finance[Xero Invoice No],$A19),"")</f>
        <v/>
      </c>
      <c r="D19" s="61">
        <f>IFERROR(INDEX(tbl_Finance[Client],$A19),"")</f>
        <v/>
      </c>
      <c r="E19" s="61">
        <f>IFERROR(INDEX(tbl_Finance[Job Number],$A19),"")</f>
        <v/>
      </c>
      <c r="F19" s="61">
        <f>IFERROR(INDEX(tbl_Finance[Cost Centre],$A19),"")</f>
        <v/>
      </c>
      <c r="G19" s="62">
        <f>IFERROR(INDEX(tbl_Finance[Ex GST],$A19),"")</f>
        <v/>
      </c>
      <c r="H19" s="60">
        <f>IFERROR(INDEX(tbl_Finance[Defer Start],$A19),"")</f>
        <v/>
      </c>
      <c r="I19" s="60">
        <f>IFERROR(INDEX(tbl_Finance[Defer End],$A19),"")</f>
        <v/>
      </c>
      <c r="J19" s="59">
        <f>IF(OR($H19="",$I19="",$G19=""),"",MAX(1,(YEAR($I19)-YEAR($H19))*12+MONTH($I19)-MONTH($H19)+1))</f>
        <v/>
      </c>
      <c r="K19" s="62">
        <f>IF($J19="","",$G19/$J19)</f>
        <v/>
      </c>
      <c r="L19" s="62">
        <f>IF($J19="",0,$K19*MAX(0,MIN(YEAR($C$3)*12+MONTH($C$3),YEAR($I19)*12+MONTH($I19))-(YEAR($H19)*12+MONTH($H19))+1))</f>
        <v/>
      </c>
      <c r="M19" s="62">
        <f>IF($J19="",0,$K19*MAX(0,MIN(YEAR($C$3)*12+MONTH($C$3)-1,YEAR($I19)*12+MONTH($I19))-(YEAR($H19)*12+MONTH($H19))+1))</f>
        <v/>
      </c>
      <c r="N19" s="62">
        <f>IF(OR($J19="",$B19=""),0,IF(YEAR($B19)*12+MONTH($B19)&lt;=YEAR($C$3)*12+MONTH($C$3),$G19,0))</f>
        <v/>
      </c>
      <c r="O19" s="62">
        <f>IF(OR($J19="",$B19=""),0,IF(YEAR($B19)*12+MONTH($B19)&lt;=YEAR($C$3)*12+MONTH($C$3)-1,$G19,0))</f>
        <v/>
      </c>
      <c r="P19" s="62">
        <f>$M19-$O19</f>
        <v/>
      </c>
      <c r="Q19" s="62">
        <f>($L19-$M19)-($N19-$O19)</f>
        <v/>
      </c>
      <c r="R19" s="62">
        <f>$L19-$N19</f>
        <v/>
      </c>
    </row>
    <row r="20">
      <c r="A20" s="59">
        <f>ROW()-5</f>
        <v/>
      </c>
      <c r="B20" s="60">
        <f>IFERROR(INDEX(tbl_Finance[Date],$A20),"")</f>
        <v/>
      </c>
      <c r="C20" s="61">
        <f>IFERROR(INDEX(tbl_Finance[Xero Invoice No],$A20),"")</f>
        <v/>
      </c>
      <c r="D20" s="61">
        <f>IFERROR(INDEX(tbl_Finance[Client],$A20),"")</f>
        <v/>
      </c>
      <c r="E20" s="61">
        <f>IFERROR(INDEX(tbl_Finance[Job Number],$A20),"")</f>
        <v/>
      </c>
      <c r="F20" s="61">
        <f>IFERROR(INDEX(tbl_Finance[Cost Centre],$A20),"")</f>
        <v/>
      </c>
      <c r="G20" s="62">
        <f>IFERROR(INDEX(tbl_Finance[Ex GST],$A20),"")</f>
        <v/>
      </c>
      <c r="H20" s="60">
        <f>IFERROR(INDEX(tbl_Finance[Defer Start],$A20),"")</f>
        <v/>
      </c>
      <c r="I20" s="60">
        <f>IFERROR(INDEX(tbl_Finance[Defer End],$A20),"")</f>
        <v/>
      </c>
      <c r="J20" s="59">
        <f>IF(OR($H20="",$I20="",$G20=""),"",MAX(1,(YEAR($I20)-YEAR($H20))*12+MONTH($I20)-MONTH($H20)+1))</f>
        <v/>
      </c>
      <c r="K20" s="62">
        <f>IF($J20="","",$G20/$J20)</f>
        <v/>
      </c>
      <c r="L20" s="62">
        <f>IF($J20="",0,$K20*MAX(0,MIN(YEAR($C$3)*12+MONTH($C$3),YEAR($I20)*12+MONTH($I20))-(YEAR($H20)*12+MONTH($H20))+1))</f>
        <v/>
      </c>
      <c r="M20" s="62">
        <f>IF($J20="",0,$K20*MAX(0,MIN(YEAR($C$3)*12+MONTH($C$3)-1,YEAR($I20)*12+MONTH($I20))-(YEAR($H20)*12+MONTH($H20))+1))</f>
        <v/>
      </c>
      <c r="N20" s="62">
        <f>IF(OR($J20="",$B20=""),0,IF(YEAR($B20)*12+MONTH($B20)&lt;=YEAR($C$3)*12+MONTH($C$3),$G20,0))</f>
        <v/>
      </c>
      <c r="O20" s="62">
        <f>IF(OR($J20="",$B20=""),0,IF(YEAR($B20)*12+MONTH($B20)&lt;=YEAR($C$3)*12+MONTH($C$3)-1,$G20,0))</f>
        <v/>
      </c>
      <c r="P20" s="62">
        <f>$M20-$O20</f>
        <v/>
      </c>
      <c r="Q20" s="62">
        <f>($L20-$M20)-($N20-$O20)</f>
        <v/>
      </c>
      <c r="R20" s="62">
        <f>$L20-$N20</f>
        <v/>
      </c>
    </row>
    <row r="21">
      <c r="A21" s="59">
        <f>ROW()-5</f>
        <v/>
      </c>
      <c r="B21" s="60">
        <f>IFERROR(INDEX(tbl_Finance[Date],$A21),"")</f>
        <v/>
      </c>
      <c r="C21" s="61">
        <f>IFERROR(INDEX(tbl_Finance[Xero Invoice No],$A21),"")</f>
        <v/>
      </c>
      <c r="D21" s="61">
        <f>IFERROR(INDEX(tbl_Finance[Client],$A21),"")</f>
        <v/>
      </c>
      <c r="E21" s="61">
        <f>IFERROR(INDEX(tbl_Finance[Job Number],$A21),"")</f>
        <v/>
      </c>
      <c r="F21" s="61">
        <f>IFERROR(INDEX(tbl_Finance[Cost Centre],$A21),"")</f>
        <v/>
      </c>
      <c r="G21" s="62">
        <f>IFERROR(INDEX(tbl_Finance[Ex GST],$A21),"")</f>
        <v/>
      </c>
      <c r="H21" s="60">
        <f>IFERROR(INDEX(tbl_Finance[Defer Start],$A21),"")</f>
        <v/>
      </c>
      <c r="I21" s="60">
        <f>IFERROR(INDEX(tbl_Finance[Defer End],$A21),"")</f>
        <v/>
      </c>
      <c r="J21" s="59">
        <f>IF(OR($H21="",$I21="",$G21=""),"",MAX(1,(YEAR($I21)-YEAR($H21))*12+MONTH($I21)-MONTH($H21)+1))</f>
        <v/>
      </c>
      <c r="K21" s="62">
        <f>IF($J21="","",$G21/$J21)</f>
        <v/>
      </c>
      <c r="L21" s="62">
        <f>IF($J21="",0,$K21*MAX(0,MIN(YEAR($C$3)*12+MONTH($C$3),YEAR($I21)*12+MONTH($I21))-(YEAR($H21)*12+MONTH($H21))+1))</f>
        <v/>
      </c>
      <c r="M21" s="62">
        <f>IF($J21="",0,$K21*MAX(0,MIN(YEAR($C$3)*12+MONTH($C$3)-1,YEAR($I21)*12+MONTH($I21))-(YEAR($H21)*12+MONTH($H21))+1))</f>
        <v/>
      </c>
      <c r="N21" s="62">
        <f>IF(OR($J21="",$B21=""),0,IF(YEAR($B21)*12+MONTH($B21)&lt;=YEAR($C$3)*12+MONTH($C$3),$G21,0))</f>
        <v/>
      </c>
      <c r="O21" s="62">
        <f>IF(OR($J21="",$B21=""),0,IF(YEAR($B21)*12+MONTH($B21)&lt;=YEAR($C$3)*12+MONTH($C$3)-1,$G21,0))</f>
        <v/>
      </c>
      <c r="P21" s="62">
        <f>$M21-$O21</f>
        <v/>
      </c>
      <c r="Q21" s="62">
        <f>($L21-$M21)-($N21-$O21)</f>
        <v/>
      </c>
      <c r="R21" s="62">
        <f>$L21-$N21</f>
        <v/>
      </c>
    </row>
    <row r="22">
      <c r="A22" s="59">
        <f>ROW()-5</f>
        <v/>
      </c>
      <c r="B22" s="60">
        <f>IFERROR(INDEX(tbl_Finance[Date],$A22),"")</f>
        <v/>
      </c>
      <c r="C22" s="61">
        <f>IFERROR(INDEX(tbl_Finance[Xero Invoice No],$A22),"")</f>
        <v/>
      </c>
      <c r="D22" s="61">
        <f>IFERROR(INDEX(tbl_Finance[Client],$A22),"")</f>
        <v/>
      </c>
      <c r="E22" s="61">
        <f>IFERROR(INDEX(tbl_Finance[Job Number],$A22),"")</f>
        <v/>
      </c>
      <c r="F22" s="61">
        <f>IFERROR(INDEX(tbl_Finance[Cost Centre],$A22),"")</f>
        <v/>
      </c>
      <c r="G22" s="62">
        <f>IFERROR(INDEX(tbl_Finance[Ex GST],$A22),"")</f>
        <v/>
      </c>
      <c r="H22" s="60">
        <f>IFERROR(INDEX(tbl_Finance[Defer Start],$A22),"")</f>
        <v/>
      </c>
      <c r="I22" s="60">
        <f>IFERROR(INDEX(tbl_Finance[Defer End],$A22),"")</f>
        <v/>
      </c>
      <c r="J22" s="59">
        <f>IF(OR($H22="",$I22="",$G22=""),"",MAX(1,(YEAR($I22)-YEAR($H22))*12+MONTH($I22)-MONTH($H22)+1))</f>
        <v/>
      </c>
      <c r="K22" s="62">
        <f>IF($J22="","",$G22/$J22)</f>
        <v/>
      </c>
      <c r="L22" s="62">
        <f>IF($J22="",0,$K22*MAX(0,MIN(YEAR($C$3)*12+MONTH($C$3),YEAR($I22)*12+MONTH($I22))-(YEAR($H22)*12+MONTH($H22))+1))</f>
        <v/>
      </c>
      <c r="M22" s="62">
        <f>IF($J22="",0,$K22*MAX(0,MIN(YEAR($C$3)*12+MONTH($C$3)-1,YEAR($I22)*12+MONTH($I22))-(YEAR($H22)*12+MONTH($H22))+1))</f>
        <v/>
      </c>
      <c r="N22" s="62">
        <f>IF(OR($J22="",$B22=""),0,IF(YEAR($B22)*12+MONTH($B22)&lt;=YEAR($C$3)*12+MONTH($C$3),$G22,0))</f>
        <v/>
      </c>
      <c r="O22" s="62">
        <f>IF(OR($J22="",$B22=""),0,IF(YEAR($B22)*12+MONTH($B22)&lt;=YEAR($C$3)*12+MONTH($C$3)-1,$G22,0))</f>
        <v/>
      </c>
      <c r="P22" s="62">
        <f>$M22-$O22</f>
        <v/>
      </c>
      <c r="Q22" s="62">
        <f>($L22-$M22)-($N22-$O22)</f>
        <v/>
      </c>
      <c r="R22" s="62">
        <f>$L22-$N22</f>
        <v/>
      </c>
    </row>
    <row r="23">
      <c r="A23" s="59">
        <f>ROW()-5</f>
        <v/>
      </c>
      <c r="B23" s="60">
        <f>IFERROR(INDEX(tbl_Finance[Date],$A23),"")</f>
        <v/>
      </c>
      <c r="C23" s="61">
        <f>IFERROR(INDEX(tbl_Finance[Xero Invoice No],$A23),"")</f>
        <v/>
      </c>
      <c r="D23" s="61">
        <f>IFERROR(INDEX(tbl_Finance[Client],$A23),"")</f>
        <v/>
      </c>
      <c r="E23" s="61">
        <f>IFERROR(INDEX(tbl_Finance[Job Number],$A23),"")</f>
        <v/>
      </c>
      <c r="F23" s="61">
        <f>IFERROR(INDEX(tbl_Finance[Cost Centre],$A23),"")</f>
        <v/>
      </c>
      <c r="G23" s="62">
        <f>IFERROR(INDEX(tbl_Finance[Ex GST],$A23),"")</f>
        <v/>
      </c>
      <c r="H23" s="60">
        <f>IFERROR(INDEX(tbl_Finance[Defer Start],$A23),"")</f>
        <v/>
      </c>
      <c r="I23" s="60">
        <f>IFERROR(INDEX(tbl_Finance[Defer End],$A23),"")</f>
        <v/>
      </c>
      <c r="J23" s="59">
        <f>IF(OR($H23="",$I23="",$G23=""),"",MAX(1,(YEAR($I23)-YEAR($H23))*12+MONTH($I23)-MONTH($H23)+1))</f>
        <v/>
      </c>
      <c r="K23" s="62">
        <f>IF($J23="","",$G23/$J23)</f>
        <v/>
      </c>
      <c r="L23" s="62">
        <f>IF($J23="",0,$K23*MAX(0,MIN(YEAR($C$3)*12+MONTH($C$3),YEAR($I23)*12+MONTH($I23))-(YEAR($H23)*12+MONTH($H23))+1))</f>
        <v/>
      </c>
      <c r="M23" s="62">
        <f>IF($J23="",0,$K23*MAX(0,MIN(YEAR($C$3)*12+MONTH($C$3)-1,YEAR($I23)*12+MONTH($I23))-(YEAR($H23)*12+MONTH($H23))+1))</f>
        <v/>
      </c>
      <c r="N23" s="62">
        <f>IF(OR($J23="",$B23=""),0,IF(YEAR($B23)*12+MONTH($B23)&lt;=YEAR($C$3)*12+MONTH($C$3),$G23,0))</f>
        <v/>
      </c>
      <c r="O23" s="62">
        <f>IF(OR($J23="",$B23=""),0,IF(YEAR($B23)*12+MONTH($B23)&lt;=YEAR($C$3)*12+MONTH($C$3)-1,$G23,0))</f>
        <v/>
      </c>
      <c r="P23" s="62">
        <f>$M23-$O23</f>
        <v/>
      </c>
      <c r="Q23" s="62">
        <f>($L23-$M23)-($N23-$O23)</f>
        <v/>
      </c>
      <c r="R23" s="62">
        <f>$L23-$N23</f>
        <v/>
      </c>
    </row>
    <row r="24">
      <c r="A24" s="59">
        <f>ROW()-5</f>
        <v/>
      </c>
      <c r="B24" s="60">
        <f>IFERROR(INDEX(tbl_Finance[Date],$A24),"")</f>
        <v/>
      </c>
      <c r="C24" s="61">
        <f>IFERROR(INDEX(tbl_Finance[Xero Invoice No],$A24),"")</f>
        <v/>
      </c>
      <c r="D24" s="61">
        <f>IFERROR(INDEX(tbl_Finance[Client],$A24),"")</f>
        <v/>
      </c>
      <c r="E24" s="61">
        <f>IFERROR(INDEX(tbl_Finance[Job Number],$A24),"")</f>
        <v/>
      </c>
      <c r="F24" s="61">
        <f>IFERROR(INDEX(tbl_Finance[Cost Centre],$A24),"")</f>
        <v/>
      </c>
      <c r="G24" s="62">
        <f>IFERROR(INDEX(tbl_Finance[Ex GST],$A24),"")</f>
        <v/>
      </c>
      <c r="H24" s="60">
        <f>IFERROR(INDEX(tbl_Finance[Defer Start],$A24),"")</f>
        <v/>
      </c>
      <c r="I24" s="60">
        <f>IFERROR(INDEX(tbl_Finance[Defer End],$A24),"")</f>
        <v/>
      </c>
      <c r="J24" s="59">
        <f>IF(OR($H24="",$I24="",$G24=""),"",MAX(1,(YEAR($I24)-YEAR($H24))*12+MONTH($I24)-MONTH($H24)+1))</f>
        <v/>
      </c>
      <c r="K24" s="62">
        <f>IF($J24="","",$G24/$J24)</f>
        <v/>
      </c>
      <c r="L24" s="62">
        <f>IF($J24="",0,$K24*MAX(0,MIN(YEAR($C$3)*12+MONTH($C$3),YEAR($I24)*12+MONTH($I24))-(YEAR($H24)*12+MONTH($H24))+1))</f>
        <v/>
      </c>
      <c r="M24" s="62">
        <f>IF($J24="",0,$K24*MAX(0,MIN(YEAR($C$3)*12+MONTH($C$3)-1,YEAR($I24)*12+MONTH($I24))-(YEAR($H24)*12+MONTH($H24))+1))</f>
        <v/>
      </c>
      <c r="N24" s="62">
        <f>IF(OR($J24="",$B24=""),0,IF(YEAR($B24)*12+MONTH($B24)&lt;=YEAR($C$3)*12+MONTH($C$3),$G24,0))</f>
        <v/>
      </c>
      <c r="O24" s="62">
        <f>IF(OR($J24="",$B24=""),0,IF(YEAR($B24)*12+MONTH($B24)&lt;=YEAR($C$3)*12+MONTH($C$3)-1,$G24,0))</f>
        <v/>
      </c>
      <c r="P24" s="62">
        <f>$M24-$O24</f>
        <v/>
      </c>
      <c r="Q24" s="62">
        <f>($L24-$M24)-($N24-$O24)</f>
        <v/>
      </c>
      <c r="R24" s="62">
        <f>$L24-$N24</f>
        <v/>
      </c>
    </row>
    <row r="25">
      <c r="A25" s="59">
        <f>ROW()-5</f>
        <v/>
      </c>
      <c r="B25" s="60">
        <f>IFERROR(INDEX(tbl_Finance[Date],$A25),"")</f>
        <v/>
      </c>
      <c r="C25" s="61">
        <f>IFERROR(INDEX(tbl_Finance[Xero Invoice No],$A25),"")</f>
        <v/>
      </c>
      <c r="D25" s="61">
        <f>IFERROR(INDEX(tbl_Finance[Client],$A25),"")</f>
        <v/>
      </c>
      <c r="E25" s="61">
        <f>IFERROR(INDEX(tbl_Finance[Job Number],$A25),"")</f>
        <v/>
      </c>
      <c r="F25" s="61">
        <f>IFERROR(INDEX(tbl_Finance[Cost Centre],$A25),"")</f>
        <v/>
      </c>
      <c r="G25" s="62">
        <f>IFERROR(INDEX(tbl_Finance[Ex GST],$A25),"")</f>
        <v/>
      </c>
      <c r="H25" s="60">
        <f>IFERROR(INDEX(tbl_Finance[Defer Start],$A25),"")</f>
        <v/>
      </c>
      <c r="I25" s="60">
        <f>IFERROR(INDEX(tbl_Finance[Defer End],$A25),"")</f>
        <v/>
      </c>
      <c r="J25" s="59">
        <f>IF(OR($H25="",$I25="",$G25=""),"",MAX(1,(YEAR($I25)-YEAR($H25))*12+MONTH($I25)-MONTH($H25)+1))</f>
        <v/>
      </c>
      <c r="K25" s="62">
        <f>IF($J25="","",$G25/$J25)</f>
        <v/>
      </c>
      <c r="L25" s="62">
        <f>IF($J25="",0,$K25*MAX(0,MIN(YEAR($C$3)*12+MONTH($C$3),YEAR($I25)*12+MONTH($I25))-(YEAR($H25)*12+MONTH($H25))+1))</f>
        <v/>
      </c>
      <c r="M25" s="62">
        <f>IF($J25="",0,$K25*MAX(0,MIN(YEAR($C$3)*12+MONTH($C$3)-1,YEAR($I25)*12+MONTH($I25))-(YEAR($H25)*12+MONTH($H25))+1))</f>
        <v/>
      </c>
      <c r="N25" s="62">
        <f>IF(OR($J25="",$B25=""),0,IF(YEAR($B25)*12+MONTH($B25)&lt;=YEAR($C$3)*12+MONTH($C$3),$G25,0))</f>
        <v/>
      </c>
      <c r="O25" s="62">
        <f>IF(OR($J25="",$B25=""),0,IF(YEAR($B25)*12+MONTH($B25)&lt;=YEAR($C$3)*12+MONTH($C$3)-1,$G25,0))</f>
        <v/>
      </c>
      <c r="P25" s="62">
        <f>$M25-$O25</f>
        <v/>
      </c>
      <c r="Q25" s="62">
        <f>($L25-$M25)-($N25-$O25)</f>
        <v/>
      </c>
      <c r="R25" s="62">
        <f>$L25-$N25</f>
        <v/>
      </c>
    </row>
    <row r="26">
      <c r="A26" s="59">
        <f>ROW()-5</f>
        <v/>
      </c>
      <c r="B26" s="60">
        <f>IFERROR(INDEX(tbl_Finance[Date],$A26),"")</f>
        <v/>
      </c>
      <c r="C26" s="61">
        <f>IFERROR(INDEX(tbl_Finance[Xero Invoice No],$A26),"")</f>
        <v/>
      </c>
      <c r="D26" s="61">
        <f>IFERROR(INDEX(tbl_Finance[Client],$A26),"")</f>
        <v/>
      </c>
      <c r="E26" s="61">
        <f>IFERROR(INDEX(tbl_Finance[Job Number],$A26),"")</f>
        <v/>
      </c>
      <c r="F26" s="61">
        <f>IFERROR(INDEX(tbl_Finance[Cost Centre],$A26),"")</f>
        <v/>
      </c>
      <c r="G26" s="62">
        <f>IFERROR(INDEX(tbl_Finance[Ex GST],$A26),"")</f>
        <v/>
      </c>
      <c r="H26" s="60">
        <f>IFERROR(INDEX(tbl_Finance[Defer Start],$A26),"")</f>
        <v/>
      </c>
      <c r="I26" s="60">
        <f>IFERROR(INDEX(tbl_Finance[Defer End],$A26),"")</f>
        <v/>
      </c>
      <c r="J26" s="59">
        <f>IF(OR($H26="",$I26="",$G26=""),"",MAX(1,(YEAR($I26)-YEAR($H26))*12+MONTH($I26)-MONTH($H26)+1))</f>
        <v/>
      </c>
      <c r="K26" s="62">
        <f>IF($J26="","",$G26/$J26)</f>
        <v/>
      </c>
      <c r="L26" s="62">
        <f>IF($J26="",0,$K26*MAX(0,MIN(YEAR($C$3)*12+MONTH($C$3),YEAR($I26)*12+MONTH($I26))-(YEAR($H26)*12+MONTH($H26))+1))</f>
        <v/>
      </c>
      <c r="M26" s="62">
        <f>IF($J26="",0,$K26*MAX(0,MIN(YEAR($C$3)*12+MONTH($C$3)-1,YEAR($I26)*12+MONTH($I26))-(YEAR($H26)*12+MONTH($H26))+1))</f>
        <v/>
      </c>
      <c r="N26" s="62">
        <f>IF(OR($J26="",$B26=""),0,IF(YEAR($B26)*12+MONTH($B26)&lt;=YEAR($C$3)*12+MONTH($C$3),$G26,0))</f>
        <v/>
      </c>
      <c r="O26" s="62">
        <f>IF(OR($J26="",$B26=""),0,IF(YEAR($B26)*12+MONTH($B26)&lt;=YEAR($C$3)*12+MONTH($C$3)-1,$G26,0))</f>
        <v/>
      </c>
      <c r="P26" s="62">
        <f>$M26-$O26</f>
        <v/>
      </c>
      <c r="Q26" s="62">
        <f>($L26-$M26)-($N26-$O26)</f>
        <v/>
      </c>
      <c r="R26" s="62">
        <f>$L26-$N26</f>
        <v/>
      </c>
    </row>
    <row r="27">
      <c r="A27" s="59">
        <f>ROW()-5</f>
        <v/>
      </c>
      <c r="B27" s="60">
        <f>IFERROR(INDEX(tbl_Finance[Date],$A27),"")</f>
        <v/>
      </c>
      <c r="C27" s="61">
        <f>IFERROR(INDEX(tbl_Finance[Xero Invoice No],$A27),"")</f>
        <v/>
      </c>
      <c r="D27" s="61">
        <f>IFERROR(INDEX(tbl_Finance[Client],$A27),"")</f>
        <v/>
      </c>
      <c r="E27" s="61">
        <f>IFERROR(INDEX(tbl_Finance[Job Number],$A27),"")</f>
        <v/>
      </c>
      <c r="F27" s="61">
        <f>IFERROR(INDEX(tbl_Finance[Cost Centre],$A27),"")</f>
        <v/>
      </c>
      <c r="G27" s="62">
        <f>IFERROR(INDEX(tbl_Finance[Ex GST],$A27),"")</f>
        <v/>
      </c>
      <c r="H27" s="60">
        <f>IFERROR(INDEX(tbl_Finance[Defer Start],$A27),"")</f>
        <v/>
      </c>
      <c r="I27" s="60">
        <f>IFERROR(INDEX(tbl_Finance[Defer End],$A27),"")</f>
        <v/>
      </c>
      <c r="J27" s="59">
        <f>IF(OR($H27="",$I27="",$G27=""),"",MAX(1,(YEAR($I27)-YEAR($H27))*12+MONTH($I27)-MONTH($H27)+1))</f>
        <v/>
      </c>
      <c r="K27" s="62">
        <f>IF($J27="","",$G27/$J27)</f>
        <v/>
      </c>
      <c r="L27" s="62">
        <f>IF($J27="",0,$K27*MAX(0,MIN(YEAR($C$3)*12+MONTH($C$3),YEAR($I27)*12+MONTH($I27))-(YEAR($H27)*12+MONTH($H27))+1))</f>
        <v/>
      </c>
      <c r="M27" s="62">
        <f>IF($J27="",0,$K27*MAX(0,MIN(YEAR($C$3)*12+MONTH($C$3)-1,YEAR($I27)*12+MONTH($I27))-(YEAR($H27)*12+MONTH($H27))+1))</f>
        <v/>
      </c>
      <c r="N27" s="62">
        <f>IF(OR($J27="",$B27=""),0,IF(YEAR($B27)*12+MONTH($B27)&lt;=YEAR($C$3)*12+MONTH($C$3),$G27,0))</f>
        <v/>
      </c>
      <c r="O27" s="62">
        <f>IF(OR($J27="",$B27=""),0,IF(YEAR($B27)*12+MONTH($B27)&lt;=YEAR($C$3)*12+MONTH($C$3)-1,$G27,0))</f>
        <v/>
      </c>
      <c r="P27" s="62">
        <f>$M27-$O27</f>
        <v/>
      </c>
      <c r="Q27" s="62">
        <f>($L27-$M27)-($N27-$O27)</f>
        <v/>
      </c>
      <c r="R27" s="62">
        <f>$L27-$N27</f>
        <v/>
      </c>
    </row>
    <row r="28">
      <c r="A28" s="59">
        <f>ROW()-5</f>
        <v/>
      </c>
      <c r="B28" s="60">
        <f>IFERROR(INDEX(tbl_Finance[Date],$A28),"")</f>
        <v/>
      </c>
      <c r="C28" s="61">
        <f>IFERROR(INDEX(tbl_Finance[Xero Invoice No],$A28),"")</f>
        <v/>
      </c>
      <c r="D28" s="61">
        <f>IFERROR(INDEX(tbl_Finance[Client],$A28),"")</f>
        <v/>
      </c>
      <c r="E28" s="61">
        <f>IFERROR(INDEX(tbl_Finance[Job Number],$A28),"")</f>
        <v/>
      </c>
      <c r="F28" s="61">
        <f>IFERROR(INDEX(tbl_Finance[Cost Centre],$A28),"")</f>
        <v/>
      </c>
      <c r="G28" s="62">
        <f>IFERROR(INDEX(tbl_Finance[Ex GST],$A28),"")</f>
        <v/>
      </c>
      <c r="H28" s="60">
        <f>IFERROR(INDEX(tbl_Finance[Defer Start],$A28),"")</f>
        <v/>
      </c>
      <c r="I28" s="60">
        <f>IFERROR(INDEX(tbl_Finance[Defer End],$A28),"")</f>
        <v/>
      </c>
      <c r="J28" s="59">
        <f>IF(OR($H28="",$I28="",$G28=""),"",MAX(1,(YEAR($I28)-YEAR($H28))*12+MONTH($I28)-MONTH($H28)+1))</f>
        <v/>
      </c>
      <c r="K28" s="62">
        <f>IF($J28="","",$G28/$J28)</f>
        <v/>
      </c>
      <c r="L28" s="62">
        <f>IF($J28="",0,$K28*MAX(0,MIN(YEAR($C$3)*12+MONTH($C$3),YEAR($I28)*12+MONTH($I28))-(YEAR($H28)*12+MONTH($H28))+1))</f>
        <v/>
      </c>
      <c r="M28" s="62">
        <f>IF($J28="",0,$K28*MAX(0,MIN(YEAR($C$3)*12+MONTH($C$3)-1,YEAR($I28)*12+MONTH($I28))-(YEAR($H28)*12+MONTH($H28))+1))</f>
        <v/>
      </c>
      <c r="N28" s="62">
        <f>IF(OR($J28="",$B28=""),0,IF(YEAR($B28)*12+MONTH($B28)&lt;=YEAR($C$3)*12+MONTH($C$3),$G28,0))</f>
        <v/>
      </c>
      <c r="O28" s="62">
        <f>IF(OR($J28="",$B28=""),0,IF(YEAR($B28)*12+MONTH($B28)&lt;=YEAR($C$3)*12+MONTH($C$3)-1,$G28,0))</f>
        <v/>
      </c>
      <c r="P28" s="62">
        <f>$M28-$O28</f>
        <v/>
      </c>
      <c r="Q28" s="62">
        <f>($L28-$M28)-($N28-$O28)</f>
        <v/>
      </c>
      <c r="R28" s="62">
        <f>$L28-$N28</f>
        <v/>
      </c>
    </row>
    <row r="29">
      <c r="A29" s="59">
        <f>ROW()-5</f>
        <v/>
      </c>
      <c r="B29" s="60">
        <f>IFERROR(INDEX(tbl_Finance[Date],$A29),"")</f>
        <v/>
      </c>
      <c r="C29" s="61">
        <f>IFERROR(INDEX(tbl_Finance[Xero Invoice No],$A29),"")</f>
        <v/>
      </c>
      <c r="D29" s="61">
        <f>IFERROR(INDEX(tbl_Finance[Client],$A29),"")</f>
        <v/>
      </c>
      <c r="E29" s="61">
        <f>IFERROR(INDEX(tbl_Finance[Job Number],$A29),"")</f>
        <v/>
      </c>
      <c r="F29" s="61">
        <f>IFERROR(INDEX(tbl_Finance[Cost Centre],$A29),"")</f>
        <v/>
      </c>
      <c r="G29" s="62">
        <f>IFERROR(INDEX(tbl_Finance[Ex GST],$A29),"")</f>
        <v/>
      </c>
      <c r="H29" s="60">
        <f>IFERROR(INDEX(tbl_Finance[Defer Start],$A29),"")</f>
        <v/>
      </c>
      <c r="I29" s="60">
        <f>IFERROR(INDEX(tbl_Finance[Defer End],$A29),"")</f>
        <v/>
      </c>
      <c r="J29" s="59">
        <f>IF(OR($H29="",$I29="",$G29=""),"",MAX(1,(YEAR($I29)-YEAR($H29))*12+MONTH($I29)-MONTH($H29)+1))</f>
        <v/>
      </c>
      <c r="K29" s="62">
        <f>IF($J29="","",$G29/$J29)</f>
        <v/>
      </c>
      <c r="L29" s="62">
        <f>IF($J29="",0,$K29*MAX(0,MIN(YEAR($C$3)*12+MONTH($C$3),YEAR($I29)*12+MONTH($I29))-(YEAR($H29)*12+MONTH($H29))+1))</f>
        <v/>
      </c>
      <c r="M29" s="62">
        <f>IF($J29="",0,$K29*MAX(0,MIN(YEAR($C$3)*12+MONTH($C$3)-1,YEAR($I29)*12+MONTH($I29))-(YEAR($H29)*12+MONTH($H29))+1))</f>
        <v/>
      </c>
      <c r="N29" s="62">
        <f>IF(OR($J29="",$B29=""),0,IF(YEAR($B29)*12+MONTH($B29)&lt;=YEAR($C$3)*12+MONTH($C$3),$G29,0))</f>
        <v/>
      </c>
      <c r="O29" s="62">
        <f>IF(OR($J29="",$B29=""),0,IF(YEAR($B29)*12+MONTH($B29)&lt;=YEAR($C$3)*12+MONTH($C$3)-1,$G29,0))</f>
        <v/>
      </c>
      <c r="P29" s="62">
        <f>$M29-$O29</f>
        <v/>
      </c>
      <c r="Q29" s="62">
        <f>($L29-$M29)-($N29-$O29)</f>
        <v/>
      </c>
      <c r="R29" s="62">
        <f>$L29-$N29</f>
        <v/>
      </c>
    </row>
    <row r="30">
      <c r="A30" s="59">
        <f>ROW()-5</f>
        <v/>
      </c>
      <c r="B30" s="60">
        <f>IFERROR(INDEX(tbl_Finance[Date],$A30),"")</f>
        <v/>
      </c>
      <c r="C30" s="61">
        <f>IFERROR(INDEX(tbl_Finance[Xero Invoice No],$A30),"")</f>
        <v/>
      </c>
      <c r="D30" s="61">
        <f>IFERROR(INDEX(tbl_Finance[Client],$A30),"")</f>
        <v/>
      </c>
      <c r="E30" s="61">
        <f>IFERROR(INDEX(tbl_Finance[Job Number],$A30),"")</f>
        <v/>
      </c>
      <c r="F30" s="61">
        <f>IFERROR(INDEX(tbl_Finance[Cost Centre],$A30),"")</f>
        <v/>
      </c>
      <c r="G30" s="62">
        <f>IFERROR(INDEX(tbl_Finance[Ex GST],$A30),"")</f>
        <v/>
      </c>
      <c r="H30" s="60">
        <f>IFERROR(INDEX(tbl_Finance[Defer Start],$A30),"")</f>
        <v/>
      </c>
      <c r="I30" s="60">
        <f>IFERROR(INDEX(tbl_Finance[Defer End],$A30),"")</f>
        <v/>
      </c>
      <c r="J30" s="59">
        <f>IF(OR($H30="",$I30="",$G30=""),"",MAX(1,(YEAR($I30)-YEAR($H30))*12+MONTH($I30)-MONTH($H30)+1))</f>
        <v/>
      </c>
      <c r="K30" s="62">
        <f>IF($J30="","",$G30/$J30)</f>
        <v/>
      </c>
      <c r="L30" s="62">
        <f>IF($J30="",0,$K30*MAX(0,MIN(YEAR($C$3)*12+MONTH($C$3),YEAR($I30)*12+MONTH($I30))-(YEAR($H30)*12+MONTH($H30))+1))</f>
        <v/>
      </c>
      <c r="M30" s="62">
        <f>IF($J30="",0,$K30*MAX(0,MIN(YEAR($C$3)*12+MONTH($C$3)-1,YEAR($I30)*12+MONTH($I30))-(YEAR($H30)*12+MONTH($H30))+1))</f>
        <v/>
      </c>
      <c r="N30" s="62">
        <f>IF(OR($J30="",$B30=""),0,IF(YEAR($B30)*12+MONTH($B30)&lt;=YEAR($C$3)*12+MONTH($C$3),$G30,0))</f>
        <v/>
      </c>
      <c r="O30" s="62">
        <f>IF(OR($J30="",$B30=""),0,IF(YEAR($B30)*12+MONTH($B30)&lt;=YEAR($C$3)*12+MONTH($C$3)-1,$G30,0))</f>
        <v/>
      </c>
      <c r="P30" s="62">
        <f>$M30-$O30</f>
        <v/>
      </c>
      <c r="Q30" s="62">
        <f>($L30-$M30)-($N30-$O30)</f>
        <v/>
      </c>
      <c r="R30" s="62">
        <f>$L30-$N30</f>
        <v/>
      </c>
    </row>
    <row r="31">
      <c r="A31" s="59">
        <f>ROW()-5</f>
        <v/>
      </c>
      <c r="B31" s="60">
        <f>IFERROR(INDEX(tbl_Finance[Date],$A31),"")</f>
        <v/>
      </c>
      <c r="C31" s="61">
        <f>IFERROR(INDEX(tbl_Finance[Xero Invoice No],$A31),"")</f>
        <v/>
      </c>
      <c r="D31" s="61">
        <f>IFERROR(INDEX(tbl_Finance[Client],$A31),"")</f>
        <v/>
      </c>
      <c r="E31" s="61">
        <f>IFERROR(INDEX(tbl_Finance[Job Number],$A31),"")</f>
        <v/>
      </c>
      <c r="F31" s="61">
        <f>IFERROR(INDEX(tbl_Finance[Cost Centre],$A31),"")</f>
        <v/>
      </c>
      <c r="G31" s="62">
        <f>IFERROR(INDEX(tbl_Finance[Ex GST],$A31),"")</f>
        <v/>
      </c>
      <c r="H31" s="60">
        <f>IFERROR(INDEX(tbl_Finance[Defer Start],$A31),"")</f>
        <v/>
      </c>
      <c r="I31" s="60">
        <f>IFERROR(INDEX(tbl_Finance[Defer End],$A31),"")</f>
        <v/>
      </c>
      <c r="J31" s="59">
        <f>IF(OR($H31="",$I31="",$G31=""),"",MAX(1,(YEAR($I31)-YEAR($H31))*12+MONTH($I31)-MONTH($H31)+1))</f>
        <v/>
      </c>
      <c r="K31" s="62">
        <f>IF($J31="","",$G31/$J31)</f>
        <v/>
      </c>
      <c r="L31" s="62">
        <f>IF($J31="",0,$K31*MAX(0,MIN(YEAR($C$3)*12+MONTH($C$3),YEAR($I31)*12+MONTH($I31))-(YEAR($H31)*12+MONTH($H31))+1))</f>
        <v/>
      </c>
      <c r="M31" s="62">
        <f>IF($J31="",0,$K31*MAX(0,MIN(YEAR($C$3)*12+MONTH($C$3)-1,YEAR($I31)*12+MONTH($I31))-(YEAR($H31)*12+MONTH($H31))+1))</f>
        <v/>
      </c>
      <c r="N31" s="62">
        <f>IF(OR($J31="",$B31=""),0,IF(YEAR($B31)*12+MONTH($B31)&lt;=YEAR($C$3)*12+MONTH($C$3),$G31,0))</f>
        <v/>
      </c>
      <c r="O31" s="62">
        <f>IF(OR($J31="",$B31=""),0,IF(YEAR($B31)*12+MONTH($B31)&lt;=YEAR($C$3)*12+MONTH($C$3)-1,$G31,0))</f>
        <v/>
      </c>
      <c r="P31" s="62">
        <f>$M31-$O31</f>
        <v/>
      </c>
      <c r="Q31" s="62">
        <f>($L31-$M31)-($N31-$O31)</f>
        <v/>
      </c>
      <c r="R31" s="62">
        <f>$L31-$N31</f>
        <v/>
      </c>
    </row>
    <row r="32">
      <c r="A32" s="59">
        <f>ROW()-5</f>
        <v/>
      </c>
      <c r="B32" s="60">
        <f>IFERROR(INDEX(tbl_Finance[Date],$A32),"")</f>
        <v/>
      </c>
      <c r="C32" s="61">
        <f>IFERROR(INDEX(tbl_Finance[Xero Invoice No],$A32),"")</f>
        <v/>
      </c>
      <c r="D32" s="61">
        <f>IFERROR(INDEX(tbl_Finance[Client],$A32),"")</f>
        <v/>
      </c>
      <c r="E32" s="61">
        <f>IFERROR(INDEX(tbl_Finance[Job Number],$A32),"")</f>
        <v/>
      </c>
      <c r="F32" s="61">
        <f>IFERROR(INDEX(tbl_Finance[Cost Centre],$A32),"")</f>
        <v/>
      </c>
      <c r="G32" s="62">
        <f>IFERROR(INDEX(tbl_Finance[Ex GST],$A32),"")</f>
        <v/>
      </c>
      <c r="H32" s="60">
        <f>IFERROR(INDEX(tbl_Finance[Defer Start],$A32),"")</f>
        <v/>
      </c>
      <c r="I32" s="60">
        <f>IFERROR(INDEX(tbl_Finance[Defer End],$A32),"")</f>
        <v/>
      </c>
      <c r="J32" s="59">
        <f>IF(OR($H32="",$I32="",$G32=""),"",MAX(1,(YEAR($I32)-YEAR($H32))*12+MONTH($I32)-MONTH($H32)+1))</f>
        <v/>
      </c>
      <c r="K32" s="62">
        <f>IF($J32="","",$G32/$J32)</f>
        <v/>
      </c>
      <c r="L32" s="62">
        <f>IF($J32="",0,$K32*MAX(0,MIN(YEAR($C$3)*12+MONTH($C$3),YEAR($I32)*12+MONTH($I32))-(YEAR($H32)*12+MONTH($H32))+1))</f>
        <v/>
      </c>
      <c r="M32" s="62">
        <f>IF($J32="",0,$K32*MAX(0,MIN(YEAR($C$3)*12+MONTH($C$3)-1,YEAR($I32)*12+MONTH($I32))-(YEAR($H32)*12+MONTH($H32))+1))</f>
        <v/>
      </c>
      <c r="N32" s="62">
        <f>IF(OR($J32="",$B32=""),0,IF(YEAR($B32)*12+MONTH($B32)&lt;=YEAR($C$3)*12+MONTH($C$3),$G32,0))</f>
        <v/>
      </c>
      <c r="O32" s="62">
        <f>IF(OR($J32="",$B32=""),0,IF(YEAR($B32)*12+MONTH($B32)&lt;=YEAR($C$3)*12+MONTH($C$3)-1,$G32,0))</f>
        <v/>
      </c>
      <c r="P32" s="62">
        <f>$M32-$O32</f>
        <v/>
      </c>
      <c r="Q32" s="62">
        <f>($L32-$M32)-($N32-$O32)</f>
        <v/>
      </c>
      <c r="R32" s="62">
        <f>$L32-$N32</f>
        <v/>
      </c>
    </row>
    <row r="33">
      <c r="A33" s="59">
        <f>ROW()-5</f>
        <v/>
      </c>
      <c r="B33" s="60">
        <f>IFERROR(INDEX(tbl_Finance[Date],$A33),"")</f>
        <v/>
      </c>
      <c r="C33" s="61">
        <f>IFERROR(INDEX(tbl_Finance[Xero Invoice No],$A33),"")</f>
        <v/>
      </c>
      <c r="D33" s="61">
        <f>IFERROR(INDEX(tbl_Finance[Client],$A33),"")</f>
        <v/>
      </c>
      <c r="E33" s="61">
        <f>IFERROR(INDEX(tbl_Finance[Job Number],$A33),"")</f>
        <v/>
      </c>
      <c r="F33" s="61">
        <f>IFERROR(INDEX(tbl_Finance[Cost Centre],$A33),"")</f>
        <v/>
      </c>
      <c r="G33" s="62">
        <f>IFERROR(INDEX(tbl_Finance[Ex GST],$A33),"")</f>
        <v/>
      </c>
      <c r="H33" s="60">
        <f>IFERROR(INDEX(tbl_Finance[Defer Start],$A33),"")</f>
        <v/>
      </c>
      <c r="I33" s="60">
        <f>IFERROR(INDEX(tbl_Finance[Defer End],$A33),"")</f>
        <v/>
      </c>
      <c r="J33" s="59">
        <f>IF(OR($H33="",$I33="",$G33=""),"",MAX(1,(YEAR($I33)-YEAR($H33))*12+MONTH($I33)-MONTH($H33)+1))</f>
        <v/>
      </c>
      <c r="K33" s="62">
        <f>IF($J33="","",$G33/$J33)</f>
        <v/>
      </c>
      <c r="L33" s="62">
        <f>IF($J33="",0,$K33*MAX(0,MIN(YEAR($C$3)*12+MONTH($C$3),YEAR($I33)*12+MONTH($I33))-(YEAR($H33)*12+MONTH($H33))+1))</f>
        <v/>
      </c>
      <c r="M33" s="62">
        <f>IF($J33="",0,$K33*MAX(0,MIN(YEAR($C$3)*12+MONTH($C$3)-1,YEAR($I33)*12+MONTH($I33))-(YEAR($H33)*12+MONTH($H33))+1))</f>
        <v/>
      </c>
      <c r="N33" s="62">
        <f>IF(OR($J33="",$B33=""),0,IF(YEAR($B33)*12+MONTH($B33)&lt;=YEAR($C$3)*12+MONTH($C$3),$G33,0))</f>
        <v/>
      </c>
      <c r="O33" s="62">
        <f>IF(OR($J33="",$B33=""),0,IF(YEAR($B33)*12+MONTH($B33)&lt;=YEAR($C$3)*12+MONTH($C$3)-1,$G33,0))</f>
        <v/>
      </c>
      <c r="P33" s="62">
        <f>$M33-$O33</f>
        <v/>
      </c>
      <c r="Q33" s="62">
        <f>($L33-$M33)-($N33-$O33)</f>
        <v/>
      </c>
      <c r="R33" s="62">
        <f>$L33-$N33</f>
        <v/>
      </c>
    </row>
    <row r="34">
      <c r="A34" s="59">
        <f>ROW()-5</f>
        <v/>
      </c>
      <c r="B34" s="60">
        <f>IFERROR(INDEX(tbl_Finance[Date],$A34),"")</f>
        <v/>
      </c>
      <c r="C34" s="61">
        <f>IFERROR(INDEX(tbl_Finance[Xero Invoice No],$A34),"")</f>
        <v/>
      </c>
      <c r="D34" s="61">
        <f>IFERROR(INDEX(tbl_Finance[Client],$A34),"")</f>
        <v/>
      </c>
      <c r="E34" s="61">
        <f>IFERROR(INDEX(tbl_Finance[Job Number],$A34),"")</f>
        <v/>
      </c>
      <c r="F34" s="61">
        <f>IFERROR(INDEX(tbl_Finance[Cost Centre],$A34),"")</f>
        <v/>
      </c>
      <c r="G34" s="62">
        <f>IFERROR(INDEX(tbl_Finance[Ex GST],$A34),"")</f>
        <v/>
      </c>
      <c r="H34" s="60">
        <f>IFERROR(INDEX(tbl_Finance[Defer Start],$A34),"")</f>
        <v/>
      </c>
      <c r="I34" s="60">
        <f>IFERROR(INDEX(tbl_Finance[Defer End],$A34),"")</f>
        <v/>
      </c>
      <c r="J34" s="59">
        <f>IF(OR($H34="",$I34="",$G34=""),"",MAX(1,(YEAR($I34)-YEAR($H34))*12+MONTH($I34)-MONTH($H34)+1))</f>
        <v/>
      </c>
      <c r="K34" s="62">
        <f>IF($J34="","",$G34/$J34)</f>
        <v/>
      </c>
      <c r="L34" s="62">
        <f>IF($J34="",0,$K34*MAX(0,MIN(YEAR($C$3)*12+MONTH($C$3),YEAR($I34)*12+MONTH($I34))-(YEAR($H34)*12+MONTH($H34))+1))</f>
        <v/>
      </c>
      <c r="M34" s="62">
        <f>IF($J34="",0,$K34*MAX(0,MIN(YEAR($C$3)*12+MONTH($C$3)-1,YEAR($I34)*12+MONTH($I34))-(YEAR($H34)*12+MONTH($H34))+1))</f>
        <v/>
      </c>
      <c r="N34" s="62">
        <f>IF(OR($J34="",$B34=""),0,IF(YEAR($B34)*12+MONTH($B34)&lt;=YEAR($C$3)*12+MONTH($C$3),$G34,0))</f>
        <v/>
      </c>
      <c r="O34" s="62">
        <f>IF(OR($J34="",$B34=""),0,IF(YEAR($B34)*12+MONTH($B34)&lt;=YEAR($C$3)*12+MONTH($C$3)-1,$G34,0))</f>
        <v/>
      </c>
      <c r="P34" s="62">
        <f>$M34-$O34</f>
        <v/>
      </c>
      <c r="Q34" s="62">
        <f>($L34-$M34)-($N34-$O34)</f>
        <v/>
      </c>
      <c r="R34" s="62">
        <f>$L34-$N34</f>
        <v/>
      </c>
    </row>
    <row r="35">
      <c r="A35" s="59">
        <f>ROW()-5</f>
        <v/>
      </c>
      <c r="B35" s="60">
        <f>IFERROR(INDEX(tbl_Finance[Date],$A35),"")</f>
        <v/>
      </c>
      <c r="C35" s="61">
        <f>IFERROR(INDEX(tbl_Finance[Xero Invoice No],$A35),"")</f>
        <v/>
      </c>
      <c r="D35" s="61">
        <f>IFERROR(INDEX(tbl_Finance[Client],$A35),"")</f>
        <v/>
      </c>
      <c r="E35" s="61">
        <f>IFERROR(INDEX(tbl_Finance[Job Number],$A35),"")</f>
        <v/>
      </c>
      <c r="F35" s="61">
        <f>IFERROR(INDEX(tbl_Finance[Cost Centre],$A35),"")</f>
        <v/>
      </c>
      <c r="G35" s="62">
        <f>IFERROR(INDEX(tbl_Finance[Ex GST],$A35),"")</f>
        <v/>
      </c>
      <c r="H35" s="60">
        <f>IFERROR(INDEX(tbl_Finance[Defer Start],$A35),"")</f>
        <v/>
      </c>
      <c r="I35" s="60">
        <f>IFERROR(INDEX(tbl_Finance[Defer End],$A35),"")</f>
        <v/>
      </c>
      <c r="J35" s="59">
        <f>IF(OR($H35="",$I35="",$G35=""),"",MAX(1,(YEAR($I35)-YEAR($H35))*12+MONTH($I35)-MONTH($H35)+1))</f>
        <v/>
      </c>
      <c r="K35" s="62">
        <f>IF($J35="","",$G35/$J35)</f>
        <v/>
      </c>
      <c r="L35" s="62">
        <f>IF($J35="",0,$K35*MAX(0,MIN(YEAR($C$3)*12+MONTH($C$3),YEAR($I35)*12+MONTH($I35))-(YEAR($H35)*12+MONTH($H35))+1))</f>
        <v/>
      </c>
      <c r="M35" s="62">
        <f>IF($J35="",0,$K35*MAX(0,MIN(YEAR($C$3)*12+MONTH($C$3)-1,YEAR($I35)*12+MONTH($I35))-(YEAR($H35)*12+MONTH($H35))+1))</f>
        <v/>
      </c>
      <c r="N35" s="62">
        <f>IF(OR($J35="",$B35=""),0,IF(YEAR($B35)*12+MONTH($B35)&lt;=YEAR($C$3)*12+MONTH($C$3),$G35,0))</f>
        <v/>
      </c>
      <c r="O35" s="62">
        <f>IF(OR($J35="",$B35=""),0,IF(YEAR($B35)*12+MONTH($B35)&lt;=YEAR($C$3)*12+MONTH($C$3)-1,$G35,0))</f>
        <v/>
      </c>
      <c r="P35" s="62">
        <f>$M35-$O35</f>
        <v/>
      </c>
      <c r="Q35" s="62">
        <f>($L35-$M35)-($N35-$O35)</f>
        <v/>
      </c>
      <c r="R35" s="62">
        <f>$L35-$N35</f>
        <v/>
      </c>
    </row>
    <row r="36">
      <c r="A36" s="59">
        <f>ROW()-5</f>
        <v/>
      </c>
      <c r="B36" s="60">
        <f>IFERROR(INDEX(tbl_Finance[Date],$A36),"")</f>
        <v/>
      </c>
      <c r="C36" s="61">
        <f>IFERROR(INDEX(tbl_Finance[Xero Invoice No],$A36),"")</f>
        <v/>
      </c>
      <c r="D36" s="61">
        <f>IFERROR(INDEX(tbl_Finance[Client],$A36),"")</f>
        <v/>
      </c>
      <c r="E36" s="61">
        <f>IFERROR(INDEX(tbl_Finance[Job Number],$A36),"")</f>
        <v/>
      </c>
      <c r="F36" s="61">
        <f>IFERROR(INDEX(tbl_Finance[Cost Centre],$A36),"")</f>
        <v/>
      </c>
      <c r="G36" s="62">
        <f>IFERROR(INDEX(tbl_Finance[Ex GST],$A36),"")</f>
        <v/>
      </c>
      <c r="H36" s="60">
        <f>IFERROR(INDEX(tbl_Finance[Defer Start],$A36),"")</f>
        <v/>
      </c>
      <c r="I36" s="60">
        <f>IFERROR(INDEX(tbl_Finance[Defer End],$A36),"")</f>
        <v/>
      </c>
      <c r="J36" s="59">
        <f>IF(OR($H36="",$I36="",$G36=""),"",MAX(1,(YEAR($I36)-YEAR($H36))*12+MONTH($I36)-MONTH($H36)+1))</f>
        <v/>
      </c>
      <c r="K36" s="62">
        <f>IF($J36="","",$G36/$J36)</f>
        <v/>
      </c>
      <c r="L36" s="62">
        <f>IF($J36="",0,$K36*MAX(0,MIN(YEAR($C$3)*12+MONTH($C$3),YEAR($I36)*12+MONTH($I36))-(YEAR($H36)*12+MONTH($H36))+1))</f>
        <v/>
      </c>
      <c r="M36" s="62">
        <f>IF($J36="",0,$K36*MAX(0,MIN(YEAR($C$3)*12+MONTH($C$3)-1,YEAR($I36)*12+MONTH($I36))-(YEAR($H36)*12+MONTH($H36))+1))</f>
        <v/>
      </c>
      <c r="N36" s="62">
        <f>IF(OR($J36="",$B36=""),0,IF(YEAR($B36)*12+MONTH($B36)&lt;=YEAR($C$3)*12+MONTH($C$3),$G36,0))</f>
        <v/>
      </c>
      <c r="O36" s="62">
        <f>IF(OR($J36="",$B36=""),0,IF(YEAR($B36)*12+MONTH($B36)&lt;=YEAR($C$3)*12+MONTH($C$3)-1,$G36,0))</f>
        <v/>
      </c>
      <c r="P36" s="62">
        <f>$M36-$O36</f>
        <v/>
      </c>
      <c r="Q36" s="62">
        <f>($L36-$M36)-($N36-$O36)</f>
        <v/>
      </c>
      <c r="R36" s="62">
        <f>$L36-$N36</f>
        <v/>
      </c>
    </row>
    <row r="37">
      <c r="A37" s="59">
        <f>ROW()-5</f>
        <v/>
      </c>
      <c r="B37" s="60">
        <f>IFERROR(INDEX(tbl_Finance[Date],$A37),"")</f>
        <v/>
      </c>
      <c r="C37" s="61">
        <f>IFERROR(INDEX(tbl_Finance[Xero Invoice No],$A37),"")</f>
        <v/>
      </c>
      <c r="D37" s="61">
        <f>IFERROR(INDEX(tbl_Finance[Client],$A37),"")</f>
        <v/>
      </c>
      <c r="E37" s="61">
        <f>IFERROR(INDEX(tbl_Finance[Job Number],$A37),"")</f>
        <v/>
      </c>
      <c r="F37" s="61">
        <f>IFERROR(INDEX(tbl_Finance[Cost Centre],$A37),"")</f>
        <v/>
      </c>
      <c r="G37" s="62">
        <f>IFERROR(INDEX(tbl_Finance[Ex GST],$A37),"")</f>
        <v/>
      </c>
      <c r="H37" s="60">
        <f>IFERROR(INDEX(tbl_Finance[Defer Start],$A37),"")</f>
        <v/>
      </c>
      <c r="I37" s="60">
        <f>IFERROR(INDEX(tbl_Finance[Defer End],$A37),"")</f>
        <v/>
      </c>
      <c r="J37" s="59">
        <f>IF(OR($H37="",$I37="",$G37=""),"",MAX(1,(YEAR($I37)-YEAR($H37))*12+MONTH($I37)-MONTH($H37)+1))</f>
        <v/>
      </c>
      <c r="K37" s="62">
        <f>IF($J37="","",$G37/$J37)</f>
        <v/>
      </c>
      <c r="L37" s="62">
        <f>IF($J37="",0,$K37*MAX(0,MIN(YEAR($C$3)*12+MONTH($C$3),YEAR($I37)*12+MONTH($I37))-(YEAR($H37)*12+MONTH($H37))+1))</f>
        <v/>
      </c>
      <c r="M37" s="62">
        <f>IF($J37="",0,$K37*MAX(0,MIN(YEAR($C$3)*12+MONTH($C$3)-1,YEAR($I37)*12+MONTH($I37))-(YEAR($H37)*12+MONTH($H37))+1))</f>
        <v/>
      </c>
      <c r="N37" s="62">
        <f>IF(OR($J37="",$B37=""),0,IF(YEAR($B37)*12+MONTH($B37)&lt;=YEAR($C$3)*12+MONTH($C$3),$G37,0))</f>
        <v/>
      </c>
      <c r="O37" s="62">
        <f>IF(OR($J37="",$B37=""),0,IF(YEAR($B37)*12+MONTH($B37)&lt;=YEAR($C$3)*12+MONTH($C$3)-1,$G37,0))</f>
        <v/>
      </c>
      <c r="P37" s="62">
        <f>$M37-$O37</f>
        <v/>
      </c>
      <c r="Q37" s="62">
        <f>($L37-$M37)-($N37-$O37)</f>
        <v/>
      </c>
      <c r="R37" s="62">
        <f>$L37-$N37</f>
        <v/>
      </c>
    </row>
    <row r="38">
      <c r="A38" s="59">
        <f>ROW()-5</f>
        <v/>
      </c>
      <c r="B38" s="60">
        <f>IFERROR(INDEX(tbl_Finance[Date],$A38),"")</f>
        <v/>
      </c>
      <c r="C38" s="61">
        <f>IFERROR(INDEX(tbl_Finance[Xero Invoice No],$A38),"")</f>
        <v/>
      </c>
      <c r="D38" s="61">
        <f>IFERROR(INDEX(tbl_Finance[Client],$A38),"")</f>
        <v/>
      </c>
      <c r="E38" s="61">
        <f>IFERROR(INDEX(tbl_Finance[Job Number],$A38),"")</f>
        <v/>
      </c>
      <c r="F38" s="61">
        <f>IFERROR(INDEX(tbl_Finance[Cost Centre],$A38),"")</f>
        <v/>
      </c>
      <c r="G38" s="62">
        <f>IFERROR(INDEX(tbl_Finance[Ex GST],$A38),"")</f>
        <v/>
      </c>
      <c r="H38" s="60">
        <f>IFERROR(INDEX(tbl_Finance[Defer Start],$A38),"")</f>
        <v/>
      </c>
      <c r="I38" s="60">
        <f>IFERROR(INDEX(tbl_Finance[Defer End],$A38),"")</f>
        <v/>
      </c>
      <c r="J38" s="59">
        <f>IF(OR($H38="",$I38="",$G38=""),"",MAX(1,(YEAR($I38)-YEAR($H38))*12+MONTH($I38)-MONTH($H38)+1))</f>
        <v/>
      </c>
      <c r="K38" s="62">
        <f>IF($J38="","",$G38/$J38)</f>
        <v/>
      </c>
      <c r="L38" s="62">
        <f>IF($J38="",0,$K38*MAX(0,MIN(YEAR($C$3)*12+MONTH($C$3),YEAR($I38)*12+MONTH($I38))-(YEAR($H38)*12+MONTH($H38))+1))</f>
        <v/>
      </c>
      <c r="M38" s="62">
        <f>IF($J38="",0,$K38*MAX(0,MIN(YEAR($C$3)*12+MONTH($C$3)-1,YEAR($I38)*12+MONTH($I38))-(YEAR($H38)*12+MONTH($H38))+1))</f>
        <v/>
      </c>
      <c r="N38" s="62">
        <f>IF(OR($J38="",$B38=""),0,IF(YEAR($B38)*12+MONTH($B38)&lt;=YEAR($C$3)*12+MONTH($C$3),$G38,0))</f>
        <v/>
      </c>
      <c r="O38" s="62">
        <f>IF(OR($J38="",$B38=""),0,IF(YEAR($B38)*12+MONTH($B38)&lt;=YEAR($C$3)*12+MONTH($C$3)-1,$G38,0))</f>
        <v/>
      </c>
      <c r="P38" s="62">
        <f>$M38-$O38</f>
        <v/>
      </c>
      <c r="Q38" s="62">
        <f>($L38-$M38)-($N38-$O38)</f>
        <v/>
      </c>
      <c r="R38" s="62">
        <f>$L38-$N38</f>
        <v/>
      </c>
    </row>
    <row r="39">
      <c r="A39" s="59">
        <f>ROW()-5</f>
        <v/>
      </c>
      <c r="B39" s="60">
        <f>IFERROR(INDEX(tbl_Finance[Date],$A39),"")</f>
        <v/>
      </c>
      <c r="C39" s="61">
        <f>IFERROR(INDEX(tbl_Finance[Xero Invoice No],$A39),"")</f>
        <v/>
      </c>
      <c r="D39" s="61">
        <f>IFERROR(INDEX(tbl_Finance[Client],$A39),"")</f>
        <v/>
      </c>
      <c r="E39" s="61">
        <f>IFERROR(INDEX(tbl_Finance[Job Number],$A39),"")</f>
        <v/>
      </c>
      <c r="F39" s="61">
        <f>IFERROR(INDEX(tbl_Finance[Cost Centre],$A39),"")</f>
        <v/>
      </c>
      <c r="G39" s="62">
        <f>IFERROR(INDEX(tbl_Finance[Ex GST],$A39),"")</f>
        <v/>
      </c>
      <c r="H39" s="60">
        <f>IFERROR(INDEX(tbl_Finance[Defer Start],$A39),"")</f>
        <v/>
      </c>
      <c r="I39" s="60">
        <f>IFERROR(INDEX(tbl_Finance[Defer End],$A39),"")</f>
        <v/>
      </c>
      <c r="J39" s="59">
        <f>IF(OR($H39="",$I39="",$G39=""),"",MAX(1,(YEAR($I39)-YEAR($H39))*12+MONTH($I39)-MONTH($H39)+1))</f>
        <v/>
      </c>
      <c r="K39" s="62">
        <f>IF($J39="","",$G39/$J39)</f>
        <v/>
      </c>
      <c r="L39" s="62">
        <f>IF($J39="",0,$K39*MAX(0,MIN(YEAR($C$3)*12+MONTH($C$3),YEAR($I39)*12+MONTH($I39))-(YEAR($H39)*12+MONTH($H39))+1))</f>
        <v/>
      </c>
      <c r="M39" s="62">
        <f>IF($J39="",0,$K39*MAX(0,MIN(YEAR($C$3)*12+MONTH($C$3)-1,YEAR($I39)*12+MONTH($I39))-(YEAR($H39)*12+MONTH($H39))+1))</f>
        <v/>
      </c>
      <c r="N39" s="62">
        <f>IF(OR($J39="",$B39=""),0,IF(YEAR($B39)*12+MONTH($B39)&lt;=YEAR($C$3)*12+MONTH($C$3),$G39,0))</f>
        <v/>
      </c>
      <c r="O39" s="62">
        <f>IF(OR($J39="",$B39=""),0,IF(YEAR($B39)*12+MONTH($B39)&lt;=YEAR($C$3)*12+MONTH($C$3)-1,$G39,0))</f>
        <v/>
      </c>
      <c r="P39" s="62">
        <f>$M39-$O39</f>
        <v/>
      </c>
      <c r="Q39" s="62">
        <f>($L39-$M39)-($N39-$O39)</f>
        <v/>
      </c>
      <c r="R39" s="62">
        <f>$L39-$N39</f>
        <v/>
      </c>
    </row>
    <row r="40">
      <c r="A40" s="59">
        <f>ROW()-5</f>
        <v/>
      </c>
      <c r="B40" s="60">
        <f>IFERROR(INDEX(tbl_Finance[Date],$A40),"")</f>
        <v/>
      </c>
      <c r="C40" s="61">
        <f>IFERROR(INDEX(tbl_Finance[Xero Invoice No],$A40),"")</f>
        <v/>
      </c>
      <c r="D40" s="61">
        <f>IFERROR(INDEX(tbl_Finance[Client],$A40),"")</f>
        <v/>
      </c>
      <c r="E40" s="61">
        <f>IFERROR(INDEX(tbl_Finance[Job Number],$A40),"")</f>
        <v/>
      </c>
      <c r="F40" s="61">
        <f>IFERROR(INDEX(tbl_Finance[Cost Centre],$A40),"")</f>
        <v/>
      </c>
      <c r="G40" s="62">
        <f>IFERROR(INDEX(tbl_Finance[Ex GST],$A40),"")</f>
        <v/>
      </c>
      <c r="H40" s="60">
        <f>IFERROR(INDEX(tbl_Finance[Defer Start],$A40),"")</f>
        <v/>
      </c>
      <c r="I40" s="60">
        <f>IFERROR(INDEX(tbl_Finance[Defer End],$A40),"")</f>
        <v/>
      </c>
      <c r="J40" s="59">
        <f>IF(OR($H40="",$I40="",$G40=""),"",MAX(1,(YEAR($I40)-YEAR($H40))*12+MONTH($I40)-MONTH($H40)+1))</f>
        <v/>
      </c>
      <c r="K40" s="62">
        <f>IF($J40="","",$G40/$J40)</f>
        <v/>
      </c>
      <c r="L40" s="62">
        <f>IF($J40="",0,$K40*MAX(0,MIN(YEAR($C$3)*12+MONTH($C$3),YEAR($I40)*12+MONTH($I40))-(YEAR($H40)*12+MONTH($H40))+1))</f>
        <v/>
      </c>
      <c r="M40" s="62">
        <f>IF($J40="",0,$K40*MAX(0,MIN(YEAR($C$3)*12+MONTH($C$3)-1,YEAR($I40)*12+MONTH($I40))-(YEAR($H40)*12+MONTH($H40))+1))</f>
        <v/>
      </c>
      <c r="N40" s="62">
        <f>IF(OR($J40="",$B40=""),0,IF(YEAR($B40)*12+MONTH($B40)&lt;=YEAR($C$3)*12+MONTH($C$3),$G40,0))</f>
        <v/>
      </c>
      <c r="O40" s="62">
        <f>IF(OR($J40="",$B40=""),0,IF(YEAR($B40)*12+MONTH($B40)&lt;=YEAR($C$3)*12+MONTH($C$3)-1,$G40,0))</f>
        <v/>
      </c>
      <c r="P40" s="62">
        <f>$M40-$O40</f>
        <v/>
      </c>
      <c r="Q40" s="62">
        <f>($L40-$M40)-($N40-$O40)</f>
        <v/>
      </c>
      <c r="R40" s="62">
        <f>$L40-$N40</f>
        <v/>
      </c>
    </row>
    <row r="41">
      <c r="A41" s="59">
        <f>ROW()-5</f>
        <v/>
      </c>
      <c r="B41" s="60">
        <f>IFERROR(INDEX(tbl_Finance[Date],$A41),"")</f>
        <v/>
      </c>
      <c r="C41" s="61">
        <f>IFERROR(INDEX(tbl_Finance[Xero Invoice No],$A41),"")</f>
        <v/>
      </c>
      <c r="D41" s="61">
        <f>IFERROR(INDEX(tbl_Finance[Client],$A41),"")</f>
        <v/>
      </c>
      <c r="E41" s="61">
        <f>IFERROR(INDEX(tbl_Finance[Job Number],$A41),"")</f>
        <v/>
      </c>
      <c r="F41" s="61">
        <f>IFERROR(INDEX(tbl_Finance[Cost Centre],$A41),"")</f>
        <v/>
      </c>
      <c r="G41" s="62">
        <f>IFERROR(INDEX(tbl_Finance[Ex GST],$A41),"")</f>
        <v/>
      </c>
      <c r="H41" s="60">
        <f>IFERROR(INDEX(tbl_Finance[Defer Start],$A41),"")</f>
        <v/>
      </c>
      <c r="I41" s="60">
        <f>IFERROR(INDEX(tbl_Finance[Defer End],$A41),"")</f>
        <v/>
      </c>
      <c r="J41" s="59">
        <f>IF(OR($H41="",$I41="",$G41=""),"",MAX(1,(YEAR($I41)-YEAR($H41))*12+MONTH($I41)-MONTH($H41)+1))</f>
        <v/>
      </c>
      <c r="K41" s="62">
        <f>IF($J41="","",$G41/$J41)</f>
        <v/>
      </c>
      <c r="L41" s="62">
        <f>IF($J41="",0,$K41*MAX(0,MIN(YEAR($C$3)*12+MONTH($C$3),YEAR($I41)*12+MONTH($I41))-(YEAR($H41)*12+MONTH($H41))+1))</f>
        <v/>
      </c>
      <c r="M41" s="62">
        <f>IF($J41="",0,$K41*MAX(0,MIN(YEAR($C$3)*12+MONTH($C$3)-1,YEAR($I41)*12+MONTH($I41))-(YEAR($H41)*12+MONTH($H41))+1))</f>
        <v/>
      </c>
      <c r="N41" s="62">
        <f>IF(OR($J41="",$B41=""),0,IF(YEAR($B41)*12+MONTH($B41)&lt;=YEAR($C$3)*12+MONTH($C$3),$G41,0))</f>
        <v/>
      </c>
      <c r="O41" s="62">
        <f>IF(OR($J41="",$B41=""),0,IF(YEAR($B41)*12+MONTH($B41)&lt;=YEAR($C$3)*12+MONTH($C$3)-1,$G41,0))</f>
        <v/>
      </c>
      <c r="P41" s="62">
        <f>$M41-$O41</f>
        <v/>
      </c>
      <c r="Q41" s="62">
        <f>($L41-$M41)-($N41-$O41)</f>
        <v/>
      </c>
      <c r="R41" s="62">
        <f>$L41-$N41</f>
        <v/>
      </c>
    </row>
    <row r="42">
      <c r="A42" s="59">
        <f>ROW()-5</f>
        <v/>
      </c>
      <c r="B42" s="60">
        <f>IFERROR(INDEX(tbl_Finance[Date],$A42),"")</f>
        <v/>
      </c>
      <c r="C42" s="61">
        <f>IFERROR(INDEX(tbl_Finance[Xero Invoice No],$A42),"")</f>
        <v/>
      </c>
      <c r="D42" s="61">
        <f>IFERROR(INDEX(tbl_Finance[Client],$A42),"")</f>
        <v/>
      </c>
      <c r="E42" s="61">
        <f>IFERROR(INDEX(tbl_Finance[Job Number],$A42),"")</f>
        <v/>
      </c>
      <c r="F42" s="61">
        <f>IFERROR(INDEX(tbl_Finance[Cost Centre],$A42),"")</f>
        <v/>
      </c>
      <c r="G42" s="62">
        <f>IFERROR(INDEX(tbl_Finance[Ex GST],$A42),"")</f>
        <v/>
      </c>
      <c r="H42" s="60">
        <f>IFERROR(INDEX(tbl_Finance[Defer Start],$A42),"")</f>
        <v/>
      </c>
      <c r="I42" s="60">
        <f>IFERROR(INDEX(tbl_Finance[Defer End],$A42),"")</f>
        <v/>
      </c>
      <c r="J42" s="59">
        <f>IF(OR($H42="",$I42="",$G42=""),"",MAX(1,(YEAR($I42)-YEAR($H42))*12+MONTH($I42)-MONTH($H42)+1))</f>
        <v/>
      </c>
      <c r="K42" s="62">
        <f>IF($J42="","",$G42/$J42)</f>
        <v/>
      </c>
      <c r="L42" s="62">
        <f>IF($J42="",0,$K42*MAX(0,MIN(YEAR($C$3)*12+MONTH($C$3),YEAR($I42)*12+MONTH($I42))-(YEAR($H42)*12+MONTH($H42))+1))</f>
        <v/>
      </c>
      <c r="M42" s="62">
        <f>IF($J42="",0,$K42*MAX(0,MIN(YEAR($C$3)*12+MONTH($C$3)-1,YEAR($I42)*12+MONTH($I42))-(YEAR($H42)*12+MONTH($H42))+1))</f>
        <v/>
      </c>
      <c r="N42" s="62">
        <f>IF(OR($J42="",$B42=""),0,IF(YEAR($B42)*12+MONTH($B42)&lt;=YEAR($C$3)*12+MONTH($C$3),$G42,0))</f>
        <v/>
      </c>
      <c r="O42" s="62">
        <f>IF(OR($J42="",$B42=""),0,IF(YEAR($B42)*12+MONTH($B42)&lt;=YEAR($C$3)*12+MONTH($C$3)-1,$G42,0))</f>
        <v/>
      </c>
      <c r="P42" s="62">
        <f>$M42-$O42</f>
        <v/>
      </c>
      <c r="Q42" s="62">
        <f>($L42-$M42)-($N42-$O42)</f>
        <v/>
      </c>
      <c r="R42" s="62">
        <f>$L42-$N42</f>
        <v/>
      </c>
    </row>
    <row r="43">
      <c r="A43" s="59">
        <f>ROW()-5</f>
        <v/>
      </c>
      <c r="B43" s="60">
        <f>IFERROR(INDEX(tbl_Finance[Date],$A43),"")</f>
        <v/>
      </c>
      <c r="C43" s="61">
        <f>IFERROR(INDEX(tbl_Finance[Xero Invoice No],$A43),"")</f>
        <v/>
      </c>
      <c r="D43" s="61">
        <f>IFERROR(INDEX(tbl_Finance[Client],$A43),"")</f>
        <v/>
      </c>
      <c r="E43" s="61">
        <f>IFERROR(INDEX(tbl_Finance[Job Number],$A43),"")</f>
        <v/>
      </c>
      <c r="F43" s="61">
        <f>IFERROR(INDEX(tbl_Finance[Cost Centre],$A43),"")</f>
        <v/>
      </c>
      <c r="G43" s="62">
        <f>IFERROR(INDEX(tbl_Finance[Ex GST],$A43),"")</f>
        <v/>
      </c>
      <c r="H43" s="60">
        <f>IFERROR(INDEX(tbl_Finance[Defer Start],$A43),"")</f>
        <v/>
      </c>
      <c r="I43" s="60">
        <f>IFERROR(INDEX(tbl_Finance[Defer End],$A43),"")</f>
        <v/>
      </c>
      <c r="J43" s="59">
        <f>IF(OR($H43="",$I43="",$G43=""),"",MAX(1,(YEAR($I43)-YEAR($H43))*12+MONTH($I43)-MONTH($H43)+1))</f>
        <v/>
      </c>
      <c r="K43" s="62">
        <f>IF($J43="","",$G43/$J43)</f>
        <v/>
      </c>
      <c r="L43" s="62">
        <f>IF($J43="",0,$K43*MAX(0,MIN(YEAR($C$3)*12+MONTH($C$3),YEAR($I43)*12+MONTH($I43))-(YEAR($H43)*12+MONTH($H43))+1))</f>
        <v/>
      </c>
      <c r="M43" s="62">
        <f>IF($J43="",0,$K43*MAX(0,MIN(YEAR($C$3)*12+MONTH($C$3)-1,YEAR($I43)*12+MONTH($I43))-(YEAR($H43)*12+MONTH($H43))+1))</f>
        <v/>
      </c>
      <c r="N43" s="62">
        <f>IF(OR($J43="",$B43=""),0,IF(YEAR($B43)*12+MONTH($B43)&lt;=YEAR($C$3)*12+MONTH($C$3),$G43,0))</f>
        <v/>
      </c>
      <c r="O43" s="62">
        <f>IF(OR($J43="",$B43=""),0,IF(YEAR($B43)*12+MONTH($B43)&lt;=YEAR($C$3)*12+MONTH($C$3)-1,$G43,0))</f>
        <v/>
      </c>
      <c r="P43" s="62">
        <f>$M43-$O43</f>
        <v/>
      </c>
      <c r="Q43" s="62">
        <f>($L43-$M43)-($N43-$O43)</f>
        <v/>
      </c>
      <c r="R43" s="62">
        <f>$L43-$N43</f>
        <v/>
      </c>
    </row>
    <row r="44">
      <c r="A44" s="59">
        <f>ROW()-5</f>
        <v/>
      </c>
      <c r="B44" s="60">
        <f>IFERROR(INDEX(tbl_Finance[Date],$A44),"")</f>
        <v/>
      </c>
      <c r="C44" s="61">
        <f>IFERROR(INDEX(tbl_Finance[Xero Invoice No],$A44),"")</f>
        <v/>
      </c>
      <c r="D44" s="61">
        <f>IFERROR(INDEX(tbl_Finance[Client],$A44),"")</f>
        <v/>
      </c>
      <c r="E44" s="61">
        <f>IFERROR(INDEX(tbl_Finance[Job Number],$A44),"")</f>
        <v/>
      </c>
      <c r="F44" s="61">
        <f>IFERROR(INDEX(tbl_Finance[Cost Centre],$A44),"")</f>
        <v/>
      </c>
      <c r="G44" s="62">
        <f>IFERROR(INDEX(tbl_Finance[Ex GST],$A44),"")</f>
        <v/>
      </c>
      <c r="H44" s="60">
        <f>IFERROR(INDEX(tbl_Finance[Defer Start],$A44),"")</f>
        <v/>
      </c>
      <c r="I44" s="60">
        <f>IFERROR(INDEX(tbl_Finance[Defer End],$A44),"")</f>
        <v/>
      </c>
      <c r="J44" s="59">
        <f>IF(OR($H44="",$I44="",$G44=""),"",MAX(1,(YEAR($I44)-YEAR($H44))*12+MONTH($I44)-MONTH($H44)+1))</f>
        <v/>
      </c>
      <c r="K44" s="62">
        <f>IF($J44="","",$G44/$J44)</f>
        <v/>
      </c>
      <c r="L44" s="62">
        <f>IF($J44="",0,$K44*MAX(0,MIN(YEAR($C$3)*12+MONTH($C$3),YEAR($I44)*12+MONTH($I44))-(YEAR($H44)*12+MONTH($H44))+1))</f>
        <v/>
      </c>
      <c r="M44" s="62">
        <f>IF($J44="",0,$K44*MAX(0,MIN(YEAR($C$3)*12+MONTH($C$3)-1,YEAR($I44)*12+MONTH($I44))-(YEAR($H44)*12+MONTH($H44))+1))</f>
        <v/>
      </c>
      <c r="N44" s="62">
        <f>IF(OR($J44="",$B44=""),0,IF(YEAR($B44)*12+MONTH($B44)&lt;=YEAR($C$3)*12+MONTH($C$3),$G44,0))</f>
        <v/>
      </c>
      <c r="O44" s="62">
        <f>IF(OR($J44="",$B44=""),0,IF(YEAR($B44)*12+MONTH($B44)&lt;=YEAR($C$3)*12+MONTH($C$3)-1,$G44,0))</f>
        <v/>
      </c>
      <c r="P44" s="62">
        <f>$M44-$O44</f>
        <v/>
      </c>
      <c r="Q44" s="62">
        <f>($L44-$M44)-($N44-$O44)</f>
        <v/>
      </c>
      <c r="R44" s="62">
        <f>$L44-$N44</f>
        <v/>
      </c>
    </row>
    <row r="45">
      <c r="A45" s="59">
        <f>ROW()-5</f>
        <v/>
      </c>
      <c r="B45" s="60">
        <f>IFERROR(INDEX(tbl_Finance[Date],$A45),"")</f>
        <v/>
      </c>
      <c r="C45" s="61">
        <f>IFERROR(INDEX(tbl_Finance[Xero Invoice No],$A45),"")</f>
        <v/>
      </c>
      <c r="D45" s="61">
        <f>IFERROR(INDEX(tbl_Finance[Client],$A45),"")</f>
        <v/>
      </c>
      <c r="E45" s="61">
        <f>IFERROR(INDEX(tbl_Finance[Job Number],$A45),"")</f>
        <v/>
      </c>
      <c r="F45" s="61">
        <f>IFERROR(INDEX(tbl_Finance[Cost Centre],$A45),"")</f>
        <v/>
      </c>
      <c r="G45" s="62">
        <f>IFERROR(INDEX(tbl_Finance[Ex GST],$A45),"")</f>
        <v/>
      </c>
      <c r="H45" s="60">
        <f>IFERROR(INDEX(tbl_Finance[Defer Start],$A45),"")</f>
        <v/>
      </c>
      <c r="I45" s="60">
        <f>IFERROR(INDEX(tbl_Finance[Defer End],$A45),"")</f>
        <v/>
      </c>
      <c r="J45" s="59">
        <f>IF(OR($H45="",$I45="",$G45=""),"",MAX(1,(YEAR($I45)-YEAR($H45))*12+MONTH($I45)-MONTH($H45)+1))</f>
        <v/>
      </c>
      <c r="K45" s="62">
        <f>IF($J45="","",$G45/$J45)</f>
        <v/>
      </c>
      <c r="L45" s="62">
        <f>IF($J45="",0,$K45*MAX(0,MIN(YEAR($C$3)*12+MONTH($C$3),YEAR($I45)*12+MONTH($I45))-(YEAR($H45)*12+MONTH($H45))+1))</f>
        <v/>
      </c>
      <c r="M45" s="62">
        <f>IF($J45="",0,$K45*MAX(0,MIN(YEAR($C$3)*12+MONTH($C$3)-1,YEAR($I45)*12+MONTH($I45))-(YEAR($H45)*12+MONTH($H45))+1))</f>
        <v/>
      </c>
      <c r="N45" s="62">
        <f>IF(OR($J45="",$B45=""),0,IF(YEAR($B45)*12+MONTH($B45)&lt;=YEAR($C$3)*12+MONTH($C$3),$G45,0))</f>
        <v/>
      </c>
      <c r="O45" s="62">
        <f>IF(OR($J45="",$B45=""),0,IF(YEAR($B45)*12+MONTH($B45)&lt;=YEAR($C$3)*12+MONTH($C$3)-1,$G45,0))</f>
        <v/>
      </c>
      <c r="P45" s="62">
        <f>$M45-$O45</f>
        <v/>
      </c>
      <c r="Q45" s="62">
        <f>($L45-$M45)-($N45-$O45)</f>
        <v/>
      </c>
      <c r="R45" s="62">
        <f>$L45-$N45</f>
        <v/>
      </c>
    </row>
    <row r="46">
      <c r="A46" s="59">
        <f>ROW()-5</f>
        <v/>
      </c>
      <c r="B46" s="60">
        <f>IFERROR(INDEX(tbl_Finance[Date],$A46),"")</f>
        <v/>
      </c>
      <c r="C46" s="61">
        <f>IFERROR(INDEX(tbl_Finance[Xero Invoice No],$A46),"")</f>
        <v/>
      </c>
      <c r="D46" s="61">
        <f>IFERROR(INDEX(tbl_Finance[Client],$A46),"")</f>
        <v/>
      </c>
      <c r="E46" s="61">
        <f>IFERROR(INDEX(tbl_Finance[Job Number],$A46),"")</f>
        <v/>
      </c>
      <c r="F46" s="61">
        <f>IFERROR(INDEX(tbl_Finance[Cost Centre],$A46),"")</f>
        <v/>
      </c>
      <c r="G46" s="62">
        <f>IFERROR(INDEX(tbl_Finance[Ex GST],$A46),"")</f>
        <v/>
      </c>
      <c r="H46" s="60">
        <f>IFERROR(INDEX(tbl_Finance[Defer Start],$A46),"")</f>
        <v/>
      </c>
      <c r="I46" s="60">
        <f>IFERROR(INDEX(tbl_Finance[Defer End],$A46),"")</f>
        <v/>
      </c>
      <c r="J46" s="59">
        <f>IF(OR($H46="",$I46="",$G46=""),"",MAX(1,(YEAR($I46)-YEAR($H46))*12+MONTH($I46)-MONTH($H46)+1))</f>
        <v/>
      </c>
      <c r="K46" s="62">
        <f>IF($J46="","",$G46/$J46)</f>
        <v/>
      </c>
      <c r="L46" s="62">
        <f>IF($J46="",0,$K46*MAX(0,MIN(YEAR($C$3)*12+MONTH($C$3),YEAR($I46)*12+MONTH($I46))-(YEAR($H46)*12+MONTH($H46))+1))</f>
        <v/>
      </c>
      <c r="M46" s="62">
        <f>IF($J46="",0,$K46*MAX(0,MIN(YEAR($C$3)*12+MONTH($C$3)-1,YEAR($I46)*12+MONTH($I46))-(YEAR($H46)*12+MONTH($H46))+1))</f>
        <v/>
      </c>
      <c r="N46" s="62">
        <f>IF(OR($J46="",$B46=""),0,IF(YEAR($B46)*12+MONTH($B46)&lt;=YEAR($C$3)*12+MONTH($C$3),$G46,0))</f>
        <v/>
      </c>
      <c r="O46" s="62">
        <f>IF(OR($J46="",$B46=""),0,IF(YEAR($B46)*12+MONTH($B46)&lt;=YEAR($C$3)*12+MONTH($C$3)-1,$G46,0))</f>
        <v/>
      </c>
      <c r="P46" s="62">
        <f>$M46-$O46</f>
        <v/>
      </c>
      <c r="Q46" s="62">
        <f>($L46-$M46)-($N46-$O46)</f>
        <v/>
      </c>
      <c r="R46" s="62">
        <f>$L46-$N46</f>
        <v/>
      </c>
    </row>
    <row r="47">
      <c r="A47" s="59">
        <f>ROW()-5</f>
        <v/>
      </c>
      <c r="B47" s="60">
        <f>IFERROR(INDEX(tbl_Finance[Date],$A47),"")</f>
        <v/>
      </c>
      <c r="C47" s="61">
        <f>IFERROR(INDEX(tbl_Finance[Xero Invoice No],$A47),"")</f>
        <v/>
      </c>
      <c r="D47" s="61">
        <f>IFERROR(INDEX(tbl_Finance[Client],$A47),"")</f>
        <v/>
      </c>
      <c r="E47" s="61">
        <f>IFERROR(INDEX(tbl_Finance[Job Number],$A47),"")</f>
        <v/>
      </c>
      <c r="F47" s="61">
        <f>IFERROR(INDEX(tbl_Finance[Cost Centre],$A47),"")</f>
        <v/>
      </c>
      <c r="G47" s="62">
        <f>IFERROR(INDEX(tbl_Finance[Ex GST],$A47),"")</f>
        <v/>
      </c>
      <c r="H47" s="60">
        <f>IFERROR(INDEX(tbl_Finance[Defer Start],$A47),"")</f>
        <v/>
      </c>
      <c r="I47" s="60">
        <f>IFERROR(INDEX(tbl_Finance[Defer End],$A47),"")</f>
        <v/>
      </c>
      <c r="J47" s="59">
        <f>IF(OR($H47="",$I47="",$G47=""),"",MAX(1,(YEAR($I47)-YEAR($H47))*12+MONTH($I47)-MONTH($H47)+1))</f>
        <v/>
      </c>
      <c r="K47" s="62">
        <f>IF($J47="","",$G47/$J47)</f>
        <v/>
      </c>
      <c r="L47" s="62">
        <f>IF($J47="",0,$K47*MAX(0,MIN(YEAR($C$3)*12+MONTH($C$3),YEAR($I47)*12+MONTH($I47))-(YEAR($H47)*12+MONTH($H47))+1))</f>
        <v/>
      </c>
      <c r="M47" s="62">
        <f>IF($J47="",0,$K47*MAX(0,MIN(YEAR($C$3)*12+MONTH($C$3)-1,YEAR($I47)*12+MONTH($I47))-(YEAR($H47)*12+MONTH($H47))+1))</f>
        <v/>
      </c>
      <c r="N47" s="62">
        <f>IF(OR($J47="",$B47=""),0,IF(YEAR($B47)*12+MONTH($B47)&lt;=YEAR($C$3)*12+MONTH($C$3),$G47,0))</f>
        <v/>
      </c>
      <c r="O47" s="62">
        <f>IF(OR($J47="",$B47=""),0,IF(YEAR($B47)*12+MONTH($B47)&lt;=YEAR($C$3)*12+MONTH($C$3)-1,$G47,0))</f>
        <v/>
      </c>
      <c r="P47" s="62">
        <f>$M47-$O47</f>
        <v/>
      </c>
      <c r="Q47" s="62">
        <f>($L47-$M47)-($N47-$O47)</f>
        <v/>
      </c>
      <c r="R47" s="62">
        <f>$L47-$N47</f>
        <v/>
      </c>
    </row>
    <row r="48">
      <c r="A48" s="59">
        <f>ROW()-5</f>
        <v/>
      </c>
      <c r="B48" s="60">
        <f>IFERROR(INDEX(tbl_Finance[Date],$A48),"")</f>
        <v/>
      </c>
      <c r="C48" s="61">
        <f>IFERROR(INDEX(tbl_Finance[Xero Invoice No],$A48),"")</f>
        <v/>
      </c>
      <c r="D48" s="61">
        <f>IFERROR(INDEX(tbl_Finance[Client],$A48),"")</f>
        <v/>
      </c>
      <c r="E48" s="61">
        <f>IFERROR(INDEX(tbl_Finance[Job Number],$A48),"")</f>
        <v/>
      </c>
      <c r="F48" s="61">
        <f>IFERROR(INDEX(tbl_Finance[Cost Centre],$A48),"")</f>
        <v/>
      </c>
      <c r="G48" s="62">
        <f>IFERROR(INDEX(tbl_Finance[Ex GST],$A48),"")</f>
        <v/>
      </c>
      <c r="H48" s="60">
        <f>IFERROR(INDEX(tbl_Finance[Defer Start],$A48),"")</f>
        <v/>
      </c>
      <c r="I48" s="60">
        <f>IFERROR(INDEX(tbl_Finance[Defer End],$A48),"")</f>
        <v/>
      </c>
      <c r="J48" s="59">
        <f>IF(OR($H48="",$I48="",$G48=""),"",MAX(1,(YEAR($I48)-YEAR($H48))*12+MONTH($I48)-MONTH($H48)+1))</f>
        <v/>
      </c>
      <c r="K48" s="62">
        <f>IF($J48="","",$G48/$J48)</f>
        <v/>
      </c>
      <c r="L48" s="62">
        <f>IF($J48="",0,$K48*MAX(0,MIN(YEAR($C$3)*12+MONTH($C$3),YEAR($I48)*12+MONTH($I48))-(YEAR($H48)*12+MONTH($H48))+1))</f>
        <v/>
      </c>
      <c r="M48" s="62">
        <f>IF($J48="",0,$K48*MAX(0,MIN(YEAR($C$3)*12+MONTH($C$3)-1,YEAR($I48)*12+MONTH($I48))-(YEAR($H48)*12+MONTH($H48))+1))</f>
        <v/>
      </c>
      <c r="N48" s="62">
        <f>IF(OR($J48="",$B48=""),0,IF(YEAR($B48)*12+MONTH($B48)&lt;=YEAR($C$3)*12+MONTH($C$3),$G48,0))</f>
        <v/>
      </c>
      <c r="O48" s="62">
        <f>IF(OR($J48="",$B48=""),0,IF(YEAR($B48)*12+MONTH($B48)&lt;=YEAR($C$3)*12+MONTH($C$3)-1,$G48,0))</f>
        <v/>
      </c>
      <c r="P48" s="62">
        <f>$M48-$O48</f>
        <v/>
      </c>
      <c r="Q48" s="62">
        <f>($L48-$M48)-($N48-$O48)</f>
        <v/>
      </c>
      <c r="R48" s="62">
        <f>$L48-$N48</f>
        <v/>
      </c>
    </row>
    <row r="49">
      <c r="A49" s="59">
        <f>ROW()-5</f>
        <v/>
      </c>
      <c r="B49" s="60">
        <f>IFERROR(INDEX(tbl_Finance[Date],$A49),"")</f>
        <v/>
      </c>
      <c r="C49" s="61">
        <f>IFERROR(INDEX(tbl_Finance[Xero Invoice No],$A49),"")</f>
        <v/>
      </c>
      <c r="D49" s="61">
        <f>IFERROR(INDEX(tbl_Finance[Client],$A49),"")</f>
        <v/>
      </c>
      <c r="E49" s="61">
        <f>IFERROR(INDEX(tbl_Finance[Job Number],$A49),"")</f>
        <v/>
      </c>
      <c r="F49" s="61">
        <f>IFERROR(INDEX(tbl_Finance[Cost Centre],$A49),"")</f>
        <v/>
      </c>
      <c r="G49" s="62">
        <f>IFERROR(INDEX(tbl_Finance[Ex GST],$A49),"")</f>
        <v/>
      </c>
      <c r="H49" s="60">
        <f>IFERROR(INDEX(tbl_Finance[Defer Start],$A49),"")</f>
        <v/>
      </c>
      <c r="I49" s="60">
        <f>IFERROR(INDEX(tbl_Finance[Defer End],$A49),"")</f>
        <v/>
      </c>
      <c r="J49" s="59">
        <f>IF(OR($H49="",$I49="",$G49=""),"",MAX(1,(YEAR($I49)-YEAR($H49))*12+MONTH($I49)-MONTH($H49)+1))</f>
        <v/>
      </c>
      <c r="K49" s="62">
        <f>IF($J49="","",$G49/$J49)</f>
        <v/>
      </c>
      <c r="L49" s="62">
        <f>IF($J49="",0,$K49*MAX(0,MIN(YEAR($C$3)*12+MONTH($C$3),YEAR($I49)*12+MONTH($I49))-(YEAR($H49)*12+MONTH($H49))+1))</f>
        <v/>
      </c>
      <c r="M49" s="62">
        <f>IF($J49="",0,$K49*MAX(0,MIN(YEAR($C$3)*12+MONTH($C$3)-1,YEAR($I49)*12+MONTH($I49))-(YEAR($H49)*12+MONTH($H49))+1))</f>
        <v/>
      </c>
      <c r="N49" s="62">
        <f>IF(OR($J49="",$B49=""),0,IF(YEAR($B49)*12+MONTH($B49)&lt;=YEAR($C$3)*12+MONTH($C$3),$G49,0))</f>
        <v/>
      </c>
      <c r="O49" s="62">
        <f>IF(OR($J49="",$B49=""),0,IF(YEAR($B49)*12+MONTH($B49)&lt;=YEAR($C$3)*12+MONTH($C$3)-1,$G49,0))</f>
        <v/>
      </c>
      <c r="P49" s="62">
        <f>$M49-$O49</f>
        <v/>
      </c>
      <c r="Q49" s="62">
        <f>($L49-$M49)-($N49-$O49)</f>
        <v/>
      </c>
      <c r="R49" s="62">
        <f>$L49-$N49</f>
        <v/>
      </c>
    </row>
    <row r="50">
      <c r="A50" s="59">
        <f>ROW()-5</f>
        <v/>
      </c>
      <c r="B50" s="60">
        <f>IFERROR(INDEX(tbl_Finance[Date],$A50),"")</f>
        <v/>
      </c>
      <c r="C50" s="61">
        <f>IFERROR(INDEX(tbl_Finance[Xero Invoice No],$A50),"")</f>
        <v/>
      </c>
      <c r="D50" s="61">
        <f>IFERROR(INDEX(tbl_Finance[Client],$A50),"")</f>
        <v/>
      </c>
      <c r="E50" s="61">
        <f>IFERROR(INDEX(tbl_Finance[Job Number],$A50),"")</f>
        <v/>
      </c>
      <c r="F50" s="61">
        <f>IFERROR(INDEX(tbl_Finance[Cost Centre],$A50),"")</f>
        <v/>
      </c>
      <c r="G50" s="62">
        <f>IFERROR(INDEX(tbl_Finance[Ex GST],$A50),"")</f>
        <v/>
      </c>
      <c r="H50" s="60">
        <f>IFERROR(INDEX(tbl_Finance[Defer Start],$A50),"")</f>
        <v/>
      </c>
      <c r="I50" s="60">
        <f>IFERROR(INDEX(tbl_Finance[Defer End],$A50),"")</f>
        <v/>
      </c>
      <c r="J50" s="59">
        <f>IF(OR($H50="",$I50="",$G50=""),"",MAX(1,(YEAR($I50)-YEAR($H50))*12+MONTH($I50)-MONTH($H50)+1))</f>
        <v/>
      </c>
      <c r="K50" s="62">
        <f>IF($J50="","",$G50/$J50)</f>
        <v/>
      </c>
      <c r="L50" s="62">
        <f>IF($J50="",0,$K50*MAX(0,MIN(YEAR($C$3)*12+MONTH($C$3),YEAR($I50)*12+MONTH($I50))-(YEAR($H50)*12+MONTH($H50))+1))</f>
        <v/>
      </c>
      <c r="M50" s="62">
        <f>IF($J50="",0,$K50*MAX(0,MIN(YEAR($C$3)*12+MONTH($C$3)-1,YEAR($I50)*12+MONTH($I50))-(YEAR($H50)*12+MONTH($H50))+1))</f>
        <v/>
      </c>
      <c r="N50" s="62">
        <f>IF(OR($J50="",$B50=""),0,IF(YEAR($B50)*12+MONTH($B50)&lt;=YEAR($C$3)*12+MONTH($C$3),$G50,0))</f>
        <v/>
      </c>
      <c r="O50" s="62">
        <f>IF(OR($J50="",$B50=""),0,IF(YEAR($B50)*12+MONTH($B50)&lt;=YEAR($C$3)*12+MONTH($C$3)-1,$G50,0))</f>
        <v/>
      </c>
      <c r="P50" s="62">
        <f>$M50-$O50</f>
        <v/>
      </c>
      <c r="Q50" s="62">
        <f>($L50-$M50)-($N50-$O50)</f>
        <v/>
      </c>
      <c r="R50" s="62">
        <f>$L50-$N50</f>
        <v/>
      </c>
    </row>
    <row r="51">
      <c r="A51" s="59">
        <f>ROW()-5</f>
        <v/>
      </c>
      <c r="B51" s="60">
        <f>IFERROR(INDEX(tbl_Finance[Date],$A51),"")</f>
        <v/>
      </c>
      <c r="C51" s="61">
        <f>IFERROR(INDEX(tbl_Finance[Xero Invoice No],$A51),"")</f>
        <v/>
      </c>
      <c r="D51" s="61">
        <f>IFERROR(INDEX(tbl_Finance[Client],$A51),"")</f>
        <v/>
      </c>
      <c r="E51" s="61">
        <f>IFERROR(INDEX(tbl_Finance[Job Number],$A51),"")</f>
        <v/>
      </c>
      <c r="F51" s="61">
        <f>IFERROR(INDEX(tbl_Finance[Cost Centre],$A51),"")</f>
        <v/>
      </c>
      <c r="G51" s="62">
        <f>IFERROR(INDEX(tbl_Finance[Ex GST],$A51),"")</f>
        <v/>
      </c>
      <c r="H51" s="60">
        <f>IFERROR(INDEX(tbl_Finance[Defer Start],$A51),"")</f>
        <v/>
      </c>
      <c r="I51" s="60">
        <f>IFERROR(INDEX(tbl_Finance[Defer End],$A51),"")</f>
        <v/>
      </c>
      <c r="J51" s="59">
        <f>IF(OR($H51="",$I51="",$G51=""),"",MAX(1,(YEAR($I51)-YEAR($H51))*12+MONTH($I51)-MONTH($H51)+1))</f>
        <v/>
      </c>
      <c r="K51" s="62">
        <f>IF($J51="","",$G51/$J51)</f>
        <v/>
      </c>
      <c r="L51" s="62">
        <f>IF($J51="",0,$K51*MAX(0,MIN(YEAR($C$3)*12+MONTH($C$3),YEAR($I51)*12+MONTH($I51))-(YEAR($H51)*12+MONTH($H51))+1))</f>
        <v/>
      </c>
      <c r="M51" s="62">
        <f>IF($J51="",0,$K51*MAX(0,MIN(YEAR($C$3)*12+MONTH($C$3)-1,YEAR($I51)*12+MONTH($I51))-(YEAR($H51)*12+MONTH($H51))+1))</f>
        <v/>
      </c>
      <c r="N51" s="62">
        <f>IF(OR($J51="",$B51=""),0,IF(YEAR($B51)*12+MONTH($B51)&lt;=YEAR($C$3)*12+MONTH($C$3),$G51,0))</f>
        <v/>
      </c>
      <c r="O51" s="62">
        <f>IF(OR($J51="",$B51=""),0,IF(YEAR($B51)*12+MONTH($B51)&lt;=YEAR($C$3)*12+MONTH($C$3)-1,$G51,0))</f>
        <v/>
      </c>
      <c r="P51" s="62">
        <f>$M51-$O51</f>
        <v/>
      </c>
      <c r="Q51" s="62">
        <f>($L51-$M51)-($N51-$O51)</f>
        <v/>
      </c>
      <c r="R51" s="62">
        <f>$L51-$N51</f>
        <v/>
      </c>
    </row>
    <row r="52">
      <c r="A52" s="59">
        <f>ROW()-5</f>
        <v/>
      </c>
      <c r="B52" s="60">
        <f>IFERROR(INDEX(tbl_Finance[Date],$A52),"")</f>
        <v/>
      </c>
      <c r="C52" s="61">
        <f>IFERROR(INDEX(tbl_Finance[Xero Invoice No],$A52),"")</f>
        <v/>
      </c>
      <c r="D52" s="61">
        <f>IFERROR(INDEX(tbl_Finance[Client],$A52),"")</f>
        <v/>
      </c>
      <c r="E52" s="61">
        <f>IFERROR(INDEX(tbl_Finance[Job Number],$A52),"")</f>
        <v/>
      </c>
      <c r="F52" s="61">
        <f>IFERROR(INDEX(tbl_Finance[Cost Centre],$A52),"")</f>
        <v/>
      </c>
      <c r="G52" s="62">
        <f>IFERROR(INDEX(tbl_Finance[Ex GST],$A52),"")</f>
        <v/>
      </c>
      <c r="H52" s="60">
        <f>IFERROR(INDEX(tbl_Finance[Defer Start],$A52),"")</f>
        <v/>
      </c>
      <c r="I52" s="60">
        <f>IFERROR(INDEX(tbl_Finance[Defer End],$A52),"")</f>
        <v/>
      </c>
      <c r="J52" s="59">
        <f>IF(OR($H52="",$I52="",$G52=""),"",MAX(1,(YEAR($I52)-YEAR($H52))*12+MONTH($I52)-MONTH($H52)+1))</f>
        <v/>
      </c>
      <c r="K52" s="62">
        <f>IF($J52="","",$G52/$J52)</f>
        <v/>
      </c>
      <c r="L52" s="62">
        <f>IF($J52="",0,$K52*MAX(0,MIN(YEAR($C$3)*12+MONTH($C$3),YEAR($I52)*12+MONTH($I52))-(YEAR($H52)*12+MONTH($H52))+1))</f>
        <v/>
      </c>
      <c r="M52" s="62">
        <f>IF($J52="",0,$K52*MAX(0,MIN(YEAR($C$3)*12+MONTH($C$3)-1,YEAR($I52)*12+MONTH($I52))-(YEAR($H52)*12+MONTH($H52))+1))</f>
        <v/>
      </c>
      <c r="N52" s="62">
        <f>IF(OR($J52="",$B52=""),0,IF(YEAR($B52)*12+MONTH($B52)&lt;=YEAR($C$3)*12+MONTH($C$3),$G52,0))</f>
        <v/>
      </c>
      <c r="O52" s="62">
        <f>IF(OR($J52="",$B52=""),0,IF(YEAR($B52)*12+MONTH($B52)&lt;=YEAR($C$3)*12+MONTH($C$3)-1,$G52,0))</f>
        <v/>
      </c>
      <c r="P52" s="62">
        <f>$M52-$O52</f>
        <v/>
      </c>
      <c r="Q52" s="62">
        <f>($L52-$M52)-($N52-$O52)</f>
        <v/>
      </c>
      <c r="R52" s="62">
        <f>$L52-$N52</f>
        <v/>
      </c>
    </row>
    <row r="53">
      <c r="A53" s="59">
        <f>ROW()-5</f>
        <v/>
      </c>
      <c r="B53" s="60">
        <f>IFERROR(INDEX(tbl_Finance[Date],$A53),"")</f>
        <v/>
      </c>
      <c r="C53" s="61">
        <f>IFERROR(INDEX(tbl_Finance[Xero Invoice No],$A53),"")</f>
        <v/>
      </c>
      <c r="D53" s="61">
        <f>IFERROR(INDEX(tbl_Finance[Client],$A53),"")</f>
        <v/>
      </c>
      <c r="E53" s="61">
        <f>IFERROR(INDEX(tbl_Finance[Job Number],$A53),"")</f>
        <v/>
      </c>
      <c r="F53" s="61">
        <f>IFERROR(INDEX(tbl_Finance[Cost Centre],$A53),"")</f>
        <v/>
      </c>
      <c r="G53" s="62">
        <f>IFERROR(INDEX(tbl_Finance[Ex GST],$A53),"")</f>
        <v/>
      </c>
      <c r="H53" s="60">
        <f>IFERROR(INDEX(tbl_Finance[Defer Start],$A53),"")</f>
        <v/>
      </c>
      <c r="I53" s="60">
        <f>IFERROR(INDEX(tbl_Finance[Defer End],$A53),"")</f>
        <v/>
      </c>
      <c r="J53" s="59">
        <f>IF(OR($H53="",$I53="",$G53=""),"",MAX(1,(YEAR($I53)-YEAR($H53))*12+MONTH($I53)-MONTH($H53)+1))</f>
        <v/>
      </c>
      <c r="K53" s="62">
        <f>IF($J53="","",$G53/$J53)</f>
        <v/>
      </c>
      <c r="L53" s="62">
        <f>IF($J53="",0,$K53*MAX(0,MIN(YEAR($C$3)*12+MONTH($C$3),YEAR($I53)*12+MONTH($I53))-(YEAR($H53)*12+MONTH($H53))+1))</f>
        <v/>
      </c>
      <c r="M53" s="62">
        <f>IF($J53="",0,$K53*MAX(0,MIN(YEAR($C$3)*12+MONTH($C$3)-1,YEAR($I53)*12+MONTH($I53))-(YEAR($H53)*12+MONTH($H53))+1))</f>
        <v/>
      </c>
      <c r="N53" s="62">
        <f>IF(OR($J53="",$B53=""),0,IF(YEAR($B53)*12+MONTH($B53)&lt;=YEAR($C$3)*12+MONTH($C$3),$G53,0))</f>
        <v/>
      </c>
      <c r="O53" s="62">
        <f>IF(OR($J53="",$B53=""),0,IF(YEAR($B53)*12+MONTH($B53)&lt;=YEAR($C$3)*12+MONTH($C$3)-1,$G53,0))</f>
        <v/>
      </c>
      <c r="P53" s="62">
        <f>$M53-$O53</f>
        <v/>
      </c>
      <c r="Q53" s="62">
        <f>($L53-$M53)-($N53-$O53)</f>
        <v/>
      </c>
      <c r="R53" s="62">
        <f>$L53-$N53</f>
        <v/>
      </c>
    </row>
    <row r="54">
      <c r="A54" s="59">
        <f>ROW()-5</f>
        <v/>
      </c>
      <c r="B54" s="60">
        <f>IFERROR(INDEX(tbl_Finance[Date],$A54),"")</f>
        <v/>
      </c>
      <c r="C54" s="61">
        <f>IFERROR(INDEX(tbl_Finance[Xero Invoice No],$A54),"")</f>
        <v/>
      </c>
      <c r="D54" s="61">
        <f>IFERROR(INDEX(tbl_Finance[Client],$A54),"")</f>
        <v/>
      </c>
      <c r="E54" s="61">
        <f>IFERROR(INDEX(tbl_Finance[Job Number],$A54),"")</f>
        <v/>
      </c>
      <c r="F54" s="61">
        <f>IFERROR(INDEX(tbl_Finance[Cost Centre],$A54),"")</f>
        <v/>
      </c>
      <c r="G54" s="62">
        <f>IFERROR(INDEX(tbl_Finance[Ex GST],$A54),"")</f>
        <v/>
      </c>
      <c r="H54" s="60">
        <f>IFERROR(INDEX(tbl_Finance[Defer Start],$A54),"")</f>
        <v/>
      </c>
      <c r="I54" s="60">
        <f>IFERROR(INDEX(tbl_Finance[Defer End],$A54),"")</f>
        <v/>
      </c>
      <c r="J54" s="59">
        <f>IF(OR($H54="",$I54="",$G54=""),"",MAX(1,(YEAR($I54)-YEAR($H54))*12+MONTH($I54)-MONTH($H54)+1))</f>
        <v/>
      </c>
      <c r="K54" s="62">
        <f>IF($J54="","",$G54/$J54)</f>
        <v/>
      </c>
      <c r="L54" s="62">
        <f>IF($J54="",0,$K54*MAX(0,MIN(YEAR($C$3)*12+MONTH($C$3),YEAR($I54)*12+MONTH($I54))-(YEAR($H54)*12+MONTH($H54))+1))</f>
        <v/>
      </c>
      <c r="M54" s="62">
        <f>IF($J54="",0,$K54*MAX(0,MIN(YEAR($C$3)*12+MONTH($C$3)-1,YEAR($I54)*12+MONTH($I54))-(YEAR($H54)*12+MONTH($H54))+1))</f>
        <v/>
      </c>
      <c r="N54" s="62">
        <f>IF(OR($J54="",$B54=""),0,IF(YEAR($B54)*12+MONTH($B54)&lt;=YEAR($C$3)*12+MONTH($C$3),$G54,0))</f>
        <v/>
      </c>
      <c r="O54" s="62">
        <f>IF(OR($J54="",$B54=""),0,IF(YEAR($B54)*12+MONTH($B54)&lt;=YEAR($C$3)*12+MONTH($C$3)-1,$G54,0))</f>
        <v/>
      </c>
      <c r="P54" s="62">
        <f>$M54-$O54</f>
        <v/>
      </c>
      <c r="Q54" s="62">
        <f>($L54-$M54)-($N54-$O54)</f>
        <v/>
      </c>
      <c r="R54" s="62">
        <f>$L54-$N54</f>
        <v/>
      </c>
    </row>
    <row r="55">
      <c r="A55" s="59">
        <f>ROW()-5</f>
        <v/>
      </c>
      <c r="B55" s="60">
        <f>IFERROR(INDEX(tbl_Finance[Date],$A55),"")</f>
        <v/>
      </c>
      <c r="C55" s="61">
        <f>IFERROR(INDEX(tbl_Finance[Xero Invoice No],$A55),"")</f>
        <v/>
      </c>
      <c r="D55" s="61">
        <f>IFERROR(INDEX(tbl_Finance[Client],$A55),"")</f>
        <v/>
      </c>
      <c r="E55" s="61">
        <f>IFERROR(INDEX(tbl_Finance[Job Number],$A55),"")</f>
        <v/>
      </c>
      <c r="F55" s="61">
        <f>IFERROR(INDEX(tbl_Finance[Cost Centre],$A55),"")</f>
        <v/>
      </c>
      <c r="G55" s="62">
        <f>IFERROR(INDEX(tbl_Finance[Ex GST],$A55),"")</f>
        <v/>
      </c>
      <c r="H55" s="60">
        <f>IFERROR(INDEX(tbl_Finance[Defer Start],$A55),"")</f>
        <v/>
      </c>
      <c r="I55" s="60">
        <f>IFERROR(INDEX(tbl_Finance[Defer End],$A55),"")</f>
        <v/>
      </c>
      <c r="J55" s="59">
        <f>IF(OR($H55="",$I55="",$G55=""),"",MAX(1,(YEAR($I55)-YEAR($H55))*12+MONTH($I55)-MONTH($H55)+1))</f>
        <v/>
      </c>
      <c r="K55" s="62">
        <f>IF($J55="","",$G55/$J55)</f>
        <v/>
      </c>
      <c r="L55" s="62">
        <f>IF($J55="",0,$K55*MAX(0,MIN(YEAR($C$3)*12+MONTH($C$3),YEAR($I55)*12+MONTH($I55))-(YEAR($H55)*12+MONTH($H55))+1))</f>
        <v/>
      </c>
      <c r="M55" s="62">
        <f>IF($J55="",0,$K55*MAX(0,MIN(YEAR($C$3)*12+MONTH($C$3)-1,YEAR($I55)*12+MONTH($I55))-(YEAR($H55)*12+MONTH($H55))+1))</f>
        <v/>
      </c>
      <c r="N55" s="62">
        <f>IF(OR($J55="",$B55=""),0,IF(YEAR($B55)*12+MONTH($B55)&lt;=YEAR($C$3)*12+MONTH($C$3),$G55,0))</f>
        <v/>
      </c>
      <c r="O55" s="62">
        <f>IF(OR($J55="",$B55=""),0,IF(YEAR($B55)*12+MONTH($B55)&lt;=YEAR($C$3)*12+MONTH($C$3)-1,$G55,0))</f>
        <v/>
      </c>
      <c r="P55" s="62">
        <f>$M55-$O55</f>
        <v/>
      </c>
      <c r="Q55" s="62">
        <f>($L55-$M55)-($N55-$O55)</f>
        <v/>
      </c>
      <c r="R55" s="62">
        <f>$L55-$N55</f>
        <v/>
      </c>
    </row>
    <row r="56">
      <c r="A56" s="59">
        <f>ROW()-5</f>
        <v/>
      </c>
      <c r="B56" s="60">
        <f>IFERROR(INDEX(tbl_Finance[Date],$A56),"")</f>
        <v/>
      </c>
      <c r="C56" s="61">
        <f>IFERROR(INDEX(tbl_Finance[Xero Invoice No],$A56),"")</f>
        <v/>
      </c>
      <c r="D56" s="61">
        <f>IFERROR(INDEX(tbl_Finance[Client],$A56),"")</f>
        <v/>
      </c>
      <c r="E56" s="61">
        <f>IFERROR(INDEX(tbl_Finance[Job Number],$A56),"")</f>
        <v/>
      </c>
      <c r="F56" s="61">
        <f>IFERROR(INDEX(tbl_Finance[Cost Centre],$A56),"")</f>
        <v/>
      </c>
      <c r="G56" s="62">
        <f>IFERROR(INDEX(tbl_Finance[Ex GST],$A56),"")</f>
        <v/>
      </c>
      <c r="H56" s="60">
        <f>IFERROR(INDEX(tbl_Finance[Defer Start],$A56),"")</f>
        <v/>
      </c>
      <c r="I56" s="60">
        <f>IFERROR(INDEX(tbl_Finance[Defer End],$A56),"")</f>
        <v/>
      </c>
      <c r="J56" s="59">
        <f>IF(OR($H56="",$I56="",$G56=""),"",MAX(1,(YEAR($I56)-YEAR($H56))*12+MONTH($I56)-MONTH($H56)+1))</f>
        <v/>
      </c>
      <c r="K56" s="62">
        <f>IF($J56="","",$G56/$J56)</f>
        <v/>
      </c>
      <c r="L56" s="62">
        <f>IF($J56="",0,$K56*MAX(0,MIN(YEAR($C$3)*12+MONTH($C$3),YEAR($I56)*12+MONTH($I56))-(YEAR($H56)*12+MONTH($H56))+1))</f>
        <v/>
      </c>
      <c r="M56" s="62">
        <f>IF($J56="",0,$K56*MAX(0,MIN(YEAR($C$3)*12+MONTH($C$3)-1,YEAR($I56)*12+MONTH($I56))-(YEAR($H56)*12+MONTH($H56))+1))</f>
        <v/>
      </c>
      <c r="N56" s="62">
        <f>IF(OR($J56="",$B56=""),0,IF(YEAR($B56)*12+MONTH($B56)&lt;=YEAR($C$3)*12+MONTH($C$3),$G56,0))</f>
        <v/>
      </c>
      <c r="O56" s="62">
        <f>IF(OR($J56="",$B56=""),0,IF(YEAR($B56)*12+MONTH($B56)&lt;=YEAR($C$3)*12+MONTH($C$3)-1,$G56,0))</f>
        <v/>
      </c>
      <c r="P56" s="62">
        <f>$M56-$O56</f>
        <v/>
      </c>
      <c r="Q56" s="62">
        <f>($L56-$M56)-($N56-$O56)</f>
        <v/>
      </c>
      <c r="R56" s="62">
        <f>$L56-$N56</f>
        <v/>
      </c>
    </row>
    <row r="57">
      <c r="A57" s="59">
        <f>ROW()-5</f>
        <v/>
      </c>
      <c r="B57" s="60">
        <f>IFERROR(INDEX(tbl_Finance[Date],$A57),"")</f>
        <v/>
      </c>
      <c r="C57" s="61">
        <f>IFERROR(INDEX(tbl_Finance[Xero Invoice No],$A57),"")</f>
        <v/>
      </c>
      <c r="D57" s="61">
        <f>IFERROR(INDEX(tbl_Finance[Client],$A57),"")</f>
        <v/>
      </c>
      <c r="E57" s="61">
        <f>IFERROR(INDEX(tbl_Finance[Job Number],$A57),"")</f>
        <v/>
      </c>
      <c r="F57" s="61">
        <f>IFERROR(INDEX(tbl_Finance[Cost Centre],$A57),"")</f>
        <v/>
      </c>
      <c r="G57" s="62">
        <f>IFERROR(INDEX(tbl_Finance[Ex GST],$A57),"")</f>
        <v/>
      </c>
      <c r="H57" s="60">
        <f>IFERROR(INDEX(tbl_Finance[Defer Start],$A57),"")</f>
        <v/>
      </c>
      <c r="I57" s="60">
        <f>IFERROR(INDEX(tbl_Finance[Defer End],$A57),"")</f>
        <v/>
      </c>
      <c r="J57" s="59">
        <f>IF(OR($H57="",$I57="",$G57=""),"",MAX(1,(YEAR($I57)-YEAR($H57))*12+MONTH($I57)-MONTH($H57)+1))</f>
        <v/>
      </c>
      <c r="K57" s="62">
        <f>IF($J57="","",$G57/$J57)</f>
        <v/>
      </c>
      <c r="L57" s="62">
        <f>IF($J57="",0,$K57*MAX(0,MIN(YEAR($C$3)*12+MONTH($C$3),YEAR($I57)*12+MONTH($I57))-(YEAR($H57)*12+MONTH($H57))+1))</f>
        <v/>
      </c>
      <c r="M57" s="62">
        <f>IF($J57="",0,$K57*MAX(0,MIN(YEAR($C$3)*12+MONTH($C$3)-1,YEAR($I57)*12+MONTH($I57))-(YEAR($H57)*12+MONTH($H57))+1))</f>
        <v/>
      </c>
      <c r="N57" s="62">
        <f>IF(OR($J57="",$B57=""),0,IF(YEAR($B57)*12+MONTH($B57)&lt;=YEAR($C$3)*12+MONTH($C$3),$G57,0))</f>
        <v/>
      </c>
      <c r="O57" s="62">
        <f>IF(OR($J57="",$B57=""),0,IF(YEAR($B57)*12+MONTH($B57)&lt;=YEAR($C$3)*12+MONTH($C$3)-1,$G57,0))</f>
        <v/>
      </c>
      <c r="P57" s="62">
        <f>$M57-$O57</f>
        <v/>
      </c>
      <c r="Q57" s="62">
        <f>($L57-$M57)-($N57-$O57)</f>
        <v/>
      </c>
      <c r="R57" s="62">
        <f>$L57-$N57</f>
        <v/>
      </c>
    </row>
    <row r="58">
      <c r="A58" s="59">
        <f>ROW()-5</f>
        <v/>
      </c>
      <c r="B58" s="60">
        <f>IFERROR(INDEX(tbl_Finance[Date],$A58),"")</f>
        <v/>
      </c>
      <c r="C58" s="61">
        <f>IFERROR(INDEX(tbl_Finance[Xero Invoice No],$A58),"")</f>
        <v/>
      </c>
      <c r="D58" s="61">
        <f>IFERROR(INDEX(tbl_Finance[Client],$A58),"")</f>
        <v/>
      </c>
      <c r="E58" s="61">
        <f>IFERROR(INDEX(tbl_Finance[Job Number],$A58),"")</f>
        <v/>
      </c>
      <c r="F58" s="61">
        <f>IFERROR(INDEX(tbl_Finance[Cost Centre],$A58),"")</f>
        <v/>
      </c>
      <c r="G58" s="62">
        <f>IFERROR(INDEX(tbl_Finance[Ex GST],$A58),"")</f>
        <v/>
      </c>
      <c r="H58" s="60">
        <f>IFERROR(INDEX(tbl_Finance[Defer Start],$A58),"")</f>
        <v/>
      </c>
      <c r="I58" s="60">
        <f>IFERROR(INDEX(tbl_Finance[Defer End],$A58),"")</f>
        <v/>
      </c>
      <c r="J58" s="59">
        <f>IF(OR($H58="",$I58="",$G58=""),"",MAX(1,(YEAR($I58)-YEAR($H58))*12+MONTH($I58)-MONTH($H58)+1))</f>
        <v/>
      </c>
      <c r="K58" s="62">
        <f>IF($J58="","",$G58/$J58)</f>
        <v/>
      </c>
      <c r="L58" s="62">
        <f>IF($J58="",0,$K58*MAX(0,MIN(YEAR($C$3)*12+MONTH($C$3),YEAR($I58)*12+MONTH($I58))-(YEAR($H58)*12+MONTH($H58))+1))</f>
        <v/>
      </c>
      <c r="M58" s="62">
        <f>IF($J58="",0,$K58*MAX(0,MIN(YEAR($C$3)*12+MONTH($C$3)-1,YEAR($I58)*12+MONTH($I58))-(YEAR($H58)*12+MONTH($H58))+1))</f>
        <v/>
      </c>
      <c r="N58" s="62">
        <f>IF(OR($J58="",$B58=""),0,IF(YEAR($B58)*12+MONTH($B58)&lt;=YEAR($C$3)*12+MONTH($C$3),$G58,0))</f>
        <v/>
      </c>
      <c r="O58" s="62">
        <f>IF(OR($J58="",$B58=""),0,IF(YEAR($B58)*12+MONTH($B58)&lt;=YEAR($C$3)*12+MONTH($C$3)-1,$G58,0))</f>
        <v/>
      </c>
      <c r="P58" s="62">
        <f>$M58-$O58</f>
        <v/>
      </c>
      <c r="Q58" s="62">
        <f>($L58-$M58)-($N58-$O58)</f>
        <v/>
      </c>
      <c r="R58" s="62">
        <f>$L58-$N58</f>
        <v/>
      </c>
    </row>
    <row r="59">
      <c r="A59" s="59">
        <f>ROW()-5</f>
        <v/>
      </c>
      <c r="B59" s="60">
        <f>IFERROR(INDEX(tbl_Finance[Date],$A59),"")</f>
        <v/>
      </c>
      <c r="C59" s="61">
        <f>IFERROR(INDEX(tbl_Finance[Xero Invoice No],$A59),"")</f>
        <v/>
      </c>
      <c r="D59" s="61">
        <f>IFERROR(INDEX(tbl_Finance[Client],$A59),"")</f>
        <v/>
      </c>
      <c r="E59" s="61">
        <f>IFERROR(INDEX(tbl_Finance[Job Number],$A59),"")</f>
        <v/>
      </c>
      <c r="F59" s="61">
        <f>IFERROR(INDEX(tbl_Finance[Cost Centre],$A59),"")</f>
        <v/>
      </c>
      <c r="G59" s="62">
        <f>IFERROR(INDEX(tbl_Finance[Ex GST],$A59),"")</f>
        <v/>
      </c>
      <c r="H59" s="60">
        <f>IFERROR(INDEX(tbl_Finance[Defer Start],$A59),"")</f>
        <v/>
      </c>
      <c r="I59" s="60">
        <f>IFERROR(INDEX(tbl_Finance[Defer End],$A59),"")</f>
        <v/>
      </c>
      <c r="J59" s="59">
        <f>IF(OR($H59="",$I59="",$G59=""),"",MAX(1,(YEAR($I59)-YEAR($H59))*12+MONTH($I59)-MONTH($H59)+1))</f>
        <v/>
      </c>
      <c r="K59" s="62">
        <f>IF($J59="","",$G59/$J59)</f>
        <v/>
      </c>
      <c r="L59" s="62">
        <f>IF($J59="",0,$K59*MAX(0,MIN(YEAR($C$3)*12+MONTH($C$3),YEAR($I59)*12+MONTH($I59))-(YEAR($H59)*12+MONTH($H59))+1))</f>
        <v/>
      </c>
      <c r="M59" s="62">
        <f>IF($J59="",0,$K59*MAX(0,MIN(YEAR($C$3)*12+MONTH($C$3)-1,YEAR($I59)*12+MONTH($I59))-(YEAR($H59)*12+MONTH($H59))+1))</f>
        <v/>
      </c>
      <c r="N59" s="62">
        <f>IF(OR($J59="",$B59=""),0,IF(YEAR($B59)*12+MONTH($B59)&lt;=YEAR($C$3)*12+MONTH($C$3),$G59,0))</f>
        <v/>
      </c>
      <c r="O59" s="62">
        <f>IF(OR($J59="",$B59=""),0,IF(YEAR($B59)*12+MONTH($B59)&lt;=YEAR($C$3)*12+MONTH($C$3)-1,$G59,0))</f>
        <v/>
      </c>
      <c r="P59" s="62">
        <f>$M59-$O59</f>
        <v/>
      </c>
      <c r="Q59" s="62">
        <f>($L59-$M59)-($N59-$O59)</f>
        <v/>
      </c>
      <c r="R59" s="62">
        <f>$L59-$N59</f>
        <v/>
      </c>
    </row>
    <row r="60">
      <c r="A60" s="59">
        <f>ROW()-5</f>
        <v/>
      </c>
      <c r="B60" s="60">
        <f>IFERROR(INDEX(tbl_Finance[Date],$A60),"")</f>
        <v/>
      </c>
      <c r="C60" s="61">
        <f>IFERROR(INDEX(tbl_Finance[Xero Invoice No],$A60),"")</f>
        <v/>
      </c>
      <c r="D60" s="61">
        <f>IFERROR(INDEX(tbl_Finance[Client],$A60),"")</f>
        <v/>
      </c>
      <c r="E60" s="61">
        <f>IFERROR(INDEX(tbl_Finance[Job Number],$A60),"")</f>
        <v/>
      </c>
      <c r="F60" s="61">
        <f>IFERROR(INDEX(tbl_Finance[Cost Centre],$A60),"")</f>
        <v/>
      </c>
      <c r="G60" s="62">
        <f>IFERROR(INDEX(tbl_Finance[Ex GST],$A60),"")</f>
        <v/>
      </c>
      <c r="H60" s="60">
        <f>IFERROR(INDEX(tbl_Finance[Defer Start],$A60),"")</f>
        <v/>
      </c>
      <c r="I60" s="60">
        <f>IFERROR(INDEX(tbl_Finance[Defer End],$A60),"")</f>
        <v/>
      </c>
      <c r="J60" s="59">
        <f>IF(OR($H60="",$I60="",$G60=""),"",MAX(1,(YEAR($I60)-YEAR($H60))*12+MONTH($I60)-MONTH($H60)+1))</f>
        <v/>
      </c>
      <c r="K60" s="62">
        <f>IF($J60="","",$G60/$J60)</f>
        <v/>
      </c>
      <c r="L60" s="62">
        <f>IF($J60="",0,$K60*MAX(0,MIN(YEAR($C$3)*12+MONTH($C$3),YEAR($I60)*12+MONTH($I60))-(YEAR($H60)*12+MONTH($H60))+1))</f>
        <v/>
      </c>
      <c r="M60" s="62">
        <f>IF($J60="",0,$K60*MAX(0,MIN(YEAR($C$3)*12+MONTH($C$3)-1,YEAR($I60)*12+MONTH($I60))-(YEAR($H60)*12+MONTH($H60))+1))</f>
        <v/>
      </c>
      <c r="N60" s="62">
        <f>IF(OR($J60="",$B60=""),0,IF(YEAR($B60)*12+MONTH($B60)&lt;=YEAR($C$3)*12+MONTH($C$3),$G60,0))</f>
        <v/>
      </c>
      <c r="O60" s="62">
        <f>IF(OR($J60="",$B60=""),0,IF(YEAR($B60)*12+MONTH($B60)&lt;=YEAR($C$3)*12+MONTH($C$3)-1,$G60,0))</f>
        <v/>
      </c>
      <c r="P60" s="62">
        <f>$M60-$O60</f>
        <v/>
      </c>
      <c r="Q60" s="62">
        <f>($L60-$M60)-($N60-$O60)</f>
        <v/>
      </c>
      <c r="R60" s="62">
        <f>$L60-$N60</f>
        <v/>
      </c>
    </row>
    <row r="61">
      <c r="A61" s="59">
        <f>ROW()-5</f>
        <v/>
      </c>
      <c r="B61" s="60">
        <f>IFERROR(INDEX(tbl_Finance[Date],$A61),"")</f>
        <v/>
      </c>
      <c r="C61" s="61">
        <f>IFERROR(INDEX(tbl_Finance[Xero Invoice No],$A61),"")</f>
        <v/>
      </c>
      <c r="D61" s="61">
        <f>IFERROR(INDEX(tbl_Finance[Client],$A61),"")</f>
        <v/>
      </c>
      <c r="E61" s="61">
        <f>IFERROR(INDEX(tbl_Finance[Job Number],$A61),"")</f>
        <v/>
      </c>
      <c r="F61" s="61">
        <f>IFERROR(INDEX(tbl_Finance[Cost Centre],$A61),"")</f>
        <v/>
      </c>
      <c r="G61" s="62">
        <f>IFERROR(INDEX(tbl_Finance[Ex GST],$A61),"")</f>
        <v/>
      </c>
      <c r="H61" s="60">
        <f>IFERROR(INDEX(tbl_Finance[Defer Start],$A61),"")</f>
        <v/>
      </c>
      <c r="I61" s="60">
        <f>IFERROR(INDEX(tbl_Finance[Defer End],$A61),"")</f>
        <v/>
      </c>
      <c r="J61" s="59">
        <f>IF(OR($H61="",$I61="",$G61=""),"",MAX(1,(YEAR($I61)-YEAR($H61))*12+MONTH($I61)-MONTH($H61)+1))</f>
        <v/>
      </c>
      <c r="K61" s="62">
        <f>IF($J61="","",$G61/$J61)</f>
        <v/>
      </c>
      <c r="L61" s="62">
        <f>IF($J61="",0,$K61*MAX(0,MIN(YEAR($C$3)*12+MONTH($C$3),YEAR($I61)*12+MONTH($I61))-(YEAR($H61)*12+MONTH($H61))+1))</f>
        <v/>
      </c>
      <c r="M61" s="62">
        <f>IF($J61="",0,$K61*MAX(0,MIN(YEAR($C$3)*12+MONTH($C$3)-1,YEAR($I61)*12+MONTH($I61))-(YEAR($H61)*12+MONTH($H61))+1))</f>
        <v/>
      </c>
      <c r="N61" s="62">
        <f>IF(OR($J61="",$B61=""),0,IF(YEAR($B61)*12+MONTH($B61)&lt;=YEAR($C$3)*12+MONTH($C$3),$G61,0))</f>
        <v/>
      </c>
      <c r="O61" s="62">
        <f>IF(OR($J61="",$B61=""),0,IF(YEAR($B61)*12+MONTH($B61)&lt;=YEAR($C$3)*12+MONTH($C$3)-1,$G61,0))</f>
        <v/>
      </c>
      <c r="P61" s="62">
        <f>$M61-$O61</f>
        <v/>
      </c>
      <c r="Q61" s="62">
        <f>($L61-$M61)-($N61-$O61)</f>
        <v/>
      </c>
      <c r="R61" s="62">
        <f>$L61-$N61</f>
        <v/>
      </c>
    </row>
    <row r="62">
      <c r="A62" s="59">
        <f>ROW()-5</f>
        <v/>
      </c>
      <c r="B62" s="60">
        <f>IFERROR(INDEX(tbl_Finance[Date],$A62),"")</f>
        <v/>
      </c>
      <c r="C62" s="61">
        <f>IFERROR(INDEX(tbl_Finance[Xero Invoice No],$A62),"")</f>
        <v/>
      </c>
      <c r="D62" s="61">
        <f>IFERROR(INDEX(tbl_Finance[Client],$A62),"")</f>
        <v/>
      </c>
      <c r="E62" s="61">
        <f>IFERROR(INDEX(tbl_Finance[Job Number],$A62),"")</f>
        <v/>
      </c>
      <c r="F62" s="61">
        <f>IFERROR(INDEX(tbl_Finance[Cost Centre],$A62),"")</f>
        <v/>
      </c>
      <c r="G62" s="62">
        <f>IFERROR(INDEX(tbl_Finance[Ex GST],$A62),"")</f>
        <v/>
      </c>
      <c r="H62" s="60">
        <f>IFERROR(INDEX(tbl_Finance[Defer Start],$A62),"")</f>
        <v/>
      </c>
      <c r="I62" s="60">
        <f>IFERROR(INDEX(tbl_Finance[Defer End],$A62),"")</f>
        <v/>
      </c>
      <c r="J62" s="59">
        <f>IF(OR($H62="",$I62="",$G62=""),"",MAX(1,(YEAR($I62)-YEAR($H62))*12+MONTH($I62)-MONTH($H62)+1))</f>
        <v/>
      </c>
      <c r="K62" s="62">
        <f>IF($J62="","",$G62/$J62)</f>
        <v/>
      </c>
      <c r="L62" s="62">
        <f>IF($J62="",0,$K62*MAX(0,MIN(YEAR($C$3)*12+MONTH($C$3),YEAR($I62)*12+MONTH($I62))-(YEAR($H62)*12+MONTH($H62))+1))</f>
        <v/>
      </c>
      <c r="M62" s="62">
        <f>IF($J62="",0,$K62*MAX(0,MIN(YEAR($C$3)*12+MONTH($C$3)-1,YEAR($I62)*12+MONTH($I62))-(YEAR($H62)*12+MONTH($H62))+1))</f>
        <v/>
      </c>
      <c r="N62" s="62">
        <f>IF(OR($J62="",$B62=""),0,IF(YEAR($B62)*12+MONTH($B62)&lt;=YEAR($C$3)*12+MONTH($C$3),$G62,0))</f>
        <v/>
      </c>
      <c r="O62" s="62">
        <f>IF(OR($J62="",$B62=""),0,IF(YEAR($B62)*12+MONTH($B62)&lt;=YEAR($C$3)*12+MONTH($C$3)-1,$G62,0))</f>
        <v/>
      </c>
      <c r="P62" s="62">
        <f>$M62-$O62</f>
        <v/>
      </c>
      <c r="Q62" s="62">
        <f>($L62-$M62)-($N62-$O62)</f>
        <v/>
      </c>
      <c r="R62" s="62">
        <f>$L62-$N62</f>
        <v/>
      </c>
    </row>
    <row r="63">
      <c r="A63" s="59">
        <f>ROW()-5</f>
        <v/>
      </c>
      <c r="B63" s="60">
        <f>IFERROR(INDEX(tbl_Finance[Date],$A63),"")</f>
        <v/>
      </c>
      <c r="C63" s="61">
        <f>IFERROR(INDEX(tbl_Finance[Xero Invoice No],$A63),"")</f>
        <v/>
      </c>
      <c r="D63" s="61">
        <f>IFERROR(INDEX(tbl_Finance[Client],$A63),"")</f>
        <v/>
      </c>
      <c r="E63" s="61">
        <f>IFERROR(INDEX(tbl_Finance[Job Number],$A63),"")</f>
        <v/>
      </c>
      <c r="F63" s="61">
        <f>IFERROR(INDEX(tbl_Finance[Cost Centre],$A63),"")</f>
        <v/>
      </c>
      <c r="G63" s="62">
        <f>IFERROR(INDEX(tbl_Finance[Ex GST],$A63),"")</f>
        <v/>
      </c>
      <c r="H63" s="60">
        <f>IFERROR(INDEX(tbl_Finance[Defer Start],$A63),"")</f>
        <v/>
      </c>
      <c r="I63" s="60">
        <f>IFERROR(INDEX(tbl_Finance[Defer End],$A63),"")</f>
        <v/>
      </c>
      <c r="J63" s="59">
        <f>IF(OR($H63="",$I63="",$G63=""),"",MAX(1,(YEAR($I63)-YEAR($H63))*12+MONTH($I63)-MONTH($H63)+1))</f>
        <v/>
      </c>
      <c r="K63" s="62">
        <f>IF($J63="","",$G63/$J63)</f>
        <v/>
      </c>
      <c r="L63" s="62">
        <f>IF($J63="",0,$K63*MAX(0,MIN(YEAR($C$3)*12+MONTH($C$3),YEAR($I63)*12+MONTH($I63))-(YEAR($H63)*12+MONTH($H63))+1))</f>
        <v/>
      </c>
      <c r="M63" s="62">
        <f>IF($J63="",0,$K63*MAX(0,MIN(YEAR($C$3)*12+MONTH($C$3)-1,YEAR($I63)*12+MONTH($I63))-(YEAR($H63)*12+MONTH($H63))+1))</f>
        <v/>
      </c>
      <c r="N63" s="62">
        <f>IF(OR($J63="",$B63=""),0,IF(YEAR($B63)*12+MONTH($B63)&lt;=YEAR($C$3)*12+MONTH($C$3),$G63,0))</f>
        <v/>
      </c>
      <c r="O63" s="62">
        <f>IF(OR($J63="",$B63=""),0,IF(YEAR($B63)*12+MONTH($B63)&lt;=YEAR($C$3)*12+MONTH($C$3)-1,$G63,0))</f>
        <v/>
      </c>
      <c r="P63" s="62">
        <f>$M63-$O63</f>
        <v/>
      </c>
      <c r="Q63" s="62">
        <f>($L63-$M63)-($N63-$O63)</f>
        <v/>
      </c>
      <c r="R63" s="62">
        <f>$L63-$N63</f>
        <v/>
      </c>
    </row>
    <row r="64">
      <c r="A64" s="59">
        <f>ROW()-5</f>
        <v/>
      </c>
      <c r="B64" s="60">
        <f>IFERROR(INDEX(tbl_Finance[Date],$A64),"")</f>
        <v/>
      </c>
      <c r="C64" s="61">
        <f>IFERROR(INDEX(tbl_Finance[Xero Invoice No],$A64),"")</f>
        <v/>
      </c>
      <c r="D64" s="61">
        <f>IFERROR(INDEX(tbl_Finance[Client],$A64),"")</f>
        <v/>
      </c>
      <c r="E64" s="61">
        <f>IFERROR(INDEX(tbl_Finance[Job Number],$A64),"")</f>
        <v/>
      </c>
      <c r="F64" s="61">
        <f>IFERROR(INDEX(tbl_Finance[Cost Centre],$A64),"")</f>
        <v/>
      </c>
      <c r="G64" s="62">
        <f>IFERROR(INDEX(tbl_Finance[Ex GST],$A64),"")</f>
        <v/>
      </c>
      <c r="H64" s="60">
        <f>IFERROR(INDEX(tbl_Finance[Defer Start],$A64),"")</f>
        <v/>
      </c>
      <c r="I64" s="60">
        <f>IFERROR(INDEX(tbl_Finance[Defer End],$A64),"")</f>
        <v/>
      </c>
      <c r="J64" s="59">
        <f>IF(OR($H64="",$I64="",$G64=""),"",MAX(1,(YEAR($I64)-YEAR($H64))*12+MONTH($I64)-MONTH($H64)+1))</f>
        <v/>
      </c>
      <c r="K64" s="62">
        <f>IF($J64="","",$G64/$J64)</f>
        <v/>
      </c>
      <c r="L64" s="62">
        <f>IF($J64="",0,$K64*MAX(0,MIN(YEAR($C$3)*12+MONTH($C$3),YEAR($I64)*12+MONTH($I64))-(YEAR($H64)*12+MONTH($H64))+1))</f>
        <v/>
      </c>
      <c r="M64" s="62">
        <f>IF($J64="",0,$K64*MAX(0,MIN(YEAR($C$3)*12+MONTH($C$3)-1,YEAR($I64)*12+MONTH($I64))-(YEAR($H64)*12+MONTH($H64))+1))</f>
        <v/>
      </c>
      <c r="N64" s="62">
        <f>IF(OR($J64="",$B64=""),0,IF(YEAR($B64)*12+MONTH($B64)&lt;=YEAR($C$3)*12+MONTH($C$3),$G64,0))</f>
        <v/>
      </c>
      <c r="O64" s="62">
        <f>IF(OR($J64="",$B64=""),0,IF(YEAR($B64)*12+MONTH($B64)&lt;=YEAR($C$3)*12+MONTH($C$3)-1,$G64,0))</f>
        <v/>
      </c>
      <c r="P64" s="62">
        <f>$M64-$O64</f>
        <v/>
      </c>
      <c r="Q64" s="62">
        <f>($L64-$M64)-($N64-$O64)</f>
        <v/>
      </c>
      <c r="R64" s="62">
        <f>$L64-$N64</f>
        <v/>
      </c>
    </row>
    <row r="65">
      <c r="A65" s="59">
        <f>ROW()-5</f>
        <v/>
      </c>
      <c r="B65" s="60">
        <f>IFERROR(INDEX(tbl_Finance[Date],$A65),"")</f>
        <v/>
      </c>
      <c r="C65" s="61">
        <f>IFERROR(INDEX(tbl_Finance[Xero Invoice No],$A65),"")</f>
        <v/>
      </c>
      <c r="D65" s="61">
        <f>IFERROR(INDEX(tbl_Finance[Client],$A65),"")</f>
        <v/>
      </c>
      <c r="E65" s="61">
        <f>IFERROR(INDEX(tbl_Finance[Job Number],$A65),"")</f>
        <v/>
      </c>
      <c r="F65" s="61">
        <f>IFERROR(INDEX(tbl_Finance[Cost Centre],$A65),"")</f>
        <v/>
      </c>
      <c r="G65" s="62">
        <f>IFERROR(INDEX(tbl_Finance[Ex GST],$A65),"")</f>
        <v/>
      </c>
      <c r="H65" s="60">
        <f>IFERROR(INDEX(tbl_Finance[Defer Start],$A65),"")</f>
        <v/>
      </c>
      <c r="I65" s="60">
        <f>IFERROR(INDEX(tbl_Finance[Defer End],$A65),"")</f>
        <v/>
      </c>
      <c r="J65" s="59">
        <f>IF(OR($H65="",$I65="",$G65=""),"",MAX(1,(YEAR($I65)-YEAR($H65))*12+MONTH($I65)-MONTH($H65)+1))</f>
        <v/>
      </c>
      <c r="K65" s="62">
        <f>IF($J65="","",$G65/$J65)</f>
        <v/>
      </c>
      <c r="L65" s="62">
        <f>IF($J65="",0,$K65*MAX(0,MIN(YEAR($C$3)*12+MONTH($C$3),YEAR($I65)*12+MONTH($I65))-(YEAR($H65)*12+MONTH($H65))+1))</f>
        <v/>
      </c>
      <c r="M65" s="62">
        <f>IF($J65="",0,$K65*MAX(0,MIN(YEAR($C$3)*12+MONTH($C$3)-1,YEAR($I65)*12+MONTH($I65))-(YEAR($H65)*12+MONTH($H65))+1))</f>
        <v/>
      </c>
      <c r="N65" s="62">
        <f>IF(OR($J65="",$B65=""),0,IF(YEAR($B65)*12+MONTH($B65)&lt;=YEAR($C$3)*12+MONTH($C$3),$G65,0))</f>
        <v/>
      </c>
      <c r="O65" s="62">
        <f>IF(OR($J65="",$B65=""),0,IF(YEAR($B65)*12+MONTH($B65)&lt;=YEAR($C$3)*12+MONTH($C$3)-1,$G65,0))</f>
        <v/>
      </c>
      <c r="P65" s="62">
        <f>$M65-$O65</f>
        <v/>
      </c>
      <c r="Q65" s="62">
        <f>($L65-$M65)-($N65-$O65)</f>
        <v/>
      </c>
      <c r="R65" s="62">
        <f>$L65-$N65</f>
        <v/>
      </c>
    </row>
    <row r="66">
      <c r="A66" s="59">
        <f>ROW()-5</f>
        <v/>
      </c>
      <c r="B66" s="60">
        <f>IFERROR(INDEX(tbl_Finance[Date],$A66),"")</f>
        <v/>
      </c>
      <c r="C66" s="61">
        <f>IFERROR(INDEX(tbl_Finance[Xero Invoice No],$A66),"")</f>
        <v/>
      </c>
      <c r="D66" s="61">
        <f>IFERROR(INDEX(tbl_Finance[Client],$A66),"")</f>
        <v/>
      </c>
      <c r="E66" s="61">
        <f>IFERROR(INDEX(tbl_Finance[Job Number],$A66),"")</f>
        <v/>
      </c>
      <c r="F66" s="61">
        <f>IFERROR(INDEX(tbl_Finance[Cost Centre],$A66),"")</f>
        <v/>
      </c>
      <c r="G66" s="62">
        <f>IFERROR(INDEX(tbl_Finance[Ex GST],$A66),"")</f>
        <v/>
      </c>
      <c r="H66" s="60">
        <f>IFERROR(INDEX(tbl_Finance[Defer Start],$A66),"")</f>
        <v/>
      </c>
      <c r="I66" s="60">
        <f>IFERROR(INDEX(tbl_Finance[Defer End],$A66),"")</f>
        <v/>
      </c>
      <c r="J66" s="59">
        <f>IF(OR($H66="",$I66="",$G66=""),"",MAX(1,(YEAR($I66)-YEAR($H66))*12+MONTH($I66)-MONTH($H66)+1))</f>
        <v/>
      </c>
      <c r="K66" s="62">
        <f>IF($J66="","",$G66/$J66)</f>
        <v/>
      </c>
      <c r="L66" s="62">
        <f>IF($J66="",0,$K66*MAX(0,MIN(YEAR($C$3)*12+MONTH($C$3),YEAR($I66)*12+MONTH($I66))-(YEAR($H66)*12+MONTH($H66))+1))</f>
        <v/>
      </c>
      <c r="M66" s="62">
        <f>IF($J66="",0,$K66*MAX(0,MIN(YEAR($C$3)*12+MONTH($C$3)-1,YEAR($I66)*12+MONTH($I66))-(YEAR($H66)*12+MONTH($H66))+1))</f>
        <v/>
      </c>
      <c r="N66" s="62">
        <f>IF(OR($J66="",$B66=""),0,IF(YEAR($B66)*12+MONTH($B66)&lt;=YEAR($C$3)*12+MONTH($C$3),$G66,0))</f>
        <v/>
      </c>
      <c r="O66" s="62">
        <f>IF(OR($J66="",$B66=""),0,IF(YEAR($B66)*12+MONTH($B66)&lt;=YEAR($C$3)*12+MONTH($C$3)-1,$G66,0))</f>
        <v/>
      </c>
      <c r="P66" s="62">
        <f>$M66-$O66</f>
        <v/>
      </c>
      <c r="Q66" s="62">
        <f>($L66-$M66)-($N66-$O66)</f>
        <v/>
      </c>
      <c r="R66" s="62">
        <f>$L66-$N66</f>
        <v/>
      </c>
    </row>
    <row r="67">
      <c r="A67" s="59">
        <f>ROW()-5</f>
        <v/>
      </c>
      <c r="B67" s="60">
        <f>IFERROR(INDEX(tbl_Finance[Date],$A67),"")</f>
        <v/>
      </c>
      <c r="C67" s="61">
        <f>IFERROR(INDEX(tbl_Finance[Xero Invoice No],$A67),"")</f>
        <v/>
      </c>
      <c r="D67" s="61">
        <f>IFERROR(INDEX(tbl_Finance[Client],$A67),"")</f>
        <v/>
      </c>
      <c r="E67" s="61">
        <f>IFERROR(INDEX(tbl_Finance[Job Number],$A67),"")</f>
        <v/>
      </c>
      <c r="F67" s="61">
        <f>IFERROR(INDEX(tbl_Finance[Cost Centre],$A67),"")</f>
        <v/>
      </c>
      <c r="G67" s="62">
        <f>IFERROR(INDEX(tbl_Finance[Ex GST],$A67),"")</f>
        <v/>
      </c>
      <c r="H67" s="60">
        <f>IFERROR(INDEX(tbl_Finance[Defer Start],$A67),"")</f>
        <v/>
      </c>
      <c r="I67" s="60">
        <f>IFERROR(INDEX(tbl_Finance[Defer End],$A67),"")</f>
        <v/>
      </c>
      <c r="J67" s="59">
        <f>IF(OR($H67="",$I67="",$G67=""),"",MAX(1,(YEAR($I67)-YEAR($H67))*12+MONTH($I67)-MONTH($H67)+1))</f>
        <v/>
      </c>
      <c r="K67" s="62">
        <f>IF($J67="","",$G67/$J67)</f>
        <v/>
      </c>
      <c r="L67" s="62">
        <f>IF($J67="",0,$K67*MAX(0,MIN(YEAR($C$3)*12+MONTH($C$3),YEAR($I67)*12+MONTH($I67))-(YEAR($H67)*12+MONTH($H67))+1))</f>
        <v/>
      </c>
      <c r="M67" s="62">
        <f>IF($J67="",0,$K67*MAX(0,MIN(YEAR($C$3)*12+MONTH($C$3)-1,YEAR($I67)*12+MONTH($I67))-(YEAR($H67)*12+MONTH($H67))+1))</f>
        <v/>
      </c>
      <c r="N67" s="62">
        <f>IF(OR($J67="",$B67=""),0,IF(YEAR($B67)*12+MONTH($B67)&lt;=YEAR($C$3)*12+MONTH($C$3),$G67,0))</f>
        <v/>
      </c>
      <c r="O67" s="62">
        <f>IF(OR($J67="",$B67=""),0,IF(YEAR($B67)*12+MONTH($B67)&lt;=YEAR($C$3)*12+MONTH($C$3)-1,$G67,0))</f>
        <v/>
      </c>
      <c r="P67" s="62">
        <f>$M67-$O67</f>
        <v/>
      </c>
      <c r="Q67" s="62">
        <f>($L67-$M67)-($N67-$O67)</f>
        <v/>
      </c>
      <c r="R67" s="62">
        <f>$L67-$N67</f>
        <v/>
      </c>
    </row>
    <row r="68">
      <c r="A68" s="59">
        <f>ROW()-5</f>
        <v/>
      </c>
      <c r="B68" s="60">
        <f>IFERROR(INDEX(tbl_Finance[Date],$A68),"")</f>
        <v/>
      </c>
      <c r="C68" s="61">
        <f>IFERROR(INDEX(tbl_Finance[Xero Invoice No],$A68),"")</f>
        <v/>
      </c>
      <c r="D68" s="61">
        <f>IFERROR(INDEX(tbl_Finance[Client],$A68),"")</f>
        <v/>
      </c>
      <c r="E68" s="61">
        <f>IFERROR(INDEX(tbl_Finance[Job Number],$A68),"")</f>
        <v/>
      </c>
      <c r="F68" s="61">
        <f>IFERROR(INDEX(tbl_Finance[Cost Centre],$A68),"")</f>
        <v/>
      </c>
      <c r="G68" s="62">
        <f>IFERROR(INDEX(tbl_Finance[Ex GST],$A68),"")</f>
        <v/>
      </c>
      <c r="H68" s="60">
        <f>IFERROR(INDEX(tbl_Finance[Defer Start],$A68),"")</f>
        <v/>
      </c>
      <c r="I68" s="60">
        <f>IFERROR(INDEX(tbl_Finance[Defer End],$A68),"")</f>
        <v/>
      </c>
      <c r="J68" s="59">
        <f>IF(OR($H68="",$I68="",$G68=""),"",MAX(1,(YEAR($I68)-YEAR($H68))*12+MONTH($I68)-MONTH($H68)+1))</f>
        <v/>
      </c>
      <c r="K68" s="62">
        <f>IF($J68="","",$G68/$J68)</f>
        <v/>
      </c>
      <c r="L68" s="62">
        <f>IF($J68="",0,$K68*MAX(0,MIN(YEAR($C$3)*12+MONTH($C$3),YEAR($I68)*12+MONTH($I68))-(YEAR($H68)*12+MONTH($H68))+1))</f>
        <v/>
      </c>
      <c r="M68" s="62">
        <f>IF($J68="",0,$K68*MAX(0,MIN(YEAR($C$3)*12+MONTH($C$3)-1,YEAR($I68)*12+MONTH($I68))-(YEAR($H68)*12+MONTH($H68))+1))</f>
        <v/>
      </c>
      <c r="N68" s="62">
        <f>IF(OR($J68="",$B68=""),0,IF(YEAR($B68)*12+MONTH($B68)&lt;=YEAR($C$3)*12+MONTH($C$3),$G68,0))</f>
        <v/>
      </c>
      <c r="O68" s="62">
        <f>IF(OR($J68="",$B68=""),0,IF(YEAR($B68)*12+MONTH($B68)&lt;=YEAR($C$3)*12+MONTH($C$3)-1,$G68,0))</f>
        <v/>
      </c>
      <c r="P68" s="62">
        <f>$M68-$O68</f>
        <v/>
      </c>
      <c r="Q68" s="62">
        <f>($L68-$M68)-($N68-$O68)</f>
        <v/>
      </c>
      <c r="R68" s="62">
        <f>$L68-$N68</f>
        <v/>
      </c>
    </row>
    <row r="69">
      <c r="A69" s="59">
        <f>ROW()-5</f>
        <v/>
      </c>
      <c r="B69" s="60">
        <f>IFERROR(INDEX(tbl_Finance[Date],$A69),"")</f>
        <v/>
      </c>
      <c r="C69" s="61">
        <f>IFERROR(INDEX(tbl_Finance[Xero Invoice No],$A69),"")</f>
        <v/>
      </c>
      <c r="D69" s="61">
        <f>IFERROR(INDEX(tbl_Finance[Client],$A69),"")</f>
        <v/>
      </c>
      <c r="E69" s="61">
        <f>IFERROR(INDEX(tbl_Finance[Job Number],$A69),"")</f>
        <v/>
      </c>
      <c r="F69" s="61">
        <f>IFERROR(INDEX(tbl_Finance[Cost Centre],$A69),"")</f>
        <v/>
      </c>
      <c r="G69" s="62">
        <f>IFERROR(INDEX(tbl_Finance[Ex GST],$A69),"")</f>
        <v/>
      </c>
      <c r="H69" s="60">
        <f>IFERROR(INDEX(tbl_Finance[Defer Start],$A69),"")</f>
        <v/>
      </c>
      <c r="I69" s="60">
        <f>IFERROR(INDEX(tbl_Finance[Defer End],$A69),"")</f>
        <v/>
      </c>
      <c r="J69" s="59">
        <f>IF(OR($H69="",$I69="",$G69=""),"",MAX(1,(YEAR($I69)-YEAR($H69))*12+MONTH($I69)-MONTH($H69)+1))</f>
        <v/>
      </c>
      <c r="K69" s="62">
        <f>IF($J69="","",$G69/$J69)</f>
        <v/>
      </c>
      <c r="L69" s="62">
        <f>IF($J69="",0,$K69*MAX(0,MIN(YEAR($C$3)*12+MONTH($C$3),YEAR($I69)*12+MONTH($I69))-(YEAR($H69)*12+MONTH($H69))+1))</f>
        <v/>
      </c>
      <c r="M69" s="62">
        <f>IF($J69="",0,$K69*MAX(0,MIN(YEAR($C$3)*12+MONTH($C$3)-1,YEAR($I69)*12+MONTH($I69))-(YEAR($H69)*12+MONTH($H69))+1))</f>
        <v/>
      </c>
      <c r="N69" s="62">
        <f>IF(OR($J69="",$B69=""),0,IF(YEAR($B69)*12+MONTH($B69)&lt;=YEAR($C$3)*12+MONTH($C$3),$G69,0))</f>
        <v/>
      </c>
      <c r="O69" s="62">
        <f>IF(OR($J69="",$B69=""),0,IF(YEAR($B69)*12+MONTH($B69)&lt;=YEAR($C$3)*12+MONTH($C$3)-1,$G69,0))</f>
        <v/>
      </c>
      <c r="P69" s="62">
        <f>$M69-$O69</f>
        <v/>
      </c>
      <c r="Q69" s="62">
        <f>($L69-$M69)-($N69-$O69)</f>
        <v/>
      </c>
      <c r="R69" s="62">
        <f>$L69-$N69</f>
        <v/>
      </c>
    </row>
    <row r="70">
      <c r="A70" s="59">
        <f>ROW()-5</f>
        <v/>
      </c>
      <c r="B70" s="60">
        <f>IFERROR(INDEX(tbl_Finance[Date],$A70),"")</f>
        <v/>
      </c>
      <c r="C70" s="61">
        <f>IFERROR(INDEX(tbl_Finance[Xero Invoice No],$A70),"")</f>
        <v/>
      </c>
      <c r="D70" s="61">
        <f>IFERROR(INDEX(tbl_Finance[Client],$A70),"")</f>
        <v/>
      </c>
      <c r="E70" s="61">
        <f>IFERROR(INDEX(tbl_Finance[Job Number],$A70),"")</f>
        <v/>
      </c>
      <c r="F70" s="61">
        <f>IFERROR(INDEX(tbl_Finance[Cost Centre],$A70),"")</f>
        <v/>
      </c>
      <c r="G70" s="62">
        <f>IFERROR(INDEX(tbl_Finance[Ex GST],$A70),"")</f>
        <v/>
      </c>
      <c r="H70" s="60">
        <f>IFERROR(INDEX(tbl_Finance[Defer Start],$A70),"")</f>
        <v/>
      </c>
      <c r="I70" s="60">
        <f>IFERROR(INDEX(tbl_Finance[Defer End],$A70),"")</f>
        <v/>
      </c>
      <c r="J70" s="59">
        <f>IF(OR($H70="",$I70="",$G70=""),"",MAX(1,(YEAR($I70)-YEAR($H70))*12+MONTH($I70)-MONTH($H70)+1))</f>
        <v/>
      </c>
      <c r="K70" s="62">
        <f>IF($J70="","",$G70/$J70)</f>
        <v/>
      </c>
      <c r="L70" s="62">
        <f>IF($J70="",0,$K70*MAX(0,MIN(YEAR($C$3)*12+MONTH($C$3),YEAR($I70)*12+MONTH($I70))-(YEAR($H70)*12+MONTH($H70))+1))</f>
        <v/>
      </c>
      <c r="M70" s="62">
        <f>IF($J70="",0,$K70*MAX(0,MIN(YEAR($C$3)*12+MONTH($C$3)-1,YEAR($I70)*12+MONTH($I70))-(YEAR($H70)*12+MONTH($H70))+1))</f>
        <v/>
      </c>
      <c r="N70" s="62">
        <f>IF(OR($J70="",$B70=""),0,IF(YEAR($B70)*12+MONTH($B70)&lt;=YEAR($C$3)*12+MONTH($C$3),$G70,0))</f>
        <v/>
      </c>
      <c r="O70" s="62">
        <f>IF(OR($J70="",$B70=""),0,IF(YEAR($B70)*12+MONTH($B70)&lt;=YEAR($C$3)*12+MONTH($C$3)-1,$G70,0))</f>
        <v/>
      </c>
      <c r="P70" s="62">
        <f>$M70-$O70</f>
        <v/>
      </c>
      <c r="Q70" s="62">
        <f>($L70-$M70)-($N70-$O70)</f>
        <v/>
      </c>
      <c r="R70" s="62">
        <f>$L70-$N70</f>
        <v/>
      </c>
    </row>
    <row r="71">
      <c r="A71" s="59">
        <f>ROW()-5</f>
        <v/>
      </c>
      <c r="B71" s="60">
        <f>IFERROR(INDEX(tbl_Finance[Date],$A71),"")</f>
        <v/>
      </c>
      <c r="C71" s="61">
        <f>IFERROR(INDEX(tbl_Finance[Xero Invoice No],$A71),"")</f>
        <v/>
      </c>
      <c r="D71" s="61">
        <f>IFERROR(INDEX(tbl_Finance[Client],$A71),"")</f>
        <v/>
      </c>
      <c r="E71" s="61">
        <f>IFERROR(INDEX(tbl_Finance[Job Number],$A71),"")</f>
        <v/>
      </c>
      <c r="F71" s="61">
        <f>IFERROR(INDEX(tbl_Finance[Cost Centre],$A71),"")</f>
        <v/>
      </c>
      <c r="G71" s="62">
        <f>IFERROR(INDEX(tbl_Finance[Ex GST],$A71),"")</f>
        <v/>
      </c>
      <c r="H71" s="60">
        <f>IFERROR(INDEX(tbl_Finance[Defer Start],$A71),"")</f>
        <v/>
      </c>
      <c r="I71" s="60">
        <f>IFERROR(INDEX(tbl_Finance[Defer End],$A71),"")</f>
        <v/>
      </c>
      <c r="J71" s="59">
        <f>IF(OR($H71="",$I71="",$G71=""),"",MAX(1,(YEAR($I71)-YEAR($H71))*12+MONTH($I71)-MONTH($H71)+1))</f>
        <v/>
      </c>
      <c r="K71" s="62">
        <f>IF($J71="","",$G71/$J71)</f>
        <v/>
      </c>
      <c r="L71" s="62">
        <f>IF($J71="",0,$K71*MAX(0,MIN(YEAR($C$3)*12+MONTH($C$3),YEAR($I71)*12+MONTH($I71))-(YEAR($H71)*12+MONTH($H71))+1))</f>
        <v/>
      </c>
      <c r="M71" s="62">
        <f>IF($J71="",0,$K71*MAX(0,MIN(YEAR($C$3)*12+MONTH($C$3)-1,YEAR($I71)*12+MONTH($I71))-(YEAR($H71)*12+MONTH($H71))+1))</f>
        <v/>
      </c>
      <c r="N71" s="62">
        <f>IF(OR($J71="",$B71=""),0,IF(YEAR($B71)*12+MONTH($B71)&lt;=YEAR($C$3)*12+MONTH($C$3),$G71,0))</f>
        <v/>
      </c>
      <c r="O71" s="62">
        <f>IF(OR($J71="",$B71=""),0,IF(YEAR($B71)*12+MONTH($B71)&lt;=YEAR($C$3)*12+MONTH($C$3)-1,$G71,0))</f>
        <v/>
      </c>
      <c r="P71" s="62">
        <f>$M71-$O71</f>
        <v/>
      </c>
      <c r="Q71" s="62">
        <f>($L71-$M71)-($N71-$O71)</f>
        <v/>
      </c>
      <c r="R71" s="62">
        <f>$L71-$N71</f>
        <v/>
      </c>
    </row>
    <row r="72">
      <c r="A72" s="59">
        <f>ROW()-5</f>
        <v/>
      </c>
      <c r="B72" s="60">
        <f>IFERROR(INDEX(tbl_Finance[Date],$A72),"")</f>
        <v/>
      </c>
      <c r="C72" s="61">
        <f>IFERROR(INDEX(tbl_Finance[Xero Invoice No],$A72),"")</f>
        <v/>
      </c>
      <c r="D72" s="61">
        <f>IFERROR(INDEX(tbl_Finance[Client],$A72),"")</f>
        <v/>
      </c>
      <c r="E72" s="61">
        <f>IFERROR(INDEX(tbl_Finance[Job Number],$A72),"")</f>
        <v/>
      </c>
      <c r="F72" s="61">
        <f>IFERROR(INDEX(tbl_Finance[Cost Centre],$A72),"")</f>
        <v/>
      </c>
      <c r="G72" s="62">
        <f>IFERROR(INDEX(tbl_Finance[Ex GST],$A72),"")</f>
        <v/>
      </c>
      <c r="H72" s="60">
        <f>IFERROR(INDEX(tbl_Finance[Defer Start],$A72),"")</f>
        <v/>
      </c>
      <c r="I72" s="60">
        <f>IFERROR(INDEX(tbl_Finance[Defer End],$A72),"")</f>
        <v/>
      </c>
      <c r="J72" s="59">
        <f>IF(OR($H72="",$I72="",$G72=""),"",MAX(1,(YEAR($I72)-YEAR($H72))*12+MONTH($I72)-MONTH($H72)+1))</f>
        <v/>
      </c>
      <c r="K72" s="62">
        <f>IF($J72="","",$G72/$J72)</f>
        <v/>
      </c>
      <c r="L72" s="62">
        <f>IF($J72="",0,$K72*MAX(0,MIN(YEAR($C$3)*12+MONTH($C$3),YEAR($I72)*12+MONTH($I72))-(YEAR($H72)*12+MONTH($H72))+1))</f>
        <v/>
      </c>
      <c r="M72" s="62">
        <f>IF($J72="",0,$K72*MAX(0,MIN(YEAR($C$3)*12+MONTH($C$3)-1,YEAR($I72)*12+MONTH($I72))-(YEAR($H72)*12+MONTH($H72))+1))</f>
        <v/>
      </c>
      <c r="N72" s="62">
        <f>IF(OR($J72="",$B72=""),0,IF(YEAR($B72)*12+MONTH($B72)&lt;=YEAR($C$3)*12+MONTH($C$3),$G72,0))</f>
        <v/>
      </c>
      <c r="O72" s="62">
        <f>IF(OR($J72="",$B72=""),0,IF(YEAR($B72)*12+MONTH($B72)&lt;=YEAR($C$3)*12+MONTH($C$3)-1,$G72,0))</f>
        <v/>
      </c>
      <c r="P72" s="62">
        <f>$M72-$O72</f>
        <v/>
      </c>
      <c r="Q72" s="62">
        <f>($L72-$M72)-($N72-$O72)</f>
        <v/>
      </c>
      <c r="R72" s="62">
        <f>$L72-$N72</f>
        <v/>
      </c>
    </row>
    <row r="73">
      <c r="A73" s="59">
        <f>ROW()-5</f>
        <v/>
      </c>
      <c r="B73" s="60">
        <f>IFERROR(INDEX(tbl_Finance[Date],$A73),"")</f>
        <v/>
      </c>
      <c r="C73" s="61">
        <f>IFERROR(INDEX(tbl_Finance[Xero Invoice No],$A73),"")</f>
        <v/>
      </c>
      <c r="D73" s="61">
        <f>IFERROR(INDEX(tbl_Finance[Client],$A73),"")</f>
        <v/>
      </c>
      <c r="E73" s="61">
        <f>IFERROR(INDEX(tbl_Finance[Job Number],$A73),"")</f>
        <v/>
      </c>
      <c r="F73" s="61">
        <f>IFERROR(INDEX(tbl_Finance[Cost Centre],$A73),"")</f>
        <v/>
      </c>
      <c r="G73" s="62">
        <f>IFERROR(INDEX(tbl_Finance[Ex GST],$A73),"")</f>
        <v/>
      </c>
      <c r="H73" s="60">
        <f>IFERROR(INDEX(tbl_Finance[Defer Start],$A73),"")</f>
        <v/>
      </c>
      <c r="I73" s="60">
        <f>IFERROR(INDEX(tbl_Finance[Defer End],$A73),"")</f>
        <v/>
      </c>
      <c r="J73" s="59">
        <f>IF(OR($H73="",$I73="",$G73=""),"",MAX(1,(YEAR($I73)-YEAR($H73))*12+MONTH($I73)-MONTH($H73)+1))</f>
        <v/>
      </c>
      <c r="K73" s="62">
        <f>IF($J73="","",$G73/$J73)</f>
        <v/>
      </c>
      <c r="L73" s="62">
        <f>IF($J73="",0,$K73*MAX(0,MIN(YEAR($C$3)*12+MONTH($C$3),YEAR($I73)*12+MONTH($I73))-(YEAR($H73)*12+MONTH($H73))+1))</f>
        <v/>
      </c>
      <c r="M73" s="62">
        <f>IF($J73="",0,$K73*MAX(0,MIN(YEAR($C$3)*12+MONTH($C$3)-1,YEAR($I73)*12+MONTH($I73))-(YEAR($H73)*12+MONTH($H73))+1))</f>
        <v/>
      </c>
      <c r="N73" s="62">
        <f>IF(OR($J73="",$B73=""),0,IF(YEAR($B73)*12+MONTH($B73)&lt;=YEAR($C$3)*12+MONTH($C$3),$G73,0))</f>
        <v/>
      </c>
      <c r="O73" s="62">
        <f>IF(OR($J73="",$B73=""),0,IF(YEAR($B73)*12+MONTH($B73)&lt;=YEAR($C$3)*12+MONTH($C$3)-1,$G73,0))</f>
        <v/>
      </c>
      <c r="P73" s="62">
        <f>$M73-$O73</f>
        <v/>
      </c>
      <c r="Q73" s="62">
        <f>($L73-$M73)-($N73-$O73)</f>
        <v/>
      </c>
      <c r="R73" s="62">
        <f>$L73-$N73</f>
        <v/>
      </c>
    </row>
    <row r="74">
      <c r="A74" s="59">
        <f>ROW()-5</f>
        <v/>
      </c>
      <c r="B74" s="60">
        <f>IFERROR(INDEX(tbl_Finance[Date],$A74),"")</f>
        <v/>
      </c>
      <c r="C74" s="61">
        <f>IFERROR(INDEX(tbl_Finance[Xero Invoice No],$A74),"")</f>
        <v/>
      </c>
      <c r="D74" s="61">
        <f>IFERROR(INDEX(tbl_Finance[Client],$A74),"")</f>
        <v/>
      </c>
      <c r="E74" s="61">
        <f>IFERROR(INDEX(tbl_Finance[Job Number],$A74),"")</f>
        <v/>
      </c>
      <c r="F74" s="61">
        <f>IFERROR(INDEX(tbl_Finance[Cost Centre],$A74),"")</f>
        <v/>
      </c>
      <c r="G74" s="62">
        <f>IFERROR(INDEX(tbl_Finance[Ex GST],$A74),"")</f>
        <v/>
      </c>
      <c r="H74" s="60">
        <f>IFERROR(INDEX(tbl_Finance[Defer Start],$A74),"")</f>
        <v/>
      </c>
      <c r="I74" s="60">
        <f>IFERROR(INDEX(tbl_Finance[Defer End],$A74),"")</f>
        <v/>
      </c>
      <c r="J74" s="59">
        <f>IF(OR($H74="",$I74="",$G74=""),"",MAX(1,(YEAR($I74)-YEAR($H74))*12+MONTH($I74)-MONTH($H74)+1))</f>
        <v/>
      </c>
      <c r="K74" s="62">
        <f>IF($J74="","",$G74/$J74)</f>
        <v/>
      </c>
      <c r="L74" s="62">
        <f>IF($J74="",0,$K74*MAX(0,MIN(YEAR($C$3)*12+MONTH($C$3),YEAR($I74)*12+MONTH($I74))-(YEAR($H74)*12+MONTH($H74))+1))</f>
        <v/>
      </c>
      <c r="M74" s="62">
        <f>IF($J74="",0,$K74*MAX(0,MIN(YEAR($C$3)*12+MONTH($C$3)-1,YEAR($I74)*12+MONTH($I74))-(YEAR($H74)*12+MONTH($H74))+1))</f>
        <v/>
      </c>
      <c r="N74" s="62">
        <f>IF(OR($J74="",$B74=""),0,IF(YEAR($B74)*12+MONTH($B74)&lt;=YEAR($C$3)*12+MONTH($C$3),$G74,0))</f>
        <v/>
      </c>
      <c r="O74" s="62">
        <f>IF(OR($J74="",$B74=""),0,IF(YEAR($B74)*12+MONTH($B74)&lt;=YEAR($C$3)*12+MONTH($C$3)-1,$G74,0))</f>
        <v/>
      </c>
      <c r="P74" s="62">
        <f>$M74-$O74</f>
        <v/>
      </c>
      <c r="Q74" s="62">
        <f>($L74-$M74)-($N74-$O74)</f>
        <v/>
      </c>
      <c r="R74" s="62">
        <f>$L74-$N74</f>
        <v/>
      </c>
    </row>
    <row r="75">
      <c r="A75" s="59">
        <f>ROW()-5</f>
        <v/>
      </c>
      <c r="B75" s="60">
        <f>IFERROR(INDEX(tbl_Finance[Date],$A75),"")</f>
        <v/>
      </c>
      <c r="C75" s="61">
        <f>IFERROR(INDEX(tbl_Finance[Xero Invoice No],$A75),"")</f>
        <v/>
      </c>
      <c r="D75" s="61">
        <f>IFERROR(INDEX(tbl_Finance[Client],$A75),"")</f>
        <v/>
      </c>
      <c r="E75" s="61">
        <f>IFERROR(INDEX(tbl_Finance[Job Number],$A75),"")</f>
        <v/>
      </c>
      <c r="F75" s="61">
        <f>IFERROR(INDEX(tbl_Finance[Cost Centre],$A75),"")</f>
        <v/>
      </c>
      <c r="G75" s="62">
        <f>IFERROR(INDEX(tbl_Finance[Ex GST],$A75),"")</f>
        <v/>
      </c>
      <c r="H75" s="60">
        <f>IFERROR(INDEX(tbl_Finance[Defer Start],$A75),"")</f>
        <v/>
      </c>
      <c r="I75" s="60">
        <f>IFERROR(INDEX(tbl_Finance[Defer End],$A75),"")</f>
        <v/>
      </c>
      <c r="J75" s="59">
        <f>IF(OR($H75="",$I75="",$G75=""),"",MAX(1,(YEAR($I75)-YEAR($H75))*12+MONTH($I75)-MONTH($H75)+1))</f>
        <v/>
      </c>
      <c r="K75" s="62">
        <f>IF($J75="","",$G75/$J75)</f>
        <v/>
      </c>
      <c r="L75" s="62">
        <f>IF($J75="",0,$K75*MAX(0,MIN(YEAR($C$3)*12+MONTH($C$3),YEAR($I75)*12+MONTH($I75))-(YEAR($H75)*12+MONTH($H75))+1))</f>
        <v/>
      </c>
      <c r="M75" s="62">
        <f>IF($J75="",0,$K75*MAX(0,MIN(YEAR($C$3)*12+MONTH($C$3)-1,YEAR($I75)*12+MONTH($I75))-(YEAR($H75)*12+MONTH($H75))+1))</f>
        <v/>
      </c>
      <c r="N75" s="62">
        <f>IF(OR($J75="",$B75=""),0,IF(YEAR($B75)*12+MONTH($B75)&lt;=YEAR($C$3)*12+MONTH($C$3),$G75,0))</f>
        <v/>
      </c>
      <c r="O75" s="62">
        <f>IF(OR($J75="",$B75=""),0,IF(YEAR($B75)*12+MONTH($B75)&lt;=YEAR($C$3)*12+MONTH($C$3)-1,$G75,0))</f>
        <v/>
      </c>
      <c r="P75" s="62">
        <f>$M75-$O75</f>
        <v/>
      </c>
      <c r="Q75" s="62">
        <f>($L75-$M75)-($N75-$O75)</f>
        <v/>
      </c>
      <c r="R75" s="62">
        <f>$L75-$N75</f>
        <v/>
      </c>
    </row>
    <row r="76">
      <c r="A76" s="59">
        <f>ROW()-5</f>
        <v/>
      </c>
      <c r="B76" s="60">
        <f>IFERROR(INDEX(tbl_Finance[Date],$A76),"")</f>
        <v/>
      </c>
      <c r="C76" s="61">
        <f>IFERROR(INDEX(tbl_Finance[Xero Invoice No],$A76),"")</f>
        <v/>
      </c>
      <c r="D76" s="61">
        <f>IFERROR(INDEX(tbl_Finance[Client],$A76),"")</f>
        <v/>
      </c>
      <c r="E76" s="61">
        <f>IFERROR(INDEX(tbl_Finance[Job Number],$A76),"")</f>
        <v/>
      </c>
      <c r="F76" s="61">
        <f>IFERROR(INDEX(tbl_Finance[Cost Centre],$A76),"")</f>
        <v/>
      </c>
      <c r="G76" s="62">
        <f>IFERROR(INDEX(tbl_Finance[Ex GST],$A76),"")</f>
        <v/>
      </c>
      <c r="H76" s="60">
        <f>IFERROR(INDEX(tbl_Finance[Defer Start],$A76),"")</f>
        <v/>
      </c>
      <c r="I76" s="60">
        <f>IFERROR(INDEX(tbl_Finance[Defer End],$A76),"")</f>
        <v/>
      </c>
      <c r="J76" s="59">
        <f>IF(OR($H76="",$I76="",$G76=""),"",MAX(1,(YEAR($I76)-YEAR($H76))*12+MONTH($I76)-MONTH($H76)+1))</f>
        <v/>
      </c>
      <c r="K76" s="62">
        <f>IF($J76="","",$G76/$J76)</f>
        <v/>
      </c>
      <c r="L76" s="62">
        <f>IF($J76="",0,$K76*MAX(0,MIN(YEAR($C$3)*12+MONTH($C$3),YEAR($I76)*12+MONTH($I76))-(YEAR($H76)*12+MONTH($H76))+1))</f>
        <v/>
      </c>
      <c r="M76" s="62">
        <f>IF($J76="",0,$K76*MAX(0,MIN(YEAR($C$3)*12+MONTH($C$3)-1,YEAR($I76)*12+MONTH($I76))-(YEAR($H76)*12+MONTH($H76))+1))</f>
        <v/>
      </c>
      <c r="N76" s="62">
        <f>IF(OR($J76="",$B76=""),0,IF(YEAR($B76)*12+MONTH($B76)&lt;=YEAR($C$3)*12+MONTH($C$3),$G76,0))</f>
        <v/>
      </c>
      <c r="O76" s="62">
        <f>IF(OR($J76="",$B76=""),0,IF(YEAR($B76)*12+MONTH($B76)&lt;=YEAR($C$3)*12+MONTH($C$3)-1,$G76,0))</f>
        <v/>
      </c>
      <c r="P76" s="62">
        <f>$M76-$O76</f>
        <v/>
      </c>
      <c r="Q76" s="62">
        <f>($L76-$M76)-($N76-$O76)</f>
        <v/>
      </c>
      <c r="R76" s="62">
        <f>$L76-$N76</f>
        <v/>
      </c>
    </row>
    <row r="77">
      <c r="A77" s="59">
        <f>ROW()-5</f>
        <v/>
      </c>
      <c r="B77" s="60">
        <f>IFERROR(INDEX(tbl_Finance[Date],$A77),"")</f>
        <v/>
      </c>
      <c r="C77" s="61">
        <f>IFERROR(INDEX(tbl_Finance[Xero Invoice No],$A77),"")</f>
        <v/>
      </c>
      <c r="D77" s="61">
        <f>IFERROR(INDEX(tbl_Finance[Client],$A77),"")</f>
        <v/>
      </c>
      <c r="E77" s="61">
        <f>IFERROR(INDEX(tbl_Finance[Job Number],$A77),"")</f>
        <v/>
      </c>
      <c r="F77" s="61">
        <f>IFERROR(INDEX(tbl_Finance[Cost Centre],$A77),"")</f>
        <v/>
      </c>
      <c r="G77" s="62">
        <f>IFERROR(INDEX(tbl_Finance[Ex GST],$A77),"")</f>
        <v/>
      </c>
      <c r="H77" s="60">
        <f>IFERROR(INDEX(tbl_Finance[Defer Start],$A77),"")</f>
        <v/>
      </c>
      <c r="I77" s="60">
        <f>IFERROR(INDEX(tbl_Finance[Defer End],$A77),"")</f>
        <v/>
      </c>
      <c r="J77" s="59">
        <f>IF(OR($H77="",$I77="",$G77=""),"",MAX(1,(YEAR($I77)-YEAR($H77))*12+MONTH($I77)-MONTH($H77)+1))</f>
        <v/>
      </c>
      <c r="K77" s="62">
        <f>IF($J77="","",$G77/$J77)</f>
        <v/>
      </c>
      <c r="L77" s="62">
        <f>IF($J77="",0,$K77*MAX(0,MIN(YEAR($C$3)*12+MONTH($C$3),YEAR($I77)*12+MONTH($I77))-(YEAR($H77)*12+MONTH($H77))+1))</f>
        <v/>
      </c>
      <c r="M77" s="62">
        <f>IF($J77="",0,$K77*MAX(0,MIN(YEAR($C$3)*12+MONTH($C$3)-1,YEAR($I77)*12+MONTH($I77))-(YEAR($H77)*12+MONTH($H77))+1))</f>
        <v/>
      </c>
      <c r="N77" s="62">
        <f>IF(OR($J77="",$B77=""),0,IF(YEAR($B77)*12+MONTH($B77)&lt;=YEAR($C$3)*12+MONTH($C$3),$G77,0))</f>
        <v/>
      </c>
      <c r="O77" s="62">
        <f>IF(OR($J77="",$B77=""),0,IF(YEAR($B77)*12+MONTH($B77)&lt;=YEAR($C$3)*12+MONTH($C$3)-1,$G77,0))</f>
        <v/>
      </c>
      <c r="P77" s="62">
        <f>$M77-$O77</f>
        <v/>
      </c>
      <c r="Q77" s="62">
        <f>($L77-$M77)-($N77-$O77)</f>
        <v/>
      </c>
      <c r="R77" s="62">
        <f>$L77-$N77</f>
        <v/>
      </c>
    </row>
    <row r="78">
      <c r="A78" s="59">
        <f>ROW()-5</f>
        <v/>
      </c>
      <c r="B78" s="60">
        <f>IFERROR(INDEX(tbl_Finance[Date],$A78),"")</f>
        <v/>
      </c>
      <c r="C78" s="61">
        <f>IFERROR(INDEX(tbl_Finance[Xero Invoice No],$A78),"")</f>
        <v/>
      </c>
      <c r="D78" s="61">
        <f>IFERROR(INDEX(tbl_Finance[Client],$A78),"")</f>
        <v/>
      </c>
      <c r="E78" s="61">
        <f>IFERROR(INDEX(tbl_Finance[Job Number],$A78),"")</f>
        <v/>
      </c>
      <c r="F78" s="61">
        <f>IFERROR(INDEX(tbl_Finance[Cost Centre],$A78),"")</f>
        <v/>
      </c>
      <c r="G78" s="62">
        <f>IFERROR(INDEX(tbl_Finance[Ex GST],$A78),"")</f>
        <v/>
      </c>
      <c r="H78" s="60">
        <f>IFERROR(INDEX(tbl_Finance[Defer Start],$A78),"")</f>
        <v/>
      </c>
      <c r="I78" s="60">
        <f>IFERROR(INDEX(tbl_Finance[Defer End],$A78),"")</f>
        <v/>
      </c>
      <c r="J78" s="59">
        <f>IF(OR($H78="",$I78="",$G78=""),"",MAX(1,(YEAR($I78)-YEAR($H78))*12+MONTH($I78)-MONTH($H78)+1))</f>
        <v/>
      </c>
      <c r="K78" s="62">
        <f>IF($J78="","",$G78/$J78)</f>
        <v/>
      </c>
      <c r="L78" s="62">
        <f>IF($J78="",0,$K78*MAX(0,MIN(YEAR($C$3)*12+MONTH($C$3),YEAR($I78)*12+MONTH($I78))-(YEAR($H78)*12+MONTH($H78))+1))</f>
        <v/>
      </c>
      <c r="M78" s="62">
        <f>IF($J78="",0,$K78*MAX(0,MIN(YEAR($C$3)*12+MONTH($C$3)-1,YEAR($I78)*12+MONTH($I78))-(YEAR($H78)*12+MONTH($H78))+1))</f>
        <v/>
      </c>
      <c r="N78" s="62">
        <f>IF(OR($J78="",$B78=""),0,IF(YEAR($B78)*12+MONTH($B78)&lt;=YEAR($C$3)*12+MONTH($C$3),$G78,0))</f>
        <v/>
      </c>
      <c r="O78" s="62">
        <f>IF(OR($J78="",$B78=""),0,IF(YEAR($B78)*12+MONTH($B78)&lt;=YEAR($C$3)*12+MONTH($C$3)-1,$G78,0))</f>
        <v/>
      </c>
      <c r="P78" s="62">
        <f>$M78-$O78</f>
        <v/>
      </c>
      <c r="Q78" s="62">
        <f>($L78-$M78)-($N78-$O78)</f>
        <v/>
      </c>
      <c r="R78" s="62">
        <f>$L78-$N78</f>
        <v/>
      </c>
    </row>
    <row r="79">
      <c r="A79" s="59">
        <f>ROW()-5</f>
        <v/>
      </c>
      <c r="B79" s="60">
        <f>IFERROR(INDEX(tbl_Finance[Date],$A79),"")</f>
        <v/>
      </c>
      <c r="C79" s="61">
        <f>IFERROR(INDEX(tbl_Finance[Xero Invoice No],$A79),"")</f>
        <v/>
      </c>
      <c r="D79" s="61">
        <f>IFERROR(INDEX(tbl_Finance[Client],$A79),"")</f>
        <v/>
      </c>
      <c r="E79" s="61">
        <f>IFERROR(INDEX(tbl_Finance[Job Number],$A79),"")</f>
        <v/>
      </c>
      <c r="F79" s="61">
        <f>IFERROR(INDEX(tbl_Finance[Cost Centre],$A79),"")</f>
        <v/>
      </c>
      <c r="G79" s="62">
        <f>IFERROR(INDEX(tbl_Finance[Ex GST],$A79),"")</f>
        <v/>
      </c>
      <c r="H79" s="60">
        <f>IFERROR(INDEX(tbl_Finance[Defer Start],$A79),"")</f>
        <v/>
      </c>
      <c r="I79" s="60">
        <f>IFERROR(INDEX(tbl_Finance[Defer End],$A79),"")</f>
        <v/>
      </c>
      <c r="J79" s="59">
        <f>IF(OR($H79="",$I79="",$G79=""),"",MAX(1,(YEAR($I79)-YEAR($H79))*12+MONTH($I79)-MONTH($H79)+1))</f>
        <v/>
      </c>
      <c r="K79" s="62">
        <f>IF($J79="","",$G79/$J79)</f>
        <v/>
      </c>
      <c r="L79" s="62">
        <f>IF($J79="",0,$K79*MAX(0,MIN(YEAR($C$3)*12+MONTH($C$3),YEAR($I79)*12+MONTH($I79))-(YEAR($H79)*12+MONTH($H79))+1))</f>
        <v/>
      </c>
      <c r="M79" s="62">
        <f>IF($J79="",0,$K79*MAX(0,MIN(YEAR($C$3)*12+MONTH($C$3)-1,YEAR($I79)*12+MONTH($I79))-(YEAR($H79)*12+MONTH($H79))+1))</f>
        <v/>
      </c>
      <c r="N79" s="62">
        <f>IF(OR($J79="",$B79=""),0,IF(YEAR($B79)*12+MONTH($B79)&lt;=YEAR($C$3)*12+MONTH($C$3),$G79,0))</f>
        <v/>
      </c>
      <c r="O79" s="62">
        <f>IF(OR($J79="",$B79=""),0,IF(YEAR($B79)*12+MONTH($B79)&lt;=YEAR($C$3)*12+MONTH($C$3)-1,$G79,0))</f>
        <v/>
      </c>
      <c r="P79" s="62">
        <f>$M79-$O79</f>
        <v/>
      </c>
      <c r="Q79" s="62">
        <f>($L79-$M79)-($N79-$O79)</f>
        <v/>
      </c>
      <c r="R79" s="62">
        <f>$L79-$N79</f>
        <v/>
      </c>
    </row>
    <row r="80">
      <c r="A80" s="59">
        <f>ROW()-5</f>
        <v/>
      </c>
      <c r="B80" s="60">
        <f>IFERROR(INDEX(tbl_Finance[Date],$A80),"")</f>
        <v/>
      </c>
      <c r="C80" s="61">
        <f>IFERROR(INDEX(tbl_Finance[Xero Invoice No],$A80),"")</f>
        <v/>
      </c>
      <c r="D80" s="61">
        <f>IFERROR(INDEX(tbl_Finance[Client],$A80),"")</f>
        <v/>
      </c>
      <c r="E80" s="61">
        <f>IFERROR(INDEX(tbl_Finance[Job Number],$A80),"")</f>
        <v/>
      </c>
      <c r="F80" s="61">
        <f>IFERROR(INDEX(tbl_Finance[Cost Centre],$A80),"")</f>
        <v/>
      </c>
      <c r="G80" s="62">
        <f>IFERROR(INDEX(tbl_Finance[Ex GST],$A80),"")</f>
        <v/>
      </c>
      <c r="H80" s="60">
        <f>IFERROR(INDEX(tbl_Finance[Defer Start],$A80),"")</f>
        <v/>
      </c>
      <c r="I80" s="60">
        <f>IFERROR(INDEX(tbl_Finance[Defer End],$A80),"")</f>
        <v/>
      </c>
      <c r="J80" s="59">
        <f>IF(OR($H80="",$I80="",$G80=""),"",MAX(1,(YEAR($I80)-YEAR($H80))*12+MONTH($I80)-MONTH($H80)+1))</f>
        <v/>
      </c>
      <c r="K80" s="62">
        <f>IF($J80="","",$G80/$J80)</f>
        <v/>
      </c>
      <c r="L80" s="62">
        <f>IF($J80="",0,$K80*MAX(0,MIN(YEAR($C$3)*12+MONTH($C$3),YEAR($I80)*12+MONTH($I80))-(YEAR($H80)*12+MONTH($H80))+1))</f>
        <v/>
      </c>
      <c r="M80" s="62">
        <f>IF($J80="",0,$K80*MAX(0,MIN(YEAR($C$3)*12+MONTH($C$3)-1,YEAR($I80)*12+MONTH($I80))-(YEAR($H80)*12+MONTH($H80))+1))</f>
        <v/>
      </c>
      <c r="N80" s="62">
        <f>IF(OR($J80="",$B80=""),0,IF(YEAR($B80)*12+MONTH($B80)&lt;=YEAR($C$3)*12+MONTH($C$3),$G80,0))</f>
        <v/>
      </c>
      <c r="O80" s="62">
        <f>IF(OR($J80="",$B80=""),0,IF(YEAR($B80)*12+MONTH($B80)&lt;=YEAR($C$3)*12+MONTH($C$3)-1,$G80,0))</f>
        <v/>
      </c>
      <c r="P80" s="62">
        <f>$M80-$O80</f>
        <v/>
      </c>
      <c r="Q80" s="62">
        <f>($L80-$M80)-($N80-$O80)</f>
        <v/>
      </c>
      <c r="R80" s="62">
        <f>$L80-$N80</f>
        <v/>
      </c>
    </row>
    <row r="81">
      <c r="A81" s="59">
        <f>ROW()-5</f>
        <v/>
      </c>
      <c r="B81" s="60">
        <f>IFERROR(INDEX(tbl_Finance[Date],$A81),"")</f>
        <v/>
      </c>
      <c r="C81" s="61">
        <f>IFERROR(INDEX(tbl_Finance[Xero Invoice No],$A81),"")</f>
        <v/>
      </c>
      <c r="D81" s="61">
        <f>IFERROR(INDEX(tbl_Finance[Client],$A81),"")</f>
        <v/>
      </c>
      <c r="E81" s="61">
        <f>IFERROR(INDEX(tbl_Finance[Job Number],$A81),"")</f>
        <v/>
      </c>
      <c r="F81" s="61">
        <f>IFERROR(INDEX(tbl_Finance[Cost Centre],$A81),"")</f>
        <v/>
      </c>
      <c r="G81" s="62">
        <f>IFERROR(INDEX(tbl_Finance[Ex GST],$A81),"")</f>
        <v/>
      </c>
      <c r="H81" s="60">
        <f>IFERROR(INDEX(tbl_Finance[Defer Start],$A81),"")</f>
        <v/>
      </c>
      <c r="I81" s="60">
        <f>IFERROR(INDEX(tbl_Finance[Defer End],$A81),"")</f>
        <v/>
      </c>
      <c r="J81" s="59">
        <f>IF(OR($H81="",$I81="",$G81=""),"",MAX(1,(YEAR($I81)-YEAR($H81))*12+MONTH($I81)-MONTH($H81)+1))</f>
        <v/>
      </c>
      <c r="K81" s="62">
        <f>IF($J81="","",$G81/$J81)</f>
        <v/>
      </c>
      <c r="L81" s="62">
        <f>IF($J81="",0,$K81*MAX(0,MIN(YEAR($C$3)*12+MONTH($C$3),YEAR($I81)*12+MONTH($I81))-(YEAR($H81)*12+MONTH($H81))+1))</f>
        <v/>
      </c>
      <c r="M81" s="62">
        <f>IF($J81="",0,$K81*MAX(0,MIN(YEAR($C$3)*12+MONTH($C$3)-1,YEAR($I81)*12+MONTH($I81))-(YEAR($H81)*12+MONTH($H81))+1))</f>
        <v/>
      </c>
      <c r="N81" s="62">
        <f>IF(OR($J81="",$B81=""),0,IF(YEAR($B81)*12+MONTH($B81)&lt;=YEAR($C$3)*12+MONTH($C$3),$G81,0))</f>
        <v/>
      </c>
      <c r="O81" s="62">
        <f>IF(OR($J81="",$B81=""),0,IF(YEAR($B81)*12+MONTH($B81)&lt;=YEAR($C$3)*12+MONTH($C$3)-1,$G81,0))</f>
        <v/>
      </c>
      <c r="P81" s="62">
        <f>$M81-$O81</f>
        <v/>
      </c>
      <c r="Q81" s="62">
        <f>($L81-$M81)-($N81-$O81)</f>
        <v/>
      </c>
      <c r="R81" s="62">
        <f>$L81-$N81</f>
        <v/>
      </c>
    </row>
    <row r="82">
      <c r="A82" s="59">
        <f>ROW()-5</f>
        <v/>
      </c>
      <c r="B82" s="60">
        <f>IFERROR(INDEX(tbl_Finance[Date],$A82),"")</f>
        <v/>
      </c>
      <c r="C82" s="61">
        <f>IFERROR(INDEX(tbl_Finance[Xero Invoice No],$A82),"")</f>
        <v/>
      </c>
      <c r="D82" s="61">
        <f>IFERROR(INDEX(tbl_Finance[Client],$A82),"")</f>
        <v/>
      </c>
      <c r="E82" s="61">
        <f>IFERROR(INDEX(tbl_Finance[Job Number],$A82),"")</f>
        <v/>
      </c>
      <c r="F82" s="61">
        <f>IFERROR(INDEX(tbl_Finance[Cost Centre],$A82),"")</f>
        <v/>
      </c>
      <c r="G82" s="62">
        <f>IFERROR(INDEX(tbl_Finance[Ex GST],$A82),"")</f>
        <v/>
      </c>
      <c r="H82" s="60">
        <f>IFERROR(INDEX(tbl_Finance[Defer Start],$A82),"")</f>
        <v/>
      </c>
      <c r="I82" s="60">
        <f>IFERROR(INDEX(tbl_Finance[Defer End],$A82),"")</f>
        <v/>
      </c>
      <c r="J82" s="59">
        <f>IF(OR($H82="",$I82="",$G82=""),"",MAX(1,(YEAR($I82)-YEAR($H82))*12+MONTH($I82)-MONTH($H82)+1))</f>
        <v/>
      </c>
      <c r="K82" s="62">
        <f>IF($J82="","",$G82/$J82)</f>
        <v/>
      </c>
      <c r="L82" s="62">
        <f>IF($J82="",0,$K82*MAX(0,MIN(YEAR($C$3)*12+MONTH($C$3),YEAR($I82)*12+MONTH($I82))-(YEAR($H82)*12+MONTH($H82))+1))</f>
        <v/>
      </c>
      <c r="M82" s="62">
        <f>IF($J82="",0,$K82*MAX(0,MIN(YEAR($C$3)*12+MONTH($C$3)-1,YEAR($I82)*12+MONTH($I82))-(YEAR($H82)*12+MONTH($H82))+1))</f>
        <v/>
      </c>
      <c r="N82" s="62">
        <f>IF(OR($J82="",$B82=""),0,IF(YEAR($B82)*12+MONTH($B82)&lt;=YEAR($C$3)*12+MONTH($C$3),$G82,0))</f>
        <v/>
      </c>
      <c r="O82" s="62">
        <f>IF(OR($J82="",$B82=""),0,IF(YEAR($B82)*12+MONTH($B82)&lt;=YEAR($C$3)*12+MONTH($C$3)-1,$G82,0))</f>
        <v/>
      </c>
      <c r="P82" s="62">
        <f>$M82-$O82</f>
        <v/>
      </c>
      <c r="Q82" s="62">
        <f>($L82-$M82)-($N82-$O82)</f>
        <v/>
      </c>
      <c r="R82" s="62">
        <f>$L82-$N82</f>
        <v/>
      </c>
    </row>
    <row r="83">
      <c r="A83" s="59">
        <f>ROW()-5</f>
        <v/>
      </c>
      <c r="B83" s="60">
        <f>IFERROR(INDEX(tbl_Finance[Date],$A83),"")</f>
        <v/>
      </c>
      <c r="C83" s="61">
        <f>IFERROR(INDEX(tbl_Finance[Xero Invoice No],$A83),"")</f>
        <v/>
      </c>
      <c r="D83" s="61">
        <f>IFERROR(INDEX(tbl_Finance[Client],$A83),"")</f>
        <v/>
      </c>
      <c r="E83" s="61">
        <f>IFERROR(INDEX(tbl_Finance[Job Number],$A83),"")</f>
        <v/>
      </c>
      <c r="F83" s="61">
        <f>IFERROR(INDEX(tbl_Finance[Cost Centre],$A83),"")</f>
        <v/>
      </c>
      <c r="G83" s="62">
        <f>IFERROR(INDEX(tbl_Finance[Ex GST],$A83),"")</f>
        <v/>
      </c>
      <c r="H83" s="60">
        <f>IFERROR(INDEX(tbl_Finance[Defer Start],$A83),"")</f>
        <v/>
      </c>
      <c r="I83" s="60">
        <f>IFERROR(INDEX(tbl_Finance[Defer End],$A83),"")</f>
        <v/>
      </c>
      <c r="J83" s="59">
        <f>IF(OR($H83="",$I83="",$G83=""),"",MAX(1,(YEAR($I83)-YEAR($H83))*12+MONTH($I83)-MONTH($H83)+1))</f>
        <v/>
      </c>
      <c r="K83" s="62">
        <f>IF($J83="","",$G83/$J83)</f>
        <v/>
      </c>
      <c r="L83" s="62">
        <f>IF($J83="",0,$K83*MAX(0,MIN(YEAR($C$3)*12+MONTH($C$3),YEAR($I83)*12+MONTH($I83))-(YEAR($H83)*12+MONTH($H83))+1))</f>
        <v/>
      </c>
      <c r="M83" s="62">
        <f>IF($J83="",0,$K83*MAX(0,MIN(YEAR($C$3)*12+MONTH($C$3)-1,YEAR($I83)*12+MONTH($I83))-(YEAR($H83)*12+MONTH($H83))+1))</f>
        <v/>
      </c>
      <c r="N83" s="62">
        <f>IF(OR($J83="",$B83=""),0,IF(YEAR($B83)*12+MONTH($B83)&lt;=YEAR($C$3)*12+MONTH($C$3),$G83,0))</f>
        <v/>
      </c>
      <c r="O83" s="62">
        <f>IF(OR($J83="",$B83=""),0,IF(YEAR($B83)*12+MONTH($B83)&lt;=YEAR($C$3)*12+MONTH($C$3)-1,$G83,0))</f>
        <v/>
      </c>
      <c r="P83" s="62">
        <f>$M83-$O83</f>
        <v/>
      </c>
      <c r="Q83" s="62">
        <f>($L83-$M83)-($N83-$O83)</f>
        <v/>
      </c>
      <c r="R83" s="62">
        <f>$L83-$N83</f>
        <v/>
      </c>
    </row>
    <row r="84">
      <c r="A84" s="59">
        <f>ROW()-5</f>
        <v/>
      </c>
      <c r="B84" s="60">
        <f>IFERROR(INDEX(tbl_Finance[Date],$A84),"")</f>
        <v/>
      </c>
      <c r="C84" s="61">
        <f>IFERROR(INDEX(tbl_Finance[Xero Invoice No],$A84),"")</f>
        <v/>
      </c>
      <c r="D84" s="61">
        <f>IFERROR(INDEX(tbl_Finance[Client],$A84),"")</f>
        <v/>
      </c>
      <c r="E84" s="61">
        <f>IFERROR(INDEX(tbl_Finance[Job Number],$A84),"")</f>
        <v/>
      </c>
      <c r="F84" s="61">
        <f>IFERROR(INDEX(tbl_Finance[Cost Centre],$A84),"")</f>
        <v/>
      </c>
      <c r="G84" s="62">
        <f>IFERROR(INDEX(tbl_Finance[Ex GST],$A84),"")</f>
        <v/>
      </c>
      <c r="H84" s="60">
        <f>IFERROR(INDEX(tbl_Finance[Defer Start],$A84),"")</f>
        <v/>
      </c>
      <c r="I84" s="60">
        <f>IFERROR(INDEX(tbl_Finance[Defer End],$A84),"")</f>
        <v/>
      </c>
      <c r="J84" s="59">
        <f>IF(OR($H84="",$I84="",$G84=""),"",MAX(1,(YEAR($I84)-YEAR($H84))*12+MONTH($I84)-MONTH($H84)+1))</f>
        <v/>
      </c>
      <c r="K84" s="62">
        <f>IF($J84="","",$G84/$J84)</f>
        <v/>
      </c>
      <c r="L84" s="62">
        <f>IF($J84="",0,$K84*MAX(0,MIN(YEAR($C$3)*12+MONTH($C$3),YEAR($I84)*12+MONTH($I84))-(YEAR($H84)*12+MONTH($H84))+1))</f>
        <v/>
      </c>
      <c r="M84" s="62">
        <f>IF($J84="",0,$K84*MAX(0,MIN(YEAR($C$3)*12+MONTH($C$3)-1,YEAR($I84)*12+MONTH($I84))-(YEAR($H84)*12+MONTH($H84))+1))</f>
        <v/>
      </c>
      <c r="N84" s="62">
        <f>IF(OR($J84="",$B84=""),0,IF(YEAR($B84)*12+MONTH($B84)&lt;=YEAR($C$3)*12+MONTH($C$3),$G84,0))</f>
        <v/>
      </c>
      <c r="O84" s="62">
        <f>IF(OR($J84="",$B84=""),0,IF(YEAR($B84)*12+MONTH($B84)&lt;=YEAR($C$3)*12+MONTH($C$3)-1,$G84,0))</f>
        <v/>
      </c>
      <c r="P84" s="62">
        <f>$M84-$O84</f>
        <v/>
      </c>
      <c r="Q84" s="62">
        <f>($L84-$M84)-($N84-$O84)</f>
        <v/>
      </c>
      <c r="R84" s="62">
        <f>$L84-$N84</f>
        <v/>
      </c>
    </row>
    <row r="85">
      <c r="A85" s="59">
        <f>ROW()-5</f>
        <v/>
      </c>
      <c r="B85" s="60">
        <f>IFERROR(INDEX(tbl_Finance[Date],$A85),"")</f>
        <v/>
      </c>
      <c r="C85" s="61">
        <f>IFERROR(INDEX(tbl_Finance[Xero Invoice No],$A85),"")</f>
        <v/>
      </c>
      <c r="D85" s="61">
        <f>IFERROR(INDEX(tbl_Finance[Client],$A85),"")</f>
        <v/>
      </c>
      <c r="E85" s="61">
        <f>IFERROR(INDEX(tbl_Finance[Job Number],$A85),"")</f>
        <v/>
      </c>
      <c r="F85" s="61">
        <f>IFERROR(INDEX(tbl_Finance[Cost Centre],$A85),"")</f>
        <v/>
      </c>
      <c r="G85" s="62">
        <f>IFERROR(INDEX(tbl_Finance[Ex GST],$A85),"")</f>
        <v/>
      </c>
      <c r="H85" s="60">
        <f>IFERROR(INDEX(tbl_Finance[Defer Start],$A85),"")</f>
        <v/>
      </c>
      <c r="I85" s="60">
        <f>IFERROR(INDEX(tbl_Finance[Defer End],$A85),"")</f>
        <v/>
      </c>
      <c r="J85" s="59">
        <f>IF(OR($H85="",$I85="",$G85=""),"",MAX(1,(YEAR($I85)-YEAR($H85))*12+MONTH($I85)-MONTH($H85)+1))</f>
        <v/>
      </c>
      <c r="K85" s="62">
        <f>IF($J85="","",$G85/$J85)</f>
        <v/>
      </c>
      <c r="L85" s="62">
        <f>IF($J85="",0,$K85*MAX(0,MIN(YEAR($C$3)*12+MONTH($C$3),YEAR($I85)*12+MONTH($I85))-(YEAR($H85)*12+MONTH($H85))+1))</f>
        <v/>
      </c>
      <c r="M85" s="62">
        <f>IF($J85="",0,$K85*MAX(0,MIN(YEAR($C$3)*12+MONTH($C$3)-1,YEAR($I85)*12+MONTH($I85))-(YEAR($H85)*12+MONTH($H85))+1))</f>
        <v/>
      </c>
      <c r="N85" s="62">
        <f>IF(OR($J85="",$B85=""),0,IF(YEAR($B85)*12+MONTH($B85)&lt;=YEAR($C$3)*12+MONTH($C$3),$G85,0))</f>
        <v/>
      </c>
      <c r="O85" s="62">
        <f>IF(OR($J85="",$B85=""),0,IF(YEAR($B85)*12+MONTH($B85)&lt;=YEAR($C$3)*12+MONTH($C$3)-1,$G85,0))</f>
        <v/>
      </c>
      <c r="P85" s="62">
        <f>$M85-$O85</f>
        <v/>
      </c>
      <c r="Q85" s="62">
        <f>($L85-$M85)-($N85-$O85)</f>
        <v/>
      </c>
      <c r="R85" s="62">
        <f>$L85-$N85</f>
        <v/>
      </c>
    </row>
    <row r="86">
      <c r="A86" s="59">
        <f>ROW()-5</f>
        <v/>
      </c>
      <c r="B86" s="60">
        <f>IFERROR(INDEX(tbl_Finance[Date],$A86),"")</f>
        <v/>
      </c>
      <c r="C86" s="61">
        <f>IFERROR(INDEX(tbl_Finance[Xero Invoice No],$A86),"")</f>
        <v/>
      </c>
      <c r="D86" s="61">
        <f>IFERROR(INDEX(tbl_Finance[Client],$A86),"")</f>
        <v/>
      </c>
      <c r="E86" s="61">
        <f>IFERROR(INDEX(tbl_Finance[Job Number],$A86),"")</f>
        <v/>
      </c>
      <c r="F86" s="61">
        <f>IFERROR(INDEX(tbl_Finance[Cost Centre],$A86),"")</f>
        <v/>
      </c>
      <c r="G86" s="62">
        <f>IFERROR(INDEX(tbl_Finance[Ex GST],$A86),"")</f>
        <v/>
      </c>
      <c r="H86" s="60">
        <f>IFERROR(INDEX(tbl_Finance[Defer Start],$A86),"")</f>
        <v/>
      </c>
      <c r="I86" s="60">
        <f>IFERROR(INDEX(tbl_Finance[Defer End],$A86),"")</f>
        <v/>
      </c>
      <c r="J86" s="59">
        <f>IF(OR($H86="",$I86="",$G86=""),"",MAX(1,(YEAR($I86)-YEAR($H86))*12+MONTH($I86)-MONTH($H86)+1))</f>
        <v/>
      </c>
      <c r="K86" s="62">
        <f>IF($J86="","",$G86/$J86)</f>
        <v/>
      </c>
      <c r="L86" s="62">
        <f>IF($J86="",0,$K86*MAX(0,MIN(YEAR($C$3)*12+MONTH($C$3),YEAR($I86)*12+MONTH($I86))-(YEAR($H86)*12+MONTH($H86))+1))</f>
        <v/>
      </c>
      <c r="M86" s="62">
        <f>IF($J86="",0,$K86*MAX(0,MIN(YEAR($C$3)*12+MONTH($C$3)-1,YEAR($I86)*12+MONTH($I86))-(YEAR($H86)*12+MONTH($H86))+1))</f>
        <v/>
      </c>
      <c r="N86" s="62">
        <f>IF(OR($J86="",$B86=""),0,IF(YEAR($B86)*12+MONTH($B86)&lt;=YEAR($C$3)*12+MONTH($C$3),$G86,0))</f>
        <v/>
      </c>
      <c r="O86" s="62">
        <f>IF(OR($J86="",$B86=""),0,IF(YEAR($B86)*12+MONTH($B86)&lt;=YEAR($C$3)*12+MONTH($C$3)-1,$G86,0))</f>
        <v/>
      </c>
      <c r="P86" s="62">
        <f>$M86-$O86</f>
        <v/>
      </c>
      <c r="Q86" s="62">
        <f>($L86-$M86)-($N86-$O86)</f>
        <v/>
      </c>
      <c r="R86" s="62">
        <f>$L86-$N86</f>
        <v/>
      </c>
    </row>
    <row r="87">
      <c r="A87" s="59">
        <f>ROW()-5</f>
        <v/>
      </c>
      <c r="B87" s="60">
        <f>IFERROR(INDEX(tbl_Finance[Date],$A87),"")</f>
        <v/>
      </c>
      <c r="C87" s="61">
        <f>IFERROR(INDEX(tbl_Finance[Xero Invoice No],$A87),"")</f>
        <v/>
      </c>
      <c r="D87" s="61">
        <f>IFERROR(INDEX(tbl_Finance[Client],$A87),"")</f>
        <v/>
      </c>
      <c r="E87" s="61">
        <f>IFERROR(INDEX(tbl_Finance[Job Number],$A87),"")</f>
        <v/>
      </c>
      <c r="F87" s="61">
        <f>IFERROR(INDEX(tbl_Finance[Cost Centre],$A87),"")</f>
        <v/>
      </c>
      <c r="G87" s="62">
        <f>IFERROR(INDEX(tbl_Finance[Ex GST],$A87),"")</f>
        <v/>
      </c>
      <c r="H87" s="60">
        <f>IFERROR(INDEX(tbl_Finance[Defer Start],$A87),"")</f>
        <v/>
      </c>
      <c r="I87" s="60">
        <f>IFERROR(INDEX(tbl_Finance[Defer End],$A87),"")</f>
        <v/>
      </c>
      <c r="J87" s="59">
        <f>IF(OR($H87="",$I87="",$G87=""),"",MAX(1,(YEAR($I87)-YEAR($H87))*12+MONTH($I87)-MONTH($H87)+1))</f>
        <v/>
      </c>
      <c r="K87" s="62">
        <f>IF($J87="","",$G87/$J87)</f>
        <v/>
      </c>
      <c r="L87" s="62">
        <f>IF($J87="",0,$K87*MAX(0,MIN(YEAR($C$3)*12+MONTH($C$3),YEAR($I87)*12+MONTH($I87))-(YEAR($H87)*12+MONTH($H87))+1))</f>
        <v/>
      </c>
      <c r="M87" s="62">
        <f>IF($J87="",0,$K87*MAX(0,MIN(YEAR($C$3)*12+MONTH($C$3)-1,YEAR($I87)*12+MONTH($I87))-(YEAR($H87)*12+MONTH($H87))+1))</f>
        <v/>
      </c>
      <c r="N87" s="62">
        <f>IF(OR($J87="",$B87=""),0,IF(YEAR($B87)*12+MONTH($B87)&lt;=YEAR($C$3)*12+MONTH($C$3),$G87,0))</f>
        <v/>
      </c>
      <c r="O87" s="62">
        <f>IF(OR($J87="",$B87=""),0,IF(YEAR($B87)*12+MONTH($B87)&lt;=YEAR($C$3)*12+MONTH($C$3)-1,$G87,0))</f>
        <v/>
      </c>
      <c r="P87" s="62">
        <f>$M87-$O87</f>
        <v/>
      </c>
      <c r="Q87" s="62">
        <f>($L87-$M87)-($N87-$O87)</f>
        <v/>
      </c>
      <c r="R87" s="62">
        <f>$L87-$N87</f>
        <v/>
      </c>
    </row>
    <row r="88">
      <c r="A88" s="59">
        <f>ROW()-5</f>
        <v/>
      </c>
      <c r="B88" s="60">
        <f>IFERROR(INDEX(tbl_Finance[Date],$A88),"")</f>
        <v/>
      </c>
      <c r="C88" s="61">
        <f>IFERROR(INDEX(tbl_Finance[Xero Invoice No],$A88),"")</f>
        <v/>
      </c>
      <c r="D88" s="61">
        <f>IFERROR(INDEX(tbl_Finance[Client],$A88),"")</f>
        <v/>
      </c>
      <c r="E88" s="61">
        <f>IFERROR(INDEX(tbl_Finance[Job Number],$A88),"")</f>
        <v/>
      </c>
      <c r="F88" s="61">
        <f>IFERROR(INDEX(tbl_Finance[Cost Centre],$A88),"")</f>
        <v/>
      </c>
      <c r="G88" s="62">
        <f>IFERROR(INDEX(tbl_Finance[Ex GST],$A88),"")</f>
        <v/>
      </c>
      <c r="H88" s="60">
        <f>IFERROR(INDEX(tbl_Finance[Defer Start],$A88),"")</f>
        <v/>
      </c>
      <c r="I88" s="60">
        <f>IFERROR(INDEX(tbl_Finance[Defer End],$A88),"")</f>
        <v/>
      </c>
      <c r="J88" s="59">
        <f>IF(OR($H88="",$I88="",$G88=""),"",MAX(1,(YEAR($I88)-YEAR($H88))*12+MONTH($I88)-MONTH($H88)+1))</f>
        <v/>
      </c>
      <c r="K88" s="62">
        <f>IF($J88="","",$G88/$J88)</f>
        <v/>
      </c>
      <c r="L88" s="62">
        <f>IF($J88="",0,$K88*MAX(0,MIN(YEAR($C$3)*12+MONTH($C$3),YEAR($I88)*12+MONTH($I88))-(YEAR($H88)*12+MONTH($H88))+1))</f>
        <v/>
      </c>
      <c r="M88" s="62">
        <f>IF($J88="",0,$K88*MAX(0,MIN(YEAR($C$3)*12+MONTH($C$3)-1,YEAR($I88)*12+MONTH($I88))-(YEAR($H88)*12+MONTH($H88))+1))</f>
        <v/>
      </c>
      <c r="N88" s="62">
        <f>IF(OR($J88="",$B88=""),0,IF(YEAR($B88)*12+MONTH($B88)&lt;=YEAR($C$3)*12+MONTH($C$3),$G88,0))</f>
        <v/>
      </c>
      <c r="O88" s="62">
        <f>IF(OR($J88="",$B88=""),0,IF(YEAR($B88)*12+MONTH($B88)&lt;=YEAR($C$3)*12+MONTH($C$3)-1,$G88,0))</f>
        <v/>
      </c>
      <c r="P88" s="62">
        <f>$M88-$O88</f>
        <v/>
      </c>
      <c r="Q88" s="62">
        <f>($L88-$M88)-($N88-$O88)</f>
        <v/>
      </c>
      <c r="R88" s="62">
        <f>$L88-$N88</f>
        <v/>
      </c>
    </row>
    <row r="89">
      <c r="A89" s="59">
        <f>ROW()-5</f>
        <v/>
      </c>
      <c r="B89" s="60">
        <f>IFERROR(INDEX(tbl_Finance[Date],$A89),"")</f>
        <v/>
      </c>
      <c r="C89" s="61">
        <f>IFERROR(INDEX(tbl_Finance[Xero Invoice No],$A89),"")</f>
        <v/>
      </c>
      <c r="D89" s="61">
        <f>IFERROR(INDEX(tbl_Finance[Client],$A89),"")</f>
        <v/>
      </c>
      <c r="E89" s="61">
        <f>IFERROR(INDEX(tbl_Finance[Job Number],$A89),"")</f>
        <v/>
      </c>
      <c r="F89" s="61">
        <f>IFERROR(INDEX(tbl_Finance[Cost Centre],$A89),"")</f>
        <v/>
      </c>
      <c r="G89" s="62">
        <f>IFERROR(INDEX(tbl_Finance[Ex GST],$A89),"")</f>
        <v/>
      </c>
      <c r="H89" s="60">
        <f>IFERROR(INDEX(tbl_Finance[Defer Start],$A89),"")</f>
        <v/>
      </c>
      <c r="I89" s="60">
        <f>IFERROR(INDEX(tbl_Finance[Defer End],$A89),"")</f>
        <v/>
      </c>
      <c r="J89" s="59">
        <f>IF(OR($H89="",$I89="",$G89=""),"",MAX(1,(YEAR($I89)-YEAR($H89))*12+MONTH($I89)-MONTH($H89)+1))</f>
        <v/>
      </c>
      <c r="K89" s="62">
        <f>IF($J89="","",$G89/$J89)</f>
        <v/>
      </c>
      <c r="L89" s="62">
        <f>IF($J89="",0,$K89*MAX(0,MIN(YEAR($C$3)*12+MONTH($C$3),YEAR($I89)*12+MONTH($I89))-(YEAR($H89)*12+MONTH($H89))+1))</f>
        <v/>
      </c>
      <c r="M89" s="62">
        <f>IF($J89="",0,$K89*MAX(0,MIN(YEAR($C$3)*12+MONTH($C$3)-1,YEAR($I89)*12+MONTH($I89))-(YEAR($H89)*12+MONTH($H89))+1))</f>
        <v/>
      </c>
      <c r="N89" s="62">
        <f>IF(OR($J89="",$B89=""),0,IF(YEAR($B89)*12+MONTH($B89)&lt;=YEAR($C$3)*12+MONTH($C$3),$G89,0))</f>
        <v/>
      </c>
      <c r="O89" s="62">
        <f>IF(OR($J89="",$B89=""),0,IF(YEAR($B89)*12+MONTH($B89)&lt;=YEAR($C$3)*12+MONTH($C$3)-1,$G89,0))</f>
        <v/>
      </c>
      <c r="P89" s="62">
        <f>$M89-$O89</f>
        <v/>
      </c>
      <c r="Q89" s="62">
        <f>($L89-$M89)-($N89-$O89)</f>
        <v/>
      </c>
      <c r="R89" s="62">
        <f>$L89-$N89</f>
        <v/>
      </c>
    </row>
    <row r="90">
      <c r="A90" s="59">
        <f>ROW()-5</f>
        <v/>
      </c>
      <c r="B90" s="60">
        <f>IFERROR(INDEX(tbl_Finance[Date],$A90),"")</f>
        <v/>
      </c>
      <c r="C90" s="61">
        <f>IFERROR(INDEX(tbl_Finance[Xero Invoice No],$A90),"")</f>
        <v/>
      </c>
      <c r="D90" s="61">
        <f>IFERROR(INDEX(tbl_Finance[Client],$A90),"")</f>
        <v/>
      </c>
      <c r="E90" s="61">
        <f>IFERROR(INDEX(tbl_Finance[Job Number],$A90),"")</f>
        <v/>
      </c>
      <c r="F90" s="61">
        <f>IFERROR(INDEX(tbl_Finance[Cost Centre],$A90),"")</f>
        <v/>
      </c>
      <c r="G90" s="62">
        <f>IFERROR(INDEX(tbl_Finance[Ex GST],$A90),"")</f>
        <v/>
      </c>
      <c r="H90" s="60">
        <f>IFERROR(INDEX(tbl_Finance[Defer Start],$A90),"")</f>
        <v/>
      </c>
      <c r="I90" s="60">
        <f>IFERROR(INDEX(tbl_Finance[Defer End],$A90),"")</f>
        <v/>
      </c>
      <c r="J90" s="59">
        <f>IF(OR($H90="",$I90="",$G90=""),"",MAX(1,(YEAR($I90)-YEAR($H90))*12+MONTH($I90)-MONTH($H90)+1))</f>
        <v/>
      </c>
      <c r="K90" s="62">
        <f>IF($J90="","",$G90/$J90)</f>
        <v/>
      </c>
      <c r="L90" s="62">
        <f>IF($J90="",0,$K90*MAX(0,MIN(YEAR($C$3)*12+MONTH($C$3),YEAR($I90)*12+MONTH($I90))-(YEAR($H90)*12+MONTH($H90))+1))</f>
        <v/>
      </c>
      <c r="M90" s="62">
        <f>IF($J90="",0,$K90*MAX(0,MIN(YEAR($C$3)*12+MONTH($C$3)-1,YEAR($I90)*12+MONTH($I90))-(YEAR($H90)*12+MONTH($H90))+1))</f>
        <v/>
      </c>
      <c r="N90" s="62">
        <f>IF(OR($J90="",$B90=""),0,IF(YEAR($B90)*12+MONTH($B90)&lt;=YEAR($C$3)*12+MONTH($C$3),$G90,0))</f>
        <v/>
      </c>
      <c r="O90" s="62">
        <f>IF(OR($J90="",$B90=""),0,IF(YEAR($B90)*12+MONTH($B90)&lt;=YEAR($C$3)*12+MONTH($C$3)-1,$G90,0))</f>
        <v/>
      </c>
      <c r="P90" s="62">
        <f>$M90-$O90</f>
        <v/>
      </c>
      <c r="Q90" s="62">
        <f>($L90-$M90)-($N90-$O90)</f>
        <v/>
      </c>
      <c r="R90" s="62">
        <f>$L90-$N90</f>
        <v/>
      </c>
    </row>
    <row r="91">
      <c r="A91" s="59">
        <f>ROW()-5</f>
        <v/>
      </c>
      <c r="B91" s="60">
        <f>IFERROR(INDEX(tbl_Finance[Date],$A91),"")</f>
        <v/>
      </c>
      <c r="C91" s="61">
        <f>IFERROR(INDEX(tbl_Finance[Xero Invoice No],$A91),"")</f>
        <v/>
      </c>
      <c r="D91" s="61">
        <f>IFERROR(INDEX(tbl_Finance[Client],$A91),"")</f>
        <v/>
      </c>
      <c r="E91" s="61">
        <f>IFERROR(INDEX(tbl_Finance[Job Number],$A91),"")</f>
        <v/>
      </c>
      <c r="F91" s="61">
        <f>IFERROR(INDEX(tbl_Finance[Cost Centre],$A91),"")</f>
        <v/>
      </c>
      <c r="G91" s="62">
        <f>IFERROR(INDEX(tbl_Finance[Ex GST],$A91),"")</f>
        <v/>
      </c>
      <c r="H91" s="60">
        <f>IFERROR(INDEX(tbl_Finance[Defer Start],$A91),"")</f>
        <v/>
      </c>
      <c r="I91" s="60">
        <f>IFERROR(INDEX(tbl_Finance[Defer End],$A91),"")</f>
        <v/>
      </c>
      <c r="J91" s="59">
        <f>IF(OR($H91="",$I91="",$G91=""),"",MAX(1,(YEAR($I91)-YEAR($H91))*12+MONTH($I91)-MONTH($H91)+1))</f>
        <v/>
      </c>
      <c r="K91" s="62">
        <f>IF($J91="","",$G91/$J91)</f>
        <v/>
      </c>
      <c r="L91" s="62">
        <f>IF($J91="",0,$K91*MAX(0,MIN(YEAR($C$3)*12+MONTH($C$3),YEAR($I91)*12+MONTH($I91))-(YEAR($H91)*12+MONTH($H91))+1))</f>
        <v/>
      </c>
      <c r="M91" s="62">
        <f>IF($J91="",0,$K91*MAX(0,MIN(YEAR($C$3)*12+MONTH($C$3)-1,YEAR($I91)*12+MONTH($I91))-(YEAR($H91)*12+MONTH($H91))+1))</f>
        <v/>
      </c>
      <c r="N91" s="62">
        <f>IF(OR($J91="",$B91=""),0,IF(YEAR($B91)*12+MONTH($B91)&lt;=YEAR($C$3)*12+MONTH($C$3),$G91,0))</f>
        <v/>
      </c>
      <c r="O91" s="62">
        <f>IF(OR($J91="",$B91=""),0,IF(YEAR($B91)*12+MONTH($B91)&lt;=YEAR($C$3)*12+MONTH($C$3)-1,$G91,0))</f>
        <v/>
      </c>
      <c r="P91" s="62">
        <f>$M91-$O91</f>
        <v/>
      </c>
      <c r="Q91" s="62">
        <f>($L91-$M91)-($N91-$O91)</f>
        <v/>
      </c>
      <c r="R91" s="62">
        <f>$L91-$N91</f>
        <v/>
      </c>
    </row>
    <row r="92">
      <c r="A92" s="59">
        <f>ROW()-5</f>
        <v/>
      </c>
      <c r="B92" s="60">
        <f>IFERROR(INDEX(tbl_Finance[Date],$A92),"")</f>
        <v/>
      </c>
      <c r="C92" s="61">
        <f>IFERROR(INDEX(tbl_Finance[Xero Invoice No],$A92),"")</f>
        <v/>
      </c>
      <c r="D92" s="61">
        <f>IFERROR(INDEX(tbl_Finance[Client],$A92),"")</f>
        <v/>
      </c>
      <c r="E92" s="61">
        <f>IFERROR(INDEX(tbl_Finance[Job Number],$A92),"")</f>
        <v/>
      </c>
      <c r="F92" s="61">
        <f>IFERROR(INDEX(tbl_Finance[Cost Centre],$A92),"")</f>
        <v/>
      </c>
      <c r="G92" s="62">
        <f>IFERROR(INDEX(tbl_Finance[Ex GST],$A92),"")</f>
        <v/>
      </c>
      <c r="H92" s="60">
        <f>IFERROR(INDEX(tbl_Finance[Defer Start],$A92),"")</f>
        <v/>
      </c>
      <c r="I92" s="60">
        <f>IFERROR(INDEX(tbl_Finance[Defer End],$A92),"")</f>
        <v/>
      </c>
      <c r="J92" s="59">
        <f>IF(OR($H92="",$I92="",$G92=""),"",MAX(1,(YEAR($I92)-YEAR($H92))*12+MONTH($I92)-MONTH($H92)+1))</f>
        <v/>
      </c>
      <c r="K92" s="62">
        <f>IF($J92="","",$G92/$J92)</f>
        <v/>
      </c>
      <c r="L92" s="62">
        <f>IF($J92="",0,$K92*MAX(0,MIN(YEAR($C$3)*12+MONTH($C$3),YEAR($I92)*12+MONTH($I92))-(YEAR($H92)*12+MONTH($H92))+1))</f>
        <v/>
      </c>
      <c r="M92" s="62">
        <f>IF($J92="",0,$K92*MAX(0,MIN(YEAR($C$3)*12+MONTH($C$3)-1,YEAR($I92)*12+MONTH($I92))-(YEAR($H92)*12+MONTH($H92))+1))</f>
        <v/>
      </c>
      <c r="N92" s="62">
        <f>IF(OR($J92="",$B92=""),0,IF(YEAR($B92)*12+MONTH($B92)&lt;=YEAR($C$3)*12+MONTH($C$3),$G92,0))</f>
        <v/>
      </c>
      <c r="O92" s="62">
        <f>IF(OR($J92="",$B92=""),0,IF(YEAR($B92)*12+MONTH($B92)&lt;=YEAR($C$3)*12+MONTH($C$3)-1,$G92,0))</f>
        <v/>
      </c>
      <c r="P92" s="62">
        <f>$M92-$O92</f>
        <v/>
      </c>
      <c r="Q92" s="62">
        <f>($L92-$M92)-($N92-$O92)</f>
        <v/>
      </c>
      <c r="R92" s="62">
        <f>$L92-$N92</f>
        <v/>
      </c>
    </row>
    <row r="93">
      <c r="A93" s="59">
        <f>ROW()-5</f>
        <v/>
      </c>
      <c r="B93" s="60">
        <f>IFERROR(INDEX(tbl_Finance[Date],$A93),"")</f>
        <v/>
      </c>
      <c r="C93" s="61">
        <f>IFERROR(INDEX(tbl_Finance[Xero Invoice No],$A93),"")</f>
        <v/>
      </c>
      <c r="D93" s="61">
        <f>IFERROR(INDEX(tbl_Finance[Client],$A93),"")</f>
        <v/>
      </c>
      <c r="E93" s="61">
        <f>IFERROR(INDEX(tbl_Finance[Job Number],$A93),"")</f>
        <v/>
      </c>
      <c r="F93" s="61">
        <f>IFERROR(INDEX(tbl_Finance[Cost Centre],$A93),"")</f>
        <v/>
      </c>
      <c r="G93" s="62">
        <f>IFERROR(INDEX(tbl_Finance[Ex GST],$A93),"")</f>
        <v/>
      </c>
      <c r="H93" s="60">
        <f>IFERROR(INDEX(tbl_Finance[Defer Start],$A93),"")</f>
        <v/>
      </c>
      <c r="I93" s="60">
        <f>IFERROR(INDEX(tbl_Finance[Defer End],$A93),"")</f>
        <v/>
      </c>
      <c r="J93" s="59">
        <f>IF(OR($H93="",$I93="",$G93=""),"",MAX(1,(YEAR($I93)-YEAR($H93))*12+MONTH($I93)-MONTH($H93)+1))</f>
        <v/>
      </c>
      <c r="K93" s="62">
        <f>IF($J93="","",$G93/$J93)</f>
        <v/>
      </c>
      <c r="L93" s="62">
        <f>IF($J93="",0,$K93*MAX(0,MIN(YEAR($C$3)*12+MONTH($C$3),YEAR($I93)*12+MONTH($I93))-(YEAR($H93)*12+MONTH($H93))+1))</f>
        <v/>
      </c>
      <c r="M93" s="62">
        <f>IF($J93="",0,$K93*MAX(0,MIN(YEAR($C$3)*12+MONTH($C$3)-1,YEAR($I93)*12+MONTH($I93))-(YEAR($H93)*12+MONTH($H93))+1))</f>
        <v/>
      </c>
      <c r="N93" s="62">
        <f>IF(OR($J93="",$B93=""),0,IF(YEAR($B93)*12+MONTH($B93)&lt;=YEAR($C$3)*12+MONTH($C$3),$G93,0))</f>
        <v/>
      </c>
      <c r="O93" s="62">
        <f>IF(OR($J93="",$B93=""),0,IF(YEAR($B93)*12+MONTH($B93)&lt;=YEAR($C$3)*12+MONTH($C$3)-1,$G93,0))</f>
        <v/>
      </c>
      <c r="P93" s="62">
        <f>$M93-$O93</f>
        <v/>
      </c>
      <c r="Q93" s="62">
        <f>($L93-$M93)-($N93-$O93)</f>
        <v/>
      </c>
      <c r="R93" s="62">
        <f>$L93-$N93</f>
        <v/>
      </c>
    </row>
    <row r="94">
      <c r="A94" s="59">
        <f>ROW()-5</f>
        <v/>
      </c>
      <c r="B94" s="60">
        <f>IFERROR(INDEX(tbl_Finance[Date],$A94),"")</f>
        <v/>
      </c>
      <c r="C94" s="61">
        <f>IFERROR(INDEX(tbl_Finance[Xero Invoice No],$A94),"")</f>
        <v/>
      </c>
      <c r="D94" s="61">
        <f>IFERROR(INDEX(tbl_Finance[Client],$A94),"")</f>
        <v/>
      </c>
      <c r="E94" s="61">
        <f>IFERROR(INDEX(tbl_Finance[Job Number],$A94),"")</f>
        <v/>
      </c>
      <c r="F94" s="61">
        <f>IFERROR(INDEX(tbl_Finance[Cost Centre],$A94),"")</f>
        <v/>
      </c>
      <c r="G94" s="62">
        <f>IFERROR(INDEX(tbl_Finance[Ex GST],$A94),"")</f>
        <v/>
      </c>
      <c r="H94" s="60">
        <f>IFERROR(INDEX(tbl_Finance[Defer Start],$A94),"")</f>
        <v/>
      </c>
      <c r="I94" s="60">
        <f>IFERROR(INDEX(tbl_Finance[Defer End],$A94),"")</f>
        <v/>
      </c>
      <c r="J94" s="59">
        <f>IF(OR($H94="",$I94="",$G94=""),"",MAX(1,(YEAR($I94)-YEAR($H94))*12+MONTH($I94)-MONTH($H94)+1))</f>
        <v/>
      </c>
      <c r="K94" s="62">
        <f>IF($J94="","",$G94/$J94)</f>
        <v/>
      </c>
      <c r="L94" s="62">
        <f>IF($J94="",0,$K94*MAX(0,MIN(YEAR($C$3)*12+MONTH($C$3),YEAR($I94)*12+MONTH($I94))-(YEAR($H94)*12+MONTH($H94))+1))</f>
        <v/>
      </c>
      <c r="M94" s="62">
        <f>IF($J94="",0,$K94*MAX(0,MIN(YEAR($C$3)*12+MONTH($C$3)-1,YEAR($I94)*12+MONTH($I94))-(YEAR($H94)*12+MONTH($H94))+1))</f>
        <v/>
      </c>
      <c r="N94" s="62">
        <f>IF(OR($J94="",$B94=""),0,IF(YEAR($B94)*12+MONTH($B94)&lt;=YEAR($C$3)*12+MONTH($C$3),$G94,0))</f>
        <v/>
      </c>
      <c r="O94" s="62">
        <f>IF(OR($J94="",$B94=""),0,IF(YEAR($B94)*12+MONTH($B94)&lt;=YEAR($C$3)*12+MONTH($C$3)-1,$G94,0))</f>
        <v/>
      </c>
      <c r="P94" s="62">
        <f>$M94-$O94</f>
        <v/>
      </c>
      <c r="Q94" s="62">
        <f>($L94-$M94)-($N94-$O94)</f>
        <v/>
      </c>
      <c r="R94" s="62">
        <f>$L94-$N94</f>
        <v/>
      </c>
    </row>
    <row r="95">
      <c r="A95" s="59">
        <f>ROW()-5</f>
        <v/>
      </c>
      <c r="B95" s="60">
        <f>IFERROR(INDEX(tbl_Finance[Date],$A95),"")</f>
        <v/>
      </c>
      <c r="C95" s="61">
        <f>IFERROR(INDEX(tbl_Finance[Xero Invoice No],$A95),"")</f>
        <v/>
      </c>
      <c r="D95" s="61">
        <f>IFERROR(INDEX(tbl_Finance[Client],$A95),"")</f>
        <v/>
      </c>
      <c r="E95" s="61">
        <f>IFERROR(INDEX(tbl_Finance[Job Number],$A95),"")</f>
        <v/>
      </c>
      <c r="F95" s="61">
        <f>IFERROR(INDEX(tbl_Finance[Cost Centre],$A95),"")</f>
        <v/>
      </c>
      <c r="G95" s="62">
        <f>IFERROR(INDEX(tbl_Finance[Ex GST],$A95),"")</f>
        <v/>
      </c>
      <c r="H95" s="60">
        <f>IFERROR(INDEX(tbl_Finance[Defer Start],$A95),"")</f>
        <v/>
      </c>
      <c r="I95" s="60">
        <f>IFERROR(INDEX(tbl_Finance[Defer End],$A95),"")</f>
        <v/>
      </c>
      <c r="J95" s="59">
        <f>IF(OR($H95="",$I95="",$G95=""),"",MAX(1,(YEAR($I95)-YEAR($H95))*12+MONTH($I95)-MONTH($H95)+1))</f>
        <v/>
      </c>
      <c r="K95" s="62">
        <f>IF($J95="","",$G95/$J95)</f>
        <v/>
      </c>
      <c r="L95" s="62">
        <f>IF($J95="",0,$K95*MAX(0,MIN(YEAR($C$3)*12+MONTH($C$3),YEAR($I95)*12+MONTH($I95))-(YEAR($H95)*12+MONTH($H95))+1))</f>
        <v/>
      </c>
      <c r="M95" s="62">
        <f>IF($J95="",0,$K95*MAX(0,MIN(YEAR($C$3)*12+MONTH($C$3)-1,YEAR($I95)*12+MONTH($I95))-(YEAR($H95)*12+MONTH($H95))+1))</f>
        <v/>
      </c>
      <c r="N95" s="62">
        <f>IF(OR($J95="",$B95=""),0,IF(YEAR($B95)*12+MONTH($B95)&lt;=YEAR($C$3)*12+MONTH($C$3),$G95,0))</f>
        <v/>
      </c>
      <c r="O95" s="62">
        <f>IF(OR($J95="",$B95=""),0,IF(YEAR($B95)*12+MONTH($B95)&lt;=YEAR($C$3)*12+MONTH($C$3)-1,$G95,0))</f>
        <v/>
      </c>
      <c r="P95" s="62">
        <f>$M95-$O95</f>
        <v/>
      </c>
      <c r="Q95" s="62">
        <f>($L95-$M95)-($N95-$O95)</f>
        <v/>
      </c>
      <c r="R95" s="62">
        <f>$L95-$N95</f>
        <v/>
      </c>
    </row>
    <row r="96">
      <c r="A96" s="59">
        <f>ROW()-5</f>
        <v/>
      </c>
      <c r="B96" s="60">
        <f>IFERROR(INDEX(tbl_Finance[Date],$A96),"")</f>
        <v/>
      </c>
      <c r="C96" s="61">
        <f>IFERROR(INDEX(tbl_Finance[Xero Invoice No],$A96),"")</f>
        <v/>
      </c>
      <c r="D96" s="61">
        <f>IFERROR(INDEX(tbl_Finance[Client],$A96),"")</f>
        <v/>
      </c>
      <c r="E96" s="61">
        <f>IFERROR(INDEX(tbl_Finance[Job Number],$A96),"")</f>
        <v/>
      </c>
      <c r="F96" s="61">
        <f>IFERROR(INDEX(tbl_Finance[Cost Centre],$A96),"")</f>
        <v/>
      </c>
      <c r="G96" s="62">
        <f>IFERROR(INDEX(tbl_Finance[Ex GST],$A96),"")</f>
        <v/>
      </c>
      <c r="H96" s="60">
        <f>IFERROR(INDEX(tbl_Finance[Defer Start],$A96),"")</f>
        <v/>
      </c>
      <c r="I96" s="60">
        <f>IFERROR(INDEX(tbl_Finance[Defer End],$A96),"")</f>
        <v/>
      </c>
      <c r="J96" s="59">
        <f>IF(OR($H96="",$I96="",$G96=""),"",MAX(1,(YEAR($I96)-YEAR($H96))*12+MONTH($I96)-MONTH($H96)+1))</f>
        <v/>
      </c>
      <c r="K96" s="62">
        <f>IF($J96="","",$G96/$J96)</f>
        <v/>
      </c>
      <c r="L96" s="62">
        <f>IF($J96="",0,$K96*MAX(0,MIN(YEAR($C$3)*12+MONTH($C$3),YEAR($I96)*12+MONTH($I96))-(YEAR($H96)*12+MONTH($H96))+1))</f>
        <v/>
      </c>
      <c r="M96" s="62">
        <f>IF($J96="",0,$K96*MAX(0,MIN(YEAR($C$3)*12+MONTH($C$3)-1,YEAR($I96)*12+MONTH($I96))-(YEAR($H96)*12+MONTH($H96))+1))</f>
        <v/>
      </c>
      <c r="N96" s="62">
        <f>IF(OR($J96="",$B96=""),0,IF(YEAR($B96)*12+MONTH($B96)&lt;=YEAR($C$3)*12+MONTH($C$3),$G96,0))</f>
        <v/>
      </c>
      <c r="O96" s="62">
        <f>IF(OR($J96="",$B96=""),0,IF(YEAR($B96)*12+MONTH($B96)&lt;=YEAR($C$3)*12+MONTH($C$3)-1,$G96,0))</f>
        <v/>
      </c>
      <c r="P96" s="62">
        <f>$M96-$O96</f>
        <v/>
      </c>
      <c r="Q96" s="62">
        <f>($L96-$M96)-($N96-$O96)</f>
        <v/>
      </c>
      <c r="R96" s="62">
        <f>$L96-$N96</f>
        <v/>
      </c>
    </row>
    <row r="97">
      <c r="A97" s="59">
        <f>ROW()-5</f>
        <v/>
      </c>
      <c r="B97" s="60">
        <f>IFERROR(INDEX(tbl_Finance[Date],$A97),"")</f>
        <v/>
      </c>
      <c r="C97" s="61">
        <f>IFERROR(INDEX(tbl_Finance[Xero Invoice No],$A97),"")</f>
        <v/>
      </c>
      <c r="D97" s="61">
        <f>IFERROR(INDEX(tbl_Finance[Client],$A97),"")</f>
        <v/>
      </c>
      <c r="E97" s="61">
        <f>IFERROR(INDEX(tbl_Finance[Job Number],$A97),"")</f>
        <v/>
      </c>
      <c r="F97" s="61">
        <f>IFERROR(INDEX(tbl_Finance[Cost Centre],$A97),"")</f>
        <v/>
      </c>
      <c r="G97" s="62">
        <f>IFERROR(INDEX(tbl_Finance[Ex GST],$A97),"")</f>
        <v/>
      </c>
      <c r="H97" s="60">
        <f>IFERROR(INDEX(tbl_Finance[Defer Start],$A97),"")</f>
        <v/>
      </c>
      <c r="I97" s="60">
        <f>IFERROR(INDEX(tbl_Finance[Defer End],$A97),"")</f>
        <v/>
      </c>
      <c r="J97" s="59">
        <f>IF(OR($H97="",$I97="",$G97=""),"",MAX(1,(YEAR($I97)-YEAR($H97))*12+MONTH($I97)-MONTH($H97)+1))</f>
        <v/>
      </c>
      <c r="K97" s="62">
        <f>IF($J97="","",$G97/$J97)</f>
        <v/>
      </c>
      <c r="L97" s="62">
        <f>IF($J97="",0,$K97*MAX(0,MIN(YEAR($C$3)*12+MONTH($C$3),YEAR($I97)*12+MONTH($I97))-(YEAR($H97)*12+MONTH($H97))+1))</f>
        <v/>
      </c>
      <c r="M97" s="62">
        <f>IF($J97="",0,$K97*MAX(0,MIN(YEAR($C$3)*12+MONTH($C$3)-1,YEAR($I97)*12+MONTH($I97))-(YEAR($H97)*12+MONTH($H97))+1))</f>
        <v/>
      </c>
      <c r="N97" s="62">
        <f>IF(OR($J97="",$B97=""),0,IF(YEAR($B97)*12+MONTH($B97)&lt;=YEAR($C$3)*12+MONTH($C$3),$G97,0))</f>
        <v/>
      </c>
      <c r="O97" s="62">
        <f>IF(OR($J97="",$B97=""),0,IF(YEAR($B97)*12+MONTH($B97)&lt;=YEAR($C$3)*12+MONTH($C$3)-1,$G97,0))</f>
        <v/>
      </c>
      <c r="P97" s="62">
        <f>$M97-$O97</f>
        <v/>
      </c>
      <c r="Q97" s="62">
        <f>($L97-$M97)-($N97-$O97)</f>
        <v/>
      </c>
      <c r="R97" s="62">
        <f>$L97-$N97</f>
        <v/>
      </c>
    </row>
    <row r="98">
      <c r="A98" s="59">
        <f>ROW()-5</f>
        <v/>
      </c>
      <c r="B98" s="60">
        <f>IFERROR(INDEX(tbl_Finance[Date],$A98),"")</f>
        <v/>
      </c>
      <c r="C98" s="61">
        <f>IFERROR(INDEX(tbl_Finance[Xero Invoice No],$A98),"")</f>
        <v/>
      </c>
      <c r="D98" s="61">
        <f>IFERROR(INDEX(tbl_Finance[Client],$A98),"")</f>
        <v/>
      </c>
      <c r="E98" s="61">
        <f>IFERROR(INDEX(tbl_Finance[Job Number],$A98),"")</f>
        <v/>
      </c>
      <c r="F98" s="61">
        <f>IFERROR(INDEX(tbl_Finance[Cost Centre],$A98),"")</f>
        <v/>
      </c>
      <c r="G98" s="62">
        <f>IFERROR(INDEX(tbl_Finance[Ex GST],$A98),"")</f>
        <v/>
      </c>
      <c r="H98" s="60">
        <f>IFERROR(INDEX(tbl_Finance[Defer Start],$A98),"")</f>
        <v/>
      </c>
      <c r="I98" s="60">
        <f>IFERROR(INDEX(tbl_Finance[Defer End],$A98),"")</f>
        <v/>
      </c>
      <c r="J98" s="59">
        <f>IF(OR($H98="",$I98="",$G98=""),"",MAX(1,(YEAR($I98)-YEAR($H98))*12+MONTH($I98)-MONTH($H98)+1))</f>
        <v/>
      </c>
      <c r="K98" s="62">
        <f>IF($J98="","",$G98/$J98)</f>
        <v/>
      </c>
      <c r="L98" s="62">
        <f>IF($J98="",0,$K98*MAX(0,MIN(YEAR($C$3)*12+MONTH($C$3),YEAR($I98)*12+MONTH($I98))-(YEAR($H98)*12+MONTH($H98))+1))</f>
        <v/>
      </c>
      <c r="M98" s="62">
        <f>IF($J98="",0,$K98*MAX(0,MIN(YEAR($C$3)*12+MONTH($C$3)-1,YEAR($I98)*12+MONTH($I98))-(YEAR($H98)*12+MONTH($H98))+1))</f>
        <v/>
      </c>
      <c r="N98" s="62">
        <f>IF(OR($J98="",$B98=""),0,IF(YEAR($B98)*12+MONTH($B98)&lt;=YEAR($C$3)*12+MONTH($C$3),$G98,0))</f>
        <v/>
      </c>
      <c r="O98" s="62">
        <f>IF(OR($J98="",$B98=""),0,IF(YEAR($B98)*12+MONTH($B98)&lt;=YEAR($C$3)*12+MONTH($C$3)-1,$G98,0))</f>
        <v/>
      </c>
      <c r="P98" s="62">
        <f>$M98-$O98</f>
        <v/>
      </c>
      <c r="Q98" s="62">
        <f>($L98-$M98)-($N98-$O98)</f>
        <v/>
      </c>
      <c r="R98" s="62">
        <f>$L98-$N98</f>
        <v/>
      </c>
    </row>
    <row r="99">
      <c r="A99" s="59">
        <f>ROW()-5</f>
        <v/>
      </c>
      <c r="B99" s="60">
        <f>IFERROR(INDEX(tbl_Finance[Date],$A99),"")</f>
        <v/>
      </c>
      <c r="C99" s="61">
        <f>IFERROR(INDEX(tbl_Finance[Xero Invoice No],$A99),"")</f>
        <v/>
      </c>
      <c r="D99" s="61">
        <f>IFERROR(INDEX(tbl_Finance[Client],$A99),"")</f>
        <v/>
      </c>
      <c r="E99" s="61">
        <f>IFERROR(INDEX(tbl_Finance[Job Number],$A99),"")</f>
        <v/>
      </c>
      <c r="F99" s="61">
        <f>IFERROR(INDEX(tbl_Finance[Cost Centre],$A99),"")</f>
        <v/>
      </c>
      <c r="G99" s="62">
        <f>IFERROR(INDEX(tbl_Finance[Ex GST],$A99),"")</f>
        <v/>
      </c>
      <c r="H99" s="60">
        <f>IFERROR(INDEX(tbl_Finance[Defer Start],$A99),"")</f>
        <v/>
      </c>
      <c r="I99" s="60">
        <f>IFERROR(INDEX(tbl_Finance[Defer End],$A99),"")</f>
        <v/>
      </c>
      <c r="J99" s="59">
        <f>IF(OR($H99="",$I99="",$G99=""),"",MAX(1,(YEAR($I99)-YEAR($H99))*12+MONTH($I99)-MONTH($H99)+1))</f>
        <v/>
      </c>
      <c r="K99" s="62">
        <f>IF($J99="","",$G99/$J99)</f>
        <v/>
      </c>
      <c r="L99" s="62">
        <f>IF($J99="",0,$K99*MAX(0,MIN(YEAR($C$3)*12+MONTH($C$3),YEAR($I99)*12+MONTH($I99))-(YEAR($H99)*12+MONTH($H99))+1))</f>
        <v/>
      </c>
      <c r="M99" s="62">
        <f>IF($J99="",0,$K99*MAX(0,MIN(YEAR($C$3)*12+MONTH($C$3)-1,YEAR($I99)*12+MONTH($I99))-(YEAR($H99)*12+MONTH($H99))+1))</f>
        <v/>
      </c>
      <c r="N99" s="62">
        <f>IF(OR($J99="",$B99=""),0,IF(YEAR($B99)*12+MONTH($B99)&lt;=YEAR($C$3)*12+MONTH($C$3),$G99,0))</f>
        <v/>
      </c>
      <c r="O99" s="62">
        <f>IF(OR($J99="",$B99=""),0,IF(YEAR($B99)*12+MONTH($B99)&lt;=YEAR($C$3)*12+MONTH($C$3)-1,$G99,0))</f>
        <v/>
      </c>
      <c r="P99" s="62">
        <f>$M99-$O99</f>
        <v/>
      </c>
      <c r="Q99" s="62">
        <f>($L99-$M99)-($N99-$O99)</f>
        <v/>
      </c>
      <c r="R99" s="62">
        <f>$L99-$N99</f>
        <v/>
      </c>
    </row>
    <row r="100">
      <c r="A100" s="59">
        <f>ROW()-5</f>
        <v/>
      </c>
      <c r="B100" s="60">
        <f>IFERROR(INDEX(tbl_Finance[Date],$A100),"")</f>
        <v/>
      </c>
      <c r="C100" s="61">
        <f>IFERROR(INDEX(tbl_Finance[Xero Invoice No],$A100),"")</f>
        <v/>
      </c>
      <c r="D100" s="61">
        <f>IFERROR(INDEX(tbl_Finance[Client],$A100),"")</f>
        <v/>
      </c>
      <c r="E100" s="61">
        <f>IFERROR(INDEX(tbl_Finance[Job Number],$A100),"")</f>
        <v/>
      </c>
      <c r="F100" s="61">
        <f>IFERROR(INDEX(tbl_Finance[Cost Centre],$A100),"")</f>
        <v/>
      </c>
      <c r="G100" s="62">
        <f>IFERROR(INDEX(tbl_Finance[Ex GST],$A100),"")</f>
        <v/>
      </c>
      <c r="H100" s="60">
        <f>IFERROR(INDEX(tbl_Finance[Defer Start],$A100),"")</f>
        <v/>
      </c>
      <c r="I100" s="60">
        <f>IFERROR(INDEX(tbl_Finance[Defer End],$A100),"")</f>
        <v/>
      </c>
      <c r="J100" s="59">
        <f>IF(OR($H100="",$I100="",$G100=""),"",MAX(1,(YEAR($I100)-YEAR($H100))*12+MONTH($I100)-MONTH($H100)+1))</f>
        <v/>
      </c>
      <c r="K100" s="62">
        <f>IF($J100="","",$G100/$J100)</f>
        <v/>
      </c>
      <c r="L100" s="62">
        <f>IF($J100="",0,$K100*MAX(0,MIN(YEAR($C$3)*12+MONTH($C$3),YEAR($I100)*12+MONTH($I100))-(YEAR($H100)*12+MONTH($H100))+1))</f>
        <v/>
      </c>
      <c r="M100" s="62">
        <f>IF($J100="",0,$K100*MAX(0,MIN(YEAR($C$3)*12+MONTH($C$3)-1,YEAR($I100)*12+MONTH($I100))-(YEAR($H100)*12+MONTH($H100))+1))</f>
        <v/>
      </c>
      <c r="N100" s="62">
        <f>IF(OR($J100="",$B100=""),0,IF(YEAR($B100)*12+MONTH($B100)&lt;=YEAR($C$3)*12+MONTH($C$3),$G100,0))</f>
        <v/>
      </c>
      <c r="O100" s="62">
        <f>IF(OR($J100="",$B100=""),0,IF(YEAR($B100)*12+MONTH($B100)&lt;=YEAR($C$3)*12+MONTH($C$3)-1,$G100,0))</f>
        <v/>
      </c>
      <c r="P100" s="62">
        <f>$M100-$O100</f>
        <v/>
      </c>
      <c r="Q100" s="62">
        <f>($L100-$M100)-($N100-$O100)</f>
        <v/>
      </c>
      <c r="R100" s="62">
        <f>$L100-$N100</f>
        <v/>
      </c>
    </row>
    <row r="101">
      <c r="A101" s="59">
        <f>ROW()-5</f>
        <v/>
      </c>
      <c r="B101" s="60">
        <f>IFERROR(INDEX(tbl_Finance[Date],$A101),"")</f>
        <v/>
      </c>
      <c r="C101" s="61">
        <f>IFERROR(INDEX(tbl_Finance[Xero Invoice No],$A101),"")</f>
        <v/>
      </c>
      <c r="D101" s="61">
        <f>IFERROR(INDEX(tbl_Finance[Client],$A101),"")</f>
        <v/>
      </c>
      <c r="E101" s="61">
        <f>IFERROR(INDEX(tbl_Finance[Job Number],$A101),"")</f>
        <v/>
      </c>
      <c r="F101" s="61">
        <f>IFERROR(INDEX(tbl_Finance[Cost Centre],$A101),"")</f>
        <v/>
      </c>
      <c r="G101" s="62">
        <f>IFERROR(INDEX(tbl_Finance[Ex GST],$A101),"")</f>
        <v/>
      </c>
      <c r="H101" s="60">
        <f>IFERROR(INDEX(tbl_Finance[Defer Start],$A101),"")</f>
        <v/>
      </c>
      <c r="I101" s="60">
        <f>IFERROR(INDEX(tbl_Finance[Defer End],$A101),"")</f>
        <v/>
      </c>
      <c r="J101" s="59">
        <f>IF(OR($H101="",$I101="",$G101=""),"",MAX(1,(YEAR($I101)-YEAR($H101))*12+MONTH($I101)-MONTH($H101)+1))</f>
        <v/>
      </c>
      <c r="K101" s="62">
        <f>IF($J101="","",$G101/$J101)</f>
        <v/>
      </c>
      <c r="L101" s="62">
        <f>IF($J101="",0,$K101*MAX(0,MIN(YEAR($C$3)*12+MONTH($C$3),YEAR($I101)*12+MONTH($I101))-(YEAR($H101)*12+MONTH($H101))+1))</f>
        <v/>
      </c>
      <c r="M101" s="62">
        <f>IF($J101="",0,$K101*MAX(0,MIN(YEAR($C$3)*12+MONTH($C$3)-1,YEAR($I101)*12+MONTH($I101))-(YEAR($H101)*12+MONTH($H101))+1))</f>
        <v/>
      </c>
      <c r="N101" s="62">
        <f>IF(OR($J101="",$B101=""),0,IF(YEAR($B101)*12+MONTH($B101)&lt;=YEAR($C$3)*12+MONTH($C$3),$G101,0))</f>
        <v/>
      </c>
      <c r="O101" s="62">
        <f>IF(OR($J101="",$B101=""),0,IF(YEAR($B101)*12+MONTH($B101)&lt;=YEAR($C$3)*12+MONTH($C$3)-1,$G101,0))</f>
        <v/>
      </c>
      <c r="P101" s="62">
        <f>$M101-$O101</f>
        <v/>
      </c>
      <c r="Q101" s="62">
        <f>($L101-$M101)-($N101-$O101)</f>
        <v/>
      </c>
      <c r="R101" s="62">
        <f>$L101-$N101</f>
        <v/>
      </c>
    </row>
    <row r="102">
      <c r="A102" s="59">
        <f>ROW()-5</f>
        <v/>
      </c>
      <c r="B102" s="60">
        <f>IFERROR(INDEX(tbl_Finance[Date],$A102),"")</f>
        <v/>
      </c>
      <c r="C102" s="61">
        <f>IFERROR(INDEX(tbl_Finance[Xero Invoice No],$A102),"")</f>
        <v/>
      </c>
      <c r="D102" s="61">
        <f>IFERROR(INDEX(tbl_Finance[Client],$A102),"")</f>
        <v/>
      </c>
      <c r="E102" s="61">
        <f>IFERROR(INDEX(tbl_Finance[Job Number],$A102),"")</f>
        <v/>
      </c>
      <c r="F102" s="61">
        <f>IFERROR(INDEX(tbl_Finance[Cost Centre],$A102),"")</f>
        <v/>
      </c>
      <c r="G102" s="62">
        <f>IFERROR(INDEX(tbl_Finance[Ex GST],$A102),"")</f>
        <v/>
      </c>
      <c r="H102" s="60">
        <f>IFERROR(INDEX(tbl_Finance[Defer Start],$A102),"")</f>
        <v/>
      </c>
      <c r="I102" s="60">
        <f>IFERROR(INDEX(tbl_Finance[Defer End],$A102),"")</f>
        <v/>
      </c>
      <c r="J102" s="59">
        <f>IF(OR($H102="",$I102="",$G102=""),"",MAX(1,(YEAR($I102)-YEAR($H102))*12+MONTH($I102)-MONTH($H102)+1))</f>
        <v/>
      </c>
      <c r="K102" s="62">
        <f>IF($J102="","",$G102/$J102)</f>
        <v/>
      </c>
      <c r="L102" s="62">
        <f>IF($J102="",0,$K102*MAX(0,MIN(YEAR($C$3)*12+MONTH($C$3),YEAR($I102)*12+MONTH($I102))-(YEAR($H102)*12+MONTH($H102))+1))</f>
        <v/>
      </c>
      <c r="M102" s="62">
        <f>IF($J102="",0,$K102*MAX(0,MIN(YEAR($C$3)*12+MONTH($C$3)-1,YEAR($I102)*12+MONTH($I102))-(YEAR($H102)*12+MONTH($H102))+1))</f>
        <v/>
      </c>
      <c r="N102" s="62">
        <f>IF(OR($J102="",$B102=""),0,IF(YEAR($B102)*12+MONTH($B102)&lt;=YEAR($C$3)*12+MONTH($C$3),$G102,0))</f>
        <v/>
      </c>
      <c r="O102" s="62">
        <f>IF(OR($J102="",$B102=""),0,IF(YEAR($B102)*12+MONTH($B102)&lt;=YEAR($C$3)*12+MONTH($C$3)-1,$G102,0))</f>
        <v/>
      </c>
      <c r="P102" s="62">
        <f>$M102-$O102</f>
        <v/>
      </c>
      <c r="Q102" s="62">
        <f>($L102-$M102)-($N102-$O102)</f>
        <v/>
      </c>
      <c r="R102" s="62">
        <f>$L102-$N102</f>
        <v/>
      </c>
    </row>
    <row r="103">
      <c r="A103" s="59">
        <f>ROW()-5</f>
        <v/>
      </c>
      <c r="B103" s="60">
        <f>IFERROR(INDEX(tbl_Finance[Date],$A103),"")</f>
        <v/>
      </c>
      <c r="C103" s="61">
        <f>IFERROR(INDEX(tbl_Finance[Xero Invoice No],$A103),"")</f>
        <v/>
      </c>
      <c r="D103" s="61">
        <f>IFERROR(INDEX(tbl_Finance[Client],$A103),"")</f>
        <v/>
      </c>
      <c r="E103" s="61">
        <f>IFERROR(INDEX(tbl_Finance[Job Number],$A103),"")</f>
        <v/>
      </c>
      <c r="F103" s="61">
        <f>IFERROR(INDEX(tbl_Finance[Cost Centre],$A103),"")</f>
        <v/>
      </c>
      <c r="G103" s="62">
        <f>IFERROR(INDEX(tbl_Finance[Ex GST],$A103),"")</f>
        <v/>
      </c>
      <c r="H103" s="60">
        <f>IFERROR(INDEX(tbl_Finance[Defer Start],$A103),"")</f>
        <v/>
      </c>
      <c r="I103" s="60">
        <f>IFERROR(INDEX(tbl_Finance[Defer End],$A103),"")</f>
        <v/>
      </c>
      <c r="J103" s="59">
        <f>IF(OR($H103="",$I103="",$G103=""),"",MAX(1,(YEAR($I103)-YEAR($H103))*12+MONTH($I103)-MONTH($H103)+1))</f>
        <v/>
      </c>
      <c r="K103" s="62">
        <f>IF($J103="","",$G103/$J103)</f>
        <v/>
      </c>
      <c r="L103" s="62">
        <f>IF($J103="",0,$K103*MAX(0,MIN(YEAR($C$3)*12+MONTH($C$3),YEAR($I103)*12+MONTH($I103))-(YEAR($H103)*12+MONTH($H103))+1))</f>
        <v/>
      </c>
      <c r="M103" s="62">
        <f>IF($J103="",0,$K103*MAX(0,MIN(YEAR($C$3)*12+MONTH($C$3)-1,YEAR($I103)*12+MONTH($I103))-(YEAR($H103)*12+MONTH($H103))+1))</f>
        <v/>
      </c>
      <c r="N103" s="62">
        <f>IF(OR($J103="",$B103=""),0,IF(YEAR($B103)*12+MONTH($B103)&lt;=YEAR($C$3)*12+MONTH($C$3),$G103,0))</f>
        <v/>
      </c>
      <c r="O103" s="62">
        <f>IF(OR($J103="",$B103=""),0,IF(YEAR($B103)*12+MONTH($B103)&lt;=YEAR($C$3)*12+MONTH($C$3)-1,$G103,0))</f>
        <v/>
      </c>
      <c r="P103" s="62">
        <f>$M103-$O103</f>
        <v/>
      </c>
      <c r="Q103" s="62">
        <f>($L103-$M103)-($N103-$O103)</f>
        <v/>
      </c>
      <c r="R103" s="62">
        <f>$L103-$N103</f>
        <v/>
      </c>
    </row>
    <row r="104">
      <c r="A104" s="59">
        <f>ROW()-5</f>
        <v/>
      </c>
      <c r="B104" s="60">
        <f>IFERROR(INDEX(tbl_Finance[Date],$A104),"")</f>
        <v/>
      </c>
      <c r="C104" s="61">
        <f>IFERROR(INDEX(tbl_Finance[Xero Invoice No],$A104),"")</f>
        <v/>
      </c>
      <c r="D104" s="61">
        <f>IFERROR(INDEX(tbl_Finance[Client],$A104),"")</f>
        <v/>
      </c>
      <c r="E104" s="61">
        <f>IFERROR(INDEX(tbl_Finance[Job Number],$A104),"")</f>
        <v/>
      </c>
      <c r="F104" s="61">
        <f>IFERROR(INDEX(tbl_Finance[Cost Centre],$A104),"")</f>
        <v/>
      </c>
      <c r="G104" s="62">
        <f>IFERROR(INDEX(tbl_Finance[Ex GST],$A104),"")</f>
        <v/>
      </c>
      <c r="H104" s="60">
        <f>IFERROR(INDEX(tbl_Finance[Defer Start],$A104),"")</f>
        <v/>
      </c>
      <c r="I104" s="60">
        <f>IFERROR(INDEX(tbl_Finance[Defer End],$A104),"")</f>
        <v/>
      </c>
      <c r="J104" s="59">
        <f>IF(OR($H104="",$I104="",$G104=""),"",MAX(1,(YEAR($I104)-YEAR($H104))*12+MONTH($I104)-MONTH($H104)+1))</f>
        <v/>
      </c>
      <c r="K104" s="62">
        <f>IF($J104="","",$G104/$J104)</f>
        <v/>
      </c>
      <c r="L104" s="62">
        <f>IF($J104="",0,$K104*MAX(0,MIN(YEAR($C$3)*12+MONTH($C$3),YEAR($I104)*12+MONTH($I104))-(YEAR($H104)*12+MONTH($H104))+1))</f>
        <v/>
      </c>
      <c r="M104" s="62">
        <f>IF($J104="",0,$K104*MAX(0,MIN(YEAR($C$3)*12+MONTH($C$3)-1,YEAR($I104)*12+MONTH($I104))-(YEAR($H104)*12+MONTH($H104))+1))</f>
        <v/>
      </c>
      <c r="N104" s="62">
        <f>IF(OR($J104="",$B104=""),0,IF(YEAR($B104)*12+MONTH($B104)&lt;=YEAR($C$3)*12+MONTH($C$3),$G104,0))</f>
        <v/>
      </c>
      <c r="O104" s="62">
        <f>IF(OR($J104="",$B104=""),0,IF(YEAR($B104)*12+MONTH($B104)&lt;=YEAR($C$3)*12+MONTH($C$3)-1,$G104,0))</f>
        <v/>
      </c>
      <c r="P104" s="62">
        <f>$M104-$O104</f>
        <v/>
      </c>
      <c r="Q104" s="62">
        <f>($L104-$M104)-($N104-$O104)</f>
        <v/>
      </c>
      <c r="R104" s="62">
        <f>$L104-$N104</f>
        <v/>
      </c>
    </row>
    <row r="105">
      <c r="A105" s="59">
        <f>ROW()-5</f>
        <v/>
      </c>
      <c r="B105" s="60">
        <f>IFERROR(INDEX(tbl_Finance[Date],$A105),"")</f>
        <v/>
      </c>
      <c r="C105" s="61">
        <f>IFERROR(INDEX(tbl_Finance[Xero Invoice No],$A105),"")</f>
        <v/>
      </c>
      <c r="D105" s="61">
        <f>IFERROR(INDEX(tbl_Finance[Client],$A105),"")</f>
        <v/>
      </c>
      <c r="E105" s="61">
        <f>IFERROR(INDEX(tbl_Finance[Job Number],$A105),"")</f>
        <v/>
      </c>
      <c r="F105" s="61">
        <f>IFERROR(INDEX(tbl_Finance[Cost Centre],$A105),"")</f>
        <v/>
      </c>
      <c r="G105" s="62">
        <f>IFERROR(INDEX(tbl_Finance[Ex GST],$A105),"")</f>
        <v/>
      </c>
      <c r="H105" s="60">
        <f>IFERROR(INDEX(tbl_Finance[Defer Start],$A105),"")</f>
        <v/>
      </c>
      <c r="I105" s="60">
        <f>IFERROR(INDEX(tbl_Finance[Defer End],$A105),"")</f>
        <v/>
      </c>
      <c r="J105" s="59">
        <f>IF(OR($H105="",$I105="",$G105=""),"",MAX(1,(YEAR($I105)-YEAR($H105))*12+MONTH($I105)-MONTH($H105)+1))</f>
        <v/>
      </c>
      <c r="K105" s="62">
        <f>IF($J105="","",$G105/$J105)</f>
        <v/>
      </c>
      <c r="L105" s="62">
        <f>IF($J105="",0,$K105*MAX(0,MIN(YEAR($C$3)*12+MONTH($C$3),YEAR($I105)*12+MONTH($I105))-(YEAR($H105)*12+MONTH($H105))+1))</f>
        <v/>
      </c>
      <c r="M105" s="62">
        <f>IF($J105="",0,$K105*MAX(0,MIN(YEAR($C$3)*12+MONTH($C$3)-1,YEAR($I105)*12+MONTH($I105))-(YEAR($H105)*12+MONTH($H105))+1))</f>
        <v/>
      </c>
      <c r="N105" s="62">
        <f>IF(OR($J105="",$B105=""),0,IF(YEAR($B105)*12+MONTH($B105)&lt;=YEAR($C$3)*12+MONTH($C$3),$G105,0))</f>
        <v/>
      </c>
      <c r="O105" s="62">
        <f>IF(OR($J105="",$B105=""),0,IF(YEAR($B105)*12+MONTH($B105)&lt;=YEAR($C$3)*12+MONTH($C$3)-1,$G105,0))</f>
        <v/>
      </c>
      <c r="P105" s="62">
        <f>$M105-$O105</f>
        <v/>
      </c>
      <c r="Q105" s="62">
        <f>($L105-$M105)-($N105-$O105)</f>
        <v/>
      </c>
      <c r="R105" s="62">
        <f>$L105-$N105</f>
        <v/>
      </c>
    </row>
    <row r="106">
      <c r="A106" s="59">
        <f>ROW()-5</f>
        <v/>
      </c>
      <c r="B106" s="60">
        <f>IFERROR(INDEX(tbl_Finance[Date],$A106),"")</f>
        <v/>
      </c>
      <c r="C106" s="61">
        <f>IFERROR(INDEX(tbl_Finance[Xero Invoice No],$A106),"")</f>
        <v/>
      </c>
      <c r="D106" s="61">
        <f>IFERROR(INDEX(tbl_Finance[Client],$A106),"")</f>
        <v/>
      </c>
      <c r="E106" s="61">
        <f>IFERROR(INDEX(tbl_Finance[Job Number],$A106),"")</f>
        <v/>
      </c>
      <c r="F106" s="61">
        <f>IFERROR(INDEX(tbl_Finance[Cost Centre],$A106),"")</f>
        <v/>
      </c>
      <c r="G106" s="62">
        <f>IFERROR(INDEX(tbl_Finance[Ex GST],$A106),"")</f>
        <v/>
      </c>
      <c r="H106" s="60">
        <f>IFERROR(INDEX(tbl_Finance[Defer Start],$A106),"")</f>
        <v/>
      </c>
      <c r="I106" s="60">
        <f>IFERROR(INDEX(tbl_Finance[Defer End],$A106),"")</f>
        <v/>
      </c>
      <c r="J106" s="59">
        <f>IF(OR($H106="",$I106="",$G106=""),"",MAX(1,(YEAR($I106)-YEAR($H106))*12+MONTH($I106)-MONTH($H106)+1))</f>
        <v/>
      </c>
      <c r="K106" s="62">
        <f>IF($J106="","",$G106/$J106)</f>
        <v/>
      </c>
      <c r="L106" s="62">
        <f>IF($J106="",0,$K106*MAX(0,MIN(YEAR($C$3)*12+MONTH($C$3),YEAR($I106)*12+MONTH($I106))-(YEAR($H106)*12+MONTH($H106))+1))</f>
        <v/>
      </c>
      <c r="M106" s="62">
        <f>IF($J106="",0,$K106*MAX(0,MIN(YEAR($C$3)*12+MONTH($C$3)-1,YEAR($I106)*12+MONTH($I106))-(YEAR($H106)*12+MONTH($H106))+1))</f>
        <v/>
      </c>
      <c r="N106" s="62">
        <f>IF(OR($J106="",$B106=""),0,IF(YEAR($B106)*12+MONTH($B106)&lt;=YEAR($C$3)*12+MONTH($C$3),$G106,0))</f>
        <v/>
      </c>
      <c r="O106" s="62">
        <f>IF(OR($J106="",$B106=""),0,IF(YEAR($B106)*12+MONTH($B106)&lt;=YEAR($C$3)*12+MONTH($C$3)-1,$G106,0))</f>
        <v/>
      </c>
      <c r="P106" s="62">
        <f>$M106-$O106</f>
        <v/>
      </c>
      <c r="Q106" s="62">
        <f>($L106-$M106)-($N106-$O106)</f>
        <v/>
      </c>
      <c r="R106" s="62">
        <f>$L106-$N106</f>
        <v/>
      </c>
    </row>
    <row r="107">
      <c r="A107" s="59">
        <f>ROW()-5</f>
        <v/>
      </c>
      <c r="B107" s="60">
        <f>IFERROR(INDEX(tbl_Finance[Date],$A107),"")</f>
        <v/>
      </c>
      <c r="C107" s="61">
        <f>IFERROR(INDEX(tbl_Finance[Xero Invoice No],$A107),"")</f>
        <v/>
      </c>
      <c r="D107" s="61">
        <f>IFERROR(INDEX(tbl_Finance[Client],$A107),"")</f>
        <v/>
      </c>
      <c r="E107" s="61">
        <f>IFERROR(INDEX(tbl_Finance[Job Number],$A107),"")</f>
        <v/>
      </c>
      <c r="F107" s="61">
        <f>IFERROR(INDEX(tbl_Finance[Cost Centre],$A107),"")</f>
        <v/>
      </c>
      <c r="G107" s="62">
        <f>IFERROR(INDEX(tbl_Finance[Ex GST],$A107),"")</f>
        <v/>
      </c>
      <c r="H107" s="60">
        <f>IFERROR(INDEX(tbl_Finance[Defer Start],$A107),"")</f>
        <v/>
      </c>
      <c r="I107" s="60">
        <f>IFERROR(INDEX(tbl_Finance[Defer End],$A107),"")</f>
        <v/>
      </c>
      <c r="J107" s="59">
        <f>IF(OR($H107="",$I107="",$G107=""),"",MAX(1,(YEAR($I107)-YEAR($H107))*12+MONTH($I107)-MONTH($H107)+1))</f>
        <v/>
      </c>
      <c r="K107" s="62">
        <f>IF($J107="","",$G107/$J107)</f>
        <v/>
      </c>
      <c r="L107" s="62">
        <f>IF($J107="",0,$K107*MAX(0,MIN(YEAR($C$3)*12+MONTH($C$3),YEAR($I107)*12+MONTH($I107))-(YEAR($H107)*12+MONTH($H107))+1))</f>
        <v/>
      </c>
      <c r="M107" s="62">
        <f>IF($J107="",0,$K107*MAX(0,MIN(YEAR($C$3)*12+MONTH($C$3)-1,YEAR($I107)*12+MONTH($I107))-(YEAR($H107)*12+MONTH($H107))+1))</f>
        <v/>
      </c>
      <c r="N107" s="62">
        <f>IF(OR($J107="",$B107=""),0,IF(YEAR($B107)*12+MONTH($B107)&lt;=YEAR($C$3)*12+MONTH($C$3),$G107,0))</f>
        <v/>
      </c>
      <c r="O107" s="62">
        <f>IF(OR($J107="",$B107=""),0,IF(YEAR($B107)*12+MONTH($B107)&lt;=YEAR($C$3)*12+MONTH($C$3)-1,$G107,0))</f>
        <v/>
      </c>
      <c r="P107" s="62">
        <f>$M107-$O107</f>
        <v/>
      </c>
      <c r="Q107" s="62">
        <f>($L107-$M107)-($N107-$O107)</f>
        <v/>
      </c>
      <c r="R107" s="62">
        <f>$L107-$N107</f>
        <v/>
      </c>
    </row>
    <row r="108">
      <c r="A108" s="59">
        <f>ROW()-5</f>
        <v/>
      </c>
      <c r="B108" s="60">
        <f>IFERROR(INDEX(tbl_Finance[Date],$A108),"")</f>
        <v/>
      </c>
      <c r="C108" s="61">
        <f>IFERROR(INDEX(tbl_Finance[Xero Invoice No],$A108),"")</f>
        <v/>
      </c>
      <c r="D108" s="61">
        <f>IFERROR(INDEX(tbl_Finance[Client],$A108),"")</f>
        <v/>
      </c>
      <c r="E108" s="61">
        <f>IFERROR(INDEX(tbl_Finance[Job Number],$A108),"")</f>
        <v/>
      </c>
      <c r="F108" s="61">
        <f>IFERROR(INDEX(tbl_Finance[Cost Centre],$A108),"")</f>
        <v/>
      </c>
      <c r="G108" s="62">
        <f>IFERROR(INDEX(tbl_Finance[Ex GST],$A108),"")</f>
        <v/>
      </c>
      <c r="H108" s="60">
        <f>IFERROR(INDEX(tbl_Finance[Defer Start],$A108),"")</f>
        <v/>
      </c>
      <c r="I108" s="60">
        <f>IFERROR(INDEX(tbl_Finance[Defer End],$A108),"")</f>
        <v/>
      </c>
      <c r="J108" s="59">
        <f>IF(OR($H108="",$I108="",$G108=""),"",MAX(1,(YEAR($I108)-YEAR($H108))*12+MONTH($I108)-MONTH($H108)+1))</f>
        <v/>
      </c>
      <c r="K108" s="62">
        <f>IF($J108="","",$G108/$J108)</f>
        <v/>
      </c>
      <c r="L108" s="62">
        <f>IF($J108="",0,$K108*MAX(0,MIN(YEAR($C$3)*12+MONTH($C$3),YEAR($I108)*12+MONTH($I108))-(YEAR($H108)*12+MONTH($H108))+1))</f>
        <v/>
      </c>
      <c r="M108" s="62">
        <f>IF($J108="",0,$K108*MAX(0,MIN(YEAR($C$3)*12+MONTH($C$3)-1,YEAR($I108)*12+MONTH($I108))-(YEAR($H108)*12+MONTH($H108))+1))</f>
        <v/>
      </c>
      <c r="N108" s="62">
        <f>IF(OR($J108="",$B108=""),0,IF(YEAR($B108)*12+MONTH($B108)&lt;=YEAR($C$3)*12+MONTH($C$3),$G108,0))</f>
        <v/>
      </c>
      <c r="O108" s="62">
        <f>IF(OR($J108="",$B108=""),0,IF(YEAR($B108)*12+MONTH($B108)&lt;=YEAR($C$3)*12+MONTH($C$3)-1,$G108,0))</f>
        <v/>
      </c>
      <c r="P108" s="62">
        <f>$M108-$O108</f>
        <v/>
      </c>
      <c r="Q108" s="62">
        <f>($L108-$M108)-($N108-$O108)</f>
        <v/>
      </c>
      <c r="R108" s="62">
        <f>$L108-$N108</f>
        <v/>
      </c>
    </row>
    <row r="109">
      <c r="A109" s="59">
        <f>ROW()-5</f>
        <v/>
      </c>
      <c r="B109" s="60">
        <f>IFERROR(INDEX(tbl_Finance[Date],$A109),"")</f>
        <v/>
      </c>
      <c r="C109" s="61">
        <f>IFERROR(INDEX(tbl_Finance[Xero Invoice No],$A109),"")</f>
        <v/>
      </c>
      <c r="D109" s="61">
        <f>IFERROR(INDEX(tbl_Finance[Client],$A109),"")</f>
        <v/>
      </c>
      <c r="E109" s="61">
        <f>IFERROR(INDEX(tbl_Finance[Job Number],$A109),"")</f>
        <v/>
      </c>
      <c r="F109" s="61">
        <f>IFERROR(INDEX(tbl_Finance[Cost Centre],$A109),"")</f>
        <v/>
      </c>
      <c r="G109" s="62">
        <f>IFERROR(INDEX(tbl_Finance[Ex GST],$A109),"")</f>
        <v/>
      </c>
      <c r="H109" s="60">
        <f>IFERROR(INDEX(tbl_Finance[Defer Start],$A109),"")</f>
        <v/>
      </c>
      <c r="I109" s="60">
        <f>IFERROR(INDEX(tbl_Finance[Defer End],$A109),"")</f>
        <v/>
      </c>
      <c r="J109" s="59">
        <f>IF(OR($H109="",$I109="",$G109=""),"",MAX(1,(YEAR($I109)-YEAR($H109))*12+MONTH($I109)-MONTH($H109)+1))</f>
        <v/>
      </c>
      <c r="K109" s="62">
        <f>IF($J109="","",$G109/$J109)</f>
        <v/>
      </c>
      <c r="L109" s="62">
        <f>IF($J109="",0,$K109*MAX(0,MIN(YEAR($C$3)*12+MONTH($C$3),YEAR($I109)*12+MONTH($I109))-(YEAR($H109)*12+MONTH($H109))+1))</f>
        <v/>
      </c>
      <c r="M109" s="62">
        <f>IF($J109="",0,$K109*MAX(0,MIN(YEAR($C$3)*12+MONTH($C$3)-1,YEAR($I109)*12+MONTH($I109))-(YEAR($H109)*12+MONTH($H109))+1))</f>
        <v/>
      </c>
      <c r="N109" s="62">
        <f>IF(OR($J109="",$B109=""),0,IF(YEAR($B109)*12+MONTH($B109)&lt;=YEAR($C$3)*12+MONTH($C$3),$G109,0))</f>
        <v/>
      </c>
      <c r="O109" s="62">
        <f>IF(OR($J109="",$B109=""),0,IF(YEAR($B109)*12+MONTH($B109)&lt;=YEAR($C$3)*12+MONTH($C$3)-1,$G109,0))</f>
        <v/>
      </c>
      <c r="P109" s="62">
        <f>$M109-$O109</f>
        <v/>
      </c>
      <c r="Q109" s="62">
        <f>($L109-$M109)-($N109-$O109)</f>
        <v/>
      </c>
      <c r="R109" s="62">
        <f>$L109-$N109</f>
        <v/>
      </c>
    </row>
    <row r="110">
      <c r="A110" s="59">
        <f>ROW()-5</f>
        <v/>
      </c>
      <c r="B110" s="60">
        <f>IFERROR(INDEX(tbl_Finance[Date],$A110),"")</f>
        <v/>
      </c>
      <c r="C110" s="61">
        <f>IFERROR(INDEX(tbl_Finance[Xero Invoice No],$A110),"")</f>
        <v/>
      </c>
      <c r="D110" s="61">
        <f>IFERROR(INDEX(tbl_Finance[Client],$A110),"")</f>
        <v/>
      </c>
      <c r="E110" s="61">
        <f>IFERROR(INDEX(tbl_Finance[Job Number],$A110),"")</f>
        <v/>
      </c>
      <c r="F110" s="61">
        <f>IFERROR(INDEX(tbl_Finance[Cost Centre],$A110),"")</f>
        <v/>
      </c>
      <c r="G110" s="62">
        <f>IFERROR(INDEX(tbl_Finance[Ex GST],$A110),"")</f>
        <v/>
      </c>
      <c r="H110" s="60">
        <f>IFERROR(INDEX(tbl_Finance[Defer Start],$A110),"")</f>
        <v/>
      </c>
      <c r="I110" s="60">
        <f>IFERROR(INDEX(tbl_Finance[Defer End],$A110),"")</f>
        <v/>
      </c>
      <c r="J110" s="59">
        <f>IF(OR($H110="",$I110="",$G110=""),"",MAX(1,(YEAR($I110)-YEAR($H110))*12+MONTH($I110)-MONTH($H110)+1))</f>
        <v/>
      </c>
      <c r="K110" s="62">
        <f>IF($J110="","",$G110/$J110)</f>
        <v/>
      </c>
      <c r="L110" s="62">
        <f>IF($J110="",0,$K110*MAX(0,MIN(YEAR($C$3)*12+MONTH($C$3),YEAR($I110)*12+MONTH($I110))-(YEAR($H110)*12+MONTH($H110))+1))</f>
        <v/>
      </c>
      <c r="M110" s="62">
        <f>IF($J110="",0,$K110*MAX(0,MIN(YEAR($C$3)*12+MONTH($C$3)-1,YEAR($I110)*12+MONTH($I110))-(YEAR($H110)*12+MONTH($H110))+1))</f>
        <v/>
      </c>
      <c r="N110" s="62">
        <f>IF(OR($J110="",$B110=""),0,IF(YEAR($B110)*12+MONTH($B110)&lt;=YEAR($C$3)*12+MONTH($C$3),$G110,0))</f>
        <v/>
      </c>
      <c r="O110" s="62">
        <f>IF(OR($J110="",$B110=""),0,IF(YEAR($B110)*12+MONTH($B110)&lt;=YEAR($C$3)*12+MONTH($C$3)-1,$G110,0))</f>
        <v/>
      </c>
      <c r="P110" s="62">
        <f>$M110-$O110</f>
        <v/>
      </c>
      <c r="Q110" s="62">
        <f>($L110-$M110)-($N110-$O110)</f>
        <v/>
      </c>
      <c r="R110" s="62">
        <f>$L110-$N110</f>
        <v/>
      </c>
    </row>
    <row r="111">
      <c r="A111" s="59">
        <f>ROW()-5</f>
        <v/>
      </c>
      <c r="B111" s="60">
        <f>IFERROR(INDEX(tbl_Finance[Date],$A111),"")</f>
        <v/>
      </c>
      <c r="C111" s="61">
        <f>IFERROR(INDEX(tbl_Finance[Xero Invoice No],$A111),"")</f>
        <v/>
      </c>
      <c r="D111" s="61">
        <f>IFERROR(INDEX(tbl_Finance[Client],$A111),"")</f>
        <v/>
      </c>
      <c r="E111" s="61">
        <f>IFERROR(INDEX(tbl_Finance[Job Number],$A111),"")</f>
        <v/>
      </c>
      <c r="F111" s="61">
        <f>IFERROR(INDEX(tbl_Finance[Cost Centre],$A111),"")</f>
        <v/>
      </c>
      <c r="G111" s="62">
        <f>IFERROR(INDEX(tbl_Finance[Ex GST],$A111),"")</f>
        <v/>
      </c>
      <c r="H111" s="60">
        <f>IFERROR(INDEX(tbl_Finance[Defer Start],$A111),"")</f>
        <v/>
      </c>
      <c r="I111" s="60">
        <f>IFERROR(INDEX(tbl_Finance[Defer End],$A111),"")</f>
        <v/>
      </c>
      <c r="J111" s="59">
        <f>IF(OR($H111="",$I111="",$G111=""),"",MAX(1,(YEAR($I111)-YEAR($H111))*12+MONTH($I111)-MONTH($H111)+1))</f>
        <v/>
      </c>
      <c r="K111" s="62">
        <f>IF($J111="","",$G111/$J111)</f>
        <v/>
      </c>
      <c r="L111" s="62">
        <f>IF($J111="",0,$K111*MAX(0,MIN(YEAR($C$3)*12+MONTH($C$3),YEAR($I111)*12+MONTH($I111))-(YEAR($H111)*12+MONTH($H111))+1))</f>
        <v/>
      </c>
      <c r="M111" s="62">
        <f>IF($J111="",0,$K111*MAX(0,MIN(YEAR($C$3)*12+MONTH($C$3)-1,YEAR($I111)*12+MONTH($I111))-(YEAR($H111)*12+MONTH($H111))+1))</f>
        <v/>
      </c>
      <c r="N111" s="62">
        <f>IF(OR($J111="",$B111=""),0,IF(YEAR($B111)*12+MONTH($B111)&lt;=YEAR($C$3)*12+MONTH($C$3),$G111,0))</f>
        <v/>
      </c>
      <c r="O111" s="62">
        <f>IF(OR($J111="",$B111=""),0,IF(YEAR($B111)*12+MONTH($B111)&lt;=YEAR($C$3)*12+MONTH($C$3)-1,$G111,0))</f>
        <v/>
      </c>
      <c r="P111" s="62">
        <f>$M111-$O111</f>
        <v/>
      </c>
      <c r="Q111" s="62">
        <f>($L111-$M111)-($N111-$O111)</f>
        <v/>
      </c>
      <c r="R111" s="62">
        <f>$L111-$N111</f>
        <v/>
      </c>
    </row>
    <row r="112">
      <c r="A112" s="59">
        <f>ROW()-5</f>
        <v/>
      </c>
      <c r="B112" s="60">
        <f>IFERROR(INDEX(tbl_Finance[Date],$A112),"")</f>
        <v/>
      </c>
      <c r="C112" s="61">
        <f>IFERROR(INDEX(tbl_Finance[Xero Invoice No],$A112),"")</f>
        <v/>
      </c>
      <c r="D112" s="61">
        <f>IFERROR(INDEX(tbl_Finance[Client],$A112),"")</f>
        <v/>
      </c>
      <c r="E112" s="61">
        <f>IFERROR(INDEX(tbl_Finance[Job Number],$A112),"")</f>
        <v/>
      </c>
      <c r="F112" s="61">
        <f>IFERROR(INDEX(tbl_Finance[Cost Centre],$A112),"")</f>
        <v/>
      </c>
      <c r="G112" s="62">
        <f>IFERROR(INDEX(tbl_Finance[Ex GST],$A112),"")</f>
        <v/>
      </c>
      <c r="H112" s="60">
        <f>IFERROR(INDEX(tbl_Finance[Defer Start],$A112),"")</f>
        <v/>
      </c>
      <c r="I112" s="60">
        <f>IFERROR(INDEX(tbl_Finance[Defer End],$A112),"")</f>
        <v/>
      </c>
      <c r="J112" s="59">
        <f>IF(OR($H112="",$I112="",$G112=""),"",MAX(1,(YEAR($I112)-YEAR($H112))*12+MONTH($I112)-MONTH($H112)+1))</f>
        <v/>
      </c>
      <c r="K112" s="62">
        <f>IF($J112="","",$G112/$J112)</f>
        <v/>
      </c>
      <c r="L112" s="62">
        <f>IF($J112="",0,$K112*MAX(0,MIN(YEAR($C$3)*12+MONTH($C$3),YEAR($I112)*12+MONTH($I112))-(YEAR($H112)*12+MONTH($H112))+1))</f>
        <v/>
      </c>
      <c r="M112" s="62">
        <f>IF($J112="",0,$K112*MAX(0,MIN(YEAR($C$3)*12+MONTH($C$3)-1,YEAR($I112)*12+MONTH($I112))-(YEAR($H112)*12+MONTH($H112))+1))</f>
        <v/>
      </c>
      <c r="N112" s="62">
        <f>IF(OR($J112="",$B112=""),0,IF(YEAR($B112)*12+MONTH($B112)&lt;=YEAR($C$3)*12+MONTH($C$3),$G112,0))</f>
        <v/>
      </c>
      <c r="O112" s="62">
        <f>IF(OR($J112="",$B112=""),0,IF(YEAR($B112)*12+MONTH($B112)&lt;=YEAR($C$3)*12+MONTH($C$3)-1,$G112,0))</f>
        <v/>
      </c>
      <c r="P112" s="62">
        <f>$M112-$O112</f>
        <v/>
      </c>
      <c r="Q112" s="62">
        <f>($L112-$M112)-($N112-$O112)</f>
        <v/>
      </c>
      <c r="R112" s="62">
        <f>$L112-$N112</f>
        <v/>
      </c>
    </row>
    <row r="113">
      <c r="A113" s="59">
        <f>ROW()-5</f>
        <v/>
      </c>
      <c r="B113" s="60">
        <f>IFERROR(INDEX(tbl_Finance[Date],$A113),"")</f>
        <v/>
      </c>
      <c r="C113" s="61">
        <f>IFERROR(INDEX(tbl_Finance[Xero Invoice No],$A113),"")</f>
        <v/>
      </c>
      <c r="D113" s="61">
        <f>IFERROR(INDEX(tbl_Finance[Client],$A113),"")</f>
        <v/>
      </c>
      <c r="E113" s="61">
        <f>IFERROR(INDEX(tbl_Finance[Job Number],$A113),"")</f>
        <v/>
      </c>
      <c r="F113" s="61">
        <f>IFERROR(INDEX(tbl_Finance[Cost Centre],$A113),"")</f>
        <v/>
      </c>
      <c r="G113" s="62">
        <f>IFERROR(INDEX(tbl_Finance[Ex GST],$A113),"")</f>
        <v/>
      </c>
      <c r="H113" s="60">
        <f>IFERROR(INDEX(tbl_Finance[Defer Start],$A113),"")</f>
        <v/>
      </c>
      <c r="I113" s="60">
        <f>IFERROR(INDEX(tbl_Finance[Defer End],$A113),"")</f>
        <v/>
      </c>
      <c r="J113" s="59">
        <f>IF(OR($H113="",$I113="",$G113=""),"",MAX(1,(YEAR($I113)-YEAR($H113))*12+MONTH($I113)-MONTH($H113)+1))</f>
        <v/>
      </c>
      <c r="K113" s="62">
        <f>IF($J113="","",$G113/$J113)</f>
        <v/>
      </c>
      <c r="L113" s="62">
        <f>IF($J113="",0,$K113*MAX(0,MIN(YEAR($C$3)*12+MONTH($C$3),YEAR($I113)*12+MONTH($I113))-(YEAR($H113)*12+MONTH($H113))+1))</f>
        <v/>
      </c>
      <c r="M113" s="62">
        <f>IF($J113="",0,$K113*MAX(0,MIN(YEAR($C$3)*12+MONTH($C$3)-1,YEAR($I113)*12+MONTH($I113))-(YEAR($H113)*12+MONTH($H113))+1))</f>
        <v/>
      </c>
      <c r="N113" s="62">
        <f>IF(OR($J113="",$B113=""),0,IF(YEAR($B113)*12+MONTH($B113)&lt;=YEAR($C$3)*12+MONTH($C$3),$G113,0))</f>
        <v/>
      </c>
      <c r="O113" s="62">
        <f>IF(OR($J113="",$B113=""),0,IF(YEAR($B113)*12+MONTH($B113)&lt;=YEAR($C$3)*12+MONTH($C$3)-1,$G113,0))</f>
        <v/>
      </c>
      <c r="P113" s="62">
        <f>$M113-$O113</f>
        <v/>
      </c>
      <c r="Q113" s="62">
        <f>($L113-$M113)-($N113-$O113)</f>
        <v/>
      </c>
      <c r="R113" s="62">
        <f>$L113-$N113</f>
        <v/>
      </c>
    </row>
    <row r="114">
      <c r="A114" s="59">
        <f>ROW()-5</f>
        <v/>
      </c>
      <c r="B114" s="60">
        <f>IFERROR(INDEX(tbl_Finance[Date],$A114),"")</f>
        <v/>
      </c>
      <c r="C114" s="61">
        <f>IFERROR(INDEX(tbl_Finance[Xero Invoice No],$A114),"")</f>
        <v/>
      </c>
      <c r="D114" s="61">
        <f>IFERROR(INDEX(tbl_Finance[Client],$A114),"")</f>
        <v/>
      </c>
      <c r="E114" s="61">
        <f>IFERROR(INDEX(tbl_Finance[Job Number],$A114),"")</f>
        <v/>
      </c>
      <c r="F114" s="61">
        <f>IFERROR(INDEX(tbl_Finance[Cost Centre],$A114),"")</f>
        <v/>
      </c>
      <c r="G114" s="62">
        <f>IFERROR(INDEX(tbl_Finance[Ex GST],$A114),"")</f>
        <v/>
      </c>
      <c r="H114" s="60">
        <f>IFERROR(INDEX(tbl_Finance[Defer Start],$A114),"")</f>
        <v/>
      </c>
      <c r="I114" s="60">
        <f>IFERROR(INDEX(tbl_Finance[Defer End],$A114),"")</f>
        <v/>
      </c>
      <c r="J114" s="59">
        <f>IF(OR($H114="",$I114="",$G114=""),"",MAX(1,(YEAR($I114)-YEAR($H114))*12+MONTH($I114)-MONTH($H114)+1))</f>
        <v/>
      </c>
      <c r="K114" s="62">
        <f>IF($J114="","",$G114/$J114)</f>
        <v/>
      </c>
      <c r="L114" s="62">
        <f>IF($J114="",0,$K114*MAX(0,MIN(YEAR($C$3)*12+MONTH($C$3),YEAR($I114)*12+MONTH($I114))-(YEAR($H114)*12+MONTH($H114))+1))</f>
        <v/>
      </c>
      <c r="M114" s="62">
        <f>IF($J114="",0,$K114*MAX(0,MIN(YEAR($C$3)*12+MONTH($C$3)-1,YEAR($I114)*12+MONTH($I114))-(YEAR($H114)*12+MONTH($H114))+1))</f>
        <v/>
      </c>
      <c r="N114" s="62">
        <f>IF(OR($J114="",$B114=""),0,IF(YEAR($B114)*12+MONTH($B114)&lt;=YEAR($C$3)*12+MONTH($C$3),$G114,0))</f>
        <v/>
      </c>
      <c r="O114" s="62">
        <f>IF(OR($J114="",$B114=""),0,IF(YEAR($B114)*12+MONTH($B114)&lt;=YEAR($C$3)*12+MONTH($C$3)-1,$G114,0))</f>
        <v/>
      </c>
      <c r="P114" s="62">
        <f>$M114-$O114</f>
        <v/>
      </c>
      <c r="Q114" s="62">
        <f>($L114-$M114)-($N114-$O114)</f>
        <v/>
      </c>
      <c r="R114" s="62">
        <f>$L114-$N114</f>
        <v/>
      </c>
    </row>
    <row r="115">
      <c r="A115" s="59">
        <f>ROW()-5</f>
        <v/>
      </c>
      <c r="B115" s="60">
        <f>IFERROR(INDEX(tbl_Finance[Date],$A115),"")</f>
        <v/>
      </c>
      <c r="C115" s="61">
        <f>IFERROR(INDEX(tbl_Finance[Xero Invoice No],$A115),"")</f>
        <v/>
      </c>
      <c r="D115" s="61">
        <f>IFERROR(INDEX(tbl_Finance[Client],$A115),"")</f>
        <v/>
      </c>
      <c r="E115" s="61">
        <f>IFERROR(INDEX(tbl_Finance[Job Number],$A115),"")</f>
        <v/>
      </c>
      <c r="F115" s="61">
        <f>IFERROR(INDEX(tbl_Finance[Cost Centre],$A115),"")</f>
        <v/>
      </c>
      <c r="G115" s="62">
        <f>IFERROR(INDEX(tbl_Finance[Ex GST],$A115),"")</f>
        <v/>
      </c>
      <c r="H115" s="60">
        <f>IFERROR(INDEX(tbl_Finance[Defer Start],$A115),"")</f>
        <v/>
      </c>
      <c r="I115" s="60">
        <f>IFERROR(INDEX(tbl_Finance[Defer End],$A115),"")</f>
        <v/>
      </c>
      <c r="J115" s="59">
        <f>IF(OR($H115="",$I115="",$G115=""),"",MAX(1,(YEAR($I115)-YEAR($H115))*12+MONTH($I115)-MONTH($H115)+1))</f>
        <v/>
      </c>
      <c r="K115" s="62">
        <f>IF($J115="","",$G115/$J115)</f>
        <v/>
      </c>
      <c r="L115" s="62">
        <f>IF($J115="",0,$K115*MAX(0,MIN(YEAR($C$3)*12+MONTH($C$3),YEAR($I115)*12+MONTH($I115))-(YEAR($H115)*12+MONTH($H115))+1))</f>
        <v/>
      </c>
      <c r="M115" s="62">
        <f>IF($J115="",0,$K115*MAX(0,MIN(YEAR($C$3)*12+MONTH($C$3)-1,YEAR($I115)*12+MONTH($I115))-(YEAR($H115)*12+MONTH($H115))+1))</f>
        <v/>
      </c>
      <c r="N115" s="62">
        <f>IF(OR($J115="",$B115=""),0,IF(YEAR($B115)*12+MONTH($B115)&lt;=YEAR($C$3)*12+MONTH($C$3),$G115,0))</f>
        <v/>
      </c>
      <c r="O115" s="62">
        <f>IF(OR($J115="",$B115=""),0,IF(YEAR($B115)*12+MONTH($B115)&lt;=YEAR($C$3)*12+MONTH($C$3)-1,$G115,0))</f>
        <v/>
      </c>
      <c r="P115" s="62">
        <f>$M115-$O115</f>
        <v/>
      </c>
      <c r="Q115" s="62">
        <f>($L115-$M115)-($N115-$O115)</f>
        <v/>
      </c>
      <c r="R115" s="62">
        <f>$L115-$N115</f>
        <v/>
      </c>
    </row>
    <row r="116">
      <c r="A116" s="59">
        <f>ROW()-5</f>
        <v/>
      </c>
      <c r="B116" s="60">
        <f>IFERROR(INDEX(tbl_Finance[Date],$A116),"")</f>
        <v/>
      </c>
      <c r="C116" s="61">
        <f>IFERROR(INDEX(tbl_Finance[Xero Invoice No],$A116),"")</f>
        <v/>
      </c>
      <c r="D116" s="61">
        <f>IFERROR(INDEX(tbl_Finance[Client],$A116),"")</f>
        <v/>
      </c>
      <c r="E116" s="61">
        <f>IFERROR(INDEX(tbl_Finance[Job Number],$A116),"")</f>
        <v/>
      </c>
      <c r="F116" s="61">
        <f>IFERROR(INDEX(tbl_Finance[Cost Centre],$A116),"")</f>
        <v/>
      </c>
      <c r="G116" s="62">
        <f>IFERROR(INDEX(tbl_Finance[Ex GST],$A116),"")</f>
        <v/>
      </c>
      <c r="H116" s="60">
        <f>IFERROR(INDEX(tbl_Finance[Defer Start],$A116),"")</f>
        <v/>
      </c>
      <c r="I116" s="60">
        <f>IFERROR(INDEX(tbl_Finance[Defer End],$A116),"")</f>
        <v/>
      </c>
      <c r="J116" s="59">
        <f>IF(OR($H116="",$I116="",$G116=""),"",MAX(1,(YEAR($I116)-YEAR($H116))*12+MONTH($I116)-MONTH($H116)+1))</f>
        <v/>
      </c>
      <c r="K116" s="62">
        <f>IF($J116="","",$G116/$J116)</f>
        <v/>
      </c>
      <c r="L116" s="62">
        <f>IF($J116="",0,$K116*MAX(0,MIN(YEAR($C$3)*12+MONTH($C$3),YEAR($I116)*12+MONTH($I116))-(YEAR($H116)*12+MONTH($H116))+1))</f>
        <v/>
      </c>
      <c r="M116" s="62">
        <f>IF($J116="",0,$K116*MAX(0,MIN(YEAR($C$3)*12+MONTH($C$3)-1,YEAR($I116)*12+MONTH($I116))-(YEAR($H116)*12+MONTH($H116))+1))</f>
        <v/>
      </c>
      <c r="N116" s="62">
        <f>IF(OR($J116="",$B116=""),0,IF(YEAR($B116)*12+MONTH($B116)&lt;=YEAR($C$3)*12+MONTH($C$3),$G116,0))</f>
        <v/>
      </c>
      <c r="O116" s="62">
        <f>IF(OR($J116="",$B116=""),0,IF(YEAR($B116)*12+MONTH($B116)&lt;=YEAR($C$3)*12+MONTH($C$3)-1,$G116,0))</f>
        <v/>
      </c>
      <c r="P116" s="62">
        <f>$M116-$O116</f>
        <v/>
      </c>
      <c r="Q116" s="62">
        <f>($L116-$M116)-($N116-$O116)</f>
        <v/>
      </c>
      <c r="R116" s="62">
        <f>$L116-$N116</f>
        <v/>
      </c>
    </row>
    <row r="117">
      <c r="A117" s="59">
        <f>ROW()-5</f>
        <v/>
      </c>
      <c r="B117" s="60">
        <f>IFERROR(INDEX(tbl_Finance[Date],$A117),"")</f>
        <v/>
      </c>
      <c r="C117" s="61">
        <f>IFERROR(INDEX(tbl_Finance[Xero Invoice No],$A117),"")</f>
        <v/>
      </c>
      <c r="D117" s="61">
        <f>IFERROR(INDEX(tbl_Finance[Client],$A117),"")</f>
        <v/>
      </c>
      <c r="E117" s="61">
        <f>IFERROR(INDEX(tbl_Finance[Job Number],$A117),"")</f>
        <v/>
      </c>
      <c r="F117" s="61">
        <f>IFERROR(INDEX(tbl_Finance[Cost Centre],$A117),"")</f>
        <v/>
      </c>
      <c r="G117" s="62">
        <f>IFERROR(INDEX(tbl_Finance[Ex GST],$A117),"")</f>
        <v/>
      </c>
      <c r="H117" s="60">
        <f>IFERROR(INDEX(tbl_Finance[Defer Start],$A117),"")</f>
        <v/>
      </c>
      <c r="I117" s="60">
        <f>IFERROR(INDEX(tbl_Finance[Defer End],$A117),"")</f>
        <v/>
      </c>
      <c r="J117" s="59">
        <f>IF(OR($H117="",$I117="",$G117=""),"",MAX(1,(YEAR($I117)-YEAR($H117))*12+MONTH($I117)-MONTH($H117)+1))</f>
        <v/>
      </c>
      <c r="K117" s="62">
        <f>IF($J117="","",$G117/$J117)</f>
        <v/>
      </c>
      <c r="L117" s="62">
        <f>IF($J117="",0,$K117*MAX(0,MIN(YEAR($C$3)*12+MONTH($C$3),YEAR($I117)*12+MONTH($I117))-(YEAR($H117)*12+MONTH($H117))+1))</f>
        <v/>
      </c>
      <c r="M117" s="62">
        <f>IF($J117="",0,$K117*MAX(0,MIN(YEAR($C$3)*12+MONTH($C$3)-1,YEAR($I117)*12+MONTH($I117))-(YEAR($H117)*12+MONTH($H117))+1))</f>
        <v/>
      </c>
      <c r="N117" s="62">
        <f>IF(OR($J117="",$B117=""),0,IF(YEAR($B117)*12+MONTH($B117)&lt;=YEAR($C$3)*12+MONTH($C$3),$G117,0))</f>
        <v/>
      </c>
      <c r="O117" s="62">
        <f>IF(OR($J117="",$B117=""),0,IF(YEAR($B117)*12+MONTH($B117)&lt;=YEAR($C$3)*12+MONTH($C$3)-1,$G117,0))</f>
        <v/>
      </c>
      <c r="P117" s="62">
        <f>$M117-$O117</f>
        <v/>
      </c>
      <c r="Q117" s="62">
        <f>($L117-$M117)-($N117-$O117)</f>
        <v/>
      </c>
      <c r="R117" s="62">
        <f>$L117-$N117</f>
        <v/>
      </c>
    </row>
    <row r="118">
      <c r="A118" s="59">
        <f>ROW()-5</f>
        <v/>
      </c>
      <c r="B118" s="60">
        <f>IFERROR(INDEX(tbl_Finance[Date],$A118),"")</f>
        <v/>
      </c>
      <c r="C118" s="61">
        <f>IFERROR(INDEX(tbl_Finance[Xero Invoice No],$A118),"")</f>
        <v/>
      </c>
      <c r="D118" s="61">
        <f>IFERROR(INDEX(tbl_Finance[Client],$A118),"")</f>
        <v/>
      </c>
      <c r="E118" s="61">
        <f>IFERROR(INDEX(tbl_Finance[Job Number],$A118),"")</f>
        <v/>
      </c>
      <c r="F118" s="61">
        <f>IFERROR(INDEX(tbl_Finance[Cost Centre],$A118),"")</f>
        <v/>
      </c>
      <c r="G118" s="62">
        <f>IFERROR(INDEX(tbl_Finance[Ex GST],$A118),"")</f>
        <v/>
      </c>
      <c r="H118" s="60">
        <f>IFERROR(INDEX(tbl_Finance[Defer Start],$A118),"")</f>
        <v/>
      </c>
      <c r="I118" s="60">
        <f>IFERROR(INDEX(tbl_Finance[Defer End],$A118),"")</f>
        <v/>
      </c>
      <c r="J118" s="59">
        <f>IF(OR($H118="",$I118="",$G118=""),"",MAX(1,(YEAR($I118)-YEAR($H118))*12+MONTH($I118)-MONTH($H118)+1))</f>
        <v/>
      </c>
      <c r="K118" s="62">
        <f>IF($J118="","",$G118/$J118)</f>
        <v/>
      </c>
      <c r="L118" s="62">
        <f>IF($J118="",0,$K118*MAX(0,MIN(YEAR($C$3)*12+MONTH($C$3),YEAR($I118)*12+MONTH($I118))-(YEAR($H118)*12+MONTH($H118))+1))</f>
        <v/>
      </c>
      <c r="M118" s="62">
        <f>IF($J118="",0,$K118*MAX(0,MIN(YEAR($C$3)*12+MONTH($C$3)-1,YEAR($I118)*12+MONTH($I118))-(YEAR($H118)*12+MONTH($H118))+1))</f>
        <v/>
      </c>
      <c r="N118" s="62">
        <f>IF(OR($J118="",$B118=""),0,IF(YEAR($B118)*12+MONTH($B118)&lt;=YEAR($C$3)*12+MONTH($C$3),$G118,0))</f>
        <v/>
      </c>
      <c r="O118" s="62">
        <f>IF(OR($J118="",$B118=""),0,IF(YEAR($B118)*12+MONTH($B118)&lt;=YEAR($C$3)*12+MONTH($C$3)-1,$G118,0))</f>
        <v/>
      </c>
      <c r="P118" s="62">
        <f>$M118-$O118</f>
        <v/>
      </c>
      <c r="Q118" s="62">
        <f>($L118-$M118)-($N118-$O118)</f>
        <v/>
      </c>
      <c r="R118" s="62">
        <f>$L118-$N118</f>
        <v/>
      </c>
    </row>
    <row r="119">
      <c r="A119" s="59">
        <f>ROW()-5</f>
        <v/>
      </c>
      <c r="B119" s="60">
        <f>IFERROR(INDEX(tbl_Finance[Date],$A119),"")</f>
        <v/>
      </c>
      <c r="C119" s="61">
        <f>IFERROR(INDEX(tbl_Finance[Xero Invoice No],$A119),"")</f>
        <v/>
      </c>
      <c r="D119" s="61">
        <f>IFERROR(INDEX(tbl_Finance[Client],$A119),"")</f>
        <v/>
      </c>
      <c r="E119" s="61">
        <f>IFERROR(INDEX(tbl_Finance[Job Number],$A119),"")</f>
        <v/>
      </c>
      <c r="F119" s="61">
        <f>IFERROR(INDEX(tbl_Finance[Cost Centre],$A119),"")</f>
        <v/>
      </c>
      <c r="G119" s="62">
        <f>IFERROR(INDEX(tbl_Finance[Ex GST],$A119),"")</f>
        <v/>
      </c>
      <c r="H119" s="60">
        <f>IFERROR(INDEX(tbl_Finance[Defer Start],$A119),"")</f>
        <v/>
      </c>
      <c r="I119" s="60">
        <f>IFERROR(INDEX(tbl_Finance[Defer End],$A119),"")</f>
        <v/>
      </c>
      <c r="J119" s="59">
        <f>IF(OR($H119="",$I119="",$G119=""),"",MAX(1,(YEAR($I119)-YEAR($H119))*12+MONTH($I119)-MONTH($H119)+1))</f>
        <v/>
      </c>
      <c r="K119" s="62">
        <f>IF($J119="","",$G119/$J119)</f>
        <v/>
      </c>
      <c r="L119" s="62">
        <f>IF($J119="",0,$K119*MAX(0,MIN(YEAR($C$3)*12+MONTH($C$3),YEAR($I119)*12+MONTH($I119))-(YEAR($H119)*12+MONTH($H119))+1))</f>
        <v/>
      </c>
      <c r="M119" s="62">
        <f>IF($J119="",0,$K119*MAX(0,MIN(YEAR($C$3)*12+MONTH($C$3)-1,YEAR($I119)*12+MONTH($I119))-(YEAR($H119)*12+MONTH($H119))+1))</f>
        <v/>
      </c>
      <c r="N119" s="62">
        <f>IF(OR($J119="",$B119=""),0,IF(YEAR($B119)*12+MONTH($B119)&lt;=YEAR($C$3)*12+MONTH($C$3),$G119,0))</f>
        <v/>
      </c>
      <c r="O119" s="62">
        <f>IF(OR($J119="",$B119=""),0,IF(YEAR($B119)*12+MONTH($B119)&lt;=YEAR($C$3)*12+MONTH($C$3)-1,$G119,0))</f>
        <v/>
      </c>
      <c r="P119" s="62">
        <f>$M119-$O119</f>
        <v/>
      </c>
      <c r="Q119" s="62">
        <f>($L119-$M119)-($N119-$O119)</f>
        <v/>
      </c>
      <c r="R119" s="62">
        <f>$L119-$N119</f>
        <v/>
      </c>
    </row>
    <row r="120">
      <c r="A120" s="59">
        <f>ROW()-5</f>
        <v/>
      </c>
      <c r="B120" s="60">
        <f>IFERROR(INDEX(tbl_Finance[Date],$A120),"")</f>
        <v/>
      </c>
      <c r="C120" s="61">
        <f>IFERROR(INDEX(tbl_Finance[Xero Invoice No],$A120),"")</f>
        <v/>
      </c>
      <c r="D120" s="61">
        <f>IFERROR(INDEX(tbl_Finance[Client],$A120),"")</f>
        <v/>
      </c>
      <c r="E120" s="61">
        <f>IFERROR(INDEX(tbl_Finance[Job Number],$A120),"")</f>
        <v/>
      </c>
      <c r="F120" s="61">
        <f>IFERROR(INDEX(tbl_Finance[Cost Centre],$A120),"")</f>
        <v/>
      </c>
      <c r="G120" s="62">
        <f>IFERROR(INDEX(tbl_Finance[Ex GST],$A120),"")</f>
        <v/>
      </c>
      <c r="H120" s="60">
        <f>IFERROR(INDEX(tbl_Finance[Defer Start],$A120),"")</f>
        <v/>
      </c>
      <c r="I120" s="60">
        <f>IFERROR(INDEX(tbl_Finance[Defer End],$A120),"")</f>
        <v/>
      </c>
      <c r="J120" s="59">
        <f>IF(OR($H120="",$I120="",$G120=""),"",MAX(1,(YEAR($I120)-YEAR($H120))*12+MONTH($I120)-MONTH($H120)+1))</f>
        <v/>
      </c>
      <c r="K120" s="62">
        <f>IF($J120="","",$G120/$J120)</f>
        <v/>
      </c>
      <c r="L120" s="62">
        <f>IF($J120="",0,$K120*MAX(0,MIN(YEAR($C$3)*12+MONTH($C$3),YEAR($I120)*12+MONTH($I120))-(YEAR($H120)*12+MONTH($H120))+1))</f>
        <v/>
      </c>
      <c r="M120" s="62">
        <f>IF($J120="",0,$K120*MAX(0,MIN(YEAR($C$3)*12+MONTH($C$3)-1,YEAR($I120)*12+MONTH($I120))-(YEAR($H120)*12+MONTH($H120))+1))</f>
        <v/>
      </c>
      <c r="N120" s="62">
        <f>IF(OR($J120="",$B120=""),0,IF(YEAR($B120)*12+MONTH($B120)&lt;=YEAR($C$3)*12+MONTH($C$3),$G120,0))</f>
        <v/>
      </c>
      <c r="O120" s="62">
        <f>IF(OR($J120="",$B120=""),0,IF(YEAR($B120)*12+MONTH($B120)&lt;=YEAR($C$3)*12+MONTH($C$3)-1,$G120,0))</f>
        <v/>
      </c>
      <c r="P120" s="62">
        <f>$M120-$O120</f>
        <v/>
      </c>
      <c r="Q120" s="62">
        <f>($L120-$M120)-($N120-$O120)</f>
        <v/>
      </c>
      <c r="R120" s="62">
        <f>$L120-$N120</f>
        <v/>
      </c>
    </row>
    <row r="121">
      <c r="A121" s="59">
        <f>ROW()-5</f>
        <v/>
      </c>
      <c r="B121" s="60">
        <f>IFERROR(INDEX(tbl_Finance[Date],$A121),"")</f>
        <v/>
      </c>
      <c r="C121" s="61">
        <f>IFERROR(INDEX(tbl_Finance[Xero Invoice No],$A121),"")</f>
        <v/>
      </c>
      <c r="D121" s="61">
        <f>IFERROR(INDEX(tbl_Finance[Client],$A121),"")</f>
        <v/>
      </c>
      <c r="E121" s="61">
        <f>IFERROR(INDEX(tbl_Finance[Job Number],$A121),"")</f>
        <v/>
      </c>
      <c r="F121" s="61">
        <f>IFERROR(INDEX(tbl_Finance[Cost Centre],$A121),"")</f>
        <v/>
      </c>
      <c r="G121" s="62">
        <f>IFERROR(INDEX(tbl_Finance[Ex GST],$A121),"")</f>
        <v/>
      </c>
      <c r="H121" s="60">
        <f>IFERROR(INDEX(tbl_Finance[Defer Start],$A121),"")</f>
        <v/>
      </c>
      <c r="I121" s="60">
        <f>IFERROR(INDEX(tbl_Finance[Defer End],$A121),"")</f>
        <v/>
      </c>
      <c r="J121" s="59">
        <f>IF(OR($H121="",$I121="",$G121=""),"",MAX(1,(YEAR($I121)-YEAR($H121))*12+MONTH($I121)-MONTH($H121)+1))</f>
        <v/>
      </c>
      <c r="K121" s="62">
        <f>IF($J121="","",$G121/$J121)</f>
        <v/>
      </c>
      <c r="L121" s="62">
        <f>IF($J121="",0,$K121*MAX(0,MIN(YEAR($C$3)*12+MONTH($C$3),YEAR($I121)*12+MONTH($I121))-(YEAR($H121)*12+MONTH($H121))+1))</f>
        <v/>
      </c>
      <c r="M121" s="62">
        <f>IF($J121="",0,$K121*MAX(0,MIN(YEAR($C$3)*12+MONTH($C$3)-1,YEAR($I121)*12+MONTH($I121))-(YEAR($H121)*12+MONTH($H121))+1))</f>
        <v/>
      </c>
      <c r="N121" s="62">
        <f>IF(OR($J121="",$B121=""),0,IF(YEAR($B121)*12+MONTH($B121)&lt;=YEAR($C$3)*12+MONTH($C$3),$G121,0))</f>
        <v/>
      </c>
      <c r="O121" s="62">
        <f>IF(OR($J121="",$B121=""),0,IF(YEAR($B121)*12+MONTH($B121)&lt;=YEAR($C$3)*12+MONTH($C$3)-1,$G121,0))</f>
        <v/>
      </c>
      <c r="P121" s="62">
        <f>$M121-$O121</f>
        <v/>
      </c>
      <c r="Q121" s="62">
        <f>($L121-$M121)-($N121-$O121)</f>
        <v/>
      </c>
      <c r="R121" s="62">
        <f>$L121-$N121</f>
        <v/>
      </c>
    </row>
    <row r="122">
      <c r="A122" s="59">
        <f>ROW()-5</f>
        <v/>
      </c>
      <c r="B122" s="60">
        <f>IFERROR(INDEX(tbl_Finance[Date],$A122),"")</f>
        <v/>
      </c>
      <c r="C122" s="61">
        <f>IFERROR(INDEX(tbl_Finance[Xero Invoice No],$A122),"")</f>
        <v/>
      </c>
      <c r="D122" s="61">
        <f>IFERROR(INDEX(tbl_Finance[Client],$A122),"")</f>
        <v/>
      </c>
      <c r="E122" s="61">
        <f>IFERROR(INDEX(tbl_Finance[Job Number],$A122),"")</f>
        <v/>
      </c>
      <c r="F122" s="61">
        <f>IFERROR(INDEX(tbl_Finance[Cost Centre],$A122),"")</f>
        <v/>
      </c>
      <c r="G122" s="62">
        <f>IFERROR(INDEX(tbl_Finance[Ex GST],$A122),"")</f>
        <v/>
      </c>
      <c r="H122" s="60">
        <f>IFERROR(INDEX(tbl_Finance[Defer Start],$A122),"")</f>
        <v/>
      </c>
      <c r="I122" s="60">
        <f>IFERROR(INDEX(tbl_Finance[Defer End],$A122),"")</f>
        <v/>
      </c>
      <c r="J122" s="59">
        <f>IF(OR($H122="",$I122="",$G122=""),"",MAX(1,(YEAR($I122)-YEAR($H122))*12+MONTH($I122)-MONTH($H122)+1))</f>
        <v/>
      </c>
      <c r="K122" s="62">
        <f>IF($J122="","",$G122/$J122)</f>
        <v/>
      </c>
      <c r="L122" s="62">
        <f>IF($J122="",0,$K122*MAX(0,MIN(YEAR($C$3)*12+MONTH($C$3),YEAR($I122)*12+MONTH($I122))-(YEAR($H122)*12+MONTH($H122))+1))</f>
        <v/>
      </c>
      <c r="M122" s="62">
        <f>IF($J122="",0,$K122*MAX(0,MIN(YEAR($C$3)*12+MONTH($C$3)-1,YEAR($I122)*12+MONTH($I122))-(YEAR($H122)*12+MONTH($H122))+1))</f>
        <v/>
      </c>
      <c r="N122" s="62">
        <f>IF(OR($J122="",$B122=""),0,IF(YEAR($B122)*12+MONTH($B122)&lt;=YEAR($C$3)*12+MONTH($C$3),$G122,0))</f>
        <v/>
      </c>
      <c r="O122" s="62">
        <f>IF(OR($J122="",$B122=""),0,IF(YEAR($B122)*12+MONTH($B122)&lt;=YEAR($C$3)*12+MONTH($C$3)-1,$G122,0))</f>
        <v/>
      </c>
      <c r="P122" s="62">
        <f>$M122-$O122</f>
        <v/>
      </c>
      <c r="Q122" s="62">
        <f>($L122-$M122)-($N122-$O122)</f>
        <v/>
      </c>
      <c r="R122" s="62">
        <f>$L122-$N122</f>
        <v/>
      </c>
    </row>
    <row r="123">
      <c r="A123" s="59">
        <f>ROW()-5</f>
        <v/>
      </c>
      <c r="B123" s="60">
        <f>IFERROR(INDEX(tbl_Finance[Date],$A123),"")</f>
        <v/>
      </c>
      <c r="C123" s="61">
        <f>IFERROR(INDEX(tbl_Finance[Xero Invoice No],$A123),"")</f>
        <v/>
      </c>
      <c r="D123" s="61">
        <f>IFERROR(INDEX(tbl_Finance[Client],$A123),"")</f>
        <v/>
      </c>
      <c r="E123" s="61">
        <f>IFERROR(INDEX(tbl_Finance[Job Number],$A123),"")</f>
        <v/>
      </c>
      <c r="F123" s="61">
        <f>IFERROR(INDEX(tbl_Finance[Cost Centre],$A123),"")</f>
        <v/>
      </c>
      <c r="G123" s="62">
        <f>IFERROR(INDEX(tbl_Finance[Ex GST],$A123),"")</f>
        <v/>
      </c>
      <c r="H123" s="60">
        <f>IFERROR(INDEX(tbl_Finance[Defer Start],$A123),"")</f>
        <v/>
      </c>
      <c r="I123" s="60">
        <f>IFERROR(INDEX(tbl_Finance[Defer End],$A123),"")</f>
        <v/>
      </c>
      <c r="J123" s="59">
        <f>IF(OR($H123="",$I123="",$G123=""),"",MAX(1,(YEAR($I123)-YEAR($H123))*12+MONTH($I123)-MONTH($H123)+1))</f>
        <v/>
      </c>
      <c r="K123" s="62">
        <f>IF($J123="","",$G123/$J123)</f>
        <v/>
      </c>
      <c r="L123" s="62">
        <f>IF($J123="",0,$K123*MAX(0,MIN(YEAR($C$3)*12+MONTH($C$3),YEAR($I123)*12+MONTH($I123))-(YEAR($H123)*12+MONTH($H123))+1))</f>
        <v/>
      </c>
      <c r="M123" s="62">
        <f>IF($J123="",0,$K123*MAX(0,MIN(YEAR($C$3)*12+MONTH($C$3)-1,YEAR($I123)*12+MONTH($I123))-(YEAR($H123)*12+MONTH($H123))+1))</f>
        <v/>
      </c>
      <c r="N123" s="62">
        <f>IF(OR($J123="",$B123=""),0,IF(YEAR($B123)*12+MONTH($B123)&lt;=YEAR($C$3)*12+MONTH($C$3),$G123,0))</f>
        <v/>
      </c>
      <c r="O123" s="62">
        <f>IF(OR($J123="",$B123=""),0,IF(YEAR($B123)*12+MONTH($B123)&lt;=YEAR($C$3)*12+MONTH($C$3)-1,$G123,0))</f>
        <v/>
      </c>
      <c r="P123" s="62">
        <f>$M123-$O123</f>
        <v/>
      </c>
      <c r="Q123" s="62">
        <f>($L123-$M123)-($N123-$O123)</f>
        <v/>
      </c>
      <c r="R123" s="62">
        <f>$L123-$N123</f>
        <v/>
      </c>
    </row>
    <row r="124">
      <c r="A124" s="59">
        <f>ROW()-5</f>
        <v/>
      </c>
      <c r="B124" s="60">
        <f>IFERROR(INDEX(tbl_Finance[Date],$A124),"")</f>
        <v/>
      </c>
      <c r="C124" s="61">
        <f>IFERROR(INDEX(tbl_Finance[Xero Invoice No],$A124),"")</f>
        <v/>
      </c>
      <c r="D124" s="61">
        <f>IFERROR(INDEX(tbl_Finance[Client],$A124),"")</f>
        <v/>
      </c>
      <c r="E124" s="61">
        <f>IFERROR(INDEX(tbl_Finance[Job Number],$A124),"")</f>
        <v/>
      </c>
      <c r="F124" s="61">
        <f>IFERROR(INDEX(tbl_Finance[Cost Centre],$A124),"")</f>
        <v/>
      </c>
      <c r="G124" s="62">
        <f>IFERROR(INDEX(tbl_Finance[Ex GST],$A124),"")</f>
        <v/>
      </c>
      <c r="H124" s="60">
        <f>IFERROR(INDEX(tbl_Finance[Defer Start],$A124),"")</f>
        <v/>
      </c>
      <c r="I124" s="60">
        <f>IFERROR(INDEX(tbl_Finance[Defer End],$A124),"")</f>
        <v/>
      </c>
      <c r="J124" s="59">
        <f>IF(OR($H124="",$I124="",$G124=""),"",MAX(1,(YEAR($I124)-YEAR($H124))*12+MONTH($I124)-MONTH($H124)+1))</f>
        <v/>
      </c>
      <c r="K124" s="62">
        <f>IF($J124="","",$G124/$J124)</f>
        <v/>
      </c>
      <c r="L124" s="62">
        <f>IF($J124="",0,$K124*MAX(0,MIN(YEAR($C$3)*12+MONTH($C$3),YEAR($I124)*12+MONTH($I124))-(YEAR($H124)*12+MONTH($H124))+1))</f>
        <v/>
      </c>
      <c r="M124" s="62">
        <f>IF($J124="",0,$K124*MAX(0,MIN(YEAR($C$3)*12+MONTH($C$3)-1,YEAR($I124)*12+MONTH($I124))-(YEAR($H124)*12+MONTH($H124))+1))</f>
        <v/>
      </c>
      <c r="N124" s="62">
        <f>IF(OR($J124="",$B124=""),0,IF(YEAR($B124)*12+MONTH($B124)&lt;=YEAR($C$3)*12+MONTH($C$3),$G124,0))</f>
        <v/>
      </c>
      <c r="O124" s="62">
        <f>IF(OR($J124="",$B124=""),0,IF(YEAR($B124)*12+MONTH($B124)&lt;=YEAR($C$3)*12+MONTH($C$3)-1,$G124,0))</f>
        <v/>
      </c>
      <c r="P124" s="62">
        <f>$M124-$O124</f>
        <v/>
      </c>
      <c r="Q124" s="62">
        <f>($L124-$M124)-($N124-$O124)</f>
        <v/>
      </c>
      <c r="R124" s="62">
        <f>$L124-$N124</f>
        <v/>
      </c>
    </row>
    <row r="125">
      <c r="A125" s="59">
        <f>ROW()-5</f>
        <v/>
      </c>
      <c r="B125" s="60">
        <f>IFERROR(INDEX(tbl_Finance[Date],$A125),"")</f>
        <v/>
      </c>
      <c r="C125" s="61">
        <f>IFERROR(INDEX(tbl_Finance[Xero Invoice No],$A125),"")</f>
        <v/>
      </c>
      <c r="D125" s="61">
        <f>IFERROR(INDEX(tbl_Finance[Client],$A125),"")</f>
        <v/>
      </c>
      <c r="E125" s="61">
        <f>IFERROR(INDEX(tbl_Finance[Job Number],$A125),"")</f>
        <v/>
      </c>
      <c r="F125" s="61">
        <f>IFERROR(INDEX(tbl_Finance[Cost Centre],$A125),"")</f>
        <v/>
      </c>
      <c r="G125" s="62">
        <f>IFERROR(INDEX(tbl_Finance[Ex GST],$A125),"")</f>
        <v/>
      </c>
      <c r="H125" s="60">
        <f>IFERROR(INDEX(tbl_Finance[Defer Start],$A125),"")</f>
        <v/>
      </c>
      <c r="I125" s="60">
        <f>IFERROR(INDEX(tbl_Finance[Defer End],$A125),"")</f>
        <v/>
      </c>
      <c r="J125" s="59">
        <f>IF(OR($H125="",$I125="",$G125=""),"",MAX(1,(YEAR($I125)-YEAR($H125))*12+MONTH($I125)-MONTH($H125)+1))</f>
        <v/>
      </c>
      <c r="K125" s="62">
        <f>IF($J125="","",$G125/$J125)</f>
        <v/>
      </c>
      <c r="L125" s="62">
        <f>IF($J125="",0,$K125*MAX(0,MIN(YEAR($C$3)*12+MONTH($C$3),YEAR($I125)*12+MONTH($I125))-(YEAR($H125)*12+MONTH($H125))+1))</f>
        <v/>
      </c>
      <c r="M125" s="62">
        <f>IF($J125="",0,$K125*MAX(0,MIN(YEAR($C$3)*12+MONTH($C$3)-1,YEAR($I125)*12+MONTH($I125))-(YEAR($H125)*12+MONTH($H125))+1))</f>
        <v/>
      </c>
      <c r="N125" s="62">
        <f>IF(OR($J125="",$B125=""),0,IF(YEAR($B125)*12+MONTH($B125)&lt;=YEAR($C$3)*12+MONTH($C$3),$G125,0))</f>
        <v/>
      </c>
      <c r="O125" s="62">
        <f>IF(OR($J125="",$B125=""),0,IF(YEAR($B125)*12+MONTH($B125)&lt;=YEAR($C$3)*12+MONTH($C$3)-1,$G125,0))</f>
        <v/>
      </c>
      <c r="P125" s="62">
        <f>$M125-$O125</f>
        <v/>
      </c>
      <c r="Q125" s="62">
        <f>($L125-$M125)-($N125-$O125)</f>
        <v/>
      </c>
      <c r="R125" s="62">
        <f>$L125-$N125</f>
        <v/>
      </c>
    </row>
    <row r="126">
      <c r="A126" s="59">
        <f>ROW()-5</f>
        <v/>
      </c>
      <c r="B126" s="60">
        <f>IFERROR(INDEX(tbl_Finance[Date],$A126),"")</f>
        <v/>
      </c>
      <c r="C126" s="61">
        <f>IFERROR(INDEX(tbl_Finance[Xero Invoice No],$A126),"")</f>
        <v/>
      </c>
      <c r="D126" s="61">
        <f>IFERROR(INDEX(tbl_Finance[Client],$A126),"")</f>
        <v/>
      </c>
      <c r="E126" s="61">
        <f>IFERROR(INDEX(tbl_Finance[Job Number],$A126),"")</f>
        <v/>
      </c>
      <c r="F126" s="61">
        <f>IFERROR(INDEX(tbl_Finance[Cost Centre],$A126),"")</f>
        <v/>
      </c>
      <c r="G126" s="62">
        <f>IFERROR(INDEX(tbl_Finance[Ex GST],$A126),"")</f>
        <v/>
      </c>
      <c r="H126" s="60">
        <f>IFERROR(INDEX(tbl_Finance[Defer Start],$A126),"")</f>
        <v/>
      </c>
      <c r="I126" s="60">
        <f>IFERROR(INDEX(tbl_Finance[Defer End],$A126),"")</f>
        <v/>
      </c>
      <c r="J126" s="59">
        <f>IF(OR($H126="",$I126="",$G126=""),"",MAX(1,(YEAR($I126)-YEAR($H126))*12+MONTH($I126)-MONTH($H126)+1))</f>
        <v/>
      </c>
      <c r="K126" s="62">
        <f>IF($J126="","",$G126/$J126)</f>
        <v/>
      </c>
      <c r="L126" s="62">
        <f>IF($J126="",0,$K126*MAX(0,MIN(YEAR($C$3)*12+MONTH($C$3),YEAR($I126)*12+MONTH($I126))-(YEAR($H126)*12+MONTH($H126))+1))</f>
        <v/>
      </c>
      <c r="M126" s="62">
        <f>IF($J126="",0,$K126*MAX(0,MIN(YEAR($C$3)*12+MONTH($C$3)-1,YEAR($I126)*12+MONTH($I126))-(YEAR($H126)*12+MONTH($H126))+1))</f>
        <v/>
      </c>
      <c r="N126" s="62">
        <f>IF(OR($J126="",$B126=""),0,IF(YEAR($B126)*12+MONTH($B126)&lt;=YEAR($C$3)*12+MONTH($C$3),$G126,0))</f>
        <v/>
      </c>
      <c r="O126" s="62">
        <f>IF(OR($J126="",$B126=""),0,IF(YEAR($B126)*12+MONTH($B126)&lt;=YEAR($C$3)*12+MONTH($C$3)-1,$G126,0))</f>
        <v/>
      </c>
      <c r="P126" s="62">
        <f>$M126-$O126</f>
        <v/>
      </c>
      <c r="Q126" s="62">
        <f>($L126-$M126)-($N126-$O126)</f>
        <v/>
      </c>
      <c r="R126" s="62">
        <f>$L126-$N126</f>
        <v/>
      </c>
    </row>
    <row r="127">
      <c r="A127" s="59">
        <f>ROW()-5</f>
        <v/>
      </c>
      <c r="B127" s="60">
        <f>IFERROR(INDEX(tbl_Finance[Date],$A127),"")</f>
        <v/>
      </c>
      <c r="C127" s="61">
        <f>IFERROR(INDEX(tbl_Finance[Xero Invoice No],$A127),"")</f>
        <v/>
      </c>
      <c r="D127" s="61">
        <f>IFERROR(INDEX(tbl_Finance[Client],$A127),"")</f>
        <v/>
      </c>
      <c r="E127" s="61">
        <f>IFERROR(INDEX(tbl_Finance[Job Number],$A127),"")</f>
        <v/>
      </c>
      <c r="F127" s="61">
        <f>IFERROR(INDEX(tbl_Finance[Cost Centre],$A127),"")</f>
        <v/>
      </c>
      <c r="G127" s="62">
        <f>IFERROR(INDEX(tbl_Finance[Ex GST],$A127),"")</f>
        <v/>
      </c>
      <c r="H127" s="60">
        <f>IFERROR(INDEX(tbl_Finance[Defer Start],$A127),"")</f>
        <v/>
      </c>
      <c r="I127" s="60">
        <f>IFERROR(INDEX(tbl_Finance[Defer End],$A127),"")</f>
        <v/>
      </c>
      <c r="J127" s="59">
        <f>IF(OR($H127="",$I127="",$G127=""),"",MAX(1,(YEAR($I127)-YEAR($H127))*12+MONTH($I127)-MONTH($H127)+1))</f>
        <v/>
      </c>
      <c r="K127" s="62">
        <f>IF($J127="","",$G127/$J127)</f>
        <v/>
      </c>
      <c r="L127" s="62">
        <f>IF($J127="",0,$K127*MAX(0,MIN(YEAR($C$3)*12+MONTH($C$3),YEAR($I127)*12+MONTH($I127))-(YEAR($H127)*12+MONTH($H127))+1))</f>
        <v/>
      </c>
      <c r="M127" s="62">
        <f>IF($J127="",0,$K127*MAX(0,MIN(YEAR($C$3)*12+MONTH($C$3)-1,YEAR($I127)*12+MONTH($I127))-(YEAR($H127)*12+MONTH($H127))+1))</f>
        <v/>
      </c>
      <c r="N127" s="62">
        <f>IF(OR($J127="",$B127=""),0,IF(YEAR($B127)*12+MONTH($B127)&lt;=YEAR($C$3)*12+MONTH($C$3),$G127,0))</f>
        <v/>
      </c>
      <c r="O127" s="62">
        <f>IF(OR($J127="",$B127=""),0,IF(YEAR($B127)*12+MONTH($B127)&lt;=YEAR($C$3)*12+MONTH($C$3)-1,$G127,0))</f>
        <v/>
      </c>
      <c r="P127" s="62">
        <f>$M127-$O127</f>
        <v/>
      </c>
      <c r="Q127" s="62">
        <f>($L127-$M127)-($N127-$O127)</f>
        <v/>
      </c>
      <c r="R127" s="62">
        <f>$L127-$N127</f>
        <v/>
      </c>
    </row>
    <row r="128">
      <c r="A128" s="59">
        <f>ROW()-5</f>
        <v/>
      </c>
      <c r="B128" s="60">
        <f>IFERROR(INDEX(tbl_Finance[Date],$A128),"")</f>
        <v/>
      </c>
      <c r="C128" s="61">
        <f>IFERROR(INDEX(tbl_Finance[Xero Invoice No],$A128),"")</f>
        <v/>
      </c>
      <c r="D128" s="61">
        <f>IFERROR(INDEX(tbl_Finance[Client],$A128),"")</f>
        <v/>
      </c>
      <c r="E128" s="61">
        <f>IFERROR(INDEX(tbl_Finance[Job Number],$A128),"")</f>
        <v/>
      </c>
      <c r="F128" s="61">
        <f>IFERROR(INDEX(tbl_Finance[Cost Centre],$A128),"")</f>
        <v/>
      </c>
      <c r="G128" s="62">
        <f>IFERROR(INDEX(tbl_Finance[Ex GST],$A128),"")</f>
        <v/>
      </c>
      <c r="H128" s="60">
        <f>IFERROR(INDEX(tbl_Finance[Defer Start],$A128),"")</f>
        <v/>
      </c>
      <c r="I128" s="60">
        <f>IFERROR(INDEX(tbl_Finance[Defer End],$A128),"")</f>
        <v/>
      </c>
      <c r="J128" s="59">
        <f>IF(OR($H128="",$I128="",$G128=""),"",MAX(1,(YEAR($I128)-YEAR($H128))*12+MONTH($I128)-MONTH($H128)+1))</f>
        <v/>
      </c>
      <c r="K128" s="62">
        <f>IF($J128="","",$G128/$J128)</f>
        <v/>
      </c>
      <c r="L128" s="62">
        <f>IF($J128="",0,$K128*MAX(0,MIN(YEAR($C$3)*12+MONTH($C$3),YEAR($I128)*12+MONTH($I128))-(YEAR($H128)*12+MONTH($H128))+1))</f>
        <v/>
      </c>
      <c r="M128" s="62">
        <f>IF($J128="",0,$K128*MAX(0,MIN(YEAR($C$3)*12+MONTH($C$3)-1,YEAR($I128)*12+MONTH($I128))-(YEAR($H128)*12+MONTH($H128))+1))</f>
        <v/>
      </c>
      <c r="N128" s="62">
        <f>IF(OR($J128="",$B128=""),0,IF(YEAR($B128)*12+MONTH($B128)&lt;=YEAR($C$3)*12+MONTH($C$3),$G128,0))</f>
        <v/>
      </c>
      <c r="O128" s="62">
        <f>IF(OR($J128="",$B128=""),0,IF(YEAR($B128)*12+MONTH($B128)&lt;=YEAR($C$3)*12+MONTH($C$3)-1,$G128,0))</f>
        <v/>
      </c>
      <c r="P128" s="62">
        <f>$M128-$O128</f>
        <v/>
      </c>
      <c r="Q128" s="62">
        <f>($L128-$M128)-($N128-$O128)</f>
        <v/>
      </c>
      <c r="R128" s="62">
        <f>$L128-$N128</f>
        <v/>
      </c>
    </row>
    <row r="129">
      <c r="A129" s="59">
        <f>ROW()-5</f>
        <v/>
      </c>
      <c r="B129" s="60">
        <f>IFERROR(INDEX(tbl_Finance[Date],$A129),"")</f>
        <v/>
      </c>
      <c r="C129" s="61">
        <f>IFERROR(INDEX(tbl_Finance[Xero Invoice No],$A129),"")</f>
        <v/>
      </c>
      <c r="D129" s="61">
        <f>IFERROR(INDEX(tbl_Finance[Client],$A129),"")</f>
        <v/>
      </c>
      <c r="E129" s="61">
        <f>IFERROR(INDEX(tbl_Finance[Job Number],$A129),"")</f>
        <v/>
      </c>
      <c r="F129" s="61">
        <f>IFERROR(INDEX(tbl_Finance[Cost Centre],$A129),"")</f>
        <v/>
      </c>
      <c r="G129" s="62">
        <f>IFERROR(INDEX(tbl_Finance[Ex GST],$A129),"")</f>
        <v/>
      </c>
      <c r="H129" s="60">
        <f>IFERROR(INDEX(tbl_Finance[Defer Start],$A129),"")</f>
        <v/>
      </c>
      <c r="I129" s="60">
        <f>IFERROR(INDEX(tbl_Finance[Defer End],$A129),"")</f>
        <v/>
      </c>
      <c r="J129" s="59">
        <f>IF(OR($H129="",$I129="",$G129=""),"",MAX(1,(YEAR($I129)-YEAR($H129))*12+MONTH($I129)-MONTH($H129)+1))</f>
        <v/>
      </c>
      <c r="K129" s="62">
        <f>IF($J129="","",$G129/$J129)</f>
        <v/>
      </c>
      <c r="L129" s="62">
        <f>IF($J129="",0,$K129*MAX(0,MIN(YEAR($C$3)*12+MONTH($C$3),YEAR($I129)*12+MONTH($I129))-(YEAR($H129)*12+MONTH($H129))+1))</f>
        <v/>
      </c>
      <c r="M129" s="62">
        <f>IF($J129="",0,$K129*MAX(0,MIN(YEAR($C$3)*12+MONTH($C$3)-1,YEAR($I129)*12+MONTH($I129))-(YEAR($H129)*12+MONTH($H129))+1))</f>
        <v/>
      </c>
      <c r="N129" s="62">
        <f>IF(OR($J129="",$B129=""),0,IF(YEAR($B129)*12+MONTH($B129)&lt;=YEAR($C$3)*12+MONTH($C$3),$G129,0))</f>
        <v/>
      </c>
      <c r="O129" s="62">
        <f>IF(OR($J129="",$B129=""),0,IF(YEAR($B129)*12+MONTH($B129)&lt;=YEAR($C$3)*12+MONTH($C$3)-1,$G129,0))</f>
        <v/>
      </c>
      <c r="P129" s="62">
        <f>$M129-$O129</f>
        <v/>
      </c>
      <c r="Q129" s="62">
        <f>($L129-$M129)-($N129-$O129)</f>
        <v/>
      </c>
      <c r="R129" s="62">
        <f>$L129-$N129</f>
        <v/>
      </c>
    </row>
    <row r="130">
      <c r="A130" s="59">
        <f>ROW()-5</f>
        <v/>
      </c>
      <c r="B130" s="60">
        <f>IFERROR(INDEX(tbl_Finance[Date],$A130),"")</f>
        <v/>
      </c>
      <c r="C130" s="61">
        <f>IFERROR(INDEX(tbl_Finance[Xero Invoice No],$A130),"")</f>
        <v/>
      </c>
      <c r="D130" s="61">
        <f>IFERROR(INDEX(tbl_Finance[Client],$A130),"")</f>
        <v/>
      </c>
      <c r="E130" s="61">
        <f>IFERROR(INDEX(tbl_Finance[Job Number],$A130),"")</f>
        <v/>
      </c>
      <c r="F130" s="61">
        <f>IFERROR(INDEX(tbl_Finance[Cost Centre],$A130),"")</f>
        <v/>
      </c>
      <c r="G130" s="62">
        <f>IFERROR(INDEX(tbl_Finance[Ex GST],$A130),"")</f>
        <v/>
      </c>
      <c r="H130" s="60">
        <f>IFERROR(INDEX(tbl_Finance[Defer Start],$A130),"")</f>
        <v/>
      </c>
      <c r="I130" s="60">
        <f>IFERROR(INDEX(tbl_Finance[Defer End],$A130),"")</f>
        <v/>
      </c>
      <c r="J130" s="59">
        <f>IF(OR($H130="",$I130="",$G130=""),"",MAX(1,(YEAR($I130)-YEAR($H130))*12+MONTH($I130)-MONTH($H130)+1))</f>
        <v/>
      </c>
      <c r="K130" s="62">
        <f>IF($J130="","",$G130/$J130)</f>
        <v/>
      </c>
      <c r="L130" s="62">
        <f>IF($J130="",0,$K130*MAX(0,MIN(YEAR($C$3)*12+MONTH($C$3),YEAR($I130)*12+MONTH($I130))-(YEAR($H130)*12+MONTH($H130))+1))</f>
        <v/>
      </c>
      <c r="M130" s="62">
        <f>IF($J130="",0,$K130*MAX(0,MIN(YEAR($C$3)*12+MONTH($C$3)-1,YEAR($I130)*12+MONTH($I130))-(YEAR($H130)*12+MONTH($H130))+1))</f>
        <v/>
      </c>
      <c r="N130" s="62">
        <f>IF(OR($J130="",$B130=""),0,IF(YEAR($B130)*12+MONTH($B130)&lt;=YEAR($C$3)*12+MONTH($C$3),$G130,0))</f>
        <v/>
      </c>
      <c r="O130" s="62">
        <f>IF(OR($J130="",$B130=""),0,IF(YEAR($B130)*12+MONTH($B130)&lt;=YEAR($C$3)*12+MONTH($C$3)-1,$G130,0))</f>
        <v/>
      </c>
      <c r="P130" s="62">
        <f>$M130-$O130</f>
        <v/>
      </c>
      <c r="Q130" s="62">
        <f>($L130-$M130)-($N130-$O130)</f>
        <v/>
      </c>
      <c r="R130" s="62">
        <f>$L130-$N130</f>
        <v/>
      </c>
    </row>
    <row r="131">
      <c r="A131" s="59">
        <f>ROW()-5</f>
        <v/>
      </c>
      <c r="B131" s="60">
        <f>IFERROR(INDEX(tbl_Finance[Date],$A131),"")</f>
        <v/>
      </c>
      <c r="C131" s="61">
        <f>IFERROR(INDEX(tbl_Finance[Xero Invoice No],$A131),"")</f>
        <v/>
      </c>
      <c r="D131" s="61">
        <f>IFERROR(INDEX(tbl_Finance[Client],$A131),"")</f>
        <v/>
      </c>
      <c r="E131" s="61">
        <f>IFERROR(INDEX(tbl_Finance[Job Number],$A131),"")</f>
        <v/>
      </c>
      <c r="F131" s="61">
        <f>IFERROR(INDEX(tbl_Finance[Cost Centre],$A131),"")</f>
        <v/>
      </c>
      <c r="G131" s="62">
        <f>IFERROR(INDEX(tbl_Finance[Ex GST],$A131),"")</f>
        <v/>
      </c>
      <c r="H131" s="60">
        <f>IFERROR(INDEX(tbl_Finance[Defer Start],$A131),"")</f>
        <v/>
      </c>
      <c r="I131" s="60">
        <f>IFERROR(INDEX(tbl_Finance[Defer End],$A131),"")</f>
        <v/>
      </c>
      <c r="J131" s="59">
        <f>IF(OR($H131="",$I131="",$G131=""),"",MAX(1,(YEAR($I131)-YEAR($H131))*12+MONTH($I131)-MONTH($H131)+1))</f>
        <v/>
      </c>
      <c r="K131" s="62">
        <f>IF($J131="","",$G131/$J131)</f>
        <v/>
      </c>
      <c r="L131" s="62">
        <f>IF($J131="",0,$K131*MAX(0,MIN(YEAR($C$3)*12+MONTH($C$3),YEAR($I131)*12+MONTH($I131))-(YEAR($H131)*12+MONTH($H131))+1))</f>
        <v/>
      </c>
      <c r="M131" s="62">
        <f>IF($J131="",0,$K131*MAX(0,MIN(YEAR($C$3)*12+MONTH($C$3)-1,YEAR($I131)*12+MONTH($I131))-(YEAR($H131)*12+MONTH($H131))+1))</f>
        <v/>
      </c>
      <c r="N131" s="62">
        <f>IF(OR($J131="",$B131=""),0,IF(YEAR($B131)*12+MONTH($B131)&lt;=YEAR($C$3)*12+MONTH($C$3),$G131,0))</f>
        <v/>
      </c>
      <c r="O131" s="62">
        <f>IF(OR($J131="",$B131=""),0,IF(YEAR($B131)*12+MONTH($B131)&lt;=YEAR($C$3)*12+MONTH($C$3)-1,$G131,0))</f>
        <v/>
      </c>
      <c r="P131" s="62">
        <f>$M131-$O131</f>
        <v/>
      </c>
      <c r="Q131" s="62">
        <f>($L131-$M131)-($N131-$O131)</f>
        <v/>
      </c>
      <c r="R131" s="62">
        <f>$L131-$N131</f>
        <v/>
      </c>
    </row>
    <row r="132">
      <c r="A132" s="59">
        <f>ROW()-5</f>
        <v/>
      </c>
      <c r="B132" s="60">
        <f>IFERROR(INDEX(tbl_Finance[Date],$A132),"")</f>
        <v/>
      </c>
      <c r="C132" s="61">
        <f>IFERROR(INDEX(tbl_Finance[Xero Invoice No],$A132),"")</f>
        <v/>
      </c>
      <c r="D132" s="61">
        <f>IFERROR(INDEX(tbl_Finance[Client],$A132),"")</f>
        <v/>
      </c>
      <c r="E132" s="61">
        <f>IFERROR(INDEX(tbl_Finance[Job Number],$A132),"")</f>
        <v/>
      </c>
      <c r="F132" s="61">
        <f>IFERROR(INDEX(tbl_Finance[Cost Centre],$A132),"")</f>
        <v/>
      </c>
      <c r="G132" s="62">
        <f>IFERROR(INDEX(tbl_Finance[Ex GST],$A132),"")</f>
        <v/>
      </c>
      <c r="H132" s="60">
        <f>IFERROR(INDEX(tbl_Finance[Defer Start],$A132),"")</f>
        <v/>
      </c>
      <c r="I132" s="60">
        <f>IFERROR(INDEX(tbl_Finance[Defer End],$A132),"")</f>
        <v/>
      </c>
      <c r="J132" s="59">
        <f>IF(OR($H132="",$I132="",$G132=""),"",MAX(1,(YEAR($I132)-YEAR($H132))*12+MONTH($I132)-MONTH($H132)+1))</f>
        <v/>
      </c>
      <c r="K132" s="62">
        <f>IF($J132="","",$G132/$J132)</f>
        <v/>
      </c>
      <c r="L132" s="62">
        <f>IF($J132="",0,$K132*MAX(0,MIN(YEAR($C$3)*12+MONTH($C$3),YEAR($I132)*12+MONTH($I132))-(YEAR($H132)*12+MONTH($H132))+1))</f>
        <v/>
      </c>
      <c r="M132" s="62">
        <f>IF($J132="",0,$K132*MAX(0,MIN(YEAR($C$3)*12+MONTH($C$3)-1,YEAR($I132)*12+MONTH($I132))-(YEAR($H132)*12+MONTH($H132))+1))</f>
        <v/>
      </c>
      <c r="N132" s="62">
        <f>IF(OR($J132="",$B132=""),0,IF(YEAR($B132)*12+MONTH($B132)&lt;=YEAR($C$3)*12+MONTH($C$3),$G132,0))</f>
        <v/>
      </c>
      <c r="O132" s="62">
        <f>IF(OR($J132="",$B132=""),0,IF(YEAR($B132)*12+MONTH($B132)&lt;=YEAR($C$3)*12+MONTH($C$3)-1,$G132,0))</f>
        <v/>
      </c>
      <c r="P132" s="62">
        <f>$M132-$O132</f>
        <v/>
      </c>
      <c r="Q132" s="62">
        <f>($L132-$M132)-($N132-$O132)</f>
        <v/>
      </c>
      <c r="R132" s="62">
        <f>$L132-$N132</f>
        <v/>
      </c>
    </row>
    <row r="133">
      <c r="A133" s="59">
        <f>ROW()-5</f>
        <v/>
      </c>
      <c r="B133" s="60">
        <f>IFERROR(INDEX(tbl_Finance[Date],$A133),"")</f>
        <v/>
      </c>
      <c r="C133" s="61">
        <f>IFERROR(INDEX(tbl_Finance[Xero Invoice No],$A133),"")</f>
        <v/>
      </c>
      <c r="D133" s="61">
        <f>IFERROR(INDEX(tbl_Finance[Client],$A133),"")</f>
        <v/>
      </c>
      <c r="E133" s="61">
        <f>IFERROR(INDEX(tbl_Finance[Job Number],$A133),"")</f>
        <v/>
      </c>
      <c r="F133" s="61">
        <f>IFERROR(INDEX(tbl_Finance[Cost Centre],$A133),"")</f>
        <v/>
      </c>
      <c r="G133" s="62">
        <f>IFERROR(INDEX(tbl_Finance[Ex GST],$A133),"")</f>
        <v/>
      </c>
      <c r="H133" s="60">
        <f>IFERROR(INDEX(tbl_Finance[Defer Start],$A133),"")</f>
        <v/>
      </c>
      <c r="I133" s="60">
        <f>IFERROR(INDEX(tbl_Finance[Defer End],$A133),"")</f>
        <v/>
      </c>
      <c r="J133" s="59">
        <f>IF(OR($H133="",$I133="",$G133=""),"",MAX(1,(YEAR($I133)-YEAR($H133))*12+MONTH($I133)-MONTH($H133)+1))</f>
        <v/>
      </c>
      <c r="K133" s="62">
        <f>IF($J133="","",$G133/$J133)</f>
        <v/>
      </c>
      <c r="L133" s="62">
        <f>IF($J133="",0,$K133*MAX(0,MIN(YEAR($C$3)*12+MONTH($C$3),YEAR($I133)*12+MONTH($I133))-(YEAR($H133)*12+MONTH($H133))+1))</f>
        <v/>
      </c>
      <c r="M133" s="62">
        <f>IF($J133="",0,$K133*MAX(0,MIN(YEAR($C$3)*12+MONTH($C$3)-1,YEAR($I133)*12+MONTH($I133))-(YEAR($H133)*12+MONTH($H133))+1))</f>
        <v/>
      </c>
      <c r="N133" s="62">
        <f>IF(OR($J133="",$B133=""),0,IF(YEAR($B133)*12+MONTH($B133)&lt;=YEAR($C$3)*12+MONTH($C$3),$G133,0))</f>
        <v/>
      </c>
      <c r="O133" s="62">
        <f>IF(OR($J133="",$B133=""),0,IF(YEAR($B133)*12+MONTH($B133)&lt;=YEAR($C$3)*12+MONTH($C$3)-1,$G133,0))</f>
        <v/>
      </c>
      <c r="P133" s="62">
        <f>$M133-$O133</f>
        <v/>
      </c>
      <c r="Q133" s="62">
        <f>($L133-$M133)-($N133-$O133)</f>
        <v/>
      </c>
      <c r="R133" s="62">
        <f>$L133-$N133</f>
        <v/>
      </c>
    </row>
    <row r="134">
      <c r="A134" s="59">
        <f>ROW()-5</f>
        <v/>
      </c>
      <c r="B134" s="60">
        <f>IFERROR(INDEX(tbl_Finance[Date],$A134),"")</f>
        <v/>
      </c>
      <c r="C134" s="61">
        <f>IFERROR(INDEX(tbl_Finance[Xero Invoice No],$A134),"")</f>
        <v/>
      </c>
      <c r="D134" s="61">
        <f>IFERROR(INDEX(tbl_Finance[Client],$A134),"")</f>
        <v/>
      </c>
      <c r="E134" s="61">
        <f>IFERROR(INDEX(tbl_Finance[Job Number],$A134),"")</f>
        <v/>
      </c>
      <c r="F134" s="61">
        <f>IFERROR(INDEX(tbl_Finance[Cost Centre],$A134),"")</f>
        <v/>
      </c>
      <c r="G134" s="62">
        <f>IFERROR(INDEX(tbl_Finance[Ex GST],$A134),"")</f>
        <v/>
      </c>
      <c r="H134" s="60">
        <f>IFERROR(INDEX(tbl_Finance[Defer Start],$A134),"")</f>
        <v/>
      </c>
      <c r="I134" s="60">
        <f>IFERROR(INDEX(tbl_Finance[Defer End],$A134),"")</f>
        <v/>
      </c>
      <c r="J134" s="59">
        <f>IF(OR($H134="",$I134="",$G134=""),"",MAX(1,(YEAR($I134)-YEAR($H134))*12+MONTH($I134)-MONTH($H134)+1))</f>
        <v/>
      </c>
      <c r="K134" s="62">
        <f>IF($J134="","",$G134/$J134)</f>
        <v/>
      </c>
      <c r="L134" s="62">
        <f>IF($J134="",0,$K134*MAX(0,MIN(YEAR($C$3)*12+MONTH($C$3),YEAR($I134)*12+MONTH($I134))-(YEAR($H134)*12+MONTH($H134))+1))</f>
        <v/>
      </c>
      <c r="M134" s="62">
        <f>IF($J134="",0,$K134*MAX(0,MIN(YEAR($C$3)*12+MONTH($C$3)-1,YEAR($I134)*12+MONTH($I134))-(YEAR($H134)*12+MONTH($H134))+1))</f>
        <v/>
      </c>
      <c r="N134" s="62">
        <f>IF(OR($J134="",$B134=""),0,IF(YEAR($B134)*12+MONTH($B134)&lt;=YEAR($C$3)*12+MONTH($C$3),$G134,0))</f>
        <v/>
      </c>
      <c r="O134" s="62">
        <f>IF(OR($J134="",$B134=""),0,IF(YEAR($B134)*12+MONTH($B134)&lt;=YEAR($C$3)*12+MONTH($C$3)-1,$G134,0))</f>
        <v/>
      </c>
      <c r="P134" s="62">
        <f>$M134-$O134</f>
        <v/>
      </c>
      <c r="Q134" s="62">
        <f>($L134-$M134)-($N134-$O134)</f>
        <v/>
      </c>
      <c r="R134" s="62">
        <f>$L134-$N134</f>
        <v/>
      </c>
    </row>
    <row r="135">
      <c r="A135" s="59">
        <f>ROW()-5</f>
        <v/>
      </c>
      <c r="B135" s="60">
        <f>IFERROR(INDEX(tbl_Finance[Date],$A135),"")</f>
        <v/>
      </c>
      <c r="C135" s="61">
        <f>IFERROR(INDEX(tbl_Finance[Xero Invoice No],$A135),"")</f>
        <v/>
      </c>
      <c r="D135" s="61">
        <f>IFERROR(INDEX(tbl_Finance[Client],$A135),"")</f>
        <v/>
      </c>
      <c r="E135" s="61">
        <f>IFERROR(INDEX(tbl_Finance[Job Number],$A135),"")</f>
        <v/>
      </c>
      <c r="F135" s="61">
        <f>IFERROR(INDEX(tbl_Finance[Cost Centre],$A135),"")</f>
        <v/>
      </c>
      <c r="G135" s="62">
        <f>IFERROR(INDEX(tbl_Finance[Ex GST],$A135),"")</f>
        <v/>
      </c>
      <c r="H135" s="60">
        <f>IFERROR(INDEX(tbl_Finance[Defer Start],$A135),"")</f>
        <v/>
      </c>
      <c r="I135" s="60">
        <f>IFERROR(INDEX(tbl_Finance[Defer End],$A135),"")</f>
        <v/>
      </c>
      <c r="J135" s="59">
        <f>IF(OR($H135="",$I135="",$G135=""),"",MAX(1,(YEAR($I135)-YEAR($H135))*12+MONTH($I135)-MONTH($H135)+1))</f>
        <v/>
      </c>
      <c r="K135" s="62">
        <f>IF($J135="","",$G135/$J135)</f>
        <v/>
      </c>
      <c r="L135" s="62">
        <f>IF($J135="",0,$K135*MAX(0,MIN(YEAR($C$3)*12+MONTH($C$3),YEAR($I135)*12+MONTH($I135))-(YEAR($H135)*12+MONTH($H135))+1))</f>
        <v/>
      </c>
      <c r="M135" s="62">
        <f>IF($J135="",0,$K135*MAX(0,MIN(YEAR($C$3)*12+MONTH($C$3)-1,YEAR($I135)*12+MONTH($I135))-(YEAR($H135)*12+MONTH($H135))+1))</f>
        <v/>
      </c>
      <c r="N135" s="62">
        <f>IF(OR($J135="",$B135=""),0,IF(YEAR($B135)*12+MONTH($B135)&lt;=YEAR($C$3)*12+MONTH($C$3),$G135,0))</f>
        <v/>
      </c>
      <c r="O135" s="62">
        <f>IF(OR($J135="",$B135=""),0,IF(YEAR($B135)*12+MONTH($B135)&lt;=YEAR($C$3)*12+MONTH($C$3)-1,$G135,0))</f>
        <v/>
      </c>
      <c r="P135" s="62">
        <f>$M135-$O135</f>
        <v/>
      </c>
      <c r="Q135" s="62">
        <f>($L135-$M135)-($N135-$O135)</f>
        <v/>
      </c>
      <c r="R135" s="62">
        <f>$L135-$N135</f>
        <v/>
      </c>
    </row>
    <row r="136">
      <c r="A136" s="59">
        <f>ROW()-5</f>
        <v/>
      </c>
      <c r="B136" s="60">
        <f>IFERROR(INDEX(tbl_Finance[Date],$A136),"")</f>
        <v/>
      </c>
      <c r="C136" s="61">
        <f>IFERROR(INDEX(tbl_Finance[Xero Invoice No],$A136),"")</f>
        <v/>
      </c>
      <c r="D136" s="61">
        <f>IFERROR(INDEX(tbl_Finance[Client],$A136),"")</f>
        <v/>
      </c>
      <c r="E136" s="61">
        <f>IFERROR(INDEX(tbl_Finance[Job Number],$A136),"")</f>
        <v/>
      </c>
      <c r="F136" s="61">
        <f>IFERROR(INDEX(tbl_Finance[Cost Centre],$A136),"")</f>
        <v/>
      </c>
      <c r="G136" s="62">
        <f>IFERROR(INDEX(tbl_Finance[Ex GST],$A136),"")</f>
        <v/>
      </c>
      <c r="H136" s="60">
        <f>IFERROR(INDEX(tbl_Finance[Defer Start],$A136),"")</f>
        <v/>
      </c>
      <c r="I136" s="60">
        <f>IFERROR(INDEX(tbl_Finance[Defer End],$A136),"")</f>
        <v/>
      </c>
      <c r="J136" s="59">
        <f>IF(OR($H136="",$I136="",$G136=""),"",MAX(1,(YEAR($I136)-YEAR($H136))*12+MONTH($I136)-MONTH($H136)+1))</f>
        <v/>
      </c>
      <c r="K136" s="62">
        <f>IF($J136="","",$G136/$J136)</f>
        <v/>
      </c>
      <c r="L136" s="62">
        <f>IF($J136="",0,$K136*MAX(0,MIN(YEAR($C$3)*12+MONTH($C$3),YEAR($I136)*12+MONTH($I136))-(YEAR($H136)*12+MONTH($H136))+1))</f>
        <v/>
      </c>
      <c r="M136" s="62">
        <f>IF($J136="",0,$K136*MAX(0,MIN(YEAR($C$3)*12+MONTH($C$3)-1,YEAR($I136)*12+MONTH($I136))-(YEAR($H136)*12+MONTH($H136))+1))</f>
        <v/>
      </c>
      <c r="N136" s="62">
        <f>IF(OR($J136="",$B136=""),0,IF(YEAR($B136)*12+MONTH($B136)&lt;=YEAR($C$3)*12+MONTH($C$3),$G136,0))</f>
        <v/>
      </c>
      <c r="O136" s="62">
        <f>IF(OR($J136="",$B136=""),0,IF(YEAR($B136)*12+MONTH($B136)&lt;=YEAR($C$3)*12+MONTH($C$3)-1,$G136,0))</f>
        <v/>
      </c>
      <c r="P136" s="62">
        <f>$M136-$O136</f>
        <v/>
      </c>
      <c r="Q136" s="62">
        <f>($L136-$M136)-($N136-$O136)</f>
        <v/>
      </c>
      <c r="R136" s="62">
        <f>$L136-$N136</f>
        <v/>
      </c>
    </row>
    <row r="137">
      <c r="A137" s="59">
        <f>ROW()-5</f>
        <v/>
      </c>
      <c r="B137" s="60">
        <f>IFERROR(INDEX(tbl_Finance[Date],$A137),"")</f>
        <v/>
      </c>
      <c r="C137" s="61">
        <f>IFERROR(INDEX(tbl_Finance[Xero Invoice No],$A137),"")</f>
        <v/>
      </c>
      <c r="D137" s="61">
        <f>IFERROR(INDEX(tbl_Finance[Client],$A137),"")</f>
        <v/>
      </c>
      <c r="E137" s="61">
        <f>IFERROR(INDEX(tbl_Finance[Job Number],$A137),"")</f>
        <v/>
      </c>
      <c r="F137" s="61">
        <f>IFERROR(INDEX(tbl_Finance[Cost Centre],$A137),"")</f>
        <v/>
      </c>
      <c r="G137" s="62">
        <f>IFERROR(INDEX(tbl_Finance[Ex GST],$A137),"")</f>
        <v/>
      </c>
      <c r="H137" s="60">
        <f>IFERROR(INDEX(tbl_Finance[Defer Start],$A137),"")</f>
        <v/>
      </c>
      <c r="I137" s="60">
        <f>IFERROR(INDEX(tbl_Finance[Defer End],$A137),"")</f>
        <v/>
      </c>
      <c r="J137" s="59">
        <f>IF(OR($H137="",$I137="",$G137=""),"",MAX(1,(YEAR($I137)-YEAR($H137))*12+MONTH($I137)-MONTH($H137)+1))</f>
        <v/>
      </c>
      <c r="K137" s="62">
        <f>IF($J137="","",$G137/$J137)</f>
        <v/>
      </c>
      <c r="L137" s="62">
        <f>IF($J137="",0,$K137*MAX(0,MIN(YEAR($C$3)*12+MONTH($C$3),YEAR($I137)*12+MONTH($I137))-(YEAR($H137)*12+MONTH($H137))+1))</f>
        <v/>
      </c>
      <c r="M137" s="62">
        <f>IF($J137="",0,$K137*MAX(0,MIN(YEAR($C$3)*12+MONTH($C$3)-1,YEAR($I137)*12+MONTH($I137))-(YEAR($H137)*12+MONTH($H137))+1))</f>
        <v/>
      </c>
      <c r="N137" s="62">
        <f>IF(OR($J137="",$B137=""),0,IF(YEAR($B137)*12+MONTH($B137)&lt;=YEAR($C$3)*12+MONTH($C$3),$G137,0))</f>
        <v/>
      </c>
      <c r="O137" s="62">
        <f>IF(OR($J137="",$B137=""),0,IF(YEAR($B137)*12+MONTH($B137)&lt;=YEAR($C$3)*12+MONTH($C$3)-1,$G137,0))</f>
        <v/>
      </c>
      <c r="P137" s="62">
        <f>$M137-$O137</f>
        <v/>
      </c>
      <c r="Q137" s="62">
        <f>($L137-$M137)-($N137-$O137)</f>
        <v/>
      </c>
      <c r="R137" s="62">
        <f>$L137-$N137</f>
        <v/>
      </c>
    </row>
    <row r="138">
      <c r="A138" s="59">
        <f>ROW()-5</f>
        <v/>
      </c>
      <c r="B138" s="60">
        <f>IFERROR(INDEX(tbl_Finance[Date],$A138),"")</f>
        <v/>
      </c>
      <c r="C138" s="61">
        <f>IFERROR(INDEX(tbl_Finance[Xero Invoice No],$A138),"")</f>
        <v/>
      </c>
      <c r="D138" s="61">
        <f>IFERROR(INDEX(tbl_Finance[Client],$A138),"")</f>
        <v/>
      </c>
      <c r="E138" s="61">
        <f>IFERROR(INDEX(tbl_Finance[Job Number],$A138),"")</f>
        <v/>
      </c>
      <c r="F138" s="61">
        <f>IFERROR(INDEX(tbl_Finance[Cost Centre],$A138),"")</f>
        <v/>
      </c>
      <c r="G138" s="62">
        <f>IFERROR(INDEX(tbl_Finance[Ex GST],$A138),"")</f>
        <v/>
      </c>
      <c r="H138" s="60">
        <f>IFERROR(INDEX(tbl_Finance[Defer Start],$A138),"")</f>
        <v/>
      </c>
      <c r="I138" s="60">
        <f>IFERROR(INDEX(tbl_Finance[Defer End],$A138),"")</f>
        <v/>
      </c>
      <c r="J138" s="59">
        <f>IF(OR($H138="",$I138="",$G138=""),"",MAX(1,(YEAR($I138)-YEAR($H138))*12+MONTH($I138)-MONTH($H138)+1))</f>
        <v/>
      </c>
      <c r="K138" s="62">
        <f>IF($J138="","",$G138/$J138)</f>
        <v/>
      </c>
      <c r="L138" s="62">
        <f>IF($J138="",0,$K138*MAX(0,MIN(YEAR($C$3)*12+MONTH($C$3),YEAR($I138)*12+MONTH($I138))-(YEAR($H138)*12+MONTH($H138))+1))</f>
        <v/>
      </c>
      <c r="M138" s="62">
        <f>IF($J138="",0,$K138*MAX(0,MIN(YEAR($C$3)*12+MONTH($C$3)-1,YEAR($I138)*12+MONTH($I138))-(YEAR($H138)*12+MONTH($H138))+1))</f>
        <v/>
      </c>
      <c r="N138" s="62">
        <f>IF(OR($J138="",$B138=""),0,IF(YEAR($B138)*12+MONTH($B138)&lt;=YEAR($C$3)*12+MONTH($C$3),$G138,0))</f>
        <v/>
      </c>
      <c r="O138" s="62">
        <f>IF(OR($J138="",$B138=""),0,IF(YEAR($B138)*12+MONTH($B138)&lt;=YEAR($C$3)*12+MONTH($C$3)-1,$G138,0))</f>
        <v/>
      </c>
      <c r="P138" s="62">
        <f>$M138-$O138</f>
        <v/>
      </c>
      <c r="Q138" s="62">
        <f>($L138-$M138)-($N138-$O138)</f>
        <v/>
      </c>
      <c r="R138" s="62">
        <f>$L138-$N138</f>
        <v/>
      </c>
    </row>
    <row r="139">
      <c r="A139" s="59">
        <f>ROW()-5</f>
        <v/>
      </c>
      <c r="B139" s="60">
        <f>IFERROR(INDEX(tbl_Finance[Date],$A139),"")</f>
        <v/>
      </c>
      <c r="C139" s="61">
        <f>IFERROR(INDEX(tbl_Finance[Xero Invoice No],$A139),"")</f>
        <v/>
      </c>
      <c r="D139" s="61">
        <f>IFERROR(INDEX(tbl_Finance[Client],$A139),"")</f>
        <v/>
      </c>
      <c r="E139" s="61">
        <f>IFERROR(INDEX(tbl_Finance[Job Number],$A139),"")</f>
        <v/>
      </c>
      <c r="F139" s="61">
        <f>IFERROR(INDEX(tbl_Finance[Cost Centre],$A139),"")</f>
        <v/>
      </c>
      <c r="G139" s="62">
        <f>IFERROR(INDEX(tbl_Finance[Ex GST],$A139),"")</f>
        <v/>
      </c>
      <c r="H139" s="60">
        <f>IFERROR(INDEX(tbl_Finance[Defer Start],$A139),"")</f>
        <v/>
      </c>
      <c r="I139" s="60">
        <f>IFERROR(INDEX(tbl_Finance[Defer End],$A139),"")</f>
        <v/>
      </c>
      <c r="J139" s="59">
        <f>IF(OR($H139="",$I139="",$G139=""),"",MAX(1,(YEAR($I139)-YEAR($H139))*12+MONTH($I139)-MONTH($H139)+1))</f>
        <v/>
      </c>
      <c r="K139" s="62">
        <f>IF($J139="","",$G139/$J139)</f>
        <v/>
      </c>
      <c r="L139" s="62">
        <f>IF($J139="",0,$K139*MAX(0,MIN(YEAR($C$3)*12+MONTH($C$3),YEAR($I139)*12+MONTH($I139))-(YEAR($H139)*12+MONTH($H139))+1))</f>
        <v/>
      </c>
      <c r="M139" s="62">
        <f>IF($J139="",0,$K139*MAX(0,MIN(YEAR($C$3)*12+MONTH($C$3)-1,YEAR($I139)*12+MONTH($I139))-(YEAR($H139)*12+MONTH($H139))+1))</f>
        <v/>
      </c>
      <c r="N139" s="62">
        <f>IF(OR($J139="",$B139=""),0,IF(YEAR($B139)*12+MONTH($B139)&lt;=YEAR($C$3)*12+MONTH($C$3),$G139,0))</f>
        <v/>
      </c>
      <c r="O139" s="62">
        <f>IF(OR($J139="",$B139=""),0,IF(YEAR($B139)*12+MONTH($B139)&lt;=YEAR($C$3)*12+MONTH($C$3)-1,$G139,0))</f>
        <v/>
      </c>
      <c r="P139" s="62">
        <f>$M139-$O139</f>
        <v/>
      </c>
      <c r="Q139" s="62">
        <f>($L139-$M139)-($N139-$O139)</f>
        <v/>
      </c>
      <c r="R139" s="62">
        <f>$L139-$N139</f>
        <v/>
      </c>
    </row>
    <row r="140">
      <c r="A140" s="59">
        <f>ROW()-5</f>
        <v/>
      </c>
      <c r="B140" s="60">
        <f>IFERROR(INDEX(tbl_Finance[Date],$A140),"")</f>
        <v/>
      </c>
      <c r="C140" s="61">
        <f>IFERROR(INDEX(tbl_Finance[Xero Invoice No],$A140),"")</f>
        <v/>
      </c>
      <c r="D140" s="61">
        <f>IFERROR(INDEX(tbl_Finance[Client],$A140),"")</f>
        <v/>
      </c>
      <c r="E140" s="61">
        <f>IFERROR(INDEX(tbl_Finance[Job Number],$A140),"")</f>
        <v/>
      </c>
      <c r="F140" s="61">
        <f>IFERROR(INDEX(tbl_Finance[Cost Centre],$A140),"")</f>
        <v/>
      </c>
      <c r="G140" s="62">
        <f>IFERROR(INDEX(tbl_Finance[Ex GST],$A140),"")</f>
        <v/>
      </c>
      <c r="H140" s="60">
        <f>IFERROR(INDEX(tbl_Finance[Defer Start],$A140),"")</f>
        <v/>
      </c>
      <c r="I140" s="60">
        <f>IFERROR(INDEX(tbl_Finance[Defer End],$A140),"")</f>
        <v/>
      </c>
      <c r="J140" s="59">
        <f>IF(OR($H140="",$I140="",$G140=""),"",MAX(1,(YEAR($I140)-YEAR($H140))*12+MONTH($I140)-MONTH($H140)+1))</f>
        <v/>
      </c>
      <c r="K140" s="62">
        <f>IF($J140="","",$G140/$J140)</f>
        <v/>
      </c>
      <c r="L140" s="62">
        <f>IF($J140="",0,$K140*MAX(0,MIN(YEAR($C$3)*12+MONTH($C$3),YEAR($I140)*12+MONTH($I140))-(YEAR($H140)*12+MONTH($H140))+1))</f>
        <v/>
      </c>
      <c r="M140" s="62">
        <f>IF($J140="",0,$K140*MAX(0,MIN(YEAR($C$3)*12+MONTH($C$3)-1,YEAR($I140)*12+MONTH($I140))-(YEAR($H140)*12+MONTH($H140))+1))</f>
        <v/>
      </c>
      <c r="N140" s="62">
        <f>IF(OR($J140="",$B140=""),0,IF(YEAR($B140)*12+MONTH($B140)&lt;=YEAR($C$3)*12+MONTH($C$3),$G140,0))</f>
        <v/>
      </c>
      <c r="O140" s="62">
        <f>IF(OR($J140="",$B140=""),0,IF(YEAR($B140)*12+MONTH($B140)&lt;=YEAR($C$3)*12+MONTH($C$3)-1,$G140,0))</f>
        <v/>
      </c>
      <c r="P140" s="62">
        <f>$M140-$O140</f>
        <v/>
      </c>
      <c r="Q140" s="62">
        <f>($L140-$M140)-($N140-$O140)</f>
        <v/>
      </c>
      <c r="R140" s="62">
        <f>$L140-$N140</f>
        <v/>
      </c>
    </row>
    <row r="141">
      <c r="A141" s="59">
        <f>ROW()-5</f>
        <v/>
      </c>
      <c r="B141" s="60">
        <f>IFERROR(INDEX(tbl_Finance[Date],$A141),"")</f>
        <v/>
      </c>
      <c r="C141" s="61">
        <f>IFERROR(INDEX(tbl_Finance[Xero Invoice No],$A141),"")</f>
        <v/>
      </c>
      <c r="D141" s="61">
        <f>IFERROR(INDEX(tbl_Finance[Client],$A141),"")</f>
        <v/>
      </c>
      <c r="E141" s="61">
        <f>IFERROR(INDEX(tbl_Finance[Job Number],$A141),"")</f>
        <v/>
      </c>
      <c r="F141" s="61">
        <f>IFERROR(INDEX(tbl_Finance[Cost Centre],$A141),"")</f>
        <v/>
      </c>
      <c r="G141" s="62">
        <f>IFERROR(INDEX(tbl_Finance[Ex GST],$A141),"")</f>
        <v/>
      </c>
      <c r="H141" s="60">
        <f>IFERROR(INDEX(tbl_Finance[Defer Start],$A141),"")</f>
        <v/>
      </c>
      <c r="I141" s="60">
        <f>IFERROR(INDEX(tbl_Finance[Defer End],$A141),"")</f>
        <v/>
      </c>
      <c r="J141" s="59">
        <f>IF(OR($H141="",$I141="",$G141=""),"",MAX(1,(YEAR($I141)-YEAR($H141))*12+MONTH($I141)-MONTH($H141)+1))</f>
        <v/>
      </c>
      <c r="K141" s="62">
        <f>IF($J141="","",$G141/$J141)</f>
        <v/>
      </c>
      <c r="L141" s="62">
        <f>IF($J141="",0,$K141*MAX(0,MIN(YEAR($C$3)*12+MONTH($C$3),YEAR($I141)*12+MONTH($I141))-(YEAR($H141)*12+MONTH($H141))+1))</f>
        <v/>
      </c>
      <c r="M141" s="62">
        <f>IF($J141="",0,$K141*MAX(0,MIN(YEAR($C$3)*12+MONTH($C$3)-1,YEAR($I141)*12+MONTH($I141))-(YEAR($H141)*12+MONTH($H141))+1))</f>
        <v/>
      </c>
      <c r="N141" s="62">
        <f>IF(OR($J141="",$B141=""),0,IF(YEAR($B141)*12+MONTH($B141)&lt;=YEAR($C$3)*12+MONTH($C$3),$G141,0))</f>
        <v/>
      </c>
      <c r="O141" s="62">
        <f>IF(OR($J141="",$B141=""),0,IF(YEAR($B141)*12+MONTH($B141)&lt;=YEAR($C$3)*12+MONTH($C$3)-1,$G141,0))</f>
        <v/>
      </c>
      <c r="P141" s="62">
        <f>$M141-$O141</f>
        <v/>
      </c>
      <c r="Q141" s="62">
        <f>($L141-$M141)-($N141-$O141)</f>
        <v/>
      </c>
      <c r="R141" s="62">
        <f>$L141-$N141</f>
        <v/>
      </c>
    </row>
    <row r="142">
      <c r="A142" s="59">
        <f>ROW()-5</f>
        <v/>
      </c>
      <c r="B142" s="60">
        <f>IFERROR(INDEX(tbl_Finance[Date],$A142),"")</f>
        <v/>
      </c>
      <c r="C142" s="61">
        <f>IFERROR(INDEX(tbl_Finance[Xero Invoice No],$A142),"")</f>
        <v/>
      </c>
      <c r="D142" s="61">
        <f>IFERROR(INDEX(tbl_Finance[Client],$A142),"")</f>
        <v/>
      </c>
      <c r="E142" s="61">
        <f>IFERROR(INDEX(tbl_Finance[Job Number],$A142),"")</f>
        <v/>
      </c>
      <c r="F142" s="61">
        <f>IFERROR(INDEX(tbl_Finance[Cost Centre],$A142),"")</f>
        <v/>
      </c>
      <c r="G142" s="62">
        <f>IFERROR(INDEX(tbl_Finance[Ex GST],$A142),"")</f>
        <v/>
      </c>
      <c r="H142" s="60">
        <f>IFERROR(INDEX(tbl_Finance[Defer Start],$A142),"")</f>
        <v/>
      </c>
      <c r="I142" s="60">
        <f>IFERROR(INDEX(tbl_Finance[Defer End],$A142),"")</f>
        <v/>
      </c>
      <c r="J142" s="59">
        <f>IF(OR($H142="",$I142="",$G142=""),"",MAX(1,(YEAR($I142)-YEAR($H142))*12+MONTH($I142)-MONTH($H142)+1))</f>
        <v/>
      </c>
      <c r="K142" s="62">
        <f>IF($J142="","",$G142/$J142)</f>
        <v/>
      </c>
      <c r="L142" s="62">
        <f>IF($J142="",0,$K142*MAX(0,MIN(YEAR($C$3)*12+MONTH($C$3),YEAR($I142)*12+MONTH($I142))-(YEAR($H142)*12+MONTH($H142))+1))</f>
        <v/>
      </c>
      <c r="M142" s="62">
        <f>IF($J142="",0,$K142*MAX(0,MIN(YEAR($C$3)*12+MONTH($C$3)-1,YEAR($I142)*12+MONTH($I142))-(YEAR($H142)*12+MONTH($H142))+1))</f>
        <v/>
      </c>
      <c r="N142" s="62">
        <f>IF(OR($J142="",$B142=""),0,IF(YEAR($B142)*12+MONTH($B142)&lt;=YEAR($C$3)*12+MONTH($C$3),$G142,0))</f>
        <v/>
      </c>
      <c r="O142" s="62">
        <f>IF(OR($J142="",$B142=""),0,IF(YEAR($B142)*12+MONTH($B142)&lt;=YEAR($C$3)*12+MONTH($C$3)-1,$G142,0))</f>
        <v/>
      </c>
      <c r="P142" s="62">
        <f>$M142-$O142</f>
        <v/>
      </c>
      <c r="Q142" s="62">
        <f>($L142-$M142)-($N142-$O142)</f>
        <v/>
      </c>
      <c r="R142" s="62">
        <f>$L142-$N142</f>
        <v/>
      </c>
    </row>
    <row r="143">
      <c r="A143" s="59">
        <f>ROW()-5</f>
        <v/>
      </c>
      <c r="B143" s="60">
        <f>IFERROR(INDEX(tbl_Finance[Date],$A143),"")</f>
        <v/>
      </c>
      <c r="C143" s="61">
        <f>IFERROR(INDEX(tbl_Finance[Xero Invoice No],$A143),"")</f>
        <v/>
      </c>
      <c r="D143" s="61">
        <f>IFERROR(INDEX(tbl_Finance[Client],$A143),"")</f>
        <v/>
      </c>
      <c r="E143" s="61">
        <f>IFERROR(INDEX(tbl_Finance[Job Number],$A143),"")</f>
        <v/>
      </c>
      <c r="F143" s="61">
        <f>IFERROR(INDEX(tbl_Finance[Cost Centre],$A143),"")</f>
        <v/>
      </c>
      <c r="G143" s="62">
        <f>IFERROR(INDEX(tbl_Finance[Ex GST],$A143),"")</f>
        <v/>
      </c>
      <c r="H143" s="60">
        <f>IFERROR(INDEX(tbl_Finance[Defer Start],$A143),"")</f>
        <v/>
      </c>
      <c r="I143" s="60">
        <f>IFERROR(INDEX(tbl_Finance[Defer End],$A143),"")</f>
        <v/>
      </c>
      <c r="J143" s="59">
        <f>IF(OR($H143="",$I143="",$G143=""),"",MAX(1,(YEAR($I143)-YEAR($H143))*12+MONTH($I143)-MONTH($H143)+1))</f>
        <v/>
      </c>
      <c r="K143" s="62">
        <f>IF($J143="","",$G143/$J143)</f>
        <v/>
      </c>
      <c r="L143" s="62">
        <f>IF($J143="",0,$K143*MAX(0,MIN(YEAR($C$3)*12+MONTH($C$3),YEAR($I143)*12+MONTH($I143))-(YEAR($H143)*12+MONTH($H143))+1))</f>
        <v/>
      </c>
      <c r="M143" s="62">
        <f>IF($J143="",0,$K143*MAX(0,MIN(YEAR($C$3)*12+MONTH($C$3)-1,YEAR($I143)*12+MONTH($I143))-(YEAR($H143)*12+MONTH($H143))+1))</f>
        <v/>
      </c>
      <c r="N143" s="62">
        <f>IF(OR($J143="",$B143=""),0,IF(YEAR($B143)*12+MONTH($B143)&lt;=YEAR($C$3)*12+MONTH($C$3),$G143,0))</f>
        <v/>
      </c>
      <c r="O143" s="62">
        <f>IF(OR($J143="",$B143=""),0,IF(YEAR($B143)*12+MONTH($B143)&lt;=YEAR($C$3)*12+MONTH($C$3)-1,$G143,0))</f>
        <v/>
      </c>
      <c r="P143" s="62">
        <f>$M143-$O143</f>
        <v/>
      </c>
      <c r="Q143" s="62">
        <f>($L143-$M143)-($N143-$O143)</f>
        <v/>
      </c>
      <c r="R143" s="62">
        <f>$L143-$N143</f>
        <v/>
      </c>
    </row>
    <row r="144">
      <c r="A144" s="59">
        <f>ROW()-5</f>
        <v/>
      </c>
      <c r="B144" s="60">
        <f>IFERROR(INDEX(tbl_Finance[Date],$A144),"")</f>
        <v/>
      </c>
      <c r="C144" s="61">
        <f>IFERROR(INDEX(tbl_Finance[Xero Invoice No],$A144),"")</f>
        <v/>
      </c>
      <c r="D144" s="61">
        <f>IFERROR(INDEX(tbl_Finance[Client],$A144),"")</f>
        <v/>
      </c>
      <c r="E144" s="61">
        <f>IFERROR(INDEX(tbl_Finance[Job Number],$A144),"")</f>
        <v/>
      </c>
      <c r="F144" s="61">
        <f>IFERROR(INDEX(tbl_Finance[Cost Centre],$A144),"")</f>
        <v/>
      </c>
      <c r="G144" s="62">
        <f>IFERROR(INDEX(tbl_Finance[Ex GST],$A144),"")</f>
        <v/>
      </c>
      <c r="H144" s="60">
        <f>IFERROR(INDEX(tbl_Finance[Defer Start],$A144),"")</f>
        <v/>
      </c>
      <c r="I144" s="60">
        <f>IFERROR(INDEX(tbl_Finance[Defer End],$A144),"")</f>
        <v/>
      </c>
      <c r="J144" s="59">
        <f>IF(OR($H144="",$I144="",$G144=""),"",MAX(1,(YEAR($I144)-YEAR($H144))*12+MONTH($I144)-MONTH($H144)+1))</f>
        <v/>
      </c>
      <c r="K144" s="62">
        <f>IF($J144="","",$G144/$J144)</f>
        <v/>
      </c>
      <c r="L144" s="62">
        <f>IF($J144="",0,$K144*MAX(0,MIN(YEAR($C$3)*12+MONTH($C$3),YEAR($I144)*12+MONTH($I144))-(YEAR($H144)*12+MONTH($H144))+1))</f>
        <v/>
      </c>
      <c r="M144" s="62">
        <f>IF($J144="",0,$K144*MAX(0,MIN(YEAR($C$3)*12+MONTH($C$3)-1,YEAR($I144)*12+MONTH($I144))-(YEAR($H144)*12+MONTH($H144))+1))</f>
        <v/>
      </c>
      <c r="N144" s="62">
        <f>IF(OR($J144="",$B144=""),0,IF(YEAR($B144)*12+MONTH($B144)&lt;=YEAR($C$3)*12+MONTH($C$3),$G144,0))</f>
        <v/>
      </c>
      <c r="O144" s="62">
        <f>IF(OR($J144="",$B144=""),0,IF(YEAR($B144)*12+MONTH($B144)&lt;=YEAR($C$3)*12+MONTH($C$3)-1,$G144,0))</f>
        <v/>
      </c>
      <c r="P144" s="62">
        <f>$M144-$O144</f>
        <v/>
      </c>
      <c r="Q144" s="62">
        <f>($L144-$M144)-($N144-$O144)</f>
        <v/>
      </c>
      <c r="R144" s="62">
        <f>$L144-$N144</f>
        <v/>
      </c>
    </row>
    <row r="145">
      <c r="A145" s="59">
        <f>ROW()-5</f>
        <v/>
      </c>
      <c r="B145" s="60">
        <f>IFERROR(INDEX(tbl_Finance[Date],$A145),"")</f>
        <v/>
      </c>
      <c r="C145" s="61">
        <f>IFERROR(INDEX(tbl_Finance[Xero Invoice No],$A145),"")</f>
        <v/>
      </c>
      <c r="D145" s="61">
        <f>IFERROR(INDEX(tbl_Finance[Client],$A145),"")</f>
        <v/>
      </c>
      <c r="E145" s="61">
        <f>IFERROR(INDEX(tbl_Finance[Job Number],$A145),"")</f>
        <v/>
      </c>
      <c r="F145" s="61">
        <f>IFERROR(INDEX(tbl_Finance[Cost Centre],$A145),"")</f>
        <v/>
      </c>
      <c r="G145" s="62">
        <f>IFERROR(INDEX(tbl_Finance[Ex GST],$A145),"")</f>
        <v/>
      </c>
      <c r="H145" s="60">
        <f>IFERROR(INDEX(tbl_Finance[Defer Start],$A145),"")</f>
        <v/>
      </c>
      <c r="I145" s="60">
        <f>IFERROR(INDEX(tbl_Finance[Defer End],$A145),"")</f>
        <v/>
      </c>
      <c r="J145" s="59">
        <f>IF(OR($H145="",$I145="",$G145=""),"",MAX(1,(YEAR($I145)-YEAR($H145))*12+MONTH($I145)-MONTH($H145)+1))</f>
        <v/>
      </c>
      <c r="K145" s="62">
        <f>IF($J145="","",$G145/$J145)</f>
        <v/>
      </c>
      <c r="L145" s="62">
        <f>IF($J145="",0,$K145*MAX(0,MIN(YEAR($C$3)*12+MONTH($C$3),YEAR($I145)*12+MONTH($I145))-(YEAR($H145)*12+MONTH($H145))+1))</f>
        <v/>
      </c>
      <c r="M145" s="62">
        <f>IF($J145="",0,$K145*MAX(0,MIN(YEAR($C$3)*12+MONTH($C$3)-1,YEAR($I145)*12+MONTH($I145))-(YEAR($H145)*12+MONTH($H145))+1))</f>
        <v/>
      </c>
      <c r="N145" s="62">
        <f>IF(OR($J145="",$B145=""),0,IF(YEAR($B145)*12+MONTH($B145)&lt;=YEAR($C$3)*12+MONTH($C$3),$G145,0))</f>
        <v/>
      </c>
      <c r="O145" s="62">
        <f>IF(OR($J145="",$B145=""),0,IF(YEAR($B145)*12+MONTH($B145)&lt;=YEAR($C$3)*12+MONTH($C$3)-1,$G145,0))</f>
        <v/>
      </c>
      <c r="P145" s="62">
        <f>$M145-$O145</f>
        <v/>
      </c>
      <c r="Q145" s="62">
        <f>($L145-$M145)-($N145-$O145)</f>
        <v/>
      </c>
      <c r="R145" s="62">
        <f>$L145-$N145</f>
        <v/>
      </c>
    </row>
    <row r="146">
      <c r="A146" s="59">
        <f>ROW()-5</f>
        <v/>
      </c>
      <c r="B146" s="60">
        <f>IFERROR(INDEX(tbl_Finance[Date],$A146),"")</f>
        <v/>
      </c>
      <c r="C146" s="61">
        <f>IFERROR(INDEX(tbl_Finance[Xero Invoice No],$A146),"")</f>
        <v/>
      </c>
      <c r="D146" s="61">
        <f>IFERROR(INDEX(tbl_Finance[Client],$A146),"")</f>
        <v/>
      </c>
      <c r="E146" s="61">
        <f>IFERROR(INDEX(tbl_Finance[Job Number],$A146),"")</f>
        <v/>
      </c>
      <c r="F146" s="61">
        <f>IFERROR(INDEX(tbl_Finance[Cost Centre],$A146),"")</f>
        <v/>
      </c>
      <c r="G146" s="62">
        <f>IFERROR(INDEX(tbl_Finance[Ex GST],$A146),"")</f>
        <v/>
      </c>
      <c r="H146" s="60">
        <f>IFERROR(INDEX(tbl_Finance[Defer Start],$A146),"")</f>
        <v/>
      </c>
      <c r="I146" s="60">
        <f>IFERROR(INDEX(tbl_Finance[Defer End],$A146),"")</f>
        <v/>
      </c>
      <c r="J146" s="59">
        <f>IF(OR($H146="",$I146="",$G146=""),"",MAX(1,(YEAR($I146)-YEAR($H146))*12+MONTH($I146)-MONTH($H146)+1))</f>
        <v/>
      </c>
      <c r="K146" s="62">
        <f>IF($J146="","",$G146/$J146)</f>
        <v/>
      </c>
      <c r="L146" s="62">
        <f>IF($J146="",0,$K146*MAX(0,MIN(YEAR($C$3)*12+MONTH($C$3),YEAR($I146)*12+MONTH($I146))-(YEAR($H146)*12+MONTH($H146))+1))</f>
        <v/>
      </c>
      <c r="M146" s="62">
        <f>IF($J146="",0,$K146*MAX(0,MIN(YEAR($C$3)*12+MONTH($C$3)-1,YEAR($I146)*12+MONTH($I146))-(YEAR($H146)*12+MONTH($H146))+1))</f>
        <v/>
      </c>
      <c r="N146" s="62">
        <f>IF(OR($J146="",$B146=""),0,IF(YEAR($B146)*12+MONTH($B146)&lt;=YEAR($C$3)*12+MONTH($C$3),$G146,0))</f>
        <v/>
      </c>
      <c r="O146" s="62">
        <f>IF(OR($J146="",$B146=""),0,IF(YEAR($B146)*12+MONTH($B146)&lt;=YEAR($C$3)*12+MONTH($C$3)-1,$G146,0))</f>
        <v/>
      </c>
      <c r="P146" s="62">
        <f>$M146-$O146</f>
        <v/>
      </c>
      <c r="Q146" s="62">
        <f>($L146-$M146)-($N146-$O146)</f>
        <v/>
      </c>
      <c r="R146" s="62">
        <f>$L146-$N146</f>
        <v/>
      </c>
    </row>
    <row r="147">
      <c r="A147" s="59">
        <f>ROW()-5</f>
        <v/>
      </c>
      <c r="B147" s="60">
        <f>IFERROR(INDEX(tbl_Finance[Date],$A147),"")</f>
        <v/>
      </c>
      <c r="C147" s="61">
        <f>IFERROR(INDEX(tbl_Finance[Xero Invoice No],$A147),"")</f>
        <v/>
      </c>
      <c r="D147" s="61">
        <f>IFERROR(INDEX(tbl_Finance[Client],$A147),"")</f>
        <v/>
      </c>
      <c r="E147" s="61">
        <f>IFERROR(INDEX(tbl_Finance[Job Number],$A147),"")</f>
        <v/>
      </c>
      <c r="F147" s="61">
        <f>IFERROR(INDEX(tbl_Finance[Cost Centre],$A147),"")</f>
        <v/>
      </c>
      <c r="G147" s="62">
        <f>IFERROR(INDEX(tbl_Finance[Ex GST],$A147),"")</f>
        <v/>
      </c>
      <c r="H147" s="60">
        <f>IFERROR(INDEX(tbl_Finance[Defer Start],$A147),"")</f>
        <v/>
      </c>
      <c r="I147" s="60">
        <f>IFERROR(INDEX(tbl_Finance[Defer End],$A147),"")</f>
        <v/>
      </c>
      <c r="J147" s="59">
        <f>IF(OR($H147="",$I147="",$G147=""),"",MAX(1,(YEAR($I147)-YEAR($H147))*12+MONTH($I147)-MONTH($H147)+1))</f>
        <v/>
      </c>
      <c r="K147" s="62">
        <f>IF($J147="","",$G147/$J147)</f>
        <v/>
      </c>
      <c r="L147" s="62">
        <f>IF($J147="",0,$K147*MAX(0,MIN(YEAR($C$3)*12+MONTH($C$3),YEAR($I147)*12+MONTH($I147))-(YEAR($H147)*12+MONTH($H147))+1))</f>
        <v/>
      </c>
      <c r="M147" s="62">
        <f>IF($J147="",0,$K147*MAX(0,MIN(YEAR($C$3)*12+MONTH($C$3)-1,YEAR($I147)*12+MONTH($I147))-(YEAR($H147)*12+MONTH($H147))+1))</f>
        <v/>
      </c>
      <c r="N147" s="62">
        <f>IF(OR($J147="",$B147=""),0,IF(YEAR($B147)*12+MONTH($B147)&lt;=YEAR($C$3)*12+MONTH($C$3),$G147,0))</f>
        <v/>
      </c>
      <c r="O147" s="62">
        <f>IF(OR($J147="",$B147=""),0,IF(YEAR($B147)*12+MONTH($B147)&lt;=YEAR($C$3)*12+MONTH($C$3)-1,$G147,0))</f>
        <v/>
      </c>
      <c r="P147" s="62">
        <f>$M147-$O147</f>
        <v/>
      </c>
      <c r="Q147" s="62">
        <f>($L147-$M147)-($N147-$O147)</f>
        <v/>
      </c>
      <c r="R147" s="62">
        <f>$L147-$N147</f>
        <v/>
      </c>
    </row>
    <row r="148">
      <c r="A148" s="59">
        <f>ROW()-5</f>
        <v/>
      </c>
      <c r="B148" s="60">
        <f>IFERROR(INDEX(tbl_Finance[Date],$A148),"")</f>
        <v/>
      </c>
      <c r="C148" s="61">
        <f>IFERROR(INDEX(tbl_Finance[Xero Invoice No],$A148),"")</f>
        <v/>
      </c>
      <c r="D148" s="61">
        <f>IFERROR(INDEX(tbl_Finance[Client],$A148),"")</f>
        <v/>
      </c>
      <c r="E148" s="61">
        <f>IFERROR(INDEX(tbl_Finance[Job Number],$A148),"")</f>
        <v/>
      </c>
      <c r="F148" s="61">
        <f>IFERROR(INDEX(tbl_Finance[Cost Centre],$A148),"")</f>
        <v/>
      </c>
      <c r="G148" s="62">
        <f>IFERROR(INDEX(tbl_Finance[Ex GST],$A148),"")</f>
        <v/>
      </c>
      <c r="H148" s="60">
        <f>IFERROR(INDEX(tbl_Finance[Defer Start],$A148),"")</f>
        <v/>
      </c>
      <c r="I148" s="60">
        <f>IFERROR(INDEX(tbl_Finance[Defer End],$A148),"")</f>
        <v/>
      </c>
      <c r="J148" s="59">
        <f>IF(OR($H148="",$I148="",$G148=""),"",MAX(1,(YEAR($I148)-YEAR($H148))*12+MONTH($I148)-MONTH($H148)+1))</f>
        <v/>
      </c>
      <c r="K148" s="62">
        <f>IF($J148="","",$G148/$J148)</f>
        <v/>
      </c>
      <c r="L148" s="62">
        <f>IF($J148="",0,$K148*MAX(0,MIN(YEAR($C$3)*12+MONTH($C$3),YEAR($I148)*12+MONTH($I148))-(YEAR($H148)*12+MONTH($H148))+1))</f>
        <v/>
      </c>
      <c r="M148" s="62">
        <f>IF($J148="",0,$K148*MAX(0,MIN(YEAR($C$3)*12+MONTH($C$3)-1,YEAR($I148)*12+MONTH($I148))-(YEAR($H148)*12+MONTH($H148))+1))</f>
        <v/>
      </c>
      <c r="N148" s="62">
        <f>IF(OR($J148="",$B148=""),0,IF(YEAR($B148)*12+MONTH($B148)&lt;=YEAR($C$3)*12+MONTH($C$3),$G148,0))</f>
        <v/>
      </c>
      <c r="O148" s="62">
        <f>IF(OR($J148="",$B148=""),0,IF(YEAR($B148)*12+MONTH($B148)&lt;=YEAR($C$3)*12+MONTH($C$3)-1,$G148,0))</f>
        <v/>
      </c>
      <c r="P148" s="62">
        <f>$M148-$O148</f>
        <v/>
      </c>
      <c r="Q148" s="62">
        <f>($L148-$M148)-($N148-$O148)</f>
        <v/>
      </c>
      <c r="R148" s="62">
        <f>$L148-$N148</f>
        <v/>
      </c>
    </row>
    <row r="149">
      <c r="A149" s="59">
        <f>ROW()-5</f>
        <v/>
      </c>
      <c r="B149" s="60">
        <f>IFERROR(INDEX(tbl_Finance[Date],$A149),"")</f>
        <v/>
      </c>
      <c r="C149" s="61">
        <f>IFERROR(INDEX(tbl_Finance[Xero Invoice No],$A149),"")</f>
        <v/>
      </c>
      <c r="D149" s="61">
        <f>IFERROR(INDEX(tbl_Finance[Client],$A149),"")</f>
        <v/>
      </c>
      <c r="E149" s="61">
        <f>IFERROR(INDEX(tbl_Finance[Job Number],$A149),"")</f>
        <v/>
      </c>
      <c r="F149" s="61">
        <f>IFERROR(INDEX(tbl_Finance[Cost Centre],$A149),"")</f>
        <v/>
      </c>
      <c r="G149" s="62">
        <f>IFERROR(INDEX(tbl_Finance[Ex GST],$A149),"")</f>
        <v/>
      </c>
      <c r="H149" s="60">
        <f>IFERROR(INDEX(tbl_Finance[Defer Start],$A149),"")</f>
        <v/>
      </c>
      <c r="I149" s="60">
        <f>IFERROR(INDEX(tbl_Finance[Defer End],$A149),"")</f>
        <v/>
      </c>
      <c r="J149" s="59">
        <f>IF(OR($H149="",$I149="",$G149=""),"",MAX(1,(YEAR($I149)-YEAR($H149))*12+MONTH($I149)-MONTH($H149)+1))</f>
        <v/>
      </c>
      <c r="K149" s="62">
        <f>IF($J149="","",$G149/$J149)</f>
        <v/>
      </c>
      <c r="L149" s="62">
        <f>IF($J149="",0,$K149*MAX(0,MIN(YEAR($C$3)*12+MONTH($C$3),YEAR($I149)*12+MONTH($I149))-(YEAR($H149)*12+MONTH($H149))+1))</f>
        <v/>
      </c>
      <c r="M149" s="62">
        <f>IF($J149="",0,$K149*MAX(0,MIN(YEAR($C$3)*12+MONTH($C$3)-1,YEAR($I149)*12+MONTH($I149))-(YEAR($H149)*12+MONTH($H149))+1))</f>
        <v/>
      </c>
      <c r="N149" s="62">
        <f>IF(OR($J149="",$B149=""),0,IF(YEAR($B149)*12+MONTH($B149)&lt;=YEAR($C$3)*12+MONTH($C$3),$G149,0))</f>
        <v/>
      </c>
      <c r="O149" s="62">
        <f>IF(OR($J149="",$B149=""),0,IF(YEAR($B149)*12+MONTH($B149)&lt;=YEAR($C$3)*12+MONTH($C$3)-1,$G149,0))</f>
        <v/>
      </c>
      <c r="P149" s="62">
        <f>$M149-$O149</f>
        <v/>
      </c>
      <c r="Q149" s="62">
        <f>($L149-$M149)-($N149-$O149)</f>
        <v/>
      </c>
      <c r="R149" s="62">
        <f>$L149-$N149</f>
        <v/>
      </c>
    </row>
    <row r="150">
      <c r="A150" s="59">
        <f>ROW()-5</f>
        <v/>
      </c>
      <c r="B150" s="60">
        <f>IFERROR(INDEX(tbl_Finance[Date],$A150),"")</f>
        <v/>
      </c>
      <c r="C150" s="61">
        <f>IFERROR(INDEX(tbl_Finance[Xero Invoice No],$A150),"")</f>
        <v/>
      </c>
      <c r="D150" s="61">
        <f>IFERROR(INDEX(tbl_Finance[Client],$A150),"")</f>
        <v/>
      </c>
      <c r="E150" s="61">
        <f>IFERROR(INDEX(tbl_Finance[Job Number],$A150),"")</f>
        <v/>
      </c>
      <c r="F150" s="61">
        <f>IFERROR(INDEX(tbl_Finance[Cost Centre],$A150),"")</f>
        <v/>
      </c>
      <c r="G150" s="62">
        <f>IFERROR(INDEX(tbl_Finance[Ex GST],$A150),"")</f>
        <v/>
      </c>
      <c r="H150" s="60">
        <f>IFERROR(INDEX(tbl_Finance[Defer Start],$A150),"")</f>
        <v/>
      </c>
      <c r="I150" s="60">
        <f>IFERROR(INDEX(tbl_Finance[Defer End],$A150),"")</f>
        <v/>
      </c>
      <c r="J150" s="59">
        <f>IF(OR($H150="",$I150="",$G150=""),"",MAX(1,(YEAR($I150)-YEAR($H150))*12+MONTH($I150)-MONTH($H150)+1))</f>
        <v/>
      </c>
      <c r="K150" s="62">
        <f>IF($J150="","",$G150/$J150)</f>
        <v/>
      </c>
      <c r="L150" s="62">
        <f>IF($J150="",0,$K150*MAX(0,MIN(YEAR($C$3)*12+MONTH($C$3),YEAR($I150)*12+MONTH($I150))-(YEAR($H150)*12+MONTH($H150))+1))</f>
        <v/>
      </c>
      <c r="M150" s="62">
        <f>IF($J150="",0,$K150*MAX(0,MIN(YEAR($C$3)*12+MONTH($C$3)-1,YEAR($I150)*12+MONTH($I150))-(YEAR($H150)*12+MONTH($H150))+1))</f>
        <v/>
      </c>
      <c r="N150" s="62">
        <f>IF(OR($J150="",$B150=""),0,IF(YEAR($B150)*12+MONTH($B150)&lt;=YEAR($C$3)*12+MONTH($C$3),$G150,0))</f>
        <v/>
      </c>
      <c r="O150" s="62">
        <f>IF(OR($J150="",$B150=""),0,IF(YEAR($B150)*12+MONTH($B150)&lt;=YEAR($C$3)*12+MONTH($C$3)-1,$G150,0))</f>
        <v/>
      </c>
      <c r="P150" s="62">
        <f>$M150-$O150</f>
        <v/>
      </c>
      <c r="Q150" s="62">
        <f>($L150-$M150)-($N150-$O150)</f>
        <v/>
      </c>
      <c r="R150" s="62">
        <f>$L150-$N150</f>
        <v/>
      </c>
    </row>
    <row r="151">
      <c r="A151" s="59">
        <f>ROW()-5</f>
        <v/>
      </c>
      <c r="B151" s="60">
        <f>IFERROR(INDEX(tbl_Finance[Date],$A151),"")</f>
        <v/>
      </c>
      <c r="C151" s="61">
        <f>IFERROR(INDEX(tbl_Finance[Xero Invoice No],$A151),"")</f>
        <v/>
      </c>
      <c r="D151" s="61">
        <f>IFERROR(INDEX(tbl_Finance[Client],$A151),"")</f>
        <v/>
      </c>
      <c r="E151" s="61">
        <f>IFERROR(INDEX(tbl_Finance[Job Number],$A151),"")</f>
        <v/>
      </c>
      <c r="F151" s="61">
        <f>IFERROR(INDEX(tbl_Finance[Cost Centre],$A151),"")</f>
        <v/>
      </c>
      <c r="G151" s="62">
        <f>IFERROR(INDEX(tbl_Finance[Ex GST],$A151),"")</f>
        <v/>
      </c>
      <c r="H151" s="60">
        <f>IFERROR(INDEX(tbl_Finance[Defer Start],$A151),"")</f>
        <v/>
      </c>
      <c r="I151" s="60">
        <f>IFERROR(INDEX(tbl_Finance[Defer End],$A151),"")</f>
        <v/>
      </c>
      <c r="J151" s="59">
        <f>IF(OR($H151="",$I151="",$G151=""),"",MAX(1,(YEAR($I151)-YEAR($H151))*12+MONTH($I151)-MONTH($H151)+1))</f>
        <v/>
      </c>
      <c r="K151" s="62">
        <f>IF($J151="","",$G151/$J151)</f>
        <v/>
      </c>
      <c r="L151" s="62">
        <f>IF($J151="",0,$K151*MAX(0,MIN(YEAR($C$3)*12+MONTH($C$3),YEAR($I151)*12+MONTH($I151))-(YEAR($H151)*12+MONTH($H151))+1))</f>
        <v/>
      </c>
      <c r="M151" s="62">
        <f>IF($J151="",0,$K151*MAX(0,MIN(YEAR($C$3)*12+MONTH($C$3)-1,YEAR($I151)*12+MONTH($I151))-(YEAR($H151)*12+MONTH($H151))+1))</f>
        <v/>
      </c>
      <c r="N151" s="62">
        <f>IF(OR($J151="",$B151=""),0,IF(YEAR($B151)*12+MONTH($B151)&lt;=YEAR($C$3)*12+MONTH($C$3),$G151,0))</f>
        <v/>
      </c>
      <c r="O151" s="62">
        <f>IF(OR($J151="",$B151=""),0,IF(YEAR($B151)*12+MONTH($B151)&lt;=YEAR($C$3)*12+MONTH($C$3)-1,$G151,0))</f>
        <v/>
      </c>
      <c r="P151" s="62">
        <f>$M151-$O151</f>
        <v/>
      </c>
      <c r="Q151" s="62">
        <f>($L151-$M151)-($N151-$O151)</f>
        <v/>
      </c>
      <c r="R151" s="62">
        <f>$L151-$N151</f>
        <v/>
      </c>
    </row>
    <row r="152">
      <c r="A152" s="59">
        <f>ROW()-5</f>
        <v/>
      </c>
      <c r="B152" s="60">
        <f>IFERROR(INDEX(tbl_Finance[Date],$A152),"")</f>
        <v/>
      </c>
      <c r="C152" s="61">
        <f>IFERROR(INDEX(tbl_Finance[Xero Invoice No],$A152),"")</f>
        <v/>
      </c>
      <c r="D152" s="61">
        <f>IFERROR(INDEX(tbl_Finance[Client],$A152),"")</f>
        <v/>
      </c>
      <c r="E152" s="61">
        <f>IFERROR(INDEX(tbl_Finance[Job Number],$A152),"")</f>
        <v/>
      </c>
      <c r="F152" s="61">
        <f>IFERROR(INDEX(tbl_Finance[Cost Centre],$A152),"")</f>
        <v/>
      </c>
      <c r="G152" s="62">
        <f>IFERROR(INDEX(tbl_Finance[Ex GST],$A152),"")</f>
        <v/>
      </c>
      <c r="H152" s="60">
        <f>IFERROR(INDEX(tbl_Finance[Defer Start],$A152),"")</f>
        <v/>
      </c>
      <c r="I152" s="60">
        <f>IFERROR(INDEX(tbl_Finance[Defer End],$A152),"")</f>
        <v/>
      </c>
      <c r="J152" s="59">
        <f>IF(OR($H152="",$I152="",$G152=""),"",MAX(1,(YEAR($I152)-YEAR($H152))*12+MONTH($I152)-MONTH($H152)+1))</f>
        <v/>
      </c>
      <c r="K152" s="62">
        <f>IF($J152="","",$G152/$J152)</f>
        <v/>
      </c>
      <c r="L152" s="62">
        <f>IF($J152="",0,$K152*MAX(0,MIN(YEAR($C$3)*12+MONTH($C$3),YEAR($I152)*12+MONTH($I152))-(YEAR($H152)*12+MONTH($H152))+1))</f>
        <v/>
      </c>
      <c r="M152" s="62">
        <f>IF($J152="",0,$K152*MAX(0,MIN(YEAR($C$3)*12+MONTH($C$3)-1,YEAR($I152)*12+MONTH($I152))-(YEAR($H152)*12+MONTH($H152))+1))</f>
        <v/>
      </c>
      <c r="N152" s="62">
        <f>IF(OR($J152="",$B152=""),0,IF(YEAR($B152)*12+MONTH($B152)&lt;=YEAR($C$3)*12+MONTH($C$3),$G152,0))</f>
        <v/>
      </c>
      <c r="O152" s="62">
        <f>IF(OR($J152="",$B152=""),0,IF(YEAR($B152)*12+MONTH($B152)&lt;=YEAR($C$3)*12+MONTH($C$3)-1,$G152,0))</f>
        <v/>
      </c>
      <c r="P152" s="62">
        <f>$M152-$O152</f>
        <v/>
      </c>
      <c r="Q152" s="62">
        <f>($L152-$M152)-($N152-$O152)</f>
        <v/>
      </c>
      <c r="R152" s="62">
        <f>$L152-$N152</f>
        <v/>
      </c>
    </row>
    <row r="153">
      <c r="A153" s="59">
        <f>ROW()-5</f>
        <v/>
      </c>
      <c r="B153" s="60">
        <f>IFERROR(INDEX(tbl_Finance[Date],$A153),"")</f>
        <v/>
      </c>
      <c r="C153" s="61">
        <f>IFERROR(INDEX(tbl_Finance[Xero Invoice No],$A153),"")</f>
        <v/>
      </c>
      <c r="D153" s="61">
        <f>IFERROR(INDEX(tbl_Finance[Client],$A153),"")</f>
        <v/>
      </c>
      <c r="E153" s="61">
        <f>IFERROR(INDEX(tbl_Finance[Job Number],$A153),"")</f>
        <v/>
      </c>
      <c r="F153" s="61">
        <f>IFERROR(INDEX(tbl_Finance[Cost Centre],$A153),"")</f>
        <v/>
      </c>
      <c r="G153" s="62">
        <f>IFERROR(INDEX(tbl_Finance[Ex GST],$A153),"")</f>
        <v/>
      </c>
      <c r="H153" s="60">
        <f>IFERROR(INDEX(tbl_Finance[Defer Start],$A153),"")</f>
        <v/>
      </c>
      <c r="I153" s="60">
        <f>IFERROR(INDEX(tbl_Finance[Defer End],$A153),"")</f>
        <v/>
      </c>
      <c r="J153" s="59">
        <f>IF(OR($H153="",$I153="",$G153=""),"",MAX(1,(YEAR($I153)-YEAR($H153))*12+MONTH($I153)-MONTH($H153)+1))</f>
        <v/>
      </c>
      <c r="K153" s="62">
        <f>IF($J153="","",$G153/$J153)</f>
        <v/>
      </c>
      <c r="L153" s="62">
        <f>IF($J153="",0,$K153*MAX(0,MIN(YEAR($C$3)*12+MONTH($C$3),YEAR($I153)*12+MONTH($I153))-(YEAR($H153)*12+MONTH($H153))+1))</f>
        <v/>
      </c>
      <c r="M153" s="62">
        <f>IF($J153="",0,$K153*MAX(0,MIN(YEAR($C$3)*12+MONTH($C$3)-1,YEAR($I153)*12+MONTH($I153))-(YEAR($H153)*12+MONTH($H153))+1))</f>
        <v/>
      </c>
      <c r="N153" s="62">
        <f>IF(OR($J153="",$B153=""),0,IF(YEAR($B153)*12+MONTH($B153)&lt;=YEAR($C$3)*12+MONTH($C$3),$G153,0))</f>
        <v/>
      </c>
      <c r="O153" s="62">
        <f>IF(OR($J153="",$B153=""),0,IF(YEAR($B153)*12+MONTH($B153)&lt;=YEAR($C$3)*12+MONTH($C$3)-1,$G153,0))</f>
        <v/>
      </c>
      <c r="P153" s="62">
        <f>$M153-$O153</f>
        <v/>
      </c>
      <c r="Q153" s="62">
        <f>($L153-$M153)-($N153-$O153)</f>
        <v/>
      </c>
      <c r="R153" s="62">
        <f>$L153-$N153</f>
        <v/>
      </c>
    </row>
    <row r="154">
      <c r="A154" s="59">
        <f>ROW()-5</f>
        <v/>
      </c>
      <c r="B154" s="60">
        <f>IFERROR(INDEX(tbl_Finance[Date],$A154),"")</f>
        <v/>
      </c>
      <c r="C154" s="61">
        <f>IFERROR(INDEX(tbl_Finance[Xero Invoice No],$A154),"")</f>
        <v/>
      </c>
      <c r="D154" s="61">
        <f>IFERROR(INDEX(tbl_Finance[Client],$A154),"")</f>
        <v/>
      </c>
      <c r="E154" s="61">
        <f>IFERROR(INDEX(tbl_Finance[Job Number],$A154),"")</f>
        <v/>
      </c>
      <c r="F154" s="61">
        <f>IFERROR(INDEX(tbl_Finance[Cost Centre],$A154),"")</f>
        <v/>
      </c>
      <c r="G154" s="62">
        <f>IFERROR(INDEX(tbl_Finance[Ex GST],$A154),"")</f>
        <v/>
      </c>
      <c r="H154" s="60">
        <f>IFERROR(INDEX(tbl_Finance[Defer Start],$A154),"")</f>
        <v/>
      </c>
      <c r="I154" s="60">
        <f>IFERROR(INDEX(tbl_Finance[Defer End],$A154),"")</f>
        <v/>
      </c>
      <c r="J154" s="59">
        <f>IF(OR($H154="",$I154="",$G154=""),"",MAX(1,(YEAR($I154)-YEAR($H154))*12+MONTH($I154)-MONTH($H154)+1))</f>
        <v/>
      </c>
      <c r="K154" s="62">
        <f>IF($J154="","",$G154/$J154)</f>
        <v/>
      </c>
      <c r="L154" s="62">
        <f>IF($J154="",0,$K154*MAX(0,MIN(YEAR($C$3)*12+MONTH($C$3),YEAR($I154)*12+MONTH($I154))-(YEAR($H154)*12+MONTH($H154))+1))</f>
        <v/>
      </c>
      <c r="M154" s="62">
        <f>IF($J154="",0,$K154*MAX(0,MIN(YEAR($C$3)*12+MONTH($C$3)-1,YEAR($I154)*12+MONTH($I154))-(YEAR($H154)*12+MONTH($H154))+1))</f>
        <v/>
      </c>
      <c r="N154" s="62">
        <f>IF(OR($J154="",$B154=""),0,IF(YEAR($B154)*12+MONTH($B154)&lt;=YEAR($C$3)*12+MONTH($C$3),$G154,0))</f>
        <v/>
      </c>
      <c r="O154" s="62">
        <f>IF(OR($J154="",$B154=""),0,IF(YEAR($B154)*12+MONTH($B154)&lt;=YEAR($C$3)*12+MONTH($C$3)-1,$G154,0))</f>
        <v/>
      </c>
      <c r="P154" s="62">
        <f>$M154-$O154</f>
        <v/>
      </c>
      <c r="Q154" s="62">
        <f>($L154-$M154)-($N154-$O154)</f>
        <v/>
      </c>
      <c r="R154" s="62">
        <f>$L154-$N154</f>
        <v/>
      </c>
    </row>
    <row r="155">
      <c r="A155" s="59">
        <f>ROW()-5</f>
        <v/>
      </c>
      <c r="B155" s="60">
        <f>IFERROR(INDEX(tbl_Finance[Date],$A155),"")</f>
        <v/>
      </c>
      <c r="C155" s="61">
        <f>IFERROR(INDEX(tbl_Finance[Xero Invoice No],$A155),"")</f>
        <v/>
      </c>
      <c r="D155" s="61">
        <f>IFERROR(INDEX(tbl_Finance[Client],$A155),"")</f>
        <v/>
      </c>
      <c r="E155" s="61">
        <f>IFERROR(INDEX(tbl_Finance[Job Number],$A155),"")</f>
        <v/>
      </c>
      <c r="F155" s="61">
        <f>IFERROR(INDEX(tbl_Finance[Cost Centre],$A155),"")</f>
        <v/>
      </c>
      <c r="G155" s="62">
        <f>IFERROR(INDEX(tbl_Finance[Ex GST],$A155),"")</f>
        <v/>
      </c>
      <c r="H155" s="60">
        <f>IFERROR(INDEX(tbl_Finance[Defer Start],$A155),"")</f>
        <v/>
      </c>
      <c r="I155" s="60">
        <f>IFERROR(INDEX(tbl_Finance[Defer End],$A155),"")</f>
        <v/>
      </c>
      <c r="J155" s="59">
        <f>IF(OR($H155="",$I155="",$G155=""),"",MAX(1,(YEAR($I155)-YEAR($H155))*12+MONTH($I155)-MONTH($H155)+1))</f>
        <v/>
      </c>
      <c r="K155" s="62">
        <f>IF($J155="","",$G155/$J155)</f>
        <v/>
      </c>
      <c r="L155" s="62">
        <f>IF($J155="",0,$K155*MAX(0,MIN(YEAR($C$3)*12+MONTH($C$3),YEAR($I155)*12+MONTH($I155))-(YEAR($H155)*12+MONTH($H155))+1))</f>
        <v/>
      </c>
      <c r="M155" s="62">
        <f>IF($J155="",0,$K155*MAX(0,MIN(YEAR($C$3)*12+MONTH($C$3)-1,YEAR($I155)*12+MONTH($I155))-(YEAR($H155)*12+MONTH($H155))+1))</f>
        <v/>
      </c>
      <c r="N155" s="62">
        <f>IF(OR($J155="",$B155=""),0,IF(YEAR($B155)*12+MONTH($B155)&lt;=YEAR($C$3)*12+MONTH($C$3),$G155,0))</f>
        <v/>
      </c>
      <c r="O155" s="62">
        <f>IF(OR($J155="",$B155=""),0,IF(YEAR($B155)*12+MONTH($B155)&lt;=YEAR($C$3)*12+MONTH($C$3)-1,$G155,0))</f>
        <v/>
      </c>
      <c r="P155" s="62">
        <f>$M155-$O155</f>
        <v/>
      </c>
      <c r="Q155" s="62">
        <f>($L155-$M155)-($N155-$O155)</f>
        <v/>
      </c>
      <c r="R155" s="62">
        <f>$L155-$N155</f>
        <v/>
      </c>
    </row>
    <row r="156">
      <c r="A156" s="59">
        <f>ROW()-5</f>
        <v/>
      </c>
      <c r="B156" s="60">
        <f>IFERROR(INDEX(tbl_Finance[Date],$A156),"")</f>
        <v/>
      </c>
      <c r="C156" s="61">
        <f>IFERROR(INDEX(tbl_Finance[Xero Invoice No],$A156),"")</f>
        <v/>
      </c>
      <c r="D156" s="61">
        <f>IFERROR(INDEX(tbl_Finance[Client],$A156),"")</f>
        <v/>
      </c>
      <c r="E156" s="61">
        <f>IFERROR(INDEX(tbl_Finance[Job Number],$A156),"")</f>
        <v/>
      </c>
      <c r="F156" s="61">
        <f>IFERROR(INDEX(tbl_Finance[Cost Centre],$A156),"")</f>
        <v/>
      </c>
      <c r="G156" s="62">
        <f>IFERROR(INDEX(tbl_Finance[Ex GST],$A156),"")</f>
        <v/>
      </c>
      <c r="H156" s="60">
        <f>IFERROR(INDEX(tbl_Finance[Defer Start],$A156),"")</f>
        <v/>
      </c>
      <c r="I156" s="60">
        <f>IFERROR(INDEX(tbl_Finance[Defer End],$A156),"")</f>
        <v/>
      </c>
      <c r="J156" s="59">
        <f>IF(OR($H156="",$I156="",$G156=""),"",MAX(1,(YEAR($I156)-YEAR($H156))*12+MONTH($I156)-MONTH($H156)+1))</f>
        <v/>
      </c>
      <c r="K156" s="62">
        <f>IF($J156="","",$G156/$J156)</f>
        <v/>
      </c>
      <c r="L156" s="62">
        <f>IF($J156="",0,$K156*MAX(0,MIN(YEAR($C$3)*12+MONTH($C$3),YEAR($I156)*12+MONTH($I156))-(YEAR($H156)*12+MONTH($H156))+1))</f>
        <v/>
      </c>
      <c r="M156" s="62">
        <f>IF($J156="",0,$K156*MAX(0,MIN(YEAR($C$3)*12+MONTH($C$3)-1,YEAR($I156)*12+MONTH($I156))-(YEAR($H156)*12+MONTH($H156))+1))</f>
        <v/>
      </c>
      <c r="N156" s="62">
        <f>IF(OR($J156="",$B156=""),0,IF(YEAR($B156)*12+MONTH($B156)&lt;=YEAR($C$3)*12+MONTH($C$3),$G156,0))</f>
        <v/>
      </c>
      <c r="O156" s="62">
        <f>IF(OR($J156="",$B156=""),0,IF(YEAR($B156)*12+MONTH($B156)&lt;=YEAR($C$3)*12+MONTH($C$3)-1,$G156,0))</f>
        <v/>
      </c>
      <c r="P156" s="62">
        <f>$M156-$O156</f>
        <v/>
      </c>
      <c r="Q156" s="62">
        <f>($L156-$M156)-($N156-$O156)</f>
        <v/>
      </c>
      <c r="R156" s="62">
        <f>$L156-$N156</f>
        <v/>
      </c>
    </row>
    <row r="157">
      <c r="A157" s="59">
        <f>ROW()-5</f>
        <v/>
      </c>
      <c r="B157" s="60">
        <f>IFERROR(INDEX(tbl_Finance[Date],$A157),"")</f>
        <v/>
      </c>
      <c r="C157" s="61">
        <f>IFERROR(INDEX(tbl_Finance[Xero Invoice No],$A157),"")</f>
        <v/>
      </c>
      <c r="D157" s="61">
        <f>IFERROR(INDEX(tbl_Finance[Client],$A157),"")</f>
        <v/>
      </c>
      <c r="E157" s="61">
        <f>IFERROR(INDEX(tbl_Finance[Job Number],$A157),"")</f>
        <v/>
      </c>
      <c r="F157" s="61">
        <f>IFERROR(INDEX(tbl_Finance[Cost Centre],$A157),"")</f>
        <v/>
      </c>
      <c r="G157" s="62">
        <f>IFERROR(INDEX(tbl_Finance[Ex GST],$A157),"")</f>
        <v/>
      </c>
      <c r="H157" s="60">
        <f>IFERROR(INDEX(tbl_Finance[Defer Start],$A157),"")</f>
        <v/>
      </c>
      <c r="I157" s="60">
        <f>IFERROR(INDEX(tbl_Finance[Defer End],$A157),"")</f>
        <v/>
      </c>
      <c r="J157" s="59">
        <f>IF(OR($H157="",$I157="",$G157=""),"",MAX(1,(YEAR($I157)-YEAR($H157))*12+MONTH($I157)-MONTH($H157)+1))</f>
        <v/>
      </c>
      <c r="K157" s="62">
        <f>IF($J157="","",$G157/$J157)</f>
        <v/>
      </c>
      <c r="L157" s="62">
        <f>IF($J157="",0,$K157*MAX(0,MIN(YEAR($C$3)*12+MONTH($C$3),YEAR($I157)*12+MONTH($I157))-(YEAR($H157)*12+MONTH($H157))+1))</f>
        <v/>
      </c>
      <c r="M157" s="62">
        <f>IF($J157="",0,$K157*MAX(0,MIN(YEAR($C$3)*12+MONTH($C$3)-1,YEAR($I157)*12+MONTH($I157))-(YEAR($H157)*12+MONTH($H157))+1))</f>
        <v/>
      </c>
      <c r="N157" s="62">
        <f>IF(OR($J157="",$B157=""),0,IF(YEAR($B157)*12+MONTH($B157)&lt;=YEAR($C$3)*12+MONTH($C$3),$G157,0))</f>
        <v/>
      </c>
      <c r="O157" s="62">
        <f>IF(OR($J157="",$B157=""),0,IF(YEAR($B157)*12+MONTH($B157)&lt;=YEAR($C$3)*12+MONTH($C$3)-1,$G157,0))</f>
        <v/>
      </c>
      <c r="P157" s="62">
        <f>$M157-$O157</f>
        <v/>
      </c>
      <c r="Q157" s="62">
        <f>($L157-$M157)-($N157-$O157)</f>
        <v/>
      </c>
      <c r="R157" s="62">
        <f>$L157-$N157</f>
        <v/>
      </c>
    </row>
    <row r="158">
      <c r="A158" s="59">
        <f>ROW()-5</f>
        <v/>
      </c>
      <c r="B158" s="60">
        <f>IFERROR(INDEX(tbl_Finance[Date],$A158),"")</f>
        <v/>
      </c>
      <c r="C158" s="61">
        <f>IFERROR(INDEX(tbl_Finance[Xero Invoice No],$A158),"")</f>
        <v/>
      </c>
      <c r="D158" s="61">
        <f>IFERROR(INDEX(tbl_Finance[Client],$A158),"")</f>
        <v/>
      </c>
      <c r="E158" s="61">
        <f>IFERROR(INDEX(tbl_Finance[Job Number],$A158),"")</f>
        <v/>
      </c>
      <c r="F158" s="61">
        <f>IFERROR(INDEX(tbl_Finance[Cost Centre],$A158),"")</f>
        <v/>
      </c>
      <c r="G158" s="62">
        <f>IFERROR(INDEX(tbl_Finance[Ex GST],$A158),"")</f>
        <v/>
      </c>
      <c r="H158" s="60">
        <f>IFERROR(INDEX(tbl_Finance[Defer Start],$A158),"")</f>
        <v/>
      </c>
      <c r="I158" s="60">
        <f>IFERROR(INDEX(tbl_Finance[Defer End],$A158),"")</f>
        <v/>
      </c>
      <c r="J158" s="59">
        <f>IF(OR($H158="",$I158="",$G158=""),"",MAX(1,(YEAR($I158)-YEAR($H158))*12+MONTH($I158)-MONTH($H158)+1))</f>
        <v/>
      </c>
      <c r="K158" s="62">
        <f>IF($J158="","",$G158/$J158)</f>
        <v/>
      </c>
      <c r="L158" s="62">
        <f>IF($J158="",0,$K158*MAX(0,MIN(YEAR($C$3)*12+MONTH($C$3),YEAR($I158)*12+MONTH($I158))-(YEAR($H158)*12+MONTH($H158))+1))</f>
        <v/>
      </c>
      <c r="M158" s="62">
        <f>IF($J158="",0,$K158*MAX(0,MIN(YEAR($C$3)*12+MONTH($C$3)-1,YEAR($I158)*12+MONTH($I158))-(YEAR($H158)*12+MONTH($H158))+1))</f>
        <v/>
      </c>
      <c r="N158" s="62">
        <f>IF(OR($J158="",$B158=""),0,IF(YEAR($B158)*12+MONTH($B158)&lt;=YEAR($C$3)*12+MONTH($C$3),$G158,0))</f>
        <v/>
      </c>
      <c r="O158" s="62">
        <f>IF(OR($J158="",$B158=""),0,IF(YEAR($B158)*12+MONTH($B158)&lt;=YEAR($C$3)*12+MONTH($C$3)-1,$G158,0))</f>
        <v/>
      </c>
      <c r="P158" s="62">
        <f>$M158-$O158</f>
        <v/>
      </c>
      <c r="Q158" s="62">
        <f>($L158-$M158)-($N158-$O158)</f>
        <v/>
      </c>
      <c r="R158" s="62">
        <f>$L158-$N158</f>
        <v/>
      </c>
    </row>
    <row r="159">
      <c r="A159" s="59">
        <f>ROW()-5</f>
        <v/>
      </c>
      <c r="B159" s="60">
        <f>IFERROR(INDEX(tbl_Finance[Date],$A159),"")</f>
        <v/>
      </c>
      <c r="C159" s="61">
        <f>IFERROR(INDEX(tbl_Finance[Xero Invoice No],$A159),"")</f>
        <v/>
      </c>
      <c r="D159" s="61">
        <f>IFERROR(INDEX(tbl_Finance[Client],$A159),"")</f>
        <v/>
      </c>
      <c r="E159" s="61">
        <f>IFERROR(INDEX(tbl_Finance[Job Number],$A159),"")</f>
        <v/>
      </c>
      <c r="F159" s="61">
        <f>IFERROR(INDEX(tbl_Finance[Cost Centre],$A159),"")</f>
        <v/>
      </c>
      <c r="G159" s="62">
        <f>IFERROR(INDEX(tbl_Finance[Ex GST],$A159),"")</f>
        <v/>
      </c>
      <c r="H159" s="60">
        <f>IFERROR(INDEX(tbl_Finance[Defer Start],$A159),"")</f>
        <v/>
      </c>
      <c r="I159" s="60">
        <f>IFERROR(INDEX(tbl_Finance[Defer End],$A159),"")</f>
        <v/>
      </c>
      <c r="J159" s="59">
        <f>IF(OR($H159="",$I159="",$G159=""),"",MAX(1,(YEAR($I159)-YEAR($H159))*12+MONTH($I159)-MONTH($H159)+1))</f>
        <v/>
      </c>
      <c r="K159" s="62">
        <f>IF($J159="","",$G159/$J159)</f>
        <v/>
      </c>
      <c r="L159" s="62">
        <f>IF($J159="",0,$K159*MAX(0,MIN(YEAR($C$3)*12+MONTH($C$3),YEAR($I159)*12+MONTH($I159))-(YEAR($H159)*12+MONTH($H159))+1))</f>
        <v/>
      </c>
      <c r="M159" s="62">
        <f>IF($J159="",0,$K159*MAX(0,MIN(YEAR($C$3)*12+MONTH($C$3)-1,YEAR($I159)*12+MONTH($I159))-(YEAR($H159)*12+MONTH($H159))+1))</f>
        <v/>
      </c>
      <c r="N159" s="62">
        <f>IF(OR($J159="",$B159=""),0,IF(YEAR($B159)*12+MONTH($B159)&lt;=YEAR($C$3)*12+MONTH($C$3),$G159,0))</f>
        <v/>
      </c>
      <c r="O159" s="62">
        <f>IF(OR($J159="",$B159=""),0,IF(YEAR($B159)*12+MONTH($B159)&lt;=YEAR($C$3)*12+MONTH($C$3)-1,$G159,0))</f>
        <v/>
      </c>
      <c r="P159" s="62">
        <f>$M159-$O159</f>
        <v/>
      </c>
      <c r="Q159" s="62">
        <f>($L159-$M159)-($N159-$O159)</f>
        <v/>
      </c>
      <c r="R159" s="62">
        <f>$L159-$N159</f>
        <v/>
      </c>
    </row>
    <row r="160">
      <c r="A160" s="59">
        <f>ROW()-5</f>
        <v/>
      </c>
      <c r="B160" s="60">
        <f>IFERROR(INDEX(tbl_Finance[Date],$A160),"")</f>
        <v/>
      </c>
      <c r="C160" s="61">
        <f>IFERROR(INDEX(tbl_Finance[Xero Invoice No],$A160),"")</f>
        <v/>
      </c>
      <c r="D160" s="61">
        <f>IFERROR(INDEX(tbl_Finance[Client],$A160),"")</f>
        <v/>
      </c>
      <c r="E160" s="61">
        <f>IFERROR(INDEX(tbl_Finance[Job Number],$A160),"")</f>
        <v/>
      </c>
      <c r="F160" s="61">
        <f>IFERROR(INDEX(tbl_Finance[Cost Centre],$A160),"")</f>
        <v/>
      </c>
      <c r="G160" s="62">
        <f>IFERROR(INDEX(tbl_Finance[Ex GST],$A160),"")</f>
        <v/>
      </c>
      <c r="H160" s="60">
        <f>IFERROR(INDEX(tbl_Finance[Defer Start],$A160),"")</f>
        <v/>
      </c>
      <c r="I160" s="60">
        <f>IFERROR(INDEX(tbl_Finance[Defer End],$A160),"")</f>
        <v/>
      </c>
      <c r="J160" s="59">
        <f>IF(OR($H160="",$I160="",$G160=""),"",MAX(1,(YEAR($I160)-YEAR($H160))*12+MONTH($I160)-MONTH($H160)+1))</f>
        <v/>
      </c>
      <c r="K160" s="62">
        <f>IF($J160="","",$G160/$J160)</f>
        <v/>
      </c>
      <c r="L160" s="62">
        <f>IF($J160="",0,$K160*MAX(0,MIN(YEAR($C$3)*12+MONTH($C$3),YEAR($I160)*12+MONTH($I160))-(YEAR($H160)*12+MONTH($H160))+1))</f>
        <v/>
      </c>
      <c r="M160" s="62">
        <f>IF($J160="",0,$K160*MAX(0,MIN(YEAR($C$3)*12+MONTH($C$3)-1,YEAR($I160)*12+MONTH($I160))-(YEAR($H160)*12+MONTH($H160))+1))</f>
        <v/>
      </c>
      <c r="N160" s="62">
        <f>IF(OR($J160="",$B160=""),0,IF(YEAR($B160)*12+MONTH($B160)&lt;=YEAR($C$3)*12+MONTH($C$3),$G160,0))</f>
        <v/>
      </c>
      <c r="O160" s="62">
        <f>IF(OR($J160="",$B160=""),0,IF(YEAR($B160)*12+MONTH($B160)&lt;=YEAR($C$3)*12+MONTH($C$3)-1,$G160,0))</f>
        <v/>
      </c>
      <c r="P160" s="62">
        <f>$M160-$O160</f>
        <v/>
      </c>
      <c r="Q160" s="62">
        <f>($L160-$M160)-($N160-$O160)</f>
        <v/>
      </c>
      <c r="R160" s="62">
        <f>$L160-$N160</f>
        <v/>
      </c>
    </row>
    <row r="161">
      <c r="A161" s="59">
        <f>ROW()-5</f>
        <v/>
      </c>
      <c r="B161" s="60">
        <f>IFERROR(INDEX(tbl_Finance[Date],$A161),"")</f>
        <v/>
      </c>
      <c r="C161" s="61">
        <f>IFERROR(INDEX(tbl_Finance[Xero Invoice No],$A161),"")</f>
        <v/>
      </c>
      <c r="D161" s="61">
        <f>IFERROR(INDEX(tbl_Finance[Client],$A161),"")</f>
        <v/>
      </c>
      <c r="E161" s="61">
        <f>IFERROR(INDEX(tbl_Finance[Job Number],$A161),"")</f>
        <v/>
      </c>
      <c r="F161" s="61">
        <f>IFERROR(INDEX(tbl_Finance[Cost Centre],$A161),"")</f>
        <v/>
      </c>
      <c r="G161" s="62">
        <f>IFERROR(INDEX(tbl_Finance[Ex GST],$A161),"")</f>
        <v/>
      </c>
      <c r="H161" s="60">
        <f>IFERROR(INDEX(tbl_Finance[Defer Start],$A161),"")</f>
        <v/>
      </c>
      <c r="I161" s="60">
        <f>IFERROR(INDEX(tbl_Finance[Defer End],$A161),"")</f>
        <v/>
      </c>
      <c r="J161" s="59">
        <f>IF(OR($H161="",$I161="",$G161=""),"",MAX(1,(YEAR($I161)-YEAR($H161))*12+MONTH($I161)-MONTH($H161)+1))</f>
        <v/>
      </c>
      <c r="K161" s="62">
        <f>IF($J161="","",$G161/$J161)</f>
        <v/>
      </c>
      <c r="L161" s="62">
        <f>IF($J161="",0,$K161*MAX(0,MIN(YEAR($C$3)*12+MONTH($C$3),YEAR($I161)*12+MONTH($I161))-(YEAR($H161)*12+MONTH($H161))+1))</f>
        <v/>
      </c>
      <c r="M161" s="62">
        <f>IF($J161="",0,$K161*MAX(0,MIN(YEAR($C$3)*12+MONTH($C$3)-1,YEAR($I161)*12+MONTH($I161))-(YEAR($H161)*12+MONTH($H161))+1))</f>
        <v/>
      </c>
      <c r="N161" s="62">
        <f>IF(OR($J161="",$B161=""),0,IF(YEAR($B161)*12+MONTH($B161)&lt;=YEAR($C$3)*12+MONTH($C$3),$G161,0))</f>
        <v/>
      </c>
      <c r="O161" s="62">
        <f>IF(OR($J161="",$B161=""),0,IF(YEAR($B161)*12+MONTH($B161)&lt;=YEAR($C$3)*12+MONTH($C$3)-1,$G161,0))</f>
        <v/>
      </c>
      <c r="P161" s="62">
        <f>$M161-$O161</f>
        <v/>
      </c>
      <c r="Q161" s="62">
        <f>($L161-$M161)-($N161-$O161)</f>
        <v/>
      </c>
      <c r="R161" s="62">
        <f>$L161-$N161</f>
        <v/>
      </c>
    </row>
    <row r="162">
      <c r="A162" s="59">
        <f>ROW()-5</f>
        <v/>
      </c>
      <c r="B162" s="60">
        <f>IFERROR(INDEX(tbl_Finance[Date],$A162),"")</f>
        <v/>
      </c>
      <c r="C162" s="61">
        <f>IFERROR(INDEX(tbl_Finance[Xero Invoice No],$A162),"")</f>
        <v/>
      </c>
      <c r="D162" s="61">
        <f>IFERROR(INDEX(tbl_Finance[Client],$A162),"")</f>
        <v/>
      </c>
      <c r="E162" s="61">
        <f>IFERROR(INDEX(tbl_Finance[Job Number],$A162),"")</f>
        <v/>
      </c>
      <c r="F162" s="61">
        <f>IFERROR(INDEX(tbl_Finance[Cost Centre],$A162),"")</f>
        <v/>
      </c>
      <c r="G162" s="62">
        <f>IFERROR(INDEX(tbl_Finance[Ex GST],$A162),"")</f>
        <v/>
      </c>
      <c r="H162" s="60">
        <f>IFERROR(INDEX(tbl_Finance[Defer Start],$A162),"")</f>
        <v/>
      </c>
      <c r="I162" s="60">
        <f>IFERROR(INDEX(tbl_Finance[Defer End],$A162),"")</f>
        <v/>
      </c>
      <c r="J162" s="59">
        <f>IF(OR($H162="",$I162="",$G162=""),"",MAX(1,(YEAR($I162)-YEAR($H162))*12+MONTH($I162)-MONTH($H162)+1))</f>
        <v/>
      </c>
      <c r="K162" s="62">
        <f>IF($J162="","",$G162/$J162)</f>
        <v/>
      </c>
      <c r="L162" s="62">
        <f>IF($J162="",0,$K162*MAX(0,MIN(YEAR($C$3)*12+MONTH($C$3),YEAR($I162)*12+MONTH($I162))-(YEAR($H162)*12+MONTH($H162))+1))</f>
        <v/>
      </c>
      <c r="M162" s="62">
        <f>IF($J162="",0,$K162*MAX(0,MIN(YEAR($C$3)*12+MONTH($C$3)-1,YEAR($I162)*12+MONTH($I162))-(YEAR($H162)*12+MONTH($H162))+1))</f>
        <v/>
      </c>
      <c r="N162" s="62">
        <f>IF(OR($J162="",$B162=""),0,IF(YEAR($B162)*12+MONTH($B162)&lt;=YEAR($C$3)*12+MONTH($C$3),$G162,0))</f>
        <v/>
      </c>
      <c r="O162" s="62">
        <f>IF(OR($J162="",$B162=""),0,IF(YEAR($B162)*12+MONTH($B162)&lt;=YEAR($C$3)*12+MONTH($C$3)-1,$G162,0))</f>
        <v/>
      </c>
      <c r="P162" s="62">
        <f>$M162-$O162</f>
        <v/>
      </c>
      <c r="Q162" s="62">
        <f>($L162-$M162)-($N162-$O162)</f>
        <v/>
      </c>
      <c r="R162" s="62">
        <f>$L162-$N162</f>
        <v/>
      </c>
    </row>
    <row r="163">
      <c r="A163" s="59">
        <f>ROW()-5</f>
        <v/>
      </c>
      <c r="B163" s="60">
        <f>IFERROR(INDEX(tbl_Finance[Date],$A163),"")</f>
        <v/>
      </c>
      <c r="C163" s="61">
        <f>IFERROR(INDEX(tbl_Finance[Xero Invoice No],$A163),"")</f>
        <v/>
      </c>
      <c r="D163" s="61">
        <f>IFERROR(INDEX(tbl_Finance[Client],$A163),"")</f>
        <v/>
      </c>
      <c r="E163" s="61">
        <f>IFERROR(INDEX(tbl_Finance[Job Number],$A163),"")</f>
        <v/>
      </c>
      <c r="F163" s="61">
        <f>IFERROR(INDEX(tbl_Finance[Cost Centre],$A163),"")</f>
        <v/>
      </c>
      <c r="G163" s="62">
        <f>IFERROR(INDEX(tbl_Finance[Ex GST],$A163),"")</f>
        <v/>
      </c>
      <c r="H163" s="60">
        <f>IFERROR(INDEX(tbl_Finance[Defer Start],$A163),"")</f>
        <v/>
      </c>
      <c r="I163" s="60">
        <f>IFERROR(INDEX(tbl_Finance[Defer End],$A163),"")</f>
        <v/>
      </c>
      <c r="J163" s="59">
        <f>IF(OR($H163="",$I163="",$G163=""),"",MAX(1,(YEAR($I163)-YEAR($H163))*12+MONTH($I163)-MONTH($H163)+1))</f>
        <v/>
      </c>
      <c r="K163" s="62">
        <f>IF($J163="","",$G163/$J163)</f>
        <v/>
      </c>
      <c r="L163" s="62">
        <f>IF($J163="",0,$K163*MAX(0,MIN(YEAR($C$3)*12+MONTH($C$3),YEAR($I163)*12+MONTH($I163))-(YEAR($H163)*12+MONTH($H163))+1))</f>
        <v/>
      </c>
      <c r="M163" s="62">
        <f>IF($J163="",0,$K163*MAX(0,MIN(YEAR($C$3)*12+MONTH($C$3)-1,YEAR($I163)*12+MONTH($I163))-(YEAR($H163)*12+MONTH($H163))+1))</f>
        <v/>
      </c>
      <c r="N163" s="62">
        <f>IF(OR($J163="",$B163=""),0,IF(YEAR($B163)*12+MONTH($B163)&lt;=YEAR($C$3)*12+MONTH($C$3),$G163,0))</f>
        <v/>
      </c>
      <c r="O163" s="62">
        <f>IF(OR($J163="",$B163=""),0,IF(YEAR($B163)*12+MONTH($B163)&lt;=YEAR($C$3)*12+MONTH($C$3)-1,$G163,0))</f>
        <v/>
      </c>
      <c r="P163" s="62">
        <f>$M163-$O163</f>
        <v/>
      </c>
      <c r="Q163" s="62">
        <f>($L163-$M163)-($N163-$O163)</f>
        <v/>
      </c>
      <c r="R163" s="62">
        <f>$L163-$N163</f>
        <v/>
      </c>
    </row>
    <row r="164">
      <c r="A164" s="59">
        <f>ROW()-5</f>
        <v/>
      </c>
      <c r="B164" s="60">
        <f>IFERROR(INDEX(tbl_Finance[Date],$A164),"")</f>
        <v/>
      </c>
      <c r="C164" s="61">
        <f>IFERROR(INDEX(tbl_Finance[Xero Invoice No],$A164),"")</f>
        <v/>
      </c>
      <c r="D164" s="61">
        <f>IFERROR(INDEX(tbl_Finance[Client],$A164),"")</f>
        <v/>
      </c>
      <c r="E164" s="61">
        <f>IFERROR(INDEX(tbl_Finance[Job Number],$A164),"")</f>
        <v/>
      </c>
      <c r="F164" s="61">
        <f>IFERROR(INDEX(tbl_Finance[Cost Centre],$A164),"")</f>
        <v/>
      </c>
      <c r="G164" s="62">
        <f>IFERROR(INDEX(tbl_Finance[Ex GST],$A164),"")</f>
        <v/>
      </c>
      <c r="H164" s="60">
        <f>IFERROR(INDEX(tbl_Finance[Defer Start],$A164),"")</f>
        <v/>
      </c>
      <c r="I164" s="60">
        <f>IFERROR(INDEX(tbl_Finance[Defer End],$A164),"")</f>
        <v/>
      </c>
      <c r="J164" s="59">
        <f>IF(OR($H164="",$I164="",$G164=""),"",MAX(1,(YEAR($I164)-YEAR($H164))*12+MONTH($I164)-MONTH($H164)+1))</f>
        <v/>
      </c>
      <c r="K164" s="62">
        <f>IF($J164="","",$G164/$J164)</f>
        <v/>
      </c>
      <c r="L164" s="62">
        <f>IF($J164="",0,$K164*MAX(0,MIN(YEAR($C$3)*12+MONTH($C$3),YEAR($I164)*12+MONTH($I164))-(YEAR($H164)*12+MONTH($H164))+1))</f>
        <v/>
      </c>
      <c r="M164" s="62">
        <f>IF($J164="",0,$K164*MAX(0,MIN(YEAR($C$3)*12+MONTH($C$3)-1,YEAR($I164)*12+MONTH($I164))-(YEAR($H164)*12+MONTH($H164))+1))</f>
        <v/>
      </c>
      <c r="N164" s="62">
        <f>IF(OR($J164="",$B164=""),0,IF(YEAR($B164)*12+MONTH($B164)&lt;=YEAR($C$3)*12+MONTH($C$3),$G164,0))</f>
        <v/>
      </c>
      <c r="O164" s="62">
        <f>IF(OR($J164="",$B164=""),0,IF(YEAR($B164)*12+MONTH($B164)&lt;=YEAR($C$3)*12+MONTH($C$3)-1,$G164,0))</f>
        <v/>
      </c>
      <c r="P164" s="62">
        <f>$M164-$O164</f>
        <v/>
      </c>
      <c r="Q164" s="62">
        <f>($L164-$M164)-($N164-$O164)</f>
        <v/>
      </c>
      <c r="R164" s="62">
        <f>$L164-$N164</f>
        <v/>
      </c>
    </row>
    <row r="165">
      <c r="A165" s="59">
        <f>ROW()-5</f>
        <v/>
      </c>
      <c r="B165" s="60">
        <f>IFERROR(INDEX(tbl_Finance[Date],$A165),"")</f>
        <v/>
      </c>
      <c r="C165" s="61">
        <f>IFERROR(INDEX(tbl_Finance[Xero Invoice No],$A165),"")</f>
        <v/>
      </c>
      <c r="D165" s="61">
        <f>IFERROR(INDEX(tbl_Finance[Client],$A165),"")</f>
        <v/>
      </c>
      <c r="E165" s="61">
        <f>IFERROR(INDEX(tbl_Finance[Job Number],$A165),"")</f>
        <v/>
      </c>
      <c r="F165" s="61">
        <f>IFERROR(INDEX(tbl_Finance[Cost Centre],$A165),"")</f>
        <v/>
      </c>
      <c r="G165" s="62">
        <f>IFERROR(INDEX(tbl_Finance[Ex GST],$A165),"")</f>
        <v/>
      </c>
      <c r="H165" s="60">
        <f>IFERROR(INDEX(tbl_Finance[Defer Start],$A165),"")</f>
        <v/>
      </c>
      <c r="I165" s="60">
        <f>IFERROR(INDEX(tbl_Finance[Defer End],$A165),"")</f>
        <v/>
      </c>
      <c r="J165" s="59">
        <f>IF(OR($H165="",$I165="",$G165=""),"",MAX(1,(YEAR($I165)-YEAR($H165))*12+MONTH($I165)-MONTH($H165)+1))</f>
        <v/>
      </c>
      <c r="K165" s="62">
        <f>IF($J165="","",$G165/$J165)</f>
        <v/>
      </c>
      <c r="L165" s="62">
        <f>IF($J165="",0,$K165*MAX(0,MIN(YEAR($C$3)*12+MONTH($C$3),YEAR($I165)*12+MONTH($I165))-(YEAR($H165)*12+MONTH($H165))+1))</f>
        <v/>
      </c>
      <c r="M165" s="62">
        <f>IF($J165="",0,$K165*MAX(0,MIN(YEAR($C$3)*12+MONTH($C$3)-1,YEAR($I165)*12+MONTH($I165))-(YEAR($H165)*12+MONTH($H165))+1))</f>
        <v/>
      </c>
      <c r="N165" s="62">
        <f>IF(OR($J165="",$B165=""),0,IF(YEAR($B165)*12+MONTH($B165)&lt;=YEAR($C$3)*12+MONTH($C$3),$G165,0))</f>
        <v/>
      </c>
      <c r="O165" s="62">
        <f>IF(OR($J165="",$B165=""),0,IF(YEAR($B165)*12+MONTH($B165)&lt;=YEAR($C$3)*12+MONTH($C$3)-1,$G165,0))</f>
        <v/>
      </c>
      <c r="P165" s="62">
        <f>$M165-$O165</f>
        <v/>
      </c>
      <c r="Q165" s="62">
        <f>($L165-$M165)-($N165-$O165)</f>
        <v/>
      </c>
      <c r="R165" s="62">
        <f>$L165-$N165</f>
        <v/>
      </c>
    </row>
    <row r="166">
      <c r="A166" s="59">
        <f>ROW()-5</f>
        <v/>
      </c>
      <c r="B166" s="60">
        <f>IFERROR(INDEX(tbl_Finance[Date],$A166),"")</f>
        <v/>
      </c>
      <c r="C166" s="61">
        <f>IFERROR(INDEX(tbl_Finance[Xero Invoice No],$A166),"")</f>
        <v/>
      </c>
      <c r="D166" s="61">
        <f>IFERROR(INDEX(tbl_Finance[Client],$A166),"")</f>
        <v/>
      </c>
      <c r="E166" s="61">
        <f>IFERROR(INDEX(tbl_Finance[Job Number],$A166),"")</f>
        <v/>
      </c>
      <c r="F166" s="61">
        <f>IFERROR(INDEX(tbl_Finance[Cost Centre],$A166),"")</f>
        <v/>
      </c>
      <c r="G166" s="62">
        <f>IFERROR(INDEX(tbl_Finance[Ex GST],$A166),"")</f>
        <v/>
      </c>
      <c r="H166" s="60">
        <f>IFERROR(INDEX(tbl_Finance[Defer Start],$A166),"")</f>
        <v/>
      </c>
      <c r="I166" s="60">
        <f>IFERROR(INDEX(tbl_Finance[Defer End],$A166),"")</f>
        <v/>
      </c>
      <c r="J166" s="59">
        <f>IF(OR($H166="",$I166="",$G166=""),"",MAX(1,(YEAR($I166)-YEAR($H166))*12+MONTH($I166)-MONTH($H166)+1))</f>
        <v/>
      </c>
      <c r="K166" s="62">
        <f>IF($J166="","",$G166/$J166)</f>
        <v/>
      </c>
      <c r="L166" s="62">
        <f>IF($J166="",0,$K166*MAX(0,MIN(YEAR($C$3)*12+MONTH($C$3),YEAR($I166)*12+MONTH($I166))-(YEAR($H166)*12+MONTH($H166))+1))</f>
        <v/>
      </c>
      <c r="M166" s="62">
        <f>IF($J166="",0,$K166*MAX(0,MIN(YEAR($C$3)*12+MONTH($C$3)-1,YEAR($I166)*12+MONTH($I166))-(YEAR($H166)*12+MONTH($H166))+1))</f>
        <v/>
      </c>
      <c r="N166" s="62">
        <f>IF(OR($J166="",$B166=""),0,IF(YEAR($B166)*12+MONTH($B166)&lt;=YEAR($C$3)*12+MONTH($C$3),$G166,0))</f>
        <v/>
      </c>
      <c r="O166" s="62">
        <f>IF(OR($J166="",$B166=""),0,IF(YEAR($B166)*12+MONTH($B166)&lt;=YEAR($C$3)*12+MONTH($C$3)-1,$G166,0))</f>
        <v/>
      </c>
      <c r="P166" s="62">
        <f>$M166-$O166</f>
        <v/>
      </c>
      <c r="Q166" s="62">
        <f>($L166-$M166)-($N166-$O166)</f>
        <v/>
      </c>
      <c r="R166" s="62">
        <f>$L166-$N166</f>
        <v/>
      </c>
    </row>
    <row r="167">
      <c r="A167" s="59">
        <f>ROW()-5</f>
        <v/>
      </c>
      <c r="B167" s="60">
        <f>IFERROR(INDEX(tbl_Finance[Date],$A167),"")</f>
        <v/>
      </c>
      <c r="C167" s="61">
        <f>IFERROR(INDEX(tbl_Finance[Xero Invoice No],$A167),"")</f>
        <v/>
      </c>
      <c r="D167" s="61">
        <f>IFERROR(INDEX(tbl_Finance[Client],$A167),"")</f>
        <v/>
      </c>
      <c r="E167" s="61">
        <f>IFERROR(INDEX(tbl_Finance[Job Number],$A167),"")</f>
        <v/>
      </c>
      <c r="F167" s="61">
        <f>IFERROR(INDEX(tbl_Finance[Cost Centre],$A167),"")</f>
        <v/>
      </c>
      <c r="G167" s="62">
        <f>IFERROR(INDEX(tbl_Finance[Ex GST],$A167),"")</f>
        <v/>
      </c>
      <c r="H167" s="60">
        <f>IFERROR(INDEX(tbl_Finance[Defer Start],$A167),"")</f>
        <v/>
      </c>
      <c r="I167" s="60">
        <f>IFERROR(INDEX(tbl_Finance[Defer End],$A167),"")</f>
        <v/>
      </c>
      <c r="J167" s="59">
        <f>IF(OR($H167="",$I167="",$G167=""),"",MAX(1,(YEAR($I167)-YEAR($H167))*12+MONTH($I167)-MONTH($H167)+1))</f>
        <v/>
      </c>
      <c r="K167" s="62">
        <f>IF($J167="","",$G167/$J167)</f>
        <v/>
      </c>
      <c r="L167" s="62">
        <f>IF($J167="",0,$K167*MAX(0,MIN(YEAR($C$3)*12+MONTH($C$3),YEAR($I167)*12+MONTH($I167))-(YEAR($H167)*12+MONTH($H167))+1))</f>
        <v/>
      </c>
      <c r="M167" s="62">
        <f>IF($J167="",0,$K167*MAX(0,MIN(YEAR($C$3)*12+MONTH($C$3)-1,YEAR($I167)*12+MONTH($I167))-(YEAR($H167)*12+MONTH($H167))+1))</f>
        <v/>
      </c>
      <c r="N167" s="62">
        <f>IF(OR($J167="",$B167=""),0,IF(YEAR($B167)*12+MONTH($B167)&lt;=YEAR($C$3)*12+MONTH($C$3),$G167,0))</f>
        <v/>
      </c>
      <c r="O167" s="62">
        <f>IF(OR($J167="",$B167=""),0,IF(YEAR($B167)*12+MONTH($B167)&lt;=YEAR($C$3)*12+MONTH($C$3)-1,$G167,0))</f>
        <v/>
      </c>
      <c r="P167" s="62">
        <f>$M167-$O167</f>
        <v/>
      </c>
      <c r="Q167" s="62">
        <f>($L167-$M167)-($N167-$O167)</f>
        <v/>
      </c>
      <c r="R167" s="62">
        <f>$L167-$N167</f>
        <v/>
      </c>
    </row>
    <row r="168">
      <c r="A168" s="59">
        <f>ROW()-5</f>
        <v/>
      </c>
      <c r="B168" s="60">
        <f>IFERROR(INDEX(tbl_Finance[Date],$A168),"")</f>
        <v/>
      </c>
      <c r="C168" s="61">
        <f>IFERROR(INDEX(tbl_Finance[Xero Invoice No],$A168),"")</f>
        <v/>
      </c>
      <c r="D168" s="61">
        <f>IFERROR(INDEX(tbl_Finance[Client],$A168),"")</f>
        <v/>
      </c>
      <c r="E168" s="61">
        <f>IFERROR(INDEX(tbl_Finance[Job Number],$A168),"")</f>
        <v/>
      </c>
      <c r="F168" s="61">
        <f>IFERROR(INDEX(tbl_Finance[Cost Centre],$A168),"")</f>
        <v/>
      </c>
      <c r="G168" s="62">
        <f>IFERROR(INDEX(tbl_Finance[Ex GST],$A168),"")</f>
        <v/>
      </c>
      <c r="H168" s="60">
        <f>IFERROR(INDEX(tbl_Finance[Defer Start],$A168),"")</f>
        <v/>
      </c>
      <c r="I168" s="60">
        <f>IFERROR(INDEX(tbl_Finance[Defer End],$A168),"")</f>
        <v/>
      </c>
      <c r="J168" s="59">
        <f>IF(OR($H168="",$I168="",$G168=""),"",MAX(1,(YEAR($I168)-YEAR($H168))*12+MONTH($I168)-MONTH($H168)+1))</f>
        <v/>
      </c>
      <c r="K168" s="62">
        <f>IF($J168="","",$G168/$J168)</f>
        <v/>
      </c>
      <c r="L168" s="62">
        <f>IF($J168="",0,$K168*MAX(0,MIN(YEAR($C$3)*12+MONTH($C$3),YEAR($I168)*12+MONTH($I168))-(YEAR($H168)*12+MONTH($H168))+1))</f>
        <v/>
      </c>
      <c r="M168" s="62">
        <f>IF($J168="",0,$K168*MAX(0,MIN(YEAR($C$3)*12+MONTH($C$3)-1,YEAR($I168)*12+MONTH($I168))-(YEAR($H168)*12+MONTH($H168))+1))</f>
        <v/>
      </c>
      <c r="N168" s="62">
        <f>IF(OR($J168="",$B168=""),0,IF(YEAR($B168)*12+MONTH($B168)&lt;=YEAR($C$3)*12+MONTH($C$3),$G168,0))</f>
        <v/>
      </c>
      <c r="O168" s="62">
        <f>IF(OR($J168="",$B168=""),0,IF(YEAR($B168)*12+MONTH($B168)&lt;=YEAR($C$3)*12+MONTH($C$3)-1,$G168,0))</f>
        <v/>
      </c>
      <c r="P168" s="62">
        <f>$M168-$O168</f>
        <v/>
      </c>
      <c r="Q168" s="62">
        <f>($L168-$M168)-($N168-$O168)</f>
        <v/>
      </c>
      <c r="R168" s="62">
        <f>$L168-$N168</f>
        <v/>
      </c>
    </row>
    <row r="169">
      <c r="A169" s="59">
        <f>ROW()-5</f>
        <v/>
      </c>
      <c r="B169" s="60">
        <f>IFERROR(INDEX(tbl_Finance[Date],$A169),"")</f>
        <v/>
      </c>
      <c r="C169" s="61">
        <f>IFERROR(INDEX(tbl_Finance[Xero Invoice No],$A169),"")</f>
        <v/>
      </c>
      <c r="D169" s="61">
        <f>IFERROR(INDEX(tbl_Finance[Client],$A169),"")</f>
        <v/>
      </c>
      <c r="E169" s="61">
        <f>IFERROR(INDEX(tbl_Finance[Job Number],$A169),"")</f>
        <v/>
      </c>
      <c r="F169" s="61">
        <f>IFERROR(INDEX(tbl_Finance[Cost Centre],$A169),"")</f>
        <v/>
      </c>
      <c r="G169" s="62">
        <f>IFERROR(INDEX(tbl_Finance[Ex GST],$A169),"")</f>
        <v/>
      </c>
      <c r="H169" s="60">
        <f>IFERROR(INDEX(tbl_Finance[Defer Start],$A169),"")</f>
        <v/>
      </c>
      <c r="I169" s="60">
        <f>IFERROR(INDEX(tbl_Finance[Defer End],$A169),"")</f>
        <v/>
      </c>
      <c r="J169" s="59">
        <f>IF(OR($H169="",$I169="",$G169=""),"",MAX(1,(YEAR($I169)-YEAR($H169))*12+MONTH($I169)-MONTH($H169)+1))</f>
        <v/>
      </c>
      <c r="K169" s="62">
        <f>IF($J169="","",$G169/$J169)</f>
        <v/>
      </c>
      <c r="L169" s="62">
        <f>IF($J169="",0,$K169*MAX(0,MIN(YEAR($C$3)*12+MONTH($C$3),YEAR($I169)*12+MONTH($I169))-(YEAR($H169)*12+MONTH($H169))+1))</f>
        <v/>
      </c>
      <c r="M169" s="62">
        <f>IF($J169="",0,$K169*MAX(0,MIN(YEAR($C$3)*12+MONTH($C$3)-1,YEAR($I169)*12+MONTH($I169))-(YEAR($H169)*12+MONTH($H169))+1))</f>
        <v/>
      </c>
      <c r="N169" s="62">
        <f>IF(OR($J169="",$B169=""),0,IF(YEAR($B169)*12+MONTH($B169)&lt;=YEAR($C$3)*12+MONTH($C$3),$G169,0))</f>
        <v/>
      </c>
      <c r="O169" s="62">
        <f>IF(OR($J169="",$B169=""),0,IF(YEAR($B169)*12+MONTH($B169)&lt;=YEAR($C$3)*12+MONTH($C$3)-1,$G169,0))</f>
        <v/>
      </c>
      <c r="P169" s="62">
        <f>$M169-$O169</f>
        <v/>
      </c>
      <c r="Q169" s="62">
        <f>($L169-$M169)-($N169-$O169)</f>
        <v/>
      </c>
      <c r="R169" s="62">
        <f>$L169-$N169</f>
        <v/>
      </c>
    </row>
    <row r="170">
      <c r="A170" s="59">
        <f>ROW()-5</f>
        <v/>
      </c>
      <c r="B170" s="60">
        <f>IFERROR(INDEX(tbl_Finance[Date],$A170),"")</f>
        <v/>
      </c>
      <c r="C170" s="61">
        <f>IFERROR(INDEX(tbl_Finance[Xero Invoice No],$A170),"")</f>
        <v/>
      </c>
      <c r="D170" s="61">
        <f>IFERROR(INDEX(tbl_Finance[Client],$A170),"")</f>
        <v/>
      </c>
      <c r="E170" s="61">
        <f>IFERROR(INDEX(tbl_Finance[Job Number],$A170),"")</f>
        <v/>
      </c>
      <c r="F170" s="61">
        <f>IFERROR(INDEX(tbl_Finance[Cost Centre],$A170),"")</f>
        <v/>
      </c>
      <c r="G170" s="62">
        <f>IFERROR(INDEX(tbl_Finance[Ex GST],$A170),"")</f>
        <v/>
      </c>
      <c r="H170" s="60">
        <f>IFERROR(INDEX(tbl_Finance[Defer Start],$A170),"")</f>
        <v/>
      </c>
      <c r="I170" s="60">
        <f>IFERROR(INDEX(tbl_Finance[Defer End],$A170),"")</f>
        <v/>
      </c>
      <c r="J170" s="59">
        <f>IF(OR($H170="",$I170="",$G170=""),"",MAX(1,(YEAR($I170)-YEAR($H170))*12+MONTH($I170)-MONTH($H170)+1))</f>
        <v/>
      </c>
      <c r="K170" s="62">
        <f>IF($J170="","",$G170/$J170)</f>
        <v/>
      </c>
      <c r="L170" s="62">
        <f>IF($J170="",0,$K170*MAX(0,MIN(YEAR($C$3)*12+MONTH($C$3),YEAR($I170)*12+MONTH($I170))-(YEAR($H170)*12+MONTH($H170))+1))</f>
        <v/>
      </c>
      <c r="M170" s="62">
        <f>IF($J170="",0,$K170*MAX(0,MIN(YEAR($C$3)*12+MONTH($C$3)-1,YEAR($I170)*12+MONTH($I170))-(YEAR($H170)*12+MONTH($H170))+1))</f>
        <v/>
      </c>
      <c r="N170" s="62">
        <f>IF(OR($J170="",$B170=""),0,IF(YEAR($B170)*12+MONTH($B170)&lt;=YEAR($C$3)*12+MONTH($C$3),$G170,0))</f>
        <v/>
      </c>
      <c r="O170" s="62">
        <f>IF(OR($J170="",$B170=""),0,IF(YEAR($B170)*12+MONTH($B170)&lt;=YEAR($C$3)*12+MONTH($C$3)-1,$G170,0))</f>
        <v/>
      </c>
      <c r="P170" s="62">
        <f>$M170-$O170</f>
        <v/>
      </c>
      <c r="Q170" s="62">
        <f>($L170-$M170)-($N170-$O170)</f>
        <v/>
      </c>
      <c r="R170" s="62">
        <f>$L170-$N170</f>
        <v/>
      </c>
    </row>
    <row r="171">
      <c r="A171" s="59">
        <f>ROW()-5</f>
        <v/>
      </c>
      <c r="B171" s="60">
        <f>IFERROR(INDEX(tbl_Finance[Date],$A171),"")</f>
        <v/>
      </c>
      <c r="C171" s="61">
        <f>IFERROR(INDEX(tbl_Finance[Xero Invoice No],$A171),"")</f>
        <v/>
      </c>
      <c r="D171" s="61">
        <f>IFERROR(INDEX(tbl_Finance[Client],$A171),"")</f>
        <v/>
      </c>
      <c r="E171" s="61">
        <f>IFERROR(INDEX(tbl_Finance[Job Number],$A171),"")</f>
        <v/>
      </c>
      <c r="F171" s="61">
        <f>IFERROR(INDEX(tbl_Finance[Cost Centre],$A171),"")</f>
        <v/>
      </c>
      <c r="G171" s="62">
        <f>IFERROR(INDEX(tbl_Finance[Ex GST],$A171),"")</f>
        <v/>
      </c>
      <c r="H171" s="60">
        <f>IFERROR(INDEX(tbl_Finance[Defer Start],$A171),"")</f>
        <v/>
      </c>
      <c r="I171" s="60">
        <f>IFERROR(INDEX(tbl_Finance[Defer End],$A171),"")</f>
        <v/>
      </c>
      <c r="J171" s="59">
        <f>IF(OR($H171="",$I171="",$G171=""),"",MAX(1,(YEAR($I171)-YEAR($H171))*12+MONTH($I171)-MONTH($H171)+1))</f>
        <v/>
      </c>
      <c r="K171" s="62">
        <f>IF($J171="","",$G171/$J171)</f>
        <v/>
      </c>
      <c r="L171" s="62">
        <f>IF($J171="",0,$K171*MAX(0,MIN(YEAR($C$3)*12+MONTH($C$3),YEAR($I171)*12+MONTH($I171))-(YEAR($H171)*12+MONTH($H171))+1))</f>
        <v/>
      </c>
      <c r="M171" s="62">
        <f>IF($J171="",0,$K171*MAX(0,MIN(YEAR($C$3)*12+MONTH($C$3)-1,YEAR($I171)*12+MONTH($I171))-(YEAR($H171)*12+MONTH($H171))+1))</f>
        <v/>
      </c>
      <c r="N171" s="62">
        <f>IF(OR($J171="",$B171=""),0,IF(YEAR($B171)*12+MONTH($B171)&lt;=YEAR($C$3)*12+MONTH($C$3),$G171,0))</f>
        <v/>
      </c>
      <c r="O171" s="62">
        <f>IF(OR($J171="",$B171=""),0,IF(YEAR($B171)*12+MONTH($B171)&lt;=YEAR($C$3)*12+MONTH($C$3)-1,$G171,0))</f>
        <v/>
      </c>
      <c r="P171" s="62">
        <f>$M171-$O171</f>
        <v/>
      </c>
      <c r="Q171" s="62">
        <f>($L171-$M171)-($N171-$O171)</f>
        <v/>
      </c>
      <c r="R171" s="62">
        <f>$L171-$N171</f>
        <v/>
      </c>
    </row>
    <row r="172">
      <c r="A172" s="59">
        <f>ROW()-5</f>
        <v/>
      </c>
      <c r="B172" s="60">
        <f>IFERROR(INDEX(tbl_Finance[Date],$A172),"")</f>
        <v/>
      </c>
      <c r="C172" s="61">
        <f>IFERROR(INDEX(tbl_Finance[Xero Invoice No],$A172),"")</f>
        <v/>
      </c>
      <c r="D172" s="61">
        <f>IFERROR(INDEX(tbl_Finance[Client],$A172),"")</f>
        <v/>
      </c>
      <c r="E172" s="61">
        <f>IFERROR(INDEX(tbl_Finance[Job Number],$A172),"")</f>
        <v/>
      </c>
      <c r="F172" s="61">
        <f>IFERROR(INDEX(tbl_Finance[Cost Centre],$A172),"")</f>
        <v/>
      </c>
      <c r="G172" s="62">
        <f>IFERROR(INDEX(tbl_Finance[Ex GST],$A172),"")</f>
        <v/>
      </c>
      <c r="H172" s="60">
        <f>IFERROR(INDEX(tbl_Finance[Defer Start],$A172),"")</f>
        <v/>
      </c>
      <c r="I172" s="60">
        <f>IFERROR(INDEX(tbl_Finance[Defer End],$A172),"")</f>
        <v/>
      </c>
      <c r="J172" s="59">
        <f>IF(OR($H172="",$I172="",$G172=""),"",MAX(1,(YEAR($I172)-YEAR($H172))*12+MONTH($I172)-MONTH($H172)+1))</f>
        <v/>
      </c>
      <c r="K172" s="62">
        <f>IF($J172="","",$G172/$J172)</f>
        <v/>
      </c>
      <c r="L172" s="62">
        <f>IF($J172="",0,$K172*MAX(0,MIN(YEAR($C$3)*12+MONTH($C$3),YEAR($I172)*12+MONTH($I172))-(YEAR($H172)*12+MONTH($H172))+1))</f>
        <v/>
      </c>
      <c r="M172" s="62">
        <f>IF($J172="",0,$K172*MAX(0,MIN(YEAR($C$3)*12+MONTH($C$3)-1,YEAR($I172)*12+MONTH($I172))-(YEAR($H172)*12+MONTH($H172))+1))</f>
        <v/>
      </c>
      <c r="N172" s="62">
        <f>IF(OR($J172="",$B172=""),0,IF(YEAR($B172)*12+MONTH($B172)&lt;=YEAR($C$3)*12+MONTH($C$3),$G172,0))</f>
        <v/>
      </c>
      <c r="O172" s="62">
        <f>IF(OR($J172="",$B172=""),0,IF(YEAR($B172)*12+MONTH($B172)&lt;=YEAR($C$3)*12+MONTH($C$3)-1,$G172,0))</f>
        <v/>
      </c>
      <c r="P172" s="62">
        <f>$M172-$O172</f>
        <v/>
      </c>
      <c r="Q172" s="62">
        <f>($L172-$M172)-($N172-$O172)</f>
        <v/>
      </c>
      <c r="R172" s="62">
        <f>$L172-$N172</f>
        <v/>
      </c>
    </row>
    <row r="173">
      <c r="A173" s="59">
        <f>ROW()-5</f>
        <v/>
      </c>
      <c r="B173" s="60">
        <f>IFERROR(INDEX(tbl_Finance[Date],$A173),"")</f>
        <v/>
      </c>
      <c r="C173" s="61">
        <f>IFERROR(INDEX(tbl_Finance[Xero Invoice No],$A173),"")</f>
        <v/>
      </c>
      <c r="D173" s="61">
        <f>IFERROR(INDEX(tbl_Finance[Client],$A173),"")</f>
        <v/>
      </c>
      <c r="E173" s="61">
        <f>IFERROR(INDEX(tbl_Finance[Job Number],$A173),"")</f>
        <v/>
      </c>
      <c r="F173" s="61">
        <f>IFERROR(INDEX(tbl_Finance[Cost Centre],$A173),"")</f>
        <v/>
      </c>
      <c r="G173" s="62">
        <f>IFERROR(INDEX(tbl_Finance[Ex GST],$A173),"")</f>
        <v/>
      </c>
      <c r="H173" s="60">
        <f>IFERROR(INDEX(tbl_Finance[Defer Start],$A173),"")</f>
        <v/>
      </c>
      <c r="I173" s="60">
        <f>IFERROR(INDEX(tbl_Finance[Defer End],$A173),"")</f>
        <v/>
      </c>
      <c r="J173" s="59">
        <f>IF(OR($H173="",$I173="",$G173=""),"",MAX(1,(YEAR($I173)-YEAR($H173))*12+MONTH($I173)-MONTH($H173)+1))</f>
        <v/>
      </c>
      <c r="K173" s="62">
        <f>IF($J173="","",$G173/$J173)</f>
        <v/>
      </c>
      <c r="L173" s="62">
        <f>IF($J173="",0,$K173*MAX(0,MIN(YEAR($C$3)*12+MONTH($C$3),YEAR($I173)*12+MONTH($I173))-(YEAR($H173)*12+MONTH($H173))+1))</f>
        <v/>
      </c>
      <c r="M173" s="62">
        <f>IF($J173="",0,$K173*MAX(0,MIN(YEAR($C$3)*12+MONTH($C$3)-1,YEAR($I173)*12+MONTH($I173))-(YEAR($H173)*12+MONTH($H173))+1))</f>
        <v/>
      </c>
      <c r="N173" s="62">
        <f>IF(OR($J173="",$B173=""),0,IF(YEAR($B173)*12+MONTH($B173)&lt;=YEAR($C$3)*12+MONTH($C$3),$G173,0))</f>
        <v/>
      </c>
      <c r="O173" s="62">
        <f>IF(OR($J173="",$B173=""),0,IF(YEAR($B173)*12+MONTH($B173)&lt;=YEAR($C$3)*12+MONTH($C$3)-1,$G173,0))</f>
        <v/>
      </c>
      <c r="P173" s="62">
        <f>$M173-$O173</f>
        <v/>
      </c>
      <c r="Q173" s="62">
        <f>($L173-$M173)-($N173-$O173)</f>
        <v/>
      </c>
      <c r="R173" s="62">
        <f>$L173-$N173</f>
        <v/>
      </c>
    </row>
    <row r="174">
      <c r="A174" s="59">
        <f>ROW()-5</f>
        <v/>
      </c>
      <c r="B174" s="60">
        <f>IFERROR(INDEX(tbl_Finance[Date],$A174),"")</f>
        <v/>
      </c>
      <c r="C174" s="61">
        <f>IFERROR(INDEX(tbl_Finance[Xero Invoice No],$A174),"")</f>
        <v/>
      </c>
      <c r="D174" s="61">
        <f>IFERROR(INDEX(tbl_Finance[Client],$A174),"")</f>
        <v/>
      </c>
      <c r="E174" s="61">
        <f>IFERROR(INDEX(tbl_Finance[Job Number],$A174),"")</f>
        <v/>
      </c>
      <c r="F174" s="61">
        <f>IFERROR(INDEX(tbl_Finance[Cost Centre],$A174),"")</f>
        <v/>
      </c>
      <c r="G174" s="62">
        <f>IFERROR(INDEX(tbl_Finance[Ex GST],$A174),"")</f>
        <v/>
      </c>
      <c r="H174" s="60">
        <f>IFERROR(INDEX(tbl_Finance[Defer Start],$A174),"")</f>
        <v/>
      </c>
      <c r="I174" s="60">
        <f>IFERROR(INDEX(tbl_Finance[Defer End],$A174),"")</f>
        <v/>
      </c>
      <c r="J174" s="59">
        <f>IF(OR($H174="",$I174="",$G174=""),"",MAX(1,(YEAR($I174)-YEAR($H174))*12+MONTH($I174)-MONTH($H174)+1))</f>
        <v/>
      </c>
      <c r="K174" s="62">
        <f>IF($J174="","",$G174/$J174)</f>
        <v/>
      </c>
      <c r="L174" s="62">
        <f>IF($J174="",0,$K174*MAX(0,MIN(YEAR($C$3)*12+MONTH($C$3),YEAR($I174)*12+MONTH($I174))-(YEAR($H174)*12+MONTH($H174))+1))</f>
        <v/>
      </c>
      <c r="M174" s="62">
        <f>IF($J174="",0,$K174*MAX(0,MIN(YEAR($C$3)*12+MONTH($C$3)-1,YEAR($I174)*12+MONTH($I174))-(YEAR($H174)*12+MONTH($H174))+1))</f>
        <v/>
      </c>
      <c r="N174" s="62">
        <f>IF(OR($J174="",$B174=""),0,IF(YEAR($B174)*12+MONTH($B174)&lt;=YEAR($C$3)*12+MONTH($C$3),$G174,0))</f>
        <v/>
      </c>
      <c r="O174" s="62">
        <f>IF(OR($J174="",$B174=""),0,IF(YEAR($B174)*12+MONTH($B174)&lt;=YEAR($C$3)*12+MONTH($C$3)-1,$G174,0))</f>
        <v/>
      </c>
      <c r="P174" s="62">
        <f>$M174-$O174</f>
        <v/>
      </c>
      <c r="Q174" s="62">
        <f>($L174-$M174)-($N174-$O174)</f>
        <v/>
      </c>
      <c r="R174" s="62">
        <f>$L174-$N174</f>
        <v/>
      </c>
    </row>
    <row r="175">
      <c r="A175" s="59">
        <f>ROW()-5</f>
        <v/>
      </c>
      <c r="B175" s="60">
        <f>IFERROR(INDEX(tbl_Finance[Date],$A175),"")</f>
        <v/>
      </c>
      <c r="C175" s="61">
        <f>IFERROR(INDEX(tbl_Finance[Xero Invoice No],$A175),"")</f>
        <v/>
      </c>
      <c r="D175" s="61">
        <f>IFERROR(INDEX(tbl_Finance[Client],$A175),"")</f>
        <v/>
      </c>
      <c r="E175" s="61">
        <f>IFERROR(INDEX(tbl_Finance[Job Number],$A175),"")</f>
        <v/>
      </c>
      <c r="F175" s="61">
        <f>IFERROR(INDEX(tbl_Finance[Cost Centre],$A175),"")</f>
        <v/>
      </c>
      <c r="G175" s="62">
        <f>IFERROR(INDEX(tbl_Finance[Ex GST],$A175),"")</f>
        <v/>
      </c>
      <c r="H175" s="60">
        <f>IFERROR(INDEX(tbl_Finance[Defer Start],$A175),"")</f>
        <v/>
      </c>
      <c r="I175" s="60">
        <f>IFERROR(INDEX(tbl_Finance[Defer End],$A175),"")</f>
        <v/>
      </c>
      <c r="J175" s="59">
        <f>IF(OR($H175="",$I175="",$G175=""),"",MAX(1,(YEAR($I175)-YEAR($H175))*12+MONTH($I175)-MONTH($H175)+1))</f>
        <v/>
      </c>
      <c r="K175" s="62">
        <f>IF($J175="","",$G175/$J175)</f>
        <v/>
      </c>
      <c r="L175" s="62">
        <f>IF($J175="",0,$K175*MAX(0,MIN(YEAR($C$3)*12+MONTH($C$3),YEAR($I175)*12+MONTH($I175))-(YEAR($H175)*12+MONTH($H175))+1))</f>
        <v/>
      </c>
      <c r="M175" s="62">
        <f>IF($J175="",0,$K175*MAX(0,MIN(YEAR($C$3)*12+MONTH($C$3)-1,YEAR($I175)*12+MONTH($I175))-(YEAR($H175)*12+MONTH($H175))+1))</f>
        <v/>
      </c>
      <c r="N175" s="62">
        <f>IF(OR($J175="",$B175=""),0,IF(YEAR($B175)*12+MONTH($B175)&lt;=YEAR($C$3)*12+MONTH($C$3),$G175,0))</f>
        <v/>
      </c>
      <c r="O175" s="62">
        <f>IF(OR($J175="",$B175=""),0,IF(YEAR($B175)*12+MONTH($B175)&lt;=YEAR($C$3)*12+MONTH($C$3)-1,$G175,0))</f>
        <v/>
      </c>
      <c r="P175" s="62">
        <f>$M175-$O175</f>
        <v/>
      </c>
      <c r="Q175" s="62">
        <f>($L175-$M175)-($N175-$O175)</f>
        <v/>
      </c>
      <c r="R175" s="62">
        <f>$L175-$N175</f>
        <v/>
      </c>
    </row>
    <row r="176">
      <c r="A176" s="59">
        <f>ROW()-5</f>
        <v/>
      </c>
      <c r="B176" s="60">
        <f>IFERROR(INDEX(tbl_Finance[Date],$A176),"")</f>
        <v/>
      </c>
      <c r="C176" s="61">
        <f>IFERROR(INDEX(tbl_Finance[Xero Invoice No],$A176),"")</f>
        <v/>
      </c>
      <c r="D176" s="61">
        <f>IFERROR(INDEX(tbl_Finance[Client],$A176),"")</f>
        <v/>
      </c>
      <c r="E176" s="61">
        <f>IFERROR(INDEX(tbl_Finance[Job Number],$A176),"")</f>
        <v/>
      </c>
      <c r="F176" s="61">
        <f>IFERROR(INDEX(tbl_Finance[Cost Centre],$A176),"")</f>
        <v/>
      </c>
      <c r="G176" s="62">
        <f>IFERROR(INDEX(tbl_Finance[Ex GST],$A176),"")</f>
        <v/>
      </c>
      <c r="H176" s="60">
        <f>IFERROR(INDEX(tbl_Finance[Defer Start],$A176),"")</f>
        <v/>
      </c>
      <c r="I176" s="60">
        <f>IFERROR(INDEX(tbl_Finance[Defer End],$A176),"")</f>
        <v/>
      </c>
      <c r="J176" s="59">
        <f>IF(OR($H176="",$I176="",$G176=""),"",MAX(1,(YEAR($I176)-YEAR($H176))*12+MONTH($I176)-MONTH($H176)+1))</f>
        <v/>
      </c>
      <c r="K176" s="62">
        <f>IF($J176="","",$G176/$J176)</f>
        <v/>
      </c>
      <c r="L176" s="62">
        <f>IF($J176="",0,$K176*MAX(0,MIN(YEAR($C$3)*12+MONTH($C$3),YEAR($I176)*12+MONTH($I176))-(YEAR($H176)*12+MONTH($H176))+1))</f>
        <v/>
      </c>
      <c r="M176" s="62">
        <f>IF($J176="",0,$K176*MAX(0,MIN(YEAR($C$3)*12+MONTH($C$3)-1,YEAR($I176)*12+MONTH($I176))-(YEAR($H176)*12+MONTH($H176))+1))</f>
        <v/>
      </c>
      <c r="N176" s="62">
        <f>IF(OR($J176="",$B176=""),0,IF(YEAR($B176)*12+MONTH($B176)&lt;=YEAR($C$3)*12+MONTH($C$3),$G176,0))</f>
        <v/>
      </c>
      <c r="O176" s="62">
        <f>IF(OR($J176="",$B176=""),0,IF(YEAR($B176)*12+MONTH($B176)&lt;=YEAR($C$3)*12+MONTH($C$3)-1,$G176,0))</f>
        <v/>
      </c>
      <c r="P176" s="62">
        <f>$M176-$O176</f>
        <v/>
      </c>
      <c r="Q176" s="62">
        <f>($L176-$M176)-($N176-$O176)</f>
        <v/>
      </c>
      <c r="R176" s="62">
        <f>$L176-$N176</f>
        <v/>
      </c>
    </row>
    <row r="177">
      <c r="A177" s="59">
        <f>ROW()-5</f>
        <v/>
      </c>
      <c r="B177" s="60">
        <f>IFERROR(INDEX(tbl_Finance[Date],$A177),"")</f>
        <v/>
      </c>
      <c r="C177" s="61">
        <f>IFERROR(INDEX(tbl_Finance[Xero Invoice No],$A177),"")</f>
        <v/>
      </c>
      <c r="D177" s="61">
        <f>IFERROR(INDEX(tbl_Finance[Client],$A177),"")</f>
        <v/>
      </c>
      <c r="E177" s="61">
        <f>IFERROR(INDEX(tbl_Finance[Job Number],$A177),"")</f>
        <v/>
      </c>
      <c r="F177" s="61">
        <f>IFERROR(INDEX(tbl_Finance[Cost Centre],$A177),"")</f>
        <v/>
      </c>
      <c r="G177" s="62">
        <f>IFERROR(INDEX(tbl_Finance[Ex GST],$A177),"")</f>
        <v/>
      </c>
      <c r="H177" s="60">
        <f>IFERROR(INDEX(tbl_Finance[Defer Start],$A177),"")</f>
        <v/>
      </c>
      <c r="I177" s="60">
        <f>IFERROR(INDEX(tbl_Finance[Defer End],$A177),"")</f>
        <v/>
      </c>
      <c r="J177" s="59">
        <f>IF(OR($H177="",$I177="",$G177=""),"",MAX(1,(YEAR($I177)-YEAR($H177))*12+MONTH($I177)-MONTH($H177)+1))</f>
        <v/>
      </c>
      <c r="K177" s="62">
        <f>IF($J177="","",$G177/$J177)</f>
        <v/>
      </c>
      <c r="L177" s="62">
        <f>IF($J177="",0,$K177*MAX(0,MIN(YEAR($C$3)*12+MONTH($C$3),YEAR($I177)*12+MONTH($I177))-(YEAR($H177)*12+MONTH($H177))+1))</f>
        <v/>
      </c>
      <c r="M177" s="62">
        <f>IF($J177="",0,$K177*MAX(0,MIN(YEAR($C$3)*12+MONTH($C$3)-1,YEAR($I177)*12+MONTH($I177))-(YEAR($H177)*12+MONTH($H177))+1))</f>
        <v/>
      </c>
      <c r="N177" s="62">
        <f>IF(OR($J177="",$B177=""),0,IF(YEAR($B177)*12+MONTH($B177)&lt;=YEAR($C$3)*12+MONTH($C$3),$G177,0))</f>
        <v/>
      </c>
      <c r="O177" s="62">
        <f>IF(OR($J177="",$B177=""),0,IF(YEAR($B177)*12+MONTH($B177)&lt;=YEAR($C$3)*12+MONTH($C$3)-1,$G177,0))</f>
        <v/>
      </c>
      <c r="P177" s="62">
        <f>$M177-$O177</f>
        <v/>
      </c>
      <c r="Q177" s="62">
        <f>($L177-$M177)-($N177-$O177)</f>
        <v/>
      </c>
      <c r="R177" s="62">
        <f>$L177-$N177</f>
        <v/>
      </c>
    </row>
    <row r="178">
      <c r="A178" s="59">
        <f>ROW()-5</f>
        <v/>
      </c>
      <c r="B178" s="60">
        <f>IFERROR(INDEX(tbl_Finance[Date],$A178),"")</f>
        <v/>
      </c>
      <c r="C178" s="61">
        <f>IFERROR(INDEX(tbl_Finance[Xero Invoice No],$A178),"")</f>
        <v/>
      </c>
      <c r="D178" s="61">
        <f>IFERROR(INDEX(tbl_Finance[Client],$A178),"")</f>
        <v/>
      </c>
      <c r="E178" s="61">
        <f>IFERROR(INDEX(tbl_Finance[Job Number],$A178),"")</f>
        <v/>
      </c>
      <c r="F178" s="61">
        <f>IFERROR(INDEX(tbl_Finance[Cost Centre],$A178),"")</f>
        <v/>
      </c>
      <c r="G178" s="62">
        <f>IFERROR(INDEX(tbl_Finance[Ex GST],$A178),"")</f>
        <v/>
      </c>
      <c r="H178" s="60">
        <f>IFERROR(INDEX(tbl_Finance[Defer Start],$A178),"")</f>
        <v/>
      </c>
      <c r="I178" s="60">
        <f>IFERROR(INDEX(tbl_Finance[Defer End],$A178),"")</f>
        <v/>
      </c>
      <c r="J178" s="59">
        <f>IF(OR($H178="",$I178="",$G178=""),"",MAX(1,(YEAR($I178)-YEAR($H178))*12+MONTH($I178)-MONTH($H178)+1))</f>
        <v/>
      </c>
      <c r="K178" s="62">
        <f>IF($J178="","",$G178/$J178)</f>
        <v/>
      </c>
      <c r="L178" s="62">
        <f>IF($J178="",0,$K178*MAX(0,MIN(YEAR($C$3)*12+MONTH($C$3),YEAR($I178)*12+MONTH($I178))-(YEAR($H178)*12+MONTH($H178))+1))</f>
        <v/>
      </c>
      <c r="M178" s="62">
        <f>IF($J178="",0,$K178*MAX(0,MIN(YEAR($C$3)*12+MONTH($C$3)-1,YEAR($I178)*12+MONTH($I178))-(YEAR($H178)*12+MONTH($H178))+1))</f>
        <v/>
      </c>
      <c r="N178" s="62">
        <f>IF(OR($J178="",$B178=""),0,IF(YEAR($B178)*12+MONTH($B178)&lt;=YEAR($C$3)*12+MONTH($C$3),$G178,0))</f>
        <v/>
      </c>
      <c r="O178" s="62">
        <f>IF(OR($J178="",$B178=""),0,IF(YEAR($B178)*12+MONTH($B178)&lt;=YEAR($C$3)*12+MONTH($C$3)-1,$G178,0))</f>
        <v/>
      </c>
      <c r="P178" s="62">
        <f>$M178-$O178</f>
        <v/>
      </c>
      <c r="Q178" s="62">
        <f>($L178-$M178)-($N178-$O178)</f>
        <v/>
      </c>
      <c r="R178" s="62">
        <f>$L178-$N178</f>
        <v/>
      </c>
    </row>
    <row r="179">
      <c r="A179" s="59">
        <f>ROW()-5</f>
        <v/>
      </c>
      <c r="B179" s="60">
        <f>IFERROR(INDEX(tbl_Finance[Date],$A179),"")</f>
        <v/>
      </c>
      <c r="C179" s="61">
        <f>IFERROR(INDEX(tbl_Finance[Xero Invoice No],$A179),"")</f>
        <v/>
      </c>
      <c r="D179" s="61">
        <f>IFERROR(INDEX(tbl_Finance[Client],$A179),"")</f>
        <v/>
      </c>
      <c r="E179" s="61">
        <f>IFERROR(INDEX(tbl_Finance[Job Number],$A179),"")</f>
        <v/>
      </c>
      <c r="F179" s="61">
        <f>IFERROR(INDEX(tbl_Finance[Cost Centre],$A179),"")</f>
        <v/>
      </c>
      <c r="G179" s="62">
        <f>IFERROR(INDEX(tbl_Finance[Ex GST],$A179),"")</f>
        <v/>
      </c>
      <c r="H179" s="60">
        <f>IFERROR(INDEX(tbl_Finance[Defer Start],$A179),"")</f>
        <v/>
      </c>
      <c r="I179" s="60">
        <f>IFERROR(INDEX(tbl_Finance[Defer End],$A179),"")</f>
        <v/>
      </c>
      <c r="J179" s="59">
        <f>IF(OR($H179="",$I179="",$G179=""),"",MAX(1,(YEAR($I179)-YEAR($H179))*12+MONTH($I179)-MONTH($H179)+1))</f>
        <v/>
      </c>
      <c r="K179" s="62">
        <f>IF($J179="","",$G179/$J179)</f>
        <v/>
      </c>
      <c r="L179" s="62">
        <f>IF($J179="",0,$K179*MAX(0,MIN(YEAR($C$3)*12+MONTH($C$3),YEAR($I179)*12+MONTH($I179))-(YEAR($H179)*12+MONTH($H179))+1))</f>
        <v/>
      </c>
      <c r="M179" s="62">
        <f>IF($J179="",0,$K179*MAX(0,MIN(YEAR($C$3)*12+MONTH($C$3)-1,YEAR($I179)*12+MONTH($I179))-(YEAR($H179)*12+MONTH($H179))+1))</f>
        <v/>
      </c>
      <c r="N179" s="62">
        <f>IF(OR($J179="",$B179=""),0,IF(YEAR($B179)*12+MONTH($B179)&lt;=YEAR($C$3)*12+MONTH($C$3),$G179,0))</f>
        <v/>
      </c>
      <c r="O179" s="62">
        <f>IF(OR($J179="",$B179=""),0,IF(YEAR($B179)*12+MONTH($B179)&lt;=YEAR($C$3)*12+MONTH($C$3)-1,$G179,0))</f>
        <v/>
      </c>
      <c r="P179" s="62">
        <f>$M179-$O179</f>
        <v/>
      </c>
      <c r="Q179" s="62">
        <f>($L179-$M179)-($N179-$O179)</f>
        <v/>
      </c>
      <c r="R179" s="62">
        <f>$L179-$N179</f>
        <v/>
      </c>
    </row>
    <row r="180">
      <c r="A180" s="59">
        <f>ROW()-5</f>
        <v/>
      </c>
      <c r="B180" s="60">
        <f>IFERROR(INDEX(tbl_Finance[Date],$A180),"")</f>
        <v/>
      </c>
      <c r="C180" s="61">
        <f>IFERROR(INDEX(tbl_Finance[Xero Invoice No],$A180),"")</f>
        <v/>
      </c>
      <c r="D180" s="61">
        <f>IFERROR(INDEX(tbl_Finance[Client],$A180),"")</f>
        <v/>
      </c>
      <c r="E180" s="61">
        <f>IFERROR(INDEX(tbl_Finance[Job Number],$A180),"")</f>
        <v/>
      </c>
      <c r="F180" s="61">
        <f>IFERROR(INDEX(tbl_Finance[Cost Centre],$A180),"")</f>
        <v/>
      </c>
      <c r="G180" s="62">
        <f>IFERROR(INDEX(tbl_Finance[Ex GST],$A180),"")</f>
        <v/>
      </c>
      <c r="H180" s="60">
        <f>IFERROR(INDEX(tbl_Finance[Defer Start],$A180),"")</f>
        <v/>
      </c>
      <c r="I180" s="60">
        <f>IFERROR(INDEX(tbl_Finance[Defer End],$A180),"")</f>
        <v/>
      </c>
      <c r="J180" s="59">
        <f>IF(OR($H180="",$I180="",$G180=""),"",MAX(1,(YEAR($I180)-YEAR($H180))*12+MONTH($I180)-MONTH($H180)+1))</f>
        <v/>
      </c>
      <c r="K180" s="62">
        <f>IF($J180="","",$G180/$J180)</f>
        <v/>
      </c>
      <c r="L180" s="62">
        <f>IF($J180="",0,$K180*MAX(0,MIN(YEAR($C$3)*12+MONTH($C$3),YEAR($I180)*12+MONTH($I180))-(YEAR($H180)*12+MONTH($H180))+1))</f>
        <v/>
      </c>
      <c r="M180" s="62">
        <f>IF($J180="",0,$K180*MAX(0,MIN(YEAR($C$3)*12+MONTH($C$3)-1,YEAR($I180)*12+MONTH($I180))-(YEAR($H180)*12+MONTH($H180))+1))</f>
        <v/>
      </c>
      <c r="N180" s="62">
        <f>IF(OR($J180="",$B180=""),0,IF(YEAR($B180)*12+MONTH($B180)&lt;=YEAR($C$3)*12+MONTH($C$3),$G180,0))</f>
        <v/>
      </c>
      <c r="O180" s="62">
        <f>IF(OR($J180="",$B180=""),0,IF(YEAR($B180)*12+MONTH($B180)&lt;=YEAR($C$3)*12+MONTH($C$3)-1,$G180,0))</f>
        <v/>
      </c>
      <c r="P180" s="62">
        <f>$M180-$O180</f>
        <v/>
      </c>
      <c r="Q180" s="62">
        <f>($L180-$M180)-($N180-$O180)</f>
        <v/>
      </c>
      <c r="R180" s="62">
        <f>$L180-$N180</f>
        <v/>
      </c>
    </row>
    <row r="181">
      <c r="A181" s="59">
        <f>ROW()-5</f>
        <v/>
      </c>
      <c r="B181" s="60">
        <f>IFERROR(INDEX(tbl_Finance[Date],$A181),"")</f>
        <v/>
      </c>
      <c r="C181" s="61">
        <f>IFERROR(INDEX(tbl_Finance[Xero Invoice No],$A181),"")</f>
        <v/>
      </c>
      <c r="D181" s="61">
        <f>IFERROR(INDEX(tbl_Finance[Client],$A181),"")</f>
        <v/>
      </c>
      <c r="E181" s="61">
        <f>IFERROR(INDEX(tbl_Finance[Job Number],$A181),"")</f>
        <v/>
      </c>
      <c r="F181" s="61">
        <f>IFERROR(INDEX(tbl_Finance[Cost Centre],$A181),"")</f>
        <v/>
      </c>
      <c r="G181" s="62">
        <f>IFERROR(INDEX(tbl_Finance[Ex GST],$A181),"")</f>
        <v/>
      </c>
      <c r="H181" s="60">
        <f>IFERROR(INDEX(tbl_Finance[Defer Start],$A181),"")</f>
        <v/>
      </c>
      <c r="I181" s="60">
        <f>IFERROR(INDEX(tbl_Finance[Defer End],$A181),"")</f>
        <v/>
      </c>
      <c r="J181" s="59">
        <f>IF(OR($H181="",$I181="",$G181=""),"",MAX(1,(YEAR($I181)-YEAR($H181))*12+MONTH($I181)-MONTH($H181)+1))</f>
        <v/>
      </c>
      <c r="K181" s="62">
        <f>IF($J181="","",$G181/$J181)</f>
        <v/>
      </c>
      <c r="L181" s="62">
        <f>IF($J181="",0,$K181*MAX(0,MIN(YEAR($C$3)*12+MONTH($C$3),YEAR($I181)*12+MONTH($I181))-(YEAR($H181)*12+MONTH($H181))+1))</f>
        <v/>
      </c>
      <c r="M181" s="62">
        <f>IF($J181="",0,$K181*MAX(0,MIN(YEAR($C$3)*12+MONTH($C$3)-1,YEAR($I181)*12+MONTH($I181))-(YEAR($H181)*12+MONTH($H181))+1))</f>
        <v/>
      </c>
      <c r="N181" s="62">
        <f>IF(OR($J181="",$B181=""),0,IF(YEAR($B181)*12+MONTH($B181)&lt;=YEAR($C$3)*12+MONTH($C$3),$G181,0))</f>
        <v/>
      </c>
      <c r="O181" s="62">
        <f>IF(OR($J181="",$B181=""),0,IF(YEAR($B181)*12+MONTH($B181)&lt;=YEAR($C$3)*12+MONTH($C$3)-1,$G181,0))</f>
        <v/>
      </c>
      <c r="P181" s="62">
        <f>$M181-$O181</f>
        <v/>
      </c>
      <c r="Q181" s="62">
        <f>($L181-$M181)-($N181-$O181)</f>
        <v/>
      </c>
      <c r="R181" s="62">
        <f>$L181-$N181</f>
        <v/>
      </c>
    </row>
    <row r="182">
      <c r="A182" s="59">
        <f>ROW()-5</f>
        <v/>
      </c>
      <c r="B182" s="60">
        <f>IFERROR(INDEX(tbl_Finance[Date],$A182),"")</f>
        <v/>
      </c>
      <c r="C182" s="61">
        <f>IFERROR(INDEX(tbl_Finance[Xero Invoice No],$A182),"")</f>
        <v/>
      </c>
      <c r="D182" s="61">
        <f>IFERROR(INDEX(tbl_Finance[Client],$A182),"")</f>
        <v/>
      </c>
      <c r="E182" s="61">
        <f>IFERROR(INDEX(tbl_Finance[Job Number],$A182),"")</f>
        <v/>
      </c>
      <c r="F182" s="61">
        <f>IFERROR(INDEX(tbl_Finance[Cost Centre],$A182),"")</f>
        <v/>
      </c>
      <c r="G182" s="62">
        <f>IFERROR(INDEX(tbl_Finance[Ex GST],$A182),"")</f>
        <v/>
      </c>
      <c r="H182" s="60">
        <f>IFERROR(INDEX(tbl_Finance[Defer Start],$A182),"")</f>
        <v/>
      </c>
      <c r="I182" s="60">
        <f>IFERROR(INDEX(tbl_Finance[Defer End],$A182),"")</f>
        <v/>
      </c>
      <c r="J182" s="59">
        <f>IF(OR($H182="",$I182="",$G182=""),"",MAX(1,(YEAR($I182)-YEAR($H182))*12+MONTH($I182)-MONTH($H182)+1))</f>
        <v/>
      </c>
      <c r="K182" s="62">
        <f>IF($J182="","",$G182/$J182)</f>
        <v/>
      </c>
      <c r="L182" s="62">
        <f>IF($J182="",0,$K182*MAX(0,MIN(YEAR($C$3)*12+MONTH($C$3),YEAR($I182)*12+MONTH($I182))-(YEAR($H182)*12+MONTH($H182))+1))</f>
        <v/>
      </c>
      <c r="M182" s="62">
        <f>IF($J182="",0,$K182*MAX(0,MIN(YEAR($C$3)*12+MONTH($C$3)-1,YEAR($I182)*12+MONTH($I182))-(YEAR($H182)*12+MONTH($H182))+1))</f>
        <v/>
      </c>
      <c r="N182" s="62">
        <f>IF(OR($J182="",$B182=""),0,IF(YEAR($B182)*12+MONTH($B182)&lt;=YEAR($C$3)*12+MONTH($C$3),$G182,0))</f>
        <v/>
      </c>
      <c r="O182" s="62">
        <f>IF(OR($J182="",$B182=""),0,IF(YEAR($B182)*12+MONTH($B182)&lt;=YEAR($C$3)*12+MONTH($C$3)-1,$G182,0))</f>
        <v/>
      </c>
      <c r="P182" s="62">
        <f>$M182-$O182</f>
        <v/>
      </c>
      <c r="Q182" s="62">
        <f>($L182-$M182)-($N182-$O182)</f>
        <v/>
      </c>
      <c r="R182" s="62">
        <f>$L182-$N182</f>
        <v/>
      </c>
    </row>
    <row r="183">
      <c r="A183" s="59">
        <f>ROW()-5</f>
        <v/>
      </c>
      <c r="B183" s="60">
        <f>IFERROR(INDEX(tbl_Finance[Date],$A183),"")</f>
        <v/>
      </c>
      <c r="C183" s="61">
        <f>IFERROR(INDEX(tbl_Finance[Xero Invoice No],$A183),"")</f>
        <v/>
      </c>
      <c r="D183" s="61">
        <f>IFERROR(INDEX(tbl_Finance[Client],$A183),"")</f>
        <v/>
      </c>
      <c r="E183" s="61">
        <f>IFERROR(INDEX(tbl_Finance[Job Number],$A183),"")</f>
        <v/>
      </c>
      <c r="F183" s="61">
        <f>IFERROR(INDEX(tbl_Finance[Cost Centre],$A183),"")</f>
        <v/>
      </c>
      <c r="G183" s="62">
        <f>IFERROR(INDEX(tbl_Finance[Ex GST],$A183),"")</f>
        <v/>
      </c>
      <c r="H183" s="60">
        <f>IFERROR(INDEX(tbl_Finance[Defer Start],$A183),"")</f>
        <v/>
      </c>
      <c r="I183" s="60">
        <f>IFERROR(INDEX(tbl_Finance[Defer End],$A183),"")</f>
        <v/>
      </c>
      <c r="J183" s="59">
        <f>IF(OR($H183="",$I183="",$G183=""),"",MAX(1,(YEAR($I183)-YEAR($H183))*12+MONTH($I183)-MONTH($H183)+1))</f>
        <v/>
      </c>
      <c r="K183" s="62">
        <f>IF($J183="","",$G183/$J183)</f>
        <v/>
      </c>
      <c r="L183" s="62">
        <f>IF($J183="",0,$K183*MAX(0,MIN(YEAR($C$3)*12+MONTH($C$3),YEAR($I183)*12+MONTH($I183))-(YEAR($H183)*12+MONTH($H183))+1))</f>
        <v/>
      </c>
      <c r="M183" s="62">
        <f>IF($J183="",0,$K183*MAX(0,MIN(YEAR($C$3)*12+MONTH($C$3)-1,YEAR($I183)*12+MONTH($I183))-(YEAR($H183)*12+MONTH($H183))+1))</f>
        <v/>
      </c>
      <c r="N183" s="62">
        <f>IF(OR($J183="",$B183=""),0,IF(YEAR($B183)*12+MONTH($B183)&lt;=YEAR($C$3)*12+MONTH($C$3),$G183,0))</f>
        <v/>
      </c>
      <c r="O183" s="62">
        <f>IF(OR($J183="",$B183=""),0,IF(YEAR($B183)*12+MONTH($B183)&lt;=YEAR($C$3)*12+MONTH($C$3)-1,$G183,0))</f>
        <v/>
      </c>
      <c r="P183" s="62">
        <f>$M183-$O183</f>
        <v/>
      </c>
      <c r="Q183" s="62">
        <f>($L183-$M183)-($N183-$O183)</f>
        <v/>
      </c>
      <c r="R183" s="62">
        <f>$L183-$N183</f>
        <v/>
      </c>
    </row>
    <row r="184">
      <c r="A184" s="59">
        <f>ROW()-5</f>
        <v/>
      </c>
      <c r="B184" s="60">
        <f>IFERROR(INDEX(tbl_Finance[Date],$A184),"")</f>
        <v/>
      </c>
      <c r="C184" s="61">
        <f>IFERROR(INDEX(tbl_Finance[Xero Invoice No],$A184),"")</f>
        <v/>
      </c>
      <c r="D184" s="61">
        <f>IFERROR(INDEX(tbl_Finance[Client],$A184),"")</f>
        <v/>
      </c>
      <c r="E184" s="61">
        <f>IFERROR(INDEX(tbl_Finance[Job Number],$A184),"")</f>
        <v/>
      </c>
      <c r="F184" s="61">
        <f>IFERROR(INDEX(tbl_Finance[Cost Centre],$A184),"")</f>
        <v/>
      </c>
      <c r="G184" s="62">
        <f>IFERROR(INDEX(tbl_Finance[Ex GST],$A184),"")</f>
        <v/>
      </c>
      <c r="H184" s="60">
        <f>IFERROR(INDEX(tbl_Finance[Defer Start],$A184),"")</f>
        <v/>
      </c>
      <c r="I184" s="60">
        <f>IFERROR(INDEX(tbl_Finance[Defer End],$A184),"")</f>
        <v/>
      </c>
      <c r="J184" s="59">
        <f>IF(OR($H184="",$I184="",$G184=""),"",MAX(1,(YEAR($I184)-YEAR($H184))*12+MONTH($I184)-MONTH($H184)+1))</f>
        <v/>
      </c>
      <c r="K184" s="62">
        <f>IF($J184="","",$G184/$J184)</f>
        <v/>
      </c>
      <c r="L184" s="62">
        <f>IF($J184="",0,$K184*MAX(0,MIN(YEAR($C$3)*12+MONTH($C$3),YEAR($I184)*12+MONTH($I184))-(YEAR($H184)*12+MONTH($H184))+1))</f>
        <v/>
      </c>
      <c r="M184" s="62">
        <f>IF($J184="",0,$K184*MAX(0,MIN(YEAR($C$3)*12+MONTH($C$3)-1,YEAR($I184)*12+MONTH($I184))-(YEAR($H184)*12+MONTH($H184))+1))</f>
        <v/>
      </c>
      <c r="N184" s="62">
        <f>IF(OR($J184="",$B184=""),0,IF(YEAR($B184)*12+MONTH($B184)&lt;=YEAR($C$3)*12+MONTH($C$3),$G184,0))</f>
        <v/>
      </c>
      <c r="O184" s="62">
        <f>IF(OR($J184="",$B184=""),0,IF(YEAR($B184)*12+MONTH($B184)&lt;=YEAR($C$3)*12+MONTH($C$3)-1,$G184,0))</f>
        <v/>
      </c>
      <c r="P184" s="62">
        <f>$M184-$O184</f>
        <v/>
      </c>
      <c r="Q184" s="62">
        <f>($L184-$M184)-($N184-$O184)</f>
        <v/>
      </c>
      <c r="R184" s="62">
        <f>$L184-$N184</f>
        <v/>
      </c>
    </row>
    <row r="185">
      <c r="A185" s="59">
        <f>ROW()-5</f>
        <v/>
      </c>
      <c r="B185" s="60">
        <f>IFERROR(INDEX(tbl_Finance[Date],$A185),"")</f>
        <v/>
      </c>
      <c r="C185" s="61">
        <f>IFERROR(INDEX(tbl_Finance[Xero Invoice No],$A185),"")</f>
        <v/>
      </c>
      <c r="D185" s="61">
        <f>IFERROR(INDEX(tbl_Finance[Client],$A185),"")</f>
        <v/>
      </c>
      <c r="E185" s="61">
        <f>IFERROR(INDEX(tbl_Finance[Job Number],$A185),"")</f>
        <v/>
      </c>
      <c r="F185" s="61">
        <f>IFERROR(INDEX(tbl_Finance[Cost Centre],$A185),"")</f>
        <v/>
      </c>
      <c r="G185" s="62">
        <f>IFERROR(INDEX(tbl_Finance[Ex GST],$A185),"")</f>
        <v/>
      </c>
      <c r="H185" s="60">
        <f>IFERROR(INDEX(tbl_Finance[Defer Start],$A185),"")</f>
        <v/>
      </c>
      <c r="I185" s="60">
        <f>IFERROR(INDEX(tbl_Finance[Defer End],$A185),"")</f>
        <v/>
      </c>
      <c r="J185" s="59">
        <f>IF(OR($H185="",$I185="",$G185=""),"",MAX(1,(YEAR($I185)-YEAR($H185))*12+MONTH($I185)-MONTH($H185)+1))</f>
        <v/>
      </c>
      <c r="K185" s="62">
        <f>IF($J185="","",$G185/$J185)</f>
        <v/>
      </c>
      <c r="L185" s="62">
        <f>IF($J185="",0,$K185*MAX(0,MIN(YEAR($C$3)*12+MONTH($C$3),YEAR($I185)*12+MONTH($I185))-(YEAR($H185)*12+MONTH($H185))+1))</f>
        <v/>
      </c>
      <c r="M185" s="62">
        <f>IF($J185="",0,$K185*MAX(0,MIN(YEAR($C$3)*12+MONTH($C$3)-1,YEAR($I185)*12+MONTH($I185))-(YEAR($H185)*12+MONTH($H185))+1))</f>
        <v/>
      </c>
      <c r="N185" s="62">
        <f>IF(OR($J185="",$B185=""),0,IF(YEAR($B185)*12+MONTH($B185)&lt;=YEAR($C$3)*12+MONTH($C$3),$G185,0))</f>
        <v/>
      </c>
      <c r="O185" s="62">
        <f>IF(OR($J185="",$B185=""),0,IF(YEAR($B185)*12+MONTH($B185)&lt;=YEAR($C$3)*12+MONTH($C$3)-1,$G185,0))</f>
        <v/>
      </c>
      <c r="P185" s="62">
        <f>$M185-$O185</f>
        <v/>
      </c>
      <c r="Q185" s="62">
        <f>($L185-$M185)-($N185-$O185)</f>
        <v/>
      </c>
      <c r="R185" s="62">
        <f>$L185-$N185</f>
        <v/>
      </c>
    </row>
    <row r="186">
      <c r="A186" s="59">
        <f>ROW()-5</f>
        <v/>
      </c>
      <c r="B186" s="60">
        <f>IFERROR(INDEX(tbl_Finance[Date],$A186),"")</f>
        <v/>
      </c>
      <c r="C186" s="61">
        <f>IFERROR(INDEX(tbl_Finance[Xero Invoice No],$A186),"")</f>
        <v/>
      </c>
      <c r="D186" s="61">
        <f>IFERROR(INDEX(tbl_Finance[Client],$A186),"")</f>
        <v/>
      </c>
      <c r="E186" s="61">
        <f>IFERROR(INDEX(tbl_Finance[Job Number],$A186),"")</f>
        <v/>
      </c>
      <c r="F186" s="61">
        <f>IFERROR(INDEX(tbl_Finance[Cost Centre],$A186),"")</f>
        <v/>
      </c>
      <c r="G186" s="62">
        <f>IFERROR(INDEX(tbl_Finance[Ex GST],$A186),"")</f>
        <v/>
      </c>
      <c r="H186" s="60">
        <f>IFERROR(INDEX(tbl_Finance[Defer Start],$A186),"")</f>
        <v/>
      </c>
      <c r="I186" s="60">
        <f>IFERROR(INDEX(tbl_Finance[Defer End],$A186),"")</f>
        <v/>
      </c>
      <c r="J186" s="59">
        <f>IF(OR($H186="",$I186="",$G186=""),"",MAX(1,(YEAR($I186)-YEAR($H186))*12+MONTH($I186)-MONTH($H186)+1))</f>
        <v/>
      </c>
      <c r="K186" s="62">
        <f>IF($J186="","",$G186/$J186)</f>
        <v/>
      </c>
      <c r="L186" s="62">
        <f>IF($J186="",0,$K186*MAX(0,MIN(YEAR($C$3)*12+MONTH($C$3),YEAR($I186)*12+MONTH($I186))-(YEAR($H186)*12+MONTH($H186))+1))</f>
        <v/>
      </c>
      <c r="M186" s="62">
        <f>IF($J186="",0,$K186*MAX(0,MIN(YEAR($C$3)*12+MONTH($C$3)-1,YEAR($I186)*12+MONTH($I186))-(YEAR($H186)*12+MONTH($H186))+1))</f>
        <v/>
      </c>
      <c r="N186" s="62">
        <f>IF(OR($J186="",$B186=""),0,IF(YEAR($B186)*12+MONTH($B186)&lt;=YEAR($C$3)*12+MONTH($C$3),$G186,0))</f>
        <v/>
      </c>
      <c r="O186" s="62">
        <f>IF(OR($J186="",$B186=""),0,IF(YEAR($B186)*12+MONTH($B186)&lt;=YEAR($C$3)*12+MONTH($C$3)-1,$G186,0))</f>
        <v/>
      </c>
      <c r="P186" s="62">
        <f>$M186-$O186</f>
        <v/>
      </c>
      <c r="Q186" s="62">
        <f>($L186-$M186)-($N186-$O186)</f>
        <v/>
      </c>
      <c r="R186" s="62">
        <f>$L186-$N186</f>
        <v/>
      </c>
    </row>
    <row r="187">
      <c r="A187" s="59">
        <f>ROW()-5</f>
        <v/>
      </c>
      <c r="B187" s="60">
        <f>IFERROR(INDEX(tbl_Finance[Date],$A187),"")</f>
        <v/>
      </c>
      <c r="C187" s="61">
        <f>IFERROR(INDEX(tbl_Finance[Xero Invoice No],$A187),"")</f>
        <v/>
      </c>
      <c r="D187" s="61">
        <f>IFERROR(INDEX(tbl_Finance[Client],$A187),"")</f>
        <v/>
      </c>
      <c r="E187" s="61">
        <f>IFERROR(INDEX(tbl_Finance[Job Number],$A187),"")</f>
        <v/>
      </c>
      <c r="F187" s="61">
        <f>IFERROR(INDEX(tbl_Finance[Cost Centre],$A187),"")</f>
        <v/>
      </c>
      <c r="G187" s="62">
        <f>IFERROR(INDEX(tbl_Finance[Ex GST],$A187),"")</f>
        <v/>
      </c>
      <c r="H187" s="60">
        <f>IFERROR(INDEX(tbl_Finance[Defer Start],$A187),"")</f>
        <v/>
      </c>
      <c r="I187" s="60">
        <f>IFERROR(INDEX(tbl_Finance[Defer End],$A187),"")</f>
        <v/>
      </c>
      <c r="J187" s="59">
        <f>IF(OR($H187="",$I187="",$G187=""),"",MAX(1,(YEAR($I187)-YEAR($H187))*12+MONTH($I187)-MONTH($H187)+1))</f>
        <v/>
      </c>
      <c r="K187" s="62">
        <f>IF($J187="","",$G187/$J187)</f>
        <v/>
      </c>
      <c r="L187" s="62">
        <f>IF($J187="",0,$K187*MAX(0,MIN(YEAR($C$3)*12+MONTH($C$3),YEAR($I187)*12+MONTH($I187))-(YEAR($H187)*12+MONTH($H187))+1))</f>
        <v/>
      </c>
      <c r="M187" s="62">
        <f>IF($J187="",0,$K187*MAX(0,MIN(YEAR($C$3)*12+MONTH($C$3)-1,YEAR($I187)*12+MONTH($I187))-(YEAR($H187)*12+MONTH($H187))+1))</f>
        <v/>
      </c>
      <c r="N187" s="62">
        <f>IF(OR($J187="",$B187=""),0,IF(YEAR($B187)*12+MONTH($B187)&lt;=YEAR($C$3)*12+MONTH($C$3),$G187,0))</f>
        <v/>
      </c>
      <c r="O187" s="62">
        <f>IF(OR($J187="",$B187=""),0,IF(YEAR($B187)*12+MONTH($B187)&lt;=YEAR($C$3)*12+MONTH($C$3)-1,$G187,0))</f>
        <v/>
      </c>
      <c r="P187" s="62">
        <f>$M187-$O187</f>
        <v/>
      </c>
      <c r="Q187" s="62">
        <f>($L187-$M187)-($N187-$O187)</f>
        <v/>
      </c>
      <c r="R187" s="62">
        <f>$L187-$N187</f>
        <v/>
      </c>
    </row>
    <row r="188">
      <c r="A188" s="59">
        <f>ROW()-5</f>
        <v/>
      </c>
      <c r="B188" s="60">
        <f>IFERROR(INDEX(tbl_Finance[Date],$A188),"")</f>
        <v/>
      </c>
      <c r="C188" s="61">
        <f>IFERROR(INDEX(tbl_Finance[Xero Invoice No],$A188),"")</f>
        <v/>
      </c>
      <c r="D188" s="61">
        <f>IFERROR(INDEX(tbl_Finance[Client],$A188),"")</f>
        <v/>
      </c>
      <c r="E188" s="61">
        <f>IFERROR(INDEX(tbl_Finance[Job Number],$A188),"")</f>
        <v/>
      </c>
      <c r="F188" s="61">
        <f>IFERROR(INDEX(tbl_Finance[Cost Centre],$A188),"")</f>
        <v/>
      </c>
      <c r="G188" s="62">
        <f>IFERROR(INDEX(tbl_Finance[Ex GST],$A188),"")</f>
        <v/>
      </c>
      <c r="H188" s="60">
        <f>IFERROR(INDEX(tbl_Finance[Defer Start],$A188),"")</f>
        <v/>
      </c>
      <c r="I188" s="60">
        <f>IFERROR(INDEX(tbl_Finance[Defer End],$A188),"")</f>
        <v/>
      </c>
      <c r="J188" s="59">
        <f>IF(OR($H188="",$I188="",$G188=""),"",MAX(1,(YEAR($I188)-YEAR($H188))*12+MONTH($I188)-MONTH($H188)+1))</f>
        <v/>
      </c>
      <c r="K188" s="62">
        <f>IF($J188="","",$G188/$J188)</f>
        <v/>
      </c>
      <c r="L188" s="62">
        <f>IF($J188="",0,$K188*MAX(0,MIN(YEAR($C$3)*12+MONTH($C$3),YEAR($I188)*12+MONTH($I188))-(YEAR($H188)*12+MONTH($H188))+1))</f>
        <v/>
      </c>
      <c r="M188" s="62">
        <f>IF($J188="",0,$K188*MAX(0,MIN(YEAR($C$3)*12+MONTH($C$3)-1,YEAR($I188)*12+MONTH($I188))-(YEAR($H188)*12+MONTH($H188))+1))</f>
        <v/>
      </c>
      <c r="N188" s="62">
        <f>IF(OR($J188="",$B188=""),0,IF(YEAR($B188)*12+MONTH($B188)&lt;=YEAR($C$3)*12+MONTH($C$3),$G188,0))</f>
        <v/>
      </c>
      <c r="O188" s="62">
        <f>IF(OR($J188="",$B188=""),0,IF(YEAR($B188)*12+MONTH($B188)&lt;=YEAR($C$3)*12+MONTH($C$3)-1,$G188,0))</f>
        <v/>
      </c>
      <c r="P188" s="62">
        <f>$M188-$O188</f>
        <v/>
      </c>
      <c r="Q188" s="62">
        <f>($L188-$M188)-($N188-$O188)</f>
        <v/>
      </c>
      <c r="R188" s="62">
        <f>$L188-$N188</f>
        <v/>
      </c>
    </row>
    <row r="189">
      <c r="A189" s="59">
        <f>ROW()-5</f>
        <v/>
      </c>
      <c r="B189" s="60">
        <f>IFERROR(INDEX(tbl_Finance[Date],$A189),"")</f>
        <v/>
      </c>
      <c r="C189" s="61">
        <f>IFERROR(INDEX(tbl_Finance[Xero Invoice No],$A189),"")</f>
        <v/>
      </c>
      <c r="D189" s="61">
        <f>IFERROR(INDEX(tbl_Finance[Client],$A189),"")</f>
        <v/>
      </c>
      <c r="E189" s="61">
        <f>IFERROR(INDEX(tbl_Finance[Job Number],$A189),"")</f>
        <v/>
      </c>
      <c r="F189" s="61">
        <f>IFERROR(INDEX(tbl_Finance[Cost Centre],$A189),"")</f>
        <v/>
      </c>
      <c r="G189" s="62">
        <f>IFERROR(INDEX(tbl_Finance[Ex GST],$A189),"")</f>
        <v/>
      </c>
      <c r="H189" s="60">
        <f>IFERROR(INDEX(tbl_Finance[Defer Start],$A189),"")</f>
        <v/>
      </c>
      <c r="I189" s="60">
        <f>IFERROR(INDEX(tbl_Finance[Defer End],$A189),"")</f>
        <v/>
      </c>
      <c r="J189" s="59">
        <f>IF(OR($H189="",$I189="",$G189=""),"",MAX(1,(YEAR($I189)-YEAR($H189))*12+MONTH($I189)-MONTH($H189)+1))</f>
        <v/>
      </c>
      <c r="K189" s="62">
        <f>IF($J189="","",$G189/$J189)</f>
        <v/>
      </c>
      <c r="L189" s="62">
        <f>IF($J189="",0,$K189*MAX(0,MIN(YEAR($C$3)*12+MONTH($C$3),YEAR($I189)*12+MONTH($I189))-(YEAR($H189)*12+MONTH($H189))+1))</f>
        <v/>
      </c>
      <c r="M189" s="62">
        <f>IF($J189="",0,$K189*MAX(0,MIN(YEAR($C$3)*12+MONTH($C$3)-1,YEAR($I189)*12+MONTH($I189))-(YEAR($H189)*12+MONTH($H189))+1))</f>
        <v/>
      </c>
      <c r="N189" s="62">
        <f>IF(OR($J189="",$B189=""),0,IF(YEAR($B189)*12+MONTH($B189)&lt;=YEAR($C$3)*12+MONTH($C$3),$G189,0))</f>
        <v/>
      </c>
      <c r="O189" s="62">
        <f>IF(OR($J189="",$B189=""),0,IF(YEAR($B189)*12+MONTH($B189)&lt;=YEAR($C$3)*12+MONTH($C$3)-1,$G189,0))</f>
        <v/>
      </c>
      <c r="P189" s="62">
        <f>$M189-$O189</f>
        <v/>
      </c>
      <c r="Q189" s="62">
        <f>($L189-$M189)-($N189-$O189)</f>
        <v/>
      </c>
      <c r="R189" s="62">
        <f>$L189-$N189</f>
        <v/>
      </c>
    </row>
    <row r="190">
      <c r="A190" s="59">
        <f>ROW()-5</f>
        <v/>
      </c>
      <c r="B190" s="60">
        <f>IFERROR(INDEX(tbl_Finance[Date],$A190),"")</f>
        <v/>
      </c>
      <c r="C190" s="61">
        <f>IFERROR(INDEX(tbl_Finance[Xero Invoice No],$A190),"")</f>
        <v/>
      </c>
      <c r="D190" s="61">
        <f>IFERROR(INDEX(tbl_Finance[Client],$A190),"")</f>
        <v/>
      </c>
      <c r="E190" s="61">
        <f>IFERROR(INDEX(tbl_Finance[Job Number],$A190),"")</f>
        <v/>
      </c>
      <c r="F190" s="61">
        <f>IFERROR(INDEX(tbl_Finance[Cost Centre],$A190),"")</f>
        <v/>
      </c>
      <c r="G190" s="62">
        <f>IFERROR(INDEX(tbl_Finance[Ex GST],$A190),"")</f>
        <v/>
      </c>
      <c r="H190" s="60">
        <f>IFERROR(INDEX(tbl_Finance[Defer Start],$A190),"")</f>
        <v/>
      </c>
      <c r="I190" s="60">
        <f>IFERROR(INDEX(tbl_Finance[Defer End],$A190),"")</f>
        <v/>
      </c>
      <c r="J190" s="59">
        <f>IF(OR($H190="",$I190="",$G190=""),"",MAX(1,(YEAR($I190)-YEAR($H190))*12+MONTH($I190)-MONTH($H190)+1))</f>
        <v/>
      </c>
      <c r="K190" s="62">
        <f>IF($J190="","",$G190/$J190)</f>
        <v/>
      </c>
      <c r="L190" s="62">
        <f>IF($J190="",0,$K190*MAX(0,MIN(YEAR($C$3)*12+MONTH($C$3),YEAR($I190)*12+MONTH($I190))-(YEAR($H190)*12+MONTH($H190))+1))</f>
        <v/>
      </c>
      <c r="M190" s="62">
        <f>IF($J190="",0,$K190*MAX(0,MIN(YEAR($C$3)*12+MONTH($C$3)-1,YEAR($I190)*12+MONTH($I190))-(YEAR($H190)*12+MONTH($H190))+1))</f>
        <v/>
      </c>
      <c r="N190" s="62">
        <f>IF(OR($J190="",$B190=""),0,IF(YEAR($B190)*12+MONTH($B190)&lt;=YEAR($C$3)*12+MONTH($C$3),$G190,0))</f>
        <v/>
      </c>
      <c r="O190" s="62">
        <f>IF(OR($J190="",$B190=""),0,IF(YEAR($B190)*12+MONTH($B190)&lt;=YEAR($C$3)*12+MONTH($C$3)-1,$G190,0))</f>
        <v/>
      </c>
      <c r="P190" s="62">
        <f>$M190-$O190</f>
        <v/>
      </c>
      <c r="Q190" s="62">
        <f>($L190-$M190)-($N190-$O190)</f>
        <v/>
      </c>
      <c r="R190" s="62">
        <f>$L190-$N190</f>
        <v/>
      </c>
    </row>
    <row r="191">
      <c r="A191" s="59">
        <f>ROW()-5</f>
        <v/>
      </c>
      <c r="B191" s="60">
        <f>IFERROR(INDEX(tbl_Finance[Date],$A191),"")</f>
        <v/>
      </c>
      <c r="C191" s="61">
        <f>IFERROR(INDEX(tbl_Finance[Xero Invoice No],$A191),"")</f>
        <v/>
      </c>
      <c r="D191" s="61">
        <f>IFERROR(INDEX(tbl_Finance[Client],$A191),"")</f>
        <v/>
      </c>
      <c r="E191" s="61">
        <f>IFERROR(INDEX(tbl_Finance[Job Number],$A191),"")</f>
        <v/>
      </c>
      <c r="F191" s="61">
        <f>IFERROR(INDEX(tbl_Finance[Cost Centre],$A191),"")</f>
        <v/>
      </c>
      <c r="G191" s="62">
        <f>IFERROR(INDEX(tbl_Finance[Ex GST],$A191),"")</f>
        <v/>
      </c>
      <c r="H191" s="60">
        <f>IFERROR(INDEX(tbl_Finance[Defer Start],$A191),"")</f>
        <v/>
      </c>
      <c r="I191" s="60">
        <f>IFERROR(INDEX(tbl_Finance[Defer End],$A191),"")</f>
        <v/>
      </c>
      <c r="J191" s="59">
        <f>IF(OR($H191="",$I191="",$G191=""),"",MAX(1,(YEAR($I191)-YEAR($H191))*12+MONTH($I191)-MONTH($H191)+1))</f>
        <v/>
      </c>
      <c r="K191" s="62">
        <f>IF($J191="","",$G191/$J191)</f>
        <v/>
      </c>
      <c r="L191" s="62">
        <f>IF($J191="",0,$K191*MAX(0,MIN(YEAR($C$3)*12+MONTH($C$3),YEAR($I191)*12+MONTH($I191))-(YEAR($H191)*12+MONTH($H191))+1))</f>
        <v/>
      </c>
      <c r="M191" s="62">
        <f>IF($J191="",0,$K191*MAX(0,MIN(YEAR($C$3)*12+MONTH($C$3)-1,YEAR($I191)*12+MONTH($I191))-(YEAR($H191)*12+MONTH($H191))+1))</f>
        <v/>
      </c>
      <c r="N191" s="62">
        <f>IF(OR($J191="",$B191=""),0,IF(YEAR($B191)*12+MONTH($B191)&lt;=YEAR($C$3)*12+MONTH($C$3),$G191,0))</f>
        <v/>
      </c>
      <c r="O191" s="62">
        <f>IF(OR($J191="",$B191=""),0,IF(YEAR($B191)*12+MONTH($B191)&lt;=YEAR($C$3)*12+MONTH($C$3)-1,$G191,0))</f>
        <v/>
      </c>
      <c r="P191" s="62">
        <f>$M191-$O191</f>
        <v/>
      </c>
      <c r="Q191" s="62">
        <f>($L191-$M191)-($N191-$O191)</f>
        <v/>
      </c>
      <c r="R191" s="62">
        <f>$L191-$N191</f>
        <v/>
      </c>
    </row>
    <row r="192">
      <c r="A192" s="59">
        <f>ROW()-5</f>
        <v/>
      </c>
      <c r="B192" s="60">
        <f>IFERROR(INDEX(tbl_Finance[Date],$A192),"")</f>
        <v/>
      </c>
      <c r="C192" s="61">
        <f>IFERROR(INDEX(tbl_Finance[Xero Invoice No],$A192),"")</f>
        <v/>
      </c>
      <c r="D192" s="61">
        <f>IFERROR(INDEX(tbl_Finance[Client],$A192),"")</f>
        <v/>
      </c>
      <c r="E192" s="61">
        <f>IFERROR(INDEX(tbl_Finance[Job Number],$A192),"")</f>
        <v/>
      </c>
      <c r="F192" s="61">
        <f>IFERROR(INDEX(tbl_Finance[Cost Centre],$A192),"")</f>
        <v/>
      </c>
      <c r="G192" s="62">
        <f>IFERROR(INDEX(tbl_Finance[Ex GST],$A192),"")</f>
        <v/>
      </c>
      <c r="H192" s="60">
        <f>IFERROR(INDEX(tbl_Finance[Defer Start],$A192),"")</f>
        <v/>
      </c>
      <c r="I192" s="60">
        <f>IFERROR(INDEX(tbl_Finance[Defer End],$A192),"")</f>
        <v/>
      </c>
      <c r="J192" s="59">
        <f>IF(OR($H192="",$I192="",$G192=""),"",MAX(1,(YEAR($I192)-YEAR($H192))*12+MONTH($I192)-MONTH($H192)+1))</f>
        <v/>
      </c>
      <c r="K192" s="62">
        <f>IF($J192="","",$G192/$J192)</f>
        <v/>
      </c>
      <c r="L192" s="62">
        <f>IF($J192="",0,$K192*MAX(0,MIN(YEAR($C$3)*12+MONTH($C$3),YEAR($I192)*12+MONTH($I192))-(YEAR($H192)*12+MONTH($H192))+1))</f>
        <v/>
      </c>
      <c r="M192" s="62">
        <f>IF($J192="",0,$K192*MAX(0,MIN(YEAR($C$3)*12+MONTH($C$3)-1,YEAR($I192)*12+MONTH($I192))-(YEAR($H192)*12+MONTH($H192))+1))</f>
        <v/>
      </c>
      <c r="N192" s="62">
        <f>IF(OR($J192="",$B192=""),0,IF(YEAR($B192)*12+MONTH($B192)&lt;=YEAR($C$3)*12+MONTH($C$3),$G192,0))</f>
        <v/>
      </c>
      <c r="O192" s="62">
        <f>IF(OR($J192="",$B192=""),0,IF(YEAR($B192)*12+MONTH($B192)&lt;=YEAR($C$3)*12+MONTH($C$3)-1,$G192,0))</f>
        <v/>
      </c>
      <c r="P192" s="62">
        <f>$M192-$O192</f>
        <v/>
      </c>
      <c r="Q192" s="62">
        <f>($L192-$M192)-($N192-$O192)</f>
        <v/>
      </c>
      <c r="R192" s="62">
        <f>$L192-$N192</f>
        <v/>
      </c>
    </row>
    <row r="193">
      <c r="A193" s="59">
        <f>ROW()-5</f>
        <v/>
      </c>
      <c r="B193" s="60">
        <f>IFERROR(INDEX(tbl_Finance[Date],$A193),"")</f>
        <v/>
      </c>
      <c r="C193" s="61">
        <f>IFERROR(INDEX(tbl_Finance[Xero Invoice No],$A193),"")</f>
        <v/>
      </c>
      <c r="D193" s="61">
        <f>IFERROR(INDEX(tbl_Finance[Client],$A193),"")</f>
        <v/>
      </c>
      <c r="E193" s="61">
        <f>IFERROR(INDEX(tbl_Finance[Job Number],$A193),"")</f>
        <v/>
      </c>
      <c r="F193" s="61">
        <f>IFERROR(INDEX(tbl_Finance[Cost Centre],$A193),"")</f>
        <v/>
      </c>
      <c r="G193" s="62">
        <f>IFERROR(INDEX(tbl_Finance[Ex GST],$A193),"")</f>
        <v/>
      </c>
      <c r="H193" s="60">
        <f>IFERROR(INDEX(tbl_Finance[Defer Start],$A193),"")</f>
        <v/>
      </c>
      <c r="I193" s="60">
        <f>IFERROR(INDEX(tbl_Finance[Defer End],$A193),"")</f>
        <v/>
      </c>
      <c r="J193" s="59">
        <f>IF(OR($H193="",$I193="",$G193=""),"",MAX(1,(YEAR($I193)-YEAR($H193))*12+MONTH($I193)-MONTH($H193)+1))</f>
        <v/>
      </c>
      <c r="K193" s="62">
        <f>IF($J193="","",$G193/$J193)</f>
        <v/>
      </c>
      <c r="L193" s="62">
        <f>IF($J193="",0,$K193*MAX(0,MIN(YEAR($C$3)*12+MONTH($C$3),YEAR($I193)*12+MONTH($I193))-(YEAR($H193)*12+MONTH($H193))+1))</f>
        <v/>
      </c>
      <c r="M193" s="62">
        <f>IF($J193="",0,$K193*MAX(0,MIN(YEAR($C$3)*12+MONTH($C$3)-1,YEAR($I193)*12+MONTH($I193))-(YEAR($H193)*12+MONTH($H193))+1))</f>
        <v/>
      </c>
      <c r="N193" s="62">
        <f>IF(OR($J193="",$B193=""),0,IF(YEAR($B193)*12+MONTH($B193)&lt;=YEAR($C$3)*12+MONTH($C$3),$G193,0))</f>
        <v/>
      </c>
      <c r="O193" s="62">
        <f>IF(OR($J193="",$B193=""),0,IF(YEAR($B193)*12+MONTH($B193)&lt;=YEAR($C$3)*12+MONTH($C$3)-1,$G193,0))</f>
        <v/>
      </c>
      <c r="P193" s="62">
        <f>$M193-$O193</f>
        <v/>
      </c>
      <c r="Q193" s="62">
        <f>($L193-$M193)-($N193-$O193)</f>
        <v/>
      </c>
      <c r="R193" s="62">
        <f>$L193-$N193</f>
        <v/>
      </c>
    </row>
    <row r="194">
      <c r="A194" s="59">
        <f>ROW()-5</f>
        <v/>
      </c>
      <c r="B194" s="60">
        <f>IFERROR(INDEX(tbl_Finance[Date],$A194),"")</f>
        <v/>
      </c>
      <c r="C194" s="61">
        <f>IFERROR(INDEX(tbl_Finance[Xero Invoice No],$A194),"")</f>
        <v/>
      </c>
      <c r="D194" s="61">
        <f>IFERROR(INDEX(tbl_Finance[Client],$A194),"")</f>
        <v/>
      </c>
      <c r="E194" s="61">
        <f>IFERROR(INDEX(tbl_Finance[Job Number],$A194),"")</f>
        <v/>
      </c>
      <c r="F194" s="61">
        <f>IFERROR(INDEX(tbl_Finance[Cost Centre],$A194),"")</f>
        <v/>
      </c>
      <c r="G194" s="62">
        <f>IFERROR(INDEX(tbl_Finance[Ex GST],$A194),"")</f>
        <v/>
      </c>
      <c r="H194" s="60">
        <f>IFERROR(INDEX(tbl_Finance[Defer Start],$A194),"")</f>
        <v/>
      </c>
      <c r="I194" s="60">
        <f>IFERROR(INDEX(tbl_Finance[Defer End],$A194),"")</f>
        <v/>
      </c>
      <c r="J194" s="59">
        <f>IF(OR($H194="",$I194="",$G194=""),"",MAX(1,(YEAR($I194)-YEAR($H194))*12+MONTH($I194)-MONTH($H194)+1))</f>
        <v/>
      </c>
      <c r="K194" s="62">
        <f>IF($J194="","",$G194/$J194)</f>
        <v/>
      </c>
      <c r="L194" s="62">
        <f>IF($J194="",0,$K194*MAX(0,MIN(YEAR($C$3)*12+MONTH($C$3),YEAR($I194)*12+MONTH($I194))-(YEAR($H194)*12+MONTH($H194))+1))</f>
        <v/>
      </c>
      <c r="M194" s="62">
        <f>IF($J194="",0,$K194*MAX(0,MIN(YEAR($C$3)*12+MONTH($C$3)-1,YEAR($I194)*12+MONTH($I194))-(YEAR($H194)*12+MONTH($H194))+1))</f>
        <v/>
      </c>
      <c r="N194" s="62">
        <f>IF(OR($J194="",$B194=""),0,IF(YEAR($B194)*12+MONTH($B194)&lt;=YEAR($C$3)*12+MONTH($C$3),$G194,0))</f>
        <v/>
      </c>
      <c r="O194" s="62">
        <f>IF(OR($J194="",$B194=""),0,IF(YEAR($B194)*12+MONTH($B194)&lt;=YEAR($C$3)*12+MONTH($C$3)-1,$G194,0))</f>
        <v/>
      </c>
      <c r="P194" s="62">
        <f>$M194-$O194</f>
        <v/>
      </c>
      <c r="Q194" s="62">
        <f>($L194-$M194)-($N194-$O194)</f>
        <v/>
      </c>
      <c r="R194" s="62">
        <f>$L194-$N194</f>
        <v/>
      </c>
    </row>
    <row r="195">
      <c r="A195" s="59">
        <f>ROW()-5</f>
        <v/>
      </c>
      <c r="B195" s="60">
        <f>IFERROR(INDEX(tbl_Finance[Date],$A195),"")</f>
        <v/>
      </c>
      <c r="C195" s="61">
        <f>IFERROR(INDEX(tbl_Finance[Xero Invoice No],$A195),"")</f>
        <v/>
      </c>
      <c r="D195" s="61">
        <f>IFERROR(INDEX(tbl_Finance[Client],$A195),"")</f>
        <v/>
      </c>
      <c r="E195" s="61">
        <f>IFERROR(INDEX(tbl_Finance[Job Number],$A195),"")</f>
        <v/>
      </c>
      <c r="F195" s="61">
        <f>IFERROR(INDEX(tbl_Finance[Cost Centre],$A195),"")</f>
        <v/>
      </c>
      <c r="G195" s="62">
        <f>IFERROR(INDEX(tbl_Finance[Ex GST],$A195),"")</f>
        <v/>
      </c>
      <c r="H195" s="60">
        <f>IFERROR(INDEX(tbl_Finance[Defer Start],$A195),"")</f>
        <v/>
      </c>
      <c r="I195" s="60">
        <f>IFERROR(INDEX(tbl_Finance[Defer End],$A195),"")</f>
        <v/>
      </c>
      <c r="J195" s="59">
        <f>IF(OR($H195="",$I195="",$G195=""),"",MAX(1,(YEAR($I195)-YEAR($H195))*12+MONTH($I195)-MONTH($H195)+1))</f>
        <v/>
      </c>
      <c r="K195" s="62">
        <f>IF($J195="","",$G195/$J195)</f>
        <v/>
      </c>
      <c r="L195" s="62">
        <f>IF($J195="",0,$K195*MAX(0,MIN(YEAR($C$3)*12+MONTH($C$3),YEAR($I195)*12+MONTH($I195))-(YEAR($H195)*12+MONTH($H195))+1))</f>
        <v/>
      </c>
      <c r="M195" s="62">
        <f>IF($J195="",0,$K195*MAX(0,MIN(YEAR($C$3)*12+MONTH($C$3)-1,YEAR($I195)*12+MONTH($I195))-(YEAR($H195)*12+MONTH($H195))+1))</f>
        <v/>
      </c>
      <c r="N195" s="62">
        <f>IF(OR($J195="",$B195=""),0,IF(YEAR($B195)*12+MONTH($B195)&lt;=YEAR($C$3)*12+MONTH($C$3),$G195,0))</f>
        <v/>
      </c>
      <c r="O195" s="62">
        <f>IF(OR($J195="",$B195=""),0,IF(YEAR($B195)*12+MONTH($B195)&lt;=YEAR($C$3)*12+MONTH($C$3)-1,$G195,0))</f>
        <v/>
      </c>
      <c r="P195" s="62">
        <f>$M195-$O195</f>
        <v/>
      </c>
      <c r="Q195" s="62">
        <f>($L195-$M195)-($N195-$O195)</f>
        <v/>
      </c>
      <c r="R195" s="62">
        <f>$L195-$N195</f>
        <v/>
      </c>
    </row>
    <row r="196">
      <c r="A196" s="59">
        <f>ROW()-5</f>
        <v/>
      </c>
      <c r="B196" s="60">
        <f>IFERROR(INDEX(tbl_Finance[Date],$A196),"")</f>
        <v/>
      </c>
      <c r="C196" s="61">
        <f>IFERROR(INDEX(tbl_Finance[Xero Invoice No],$A196),"")</f>
        <v/>
      </c>
      <c r="D196" s="61">
        <f>IFERROR(INDEX(tbl_Finance[Client],$A196),"")</f>
        <v/>
      </c>
      <c r="E196" s="61">
        <f>IFERROR(INDEX(tbl_Finance[Job Number],$A196),"")</f>
        <v/>
      </c>
      <c r="F196" s="61">
        <f>IFERROR(INDEX(tbl_Finance[Cost Centre],$A196),"")</f>
        <v/>
      </c>
      <c r="G196" s="62">
        <f>IFERROR(INDEX(tbl_Finance[Ex GST],$A196),"")</f>
        <v/>
      </c>
      <c r="H196" s="60">
        <f>IFERROR(INDEX(tbl_Finance[Defer Start],$A196),"")</f>
        <v/>
      </c>
      <c r="I196" s="60">
        <f>IFERROR(INDEX(tbl_Finance[Defer End],$A196),"")</f>
        <v/>
      </c>
      <c r="J196" s="59">
        <f>IF(OR($H196="",$I196="",$G196=""),"",MAX(1,(YEAR($I196)-YEAR($H196))*12+MONTH($I196)-MONTH($H196)+1))</f>
        <v/>
      </c>
      <c r="K196" s="62">
        <f>IF($J196="","",$G196/$J196)</f>
        <v/>
      </c>
      <c r="L196" s="62">
        <f>IF($J196="",0,$K196*MAX(0,MIN(YEAR($C$3)*12+MONTH($C$3),YEAR($I196)*12+MONTH($I196))-(YEAR($H196)*12+MONTH($H196))+1))</f>
        <v/>
      </c>
      <c r="M196" s="62">
        <f>IF($J196="",0,$K196*MAX(0,MIN(YEAR($C$3)*12+MONTH($C$3)-1,YEAR($I196)*12+MONTH($I196))-(YEAR($H196)*12+MONTH($H196))+1))</f>
        <v/>
      </c>
      <c r="N196" s="62">
        <f>IF(OR($J196="",$B196=""),0,IF(YEAR($B196)*12+MONTH($B196)&lt;=YEAR($C$3)*12+MONTH($C$3),$G196,0))</f>
        <v/>
      </c>
      <c r="O196" s="62">
        <f>IF(OR($J196="",$B196=""),0,IF(YEAR($B196)*12+MONTH($B196)&lt;=YEAR($C$3)*12+MONTH($C$3)-1,$G196,0))</f>
        <v/>
      </c>
      <c r="P196" s="62">
        <f>$M196-$O196</f>
        <v/>
      </c>
      <c r="Q196" s="62">
        <f>($L196-$M196)-($N196-$O196)</f>
        <v/>
      </c>
      <c r="R196" s="62">
        <f>$L196-$N196</f>
        <v/>
      </c>
    </row>
    <row r="197">
      <c r="A197" s="59">
        <f>ROW()-5</f>
        <v/>
      </c>
      <c r="B197" s="60">
        <f>IFERROR(INDEX(tbl_Finance[Date],$A197),"")</f>
        <v/>
      </c>
      <c r="C197" s="61">
        <f>IFERROR(INDEX(tbl_Finance[Xero Invoice No],$A197),"")</f>
        <v/>
      </c>
      <c r="D197" s="61">
        <f>IFERROR(INDEX(tbl_Finance[Client],$A197),"")</f>
        <v/>
      </c>
      <c r="E197" s="61">
        <f>IFERROR(INDEX(tbl_Finance[Job Number],$A197),"")</f>
        <v/>
      </c>
      <c r="F197" s="61">
        <f>IFERROR(INDEX(tbl_Finance[Cost Centre],$A197),"")</f>
        <v/>
      </c>
      <c r="G197" s="62">
        <f>IFERROR(INDEX(tbl_Finance[Ex GST],$A197),"")</f>
        <v/>
      </c>
      <c r="H197" s="60">
        <f>IFERROR(INDEX(tbl_Finance[Defer Start],$A197),"")</f>
        <v/>
      </c>
      <c r="I197" s="60">
        <f>IFERROR(INDEX(tbl_Finance[Defer End],$A197),"")</f>
        <v/>
      </c>
      <c r="J197" s="59">
        <f>IF(OR($H197="",$I197="",$G197=""),"",MAX(1,(YEAR($I197)-YEAR($H197))*12+MONTH($I197)-MONTH($H197)+1))</f>
        <v/>
      </c>
      <c r="K197" s="62">
        <f>IF($J197="","",$G197/$J197)</f>
        <v/>
      </c>
      <c r="L197" s="62">
        <f>IF($J197="",0,$K197*MAX(0,MIN(YEAR($C$3)*12+MONTH($C$3),YEAR($I197)*12+MONTH($I197))-(YEAR($H197)*12+MONTH($H197))+1))</f>
        <v/>
      </c>
      <c r="M197" s="62">
        <f>IF($J197="",0,$K197*MAX(0,MIN(YEAR($C$3)*12+MONTH($C$3)-1,YEAR($I197)*12+MONTH($I197))-(YEAR($H197)*12+MONTH($H197))+1))</f>
        <v/>
      </c>
      <c r="N197" s="62">
        <f>IF(OR($J197="",$B197=""),0,IF(YEAR($B197)*12+MONTH($B197)&lt;=YEAR($C$3)*12+MONTH($C$3),$G197,0))</f>
        <v/>
      </c>
      <c r="O197" s="62">
        <f>IF(OR($J197="",$B197=""),0,IF(YEAR($B197)*12+MONTH($B197)&lt;=YEAR($C$3)*12+MONTH($C$3)-1,$G197,0))</f>
        <v/>
      </c>
      <c r="P197" s="62">
        <f>$M197-$O197</f>
        <v/>
      </c>
      <c r="Q197" s="62">
        <f>($L197-$M197)-($N197-$O197)</f>
        <v/>
      </c>
      <c r="R197" s="62">
        <f>$L197-$N197</f>
        <v/>
      </c>
    </row>
    <row r="198">
      <c r="A198" s="59">
        <f>ROW()-5</f>
        <v/>
      </c>
      <c r="B198" s="60">
        <f>IFERROR(INDEX(tbl_Finance[Date],$A198),"")</f>
        <v/>
      </c>
      <c r="C198" s="61">
        <f>IFERROR(INDEX(tbl_Finance[Xero Invoice No],$A198),"")</f>
        <v/>
      </c>
      <c r="D198" s="61">
        <f>IFERROR(INDEX(tbl_Finance[Client],$A198),"")</f>
        <v/>
      </c>
      <c r="E198" s="61">
        <f>IFERROR(INDEX(tbl_Finance[Job Number],$A198),"")</f>
        <v/>
      </c>
      <c r="F198" s="61">
        <f>IFERROR(INDEX(tbl_Finance[Cost Centre],$A198),"")</f>
        <v/>
      </c>
      <c r="G198" s="62">
        <f>IFERROR(INDEX(tbl_Finance[Ex GST],$A198),"")</f>
        <v/>
      </c>
      <c r="H198" s="60">
        <f>IFERROR(INDEX(tbl_Finance[Defer Start],$A198),"")</f>
        <v/>
      </c>
      <c r="I198" s="60">
        <f>IFERROR(INDEX(tbl_Finance[Defer End],$A198),"")</f>
        <v/>
      </c>
      <c r="J198" s="59">
        <f>IF(OR($H198="",$I198="",$G198=""),"",MAX(1,(YEAR($I198)-YEAR($H198))*12+MONTH($I198)-MONTH($H198)+1))</f>
        <v/>
      </c>
      <c r="K198" s="62">
        <f>IF($J198="","",$G198/$J198)</f>
        <v/>
      </c>
      <c r="L198" s="62">
        <f>IF($J198="",0,$K198*MAX(0,MIN(YEAR($C$3)*12+MONTH($C$3),YEAR($I198)*12+MONTH($I198))-(YEAR($H198)*12+MONTH($H198))+1))</f>
        <v/>
      </c>
      <c r="M198" s="62">
        <f>IF($J198="",0,$K198*MAX(0,MIN(YEAR($C$3)*12+MONTH($C$3)-1,YEAR($I198)*12+MONTH($I198))-(YEAR($H198)*12+MONTH($H198))+1))</f>
        <v/>
      </c>
      <c r="N198" s="62">
        <f>IF(OR($J198="",$B198=""),0,IF(YEAR($B198)*12+MONTH($B198)&lt;=YEAR($C$3)*12+MONTH($C$3),$G198,0))</f>
        <v/>
      </c>
      <c r="O198" s="62">
        <f>IF(OR($J198="",$B198=""),0,IF(YEAR($B198)*12+MONTH($B198)&lt;=YEAR($C$3)*12+MONTH($C$3)-1,$G198,0))</f>
        <v/>
      </c>
      <c r="P198" s="62">
        <f>$M198-$O198</f>
        <v/>
      </c>
      <c r="Q198" s="62">
        <f>($L198-$M198)-($N198-$O198)</f>
        <v/>
      </c>
      <c r="R198" s="62">
        <f>$L198-$N198</f>
        <v/>
      </c>
    </row>
    <row r="199">
      <c r="A199" s="59">
        <f>ROW()-5</f>
        <v/>
      </c>
      <c r="B199" s="60">
        <f>IFERROR(INDEX(tbl_Finance[Date],$A199),"")</f>
        <v/>
      </c>
      <c r="C199" s="61">
        <f>IFERROR(INDEX(tbl_Finance[Xero Invoice No],$A199),"")</f>
        <v/>
      </c>
      <c r="D199" s="61">
        <f>IFERROR(INDEX(tbl_Finance[Client],$A199),"")</f>
        <v/>
      </c>
      <c r="E199" s="61">
        <f>IFERROR(INDEX(tbl_Finance[Job Number],$A199),"")</f>
        <v/>
      </c>
      <c r="F199" s="61">
        <f>IFERROR(INDEX(tbl_Finance[Cost Centre],$A199),"")</f>
        <v/>
      </c>
      <c r="G199" s="62">
        <f>IFERROR(INDEX(tbl_Finance[Ex GST],$A199),"")</f>
        <v/>
      </c>
      <c r="H199" s="60">
        <f>IFERROR(INDEX(tbl_Finance[Defer Start],$A199),"")</f>
        <v/>
      </c>
      <c r="I199" s="60">
        <f>IFERROR(INDEX(tbl_Finance[Defer End],$A199),"")</f>
        <v/>
      </c>
      <c r="J199" s="59">
        <f>IF(OR($H199="",$I199="",$G199=""),"",MAX(1,(YEAR($I199)-YEAR($H199))*12+MONTH($I199)-MONTH($H199)+1))</f>
        <v/>
      </c>
      <c r="K199" s="62">
        <f>IF($J199="","",$G199/$J199)</f>
        <v/>
      </c>
      <c r="L199" s="62">
        <f>IF($J199="",0,$K199*MAX(0,MIN(YEAR($C$3)*12+MONTH($C$3),YEAR($I199)*12+MONTH($I199))-(YEAR($H199)*12+MONTH($H199))+1))</f>
        <v/>
      </c>
      <c r="M199" s="62">
        <f>IF($J199="",0,$K199*MAX(0,MIN(YEAR($C$3)*12+MONTH($C$3)-1,YEAR($I199)*12+MONTH($I199))-(YEAR($H199)*12+MONTH($H199))+1))</f>
        <v/>
      </c>
      <c r="N199" s="62">
        <f>IF(OR($J199="",$B199=""),0,IF(YEAR($B199)*12+MONTH($B199)&lt;=YEAR($C$3)*12+MONTH($C$3),$G199,0))</f>
        <v/>
      </c>
      <c r="O199" s="62">
        <f>IF(OR($J199="",$B199=""),0,IF(YEAR($B199)*12+MONTH($B199)&lt;=YEAR($C$3)*12+MONTH($C$3)-1,$G199,0))</f>
        <v/>
      </c>
      <c r="P199" s="62">
        <f>$M199-$O199</f>
        <v/>
      </c>
      <c r="Q199" s="62">
        <f>($L199-$M199)-($N199-$O199)</f>
        <v/>
      </c>
      <c r="R199" s="62">
        <f>$L199-$N199</f>
        <v/>
      </c>
    </row>
    <row r="200">
      <c r="A200" s="59">
        <f>ROW()-5</f>
        <v/>
      </c>
      <c r="B200" s="60">
        <f>IFERROR(INDEX(tbl_Finance[Date],$A200),"")</f>
        <v/>
      </c>
      <c r="C200" s="61">
        <f>IFERROR(INDEX(tbl_Finance[Xero Invoice No],$A200),"")</f>
        <v/>
      </c>
      <c r="D200" s="61">
        <f>IFERROR(INDEX(tbl_Finance[Client],$A200),"")</f>
        <v/>
      </c>
      <c r="E200" s="61">
        <f>IFERROR(INDEX(tbl_Finance[Job Number],$A200),"")</f>
        <v/>
      </c>
      <c r="F200" s="61">
        <f>IFERROR(INDEX(tbl_Finance[Cost Centre],$A200),"")</f>
        <v/>
      </c>
      <c r="G200" s="62">
        <f>IFERROR(INDEX(tbl_Finance[Ex GST],$A200),"")</f>
        <v/>
      </c>
      <c r="H200" s="60">
        <f>IFERROR(INDEX(tbl_Finance[Defer Start],$A200),"")</f>
        <v/>
      </c>
      <c r="I200" s="60">
        <f>IFERROR(INDEX(tbl_Finance[Defer End],$A200),"")</f>
        <v/>
      </c>
      <c r="J200" s="59">
        <f>IF(OR($H200="",$I200="",$G200=""),"",MAX(1,(YEAR($I200)-YEAR($H200))*12+MONTH($I200)-MONTH($H200)+1))</f>
        <v/>
      </c>
      <c r="K200" s="62">
        <f>IF($J200="","",$G200/$J200)</f>
        <v/>
      </c>
      <c r="L200" s="62">
        <f>IF($J200="",0,$K200*MAX(0,MIN(YEAR($C$3)*12+MONTH($C$3),YEAR($I200)*12+MONTH($I200))-(YEAR($H200)*12+MONTH($H200))+1))</f>
        <v/>
      </c>
      <c r="M200" s="62">
        <f>IF($J200="",0,$K200*MAX(0,MIN(YEAR($C$3)*12+MONTH($C$3)-1,YEAR($I200)*12+MONTH($I200))-(YEAR($H200)*12+MONTH($H200))+1))</f>
        <v/>
      </c>
      <c r="N200" s="62">
        <f>IF(OR($J200="",$B200=""),0,IF(YEAR($B200)*12+MONTH($B200)&lt;=YEAR($C$3)*12+MONTH($C$3),$G200,0))</f>
        <v/>
      </c>
      <c r="O200" s="62">
        <f>IF(OR($J200="",$B200=""),0,IF(YEAR($B200)*12+MONTH($B200)&lt;=YEAR($C$3)*12+MONTH($C$3)-1,$G200,0))</f>
        <v/>
      </c>
      <c r="P200" s="62">
        <f>$M200-$O200</f>
        <v/>
      </c>
      <c r="Q200" s="62">
        <f>($L200-$M200)-($N200-$O200)</f>
        <v/>
      </c>
      <c r="R200" s="62">
        <f>$L200-$N200</f>
        <v/>
      </c>
    </row>
    <row r="201">
      <c r="A201" s="59">
        <f>ROW()-5</f>
        <v/>
      </c>
      <c r="B201" s="60">
        <f>IFERROR(INDEX(tbl_Finance[Date],$A201),"")</f>
        <v/>
      </c>
      <c r="C201" s="61">
        <f>IFERROR(INDEX(tbl_Finance[Xero Invoice No],$A201),"")</f>
        <v/>
      </c>
      <c r="D201" s="61">
        <f>IFERROR(INDEX(tbl_Finance[Client],$A201),"")</f>
        <v/>
      </c>
      <c r="E201" s="61">
        <f>IFERROR(INDEX(tbl_Finance[Job Number],$A201),"")</f>
        <v/>
      </c>
      <c r="F201" s="61">
        <f>IFERROR(INDEX(tbl_Finance[Cost Centre],$A201),"")</f>
        <v/>
      </c>
      <c r="G201" s="62">
        <f>IFERROR(INDEX(tbl_Finance[Ex GST],$A201),"")</f>
        <v/>
      </c>
      <c r="H201" s="60">
        <f>IFERROR(INDEX(tbl_Finance[Defer Start],$A201),"")</f>
        <v/>
      </c>
      <c r="I201" s="60">
        <f>IFERROR(INDEX(tbl_Finance[Defer End],$A201),"")</f>
        <v/>
      </c>
      <c r="J201" s="59">
        <f>IF(OR($H201="",$I201="",$G201=""),"",MAX(1,(YEAR($I201)-YEAR($H201))*12+MONTH($I201)-MONTH($H201)+1))</f>
        <v/>
      </c>
      <c r="K201" s="62">
        <f>IF($J201="","",$G201/$J201)</f>
        <v/>
      </c>
      <c r="L201" s="62">
        <f>IF($J201="",0,$K201*MAX(0,MIN(YEAR($C$3)*12+MONTH($C$3),YEAR($I201)*12+MONTH($I201))-(YEAR($H201)*12+MONTH($H201))+1))</f>
        <v/>
      </c>
      <c r="M201" s="62">
        <f>IF($J201="",0,$K201*MAX(0,MIN(YEAR($C$3)*12+MONTH($C$3)-1,YEAR($I201)*12+MONTH($I201))-(YEAR($H201)*12+MONTH($H201))+1))</f>
        <v/>
      </c>
      <c r="N201" s="62">
        <f>IF(OR($J201="",$B201=""),0,IF(YEAR($B201)*12+MONTH($B201)&lt;=YEAR($C$3)*12+MONTH($C$3),$G201,0))</f>
        <v/>
      </c>
      <c r="O201" s="62">
        <f>IF(OR($J201="",$B201=""),0,IF(YEAR($B201)*12+MONTH($B201)&lt;=YEAR($C$3)*12+MONTH($C$3)-1,$G201,0))</f>
        <v/>
      </c>
      <c r="P201" s="62">
        <f>$M201-$O201</f>
        <v/>
      </c>
      <c r="Q201" s="62">
        <f>($L201-$M201)-($N201-$O201)</f>
        <v/>
      </c>
      <c r="R201" s="62">
        <f>$L201-$N201</f>
        <v/>
      </c>
    </row>
    <row r="202">
      <c r="A202" s="59">
        <f>ROW()-5</f>
        <v/>
      </c>
      <c r="B202" s="60">
        <f>IFERROR(INDEX(tbl_Finance[Date],$A202),"")</f>
        <v/>
      </c>
      <c r="C202" s="61">
        <f>IFERROR(INDEX(tbl_Finance[Xero Invoice No],$A202),"")</f>
        <v/>
      </c>
      <c r="D202" s="61">
        <f>IFERROR(INDEX(tbl_Finance[Client],$A202),"")</f>
        <v/>
      </c>
      <c r="E202" s="61">
        <f>IFERROR(INDEX(tbl_Finance[Job Number],$A202),"")</f>
        <v/>
      </c>
      <c r="F202" s="61">
        <f>IFERROR(INDEX(tbl_Finance[Cost Centre],$A202),"")</f>
        <v/>
      </c>
      <c r="G202" s="62">
        <f>IFERROR(INDEX(tbl_Finance[Ex GST],$A202),"")</f>
        <v/>
      </c>
      <c r="H202" s="60">
        <f>IFERROR(INDEX(tbl_Finance[Defer Start],$A202),"")</f>
        <v/>
      </c>
      <c r="I202" s="60">
        <f>IFERROR(INDEX(tbl_Finance[Defer End],$A202),"")</f>
        <v/>
      </c>
      <c r="J202" s="59">
        <f>IF(OR($H202="",$I202="",$G202=""),"",MAX(1,(YEAR($I202)-YEAR($H202))*12+MONTH($I202)-MONTH($H202)+1))</f>
        <v/>
      </c>
      <c r="K202" s="62">
        <f>IF($J202="","",$G202/$J202)</f>
        <v/>
      </c>
      <c r="L202" s="62">
        <f>IF($J202="",0,$K202*MAX(0,MIN(YEAR($C$3)*12+MONTH($C$3),YEAR($I202)*12+MONTH($I202))-(YEAR($H202)*12+MONTH($H202))+1))</f>
        <v/>
      </c>
      <c r="M202" s="62">
        <f>IF($J202="",0,$K202*MAX(0,MIN(YEAR($C$3)*12+MONTH($C$3)-1,YEAR($I202)*12+MONTH($I202))-(YEAR($H202)*12+MONTH($H202))+1))</f>
        <v/>
      </c>
      <c r="N202" s="62">
        <f>IF(OR($J202="",$B202=""),0,IF(YEAR($B202)*12+MONTH($B202)&lt;=YEAR($C$3)*12+MONTH($C$3),$G202,0))</f>
        <v/>
      </c>
      <c r="O202" s="62">
        <f>IF(OR($J202="",$B202=""),0,IF(YEAR($B202)*12+MONTH($B202)&lt;=YEAR($C$3)*12+MONTH($C$3)-1,$G202,0))</f>
        <v/>
      </c>
      <c r="P202" s="62">
        <f>$M202-$O202</f>
        <v/>
      </c>
      <c r="Q202" s="62">
        <f>($L202-$M202)-($N202-$O202)</f>
        <v/>
      </c>
      <c r="R202" s="62">
        <f>$L202-$N202</f>
        <v/>
      </c>
    </row>
    <row r="203">
      <c r="A203" s="59">
        <f>ROW()-5</f>
        <v/>
      </c>
      <c r="B203" s="60">
        <f>IFERROR(INDEX(tbl_Finance[Date],$A203),"")</f>
        <v/>
      </c>
      <c r="C203" s="61">
        <f>IFERROR(INDEX(tbl_Finance[Xero Invoice No],$A203),"")</f>
        <v/>
      </c>
      <c r="D203" s="61">
        <f>IFERROR(INDEX(tbl_Finance[Client],$A203),"")</f>
        <v/>
      </c>
      <c r="E203" s="61">
        <f>IFERROR(INDEX(tbl_Finance[Job Number],$A203),"")</f>
        <v/>
      </c>
      <c r="F203" s="61">
        <f>IFERROR(INDEX(tbl_Finance[Cost Centre],$A203),"")</f>
        <v/>
      </c>
      <c r="G203" s="62">
        <f>IFERROR(INDEX(tbl_Finance[Ex GST],$A203),"")</f>
        <v/>
      </c>
      <c r="H203" s="60">
        <f>IFERROR(INDEX(tbl_Finance[Defer Start],$A203),"")</f>
        <v/>
      </c>
      <c r="I203" s="60">
        <f>IFERROR(INDEX(tbl_Finance[Defer End],$A203),"")</f>
        <v/>
      </c>
      <c r="J203" s="59">
        <f>IF(OR($H203="",$I203="",$G203=""),"",MAX(1,(YEAR($I203)-YEAR($H203))*12+MONTH($I203)-MONTH($H203)+1))</f>
        <v/>
      </c>
      <c r="K203" s="62">
        <f>IF($J203="","",$G203/$J203)</f>
        <v/>
      </c>
      <c r="L203" s="62">
        <f>IF($J203="",0,$K203*MAX(0,MIN(YEAR($C$3)*12+MONTH($C$3),YEAR($I203)*12+MONTH($I203))-(YEAR($H203)*12+MONTH($H203))+1))</f>
        <v/>
      </c>
      <c r="M203" s="62">
        <f>IF($J203="",0,$K203*MAX(0,MIN(YEAR($C$3)*12+MONTH($C$3)-1,YEAR($I203)*12+MONTH($I203))-(YEAR($H203)*12+MONTH($H203))+1))</f>
        <v/>
      </c>
      <c r="N203" s="62">
        <f>IF(OR($J203="",$B203=""),0,IF(YEAR($B203)*12+MONTH($B203)&lt;=YEAR($C$3)*12+MONTH($C$3),$G203,0))</f>
        <v/>
      </c>
      <c r="O203" s="62">
        <f>IF(OR($J203="",$B203=""),0,IF(YEAR($B203)*12+MONTH($B203)&lt;=YEAR($C$3)*12+MONTH($C$3)-1,$G203,0))</f>
        <v/>
      </c>
      <c r="P203" s="62">
        <f>$M203-$O203</f>
        <v/>
      </c>
      <c r="Q203" s="62">
        <f>($L203-$M203)-($N203-$O203)</f>
        <v/>
      </c>
      <c r="R203" s="62">
        <f>$L203-$N203</f>
        <v/>
      </c>
    </row>
    <row r="204">
      <c r="A204" s="59">
        <f>ROW()-5</f>
        <v/>
      </c>
      <c r="B204" s="60">
        <f>IFERROR(INDEX(tbl_Finance[Date],$A204),"")</f>
        <v/>
      </c>
      <c r="C204" s="61">
        <f>IFERROR(INDEX(tbl_Finance[Xero Invoice No],$A204),"")</f>
        <v/>
      </c>
      <c r="D204" s="61">
        <f>IFERROR(INDEX(tbl_Finance[Client],$A204),"")</f>
        <v/>
      </c>
      <c r="E204" s="61">
        <f>IFERROR(INDEX(tbl_Finance[Job Number],$A204),"")</f>
        <v/>
      </c>
      <c r="F204" s="61">
        <f>IFERROR(INDEX(tbl_Finance[Cost Centre],$A204),"")</f>
        <v/>
      </c>
      <c r="G204" s="62">
        <f>IFERROR(INDEX(tbl_Finance[Ex GST],$A204),"")</f>
        <v/>
      </c>
      <c r="H204" s="60">
        <f>IFERROR(INDEX(tbl_Finance[Defer Start],$A204),"")</f>
        <v/>
      </c>
      <c r="I204" s="60">
        <f>IFERROR(INDEX(tbl_Finance[Defer End],$A204),"")</f>
        <v/>
      </c>
      <c r="J204" s="59">
        <f>IF(OR($H204="",$I204="",$G204=""),"",MAX(1,(YEAR($I204)-YEAR($H204))*12+MONTH($I204)-MONTH($H204)+1))</f>
        <v/>
      </c>
      <c r="K204" s="62">
        <f>IF($J204="","",$G204/$J204)</f>
        <v/>
      </c>
      <c r="L204" s="62">
        <f>IF($J204="",0,$K204*MAX(0,MIN(YEAR($C$3)*12+MONTH($C$3),YEAR($I204)*12+MONTH($I204))-(YEAR($H204)*12+MONTH($H204))+1))</f>
        <v/>
      </c>
      <c r="M204" s="62">
        <f>IF($J204="",0,$K204*MAX(0,MIN(YEAR($C$3)*12+MONTH($C$3)-1,YEAR($I204)*12+MONTH($I204))-(YEAR($H204)*12+MONTH($H204))+1))</f>
        <v/>
      </c>
      <c r="N204" s="62">
        <f>IF(OR($J204="",$B204=""),0,IF(YEAR($B204)*12+MONTH($B204)&lt;=YEAR($C$3)*12+MONTH($C$3),$G204,0))</f>
        <v/>
      </c>
      <c r="O204" s="62">
        <f>IF(OR($J204="",$B204=""),0,IF(YEAR($B204)*12+MONTH($B204)&lt;=YEAR($C$3)*12+MONTH($C$3)-1,$G204,0))</f>
        <v/>
      </c>
      <c r="P204" s="62">
        <f>$M204-$O204</f>
        <v/>
      </c>
      <c r="Q204" s="62">
        <f>($L204-$M204)-($N204-$O204)</f>
        <v/>
      </c>
      <c r="R204" s="62">
        <f>$L204-$N204</f>
        <v/>
      </c>
    </row>
    <row r="205">
      <c r="A205" s="59">
        <f>ROW()-5</f>
        <v/>
      </c>
      <c r="B205" s="60">
        <f>IFERROR(INDEX(tbl_Finance[Date],$A205),"")</f>
        <v/>
      </c>
      <c r="C205" s="61">
        <f>IFERROR(INDEX(tbl_Finance[Xero Invoice No],$A205),"")</f>
        <v/>
      </c>
      <c r="D205" s="61">
        <f>IFERROR(INDEX(tbl_Finance[Client],$A205),"")</f>
        <v/>
      </c>
      <c r="E205" s="61">
        <f>IFERROR(INDEX(tbl_Finance[Job Number],$A205),"")</f>
        <v/>
      </c>
      <c r="F205" s="61">
        <f>IFERROR(INDEX(tbl_Finance[Cost Centre],$A205),"")</f>
        <v/>
      </c>
      <c r="G205" s="62">
        <f>IFERROR(INDEX(tbl_Finance[Ex GST],$A205),"")</f>
        <v/>
      </c>
      <c r="H205" s="60">
        <f>IFERROR(INDEX(tbl_Finance[Defer Start],$A205),"")</f>
        <v/>
      </c>
      <c r="I205" s="60">
        <f>IFERROR(INDEX(tbl_Finance[Defer End],$A205),"")</f>
        <v/>
      </c>
      <c r="J205" s="59">
        <f>IF(OR($H205="",$I205="",$G205=""),"",MAX(1,(YEAR($I205)-YEAR($H205))*12+MONTH($I205)-MONTH($H205)+1))</f>
        <v/>
      </c>
      <c r="K205" s="62">
        <f>IF($J205="","",$G205/$J205)</f>
        <v/>
      </c>
      <c r="L205" s="62">
        <f>IF($J205="",0,$K205*MAX(0,MIN(YEAR($C$3)*12+MONTH($C$3),YEAR($I205)*12+MONTH($I205))-(YEAR($H205)*12+MONTH($H205))+1))</f>
        <v/>
      </c>
      <c r="M205" s="62">
        <f>IF($J205="",0,$K205*MAX(0,MIN(YEAR($C$3)*12+MONTH($C$3)-1,YEAR($I205)*12+MONTH($I205))-(YEAR($H205)*12+MONTH($H205))+1))</f>
        <v/>
      </c>
      <c r="N205" s="62">
        <f>IF(OR($J205="",$B205=""),0,IF(YEAR($B205)*12+MONTH($B205)&lt;=YEAR($C$3)*12+MONTH($C$3),$G205,0))</f>
        <v/>
      </c>
      <c r="O205" s="62">
        <f>IF(OR($J205="",$B205=""),0,IF(YEAR($B205)*12+MONTH($B205)&lt;=YEAR($C$3)*12+MONTH($C$3)-1,$G205,0))</f>
        <v/>
      </c>
      <c r="P205" s="62">
        <f>$M205-$O205</f>
        <v/>
      </c>
      <c r="Q205" s="62">
        <f>($L205-$M205)-($N205-$O205)</f>
        <v/>
      </c>
      <c r="R205" s="62">
        <f>$L205-$N205</f>
        <v/>
      </c>
    </row>
    <row r="206">
      <c r="A206" s="59">
        <f>ROW()-5</f>
        <v/>
      </c>
      <c r="B206" s="60">
        <f>IFERROR(INDEX(tbl_Finance[Date],$A206),"")</f>
        <v/>
      </c>
      <c r="C206" s="61">
        <f>IFERROR(INDEX(tbl_Finance[Xero Invoice No],$A206),"")</f>
        <v/>
      </c>
      <c r="D206" s="61">
        <f>IFERROR(INDEX(tbl_Finance[Client],$A206),"")</f>
        <v/>
      </c>
      <c r="E206" s="61">
        <f>IFERROR(INDEX(tbl_Finance[Job Number],$A206),"")</f>
        <v/>
      </c>
      <c r="F206" s="61">
        <f>IFERROR(INDEX(tbl_Finance[Cost Centre],$A206),"")</f>
        <v/>
      </c>
      <c r="G206" s="62">
        <f>IFERROR(INDEX(tbl_Finance[Ex GST],$A206),"")</f>
        <v/>
      </c>
      <c r="H206" s="60">
        <f>IFERROR(INDEX(tbl_Finance[Defer Start],$A206),"")</f>
        <v/>
      </c>
      <c r="I206" s="60">
        <f>IFERROR(INDEX(tbl_Finance[Defer End],$A206),"")</f>
        <v/>
      </c>
      <c r="J206" s="59">
        <f>IF(OR($H206="",$I206="",$G206=""),"",MAX(1,(YEAR($I206)-YEAR($H206))*12+MONTH($I206)-MONTH($H206)+1))</f>
        <v/>
      </c>
      <c r="K206" s="62">
        <f>IF($J206="","",$G206/$J206)</f>
        <v/>
      </c>
      <c r="L206" s="62">
        <f>IF($J206="",0,$K206*MAX(0,MIN(YEAR($C$3)*12+MONTH($C$3),YEAR($I206)*12+MONTH($I206))-(YEAR($H206)*12+MONTH($H206))+1))</f>
        <v/>
      </c>
      <c r="M206" s="62">
        <f>IF($J206="",0,$K206*MAX(0,MIN(YEAR($C$3)*12+MONTH($C$3)-1,YEAR($I206)*12+MONTH($I206))-(YEAR($H206)*12+MONTH($H206))+1))</f>
        <v/>
      </c>
      <c r="N206" s="62">
        <f>IF(OR($J206="",$B206=""),0,IF(YEAR($B206)*12+MONTH($B206)&lt;=YEAR($C$3)*12+MONTH($C$3),$G206,0))</f>
        <v/>
      </c>
      <c r="O206" s="62">
        <f>IF(OR($J206="",$B206=""),0,IF(YEAR($B206)*12+MONTH($B206)&lt;=YEAR($C$3)*12+MONTH($C$3)-1,$G206,0))</f>
        <v/>
      </c>
      <c r="P206" s="62">
        <f>$M206-$O206</f>
        <v/>
      </c>
      <c r="Q206" s="62">
        <f>($L206-$M206)-($N206-$O206)</f>
        <v/>
      </c>
      <c r="R206" s="62">
        <f>$L206-$N206</f>
        <v/>
      </c>
    </row>
    <row r="207">
      <c r="A207" s="59">
        <f>ROW()-5</f>
        <v/>
      </c>
      <c r="B207" s="60">
        <f>IFERROR(INDEX(tbl_Finance[Date],$A207),"")</f>
        <v/>
      </c>
      <c r="C207" s="61">
        <f>IFERROR(INDEX(tbl_Finance[Xero Invoice No],$A207),"")</f>
        <v/>
      </c>
      <c r="D207" s="61">
        <f>IFERROR(INDEX(tbl_Finance[Client],$A207),"")</f>
        <v/>
      </c>
      <c r="E207" s="61">
        <f>IFERROR(INDEX(tbl_Finance[Job Number],$A207),"")</f>
        <v/>
      </c>
      <c r="F207" s="61">
        <f>IFERROR(INDEX(tbl_Finance[Cost Centre],$A207),"")</f>
        <v/>
      </c>
      <c r="G207" s="62">
        <f>IFERROR(INDEX(tbl_Finance[Ex GST],$A207),"")</f>
        <v/>
      </c>
      <c r="H207" s="60">
        <f>IFERROR(INDEX(tbl_Finance[Defer Start],$A207),"")</f>
        <v/>
      </c>
      <c r="I207" s="60">
        <f>IFERROR(INDEX(tbl_Finance[Defer End],$A207),"")</f>
        <v/>
      </c>
      <c r="J207" s="59">
        <f>IF(OR($H207="",$I207="",$G207=""),"",MAX(1,(YEAR($I207)-YEAR($H207))*12+MONTH($I207)-MONTH($H207)+1))</f>
        <v/>
      </c>
      <c r="K207" s="62">
        <f>IF($J207="","",$G207/$J207)</f>
        <v/>
      </c>
      <c r="L207" s="62">
        <f>IF($J207="",0,$K207*MAX(0,MIN(YEAR($C$3)*12+MONTH($C$3),YEAR($I207)*12+MONTH($I207))-(YEAR($H207)*12+MONTH($H207))+1))</f>
        <v/>
      </c>
      <c r="M207" s="62">
        <f>IF($J207="",0,$K207*MAX(0,MIN(YEAR($C$3)*12+MONTH($C$3)-1,YEAR($I207)*12+MONTH($I207))-(YEAR($H207)*12+MONTH($H207))+1))</f>
        <v/>
      </c>
      <c r="N207" s="62">
        <f>IF(OR($J207="",$B207=""),0,IF(YEAR($B207)*12+MONTH($B207)&lt;=YEAR($C$3)*12+MONTH($C$3),$G207,0))</f>
        <v/>
      </c>
      <c r="O207" s="62">
        <f>IF(OR($J207="",$B207=""),0,IF(YEAR($B207)*12+MONTH($B207)&lt;=YEAR($C$3)*12+MONTH($C$3)-1,$G207,0))</f>
        <v/>
      </c>
      <c r="P207" s="62">
        <f>$M207-$O207</f>
        <v/>
      </c>
      <c r="Q207" s="62">
        <f>($L207-$M207)-($N207-$O207)</f>
        <v/>
      </c>
      <c r="R207" s="62">
        <f>$L207-$N207</f>
        <v/>
      </c>
    </row>
    <row r="208">
      <c r="A208" s="59">
        <f>ROW()-5</f>
        <v/>
      </c>
      <c r="B208" s="60">
        <f>IFERROR(INDEX(tbl_Finance[Date],$A208),"")</f>
        <v/>
      </c>
      <c r="C208" s="61">
        <f>IFERROR(INDEX(tbl_Finance[Xero Invoice No],$A208),"")</f>
        <v/>
      </c>
      <c r="D208" s="61">
        <f>IFERROR(INDEX(tbl_Finance[Client],$A208),"")</f>
        <v/>
      </c>
      <c r="E208" s="61">
        <f>IFERROR(INDEX(tbl_Finance[Job Number],$A208),"")</f>
        <v/>
      </c>
      <c r="F208" s="61">
        <f>IFERROR(INDEX(tbl_Finance[Cost Centre],$A208),"")</f>
        <v/>
      </c>
      <c r="G208" s="62">
        <f>IFERROR(INDEX(tbl_Finance[Ex GST],$A208),"")</f>
        <v/>
      </c>
      <c r="H208" s="60">
        <f>IFERROR(INDEX(tbl_Finance[Defer Start],$A208),"")</f>
        <v/>
      </c>
      <c r="I208" s="60">
        <f>IFERROR(INDEX(tbl_Finance[Defer End],$A208),"")</f>
        <v/>
      </c>
      <c r="J208" s="59">
        <f>IF(OR($H208="",$I208="",$G208=""),"",MAX(1,(YEAR($I208)-YEAR($H208))*12+MONTH($I208)-MONTH($H208)+1))</f>
        <v/>
      </c>
      <c r="K208" s="62">
        <f>IF($J208="","",$G208/$J208)</f>
        <v/>
      </c>
      <c r="L208" s="62">
        <f>IF($J208="",0,$K208*MAX(0,MIN(YEAR($C$3)*12+MONTH($C$3),YEAR($I208)*12+MONTH($I208))-(YEAR($H208)*12+MONTH($H208))+1))</f>
        <v/>
      </c>
      <c r="M208" s="62">
        <f>IF($J208="",0,$K208*MAX(0,MIN(YEAR($C$3)*12+MONTH($C$3)-1,YEAR($I208)*12+MONTH($I208))-(YEAR($H208)*12+MONTH($H208))+1))</f>
        <v/>
      </c>
      <c r="N208" s="62">
        <f>IF(OR($J208="",$B208=""),0,IF(YEAR($B208)*12+MONTH($B208)&lt;=YEAR($C$3)*12+MONTH($C$3),$G208,0))</f>
        <v/>
      </c>
      <c r="O208" s="62">
        <f>IF(OR($J208="",$B208=""),0,IF(YEAR($B208)*12+MONTH($B208)&lt;=YEAR($C$3)*12+MONTH($C$3)-1,$G208,0))</f>
        <v/>
      </c>
      <c r="P208" s="62">
        <f>$M208-$O208</f>
        <v/>
      </c>
      <c r="Q208" s="62">
        <f>($L208-$M208)-($N208-$O208)</f>
        <v/>
      </c>
      <c r="R208" s="62">
        <f>$L208-$N208</f>
        <v/>
      </c>
    </row>
    <row r="209">
      <c r="A209" s="59">
        <f>ROW()-5</f>
        <v/>
      </c>
      <c r="B209" s="60">
        <f>IFERROR(INDEX(tbl_Finance[Date],$A209),"")</f>
        <v/>
      </c>
      <c r="C209" s="61">
        <f>IFERROR(INDEX(tbl_Finance[Xero Invoice No],$A209),"")</f>
        <v/>
      </c>
      <c r="D209" s="61">
        <f>IFERROR(INDEX(tbl_Finance[Client],$A209),"")</f>
        <v/>
      </c>
      <c r="E209" s="61">
        <f>IFERROR(INDEX(tbl_Finance[Job Number],$A209),"")</f>
        <v/>
      </c>
      <c r="F209" s="61">
        <f>IFERROR(INDEX(tbl_Finance[Cost Centre],$A209),"")</f>
        <v/>
      </c>
      <c r="G209" s="62">
        <f>IFERROR(INDEX(tbl_Finance[Ex GST],$A209),"")</f>
        <v/>
      </c>
      <c r="H209" s="60">
        <f>IFERROR(INDEX(tbl_Finance[Defer Start],$A209),"")</f>
        <v/>
      </c>
      <c r="I209" s="60">
        <f>IFERROR(INDEX(tbl_Finance[Defer End],$A209),"")</f>
        <v/>
      </c>
      <c r="J209" s="59">
        <f>IF(OR($H209="",$I209="",$G209=""),"",MAX(1,(YEAR($I209)-YEAR($H209))*12+MONTH($I209)-MONTH($H209)+1))</f>
        <v/>
      </c>
      <c r="K209" s="62">
        <f>IF($J209="","",$G209/$J209)</f>
        <v/>
      </c>
      <c r="L209" s="62">
        <f>IF($J209="",0,$K209*MAX(0,MIN(YEAR($C$3)*12+MONTH($C$3),YEAR($I209)*12+MONTH($I209))-(YEAR($H209)*12+MONTH($H209))+1))</f>
        <v/>
      </c>
      <c r="M209" s="62">
        <f>IF($J209="",0,$K209*MAX(0,MIN(YEAR($C$3)*12+MONTH($C$3)-1,YEAR($I209)*12+MONTH($I209))-(YEAR($H209)*12+MONTH($H209))+1))</f>
        <v/>
      </c>
      <c r="N209" s="62">
        <f>IF(OR($J209="",$B209=""),0,IF(YEAR($B209)*12+MONTH($B209)&lt;=YEAR($C$3)*12+MONTH($C$3),$G209,0))</f>
        <v/>
      </c>
      <c r="O209" s="62">
        <f>IF(OR($J209="",$B209=""),0,IF(YEAR($B209)*12+MONTH($B209)&lt;=YEAR($C$3)*12+MONTH($C$3)-1,$G209,0))</f>
        <v/>
      </c>
      <c r="P209" s="62">
        <f>$M209-$O209</f>
        <v/>
      </c>
      <c r="Q209" s="62">
        <f>($L209-$M209)-($N209-$O209)</f>
        <v/>
      </c>
      <c r="R209" s="62">
        <f>$L209-$N209</f>
        <v/>
      </c>
    </row>
    <row r="210">
      <c r="A210" s="59">
        <f>ROW()-5</f>
        <v/>
      </c>
      <c r="B210" s="60">
        <f>IFERROR(INDEX(tbl_Finance[Date],$A210),"")</f>
        <v/>
      </c>
      <c r="C210" s="61">
        <f>IFERROR(INDEX(tbl_Finance[Xero Invoice No],$A210),"")</f>
        <v/>
      </c>
      <c r="D210" s="61">
        <f>IFERROR(INDEX(tbl_Finance[Client],$A210),"")</f>
        <v/>
      </c>
      <c r="E210" s="61">
        <f>IFERROR(INDEX(tbl_Finance[Job Number],$A210),"")</f>
        <v/>
      </c>
      <c r="F210" s="61">
        <f>IFERROR(INDEX(tbl_Finance[Cost Centre],$A210),"")</f>
        <v/>
      </c>
      <c r="G210" s="62">
        <f>IFERROR(INDEX(tbl_Finance[Ex GST],$A210),"")</f>
        <v/>
      </c>
      <c r="H210" s="60">
        <f>IFERROR(INDEX(tbl_Finance[Defer Start],$A210),"")</f>
        <v/>
      </c>
      <c r="I210" s="60">
        <f>IFERROR(INDEX(tbl_Finance[Defer End],$A210),"")</f>
        <v/>
      </c>
      <c r="J210" s="59">
        <f>IF(OR($H210="",$I210="",$G210=""),"",MAX(1,(YEAR($I210)-YEAR($H210))*12+MONTH($I210)-MONTH($H210)+1))</f>
        <v/>
      </c>
      <c r="K210" s="62">
        <f>IF($J210="","",$G210/$J210)</f>
        <v/>
      </c>
      <c r="L210" s="62">
        <f>IF($J210="",0,$K210*MAX(0,MIN(YEAR($C$3)*12+MONTH($C$3),YEAR($I210)*12+MONTH($I210))-(YEAR($H210)*12+MONTH($H210))+1))</f>
        <v/>
      </c>
      <c r="M210" s="62">
        <f>IF($J210="",0,$K210*MAX(0,MIN(YEAR($C$3)*12+MONTH($C$3)-1,YEAR($I210)*12+MONTH($I210))-(YEAR($H210)*12+MONTH($H210))+1))</f>
        <v/>
      </c>
      <c r="N210" s="62">
        <f>IF(OR($J210="",$B210=""),0,IF(YEAR($B210)*12+MONTH($B210)&lt;=YEAR($C$3)*12+MONTH($C$3),$G210,0))</f>
        <v/>
      </c>
      <c r="O210" s="62">
        <f>IF(OR($J210="",$B210=""),0,IF(YEAR($B210)*12+MONTH($B210)&lt;=YEAR($C$3)*12+MONTH($C$3)-1,$G210,0))</f>
        <v/>
      </c>
      <c r="P210" s="62">
        <f>$M210-$O210</f>
        <v/>
      </c>
      <c r="Q210" s="62">
        <f>($L210-$M210)-($N210-$O210)</f>
        <v/>
      </c>
      <c r="R210" s="62">
        <f>$L210-$N210</f>
        <v/>
      </c>
    </row>
    <row r="211">
      <c r="A211" s="59">
        <f>ROW()-5</f>
        <v/>
      </c>
      <c r="B211" s="60">
        <f>IFERROR(INDEX(tbl_Finance[Date],$A211),"")</f>
        <v/>
      </c>
      <c r="C211" s="61">
        <f>IFERROR(INDEX(tbl_Finance[Xero Invoice No],$A211),"")</f>
        <v/>
      </c>
      <c r="D211" s="61">
        <f>IFERROR(INDEX(tbl_Finance[Client],$A211),"")</f>
        <v/>
      </c>
      <c r="E211" s="61">
        <f>IFERROR(INDEX(tbl_Finance[Job Number],$A211),"")</f>
        <v/>
      </c>
      <c r="F211" s="61">
        <f>IFERROR(INDEX(tbl_Finance[Cost Centre],$A211),"")</f>
        <v/>
      </c>
      <c r="G211" s="62">
        <f>IFERROR(INDEX(tbl_Finance[Ex GST],$A211),"")</f>
        <v/>
      </c>
      <c r="H211" s="60">
        <f>IFERROR(INDEX(tbl_Finance[Defer Start],$A211),"")</f>
        <v/>
      </c>
      <c r="I211" s="60">
        <f>IFERROR(INDEX(tbl_Finance[Defer End],$A211),"")</f>
        <v/>
      </c>
      <c r="J211" s="59">
        <f>IF(OR($H211="",$I211="",$G211=""),"",MAX(1,(YEAR($I211)-YEAR($H211))*12+MONTH($I211)-MONTH($H211)+1))</f>
        <v/>
      </c>
      <c r="K211" s="62">
        <f>IF($J211="","",$G211/$J211)</f>
        <v/>
      </c>
      <c r="L211" s="62">
        <f>IF($J211="",0,$K211*MAX(0,MIN(YEAR($C$3)*12+MONTH($C$3),YEAR($I211)*12+MONTH($I211))-(YEAR($H211)*12+MONTH($H211))+1))</f>
        <v/>
      </c>
      <c r="M211" s="62">
        <f>IF($J211="",0,$K211*MAX(0,MIN(YEAR($C$3)*12+MONTH($C$3)-1,YEAR($I211)*12+MONTH($I211))-(YEAR($H211)*12+MONTH($H211))+1))</f>
        <v/>
      </c>
      <c r="N211" s="62">
        <f>IF(OR($J211="",$B211=""),0,IF(YEAR($B211)*12+MONTH($B211)&lt;=YEAR($C$3)*12+MONTH($C$3),$G211,0))</f>
        <v/>
      </c>
      <c r="O211" s="62">
        <f>IF(OR($J211="",$B211=""),0,IF(YEAR($B211)*12+MONTH($B211)&lt;=YEAR($C$3)*12+MONTH($C$3)-1,$G211,0))</f>
        <v/>
      </c>
      <c r="P211" s="62">
        <f>$M211-$O211</f>
        <v/>
      </c>
      <c r="Q211" s="62">
        <f>($L211-$M211)-($N211-$O211)</f>
        <v/>
      </c>
      <c r="R211" s="62">
        <f>$L211-$N211</f>
        <v/>
      </c>
    </row>
    <row r="212">
      <c r="A212" s="59">
        <f>ROW()-5</f>
        <v/>
      </c>
      <c r="B212" s="60">
        <f>IFERROR(INDEX(tbl_Finance[Date],$A212),"")</f>
        <v/>
      </c>
      <c r="C212" s="61">
        <f>IFERROR(INDEX(tbl_Finance[Xero Invoice No],$A212),"")</f>
        <v/>
      </c>
      <c r="D212" s="61">
        <f>IFERROR(INDEX(tbl_Finance[Client],$A212),"")</f>
        <v/>
      </c>
      <c r="E212" s="61">
        <f>IFERROR(INDEX(tbl_Finance[Job Number],$A212),"")</f>
        <v/>
      </c>
      <c r="F212" s="61">
        <f>IFERROR(INDEX(tbl_Finance[Cost Centre],$A212),"")</f>
        <v/>
      </c>
      <c r="G212" s="62">
        <f>IFERROR(INDEX(tbl_Finance[Ex GST],$A212),"")</f>
        <v/>
      </c>
      <c r="H212" s="60">
        <f>IFERROR(INDEX(tbl_Finance[Defer Start],$A212),"")</f>
        <v/>
      </c>
      <c r="I212" s="60">
        <f>IFERROR(INDEX(tbl_Finance[Defer End],$A212),"")</f>
        <v/>
      </c>
      <c r="J212" s="59">
        <f>IF(OR($H212="",$I212="",$G212=""),"",MAX(1,(YEAR($I212)-YEAR($H212))*12+MONTH($I212)-MONTH($H212)+1))</f>
        <v/>
      </c>
      <c r="K212" s="62">
        <f>IF($J212="","",$G212/$J212)</f>
        <v/>
      </c>
      <c r="L212" s="62">
        <f>IF($J212="",0,$K212*MAX(0,MIN(YEAR($C$3)*12+MONTH($C$3),YEAR($I212)*12+MONTH($I212))-(YEAR($H212)*12+MONTH($H212))+1))</f>
        <v/>
      </c>
      <c r="M212" s="62">
        <f>IF($J212="",0,$K212*MAX(0,MIN(YEAR($C$3)*12+MONTH($C$3)-1,YEAR($I212)*12+MONTH($I212))-(YEAR($H212)*12+MONTH($H212))+1))</f>
        <v/>
      </c>
      <c r="N212" s="62">
        <f>IF(OR($J212="",$B212=""),0,IF(YEAR($B212)*12+MONTH($B212)&lt;=YEAR($C$3)*12+MONTH($C$3),$G212,0))</f>
        <v/>
      </c>
      <c r="O212" s="62">
        <f>IF(OR($J212="",$B212=""),0,IF(YEAR($B212)*12+MONTH($B212)&lt;=YEAR($C$3)*12+MONTH($C$3)-1,$G212,0))</f>
        <v/>
      </c>
      <c r="P212" s="62">
        <f>$M212-$O212</f>
        <v/>
      </c>
      <c r="Q212" s="62">
        <f>($L212-$M212)-($N212-$O212)</f>
        <v/>
      </c>
      <c r="R212" s="62">
        <f>$L212-$N212</f>
        <v/>
      </c>
    </row>
    <row r="213">
      <c r="A213" s="59">
        <f>ROW()-5</f>
        <v/>
      </c>
      <c r="B213" s="60">
        <f>IFERROR(INDEX(tbl_Finance[Date],$A213),"")</f>
        <v/>
      </c>
      <c r="C213" s="61">
        <f>IFERROR(INDEX(tbl_Finance[Xero Invoice No],$A213),"")</f>
        <v/>
      </c>
      <c r="D213" s="61">
        <f>IFERROR(INDEX(tbl_Finance[Client],$A213),"")</f>
        <v/>
      </c>
      <c r="E213" s="61">
        <f>IFERROR(INDEX(tbl_Finance[Job Number],$A213),"")</f>
        <v/>
      </c>
      <c r="F213" s="61">
        <f>IFERROR(INDEX(tbl_Finance[Cost Centre],$A213),"")</f>
        <v/>
      </c>
      <c r="G213" s="62">
        <f>IFERROR(INDEX(tbl_Finance[Ex GST],$A213),"")</f>
        <v/>
      </c>
      <c r="H213" s="60">
        <f>IFERROR(INDEX(tbl_Finance[Defer Start],$A213),"")</f>
        <v/>
      </c>
      <c r="I213" s="60">
        <f>IFERROR(INDEX(tbl_Finance[Defer End],$A213),"")</f>
        <v/>
      </c>
      <c r="J213" s="59">
        <f>IF(OR($H213="",$I213="",$G213=""),"",MAX(1,(YEAR($I213)-YEAR($H213))*12+MONTH($I213)-MONTH($H213)+1))</f>
        <v/>
      </c>
      <c r="K213" s="62">
        <f>IF($J213="","",$G213/$J213)</f>
        <v/>
      </c>
      <c r="L213" s="62">
        <f>IF($J213="",0,$K213*MAX(0,MIN(YEAR($C$3)*12+MONTH($C$3),YEAR($I213)*12+MONTH($I213))-(YEAR($H213)*12+MONTH($H213))+1))</f>
        <v/>
      </c>
      <c r="M213" s="62">
        <f>IF($J213="",0,$K213*MAX(0,MIN(YEAR($C$3)*12+MONTH($C$3)-1,YEAR($I213)*12+MONTH($I213))-(YEAR($H213)*12+MONTH($H213))+1))</f>
        <v/>
      </c>
      <c r="N213" s="62">
        <f>IF(OR($J213="",$B213=""),0,IF(YEAR($B213)*12+MONTH($B213)&lt;=YEAR($C$3)*12+MONTH($C$3),$G213,0))</f>
        <v/>
      </c>
      <c r="O213" s="62">
        <f>IF(OR($J213="",$B213=""),0,IF(YEAR($B213)*12+MONTH($B213)&lt;=YEAR($C$3)*12+MONTH($C$3)-1,$G213,0))</f>
        <v/>
      </c>
      <c r="P213" s="62">
        <f>$M213-$O213</f>
        <v/>
      </c>
      <c r="Q213" s="62">
        <f>($L213-$M213)-($N213-$O213)</f>
        <v/>
      </c>
      <c r="R213" s="62">
        <f>$L213-$N213</f>
        <v/>
      </c>
    </row>
    <row r="214">
      <c r="A214" s="59">
        <f>ROW()-5</f>
        <v/>
      </c>
      <c r="B214" s="60">
        <f>IFERROR(INDEX(tbl_Finance[Date],$A214),"")</f>
        <v/>
      </c>
      <c r="C214" s="61">
        <f>IFERROR(INDEX(tbl_Finance[Xero Invoice No],$A214),"")</f>
        <v/>
      </c>
      <c r="D214" s="61">
        <f>IFERROR(INDEX(tbl_Finance[Client],$A214),"")</f>
        <v/>
      </c>
      <c r="E214" s="61">
        <f>IFERROR(INDEX(tbl_Finance[Job Number],$A214),"")</f>
        <v/>
      </c>
      <c r="F214" s="61">
        <f>IFERROR(INDEX(tbl_Finance[Cost Centre],$A214),"")</f>
        <v/>
      </c>
      <c r="G214" s="62">
        <f>IFERROR(INDEX(tbl_Finance[Ex GST],$A214),"")</f>
        <v/>
      </c>
      <c r="H214" s="60">
        <f>IFERROR(INDEX(tbl_Finance[Defer Start],$A214),"")</f>
        <v/>
      </c>
      <c r="I214" s="60">
        <f>IFERROR(INDEX(tbl_Finance[Defer End],$A214),"")</f>
        <v/>
      </c>
      <c r="J214" s="59">
        <f>IF(OR($H214="",$I214="",$G214=""),"",MAX(1,(YEAR($I214)-YEAR($H214))*12+MONTH($I214)-MONTH($H214)+1))</f>
        <v/>
      </c>
      <c r="K214" s="62">
        <f>IF($J214="","",$G214/$J214)</f>
        <v/>
      </c>
      <c r="L214" s="62">
        <f>IF($J214="",0,$K214*MAX(0,MIN(YEAR($C$3)*12+MONTH($C$3),YEAR($I214)*12+MONTH($I214))-(YEAR($H214)*12+MONTH($H214))+1))</f>
        <v/>
      </c>
      <c r="M214" s="62">
        <f>IF($J214="",0,$K214*MAX(0,MIN(YEAR($C$3)*12+MONTH($C$3)-1,YEAR($I214)*12+MONTH($I214))-(YEAR($H214)*12+MONTH($H214))+1))</f>
        <v/>
      </c>
      <c r="N214" s="62">
        <f>IF(OR($J214="",$B214=""),0,IF(YEAR($B214)*12+MONTH($B214)&lt;=YEAR($C$3)*12+MONTH($C$3),$G214,0))</f>
        <v/>
      </c>
      <c r="O214" s="62">
        <f>IF(OR($J214="",$B214=""),0,IF(YEAR($B214)*12+MONTH($B214)&lt;=YEAR($C$3)*12+MONTH($C$3)-1,$G214,0))</f>
        <v/>
      </c>
      <c r="P214" s="62">
        <f>$M214-$O214</f>
        <v/>
      </c>
      <c r="Q214" s="62">
        <f>($L214-$M214)-($N214-$O214)</f>
        <v/>
      </c>
      <c r="R214" s="62">
        <f>$L214-$N214</f>
        <v/>
      </c>
    </row>
    <row r="215">
      <c r="A215" s="59">
        <f>ROW()-5</f>
        <v/>
      </c>
      <c r="B215" s="60">
        <f>IFERROR(INDEX(tbl_Finance[Date],$A215),"")</f>
        <v/>
      </c>
      <c r="C215" s="61">
        <f>IFERROR(INDEX(tbl_Finance[Xero Invoice No],$A215),"")</f>
        <v/>
      </c>
      <c r="D215" s="61">
        <f>IFERROR(INDEX(tbl_Finance[Client],$A215),"")</f>
        <v/>
      </c>
      <c r="E215" s="61">
        <f>IFERROR(INDEX(tbl_Finance[Job Number],$A215),"")</f>
        <v/>
      </c>
      <c r="F215" s="61">
        <f>IFERROR(INDEX(tbl_Finance[Cost Centre],$A215),"")</f>
        <v/>
      </c>
      <c r="G215" s="62">
        <f>IFERROR(INDEX(tbl_Finance[Ex GST],$A215),"")</f>
        <v/>
      </c>
      <c r="H215" s="60">
        <f>IFERROR(INDEX(tbl_Finance[Defer Start],$A215),"")</f>
        <v/>
      </c>
      <c r="I215" s="60">
        <f>IFERROR(INDEX(tbl_Finance[Defer End],$A215),"")</f>
        <v/>
      </c>
      <c r="J215" s="59">
        <f>IF(OR($H215="",$I215="",$G215=""),"",MAX(1,(YEAR($I215)-YEAR($H215))*12+MONTH($I215)-MONTH($H215)+1))</f>
        <v/>
      </c>
      <c r="K215" s="62">
        <f>IF($J215="","",$G215/$J215)</f>
        <v/>
      </c>
      <c r="L215" s="62">
        <f>IF($J215="",0,$K215*MAX(0,MIN(YEAR($C$3)*12+MONTH($C$3),YEAR($I215)*12+MONTH($I215))-(YEAR($H215)*12+MONTH($H215))+1))</f>
        <v/>
      </c>
      <c r="M215" s="62">
        <f>IF($J215="",0,$K215*MAX(0,MIN(YEAR($C$3)*12+MONTH($C$3)-1,YEAR($I215)*12+MONTH($I215))-(YEAR($H215)*12+MONTH($H215))+1))</f>
        <v/>
      </c>
      <c r="N215" s="62">
        <f>IF(OR($J215="",$B215=""),0,IF(YEAR($B215)*12+MONTH($B215)&lt;=YEAR($C$3)*12+MONTH($C$3),$G215,0))</f>
        <v/>
      </c>
      <c r="O215" s="62">
        <f>IF(OR($J215="",$B215=""),0,IF(YEAR($B215)*12+MONTH($B215)&lt;=YEAR($C$3)*12+MONTH($C$3)-1,$G215,0))</f>
        <v/>
      </c>
      <c r="P215" s="62">
        <f>$M215-$O215</f>
        <v/>
      </c>
      <c r="Q215" s="62">
        <f>($L215-$M215)-($N215-$O215)</f>
        <v/>
      </c>
      <c r="R215" s="62">
        <f>$L215-$N215</f>
        <v/>
      </c>
    </row>
    <row r="216">
      <c r="A216" s="59">
        <f>ROW()-5</f>
        <v/>
      </c>
      <c r="B216" s="60">
        <f>IFERROR(INDEX(tbl_Finance[Date],$A216),"")</f>
        <v/>
      </c>
      <c r="C216" s="61">
        <f>IFERROR(INDEX(tbl_Finance[Xero Invoice No],$A216),"")</f>
        <v/>
      </c>
      <c r="D216" s="61">
        <f>IFERROR(INDEX(tbl_Finance[Client],$A216),"")</f>
        <v/>
      </c>
      <c r="E216" s="61">
        <f>IFERROR(INDEX(tbl_Finance[Job Number],$A216),"")</f>
        <v/>
      </c>
      <c r="F216" s="61">
        <f>IFERROR(INDEX(tbl_Finance[Cost Centre],$A216),"")</f>
        <v/>
      </c>
      <c r="G216" s="62">
        <f>IFERROR(INDEX(tbl_Finance[Ex GST],$A216),"")</f>
        <v/>
      </c>
      <c r="H216" s="60">
        <f>IFERROR(INDEX(tbl_Finance[Defer Start],$A216),"")</f>
        <v/>
      </c>
      <c r="I216" s="60">
        <f>IFERROR(INDEX(tbl_Finance[Defer End],$A216),"")</f>
        <v/>
      </c>
      <c r="J216" s="59">
        <f>IF(OR($H216="",$I216="",$G216=""),"",MAX(1,(YEAR($I216)-YEAR($H216))*12+MONTH($I216)-MONTH($H216)+1))</f>
        <v/>
      </c>
      <c r="K216" s="62">
        <f>IF($J216="","",$G216/$J216)</f>
        <v/>
      </c>
      <c r="L216" s="62">
        <f>IF($J216="",0,$K216*MAX(0,MIN(YEAR($C$3)*12+MONTH($C$3),YEAR($I216)*12+MONTH($I216))-(YEAR($H216)*12+MONTH($H216))+1))</f>
        <v/>
      </c>
      <c r="M216" s="62">
        <f>IF($J216="",0,$K216*MAX(0,MIN(YEAR($C$3)*12+MONTH($C$3)-1,YEAR($I216)*12+MONTH($I216))-(YEAR($H216)*12+MONTH($H216))+1))</f>
        <v/>
      </c>
      <c r="N216" s="62">
        <f>IF(OR($J216="",$B216=""),0,IF(YEAR($B216)*12+MONTH($B216)&lt;=YEAR($C$3)*12+MONTH($C$3),$G216,0))</f>
        <v/>
      </c>
      <c r="O216" s="62">
        <f>IF(OR($J216="",$B216=""),0,IF(YEAR($B216)*12+MONTH($B216)&lt;=YEAR($C$3)*12+MONTH($C$3)-1,$G216,0))</f>
        <v/>
      </c>
      <c r="P216" s="62">
        <f>$M216-$O216</f>
        <v/>
      </c>
      <c r="Q216" s="62">
        <f>($L216-$M216)-($N216-$O216)</f>
        <v/>
      </c>
      <c r="R216" s="62">
        <f>$L216-$N216</f>
        <v/>
      </c>
    </row>
    <row r="217">
      <c r="A217" s="59">
        <f>ROW()-5</f>
        <v/>
      </c>
      <c r="B217" s="60">
        <f>IFERROR(INDEX(tbl_Finance[Date],$A217),"")</f>
        <v/>
      </c>
      <c r="C217" s="61">
        <f>IFERROR(INDEX(tbl_Finance[Xero Invoice No],$A217),"")</f>
        <v/>
      </c>
      <c r="D217" s="61">
        <f>IFERROR(INDEX(tbl_Finance[Client],$A217),"")</f>
        <v/>
      </c>
      <c r="E217" s="61">
        <f>IFERROR(INDEX(tbl_Finance[Job Number],$A217),"")</f>
        <v/>
      </c>
      <c r="F217" s="61">
        <f>IFERROR(INDEX(tbl_Finance[Cost Centre],$A217),"")</f>
        <v/>
      </c>
      <c r="G217" s="62">
        <f>IFERROR(INDEX(tbl_Finance[Ex GST],$A217),"")</f>
        <v/>
      </c>
      <c r="H217" s="60">
        <f>IFERROR(INDEX(tbl_Finance[Defer Start],$A217),"")</f>
        <v/>
      </c>
      <c r="I217" s="60">
        <f>IFERROR(INDEX(tbl_Finance[Defer End],$A217),"")</f>
        <v/>
      </c>
      <c r="J217" s="59">
        <f>IF(OR($H217="",$I217="",$G217=""),"",MAX(1,(YEAR($I217)-YEAR($H217))*12+MONTH($I217)-MONTH($H217)+1))</f>
        <v/>
      </c>
      <c r="K217" s="62">
        <f>IF($J217="","",$G217/$J217)</f>
        <v/>
      </c>
      <c r="L217" s="62">
        <f>IF($J217="",0,$K217*MAX(0,MIN(YEAR($C$3)*12+MONTH($C$3),YEAR($I217)*12+MONTH($I217))-(YEAR($H217)*12+MONTH($H217))+1))</f>
        <v/>
      </c>
      <c r="M217" s="62">
        <f>IF($J217="",0,$K217*MAX(0,MIN(YEAR($C$3)*12+MONTH($C$3)-1,YEAR($I217)*12+MONTH($I217))-(YEAR($H217)*12+MONTH($H217))+1))</f>
        <v/>
      </c>
      <c r="N217" s="62">
        <f>IF(OR($J217="",$B217=""),0,IF(YEAR($B217)*12+MONTH($B217)&lt;=YEAR($C$3)*12+MONTH($C$3),$G217,0))</f>
        <v/>
      </c>
      <c r="O217" s="62">
        <f>IF(OR($J217="",$B217=""),0,IF(YEAR($B217)*12+MONTH($B217)&lt;=YEAR($C$3)*12+MONTH($C$3)-1,$G217,0))</f>
        <v/>
      </c>
      <c r="P217" s="62">
        <f>$M217-$O217</f>
        <v/>
      </c>
      <c r="Q217" s="62">
        <f>($L217-$M217)-($N217-$O217)</f>
        <v/>
      </c>
      <c r="R217" s="62">
        <f>$L217-$N217</f>
        <v/>
      </c>
    </row>
    <row r="218">
      <c r="A218" s="59">
        <f>ROW()-5</f>
        <v/>
      </c>
      <c r="B218" s="60">
        <f>IFERROR(INDEX(tbl_Finance[Date],$A218),"")</f>
        <v/>
      </c>
      <c r="C218" s="61">
        <f>IFERROR(INDEX(tbl_Finance[Xero Invoice No],$A218),"")</f>
        <v/>
      </c>
      <c r="D218" s="61">
        <f>IFERROR(INDEX(tbl_Finance[Client],$A218),"")</f>
        <v/>
      </c>
      <c r="E218" s="61">
        <f>IFERROR(INDEX(tbl_Finance[Job Number],$A218),"")</f>
        <v/>
      </c>
      <c r="F218" s="61">
        <f>IFERROR(INDEX(tbl_Finance[Cost Centre],$A218),"")</f>
        <v/>
      </c>
      <c r="G218" s="62">
        <f>IFERROR(INDEX(tbl_Finance[Ex GST],$A218),"")</f>
        <v/>
      </c>
      <c r="H218" s="60">
        <f>IFERROR(INDEX(tbl_Finance[Defer Start],$A218),"")</f>
        <v/>
      </c>
      <c r="I218" s="60">
        <f>IFERROR(INDEX(tbl_Finance[Defer End],$A218),"")</f>
        <v/>
      </c>
      <c r="J218" s="59">
        <f>IF(OR($H218="",$I218="",$G218=""),"",MAX(1,(YEAR($I218)-YEAR($H218))*12+MONTH($I218)-MONTH($H218)+1))</f>
        <v/>
      </c>
      <c r="K218" s="62">
        <f>IF($J218="","",$G218/$J218)</f>
        <v/>
      </c>
      <c r="L218" s="62">
        <f>IF($J218="",0,$K218*MAX(0,MIN(YEAR($C$3)*12+MONTH($C$3),YEAR($I218)*12+MONTH($I218))-(YEAR($H218)*12+MONTH($H218))+1))</f>
        <v/>
      </c>
      <c r="M218" s="62">
        <f>IF($J218="",0,$K218*MAX(0,MIN(YEAR($C$3)*12+MONTH($C$3)-1,YEAR($I218)*12+MONTH($I218))-(YEAR($H218)*12+MONTH($H218))+1))</f>
        <v/>
      </c>
      <c r="N218" s="62">
        <f>IF(OR($J218="",$B218=""),0,IF(YEAR($B218)*12+MONTH($B218)&lt;=YEAR($C$3)*12+MONTH($C$3),$G218,0))</f>
        <v/>
      </c>
      <c r="O218" s="62">
        <f>IF(OR($J218="",$B218=""),0,IF(YEAR($B218)*12+MONTH($B218)&lt;=YEAR($C$3)*12+MONTH($C$3)-1,$G218,0))</f>
        <v/>
      </c>
      <c r="P218" s="62">
        <f>$M218-$O218</f>
        <v/>
      </c>
      <c r="Q218" s="62">
        <f>($L218-$M218)-($N218-$O218)</f>
        <v/>
      </c>
      <c r="R218" s="62">
        <f>$L218-$N218</f>
        <v/>
      </c>
    </row>
    <row r="219">
      <c r="A219" s="59">
        <f>ROW()-5</f>
        <v/>
      </c>
      <c r="B219" s="60">
        <f>IFERROR(INDEX(tbl_Finance[Date],$A219),"")</f>
        <v/>
      </c>
      <c r="C219" s="61">
        <f>IFERROR(INDEX(tbl_Finance[Xero Invoice No],$A219),"")</f>
        <v/>
      </c>
      <c r="D219" s="61">
        <f>IFERROR(INDEX(tbl_Finance[Client],$A219),"")</f>
        <v/>
      </c>
      <c r="E219" s="61">
        <f>IFERROR(INDEX(tbl_Finance[Job Number],$A219),"")</f>
        <v/>
      </c>
      <c r="F219" s="61">
        <f>IFERROR(INDEX(tbl_Finance[Cost Centre],$A219),"")</f>
        <v/>
      </c>
      <c r="G219" s="62">
        <f>IFERROR(INDEX(tbl_Finance[Ex GST],$A219),"")</f>
        <v/>
      </c>
      <c r="H219" s="60">
        <f>IFERROR(INDEX(tbl_Finance[Defer Start],$A219),"")</f>
        <v/>
      </c>
      <c r="I219" s="60">
        <f>IFERROR(INDEX(tbl_Finance[Defer End],$A219),"")</f>
        <v/>
      </c>
      <c r="J219" s="59">
        <f>IF(OR($H219="",$I219="",$G219=""),"",MAX(1,(YEAR($I219)-YEAR($H219))*12+MONTH($I219)-MONTH($H219)+1))</f>
        <v/>
      </c>
      <c r="K219" s="62">
        <f>IF($J219="","",$G219/$J219)</f>
        <v/>
      </c>
      <c r="L219" s="62">
        <f>IF($J219="",0,$K219*MAX(0,MIN(YEAR($C$3)*12+MONTH($C$3),YEAR($I219)*12+MONTH($I219))-(YEAR($H219)*12+MONTH($H219))+1))</f>
        <v/>
      </c>
      <c r="M219" s="62">
        <f>IF($J219="",0,$K219*MAX(0,MIN(YEAR($C$3)*12+MONTH($C$3)-1,YEAR($I219)*12+MONTH($I219))-(YEAR($H219)*12+MONTH($H219))+1))</f>
        <v/>
      </c>
      <c r="N219" s="62">
        <f>IF(OR($J219="",$B219=""),0,IF(YEAR($B219)*12+MONTH($B219)&lt;=YEAR($C$3)*12+MONTH($C$3),$G219,0))</f>
        <v/>
      </c>
      <c r="O219" s="62">
        <f>IF(OR($J219="",$B219=""),0,IF(YEAR($B219)*12+MONTH($B219)&lt;=YEAR($C$3)*12+MONTH($C$3)-1,$G219,0))</f>
        <v/>
      </c>
      <c r="P219" s="62">
        <f>$M219-$O219</f>
        <v/>
      </c>
      <c r="Q219" s="62">
        <f>($L219-$M219)-($N219-$O219)</f>
        <v/>
      </c>
      <c r="R219" s="62">
        <f>$L219-$N219</f>
        <v/>
      </c>
    </row>
    <row r="220">
      <c r="A220" s="59">
        <f>ROW()-5</f>
        <v/>
      </c>
      <c r="B220" s="60">
        <f>IFERROR(INDEX(tbl_Finance[Date],$A220),"")</f>
        <v/>
      </c>
      <c r="C220" s="61">
        <f>IFERROR(INDEX(tbl_Finance[Xero Invoice No],$A220),"")</f>
        <v/>
      </c>
      <c r="D220" s="61">
        <f>IFERROR(INDEX(tbl_Finance[Client],$A220),"")</f>
        <v/>
      </c>
      <c r="E220" s="61">
        <f>IFERROR(INDEX(tbl_Finance[Job Number],$A220),"")</f>
        <v/>
      </c>
      <c r="F220" s="61">
        <f>IFERROR(INDEX(tbl_Finance[Cost Centre],$A220),"")</f>
        <v/>
      </c>
      <c r="G220" s="62">
        <f>IFERROR(INDEX(tbl_Finance[Ex GST],$A220),"")</f>
        <v/>
      </c>
      <c r="H220" s="60">
        <f>IFERROR(INDEX(tbl_Finance[Defer Start],$A220),"")</f>
        <v/>
      </c>
      <c r="I220" s="60">
        <f>IFERROR(INDEX(tbl_Finance[Defer End],$A220),"")</f>
        <v/>
      </c>
      <c r="J220" s="59">
        <f>IF(OR($H220="",$I220="",$G220=""),"",MAX(1,(YEAR($I220)-YEAR($H220))*12+MONTH($I220)-MONTH($H220)+1))</f>
        <v/>
      </c>
      <c r="K220" s="62">
        <f>IF($J220="","",$G220/$J220)</f>
        <v/>
      </c>
      <c r="L220" s="62">
        <f>IF($J220="",0,$K220*MAX(0,MIN(YEAR($C$3)*12+MONTH($C$3),YEAR($I220)*12+MONTH($I220))-(YEAR($H220)*12+MONTH($H220))+1))</f>
        <v/>
      </c>
      <c r="M220" s="62">
        <f>IF($J220="",0,$K220*MAX(0,MIN(YEAR($C$3)*12+MONTH($C$3)-1,YEAR($I220)*12+MONTH($I220))-(YEAR($H220)*12+MONTH($H220))+1))</f>
        <v/>
      </c>
      <c r="N220" s="62">
        <f>IF(OR($J220="",$B220=""),0,IF(YEAR($B220)*12+MONTH($B220)&lt;=YEAR($C$3)*12+MONTH($C$3),$G220,0))</f>
        <v/>
      </c>
      <c r="O220" s="62">
        <f>IF(OR($J220="",$B220=""),0,IF(YEAR($B220)*12+MONTH($B220)&lt;=YEAR($C$3)*12+MONTH($C$3)-1,$G220,0))</f>
        <v/>
      </c>
      <c r="P220" s="62">
        <f>$M220-$O220</f>
        <v/>
      </c>
      <c r="Q220" s="62">
        <f>($L220-$M220)-($N220-$O220)</f>
        <v/>
      </c>
      <c r="R220" s="62">
        <f>$L220-$N220</f>
        <v/>
      </c>
    </row>
    <row r="221">
      <c r="A221" s="59">
        <f>ROW()-5</f>
        <v/>
      </c>
      <c r="B221" s="60">
        <f>IFERROR(INDEX(tbl_Finance[Date],$A221),"")</f>
        <v/>
      </c>
      <c r="C221" s="61">
        <f>IFERROR(INDEX(tbl_Finance[Xero Invoice No],$A221),"")</f>
        <v/>
      </c>
      <c r="D221" s="61">
        <f>IFERROR(INDEX(tbl_Finance[Client],$A221),"")</f>
        <v/>
      </c>
      <c r="E221" s="61">
        <f>IFERROR(INDEX(tbl_Finance[Job Number],$A221),"")</f>
        <v/>
      </c>
      <c r="F221" s="61">
        <f>IFERROR(INDEX(tbl_Finance[Cost Centre],$A221),"")</f>
        <v/>
      </c>
      <c r="G221" s="62">
        <f>IFERROR(INDEX(tbl_Finance[Ex GST],$A221),"")</f>
        <v/>
      </c>
      <c r="H221" s="60">
        <f>IFERROR(INDEX(tbl_Finance[Defer Start],$A221),"")</f>
        <v/>
      </c>
      <c r="I221" s="60">
        <f>IFERROR(INDEX(tbl_Finance[Defer End],$A221),"")</f>
        <v/>
      </c>
      <c r="J221" s="59">
        <f>IF(OR($H221="",$I221="",$G221=""),"",MAX(1,(YEAR($I221)-YEAR($H221))*12+MONTH($I221)-MONTH($H221)+1))</f>
        <v/>
      </c>
      <c r="K221" s="62">
        <f>IF($J221="","",$G221/$J221)</f>
        <v/>
      </c>
      <c r="L221" s="62">
        <f>IF($J221="",0,$K221*MAX(0,MIN(YEAR($C$3)*12+MONTH($C$3),YEAR($I221)*12+MONTH($I221))-(YEAR($H221)*12+MONTH($H221))+1))</f>
        <v/>
      </c>
      <c r="M221" s="62">
        <f>IF($J221="",0,$K221*MAX(0,MIN(YEAR($C$3)*12+MONTH($C$3)-1,YEAR($I221)*12+MONTH($I221))-(YEAR($H221)*12+MONTH($H221))+1))</f>
        <v/>
      </c>
      <c r="N221" s="62">
        <f>IF(OR($J221="",$B221=""),0,IF(YEAR($B221)*12+MONTH($B221)&lt;=YEAR($C$3)*12+MONTH($C$3),$G221,0))</f>
        <v/>
      </c>
      <c r="O221" s="62">
        <f>IF(OR($J221="",$B221=""),0,IF(YEAR($B221)*12+MONTH($B221)&lt;=YEAR($C$3)*12+MONTH($C$3)-1,$G221,0))</f>
        <v/>
      </c>
      <c r="P221" s="62">
        <f>$M221-$O221</f>
        <v/>
      </c>
      <c r="Q221" s="62">
        <f>($L221-$M221)-($N221-$O221)</f>
        <v/>
      </c>
      <c r="R221" s="62">
        <f>$L221-$N221</f>
        <v/>
      </c>
    </row>
    <row r="222">
      <c r="A222" s="59">
        <f>ROW()-5</f>
        <v/>
      </c>
      <c r="B222" s="60">
        <f>IFERROR(INDEX(tbl_Finance[Date],$A222),"")</f>
        <v/>
      </c>
      <c r="C222" s="61">
        <f>IFERROR(INDEX(tbl_Finance[Xero Invoice No],$A222),"")</f>
        <v/>
      </c>
      <c r="D222" s="61">
        <f>IFERROR(INDEX(tbl_Finance[Client],$A222),"")</f>
        <v/>
      </c>
      <c r="E222" s="61">
        <f>IFERROR(INDEX(tbl_Finance[Job Number],$A222),"")</f>
        <v/>
      </c>
      <c r="F222" s="61">
        <f>IFERROR(INDEX(tbl_Finance[Cost Centre],$A222),"")</f>
        <v/>
      </c>
      <c r="G222" s="62">
        <f>IFERROR(INDEX(tbl_Finance[Ex GST],$A222),"")</f>
        <v/>
      </c>
      <c r="H222" s="60">
        <f>IFERROR(INDEX(tbl_Finance[Defer Start],$A222),"")</f>
        <v/>
      </c>
      <c r="I222" s="60">
        <f>IFERROR(INDEX(tbl_Finance[Defer End],$A222),"")</f>
        <v/>
      </c>
      <c r="J222" s="59">
        <f>IF(OR($H222="",$I222="",$G222=""),"",MAX(1,(YEAR($I222)-YEAR($H222))*12+MONTH($I222)-MONTH($H222)+1))</f>
        <v/>
      </c>
      <c r="K222" s="62">
        <f>IF($J222="","",$G222/$J222)</f>
        <v/>
      </c>
      <c r="L222" s="62">
        <f>IF($J222="",0,$K222*MAX(0,MIN(YEAR($C$3)*12+MONTH($C$3),YEAR($I222)*12+MONTH($I222))-(YEAR($H222)*12+MONTH($H222))+1))</f>
        <v/>
      </c>
      <c r="M222" s="62">
        <f>IF($J222="",0,$K222*MAX(0,MIN(YEAR($C$3)*12+MONTH($C$3)-1,YEAR($I222)*12+MONTH($I222))-(YEAR($H222)*12+MONTH($H222))+1))</f>
        <v/>
      </c>
      <c r="N222" s="62">
        <f>IF(OR($J222="",$B222=""),0,IF(YEAR($B222)*12+MONTH($B222)&lt;=YEAR($C$3)*12+MONTH($C$3),$G222,0))</f>
        <v/>
      </c>
      <c r="O222" s="62">
        <f>IF(OR($J222="",$B222=""),0,IF(YEAR($B222)*12+MONTH($B222)&lt;=YEAR($C$3)*12+MONTH($C$3)-1,$G222,0))</f>
        <v/>
      </c>
      <c r="P222" s="62">
        <f>$M222-$O222</f>
        <v/>
      </c>
      <c r="Q222" s="62">
        <f>($L222-$M222)-($N222-$O222)</f>
        <v/>
      </c>
      <c r="R222" s="62">
        <f>$L222-$N222</f>
        <v/>
      </c>
    </row>
    <row r="223">
      <c r="A223" s="59">
        <f>ROW()-5</f>
        <v/>
      </c>
      <c r="B223" s="60">
        <f>IFERROR(INDEX(tbl_Finance[Date],$A223),"")</f>
        <v/>
      </c>
      <c r="C223" s="61">
        <f>IFERROR(INDEX(tbl_Finance[Xero Invoice No],$A223),"")</f>
        <v/>
      </c>
      <c r="D223" s="61">
        <f>IFERROR(INDEX(tbl_Finance[Client],$A223),"")</f>
        <v/>
      </c>
      <c r="E223" s="61">
        <f>IFERROR(INDEX(tbl_Finance[Job Number],$A223),"")</f>
        <v/>
      </c>
      <c r="F223" s="61">
        <f>IFERROR(INDEX(tbl_Finance[Cost Centre],$A223),"")</f>
        <v/>
      </c>
      <c r="G223" s="62">
        <f>IFERROR(INDEX(tbl_Finance[Ex GST],$A223),"")</f>
        <v/>
      </c>
      <c r="H223" s="60">
        <f>IFERROR(INDEX(tbl_Finance[Defer Start],$A223),"")</f>
        <v/>
      </c>
      <c r="I223" s="60">
        <f>IFERROR(INDEX(tbl_Finance[Defer End],$A223),"")</f>
        <v/>
      </c>
      <c r="J223" s="59">
        <f>IF(OR($H223="",$I223="",$G223=""),"",MAX(1,(YEAR($I223)-YEAR($H223))*12+MONTH($I223)-MONTH($H223)+1))</f>
        <v/>
      </c>
      <c r="K223" s="62">
        <f>IF($J223="","",$G223/$J223)</f>
        <v/>
      </c>
      <c r="L223" s="62">
        <f>IF($J223="",0,$K223*MAX(0,MIN(YEAR($C$3)*12+MONTH($C$3),YEAR($I223)*12+MONTH($I223))-(YEAR($H223)*12+MONTH($H223))+1))</f>
        <v/>
      </c>
      <c r="M223" s="62">
        <f>IF($J223="",0,$K223*MAX(0,MIN(YEAR($C$3)*12+MONTH($C$3)-1,YEAR($I223)*12+MONTH($I223))-(YEAR($H223)*12+MONTH($H223))+1))</f>
        <v/>
      </c>
      <c r="N223" s="62">
        <f>IF(OR($J223="",$B223=""),0,IF(YEAR($B223)*12+MONTH($B223)&lt;=YEAR($C$3)*12+MONTH($C$3),$G223,0))</f>
        <v/>
      </c>
      <c r="O223" s="62">
        <f>IF(OR($J223="",$B223=""),0,IF(YEAR($B223)*12+MONTH($B223)&lt;=YEAR($C$3)*12+MONTH($C$3)-1,$G223,0))</f>
        <v/>
      </c>
      <c r="P223" s="62">
        <f>$M223-$O223</f>
        <v/>
      </c>
      <c r="Q223" s="62">
        <f>($L223-$M223)-($N223-$O223)</f>
        <v/>
      </c>
      <c r="R223" s="62">
        <f>$L223-$N223</f>
        <v/>
      </c>
    </row>
    <row r="224">
      <c r="A224" s="59">
        <f>ROW()-5</f>
        <v/>
      </c>
      <c r="B224" s="60">
        <f>IFERROR(INDEX(tbl_Finance[Date],$A224),"")</f>
        <v/>
      </c>
      <c r="C224" s="61">
        <f>IFERROR(INDEX(tbl_Finance[Xero Invoice No],$A224),"")</f>
        <v/>
      </c>
      <c r="D224" s="61">
        <f>IFERROR(INDEX(tbl_Finance[Client],$A224),"")</f>
        <v/>
      </c>
      <c r="E224" s="61">
        <f>IFERROR(INDEX(tbl_Finance[Job Number],$A224),"")</f>
        <v/>
      </c>
      <c r="F224" s="61">
        <f>IFERROR(INDEX(tbl_Finance[Cost Centre],$A224),"")</f>
        <v/>
      </c>
      <c r="G224" s="62">
        <f>IFERROR(INDEX(tbl_Finance[Ex GST],$A224),"")</f>
        <v/>
      </c>
      <c r="H224" s="60">
        <f>IFERROR(INDEX(tbl_Finance[Defer Start],$A224),"")</f>
        <v/>
      </c>
      <c r="I224" s="60">
        <f>IFERROR(INDEX(tbl_Finance[Defer End],$A224),"")</f>
        <v/>
      </c>
      <c r="J224" s="59">
        <f>IF(OR($H224="",$I224="",$G224=""),"",MAX(1,(YEAR($I224)-YEAR($H224))*12+MONTH($I224)-MONTH($H224)+1))</f>
        <v/>
      </c>
      <c r="K224" s="62">
        <f>IF($J224="","",$G224/$J224)</f>
        <v/>
      </c>
      <c r="L224" s="62">
        <f>IF($J224="",0,$K224*MAX(0,MIN(YEAR($C$3)*12+MONTH($C$3),YEAR($I224)*12+MONTH($I224))-(YEAR($H224)*12+MONTH($H224))+1))</f>
        <v/>
      </c>
      <c r="M224" s="62">
        <f>IF($J224="",0,$K224*MAX(0,MIN(YEAR($C$3)*12+MONTH($C$3)-1,YEAR($I224)*12+MONTH($I224))-(YEAR($H224)*12+MONTH($H224))+1))</f>
        <v/>
      </c>
      <c r="N224" s="62">
        <f>IF(OR($J224="",$B224=""),0,IF(YEAR($B224)*12+MONTH($B224)&lt;=YEAR($C$3)*12+MONTH($C$3),$G224,0))</f>
        <v/>
      </c>
      <c r="O224" s="62">
        <f>IF(OR($J224="",$B224=""),0,IF(YEAR($B224)*12+MONTH($B224)&lt;=YEAR($C$3)*12+MONTH($C$3)-1,$G224,0))</f>
        <v/>
      </c>
      <c r="P224" s="62">
        <f>$M224-$O224</f>
        <v/>
      </c>
      <c r="Q224" s="62">
        <f>($L224-$M224)-($N224-$O224)</f>
        <v/>
      </c>
      <c r="R224" s="62">
        <f>$L224-$N224</f>
        <v/>
      </c>
    </row>
    <row r="225">
      <c r="A225" s="59">
        <f>ROW()-5</f>
        <v/>
      </c>
      <c r="B225" s="60">
        <f>IFERROR(INDEX(tbl_Finance[Date],$A225),"")</f>
        <v/>
      </c>
      <c r="C225" s="61">
        <f>IFERROR(INDEX(tbl_Finance[Xero Invoice No],$A225),"")</f>
        <v/>
      </c>
      <c r="D225" s="61">
        <f>IFERROR(INDEX(tbl_Finance[Client],$A225),"")</f>
        <v/>
      </c>
      <c r="E225" s="61">
        <f>IFERROR(INDEX(tbl_Finance[Job Number],$A225),"")</f>
        <v/>
      </c>
      <c r="F225" s="61">
        <f>IFERROR(INDEX(tbl_Finance[Cost Centre],$A225),"")</f>
        <v/>
      </c>
      <c r="G225" s="62">
        <f>IFERROR(INDEX(tbl_Finance[Ex GST],$A225),"")</f>
        <v/>
      </c>
      <c r="H225" s="60">
        <f>IFERROR(INDEX(tbl_Finance[Defer Start],$A225),"")</f>
        <v/>
      </c>
      <c r="I225" s="60">
        <f>IFERROR(INDEX(tbl_Finance[Defer End],$A225),"")</f>
        <v/>
      </c>
      <c r="J225" s="59">
        <f>IF(OR($H225="",$I225="",$G225=""),"",MAX(1,(YEAR($I225)-YEAR($H225))*12+MONTH($I225)-MONTH($H225)+1))</f>
        <v/>
      </c>
      <c r="K225" s="62">
        <f>IF($J225="","",$G225/$J225)</f>
        <v/>
      </c>
      <c r="L225" s="62">
        <f>IF($J225="",0,$K225*MAX(0,MIN(YEAR($C$3)*12+MONTH($C$3),YEAR($I225)*12+MONTH($I225))-(YEAR($H225)*12+MONTH($H225))+1))</f>
        <v/>
      </c>
      <c r="M225" s="62">
        <f>IF($J225="",0,$K225*MAX(0,MIN(YEAR($C$3)*12+MONTH($C$3)-1,YEAR($I225)*12+MONTH($I225))-(YEAR($H225)*12+MONTH($H225))+1))</f>
        <v/>
      </c>
      <c r="N225" s="62">
        <f>IF(OR($J225="",$B225=""),0,IF(YEAR($B225)*12+MONTH($B225)&lt;=YEAR($C$3)*12+MONTH($C$3),$G225,0))</f>
        <v/>
      </c>
      <c r="O225" s="62">
        <f>IF(OR($J225="",$B225=""),0,IF(YEAR($B225)*12+MONTH($B225)&lt;=YEAR($C$3)*12+MONTH($C$3)-1,$G225,0))</f>
        <v/>
      </c>
      <c r="P225" s="62">
        <f>$M225-$O225</f>
        <v/>
      </c>
      <c r="Q225" s="62">
        <f>($L225-$M225)-($N225-$O225)</f>
        <v/>
      </c>
      <c r="R225" s="62">
        <f>$L225-$N225</f>
        <v/>
      </c>
    </row>
    <row r="226">
      <c r="A226" s="59">
        <f>ROW()-5</f>
        <v/>
      </c>
      <c r="B226" s="60">
        <f>IFERROR(INDEX(tbl_Finance[Date],$A226),"")</f>
        <v/>
      </c>
      <c r="C226" s="61">
        <f>IFERROR(INDEX(tbl_Finance[Xero Invoice No],$A226),"")</f>
        <v/>
      </c>
      <c r="D226" s="61">
        <f>IFERROR(INDEX(tbl_Finance[Client],$A226),"")</f>
        <v/>
      </c>
      <c r="E226" s="61">
        <f>IFERROR(INDEX(tbl_Finance[Job Number],$A226),"")</f>
        <v/>
      </c>
      <c r="F226" s="61">
        <f>IFERROR(INDEX(tbl_Finance[Cost Centre],$A226),"")</f>
        <v/>
      </c>
      <c r="G226" s="62">
        <f>IFERROR(INDEX(tbl_Finance[Ex GST],$A226),"")</f>
        <v/>
      </c>
      <c r="H226" s="60">
        <f>IFERROR(INDEX(tbl_Finance[Defer Start],$A226),"")</f>
        <v/>
      </c>
      <c r="I226" s="60">
        <f>IFERROR(INDEX(tbl_Finance[Defer End],$A226),"")</f>
        <v/>
      </c>
      <c r="J226" s="59">
        <f>IF(OR($H226="",$I226="",$G226=""),"",MAX(1,(YEAR($I226)-YEAR($H226))*12+MONTH($I226)-MONTH($H226)+1))</f>
        <v/>
      </c>
      <c r="K226" s="62">
        <f>IF($J226="","",$G226/$J226)</f>
        <v/>
      </c>
      <c r="L226" s="62">
        <f>IF($J226="",0,$K226*MAX(0,MIN(YEAR($C$3)*12+MONTH($C$3),YEAR($I226)*12+MONTH($I226))-(YEAR($H226)*12+MONTH($H226))+1))</f>
        <v/>
      </c>
      <c r="M226" s="62">
        <f>IF($J226="",0,$K226*MAX(0,MIN(YEAR($C$3)*12+MONTH($C$3)-1,YEAR($I226)*12+MONTH($I226))-(YEAR($H226)*12+MONTH($H226))+1))</f>
        <v/>
      </c>
      <c r="N226" s="62">
        <f>IF(OR($J226="",$B226=""),0,IF(YEAR($B226)*12+MONTH($B226)&lt;=YEAR($C$3)*12+MONTH($C$3),$G226,0))</f>
        <v/>
      </c>
      <c r="O226" s="62">
        <f>IF(OR($J226="",$B226=""),0,IF(YEAR($B226)*12+MONTH($B226)&lt;=YEAR($C$3)*12+MONTH($C$3)-1,$G226,0))</f>
        <v/>
      </c>
      <c r="P226" s="62">
        <f>$M226-$O226</f>
        <v/>
      </c>
      <c r="Q226" s="62">
        <f>($L226-$M226)-($N226-$O226)</f>
        <v/>
      </c>
      <c r="R226" s="62">
        <f>$L226-$N226</f>
        <v/>
      </c>
    </row>
    <row r="227">
      <c r="A227" s="59">
        <f>ROW()-5</f>
        <v/>
      </c>
      <c r="B227" s="60">
        <f>IFERROR(INDEX(tbl_Finance[Date],$A227),"")</f>
        <v/>
      </c>
      <c r="C227" s="61">
        <f>IFERROR(INDEX(tbl_Finance[Xero Invoice No],$A227),"")</f>
        <v/>
      </c>
      <c r="D227" s="61">
        <f>IFERROR(INDEX(tbl_Finance[Client],$A227),"")</f>
        <v/>
      </c>
      <c r="E227" s="61">
        <f>IFERROR(INDEX(tbl_Finance[Job Number],$A227),"")</f>
        <v/>
      </c>
      <c r="F227" s="61">
        <f>IFERROR(INDEX(tbl_Finance[Cost Centre],$A227),"")</f>
        <v/>
      </c>
      <c r="G227" s="62">
        <f>IFERROR(INDEX(tbl_Finance[Ex GST],$A227),"")</f>
        <v/>
      </c>
      <c r="H227" s="60">
        <f>IFERROR(INDEX(tbl_Finance[Defer Start],$A227),"")</f>
        <v/>
      </c>
      <c r="I227" s="60">
        <f>IFERROR(INDEX(tbl_Finance[Defer End],$A227),"")</f>
        <v/>
      </c>
      <c r="J227" s="59">
        <f>IF(OR($H227="",$I227="",$G227=""),"",MAX(1,(YEAR($I227)-YEAR($H227))*12+MONTH($I227)-MONTH($H227)+1))</f>
        <v/>
      </c>
      <c r="K227" s="62">
        <f>IF($J227="","",$G227/$J227)</f>
        <v/>
      </c>
      <c r="L227" s="62">
        <f>IF($J227="",0,$K227*MAX(0,MIN(YEAR($C$3)*12+MONTH($C$3),YEAR($I227)*12+MONTH($I227))-(YEAR($H227)*12+MONTH($H227))+1))</f>
        <v/>
      </c>
      <c r="M227" s="62">
        <f>IF($J227="",0,$K227*MAX(0,MIN(YEAR($C$3)*12+MONTH($C$3)-1,YEAR($I227)*12+MONTH($I227))-(YEAR($H227)*12+MONTH($H227))+1))</f>
        <v/>
      </c>
      <c r="N227" s="62">
        <f>IF(OR($J227="",$B227=""),0,IF(YEAR($B227)*12+MONTH($B227)&lt;=YEAR($C$3)*12+MONTH($C$3),$G227,0))</f>
        <v/>
      </c>
      <c r="O227" s="62">
        <f>IF(OR($J227="",$B227=""),0,IF(YEAR($B227)*12+MONTH($B227)&lt;=YEAR($C$3)*12+MONTH($C$3)-1,$G227,0))</f>
        <v/>
      </c>
      <c r="P227" s="62">
        <f>$M227-$O227</f>
        <v/>
      </c>
      <c r="Q227" s="62">
        <f>($L227-$M227)-($N227-$O227)</f>
        <v/>
      </c>
      <c r="R227" s="62">
        <f>$L227-$N227</f>
        <v/>
      </c>
    </row>
    <row r="228">
      <c r="A228" s="59">
        <f>ROW()-5</f>
        <v/>
      </c>
      <c r="B228" s="60">
        <f>IFERROR(INDEX(tbl_Finance[Date],$A228),"")</f>
        <v/>
      </c>
      <c r="C228" s="61">
        <f>IFERROR(INDEX(tbl_Finance[Xero Invoice No],$A228),"")</f>
        <v/>
      </c>
      <c r="D228" s="61">
        <f>IFERROR(INDEX(tbl_Finance[Client],$A228),"")</f>
        <v/>
      </c>
      <c r="E228" s="61">
        <f>IFERROR(INDEX(tbl_Finance[Job Number],$A228),"")</f>
        <v/>
      </c>
      <c r="F228" s="61">
        <f>IFERROR(INDEX(tbl_Finance[Cost Centre],$A228),"")</f>
        <v/>
      </c>
      <c r="G228" s="62">
        <f>IFERROR(INDEX(tbl_Finance[Ex GST],$A228),"")</f>
        <v/>
      </c>
      <c r="H228" s="60">
        <f>IFERROR(INDEX(tbl_Finance[Defer Start],$A228),"")</f>
        <v/>
      </c>
      <c r="I228" s="60">
        <f>IFERROR(INDEX(tbl_Finance[Defer End],$A228),"")</f>
        <v/>
      </c>
      <c r="J228" s="59">
        <f>IF(OR($H228="",$I228="",$G228=""),"",MAX(1,(YEAR($I228)-YEAR($H228))*12+MONTH($I228)-MONTH($H228)+1))</f>
        <v/>
      </c>
      <c r="K228" s="62">
        <f>IF($J228="","",$G228/$J228)</f>
        <v/>
      </c>
      <c r="L228" s="62">
        <f>IF($J228="",0,$K228*MAX(0,MIN(YEAR($C$3)*12+MONTH($C$3),YEAR($I228)*12+MONTH($I228))-(YEAR($H228)*12+MONTH($H228))+1))</f>
        <v/>
      </c>
      <c r="M228" s="62">
        <f>IF($J228="",0,$K228*MAX(0,MIN(YEAR($C$3)*12+MONTH($C$3)-1,YEAR($I228)*12+MONTH($I228))-(YEAR($H228)*12+MONTH($H228))+1))</f>
        <v/>
      </c>
      <c r="N228" s="62">
        <f>IF(OR($J228="",$B228=""),0,IF(YEAR($B228)*12+MONTH($B228)&lt;=YEAR($C$3)*12+MONTH($C$3),$G228,0))</f>
        <v/>
      </c>
      <c r="O228" s="62">
        <f>IF(OR($J228="",$B228=""),0,IF(YEAR($B228)*12+MONTH($B228)&lt;=YEAR($C$3)*12+MONTH($C$3)-1,$G228,0))</f>
        <v/>
      </c>
      <c r="P228" s="62">
        <f>$M228-$O228</f>
        <v/>
      </c>
      <c r="Q228" s="62">
        <f>($L228-$M228)-($N228-$O228)</f>
        <v/>
      </c>
      <c r="R228" s="62">
        <f>$L228-$N228</f>
        <v/>
      </c>
    </row>
    <row r="229">
      <c r="A229" s="59">
        <f>ROW()-5</f>
        <v/>
      </c>
      <c r="B229" s="60">
        <f>IFERROR(INDEX(tbl_Finance[Date],$A229),"")</f>
        <v/>
      </c>
      <c r="C229" s="61">
        <f>IFERROR(INDEX(tbl_Finance[Xero Invoice No],$A229),"")</f>
        <v/>
      </c>
      <c r="D229" s="61">
        <f>IFERROR(INDEX(tbl_Finance[Client],$A229),"")</f>
        <v/>
      </c>
      <c r="E229" s="61">
        <f>IFERROR(INDEX(tbl_Finance[Job Number],$A229),"")</f>
        <v/>
      </c>
      <c r="F229" s="61">
        <f>IFERROR(INDEX(tbl_Finance[Cost Centre],$A229),"")</f>
        <v/>
      </c>
      <c r="G229" s="62">
        <f>IFERROR(INDEX(tbl_Finance[Ex GST],$A229),"")</f>
        <v/>
      </c>
      <c r="H229" s="60">
        <f>IFERROR(INDEX(tbl_Finance[Defer Start],$A229),"")</f>
        <v/>
      </c>
      <c r="I229" s="60">
        <f>IFERROR(INDEX(tbl_Finance[Defer End],$A229),"")</f>
        <v/>
      </c>
      <c r="J229" s="59">
        <f>IF(OR($H229="",$I229="",$G229=""),"",MAX(1,(YEAR($I229)-YEAR($H229))*12+MONTH($I229)-MONTH($H229)+1))</f>
        <v/>
      </c>
      <c r="K229" s="62">
        <f>IF($J229="","",$G229/$J229)</f>
        <v/>
      </c>
      <c r="L229" s="62">
        <f>IF($J229="",0,$K229*MAX(0,MIN(YEAR($C$3)*12+MONTH($C$3),YEAR($I229)*12+MONTH($I229))-(YEAR($H229)*12+MONTH($H229))+1))</f>
        <v/>
      </c>
      <c r="M229" s="62">
        <f>IF($J229="",0,$K229*MAX(0,MIN(YEAR($C$3)*12+MONTH($C$3)-1,YEAR($I229)*12+MONTH($I229))-(YEAR($H229)*12+MONTH($H229))+1))</f>
        <v/>
      </c>
      <c r="N229" s="62">
        <f>IF(OR($J229="",$B229=""),0,IF(YEAR($B229)*12+MONTH($B229)&lt;=YEAR($C$3)*12+MONTH($C$3),$G229,0))</f>
        <v/>
      </c>
      <c r="O229" s="62">
        <f>IF(OR($J229="",$B229=""),0,IF(YEAR($B229)*12+MONTH($B229)&lt;=YEAR($C$3)*12+MONTH($C$3)-1,$G229,0))</f>
        <v/>
      </c>
      <c r="P229" s="62">
        <f>$M229-$O229</f>
        <v/>
      </c>
      <c r="Q229" s="62">
        <f>($L229-$M229)-($N229-$O229)</f>
        <v/>
      </c>
      <c r="R229" s="62">
        <f>$L229-$N229</f>
        <v/>
      </c>
    </row>
    <row r="230">
      <c r="A230" s="59">
        <f>ROW()-5</f>
        <v/>
      </c>
      <c r="B230" s="60">
        <f>IFERROR(INDEX(tbl_Finance[Date],$A230),"")</f>
        <v/>
      </c>
      <c r="C230" s="61">
        <f>IFERROR(INDEX(tbl_Finance[Xero Invoice No],$A230),"")</f>
        <v/>
      </c>
      <c r="D230" s="61">
        <f>IFERROR(INDEX(tbl_Finance[Client],$A230),"")</f>
        <v/>
      </c>
      <c r="E230" s="61">
        <f>IFERROR(INDEX(tbl_Finance[Job Number],$A230),"")</f>
        <v/>
      </c>
      <c r="F230" s="61">
        <f>IFERROR(INDEX(tbl_Finance[Cost Centre],$A230),"")</f>
        <v/>
      </c>
      <c r="G230" s="62">
        <f>IFERROR(INDEX(tbl_Finance[Ex GST],$A230),"")</f>
        <v/>
      </c>
      <c r="H230" s="60">
        <f>IFERROR(INDEX(tbl_Finance[Defer Start],$A230),"")</f>
        <v/>
      </c>
      <c r="I230" s="60">
        <f>IFERROR(INDEX(tbl_Finance[Defer End],$A230),"")</f>
        <v/>
      </c>
      <c r="J230" s="59">
        <f>IF(OR($H230="",$I230="",$G230=""),"",MAX(1,(YEAR($I230)-YEAR($H230))*12+MONTH($I230)-MONTH($H230)+1))</f>
        <v/>
      </c>
      <c r="K230" s="62">
        <f>IF($J230="","",$G230/$J230)</f>
        <v/>
      </c>
      <c r="L230" s="62">
        <f>IF($J230="",0,$K230*MAX(0,MIN(YEAR($C$3)*12+MONTH($C$3),YEAR($I230)*12+MONTH($I230))-(YEAR($H230)*12+MONTH($H230))+1))</f>
        <v/>
      </c>
      <c r="M230" s="62">
        <f>IF($J230="",0,$K230*MAX(0,MIN(YEAR($C$3)*12+MONTH($C$3)-1,YEAR($I230)*12+MONTH($I230))-(YEAR($H230)*12+MONTH($H230))+1))</f>
        <v/>
      </c>
      <c r="N230" s="62">
        <f>IF(OR($J230="",$B230=""),0,IF(YEAR($B230)*12+MONTH($B230)&lt;=YEAR($C$3)*12+MONTH($C$3),$G230,0))</f>
        <v/>
      </c>
      <c r="O230" s="62">
        <f>IF(OR($J230="",$B230=""),0,IF(YEAR($B230)*12+MONTH($B230)&lt;=YEAR($C$3)*12+MONTH($C$3)-1,$G230,0))</f>
        <v/>
      </c>
      <c r="P230" s="62">
        <f>$M230-$O230</f>
        <v/>
      </c>
      <c r="Q230" s="62">
        <f>($L230-$M230)-($N230-$O230)</f>
        <v/>
      </c>
      <c r="R230" s="62">
        <f>$L230-$N230</f>
        <v/>
      </c>
    </row>
    <row r="231">
      <c r="A231" s="59">
        <f>ROW()-5</f>
        <v/>
      </c>
      <c r="B231" s="60">
        <f>IFERROR(INDEX(tbl_Finance[Date],$A231),"")</f>
        <v/>
      </c>
      <c r="C231" s="61">
        <f>IFERROR(INDEX(tbl_Finance[Xero Invoice No],$A231),"")</f>
        <v/>
      </c>
      <c r="D231" s="61">
        <f>IFERROR(INDEX(tbl_Finance[Client],$A231),"")</f>
        <v/>
      </c>
      <c r="E231" s="61">
        <f>IFERROR(INDEX(tbl_Finance[Job Number],$A231),"")</f>
        <v/>
      </c>
      <c r="F231" s="61">
        <f>IFERROR(INDEX(tbl_Finance[Cost Centre],$A231),"")</f>
        <v/>
      </c>
      <c r="G231" s="62">
        <f>IFERROR(INDEX(tbl_Finance[Ex GST],$A231),"")</f>
        <v/>
      </c>
      <c r="H231" s="60">
        <f>IFERROR(INDEX(tbl_Finance[Defer Start],$A231),"")</f>
        <v/>
      </c>
      <c r="I231" s="60">
        <f>IFERROR(INDEX(tbl_Finance[Defer End],$A231),"")</f>
        <v/>
      </c>
      <c r="J231" s="59">
        <f>IF(OR($H231="",$I231="",$G231=""),"",MAX(1,(YEAR($I231)-YEAR($H231))*12+MONTH($I231)-MONTH($H231)+1))</f>
        <v/>
      </c>
      <c r="K231" s="62">
        <f>IF($J231="","",$G231/$J231)</f>
        <v/>
      </c>
      <c r="L231" s="62">
        <f>IF($J231="",0,$K231*MAX(0,MIN(YEAR($C$3)*12+MONTH($C$3),YEAR($I231)*12+MONTH($I231))-(YEAR($H231)*12+MONTH($H231))+1))</f>
        <v/>
      </c>
      <c r="M231" s="62">
        <f>IF($J231="",0,$K231*MAX(0,MIN(YEAR($C$3)*12+MONTH($C$3)-1,YEAR($I231)*12+MONTH($I231))-(YEAR($H231)*12+MONTH($H231))+1))</f>
        <v/>
      </c>
      <c r="N231" s="62">
        <f>IF(OR($J231="",$B231=""),0,IF(YEAR($B231)*12+MONTH($B231)&lt;=YEAR($C$3)*12+MONTH($C$3),$G231,0))</f>
        <v/>
      </c>
      <c r="O231" s="62">
        <f>IF(OR($J231="",$B231=""),0,IF(YEAR($B231)*12+MONTH($B231)&lt;=YEAR($C$3)*12+MONTH($C$3)-1,$G231,0))</f>
        <v/>
      </c>
      <c r="P231" s="62">
        <f>$M231-$O231</f>
        <v/>
      </c>
      <c r="Q231" s="62">
        <f>($L231-$M231)-($N231-$O231)</f>
        <v/>
      </c>
      <c r="R231" s="62">
        <f>$L231-$N231</f>
        <v/>
      </c>
    </row>
    <row r="232">
      <c r="A232" s="59">
        <f>ROW()-5</f>
        <v/>
      </c>
      <c r="B232" s="60">
        <f>IFERROR(INDEX(tbl_Finance[Date],$A232),"")</f>
        <v/>
      </c>
      <c r="C232" s="61">
        <f>IFERROR(INDEX(tbl_Finance[Xero Invoice No],$A232),"")</f>
        <v/>
      </c>
      <c r="D232" s="61">
        <f>IFERROR(INDEX(tbl_Finance[Client],$A232),"")</f>
        <v/>
      </c>
      <c r="E232" s="61">
        <f>IFERROR(INDEX(tbl_Finance[Job Number],$A232),"")</f>
        <v/>
      </c>
      <c r="F232" s="61">
        <f>IFERROR(INDEX(tbl_Finance[Cost Centre],$A232),"")</f>
        <v/>
      </c>
      <c r="G232" s="62">
        <f>IFERROR(INDEX(tbl_Finance[Ex GST],$A232),"")</f>
        <v/>
      </c>
      <c r="H232" s="60">
        <f>IFERROR(INDEX(tbl_Finance[Defer Start],$A232),"")</f>
        <v/>
      </c>
      <c r="I232" s="60">
        <f>IFERROR(INDEX(tbl_Finance[Defer End],$A232),"")</f>
        <v/>
      </c>
      <c r="J232" s="59">
        <f>IF(OR($H232="",$I232="",$G232=""),"",MAX(1,(YEAR($I232)-YEAR($H232))*12+MONTH($I232)-MONTH($H232)+1))</f>
        <v/>
      </c>
      <c r="K232" s="62">
        <f>IF($J232="","",$G232/$J232)</f>
        <v/>
      </c>
      <c r="L232" s="62">
        <f>IF($J232="",0,$K232*MAX(0,MIN(YEAR($C$3)*12+MONTH($C$3),YEAR($I232)*12+MONTH($I232))-(YEAR($H232)*12+MONTH($H232))+1))</f>
        <v/>
      </c>
      <c r="M232" s="62">
        <f>IF($J232="",0,$K232*MAX(0,MIN(YEAR($C$3)*12+MONTH($C$3)-1,YEAR($I232)*12+MONTH($I232))-(YEAR($H232)*12+MONTH($H232))+1))</f>
        <v/>
      </c>
      <c r="N232" s="62">
        <f>IF(OR($J232="",$B232=""),0,IF(YEAR($B232)*12+MONTH($B232)&lt;=YEAR($C$3)*12+MONTH($C$3),$G232,0))</f>
        <v/>
      </c>
      <c r="O232" s="62">
        <f>IF(OR($J232="",$B232=""),0,IF(YEAR($B232)*12+MONTH($B232)&lt;=YEAR($C$3)*12+MONTH($C$3)-1,$G232,0))</f>
        <v/>
      </c>
      <c r="P232" s="62">
        <f>$M232-$O232</f>
        <v/>
      </c>
      <c r="Q232" s="62">
        <f>($L232-$M232)-($N232-$O232)</f>
        <v/>
      </c>
      <c r="R232" s="62">
        <f>$L232-$N232</f>
        <v/>
      </c>
    </row>
    <row r="233">
      <c r="A233" s="59">
        <f>ROW()-5</f>
        <v/>
      </c>
      <c r="B233" s="60">
        <f>IFERROR(INDEX(tbl_Finance[Date],$A233),"")</f>
        <v/>
      </c>
      <c r="C233" s="61">
        <f>IFERROR(INDEX(tbl_Finance[Xero Invoice No],$A233),"")</f>
        <v/>
      </c>
      <c r="D233" s="61">
        <f>IFERROR(INDEX(tbl_Finance[Client],$A233),"")</f>
        <v/>
      </c>
      <c r="E233" s="61">
        <f>IFERROR(INDEX(tbl_Finance[Job Number],$A233),"")</f>
        <v/>
      </c>
      <c r="F233" s="61">
        <f>IFERROR(INDEX(tbl_Finance[Cost Centre],$A233),"")</f>
        <v/>
      </c>
      <c r="G233" s="62">
        <f>IFERROR(INDEX(tbl_Finance[Ex GST],$A233),"")</f>
        <v/>
      </c>
      <c r="H233" s="60">
        <f>IFERROR(INDEX(tbl_Finance[Defer Start],$A233),"")</f>
        <v/>
      </c>
      <c r="I233" s="60">
        <f>IFERROR(INDEX(tbl_Finance[Defer End],$A233),"")</f>
        <v/>
      </c>
      <c r="J233" s="59">
        <f>IF(OR($H233="",$I233="",$G233=""),"",MAX(1,(YEAR($I233)-YEAR($H233))*12+MONTH($I233)-MONTH($H233)+1))</f>
        <v/>
      </c>
      <c r="K233" s="62">
        <f>IF($J233="","",$G233/$J233)</f>
        <v/>
      </c>
      <c r="L233" s="62">
        <f>IF($J233="",0,$K233*MAX(0,MIN(YEAR($C$3)*12+MONTH($C$3),YEAR($I233)*12+MONTH($I233))-(YEAR($H233)*12+MONTH($H233))+1))</f>
        <v/>
      </c>
      <c r="M233" s="62">
        <f>IF($J233="",0,$K233*MAX(0,MIN(YEAR($C$3)*12+MONTH($C$3)-1,YEAR($I233)*12+MONTH($I233))-(YEAR($H233)*12+MONTH($H233))+1))</f>
        <v/>
      </c>
      <c r="N233" s="62">
        <f>IF(OR($J233="",$B233=""),0,IF(YEAR($B233)*12+MONTH($B233)&lt;=YEAR($C$3)*12+MONTH($C$3),$G233,0))</f>
        <v/>
      </c>
      <c r="O233" s="62">
        <f>IF(OR($J233="",$B233=""),0,IF(YEAR($B233)*12+MONTH($B233)&lt;=YEAR($C$3)*12+MONTH($C$3)-1,$G233,0))</f>
        <v/>
      </c>
      <c r="P233" s="62">
        <f>$M233-$O233</f>
        <v/>
      </c>
      <c r="Q233" s="62">
        <f>($L233-$M233)-($N233-$O233)</f>
        <v/>
      </c>
      <c r="R233" s="62">
        <f>$L233-$N233</f>
        <v/>
      </c>
    </row>
    <row r="234">
      <c r="A234" s="59">
        <f>ROW()-5</f>
        <v/>
      </c>
      <c r="B234" s="60">
        <f>IFERROR(INDEX(tbl_Finance[Date],$A234),"")</f>
        <v/>
      </c>
      <c r="C234" s="61">
        <f>IFERROR(INDEX(tbl_Finance[Xero Invoice No],$A234),"")</f>
        <v/>
      </c>
      <c r="D234" s="61">
        <f>IFERROR(INDEX(tbl_Finance[Client],$A234),"")</f>
        <v/>
      </c>
      <c r="E234" s="61">
        <f>IFERROR(INDEX(tbl_Finance[Job Number],$A234),"")</f>
        <v/>
      </c>
      <c r="F234" s="61">
        <f>IFERROR(INDEX(tbl_Finance[Cost Centre],$A234),"")</f>
        <v/>
      </c>
      <c r="G234" s="62">
        <f>IFERROR(INDEX(tbl_Finance[Ex GST],$A234),"")</f>
        <v/>
      </c>
      <c r="H234" s="60">
        <f>IFERROR(INDEX(tbl_Finance[Defer Start],$A234),"")</f>
        <v/>
      </c>
      <c r="I234" s="60">
        <f>IFERROR(INDEX(tbl_Finance[Defer End],$A234),"")</f>
        <v/>
      </c>
      <c r="J234" s="59">
        <f>IF(OR($H234="",$I234="",$G234=""),"",MAX(1,(YEAR($I234)-YEAR($H234))*12+MONTH($I234)-MONTH($H234)+1))</f>
        <v/>
      </c>
      <c r="K234" s="62">
        <f>IF($J234="","",$G234/$J234)</f>
        <v/>
      </c>
      <c r="L234" s="62">
        <f>IF($J234="",0,$K234*MAX(0,MIN(YEAR($C$3)*12+MONTH($C$3),YEAR($I234)*12+MONTH($I234))-(YEAR($H234)*12+MONTH($H234))+1))</f>
        <v/>
      </c>
      <c r="M234" s="62">
        <f>IF($J234="",0,$K234*MAX(0,MIN(YEAR($C$3)*12+MONTH($C$3)-1,YEAR($I234)*12+MONTH($I234))-(YEAR($H234)*12+MONTH($H234))+1))</f>
        <v/>
      </c>
      <c r="N234" s="62">
        <f>IF(OR($J234="",$B234=""),0,IF(YEAR($B234)*12+MONTH($B234)&lt;=YEAR($C$3)*12+MONTH($C$3),$G234,0))</f>
        <v/>
      </c>
      <c r="O234" s="62">
        <f>IF(OR($J234="",$B234=""),0,IF(YEAR($B234)*12+MONTH($B234)&lt;=YEAR($C$3)*12+MONTH($C$3)-1,$G234,0))</f>
        <v/>
      </c>
      <c r="P234" s="62">
        <f>$M234-$O234</f>
        <v/>
      </c>
      <c r="Q234" s="62">
        <f>($L234-$M234)-($N234-$O234)</f>
        <v/>
      </c>
      <c r="R234" s="62">
        <f>$L234-$N234</f>
        <v/>
      </c>
    </row>
    <row r="235">
      <c r="A235" s="59">
        <f>ROW()-5</f>
        <v/>
      </c>
      <c r="B235" s="60">
        <f>IFERROR(INDEX(tbl_Finance[Date],$A235),"")</f>
        <v/>
      </c>
      <c r="C235" s="61">
        <f>IFERROR(INDEX(tbl_Finance[Xero Invoice No],$A235),"")</f>
        <v/>
      </c>
      <c r="D235" s="61">
        <f>IFERROR(INDEX(tbl_Finance[Client],$A235),"")</f>
        <v/>
      </c>
      <c r="E235" s="61">
        <f>IFERROR(INDEX(tbl_Finance[Job Number],$A235),"")</f>
        <v/>
      </c>
      <c r="F235" s="61">
        <f>IFERROR(INDEX(tbl_Finance[Cost Centre],$A235),"")</f>
        <v/>
      </c>
      <c r="G235" s="62">
        <f>IFERROR(INDEX(tbl_Finance[Ex GST],$A235),"")</f>
        <v/>
      </c>
      <c r="H235" s="60">
        <f>IFERROR(INDEX(tbl_Finance[Defer Start],$A235),"")</f>
        <v/>
      </c>
      <c r="I235" s="60">
        <f>IFERROR(INDEX(tbl_Finance[Defer End],$A235),"")</f>
        <v/>
      </c>
      <c r="J235" s="59">
        <f>IF(OR($H235="",$I235="",$G235=""),"",MAX(1,(YEAR($I235)-YEAR($H235))*12+MONTH($I235)-MONTH($H235)+1))</f>
        <v/>
      </c>
      <c r="K235" s="62">
        <f>IF($J235="","",$G235/$J235)</f>
        <v/>
      </c>
      <c r="L235" s="62">
        <f>IF($J235="",0,$K235*MAX(0,MIN(YEAR($C$3)*12+MONTH($C$3),YEAR($I235)*12+MONTH($I235))-(YEAR($H235)*12+MONTH($H235))+1))</f>
        <v/>
      </c>
      <c r="M235" s="62">
        <f>IF($J235="",0,$K235*MAX(0,MIN(YEAR($C$3)*12+MONTH($C$3)-1,YEAR($I235)*12+MONTH($I235))-(YEAR($H235)*12+MONTH($H235))+1))</f>
        <v/>
      </c>
      <c r="N235" s="62">
        <f>IF(OR($J235="",$B235=""),0,IF(YEAR($B235)*12+MONTH($B235)&lt;=YEAR($C$3)*12+MONTH($C$3),$G235,0))</f>
        <v/>
      </c>
      <c r="O235" s="62">
        <f>IF(OR($J235="",$B235=""),0,IF(YEAR($B235)*12+MONTH($B235)&lt;=YEAR($C$3)*12+MONTH($C$3)-1,$G235,0))</f>
        <v/>
      </c>
      <c r="P235" s="62">
        <f>$M235-$O235</f>
        <v/>
      </c>
      <c r="Q235" s="62">
        <f>($L235-$M235)-($N235-$O235)</f>
        <v/>
      </c>
      <c r="R235" s="62">
        <f>$L235-$N235</f>
        <v/>
      </c>
    </row>
    <row r="236">
      <c r="A236" s="59">
        <f>ROW()-5</f>
        <v/>
      </c>
      <c r="B236" s="60">
        <f>IFERROR(INDEX(tbl_Finance[Date],$A236),"")</f>
        <v/>
      </c>
      <c r="C236" s="61">
        <f>IFERROR(INDEX(tbl_Finance[Xero Invoice No],$A236),"")</f>
        <v/>
      </c>
      <c r="D236" s="61">
        <f>IFERROR(INDEX(tbl_Finance[Client],$A236),"")</f>
        <v/>
      </c>
      <c r="E236" s="61">
        <f>IFERROR(INDEX(tbl_Finance[Job Number],$A236),"")</f>
        <v/>
      </c>
      <c r="F236" s="61">
        <f>IFERROR(INDEX(tbl_Finance[Cost Centre],$A236),"")</f>
        <v/>
      </c>
      <c r="G236" s="62">
        <f>IFERROR(INDEX(tbl_Finance[Ex GST],$A236),"")</f>
        <v/>
      </c>
      <c r="H236" s="60">
        <f>IFERROR(INDEX(tbl_Finance[Defer Start],$A236),"")</f>
        <v/>
      </c>
      <c r="I236" s="60">
        <f>IFERROR(INDEX(tbl_Finance[Defer End],$A236),"")</f>
        <v/>
      </c>
      <c r="J236" s="59">
        <f>IF(OR($H236="",$I236="",$G236=""),"",MAX(1,(YEAR($I236)-YEAR($H236))*12+MONTH($I236)-MONTH($H236)+1))</f>
        <v/>
      </c>
      <c r="K236" s="62">
        <f>IF($J236="","",$G236/$J236)</f>
        <v/>
      </c>
      <c r="L236" s="62">
        <f>IF($J236="",0,$K236*MAX(0,MIN(YEAR($C$3)*12+MONTH($C$3),YEAR($I236)*12+MONTH($I236))-(YEAR($H236)*12+MONTH($H236))+1))</f>
        <v/>
      </c>
      <c r="M236" s="62">
        <f>IF($J236="",0,$K236*MAX(0,MIN(YEAR($C$3)*12+MONTH($C$3)-1,YEAR($I236)*12+MONTH($I236))-(YEAR($H236)*12+MONTH($H236))+1))</f>
        <v/>
      </c>
      <c r="N236" s="62">
        <f>IF(OR($J236="",$B236=""),0,IF(YEAR($B236)*12+MONTH($B236)&lt;=YEAR($C$3)*12+MONTH($C$3),$G236,0))</f>
        <v/>
      </c>
      <c r="O236" s="62">
        <f>IF(OR($J236="",$B236=""),0,IF(YEAR($B236)*12+MONTH($B236)&lt;=YEAR($C$3)*12+MONTH($C$3)-1,$G236,0))</f>
        <v/>
      </c>
      <c r="P236" s="62">
        <f>$M236-$O236</f>
        <v/>
      </c>
      <c r="Q236" s="62">
        <f>($L236-$M236)-($N236-$O236)</f>
        <v/>
      </c>
      <c r="R236" s="62">
        <f>$L236-$N236</f>
        <v/>
      </c>
    </row>
    <row r="237">
      <c r="A237" s="59">
        <f>ROW()-5</f>
        <v/>
      </c>
      <c r="B237" s="60">
        <f>IFERROR(INDEX(tbl_Finance[Date],$A237),"")</f>
        <v/>
      </c>
      <c r="C237" s="61">
        <f>IFERROR(INDEX(tbl_Finance[Xero Invoice No],$A237),"")</f>
        <v/>
      </c>
      <c r="D237" s="61">
        <f>IFERROR(INDEX(tbl_Finance[Client],$A237),"")</f>
        <v/>
      </c>
      <c r="E237" s="61">
        <f>IFERROR(INDEX(tbl_Finance[Job Number],$A237),"")</f>
        <v/>
      </c>
      <c r="F237" s="61">
        <f>IFERROR(INDEX(tbl_Finance[Cost Centre],$A237),"")</f>
        <v/>
      </c>
      <c r="G237" s="62">
        <f>IFERROR(INDEX(tbl_Finance[Ex GST],$A237),"")</f>
        <v/>
      </c>
      <c r="H237" s="60">
        <f>IFERROR(INDEX(tbl_Finance[Defer Start],$A237),"")</f>
        <v/>
      </c>
      <c r="I237" s="60">
        <f>IFERROR(INDEX(tbl_Finance[Defer End],$A237),"")</f>
        <v/>
      </c>
      <c r="J237" s="59">
        <f>IF(OR($H237="",$I237="",$G237=""),"",MAX(1,(YEAR($I237)-YEAR($H237))*12+MONTH($I237)-MONTH($H237)+1))</f>
        <v/>
      </c>
      <c r="K237" s="62">
        <f>IF($J237="","",$G237/$J237)</f>
        <v/>
      </c>
      <c r="L237" s="62">
        <f>IF($J237="",0,$K237*MAX(0,MIN(YEAR($C$3)*12+MONTH($C$3),YEAR($I237)*12+MONTH($I237))-(YEAR($H237)*12+MONTH($H237))+1))</f>
        <v/>
      </c>
      <c r="M237" s="62">
        <f>IF($J237="",0,$K237*MAX(0,MIN(YEAR($C$3)*12+MONTH($C$3)-1,YEAR($I237)*12+MONTH($I237))-(YEAR($H237)*12+MONTH($H237))+1))</f>
        <v/>
      </c>
      <c r="N237" s="62">
        <f>IF(OR($J237="",$B237=""),0,IF(YEAR($B237)*12+MONTH($B237)&lt;=YEAR($C$3)*12+MONTH($C$3),$G237,0))</f>
        <v/>
      </c>
      <c r="O237" s="62">
        <f>IF(OR($J237="",$B237=""),0,IF(YEAR($B237)*12+MONTH($B237)&lt;=YEAR($C$3)*12+MONTH($C$3)-1,$G237,0))</f>
        <v/>
      </c>
      <c r="P237" s="62">
        <f>$M237-$O237</f>
        <v/>
      </c>
      <c r="Q237" s="62">
        <f>($L237-$M237)-($N237-$O237)</f>
        <v/>
      </c>
      <c r="R237" s="62">
        <f>$L237-$N237</f>
        <v/>
      </c>
    </row>
    <row r="238">
      <c r="A238" s="59">
        <f>ROW()-5</f>
        <v/>
      </c>
      <c r="B238" s="60">
        <f>IFERROR(INDEX(tbl_Finance[Date],$A238),"")</f>
        <v/>
      </c>
      <c r="C238" s="61">
        <f>IFERROR(INDEX(tbl_Finance[Xero Invoice No],$A238),"")</f>
        <v/>
      </c>
      <c r="D238" s="61">
        <f>IFERROR(INDEX(tbl_Finance[Client],$A238),"")</f>
        <v/>
      </c>
      <c r="E238" s="61">
        <f>IFERROR(INDEX(tbl_Finance[Job Number],$A238),"")</f>
        <v/>
      </c>
      <c r="F238" s="61">
        <f>IFERROR(INDEX(tbl_Finance[Cost Centre],$A238),"")</f>
        <v/>
      </c>
      <c r="G238" s="62">
        <f>IFERROR(INDEX(tbl_Finance[Ex GST],$A238),"")</f>
        <v/>
      </c>
      <c r="H238" s="60">
        <f>IFERROR(INDEX(tbl_Finance[Defer Start],$A238),"")</f>
        <v/>
      </c>
      <c r="I238" s="60">
        <f>IFERROR(INDEX(tbl_Finance[Defer End],$A238),"")</f>
        <v/>
      </c>
      <c r="J238" s="59">
        <f>IF(OR($H238="",$I238="",$G238=""),"",MAX(1,(YEAR($I238)-YEAR($H238))*12+MONTH($I238)-MONTH($H238)+1))</f>
        <v/>
      </c>
      <c r="K238" s="62">
        <f>IF($J238="","",$G238/$J238)</f>
        <v/>
      </c>
      <c r="L238" s="62">
        <f>IF($J238="",0,$K238*MAX(0,MIN(YEAR($C$3)*12+MONTH($C$3),YEAR($I238)*12+MONTH($I238))-(YEAR($H238)*12+MONTH($H238))+1))</f>
        <v/>
      </c>
      <c r="M238" s="62">
        <f>IF($J238="",0,$K238*MAX(0,MIN(YEAR($C$3)*12+MONTH($C$3)-1,YEAR($I238)*12+MONTH($I238))-(YEAR($H238)*12+MONTH($H238))+1))</f>
        <v/>
      </c>
      <c r="N238" s="62">
        <f>IF(OR($J238="",$B238=""),0,IF(YEAR($B238)*12+MONTH($B238)&lt;=YEAR($C$3)*12+MONTH($C$3),$G238,0))</f>
        <v/>
      </c>
      <c r="O238" s="62">
        <f>IF(OR($J238="",$B238=""),0,IF(YEAR($B238)*12+MONTH($B238)&lt;=YEAR($C$3)*12+MONTH($C$3)-1,$G238,0))</f>
        <v/>
      </c>
      <c r="P238" s="62">
        <f>$M238-$O238</f>
        <v/>
      </c>
      <c r="Q238" s="62">
        <f>($L238-$M238)-($N238-$O238)</f>
        <v/>
      </c>
      <c r="R238" s="62">
        <f>$L238-$N238</f>
        <v/>
      </c>
    </row>
    <row r="239">
      <c r="A239" s="59">
        <f>ROW()-5</f>
        <v/>
      </c>
      <c r="B239" s="60">
        <f>IFERROR(INDEX(tbl_Finance[Date],$A239),"")</f>
        <v/>
      </c>
      <c r="C239" s="61">
        <f>IFERROR(INDEX(tbl_Finance[Xero Invoice No],$A239),"")</f>
        <v/>
      </c>
      <c r="D239" s="61">
        <f>IFERROR(INDEX(tbl_Finance[Client],$A239),"")</f>
        <v/>
      </c>
      <c r="E239" s="61">
        <f>IFERROR(INDEX(tbl_Finance[Job Number],$A239),"")</f>
        <v/>
      </c>
      <c r="F239" s="61">
        <f>IFERROR(INDEX(tbl_Finance[Cost Centre],$A239),"")</f>
        <v/>
      </c>
      <c r="G239" s="62">
        <f>IFERROR(INDEX(tbl_Finance[Ex GST],$A239),"")</f>
        <v/>
      </c>
      <c r="H239" s="60">
        <f>IFERROR(INDEX(tbl_Finance[Defer Start],$A239),"")</f>
        <v/>
      </c>
      <c r="I239" s="60">
        <f>IFERROR(INDEX(tbl_Finance[Defer End],$A239),"")</f>
        <v/>
      </c>
      <c r="J239" s="59">
        <f>IF(OR($H239="",$I239="",$G239=""),"",MAX(1,(YEAR($I239)-YEAR($H239))*12+MONTH($I239)-MONTH($H239)+1))</f>
        <v/>
      </c>
      <c r="K239" s="62">
        <f>IF($J239="","",$G239/$J239)</f>
        <v/>
      </c>
      <c r="L239" s="62">
        <f>IF($J239="",0,$K239*MAX(0,MIN(YEAR($C$3)*12+MONTH($C$3),YEAR($I239)*12+MONTH($I239))-(YEAR($H239)*12+MONTH($H239))+1))</f>
        <v/>
      </c>
      <c r="M239" s="62">
        <f>IF($J239="",0,$K239*MAX(0,MIN(YEAR($C$3)*12+MONTH($C$3)-1,YEAR($I239)*12+MONTH($I239))-(YEAR($H239)*12+MONTH($H239))+1))</f>
        <v/>
      </c>
      <c r="N239" s="62">
        <f>IF(OR($J239="",$B239=""),0,IF(YEAR($B239)*12+MONTH($B239)&lt;=YEAR($C$3)*12+MONTH($C$3),$G239,0))</f>
        <v/>
      </c>
      <c r="O239" s="62">
        <f>IF(OR($J239="",$B239=""),0,IF(YEAR($B239)*12+MONTH($B239)&lt;=YEAR($C$3)*12+MONTH($C$3)-1,$G239,0))</f>
        <v/>
      </c>
      <c r="P239" s="62">
        <f>$M239-$O239</f>
        <v/>
      </c>
      <c r="Q239" s="62">
        <f>($L239-$M239)-($N239-$O239)</f>
        <v/>
      </c>
      <c r="R239" s="62">
        <f>$L239-$N239</f>
        <v/>
      </c>
    </row>
    <row r="240">
      <c r="A240" s="59">
        <f>ROW()-5</f>
        <v/>
      </c>
      <c r="B240" s="60">
        <f>IFERROR(INDEX(tbl_Finance[Date],$A240),"")</f>
        <v/>
      </c>
      <c r="C240" s="61">
        <f>IFERROR(INDEX(tbl_Finance[Xero Invoice No],$A240),"")</f>
        <v/>
      </c>
      <c r="D240" s="61">
        <f>IFERROR(INDEX(tbl_Finance[Client],$A240),"")</f>
        <v/>
      </c>
      <c r="E240" s="61">
        <f>IFERROR(INDEX(tbl_Finance[Job Number],$A240),"")</f>
        <v/>
      </c>
      <c r="F240" s="61">
        <f>IFERROR(INDEX(tbl_Finance[Cost Centre],$A240),"")</f>
        <v/>
      </c>
      <c r="G240" s="62">
        <f>IFERROR(INDEX(tbl_Finance[Ex GST],$A240),"")</f>
        <v/>
      </c>
      <c r="H240" s="60">
        <f>IFERROR(INDEX(tbl_Finance[Defer Start],$A240),"")</f>
        <v/>
      </c>
      <c r="I240" s="60">
        <f>IFERROR(INDEX(tbl_Finance[Defer End],$A240),"")</f>
        <v/>
      </c>
      <c r="J240" s="59">
        <f>IF(OR($H240="",$I240="",$G240=""),"",MAX(1,(YEAR($I240)-YEAR($H240))*12+MONTH($I240)-MONTH($H240)+1))</f>
        <v/>
      </c>
      <c r="K240" s="62">
        <f>IF($J240="","",$G240/$J240)</f>
        <v/>
      </c>
      <c r="L240" s="62">
        <f>IF($J240="",0,$K240*MAX(0,MIN(YEAR($C$3)*12+MONTH($C$3),YEAR($I240)*12+MONTH($I240))-(YEAR($H240)*12+MONTH($H240))+1))</f>
        <v/>
      </c>
      <c r="M240" s="62">
        <f>IF($J240="",0,$K240*MAX(0,MIN(YEAR($C$3)*12+MONTH($C$3)-1,YEAR($I240)*12+MONTH($I240))-(YEAR($H240)*12+MONTH($H240))+1))</f>
        <v/>
      </c>
      <c r="N240" s="62">
        <f>IF(OR($J240="",$B240=""),0,IF(YEAR($B240)*12+MONTH($B240)&lt;=YEAR($C$3)*12+MONTH($C$3),$G240,0))</f>
        <v/>
      </c>
      <c r="O240" s="62">
        <f>IF(OR($J240="",$B240=""),0,IF(YEAR($B240)*12+MONTH($B240)&lt;=YEAR($C$3)*12+MONTH($C$3)-1,$G240,0))</f>
        <v/>
      </c>
      <c r="P240" s="62">
        <f>$M240-$O240</f>
        <v/>
      </c>
      <c r="Q240" s="62">
        <f>($L240-$M240)-($N240-$O240)</f>
        <v/>
      </c>
      <c r="R240" s="62">
        <f>$L240-$N240</f>
        <v/>
      </c>
    </row>
    <row r="241">
      <c r="A241" s="59">
        <f>ROW()-5</f>
        <v/>
      </c>
      <c r="B241" s="60">
        <f>IFERROR(INDEX(tbl_Finance[Date],$A241),"")</f>
        <v/>
      </c>
      <c r="C241" s="61">
        <f>IFERROR(INDEX(tbl_Finance[Xero Invoice No],$A241),"")</f>
        <v/>
      </c>
      <c r="D241" s="61">
        <f>IFERROR(INDEX(tbl_Finance[Client],$A241),"")</f>
        <v/>
      </c>
      <c r="E241" s="61">
        <f>IFERROR(INDEX(tbl_Finance[Job Number],$A241),"")</f>
        <v/>
      </c>
      <c r="F241" s="61">
        <f>IFERROR(INDEX(tbl_Finance[Cost Centre],$A241),"")</f>
        <v/>
      </c>
      <c r="G241" s="62">
        <f>IFERROR(INDEX(tbl_Finance[Ex GST],$A241),"")</f>
        <v/>
      </c>
      <c r="H241" s="60">
        <f>IFERROR(INDEX(tbl_Finance[Defer Start],$A241),"")</f>
        <v/>
      </c>
      <c r="I241" s="60">
        <f>IFERROR(INDEX(tbl_Finance[Defer End],$A241),"")</f>
        <v/>
      </c>
      <c r="J241" s="59">
        <f>IF(OR($H241="",$I241="",$G241=""),"",MAX(1,(YEAR($I241)-YEAR($H241))*12+MONTH($I241)-MONTH($H241)+1))</f>
        <v/>
      </c>
      <c r="K241" s="62">
        <f>IF($J241="","",$G241/$J241)</f>
        <v/>
      </c>
      <c r="L241" s="62">
        <f>IF($J241="",0,$K241*MAX(0,MIN(YEAR($C$3)*12+MONTH($C$3),YEAR($I241)*12+MONTH($I241))-(YEAR($H241)*12+MONTH($H241))+1))</f>
        <v/>
      </c>
      <c r="M241" s="62">
        <f>IF($J241="",0,$K241*MAX(0,MIN(YEAR($C$3)*12+MONTH($C$3)-1,YEAR($I241)*12+MONTH($I241))-(YEAR($H241)*12+MONTH($H241))+1))</f>
        <v/>
      </c>
      <c r="N241" s="62">
        <f>IF(OR($J241="",$B241=""),0,IF(YEAR($B241)*12+MONTH($B241)&lt;=YEAR($C$3)*12+MONTH($C$3),$G241,0))</f>
        <v/>
      </c>
      <c r="O241" s="62">
        <f>IF(OR($J241="",$B241=""),0,IF(YEAR($B241)*12+MONTH($B241)&lt;=YEAR($C$3)*12+MONTH($C$3)-1,$G241,0))</f>
        <v/>
      </c>
      <c r="P241" s="62">
        <f>$M241-$O241</f>
        <v/>
      </c>
      <c r="Q241" s="62">
        <f>($L241-$M241)-($N241-$O241)</f>
        <v/>
      </c>
      <c r="R241" s="62">
        <f>$L241-$N241</f>
        <v/>
      </c>
    </row>
    <row r="242">
      <c r="A242" s="59">
        <f>ROW()-5</f>
        <v/>
      </c>
      <c r="B242" s="60">
        <f>IFERROR(INDEX(tbl_Finance[Date],$A242),"")</f>
        <v/>
      </c>
      <c r="C242" s="61">
        <f>IFERROR(INDEX(tbl_Finance[Xero Invoice No],$A242),"")</f>
        <v/>
      </c>
      <c r="D242" s="61">
        <f>IFERROR(INDEX(tbl_Finance[Client],$A242),"")</f>
        <v/>
      </c>
      <c r="E242" s="61">
        <f>IFERROR(INDEX(tbl_Finance[Job Number],$A242),"")</f>
        <v/>
      </c>
      <c r="F242" s="61">
        <f>IFERROR(INDEX(tbl_Finance[Cost Centre],$A242),"")</f>
        <v/>
      </c>
      <c r="G242" s="62">
        <f>IFERROR(INDEX(tbl_Finance[Ex GST],$A242),"")</f>
        <v/>
      </c>
      <c r="H242" s="60">
        <f>IFERROR(INDEX(tbl_Finance[Defer Start],$A242),"")</f>
        <v/>
      </c>
      <c r="I242" s="60">
        <f>IFERROR(INDEX(tbl_Finance[Defer End],$A242),"")</f>
        <v/>
      </c>
      <c r="J242" s="59">
        <f>IF(OR($H242="",$I242="",$G242=""),"",MAX(1,(YEAR($I242)-YEAR($H242))*12+MONTH($I242)-MONTH($H242)+1))</f>
        <v/>
      </c>
      <c r="K242" s="62">
        <f>IF($J242="","",$G242/$J242)</f>
        <v/>
      </c>
      <c r="L242" s="62">
        <f>IF($J242="",0,$K242*MAX(0,MIN(YEAR($C$3)*12+MONTH($C$3),YEAR($I242)*12+MONTH($I242))-(YEAR($H242)*12+MONTH($H242))+1))</f>
        <v/>
      </c>
      <c r="M242" s="62">
        <f>IF($J242="",0,$K242*MAX(0,MIN(YEAR($C$3)*12+MONTH($C$3)-1,YEAR($I242)*12+MONTH($I242))-(YEAR($H242)*12+MONTH($H242))+1))</f>
        <v/>
      </c>
      <c r="N242" s="62">
        <f>IF(OR($J242="",$B242=""),0,IF(YEAR($B242)*12+MONTH($B242)&lt;=YEAR($C$3)*12+MONTH($C$3),$G242,0))</f>
        <v/>
      </c>
      <c r="O242" s="62">
        <f>IF(OR($J242="",$B242=""),0,IF(YEAR($B242)*12+MONTH($B242)&lt;=YEAR($C$3)*12+MONTH($C$3)-1,$G242,0))</f>
        <v/>
      </c>
      <c r="P242" s="62">
        <f>$M242-$O242</f>
        <v/>
      </c>
      <c r="Q242" s="62">
        <f>($L242-$M242)-($N242-$O242)</f>
        <v/>
      </c>
      <c r="R242" s="62">
        <f>$L242-$N242</f>
        <v/>
      </c>
    </row>
    <row r="243">
      <c r="A243" s="59">
        <f>ROW()-5</f>
        <v/>
      </c>
      <c r="B243" s="60">
        <f>IFERROR(INDEX(tbl_Finance[Date],$A243),"")</f>
        <v/>
      </c>
      <c r="C243" s="61">
        <f>IFERROR(INDEX(tbl_Finance[Xero Invoice No],$A243),"")</f>
        <v/>
      </c>
      <c r="D243" s="61">
        <f>IFERROR(INDEX(tbl_Finance[Client],$A243),"")</f>
        <v/>
      </c>
      <c r="E243" s="61">
        <f>IFERROR(INDEX(tbl_Finance[Job Number],$A243),"")</f>
        <v/>
      </c>
      <c r="F243" s="61">
        <f>IFERROR(INDEX(tbl_Finance[Cost Centre],$A243),"")</f>
        <v/>
      </c>
      <c r="G243" s="62">
        <f>IFERROR(INDEX(tbl_Finance[Ex GST],$A243),"")</f>
        <v/>
      </c>
      <c r="H243" s="60">
        <f>IFERROR(INDEX(tbl_Finance[Defer Start],$A243),"")</f>
        <v/>
      </c>
      <c r="I243" s="60">
        <f>IFERROR(INDEX(tbl_Finance[Defer End],$A243),"")</f>
        <v/>
      </c>
      <c r="J243" s="59">
        <f>IF(OR($H243="",$I243="",$G243=""),"",MAX(1,(YEAR($I243)-YEAR($H243))*12+MONTH($I243)-MONTH($H243)+1))</f>
        <v/>
      </c>
      <c r="K243" s="62">
        <f>IF($J243="","",$G243/$J243)</f>
        <v/>
      </c>
      <c r="L243" s="62">
        <f>IF($J243="",0,$K243*MAX(0,MIN(YEAR($C$3)*12+MONTH($C$3),YEAR($I243)*12+MONTH($I243))-(YEAR($H243)*12+MONTH($H243))+1))</f>
        <v/>
      </c>
      <c r="M243" s="62">
        <f>IF($J243="",0,$K243*MAX(0,MIN(YEAR($C$3)*12+MONTH($C$3)-1,YEAR($I243)*12+MONTH($I243))-(YEAR($H243)*12+MONTH($H243))+1))</f>
        <v/>
      </c>
      <c r="N243" s="62">
        <f>IF(OR($J243="",$B243=""),0,IF(YEAR($B243)*12+MONTH($B243)&lt;=YEAR($C$3)*12+MONTH($C$3),$G243,0))</f>
        <v/>
      </c>
      <c r="O243" s="62">
        <f>IF(OR($J243="",$B243=""),0,IF(YEAR($B243)*12+MONTH($B243)&lt;=YEAR($C$3)*12+MONTH($C$3)-1,$G243,0))</f>
        <v/>
      </c>
      <c r="P243" s="62">
        <f>$M243-$O243</f>
        <v/>
      </c>
      <c r="Q243" s="62">
        <f>($L243-$M243)-($N243-$O243)</f>
        <v/>
      </c>
      <c r="R243" s="62">
        <f>$L243-$N243</f>
        <v/>
      </c>
    </row>
    <row r="244">
      <c r="A244" s="59">
        <f>ROW()-5</f>
        <v/>
      </c>
      <c r="B244" s="60">
        <f>IFERROR(INDEX(tbl_Finance[Date],$A244),"")</f>
        <v/>
      </c>
      <c r="C244" s="61">
        <f>IFERROR(INDEX(tbl_Finance[Xero Invoice No],$A244),"")</f>
        <v/>
      </c>
      <c r="D244" s="61">
        <f>IFERROR(INDEX(tbl_Finance[Client],$A244),"")</f>
        <v/>
      </c>
      <c r="E244" s="61">
        <f>IFERROR(INDEX(tbl_Finance[Job Number],$A244),"")</f>
        <v/>
      </c>
      <c r="F244" s="61">
        <f>IFERROR(INDEX(tbl_Finance[Cost Centre],$A244),"")</f>
        <v/>
      </c>
      <c r="G244" s="62">
        <f>IFERROR(INDEX(tbl_Finance[Ex GST],$A244),"")</f>
        <v/>
      </c>
      <c r="H244" s="60">
        <f>IFERROR(INDEX(tbl_Finance[Defer Start],$A244),"")</f>
        <v/>
      </c>
      <c r="I244" s="60">
        <f>IFERROR(INDEX(tbl_Finance[Defer End],$A244),"")</f>
        <v/>
      </c>
      <c r="J244" s="59">
        <f>IF(OR($H244="",$I244="",$G244=""),"",MAX(1,(YEAR($I244)-YEAR($H244))*12+MONTH($I244)-MONTH($H244)+1))</f>
        <v/>
      </c>
      <c r="K244" s="62">
        <f>IF($J244="","",$G244/$J244)</f>
        <v/>
      </c>
      <c r="L244" s="62">
        <f>IF($J244="",0,$K244*MAX(0,MIN(YEAR($C$3)*12+MONTH($C$3),YEAR($I244)*12+MONTH($I244))-(YEAR($H244)*12+MONTH($H244))+1))</f>
        <v/>
      </c>
      <c r="M244" s="62">
        <f>IF($J244="",0,$K244*MAX(0,MIN(YEAR($C$3)*12+MONTH($C$3)-1,YEAR($I244)*12+MONTH($I244))-(YEAR($H244)*12+MONTH($H244))+1))</f>
        <v/>
      </c>
      <c r="N244" s="62">
        <f>IF(OR($J244="",$B244=""),0,IF(YEAR($B244)*12+MONTH($B244)&lt;=YEAR($C$3)*12+MONTH($C$3),$G244,0))</f>
        <v/>
      </c>
      <c r="O244" s="62">
        <f>IF(OR($J244="",$B244=""),0,IF(YEAR($B244)*12+MONTH($B244)&lt;=YEAR($C$3)*12+MONTH($C$3)-1,$G244,0))</f>
        <v/>
      </c>
      <c r="P244" s="62">
        <f>$M244-$O244</f>
        <v/>
      </c>
      <c r="Q244" s="62">
        <f>($L244-$M244)-($N244-$O244)</f>
        <v/>
      </c>
      <c r="R244" s="62">
        <f>$L244-$N244</f>
        <v/>
      </c>
    </row>
    <row r="245">
      <c r="A245" s="59">
        <f>ROW()-5</f>
        <v/>
      </c>
      <c r="B245" s="60">
        <f>IFERROR(INDEX(tbl_Finance[Date],$A245),"")</f>
        <v/>
      </c>
      <c r="C245" s="61">
        <f>IFERROR(INDEX(tbl_Finance[Xero Invoice No],$A245),"")</f>
        <v/>
      </c>
      <c r="D245" s="61">
        <f>IFERROR(INDEX(tbl_Finance[Client],$A245),"")</f>
        <v/>
      </c>
      <c r="E245" s="61">
        <f>IFERROR(INDEX(tbl_Finance[Job Number],$A245),"")</f>
        <v/>
      </c>
      <c r="F245" s="61">
        <f>IFERROR(INDEX(tbl_Finance[Cost Centre],$A245),"")</f>
        <v/>
      </c>
      <c r="G245" s="62">
        <f>IFERROR(INDEX(tbl_Finance[Ex GST],$A245),"")</f>
        <v/>
      </c>
      <c r="H245" s="60">
        <f>IFERROR(INDEX(tbl_Finance[Defer Start],$A245),"")</f>
        <v/>
      </c>
      <c r="I245" s="60">
        <f>IFERROR(INDEX(tbl_Finance[Defer End],$A245),"")</f>
        <v/>
      </c>
      <c r="J245" s="59">
        <f>IF(OR($H245="",$I245="",$G245=""),"",MAX(1,(YEAR($I245)-YEAR($H245))*12+MONTH($I245)-MONTH($H245)+1))</f>
        <v/>
      </c>
      <c r="K245" s="62">
        <f>IF($J245="","",$G245/$J245)</f>
        <v/>
      </c>
      <c r="L245" s="62">
        <f>IF($J245="",0,$K245*MAX(0,MIN(YEAR($C$3)*12+MONTH($C$3),YEAR($I245)*12+MONTH($I245))-(YEAR($H245)*12+MONTH($H245))+1))</f>
        <v/>
      </c>
      <c r="M245" s="62">
        <f>IF($J245="",0,$K245*MAX(0,MIN(YEAR($C$3)*12+MONTH($C$3)-1,YEAR($I245)*12+MONTH($I245))-(YEAR($H245)*12+MONTH($H245))+1))</f>
        <v/>
      </c>
      <c r="N245" s="62">
        <f>IF(OR($J245="",$B245=""),0,IF(YEAR($B245)*12+MONTH($B245)&lt;=YEAR($C$3)*12+MONTH($C$3),$G245,0))</f>
        <v/>
      </c>
      <c r="O245" s="62">
        <f>IF(OR($J245="",$B245=""),0,IF(YEAR($B245)*12+MONTH($B245)&lt;=YEAR($C$3)*12+MONTH($C$3)-1,$G245,0))</f>
        <v/>
      </c>
      <c r="P245" s="62">
        <f>$M245-$O245</f>
        <v/>
      </c>
      <c r="Q245" s="62">
        <f>($L245-$M245)-($N245-$O245)</f>
        <v/>
      </c>
      <c r="R245" s="62">
        <f>$L245-$N245</f>
        <v/>
      </c>
    </row>
    <row r="246">
      <c r="A246" s="59">
        <f>ROW()-5</f>
        <v/>
      </c>
      <c r="B246" s="60">
        <f>IFERROR(INDEX(tbl_Finance[Date],$A246),"")</f>
        <v/>
      </c>
      <c r="C246" s="61">
        <f>IFERROR(INDEX(tbl_Finance[Xero Invoice No],$A246),"")</f>
        <v/>
      </c>
      <c r="D246" s="61">
        <f>IFERROR(INDEX(tbl_Finance[Client],$A246),"")</f>
        <v/>
      </c>
      <c r="E246" s="61">
        <f>IFERROR(INDEX(tbl_Finance[Job Number],$A246),"")</f>
        <v/>
      </c>
      <c r="F246" s="61">
        <f>IFERROR(INDEX(tbl_Finance[Cost Centre],$A246),"")</f>
        <v/>
      </c>
      <c r="G246" s="62">
        <f>IFERROR(INDEX(tbl_Finance[Ex GST],$A246),"")</f>
        <v/>
      </c>
      <c r="H246" s="60">
        <f>IFERROR(INDEX(tbl_Finance[Defer Start],$A246),"")</f>
        <v/>
      </c>
      <c r="I246" s="60">
        <f>IFERROR(INDEX(tbl_Finance[Defer End],$A246),"")</f>
        <v/>
      </c>
      <c r="J246" s="59">
        <f>IF(OR($H246="",$I246="",$G246=""),"",MAX(1,(YEAR($I246)-YEAR($H246))*12+MONTH($I246)-MONTH($H246)+1))</f>
        <v/>
      </c>
      <c r="K246" s="62">
        <f>IF($J246="","",$G246/$J246)</f>
        <v/>
      </c>
      <c r="L246" s="62">
        <f>IF($J246="",0,$K246*MAX(0,MIN(YEAR($C$3)*12+MONTH($C$3),YEAR($I246)*12+MONTH($I246))-(YEAR($H246)*12+MONTH($H246))+1))</f>
        <v/>
      </c>
      <c r="M246" s="62">
        <f>IF($J246="",0,$K246*MAX(0,MIN(YEAR($C$3)*12+MONTH($C$3)-1,YEAR($I246)*12+MONTH($I246))-(YEAR($H246)*12+MONTH($H246))+1))</f>
        <v/>
      </c>
      <c r="N246" s="62">
        <f>IF(OR($J246="",$B246=""),0,IF(YEAR($B246)*12+MONTH($B246)&lt;=YEAR($C$3)*12+MONTH($C$3),$G246,0))</f>
        <v/>
      </c>
      <c r="O246" s="62">
        <f>IF(OR($J246="",$B246=""),0,IF(YEAR($B246)*12+MONTH($B246)&lt;=YEAR($C$3)*12+MONTH($C$3)-1,$G246,0))</f>
        <v/>
      </c>
      <c r="P246" s="62">
        <f>$M246-$O246</f>
        <v/>
      </c>
      <c r="Q246" s="62">
        <f>($L246-$M246)-($N246-$O246)</f>
        <v/>
      </c>
      <c r="R246" s="62">
        <f>$L246-$N246</f>
        <v/>
      </c>
    </row>
    <row r="247">
      <c r="A247" s="59">
        <f>ROW()-5</f>
        <v/>
      </c>
      <c r="B247" s="60">
        <f>IFERROR(INDEX(tbl_Finance[Date],$A247),"")</f>
        <v/>
      </c>
      <c r="C247" s="61">
        <f>IFERROR(INDEX(tbl_Finance[Xero Invoice No],$A247),"")</f>
        <v/>
      </c>
      <c r="D247" s="61">
        <f>IFERROR(INDEX(tbl_Finance[Client],$A247),"")</f>
        <v/>
      </c>
      <c r="E247" s="61">
        <f>IFERROR(INDEX(tbl_Finance[Job Number],$A247),"")</f>
        <v/>
      </c>
      <c r="F247" s="61">
        <f>IFERROR(INDEX(tbl_Finance[Cost Centre],$A247),"")</f>
        <v/>
      </c>
      <c r="G247" s="62">
        <f>IFERROR(INDEX(tbl_Finance[Ex GST],$A247),"")</f>
        <v/>
      </c>
      <c r="H247" s="60">
        <f>IFERROR(INDEX(tbl_Finance[Defer Start],$A247),"")</f>
        <v/>
      </c>
      <c r="I247" s="60">
        <f>IFERROR(INDEX(tbl_Finance[Defer End],$A247),"")</f>
        <v/>
      </c>
      <c r="J247" s="59">
        <f>IF(OR($H247="",$I247="",$G247=""),"",MAX(1,(YEAR($I247)-YEAR($H247))*12+MONTH($I247)-MONTH($H247)+1))</f>
        <v/>
      </c>
      <c r="K247" s="62">
        <f>IF($J247="","",$G247/$J247)</f>
        <v/>
      </c>
      <c r="L247" s="62">
        <f>IF($J247="",0,$K247*MAX(0,MIN(YEAR($C$3)*12+MONTH($C$3),YEAR($I247)*12+MONTH($I247))-(YEAR($H247)*12+MONTH($H247))+1))</f>
        <v/>
      </c>
      <c r="M247" s="62">
        <f>IF($J247="",0,$K247*MAX(0,MIN(YEAR($C$3)*12+MONTH($C$3)-1,YEAR($I247)*12+MONTH($I247))-(YEAR($H247)*12+MONTH($H247))+1))</f>
        <v/>
      </c>
      <c r="N247" s="62">
        <f>IF(OR($J247="",$B247=""),0,IF(YEAR($B247)*12+MONTH($B247)&lt;=YEAR($C$3)*12+MONTH($C$3),$G247,0))</f>
        <v/>
      </c>
      <c r="O247" s="62">
        <f>IF(OR($J247="",$B247=""),0,IF(YEAR($B247)*12+MONTH($B247)&lt;=YEAR($C$3)*12+MONTH($C$3)-1,$G247,0))</f>
        <v/>
      </c>
      <c r="P247" s="62">
        <f>$M247-$O247</f>
        <v/>
      </c>
      <c r="Q247" s="62">
        <f>($L247-$M247)-($N247-$O247)</f>
        <v/>
      </c>
      <c r="R247" s="62">
        <f>$L247-$N247</f>
        <v/>
      </c>
    </row>
    <row r="248">
      <c r="A248" s="59">
        <f>ROW()-5</f>
        <v/>
      </c>
      <c r="B248" s="60">
        <f>IFERROR(INDEX(tbl_Finance[Date],$A248),"")</f>
        <v/>
      </c>
      <c r="C248" s="61">
        <f>IFERROR(INDEX(tbl_Finance[Xero Invoice No],$A248),"")</f>
        <v/>
      </c>
      <c r="D248" s="61">
        <f>IFERROR(INDEX(tbl_Finance[Client],$A248),"")</f>
        <v/>
      </c>
      <c r="E248" s="61">
        <f>IFERROR(INDEX(tbl_Finance[Job Number],$A248),"")</f>
        <v/>
      </c>
      <c r="F248" s="61">
        <f>IFERROR(INDEX(tbl_Finance[Cost Centre],$A248),"")</f>
        <v/>
      </c>
      <c r="G248" s="62">
        <f>IFERROR(INDEX(tbl_Finance[Ex GST],$A248),"")</f>
        <v/>
      </c>
      <c r="H248" s="60">
        <f>IFERROR(INDEX(tbl_Finance[Defer Start],$A248),"")</f>
        <v/>
      </c>
      <c r="I248" s="60">
        <f>IFERROR(INDEX(tbl_Finance[Defer End],$A248),"")</f>
        <v/>
      </c>
      <c r="J248" s="59">
        <f>IF(OR($H248="",$I248="",$G248=""),"",MAX(1,(YEAR($I248)-YEAR($H248))*12+MONTH($I248)-MONTH($H248)+1))</f>
        <v/>
      </c>
      <c r="K248" s="62">
        <f>IF($J248="","",$G248/$J248)</f>
        <v/>
      </c>
      <c r="L248" s="62">
        <f>IF($J248="",0,$K248*MAX(0,MIN(YEAR($C$3)*12+MONTH($C$3),YEAR($I248)*12+MONTH($I248))-(YEAR($H248)*12+MONTH($H248))+1))</f>
        <v/>
      </c>
      <c r="M248" s="62">
        <f>IF($J248="",0,$K248*MAX(0,MIN(YEAR($C$3)*12+MONTH($C$3)-1,YEAR($I248)*12+MONTH($I248))-(YEAR($H248)*12+MONTH($H248))+1))</f>
        <v/>
      </c>
      <c r="N248" s="62">
        <f>IF(OR($J248="",$B248=""),0,IF(YEAR($B248)*12+MONTH($B248)&lt;=YEAR($C$3)*12+MONTH($C$3),$G248,0))</f>
        <v/>
      </c>
      <c r="O248" s="62">
        <f>IF(OR($J248="",$B248=""),0,IF(YEAR($B248)*12+MONTH($B248)&lt;=YEAR($C$3)*12+MONTH($C$3)-1,$G248,0))</f>
        <v/>
      </c>
      <c r="P248" s="62">
        <f>$M248-$O248</f>
        <v/>
      </c>
      <c r="Q248" s="62">
        <f>($L248-$M248)-($N248-$O248)</f>
        <v/>
      </c>
      <c r="R248" s="62">
        <f>$L248-$N248</f>
        <v/>
      </c>
    </row>
    <row r="249">
      <c r="A249" s="59">
        <f>ROW()-5</f>
        <v/>
      </c>
      <c r="B249" s="60">
        <f>IFERROR(INDEX(tbl_Finance[Date],$A249),"")</f>
        <v/>
      </c>
      <c r="C249" s="61">
        <f>IFERROR(INDEX(tbl_Finance[Xero Invoice No],$A249),"")</f>
        <v/>
      </c>
      <c r="D249" s="61">
        <f>IFERROR(INDEX(tbl_Finance[Client],$A249),"")</f>
        <v/>
      </c>
      <c r="E249" s="61">
        <f>IFERROR(INDEX(tbl_Finance[Job Number],$A249),"")</f>
        <v/>
      </c>
      <c r="F249" s="61">
        <f>IFERROR(INDEX(tbl_Finance[Cost Centre],$A249),"")</f>
        <v/>
      </c>
      <c r="G249" s="62">
        <f>IFERROR(INDEX(tbl_Finance[Ex GST],$A249),"")</f>
        <v/>
      </c>
      <c r="H249" s="60">
        <f>IFERROR(INDEX(tbl_Finance[Defer Start],$A249),"")</f>
        <v/>
      </c>
      <c r="I249" s="60">
        <f>IFERROR(INDEX(tbl_Finance[Defer End],$A249),"")</f>
        <v/>
      </c>
      <c r="J249" s="59">
        <f>IF(OR($H249="",$I249="",$G249=""),"",MAX(1,(YEAR($I249)-YEAR($H249))*12+MONTH($I249)-MONTH($H249)+1))</f>
        <v/>
      </c>
      <c r="K249" s="62">
        <f>IF($J249="","",$G249/$J249)</f>
        <v/>
      </c>
      <c r="L249" s="62">
        <f>IF($J249="",0,$K249*MAX(0,MIN(YEAR($C$3)*12+MONTH($C$3),YEAR($I249)*12+MONTH($I249))-(YEAR($H249)*12+MONTH($H249))+1))</f>
        <v/>
      </c>
      <c r="M249" s="62">
        <f>IF($J249="",0,$K249*MAX(0,MIN(YEAR($C$3)*12+MONTH($C$3)-1,YEAR($I249)*12+MONTH($I249))-(YEAR($H249)*12+MONTH($H249))+1))</f>
        <v/>
      </c>
      <c r="N249" s="62">
        <f>IF(OR($J249="",$B249=""),0,IF(YEAR($B249)*12+MONTH($B249)&lt;=YEAR($C$3)*12+MONTH($C$3),$G249,0))</f>
        <v/>
      </c>
      <c r="O249" s="62">
        <f>IF(OR($J249="",$B249=""),0,IF(YEAR($B249)*12+MONTH($B249)&lt;=YEAR($C$3)*12+MONTH($C$3)-1,$G249,0))</f>
        <v/>
      </c>
      <c r="P249" s="62">
        <f>$M249-$O249</f>
        <v/>
      </c>
      <c r="Q249" s="62">
        <f>($L249-$M249)-($N249-$O249)</f>
        <v/>
      </c>
      <c r="R249" s="62">
        <f>$L249-$N249</f>
        <v/>
      </c>
    </row>
    <row r="250">
      <c r="A250" s="59">
        <f>ROW()-5</f>
        <v/>
      </c>
      <c r="B250" s="60">
        <f>IFERROR(INDEX(tbl_Finance[Date],$A250),"")</f>
        <v/>
      </c>
      <c r="C250" s="61">
        <f>IFERROR(INDEX(tbl_Finance[Xero Invoice No],$A250),"")</f>
        <v/>
      </c>
      <c r="D250" s="61">
        <f>IFERROR(INDEX(tbl_Finance[Client],$A250),"")</f>
        <v/>
      </c>
      <c r="E250" s="61">
        <f>IFERROR(INDEX(tbl_Finance[Job Number],$A250),"")</f>
        <v/>
      </c>
      <c r="F250" s="61">
        <f>IFERROR(INDEX(tbl_Finance[Cost Centre],$A250),"")</f>
        <v/>
      </c>
      <c r="G250" s="62">
        <f>IFERROR(INDEX(tbl_Finance[Ex GST],$A250),"")</f>
        <v/>
      </c>
      <c r="H250" s="60">
        <f>IFERROR(INDEX(tbl_Finance[Defer Start],$A250),"")</f>
        <v/>
      </c>
      <c r="I250" s="60">
        <f>IFERROR(INDEX(tbl_Finance[Defer End],$A250),"")</f>
        <v/>
      </c>
      <c r="J250" s="59">
        <f>IF(OR($H250="",$I250="",$G250=""),"",MAX(1,(YEAR($I250)-YEAR($H250))*12+MONTH($I250)-MONTH($H250)+1))</f>
        <v/>
      </c>
      <c r="K250" s="62">
        <f>IF($J250="","",$G250/$J250)</f>
        <v/>
      </c>
      <c r="L250" s="62">
        <f>IF($J250="",0,$K250*MAX(0,MIN(YEAR($C$3)*12+MONTH($C$3),YEAR($I250)*12+MONTH($I250))-(YEAR($H250)*12+MONTH($H250))+1))</f>
        <v/>
      </c>
      <c r="M250" s="62">
        <f>IF($J250="",0,$K250*MAX(0,MIN(YEAR($C$3)*12+MONTH($C$3)-1,YEAR($I250)*12+MONTH($I250))-(YEAR($H250)*12+MONTH($H250))+1))</f>
        <v/>
      </c>
      <c r="N250" s="62">
        <f>IF(OR($J250="",$B250=""),0,IF(YEAR($B250)*12+MONTH($B250)&lt;=YEAR($C$3)*12+MONTH($C$3),$G250,0))</f>
        <v/>
      </c>
      <c r="O250" s="62">
        <f>IF(OR($J250="",$B250=""),0,IF(YEAR($B250)*12+MONTH($B250)&lt;=YEAR($C$3)*12+MONTH($C$3)-1,$G250,0))</f>
        <v/>
      </c>
      <c r="P250" s="62">
        <f>$M250-$O250</f>
        <v/>
      </c>
      <c r="Q250" s="62">
        <f>($L250-$M250)-($N250-$O250)</f>
        <v/>
      </c>
      <c r="R250" s="62">
        <f>$L250-$N250</f>
        <v/>
      </c>
    </row>
    <row r="251">
      <c r="A251" s="59">
        <f>ROW()-5</f>
        <v/>
      </c>
      <c r="B251" s="60">
        <f>IFERROR(INDEX(tbl_Finance[Date],$A251),"")</f>
        <v/>
      </c>
      <c r="C251" s="61">
        <f>IFERROR(INDEX(tbl_Finance[Xero Invoice No],$A251),"")</f>
        <v/>
      </c>
      <c r="D251" s="61">
        <f>IFERROR(INDEX(tbl_Finance[Client],$A251),"")</f>
        <v/>
      </c>
      <c r="E251" s="61">
        <f>IFERROR(INDEX(tbl_Finance[Job Number],$A251),"")</f>
        <v/>
      </c>
      <c r="F251" s="61">
        <f>IFERROR(INDEX(tbl_Finance[Cost Centre],$A251),"")</f>
        <v/>
      </c>
      <c r="G251" s="62">
        <f>IFERROR(INDEX(tbl_Finance[Ex GST],$A251),"")</f>
        <v/>
      </c>
      <c r="H251" s="60">
        <f>IFERROR(INDEX(tbl_Finance[Defer Start],$A251),"")</f>
        <v/>
      </c>
      <c r="I251" s="60">
        <f>IFERROR(INDEX(tbl_Finance[Defer End],$A251),"")</f>
        <v/>
      </c>
      <c r="J251" s="59">
        <f>IF(OR($H251="",$I251="",$G251=""),"",MAX(1,(YEAR($I251)-YEAR($H251))*12+MONTH($I251)-MONTH($H251)+1))</f>
        <v/>
      </c>
      <c r="K251" s="62">
        <f>IF($J251="","",$G251/$J251)</f>
        <v/>
      </c>
      <c r="L251" s="62">
        <f>IF($J251="",0,$K251*MAX(0,MIN(YEAR($C$3)*12+MONTH($C$3),YEAR($I251)*12+MONTH($I251))-(YEAR($H251)*12+MONTH($H251))+1))</f>
        <v/>
      </c>
      <c r="M251" s="62">
        <f>IF($J251="",0,$K251*MAX(0,MIN(YEAR($C$3)*12+MONTH($C$3)-1,YEAR($I251)*12+MONTH($I251))-(YEAR($H251)*12+MONTH($H251))+1))</f>
        <v/>
      </c>
      <c r="N251" s="62">
        <f>IF(OR($J251="",$B251=""),0,IF(YEAR($B251)*12+MONTH($B251)&lt;=YEAR($C$3)*12+MONTH($C$3),$G251,0))</f>
        <v/>
      </c>
      <c r="O251" s="62">
        <f>IF(OR($J251="",$B251=""),0,IF(YEAR($B251)*12+MONTH($B251)&lt;=YEAR($C$3)*12+MONTH($C$3)-1,$G251,0))</f>
        <v/>
      </c>
      <c r="P251" s="62">
        <f>$M251-$O251</f>
        <v/>
      </c>
      <c r="Q251" s="62">
        <f>($L251-$M251)-($N251-$O251)</f>
        <v/>
      </c>
      <c r="R251" s="62">
        <f>$L251-$N251</f>
        <v/>
      </c>
    </row>
    <row r="252">
      <c r="A252" s="59">
        <f>ROW()-5</f>
        <v/>
      </c>
      <c r="B252" s="60">
        <f>IFERROR(INDEX(tbl_Finance[Date],$A252),"")</f>
        <v/>
      </c>
      <c r="C252" s="61">
        <f>IFERROR(INDEX(tbl_Finance[Xero Invoice No],$A252),"")</f>
        <v/>
      </c>
      <c r="D252" s="61">
        <f>IFERROR(INDEX(tbl_Finance[Client],$A252),"")</f>
        <v/>
      </c>
      <c r="E252" s="61">
        <f>IFERROR(INDEX(tbl_Finance[Job Number],$A252),"")</f>
        <v/>
      </c>
      <c r="F252" s="61">
        <f>IFERROR(INDEX(tbl_Finance[Cost Centre],$A252),"")</f>
        <v/>
      </c>
      <c r="G252" s="62">
        <f>IFERROR(INDEX(tbl_Finance[Ex GST],$A252),"")</f>
        <v/>
      </c>
      <c r="H252" s="60">
        <f>IFERROR(INDEX(tbl_Finance[Defer Start],$A252),"")</f>
        <v/>
      </c>
      <c r="I252" s="60">
        <f>IFERROR(INDEX(tbl_Finance[Defer End],$A252),"")</f>
        <v/>
      </c>
      <c r="J252" s="59">
        <f>IF(OR($H252="",$I252="",$G252=""),"",MAX(1,(YEAR($I252)-YEAR($H252))*12+MONTH($I252)-MONTH($H252)+1))</f>
        <v/>
      </c>
      <c r="K252" s="62">
        <f>IF($J252="","",$G252/$J252)</f>
        <v/>
      </c>
      <c r="L252" s="62">
        <f>IF($J252="",0,$K252*MAX(0,MIN(YEAR($C$3)*12+MONTH($C$3),YEAR($I252)*12+MONTH($I252))-(YEAR($H252)*12+MONTH($H252))+1))</f>
        <v/>
      </c>
      <c r="M252" s="62">
        <f>IF($J252="",0,$K252*MAX(0,MIN(YEAR($C$3)*12+MONTH($C$3)-1,YEAR($I252)*12+MONTH($I252))-(YEAR($H252)*12+MONTH($H252))+1))</f>
        <v/>
      </c>
      <c r="N252" s="62">
        <f>IF(OR($J252="",$B252=""),0,IF(YEAR($B252)*12+MONTH($B252)&lt;=YEAR($C$3)*12+MONTH($C$3),$G252,0))</f>
        <v/>
      </c>
      <c r="O252" s="62">
        <f>IF(OR($J252="",$B252=""),0,IF(YEAR($B252)*12+MONTH($B252)&lt;=YEAR($C$3)*12+MONTH($C$3)-1,$G252,0))</f>
        <v/>
      </c>
      <c r="P252" s="62">
        <f>$M252-$O252</f>
        <v/>
      </c>
      <c r="Q252" s="62">
        <f>($L252-$M252)-($N252-$O252)</f>
        <v/>
      </c>
      <c r="R252" s="62">
        <f>$L252-$N252</f>
        <v/>
      </c>
    </row>
    <row r="253">
      <c r="A253" s="59">
        <f>ROW()-5</f>
        <v/>
      </c>
      <c r="B253" s="60">
        <f>IFERROR(INDEX(tbl_Finance[Date],$A253),"")</f>
        <v/>
      </c>
      <c r="C253" s="61">
        <f>IFERROR(INDEX(tbl_Finance[Xero Invoice No],$A253),"")</f>
        <v/>
      </c>
      <c r="D253" s="61">
        <f>IFERROR(INDEX(tbl_Finance[Client],$A253),"")</f>
        <v/>
      </c>
      <c r="E253" s="61">
        <f>IFERROR(INDEX(tbl_Finance[Job Number],$A253),"")</f>
        <v/>
      </c>
      <c r="F253" s="61">
        <f>IFERROR(INDEX(tbl_Finance[Cost Centre],$A253),"")</f>
        <v/>
      </c>
      <c r="G253" s="62">
        <f>IFERROR(INDEX(tbl_Finance[Ex GST],$A253),"")</f>
        <v/>
      </c>
      <c r="H253" s="60">
        <f>IFERROR(INDEX(tbl_Finance[Defer Start],$A253),"")</f>
        <v/>
      </c>
      <c r="I253" s="60">
        <f>IFERROR(INDEX(tbl_Finance[Defer End],$A253),"")</f>
        <v/>
      </c>
      <c r="J253" s="59">
        <f>IF(OR($H253="",$I253="",$G253=""),"",MAX(1,(YEAR($I253)-YEAR($H253))*12+MONTH($I253)-MONTH($H253)+1))</f>
        <v/>
      </c>
      <c r="K253" s="62">
        <f>IF($J253="","",$G253/$J253)</f>
        <v/>
      </c>
      <c r="L253" s="62">
        <f>IF($J253="",0,$K253*MAX(0,MIN(YEAR($C$3)*12+MONTH($C$3),YEAR($I253)*12+MONTH($I253))-(YEAR($H253)*12+MONTH($H253))+1))</f>
        <v/>
      </c>
      <c r="M253" s="62">
        <f>IF($J253="",0,$K253*MAX(0,MIN(YEAR($C$3)*12+MONTH($C$3)-1,YEAR($I253)*12+MONTH($I253))-(YEAR($H253)*12+MONTH($H253))+1))</f>
        <v/>
      </c>
      <c r="N253" s="62">
        <f>IF(OR($J253="",$B253=""),0,IF(YEAR($B253)*12+MONTH($B253)&lt;=YEAR($C$3)*12+MONTH($C$3),$G253,0))</f>
        <v/>
      </c>
      <c r="O253" s="62">
        <f>IF(OR($J253="",$B253=""),0,IF(YEAR($B253)*12+MONTH($B253)&lt;=YEAR($C$3)*12+MONTH($C$3)-1,$G253,0))</f>
        <v/>
      </c>
      <c r="P253" s="62">
        <f>$M253-$O253</f>
        <v/>
      </c>
      <c r="Q253" s="62">
        <f>($L253-$M253)-($N253-$O253)</f>
        <v/>
      </c>
      <c r="R253" s="62">
        <f>$L253-$N253</f>
        <v/>
      </c>
    </row>
    <row r="254">
      <c r="A254" s="59">
        <f>ROW()-5</f>
        <v/>
      </c>
      <c r="B254" s="60">
        <f>IFERROR(INDEX(tbl_Finance[Date],$A254),"")</f>
        <v/>
      </c>
      <c r="C254" s="61">
        <f>IFERROR(INDEX(tbl_Finance[Xero Invoice No],$A254),"")</f>
        <v/>
      </c>
      <c r="D254" s="61">
        <f>IFERROR(INDEX(tbl_Finance[Client],$A254),"")</f>
        <v/>
      </c>
      <c r="E254" s="61">
        <f>IFERROR(INDEX(tbl_Finance[Job Number],$A254),"")</f>
        <v/>
      </c>
      <c r="F254" s="61">
        <f>IFERROR(INDEX(tbl_Finance[Cost Centre],$A254),"")</f>
        <v/>
      </c>
      <c r="G254" s="62">
        <f>IFERROR(INDEX(tbl_Finance[Ex GST],$A254),"")</f>
        <v/>
      </c>
      <c r="H254" s="60">
        <f>IFERROR(INDEX(tbl_Finance[Defer Start],$A254),"")</f>
        <v/>
      </c>
      <c r="I254" s="60">
        <f>IFERROR(INDEX(tbl_Finance[Defer End],$A254),"")</f>
        <v/>
      </c>
      <c r="J254" s="59">
        <f>IF(OR($H254="",$I254="",$G254=""),"",MAX(1,(YEAR($I254)-YEAR($H254))*12+MONTH($I254)-MONTH($H254)+1))</f>
        <v/>
      </c>
      <c r="K254" s="62">
        <f>IF($J254="","",$G254/$J254)</f>
        <v/>
      </c>
      <c r="L254" s="62">
        <f>IF($J254="",0,$K254*MAX(0,MIN(YEAR($C$3)*12+MONTH($C$3),YEAR($I254)*12+MONTH($I254))-(YEAR($H254)*12+MONTH($H254))+1))</f>
        <v/>
      </c>
      <c r="M254" s="62">
        <f>IF($J254="",0,$K254*MAX(0,MIN(YEAR($C$3)*12+MONTH($C$3)-1,YEAR($I254)*12+MONTH($I254))-(YEAR($H254)*12+MONTH($H254))+1))</f>
        <v/>
      </c>
      <c r="N254" s="62">
        <f>IF(OR($J254="",$B254=""),0,IF(YEAR($B254)*12+MONTH($B254)&lt;=YEAR($C$3)*12+MONTH($C$3),$G254,0))</f>
        <v/>
      </c>
      <c r="O254" s="62">
        <f>IF(OR($J254="",$B254=""),0,IF(YEAR($B254)*12+MONTH($B254)&lt;=YEAR($C$3)*12+MONTH($C$3)-1,$G254,0))</f>
        <v/>
      </c>
      <c r="P254" s="62">
        <f>$M254-$O254</f>
        <v/>
      </c>
      <c r="Q254" s="62">
        <f>($L254-$M254)-($N254-$O254)</f>
        <v/>
      </c>
      <c r="R254" s="62">
        <f>$L254-$N254</f>
        <v/>
      </c>
    </row>
    <row r="255">
      <c r="A255" s="59">
        <f>ROW()-5</f>
        <v/>
      </c>
      <c r="B255" s="60">
        <f>IFERROR(INDEX(tbl_Finance[Date],$A255),"")</f>
        <v/>
      </c>
      <c r="C255" s="61">
        <f>IFERROR(INDEX(tbl_Finance[Xero Invoice No],$A255),"")</f>
        <v/>
      </c>
      <c r="D255" s="61">
        <f>IFERROR(INDEX(tbl_Finance[Client],$A255),"")</f>
        <v/>
      </c>
      <c r="E255" s="61">
        <f>IFERROR(INDEX(tbl_Finance[Job Number],$A255),"")</f>
        <v/>
      </c>
      <c r="F255" s="61">
        <f>IFERROR(INDEX(tbl_Finance[Cost Centre],$A255),"")</f>
        <v/>
      </c>
      <c r="G255" s="62">
        <f>IFERROR(INDEX(tbl_Finance[Ex GST],$A255),"")</f>
        <v/>
      </c>
      <c r="H255" s="60">
        <f>IFERROR(INDEX(tbl_Finance[Defer Start],$A255),"")</f>
        <v/>
      </c>
      <c r="I255" s="60">
        <f>IFERROR(INDEX(tbl_Finance[Defer End],$A255),"")</f>
        <v/>
      </c>
      <c r="J255" s="59">
        <f>IF(OR($H255="",$I255="",$G255=""),"",MAX(1,(YEAR($I255)-YEAR($H255))*12+MONTH($I255)-MONTH($H255)+1))</f>
        <v/>
      </c>
      <c r="K255" s="62">
        <f>IF($J255="","",$G255/$J255)</f>
        <v/>
      </c>
      <c r="L255" s="62">
        <f>IF($J255="",0,$K255*MAX(0,MIN(YEAR($C$3)*12+MONTH($C$3),YEAR($I255)*12+MONTH($I255))-(YEAR($H255)*12+MONTH($H255))+1))</f>
        <v/>
      </c>
      <c r="M255" s="62">
        <f>IF($J255="",0,$K255*MAX(0,MIN(YEAR($C$3)*12+MONTH($C$3)-1,YEAR($I255)*12+MONTH($I255))-(YEAR($H255)*12+MONTH($H255))+1))</f>
        <v/>
      </c>
      <c r="N255" s="62">
        <f>IF(OR($J255="",$B255=""),0,IF(YEAR($B255)*12+MONTH($B255)&lt;=YEAR($C$3)*12+MONTH($C$3),$G255,0))</f>
        <v/>
      </c>
      <c r="O255" s="62">
        <f>IF(OR($J255="",$B255=""),0,IF(YEAR($B255)*12+MONTH($B255)&lt;=YEAR($C$3)*12+MONTH($C$3)-1,$G255,0))</f>
        <v/>
      </c>
      <c r="P255" s="62">
        <f>$M255-$O255</f>
        <v/>
      </c>
      <c r="Q255" s="62">
        <f>($L255-$M255)-($N255-$O255)</f>
        <v/>
      </c>
      <c r="R255" s="62">
        <f>$L255-$N255</f>
        <v/>
      </c>
    </row>
    <row r="256">
      <c r="A256" s="59">
        <f>ROW()-5</f>
        <v/>
      </c>
      <c r="B256" s="60">
        <f>IFERROR(INDEX(tbl_Finance[Date],$A256),"")</f>
        <v/>
      </c>
      <c r="C256" s="61">
        <f>IFERROR(INDEX(tbl_Finance[Xero Invoice No],$A256),"")</f>
        <v/>
      </c>
      <c r="D256" s="61">
        <f>IFERROR(INDEX(tbl_Finance[Client],$A256),"")</f>
        <v/>
      </c>
      <c r="E256" s="61">
        <f>IFERROR(INDEX(tbl_Finance[Job Number],$A256),"")</f>
        <v/>
      </c>
      <c r="F256" s="61">
        <f>IFERROR(INDEX(tbl_Finance[Cost Centre],$A256),"")</f>
        <v/>
      </c>
      <c r="G256" s="62">
        <f>IFERROR(INDEX(tbl_Finance[Ex GST],$A256),"")</f>
        <v/>
      </c>
      <c r="H256" s="60">
        <f>IFERROR(INDEX(tbl_Finance[Defer Start],$A256),"")</f>
        <v/>
      </c>
      <c r="I256" s="60">
        <f>IFERROR(INDEX(tbl_Finance[Defer End],$A256),"")</f>
        <v/>
      </c>
      <c r="J256" s="59">
        <f>IF(OR($H256="",$I256="",$G256=""),"",MAX(1,(YEAR($I256)-YEAR($H256))*12+MONTH($I256)-MONTH($H256)+1))</f>
        <v/>
      </c>
      <c r="K256" s="62">
        <f>IF($J256="","",$G256/$J256)</f>
        <v/>
      </c>
      <c r="L256" s="62">
        <f>IF($J256="",0,$K256*MAX(0,MIN(YEAR($C$3)*12+MONTH($C$3),YEAR($I256)*12+MONTH($I256))-(YEAR($H256)*12+MONTH($H256))+1))</f>
        <v/>
      </c>
      <c r="M256" s="62">
        <f>IF($J256="",0,$K256*MAX(0,MIN(YEAR($C$3)*12+MONTH($C$3)-1,YEAR($I256)*12+MONTH($I256))-(YEAR($H256)*12+MONTH($H256))+1))</f>
        <v/>
      </c>
      <c r="N256" s="62">
        <f>IF(OR($J256="",$B256=""),0,IF(YEAR($B256)*12+MONTH($B256)&lt;=YEAR($C$3)*12+MONTH($C$3),$G256,0))</f>
        <v/>
      </c>
      <c r="O256" s="62">
        <f>IF(OR($J256="",$B256=""),0,IF(YEAR($B256)*12+MONTH($B256)&lt;=YEAR($C$3)*12+MONTH($C$3)-1,$G256,0))</f>
        <v/>
      </c>
      <c r="P256" s="62">
        <f>$M256-$O256</f>
        <v/>
      </c>
      <c r="Q256" s="62">
        <f>($L256-$M256)-($N256-$O256)</f>
        <v/>
      </c>
      <c r="R256" s="62">
        <f>$L256-$N256</f>
        <v/>
      </c>
    </row>
    <row r="257">
      <c r="A257" s="59">
        <f>ROW()-5</f>
        <v/>
      </c>
      <c r="B257" s="60">
        <f>IFERROR(INDEX(tbl_Finance[Date],$A257),"")</f>
        <v/>
      </c>
      <c r="C257" s="61">
        <f>IFERROR(INDEX(tbl_Finance[Xero Invoice No],$A257),"")</f>
        <v/>
      </c>
      <c r="D257" s="61">
        <f>IFERROR(INDEX(tbl_Finance[Client],$A257),"")</f>
        <v/>
      </c>
      <c r="E257" s="61">
        <f>IFERROR(INDEX(tbl_Finance[Job Number],$A257),"")</f>
        <v/>
      </c>
      <c r="F257" s="61">
        <f>IFERROR(INDEX(tbl_Finance[Cost Centre],$A257),"")</f>
        <v/>
      </c>
      <c r="G257" s="62">
        <f>IFERROR(INDEX(tbl_Finance[Ex GST],$A257),"")</f>
        <v/>
      </c>
      <c r="H257" s="60">
        <f>IFERROR(INDEX(tbl_Finance[Defer Start],$A257),"")</f>
        <v/>
      </c>
      <c r="I257" s="60">
        <f>IFERROR(INDEX(tbl_Finance[Defer End],$A257),"")</f>
        <v/>
      </c>
      <c r="J257" s="59">
        <f>IF(OR($H257="",$I257="",$G257=""),"",MAX(1,(YEAR($I257)-YEAR($H257))*12+MONTH($I257)-MONTH($H257)+1))</f>
        <v/>
      </c>
      <c r="K257" s="62">
        <f>IF($J257="","",$G257/$J257)</f>
        <v/>
      </c>
      <c r="L257" s="62">
        <f>IF($J257="",0,$K257*MAX(0,MIN(YEAR($C$3)*12+MONTH($C$3),YEAR($I257)*12+MONTH($I257))-(YEAR($H257)*12+MONTH($H257))+1))</f>
        <v/>
      </c>
      <c r="M257" s="62">
        <f>IF($J257="",0,$K257*MAX(0,MIN(YEAR($C$3)*12+MONTH($C$3)-1,YEAR($I257)*12+MONTH($I257))-(YEAR($H257)*12+MONTH($H257))+1))</f>
        <v/>
      </c>
      <c r="N257" s="62">
        <f>IF(OR($J257="",$B257=""),0,IF(YEAR($B257)*12+MONTH($B257)&lt;=YEAR($C$3)*12+MONTH($C$3),$G257,0))</f>
        <v/>
      </c>
      <c r="O257" s="62">
        <f>IF(OR($J257="",$B257=""),0,IF(YEAR($B257)*12+MONTH($B257)&lt;=YEAR($C$3)*12+MONTH($C$3)-1,$G257,0))</f>
        <v/>
      </c>
      <c r="P257" s="62">
        <f>$M257-$O257</f>
        <v/>
      </c>
      <c r="Q257" s="62">
        <f>($L257-$M257)-($N257-$O257)</f>
        <v/>
      </c>
      <c r="R257" s="62">
        <f>$L257-$N257</f>
        <v/>
      </c>
    </row>
    <row r="258">
      <c r="A258" s="59">
        <f>ROW()-5</f>
        <v/>
      </c>
      <c r="B258" s="60">
        <f>IFERROR(INDEX(tbl_Finance[Date],$A258),"")</f>
        <v/>
      </c>
      <c r="C258" s="61">
        <f>IFERROR(INDEX(tbl_Finance[Xero Invoice No],$A258),"")</f>
        <v/>
      </c>
      <c r="D258" s="61">
        <f>IFERROR(INDEX(tbl_Finance[Client],$A258),"")</f>
        <v/>
      </c>
      <c r="E258" s="61">
        <f>IFERROR(INDEX(tbl_Finance[Job Number],$A258),"")</f>
        <v/>
      </c>
      <c r="F258" s="61">
        <f>IFERROR(INDEX(tbl_Finance[Cost Centre],$A258),"")</f>
        <v/>
      </c>
      <c r="G258" s="62">
        <f>IFERROR(INDEX(tbl_Finance[Ex GST],$A258),"")</f>
        <v/>
      </c>
      <c r="H258" s="60">
        <f>IFERROR(INDEX(tbl_Finance[Defer Start],$A258),"")</f>
        <v/>
      </c>
      <c r="I258" s="60">
        <f>IFERROR(INDEX(tbl_Finance[Defer End],$A258),"")</f>
        <v/>
      </c>
      <c r="J258" s="59">
        <f>IF(OR($H258="",$I258="",$G258=""),"",MAX(1,(YEAR($I258)-YEAR($H258))*12+MONTH($I258)-MONTH($H258)+1))</f>
        <v/>
      </c>
      <c r="K258" s="62">
        <f>IF($J258="","",$G258/$J258)</f>
        <v/>
      </c>
      <c r="L258" s="62">
        <f>IF($J258="",0,$K258*MAX(0,MIN(YEAR($C$3)*12+MONTH($C$3),YEAR($I258)*12+MONTH($I258))-(YEAR($H258)*12+MONTH($H258))+1))</f>
        <v/>
      </c>
      <c r="M258" s="62">
        <f>IF($J258="",0,$K258*MAX(0,MIN(YEAR($C$3)*12+MONTH($C$3)-1,YEAR($I258)*12+MONTH($I258))-(YEAR($H258)*12+MONTH($H258))+1))</f>
        <v/>
      </c>
      <c r="N258" s="62">
        <f>IF(OR($J258="",$B258=""),0,IF(YEAR($B258)*12+MONTH($B258)&lt;=YEAR($C$3)*12+MONTH($C$3),$G258,0))</f>
        <v/>
      </c>
      <c r="O258" s="62">
        <f>IF(OR($J258="",$B258=""),0,IF(YEAR($B258)*12+MONTH($B258)&lt;=YEAR($C$3)*12+MONTH($C$3)-1,$G258,0))</f>
        <v/>
      </c>
      <c r="P258" s="62">
        <f>$M258-$O258</f>
        <v/>
      </c>
      <c r="Q258" s="62">
        <f>($L258-$M258)-($N258-$O258)</f>
        <v/>
      </c>
      <c r="R258" s="62">
        <f>$L258-$N258</f>
        <v/>
      </c>
    </row>
    <row r="259">
      <c r="A259" s="59">
        <f>ROW()-5</f>
        <v/>
      </c>
      <c r="B259" s="60">
        <f>IFERROR(INDEX(tbl_Finance[Date],$A259),"")</f>
        <v/>
      </c>
      <c r="C259" s="61">
        <f>IFERROR(INDEX(tbl_Finance[Xero Invoice No],$A259),"")</f>
        <v/>
      </c>
      <c r="D259" s="61">
        <f>IFERROR(INDEX(tbl_Finance[Client],$A259),"")</f>
        <v/>
      </c>
      <c r="E259" s="61">
        <f>IFERROR(INDEX(tbl_Finance[Job Number],$A259),"")</f>
        <v/>
      </c>
      <c r="F259" s="61">
        <f>IFERROR(INDEX(tbl_Finance[Cost Centre],$A259),"")</f>
        <v/>
      </c>
      <c r="G259" s="62">
        <f>IFERROR(INDEX(tbl_Finance[Ex GST],$A259),"")</f>
        <v/>
      </c>
      <c r="H259" s="60">
        <f>IFERROR(INDEX(tbl_Finance[Defer Start],$A259),"")</f>
        <v/>
      </c>
      <c r="I259" s="60">
        <f>IFERROR(INDEX(tbl_Finance[Defer End],$A259),"")</f>
        <v/>
      </c>
      <c r="J259" s="59">
        <f>IF(OR($H259="",$I259="",$G259=""),"",MAX(1,(YEAR($I259)-YEAR($H259))*12+MONTH($I259)-MONTH($H259)+1))</f>
        <v/>
      </c>
      <c r="K259" s="62">
        <f>IF($J259="","",$G259/$J259)</f>
        <v/>
      </c>
      <c r="L259" s="62">
        <f>IF($J259="",0,$K259*MAX(0,MIN(YEAR($C$3)*12+MONTH($C$3),YEAR($I259)*12+MONTH($I259))-(YEAR($H259)*12+MONTH($H259))+1))</f>
        <v/>
      </c>
      <c r="M259" s="62">
        <f>IF($J259="",0,$K259*MAX(0,MIN(YEAR($C$3)*12+MONTH($C$3)-1,YEAR($I259)*12+MONTH($I259))-(YEAR($H259)*12+MONTH($H259))+1))</f>
        <v/>
      </c>
      <c r="N259" s="62">
        <f>IF(OR($J259="",$B259=""),0,IF(YEAR($B259)*12+MONTH($B259)&lt;=YEAR($C$3)*12+MONTH($C$3),$G259,0))</f>
        <v/>
      </c>
      <c r="O259" s="62">
        <f>IF(OR($J259="",$B259=""),0,IF(YEAR($B259)*12+MONTH($B259)&lt;=YEAR($C$3)*12+MONTH($C$3)-1,$G259,0))</f>
        <v/>
      </c>
      <c r="P259" s="62">
        <f>$M259-$O259</f>
        <v/>
      </c>
      <c r="Q259" s="62">
        <f>($L259-$M259)-($N259-$O259)</f>
        <v/>
      </c>
      <c r="R259" s="62">
        <f>$L259-$N259</f>
        <v/>
      </c>
    </row>
    <row r="260">
      <c r="A260" s="59">
        <f>ROW()-5</f>
        <v/>
      </c>
      <c r="B260" s="60">
        <f>IFERROR(INDEX(tbl_Finance[Date],$A260),"")</f>
        <v/>
      </c>
      <c r="C260" s="61">
        <f>IFERROR(INDEX(tbl_Finance[Xero Invoice No],$A260),"")</f>
        <v/>
      </c>
      <c r="D260" s="61">
        <f>IFERROR(INDEX(tbl_Finance[Client],$A260),"")</f>
        <v/>
      </c>
      <c r="E260" s="61">
        <f>IFERROR(INDEX(tbl_Finance[Job Number],$A260),"")</f>
        <v/>
      </c>
      <c r="F260" s="61">
        <f>IFERROR(INDEX(tbl_Finance[Cost Centre],$A260),"")</f>
        <v/>
      </c>
      <c r="G260" s="62">
        <f>IFERROR(INDEX(tbl_Finance[Ex GST],$A260),"")</f>
        <v/>
      </c>
      <c r="H260" s="60">
        <f>IFERROR(INDEX(tbl_Finance[Defer Start],$A260),"")</f>
        <v/>
      </c>
      <c r="I260" s="60">
        <f>IFERROR(INDEX(tbl_Finance[Defer End],$A260),"")</f>
        <v/>
      </c>
      <c r="J260" s="59">
        <f>IF(OR($H260="",$I260="",$G260=""),"",MAX(1,(YEAR($I260)-YEAR($H260))*12+MONTH($I260)-MONTH($H260)+1))</f>
        <v/>
      </c>
      <c r="K260" s="62">
        <f>IF($J260="","",$G260/$J260)</f>
        <v/>
      </c>
      <c r="L260" s="62">
        <f>IF($J260="",0,$K260*MAX(0,MIN(YEAR($C$3)*12+MONTH($C$3),YEAR($I260)*12+MONTH($I260))-(YEAR($H260)*12+MONTH($H260))+1))</f>
        <v/>
      </c>
      <c r="M260" s="62">
        <f>IF($J260="",0,$K260*MAX(0,MIN(YEAR($C$3)*12+MONTH($C$3)-1,YEAR($I260)*12+MONTH($I260))-(YEAR($H260)*12+MONTH($H260))+1))</f>
        <v/>
      </c>
      <c r="N260" s="62">
        <f>IF(OR($J260="",$B260=""),0,IF(YEAR($B260)*12+MONTH($B260)&lt;=YEAR($C$3)*12+MONTH($C$3),$G260,0))</f>
        <v/>
      </c>
      <c r="O260" s="62">
        <f>IF(OR($J260="",$B260=""),0,IF(YEAR($B260)*12+MONTH($B260)&lt;=YEAR($C$3)*12+MONTH($C$3)-1,$G260,0))</f>
        <v/>
      </c>
      <c r="P260" s="62">
        <f>$M260-$O260</f>
        <v/>
      </c>
      <c r="Q260" s="62">
        <f>($L260-$M260)-($N260-$O260)</f>
        <v/>
      </c>
      <c r="R260" s="62">
        <f>$L260-$N260</f>
        <v/>
      </c>
    </row>
    <row r="261">
      <c r="A261" s="59">
        <f>ROW()-5</f>
        <v/>
      </c>
      <c r="B261" s="60">
        <f>IFERROR(INDEX(tbl_Finance[Date],$A261),"")</f>
        <v/>
      </c>
      <c r="C261" s="61">
        <f>IFERROR(INDEX(tbl_Finance[Xero Invoice No],$A261),"")</f>
        <v/>
      </c>
      <c r="D261" s="61">
        <f>IFERROR(INDEX(tbl_Finance[Client],$A261),"")</f>
        <v/>
      </c>
      <c r="E261" s="61">
        <f>IFERROR(INDEX(tbl_Finance[Job Number],$A261),"")</f>
        <v/>
      </c>
      <c r="F261" s="61">
        <f>IFERROR(INDEX(tbl_Finance[Cost Centre],$A261),"")</f>
        <v/>
      </c>
      <c r="G261" s="62">
        <f>IFERROR(INDEX(tbl_Finance[Ex GST],$A261),"")</f>
        <v/>
      </c>
      <c r="H261" s="60">
        <f>IFERROR(INDEX(tbl_Finance[Defer Start],$A261),"")</f>
        <v/>
      </c>
      <c r="I261" s="60">
        <f>IFERROR(INDEX(tbl_Finance[Defer End],$A261),"")</f>
        <v/>
      </c>
      <c r="J261" s="59">
        <f>IF(OR($H261="",$I261="",$G261=""),"",MAX(1,(YEAR($I261)-YEAR($H261))*12+MONTH($I261)-MONTH($H261)+1))</f>
        <v/>
      </c>
      <c r="K261" s="62">
        <f>IF($J261="","",$G261/$J261)</f>
        <v/>
      </c>
      <c r="L261" s="62">
        <f>IF($J261="",0,$K261*MAX(0,MIN(YEAR($C$3)*12+MONTH($C$3),YEAR($I261)*12+MONTH($I261))-(YEAR($H261)*12+MONTH($H261))+1))</f>
        <v/>
      </c>
      <c r="M261" s="62">
        <f>IF($J261="",0,$K261*MAX(0,MIN(YEAR($C$3)*12+MONTH($C$3)-1,YEAR($I261)*12+MONTH($I261))-(YEAR($H261)*12+MONTH($H261))+1))</f>
        <v/>
      </c>
      <c r="N261" s="62">
        <f>IF(OR($J261="",$B261=""),0,IF(YEAR($B261)*12+MONTH($B261)&lt;=YEAR($C$3)*12+MONTH($C$3),$G261,0))</f>
        <v/>
      </c>
      <c r="O261" s="62">
        <f>IF(OR($J261="",$B261=""),0,IF(YEAR($B261)*12+MONTH($B261)&lt;=YEAR($C$3)*12+MONTH($C$3)-1,$G261,0))</f>
        <v/>
      </c>
      <c r="P261" s="62">
        <f>$M261-$O261</f>
        <v/>
      </c>
      <c r="Q261" s="62">
        <f>($L261-$M261)-($N261-$O261)</f>
        <v/>
      </c>
      <c r="R261" s="62">
        <f>$L261-$N261</f>
        <v/>
      </c>
    </row>
    <row r="262">
      <c r="A262" s="59">
        <f>ROW()-5</f>
        <v/>
      </c>
      <c r="B262" s="60">
        <f>IFERROR(INDEX(tbl_Finance[Date],$A262),"")</f>
        <v/>
      </c>
      <c r="C262" s="61">
        <f>IFERROR(INDEX(tbl_Finance[Xero Invoice No],$A262),"")</f>
        <v/>
      </c>
      <c r="D262" s="61">
        <f>IFERROR(INDEX(tbl_Finance[Client],$A262),"")</f>
        <v/>
      </c>
      <c r="E262" s="61">
        <f>IFERROR(INDEX(tbl_Finance[Job Number],$A262),"")</f>
        <v/>
      </c>
      <c r="F262" s="61">
        <f>IFERROR(INDEX(tbl_Finance[Cost Centre],$A262),"")</f>
        <v/>
      </c>
      <c r="G262" s="62">
        <f>IFERROR(INDEX(tbl_Finance[Ex GST],$A262),"")</f>
        <v/>
      </c>
      <c r="H262" s="60">
        <f>IFERROR(INDEX(tbl_Finance[Defer Start],$A262),"")</f>
        <v/>
      </c>
      <c r="I262" s="60">
        <f>IFERROR(INDEX(tbl_Finance[Defer End],$A262),"")</f>
        <v/>
      </c>
      <c r="J262" s="59">
        <f>IF(OR($H262="",$I262="",$G262=""),"",MAX(1,(YEAR($I262)-YEAR($H262))*12+MONTH($I262)-MONTH($H262)+1))</f>
        <v/>
      </c>
      <c r="K262" s="62">
        <f>IF($J262="","",$G262/$J262)</f>
        <v/>
      </c>
      <c r="L262" s="62">
        <f>IF($J262="",0,$K262*MAX(0,MIN(YEAR($C$3)*12+MONTH($C$3),YEAR($I262)*12+MONTH($I262))-(YEAR($H262)*12+MONTH($H262))+1))</f>
        <v/>
      </c>
      <c r="M262" s="62">
        <f>IF($J262="",0,$K262*MAX(0,MIN(YEAR($C$3)*12+MONTH($C$3)-1,YEAR($I262)*12+MONTH($I262))-(YEAR($H262)*12+MONTH($H262))+1))</f>
        <v/>
      </c>
      <c r="N262" s="62">
        <f>IF(OR($J262="",$B262=""),0,IF(YEAR($B262)*12+MONTH($B262)&lt;=YEAR($C$3)*12+MONTH($C$3),$G262,0))</f>
        <v/>
      </c>
      <c r="O262" s="62">
        <f>IF(OR($J262="",$B262=""),0,IF(YEAR($B262)*12+MONTH($B262)&lt;=YEAR($C$3)*12+MONTH($C$3)-1,$G262,0))</f>
        <v/>
      </c>
      <c r="P262" s="62">
        <f>$M262-$O262</f>
        <v/>
      </c>
      <c r="Q262" s="62">
        <f>($L262-$M262)-($N262-$O262)</f>
        <v/>
      </c>
      <c r="R262" s="62">
        <f>$L262-$N262</f>
        <v/>
      </c>
    </row>
    <row r="263">
      <c r="A263" s="59">
        <f>ROW()-5</f>
        <v/>
      </c>
      <c r="B263" s="60">
        <f>IFERROR(INDEX(tbl_Finance[Date],$A263),"")</f>
        <v/>
      </c>
      <c r="C263" s="61">
        <f>IFERROR(INDEX(tbl_Finance[Xero Invoice No],$A263),"")</f>
        <v/>
      </c>
      <c r="D263" s="61">
        <f>IFERROR(INDEX(tbl_Finance[Client],$A263),"")</f>
        <v/>
      </c>
      <c r="E263" s="61">
        <f>IFERROR(INDEX(tbl_Finance[Job Number],$A263),"")</f>
        <v/>
      </c>
      <c r="F263" s="61">
        <f>IFERROR(INDEX(tbl_Finance[Cost Centre],$A263),"")</f>
        <v/>
      </c>
      <c r="G263" s="62">
        <f>IFERROR(INDEX(tbl_Finance[Ex GST],$A263),"")</f>
        <v/>
      </c>
      <c r="H263" s="60">
        <f>IFERROR(INDEX(tbl_Finance[Defer Start],$A263),"")</f>
        <v/>
      </c>
      <c r="I263" s="60">
        <f>IFERROR(INDEX(tbl_Finance[Defer End],$A263),"")</f>
        <v/>
      </c>
      <c r="J263" s="59">
        <f>IF(OR($H263="",$I263="",$G263=""),"",MAX(1,(YEAR($I263)-YEAR($H263))*12+MONTH($I263)-MONTH($H263)+1))</f>
        <v/>
      </c>
      <c r="K263" s="62">
        <f>IF($J263="","",$G263/$J263)</f>
        <v/>
      </c>
      <c r="L263" s="62">
        <f>IF($J263="",0,$K263*MAX(0,MIN(YEAR($C$3)*12+MONTH($C$3),YEAR($I263)*12+MONTH($I263))-(YEAR($H263)*12+MONTH($H263))+1))</f>
        <v/>
      </c>
      <c r="M263" s="62">
        <f>IF($J263="",0,$K263*MAX(0,MIN(YEAR($C$3)*12+MONTH($C$3)-1,YEAR($I263)*12+MONTH($I263))-(YEAR($H263)*12+MONTH($H263))+1))</f>
        <v/>
      </c>
      <c r="N263" s="62">
        <f>IF(OR($J263="",$B263=""),0,IF(YEAR($B263)*12+MONTH($B263)&lt;=YEAR($C$3)*12+MONTH($C$3),$G263,0))</f>
        <v/>
      </c>
      <c r="O263" s="62">
        <f>IF(OR($J263="",$B263=""),0,IF(YEAR($B263)*12+MONTH($B263)&lt;=YEAR($C$3)*12+MONTH($C$3)-1,$G263,0))</f>
        <v/>
      </c>
      <c r="P263" s="62">
        <f>$M263-$O263</f>
        <v/>
      </c>
      <c r="Q263" s="62">
        <f>($L263-$M263)-($N263-$O263)</f>
        <v/>
      </c>
      <c r="R263" s="62">
        <f>$L263-$N263</f>
        <v/>
      </c>
    </row>
    <row r="264">
      <c r="A264" s="59">
        <f>ROW()-5</f>
        <v/>
      </c>
      <c r="B264" s="60">
        <f>IFERROR(INDEX(tbl_Finance[Date],$A264),"")</f>
        <v/>
      </c>
      <c r="C264" s="61">
        <f>IFERROR(INDEX(tbl_Finance[Xero Invoice No],$A264),"")</f>
        <v/>
      </c>
      <c r="D264" s="61">
        <f>IFERROR(INDEX(tbl_Finance[Client],$A264),"")</f>
        <v/>
      </c>
      <c r="E264" s="61">
        <f>IFERROR(INDEX(tbl_Finance[Job Number],$A264),"")</f>
        <v/>
      </c>
      <c r="F264" s="61">
        <f>IFERROR(INDEX(tbl_Finance[Cost Centre],$A264),"")</f>
        <v/>
      </c>
      <c r="G264" s="62">
        <f>IFERROR(INDEX(tbl_Finance[Ex GST],$A264),"")</f>
        <v/>
      </c>
      <c r="H264" s="60">
        <f>IFERROR(INDEX(tbl_Finance[Defer Start],$A264),"")</f>
        <v/>
      </c>
      <c r="I264" s="60">
        <f>IFERROR(INDEX(tbl_Finance[Defer End],$A264),"")</f>
        <v/>
      </c>
      <c r="J264" s="59">
        <f>IF(OR($H264="",$I264="",$G264=""),"",MAX(1,(YEAR($I264)-YEAR($H264))*12+MONTH($I264)-MONTH($H264)+1))</f>
        <v/>
      </c>
      <c r="K264" s="62">
        <f>IF($J264="","",$G264/$J264)</f>
        <v/>
      </c>
      <c r="L264" s="62">
        <f>IF($J264="",0,$K264*MAX(0,MIN(YEAR($C$3)*12+MONTH($C$3),YEAR($I264)*12+MONTH($I264))-(YEAR($H264)*12+MONTH($H264))+1))</f>
        <v/>
      </c>
      <c r="M264" s="62">
        <f>IF($J264="",0,$K264*MAX(0,MIN(YEAR($C$3)*12+MONTH($C$3)-1,YEAR($I264)*12+MONTH($I264))-(YEAR($H264)*12+MONTH($H264))+1))</f>
        <v/>
      </c>
      <c r="N264" s="62">
        <f>IF(OR($J264="",$B264=""),0,IF(YEAR($B264)*12+MONTH($B264)&lt;=YEAR($C$3)*12+MONTH($C$3),$G264,0))</f>
        <v/>
      </c>
      <c r="O264" s="62">
        <f>IF(OR($J264="",$B264=""),0,IF(YEAR($B264)*12+MONTH($B264)&lt;=YEAR($C$3)*12+MONTH($C$3)-1,$G264,0))</f>
        <v/>
      </c>
      <c r="P264" s="62">
        <f>$M264-$O264</f>
        <v/>
      </c>
      <c r="Q264" s="62">
        <f>($L264-$M264)-($N264-$O264)</f>
        <v/>
      </c>
      <c r="R264" s="62">
        <f>$L264-$N264</f>
        <v/>
      </c>
    </row>
    <row r="265">
      <c r="A265" s="59">
        <f>ROW()-5</f>
        <v/>
      </c>
      <c r="B265" s="60">
        <f>IFERROR(INDEX(tbl_Finance[Date],$A265),"")</f>
        <v/>
      </c>
      <c r="C265" s="61">
        <f>IFERROR(INDEX(tbl_Finance[Xero Invoice No],$A265),"")</f>
        <v/>
      </c>
      <c r="D265" s="61">
        <f>IFERROR(INDEX(tbl_Finance[Client],$A265),"")</f>
        <v/>
      </c>
      <c r="E265" s="61">
        <f>IFERROR(INDEX(tbl_Finance[Job Number],$A265),"")</f>
        <v/>
      </c>
      <c r="F265" s="61">
        <f>IFERROR(INDEX(tbl_Finance[Cost Centre],$A265),"")</f>
        <v/>
      </c>
      <c r="G265" s="62">
        <f>IFERROR(INDEX(tbl_Finance[Ex GST],$A265),"")</f>
        <v/>
      </c>
      <c r="H265" s="60">
        <f>IFERROR(INDEX(tbl_Finance[Defer Start],$A265),"")</f>
        <v/>
      </c>
      <c r="I265" s="60">
        <f>IFERROR(INDEX(tbl_Finance[Defer End],$A265),"")</f>
        <v/>
      </c>
      <c r="J265" s="59">
        <f>IF(OR($H265="",$I265="",$G265=""),"",MAX(1,(YEAR($I265)-YEAR($H265))*12+MONTH($I265)-MONTH($H265)+1))</f>
        <v/>
      </c>
      <c r="K265" s="62">
        <f>IF($J265="","",$G265/$J265)</f>
        <v/>
      </c>
      <c r="L265" s="62">
        <f>IF($J265="",0,$K265*MAX(0,MIN(YEAR($C$3)*12+MONTH($C$3),YEAR($I265)*12+MONTH($I265))-(YEAR($H265)*12+MONTH($H265))+1))</f>
        <v/>
      </c>
      <c r="M265" s="62">
        <f>IF($J265="",0,$K265*MAX(0,MIN(YEAR($C$3)*12+MONTH($C$3)-1,YEAR($I265)*12+MONTH($I265))-(YEAR($H265)*12+MONTH($H265))+1))</f>
        <v/>
      </c>
      <c r="N265" s="62">
        <f>IF(OR($J265="",$B265=""),0,IF(YEAR($B265)*12+MONTH($B265)&lt;=YEAR($C$3)*12+MONTH($C$3),$G265,0))</f>
        <v/>
      </c>
      <c r="O265" s="62">
        <f>IF(OR($J265="",$B265=""),0,IF(YEAR($B265)*12+MONTH($B265)&lt;=YEAR($C$3)*12+MONTH($C$3)-1,$G265,0))</f>
        <v/>
      </c>
      <c r="P265" s="62">
        <f>$M265-$O265</f>
        <v/>
      </c>
      <c r="Q265" s="62">
        <f>($L265-$M265)-($N265-$O265)</f>
        <v/>
      </c>
      <c r="R265" s="62">
        <f>$L265-$N265</f>
        <v/>
      </c>
    </row>
    <row r="266">
      <c r="A266" s="59">
        <f>ROW()-5</f>
        <v/>
      </c>
      <c r="B266" s="60">
        <f>IFERROR(INDEX(tbl_Finance[Date],$A266),"")</f>
        <v/>
      </c>
      <c r="C266" s="61">
        <f>IFERROR(INDEX(tbl_Finance[Xero Invoice No],$A266),"")</f>
        <v/>
      </c>
      <c r="D266" s="61">
        <f>IFERROR(INDEX(tbl_Finance[Client],$A266),"")</f>
        <v/>
      </c>
      <c r="E266" s="61">
        <f>IFERROR(INDEX(tbl_Finance[Job Number],$A266),"")</f>
        <v/>
      </c>
      <c r="F266" s="61">
        <f>IFERROR(INDEX(tbl_Finance[Cost Centre],$A266),"")</f>
        <v/>
      </c>
      <c r="G266" s="62">
        <f>IFERROR(INDEX(tbl_Finance[Ex GST],$A266),"")</f>
        <v/>
      </c>
      <c r="H266" s="60">
        <f>IFERROR(INDEX(tbl_Finance[Defer Start],$A266),"")</f>
        <v/>
      </c>
      <c r="I266" s="60">
        <f>IFERROR(INDEX(tbl_Finance[Defer End],$A266),"")</f>
        <v/>
      </c>
      <c r="J266" s="59">
        <f>IF(OR($H266="",$I266="",$G266=""),"",MAX(1,(YEAR($I266)-YEAR($H266))*12+MONTH($I266)-MONTH($H266)+1))</f>
        <v/>
      </c>
      <c r="K266" s="62">
        <f>IF($J266="","",$G266/$J266)</f>
        <v/>
      </c>
      <c r="L266" s="62">
        <f>IF($J266="",0,$K266*MAX(0,MIN(YEAR($C$3)*12+MONTH($C$3),YEAR($I266)*12+MONTH($I266))-(YEAR($H266)*12+MONTH($H266))+1))</f>
        <v/>
      </c>
      <c r="M266" s="62">
        <f>IF($J266="",0,$K266*MAX(0,MIN(YEAR($C$3)*12+MONTH($C$3)-1,YEAR($I266)*12+MONTH($I266))-(YEAR($H266)*12+MONTH($H266))+1))</f>
        <v/>
      </c>
      <c r="N266" s="62">
        <f>IF(OR($J266="",$B266=""),0,IF(YEAR($B266)*12+MONTH($B266)&lt;=YEAR($C$3)*12+MONTH($C$3),$G266,0))</f>
        <v/>
      </c>
      <c r="O266" s="62">
        <f>IF(OR($J266="",$B266=""),0,IF(YEAR($B266)*12+MONTH($B266)&lt;=YEAR($C$3)*12+MONTH($C$3)-1,$G266,0))</f>
        <v/>
      </c>
      <c r="P266" s="62">
        <f>$M266-$O266</f>
        <v/>
      </c>
      <c r="Q266" s="62">
        <f>($L266-$M266)-($N266-$O266)</f>
        <v/>
      </c>
      <c r="R266" s="62">
        <f>$L266-$N266</f>
        <v/>
      </c>
    </row>
    <row r="267">
      <c r="A267" s="59">
        <f>ROW()-5</f>
        <v/>
      </c>
      <c r="B267" s="60">
        <f>IFERROR(INDEX(tbl_Finance[Date],$A267),"")</f>
        <v/>
      </c>
      <c r="C267" s="61">
        <f>IFERROR(INDEX(tbl_Finance[Xero Invoice No],$A267),"")</f>
        <v/>
      </c>
      <c r="D267" s="61">
        <f>IFERROR(INDEX(tbl_Finance[Client],$A267),"")</f>
        <v/>
      </c>
      <c r="E267" s="61">
        <f>IFERROR(INDEX(tbl_Finance[Job Number],$A267),"")</f>
        <v/>
      </c>
      <c r="F267" s="61">
        <f>IFERROR(INDEX(tbl_Finance[Cost Centre],$A267),"")</f>
        <v/>
      </c>
      <c r="G267" s="62">
        <f>IFERROR(INDEX(tbl_Finance[Ex GST],$A267),"")</f>
        <v/>
      </c>
      <c r="H267" s="60">
        <f>IFERROR(INDEX(tbl_Finance[Defer Start],$A267),"")</f>
        <v/>
      </c>
      <c r="I267" s="60">
        <f>IFERROR(INDEX(tbl_Finance[Defer End],$A267),"")</f>
        <v/>
      </c>
      <c r="J267" s="59">
        <f>IF(OR($H267="",$I267="",$G267=""),"",MAX(1,(YEAR($I267)-YEAR($H267))*12+MONTH($I267)-MONTH($H267)+1))</f>
        <v/>
      </c>
      <c r="K267" s="62">
        <f>IF($J267="","",$G267/$J267)</f>
        <v/>
      </c>
      <c r="L267" s="62">
        <f>IF($J267="",0,$K267*MAX(0,MIN(YEAR($C$3)*12+MONTH($C$3),YEAR($I267)*12+MONTH($I267))-(YEAR($H267)*12+MONTH($H267))+1))</f>
        <v/>
      </c>
      <c r="M267" s="62">
        <f>IF($J267="",0,$K267*MAX(0,MIN(YEAR($C$3)*12+MONTH($C$3)-1,YEAR($I267)*12+MONTH($I267))-(YEAR($H267)*12+MONTH($H267))+1))</f>
        <v/>
      </c>
      <c r="N267" s="62">
        <f>IF(OR($J267="",$B267=""),0,IF(YEAR($B267)*12+MONTH($B267)&lt;=YEAR($C$3)*12+MONTH($C$3),$G267,0))</f>
        <v/>
      </c>
      <c r="O267" s="62">
        <f>IF(OR($J267="",$B267=""),0,IF(YEAR($B267)*12+MONTH($B267)&lt;=YEAR($C$3)*12+MONTH($C$3)-1,$G267,0))</f>
        <v/>
      </c>
      <c r="P267" s="62">
        <f>$M267-$O267</f>
        <v/>
      </c>
      <c r="Q267" s="62">
        <f>($L267-$M267)-($N267-$O267)</f>
        <v/>
      </c>
      <c r="R267" s="62">
        <f>$L267-$N267</f>
        <v/>
      </c>
    </row>
    <row r="268">
      <c r="A268" s="59">
        <f>ROW()-5</f>
        <v/>
      </c>
      <c r="B268" s="60">
        <f>IFERROR(INDEX(tbl_Finance[Date],$A268),"")</f>
        <v/>
      </c>
      <c r="C268" s="61">
        <f>IFERROR(INDEX(tbl_Finance[Xero Invoice No],$A268),"")</f>
        <v/>
      </c>
      <c r="D268" s="61">
        <f>IFERROR(INDEX(tbl_Finance[Client],$A268),"")</f>
        <v/>
      </c>
      <c r="E268" s="61">
        <f>IFERROR(INDEX(tbl_Finance[Job Number],$A268),"")</f>
        <v/>
      </c>
      <c r="F268" s="61">
        <f>IFERROR(INDEX(tbl_Finance[Cost Centre],$A268),"")</f>
        <v/>
      </c>
      <c r="G268" s="62">
        <f>IFERROR(INDEX(tbl_Finance[Ex GST],$A268),"")</f>
        <v/>
      </c>
      <c r="H268" s="60">
        <f>IFERROR(INDEX(tbl_Finance[Defer Start],$A268),"")</f>
        <v/>
      </c>
      <c r="I268" s="60">
        <f>IFERROR(INDEX(tbl_Finance[Defer End],$A268),"")</f>
        <v/>
      </c>
      <c r="J268" s="59">
        <f>IF(OR($H268="",$I268="",$G268=""),"",MAX(1,(YEAR($I268)-YEAR($H268))*12+MONTH($I268)-MONTH($H268)+1))</f>
        <v/>
      </c>
      <c r="K268" s="62">
        <f>IF($J268="","",$G268/$J268)</f>
        <v/>
      </c>
      <c r="L268" s="62">
        <f>IF($J268="",0,$K268*MAX(0,MIN(YEAR($C$3)*12+MONTH($C$3),YEAR($I268)*12+MONTH($I268))-(YEAR($H268)*12+MONTH($H268))+1))</f>
        <v/>
      </c>
      <c r="M268" s="62">
        <f>IF($J268="",0,$K268*MAX(0,MIN(YEAR($C$3)*12+MONTH($C$3)-1,YEAR($I268)*12+MONTH($I268))-(YEAR($H268)*12+MONTH($H268))+1))</f>
        <v/>
      </c>
      <c r="N268" s="62">
        <f>IF(OR($J268="",$B268=""),0,IF(YEAR($B268)*12+MONTH($B268)&lt;=YEAR($C$3)*12+MONTH($C$3),$G268,0))</f>
        <v/>
      </c>
      <c r="O268" s="62">
        <f>IF(OR($J268="",$B268=""),0,IF(YEAR($B268)*12+MONTH($B268)&lt;=YEAR($C$3)*12+MONTH($C$3)-1,$G268,0))</f>
        <v/>
      </c>
      <c r="P268" s="62">
        <f>$M268-$O268</f>
        <v/>
      </c>
      <c r="Q268" s="62">
        <f>($L268-$M268)-($N268-$O268)</f>
        <v/>
      </c>
      <c r="R268" s="62">
        <f>$L268-$N268</f>
        <v/>
      </c>
    </row>
    <row r="269">
      <c r="A269" s="59">
        <f>ROW()-5</f>
        <v/>
      </c>
      <c r="B269" s="60">
        <f>IFERROR(INDEX(tbl_Finance[Date],$A269),"")</f>
        <v/>
      </c>
      <c r="C269" s="61">
        <f>IFERROR(INDEX(tbl_Finance[Xero Invoice No],$A269),"")</f>
        <v/>
      </c>
      <c r="D269" s="61">
        <f>IFERROR(INDEX(tbl_Finance[Client],$A269),"")</f>
        <v/>
      </c>
      <c r="E269" s="61">
        <f>IFERROR(INDEX(tbl_Finance[Job Number],$A269),"")</f>
        <v/>
      </c>
      <c r="F269" s="61">
        <f>IFERROR(INDEX(tbl_Finance[Cost Centre],$A269),"")</f>
        <v/>
      </c>
      <c r="G269" s="62">
        <f>IFERROR(INDEX(tbl_Finance[Ex GST],$A269),"")</f>
        <v/>
      </c>
      <c r="H269" s="60">
        <f>IFERROR(INDEX(tbl_Finance[Defer Start],$A269),"")</f>
        <v/>
      </c>
      <c r="I269" s="60">
        <f>IFERROR(INDEX(tbl_Finance[Defer End],$A269),"")</f>
        <v/>
      </c>
      <c r="J269" s="59">
        <f>IF(OR($H269="",$I269="",$G269=""),"",MAX(1,(YEAR($I269)-YEAR($H269))*12+MONTH($I269)-MONTH($H269)+1))</f>
        <v/>
      </c>
      <c r="K269" s="62">
        <f>IF($J269="","",$G269/$J269)</f>
        <v/>
      </c>
      <c r="L269" s="62">
        <f>IF($J269="",0,$K269*MAX(0,MIN(YEAR($C$3)*12+MONTH($C$3),YEAR($I269)*12+MONTH($I269))-(YEAR($H269)*12+MONTH($H269))+1))</f>
        <v/>
      </c>
      <c r="M269" s="62">
        <f>IF($J269="",0,$K269*MAX(0,MIN(YEAR($C$3)*12+MONTH($C$3)-1,YEAR($I269)*12+MONTH($I269))-(YEAR($H269)*12+MONTH($H269))+1))</f>
        <v/>
      </c>
      <c r="N269" s="62">
        <f>IF(OR($J269="",$B269=""),0,IF(YEAR($B269)*12+MONTH($B269)&lt;=YEAR($C$3)*12+MONTH($C$3),$G269,0))</f>
        <v/>
      </c>
      <c r="O269" s="62">
        <f>IF(OR($J269="",$B269=""),0,IF(YEAR($B269)*12+MONTH($B269)&lt;=YEAR($C$3)*12+MONTH($C$3)-1,$G269,0))</f>
        <v/>
      </c>
      <c r="P269" s="62">
        <f>$M269-$O269</f>
        <v/>
      </c>
      <c r="Q269" s="62">
        <f>($L269-$M269)-($N269-$O269)</f>
        <v/>
      </c>
      <c r="R269" s="62">
        <f>$L269-$N269</f>
        <v/>
      </c>
    </row>
    <row r="270">
      <c r="A270" s="59">
        <f>ROW()-5</f>
        <v/>
      </c>
      <c r="B270" s="60">
        <f>IFERROR(INDEX(tbl_Finance[Date],$A270),"")</f>
        <v/>
      </c>
      <c r="C270" s="61">
        <f>IFERROR(INDEX(tbl_Finance[Xero Invoice No],$A270),"")</f>
        <v/>
      </c>
      <c r="D270" s="61">
        <f>IFERROR(INDEX(tbl_Finance[Client],$A270),"")</f>
        <v/>
      </c>
      <c r="E270" s="61">
        <f>IFERROR(INDEX(tbl_Finance[Job Number],$A270),"")</f>
        <v/>
      </c>
      <c r="F270" s="61">
        <f>IFERROR(INDEX(tbl_Finance[Cost Centre],$A270),"")</f>
        <v/>
      </c>
      <c r="G270" s="62">
        <f>IFERROR(INDEX(tbl_Finance[Ex GST],$A270),"")</f>
        <v/>
      </c>
      <c r="H270" s="60">
        <f>IFERROR(INDEX(tbl_Finance[Defer Start],$A270),"")</f>
        <v/>
      </c>
      <c r="I270" s="60">
        <f>IFERROR(INDEX(tbl_Finance[Defer End],$A270),"")</f>
        <v/>
      </c>
      <c r="J270" s="59">
        <f>IF(OR($H270="",$I270="",$G270=""),"",MAX(1,(YEAR($I270)-YEAR($H270))*12+MONTH($I270)-MONTH($H270)+1))</f>
        <v/>
      </c>
      <c r="K270" s="62">
        <f>IF($J270="","",$G270/$J270)</f>
        <v/>
      </c>
      <c r="L270" s="62">
        <f>IF($J270="",0,$K270*MAX(0,MIN(YEAR($C$3)*12+MONTH($C$3),YEAR($I270)*12+MONTH($I270))-(YEAR($H270)*12+MONTH($H270))+1))</f>
        <v/>
      </c>
      <c r="M270" s="62">
        <f>IF($J270="",0,$K270*MAX(0,MIN(YEAR($C$3)*12+MONTH($C$3)-1,YEAR($I270)*12+MONTH($I270))-(YEAR($H270)*12+MONTH($H270))+1))</f>
        <v/>
      </c>
      <c r="N270" s="62">
        <f>IF(OR($J270="",$B270=""),0,IF(YEAR($B270)*12+MONTH($B270)&lt;=YEAR($C$3)*12+MONTH($C$3),$G270,0))</f>
        <v/>
      </c>
      <c r="O270" s="62">
        <f>IF(OR($J270="",$B270=""),0,IF(YEAR($B270)*12+MONTH($B270)&lt;=YEAR($C$3)*12+MONTH($C$3)-1,$G270,0))</f>
        <v/>
      </c>
      <c r="P270" s="62">
        <f>$M270-$O270</f>
        <v/>
      </c>
      <c r="Q270" s="62">
        <f>($L270-$M270)-($N270-$O270)</f>
        <v/>
      </c>
      <c r="R270" s="62">
        <f>$L270-$N270</f>
        <v/>
      </c>
    </row>
    <row r="271">
      <c r="A271" s="59">
        <f>ROW()-5</f>
        <v/>
      </c>
      <c r="B271" s="60">
        <f>IFERROR(INDEX(tbl_Finance[Date],$A271),"")</f>
        <v/>
      </c>
      <c r="C271" s="61">
        <f>IFERROR(INDEX(tbl_Finance[Xero Invoice No],$A271),"")</f>
        <v/>
      </c>
      <c r="D271" s="61">
        <f>IFERROR(INDEX(tbl_Finance[Client],$A271),"")</f>
        <v/>
      </c>
      <c r="E271" s="61">
        <f>IFERROR(INDEX(tbl_Finance[Job Number],$A271),"")</f>
        <v/>
      </c>
      <c r="F271" s="61">
        <f>IFERROR(INDEX(tbl_Finance[Cost Centre],$A271),"")</f>
        <v/>
      </c>
      <c r="G271" s="62">
        <f>IFERROR(INDEX(tbl_Finance[Ex GST],$A271),"")</f>
        <v/>
      </c>
      <c r="H271" s="60">
        <f>IFERROR(INDEX(tbl_Finance[Defer Start],$A271),"")</f>
        <v/>
      </c>
      <c r="I271" s="60">
        <f>IFERROR(INDEX(tbl_Finance[Defer End],$A271),"")</f>
        <v/>
      </c>
      <c r="J271" s="59">
        <f>IF(OR($H271="",$I271="",$G271=""),"",MAX(1,(YEAR($I271)-YEAR($H271))*12+MONTH($I271)-MONTH($H271)+1))</f>
        <v/>
      </c>
      <c r="K271" s="62">
        <f>IF($J271="","",$G271/$J271)</f>
        <v/>
      </c>
      <c r="L271" s="62">
        <f>IF($J271="",0,$K271*MAX(0,MIN(YEAR($C$3)*12+MONTH($C$3),YEAR($I271)*12+MONTH($I271))-(YEAR($H271)*12+MONTH($H271))+1))</f>
        <v/>
      </c>
      <c r="M271" s="62">
        <f>IF($J271="",0,$K271*MAX(0,MIN(YEAR($C$3)*12+MONTH($C$3)-1,YEAR($I271)*12+MONTH($I271))-(YEAR($H271)*12+MONTH($H271))+1))</f>
        <v/>
      </c>
      <c r="N271" s="62">
        <f>IF(OR($J271="",$B271=""),0,IF(YEAR($B271)*12+MONTH($B271)&lt;=YEAR($C$3)*12+MONTH($C$3),$G271,0))</f>
        <v/>
      </c>
      <c r="O271" s="62">
        <f>IF(OR($J271="",$B271=""),0,IF(YEAR($B271)*12+MONTH($B271)&lt;=YEAR($C$3)*12+MONTH($C$3)-1,$G271,0))</f>
        <v/>
      </c>
      <c r="P271" s="62">
        <f>$M271-$O271</f>
        <v/>
      </c>
      <c r="Q271" s="62">
        <f>($L271-$M271)-($N271-$O271)</f>
        <v/>
      </c>
      <c r="R271" s="62">
        <f>$L271-$N271</f>
        <v/>
      </c>
    </row>
    <row r="272">
      <c r="A272" s="59">
        <f>ROW()-5</f>
        <v/>
      </c>
      <c r="B272" s="60">
        <f>IFERROR(INDEX(tbl_Finance[Date],$A272),"")</f>
        <v/>
      </c>
      <c r="C272" s="61">
        <f>IFERROR(INDEX(tbl_Finance[Xero Invoice No],$A272),"")</f>
        <v/>
      </c>
      <c r="D272" s="61">
        <f>IFERROR(INDEX(tbl_Finance[Client],$A272),"")</f>
        <v/>
      </c>
      <c r="E272" s="61">
        <f>IFERROR(INDEX(tbl_Finance[Job Number],$A272),"")</f>
        <v/>
      </c>
      <c r="F272" s="61">
        <f>IFERROR(INDEX(tbl_Finance[Cost Centre],$A272),"")</f>
        <v/>
      </c>
      <c r="G272" s="62">
        <f>IFERROR(INDEX(tbl_Finance[Ex GST],$A272),"")</f>
        <v/>
      </c>
      <c r="H272" s="60">
        <f>IFERROR(INDEX(tbl_Finance[Defer Start],$A272),"")</f>
        <v/>
      </c>
      <c r="I272" s="60">
        <f>IFERROR(INDEX(tbl_Finance[Defer End],$A272),"")</f>
        <v/>
      </c>
      <c r="J272" s="59">
        <f>IF(OR($H272="",$I272="",$G272=""),"",MAX(1,(YEAR($I272)-YEAR($H272))*12+MONTH($I272)-MONTH($H272)+1))</f>
        <v/>
      </c>
      <c r="K272" s="62">
        <f>IF($J272="","",$G272/$J272)</f>
        <v/>
      </c>
      <c r="L272" s="62">
        <f>IF($J272="",0,$K272*MAX(0,MIN(YEAR($C$3)*12+MONTH($C$3),YEAR($I272)*12+MONTH($I272))-(YEAR($H272)*12+MONTH($H272))+1))</f>
        <v/>
      </c>
      <c r="M272" s="62">
        <f>IF($J272="",0,$K272*MAX(0,MIN(YEAR($C$3)*12+MONTH($C$3)-1,YEAR($I272)*12+MONTH($I272))-(YEAR($H272)*12+MONTH($H272))+1))</f>
        <v/>
      </c>
      <c r="N272" s="62">
        <f>IF(OR($J272="",$B272=""),0,IF(YEAR($B272)*12+MONTH($B272)&lt;=YEAR($C$3)*12+MONTH($C$3),$G272,0))</f>
        <v/>
      </c>
      <c r="O272" s="62">
        <f>IF(OR($J272="",$B272=""),0,IF(YEAR($B272)*12+MONTH($B272)&lt;=YEAR($C$3)*12+MONTH($C$3)-1,$G272,0))</f>
        <v/>
      </c>
      <c r="P272" s="62">
        <f>$M272-$O272</f>
        <v/>
      </c>
      <c r="Q272" s="62">
        <f>($L272-$M272)-($N272-$O272)</f>
        <v/>
      </c>
      <c r="R272" s="62">
        <f>$L272-$N272</f>
        <v/>
      </c>
    </row>
    <row r="273">
      <c r="A273" s="59">
        <f>ROW()-5</f>
        <v/>
      </c>
      <c r="B273" s="60">
        <f>IFERROR(INDEX(tbl_Finance[Date],$A273),"")</f>
        <v/>
      </c>
      <c r="C273" s="61">
        <f>IFERROR(INDEX(tbl_Finance[Xero Invoice No],$A273),"")</f>
        <v/>
      </c>
      <c r="D273" s="61">
        <f>IFERROR(INDEX(tbl_Finance[Client],$A273),"")</f>
        <v/>
      </c>
      <c r="E273" s="61">
        <f>IFERROR(INDEX(tbl_Finance[Job Number],$A273),"")</f>
        <v/>
      </c>
      <c r="F273" s="61">
        <f>IFERROR(INDEX(tbl_Finance[Cost Centre],$A273),"")</f>
        <v/>
      </c>
      <c r="G273" s="62">
        <f>IFERROR(INDEX(tbl_Finance[Ex GST],$A273),"")</f>
        <v/>
      </c>
      <c r="H273" s="60">
        <f>IFERROR(INDEX(tbl_Finance[Defer Start],$A273),"")</f>
        <v/>
      </c>
      <c r="I273" s="60">
        <f>IFERROR(INDEX(tbl_Finance[Defer End],$A273),"")</f>
        <v/>
      </c>
      <c r="J273" s="59">
        <f>IF(OR($H273="",$I273="",$G273=""),"",MAX(1,(YEAR($I273)-YEAR($H273))*12+MONTH($I273)-MONTH($H273)+1))</f>
        <v/>
      </c>
      <c r="K273" s="62">
        <f>IF($J273="","",$G273/$J273)</f>
        <v/>
      </c>
      <c r="L273" s="62">
        <f>IF($J273="",0,$K273*MAX(0,MIN(YEAR($C$3)*12+MONTH($C$3),YEAR($I273)*12+MONTH($I273))-(YEAR($H273)*12+MONTH($H273))+1))</f>
        <v/>
      </c>
      <c r="M273" s="62">
        <f>IF($J273="",0,$K273*MAX(0,MIN(YEAR($C$3)*12+MONTH($C$3)-1,YEAR($I273)*12+MONTH($I273))-(YEAR($H273)*12+MONTH($H273))+1))</f>
        <v/>
      </c>
      <c r="N273" s="62">
        <f>IF(OR($J273="",$B273=""),0,IF(YEAR($B273)*12+MONTH($B273)&lt;=YEAR($C$3)*12+MONTH($C$3),$G273,0))</f>
        <v/>
      </c>
      <c r="O273" s="62">
        <f>IF(OR($J273="",$B273=""),0,IF(YEAR($B273)*12+MONTH($B273)&lt;=YEAR($C$3)*12+MONTH($C$3)-1,$G273,0))</f>
        <v/>
      </c>
      <c r="P273" s="62">
        <f>$M273-$O273</f>
        <v/>
      </c>
      <c r="Q273" s="62">
        <f>($L273-$M273)-($N273-$O273)</f>
        <v/>
      </c>
      <c r="R273" s="62">
        <f>$L273-$N273</f>
        <v/>
      </c>
    </row>
    <row r="274">
      <c r="A274" s="59">
        <f>ROW()-5</f>
        <v/>
      </c>
      <c r="B274" s="60">
        <f>IFERROR(INDEX(tbl_Finance[Date],$A274),"")</f>
        <v/>
      </c>
      <c r="C274" s="61">
        <f>IFERROR(INDEX(tbl_Finance[Xero Invoice No],$A274),"")</f>
        <v/>
      </c>
      <c r="D274" s="61">
        <f>IFERROR(INDEX(tbl_Finance[Client],$A274),"")</f>
        <v/>
      </c>
      <c r="E274" s="61">
        <f>IFERROR(INDEX(tbl_Finance[Job Number],$A274),"")</f>
        <v/>
      </c>
      <c r="F274" s="61">
        <f>IFERROR(INDEX(tbl_Finance[Cost Centre],$A274),"")</f>
        <v/>
      </c>
      <c r="G274" s="62">
        <f>IFERROR(INDEX(tbl_Finance[Ex GST],$A274),"")</f>
        <v/>
      </c>
      <c r="H274" s="60">
        <f>IFERROR(INDEX(tbl_Finance[Defer Start],$A274),"")</f>
        <v/>
      </c>
      <c r="I274" s="60">
        <f>IFERROR(INDEX(tbl_Finance[Defer End],$A274),"")</f>
        <v/>
      </c>
      <c r="J274" s="59">
        <f>IF(OR($H274="",$I274="",$G274=""),"",MAX(1,(YEAR($I274)-YEAR($H274))*12+MONTH($I274)-MONTH($H274)+1))</f>
        <v/>
      </c>
      <c r="K274" s="62">
        <f>IF($J274="","",$G274/$J274)</f>
        <v/>
      </c>
      <c r="L274" s="62">
        <f>IF($J274="",0,$K274*MAX(0,MIN(YEAR($C$3)*12+MONTH($C$3),YEAR($I274)*12+MONTH($I274))-(YEAR($H274)*12+MONTH($H274))+1))</f>
        <v/>
      </c>
      <c r="M274" s="62">
        <f>IF($J274="",0,$K274*MAX(0,MIN(YEAR($C$3)*12+MONTH($C$3)-1,YEAR($I274)*12+MONTH($I274))-(YEAR($H274)*12+MONTH($H274))+1))</f>
        <v/>
      </c>
      <c r="N274" s="62">
        <f>IF(OR($J274="",$B274=""),0,IF(YEAR($B274)*12+MONTH($B274)&lt;=YEAR($C$3)*12+MONTH($C$3),$G274,0))</f>
        <v/>
      </c>
      <c r="O274" s="62">
        <f>IF(OR($J274="",$B274=""),0,IF(YEAR($B274)*12+MONTH($B274)&lt;=YEAR($C$3)*12+MONTH($C$3)-1,$G274,0))</f>
        <v/>
      </c>
      <c r="P274" s="62">
        <f>$M274-$O274</f>
        <v/>
      </c>
      <c r="Q274" s="62">
        <f>($L274-$M274)-($N274-$O274)</f>
        <v/>
      </c>
      <c r="R274" s="62">
        <f>$L274-$N274</f>
        <v/>
      </c>
    </row>
    <row r="275">
      <c r="A275" s="59">
        <f>ROW()-5</f>
        <v/>
      </c>
      <c r="B275" s="60">
        <f>IFERROR(INDEX(tbl_Finance[Date],$A275),"")</f>
        <v/>
      </c>
      <c r="C275" s="61">
        <f>IFERROR(INDEX(tbl_Finance[Xero Invoice No],$A275),"")</f>
        <v/>
      </c>
      <c r="D275" s="61">
        <f>IFERROR(INDEX(tbl_Finance[Client],$A275),"")</f>
        <v/>
      </c>
      <c r="E275" s="61">
        <f>IFERROR(INDEX(tbl_Finance[Job Number],$A275),"")</f>
        <v/>
      </c>
      <c r="F275" s="61">
        <f>IFERROR(INDEX(tbl_Finance[Cost Centre],$A275),"")</f>
        <v/>
      </c>
      <c r="G275" s="62">
        <f>IFERROR(INDEX(tbl_Finance[Ex GST],$A275),"")</f>
        <v/>
      </c>
      <c r="H275" s="60">
        <f>IFERROR(INDEX(tbl_Finance[Defer Start],$A275),"")</f>
        <v/>
      </c>
      <c r="I275" s="60">
        <f>IFERROR(INDEX(tbl_Finance[Defer End],$A275),"")</f>
        <v/>
      </c>
      <c r="J275" s="59">
        <f>IF(OR($H275="",$I275="",$G275=""),"",MAX(1,(YEAR($I275)-YEAR($H275))*12+MONTH($I275)-MONTH($H275)+1))</f>
        <v/>
      </c>
      <c r="K275" s="62">
        <f>IF($J275="","",$G275/$J275)</f>
        <v/>
      </c>
      <c r="L275" s="62">
        <f>IF($J275="",0,$K275*MAX(0,MIN(YEAR($C$3)*12+MONTH($C$3),YEAR($I275)*12+MONTH($I275))-(YEAR($H275)*12+MONTH($H275))+1))</f>
        <v/>
      </c>
      <c r="M275" s="62">
        <f>IF($J275="",0,$K275*MAX(0,MIN(YEAR($C$3)*12+MONTH($C$3)-1,YEAR($I275)*12+MONTH($I275))-(YEAR($H275)*12+MONTH($H275))+1))</f>
        <v/>
      </c>
      <c r="N275" s="62">
        <f>IF(OR($J275="",$B275=""),0,IF(YEAR($B275)*12+MONTH($B275)&lt;=YEAR($C$3)*12+MONTH($C$3),$G275,0))</f>
        <v/>
      </c>
      <c r="O275" s="62">
        <f>IF(OR($J275="",$B275=""),0,IF(YEAR($B275)*12+MONTH($B275)&lt;=YEAR($C$3)*12+MONTH($C$3)-1,$G275,0))</f>
        <v/>
      </c>
      <c r="P275" s="62">
        <f>$M275-$O275</f>
        <v/>
      </c>
      <c r="Q275" s="62">
        <f>($L275-$M275)-($N275-$O275)</f>
        <v/>
      </c>
      <c r="R275" s="62">
        <f>$L275-$N275</f>
        <v/>
      </c>
    </row>
    <row r="276">
      <c r="A276" s="59">
        <f>ROW()-5</f>
        <v/>
      </c>
      <c r="B276" s="60">
        <f>IFERROR(INDEX(tbl_Finance[Date],$A276),"")</f>
        <v/>
      </c>
      <c r="C276" s="61">
        <f>IFERROR(INDEX(tbl_Finance[Xero Invoice No],$A276),"")</f>
        <v/>
      </c>
      <c r="D276" s="61">
        <f>IFERROR(INDEX(tbl_Finance[Client],$A276),"")</f>
        <v/>
      </c>
      <c r="E276" s="61">
        <f>IFERROR(INDEX(tbl_Finance[Job Number],$A276),"")</f>
        <v/>
      </c>
      <c r="F276" s="61">
        <f>IFERROR(INDEX(tbl_Finance[Cost Centre],$A276),"")</f>
        <v/>
      </c>
      <c r="G276" s="62">
        <f>IFERROR(INDEX(tbl_Finance[Ex GST],$A276),"")</f>
        <v/>
      </c>
      <c r="H276" s="60">
        <f>IFERROR(INDEX(tbl_Finance[Defer Start],$A276),"")</f>
        <v/>
      </c>
      <c r="I276" s="60">
        <f>IFERROR(INDEX(tbl_Finance[Defer End],$A276),"")</f>
        <v/>
      </c>
      <c r="J276" s="59">
        <f>IF(OR($H276="",$I276="",$G276=""),"",MAX(1,(YEAR($I276)-YEAR($H276))*12+MONTH($I276)-MONTH($H276)+1))</f>
        <v/>
      </c>
      <c r="K276" s="62">
        <f>IF($J276="","",$G276/$J276)</f>
        <v/>
      </c>
      <c r="L276" s="62">
        <f>IF($J276="",0,$K276*MAX(0,MIN(YEAR($C$3)*12+MONTH($C$3),YEAR($I276)*12+MONTH($I276))-(YEAR($H276)*12+MONTH($H276))+1))</f>
        <v/>
      </c>
      <c r="M276" s="62">
        <f>IF($J276="",0,$K276*MAX(0,MIN(YEAR($C$3)*12+MONTH($C$3)-1,YEAR($I276)*12+MONTH($I276))-(YEAR($H276)*12+MONTH($H276))+1))</f>
        <v/>
      </c>
      <c r="N276" s="62">
        <f>IF(OR($J276="",$B276=""),0,IF(YEAR($B276)*12+MONTH($B276)&lt;=YEAR($C$3)*12+MONTH($C$3),$G276,0))</f>
        <v/>
      </c>
      <c r="O276" s="62">
        <f>IF(OR($J276="",$B276=""),0,IF(YEAR($B276)*12+MONTH($B276)&lt;=YEAR($C$3)*12+MONTH($C$3)-1,$G276,0))</f>
        <v/>
      </c>
      <c r="P276" s="62">
        <f>$M276-$O276</f>
        <v/>
      </c>
      <c r="Q276" s="62">
        <f>($L276-$M276)-($N276-$O276)</f>
        <v/>
      </c>
      <c r="R276" s="62">
        <f>$L276-$N276</f>
        <v/>
      </c>
    </row>
    <row r="277">
      <c r="A277" s="59">
        <f>ROW()-5</f>
        <v/>
      </c>
      <c r="B277" s="60">
        <f>IFERROR(INDEX(tbl_Finance[Date],$A277),"")</f>
        <v/>
      </c>
      <c r="C277" s="61">
        <f>IFERROR(INDEX(tbl_Finance[Xero Invoice No],$A277),"")</f>
        <v/>
      </c>
      <c r="D277" s="61">
        <f>IFERROR(INDEX(tbl_Finance[Client],$A277),"")</f>
        <v/>
      </c>
      <c r="E277" s="61">
        <f>IFERROR(INDEX(tbl_Finance[Job Number],$A277),"")</f>
        <v/>
      </c>
      <c r="F277" s="61">
        <f>IFERROR(INDEX(tbl_Finance[Cost Centre],$A277),"")</f>
        <v/>
      </c>
      <c r="G277" s="62">
        <f>IFERROR(INDEX(tbl_Finance[Ex GST],$A277),"")</f>
        <v/>
      </c>
      <c r="H277" s="60">
        <f>IFERROR(INDEX(tbl_Finance[Defer Start],$A277),"")</f>
        <v/>
      </c>
      <c r="I277" s="60">
        <f>IFERROR(INDEX(tbl_Finance[Defer End],$A277),"")</f>
        <v/>
      </c>
      <c r="J277" s="59">
        <f>IF(OR($H277="",$I277="",$G277=""),"",MAX(1,(YEAR($I277)-YEAR($H277))*12+MONTH($I277)-MONTH($H277)+1))</f>
        <v/>
      </c>
      <c r="K277" s="62">
        <f>IF($J277="","",$G277/$J277)</f>
        <v/>
      </c>
      <c r="L277" s="62">
        <f>IF($J277="",0,$K277*MAX(0,MIN(YEAR($C$3)*12+MONTH($C$3),YEAR($I277)*12+MONTH($I277))-(YEAR($H277)*12+MONTH($H277))+1))</f>
        <v/>
      </c>
      <c r="M277" s="62">
        <f>IF($J277="",0,$K277*MAX(0,MIN(YEAR($C$3)*12+MONTH($C$3)-1,YEAR($I277)*12+MONTH($I277))-(YEAR($H277)*12+MONTH($H277))+1))</f>
        <v/>
      </c>
      <c r="N277" s="62">
        <f>IF(OR($J277="",$B277=""),0,IF(YEAR($B277)*12+MONTH($B277)&lt;=YEAR($C$3)*12+MONTH($C$3),$G277,0))</f>
        <v/>
      </c>
      <c r="O277" s="62">
        <f>IF(OR($J277="",$B277=""),0,IF(YEAR($B277)*12+MONTH($B277)&lt;=YEAR($C$3)*12+MONTH($C$3)-1,$G277,0))</f>
        <v/>
      </c>
      <c r="P277" s="62">
        <f>$M277-$O277</f>
        <v/>
      </c>
      <c r="Q277" s="62">
        <f>($L277-$M277)-($N277-$O277)</f>
        <v/>
      </c>
      <c r="R277" s="62">
        <f>$L277-$N277</f>
        <v/>
      </c>
    </row>
    <row r="278">
      <c r="A278" s="59">
        <f>ROW()-5</f>
        <v/>
      </c>
      <c r="B278" s="60">
        <f>IFERROR(INDEX(tbl_Finance[Date],$A278),"")</f>
        <v/>
      </c>
      <c r="C278" s="61">
        <f>IFERROR(INDEX(tbl_Finance[Xero Invoice No],$A278),"")</f>
        <v/>
      </c>
      <c r="D278" s="61">
        <f>IFERROR(INDEX(tbl_Finance[Client],$A278),"")</f>
        <v/>
      </c>
      <c r="E278" s="61">
        <f>IFERROR(INDEX(tbl_Finance[Job Number],$A278),"")</f>
        <v/>
      </c>
      <c r="F278" s="61">
        <f>IFERROR(INDEX(tbl_Finance[Cost Centre],$A278),"")</f>
        <v/>
      </c>
      <c r="G278" s="62">
        <f>IFERROR(INDEX(tbl_Finance[Ex GST],$A278),"")</f>
        <v/>
      </c>
      <c r="H278" s="60">
        <f>IFERROR(INDEX(tbl_Finance[Defer Start],$A278),"")</f>
        <v/>
      </c>
      <c r="I278" s="60">
        <f>IFERROR(INDEX(tbl_Finance[Defer End],$A278),"")</f>
        <v/>
      </c>
      <c r="J278" s="59">
        <f>IF(OR($H278="",$I278="",$G278=""),"",MAX(1,(YEAR($I278)-YEAR($H278))*12+MONTH($I278)-MONTH($H278)+1))</f>
        <v/>
      </c>
      <c r="K278" s="62">
        <f>IF($J278="","",$G278/$J278)</f>
        <v/>
      </c>
      <c r="L278" s="62">
        <f>IF($J278="",0,$K278*MAX(0,MIN(YEAR($C$3)*12+MONTH($C$3),YEAR($I278)*12+MONTH($I278))-(YEAR($H278)*12+MONTH($H278))+1))</f>
        <v/>
      </c>
      <c r="M278" s="62">
        <f>IF($J278="",0,$K278*MAX(0,MIN(YEAR($C$3)*12+MONTH($C$3)-1,YEAR($I278)*12+MONTH($I278))-(YEAR($H278)*12+MONTH($H278))+1))</f>
        <v/>
      </c>
      <c r="N278" s="62">
        <f>IF(OR($J278="",$B278=""),0,IF(YEAR($B278)*12+MONTH($B278)&lt;=YEAR($C$3)*12+MONTH($C$3),$G278,0))</f>
        <v/>
      </c>
      <c r="O278" s="62">
        <f>IF(OR($J278="",$B278=""),0,IF(YEAR($B278)*12+MONTH($B278)&lt;=YEAR($C$3)*12+MONTH($C$3)-1,$G278,0))</f>
        <v/>
      </c>
      <c r="P278" s="62">
        <f>$M278-$O278</f>
        <v/>
      </c>
      <c r="Q278" s="62">
        <f>($L278-$M278)-($N278-$O278)</f>
        <v/>
      </c>
      <c r="R278" s="62">
        <f>$L278-$N278</f>
        <v/>
      </c>
    </row>
    <row r="279">
      <c r="A279" s="59">
        <f>ROW()-5</f>
        <v/>
      </c>
      <c r="B279" s="60">
        <f>IFERROR(INDEX(tbl_Finance[Date],$A279),"")</f>
        <v/>
      </c>
      <c r="C279" s="61">
        <f>IFERROR(INDEX(tbl_Finance[Xero Invoice No],$A279),"")</f>
        <v/>
      </c>
      <c r="D279" s="61">
        <f>IFERROR(INDEX(tbl_Finance[Client],$A279),"")</f>
        <v/>
      </c>
      <c r="E279" s="61">
        <f>IFERROR(INDEX(tbl_Finance[Job Number],$A279),"")</f>
        <v/>
      </c>
      <c r="F279" s="61">
        <f>IFERROR(INDEX(tbl_Finance[Cost Centre],$A279),"")</f>
        <v/>
      </c>
      <c r="G279" s="62">
        <f>IFERROR(INDEX(tbl_Finance[Ex GST],$A279),"")</f>
        <v/>
      </c>
      <c r="H279" s="60">
        <f>IFERROR(INDEX(tbl_Finance[Defer Start],$A279),"")</f>
        <v/>
      </c>
      <c r="I279" s="60">
        <f>IFERROR(INDEX(tbl_Finance[Defer End],$A279),"")</f>
        <v/>
      </c>
      <c r="J279" s="59">
        <f>IF(OR($H279="",$I279="",$G279=""),"",MAX(1,(YEAR($I279)-YEAR($H279))*12+MONTH($I279)-MONTH($H279)+1))</f>
        <v/>
      </c>
      <c r="K279" s="62">
        <f>IF($J279="","",$G279/$J279)</f>
        <v/>
      </c>
      <c r="L279" s="62">
        <f>IF($J279="",0,$K279*MAX(0,MIN(YEAR($C$3)*12+MONTH($C$3),YEAR($I279)*12+MONTH($I279))-(YEAR($H279)*12+MONTH($H279))+1))</f>
        <v/>
      </c>
      <c r="M279" s="62">
        <f>IF($J279="",0,$K279*MAX(0,MIN(YEAR($C$3)*12+MONTH($C$3)-1,YEAR($I279)*12+MONTH($I279))-(YEAR($H279)*12+MONTH($H279))+1))</f>
        <v/>
      </c>
      <c r="N279" s="62">
        <f>IF(OR($J279="",$B279=""),0,IF(YEAR($B279)*12+MONTH($B279)&lt;=YEAR($C$3)*12+MONTH($C$3),$G279,0))</f>
        <v/>
      </c>
      <c r="O279" s="62">
        <f>IF(OR($J279="",$B279=""),0,IF(YEAR($B279)*12+MONTH($B279)&lt;=YEAR($C$3)*12+MONTH($C$3)-1,$G279,0))</f>
        <v/>
      </c>
      <c r="P279" s="62">
        <f>$M279-$O279</f>
        <v/>
      </c>
      <c r="Q279" s="62">
        <f>($L279-$M279)-($N279-$O279)</f>
        <v/>
      </c>
      <c r="R279" s="62">
        <f>$L279-$N279</f>
        <v/>
      </c>
    </row>
    <row r="280">
      <c r="A280" s="59">
        <f>ROW()-5</f>
        <v/>
      </c>
      <c r="B280" s="60">
        <f>IFERROR(INDEX(tbl_Finance[Date],$A280),"")</f>
        <v/>
      </c>
      <c r="C280" s="61">
        <f>IFERROR(INDEX(tbl_Finance[Xero Invoice No],$A280),"")</f>
        <v/>
      </c>
      <c r="D280" s="61">
        <f>IFERROR(INDEX(tbl_Finance[Client],$A280),"")</f>
        <v/>
      </c>
      <c r="E280" s="61">
        <f>IFERROR(INDEX(tbl_Finance[Job Number],$A280),"")</f>
        <v/>
      </c>
      <c r="F280" s="61">
        <f>IFERROR(INDEX(tbl_Finance[Cost Centre],$A280),"")</f>
        <v/>
      </c>
      <c r="G280" s="62">
        <f>IFERROR(INDEX(tbl_Finance[Ex GST],$A280),"")</f>
        <v/>
      </c>
      <c r="H280" s="60">
        <f>IFERROR(INDEX(tbl_Finance[Defer Start],$A280),"")</f>
        <v/>
      </c>
      <c r="I280" s="60">
        <f>IFERROR(INDEX(tbl_Finance[Defer End],$A280),"")</f>
        <v/>
      </c>
      <c r="J280" s="59">
        <f>IF(OR($H280="",$I280="",$G280=""),"",MAX(1,(YEAR($I280)-YEAR($H280))*12+MONTH($I280)-MONTH($H280)+1))</f>
        <v/>
      </c>
      <c r="K280" s="62">
        <f>IF($J280="","",$G280/$J280)</f>
        <v/>
      </c>
      <c r="L280" s="62">
        <f>IF($J280="",0,$K280*MAX(0,MIN(YEAR($C$3)*12+MONTH($C$3),YEAR($I280)*12+MONTH($I280))-(YEAR($H280)*12+MONTH($H280))+1))</f>
        <v/>
      </c>
      <c r="M280" s="62">
        <f>IF($J280="",0,$K280*MAX(0,MIN(YEAR($C$3)*12+MONTH($C$3)-1,YEAR($I280)*12+MONTH($I280))-(YEAR($H280)*12+MONTH($H280))+1))</f>
        <v/>
      </c>
      <c r="N280" s="62">
        <f>IF(OR($J280="",$B280=""),0,IF(YEAR($B280)*12+MONTH($B280)&lt;=YEAR($C$3)*12+MONTH($C$3),$G280,0))</f>
        <v/>
      </c>
      <c r="O280" s="62">
        <f>IF(OR($J280="",$B280=""),0,IF(YEAR($B280)*12+MONTH($B280)&lt;=YEAR($C$3)*12+MONTH($C$3)-1,$G280,0))</f>
        <v/>
      </c>
      <c r="P280" s="62">
        <f>$M280-$O280</f>
        <v/>
      </c>
      <c r="Q280" s="62">
        <f>($L280-$M280)-($N280-$O280)</f>
        <v/>
      </c>
      <c r="R280" s="62">
        <f>$L280-$N280</f>
        <v/>
      </c>
    </row>
    <row r="281">
      <c r="A281" s="59">
        <f>ROW()-5</f>
        <v/>
      </c>
      <c r="B281" s="60">
        <f>IFERROR(INDEX(tbl_Finance[Date],$A281),"")</f>
        <v/>
      </c>
      <c r="C281" s="61">
        <f>IFERROR(INDEX(tbl_Finance[Xero Invoice No],$A281),"")</f>
        <v/>
      </c>
      <c r="D281" s="61">
        <f>IFERROR(INDEX(tbl_Finance[Client],$A281),"")</f>
        <v/>
      </c>
      <c r="E281" s="61">
        <f>IFERROR(INDEX(tbl_Finance[Job Number],$A281),"")</f>
        <v/>
      </c>
      <c r="F281" s="61">
        <f>IFERROR(INDEX(tbl_Finance[Cost Centre],$A281),"")</f>
        <v/>
      </c>
      <c r="G281" s="62">
        <f>IFERROR(INDEX(tbl_Finance[Ex GST],$A281),"")</f>
        <v/>
      </c>
      <c r="H281" s="60">
        <f>IFERROR(INDEX(tbl_Finance[Defer Start],$A281),"")</f>
        <v/>
      </c>
      <c r="I281" s="60">
        <f>IFERROR(INDEX(tbl_Finance[Defer End],$A281),"")</f>
        <v/>
      </c>
      <c r="J281" s="59">
        <f>IF(OR($H281="",$I281="",$G281=""),"",MAX(1,(YEAR($I281)-YEAR($H281))*12+MONTH($I281)-MONTH($H281)+1))</f>
        <v/>
      </c>
      <c r="K281" s="62">
        <f>IF($J281="","",$G281/$J281)</f>
        <v/>
      </c>
      <c r="L281" s="62">
        <f>IF($J281="",0,$K281*MAX(0,MIN(YEAR($C$3)*12+MONTH($C$3),YEAR($I281)*12+MONTH($I281))-(YEAR($H281)*12+MONTH($H281))+1))</f>
        <v/>
      </c>
      <c r="M281" s="62">
        <f>IF($J281="",0,$K281*MAX(0,MIN(YEAR($C$3)*12+MONTH($C$3)-1,YEAR($I281)*12+MONTH($I281))-(YEAR($H281)*12+MONTH($H281))+1))</f>
        <v/>
      </c>
      <c r="N281" s="62">
        <f>IF(OR($J281="",$B281=""),0,IF(YEAR($B281)*12+MONTH($B281)&lt;=YEAR($C$3)*12+MONTH($C$3),$G281,0))</f>
        <v/>
      </c>
      <c r="O281" s="62">
        <f>IF(OR($J281="",$B281=""),0,IF(YEAR($B281)*12+MONTH($B281)&lt;=YEAR($C$3)*12+MONTH($C$3)-1,$G281,0))</f>
        <v/>
      </c>
      <c r="P281" s="62">
        <f>$M281-$O281</f>
        <v/>
      </c>
      <c r="Q281" s="62">
        <f>($L281-$M281)-($N281-$O281)</f>
        <v/>
      </c>
      <c r="R281" s="62">
        <f>$L281-$N281</f>
        <v/>
      </c>
    </row>
    <row r="282">
      <c r="A282" s="59">
        <f>ROW()-5</f>
        <v/>
      </c>
      <c r="B282" s="60">
        <f>IFERROR(INDEX(tbl_Finance[Date],$A282),"")</f>
        <v/>
      </c>
      <c r="C282" s="61">
        <f>IFERROR(INDEX(tbl_Finance[Xero Invoice No],$A282),"")</f>
        <v/>
      </c>
      <c r="D282" s="61">
        <f>IFERROR(INDEX(tbl_Finance[Client],$A282),"")</f>
        <v/>
      </c>
      <c r="E282" s="61">
        <f>IFERROR(INDEX(tbl_Finance[Job Number],$A282),"")</f>
        <v/>
      </c>
      <c r="F282" s="61">
        <f>IFERROR(INDEX(tbl_Finance[Cost Centre],$A282),"")</f>
        <v/>
      </c>
      <c r="G282" s="62">
        <f>IFERROR(INDEX(tbl_Finance[Ex GST],$A282),"")</f>
        <v/>
      </c>
      <c r="H282" s="60">
        <f>IFERROR(INDEX(tbl_Finance[Defer Start],$A282),"")</f>
        <v/>
      </c>
      <c r="I282" s="60">
        <f>IFERROR(INDEX(tbl_Finance[Defer End],$A282),"")</f>
        <v/>
      </c>
      <c r="J282" s="59">
        <f>IF(OR($H282="",$I282="",$G282=""),"",MAX(1,(YEAR($I282)-YEAR($H282))*12+MONTH($I282)-MONTH($H282)+1))</f>
        <v/>
      </c>
      <c r="K282" s="62">
        <f>IF($J282="","",$G282/$J282)</f>
        <v/>
      </c>
      <c r="L282" s="62">
        <f>IF($J282="",0,$K282*MAX(0,MIN(YEAR($C$3)*12+MONTH($C$3),YEAR($I282)*12+MONTH($I282))-(YEAR($H282)*12+MONTH($H282))+1))</f>
        <v/>
      </c>
      <c r="M282" s="62">
        <f>IF($J282="",0,$K282*MAX(0,MIN(YEAR($C$3)*12+MONTH($C$3)-1,YEAR($I282)*12+MONTH($I282))-(YEAR($H282)*12+MONTH($H282))+1))</f>
        <v/>
      </c>
      <c r="N282" s="62">
        <f>IF(OR($J282="",$B282=""),0,IF(YEAR($B282)*12+MONTH($B282)&lt;=YEAR($C$3)*12+MONTH($C$3),$G282,0))</f>
        <v/>
      </c>
      <c r="O282" s="62">
        <f>IF(OR($J282="",$B282=""),0,IF(YEAR($B282)*12+MONTH($B282)&lt;=YEAR($C$3)*12+MONTH($C$3)-1,$G282,0))</f>
        <v/>
      </c>
      <c r="P282" s="62">
        <f>$M282-$O282</f>
        <v/>
      </c>
      <c r="Q282" s="62">
        <f>($L282-$M282)-($N282-$O282)</f>
        <v/>
      </c>
      <c r="R282" s="62">
        <f>$L282-$N282</f>
        <v/>
      </c>
    </row>
    <row r="283">
      <c r="A283" s="59">
        <f>ROW()-5</f>
        <v/>
      </c>
      <c r="B283" s="60">
        <f>IFERROR(INDEX(tbl_Finance[Date],$A283),"")</f>
        <v/>
      </c>
      <c r="C283" s="61">
        <f>IFERROR(INDEX(tbl_Finance[Xero Invoice No],$A283),"")</f>
        <v/>
      </c>
      <c r="D283" s="61">
        <f>IFERROR(INDEX(tbl_Finance[Client],$A283),"")</f>
        <v/>
      </c>
      <c r="E283" s="61">
        <f>IFERROR(INDEX(tbl_Finance[Job Number],$A283),"")</f>
        <v/>
      </c>
      <c r="F283" s="61">
        <f>IFERROR(INDEX(tbl_Finance[Cost Centre],$A283),"")</f>
        <v/>
      </c>
      <c r="G283" s="62">
        <f>IFERROR(INDEX(tbl_Finance[Ex GST],$A283),"")</f>
        <v/>
      </c>
      <c r="H283" s="60">
        <f>IFERROR(INDEX(tbl_Finance[Defer Start],$A283),"")</f>
        <v/>
      </c>
      <c r="I283" s="60">
        <f>IFERROR(INDEX(tbl_Finance[Defer End],$A283),"")</f>
        <v/>
      </c>
      <c r="J283" s="59">
        <f>IF(OR($H283="",$I283="",$G283=""),"",MAX(1,(YEAR($I283)-YEAR($H283))*12+MONTH($I283)-MONTH($H283)+1))</f>
        <v/>
      </c>
      <c r="K283" s="62">
        <f>IF($J283="","",$G283/$J283)</f>
        <v/>
      </c>
      <c r="L283" s="62">
        <f>IF($J283="",0,$K283*MAX(0,MIN(YEAR($C$3)*12+MONTH($C$3),YEAR($I283)*12+MONTH($I283))-(YEAR($H283)*12+MONTH($H283))+1))</f>
        <v/>
      </c>
      <c r="M283" s="62">
        <f>IF($J283="",0,$K283*MAX(0,MIN(YEAR($C$3)*12+MONTH($C$3)-1,YEAR($I283)*12+MONTH($I283))-(YEAR($H283)*12+MONTH($H283))+1))</f>
        <v/>
      </c>
      <c r="N283" s="62">
        <f>IF(OR($J283="",$B283=""),0,IF(YEAR($B283)*12+MONTH($B283)&lt;=YEAR($C$3)*12+MONTH($C$3),$G283,0))</f>
        <v/>
      </c>
      <c r="O283" s="62">
        <f>IF(OR($J283="",$B283=""),0,IF(YEAR($B283)*12+MONTH($B283)&lt;=YEAR($C$3)*12+MONTH($C$3)-1,$G283,0))</f>
        <v/>
      </c>
      <c r="P283" s="62">
        <f>$M283-$O283</f>
        <v/>
      </c>
      <c r="Q283" s="62">
        <f>($L283-$M283)-($N283-$O283)</f>
        <v/>
      </c>
      <c r="R283" s="62">
        <f>$L283-$N283</f>
        <v/>
      </c>
    </row>
    <row r="284">
      <c r="A284" s="59">
        <f>ROW()-5</f>
        <v/>
      </c>
      <c r="B284" s="60">
        <f>IFERROR(INDEX(tbl_Finance[Date],$A284),"")</f>
        <v/>
      </c>
      <c r="C284" s="61">
        <f>IFERROR(INDEX(tbl_Finance[Xero Invoice No],$A284),"")</f>
        <v/>
      </c>
      <c r="D284" s="61">
        <f>IFERROR(INDEX(tbl_Finance[Client],$A284),"")</f>
        <v/>
      </c>
      <c r="E284" s="61">
        <f>IFERROR(INDEX(tbl_Finance[Job Number],$A284),"")</f>
        <v/>
      </c>
      <c r="F284" s="61">
        <f>IFERROR(INDEX(tbl_Finance[Cost Centre],$A284),"")</f>
        <v/>
      </c>
      <c r="G284" s="62">
        <f>IFERROR(INDEX(tbl_Finance[Ex GST],$A284),"")</f>
        <v/>
      </c>
      <c r="H284" s="60">
        <f>IFERROR(INDEX(tbl_Finance[Defer Start],$A284),"")</f>
        <v/>
      </c>
      <c r="I284" s="60">
        <f>IFERROR(INDEX(tbl_Finance[Defer End],$A284),"")</f>
        <v/>
      </c>
      <c r="J284" s="59">
        <f>IF(OR($H284="",$I284="",$G284=""),"",MAX(1,(YEAR($I284)-YEAR($H284))*12+MONTH($I284)-MONTH($H284)+1))</f>
        <v/>
      </c>
      <c r="K284" s="62">
        <f>IF($J284="","",$G284/$J284)</f>
        <v/>
      </c>
      <c r="L284" s="62">
        <f>IF($J284="",0,$K284*MAX(0,MIN(YEAR($C$3)*12+MONTH($C$3),YEAR($I284)*12+MONTH($I284))-(YEAR($H284)*12+MONTH($H284))+1))</f>
        <v/>
      </c>
      <c r="M284" s="62">
        <f>IF($J284="",0,$K284*MAX(0,MIN(YEAR($C$3)*12+MONTH($C$3)-1,YEAR($I284)*12+MONTH($I284))-(YEAR($H284)*12+MONTH($H284))+1))</f>
        <v/>
      </c>
      <c r="N284" s="62">
        <f>IF(OR($J284="",$B284=""),0,IF(YEAR($B284)*12+MONTH($B284)&lt;=YEAR($C$3)*12+MONTH($C$3),$G284,0))</f>
        <v/>
      </c>
      <c r="O284" s="62">
        <f>IF(OR($J284="",$B284=""),0,IF(YEAR($B284)*12+MONTH($B284)&lt;=YEAR($C$3)*12+MONTH($C$3)-1,$G284,0))</f>
        <v/>
      </c>
      <c r="P284" s="62">
        <f>$M284-$O284</f>
        <v/>
      </c>
      <c r="Q284" s="62">
        <f>($L284-$M284)-($N284-$O284)</f>
        <v/>
      </c>
      <c r="R284" s="62">
        <f>$L284-$N284</f>
        <v/>
      </c>
    </row>
    <row r="285">
      <c r="A285" s="59">
        <f>ROW()-5</f>
        <v/>
      </c>
      <c r="B285" s="60">
        <f>IFERROR(INDEX(tbl_Finance[Date],$A285),"")</f>
        <v/>
      </c>
      <c r="C285" s="61">
        <f>IFERROR(INDEX(tbl_Finance[Xero Invoice No],$A285),"")</f>
        <v/>
      </c>
      <c r="D285" s="61">
        <f>IFERROR(INDEX(tbl_Finance[Client],$A285),"")</f>
        <v/>
      </c>
      <c r="E285" s="61">
        <f>IFERROR(INDEX(tbl_Finance[Job Number],$A285),"")</f>
        <v/>
      </c>
      <c r="F285" s="61">
        <f>IFERROR(INDEX(tbl_Finance[Cost Centre],$A285),"")</f>
        <v/>
      </c>
      <c r="G285" s="62">
        <f>IFERROR(INDEX(tbl_Finance[Ex GST],$A285),"")</f>
        <v/>
      </c>
      <c r="H285" s="60">
        <f>IFERROR(INDEX(tbl_Finance[Defer Start],$A285),"")</f>
        <v/>
      </c>
      <c r="I285" s="60">
        <f>IFERROR(INDEX(tbl_Finance[Defer End],$A285),"")</f>
        <v/>
      </c>
      <c r="J285" s="59">
        <f>IF(OR($H285="",$I285="",$G285=""),"",MAX(1,(YEAR($I285)-YEAR($H285))*12+MONTH($I285)-MONTH($H285)+1))</f>
        <v/>
      </c>
      <c r="K285" s="62">
        <f>IF($J285="","",$G285/$J285)</f>
        <v/>
      </c>
      <c r="L285" s="62">
        <f>IF($J285="",0,$K285*MAX(0,MIN(YEAR($C$3)*12+MONTH($C$3),YEAR($I285)*12+MONTH($I285))-(YEAR($H285)*12+MONTH($H285))+1))</f>
        <v/>
      </c>
      <c r="M285" s="62">
        <f>IF($J285="",0,$K285*MAX(0,MIN(YEAR($C$3)*12+MONTH($C$3)-1,YEAR($I285)*12+MONTH($I285))-(YEAR($H285)*12+MONTH($H285))+1))</f>
        <v/>
      </c>
      <c r="N285" s="62">
        <f>IF(OR($J285="",$B285=""),0,IF(YEAR($B285)*12+MONTH($B285)&lt;=YEAR($C$3)*12+MONTH($C$3),$G285,0))</f>
        <v/>
      </c>
      <c r="O285" s="62">
        <f>IF(OR($J285="",$B285=""),0,IF(YEAR($B285)*12+MONTH($B285)&lt;=YEAR($C$3)*12+MONTH($C$3)-1,$G285,0))</f>
        <v/>
      </c>
      <c r="P285" s="62">
        <f>$M285-$O285</f>
        <v/>
      </c>
      <c r="Q285" s="62">
        <f>($L285-$M285)-($N285-$O285)</f>
        <v/>
      </c>
      <c r="R285" s="62">
        <f>$L285-$N285</f>
        <v/>
      </c>
    </row>
    <row r="286">
      <c r="A286" s="59">
        <f>ROW()-5</f>
        <v/>
      </c>
      <c r="B286" s="60">
        <f>IFERROR(INDEX(tbl_Finance[Date],$A286),"")</f>
        <v/>
      </c>
      <c r="C286" s="61">
        <f>IFERROR(INDEX(tbl_Finance[Xero Invoice No],$A286),"")</f>
        <v/>
      </c>
      <c r="D286" s="61">
        <f>IFERROR(INDEX(tbl_Finance[Client],$A286),"")</f>
        <v/>
      </c>
      <c r="E286" s="61">
        <f>IFERROR(INDEX(tbl_Finance[Job Number],$A286),"")</f>
        <v/>
      </c>
      <c r="F286" s="61">
        <f>IFERROR(INDEX(tbl_Finance[Cost Centre],$A286),"")</f>
        <v/>
      </c>
      <c r="G286" s="62">
        <f>IFERROR(INDEX(tbl_Finance[Ex GST],$A286),"")</f>
        <v/>
      </c>
      <c r="H286" s="60">
        <f>IFERROR(INDEX(tbl_Finance[Defer Start],$A286),"")</f>
        <v/>
      </c>
      <c r="I286" s="60">
        <f>IFERROR(INDEX(tbl_Finance[Defer End],$A286),"")</f>
        <v/>
      </c>
      <c r="J286" s="59">
        <f>IF(OR($H286="",$I286="",$G286=""),"",MAX(1,(YEAR($I286)-YEAR($H286))*12+MONTH($I286)-MONTH($H286)+1))</f>
        <v/>
      </c>
      <c r="K286" s="62">
        <f>IF($J286="","",$G286/$J286)</f>
        <v/>
      </c>
      <c r="L286" s="62">
        <f>IF($J286="",0,$K286*MAX(0,MIN(YEAR($C$3)*12+MONTH($C$3),YEAR($I286)*12+MONTH($I286))-(YEAR($H286)*12+MONTH($H286))+1))</f>
        <v/>
      </c>
      <c r="M286" s="62">
        <f>IF($J286="",0,$K286*MAX(0,MIN(YEAR($C$3)*12+MONTH($C$3)-1,YEAR($I286)*12+MONTH($I286))-(YEAR($H286)*12+MONTH($H286))+1))</f>
        <v/>
      </c>
      <c r="N286" s="62">
        <f>IF(OR($J286="",$B286=""),0,IF(YEAR($B286)*12+MONTH($B286)&lt;=YEAR($C$3)*12+MONTH($C$3),$G286,0))</f>
        <v/>
      </c>
      <c r="O286" s="62">
        <f>IF(OR($J286="",$B286=""),0,IF(YEAR($B286)*12+MONTH($B286)&lt;=YEAR($C$3)*12+MONTH($C$3)-1,$G286,0))</f>
        <v/>
      </c>
      <c r="P286" s="62">
        <f>$M286-$O286</f>
        <v/>
      </c>
      <c r="Q286" s="62">
        <f>($L286-$M286)-($N286-$O286)</f>
        <v/>
      </c>
      <c r="R286" s="62">
        <f>$L286-$N286</f>
        <v/>
      </c>
    </row>
    <row r="287">
      <c r="A287" s="59">
        <f>ROW()-5</f>
        <v/>
      </c>
      <c r="B287" s="60">
        <f>IFERROR(INDEX(tbl_Finance[Date],$A287),"")</f>
        <v/>
      </c>
      <c r="C287" s="61">
        <f>IFERROR(INDEX(tbl_Finance[Xero Invoice No],$A287),"")</f>
        <v/>
      </c>
      <c r="D287" s="61">
        <f>IFERROR(INDEX(tbl_Finance[Client],$A287),"")</f>
        <v/>
      </c>
      <c r="E287" s="61">
        <f>IFERROR(INDEX(tbl_Finance[Job Number],$A287),"")</f>
        <v/>
      </c>
      <c r="F287" s="61">
        <f>IFERROR(INDEX(tbl_Finance[Cost Centre],$A287),"")</f>
        <v/>
      </c>
      <c r="G287" s="62">
        <f>IFERROR(INDEX(tbl_Finance[Ex GST],$A287),"")</f>
        <v/>
      </c>
      <c r="H287" s="60">
        <f>IFERROR(INDEX(tbl_Finance[Defer Start],$A287),"")</f>
        <v/>
      </c>
      <c r="I287" s="60">
        <f>IFERROR(INDEX(tbl_Finance[Defer End],$A287),"")</f>
        <v/>
      </c>
      <c r="J287" s="59">
        <f>IF(OR($H287="",$I287="",$G287=""),"",MAX(1,(YEAR($I287)-YEAR($H287))*12+MONTH($I287)-MONTH($H287)+1))</f>
        <v/>
      </c>
      <c r="K287" s="62">
        <f>IF($J287="","",$G287/$J287)</f>
        <v/>
      </c>
      <c r="L287" s="62">
        <f>IF($J287="",0,$K287*MAX(0,MIN(YEAR($C$3)*12+MONTH($C$3),YEAR($I287)*12+MONTH($I287))-(YEAR($H287)*12+MONTH($H287))+1))</f>
        <v/>
      </c>
      <c r="M287" s="62">
        <f>IF($J287="",0,$K287*MAX(0,MIN(YEAR($C$3)*12+MONTH($C$3)-1,YEAR($I287)*12+MONTH($I287))-(YEAR($H287)*12+MONTH($H287))+1))</f>
        <v/>
      </c>
      <c r="N287" s="62">
        <f>IF(OR($J287="",$B287=""),0,IF(YEAR($B287)*12+MONTH($B287)&lt;=YEAR($C$3)*12+MONTH($C$3),$G287,0))</f>
        <v/>
      </c>
      <c r="O287" s="62">
        <f>IF(OR($J287="",$B287=""),0,IF(YEAR($B287)*12+MONTH($B287)&lt;=YEAR($C$3)*12+MONTH($C$3)-1,$G287,0))</f>
        <v/>
      </c>
      <c r="P287" s="62">
        <f>$M287-$O287</f>
        <v/>
      </c>
      <c r="Q287" s="62">
        <f>($L287-$M287)-($N287-$O287)</f>
        <v/>
      </c>
      <c r="R287" s="62">
        <f>$L287-$N287</f>
        <v/>
      </c>
    </row>
    <row r="288">
      <c r="A288" s="59">
        <f>ROW()-5</f>
        <v/>
      </c>
      <c r="B288" s="60">
        <f>IFERROR(INDEX(tbl_Finance[Date],$A288),"")</f>
        <v/>
      </c>
      <c r="C288" s="61">
        <f>IFERROR(INDEX(tbl_Finance[Xero Invoice No],$A288),"")</f>
        <v/>
      </c>
      <c r="D288" s="61">
        <f>IFERROR(INDEX(tbl_Finance[Client],$A288),"")</f>
        <v/>
      </c>
      <c r="E288" s="61">
        <f>IFERROR(INDEX(tbl_Finance[Job Number],$A288),"")</f>
        <v/>
      </c>
      <c r="F288" s="61">
        <f>IFERROR(INDEX(tbl_Finance[Cost Centre],$A288),"")</f>
        <v/>
      </c>
      <c r="G288" s="62">
        <f>IFERROR(INDEX(tbl_Finance[Ex GST],$A288),"")</f>
        <v/>
      </c>
      <c r="H288" s="60">
        <f>IFERROR(INDEX(tbl_Finance[Defer Start],$A288),"")</f>
        <v/>
      </c>
      <c r="I288" s="60">
        <f>IFERROR(INDEX(tbl_Finance[Defer End],$A288),"")</f>
        <v/>
      </c>
      <c r="J288" s="59">
        <f>IF(OR($H288="",$I288="",$G288=""),"",MAX(1,(YEAR($I288)-YEAR($H288))*12+MONTH($I288)-MONTH($H288)+1))</f>
        <v/>
      </c>
      <c r="K288" s="62">
        <f>IF($J288="","",$G288/$J288)</f>
        <v/>
      </c>
      <c r="L288" s="62">
        <f>IF($J288="",0,$K288*MAX(0,MIN(YEAR($C$3)*12+MONTH($C$3),YEAR($I288)*12+MONTH($I288))-(YEAR($H288)*12+MONTH($H288))+1))</f>
        <v/>
      </c>
      <c r="M288" s="62">
        <f>IF($J288="",0,$K288*MAX(0,MIN(YEAR($C$3)*12+MONTH($C$3)-1,YEAR($I288)*12+MONTH($I288))-(YEAR($H288)*12+MONTH($H288))+1))</f>
        <v/>
      </c>
      <c r="N288" s="62">
        <f>IF(OR($J288="",$B288=""),0,IF(YEAR($B288)*12+MONTH($B288)&lt;=YEAR($C$3)*12+MONTH($C$3),$G288,0))</f>
        <v/>
      </c>
      <c r="O288" s="62">
        <f>IF(OR($J288="",$B288=""),0,IF(YEAR($B288)*12+MONTH($B288)&lt;=YEAR($C$3)*12+MONTH($C$3)-1,$G288,0))</f>
        <v/>
      </c>
      <c r="P288" s="62">
        <f>$M288-$O288</f>
        <v/>
      </c>
      <c r="Q288" s="62">
        <f>($L288-$M288)-($N288-$O288)</f>
        <v/>
      </c>
      <c r="R288" s="62">
        <f>$L288-$N288</f>
        <v/>
      </c>
    </row>
    <row r="289">
      <c r="A289" s="59">
        <f>ROW()-5</f>
        <v/>
      </c>
      <c r="B289" s="60">
        <f>IFERROR(INDEX(tbl_Finance[Date],$A289),"")</f>
        <v/>
      </c>
      <c r="C289" s="61">
        <f>IFERROR(INDEX(tbl_Finance[Xero Invoice No],$A289),"")</f>
        <v/>
      </c>
      <c r="D289" s="61">
        <f>IFERROR(INDEX(tbl_Finance[Client],$A289),"")</f>
        <v/>
      </c>
      <c r="E289" s="61">
        <f>IFERROR(INDEX(tbl_Finance[Job Number],$A289),"")</f>
        <v/>
      </c>
      <c r="F289" s="61">
        <f>IFERROR(INDEX(tbl_Finance[Cost Centre],$A289),"")</f>
        <v/>
      </c>
      <c r="G289" s="62">
        <f>IFERROR(INDEX(tbl_Finance[Ex GST],$A289),"")</f>
        <v/>
      </c>
      <c r="H289" s="60">
        <f>IFERROR(INDEX(tbl_Finance[Defer Start],$A289),"")</f>
        <v/>
      </c>
      <c r="I289" s="60">
        <f>IFERROR(INDEX(tbl_Finance[Defer End],$A289),"")</f>
        <v/>
      </c>
      <c r="J289" s="59">
        <f>IF(OR($H289="",$I289="",$G289=""),"",MAX(1,(YEAR($I289)-YEAR($H289))*12+MONTH($I289)-MONTH($H289)+1))</f>
        <v/>
      </c>
      <c r="K289" s="62">
        <f>IF($J289="","",$G289/$J289)</f>
        <v/>
      </c>
      <c r="L289" s="62">
        <f>IF($J289="",0,$K289*MAX(0,MIN(YEAR($C$3)*12+MONTH($C$3),YEAR($I289)*12+MONTH($I289))-(YEAR($H289)*12+MONTH($H289))+1))</f>
        <v/>
      </c>
      <c r="M289" s="62">
        <f>IF($J289="",0,$K289*MAX(0,MIN(YEAR($C$3)*12+MONTH($C$3)-1,YEAR($I289)*12+MONTH($I289))-(YEAR($H289)*12+MONTH($H289))+1))</f>
        <v/>
      </c>
      <c r="N289" s="62">
        <f>IF(OR($J289="",$B289=""),0,IF(YEAR($B289)*12+MONTH($B289)&lt;=YEAR($C$3)*12+MONTH($C$3),$G289,0))</f>
        <v/>
      </c>
      <c r="O289" s="62">
        <f>IF(OR($J289="",$B289=""),0,IF(YEAR($B289)*12+MONTH($B289)&lt;=YEAR($C$3)*12+MONTH($C$3)-1,$G289,0))</f>
        <v/>
      </c>
      <c r="P289" s="62">
        <f>$M289-$O289</f>
        <v/>
      </c>
      <c r="Q289" s="62">
        <f>($L289-$M289)-($N289-$O289)</f>
        <v/>
      </c>
      <c r="R289" s="62">
        <f>$L289-$N289</f>
        <v/>
      </c>
    </row>
    <row r="290">
      <c r="A290" s="59">
        <f>ROW()-5</f>
        <v/>
      </c>
      <c r="B290" s="60">
        <f>IFERROR(INDEX(tbl_Finance[Date],$A290),"")</f>
        <v/>
      </c>
      <c r="C290" s="61">
        <f>IFERROR(INDEX(tbl_Finance[Xero Invoice No],$A290),"")</f>
        <v/>
      </c>
      <c r="D290" s="61">
        <f>IFERROR(INDEX(tbl_Finance[Client],$A290),"")</f>
        <v/>
      </c>
      <c r="E290" s="61">
        <f>IFERROR(INDEX(tbl_Finance[Job Number],$A290),"")</f>
        <v/>
      </c>
      <c r="F290" s="61">
        <f>IFERROR(INDEX(tbl_Finance[Cost Centre],$A290),"")</f>
        <v/>
      </c>
      <c r="G290" s="62">
        <f>IFERROR(INDEX(tbl_Finance[Ex GST],$A290),"")</f>
        <v/>
      </c>
      <c r="H290" s="60">
        <f>IFERROR(INDEX(tbl_Finance[Defer Start],$A290),"")</f>
        <v/>
      </c>
      <c r="I290" s="60">
        <f>IFERROR(INDEX(tbl_Finance[Defer End],$A290),"")</f>
        <v/>
      </c>
      <c r="J290" s="59">
        <f>IF(OR($H290="",$I290="",$G290=""),"",MAX(1,(YEAR($I290)-YEAR($H290))*12+MONTH($I290)-MONTH($H290)+1))</f>
        <v/>
      </c>
      <c r="K290" s="62">
        <f>IF($J290="","",$G290/$J290)</f>
        <v/>
      </c>
      <c r="L290" s="62">
        <f>IF($J290="",0,$K290*MAX(0,MIN(YEAR($C$3)*12+MONTH($C$3),YEAR($I290)*12+MONTH($I290))-(YEAR($H290)*12+MONTH($H290))+1))</f>
        <v/>
      </c>
      <c r="M290" s="62">
        <f>IF($J290="",0,$K290*MAX(0,MIN(YEAR($C$3)*12+MONTH($C$3)-1,YEAR($I290)*12+MONTH($I290))-(YEAR($H290)*12+MONTH($H290))+1))</f>
        <v/>
      </c>
      <c r="N290" s="62">
        <f>IF(OR($J290="",$B290=""),0,IF(YEAR($B290)*12+MONTH($B290)&lt;=YEAR($C$3)*12+MONTH($C$3),$G290,0))</f>
        <v/>
      </c>
      <c r="O290" s="62">
        <f>IF(OR($J290="",$B290=""),0,IF(YEAR($B290)*12+MONTH($B290)&lt;=YEAR($C$3)*12+MONTH($C$3)-1,$G290,0))</f>
        <v/>
      </c>
      <c r="P290" s="62">
        <f>$M290-$O290</f>
        <v/>
      </c>
      <c r="Q290" s="62">
        <f>($L290-$M290)-($N290-$O290)</f>
        <v/>
      </c>
      <c r="R290" s="62">
        <f>$L290-$N290</f>
        <v/>
      </c>
    </row>
    <row r="291">
      <c r="A291" s="59">
        <f>ROW()-5</f>
        <v/>
      </c>
      <c r="B291" s="60">
        <f>IFERROR(INDEX(tbl_Finance[Date],$A291),"")</f>
        <v/>
      </c>
      <c r="C291" s="61">
        <f>IFERROR(INDEX(tbl_Finance[Xero Invoice No],$A291),"")</f>
        <v/>
      </c>
      <c r="D291" s="61">
        <f>IFERROR(INDEX(tbl_Finance[Client],$A291),"")</f>
        <v/>
      </c>
      <c r="E291" s="61">
        <f>IFERROR(INDEX(tbl_Finance[Job Number],$A291),"")</f>
        <v/>
      </c>
      <c r="F291" s="61">
        <f>IFERROR(INDEX(tbl_Finance[Cost Centre],$A291),"")</f>
        <v/>
      </c>
      <c r="G291" s="62">
        <f>IFERROR(INDEX(tbl_Finance[Ex GST],$A291),"")</f>
        <v/>
      </c>
      <c r="H291" s="60">
        <f>IFERROR(INDEX(tbl_Finance[Defer Start],$A291),"")</f>
        <v/>
      </c>
      <c r="I291" s="60">
        <f>IFERROR(INDEX(tbl_Finance[Defer End],$A291),"")</f>
        <v/>
      </c>
      <c r="J291" s="59">
        <f>IF(OR($H291="",$I291="",$G291=""),"",MAX(1,(YEAR($I291)-YEAR($H291))*12+MONTH($I291)-MONTH($H291)+1))</f>
        <v/>
      </c>
      <c r="K291" s="62">
        <f>IF($J291="","",$G291/$J291)</f>
        <v/>
      </c>
      <c r="L291" s="62">
        <f>IF($J291="",0,$K291*MAX(0,MIN(YEAR($C$3)*12+MONTH($C$3),YEAR($I291)*12+MONTH($I291))-(YEAR($H291)*12+MONTH($H291))+1))</f>
        <v/>
      </c>
      <c r="M291" s="62">
        <f>IF($J291="",0,$K291*MAX(0,MIN(YEAR($C$3)*12+MONTH($C$3)-1,YEAR($I291)*12+MONTH($I291))-(YEAR($H291)*12+MONTH($H291))+1))</f>
        <v/>
      </c>
      <c r="N291" s="62">
        <f>IF(OR($J291="",$B291=""),0,IF(YEAR($B291)*12+MONTH($B291)&lt;=YEAR($C$3)*12+MONTH($C$3),$G291,0))</f>
        <v/>
      </c>
      <c r="O291" s="62">
        <f>IF(OR($J291="",$B291=""),0,IF(YEAR($B291)*12+MONTH($B291)&lt;=YEAR($C$3)*12+MONTH($C$3)-1,$G291,0))</f>
        <v/>
      </c>
      <c r="P291" s="62">
        <f>$M291-$O291</f>
        <v/>
      </c>
      <c r="Q291" s="62">
        <f>($L291-$M291)-($N291-$O291)</f>
        <v/>
      </c>
      <c r="R291" s="62">
        <f>$L291-$N291</f>
        <v/>
      </c>
    </row>
    <row r="292">
      <c r="A292" s="59">
        <f>ROW()-5</f>
        <v/>
      </c>
      <c r="B292" s="60">
        <f>IFERROR(INDEX(tbl_Finance[Date],$A292),"")</f>
        <v/>
      </c>
      <c r="C292" s="61">
        <f>IFERROR(INDEX(tbl_Finance[Xero Invoice No],$A292),"")</f>
        <v/>
      </c>
      <c r="D292" s="61">
        <f>IFERROR(INDEX(tbl_Finance[Client],$A292),"")</f>
        <v/>
      </c>
      <c r="E292" s="61">
        <f>IFERROR(INDEX(tbl_Finance[Job Number],$A292),"")</f>
        <v/>
      </c>
      <c r="F292" s="61">
        <f>IFERROR(INDEX(tbl_Finance[Cost Centre],$A292),"")</f>
        <v/>
      </c>
      <c r="G292" s="62">
        <f>IFERROR(INDEX(tbl_Finance[Ex GST],$A292),"")</f>
        <v/>
      </c>
      <c r="H292" s="60">
        <f>IFERROR(INDEX(tbl_Finance[Defer Start],$A292),"")</f>
        <v/>
      </c>
      <c r="I292" s="60">
        <f>IFERROR(INDEX(tbl_Finance[Defer End],$A292),"")</f>
        <v/>
      </c>
      <c r="J292" s="59">
        <f>IF(OR($H292="",$I292="",$G292=""),"",MAX(1,(YEAR($I292)-YEAR($H292))*12+MONTH($I292)-MONTH($H292)+1))</f>
        <v/>
      </c>
      <c r="K292" s="62">
        <f>IF($J292="","",$G292/$J292)</f>
        <v/>
      </c>
      <c r="L292" s="62">
        <f>IF($J292="",0,$K292*MAX(0,MIN(YEAR($C$3)*12+MONTH($C$3),YEAR($I292)*12+MONTH($I292))-(YEAR($H292)*12+MONTH($H292))+1))</f>
        <v/>
      </c>
      <c r="M292" s="62">
        <f>IF($J292="",0,$K292*MAX(0,MIN(YEAR($C$3)*12+MONTH($C$3)-1,YEAR($I292)*12+MONTH($I292))-(YEAR($H292)*12+MONTH($H292))+1))</f>
        <v/>
      </c>
      <c r="N292" s="62">
        <f>IF(OR($J292="",$B292=""),0,IF(YEAR($B292)*12+MONTH($B292)&lt;=YEAR($C$3)*12+MONTH($C$3),$G292,0))</f>
        <v/>
      </c>
      <c r="O292" s="62">
        <f>IF(OR($J292="",$B292=""),0,IF(YEAR($B292)*12+MONTH($B292)&lt;=YEAR($C$3)*12+MONTH($C$3)-1,$G292,0))</f>
        <v/>
      </c>
      <c r="P292" s="62">
        <f>$M292-$O292</f>
        <v/>
      </c>
      <c r="Q292" s="62">
        <f>($L292-$M292)-($N292-$O292)</f>
        <v/>
      </c>
      <c r="R292" s="62">
        <f>$L292-$N292</f>
        <v/>
      </c>
    </row>
    <row r="293">
      <c r="A293" s="59">
        <f>ROW()-5</f>
        <v/>
      </c>
      <c r="B293" s="60">
        <f>IFERROR(INDEX(tbl_Finance[Date],$A293),"")</f>
        <v/>
      </c>
      <c r="C293" s="61">
        <f>IFERROR(INDEX(tbl_Finance[Xero Invoice No],$A293),"")</f>
        <v/>
      </c>
      <c r="D293" s="61">
        <f>IFERROR(INDEX(tbl_Finance[Client],$A293),"")</f>
        <v/>
      </c>
      <c r="E293" s="61">
        <f>IFERROR(INDEX(tbl_Finance[Job Number],$A293),"")</f>
        <v/>
      </c>
      <c r="F293" s="61">
        <f>IFERROR(INDEX(tbl_Finance[Cost Centre],$A293),"")</f>
        <v/>
      </c>
      <c r="G293" s="62">
        <f>IFERROR(INDEX(tbl_Finance[Ex GST],$A293),"")</f>
        <v/>
      </c>
      <c r="H293" s="60">
        <f>IFERROR(INDEX(tbl_Finance[Defer Start],$A293),"")</f>
        <v/>
      </c>
      <c r="I293" s="60">
        <f>IFERROR(INDEX(tbl_Finance[Defer End],$A293),"")</f>
        <v/>
      </c>
      <c r="J293" s="59">
        <f>IF(OR($H293="",$I293="",$G293=""),"",MAX(1,(YEAR($I293)-YEAR($H293))*12+MONTH($I293)-MONTH($H293)+1))</f>
        <v/>
      </c>
      <c r="K293" s="62">
        <f>IF($J293="","",$G293/$J293)</f>
        <v/>
      </c>
      <c r="L293" s="62">
        <f>IF($J293="",0,$K293*MAX(0,MIN(YEAR($C$3)*12+MONTH($C$3),YEAR($I293)*12+MONTH($I293))-(YEAR($H293)*12+MONTH($H293))+1))</f>
        <v/>
      </c>
      <c r="M293" s="62">
        <f>IF($J293="",0,$K293*MAX(0,MIN(YEAR($C$3)*12+MONTH($C$3)-1,YEAR($I293)*12+MONTH($I293))-(YEAR($H293)*12+MONTH($H293))+1))</f>
        <v/>
      </c>
      <c r="N293" s="62">
        <f>IF(OR($J293="",$B293=""),0,IF(YEAR($B293)*12+MONTH($B293)&lt;=YEAR($C$3)*12+MONTH($C$3),$G293,0))</f>
        <v/>
      </c>
      <c r="O293" s="62">
        <f>IF(OR($J293="",$B293=""),0,IF(YEAR($B293)*12+MONTH($B293)&lt;=YEAR($C$3)*12+MONTH($C$3)-1,$G293,0))</f>
        <v/>
      </c>
      <c r="P293" s="62">
        <f>$M293-$O293</f>
        <v/>
      </c>
      <c r="Q293" s="62">
        <f>($L293-$M293)-($N293-$O293)</f>
        <v/>
      </c>
      <c r="R293" s="62">
        <f>$L293-$N293</f>
        <v/>
      </c>
    </row>
    <row r="294">
      <c r="A294" s="59">
        <f>ROW()-5</f>
        <v/>
      </c>
      <c r="B294" s="60">
        <f>IFERROR(INDEX(tbl_Finance[Date],$A294),"")</f>
        <v/>
      </c>
      <c r="C294" s="61">
        <f>IFERROR(INDEX(tbl_Finance[Xero Invoice No],$A294),"")</f>
        <v/>
      </c>
      <c r="D294" s="61">
        <f>IFERROR(INDEX(tbl_Finance[Client],$A294),"")</f>
        <v/>
      </c>
      <c r="E294" s="61">
        <f>IFERROR(INDEX(tbl_Finance[Job Number],$A294),"")</f>
        <v/>
      </c>
      <c r="F294" s="61">
        <f>IFERROR(INDEX(tbl_Finance[Cost Centre],$A294),"")</f>
        <v/>
      </c>
      <c r="G294" s="62">
        <f>IFERROR(INDEX(tbl_Finance[Ex GST],$A294),"")</f>
        <v/>
      </c>
      <c r="H294" s="60">
        <f>IFERROR(INDEX(tbl_Finance[Defer Start],$A294),"")</f>
        <v/>
      </c>
      <c r="I294" s="60">
        <f>IFERROR(INDEX(tbl_Finance[Defer End],$A294),"")</f>
        <v/>
      </c>
      <c r="J294" s="59">
        <f>IF(OR($H294="",$I294="",$G294=""),"",MAX(1,(YEAR($I294)-YEAR($H294))*12+MONTH($I294)-MONTH($H294)+1))</f>
        <v/>
      </c>
      <c r="K294" s="62">
        <f>IF($J294="","",$G294/$J294)</f>
        <v/>
      </c>
      <c r="L294" s="62">
        <f>IF($J294="",0,$K294*MAX(0,MIN(YEAR($C$3)*12+MONTH($C$3),YEAR($I294)*12+MONTH($I294))-(YEAR($H294)*12+MONTH($H294))+1))</f>
        <v/>
      </c>
      <c r="M294" s="62">
        <f>IF($J294="",0,$K294*MAX(0,MIN(YEAR($C$3)*12+MONTH($C$3)-1,YEAR($I294)*12+MONTH($I294))-(YEAR($H294)*12+MONTH($H294))+1))</f>
        <v/>
      </c>
      <c r="N294" s="62">
        <f>IF(OR($J294="",$B294=""),0,IF(YEAR($B294)*12+MONTH($B294)&lt;=YEAR($C$3)*12+MONTH($C$3),$G294,0))</f>
        <v/>
      </c>
      <c r="O294" s="62">
        <f>IF(OR($J294="",$B294=""),0,IF(YEAR($B294)*12+MONTH($B294)&lt;=YEAR($C$3)*12+MONTH($C$3)-1,$G294,0))</f>
        <v/>
      </c>
      <c r="P294" s="62">
        <f>$M294-$O294</f>
        <v/>
      </c>
      <c r="Q294" s="62">
        <f>($L294-$M294)-($N294-$O294)</f>
        <v/>
      </c>
      <c r="R294" s="62">
        <f>$L294-$N294</f>
        <v/>
      </c>
    </row>
    <row r="295">
      <c r="A295" s="59">
        <f>ROW()-5</f>
        <v/>
      </c>
      <c r="B295" s="60">
        <f>IFERROR(INDEX(tbl_Finance[Date],$A295),"")</f>
        <v/>
      </c>
      <c r="C295" s="61">
        <f>IFERROR(INDEX(tbl_Finance[Xero Invoice No],$A295),"")</f>
        <v/>
      </c>
      <c r="D295" s="61">
        <f>IFERROR(INDEX(tbl_Finance[Client],$A295),"")</f>
        <v/>
      </c>
      <c r="E295" s="61">
        <f>IFERROR(INDEX(tbl_Finance[Job Number],$A295),"")</f>
        <v/>
      </c>
      <c r="F295" s="61">
        <f>IFERROR(INDEX(tbl_Finance[Cost Centre],$A295),"")</f>
        <v/>
      </c>
      <c r="G295" s="62">
        <f>IFERROR(INDEX(tbl_Finance[Ex GST],$A295),"")</f>
        <v/>
      </c>
      <c r="H295" s="60">
        <f>IFERROR(INDEX(tbl_Finance[Defer Start],$A295),"")</f>
        <v/>
      </c>
      <c r="I295" s="60">
        <f>IFERROR(INDEX(tbl_Finance[Defer End],$A295),"")</f>
        <v/>
      </c>
      <c r="J295" s="59">
        <f>IF(OR($H295="",$I295="",$G295=""),"",MAX(1,(YEAR($I295)-YEAR($H295))*12+MONTH($I295)-MONTH($H295)+1))</f>
        <v/>
      </c>
      <c r="K295" s="62">
        <f>IF($J295="","",$G295/$J295)</f>
        <v/>
      </c>
      <c r="L295" s="62">
        <f>IF($J295="",0,$K295*MAX(0,MIN(YEAR($C$3)*12+MONTH($C$3),YEAR($I295)*12+MONTH($I295))-(YEAR($H295)*12+MONTH($H295))+1))</f>
        <v/>
      </c>
      <c r="M295" s="62">
        <f>IF($J295="",0,$K295*MAX(0,MIN(YEAR($C$3)*12+MONTH($C$3)-1,YEAR($I295)*12+MONTH($I295))-(YEAR($H295)*12+MONTH($H295))+1))</f>
        <v/>
      </c>
      <c r="N295" s="62">
        <f>IF(OR($J295="",$B295=""),0,IF(YEAR($B295)*12+MONTH($B295)&lt;=YEAR($C$3)*12+MONTH($C$3),$G295,0))</f>
        <v/>
      </c>
      <c r="O295" s="62">
        <f>IF(OR($J295="",$B295=""),0,IF(YEAR($B295)*12+MONTH($B295)&lt;=YEAR($C$3)*12+MONTH($C$3)-1,$G295,0))</f>
        <v/>
      </c>
      <c r="P295" s="62">
        <f>$M295-$O295</f>
        <v/>
      </c>
      <c r="Q295" s="62">
        <f>($L295-$M295)-($N295-$O295)</f>
        <v/>
      </c>
      <c r="R295" s="62">
        <f>$L295-$N295</f>
        <v/>
      </c>
    </row>
    <row r="296">
      <c r="A296" s="59">
        <f>ROW()-5</f>
        <v/>
      </c>
      <c r="B296" s="60">
        <f>IFERROR(INDEX(tbl_Finance[Date],$A296),"")</f>
        <v/>
      </c>
      <c r="C296" s="61">
        <f>IFERROR(INDEX(tbl_Finance[Xero Invoice No],$A296),"")</f>
        <v/>
      </c>
      <c r="D296" s="61">
        <f>IFERROR(INDEX(tbl_Finance[Client],$A296),"")</f>
        <v/>
      </c>
      <c r="E296" s="61">
        <f>IFERROR(INDEX(tbl_Finance[Job Number],$A296),"")</f>
        <v/>
      </c>
      <c r="F296" s="61">
        <f>IFERROR(INDEX(tbl_Finance[Cost Centre],$A296),"")</f>
        <v/>
      </c>
      <c r="G296" s="62">
        <f>IFERROR(INDEX(tbl_Finance[Ex GST],$A296),"")</f>
        <v/>
      </c>
      <c r="H296" s="60">
        <f>IFERROR(INDEX(tbl_Finance[Defer Start],$A296),"")</f>
        <v/>
      </c>
      <c r="I296" s="60">
        <f>IFERROR(INDEX(tbl_Finance[Defer End],$A296),"")</f>
        <v/>
      </c>
      <c r="J296" s="59">
        <f>IF(OR($H296="",$I296="",$G296=""),"",MAX(1,(YEAR($I296)-YEAR($H296))*12+MONTH($I296)-MONTH($H296)+1))</f>
        <v/>
      </c>
      <c r="K296" s="62">
        <f>IF($J296="","",$G296/$J296)</f>
        <v/>
      </c>
      <c r="L296" s="62">
        <f>IF($J296="",0,$K296*MAX(0,MIN(YEAR($C$3)*12+MONTH($C$3),YEAR($I296)*12+MONTH($I296))-(YEAR($H296)*12+MONTH($H296))+1))</f>
        <v/>
      </c>
      <c r="M296" s="62">
        <f>IF($J296="",0,$K296*MAX(0,MIN(YEAR($C$3)*12+MONTH($C$3)-1,YEAR($I296)*12+MONTH($I296))-(YEAR($H296)*12+MONTH($H296))+1))</f>
        <v/>
      </c>
      <c r="N296" s="62">
        <f>IF(OR($J296="",$B296=""),0,IF(YEAR($B296)*12+MONTH($B296)&lt;=YEAR($C$3)*12+MONTH($C$3),$G296,0))</f>
        <v/>
      </c>
      <c r="O296" s="62">
        <f>IF(OR($J296="",$B296=""),0,IF(YEAR($B296)*12+MONTH($B296)&lt;=YEAR($C$3)*12+MONTH($C$3)-1,$G296,0))</f>
        <v/>
      </c>
      <c r="P296" s="62">
        <f>$M296-$O296</f>
        <v/>
      </c>
      <c r="Q296" s="62">
        <f>($L296-$M296)-($N296-$O296)</f>
        <v/>
      </c>
      <c r="R296" s="62">
        <f>$L296-$N296</f>
        <v/>
      </c>
    </row>
    <row r="297">
      <c r="A297" s="59">
        <f>ROW()-5</f>
        <v/>
      </c>
      <c r="B297" s="60">
        <f>IFERROR(INDEX(tbl_Finance[Date],$A297),"")</f>
        <v/>
      </c>
      <c r="C297" s="61">
        <f>IFERROR(INDEX(tbl_Finance[Xero Invoice No],$A297),"")</f>
        <v/>
      </c>
      <c r="D297" s="61">
        <f>IFERROR(INDEX(tbl_Finance[Client],$A297),"")</f>
        <v/>
      </c>
      <c r="E297" s="61">
        <f>IFERROR(INDEX(tbl_Finance[Job Number],$A297),"")</f>
        <v/>
      </c>
      <c r="F297" s="61">
        <f>IFERROR(INDEX(tbl_Finance[Cost Centre],$A297),"")</f>
        <v/>
      </c>
      <c r="G297" s="62">
        <f>IFERROR(INDEX(tbl_Finance[Ex GST],$A297),"")</f>
        <v/>
      </c>
      <c r="H297" s="60">
        <f>IFERROR(INDEX(tbl_Finance[Defer Start],$A297),"")</f>
        <v/>
      </c>
      <c r="I297" s="60">
        <f>IFERROR(INDEX(tbl_Finance[Defer End],$A297),"")</f>
        <v/>
      </c>
      <c r="J297" s="59">
        <f>IF(OR($H297="",$I297="",$G297=""),"",MAX(1,(YEAR($I297)-YEAR($H297))*12+MONTH($I297)-MONTH($H297)+1))</f>
        <v/>
      </c>
      <c r="K297" s="62">
        <f>IF($J297="","",$G297/$J297)</f>
        <v/>
      </c>
      <c r="L297" s="62">
        <f>IF($J297="",0,$K297*MAX(0,MIN(YEAR($C$3)*12+MONTH($C$3),YEAR($I297)*12+MONTH($I297))-(YEAR($H297)*12+MONTH($H297))+1))</f>
        <v/>
      </c>
      <c r="M297" s="62">
        <f>IF($J297="",0,$K297*MAX(0,MIN(YEAR($C$3)*12+MONTH($C$3)-1,YEAR($I297)*12+MONTH($I297))-(YEAR($H297)*12+MONTH($H297))+1))</f>
        <v/>
      </c>
      <c r="N297" s="62">
        <f>IF(OR($J297="",$B297=""),0,IF(YEAR($B297)*12+MONTH($B297)&lt;=YEAR($C$3)*12+MONTH($C$3),$G297,0))</f>
        <v/>
      </c>
      <c r="O297" s="62">
        <f>IF(OR($J297="",$B297=""),0,IF(YEAR($B297)*12+MONTH($B297)&lt;=YEAR($C$3)*12+MONTH($C$3)-1,$G297,0))</f>
        <v/>
      </c>
      <c r="P297" s="62">
        <f>$M297-$O297</f>
        <v/>
      </c>
      <c r="Q297" s="62">
        <f>($L297-$M297)-($N297-$O297)</f>
        <v/>
      </c>
      <c r="R297" s="62">
        <f>$L297-$N297</f>
        <v/>
      </c>
    </row>
    <row r="298">
      <c r="A298" s="59">
        <f>ROW()-5</f>
        <v/>
      </c>
      <c r="B298" s="60">
        <f>IFERROR(INDEX(tbl_Finance[Date],$A298),"")</f>
        <v/>
      </c>
      <c r="C298" s="61">
        <f>IFERROR(INDEX(tbl_Finance[Xero Invoice No],$A298),"")</f>
        <v/>
      </c>
      <c r="D298" s="61">
        <f>IFERROR(INDEX(tbl_Finance[Client],$A298),"")</f>
        <v/>
      </c>
      <c r="E298" s="61">
        <f>IFERROR(INDEX(tbl_Finance[Job Number],$A298),"")</f>
        <v/>
      </c>
      <c r="F298" s="61">
        <f>IFERROR(INDEX(tbl_Finance[Cost Centre],$A298),"")</f>
        <v/>
      </c>
      <c r="G298" s="62">
        <f>IFERROR(INDEX(tbl_Finance[Ex GST],$A298),"")</f>
        <v/>
      </c>
      <c r="H298" s="60">
        <f>IFERROR(INDEX(tbl_Finance[Defer Start],$A298),"")</f>
        <v/>
      </c>
      <c r="I298" s="60">
        <f>IFERROR(INDEX(tbl_Finance[Defer End],$A298),"")</f>
        <v/>
      </c>
      <c r="J298" s="59">
        <f>IF(OR($H298="",$I298="",$G298=""),"",MAX(1,(YEAR($I298)-YEAR($H298))*12+MONTH($I298)-MONTH($H298)+1))</f>
        <v/>
      </c>
      <c r="K298" s="62">
        <f>IF($J298="","",$G298/$J298)</f>
        <v/>
      </c>
      <c r="L298" s="62">
        <f>IF($J298="",0,$K298*MAX(0,MIN(YEAR($C$3)*12+MONTH($C$3),YEAR($I298)*12+MONTH($I298))-(YEAR($H298)*12+MONTH($H298))+1))</f>
        <v/>
      </c>
      <c r="M298" s="62">
        <f>IF($J298="",0,$K298*MAX(0,MIN(YEAR($C$3)*12+MONTH($C$3)-1,YEAR($I298)*12+MONTH($I298))-(YEAR($H298)*12+MONTH($H298))+1))</f>
        <v/>
      </c>
      <c r="N298" s="62">
        <f>IF(OR($J298="",$B298=""),0,IF(YEAR($B298)*12+MONTH($B298)&lt;=YEAR($C$3)*12+MONTH($C$3),$G298,0))</f>
        <v/>
      </c>
      <c r="O298" s="62">
        <f>IF(OR($J298="",$B298=""),0,IF(YEAR($B298)*12+MONTH($B298)&lt;=YEAR($C$3)*12+MONTH($C$3)-1,$G298,0))</f>
        <v/>
      </c>
      <c r="P298" s="62">
        <f>$M298-$O298</f>
        <v/>
      </c>
      <c r="Q298" s="62">
        <f>($L298-$M298)-($N298-$O298)</f>
        <v/>
      </c>
      <c r="R298" s="62">
        <f>$L298-$N298</f>
        <v/>
      </c>
    </row>
    <row r="299">
      <c r="A299" s="59">
        <f>ROW()-5</f>
        <v/>
      </c>
      <c r="B299" s="60">
        <f>IFERROR(INDEX(tbl_Finance[Date],$A299),"")</f>
        <v/>
      </c>
      <c r="C299" s="61">
        <f>IFERROR(INDEX(tbl_Finance[Xero Invoice No],$A299),"")</f>
        <v/>
      </c>
      <c r="D299" s="61">
        <f>IFERROR(INDEX(tbl_Finance[Client],$A299),"")</f>
        <v/>
      </c>
      <c r="E299" s="61">
        <f>IFERROR(INDEX(tbl_Finance[Job Number],$A299),"")</f>
        <v/>
      </c>
      <c r="F299" s="61">
        <f>IFERROR(INDEX(tbl_Finance[Cost Centre],$A299),"")</f>
        <v/>
      </c>
      <c r="G299" s="62">
        <f>IFERROR(INDEX(tbl_Finance[Ex GST],$A299),"")</f>
        <v/>
      </c>
      <c r="H299" s="60">
        <f>IFERROR(INDEX(tbl_Finance[Defer Start],$A299),"")</f>
        <v/>
      </c>
      <c r="I299" s="60">
        <f>IFERROR(INDEX(tbl_Finance[Defer End],$A299),"")</f>
        <v/>
      </c>
      <c r="J299" s="59">
        <f>IF(OR($H299="",$I299="",$G299=""),"",MAX(1,(YEAR($I299)-YEAR($H299))*12+MONTH($I299)-MONTH($H299)+1))</f>
        <v/>
      </c>
      <c r="K299" s="62">
        <f>IF($J299="","",$G299/$J299)</f>
        <v/>
      </c>
      <c r="L299" s="62">
        <f>IF($J299="",0,$K299*MAX(0,MIN(YEAR($C$3)*12+MONTH($C$3),YEAR($I299)*12+MONTH($I299))-(YEAR($H299)*12+MONTH($H299))+1))</f>
        <v/>
      </c>
      <c r="M299" s="62">
        <f>IF($J299="",0,$K299*MAX(0,MIN(YEAR($C$3)*12+MONTH($C$3)-1,YEAR($I299)*12+MONTH($I299))-(YEAR($H299)*12+MONTH($H299))+1))</f>
        <v/>
      </c>
      <c r="N299" s="62">
        <f>IF(OR($J299="",$B299=""),0,IF(YEAR($B299)*12+MONTH($B299)&lt;=YEAR($C$3)*12+MONTH($C$3),$G299,0))</f>
        <v/>
      </c>
      <c r="O299" s="62">
        <f>IF(OR($J299="",$B299=""),0,IF(YEAR($B299)*12+MONTH($B299)&lt;=YEAR($C$3)*12+MONTH($C$3)-1,$G299,0))</f>
        <v/>
      </c>
      <c r="P299" s="62">
        <f>$M299-$O299</f>
        <v/>
      </c>
      <c r="Q299" s="62">
        <f>($L299-$M299)-($N299-$O299)</f>
        <v/>
      </c>
      <c r="R299" s="62">
        <f>$L299-$N299</f>
        <v/>
      </c>
    </row>
    <row r="300">
      <c r="A300" s="59">
        <f>ROW()-5</f>
        <v/>
      </c>
      <c r="B300" s="60">
        <f>IFERROR(INDEX(tbl_Finance[Date],$A300),"")</f>
        <v/>
      </c>
      <c r="C300" s="61">
        <f>IFERROR(INDEX(tbl_Finance[Xero Invoice No],$A300),"")</f>
        <v/>
      </c>
      <c r="D300" s="61">
        <f>IFERROR(INDEX(tbl_Finance[Client],$A300),"")</f>
        <v/>
      </c>
      <c r="E300" s="61">
        <f>IFERROR(INDEX(tbl_Finance[Job Number],$A300),"")</f>
        <v/>
      </c>
      <c r="F300" s="61">
        <f>IFERROR(INDEX(tbl_Finance[Cost Centre],$A300),"")</f>
        <v/>
      </c>
      <c r="G300" s="62">
        <f>IFERROR(INDEX(tbl_Finance[Ex GST],$A300),"")</f>
        <v/>
      </c>
      <c r="H300" s="60">
        <f>IFERROR(INDEX(tbl_Finance[Defer Start],$A300),"")</f>
        <v/>
      </c>
      <c r="I300" s="60">
        <f>IFERROR(INDEX(tbl_Finance[Defer End],$A300),"")</f>
        <v/>
      </c>
      <c r="J300" s="59">
        <f>IF(OR($H300="",$I300="",$G300=""),"",MAX(1,(YEAR($I300)-YEAR($H300))*12+MONTH($I300)-MONTH($H300)+1))</f>
        <v/>
      </c>
      <c r="K300" s="62">
        <f>IF($J300="","",$G300/$J300)</f>
        <v/>
      </c>
      <c r="L300" s="62">
        <f>IF($J300="",0,$K300*MAX(0,MIN(YEAR($C$3)*12+MONTH($C$3),YEAR($I300)*12+MONTH($I300))-(YEAR($H300)*12+MONTH($H300))+1))</f>
        <v/>
      </c>
      <c r="M300" s="62">
        <f>IF($J300="",0,$K300*MAX(0,MIN(YEAR($C$3)*12+MONTH($C$3)-1,YEAR($I300)*12+MONTH($I300))-(YEAR($H300)*12+MONTH($H300))+1))</f>
        <v/>
      </c>
      <c r="N300" s="62">
        <f>IF(OR($J300="",$B300=""),0,IF(YEAR($B300)*12+MONTH($B300)&lt;=YEAR($C$3)*12+MONTH($C$3),$G300,0))</f>
        <v/>
      </c>
      <c r="O300" s="62">
        <f>IF(OR($J300="",$B300=""),0,IF(YEAR($B300)*12+MONTH($B300)&lt;=YEAR($C$3)*12+MONTH($C$3)-1,$G300,0))</f>
        <v/>
      </c>
      <c r="P300" s="62">
        <f>$M300-$O300</f>
        <v/>
      </c>
      <c r="Q300" s="62">
        <f>($L300-$M300)-($N300-$O300)</f>
        <v/>
      </c>
      <c r="R300" s="62">
        <f>$L300-$N300</f>
        <v/>
      </c>
    </row>
    <row r="301">
      <c r="A301" s="59">
        <f>ROW()-5</f>
        <v/>
      </c>
      <c r="B301" s="60">
        <f>IFERROR(INDEX(tbl_Finance[Date],$A301),"")</f>
        <v/>
      </c>
      <c r="C301" s="61">
        <f>IFERROR(INDEX(tbl_Finance[Xero Invoice No],$A301),"")</f>
        <v/>
      </c>
      <c r="D301" s="61">
        <f>IFERROR(INDEX(tbl_Finance[Client],$A301),"")</f>
        <v/>
      </c>
      <c r="E301" s="61">
        <f>IFERROR(INDEX(tbl_Finance[Job Number],$A301),"")</f>
        <v/>
      </c>
      <c r="F301" s="61">
        <f>IFERROR(INDEX(tbl_Finance[Cost Centre],$A301),"")</f>
        <v/>
      </c>
      <c r="G301" s="62">
        <f>IFERROR(INDEX(tbl_Finance[Ex GST],$A301),"")</f>
        <v/>
      </c>
      <c r="H301" s="60">
        <f>IFERROR(INDEX(tbl_Finance[Defer Start],$A301),"")</f>
        <v/>
      </c>
      <c r="I301" s="60">
        <f>IFERROR(INDEX(tbl_Finance[Defer End],$A301),"")</f>
        <v/>
      </c>
      <c r="J301" s="59">
        <f>IF(OR($H301="",$I301="",$G301=""),"",MAX(1,(YEAR($I301)-YEAR($H301))*12+MONTH($I301)-MONTH($H301)+1))</f>
        <v/>
      </c>
      <c r="K301" s="62">
        <f>IF($J301="","",$G301/$J301)</f>
        <v/>
      </c>
      <c r="L301" s="62">
        <f>IF($J301="",0,$K301*MAX(0,MIN(YEAR($C$3)*12+MONTH($C$3),YEAR($I301)*12+MONTH($I301))-(YEAR($H301)*12+MONTH($H301))+1))</f>
        <v/>
      </c>
      <c r="M301" s="62">
        <f>IF($J301="",0,$K301*MAX(0,MIN(YEAR($C$3)*12+MONTH($C$3)-1,YEAR($I301)*12+MONTH($I301))-(YEAR($H301)*12+MONTH($H301))+1))</f>
        <v/>
      </c>
      <c r="N301" s="62">
        <f>IF(OR($J301="",$B301=""),0,IF(YEAR($B301)*12+MONTH($B301)&lt;=YEAR($C$3)*12+MONTH($C$3),$G301,0))</f>
        <v/>
      </c>
      <c r="O301" s="62">
        <f>IF(OR($J301="",$B301=""),0,IF(YEAR($B301)*12+MONTH($B301)&lt;=YEAR($C$3)*12+MONTH($C$3)-1,$G301,0))</f>
        <v/>
      </c>
      <c r="P301" s="62">
        <f>$M301-$O301</f>
        <v/>
      </c>
      <c r="Q301" s="62">
        <f>($L301-$M301)-($N301-$O301)</f>
        <v/>
      </c>
      <c r="R301" s="62">
        <f>$L301-$N301</f>
        <v/>
      </c>
    </row>
    <row r="302">
      <c r="A302" s="59">
        <f>ROW()-5</f>
        <v/>
      </c>
      <c r="B302" s="60">
        <f>IFERROR(INDEX(tbl_Finance[Date],$A302),"")</f>
        <v/>
      </c>
      <c r="C302" s="61">
        <f>IFERROR(INDEX(tbl_Finance[Xero Invoice No],$A302),"")</f>
        <v/>
      </c>
      <c r="D302" s="61">
        <f>IFERROR(INDEX(tbl_Finance[Client],$A302),"")</f>
        <v/>
      </c>
      <c r="E302" s="61">
        <f>IFERROR(INDEX(tbl_Finance[Job Number],$A302),"")</f>
        <v/>
      </c>
      <c r="F302" s="61">
        <f>IFERROR(INDEX(tbl_Finance[Cost Centre],$A302),"")</f>
        <v/>
      </c>
      <c r="G302" s="62">
        <f>IFERROR(INDEX(tbl_Finance[Ex GST],$A302),"")</f>
        <v/>
      </c>
      <c r="H302" s="60">
        <f>IFERROR(INDEX(tbl_Finance[Defer Start],$A302),"")</f>
        <v/>
      </c>
      <c r="I302" s="60">
        <f>IFERROR(INDEX(tbl_Finance[Defer End],$A302),"")</f>
        <v/>
      </c>
      <c r="J302" s="59">
        <f>IF(OR($H302="",$I302="",$G302=""),"",MAX(1,(YEAR($I302)-YEAR($H302))*12+MONTH($I302)-MONTH($H302)+1))</f>
        <v/>
      </c>
      <c r="K302" s="62">
        <f>IF($J302="","",$G302/$J302)</f>
        <v/>
      </c>
      <c r="L302" s="62">
        <f>IF($J302="",0,$K302*MAX(0,MIN(YEAR($C$3)*12+MONTH($C$3),YEAR($I302)*12+MONTH($I302))-(YEAR($H302)*12+MONTH($H302))+1))</f>
        <v/>
      </c>
      <c r="M302" s="62">
        <f>IF($J302="",0,$K302*MAX(0,MIN(YEAR($C$3)*12+MONTH($C$3)-1,YEAR($I302)*12+MONTH($I302))-(YEAR($H302)*12+MONTH($H302))+1))</f>
        <v/>
      </c>
      <c r="N302" s="62">
        <f>IF(OR($J302="",$B302=""),0,IF(YEAR($B302)*12+MONTH($B302)&lt;=YEAR($C$3)*12+MONTH($C$3),$G302,0))</f>
        <v/>
      </c>
      <c r="O302" s="62">
        <f>IF(OR($J302="",$B302=""),0,IF(YEAR($B302)*12+MONTH($B302)&lt;=YEAR($C$3)*12+MONTH($C$3)-1,$G302,0))</f>
        <v/>
      </c>
      <c r="P302" s="62">
        <f>$M302-$O302</f>
        <v/>
      </c>
      <c r="Q302" s="62">
        <f>($L302-$M302)-($N302-$O302)</f>
        <v/>
      </c>
      <c r="R302" s="62">
        <f>$L302-$N302</f>
        <v/>
      </c>
    </row>
    <row r="303">
      <c r="A303" s="59">
        <f>ROW()-5</f>
        <v/>
      </c>
      <c r="B303" s="60">
        <f>IFERROR(INDEX(tbl_Finance[Date],$A303),"")</f>
        <v/>
      </c>
      <c r="C303" s="61">
        <f>IFERROR(INDEX(tbl_Finance[Xero Invoice No],$A303),"")</f>
        <v/>
      </c>
      <c r="D303" s="61">
        <f>IFERROR(INDEX(tbl_Finance[Client],$A303),"")</f>
        <v/>
      </c>
      <c r="E303" s="61">
        <f>IFERROR(INDEX(tbl_Finance[Job Number],$A303),"")</f>
        <v/>
      </c>
      <c r="F303" s="61">
        <f>IFERROR(INDEX(tbl_Finance[Cost Centre],$A303),"")</f>
        <v/>
      </c>
      <c r="G303" s="62">
        <f>IFERROR(INDEX(tbl_Finance[Ex GST],$A303),"")</f>
        <v/>
      </c>
      <c r="H303" s="60">
        <f>IFERROR(INDEX(tbl_Finance[Defer Start],$A303),"")</f>
        <v/>
      </c>
      <c r="I303" s="60">
        <f>IFERROR(INDEX(tbl_Finance[Defer End],$A303),"")</f>
        <v/>
      </c>
      <c r="J303" s="59">
        <f>IF(OR($H303="",$I303="",$G303=""),"",MAX(1,(YEAR($I303)-YEAR($H303))*12+MONTH($I303)-MONTH($H303)+1))</f>
        <v/>
      </c>
      <c r="K303" s="62">
        <f>IF($J303="","",$G303/$J303)</f>
        <v/>
      </c>
      <c r="L303" s="62">
        <f>IF($J303="",0,$K303*MAX(0,MIN(YEAR($C$3)*12+MONTH($C$3),YEAR($I303)*12+MONTH($I303))-(YEAR($H303)*12+MONTH($H303))+1))</f>
        <v/>
      </c>
      <c r="M303" s="62">
        <f>IF($J303="",0,$K303*MAX(0,MIN(YEAR($C$3)*12+MONTH($C$3)-1,YEAR($I303)*12+MONTH($I303))-(YEAR($H303)*12+MONTH($H303))+1))</f>
        <v/>
      </c>
      <c r="N303" s="62">
        <f>IF(OR($J303="",$B303=""),0,IF(YEAR($B303)*12+MONTH($B303)&lt;=YEAR($C$3)*12+MONTH($C$3),$G303,0))</f>
        <v/>
      </c>
      <c r="O303" s="62">
        <f>IF(OR($J303="",$B303=""),0,IF(YEAR($B303)*12+MONTH($B303)&lt;=YEAR($C$3)*12+MONTH($C$3)-1,$G303,0))</f>
        <v/>
      </c>
      <c r="P303" s="62">
        <f>$M303-$O303</f>
        <v/>
      </c>
      <c r="Q303" s="62">
        <f>($L303-$M303)-($N303-$O303)</f>
        <v/>
      </c>
      <c r="R303" s="62">
        <f>$L303-$N303</f>
        <v/>
      </c>
    </row>
    <row r="304">
      <c r="A304" s="59">
        <f>ROW()-5</f>
        <v/>
      </c>
      <c r="B304" s="60">
        <f>IFERROR(INDEX(tbl_Finance[Date],$A304),"")</f>
        <v/>
      </c>
      <c r="C304" s="61">
        <f>IFERROR(INDEX(tbl_Finance[Xero Invoice No],$A304),"")</f>
        <v/>
      </c>
      <c r="D304" s="61">
        <f>IFERROR(INDEX(tbl_Finance[Client],$A304),"")</f>
        <v/>
      </c>
      <c r="E304" s="61">
        <f>IFERROR(INDEX(tbl_Finance[Job Number],$A304),"")</f>
        <v/>
      </c>
      <c r="F304" s="61">
        <f>IFERROR(INDEX(tbl_Finance[Cost Centre],$A304),"")</f>
        <v/>
      </c>
      <c r="G304" s="62">
        <f>IFERROR(INDEX(tbl_Finance[Ex GST],$A304),"")</f>
        <v/>
      </c>
      <c r="H304" s="60">
        <f>IFERROR(INDEX(tbl_Finance[Defer Start],$A304),"")</f>
        <v/>
      </c>
      <c r="I304" s="60">
        <f>IFERROR(INDEX(tbl_Finance[Defer End],$A304),"")</f>
        <v/>
      </c>
      <c r="J304" s="59">
        <f>IF(OR($H304="",$I304="",$G304=""),"",MAX(1,(YEAR($I304)-YEAR($H304))*12+MONTH($I304)-MONTH($H304)+1))</f>
        <v/>
      </c>
      <c r="K304" s="62">
        <f>IF($J304="","",$G304/$J304)</f>
        <v/>
      </c>
      <c r="L304" s="62">
        <f>IF($J304="",0,$K304*MAX(0,MIN(YEAR($C$3)*12+MONTH($C$3),YEAR($I304)*12+MONTH($I304))-(YEAR($H304)*12+MONTH($H304))+1))</f>
        <v/>
      </c>
      <c r="M304" s="62">
        <f>IF($J304="",0,$K304*MAX(0,MIN(YEAR($C$3)*12+MONTH($C$3)-1,YEAR($I304)*12+MONTH($I304))-(YEAR($H304)*12+MONTH($H304))+1))</f>
        <v/>
      </c>
      <c r="N304" s="62">
        <f>IF(OR($J304="",$B304=""),0,IF(YEAR($B304)*12+MONTH($B304)&lt;=YEAR($C$3)*12+MONTH($C$3),$G304,0))</f>
        <v/>
      </c>
      <c r="O304" s="62">
        <f>IF(OR($J304="",$B304=""),0,IF(YEAR($B304)*12+MONTH($B304)&lt;=YEAR($C$3)*12+MONTH($C$3)-1,$G304,0))</f>
        <v/>
      </c>
      <c r="P304" s="62">
        <f>$M304-$O304</f>
        <v/>
      </c>
      <c r="Q304" s="62">
        <f>($L304-$M304)-($N304-$O304)</f>
        <v/>
      </c>
      <c r="R304" s="62">
        <f>$L304-$N304</f>
        <v/>
      </c>
    </row>
    <row r="305">
      <c r="A305" s="59">
        <f>ROW()-5</f>
        <v/>
      </c>
      <c r="B305" s="60">
        <f>IFERROR(INDEX(tbl_Finance[Date],$A305),"")</f>
        <v/>
      </c>
      <c r="C305" s="61">
        <f>IFERROR(INDEX(tbl_Finance[Xero Invoice No],$A305),"")</f>
        <v/>
      </c>
      <c r="D305" s="61">
        <f>IFERROR(INDEX(tbl_Finance[Client],$A305),"")</f>
        <v/>
      </c>
      <c r="E305" s="61">
        <f>IFERROR(INDEX(tbl_Finance[Job Number],$A305),"")</f>
        <v/>
      </c>
      <c r="F305" s="61">
        <f>IFERROR(INDEX(tbl_Finance[Cost Centre],$A305),"")</f>
        <v/>
      </c>
      <c r="G305" s="62">
        <f>IFERROR(INDEX(tbl_Finance[Ex GST],$A305),"")</f>
        <v/>
      </c>
      <c r="H305" s="60">
        <f>IFERROR(INDEX(tbl_Finance[Defer Start],$A305),"")</f>
        <v/>
      </c>
      <c r="I305" s="60">
        <f>IFERROR(INDEX(tbl_Finance[Defer End],$A305),"")</f>
        <v/>
      </c>
      <c r="J305" s="59">
        <f>IF(OR($H305="",$I305="",$G305=""),"",MAX(1,(YEAR($I305)-YEAR($H305))*12+MONTH($I305)-MONTH($H305)+1))</f>
        <v/>
      </c>
      <c r="K305" s="62">
        <f>IF($J305="","",$G305/$J305)</f>
        <v/>
      </c>
      <c r="L305" s="62">
        <f>IF($J305="",0,$K305*MAX(0,MIN(YEAR($C$3)*12+MONTH($C$3),YEAR($I305)*12+MONTH($I305))-(YEAR($H305)*12+MONTH($H305))+1))</f>
        <v/>
      </c>
      <c r="M305" s="62">
        <f>IF($J305="",0,$K305*MAX(0,MIN(YEAR($C$3)*12+MONTH($C$3)-1,YEAR($I305)*12+MONTH($I305))-(YEAR($H305)*12+MONTH($H305))+1))</f>
        <v/>
      </c>
      <c r="N305" s="62">
        <f>IF(OR($J305="",$B305=""),0,IF(YEAR($B305)*12+MONTH($B305)&lt;=YEAR($C$3)*12+MONTH($C$3),$G305,0))</f>
        <v/>
      </c>
      <c r="O305" s="62">
        <f>IF(OR($J305="",$B305=""),0,IF(YEAR($B305)*12+MONTH($B305)&lt;=YEAR($C$3)*12+MONTH($C$3)-1,$G305,0))</f>
        <v/>
      </c>
      <c r="P305" s="62">
        <f>$M305-$O305</f>
        <v/>
      </c>
      <c r="Q305" s="62">
        <f>($L305-$M305)-($N305-$O305)</f>
        <v/>
      </c>
      <c r="R305" s="62">
        <f>$L305-$N305</f>
        <v/>
      </c>
    </row>
    <row r="306">
      <c r="A306" s="59">
        <f>ROW()-5</f>
        <v/>
      </c>
      <c r="B306" s="60">
        <f>IFERROR(INDEX(tbl_Finance[Date],$A306),"")</f>
        <v/>
      </c>
      <c r="C306" s="61">
        <f>IFERROR(INDEX(tbl_Finance[Xero Invoice No],$A306),"")</f>
        <v/>
      </c>
      <c r="D306" s="61">
        <f>IFERROR(INDEX(tbl_Finance[Client],$A306),"")</f>
        <v/>
      </c>
      <c r="E306" s="61">
        <f>IFERROR(INDEX(tbl_Finance[Job Number],$A306),"")</f>
        <v/>
      </c>
      <c r="F306" s="61">
        <f>IFERROR(INDEX(tbl_Finance[Cost Centre],$A306),"")</f>
        <v/>
      </c>
      <c r="G306" s="62">
        <f>IFERROR(INDEX(tbl_Finance[Ex GST],$A306),"")</f>
        <v/>
      </c>
      <c r="H306" s="60">
        <f>IFERROR(INDEX(tbl_Finance[Defer Start],$A306),"")</f>
        <v/>
      </c>
      <c r="I306" s="60">
        <f>IFERROR(INDEX(tbl_Finance[Defer End],$A306),"")</f>
        <v/>
      </c>
      <c r="J306" s="59">
        <f>IF(OR($H306="",$I306="",$G306=""),"",MAX(1,(YEAR($I306)-YEAR($H306))*12+MONTH($I306)-MONTH($H306)+1))</f>
        <v/>
      </c>
      <c r="K306" s="62">
        <f>IF($J306="","",$G306/$J306)</f>
        <v/>
      </c>
      <c r="L306" s="62">
        <f>IF($J306="",0,$K306*MAX(0,MIN(YEAR($C$3)*12+MONTH($C$3),YEAR($I306)*12+MONTH($I306))-(YEAR($H306)*12+MONTH($H306))+1))</f>
        <v/>
      </c>
      <c r="M306" s="62">
        <f>IF($J306="",0,$K306*MAX(0,MIN(YEAR($C$3)*12+MONTH($C$3)-1,YEAR($I306)*12+MONTH($I306))-(YEAR($H306)*12+MONTH($H306))+1))</f>
        <v/>
      </c>
      <c r="N306" s="62">
        <f>IF(OR($J306="",$B306=""),0,IF(YEAR($B306)*12+MONTH($B306)&lt;=YEAR($C$3)*12+MONTH($C$3),$G306,0))</f>
        <v/>
      </c>
      <c r="O306" s="62">
        <f>IF(OR($J306="",$B306=""),0,IF(YEAR($B306)*12+MONTH($B306)&lt;=YEAR($C$3)*12+MONTH($C$3)-1,$G306,0))</f>
        <v/>
      </c>
      <c r="P306" s="62">
        <f>$M306-$O306</f>
        <v/>
      </c>
      <c r="Q306" s="62">
        <f>($L306-$M306)-($N306-$O306)</f>
        <v/>
      </c>
      <c r="R306" s="62">
        <f>$L306-$N306</f>
        <v/>
      </c>
    </row>
    <row r="307">
      <c r="A307" s="59">
        <f>ROW()-5</f>
        <v/>
      </c>
      <c r="B307" s="60">
        <f>IFERROR(INDEX(tbl_Finance[Date],$A307),"")</f>
        <v/>
      </c>
      <c r="C307" s="61">
        <f>IFERROR(INDEX(tbl_Finance[Xero Invoice No],$A307),"")</f>
        <v/>
      </c>
      <c r="D307" s="61">
        <f>IFERROR(INDEX(tbl_Finance[Client],$A307),"")</f>
        <v/>
      </c>
      <c r="E307" s="61">
        <f>IFERROR(INDEX(tbl_Finance[Job Number],$A307),"")</f>
        <v/>
      </c>
      <c r="F307" s="61">
        <f>IFERROR(INDEX(tbl_Finance[Cost Centre],$A307),"")</f>
        <v/>
      </c>
      <c r="G307" s="62">
        <f>IFERROR(INDEX(tbl_Finance[Ex GST],$A307),"")</f>
        <v/>
      </c>
      <c r="H307" s="60">
        <f>IFERROR(INDEX(tbl_Finance[Defer Start],$A307),"")</f>
        <v/>
      </c>
      <c r="I307" s="60">
        <f>IFERROR(INDEX(tbl_Finance[Defer End],$A307),"")</f>
        <v/>
      </c>
      <c r="J307" s="59">
        <f>IF(OR($H307="",$I307="",$G307=""),"",MAX(1,(YEAR($I307)-YEAR($H307))*12+MONTH($I307)-MONTH($H307)+1))</f>
        <v/>
      </c>
      <c r="K307" s="62">
        <f>IF($J307="","",$G307/$J307)</f>
        <v/>
      </c>
      <c r="L307" s="62">
        <f>IF($J307="",0,$K307*MAX(0,MIN(YEAR($C$3)*12+MONTH($C$3),YEAR($I307)*12+MONTH($I307))-(YEAR($H307)*12+MONTH($H307))+1))</f>
        <v/>
      </c>
      <c r="M307" s="62">
        <f>IF($J307="",0,$K307*MAX(0,MIN(YEAR($C$3)*12+MONTH($C$3)-1,YEAR($I307)*12+MONTH($I307))-(YEAR($H307)*12+MONTH($H307))+1))</f>
        <v/>
      </c>
      <c r="N307" s="62">
        <f>IF(OR($J307="",$B307=""),0,IF(YEAR($B307)*12+MONTH($B307)&lt;=YEAR($C$3)*12+MONTH($C$3),$G307,0))</f>
        <v/>
      </c>
      <c r="O307" s="62">
        <f>IF(OR($J307="",$B307=""),0,IF(YEAR($B307)*12+MONTH($B307)&lt;=YEAR($C$3)*12+MONTH($C$3)-1,$G307,0))</f>
        <v/>
      </c>
      <c r="P307" s="62">
        <f>$M307-$O307</f>
        <v/>
      </c>
      <c r="Q307" s="62">
        <f>($L307-$M307)-($N307-$O307)</f>
        <v/>
      </c>
      <c r="R307" s="62">
        <f>$L307-$N307</f>
        <v/>
      </c>
    </row>
    <row r="308">
      <c r="A308" s="59">
        <f>ROW()-5</f>
        <v/>
      </c>
      <c r="B308" s="60">
        <f>IFERROR(INDEX(tbl_Finance[Date],$A308),"")</f>
        <v/>
      </c>
      <c r="C308" s="61">
        <f>IFERROR(INDEX(tbl_Finance[Xero Invoice No],$A308),"")</f>
        <v/>
      </c>
      <c r="D308" s="61">
        <f>IFERROR(INDEX(tbl_Finance[Client],$A308),"")</f>
        <v/>
      </c>
      <c r="E308" s="61">
        <f>IFERROR(INDEX(tbl_Finance[Job Number],$A308),"")</f>
        <v/>
      </c>
      <c r="F308" s="61">
        <f>IFERROR(INDEX(tbl_Finance[Cost Centre],$A308),"")</f>
        <v/>
      </c>
      <c r="G308" s="62">
        <f>IFERROR(INDEX(tbl_Finance[Ex GST],$A308),"")</f>
        <v/>
      </c>
      <c r="H308" s="60">
        <f>IFERROR(INDEX(tbl_Finance[Defer Start],$A308),"")</f>
        <v/>
      </c>
      <c r="I308" s="60">
        <f>IFERROR(INDEX(tbl_Finance[Defer End],$A308),"")</f>
        <v/>
      </c>
      <c r="J308" s="59">
        <f>IF(OR($H308="",$I308="",$G308=""),"",MAX(1,(YEAR($I308)-YEAR($H308))*12+MONTH($I308)-MONTH($H308)+1))</f>
        <v/>
      </c>
      <c r="K308" s="62">
        <f>IF($J308="","",$G308/$J308)</f>
        <v/>
      </c>
      <c r="L308" s="62">
        <f>IF($J308="",0,$K308*MAX(0,MIN(YEAR($C$3)*12+MONTH($C$3),YEAR($I308)*12+MONTH($I308))-(YEAR($H308)*12+MONTH($H308))+1))</f>
        <v/>
      </c>
      <c r="M308" s="62">
        <f>IF($J308="",0,$K308*MAX(0,MIN(YEAR($C$3)*12+MONTH($C$3)-1,YEAR($I308)*12+MONTH($I308))-(YEAR($H308)*12+MONTH($H308))+1))</f>
        <v/>
      </c>
      <c r="N308" s="62">
        <f>IF(OR($J308="",$B308=""),0,IF(YEAR($B308)*12+MONTH($B308)&lt;=YEAR($C$3)*12+MONTH($C$3),$G308,0))</f>
        <v/>
      </c>
      <c r="O308" s="62">
        <f>IF(OR($J308="",$B308=""),0,IF(YEAR($B308)*12+MONTH($B308)&lt;=YEAR($C$3)*12+MONTH($C$3)-1,$G308,0))</f>
        <v/>
      </c>
      <c r="P308" s="62">
        <f>$M308-$O308</f>
        <v/>
      </c>
      <c r="Q308" s="62">
        <f>($L308-$M308)-($N308-$O308)</f>
        <v/>
      </c>
      <c r="R308" s="62">
        <f>$L308-$N308</f>
        <v/>
      </c>
    </row>
    <row r="309">
      <c r="A309" s="59">
        <f>ROW()-5</f>
        <v/>
      </c>
      <c r="B309" s="60">
        <f>IFERROR(INDEX(tbl_Finance[Date],$A309),"")</f>
        <v/>
      </c>
      <c r="C309" s="61">
        <f>IFERROR(INDEX(tbl_Finance[Xero Invoice No],$A309),"")</f>
        <v/>
      </c>
      <c r="D309" s="61">
        <f>IFERROR(INDEX(tbl_Finance[Client],$A309),"")</f>
        <v/>
      </c>
      <c r="E309" s="61">
        <f>IFERROR(INDEX(tbl_Finance[Job Number],$A309),"")</f>
        <v/>
      </c>
      <c r="F309" s="61">
        <f>IFERROR(INDEX(tbl_Finance[Cost Centre],$A309),"")</f>
        <v/>
      </c>
      <c r="G309" s="62">
        <f>IFERROR(INDEX(tbl_Finance[Ex GST],$A309),"")</f>
        <v/>
      </c>
      <c r="H309" s="60">
        <f>IFERROR(INDEX(tbl_Finance[Defer Start],$A309),"")</f>
        <v/>
      </c>
      <c r="I309" s="60">
        <f>IFERROR(INDEX(tbl_Finance[Defer End],$A309),"")</f>
        <v/>
      </c>
      <c r="J309" s="59">
        <f>IF(OR($H309="",$I309="",$G309=""),"",MAX(1,(YEAR($I309)-YEAR($H309))*12+MONTH($I309)-MONTH($H309)+1))</f>
        <v/>
      </c>
      <c r="K309" s="62">
        <f>IF($J309="","",$G309/$J309)</f>
        <v/>
      </c>
      <c r="L309" s="62">
        <f>IF($J309="",0,$K309*MAX(0,MIN(YEAR($C$3)*12+MONTH($C$3),YEAR($I309)*12+MONTH($I309))-(YEAR($H309)*12+MONTH($H309))+1))</f>
        <v/>
      </c>
      <c r="M309" s="62">
        <f>IF($J309="",0,$K309*MAX(0,MIN(YEAR($C$3)*12+MONTH($C$3)-1,YEAR($I309)*12+MONTH($I309))-(YEAR($H309)*12+MONTH($H309))+1))</f>
        <v/>
      </c>
      <c r="N309" s="62">
        <f>IF(OR($J309="",$B309=""),0,IF(YEAR($B309)*12+MONTH($B309)&lt;=YEAR($C$3)*12+MONTH($C$3),$G309,0))</f>
        <v/>
      </c>
      <c r="O309" s="62">
        <f>IF(OR($J309="",$B309=""),0,IF(YEAR($B309)*12+MONTH($B309)&lt;=YEAR($C$3)*12+MONTH($C$3)-1,$G309,0))</f>
        <v/>
      </c>
      <c r="P309" s="62">
        <f>$M309-$O309</f>
        <v/>
      </c>
      <c r="Q309" s="62">
        <f>($L309-$M309)-($N309-$O309)</f>
        <v/>
      </c>
      <c r="R309" s="62">
        <f>$L309-$N309</f>
        <v/>
      </c>
    </row>
    <row r="310">
      <c r="A310" s="59">
        <f>ROW()-5</f>
        <v/>
      </c>
      <c r="B310" s="60">
        <f>IFERROR(INDEX(tbl_Finance[Date],$A310),"")</f>
        <v/>
      </c>
      <c r="C310" s="61">
        <f>IFERROR(INDEX(tbl_Finance[Xero Invoice No],$A310),"")</f>
        <v/>
      </c>
      <c r="D310" s="61">
        <f>IFERROR(INDEX(tbl_Finance[Client],$A310),"")</f>
        <v/>
      </c>
      <c r="E310" s="61">
        <f>IFERROR(INDEX(tbl_Finance[Job Number],$A310),"")</f>
        <v/>
      </c>
      <c r="F310" s="61">
        <f>IFERROR(INDEX(tbl_Finance[Cost Centre],$A310),"")</f>
        <v/>
      </c>
      <c r="G310" s="62">
        <f>IFERROR(INDEX(tbl_Finance[Ex GST],$A310),"")</f>
        <v/>
      </c>
      <c r="H310" s="60">
        <f>IFERROR(INDEX(tbl_Finance[Defer Start],$A310),"")</f>
        <v/>
      </c>
      <c r="I310" s="60">
        <f>IFERROR(INDEX(tbl_Finance[Defer End],$A310),"")</f>
        <v/>
      </c>
      <c r="J310" s="59">
        <f>IF(OR($H310="",$I310="",$G310=""),"",MAX(1,(YEAR($I310)-YEAR($H310))*12+MONTH($I310)-MONTH($H310)+1))</f>
        <v/>
      </c>
      <c r="K310" s="62">
        <f>IF($J310="","",$G310/$J310)</f>
        <v/>
      </c>
      <c r="L310" s="62">
        <f>IF($J310="",0,$K310*MAX(0,MIN(YEAR($C$3)*12+MONTH($C$3),YEAR($I310)*12+MONTH($I310))-(YEAR($H310)*12+MONTH($H310))+1))</f>
        <v/>
      </c>
      <c r="M310" s="62">
        <f>IF($J310="",0,$K310*MAX(0,MIN(YEAR($C$3)*12+MONTH($C$3)-1,YEAR($I310)*12+MONTH($I310))-(YEAR($H310)*12+MONTH($H310))+1))</f>
        <v/>
      </c>
      <c r="N310" s="62">
        <f>IF(OR($J310="",$B310=""),0,IF(YEAR($B310)*12+MONTH($B310)&lt;=YEAR($C$3)*12+MONTH($C$3),$G310,0))</f>
        <v/>
      </c>
      <c r="O310" s="62">
        <f>IF(OR($J310="",$B310=""),0,IF(YEAR($B310)*12+MONTH($B310)&lt;=YEAR($C$3)*12+MONTH($C$3)-1,$G310,0))</f>
        <v/>
      </c>
      <c r="P310" s="62">
        <f>$M310-$O310</f>
        <v/>
      </c>
      <c r="Q310" s="62">
        <f>($L310-$M310)-($N310-$O310)</f>
        <v/>
      </c>
      <c r="R310" s="62">
        <f>$L310-$N310</f>
        <v/>
      </c>
    </row>
    <row r="311">
      <c r="A311" s="59">
        <f>ROW()-5</f>
        <v/>
      </c>
      <c r="B311" s="60">
        <f>IFERROR(INDEX(tbl_Finance[Date],$A311),"")</f>
        <v/>
      </c>
      <c r="C311" s="61">
        <f>IFERROR(INDEX(tbl_Finance[Xero Invoice No],$A311),"")</f>
        <v/>
      </c>
      <c r="D311" s="61">
        <f>IFERROR(INDEX(tbl_Finance[Client],$A311),"")</f>
        <v/>
      </c>
      <c r="E311" s="61">
        <f>IFERROR(INDEX(tbl_Finance[Job Number],$A311),"")</f>
        <v/>
      </c>
      <c r="F311" s="61">
        <f>IFERROR(INDEX(tbl_Finance[Cost Centre],$A311),"")</f>
        <v/>
      </c>
      <c r="G311" s="62">
        <f>IFERROR(INDEX(tbl_Finance[Ex GST],$A311),"")</f>
        <v/>
      </c>
      <c r="H311" s="60">
        <f>IFERROR(INDEX(tbl_Finance[Defer Start],$A311),"")</f>
        <v/>
      </c>
      <c r="I311" s="60">
        <f>IFERROR(INDEX(tbl_Finance[Defer End],$A311),"")</f>
        <v/>
      </c>
      <c r="J311" s="59">
        <f>IF(OR($H311="",$I311="",$G311=""),"",MAX(1,(YEAR($I311)-YEAR($H311))*12+MONTH($I311)-MONTH($H311)+1))</f>
        <v/>
      </c>
      <c r="K311" s="62">
        <f>IF($J311="","",$G311/$J311)</f>
        <v/>
      </c>
      <c r="L311" s="62">
        <f>IF($J311="",0,$K311*MAX(0,MIN(YEAR($C$3)*12+MONTH($C$3),YEAR($I311)*12+MONTH($I311))-(YEAR($H311)*12+MONTH($H311))+1))</f>
        <v/>
      </c>
      <c r="M311" s="62">
        <f>IF($J311="",0,$K311*MAX(0,MIN(YEAR($C$3)*12+MONTH($C$3)-1,YEAR($I311)*12+MONTH($I311))-(YEAR($H311)*12+MONTH($H311))+1))</f>
        <v/>
      </c>
      <c r="N311" s="62">
        <f>IF(OR($J311="",$B311=""),0,IF(YEAR($B311)*12+MONTH($B311)&lt;=YEAR($C$3)*12+MONTH($C$3),$G311,0))</f>
        <v/>
      </c>
      <c r="O311" s="62">
        <f>IF(OR($J311="",$B311=""),0,IF(YEAR($B311)*12+MONTH($B311)&lt;=YEAR($C$3)*12+MONTH($C$3)-1,$G311,0))</f>
        <v/>
      </c>
      <c r="P311" s="62">
        <f>$M311-$O311</f>
        <v/>
      </c>
      <c r="Q311" s="62">
        <f>($L311-$M311)-($N311-$O311)</f>
        <v/>
      </c>
      <c r="R311" s="62">
        <f>$L311-$N311</f>
        <v/>
      </c>
    </row>
    <row r="312">
      <c r="A312" s="59">
        <f>ROW()-5</f>
        <v/>
      </c>
      <c r="B312" s="60">
        <f>IFERROR(INDEX(tbl_Finance[Date],$A312),"")</f>
        <v/>
      </c>
      <c r="C312" s="61">
        <f>IFERROR(INDEX(tbl_Finance[Xero Invoice No],$A312),"")</f>
        <v/>
      </c>
      <c r="D312" s="61">
        <f>IFERROR(INDEX(tbl_Finance[Client],$A312),"")</f>
        <v/>
      </c>
      <c r="E312" s="61">
        <f>IFERROR(INDEX(tbl_Finance[Job Number],$A312),"")</f>
        <v/>
      </c>
      <c r="F312" s="61">
        <f>IFERROR(INDEX(tbl_Finance[Cost Centre],$A312),"")</f>
        <v/>
      </c>
      <c r="G312" s="62">
        <f>IFERROR(INDEX(tbl_Finance[Ex GST],$A312),"")</f>
        <v/>
      </c>
      <c r="H312" s="60">
        <f>IFERROR(INDEX(tbl_Finance[Defer Start],$A312),"")</f>
        <v/>
      </c>
      <c r="I312" s="60">
        <f>IFERROR(INDEX(tbl_Finance[Defer End],$A312),"")</f>
        <v/>
      </c>
      <c r="J312" s="59">
        <f>IF(OR($H312="",$I312="",$G312=""),"",MAX(1,(YEAR($I312)-YEAR($H312))*12+MONTH($I312)-MONTH($H312)+1))</f>
        <v/>
      </c>
      <c r="K312" s="62">
        <f>IF($J312="","",$G312/$J312)</f>
        <v/>
      </c>
      <c r="L312" s="62">
        <f>IF($J312="",0,$K312*MAX(0,MIN(YEAR($C$3)*12+MONTH($C$3),YEAR($I312)*12+MONTH($I312))-(YEAR($H312)*12+MONTH($H312))+1))</f>
        <v/>
      </c>
      <c r="M312" s="62">
        <f>IF($J312="",0,$K312*MAX(0,MIN(YEAR($C$3)*12+MONTH($C$3)-1,YEAR($I312)*12+MONTH($I312))-(YEAR($H312)*12+MONTH($H312))+1))</f>
        <v/>
      </c>
      <c r="N312" s="62">
        <f>IF(OR($J312="",$B312=""),0,IF(YEAR($B312)*12+MONTH($B312)&lt;=YEAR($C$3)*12+MONTH($C$3),$G312,0))</f>
        <v/>
      </c>
      <c r="O312" s="62">
        <f>IF(OR($J312="",$B312=""),0,IF(YEAR($B312)*12+MONTH($B312)&lt;=YEAR($C$3)*12+MONTH($C$3)-1,$G312,0))</f>
        <v/>
      </c>
      <c r="P312" s="62">
        <f>$M312-$O312</f>
        <v/>
      </c>
      <c r="Q312" s="62">
        <f>($L312-$M312)-($N312-$O312)</f>
        <v/>
      </c>
      <c r="R312" s="62">
        <f>$L312-$N312</f>
        <v/>
      </c>
    </row>
    <row r="313">
      <c r="A313" s="59">
        <f>ROW()-5</f>
        <v/>
      </c>
      <c r="B313" s="60">
        <f>IFERROR(INDEX(tbl_Finance[Date],$A313),"")</f>
        <v/>
      </c>
      <c r="C313" s="61">
        <f>IFERROR(INDEX(tbl_Finance[Xero Invoice No],$A313),"")</f>
        <v/>
      </c>
      <c r="D313" s="61">
        <f>IFERROR(INDEX(tbl_Finance[Client],$A313),"")</f>
        <v/>
      </c>
      <c r="E313" s="61">
        <f>IFERROR(INDEX(tbl_Finance[Job Number],$A313),"")</f>
        <v/>
      </c>
      <c r="F313" s="61">
        <f>IFERROR(INDEX(tbl_Finance[Cost Centre],$A313),"")</f>
        <v/>
      </c>
      <c r="G313" s="62">
        <f>IFERROR(INDEX(tbl_Finance[Ex GST],$A313),"")</f>
        <v/>
      </c>
      <c r="H313" s="60">
        <f>IFERROR(INDEX(tbl_Finance[Defer Start],$A313),"")</f>
        <v/>
      </c>
      <c r="I313" s="60">
        <f>IFERROR(INDEX(tbl_Finance[Defer End],$A313),"")</f>
        <v/>
      </c>
      <c r="J313" s="59">
        <f>IF(OR($H313="",$I313="",$G313=""),"",MAX(1,(YEAR($I313)-YEAR($H313))*12+MONTH($I313)-MONTH($H313)+1))</f>
        <v/>
      </c>
      <c r="K313" s="62">
        <f>IF($J313="","",$G313/$J313)</f>
        <v/>
      </c>
      <c r="L313" s="62">
        <f>IF($J313="",0,$K313*MAX(0,MIN(YEAR($C$3)*12+MONTH($C$3),YEAR($I313)*12+MONTH($I313))-(YEAR($H313)*12+MONTH($H313))+1))</f>
        <v/>
      </c>
      <c r="M313" s="62">
        <f>IF($J313="",0,$K313*MAX(0,MIN(YEAR($C$3)*12+MONTH($C$3)-1,YEAR($I313)*12+MONTH($I313))-(YEAR($H313)*12+MONTH($H313))+1))</f>
        <v/>
      </c>
      <c r="N313" s="62">
        <f>IF(OR($J313="",$B313=""),0,IF(YEAR($B313)*12+MONTH($B313)&lt;=YEAR($C$3)*12+MONTH($C$3),$G313,0))</f>
        <v/>
      </c>
      <c r="O313" s="62">
        <f>IF(OR($J313="",$B313=""),0,IF(YEAR($B313)*12+MONTH($B313)&lt;=YEAR($C$3)*12+MONTH($C$3)-1,$G313,0))</f>
        <v/>
      </c>
      <c r="P313" s="62">
        <f>$M313-$O313</f>
        <v/>
      </c>
      <c r="Q313" s="62">
        <f>($L313-$M313)-($N313-$O313)</f>
        <v/>
      </c>
      <c r="R313" s="62">
        <f>$L313-$N313</f>
        <v/>
      </c>
    </row>
    <row r="314">
      <c r="A314" s="59">
        <f>ROW()-5</f>
        <v/>
      </c>
      <c r="B314" s="60">
        <f>IFERROR(INDEX(tbl_Finance[Date],$A314),"")</f>
        <v/>
      </c>
      <c r="C314" s="61">
        <f>IFERROR(INDEX(tbl_Finance[Xero Invoice No],$A314),"")</f>
        <v/>
      </c>
      <c r="D314" s="61">
        <f>IFERROR(INDEX(tbl_Finance[Client],$A314),"")</f>
        <v/>
      </c>
      <c r="E314" s="61">
        <f>IFERROR(INDEX(tbl_Finance[Job Number],$A314),"")</f>
        <v/>
      </c>
      <c r="F314" s="61">
        <f>IFERROR(INDEX(tbl_Finance[Cost Centre],$A314),"")</f>
        <v/>
      </c>
      <c r="G314" s="62">
        <f>IFERROR(INDEX(tbl_Finance[Ex GST],$A314),"")</f>
        <v/>
      </c>
      <c r="H314" s="60">
        <f>IFERROR(INDEX(tbl_Finance[Defer Start],$A314),"")</f>
        <v/>
      </c>
      <c r="I314" s="60">
        <f>IFERROR(INDEX(tbl_Finance[Defer End],$A314),"")</f>
        <v/>
      </c>
      <c r="J314" s="59">
        <f>IF(OR($H314="",$I314="",$G314=""),"",MAX(1,(YEAR($I314)-YEAR($H314))*12+MONTH($I314)-MONTH($H314)+1))</f>
        <v/>
      </c>
      <c r="K314" s="62">
        <f>IF($J314="","",$G314/$J314)</f>
        <v/>
      </c>
      <c r="L314" s="62">
        <f>IF($J314="",0,$K314*MAX(0,MIN(YEAR($C$3)*12+MONTH($C$3),YEAR($I314)*12+MONTH($I314))-(YEAR($H314)*12+MONTH($H314))+1))</f>
        <v/>
      </c>
      <c r="M314" s="62">
        <f>IF($J314="",0,$K314*MAX(0,MIN(YEAR($C$3)*12+MONTH($C$3)-1,YEAR($I314)*12+MONTH($I314))-(YEAR($H314)*12+MONTH($H314))+1))</f>
        <v/>
      </c>
      <c r="N314" s="62">
        <f>IF(OR($J314="",$B314=""),0,IF(YEAR($B314)*12+MONTH($B314)&lt;=YEAR($C$3)*12+MONTH($C$3),$G314,0))</f>
        <v/>
      </c>
      <c r="O314" s="62">
        <f>IF(OR($J314="",$B314=""),0,IF(YEAR($B314)*12+MONTH($B314)&lt;=YEAR($C$3)*12+MONTH($C$3)-1,$G314,0))</f>
        <v/>
      </c>
      <c r="P314" s="62">
        <f>$M314-$O314</f>
        <v/>
      </c>
      <c r="Q314" s="62">
        <f>($L314-$M314)-($N314-$O314)</f>
        <v/>
      </c>
      <c r="R314" s="62">
        <f>$L314-$N314</f>
        <v/>
      </c>
    </row>
    <row r="315">
      <c r="A315" s="59">
        <f>ROW()-5</f>
        <v/>
      </c>
      <c r="B315" s="60">
        <f>IFERROR(INDEX(tbl_Finance[Date],$A315),"")</f>
        <v/>
      </c>
      <c r="C315" s="61">
        <f>IFERROR(INDEX(tbl_Finance[Xero Invoice No],$A315),"")</f>
        <v/>
      </c>
      <c r="D315" s="61">
        <f>IFERROR(INDEX(tbl_Finance[Client],$A315),"")</f>
        <v/>
      </c>
      <c r="E315" s="61">
        <f>IFERROR(INDEX(tbl_Finance[Job Number],$A315),"")</f>
        <v/>
      </c>
      <c r="F315" s="61">
        <f>IFERROR(INDEX(tbl_Finance[Cost Centre],$A315),"")</f>
        <v/>
      </c>
      <c r="G315" s="62">
        <f>IFERROR(INDEX(tbl_Finance[Ex GST],$A315),"")</f>
        <v/>
      </c>
      <c r="H315" s="60">
        <f>IFERROR(INDEX(tbl_Finance[Defer Start],$A315),"")</f>
        <v/>
      </c>
      <c r="I315" s="60">
        <f>IFERROR(INDEX(tbl_Finance[Defer End],$A315),"")</f>
        <v/>
      </c>
      <c r="J315" s="59">
        <f>IF(OR($H315="",$I315="",$G315=""),"",MAX(1,(YEAR($I315)-YEAR($H315))*12+MONTH($I315)-MONTH($H315)+1))</f>
        <v/>
      </c>
      <c r="K315" s="62">
        <f>IF($J315="","",$G315/$J315)</f>
        <v/>
      </c>
      <c r="L315" s="62">
        <f>IF($J315="",0,$K315*MAX(0,MIN(YEAR($C$3)*12+MONTH($C$3),YEAR($I315)*12+MONTH($I315))-(YEAR($H315)*12+MONTH($H315))+1))</f>
        <v/>
      </c>
      <c r="M315" s="62">
        <f>IF($J315="",0,$K315*MAX(0,MIN(YEAR($C$3)*12+MONTH($C$3)-1,YEAR($I315)*12+MONTH($I315))-(YEAR($H315)*12+MONTH($H315))+1))</f>
        <v/>
      </c>
      <c r="N315" s="62">
        <f>IF(OR($J315="",$B315=""),0,IF(YEAR($B315)*12+MONTH($B315)&lt;=YEAR($C$3)*12+MONTH($C$3),$G315,0))</f>
        <v/>
      </c>
      <c r="O315" s="62">
        <f>IF(OR($J315="",$B315=""),0,IF(YEAR($B315)*12+MONTH($B315)&lt;=YEAR($C$3)*12+MONTH($C$3)-1,$G315,0))</f>
        <v/>
      </c>
      <c r="P315" s="62">
        <f>$M315-$O315</f>
        <v/>
      </c>
      <c r="Q315" s="62">
        <f>($L315-$M315)-($N315-$O315)</f>
        <v/>
      </c>
      <c r="R315" s="62">
        <f>$L315-$N315</f>
        <v/>
      </c>
    </row>
    <row r="316">
      <c r="A316" s="59">
        <f>ROW()-5</f>
        <v/>
      </c>
      <c r="B316" s="60">
        <f>IFERROR(INDEX(tbl_Finance[Date],$A316),"")</f>
        <v/>
      </c>
      <c r="C316" s="61">
        <f>IFERROR(INDEX(tbl_Finance[Xero Invoice No],$A316),"")</f>
        <v/>
      </c>
      <c r="D316" s="61">
        <f>IFERROR(INDEX(tbl_Finance[Client],$A316),"")</f>
        <v/>
      </c>
      <c r="E316" s="61">
        <f>IFERROR(INDEX(tbl_Finance[Job Number],$A316),"")</f>
        <v/>
      </c>
      <c r="F316" s="61">
        <f>IFERROR(INDEX(tbl_Finance[Cost Centre],$A316),"")</f>
        <v/>
      </c>
      <c r="G316" s="62">
        <f>IFERROR(INDEX(tbl_Finance[Ex GST],$A316),"")</f>
        <v/>
      </c>
      <c r="H316" s="60">
        <f>IFERROR(INDEX(tbl_Finance[Defer Start],$A316),"")</f>
        <v/>
      </c>
      <c r="I316" s="60">
        <f>IFERROR(INDEX(tbl_Finance[Defer End],$A316),"")</f>
        <v/>
      </c>
      <c r="J316" s="59">
        <f>IF(OR($H316="",$I316="",$G316=""),"",MAX(1,(YEAR($I316)-YEAR($H316))*12+MONTH($I316)-MONTH($H316)+1))</f>
        <v/>
      </c>
      <c r="K316" s="62">
        <f>IF($J316="","",$G316/$J316)</f>
        <v/>
      </c>
      <c r="L316" s="62">
        <f>IF($J316="",0,$K316*MAX(0,MIN(YEAR($C$3)*12+MONTH($C$3),YEAR($I316)*12+MONTH($I316))-(YEAR($H316)*12+MONTH($H316))+1))</f>
        <v/>
      </c>
      <c r="M316" s="62">
        <f>IF($J316="",0,$K316*MAX(0,MIN(YEAR($C$3)*12+MONTH($C$3)-1,YEAR($I316)*12+MONTH($I316))-(YEAR($H316)*12+MONTH($H316))+1))</f>
        <v/>
      </c>
      <c r="N316" s="62">
        <f>IF(OR($J316="",$B316=""),0,IF(YEAR($B316)*12+MONTH($B316)&lt;=YEAR($C$3)*12+MONTH($C$3),$G316,0))</f>
        <v/>
      </c>
      <c r="O316" s="62">
        <f>IF(OR($J316="",$B316=""),0,IF(YEAR($B316)*12+MONTH($B316)&lt;=YEAR($C$3)*12+MONTH($C$3)-1,$G316,0))</f>
        <v/>
      </c>
      <c r="P316" s="62">
        <f>$M316-$O316</f>
        <v/>
      </c>
      <c r="Q316" s="62">
        <f>($L316-$M316)-($N316-$O316)</f>
        <v/>
      </c>
      <c r="R316" s="62">
        <f>$L316-$N316</f>
        <v/>
      </c>
    </row>
    <row r="317">
      <c r="A317" s="59">
        <f>ROW()-5</f>
        <v/>
      </c>
      <c r="B317" s="60">
        <f>IFERROR(INDEX(tbl_Finance[Date],$A317),"")</f>
        <v/>
      </c>
      <c r="C317" s="61">
        <f>IFERROR(INDEX(tbl_Finance[Xero Invoice No],$A317),"")</f>
        <v/>
      </c>
      <c r="D317" s="61">
        <f>IFERROR(INDEX(tbl_Finance[Client],$A317),"")</f>
        <v/>
      </c>
      <c r="E317" s="61">
        <f>IFERROR(INDEX(tbl_Finance[Job Number],$A317),"")</f>
        <v/>
      </c>
      <c r="F317" s="61">
        <f>IFERROR(INDEX(tbl_Finance[Cost Centre],$A317),"")</f>
        <v/>
      </c>
      <c r="G317" s="62">
        <f>IFERROR(INDEX(tbl_Finance[Ex GST],$A317),"")</f>
        <v/>
      </c>
      <c r="H317" s="60">
        <f>IFERROR(INDEX(tbl_Finance[Defer Start],$A317),"")</f>
        <v/>
      </c>
      <c r="I317" s="60">
        <f>IFERROR(INDEX(tbl_Finance[Defer End],$A317),"")</f>
        <v/>
      </c>
      <c r="J317" s="59">
        <f>IF(OR($H317="",$I317="",$G317=""),"",MAX(1,(YEAR($I317)-YEAR($H317))*12+MONTH($I317)-MONTH($H317)+1))</f>
        <v/>
      </c>
      <c r="K317" s="62">
        <f>IF($J317="","",$G317/$J317)</f>
        <v/>
      </c>
      <c r="L317" s="62">
        <f>IF($J317="",0,$K317*MAX(0,MIN(YEAR($C$3)*12+MONTH($C$3),YEAR($I317)*12+MONTH($I317))-(YEAR($H317)*12+MONTH($H317))+1))</f>
        <v/>
      </c>
      <c r="M317" s="62">
        <f>IF($J317="",0,$K317*MAX(0,MIN(YEAR($C$3)*12+MONTH($C$3)-1,YEAR($I317)*12+MONTH($I317))-(YEAR($H317)*12+MONTH($H317))+1))</f>
        <v/>
      </c>
      <c r="N317" s="62">
        <f>IF(OR($J317="",$B317=""),0,IF(YEAR($B317)*12+MONTH($B317)&lt;=YEAR($C$3)*12+MONTH($C$3),$G317,0))</f>
        <v/>
      </c>
      <c r="O317" s="62">
        <f>IF(OR($J317="",$B317=""),0,IF(YEAR($B317)*12+MONTH($B317)&lt;=YEAR($C$3)*12+MONTH($C$3)-1,$G317,0))</f>
        <v/>
      </c>
      <c r="P317" s="62">
        <f>$M317-$O317</f>
        <v/>
      </c>
      <c r="Q317" s="62">
        <f>($L317-$M317)-($N317-$O317)</f>
        <v/>
      </c>
      <c r="R317" s="62">
        <f>$L317-$N317</f>
        <v/>
      </c>
    </row>
    <row r="318">
      <c r="A318" s="59">
        <f>ROW()-5</f>
        <v/>
      </c>
      <c r="B318" s="60">
        <f>IFERROR(INDEX(tbl_Finance[Date],$A318),"")</f>
        <v/>
      </c>
      <c r="C318" s="61">
        <f>IFERROR(INDEX(tbl_Finance[Xero Invoice No],$A318),"")</f>
        <v/>
      </c>
      <c r="D318" s="61">
        <f>IFERROR(INDEX(tbl_Finance[Client],$A318),"")</f>
        <v/>
      </c>
      <c r="E318" s="61">
        <f>IFERROR(INDEX(tbl_Finance[Job Number],$A318),"")</f>
        <v/>
      </c>
      <c r="F318" s="61">
        <f>IFERROR(INDEX(tbl_Finance[Cost Centre],$A318),"")</f>
        <v/>
      </c>
      <c r="G318" s="62">
        <f>IFERROR(INDEX(tbl_Finance[Ex GST],$A318),"")</f>
        <v/>
      </c>
      <c r="H318" s="60">
        <f>IFERROR(INDEX(tbl_Finance[Defer Start],$A318),"")</f>
        <v/>
      </c>
      <c r="I318" s="60">
        <f>IFERROR(INDEX(tbl_Finance[Defer End],$A318),"")</f>
        <v/>
      </c>
      <c r="J318" s="59">
        <f>IF(OR($H318="",$I318="",$G318=""),"",MAX(1,(YEAR($I318)-YEAR($H318))*12+MONTH($I318)-MONTH($H318)+1))</f>
        <v/>
      </c>
      <c r="K318" s="62">
        <f>IF($J318="","",$G318/$J318)</f>
        <v/>
      </c>
      <c r="L318" s="62">
        <f>IF($J318="",0,$K318*MAX(0,MIN(YEAR($C$3)*12+MONTH($C$3),YEAR($I318)*12+MONTH($I318))-(YEAR($H318)*12+MONTH($H318))+1))</f>
        <v/>
      </c>
      <c r="M318" s="62">
        <f>IF($J318="",0,$K318*MAX(0,MIN(YEAR($C$3)*12+MONTH($C$3)-1,YEAR($I318)*12+MONTH($I318))-(YEAR($H318)*12+MONTH($H318))+1))</f>
        <v/>
      </c>
      <c r="N318" s="62">
        <f>IF(OR($J318="",$B318=""),0,IF(YEAR($B318)*12+MONTH($B318)&lt;=YEAR($C$3)*12+MONTH($C$3),$G318,0))</f>
        <v/>
      </c>
      <c r="O318" s="62">
        <f>IF(OR($J318="",$B318=""),0,IF(YEAR($B318)*12+MONTH($B318)&lt;=YEAR($C$3)*12+MONTH($C$3)-1,$G318,0))</f>
        <v/>
      </c>
      <c r="P318" s="62">
        <f>$M318-$O318</f>
        <v/>
      </c>
      <c r="Q318" s="62">
        <f>($L318-$M318)-($N318-$O318)</f>
        <v/>
      </c>
      <c r="R318" s="62">
        <f>$L318-$N318</f>
        <v/>
      </c>
    </row>
    <row r="319">
      <c r="A319" s="59">
        <f>ROW()-5</f>
        <v/>
      </c>
      <c r="B319" s="60">
        <f>IFERROR(INDEX(tbl_Finance[Date],$A319),"")</f>
        <v/>
      </c>
      <c r="C319" s="61">
        <f>IFERROR(INDEX(tbl_Finance[Xero Invoice No],$A319),"")</f>
        <v/>
      </c>
      <c r="D319" s="61">
        <f>IFERROR(INDEX(tbl_Finance[Client],$A319),"")</f>
        <v/>
      </c>
      <c r="E319" s="61">
        <f>IFERROR(INDEX(tbl_Finance[Job Number],$A319),"")</f>
        <v/>
      </c>
      <c r="F319" s="61">
        <f>IFERROR(INDEX(tbl_Finance[Cost Centre],$A319),"")</f>
        <v/>
      </c>
      <c r="G319" s="62">
        <f>IFERROR(INDEX(tbl_Finance[Ex GST],$A319),"")</f>
        <v/>
      </c>
      <c r="H319" s="60">
        <f>IFERROR(INDEX(tbl_Finance[Defer Start],$A319),"")</f>
        <v/>
      </c>
      <c r="I319" s="60">
        <f>IFERROR(INDEX(tbl_Finance[Defer End],$A319),"")</f>
        <v/>
      </c>
      <c r="J319" s="59">
        <f>IF(OR($H319="",$I319="",$G319=""),"",MAX(1,(YEAR($I319)-YEAR($H319))*12+MONTH($I319)-MONTH($H319)+1))</f>
        <v/>
      </c>
      <c r="K319" s="62">
        <f>IF($J319="","",$G319/$J319)</f>
        <v/>
      </c>
      <c r="L319" s="62">
        <f>IF($J319="",0,$K319*MAX(0,MIN(YEAR($C$3)*12+MONTH($C$3),YEAR($I319)*12+MONTH($I319))-(YEAR($H319)*12+MONTH($H319))+1))</f>
        <v/>
      </c>
      <c r="M319" s="62">
        <f>IF($J319="",0,$K319*MAX(0,MIN(YEAR($C$3)*12+MONTH($C$3)-1,YEAR($I319)*12+MONTH($I319))-(YEAR($H319)*12+MONTH($H319))+1))</f>
        <v/>
      </c>
      <c r="N319" s="62">
        <f>IF(OR($J319="",$B319=""),0,IF(YEAR($B319)*12+MONTH($B319)&lt;=YEAR($C$3)*12+MONTH($C$3),$G319,0))</f>
        <v/>
      </c>
      <c r="O319" s="62">
        <f>IF(OR($J319="",$B319=""),0,IF(YEAR($B319)*12+MONTH($B319)&lt;=YEAR($C$3)*12+MONTH($C$3)-1,$G319,0))</f>
        <v/>
      </c>
      <c r="P319" s="62">
        <f>$M319-$O319</f>
        <v/>
      </c>
      <c r="Q319" s="62">
        <f>($L319-$M319)-($N319-$O319)</f>
        <v/>
      </c>
      <c r="R319" s="62">
        <f>$L319-$N319</f>
        <v/>
      </c>
    </row>
    <row r="320">
      <c r="A320" s="59">
        <f>ROW()-5</f>
        <v/>
      </c>
      <c r="B320" s="60">
        <f>IFERROR(INDEX(tbl_Finance[Date],$A320),"")</f>
        <v/>
      </c>
      <c r="C320" s="61">
        <f>IFERROR(INDEX(tbl_Finance[Xero Invoice No],$A320),"")</f>
        <v/>
      </c>
      <c r="D320" s="61">
        <f>IFERROR(INDEX(tbl_Finance[Client],$A320),"")</f>
        <v/>
      </c>
      <c r="E320" s="61">
        <f>IFERROR(INDEX(tbl_Finance[Job Number],$A320),"")</f>
        <v/>
      </c>
      <c r="F320" s="61">
        <f>IFERROR(INDEX(tbl_Finance[Cost Centre],$A320),"")</f>
        <v/>
      </c>
      <c r="G320" s="62">
        <f>IFERROR(INDEX(tbl_Finance[Ex GST],$A320),"")</f>
        <v/>
      </c>
      <c r="H320" s="60">
        <f>IFERROR(INDEX(tbl_Finance[Defer Start],$A320),"")</f>
        <v/>
      </c>
      <c r="I320" s="60">
        <f>IFERROR(INDEX(tbl_Finance[Defer End],$A320),"")</f>
        <v/>
      </c>
      <c r="J320" s="59">
        <f>IF(OR($H320="",$I320="",$G320=""),"",MAX(1,(YEAR($I320)-YEAR($H320))*12+MONTH($I320)-MONTH($H320)+1))</f>
        <v/>
      </c>
      <c r="K320" s="62">
        <f>IF($J320="","",$G320/$J320)</f>
        <v/>
      </c>
      <c r="L320" s="62">
        <f>IF($J320="",0,$K320*MAX(0,MIN(YEAR($C$3)*12+MONTH($C$3),YEAR($I320)*12+MONTH($I320))-(YEAR($H320)*12+MONTH($H320))+1))</f>
        <v/>
      </c>
      <c r="M320" s="62">
        <f>IF($J320="",0,$K320*MAX(0,MIN(YEAR($C$3)*12+MONTH($C$3)-1,YEAR($I320)*12+MONTH($I320))-(YEAR($H320)*12+MONTH($H320))+1))</f>
        <v/>
      </c>
      <c r="N320" s="62">
        <f>IF(OR($J320="",$B320=""),0,IF(YEAR($B320)*12+MONTH($B320)&lt;=YEAR($C$3)*12+MONTH($C$3),$G320,0))</f>
        <v/>
      </c>
      <c r="O320" s="62">
        <f>IF(OR($J320="",$B320=""),0,IF(YEAR($B320)*12+MONTH($B320)&lt;=YEAR($C$3)*12+MONTH($C$3)-1,$G320,0))</f>
        <v/>
      </c>
      <c r="P320" s="62">
        <f>$M320-$O320</f>
        <v/>
      </c>
      <c r="Q320" s="62">
        <f>($L320-$M320)-($N320-$O320)</f>
        <v/>
      </c>
      <c r="R320" s="62">
        <f>$L320-$N320</f>
        <v/>
      </c>
    </row>
    <row r="321">
      <c r="A321" s="59">
        <f>ROW()-5</f>
        <v/>
      </c>
      <c r="B321" s="60">
        <f>IFERROR(INDEX(tbl_Finance[Date],$A321),"")</f>
        <v/>
      </c>
      <c r="C321" s="61">
        <f>IFERROR(INDEX(tbl_Finance[Xero Invoice No],$A321),"")</f>
        <v/>
      </c>
      <c r="D321" s="61">
        <f>IFERROR(INDEX(tbl_Finance[Client],$A321),"")</f>
        <v/>
      </c>
      <c r="E321" s="61">
        <f>IFERROR(INDEX(tbl_Finance[Job Number],$A321),"")</f>
        <v/>
      </c>
      <c r="F321" s="61">
        <f>IFERROR(INDEX(tbl_Finance[Cost Centre],$A321),"")</f>
        <v/>
      </c>
      <c r="G321" s="62">
        <f>IFERROR(INDEX(tbl_Finance[Ex GST],$A321),"")</f>
        <v/>
      </c>
      <c r="H321" s="60">
        <f>IFERROR(INDEX(tbl_Finance[Defer Start],$A321),"")</f>
        <v/>
      </c>
      <c r="I321" s="60">
        <f>IFERROR(INDEX(tbl_Finance[Defer End],$A321),"")</f>
        <v/>
      </c>
      <c r="J321" s="59">
        <f>IF(OR($H321="",$I321="",$G321=""),"",MAX(1,(YEAR($I321)-YEAR($H321))*12+MONTH($I321)-MONTH($H321)+1))</f>
        <v/>
      </c>
      <c r="K321" s="62">
        <f>IF($J321="","",$G321/$J321)</f>
        <v/>
      </c>
      <c r="L321" s="62">
        <f>IF($J321="",0,$K321*MAX(0,MIN(YEAR($C$3)*12+MONTH($C$3),YEAR($I321)*12+MONTH($I321))-(YEAR($H321)*12+MONTH($H321))+1))</f>
        <v/>
      </c>
      <c r="M321" s="62">
        <f>IF($J321="",0,$K321*MAX(0,MIN(YEAR($C$3)*12+MONTH($C$3)-1,YEAR($I321)*12+MONTH($I321))-(YEAR($H321)*12+MONTH($H321))+1))</f>
        <v/>
      </c>
      <c r="N321" s="62">
        <f>IF(OR($J321="",$B321=""),0,IF(YEAR($B321)*12+MONTH($B321)&lt;=YEAR($C$3)*12+MONTH($C$3),$G321,0))</f>
        <v/>
      </c>
      <c r="O321" s="62">
        <f>IF(OR($J321="",$B321=""),0,IF(YEAR($B321)*12+MONTH($B321)&lt;=YEAR($C$3)*12+MONTH($C$3)-1,$G321,0))</f>
        <v/>
      </c>
      <c r="P321" s="62">
        <f>$M321-$O321</f>
        <v/>
      </c>
      <c r="Q321" s="62">
        <f>($L321-$M321)-($N321-$O321)</f>
        <v/>
      </c>
      <c r="R321" s="62">
        <f>$L321-$N321</f>
        <v/>
      </c>
    </row>
    <row r="322">
      <c r="A322" s="59">
        <f>ROW()-5</f>
        <v/>
      </c>
      <c r="B322" s="60">
        <f>IFERROR(INDEX(tbl_Finance[Date],$A322),"")</f>
        <v/>
      </c>
      <c r="C322" s="61">
        <f>IFERROR(INDEX(tbl_Finance[Xero Invoice No],$A322),"")</f>
        <v/>
      </c>
      <c r="D322" s="61">
        <f>IFERROR(INDEX(tbl_Finance[Client],$A322),"")</f>
        <v/>
      </c>
      <c r="E322" s="61">
        <f>IFERROR(INDEX(tbl_Finance[Job Number],$A322),"")</f>
        <v/>
      </c>
      <c r="F322" s="61">
        <f>IFERROR(INDEX(tbl_Finance[Cost Centre],$A322),"")</f>
        <v/>
      </c>
      <c r="G322" s="62">
        <f>IFERROR(INDEX(tbl_Finance[Ex GST],$A322),"")</f>
        <v/>
      </c>
      <c r="H322" s="60">
        <f>IFERROR(INDEX(tbl_Finance[Defer Start],$A322),"")</f>
        <v/>
      </c>
      <c r="I322" s="60">
        <f>IFERROR(INDEX(tbl_Finance[Defer End],$A322),"")</f>
        <v/>
      </c>
      <c r="J322" s="59">
        <f>IF(OR($H322="",$I322="",$G322=""),"",MAX(1,(YEAR($I322)-YEAR($H322))*12+MONTH($I322)-MONTH($H322)+1))</f>
        <v/>
      </c>
      <c r="K322" s="62">
        <f>IF($J322="","",$G322/$J322)</f>
        <v/>
      </c>
      <c r="L322" s="62">
        <f>IF($J322="",0,$K322*MAX(0,MIN(YEAR($C$3)*12+MONTH($C$3),YEAR($I322)*12+MONTH($I322))-(YEAR($H322)*12+MONTH($H322))+1))</f>
        <v/>
      </c>
      <c r="M322" s="62">
        <f>IF($J322="",0,$K322*MAX(0,MIN(YEAR($C$3)*12+MONTH($C$3)-1,YEAR($I322)*12+MONTH($I322))-(YEAR($H322)*12+MONTH($H322))+1))</f>
        <v/>
      </c>
      <c r="N322" s="62">
        <f>IF(OR($J322="",$B322=""),0,IF(YEAR($B322)*12+MONTH($B322)&lt;=YEAR($C$3)*12+MONTH($C$3),$G322,0))</f>
        <v/>
      </c>
      <c r="O322" s="62">
        <f>IF(OR($J322="",$B322=""),0,IF(YEAR($B322)*12+MONTH($B322)&lt;=YEAR($C$3)*12+MONTH($C$3)-1,$G322,0))</f>
        <v/>
      </c>
      <c r="P322" s="62">
        <f>$M322-$O322</f>
        <v/>
      </c>
      <c r="Q322" s="62">
        <f>($L322-$M322)-($N322-$O322)</f>
        <v/>
      </c>
      <c r="R322" s="62">
        <f>$L322-$N322</f>
        <v/>
      </c>
    </row>
    <row r="323">
      <c r="A323" s="59">
        <f>ROW()-5</f>
        <v/>
      </c>
      <c r="B323" s="60">
        <f>IFERROR(INDEX(tbl_Finance[Date],$A323),"")</f>
        <v/>
      </c>
      <c r="C323" s="61">
        <f>IFERROR(INDEX(tbl_Finance[Xero Invoice No],$A323),"")</f>
        <v/>
      </c>
      <c r="D323" s="61">
        <f>IFERROR(INDEX(tbl_Finance[Client],$A323),"")</f>
        <v/>
      </c>
      <c r="E323" s="61">
        <f>IFERROR(INDEX(tbl_Finance[Job Number],$A323),"")</f>
        <v/>
      </c>
      <c r="F323" s="61">
        <f>IFERROR(INDEX(tbl_Finance[Cost Centre],$A323),"")</f>
        <v/>
      </c>
      <c r="G323" s="62">
        <f>IFERROR(INDEX(tbl_Finance[Ex GST],$A323),"")</f>
        <v/>
      </c>
      <c r="H323" s="60">
        <f>IFERROR(INDEX(tbl_Finance[Defer Start],$A323),"")</f>
        <v/>
      </c>
      <c r="I323" s="60">
        <f>IFERROR(INDEX(tbl_Finance[Defer End],$A323),"")</f>
        <v/>
      </c>
      <c r="J323" s="59">
        <f>IF(OR($H323="",$I323="",$G323=""),"",MAX(1,(YEAR($I323)-YEAR($H323))*12+MONTH($I323)-MONTH($H323)+1))</f>
        <v/>
      </c>
      <c r="K323" s="62">
        <f>IF($J323="","",$G323/$J323)</f>
        <v/>
      </c>
      <c r="L323" s="62">
        <f>IF($J323="",0,$K323*MAX(0,MIN(YEAR($C$3)*12+MONTH($C$3),YEAR($I323)*12+MONTH($I323))-(YEAR($H323)*12+MONTH($H323))+1))</f>
        <v/>
      </c>
      <c r="M323" s="62">
        <f>IF($J323="",0,$K323*MAX(0,MIN(YEAR($C$3)*12+MONTH($C$3)-1,YEAR($I323)*12+MONTH($I323))-(YEAR($H323)*12+MONTH($H323))+1))</f>
        <v/>
      </c>
      <c r="N323" s="62">
        <f>IF(OR($J323="",$B323=""),0,IF(YEAR($B323)*12+MONTH($B323)&lt;=YEAR($C$3)*12+MONTH($C$3),$G323,0))</f>
        <v/>
      </c>
      <c r="O323" s="62">
        <f>IF(OR($J323="",$B323=""),0,IF(YEAR($B323)*12+MONTH($B323)&lt;=YEAR($C$3)*12+MONTH($C$3)-1,$G323,0))</f>
        <v/>
      </c>
      <c r="P323" s="62">
        <f>$M323-$O323</f>
        <v/>
      </c>
      <c r="Q323" s="62">
        <f>($L323-$M323)-($N323-$O323)</f>
        <v/>
      </c>
      <c r="R323" s="62">
        <f>$L323-$N323</f>
        <v/>
      </c>
    </row>
    <row r="324">
      <c r="A324" s="59">
        <f>ROW()-5</f>
        <v/>
      </c>
      <c r="B324" s="60">
        <f>IFERROR(INDEX(tbl_Finance[Date],$A324),"")</f>
        <v/>
      </c>
      <c r="C324" s="61">
        <f>IFERROR(INDEX(tbl_Finance[Xero Invoice No],$A324),"")</f>
        <v/>
      </c>
      <c r="D324" s="61">
        <f>IFERROR(INDEX(tbl_Finance[Client],$A324),"")</f>
        <v/>
      </c>
      <c r="E324" s="61">
        <f>IFERROR(INDEX(tbl_Finance[Job Number],$A324),"")</f>
        <v/>
      </c>
      <c r="F324" s="61">
        <f>IFERROR(INDEX(tbl_Finance[Cost Centre],$A324),"")</f>
        <v/>
      </c>
      <c r="G324" s="62">
        <f>IFERROR(INDEX(tbl_Finance[Ex GST],$A324),"")</f>
        <v/>
      </c>
      <c r="H324" s="60">
        <f>IFERROR(INDEX(tbl_Finance[Defer Start],$A324),"")</f>
        <v/>
      </c>
      <c r="I324" s="60">
        <f>IFERROR(INDEX(tbl_Finance[Defer End],$A324),"")</f>
        <v/>
      </c>
      <c r="J324" s="59">
        <f>IF(OR($H324="",$I324="",$G324=""),"",MAX(1,(YEAR($I324)-YEAR($H324))*12+MONTH($I324)-MONTH($H324)+1))</f>
        <v/>
      </c>
      <c r="K324" s="62">
        <f>IF($J324="","",$G324/$J324)</f>
        <v/>
      </c>
      <c r="L324" s="62">
        <f>IF($J324="",0,$K324*MAX(0,MIN(YEAR($C$3)*12+MONTH($C$3),YEAR($I324)*12+MONTH($I324))-(YEAR($H324)*12+MONTH($H324))+1))</f>
        <v/>
      </c>
      <c r="M324" s="62">
        <f>IF($J324="",0,$K324*MAX(0,MIN(YEAR($C$3)*12+MONTH($C$3)-1,YEAR($I324)*12+MONTH($I324))-(YEAR($H324)*12+MONTH($H324))+1))</f>
        <v/>
      </c>
      <c r="N324" s="62">
        <f>IF(OR($J324="",$B324=""),0,IF(YEAR($B324)*12+MONTH($B324)&lt;=YEAR($C$3)*12+MONTH($C$3),$G324,0))</f>
        <v/>
      </c>
      <c r="O324" s="62">
        <f>IF(OR($J324="",$B324=""),0,IF(YEAR($B324)*12+MONTH($B324)&lt;=YEAR($C$3)*12+MONTH($C$3)-1,$G324,0))</f>
        <v/>
      </c>
      <c r="P324" s="62">
        <f>$M324-$O324</f>
        <v/>
      </c>
      <c r="Q324" s="62">
        <f>($L324-$M324)-($N324-$O324)</f>
        <v/>
      </c>
      <c r="R324" s="62">
        <f>$L324-$N324</f>
        <v/>
      </c>
    </row>
    <row r="325">
      <c r="A325" s="59">
        <f>ROW()-5</f>
        <v/>
      </c>
      <c r="B325" s="60">
        <f>IFERROR(INDEX(tbl_Finance[Date],$A325),"")</f>
        <v/>
      </c>
      <c r="C325" s="61">
        <f>IFERROR(INDEX(tbl_Finance[Xero Invoice No],$A325),"")</f>
        <v/>
      </c>
      <c r="D325" s="61">
        <f>IFERROR(INDEX(tbl_Finance[Client],$A325),"")</f>
        <v/>
      </c>
      <c r="E325" s="61">
        <f>IFERROR(INDEX(tbl_Finance[Job Number],$A325),"")</f>
        <v/>
      </c>
      <c r="F325" s="61">
        <f>IFERROR(INDEX(tbl_Finance[Cost Centre],$A325),"")</f>
        <v/>
      </c>
      <c r="G325" s="62">
        <f>IFERROR(INDEX(tbl_Finance[Ex GST],$A325),"")</f>
        <v/>
      </c>
      <c r="H325" s="60">
        <f>IFERROR(INDEX(tbl_Finance[Defer Start],$A325),"")</f>
        <v/>
      </c>
      <c r="I325" s="60">
        <f>IFERROR(INDEX(tbl_Finance[Defer End],$A325),"")</f>
        <v/>
      </c>
      <c r="J325" s="59">
        <f>IF(OR($H325="",$I325="",$G325=""),"",MAX(1,(YEAR($I325)-YEAR($H325))*12+MONTH($I325)-MONTH($H325)+1))</f>
        <v/>
      </c>
      <c r="K325" s="62">
        <f>IF($J325="","",$G325/$J325)</f>
        <v/>
      </c>
      <c r="L325" s="62">
        <f>IF($J325="",0,$K325*MAX(0,MIN(YEAR($C$3)*12+MONTH($C$3),YEAR($I325)*12+MONTH($I325))-(YEAR($H325)*12+MONTH($H325))+1))</f>
        <v/>
      </c>
      <c r="M325" s="62">
        <f>IF($J325="",0,$K325*MAX(0,MIN(YEAR($C$3)*12+MONTH($C$3)-1,YEAR($I325)*12+MONTH($I325))-(YEAR($H325)*12+MONTH($H325))+1))</f>
        <v/>
      </c>
      <c r="N325" s="62">
        <f>IF(OR($J325="",$B325=""),0,IF(YEAR($B325)*12+MONTH($B325)&lt;=YEAR($C$3)*12+MONTH($C$3),$G325,0))</f>
        <v/>
      </c>
      <c r="O325" s="62">
        <f>IF(OR($J325="",$B325=""),0,IF(YEAR($B325)*12+MONTH($B325)&lt;=YEAR($C$3)*12+MONTH($C$3)-1,$G325,0))</f>
        <v/>
      </c>
      <c r="P325" s="62">
        <f>$M325-$O325</f>
        <v/>
      </c>
      <c r="Q325" s="62">
        <f>($L325-$M325)-($N325-$O325)</f>
        <v/>
      </c>
      <c r="R325" s="62">
        <f>$L325-$N325</f>
        <v/>
      </c>
    </row>
    <row r="326">
      <c r="A326" s="59">
        <f>ROW()-5</f>
        <v/>
      </c>
      <c r="B326" s="60">
        <f>IFERROR(INDEX(tbl_Finance[Date],$A326),"")</f>
        <v/>
      </c>
      <c r="C326" s="61">
        <f>IFERROR(INDEX(tbl_Finance[Xero Invoice No],$A326),"")</f>
        <v/>
      </c>
      <c r="D326" s="61">
        <f>IFERROR(INDEX(tbl_Finance[Client],$A326),"")</f>
        <v/>
      </c>
      <c r="E326" s="61">
        <f>IFERROR(INDEX(tbl_Finance[Job Number],$A326),"")</f>
        <v/>
      </c>
      <c r="F326" s="61">
        <f>IFERROR(INDEX(tbl_Finance[Cost Centre],$A326),"")</f>
        <v/>
      </c>
      <c r="G326" s="62">
        <f>IFERROR(INDEX(tbl_Finance[Ex GST],$A326),"")</f>
        <v/>
      </c>
      <c r="H326" s="60">
        <f>IFERROR(INDEX(tbl_Finance[Defer Start],$A326),"")</f>
        <v/>
      </c>
      <c r="I326" s="60">
        <f>IFERROR(INDEX(tbl_Finance[Defer End],$A326),"")</f>
        <v/>
      </c>
      <c r="J326" s="59">
        <f>IF(OR($H326="",$I326="",$G326=""),"",MAX(1,(YEAR($I326)-YEAR($H326))*12+MONTH($I326)-MONTH($H326)+1))</f>
        <v/>
      </c>
      <c r="K326" s="62">
        <f>IF($J326="","",$G326/$J326)</f>
        <v/>
      </c>
      <c r="L326" s="62">
        <f>IF($J326="",0,$K326*MAX(0,MIN(YEAR($C$3)*12+MONTH($C$3),YEAR($I326)*12+MONTH($I326))-(YEAR($H326)*12+MONTH($H326))+1))</f>
        <v/>
      </c>
      <c r="M326" s="62">
        <f>IF($J326="",0,$K326*MAX(0,MIN(YEAR($C$3)*12+MONTH($C$3)-1,YEAR($I326)*12+MONTH($I326))-(YEAR($H326)*12+MONTH($H326))+1))</f>
        <v/>
      </c>
      <c r="N326" s="62">
        <f>IF(OR($J326="",$B326=""),0,IF(YEAR($B326)*12+MONTH($B326)&lt;=YEAR($C$3)*12+MONTH($C$3),$G326,0))</f>
        <v/>
      </c>
      <c r="O326" s="62">
        <f>IF(OR($J326="",$B326=""),0,IF(YEAR($B326)*12+MONTH($B326)&lt;=YEAR($C$3)*12+MONTH($C$3)-1,$G326,0))</f>
        <v/>
      </c>
      <c r="P326" s="62">
        <f>$M326-$O326</f>
        <v/>
      </c>
      <c r="Q326" s="62">
        <f>($L326-$M326)-($N326-$O326)</f>
        <v/>
      </c>
      <c r="R326" s="62">
        <f>$L326-$N326</f>
        <v/>
      </c>
    </row>
    <row r="327">
      <c r="A327" s="59">
        <f>ROW()-5</f>
        <v/>
      </c>
      <c r="B327" s="60">
        <f>IFERROR(INDEX(tbl_Finance[Date],$A327),"")</f>
        <v/>
      </c>
      <c r="C327" s="61">
        <f>IFERROR(INDEX(tbl_Finance[Xero Invoice No],$A327),"")</f>
        <v/>
      </c>
      <c r="D327" s="61">
        <f>IFERROR(INDEX(tbl_Finance[Client],$A327),"")</f>
        <v/>
      </c>
      <c r="E327" s="61">
        <f>IFERROR(INDEX(tbl_Finance[Job Number],$A327),"")</f>
        <v/>
      </c>
      <c r="F327" s="61">
        <f>IFERROR(INDEX(tbl_Finance[Cost Centre],$A327),"")</f>
        <v/>
      </c>
      <c r="G327" s="62">
        <f>IFERROR(INDEX(tbl_Finance[Ex GST],$A327),"")</f>
        <v/>
      </c>
      <c r="H327" s="60">
        <f>IFERROR(INDEX(tbl_Finance[Defer Start],$A327),"")</f>
        <v/>
      </c>
      <c r="I327" s="60">
        <f>IFERROR(INDEX(tbl_Finance[Defer End],$A327),"")</f>
        <v/>
      </c>
      <c r="J327" s="59">
        <f>IF(OR($H327="",$I327="",$G327=""),"",MAX(1,(YEAR($I327)-YEAR($H327))*12+MONTH($I327)-MONTH($H327)+1))</f>
        <v/>
      </c>
      <c r="K327" s="62">
        <f>IF($J327="","",$G327/$J327)</f>
        <v/>
      </c>
      <c r="L327" s="62">
        <f>IF($J327="",0,$K327*MAX(0,MIN(YEAR($C$3)*12+MONTH($C$3),YEAR($I327)*12+MONTH($I327))-(YEAR($H327)*12+MONTH($H327))+1))</f>
        <v/>
      </c>
      <c r="M327" s="62">
        <f>IF($J327="",0,$K327*MAX(0,MIN(YEAR($C$3)*12+MONTH($C$3)-1,YEAR($I327)*12+MONTH($I327))-(YEAR($H327)*12+MONTH($H327))+1))</f>
        <v/>
      </c>
      <c r="N327" s="62">
        <f>IF(OR($J327="",$B327=""),0,IF(YEAR($B327)*12+MONTH($B327)&lt;=YEAR($C$3)*12+MONTH($C$3),$G327,0))</f>
        <v/>
      </c>
      <c r="O327" s="62">
        <f>IF(OR($J327="",$B327=""),0,IF(YEAR($B327)*12+MONTH($B327)&lt;=YEAR($C$3)*12+MONTH($C$3)-1,$G327,0))</f>
        <v/>
      </c>
      <c r="P327" s="62">
        <f>$M327-$O327</f>
        <v/>
      </c>
      <c r="Q327" s="62">
        <f>($L327-$M327)-($N327-$O327)</f>
        <v/>
      </c>
      <c r="R327" s="62">
        <f>$L327-$N327</f>
        <v/>
      </c>
    </row>
    <row r="328">
      <c r="A328" s="59">
        <f>ROW()-5</f>
        <v/>
      </c>
      <c r="B328" s="60">
        <f>IFERROR(INDEX(tbl_Finance[Date],$A328),"")</f>
        <v/>
      </c>
      <c r="C328" s="61">
        <f>IFERROR(INDEX(tbl_Finance[Xero Invoice No],$A328),"")</f>
        <v/>
      </c>
      <c r="D328" s="61">
        <f>IFERROR(INDEX(tbl_Finance[Client],$A328),"")</f>
        <v/>
      </c>
      <c r="E328" s="61">
        <f>IFERROR(INDEX(tbl_Finance[Job Number],$A328),"")</f>
        <v/>
      </c>
      <c r="F328" s="61">
        <f>IFERROR(INDEX(tbl_Finance[Cost Centre],$A328),"")</f>
        <v/>
      </c>
      <c r="G328" s="62">
        <f>IFERROR(INDEX(tbl_Finance[Ex GST],$A328),"")</f>
        <v/>
      </c>
      <c r="H328" s="60">
        <f>IFERROR(INDEX(tbl_Finance[Defer Start],$A328),"")</f>
        <v/>
      </c>
      <c r="I328" s="60">
        <f>IFERROR(INDEX(tbl_Finance[Defer End],$A328),"")</f>
        <v/>
      </c>
      <c r="J328" s="59">
        <f>IF(OR($H328="",$I328="",$G328=""),"",MAX(1,(YEAR($I328)-YEAR($H328))*12+MONTH($I328)-MONTH($H328)+1))</f>
        <v/>
      </c>
      <c r="K328" s="62">
        <f>IF($J328="","",$G328/$J328)</f>
        <v/>
      </c>
      <c r="L328" s="62">
        <f>IF($J328="",0,$K328*MAX(0,MIN(YEAR($C$3)*12+MONTH($C$3),YEAR($I328)*12+MONTH($I328))-(YEAR($H328)*12+MONTH($H328))+1))</f>
        <v/>
      </c>
      <c r="M328" s="62">
        <f>IF($J328="",0,$K328*MAX(0,MIN(YEAR($C$3)*12+MONTH($C$3)-1,YEAR($I328)*12+MONTH($I328))-(YEAR($H328)*12+MONTH($H328))+1))</f>
        <v/>
      </c>
      <c r="N328" s="62">
        <f>IF(OR($J328="",$B328=""),0,IF(YEAR($B328)*12+MONTH($B328)&lt;=YEAR($C$3)*12+MONTH($C$3),$G328,0))</f>
        <v/>
      </c>
      <c r="O328" s="62">
        <f>IF(OR($J328="",$B328=""),0,IF(YEAR($B328)*12+MONTH($B328)&lt;=YEAR($C$3)*12+MONTH($C$3)-1,$G328,0))</f>
        <v/>
      </c>
      <c r="P328" s="62">
        <f>$M328-$O328</f>
        <v/>
      </c>
      <c r="Q328" s="62">
        <f>($L328-$M328)-($N328-$O328)</f>
        <v/>
      </c>
      <c r="R328" s="62">
        <f>$L328-$N328</f>
        <v/>
      </c>
    </row>
    <row r="329">
      <c r="A329" s="59">
        <f>ROW()-5</f>
        <v/>
      </c>
      <c r="B329" s="60">
        <f>IFERROR(INDEX(tbl_Finance[Date],$A329),"")</f>
        <v/>
      </c>
      <c r="C329" s="61">
        <f>IFERROR(INDEX(tbl_Finance[Xero Invoice No],$A329),"")</f>
        <v/>
      </c>
      <c r="D329" s="61">
        <f>IFERROR(INDEX(tbl_Finance[Client],$A329),"")</f>
        <v/>
      </c>
      <c r="E329" s="61">
        <f>IFERROR(INDEX(tbl_Finance[Job Number],$A329),"")</f>
        <v/>
      </c>
      <c r="F329" s="61">
        <f>IFERROR(INDEX(tbl_Finance[Cost Centre],$A329),"")</f>
        <v/>
      </c>
      <c r="G329" s="62">
        <f>IFERROR(INDEX(tbl_Finance[Ex GST],$A329),"")</f>
        <v/>
      </c>
      <c r="H329" s="60">
        <f>IFERROR(INDEX(tbl_Finance[Defer Start],$A329),"")</f>
        <v/>
      </c>
      <c r="I329" s="60">
        <f>IFERROR(INDEX(tbl_Finance[Defer End],$A329),"")</f>
        <v/>
      </c>
      <c r="J329" s="59">
        <f>IF(OR($H329="",$I329="",$G329=""),"",MAX(1,(YEAR($I329)-YEAR($H329))*12+MONTH($I329)-MONTH($H329)+1))</f>
        <v/>
      </c>
      <c r="K329" s="62">
        <f>IF($J329="","",$G329/$J329)</f>
        <v/>
      </c>
      <c r="L329" s="62">
        <f>IF($J329="",0,$K329*MAX(0,MIN(YEAR($C$3)*12+MONTH($C$3),YEAR($I329)*12+MONTH($I329))-(YEAR($H329)*12+MONTH($H329))+1))</f>
        <v/>
      </c>
      <c r="M329" s="62">
        <f>IF($J329="",0,$K329*MAX(0,MIN(YEAR($C$3)*12+MONTH($C$3)-1,YEAR($I329)*12+MONTH($I329))-(YEAR($H329)*12+MONTH($H329))+1))</f>
        <v/>
      </c>
      <c r="N329" s="62">
        <f>IF(OR($J329="",$B329=""),0,IF(YEAR($B329)*12+MONTH($B329)&lt;=YEAR($C$3)*12+MONTH($C$3),$G329,0))</f>
        <v/>
      </c>
      <c r="O329" s="62">
        <f>IF(OR($J329="",$B329=""),0,IF(YEAR($B329)*12+MONTH($B329)&lt;=YEAR($C$3)*12+MONTH($C$3)-1,$G329,0))</f>
        <v/>
      </c>
      <c r="P329" s="62">
        <f>$M329-$O329</f>
        <v/>
      </c>
      <c r="Q329" s="62">
        <f>($L329-$M329)-($N329-$O329)</f>
        <v/>
      </c>
      <c r="R329" s="62">
        <f>$L329-$N329</f>
        <v/>
      </c>
    </row>
    <row r="330">
      <c r="A330" s="59">
        <f>ROW()-5</f>
        <v/>
      </c>
      <c r="B330" s="60">
        <f>IFERROR(INDEX(tbl_Finance[Date],$A330),"")</f>
        <v/>
      </c>
      <c r="C330" s="61">
        <f>IFERROR(INDEX(tbl_Finance[Xero Invoice No],$A330),"")</f>
        <v/>
      </c>
      <c r="D330" s="61">
        <f>IFERROR(INDEX(tbl_Finance[Client],$A330),"")</f>
        <v/>
      </c>
      <c r="E330" s="61">
        <f>IFERROR(INDEX(tbl_Finance[Job Number],$A330),"")</f>
        <v/>
      </c>
      <c r="F330" s="61">
        <f>IFERROR(INDEX(tbl_Finance[Cost Centre],$A330),"")</f>
        <v/>
      </c>
      <c r="G330" s="62">
        <f>IFERROR(INDEX(tbl_Finance[Ex GST],$A330),"")</f>
        <v/>
      </c>
      <c r="H330" s="60">
        <f>IFERROR(INDEX(tbl_Finance[Defer Start],$A330),"")</f>
        <v/>
      </c>
      <c r="I330" s="60">
        <f>IFERROR(INDEX(tbl_Finance[Defer End],$A330),"")</f>
        <v/>
      </c>
      <c r="J330" s="59">
        <f>IF(OR($H330="",$I330="",$G330=""),"",MAX(1,(YEAR($I330)-YEAR($H330))*12+MONTH($I330)-MONTH($H330)+1))</f>
        <v/>
      </c>
      <c r="K330" s="62">
        <f>IF($J330="","",$G330/$J330)</f>
        <v/>
      </c>
      <c r="L330" s="62">
        <f>IF($J330="",0,$K330*MAX(0,MIN(YEAR($C$3)*12+MONTH($C$3),YEAR($I330)*12+MONTH($I330))-(YEAR($H330)*12+MONTH($H330))+1))</f>
        <v/>
      </c>
      <c r="M330" s="62">
        <f>IF($J330="",0,$K330*MAX(0,MIN(YEAR($C$3)*12+MONTH($C$3)-1,YEAR($I330)*12+MONTH($I330))-(YEAR($H330)*12+MONTH($H330))+1))</f>
        <v/>
      </c>
      <c r="N330" s="62">
        <f>IF(OR($J330="",$B330=""),0,IF(YEAR($B330)*12+MONTH($B330)&lt;=YEAR($C$3)*12+MONTH($C$3),$G330,0))</f>
        <v/>
      </c>
      <c r="O330" s="62">
        <f>IF(OR($J330="",$B330=""),0,IF(YEAR($B330)*12+MONTH($B330)&lt;=YEAR($C$3)*12+MONTH($C$3)-1,$G330,0))</f>
        <v/>
      </c>
      <c r="P330" s="62">
        <f>$M330-$O330</f>
        <v/>
      </c>
      <c r="Q330" s="62">
        <f>($L330-$M330)-($N330-$O330)</f>
        <v/>
      </c>
      <c r="R330" s="62">
        <f>$L330-$N330</f>
        <v/>
      </c>
    </row>
    <row r="331">
      <c r="A331" s="59">
        <f>ROW()-5</f>
        <v/>
      </c>
      <c r="B331" s="60">
        <f>IFERROR(INDEX(tbl_Finance[Date],$A331),"")</f>
        <v/>
      </c>
      <c r="C331" s="61">
        <f>IFERROR(INDEX(tbl_Finance[Xero Invoice No],$A331),"")</f>
        <v/>
      </c>
      <c r="D331" s="61">
        <f>IFERROR(INDEX(tbl_Finance[Client],$A331),"")</f>
        <v/>
      </c>
      <c r="E331" s="61">
        <f>IFERROR(INDEX(tbl_Finance[Job Number],$A331),"")</f>
        <v/>
      </c>
      <c r="F331" s="61">
        <f>IFERROR(INDEX(tbl_Finance[Cost Centre],$A331),"")</f>
        <v/>
      </c>
      <c r="G331" s="62">
        <f>IFERROR(INDEX(tbl_Finance[Ex GST],$A331),"")</f>
        <v/>
      </c>
      <c r="H331" s="60">
        <f>IFERROR(INDEX(tbl_Finance[Defer Start],$A331),"")</f>
        <v/>
      </c>
      <c r="I331" s="60">
        <f>IFERROR(INDEX(tbl_Finance[Defer End],$A331),"")</f>
        <v/>
      </c>
      <c r="J331" s="59">
        <f>IF(OR($H331="",$I331="",$G331=""),"",MAX(1,(YEAR($I331)-YEAR($H331))*12+MONTH($I331)-MONTH($H331)+1))</f>
        <v/>
      </c>
      <c r="K331" s="62">
        <f>IF($J331="","",$G331/$J331)</f>
        <v/>
      </c>
      <c r="L331" s="62">
        <f>IF($J331="",0,$K331*MAX(0,MIN(YEAR($C$3)*12+MONTH($C$3),YEAR($I331)*12+MONTH($I331))-(YEAR($H331)*12+MONTH($H331))+1))</f>
        <v/>
      </c>
      <c r="M331" s="62">
        <f>IF($J331="",0,$K331*MAX(0,MIN(YEAR($C$3)*12+MONTH($C$3)-1,YEAR($I331)*12+MONTH($I331))-(YEAR($H331)*12+MONTH($H331))+1))</f>
        <v/>
      </c>
      <c r="N331" s="62">
        <f>IF(OR($J331="",$B331=""),0,IF(YEAR($B331)*12+MONTH($B331)&lt;=YEAR($C$3)*12+MONTH($C$3),$G331,0))</f>
        <v/>
      </c>
      <c r="O331" s="62">
        <f>IF(OR($J331="",$B331=""),0,IF(YEAR($B331)*12+MONTH($B331)&lt;=YEAR($C$3)*12+MONTH($C$3)-1,$G331,0))</f>
        <v/>
      </c>
      <c r="P331" s="62">
        <f>$M331-$O331</f>
        <v/>
      </c>
      <c r="Q331" s="62">
        <f>($L331-$M331)-($N331-$O331)</f>
        <v/>
      </c>
      <c r="R331" s="62">
        <f>$L331-$N331</f>
        <v/>
      </c>
    </row>
    <row r="332">
      <c r="A332" s="59">
        <f>ROW()-5</f>
        <v/>
      </c>
      <c r="B332" s="60">
        <f>IFERROR(INDEX(tbl_Finance[Date],$A332),"")</f>
        <v/>
      </c>
      <c r="C332" s="61">
        <f>IFERROR(INDEX(tbl_Finance[Xero Invoice No],$A332),"")</f>
        <v/>
      </c>
      <c r="D332" s="61">
        <f>IFERROR(INDEX(tbl_Finance[Client],$A332),"")</f>
        <v/>
      </c>
      <c r="E332" s="61">
        <f>IFERROR(INDEX(tbl_Finance[Job Number],$A332),"")</f>
        <v/>
      </c>
      <c r="F332" s="61">
        <f>IFERROR(INDEX(tbl_Finance[Cost Centre],$A332),"")</f>
        <v/>
      </c>
      <c r="G332" s="62">
        <f>IFERROR(INDEX(tbl_Finance[Ex GST],$A332),"")</f>
        <v/>
      </c>
      <c r="H332" s="60">
        <f>IFERROR(INDEX(tbl_Finance[Defer Start],$A332),"")</f>
        <v/>
      </c>
      <c r="I332" s="60">
        <f>IFERROR(INDEX(tbl_Finance[Defer End],$A332),"")</f>
        <v/>
      </c>
      <c r="J332" s="59">
        <f>IF(OR($H332="",$I332="",$G332=""),"",MAX(1,(YEAR($I332)-YEAR($H332))*12+MONTH($I332)-MONTH($H332)+1))</f>
        <v/>
      </c>
      <c r="K332" s="62">
        <f>IF($J332="","",$G332/$J332)</f>
        <v/>
      </c>
      <c r="L332" s="62">
        <f>IF($J332="",0,$K332*MAX(0,MIN(YEAR($C$3)*12+MONTH($C$3),YEAR($I332)*12+MONTH($I332))-(YEAR($H332)*12+MONTH($H332))+1))</f>
        <v/>
      </c>
      <c r="M332" s="62">
        <f>IF($J332="",0,$K332*MAX(0,MIN(YEAR($C$3)*12+MONTH($C$3)-1,YEAR($I332)*12+MONTH($I332))-(YEAR($H332)*12+MONTH($H332))+1))</f>
        <v/>
      </c>
      <c r="N332" s="62">
        <f>IF(OR($J332="",$B332=""),0,IF(YEAR($B332)*12+MONTH($B332)&lt;=YEAR($C$3)*12+MONTH($C$3),$G332,0))</f>
        <v/>
      </c>
      <c r="O332" s="62">
        <f>IF(OR($J332="",$B332=""),0,IF(YEAR($B332)*12+MONTH($B332)&lt;=YEAR($C$3)*12+MONTH($C$3)-1,$G332,0))</f>
        <v/>
      </c>
      <c r="P332" s="62">
        <f>$M332-$O332</f>
        <v/>
      </c>
      <c r="Q332" s="62">
        <f>($L332-$M332)-($N332-$O332)</f>
        <v/>
      </c>
      <c r="R332" s="62">
        <f>$L332-$N332</f>
        <v/>
      </c>
    </row>
    <row r="333">
      <c r="A333" s="59">
        <f>ROW()-5</f>
        <v/>
      </c>
      <c r="B333" s="60">
        <f>IFERROR(INDEX(tbl_Finance[Date],$A333),"")</f>
        <v/>
      </c>
      <c r="C333" s="61">
        <f>IFERROR(INDEX(tbl_Finance[Xero Invoice No],$A333),"")</f>
        <v/>
      </c>
      <c r="D333" s="61">
        <f>IFERROR(INDEX(tbl_Finance[Client],$A333),"")</f>
        <v/>
      </c>
      <c r="E333" s="61">
        <f>IFERROR(INDEX(tbl_Finance[Job Number],$A333),"")</f>
        <v/>
      </c>
      <c r="F333" s="61">
        <f>IFERROR(INDEX(tbl_Finance[Cost Centre],$A333),"")</f>
        <v/>
      </c>
      <c r="G333" s="62">
        <f>IFERROR(INDEX(tbl_Finance[Ex GST],$A333),"")</f>
        <v/>
      </c>
      <c r="H333" s="60">
        <f>IFERROR(INDEX(tbl_Finance[Defer Start],$A333),"")</f>
        <v/>
      </c>
      <c r="I333" s="60">
        <f>IFERROR(INDEX(tbl_Finance[Defer End],$A333),"")</f>
        <v/>
      </c>
      <c r="J333" s="59">
        <f>IF(OR($H333="",$I333="",$G333=""),"",MAX(1,(YEAR($I333)-YEAR($H333))*12+MONTH($I333)-MONTH($H333)+1))</f>
        <v/>
      </c>
      <c r="K333" s="62">
        <f>IF($J333="","",$G333/$J333)</f>
        <v/>
      </c>
      <c r="L333" s="62">
        <f>IF($J333="",0,$K333*MAX(0,MIN(YEAR($C$3)*12+MONTH($C$3),YEAR($I333)*12+MONTH($I333))-(YEAR($H333)*12+MONTH($H333))+1))</f>
        <v/>
      </c>
      <c r="M333" s="62">
        <f>IF($J333="",0,$K333*MAX(0,MIN(YEAR($C$3)*12+MONTH($C$3)-1,YEAR($I333)*12+MONTH($I333))-(YEAR($H333)*12+MONTH($H333))+1))</f>
        <v/>
      </c>
      <c r="N333" s="62">
        <f>IF(OR($J333="",$B333=""),0,IF(YEAR($B333)*12+MONTH($B333)&lt;=YEAR($C$3)*12+MONTH($C$3),$G333,0))</f>
        <v/>
      </c>
      <c r="O333" s="62">
        <f>IF(OR($J333="",$B333=""),0,IF(YEAR($B333)*12+MONTH($B333)&lt;=YEAR($C$3)*12+MONTH($C$3)-1,$G333,0))</f>
        <v/>
      </c>
      <c r="P333" s="62">
        <f>$M333-$O333</f>
        <v/>
      </c>
      <c r="Q333" s="62">
        <f>($L333-$M333)-($N333-$O333)</f>
        <v/>
      </c>
      <c r="R333" s="62">
        <f>$L333-$N333</f>
        <v/>
      </c>
    </row>
    <row r="334">
      <c r="A334" s="59">
        <f>ROW()-5</f>
        <v/>
      </c>
      <c r="B334" s="60">
        <f>IFERROR(INDEX(tbl_Finance[Date],$A334),"")</f>
        <v/>
      </c>
      <c r="C334" s="61">
        <f>IFERROR(INDEX(tbl_Finance[Xero Invoice No],$A334),"")</f>
        <v/>
      </c>
      <c r="D334" s="61">
        <f>IFERROR(INDEX(tbl_Finance[Client],$A334),"")</f>
        <v/>
      </c>
      <c r="E334" s="61">
        <f>IFERROR(INDEX(tbl_Finance[Job Number],$A334),"")</f>
        <v/>
      </c>
      <c r="F334" s="61">
        <f>IFERROR(INDEX(tbl_Finance[Cost Centre],$A334),"")</f>
        <v/>
      </c>
      <c r="G334" s="62">
        <f>IFERROR(INDEX(tbl_Finance[Ex GST],$A334),"")</f>
        <v/>
      </c>
      <c r="H334" s="60">
        <f>IFERROR(INDEX(tbl_Finance[Defer Start],$A334),"")</f>
        <v/>
      </c>
      <c r="I334" s="60">
        <f>IFERROR(INDEX(tbl_Finance[Defer End],$A334),"")</f>
        <v/>
      </c>
      <c r="J334" s="59">
        <f>IF(OR($H334="",$I334="",$G334=""),"",MAX(1,(YEAR($I334)-YEAR($H334))*12+MONTH($I334)-MONTH($H334)+1))</f>
        <v/>
      </c>
      <c r="K334" s="62">
        <f>IF($J334="","",$G334/$J334)</f>
        <v/>
      </c>
      <c r="L334" s="62">
        <f>IF($J334="",0,$K334*MAX(0,MIN(YEAR($C$3)*12+MONTH($C$3),YEAR($I334)*12+MONTH($I334))-(YEAR($H334)*12+MONTH($H334))+1))</f>
        <v/>
      </c>
      <c r="M334" s="62">
        <f>IF($J334="",0,$K334*MAX(0,MIN(YEAR($C$3)*12+MONTH($C$3)-1,YEAR($I334)*12+MONTH($I334))-(YEAR($H334)*12+MONTH($H334))+1))</f>
        <v/>
      </c>
      <c r="N334" s="62">
        <f>IF(OR($J334="",$B334=""),0,IF(YEAR($B334)*12+MONTH($B334)&lt;=YEAR($C$3)*12+MONTH($C$3),$G334,0))</f>
        <v/>
      </c>
      <c r="O334" s="62">
        <f>IF(OR($J334="",$B334=""),0,IF(YEAR($B334)*12+MONTH($B334)&lt;=YEAR($C$3)*12+MONTH($C$3)-1,$G334,0))</f>
        <v/>
      </c>
      <c r="P334" s="62">
        <f>$M334-$O334</f>
        <v/>
      </c>
      <c r="Q334" s="62">
        <f>($L334-$M334)-($N334-$O334)</f>
        <v/>
      </c>
      <c r="R334" s="62">
        <f>$L334-$N334</f>
        <v/>
      </c>
    </row>
    <row r="335">
      <c r="A335" s="59">
        <f>ROW()-5</f>
        <v/>
      </c>
      <c r="B335" s="60">
        <f>IFERROR(INDEX(tbl_Finance[Date],$A335),"")</f>
        <v/>
      </c>
      <c r="C335" s="61">
        <f>IFERROR(INDEX(tbl_Finance[Xero Invoice No],$A335),"")</f>
        <v/>
      </c>
      <c r="D335" s="61">
        <f>IFERROR(INDEX(tbl_Finance[Client],$A335),"")</f>
        <v/>
      </c>
      <c r="E335" s="61">
        <f>IFERROR(INDEX(tbl_Finance[Job Number],$A335),"")</f>
        <v/>
      </c>
      <c r="F335" s="61">
        <f>IFERROR(INDEX(tbl_Finance[Cost Centre],$A335),"")</f>
        <v/>
      </c>
      <c r="G335" s="62">
        <f>IFERROR(INDEX(tbl_Finance[Ex GST],$A335),"")</f>
        <v/>
      </c>
      <c r="H335" s="60">
        <f>IFERROR(INDEX(tbl_Finance[Defer Start],$A335),"")</f>
        <v/>
      </c>
      <c r="I335" s="60">
        <f>IFERROR(INDEX(tbl_Finance[Defer End],$A335),"")</f>
        <v/>
      </c>
      <c r="J335" s="59">
        <f>IF(OR($H335="",$I335="",$G335=""),"",MAX(1,(YEAR($I335)-YEAR($H335))*12+MONTH($I335)-MONTH($H335)+1))</f>
        <v/>
      </c>
      <c r="K335" s="62">
        <f>IF($J335="","",$G335/$J335)</f>
        <v/>
      </c>
      <c r="L335" s="62">
        <f>IF($J335="",0,$K335*MAX(0,MIN(YEAR($C$3)*12+MONTH($C$3),YEAR($I335)*12+MONTH($I335))-(YEAR($H335)*12+MONTH($H335))+1))</f>
        <v/>
      </c>
      <c r="M335" s="62">
        <f>IF($J335="",0,$K335*MAX(0,MIN(YEAR($C$3)*12+MONTH($C$3)-1,YEAR($I335)*12+MONTH($I335))-(YEAR($H335)*12+MONTH($H335))+1))</f>
        <v/>
      </c>
      <c r="N335" s="62">
        <f>IF(OR($J335="",$B335=""),0,IF(YEAR($B335)*12+MONTH($B335)&lt;=YEAR($C$3)*12+MONTH($C$3),$G335,0))</f>
        <v/>
      </c>
      <c r="O335" s="62">
        <f>IF(OR($J335="",$B335=""),0,IF(YEAR($B335)*12+MONTH($B335)&lt;=YEAR($C$3)*12+MONTH($C$3)-1,$G335,0))</f>
        <v/>
      </c>
      <c r="P335" s="62">
        <f>$M335-$O335</f>
        <v/>
      </c>
      <c r="Q335" s="62">
        <f>($L335-$M335)-($N335-$O335)</f>
        <v/>
      </c>
      <c r="R335" s="62">
        <f>$L335-$N335</f>
        <v/>
      </c>
    </row>
    <row r="336">
      <c r="A336" s="59">
        <f>ROW()-5</f>
        <v/>
      </c>
      <c r="B336" s="60">
        <f>IFERROR(INDEX(tbl_Finance[Date],$A336),"")</f>
        <v/>
      </c>
      <c r="C336" s="61">
        <f>IFERROR(INDEX(tbl_Finance[Xero Invoice No],$A336),"")</f>
        <v/>
      </c>
      <c r="D336" s="61">
        <f>IFERROR(INDEX(tbl_Finance[Client],$A336),"")</f>
        <v/>
      </c>
      <c r="E336" s="61">
        <f>IFERROR(INDEX(tbl_Finance[Job Number],$A336),"")</f>
        <v/>
      </c>
      <c r="F336" s="61">
        <f>IFERROR(INDEX(tbl_Finance[Cost Centre],$A336),"")</f>
        <v/>
      </c>
      <c r="G336" s="62">
        <f>IFERROR(INDEX(tbl_Finance[Ex GST],$A336),"")</f>
        <v/>
      </c>
      <c r="H336" s="60">
        <f>IFERROR(INDEX(tbl_Finance[Defer Start],$A336),"")</f>
        <v/>
      </c>
      <c r="I336" s="60">
        <f>IFERROR(INDEX(tbl_Finance[Defer End],$A336),"")</f>
        <v/>
      </c>
      <c r="J336" s="59">
        <f>IF(OR($H336="",$I336="",$G336=""),"",MAX(1,(YEAR($I336)-YEAR($H336))*12+MONTH($I336)-MONTH($H336)+1))</f>
        <v/>
      </c>
      <c r="K336" s="62">
        <f>IF($J336="","",$G336/$J336)</f>
        <v/>
      </c>
      <c r="L336" s="62">
        <f>IF($J336="",0,$K336*MAX(0,MIN(YEAR($C$3)*12+MONTH($C$3),YEAR($I336)*12+MONTH($I336))-(YEAR($H336)*12+MONTH($H336))+1))</f>
        <v/>
      </c>
      <c r="M336" s="62">
        <f>IF($J336="",0,$K336*MAX(0,MIN(YEAR($C$3)*12+MONTH($C$3)-1,YEAR($I336)*12+MONTH($I336))-(YEAR($H336)*12+MONTH($H336))+1))</f>
        <v/>
      </c>
      <c r="N336" s="62">
        <f>IF(OR($J336="",$B336=""),0,IF(YEAR($B336)*12+MONTH($B336)&lt;=YEAR($C$3)*12+MONTH($C$3),$G336,0))</f>
        <v/>
      </c>
      <c r="O336" s="62">
        <f>IF(OR($J336="",$B336=""),0,IF(YEAR($B336)*12+MONTH($B336)&lt;=YEAR($C$3)*12+MONTH($C$3)-1,$G336,0))</f>
        <v/>
      </c>
      <c r="P336" s="62">
        <f>$M336-$O336</f>
        <v/>
      </c>
      <c r="Q336" s="62">
        <f>($L336-$M336)-($N336-$O336)</f>
        <v/>
      </c>
      <c r="R336" s="62">
        <f>$L336-$N336</f>
        <v/>
      </c>
    </row>
    <row r="337">
      <c r="A337" s="59">
        <f>ROW()-5</f>
        <v/>
      </c>
      <c r="B337" s="60">
        <f>IFERROR(INDEX(tbl_Finance[Date],$A337),"")</f>
        <v/>
      </c>
      <c r="C337" s="61">
        <f>IFERROR(INDEX(tbl_Finance[Xero Invoice No],$A337),"")</f>
        <v/>
      </c>
      <c r="D337" s="61">
        <f>IFERROR(INDEX(tbl_Finance[Client],$A337),"")</f>
        <v/>
      </c>
      <c r="E337" s="61">
        <f>IFERROR(INDEX(tbl_Finance[Job Number],$A337),"")</f>
        <v/>
      </c>
      <c r="F337" s="61">
        <f>IFERROR(INDEX(tbl_Finance[Cost Centre],$A337),"")</f>
        <v/>
      </c>
      <c r="G337" s="62">
        <f>IFERROR(INDEX(tbl_Finance[Ex GST],$A337),"")</f>
        <v/>
      </c>
      <c r="H337" s="60">
        <f>IFERROR(INDEX(tbl_Finance[Defer Start],$A337),"")</f>
        <v/>
      </c>
      <c r="I337" s="60">
        <f>IFERROR(INDEX(tbl_Finance[Defer End],$A337),"")</f>
        <v/>
      </c>
      <c r="J337" s="59">
        <f>IF(OR($H337="",$I337="",$G337=""),"",MAX(1,(YEAR($I337)-YEAR($H337))*12+MONTH($I337)-MONTH($H337)+1))</f>
        <v/>
      </c>
      <c r="K337" s="62">
        <f>IF($J337="","",$G337/$J337)</f>
        <v/>
      </c>
      <c r="L337" s="62">
        <f>IF($J337="",0,$K337*MAX(0,MIN(YEAR($C$3)*12+MONTH($C$3),YEAR($I337)*12+MONTH($I337))-(YEAR($H337)*12+MONTH($H337))+1))</f>
        <v/>
      </c>
      <c r="M337" s="62">
        <f>IF($J337="",0,$K337*MAX(0,MIN(YEAR($C$3)*12+MONTH($C$3)-1,YEAR($I337)*12+MONTH($I337))-(YEAR($H337)*12+MONTH($H337))+1))</f>
        <v/>
      </c>
      <c r="N337" s="62">
        <f>IF(OR($J337="",$B337=""),0,IF(YEAR($B337)*12+MONTH($B337)&lt;=YEAR($C$3)*12+MONTH($C$3),$G337,0))</f>
        <v/>
      </c>
      <c r="O337" s="62">
        <f>IF(OR($J337="",$B337=""),0,IF(YEAR($B337)*12+MONTH($B337)&lt;=YEAR($C$3)*12+MONTH($C$3)-1,$G337,0))</f>
        <v/>
      </c>
      <c r="P337" s="62">
        <f>$M337-$O337</f>
        <v/>
      </c>
      <c r="Q337" s="62">
        <f>($L337-$M337)-($N337-$O337)</f>
        <v/>
      </c>
      <c r="R337" s="62">
        <f>$L337-$N337</f>
        <v/>
      </c>
    </row>
    <row r="338">
      <c r="A338" s="59">
        <f>ROW()-5</f>
        <v/>
      </c>
      <c r="B338" s="60">
        <f>IFERROR(INDEX(tbl_Finance[Date],$A338),"")</f>
        <v/>
      </c>
      <c r="C338" s="61">
        <f>IFERROR(INDEX(tbl_Finance[Xero Invoice No],$A338),"")</f>
        <v/>
      </c>
      <c r="D338" s="61">
        <f>IFERROR(INDEX(tbl_Finance[Client],$A338),"")</f>
        <v/>
      </c>
      <c r="E338" s="61">
        <f>IFERROR(INDEX(tbl_Finance[Job Number],$A338),"")</f>
        <v/>
      </c>
      <c r="F338" s="61">
        <f>IFERROR(INDEX(tbl_Finance[Cost Centre],$A338),"")</f>
        <v/>
      </c>
      <c r="G338" s="62">
        <f>IFERROR(INDEX(tbl_Finance[Ex GST],$A338),"")</f>
        <v/>
      </c>
      <c r="H338" s="60">
        <f>IFERROR(INDEX(tbl_Finance[Defer Start],$A338),"")</f>
        <v/>
      </c>
      <c r="I338" s="60">
        <f>IFERROR(INDEX(tbl_Finance[Defer End],$A338),"")</f>
        <v/>
      </c>
      <c r="J338" s="59">
        <f>IF(OR($H338="",$I338="",$G338=""),"",MAX(1,(YEAR($I338)-YEAR($H338))*12+MONTH($I338)-MONTH($H338)+1))</f>
        <v/>
      </c>
      <c r="K338" s="62">
        <f>IF($J338="","",$G338/$J338)</f>
        <v/>
      </c>
      <c r="L338" s="62">
        <f>IF($J338="",0,$K338*MAX(0,MIN(YEAR($C$3)*12+MONTH($C$3),YEAR($I338)*12+MONTH($I338))-(YEAR($H338)*12+MONTH($H338))+1))</f>
        <v/>
      </c>
      <c r="M338" s="62">
        <f>IF($J338="",0,$K338*MAX(0,MIN(YEAR($C$3)*12+MONTH($C$3)-1,YEAR($I338)*12+MONTH($I338))-(YEAR($H338)*12+MONTH($H338))+1))</f>
        <v/>
      </c>
      <c r="N338" s="62">
        <f>IF(OR($J338="",$B338=""),0,IF(YEAR($B338)*12+MONTH($B338)&lt;=YEAR($C$3)*12+MONTH($C$3),$G338,0))</f>
        <v/>
      </c>
      <c r="O338" s="62">
        <f>IF(OR($J338="",$B338=""),0,IF(YEAR($B338)*12+MONTH($B338)&lt;=YEAR($C$3)*12+MONTH($C$3)-1,$G338,0))</f>
        <v/>
      </c>
      <c r="P338" s="62">
        <f>$M338-$O338</f>
        <v/>
      </c>
      <c r="Q338" s="62">
        <f>($L338-$M338)-($N338-$O338)</f>
        <v/>
      </c>
      <c r="R338" s="62">
        <f>$L338-$N338</f>
        <v/>
      </c>
    </row>
    <row r="339">
      <c r="A339" s="59">
        <f>ROW()-5</f>
        <v/>
      </c>
      <c r="B339" s="60">
        <f>IFERROR(INDEX(tbl_Finance[Date],$A339),"")</f>
        <v/>
      </c>
      <c r="C339" s="61">
        <f>IFERROR(INDEX(tbl_Finance[Xero Invoice No],$A339),"")</f>
        <v/>
      </c>
      <c r="D339" s="61">
        <f>IFERROR(INDEX(tbl_Finance[Client],$A339),"")</f>
        <v/>
      </c>
      <c r="E339" s="61">
        <f>IFERROR(INDEX(tbl_Finance[Job Number],$A339),"")</f>
        <v/>
      </c>
      <c r="F339" s="61">
        <f>IFERROR(INDEX(tbl_Finance[Cost Centre],$A339),"")</f>
        <v/>
      </c>
      <c r="G339" s="62">
        <f>IFERROR(INDEX(tbl_Finance[Ex GST],$A339),"")</f>
        <v/>
      </c>
      <c r="H339" s="60">
        <f>IFERROR(INDEX(tbl_Finance[Defer Start],$A339),"")</f>
        <v/>
      </c>
      <c r="I339" s="60">
        <f>IFERROR(INDEX(tbl_Finance[Defer End],$A339),"")</f>
        <v/>
      </c>
      <c r="J339" s="59">
        <f>IF(OR($H339="",$I339="",$G339=""),"",MAX(1,(YEAR($I339)-YEAR($H339))*12+MONTH($I339)-MONTH($H339)+1))</f>
        <v/>
      </c>
      <c r="K339" s="62">
        <f>IF($J339="","",$G339/$J339)</f>
        <v/>
      </c>
      <c r="L339" s="62">
        <f>IF($J339="",0,$K339*MAX(0,MIN(YEAR($C$3)*12+MONTH($C$3),YEAR($I339)*12+MONTH($I339))-(YEAR($H339)*12+MONTH($H339))+1))</f>
        <v/>
      </c>
      <c r="M339" s="62">
        <f>IF($J339="",0,$K339*MAX(0,MIN(YEAR($C$3)*12+MONTH($C$3)-1,YEAR($I339)*12+MONTH($I339))-(YEAR($H339)*12+MONTH($H339))+1))</f>
        <v/>
      </c>
      <c r="N339" s="62">
        <f>IF(OR($J339="",$B339=""),0,IF(YEAR($B339)*12+MONTH($B339)&lt;=YEAR($C$3)*12+MONTH($C$3),$G339,0))</f>
        <v/>
      </c>
      <c r="O339" s="62">
        <f>IF(OR($J339="",$B339=""),0,IF(YEAR($B339)*12+MONTH($B339)&lt;=YEAR($C$3)*12+MONTH($C$3)-1,$G339,0))</f>
        <v/>
      </c>
      <c r="P339" s="62">
        <f>$M339-$O339</f>
        <v/>
      </c>
      <c r="Q339" s="62">
        <f>($L339-$M339)-($N339-$O339)</f>
        <v/>
      </c>
      <c r="R339" s="62">
        <f>$L339-$N339</f>
        <v/>
      </c>
    </row>
    <row r="340">
      <c r="A340" s="59">
        <f>ROW()-5</f>
        <v/>
      </c>
      <c r="B340" s="60">
        <f>IFERROR(INDEX(tbl_Finance[Date],$A340),"")</f>
        <v/>
      </c>
      <c r="C340" s="61">
        <f>IFERROR(INDEX(tbl_Finance[Xero Invoice No],$A340),"")</f>
        <v/>
      </c>
      <c r="D340" s="61">
        <f>IFERROR(INDEX(tbl_Finance[Client],$A340),"")</f>
        <v/>
      </c>
      <c r="E340" s="61">
        <f>IFERROR(INDEX(tbl_Finance[Job Number],$A340),"")</f>
        <v/>
      </c>
      <c r="F340" s="61">
        <f>IFERROR(INDEX(tbl_Finance[Cost Centre],$A340),"")</f>
        <v/>
      </c>
      <c r="G340" s="62">
        <f>IFERROR(INDEX(tbl_Finance[Ex GST],$A340),"")</f>
        <v/>
      </c>
      <c r="H340" s="60">
        <f>IFERROR(INDEX(tbl_Finance[Defer Start],$A340),"")</f>
        <v/>
      </c>
      <c r="I340" s="60">
        <f>IFERROR(INDEX(tbl_Finance[Defer End],$A340),"")</f>
        <v/>
      </c>
      <c r="J340" s="59">
        <f>IF(OR($H340="",$I340="",$G340=""),"",MAX(1,(YEAR($I340)-YEAR($H340))*12+MONTH($I340)-MONTH($H340)+1))</f>
        <v/>
      </c>
      <c r="K340" s="62">
        <f>IF($J340="","",$G340/$J340)</f>
        <v/>
      </c>
      <c r="L340" s="62">
        <f>IF($J340="",0,$K340*MAX(0,MIN(YEAR($C$3)*12+MONTH($C$3),YEAR($I340)*12+MONTH($I340))-(YEAR($H340)*12+MONTH($H340))+1))</f>
        <v/>
      </c>
      <c r="M340" s="62">
        <f>IF($J340="",0,$K340*MAX(0,MIN(YEAR($C$3)*12+MONTH($C$3)-1,YEAR($I340)*12+MONTH($I340))-(YEAR($H340)*12+MONTH($H340))+1))</f>
        <v/>
      </c>
      <c r="N340" s="62">
        <f>IF(OR($J340="",$B340=""),0,IF(YEAR($B340)*12+MONTH($B340)&lt;=YEAR($C$3)*12+MONTH($C$3),$G340,0))</f>
        <v/>
      </c>
      <c r="O340" s="62">
        <f>IF(OR($J340="",$B340=""),0,IF(YEAR($B340)*12+MONTH($B340)&lt;=YEAR($C$3)*12+MONTH($C$3)-1,$G340,0))</f>
        <v/>
      </c>
      <c r="P340" s="62">
        <f>$M340-$O340</f>
        <v/>
      </c>
      <c r="Q340" s="62">
        <f>($L340-$M340)-($N340-$O340)</f>
        <v/>
      </c>
      <c r="R340" s="62">
        <f>$L340-$N340</f>
        <v/>
      </c>
    </row>
    <row r="341">
      <c r="A341" s="59">
        <f>ROW()-5</f>
        <v/>
      </c>
      <c r="B341" s="60">
        <f>IFERROR(INDEX(tbl_Finance[Date],$A341),"")</f>
        <v/>
      </c>
      <c r="C341" s="61">
        <f>IFERROR(INDEX(tbl_Finance[Xero Invoice No],$A341),"")</f>
        <v/>
      </c>
      <c r="D341" s="61">
        <f>IFERROR(INDEX(tbl_Finance[Client],$A341),"")</f>
        <v/>
      </c>
      <c r="E341" s="61">
        <f>IFERROR(INDEX(tbl_Finance[Job Number],$A341),"")</f>
        <v/>
      </c>
      <c r="F341" s="61">
        <f>IFERROR(INDEX(tbl_Finance[Cost Centre],$A341),"")</f>
        <v/>
      </c>
      <c r="G341" s="62">
        <f>IFERROR(INDEX(tbl_Finance[Ex GST],$A341),"")</f>
        <v/>
      </c>
      <c r="H341" s="60">
        <f>IFERROR(INDEX(tbl_Finance[Defer Start],$A341),"")</f>
        <v/>
      </c>
      <c r="I341" s="60">
        <f>IFERROR(INDEX(tbl_Finance[Defer End],$A341),"")</f>
        <v/>
      </c>
      <c r="J341" s="59">
        <f>IF(OR($H341="",$I341="",$G341=""),"",MAX(1,(YEAR($I341)-YEAR($H341))*12+MONTH($I341)-MONTH($H341)+1))</f>
        <v/>
      </c>
      <c r="K341" s="62">
        <f>IF($J341="","",$G341/$J341)</f>
        <v/>
      </c>
      <c r="L341" s="62">
        <f>IF($J341="",0,$K341*MAX(0,MIN(YEAR($C$3)*12+MONTH($C$3),YEAR($I341)*12+MONTH($I341))-(YEAR($H341)*12+MONTH($H341))+1))</f>
        <v/>
      </c>
      <c r="M341" s="62">
        <f>IF($J341="",0,$K341*MAX(0,MIN(YEAR($C$3)*12+MONTH($C$3)-1,YEAR($I341)*12+MONTH($I341))-(YEAR($H341)*12+MONTH($H341))+1))</f>
        <v/>
      </c>
      <c r="N341" s="62">
        <f>IF(OR($J341="",$B341=""),0,IF(YEAR($B341)*12+MONTH($B341)&lt;=YEAR($C$3)*12+MONTH($C$3),$G341,0))</f>
        <v/>
      </c>
      <c r="O341" s="62">
        <f>IF(OR($J341="",$B341=""),0,IF(YEAR($B341)*12+MONTH($B341)&lt;=YEAR($C$3)*12+MONTH($C$3)-1,$G341,0))</f>
        <v/>
      </c>
      <c r="P341" s="62">
        <f>$M341-$O341</f>
        <v/>
      </c>
      <c r="Q341" s="62">
        <f>($L341-$M341)-($N341-$O341)</f>
        <v/>
      </c>
      <c r="R341" s="62">
        <f>$L341-$N341</f>
        <v/>
      </c>
    </row>
    <row r="342">
      <c r="A342" s="59">
        <f>ROW()-5</f>
        <v/>
      </c>
      <c r="B342" s="60">
        <f>IFERROR(INDEX(tbl_Finance[Date],$A342),"")</f>
        <v/>
      </c>
      <c r="C342" s="61">
        <f>IFERROR(INDEX(tbl_Finance[Xero Invoice No],$A342),"")</f>
        <v/>
      </c>
      <c r="D342" s="61">
        <f>IFERROR(INDEX(tbl_Finance[Client],$A342),"")</f>
        <v/>
      </c>
      <c r="E342" s="61">
        <f>IFERROR(INDEX(tbl_Finance[Job Number],$A342),"")</f>
        <v/>
      </c>
      <c r="F342" s="61">
        <f>IFERROR(INDEX(tbl_Finance[Cost Centre],$A342),"")</f>
        <v/>
      </c>
      <c r="G342" s="62">
        <f>IFERROR(INDEX(tbl_Finance[Ex GST],$A342),"")</f>
        <v/>
      </c>
      <c r="H342" s="60">
        <f>IFERROR(INDEX(tbl_Finance[Defer Start],$A342),"")</f>
        <v/>
      </c>
      <c r="I342" s="60">
        <f>IFERROR(INDEX(tbl_Finance[Defer End],$A342),"")</f>
        <v/>
      </c>
      <c r="J342" s="59">
        <f>IF(OR($H342="",$I342="",$G342=""),"",MAX(1,(YEAR($I342)-YEAR($H342))*12+MONTH($I342)-MONTH($H342)+1))</f>
        <v/>
      </c>
      <c r="K342" s="62">
        <f>IF($J342="","",$G342/$J342)</f>
        <v/>
      </c>
      <c r="L342" s="62">
        <f>IF($J342="",0,$K342*MAX(0,MIN(YEAR($C$3)*12+MONTH($C$3),YEAR($I342)*12+MONTH($I342))-(YEAR($H342)*12+MONTH($H342))+1))</f>
        <v/>
      </c>
      <c r="M342" s="62">
        <f>IF($J342="",0,$K342*MAX(0,MIN(YEAR($C$3)*12+MONTH($C$3)-1,YEAR($I342)*12+MONTH($I342))-(YEAR($H342)*12+MONTH($H342))+1))</f>
        <v/>
      </c>
      <c r="N342" s="62">
        <f>IF(OR($J342="",$B342=""),0,IF(YEAR($B342)*12+MONTH($B342)&lt;=YEAR($C$3)*12+MONTH($C$3),$G342,0))</f>
        <v/>
      </c>
      <c r="O342" s="62">
        <f>IF(OR($J342="",$B342=""),0,IF(YEAR($B342)*12+MONTH($B342)&lt;=YEAR($C$3)*12+MONTH($C$3)-1,$G342,0))</f>
        <v/>
      </c>
      <c r="P342" s="62">
        <f>$M342-$O342</f>
        <v/>
      </c>
      <c r="Q342" s="62">
        <f>($L342-$M342)-($N342-$O342)</f>
        <v/>
      </c>
      <c r="R342" s="62">
        <f>$L342-$N342</f>
        <v/>
      </c>
    </row>
    <row r="343">
      <c r="A343" s="59">
        <f>ROW()-5</f>
        <v/>
      </c>
      <c r="B343" s="60">
        <f>IFERROR(INDEX(tbl_Finance[Date],$A343),"")</f>
        <v/>
      </c>
      <c r="C343" s="61">
        <f>IFERROR(INDEX(tbl_Finance[Xero Invoice No],$A343),"")</f>
        <v/>
      </c>
      <c r="D343" s="61">
        <f>IFERROR(INDEX(tbl_Finance[Client],$A343),"")</f>
        <v/>
      </c>
      <c r="E343" s="61">
        <f>IFERROR(INDEX(tbl_Finance[Job Number],$A343),"")</f>
        <v/>
      </c>
      <c r="F343" s="61">
        <f>IFERROR(INDEX(tbl_Finance[Cost Centre],$A343),"")</f>
        <v/>
      </c>
      <c r="G343" s="62">
        <f>IFERROR(INDEX(tbl_Finance[Ex GST],$A343),"")</f>
        <v/>
      </c>
      <c r="H343" s="60">
        <f>IFERROR(INDEX(tbl_Finance[Defer Start],$A343),"")</f>
        <v/>
      </c>
      <c r="I343" s="60">
        <f>IFERROR(INDEX(tbl_Finance[Defer End],$A343),"")</f>
        <v/>
      </c>
      <c r="J343" s="59">
        <f>IF(OR($H343="",$I343="",$G343=""),"",MAX(1,(YEAR($I343)-YEAR($H343))*12+MONTH($I343)-MONTH($H343)+1))</f>
        <v/>
      </c>
      <c r="K343" s="62">
        <f>IF($J343="","",$G343/$J343)</f>
        <v/>
      </c>
      <c r="L343" s="62">
        <f>IF($J343="",0,$K343*MAX(0,MIN(YEAR($C$3)*12+MONTH($C$3),YEAR($I343)*12+MONTH($I343))-(YEAR($H343)*12+MONTH($H343))+1))</f>
        <v/>
      </c>
      <c r="M343" s="62">
        <f>IF($J343="",0,$K343*MAX(0,MIN(YEAR($C$3)*12+MONTH($C$3)-1,YEAR($I343)*12+MONTH($I343))-(YEAR($H343)*12+MONTH($H343))+1))</f>
        <v/>
      </c>
      <c r="N343" s="62">
        <f>IF(OR($J343="",$B343=""),0,IF(YEAR($B343)*12+MONTH($B343)&lt;=YEAR($C$3)*12+MONTH($C$3),$G343,0))</f>
        <v/>
      </c>
      <c r="O343" s="62">
        <f>IF(OR($J343="",$B343=""),0,IF(YEAR($B343)*12+MONTH($B343)&lt;=YEAR($C$3)*12+MONTH($C$3)-1,$G343,0))</f>
        <v/>
      </c>
      <c r="P343" s="62">
        <f>$M343-$O343</f>
        <v/>
      </c>
      <c r="Q343" s="62">
        <f>($L343-$M343)-($N343-$O343)</f>
        <v/>
      </c>
      <c r="R343" s="62">
        <f>$L343-$N343</f>
        <v/>
      </c>
    </row>
    <row r="344">
      <c r="A344" s="59">
        <f>ROW()-5</f>
        <v/>
      </c>
      <c r="B344" s="60">
        <f>IFERROR(INDEX(tbl_Finance[Date],$A344),"")</f>
        <v/>
      </c>
      <c r="C344" s="61">
        <f>IFERROR(INDEX(tbl_Finance[Xero Invoice No],$A344),"")</f>
        <v/>
      </c>
      <c r="D344" s="61">
        <f>IFERROR(INDEX(tbl_Finance[Client],$A344),"")</f>
        <v/>
      </c>
      <c r="E344" s="61">
        <f>IFERROR(INDEX(tbl_Finance[Job Number],$A344),"")</f>
        <v/>
      </c>
      <c r="F344" s="61">
        <f>IFERROR(INDEX(tbl_Finance[Cost Centre],$A344),"")</f>
        <v/>
      </c>
      <c r="G344" s="62">
        <f>IFERROR(INDEX(tbl_Finance[Ex GST],$A344),"")</f>
        <v/>
      </c>
      <c r="H344" s="60">
        <f>IFERROR(INDEX(tbl_Finance[Defer Start],$A344),"")</f>
        <v/>
      </c>
      <c r="I344" s="60">
        <f>IFERROR(INDEX(tbl_Finance[Defer End],$A344),"")</f>
        <v/>
      </c>
      <c r="J344" s="59">
        <f>IF(OR($H344="",$I344="",$G344=""),"",MAX(1,(YEAR($I344)-YEAR($H344))*12+MONTH($I344)-MONTH($H344)+1))</f>
        <v/>
      </c>
      <c r="K344" s="62">
        <f>IF($J344="","",$G344/$J344)</f>
        <v/>
      </c>
      <c r="L344" s="62">
        <f>IF($J344="",0,$K344*MAX(0,MIN(YEAR($C$3)*12+MONTH($C$3),YEAR($I344)*12+MONTH($I344))-(YEAR($H344)*12+MONTH($H344))+1))</f>
        <v/>
      </c>
      <c r="M344" s="62">
        <f>IF($J344="",0,$K344*MAX(0,MIN(YEAR($C$3)*12+MONTH($C$3)-1,YEAR($I344)*12+MONTH($I344))-(YEAR($H344)*12+MONTH($H344))+1))</f>
        <v/>
      </c>
      <c r="N344" s="62">
        <f>IF(OR($J344="",$B344=""),0,IF(YEAR($B344)*12+MONTH($B344)&lt;=YEAR($C$3)*12+MONTH($C$3),$G344,0))</f>
        <v/>
      </c>
      <c r="O344" s="62">
        <f>IF(OR($J344="",$B344=""),0,IF(YEAR($B344)*12+MONTH($B344)&lt;=YEAR($C$3)*12+MONTH($C$3)-1,$G344,0))</f>
        <v/>
      </c>
      <c r="P344" s="62">
        <f>$M344-$O344</f>
        <v/>
      </c>
      <c r="Q344" s="62">
        <f>($L344-$M344)-($N344-$O344)</f>
        <v/>
      </c>
      <c r="R344" s="62">
        <f>$L344-$N344</f>
        <v/>
      </c>
    </row>
    <row r="345">
      <c r="A345" s="59">
        <f>ROW()-5</f>
        <v/>
      </c>
      <c r="B345" s="60">
        <f>IFERROR(INDEX(tbl_Finance[Date],$A345),"")</f>
        <v/>
      </c>
      <c r="C345" s="61">
        <f>IFERROR(INDEX(tbl_Finance[Xero Invoice No],$A345),"")</f>
        <v/>
      </c>
      <c r="D345" s="61">
        <f>IFERROR(INDEX(tbl_Finance[Client],$A345),"")</f>
        <v/>
      </c>
      <c r="E345" s="61">
        <f>IFERROR(INDEX(tbl_Finance[Job Number],$A345),"")</f>
        <v/>
      </c>
      <c r="F345" s="61">
        <f>IFERROR(INDEX(tbl_Finance[Cost Centre],$A345),"")</f>
        <v/>
      </c>
      <c r="G345" s="62">
        <f>IFERROR(INDEX(tbl_Finance[Ex GST],$A345),"")</f>
        <v/>
      </c>
      <c r="H345" s="60">
        <f>IFERROR(INDEX(tbl_Finance[Defer Start],$A345),"")</f>
        <v/>
      </c>
      <c r="I345" s="60">
        <f>IFERROR(INDEX(tbl_Finance[Defer End],$A345),"")</f>
        <v/>
      </c>
      <c r="J345" s="59">
        <f>IF(OR($H345="",$I345="",$G345=""),"",MAX(1,(YEAR($I345)-YEAR($H345))*12+MONTH($I345)-MONTH($H345)+1))</f>
        <v/>
      </c>
      <c r="K345" s="62">
        <f>IF($J345="","",$G345/$J345)</f>
        <v/>
      </c>
      <c r="L345" s="62">
        <f>IF($J345="",0,$K345*MAX(0,MIN(YEAR($C$3)*12+MONTH($C$3),YEAR($I345)*12+MONTH($I345))-(YEAR($H345)*12+MONTH($H345))+1))</f>
        <v/>
      </c>
      <c r="M345" s="62">
        <f>IF($J345="",0,$K345*MAX(0,MIN(YEAR($C$3)*12+MONTH($C$3)-1,YEAR($I345)*12+MONTH($I345))-(YEAR($H345)*12+MONTH($H345))+1))</f>
        <v/>
      </c>
      <c r="N345" s="62">
        <f>IF(OR($J345="",$B345=""),0,IF(YEAR($B345)*12+MONTH($B345)&lt;=YEAR($C$3)*12+MONTH($C$3),$G345,0))</f>
        <v/>
      </c>
      <c r="O345" s="62">
        <f>IF(OR($J345="",$B345=""),0,IF(YEAR($B345)*12+MONTH($B345)&lt;=YEAR($C$3)*12+MONTH($C$3)-1,$G345,0))</f>
        <v/>
      </c>
      <c r="P345" s="62">
        <f>$M345-$O345</f>
        <v/>
      </c>
      <c r="Q345" s="62">
        <f>($L345-$M345)-($N345-$O345)</f>
        <v/>
      </c>
      <c r="R345" s="62">
        <f>$L345-$N345</f>
        <v/>
      </c>
    </row>
    <row r="346">
      <c r="A346" s="59">
        <f>ROW()-5</f>
        <v/>
      </c>
      <c r="B346" s="60">
        <f>IFERROR(INDEX(tbl_Finance[Date],$A346),"")</f>
        <v/>
      </c>
      <c r="C346" s="61">
        <f>IFERROR(INDEX(tbl_Finance[Xero Invoice No],$A346),"")</f>
        <v/>
      </c>
      <c r="D346" s="61">
        <f>IFERROR(INDEX(tbl_Finance[Client],$A346),"")</f>
        <v/>
      </c>
      <c r="E346" s="61">
        <f>IFERROR(INDEX(tbl_Finance[Job Number],$A346),"")</f>
        <v/>
      </c>
      <c r="F346" s="61">
        <f>IFERROR(INDEX(tbl_Finance[Cost Centre],$A346),"")</f>
        <v/>
      </c>
      <c r="G346" s="62">
        <f>IFERROR(INDEX(tbl_Finance[Ex GST],$A346),"")</f>
        <v/>
      </c>
      <c r="H346" s="60">
        <f>IFERROR(INDEX(tbl_Finance[Defer Start],$A346),"")</f>
        <v/>
      </c>
      <c r="I346" s="60">
        <f>IFERROR(INDEX(tbl_Finance[Defer End],$A346),"")</f>
        <v/>
      </c>
      <c r="J346" s="59">
        <f>IF(OR($H346="",$I346="",$G346=""),"",MAX(1,(YEAR($I346)-YEAR($H346))*12+MONTH($I346)-MONTH($H346)+1))</f>
        <v/>
      </c>
      <c r="K346" s="62">
        <f>IF($J346="","",$G346/$J346)</f>
        <v/>
      </c>
      <c r="L346" s="62">
        <f>IF($J346="",0,$K346*MAX(0,MIN(YEAR($C$3)*12+MONTH($C$3),YEAR($I346)*12+MONTH($I346))-(YEAR($H346)*12+MONTH($H346))+1))</f>
        <v/>
      </c>
      <c r="M346" s="62">
        <f>IF($J346="",0,$K346*MAX(0,MIN(YEAR($C$3)*12+MONTH($C$3)-1,YEAR($I346)*12+MONTH($I346))-(YEAR($H346)*12+MONTH($H346))+1))</f>
        <v/>
      </c>
      <c r="N346" s="62">
        <f>IF(OR($J346="",$B346=""),0,IF(YEAR($B346)*12+MONTH($B346)&lt;=YEAR($C$3)*12+MONTH($C$3),$G346,0))</f>
        <v/>
      </c>
      <c r="O346" s="62">
        <f>IF(OR($J346="",$B346=""),0,IF(YEAR($B346)*12+MONTH($B346)&lt;=YEAR($C$3)*12+MONTH($C$3)-1,$G346,0))</f>
        <v/>
      </c>
      <c r="P346" s="62">
        <f>$M346-$O346</f>
        <v/>
      </c>
      <c r="Q346" s="62">
        <f>($L346-$M346)-($N346-$O346)</f>
        <v/>
      </c>
      <c r="R346" s="62">
        <f>$L346-$N346</f>
        <v/>
      </c>
    </row>
    <row r="347">
      <c r="A347" s="59">
        <f>ROW()-5</f>
        <v/>
      </c>
      <c r="B347" s="60">
        <f>IFERROR(INDEX(tbl_Finance[Date],$A347),"")</f>
        <v/>
      </c>
      <c r="C347" s="61">
        <f>IFERROR(INDEX(tbl_Finance[Xero Invoice No],$A347),"")</f>
        <v/>
      </c>
      <c r="D347" s="61">
        <f>IFERROR(INDEX(tbl_Finance[Client],$A347),"")</f>
        <v/>
      </c>
      <c r="E347" s="61">
        <f>IFERROR(INDEX(tbl_Finance[Job Number],$A347),"")</f>
        <v/>
      </c>
      <c r="F347" s="61">
        <f>IFERROR(INDEX(tbl_Finance[Cost Centre],$A347),"")</f>
        <v/>
      </c>
      <c r="G347" s="62">
        <f>IFERROR(INDEX(tbl_Finance[Ex GST],$A347),"")</f>
        <v/>
      </c>
      <c r="H347" s="60">
        <f>IFERROR(INDEX(tbl_Finance[Defer Start],$A347),"")</f>
        <v/>
      </c>
      <c r="I347" s="60">
        <f>IFERROR(INDEX(tbl_Finance[Defer End],$A347),"")</f>
        <v/>
      </c>
      <c r="J347" s="59">
        <f>IF(OR($H347="",$I347="",$G347=""),"",MAX(1,(YEAR($I347)-YEAR($H347))*12+MONTH($I347)-MONTH($H347)+1))</f>
        <v/>
      </c>
      <c r="K347" s="62">
        <f>IF($J347="","",$G347/$J347)</f>
        <v/>
      </c>
      <c r="L347" s="62">
        <f>IF($J347="",0,$K347*MAX(0,MIN(YEAR($C$3)*12+MONTH($C$3),YEAR($I347)*12+MONTH($I347))-(YEAR($H347)*12+MONTH($H347))+1))</f>
        <v/>
      </c>
      <c r="M347" s="62">
        <f>IF($J347="",0,$K347*MAX(0,MIN(YEAR($C$3)*12+MONTH($C$3)-1,YEAR($I347)*12+MONTH($I347))-(YEAR($H347)*12+MONTH($H347))+1))</f>
        <v/>
      </c>
      <c r="N347" s="62">
        <f>IF(OR($J347="",$B347=""),0,IF(YEAR($B347)*12+MONTH($B347)&lt;=YEAR($C$3)*12+MONTH($C$3),$G347,0))</f>
        <v/>
      </c>
      <c r="O347" s="62">
        <f>IF(OR($J347="",$B347=""),0,IF(YEAR($B347)*12+MONTH($B347)&lt;=YEAR($C$3)*12+MONTH($C$3)-1,$G347,0))</f>
        <v/>
      </c>
      <c r="P347" s="62">
        <f>$M347-$O347</f>
        <v/>
      </c>
      <c r="Q347" s="62">
        <f>($L347-$M347)-($N347-$O347)</f>
        <v/>
      </c>
      <c r="R347" s="62">
        <f>$L347-$N347</f>
        <v/>
      </c>
    </row>
    <row r="348">
      <c r="A348" s="59">
        <f>ROW()-5</f>
        <v/>
      </c>
      <c r="B348" s="60">
        <f>IFERROR(INDEX(tbl_Finance[Date],$A348),"")</f>
        <v/>
      </c>
      <c r="C348" s="61">
        <f>IFERROR(INDEX(tbl_Finance[Xero Invoice No],$A348),"")</f>
        <v/>
      </c>
      <c r="D348" s="61">
        <f>IFERROR(INDEX(tbl_Finance[Client],$A348),"")</f>
        <v/>
      </c>
      <c r="E348" s="61">
        <f>IFERROR(INDEX(tbl_Finance[Job Number],$A348),"")</f>
        <v/>
      </c>
      <c r="F348" s="61">
        <f>IFERROR(INDEX(tbl_Finance[Cost Centre],$A348),"")</f>
        <v/>
      </c>
      <c r="G348" s="62">
        <f>IFERROR(INDEX(tbl_Finance[Ex GST],$A348),"")</f>
        <v/>
      </c>
      <c r="H348" s="60">
        <f>IFERROR(INDEX(tbl_Finance[Defer Start],$A348),"")</f>
        <v/>
      </c>
      <c r="I348" s="60">
        <f>IFERROR(INDEX(tbl_Finance[Defer End],$A348),"")</f>
        <v/>
      </c>
      <c r="J348" s="59">
        <f>IF(OR($H348="",$I348="",$G348=""),"",MAX(1,(YEAR($I348)-YEAR($H348))*12+MONTH($I348)-MONTH($H348)+1))</f>
        <v/>
      </c>
      <c r="K348" s="62">
        <f>IF($J348="","",$G348/$J348)</f>
        <v/>
      </c>
      <c r="L348" s="62">
        <f>IF($J348="",0,$K348*MAX(0,MIN(YEAR($C$3)*12+MONTH($C$3),YEAR($I348)*12+MONTH($I348))-(YEAR($H348)*12+MONTH($H348))+1))</f>
        <v/>
      </c>
      <c r="M348" s="62">
        <f>IF($J348="",0,$K348*MAX(0,MIN(YEAR($C$3)*12+MONTH($C$3)-1,YEAR($I348)*12+MONTH($I348))-(YEAR($H348)*12+MONTH($H348))+1))</f>
        <v/>
      </c>
      <c r="N348" s="62">
        <f>IF(OR($J348="",$B348=""),0,IF(YEAR($B348)*12+MONTH($B348)&lt;=YEAR($C$3)*12+MONTH($C$3),$G348,0))</f>
        <v/>
      </c>
      <c r="O348" s="62">
        <f>IF(OR($J348="",$B348=""),0,IF(YEAR($B348)*12+MONTH($B348)&lt;=YEAR($C$3)*12+MONTH($C$3)-1,$G348,0))</f>
        <v/>
      </c>
      <c r="P348" s="62">
        <f>$M348-$O348</f>
        <v/>
      </c>
      <c r="Q348" s="62">
        <f>($L348-$M348)-($N348-$O348)</f>
        <v/>
      </c>
      <c r="R348" s="62">
        <f>$L348-$N348</f>
        <v/>
      </c>
    </row>
    <row r="349">
      <c r="A349" s="59">
        <f>ROW()-5</f>
        <v/>
      </c>
      <c r="B349" s="60">
        <f>IFERROR(INDEX(tbl_Finance[Date],$A349),"")</f>
        <v/>
      </c>
      <c r="C349" s="61">
        <f>IFERROR(INDEX(tbl_Finance[Xero Invoice No],$A349),"")</f>
        <v/>
      </c>
      <c r="D349" s="61">
        <f>IFERROR(INDEX(tbl_Finance[Client],$A349),"")</f>
        <v/>
      </c>
      <c r="E349" s="61">
        <f>IFERROR(INDEX(tbl_Finance[Job Number],$A349),"")</f>
        <v/>
      </c>
      <c r="F349" s="61">
        <f>IFERROR(INDEX(tbl_Finance[Cost Centre],$A349),"")</f>
        <v/>
      </c>
      <c r="G349" s="62">
        <f>IFERROR(INDEX(tbl_Finance[Ex GST],$A349),"")</f>
        <v/>
      </c>
      <c r="H349" s="60">
        <f>IFERROR(INDEX(tbl_Finance[Defer Start],$A349),"")</f>
        <v/>
      </c>
      <c r="I349" s="60">
        <f>IFERROR(INDEX(tbl_Finance[Defer End],$A349),"")</f>
        <v/>
      </c>
      <c r="J349" s="59">
        <f>IF(OR($H349="",$I349="",$G349=""),"",MAX(1,(YEAR($I349)-YEAR($H349))*12+MONTH($I349)-MONTH($H349)+1))</f>
        <v/>
      </c>
      <c r="K349" s="62">
        <f>IF($J349="","",$G349/$J349)</f>
        <v/>
      </c>
      <c r="L349" s="62">
        <f>IF($J349="",0,$K349*MAX(0,MIN(YEAR($C$3)*12+MONTH($C$3),YEAR($I349)*12+MONTH($I349))-(YEAR($H349)*12+MONTH($H349))+1))</f>
        <v/>
      </c>
      <c r="M349" s="62">
        <f>IF($J349="",0,$K349*MAX(0,MIN(YEAR($C$3)*12+MONTH($C$3)-1,YEAR($I349)*12+MONTH($I349))-(YEAR($H349)*12+MONTH($H349))+1))</f>
        <v/>
      </c>
      <c r="N349" s="62">
        <f>IF(OR($J349="",$B349=""),0,IF(YEAR($B349)*12+MONTH($B349)&lt;=YEAR($C$3)*12+MONTH($C$3),$G349,0))</f>
        <v/>
      </c>
      <c r="O349" s="62">
        <f>IF(OR($J349="",$B349=""),0,IF(YEAR($B349)*12+MONTH($B349)&lt;=YEAR($C$3)*12+MONTH($C$3)-1,$G349,0))</f>
        <v/>
      </c>
      <c r="P349" s="62">
        <f>$M349-$O349</f>
        <v/>
      </c>
      <c r="Q349" s="62">
        <f>($L349-$M349)-($N349-$O349)</f>
        <v/>
      </c>
      <c r="R349" s="62">
        <f>$L349-$N349</f>
        <v/>
      </c>
    </row>
    <row r="350">
      <c r="A350" s="59">
        <f>ROW()-5</f>
        <v/>
      </c>
      <c r="B350" s="60">
        <f>IFERROR(INDEX(tbl_Finance[Date],$A350),"")</f>
        <v/>
      </c>
      <c r="C350" s="61">
        <f>IFERROR(INDEX(tbl_Finance[Xero Invoice No],$A350),"")</f>
        <v/>
      </c>
      <c r="D350" s="61">
        <f>IFERROR(INDEX(tbl_Finance[Client],$A350),"")</f>
        <v/>
      </c>
      <c r="E350" s="61">
        <f>IFERROR(INDEX(tbl_Finance[Job Number],$A350),"")</f>
        <v/>
      </c>
      <c r="F350" s="61">
        <f>IFERROR(INDEX(tbl_Finance[Cost Centre],$A350),"")</f>
        <v/>
      </c>
      <c r="G350" s="62">
        <f>IFERROR(INDEX(tbl_Finance[Ex GST],$A350),"")</f>
        <v/>
      </c>
      <c r="H350" s="60">
        <f>IFERROR(INDEX(tbl_Finance[Defer Start],$A350),"")</f>
        <v/>
      </c>
      <c r="I350" s="60">
        <f>IFERROR(INDEX(tbl_Finance[Defer End],$A350),"")</f>
        <v/>
      </c>
      <c r="J350" s="59">
        <f>IF(OR($H350="",$I350="",$G350=""),"",MAX(1,(YEAR($I350)-YEAR($H350))*12+MONTH($I350)-MONTH($H350)+1))</f>
        <v/>
      </c>
      <c r="K350" s="62">
        <f>IF($J350="","",$G350/$J350)</f>
        <v/>
      </c>
      <c r="L350" s="62">
        <f>IF($J350="",0,$K350*MAX(0,MIN(YEAR($C$3)*12+MONTH($C$3),YEAR($I350)*12+MONTH($I350))-(YEAR($H350)*12+MONTH($H350))+1))</f>
        <v/>
      </c>
      <c r="M350" s="62">
        <f>IF($J350="",0,$K350*MAX(0,MIN(YEAR($C$3)*12+MONTH($C$3)-1,YEAR($I350)*12+MONTH($I350))-(YEAR($H350)*12+MONTH($H350))+1))</f>
        <v/>
      </c>
      <c r="N350" s="62">
        <f>IF(OR($J350="",$B350=""),0,IF(YEAR($B350)*12+MONTH($B350)&lt;=YEAR($C$3)*12+MONTH($C$3),$G350,0))</f>
        <v/>
      </c>
      <c r="O350" s="62">
        <f>IF(OR($J350="",$B350=""),0,IF(YEAR($B350)*12+MONTH($B350)&lt;=YEAR($C$3)*12+MONTH($C$3)-1,$G350,0))</f>
        <v/>
      </c>
      <c r="P350" s="62">
        <f>$M350-$O350</f>
        <v/>
      </c>
      <c r="Q350" s="62">
        <f>($L350-$M350)-($N350-$O350)</f>
        <v/>
      </c>
      <c r="R350" s="62">
        <f>$L350-$N350</f>
        <v/>
      </c>
    </row>
    <row r="351">
      <c r="A351" s="59">
        <f>ROW()-5</f>
        <v/>
      </c>
      <c r="B351" s="60">
        <f>IFERROR(INDEX(tbl_Finance[Date],$A351),"")</f>
        <v/>
      </c>
      <c r="C351" s="61">
        <f>IFERROR(INDEX(tbl_Finance[Xero Invoice No],$A351),"")</f>
        <v/>
      </c>
      <c r="D351" s="61">
        <f>IFERROR(INDEX(tbl_Finance[Client],$A351),"")</f>
        <v/>
      </c>
      <c r="E351" s="61">
        <f>IFERROR(INDEX(tbl_Finance[Job Number],$A351),"")</f>
        <v/>
      </c>
      <c r="F351" s="61">
        <f>IFERROR(INDEX(tbl_Finance[Cost Centre],$A351),"")</f>
        <v/>
      </c>
      <c r="G351" s="62">
        <f>IFERROR(INDEX(tbl_Finance[Ex GST],$A351),"")</f>
        <v/>
      </c>
      <c r="H351" s="60">
        <f>IFERROR(INDEX(tbl_Finance[Defer Start],$A351),"")</f>
        <v/>
      </c>
      <c r="I351" s="60">
        <f>IFERROR(INDEX(tbl_Finance[Defer End],$A351),"")</f>
        <v/>
      </c>
      <c r="J351" s="59">
        <f>IF(OR($H351="",$I351="",$G351=""),"",MAX(1,(YEAR($I351)-YEAR($H351))*12+MONTH($I351)-MONTH($H351)+1))</f>
        <v/>
      </c>
      <c r="K351" s="62">
        <f>IF($J351="","",$G351/$J351)</f>
        <v/>
      </c>
      <c r="L351" s="62">
        <f>IF($J351="",0,$K351*MAX(0,MIN(YEAR($C$3)*12+MONTH($C$3),YEAR($I351)*12+MONTH($I351))-(YEAR($H351)*12+MONTH($H351))+1))</f>
        <v/>
      </c>
      <c r="M351" s="62">
        <f>IF($J351="",0,$K351*MAX(0,MIN(YEAR($C$3)*12+MONTH($C$3)-1,YEAR($I351)*12+MONTH($I351))-(YEAR($H351)*12+MONTH($H351))+1))</f>
        <v/>
      </c>
      <c r="N351" s="62">
        <f>IF(OR($J351="",$B351=""),0,IF(YEAR($B351)*12+MONTH($B351)&lt;=YEAR($C$3)*12+MONTH($C$3),$G351,0))</f>
        <v/>
      </c>
      <c r="O351" s="62">
        <f>IF(OR($J351="",$B351=""),0,IF(YEAR($B351)*12+MONTH($B351)&lt;=YEAR($C$3)*12+MONTH($C$3)-1,$G351,0))</f>
        <v/>
      </c>
      <c r="P351" s="62">
        <f>$M351-$O351</f>
        <v/>
      </c>
      <c r="Q351" s="62">
        <f>($L351-$M351)-($N351-$O351)</f>
        <v/>
      </c>
      <c r="R351" s="62">
        <f>$L351-$N351</f>
        <v/>
      </c>
    </row>
    <row r="352">
      <c r="A352" s="59">
        <f>ROW()-5</f>
        <v/>
      </c>
      <c r="B352" s="60">
        <f>IFERROR(INDEX(tbl_Finance[Date],$A352),"")</f>
        <v/>
      </c>
      <c r="C352" s="61">
        <f>IFERROR(INDEX(tbl_Finance[Xero Invoice No],$A352),"")</f>
        <v/>
      </c>
      <c r="D352" s="61">
        <f>IFERROR(INDEX(tbl_Finance[Client],$A352),"")</f>
        <v/>
      </c>
      <c r="E352" s="61">
        <f>IFERROR(INDEX(tbl_Finance[Job Number],$A352),"")</f>
        <v/>
      </c>
      <c r="F352" s="61">
        <f>IFERROR(INDEX(tbl_Finance[Cost Centre],$A352),"")</f>
        <v/>
      </c>
      <c r="G352" s="62">
        <f>IFERROR(INDEX(tbl_Finance[Ex GST],$A352),"")</f>
        <v/>
      </c>
      <c r="H352" s="60">
        <f>IFERROR(INDEX(tbl_Finance[Defer Start],$A352),"")</f>
        <v/>
      </c>
      <c r="I352" s="60">
        <f>IFERROR(INDEX(tbl_Finance[Defer End],$A352),"")</f>
        <v/>
      </c>
      <c r="J352" s="59">
        <f>IF(OR($H352="",$I352="",$G352=""),"",MAX(1,(YEAR($I352)-YEAR($H352))*12+MONTH($I352)-MONTH($H352)+1))</f>
        <v/>
      </c>
      <c r="K352" s="62">
        <f>IF($J352="","",$G352/$J352)</f>
        <v/>
      </c>
      <c r="L352" s="62">
        <f>IF($J352="",0,$K352*MAX(0,MIN(YEAR($C$3)*12+MONTH($C$3),YEAR($I352)*12+MONTH($I352))-(YEAR($H352)*12+MONTH($H352))+1))</f>
        <v/>
      </c>
      <c r="M352" s="62">
        <f>IF($J352="",0,$K352*MAX(0,MIN(YEAR($C$3)*12+MONTH($C$3)-1,YEAR($I352)*12+MONTH($I352))-(YEAR($H352)*12+MONTH($H352))+1))</f>
        <v/>
      </c>
      <c r="N352" s="62">
        <f>IF(OR($J352="",$B352=""),0,IF(YEAR($B352)*12+MONTH($B352)&lt;=YEAR($C$3)*12+MONTH($C$3),$G352,0))</f>
        <v/>
      </c>
      <c r="O352" s="62">
        <f>IF(OR($J352="",$B352=""),0,IF(YEAR($B352)*12+MONTH($B352)&lt;=YEAR($C$3)*12+MONTH($C$3)-1,$G352,0))</f>
        <v/>
      </c>
      <c r="P352" s="62">
        <f>$M352-$O352</f>
        <v/>
      </c>
      <c r="Q352" s="62">
        <f>($L352-$M352)-($N352-$O352)</f>
        <v/>
      </c>
      <c r="R352" s="62">
        <f>$L352-$N352</f>
        <v/>
      </c>
    </row>
    <row r="353">
      <c r="A353" s="59">
        <f>ROW()-5</f>
        <v/>
      </c>
      <c r="B353" s="60">
        <f>IFERROR(INDEX(tbl_Finance[Date],$A353),"")</f>
        <v/>
      </c>
      <c r="C353" s="61">
        <f>IFERROR(INDEX(tbl_Finance[Xero Invoice No],$A353),"")</f>
        <v/>
      </c>
      <c r="D353" s="61">
        <f>IFERROR(INDEX(tbl_Finance[Client],$A353),"")</f>
        <v/>
      </c>
      <c r="E353" s="61">
        <f>IFERROR(INDEX(tbl_Finance[Job Number],$A353),"")</f>
        <v/>
      </c>
      <c r="F353" s="61">
        <f>IFERROR(INDEX(tbl_Finance[Cost Centre],$A353),"")</f>
        <v/>
      </c>
      <c r="G353" s="62">
        <f>IFERROR(INDEX(tbl_Finance[Ex GST],$A353),"")</f>
        <v/>
      </c>
      <c r="H353" s="60">
        <f>IFERROR(INDEX(tbl_Finance[Defer Start],$A353),"")</f>
        <v/>
      </c>
      <c r="I353" s="60">
        <f>IFERROR(INDEX(tbl_Finance[Defer End],$A353),"")</f>
        <v/>
      </c>
      <c r="J353" s="59">
        <f>IF(OR($H353="",$I353="",$G353=""),"",MAX(1,(YEAR($I353)-YEAR($H353))*12+MONTH($I353)-MONTH($H353)+1))</f>
        <v/>
      </c>
      <c r="K353" s="62">
        <f>IF($J353="","",$G353/$J353)</f>
        <v/>
      </c>
      <c r="L353" s="62">
        <f>IF($J353="",0,$K353*MAX(0,MIN(YEAR($C$3)*12+MONTH($C$3),YEAR($I353)*12+MONTH($I353))-(YEAR($H353)*12+MONTH($H353))+1))</f>
        <v/>
      </c>
      <c r="M353" s="62">
        <f>IF($J353="",0,$K353*MAX(0,MIN(YEAR($C$3)*12+MONTH($C$3)-1,YEAR($I353)*12+MONTH($I353))-(YEAR($H353)*12+MONTH($H353))+1))</f>
        <v/>
      </c>
      <c r="N353" s="62">
        <f>IF(OR($J353="",$B353=""),0,IF(YEAR($B353)*12+MONTH($B353)&lt;=YEAR($C$3)*12+MONTH($C$3),$G353,0))</f>
        <v/>
      </c>
      <c r="O353" s="62">
        <f>IF(OR($J353="",$B353=""),0,IF(YEAR($B353)*12+MONTH($B353)&lt;=YEAR($C$3)*12+MONTH($C$3)-1,$G353,0))</f>
        <v/>
      </c>
      <c r="P353" s="62">
        <f>$M353-$O353</f>
        <v/>
      </c>
      <c r="Q353" s="62">
        <f>($L353-$M353)-($N353-$O353)</f>
        <v/>
      </c>
      <c r="R353" s="62">
        <f>$L353-$N353</f>
        <v/>
      </c>
    </row>
    <row r="354">
      <c r="A354" s="59">
        <f>ROW()-5</f>
        <v/>
      </c>
      <c r="B354" s="60">
        <f>IFERROR(INDEX(tbl_Finance[Date],$A354),"")</f>
        <v/>
      </c>
      <c r="C354" s="61">
        <f>IFERROR(INDEX(tbl_Finance[Xero Invoice No],$A354),"")</f>
        <v/>
      </c>
      <c r="D354" s="61">
        <f>IFERROR(INDEX(tbl_Finance[Client],$A354),"")</f>
        <v/>
      </c>
      <c r="E354" s="61">
        <f>IFERROR(INDEX(tbl_Finance[Job Number],$A354),"")</f>
        <v/>
      </c>
      <c r="F354" s="61">
        <f>IFERROR(INDEX(tbl_Finance[Cost Centre],$A354),"")</f>
        <v/>
      </c>
      <c r="G354" s="62">
        <f>IFERROR(INDEX(tbl_Finance[Ex GST],$A354),"")</f>
        <v/>
      </c>
      <c r="H354" s="60">
        <f>IFERROR(INDEX(tbl_Finance[Defer Start],$A354),"")</f>
        <v/>
      </c>
      <c r="I354" s="60">
        <f>IFERROR(INDEX(tbl_Finance[Defer End],$A354),"")</f>
        <v/>
      </c>
      <c r="J354" s="59">
        <f>IF(OR($H354="",$I354="",$G354=""),"",MAX(1,(YEAR($I354)-YEAR($H354))*12+MONTH($I354)-MONTH($H354)+1))</f>
        <v/>
      </c>
      <c r="K354" s="62">
        <f>IF($J354="","",$G354/$J354)</f>
        <v/>
      </c>
      <c r="L354" s="62">
        <f>IF($J354="",0,$K354*MAX(0,MIN(YEAR($C$3)*12+MONTH($C$3),YEAR($I354)*12+MONTH($I354))-(YEAR($H354)*12+MONTH($H354))+1))</f>
        <v/>
      </c>
      <c r="M354" s="62">
        <f>IF($J354="",0,$K354*MAX(0,MIN(YEAR($C$3)*12+MONTH($C$3)-1,YEAR($I354)*12+MONTH($I354))-(YEAR($H354)*12+MONTH($H354))+1))</f>
        <v/>
      </c>
      <c r="N354" s="62">
        <f>IF(OR($J354="",$B354=""),0,IF(YEAR($B354)*12+MONTH($B354)&lt;=YEAR($C$3)*12+MONTH($C$3),$G354,0))</f>
        <v/>
      </c>
      <c r="O354" s="62">
        <f>IF(OR($J354="",$B354=""),0,IF(YEAR($B354)*12+MONTH($B354)&lt;=YEAR($C$3)*12+MONTH($C$3)-1,$G354,0))</f>
        <v/>
      </c>
      <c r="P354" s="62">
        <f>$M354-$O354</f>
        <v/>
      </c>
      <c r="Q354" s="62">
        <f>($L354-$M354)-($N354-$O354)</f>
        <v/>
      </c>
      <c r="R354" s="62">
        <f>$L354-$N354</f>
        <v/>
      </c>
    </row>
    <row r="355">
      <c r="A355" s="59">
        <f>ROW()-5</f>
        <v/>
      </c>
      <c r="B355" s="60">
        <f>IFERROR(INDEX(tbl_Finance[Date],$A355),"")</f>
        <v/>
      </c>
      <c r="C355" s="61">
        <f>IFERROR(INDEX(tbl_Finance[Xero Invoice No],$A355),"")</f>
        <v/>
      </c>
      <c r="D355" s="61">
        <f>IFERROR(INDEX(tbl_Finance[Client],$A355),"")</f>
        <v/>
      </c>
      <c r="E355" s="61">
        <f>IFERROR(INDEX(tbl_Finance[Job Number],$A355),"")</f>
        <v/>
      </c>
      <c r="F355" s="61">
        <f>IFERROR(INDEX(tbl_Finance[Cost Centre],$A355),"")</f>
        <v/>
      </c>
      <c r="G355" s="62">
        <f>IFERROR(INDEX(tbl_Finance[Ex GST],$A355),"")</f>
        <v/>
      </c>
      <c r="H355" s="60">
        <f>IFERROR(INDEX(tbl_Finance[Defer Start],$A355),"")</f>
        <v/>
      </c>
      <c r="I355" s="60">
        <f>IFERROR(INDEX(tbl_Finance[Defer End],$A355),"")</f>
        <v/>
      </c>
      <c r="J355" s="59">
        <f>IF(OR($H355="",$I355="",$G355=""),"",MAX(1,(YEAR($I355)-YEAR($H355))*12+MONTH($I355)-MONTH($H355)+1))</f>
        <v/>
      </c>
      <c r="K355" s="62">
        <f>IF($J355="","",$G355/$J355)</f>
        <v/>
      </c>
      <c r="L355" s="62">
        <f>IF($J355="",0,$K355*MAX(0,MIN(YEAR($C$3)*12+MONTH($C$3),YEAR($I355)*12+MONTH($I355))-(YEAR($H355)*12+MONTH($H355))+1))</f>
        <v/>
      </c>
      <c r="M355" s="62">
        <f>IF($J355="",0,$K355*MAX(0,MIN(YEAR($C$3)*12+MONTH($C$3)-1,YEAR($I355)*12+MONTH($I355))-(YEAR($H355)*12+MONTH($H355))+1))</f>
        <v/>
      </c>
      <c r="N355" s="62">
        <f>IF(OR($J355="",$B355=""),0,IF(YEAR($B355)*12+MONTH($B355)&lt;=YEAR($C$3)*12+MONTH($C$3),$G355,0))</f>
        <v/>
      </c>
      <c r="O355" s="62">
        <f>IF(OR($J355="",$B355=""),0,IF(YEAR($B355)*12+MONTH($B355)&lt;=YEAR($C$3)*12+MONTH($C$3)-1,$G355,0))</f>
        <v/>
      </c>
      <c r="P355" s="62">
        <f>$M355-$O355</f>
        <v/>
      </c>
      <c r="Q355" s="62">
        <f>($L355-$M355)-($N355-$O355)</f>
        <v/>
      </c>
      <c r="R355" s="62">
        <f>$L355-$N355</f>
        <v/>
      </c>
    </row>
    <row r="356">
      <c r="A356" s="59">
        <f>ROW()-5</f>
        <v/>
      </c>
      <c r="B356" s="60">
        <f>IFERROR(INDEX(tbl_Finance[Date],$A356),"")</f>
        <v/>
      </c>
      <c r="C356" s="61">
        <f>IFERROR(INDEX(tbl_Finance[Xero Invoice No],$A356),"")</f>
        <v/>
      </c>
      <c r="D356" s="61">
        <f>IFERROR(INDEX(tbl_Finance[Client],$A356),"")</f>
        <v/>
      </c>
      <c r="E356" s="61">
        <f>IFERROR(INDEX(tbl_Finance[Job Number],$A356),"")</f>
        <v/>
      </c>
      <c r="F356" s="61">
        <f>IFERROR(INDEX(tbl_Finance[Cost Centre],$A356),"")</f>
        <v/>
      </c>
      <c r="G356" s="62">
        <f>IFERROR(INDEX(tbl_Finance[Ex GST],$A356),"")</f>
        <v/>
      </c>
      <c r="H356" s="60">
        <f>IFERROR(INDEX(tbl_Finance[Defer Start],$A356),"")</f>
        <v/>
      </c>
      <c r="I356" s="60">
        <f>IFERROR(INDEX(tbl_Finance[Defer End],$A356),"")</f>
        <v/>
      </c>
      <c r="J356" s="59">
        <f>IF(OR($H356="",$I356="",$G356=""),"",MAX(1,(YEAR($I356)-YEAR($H356))*12+MONTH($I356)-MONTH($H356)+1))</f>
        <v/>
      </c>
      <c r="K356" s="62">
        <f>IF($J356="","",$G356/$J356)</f>
        <v/>
      </c>
      <c r="L356" s="62">
        <f>IF($J356="",0,$K356*MAX(0,MIN(YEAR($C$3)*12+MONTH($C$3),YEAR($I356)*12+MONTH($I356))-(YEAR($H356)*12+MONTH($H356))+1))</f>
        <v/>
      </c>
      <c r="M356" s="62">
        <f>IF($J356="",0,$K356*MAX(0,MIN(YEAR($C$3)*12+MONTH($C$3)-1,YEAR($I356)*12+MONTH($I356))-(YEAR($H356)*12+MONTH($H356))+1))</f>
        <v/>
      </c>
      <c r="N356" s="62">
        <f>IF(OR($J356="",$B356=""),0,IF(YEAR($B356)*12+MONTH($B356)&lt;=YEAR($C$3)*12+MONTH($C$3),$G356,0))</f>
        <v/>
      </c>
      <c r="O356" s="62">
        <f>IF(OR($J356="",$B356=""),0,IF(YEAR($B356)*12+MONTH($B356)&lt;=YEAR($C$3)*12+MONTH($C$3)-1,$G356,0))</f>
        <v/>
      </c>
      <c r="P356" s="62">
        <f>$M356-$O356</f>
        <v/>
      </c>
      <c r="Q356" s="62">
        <f>($L356-$M356)-($N356-$O356)</f>
        <v/>
      </c>
      <c r="R356" s="62">
        <f>$L356-$N356</f>
        <v/>
      </c>
    </row>
    <row r="357">
      <c r="A357" s="59">
        <f>ROW()-5</f>
        <v/>
      </c>
      <c r="B357" s="60">
        <f>IFERROR(INDEX(tbl_Finance[Date],$A357),"")</f>
        <v/>
      </c>
      <c r="C357" s="61">
        <f>IFERROR(INDEX(tbl_Finance[Xero Invoice No],$A357),"")</f>
        <v/>
      </c>
      <c r="D357" s="61">
        <f>IFERROR(INDEX(tbl_Finance[Client],$A357),"")</f>
        <v/>
      </c>
      <c r="E357" s="61">
        <f>IFERROR(INDEX(tbl_Finance[Job Number],$A357),"")</f>
        <v/>
      </c>
      <c r="F357" s="61">
        <f>IFERROR(INDEX(tbl_Finance[Cost Centre],$A357),"")</f>
        <v/>
      </c>
      <c r="G357" s="62">
        <f>IFERROR(INDEX(tbl_Finance[Ex GST],$A357),"")</f>
        <v/>
      </c>
      <c r="H357" s="60">
        <f>IFERROR(INDEX(tbl_Finance[Defer Start],$A357),"")</f>
        <v/>
      </c>
      <c r="I357" s="60">
        <f>IFERROR(INDEX(tbl_Finance[Defer End],$A357),"")</f>
        <v/>
      </c>
      <c r="J357" s="59">
        <f>IF(OR($H357="",$I357="",$G357=""),"",MAX(1,(YEAR($I357)-YEAR($H357))*12+MONTH($I357)-MONTH($H357)+1))</f>
        <v/>
      </c>
      <c r="K357" s="62">
        <f>IF($J357="","",$G357/$J357)</f>
        <v/>
      </c>
      <c r="L357" s="62">
        <f>IF($J357="",0,$K357*MAX(0,MIN(YEAR($C$3)*12+MONTH($C$3),YEAR($I357)*12+MONTH($I357))-(YEAR($H357)*12+MONTH($H357))+1))</f>
        <v/>
      </c>
      <c r="M357" s="62">
        <f>IF($J357="",0,$K357*MAX(0,MIN(YEAR($C$3)*12+MONTH($C$3)-1,YEAR($I357)*12+MONTH($I357))-(YEAR($H357)*12+MONTH($H357))+1))</f>
        <v/>
      </c>
      <c r="N357" s="62">
        <f>IF(OR($J357="",$B357=""),0,IF(YEAR($B357)*12+MONTH($B357)&lt;=YEAR($C$3)*12+MONTH($C$3),$G357,0))</f>
        <v/>
      </c>
      <c r="O357" s="62">
        <f>IF(OR($J357="",$B357=""),0,IF(YEAR($B357)*12+MONTH($B357)&lt;=YEAR($C$3)*12+MONTH($C$3)-1,$G357,0))</f>
        <v/>
      </c>
      <c r="P357" s="62">
        <f>$M357-$O357</f>
        <v/>
      </c>
      <c r="Q357" s="62">
        <f>($L357-$M357)-($N357-$O357)</f>
        <v/>
      </c>
      <c r="R357" s="62">
        <f>$L357-$N357</f>
        <v/>
      </c>
    </row>
    <row r="358">
      <c r="A358" s="59">
        <f>ROW()-5</f>
        <v/>
      </c>
      <c r="B358" s="60">
        <f>IFERROR(INDEX(tbl_Finance[Date],$A358),"")</f>
        <v/>
      </c>
      <c r="C358" s="61">
        <f>IFERROR(INDEX(tbl_Finance[Xero Invoice No],$A358),"")</f>
        <v/>
      </c>
      <c r="D358" s="61">
        <f>IFERROR(INDEX(tbl_Finance[Client],$A358),"")</f>
        <v/>
      </c>
      <c r="E358" s="61">
        <f>IFERROR(INDEX(tbl_Finance[Job Number],$A358),"")</f>
        <v/>
      </c>
      <c r="F358" s="61">
        <f>IFERROR(INDEX(tbl_Finance[Cost Centre],$A358),"")</f>
        <v/>
      </c>
      <c r="G358" s="62">
        <f>IFERROR(INDEX(tbl_Finance[Ex GST],$A358),"")</f>
        <v/>
      </c>
      <c r="H358" s="60">
        <f>IFERROR(INDEX(tbl_Finance[Defer Start],$A358),"")</f>
        <v/>
      </c>
      <c r="I358" s="60">
        <f>IFERROR(INDEX(tbl_Finance[Defer End],$A358),"")</f>
        <v/>
      </c>
      <c r="J358" s="59">
        <f>IF(OR($H358="",$I358="",$G358=""),"",MAX(1,(YEAR($I358)-YEAR($H358))*12+MONTH($I358)-MONTH($H358)+1))</f>
        <v/>
      </c>
      <c r="K358" s="62">
        <f>IF($J358="","",$G358/$J358)</f>
        <v/>
      </c>
      <c r="L358" s="62">
        <f>IF($J358="",0,$K358*MAX(0,MIN(YEAR($C$3)*12+MONTH($C$3),YEAR($I358)*12+MONTH($I358))-(YEAR($H358)*12+MONTH($H358))+1))</f>
        <v/>
      </c>
      <c r="M358" s="62">
        <f>IF($J358="",0,$K358*MAX(0,MIN(YEAR($C$3)*12+MONTH($C$3)-1,YEAR($I358)*12+MONTH($I358))-(YEAR($H358)*12+MONTH($H358))+1))</f>
        <v/>
      </c>
      <c r="N358" s="62">
        <f>IF(OR($J358="",$B358=""),0,IF(YEAR($B358)*12+MONTH($B358)&lt;=YEAR($C$3)*12+MONTH($C$3),$G358,0))</f>
        <v/>
      </c>
      <c r="O358" s="62">
        <f>IF(OR($J358="",$B358=""),0,IF(YEAR($B358)*12+MONTH($B358)&lt;=YEAR($C$3)*12+MONTH($C$3)-1,$G358,0))</f>
        <v/>
      </c>
      <c r="P358" s="62">
        <f>$M358-$O358</f>
        <v/>
      </c>
      <c r="Q358" s="62">
        <f>($L358-$M358)-($N358-$O358)</f>
        <v/>
      </c>
      <c r="R358" s="62">
        <f>$L358-$N358</f>
        <v/>
      </c>
    </row>
    <row r="359">
      <c r="A359" s="59">
        <f>ROW()-5</f>
        <v/>
      </c>
      <c r="B359" s="60">
        <f>IFERROR(INDEX(tbl_Finance[Date],$A359),"")</f>
        <v/>
      </c>
      <c r="C359" s="61">
        <f>IFERROR(INDEX(tbl_Finance[Xero Invoice No],$A359),"")</f>
        <v/>
      </c>
      <c r="D359" s="61">
        <f>IFERROR(INDEX(tbl_Finance[Client],$A359),"")</f>
        <v/>
      </c>
      <c r="E359" s="61">
        <f>IFERROR(INDEX(tbl_Finance[Job Number],$A359),"")</f>
        <v/>
      </c>
      <c r="F359" s="61">
        <f>IFERROR(INDEX(tbl_Finance[Cost Centre],$A359),"")</f>
        <v/>
      </c>
      <c r="G359" s="62">
        <f>IFERROR(INDEX(tbl_Finance[Ex GST],$A359),"")</f>
        <v/>
      </c>
      <c r="H359" s="60">
        <f>IFERROR(INDEX(tbl_Finance[Defer Start],$A359),"")</f>
        <v/>
      </c>
      <c r="I359" s="60">
        <f>IFERROR(INDEX(tbl_Finance[Defer End],$A359),"")</f>
        <v/>
      </c>
      <c r="J359" s="59">
        <f>IF(OR($H359="",$I359="",$G359=""),"",MAX(1,(YEAR($I359)-YEAR($H359))*12+MONTH($I359)-MONTH($H359)+1))</f>
        <v/>
      </c>
      <c r="K359" s="62">
        <f>IF($J359="","",$G359/$J359)</f>
        <v/>
      </c>
      <c r="L359" s="62">
        <f>IF($J359="",0,$K359*MAX(0,MIN(YEAR($C$3)*12+MONTH($C$3),YEAR($I359)*12+MONTH($I359))-(YEAR($H359)*12+MONTH($H359))+1))</f>
        <v/>
      </c>
      <c r="M359" s="62">
        <f>IF($J359="",0,$K359*MAX(0,MIN(YEAR($C$3)*12+MONTH($C$3)-1,YEAR($I359)*12+MONTH($I359))-(YEAR($H359)*12+MONTH($H359))+1))</f>
        <v/>
      </c>
      <c r="N359" s="62">
        <f>IF(OR($J359="",$B359=""),0,IF(YEAR($B359)*12+MONTH($B359)&lt;=YEAR($C$3)*12+MONTH($C$3),$G359,0))</f>
        <v/>
      </c>
      <c r="O359" s="62">
        <f>IF(OR($J359="",$B359=""),0,IF(YEAR($B359)*12+MONTH($B359)&lt;=YEAR($C$3)*12+MONTH($C$3)-1,$G359,0))</f>
        <v/>
      </c>
      <c r="P359" s="62">
        <f>$M359-$O359</f>
        <v/>
      </c>
      <c r="Q359" s="62">
        <f>($L359-$M359)-($N359-$O359)</f>
        <v/>
      </c>
      <c r="R359" s="62">
        <f>$L359-$N359</f>
        <v/>
      </c>
    </row>
    <row r="360">
      <c r="A360" s="59">
        <f>ROW()-5</f>
        <v/>
      </c>
      <c r="B360" s="60">
        <f>IFERROR(INDEX(tbl_Finance[Date],$A360),"")</f>
        <v/>
      </c>
      <c r="C360" s="61">
        <f>IFERROR(INDEX(tbl_Finance[Xero Invoice No],$A360),"")</f>
        <v/>
      </c>
      <c r="D360" s="61">
        <f>IFERROR(INDEX(tbl_Finance[Client],$A360),"")</f>
        <v/>
      </c>
      <c r="E360" s="61">
        <f>IFERROR(INDEX(tbl_Finance[Job Number],$A360),"")</f>
        <v/>
      </c>
      <c r="F360" s="61">
        <f>IFERROR(INDEX(tbl_Finance[Cost Centre],$A360),"")</f>
        <v/>
      </c>
      <c r="G360" s="62">
        <f>IFERROR(INDEX(tbl_Finance[Ex GST],$A360),"")</f>
        <v/>
      </c>
      <c r="H360" s="60">
        <f>IFERROR(INDEX(tbl_Finance[Defer Start],$A360),"")</f>
        <v/>
      </c>
      <c r="I360" s="60">
        <f>IFERROR(INDEX(tbl_Finance[Defer End],$A360),"")</f>
        <v/>
      </c>
      <c r="J360" s="59">
        <f>IF(OR($H360="",$I360="",$G360=""),"",MAX(1,(YEAR($I360)-YEAR($H360))*12+MONTH($I360)-MONTH($H360)+1))</f>
        <v/>
      </c>
      <c r="K360" s="62">
        <f>IF($J360="","",$G360/$J360)</f>
        <v/>
      </c>
      <c r="L360" s="62">
        <f>IF($J360="",0,$K360*MAX(0,MIN(YEAR($C$3)*12+MONTH($C$3),YEAR($I360)*12+MONTH($I360))-(YEAR($H360)*12+MONTH($H360))+1))</f>
        <v/>
      </c>
      <c r="M360" s="62">
        <f>IF($J360="",0,$K360*MAX(0,MIN(YEAR($C$3)*12+MONTH($C$3)-1,YEAR($I360)*12+MONTH($I360))-(YEAR($H360)*12+MONTH($H360))+1))</f>
        <v/>
      </c>
      <c r="N360" s="62">
        <f>IF(OR($J360="",$B360=""),0,IF(YEAR($B360)*12+MONTH($B360)&lt;=YEAR($C$3)*12+MONTH($C$3),$G360,0))</f>
        <v/>
      </c>
      <c r="O360" s="62">
        <f>IF(OR($J360="",$B360=""),0,IF(YEAR($B360)*12+MONTH($B360)&lt;=YEAR($C$3)*12+MONTH($C$3)-1,$G360,0))</f>
        <v/>
      </c>
      <c r="P360" s="62">
        <f>$M360-$O360</f>
        <v/>
      </c>
      <c r="Q360" s="62">
        <f>($L360-$M360)-($N360-$O360)</f>
        <v/>
      </c>
      <c r="R360" s="62">
        <f>$L360-$N360</f>
        <v/>
      </c>
    </row>
    <row r="361">
      <c r="A361" s="59">
        <f>ROW()-5</f>
        <v/>
      </c>
      <c r="B361" s="60">
        <f>IFERROR(INDEX(tbl_Finance[Date],$A361),"")</f>
        <v/>
      </c>
      <c r="C361" s="61">
        <f>IFERROR(INDEX(tbl_Finance[Xero Invoice No],$A361),"")</f>
        <v/>
      </c>
      <c r="D361" s="61">
        <f>IFERROR(INDEX(tbl_Finance[Client],$A361),"")</f>
        <v/>
      </c>
      <c r="E361" s="61">
        <f>IFERROR(INDEX(tbl_Finance[Job Number],$A361),"")</f>
        <v/>
      </c>
      <c r="F361" s="61">
        <f>IFERROR(INDEX(tbl_Finance[Cost Centre],$A361),"")</f>
        <v/>
      </c>
      <c r="G361" s="62">
        <f>IFERROR(INDEX(tbl_Finance[Ex GST],$A361),"")</f>
        <v/>
      </c>
      <c r="H361" s="60">
        <f>IFERROR(INDEX(tbl_Finance[Defer Start],$A361),"")</f>
        <v/>
      </c>
      <c r="I361" s="60">
        <f>IFERROR(INDEX(tbl_Finance[Defer End],$A361),"")</f>
        <v/>
      </c>
      <c r="J361" s="59">
        <f>IF(OR($H361="",$I361="",$G361=""),"",MAX(1,(YEAR($I361)-YEAR($H361))*12+MONTH($I361)-MONTH($H361)+1))</f>
        <v/>
      </c>
      <c r="K361" s="62">
        <f>IF($J361="","",$G361/$J361)</f>
        <v/>
      </c>
      <c r="L361" s="62">
        <f>IF($J361="",0,$K361*MAX(0,MIN(YEAR($C$3)*12+MONTH($C$3),YEAR($I361)*12+MONTH($I361))-(YEAR($H361)*12+MONTH($H361))+1))</f>
        <v/>
      </c>
      <c r="M361" s="62">
        <f>IF($J361="",0,$K361*MAX(0,MIN(YEAR($C$3)*12+MONTH($C$3)-1,YEAR($I361)*12+MONTH($I361))-(YEAR($H361)*12+MONTH($H361))+1))</f>
        <v/>
      </c>
      <c r="N361" s="62">
        <f>IF(OR($J361="",$B361=""),0,IF(YEAR($B361)*12+MONTH($B361)&lt;=YEAR($C$3)*12+MONTH($C$3),$G361,0))</f>
        <v/>
      </c>
      <c r="O361" s="62">
        <f>IF(OR($J361="",$B361=""),0,IF(YEAR($B361)*12+MONTH($B361)&lt;=YEAR($C$3)*12+MONTH($C$3)-1,$G361,0))</f>
        <v/>
      </c>
      <c r="P361" s="62">
        <f>$M361-$O361</f>
        <v/>
      </c>
      <c r="Q361" s="62">
        <f>($L361-$M361)-($N361-$O361)</f>
        <v/>
      </c>
      <c r="R361" s="62">
        <f>$L361-$N361</f>
        <v/>
      </c>
    </row>
    <row r="362">
      <c r="A362" s="59">
        <f>ROW()-5</f>
        <v/>
      </c>
      <c r="B362" s="60">
        <f>IFERROR(INDEX(tbl_Finance[Date],$A362),"")</f>
        <v/>
      </c>
      <c r="C362" s="61">
        <f>IFERROR(INDEX(tbl_Finance[Xero Invoice No],$A362),"")</f>
        <v/>
      </c>
      <c r="D362" s="61">
        <f>IFERROR(INDEX(tbl_Finance[Client],$A362),"")</f>
        <v/>
      </c>
      <c r="E362" s="61">
        <f>IFERROR(INDEX(tbl_Finance[Job Number],$A362),"")</f>
        <v/>
      </c>
      <c r="F362" s="61">
        <f>IFERROR(INDEX(tbl_Finance[Cost Centre],$A362),"")</f>
        <v/>
      </c>
      <c r="G362" s="62">
        <f>IFERROR(INDEX(tbl_Finance[Ex GST],$A362),"")</f>
        <v/>
      </c>
      <c r="H362" s="60">
        <f>IFERROR(INDEX(tbl_Finance[Defer Start],$A362),"")</f>
        <v/>
      </c>
      <c r="I362" s="60">
        <f>IFERROR(INDEX(tbl_Finance[Defer End],$A362),"")</f>
        <v/>
      </c>
      <c r="J362" s="59">
        <f>IF(OR($H362="",$I362="",$G362=""),"",MAX(1,(YEAR($I362)-YEAR($H362))*12+MONTH($I362)-MONTH($H362)+1))</f>
        <v/>
      </c>
      <c r="K362" s="62">
        <f>IF($J362="","",$G362/$J362)</f>
        <v/>
      </c>
      <c r="L362" s="62">
        <f>IF($J362="",0,$K362*MAX(0,MIN(YEAR($C$3)*12+MONTH($C$3),YEAR($I362)*12+MONTH($I362))-(YEAR($H362)*12+MONTH($H362))+1))</f>
        <v/>
      </c>
      <c r="M362" s="62">
        <f>IF($J362="",0,$K362*MAX(0,MIN(YEAR($C$3)*12+MONTH($C$3)-1,YEAR($I362)*12+MONTH($I362))-(YEAR($H362)*12+MONTH($H362))+1))</f>
        <v/>
      </c>
      <c r="N362" s="62">
        <f>IF(OR($J362="",$B362=""),0,IF(YEAR($B362)*12+MONTH($B362)&lt;=YEAR($C$3)*12+MONTH($C$3),$G362,0))</f>
        <v/>
      </c>
      <c r="O362" s="62">
        <f>IF(OR($J362="",$B362=""),0,IF(YEAR($B362)*12+MONTH($B362)&lt;=YEAR($C$3)*12+MONTH($C$3)-1,$G362,0))</f>
        <v/>
      </c>
      <c r="P362" s="62">
        <f>$M362-$O362</f>
        <v/>
      </c>
      <c r="Q362" s="62">
        <f>($L362-$M362)-($N362-$O362)</f>
        <v/>
      </c>
      <c r="R362" s="62">
        <f>$L362-$N362</f>
        <v/>
      </c>
    </row>
    <row r="363">
      <c r="A363" s="59">
        <f>ROW()-5</f>
        <v/>
      </c>
      <c r="B363" s="60">
        <f>IFERROR(INDEX(tbl_Finance[Date],$A363),"")</f>
        <v/>
      </c>
      <c r="C363" s="61">
        <f>IFERROR(INDEX(tbl_Finance[Xero Invoice No],$A363),"")</f>
        <v/>
      </c>
      <c r="D363" s="61">
        <f>IFERROR(INDEX(tbl_Finance[Client],$A363),"")</f>
        <v/>
      </c>
      <c r="E363" s="61">
        <f>IFERROR(INDEX(tbl_Finance[Job Number],$A363),"")</f>
        <v/>
      </c>
      <c r="F363" s="61">
        <f>IFERROR(INDEX(tbl_Finance[Cost Centre],$A363),"")</f>
        <v/>
      </c>
      <c r="G363" s="62">
        <f>IFERROR(INDEX(tbl_Finance[Ex GST],$A363),"")</f>
        <v/>
      </c>
      <c r="H363" s="60">
        <f>IFERROR(INDEX(tbl_Finance[Defer Start],$A363),"")</f>
        <v/>
      </c>
      <c r="I363" s="60">
        <f>IFERROR(INDEX(tbl_Finance[Defer End],$A363),"")</f>
        <v/>
      </c>
      <c r="J363" s="59">
        <f>IF(OR($H363="",$I363="",$G363=""),"",MAX(1,(YEAR($I363)-YEAR($H363))*12+MONTH($I363)-MONTH($H363)+1))</f>
        <v/>
      </c>
      <c r="K363" s="62">
        <f>IF($J363="","",$G363/$J363)</f>
        <v/>
      </c>
      <c r="L363" s="62">
        <f>IF($J363="",0,$K363*MAX(0,MIN(YEAR($C$3)*12+MONTH($C$3),YEAR($I363)*12+MONTH($I363))-(YEAR($H363)*12+MONTH($H363))+1))</f>
        <v/>
      </c>
      <c r="M363" s="62">
        <f>IF($J363="",0,$K363*MAX(0,MIN(YEAR($C$3)*12+MONTH($C$3)-1,YEAR($I363)*12+MONTH($I363))-(YEAR($H363)*12+MONTH($H363))+1))</f>
        <v/>
      </c>
      <c r="N363" s="62">
        <f>IF(OR($J363="",$B363=""),0,IF(YEAR($B363)*12+MONTH($B363)&lt;=YEAR($C$3)*12+MONTH($C$3),$G363,0))</f>
        <v/>
      </c>
      <c r="O363" s="62">
        <f>IF(OR($J363="",$B363=""),0,IF(YEAR($B363)*12+MONTH($B363)&lt;=YEAR($C$3)*12+MONTH($C$3)-1,$G363,0))</f>
        <v/>
      </c>
      <c r="P363" s="62">
        <f>$M363-$O363</f>
        <v/>
      </c>
      <c r="Q363" s="62">
        <f>($L363-$M363)-($N363-$O363)</f>
        <v/>
      </c>
      <c r="R363" s="62">
        <f>$L363-$N363</f>
        <v/>
      </c>
    </row>
    <row r="364">
      <c r="A364" s="59">
        <f>ROW()-5</f>
        <v/>
      </c>
      <c r="B364" s="60">
        <f>IFERROR(INDEX(tbl_Finance[Date],$A364),"")</f>
        <v/>
      </c>
      <c r="C364" s="61">
        <f>IFERROR(INDEX(tbl_Finance[Xero Invoice No],$A364),"")</f>
        <v/>
      </c>
      <c r="D364" s="61">
        <f>IFERROR(INDEX(tbl_Finance[Client],$A364),"")</f>
        <v/>
      </c>
      <c r="E364" s="61">
        <f>IFERROR(INDEX(tbl_Finance[Job Number],$A364),"")</f>
        <v/>
      </c>
      <c r="F364" s="61">
        <f>IFERROR(INDEX(tbl_Finance[Cost Centre],$A364),"")</f>
        <v/>
      </c>
      <c r="G364" s="62">
        <f>IFERROR(INDEX(tbl_Finance[Ex GST],$A364),"")</f>
        <v/>
      </c>
      <c r="H364" s="60">
        <f>IFERROR(INDEX(tbl_Finance[Defer Start],$A364),"")</f>
        <v/>
      </c>
      <c r="I364" s="60">
        <f>IFERROR(INDEX(tbl_Finance[Defer End],$A364),"")</f>
        <v/>
      </c>
      <c r="J364" s="59">
        <f>IF(OR($H364="",$I364="",$G364=""),"",MAX(1,(YEAR($I364)-YEAR($H364))*12+MONTH($I364)-MONTH($H364)+1))</f>
        <v/>
      </c>
      <c r="K364" s="62">
        <f>IF($J364="","",$G364/$J364)</f>
        <v/>
      </c>
      <c r="L364" s="62">
        <f>IF($J364="",0,$K364*MAX(0,MIN(YEAR($C$3)*12+MONTH($C$3),YEAR($I364)*12+MONTH($I364))-(YEAR($H364)*12+MONTH($H364))+1))</f>
        <v/>
      </c>
      <c r="M364" s="62">
        <f>IF($J364="",0,$K364*MAX(0,MIN(YEAR($C$3)*12+MONTH($C$3)-1,YEAR($I364)*12+MONTH($I364))-(YEAR($H364)*12+MONTH($H364))+1))</f>
        <v/>
      </c>
      <c r="N364" s="62">
        <f>IF(OR($J364="",$B364=""),0,IF(YEAR($B364)*12+MONTH($B364)&lt;=YEAR($C$3)*12+MONTH($C$3),$G364,0))</f>
        <v/>
      </c>
      <c r="O364" s="62">
        <f>IF(OR($J364="",$B364=""),0,IF(YEAR($B364)*12+MONTH($B364)&lt;=YEAR($C$3)*12+MONTH($C$3)-1,$G364,0))</f>
        <v/>
      </c>
      <c r="P364" s="62">
        <f>$M364-$O364</f>
        <v/>
      </c>
      <c r="Q364" s="62">
        <f>($L364-$M364)-($N364-$O364)</f>
        <v/>
      </c>
      <c r="R364" s="62">
        <f>$L364-$N364</f>
        <v/>
      </c>
    </row>
    <row r="365">
      <c r="A365" s="59">
        <f>ROW()-5</f>
        <v/>
      </c>
      <c r="B365" s="60">
        <f>IFERROR(INDEX(tbl_Finance[Date],$A365),"")</f>
        <v/>
      </c>
      <c r="C365" s="61">
        <f>IFERROR(INDEX(tbl_Finance[Xero Invoice No],$A365),"")</f>
        <v/>
      </c>
      <c r="D365" s="61">
        <f>IFERROR(INDEX(tbl_Finance[Client],$A365),"")</f>
        <v/>
      </c>
      <c r="E365" s="61">
        <f>IFERROR(INDEX(tbl_Finance[Job Number],$A365),"")</f>
        <v/>
      </c>
      <c r="F365" s="61">
        <f>IFERROR(INDEX(tbl_Finance[Cost Centre],$A365),"")</f>
        <v/>
      </c>
      <c r="G365" s="62">
        <f>IFERROR(INDEX(tbl_Finance[Ex GST],$A365),"")</f>
        <v/>
      </c>
      <c r="H365" s="60">
        <f>IFERROR(INDEX(tbl_Finance[Defer Start],$A365),"")</f>
        <v/>
      </c>
      <c r="I365" s="60">
        <f>IFERROR(INDEX(tbl_Finance[Defer End],$A365),"")</f>
        <v/>
      </c>
      <c r="J365" s="59">
        <f>IF(OR($H365="",$I365="",$G365=""),"",MAX(1,(YEAR($I365)-YEAR($H365))*12+MONTH($I365)-MONTH($H365)+1))</f>
        <v/>
      </c>
      <c r="K365" s="62">
        <f>IF($J365="","",$G365/$J365)</f>
        <v/>
      </c>
      <c r="L365" s="62">
        <f>IF($J365="",0,$K365*MAX(0,MIN(YEAR($C$3)*12+MONTH($C$3),YEAR($I365)*12+MONTH($I365))-(YEAR($H365)*12+MONTH($H365))+1))</f>
        <v/>
      </c>
      <c r="M365" s="62">
        <f>IF($J365="",0,$K365*MAX(0,MIN(YEAR($C$3)*12+MONTH($C$3)-1,YEAR($I365)*12+MONTH($I365))-(YEAR($H365)*12+MONTH($H365))+1))</f>
        <v/>
      </c>
      <c r="N365" s="62">
        <f>IF(OR($J365="",$B365=""),0,IF(YEAR($B365)*12+MONTH($B365)&lt;=YEAR($C$3)*12+MONTH($C$3),$G365,0))</f>
        <v/>
      </c>
      <c r="O365" s="62">
        <f>IF(OR($J365="",$B365=""),0,IF(YEAR($B365)*12+MONTH($B365)&lt;=YEAR($C$3)*12+MONTH($C$3)-1,$G365,0))</f>
        <v/>
      </c>
      <c r="P365" s="62">
        <f>$M365-$O365</f>
        <v/>
      </c>
      <c r="Q365" s="62">
        <f>($L365-$M365)-($N365-$O365)</f>
        <v/>
      </c>
      <c r="R365" s="62">
        <f>$L365-$N365</f>
        <v/>
      </c>
    </row>
    <row r="366">
      <c r="A366" s="59">
        <f>ROW()-5</f>
        <v/>
      </c>
      <c r="B366" s="60">
        <f>IFERROR(INDEX(tbl_Finance[Date],$A366),"")</f>
        <v/>
      </c>
      <c r="C366" s="61">
        <f>IFERROR(INDEX(tbl_Finance[Xero Invoice No],$A366),"")</f>
        <v/>
      </c>
      <c r="D366" s="61">
        <f>IFERROR(INDEX(tbl_Finance[Client],$A366),"")</f>
        <v/>
      </c>
      <c r="E366" s="61">
        <f>IFERROR(INDEX(tbl_Finance[Job Number],$A366),"")</f>
        <v/>
      </c>
      <c r="F366" s="61">
        <f>IFERROR(INDEX(tbl_Finance[Cost Centre],$A366),"")</f>
        <v/>
      </c>
      <c r="G366" s="62">
        <f>IFERROR(INDEX(tbl_Finance[Ex GST],$A366),"")</f>
        <v/>
      </c>
      <c r="H366" s="60">
        <f>IFERROR(INDEX(tbl_Finance[Defer Start],$A366),"")</f>
        <v/>
      </c>
      <c r="I366" s="60">
        <f>IFERROR(INDEX(tbl_Finance[Defer End],$A366),"")</f>
        <v/>
      </c>
      <c r="J366" s="59">
        <f>IF(OR($H366="",$I366="",$G366=""),"",MAX(1,(YEAR($I366)-YEAR($H366))*12+MONTH($I366)-MONTH($H366)+1))</f>
        <v/>
      </c>
      <c r="K366" s="62">
        <f>IF($J366="","",$G366/$J366)</f>
        <v/>
      </c>
      <c r="L366" s="62">
        <f>IF($J366="",0,$K366*MAX(0,MIN(YEAR($C$3)*12+MONTH($C$3),YEAR($I366)*12+MONTH($I366))-(YEAR($H366)*12+MONTH($H366))+1))</f>
        <v/>
      </c>
      <c r="M366" s="62">
        <f>IF($J366="",0,$K366*MAX(0,MIN(YEAR($C$3)*12+MONTH($C$3)-1,YEAR($I366)*12+MONTH($I366))-(YEAR($H366)*12+MONTH($H366))+1))</f>
        <v/>
      </c>
      <c r="N366" s="62">
        <f>IF(OR($J366="",$B366=""),0,IF(YEAR($B366)*12+MONTH($B366)&lt;=YEAR($C$3)*12+MONTH($C$3),$G366,0))</f>
        <v/>
      </c>
      <c r="O366" s="62">
        <f>IF(OR($J366="",$B366=""),0,IF(YEAR($B366)*12+MONTH($B366)&lt;=YEAR($C$3)*12+MONTH($C$3)-1,$G366,0))</f>
        <v/>
      </c>
      <c r="P366" s="62">
        <f>$M366-$O366</f>
        <v/>
      </c>
      <c r="Q366" s="62">
        <f>($L366-$M366)-($N366-$O366)</f>
        <v/>
      </c>
      <c r="R366" s="62">
        <f>$L366-$N366</f>
        <v/>
      </c>
    </row>
    <row r="367">
      <c r="A367" s="59">
        <f>ROW()-5</f>
        <v/>
      </c>
      <c r="B367" s="60">
        <f>IFERROR(INDEX(tbl_Finance[Date],$A367),"")</f>
        <v/>
      </c>
      <c r="C367" s="61">
        <f>IFERROR(INDEX(tbl_Finance[Xero Invoice No],$A367),"")</f>
        <v/>
      </c>
      <c r="D367" s="61">
        <f>IFERROR(INDEX(tbl_Finance[Client],$A367),"")</f>
        <v/>
      </c>
      <c r="E367" s="61">
        <f>IFERROR(INDEX(tbl_Finance[Job Number],$A367),"")</f>
        <v/>
      </c>
      <c r="F367" s="61">
        <f>IFERROR(INDEX(tbl_Finance[Cost Centre],$A367),"")</f>
        <v/>
      </c>
      <c r="G367" s="62">
        <f>IFERROR(INDEX(tbl_Finance[Ex GST],$A367),"")</f>
        <v/>
      </c>
      <c r="H367" s="60">
        <f>IFERROR(INDEX(tbl_Finance[Defer Start],$A367),"")</f>
        <v/>
      </c>
      <c r="I367" s="60">
        <f>IFERROR(INDEX(tbl_Finance[Defer End],$A367),"")</f>
        <v/>
      </c>
      <c r="J367" s="59">
        <f>IF(OR($H367="",$I367="",$G367=""),"",MAX(1,(YEAR($I367)-YEAR($H367))*12+MONTH($I367)-MONTH($H367)+1))</f>
        <v/>
      </c>
      <c r="K367" s="62">
        <f>IF($J367="","",$G367/$J367)</f>
        <v/>
      </c>
      <c r="L367" s="62">
        <f>IF($J367="",0,$K367*MAX(0,MIN(YEAR($C$3)*12+MONTH($C$3),YEAR($I367)*12+MONTH($I367))-(YEAR($H367)*12+MONTH($H367))+1))</f>
        <v/>
      </c>
      <c r="M367" s="62">
        <f>IF($J367="",0,$K367*MAX(0,MIN(YEAR($C$3)*12+MONTH($C$3)-1,YEAR($I367)*12+MONTH($I367))-(YEAR($H367)*12+MONTH($H367))+1))</f>
        <v/>
      </c>
      <c r="N367" s="62">
        <f>IF(OR($J367="",$B367=""),0,IF(YEAR($B367)*12+MONTH($B367)&lt;=YEAR($C$3)*12+MONTH($C$3),$G367,0))</f>
        <v/>
      </c>
      <c r="O367" s="62">
        <f>IF(OR($J367="",$B367=""),0,IF(YEAR($B367)*12+MONTH($B367)&lt;=YEAR($C$3)*12+MONTH($C$3)-1,$G367,0))</f>
        <v/>
      </c>
      <c r="P367" s="62">
        <f>$M367-$O367</f>
        <v/>
      </c>
      <c r="Q367" s="62">
        <f>($L367-$M367)-($N367-$O367)</f>
        <v/>
      </c>
      <c r="R367" s="62">
        <f>$L367-$N367</f>
        <v/>
      </c>
    </row>
    <row r="368">
      <c r="A368" s="59">
        <f>ROW()-5</f>
        <v/>
      </c>
      <c r="B368" s="60">
        <f>IFERROR(INDEX(tbl_Finance[Date],$A368),"")</f>
        <v/>
      </c>
      <c r="C368" s="61">
        <f>IFERROR(INDEX(tbl_Finance[Xero Invoice No],$A368),"")</f>
        <v/>
      </c>
      <c r="D368" s="61">
        <f>IFERROR(INDEX(tbl_Finance[Client],$A368),"")</f>
        <v/>
      </c>
      <c r="E368" s="61">
        <f>IFERROR(INDEX(tbl_Finance[Job Number],$A368),"")</f>
        <v/>
      </c>
      <c r="F368" s="61">
        <f>IFERROR(INDEX(tbl_Finance[Cost Centre],$A368),"")</f>
        <v/>
      </c>
      <c r="G368" s="62">
        <f>IFERROR(INDEX(tbl_Finance[Ex GST],$A368),"")</f>
        <v/>
      </c>
      <c r="H368" s="60">
        <f>IFERROR(INDEX(tbl_Finance[Defer Start],$A368),"")</f>
        <v/>
      </c>
      <c r="I368" s="60">
        <f>IFERROR(INDEX(tbl_Finance[Defer End],$A368),"")</f>
        <v/>
      </c>
      <c r="J368" s="59">
        <f>IF(OR($H368="",$I368="",$G368=""),"",MAX(1,(YEAR($I368)-YEAR($H368))*12+MONTH($I368)-MONTH($H368)+1))</f>
        <v/>
      </c>
      <c r="K368" s="62">
        <f>IF($J368="","",$G368/$J368)</f>
        <v/>
      </c>
      <c r="L368" s="62">
        <f>IF($J368="",0,$K368*MAX(0,MIN(YEAR($C$3)*12+MONTH($C$3),YEAR($I368)*12+MONTH($I368))-(YEAR($H368)*12+MONTH($H368))+1))</f>
        <v/>
      </c>
      <c r="M368" s="62">
        <f>IF($J368="",0,$K368*MAX(0,MIN(YEAR($C$3)*12+MONTH($C$3)-1,YEAR($I368)*12+MONTH($I368))-(YEAR($H368)*12+MONTH($H368))+1))</f>
        <v/>
      </c>
      <c r="N368" s="62">
        <f>IF(OR($J368="",$B368=""),0,IF(YEAR($B368)*12+MONTH($B368)&lt;=YEAR($C$3)*12+MONTH($C$3),$G368,0))</f>
        <v/>
      </c>
      <c r="O368" s="62">
        <f>IF(OR($J368="",$B368=""),0,IF(YEAR($B368)*12+MONTH($B368)&lt;=YEAR($C$3)*12+MONTH($C$3)-1,$G368,0))</f>
        <v/>
      </c>
      <c r="P368" s="62">
        <f>$M368-$O368</f>
        <v/>
      </c>
      <c r="Q368" s="62">
        <f>($L368-$M368)-($N368-$O368)</f>
        <v/>
      </c>
      <c r="R368" s="62">
        <f>$L368-$N368</f>
        <v/>
      </c>
    </row>
    <row r="369">
      <c r="A369" s="59">
        <f>ROW()-5</f>
        <v/>
      </c>
      <c r="B369" s="60">
        <f>IFERROR(INDEX(tbl_Finance[Date],$A369),"")</f>
        <v/>
      </c>
      <c r="C369" s="61">
        <f>IFERROR(INDEX(tbl_Finance[Xero Invoice No],$A369),"")</f>
        <v/>
      </c>
      <c r="D369" s="61">
        <f>IFERROR(INDEX(tbl_Finance[Client],$A369),"")</f>
        <v/>
      </c>
      <c r="E369" s="61">
        <f>IFERROR(INDEX(tbl_Finance[Job Number],$A369),"")</f>
        <v/>
      </c>
      <c r="F369" s="61">
        <f>IFERROR(INDEX(tbl_Finance[Cost Centre],$A369),"")</f>
        <v/>
      </c>
      <c r="G369" s="62">
        <f>IFERROR(INDEX(tbl_Finance[Ex GST],$A369),"")</f>
        <v/>
      </c>
      <c r="H369" s="60">
        <f>IFERROR(INDEX(tbl_Finance[Defer Start],$A369),"")</f>
        <v/>
      </c>
      <c r="I369" s="60">
        <f>IFERROR(INDEX(tbl_Finance[Defer End],$A369),"")</f>
        <v/>
      </c>
      <c r="J369" s="59">
        <f>IF(OR($H369="",$I369="",$G369=""),"",MAX(1,(YEAR($I369)-YEAR($H369))*12+MONTH($I369)-MONTH($H369)+1))</f>
        <v/>
      </c>
      <c r="K369" s="62">
        <f>IF($J369="","",$G369/$J369)</f>
        <v/>
      </c>
      <c r="L369" s="62">
        <f>IF($J369="",0,$K369*MAX(0,MIN(YEAR($C$3)*12+MONTH($C$3),YEAR($I369)*12+MONTH($I369))-(YEAR($H369)*12+MONTH($H369))+1))</f>
        <v/>
      </c>
      <c r="M369" s="62">
        <f>IF($J369="",0,$K369*MAX(0,MIN(YEAR($C$3)*12+MONTH($C$3)-1,YEAR($I369)*12+MONTH($I369))-(YEAR($H369)*12+MONTH($H369))+1))</f>
        <v/>
      </c>
      <c r="N369" s="62">
        <f>IF(OR($J369="",$B369=""),0,IF(YEAR($B369)*12+MONTH($B369)&lt;=YEAR($C$3)*12+MONTH($C$3),$G369,0))</f>
        <v/>
      </c>
      <c r="O369" s="62">
        <f>IF(OR($J369="",$B369=""),0,IF(YEAR($B369)*12+MONTH($B369)&lt;=YEAR($C$3)*12+MONTH($C$3)-1,$G369,0))</f>
        <v/>
      </c>
      <c r="P369" s="62">
        <f>$M369-$O369</f>
        <v/>
      </c>
      <c r="Q369" s="62">
        <f>($L369-$M369)-($N369-$O369)</f>
        <v/>
      </c>
      <c r="R369" s="62">
        <f>$L369-$N369</f>
        <v/>
      </c>
    </row>
    <row r="370">
      <c r="A370" s="59">
        <f>ROW()-5</f>
        <v/>
      </c>
      <c r="B370" s="60">
        <f>IFERROR(INDEX(tbl_Finance[Date],$A370),"")</f>
        <v/>
      </c>
      <c r="C370" s="61">
        <f>IFERROR(INDEX(tbl_Finance[Xero Invoice No],$A370),"")</f>
        <v/>
      </c>
      <c r="D370" s="61">
        <f>IFERROR(INDEX(tbl_Finance[Client],$A370),"")</f>
        <v/>
      </c>
      <c r="E370" s="61">
        <f>IFERROR(INDEX(tbl_Finance[Job Number],$A370),"")</f>
        <v/>
      </c>
      <c r="F370" s="61">
        <f>IFERROR(INDEX(tbl_Finance[Cost Centre],$A370),"")</f>
        <v/>
      </c>
      <c r="G370" s="62">
        <f>IFERROR(INDEX(tbl_Finance[Ex GST],$A370),"")</f>
        <v/>
      </c>
      <c r="H370" s="60">
        <f>IFERROR(INDEX(tbl_Finance[Defer Start],$A370),"")</f>
        <v/>
      </c>
      <c r="I370" s="60">
        <f>IFERROR(INDEX(tbl_Finance[Defer End],$A370),"")</f>
        <v/>
      </c>
      <c r="J370" s="59">
        <f>IF(OR($H370="",$I370="",$G370=""),"",MAX(1,(YEAR($I370)-YEAR($H370))*12+MONTH($I370)-MONTH($H370)+1))</f>
        <v/>
      </c>
      <c r="K370" s="62">
        <f>IF($J370="","",$G370/$J370)</f>
        <v/>
      </c>
      <c r="L370" s="62">
        <f>IF($J370="",0,$K370*MAX(0,MIN(YEAR($C$3)*12+MONTH($C$3),YEAR($I370)*12+MONTH($I370))-(YEAR($H370)*12+MONTH($H370))+1))</f>
        <v/>
      </c>
      <c r="M370" s="62">
        <f>IF($J370="",0,$K370*MAX(0,MIN(YEAR($C$3)*12+MONTH($C$3)-1,YEAR($I370)*12+MONTH($I370))-(YEAR($H370)*12+MONTH($H370))+1))</f>
        <v/>
      </c>
      <c r="N370" s="62">
        <f>IF(OR($J370="",$B370=""),0,IF(YEAR($B370)*12+MONTH($B370)&lt;=YEAR($C$3)*12+MONTH($C$3),$G370,0))</f>
        <v/>
      </c>
      <c r="O370" s="62">
        <f>IF(OR($J370="",$B370=""),0,IF(YEAR($B370)*12+MONTH($B370)&lt;=YEAR($C$3)*12+MONTH($C$3)-1,$G370,0))</f>
        <v/>
      </c>
      <c r="P370" s="62">
        <f>$M370-$O370</f>
        <v/>
      </c>
      <c r="Q370" s="62">
        <f>($L370-$M370)-($N370-$O370)</f>
        <v/>
      </c>
      <c r="R370" s="62">
        <f>$L370-$N370</f>
        <v/>
      </c>
    </row>
    <row r="371">
      <c r="A371" s="59">
        <f>ROW()-5</f>
        <v/>
      </c>
      <c r="B371" s="60">
        <f>IFERROR(INDEX(tbl_Finance[Date],$A371),"")</f>
        <v/>
      </c>
      <c r="C371" s="61">
        <f>IFERROR(INDEX(tbl_Finance[Xero Invoice No],$A371),"")</f>
        <v/>
      </c>
      <c r="D371" s="61">
        <f>IFERROR(INDEX(tbl_Finance[Client],$A371),"")</f>
        <v/>
      </c>
      <c r="E371" s="61">
        <f>IFERROR(INDEX(tbl_Finance[Job Number],$A371),"")</f>
        <v/>
      </c>
      <c r="F371" s="61">
        <f>IFERROR(INDEX(tbl_Finance[Cost Centre],$A371),"")</f>
        <v/>
      </c>
      <c r="G371" s="62">
        <f>IFERROR(INDEX(tbl_Finance[Ex GST],$A371),"")</f>
        <v/>
      </c>
      <c r="H371" s="60">
        <f>IFERROR(INDEX(tbl_Finance[Defer Start],$A371),"")</f>
        <v/>
      </c>
      <c r="I371" s="60">
        <f>IFERROR(INDEX(tbl_Finance[Defer End],$A371),"")</f>
        <v/>
      </c>
      <c r="J371" s="59">
        <f>IF(OR($H371="",$I371="",$G371=""),"",MAX(1,(YEAR($I371)-YEAR($H371))*12+MONTH($I371)-MONTH($H371)+1))</f>
        <v/>
      </c>
      <c r="K371" s="62">
        <f>IF($J371="","",$G371/$J371)</f>
        <v/>
      </c>
      <c r="L371" s="62">
        <f>IF($J371="",0,$K371*MAX(0,MIN(YEAR($C$3)*12+MONTH($C$3),YEAR($I371)*12+MONTH($I371))-(YEAR($H371)*12+MONTH($H371))+1))</f>
        <v/>
      </c>
      <c r="M371" s="62">
        <f>IF($J371="",0,$K371*MAX(0,MIN(YEAR($C$3)*12+MONTH($C$3)-1,YEAR($I371)*12+MONTH($I371))-(YEAR($H371)*12+MONTH($H371))+1))</f>
        <v/>
      </c>
      <c r="N371" s="62">
        <f>IF(OR($J371="",$B371=""),0,IF(YEAR($B371)*12+MONTH($B371)&lt;=YEAR($C$3)*12+MONTH($C$3),$G371,0))</f>
        <v/>
      </c>
      <c r="O371" s="62">
        <f>IF(OR($J371="",$B371=""),0,IF(YEAR($B371)*12+MONTH($B371)&lt;=YEAR($C$3)*12+MONTH($C$3)-1,$G371,0))</f>
        <v/>
      </c>
      <c r="P371" s="62">
        <f>$M371-$O371</f>
        <v/>
      </c>
      <c r="Q371" s="62">
        <f>($L371-$M371)-($N371-$O371)</f>
        <v/>
      </c>
      <c r="R371" s="62">
        <f>$L371-$N371</f>
        <v/>
      </c>
    </row>
    <row r="372">
      <c r="A372" s="59">
        <f>ROW()-5</f>
        <v/>
      </c>
      <c r="B372" s="60">
        <f>IFERROR(INDEX(tbl_Finance[Date],$A372),"")</f>
        <v/>
      </c>
      <c r="C372" s="61">
        <f>IFERROR(INDEX(tbl_Finance[Xero Invoice No],$A372),"")</f>
        <v/>
      </c>
      <c r="D372" s="61">
        <f>IFERROR(INDEX(tbl_Finance[Client],$A372),"")</f>
        <v/>
      </c>
      <c r="E372" s="61">
        <f>IFERROR(INDEX(tbl_Finance[Job Number],$A372),"")</f>
        <v/>
      </c>
      <c r="F372" s="61">
        <f>IFERROR(INDEX(tbl_Finance[Cost Centre],$A372),"")</f>
        <v/>
      </c>
      <c r="G372" s="62">
        <f>IFERROR(INDEX(tbl_Finance[Ex GST],$A372),"")</f>
        <v/>
      </c>
      <c r="H372" s="60">
        <f>IFERROR(INDEX(tbl_Finance[Defer Start],$A372),"")</f>
        <v/>
      </c>
      <c r="I372" s="60">
        <f>IFERROR(INDEX(tbl_Finance[Defer End],$A372),"")</f>
        <v/>
      </c>
      <c r="J372" s="59">
        <f>IF(OR($H372="",$I372="",$G372=""),"",MAX(1,(YEAR($I372)-YEAR($H372))*12+MONTH($I372)-MONTH($H372)+1))</f>
        <v/>
      </c>
      <c r="K372" s="62">
        <f>IF($J372="","",$G372/$J372)</f>
        <v/>
      </c>
      <c r="L372" s="62">
        <f>IF($J372="",0,$K372*MAX(0,MIN(YEAR($C$3)*12+MONTH($C$3),YEAR($I372)*12+MONTH($I372))-(YEAR($H372)*12+MONTH($H372))+1))</f>
        <v/>
      </c>
      <c r="M372" s="62">
        <f>IF($J372="",0,$K372*MAX(0,MIN(YEAR($C$3)*12+MONTH($C$3)-1,YEAR($I372)*12+MONTH($I372))-(YEAR($H372)*12+MONTH($H372))+1))</f>
        <v/>
      </c>
      <c r="N372" s="62">
        <f>IF(OR($J372="",$B372=""),0,IF(YEAR($B372)*12+MONTH($B372)&lt;=YEAR($C$3)*12+MONTH($C$3),$G372,0))</f>
        <v/>
      </c>
      <c r="O372" s="62">
        <f>IF(OR($J372="",$B372=""),0,IF(YEAR($B372)*12+MONTH($B372)&lt;=YEAR($C$3)*12+MONTH($C$3)-1,$G372,0))</f>
        <v/>
      </c>
      <c r="P372" s="62">
        <f>$M372-$O372</f>
        <v/>
      </c>
      <c r="Q372" s="62">
        <f>($L372-$M372)-($N372-$O372)</f>
        <v/>
      </c>
      <c r="R372" s="62">
        <f>$L372-$N372</f>
        <v/>
      </c>
    </row>
    <row r="373">
      <c r="A373" s="59">
        <f>ROW()-5</f>
        <v/>
      </c>
      <c r="B373" s="60">
        <f>IFERROR(INDEX(tbl_Finance[Date],$A373),"")</f>
        <v/>
      </c>
      <c r="C373" s="61">
        <f>IFERROR(INDEX(tbl_Finance[Xero Invoice No],$A373),"")</f>
        <v/>
      </c>
      <c r="D373" s="61">
        <f>IFERROR(INDEX(tbl_Finance[Client],$A373),"")</f>
        <v/>
      </c>
      <c r="E373" s="61">
        <f>IFERROR(INDEX(tbl_Finance[Job Number],$A373),"")</f>
        <v/>
      </c>
      <c r="F373" s="61">
        <f>IFERROR(INDEX(tbl_Finance[Cost Centre],$A373),"")</f>
        <v/>
      </c>
      <c r="G373" s="62">
        <f>IFERROR(INDEX(tbl_Finance[Ex GST],$A373),"")</f>
        <v/>
      </c>
      <c r="H373" s="60">
        <f>IFERROR(INDEX(tbl_Finance[Defer Start],$A373),"")</f>
        <v/>
      </c>
      <c r="I373" s="60">
        <f>IFERROR(INDEX(tbl_Finance[Defer End],$A373),"")</f>
        <v/>
      </c>
      <c r="J373" s="59">
        <f>IF(OR($H373="",$I373="",$G373=""),"",MAX(1,(YEAR($I373)-YEAR($H373))*12+MONTH($I373)-MONTH($H373)+1))</f>
        <v/>
      </c>
      <c r="K373" s="62">
        <f>IF($J373="","",$G373/$J373)</f>
        <v/>
      </c>
      <c r="L373" s="62">
        <f>IF($J373="",0,$K373*MAX(0,MIN(YEAR($C$3)*12+MONTH($C$3),YEAR($I373)*12+MONTH($I373))-(YEAR($H373)*12+MONTH($H373))+1))</f>
        <v/>
      </c>
      <c r="M373" s="62">
        <f>IF($J373="",0,$K373*MAX(0,MIN(YEAR($C$3)*12+MONTH($C$3)-1,YEAR($I373)*12+MONTH($I373))-(YEAR($H373)*12+MONTH($H373))+1))</f>
        <v/>
      </c>
      <c r="N373" s="62">
        <f>IF(OR($J373="",$B373=""),0,IF(YEAR($B373)*12+MONTH($B373)&lt;=YEAR($C$3)*12+MONTH($C$3),$G373,0))</f>
        <v/>
      </c>
      <c r="O373" s="62">
        <f>IF(OR($J373="",$B373=""),0,IF(YEAR($B373)*12+MONTH($B373)&lt;=YEAR($C$3)*12+MONTH($C$3)-1,$G373,0))</f>
        <v/>
      </c>
      <c r="P373" s="62">
        <f>$M373-$O373</f>
        <v/>
      </c>
      <c r="Q373" s="62">
        <f>($L373-$M373)-($N373-$O373)</f>
        <v/>
      </c>
      <c r="R373" s="62">
        <f>$L373-$N373</f>
        <v/>
      </c>
    </row>
    <row r="374">
      <c r="A374" s="59">
        <f>ROW()-5</f>
        <v/>
      </c>
      <c r="B374" s="60">
        <f>IFERROR(INDEX(tbl_Finance[Date],$A374),"")</f>
        <v/>
      </c>
      <c r="C374" s="61">
        <f>IFERROR(INDEX(tbl_Finance[Xero Invoice No],$A374),"")</f>
        <v/>
      </c>
      <c r="D374" s="61">
        <f>IFERROR(INDEX(tbl_Finance[Client],$A374),"")</f>
        <v/>
      </c>
      <c r="E374" s="61">
        <f>IFERROR(INDEX(tbl_Finance[Job Number],$A374),"")</f>
        <v/>
      </c>
      <c r="F374" s="61">
        <f>IFERROR(INDEX(tbl_Finance[Cost Centre],$A374),"")</f>
        <v/>
      </c>
      <c r="G374" s="62">
        <f>IFERROR(INDEX(tbl_Finance[Ex GST],$A374),"")</f>
        <v/>
      </c>
      <c r="H374" s="60">
        <f>IFERROR(INDEX(tbl_Finance[Defer Start],$A374),"")</f>
        <v/>
      </c>
      <c r="I374" s="60">
        <f>IFERROR(INDEX(tbl_Finance[Defer End],$A374),"")</f>
        <v/>
      </c>
      <c r="J374" s="59">
        <f>IF(OR($H374="",$I374="",$G374=""),"",MAX(1,(YEAR($I374)-YEAR($H374))*12+MONTH($I374)-MONTH($H374)+1))</f>
        <v/>
      </c>
      <c r="K374" s="62">
        <f>IF($J374="","",$G374/$J374)</f>
        <v/>
      </c>
      <c r="L374" s="62">
        <f>IF($J374="",0,$K374*MAX(0,MIN(YEAR($C$3)*12+MONTH($C$3),YEAR($I374)*12+MONTH($I374))-(YEAR($H374)*12+MONTH($H374))+1))</f>
        <v/>
      </c>
      <c r="M374" s="62">
        <f>IF($J374="",0,$K374*MAX(0,MIN(YEAR($C$3)*12+MONTH($C$3)-1,YEAR($I374)*12+MONTH($I374))-(YEAR($H374)*12+MONTH($H374))+1))</f>
        <v/>
      </c>
      <c r="N374" s="62">
        <f>IF(OR($J374="",$B374=""),0,IF(YEAR($B374)*12+MONTH($B374)&lt;=YEAR($C$3)*12+MONTH($C$3),$G374,0))</f>
        <v/>
      </c>
      <c r="O374" s="62">
        <f>IF(OR($J374="",$B374=""),0,IF(YEAR($B374)*12+MONTH($B374)&lt;=YEAR($C$3)*12+MONTH($C$3)-1,$G374,0))</f>
        <v/>
      </c>
      <c r="P374" s="62">
        <f>$M374-$O374</f>
        <v/>
      </c>
      <c r="Q374" s="62">
        <f>($L374-$M374)-($N374-$O374)</f>
        <v/>
      </c>
      <c r="R374" s="62">
        <f>$L374-$N374</f>
        <v/>
      </c>
    </row>
    <row r="375">
      <c r="A375" s="59">
        <f>ROW()-5</f>
        <v/>
      </c>
      <c r="B375" s="60">
        <f>IFERROR(INDEX(tbl_Finance[Date],$A375),"")</f>
        <v/>
      </c>
      <c r="C375" s="61">
        <f>IFERROR(INDEX(tbl_Finance[Xero Invoice No],$A375),"")</f>
        <v/>
      </c>
      <c r="D375" s="61">
        <f>IFERROR(INDEX(tbl_Finance[Client],$A375),"")</f>
        <v/>
      </c>
      <c r="E375" s="61">
        <f>IFERROR(INDEX(tbl_Finance[Job Number],$A375),"")</f>
        <v/>
      </c>
      <c r="F375" s="61">
        <f>IFERROR(INDEX(tbl_Finance[Cost Centre],$A375),"")</f>
        <v/>
      </c>
      <c r="G375" s="62">
        <f>IFERROR(INDEX(tbl_Finance[Ex GST],$A375),"")</f>
        <v/>
      </c>
      <c r="H375" s="60">
        <f>IFERROR(INDEX(tbl_Finance[Defer Start],$A375),"")</f>
        <v/>
      </c>
      <c r="I375" s="60">
        <f>IFERROR(INDEX(tbl_Finance[Defer End],$A375),"")</f>
        <v/>
      </c>
      <c r="J375" s="59">
        <f>IF(OR($H375="",$I375="",$G375=""),"",MAX(1,(YEAR($I375)-YEAR($H375))*12+MONTH($I375)-MONTH($H375)+1))</f>
        <v/>
      </c>
      <c r="K375" s="62">
        <f>IF($J375="","",$G375/$J375)</f>
        <v/>
      </c>
      <c r="L375" s="62">
        <f>IF($J375="",0,$K375*MAX(0,MIN(YEAR($C$3)*12+MONTH($C$3),YEAR($I375)*12+MONTH($I375))-(YEAR($H375)*12+MONTH($H375))+1))</f>
        <v/>
      </c>
      <c r="M375" s="62">
        <f>IF($J375="",0,$K375*MAX(0,MIN(YEAR($C$3)*12+MONTH($C$3)-1,YEAR($I375)*12+MONTH($I375))-(YEAR($H375)*12+MONTH($H375))+1))</f>
        <v/>
      </c>
      <c r="N375" s="62">
        <f>IF(OR($J375="",$B375=""),0,IF(YEAR($B375)*12+MONTH($B375)&lt;=YEAR($C$3)*12+MONTH($C$3),$G375,0))</f>
        <v/>
      </c>
      <c r="O375" s="62">
        <f>IF(OR($J375="",$B375=""),0,IF(YEAR($B375)*12+MONTH($B375)&lt;=YEAR($C$3)*12+MONTH($C$3)-1,$G375,0))</f>
        <v/>
      </c>
      <c r="P375" s="62">
        <f>$M375-$O375</f>
        <v/>
      </c>
      <c r="Q375" s="62">
        <f>($L375-$M375)-($N375-$O375)</f>
        <v/>
      </c>
      <c r="R375" s="62">
        <f>$L375-$N375</f>
        <v/>
      </c>
    </row>
    <row r="376">
      <c r="A376" s="59">
        <f>ROW()-5</f>
        <v/>
      </c>
      <c r="B376" s="60">
        <f>IFERROR(INDEX(tbl_Finance[Date],$A376),"")</f>
        <v/>
      </c>
      <c r="C376" s="61">
        <f>IFERROR(INDEX(tbl_Finance[Xero Invoice No],$A376),"")</f>
        <v/>
      </c>
      <c r="D376" s="61">
        <f>IFERROR(INDEX(tbl_Finance[Client],$A376),"")</f>
        <v/>
      </c>
      <c r="E376" s="61">
        <f>IFERROR(INDEX(tbl_Finance[Job Number],$A376),"")</f>
        <v/>
      </c>
      <c r="F376" s="61">
        <f>IFERROR(INDEX(tbl_Finance[Cost Centre],$A376),"")</f>
        <v/>
      </c>
      <c r="G376" s="62">
        <f>IFERROR(INDEX(tbl_Finance[Ex GST],$A376),"")</f>
        <v/>
      </c>
      <c r="H376" s="60">
        <f>IFERROR(INDEX(tbl_Finance[Defer Start],$A376),"")</f>
        <v/>
      </c>
      <c r="I376" s="60">
        <f>IFERROR(INDEX(tbl_Finance[Defer End],$A376),"")</f>
        <v/>
      </c>
      <c r="J376" s="59">
        <f>IF(OR($H376="",$I376="",$G376=""),"",MAX(1,(YEAR($I376)-YEAR($H376))*12+MONTH($I376)-MONTH($H376)+1))</f>
        <v/>
      </c>
      <c r="K376" s="62">
        <f>IF($J376="","",$G376/$J376)</f>
        <v/>
      </c>
      <c r="L376" s="62">
        <f>IF($J376="",0,$K376*MAX(0,MIN(YEAR($C$3)*12+MONTH($C$3),YEAR($I376)*12+MONTH($I376))-(YEAR($H376)*12+MONTH($H376))+1))</f>
        <v/>
      </c>
      <c r="M376" s="62">
        <f>IF($J376="",0,$K376*MAX(0,MIN(YEAR($C$3)*12+MONTH($C$3)-1,YEAR($I376)*12+MONTH($I376))-(YEAR($H376)*12+MONTH($H376))+1))</f>
        <v/>
      </c>
      <c r="N376" s="62">
        <f>IF(OR($J376="",$B376=""),0,IF(YEAR($B376)*12+MONTH($B376)&lt;=YEAR($C$3)*12+MONTH($C$3),$G376,0))</f>
        <v/>
      </c>
      <c r="O376" s="62">
        <f>IF(OR($J376="",$B376=""),0,IF(YEAR($B376)*12+MONTH($B376)&lt;=YEAR($C$3)*12+MONTH($C$3)-1,$G376,0))</f>
        <v/>
      </c>
      <c r="P376" s="62">
        <f>$M376-$O376</f>
        <v/>
      </c>
      <c r="Q376" s="62">
        <f>($L376-$M376)-($N376-$O376)</f>
        <v/>
      </c>
      <c r="R376" s="62">
        <f>$L376-$N376</f>
        <v/>
      </c>
    </row>
    <row r="377">
      <c r="A377" s="59">
        <f>ROW()-5</f>
        <v/>
      </c>
      <c r="B377" s="60">
        <f>IFERROR(INDEX(tbl_Finance[Date],$A377),"")</f>
        <v/>
      </c>
      <c r="C377" s="61">
        <f>IFERROR(INDEX(tbl_Finance[Xero Invoice No],$A377),"")</f>
        <v/>
      </c>
      <c r="D377" s="61">
        <f>IFERROR(INDEX(tbl_Finance[Client],$A377),"")</f>
        <v/>
      </c>
      <c r="E377" s="61">
        <f>IFERROR(INDEX(tbl_Finance[Job Number],$A377),"")</f>
        <v/>
      </c>
      <c r="F377" s="61">
        <f>IFERROR(INDEX(tbl_Finance[Cost Centre],$A377),"")</f>
        <v/>
      </c>
      <c r="G377" s="62">
        <f>IFERROR(INDEX(tbl_Finance[Ex GST],$A377),"")</f>
        <v/>
      </c>
      <c r="H377" s="60">
        <f>IFERROR(INDEX(tbl_Finance[Defer Start],$A377),"")</f>
        <v/>
      </c>
      <c r="I377" s="60">
        <f>IFERROR(INDEX(tbl_Finance[Defer End],$A377),"")</f>
        <v/>
      </c>
      <c r="J377" s="59">
        <f>IF(OR($H377="",$I377="",$G377=""),"",MAX(1,(YEAR($I377)-YEAR($H377))*12+MONTH($I377)-MONTH($H377)+1))</f>
        <v/>
      </c>
      <c r="K377" s="62">
        <f>IF($J377="","",$G377/$J377)</f>
        <v/>
      </c>
      <c r="L377" s="62">
        <f>IF($J377="",0,$K377*MAX(0,MIN(YEAR($C$3)*12+MONTH($C$3),YEAR($I377)*12+MONTH($I377))-(YEAR($H377)*12+MONTH($H377))+1))</f>
        <v/>
      </c>
      <c r="M377" s="62">
        <f>IF($J377="",0,$K377*MAX(0,MIN(YEAR($C$3)*12+MONTH($C$3)-1,YEAR($I377)*12+MONTH($I377))-(YEAR($H377)*12+MONTH($H377))+1))</f>
        <v/>
      </c>
      <c r="N377" s="62">
        <f>IF(OR($J377="",$B377=""),0,IF(YEAR($B377)*12+MONTH($B377)&lt;=YEAR($C$3)*12+MONTH($C$3),$G377,0))</f>
        <v/>
      </c>
      <c r="O377" s="62">
        <f>IF(OR($J377="",$B377=""),0,IF(YEAR($B377)*12+MONTH($B377)&lt;=YEAR($C$3)*12+MONTH($C$3)-1,$G377,0))</f>
        <v/>
      </c>
      <c r="P377" s="62">
        <f>$M377-$O377</f>
        <v/>
      </c>
      <c r="Q377" s="62">
        <f>($L377-$M377)-($N377-$O377)</f>
        <v/>
      </c>
      <c r="R377" s="62">
        <f>$L377-$N377</f>
        <v/>
      </c>
    </row>
    <row r="378">
      <c r="A378" s="59">
        <f>ROW()-5</f>
        <v/>
      </c>
      <c r="B378" s="60">
        <f>IFERROR(INDEX(tbl_Finance[Date],$A378),"")</f>
        <v/>
      </c>
      <c r="C378" s="61">
        <f>IFERROR(INDEX(tbl_Finance[Xero Invoice No],$A378),"")</f>
        <v/>
      </c>
      <c r="D378" s="61">
        <f>IFERROR(INDEX(tbl_Finance[Client],$A378),"")</f>
        <v/>
      </c>
      <c r="E378" s="61">
        <f>IFERROR(INDEX(tbl_Finance[Job Number],$A378),"")</f>
        <v/>
      </c>
      <c r="F378" s="61">
        <f>IFERROR(INDEX(tbl_Finance[Cost Centre],$A378),"")</f>
        <v/>
      </c>
      <c r="G378" s="62">
        <f>IFERROR(INDEX(tbl_Finance[Ex GST],$A378),"")</f>
        <v/>
      </c>
      <c r="H378" s="60">
        <f>IFERROR(INDEX(tbl_Finance[Defer Start],$A378),"")</f>
        <v/>
      </c>
      <c r="I378" s="60">
        <f>IFERROR(INDEX(tbl_Finance[Defer End],$A378),"")</f>
        <v/>
      </c>
      <c r="J378" s="59">
        <f>IF(OR($H378="",$I378="",$G378=""),"",MAX(1,(YEAR($I378)-YEAR($H378))*12+MONTH($I378)-MONTH($H378)+1))</f>
        <v/>
      </c>
      <c r="K378" s="62">
        <f>IF($J378="","",$G378/$J378)</f>
        <v/>
      </c>
      <c r="L378" s="62">
        <f>IF($J378="",0,$K378*MAX(0,MIN(YEAR($C$3)*12+MONTH($C$3),YEAR($I378)*12+MONTH($I378))-(YEAR($H378)*12+MONTH($H378))+1))</f>
        <v/>
      </c>
      <c r="M378" s="62">
        <f>IF($J378="",0,$K378*MAX(0,MIN(YEAR($C$3)*12+MONTH($C$3)-1,YEAR($I378)*12+MONTH($I378))-(YEAR($H378)*12+MONTH($H378))+1))</f>
        <v/>
      </c>
      <c r="N378" s="62">
        <f>IF(OR($J378="",$B378=""),0,IF(YEAR($B378)*12+MONTH($B378)&lt;=YEAR($C$3)*12+MONTH($C$3),$G378,0))</f>
        <v/>
      </c>
      <c r="O378" s="62">
        <f>IF(OR($J378="",$B378=""),0,IF(YEAR($B378)*12+MONTH($B378)&lt;=YEAR($C$3)*12+MONTH($C$3)-1,$G378,0))</f>
        <v/>
      </c>
      <c r="P378" s="62">
        <f>$M378-$O378</f>
        <v/>
      </c>
      <c r="Q378" s="62">
        <f>($L378-$M378)-($N378-$O378)</f>
        <v/>
      </c>
      <c r="R378" s="62">
        <f>$L378-$N378</f>
        <v/>
      </c>
    </row>
    <row r="379">
      <c r="A379" s="59">
        <f>ROW()-5</f>
        <v/>
      </c>
      <c r="B379" s="60">
        <f>IFERROR(INDEX(tbl_Finance[Date],$A379),"")</f>
        <v/>
      </c>
      <c r="C379" s="61">
        <f>IFERROR(INDEX(tbl_Finance[Xero Invoice No],$A379),"")</f>
        <v/>
      </c>
      <c r="D379" s="61">
        <f>IFERROR(INDEX(tbl_Finance[Client],$A379),"")</f>
        <v/>
      </c>
      <c r="E379" s="61">
        <f>IFERROR(INDEX(tbl_Finance[Job Number],$A379),"")</f>
        <v/>
      </c>
      <c r="F379" s="61">
        <f>IFERROR(INDEX(tbl_Finance[Cost Centre],$A379),"")</f>
        <v/>
      </c>
      <c r="G379" s="62">
        <f>IFERROR(INDEX(tbl_Finance[Ex GST],$A379),"")</f>
        <v/>
      </c>
      <c r="H379" s="60">
        <f>IFERROR(INDEX(tbl_Finance[Defer Start],$A379),"")</f>
        <v/>
      </c>
      <c r="I379" s="60">
        <f>IFERROR(INDEX(tbl_Finance[Defer End],$A379),"")</f>
        <v/>
      </c>
      <c r="J379" s="59">
        <f>IF(OR($H379="",$I379="",$G379=""),"",MAX(1,(YEAR($I379)-YEAR($H379))*12+MONTH($I379)-MONTH($H379)+1))</f>
        <v/>
      </c>
      <c r="K379" s="62">
        <f>IF($J379="","",$G379/$J379)</f>
        <v/>
      </c>
      <c r="L379" s="62">
        <f>IF($J379="",0,$K379*MAX(0,MIN(YEAR($C$3)*12+MONTH($C$3),YEAR($I379)*12+MONTH($I379))-(YEAR($H379)*12+MONTH($H379))+1))</f>
        <v/>
      </c>
      <c r="M379" s="62">
        <f>IF($J379="",0,$K379*MAX(0,MIN(YEAR($C$3)*12+MONTH($C$3)-1,YEAR($I379)*12+MONTH($I379))-(YEAR($H379)*12+MONTH($H379))+1))</f>
        <v/>
      </c>
      <c r="N379" s="62">
        <f>IF(OR($J379="",$B379=""),0,IF(YEAR($B379)*12+MONTH($B379)&lt;=YEAR($C$3)*12+MONTH($C$3),$G379,0))</f>
        <v/>
      </c>
      <c r="O379" s="62">
        <f>IF(OR($J379="",$B379=""),0,IF(YEAR($B379)*12+MONTH($B379)&lt;=YEAR($C$3)*12+MONTH($C$3)-1,$G379,0))</f>
        <v/>
      </c>
      <c r="P379" s="62">
        <f>$M379-$O379</f>
        <v/>
      </c>
      <c r="Q379" s="62">
        <f>($L379-$M379)-($N379-$O379)</f>
        <v/>
      </c>
      <c r="R379" s="62">
        <f>$L379-$N379</f>
        <v/>
      </c>
    </row>
    <row r="380">
      <c r="A380" s="59">
        <f>ROW()-5</f>
        <v/>
      </c>
      <c r="B380" s="60">
        <f>IFERROR(INDEX(tbl_Finance[Date],$A380),"")</f>
        <v/>
      </c>
      <c r="C380" s="61">
        <f>IFERROR(INDEX(tbl_Finance[Xero Invoice No],$A380),"")</f>
        <v/>
      </c>
      <c r="D380" s="61">
        <f>IFERROR(INDEX(tbl_Finance[Client],$A380),"")</f>
        <v/>
      </c>
      <c r="E380" s="61">
        <f>IFERROR(INDEX(tbl_Finance[Job Number],$A380),"")</f>
        <v/>
      </c>
      <c r="F380" s="61">
        <f>IFERROR(INDEX(tbl_Finance[Cost Centre],$A380),"")</f>
        <v/>
      </c>
      <c r="G380" s="62">
        <f>IFERROR(INDEX(tbl_Finance[Ex GST],$A380),"")</f>
        <v/>
      </c>
      <c r="H380" s="60">
        <f>IFERROR(INDEX(tbl_Finance[Defer Start],$A380),"")</f>
        <v/>
      </c>
      <c r="I380" s="60">
        <f>IFERROR(INDEX(tbl_Finance[Defer End],$A380),"")</f>
        <v/>
      </c>
      <c r="J380" s="59">
        <f>IF(OR($H380="",$I380="",$G380=""),"",MAX(1,(YEAR($I380)-YEAR($H380))*12+MONTH($I380)-MONTH($H380)+1))</f>
        <v/>
      </c>
      <c r="K380" s="62">
        <f>IF($J380="","",$G380/$J380)</f>
        <v/>
      </c>
      <c r="L380" s="62">
        <f>IF($J380="",0,$K380*MAX(0,MIN(YEAR($C$3)*12+MONTH($C$3),YEAR($I380)*12+MONTH($I380))-(YEAR($H380)*12+MONTH($H380))+1))</f>
        <v/>
      </c>
      <c r="M380" s="62">
        <f>IF($J380="",0,$K380*MAX(0,MIN(YEAR($C$3)*12+MONTH($C$3)-1,YEAR($I380)*12+MONTH($I380))-(YEAR($H380)*12+MONTH($H380))+1))</f>
        <v/>
      </c>
      <c r="N380" s="62">
        <f>IF(OR($J380="",$B380=""),0,IF(YEAR($B380)*12+MONTH($B380)&lt;=YEAR($C$3)*12+MONTH($C$3),$G380,0))</f>
        <v/>
      </c>
      <c r="O380" s="62">
        <f>IF(OR($J380="",$B380=""),0,IF(YEAR($B380)*12+MONTH($B380)&lt;=YEAR($C$3)*12+MONTH($C$3)-1,$G380,0))</f>
        <v/>
      </c>
      <c r="P380" s="62">
        <f>$M380-$O380</f>
        <v/>
      </c>
      <c r="Q380" s="62">
        <f>($L380-$M380)-($N380-$O380)</f>
        <v/>
      </c>
      <c r="R380" s="62">
        <f>$L380-$N380</f>
        <v/>
      </c>
    </row>
    <row r="381">
      <c r="A381" s="59">
        <f>ROW()-5</f>
        <v/>
      </c>
      <c r="B381" s="60">
        <f>IFERROR(INDEX(tbl_Finance[Date],$A381),"")</f>
        <v/>
      </c>
      <c r="C381" s="61">
        <f>IFERROR(INDEX(tbl_Finance[Xero Invoice No],$A381),"")</f>
        <v/>
      </c>
      <c r="D381" s="61">
        <f>IFERROR(INDEX(tbl_Finance[Client],$A381),"")</f>
        <v/>
      </c>
      <c r="E381" s="61">
        <f>IFERROR(INDEX(tbl_Finance[Job Number],$A381),"")</f>
        <v/>
      </c>
      <c r="F381" s="61">
        <f>IFERROR(INDEX(tbl_Finance[Cost Centre],$A381),"")</f>
        <v/>
      </c>
      <c r="G381" s="62">
        <f>IFERROR(INDEX(tbl_Finance[Ex GST],$A381),"")</f>
        <v/>
      </c>
      <c r="H381" s="60">
        <f>IFERROR(INDEX(tbl_Finance[Defer Start],$A381),"")</f>
        <v/>
      </c>
      <c r="I381" s="60">
        <f>IFERROR(INDEX(tbl_Finance[Defer End],$A381),"")</f>
        <v/>
      </c>
      <c r="J381" s="59">
        <f>IF(OR($H381="",$I381="",$G381=""),"",MAX(1,(YEAR($I381)-YEAR($H381))*12+MONTH($I381)-MONTH($H381)+1))</f>
        <v/>
      </c>
      <c r="K381" s="62">
        <f>IF($J381="","",$G381/$J381)</f>
        <v/>
      </c>
      <c r="L381" s="62">
        <f>IF($J381="",0,$K381*MAX(0,MIN(YEAR($C$3)*12+MONTH($C$3),YEAR($I381)*12+MONTH($I381))-(YEAR($H381)*12+MONTH($H381))+1))</f>
        <v/>
      </c>
      <c r="M381" s="62">
        <f>IF($J381="",0,$K381*MAX(0,MIN(YEAR($C$3)*12+MONTH($C$3)-1,YEAR($I381)*12+MONTH($I381))-(YEAR($H381)*12+MONTH($H381))+1))</f>
        <v/>
      </c>
      <c r="N381" s="62">
        <f>IF(OR($J381="",$B381=""),0,IF(YEAR($B381)*12+MONTH($B381)&lt;=YEAR($C$3)*12+MONTH($C$3),$G381,0))</f>
        <v/>
      </c>
      <c r="O381" s="62">
        <f>IF(OR($J381="",$B381=""),0,IF(YEAR($B381)*12+MONTH($B381)&lt;=YEAR($C$3)*12+MONTH($C$3)-1,$G381,0))</f>
        <v/>
      </c>
      <c r="P381" s="62">
        <f>$M381-$O381</f>
        <v/>
      </c>
      <c r="Q381" s="62">
        <f>($L381-$M381)-($N381-$O381)</f>
        <v/>
      </c>
      <c r="R381" s="62">
        <f>$L381-$N381</f>
        <v/>
      </c>
    </row>
    <row r="382">
      <c r="A382" s="59">
        <f>ROW()-5</f>
        <v/>
      </c>
      <c r="B382" s="60">
        <f>IFERROR(INDEX(tbl_Finance[Date],$A382),"")</f>
        <v/>
      </c>
      <c r="C382" s="61">
        <f>IFERROR(INDEX(tbl_Finance[Xero Invoice No],$A382),"")</f>
        <v/>
      </c>
      <c r="D382" s="61">
        <f>IFERROR(INDEX(tbl_Finance[Client],$A382),"")</f>
        <v/>
      </c>
      <c r="E382" s="61">
        <f>IFERROR(INDEX(tbl_Finance[Job Number],$A382),"")</f>
        <v/>
      </c>
      <c r="F382" s="61">
        <f>IFERROR(INDEX(tbl_Finance[Cost Centre],$A382),"")</f>
        <v/>
      </c>
      <c r="G382" s="62">
        <f>IFERROR(INDEX(tbl_Finance[Ex GST],$A382),"")</f>
        <v/>
      </c>
      <c r="H382" s="60">
        <f>IFERROR(INDEX(tbl_Finance[Defer Start],$A382),"")</f>
        <v/>
      </c>
      <c r="I382" s="60">
        <f>IFERROR(INDEX(tbl_Finance[Defer End],$A382),"")</f>
        <v/>
      </c>
      <c r="J382" s="59">
        <f>IF(OR($H382="",$I382="",$G382=""),"",MAX(1,(YEAR($I382)-YEAR($H382))*12+MONTH($I382)-MONTH($H382)+1))</f>
        <v/>
      </c>
      <c r="K382" s="62">
        <f>IF($J382="","",$G382/$J382)</f>
        <v/>
      </c>
      <c r="L382" s="62">
        <f>IF($J382="",0,$K382*MAX(0,MIN(YEAR($C$3)*12+MONTH($C$3),YEAR($I382)*12+MONTH($I382))-(YEAR($H382)*12+MONTH($H382))+1))</f>
        <v/>
      </c>
      <c r="M382" s="62">
        <f>IF($J382="",0,$K382*MAX(0,MIN(YEAR($C$3)*12+MONTH($C$3)-1,YEAR($I382)*12+MONTH($I382))-(YEAR($H382)*12+MONTH($H382))+1))</f>
        <v/>
      </c>
      <c r="N382" s="62">
        <f>IF(OR($J382="",$B382=""),0,IF(YEAR($B382)*12+MONTH($B382)&lt;=YEAR($C$3)*12+MONTH($C$3),$G382,0))</f>
        <v/>
      </c>
      <c r="O382" s="62">
        <f>IF(OR($J382="",$B382=""),0,IF(YEAR($B382)*12+MONTH($B382)&lt;=YEAR($C$3)*12+MONTH($C$3)-1,$G382,0))</f>
        <v/>
      </c>
      <c r="P382" s="62">
        <f>$M382-$O382</f>
        <v/>
      </c>
      <c r="Q382" s="62">
        <f>($L382-$M382)-($N382-$O382)</f>
        <v/>
      </c>
      <c r="R382" s="62">
        <f>$L382-$N382</f>
        <v/>
      </c>
    </row>
    <row r="383">
      <c r="A383" s="59">
        <f>ROW()-5</f>
        <v/>
      </c>
      <c r="B383" s="60">
        <f>IFERROR(INDEX(tbl_Finance[Date],$A383),"")</f>
        <v/>
      </c>
      <c r="C383" s="61">
        <f>IFERROR(INDEX(tbl_Finance[Xero Invoice No],$A383),"")</f>
        <v/>
      </c>
      <c r="D383" s="61">
        <f>IFERROR(INDEX(tbl_Finance[Client],$A383),"")</f>
        <v/>
      </c>
      <c r="E383" s="61">
        <f>IFERROR(INDEX(tbl_Finance[Job Number],$A383),"")</f>
        <v/>
      </c>
      <c r="F383" s="61">
        <f>IFERROR(INDEX(tbl_Finance[Cost Centre],$A383),"")</f>
        <v/>
      </c>
      <c r="G383" s="62">
        <f>IFERROR(INDEX(tbl_Finance[Ex GST],$A383),"")</f>
        <v/>
      </c>
      <c r="H383" s="60">
        <f>IFERROR(INDEX(tbl_Finance[Defer Start],$A383),"")</f>
        <v/>
      </c>
      <c r="I383" s="60">
        <f>IFERROR(INDEX(tbl_Finance[Defer End],$A383),"")</f>
        <v/>
      </c>
      <c r="J383" s="59">
        <f>IF(OR($H383="",$I383="",$G383=""),"",MAX(1,(YEAR($I383)-YEAR($H383))*12+MONTH($I383)-MONTH($H383)+1))</f>
        <v/>
      </c>
      <c r="K383" s="62">
        <f>IF($J383="","",$G383/$J383)</f>
        <v/>
      </c>
      <c r="L383" s="62">
        <f>IF($J383="",0,$K383*MAX(0,MIN(YEAR($C$3)*12+MONTH($C$3),YEAR($I383)*12+MONTH($I383))-(YEAR($H383)*12+MONTH($H383))+1))</f>
        <v/>
      </c>
      <c r="M383" s="62">
        <f>IF($J383="",0,$K383*MAX(0,MIN(YEAR($C$3)*12+MONTH($C$3)-1,YEAR($I383)*12+MONTH($I383))-(YEAR($H383)*12+MONTH($H383))+1))</f>
        <v/>
      </c>
      <c r="N383" s="62">
        <f>IF(OR($J383="",$B383=""),0,IF(YEAR($B383)*12+MONTH($B383)&lt;=YEAR($C$3)*12+MONTH($C$3),$G383,0))</f>
        <v/>
      </c>
      <c r="O383" s="62">
        <f>IF(OR($J383="",$B383=""),0,IF(YEAR($B383)*12+MONTH($B383)&lt;=YEAR($C$3)*12+MONTH($C$3)-1,$G383,0))</f>
        <v/>
      </c>
      <c r="P383" s="62">
        <f>$M383-$O383</f>
        <v/>
      </c>
      <c r="Q383" s="62">
        <f>($L383-$M383)-($N383-$O383)</f>
        <v/>
      </c>
      <c r="R383" s="62">
        <f>$L383-$N383</f>
        <v/>
      </c>
    </row>
    <row r="384">
      <c r="A384" s="59">
        <f>ROW()-5</f>
        <v/>
      </c>
      <c r="B384" s="60">
        <f>IFERROR(INDEX(tbl_Finance[Date],$A384),"")</f>
        <v/>
      </c>
      <c r="C384" s="61">
        <f>IFERROR(INDEX(tbl_Finance[Xero Invoice No],$A384),"")</f>
        <v/>
      </c>
      <c r="D384" s="61">
        <f>IFERROR(INDEX(tbl_Finance[Client],$A384),"")</f>
        <v/>
      </c>
      <c r="E384" s="61">
        <f>IFERROR(INDEX(tbl_Finance[Job Number],$A384),"")</f>
        <v/>
      </c>
      <c r="F384" s="61">
        <f>IFERROR(INDEX(tbl_Finance[Cost Centre],$A384),"")</f>
        <v/>
      </c>
      <c r="G384" s="62">
        <f>IFERROR(INDEX(tbl_Finance[Ex GST],$A384),"")</f>
        <v/>
      </c>
      <c r="H384" s="60">
        <f>IFERROR(INDEX(tbl_Finance[Defer Start],$A384),"")</f>
        <v/>
      </c>
      <c r="I384" s="60">
        <f>IFERROR(INDEX(tbl_Finance[Defer End],$A384),"")</f>
        <v/>
      </c>
      <c r="J384" s="59">
        <f>IF(OR($H384="",$I384="",$G384=""),"",MAX(1,(YEAR($I384)-YEAR($H384))*12+MONTH($I384)-MONTH($H384)+1))</f>
        <v/>
      </c>
      <c r="K384" s="62">
        <f>IF($J384="","",$G384/$J384)</f>
        <v/>
      </c>
      <c r="L384" s="62">
        <f>IF($J384="",0,$K384*MAX(0,MIN(YEAR($C$3)*12+MONTH($C$3),YEAR($I384)*12+MONTH($I384))-(YEAR($H384)*12+MONTH($H384))+1))</f>
        <v/>
      </c>
      <c r="M384" s="62">
        <f>IF($J384="",0,$K384*MAX(0,MIN(YEAR($C$3)*12+MONTH($C$3)-1,YEAR($I384)*12+MONTH($I384))-(YEAR($H384)*12+MONTH($H384))+1))</f>
        <v/>
      </c>
      <c r="N384" s="62">
        <f>IF(OR($J384="",$B384=""),0,IF(YEAR($B384)*12+MONTH($B384)&lt;=YEAR($C$3)*12+MONTH($C$3),$G384,0))</f>
        <v/>
      </c>
      <c r="O384" s="62">
        <f>IF(OR($J384="",$B384=""),0,IF(YEAR($B384)*12+MONTH($B384)&lt;=YEAR($C$3)*12+MONTH($C$3)-1,$G384,0))</f>
        <v/>
      </c>
      <c r="P384" s="62">
        <f>$M384-$O384</f>
        <v/>
      </c>
      <c r="Q384" s="62">
        <f>($L384-$M384)-($N384-$O384)</f>
        <v/>
      </c>
      <c r="R384" s="62">
        <f>$L384-$N384</f>
        <v/>
      </c>
    </row>
    <row r="385">
      <c r="A385" s="59">
        <f>ROW()-5</f>
        <v/>
      </c>
      <c r="B385" s="60">
        <f>IFERROR(INDEX(tbl_Finance[Date],$A385),"")</f>
        <v/>
      </c>
      <c r="C385" s="61">
        <f>IFERROR(INDEX(tbl_Finance[Xero Invoice No],$A385),"")</f>
        <v/>
      </c>
      <c r="D385" s="61">
        <f>IFERROR(INDEX(tbl_Finance[Client],$A385),"")</f>
        <v/>
      </c>
      <c r="E385" s="61">
        <f>IFERROR(INDEX(tbl_Finance[Job Number],$A385),"")</f>
        <v/>
      </c>
      <c r="F385" s="61">
        <f>IFERROR(INDEX(tbl_Finance[Cost Centre],$A385),"")</f>
        <v/>
      </c>
      <c r="G385" s="62">
        <f>IFERROR(INDEX(tbl_Finance[Ex GST],$A385),"")</f>
        <v/>
      </c>
      <c r="H385" s="60">
        <f>IFERROR(INDEX(tbl_Finance[Defer Start],$A385),"")</f>
        <v/>
      </c>
      <c r="I385" s="60">
        <f>IFERROR(INDEX(tbl_Finance[Defer End],$A385),"")</f>
        <v/>
      </c>
      <c r="J385" s="59">
        <f>IF(OR($H385="",$I385="",$G385=""),"",MAX(1,(YEAR($I385)-YEAR($H385))*12+MONTH($I385)-MONTH($H385)+1))</f>
        <v/>
      </c>
      <c r="K385" s="62">
        <f>IF($J385="","",$G385/$J385)</f>
        <v/>
      </c>
      <c r="L385" s="62">
        <f>IF($J385="",0,$K385*MAX(0,MIN(YEAR($C$3)*12+MONTH($C$3),YEAR($I385)*12+MONTH($I385))-(YEAR($H385)*12+MONTH($H385))+1))</f>
        <v/>
      </c>
      <c r="M385" s="62">
        <f>IF($J385="",0,$K385*MAX(0,MIN(YEAR($C$3)*12+MONTH($C$3)-1,YEAR($I385)*12+MONTH($I385))-(YEAR($H385)*12+MONTH($H385))+1))</f>
        <v/>
      </c>
      <c r="N385" s="62">
        <f>IF(OR($J385="",$B385=""),0,IF(YEAR($B385)*12+MONTH($B385)&lt;=YEAR($C$3)*12+MONTH($C$3),$G385,0))</f>
        <v/>
      </c>
      <c r="O385" s="62">
        <f>IF(OR($J385="",$B385=""),0,IF(YEAR($B385)*12+MONTH($B385)&lt;=YEAR($C$3)*12+MONTH($C$3)-1,$G385,0))</f>
        <v/>
      </c>
      <c r="P385" s="62">
        <f>$M385-$O385</f>
        <v/>
      </c>
      <c r="Q385" s="62">
        <f>($L385-$M385)-($N385-$O385)</f>
        <v/>
      </c>
      <c r="R385" s="62">
        <f>$L385-$N385</f>
        <v/>
      </c>
    </row>
    <row r="386">
      <c r="A386" s="59">
        <f>ROW()-5</f>
        <v/>
      </c>
      <c r="B386" s="60">
        <f>IFERROR(INDEX(tbl_Finance[Date],$A386),"")</f>
        <v/>
      </c>
      <c r="C386" s="61">
        <f>IFERROR(INDEX(tbl_Finance[Xero Invoice No],$A386),"")</f>
        <v/>
      </c>
      <c r="D386" s="61">
        <f>IFERROR(INDEX(tbl_Finance[Client],$A386),"")</f>
        <v/>
      </c>
      <c r="E386" s="61">
        <f>IFERROR(INDEX(tbl_Finance[Job Number],$A386),"")</f>
        <v/>
      </c>
      <c r="F386" s="61">
        <f>IFERROR(INDEX(tbl_Finance[Cost Centre],$A386),"")</f>
        <v/>
      </c>
      <c r="G386" s="62">
        <f>IFERROR(INDEX(tbl_Finance[Ex GST],$A386),"")</f>
        <v/>
      </c>
      <c r="H386" s="60">
        <f>IFERROR(INDEX(tbl_Finance[Defer Start],$A386),"")</f>
        <v/>
      </c>
      <c r="I386" s="60">
        <f>IFERROR(INDEX(tbl_Finance[Defer End],$A386),"")</f>
        <v/>
      </c>
      <c r="J386" s="59">
        <f>IF(OR($H386="",$I386="",$G386=""),"",MAX(1,(YEAR($I386)-YEAR($H386))*12+MONTH($I386)-MONTH($H386)+1))</f>
        <v/>
      </c>
      <c r="K386" s="62">
        <f>IF($J386="","",$G386/$J386)</f>
        <v/>
      </c>
      <c r="L386" s="62">
        <f>IF($J386="",0,$K386*MAX(0,MIN(YEAR($C$3)*12+MONTH($C$3),YEAR($I386)*12+MONTH($I386))-(YEAR($H386)*12+MONTH($H386))+1))</f>
        <v/>
      </c>
      <c r="M386" s="62">
        <f>IF($J386="",0,$K386*MAX(0,MIN(YEAR($C$3)*12+MONTH($C$3)-1,YEAR($I386)*12+MONTH($I386))-(YEAR($H386)*12+MONTH($H386))+1))</f>
        <v/>
      </c>
      <c r="N386" s="62">
        <f>IF(OR($J386="",$B386=""),0,IF(YEAR($B386)*12+MONTH($B386)&lt;=YEAR($C$3)*12+MONTH($C$3),$G386,0))</f>
        <v/>
      </c>
      <c r="O386" s="62">
        <f>IF(OR($J386="",$B386=""),0,IF(YEAR($B386)*12+MONTH($B386)&lt;=YEAR($C$3)*12+MONTH($C$3)-1,$G386,0))</f>
        <v/>
      </c>
      <c r="P386" s="62">
        <f>$M386-$O386</f>
        <v/>
      </c>
      <c r="Q386" s="62">
        <f>($L386-$M386)-($N386-$O386)</f>
        <v/>
      </c>
      <c r="R386" s="62">
        <f>$L386-$N386</f>
        <v/>
      </c>
    </row>
    <row r="387">
      <c r="A387" s="59">
        <f>ROW()-5</f>
        <v/>
      </c>
      <c r="B387" s="60">
        <f>IFERROR(INDEX(tbl_Finance[Date],$A387),"")</f>
        <v/>
      </c>
      <c r="C387" s="61">
        <f>IFERROR(INDEX(tbl_Finance[Xero Invoice No],$A387),"")</f>
        <v/>
      </c>
      <c r="D387" s="61">
        <f>IFERROR(INDEX(tbl_Finance[Client],$A387),"")</f>
        <v/>
      </c>
      <c r="E387" s="61">
        <f>IFERROR(INDEX(tbl_Finance[Job Number],$A387),"")</f>
        <v/>
      </c>
      <c r="F387" s="61">
        <f>IFERROR(INDEX(tbl_Finance[Cost Centre],$A387),"")</f>
        <v/>
      </c>
      <c r="G387" s="62">
        <f>IFERROR(INDEX(tbl_Finance[Ex GST],$A387),"")</f>
        <v/>
      </c>
      <c r="H387" s="60">
        <f>IFERROR(INDEX(tbl_Finance[Defer Start],$A387),"")</f>
        <v/>
      </c>
      <c r="I387" s="60">
        <f>IFERROR(INDEX(tbl_Finance[Defer End],$A387),"")</f>
        <v/>
      </c>
      <c r="J387" s="59">
        <f>IF(OR($H387="",$I387="",$G387=""),"",MAX(1,(YEAR($I387)-YEAR($H387))*12+MONTH($I387)-MONTH($H387)+1))</f>
        <v/>
      </c>
      <c r="K387" s="62">
        <f>IF($J387="","",$G387/$J387)</f>
        <v/>
      </c>
      <c r="L387" s="62">
        <f>IF($J387="",0,$K387*MAX(0,MIN(YEAR($C$3)*12+MONTH($C$3),YEAR($I387)*12+MONTH($I387))-(YEAR($H387)*12+MONTH($H387))+1))</f>
        <v/>
      </c>
      <c r="M387" s="62">
        <f>IF($J387="",0,$K387*MAX(0,MIN(YEAR($C$3)*12+MONTH($C$3)-1,YEAR($I387)*12+MONTH($I387))-(YEAR($H387)*12+MONTH($H387))+1))</f>
        <v/>
      </c>
      <c r="N387" s="62">
        <f>IF(OR($J387="",$B387=""),0,IF(YEAR($B387)*12+MONTH($B387)&lt;=YEAR($C$3)*12+MONTH($C$3),$G387,0))</f>
        <v/>
      </c>
      <c r="O387" s="62">
        <f>IF(OR($J387="",$B387=""),0,IF(YEAR($B387)*12+MONTH($B387)&lt;=YEAR($C$3)*12+MONTH($C$3)-1,$G387,0))</f>
        <v/>
      </c>
      <c r="P387" s="62">
        <f>$M387-$O387</f>
        <v/>
      </c>
      <c r="Q387" s="62">
        <f>($L387-$M387)-($N387-$O387)</f>
        <v/>
      </c>
      <c r="R387" s="62">
        <f>$L387-$N387</f>
        <v/>
      </c>
    </row>
    <row r="388">
      <c r="A388" s="59">
        <f>ROW()-5</f>
        <v/>
      </c>
      <c r="B388" s="60">
        <f>IFERROR(INDEX(tbl_Finance[Date],$A388),"")</f>
        <v/>
      </c>
      <c r="C388" s="61">
        <f>IFERROR(INDEX(tbl_Finance[Xero Invoice No],$A388),"")</f>
        <v/>
      </c>
      <c r="D388" s="61">
        <f>IFERROR(INDEX(tbl_Finance[Client],$A388),"")</f>
        <v/>
      </c>
      <c r="E388" s="61">
        <f>IFERROR(INDEX(tbl_Finance[Job Number],$A388),"")</f>
        <v/>
      </c>
      <c r="F388" s="61">
        <f>IFERROR(INDEX(tbl_Finance[Cost Centre],$A388),"")</f>
        <v/>
      </c>
      <c r="G388" s="62">
        <f>IFERROR(INDEX(tbl_Finance[Ex GST],$A388),"")</f>
        <v/>
      </c>
      <c r="H388" s="60">
        <f>IFERROR(INDEX(tbl_Finance[Defer Start],$A388),"")</f>
        <v/>
      </c>
      <c r="I388" s="60">
        <f>IFERROR(INDEX(tbl_Finance[Defer End],$A388),"")</f>
        <v/>
      </c>
      <c r="J388" s="59">
        <f>IF(OR($H388="",$I388="",$G388=""),"",MAX(1,(YEAR($I388)-YEAR($H388))*12+MONTH($I388)-MONTH($H388)+1))</f>
        <v/>
      </c>
      <c r="K388" s="62">
        <f>IF($J388="","",$G388/$J388)</f>
        <v/>
      </c>
      <c r="L388" s="62">
        <f>IF($J388="",0,$K388*MAX(0,MIN(YEAR($C$3)*12+MONTH($C$3),YEAR($I388)*12+MONTH($I388))-(YEAR($H388)*12+MONTH($H388))+1))</f>
        <v/>
      </c>
      <c r="M388" s="62">
        <f>IF($J388="",0,$K388*MAX(0,MIN(YEAR($C$3)*12+MONTH($C$3)-1,YEAR($I388)*12+MONTH($I388))-(YEAR($H388)*12+MONTH($H388))+1))</f>
        <v/>
      </c>
      <c r="N388" s="62">
        <f>IF(OR($J388="",$B388=""),0,IF(YEAR($B388)*12+MONTH($B388)&lt;=YEAR($C$3)*12+MONTH($C$3),$G388,0))</f>
        <v/>
      </c>
      <c r="O388" s="62">
        <f>IF(OR($J388="",$B388=""),0,IF(YEAR($B388)*12+MONTH($B388)&lt;=YEAR($C$3)*12+MONTH($C$3)-1,$G388,0))</f>
        <v/>
      </c>
      <c r="P388" s="62">
        <f>$M388-$O388</f>
        <v/>
      </c>
      <c r="Q388" s="62">
        <f>($L388-$M388)-($N388-$O388)</f>
        <v/>
      </c>
      <c r="R388" s="62">
        <f>$L388-$N388</f>
        <v/>
      </c>
    </row>
    <row r="389">
      <c r="A389" s="59">
        <f>ROW()-5</f>
        <v/>
      </c>
      <c r="B389" s="60">
        <f>IFERROR(INDEX(tbl_Finance[Date],$A389),"")</f>
        <v/>
      </c>
      <c r="C389" s="61">
        <f>IFERROR(INDEX(tbl_Finance[Xero Invoice No],$A389),"")</f>
        <v/>
      </c>
      <c r="D389" s="61">
        <f>IFERROR(INDEX(tbl_Finance[Client],$A389),"")</f>
        <v/>
      </c>
      <c r="E389" s="61">
        <f>IFERROR(INDEX(tbl_Finance[Job Number],$A389),"")</f>
        <v/>
      </c>
      <c r="F389" s="61">
        <f>IFERROR(INDEX(tbl_Finance[Cost Centre],$A389),"")</f>
        <v/>
      </c>
      <c r="G389" s="62">
        <f>IFERROR(INDEX(tbl_Finance[Ex GST],$A389),"")</f>
        <v/>
      </c>
      <c r="H389" s="60">
        <f>IFERROR(INDEX(tbl_Finance[Defer Start],$A389),"")</f>
        <v/>
      </c>
      <c r="I389" s="60">
        <f>IFERROR(INDEX(tbl_Finance[Defer End],$A389),"")</f>
        <v/>
      </c>
      <c r="J389" s="59">
        <f>IF(OR($H389="",$I389="",$G389=""),"",MAX(1,(YEAR($I389)-YEAR($H389))*12+MONTH($I389)-MONTH($H389)+1))</f>
        <v/>
      </c>
      <c r="K389" s="62">
        <f>IF($J389="","",$G389/$J389)</f>
        <v/>
      </c>
      <c r="L389" s="62">
        <f>IF($J389="",0,$K389*MAX(0,MIN(YEAR($C$3)*12+MONTH($C$3),YEAR($I389)*12+MONTH($I389))-(YEAR($H389)*12+MONTH($H389))+1))</f>
        <v/>
      </c>
      <c r="M389" s="62">
        <f>IF($J389="",0,$K389*MAX(0,MIN(YEAR($C$3)*12+MONTH($C$3)-1,YEAR($I389)*12+MONTH($I389))-(YEAR($H389)*12+MONTH($H389))+1))</f>
        <v/>
      </c>
      <c r="N389" s="62">
        <f>IF(OR($J389="",$B389=""),0,IF(YEAR($B389)*12+MONTH($B389)&lt;=YEAR($C$3)*12+MONTH($C$3),$G389,0))</f>
        <v/>
      </c>
      <c r="O389" s="62">
        <f>IF(OR($J389="",$B389=""),0,IF(YEAR($B389)*12+MONTH($B389)&lt;=YEAR($C$3)*12+MONTH($C$3)-1,$G389,0))</f>
        <v/>
      </c>
      <c r="P389" s="62">
        <f>$M389-$O389</f>
        <v/>
      </c>
      <c r="Q389" s="62">
        <f>($L389-$M389)-($N389-$O389)</f>
        <v/>
      </c>
      <c r="R389" s="62">
        <f>$L389-$N389</f>
        <v/>
      </c>
    </row>
    <row r="390">
      <c r="A390" s="59">
        <f>ROW()-5</f>
        <v/>
      </c>
      <c r="B390" s="60">
        <f>IFERROR(INDEX(tbl_Finance[Date],$A390),"")</f>
        <v/>
      </c>
      <c r="C390" s="61">
        <f>IFERROR(INDEX(tbl_Finance[Xero Invoice No],$A390),"")</f>
        <v/>
      </c>
      <c r="D390" s="61">
        <f>IFERROR(INDEX(tbl_Finance[Client],$A390),"")</f>
        <v/>
      </c>
      <c r="E390" s="61">
        <f>IFERROR(INDEX(tbl_Finance[Job Number],$A390),"")</f>
        <v/>
      </c>
      <c r="F390" s="61">
        <f>IFERROR(INDEX(tbl_Finance[Cost Centre],$A390),"")</f>
        <v/>
      </c>
      <c r="G390" s="62">
        <f>IFERROR(INDEX(tbl_Finance[Ex GST],$A390),"")</f>
        <v/>
      </c>
      <c r="H390" s="60">
        <f>IFERROR(INDEX(tbl_Finance[Defer Start],$A390),"")</f>
        <v/>
      </c>
      <c r="I390" s="60">
        <f>IFERROR(INDEX(tbl_Finance[Defer End],$A390),"")</f>
        <v/>
      </c>
      <c r="J390" s="59">
        <f>IF(OR($H390="",$I390="",$G390=""),"",MAX(1,(YEAR($I390)-YEAR($H390))*12+MONTH($I390)-MONTH($H390)+1))</f>
        <v/>
      </c>
      <c r="K390" s="62">
        <f>IF($J390="","",$G390/$J390)</f>
        <v/>
      </c>
      <c r="L390" s="62">
        <f>IF($J390="",0,$K390*MAX(0,MIN(YEAR($C$3)*12+MONTH($C$3),YEAR($I390)*12+MONTH($I390))-(YEAR($H390)*12+MONTH($H390))+1))</f>
        <v/>
      </c>
      <c r="M390" s="62">
        <f>IF($J390="",0,$K390*MAX(0,MIN(YEAR($C$3)*12+MONTH($C$3)-1,YEAR($I390)*12+MONTH($I390))-(YEAR($H390)*12+MONTH($H390))+1))</f>
        <v/>
      </c>
      <c r="N390" s="62">
        <f>IF(OR($J390="",$B390=""),0,IF(YEAR($B390)*12+MONTH($B390)&lt;=YEAR($C$3)*12+MONTH($C$3),$G390,0))</f>
        <v/>
      </c>
      <c r="O390" s="62">
        <f>IF(OR($J390="",$B390=""),0,IF(YEAR($B390)*12+MONTH($B390)&lt;=YEAR($C$3)*12+MONTH($C$3)-1,$G390,0))</f>
        <v/>
      </c>
      <c r="P390" s="62">
        <f>$M390-$O390</f>
        <v/>
      </c>
      <c r="Q390" s="62">
        <f>($L390-$M390)-($N390-$O390)</f>
        <v/>
      </c>
      <c r="R390" s="62">
        <f>$L390-$N390</f>
        <v/>
      </c>
    </row>
    <row r="391">
      <c r="A391" s="59">
        <f>ROW()-5</f>
        <v/>
      </c>
      <c r="B391" s="60">
        <f>IFERROR(INDEX(tbl_Finance[Date],$A391),"")</f>
        <v/>
      </c>
      <c r="C391" s="61">
        <f>IFERROR(INDEX(tbl_Finance[Xero Invoice No],$A391),"")</f>
        <v/>
      </c>
      <c r="D391" s="61">
        <f>IFERROR(INDEX(tbl_Finance[Client],$A391),"")</f>
        <v/>
      </c>
      <c r="E391" s="61">
        <f>IFERROR(INDEX(tbl_Finance[Job Number],$A391),"")</f>
        <v/>
      </c>
      <c r="F391" s="61">
        <f>IFERROR(INDEX(tbl_Finance[Cost Centre],$A391),"")</f>
        <v/>
      </c>
      <c r="G391" s="62">
        <f>IFERROR(INDEX(tbl_Finance[Ex GST],$A391),"")</f>
        <v/>
      </c>
      <c r="H391" s="60">
        <f>IFERROR(INDEX(tbl_Finance[Defer Start],$A391),"")</f>
        <v/>
      </c>
      <c r="I391" s="60">
        <f>IFERROR(INDEX(tbl_Finance[Defer End],$A391),"")</f>
        <v/>
      </c>
      <c r="J391" s="59">
        <f>IF(OR($H391="",$I391="",$G391=""),"",MAX(1,(YEAR($I391)-YEAR($H391))*12+MONTH($I391)-MONTH($H391)+1))</f>
        <v/>
      </c>
      <c r="K391" s="62">
        <f>IF($J391="","",$G391/$J391)</f>
        <v/>
      </c>
      <c r="L391" s="62">
        <f>IF($J391="",0,$K391*MAX(0,MIN(YEAR($C$3)*12+MONTH($C$3),YEAR($I391)*12+MONTH($I391))-(YEAR($H391)*12+MONTH($H391))+1))</f>
        <v/>
      </c>
      <c r="M391" s="62">
        <f>IF($J391="",0,$K391*MAX(0,MIN(YEAR($C$3)*12+MONTH($C$3)-1,YEAR($I391)*12+MONTH($I391))-(YEAR($H391)*12+MONTH($H391))+1))</f>
        <v/>
      </c>
      <c r="N391" s="62">
        <f>IF(OR($J391="",$B391=""),0,IF(YEAR($B391)*12+MONTH($B391)&lt;=YEAR($C$3)*12+MONTH($C$3),$G391,0))</f>
        <v/>
      </c>
      <c r="O391" s="62">
        <f>IF(OR($J391="",$B391=""),0,IF(YEAR($B391)*12+MONTH($B391)&lt;=YEAR($C$3)*12+MONTH($C$3)-1,$G391,0))</f>
        <v/>
      </c>
      <c r="P391" s="62">
        <f>$M391-$O391</f>
        <v/>
      </c>
      <c r="Q391" s="62">
        <f>($L391-$M391)-($N391-$O391)</f>
        <v/>
      </c>
      <c r="R391" s="62">
        <f>$L391-$N391</f>
        <v/>
      </c>
    </row>
    <row r="392">
      <c r="A392" s="59">
        <f>ROW()-5</f>
        <v/>
      </c>
      <c r="B392" s="60">
        <f>IFERROR(INDEX(tbl_Finance[Date],$A392),"")</f>
        <v/>
      </c>
      <c r="C392" s="61">
        <f>IFERROR(INDEX(tbl_Finance[Xero Invoice No],$A392),"")</f>
        <v/>
      </c>
      <c r="D392" s="61">
        <f>IFERROR(INDEX(tbl_Finance[Client],$A392),"")</f>
        <v/>
      </c>
      <c r="E392" s="61">
        <f>IFERROR(INDEX(tbl_Finance[Job Number],$A392),"")</f>
        <v/>
      </c>
      <c r="F392" s="61">
        <f>IFERROR(INDEX(tbl_Finance[Cost Centre],$A392),"")</f>
        <v/>
      </c>
      <c r="G392" s="62">
        <f>IFERROR(INDEX(tbl_Finance[Ex GST],$A392),"")</f>
        <v/>
      </c>
      <c r="H392" s="60">
        <f>IFERROR(INDEX(tbl_Finance[Defer Start],$A392),"")</f>
        <v/>
      </c>
      <c r="I392" s="60">
        <f>IFERROR(INDEX(tbl_Finance[Defer End],$A392),"")</f>
        <v/>
      </c>
      <c r="J392" s="59">
        <f>IF(OR($H392="",$I392="",$G392=""),"",MAX(1,(YEAR($I392)-YEAR($H392))*12+MONTH($I392)-MONTH($H392)+1))</f>
        <v/>
      </c>
      <c r="K392" s="62">
        <f>IF($J392="","",$G392/$J392)</f>
        <v/>
      </c>
      <c r="L392" s="62">
        <f>IF($J392="",0,$K392*MAX(0,MIN(YEAR($C$3)*12+MONTH($C$3),YEAR($I392)*12+MONTH($I392))-(YEAR($H392)*12+MONTH($H392))+1))</f>
        <v/>
      </c>
      <c r="M392" s="62">
        <f>IF($J392="",0,$K392*MAX(0,MIN(YEAR($C$3)*12+MONTH($C$3)-1,YEAR($I392)*12+MONTH($I392))-(YEAR($H392)*12+MONTH($H392))+1))</f>
        <v/>
      </c>
      <c r="N392" s="62">
        <f>IF(OR($J392="",$B392=""),0,IF(YEAR($B392)*12+MONTH($B392)&lt;=YEAR($C$3)*12+MONTH($C$3),$G392,0))</f>
        <v/>
      </c>
      <c r="O392" s="62">
        <f>IF(OR($J392="",$B392=""),0,IF(YEAR($B392)*12+MONTH($B392)&lt;=YEAR($C$3)*12+MONTH($C$3)-1,$G392,0))</f>
        <v/>
      </c>
      <c r="P392" s="62">
        <f>$M392-$O392</f>
        <v/>
      </c>
      <c r="Q392" s="62">
        <f>($L392-$M392)-($N392-$O392)</f>
        <v/>
      </c>
      <c r="R392" s="62">
        <f>$L392-$N392</f>
        <v/>
      </c>
    </row>
    <row r="393">
      <c r="A393" s="59">
        <f>ROW()-5</f>
        <v/>
      </c>
      <c r="B393" s="60">
        <f>IFERROR(INDEX(tbl_Finance[Date],$A393),"")</f>
        <v/>
      </c>
      <c r="C393" s="61">
        <f>IFERROR(INDEX(tbl_Finance[Xero Invoice No],$A393),"")</f>
        <v/>
      </c>
      <c r="D393" s="61">
        <f>IFERROR(INDEX(tbl_Finance[Client],$A393),"")</f>
        <v/>
      </c>
      <c r="E393" s="61">
        <f>IFERROR(INDEX(tbl_Finance[Job Number],$A393),"")</f>
        <v/>
      </c>
      <c r="F393" s="61">
        <f>IFERROR(INDEX(tbl_Finance[Cost Centre],$A393),"")</f>
        <v/>
      </c>
      <c r="G393" s="62">
        <f>IFERROR(INDEX(tbl_Finance[Ex GST],$A393),"")</f>
        <v/>
      </c>
      <c r="H393" s="60">
        <f>IFERROR(INDEX(tbl_Finance[Defer Start],$A393),"")</f>
        <v/>
      </c>
      <c r="I393" s="60">
        <f>IFERROR(INDEX(tbl_Finance[Defer End],$A393),"")</f>
        <v/>
      </c>
      <c r="J393" s="59">
        <f>IF(OR($H393="",$I393="",$G393=""),"",MAX(1,(YEAR($I393)-YEAR($H393))*12+MONTH($I393)-MONTH($H393)+1))</f>
        <v/>
      </c>
      <c r="K393" s="62">
        <f>IF($J393="","",$G393/$J393)</f>
        <v/>
      </c>
      <c r="L393" s="62">
        <f>IF($J393="",0,$K393*MAX(0,MIN(YEAR($C$3)*12+MONTH($C$3),YEAR($I393)*12+MONTH($I393))-(YEAR($H393)*12+MONTH($H393))+1))</f>
        <v/>
      </c>
      <c r="M393" s="62">
        <f>IF($J393="",0,$K393*MAX(0,MIN(YEAR($C$3)*12+MONTH($C$3)-1,YEAR($I393)*12+MONTH($I393))-(YEAR($H393)*12+MONTH($H393))+1))</f>
        <v/>
      </c>
      <c r="N393" s="62">
        <f>IF(OR($J393="",$B393=""),0,IF(YEAR($B393)*12+MONTH($B393)&lt;=YEAR($C$3)*12+MONTH($C$3),$G393,0))</f>
        <v/>
      </c>
      <c r="O393" s="62">
        <f>IF(OR($J393="",$B393=""),0,IF(YEAR($B393)*12+MONTH($B393)&lt;=YEAR($C$3)*12+MONTH($C$3)-1,$G393,0))</f>
        <v/>
      </c>
      <c r="P393" s="62">
        <f>$M393-$O393</f>
        <v/>
      </c>
      <c r="Q393" s="62">
        <f>($L393-$M393)-($N393-$O393)</f>
        <v/>
      </c>
      <c r="R393" s="62">
        <f>$L393-$N393</f>
        <v/>
      </c>
    </row>
    <row r="394">
      <c r="A394" s="59">
        <f>ROW()-5</f>
        <v/>
      </c>
      <c r="B394" s="60">
        <f>IFERROR(INDEX(tbl_Finance[Date],$A394),"")</f>
        <v/>
      </c>
      <c r="C394" s="61">
        <f>IFERROR(INDEX(tbl_Finance[Xero Invoice No],$A394),"")</f>
        <v/>
      </c>
      <c r="D394" s="61">
        <f>IFERROR(INDEX(tbl_Finance[Client],$A394),"")</f>
        <v/>
      </c>
      <c r="E394" s="61">
        <f>IFERROR(INDEX(tbl_Finance[Job Number],$A394),"")</f>
        <v/>
      </c>
      <c r="F394" s="61">
        <f>IFERROR(INDEX(tbl_Finance[Cost Centre],$A394),"")</f>
        <v/>
      </c>
      <c r="G394" s="62">
        <f>IFERROR(INDEX(tbl_Finance[Ex GST],$A394),"")</f>
        <v/>
      </c>
      <c r="H394" s="60">
        <f>IFERROR(INDEX(tbl_Finance[Defer Start],$A394),"")</f>
        <v/>
      </c>
      <c r="I394" s="60">
        <f>IFERROR(INDEX(tbl_Finance[Defer End],$A394),"")</f>
        <v/>
      </c>
      <c r="J394" s="59">
        <f>IF(OR($H394="",$I394="",$G394=""),"",MAX(1,(YEAR($I394)-YEAR($H394))*12+MONTH($I394)-MONTH($H394)+1))</f>
        <v/>
      </c>
      <c r="K394" s="62">
        <f>IF($J394="","",$G394/$J394)</f>
        <v/>
      </c>
      <c r="L394" s="62">
        <f>IF($J394="",0,$K394*MAX(0,MIN(YEAR($C$3)*12+MONTH($C$3),YEAR($I394)*12+MONTH($I394))-(YEAR($H394)*12+MONTH($H394))+1))</f>
        <v/>
      </c>
      <c r="M394" s="62">
        <f>IF($J394="",0,$K394*MAX(0,MIN(YEAR($C$3)*12+MONTH($C$3)-1,YEAR($I394)*12+MONTH($I394))-(YEAR($H394)*12+MONTH($H394))+1))</f>
        <v/>
      </c>
      <c r="N394" s="62">
        <f>IF(OR($J394="",$B394=""),0,IF(YEAR($B394)*12+MONTH($B394)&lt;=YEAR($C$3)*12+MONTH($C$3),$G394,0))</f>
        <v/>
      </c>
      <c r="O394" s="62">
        <f>IF(OR($J394="",$B394=""),0,IF(YEAR($B394)*12+MONTH($B394)&lt;=YEAR($C$3)*12+MONTH($C$3)-1,$G394,0))</f>
        <v/>
      </c>
      <c r="P394" s="62">
        <f>$M394-$O394</f>
        <v/>
      </c>
      <c r="Q394" s="62">
        <f>($L394-$M394)-($N394-$O394)</f>
        <v/>
      </c>
      <c r="R394" s="62">
        <f>$L394-$N394</f>
        <v/>
      </c>
    </row>
    <row r="395">
      <c r="A395" s="59">
        <f>ROW()-5</f>
        <v/>
      </c>
      <c r="B395" s="60">
        <f>IFERROR(INDEX(tbl_Finance[Date],$A395),"")</f>
        <v/>
      </c>
      <c r="C395" s="61">
        <f>IFERROR(INDEX(tbl_Finance[Xero Invoice No],$A395),"")</f>
        <v/>
      </c>
      <c r="D395" s="61">
        <f>IFERROR(INDEX(tbl_Finance[Client],$A395),"")</f>
        <v/>
      </c>
      <c r="E395" s="61">
        <f>IFERROR(INDEX(tbl_Finance[Job Number],$A395),"")</f>
        <v/>
      </c>
      <c r="F395" s="61">
        <f>IFERROR(INDEX(tbl_Finance[Cost Centre],$A395),"")</f>
        <v/>
      </c>
      <c r="G395" s="62">
        <f>IFERROR(INDEX(tbl_Finance[Ex GST],$A395),"")</f>
        <v/>
      </c>
      <c r="H395" s="60">
        <f>IFERROR(INDEX(tbl_Finance[Defer Start],$A395),"")</f>
        <v/>
      </c>
      <c r="I395" s="60">
        <f>IFERROR(INDEX(tbl_Finance[Defer End],$A395),"")</f>
        <v/>
      </c>
      <c r="J395" s="59">
        <f>IF(OR($H395="",$I395="",$G395=""),"",MAX(1,(YEAR($I395)-YEAR($H395))*12+MONTH($I395)-MONTH($H395)+1))</f>
        <v/>
      </c>
      <c r="K395" s="62">
        <f>IF($J395="","",$G395/$J395)</f>
        <v/>
      </c>
      <c r="L395" s="62">
        <f>IF($J395="",0,$K395*MAX(0,MIN(YEAR($C$3)*12+MONTH($C$3),YEAR($I395)*12+MONTH($I395))-(YEAR($H395)*12+MONTH($H395))+1))</f>
        <v/>
      </c>
      <c r="M395" s="62">
        <f>IF($J395="",0,$K395*MAX(0,MIN(YEAR($C$3)*12+MONTH($C$3)-1,YEAR($I395)*12+MONTH($I395))-(YEAR($H395)*12+MONTH($H395))+1))</f>
        <v/>
      </c>
      <c r="N395" s="62">
        <f>IF(OR($J395="",$B395=""),0,IF(YEAR($B395)*12+MONTH($B395)&lt;=YEAR($C$3)*12+MONTH($C$3),$G395,0))</f>
        <v/>
      </c>
      <c r="O395" s="62">
        <f>IF(OR($J395="",$B395=""),0,IF(YEAR($B395)*12+MONTH($B395)&lt;=YEAR($C$3)*12+MONTH($C$3)-1,$G395,0))</f>
        <v/>
      </c>
      <c r="P395" s="62">
        <f>$M395-$O395</f>
        <v/>
      </c>
      <c r="Q395" s="62">
        <f>($L395-$M395)-($N395-$O395)</f>
        <v/>
      </c>
      <c r="R395" s="62">
        <f>$L395-$N395</f>
        <v/>
      </c>
    </row>
    <row r="396">
      <c r="A396" s="59">
        <f>ROW()-5</f>
        <v/>
      </c>
      <c r="B396" s="60">
        <f>IFERROR(INDEX(tbl_Finance[Date],$A396),"")</f>
        <v/>
      </c>
      <c r="C396" s="61">
        <f>IFERROR(INDEX(tbl_Finance[Xero Invoice No],$A396),"")</f>
        <v/>
      </c>
      <c r="D396" s="61">
        <f>IFERROR(INDEX(tbl_Finance[Client],$A396),"")</f>
        <v/>
      </c>
      <c r="E396" s="61">
        <f>IFERROR(INDEX(tbl_Finance[Job Number],$A396),"")</f>
        <v/>
      </c>
      <c r="F396" s="61">
        <f>IFERROR(INDEX(tbl_Finance[Cost Centre],$A396),"")</f>
        <v/>
      </c>
      <c r="G396" s="62">
        <f>IFERROR(INDEX(tbl_Finance[Ex GST],$A396),"")</f>
        <v/>
      </c>
      <c r="H396" s="60">
        <f>IFERROR(INDEX(tbl_Finance[Defer Start],$A396),"")</f>
        <v/>
      </c>
      <c r="I396" s="60">
        <f>IFERROR(INDEX(tbl_Finance[Defer End],$A396),"")</f>
        <v/>
      </c>
      <c r="J396" s="59">
        <f>IF(OR($H396="",$I396="",$G396=""),"",MAX(1,(YEAR($I396)-YEAR($H396))*12+MONTH($I396)-MONTH($H396)+1))</f>
        <v/>
      </c>
      <c r="K396" s="62">
        <f>IF($J396="","",$G396/$J396)</f>
        <v/>
      </c>
      <c r="L396" s="62">
        <f>IF($J396="",0,$K396*MAX(0,MIN(YEAR($C$3)*12+MONTH($C$3),YEAR($I396)*12+MONTH($I396))-(YEAR($H396)*12+MONTH($H396))+1))</f>
        <v/>
      </c>
      <c r="M396" s="62">
        <f>IF($J396="",0,$K396*MAX(0,MIN(YEAR($C$3)*12+MONTH($C$3)-1,YEAR($I396)*12+MONTH($I396))-(YEAR($H396)*12+MONTH($H396))+1))</f>
        <v/>
      </c>
      <c r="N396" s="62">
        <f>IF(OR($J396="",$B396=""),0,IF(YEAR($B396)*12+MONTH($B396)&lt;=YEAR($C$3)*12+MONTH($C$3),$G396,0))</f>
        <v/>
      </c>
      <c r="O396" s="62">
        <f>IF(OR($J396="",$B396=""),0,IF(YEAR($B396)*12+MONTH($B396)&lt;=YEAR($C$3)*12+MONTH($C$3)-1,$G396,0))</f>
        <v/>
      </c>
      <c r="P396" s="62">
        <f>$M396-$O396</f>
        <v/>
      </c>
      <c r="Q396" s="62">
        <f>($L396-$M396)-($N396-$O396)</f>
        <v/>
      </c>
      <c r="R396" s="62">
        <f>$L396-$N396</f>
        <v/>
      </c>
    </row>
    <row r="397">
      <c r="A397" s="59">
        <f>ROW()-5</f>
        <v/>
      </c>
      <c r="B397" s="60">
        <f>IFERROR(INDEX(tbl_Finance[Date],$A397),"")</f>
        <v/>
      </c>
      <c r="C397" s="61">
        <f>IFERROR(INDEX(tbl_Finance[Xero Invoice No],$A397),"")</f>
        <v/>
      </c>
      <c r="D397" s="61">
        <f>IFERROR(INDEX(tbl_Finance[Client],$A397),"")</f>
        <v/>
      </c>
      <c r="E397" s="61">
        <f>IFERROR(INDEX(tbl_Finance[Job Number],$A397),"")</f>
        <v/>
      </c>
      <c r="F397" s="61">
        <f>IFERROR(INDEX(tbl_Finance[Cost Centre],$A397),"")</f>
        <v/>
      </c>
      <c r="G397" s="62">
        <f>IFERROR(INDEX(tbl_Finance[Ex GST],$A397),"")</f>
        <v/>
      </c>
      <c r="H397" s="60">
        <f>IFERROR(INDEX(tbl_Finance[Defer Start],$A397),"")</f>
        <v/>
      </c>
      <c r="I397" s="60">
        <f>IFERROR(INDEX(tbl_Finance[Defer End],$A397),"")</f>
        <v/>
      </c>
      <c r="J397" s="59">
        <f>IF(OR($H397="",$I397="",$G397=""),"",MAX(1,(YEAR($I397)-YEAR($H397))*12+MONTH($I397)-MONTH($H397)+1))</f>
        <v/>
      </c>
      <c r="K397" s="62">
        <f>IF($J397="","",$G397/$J397)</f>
        <v/>
      </c>
      <c r="L397" s="62">
        <f>IF($J397="",0,$K397*MAX(0,MIN(YEAR($C$3)*12+MONTH($C$3),YEAR($I397)*12+MONTH($I397))-(YEAR($H397)*12+MONTH($H397))+1))</f>
        <v/>
      </c>
      <c r="M397" s="62">
        <f>IF($J397="",0,$K397*MAX(0,MIN(YEAR($C$3)*12+MONTH($C$3)-1,YEAR($I397)*12+MONTH($I397))-(YEAR($H397)*12+MONTH($H397))+1))</f>
        <v/>
      </c>
      <c r="N397" s="62">
        <f>IF(OR($J397="",$B397=""),0,IF(YEAR($B397)*12+MONTH($B397)&lt;=YEAR($C$3)*12+MONTH($C$3),$G397,0))</f>
        <v/>
      </c>
      <c r="O397" s="62">
        <f>IF(OR($J397="",$B397=""),0,IF(YEAR($B397)*12+MONTH($B397)&lt;=YEAR($C$3)*12+MONTH($C$3)-1,$G397,0))</f>
        <v/>
      </c>
      <c r="P397" s="62">
        <f>$M397-$O397</f>
        <v/>
      </c>
      <c r="Q397" s="62">
        <f>($L397-$M397)-($N397-$O397)</f>
        <v/>
      </c>
      <c r="R397" s="62">
        <f>$L397-$N397</f>
        <v/>
      </c>
    </row>
    <row r="398">
      <c r="A398" s="59">
        <f>ROW()-5</f>
        <v/>
      </c>
      <c r="B398" s="60">
        <f>IFERROR(INDEX(tbl_Finance[Date],$A398),"")</f>
        <v/>
      </c>
      <c r="C398" s="61">
        <f>IFERROR(INDEX(tbl_Finance[Xero Invoice No],$A398),"")</f>
        <v/>
      </c>
      <c r="D398" s="61">
        <f>IFERROR(INDEX(tbl_Finance[Client],$A398),"")</f>
        <v/>
      </c>
      <c r="E398" s="61">
        <f>IFERROR(INDEX(tbl_Finance[Job Number],$A398),"")</f>
        <v/>
      </c>
      <c r="F398" s="61">
        <f>IFERROR(INDEX(tbl_Finance[Cost Centre],$A398),"")</f>
        <v/>
      </c>
      <c r="G398" s="62">
        <f>IFERROR(INDEX(tbl_Finance[Ex GST],$A398),"")</f>
        <v/>
      </c>
      <c r="H398" s="60">
        <f>IFERROR(INDEX(tbl_Finance[Defer Start],$A398),"")</f>
        <v/>
      </c>
      <c r="I398" s="60">
        <f>IFERROR(INDEX(tbl_Finance[Defer End],$A398),"")</f>
        <v/>
      </c>
      <c r="J398" s="59">
        <f>IF(OR($H398="",$I398="",$G398=""),"",MAX(1,(YEAR($I398)-YEAR($H398))*12+MONTH($I398)-MONTH($H398)+1))</f>
        <v/>
      </c>
      <c r="K398" s="62">
        <f>IF($J398="","",$G398/$J398)</f>
        <v/>
      </c>
      <c r="L398" s="62">
        <f>IF($J398="",0,$K398*MAX(0,MIN(YEAR($C$3)*12+MONTH($C$3),YEAR($I398)*12+MONTH($I398))-(YEAR($H398)*12+MONTH($H398))+1))</f>
        <v/>
      </c>
      <c r="M398" s="62">
        <f>IF($J398="",0,$K398*MAX(0,MIN(YEAR($C$3)*12+MONTH($C$3)-1,YEAR($I398)*12+MONTH($I398))-(YEAR($H398)*12+MONTH($H398))+1))</f>
        <v/>
      </c>
      <c r="N398" s="62">
        <f>IF(OR($J398="",$B398=""),0,IF(YEAR($B398)*12+MONTH($B398)&lt;=YEAR($C$3)*12+MONTH($C$3),$G398,0))</f>
        <v/>
      </c>
      <c r="O398" s="62">
        <f>IF(OR($J398="",$B398=""),0,IF(YEAR($B398)*12+MONTH($B398)&lt;=YEAR($C$3)*12+MONTH($C$3)-1,$G398,0))</f>
        <v/>
      </c>
      <c r="P398" s="62">
        <f>$M398-$O398</f>
        <v/>
      </c>
      <c r="Q398" s="62">
        <f>($L398-$M398)-($N398-$O398)</f>
        <v/>
      </c>
      <c r="R398" s="62">
        <f>$L398-$N398</f>
        <v/>
      </c>
    </row>
    <row r="399">
      <c r="A399" s="59">
        <f>ROW()-5</f>
        <v/>
      </c>
      <c r="B399" s="60">
        <f>IFERROR(INDEX(tbl_Finance[Date],$A399),"")</f>
        <v/>
      </c>
      <c r="C399" s="61">
        <f>IFERROR(INDEX(tbl_Finance[Xero Invoice No],$A399),"")</f>
        <v/>
      </c>
      <c r="D399" s="61">
        <f>IFERROR(INDEX(tbl_Finance[Client],$A399),"")</f>
        <v/>
      </c>
      <c r="E399" s="61">
        <f>IFERROR(INDEX(tbl_Finance[Job Number],$A399),"")</f>
        <v/>
      </c>
      <c r="F399" s="61">
        <f>IFERROR(INDEX(tbl_Finance[Cost Centre],$A399),"")</f>
        <v/>
      </c>
      <c r="G399" s="62">
        <f>IFERROR(INDEX(tbl_Finance[Ex GST],$A399),"")</f>
        <v/>
      </c>
      <c r="H399" s="60">
        <f>IFERROR(INDEX(tbl_Finance[Defer Start],$A399),"")</f>
        <v/>
      </c>
      <c r="I399" s="60">
        <f>IFERROR(INDEX(tbl_Finance[Defer End],$A399),"")</f>
        <v/>
      </c>
      <c r="J399" s="59">
        <f>IF(OR($H399="",$I399="",$G399=""),"",MAX(1,(YEAR($I399)-YEAR($H399))*12+MONTH($I399)-MONTH($H399)+1))</f>
        <v/>
      </c>
      <c r="K399" s="62">
        <f>IF($J399="","",$G399/$J399)</f>
        <v/>
      </c>
      <c r="L399" s="62">
        <f>IF($J399="",0,$K399*MAX(0,MIN(YEAR($C$3)*12+MONTH($C$3),YEAR($I399)*12+MONTH($I399))-(YEAR($H399)*12+MONTH($H399))+1))</f>
        <v/>
      </c>
      <c r="M399" s="62">
        <f>IF($J399="",0,$K399*MAX(0,MIN(YEAR($C$3)*12+MONTH($C$3)-1,YEAR($I399)*12+MONTH($I399))-(YEAR($H399)*12+MONTH($H399))+1))</f>
        <v/>
      </c>
      <c r="N399" s="62">
        <f>IF(OR($J399="",$B399=""),0,IF(YEAR($B399)*12+MONTH($B399)&lt;=YEAR($C$3)*12+MONTH($C$3),$G399,0))</f>
        <v/>
      </c>
      <c r="O399" s="62">
        <f>IF(OR($J399="",$B399=""),0,IF(YEAR($B399)*12+MONTH($B399)&lt;=YEAR($C$3)*12+MONTH($C$3)-1,$G399,0))</f>
        <v/>
      </c>
      <c r="P399" s="62">
        <f>$M399-$O399</f>
        <v/>
      </c>
      <c r="Q399" s="62">
        <f>($L399-$M399)-($N399-$O399)</f>
        <v/>
      </c>
      <c r="R399" s="62">
        <f>$L399-$N399</f>
        <v/>
      </c>
    </row>
    <row r="400">
      <c r="A400" s="59">
        <f>ROW()-5</f>
        <v/>
      </c>
      <c r="B400" s="60">
        <f>IFERROR(INDEX(tbl_Finance[Date],$A400),"")</f>
        <v/>
      </c>
      <c r="C400" s="61">
        <f>IFERROR(INDEX(tbl_Finance[Xero Invoice No],$A400),"")</f>
        <v/>
      </c>
      <c r="D400" s="61">
        <f>IFERROR(INDEX(tbl_Finance[Client],$A400),"")</f>
        <v/>
      </c>
      <c r="E400" s="61">
        <f>IFERROR(INDEX(tbl_Finance[Job Number],$A400),"")</f>
        <v/>
      </c>
      <c r="F400" s="61">
        <f>IFERROR(INDEX(tbl_Finance[Cost Centre],$A400),"")</f>
        <v/>
      </c>
      <c r="G400" s="62">
        <f>IFERROR(INDEX(tbl_Finance[Ex GST],$A400),"")</f>
        <v/>
      </c>
      <c r="H400" s="60">
        <f>IFERROR(INDEX(tbl_Finance[Defer Start],$A400),"")</f>
        <v/>
      </c>
      <c r="I400" s="60">
        <f>IFERROR(INDEX(tbl_Finance[Defer End],$A400),"")</f>
        <v/>
      </c>
      <c r="J400" s="59">
        <f>IF(OR($H400="",$I400="",$G400=""),"",MAX(1,(YEAR($I400)-YEAR($H400))*12+MONTH($I400)-MONTH($H400)+1))</f>
        <v/>
      </c>
      <c r="K400" s="62">
        <f>IF($J400="","",$G400/$J400)</f>
        <v/>
      </c>
      <c r="L400" s="62">
        <f>IF($J400="",0,$K400*MAX(0,MIN(YEAR($C$3)*12+MONTH($C$3),YEAR($I400)*12+MONTH($I400))-(YEAR($H400)*12+MONTH($H400))+1))</f>
        <v/>
      </c>
      <c r="M400" s="62">
        <f>IF($J400="",0,$K400*MAX(0,MIN(YEAR($C$3)*12+MONTH($C$3)-1,YEAR($I400)*12+MONTH($I400))-(YEAR($H400)*12+MONTH($H400))+1))</f>
        <v/>
      </c>
      <c r="N400" s="62">
        <f>IF(OR($J400="",$B400=""),0,IF(YEAR($B400)*12+MONTH($B400)&lt;=YEAR($C$3)*12+MONTH($C$3),$G400,0))</f>
        <v/>
      </c>
      <c r="O400" s="62">
        <f>IF(OR($J400="",$B400=""),0,IF(YEAR($B400)*12+MONTH($B400)&lt;=YEAR($C$3)*12+MONTH($C$3)-1,$G400,0))</f>
        <v/>
      </c>
      <c r="P400" s="62">
        <f>$M400-$O400</f>
        <v/>
      </c>
      <c r="Q400" s="62">
        <f>($L400-$M400)-($N400-$O400)</f>
        <v/>
      </c>
      <c r="R400" s="62">
        <f>$L400-$N400</f>
        <v/>
      </c>
    </row>
    <row r="401">
      <c r="A401" s="59">
        <f>ROW()-5</f>
        <v/>
      </c>
      <c r="B401" s="60">
        <f>IFERROR(INDEX(tbl_Finance[Date],$A401),"")</f>
        <v/>
      </c>
      <c r="C401" s="61">
        <f>IFERROR(INDEX(tbl_Finance[Xero Invoice No],$A401),"")</f>
        <v/>
      </c>
      <c r="D401" s="61">
        <f>IFERROR(INDEX(tbl_Finance[Client],$A401),"")</f>
        <v/>
      </c>
      <c r="E401" s="61">
        <f>IFERROR(INDEX(tbl_Finance[Job Number],$A401),"")</f>
        <v/>
      </c>
      <c r="F401" s="61">
        <f>IFERROR(INDEX(tbl_Finance[Cost Centre],$A401),"")</f>
        <v/>
      </c>
      <c r="G401" s="62">
        <f>IFERROR(INDEX(tbl_Finance[Ex GST],$A401),"")</f>
        <v/>
      </c>
      <c r="H401" s="60">
        <f>IFERROR(INDEX(tbl_Finance[Defer Start],$A401),"")</f>
        <v/>
      </c>
      <c r="I401" s="60">
        <f>IFERROR(INDEX(tbl_Finance[Defer End],$A401),"")</f>
        <v/>
      </c>
      <c r="J401" s="59">
        <f>IF(OR($H401="",$I401="",$G401=""),"",MAX(1,(YEAR($I401)-YEAR($H401))*12+MONTH($I401)-MONTH($H401)+1))</f>
        <v/>
      </c>
      <c r="K401" s="62">
        <f>IF($J401="","",$G401/$J401)</f>
        <v/>
      </c>
      <c r="L401" s="62">
        <f>IF($J401="",0,$K401*MAX(0,MIN(YEAR($C$3)*12+MONTH($C$3),YEAR($I401)*12+MONTH($I401))-(YEAR($H401)*12+MONTH($H401))+1))</f>
        <v/>
      </c>
      <c r="M401" s="62">
        <f>IF($J401="",0,$K401*MAX(0,MIN(YEAR($C$3)*12+MONTH($C$3)-1,YEAR($I401)*12+MONTH($I401))-(YEAR($H401)*12+MONTH($H401))+1))</f>
        <v/>
      </c>
      <c r="N401" s="62">
        <f>IF(OR($J401="",$B401=""),0,IF(YEAR($B401)*12+MONTH($B401)&lt;=YEAR($C$3)*12+MONTH($C$3),$G401,0))</f>
        <v/>
      </c>
      <c r="O401" s="62">
        <f>IF(OR($J401="",$B401=""),0,IF(YEAR($B401)*12+MONTH($B401)&lt;=YEAR($C$3)*12+MONTH($C$3)-1,$G401,0))</f>
        <v/>
      </c>
      <c r="P401" s="62">
        <f>$M401-$O401</f>
        <v/>
      </c>
      <c r="Q401" s="62">
        <f>($L401-$M401)-($N401-$O401)</f>
        <v/>
      </c>
      <c r="R401" s="62">
        <f>$L401-$N401</f>
        <v/>
      </c>
    </row>
    <row r="402">
      <c r="A402" s="59">
        <f>ROW()-5</f>
        <v/>
      </c>
      <c r="B402" s="60">
        <f>IFERROR(INDEX(tbl_Finance[Date],$A402),"")</f>
        <v/>
      </c>
      <c r="C402" s="61">
        <f>IFERROR(INDEX(tbl_Finance[Xero Invoice No],$A402),"")</f>
        <v/>
      </c>
      <c r="D402" s="61">
        <f>IFERROR(INDEX(tbl_Finance[Client],$A402),"")</f>
        <v/>
      </c>
      <c r="E402" s="61">
        <f>IFERROR(INDEX(tbl_Finance[Job Number],$A402),"")</f>
        <v/>
      </c>
      <c r="F402" s="61">
        <f>IFERROR(INDEX(tbl_Finance[Cost Centre],$A402),"")</f>
        <v/>
      </c>
      <c r="G402" s="62">
        <f>IFERROR(INDEX(tbl_Finance[Ex GST],$A402),"")</f>
        <v/>
      </c>
      <c r="H402" s="60">
        <f>IFERROR(INDEX(tbl_Finance[Defer Start],$A402),"")</f>
        <v/>
      </c>
      <c r="I402" s="60">
        <f>IFERROR(INDEX(tbl_Finance[Defer End],$A402),"")</f>
        <v/>
      </c>
      <c r="J402" s="59">
        <f>IF(OR($H402="",$I402="",$G402=""),"",MAX(1,(YEAR($I402)-YEAR($H402))*12+MONTH($I402)-MONTH($H402)+1))</f>
        <v/>
      </c>
      <c r="K402" s="62">
        <f>IF($J402="","",$G402/$J402)</f>
        <v/>
      </c>
      <c r="L402" s="62">
        <f>IF($J402="",0,$K402*MAX(0,MIN(YEAR($C$3)*12+MONTH($C$3),YEAR($I402)*12+MONTH($I402))-(YEAR($H402)*12+MONTH($H402))+1))</f>
        <v/>
      </c>
      <c r="M402" s="62">
        <f>IF($J402="",0,$K402*MAX(0,MIN(YEAR($C$3)*12+MONTH($C$3)-1,YEAR($I402)*12+MONTH($I402))-(YEAR($H402)*12+MONTH($H402))+1))</f>
        <v/>
      </c>
      <c r="N402" s="62">
        <f>IF(OR($J402="",$B402=""),0,IF(YEAR($B402)*12+MONTH($B402)&lt;=YEAR($C$3)*12+MONTH($C$3),$G402,0))</f>
        <v/>
      </c>
      <c r="O402" s="62">
        <f>IF(OR($J402="",$B402=""),0,IF(YEAR($B402)*12+MONTH($B402)&lt;=YEAR($C$3)*12+MONTH($C$3)-1,$G402,0))</f>
        <v/>
      </c>
      <c r="P402" s="62">
        <f>$M402-$O402</f>
        <v/>
      </c>
      <c r="Q402" s="62">
        <f>($L402-$M402)-($N402-$O402)</f>
        <v/>
      </c>
      <c r="R402" s="62">
        <f>$L402-$N402</f>
        <v/>
      </c>
    </row>
    <row r="403">
      <c r="A403" s="59">
        <f>ROW()-5</f>
        <v/>
      </c>
      <c r="B403" s="60">
        <f>IFERROR(INDEX(tbl_Finance[Date],$A403),"")</f>
        <v/>
      </c>
      <c r="C403" s="61">
        <f>IFERROR(INDEX(tbl_Finance[Xero Invoice No],$A403),"")</f>
        <v/>
      </c>
      <c r="D403" s="61">
        <f>IFERROR(INDEX(tbl_Finance[Client],$A403),"")</f>
        <v/>
      </c>
      <c r="E403" s="61">
        <f>IFERROR(INDEX(tbl_Finance[Job Number],$A403),"")</f>
        <v/>
      </c>
      <c r="F403" s="61">
        <f>IFERROR(INDEX(tbl_Finance[Cost Centre],$A403),"")</f>
        <v/>
      </c>
      <c r="G403" s="62">
        <f>IFERROR(INDEX(tbl_Finance[Ex GST],$A403),"")</f>
        <v/>
      </c>
      <c r="H403" s="60">
        <f>IFERROR(INDEX(tbl_Finance[Defer Start],$A403),"")</f>
        <v/>
      </c>
      <c r="I403" s="60">
        <f>IFERROR(INDEX(tbl_Finance[Defer End],$A403),"")</f>
        <v/>
      </c>
      <c r="J403" s="59">
        <f>IF(OR($H403="",$I403="",$G403=""),"",MAX(1,(YEAR($I403)-YEAR($H403))*12+MONTH($I403)-MONTH($H403)+1))</f>
        <v/>
      </c>
      <c r="K403" s="62">
        <f>IF($J403="","",$G403/$J403)</f>
        <v/>
      </c>
      <c r="L403" s="62">
        <f>IF($J403="",0,$K403*MAX(0,MIN(YEAR($C$3)*12+MONTH($C$3),YEAR($I403)*12+MONTH($I403))-(YEAR($H403)*12+MONTH($H403))+1))</f>
        <v/>
      </c>
      <c r="M403" s="62">
        <f>IF($J403="",0,$K403*MAX(0,MIN(YEAR($C$3)*12+MONTH($C$3)-1,YEAR($I403)*12+MONTH($I403))-(YEAR($H403)*12+MONTH($H403))+1))</f>
        <v/>
      </c>
      <c r="N403" s="62">
        <f>IF(OR($J403="",$B403=""),0,IF(YEAR($B403)*12+MONTH($B403)&lt;=YEAR($C$3)*12+MONTH($C$3),$G403,0))</f>
        <v/>
      </c>
      <c r="O403" s="62">
        <f>IF(OR($J403="",$B403=""),0,IF(YEAR($B403)*12+MONTH($B403)&lt;=YEAR($C$3)*12+MONTH($C$3)-1,$G403,0))</f>
        <v/>
      </c>
      <c r="P403" s="62">
        <f>$M403-$O403</f>
        <v/>
      </c>
      <c r="Q403" s="62">
        <f>($L403-$M403)-($N403-$O403)</f>
        <v/>
      </c>
      <c r="R403" s="62">
        <f>$L403-$N403</f>
        <v/>
      </c>
    </row>
    <row r="404">
      <c r="A404" s="59">
        <f>ROW()-5</f>
        <v/>
      </c>
      <c r="B404" s="60">
        <f>IFERROR(INDEX(tbl_Finance[Date],$A404),"")</f>
        <v/>
      </c>
      <c r="C404" s="61">
        <f>IFERROR(INDEX(tbl_Finance[Xero Invoice No],$A404),"")</f>
        <v/>
      </c>
      <c r="D404" s="61">
        <f>IFERROR(INDEX(tbl_Finance[Client],$A404),"")</f>
        <v/>
      </c>
      <c r="E404" s="61">
        <f>IFERROR(INDEX(tbl_Finance[Job Number],$A404),"")</f>
        <v/>
      </c>
      <c r="F404" s="61">
        <f>IFERROR(INDEX(tbl_Finance[Cost Centre],$A404),"")</f>
        <v/>
      </c>
      <c r="G404" s="62">
        <f>IFERROR(INDEX(tbl_Finance[Ex GST],$A404),"")</f>
        <v/>
      </c>
      <c r="H404" s="60">
        <f>IFERROR(INDEX(tbl_Finance[Defer Start],$A404),"")</f>
        <v/>
      </c>
      <c r="I404" s="60">
        <f>IFERROR(INDEX(tbl_Finance[Defer End],$A404),"")</f>
        <v/>
      </c>
      <c r="J404" s="59">
        <f>IF(OR($H404="",$I404="",$G404=""),"",MAX(1,(YEAR($I404)-YEAR($H404))*12+MONTH($I404)-MONTH($H404)+1))</f>
        <v/>
      </c>
      <c r="K404" s="62">
        <f>IF($J404="","",$G404/$J404)</f>
        <v/>
      </c>
      <c r="L404" s="62">
        <f>IF($J404="",0,$K404*MAX(0,MIN(YEAR($C$3)*12+MONTH($C$3),YEAR($I404)*12+MONTH($I404))-(YEAR($H404)*12+MONTH($H404))+1))</f>
        <v/>
      </c>
      <c r="M404" s="62">
        <f>IF($J404="",0,$K404*MAX(0,MIN(YEAR($C$3)*12+MONTH($C$3)-1,YEAR($I404)*12+MONTH($I404))-(YEAR($H404)*12+MONTH($H404))+1))</f>
        <v/>
      </c>
      <c r="N404" s="62">
        <f>IF(OR($J404="",$B404=""),0,IF(YEAR($B404)*12+MONTH($B404)&lt;=YEAR($C$3)*12+MONTH($C$3),$G404,0))</f>
        <v/>
      </c>
      <c r="O404" s="62">
        <f>IF(OR($J404="",$B404=""),0,IF(YEAR($B404)*12+MONTH($B404)&lt;=YEAR($C$3)*12+MONTH($C$3)-1,$G404,0))</f>
        <v/>
      </c>
      <c r="P404" s="62">
        <f>$M404-$O404</f>
        <v/>
      </c>
      <c r="Q404" s="62">
        <f>($L404-$M404)-($N404-$O404)</f>
        <v/>
      </c>
      <c r="R404" s="62">
        <f>$L404-$N404</f>
        <v/>
      </c>
    </row>
    <row r="405">
      <c r="A405" s="59">
        <f>ROW()-5</f>
        <v/>
      </c>
      <c r="B405" s="60">
        <f>IFERROR(INDEX(tbl_Finance[Date],$A405),"")</f>
        <v/>
      </c>
      <c r="C405" s="61">
        <f>IFERROR(INDEX(tbl_Finance[Xero Invoice No],$A405),"")</f>
        <v/>
      </c>
      <c r="D405" s="61">
        <f>IFERROR(INDEX(tbl_Finance[Client],$A405),"")</f>
        <v/>
      </c>
      <c r="E405" s="61">
        <f>IFERROR(INDEX(tbl_Finance[Job Number],$A405),"")</f>
        <v/>
      </c>
      <c r="F405" s="61">
        <f>IFERROR(INDEX(tbl_Finance[Cost Centre],$A405),"")</f>
        <v/>
      </c>
      <c r="G405" s="62">
        <f>IFERROR(INDEX(tbl_Finance[Ex GST],$A405),"")</f>
        <v/>
      </c>
      <c r="H405" s="60">
        <f>IFERROR(INDEX(tbl_Finance[Defer Start],$A405),"")</f>
        <v/>
      </c>
      <c r="I405" s="60">
        <f>IFERROR(INDEX(tbl_Finance[Defer End],$A405),"")</f>
        <v/>
      </c>
      <c r="J405" s="59">
        <f>IF(OR($H405="",$I405="",$G405=""),"",MAX(1,(YEAR($I405)-YEAR($H405))*12+MONTH($I405)-MONTH($H405)+1))</f>
        <v/>
      </c>
      <c r="K405" s="62">
        <f>IF($J405="","",$G405/$J405)</f>
        <v/>
      </c>
      <c r="L405" s="62">
        <f>IF($J405="",0,$K405*MAX(0,MIN(YEAR($C$3)*12+MONTH($C$3),YEAR($I405)*12+MONTH($I405))-(YEAR($H405)*12+MONTH($H405))+1))</f>
        <v/>
      </c>
      <c r="M405" s="62">
        <f>IF($J405="",0,$K405*MAX(0,MIN(YEAR($C$3)*12+MONTH($C$3)-1,YEAR($I405)*12+MONTH($I405))-(YEAR($H405)*12+MONTH($H405))+1))</f>
        <v/>
      </c>
      <c r="N405" s="62">
        <f>IF(OR($J405="",$B405=""),0,IF(YEAR($B405)*12+MONTH($B405)&lt;=YEAR($C$3)*12+MONTH($C$3),$G405,0))</f>
        <v/>
      </c>
      <c r="O405" s="62">
        <f>IF(OR($J405="",$B405=""),0,IF(YEAR($B405)*12+MONTH($B405)&lt;=YEAR($C$3)*12+MONTH($C$3)-1,$G405,0))</f>
        <v/>
      </c>
      <c r="P405" s="62">
        <f>$M405-$O405</f>
        <v/>
      </c>
      <c r="Q405" s="62">
        <f>($L405-$M405)-($N405-$O405)</f>
        <v/>
      </c>
      <c r="R405" s="62">
        <f>$L405-$N405</f>
        <v/>
      </c>
    </row>
    <row r="406">
      <c r="A406" s="59">
        <f>ROW()-5</f>
        <v/>
      </c>
      <c r="B406" s="60">
        <f>IFERROR(INDEX(tbl_Finance[Date],$A406),"")</f>
        <v/>
      </c>
      <c r="C406" s="61">
        <f>IFERROR(INDEX(tbl_Finance[Xero Invoice No],$A406),"")</f>
        <v/>
      </c>
      <c r="D406" s="61">
        <f>IFERROR(INDEX(tbl_Finance[Client],$A406),"")</f>
        <v/>
      </c>
      <c r="E406" s="61">
        <f>IFERROR(INDEX(tbl_Finance[Job Number],$A406),"")</f>
        <v/>
      </c>
      <c r="F406" s="61">
        <f>IFERROR(INDEX(tbl_Finance[Cost Centre],$A406),"")</f>
        <v/>
      </c>
      <c r="G406" s="62">
        <f>IFERROR(INDEX(tbl_Finance[Ex GST],$A406),"")</f>
        <v/>
      </c>
      <c r="H406" s="60">
        <f>IFERROR(INDEX(tbl_Finance[Defer Start],$A406),"")</f>
        <v/>
      </c>
      <c r="I406" s="60">
        <f>IFERROR(INDEX(tbl_Finance[Defer End],$A406),"")</f>
        <v/>
      </c>
      <c r="J406" s="59">
        <f>IF(OR($H406="",$I406="",$G406=""),"",MAX(1,(YEAR($I406)-YEAR($H406))*12+MONTH($I406)-MONTH($H406)+1))</f>
        <v/>
      </c>
      <c r="K406" s="62">
        <f>IF($J406="","",$G406/$J406)</f>
        <v/>
      </c>
      <c r="L406" s="62">
        <f>IF($J406="",0,$K406*MAX(0,MIN(YEAR($C$3)*12+MONTH($C$3),YEAR($I406)*12+MONTH($I406))-(YEAR($H406)*12+MONTH($H406))+1))</f>
        <v/>
      </c>
      <c r="M406" s="62">
        <f>IF($J406="",0,$K406*MAX(0,MIN(YEAR($C$3)*12+MONTH($C$3)-1,YEAR($I406)*12+MONTH($I406))-(YEAR($H406)*12+MONTH($H406))+1))</f>
        <v/>
      </c>
      <c r="N406" s="62">
        <f>IF(OR($J406="",$B406=""),0,IF(YEAR($B406)*12+MONTH($B406)&lt;=YEAR($C$3)*12+MONTH($C$3),$G406,0))</f>
        <v/>
      </c>
      <c r="O406" s="62">
        <f>IF(OR($J406="",$B406=""),0,IF(YEAR($B406)*12+MONTH($B406)&lt;=YEAR($C$3)*12+MONTH($C$3)-1,$G406,0))</f>
        <v/>
      </c>
      <c r="P406" s="62">
        <f>$M406-$O406</f>
        <v/>
      </c>
      <c r="Q406" s="62">
        <f>($L406-$M406)-($N406-$O406)</f>
        <v/>
      </c>
      <c r="R406" s="62">
        <f>$L406-$N406</f>
        <v/>
      </c>
    </row>
    <row r="407">
      <c r="A407" s="59">
        <f>ROW()-5</f>
        <v/>
      </c>
      <c r="B407" s="60">
        <f>IFERROR(INDEX(tbl_Finance[Date],$A407),"")</f>
        <v/>
      </c>
      <c r="C407" s="61">
        <f>IFERROR(INDEX(tbl_Finance[Xero Invoice No],$A407),"")</f>
        <v/>
      </c>
      <c r="D407" s="61">
        <f>IFERROR(INDEX(tbl_Finance[Client],$A407),"")</f>
        <v/>
      </c>
      <c r="E407" s="61">
        <f>IFERROR(INDEX(tbl_Finance[Job Number],$A407),"")</f>
        <v/>
      </c>
      <c r="F407" s="61">
        <f>IFERROR(INDEX(tbl_Finance[Cost Centre],$A407),"")</f>
        <v/>
      </c>
      <c r="G407" s="62">
        <f>IFERROR(INDEX(tbl_Finance[Ex GST],$A407),"")</f>
        <v/>
      </c>
      <c r="H407" s="60">
        <f>IFERROR(INDEX(tbl_Finance[Defer Start],$A407),"")</f>
        <v/>
      </c>
      <c r="I407" s="60">
        <f>IFERROR(INDEX(tbl_Finance[Defer End],$A407),"")</f>
        <v/>
      </c>
      <c r="J407" s="59">
        <f>IF(OR($H407="",$I407="",$G407=""),"",MAX(1,(YEAR($I407)-YEAR($H407))*12+MONTH($I407)-MONTH($H407)+1))</f>
        <v/>
      </c>
      <c r="K407" s="62">
        <f>IF($J407="","",$G407/$J407)</f>
        <v/>
      </c>
      <c r="L407" s="62">
        <f>IF($J407="",0,$K407*MAX(0,MIN(YEAR($C$3)*12+MONTH($C$3),YEAR($I407)*12+MONTH($I407))-(YEAR($H407)*12+MONTH($H407))+1))</f>
        <v/>
      </c>
      <c r="M407" s="62">
        <f>IF($J407="",0,$K407*MAX(0,MIN(YEAR($C$3)*12+MONTH($C$3)-1,YEAR($I407)*12+MONTH($I407))-(YEAR($H407)*12+MONTH($H407))+1))</f>
        <v/>
      </c>
      <c r="N407" s="62">
        <f>IF(OR($J407="",$B407=""),0,IF(YEAR($B407)*12+MONTH($B407)&lt;=YEAR($C$3)*12+MONTH($C$3),$G407,0))</f>
        <v/>
      </c>
      <c r="O407" s="62">
        <f>IF(OR($J407="",$B407=""),0,IF(YEAR($B407)*12+MONTH($B407)&lt;=YEAR($C$3)*12+MONTH($C$3)-1,$G407,0))</f>
        <v/>
      </c>
      <c r="P407" s="62">
        <f>$M407-$O407</f>
        <v/>
      </c>
      <c r="Q407" s="62">
        <f>($L407-$M407)-($N407-$O407)</f>
        <v/>
      </c>
      <c r="R407" s="62">
        <f>$L407-$N407</f>
        <v/>
      </c>
    </row>
    <row r="408">
      <c r="A408" s="59">
        <f>ROW()-5</f>
        <v/>
      </c>
      <c r="B408" s="60">
        <f>IFERROR(INDEX(tbl_Finance[Date],$A408),"")</f>
        <v/>
      </c>
      <c r="C408" s="61">
        <f>IFERROR(INDEX(tbl_Finance[Xero Invoice No],$A408),"")</f>
        <v/>
      </c>
      <c r="D408" s="61">
        <f>IFERROR(INDEX(tbl_Finance[Client],$A408),"")</f>
        <v/>
      </c>
      <c r="E408" s="61">
        <f>IFERROR(INDEX(tbl_Finance[Job Number],$A408),"")</f>
        <v/>
      </c>
      <c r="F408" s="61">
        <f>IFERROR(INDEX(tbl_Finance[Cost Centre],$A408),"")</f>
        <v/>
      </c>
      <c r="G408" s="62">
        <f>IFERROR(INDEX(tbl_Finance[Ex GST],$A408),"")</f>
        <v/>
      </c>
      <c r="H408" s="60">
        <f>IFERROR(INDEX(tbl_Finance[Defer Start],$A408),"")</f>
        <v/>
      </c>
      <c r="I408" s="60">
        <f>IFERROR(INDEX(tbl_Finance[Defer End],$A408),"")</f>
        <v/>
      </c>
      <c r="J408" s="59">
        <f>IF(OR($H408="",$I408="",$G408=""),"",MAX(1,(YEAR($I408)-YEAR($H408))*12+MONTH($I408)-MONTH($H408)+1))</f>
        <v/>
      </c>
      <c r="K408" s="62">
        <f>IF($J408="","",$G408/$J408)</f>
        <v/>
      </c>
      <c r="L408" s="62">
        <f>IF($J408="",0,$K408*MAX(0,MIN(YEAR($C$3)*12+MONTH($C$3),YEAR($I408)*12+MONTH($I408))-(YEAR($H408)*12+MONTH($H408))+1))</f>
        <v/>
      </c>
      <c r="M408" s="62">
        <f>IF($J408="",0,$K408*MAX(0,MIN(YEAR($C$3)*12+MONTH($C$3)-1,YEAR($I408)*12+MONTH($I408))-(YEAR($H408)*12+MONTH($H408))+1))</f>
        <v/>
      </c>
      <c r="N408" s="62">
        <f>IF(OR($J408="",$B408=""),0,IF(YEAR($B408)*12+MONTH($B408)&lt;=YEAR($C$3)*12+MONTH($C$3),$G408,0))</f>
        <v/>
      </c>
      <c r="O408" s="62">
        <f>IF(OR($J408="",$B408=""),0,IF(YEAR($B408)*12+MONTH($B408)&lt;=YEAR($C$3)*12+MONTH($C$3)-1,$G408,0))</f>
        <v/>
      </c>
      <c r="P408" s="62">
        <f>$M408-$O408</f>
        <v/>
      </c>
      <c r="Q408" s="62">
        <f>($L408-$M408)-($N408-$O408)</f>
        <v/>
      </c>
      <c r="R408" s="62">
        <f>$L408-$N408</f>
        <v/>
      </c>
    </row>
    <row r="409">
      <c r="A409" s="59">
        <f>ROW()-5</f>
        <v/>
      </c>
      <c r="B409" s="60">
        <f>IFERROR(INDEX(tbl_Finance[Date],$A409),"")</f>
        <v/>
      </c>
      <c r="C409" s="61">
        <f>IFERROR(INDEX(tbl_Finance[Xero Invoice No],$A409),"")</f>
        <v/>
      </c>
      <c r="D409" s="61">
        <f>IFERROR(INDEX(tbl_Finance[Client],$A409),"")</f>
        <v/>
      </c>
      <c r="E409" s="61">
        <f>IFERROR(INDEX(tbl_Finance[Job Number],$A409),"")</f>
        <v/>
      </c>
      <c r="F409" s="61">
        <f>IFERROR(INDEX(tbl_Finance[Cost Centre],$A409),"")</f>
        <v/>
      </c>
      <c r="G409" s="62">
        <f>IFERROR(INDEX(tbl_Finance[Ex GST],$A409),"")</f>
        <v/>
      </c>
      <c r="H409" s="60">
        <f>IFERROR(INDEX(tbl_Finance[Defer Start],$A409),"")</f>
        <v/>
      </c>
      <c r="I409" s="60">
        <f>IFERROR(INDEX(tbl_Finance[Defer End],$A409),"")</f>
        <v/>
      </c>
      <c r="J409" s="59">
        <f>IF(OR($H409="",$I409="",$G409=""),"",MAX(1,(YEAR($I409)-YEAR($H409))*12+MONTH($I409)-MONTH($H409)+1))</f>
        <v/>
      </c>
      <c r="K409" s="62">
        <f>IF($J409="","",$G409/$J409)</f>
        <v/>
      </c>
      <c r="L409" s="62">
        <f>IF($J409="",0,$K409*MAX(0,MIN(YEAR($C$3)*12+MONTH($C$3),YEAR($I409)*12+MONTH($I409))-(YEAR($H409)*12+MONTH($H409))+1))</f>
        <v/>
      </c>
      <c r="M409" s="62">
        <f>IF($J409="",0,$K409*MAX(0,MIN(YEAR($C$3)*12+MONTH($C$3)-1,YEAR($I409)*12+MONTH($I409))-(YEAR($H409)*12+MONTH($H409))+1))</f>
        <v/>
      </c>
      <c r="N409" s="62">
        <f>IF(OR($J409="",$B409=""),0,IF(YEAR($B409)*12+MONTH($B409)&lt;=YEAR($C$3)*12+MONTH($C$3),$G409,0))</f>
        <v/>
      </c>
      <c r="O409" s="62">
        <f>IF(OR($J409="",$B409=""),0,IF(YEAR($B409)*12+MONTH($B409)&lt;=YEAR($C$3)*12+MONTH($C$3)-1,$G409,0))</f>
        <v/>
      </c>
      <c r="P409" s="62">
        <f>$M409-$O409</f>
        <v/>
      </c>
      <c r="Q409" s="62">
        <f>($L409-$M409)-($N409-$O409)</f>
        <v/>
      </c>
      <c r="R409" s="62">
        <f>$L409-$N409</f>
        <v/>
      </c>
    </row>
    <row r="410">
      <c r="A410" s="59">
        <f>ROW()-5</f>
        <v/>
      </c>
      <c r="B410" s="60">
        <f>IFERROR(INDEX(tbl_Finance[Date],$A410),"")</f>
        <v/>
      </c>
      <c r="C410" s="61">
        <f>IFERROR(INDEX(tbl_Finance[Xero Invoice No],$A410),"")</f>
        <v/>
      </c>
      <c r="D410" s="61">
        <f>IFERROR(INDEX(tbl_Finance[Client],$A410),"")</f>
        <v/>
      </c>
      <c r="E410" s="61">
        <f>IFERROR(INDEX(tbl_Finance[Job Number],$A410),"")</f>
        <v/>
      </c>
      <c r="F410" s="61">
        <f>IFERROR(INDEX(tbl_Finance[Cost Centre],$A410),"")</f>
        <v/>
      </c>
      <c r="G410" s="62">
        <f>IFERROR(INDEX(tbl_Finance[Ex GST],$A410),"")</f>
        <v/>
      </c>
      <c r="H410" s="60">
        <f>IFERROR(INDEX(tbl_Finance[Defer Start],$A410),"")</f>
        <v/>
      </c>
      <c r="I410" s="60">
        <f>IFERROR(INDEX(tbl_Finance[Defer End],$A410),"")</f>
        <v/>
      </c>
      <c r="J410" s="59">
        <f>IF(OR($H410="",$I410="",$G410=""),"",MAX(1,(YEAR($I410)-YEAR($H410))*12+MONTH($I410)-MONTH($H410)+1))</f>
        <v/>
      </c>
      <c r="K410" s="62">
        <f>IF($J410="","",$G410/$J410)</f>
        <v/>
      </c>
      <c r="L410" s="62">
        <f>IF($J410="",0,$K410*MAX(0,MIN(YEAR($C$3)*12+MONTH($C$3),YEAR($I410)*12+MONTH($I410))-(YEAR($H410)*12+MONTH($H410))+1))</f>
        <v/>
      </c>
      <c r="M410" s="62">
        <f>IF($J410="",0,$K410*MAX(0,MIN(YEAR($C$3)*12+MONTH($C$3)-1,YEAR($I410)*12+MONTH($I410))-(YEAR($H410)*12+MONTH($H410))+1))</f>
        <v/>
      </c>
      <c r="N410" s="62">
        <f>IF(OR($J410="",$B410=""),0,IF(YEAR($B410)*12+MONTH($B410)&lt;=YEAR($C$3)*12+MONTH($C$3),$G410,0))</f>
        <v/>
      </c>
      <c r="O410" s="62">
        <f>IF(OR($J410="",$B410=""),0,IF(YEAR($B410)*12+MONTH($B410)&lt;=YEAR($C$3)*12+MONTH($C$3)-1,$G410,0))</f>
        <v/>
      </c>
      <c r="P410" s="62">
        <f>$M410-$O410</f>
        <v/>
      </c>
      <c r="Q410" s="62">
        <f>($L410-$M410)-($N410-$O410)</f>
        <v/>
      </c>
      <c r="R410" s="62">
        <f>$L410-$N410</f>
        <v/>
      </c>
    </row>
    <row r="411">
      <c r="A411" s="59">
        <f>ROW()-5</f>
        <v/>
      </c>
      <c r="B411" s="60">
        <f>IFERROR(INDEX(tbl_Finance[Date],$A411),"")</f>
        <v/>
      </c>
      <c r="C411" s="61">
        <f>IFERROR(INDEX(tbl_Finance[Xero Invoice No],$A411),"")</f>
        <v/>
      </c>
      <c r="D411" s="61">
        <f>IFERROR(INDEX(tbl_Finance[Client],$A411),"")</f>
        <v/>
      </c>
      <c r="E411" s="61">
        <f>IFERROR(INDEX(tbl_Finance[Job Number],$A411),"")</f>
        <v/>
      </c>
      <c r="F411" s="61">
        <f>IFERROR(INDEX(tbl_Finance[Cost Centre],$A411),"")</f>
        <v/>
      </c>
      <c r="G411" s="62">
        <f>IFERROR(INDEX(tbl_Finance[Ex GST],$A411),"")</f>
        <v/>
      </c>
      <c r="H411" s="60">
        <f>IFERROR(INDEX(tbl_Finance[Defer Start],$A411),"")</f>
        <v/>
      </c>
      <c r="I411" s="60">
        <f>IFERROR(INDEX(tbl_Finance[Defer End],$A411),"")</f>
        <v/>
      </c>
      <c r="J411" s="59">
        <f>IF(OR($H411="",$I411="",$G411=""),"",MAX(1,(YEAR($I411)-YEAR($H411))*12+MONTH($I411)-MONTH($H411)+1))</f>
        <v/>
      </c>
      <c r="K411" s="62">
        <f>IF($J411="","",$G411/$J411)</f>
        <v/>
      </c>
      <c r="L411" s="62">
        <f>IF($J411="",0,$K411*MAX(0,MIN(YEAR($C$3)*12+MONTH($C$3),YEAR($I411)*12+MONTH($I411))-(YEAR($H411)*12+MONTH($H411))+1))</f>
        <v/>
      </c>
      <c r="M411" s="62">
        <f>IF($J411="",0,$K411*MAX(0,MIN(YEAR($C$3)*12+MONTH($C$3)-1,YEAR($I411)*12+MONTH($I411))-(YEAR($H411)*12+MONTH($H411))+1))</f>
        <v/>
      </c>
      <c r="N411" s="62">
        <f>IF(OR($J411="",$B411=""),0,IF(YEAR($B411)*12+MONTH($B411)&lt;=YEAR($C$3)*12+MONTH($C$3),$G411,0))</f>
        <v/>
      </c>
      <c r="O411" s="62">
        <f>IF(OR($J411="",$B411=""),0,IF(YEAR($B411)*12+MONTH($B411)&lt;=YEAR($C$3)*12+MONTH($C$3)-1,$G411,0))</f>
        <v/>
      </c>
      <c r="P411" s="62">
        <f>$M411-$O411</f>
        <v/>
      </c>
      <c r="Q411" s="62">
        <f>($L411-$M411)-($N411-$O411)</f>
        <v/>
      </c>
      <c r="R411" s="62">
        <f>$L411-$N411</f>
        <v/>
      </c>
    </row>
    <row r="412">
      <c r="A412" s="59">
        <f>ROW()-5</f>
        <v/>
      </c>
      <c r="B412" s="60">
        <f>IFERROR(INDEX(tbl_Finance[Date],$A412),"")</f>
        <v/>
      </c>
      <c r="C412" s="61">
        <f>IFERROR(INDEX(tbl_Finance[Xero Invoice No],$A412),"")</f>
        <v/>
      </c>
      <c r="D412" s="61">
        <f>IFERROR(INDEX(tbl_Finance[Client],$A412),"")</f>
        <v/>
      </c>
      <c r="E412" s="61">
        <f>IFERROR(INDEX(tbl_Finance[Job Number],$A412),"")</f>
        <v/>
      </c>
      <c r="F412" s="61">
        <f>IFERROR(INDEX(tbl_Finance[Cost Centre],$A412),"")</f>
        <v/>
      </c>
      <c r="G412" s="62">
        <f>IFERROR(INDEX(tbl_Finance[Ex GST],$A412),"")</f>
        <v/>
      </c>
      <c r="H412" s="60">
        <f>IFERROR(INDEX(tbl_Finance[Defer Start],$A412),"")</f>
        <v/>
      </c>
      <c r="I412" s="60">
        <f>IFERROR(INDEX(tbl_Finance[Defer End],$A412),"")</f>
        <v/>
      </c>
      <c r="J412" s="59">
        <f>IF(OR($H412="",$I412="",$G412=""),"",MAX(1,(YEAR($I412)-YEAR($H412))*12+MONTH($I412)-MONTH($H412)+1))</f>
        <v/>
      </c>
      <c r="K412" s="62">
        <f>IF($J412="","",$G412/$J412)</f>
        <v/>
      </c>
      <c r="L412" s="62">
        <f>IF($J412="",0,$K412*MAX(0,MIN(YEAR($C$3)*12+MONTH($C$3),YEAR($I412)*12+MONTH($I412))-(YEAR($H412)*12+MONTH($H412))+1))</f>
        <v/>
      </c>
      <c r="M412" s="62">
        <f>IF($J412="",0,$K412*MAX(0,MIN(YEAR($C$3)*12+MONTH($C$3)-1,YEAR($I412)*12+MONTH($I412))-(YEAR($H412)*12+MONTH($H412))+1))</f>
        <v/>
      </c>
      <c r="N412" s="62">
        <f>IF(OR($J412="",$B412=""),0,IF(YEAR($B412)*12+MONTH($B412)&lt;=YEAR($C$3)*12+MONTH($C$3),$G412,0))</f>
        <v/>
      </c>
      <c r="O412" s="62">
        <f>IF(OR($J412="",$B412=""),0,IF(YEAR($B412)*12+MONTH($B412)&lt;=YEAR($C$3)*12+MONTH($C$3)-1,$G412,0))</f>
        <v/>
      </c>
      <c r="P412" s="62">
        <f>$M412-$O412</f>
        <v/>
      </c>
      <c r="Q412" s="62">
        <f>($L412-$M412)-($N412-$O412)</f>
        <v/>
      </c>
      <c r="R412" s="62">
        <f>$L412-$N412</f>
        <v/>
      </c>
    </row>
    <row r="413">
      <c r="A413" s="59">
        <f>ROW()-5</f>
        <v/>
      </c>
      <c r="B413" s="60">
        <f>IFERROR(INDEX(tbl_Finance[Date],$A413),"")</f>
        <v/>
      </c>
      <c r="C413" s="61">
        <f>IFERROR(INDEX(tbl_Finance[Xero Invoice No],$A413),"")</f>
        <v/>
      </c>
      <c r="D413" s="61">
        <f>IFERROR(INDEX(tbl_Finance[Client],$A413),"")</f>
        <v/>
      </c>
      <c r="E413" s="61">
        <f>IFERROR(INDEX(tbl_Finance[Job Number],$A413),"")</f>
        <v/>
      </c>
      <c r="F413" s="61">
        <f>IFERROR(INDEX(tbl_Finance[Cost Centre],$A413),"")</f>
        <v/>
      </c>
      <c r="G413" s="62">
        <f>IFERROR(INDEX(tbl_Finance[Ex GST],$A413),"")</f>
        <v/>
      </c>
      <c r="H413" s="60">
        <f>IFERROR(INDEX(tbl_Finance[Defer Start],$A413),"")</f>
        <v/>
      </c>
      <c r="I413" s="60">
        <f>IFERROR(INDEX(tbl_Finance[Defer End],$A413),"")</f>
        <v/>
      </c>
      <c r="J413" s="59">
        <f>IF(OR($H413="",$I413="",$G413=""),"",MAX(1,(YEAR($I413)-YEAR($H413))*12+MONTH($I413)-MONTH($H413)+1))</f>
        <v/>
      </c>
      <c r="K413" s="62">
        <f>IF($J413="","",$G413/$J413)</f>
        <v/>
      </c>
      <c r="L413" s="62">
        <f>IF($J413="",0,$K413*MAX(0,MIN(YEAR($C$3)*12+MONTH($C$3),YEAR($I413)*12+MONTH($I413))-(YEAR($H413)*12+MONTH($H413))+1))</f>
        <v/>
      </c>
      <c r="M413" s="62">
        <f>IF($J413="",0,$K413*MAX(0,MIN(YEAR($C$3)*12+MONTH($C$3)-1,YEAR($I413)*12+MONTH($I413))-(YEAR($H413)*12+MONTH($H413))+1))</f>
        <v/>
      </c>
      <c r="N413" s="62">
        <f>IF(OR($J413="",$B413=""),0,IF(YEAR($B413)*12+MONTH($B413)&lt;=YEAR($C$3)*12+MONTH($C$3),$G413,0))</f>
        <v/>
      </c>
      <c r="O413" s="62">
        <f>IF(OR($J413="",$B413=""),0,IF(YEAR($B413)*12+MONTH($B413)&lt;=YEAR($C$3)*12+MONTH($C$3)-1,$G413,0))</f>
        <v/>
      </c>
      <c r="P413" s="62">
        <f>$M413-$O413</f>
        <v/>
      </c>
      <c r="Q413" s="62">
        <f>($L413-$M413)-($N413-$O413)</f>
        <v/>
      </c>
      <c r="R413" s="62">
        <f>$L413-$N413</f>
        <v/>
      </c>
    </row>
    <row r="414">
      <c r="A414" s="59">
        <f>ROW()-5</f>
        <v/>
      </c>
      <c r="B414" s="60">
        <f>IFERROR(INDEX(tbl_Finance[Date],$A414),"")</f>
        <v/>
      </c>
      <c r="C414" s="61">
        <f>IFERROR(INDEX(tbl_Finance[Xero Invoice No],$A414),"")</f>
        <v/>
      </c>
      <c r="D414" s="61">
        <f>IFERROR(INDEX(tbl_Finance[Client],$A414),"")</f>
        <v/>
      </c>
      <c r="E414" s="61">
        <f>IFERROR(INDEX(tbl_Finance[Job Number],$A414),"")</f>
        <v/>
      </c>
      <c r="F414" s="61">
        <f>IFERROR(INDEX(tbl_Finance[Cost Centre],$A414),"")</f>
        <v/>
      </c>
      <c r="G414" s="62">
        <f>IFERROR(INDEX(tbl_Finance[Ex GST],$A414),"")</f>
        <v/>
      </c>
      <c r="H414" s="60">
        <f>IFERROR(INDEX(tbl_Finance[Defer Start],$A414),"")</f>
        <v/>
      </c>
      <c r="I414" s="60">
        <f>IFERROR(INDEX(tbl_Finance[Defer End],$A414),"")</f>
        <v/>
      </c>
      <c r="J414" s="59">
        <f>IF(OR($H414="",$I414="",$G414=""),"",MAX(1,(YEAR($I414)-YEAR($H414))*12+MONTH($I414)-MONTH($H414)+1))</f>
        <v/>
      </c>
      <c r="K414" s="62">
        <f>IF($J414="","",$G414/$J414)</f>
        <v/>
      </c>
      <c r="L414" s="62">
        <f>IF($J414="",0,$K414*MAX(0,MIN(YEAR($C$3)*12+MONTH($C$3),YEAR($I414)*12+MONTH($I414))-(YEAR($H414)*12+MONTH($H414))+1))</f>
        <v/>
      </c>
      <c r="M414" s="62">
        <f>IF($J414="",0,$K414*MAX(0,MIN(YEAR($C$3)*12+MONTH($C$3)-1,YEAR($I414)*12+MONTH($I414))-(YEAR($H414)*12+MONTH($H414))+1))</f>
        <v/>
      </c>
      <c r="N414" s="62">
        <f>IF(OR($J414="",$B414=""),0,IF(YEAR($B414)*12+MONTH($B414)&lt;=YEAR($C$3)*12+MONTH($C$3),$G414,0))</f>
        <v/>
      </c>
      <c r="O414" s="62">
        <f>IF(OR($J414="",$B414=""),0,IF(YEAR($B414)*12+MONTH($B414)&lt;=YEAR($C$3)*12+MONTH($C$3)-1,$G414,0))</f>
        <v/>
      </c>
      <c r="P414" s="62">
        <f>$M414-$O414</f>
        <v/>
      </c>
      <c r="Q414" s="62">
        <f>($L414-$M414)-($N414-$O414)</f>
        <v/>
      </c>
      <c r="R414" s="62">
        <f>$L414-$N414</f>
        <v/>
      </c>
    </row>
    <row r="415">
      <c r="A415" s="59">
        <f>ROW()-5</f>
        <v/>
      </c>
      <c r="B415" s="60">
        <f>IFERROR(INDEX(tbl_Finance[Date],$A415),"")</f>
        <v/>
      </c>
      <c r="C415" s="61">
        <f>IFERROR(INDEX(tbl_Finance[Xero Invoice No],$A415),"")</f>
        <v/>
      </c>
      <c r="D415" s="61">
        <f>IFERROR(INDEX(tbl_Finance[Client],$A415),"")</f>
        <v/>
      </c>
      <c r="E415" s="61">
        <f>IFERROR(INDEX(tbl_Finance[Job Number],$A415),"")</f>
        <v/>
      </c>
      <c r="F415" s="61">
        <f>IFERROR(INDEX(tbl_Finance[Cost Centre],$A415),"")</f>
        <v/>
      </c>
      <c r="G415" s="62">
        <f>IFERROR(INDEX(tbl_Finance[Ex GST],$A415),"")</f>
        <v/>
      </c>
      <c r="H415" s="60">
        <f>IFERROR(INDEX(tbl_Finance[Defer Start],$A415),"")</f>
        <v/>
      </c>
      <c r="I415" s="60">
        <f>IFERROR(INDEX(tbl_Finance[Defer End],$A415),"")</f>
        <v/>
      </c>
      <c r="J415" s="59">
        <f>IF(OR($H415="",$I415="",$G415=""),"",MAX(1,(YEAR($I415)-YEAR($H415))*12+MONTH($I415)-MONTH($H415)+1))</f>
        <v/>
      </c>
      <c r="K415" s="62">
        <f>IF($J415="","",$G415/$J415)</f>
        <v/>
      </c>
      <c r="L415" s="62">
        <f>IF($J415="",0,$K415*MAX(0,MIN(YEAR($C$3)*12+MONTH($C$3),YEAR($I415)*12+MONTH($I415))-(YEAR($H415)*12+MONTH($H415))+1))</f>
        <v/>
      </c>
      <c r="M415" s="62">
        <f>IF($J415="",0,$K415*MAX(0,MIN(YEAR($C$3)*12+MONTH($C$3)-1,YEAR($I415)*12+MONTH($I415))-(YEAR($H415)*12+MONTH($H415))+1))</f>
        <v/>
      </c>
      <c r="N415" s="62">
        <f>IF(OR($J415="",$B415=""),0,IF(YEAR($B415)*12+MONTH($B415)&lt;=YEAR($C$3)*12+MONTH($C$3),$G415,0))</f>
        <v/>
      </c>
      <c r="O415" s="62">
        <f>IF(OR($J415="",$B415=""),0,IF(YEAR($B415)*12+MONTH($B415)&lt;=YEAR($C$3)*12+MONTH($C$3)-1,$G415,0))</f>
        <v/>
      </c>
      <c r="P415" s="62">
        <f>$M415-$O415</f>
        <v/>
      </c>
      <c r="Q415" s="62">
        <f>($L415-$M415)-($N415-$O415)</f>
        <v/>
      </c>
      <c r="R415" s="62">
        <f>$L415-$N415</f>
        <v/>
      </c>
    </row>
    <row r="416">
      <c r="A416" s="59">
        <f>ROW()-5</f>
        <v/>
      </c>
      <c r="B416" s="60">
        <f>IFERROR(INDEX(tbl_Finance[Date],$A416),"")</f>
        <v/>
      </c>
      <c r="C416" s="61">
        <f>IFERROR(INDEX(tbl_Finance[Xero Invoice No],$A416),"")</f>
        <v/>
      </c>
      <c r="D416" s="61">
        <f>IFERROR(INDEX(tbl_Finance[Client],$A416),"")</f>
        <v/>
      </c>
      <c r="E416" s="61">
        <f>IFERROR(INDEX(tbl_Finance[Job Number],$A416),"")</f>
        <v/>
      </c>
      <c r="F416" s="61">
        <f>IFERROR(INDEX(tbl_Finance[Cost Centre],$A416),"")</f>
        <v/>
      </c>
      <c r="G416" s="62">
        <f>IFERROR(INDEX(tbl_Finance[Ex GST],$A416),"")</f>
        <v/>
      </c>
      <c r="H416" s="60">
        <f>IFERROR(INDEX(tbl_Finance[Defer Start],$A416),"")</f>
        <v/>
      </c>
      <c r="I416" s="60">
        <f>IFERROR(INDEX(tbl_Finance[Defer End],$A416),"")</f>
        <v/>
      </c>
      <c r="J416" s="59">
        <f>IF(OR($H416="",$I416="",$G416=""),"",MAX(1,(YEAR($I416)-YEAR($H416))*12+MONTH($I416)-MONTH($H416)+1))</f>
        <v/>
      </c>
      <c r="K416" s="62">
        <f>IF($J416="","",$G416/$J416)</f>
        <v/>
      </c>
      <c r="L416" s="62">
        <f>IF($J416="",0,$K416*MAX(0,MIN(YEAR($C$3)*12+MONTH($C$3),YEAR($I416)*12+MONTH($I416))-(YEAR($H416)*12+MONTH($H416))+1))</f>
        <v/>
      </c>
      <c r="M416" s="62">
        <f>IF($J416="",0,$K416*MAX(0,MIN(YEAR($C$3)*12+MONTH($C$3)-1,YEAR($I416)*12+MONTH($I416))-(YEAR($H416)*12+MONTH($H416))+1))</f>
        <v/>
      </c>
      <c r="N416" s="62">
        <f>IF(OR($J416="",$B416=""),0,IF(YEAR($B416)*12+MONTH($B416)&lt;=YEAR($C$3)*12+MONTH($C$3),$G416,0))</f>
        <v/>
      </c>
      <c r="O416" s="62">
        <f>IF(OR($J416="",$B416=""),0,IF(YEAR($B416)*12+MONTH($B416)&lt;=YEAR($C$3)*12+MONTH($C$3)-1,$G416,0))</f>
        <v/>
      </c>
      <c r="P416" s="62">
        <f>$M416-$O416</f>
        <v/>
      </c>
      <c r="Q416" s="62">
        <f>($L416-$M416)-($N416-$O416)</f>
        <v/>
      </c>
      <c r="R416" s="62">
        <f>$L416-$N416</f>
        <v/>
      </c>
    </row>
    <row r="417">
      <c r="A417" s="59">
        <f>ROW()-5</f>
        <v/>
      </c>
      <c r="B417" s="60">
        <f>IFERROR(INDEX(tbl_Finance[Date],$A417),"")</f>
        <v/>
      </c>
      <c r="C417" s="61">
        <f>IFERROR(INDEX(tbl_Finance[Xero Invoice No],$A417),"")</f>
        <v/>
      </c>
      <c r="D417" s="61">
        <f>IFERROR(INDEX(tbl_Finance[Client],$A417),"")</f>
        <v/>
      </c>
      <c r="E417" s="61">
        <f>IFERROR(INDEX(tbl_Finance[Job Number],$A417),"")</f>
        <v/>
      </c>
      <c r="F417" s="61">
        <f>IFERROR(INDEX(tbl_Finance[Cost Centre],$A417),"")</f>
        <v/>
      </c>
      <c r="G417" s="62">
        <f>IFERROR(INDEX(tbl_Finance[Ex GST],$A417),"")</f>
        <v/>
      </c>
      <c r="H417" s="60">
        <f>IFERROR(INDEX(tbl_Finance[Defer Start],$A417),"")</f>
        <v/>
      </c>
      <c r="I417" s="60">
        <f>IFERROR(INDEX(tbl_Finance[Defer End],$A417),"")</f>
        <v/>
      </c>
      <c r="J417" s="59">
        <f>IF(OR($H417="",$I417="",$G417=""),"",MAX(1,(YEAR($I417)-YEAR($H417))*12+MONTH($I417)-MONTH($H417)+1))</f>
        <v/>
      </c>
      <c r="K417" s="62">
        <f>IF($J417="","",$G417/$J417)</f>
        <v/>
      </c>
      <c r="L417" s="62">
        <f>IF($J417="",0,$K417*MAX(0,MIN(YEAR($C$3)*12+MONTH($C$3),YEAR($I417)*12+MONTH($I417))-(YEAR($H417)*12+MONTH($H417))+1))</f>
        <v/>
      </c>
      <c r="M417" s="62">
        <f>IF($J417="",0,$K417*MAX(0,MIN(YEAR($C$3)*12+MONTH($C$3)-1,YEAR($I417)*12+MONTH($I417))-(YEAR($H417)*12+MONTH($H417))+1))</f>
        <v/>
      </c>
      <c r="N417" s="62">
        <f>IF(OR($J417="",$B417=""),0,IF(YEAR($B417)*12+MONTH($B417)&lt;=YEAR($C$3)*12+MONTH($C$3),$G417,0))</f>
        <v/>
      </c>
      <c r="O417" s="62">
        <f>IF(OR($J417="",$B417=""),0,IF(YEAR($B417)*12+MONTH($B417)&lt;=YEAR($C$3)*12+MONTH($C$3)-1,$G417,0))</f>
        <v/>
      </c>
      <c r="P417" s="62">
        <f>$M417-$O417</f>
        <v/>
      </c>
      <c r="Q417" s="62">
        <f>($L417-$M417)-($N417-$O417)</f>
        <v/>
      </c>
      <c r="R417" s="62">
        <f>$L417-$N417</f>
        <v/>
      </c>
    </row>
    <row r="418">
      <c r="A418" s="59">
        <f>ROW()-5</f>
        <v/>
      </c>
      <c r="B418" s="60">
        <f>IFERROR(INDEX(tbl_Finance[Date],$A418),"")</f>
        <v/>
      </c>
      <c r="C418" s="61">
        <f>IFERROR(INDEX(tbl_Finance[Xero Invoice No],$A418),"")</f>
        <v/>
      </c>
      <c r="D418" s="61">
        <f>IFERROR(INDEX(tbl_Finance[Client],$A418),"")</f>
        <v/>
      </c>
      <c r="E418" s="61">
        <f>IFERROR(INDEX(tbl_Finance[Job Number],$A418),"")</f>
        <v/>
      </c>
      <c r="F418" s="61">
        <f>IFERROR(INDEX(tbl_Finance[Cost Centre],$A418),"")</f>
        <v/>
      </c>
      <c r="G418" s="62">
        <f>IFERROR(INDEX(tbl_Finance[Ex GST],$A418),"")</f>
        <v/>
      </c>
      <c r="H418" s="60">
        <f>IFERROR(INDEX(tbl_Finance[Defer Start],$A418),"")</f>
        <v/>
      </c>
      <c r="I418" s="60">
        <f>IFERROR(INDEX(tbl_Finance[Defer End],$A418),"")</f>
        <v/>
      </c>
      <c r="J418" s="59">
        <f>IF(OR($H418="",$I418="",$G418=""),"",MAX(1,(YEAR($I418)-YEAR($H418))*12+MONTH($I418)-MONTH($H418)+1))</f>
        <v/>
      </c>
      <c r="K418" s="62">
        <f>IF($J418="","",$G418/$J418)</f>
        <v/>
      </c>
      <c r="L418" s="62">
        <f>IF($J418="",0,$K418*MAX(0,MIN(YEAR($C$3)*12+MONTH($C$3),YEAR($I418)*12+MONTH($I418))-(YEAR($H418)*12+MONTH($H418))+1))</f>
        <v/>
      </c>
      <c r="M418" s="62">
        <f>IF($J418="",0,$K418*MAX(0,MIN(YEAR($C$3)*12+MONTH($C$3)-1,YEAR($I418)*12+MONTH($I418))-(YEAR($H418)*12+MONTH($H418))+1))</f>
        <v/>
      </c>
      <c r="N418" s="62">
        <f>IF(OR($J418="",$B418=""),0,IF(YEAR($B418)*12+MONTH($B418)&lt;=YEAR($C$3)*12+MONTH($C$3),$G418,0))</f>
        <v/>
      </c>
      <c r="O418" s="62">
        <f>IF(OR($J418="",$B418=""),0,IF(YEAR($B418)*12+MONTH($B418)&lt;=YEAR($C$3)*12+MONTH($C$3)-1,$G418,0))</f>
        <v/>
      </c>
      <c r="P418" s="62">
        <f>$M418-$O418</f>
        <v/>
      </c>
      <c r="Q418" s="62">
        <f>($L418-$M418)-($N418-$O418)</f>
        <v/>
      </c>
      <c r="R418" s="62">
        <f>$L418-$N418</f>
        <v/>
      </c>
    </row>
    <row r="419">
      <c r="A419" s="59">
        <f>ROW()-5</f>
        <v/>
      </c>
      <c r="B419" s="60">
        <f>IFERROR(INDEX(tbl_Finance[Date],$A419),"")</f>
        <v/>
      </c>
      <c r="C419" s="61">
        <f>IFERROR(INDEX(tbl_Finance[Xero Invoice No],$A419),"")</f>
        <v/>
      </c>
      <c r="D419" s="61">
        <f>IFERROR(INDEX(tbl_Finance[Client],$A419),"")</f>
        <v/>
      </c>
      <c r="E419" s="61">
        <f>IFERROR(INDEX(tbl_Finance[Job Number],$A419),"")</f>
        <v/>
      </c>
      <c r="F419" s="61">
        <f>IFERROR(INDEX(tbl_Finance[Cost Centre],$A419),"")</f>
        <v/>
      </c>
      <c r="G419" s="62">
        <f>IFERROR(INDEX(tbl_Finance[Ex GST],$A419),"")</f>
        <v/>
      </c>
      <c r="H419" s="60">
        <f>IFERROR(INDEX(tbl_Finance[Defer Start],$A419),"")</f>
        <v/>
      </c>
      <c r="I419" s="60">
        <f>IFERROR(INDEX(tbl_Finance[Defer End],$A419),"")</f>
        <v/>
      </c>
      <c r="J419" s="59">
        <f>IF(OR($H419="",$I419="",$G419=""),"",MAX(1,(YEAR($I419)-YEAR($H419))*12+MONTH($I419)-MONTH($H419)+1))</f>
        <v/>
      </c>
      <c r="K419" s="62">
        <f>IF($J419="","",$G419/$J419)</f>
        <v/>
      </c>
      <c r="L419" s="62">
        <f>IF($J419="",0,$K419*MAX(0,MIN(YEAR($C$3)*12+MONTH($C$3),YEAR($I419)*12+MONTH($I419))-(YEAR($H419)*12+MONTH($H419))+1))</f>
        <v/>
      </c>
      <c r="M419" s="62">
        <f>IF($J419="",0,$K419*MAX(0,MIN(YEAR($C$3)*12+MONTH($C$3)-1,YEAR($I419)*12+MONTH($I419))-(YEAR($H419)*12+MONTH($H419))+1))</f>
        <v/>
      </c>
      <c r="N419" s="62">
        <f>IF(OR($J419="",$B419=""),0,IF(YEAR($B419)*12+MONTH($B419)&lt;=YEAR($C$3)*12+MONTH($C$3),$G419,0))</f>
        <v/>
      </c>
      <c r="O419" s="62">
        <f>IF(OR($J419="",$B419=""),0,IF(YEAR($B419)*12+MONTH($B419)&lt;=YEAR($C$3)*12+MONTH($C$3)-1,$G419,0))</f>
        <v/>
      </c>
      <c r="P419" s="62">
        <f>$M419-$O419</f>
        <v/>
      </c>
      <c r="Q419" s="62">
        <f>($L419-$M419)-($N419-$O419)</f>
        <v/>
      </c>
      <c r="R419" s="62">
        <f>$L419-$N419</f>
        <v/>
      </c>
    </row>
    <row r="420">
      <c r="A420" s="59">
        <f>ROW()-5</f>
        <v/>
      </c>
      <c r="B420" s="60">
        <f>IFERROR(INDEX(tbl_Finance[Date],$A420),"")</f>
        <v/>
      </c>
      <c r="C420" s="61">
        <f>IFERROR(INDEX(tbl_Finance[Xero Invoice No],$A420),"")</f>
        <v/>
      </c>
      <c r="D420" s="61">
        <f>IFERROR(INDEX(tbl_Finance[Client],$A420),"")</f>
        <v/>
      </c>
      <c r="E420" s="61">
        <f>IFERROR(INDEX(tbl_Finance[Job Number],$A420),"")</f>
        <v/>
      </c>
      <c r="F420" s="61">
        <f>IFERROR(INDEX(tbl_Finance[Cost Centre],$A420),"")</f>
        <v/>
      </c>
      <c r="G420" s="62">
        <f>IFERROR(INDEX(tbl_Finance[Ex GST],$A420),"")</f>
        <v/>
      </c>
      <c r="H420" s="60">
        <f>IFERROR(INDEX(tbl_Finance[Defer Start],$A420),"")</f>
        <v/>
      </c>
      <c r="I420" s="60">
        <f>IFERROR(INDEX(tbl_Finance[Defer End],$A420),"")</f>
        <v/>
      </c>
      <c r="J420" s="59">
        <f>IF(OR($H420="",$I420="",$G420=""),"",MAX(1,(YEAR($I420)-YEAR($H420))*12+MONTH($I420)-MONTH($H420)+1))</f>
        <v/>
      </c>
      <c r="K420" s="62">
        <f>IF($J420="","",$G420/$J420)</f>
        <v/>
      </c>
      <c r="L420" s="62">
        <f>IF($J420="",0,$K420*MAX(0,MIN(YEAR($C$3)*12+MONTH($C$3),YEAR($I420)*12+MONTH($I420))-(YEAR($H420)*12+MONTH($H420))+1))</f>
        <v/>
      </c>
      <c r="M420" s="62">
        <f>IF($J420="",0,$K420*MAX(0,MIN(YEAR($C$3)*12+MONTH($C$3)-1,YEAR($I420)*12+MONTH($I420))-(YEAR($H420)*12+MONTH($H420))+1))</f>
        <v/>
      </c>
      <c r="N420" s="62">
        <f>IF(OR($J420="",$B420=""),0,IF(YEAR($B420)*12+MONTH($B420)&lt;=YEAR($C$3)*12+MONTH($C$3),$G420,0))</f>
        <v/>
      </c>
      <c r="O420" s="62">
        <f>IF(OR($J420="",$B420=""),0,IF(YEAR($B420)*12+MONTH($B420)&lt;=YEAR($C$3)*12+MONTH($C$3)-1,$G420,0))</f>
        <v/>
      </c>
      <c r="P420" s="62">
        <f>$M420-$O420</f>
        <v/>
      </c>
      <c r="Q420" s="62">
        <f>($L420-$M420)-($N420-$O420)</f>
        <v/>
      </c>
      <c r="R420" s="62">
        <f>$L420-$N420</f>
        <v/>
      </c>
    </row>
    <row r="421">
      <c r="A421" s="59">
        <f>ROW()-5</f>
        <v/>
      </c>
      <c r="B421" s="60">
        <f>IFERROR(INDEX(tbl_Finance[Date],$A421),"")</f>
        <v/>
      </c>
      <c r="C421" s="61">
        <f>IFERROR(INDEX(tbl_Finance[Xero Invoice No],$A421),"")</f>
        <v/>
      </c>
      <c r="D421" s="61">
        <f>IFERROR(INDEX(tbl_Finance[Client],$A421),"")</f>
        <v/>
      </c>
      <c r="E421" s="61">
        <f>IFERROR(INDEX(tbl_Finance[Job Number],$A421),"")</f>
        <v/>
      </c>
      <c r="F421" s="61">
        <f>IFERROR(INDEX(tbl_Finance[Cost Centre],$A421),"")</f>
        <v/>
      </c>
      <c r="G421" s="62">
        <f>IFERROR(INDEX(tbl_Finance[Ex GST],$A421),"")</f>
        <v/>
      </c>
      <c r="H421" s="60">
        <f>IFERROR(INDEX(tbl_Finance[Defer Start],$A421),"")</f>
        <v/>
      </c>
      <c r="I421" s="60">
        <f>IFERROR(INDEX(tbl_Finance[Defer End],$A421),"")</f>
        <v/>
      </c>
      <c r="J421" s="59">
        <f>IF(OR($H421="",$I421="",$G421=""),"",MAX(1,(YEAR($I421)-YEAR($H421))*12+MONTH($I421)-MONTH($H421)+1))</f>
        <v/>
      </c>
      <c r="K421" s="62">
        <f>IF($J421="","",$G421/$J421)</f>
        <v/>
      </c>
      <c r="L421" s="62">
        <f>IF($J421="",0,$K421*MAX(0,MIN(YEAR($C$3)*12+MONTH($C$3),YEAR($I421)*12+MONTH($I421))-(YEAR($H421)*12+MONTH($H421))+1))</f>
        <v/>
      </c>
      <c r="M421" s="62">
        <f>IF($J421="",0,$K421*MAX(0,MIN(YEAR($C$3)*12+MONTH($C$3)-1,YEAR($I421)*12+MONTH($I421))-(YEAR($H421)*12+MONTH($H421))+1))</f>
        <v/>
      </c>
      <c r="N421" s="62">
        <f>IF(OR($J421="",$B421=""),0,IF(YEAR($B421)*12+MONTH($B421)&lt;=YEAR($C$3)*12+MONTH($C$3),$G421,0))</f>
        <v/>
      </c>
      <c r="O421" s="62">
        <f>IF(OR($J421="",$B421=""),0,IF(YEAR($B421)*12+MONTH($B421)&lt;=YEAR($C$3)*12+MONTH($C$3)-1,$G421,0))</f>
        <v/>
      </c>
      <c r="P421" s="62">
        <f>$M421-$O421</f>
        <v/>
      </c>
      <c r="Q421" s="62">
        <f>($L421-$M421)-($N421-$O421)</f>
        <v/>
      </c>
      <c r="R421" s="62">
        <f>$L421-$N421</f>
        <v/>
      </c>
    </row>
    <row r="422">
      <c r="A422" s="59">
        <f>ROW()-5</f>
        <v/>
      </c>
      <c r="B422" s="60">
        <f>IFERROR(INDEX(tbl_Finance[Date],$A422),"")</f>
        <v/>
      </c>
      <c r="C422" s="61">
        <f>IFERROR(INDEX(tbl_Finance[Xero Invoice No],$A422),"")</f>
        <v/>
      </c>
      <c r="D422" s="61">
        <f>IFERROR(INDEX(tbl_Finance[Client],$A422),"")</f>
        <v/>
      </c>
      <c r="E422" s="61">
        <f>IFERROR(INDEX(tbl_Finance[Job Number],$A422),"")</f>
        <v/>
      </c>
      <c r="F422" s="61">
        <f>IFERROR(INDEX(tbl_Finance[Cost Centre],$A422),"")</f>
        <v/>
      </c>
      <c r="G422" s="62">
        <f>IFERROR(INDEX(tbl_Finance[Ex GST],$A422),"")</f>
        <v/>
      </c>
      <c r="H422" s="60">
        <f>IFERROR(INDEX(tbl_Finance[Defer Start],$A422),"")</f>
        <v/>
      </c>
      <c r="I422" s="60">
        <f>IFERROR(INDEX(tbl_Finance[Defer End],$A422),"")</f>
        <v/>
      </c>
      <c r="J422" s="59">
        <f>IF(OR($H422="",$I422="",$G422=""),"",MAX(1,(YEAR($I422)-YEAR($H422))*12+MONTH($I422)-MONTH($H422)+1))</f>
        <v/>
      </c>
      <c r="K422" s="62">
        <f>IF($J422="","",$G422/$J422)</f>
        <v/>
      </c>
      <c r="L422" s="62">
        <f>IF($J422="",0,$K422*MAX(0,MIN(YEAR($C$3)*12+MONTH($C$3),YEAR($I422)*12+MONTH($I422))-(YEAR($H422)*12+MONTH($H422))+1))</f>
        <v/>
      </c>
      <c r="M422" s="62">
        <f>IF($J422="",0,$K422*MAX(0,MIN(YEAR($C$3)*12+MONTH($C$3)-1,YEAR($I422)*12+MONTH($I422))-(YEAR($H422)*12+MONTH($H422))+1))</f>
        <v/>
      </c>
      <c r="N422" s="62">
        <f>IF(OR($J422="",$B422=""),0,IF(YEAR($B422)*12+MONTH($B422)&lt;=YEAR($C$3)*12+MONTH($C$3),$G422,0))</f>
        <v/>
      </c>
      <c r="O422" s="62">
        <f>IF(OR($J422="",$B422=""),0,IF(YEAR($B422)*12+MONTH($B422)&lt;=YEAR($C$3)*12+MONTH($C$3)-1,$G422,0))</f>
        <v/>
      </c>
      <c r="P422" s="62">
        <f>$M422-$O422</f>
        <v/>
      </c>
      <c r="Q422" s="62">
        <f>($L422-$M422)-($N422-$O422)</f>
        <v/>
      </c>
      <c r="R422" s="62">
        <f>$L422-$N422</f>
        <v/>
      </c>
    </row>
    <row r="423">
      <c r="A423" s="59">
        <f>ROW()-5</f>
        <v/>
      </c>
      <c r="B423" s="60">
        <f>IFERROR(INDEX(tbl_Finance[Date],$A423),"")</f>
        <v/>
      </c>
      <c r="C423" s="61">
        <f>IFERROR(INDEX(tbl_Finance[Xero Invoice No],$A423),"")</f>
        <v/>
      </c>
      <c r="D423" s="61">
        <f>IFERROR(INDEX(tbl_Finance[Client],$A423),"")</f>
        <v/>
      </c>
      <c r="E423" s="61">
        <f>IFERROR(INDEX(tbl_Finance[Job Number],$A423),"")</f>
        <v/>
      </c>
      <c r="F423" s="61">
        <f>IFERROR(INDEX(tbl_Finance[Cost Centre],$A423),"")</f>
        <v/>
      </c>
      <c r="G423" s="62">
        <f>IFERROR(INDEX(tbl_Finance[Ex GST],$A423),"")</f>
        <v/>
      </c>
      <c r="H423" s="60">
        <f>IFERROR(INDEX(tbl_Finance[Defer Start],$A423),"")</f>
        <v/>
      </c>
      <c r="I423" s="60">
        <f>IFERROR(INDEX(tbl_Finance[Defer End],$A423),"")</f>
        <v/>
      </c>
      <c r="J423" s="59">
        <f>IF(OR($H423="",$I423="",$G423=""),"",MAX(1,(YEAR($I423)-YEAR($H423))*12+MONTH($I423)-MONTH($H423)+1))</f>
        <v/>
      </c>
      <c r="K423" s="62">
        <f>IF($J423="","",$G423/$J423)</f>
        <v/>
      </c>
      <c r="L423" s="62">
        <f>IF($J423="",0,$K423*MAX(0,MIN(YEAR($C$3)*12+MONTH($C$3),YEAR($I423)*12+MONTH($I423))-(YEAR($H423)*12+MONTH($H423))+1))</f>
        <v/>
      </c>
      <c r="M423" s="62">
        <f>IF($J423="",0,$K423*MAX(0,MIN(YEAR($C$3)*12+MONTH($C$3)-1,YEAR($I423)*12+MONTH($I423))-(YEAR($H423)*12+MONTH($H423))+1))</f>
        <v/>
      </c>
      <c r="N423" s="62">
        <f>IF(OR($J423="",$B423=""),0,IF(YEAR($B423)*12+MONTH($B423)&lt;=YEAR($C$3)*12+MONTH($C$3),$G423,0))</f>
        <v/>
      </c>
      <c r="O423" s="62">
        <f>IF(OR($J423="",$B423=""),0,IF(YEAR($B423)*12+MONTH($B423)&lt;=YEAR($C$3)*12+MONTH($C$3)-1,$G423,0))</f>
        <v/>
      </c>
      <c r="P423" s="62">
        <f>$M423-$O423</f>
        <v/>
      </c>
      <c r="Q423" s="62">
        <f>($L423-$M423)-($N423-$O423)</f>
        <v/>
      </c>
      <c r="R423" s="62">
        <f>$L423-$N423</f>
        <v/>
      </c>
    </row>
    <row r="424">
      <c r="A424" s="59">
        <f>ROW()-5</f>
        <v/>
      </c>
      <c r="B424" s="60">
        <f>IFERROR(INDEX(tbl_Finance[Date],$A424),"")</f>
        <v/>
      </c>
      <c r="C424" s="61">
        <f>IFERROR(INDEX(tbl_Finance[Xero Invoice No],$A424),"")</f>
        <v/>
      </c>
      <c r="D424" s="61">
        <f>IFERROR(INDEX(tbl_Finance[Client],$A424),"")</f>
        <v/>
      </c>
      <c r="E424" s="61">
        <f>IFERROR(INDEX(tbl_Finance[Job Number],$A424),"")</f>
        <v/>
      </c>
      <c r="F424" s="61">
        <f>IFERROR(INDEX(tbl_Finance[Cost Centre],$A424),"")</f>
        <v/>
      </c>
      <c r="G424" s="62">
        <f>IFERROR(INDEX(tbl_Finance[Ex GST],$A424),"")</f>
        <v/>
      </c>
      <c r="H424" s="60">
        <f>IFERROR(INDEX(tbl_Finance[Defer Start],$A424),"")</f>
        <v/>
      </c>
      <c r="I424" s="60">
        <f>IFERROR(INDEX(tbl_Finance[Defer End],$A424),"")</f>
        <v/>
      </c>
      <c r="J424" s="59">
        <f>IF(OR($H424="",$I424="",$G424=""),"",MAX(1,(YEAR($I424)-YEAR($H424))*12+MONTH($I424)-MONTH($H424)+1))</f>
        <v/>
      </c>
      <c r="K424" s="62">
        <f>IF($J424="","",$G424/$J424)</f>
        <v/>
      </c>
      <c r="L424" s="62">
        <f>IF($J424="",0,$K424*MAX(0,MIN(YEAR($C$3)*12+MONTH($C$3),YEAR($I424)*12+MONTH($I424))-(YEAR($H424)*12+MONTH($H424))+1))</f>
        <v/>
      </c>
      <c r="M424" s="62">
        <f>IF($J424="",0,$K424*MAX(0,MIN(YEAR($C$3)*12+MONTH($C$3)-1,YEAR($I424)*12+MONTH($I424))-(YEAR($H424)*12+MONTH($H424))+1))</f>
        <v/>
      </c>
      <c r="N424" s="62">
        <f>IF(OR($J424="",$B424=""),0,IF(YEAR($B424)*12+MONTH($B424)&lt;=YEAR($C$3)*12+MONTH($C$3),$G424,0))</f>
        <v/>
      </c>
      <c r="O424" s="62">
        <f>IF(OR($J424="",$B424=""),0,IF(YEAR($B424)*12+MONTH($B424)&lt;=YEAR($C$3)*12+MONTH($C$3)-1,$G424,0))</f>
        <v/>
      </c>
      <c r="P424" s="62">
        <f>$M424-$O424</f>
        <v/>
      </c>
      <c r="Q424" s="62">
        <f>($L424-$M424)-($N424-$O424)</f>
        <v/>
      </c>
      <c r="R424" s="62">
        <f>$L424-$N424</f>
        <v/>
      </c>
    </row>
    <row r="425">
      <c r="A425" s="59">
        <f>ROW()-5</f>
        <v/>
      </c>
      <c r="B425" s="60">
        <f>IFERROR(INDEX(tbl_Finance[Date],$A425),"")</f>
        <v/>
      </c>
      <c r="C425" s="61">
        <f>IFERROR(INDEX(tbl_Finance[Xero Invoice No],$A425),"")</f>
        <v/>
      </c>
      <c r="D425" s="61">
        <f>IFERROR(INDEX(tbl_Finance[Client],$A425),"")</f>
        <v/>
      </c>
      <c r="E425" s="61">
        <f>IFERROR(INDEX(tbl_Finance[Job Number],$A425),"")</f>
        <v/>
      </c>
      <c r="F425" s="61">
        <f>IFERROR(INDEX(tbl_Finance[Cost Centre],$A425),"")</f>
        <v/>
      </c>
      <c r="G425" s="62">
        <f>IFERROR(INDEX(tbl_Finance[Ex GST],$A425),"")</f>
        <v/>
      </c>
      <c r="H425" s="60">
        <f>IFERROR(INDEX(tbl_Finance[Defer Start],$A425),"")</f>
        <v/>
      </c>
      <c r="I425" s="60">
        <f>IFERROR(INDEX(tbl_Finance[Defer End],$A425),"")</f>
        <v/>
      </c>
      <c r="J425" s="59">
        <f>IF(OR($H425="",$I425="",$G425=""),"",MAX(1,(YEAR($I425)-YEAR($H425))*12+MONTH($I425)-MONTH($H425)+1))</f>
        <v/>
      </c>
      <c r="K425" s="62">
        <f>IF($J425="","",$G425/$J425)</f>
        <v/>
      </c>
      <c r="L425" s="62">
        <f>IF($J425="",0,$K425*MAX(0,MIN(YEAR($C$3)*12+MONTH($C$3),YEAR($I425)*12+MONTH($I425))-(YEAR($H425)*12+MONTH($H425))+1))</f>
        <v/>
      </c>
      <c r="M425" s="62">
        <f>IF($J425="",0,$K425*MAX(0,MIN(YEAR($C$3)*12+MONTH($C$3)-1,YEAR($I425)*12+MONTH($I425))-(YEAR($H425)*12+MONTH($H425))+1))</f>
        <v/>
      </c>
      <c r="N425" s="62">
        <f>IF(OR($J425="",$B425=""),0,IF(YEAR($B425)*12+MONTH($B425)&lt;=YEAR($C$3)*12+MONTH($C$3),$G425,0))</f>
        <v/>
      </c>
      <c r="O425" s="62">
        <f>IF(OR($J425="",$B425=""),0,IF(YEAR($B425)*12+MONTH($B425)&lt;=YEAR($C$3)*12+MONTH($C$3)-1,$G425,0))</f>
        <v/>
      </c>
      <c r="P425" s="62">
        <f>$M425-$O425</f>
        <v/>
      </c>
      <c r="Q425" s="62">
        <f>($L425-$M425)-($N425-$O425)</f>
        <v/>
      </c>
      <c r="R425" s="62">
        <f>$L425-$N425</f>
        <v/>
      </c>
    </row>
    <row r="426">
      <c r="A426" s="59">
        <f>ROW()-5</f>
        <v/>
      </c>
      <c r="B426" s="60">
        <f>IFERROR(INDEX(tbl_Finance[Date],$A426),"")</f>
        <v/>
      </c>
      <c r="C426" s="61">
        <f>IFERROR(INDEX(tbl_Finance[Xero Invoice No],$A426),"")</f>
        <v/>
      </c>
      <c r="D426" s="61">
        <f>IFERROR(INDEX(tbl_Finance[Client],$A426),"")</f>
        <v/>
      </c>
      <c r="E426" s="61">
        <f>IFERROR(INDEX(tbl_Finance[Job Number],$A426),"")</f>
        <v/>
      </c>
      <c r="F426" s="61">
        <f>IFERROR(INDEX(tbl_Finance[Cost Centre],$A426),"")</f>
        <v/>
      </c>
      <c r="G426" s="62">
        <f>IFERROR(INDEX(tbl_Finance[Ex GST],$A426),"")</f>
        <v/>
      </c>
      <c r="H426" s="60">
        <f>IFERROR(INDEX(tbl_Finance[Defer Start],$A426),"")</f>
        <v/>
      </c>
      <c r="I426" s="60">
        <f>IFERROR(INDEX(tbl_Finance[Defer End],$A426),"")</f>
        <v/>
      </c>
      <c r="J426" s="59">
        <f>IF(OR($H426="",$I426="",$G426=""),"",MAX(1,(YEAR($I426)-YEAR($H426))*12+MONTH($I426)-MONTH($H426)+1))</f>
        <v/>
      </c>
      <c r="K426" s="62">
        <f>IF($J426="","",$G426/$J426)</f>
        <v/>
      </c>
      <c r="L426" s="62">
        <f>IF($J426="",0,$K426*MAX(0,MIN(YEAR($C$3)*12+MONTH($C$3),YEAR($I426)*12+MONTH($I426))-(YEAR($H426)*12+MONTH($H426))+1))</f>
        <v/>
      </c>
      <c r="M426" s="62">
        <f>IF($J426="",0,$K426*MAX(0,MIN(YEAR($C$3)*12+MONTH($C$3)-1,YEAR($I426)*12+MONTH($I426))-(YEAR($H426)*12+MONTH($H426))+1))</f>
        <v/>
      </c>
      <c r="N426" s="62">
        <f>IF(OR($J426="",$B426=""),0,IF(YEAR($B426)*12+MONTH($B426)&lt;=YEAR($C$3)*12+MONTH($C$3),$G426,0))</f>
        <v/>
      </c>
      <c r="O426" s="62">
        <f>IF(OR($J426="",$B426=""),0,IF(YEAR($B426)*12+MONTH($B426)&lt;=YEAR($C$3)*12+MONTH($C$3)-1,$G426,0))</f>
        <v/>
      </c>
      <c r="P426" s="62">
        <f>$M426-$O426</f>
        <v/>
      </c>
      <c r="Q426" s="62">
        <f>($L426-$M426)-($N426-$O426)</f>
        <v/>
      </c>
      <c r="R426" s="62">
        <f>$L426-$N426</f>
        <v/>
      </c>
    </row>
    <row r="427">
      <c r="A427" s="59">
        <f>ROW()-5</f>
        <v/>
      </c>
      <c r="B427" s="60">
        <f>IFERROR(INDEX(tbl_Finance[Date],$A427),"")</f>
        <v/>
      </c>
      <c r="C427" s="61">
        <f>IFERROR(INDEX(tbl_Finance[Xero Invoice No],$A427),"")</f>
        <v/>
      </c>
      <c r="D427" s="61">
        <f>IFERROR(INDEX(tbl_Finance[Client],$A427),"")</f>
        <v/>
      </c>
      <c r="E427" s="61">
        <f>IFERROR(INDEX(tbl_Finance[Job Number],$A427),"")</f>
        <v/>
      </c>
      <c r="F427" s="61">
        <f>IFERROR(INDEX(tbl_Finance[Cost Centre],$A427),"")</f>
        <v/>
      </c>
      <c r="G427" s="62">
        <f>IFERROR(INDEX(tbl_Finance[Ex GST],$A427),"")</f>
        <v/>
      </c>
      <c r="H427" s="60">
        <f>IFERROR(INDEX(tbl_Finance[Defer Start],$A427),"")</f>
        <v/>
      </c>
      <c r="I427" s="60">
        <f>IFERROR(INDEX(tbl_Finance[Defer End],$A427),"")</f>
        <v/>
      </c>
      <c r="J427" s="59">
        <f>IF(OR($H427="",$I427="",$G427=""),"",MAX(1,(YEAR($I427)-YEAR($H427))*12+MONTH($I427)-MONTH($H427)+1))</f>
        <v/>
      </c>
      <c r="K427" s="62">
        <f>IF($J427="","",$G427/$J427)</f>
        <v/>
      </c>
      <c r="L427" s="62">
        <f>IF($J427="",0,$K427*MAX(0,MIN(YEAR($C$3)*12+MONTH($C$3),YEAR($I427)*12+MONTH($I427))-(YEAR($H427)*12+MONTH($H427))+1))</f>
        <v/>
      </c>
      <c r="M427" s="62">
        <f>IF($J427="",0,$K427*MAX(0,MIN(YEAR($C$3)*12+MONTH($C$3)-1,YEAR($I427)*12+MONTH($I427))-(YEAR($H427)*12+MONTH($H427))+1))</f>
        <v/>
      </c>
      <c r="N427" s="62">
        <f>IF(OR($J427="",$B427=""),0,IF(YEAR($B427)*12+MONTH($B427)&lt;=YEAR($C$3)*12+MONTH($C$3),$G427,0))</f>
        <v/>
      </c>
      <c r="O427" s="62">
        <f>IF(OR($J427="",$B427=""),0,IF(YEAR($B427)*12+MONTH($B427)&lt;=YEAR($C$3)*12+MONTH($C$3)-1,$G427,0))</f>
        <v/>
      </c>
      <c r="P427" s="62">
        <f>$M427-$O427</f>
        <v/>
      </c>
      <c r="Q427" s="62">
        <f>($L427-$M427)-($N427-$O427)</f>
        <v/>
      </c>
      <c r="R427" s="62">
        <f>$L427-$N427</f>
        <v/>
      </c>
    </row>
    <row r="428">
      <c r="A428" s="59">
        <f>ROW()-5</f>
        <v/>
      </c>
      <c r="B428" s="60">
        <f>IFERROR(INDEX(tbl_Finance[Date],$A428),"")</f>
        <v/>
      </c>
      <c r="C428" s="61">
        <f>IFERROR(INDEX(tbl_Finance[Xero Invoice No],$A428),"")</f>
        <v/>
      </c>
      <c r="D428" s="61">
        <f>IFERROR(INDEX(tbl_Finance[Client],$A428),"")</f>
        <v/>
      </c>
      <c r="E428" s="61">
        <f>IFERROR(INDEX(tbl_Finance[Job Number],$A428),"")</f>
        <v/>
      </c>
      <c r="F428" s="61">
        <f>IFERROR(INDEX(tbl_Finance[Cost Centre],$A428),"")</f>
        <v/>
      </c>
      <c r="G428" s="62">
        <f>IFERROR(INDEX(tbl_Finance[Ex GST],$A428),"")</f>
        <v/>
      </c>
      <c r="H428" s="60">
        <f>IFERROR(INDEX(tbl_Finance[Defer Start],$A428),"")</f>
        <v/>
      </c>
      <c r="I428" s="60">
        <f>IFERROR(INDEX(tbl_Finance[Defer End],$A428),"")</f>
        <v/>
      </c>
      <c r="J428" s="59">
        <f>IF(OR($H428="",$I428="",$G428=""),"",MAX(1,(YEAR($I428)-YEAR($H428))*12+MONTH($I428)-MONTH($H428)+1))</f>
        <v/>
      </c>
      <c r="K428" s="62">
        <f>IF($J428="","",$G428/$J428)</f>
        <v/>
      </c>
      <c r="L428" s="62">
        <f>IF($J428="",0,$K428*MAX(0,MIN(YEAR($C$3)*12+MONTH($C$3),YEAR($I428)*12+MONTH($I428))-(YEAR($H428)*12+MONTH($H428))+1))</f>
        <v/>
      </c>
      <c r="M428" s="62">
        <f>IF($J428="",0,$K428*MAX(0,MIN(YEAR($C$3)*12+MONTH($C$3)-1,YEAR($I428)*12+MONTH($I428))-(YEAR($H428)*12+MONTH($H428))+1))</f>
        <v/>
      </c>
      <c r="N428" s="62">
        <f>IF(OR($J428="",$B428=""),0,IF(YEAR($B428)*12+MONTH($B428)&lt;=YEAR($C$3)*12+MONTH($C$3),$G428,0))</f>
        <v/>
      </c>
      <c r="O428" s="62">
        <f>IF(OR($J428="",$B428=""),0,IF(YEAR($B428)*12+MONTH($B428)&lt;=YEAR($C$3)*12+MONTH($C$3)-1,$G428,0))</f>
        <v/>
      </c>
      <c r="P428" s="62">
        <f>$M428-$O428</f>
        <v/>
      </c>
      <c r="Q428" s="62">
        <f>($L428-$M428)-($N428-$O428)</f>
        <v/>
      </c>
      <c r="R428" s="62">
        <f>$L428-$N428</f>
        <v/>
      </c>
    </row>
    <row r="429">
      <c r="A429" s="59">
        <f>ROW()-5</f>
        <v/>
      </c>
      <c r="B429" s="60">
        <f>IFERROR(INDEX(tbl_Finance[Date],$A429),"")</f>
        <v/>
      </c>
      <c r="C429" s="61">
        <f>IFERROR(INDEX(tbl_Finance[Xero Invoice No],$A429),"")</f>
        <v/>
      </c>
      <c r="D429" s="61">
        <f>IFERROR(INDEX(tbl_Finance[Client],$A429),"")</f>
        <v/>
      </c>
      <c r="E429" s="61">
        <f>IFERROR(INDEX(tbl_Finance[Job Number],$A429),"")</f>
        <v/>
      </c>
      <c r="F429" s="61">
        <f>IFERROR(INDEX(tbl_Finance[Cost Centre],$A429),"")</f>
        <v/>
      </c>
      <c r="G429" s="62">
        <f>IFERROR(INDEX(tbl_Finance[Ex GST],$A429),"")</f>
        <v/>
      </c>
      <c r="H429" s="60">
        <f>IFERROR(INDEX(tbl_Finance[Defer Start],$A429),"")</f>
        <v/>
      </c>
      <c r="I429" s="60">
        <f>IFERROR(INDEX(tbl_Finance[Defer End],$A429),"")</f>
        <v/>
      </c>
      <c r="J429" s="59">
        <f>IF(OR($H429="",$I429="",$G429=""),"",MAX(1,(YEAR($I429)-YEAR($H429))*12+MONTH($I429)-MONTH($H429)+1))</f>
        <v/>
      </c>
      <c r="K429" s="62">
        <f>IF($J429="","",$G429/$J429)</f>
        <v/>
      </c>
      <c r="L429" s="62">
        <f>IF($J429="",0,$K429*MAX(0,MIN(YEAR($C$3)*12+MONTH($C$3),YEAR($I429)*12+MONTH($I429))-(YEAR($H429)*12+MONTH($H429))+1))</f>
        <v/>
      </c>
      <c r="M429" s="62">
        <f>IF($J429="",0,$K429*MAX(0,MIN(YEAR($C$3)*12+MONTH($C$3)-1,YEAR($I429)*12+MONTH($I429))-(YEAR($H429)*12+MONTH($H429))+1))</f>
        <v/>
      </c>
      <c r="N429" s="62">
        <f>IF(OR($J429="",$B429=""),0,IF(YEAR($B429)*12+MONTH($B429)&lt;=YEAR($C$3)*12+MONTH($C$3),$G429,0))</f>
        <v/>
      </c>
      <c r="O429" s="62">
        <f>IF(OR($J429="",$B429=""),0,IF(YEAR($B429)*12+MONTH($B429)&lt;=YEAR($C$3)*12+MONTH($C$3)-1,$G429,0))</f>
        <v/>
      </c>
      <c r="P429" s="62">
        <f>$M429-$O429</f>
        <v/>
      </c>
      <c r="Q429" s="62">
        <f>($L429-$M429)-($N429-$O429)</f>
        <v/>
      </c>
      <c r="R429" s="62">
        <f>$L429-$N429</f>
        <v/>
      </c>
    </row>
    <row r="430">
      <c r="A430" s="59">
        <f>ROW()-5</f>
        <v/>
      </c>
      <c r="B430" s="60">
        <f>IFERROR(INDEX(tbl_Finance[Date],$A430),"")</f>
        <v/>
      </c>
      <c r="C430" s="61">
        <f>IFERROR(INDEX(tbl_Finance[Xero Invoice No],$A430),"")</f>
        <v/>
      </c>
      <c r="D430" s="61">
        <f>IFERROR(INDEX(tbl_Finance[Client],$A430),"")</f>
        <v/>
      </c>
      <c r="E430" s="61">
        <f>IFERROR(INDEX(tbl_Finance[Job Number],$A430),"")</f>
        <v/>
      </c>
      <c r="F430" s="61">
        <f>IFERROR(INDEX(tbl_Finance[Cost Centre],$A430),"")</f>
        <v/>
      </c>
      <c r="G430" s="62">
        <f>IFERROR(INDEX(tbl_Finance[Ex GST],$A430),"")</f>
        <v/>
      </c>
      <c r="H430" s="60">
        <f>IFERROR(INDEX(tbl_Finance[Defer Start],$A430),"")</f>
        <v/>
      </c>
      <c r="I430" s="60">
        <f>IFERROR(INDEX(tbl_Finance[Defer End],$A430),"")</f>
        <v/>
      </c>
      <c r="J430" s="59">
        <f>IF(OR($H430="",$I430="",$G430=""),"",MAX(1,(YEAR($I430)-YEAR($H430))*12+MONTH($I430)-MONTH($H430)+1))</f>
        <v/>
      </c>
      <c r="K430" s="62">
        <f>IF($J430="","",$G430/$J430)</f>
        <v/>
      </c>
      <c r="L430" s="62">
        <f>IF($J430="",0,$K430*MAX(0,MIN(YEAR($C$3)*12+MONTH($C$3),YEAR($I430)*12+MONTH($I430))-(YEAR($H430)*12+MONTH($H430))+1))</f>
        <v/>
      </c>
      <c r="M430" s="62">
        <f>IF($J430="",0,$K430*MAX(0,MIN(YEAR($C$3)*12+MONTH($C$3)-1,YEAR($I430)*12+MONTH($I430))-(YEAR($H430)*12+MONTH($H430))+1))</f>
        <v/>
      </c>
      <c r="N430" s="62">
        <f>IF(OR($J430="",$B430=""),0,IF(YEAR($B430)*12+MONTH($B430)&lt;=YEAR($C$3)*12+MONTH($C$3),$G430,0))</f>
        <v/>
      </c>
      <c r="O430" s="62">
        <f>IF(OR($J430="",$B430=""),0,IF(YEAR($B430)*12+MONTH($B430)&lt;=YEAR($C$3)*12+MONTH($C$3)-1,$G430,0))</f>
        <v/>
      </c>
      <c r="P430" s="62">
        <f>$M430-$O430</f>
        <v/>
      </c>
      <c r="Q430" s="62">
        <f>($L430-$M430)-($N430-$O430)</f>
        <v/>
      </c>
      <c r="R430" s="62">
        <f>$L430-$N430</f>
        <v/>
      </c>
    </row>
    <row r="431">
      <c r="A431" s="59">
        <f>ROW()-5</f>
        <v/>
      </c>
      <c r="B431" s="60">
        <f>IFERROR(INDEX(tbl_Finance[Date],$A431),"")</f>
        <v/>
      </c>
      <c r="C431" s="61">
        <f>IFERROR(INDEX(tbl_Finance[Xero Invoice No],$A431),"")</f>
        <v/>
      </c>
      <c r="D431" s="61">
        <f>IFERROR(INDEX(tbl_Finance[Client],$A431),"")</f>
        <v/>
      </c>
      <c r="E431" s="61">
        <f>IFERROR(INDEX(tbl_Finance[Job Number],$A431),"")</f>
        <v/>
      </c>
      <c r="F431" s="61">
        <f>IFERROR(INDEX(tbl_Finance[Cost Centre],$A431),"")</f>
        <v/>
      </c>
      <c r="G431" s="62">
        <f>IFERROR(INDEX(tbl_Finance[Ex GST],$A431),"")</f>
        <v/>
      </c>
      <c r="H431" s="60">
        <f>IFERROR(INDEX(tbl_Finance[Defer Start],$A431),"")</f>
        <v/>
      </c>
      <c r="I431" s="60">
        <f>IFERROR(INDEX(tbl_Finance[Defer End],$A431),"")</f>
        <v/>
      </c>
      <c r="J431" s="59">
        <f>IF(OR($H431="",$I431="",$G431=""),"",MAX(1,(YEAR($I431)-YEAR($H431))*12+MONTH($I431)-MONTH($H431)+1))</f>
        <v/>
      </c>
      <c r="K431" s="62">
        <f>IF($J431="","",$G431/$J431)</f>
        <v/>
      </c>
      <c r="L431" s="62">
        <f>IF($J431="",0,$K431*MAX(0,MIN(YEAR($C$3)*12+MONTH($C$3),YEAR($I431)*12+MONTH($I431))-(YEAR($H431)*12+MONTH($H431))+1))</f>
        <v/>
      </c>
      <c r="M431" s="62">
        <f>IF($J431="",0,$K431*MAX(0,MIN(YEAR($C$3)*12+MONTH($C$3)-1,YEAR($I431)*12+MONTH($I431))-(YEAR($H431)*12+MONTH($H431))+1))</f>
        <v/>
      </c>
      <c r="N431" s="62">
        <f>IF(OR($J431="",$B431=""),0,IF(YEAR($B431)*12+MONTH($B431)&lt;=YEAR($C$3)*12+MONTH($C$3),$G431,0))</f>
        <v/>
      </c>
      <c r="O431" s="62">
        <f>IF(OR($J431="",$B431=""),0,IF(YEAR($B431)*12+MONTH($B431)&lt;=YEAR($C$3)*12+MONTH($C$3)-1,$G431,0))</f>
        <v/>
      </c>
      <c r="P431" s="62">
        <f>$M431-$O431</f>
        <v/>
      </c>
      <c r="Q431" s="62">
        <f>($L431-$M431)-($N431-$O431)</f>
        <v/>
      </c>
      <c r="R431" s="62">
        <f>$L431-$N431</f>
        <v/>
      </c>
    </row>
    <row r="432">
      <c r="A432" s="59">
        <f>ROW()-5</f>
        <v/>
      </c>
      <c r="B432" s="60">
        <f>IFERROR(INDEX(tbl_Finance[Date],$A432),"")</f>
        <v/>
      </c>
      <c r="C432" s="61">
        <f>IFERROR(INDEX(tbl_Finance[Xero Invoice No],$A432),"")</f>
        <v/>
      </c>
      <c r="D432" s="61">
        <f>IFERROR(INDEX(tbl_Finance[Client],$A432),"")</f>
        <v/>
      </c>
      <c r="E432" s="61">
        <f>IFERROR(INDEX(tbl_Finance[Job Number],$A432),"")</f>
        <v/>
      </c>
      <c r="F432" s="61">
        <f>IFERROR(INDEX(tbl_Finance[Cost Centre],$A432),"")</f>
        <v/>
      </c>
      <c r="G432" s="62">
        <f>IFERROR(INDEX(tbl_Finance[Ex GST],$A432),"")</f>
        <v/>
      </c>
      <c r="H432" s="60">
        <f>IFERROR(INDEX(tbl_Finance[Defer Start],$A432),"")</f>
        <v/>
      </c>
      <c r="I432" s="60">
        <f>IFERROR(INDEX(tbl_Finance[Defer End],$A432),"")</f>
        <v/>
      </c>
      <c r="J432" s="59">
        <f>IF(OR($H432="",$I432="",$G432=""),"",MAX(1,(YEAR($I432)-YEAR($H432))*12+MONTH($I432)-MONTH($H432)+1))</f>
        <v/>
      </c>
      <c r="K432" s="62">
        <f>IF($J432="","",$G432/$J432)</f>
        <v/>
      </c>
      <c r="L432" s="62">
        <f>IF($J432="",0,$K432*MAX(0,MIN(YEAR($C$3)*12+MONTH($C$3),YEAR($I432)*12+MONTH($I432))-(YEAR($H432)*12+MONTH($H432))+1))</f>
        <v/>
      </c>
      <c r="M432" s="62">
        <f>IF($J432="",0,$K432*MAX(0,MIN(YEAR($C$3)*12+MONTH($C$3)-1,YEAR($I432)*12+MONTH($I432))-(YEAR($H432)*12+MONTH($H432))+1))</f>
        <v/>
      </c>
      <c r="N432" s="62">
        <f>IF(OR($J432="",$B432=""),0,IF(YEAR($B432)*12+MONTH($B432)&lt;=YEAR($C$3)*12+MONTH($C$3),$G432,0))</f>
        <v/>
      </c>
      <c r="O432" s="62">
        <f>IF(OR($J432="",$B432=""),0,IF(YEAR($B432)*12+MONTH($B432)&lt;=YEAR($C$3)*12+MONTH($C$3)-1,$G432,0))</f>
        <v/>
      </c>
      <c r="P432" s="62">
        <f>$M432-$O432</f>
        <v/>
      </c>
      <c r="Q432" s="62">
        <f>($L432-$M432)-($N432-$O432)</f>
        <v/>
      </c>
      <c r="R432" s="62">
        <f>$L432-$N432</f>
        <v/>
      </c>
    </row>
    <row r="433">
      <c r="A433" s="59">
        <f>ROW()-5</f>
        <v/>
      </c>
      <c r="B433" s="60">
        <f>IFERROR(INDEX(tbl_Finance[Date],$A433),"")</f>
        <v/>
      </c>
      <c r="C433" s="61">
        <f>IFERROR(INDEX(tbl_Finance[Xero Invoice No],$A433),"")</f>
        <v/>
      </c>
      <c r="D433" s="61">
        <f>IFERROR(INDEX(tbl_Finance[Client],$A433),"")</f>
        <v/>
      </c>
      <c r="E433" s="61">
        <f>IFERROR(INDEX(tbl_Finance[Job Number],$A433),"")</f>
        <v/>
      </c>
      <c r="F433" s="61">
        <f>IFERROR(INDEX(tbl_Finance[Cost Centre],$A433),"")</f>
        <v/>
      </c>
      <c r="G433" s="62">
        <f>IFERROR(INDEX(tbl_Finance[Ex GST],$A433),"")</f>
        <v/>
      </c>
      <c r="H433" s="60">
        <f>IFERROR(INDEX(tbl_Finance[Defer Start],$A433),"")</f>
        <v/>
      </c>
      <c r="I433" s="60">
        <f>IFERROR(INDEX(tbl_Finance[Defer End],$A433),"")</f>
        <v/>
      </c>
      <c r="J433" s="59">
        <f>IF(OR($H433="",$I433="",$G433=""),"",MAX(1,(YEAR($I433)-YEAR($H433))*12+MONTH($I433)-MONTH($H433)+1))</f>
        <v/>
      </c>
      <c r="K433" s="62">
        <f>IF($J433="","",$G433/$J433)</f>
        <v/>
      </c>
      <c r="L433" s="62">
        <f>IF($J433="",0,$K433*MAX(0,MIN(YEAR($C$3)*12+MONTH($C$3),YEAR($I433)*12+MONTH($I433))-(YEAR($H433)*12+MONTH($H433))+1))</f>
        <v/>
      </c>
      <c r="M433" s="62">
        <f>IF($J433="",0,$K433*MAX(0,MIN(YEAR($C$3)*12+MONTH($C$3)-1,YEAR($I433)*12+MONTH($I433))-(YEAR($H433)*12+MONTH($H433))+1))</f>
        <v/>
      </c>
      <c r="N433" s="62">
        <f>IF(OR($J433="",$B433=""),0,IF(YEAR($B433)*12+MONTH($B433)&lt;=YEAR($C$3)*12+MONTH($C$3),$G433,0))</f>
        <v/>
      </c>
      <c r="O433" s="62">
        <f>IF(OR($J433="",$B433=""),0,IF(YEAR($B433)*12+MONTH($B433)&lt;=YEAR($C$3)*12+MONTH($C$3)-1,$G433,0))</f>
        <v/>
      </c>
      <c r="P433" s="62">
        <f>$M433-$O433</f>
        <v/>
      </c>
      <c r="Q433" s="62">
        <f>($L433-$M433)-($N433-$O433)</f>
        <v/>
      </c>
      <c r="R433" s="62">
        <f>$L433-$N433</f>
        <v/>
      </c>
    </row>
    <row r="434">
      <c r="A434" s="59">
        <f>ROW()-5</f>
        <v/>
      </c>
      <c r="B434" s="60">
        <f>IFERROR(INDEX(tbl_Finance[Date],$A434),"")</f>
        <v/>
      </c>
      <c r="C434" s="61">
        <f>IFERROR(INDEX(tbl_Finance[Xero Invoice No],$A434),"")</f>
        <v/>
      </c>
      <c r="D434" s="61">
        <f>IFERROR(INDEX(tbl_Finance[Client],$A434),"")</f>
        <v/>
      </c>
      <c r="E434" s="61">
        <f>IFERROR(INDEX(tbl_Finance[Job Number],$A434),"")</f>
        <v/>
      </c>
      <c r="F434" s="61">
        <f>IFERROR(INDEX(tbl_Finance[Cost Centre],$A434),"")</f>
        <v/>
      </c>
      <c r="G434" s="62">
        <f>IFERROR(INDEX(tbl_Finance[Ex GST],$A434),"")</f>
        <v/>
      </c>
      <c r="H434" s="60">
        <f>IFERROR(INDEX(tbl_Finance[Defer Start],$A434),"")</f>
        <v/>
      </c>
      <c r="I434" s="60">
        <f>IFERROR(INDEX(tbl_Finance[Defer End],$A434),"")</f>
        <v/>
      </c>
      <c r="J434" s="59">
        <f>IF(OR($H434="",$I434="",$G434=""),"",MAX(1,(YEAR($I434)-YEAR($H434))*12+MONTH($I434)-MONTH($H434)+1))</f>
        <v/>
      </c>
      <c r="K434" s="62">
        <f>IF($J434="","",$G434/$J434)</f>
        <v/>
      </c>
      <c r="L434" s="62">
        <f>IF($J434="",0,$K434*MAX(0,MIN(YEAR($C$3)*12+MONTH($C$3),YEAR($I434)*12+MONTH($I434))-(YEAR($H434)*12+MONTH($H434))+1))</f>
        <v/>
      </c>
      <c r="M434" s="62">
        <f>IF($J434="",0,$K434*MAX(0,MIN(YEAR($C$3)*12+MONTH($C$3)-1,YEAR($I434)*12+MONTH($I434))-(YEAR($H434)*12+MONTH($H434))+1))</f>
        <v/>
      </c>
      <c r="N434" s="62">
        <f>IF(OR($J434="",$B434=""),0,IF(YEAR($B434)*12+MONTH($B434)&lt;=YEAR($C$3)*12+MONTH($C$3),$G434,0))</f>
        <v/>
      </c>
      <c r="O434" s="62">
        <f>IF(OR($J434="",$B434=""),0,IF(YEAR($B434)*12+MONTH($B434)&lt;=YEAR($C$3)*12+MONTH($C$3)-1,$G434,0))</f>
        <v/>
      </c>
      <c r="P434" s="62">
        <f>$M434-$O434</f>
        <v/>
      </c>
      <c r="Q434" s="62">
        <f>($L434-$M434)-($N434-$O434)</f>
        <v/>
      </c>
      <c r="R434" s="62">
        <f>$L434-$N434</f>
        <v/>
      </c>
    </row>
    <row r="435">
      <c r="A435" s="59">
        <f>ROW()-5</f>
        <v/>
      </c>
      <c r="B435" s="60">
        <f>IFERROR(INDEX(tbl_Finance[Date],$A435),"")</f>
        <v/>
      </c>
      <c r="C435" s="61">
        <f>IFERROR(INDEX(tbl_Finance[Xero Invoice No],$A435),"")</f>
        <v/>
      </c>
      <c r="D435" s="61">
        <f>IFERROR(INDEX(tbl_Finance[Client],$A435),"")</f>
        <v/>
      </c>
      <c r="E435" s="61">
        <f>IFERROR(INDEX(tbl_Finance[Job Number],$A435),"")</f>
        <v/>
      </c>
      <c r="F435" s="61">
        <f>IFERROR(INDEX(tbl_Finance[Cost Centre],$A435),"")</f>
        <v/>
      </c>
      <c r="G435" s="62">
        <f>IFERROR(INDEX(tbl_Finance[Ex GST],$A435),"")</f>
        <v/>
      </c>
      <c r="H435" s="60">
        <f>IFERROR(INDEX(tbl_Finance[Defer Start],$A435),"")</f>
        <v/>
      </c>
      <c r="I435" s="60">
        <f>IFERROR(INDEX(tbl_Finance[Defer End],$A435),"")</f>
        <v/>
      </c>
      <c r="J435" s="59">
        <f>IF(OR($H435="",$I435="",$G435=""),"",MAX(1,(YEAR($I435)-YEAR($H435))*12+MONTH($I435)-MONTH($H435)+1))</f>
        <v/>
      </c>
      <c r="K435" s="62">
        <f>IF($J435="","",$G435/$J435)</f>
        <v/>
      </c>
      <c r="L435" s="62">
        <f>IF($J435="",0,$K435*MAX(0,MIN(YEAR($C$3)*12+MONTH($C$3),YEAR($I435)*12+MONTH($I435))-(YEAR($H435)*12+MONTH($H435))+1))</f>
        <v/>
      </c>
      <c r="M435" s="62">
        <f>IF($J435="",0,$K435*MAX(0,MIN(YEAR($C$3)*12+MONTH($C$3)-1,YEAR($I435)*12+MONTH($I435))-(YEAR($H435)*12+MONTH($H435))+1))</f>
        <v/>
      </c>
      <c r="N435" s="62">
        <f>IF(OR($J435="",$B435=""),0,IF(YEAR($B435)*12+MONTH($B435)&lt;=YEAR($C$3)*12+MONTH($C$3),$G435,0))</f>
        <v/>
      </c>
      <c r="O435" s="62">
        <f>IF(OR($J435="",$B435=""),0,IF(YEAR($B435)*12+MONTH($B435)&lt;=YEAR($C$3)*12+MONTH($C$3)-1,$G435,0))</f>
        <v/>
      </c>
      <c r="P435" s="62">
        <f>$M435-$O435</f>
        <v/>
      </c>
      <c r="Q435" s="62">
        <f>($L435-$M435)-($N435-$O435)</f>
        <v/>
      </c>
      <c r="R435" s="62">
        <f>$L435-$N435</f>
        <v/>
      </c>
    </row>
    <row r="436">
      <c r="A436" s="59">
        <f>ROW()-5</f>
        <v/>
      </c>
      <c r="B436" s="60">
        <f>IFERROR(INDEX(tbl_Finance[Date],$A436),"")</f>
        <v/>
      </c>
      <c r="C436" s="61">
        <f>IFERROR(INDEX(tbl_Finance[Xero Invoice No],$A436),"")</f>
        <v/>
      </c>
      <c r="D436" s="61">
        <f>IFERROR(INDEX(tbl_Finance[Client],$A436),"")</f>
        <v/>
      </c>
      <c r="E436" s="61">
        <f>IFERROR(INDEX(tbl_Finance[Job Number],$A436),"")</f>
        <v/>
      </c>
      <c r="F436" s="61">
        <f>IFERROR(INDEX(tbl_Finance[Cost Centre],$A436),"")</f>
        <v/>
      </c>
      <c r="G436" s="62">
        <f>IFERROR(INDEX(tbl_Finance[Ex GST],$A436),"")</f>
        <v/>
      </c>
      <c r="H436" s="60">
        <f>IFERROR(INDEX(tbl_Finance[Defer Start],$A436),"")</f>
        <v/>
      </c>
      <c r="I436" s="60">
        <f>IFERROR(INDEX(tbl_Finance[Defer End],$A436),"")</f>
        <v/>
      </c>
      <c r="J436" s="59">
        <f>IF(OR($H436="",$I436="",$G436=""),"",MAX(1,(YEAR($I436)-YEAR($H436))*12+MONTH($I436)-MONTH($H436)+1))</f>
        <v/>
      </c>
      <c r="K436" s="62">
        <f>IF($J436="","",$G436/$J436)</f>
        <v/>
      </c>
      <c r="L436" s="62">
        <f>IF($J436="",0,$K436*MAX(0,MIN(YEAR($C$3)*12+MONTH($C$3),YEAR($I436)*12+MONTH($I436))-(YEAR($H436)*12+MONTH($H436))+1))</f>
        <v/>
      </c>
      <c r="M436" s="62">
        <f>IF($J436="",0,$K436*MAX(0,MIN(YEAR($C$3)*12+MONTH($C$3)-1,YEAR($I436)*12+MONTH($I436))-(YEAR($H436)*12+MONTH($H436))+1))</f>
        <v/>
      </c>
      <c r="N436" s="62">
        <f>IF(OR($J436="",$B436=""),0,IF(YEAR($B436)*12+MONTH($B436)&lt;=YEAR($C$3)*12+MONTH($C$3),$G436,0))</f>
        <v/>
      </c>
      <c r="O436" s="62">
        <f>IF(OR($J436="",$B436=""),0,IF(YEAR($B436)*12+MONTH($B436)&lt;=YEAR($C$3)*12+MONTH($C$3)-1,$G436,0))</f>
        <v/>
      </c>
      <c r="P436" s="62">
        <f>$M436-$O436</f>
        <v/>
      </c>
      <c r="Q436" s="62">
        <f>($L436-$M436)-($N436-$O436)</f>
        <v/>
      </c>
      <c r="R436" s="62">
        <f>$L436-$N436</f>
        <v/>
      </c>
    </row>
    <row r="437">
      <c r="A437" s="59">
        <f>ROW()-5</f>
        <v/>
      </c>
      <c r="B437" s="60">
        <f>IFERROR(INDEX(tbl_Finance[Date],$A437),"")</f>
        <v/>
      </c>
      <c r="C437" s="61">
        <f>IFERROR(INDEX(tbl_Finance[Xero Invoice No],$A437),"")</f>
        <v/>
      </c>
      <c r="D437" s="61">
        <f>IFERROR(INDEX(tbl_Finance[Client],$A437),"")</f>
        <v/>
      </c>
      <c r="E437" s="61">
        <f>IFERROR(INDEX(tbl_Finance[Job Number],$A437),"")</f>
        <v/>
      </c>
      <c r="F437" s="61">
        <f>IFERROR(INDEX(tbl_Finance[Cost Centre],$A437),"")</f>
        <v/>
      </c>
      <c r="G437" s="62">
        <f>IFERROR(INDEX(tbl_Finance[Ex GST],$A437),"")</f>
        <v/>
      </c>
      <c r="H437" s="60">
        <f>IFERROR(INDEX(tbl_Finance[Defer Start],$A437),"")</f>
        <v/>
      </c>
      <c r="I437" s="60">
        <f>IFERROR(INDEX(tbl_Finance[Defer End],$A437),"")</f>
        <v/>
      </c>
      <c r="J437" s="59">
        <f>IF(OR($H437="",$I437="",$G437=""),"",MAX(1,(YEAR($I437)-YEAR($H437))*12+MONTH($I437)-MONTH($H437)+1))</f>
        <v/>
      </c>
      <c r="K437" s="62">
        <f>IF($J437="","",$G437/$J437)</f>
        <v/>
      </c>
      <c r="L437" s="62">
        <f>IF($J437="",0,$K437*MAX(0,MIN(YEAR($C$3)*12+MONTH($C$3),YEAR($I437)*12+MONTH($I437))-(YEAR($H437)*12+MONTH($H437))+1))</f>
        <v/>
      </c>
      <c r="M437" s="62">
        <f>IF($J437="",0,$K437*MAX(0,MIN(YEAR($C$3)*12+MONTH($C$3)-1,YEAR($I437)*12+MONTH($I437))-(YEAR($H437)*12+MONTH($H437))+1))</f>
        <v/>
      </c>
      <c r="N437" s="62">
        <f>IF(OR($J437="",$B437=""),0,IF(YEAR($B437)*12+MONTH($B437)&lt;=YEAR($C$3)*12+MONTH($C$3),$G437,0))</f>
        <v/>
      </c>
      <c r="O437" s="62">
        <f>IF(OR($J437="",$B437=""),0,IF(YEAR($B437)*12+MONTH($B437)&lt;=YEAR($C$3)*12+MONTH($C$3)-1,$G437,0))</f>
        <v/>
      </c>
      <c r="P437" s="62">
        <f>$M437-$O437</f>
        <v/>
      </c>
      <c r="Q437" s="62">
        <f>($L437-$M437)-($N437-$O437)</f>
        <v/>
      </c>
      <c r="R437" s="62">
        <f>$L437-$N437</f>
        <v/>
      </c>
    </row>
    <row r="438">
      <c r="A438" s="59">
        <f>ROW()-5</f>
        <v/>
      </c>
      <c r="B438" s="60">
        <f>IFERROR(INDEX(tbl_Finance[Date],$A438),"")</f>
        <v/>
      </c>
      <c r="C438" s="61">
        <f>IFERROR(INDEX(tbl_Finance[Xero Invoice No],$A438),"")</f>
        <v/>
      </c>
      <c r="D438" s="61">
        <f>IFERROR(INDEX(tbl_Finance[Client],$A438),"")</f>
        <v/>
      </c>
      <c r="E438" s="61">
        <f>IFERROR(INDEX(tbl_Finance[Job Number],$A438),"")</f>
        <v/>
      </c>
      <c r="F438" s="61">
        <f>IFERROR(INDEX(tbl_Finance[Cost Centre],$A438),"")</f>
        <v/>
      </c>
      <c r="G438" s="62">
        <f>IFERROR(INDEX(tbl_Finance[Ex GST],$A438),"")</f>
        <v/>
      </c>
      <c r="H438" s="60">
        <f>IFERROR(INDEX(tbl_Finance[Defer Start],$A438),"")</f>
        <v/>
      </c>
      <c r="I438" s="60">
        <f>IFERROR(INDEX(tbl_Finance[Defer End],$A438),"")</f>
        <v/>
      </c>
      <c r="J438" s="59">
        <f>IF(OR($H438="",$I438="",$G438=""),"",MAX(1,(YEAR($I438)-YEAR($H438))*12+MONTH($I438)-MONTH($H438)+1))</f>
        <v/>
      </c>
      <c r="K438" s="62">
        <f>IF($J438="","",$G438/$J438)</f>
        <v/>
      </c>
      <c r="L438" s="62">
        <f>IF($J438="",0,$K438*MAX(0,MIN(YEAR($C$3)*12+MONTH($C$3),YEAR($I438)*12+MONTH($I438))-(YEAR($H438)*12+MONTH($H438))+1))</f>
        <v/>
      </c>
      <c r="M438" s="62">
        <f>IF($J438="",0,$K438*MAX(0,MIN(YEAR($C$3)*12+MONTH($C$3)-1,YEAR($I438)*12+MONTH($I438))-(YEAR($H438)*12+MONTH($H438))+1))</f>
        <v/>
      </c>
      <c r="N438" s="62">
        <f>IF(OR($J438="",$B438=""),0,IF(YEAR($B438)*12+MONTH($B438)&lt;=YEAR($C$3)*12+MONTH($C$3),$G438,0))</f>
        <v/>
      </c>
      <c r="O438" s="62">
        <f>IF(OR($J438="",$B438=""),0,IF(YEAR($B438)*12+MONTH($B438)&lt;=YEAR($C$3)*12+MONTH($C$3)-1,$G438,0))</f>
        <v/>
      </c>
      <c r="P438" s="62">
        <f>$M438-$O438</f>
        <v/>
      </c>
      <c r="Q438" s="62">
        <f>($L438-$M438)-($N438-$O438)</f>
        <v/>
      </c>
      <c r="R438" s="62">
        <f>$L438-$N438</f>
        <v/>
      </c>
    </row>
    <row r="439">
      <c r="A439" s="59">
        <f>ROW()-5</f>
        <v/>
      </c>
      <c r="B439" s="60">
        <f>IFERROR(INDEX(tbl_Finance[Date],$A439),"")</f>
        <v/>
      </c>
      <c r="C439" s="61">
        <f>IFERROR(INDEX(tbl_Finance[Xero Invoice No],$A439),"")</f>
        <v/>
      </c>
      <c r="D439" s="61">
        <f>IFERROR(INDEX(tbl_Finance[Client],$A439),"")</f>
        <v/>
      </c>
      <c r="E439" s="61">
        <f>IFERROR(INDEX(tbl_Finance[Job Number],$A439),"")</f>
        <v/>
      </c>
      <c r="F439" s="61">
        <f>IFERROR(INDEX(tbl_Finance[Cost Centre],$A439),"")</f>
        <v/>
      </c>
      <c r="G439" s="62">
        <f>IFERROR(INDEX(tbl_Finance[Ex GST],$A439),"")</f>
        <v/>
      </c>
      <c r="H439" s="60">
        <f>IFERROR(INDEX(tbl_Finance[Defer Start],$A439),"")</f>
        <v/>
      </c>
      <c r="I439" s="60">
        <f>IFERROR(INDEX(tbl_Finance[Defer End],$A439),"")</f>
        <v/>
      </c>
      <c r="J439" s="59">
        <f>IF(OR($H439="",$I439="",$G439=""),"",MAX(1,(YEAR($I439)-YEAR($H439))*12+MONTH($I439)-MONTH($H439)+1))</f>
        <v/>
      </c>
      <c r="K439" s="62">
        <f>IF($J439="","",$G439/$J439)</f>
        <v/>
      </c>
      <c r="L439" s="62">
        <f>IF($J439="",0,$K439*MAX(0,MIN(YEAR($C$3)*12+MONTH($C$3),YEAR($I439)*12+MONTH($I439))-(YEAR($H439)*12+MONTH($H439))+1))</f>
        <v/>
      </c>
      <c r="M439" s="62">
        <f>IF($J439="",0,$K439*MAX(0,MIN(YEAR($C$3)*12+MONTH($C$3)-1,YEAR($I439)*12+MONTH($I439))-(YEAR($H439)*12+MONTH($H439))+1))</f>
        <v/>
      </c>
      <c r="N439" s="62">
        <f>IF(OR($J439="",$B439=""),0,IF(YEAR($B439)*12+MONTH($B439)&lt;=YEAR($C$3)*12+MONTH($C$3),$G439,0))</f>
        <v/>
      </c>
      <c r="O439" s="62">
        <f>IF(OR($J439="",$B439=""),0,IF(YEAR($B439)*12+MONTH($B439)&lt;=YEAR($C$3)*12+MONTH($C$3)-1,$G439,0))</f>
        <v/>
      </c>
      <c r="P439" s="62">
        <f>$M439-$O439</f>
        <v/>
      </c>
      <c r="Q439" s="62">
        <f>($L439-$M439)-($N439-$O439)</f>
        <v/>
      </c>
      <c r="R439" s="62">
        <f>$L439-$N439</f>
        <v/>
      </c>
    </row>
    <row r="440">
      <c r="A440" s="59">
        <f>ROW()-5</f>
        <v/>
      </c>
      <c r="B440" s="60">
        <f>IFERROR(INDEX(tbl_Finance[Date],$A440),"")</f>
        <v/>
      </c>
      <c r="C440" s="61">
        <f>IFERROR(INDEX(tbl_Finance[Xero Invoice No],$A440),"")</f>
        <v/>
      </c>
      <c r="D440" s="61">
        <f>IFERROR(INDEX(tbl_Finance[Client],$A440),"")</f>
        <v/>
      </c>
      <c r="E440" s="61">
        <f>IFERROR(INDEX(tbl_Finance[Job Number],$A440),"")</f>
        <v/>
      </c>
      <c r="F440" s="61">
        <f>IFERROR(INDEX(tbl_Finance[Cost Centre],$A440),"")</f>
        <v/>
      </c>
      <c r="G440" s="62">
        <f>IFERROR(INDEX(tbl_Finance[Ex GST],$A440),"")</f>
        <v/>
      </c>
      <c r="H440" s="60">
        <f>IFERROR(INDEX(tbl_Finance[Defer Start],$A440),"")</f>
        <v/>
      </c>
      <c r="I440" s="60">
        <f>IFERROR(INDEX(tbl_Finance[Defer End],$A440),"")</f>
        <v/>
      </c>
      <c r="J440" s="59">
        <f>IF(OR($H440="",$I440="",$G440=""),"",MAX(1,(YEAR($I440)-YEAR($H440))*12+MONTH($I440)-MONTH($H440)+1))</f>
        <v/>
      </c>
      <c r="K440" s="62">
        <f>IF($J440="","",$G440/$J440)</f>
        <v/>
      </c>
      <c r="L440" s="62">
        <f>IF($J440="",0,$K440*MAX(0,MIN(YEAR($C$3)*12+MONTH($C$3),YEAR($I440)*12+MONTH($I440))-(YEAR($H440)*12+MONTH($H440))+1))</f>
        <v/>
      </c>
      <c r="M440" s="62">
        <f>IF($J440="",0,$K440*MAX(0,MIN(YEAR($C$3)*12+MONTH($C$3)-1,YEAR($I440)*12+MONTH($I440))-(YEAR($H440)*12+MONTH($H440))+1))</f>
        <v/>
      </c>
      <c r="N440" s="62">
        <f>IF(OR($J440="",$B440=""),0,IF(YEAR($B440)*12+MONTH($B440)&lt;=YEAR($C$3)*12+MONTH($C$3),$G440,0))</f>
        <v/>
      </c>
      <c r="O440" s="62">
        <f>IF(OR($J440="",$B440=""),0,IF(YEAR($B440)*12+MONTH($B440)&lt;=YEAR($C$3)*12+MONTH($C$3)-1,$G440,0))</f>
        <v/>
      </c>
      <c r="P440" s="62">
        <f>$M440-$O440</f>
        <v/>
      </c>
      <c r="Q440" s="62">
        <f>($L440-$M440)-($N440-$O440)</f>
        <v/>
      </c>
      <c r="R440" s="62">
        <f>$L440-$N440</f>
        <v/>
      </c>
    </row>
    <row r="441">
      <c r="A441" s="59">
        <f>ROW()-5</f>
        <v/>
      </c>
      <c r="B441" s="60">
        <f>IFERROR(INDEX(tbl_Finance[Date],$A441),"")</f>
        <v/>
      </c>
      <c r="C441" s="61">
        <f>IFERROR(INDEX(tbl_Finance[Xero Invoice No],$A441),"")</f>
        <v/>
      </c>
      <c r="D441" s="61">
        <f>IFERROR(INDEX(tbl_Finance[Client],$A441),"")</f>
        <v/>
      </c>
      <c r="E441" s="61">
        <f>IFERROR(INDEX(tbl_Finance[Job Number],$A441),"")</f>
        <v/>
      </c>
      <c r="F441" s="61">
        <f>IFERROR(INDEX(tbl_Finance[Cost Centre],$A441),"")</f>
        <v/>
      </c>
      <c r="G441" s="62">
        <f>IFERROR(INDEX(tbl_Finance[Ex GST],$A441),"")</f>
        <v/>
      </c>
      <c r="H441" s="60">
        <f>IFERROR(INDEX(tbl_Finance[Defer Start],$A441),"")</f>
        <v/>
      </c>
      <c r="I441" s="60">
        <f>IFERROR(INDEX(tbl_Finance[Defer End],$A441),"")</f>
        <v/>
      </c>
      <c r="J441" s="59">
        <f>IF(OR($H441="",$I441="",$G441=""),"",MAX(1,(YEAR($I441)-YEAR($H441))*12+MONTH($I441)-MONTH($H441)+1))</f>
        <v/>
      </c>
      <c r="K441" s="62">
        <f>IF($J441="","",$G441/$J441)</f>
        <v/>
      </c>
      <c r="L441" s="62">
        <f>IF($J441="",0,$K441*MAX(0,MIN(YEAR($C$3)*12+MONTH($C$3),YEAR($I441)*12+MONTH($I441))-(YEAR($H441)*12+MONTH($H441))+1))</f>
        <v/>
      </c>
      <c r="M441" s="62">
        <f>IF($J441="",0,$K441*MAX(0,MIN(YEAR($C$3)*12+MONTH($C$3)-1,YEAR($I441)*12+MONTH($I441))-(YEAR($H441)*12+MONTH($H441))+1))</f>
        <v/>
      </c>
      <c r="N441" s="62">
        <f>IF(OR($J441="",$B441=""),0,IF(YEAR($B441)*12+MONTH($B441)&lt;=YEAR($C$3)*12+MONTH($C$3),$G441,0))</f>
        <v/>
      </c>
      <c r="O441" s="62">
        <f>IF(OR($J441="",$B441=""),0,IF(YEAR($B441)*12+MONTH($B441)&lt;=YEAR($C$3)*12+MONTH($C$3)-1,$G441,0))</f>
        <v/>
      </c>
      <c r="P441" s="62">
        <f>$M441-$O441</f>
        <v/>
      </c>
      <c r="Q441" s="62">
        <f>($L441-$M441)-($N441-$O441)</f>
        <v/>
      </c>
      <c r="R441" s="62">
        <f>$L441-$N441</f>
        <v/>
      </c>
    </row>
    <row r="442">
      <c r="A442" s="59">
        <f>ROW()-5</f>
        <v/>
      </c>
      <c r="B442" s="60">
        <f>IFERROR(INDEX(tbl_Finance[Date],$A442),"")</f>
        <v/>
      </c>
      <c r="C442" s="61">
        <f>IFERROR(INDEX(tbl_Finance[Xero Invoice No],$A442),"")</f>
        <v/>
      </c>
      <c r="D442" s="61">
        <f>IFERROR(INDEX(tbl_Finance[Client],$A442),"")</f>
        <v/>
      </c>
      <c r="E442" s="61">
        <f>IFERROR(INDEX(tbl_Finance[Job Number],$A442),"")</f>
        <v/>
      </c>
      <c r="F442" s="61">
        <f>IFERROR(INDEX(tbl_Finance[Cost Centre],$A442),"")</f>
        <v/>
      </c>
      <c r="G442" s="62">
        <f>IFERROR(INDEX(tbl_Finance[Ex GST],$A442),"")</f>
        <v/>
      </c>
      <c r="H442" s="60">
        <f>IFERROR(INDEX(tbl_Finance[Defer Start],$A442),"")</f>
        <v/>
      </c>
      <c r="I442" s="60">
        <f>IFERROR(INDEX(tbl_Finance[Defer End],$A442),"")</f>
        <v/>
      </c>
      <c r="J442" s="59">
        <f>IF(OR($H442="",$I442="",$G442=""),"",MAX(1,(YEAR($I442)-YEAR($H442))*12+MONTH($I442)-MONTH($H442)+1))</f>
        <v/>
      </c>
      <c r="K442" s="62">
        <f>IF($J442="","",$G442/$J442)</f>
        <v/>
      </c>
      <c r="L442" s="62">
        <f>IF($J442="",0,$K442*MAX(0,MIN(YEAR($C$3)*12+MONTH($C$3),YEAR($I442)*12+MONTH($I442))-(YEAR($H442)*12+MONTH($H442))+1))</f>
        <v/>
      </c>
      <c r="M442" s="62">
        <f>IF($J442="",0,$K442*MAX(0,MIN(YEAR($C$3)*12+MONTH($C$3)-1,YEAR($I442)*12+MONTH($I442))-(YEAR($H442)*12+MONTH($H442))+1))</f>
        <v/>
      </c>
      <c r="N442" s="62">
        <f>IF(OR($J442="",$B442=""),0,IF(YEAR($B442)*12+MONTH($B442)&lt;=YEAR($C$3)*12+MONTH($C$3),$G442,0))</f>
        <v/>
      </c>
      <c r="O442" s="62">
        <f>IF(OR($J442="",$B442=""),0,IF(YEAR($B442)*12+MONTH($B442)&lt;=YEAR($C$3)*12+MONTH($C$3)-1,$G442,0))</f>
        <v/>
      </c>
      <c r="P442" s="62">
        <f>$M442-$O442</f>
        <v/>
      </c>
      <c r="Q442" s="62">
        <f>($L442-$M442)-($N442-$O442)</f>
        <v/>
      </c>
      <c r="R442" s="62">
        <f>$L442-$N442</f>
        <v/>
      </c>
    </row>
    <row r="443">
      <c r="A443" s="59">
        <f>ROW()-5</f>
        <v/>
      </c>
      <c r="B443" s="60">
        <f>IFERROR(INDEX(tbl_Finance[Date],$A443),"")</f>
        <v/>
      </c>
      <c r="C443" s="61">
        <f>IFERROR(INDEX(tbl_Finance[Xero Invoice No],$A443),"")</f>
        <v/>
      </c>
      <c r="D443" s="61">
        <f>IFERROR(INDEX(tbl_Finance[Client],$A443),"")</f>
        <v/>
      </c>
      <c r="E443" s="61">
        <f>IFERROR(INDEX(tbl_Finance[Job Number],$A443),"")</f>
        <v/>
      </c>
      <c r="F443" s="61">
        <f>IFERROR(INDEX(tbl_Finance[Cost Centre],$A443),"")</f>
        <v/>
      </c>
      <c r="G443" s="62">
        <f>IFERROR(INDEX(tbl_Finance[Ex GST],$A443),"")</f>
        <v/>
      </c>
      <c r="H443" s="60">
        <f>IFERROR(INDEX(tbl_Finance[Defer Start],$A443),"")</f>
        <v/>
      </c>
      <c r="I443" s="60">
        <f>IFERROR(INDEX(tbl_Finance[Defer End],$A443),"")</f>
        <v/>
      </c>
      <c r="J443" s="59">
        <f>IF(OR($H443="",$I443="",$G443=""),"",MAX(1,(YEAR($I443)-YEAR($H443))*12+MONTH($I443)-MONTH($H443)+1))</f>
        <v/>
      </c>
      <c r="K443" s="62">
        <f>IF($J443="","",$G443/$J443)</f>
        <v/>
      </c>
      <c r="L443" s="62">
        <f>IF($J443="",0,$K443*MAX(0,MIN(YEAR($C$3)*12+MONTH($C$3),YEAR($I443)*12+MONTH($I443))-(YEAR($H443)*12+MONTH($H443))+1))</f>
        <v/>
      </c>
      <c r="M443" s="62">
        <f>IF($J443="",0,$K443*MAX(0,MIN(YEAR($C$3)*12+MONTH($C$3)-1,YEAR($I443)*12+MONTH($I443))-(YEAR($H443)*12+MONTH($H443))+1))</f>
        <v/>
      </c>
      <c r="N443" s="62">
        <f>IF(OR($J443="",$B443=""),0,IF(YEAR($B443)*12+MONTH($B443)&lt;=YEAR($C$3)*12+MONTH($C$3),$G443,0))</f>
        <v/>
      </c>
      <c r="O443" s="62">
        <f>IF(OR($J443="",$B443=""),0,IF(YEAR($B443)*12+MONTH($B443)&lt;=YEAR($C$3)*12+MONTH($C$3)-1,$G443,0))</f>
        <v/>
      </c>
      <c r="P443" s="62">
        <f>$M443-$O443</f>
        <v/>
      </c>
      <c r="Q443" s="62">
        <f>($L443-$M443)-($N443-$O443)</f>
        <v/>
      </c>
      <c r="R443" s="62">
        <f>$L443-$N443</f>
        <v/>
      </c>
    </row>
    <row r="444">
      <c r="A444" s="59">
        <f>ROW()-5</f>
        <v/>
      </c>
      <c r="B444" s="60">
        <f>IFERROR(INDEX(tbl_Finance[Date],$A444),"")</f>
        <v/>
      </c>
      <c r="C444" s="61">
        <f>IFERROR(INDEX(tbl_Finance[Xero Invoice No],$A444),"")</f>
        <v/>
      </c>
      <c r="D444" s="61">
        <f>IFERROR(INDEX(tbl_Finance[Client],$A444),"")</f>
        <v/>
      </c>
      <c r="E444" s="61">
        <f>IFERROR(INDEX(tbl_Finance[Job Number],$A444),"")</f>
        <v/>
      </c>
      <c r="F444" s="61">
        <f>IFERROR(INDEX(tbl_Finance[Cost Centre],$A444),"")</f>
        <v/>
      </c>
      <c r="G444" s="62">
        <f>IFERROR(INDEX(tbl_Finance[Ex GST],$A444),"")</f>
        <v/>
      </c>
      <c r="H444" s="60">
        <f>IFERROR(INDEX(tbl_Finance[Defer Start],$A444),"")</f>
        <v/>
      </c>
      <c r="I444" s="60">
        <f>IFERROR(INDEX(tbl_Finance[Defer End],$A444),"")</f>
        <v/>
      </c>
      <c r="J444" s="59">
        <f>IF(OR($H444="",$I444="",$G444=""),"",MAX(1,(YEAR($I444)-YEAR($H444))*12+MONTH($I444)-MONTH($H444)+1))</f>
        <v/>
      </c>
      <c r="K444" s="62">
        <f>IF($J444="","",$G444/$J444)</f>
        <v/>
      </c>
      <c r="L444" s="62">
        <f>IF($J444="",0,$K444*MAX(0,MIN(YEAR($C$3)*12+MONTH($C$3),YEAR($I444)*12+MONTH($I444))-(YEAR($H444)*12+MONTH($H444))+1))</f>
        <v/>
      </c>
      <c r="M444" s="62">
        <f>IF($J444="",0,$K444*MAX(0,MIN(YEAR($C$3)*12+MONTH($C$3)-1,YEAR($I444)*12+MONTH($I444))-(YEAR($H444)*12+MONTH($H444))+1))</f>
        <v/>
      </c>
      <c r="N444" s="62">
        <f>IF(OR($J444="",$B444=""),0,IF(YEAR($B444)*12+MONTH($B444)&lt;=YEAR($C$3)*12+MONTH($C$3),$G444,0))</f>
        <v/>
      </c>
      <c r="O444" s="62">
        <f>IF(OR($J444="",$B444=""),0,IF(YEAR($B444)*12+MONTH($B444)&lt;=YEAR($C$3)*12+MONTH($C$3)-1,$G444,0))</f>
        <v/>
      </c>
      <c r="P444" s="62">
        <f>$M444-$O444</f>
        <v/>
      </c>
      <c r="Q444" s="62">
        <f>($L444-$M444)-($N444-$O444)</f>
        <v/>
      </c>
      <c r="R444" s="62">
        <f>$L444-$N444</f>
        <v/>
      </c>
    </row>
    <row r="445">
      <c r="A445" s="59">
        <f>ROW()-5</f>
        <v/>
      </c>
      <c r="B445" s="60">
        <f>IFERROR(INDEX(tbl_Finance[Date],$A445),"")</f>
        <v/>
      </c>
      <c r="C445" s="61">
        <f>IFERROR(INDEX(tbl_Finance[Xero Invoice No],$A445),"")</f>
        <v/>
      </c>
      <c r="D445" s="61">
        <f>IFERROR(INDEX(tbl_Finance[Client],$A445),"")</f>
        <v/>
      </c>
      <c r="E445" s="61">
        <f>IFERROR(INDEX(tbl_Finance[Job Number],$A445),"")</f>
        <v/>
      </c>
      <c r="F445" s="61">
        <f>IFERROR(INDEX(tbl_Finance[Cost Centre],$A445),"")</f>
        <v/>
      </c>
      <c r="G445" s="62">
        <f>IFERROR(INDEX(tbl_Finance[Ex GST],$A445),"")</f>
        <v/>
      </c>
      <c r="H445" s="60">
        <f>IFERROR(INDEX(tbl_Finance[Defer Start],$A445),"")</f>
        <v/>
      </c>
      <c r="I445" s="60">
        <f>IFERROR(INDEX(tbl_Finance[Defer End],$A445),"")</f>
        <v/>
      </c>
      <c r="J445" s="59">
        <f>IF(OR($H445="",$I445="",$G445=""),"",MAX(1,(YEAR($I445)-YEAR($H445))*12+MONTH($I445)-MONTH($H445)+1))</f>
        <v/>
      </c>
      <c r="K445" s="62">
        <f>IF($J445="","",$G445/$J445)</f>
        <v/>
      </c>
      <c r="L445" s="62">
        <f>IF($J445="",0,$K445*MAX(0,MIN(YEAR($C$3)*12+MONTH($C$3),YEAR($I445)*12+MONTH($I445))-(YEAR($H445)*12+MONTH($H445))+1))</f>
        <v/>
      </c>
      <c r="M445" s="62">
        <f>IF($J445="",0,$K445*MAX(0,MIN(YEAR($C$3)*12+MONTH($C$3)-1,YEAR($I445)*12+MONTH($I445))-(YEAR($H445)*12+MONTH($H445))+1))</f>
        <v/>
      </c>
      <c r="N445" s="62">
        <f>IF(OR($J445="",$B445=""),0,IF(YEAR($B445)*12+MONTH($B445)&lt;=YEAR($C$3)*12+MONTH($C$3),$G445,0))</f>
        <v/>
      </c>
      <c r="O445" s="62">
        <f>IF(OR($J445="",$B445=""),0,IF(YEAR($B445)*12+MONTH($B445)&lt;=YEAR($C$3)*12+MONTH($C$3)-1,$G445,0))</f>
        <v/>
      </c>
      <c r="P445" s="62">
        <f>$M445-$O445</f>
        <v/>
      </c>
      <c r="Q445" s="62">
        <f>($L445-$M445)-($N445-$O445)</f>
        <v/>
      </c>
      <c r="R445" s="62">
        <f>$L445-$N445</f>
        <v/>
      </c>
    </row>
    <row r="446">
      <c r="A446" s="59">
        <f>ROW()-5</f>
        <v/>
      </c>
      <c r="B446" s="60">
        <f>IFERROR(INDEX(tbl_Finance[Date],$A446),"")</f>
        <v/>
      </c>
      <c r="C446" s="61">
        <f>IFERROR(INDEX(tbl_Finance[Xero Invoice No],$A446),"")</f>
        <v/>
      </c>
      <c r="D446" s="61">
        <f>IFERROR(INDEX(tbl_Finance[Client],$A446),"")</f>
        <v/>
      </c>
      <c r="E446" s="61">
        <f>IFERROR(INDEX(tbl_Finance[Job Number],$A446),"")</f>
        <v/>
      </c>
      <c r="F446" s="61">
        <f>IFERROR(INDEX(tbl_Finance[Cost Centre],$A446),"")</f>
        <v/>
      </c>
      <c r="G446" s="62">
        <f>IFERROR(INDEX(tbl_Finance[Ex GST],$A446),"")</f>
        <v/>
      </c>
      <c r="H446" s="60">
        <f>IFERROR(INDEX(tbl_Finance[Defer Start],$A446),"")</f>
        <v/>
      </c>
      <c r="I446" s="60">
        <f>IFERROR(INDEX(tbl_Finance[Defer End],$A446),"")</f>
        <v/>
      </c>
      <c r="J446" s="59">
        <f>IF(OR($H446="",$I446="",$G446=""),"",MAX(1,(YEAR($I446)-YEAR($H446))*12+MONTH($I446)-MONTH($H446)+1))</f>
        <v/>
      </c>
      <c r="K446" s="62">
        <f>IF($J446="","",$G446/$J446)</f>
        <v/>
      </c>
      <c r="L446" s="62">
        <f>IF($J446="",0,$K446*MAX(0,MIN(YEAR($C$3)*12+MONTH($C$3),YEAR($I446)*12+MONTH($I446))-(YEAR($H446)*12+MONTH($H446))+1))</f>
        <v/>
      </c>
      <c r="M446" s="62">
        <f>IF($J446="",0,$K446*MAX(0,MIN(YEAR($C$3)*12+MONTH($C$3)-1,YEAR($I446)*12+MONTH($I446))-(YEAR($H446)*12+MONTH($H446))+1))</f>
        <v/>
      </c>
      <c r="N446" s="62">
        <f>IF(OR($J446="",$B446=""),0,IF(YEAR($B446)*12+MONTH($B446)&lt;=YEAR($C$3)*12+MONTH($C$3),$G446,0))</f>
        <v/>
      </c>
      <c r="O446" s="62">
        <f>IF(OR($J446="",$B446=""),0,IF(YEAR($B446)*12+MONTH($B446)&lt;=YEAR($C$3)*12+MONTH($C$3)-1,$G446,0))</f>
        <v/>
      </c>
      <c r="P446" s="62">
        <f>$M446-$O446</f>
        <v/>
      </c>
      <c r="Q446" s="62">
        <f>($L446-$M446)-($N446-$O446)</f>
        <v/>
      </c>
      <c r="R446" s="62">
        <f>$L446-$N446</f>
        <v/>
      </c>
    </row>
    <row r="447">
      <c r="A447" s="59">
        <f>ROW()-5</f>
        <v/>
      </c>
      <c r="B447" s="60">
        <f>IFERROR(INDEX(tbl_Finance[Date],$A447),"")</f>
        <v/>
      </c>
      <c r="C447" s="61">
        <f>IFERROR(INDEX(tbl_Finance[Xero Invoice No],$A447),"")</f>
        <v/>
      </c>
      <c r="D447" s="61">
        <f>IFERROR(INDEX(tbl_Finance[Client],$A447),"")</f>
        <v/>
      </c>
      <c r="E447" s="61">
        <f>IFERROR(INDEX(tbl_Finance[Job Number],$A447),"")</f>
        <v/>
      </c>
      <c r="F447" s="61">
        <f>IFERROR(INDEX(tbl_Finance[Cost Centre],$A447),"")</f>
        <v/>
      </c>
      <c r="G447" s="62">
        <f>IFERROR(INDEX(tbl_Finance[Ex GST],$A447),"")</f>
        <v/>
      </c>
      <c r="H447" s="60">
        <f>IFERROR(INDEX(tbl_Finance[Defer Start],$A447),"")</f>
        <v/>
      </c>
      <c r="I447" s="60">
        <f>IFERROR(INDEX(tbl_Finance[Defer End],$A447),"")</f>
        <v/>
      </c>
      <c r="J447" s="59">
        <f>IF(OR($H447="",$I447="",$G447=""),"",MAX(1,(YEAR($I447)-YEAR($H447))*12+MONTH($I447)-MONTH($H447)+1))</f>
        <v/>
      </c>
      <c r="K447" s="62">
        <f>IF($J447="","",$G447/$J447)</f>
        <v/>
      </c>
      <c r="L447" s="62">
        <f>IF($J447="",0,$K447*MAX(0,MIN(YEAR($C$3)*12+MONTH($C$3),YEAR($I447)*12+MONTH($I447))-(YEAR($H447)*12+MONTH($H447))+1))</f>
        <v/>
      </c>
      <c r="M447" s="62">
        <f>IF($J447="",0,$K447*MAX(0,MIN(YEAR($C$3)*12+MONTH($C$3)-1,YEAR($I447)*12+MONTH($I447))-(YEAR($H447)*12+MONTH($H447))+1))</f>
        <v/>
      </c>
      <c r="N447" s="62">
        <f>IF(OR($J447="",$B447=""),0,IF(YEAR($B447)*12+MONTH($B447)&lt;=YEAR($C$3)*12+MONTH($C$3),$G447,0))</f>
        <v/>
      </c>
      <c r="O447" s="62">
        <f>IF(OR($J447="",$B447=""),0,IF(YEAR($B447)*12+MONTH($B447)&lt;=YEAR($C$3)*12+MONTH($C$3)-1,$G447,0))</f>
        <v/>
      </c>
      <c r="P447" s="62">
        <f>$M447-$O447</f>
        <v/>
      </c>
      <c r="Q447" s="62">
        <f>($L447-$M447)-($N447-$O447)</f>
        <v/>
      </c>
      <c r="R447" s="62">
        <f>$L447-$N447</f>
        <v/>
      </c>
    </row>
    <row r="448">
      <c r="A448" s="59">
        <f>ROW()-5</f>
        <v/>
      </c>
      <c r="B448" s="60">
        <f>IFERROR(INDEX(tbl_Finance[Date],$A448),"")</f>
        <v/>
      </c>
      <c r="C448" s="61">
        <f>IFERROR(INDEX(tbl_Finance[Xero Invoice No],$A448),"")</f>
        <v/>
      </c>
      <c r="D448" s="61">
        <f>IFERROR(INDEX(tbl_Finance[Client],$A448),"")</f>
        <v/>
      </c>
      <c r="E448" s="61">
        <f>IFERROR(INDEX(tbl_Finance[Job Number],$A448),"")</f>
        <v/>
      </c>
      <c r="F448" s="61">
        <f>IFERROR(INDEX(tbl_Finance[Cost Centre],$A448),"")</f>
        <v/>
      </c>
      <c r="G448" s="62">
        <f>IFERROR(INDEX(tbl_Finance[Ex GST],$A448),"")</f>
        <v/>
      </c>
      <c r="H448" s="60">
        <f>IFERROR(INDEX(tbl_Finance[Defer Start],$A448),"")</f>
        <v/>
      </c>
      <c r="I448" s="60">
        <f>IFERROR(INDEX(tbl_Finance[Defer End],$A448),"")</f>
        <v/>
      </c>
      <c r="J448" s="59">
        <f>IF(OR($H448="",$I448="",$G448=""),"",MAX(1,(YEAR($I448)-YEAR($H448))*12+MONTH($I448)-MONTH($H448)+1))</f>
        <v/>
      </c>
      <c r="K448" s="62">
        <f>IF($J448="","",$G448/$J448)</f>
        <v/>
      </c>
      <c r="L448" s="62">
        <f>IF($J448="",0,$K448*MAX(0,MIN(YEAR($C$3)*12+MONTH($C$3),YEAR($I448)*12+MONTH($I448))-(YEAR($H448)*12+MONTH($H448))+1))</f>
        <v/>
      </c>
      <c r="M448" s="62">
        <f>IF($J448="",0,$K448*MAX(0,MIN(YEAR($C$3)*12+MONTH($C$3)-1,YEAR($I448)*12+MONTH($I448))-(YEAR($H448)*12+MONTH($H448))+1))</f>
        <v/>
      </c>
      <c r="N448" s="62">
        <f>IF(OR($J448="",$B448=""),0,IF(YEAR($B448)*12+MONTH($B448)&lt;=YEAR($C$3)*12+MONTH($C$3),$G448,0))</f>
        <v/>
      </c>
      <c r="O448" s="62">
        <f>IF(OR($J448="",$B448=""),0,IF(YEAR($B448)*12+MONTH($B448)&lt;=YEAR($C$3)*12+MONTH($C$3)-1,$G448,0))</f>
        <v/>
      </c>
      <c r="P448" s="62">
        <f>$M448-$O448</f>
        <v/>
      </c>
      <c r="Q448" s="62">
        <f>($L448-$M448)-($N448-$O448)</f>
        <v/>
      </c>
      <c r="R448" s="62">
        <f>$L448-$N448</f>
        <v/>
      </c>
    </row>
    <row r="449">
      <c r="A449" s="59">
        <f>ROW()-5</f>
        <v/>
      </c>
      <c r="B449" s="60">
        <f>IFERROR(INDEX(tbl_Finance[Date],$A449),"")</f>
        <v/>
      </c>
      <c r="C449" s="61">
        <f>IFERROR(INDEX(tbl_Finance[Xero Invoice No],$A449),"")</f>
        <v/>
      </c>
      <c r="D449" s="61">
        <f>IFERROR(INDEX(tbl_Finance[Client],$A449),"")</f>
        <v/>
      </c>
      <c r="E449" s="61">
        <f>IFERROR(INDEX(tbl_Finance[Job Number],$A449),"")</f>
        <v/>
      </c>
      <c r="F449" s="61">
        <f>IFERROR(INDEX(tbl_Finance[Cost Centre],$A449),"")</f>
        <v/>
      </c>
      <c r="G449" s="62">
        <f>IFERROR(INDEX(tbl_Finance[Ex GST],$A449),"")</f>
        <v/>
      </c>
      <c r="H449" s="60">
        <f>IFERROR(INDEX(tbl_Finance[Defer Start],$A449),"")</f>
        <v/>
      </c>
      <c r="I449" s="60">
        <f>IFERROR(INDEX(tbl_Finance[Defer End],$A449),"")</f>
        <v/>
      </c>
      <c r="J449" s="59">
        <f>IF(OR($H449="",$I449="",$G449=""),"",MAX(1,(YEAR($I449)-YEAR($H449))*12+MONTH($I449)-MONTH($H449)+1))</f>
        <v/>
      </c>
      <c r="K449" s="62">
        <f>IF($J449="","",$G449/$J449)</f>
        <v/>
      </c>
      <c r="L449" s="62">
        <f>IF($J449="",0,$K449*MAX(0,MIN(YEAR($C$3)*12+MONTH($C$3),YEAR($I449)*12+MONTH($I449))-(YEAR($H449)*12+MONTH($H449))+1))</f>
        <v/>
      </c>
      <c r="M449" s="62">
        <f>IF($J449="",0,$K449*MAX(0,MIN(YEAR($C$3)*12+MONTH($C$3)-1,YEAR($I449)*12+MONTH($I449))-(YEAR($H449)*12+MONTH($H449))+1))</f>
        <v/>
      </c>
      <c r="N449" s="62">
        <f>IF(OR($J449="",$B449=""),0,IF(YEAR($B449)*12+MONTH($B449)&lt;=YEAR($C$3)*12+MONTH($C$3),$G449,0))</f>
        <v/>
      </c>
      <c r="O449" s="62">
        <f>IF(OR($J449="",$B449=""),0,IF(YEAR($B449)*12+MONTH($B449)&lt;=YEAR($C$3)*12+MONTH($C$3)-1,$G449,0))</f>
        <v/>
      </c>
      <c r="P449" s="62">
        <f>$M449-$O449</f>
        <v/>
      </c>
      <c r="Q449" s="62">
        <f>($L449-$M449)-($N449-$O449)</f>
        <v/>
      </c>
      <c r="R449" s="62">
        <f>$L449-$N449</f>
        <v/>
      </c>
    </row>
    <row r="450">
      <c r="A450" s="59">
        <f>ROW()-5</f>
        <v/>
      </c>
      <c r="B450" s="60">
        <f>IFERROR(INDEX(tbl_Finance[Date],$A450),"")</f>
        <v/>
      </c>
      <c r="C450" s="61">
        <f>IFERROR(INDEX(tbl_Finance[Xero Invoice No],$A450),"")</f>
        <v/>
      </c>
      <c r="D450" s="61">
        <f>IFERROR(INDEX(tbl_Finance[Client],$A450),"")</f>
        <v/>
      </c>
      <c r="E450" s="61">
        <f>IFERROR(INDEX(tbl_Finance[Job Number],$A450),"")</f>
        <v/>
      </c>
      <c r="F450" s="61">
        <f>IFERROR(INDEX(tbl_Finance[Cost Centre],$A450),"")</f>
        <v/>
      </c>
      <c r="G450" s="62">
        <f>IFERROR(INDEX(tbl_Finance[Ex GST],$A450),"")</f>
        <v/>
      </c>
      <c r="H450" s="60">
        <f>IFERROR(INDEX(tbl_Finance[Defer Start],$A450),"")</f>
        <v/>
      </c>
      <c r="I450" s="60">
        <f>IFERROR(INDEX(tbl_Finance[Defer End],$A450),"")</f>
        <v/>
      </c>
      <c r="J450" s="59">
        <f>IF(OR($H450="",$I450="",$G450=""),"",MAX(1,(YEAR($I450)-YEAR($H450))*12+MONTH($I450)-MONTH($H450)+1))</f>
        <v/>
      </c>
      <c r="K450" s="62">
        <f>IF($J450="","",$G450/$J450)</f>
        <v/>
      </c>
      <c r="L450" s="62">
        <f>IF($J450="",0,$K450*MAX(0,MIN(YEAR($C$3)*12+MONTH($C$3),YEAR($I450)*12+MONTH($I450))-(YEAR($H450)*12+MONTH($H450))+1))</f>
        <v/>
      </c>
      <c r="M450" s="62">
        <f>IF($J450="",0,$K450*MAX(0,MIN(YEAR($C$3)*12+MONTH($C$3)-1,YEAR($I450)*12+MONTH($I450))-(YEAR($H450)*12+MONTH($H450))+1))</f>
        <v/>
      </c>
      <c r="N450" s="62">
        <f>IF(OR($J450="",$B450=""),0,IF(YEAR($B450)*12+MONTH($B450)&lt;=YEAR($C$3)*12+MONTH($C$3),$G450,0))</f>
        <v/>
      </c>
      <c r="O450" s="62">
        <f>IF(OR($J450="",$B450=""),0,IF(YEAR($B450)*12+MONTH($B450)&lt;=YEAR($C$3)*12+MONTH($C$3)-1,$G450,0))</f>
        <v/>
      </c>
      <c r="P450" s="62">
        <f>$M450-$O450</f>
        <v/>
      </c>
      <c r="Q450" s="62">
        <f>($L450-$M450)-($N450-$O450)</f>
        <v/>
      </c>
      <c r="R450" s="62">
        <f>$L450-$N450</f>
        <v/>
      </c>
    </row>
    <row r="451">
      <c r="A451" s="59">
        <f>ROW()-5</f>
        <v/>
      </c>
      <c r="B451" s="60">
        <f>IFERROR(INDEX(tbl_Finance[Date],$A451),"")</f>
        <v/>
      </c>
      <c r="C451" s="61">
        <f>IFERROR(INDEX(tbl_Finance[Xero Invoice No],$A451),"")</f>
        <v/>
      </c>
      <c r="D451" s="61">
        <f>IFERROR(INDEX(tbl_Finance[Client],$A451),"")</f>
        <v/>
      </c>
      <c r="E451" s="61">
        <f>IFERROR(INDEX(tbl_Finance[Job Number],$A451),"")</f>
        <v/>
      </c>
      <c r="F451" s="61">
        <f>IFERROR(INDEX(tbl_Finance[Cost Centre],$A451),"")</f>
        <v/>
      </c>
      <c r="G451" s="62">
        <f>IFERROR(INDEX(tbl_Finance[Ex GST],$A451),"")</f>
        <v/>
      </c>
      <c r="H451" s="60">
        <f>IFERROR(INDEX(tbl_Finance[Defer Start],$A451),"")</f>
        <v/>
      </c>
      <c r="I451" s="60">
        <f>IFERROR(INDEX(tbl_Finance[Defer End],$A451),"")</f>
        <v/>
      </c>
      <c r="J451" s="59">
        <f>IF(OR($H451="",$I451="",$G451=""),"",MAX(1,(YEAR($I451)-YEAR($H451))*12+MONTH($I451)-MONTH($H451)+1))</f>
        <v/>
      </c>
      <c r="K451" s="62">
        <f>IF($J451="","",$G451/$J451)</f>
        <v/>
      </c>
      <c r="L451" s="62">
        <f>IF($J451="",0,$K451*MAX(0,MIN(YEAR($C$3)*12+MONTH($C$3),YEAR($I451)*12+MONTH($I451))-(YEAR($H451)*12+MONTH($H451))+1))</f>
        <v/>
      </c>
      <c r="M451" s="62">
        <f>IF($J451="",0,$K451*MAX(0,MIN(YEAR($C$3)*12+MONTH($C$3)-1,YEAR($I451)*12+MONTH($I451))-(YEAR($H451)*12+MONTH($H451))+1))</f>
        <v/>
      </c>
      <c r="N451" s="62">
        <f>IF(OR($J451="",$B451=""),0,IF(YEAR($B451)*12+MONTH($B451)&lt;=YEAR($C$3)*12+MONTH($C$3),$G451,0))</f>
        <v/>
      </c>
      <c r="O451" s="62">
        <f>IF(OR($J451="",$B451=""),0,IF(YEAR($B451)*12+MONTH($B451)&lt;=YEAR($C$3)*12+MONTH($C$3)-1,$G451,0))</f>
        <v/>
      </c>
      <c r="P451" s="62">
        <f>$M451-$O451</f>
        <v/>
      </c>
      <c r="Q451" s="62">
        <f>($L451-$M451)-($N451-$O451)</f>
        <v/>
      </c>
      <c r="R451" s="62">
        <f>$L451-$N451</f>
        <v/>
      </c>
    </row>
    <row r="452">
      <c r="A452" s="59">
        <f>ROW()-5</f>
        <v/>
      </c>
      <c r="B452" s="60">
        <f>IFERROR(INDEX(tbl_Finance[Date],$A452),"")</f>
        <v/>
      </c>
      <c r="C452" s="61">
        <f>IFERROR(INDEX(tbl_Finance[Xero Invoice No],$A452),"")</f>
        <v/>
      </c>
      <c r="D452" s="61">
        <f>IFERROR(INDEX(tbl_Finance[Client],$A452),"")</f>
        <v/>
      </c>
      <c r="E452" s="61">
        <f>IFERROR(INDEX(tbl_Finance[Job Number],$A452),"")</f>
        <v/>
      </c>
      <c r="F452" s="61">
        <f>IFERROR(INDEX(tbl_Finance[Cost Centre],$A452),"")</f>
        <v/>
      </c>
      <c r="G452" s="62">
        <f>IFERROR(INDEX(tbl_Finance[Ex GST],$A452),"")</f>
        <v/>
      </c>
      <c r="H452" s="60">
        <f>IFERROR(INDEX(tbl_Finance[Defer Start],$A452),"")</f>
        <v/>
      </c>
      <c r="I452" s="60">
        <f>IFERROR(INDEX(tbl_Finance[Defer End],$A452),"")</f>
        <v/>
      </c>
      <c r="J452" s="59">
        <f>IF(OR($H452="",$I452="",$G452=""),"",MAX(1,(YEAR($I452)-YEAR($H452))*12+MONTH($I452)-MONTH($H452)+1))</f>
        <v/>
      </c>
      <c r="K452" s="62">
        <f>IF($J452="","",$G452/$J452)</f>
        <v/>
      </c>
      <c r="L452" s="62">
        <f>IF($J452="",0,$K452*MAX(0,MIN(YEAR($C$3)*12+MONTH($C$3),YEAR($I452)*12+MONTH($I452))-(YEAR($H452)*12+MONTH($H452))+1))</f>
        <v/>
      </c>
      <c r="M452" s="62">
        <f>IF($J452="",0,$K452*MAX(0,MIN(YEAR($C$3)*12+MONTH($C$3)-1,YEAR($I452)*12+MONTH($I452))-(YEAR($H452)*12+MONTH($H452))+1))</f>
        <v/>
      </c>
      <c r="N452" s="62">
        <f>IF(OR($J452="",$B452=""),0,IF(YEAR($B452)*12+MONTH($B452)&lt;=YEAR($C$3)*12+MONTH($C$3),$G452,0))</f>
        <v/>
      </c>
      <c r="O452" s="62">
        <f>IF(OR($J452="",$B452=""),0,IF(YEAR($B452)*12+MONTH($B452)&lt;=YEAR($C$3)*12+MONTH($C$3)-1,$G452,0))</f>
        <v/>
      </c>
      <c r="P452" s="62">
        <f>$M452-$O452</f>
        <v/>
      </c>
      <c r="Q452" s="62">
        <f>($L452-$M452)-($N452-$O452)</f>
        <v/>
      </c>
      <c r="R452" s="62">
        <f>$L452-$N452</f>
        <v/>
      </c>
    </row>
    <row r="453">
      <c r="A453" s="59">
        <f>ROW()-5</f>
        <v/>
      </c>
      <c r="B453" s="60">
        <f>IFERROR(INDEX(tbl_Finance[Date],$A453),"")</f>
        <v/>
      </c>
      <c r="C453" s="61">
        <f>IFERROR(INDEX(tbl_Finance[Xero Invoice No],$A453),"")</f>
        <v/>
      </c>
      <c r="D453" s="61">
        <f>IFERROR(INDEX(tbl_Finance[Client],$A453),"")</f>
        <v/>
      </c>
      <c r="E453" s="61">
        <f>IFERROR(INDEX(tbl_Finance[Job Number],$A453),"")</f>
        <v/>
      </c>
      <c r="F453" s="61">
        <f>IFERROR(INDEX(tbl_Finance[Cost Centre],$A453),"")</f>
        <v/>
      </c>
      <c r="G453" s="62">
        <f>IFERROR(INDEX(tbl_Finance[Ex GST],$A453),"")</f>
        <v/>
      </c>
      <c r="H453" s="60">
        <f>IFERROR(INDEX(tbl_Finance[Defer Start],$A453),"")</f>
        <v/>
      </c>
      <c r="I453" s="60">
        <f>IFERROR(INDEX(tbl_Finance[Defer End],$A453),"")</f>
        <v/>
      </c>
      <c r="J453" s="59">
        <f>IF(OR($H453="",$I453="",$G453=""),"",MAX(1,(YEAR($I453)-YEAR($H453))*12+MONTH($I453)-MONTH($H453)+1))</f>
        <v/>
      </c>
      <c r="K453" s="62">
        <f>IF($J453="","",$G453/$J453)</f>
        <v/>
      </c>
      <c r="L453" s="62">
        <f>IF($J453="",0,$K453*MAX(0,MIN(YEAR($C$3)*12+MONTH($C$3),YEAR($I453)*12+MONTH($I453))-(YEAR($H453)*12+MONTH($H453))+1))</f>
        <v/>
      </c>
      <c r="M453" s="62">
        <f>IF($J453="",0,$K453*MAX(0,MIN(YEAR($C$3)*12+MONTH($C$3)-1,YEAR($I453)*12+MONTH($I453))-(YEAR($H453)*12+MONTH($H453))+1))</f>
        <v/>
      </c>
      <c r="N453" s="62">
        <f>IF(OR($J453="",$B453=""),0,IF(YEAR($B453)*12+MONTH($B453)&lt;=YEAR($C$3)*12+MONTH($C$3),$G453,0))</f>
        <v/>
      </c>
      <c r="O453" s="62">
        <f>IF(OR($J453="",$B453=""),0,IF(YEAR($B453)*12+MONTH($B453)&lt;=YEAR($C$3)*12+MONTH($C$3)-1,$G453,0))</f>
        <v/>
      </c>
      <c r="P453" s="62">
        <f>$M453-$O453</f>
        <v/>
      </c>
      <c r="Q453" s="62">
        <f>($L453-$M453)-($N453-$O453)</f>
        <v/>
      </c>
      <c r="R453" s="62">
        <f>$L453-$N453</f>
        <v/>
      </c>
    </row>
    <row r="454">
      <c r="A454" s="59">
        <f>ROW()-5</f>
        <v/>
      </c>
      <c r="B454" s="60">
        <f>IFERROR(INDEX(tbl_Finance[Date],$A454),"")</f>
        <v/>
      </c>
      <c r="C454" s="61">
        <f>IFERROR(INDEX(tbl_Finance[Xero Invoice No],$A454),"")</f>
        <v/>
      </c>
      <c r="D454" s="61">
        <f>IFERROR(INDEX(tbl_Finance[Client],$A454),"")</f>
        <v/>
      </c>
      <c r="E454" s="61">
        <f>IFERROR(INDEX(tbl_Finance[Job Number],$A454),"")</f>
        <v/>
      </c>
      <c r="F454" s="61">
        <f>IFERROR(INDEX(tbl_Finance[Cost Centre],$A454),"")</f>
        <v/>
      </c>
      <c r="G454" s="62">
        <f>IFERROR(INDEX(tbl_Finance[Ex GST],$A454),"")</f>
        <v/>
      </c>
      <c r="H454" s="60">
        <f>IFERROR(INDEX(tbl_Finance[Defer Start],$A454),"")</f>
        <v/>
      </c>
      <c r="I454" s="60">
        <f>IFERROR(INDEX(tbl_Finance[Defer End],$A454),"")</f>
        <v/>
      </c>
      <c r="J454" s="59">
        <f>IF(OR($H454="",$I454="",$G454=""),"",MAX(1,(YEAR($I454)-YEAR($H454))*12+MONTH($I454)-MONTH($H454)+1))</f>
        <v/>
      </c>
      <c r="K454" s="62">
        <f>IF($J454="","",$G454/$J454)</f>
        <v/>
      </c>
      <c r="L454" s="62">
        <f>IF($J454="",0,$K454*MAX(0,MIN(YEAR($C$3)*12+MONTH($C$3),YEAR($I454)*12+MONTH($I454))-(YEAR($H454)*12+MONTH($H454))+1))</f>
        <v/>
      </c>
      <c r="M454" s="62">
        <f>IF($J454="",0,$K454*MAX(0,MIN(YEAR($C$3)*12+MONTH($C$3)-1,YEAR($I454)*12+MONTH($I454))-(YEAR($H454)*12+MONTH($H454))+1))</f>
        <v/>
      </c>
      <c r="N454" s="62">
        <f>IF(OR($J454="",$B454=""),0,IF(YEAR($B454)*12+MONTH($B454)&lt;=YEAR($C$3)*12+MONTH($C$3),$G454,0))</f>
        <v/>
      </c>
      <c r="O454" s="62">
        <f>IF(OR($J454="",$B454=""),0,IF(YEAR($B454)*12+MONTH($B454)&lt;=YEAR($C$3)*12+MONTH($C$3)-1,$G454,0))</f>
        <v/>
      </c>
      <c r="P454" s="62">
        <f>$M454-$O454</f>
        <v/>
      </c>
      <c r="Q454" s="62">
        <f>($L454-$M454)-($N454-$O454)</f>
        <v/>
      </c>
      <c r="R454" s="62">
        <f>$L454-$N454</f>
        <v/>
      </c>
    </row>
    <row r="455">
      <c r="A455" s="59">
        <f>ROW()-5</f>
        <v/>
      </c>
      <c r="B455" s="60">
        <f>IFERROR(INDEX(tbl_Finance[Date],$A455),"")</f>
        <v/>
      </c>
      <c r="C455" s="61">
        <f>IFERROR(INDEX(tbl_Finance[Xero Invoice No],$A455),"")</f>
        <v/>
      </c>
      <c r="D455" s="61">
        <f>IFERROR(INDEX(tbl_Finance[Client],$A455),"")</f>
        <v/>
      </c>
      <c r="E455" s="61">
        <f>IFERROR(INDEX(tbl_Finance[Job Number],$A455),"")</f>
        <v/>
      </c>
      <c r="F455" s="61">
        <f>IFERROR(INDEX(tbl_Finance[Cost Centre],$A455),"")</f>
        <v/>
      </c>
      <c r="G455" s="62">
        <f>IFERROR(INDEX(tbl_Finance[Ex GST],$A455),"")</f>
        <v/>
      </c>
      <c r="H455" s="60">
        <f>IFERROR(INDEX(tbl_Finance[Defer Start],$A455),"")</f>
        <v/>
      </c>
      <c r="I455" s="60">
        <f>IFERROR(INDEX(tbl_Finance[Defer End],$A455),"")</f>
        <v/>
      </c>
      <c r="J455" s="59">
        <f>IF(OR($H455="",$I455="",$G455=""),"",MAX(1,(YEAR($I455)-YEAR($H455))*12+MONTH($I455)-MONTH($H455)+1))</f>
        <v/>
      </c>
      <c r="K455" s="62">
        <f>IF($J455="","",$G455/$J455)</f>
        <v/>
      </c>
      <c r="L455" s="62">
        <f>IF($J455="",0,$K455*MAX(0,MIN(YEAR($C$3)*12+MONTH($C$3),YEAR($I455)*12+MONTH($I455))-(YEAR($H455)*12+MONTH($H455))+1))</f>
        <v/>
      </c>
      <c r="M455" s="62">
        <f>IF($J455="",0,$K455*MAX(0,MIN(YEAR($C$3)*12+MONTH($C$3)-1,YEAR($I455)*12+MONTH($I455))-(YEAR($H455)*12+MONTH($H455))+1))</f>
        <v/>
      </c>
      <c r="N455" s="62">
        <f>IF(OR($J455="",$B455=""),0,IF(YEAR($B455)*12+MONTH($B455)&lt;=YEAR($C$3)*12+MONTH($C$3),$G455,0))</f>
        <v/>
      </c>
      <c r="O455" s="62">
        <f>IF(OR($J455="",$B455=""),0,IF(YEAR($B455)*12+MONTH($B455)&lt;=YEAR($C$3)*12+MONTH($C$3)-1,$G455,0))</f>
        <v/>
      </c>
      <c r="P455" s="62">
        <f>$M455-$O455</f>
        <v/>
      </c>
      <c r="Q455" s="62">
        <f>($L455-$M455)-($N455-$O455)</f>
        <v/>
      </c>
      <c r="R455" s="62">
        <f>$L455-$N455</f>
        <v/>
      </c>
    </row>
    <row r="456">
      <c r="A456" s="59">
        <f>ROW()-5</f>
        <v/>
      </c>
      <c r="B456" s="60">
        <f>IFERROR(INDEX(tbl_Finance[Date],$A456),"")</f>
        <v/>
      </c>
      <c r="C456" s="61">
        <f>IFERROR(INDEX(tbl_Finance[Xero Invoice No],$A456),"")</f>
        <v/>
      </c>
      <c r="D456" s="61">
        <f>IFERROR(INDEX(tbl_Finance[Client],$A456),"")</f>
        <v/>
      </c>
      <c r="E456" s="61">
        <f>IFERROR(INDEX(tbl_Finance[Job Number],$A456),"")</f>
        <v/>
      </c>
      <c r="F456" s="61">
        <f>IFERROR(INDEX(tbl_Finance[Cost Centre],$A456),"")</f>
        <v/>
      </c>
      <c r="G456" s="62">
        <f>IFERROR(INDEX(tbl_Finance[Ex GST],$A456),"")</f>
        <v/>
      </c>
      <c r="H456" s="60">
        <f>IFERROR(INDEX(tbl_Finance[Defer Start],$A456),"")</f>
        <v/>
      </c>
      <c r="I456" s="60">
        <f>IFERROR(INDEX(tbl_Finance[Defer End],$A456),"")</f>
        <v/>
      </c>
      <c r="J456" s="59">
        <f>IF(OR($H456="",$I456="",$G456=""),"",MAX(1,(YEAR($I456)-YEAR($H456))*12+MONTH($I456)-MONTH($H456)+1))</f>
        <v/>
      </c>
      <c r="K456" s="62">
        <f>IF($J456="","",$G456/$J456)</f>
        <v/>
      </c>
      <c r="L456" s="62">
        <f>IF($J456="",0,$K456*MAX(0,MIN(YEAR($C$3)*12+MONTH($C$3),YEAR($I456)*12+MONTH($I456))-(YEAR($H456)*12+MONTH($H456))+1))</f>
        <v/>
      </c>
      <c r="M456" s="62">
        <f>IF($J456="",0,$K456*MAX(0,MIN(YEAR($C$3)*12+MONTH($C$3)-1,YEAR($I456)*12+MONTH($I456))-(YEAR($H456)*12+MONTH($H456))+1))</f>
        <v/>
      </c>
      <c r="N456" s="62">
        <f>IF(OR($J456="",$B456=""),0,IF(YEAR($B456)*12+MONTH($B456)&lt;=YEAR($C$3)*12+MONTH($C$3),$G456,0))</f>
        <v/>
      </c>
      <c r="O456" s="62">
        <f>IF(OR($J456="",$B456=""),0,IF(YEAR($B456)*12+MONTH($B456)&lt;=YEAR($C$3)*12+MONTH($C$3)-1,$G456,0))</f>
        <v/>
      </c>
      <c r="P456" s="62">
        <f>$M456-$O456</f>
        <v/>
      </c>
      <c r="Q456" s="62">
        <f>($L456-$M456)-($N456-$O456)</f>
        <v/>
      </c>
      <c r="R456" s="62">
        <f>$L456-$N456</f>
        <v/>
      </c>
    </row>
    <row r="457">
      <c r="A457" s="59">
        <f>ROW()-5</f>
        <v/>
      </c>
      <c r="B457" s="60">
        <f>IFERROR(INDEX(tbl_Finance[Date],$A457),"")</f>
        <v/>
      </c>
      <c r="C457" s="61">
        <f>IFERROR(INDEX(tbl_Finance[Xero Invoice No],$A457),"")</f>
        <v/>
      </c>
      <c r="D457" s="61">
        <f>IFERROR(INDEX(tbl_Finance[Client],$A457),"")</f>
        <v/>
      </c>
      <c r="E457" s="61">
        <f>IFERROR(INDEX(tbl_Finance[Job Number],$A457),"")</f>
        <v/>
      </c>
      <c r="F457" s="61">
        <f>IFERROR(INDEX(tbl_Finance[Cost Centre],$A457),"")</f>
        <v/>
      </c>
      <c r="G457" s="62">
        <f>IFERROR(INDEX(tbl_Finance[Ex GST],$A457),"")</f>
        <v/>
      </c>
      <c r="H457" s="60">
        <f>IFERROR(INDEX(tbl_Finance[Defer Start],$A457),"")</f>
        <v/>
      </c>
      <c r="I457" s="60">
        <f>IFERROR(INDEX(tbl_Finance[Defer End],$A457),"")</f>
        <v/>
      </c>
      <c r="J457" s="59">
        <f>IF(OR($H457="",$I457="",$G457=""),"",MAX(1,(YEAR($I457)-YEAR($H457))*12+MONTH($I457)-MONTH($H457)+1))</f>
        <v/>
      </c>
      <c r="K457" s="62">
        <f>IF($J457="","",$G457/$J457)</f>
        <v/>
      </c>
      <c r="L457" s="62">
        <f>IF($J457="",0,$K457*MAX(0,MIN(YEAR($C$3)*12+MONTH($C$3),YEAR($I457)*12+MONTH($I457))-(YEAR($H457)*12+MONTH($H457))+1))</f>
        <v/>
      </c>
      <c r="M457" s="62">
        <f>IF($J457="",0,$K457*MAX(0,MIN(YEAR($C$3)*12+MONTH($C$3)-1,YEAR($I457)*12+MONTH($I457))-(YEAR($H457)*12+MONTH($H457))+1))</f>
        <v/>
      </c>
      <c r="N457" s="62">
        <f>IF(OR($J457="",$B457=""),0,IF(YEAR($B457)*12+MONTH($B457)&lt;=YEAR($C$3)*12+MONTH($C$3),$G457,0))</f>
        <v/>
      </c>
      <c r="O457" s="62">
        <f>IF(OR($J457="",$B457=""),0,IF(YEAR($B457)*12+MONTH($B457)&lt;=YEAR($C$3)*12+MONTH($C$3)-1,$G457,0))</f>
        <v/>
      </c>
      <c r="P457" s="62">
        <f>$M457-$O457</f>
        <v/>
      </c>
      <c r="Q457" s="62">
        <f>($L457-$M457)-($N457-$O457)</f>
        <v/>
      </c>
      <c r="R457" s="62">
        <f>$L457-$N457</f>
        <v/>
      </c>
    </row>
    <row r="458">
      <c r="A458" s="59">
        <f>ROW()-5</f>
        <v/>
      </c>
      <c r="B458" s="60">
        <f>IFERROR(INDEX(tbl_Finance[Date],$A458),"")</f>
        <v/>
      </c>
      <c r="C458" s="61">
        <f>IFERROR(INDEX(tbl_Finance[Xero Invoice No],$A458),"")</f>
        <v/>
      </c>
      <c r="D458" s="61">
        <f>IFERROR(INDEX(tbl_Finance[Client],$A458),"")</f>
        <v/>
      </c>
      <c r="E458" s="61">
        <f>IFERROR(INDEX(tbl_Finance[Job Number],$A458),"")</f>
        <v/>
      </c>
      <c r="F458" s="61">
        <f>IFERROR(INDEX(tbl_Finance[Cost Centre],$A458),"")</f>
        <v/>
      </c>
      <c r="G458" s="62">
        <f>IFERROR(INDEX(tbl_Finance[Ex GST],$A458),"")</f>
        <v/>
      </c>
      <c r="H458" s="60">
        <f>IFERROR(INDEX(tbl_Finance[Defer Start],$A458),"")</f>
        <v/>
      </c>
      <c r="I458" s="60">
        <f>IFERROR(INDEX(tbl_Finance[Defer End],$A458),"")</f>
        <v/>
      </c>
      <c r="J458" s="59">
        <f>IF(OR($H458="",$I458="",$G458=""),"",MAX(1,(YEAR($I458)-YEAR($H458))*12+MONTH($I458)-MONTH($H458)+1))</f>
        <v/>
      </c>
      <c r="K458" s="62">
        <f>IF($J458="","",$G458/$J458)</f>
        <v/>
      </c>
      <c r="L458" s="62">
        <f>IF($J458="",0,$K458*MAX(0,MIN(YEAR($C$3)*12+MONTH($C$3),YEAR($I458)*12+MONTH($I458))-(YEAR($H458)*12+MONTH($H458))+1))</f>
        <v/>
      </c>
      <c r="M458" s="62">
        <f>IF($J458="",0,$K458*MAX(0,MIN(YEAR($C$3)*12+MONTH($C$3)-1,YEAR($I458)*12+MONTH($I458))-(YEAR($H458)*12+MONTH($H458))+1))</f>
        <v/>
      </c>
      <c r="N458" s="62">
        <f>IF(OR($J458="",$B458=""),0,IF(YEAR($B458)*12+MONTH($B458)&lt;=YEAR($C$3)*12+MONTH($C$3),$G458,0))</f>
        <v/>
      </c>
      <c r="O458" s="62">
        <f>IF(OR($J458="",$B458=""),0,IF(YEAR($B458)*12+MONTH($B458)&lt;=YEAR($C$3)*12+MONTH($C$3)-1,$G458,0))</f>
        <v/>
      </c>
      <c r="P458" s="62">
        <f>$M458-$O458</f>
        <v/>
      </c>
      <c r="Q458" s="62">
        <f>($L458-$M458)-($N458-$O458)</f>
        <v/>
      </c>
      <c r="R458" s="62">
        <f>$L458-$N458</f>
        <v/>
      </c>
    </row>
    <row r="459">
      <c r="A459" s="59">
        <f>ROW()-5</f>
        <v/>
      </c>
      <c r="B459" s="60">
        <f>IFERROR(INDEX(tbl_Finance[Date],$A459),"")</f>
        <v/>
      </c>
      <c r="C459" s="61">
        <f>IFERROR(INDEX(tbl_Finance[Xero Invoice No],$A459),"")</f>
        <v/>
      </c>
      <c r="D459" s="61">
        <f>IFERROR(INDEX(tbl_Finance[Client],$A459),"")</f>
        <v/>
      </c>
      <c r="E459" s="61">
        <f>IFERROR(INDEX(tbl_Finance[Job Number],$A459),"")</f>
        <v/>
      </c>
      <c r="F459" s="61">
        <f>IFERROR(INDEX(tbl_Finance[Cost Centre],$A459),"")</f>
        <v/>
      </c>
      <c r="G459" s="62">
        <f>IFERROR(INDEX(tbl_Finance[Ex GST],$A459),"")</f>
        <v/>
      </c>
      <c r="H459" s="60">
        <f>IFERROR(INDEX(tbl_Finance[Defer Start],$A459),"")</f>
        <v/>
      </c>
      <c r="I459" s="60">
        <f>IFERROR(INDEX(tbl_Finance[Defer End],$A459),"")</f>
        <v/>
      </c>
      <c r="J459" s="59">
        <f>IF(OR($H459="",$I459="",$G459=""),"",MAX(1,(YEAR($I459)-YEAR($H459))*12+MONTH($I459)-MONTH($H459)+1))</f>
        <v/>
      </c>
      <c r="K459" s="62">
        <f>IF($J459="","",$G459/$J459)</f>
        <v/>
      </c>
      <c r="L459" s="62">
        <f>IF($J459="",0,$K459*MAX(0,MIN(YEAR($C$3)*12+MONTH($C$3),YEAR($I459)*12+MONTH($I459))-(YEAR($H459)*12+MONTH($H459))+1))</f>
        <v/>
      </c>
      <c r="M459" s="62">
        <f>IF($J459="",0,$K459*MAX(0,MIN(YEAR($C$3)*12+MONTH($C$3)-1,YEAR($I459)*12+MONTH($I459))-(YEAR($H459)*12+MONTH($H459))+1))</f>
        <v/>
      </c>
      <c r="N459" s="62">
        <f>IF(OR($J459="",$B459=""),0,IF(YEAR($B459)*12+MONTH($B459)&lt;=YEAR($C$3)*12+MONTH($C$3),$G459,0))</f>
        <v/>
      </c>
      <c r="O459" s="62">
        <f>IF(OR($J459="",$B459=""),0,IF(YEAR($B459)*12+MONTH($B459)&lt;=YEAR($C$3)*12+MONTH($C$3)-1,$G459,0))</f>
        <v/>
      </c>
      <c r="P459" s="62">
        <f>$M459-$O459</f>
        <v/>
      </c>
      <c r="Q459" s="62">
        <f>($L459-$M459)-($N459-$O459)</f>
        <v/>
      </c>
      <c r="R459" s="62">
        <f>$L459-$N459</f>
        <v/>
      </c>
    </row>
    <row r="460">
      <c r="A460" s="59">
        <f>ROW()-5</f>
        <v/>
      </c>
      <c r="B460" s="60">
        <f>IFERROR(INDEX(tbl_Finance[Date],$A460),"")</f>
        <v/>
      </c>
      <c r="C460" s="61">
        <f>IFERROR(INDEX(tbl_Finance[Xero Invoice No],$A460),"")</f>
        <v/>
      </c>
      <c r="D460" s="61">
        <f>IFERROR(INDEX(tbl_Finance[Client],$A460),"")</f>
        <v/>
      </c>
      <c r="E460" s="61">
        <f>IFERROR(INDEX(tbl_Finance[Job Number],$A460),"")</f>
        <v/>
      </c>
      <c r="F460" s="61">
        <f>IFERROR(INDEX(tbl_Finance[Cost Centre],$A460),"")</f>
        <v/>
      </c>
      <c r="G460" s="62">
        <f>IFERROR(INDEX(tbl_Finance[Ex GST],$A460),"")</f>
        <v/>
      </c>
      <c r="H460" s="60">
        <f>IFERROR(INDEX(tbl_Finance[Defer Start],$A460),"")</f>
        <v/>
      </c>
      <c r="I460" s="60">
        <f>IFERROR(INDEX(tbl_Finance[Defer End],$A460),"")</f>
        <v/>
      </c>
      <c r="J460" s="59">
        <f>IF(OR($H460="",$I460="",$G460=""),"",MAX(1,(YEAR($I460)-YEAR($H460))*12+MONTH($I460)-MONTH($H460)+1))</f>
        <v/>
      </c>
      <c r="K460" s="62">
        <f>IF($J460="","",$G460/$J460)</f>
        <v/>
      </c>
      <c r="L460" s="62">
        <f>IF($J460="",0,$K460*MAX(0,MIN(YEAR($C$3)*12+MONTH($C$3),YEAR($I460)*12+MONTH($I460))-(YEAR($H460)*12+MONTH($H460))+1))</f>
        <v/>
      </c>
      <c r="M460" s="62">
        <f>IF($J460="",0,$K460*MAX(0,MIN(YEAR($C$3)*12+MONTH($C$3)-1,YEAR($I460)*12+MONTH($I460))-(YEAR($H460)*12+MONTH($H460))+1))</f>
        <v/>
      </c>
      <c r="N460" s="62">
        <f>IF(OR($J460="",$B460=""),0,IF(YEAR($B460)*12+MONTH($B460)&lt;=YEAR($C$3)*12+MONTH($C$3),$G460,0))</f>
        <v/>
      </c>
      <c r="O460" s="62">
        <f>IF(OR($J460="",$B460=""),0,IF(YEAR($B460)*12+MONTH($B460)&lt;=YEAR($C$3)*12+MONTH($C$3)-1,$G460,0))</f>
        <v/>
      </c>
      <c r="P460" s="62">
        <f>$M460-$O460</f>
        <v/>
      </c>
      <c r="Q460" s="62">
        <f>($L460-$M460)-($N460-$O460)</f>
        <v/>
      </c>
      <c r="R460" s="62">
        <f>$L460-$N460</f>
        <v/>
      </c>
    </row>
    <row r="461">
      <c r="A461" s="59">
        <f>ROW()-5</f>
        <v/>
      </c>
      <c r="B461" s="60">
        <f>IFERROR(INDEX(tbl_Finance[Date],$A461),"")</f>
        <v/>
      </c>
      <c r="C461" s="61">
        <f>IFERROR(INDEX(tbl_Finance[Xero Invoice No],$A461),"")</f>
        <v/>
      </c>
      <c r="D461" s="61">
        <f>IFERROR(INDEX(tbl_Finance[Client],$A461),"")</f>
        <v/>
      </c>
      <c r="E461" s="61">
        <f>IFERROR(INDEX(tbl_Finance[Job Number],$A461),"")</f>
        <v/>
      </c>
      <c r="F461" s="61">
        <f>IFERROR(INDEX(tbl_Finance[Cost Centre],$A461),"")</f>
        <v/>
      </c>
      <c r="G461" s="62">
        <f>IFERROR(INDEX(tbl_Finance[Ex GST],$A461),"")</f>
        <v/>
      </c>
      <c r="H461" s="60">
        <f>IFERROR(INDEX(tbl_Finance[Defer Start],$A461),"")</f>
        <v/>
      </c>
      <c r="I461" s="60">
        <f>IFERROR(INDEX(tbl_Finance[Defer End],$A461),"")</f>
        <v/>
      </c>
      <c r="J461" s="59">
        <f>IF(OR($H461="",$I461="",$G461=""),"",MAX(1,(YEAR($I461)-YEAR($H461))*12+MONTH($I461)-MONTH($H461)+1))</f>
        <v/>
      </c>
      <c r="K461" s="62">
        <f>IF($J461="","",$G461/$J461)</f>
        <v/>
      </c>
      <c r="L461" s="62">
        <f>IF($J461="",0,$K461*MAX(0,MIN(YEAR($C$3)*12+MONTH($C$3),YEAR($I461)*12+MONTH($I461))-(YEAR($H461)*12+MONTH($H461))+1))</f>
        <v/>
      </c>
      <c r="M461" s="62">
        <f>IF($J461="",0,$K461*MAX(0,MIN(YEAR($C$3)*12+MONTH($C$3)-1,YEAR($I461)*12+MONTH($I461))-(YEAR($H461)*12+MONTH($H461))+1))</f>
        <v/>
      </c>
      <c r="N461" s="62">
        <f>IF(OR($J461="",$B461=""),0,IF(YEAR($B461)*12+MONTH($B461)&lt;=YEAR($C$3)*12+MONTH($C$3),$G461,0))</f>
        <v/>
      </c>
      <c r="O461" s="62">
        <f>IF(OR($J461="",$B461=""),0,IF(YEAR($B461)*12+MONTH($B461)&lt;=YEAR($C$3)*12+MONTH($C$3)-1,$G461,0))</f>
        <v/>
      </c>
      <c r="P461" s="62">
        <f>$M461-$O461</f>
        <v/>
      </c>
      <c r="Q461" s="62">
        <f>($L461-$M461)-($N461-$O461)</f>
        <v/>
      </c>
      <c r="R461" s="62">
        <f>$L461-$N461</f>
        <v/>
      </c>
    </row>
    <row r="462">
      <c r="A462" s="59">
        <f>ROW()-5</f>
        <v/>
      </c>
      <c r="B462" s="60">
        <f>IFERROR(INDEX(tbl_Finance[Date],$A462),"")</f>
        <v/>
      </c>
      <c r="C462" s="61">
        <f>IFERROR(INDEX(tbl_Finance[Xero Invoice No],$A462),"")</f>
        <v/>
      </c>
      <c r="D462" s="61">
        <f>IFERROR(INDEX(tbl_Finance[Client],$A462),"")</f>
        <v/>
      </c>
      <c r="E462" s="61">
        <f>IFERROR(INDEX(tbl_Finance[Job Number],$A462),"")</f>
        <v/>
      </c>
      <c r="F462" s="61">
        <f>IFERROR(INDEX(tbl_Finance[Cost Centre],$A462),"")</f>
        <v/>
      </c>
      <c r="G462" s="62">
        <f>IFERROR(INDEX(tbl_Finance[Ex GST],$A462),"")</f>
        <v/>
      </c>
      <c r="H462" s="60">
        <f>IFERROR(INDEX(tbl_Finance[Defer Start],$A462),"")</f>
        <v/>
      </c>
      <c r="I462" s="60">
        <f>IFERROR(INDEX(tbl_Finance[Defer End],$A462),"")</f>
        <v/>
      </c>
      <c r="J462" s="59">
        <f>IF(OR($H462="",$I462="",$G462=""),"",MAX(1,(YEAR($I462)-YEAR($H462))*12+MONTH($I462)-MONTH($H462)+1))</f>
        <v/>
      </c>
      <c r="K462" s="62">
        <f>IF($J462="","",$G462/$J462)</f>
        <v/>
      </c>
      <c r="L462" s="62">
        <f>IF($J462="",0,$K462*MAX(0,MIN(YEAR($C$3)*12+MONTH($C$3),YEAR($I462)*12+MONTH($I462))-(YEAR($H462)*12+MONTH($H462))+1))</f>
        <v/>
      </c>
      <c r="M462" s="62">
        <f>IF($J462="",0,$K462*MAX(0,MIN(YEAR($C$3)*12+MONTH($C$3)-1,YEAR($I462)*12+MONTH($I462))-(YEAR($H462)*12+MONTH($H462))+1))</f>
        <v/>
      </c>
      <c r="N462" s="62">
        <f>IF(OR($J462="",$B462=""),0,IF(YEAR($B462)*12+MONTH($B462)&lt;=YEAR($C$3)*12+MONTH($C$3),$G462,0))</f>
        <v/>
      </c>
      <c r="O462" s="62">
        <f>IF(OR($J462="",$B462=""),0,IF(YEAR($B462)*12+MONTH($B462)&lt;=YEAR($C$3)*12+MONTH($C$3)-1,$G462,0))</f>
        <v/>
      </c>
      <c r="P462" s="62">
        <f>$M462-$O462</f>
        <v/>
      </c>
      <c r="Q462" s="62">
        <f>($L462-$M462)-($N462-$O462)</f>
        <v/>
      </c>
      <c r="R462" s="62">
        <f>$L462-$N462</f>
        <v/>
      </c>
    </row>
    <row r="463">
      <c r="A463" s="59">
        <f>ROW()-5</f>
        <v/>
      </c>
      <c r="B463" s="60">
        <f>IFERROR(INDEX(tbl_Finance[Date],$A463),"")</f>
        <v/>
      </c>
      <c r="C463" s="61">
        <f>IFERROR(INDEX(tbl_Finance[Xero Invoice No],$A463),"")</f>
        <v/>
      </c>
      <c r="D463" s="61">
        <f>IFERROR(INDEX(tbl_Finance[Client],$A463),"")</f>
        <v/>
      </c>
      <c r="E463" s="61">
        <f>IFERROR(INDEX(tbl_Finance[Job Number],$A463),"")</f>
        <v/>
      </c>
      <c r="F463" s="61">
        <f>IFERROR(INDEX(tbl_Finance[Cost Centre],$A463),"")</f>
        <v/>
      </c>
      <c r="G463" s="62">
        <f>IFERROR(INDEX(tbl_Finance[Ex GST],$A463),"")</f>
        <v/>
      </c>
      <c r="H463" s="60">
        <f>IFERROR(INDEX(tbl_Finance[Defer Start],$A463),"")</f>
        <v/>
      </c>
      <c r="I463" s="60">
        <f>IFERROR(INDEX(tbl_Finance[Defer End],$A463),"")</f>
        <v/>
      </c>
      <c r="J463" s="59">
        <f>IF(OR($H463="",$I463="",$G463=""),"",MAX(1,(YEAR($I463)-YEAR($H463))*12+MONTH($I463)-MONTH($H463)+1))</f>
        <v/>
      </c>
      <c r="K463" s="62">
        <f>IF($J463="","",$G463/$J463)</f>
        <v/>
      </c>
      <c r="L463" s="62">
        <f>IF($J463="",0,$K463*MAX(0,MIN(YEAR($C$3)*12+MONTH($C$3),YEAR($I463)*12+MONTH($I463))-(YEAR($H463)*12+MONTH($H463))+1))</f>
        <v/>
      </c>
      <c r="M463" s="62">
        <f>IF($J463="",0,$K463*MAX(0,MIN(YEAR($C$3)*12+MONTH($C$3)-1,YEAR($I463)*12+MONTH($I463))-(YEAR($H463)*12+MONTH($H463))+1))</f>
        <v/>
      </c>
      <c r="N463" s="62">
        <f>IF(OR($J463="",$B463=""),0,IF(YEAR($B463)*12+MONTH($B463)&lt;=YEAR($C$3)*12+MONTH($C$3),$G463,0))</f>
        <v/>
      </c>
      <c r="O463" s="62">
        <f>IF(OR($J463="",$B463=""),0,IF(YEAR($B463)*12+MONTH($B463)&lt;=YEAR($C$3)*12+MONTH($C$3)-1,$G463,0))</f>
        <v/>
      </c>
      <c r="P463" s="62">
        <f>$M463-$O463</f>
        <v/>
      </c>
      <c r="Q463" s="62">
        <f>($L463-$M463)-($N463-$O463)</f>
        <v/>
      </c>
      <c r="R463" s="62">
        <f>$L463-$N463</f>
        <v/>
      </c>
    </row>
    <row r="464">
      <c r="A464" s="59">
        <f>ROW()-5</f>
        <v/>
      </c>
      <c r="B464" s="60">
        <f>IFERROR(INDEX(tbl_Finance[Date],$A464),"")</f>
        <v/>
      </c>
      <c r="C464" s="61">
        <f>IFERROR(INDEX(tbl_Finance[Xero Invoice No],$A464),"")</f>
        <v/>
      </c>
      <c r="D464" s="61">
        <f>IFERROR(INDEX(tbl_Finance[Client],$A464),"")</f>
        <v/>
      </c>
      <c r="E464" s="61">
        <f>IFERROR(INDEX(tbl_Finance[Job Number],$A464),"")</f>
        <v/>
      </c>
      <c r="F464" s="61">
        <f>IFERROR(INDEX(tbl_Finance[Cost Centre],$A464),"")</f>
        <v/>
      </c>
      <c r="G464" s="62">
        <f>IFERROR(INDEX(tbl_Finance[Ex GST],$A464),"")</f>
        <v/>
      </c>
      <c r="H464" s="60">
        <f>IFERROR(INDEX(tbl_Finance[Defer Start],$A464),"")</f>
        <v/>
      </c>
      <c r="I464" s="60">
        <f>IFERROR(INDEX(tbl_Finance[Defer End],$A464),"")</f>
        <v/>
      </c>
      <c r="J464" s="59">
        <f>IF(OR($H464="",$I464="",$G464=""),"",MAX(1,(YEAR($I464)-YEAR($H464))*12+MONTH($I464)-MONTH($H464)+1))</f>
        <v/>
      </c>
      <c r="K464" s="62">
        <f>IF($J464="","",$G464/$J464)</f>
        <v/>
      </c>
      <c r="L464" s="62">
        <f>IF($J464="",0,$K464*MAX(0,MIN(YEAR($C$3)*12+MONTH($C$3),YEAR($I464)*12+MONTH($I464))-(YEAR($H464)*12+MONTH($H464))+1))</f>
        <v/>
      </c>
      <c r="M464" s="62">
        <f>IF($J464="",0,$K464*MAX(0,MIN(YEAR($C$3)*12+MONTH($C$3)-1,YEAR($I464)*12+MONTH($I464))-(YEAR($H464)*12+MONTH($H464))+1))</f>
        <v/>
      </c>
      <c r="N464" s="62">
        <f>IF(OR($J464="",$B464=""),0,IF(YEAR($B464)*12+MONTH($B464)&lt;=YEAR($C$3)*12+MONTH($C$3),$G464,0))</f>
        <v/>
      </c>
      <c r="O464" s="62">
        <f>IF(OR($J464="",$B464=""),0,IF(YEAR($B464)*12+MONTH($B464)&lt;=YEAR($C$3)*12+MONTH($C$3)-1,$G464,0))</f>
        <v/>
      </c>
      <c r="P464" s="62">
        <f>$M464-$O464</f>
        <v/>
      </c>
      <c r="Q464" s="62">
        <f>($L464-$M464)-($N464-$O464)</f>
        <v/>
      </c>
      <c r="R464" s="62">
        <f>$L464-$N464</f>
        <v/>
      </c>
    </row>
    <row r="465">
      <c r="A465" s="59">
        <f>ROW()-5</f>
        <v/>
      </c>
      <c r="B465" s="60">
        <f>IFERROR(INDEX(tbl_Finance[Date],$A465),"")</f>
        <v/>
      </c>
      <c r="C465" s="61">
        <f>IFERROR(INDEX(tbl_Finance[Xero Invoice No],$A465),"")</f>
        <v/>
      </c>
      <c r="D465" s="61">
        <f>IFERROR(INDEX(tbl_Finance[Client],$A465),"")</f>
        <v/>
      </c>
      <c r="E465" s="61">
        <f>IFERROR(INDEX(tbl_Finance[Job Number],$A465),"")</f>
        <v/>
      </c>
      <c r="F465" s="61">
        <f>IFERROR(INDEX(tbl_Finance[Cost Centre],$A465),"")</f>
        <v/>
      </c>
      <c r="G465" s="62">
        <f>IFERROR(INDEX(tbl_Finance[Ex GST],$A465),"")</f>
        <v/>
      </c>
      <c r="H465" s="60">
        <f>IFERROR(INDEX(tbl_Finance[Defer Start],$A465),"")</f>
        <v/>
      </c>
      <c r="I465" s="60">
        <f>IFERROR(INDEX(tbl_Finance[Defer End],$A465),"")</f>
        <v/>
      </c>
      <c r="J465" s="59">
        <f>IF(OR($H465="",$I465="",$G465=""),"",MAX(1,(YEAR($I465)-YEAR($H465))*12+MONTH($I465)-MONTH($H465)+1))</f>
        <v/>
      </c>
      <c r="K465" s="62">
        <f>IF($J465="","",$G465/$J465)</f>
        <v/>
      </c>
      <c r="L465" s="62">
        <f>IF($J465="",0,$K465*MAX(0,MIN(YEAR($C$3)*12+MONTH($C$3),YEAR($I465)*12+MONTH($I465))-(YEAR($H465)*12+MONTH($H465))+1))</f>
        <v/>
      </c>
      <c r="M465" s="62">
        <f>IF($J465="",0,$K465*MAX(0,MIN(YEAR($C$3)*12+MONTH($C$3)-1,YEAR($I465)*12+MONTH($I465))-(YEAR($H465)*12+MONTH($H465))+1))</f>
        <v/>
      </c>
      <c r="N465" s="62">
        <f>IF(OR($J465="",$B465=""),0,IF(YEAR($B465)*12+MONTH($B465)&lt;=YEAR($C$3)*12+MONTH($C$3),$G465,0))</f>
        <v/>
      </c>
      <c r="O465" s="62">
        <f>IF(OR($J465="",$B465=""),0,IF(YEAR($B465)*12+MONTH($B465)&lt;=YEAR($C$3)*12+MONTH($C$3)-1,$G465,0))</f>
        <v/>
      </c>
      <c r="P465" s="62">
        <f>$M465-$O465</f>
        <v/>
      </c>
      <c r="Q465" s="62">
        <f>($L465-$M465)-($N465-$O465)</f>
        <v/>
      </c>
      <c r="R465" s="62">
        <f>$L465-$N465</f>
        <v/>
      </c>
    </row>
    <row r="466">
      <c r="A466" s="59">
        <f>ROW()-5</f>
        <v/>
      </c>
      <c r="B466" s="60">
        <f>IFERROR(INDEX(tbl_Finance[Date],$A466),"")</f>
        <v/>
      </c>
      <c r="C466" s="61">
        <f>IFERROR(INDEX(tbl_Finance[Xero Invoice No],$A466),"")</f>
        <v/>
      </c>
      <c r="D466" s="61">
        <f>IFERROR(INDEX(tbl_Finance[Client],$A466),"")</f>
        <v/>
      </c>
      <c r="E466" s="61">
        <f>IFERROR(INDEX(tbl_Finance[Job Number],$A466),"")</f>
        <v/>
      </c>
      <c r="F466" s="61">
        <f>IFERROR(INDEX(tbl_Finance[Cost Centre],$A466),"")</f>
        <v/>
      </c>
      <c r="G466" s="62">
        <f>IFERROR(INDEX(tbl_Finance[Ex GST],$A466),"")</f>
        <v/>
      </c>
      <c r="H466" s="60">
        <f>IFERROR(INDEX(tbl_Finance[Defer Start],$A466),"")</f>
        <v/>
      </c>
      <c r="I466" s="60">
        <f>IFERROR(INDEX(tbl_Finance[Defer End],$A466),"")</f>
        <v/>
      </c>
      <c r="J466" s="59">
        <f>IF(OR($H466="",$I466="",$G466=""),"",MAX(1,(YEAR($I466)-YEAR($H466))*12+MONTH($I466)-MONTH($H466)+1))</f>
        <v/>
      </c>
      <c r="K466" s="62">
        <f>IF($J466="","",$G466/$J466)</f>
        <v/>
      </c>
      <c r="L466" s="62">
        <f>IF($J466="",0,$K466*MAX(0,MIN(YEAR($C$3)*12+MONTH($C$3),YEAR($I466)*12+MONTH($I466))-(YEAR($H466)*12+MONTH($H466))+1))</f>
        <v/>
      </c>
      <c r="M466" s="62">
        <f>IF($J466="",0,$K466*MAX(0,MIN(YEAR($C$3)*12+MONTH($C$3)-1,YEAR($I466)*12+MONTH($I466))-(YEAR($H466)*12+MONTH($H466))+1))</f>
        <v/>
      </c>
      <c r="N466" s="62">
        <f>IF(OR($J466="",$B466=""),0,IF(YEAR($B466)*12+MONTH($B466)&lt;=YEAR($C$3)*12+MONTH($C$3),$G466,0))</f>
        <v/>
      </c>
      <c r="O466" s="62">
        <f>IF(OR($J466="",$B466=""),0,IF(YEAR($B466)*12+MONTH($B466)&lt;=YEAR($C$3)*12+MONTH($C$3)-1,$G466,0))</f>
        <v/>
      </c>
      <c r="P466" s="62">
        <f>$M466-$O466</f>
        <v/>
      </c>
      <c r="Q466" s="62">
        <f>($L466-$M466)-($N466-$O466)</f>
        <v/>
      </c>
      <c r="R466" s="62">
        <f>$L466-$N466</f>
        <v/>
      </c>
    </row>
    <row r="467">
      <c r="A467" s="59">
        <f>ROW()-5</f>
        <v/>
      </c>
      <c r="B467" s="60">
        <f>IFERROR(INDEX(tbl_Finance[Date],$A467),"")</f>
        <v/>
      </c>
      <c r="C467" s="61">
        <f>IFERROR(INDEX(tbl_Finance[Xero Invoice No],$A467),"")</f>
        <v/>
      </c>
      <c r="D467" s="61">
        <f>IFERROR(INDEX(tbl_Finance[Client],$A467),"")</f>
        <v/>
      </c>
      <c r="E467" s="61">
        <f>IFERROR(INDEX(tbl_Finance[Job Number],$A467),"")</f>
        <v/>
      </c>
      <c r="F467" s="61">
        <f>IFERROR(INDEX(tbl_Finance[Cost Centre],$A467),"")</f>
        <v/>
      </c>
      <c r="G467" s="62">
        <f>IFERROR(INDEX(tbl_Finance[Ex GST],$A467),"")</f>
        <v/>
      </c>
      <c r="H467" s="60">
        <f>IFERROR(INDEX(tbl_Finance[Defer Start],$A467),"")</f>
        <v/>
      </c>
      <c r="I467" s="60">
        <f>IFERROR(INDEX(tbl_Finance[Defer End],$A467),"")</f>
        <v/>
      </c>
      <c r="J467" s="59">
        <f>IF(OR($H467="",$I467="",$G467=""),"",MAX(1,(YEAR($I467)-YEAR($H467))*12+MONTH($I467)-MONTH($H467)+1))</f>
        <v/>
      </c>
      <c r="K467" s="62">
        <f>IF($J467="","",$G467/$J467)</f>
        <v/>
      </c>
      <c r="L467" s="62">
        <f>IF($J467="",0,$K467*MAX(0,MIN(YEAR($C$3)*12+MONTH($C$3),YEAR($I467)*12+MONTH($I467))-(YEAR($H467)*12+MONTH($H467))+1))</f>
        <v/>
      </c>
      <c r="M467" s="62">
        <f>IF($J467="",0,$K467*MAX(0,MIN(YEAR($C$3)*12+MONTH($C$3)-1,YEAR($I467)*12+MONTH($I467))-(YEAR($H467)*12+MONTH($H467))+1))</f>
        <v/>
      </c>
      <c r="N467" s="62">
        <f>IF(OR($J467="",$B467=""),0,IF(YEAR($B467)*12+MONTH($B467)&lt;=YEAR($C$3)*12+MONTH($C$3),$G467,0))</f>
        <v/>
      </c>
      <c r="O467" s="62">
        <f>IF(OR($J467="",$B467=""),0,IF(YEAR($B467)*12+MONTH($B467)&lt;=YEAR($C$3)*12+MONTH($C$3)-1,$G467,0))</f>
        <v/>
      </c>
      <c r="P467" s="62">
        <f>$M467-$O467</f>
        <v/>
      </c>
      <c r="Q467" s="62">
        <f>($L467-$M467)-($N467-$O467)</f>
        <v/>
      </c>
      <c r="R467" s="62">
        <f>$L467-$N467</f>
        <v/>
      </c>
    </row>
    <row r="468">
      <c r="A468" s="59">
        <f>ROW()-5</f>
        <v/>
      </c>
      <c r="B468" s="60">
        <f>IFERROR(INDEX(tbl_Finance[Date],$A468),"")</f>
        <v/>
      </c>
      <c r="C468" s="61">
        <f>IFERROR(INDEX(tbl_Finance[Xero Invoice No],$A468),"")</f>
        <v/>
      </c>
      <c r="D468" s="61">
        <f>IFERROR(INDEX(tbl_Finance[Client],$A468),"")</f>
        <v/>
      </c>
      <c r="E468" s="61">
        <f>IFERROR(INDEX(tbl_Finance[Job Number],$A468),"")</f>
        <v/>
      </c>
      <c r="F468" s="61">
        <f>IFERROR(INDEX(tbl_Finance[Cost Centre],$A468),"")</f>
        <v/>
      </c>
      <c r="G468" s="62">
        <f>IFERROR(INDEX(tbl_Finance[Ex GST],$A468),"")</f>
        <v/>
      </c>
      <c r="H468" s="60">
        <f>IFERROR(INDEX(tbl_Finance[Defer Start],$A468),"")</f>
        <v/>
      </c>
      <c r="I468" s="60">
        <f>IFERROR(INDEX(tbl_Finance[Defer End],$A468),"")</f>
        <v/>
      </c>
      <c r="J468" s="59">
        <f>IF(OR($H468="",$I468="",$G468=""),"",MAX(1,(YEAR($I468)-YEAR($H468))*12+MONTH($I468)-MONTH($H468)+1))</f>
        <v/>
      </c>
      <c r="K468" s="62">
        <f>IF($J468="","",$G468/$J468)</f>
        <v/>
      </c>
      <c r="L468" s="62">
        <f>IF($J468="",0,$K468*MAX(0,MIN(YEAR($C$3)*12+MONTH($C$3),YEAR($I468)*12+MONTH($I468))-(YEAR($H468)*12+MONTH($H468))+1))</f>
        <v/>
      </c>
      <c r="M468" s="62">
        <f>IF($J468="",0,$K468*MAX(0,MIN(YEAR($C$3)*12+MONTH($C$3)-1,YEAR($I468)*12+MONTH($I468))-(YEAR($H468)*12+MONTH($H468))+1))</f>
        <v/>
      </c>
      <c r="N468" s="62">
        <f>IF(OR($J468="",$B468=""),0,IF(YEAR($B468)*12+MONTH($B468)&lt;=YEAR($C$3)*12+MONTH($C$3),$G468,0))</f>
        <v/>
      </c>
      <c r="O468" s="62">
        <f>IF(OR($J468="",$B468=""),0,IF(YEAR($B468)*12+MONTH($B468)&lt;=YEAR($C$3)*12+MONTH($C$3)-1,$G468,0))</f>
        <v/>
      </c>
      <c r="P468" s="62">
        <f>$M468-$O468</f>
        <v/>
      </c>
      <c r="Q468" s="62">
        <f>($L468-$M468)-($N468-$O468)</f>
        <v/>
      </c>
      <c r="R468" s="62">
        <f>$L468-$N468</f>
        <v/>
      </c>
    </row>
    <row r="469">
      <c r="A469" s="59">
        <f>ROW()-5</f>
        <v/>
      </c>
      <c r="B469" s="60">
        <f>IFERROR(INDEX(tbl_Finance[Date],$A469),"")</f>
        <v/>
      </c>
      <c r="C469" s="61">
        <f>IFERROR(INDEX(tbl_Finance[Xero Invoice No],$A469),"")</f>
        <v/>
      </c>
      <c r="D469" s="61">
        <f>IFERROR(INDEX(tbl_Finance[Client],$A469),"")</f>
        <v/>
      </c>
      <c r="E469" s="61">
        <f>IFERROR(INDEX(tbl_Finance[Job Number],$A469),"")</f>
        <v/>
      </c>
      <c r="F469" s="61">
        <f>IFERROR(INDEX(tbl_Finance[Cost Centre],$A469),"")</f>
        <v/>
      </c>
      <c r="G469" s="62">
        <f>IFERROR(INDEX(tbl_Finance[Ex GST],$A469),"")</f>
        <v/>
      </c>
      <c r="H469" s="60">
        <f>IFERROR(INDEX(tbl_Finance[Defer Start],$A469),"")</f>
        <v/>
      </c>
      <c r="I469" s="60">
        <f>IFERROR(INDEX(tbl_Finance[Defer End],$A469),"")</f>
        <v/>
      </c>
      <c r="J469" s="59">
        <f>IF(OR($H469="",$I469="",$G469=""),"",MAX(1,(YEAR($I469)-YEAR($H469))*12+MONTH($I469)-MONTH($H469)+1))</f>
        <v/>
      </c>
      <c r="K469" s="62">
        <f>IF($J469="","",$G469/$J469)</f>
        <v/>
      </c>
      <c r="L469" s="62">
        <f>IF($J469="",0,$K469*MAX(0,MIN(YEAR($C$3)*12+MONTH($C$3),YEAR($I469)*12+MONTH($I469))-(YEAR($H469)*12+MONTH($H469))+1))</f>
        <v/>
      </c>
      <c r="M469" s="62">
        <f>IF($J469="",0,$K469*MAX(0,MIN(YEAR($C$3)*12+MONTH($C$3)-1,YEAR($I469)*12+MONTH($I469))-(YEAR($H469)*12+MONTH($H469))+1))</f>
        <v/>
      </c>
      <c r="N469" s="62">
        <f>IF(OR($J469="",$B469=""),0,IF(YEAR($B469)*12+MONTH($B469)&lt;=YEAR($C$3)*12+MONTH($C$3),$G469,0))</f>
        <v/>
      </c>
      <c r="O469" s="62">
        <f>IF(OR($J469="",$B469=""),0,IF(YEAR($B469)*12+MONTH($B469)&lt;=YEAR($C$3)*12+MONTH($C$3)-1,$G469,0))</f>
        <v/>
      </c>
      <c r="P469" s="62">
        <f>$M469-$O469</f>
        <v/>
      </c>
      <c r="Q469" s="62">
        <f>($L469-$M469)-($N469-$O469)</f>
        <v/>
      </c>
      <c r="R469" s="62">
        <f>$L469-$N469</f>
        <v/>
      </c>
    </row>
    <row r="470">
      <c r="A470" s="59">
        <f>ROW()-5</f>
        <v/>
      </c>
      <c r="B470" s="60">
        <f>IFERROR(INDEX(tbl_Finance[Date],$A470),"")</f>
        <v/>
      </c>
      <c r="C470" s="61">
        <f>IFERROR(INDEX(tbl_Finance[Xero Invoice No],$A470),"")</f>
        <v/>
      </c>
      <c r="D470" s="61">
        <f>IFERROR(INDEX(tbl_Finance[Client],$A470),"")</f>
        <v/>
      </c>
      <c r="E470" s="61">
        <f>IFERROR(INDEX(tbl_Finance[Job Number],$A470),"")</f>
        <v/>
      </c>
      <c r="F470" s="61">
        <f>IFERROR(INDEX(tbl_Finance[Cost Centre],$A470),"")</f>
        <v/>
      </c>
      <c r="G470" s="62">
        <f>IFERROR(INDEX(tbl_Finance[Ex GST],$A470),"")</f>
        <v/>
      </c>
      <c r="H470" s="60">
        <f>IFERROR(INDEX(tbl_Finance[Defer Start],$A470),"")</f>
        <v/>
      </c>
      <c r="I470" s="60">
        <f>IFERROR(INDEX(tbl_Finance[Defer End],$A470),"")</f>
        <v/>
      </c>
      <c r="J470" s="59">
        <f>IF(OR($H470="",$I470="",$G470=""),"",MAX(1,(YEAR($I470)-YEAR($H470))*12+MONTH($I470)-MONTH($H470)+1))</f>
        <v/>
      </c>
      <c r="K470" s="62">
        <f>IF($J470="","",$G470/$J470)</f>
        <v/>
      </c>
      <c r="L470" s="62">
        <f>IF($J470="",0,$K470*MAX(0,MIN(YEAR($C$3)*12+MONTH($C$3),YEAR($I470)*12+MONTH($I470))-(YEAR($H470)*12+MONTH($H470))+1))</f>
        <v/>
      </c>
      <c r="M470" s="62">
        <f>IF($J470="",0,$K470*MAX(0,MIN(YEAR($C$3)*12+MONTH($C$3)-1,YEAR($I470)*12+MONTH($I470))-(YEAR($H470)*12+MONTH($H470))+1))</f>
        <v/>
      </c>
      <c r="N470" s="62">
        <f>IF(OR($J470="",$B470=""),0,IF(YEAR($B470)*12+MONTH($B470)&lt;=YEAR($C$3)*12+MONTH($C$3),$G470,0))</f>
        <v/>
      </c>
      <c r="O470" s="62">
        <f>IF(OR($J470="",$B470=""),0,IF(YEAR($B470)*12+MONTH($B470)&lt;=YEAR($C$3)*12+MONTH($C$3)-1,$G470,0))</f>
        <v/>
      </c>
      <c r="P470" s="62">
        <f>$M470-$O470</f>
        <v/>
      </c>
      <c r="Q470" s="62">
        <f>($L470-$M470)-($N470-$O470)</f>
        <v/>
      </c>
      <c r="R470" s="62">
        <f>$L470-$N470</f>
        <v/>
      </c>
    </row>
    <row r="471">
      <c r="A471" s="59">
        <f>ROW()-5</f>
        <v/>
      </c>
      <c r="B471" s="60">
        <f>IFERROR(INDEX(tbl_Finance[Date],$A471),"")</f>
        <v/>
      </c>
      <c r="C471" s="61">
        <f>IFERROR(INDEX(tbl_Finance[Xero Invoice No],$A471),"")</f>
        <v/>
      </c>
      <c r="D471" s="61">
        <f>IFERROR(INDEX(tbl_Finance[Client],$A471),"")</f>
        <v/>
      </c>
      <c r="E471" s="61">
        <f>IFERROR(INDEX(tbl_Finance[Job Number],$A471),"")</f>
        <v/>
      </c>
      <c r="F471" s="61">
        <f>IFERROR(INDEX(tbl_Finance[Cost Centre],$A471),"")</f>
        <v/>
      </c>
      <c r="G471" s="62">
        <f>IFERROR(INDEX(tbl_Finance[Ex GST],$A471),"")</f>
        <v/>
      </c>
      <c r="H471" s="60">
        <f>IFERROR(INDEX(tbl_Finance[Defer Start],$A471),"")</f>
        <v/>
      </c>
      <c r="I471" s="60">
        <f>IFERROR(INDEX(tbl_Finance[Defer End],$A471),"")</f>
        <v/>
      </c>
      <c r="J471" s="59">
        <f>IF(OR($H471="",$I471="",$G471=""),"",MAX(1,(YEAR($I471)-YEAR($H471))*12+MONTH($I471)-MONTH($H471)+1))</f>
        <v/>
      </c>
      <c r="K471" s="62">
        <f>IF($J471="","",$G471/$J471)</f>
        <v/>
      </c>
      <c r="L471" s="62">
        <f>IF($J471="",0,$K471*MAX(0,MIN(YEAR($C$3)*12+MONTH($C$3),YEAR($I471)*12+MONTH($I471))-(YEAR($H471)*12+MONTH($H471))+1))</f>
        <v/>
      </c>
      <c r="M471" s="62">
        <f>IF($J471="",0,$K471*MAX(0,MIN(YEAR($C$3)*12+MONTH($C$3)-1,YEAR($I471)*12+MONTH($I471))-(YEAR($H471)*12+MONTH($H471))+1))</f>
        <v/>
      </c>
      <c r="N471" s="62">
        <f>IF(OR($J471="",$B471=""),0,IF(YEAR($B471)*12+MONTH($B471)&lt;=YEAR($C$3)*12+MONTH($C$3),$G471,0))</f>
        <v/>
      </c>
      <c r="O471" s="62">
        <f>IF(OR($J471="",$B471=""),0,IF(YEAR($B471)*12+MONTH($B471)&lt;=YEAR($C$3)*12+MONTH($C$3)-1,$G471,0))</f>
        <v/>
      </c>
      <c r="P471" s="62">
        <f>$M471-$O471</f>
        <v/>
      </c>
      <c r="Q471" s="62">
        <f>($L471-$M471)-($N471-$O471)</f>
        <v/>
      </c>
      <c r="R471" s="62">
        <f>$L471-$N471</f>
        <v/>
      </c>
    </row>
    <row r="472">
      <c r="A472" s="59">
        <f>ROW()-5</f>
        <v/>
      </c>
      <c r="B472" s="60">
        <f>IFERROR(INDEX(tbl_Finance[Date],$A472),"")</f>
        <v/>
      </c>
      <c r="C472" s="61">
        <f>IFERROR(INDEX(tbl_Finance[Xero Invoice No],$A472),"")</f>
        <v/>
      </c>
      <c r="D472" s="61">
        <f>IFERROR(INDEX(tbl_Finance[Client],$A472),"")</f>
        <v/>
      </c>
      <c r="E472" s="61">
        <f>IFERROR(INDEX(tbl_Finance[Job Number],$A472),"")</f>
        <v/>
      </c>
      <c r="F472" s="61">
        <f>IFERROR(INDEX(tbl_Finance[Cost Centre],$A472),"")</f>
        <v/>
      </c>
      <c r="G472" s="62">
        <f>IFERROR(INDEX(tbl_Finance[Ex GST],$A472),"")</f>
        <v/>
      </c>
      <c r="H472" s="60">
        <f>IFERROR(INDEX(tbl_Finance[Defer Start],$A472),"")</f>
        <v/>
      </c>
      <c r="I472" s="60">
        <f>IFERROR(INDEX(tbl_Finance[Defer End],$A472),"")</f>
        <v/>
      </c>
      <c r="J472" s="59">
        <f>IF(OR($H472="",$I472="",$G472=""),"",MAX(1,(YEAR($I472)-YEAR($H472))*12+MONTH($I472)-MONTH($H472)+1))</f>
        <v/>
      </c>
      <c r="K472" s="62">
        <f>IF($J472="","",$G472/$J472)</f>
        <v/>
      </c>
      <c r="L472" s="62">
        <f>IF($J472="",0,$K472*MAX(0,MIN(YEAR($C$3)*12+MONTH($C$3),YEAR($I472)*12+MONTH($I472))-(YEAR($H472)*12+MONTH($H472))+1))</f>
        <v/>
      </c>
      <c r="M472" s="62">
        <f>IF($J472="",0,$K472*MAX(0,MIN(YEAR($C$3)*12+MONTH($C$3)-1,YEAR($I472)*12+MONTH($I472))-(YEAR($H472)*12+MONTH($H472))+1))</f>
        <v/>
      </c>
      <c r="N472" s="62">
        <f>IF(OR($J472="",$B472=""),0,IF(YEAR($B472)*12+MONTH($B472)&lt;=YEAR($C$3)*12+MONTH($C$3),$G472,0))</f>
        <v/>
      </c>
      <c r="O472" s="62">
        <f>IF(OR($J472="",$B472=""),0,IF(YEAR($B472)*12+MONTH($B472)&lt;=YEAR($C$3)*12+MONTH($C$3)-1,$G472,0))</f>
        <v/>
      </c>
      <c r="P472" s="62">
        <f>$M472-$O472</f>
        <v/>
      </c>
      <c r="Q472" s="62">
        <f>($L472-$M472)-($N472-$O472)</f>
        <v/>
      </c>
      <c r="R472" s="62">
        <f>$L472-$N472</f>
        <v/>
      </c>
    </row>
    <row r="473">
      <c r="A473" s="59">
        <f>ROW()-5</f>
        <v/>
      </c>
      <c r="B473" s="60">
        <f>IFERROR(INDEX(tbl_Finance[Date],$A473),"")</f>
        <v/>
      </c>
      <c r="C473" s="61">
        <f>IFERROR(INDEX(tbl_Finance[Xero Invoice No],$A473),"")</f>
        <v/>
      </c>
      <c r="D473" s="61">
        <f>IFERROR(INDEX(tbl_Finance[Client],$A473),"")</f>
        <v/>
      </c>
      <c r="E473" s="61">
        <f>IFERROR(INDEX(tbl_Finance[Job Number],$A473),"")</f>
        <v/>
      </c>
      <c r="F473" s="61">
        <f>IFERROR(INDEX(tbl_Finance[Cost Centre],$A473),"")</f>
        <v/>
      </c>
      <c r="G473" s="62">
        <f>IFERROR(INDEX(tbl_Finance[Ex GST],$A473),"")</f>
        <v/>
      </c>
      <c r="H473" s="60">
        <f>IFERROR(INDEX(tbl_Finance[Defer Start],$A473),"")</f>
        <v/>
      </c>
      <c r="I473" s="60">
        <f>IFERROR(INDEX(tbl_Finance[Defer End],$A473),"")</f>
        <v/>
      </c>
      <c r="J473" s="59">
        <f>IF(OR($H473="",$I473="",$G473=""),"",MAX(1,(YEAR($I473)-YEAR($H473))*12+MONTH($I473)-MONTH($H473)+1))</f>
        <v/>
      </c>
      <c r="K473" s="62">
        <f>IF($J473="","",$G473/$J473)</f>
        <v/>
      </c>
      <c r="L473" s="62">
        <f>IF($J473="",0,$K473*MAX(0,MIN(YEAR($C$3)*12+MONTH($C$3),YEAR($I473)*12+MONTH($I473))-(YEAR($H473)*12+MONTH($H473))+1))</f>
        <v/>
      </c>
      <c r="M473" s="62">
        <f>IF($J473="",0,$K473*MAX(0,MIN(YEAR($C$3)*12+MONTH($C$3)-1,YEAR($I473)*12+MONTH($I473))-(YEAR($H473)*12+MONTH($H473))+1))</f>
        <v/>
      </c>
      <c r="N473" s="62">
        <f>IF(OR($J473="",$B473=""),0,IF(YEAR($B473)*12+MONTH($B473)&lt;=YEAR($C$3)*12+MONTH($C$3),$G473,0))</f>
        <v/>
      </c>
      <c r="O473" s="62">
        <f>IF(OR($J473="",$B473=""),0,IF(YEAR($B473)*12+MONTH($B473)&lt;=YEAR($C$3)*12+MONTH($C$3)-1,$G473,0))</f>
        <v/>
      </c>
      <c r="P473" s="62">
        <f>$M473-$O473</f>
        <v/>
      </c>
      <c r="Q473" s="62">
        <f>($L473-$M473)-($N473-$O473)</f>
        <v/>
      </c>
      <c r="R473" s="62">
        <f>$L473-$N473</f>
        <v/>
      </c>
    </row>
    <row r="474">
      <c r="A474" s="59">
        <f>ROW()-5</f>
        <v/>
      </c>
      <c r="B474" s="60">
        <f>IFERROR(INDEX(tbl_Finance[Date],$A474),"")</f>
        <v/>
      </c>
      <c r="C474" s="61">
        <f>IFERROR(INDEX(tbl_Finance[Xero Invoice No],$A474),"")</f>
        <v/>
      </c>
      <c r="D474" s="61">
        <f>IFERROR(INDEX(tbl_Finance[Client],$A474),"")</f>
        <v/>
      </c>
      <c r="E474" s="61">
        <f>IFERROR(INDEX(tbl_Finance[Job Number],$A474),"")</f>
        <v/>
      </c>
      <c r="F474" s="61">
        <f>IFERROR(INDEX(tbl_Finance[Cost Centre],$A474),"")</f>
        <v/>
      </c>
      <c r="G474" s="62">
        <f>IFERROR(INDEX(tbl_Finance[Ex GST],$A474),"")</f>
        <v/>
      </c>
      <c r="H474" s="60">
        <f>IFERROR(INDEX(tbl_Finance[Defer Start],$A474),"")</f>
        <v/>
      </c>
      <c r="I474" s="60">
        <f>IFERROR(INDEX(tbl_Finance[Defer End],$A474),"")</f>
        <v/>
      </c>
      <c r="J474" s="59">
        <f>IF(OR($H474="",$I474="",$G474=""),"",MAX(1,(YEAR($I474)-YEAR($H474))*12+MONTH($I474)-MONTH($H474)+1))</f>
        <v/>
      </c>
      <c r="K474" s="62">
        <f>IF($J474="","",$G474/$J474)</f>
        <v/>
      </c>
      <c r="L474" s="62">
        <f>IF($J474="",0,$K474*MAX(0,MIN(YEAR($C$3)*12+MONTH($C$3),YEAR($I474)*12+MONTH($I474))-(YEAR($H474)*12+MONTH($H474))+1))</f>
        <v/>
      </c>
      <c r="M474" s="62">
        <f>IF($J474="",0,$K474*MAX(0,MIN(YEAR($C$3)*12+MONTH($C$3)-1,YEAR($I474)*12+MONTH($I474))-(YEAR($H474)*12+MONTH($H474))+1))</f>
        <v/>
      </c>
      <c r="N474" s="62">
        <f>IF(OR($J474="",$B474=""),0,IF(YEAR($B474)*12+MONTH($B474)&lt;=YEAR($C$3)*12+MONTH($C$3),$G474,0))</f>
        <v/>
      </c>
      <c r="O474" s="62">
        <f>IF(OR($J474="",$B474=""),0,IF(YEAR($B474)*12+MONTH($B474)&lt;=YEAR($C$3)*12+MONTH($C$3)-1,$G474,0))</f>
        <v/>
      </c>
      <c r="P474" s="62">
        <f>$M474-$O474</f>
        <v/>
      </c>
      <c r="Q474" s="62">
        <f>($L474-$M474)-($N474-$O474)</f>
        <v/>
      </c>
      <c r="R474" s="62">
        <f>$L474-$N474</f>
        <v/>
      </c>
    </row>
    <row r="475">
      <c r="A475" s="59">
        <f>ROW()-5</f>
        <v/>
      </c>
      <c r="B475" s="60">
        <f>IFERROR(INDEX(tbl_Finance[Date],$A475),"")</f>
        <v/>
      </c>
      <c r="C475" s="61">
        <f>IFERROR(INDEX(tbl_Finance[Xero Invoice No],$A475),"")</f>
        <v/>
      </c>
      <c r="D475" s="61">
        <f>IFERROR(INDEX(tbl_Finance[Client],$A475),"")</f>
        <v/>
      </c>
      <c r="E475" s="61">
        <f>IFERROR(INDEX(tbl_Finance[Job Number],$A475),"")</f>
        <v/>
      </c>
      <c r="F475" s="61">
        <f>IFERROR(INDEX(tbl_Finance[Cost Centre],$A475),"")</f>
        <v/>
      </c>
      <c r="G475" s="62">
        <f>IFERROR(INDEX(tbl_Finance[Ex GST],$A475),"")</f>
        <v/>
      </c>
      <c r="H475" s="60">
        <f>IFERROR(INDEX(tbl_Finance[Defer Start],$A475),"")</f>
        <v/>
      </c>
      <c r="I475" s="60">
        <f>IFERROR(INDEX(tbl_Finance[Defer End],$A475),"")</f>
        <v/>
      </c>
      <c r="J475" s="59">
        <f>IF(OR($H475="",$I475="",$G475=""),"",MAX(1,(YEAR($I475)-YEAR($H475))*12+MONTH($I475)-MONTH($H475)+1))</f>
        <v/>
      </c>
      <c r="K475" s="62">
        <f>IF($J475="","",$G475/$J475)</f>
        <v/>
      </c>
      <c r="L475" s="62">
        <f>IF($J475="",0,$K475*MAX(0,MIN(YEAR($C$3)*12+MONTH($C$3),YEAR($I475)*12+MONTH($I475))-(YEAR($H475)*12+MONTH($H475))+1))</f>
        <v/>
      </c>
      <c r="M475" s="62">
        <f>IF($J475="",0,$K475*MAX(0,MIN(YEAR($C$3)*12+MONTH($C$3)-1,YEAR($I475)*12+MONTH($I475))-(YEAR($H475)*12+MONTH($H475))+1))</f>
        <v/>
      </c>
      <c r="N475" s="62">
        <f>IF(OR($J475="",$B475=""),0,IF(YEAR($B475)*12+MONTH($B475)&lt;=YEAR($C$3)*12+MONTH($C$3),$G475,0))</f>
        <v/>
      </c>
      <c r="O475" s="62">
        <f>IF(OR($J475="",$B475=""),0,IF(YEAR($B475)*12+MONTH($B475)&lt;=YEAR($C$3)*12+MONTH($C$3)-1,$G475,0))</f>
        <v/>
      </c>
      <c r="P475" s="62">
        <f>$M475-$O475</f>
        <v/>
      </c>
      <c r="Q475" s="62">
        <f>($L475-$M475)-($N475-$O475)</f>
        <v/>
      </c>
      <c r="R475" s="62">
        <f>$L475-$N475</f>
        <v/>
      </c>
    </row>
    <row r="476">
      <c r="A476" s="59">
        <f>ROW()-5</f>
        <v/>
      </c>
      <c r="B476" s="60">
        <f>IFERROR(INDEX(tbl_Finance[Date],$A476),"")</f>
        <v/>
      </c>
      <c r="C476" s="61">
        <f>IFERROR(INDEX(tbl_Finance[Xero Invoice No],$A476),"")</f>
        <v/>
      </c>
      <c r="D476" s="61">
        <f>IFERROR(INDEX(tbl_Finance[Client],$A476),"")</f>
        <v/>
      </c>
      <c r="E476" s="61">
        <f>IFERROR(INDEX(tbl_Finance[Job Number],$A476),"")</f>
        <v/>
      </c>
      <c r="F476" s="61">
        <f>IFERROR(INDEX(tbl_Finance[Cost Centre],$A476),"")</f>
        <v/>
      </c>
      <c r="G476" s="62">
        <f>IFERROR(INDEX(tbl_Finance[Ex GST],$A476),"")</f>
        <v/>
      </c>
      <c r="H476" s="60">
        <f>IFERROR(INDEX(tbl_Finance[Defer Start],$A476),"")</f>
        <v/>
      </c>
      <c r="I476" s="60">
        <f>IFERROR(INDEX(tbl_Finance[Defer End],$A476),"")</f>
        <v/>
      </c>
      <c r="J476" s="59">
        <f>IF(OR($H476="",$I476="",$G476=""),"",MAX(1,(YEAR($I476)-YEAR($H476))*12+MONTH($I476)-MONTH($H476)+1))</f>
        <v/>
      </c>
      <c r="K476" s="62">
        <f>IF($J476="","",$G476/$J476)</f>
        <v/>
      </c>
      <c r="L476" s="62">
        <f>IF($J476="",0,$K476*MAX(0,MIN(YEAR($C$3)*12+MONTH($C$3),YEAR($I476)*12+MONTH($I476))-(YEAR($H476)*12+MONTH($H476))+1))</f>
        <v/>
      </c>
      <c r="M476" s="62">
        <f>IF($J476="",0,$K476*MAX(0,MIN(YEAR($C$3)*12+MONTH($C$3)-1,YEAR($I476)*12+MONTH($I476))-(YEAR($H476)*12+MONTH($H476))+1))</f>
        <v/>
      </c>
      <c r="N476" s="62">
        <f>IF(OR($J476="",$B476=""),0,IF(YEAR($B476)*12+MONTH($B476)&lt;=YEAR($C$3)*12+MONTH($C$3),$G476,0))</f>
        <v/>
      </c>
      <c r="O476" s="62">
        <f>IF(OR($J476="",$B476=""),0,IF(YEAR($B476)*12+MONTH($B476)&lt;=YEAR($C$3)*12+MONTH($C$3)-1,$G476,0))</f>
        <v/>
      </c>
      <c r="P476" s="62">
        <f>$M476-$O476</f>
        <v/>
      </c>
      <c r="Q476" s="62">
        <f>($L476-$M476)-($N476-$O476)</f>
        <v/>
      </c>
      <c r="R476" s="62">
        <f>$L476-$N476</f>
        <v/>
      </c>
    </row>
    <row r="477">
      <c r="A477" s="59">
        <f>ROW()-5</f>
        <v/>
      </c>
      <c r="B477" s="60">
        <f>IFERROR(INDEX(tbl_Finance[Date],$A477),"")</f>
        <v/>
      </c>
      <c r="C477" s="61">
        <f>IFERROR(INDEX(tbl_Finance[Xero Invoice No],$A477),"")</f>
        <v/>
      </c>
      <c r="D477" s="61">
        <f>IFERROR(INDEX(tbl_Finance[Client],$A477),"")</f>
        <v/>
      </c>
      <c r="E477" s="61">
        <f>IFERROR(INDEX(tbl_Finance[Job Number],$A477),"")</f>
        <v/>
      </c>
      <c r="F477" s="61">
        <f>IFERROR(INDEX(tbl_Finance[Cost Centre],$A477),"")</f>
        <v/>
      </c>
      <c r="G477" s="62">
        <f>IFERROR(INDEX(tbl_Finance[Ex GST],$A477),"")</f>
        <v/>
      </c>
      <c r="H477" s="60">
        <f>IFERROR(INDEX(tbl_Finance[Defer Start],$A477),"")</f>
        <v/>
      </c>
      <c r="I477" s="60">
        <f>IFERROR(INDEX(tbl_Finance[Defer End],$A477),"")</f>
        <v/>
      </c>
      <c r="J477" s="59">
        <f>IF(OR($H477="",$I477="",$G477=""),"",MAX(1,(YEAR($I477)-YEAR($H477))*12+MONTH($I477)-MONTH($H477)+1))</f>
        <v/>
      </c>
      <c r="K477" s="62">
        <f>IF($J477="","",$G477/$J477)</f>
        <v/>
      </c>
      <c r="L477" s="62">
        <f>IF($J477="",0,$K477*MAX(0,MIN(YEAR($C$3)*12+MONTH($C$3),YEAR($I477)*12+MONTH($I477))-(YEAR($H477)*12+MONTH($H477))+1))</f>
        <v/>
      </c>
      <c r="M477" s="62">
        <f>IF($J477="",0,$K477*MAX(0,MIN(YEAR($C$3)*12+MONTH($C$3)-1,YEAR($I477)*12+MONTH($I477))-(YEAR($H477)*12+MONTH($H477))+1))</f>
        <v/>
      </c>
      <c r="N477" s="62">
        <f>IF(OR($J477="",$B477=""),0,IF(YEAR($B477)*12+MONTH($B477)&lt;=YEAR($C$3)*12+MONTH($C$3),$G477,0))</f>
        <v/>
      </c>
      <c r="O477" s="62">
        <f>IF(OR($J477="",$B477=""),0,IF(YEAR($B477)*12+MONTH($B477)&lt;=YEAR($C$3)*12+MONTH($C$3)-1,$G477,0))</f>
        <v/>
      </c>
      <c r="P477" s="62">
        <f>$M477-$O477</f>
        <v/>
      </c>
      <c r="Q477" s="62">
        <f>($L477-$M477)-($N477-$O477)</f>
        <v/>
      </c>
      <c r="R477" s="62">
        <f>$L477-$N477</f>
        <v/>
      </c>
    </row>
    <row r="478">
      <c r="A478" s="59">
        <f>ROW()-5</f>
        <v/>
      </c>
      <c r="B478" s="60">
        <f>IFERROR(INDEX(tbl_Finance[Date],$A478),"")</f>
        <v/>
      </c>
      <c r="C478" s="61">
        <f>IFERROR(INDEX(tbl_Finance[Xero Invoice No],$A478),"")</f>
        <v/>
      </c>
      <c r="D478" s="61">
        <f>IFERROR(INDEX(tbl_Finance[Client],$A478),"")</f>
        <v/>
      </c>
      <c r="E478" s="61">
        <f>IFERROR(INDEX(tbl_Finance[Job Number],$A478),"")</f>
        <v/>
      </c>
      <c r="F478" s="61">
        <f>IFERROR(INDEX(tbl_Finance[Cost Centre],$A478),"")</f>
        <v/>
      </c>
      <c r="G478" s="62">
        <f>IFERROR(INDEX(tbl_Finance[Ex GST],$A478),"")</f>
        <v/>
      </c>
      <c r="H478" s="60">
        <f>IFERROR(INDEX(tbl_Finance[Defer Start],$A478),"")</f>
        <v/>
      </c>
      <c r="I478" s="60">
        <f>IFERROR(INDEX(tbl_Finance[Defer End],$A478),"")</f>
        <v/>
      </c>
      <c r="J478" s="59">
        <f>IF(OR($H478="",$I478="",$G478=""),"",MAX(1,(YEAR($I478)-YEAR($H478))*12+MONTH($I478)-MONTH($H478)+1))</f>
        <v/>
      </c>
      <c r="K478" s="62">
        <f>IF($J478="","",$G478/$J478)</f>
        <v/>
      </c>
      <c r="L478" s="62">
        <f>IF($J478="",0,$K478*MAX(0,MIN(YEAR($C$3)*12+MONTH($C$3),YEAR($I478)*12+MONTH($I478))-(YEAR($H478)*12+MONTH($H478))+1))</f>
        <v/>
      </c>
      <c r="M478" s="62">
        <f>IF($J478="",0,$K478*MAX(0,MIN(YEAR($C$3)*12+MONTH($C$3)-1,YEAR($I478)*12+MONTH($I478))-(YEAR($H478)*12+MONTH($H478))+1))</f>
        <v/>
      </c>
      <c r="N478" s="62">
        <f>IF(OR($J478="",$B478=""),0,IF(YEAR($B478)*12+MONTH($B478)&lt;=YEAR($C$3)*12+MONTH($C$3),$G478,0))</f>
        <v/>
      </c>
      <c r="O478" s="62">
        <f>IF(OR($J478="",$B478=""),0,IF(YEAR($B478)*12+MONTH($B478)&lt;=YEAR($C$3)*12+MONTH($C$3)-1,$G478,0))</f>
        <v/>
      </c>
      <c r="P478" s="62">
        <f>$M478-$O478</f>
        <v/>
      </c>
      <c r="Q478" s="62">
        <f>($L478-$M478)-($N478-$O478)</f>
        <v/>
      </c>
      <c r="R478" s="62">
        <f>$L478-$N478</f>
        <v/>
      </c>
    </row>
    <row r="479">
      <c r="A479" s="59">
        <f>ROW()-5</f>
        <v/>
      </c>
      <c r="B479" s="60">
        <f>IFERROR(INDEX(tbl_Finance[Date],$A479),"")</f>
        <v/>
      </c>
      <c r="C479" s="61">
        <f>IFERROR(INDEX(tbl_Finance[Xero Invoice No],$A479),"")</f>
        <v/>
      </c>
      <c r="D479" s="61">
        <f>IFERROR(INDEX(tbl_Finance[Client],$A479),"")</f>
        <v/>
      </c>
      <c r="E479" s="61">
        <f>IFERROR(INDEX(tbl_Finance[Job Number],$A479),"")</f>
        <v/>
      </c>
      <c r="F479" s="61">
        <f>IFERROR(INDEX(tbl_Finance[Cost Centre],$A479),"")</f>
        <v/>
      </c>
      <c r="G479" s="62">
        <f>IFERROR(INDEX(tbl_Finance[Ex GST],$A479),"")</f>
        <v/>
      </c>
      <c r="H479" s="60">
        <f>IFERROR(INDEX(tbl_Finance[Defer Start],$A479),"")</f>
        <v/>
      </c>
      <c r="I479" s="60">
        <f>IFERROR(INDEX(tbl_Finance[Defer End],$A479),"")</f>
        <v/>
      </c>
      <c r="J479" s="59">
        <f>IF(OR($H479="",$I479="",$G479=""),"",MAX(1,(YEAR($I479)-YEAR($H479))*12+MONTH($I479)-MONTH($H479)+1))</f>
        <v/>
      </c>
      <c r="K479" s="62">
        <f>IF($J479="","",$G479/$J479)</f>
        <v/>
      </c>
      <c r="L479" s="62">
        <f>IF($J479="",0,$K479*MAX(0,MIN(YEAR($C$3)*12+MONTH($C$3),YEAR($I479)*12+MONTH($I479))-(YEAR($H479)*12+MONTH($H479))+1))</f>
        <v/>
      </c>
      <c r="M479" s="62">
        <f>IF($J479="",0,$K479*MAX(0,MIN(YEAR($C$3)*12+MONTH($C$3)-1,YEAR($I479)*12+MONTH($I479))-(YEAR($H479)*12+MONTH($H479))+1))</f>
        <v/>
      </c>
      <c r="N479" s="62">
        <f>IF(OR($J479="",$B479=""),0,IF(YEAR($B479)*12+MONTH($B479)&lt;=YEAR($C$3)*12+MONTH($C$3),$G479,0))</f>
        <v/>
      </c>
      <c r="O479" s="62">
        <f>IF(OR($J479="",$B479=""),0,IF(YEAR($B479)*12+MONTH($B479)&lt;=YEAR($C$3)*12+MONTH($C$3)-1,$G479,0))</f>
        <v/>
      </c>
      <c r="P479" s="62">
        <f>$M479-$O479</f>
        <v/>
      </c>
      <c r="Q479" s="62">
        <f>($L479-$M479)-($N479-$O479)</f>
        <v/>
      </c>
      <c r="R479" s="62">
        <f>$L479-$N479</f>
        <v/>
      </c>
    </row>
    <row r="480">
      <c r="A480" s="59">
        <f>ROW()-5</f>
        <v/>
      </c>
      <c r="B480" s="60">
        <f>IFERROR(INDEX(tbl_Finance[Date],$A480),"")</f>
        <v/>
      </c>
      <c r="C480" s="61">
        <f>IFERROR(INDEX(tbl_Finance[Xero Invoice No],$A480),"")</f>
        <v/>
      </c>
      <c r="D480" s="61">
        <f>IFERROR(INDEX(tbl_Finance[Client],$A480),"")</f>
        <v/>
      </c>
      <c r="E480" s="61">
        <f>IFERROR(INDEX(tbl_Finance[Job Number],$A480),"")</f>
        <v/>
      </c>
      <c r="F480" s="61">
        <f>IFERROR(INDEX(tbl_Finance[Cost Centre],$A480),"")</f>
        <v/>
      </c>
      <c r="G480" s="62">
        <f>IFERROR(INDEX(tbl_Finance[Ex GST],$A480),"")</f>
        <v/>
      </c>
      <c r="H480" s="60">
        <f>IFERROR(INDEX(tbl_Finance[Defer Start],$A480),"")</f>
        <v/>
      </c>
      <c r="I480" s="60">
        <f>IFERROR(INDEX(tbl_Finance[Defer End],$A480),"")</f>
        <v/>
      </c>
      <c r="J480" s="59">
        <f>IF(OR($H480="",$I480="",$G480=""),"",MAX(1,(YEAR($I480)-YEAR($H480))*12+MONTH($I480)-MONTH($H480)+1))</f>
        <v/>
      </c>
      <c r="K480" s="62">
        <f>IF($J480="","",$G480/$J480)</f>
        <v/>
      </c>
      <c r="L480" s="62">
        <f>IF($J480="",0,$K480*MAX(0,MIN(YEAR($C$3)*12+MONTH($C$3),YEAR($I480)*12+MONTH($I480))-(YEAR($H480)*12+MONTH($H480))+1))</f>
        <v/>
      </c>
      <c r="M480" s="62">
        <f>IF($J480="",0,$K480*MAX(0,MIN(YEAR($C$3)*12+MONTH($C$3)-1,YEAR($I480)*12+MONTH($I480))-(YEAR($H480)*12+MONTH($H480))+1))</f>
        <v/>
      </c>
      <c r="N480" s="62">
        <f>IF(OR($J480="",$B480=""),0,IF(YEAR($B480)*12+MONTH($B480)&lt;=YEAR($C$3)*12+MONTH($C$3),$G480,0))</f>
        <v/>
      </c>
      <c r="O480" s="62">
        <f>IF(OR($J480="",$B480=""),0,IF(YEAR($B480)*12+MONTH($B480)&lt;=YEAR($C$3)*12+MONTH($C$3)-1,$G480,0))</f>
        <v/>
      </c>
      <c r="P480" s="62">
        <f>$M480-$O480</f>
        <v/>
      </c>
      <c r="Q480" s="62">
        <f>($L480-$M480)-($N480-$O480)</f>
        <v/>
      </c>
      <c r="R480" s="62">
        <f>$L480-$N480</f>
        <v/>
      </c>
    </row>
    <row r="481">
      <c r="A481" s="59">
        <f>ROW()-5</f>
        <v/>
      </c>
      <c r="B481" s="60">
        <f>IFERROR(INDEX(tbl_Finance[Date],$A481),"")</f>
        <v/>
      </c>
      <c r="C481" s="61">
        <f>IFERROR(INDEX(tbl_Finance[Xero Invoice No],$A481),"")</f>
        <v/>
      </c>
      <c r="D481" s="61">
        <f>IFERROR(INDEX(tbl_Finance[Client],$A481),"")</f>
        <v/>
      </c>
      <c r="E481" s="61">
        <f>IFERROR(INDEX(tbl_Finance[Job Number],$A481),"")</f>
        <v/>
      </c>
      <c r="F481" s="61">
        <f>IFERROR(INDEX(tbl_Finance[Cost Centre],$A481),"")</f>
        <v/>
      </c>
      <c r="G481" s="62">
        <f>IFERROR(INDEX(tbl_Finance[Ex GST],$A481),"")</f>
        <v/>
      </c>
      <c r="H481" s="60">
        <f>IFERROR(INDEX(tbl_Finance[Defer Start],$A481),"")</f>
        <v/>
      </c>
      <c r="I481" s="60">
        <f>IFERROR(INDEX(tbl_Finance[Defer End],$A481),"")</f>
        <v/>
      </c>
      <c r="J481" s="59">
        <f>IF(OR($H481="",$I481="",$G481=""),"",MAX(1,(YEAR($I481)-YEAR($H481))*12+MONTH($I481)-MONTH($H481)+1))</f>
        <v/>
      </c>
      <c r="K481" s="62">
        <f>IF($J481="","",$G481/$J481)</f>
        <v/>
      </c>
      <c r="L481" s="62">
        <f>IF($J481="",0,$K481*MAX(0,MIN(YEAR($C$3)*12+MONTH($C$3),YEAR($I481)*12+MONTH($I481))-(YEAR($H481)*12+MONTH($H481))+1))</f>
        <v/>
      </c>
      <c r="M481" s="62">
        <f>IF($J481="",0,$K481*MAX(0,MIN(YEAR($C$3)*12+MONTH($C$3)-1,YEAR($I481)*12+MONTH($I481))-(YEAR($H481)*12+MONTH($H481))+1))</f>
        <v/>
      </c>
      <c r="N481" s="62">
        <f>IF(OR($J481="",$B481=""),0,IF(YEAR($B481)*12+MONTH($B481)&lt;=YEAR($C$3)*12+MONTH($C$3),$G481,0))</f>
        <v/>
      </c>
      <c r="O481" s="62">
        <f>IF(OR($J481="",$B481=""),0,IF(YEAR($B481)*12+MONTH($B481)&lt;=YEAR($C$3)*12+MONTH($C$3)-1,$G481,0))</f>
        <v/>
      </c>
      <c r="P481" s="62">
        <f>$M481-$O481</f>
        <v/>
      </c>
      <c r="Q481" s="62">
        <f>($L481-$M481)-($N481-$O481)</f>
        <v/>
      </c>
      <c r="R481" s="62">
        <f>$L481-$N481</f>
        <v/>
      </c>
    </row>
    <row r="482">
      <c r="A482" s="59">
        <f>ROW()-5</f>
        <v/>
      </c>
      <c r="B482" s="60">
        <f>IFERROR(INDEX(tbl_Finance[Date],$A482),"")</f>
        <v/>
      </c>
      <c r="C482" s="61">
        <f>IFERROR(INDEX(tbl_Finance[Xero Invoice No],$A482),"")</f>
        <v/>
      </c>
      <c r="D482" s="61">
        <f>IFERROR(INDEX(tbl_Finance[Client],$A482),"")</f>
        <v/>
      </c>
      <c r="E482" s="61">
        <f>IFERROR(INDEX(tbl_Finance[Job Number],$A482),"")</f>
        <v/>
      </c>
      <c r="F482" s="61">
        <f>IFERROR(INDEX(tbl_Finance[Cost Centre],$A482),"")</f>
        <v/>
      </c>
      <c r="G482" s="62">
        <f>IFERROR(INDEX(tbl_Finance[Ex GST],$A482),"")</f>
        <v/>
      </c>
      <c r="H482" s="60">
        <f>IFERROR(INDEX(tbl_Finance[Defer Start],$A482),"")</f>
        <v/>
      </c>
      <c r="I482" s="60">
        <f>IFERROR(INDEX(tbl_Finance[Defer End],$A482),"")</f>
        <v/>
      </c>
      <c r="J482" s="59">
        <f>IF(OR($H482="",$I482="",$G482=""),"",MAX(1,(YEAR($I482)-YEAR($H482))*12+MONTH($I482)-MONTH($H482)+1))</f>
        <v/>
      </c>
      <c r="K482" s="62">
        <f>IF($J482="","",$G482/$J482)</f>
        <v/>
      </c>
      <c r="L482" s="62">
        <f>IF($J482="",0,$K482*MAX(0,MIN(YEAR($C$3)*12+MONTH($C$3),YEAR($I482)*12+MONTH($I482))-(YEAR($H482)*12+MONTH($H482))+1))</f>
        <v/>
      </c>
      <c r="M482" s="62">
        <f>IF($J482="",0,$K482*MAX(0,MIN(YEAR($C$3)*12+MONTH($C$3)-1,YEAR($I482)*12+MONTH($I482))-(YEAR($H482)*12+MONTH($H482))+1))</f>
        <v/>
      </c>
      <c r="N482" s="62">
        <f>IF(OR($J482="",$B482=""),0,IF(YEAR($B482)*12+MONTH($B482)&lt;=YEAR($C$3)*12+MONTH($C$3),$G482,0))</f>
        <v/>
      </c>
      <c r="O482" s="62">
        <f>IF(OR($J482="",$B482=""),0,IF(YEAR($B482)*12+MONTH($B482)&lt;=YEAR($C$3)*12+MONTH($C$3)-1,$G482,0))</f>
        <v/>
      </c>
      <c r="P482" s="62">
        <f>$M482-$O482</f>
        <v/>
      </c>
      <c r="Q482" s="62">
        <f>($L482-$M482)-($N482-$O482)</f>
        <v/>
      </c>
      <c r="R482" s="62">
        <f>$L482-$N482</f>
        <v/>
      </c>
    </row>
    <row r="483">
      <c r="A483" s="59">
        <f>ROW()-5</f>
        <v/>
      </c>
      <c r="B483" s="60">
        <f>IFERROR(INDEX(tbl_Finance[Date],$A483),"")</f>
        <v/>
      </c>
      <c r="C483" s="61">
        <f>IFERROR(INDEX(tbl_Finance[Xero Invoice No],$A483),"")</f>
        <v/>
      </c>
      <c r="D483" s="61">
        <f>IFERROR(INDEX(tbl_Finance[Client],$A483),"")</f>
        <v/>
      </c>
      <c r="E483" s="61">
        <f>IFERROR(INDEX(tbl_Finance[Job Number],$A483),"")</f>
        <v/>
      </c>
      <c r="F483" s="61">
        <f>IFERROR(INDEX(tbl_Finance[Cost Centre],$A483),"")</f>
        <v/>
      </c>
      <c r="G483" s="62">
        <f>IFERROR(INDEX(tbl_Finance[Ex GST],$A483),"")</f>
        <v/>
      </c>
      <c r="H483" s="60">
        <f>IFERROR(INDEX(tbl_Finance[Defer Start],$A483),"")</f>
        <v/>
      </c>
      <c r="I483" s="60">
        <f>IFERROR(INDEX(tbl_Finance[Defer End],$A483),"")</f>
        <v/>
      </c>
      <c r="J483" s="59">
        <f>IF(OR($H483="",$I483="",$G483=""),"",MAX(1,(YEAR($I483)-YEAR($H483))*12+MONTH($I483)-MONTH($H483)+1))</f>
        <v/>
      </c>
      <c r="K483" s="62">
        <f>IF($J483="","",$G483/$J483)</f>
        <v/>
      </c>
      <c r="L483" s="62">
        <f>IF($J483="",0,$K483*MAX(0,MIN(YEAR($C$3)*12+MONTH($C$3),YEAR($I483)*12+MONTH($I483))-(YEAR($H483)*12+MONTH($H483))+1))</f>
        <v/>
      </c>
      <c r="M483" s="62">
        <f>IF($J483="",0,$K483*MAX(0,MIN(YEAR($C$3)*12+MONTH($C$3)-1,YEAR($I483)*12+MONTH($I483))-(YEAR($H483)*12+MONTH($H483))+1))</f>
        <v/>
      </c>
      <c r="N483" s="62">
        <f>IF(OR($J483="",$B483=""),0,IF(YEAR($B483)*12+MONTH($B483)&lt;=YEAR($C$3)*12+MONTH($C$3),$G483,0))</f>
        <v/>
      </c>
      <c r="O483" s="62">
        <f>IF(OR($J483="",$B483=""),0,IF(YEAR($B483)*12+MONTH($B483)&lt;=YEAR($C$3)*12+MONTH($C$3)-1,$G483,0))</f>
        <v/>
      </c>
      <c r="P483" s="62">
        <f>$M483-$O483</f>
        <v/>
      </c>
      <c r="Q483" s="62">
        <f>($L483-$M483)-($N483-$O483)</f>
        <v/>
      </c>
      <c r="R483" s="62">
        <f>$L483-$N483</f>
        <v/>
      </c>
    </row>
    <row r="484">
      <c r="A484" s="59">
        <f>ROW()-5</f>
        <v/>
      </c>
      <c r="B484" s="60">
        <f>IFERROR(INDEX(tbl_Finance[Date],$A484),"")</f>
        <v/>
      </c>
      <c r="C484" s="61">
        <f>IFERROR(INDEX(tbl_Finance[Xero Invoice No],$A484),"")</f>
        <v/>
      </c>
      <c r="D484" s="61">
        <f>IFERROR(INDEX(tbl_Finance[Client],$A484),"")</f>
        <v/>
      </c>
      <c r="E484" s="61">
        <f>IFERROR(INDEX(tbl_Finance[Job Number],$A484),"")</f>
        <v/>
      </c>
      <c r="F484" s="61">
        <f>IFERROR(INDEX(tbl_Finance[Cost Centre],$A484),"")</f>
        <v/>
      </c>
      <c r="G484" s="62">
        <f>IFERROR(INDEX(tbl_Finance[Ex GST],$A484),"")</f>
        <v/>
      </c>
      <c r="H484" s="60">
        <f>IFERROR(INDEX(tbl_Finance[Defer Start],$A484),"")</f>
        <v/>
      </c>
      <c r="I484" s="60">
        <f>IFERROR(INDEX(tbl_Finance[Defer End],$A484),"")</f>
        <v/>
      </c>
      <c r="J484" s="59">
        <f>IF(OR($H484="",$I484="",$G484=""),"",MAX(1,(YEAR($I484)-YEAR($H484))*12+MONTH($I484)-MONTH($H484)+1))</f>
        <v/>
      </c>
      <c r="K484" s="62">
        <f>IF($J484="","",$G484/$J484)</f>
        <v/>
      </c>
      <c r="L484" s="62">
        <f>IF($J484="",0,$K484*MAX(0,MIN(YEAR($C$3)*12+MONTH($C$3),YEAR($I484)*12+MONTH($I484))-(YEAR($H484)*12+MONTH($H484))+1))</f>
        <v/>
      </c>
      <c r="M484" s="62">
        <f>IF($J484="",0,$K484*MAX(0,MIN(YEAR($C$3)*12+MONTH($C$3)-1,YEAR($I484)*12+MONTH($I484))-(YEAR($H484)*12+MONTH($H484))+1))</f>
        <v/>
      </c>
      <c r="N484" s="62">
        <f>IF(OR($J484="",$B484=""),0,IF(YEAR($B484)*12+MONTH($B484)&lt;=YEAR($C$3)*12+MONTH($C$3),$G484,0))</f>
        <v/>
      </c>
      <c r="O484" s="62">
        <f>IF(OR($J484="",$B484=""),0,IF(YEAR($B484)*12+MONTH($B484)&lt;=YEAR($C$3)*12+MONTH($C$3)-1,$G484,0))</f>
        <v/>
      </c>
      <c r="P484" s="62">
        <f>$M484-$O484</f>
        <v/>
      </c>
      <c r="Q484" s="62">
        <f>($L484-$M484)-($N484-$O484)</f>
        <v/>
      </c>
      <c r="R484" s="62">
        <f>$L484-$N484</f>
        <v/>
      </c>
    </row>
    <row r="485">
      <c r="A485" s="59">
        <f>ROW()-5</f>
        <v/>
      </c>
      <c r="B485" s="60">
        <f>IFERROR(INDEX(tbl_Finance[Date],$A485),"")</f>
        <v/>
      </c>
      <c r="C485" s="61">
        <f>IFERROR(INDEX(tbl_Finance[Xero Invoice No],$A485),"")</f>
        <v/>
      </c>
      <c r="D485" s="61">
        <f>IFERROR(INDEX(tbl_Finance[Client],$A485),"")</f>
        <v/>
      </c>
      <c r="E485" s="61">
        <f>IFERROR(INDEX(tbl_Finance[Job Number],$A485),"")</f>
        <v/>
      </c>
      <c r="F485" s="61">
        <f>IFERROR(INDEX(tbl_Finance[Cost Centre],$A485),"")</f>
        <v/>
      </c>
      <c r="G485" s="62">
        <f>IFERROR(INDEX(tbl_Finance[Ex GST],$A485),"")</f>
        <v/>
      </c>
      <c r="H485" s="60">
        <f>IFERROR(INDEX(tbl_Finance[Defer Start],$A485),"")</f>
        <v/>
      </c>
      <c r="I485" s="60">
        <f>IFERROR(INDEX(tbl_Finance[Defer End],$A485),"")</f>
        <v/>
      </c>
      <c r="J485" s="59">
        <f>IF(OR($H485="",$I485="",$G485=""),"",MAX(1,(YEAR($I485)-YEAR($H485))*12+MONTH($I485)-MONTH($H485)+1))</f>
        <v/>
      </c>
      <c r="K485" s="62">
        <f>IF($J485="","",$G485/$J485)</f>
        <v/>
      </c>
      <c r="L485" s="62">
        <f>IF($J485="",0,$K485*MAX(0,MIN(YEAR($C$3)*12+MONTH($C$3),YEAR($I485)*12+MONTH($I485))-(YEAR($H485)*12+MONTH($H485))+1))</f>
        <v/>
      </c>
      <c r="M485" s="62">
        <f>IF($J485="",0,$K485*MAX(0,MIN(YEAR($C$3)*12+MONTH($C$3)-1,YEAR($I485)*12+MONTH($I485))-(YEAR($H485)*12+MONTH($H485))+1))</f>
        <v/>
      </c>
      <c r="N485" s="62">
        <f>IF(OR($J485="",$B485=""),0,IF(YEAR($B485)*12+MONTH($B485)&lt;=YEAR($C$3)*12+MONTH($C$3),$G485,0))</f>
        <v/>
      </c>
      <c r="O485" s="62">
        <f>IF(OR($J485="",$B485=""),0,IF(YEAR($B485)*12+MONTH($B485)&lt;=YEAR($C$3)*12+MONTH($C$3)-1,$G485,0))</f>
        <v/>
      </c>
      <c r="P485" s="62">
        <f>$M485-$O485</f>
        <v/>
      </c>
      <c r="Q485" s="62">
        <f>($L485-$M485)-($N485-$O485)</f>
        <v/>
      </c>
      <c r="R485" s="62">
        <f>$L485-$N485</f>
        <v/>
      </c>
    </row>
    <row r="486">
      <c r="A486" s="59">
        <f>ROW()-5</f>
        <v/>
      </c>
      <c r="B486" s="60">
        <f>IFERROR(INDEX(tbl_Finance[Date],$A486),"")</f>
        <v/>
      </c>
      <c r="C486" s="61">
        <f>IFERROR(INDEX(tbl_Finance[Xero Invoice No],$A486),"")</f>
        <v/>
      </c>
      <c r="D486" s="61">
        <f>IFERROR(INDEX(tbl_Finance[Client],$A486),"")</f>
        <v/>
      </c>
      <c r="E486" s="61">
        <f>IFERROR(INDEX(tbl_Finance[Job Number],$A486),"")</f>
        <v/>
      </c>
      <c r="F486" s="61">
        <f>IFERROR(INDEX(tbl_Finance[Cost Centre],$A486),"")</f>
        <v/>
      </c>
      <c r="G486" s="62">
        <f>IFERROR(INDEX(tbl_Finance[Ex GST],$A486),"")</f>
        <v/>
      </c>
      <c r="H486" s="60">
        <f>IFERROR(INDEX(tbl_Finance[Defer Start],$A486),"")</f>
        <v/>
      </c>
      <c r="I486" s="60">
        <f>IFERROR(INDEX(tbl_Finance[Defer End],$A486),"")</f>
        <v/>
      </c>
      <c r="J486" s="59">
        <f>IF(OR($H486="",$I486="",$G486=""),"",MAX(1,(YEAR($I486)-YEAR($H486))*12+MONTH($I486)-MONTH($H486)+1))</f>
        <v/>
      </c>
      <c r="K486" s="62">
        <f>IF($J486="","",$G486/$J486)</f>
        <v/>
      </c>
      <c r="L486" s="62">
        <f>IF($J486="",0,$K486*MAX(0,MIN(YEAR($C$3)*12+MONTH($C$3),YEAR($I486)*12+MONTH($I486))-(YEAR($H486)*12+MONTH($H486))+1))</f>
        <v/>
      </c>
      <c r="M486" s="62">
        <f>IF($J486="",0,$K486*MAX(0,MIN(YEAR($C$3)*12+MONTH($C$3)-1,YEAR($I486)*12+MONTH($I486))-(YEAR($H486)*12+MONTH($H486))+1))</f>
        <v/>
      </c>
      <c r="N486" s="62">
        <f>IF(OR($J486="",$B486=""),0,IF(YEAR($B486)*12+MONTH($B486)&lt;=YEAR($C$3)*12+MONTH($C$3),$G486,0))</f>
        <v/>
      </c>
      <c r="O486" s="62">
        <f>IF(OR($J486="",$B486=""),0,IF(YEAR($B486)*12+MONTH($B486)&lt;=YEAR($C$3)*12+MONTH($C$3)-1,$G486,0))</f>
        <v/>
      </c>
      <c r="P486" s="62">
        <f>$M486-$O486</f>
        <v/>
      </c>
      <c r="Q486" s="62">
        <f>($L486-$M486)-($N486-$O486)</f>
        <v/>
      </c>
      <c r="R486" s="62">
        <f>$L486-$N486</f>
        <v/>
      </c>
    </row>
    <row r="487">
      <c r="A487" s="59">
        <f>ROW()-5</f>
        <v/>
      </c>
      <c r="B487" s="60">
        <f>IFERROR(INDEX(tbl_Finance[Date],$A487),"")</f>
        <v/>
      </c>
      <c r="C487" s="61">
        <f>IFERROR(INDEX(tbl_Finance[Xero Invoice No],$A487),"")</f>
        <v/>
      </c>
      <c r="D487" s="61">
        <f>IFERROR(INDEX(tbl_Finance[Client],$A487),"")</f>
        <v/>
      </c>
      <c r="E487" s="61">
        <f>IFERROR(INDEX(tbl_Finance[Job Number],$A487),"")</f>
        <v/>
      </c>
      <c r="F487" s="61">
        <f>IFERROR(INDEX(tbl_Finance[Cost Centre],$A487),"")</f>
        <v/>
      </c>
      <c r="G487" s="62">
        <f>IFERROR(INDEX(tbl_Finance[Ex GST],$A487),"")</f>
        <v/>
      </c>
      <c r="H487" s="60">
        <f>IFERROR(INDEX(tbl_Finance[Defer Start],$A487),"")</f>
        <v/>
      </c>
      <c r="I487" s="60">
        <f>IFERROR(INDEX(tbl_Finance[Defer End],$A487),"")</f>
        <v/>
      </c>
      <c r="J487" s="59">
        <f>IF(OR($H487="",$I487="",$G487=""),"",MAX(1,(YEAR($I487)-YEAR($H487))*12+MONTH($I487)-MONTH($H487)+1))</f>
        <v/>
      </c>
      <c r="K487" s="62">
        <f>IF($J487="","",$G487/$J487)</f>
        <v/>
      </c>
      <c r="L487" s="62">
        <f>IF($J487="",0,$K487*MAX(0,MIN(YEAR($C$3)*12+MONTH($C$3),YEAR($I487)*12+MONTH($I487))-(YEAR($H487)*12+MONTH($H487))+1))</f>
        <v/>
      </c>
      <c r="M487" s="62">
        <f>IF($J487="",0,$K487*MAX(0,MIN(YEAR($C$3)*12+MONTH($C$3)-1,YEAR($I487)*12+MONTH($I487))-(YEAR($H487)*12+MONTH($H487))+1))</f>
        <v/>
      </c>
      <c r="N487" s="62">
        <f>IF(OR($J487="",$B487=""),0,IF(YEAR($B487)*12+MONTH($B487)&lt;=YEAR($C$3)*12+MONTH($C$3),$G487,0))</f>
        <v/>
      </c>
      <c r="O487" s="62">
        <f>IF(OR($J487="",$B487=""),0,IF(YEAR($B487)*12+MONTH($B487)&lt;=YEAR($C$3)*12+MONTH($C$3)-1,$G487,0))</f>
        <v/>
      </c>
      <c r="P487" s="62">
        <f>$M487-$O487</f>
        <v/>
      </c>
      <c r="Q487" s="62">
        <f>($L487-$M487)-($N487-$O487)</f>
        <v/>
      </c>
      <c r="R487" s="62">
        <f>$L487-$N487</f>
        <v/>
      </c>
    </row>
    <row r="488">
      <c r="A488" s="59">
        <f>ROW()-5</f>
        <v/>
      </c>
      <c r="B488" s="60">
        <f>IFERROR(INDEX(tbl_Finance[Date],$A488),"")</f>
        <v/>
      </c>
      <c r="C488" s="61">
        <f>IFERROR(INDEX(tbl_Finance[Xero Invoice No],$A488),"")</f>
        <v/>
      </c>
      <c r="D488" s="61">
        <f>IFERROR(INDEX(tbl_Finance[Client],$A488),"")</f>
        <v/>
      </c>
      <c r="E488" s="61">
        <f>IFERROR(INDEX(tbl_Finance[Job Number],$A488),"")</f>
        <v/>
      </c>
      <c r="F488" s="61">
        <f>IFERROR(INDEX(tbl_Finance[Cost Centre],$A488),"")</f>
        <v/>
      </c>
      <c r="G488" s="62">
        <f>IFERROR(INDEX(tbl_Finance[Ex GST],$A488),"")</f>
        <v/>
      </c>
      <c r="H488" s="60">
        <f>IFERROR(INDEX(tbl_Finance[Defer Start],$A488),"")</f>
        <v/>
      </c>
      <c r="I488" s="60">
        <f>IFERROR(INDEX(tbl_Finance[Defer End],$A488),"")</f>
        <v/>
      </c>
      <c r="J488" s="59">
        <f>IF(OR($H488="",$I488="",$G488=""),"",MAX(1,(YEAR($I488)-YEAR($H488))*12+MONTH($I488)-MONTH($H488)+1))</f>
        <v/>
      </c>
      <c r="K488" s="62">
        <f>IF($J488="","",$G488/$J488)</f>
        <v/>
      </c>
      <c r="L488" s="62">
        <f>IF($J488="",0,$K488*MAX(0,MIN(YEAR($C$3)*12+MONTH($C$3),YEAR($I488)*12+MONTH($I488))-(YEAR($H488)*12+MONTH($H488))+1))</f>
        <v/>
      </c>
      <c r="M488" s="62">
        <f>IF($J488="",0,$K488*MAX(0,MIN(YEAR($C$3)*12+MONTH($C$3)-1,YEAR($I488)*12+MONTH($I488))-(YEAR($H488)*12+MONTH($H488))+1))</f>
        <v/>
      </c>
      <c r="N488" s="62">
        <f>IF(OR($J488="",$B488=""),0,IF(YEAR($B488)*12+MONTH($B488)&lt;=YEAR($C$3)*12+MONTH($C$3),$G488,0))</f>
        <v/>
      </c>
      <c r="O488" s="62">
        <f>IF(OR($J488="",$B488=""),0,IF(YEAR($B488)*12+MONTH($B488)&lt;=YEAR($C$3)*12+MONTH($C$3)-1,$G488,0))</f>
        <v/>
      </c>
      <c r="P488" s="62">
        <f>$M488-$O488</f>
        <v/>
      </c>
      <c r="Q488" s="62">
        <f>($L488-$M488)-($N488-$O488)</f>
        <v/>
      </c>
      <c r="R488" s="62">
        <f>$L488-$N488</f>
        <v/>
      </c>
    </row>
    <row r="489">
      <c r="A489" s="59">
        <f>ROW()-5</f>
        <v/>
      </c>
      <c r="B489" s="60">
        <f>IFERROR(INDEX(tbl_Finance[Date],$A489),"")</f>
        <v/>
      </c>
      <c r="C489" s="61">
        <f>IFERROR(INDEX(tbl_Finance[Xero Invoice No],$A489),"")</f>
        <v/>
      </c>
      <c r="D489" s="61">
        <f>IFERROR(INDEX(tbl_Finance[Client],$A489),"")</f>
        <v/>
      </c>
      <c r="E489" s="61">
        <f>IFERROR(INDEX(tbl_Finance[Job Number],$A489),"")</f>
        <v/>
      </c>
      <c r="F489" s="61">
        <f>IFERROR(INDEX(tbl_Finance[Cost Centre],$A489),"")</f>
        <v/>
      </c>
      <c r="G489" s="62">
        <f>IFERROR(INDEX(tbl_Finance[Ex GST],$A489),"")</f>
        <v/>
      </c>
      <c r="H489" s="60">
        <f>IFERROR(INDEX(tbl_Finance[Defer Start],$A489),"")</f>
        <v/>
      </c>
      <c r="I489" s="60">
        <f>IFERROR(INDEX(tbl_Finance[Defer End],$A489),"")</f>
        <v/>
      </c>
      <c r="J489" s="59">
        <f>IF(OR($H489="",$I489="",$G489=""),"",MAX(1,(YEAR($I489)-YEAR($H489))*12+MONTH($I489)-MONTH($H489)+1))</f>
        <v/>
      </c>
      <c r="K489" s="62">
        <f>IF($J489="","",$G489/$J489)</f>
        <v/>
      </c>
      <c r="L489" s="62">
        <f>IF($J489="",0,$K489*MAX(0,MIN(YEAR($C$3)*12+MONTH($C$3),YEAR($I489)*12+MONTH($I489))-(YEAR($H489)*12+MONTH($H489))+1))</f>
        <v/>
      </c>
      <c r="M489" s="62">
        <f>IF($J489="",0,$K489*MAX(0,MIN(YEAR($C$3)*12+MONTH($C$3)-1,YEAR($I489)*12+MONTH($I489))-(YEAR($H489)*12+MONTH($H489))+1))</f>
        <v/>
      </c>
      <c r="N489" s="62">
        <f>IF(OR($J489="",$B489=""),0,IF(YEAR($B489)*12+MONTH($B489)&lt;=YEAR($C$3)*12+MONTH($C$3),$G489,0))</f>
        <v/>
      </c>
      <c r="O489" s="62">
        <f>IF(OR($J489="",$B489=""),0,IF(YEAR($B489)*12+MONTH($B489)&lt;=YEAR($C$3)*12+MONTH($C$3)-1,$G489,0))</f>
        <v/>
      </c>
      <c r="P489" s="62">
        <f>$M489-$O489</f>
        <v/>
      </c>
      <c r="Q489" s="62">
        <f>($L489-$M489)-($N489-$O489)</f>
        <v/>
      </c>
      <c r="R489" s="62">
        <f>$L489-$N489</f>
        <v/>
      </c>
    </row>
    <row r="490">
      <c r="A490" s="59">
        <f>ROW()-5</f>
        <v/>
      </c>
      <c r="B490" s="60">
        <f>IFERROR(INDEX(tbl_Finance[Date],$A490),"")</f>
        <v/>
      </c>
      <c r="C490" s="61">
        <f>IFERROR(INDEX(tbl_Finance[Xero Invoice No],$A490),"")</f>
        <v/>
      </c>
      <c r="D490" s="61">
        <f>IFERROR(INDEX(tbl_Finance[Client],$A490),"")</f>
        <v/>
      </c>
      <c r="E490" s="61">
        <f>IFERROR(INDEX(tbl_Finance[Job Number],$A490),"")</f>
        <v/>
      </c>
      <c r="F490" s="61">
        <f>IFERROR(INDEX(tbl_Finance[Cost Centre],$A490),"")</f>
        <v/>
      </c>
      <c r="G490" s="62">
        <f>IFERROR(INDEX(tbl_Finance[Ex GST],$A490),"")</f>
        <v/>
      </c>
      <c r="H490" s="60">
        <f>IFERROR(INDEX(tbl_Finance[Defer Start],$A490),"")</f>
        <v/>
      </c>
      <c r="I490" s="60">
        <f>IFERROR(INDEX(tbl_Finance[Defer End],$A490),"")</f>
        <v/>
      </c>
      <c r="J490" s="59">
        <f>IF(OR($H490="",$I490="",$G490=""),"",MAX(1,(YEAR($I490)-YEAR($H490))*12+MONTH($I490)-MONTH($H490)+1))</f>
        <v/>
      </c>
      <c r="K490" s="62">
        <f>IF($J490="","",$G490/$J490)</f>
        <v/>
      </c>
      <c r="L490" s="62">
        <f>IF($J490="",0,$K490*MAX(0,MIN(YEAR($C$3)*12+MONTH($C$3),YEAR($I490)*12+MONTH($I490))-(YEAR($H490)*12+MONTH($H490))+1))</f>
        <v/>
      </c>
      <c r="M490" s="62">
        <f>IF($J490="",0,$K490*MAX(0,MIN(YEAR($C$3)*12+MONTH($C$3)-1,YEAR($I490)*12+MONTH($I490))-(YEAR($H490)*12+MONTH($H490))+1))</f>
        <v/>
      </c>
      <c r="N490" s="62">
        <f>IF(OR($J490="",$B490=""),0,IF(YEAR($B490)*12+MONTH($B490)&lt;=YEAR($C$3)*12+MONTH($C$3),$G490,0))</f>
        <v/>
      </c>
      <c r="O490" s="62">
        <f>IF(OR($J490="",$B490=""),0,IF(YEAR($B490)*12+MONTH($B490)&lt;=YEAR($C$3)*12+MONTH($C$3)-1,$G490,0))</f>
        <v/>
      </c>
      <c r="P490" s="62">
        <f>$M490-$O490</f>
        <v/>
      </c>
      <c r="Q490" s="62">
        <f>($L490-$M490)-($N490-$O490)</f>
        <v/>
      </c>
      <c r="R490" s="62">
        <f>$L490-$N490</f>
        <v/>
      </c>
    </row>
    <row r="491">
      <c r="A491" s="59">
        <f>ROW()-5</f>
        <v/>
      </c>
      <c r="B491" s="60">
        <f>IFERROR(INDEX(tbl_Finance[Date],$A491),"")</f>
        <v/>
      </c>
      <c r="C491" s="61">
        <f>IFERROR(INDEX(tbl_Finance[Xero Invoice No],$A491),"")</f>
        <v/>
      </c>
      <c r="D491" s="61">
        <f>IFERROR(INDEX(tbl_Finance[Client],$A491),"")</f>
        <v/>
      </c>
      <c r="E491" s="61">
        <f>IFERROR(INDEX(tbl_Finance[Job Number],$A491),"")</f>
        <v/>
      </c>
      <c r="F491" s="61">
        <f>IFERROR(INDEX(tbl_Finance[Cost Centre],$A491),"")</f>
        <v/>
      </c>
      <c r="G491" s="62">
        <f>IFERROR(INDEX(tbl_Finance[Ex GST],$A491),"")</f>
        <v/>
      </c>
      <c r="H491" s="60">
        <f>IFERROR(INDEX(tbl_Finance[Defer Start],$A491),"")</f>
        <v/>
      </c>
      <c r="I491" s="60">
        <f>IFERROR(INDEX(tbl_Finance[Defer End],$A491),"")</f>
        <v/>
      </c>
      <c r="J491" s="59">
        <f>IF(OR($H491="",$I491="",$G491=""),"",MAX(1,(YEAR($I491)-YEAR($H491))*12+MONTH($I491)-MONTH($H491)+1))</f>
        <v/>
      </c>
      <c r="K491" s="62">
        <f>IF($J491="","",$G491/$J491)</f>
        <v/>
      </c>
      <c r="L491" s="62">
        <f>IF($J491="",0,$K491*MAX(0,MIN(YEAR($C$3)*12+MONTH($C$3),YEAR($I491)*12+MONTH($I491))-(YEAR($H491)*12+MONTH($H491))+1))</f>
        <v/>
      </c>
      <c r="M491" s="62">
        <f>IF($J491="",0,$K491*MAX(0,MIN(YEAR($C$3)*12+MONTH($C$3)-1,YEAR($I491)*12+MONTH($I491))-(YEAR($H491)*12+MONTH($H491))+1))</f>
        <v/>
      </c>
      <c r="N491" s="62">
        <f>IF(OR($J491="",$B491=""),0,IF(YEAR($B491)*12+MONTH($B491)&lt;=YEAR($C$3)*12+MONTH($C$3),$G491,0))</f>
        <v/>
      </c>
      <c r="O491" s="62">
        <f>IF(OR($J491="",$B491=""),0,IF(YEAR($B491)*12+MONTH($B491)&lt;=YEAR($C$3)*12+MONTH($C$3)-1,$G491,0))</f>
        <v/>
      </c>
      <c r="P491" s="62">
        <f>$M491-$O491</f>
        <v/>
      </c>
      <c r="Q491" s="62">
        <f>($L491-$M491)-($N491-$O491)</f>
        <v/>
      </c>
      <c r="R491" s="62">
        <f>$L491-$N491</f>
        <v/>
      </c>
    </row>
    <row r="492">
      <c r="A492" s="59">
        <f>ROW()-5</f>
        <v/>
      </c>
      <c r="B492" s="60">
        <f>IFERROR(INDEX(tbl_Finance[Date],$A492),"")</f>
        <v/>
      </c>
      <c r="C492" s="61">
        <f>IFERROR(INDEX(tbl_Finance[Xero Invoice No],$A492),"")</f>
        <v/>
      </c>
      <c r="D492" s="61">
        <f>IFERROR(INDEX(tbl_Finance[Client],$A492),"")</f>
        <v/>
      </c>
      <c r="E492" s="61">
        <f>IFERROR(INDEX(tbl_Finance[Job Number],$A492),"")</f>
        <v/>
      </c>
      <c r="F492" s="61">
        <f>IFERROR(INDEX(tbl_Finance[Cost Centre],$A492),"")</f>
        <v/>
      </c>
      <c r="G492" s="62">
        <f>IFERROR(INDEX(tbl_Finance[Ex GST],$A492),"")</f>
        <v/>
      </c>
      <c r="H492" s="60">
        <f>IFERROR(INDEX(tbl_Finance[Defer Start],$A492),"")</f>
        <v/>
      </c>
      <c r="I492" s="60">
        <f>IFERROR(INDEX(tbl_Finance[Defer End],$A492),"")</f>
        <v/>
      </c>
      <c r="J492" s="59">
        <f>IF(OR($H492="",$I492="",$G492=""),"",MAX(1,(YEAR($I492)-YEAR($H492))*12+MONTH($I492)-MONTH($H492)+1))</f>
        <v/>
      </c>
      <c r="K492" s="62">
        <f>IF($J492="","",$G492/$J492)</f>
        <v/>
      </c>
      <c r="L492" s="62">
        <f>IF($J492="",0,$K492*MAX(0,MIN(YEAR($C$3)*12+MONTH($C$3),YEAR($I492)*12+MONTH($I492))-(YEAR($H492)*12+MONTH($H492))+1))</f>
        <v/>
      </c>
      <c r="M492" s="62">
        <f>IF($J492="",0,$K492*MAX(0,MIN(YEAR($C$3)*12+MONTH($C$3)-1,YEAR($I492)*12+MONTH($I492))-(YEAR($H492)*12+MONTH($H492))+1))</f>
        <v/>
      </c>
      <c r="N492" s="62">
        <f>IF(OR($J492="",$B492=""),0,IF(YEAR($B492)*12+MONTH($B492)&lt;=YEAR($C$3)*12+MONTH($C$3),$G492,0))</f>
        <v/>
      </c>
      <c r="O492" s="62">
        <f>IF(OR($J492="",$B492=""),0,IF(YEAR($B492)*12+MONTH($B492)&lt;=YEAR($C$3)*12+MONTH($C$3)-1,$G492,0))</f>
        <v/>
      </c>
      <c r="P492" s="62">
        <f>$M492-$O492</f>
        <v/>
      </c>
      <c r="Q492" s="62">
        <f>($L492-$M492)-($N492-$O492)</f>
        <v/>
      </c>
      <c r="R492" s="62">
        <f>$L492-$N492</f>
        <v/>
      </c>
    </row>
    <row r="493">
      <c r="A493" s="59">
        <f>ROW()-5</f>
        <v/>
      </c>
      <c r="B493" s="60">
        <f>IFERROR(INDEX(tbl_Finance[Date],$A493),"")</f>
        <v/>
      </c>
      <c r="C493" s="61">
        <f>IFERROR(INDEX(tbl_Finance[Xero Invoice No],$A493),"")</f>
        <v/>
      </c>
      <c r="D493" s="61">
        <f>IFERROR(INDEX(tbl_Finance[Client],$A493),"")</f>
        <v/>
      </c>
      <c r="E493" s="61">
        <f>IFERROR(INDEX(tbl_Finance[Job Number],$A493),"")</f>
        <v/>
      </c>
      <c r="F493" s="61">
        <f>IFERROR(INDEX(tbl_Finance[Cost Centre],$A493),"")</f>
        <v/>
      </c>
      <c r="G493" s="62">
        <f>IFERROR(INDEX(tbl_Finance[Ex GST],$A493),"")</f>
        <v/>
      </c>
      <c r="H493" s="60">
        <f>IFERROR(INDEX(tbl_Finance[Defer Start],$A493),"")</f>
        <v/>
      </c>
      <c r="I493" s="60">
        <f>IFERROR(INDEX(tbl_Finance[Defer End],$A493),"")</f>
        <v/>
      </c>
      <c r="J493" s="59">
        <f>IF(OR($H493="",$I493="",$G493=""),"",MAX(1,(YEAR($I493)-YEAR($H493))*12+MONTH($I493)-MONTH($H493)+1))</f>
        <v/>
      </c>
      <c r="K493" s="62">
        <f>IF($J493="","",$G493/$J493)</f>
        <v/>
      </c>
      <c r="L493" s="62">
        <f>IF($J493="",0,$K493*MAX(0,MIN(YEAR($C$3)*12+MONTH($C$3),YEAR($I493)*12+MONTH($I493))-(YEAR($H493)*12+MONTH($H493))+1))</f>
        <v/>
      </c>
      <c r="M493" s="62">
        <f>IF($J493="",0,$K493*MAX(0,MIN(YEAR($C$3)*12+MONTH($C$3)-1,YEAR($I493)*12+MONTH($I493))-(YEAR($H493)*12+MONTH($H493))+1))</f>
        <v/>
      </c>
      <c r="N493" s="62">
        <f>IF(OR($J493="",$B493=""),0,IF(YEAR($B493)*12+MONTH($B493)&lt;=YEAR($C$3)*12+MONTH($C$3),$G493,0))</f>
        <v/>
      </c>
      <c r="O493" s="62">
        <f>IF(OR($J493="",$B493=""),0,IF(YEAR($B493)*12+MONTH($B493)&lt;=YEAR($C$3)*12+MONTH($C$3)-1,$G493,0))</f>
        <v/>
      </c>
      <c r="P493" s="62">
        <f>$M493-$O493</f>
        <v/>
      </c>
      <c r="Q493" s="62">
        <f>($L493-$M493)-($N493-$O493)</f>
        <v/>
      </c>
      <c r="R493" s="62">
        <f>$L493-$N493</f>
        <v/>
      </c>
    </row>
    <row r="494">
      <c r="A494" s="59">
        <f>ROW()-5</f>
        <v/>
      </c>
      <c r="B494" s="60">
        <f>IFERROR(INDEX(tbl_Finance[Date],$A494),"")</f>
        <v/>
      </c>
      <c r="C494" s="61">
        <f>IFERROR(INDEX(tbl_Finance[Xero Invoice No],$A494),"")</f>
        <v/>
      </c>
      <c r="D494" s="61">
        <f>IFERROR(INDEX(tbl_Finance[Client],$A494),"")</f>
        <v/>
      </c>
      <c r="E494" s="61">
        <f>IFERROR(INDEX(tbl_Finance[Job Number],$A494),"")</f>
        <v/>
      </c>
      <c r="F494" s="61">
        <f>IFERROR(INDEX(tbl_Finance[Cost Centre],$A494),"")</f>
        <v/>
      </c>
      <c r="G494" s="62">
        <f>IFERROR(INDEX(tbl_Finance[Ex GST],$A494),"")</f>
        <v/>
      </c>
      <c r="H494" s="60">
        <f>IFERROR(INDEX(tbl_Finance[Defer Start],$A494),"")</f>
        <v/>
      </c>
      <c r="I494" s="60">
        <f>IFERROR(INDEX(tbl_Finance[Defer End],$A494),"")</f>
        <v/>
      </c>
      <c r="J494" s="59">
        <f>IF(OR($H494="",$I494="",$G494=""),"",MAX(1,(YEAR($I494)-YEAR($H494))*12+MONTH($I494)-MONTH($H494)+1))</f>
        <v/>
      </c>
      <c r="K494" s="62">
        <f>IF($J494="","",$G494/$J494)</f>
        <v/>
      </c>
      <c r="L494" s="62">
        <f>IF($J494="",0,$K494*MAX(0,MIN(YEAR($C$3)*12+MONTH($C$3),YEAR($I494)*12+MONTH($I494))-(YEAR($H494)*12+MONTH($H494))+1))</f>
        <v/>
      </c>
      <c r="M494" s="62">
        <f>IF($J494="",0,$K494*MAX(0,MIN(YEAR($C$3)*12+MONTH($C$3)-1,YEAR($I494)*12+MONTH($I494))-(YEAR($H494)*12+MONTH($H494))+1))</f>
        <v/>
      </c>
      <c r="N494" s="62">
        <f>IF(OR($J494="",$B494=""),0,IF(YEAR($B494)*12+MONTH($B494)&lt;=YEAR($C$3)*12+MONTH($C$3),$G494,0))</f>
        <v/>
      </c>
      <c r="O494" s="62">
        <f>IF(OR($J494="",$B494=""),0,IF(YEAR($B494)*12+MONTH($B494)&lt;=YEAR($C$3)*12+MONTH($C$3)-1,$G494,0))</f>
        <v/>
      </c>
      <c r="P494" s="62">
        <f>$M494-$O494</f>
        <v/>
      </c>
      <c r="Q494" s="62">
        <f>($L494-$M494)-($N494-$O494)</f>
        <v/>
      </c>
      <c r="R494" s="62">
        <f>$L494-$N494</f>
        <v/>
      </c>
    </row>
    <row r="495">
      <c r="A495" s="59">
        <f>ROW()-5</f>
        <v/>
      </c>
      <c r="B495" s="60">
        <f>IFERROR(INDEX(tbl_Finance[Date],$A495),"")</f>
        <v/>
      </c>
      <c r="C495" s="61">
        <f>IFERROR(INDEX(tbl_Finance[Xero Invoice No],$A495),"")</f>
        <v/>
      </c>
      <c r="D495" s="61">
        <f>IFERROR(INDEX(tbl_Finance[Client],$A495),"")</f>
        <v/>
      </c>
      <c r="E495" s="61">
        <f>IFERROR(INDEX(tbl_Finance[Job Number],$A495),"")</f>
        <v/>
      </c>
      <c r="F495" s="61">
        <f>IFERROR(INDEX(tbl_Finance[Cost Centre],$A495),"")</f>
        <v/>
      </c>
      <c r="G495" s="62">
        <f>IFERROR(INDEX(tbl_Finance[Ex GST],$A495),"")</f>
        <v/>
      </c>
      <c r="H495" s="60">
        <f>IFERROR(INDEX(tbl_Finance[Defer Start],$A495),"")</f>
        <v/>
      </c>
      <c r="I495" s="60">
        <f>IFERROR(INDEX(tbl_Finance[Defer End],$A495),"")</f>
        <v/>
      </c>
      <c r="J495" s="59">
        <f>IF(OR($H495="",$I495="",$G495=""),"",MAX(1,(YEAR($I495)-YEAR($H495))*12+MONTH($I495)-MONTH($H495)+1))</f>
        <v/>
      </c>
      <c r="K495" s="62">
        <f>IF($J495="","",$G495/$J495)</f>
        <v/>
      </c>
      <c r="L495" s="62">
        <f>IF($J495="",0,$K495*MAX(0,MIN(YEAR($C$3)*12+MONTH($C$3),YEAR($I495)*12+MONTH($I495))-(YEAR($H495)*12+MONTH($H495))+1))</f>
        <v/>
      </c>
      <c r="M495" s="62">
        <f>IF($J495="",0,$K495*MAX(0,MIN(YEAR($C$3)*12+MONTH($C$3)-1,YEAR($I495)*12+MONTH($I495))-(YEAR($H495)*12+MONTH($H495))+1))</f>
        <v/>
      </c>
      <c r="N495" s="62">
        <f>IF(OR($J495="",$B495=""),0,IF(YEAR($B495)*12+MONTH($B495)&lt;=YEAR($C$3)*12+MONTH($C$3),$G495,0))</f>
        <v/>
      </c>
      <c r="O495" s="62">
        <f>IF(OR($J495="",$B495=""),0,IF(YEAR($B495)*12+MONTH($B495)&lt;=YEAR($C$3)*12+MONTH($C$3)-1,$G495,0))</f>
        <v/>
      </c>
      <c r="P495" s="62">
        <f>$M495-$O495</f>
        <v/>
      </c>
      <c r="Q495" s="62">
        <f>($L495-$M495)-($N495-$O495)</f>
        <v/>
      </c>
      <c r="R495" s="62">
        <f>$L495-$N495</f>
        <v/>
      </c>
    </row>
    <row r="496">
      <c r="A496" s="59">
        <f>ROW()-5</f>
        <v/>
      </c>
      <c r="B496" s="60">
        <f>IFERROR(INDEX(tbl_Finance[Date],$A496),"")</f>
        <v/>
      </c>
      <c r="C496" s="61">
        <f>IFERROR(INDEX(tbl_Finance[Xero Invoice No],$A496),"")</f>
        <v/>
      </c>
      <c r="D496" s="61">
        <f>IFERROR(INDEX(tbl_Finance[Client],$A496),"")</f>
        <v/>
      </c>
      <c r="E496" s="61">
        <f>IFERROR(INDEX(tbl_Finance[Job Number],$A496),"")</f>
        <v/>
      </c>
      <c r="F496" s="61">
        <f>IFERROR(INDEX(tbl_Finance[Cost Centre],$A496),"")</f>
        <v/>
      </c>
      <c r="G496" s="62">
        <f>IFERROR(INDEX(tbl_Finance[Ex GST],$A496),"")</f>
        <v/>
      </c>
      <c r="H496" s="60">
        <f>IFERROR(INDEX(tbl_Finance[Defer Start],$A496),"")</f>
        <v/>
      </c>
      <c r="I496" s="60">
        <f>IFERROR(INDEX(tbl_Finance[Defer End],$A496),"")</f>
        <v/>
      </c>
      <c r="J496" s="59">
        <f>IF(OR($H496="",$I496="",$G496=""),"",MAX(1,(YEAR($I496)-YEAR($H496))*12+MONTH($I496)-MONTH($H496)+1))</f>
        <v/>
      </c>
      <c r="K496" s="62">
        <f>IF($J496="","",$G496/$J496)</f>
        <v/>
      </c>
      <c r="L496" s="62">
        <f>IF($J496="",0,$K496*MAX(0,MIN(YEAR($C$3)*12+MONTH($C$3),YEAR($I496)*12+MONTH($I496))-(YEAR($H496)*12+MONTH($H496))+1))</f>
        <v/>
      </c>
      <c r="M496" s="62">
        <f>IF($J496="",0,$K496*MAX(0,MIN(YEAR($C$3)*12+MONTH($C$3)-1,YEAR($I496)*12+MONTH($I496))-(YEAR($H496)*12+MONTH($H496))+1))</f>
        <v/>
      </c>
      <c r="N496" s="62">
        <f>IF(OR($J496="",$B496=""),0,IF(YEAR($B496)*12+MONTH($B496)&lt;=YEAR($C$3)*12+MONTH($C$3),$G496,0))</f>
        <v/>
      </c>
      <c r="O496" s="62">
        <f>IF(OR($J496="",$B496=""),0,IF(YEAR($B496)*12+MONTH($B496)&lt;=YEAR($C$3)*12+MONTH($C$3)-1,$G496,0))</f>
        <v/>
      </c>
      <c r="P496" s="62">
        <f>$M496-$O496</f>
        <v/>
      </c>
      <c r="Q496" s="62">
        <f>($L496-$M496)-($N496-$O496)</f>
        <v/>
      </c>
      <c r="R496" s="62">
        <f>$L496-$N496</f>
        <v/>
      </c>
    </row>
    <row r="497">
      <c r="A497" s="59">
        <f>ROW()-5</f>
        <v/>
      </c>
      <c r="B497" s="60">
        <f>IFERROR(INDEX(tbl_Finance[Date],$A497),"")</f>
        <v/>
      </c>
      <c r="C497" s="61">
        <f>IFERROR(INDEX(tbl_Finance[Xero Invoice No],$A497),"")</f>
        <v/>
      </c>
      <c r="D497" s="61">
        <f>IFERROR(INDEX(tbl_Finance[Client],$A497),"")</f>
        <v/>
      </c>
      <c r="E497" s="61">
        <f>IFERROR(INDEX(tbl_Finance[Job Number],$A497),"")</f>
        <v/>
      </c>
      <c r="F497" s="61">
        <f>IFERROR(INDEX(tbl_Finance[Cost Centre],$A497),"")</f>
        <v/>
      </c>
      <c r="G497" s="62">
        <f>IFERROR(INDEX(tbl_Finance[Ex GST],$A497),"")</f>
        <v/>
      </c>
      <c r="H497" s="60">
        <f>IFERROR(INDEX(tbl_Finance[Defer Start],$A497),"")</f>
        <v/>
      </c>
      <c r="I497" s="60">
        <f>IFERROR(INDEX(tbl_Finance[Defer End],$A497),"")</f>
        <v/>
      </c>
      <c r="J497" s="59">
        <f>IF(OR($H497="",$I497="",$G497=""),"",MAX(1,(YEAR($I497)-YEAR($H497))*12+MONTH($I497)-MONTH($H497)+1))</f>
        <v/>
      </c>
      <c r="K497" s="62">
        <f>IF($J497="","",$G497/$J497)</f>
        <v/>
      </c>
      <c r="L497" s="62">
        <f>IF($J497="",0,$K497*MAX(0,MIN(YEAR($C$3)*12+MONTH($C$3),YEAR($I497)*12+MONTH($I497))-(YEAR($H497)*12+MONTH($H497))+1))</f>
        <v/>
      </c>
      <c r="M497" s="62">
        <f>IF($J497="",0,$K497*MAX(0,MIN(YEAR($C$3)*12+MONTH($C$3)-1,YEAR($I497)*12+MONTH($I497))-(YEAR($H497)*12+MONTH($H497))+1))</f>
        <v/>
      </c>
      <c r="N497" s="62">
        <f>IF(OR($J497="",$B497=""),0,IF(YEAR($B497)*12+MONTH($B497)&lt;=YEAR($C$3)*12+MONTH($C$3),$G497,0))</f>
        <v/>
      </c>
      <c r="O497" s="62">
        <f>IF(OR($J497="",$B497=""),0,IF(YEAR($B497)*12+MONTH($B497)&lt;=YEAR($C$3)*12+MONTH($C$3)-1,$G497,0))</f>
        <v/>
      </c>
      <c r="P497" s="62">
        <f>$M497-$O497</f>
        <v/>
      </c>
      <c r="Q497" s="62">
        <f>($L497-$M497)-($N497-$O497)</f>
        <v/>
      </c>
      <c r="R497" s="62">
        <f>$L497-$N497</f>
        <v/>
      </c>
    </row>
    <row r="498">
      <c r="A498" s="59">
        <f>ROW()-5</f>
        <v/>
      </c>
      <c r="B498" s="60">
        <f>IFERROR(INDEX(tbl_Finance[Date],$A498),"")</f>
        <v/>
      </c>
      <c r="C498" s="61">
        <f>IFERROR(INDEX(tbl_Finance[Xero Invoice No],$A498),"")</f>
        <v/>
      </c>
      <c r="D498" s="61">
        <f>IFERROR(INDEX(tbl_Finance[Client],$A498),"")</f>
        <v/>
      </c>
      <c r="E498" s="61">
        <f>IFERROR(INDEX(tbl_Finance[Job Number],$A498),"")</f>
        <v/>
      </c>
      <c r="F498" s="61">
        <f>IFERROR(INDEX(tbl_Finance[Cost Centre],$A498),"")</f>
        <v/>
      </c>
      <c r="G498" s="62">
        <f>IFERROR(INDEX(tbl_Finance[Ex GST],$A498),"")</f>
        <v/>
      </c>
      <c r="H498" s="60">
        <f>IFERROR(INDEX(tbl_Finance[Defer Start],$A498),"")</f>
        <v/>
      </c>
      <c r="I498" s="60">
        <f>IFERROR(INDEX(tbl_Finance[Defer End],$A498),"")</f>
        <v/>
      </c>
      <c r="J498" s="59">
        <f>IF(OR($H498="",$I498="",$G498=""),"",MAX(1,(YEAR($I498)-YEAR($H498))*12+MONTH($I498)-MONTH($H498)+1))</f>
        <v/>
      </c>
      <c r="K498" s="62">
        <f>IF($J498="","",$G498/$J498)</f>
        <v/>
      </c>
      <c r="L498" s="62">
        <f>IF($J498="",0,$K498*MAX(0,MIN(YEAR($C$3)*12+MONTH($C$3),YEAR($I498)*12+MONTH($I498))-(YEAR($H498)*12+MONTH($H498))+1))</f>
        <v/>
      </c>
      <c r="M498" s="62">
        <f>IF($J498="",0,$K498*MAX(0,MIN(YEAR($C$3)*12+MONTH($C$3)-1,YEAR($I498)*12+MONTH($I498))-(YEAR($H498)*12+MONTH($H498))+1))</f>
        <v/>
      </c>
      <c r="N498" s="62">
        <f>IF(OR($J498="",$B498=""),0,IF(YEAR($B498)*12+MONTH($B498)&lt;=YEAR($C$3)*12+MONTH($C$3),$G498,0))</f>
        <v/>
      </c>
      <c r="O498" s="62">
        <f>IF(OR($J498="",$B498=""),0,IF(YEAR($B498)*12+MONTH($B498)&lt;=YEAR($C$3)*12+MONTH($C$3)-1,$G498,0))</f>
        <v/>
      </c>
      <c r="P498" s="62">
        <f>$M498-$O498</f>
        <v/>
      </c>
      <c r="Q498" s="62">
        <f>($L498-$M498)-($N498-$O498)</f>
        <v/>
      </c>
      <c r="R498" s="62">
        <f>$L498-$N498</f>
        <v/>
      </c>
    </row>
    <row r="499">
      <c r="A499" s="59">
        <f>ROW()-5</f>
        <v/>
      </c>
      <c r="B499" s="60">
        <f>IFERROR(INDEX(tbl_Finance[Date],$A499),"")</f>
        <v/>
      </c>
      <c r="C499" s="61">
        <f>IFERROR(INDEX(tbl_Finance[Xero Invoice No],$A499),"")</f>
        <v/>
      </c>
      <c r="D499" s="61">
        <f>IFERROR(INDEX(tbl_Finance[Client],$A499),"")</f>
        <v/>
      </c>
      <c r="E499" s="61">
        <f>IFERROR(INDEX(tbl_Finance[Job Number],$A499),"")</f>
        <v/>
      </c>
      <c r="F499" s="61">
        <f>IFERROR(INDEX(tbl_Finance[Cost Centre],$A499),"")</f>
        <v/>
      </c>
      <c r="G499" s="62">
        <f>IFERROR(INDEX(tbl_Finance[Ex GST],$A499),"")</f>
        <v/>
      </c>
      <c r="H499" s="60">
        <f>IFERROR(INDEX(tbl_Finance[Defer Start],$A499),"")</f>
        <v/>
      </c>
      <c r="I499" s="60">
        <f>IFERROR(INDEX(tbl_Finance[Defer End],$A499),"")</f>
        <v/>
      </c>
      <c r="J499" s="59">
        <f>IF(OR($H499="",$I499="",$G499=""),"",MAX(1,(YEAR($I499)-YEAR($H499))*12+MONTH($I499)-MONTH($H499)+1))</f>
        <v/>
      </c>
      <c r="K499" s="62">
        <f>IF($J499="","",$G499/$J499)</f>
        <v/>
      </c>
      <c r="L499" s="62">
        <f>IF($J499="",0,$K499*MAX(0,MIN(YEAR($C$3)*12+MONTH($C$3),YEAR($I499)*12+MONTH($I499))-(YEAR($H499)*12+MONTH($H499))+1))</f>
        <v/>
      </c>
      <c r="M499" s="62">
        <f>IF($J499="",0,$K499*MAX(0,MIN(YEAR($C$3)*12+MONTH($C$3)-1,YEAR($I499)*12+MONTH($I499))-(YEAR($H499)*12+MONTH($H499))+1))</f>
        <v/>
      </c>
      <c r="N499" s="62">
        <f>IF(OR($J499="",$B499=""),0,IF(YEAR($B499)*12+MONTH($B499)&lt;=YEAR($C$3)*12+MONTH($C$3),$G499,0))</f>
        <v/>
      </c>
      <c r="O499" s="62">
        <f>IF(OR($J499="",$B499=""),0,IF(YEAR($B499)*12+MONTH($B499)&lt;=YEAR($C$3)*12+MONTH($C$3)-1,$G499,0))</f>
        <v/>
      </c>
      <c r="P499" s="62">
        <f>$M499-$O499</f>
        <v/>
      </c>
      <c r="Q499" s="62">
        <f>($L499-$M499)-($N499-$O499)</f>
        <v/>
      </c>
      <c r="R499" s="62">
        <f>$L499-$N499</f>
        <v/>
      </c>
    </row>
    <row r="500">
      <c r="A500" s="59">
        <f>ROW()-5</f>
        <v/>
      </c>
      <c r="B500" s="60">
        <f>IFERROR(INDEX(tbl_Finance[Date],$A500),"")</f>
        <v/>
      </c>
      <c r="C500" s="61">
        <f>IFERROR(INDEX(tbl_Finance[Xero Invoice No],$A500),"")</f>
        <v/>
      </c>
      <c r="D500" s="61">
        <f>IFERROR(INDEX(tbl_Finance[Client],$A500),"")</f>
        <v/>
      </c>
      <c r="E500" s="61">
        <f>IFERROR(INDEX(tbl_Finance[Job Number],$A500),"")</f>
        <v/>
      </c>
      <c r="F500" s="61">
        <f>IFERROR(INDEX(tbl_Finance[Cost Centre],$A500),"")</f>
        <v/>
      </c>
      <c r="G500" s="62">
        <f>IFERROR(INDEX(tbl_Finance[Ex GST],$A500),"")</f>
        <v/>
      </c>
      <c r="H500" s="60">
        <f>IFERROR(INDEX(tbl_Finance[Defer Start],$A500),"")</f>
        <v/>
      </c>
      <c r="I500" s="60">
        <f>IFERROR(INDEX(tbl_Finance[Defer End],$A500),"")</f>
        <v/>
      </c>
      <c r="J500" s="59">
        <f>IF(OR($H500="",$I500="",$G500=""),"",MAX(1,(YEAR($I500)-YEAR($H500))*12+MONTH($I500)-MONTH($H500)+1))</f>
        <v/>
      </c>
      <c r="K500" s="62">
        <f>IF($J500="","",$G500/$J500)</f>
        <v/>
      </c>
      <c r="L500" s="62">
        <f>IF($J500="",0,$K500*MAX(0,MIN(YEAR($C$3)*12+MONTH($C$3),YEAR($I500)*12+MONTH($I500))-(YEAR($H500)*12+MONTH($H500))+1))</f>
        <v/>
      </c>
      <c r="M500" s="62">
        <f>IF($J500="",0,$K500*MAX(0,MIN(YEAR($C$3)*12+MONTH($C$3)-1,YEAR($I500)*12+MONTH($I500))-(YEAR($H500)*12+MONTH($H500))+1))</f>
        <v/>
      </c>
      <c r="N500" s="62">
        <f>IF(OR($J500="",$B500=""),0,IF(YEAR($B500)*12+MONTH($B500)&lt;=YEAR($C$3)*12+MONTH($C$3),$G500,0))</f>
        <v/>
      </c>
      <c r="O500" s="62">
        <f>IF(OR($J500="",$B500=""),0,IF(YEAR($B500)*12+MONTH($B500)&lt;=YEAR($C$3)*12+MONTH($C$3)-1,$G500,0))</f>
        <v/>
      </c>
      <c r="P500" s="62">
        <f>$M500-$O500</f>
        <v/>
      </c>
      <c r="Q500" s="62">
        <f>($L500-$M500)-($N500-$O500)</f>
        <v/>
      </c>
      <c r="R500" s="62">
        <f>$L500-$N500</f>
        <v/>
      </c>
    </row>
    <row r="501">
      <c r="A501" s="59">
        <f>ROW()-5</f>
        <v/>
      </c>
      <c r="B501" s="60">
        <f>IFERROR(INDEX(tbl_Finance[Date],$A501),"")</f>
        <v/>
      </c>
      <c r="C501" s="61">
        <f>IFERROR(INDEX(tbl_Finance[Xero Invoice No],$A501),"")</f>
        <v/>
      </c>
      <c r="D501" s="61">
        <f>IFERROR(INDEX(tbl_Finance[Client],$A501),"")</f>
        <v/>
      </c>
      <c r="E501" s="61">
        <f>IFERROR(INDEX(tbl_Finance[Job Number],$A501),"")</f>
        <v/>
      </c>
      <c r="F501" s="61">
        <f>IFERROR(INDEX(tbl_Finance[Cost Centre],$A501),"")</f>
        <v/>
      </c>
      <c r="G501" s="62">
        <f>IFERROR(INDEX(tbl_Finance[Ex GST],$A501),"")</f>
        <v/>
      </c>
      <c r="H501" s="60">
        <f>IFERROR(INDEX(tbl_Finance[Defer Start],$A501),"")</f>
        <v/>
      </c>
      <c r="I501" s="60">
        <f>IFERROR(INDEX(tbl_Finance[Defer End],$A501),"")</f>
        <v/>
      </c>
      <c r="J501" s="59">
        <f>IF(OR($H501="",$I501="",$G501=""),"",MAX(1,(YEAR($I501)-YEAR($H501))*12+MONTH($I501)-MONTH($H501)+1))</f>
        <v/>
      </c>
      <c r="K501" s="62">
        <f>IF($J501="","",$G501/$J501)</f>
        <v/>
      </c>
      <c r="L501" s="62">
        <f>IF($J501="",0,$K501*MAX(0,MIN(YEAR($C$3)*12+MONTH($C$3),YEAR($I501)*12+MONTH($I501))-(YEAR($H501)*12+MONTH($H501))+1))</f>
        <v/>
      </c>
      <c r="M501" s="62">
        <f>IF($J501="",0,$K501*MAX(0,MIN(YEAR($C$3)*12+MONTH($C$3)-1,YEAR($I501)*12+MONTH($I501))-(YEAR($H501)*12+MONTH($H501))+1))</f>
        <v/>
      </c>
      <c r="N501" s="62">
        <f>IF(OR($J501="",$B501=""),0,IF(YEAR($B501)*12+MONTH($B501)&lt;=YEAR($C$3)*12+MONTH($C$3),$G501,0))</f>
        <v/>
      </c>
      <c r="O501" s="62">
        <f>IF(OR($J501="",$B501=""),0,IF(YEAR($B501)*12+MONTH($B501)&lt;=YEAR($C$3)*12+MONTH($C$3)-1,$G501,0))</f>
        <v/>
      </c>
      <c r="P501" s="62">
        <f>$M501-$O501</f>
        <v/>
      </c>
      <c r="Q501" s="62">
        <f>($L501-$M501)-($N501-$O501)</f>
        <v/>
      </c>
      <c r="R501" s="62">
        <f>$L501-$N501</f>
        <v/>
      </c>
    </row>
    <row r="502">
      <c r="A502" s="59">
        <f>ROW()-5</f>
        <v/>
      </c>
      <c r="B502" s="60">
        <f>IFERROR(INDEX(tbl_Finance[Date],$A502),"")</f>
        <v/>
      </c>
      <c r="C502" s="61">
        <f>IFERROR(INDEX(tbl_Finance[Xero Invoice No],$A502),"")</f>
        <v/>
      </c>
      <c r="D502" s="61">
        <f>IFERROR(INDEX(tbl_Finance[Client],$A502),"")</f>
        <v/>
      </c>
      <c r="E502" s="61">
        <f>IFERROR(INDEX(tbl_Finance[Job Number],$A502),"")</f>
        <v/>
      </c>
      <c r="F502" s="61">
        <f>IFERROR(INDEX(tbl_Finance[Cost Centre],$A502),"")</f>
        <v/>
      </c>
      <c r="G502" s="62">
        <f>IFERROR(INDEX(tbl_Finance[Ex GST],$A502),"")</f>
        <v/>
      </c>
      <c r="H502" s="60">
        <f>IFERROR(INDEX(tbl_Finance[Defer Start],$A502),"")</f>
        <v/>
      </c>
      <c r="I502" s="60">
        <f>IFERROR(INDEX(tbl_Finance[Defer End],$A502),"")</f>
        <v/>
      </c>
      <c r="J502" s="59">
        <f>IF(OR($H502="",$I502="",$G502=""),"",MAX(1,(YEAR($I502)-YEAR($H502))*12+MONTH($I502)-MONTH($H502)+1))</f>
        <v/>
      </c>
      <c r="K502" s="62">
        <f>IF($J502="","",$G502/$J502)</f>
        <v/>
      </c>
      <c r="L502" s="62">
        <f>IF($J502="",0,$K502*MAX(0,MIN(YEAR($C$3)*12+MONTH($C$3),YEAR($I502)*12+MONTH($I502))-(YEAR($H502)*12+MONTH($H502))+1))</f>
        <v/>
      </c>
      <c r="M502" s="62">
        <f>IF($J502="",0,$K502*MAX(0,MIN(YEAR($C$3)*12+MONTH($C$3)-1,YEAR($I502)*12+MONTH($I502))-(YEAR($H502)*12+MONTH($H502))+1))</f>
        <v/>
      </c>
      <c r="N502" s="62">
        <f>IF(OR($J502="",$B502=""),0,IF(YEAR($B502)*12+MONTH($B502)&lt;=YEAR($C$3)*12+MONTH($C$3),$G502,0))</f>
        <v/>
      </c>
      <c r="O502" s="62">
        <f>IF(OR($J502="",$B502=""),0,IF(YEAR($B502)*12+MONTH($B502)&lt;=YEAR($C$3)*12+MONTH($C$3)-1,$G502,0))</f>
        <v/>
      </c>
      <c r="P502" s="62">
        <f>$M502-$O502</f>
        <v/>
      </c>
      <c r="Q502" s="62">
        <f>($L502-$M502)-($N502-$O502)</f>
        <v/>
      </c>
      <c r="R502" s="62">
        <f>$L502-$N502</f>
        <v/>
      </c>
    </row>
    <row r="503">
      <c r="A503" s="59">
        <f>ROW()-5</f>
        <v/>
      </c>
      <c r="B503" s="60">
        <f>IFERROR(INDEX(tbl_Finance[Date],$A503),"")</f>
        <v/>
      </c>
      <c r="C503" s="61">
        <f>IFERROR(INDEX(tbl_Finance[Xero Invoice No],$A503),"")</f>
        <v/>
      </c>
      <c r="D503" s="61">
        <f>IFERROR(INDEX(tbl_Finance[Client],$A503),"")</f>
        <v/>
      </c>
      <c r="E503" s="61">
        <f>IFERROR(INDEX(tbl_Finance[Job Number],$A503),"")</f>
        <v/>
      </c>
      <c r="F503" s="61">
        <f>IFERROR(INDEX(tbl_Finance[Cost Centre],$A503),"")</f>
        <v/>
      </c>
      <c r="G503" s="62">
        <f>IFERROR(INDEX(tbl_Finance[Ex GST],$A503),"")</f>
        <v/>
      </c>
      <c r="H503" s="60">
        <f>IFERROR(INDEX(tbl_Finance[Defer Start],$A503),"")</f>
        <v/>
      </c>
      <c r="I503" s="60">
        <f>IFERROR(INDEX(tbl_Finance[Defer End],$A503),"")</f>
        <v/>
      </c>
      <c r="J503" s="59">
        <f>IF(OR($H503="",$I503="",$G503=""),"",MAX(1,(YEAR($I503)-YEAR($H503))*12+MONTH($I503)-MONTH($H503)+1))</f>
        <v/>
      </c>
      <c r="K503" s="62">
        <f>IF($J503="","",$G503/$J503)</f>
        <v/>
      </c>
      <c r="L503" s="62">
        <f>IF($J503="",0,$K503*MAX(0,MIN(YEAR($C$3)*12+MONTH($C$3),YEAR($I503)*12+MONTH($I503))-(YEAR($H503)*12+MONTH($H503))+1))</f>
        <v/>
      </c>
      <c r="M503" s="62">
        <f>IF($J503="",0,$K503*MAX(0,MIN(YEAR($C$3)*12+MONTH($C$3)-1,YEAR($I503)*12+MONTH($I503))-(YEAR($H503)*12+MONTH($H503))+1))</f>
        <v/>
      </c>
      <c r="N503" s="62">
        <f>IF(OR($J503="",$B503=""),0,IF(YEAR($B503)*12+MONTH($B503)&lt;=YEAR($C$3)*12+MONTH($C$3),$G503,0))</f>
        <v/>
      </c>
      <c r="O503" s="62">
        <f>IF(OR($J503="",$B503=""),0,IF(YEAR($B503)*12+MONTH($B503)&lt;=YEAR($C$3)*12+MONTH($C$3)-1,$G503,0))</f>
        <v/>
      </c>
      <c r="P503" s="62">
        <f>$M503-$O503</f>
        <v/>
      </c>
      <c r="Q503" s="62">
        <f>($L503-$M503)-($N503-$O503)</f>
        <v/>
      </c>
      <c r="R503" s="62">
        <f>$L503-$N503</f>
        <v/>
      </c>
    </row>
    <row r="504">
      <c r="A504" s="59">
        <f>ROW()-5</f>
        <v/>
      </c>
      <c r="B504" s="60">
        <f>IFERROR(INDEX(tbl_Finance[Date],$A504),"")</f>
        <v/>
      </c>
      <c r="C504" s="61">
        <f>IFERROR(INDEX(tbl_Finance[Xero Invoice No],$A504),"")</f>
        <v/>
      </c>
      <c r="D504" s="61">
        <f>IFERROR(INDEX(tbl_Finance[Client],$A504),"")</f>
        <v/>
      </c>
      <c r="E504" s="61">
        <f>IFERROR(INDEX(tbl_Finance[Job Number],$A504),"")</f>
        <v/>
      </c>
      <c r="F504" s="61">
        <f>IFERROR(INDEX(tbl_Finance[Cost Centre],$A504),"")</f>
        <v/>
      </c>
      <c r="G504" s="62">
        <f>IFERROR(INDEX(tbl_Finance[Ex GST],$A504),"")</f>
        <v/>
      </c>
      <c r="H504" s="60">
        <f>IFERROR(INDEX(tbl_Finance[Defer Start],$A504),"")</f>
        <v/>
      </c>
      <c r="I504" s="60">
        <f>IFERROR(INDEX(tbl_Finance[Defer End],$A504),"")</f>
        <v/>
      </c>
      <c r="J504" s="59">
        <f>IF(OR($H504="",$I504="",$G504=""),"",MAX(1,(YEAR($I504)-YEAR($H504))*12+MONTH($I504)-MONTH($H504)+1))</f>
        <v/>
      </c>
      <c r="K504" s="62">
        <f>IF($J504="","",$G504/$J504)</f>
        <v/>
      </c>
      <c r="L504" s="62">
        <f>IF($J504="",0,$K504*MAX(0,MIN(YEAR($C$3)*12+MONTH($C$3),YEAR($I504)*12+MONTH($I504))-(YEAR($H504)*12+MONTH($H504))+1))</f>
        <v/>
      </c>
      <c r="M504" s="62">
        <f>IF($J504="",0,$K504*MAX(0,MIN(YEAR($C$3)*12+MONTH($C$3)-1,YEAR($I504)*12+MONTH($I504))-(YEAR($H504)*12+MONTH($H504))+1))</f>
        <v/>
      </c>
      <c r="N504" s="62">
        <f>IF(OR($J504="",$B504=""),0,IF(YEAR($B504)*12+MONTH($B504)&lt;=YEAR($C$3)*12+MONTH($C$3),$G504,0))</f>
        <v/>
      </c>
      <c r="O504" s="62">
        <f>IF(OR($J504="",$B504=""),0,IF(YEAR($B504)*12+MONTH($B504)&lt;=YEAR($C$3)*12+MONTH($C$3)-1,$G504,0))</f>
        <v/>
      </c>
      <c r="P504" s="62">
        <f>$M504-$O504</f>
        <v/>
      </c>
      <c r="Q504" s="62">
        <f>($L504-$M504)-($N504-$O504)</f>
        <v/>
      </c>
      <c r="R504" s="62">
        <f>$L504-$N504</f>
        <v/>
      </c>
    </row>
    <row r="505">
      <c r="A505" s="59">
        <f>ROW()-5</f>
        <v/>
      </c>
      <c r="B505" s="60">
        <f>IFERROR(INDEX(tbl_Finance[Date],$A505),"")</f>
        <v/>
      </c>
      <c r="C505" s="61">
        <f>IFERROR(INDEX(tbl_Finance[Xero Invoice No],$A505),"")</f>
        <v/>
      </c>
      <c r="D505" s="61">
        <f>IFERROR(INDEX(tbl_Finance[Client],$A505),"")</f>
        <v/>
      </c>
      <c r="E505" s="61">
        <f>IFERROR(INDEX(tbl_Finance[Job Number],$A505),"")</f>
        <v/>
      </c>
      <c r="F505" s="61">
        <f>IFERROR(INDEX(tbl_Finance[Cost Centre],$A505),"")</f>
        <v/>
      </c>
      <c r="G505" s="62">
        <f>IFERROR(INDEX(tbl_Finance[Ex GST],$A505),"")</f>
        <v/>
      </c>
      <c r="H505" s="60">
        <f>IFERROR(INDEX(tbl_Finance[Defer Start],$A505),"")</f>
        <v/>
      </c>
      <c r="I505" s="60">
        <f>IFERROR(INDEX(tbl_Finance[Defer End],$A505),"")</f>
        <v/>
      </c>
      <c r="J505" s="59">
        <f>IF(OR($H505="",$I505="",$G505=""),"",MAX(1,(YEAR($I505)-YEAR($H505))*12+MONTH($I505)-MONTH($H505)+1))</f>
        <v/>
      </c>
      <c r="K505" s="62">
        <f>IF($J505="","",$G505/$J505)</f>
        <v/>
      </c>
      <c r="L505" s="62">
        <f>IF($J505="",0,$K505*MAX(0,MIN(YEAR($C$3)*12+MONTH($C$3),YEAR($I505)*12+MONTH($I505))-(YEAR($H505)*12+MONTH($H505))+1))</f>
        <v/>
      </c>
      <c r="M505" s="62">
        <f>IF($J505="",0,$K505*MAX(0,MIN(YEAR($C$3)*12+MONTH($C$3)-1,YEAR($I505)*12+MONTH($I505))-(YEAR($H505)*12+MONTH($H505))+1))</f>
        <v/>
      </c>
      <c r="N505" s="62">
        <f>IF(OR($J505="",$B505=""),0,IF(YEAR($B505)*12+MONTH($B505)&lt;=YEAR($C$3)*12+MONTH($C$3),$G505,0))</f>
        <v/>
      </c>
      <c r="O505" s="62">
        <f>IF(OR($J505="",$B505=""),0,IF(YEAR($B505)*12+MONTH($B505)&lt;=YEAR($C$3)*12+MONTH($C$3)-1,$G505,0))</f>
        <v/>
      </c>
      <c r="P505" s="62">
        <f>$M505-$O505</f>
        <v/>
      </c>
      <c r="Q505" s="62">
        <f>($L505-$M505)-($N505-$O505)</f>
        <v/>
      </c>
      <c r="R505" s="62">
        <f>$L505-$N505</f>
        <v/>
      </c>
    </row>
    <row r="506">
      <c r="A506" s="59">
        <f>ROW()-5</f>
        <v/>
      </c>
      <c r="B506" s="60">
        <f>IFERROR(INDEX(tbl_Finance[Date],$A506),"")</f>
        <v/>
      </c>
      <c r="C506" s="61">
        <f>IFERROR(INDEX(tbl_Finance[Xero Invoice No],$A506),"")</f>
        <v/>
      </c>
      <c r="D506" s="61">
        <f>IFERROR(INDEX(tbl_Finance[Client],$A506),"")</f>
        <v/>
      </c>
      <c r="E506" s="61">
        <f>IFERROR(INDEX(tbl_Finance[Job Number],$A506),"")</f>
        <v/>
      </c>
      <c r="F506" s="61">
        <f>IFERROR(INDEX(tbl_Finance[Cost Centre],$A506),"")</f>
        <v/>
      </c>
      <c r="G506" s="62">
        <f>IFERROR(INDEX(tbl_Finance[Ex GST],$A506),"")</f>
        <v/>
      </c>
      <c r="H506" s="60">
        <f>IFERROR(INDEX(tbl_Finance[Defer Start],$A506),"")</f>
        <v/>
      </c>
      <c r="I506" s="60">
        <f>IFERROR(INDEX(tbl_Finance[Defer End],$A506),"")</f>
        <v/>
      </c>
      <c r="J506" s="59">
        <f>IF(OR($H506="",$I506="",$G506=""),"",MAX(1,(YEAR($I506)-YEAR($H506))*12+MONTH($I506)-MONTH($H506)+1))</f>
        <v/>
      </c>
      <c r="K506" s="62">
        <f>IF($J506="","",$G506/$J506)</f>
        <v/>
      </c>
      <c r="L506" s="62">
        <f>IF($J506="",0,$K506*MAX(0,MIN(YEAR($C$3)*12+MONTH($C$3),YEAR($I506)*12+MONTH($I506))-(YEAR($H506)*12+MONTH($H506))+1))</f>
        <v/>
      </c>
      <c r="M506" s="62">
        <f>IF($J506="",0,$K506*MAX(0,MIN(YEAR($C$3)*12+MONTH($C$3)-1,YEAR($I506)*12+MONTH($I506))-(YEAR($H506)*12+MONTH($H506))+1))</f>
        <v/>
      </c>
      <c r="N506" s="62">
        <f>IF(OR($J506="",$B506=""),0,IF(YEAR($B506)*12+MONTH($B506)&lt;=YEAR($C$3)*12+MONTH($C$3),$G506,0))</f>
        <v/>
      </c>
      <c r="O506" s="62">
        <f>IF(OR($J506="",$B506=""),0,IF(YEAR($B506)*12+MONTH($B506)&lt;=YEAR($C$3)*12+MONTH($C$3)-1,$G506,0))</f>
        <v/>
      </c>
      <c r="P506" s="62">
        <f>$M506-$O506</f>
        <v/>
      </c>
      <c r="Q506" s="62">
        <f>($L506-$M506)-($N506-$O506)</f>
        <v/>
      </c>
      <c r="R506" s="62">
        <f>$L506-$N506</f>
        <v/>
      </c>
    </row>
    <row r="507">
      <c r="A507" s="59">
        <f>ROW()-5</f>
        <v/>
      </c>
      <c r="B507" s="60">
        <f>IFERROR(INDEX(tbl_Finance[Date],$A507),"")</f>
        <v/>
      </c>
      <c r="C507" s="61">
        <f>IFERROR(INDEX(tbl_Finance[Xero Invoice No],$A507),"")</f>
        <v/>
      </c>
      <c r="D507" s="61">
        <f>IFERROR(INDEX(tbl_Finance[Client],$A507),"")</f>
        <v/>
      </c>
      <c r="E507" s="61">
        <f>IFERROR(INDEX(tbl_Finance[Job Number],$A507),"")</f>
        <v/>
      </c>
      <c r="F507" s="61">
        <f>IFERROR(INDEX(tbl_Finance[Cost Centre],$A507),"")</f>
        <v/>
      </c>
      <c r="G507" s="62">
        <f>IFERROR(INDEX(tbl_Finance[Ex GST],$A507),"")</f>
        <v/>
      </c>
      <c r="H507" s="60">
        <f>IFERROR(INDEX(tbl_Finance[Defer Start],$A507),"")</f>
        <v/>
      </c>
      <c r="I507" s="60">
        <f>IFERROR(INDEX(tbl_Finance[Defer End],$A507),"")</f>
        <v/>
      </c>
      <c r="J507" s="59">
        <f>IF(OR($H507="",$I507="",$G507=""),"",MAX(1,(YEAR($I507)-YEAR($H507))*12+MONTH($I507)-MONTH($H507)+1))</f>
        <v/>
      </c>
      <c r="K507" s="62">
        <f>IF($J507="","",$G507/$J507)</f>
        <v/>
      </c>
      <c r="L507" s="62">
        <f>IF($J507="",0,$K507*MAX(0,MIN(YEAR($C$3)*12+MONTH($C$3),YEAR($I507)*12+MONTH($I507))-(YEAR($H507)*12+MONTH($H507))+1))</f>
        <v/>
      </c>
      <c r="M507" s="62">
        <f>IF($J507="",0,$K507*MAX(0,MIN(YEAR($C$3)*12+MONTH($C$3)-1,YEAR($I507)*12+MONTH($I507))-(YEAR($H507)*12+MONTH($H507))+1))</f>
        <v/>
      </c>
      <c r="N507" s="62">
        <f>IF(OR($J507="",$B507=""),0,IF(YEAR($B507)*12+MONTH($B507)&lt;=YEAR($C$3)*12+MONTH($C$3),$G507,0))</f>
        <v/>
      </c>
      <c r="O507" s="62">
        <f>IF(OR($J507="",$B507=""),0,IF(YEAR($B507)*12+MONTH($B507)&lt;=YEAR($C$3)*12+MONTH($C$3)-1,$G507,0))</f>
        <v/>
      </c>
      <c r="P507" s="62">
        <f>$M507-$O507</f>
        <v/>
      </c>
      <c r="Q507" s="62">
        <f>($L507-$M507)-($N507-$O507)</f>
        <v/>
      </c>
      <c r="R507" s="62">
        <f>$L507-$N507</f>
        <v/>
      </c>
    </row>
    <row r="508">
      <c r="A508" s="59">
        <f>ROW()-5</f>
        <v/>
      </c>
      <c r="B508" s="60">
        <f>IFERROR(INDEX(tbl_Finance[Date],$A508),"")</f>
        <v/>
      </c>
      <c r="C508" s="61">
        <f>IFERROR(INDEX(tbl_Finance[Xero Invoice No],$A508),"")</f>
        <v/>
      </c>
      <c r="D508" s="61">
        <f>IFERROR(INDEX(tbl_Finance[Client],$A508),"")</f>
        <v/>
      </c>
      <c r="E508" s="61">
        <f>IFERROR(INDEX(tbl_Finance[Job Number],$A508),"")</f>
        <v/>
      </c>
      <c r="F508" s="61">
        <f>IFERROR(INDEX(tbl_Finance[Cost Centre],$A508),"")</f>
        <v/>
      </c>
      <c r="G508" s="62">
        <f>IFERROR(INDEX(tbl_Finance[Ex GST],$A508),"")</f>
        <v/>
      </c>
      <c r="H508" s="60">
        <f>IFERROR(INDEX(tbl_Finance[Defer Start],$A508),"")</f>
        <v/>
      </c>
      <c r="I508" s="60">
        <f>IFERROR(INDEX(tbl_Finance[Defer End],$A508),"")</f>
        <v/>
      </c>
      <c r="J508" s="59">
        <f>IF(OR($H508="",$I508="",$G508=""),"",MAX(1,(YEAR($I508)-YEAR($H508))*12+MONTH($I508)-MONTH($H508)+1))</f>
        <v/>
      </c>
      <c r="K508" s="62">
        <f>IF($J508="","",$G508/$J508)</f>
        <v/>
      </c>
      <c r="L508" s="62">
        <f>IF($J508="",0,$K508*MAX(0,MIN(YEAR($C$3)*12+MONTH($C$3),YEAR($I508)*12+MONTH($I508))-(YEAR($H508)*12+MONTH($H508))+1))</f>
        <v/>
      </c>
      <c r="M508" s="62">
        <f>IF($J508="",0,$K508*MAX(0,MIN(YEAR($C$3)*12+MONTH($C$3)-1,YEAR($I508)*12+MONTH($I508))-(YEAR($H508)*12+MONTH($H508))+1))</f>
        <v/>
      </c>
      <c r="N508" s="62">
        <f>IF(OR($J508="",$B508=""),0,IF(YEAR($B508)*12+MONTH($B508)&lt;=YEAR($C$3)*12+MONTH($C$3),$G508,0))</f>
        <v/>
      </c>
      <c r="O508" s="62">
        <f>IF(OR($J508="",$B508=""),0,IF(YEAR($B508)*12+MONTH($B508)&lt;=YEAR($C$3)*12+MONTH($C$3)-1,$G508,0))</f>
        <v/>
      </c>
      <c r="P508" s="62">
        <f>$M508-$O508</f>
        <v/>
      </c>
      <c r="Q508" s="62">
        <f>($L508-$M508)-($N508-$O508)</f>
        <v/>
      </c>
      <c r="R508" s="62">
        <f>$L508-$N508</f>
        <v/>
      </c>
    </row>
    <row r="509">
      <c r="A509" s="59">
        <f>ROW()-5</f>
        <v/>
      </c>
      <c r="B509" s="60">
        <f>IFERROR(INDEX(tbl_Finance[Date],$A509),"")</f>
        <v/>
      </c>
      <c r="C509" s="61">
        <f>IFERROR(INDEX(tbl_Finance[Xero Invoice No],$A509),"")</f>
        <v/>
      </c>
      <c r="D509" s="61">
        <f>IFERROR(INDEX(tbl_Finance[Client],$A509),"")</f>
        <v/>
      </c>
      <c r="E509" s="61">
        <f>IFERROR(INDEX(tbl_Finance[Job Number],$A509),"")</f>
        <v/>
      </c>
      <c r="F509" s="61">
        <f>IFERROR(INDEX(tbl_Finance[Cost Centre],$A509),"")</f>
        <v/>
      </c>
      <c r="G509" s="62">
        <f>IFERROR(INDEX(tbl_Finance[Ex GST],$A509),"")</f>
        <v/>
      </c>
      <c r="H509" s="60">
        <f>IFERROR(INDEX(tbl_Finance[Defer Start],$A509),"")</f>
        <v/>
      </c>
      <c r="I509" s="60">
        <f>IFERROR(INDEX(tbl_Finance[Defer End],$A509),"")</f>
        <v/>
      </c>
      <c r="J509" s="59">
        <f>IF(OR($H509="",$I509="",$G509=""),"",MAX(1,(YEAR($I509)-YEAR($H509))*12+MONTH($I509)-MONTH($H509)+1))</f>
        <v/>
      </c>
      <c r="K509" s="62">
        <f>IF($J509="","",$G509/$J509)</f>
        <v/>
      </c>
      <c r="L509" s="62">
        <f>IF($J509="",0,$K509*MAX(0,MIN(YEAR($C$3)*12+MONTH($C$3),YEAR($I509)*12+MONTH($I509))-(YEAR($H509)*12+MONTH($H509))+1))</f>
        <v/>
      </c>
      <c r="M509" s="62">
        <f>IF($J509="",0,$K509*MAX(0,MIN(YEAR($C$3)*12+MONTH($C$3)-1,YEAR($I509)*12+MONTH($I509))-(YEAR($H509)*12+MONTH($H509))+1))</f>
        <v/>
      </c>
      <c r="N509" s="62">
        <f>IF(OR($J509="",$B509=""),0,IF(YEAR($B509)*12+MONTH($B509)&lt;=YEAR($C$3)*12+MONTH($C$3),$G509,0))</f>
        <v/>
      </c>
      <c r="O509" s="62">
        <f>IF(OR($J509="",$B509=""),0,IF(YEAR($B509)*12+MONTH($B509)&lt;=YEAR($C$3)*12+MONTH($C$3)-1,$G509,0))</f>
        <v/>
      </c>
      <c r="P509" s="62">
        <f>$M509-$O509</f>
        <v/>
      </c>
      <c r="Q509" s="62">
        <f>($L509-$M509)-($N509-$O509)</f>
        <v/>
      </c>
      <c r="R509" s="62">
        <f>$L509-$N509</f>
        <v/>
      </c>
    </row>
    <row r="510">
      <c r="A510" s="59">
        <f>ROW()-5</f>
        <v/>
      </c>
      <c r="B510" s="60">
        <f>IFERROR(INDEX(tbl_Finance[Date],$A510),"")</f>
        <v/>
      </c>
      <c r="C510" s="61">
        <f>IFERROR(INDEX(tbl_Finance[Xero Invoice No],$A510),"")</f>
        <v/>
      </c>
      <c r="D510" s="61">
        <f>IFERROR(INDEX(tbl_Finance[Client],$A510),"")</f>
        <v/>
      </c>
      <c r="E510" s="61">
        <f>IFERROR(INDEX(tbl_Finance[Job Number],$A510),"")</f>
        <v/>
      </c>
      <c r="F510" s="61">
        <f>IFERROR(INDEX(tbl_Finance[Cost Centre],$A510),"")</f>
        <v/>
      </c>
      <c r="G510" s="62">
        <f>IFERROR(INDEX(tbl_Finance[Ex GST],$A510),"")</f>
        <v/>
      </c>
      <c r="H510" s="60">
        <f>IFERROR(INDEX(tbl_Finance[Defer Start],$A510),"")</f>
        <v/>
      </c>
      <c r="I510" s="60">
        <f>IFERROR(INDEX(tbl_Finance[Defer End],$A510),"")</f>
        <v/>
      </c>
      <c r="J510" s="59">
        <f>IF(OR($H510="",$I510="",$G510=""),"",MAX(1,(YEAR($I510)-YEAR($H510))*12+MONTH($I510)-MONTH($H510)+1))</f>
        <v/>
      </c>
      <c r="K510" s="62">
        <f>IF($J510="","",$G510/$J510)</f>
        <v/>
      </c>
      <c r="L510" s="62">
        <f>IF($J510="",0,$K510*MAX(0,MIN(YEAR($C$3)*12+MONTH($C$3),YEAR($I510)*12+MONTH($I510))-(YEAR($H510)*12+MONTH($H510))+1))</f>
        <v/>
      </c>
      <c r="M510" s="62">
        <f>IF($J510="",0,$K510*MAX(0,MIN(YEAR($C$3)*12+MONTH($C$3)-1,YEAR($I510)*12+MONTH($I510))-(YEAR($H510)*12+MONTH($H510))+1))</f>
        <v/>
      </c>
      <c r="N510" s="62">
        <f>IF(OR($J510="",$B510=""),0,IF(YEAR($B510)*12+MONTH($B510)&lt;=YEAR($C$3)*12+MONTH($C$3),$G510,0))</f>
        <v/>
      </c>
      <c r="O510" s="62">
        <f>IF(OR($J510="",$B510=""),0,IF(YEAR($B510)*12+MONTH($B510)&lt;=YEAR($C$3)*12+MONTH($C$3)-1,$G510,0))</f>
        <v/>
      </c>
      <c r="P510" s="62">
        <f>$M510-$O510</f>
        <v/>
      </c>
      <c r="Q510" s="62">
        <f>($L510-$M510)-($N510-$O510)</f>
        <v/>
      </c>
      <c r="R510" s="62">
        <f>$L510-$N510</f>
        <v/>
      </c>
    </row>
    <row r="511">
      <c r="A511" s="59">
        <f>ROW()-5</f>
        <v/>
      </c>
      <c r="B511" s="60">
        <f>IFERROR(INDEX(tbl_Finance[Date],$A511),"")</f>
        <v/>
      </c>
      <c r="C511" s="61">
        <f>IFERROR(INDEX(tbl_Finance[Xero Invoice No],$A511),"")</f>
        <v/>
      </c>
      <c r="D511" s="61">
        <f>IFERROR(INDEX(tbl_Finance[Client],$A511),"")</f>
        <v/>
      </c>
      <c r="E511" s="61">
        <f>IFERROR(INDEX(tbl_Finance[Job Number],$A511),"")</f>
        <v/>
      </c>
      <c r="F511" s="61">
        <f>IFERROR(INDEX(tbl_Finance[Cost Centre],$A511),"")</f>
        <v/>
      </c>
      <c r="G511" s="62">
        <f>IFERROR(INDEX(tbl_Finance[Ex GST],$A511),"")</f>
        <v/>
      </c>
      <c r="H511" s="60">
        <f>IFERROR(INDEX(tbl_Finance[Defer Start],$A511),"")</f>
        <v/>
      </c>
      <c r="I511" s="60">
        <f>IFERROR(INDEX(tbl_Finance[Defer End],$A511),"")</f>
        <v/>
      </c>
      <c r="J511" s="59">
        <f>IF(OR($H511="",$I511="",$G511=""),"",MAX(1,(YEAR($I511)-YEAR($H511))*12+MONTH($I511)-MONTH($H511)+1))</f>
        <v/>
      </c>
      <c r="K511" s="62">
        <f>IF($J511="","",$G511/$J511)</f>
        <v/>
      </c>
      <c r="L511" s="62">
        <f>IF($J511="",0,$K511*MAX(0,MIN(YEAR($C$3)*12+MONTH($C$3),YEAR($I511)*12+MONTH($I511))-(YEAR($H511)*12+MONTH($H511))+1))</f>
        <v/>
      </c>
      <c r="M511" s="62">
        <f>IF($J511="",0,$K511*MAX(0,MIN(YEAR($C$3)*12+MONTH($C$3)-1,YEAR($I511)*12+MONTH($I511))-(YEAR($H511)*12+MONTH($H511))+1))</f>
        <v/>
      </c>
      <c r="N511" s="62">
        <f>IF(OR($J511="",$B511=""),0,IF(YEAR($B511)*12+MONTH($B511)&lt;=YEAR($C$3)*12+MONTH($C$3),$G511,0))</f>
        <v/>
      </c>
      <c r="O511" s="62">
        <f>IF(OR($J511="",$B511=""),0,IF(YEAR($B511)*12+MONTH($B511)&lt;=YEAR($C$3)*12+MONTH($C$3)-1,$G511,0))</f>
        <v/>
      </c>
      <c r="P511" s="62">
        <f>$M511-$O511</f>
        <v/>
      </c>
      <c r="Q511" s="62">
        <f>($L511-$M511)-($N511-$O511)</f>
        <v/>
      </c>
      <c r="R511" s="62">
        <f>$L511-$N511</f>
        <v/>
      </c>
    </row>
    <row r="512">
      <c r="A512" s="59">
        <f>ROW()-5</f>
        <v/>
      </c>
      <c r="B512" s="60">
        <f>IFERROR(INDEX(tbl_Finance[Date],$A512),"")</f>
        <v/>
      </c>
      <c r="C512" s="61">
        <f>IFERROR(INDEX(tbl_Finance[Xero Invoice No],$A512),"")</f>
        <v/>
      </c>
      <c r="D512" s="61">
        <f>IFERROR(INDEX(tbl_Finance[Client],$A512),"")</f>
        <v/>
      </c>
      <c r="E512" s="61">
        <f>IFERROR(INDEX(tbl_Finance[Job Number],$A512),"")</f>
        <v/>
      </c>
      <c r="F512" s="61">
        <f>IFERROR(INDEX(tbl_Finance[Cost Centre],$A512),"")</f>
        <v/>
      </c>
      <c r="G512" s="62">
        <f>IFERROR(INDEX(tbl_Finance[Ex GST],$A512),"")</f>
        <v/>
      </c>
      <c r="H512" s="60">
        <f>IFERROR(INDEX(tbl_Finance[Defer Start],$A512),"")</f>
        <v/>
      </c>
      <c r="I512" s="60">
        <f>IFERROR(INDEX(tbl_Finance[Defer End],$A512),"")</f>
        <v/>
      </c>
      <c r="J512" s="59">
        <f>IF(OR($H512="",$I512="",$G512=""),"",MAX(1,(YEAR($I512)-YEAR($H512))*12+MONTH($I512)-MONTH($H512)+1))</f>
        <v/>
      </c>
      <c r="K512" s="62">
        <f>IF($J512="","",$G512/$J512)</f>
        <v/>
      </c>
      <c r="L512" s="62">
        <f>IF($J512="",0,$K512*MAX(0,MIN(YEAR($C$3)*12+MONTH($C$3),YEAR($I512)*12+MONTH($I512))-(YEAR($H512)*12+MONTH($H512))+1))</f>
        <v/>
      </c>
      <c r="M512" s="62">
        <f>IF($J512="",0,$K512*MAX(0,MIN(YEAR($C$3)*12+MONTH($C$3)-1,YEAR($I512)*12+MONTH($I512))-(YEAR($H512)*12+MONTH($H512))+1))</f>
        <v/>
      </c>
      <c r="N512" s="62">
        <f>IF(OR($J512="",$B512=""),0,IF(YEAR($B512)*12+MONTH($B512)&lt;=YEAR($C$3)*12+MONTH($C$3),$G512,0))</f>
        <v/>
      </c>
      <c r="O512" s="62">
        <f>IF(OR($J512="",$B512=""),0,IF(YEAR($B512)*12+MONTH($B512)&lt;=YEAR($C$3)*12+MONTH($C$3)-1,$G512,0))</f>
        <v/>
      </c>
      <c r="P512" s="62">
        <f>$M512-$O512</f>
        <v/>
      </c>
      <c r="Q512" s="62">
        <f>($L512-$M512)-($N512-$O512)</f>
        <v/>
      </c>
      <c r="R512" s="62">
        <f>$L512-$N512</f>
        <v/>
      </c>
    </row>
    <row r="513">
      <c r="A513" s="59">
        <f>ROW()-5</f>
        <v/>
      </c>
      <c r="B513" s="60">
        <f>IFERROR(INDEX(tbl_Finance[Date],$A513),"")</f>
        <v/>
      </c>
      <c r="C513" s="61">
        <f>IFERROR(INDEX(tbl_Finance[Xero Invoice No],$A513),"")</f>
        <v/>
      </c>
      <c r="D513" s="61">
        <f>IFERROR(INDEX(tbl_Finance[Client],$A513),"")</f>
        <v/>
      </c>
      <c r="E513" s="61">
        <f>IFERROR(INDEX(tbl_Finance[Job Number],$A513),"")</f>
        <v/>
      </c>
      <c r="F513" s="61">
        <f>IFERROR(INDEX(tbl_Finance[Cost Centre],$A513),"")</f>
        <v/>
      </c>
      <c r="G513" s="62">
        <f>IFERROR(INDEX(tbl_Finance[Ex GST],$A513),"")</f>
        <v/>
      </c>
      <c r="H513" s="60">
        <f>IFERROR(INDEX(tbl_Finance[Defer Start],$A513),"")</f>
        <v/>
      </c>
      <c r="I513" s="60">
        <f>IFERROR(INDEX(tbl_Finance[Defer End],$A513),"")</f>
        <v/>
      </c>
      <c r="J513" s="59">
        <f>IF(OR($H513="",$I513="",$G513=""),"",MAX(1,(YEAR($I513)-YEAR($H513))*12+MONTH($I513)-MONTH($H513)+1))</f>
        <v/>
      </c>
      <c r="K513" s="62">
        <f>IF($J513="","",$G513/$J513)</f>
        <v/>
      </c>
      <c r="L513" s="62">
        <f>IF($J513="",0,$K513*MAX(0,MIN(YEAR($C$3)*12+MONTH($C$3),YEAR($I513)*12+MONTH($I513))-(YEAR($H513)*12+MONTH($H513))+1))</f>
        <v/>
      </c>
      <c r="M513" s="62">
        <f>IF($J513="",0,$K513*MAX(0,MIN(YEAR($C$3)*12+MONTH($C$3)-1,YEAR($I513)*12+MONTH($I513))-(YEAR($H513)*12+MONTH($H513))+1))</f>
        <v/>
      </c>
      <c r="N513" s="62">
        <f>IF(OR($J513="",$B513=""),0,IF(YEAR($B513)*12+MONTH($B513)&lt;=YEAR($C$3)*12+MONTH($C$3),$G513,0))</f>
        <v/>
      </c>
      <c r="O513" s="62">
        <f>IF(OR($J513="",$B513=""),0,IF(YEAR($B513)*12+MONTH($B513)&lt;=YEAR($C$3)*12+MONTH($C$3)-1,$G513,0))</f>
        <v/>
      </c>
      <c r="P513" s="62">
        <f>$M513-$O513</f>
        <v/>
      </c>
      <c r="Q513" s="62">
        <f>($L513-$M513)-($N513-$O513)</f>
        <v/>
      </c>
      <c r="R513" s="62">
        <f>$L513-$N513</f>
        <v/>
      </c>
    </row>
    <row r="514">
      <c r="A514" s="59">
        <f>ROW()-5</f>
        <v/>
      </c>
      <c r="B514" s="60">
        <f>IFERROR(INDEX(tbl_Finance[Date],$A514),"")</f>
        <v/>
      </c>
      <c r="C514" s="61">
        <f>IFERROR(INDEX(tbl_Finance[Xero Invoice No],$A514),"")</f>
        <v/>
      </c>
      <c r="D514" s="61">
        <f>IFERROR(INDEX(tbl_Finance[Client],$A514),"")</f>
        <v/>
      </c>
      <c r="E514" s="61">
        <f>IFERROR(INDEX(tbl_Finance[Job Number],$A514),"")</f>
        <v/>
      </c>
      <c r="F514" s="61">
        <f>IFERROR(INDEX(tbl_Finance[Cost Centre],$A514),"")</f>
        <v/>
      </c>
      <c r="G514" s="62">
        <f>IFERROR(INDEX(tbl_Finance[Ex GST],$A514),"")</f>
        <v/>
      </c>
      <c r="H514" s="60">
        <f>IFERROR(INDEX(tbl_Finance[Defer Start],$A514),"")</f>
        <v/>
      </c>
      <c r="I514" s="60">
        <f>IFERROR(INDEX(tbl_Finance[Defer End],$A514),"")</f>
        <v/>
      </c>
      <c r="J514" s="59">
        <f>IF(OR($H514="",$I514="",$G514=""),"",MAX(1,(YEAR($I514)-YEAR($H514))*12+MONTH($I514)-MONTH($H514)+1))</f>
        <v/>
      </c>
      <c r="K514" s="62">
        <f>IF($J514="","",$G514/$J514)</f>
        <v/>
      </c>
      <c r="L514" s="62">
        <f>IF($J514="",0,$K514*MAX(0,MIN(YEAR($C$3)*12+MONTH($C$3),YEAR($I514)*12+MONTH($I514))-(YEAR($H514)*12+MONTH($H514))+1))</f>
        <v/>
      </c>
      <c r="M514" s="62">
        <f>IF($J514="",0,$K514*MAX(0,MIN(YEAR($C$3)*12+MONTH($C$3)-1,YEAR($I514)*12+MONTH($I514))-(YEAR($H514)*12+MONTH($H514))+1))</f>
        <v/>
      </c>
      <c r="N514" s="62">
        <f>IF(OR($J514="",$B514=""),0,IF(YEAR($B514)*12+MONTH($B514)&lt;=YEAR($C$3)*12+MONTH($C$3),$G514,0))</f>
        <v/>
      </c>
      <c r="O514" s="62">
        <f>IF(OR($J514="",$B514=""),0,IF(YEAR($B514)*12+MONTH($B514)&lt;=YEAR($C$3)*12+MONTH($C$3)-1,$G514,0))</f>
        <v/>
      </c>
      <c r="P514" s="62">
        <f>$M514-$O514</f>
        <v/>
      </c>
      <c r="Q514" s="62">
        <f>($L514-$M514)-($N514-$O514)</f>
        <v/>
      </c>
      <c r="R514" s="62">
        <f>$L514-$N514</f>
        <v/>
      </c>
    </row>
    <row r="515">
      <c r="A515" s="59">
        <f>ROW()-5</f>
        <v/>
      </c>
      <c r="B515" s="60">
        <f>IFERROR(INDEX(tbl_Finance[Date],$A515),"")</f>
        <v/>
      </c>
      <c r="C515" s="61">
        <f>IFERROR(INDEX(tbl_Finance[Xero Invoice No],$A515),"")</f>
        <v/>
      </c>
      <c r="D515" s="61">
        <f>IFERROR(INDEX(tbl_Finance[Client],$A515),"")</f>
        <v/>
      </c>
      <c r="E515" s="61">
        <f>IFERROR(INDEX(tbl_Finance[Job Number],$A515),"")</f>
        <v/>
      </c>
      <c r="F515" s="61">
        <f>IFERROR(INDEX(tbl_Finance[Cost Centre],$A515),"")</f>
        <v/>
      </c>
      <c r="G515" s="62">
        <f>IFERROR(INDEX(tbl_Finance[Ex GST],$A515),"")</f>
        <v/>
      </c>
      <c r="H515" s="60">
        <f>IFERROR(INDEX(tbl_Finance[Defer Start],$A515),"")</f>
        <v/>
      </c>
      <c r="I515" s="60">
        <f>IFERROR(INDEX(tbl_Finance[Defer End],$A515),"")</f>
        <v/>
      </c>
      <c r="J515" s="59">
        <f>IF(OR($H515="",$I515="",$G515=""),"",MAX(1,(YEAR($I515)-YEAR($H515))*12+MONTH($I515)-MONTH($H515)+1))</f>
        <v/>
      </c>
      <c r="K515" s="62">
        <f>IF($J515="","",$G515/$J515)</f>
        <v/>
      </c>
      <c r="L515" s="62">
        <f>IF($J515="",0,$K515*MAX(0,MIN(YEAR($C$3)*12+MONTH($C$3),YEAR($I515)*12+MONTH($I515))-(YEAR($H515)*12+MONTH($H515))+1))</f>
        <v/>
      </c>
      <c r="M515" s="62">
        <f>IF($J515="",0,$K515*MAX(0,MIN(YEAR($C$3)*12+MONTH($C$3)-1,YEAR($I515)*12+MONTH($I515))-(YEAR($H515)*12+MONTH($H515))+1))</f>
        <v/>
      </c>
      <c r="N515" s="62">
        <f>IF(OR($J515="",$B515=""),0,IF(YEAR($B515)*12+MONTH($B515)&lt;=YEAR($C$3)*12+MONTH($C$3),$G515,0))</f>
        <v/>
      </c>
      <c r="O515" s="62">
        <f>IF(OR($J515="",$B515=""),0,IF(YEAR($B515)*12+MONTH($B515)&lt;=YEAR($C$3)*12+MONTH($C$3)-1,$G515,0))</f>
        <v/>
      </c>
      <c r="P515" s="62">
        <f>$M515-$O515</f>
        <v/>
      </c>
      <c r="Q515" s="62">
        <f>($L515-$M515)-($N515-$O515)</f>
        <v/>
      </c>
      <c r="R515" s="62">
        <f>$L515-$N515</f>
        <v/>
      </c>
    </row>
    <row r="516">
      <c r="A516" s="59">
        <f>ROW()-5</f>
        <v/>
      </c>
      <c r="B516" s="60">
        <f>IFERROR(INDEX(tbl_Finance[Date],$A516),"")</f>
        <v/>
      </c>
      <c r="C516" s="61">
        <f>IFERROR(INDEX(tbl_Finance[Xero Invoice No],$A516),"")</f>
        <v/>
      </c>
      <c r="D516" s="61">
        <f>IFERROR(INDEX(tbl_Finance[Client],$A516),"")</f>
        <v/>
      </c>
      <c r="E516" s="61">
        <f>IFERROR(INDEX(tbl_Finance[Job Number],$A516),"")</f>
        <v/>
      </c>
      <c r="F516" s="61">
        <f>IFERROR(INDEX(tbl_Finance[Cost Centre],$A516),"")</f>
        <v/>
      </c>
      <c r="G516" s="62">
        <f>IFERROR(INDEX(tbl_Finance[Ex GST],$A516),"")</f>
        <v/>
      </c>
      <c r="H516" s="60">
        <f>IFERROR(INDEX(tbl_Finance[Defer Start],$A516),"")</f>
        <v/>
      </c>
      <c r="I516" s="60">
        <f>IFERROR(INDEX(tbl_Finance[Defer End],$A516),"")</f>
        <v/>
      </c>
      <c r="J516" s="59">
        <f>IF(OR($H516="",$I516="",$G516=""),"",MAX(1,(YEAR($I516)-YEAR($H516))*12+MONTH($I516)-MONTH($H516)+1))</f>
        <v/>
      </c>
      <c r="K516" s="62">
        <f>IF($J516="","",$G516/$J516)</f>
        <v/>
      </c>
      <c r="L516" s="62">
        <f>IF($J516="",0,$K516*MAX(0,MIN(YEAR($C$3)*12+MONTH($C$3),YEAR($I516)*12+MONTH($I516))-(YEAR($H516)*12+MONTH($H516))+1))</f>
        <v/>
      </c>
      <c r="M516" s="62">
        <f>IF($J516="",0,$K516*MAX(0,MIN(YEAR($C$3)*12+MONTH($C$3)-1,YEAR($I516)*12+MONTH($I516))-(YEAR($H516)*12+MONTH($H516))+1))</f>
        <v/>
      </c>
      <c r="N516" s="62">
        <f>IF(OR($J516="",$B516=""),0,IF(YEAR($B516)*12+MONTH($B516)&lt;=YEAR($C$3)*12+MONTH($C$3),$G516,0))</f>
        <v/>
      </c>
      <c r="O516" s="62">
        <f>IF(OR($J516="",$B516=""),0,IF(YEAR($B516)*12+MONTH($B516)&lt;=YEAR($C$3)*12+MONTH($C$3)-1,$G516,0))</f>
        <v/>
      </c>
      <c r="P516" s="62">
        <f>$M516-$O516</f>
        <v/>
      </c>
      <c r="Q516" s="62">
        <f>($L516-$M516)-($N516-$O516)</f>
        <v/>
      </c>
      <c r="R516" s="62">
        <f>$L516-$N516</f>
        <v/>
      </c>
    </row>
    <row r="517">
      <c r="A517" s="59">
        <f>ROW()-5</f>
        <v/>
      </c>
      <c r="B517" s="60">
        <f>IFERROR(INDEX(tbl_Finance[Date],$A517),"")</f>
        <v/>
      </c>
      <c r="C517" s="61">
        <f>IFERROR(INDEX(tbl_Finance[Xero Invoice No],$A517),"")</f>
        <v/>
      </c>
      <c r="D517" s="61">
        <f>IFERROR(INDEX(tbl_Finance[Client],$A517),"")</f>
        <v/>
      </c>
      <c r="E517" s="61">
        <f>IFERROR(INDEX(tbl_Finance[Job Number],$A517),"")</f>
        <v/>
      </c>
      <c r="F517" s="61">
        <f>IFERROR(INDEX(tbl_Finance[Cost Centre],$A517),"")</f>
        <v/>
      </c>
      <c r="G517" s="62">
        <f>IFERROR(INDEX(tbl_Finance[Ex GST],$A517),"")</f>
        <v/>
      </c>
      <c r="H517" s="60">
        <f>IFERROR(INDEX(tbl_Finance[Defer Start],$A517),"")</f>
        <v/>
      </c>
      <c r="I517" s="60">
        <f>IFERROR(INDEX(tbl_Finance[Defer End],$A517),"")</f>
        <v/>
      </c>
      <c r="J517" s="59">
        <f>IF(OR($H517="",$I517="",$G517=""),"",MAX(1,(YEAR($I517)-YEAR($H517))*12+MONTH($I517)-MONTH($H517)+1))</f>
        <v/>
      </c>
      <c r="K517" s="62">
        <f>IF($J517="","",$G517/$J517)</f>
        <v/>
      </c>
      <c r="L517" s="62">
        <f>IF($J517="",0,$K517*MAX(0,MIN(YEAR($C$3)*12+MONTH($C$3),YEAR($I517)*12+MONTH($I517))-(YEAR($H517)*12+MONTH($H517))+1))</f>
        <v/>
      </c>
      <c r="M517" s="62">
        <f>IF($J517="",0,$K517*MAX(0,MIN(YEAR($C$3)*12+MONTH($C$3)-1,YEAR($I517)*12+MONTH($I517))-(YEAR($H517)*12+MONTH($H517))+1))</f>
        <v/>
      </c>
      <c r="N517" s="62">
        <f>IF(OR($J517="",$B517=""),0,IF(YEAR($B517)*12+MONTH($B517)&lt;=YEAR($C$3)*12+MONTH($C$3),$G517,0))</f>
        <v/>
      </c>
      <c r="O517" s="62">
        <f>IF(OR($J517="",$B517=""),0,IF(YEAR($B517)*12+MONTH($B517)&lt;=YEAR($C$3)*12+MONTH($C$3)-1,$G517,0))</f>
        <v/>
      </c>
      <c r="P517" s="62">
        <f>$M517-$O517</f>
        <v/>
      </c>
      <c r="Q517" s="62">
        <f>($L517-$M517)-($N517-$O517)</f>
        <v/>
      </c>
      <c r="R517" s="62">
        <f>$L517-$N517</f>
        <v/>
      </c>
    </row>
    <row r="518">
      <c r="A518" s="59">
        <f>ROW()-5</f>
        <v/>
      </c>
      <c r="B518" s="60">
        <f>IFERROR(INDEX(tbl_Finance[Date],$A518),"")</f>
        <v/>
      </c>
      <c r="C518" s="61">
        <f>IFERROR(INDEX(tbl_Finance[Xero Invoice No],$A518),"")</f>
        <v/>
      </c>
      <c r="D518" s="61">
        <f>IFERROR(INDEX(tbl_Finance[Client],$A518),"")</f>
        <v/>
      </c>
      <c r="E518" s="61">
        <f>IFERROR(INDEX(tbl_Finance[Job Number],$A518),"")</f>
        <v/>
      </c>
      <c r="F518" s="61">
        <f>IFERROR(INDEX(tbl_Finance[Cost Centre],$A518),"")</f>
        <v/>
      </c>
      <c r="G518" s="62">
        <f>IFERROR(INDEX(tbl_Finance[Ex GST],$A518),"")</f>
        <v/>
      </c>
      <c r="H518" s="60">
        <f>IFERROR(INDEX(tbl_Finance[Defer Start],$A518),"")</f>
        <v/>
      </c>
      <c r="I518" s="60">
        <f>IFERROR(INDEX(tbl_Finance[Defer End],$A518),"")</f>
        <v/>
      </c>
      <c r="J518" s="59">
        <f>IF(OR($H518="",$I518="",$G518=""),"",MAX(1,(YEAR($I518)-YEAR($H518))*12+MONTH($I518)-MONTH($H518)+1))</f>
        <v/>
      </c>
      <c r="K518" s="62">
        <f>IF($J518="","",$G518/$J518)</f>
        <v/>
      </c>
      <c r="L518" s="62">
        <f>IF($J518="",0,$K518*MAX(0,MIN(YEAR($C$3)*12+MONTH($C$3),YEAR($I518)*12+MONTH($I518))-(YEAR($H518)*12+MONTH($H518))+1))</f>
        <v/>
      </c>
      <c r="M518" s="62">
        <f>IF($J518="",0,$K518*MAX(0,MIN(YEAR($C$3)*12+MONTH($C$3)-1,YEAR($I518)*12+MONTH($I518))-(YEAR($H518)*12+MONTH($H518))+1))</f>
        <v/>
      </c>
      <c r="N518" s="62">
        <f>IF(OR($J518="",$B518=""),0,IF(YEAR($B518)*12+MONTH($B518)&lt;=YEAR($C$3)*12+MONTH($C$3),$G518,0))</f>
        <v/>
      </c>
      <c r="O518" s="62">
        <f>IF(OR($J518="",$B518=""),0,IF(YEAR($B518)*12+MONTH($B518)&lt;=YEAR($C$3)*12+MONTH($C$3)-1,$G518,0))</f>
        <v/>
      </c>
      <c r="P518" s="62">
        <f>$M518-$O518</f>
        <v/>
      </c>
      <c r="Q518" s="62">
        <f>($L518-$M518)-($N518-$O518)</f>
        <v/>
      </c>
      <c r="R518" s="62">
        <f>$L518-$N518</f>
        <v/>
      </c>
    </row>
    <row r="519">
      <c r="A519" s="59">
        <f>ROW()-5</f>
        <v/>
      </c>
      <c r="B519" s="60">
        <f>IFERROR(INDEX(tbl_Finance[Date],$A519),"")</f>
        <v/>
      </c>
      <c r="C519" s="61">
        <f>IFERROR(INDEX(tbl_Finance[Xero Invoice No],$A519),"")</f>
        <v/>
      </c>
      <c r="D519" s="61">
        <f>IFERROR(INDEX(tbl_Finance[Client],$A519),"")</f>
        <v/>
      </c>
      <c r="E519" s="61">
        <f>IFERROR(INDEX(tbl_Finance[Job Number],$A519),"")</f>
        <v/>
      </c>
      <c r="F519" s="61">
        <f>IFERROR(INDEX(tbl_Finance[Cost Centre],$A519),"")</f>
        <v/>
      </c>
      <c r="G519" s="62">
        <f>IFERROR(INDEX(tbl_Finance[Ex GST],$A519),"")</f>
        <v/>
      </c>
      <c r="H519" s="60">
        <f>IFERROR(INDEX(tbl_Finance[Defer Start],$A519),"")</f>
        <v/>
      </c>
      <c r="I519" s="60">
        <f>IFERROR(INDEX(tbl_Finance[Defer End],$A519),"")</f>
        <v/>
      </c>
      <c r="J519" s="59">
        <f>IF(OR($H519="",$I519="",$G519=""),"",MAX(1,(YEAR($I519)-YEAR($H519))*12+MONTH($I519)-MONTH($H519)+1))</f>
        <v/>
      </c>
      <c r="K519" s="62">
        <f>IF($J519="","",$G519/$J519)</f>
        <v/>
      </c>
      <c r="L519" s="62">
        <f>IF($J519="",0,$K519*MAX(0,MIN(YEAR($C$3)*12+MONTH($C$3),YEAR($I519)*12+MONTH($I519))-(YEAR($H519)*12+MONTH($H519))+1))</f>
        <v/>
      </c>
      <c r="M519" s="62">
        <f>IF($J519="",0,$K519*MAX(0,MIN(YEAR($C$3)*12+MONTH($C$3)-1,YEAR($I519)*12+MONTH($I519))-(YEAR($H519)*12+MONTH($H519))+1))</f>
        <v/>
      </c>
      <c r="N519" s="62">
        <f>IF(OR($J519="",$B519=""),0,IF(YEAR($B519)*12+MONTH($B519)&lt;=YEAR($C$3)*12+MONTH($C$3),$G519,0))</f>
        <v/>
      </c>
      <c r="O519" s="62">
        <f>IF(OR($J519="",$B519=""),0,IF(YEAR($B519)*12+MONTH($B519)&lt;=YEAR($C$3)*12+MONTH($C$3)-1,$G519,0))</f>
        <v/>
      </c>
      <c r="P519" s="62">
        <f>$M519-$O519</f>
        <v/>
      </c>
      <c r="Q519" s="62">
        <f>($L519-$M519)-($N519-$O519)</f>
        <v/>
      </c>
      <c r="R519" s="62">
        <f>$L519-$N519</f>
        <v/>
      </c>
    </row>
    <row r="520">
      <c r="A520" s="59">
        <f>ROW()-5</f>
        <v/>
      </c>
      <c r="B520" s="60">
        <f>IFERROR(INDEX(tbl_Finance[Date],$A520),"")</f>
        <v/>
      </c>
      <c r="C520" s="61">
        <f>IFERROR(INDEX(tbl_Finance[Xero Invoice No],$A520),"")</f>
        <v/>
      </c>
      <c r="D520" s="61">
        <f>IFERROR(INDEX(tbl_Finance[Client],$A520),"")</f>
        <v/>
      </c>
      <c r="E520" s="61">
        <f>IFERROR(INDEX(tbl_Finance[Job Number],$A520),"")</f>
        <v/>
      </c>
      <c r="F520" s="61">
        <f>IFERROR(INDEX(tbl_Finance[Cost Centre],$A520),"")</f>
        <v/>
      </c>
      <c r="G520" s="62">
        <f>IFERROR(INDEX(tbl_Finance[Ex GST],$A520),"")</f>
        <v/>
      </c>
      <c r="H520" s="60">
        <f>IFERROR(INDEX(tbl_Finance[Defer Start],$A520),"")</f>
        <v/>
      </c>
      <c r="I520" s="60">
        <f>IFERROR(INDEX(tbl_Finance[Defer End],$A520),"")</f>
        <v/>
      </c>
      <c r="J520" s="59">
        <f>IF(OR($H520="",$I520="",$G520=""),"",MAX(1,(YEAR($I520)-YEAR($H520))*12+MONTH($I520)-MONTH($H520)+1))</f>
        <v/>
      </c>
      <c r="K520" s="62">
        <f>IF($J520="","",$G520/$J520)</f>
        <v/>
      </c>
      <c r="L520" s="62">
        <f>IF($J520="",0,$K520*MAX(0,MIN(YEAR($C$3)*12+MONTH($C$3),YEAR($I520)*12+MONTH($I520))-(YEAR($H520)*12+MONTH($H520))+1))</f>
        <v/>
      </c>
      <c r="M520" s="62">
        <f>IF($J520="",0,$K520*MAX(0,MIN(YEAR($C$3)*12+MONTH($C$3)-1,YEAR($I520)*12+MONTH($I520))-(YEAR($H520)*12+MONTH($H520))+1))</f>
        <v/>
      </c>
      <c r="N520" s="62">
        <f>IF(OR($J520="",$B520=""),0,IF(YEAR($B520)*12+MONTH($B520)&lt;=YEAR($C$3)*12+MONTH($C$3),$G520,0))</f>
        <v/>
      </c>
      <c r="O520" s="62">
        <f>IF(OR($J520="",$B520=""),0,IF(YEAR($B520)*12+MONTH($B520)&lt;=YEAR($C$3)*12+MONTH($C$3)-1,$G520,0))</f>
        <v/>
      </c>
      <c r="P520" s="62">
        <f>$M520-$O520</f>
        <v/>
      </c>
      <c r="Q520" s="62">
        <f>($L520-$M520)-($N520-$O520)</f>
        <v/>
      </c>
      <c r="R520" s="62">
        <f>$L520-$N520</f>
        <v/>
      </c>
    </row>
    <row r="521">
      <c r="A521" s="59">
        <f>ROW()-5</f>
        <v/>
      </c>
      <c r="B521" s="60">
        <f>IFERROR(INDEX(tbl_Finance[Date],$A521),"")</f>
        <v/>
      </c>
      <c r="C521" s="61">
        <f>IFERROR(INDEX(tbl_Finance[Xero Invoice No],$A521),"")</f>
        <v/>
      </c>
      <c r="D521" s="61">
        <f>IFERROR(INDEX(tbl_Finance[Client],$A521),"")</f>
        <v/>
      </c>
      <c r="E521" s="61">
        <f>IFERROR(INDEX(tbl_Finance[Job Number],$A521),"")</f>
        <v/>
      </c>
      <c r="F521" s="61">
        <f>IFERROR(INDEX(tbl_Finance[Cost Centre],$A521),"")</f>
        <v/>
      </c>
      <c r="G521" s="62">
        <f>IFERROR(INDEX(tbl_Finance[Ex GST],$A521),"")</f>
        <v/>
      </c>
      <c r="H521" s="60">
        <f>IFERROR(INDEX(tbl_Finance[Defer Start],$A521),"")</f>
        <v/>
      </c>
      <c r="I521" s="60">
        <f>IFERROR(INDEX(tbl_Finance[Defer End],$A521),"")</f>
        <v/>
      </c>
      <c r="J521" s="59">
        <f>IF(OR($H521="",$I521="",$G521=""),"",MAX(1,(YEAR($I521)-YEAR($H521))*12+MONTH($I521)-MONTH($H521)+1))</f>
        <v/>
      </c>
      <c r="K521" s="62">
        <f>IF($J521="","",$G521/$J521)</f>
        <v/>
      </c>
      <c r="L521" s="62">
        <f>IF($J521="",0,$K521*MAX(0,MIN(YEAR($C$3)*12+MONTH($C$3),YEAR($I521)*12+MONTH($I521))-(YEAR($H521)*12+MONTH($H521))+1))</f>
        <v/>
      </c>
      <c r="M521" s="62">
        <f>IF($J521="",0,$K521*MAX(0,MIN(YEAR($C$3)*12+MONTH($C$3)-1,YEAR($I521)*12+MONTH($I521))-(YEAR($H521)*12+MONTH($H521))+1))</f>
        <v/>
      </c>
      <c r="N521" s="62">
        <f>IF(OR($J521="",$B521=""),0,IF(YEAR($B521)*12+MONTH($B521)&lt;=YEAR($C$3)*12+MONTH($C$3),$G521,0))</f>
        <v/>
      </c>
      <c r="O521" s="62">
        <f>IF(OR($J521="",$B521=""),0,IF(YEAR($B521)*12+MONTH($B521)&lt;=YEAR($C$3)*12+MONTH($C$3)-1,$G521,0))</f>
        <v/>
      </c>
      <c r="P521" s="62">
        <f>$M521-$O521</f>
        <v/>
      </c>
      <c r="Q521" s="62">
        <f>($L521-$M521)-($N521-$O521)</f>
        <v/>
      </c>
      <c r="R521" s="62">
        <f>$L521-$N521</f>
        <v/>
      </c>
    </row>
    <row r="522">
      <c r="A522" s="59">
        <f>ROW()-5</f>
        <v/>
      </c>
      <c r="B522" s="60">
        <f>IFERROR(INDEX(tbl_Finance[Date],$A522),"")</f>
        <v/>
      </c>
      <c r="C522" s="61">
        <f>IFERROR(INDEX(tbl_Finance[Xero Invoice No],$A522),"")</f>
        <v/>
      </c>
      <c r="D522" s="61">
        <f>IFERROR(INDEX(tbl_Finance[Client],$A522),"")</f>
        <v/>
      </c>
      <c r="E522" s="61">
        <f>IFERROR(INDEX(tbl_Finance[Job Number],$A522),"")</f>
        <v/>
      </c>
      <c r="F522" s="61">
        <f>IFERROR(INDEX(tbl_Finance[Cost Centre],$A522),"")</f>
        <v/>
      </c>
      <c r="G522" s="62">
        <f>IFERROR(INDEX(tbl_Finance[Ex GST],$A522),"")</f>
        <v/>
      </c>
      <c r="H522" s="60">
        <f>IFERROR(INDEX(tbl_Finance[Defer Start],$A522),"")</f>
        <v/>
      </c>
      <c r="I522" s="60">
        <f>IFERROR(INDEX(tbl_Finance[Defer End],$A522),"")</f>
        <v/>
      </c>
      <c r="J522" s="59">
        <f>IF(OR($H522="",$I522="",$G522=""),"",MAX(1,(YEAR($I522)-YEAR($H522))*12+MONTH($I522)-MONTH($H522)+1))</f>
        <v/>
      </c>
      <c r="K522" s="62">
        <f>IF($J522="","",$G522/$J522)</f>
        <v/>
      </c>
      <c r="L522" s="62">
        <f>IF($J522="",0,$K522*MAX(0,MIN(YEAR($C$3)*12+MONTH($C$3),YEAR($I522)*12+MONTH($I522))-(YEAR($H522)*12+MONTH($H522))+1))</f>
        <v/>
      </c>
      <c r="M522" s="62">
        <f>IF($J522="",0,$K522*MAX(0,MIN(YEAR($C$3)*12+MONTH($C$3)-1,YEAR($I522)*12+MONTH($I522))-(YEAR($H522)*12+MONTH($H522))+1))</f>
        <v/>
      </c>
      <c r="N522" s="62">
        <f>IF(OR($J522="",$B522=""),0,IF(YEAR($B522)*12+MONTH($B522)&lt;=YEAR($C$3)*12+MONTH($C$3),$G522,0))</f>
        <v/>
      </c>
      <c r="O522" s="62">
        <f>IF(OR($J522="",$B522=""),0,IF(YEAR($B522)*12+MONTH($B522)&lt;=YEAR($C$3)*12+MONTH($C$3)-1,$G522,0))</f>
        <v/>
      </c>
      <c r="P522" s="62">
        <f>$M522-$O522</f>
        <v/>
      </c>
      <c r="Q522" s="62">
        <f>($L522-$M522)-($N522-$O522)</f>
        <v/>
      </c>
      <c r="R522" s="62">
        <f>$L522-$N522</f>
        <v/>
      </c>
    </row>
    <row r="523">
      <c r="A523" s="59">
        <f>ROW()-5</f>
        <v/>
      </c>
      <c r="B523" s="60">
        <f>IFERROR(INDEX(tbl_Finance[Date],$A523),"")</f>
        <v/>
      </c>
      <c r="C523" s="61">
        <f>IFERROR(INDEX(tbl_Finance[Xero Invoice No],$A523),"")</f>
        <v/>
      </c>
      <c r="D523" s="61">
        <f>IFERROR(INDEX(tbl_Finance[Client],$A523),"")</f>
        <v/>
      </c>
      <c r="E523" s="61">
        <f>IFERROR(INDEX(tbl_Finance[Job Number],$A523),"")</f>
        <v/>
      </c>
      <c r="F523" s="61">
        <f>IFERROR(INDEX(tbl_Finance[Cost Centre],$A523),"")</f>
        <v/>
      </c>
      <c r="G523" s="62">
        <f>IFERROR(INDEX(tbl_Finance[Ex GST],$A523),"")</f>
        <v/>
      </c>
      <c r="H523" s="60">
        <f>IFERROR(INDEX(tbl_Finance[Defer Start],$A523),"")</f>
        <v/>
      </c>
      <c r="I523" s="60">
        <f>IFERROR(INDEX(tbl_Finance[Defer End],$A523),"")</f>
        <v/>
      </c>
      <c r="J523" s="59">
        <f>IF(OR($H523="",$I523="",$G523=""),"",MAX(1,(YEAR($I523)-YEAR($H523))*12+MONTH($I523)-MONTH($H523)+1))</f>
        <v/>
      </c>
      <c r="K523" s="62">
        <f>IF($J523="","",$G523/$J523)</f>
        <v/>
      </c>
      <c r="L523" s="62">
        <f>IF($J523="",0,$K523*MAX(0,MIN(YEAR($C$3)*12+MONTH($C$3),YEAR($I523)*12+MONTH($I523))-(YEAR($H523)*12+MONTH($H523))+1))</f>
        <v/>
      </c>
      <c r="M523" s="62">
        <f>IF($J523="",0,$K523*MAX(0,MIN(YEAR($C$3)*12+MONTH($C$3)-1,YEAR($I523)*12+MONTH($I523))-(YEAR($H523)*12+MONTH($H523))+1))</f>
        <v/>
      </c>
      <c r="N523" s="62">
        <f>IF(OR($J523="",$B523=""),0,IF(YEAR($B523)*12+MONTH($B523)&lt;=YEAR($C$3)*12+MONTH($C$3),$G523,0))</f>
        <v/>
      </c>
      <c r="O523" s="62">
        <f>IF(OR($J523="",$B523=""),0,IF(YEAR($B523)*12+MONTH($B523)&lt;=YEAR($C$3)*12+MONTH($C$3)-1,$G523,0))</f>
        <v/>
      </c>
      <c r="P523" s="62">
        <f>$M523-$O523</f>
        <v/>
      </c>
      <c r="Q523" s="62">
        <f>($L523-$M523)-($N523-$O523)</f>
        <v/>
      </c>
      <c r="R523" s="62">
        <f>$L523-$N523</f>
        <v/>
      </c>
    </row>
    <row r="524">
      <c r="A524" s="59">
        <f>ROW()-5</f>
        <v/>
      </c>
      <c r="B524" s="60">
        <f>IFERROR(INDEX(tbl_Finance[Date],$A524),"")</f>
        <v/>
      </c>
      <c r="C524" s="61">
        <f>IFERROR(INDEX(tbl_Finance[Xero Invoice No],$A524),"")</f>
        <v/>
      </c>
      <c r="D524" s="61">
        <f>IFERROR(INDEX(tbl_Finance[Client],$A524),"")</f>
        <v/>
      </c>
      <c r="E524" s="61">
        <f>IFERROR(INDEX(tbl_Finance[Job Number],$A524),"")</f>
        <v/>
      </c>
      <c r="F524" s="61">
        <f>IFERROR(INDEX(tbl_Finance[Cost Centre],$A524),"")</f>
        <v/>
      </c>
      <c r="G524" s="62">
        <f>IFERROR(INDEX(tbl_Finance[Ex GST],$A524),"")</f>
        <v/>
      </c>
      <c r="H524" s="60">
        <f>IFERROR(INDEX(tbl_Finance[Defer Start],$A524),"")</f>
        <v/>
      </c>
      <c r="I524" s="60">
        <f>IFERROR(INDEX(tbl_Finance[Defer End],$A524),"")</f>
        <v/>
      </c>
      <c r="J524" s="59">
        <f>IF(OR($H524="",$I524="",$G524=""),"",MAX(1,(YEAR($I524)-YEAR($H524))*12+MONTH($I524)-MONTH($H524)+1))</f>
        <v/>
      </c>
      <c r="K524" s="62">
        <f>IF($J524="","",$G524/$J524)</f>
        <v/>
      </c>
      <c r="L524" s="62">
        <f>IF($J524="",0,$K524*MAX(0,MIN(YEAR($C$3)*12+MONTH($C$3),YEAR($I524)*12+MONTH($I524))-(YEAR($H524)*12+MONTH($H524))+1))</f>
        <v/>
      </c>
      <c r="M524" s="62">
        <f>IF($J524="",0,$K524*MAX(0,MIN(YEAR($C$3)*12+MONTH($C$3)-1,YEAR($I524)*12+MONTH($I524))-(YEAR($H524)*12+MONTH($H524))+1))</f>
        <v/>
      </c>
      <c r="N524" s="62">
        <f>IF(OR($J524="",$B524=""),0,IF(YEAR($B524)*12+MONTH($B524)&lt;=YEAR($C$3)*12+MONTH($C$3),$G524,0))</f>
        <v/>
      </c>
      <c r="O524" s="62">
        <f>IF(OR($J524="",$B524=""),0,IF(YEAR($B524)*12+MONTH($B524)&lt;=YEAR($C$3)*12+MONTH($C$3)-1,$G524,0))</f>
        <v/>
      </c>
      <c r="P524" s="62">
        <f>$M524-$O524</f>
        <v/>
      </c>
      <c r="Q524" s="62">
        <f>($L524-$M524)-($N524-$O524)</f>
        <v/>
      </c>
      <c r="R524" s="62">
        <f>$L524-$N524</f>
        <v/>
      </c>
    </row>
    <row r="525">
      <c r="A525" s="59">
        <f>ROW()-5</f>
        <v/>
      </c>
      <c r="B525" s="60">
        <f>IFERROR(INDEX(tbl_Finance[Date],$A525),"")</f>
        <v/>
      </c>
      <c r="C525" s="61">
        <f>IFERROR(INDEX(tbl_Finance[Xero Invoice No],$A525),"")</f>
        <v/>
      </c>
      <c r="D525" s="61">
        <f>IFERROR(INDEX(tbl_Finance[Client],$A525),"")</f>
        <v/>
      </c>
      <c r="E525" s="61">
        <f>IFERROR(INDEX(tbl_Finance[Job Number],$A525),"")</f>
        <v/>
      </c>
      <c r="F525" s="61">
        <f>IFERROR(INDEX(tbl_Finance[Cost Centre],$A525),"")</f>
        <v/>
      </c>
      <c r="G525" s="62">
        <f>IFERROR(INDEX(tbl_Finance[Ex GST],$A525),"")</f>
        <v/>
      </c>
      <c r="H525" s="60">
        <f>IFERROR(INDEX(tbl_Finance[Defer Start],$A525),"")</f>
        <v/>
      </c>
      <c r="I525" s="60">
        <f>IFERROR(INDEX(tbl_Finance[Defer End],$A525),"")</f>
        <v/>
      </c>
      <c r="J525" s="59">
        <f>IF(OR($H525="",$I525="",$G525=""),"",MAX(1,(YEAR($I525)-YEAR($H525))*12+MONTH($I525)-MONTH($H525)+1))</f>
        <v/>
      </c>
      <c r="K525" s="62">
        <f>IF($J525="","",$G525/$J525)</f>
        <v/>
      </c>
      <c r="L525" s="62">
        <f>IF($J525="",0,$K525*MAX(0,MIN(YEAR($C$3)*12+MONTH($C$3),YEAR($I525)*12+MONTH($I525))-(YEAR($H525)*12+MONTH($H525))+1))</f>
        <v/>
      </c>
      <c r="M525" s="62">
        <f>IF($J525="",0,$K525*MAX(0,MIN(YEAR($C$3)*12+MONTH($C$3)-1,YEAR($I525)*12+MONTH($I525))-(YEAR($H525)*12+MONTH($H525))+1))</f>
        <v/>
      </c>
      <c r="N525" s="62">
        <f>IF(OR($J525="",$B525=""),0,IF(YEAR($B525)*12+MONTH($B525)&lt;=YEAR($C$3)*12+MONTH($C$3),$G525,0))</f>
        <v/>
      </c>
      <c r="O525" s="62">
        <f>IF(OR($J525="",$B525=""),0,IF(YEAR($B525)*12+MONTH($B525)&lt;=YEAR($C$3)*12+MONTH($C$3)-1,$G525,0))</f>
        <v/>
      </c>
      <c r="P525" s="62">
        <f>$M525-$O525</f>
        <v/>
      </c>
      <c r="Q525" s="62">
        <f>($L525-$M525)-($N525-$O525)</f>
        <v/>
      </c>
      <c r="R525" s="62">
        <f>$L525-$N525</f>
        <v/>
      </c>
    </row>
    <row r="526">
      <c r="A526" s="59">
        <f>ROW()-5</f>
        <v/>
      </c>
      <c r="B526" s="60">
        <f>IFERROR(INDEX(tbl_Finance[Date],$A526),"")</f>
        <v/>
      </c>
      <c r="C526" s="61">
        <f>IFERROR(INDEX(tbl_Finance[Xero Invoice No],$A526),"")</f>
        <v/>
      </c>
      <c r="D526" s="61">
        <f>IFERROR(INDEX(tbl_Finance[Client],$A526),"")</f>
        <v/>
      </c>
      <c r="E526" s="61">
        <f>IFERROR(INDEX(tbl_Finance[Job Number],$A526),"")</f>
        <v/>
      </c>
      <c r="F526" s="61">
        <f>IFERROR(INDEX(tbl_Finance[Cost Centre],$A526),"")</f>
        <v/>
      </c>
      <c r="G526" s="62">
        <f>IFERROR(INDEX(tbl_Finance[Ex GST],$A526),"")</f>
        <v/>
      </c>
      <c r="H526" s="60">
        <f>IFERROR(INDEX(tbl_Finance[Defer Start],$A526),"")</f>
        <v/>
      </c>
      <c r="I526" s="60">
        <f>IFERROR(INDEX(tbl_Finance[Defer End],$A526),"")</f>
        <v/>
      </c>
      <c r="J526" s="59">
        <f>IF(OR($H526="",$I526="",$G526=""),"",MAX(1,(YEAR($I526)-YEAR($H526))*12+MONTH($I526)-MONTH($H526)+1))</f>
        <v/>
      </c>
      <c r="K526" s="62">
        <f>IF($J526="","",$G526/$J526)</f>
        <v/>
      </c>
      <c r="L526" s="62">
        <f>IF($J526="",0,$K526*MAX(0,MIN(YEAR($C$3)*12+MONTH($C$3),YEAR($I526)*12+MONTH($I526))-(YEAR($H526)*12+MONTH($H526))+1))</f>
        <v/>
      </c>
      <c r="M526" s="62">
        <f>IF($J526="",0,$K526*MAX(0,MIN(YEAR($C$3)*12+MONTH($C$3)-1,YEAR($I526)*12+MONTH($I526))-(YEAR($H526)*12+MONTH($H526))+1))</f>
        <v/>
      </c>
      <c r="N526" s="62">
        <f>IF(OR($J526="",$B526=""),0,IF(YEAR($B526)*12+MONTH($B526)&lt;=YEAR($C$3)*12+MONTH($C$3),$G526,0))</f>
        <v/>
      </c>
      <c r="O526" s="62">
        <f>IF(OR($J526="",$B526=""),0,IF(YEAR($B526)*12+MONTH($B526)&lt;=YEAR($C$3)*12+MONTH($C$3)-1,$G526,0))</f>
        <v/>
      </c>
      <c r="P526" s="62">
        <f>$M526-$O526</f>
        <v/>
      </c>
      <c r="Q526" s="62">
        <f>($L526-$M526)-($N526-$O526)</f>
        <v/>
      </c>
      <c r="R526" s="62">
        <f>$L526-$N526</f>
        <v/>
      </c>
    </row>
    <row r="527">
      <c r="A527" s="59">
        <f>ROW()-5</f>
        <v/>
      </c>
      <c r="B527" s="60">
        <f>IFERROR(INDEX(tbl_Finance[Date],$A527),"")</f>
        <v/>
      </c>
      <c r="C527" s="61">
        <f>IFERROR(INDEX(tbl_Finance[Xero Invoice No],$A527),"")</f>
        <v/>
      </c>
      <c r="D527" s="61">
        <f>IFERROR(INDEX(tbl_Finance[Client],$A527),"")</f>
        <v/>
      </c>
      <c r="E527" s="61">
        <f>IFERROR(INDEX(tbl_Finance[Job Number],$A527),"")</f>
        <v/>
      </c>
      <c r="F527" s="61">
        <f>IFERROR(INDEX(tbl_Finance[Cost Centre],$A527),"")</f>
        <v/>
      </c>
      <c r="G527" s="62">
        <f>IFERROR(INDEX(tbl_Finance[Ex GST],$A527),"")</f>
        <v/>
      </c>
      <c r="H527" s="60">
        <f>IFERROR(INDEX(tbl_Finance[Defer Start],$A527),"")</f>
        <v/>
      </c>
      <c r="I527" s="60">
        <f>IFERROR(INDEX(tbl_Finance[Defer End],$A527),"")</f>
        <v/>
      </c>
      <c r="J527" s="59">
        <f>IF(OR($H527="",$I527="",$G527=""),"",MAX(1,(YEAR($I527)-YEAR($H527))*12+MONTH($I527)-MONTH($H527)+1))</f>
        <v/>
      </c>
      <c r="K527" s="62">
        <f>IF($J527="","",$G527/$J527)</f>
        <v/>
      </c>
      <c r="L527" s="62">
        <f>IF($J527="",0,$K527*MAX(0,MIN(YEAR($C$3)*12+MONTH($C$3),YEAR($I527)*12+MONTH($I527))-(YEAR($H527)*12+MONTH($H527))+1))</f>
        <v/>
      </c>
      <c r="M527" s="62">
        <f>IF($J527="",0,$K527*MAX(0,MIN(YEAR($C$3)*12+MONTH($C$3)-1,YEAR($I527)*12+MONTH($I527))-(YEAR($H527)*12+MONTH($H527))+1))</f>
        <v/>
      </c>
      <c r="N527" s="62">
        <f>IF(OR($J527="",$B527=""),0,IF(YEAR($B527)*12+MONTH($B527)&lt;=YEAR($C$3)*12+MONTH($C$3),$G527,0))</f>
        <v/>
      </c>
      <c r="O527" s="62">
        <f>IF(OR($J527="",$B527=""),0,IF(YEAR($B527)*12+MONTH($B527)&lt;=YEAR($C$3)*12+MONTH($C$3)-1,$G527,0))</f>
        <v/>
      </c>
      <c r="P527" s="62">
        <f>$M527-$O527</f>
        <v/>
      </c>
      <c r="Q527" s="62">
        <f>($L527-$M527)-($N527-$O527)</f>
        <v/>
      </c>
      <c r="R527" s="62">
        <f>$L527-$N527</f>
        <v/>
      </c>
    </row>
    <row r="528">
      <c r="A528" s="59">
        <f>ROW()-5</f>
        <v/>
      </c>
      <c r="B528" s="60">
        <f>IFERROR(INDEX(tbl_Finance[Date],$A528),"")</f>
        <v/>
      </c>
      <c r="C528" s="61">
        <f>IFERROR(INDEX(tbl_Finance[Xero Invoice No],$A528),"")</f>
        <v/>
      </c>
      <c r="D528" s="61">
        <f>IFERROR(INDEX(tbl_Finance[Client],$A528),"")</f>
        <v/>
      </c>
      <c r="E528" s="61">
        <f>IFERROR(INDEX(tbl_Finance[Job Number],$A528),"")</f>
        <v/>
      </c>
      <c r="F528" s="61">
        <f>IFERROR(INDEX(tbl_Finance[Cost Centre],$A528),"")</f>
        <v/>
      </c>
      <c r="G528" s="62">
        <f>IFERROR(INDEX(tbl_Finance[Ex GST],$A528),"")</f>
        <v/>
      </c>
      <c r="H528" s="60">
        <f>IFERROR(INDEX(tbl_Finance[Defer Start],$A528),"")</f>
        <v/>
      </c>
      <c r="I528" s="60">
        <f>IFERROR(INDEX(tbl_Finance[Defer End],$A528),"")</f>
        <v/>
      </c>
      <c r="J528" s="59">
        <f>IF(OR($H528="",$I528="",$G528=""),"",MAX(1,(YEAR($I528)-YEAR($H528))*12+MONTH($I528)-MONTH($H528)+1))</f>
        <v/>
      </c>
      <c r="K528" s="62">
        <f>IF($J528="","",$G528/$J528)</f>
        <v/>
      </c>
      <c r="L528" s="62">
        <f>IF($J528="",0,$K528*MAX(0,MIN(YEAR($C$3)*12+MONTH($C$3),YEAR($I528)*12+MONTH($I528))-(YEAR($H528)*12+MONTH($H528))+1))</f>
        <v/>
      </c>
      <c r="M528" s="62">
        <f>IF($J528="",0,$K528*MAX(0,MIN(YEAR($C$3)*12+MONTH($C$3)-1,YEAR($I528)*12+MONTH($I528))-(YEAR($H528)*12+MONTH($H528))+1))</f>
        <v/>
      </c>
      <c r="N528" s="62">
        <f>IF(OR($J528="",$B528=""),0,IF(YEAR($B528)*12+MONTH($B528)&lt;=YEAR($C$3)*12+MONTH($C$3),$G528,0))</f>
        <v/>
      </c>
      <c r="O528" s="62">
        <f>IF(OR($J528="",$B528=""),0,IF(YEAR($B528)*12+MONTH($B528)&lt;=YEAR($C$3)*12+MONTH($C$3)-1,$G528,0))</f>
        <v/>
      </c>
      <c r="P528" s="62">
        <f>$M528-$O528</f>
        <v/>
      </c>
      <c r="Q528" s="62">
        <f>($L528-$M528)-($N528-$O528)</f>
        <v/>
      </c>
      <c r="R528" s="62">
        <f>$L528-$N528</f>
        <v/>
      </c>
    </row>
    <row r="529">
      <c r="A529" s="59">
        <f>ROW()-5</f>
        <v/>
      </c>
      <c r="B529" s="60">
        <f>IFERROR(INDEX(tbl_Finance[Date],$A529),"")</f>
        <v/>
      </c>
      <c r="C529" s="61">
        <f>IFERROR(INDEX(tbl_Finance[Xero Invoice No],$A529),"")</f>
        <v/>
      </c>
      <c r="D529" s="61">
        <f>IFERROR(INDEX(tbl_Finance[Client],$A529),"")</f>
        <v/>
      </c>
      <c r="E529" s="61">
        <f>IFERROR(INDEX(tbl_Finance[Job Number],$A529),"")</f>
        <v/>
      </c>
      <c r="F529" s="61">
        <f>IFERROR(INDEX(tbl_Finance[Cost Centre],$A529),"")</f>
        <v/>
      </c>
      <c r="G529" s="62">
        <f>IFERROR(INDEX(tbl_Finance[Ex GST],$A529),"")</f>
        <v/>
      </c>
      <c r="H529" s="60">
        <f>IFERROR(INDEX(tbl_Finance[Defer Start],$A529),"")</f>
        <v/>
      </c>
      <c r="I529" s="60">
        <f>IFERROR(INDEX(tbl_Finance[Defer End],$A529),"")</f>
        <v/>
      </c>
      <c r="J529" s="59">
        <f>IF(OR($H529="",$I529="",$G529=""),"",MAX(1,(YEAR($I529)-YEAR($H529))*12+MONTH($I529)-MONTH($H529)+1))</f>
        <v/>
      </c>
      <c r="K529" s="62">
        <f>IF($J529="","",$G529/$J529)</f>
        <v/>
      </c>
      <c r="L529" s="62">
        <f>IF($J529="",0,$K529*MAX(0,MIN(YEAR($C$3)*12+MONTH($C$3),YEAR($I529)*12+MONTH($I529))-(YEAR($H529)*12+MONTH($H529))+1))</f>
        <v/>
      </c>
      <c r="M529" s="62">
        <f>IF($J529="",0,$K529*MAX(0,MIN(YEAR($C$3)*12+MONTH($C$3)-1,YEAR($I529)*12+MONTH($I529))-(YEAR($H529)*12+MONTH($H529))+1))</f>
        <v/>
      </c>
      <c r="N529" s="62">
        <f>IF(OR($J529="",$B529=""),0,IF(YEAR($B529)*12+MONTH($B529)&lt;=YEAR($C$3)*12+MONTH($C$3),$G529,0))</f>
        <v/>
      </c>
      <c r="O529" s="62">
        <f>IF(OR($J529="",$B529=""),0,IF(YEAR($B529)*12+MONTH($B529)&lt;=YEAR($C$3)*12+MONTH($C$3)-1,$G529,0))</f>
        <v/>
      </c>
      <c r="P529" s="62">
        <f>$M529-$O529</f>
        <v/>
      </c>
      <c r="Q529" s="62">
        <f>($L529-$M529)-($N529-$O529)</f>
        <v/>
      </c>
      <c r="R529" s="62">
        <f>$L529-$N529</f>
        <v/>
      </c>
    </row>
    <row r="530">
      <c r="A530" s="59">
        <f>ROW()-5</f>
        <v/>
      </c>
      <c r="B530" s="60">
        <f>IFERROR(INDEX(tbl_Finance[Date],$A530),"")</f>
        <v/>
      </c>
      <c r="C530" s="61">
        <f>IFERROR(INDEX(tbl_Finance[Xero Invoice No],$A530),"")</f>
        <v/>
      </c>
      <c r="D530" s="61">
        <f>IFERROR(INDEX(tbl_Finance[Client],$A530),"")</f>
        <v/>
      </c>
      <c r="E530" s="61">
        <f>IFERROR(INDEX(tbl_Finance[Job Number],$A530),"")</f>
        <v/>
      </c>
      <c r="F530" s="61">
        <f>IFERROR(INDEX(tbl_Finance[Cost Centre],$A530),"")</f>
        <v/>
      </c>
      <c r="G530" s="62">
        <f>IFERROR(INDEX(tbl_Finance[Ex GST],$A530),"")</f>
        <v/>
      </c>
      <c r="H530" s="60">
        <f>IFERROR(INDEX(tbl_Finance[Defer Start],$A530),"")</f>
        <v/>
      </c>
      <c r="I530" s="60">
        <f>IFERROR(INDEX(tbl_Finance[Defer End],$A530),"")</f>
        <v/>
      </c>
      <c r="J530" s="59">
        <f>IF(OR($H530="",$I530="",$G530=""),"",MAX(1,(YEAR($I530)-YEAR($H530))*12+MONTH($I530)-MONTH($H530)+1))</f>
        <v/>
      </c>
      <c r="K530" s="62">
        <f>IF($J530="","",$G530/$J530)</f>
        <v/>
      </c>
      <c r="L530" s="62">
        <f>IF($J530="",0,$K530*MAX(0,MIN(YEAR($C$3)*12+MONTH($C$3),YEAR($I530)*12+MONTH($I530))-(YEAR($H530)*12+MONTH($H530))+1))</f>
        <v/>
      </c>
      <c r="M530" s="62">
        <f>IF($J530="",0,$K530*MAX(0,MIN(YEAR($C$3)*12+MONTH($C$3)-1,YEAR($I530)*12+MONTH($I530))-(YEAR($H530)*12+MONTH($H530))+1))</f>
        <v/>
      </c>
      <c r="N530" s="62">
        <f>IF(OR($J530="",$B530=""),0,IF(YEAR($B530)*12+MONTH($B530)&lt;=YEAR($C$3)*12+MONTH($C$3),$G530,0))</f>
        <v/>
      </c>
      <c r="O530" s="62">
        <f>IF(OR($J530="",$B530=""),0,IF(YEAR($B530)*12+MONTH($B530)&lt;=YEAR($C$3)*12+MONTH($C$3)-1,$G530,0))</f>
        <v/>
      </c>
      <c r="P530" s="62">
        <f>$M530-$O530</f>
        <v/>
      </c>
      <c r="Q530" s="62">
        <f>($L530-$M530)-($N530-$O530)</f>
        <v/>
      </c>
      <c r="R530" s="62">
        <f>$L530-$N530</f>
        <v/>
      </c>
    </row>
    <row r="531">
      <c r="A531" s="59">
        <f>ROW()-5</f>
        <v/>
      </c>
      <c r="B531" s="60">
        <f>IFERROR(INDEX(tbl_Finance[Date],$A531),"")</f>
        <v/>
      </c>
      <c r="C531" s="61">
        <f>IFERROR(INDEX(tbl_Finance[Xero Invoice No],$A531),"")</f>
        <v/>
      </c>
      <c r="D531" s="61">
        <f>IFERROR(INDEX(tbl_Finance[Client],$A531),"")</f>
        <v/>
      </c>
      <c r="E531" s="61">
        <f>IFERROR(INDEX(tbl_Finance[Job Number],$A531),"")</f>
        <v/>
      </c>
      <c r="F531" s="61">
        <f>IFERROR(INDEX(tbl_Finance[Cost Centre],$A531),"")</f>
        <v/>
      </c>
      <c r="G531" s="62">
        <f>IFERROR(INDEX(tbl_Finance[Ex GST],$A531),"")</f>
        <v/>
      </c>
      <c r="H531" s="60">
        <f>IFERROR(INDEX(tbl_Finance[Defer Start],$A531),"")</f>
        <v/>
      </c>
      <c r="I531" s="60">
        <f>IFERROR(INDEX(tbl_Finance[Defer End],$A531),"")</f>
        <v/>
      </c>
      <c r="J531" s="59">
        <f>IF(OR($H531="",$I531="",$G531=""),"",MAX(1,(YEAR($I531)-YEAR($H531))*12+MONTH($I531)-MONTH($H531)+1))</f>
        <v/>
      </c>
      <c r="K531" s="62">
        <f>IF($J531="","",$G531/$J531)</f>
        <v/>
      </c>
      <c r="L531" s="62">
        <f>IF($J531="",0,$K531*MAX(0,MIN(YEAR($C$3)*12+MONTH($C$3),YEAR($I531)*12+MONTH($I531))-(YEAR($H531)*12+MONTH($H531))+1))</f>
        <v/>
      </c>
      <c r="M531" s="62">
        <f>IF($J531="",0,$K531*MAX(0,MIN(YEAR($C$3)*12+MONTH($C$3)-1,YEAR($I531)*12+MONTH($I531))-(YEAR($H531)*12+MONTH($H531))+1))</f>
        <v/>
      </c>
      <c r="N531" s="62">
        <f>IF(OR($J531="",$B531=""),0,IF(YEAR($B531)*12+MONTH($B531)&lt;=YEAR($C$3)*12+MONTH($C$3),$G531,0))</f>
        <v/>
      </c>
      <c r="O531" s="62">
        <f>IF(OR($J531="",$B531=""),0,IF(YEAR($B531)*12+MONTH($B531)&lt;=YEAR($C$3)*12+MONTH($C$3)-1,$G531,0))</f>
        <v/>
      </c>
      <c r="P531" s="62">
        <f>$M531-$O531</f>
        <v/>
      </c>
      <c r="Q531" s="62">
        <f>($L531-$M531)-($N531-$O531)</f>
        <v/>
      </c>
      <c r="R531" s="62">
        <f>$L531-$N531</f>
        <v/>
      </c>
    </row>
    <row r="532">
      <c r="A532" s="59">
        <f>ROW()-5</f>
        <v/>
      </c>
      <c r="B532" s="60">
        <f>IFERROR(INDEX(tbl_Finance[Date],$A532),"")</f>
        <v/>
      </c>
      <c r="C532" s="61">
        <f>IFERROR(INDEX(tbl_Finance[Xero Invoice No],$A532),"")</f>
        <v/>
      </c>
      <c r="D532" s="61">
        <f>IFERROR(INDEX(tbl_Finance[Client],$A532),"")</f>
        <v/>
      </c>
      <c r="E532" s="61">
        <f>IFERROR(INDEX(tbl_Finance[Job Number],$A532),"")</f>
        <v/>
      </c>
      <c r="F532" s="61">
        <f>IFERROR(INDEX(tbl_Finance[Cost Centre],$A532),"")</f>
        <v/>
      </c>
      <c r="G532" s="62">
        <f>IFERROR(INDEX(tbl_Finance[Ex GST],$A532),"")</f>
        <v/>
      </c>
      <c r="H532" s="60">
        <f>IFERROR(INDEX(tbl_Finance[Defer Start],$A532),"")</f>
        <v/>
      </c>
      <c r="I532" s="60">
        <f>IFERROR(INDEX(tbl_Finance[Defer End],$A532),"")</f>
        <v/>
      </c>
      <c r="J532" s="59">
        <f>IF(OR($H532="",$I532="",$G532=""),"",MAX(1,(YEAR($I532)-YEAR($H532))*12+MONTH($I532)-MONTH($H532)+1))</f>
        <v/>
      </c>
      <c r="K532" s="62">
        <f>IF($J532="","",$G532/$J532)</f>
        <v/>
      </c>
      <c r="L532" s="62">
        <f>IF($J532="",0,$K532*MAX(0,MIN(YEAR($C$3)*12+MONTH($C$3),YEAR($I532)*12+MONTH($I532))-(YEAR($H532)*12+MONTH($H532))+1))</f>
        <v/>
      </c>
      <c r="M532" s="62">
        <f>IF($J532="",0,$K532*MAX(0,MIN(YEAR($C$3)*12+MONTH($C$3)-1,YEAR($I532)*12+MONTH($I532))-(YEAR($H532)*12+MONTH($H532))+1))</f>
        <v/>
      </c>
      <c r="N532" s="62">
        <f>IF(OR($J532="",$B532=""),0,IF(YEAR($B532)*12+MONTH($B532)&lt;=YEAR($C$3)*12+MONTH($C$3),$G532,0))</f>
        <v/>
      </c>
      <c r="O532" s="62">
        <f>IF(OR($J532="",$B532=""),0,IF(YEAR($B532)*12+MONTH($B532)&lt;=YEAR($C$3)*12+MONTH($C$3)-1,$G532,0))</f>
        <v/>
      </c>
      <c r="P532" s="62">
        <f>$M532-$O532</f>
        <v/>
      </c>
      <c r="Q532" s="62">
        <f>($L532-$M532)-($N532-$O532)</f>
        <v/>
      </c>
      <c r="R532" s="62">
        <f>$L532-$N532</f>
        <v/>
      </c>
    </row>
    <row r="533">
      <c r="A533" s="59">
        <f>ROW()-5</f>
        <v/>
      </c>
      <c r="B533" s="60">
        <f>IFERROR(INDEX(tbl_Finance[Date],$A533),"")</f>
        <v/>
      </c>
      <c r="C533" s="61">
        <f>IFERROR(INDEX(tbl_Finance[Xero Invoice No],$A533),"")</f>
        <v/>
      </c>
      <c r="D533" s="61">
        <f>IFERROR(INDEX(tbl_Finance[Client],$A533),"")</f>
        <v/>
      </c>
      <c r="E533" s="61">
        <f>IFERROR(INDEX(tbl_Finance[Job Number],$A533),"")</f>
        <v/>
      </c>
      <c r="F533" s="61">
        <f>IFERROR(INDEX(tbl_Finance[Cost Centre],$A533),"")</f>
        <v/>
      </c>
      <c r="G533" s="62">
        <f>IFERROR(INDEX(tbl_Finance[Ex GST],$A533),"")</f>
        <v/>
      </c>
      <c r="H533" s="60">
        <f>IFERROR(INDEX(tbl_Finance[Defer Start],$A533),"")</f>
        <v/>
      </c>
      <c r="I533" s="60">
        <f>IFERROR(INDEX(tbl_Finance[Defer End],$A533),"")</f>
        <v/>
      </c>
      <c r="J533" s="59">
        <f>IF(OR($H533="",$I533="",$G533=""),"",MAX(1,(YEAR($I533)-YEAR($H533))*12+MONTH($I533)-MONTH($H533)+1))</f>
        <v/>
      </c>
      <c r="K533" s="62">
        <f>IF($J533="","",$G533/$J533)</f>
        <v/>
      </c>
      <c r="L533" s="62">
        <f>IF($J533="",0,$K533*MAX(0,MIN(YEAR($C$3)*12+MONTH($C$3),YEAR($I533)*12+MONTH($I533))-(YEAR($H533)*12+MONTH($H533))+1))</f>
        <v/>
      </c>
      <c r="M533" s="62">
        <f>IF($J533="",0,$K533*MAX(0,MIN(YEAR($C$3)*12+MONTH($C$3)-1,YEAR($I533)*12+MONTH($I533))-(YEAR($H533)*12+MONTH($H533))+1))</f>
        <v/>
      </c>
      <c r="N533" s="62">
        <f>IF(OR($J533="",$B533=""),0,IF(YEAR($B533)*12+MONTH($B533)&lt;=YEAR($C$3)*12+MONTH($C$3),$G533,0))</f>
        <v/>
      </c>
      <c r="O533" s="62">
        <f>IF(OR($J533="",$B533=""),0,IF(YEAR($B533)*12+MONTH($B533)&lt;=YEAR($C$3)*12+MONTH($C$3)-1,$G533,0))</f>
        <v/>
      </c>
      <c r="P533" s="62">
        <f>$M533-$O533</f>
        <v/>
      </c>
      <c r="Q533" s="62">
        <f>($L533-$M533)-($N533-$O533)</f>
        <v/>
      </c>
      <c r="R533" s="62">
        <f>$L533-$N533</f>
        <v/>
      </c>
    </row>
    <row r="534">
      <c r="A534" s="59">
        <f>ROW()-5</f>
        <v/>
      </c>
      <c r="B534" s="60">
        <f>IFERROR(INDEX(tbl_Finance[Date],$A534),"")</f>
        <v/>
      </c>
      <c r="C534" s="61">
        <f>IFERROR(INDEX(tbl_Finance[Xero Invoice No],$A534),"")</f>
        <v/>
      </c>
      <c r="D534" s="61">
        <f>IFERROR(INDEX(tbl_Finance[Client],$A534),"")</f>
        <v/>
      </c>
      <c r="E534" s="61">
        <f>IFERROR(INDEX(tbl_Finance[Job Number],$A534),"")</f>
        <v/>
      </c>
      <c r="F534" s="61">
        <f>IFERROR(INDEX(tbl_Finance[Cost Centre],$A534),"")</f>
        <v/>
      </c>
      <c r="G534" s="62">
        <f>IFERROR(INDEX(tbl_Finance[Ex GST],$A534),"")</f>
        <v/>
      </c>
      <c r="H534" s="60">
        <f>IFERROR(INDEX(tbl_Finance[Defer Start],$A534),"")</f>
        <v/>
      </c>
      <c r="I534" s="60">
        <f>IFERROR(INDEX(tbl_Finance[Defer End],$A534),"")</f>
        <v/>
      </c>
      <c r="J534" s="59">
        <f>IF(OR($H534="",$I534="",$G534=""),"",MAX(1,(YEAR($I534)-YEAR($H534))*12+MONTH($I534)-MONTH($H534)+1))</f>
        <v/>
      </c>
      <c r="K534" s="62">
        <f>IF($J534="","",$G534/$J534)</f>
        <v/>
      </c>
      <c r="L534" s="62">
        <f>IF($J534="",0,$K534*MAX(0,MIN(YEAR($C$3)*12+MONTH($C$3),YEAR($I534)*12+MONTH($I534))-(YEAR($H534)*12+MONTH($H534))+1))</f>
        <v/>
      </c>
      <c r="M534" s="62">
        <f>IF($J534="",0,$K534*MAX(0,MIN(YEAR($C$3)*12+MONTH($C$3)-1,YEAR($I534)*12+MONTH($I534))-(YEAR($H534)*12+MONTH($H534))+1))</f>
        <v/>
      </c>
      <c r="N534" s="62">
        <f>IF(OR($J534="",$B534=""),0,IF(YEAR($B534)*12+MONTH($B534)&lt;=YEAR($C$3)*12+MONTH($C$3),$G534,0))</f>
        <v/>
      </c>
      <c r="O534" s="62">
        <f>IF(OR($J534="",$B534=""),0,IF(YEAR($B534)*12+MONTH($B534)&lt;=YEAR($C$3)*12+MONTH($C$3)-1,$G534,0))</f>
        <v/>
      </c>
      <c r="P534" s="62">
        <f>$M534-$O534</f>
        <v/>
      </c>
      <c r="Q534" s="62">
        <f>($L534-$M534)-($N534-$O534)</f>
        <v/>
      </c>
      <c r="R534" s="62">
        <f>$L534-$N534</f>
        <v/>
      </c>
    </row>
    <row r="535">
      <c r="A535" s="59">
        <f>ROW()-5</f>
        <v/>
      </c>
      <c r="B535" s="60">
        <f>IFERROR(INDEX(tbl_Finance[Date],$A535),"")</f>
        <v/>
      </c>
      <c r="C535" s="61">
        <f>IFERROR(INDEX(tbl_Finance[Xero Invoice No],$A535),"")</f>
        <v/>
      </c>
      <c r="D535" s="61">
        <f>IFERROR(INDEX(tbl_Finance[Client],$A535),"")</f>
        <v/>
      </c>
      <c r="E535" s="61">
        <f>IFERROR(INDEX(tbl_Finance[Job Number],$A535),"")</f>
        <v/>
      </c>
      <c r="F535" s="61">
        <f>IFERROR(INDEX(tbl_Finance[Cost Centre],$A535),"")</f>
        <v/>
      </c>
      <c r="G535" s="62">
        <f>IFERROR(INDEX(tbl_Finance[Ex GST],$A535),"")</f>
        <v/>
      </c>
      <c r="H535" s="60">
        <f>IFERROR(INDEX(tbl_Finance[Defer Start],$A535),"")</f>
        <v/>
      </c>
      <c r="I535" s="60">
        <f>IFERROR(INDEX(tbl_Finance[Defer End],$A535),"")</f>
        <v/>
      </c>
      <c r="J535" s="59">
        <f>IF(OR($H535="",$I535="",$G535=""),"",MAX(1,(YEAR($I535)-YEAR($H535))*12+MONTH($I535)-MONTH($H535)+1))</f>
        <v/>
      </c>
      <c r="K535" s="62">
        <f>IF($J535="","",$G535/$J535)</f>
        <v/>
      </c>
      <c r="L535" s="62">
        <f>IF($J535="",0,$K535*MAX(0,MIN(YEAR($C$3)*12+MONTH($C$3),YEAR($I535)*12+MONTH($I535))-(YEAR($H535)*12+MONTH($H535))+1))</f>
        <v/>
      </c>
      <c r="M535" s="62">
        <f>IF($J535="",0,$K535*MAX(0,MIN(YEAR($C$3)*12+MONTH($C$3)-1,YEAR($I535)*12+MONTH($I535))-(YEAR($H535)*12+MONTH($H535))+1))</f>
        <v/>
      </c>
      <c r="N535" s="62">
        <f>IF(OR($J535="",$B535=""),0,IF(YEAR($B535)*12+MONTH($B535)&lt;=YEAR($C$3)*12+MONTH($C$3),$G535,0))</f>
        <v/>
      </c>
      <c r="O535" s="62">
        <f>IF(OR($J535="",$B535=""),0,IF(YEAR($B535)*12+MONTH($B535)&lt;=YEAR($C$3)*12+MONTH($C$3)-1,$G535,0))</f>
        <v/>
      </c>
      <c r="P535" s="62">
        <f>$M535-$O535</f>
        <v/>
      </c>
      <c r="Q535" s="62">
        <f>($L535-$M535)-($N535-$O535)</f>
        <v/>
      </c>
      <c r="R535" s="62">
        <f>$L535-$N535</f>
        <v/>
      </c>
    </row>
    <row r="536">
      <c r="A536" s="59">
        <f>ROW()-5</f>
        <v/>
      </c>
      <c r="B536" s="60">
        <f>IFERROR(INDEX(tbl_Finance[Date],$A536),"")</f>
        <v/>
      </c>
      <c r="C536" s="61">
        <f>IFERROR(INDEX(tbl_Finance[Xero Invoice No],$A536),"")</f>
        <v/>
      </c>
      <c r="D536" s="61">
        <f>IFERROR(INDEX(tbl_Finance[Client],$A536),"")</f>
        <v/>
      </c>
      <c r="E536" s="61">
        <f>IFERROR(INDEX(tbl_Finance[Job Number],$A536),"")</f>
        <v/>
      </c>
      <c r="F536" s="61">
        <f>IFERROR(INDEX(tbl_Finance[Cost Centre],$A536),"")</f>
        <v/>
      </c>
      <c r="G536" s="62">
        <f>IFERROR(INDEX(tbl_Finance[Ex GST],$A536),"")</f>
        <v/>
      </c>
      <c r="H536" s="60">
        <f>IFERROR(INDEX(tbl_Finance[Defer Start],$A536),"")</f>
        <v/>
      </c>
      <c r="I536" s="60">
        <f>IFERROR(INDEX(tbl_Finance[Defer End],$A536),"")</f>
        <v/>
      </c>
      <c r="J536" s="59">
        <f>IF(OR($H536="",$I536="",$G536=""),"",MAX(1,(YEAR($I536)-YEAR($H536))*12+MONTH($I536)-MONTH($H536)+1))</f>
        <v/>
      </c>
      <c r="K536" s="62">
        <f>IF($J536="","",$G536/$J536)</f>
        <v/>
      </c>
      <c r="L536" s="62">
        <f>IF($J536="",0,$K536*MAX(0,MIN(YEAR($C$3)*12+MONTH($C$3),YEAR($I536)*12+MONTH($I536))-(YEAR($H536)*12+MONTH($H536))+1))</f>
        <v/>
      </c>
      <c r="M536" s="62">
        <f>IF($J536="",0,$K536*MAX(0,MIN(YEAR($C$3)*12+MONTH($C$3)-1,YEAR($I536)*12+MONTH($I536))-(YEAR($H536)*12+MONTH($H536))+1))</f>
        <v/>
      </c>
      <c r="N536" s="62">
        <f>IF(OR($J536="",$B536=""),0,IF(YEAR($B536)*12+MONTH($B536)&lt;=YEAR($C$3)*12+MONTH($C$3),$G536,0))</f>
        <v/>
      </c>
      <c r="O536" s="62">
        <f>IF(OR($J536="",$B536=""),0,IF(YEAR($B536)*12+MONTH($B536)&lt;=YEAR($C$3)*12+MONTH($C$3)-1,$G536,0))</f>
        <v/>
      </c>
      <c r="P536" s="62">
        <f>$M536-$O536</f>
        <v/>
      </c>
      <c r="Q536" s="62">
        <f>($L536-$M536)-($N536-$O536)</f>
        <v/>
      </c>
      <c r="R536" s="62">
        <f>$L536-$N536</f>
        <v/>
      </c>
    </row>
    <row r="537">
      <c r="A537" s="59">
        <f>ROW()-5</f>
        <v/>
      </c>
      <c r="B537" s="60">
        <f>IFERROR(INDEX(tbl_Finance[Date],$A537),"")</f>
        <v/>
      </c>
      <c r="C537" s="61">
        <f>IFERROR(INDEX(tbl_Finance[Xero Invoice No],$A537),"")</f>
        <v/>
      </c>
      <c r="D537" s="61">
        <f>IFERROR(INDEX(tbl_Finance[Client],$A537),"")</f>
        <v/>
      </c>
      <c r="E537" s="61">
        <f>IFERROR(INDEX(tbl_Finance[Job Number],$A537),"")</f>
        <v/>
      </c>
      <c r="F537" s="61">
        <f>IFERROR(INDEX(tbl_Finance[Cost Centre],$A537),"")</f>
        <v/>
      </c>
      <c r="G537" s="62">
        <f>IFERROR(INDEX(tbl_Finance[Ex GST],$A537),"")</f>
        <v/>
      </c>
      <c r="H537" s="60">
        <f>IFERROR(INDEX(tbl_Finance[Defer Start],$A537),"")</f>
        <v/>
      </c>
      <c r="I537" s="60">
        <f>IFERROR(INDEX(tbl_Finance[Defer End],$A537),"")</f>
        <v/>
      </c>
      <c r="J537" s="59">
        <f>IF(OR($H537="",$I537="",$G537=""),"",MAX(1,(YEAR($I537)-YEAR($H537))*12+MONTH($I537)-MONTH($H537)+1))</f>
        <v/>
      </c>
      <c r="K537" s="62">
        <f>IF($J537="","",$G537/$J537)</f>
        <v/>
      </c>
      <c r="L537" s="62">
        <f>IF($J537="",0,$K537*MAX(0,MIN(YEAR($C$3)*12+MONTH($C$3),YEAR($I537)*12+MONTH($I537))-(YEAR($H537)*12+MONTH($H537))+1))</f>
        <v/>
      </c>
      <c r="M537" s="62">
        <f>IF($J537="",0,$K537*MAX(0,MIN(YEAR($C$3)*12+MONTH($C$3)-1,YEAR($I537)*12+MONTH($I537))-(YEAR($H537)*12+MONTH($H537))+1))</f>
        <v/>
      </c>
      <c r="N537" s="62">
        <f>IF(OR($J537="",$B537=""),0,IF(YEAR($B537)*12+MONTH($B537)&lt;=YEAR($C$3)*12+MONTH($C$3),$G537,0))</f>
        <v/>
      </c>
      <c r="O537" s="62">
        <f>IF(OR($J537="",$B537=""),0,IF(YEAR($B537)*12+MONTH($B537)&lt;=YEAR($C$3)*12+MONTH($C$3)-1,$G537,0))</f>
        <v/>
      </c>
      <c r="P537" s="62">
        <f>$M537-$O537</f>
        <v/>
      </c>
      <c r="Q537" s="62">
        <f>($L537-$M537)-($N537-$O537)</f>
        <v/>
      </c>
      <c r="R537" s="62">
        <f>$L537-$N537</f>
        <v/>
      </c>
    </row>
    <row r="538">
      <c r="A538" s="59">
        <f>ROW()-5</f>
        <v/>
      </c>
      <c r="B538" s="60">
        <f>IFERROR(INDEX(tbl_Finance[Date],$A538),"")</f>
        <v/>
      </c>
      <c r="C538" s="61">
        <f>IFERROR(INDEX(tbl_Finance[Xero Invoice No],$A538),"")</f>
        <v/>
      </c>
      <c r="D538" s="61">
        <f>IFERROR(INDEX(tbl_Finance[Client],$A538),"")</f>
        <v/>
      </c>
      <c r="E538" s="61">
        <f>IFERROR(INDEX(tbl_Finance[Job Number],$A538),"")</f>
        <v/>
      </c>
      <c r="F538" s="61">
        <f>IFERROR(INDEX(tbl_Finance[Cost Centre],$A538),"")</f>
        <v/>
      </c>
      <c r="G538" s="62">
        <f>IFERROR(INDEX(tbl_Finance[Ex GST],$A538),"")</f>
        <v/>
      </c>
      <c r="H538" s="60">
        <f>IFERROR(INDEX(tbl_Finance[Defer Start],$A538),"")</f>
        <v/>
      </c>
      <c r="I538" s="60">
        <f>IFERROR(INDEX(tbl_Finance[Defer End],$A538),"")</f>
        <v/>
      </c>
      <c r="J538" s="59">
        <f>IF(OR($H538="",$I538="",$G538=""),"",MAX(1,(YEAR($I538)-YEAR($H538))*12+MONTH($I538)-MONTH($H538)+1))</f>
        <v/>
      </c>
      <c r="K538" s="62">
        <f>IF($J538="","",$G538/$J538)</f>
        <v/>
      </c>
      <c r="L538" s="62">
        <f>IF($J538="",0,$K538*MAX(0,MIN(YEAR($C$3)*12+MONTH($C$3),YEAR($I538)*12+MONTH($I538))-(YEAR($H538)*12+MONTH($H538))+1))</f>
        <v/>
      </c>
      <c r="M538" s="62">
        <f>IF($J538="",0,$K538*MAX(0,MIN(YEAR($C$3)*12+MONTH($C$3)-1,YEAR($I538)*12+MONTH($I538))-(YEAR($H538)*12+MONTH($H538))+1))</f>
        <v/>
      </c>
      <c r="N538" s="62">
        <f>IF(OR($J538="",$B538=""),0,IF(YEAR($B538)*12+MONTH($B538)&lt;=YEAR($C$3)*12+MONTH($C$3),$G538,0))</f>
        <v/>
      </c>
      <c r="O538" s="62">
        <f>IF(OR($J538="",$B538=""),0,IF(YEAR($B538)*12+MONTH($B538)&lt;=YEAR($C$3)*12+MONTH($C$3)-1,$G538,0))</f>
        <v/>
      </c>
      <c r="P538" s="62">
        <f>$M538-$O538</f>
        <v/>
      </c>
      <c r="Q538" s="62">
        <f>($L538-$M538)-($N538-$O538)</f>
        <v/>
      </c>
      <c r="R538" s="62">
        <f>$L538-$N538</f>
        <v/>
      </c>
    </row>
    <row r="539">
      <c r="A539" s="59">
        <f>ROW()-5</f>
        <v/>
      </c>
      <c r="B539" s="60">
        <f>IFERROR(INDEX(tbl_Finance[Date],$A539),"")</f>
        <v/>
      </c>
      <c r="C539" s="61">
        <f>IFERROR(INDEX(tbl_Finance[Xero Invoice No],$A539),"")</f>
        <v/>
      </c>
      <c r="D539" s="61">
        <f>IFERROR(INDEX(tbl_Finance[Client],$A539),"")</f>
        <v/>
      </c>
      <c r="E539" s="61">
        <f>IFERROR(INDEX(tbl_Finance[Job Number],$A539),"")</f>
        <v/>
      </c>
      <c r="F539" s="61">
        <f>IFERROR(INDEX(tbl_Finance[Cost Centre],$A539),"")</f>
        <v/>
      </c>
      <c r="G539" s="62">
        <f>IFERROR(INDEX(tbl_Finance[Ex GST],$A539),"")</f>
        <v/>
      </c>
      <c r="H539" s="60">
        <f>IFERROR(INDEX(tbl_Finance[Defer Start],$A539),"")</f>
        <v/>
      </c>
      <c r="I539" s="60">
        <f>IFERROR(INDEX(tbl_Finance[Defer End],$A539),"")</f>
        <v/>
      </c>
      <c r="J539" s="59">
        <f>IF(OR($H539="",$I539="",$G539=""),"",MAX(1,(YEAR($I539)-YEAR($H539))*12+MONTH($I539)-MONTH($H539)+1))</f>
        <v/>
      </c>
      <c r="K539" s="62">
        <f>IF($J539="","",$G539/$J539)</f>
        <v/>
      </c>
      <c r="L539" s="62">
        <f>IF($J539="",0,$K539*MAX(0,MIN(YEAR($C$3)*12+MONTH($C$3),YEAR($I539)*12+MONTH($I539))-(YEAR($H539)*12+MONTH($H539))+1))</f>
        <v/>
      </c>
      <c r="M539" s="62">
        <f>IF($J539="",0,$K539*MAX(0,MIN(YEAR($C$3)*12+MONTH($C$3)-1,YEAR($I539)*12+MONTH($I539))-(YEAR($H539)*12+MONTH($H539))+1))</f>
        <v/>
      </c>
      <c r="N539" s="62">
        <f>IF(OR($J539="",$B539=""),0,IF(YEAR($B539)*12+MONTH($B539)&lt;=YEAR($C$3)*12+MONTH($C$3),$G539,0))</f>
        <v/>
      </c>
      <c r="O539" s="62">
        <f>IF(OR($J539="",$B539=""),0,IF(YEAR($B539)*12+MONTH($B539)&lt;=YEAR($C$3)*12+MONTH($C$3)-1,$G539,0))</f>
        <v/>
      </c>
      <c r="P539" s="62">
        <f>$M539-$O539</f>
        <v/>
      </c>
      <c r="Q539" s="62">
        <f>($L539-$M539)-($N539-$O539)</f>
        <v/>
      </c>
      <c r="R539" s="62">
        <f>$L539-$N539</f>
        <v/>
      </c>
    </row>
    <row r="540">
      <c r="A540" s="59">
        <f>ROW()-5</f>
        <v/>
      </c>
      <c r="B540" s="60">
        <f>IFERROR(INDEX(tbl_Finance[Date],$A540),"")</f>
        <v/>
      </c>
      <c r="C540" s="61">
        <f>IFERROR(INDEX(tbl_Finance[Xero Invoice No],$A540),"")</f>
        <v/>
      </c>
      <c r="D540" s="61">
        <f>IFERROR(INDEX(tbl_Finance[Client],$A540),"")</f>
        <v/>
      </c>
      <c r="E540" s="61">
        <f>IFERROR(INDEX(tbl_Finance[Job Number],$A540),"")</f>
        <v/>
      </c>
      <c r="F540" s="61">
        <f>IFERROR(INDEX(tbl_Finance[Cost Centre],$A540),"")</f>
        <v/>
      </c>
      <c r="G540" s="62">
        <f>IFERROR(INDEX(tbl_Finance[Ex GST],$A540),"")</f>
        <v/>
      </c>
      <c r="H540" s="60">
        <f>IFERROR(INDEX(tbl_Finance[Defer Start],$A540),"")</f>
        <v/>
      </c>
      <c r="I540" s="60">
        <f>IFERROR(INDEX(tbl_Finance[Defer End],$A540),"")</f>
        <v/>
      </c>
      <c r="J540" s="59">
        <f>IF(OR($H540="",$I540="",$G540=""),"",MAX(1,(YEAR($I540)-YEAR($H540))*12+MONTH($I540)-MONTH($H540)+1))</f>
        <v/>
      </c>
      <c r="K540" s="62">
        <f>IF($J540="","",$G540/$J540)</f>
        <v/>
      </c>
      <c r="L540" s="62">
        <f>IF($J540="",0,$K540*MAX(0,MIN(YEAR($C$3)*12+MONTH($C$3),YEAR($I540)*12+MONTH($I540))-(YEAR($H540)*12+MONTH($H540))+1))</f>
        <v/>
      </c>
      <c r="M540" s="62">
        <f>IF($J540="",0,$K540*MAX(0,MIN(YEAR($C$3)*12+MONTH($C$3)-1,YEAR($I540)*12+MONTH($I540))-(YEAR($H540)*12+MONTH($H540))+1))</f>
        <v/>
      </c>
      <c r="N540" s="62">
        <f>IF(OR($J540="",$B540=""),0,IF(YEAR($B540)*12+MONTH($B540)&lt;=YEAR($C$3)*12+MONTH($C$3),$G540,0))</f>
        <v/>
      </c>
      <c r="O540" s="62">
        <f>IF(OR($J540="",$B540=""),0,IF(YEAR($B540)*12+MONTH($B540)&lt;=YEAR($C$3)*12+MONTH($C$3)-1,$G540,0))</f>
        <v/>
      </c>
      <c r="P540" s="62">
        <f>$M540-$O540</f>
        <v/>
      </c>
      <c r="Q540" s="62">
        <f>($L540-$M540)-($N540-$O540)</f>
        <v/>
      </c>
      <c r="R540" s="62">
        <f>$L540-$N540</f>
        <v/>
      </c>
    </row>
    <row r="541">
      <c r="A541" s="59">
        <f>ROW()-5</f>
        <v/>
      </c>
      <c r="B541" s="60">
        <f>IFERROR(INDEX(tbl_Finance[Date],$A541),"")</f>
        <v/>
      </c>
      <c r="C541" s="61">
        <f>IFERROR(INDEX(tbl_Finance[Xero Invoice No],$A541),"")</f>
        <v/>
      </c>
      <c r="D541" s="61">
        <f>IFERROR(INDEX(tbl_Finance[Client],$A541),"")</f>
        <v/>
      </c>
      <c r="E541" s="61">
        <f>IFERROR(INDEX(tbl_Finance[Job Number],$A541),"")</f>
        <v/>
      </c>
      <c r="F541" s="61">
        <f>IFERROR(INDEX(tbl_Finance[Cost Centre],$A541),"")</f>
        <v/>
      </c>
      <c r="G541" s="62">
        <f>IFERROR(INDEX(tbl_Finance[Ex GST],$A541),"")</f>
        <v/>
      </c>
      <c r="H541" s="60">
        <f>IFERROR(INDEX(tbl_Finance[Defer Start],$A541),"")</f>
        <v/>
      </c>
      <c r="I541" s="60">
        <f>IFERROR(INDEX(tbl_Finance[Defer End],$A541),"")</f>
        <v/>
      </c>
      <c r="J541" s="59">
        <f>IF(OR($H541="",$I541="",$G541=""),"",MAX(1,(YEAR($I541)-YEAR($H541))*12+MONTH($I541)-MONTH($H541)+1))</f>
        <v/>
      </c>
      <c r="K541" s="62">
        <f>IF($J541="","",$G541/$J541)</f>
        <v/>
      </c>
      <c r="L541" s="62">
        <f>IF($J541="",0,$K541*MAX(0,MIN(YEAR($C$3)*12+MONTH($C$3),YEAR($I541)*12+MONTH($I541))-(YEAR($H541)*12+MONTH($H541))+1))</f>
        <v/>
      </c>
      <c r="M541" s="62">
        <f>IF($J541="",0,$K541*MAX(0,MIN(YEAR($C$3)*12+MONTH($C$3)-1,YEAR($I541)*12+MONTH($I541))-(YEAR($H541)*12+MONTH($H541))+1))</f>
        <v/>
      </c>
      <c r="N541" s="62">
        <f>IF(OR($J541="",$B541=""),0,IF(YEAR($B541)*12+MONTH($B541)&lt;=YEAR($C$3)*12+MONTH($C$3),$G541,0))</f>
        <v/>
      </c>
      <c r="O541" s="62">
        <f>IF(OR($J541="",$B541=""),0,IF(YEAR($B541)*12+MONTH($B541)&lt;=YEAR($C$3)*12+MONTH($C$3)-1,$G541,0))</f>
        <v/>
      </c>
      <c r="P541" s="62">
        <f>$M541-$O541</f>
        <v/>
      </c>
      <c r="Q541" s="62">
        <f>($L541-$M541)-($N541-$O541)</f>
        <v/>
      </c>
      <c r="R541" s="62">
        <f>$L541-$N541</f>
        <v/>
      </c>
    </row>
    <row r="542">
      <c r="A542" s="59">
        <f>ROW()-5</f>
        <v/>
      </c>
      <c r="B542" s="60">
        <f>IFERROR(INDEX(tbl_Finance[Date],$A542),"")</f>
        <v/>
      </c>
      <c r="C542" s="61">
        <f>IFERROR(INDEX(tbl_Finance[Xero Invoice No],$A542),"")</f>
        <v/>
      </c>
      <c r="D542" s="61">
        <f>IFERROR(INDEX(tbl_Finance[Client],$A542),"")</f>
        <v/>
      </c>
      <c r="E542" s="61">
        <f>IFERROR(INDEX(tbl_Finance[Job Number],$A542),"")</f>
        <v/>
      </c>
      <c r="F542" s="61">
        <f>IFERROR(INDEX(tbl_Finance[Cost Centre],$A542),"")</f>
        <v/>
      </c>
      <c r="G542" s="62">
        <f>IFERROR(INDEX(tbl_Finance[Ex GST],$A542),"")</f>
        <v/>
      </c>
      <c r="H542" s="60">
        <f>IFERROR(INDEX(tbl_Finance[Defer Start],$A542),"")</f>
        <v/>
      </c>
      <c r="I542" s="60">
        <f>IFERROR(INDEX(tbl_Finance[Defer End],$A542),"")</f>
        <v/>
      </c>
      <c r="J542" s="59">
        <f>IF(OR($H542="",$I542="",$G542=""),"",MAX(1,(YEAR($I542)-YEAR($H542))*12+MONTH($I542)-MONTH($H542)+1))</f>
        <v/>
      </c>
      <c r="K542" s="62">
        <f>IF($J542="","",$G542/$J542)</f>
        <v/>
      </c>
      <c r="L542" s="62">
        <f>IF($J542="",0,$K542*MAX(0,MIN(YEAR($C$3)*12+MONTH($C$3),YEAR($I542)*12+MONTH($I542))-(YEAR($H542)*12+MONTH($H542))+1))</f>
        <v/>
      </c>
      <c r="M542" s="62">
        <f>IF($J542="",0,$K542*MAX(0,MIN(YEAR($C$3)*12+MONTH($C$3)-1,YEAR($I542)*12+MONTH($I542))-(YEAR($H542)*12+MONTH($H542))+1))</f>
        <v/>
      </c>
      <c r="N542" s="62">
        <f>IF(OR($J542="",$B542=""),0,IF(YEAR($B542)*12+MONTH($B542)&lt;=YEAR($C$3)*12+MONTH($C$3),$G542,0))</f>
        <v/>
      </c>
      <c r="O542" s="62">
        <f>IF(OR($J542="",$B542=""),0,IF(YEAR($B542)*12+MONTH($B542)&lt;=YEAR($C$3)*12+MONTH($C$3)-1,$G542,0))</f>
        <v/>
      </c>
      <c r="P542" s="62">
        <f>$M542-$O542</f>
        <v/>
      </c>
      <c r="Q542" s="62">
        <f>($L542-$M542)-($N542-$O542)</f>
        <v/>
      </c>
      <c r="R542" s="62">
        <f>$L542-$N542</f>
        <v/>
      </c>
    </row>
    <row r="543">
      <c r="A543" s="59">
        <f>ROW()-5</f>
        <v/>
      </c>
      <c r="B543" s="60">
        <f>IFERROR(INDEX(tbl_Finance[Date],$A543),"")</f>
        <v/>
      </c>
      <c r="C543" s="61">
        <f>IFERROR(INDEX(tbl_Finance[Xero Invoice No],$A543),"")</f>
        <v/>
      </c>
      <c r="D543" s="61">
        <f>IFERROR(INDEX(tbl_Finance[Client],$A543),"")</f>
        <v/>
      </c>
      <c r="E543" s="61">
        <f>IFERROR(INDEX(tbl_Finance[Job Number],$A543),"")</f>
        <v/>
      </c>
      <c r="F543" s="61">
        <f>IFERROR(INDEX(tbl_Finance[Cost Centre],$A543),"")</f>
        <v/>
      </c>
      <c r="G543" s="62">
        <f>IFERROR(INDEX(tbl_Finance[Ex GST],$A543),"")</f>
        <v/>
      </c>
      <c r="H543" s="60">
        <f>IFERROR(INDEX(tbl_Finance[Defer Start],$A543),"")</f>
        <v/>
      </c>
      <c r="I543" s="60">
        <f>IFERROR(INDEX(tbl_Finance[Defer End],$A543),"")</f>
        <v/>
      </c>
      <c r="J543" s="59">
        <f>IF(OR($H543="",$I543="",$G543=""),"",MAX(1,(YEAR($I543)-YEAR($H543))*12+MONTH($I543)-MONTH($H543)+1))</f>
        <v/>
      </c>
      <c r="K543" s="62">
        <f>IF($J543="","",$G543/$J543)</f>
        <v/>
      </c>
      <c r="L543" s="62">
        <f>IF($J543="",0,$K543*MAX(0,MIN(YEAR($C$3)*12+MONTH($C$3),YEAR($I543)*12+MONTH($I543))-(YEAR($H543)*12+MONTH($H543))+1))</f>
        <v/>
      </c>
      <c r="M543" s="62">
        <f>IF($J543="",0,$K543*MAX(0,MIN(YEAR($C$3)*12+MONTH($C$3)-1,YEAR($I543)*12+MONTH($I543))-(YEAR($H543)*12+MONTH($H543))+1))</f>
        <v/>
      </c>
      <c r="N543" s="62">
        <f>IF(OR($J543="",$B543=""),0,IF(YEAR($B543)*12+MONTH($B543)&lt;=YEAR($C$3)*12+MONTH($C$3),$G543,0))</f>
        <v/>
      </c>
      <c r="O543" s="62">
        <f>IF(OR($J543="",$B543=""),0,IF(YEAR($B543)*12+MONTH($B543)&lt;=YEAR($C$3)*12+MONTH($C$3)-1,$G543,0))</f>
        <v/>
      </c>
      <c r="P543" s="62">
        <f>$M543-$O543</f>
        <v/>
      </c>
      <c r="Q543" s="62">
        <f>($L543-$M543)-($N543-$O543)</f>
        <v/>
      </c>
      <c r="R543" s="62">
        <f>$L543-$N543</f>
        <v/>
      </c>
    </row>
    <row r="544">
      <c r="A544" s="59">
        <f>ROW()-5</f>
        <v/>
      </c>
      <c r="B544" s="60">
        <f>IFERROR(INDEX(tbl_Finance[Date],$A544),"")</f>
        <v/>
      </c>
      <c r="C544" s="61">
        <f>IFERROR(INDEX(tbl_Finance[Xero Invoice No],$A544),"")</f>
        <v/>
      </c>
      <c r="D544" s="61">
        <f>IFERROR(INDEX(tbl_Finance[Client],$A544),"")</f>
        <v/>
      </c>
      <c r="E544" s="61">
        <f>IFERROR(INDEX(tbl_Finance[Job Number],$A544),"")</f>
        <v/>
      </c>
      <c r="F544" s="61">
        <f>IFERROR(INDEX(tbl_Finance[Cost Centre],$A544),"")</f>
        <v/>
      </c>
      <c r="G544" s="62">
        <f>IFERROR(INDEX(tbl_Finance[Ex GST],$A544),"")</f>
        <v/>
      </c>
      <c r="H544" s="60">
        <f>IFERROR(INDEX(tbl_Finance[Defer Start],$A544),"")</f>
        <v/>
      </c>
      <c r="I544" s="60">
        <f>IFERROR(INDEX(tbl_Finance[Defer End],$A544),"")</f>
        <v/>
      </c>
      <c r="J544" s="59">
        <f>IF(OR($H544="",$I544="",$G544=""),"",MAX(1,(YEAR($I544)-YEAR($H544))*12+MONTH($I544)-MONTH($H544)+1))</f>
        <v/>
      </c>
      <c r="K544" s="62">
        <f>IF($J544="","",$G544/$J544)</f>
        <v/>
      </c>
      <c r="L544" s="62">
        <f>IF($J544="",0,$K544*MAX(0,MIN(YEAR($C$3)*12+MONTH($C$3),YEAR($I544)*12+MONTH($I544))-(YEAR($H544)*12+MONTH($H544))+1))</f>
        <v/>
      </c>
      <c r="M544" s="62">
        <f>IF($J544="",0,$K544*MAX(0,MIN(YEAR($C$3)*12+MONTH($C$3)-1,YEAR($I544)*12+MONTH($I544))-(YEAR($H544)*12+MONTH($H544))+1))</f>
        <v/>
      </c>
      <c r="N544" s="62">
        <f>IF(OR($J544="",$B544=""),0,IF(YEAR($B544)*12+MONTH($B544)&lt;=YEAR($C$3)*12+MONTH($C$3),$G544,0))</f>
        <v/>
      </c>
      <c r="O544" s="62">
        <f>IF(OR($J544="",$B544=""),0,IF(YEAR($B544)*12+MONTH($B544)&lt;=YEAR($C$3)*12+MONTH($C$3)-1,$G544,0))</f>
        <v/>
      </c>
      <c r="P544" s="62">
        <f>$M544-$O544</f>
        <v/>
      </c>
      <c r="Q544" s="62">
        <f>($L544-$M544)-($N544-$O544)</f>
        <v/>
      </c>
      <c r="R544" s="62">
        <f>$L544-$N544</f>
        <v/>
      </c>
    </row>
    <row r="545">
      <c r="A545" s="59">
        <f>ROW()-5</f>
        <v/>
      </c>
      <c r="B545" s="60">
        <f>IFERROR(INDEX(tbl_Finance[Date],$A545),"")</f>
        <v/>
      </c>
      <c r="C545" s="61">
        <f>IFERROR(INDEX(tbl_Finance[Xero Invoice No],$A545),"")</f>
        <v/>
      </c>
      <c r="D545" s="61">
        <f>IFERROR(INDEX(tbl_Finance[Client],$A545),"")</f>
        <v/>
      </c>
      <c r="E545" s="61">
        <f>IFERROR(INDEX(tbl_Finance[Job Number],$A545),"")</f>
        <v/>
      </c>
      <c r="F545" s="61">
        <f>IFERROR(INDEX(tbl_Finance[Cost Centre],$A545),"")</f>
        <v/>
      </c>
      <c r="G545" s="62">
        <f>IFERROR(INDEX(tbl_Finance[Ex GST],$A545),"")</f>
        <v/>
      </c>
      <c r="H545" s="60">
        <f>IFERROR(INDEX(tbl_Finance[Defer Start],$A545),"")</f>
        <v/>
      </c>
      <c r="I545" s="60">
        <f>IFERROR(INDEX(tbl_Finance[Defer End],$A545),"")</f>
        <v/>
      </c>
      <c r="J545" s="59">
        <f>IF(OR($H545="",$I545="",$G545=""),"",MAX(1,(YEAR($I545)-YEAR($H545))*12+MONTH($I545)-MONTH($H545)+1))</f>
        <v/>
      </c>
      <c r="K545" s="62">
        <f>IF($J545="","",$G545/$J545)</f>
        <v/>
      </c>
      <c r="L545" s="62">
        <f>IF($J545="",0,$K545*MAX(0,MIN(YEAR($C$3)*12+MONTH($C$3),YEAR($I545)*12+MONTH($I545))-(YEAR($H545)*12+MONTH($H545))+1))</f>
        <v/>
      </c>
      <c r="M545" s="62">
        <f>IF($J545="",0,$K545*MAX(0,MIN(YEAR($C$3)*12+MONTH($C$3)-1,YEAR($I545)*12+MONTH($I545))-(YEAR($H545)*12+MONTH($H545))+1))</f>
        <v/>
      </c>
      <c r="N545" s="62">
        <f>IF(OR($J545="",$B545=""),0,IF(YEAR($B545)*12+MONTH($B545)&lt;=YEAR($C$3)*12+MONTH($C$3),$G545,0))</f>
        <v/>
      </c>
      <c r="O545" s="62">
        <f>IF(OR($J545="",$B545=""),0,IF(YEAR($B545)*12+MONTH($B545)&lt;=YEAR($C$3)*12+MONTH($C$3)-1,$G545,0))</f>
        <v/>
      </c>
      <c r="P545" s="62">
        <f>$M545-$O545</f>
        <v/>
      </c>
      <c r="Q545" s="62">
        <f>($L545-$M545)-($N545-$O545)</f>
        <v/>
      </c>
      <c r="R545" s="62">
        <f>$L545-$N545</f>
        <v/>
      </c>
    </row>
    <row r="546">
      <c r="A546" s="59">
        <f>ROW()-5</f>
        <v/>
      </c>
      <c r="B546" s="60">
        <f>IFERROR(INDEX(tbl_Finance[Date],$A546),"")</f>
        <v/>
      </c>
      <c r="C546" s="61">
        <f>IFERROR(INDEX(tbl_Finance[Xero Invoice No],$A546),"")</f>
        <v/>
      </c>
      <c r="D546" s="61">
        <f>IFERROR(INDEX(tbl_Finance[Client],$A546),"")</f>
        <v/>
      </c>
      <c r="E546" s="61">
        <f>IFERROR(INDEX(tbl_Finance[Job Number],$A546),"")</f>
        <v/>
      </c>
      <c r="F546" s="61">
        <f>IFERROR(INDEX(tbl_Finance[Cost Centre],$A546),"")</f>
        <v/>
      </c>
      <c r="G546" s="62">
        <f>IFERROR(INDEX(tbl_Finance[Ex GST],$A546),"")</f>
        <v/>
      </c>
      <c r="H546" s="60">
        <f>IFERROR(INDEX(tbl_Finance[Defer Start],$A546),"")</f>
        <v/>
      </c>
      <c r="I546" s="60">
        <f>IFERROR(INDEX(tbl_Finance[Defer End],$A546),"")</f>
        <v/>
      </c>
      <c r="J546" s="59">
        <f>IF(OR($H546="",$I546="",$G546=""),"",MAX(1,(YEAR($I546)-YEAR($H546))*12+MONTH($I546)-MONTH($H546)+1))</f>
        <v/>
      </c>
      <c r="K546" s="62">
        <f>IF($J546="","",$G546/$J546)</f>
        <v/>
      </c>
      <c r="L546" s="62">
        <f>IF($J546="",0,$K546*MAX(0,MIN(YEAR($C$3)*12+MONTH($C$3),YEAR($I546)*12+MONTH($I546))-(YEAR($H546)*12+MONTH($H546))+1))</f>
        <v/>
      </c>
      <c r="M546" s="62">
        <f>IF($J546="",0,$K546*MAX(0,MIN(YEAR($C$3)*12+MONTH($C$3)-1,YEAR($I546)*12+MONTH($I546))-(YEAR($H546)*12+MONTH($H546))+1))</f>
        <v/>
      </c>
      <c r="N546" s="62">
        <f>IF(OR($J546="",$B546=""),0,IF(YEAR($B546)*12+MONTH($B546)&lt;=YEAR($C$3)*12+MONTH($C$3),$G546,0))</f>
        <v/>
      </c>
      <c r="O546" s="62">
        <f>IF(OR($J546="",$B546=""),0,IF(YEAR($B546)*12+MONTH($B546)&lt;=YEAR($C$3)*12+MONTH($C$3)-1,$G546,0))</f>
        <v/>
      </c>
      <c r="P546" s="62">
        <f>$M546-$O546</f>
        <v/>
      </c>
      <c r="Q546" s="62">
        <f>($L546-$M546)-($N546-$O546)</f>
        <v/>
      </c>
      <c r="R546" s="62">
        <f>$L546-$N546</f>
        <v/>
      </c>
    </row>
    <row r="547">
      <c r="A547" s="59">
        <f>ROW()-5</f>
        <v/>
      </c>
      <c r="B547" s="60">
        <f>IFERROR(INDEX(tbl_Finance[Date],$A547),"")</f>
        <v/>
      </c>
      <c r="C547" s="61">
        <f>IFERROR(INDEX(tbl_Finance[Xero Invoice No],$A547),"")</f>
        <v/>
      </c>
      <c r="D547" s="61">
        <f>IFERROR(INDEX(tbl_Finance[Client],$A547),"")</f>
        <v/>
      </c>
      <c r="E547" s="61">
        <f>IFERROR(INDEX(tbl_Finance[Job Number],$A547),"")</f>
        <v/>
      </c>
      <c r="F547" s="61">
        <f>IFERROR(INDEX(tbl_Finance[Cost Centre],$A547),"")</f>
        <v/>
      </c>
      <c r="G547" s="62">
        <f>IFERROR(INDEX(tbl_Finance[Ex GST],$A547),"")</f>
        <v/>
      </c>
      <c r="H547" s="60">
        <f>IFERROR(INDEX(tbl_Finance[Defer Start],$A547),"")</f>
        <v/>
      </c>
      <c r="I547" s="60">
        <f>IFERROR(INDEX(tbl_Finance[Defer End],$A547),"")</f>
        <v/>
      </c>
      <c r="J547" s="59">
        <f>IF(OR($H547="",$I547="",$G547=""),"",MAX(1,(YEAR($I547)-YEAR($H547))*12+MONTH($I547)-MONTH($H547)+1))</f>
        <v/>
      </c>
      <c r="K547" s="62">
        <f>IF($J547="","",$G547/$J547)</f>
        <v/>
      </c>
      <c r="L547" s="62">
        <f>IF($J547="",0,$K547*MAX(0,MIN(YEAR($C$3)*12+MONTH($C$3),YEAR($I547)*12+MONTH($I547))-(YEAR($H547)*12+MONTH($H547))+1))</f>
        <v/>
      </c>
      <c r="M547" s="62">
        <f>IF($J547="",0,$K547*MAX(0,MIN(YEAR($C$3)*12+MONTH($C$3)-1,YEAR($I547)*12+MONTH($I547))-(YEAR($H547)*12+MONTH($H547))+1))</f>
        <v/>
      </c>
      <c r="N547" s="62">
        <f>IF(OR($J547="",$B547=""),0,IF(YEAR($B547)*12+MONTH($B547)&lt;=YEAR($C$3)*12+MONTH($C$3),$G547,0))</f>
        <v/>
      </c>
      <c r="O547" s="62">
        <f>IF(OR($J547="",$B547=""),0,IF(YEAR($B547)*12+MONTH($B547)&lt;=YEAR($C$3)*12+MONTH($C$3)-1,$G547,0))</f>
        <v/>
      </c>
      <c r="P547" s="62">
        <f>$M547-$O547</f>
        <v/>
      </c>
      <c r="Q547" s="62">
        <f>($L547-$M547)-($N547-$O547)</f>
        <v/>
      </c>
      <c r="R547" s="62">
        <f>$L547-$N547</f>
        <v/>
      </c>
    </row>
    <row r="548">
      <c r="A548" s="59">
        <f>ROW()-5</f>
        <v/>
      </c>
      <c r="B548" s="60">
        <f>IFERROR(INDEX(tbl_Finance[Date],$A548),"")</f>
        <v/>
      </c>
      <c r="C548" s="61">
        <f>IFERROR(INDEX(tbl_Finance[Xero Invoice No],$A548),"")</f>
        <v/>
      </c>
      <c r="D548" s="61">
        <f>IFERROR(INDEX(tbl_Finance[Client],$A548),"")</f>
        <v/>
      </c>
      <c r="E548" s="61">
        <f>IFERROR(INDEX(tbl_Finance[Job Number],$A548),"")</f>
        <v/>
      </c>
      <c r="F548" s="61">
        <f>IFERROR(INDEX(tbl_Finance[Cost Centre],$A548),"")</f>
        <v/>
      </c>
      <c r="G548" s="62">
        <f>IFERROR(INDEX(tbl_Finance[Ex GST],$A548),"")</f>
        <v/>
      </c>
      <c r="H548" s="60">
        <f>IFERROR(INDEX(tbl_Finance[Defer Start],$A548),"")</f>
        <v/>
      </c>
      <c r="I548" s="60">
        <f>IFERROR(INDEX(tbl_Finance[Defer End],$A548),"")</f>
        <v/>
      </c>
      <c r="J548" s="59">
        <f>IF(OR($H548="",$I548="",$G548=""),"",MAX(1,(YEAR($I548)-YEAR($H548))*12+MONTH($I548)-MONTH($H548)+1))</f>
        <v/>
      </c>
      <c r="K548" s="62">
        <f>IF($J548="","",$G548/$J548)</f>
        <v/>
      </c>
      <c r="L548" s="62">
        <f>IF($J548="",0,$K548*MAX(0,MIN(YEAR($C$3)*12+MONTH($C$3),YEAR($I548)*12+MONTH($I548))-(YEAR($H548)*12+MONTH($H548))+1))</f>
        <v/>
      </c>
      <c r="M548" s="62">
        <f>IF($J548="",0,$K548*MAX(0,MIN(YEAR($C$3)*12+MONTH($C$3)-1,YEAR($I548)*12+MONTH($I548))-(YEAR($H548)*12+MONTH($H548))+1))</f>
        <v/>
      </c>
      <c r="N548" s="62">
        <f>IF(OR($J548="",$B548=""),0,IF(YEAR($B548)*12+MONTH($B548)&lt;=YEAR($C$3)*12+MONTH($C$3),$G548,0))</f>
        <v/>
      </c>
      <c r="O548" s="62">
        <f>IF(OR($J548="",$B548=""),0,IF(YEAR($B548)*12+MONTH($B548)&lt;=YEAR($C$3)*12+MONTH($C$3)-1,$G548,0))</f>
        <v/>
      </c>
      <c r="P548" s="62">
        <f>$M548-$O548</f>
        <v/>
      </c>
      <c r="Q548" s="62">
        <f>($L548-$M548)-($N548-$O548)</f>
        <v/>
      </c>
      <c r="R548" s="62">
        <f>$L548-$N548</f>
        <v/>
      </c>
    </row>
    <row r="549">
      <c r="A549" s="59">
        <f>ROW()-5</f>
        <v/>
      </c>
      <c r="B549" s="60">
        <f>IFERROR(INDEX(tbl_Finance[Date],$A549),"")</f>
        <v/>
      </c>
      <c r="C549" s="61">
        <f>IFERROR(INDEX(tbl_Finance[Xero Invoice No],$A549),"")</f>
        <v/>
      </c>
      <c r="D549" s="61">
        <f>IFERROR(INDEX(tbl_Finance[Client],$A549),"")</f>
        <v/>
      </c>
      <c r="E549" s="61">
        <f>IFERROR(INDEX(tbl_Finance[Job Number],$A549),"")</f>
        <v/>
      </c>
      <c r="F549" s="61">
        <f>IFERROR(INDEX(tbl_Finance[Cost Centre],$A549),"")</f>
        <v/>
      </c>
      <c r="G549" s="62">
        <f>IFERROR(INDEX(tbl_Finance[Ex GST],$A549),"")</f>
        <v/>
      </c>
      <c r="H549" s="60">
        <f>IFERROR(INDEX(tbl_Finance[Defer Start],$A549),"")</f>
        <v/>
      </c>
      <c r="I549" s="60">
        <f>IFERROR(INDEX(tbl_Finance[Defer End],$A549),"")</f>
        <v/>
      </c>
      <c r="J549" s="59">
        <f>IF(OR($H549="",$I549="",$G549=""),"",MAX(1,(YEAR($I549)-YEAR($H549))*12+MONTH($I549)-MONTH($H549)+1))</f>
        <v/>
      </c>
      <c r="K549" s="62">
        <f>IF($J549="","",$G549/$J549)</f>
        <v/>
      </c>
      <c r="L549" s="62">
        <f>IF($J549="",0,$K549*MAX(0,MIN(YEAR($C$3)*12+MONTH($C$3),YEAR($I549)*12+MONTH($I549))-(YEAR($H549)*12+MONTH($H549))+1))</f>
        <v/>
      </c>
      <c r="M549" s="62">
        <f>IF($J549="",0,$K549*MAX(0,MIN(YEAR($C$3)*12+MONTH($C$3)-1,YEAR($I549)*12+MONTH($I549))-(YEAR($H549)*12+MONTH($H549))+1))</f>
        <v/>
      </c>
      <c r="N549" s="62">
        <f>IF(OR($J549="",$B549=""),0,IF(YEAR($B549)*12+MONTH($B549)&lt;=YEAR($C$3)*12+MONTH($C$3),$G549,0))</f>
        <v/>
      </c>
      <c r="O549" s="62">
        <f>IF(OR($J549="",$B549=""),0,IF(YEAR($B549)*12+MONTH($B549)&lt;=YEAR($C$3)*12+MONTH($C$3)-1,$G549,0))</f>
        <v/>
      </c>
      <c r="P549" s="62">
        <f>$M549-$O549</f>
        <v/>
      </c>
      <c r="Q549" s="62">
        <f>($L549-$M549)-($N549-$O549)</f>
        <v/>
      </c>
      <c r="R549" s="62">
        <f>$L549-$N549</f>
        <v/>
      </c>
    </row>
    <row r="550">
      <c r="A550" s="59">
        <f>ROW()-5</f>
        <v/>
      </c>
      <c r="B550" s="60">
        <f>IFERROR(INDEX(tbl_Finance[Date],$A550),"")</f>
        <v/>
      </c>
      <c r="C550" s="61">
        <f>IFERROR(INDEX(tbl_Finance[Xero Invoice No],$A550),"")</f>
        <v/>
      </c>
      <c r="D550" s="61">
        <f>IFERROR(INDEX(tbl_Finance[Client],$A550),"")</f>
        <v/>
      </c>
      <c r="E550" s="61">
        <f>IFERROR(INDEX(tbl_Finance[Job Number],$A550),"")</f>
        <v/>
      </c>
      <c r="F550" s="61">
        <f>IFERROR(INDEX(tbl_Finance[Cost Centre],$A550),"")</f>
        <v/>
      </c>
      <c r="G550" s="62">
        <f>IFERROR(INDEX(tbl_Finance[Ex GST],$A550),"")</f>
        <v/>
      </c>
      <c r="H550" s="60">
        <f>IFERROR(INDEX(tbl_Finance[Defer Start],$A550),"")</f>
        <v/>
      </c>
      <c r="I550" s="60">
        <f>IFERROR(INDEX(tbl_Finance[Defer End],$A550),"")</f>
        <v/>
      </c>
      <c r="J550" s="59">
        <f>IF(OR($H550="",$I550="",$G550=""),"",MAX(1,(YEAR($I550)-YEAR($H550))*12+MONTH($I550)-MONTH($H550)+1))</f>
        <v/>
      </c>
      <c r="K550" s="62">
        <f>IF($J550="","",$G550/$J550)</f>
        <v/>
      </c>
      <c r="L550" s="62">
        <f>IF($J550="",0,$K550*MAX(0,MIN(YEAR($C$3)*12+MONTH($C$3),YEAR($I550)*12+MONTH($I550))-(YEAR($H550)*12+MONTH($H550))+1))</f>
        <v/>
      </c>
      <c r="M550" s="62">
        <f>IF($J550="",0,$K550*MAX(0,MIN(YEAR($C$3)*12+MONTH($C$3)-1,YEAR($I550)*12+MONTH($I550))-(YEAR($H550)*12+MONTH($H550))+1))</f>
        <v/>
      </c>
      <c r="N550" s="62">
        <f>IF(OR($J550="",$B550=""),0,IF(YEAR($B550)*12+MONTH($B550)&lt;=YEAR($C$3)*12+MONTH($C$3),$G550,0))</f>
        <v/>
      </c>
      <c r="O550" s="62">
        <f>IF(OR($J550="",$B550=""),0,IF(YEAR($B550)*12+MONTH($B550)&lt;=YEAR($C$3)*12+MONTH($C$3)-1,$G550,0))</f>
        <v/>
      </c>
      <c r="P550" s="62">
        <f>$M550-$O550</f>
        <v/>
      </c>
      <c r="Q550" s="62">
        <f>($L550-$M550)-($N550-$O550)</f>
        <v/>
      </c>
      <c r="R550" s="62">
        <f>$L550-$N550</f>
        <v/>
      </c>
    </row>
    <row r="551">
      <c r="A551" s="59">
        <f>ROW()-5</f>
        <v/>
      </c>
      <c r="B551" s="60">
        <f>IFERROR(INDEX(tbl_Finance[Date],$A551),"")</f>
        <v/>
      </c>
      <c r="C551" s="61">
        <f>IFERROR(INDEX(tbl_Finance[Xero Invoice No],$A551),"")</f>
        <v/>
      </c>
      <c r="D551" s="61">
        <f>IFERROR(INDEX(tbl_Finance[Client],$A551),"")</f>
        <v/>
      </c>
      <c r="E551" s="61">
        <f>IFERROR(INDEX(tbl_Finance[Job Number],$A551),"")</f>
        <v/>
      </c>
      <c r="F551" s="61">
        <f>IFERROR(INDEX(tbl_Finance[Cost Centre],$A551),"")</f>
        <v/>
      </c>
      <c r="G551" s="62">
        <f>IFERROR(INDEX(tbl_Finance[Ex GST],$A551),"")</f>
        <v/>
      </c>
      <c r="H551" s="60">
        <f>IFERROR(INDEX(tbl_Finance[Defer Start],$A551),"")</f>
        <v/>
      </c>
      <c r="I551" s="60">
        <f>IFERROR(INDEX(tbl_Finance[Defer End],$A551),"")</f>
        <v/>
      </c>
      <c r="J551" s="59">
        <f>IF(OR($H551="",$I551="",$G551=""),"",MAX(1,(YEAR($I551)-YEAR($H551))*12+MONTH($I551)-MONTH($H551)+1))</f>
        <v/>
      </c>
      <c r="K551" s="62">
        <f>IF($J551="","",$G551/$J551)</f>
        <v/>
      </c>
      <c r="L551" s="62">
        <f>IF($J551="",0,$K551*MAX(0,MIN(YEAR($C$3)*12+MONTH($C$3),YEAR($I551)*12+MONTH($I551))-(YEAR($H551)*12+MONTH($H551))+1))</f>
        <v/>
      </c>
      <c r="M551" s="62">
        <f>IF($J551="",0,$K551*MAX(0,MIN(YEAR($C$3)*12+MONTH($C$3)-1,YEAR($I551)*12+MONTH($I551))-(YEAR($H551)*12+MONTH($H551))+1))</f>
        <v/>
      </c>
      <c r="N551" s="62">
        <f>IF(OR($J551="",$B551=""),0,IF(YEAR($B551)*12+MONTH($B551)&lt;=YEAR($C$3)*12+MONTH($C$3),$G551,0))</f>
        <v/>
      </c>
      <c r="O551" s="62">
        <f>IF(OR($J551="",$B551=""),0,IF(YEAR($B551)*12+MONTH($B551)&lt;=YEAR($C$3)*12+MONTH($C$3)-1,$G551,0))</f>
        <v/>
      </c>
      <c r="P551" s="62">
        <f>$M551-$O551</f>
        <v/>
      </c>
      <c r="Q551" s="62">
        <f>($L551-$M551)-($N551-$O551)</f>
        <v/>
      </c>
      <c r="R551" s="62">
        <f>$L551-$N551</f>
        <v/>
      </c>
    </row>
    <row r="552">
      <c r="A552" s="59">
        <f>ROW()-5</f>
        <v/>
      </c>
      <c r="B552" s="60">
        <f>IFERROR(INDEX(tbl_Finance[Date],$A552),"")</f>
        <v/>
      </c>
      <c r="C552" s="61">
        <f>IFERROR(INDEX(tbl_Finance[Xero Invoice No],$A552),"")</f>
        <v/>
      </c>
      <c r="D552" s="61">
        <f>IFERROR(INDEX(tbl_Finance[Client],$A552),"")</f>
        <v/>
      </c>
      <c r="E552" s="61">
        <f>IFERROR(INDEX(tbl_Finance[Job Number],$A552),"")</f>
        <v/>
      </c>
      <c r="F552" s="61">
        <f>IFERROR(INDEX(tbl_Finance[Cost Centre],$A552),"")</f>
        <v/>
      </c>
      <c r="G552" s="62">
        <f>IFERROR(INDEX(tbl_Finance[Ex GST],$A552),"")</f>
        <v/>
      </c>
      <c r="H552" s="60">
        <f>IFERROR(INDEX(tbl_Finance[Defer Start],$A552),"")</f>
        <v/>
      </c>
      <c r="I552" s="60">
        <f>IFERROR(INDEX(tbl_Finance[Defer End],$A552),"")</f>
        <v/>
      </c>
      <c r="J552" s="59">
        <f>IF(OR($H552="",$I552="",$G552=""),"",MAX(1,(YEAR($I552)-YEAR($H552))*12+MONTH($I552)-MONTH($H552)+1))</f>
        <v/>
      </c>
      <c r="K552" s="62">
        <f>IF($J552="","",$G552/$J552)</f>
        <v/>
      </c>
      <c r="L552" s="62">
        <f>IF($J552="",0,$K552*MAX(0,MIN(YEAR($C$3)*12+MONTH($C$3),YEAR($I552)*12+MONTH($I552))-(YEAR($H552)*12+MONTH($H552))+1))</f>
        <v/>
      </c>
      <c r="M552" s="62">
        <f>IF($J552="",0,$K552*MAX(0,MIN(YEAR($C$3)*12+MONTH($C$3)-1,YEAR($I552)*12+MONTH($I552))-(YEAR($H552)*12+MONTH($H552))+1))</f>
        <v/>
      </c>
      <c r="N552" s="62">
        <f>IF(OR($J552="",$B552=""),0,IF(YEAR($B552)*12+MONTH($B552)&lt;=YEAR($C$3)*12+MONTH($C$3),$G552,0))</f>
        <v/>
      </c>
      <c r="O552" s="62">
        <f>IF(OR($J552="",$B552=""),0,IF(YEAR($B552)*12+MONTH($B552)&lt;=YEAR($C$3)*12+MONTH($C$3)-1,$G552,0))</f>
        <v/>
      </c>
      <c r="P552" s="62">
        <f>$M552-$O552</f>
        <v/>
      </c>
      <c r="Q552" s="62">
        <f>($L552-$M552)-($N552-$O552)</f>
        <v/>
      </c>
      <c r="R552" s="62">
        <f>$L552-$N552</f>
        <v/>
      </c>
    </row>
    <row r="553">
      <c r="A553" s="59">
        <f>ROW()-5</f>
        <v/>
      </c>
      <c r="B553" s="60">
        <f>IFERROR(INDEX(tbl_Finance[Date],$A553),"")</f>
        <v/>
      </c>
      <c r="C553" s="61">
        <f>IFERROR(INDEX(tbl_Finance[Xero Invoice No],$A553),"")</f>
        <v/>
      </c>
      <c r="D553" s="61">
        <f>IFERROR(INDEX(tbl_Finance[Client],$A553),"")</f>
        <v/>
      </c>
      <c r="E553" s="61">
        <f>IFERROR(INDEX(tbl_Finance[Job Number],$A553),"")</f>
        <v/>
      </c>
      <c r="F553" s="61">
        <f>IFERROR(INDEX(tbl_Finance[Cost Centre],$A553),"")</f>
        <v/>
      </c>
      <c r="G553" s="62">
        <f>IFERROR(INDEX(tbl_Finance[Ex GST],$A553),"")</f>
        <v/>
      </c>
      <c r="H553" s="60">
        <f>IFERROR(INDEX(tbl_Finance[Defer Start],$A553),"")</f>
        <v/>
      </c>
      <c r="I553" s="60">
        <f>IFERROR(INDEX(tbl_Finance[Defer End],$A553),"")</f>
        <v/>
      </c>
      <c r="J553" s="59">
        <f>IF(OR($H553="",$I553="",$G553=""),"",MAX(1,(YEAR($I553)-YEAR($H553))*12+MONTH($I553)-MONTH($H553)+1))</f>
        <v/>
      </c>
      <c r="K553" s="62">
        <f>IF($J553="","",$G553/$J553)</f>
        <v/>
      </c>
      <c r="L553" s="62">
        <f>IF($J553="",0,$K553*MAX(0,MIN(YEAR($C$3)*12+MONTH($C$3),YEAR($I553)*12+MONTH($I553))-(YEAR($H553)*12+MONTH($H553))+1))</f>
        <v/>
      </c>
      <c r="M553" s="62">
        <f>IF($J553="",0,$K553*MAX(0,MIN(YEAR($C$3)*12+MONTH($C$3)-1,YEAR($I553)*12+MONTH($I553))-(YEAR($H553)*12+MONTH($H553))+1))</f>
        <v/>
      </c>
      <c r="N553" s="62">
        <f>IF(OR($J553="",$B553=""),0,IF(YEAR($B553)*12+MONTH($B553)&lt;=YEAR($C$3)*12+MONTH($C$3),$G553,0))</f>
        <v/>
      </c>
      <c r="O553" s="62">
        <f>IF(OR($J553="",$B553=""),0,IF(YEAR($B553)*12+MONTH($B553)&lt;=YEAR($C$3)*12+MONTH($C$3)-1,$G553,0))</f>
        <v/>
      </c>
      <c r="P553" s="62">
        <f>$M553-$O553</f>
        <v/>
      </c>
      <c r="Q553" s="62">
        <f>($L553-$M553)-($N553-$O553)</f>
        <v/>
      </c>
      <c r="R553" s="62">
        <f>$L553-$N553</f>
        <v/>
      </c>
    </row>
    <row r="554">
      <c r="A554" s="59">
        <f>ROW()-5</f>
        <v/>
      </c>
      <c r="B554" s="60">
        <f>IFERROR(INDEX(tbl_Finance[Date],$A554),"")</f>
        <v/>
      </c>
      <c r="C554" s="61">
        <f>IFERROR(INDEX(tbl_Finance[Xero Invoice No],$A554),"")</f>
        <v/>
      </c>
      <c r="D554" s="61">
        <f>IFERROR(INDEX(tbl_Finance[Client],$A554),"")</f>
        <v/>
      </c>
      <c r="E554" s="61">
        <f>IFERROR(INDEX(tbl_Finance[Job Number],$A554),"")</f>
        <v/>
      </c>
      <c r="F554" s="61">
        <f>IFERROR(INDEX(tbl_Finance[Cost Centre],$A554),"")</f>
        <v/>
      </c>
      <c r="G554" s="62">
        <f>IFERROR(INDEX(tbl_Finance[Ex GST],$A554),"")</f>
        <v/>
      </c>
      <c r="H554" s="60">
        <f>IFERROR(INDEX(tbl_Finance[Defer Start],$A554),"")</f>
        <v/>
      </c>
      <c r="I554" s="60">
        <f>IFERROR(INDEX(tbl_Finance[Defer End],$A554),"")</f>
        <v/>
      </c>
      <c r="J554" s="59">
        <f>IF(OR($H554="",$I554="",$G554=""),"",MAX(1,(YEAR($I554)-YEAR($H554))*12+MONTH($I554)-MONTH($H554)+1))</f>
        <v/>
      </c>
      <c r="K554" s="62">
        <f>IF($J554="","",$G554/$J554)</f>
        <v/>
      </c>
      <c r="L554" s="62">
        <f>IF($J554="",0,$K554*MAX(0,MIN(YEAR($C$3)*12+MONTH($C$3),YEAR($I554)*12+MONTH($I554))-(YEAR($H554)*12+MONTH($H554))+1))</f>
        <v/>
      </c>
      <c r="M554" s="62">
        <f>IF($J554="",0,$K554*MAX(0,MIN(YEAR($C$3)*12+MONTH($C$3)-1,YEAR($I554)*12+MONTH($I554))-(YEAR($H554)*12+MONTH($H554))+1))</f>
        <v/>
      </c>
      <c r="N554" s="62">
        <f>IF(OR($J554="",$B554=""),0,IF(YEAR($B554)*12+MONTH($B554)&lt;=YEAR($C$3)*12+MONTH($C$3),$G554,0))</f>
        <v/>
      </c>
      <c r="O554" s="62">
        <f>IF(OR($J554="",$B554=""),0,IF(YEAR($B554)*12+MONTH($B554)&lt;=YEAR($C$3)*12+MONTH($C$3)-1,$G554,0))</f>
        <v/>
      </c>
      <c r="P554" s="62">
        <f>$M554-$O554</f>
        <v/>
      </c>
      <c r="Q554" s="62">
        <f>($L554-$M554)-($N554-$O554)</f>
        <v/>
      </c>
      <c r="R554" s="62">
        <f>$L554-$N554</f>
        <v/>
      </c>
    </row>
    <row r="555">
      <c r="A555" s="59">
        <f>ROW()-5</f>
        <v/>
      </c>
      <c r="B555" s="60">
        <f>IFERROR(INDEX(tbl_Finance[Date],$A555),"")</f>
        <v/>
      </c>
      <c r="C555" s="61">
        <f>IFERROR(INDEX(tbl_Finance[Xero Invoice No],$A555),"")</f>
        <v/>
      </c>
      <c r="D555" s="61">
        <f>IFERROR(INDEX(tbl_Finance[Client],$A555),"")</f>
        <v/>
      </c>
      <c r="E555" s="61">
        <f>IFERROR(INDEX(tbl_Finance[Job Number],$A555),"")</f>
        <v/>
      </c>
      <c r="F555" s="61">
        <f>IFERROR(INDEX(tbl_Finance[Cost Centre],$A555),"")</f>
        <v/>
      </c>
      <c r="G555" s="62">
        <f>IFERROR(INDEX(tbl_Finance[Ex GST],$A555),"")</f>
        <v/>
      </c>
      <c r="H555" s="60">
        <f>IFERROR(INDEX(tbl_Finance[Defer Start],$A555),"")</f>
        <v/>
      </c>
      <c r="I555" s="60">
        <f>IFERROR(INDEX(tbl_Finance[Defer End],$A555),"")</f>
        <v/>
      </c>
      <c r="J555" s="59">
        <f>IF(OR($H555="",$I555="",$G555=""),"",MAX(1,(YEAR($I555)-YEAR($H555))*12+MONTH($I555)-MONTH($H555)+1))</f>
        <v/>
      </c>
      <c r="K555" s="62">
        <f>IF($J555="","",$G555/$J555)</f>
        <v/>
      </c>
      <c r="L555" s="62">
        <f>IF($J555="",0,$K555*MAX(0,MIN(YEAR($C$3)*12+MONTH($C$3),YEAR($I555)*12+MONTH($I555))-(YEAR($H555)*12+MONTH($H555))+1))</f>
        <v/>
      </c>
      <c r="M555" s="62">
        <f>IF($J555="",0,$K555*MAX(0,MIN(YEAR($C$3)*12+MONTH($C$3)-1,YEAR($I555)*12+MONTH($I555))-(YEAR($H555)*12+MONTH($H555))+1))</f>
        <v/>
      </c>
      <c r="N555" s="62">
        <f>IF(OR($J555="",$B555=""),0,IF(YEAR($B555)*12+MONTH($B555)&lt;=YEAR($C$3)*12+MONTH($C$3),$G555,0))</f>
        <v/>
      </c>
      <c r="O555" s="62">
        <f>IF(OR($J555="",$B555=""),0,IF(YEAR($B555)*12+MONTH($B555)&lt;=YEAR($C$3)*12+MONTH($C$3)-1,$G555,0))</f>
        <v/>
      </c>
      <c r="P555" s="62">
        <f>$M555-$O555</f>
        <v/>
      </c>
      <c r="Q555" s="62">
        <f>($L555-$M555)-($N555-$O555)</f>
        <v/>
      </c>
      <c r="R555" s="62">
        <f>$L555-$N555</f>
        <v/>
      </c>
    </row>
    <row r="556">
      <c r="A556" s="59">
        <f>ROW()-5</f>
        <v/>
      </c>
      <c r="B556" s="60">
        <f>IFERROR(INDEX(tbl_Finance[Date],$A556),"")</f>
        <v/>
      </c>
      <c r="C556" s="61">
        <f>IFERROR(INDEX(tbl_Finance[Xero Invoice No],$A556),"")</f>
        <v/>
      </c>
      <c r="D556" s="61">
        <f>IFERROR(INDEX(tbl_Finance[Client],$A556),"")</f>
        <v/>
      </c>
      <c r="E556" s="61">
        <f>IFERROR(INDEX(tbl_Finance[Job Number],$A556),"")</f>
        <v/>
      </c>
      <c r="F556" s="61">
        <f>IFERROR(INDEX(tbl_Finance[Cost Centre],$A556),"")</f>
        <v/>
      </c>
      <c r="G556" s="62">
        <f>IFERROR(INDEX(tbl_Finance[Ex GST],$A556),"")</f>
        <v/>
      </c>
      <c r="H556" s="60">
        <f>IFERROR(INDEX(tbl_Finance[Defer Start],$A556),"")</f>
        <v/>
      </c>
      <c r="I556" s="60">
        <f>IFERROR(INDEX(tbl_Finance[Defer End],$A556),"")</f>
        <v/>
      </c>
      <c r="J556" s="59">
        <f>IF(OR($H556="",$I556="",$G556=""),"",MAX(1,(YEAR($I556)-YEAR($H556))*12+MONTH($I556)-MONTH($H556)+1))</f>
        <v/>
      </c>
      <c r="K556" s="62">
        <f>IF($J556="","",$G556/$J556)</f>
        <v/>
      </c>
      <c r="L556" s="62">
        <f>IF($J556="",0,$K556*MAX(0,MIN(YEAR($C$3)*12+MONTH($C$3),YEAR($I556)*12+MONTH($I556))-(YEAR($H556)*12+MONTH($H556))+1))</f>
        <v/>
      </c>
      <c r="M556" s="62">
        <f>IF($J556="",0,$K556*MAX(0,MIN(YEAR($C$3)*12+MONTH($C$3)-1,YEAR($I556)*12+MONTH($I556))-(YEAR($H556)*12+MONTH($H556))+1))</f>
        <v/>
      </c>
      <c r="N556" s="62">
        <f>IF(OR($J556="",$B556=""),0,IF(YEAR($B556)*12+MONTH($B556)&lt;=YEAR($C$3)*12+MONTH($C$3),$G556,0))</f>
        <v/>
      </c>
      <c r="O556" s="62">
        <f>IF(OR($J556="",$B556=""),0,IF(YEAR($B556)*12+MONTH($B556)&lt;=YEAR($C$3)*12+MONTH($C$3)-1,$G556,0))</f>
        <v/>
      </c>
      <c r="P556" s="62">
        <f>$M556-$O556</f>
        <v/>
      </c>
      <c r="Q556" s="62">
        <f>($L556-$M556)-($N556-$O556)</f>
        <v/>
      </c>
      <c r="R556" s="62">
        <f>$L556-$N556</f>
        <v/>
      </c>
    </row>
    <row r="557">
      <c r="A557" s="59">
        <f>ROW()-5</f>
        <v/>
      </c>
      <c r="B557" s="60">
        <f>IFERROR(INDEX(tbl_Finance[Date],$A557),"")</f>
        <v/>
      </c>
      <c r="C557" s="61">
        <f>IFERROR(INDEX(tbl_Finance[Xero Invoice No],$A557),"")</f>
        <v/>
      </c>
      <c r="D557" s="61">
        <f>IFERROR(INDEX(tbl_Finance[Client],$A557),"")</f>
        <v/>
      </c>
      <c r="E557" s="61">
        <f>IFERROR(INDEX(tbl_Finance[Job Number],$A557),"")</f>
        <v/>
      </c>
      <c r="F557" s="61">
        <f>IFERROR(INDEX(tbl_Finance[Cost Centre],$A557),"")</f>
        <v/>
      </c>
      <c r="G557" s="62">
        <f>IFERROR(INDEX(tbl_Finance[Ex GST],$A557),"")</f>
        <v/>
      </c>
      <c r="H557" s="60">
        <f>IFERROR(INDEX(tbl_Finance[Defer Start],$A557),"")</f>
        <v/>
      </c>
      <c r="I557" s="60">
        <f>IFERROR(INDEX(tbl_Finance[Defer End],$A557),"")</f>
        <v/>
      </c>
      <c r="J557" s="59">
        <f>IF(OR($H557="",$I557="",$G557=""),"",MAX(1,(YEAR($I557)-YEAR($H557))*12+MONTH($I557)-MONTH($H557)+1))</f>
        <v/>
      </c>
      <c r="K557" s="62">
        <f>IF($J557="","",$G557/$J557)</f>
        <v/>
      </c>
      <c r="L557" s="62">
        <f>IF($J557="",0,$K557*MAX(0,MIN(YEAR($C$3)*12+MONTH($C$3),YEAR($I557)*12+MONTH($I557))-(YEAR($H557)*12+MONTH($H557))+1))</f>
        <v/>
      </c>
      <c r="M557" s="62">
        <f>IF($J557="",0,$K557*MAX(0,MIN(YEAR($C$3)*12+MONTH($C$3)-1,YEAR($I557)*12+MONTH($I557))-(YEAR($H557)*12+MONTH($H557))+1))</f>
        <v/>
      </c>
      <c r="N557" s="62">
        <f>IF(OR($J557="",$B557=""),0,IF(YEAR($B557)*12+MONTH($B557)&lt;=YEAR($C$3)*12+MONTH($C$3),$G557,0))</f>
        <v/>
      </c>
      <c r="O557" s="62">
        <f>IF(OR($J557="",$B557=""),0,IF(YEAR($B557)*12+MONTH($B557)&lt;=YEAR($C$3)*12+MONTH($C$3)-1,$G557,0))</f>
        <v/>
      </c>
      <c r="P557" s="62">
        <f>$M557-$O557</f>
        <v/>
      </c>
      <c r="Q557" s="62">
        <f>($L557-$M557)-($N557-$O557)</f>
        <v/>
      </c>
      <c r="R557" s="62">
        <f>$L557-$N557</f>
        <v/>
      </c>
    </row>
    <row r="558">
      <c r="A558" s="59">
        <f>ROW()-5</f>
        <v/>
      </c>
      <c r="B558" s="60">
        <f>IFERROR(INDEX(tbl_Finance[Date],$A558),"")</f>
        <v/>
      </c>
      <c r="C558" s="61">
        <f>IFERROR(INDEX(tbl_Finance[Xero Invoice No],$A558),"")</f>
        <v/>
      </c>
      <c r="D558" s="61">
        <f>IFERROR(INDEX(tbl_Finance[Client],$A558),"")</f>
        <v/>
      </c>
      <c r="E558" s="61">
        <f>IFERROR(INDEX(tbl_Finance[Job Number],$A558),"")</f>
        <v/>
      </c>
      <c r="F558" s="61">
        <f>IFERROR(INDEX(tbl_Finance[Cost Centre],$A558),"")</f>
        <v/>
      </c>
      <c r="G558" s="62">
        <f>IFERROR(INDEX(tbl_Finance[Ex GST],$A558),"")</f>
        <v/>
      </c>
      <c r="H558" s="60">
        <f>IFERROR(INDEX(tbl_Finance[Defer Start],$A558),"")</f>
        <v/>
      </c>
      <c r="I558" s="60">
        <f>IFERROR(INDEX(tbl_Finance[Defer End],$A558),"")</f>
        <v/>
      </c>
      <c r="J558" s="59">
        <f>IF(OR($H558="",$I558="",$G558=""),"",MAX(1,(YEAR($I558)-YEAR($H558))*12+MONTH($I558)-MONTH($H558)+1))</f>
        <v/>
      </c>
      <c r="K558" s="62">
        <f>IF($J558="","",$G558/$J558)</f>
        <v/>
      </c>
      <c r="L558" s="62">
        <f>IF($J558="",0,$K558*MAX(0,MIN(YEAR($C$3)*12+MONTH($C$3),YEAR($I558)*12+MONTH($I558))-(YEAR($H558)*12+MONTH($H558))+1))</f>
        <v/>
      </c>
      <c r="M558" s="62">
        <f>IF($J558="",0,$K558*MAX(0,MIN(YEAR($C$3)*12+MONTH($C$3)-1,YEAR($I558)*12+MONTH($I558))-(YEAR($H558)*12+MONTH($H558))+1))</f>
        <v/>
      </c>
      <c r="N558" s="62">
        <f>IF(OR($J558="",$B558=""),0,IF(YEAR($B558)*12+MONTH($B558)&lt;=YEAR($C$3)*12+MONTH($C$3),$G558,0))</f>
        <v/>
      </c>
      <c r="O558" s="62">
        <f>IF(OR($J558="",$B558=""),0,IF(YEAR($B558)*12+MONTH($B558)&lt;=YEAR($C$3)*12+MONTH($C$3)-1,$G558,0))</f>
        <v/>
      </c>
      <c r="P558" s="62">
        <f>$M558-$O558</f>
        <v/>
      </c>
      <c r="Q558" s="62">
        <f>($L558-$M558)-($N558-$O558)</f>
        <v/>
      </c>
      <c r="R558" s="62">
        <f>$L558-$N558</f>
        <v/>
      </c>
    </row>
    <row r="559">
      <c r="A559" s="59">
        <f>ROW()-5</f>
        <v/>
      </c>
      <c r="B559" s="60">
        <f>IFERROR(INDEX(tbl_Finance[Date],$A559),"")</f>
        <v/>
      </c>
      <c r="C559" s="61">
        <f>IFERROR(INDEX(tbl_Finance[Xero Invoice No],$A559),"")</f>
        <v/>
      </c>
      <c r="D559" s="61">
        <f>IFERROR(INDEX(tbl_Finance[Client],$A559),"")</f>
        <v/>
      </c>
      <c r="E559" s="61">
        <f>IFERROR(INDEX(tbl_Finance[Job Number],$A559),"")</f>
        <v/>
      </c>
      <c r="F559" s="61">
        <f>IFERROR(INDEX(tbl_Finance[Cost Centre],$A559),"")</f>
        <v/>
      </c>
      <c r="G559" s="62">
        <f>IFERROR(INDEX(tbl_Finance[Ex GST],$A559),"")</f>
        <v/>
      </c>
      <c r="H559" s="60">
        <f>IFERROR(INDEX(tbl_Finance[Defer Start],$A559),"")</f>
        <v/>
      </c>
      <c r="I559" s="60">
        <f>IFERROR(INDEX(tbl_Finance[Defer End],$A559),"")</f>
        <v/>
      </c>
      <c r="J559" s="59">
        <f>IF(OR($H559="",$I559="",$G559=""),"",MAX(1,(YEAR($I559)-YEAR($H559))*12+MONTH($I559)-MONTH($H559)+1))</f>
        <v/>
      </c>
      <c r="K559" s="62">
        <f>IF($J559="","",$G559/$J559)</f>
        <v/>
      </c>
      <c r="L559" s="62">
        <f>IF($J559="",0,$K559*MAX(0,MIN(YEAR($C$3)*12+MONTH($C$3),YEAR($I559)*12+MONTH($I559))-(YEAR($H559)*12+MONTH($H559))+1))</f>
        <v/>
      </c>
      <c r="M559" s="62">
        <f>IF($J559="",0,$K559*MAX(0,MIN(YEAR($C$3)*12+MONTH($C$3)-1,YEAR($I559)*12+MONTH($I559))-(YEAR($H559)*12+MONTH($H559))+1))</f>
        <v/>
      </c>
      <c r="N559" s="62">
        <f>IF(OR($J559="",$B559=""),0,IF(YEAR($B559)*12+MONTH($B559)&lt;=YEAR($C$3)*12+MONTH($C$3),$G559,0))</f>
        <v/>
      </c>
      <c r="O559" s="62">
        <f>IF(OR($J559="",$B559=""),0,IF(YEAR($B559)*12+MONTH($B559)&lt;=YEAR($C$3)*12+MONTH($C$3)-1,$G559,0))</f>
        <v/>
      </c>
      <c r="P559" s="62">
        <f>$M559-$O559</f>
        <v/>
      </c>
      <c r="Q559" s="62">
        <f>($L559-$M559)-($N559-$O559)</f>
        <v/>
      </c>
      <c r="R559" s="62">
        <f>$L559-$N559</f>
        <v/>
      </c>
    </row>
    <row r="560">
      <c r="A560" s="59">
        <f>ROW()-5</f>
        <v/>
      </c>
      <c r="B560" s="60">
        <f>IFERROR(INDEX(tbl_Finance[Date],$A560),"")</f>
        <v/>
      </c>
      <c r="C560" s="61">
        <f>IFERROR(INDEX(tbl_Finance[Xero Invoice No],$A560),"")</f>
        <v/>
      </c>
      <c r="D560" s="61">
        <f>IFERROR(INDEX(tbl_Finance[Client],$A560),"")</f>
        <v/>
      </c>
      <c r="E560" s="61">
        <f>IFERROR(INDEX(tbl_Finance[Job Number],$A560),"")</f>
        <v/>
      </c>
      <c r="F560" s="61">
        <f>IFERROR(INDEX(tbl_Finance[Cost Centre],$A560),"")</f>
        <v/>
      </c>
      <c r="G560" s="62">
        <f>IFERROR(INDEX(tbl_Finance[Ex GST],$A560),"")</f>
        <v/>
      </c>
      <c r="H560" s="60">
        <f>IFERROR(INDEX(tbl_Finance[Defer Start],$A560),"")</f>
        <v/>
      </c>
      <c r="I560" s="60">
        <f>IFERROR(INDEX(tbl_Finance[Defer End],$A560),"")</f>
        <v/>
      </c>
      <c r="J560" s="59">
        <f>IF(OR($H560="",$I560="",$G560=""),"",MAX(1,(YEAR($I560)-YEAR($H560))*12+MONTH($I560)-MONTH($H560)+1))</f>
        <v/>
      </c>
      <c r="K560" s="62">
        <f>IF($J560="","",$G560/$J560)</f>
        <v/>
      </c>
      <c r="L560" s="62">
        <f>IF($J560="",0,$K560*MAX(0,MIN(YEAR($C$3)*12+MONTH($C$3),YEAR($I560)*12+MONTH($I560))-(YEAR($H560)*12+MONTH($H560))+1))</f>
        <v/>
      </c>
      <c r="M560" s="62">
        <f>IF($J560="",0,$K560*MAX(0,MIN(YEAR($C$3)*12+MONTH($C$3)-1,YEAR($I560)*12+MONTH($I560))-(YEAR($H560)*12+MONTH($H560))+1))</f>
        <v/>
      </c>
      <c r="N560" s="62">
        <f>IF(OR($J560="",$B560=""),0,IF(YEAR($B560)*12+MONTH($B560)&lt;=YEAR($C$3)*12+MONTH($C$3),$G560,0))</f>
        <v/>
      </c>
      <c r="O560" s="62">
        <f>IF(OR($J560="",$B560=""),0,IF(YEAR($B560)*12+MONTH($B560)&lt;=YEAR($C$3)*12+MONTH($C$3)-1,$G560,0))</f>
        <v/>
      </c>
      <c r="P560" s="62">
        <f>$M560-$O560</f>
        <v/>
      </c>
      <c r="Q560" s="62">
        <f>($L560-$M560)-($N560-$O560)</f>
        <v/>
      </c>
      <c r="R560" s="62">
        <f>$L560-$N560</f>
        <v/>
      </c>
    </row>
    <row r="561">
      <c r="A561" s="59">
        <f>ROW()-5</f>
        <v/>
      </c>
      <c r="B561" s="60">
        <f>IFERROR(INDEX(tbl_Finance[Date],$A561),"")</f>
        <v/>
      </c>
      <c r="C561" s="61">
        <f>IFERROR(INDEX(tbl_Finance[Xero Invoice No],$A561),"")</f>
        <v/>
      </c>
      <c r="D561" s="61">
        <f>IFERROR(INDEX(tbl_Finance[Client],$A561),"")</f>
        <v/>
      </c>
      <c r="E561" s="61">
        <f>IFERROR(INDEX(tbl_Finance[Job Number],$A561),"")</f>
        <v/>
      </c>
      <c r="F561" s="61">
        <f>IFERROR(INDEX(tbl_Finance[Cost Centre],$A561),"")</f>
        <v/>
      </c>
      <c r="G561" s="62">
        <f>IFERROR(INDEX(tbl_Finance[Ex GST],$A561),"")</f>
        <v/>
      </c>
      <c r="H561" s="60">
        <f>IFERROR(INDEX(tbl_Finance[Defer Start],$A561),"")</f>
        <v/>
      </c>
      <c r="I561" s="60">
        <f>IFERROR(INDEX(tbl_Finance[Defer End],$A561),"")</f>
        <v/>
      </c>
      <c r="J561" s="59">
        <f>IF(OR($H561="",$I561="",$G561=""),"",MAX(1,(YEAR($I561)-YEAR($H561))*12+MONTH($I561)-MONTH($H561)+1))</f>
        <v/>
      </c>
      <c r="K561" s="62">
        <f>IF($J561="","",$G561/$J561)</f>
        <v/>
      </c>
      <c r="L561" s="62">
        <f>IF($J561="",0,$K561*MAX(0,MIN(YEAR($C$3)*12+MONTH($C$3),YEAR($I561)*12+MONTH($I561))-(YEAR($H561)*12+MONTH($H561))+1))</f>
        <v/>
      </c>
      <c r="M561" s="62">
        <f>IF($J561="",0,$K561*MAX(0,MIN(YEAR($C$3)*12+MONTH($C$3)-1,YEAR($I561)*12+MONTH($I561))-(YEAR($H561)*12+MONTH($H561))+1))</f>
        <v/>
      </c>
      <c r="N561" s="62">
        <f>IF(OR($J561="",$B561=""),0,IF(YEAR($B561)*12+MONTH($B561)&lt;=YEAR($C$3)*12+MONTH($C$3),$G561,0))</f>
        <v/>
      </c>
      <c r="O561" s="62">
        <f>IF(OR($J561="",$B561=""),0,IF(YEAR($B561)*12+MONTH($B561)&lt;=YEAR($C$3)*12+MONTH($C$3)-1,$G561,0))</f>
        <v/>
      </c>
      <c r="P561" s="62">
        <f>$M561-$O561</f>
        <v/>
      </c>
      <c r="Q561" s="62">
        <f>($L561-$M561)-($N561-$O561)</f>
        <v/>
      </c>
      <c r="R561" s="62">
        <f>$L561-$N561</f>
        <v/>
      </c>
    </row>
    <row r="562">
      <c r="A562" s="59">
        <f>ROW()-5</f>
        <v/>
      </c>
      <c r="B562" s="60">
        <f>IFERROR(INDEX(tbl_Finance[Date],$A562),"")</f>
        <v/>
      </c>
      <c r="C562" s="61">
        <f>IFERROR(INDEX(tbl_Finance[Xero Invoice No],$A562),"")</f>
        <v/>
      </c>
      <c r="D562" s="61">
        <f>IFERROR(INDEX(tbl_Finance[Client],$A562),"")</f>
        <v/>
      </c>
      <c r="E562" s="61">
        <f>IFERROR(INDEX(tbl_Finance[Job Number],$A562),"")</f>
        <v/>
      </c>
      <c r="F562" s="61">
        <f>IFERROR(INDEX(tbl_Finance[Cost Centre],$A562),"")</f>
        <v/>
      </c>
      <c r="G562" s="62">
        <f>IFERROR(INDEX(tbl_Finance[Ex GST],$A562),"")</f>
        <v/>
      </c>
      <c r="H562" s="60">
        <f>IFERROR(INDEX(tbl_Finance[Defer Start],$A562),"")</f>
        <v/>
      </c>
      <c r="I562" s="60">
        <f>IFERROR(INDEX(tbl_Finance[Defer End],$A562),"")</f>
        <v/>
      </c>
      <c r="J562" s="59">
        <f>IF(OR($H562="",$I562="",$G562=""),"",MAX(1,(YEAR($I562)-YEAR($H562))*12+MONTH($I562)-MONTH($H562)+1))</f>
        <v/>
      </c>
      <c r="K562" s="62">
        <f>IF($J562="","",$G562/$J562)</f>
        <v/>
      </c>
      <c r="L562" s="62">
        <f>IF($J562="",0,$K562*MAX(0,MIN(YEAR($C$3)*12+MONTH($C$3),YEAR($I562)*12+MONTH($I562))-(YEAR($H562)*12+MONTH($H562))+1))</f>
        <v/>
      </c>
      <c r="M562" s="62">
        <f>IF($J562="",0,$K562*MAX(0,MIN(YEAR($C$3)*12+MONTH($C$3)-1,YEAR($I562)*12+MONTH($I562))-(YEAR($H562)*12+MONTH($H562))+1))</f>
        <v/>
      </c>
      <c r="N562" s="62">
        <f>IF(OR($J562="",$B562=""),0,IF(YEAR($B562)*12+MONTH($B562)&lt;=YEAR($C$3)*12+MONTH($C$3),$G562,0))</f>
        <v/>
      </c>
      <c r="O562" s="62">
        <f>IF(OR($J562="",$B562=""),0,IF(YEAR($B562)*12+MONTH($B562)&lt;=YEAR($C$3)*12+MONTH($C$3)-1,$G562,0))</f>
        <v/>
      </c>
      <c r="P562" s="62">
        <f>$M562-$O562</f>
        <v/>
      </c>
      <c r="Q562" s="62">
        <f>($L562-$M562)-($N562-$O562)</f>
        <v/>
      </c>
      <c r="R562" s="62">
        <f>$L562-$N562</f>
        <v/>
      </c>
    </row>
    <row r="563">
      <c r="A563" s="59">
        <f>ROW()-5</f>
        <v/>
      </c>
      <c r="B563" s="60">
        <f>IFERROR(INDEX(tbl_Finance[Date],$A563),"")</f>
        <v/>
      </c>
      <c r="C563" s="61">
        <f>IFERROR(INDEX(tbl_Finance[Xero Invoice No],$A563),"")</f>
        <v/>
      </c>
      <c r="D563" s="61">
        <f>IFERROR(INDEX(tbl_Finance[Client],$A563),"")</f>
        <v/>
      </c>
      <c r="E563" s="61">
        <f>IFERROR(INDEX(tbl_Finance[Job Number],$A563),"")</f>
        <v/>
      </c>
      <c r="F563" s="61">
        <f>IFERROR(INDEX(tbl_Finance[Cost Centre],$A563),"")</f>
        <v/>
      </c>
      <c r="G563" s="62">
        <f>IFERROR(INDEX(tbl_Finance[Ex GST],$A563),"")</f>
        <v/>
      </c>
      <c r="H563" s="60">
        <f>IFERROR(INDEX(tbl_Finance[Defer Start],$A563),"")</f>
        <v/>
      </c>
      <c r="I563" s="60">
        <f>IFERROR(INDEX(tbl_Finance[Defer End],$A563),"")</f>
        <v/>
      </c>
      <c r="J563" s="59">
        <f>IF(OR($H563="",$I563="",$G563=""),"",MAX(1,(YEAR($I563)-YEAR($H563))*12+MONTH($I563)-MONTH($H563)+1))</f>
        <v/>
      </c>
      <c r="K563" s="62">
        <f>IF($J563="","",$G563/$J563)</f>
        <v/>
      </c>
      <c r="L563" s="62">
        <f>IF($J563="",0,$K563*MAX(0,MIN(YEAR($C$3)*12+MONTH($C$3),YEAR($I563)*12+MONTH($I563))-(YEAR($H563)*12+MONTH($H563))+1))</f>
        <v/>
      </c>
      <c r="M563" s="62">
        <f>IF($J563="",0,$K563*MAX(0,MIN(YEAR($C$3)*12+MONTH($C$3)-1,YEAR($I563)*12+MONTH($I563))-(YEAR($H563)*12+MONTH($H563))+1))</f>
        <v/>
      </c>
      <c r="N563" s="62">
        <f>IF(OR($J563="",$B563=""),0,IF(YEAR($B563)*12+MONTH($B563)&lt;=YEAR($C$3)*12+MONTH($C$3),$G563,0))</f>
        <v/>
      </c>
      <c r="O563" s="62">
        <f>IF(OR($J563="",$B563=""),0,IF(YEAR($B563)*12+MONTH($B563)&lt;=YEAR($C$3)*12+MONTH($C$3)-1,$G563,0))</f>
        <v/>
      </c>
      <c r="P563" s="62">
        <f>$M563-$O563</f>
        <v/>
      </c>
      <c r="Q563" s="62">
        <f>($L563-$M563)-($N563-$O563)</f>
        <v/>
      </c>
      <c r="R563" s="62">
        <f>$L563-$N563</f>
        <v/>
      </c>
    </row>
    <row r="564">
      <c r="A564" s="59">
        <f>ROW()-5</f>
        <v/>
      </c>
      <c r="B564" s="60">
        <f>IFERROR(INDEX(tbl_Finance[Date],$A564),"")</f>
        <v/>
      </c>
      <c r="C564" s="61">
        <f>IFERROR(INDEX(tbl_Finance[Xero Invoice No],$A564),"")</f>
        <v/>
      </c>
      <c r="D564" s="61">
        <f>IFERROR(INDEX(tbl_Finance[Client],$A564),"")</f>
        <v/>
      </c>
      <c r="E564" s="61">
        <f>IFERROR(INDEX(tbl_Finance[Job Number],$A564),"")</f>
        <v/>
      </c>
      <c r="F564" s="61">
        <f>IFERROR(INDEX(tbl_Finance[Cost Centre],$A564),"")</f>
        <v/>
      </c>
      <c r="G564" s="62">
        <f>IFERROR(INDEX(tbl_Finance[Ex GST],$A564),"")</f>
        <v/>
      </c>
      <c r="H564" s="60">
        <f>IFERROR(INDEX(tbl_Finance[Defer Start],$A564),"")</f>
        <v/>
      </c>
      <c r="I564" s="60">
        <f>IFERROR(INDEX(tbl_Finance[Defer End],$A564),"")</f>
        <v/>
      </c>
      <c r="J564" s="59">
        <f>IF(OR($H564="",$I564="",$G564=""),"",MAX(1,(YEAR($I564)-YEAR($H564))*12+MONTH($I564)-MONTH($H564)+1))</f>
        <v/>
      </c>
      <c r="K564" s="62">
        <f>IF($J564="","",$G564/$J564)</f>
        <v/>
      </c>
      <c r="L564" s="62">
        <f>IF($J564="",0,$K564*MAX(0,MIN(YEAR($C$3)*12+MONTH($C$3),YEAR($I564)*12+MONTH($I564))-(YEAR($H564)*12+MONTH($H564))+1))</f>
        <v/>
      </c>
      <c r="M564" s="62">
        <f>IF($J564="",0,$K564*MAX(0,MIN(YEAR($C$3)*12+MONTH($C$3)-1,YEAR($I564)*12+MONTH($I564))-(YEAR($H564)*12+MONTH($H564))+1))</f>
        <v/>
      </c>
      <c r="N564" s="62">
        <f>IF(OR($J564="",$B564=""),0,IF(YEAR($B564)*12+MONTH($B564)&lt;=YEAR($C$3)*12+MONTH($C$3),$G564,0))</f>
        <v/>
      </c>
      <c r="O564" s="62">
        <f>IF(OR($J564="",$B564=""),0,IF(YEAR($B564)*12+MONTH($B564)&lt;=YEAR($C$3)*12+MONTH($C$3)-1,$G564,0))</f>
        <v/>
      </c>
      <c r="P564" s="62">
        <f>$M564-$O564</f>
        <v/>
      </c>
      <c r="Q564" s="62">
        <f>($L564-$M564)-($N564-$O564)</f>
        <v/>
      </c>
      <c r="R564" s="62">
        <f>$L564-$N564</f>
        <v/>
      </c>
    </row>
    <row r="565">
      <c r="A565" s="59">
        <f>ROW()-5</f>
        <v/>
      </c>
      <c r="B565" s="60">
        <f>IFERROR(INDEX(tbl_Finance[Date],$A565),"")</f>
        <v/>
      </c>
      <c r="C565" s="61">
        <f>IFERROR(INDEX(tbl_Finance[Xero Invoice No],$A565),"")</f>
        <v/>
      </c>
      <c r="D565" s="61">
        <f>IFERROR(INDEX(tbl_Finance[Client],$A565),"")</f>
        <v/>
      </c>
      <c r="E565" s="61">
        <f>IFERROR(INDEX(tbl_Finance[Job Number],$A565),"")</f>
        <v/>
      </c>
      <c r="F565" s="61">
        <f>IFERROR(INDEX(tbl_Finance[Cost Centre],$A565),"")</f>
        <v/>
      </c>
      <c r="G565" s="62">
        <f>IFERROR(INDEX(tbl_Finance[Ex GST],$A565),"")</f>
        <v/>
      </c>
      <c r="H565" s="60">
        <f>IFERROR(INDEX(tbl_Finance[Defer Start],$A565),"")</f>
        <v/>
      </c>
      <c r="I565" s="60">
        <f>IFERROR(INDEX(tbl_Finance[Defer End],$A565),"")</f>
        <v/>
      </c>
      <c r="J565" s="59">
        <f>IF(OR($H565="",$I565="",$G565=""),"",MAX(1,(YEAR($I565)-YEAR($H565))*12+MONTH($I565)-MONTH($H565)+1))</f>
        <v/>
      </c>
      <c r="K565" s="62">
        <f>IF($J565="","",$G565/$J565)</f>
        <v/>
      </c>
      <c r="L565" s="62">
        <f>IF($J565="",0,$K565*MAX(0,MIN(YEAR($C$3)*12+MONTH($C$3),YEAR($I565)*12+MONTH($I565))-(YEAR($H565)*12+MONTH($H565))+1))</f>
        <v/>
      </c>
      <c r="M565" s="62">
        <f>IF($J565="",0,$K565*MAX(0,MIN(YEAR($C$3)*12+MONTH($C$3)-1,YEAR($I565)*12+MONTH($I565))-(YEAR($H565)*12+MONTH($H565))+1))</f>
        <v/>
      </c>
      <c r="N565" s="62">
        <f>IF(OR($J565="",$B565=""),0,IF(YEAR($B565)*12+MONTH($B565)&lt;=YEAR($C$3)*12+MONTH($C$3),$G565,0))</f>
        <v/>
      </c>
      <c r="O565" s="62">
        <f>IF(OR($J565="",$B565=""),0,IF(YEAR($B565)*12+MONTH($B565)&lt;=YEAR($C$3)*12+MONTH($C$3)-1,$G565,0))</f>
        <v/>
      </c>
      <c r="P565" s="62">
        <f>$M565-$O565</f>
        <v/>
      </c>
      <c r="Q565" s="62">
        <f>($L565-$M565)-($N565-$O565)</f>
        <v/>
      </c>
      <c r="R565" s="62">
        <f>$L565-$N565</f>
        <v/>
      </c>
    </row>
    <row r="566">
      <c r="A566" s="59">
        <f>ROW()-5</f>
        <v/>
      </c>
      <c r="B566" s="60">
        <f>IFERROR(INDEX(tbl_Finance[Date],$A566),"")</f>
        <v/>
      </c>
      <c r="C566" s="61">
        <f>IFERROR(INDEX(tbl_Finance[Xero Invoice No],$A566),"")</f>
        <v/>
      </c>
      <c r="D566" s="61">
        <f>IFERROR(INDEX(tbl_Finance[Client],$A566),"")</f>
        <v/>
      </c>
      <c r="E566" s="61">
        <f>IFERROR(INDEX(tbl_Finance[Job Number],$A566),"")</f>
        <v/>
      </c>
      <c r="F566" s="61">
        <f>IFERROR(INDEX(tbl_Finance[Cost Centre],$A566),"")</f>
        <v/>
      </c>
      <c r="G566" s="62">
        <f>IFERROR(INDEX(tbl_Finance[Ex GST],$A566),"")</f>
        <v/>
      </c>
      <c r="H566" s="60">
        <f>IFERROR(INDEX(tbl_Finance[Defer Start],$A566),"")</f>
        <v/>
      </c>
      <c r="I566" s="60">
        <f>IFERROR(INDEX(tbl_Finance[Defer End],$A566),"")</f>
        <v/>
      </c>
      <c r="J566" s="59">
        <f>IF(OR($H566="",$I566="",$G566=""),"",MAX(1,(YEAR($I566)-YEAR($H566))*12+MONTH($I566)-MONTH($H566)+1))</f>
        <v/>
      </c>
      <c r="K566" s="62">
        <f>IF($J566="","",$G566/$J566)</f>
        <v/>
      </c>
      <c r="L566" s="62">
        <f>IF($J566="",0,$K566*MAX(0,MIN(YEAR($C$3)*12+MONTH($C$3),YEAR($I566)*12+MONTH($I566))-(YEAR($H566)*12+MONTH($H566))+1))</f>
        <v/>
      </c>
      <c r="M566" s="62">
        <f>IF($J566="",0,$K566*MAX(0,MIN(YEAR($C$3)*12+MONTH($C$3)-1,YEAR($I566)*12+MONTH($I566))-(YEAR($H566)*12+MONTH($H566))+1))</f>
        <v/>
      </c>
      <c r="N566" s="62">
        <f>IF(OR($J566="",$B566=""),0,IF(YEAR($B566)*12+MONTH($B566)&lt;=YEAR($C$3)*12+MONTH($C$3),$G566,0))</f>
        <v/>
      </c>
      <c r="O566" s="62">
        <f>IF(OR($J566="",$B566=""),0,IF(YEAR($B566)*12+MONTH($B566)&lt;=YEAR($C$3)*12+MONTH($C$3)-1,$G566,0))</f>
        <v/>
      </c>
      <c r="P566" s="62">
        <f>$M566-$O566</f>
        <v/>
      </c>
      <c r="Q566" s="62">
        <f>($L566-$M566)-($N566-$O566)</f>
        <v/>
      </c>
      <c r="R566" s="62">
        <f>$L566-$N566</f>
        <v/>
      </c>
    </row>
    <row r="567">
      <c r="A567" s="59">
        <f>ROW()-5</f>
        <v/>
      </c>
      <c r="B567" s="60">
        <f>IFERROR(INDEX(tbl_Finance[Date],$A567),"")</f>
        <v/>
      </c>
      <c r="C567" s="61">
        <f>IFERROR(INDEX(tbl_Finance[Xero Invoice No],$A567),"")</f>
        <v/>
      </c>
      <c r="D567" s="61">
        <f>IFERROR(INDEX(tbl_Finance[Client],$A567),"")</f>
        <v/>
      </c>
      <c r="E567" s="61">
        <f>IFERROR(INDEX(tbl_Finance[Job Number],$A567),"")</f>
        <v/>
      </c>
      <c r="F567" s="61">
        <f>IFERROR(INDEX(tbl_Finance[Cost Centre],$A567),"")</f>
        <v/>
      </c>
      <c r="G567" s="62">
        <f>IFERROR(INDEX(tbl_Finance[Ex GST],$A567),"")</f>
        <v/>
      </c>
      <c r="H567" s="60">
        <f>IFERROR(INDEX(tbl_Finance[Defer Start],$A567),"")</f>
        <v/>
      </c>
      <c r="I567" s="60">
        <f>IFERROR(INDEX(tbl_Finance[Defer End],$A567),"")</f>
        <v/>
      </c>
      <c r="J567" s="59">
        <f>IF(OR($H567="",$I567="",$G567=""),"",MAX(1,(YEAR($I567)-YEAR($H567))*12+MONTH($I567)-MONTH($H567)+1))</f>
        <v/>
      </c>
      <c r="K567" s="62">
        <f>IF($J567="","",$G567/$J567)</f>
        <v/>
      </c>
      <c r="L567" s="62">
        <f>IF($J567="",0,$K567*MAX(0,MIN(YEAR($C$3)*12+MONTH($C$3),YEAR($I567)*12+MONTH($I567))-(YEAR($H567)*12+MONTH($H567))+1))</f>
        <v/>
      </c>
      <c r="M567" s="62">
        <f>IF($J567="",0,$K567*MAX(0,MIN(YEAR($C$3)*12+MONTH($C$3)-1,YEAR($I567)*12+MONTH($I567))-(YEAR($H567)*12+MONTH($H567))+1))</f>
        <v/>
      </c>
      <c r="N567" s="62">
        <f>IF(OR($J567="",$B567=""),0,IF(YEAR($B567)*12+MONTH($B567)&lt;=YEAR($C$3)*12+MONTH($C$3),$G567,0))</f>
        <v/>
      </c>
      <c r="O567" s="62">
        <f>IF(OR($J567="",$B567=""),0,IF(YEAR($B567)*12+MONTH($B567)&lt;=YEAR($C$3)*12+MONTH($C$3)-1,$G567,0))</f>
        <v/>
      </c>
      <c r="P567" s="62">
        <f>$M567-$O567</f>
        <v/>
      </c>
      <c r="Q567" s="62">
        <f>($L567-$M567)-($N567-$O567)</f>
        <v/>
      </c>
      <c r="R567" s="62">
        <f>$L567-$N567</f>
        <v/>
      </c>
    </row>
    <row r="568">
      <c r="A568" s="59">
        <f>ROW()-5</f>
        <v/>
      </c>
      <c r="B568" s="60">
        <f>IFERROR(INDEX(tbl_Finance[Date],$A568),"")</f>
        <v/>
      </c>
      <c r="C568" s="61">
        <f>IFERROR(INDEX(tbl_Finance[Xero Invoice No],$A568),"")</f>
        <v/>
      </c>
      <c r="D568" s="61">
        <f>IFERROR(INDEX(tbl_Finance[Client],$A568),"")</f>
        <v/>
      </c>
      <c r="E568" s="61">
        <f>IFERROR(INDEX(tbl_Finance[Job Number],$A568),"")</f>
        <v/>
      </c>
      <c r="F568" s="61">
        <f>IFERROR(INDEX(tbl_Finance[Cost Centre],$A568),"")</f>
        <v/>
      </c>
      <c r="G568" s="62">
        <f>IFERROR(INDEX(tbl_Finance[Ex GST],$A568),"")</f>
        <v/>
      </c>
      <c r="H568" s="60">
        <f>IFERROR(INDEX(tbl_Finance[Defer Start],$A568),"")</f>
        <v/>
      </c>
      <c r="I568" s="60">
        <f>IFERROR(INDEX(tbl_Finance[Defer End],$A568),"")</f>
        <v/>
      </c>
      <c r="J568" s="59">
        <f>IF(OR($H568="",$I568="",$G568=""),"",MAX(1,(YEAR($I568)-YEAR($H568))*12+MONTH($I568)-MONTH($H568)+1))</f>
        <v/>
      </c>
      <c r="K568" s="62">
        <f>IF($J568="","",$G568/$J568)</f>
        <v/>
      </c>
      <c r="L568" s="62">
        <f>IF($J568="",0,$K568*MAX(0,MIN(YEAR($C$3)*12+MONTH($C$3),YEAR($I568)*12+MONTH($I568))-(YEAR($H568)*12+MONTH($H568))+1))</f>
        <v/>
      </c>
      <c r="M568" s="62">
        <f>IF($J568="",0,$K568*MAX(0,MIN(YEAR($C$3)*12+MONTH($C$3)-1,YEAR($I568)*12+MONTH($I568))-(YEAR($H568)*12+MONTH($H568))+1))</f>
        <v/>
      </c>
      <c r="N568" s="62">
        <f>IF(OR($J568="",$B568=""),0,IF(YEAR($B568)*12+MONTH($B568)&lt;=YEAR($C$3)*12+MONTH($C$3),$G568,0))</f>
        <v/>
      </c>
      <c r="O568" s="62">
        <f>IF(OR($J568="",$B568=""),0,IF(YEAR($B568)*12+MONTH($B568)&lt;=YEAR($C$3)*12+MONTH($C$3)-1,$G568,0))</f>
        <v/>
      </c>
      <c r="P568" s="62">
        <f>$M568-$O568</f>
        <v/>
      </c>
      <c r="Q568" s="62">
        <f>($L568-$M568)-($N568-$O568)</f>
        <v/>
      </c>
      <c r="R568" s="62">
        <f>$L568-$N568</f>
        <v/>
      </c>
    </row>
    <row r="569">
      <c r="A569" s="59">
        <f>ROW()-5</f>
        <v/>
      </c>
      <c r="B569" s="60">
        <f>IFERROR(INDEX(tbl_Finance[Date],$A569),"")</f>
        <v/>
      </c>
      <c r="C569" s="61">
        <f>IFERROR(INDEX(tbl_Finance[Xero Invoice No],$A569),"")</f>
        <v/>
      </c>
      <c r="D569" s="61">
        <f>IFERROR(INDEX(tbl_Finance[Client],$A569),"")</f>
        <v/>
      </c>
      <c r="E569" s="61">
        <f>IFERROR(INDEX(tbl_Finance[Job Number],$A569),"")</f>
        <v/>
      </c>
      <c r="F569" s="61">
        <f>IFERROR(INDEX(tbl_Finance[Cost Centre],$A569),"")</f>
        <v/>
      </c>
      <c r="G569" s="62">
        <f>IFERROR(INDEX(tbl_Finance[Ex GST],$A569),"")</f>
        <v/>
      </c>
      <c r="H569" s="60">
        <f>IFERROR(INDEX(tbl_Finance[Defer Start],$A569),"")</f>
        <v/>
      </c>
      <c r="I569" s="60">
        <f>IFERROR(INDEX(tbl_Finance[Defer End],$A569),"")</f>
        <v/>
      </c>
      <c r="J569" s="59">
        <f>IF(OR($H569="",$I569="",$G569=""),"",MAX(1,(YEAR($I569)-YEAR($H569))*12+MONTH($I569)-MONTH($H569)+1))</f>
        <v/>
      </c>
      <c r="K569" s="62">
        <f>IF($J569="","",$G569/$J569)</f>
        <v/>
      </c>
      <c r="L569" s="62">
        <f>IF($J569="",0,$K569*MAX(0,MIN(YEAR($C$3)*12+MONTH($C$3),YEAR($I569)*12+MONTH($I569))-(YEAR($H569)*12+MONTH($H569))+1))</f>
        <v/>
      </c>
      <c r="M569" s="62">
        <f>IF($J569="",0,$K569*MAX(0,MIN(YEAR($C$3)*12+MONTH($C$3)-1,YEAR($I569)*12+MONTH($I569))-(YEAR($H569)*12+MONTH($H569))+1))</f>
        <v/>
      </c>
      <c r="N569" s="62">
        <f>IF(OR($J569="",$B569=""),0,IF(YEAR($B569)*12+MONTH($B569)&lt;=YEAR($C$3)*12+MONTH($C$3),$G569,0))</f>
        <v/>
      </c>
      <c r="O569" s="62">
        <f>IF(OR($J569="",$B569=""),0,IF(YEAR($B569)*12+MONTH($B569)&lt;=YEAR($C$3)*12+MONTH($C$3)-1,$G569,0))</f>
        <v/>
      </c>
      <c r="P569" s="62">
        <f>$M569-$O569</f>
        <v/>
      </c>
      <c r="Q569" s="62">
        <f>($L569-$M569)-($N569-$O569)</f>
        <v/>
      </c>
      <c r="R569" s="62">
        <f>$L569-$N569</f>
        <v/>
      </c>
    </row>
    <row r="570">
      <c r="A570" s="59">
        <f>ROW()-5</f>
        <v/>
      </c>
      <c r="B570" s="60">
        <f>IFERROR(INDEX(tbl_Finance[Date],$A570),"")</f>
        <v/>
      </c>
      <c r="C570" s="61">
        <f>IFERROR(INDEX(tbl_Finance[Xero Invoice No],$A570),"")</f>
        <v/>
      </c>
      <c r="D570" s="61">
        <f>IFERROR(INDEX(tbl_Finance[Client],$A570),"")</f>
        <v/>
      </c>
      <c r="E570" s="61">
        <f>IFERROR(INDEX(tbl_Finance[Job Number],$A570),"")</f>
        <v/>
      </c>
      <c r="F570" s="61">
        <f>IFERROR(INDEX(tbl_Finance[Cost Centre],$A570),"")</f>
        <v/>
      </c>
      <c r="G570" s="62">
        <f>IFERROR(INDEX(tbl_Finance[Ex GST],$A570),"")</f>
        <v/>
      </c>
      <c r="H570" s="60">
        <f>IFERROR(INDEX(tbl_Finance[Defer Start],$A570),"")</f>
        <v/>
      </c>
      <c r="I570" s="60">
        <f>IFERROR(INDEX(tbl_Finance[Defer End],$A570),"")</f>
        <v/>
      </c>
      <c r="J570" s="59">
        <f>IF(OR($H570="",$I570="",$G570=""),"",MAX(1,(YEAR($I570)-YEAR($H570))*12+MONTH($I570)-MONTH($H570)+1))</f>
        <v/>
      </c>
      <c r="K570" s="62">
        <f>IF($J570="","",$G570/$J570)</f>
        <v/>
      </c>
      <c r="L570" s="62">
        <f>IF($J570="",0,$K570*MAX(0,MIN(YEAR($C$3)*12+MONTH($C$3),YEAR($I570)*12+MONTH($I570))-(YEAR($H570)*12+MONTH($H570))+1))</f>
        <v/>
      </c>
      <c r="M570" s="62">
        <f>IF($J570="",0,$K570*MAX(0,MIN(YEAR($C$3)*12+MONTH($C$3)-1,YEAR($I570)*12+MONTH($I570))-(YEAR($H570)*12+MONTH($H570))+1))</f>
        <v/>
      </c>
      <c r="N570" s="62">
        <f>IF(OR($J570="",$B570=""),0,IF(YEAR($B570)*12+MONTH($B570)&lt;=YEAR($C$3)*12+MONTH($C$3),$G570,0))</f>
        <v/>
      </c>
      <c r="O570" s="62">
        <f>IF(OR($J570="",$B570=""),0,IF(YEAR($B570)*12+MONTH($B570)&lt;=YEAR($C$3)*12+MONTH($C$3)-1,$G570,0))</f>
        <v/>
      </c>
      <c r="P570" s="62">
        <f>$M570-$O570</f>
        <v/>
      </c>
      <c r="Q570" s="62">
        <f>($L570-$M570)-($N570-$O570)</f>
        <v/>
      </c>
      <c r="R570" s="62">
        <f>$L570-$N570</f>
        <v/>
      </c>
    </row>
    <row r="571">
      <c r="A571" s="59">
        <f>ROW()-5</f>
        <v/>
      </c>
      <c r="B571" s="60">
        <f>IFERROR(INDEX(tbl_Finance[Date],$A571),"")</f>
        <v/>
      </c>
      <c r="C571" s="61">
        <f>IFERROR(INDEX(tbl_Finance[Xero Invoice No],$A571),"")</f>
        <v/>
      </c>
      <c r="D571" s="61">
        <f>IFERROR(INDEX(tbl_Finance[Client],$A571),"")</f>
        <v/>
      </c>
      <c r="E571" s="61">
        <f>IFERROR(INDEX(tbl_Finance[Job Number],$A571),"")</f>
        <v/>
      </c>
      <c r="F571" s="61">
        <f>IFERROR(INDEX(tbl_Finance[Cost Centre],$A571),"")</f>
        <v/>
      </c>
      <c r="G571" s="62">
        <f>IFERROR(INDEX(tbl_Finance[Ex GST],$A571),"")</f>
        <v/>
      </c>
      <c r="H571" s="60">
        <f>IFERROR(INDEX(tbl_Finance[Defer Start],$A571),"")</f>
        <v/>
      </c>
      <c r="I571" s="60">
        <f>IFERROR(INDEX(tbl_Finance[Defer End],$A571),"")</f>
        <v/>
      </c>
      <c r="J571" s="59">
        <f>IF(OR($H571="",$I571="",$G571=""),"",MAX(1,(YEAR($I571)-YEAR($H571))*12+MONTH($I571)-MONTH($H571)+1))</f>
        <v/>
      </c>
      <c r="K571" s="62">
        <f>IF($J571="","",$G571/$J571)</f>
        <v/>
      </c>
      <c r="L571" s="62">
        <f>IF($J571="",0,$K571*MAX(0,MIN(YEAR($C$3)*12+MONTH($C$3),YEAR($I571)*12+MONTH($I571))-(YEAR($H571)*12+MONTH($H571))+1))</f>
        <v/>
      </c>
      <c r="M571" s="62">
        <f>IF($J571="",0,$K571*MAX(0,MIN(YEAR($C$3)*12+MONTH($C$3)-1,YEAR($I571)*12+MONTH($I571))-(YEAR($H571)*12+MONTH($H571))+1))</f>
        <v/>
      </c>
      <c r="N571" s="62">
        <f>IF(OR($J571="",$B571=""),0,IF(YEAR($B571)*12+MONTH($B571)&lt;=YEAR($C$3)*12+MONTH($C$3),$G571,0))</f>
        <v/>
      </c>
      <c r="O571" s="62">
        <f>IF(OR($J571="",$B571=""),0,IF(YEAR($B571)*12+MONTH($B571)&lt;=YEAR($C$3)*12+MONTH($C$3)-1,$G571,0))</f>
        <v/>
      </c>
      <c r="P571" s="62">
        <f>$M571-$O571</f>
        <v/>
      </c>
      <c r="Q571" s="62">
        <f>($L571-$M571)-($N571-$O571)</f>
        <v/>
      </c>
      <c r="R571" s="62">
        <f>$L571-$N571</f>
        <v/>
      </c>
    </row>
    <row r="572">
      <c r="A572" s="59">
        <f>ROW()-5</f>
        <v/>
      </c>
      <c r="B572" s="60">
        <f>IFERROR(INDEX(tbl_Finance[Date],$A572),"")</f>
        <v/>
      </c>
      <c r="C572" s="61">
        <f>IFERROR(INDEX(tbl_Finance[Xero Invoice No],$A572),"")</f>
        <v/>
      </c>
      <c r="D572" s="61">
        <f>IFERROR(INDEX(tbl_Finance[Client],$A572),"")</f>
        <v/>
      </c>
      <c r="E572" s="61">
        <f>IFERROR(INDEX(tbl_Finance[Job Number],$A572),"")</f>
        <v/>
      </c>
      <c r="F572" s="61">
        <f>IFERROR(INDEX(tbl_Finance[Cost Centre],$A572),"")</f>
        <v/>
      </c>
      <c r="G572" s="62">
        <f>IFERROR(INDEX(tbl_Finance[Ex GST],$A572),"")</f>
        <v/>
      </c>
      <c r="H572" s="60">
        <f>IFERROR(INDEX(tbl_Finance[Defer Start],$A572),"")</f>
        <v/>
      </c>
      <c r="I572" s="60">
        <f>IFERROR(INDEX(tbl_Finance[Defer End],$A572),"")</f>
        <v/>
      </c>
      <c r="J572" s="59">
        <f>IF(OR($H572="",$I572="",$G572=""),"",MAX(1,(YEAR($I572)-YEAR($H572))*12+MONTH($I572)-MONTH($H572)+1))</f>
        <v/>
      </c>
      <c r="K572" s="62">
        <f>IF($J572="","",$G572/$J572)</f>
        <v/>
      </c>
      <c r="L572" s="62">
        <f>IF($J572="",0,$K572*MAX(0,MIN(YEAR($C$3)*12+MONTH($C$3),YEAR($I572)*12+MONTH($I572))-(YEAR($H572)*12+MONTH($H572))+1))</f>
        <v/>
      </c>
      <c r="M572" s="62">
        <f>IF($J572="",0,$K572*MAX(0,MIN(YEAR($C$3)*12+MONTH($C$3)-1,YEAR($I572)*12+MONTH($I572))-(YEAR($H572)*12+MONTH($H572))+1))</f>
        <v/>
      </c>
      <c r="N572" s="62">
        <f>IF(OR($J572="",$B572=""),0,IF(YEAR($B572)*12+MONTH($B572)&lt;=YEAR($C$3)*12+MONTH($C$3),$G572,0))</f>
        <v/>
      </c>
      <c r="O572" s="62">
        <f>IF(OR($J572="",$B572=""),0,IF(YEAR($B572)*12+MONTH($B572)&lt;=YEAR($C$3)*12+MONTH($C$3)-1,$G572,0))</f>
        <v/>
      </c>
      <c r="P572" s="62">
        <f>$M572-$O572</f>
        <v/>
      </c>
      <c r="Q572" s="62">
        <f>($L572-$M572)-($N572-$O572)</f>
        <v/>
      </c>
      <c r="R572" s="62">
        <f>$L572-$N572</f>
        <v/>
      </c>
    </row>
    <row r="573">
      <c r="A573" s="59">
        <f>ROW()-5</f>
        <v/>
      </c>
      <c r="B573" s="60">
        <f>IFERROR(INDEX(tbl_Finance[Date],$A573),"")</f>
        <v/>
      </c>
      <c r="C573" s="61">
        <f>IFERROR(INDEX(tbl_Finance[Xero Invoice No],$A573),"")</f>
        <v/>
      </c>
      <c r="D573" s="61">
        <f>IFERROR(INDEX(tbl_Finance[Client],$A573),"")</f>
        <v/>
      </c>
      <c r="E573" s="61">
        <f>IFERROR(INDEX(tbl_Finance[Job Number],$A573),"")</f>
        <v/>
      </c>
      <c r="F573" s="61">
        <f>IFERROR(INDEX(tbl_Finance[Cost Centre],$A573),"")</f>
        <v/>
      </c>
      <c r="G573" s="62">
        <f>IFERROR(INDEX(tbl_Finance[Ex GST],$A573),"")</f>
        <v/>
      </c>
      <c r="H573" s="60">
        <f>IFERROR(INDEX(tbl_Finance[Defer Start],$A573),"")</f>
        <v/>
      </c>
      <c r="I573" s="60">
        <f>IFERROR(INDEX(tbl_Finance[Defer End],$A573),"")</f>
        <v/>
      </c>
      <c r="J573" s="59">
        <f>IF(OR($H573="",$I573="",$G573=""),"",MAX(1,(YEAR($I573)-YEAR($H573))*12+MONTH($I573)-MONTH($H573)+1))</f>
        <v/>
      </c>
      <c r="K573" s="62">
        <f>IF($J573="","",$G573/$J573)</f>
        <v/>
      </c>
      <c r="L573" s="62">
        <f>IF($J573="",0,$K573*MAX(0,MIN(YEAR($C$3)*12+MONTH($C$3),YEAR($I573)*12+MONTH($I573))-(YEAR($H573)*12+MONTH($H573))+1))</f>
        <v/>
      </c>
      <c r="M573" s="62">
        <f>IF($J573="",0,$K573*MAX(0,MIN(YEAR($C$3)*12+MONTH($C$3)-1,YEAR($I573)*12+MONTH($I573))-(YEAR($H573)*12+MONTH($H573))+1))</f>
        <v/>
      </c>
      <c r="N573" s="62">
        <f>IF(OR($J573="",$B573=""),0,IF(YEAR($B573)*12+MONTH($B573)&lt;=YEAR($C$3)*12+MONTH($C$3),$G573,0))</f>
        <v/>
      </c>
      <c r="O573" s="62">
        <f>IF(OR($J573="",$B573=""),0,IF(YEAR($B573)*12+MONTH($B573)&lt;=YEAR($C$3)*12+MONTH($C$3)-1,$G573,0))</f>
        <v/>
      </c>
      <c r="P573" s="62">
        <f>$M573-$O573</f>
        <v/>
      </c>
      <c r="Q573" s="62">
        <f>($L573-$M573)-($N573-$O573)</f>
        <v/>
      </c>
      <c r="R573" s="62">
        <f>$L573-$N573</f>
        <v/>
      </c>
    </row>
    <row r="574">
      <c r="A574" s="59">
        <f>ROW()-5</f>
        <v/>
      </c>
      <c r="B574" s="60">
        <f>IFERROR(INDEX(tbl_Finance[Date],$A574),"")</f>
        <v/>
      </c>
      <c r="C574" s="61">
        <f>IFERROR(INDEX(tbl_Finance[Xero Invoice No],$A574),"")</f>
        <v/>
      </c>
      <c r="D574" s="61">
        <f>IFERROR(INDEX(tbl_Finance[Client],$A574),"")</f>
        <v/>
      </c>
      <c r="E574" s="61">
        <f>IFERROR(INDEX(tbl_Finance[Job Number],$A574),"")</f>
        <v/>
      </c>
      <c r="F574" s="61">
        <f>IFERROR(INDEX(tbl_Finance[Cost Centre],$A574),"")</f>
        <v/>
      </c>
      <c r="G574" s="62">
        <f>IFERROR(INDEX(tbl_Finance[Ex GST],$A574),"")</f>
        <v/>
      </c>
      <c r="H574" s="60">
        <f>IFERROR(INDEX(tbl_Finance[Defer Start],$A574),"")</f>
        <v/>
      </c>
      <c r="I574" s="60">
        <f>IFERROR(INDEX(tbl_Finance[Defer End],$A574),"")</f>
        <v/>
      </c>
      <c r="J574" s="59">
        <f>IF(OR($H574="",$I574="",$G574=""),"",MAX(1,(YEAR($I574)-YEAR($H574))*12+MONTH($I574)-MONTH($H574)+1))</f>
        <v/>
      </c>
      <c r="K574" s="62">
        <f>IF($J574="","",$G574/$J574)</f>
        <v/>
      </c>
      <c r="L574" s="62">
        <f>IF($J574="",0,$K574*MAX(0,MIN(YEAR($C$3)*12+MONTH($C$3),YEAR($I574)*12+MONTH($I574))-(YEAR($H574)*12+MONTH($H574))+1))</f>
        <v/>
      </c>
      <c r="M574" s="62">
        <f>IF($J574="",0,$K574*MAX(0,MIN(YEAR($C$3)*12+MONTH($C$3)-1,YEAR($I574)*12+MONTH($I574))-(YEAR($H574)*12+MONTH($H574))+1))</f>
        <v/>
      </c>
      <c r="N574" s="62">
        <f>IF(OR($J574="",$B574=""),0,IF(YEAR($B574)*12+MONTH($B574)&lt;=YEAR($C$3)*12+MONTH($C$3),$G574,0))</f>
        <v/>
      </c>
      <c r="O574" s="62">
        <f>IF(OR($J574="",$B574=""),0,IF(YEAR($B574)*12+MONTH($B574)&lt;=YEAR($C$3)*12+MONTH($C$3)-1,$G574,0))</f>
        <v/>
      </c>
      <c r="P574" s="62">
        <f>$M574-$O574</f>
        <v/>
      </c>
      <c r="Q574" s="62">
        <f>($L574-$M574)-($N574-$O574)</f>
        <v/>
      </c>
      <c r="R574" s="62">
        <f>$L574-$N574</f>
        <v/>
      </c>
    </row>
    <row r="575">
      <c r="A575" s="59">
        <f>ROW()-5</f>
        <v/>
      </c>
      <c r="B575" s="60">
        <f>IFERROR(INDEX(tbl_Finance[Date],$A575),"")</f>
        <v/>
      </c>
      <c r="C575" s="61">
        <f>IFERROR(INDEX(tbl_Finance[Xero Invoice No],$A575),"")</f>
        <v/>
      </c>
      <c r="D575" s="61">
        <f>IFERROR(INDEX(tbl_Finance[Client],$A575),"")</f>
        <v/>
      </c>
      <c r="E575" s="61">
        <f>IFERROR(INDEX(tbl_Finance[Job Number],$A575),"")</f>
        <v/>
      </c>
      <c r="F575" s="61">
        <f>IFERROR(INDEX(tbl_Finance[Cost Centre],$A575),"")</f>
        <v/>
      </c>
      <c r="G575" s="62">
        <f>IFERROR(INDEX(tbl_Finance[Ex GST],$A575),"")</f>
        <v/>
      </c>
      <c r="H575" s="60">
        <f>IFERROR(INDEX(tbl_Finance[Defer Start],$A575),"")</f>
        <v/>
      </c>
      <c r="I575" s="60">
        <f>IFERROR(INDEX(tbl_Finance[Defer End],$A575),"")</f>
        <v/>
      </c>
      <c r="J575" s="59">
        <f>IF(OR($H575="",$I575="",$G575=""),"",MAX(1,(YEAR($I575)-YEAR($H575))*12+MONTH($I575)-MONTH($H575)+1))</f>
        <v/>
      </c>
      <c r="K575" s="62">
        <f>IF($J575="","",$G575/$J575)</f>
        <v/>
      </c>
      <c r="L575" s="62">
        <f>IF($J575="",0,$K575*MAX(0,MIN(YEAR($C$3)*12+MONTH($C$3),YEAR($I575)*12+MONTH($I575))-(YEAR($H575)*12+MONTH($H575))+1))</f>
        <v/>
      </c>
      <c r="M575" s="62">
        <f>IF($J575="",0,$K575*MAX(0,MIN(YEAR($C$3)*12+MONTH($C$3)-1,YEAR($I575)*12+MONTH($I575))-(YEAR($H575)*12+MONTH($H575))+1))</f>
        <v/>
      </c>
      <c r="N575" s="62">
        <f>IF(OR($J575="",$B575=""),0,IF(YEAR($B575)*12+MONTH($B575)&lt;=YEAR($C$3)*12+MONTH($C$3),$G575,0))</f>
        <v/>
      </c>
      <c r="O575" s="62">
        <f>IF(OR($J575="",$B575=""),0,IF(YEAR($B575)*12+MONTH($B575)&lt;=YEAR($C$3)*12+MONTH($C$3)-1,$G575,0))</f>
        <v/>
      </c>
      <c r="P575" s="62">
        <f>$M575-$O575</f>
        <v/>
      </c>
      <c r="Q575" s="62">
        <f>($L575-$M575)-($N575-$O575)</f>
        <v/>
      </c>
      <c r="R575" s="62">
        <f>$L575-$N575</f>
        <v/>
      </c>
    </row>
    <row r="576">
      <c r="A576" s="59">
        <f>ROW()-5</f>
        <v/>
      </c>
      <c r="B576" s="60">
        <f>IFERROR(INDEX(tbl_Finance[Date],$A576),"")</f>
        <v/>
      </c>
      <c r="C576" s="61">
        <f>IFERROR(INDEX(tbl_Finance[Xero Invoice No],$A576),"")</f>
        <v/>
      </c>
      <c r="D576" s="61">
        <f>IFERROR(INDEX(tbl_Finance[Client],$A576),"")</f>
        <v/>
      </c>
      <c r="E576" s="61">
        <f>IFERROR(INDEX(tbl_Finance[Job Number],$A576),"")</f>
        <v/>
      </c>
      <c r="F576" s="61">
        <f>IFERROR(INDEX(tbl_Finance[Cost Centre],$A576),"")</f>
        <v/>
      </c>
      <c r="G576" s="62">
        <f>IFERROR(INDEX(tbl_Finance[Ex GST],$A576),"")</f>
        <v/>
      </c>
      <c r="H576" s="60">
        <f>IFERROR(INDEX(tbl_Finance[Defer Start],$A576),"")</f>
        <v/>
      </c>
      <c r="I576" s="60">
        <f>IFERROR(INDEX(tbl_Finance[Defer End],$A576),"")</f>
        <v/>
      </c>
      <c r="J576" s="59">
        <f>IF(OR($H576="",$I576="",$G576=""),"",MAX(1,(YEAR($I576)-YEAR($H576))*12+MONTH($I576)-MONTH($H576)+1))</f>
        <v/>
      </c>
      <c r="K576" s="62">
        <f>IF($J576="","",$G576/$J576)</f>
        <v/>
      </c>
      <c r="L576" s="62">
        <f>IF($J576="",0,$K576*MAX(0,MIN(YEAR($C$3)*12+MONTH($C$3),YEAR($I576)*12+MONTH($I576))-(YEAR($H576)*12+MONTH($H576))+1))</f>
        <v/>
      </c>
      <c r="M576" s="62">
        <f>IF($J576="",0,$K576*MAX(0,MIN(YEAR($C$3)*12+MONTH($C$3)-1,YEAR($I576)*12+MONTH($I576))-(YEAR($H576)*12+MONTH($H576))+1))</f>
        <v/>
      </c>
      <c r="N576" s="62">
        <f>IF(OR($J576="",$B576=""),0,IF(YEAR($B576)*12+MONTH($B576)&lt;=YEAR($C$3)*12+MONTH($C$3),$G576,0))</f>
        <v/>
      </c>
      <c r="O576" s="62">
        <f>IF(OR($J576="",$B576=""),0,IF(YEAR($B576)*12+MONTH($B576)&lt;=YEAR($C$3)*12+MONTH($C$3)-1,$G576,0))</f>
        <v/>
      </c>
      <c r="P576" s="62">
        <f>$M576-$O576</f>
        <v/>
      </c>
      <c r="Q576" s="62">
        <f>($L576-$M576)-($N576-$O576)</f>
        <v/>
      </c>
      <c r="R576" s="62">
        <f>$L576-$N576</f>
        <v/>
      </c>
    </row>
    <row r="577">
      <c r="A577" s="59">
        <f>ROW()-5</f>
        <v/>
      </c>
      <c r="B577" s="60">
        <f>IFERROR(INDEX(tbl_Finance[Date],$A577),"")</f>
        <v/>
      </c>
      <c r="C577" s="61">
        <f>IFERROR(INDEX(tbl_Finance[Xero Invoice No],$A577),"")</f>
        <v/>
      </c>
      <c r="D577" s="61">
        <f>IFERROR(INDEX(tbl_Finance[Client],$A577),"")</f>
        <v/>
      </c>
      <c r="E577" s="61">
        <f>IFERROR(INDEX(tbl_Finance[Job Number],$A577),"")</f>
        <v/>
      </c>
      <c r="F577" s="61">
        <f>IFERROR(INDEX(tbl_Finance[Cost Centre],$A577),"")</f>
        <v/>
      </c>
      <c r="G577" s="62">
        <f>IFERROR(INDEX(tbl_Finance[Ex GST],$A577),"")</f>
        <v/>
      </c>
      <c r="H577" s="60">
        <f>IFERROR(INDEX(tbl_Finance[Defer Start],$A577),"")</f>
        <v/>
      </c>
      <c r="I577" s="60">
        <f>IFERROR(INDEX(tbl_Finance[Defer End],$A577),"")</f>
        <v/>
      </c>
      <c r="J577" s="59">
        <f>IF(OR($H577="",$I577="",$G577=""),"",MAX(1,(YEAR($I577)-YEAR($H577))*12+MONTH($I577)-MONTH($H577)+1))</f>
        <v/>
      </c>
      <c r="K577" s="62">
        <f>IF($J577="","",$G577/$J577)</f>
        <v/>
      </c>
      <c r="L577" s="62">
        <f>IF($J577="",0,$K577*MAX(0,MIN(YEAR($C$3)*12+MONTH($C$3),YEAR($I577)*12+MONTH($I577))-(YEAR($H577)*12+MONTH($H577))+1))</f>
        <v/>
      </c>
      <c r="M577" s="62">
        <f>IF($J577="",0,$K577*MAX(0,MIN(YEAR($C$3)*12+MONTH($C$3)-1,YEAR($I577)*12+MONTH($I577))-(YEAR($H577)*12+MONTH($H577))+1))</f>
        <v/>
      </c>
      <c r="N577" s="62">
        <f>IF(OR($J577="",$B577=""),0,IF(YEAR($B577)*12+MONTH($B577)&lt;=YEAR($C$3)*12+MONTH($C$3),$G577,0))</f>
        <v/>
      </c>
      <c r="O577" s="62">
        <f>IF(OR($J577="",$B577=""),0,IF(YEAR($B577)*12+MONTH($B577)&lt;=YEAR($C$3)*12+MONTH($C$3)-1,$G577,0))</f>
        <v/>
      </c>
      <c r="P577" s="62">
        <f>$M577-$O577</f>
        <v/>
      </c>
      <c r="Q577" s="62">
        <f>($L577-$M577)-($N577-$O577)</f>
        <v/>
      </c>
      <c r="R577" s="62">
        <f>$L577-$N577</f>
        <v/>
      </c>
    </row>
    <row r="578">
      <c r="A578" s="59">
        <f>ROW()-5</f>
        <v/>
      </c>
      <c r="B578" s="60">
        <f>IFERROR(INDEX(tbl_Finance[Date],$A578),"")</f>
        <v/>
      </c>
      <c r="C578" s="61">
        <f>IFERROR(INDEX(tbl_Finance[Xero Invoice No],$A578),"")</f>
        <v/>
      </c>
      <c r="D578" s="61">
        <f>IFERROR(INDEX(tbl_Finance[Client],$A578),"")</f>
        <v/>
      </c>
      <c r="E578" s="61">
        <f>IFERROR(INDEX(tbl_Finance[Job Number],$A578),"")</f>
        <v/>
      </c>
      <c r="F578" s="61">
        <f>IFERROR(INDEX(tbl_Finance[Cost Centre],$A578),"")</f>
        <v/>
      </c>
      <c r="G578" s="62">
        <f>IFERROR(INDEX(tbl_Finance[Ex GST],$A578),"")</f>
        <v/>
      </c>
      <c r="H578" s="60">
        <f>IFERROR(INDEX(tbl_Finance[Defer Start],$A578),"")</f>
        <v/>
      </c>
      <c r="I578" s="60">
        <f>IFERROR(INDEX(tbl_Finance[Defer End],$A578),"")</f>
        <v/>
      </c>
      <c r="J578" s="59">
        <f>IF(OR($H578="",$I578="",$G578=""),"",MAX(1,(YEAR($I578)-YEAR($H578))*12+MONTH($I578)-MONTH($H578)+1))</f>
        <v/>
      </c>
      <c r="K578" s="62">
        <f>IF($J578="","",$G578/$J578)</f>
        <v/>
      </c>
      <c r="L578" s="62">
        <f>IF($J578="",0,$K578*MAX(0,MIN(YEAR($C$3)*12+MONTH($C$3),YEAR($I578)*12+MONTH($I578))-(YEAR($H578)*12+MONTH($H578))+1))</f>
        <v/>
      </c>
      <c r="M578" s="62">
        <f>IF($J578="",0,$K578*MAX(0,MIN(YEAR($C$3)*12+MONTH($C$3)-1,YEAR($I578)*12+MONTH($I578))-(YEAR($H578)*12+MONTH($H578))+1))</f>
        <v/>
      </c>
      <c r="N578" s="62">
        <f>IF(OR($J578="",$B578=""),0,IF(YEAR($B578)*12+MONTH($B578)&lt;=YEAR($C$3)*12+MONTH($C$3),$G578,0))</f>
        <v/>
      </c>
      <c r="O578" s="62">
        <f>IF(OR($J578="",$B578=""),0,IF(YEAR($B578)*12+MONTH($B578)&lt;=YEAR($C$3)*12+MONTH($C$3)-1,$G578,0))</f>
        <v/>
      </c>
      <c r="P578" s="62">
        <f>$M578-$O578</f>
        <v/>
      </c>
      <c r="Q578" s="62">
        <f>($L578-$M578)-($N578-$O578)</f>
        <v/>
      </c>
      <c r="R578" s="62">
        <f>$L578-$N578</f>
        <v/>
      </c>
    </row>
  </sheetData>
  <autoFilter ref="A5:R578"/>
  <pageMargins left="0.75" right="0.75" top="1" bottom="1" header="0.5" footer="0.5"/>
</worksheet>
</file>

<file path=xl/worksheets/sheet7.xml><?xml version="1.0" encoding="utf-8"?>
<worksheet xmlns="http://schemas.openxmlformats.org/spreadsheetml/2006/main">
  <sheetPr>
    <tabColor rgb="005B708A"/>
    <outlinePr summaryBelow="1" summaryRight="1"/>
    <pageSetUpPr/>
  </sheetPr>
  <dimension ref="A1:Q431"/>
  <sheetViews>
    <sheetView showGridLines="0" tabSelected="0" zoomScale="9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5" customWidth="1" min="3" max="3"/>
    <col width="12" customWidth="1" min="4" max="4"/>
    <col width="38" customWidth="1" min="5" max="5"/>
    <col width="24" customWidth="1" min="6" max="6"/>
    <col width="11" customWidth="1" min="7" max="7"/>
    <col width="16" customWidth="1" min="8" max="8"/>
    <col width="14" customWidth="1" min="9" max="9"/>
    <col width="14" customWidth="1" min="10" max="10"/>
    <col width="16" customWidth="1" min="11" max="11"/>
    <col width="18" customWidth="1" min="12" max="12"/>
    <col width="40" customWidth="1" min="13" max="13"/>
    <col width="14" customWidth="1" min="14" max="14"/>
    <col width="13" customWidth="1" min="15" max="15"/>
    <col width="16" customWidth="1" min="16" max="16"/>
    <col width="38" customWidth="1" min="17" max="17"/>
  </cols>
  <sheetData>
    <row r="1" ht="24" customHeight="1">
      <c r="A1" s="18" t="inlineStr">
        <is>
          <t>Onsite - Job Detail</t>
        </is>
      </c>
    </row>
    <row r="2" ht="16" customHeight="1">
      <c r="A2" s="2" t="inlineStr">
        <is>
          <t>Onsite / Support jobs. One row per job number. Client, invoice count and revenue come from the Finance sheet - fill in the columns from PO / Reference onwards.</t>
        </is>
      </c>
    </row>
    <row r="3" ht="22" customHeight="1">
      <c r="A3" s="19">
        <f>"Revenue Ex GST  "&amp;TEXT(SUBTOTAL(109,tbl_Onsite[Revenue Ex GST]),"$#,##0.00")</f>
        <v/>
      </c>
    </row>
    <row r="4" ht="34" customHeight="1">
      <c r="A4" s="21" t="inlineStr">
        <is>
          <t>Invoice Date</t>
        </is>
      </c>
      <c r="B4" s="21" t="inlineStr">
        <is>
          <t>Invoice No</t>
        </is>
      </c>
      <c r="C4" s="20" t="inlineStr">
        <is>
          <t>Job Number</t>
        </is>
      </c>
      <c r="D4" s="21" t="inlineStr">
        <is>
          <t>Job in Xero?</t>
        </is>
      </c>
      <c r="E4" s="21" t="inlineStr">
        <is>
          <t>Job Name (Xero)</t>
        </is>
      </c>
      <c r="F4" s="21" t="inlineStr">
        <is>
          <t>Client</t>
        </is>
      </c>
      <c r="G4" s="21" t="inlineStr">
        <is>
          <t>Lines on Job</t>
        </is>
      </c>
      <c r="H4" s="21" t="inlineStr">
        <is>
          <t>Revenue Ex GST</t>
        </is>
      </c>
      <c r="I4" s="21" t="inlineStr">
        <is>
          <t>Invoiced</t>
        </is>
      </c>
      <c r="J4" s="21" t="inlineStr">
        <is>
          <t>To Invoice</t>
        </is>
      </c>
      <c r="K4" s="21" t="inlineStr">
        <is>
          <t>Cost Centres</t>
        </is>
      </c>
      <c r="L4" s="20" t="inlineStr">
        <is>
          <t>PO / Reference</t>
        </is>
      </c>
      <c r="M4" s="20" t="inlineStr">
        <is>
          <t>Qwilr Quote</t>
        </is>
      </c>
      <c r="N4" s="21" t="inlineStr">
        <is>
          <t>Open Qwilr</t>
        </is>
      </c>
      <c r="O4" s="20" t="inlineStr">
        <is>
          <t>Billable Hours</t>
        </is>
      </c>
      <c r="P4" s="20" t="inlineStr">
        <is>
          <t>Approved By</t>
        </is>
      </c>
      <c r="Q4" s="20" t="inlineStr">
        <is>
          <t>Notes</t>
        </is>
      </c>
    </row>
    <row r="5" ht="15" customHeight="1">
      <c r="A5" s="63">
        <f>IF(C5="","",IFERROR(IF(SUMPRODUCT(MAX((tbl_Finance[Job Number]=C5&amp;"")*(tbl_Finance[Xero Invoice No]&lt;&gt;"")*tbl_Finance[Date]))=0,"",SUMPRODUCT(MAX((tbl_Finance[Job Number]=C5&amp;"")*(tbl_Finance[Xero Invoice No]&lt;&gt;"")*tbl_Finance[Date]))),""))</f>
        <v/>
      </c>
      <c r="B5" s="25">
        <f>IF(C5="","",IF(COUNTIFS(tbl_Finance[Job Number],C5&amp;"",tbl_Finance[Xero Invoice No],"&lt;&gt;")=0,"",IFERROR(IF(COUNTIFS(tbl_Finance[Job Number],C5&amp;"",tbl_Finance[Xero Invoice No],LOOKUP(2,1/((tbl_Finance[Job Number]=C5&amp;"")*(tbl_Finance[Xero Invoice No]&lt;&gt;"")),tbl_Finance[Xero Invoice No]))=COUNTIFS(tbl_Finance[Job Number],C5&amp;"",tbl_Finance[Xero Invoice No],"&lt;&gt;"),LOOKUP(2,1/((tbl_Finance[Job Number]=C5&amp;"")*(tbl_Finance[Xero Invoice No]&lt;&gt;"")),tbl_Finance[Xero Invoice No]),LOOKUP(2,1/((tbl_Finance[Job Number]=C5&amp;"")*(tbl_Finance[Xero Invoice No]&lt;&gt;"")),tbl_Finance[Xero Invoice No])&amp;" +more"),"")))</f>
        <v/>
      </c>
      <c r="C5" s="24" t="inlineStr">
        <is>
          <t>1350</t>
        </is>
      </c>
      <c r="D5" s="25">
        <f>IF(C5="","",IF(COUNTIF(lst_Jobs,C5&amp;"")&gt;0,"OK","CHECK"))</f>
        <v/>
      </c>
      <c r="E5" s="25">
        <f>IF(C5="","",IFERROR(INDEX(lst_JobName,MATCH(C5&amp;"",lst_Jobs,0)),""))</f>
        <v/>
      </c>
      <c r="F5" s="25">
        <f>IF(C5="","",IFERROR(INDEX(tbl_Finance[Client],MATCH(C5&amp;"",tbl_Finance[Job Number],0)),""))</f>
        <v/>
      </c>
      <c r="G5" s="28">
        <f>IF(C5="","",COUNTIFS(tbl_Finance[Job Number],C5&amp;"",tbl_Finance[Ex GST],"&lt;&gt;"))</f>
        <v/>
      </c>
      <c r="H5" s="27">
        <f>IF(C5="","",SUMIFS(tbl_Finance[Ex GST],tbl_Finance[Job Number],C5&amp;""))</f>
        <v/>
      </c>
      <c r="I5" s="27">
        <f>IF(C5="","",SUMIFS(tbl_Finance[Ex GST],tbl_Finance[Job Number],C5&amp;"",tbl_Finance[Xero Invoice No],"&lt;&gt;"))</f>
        <v/>
      </c>
      <c r="J5" s="27">
        <f>IF(C5="","",H5-I5)</f>
        <v/>
      </c>
      <c r="K5" s="25">
        <f>IF(C5="","",IF(G5=0,"not invoiced yet",SUBSTITUTE(TRIM(IF(COUNTIFS(tbl_Finance[Job Number],C5&amp;"",tbl_Finance[Cost Centre],"ONSITE")&gt;0,"ONSITE ","")&amp;IF(COUNTIFS(tbl_Finance[Job Number],C5&amp;"",tbl_Finance[Cost Centre],"PRODUCTION")&gt;0,"PRODUCTION ","")&amp;IF(COUNTIFS(tbl_Finance[Job Number],C5&amp;"",tbl_Finance[Cost Centre],"VIDEO")&gt;0,"VIDEO ","")&amp;IF(COUNTIFS(tbl_Finance[Job Number],C5&amp;"",tbl_Finance[Cost Centre],"INTEGRATION")&gt;0,"INTEGRATION ","")&amp;IF(COUNTIFS(tbl_Finance[Job Number],C5&amp;"",tbl_Finance[Cost Centre],"CONSULTING")&gt;0,"CONSULTING ","")&amp;IF(COUNTIFS(tbl_Finance[Job Number],C5&amp;"",tbl_Finance[Cost Centre],"CTS")&gt;0,"CTS ",""))," ",", ")))</f>
        <v/>
      </c>
      <c r="L5" s="24" t="n"/>
      <c r="M5" s="24" t="n"/>
      <c r="N5" s="25">
        <f>IF(M5="","",HYPERLINK(IF(LEFT(M5,4)="http",M5,set_QwilrBase&amp;M5),"Open quote"))</f>
        <v/>
      </c>
      <c r="O5" s="64" t="n"/>
      <c r="P5" s="24" t="n"/>
      <c r="Q5" s="24" t="inlineStr">
        <is>
          <t>174.05 hours</t>
        </is>
      </c>
    </row>
    <row r="6" ht="15" customHeight="1">
      <c r="A6" s="63">
        <f>IF(C6="","",IFERROR(IF(SUMPRODUCT(MAX((tbl_Finance[Job Number]=C6&amp;"")*(tbl_Finance[Xero Invoice No]&lt;&gt;"")*tbl_Finance[Date]))=0,"",SUMPRODUCT(MAX((tbl_Finance[Job Number]=C6&amp;"")*(tbl_Finance[Xero Invoice No]&lt;&gt;"")*tbl_Finance[Date]))),""))</f>
        <v/>
      </c>
      <c r="B6" s="25">
        <f>IF(C6="","",IF(COUNTIFS(tbl_Finance[Job Number],C6&amp;"",tbl_Finance[Xero Invoice No],"&lt;&gt;")=0,"",IFERROR(IF(COUNTIFS(tbl_Finance[Job Number],C6&amp;"",tbl_Finance[Xero Invoice No],LOOKUP(2,1/((tbl_Finance[Job Number]=C6&amp;"")*(tbl_Finance[Xero Invoice No]&lt;&gt;"")),tbl_Finance[Xero Invoice No]))=COUNTIFS(tbl_Finance[Job Number],C6&amp;"",tbl_Finance[Xero Invoice No],"&lt;&gt;"),LOOKUP(2,1/((tbl_Finance[Job Number]=C6&amp;"")*(tbl_Finance[Xero Invoice No]&lt;&gt;"")),tbl_Finance[Xero Invoice No]),LOOKUP(2,1/((tbl_Finance[Job Number]=C6&amp;"")*(tbl_Finance[Xero Invoice No]&lt;&gt;"")),tbl_Finance[Xero Invoice No])&amp;" +more"),"")))</f>
        <v/>
      </c>
      <c r="C6" s="24" t="inlineStr">
        <is>
          <t>585/586/1755</t>
        </is>
      </c>
      <c r="D6" s="25">
        <f>IF(C6="","",IF(COUNTIF(lst_Jobs,C6&amp;"")&gt;0,"OK","CHECK"))</f>
        <v/>
      </c>
      <c r="E6" s="25">
        <f>IF(C6="","",IFERROR(INDEX(lst_JobName,MATCH(C6&amp;"",lst_Jobs,0)),""))</f>
        <v/>
      </c>
      <c r="F6" s="25">
        <f>IF(C6="","",IFERROR(INDEX(tbl_Finance[Client],MATCH(C6&amp;"",tbl_Finance[Job Number],0)),""))</f>
        <v/>
      </c>
      <c r="G6" s="28">
        <f>IF(C6="","",COUNTIFS(tbl_Finance[Job Number],C6&amp;"",tbl_Finance[Ex GST],"&lt;&gt;"))</f>
        <v/>
      </c>
      <c r="H6" s="27">
        <f>IF(C6="","",SUMIFS(tbl_Finance[Ex GST],tbl_Finance[Job Number],C6&amp;""))</f>
        <v/>
      </c>
      <c r="I6" s="27">
        <f>IF(C6="","",SUMIFS(tbl_Finance[Ex GST],tbl_Finance[Job Number],C6&amp;"",tbl_Finance[Xero Invoice No],"&lt;&gt;"))</f>
        <v/>
      </c>
      <c r="J6" s="27">
        <f>IF(C6="","",H6-I6)</f>
        <v/>
      </c>
      <c r="K6" s="25">
        <f>IF(C6="","",IF(G6=0,"not invoiced yet",SUBSTITUTE(TRIM(IF(COUNTIFS(tbl_Finance[Job Number],C6&amp;"",tbl_Finance[Cost Centre],"ONSITE")&gt;0,"ONSITE ","")&amp;IF(COUNTIFS(tbl_Finance[Job Number],C6&amp;"",tbl_Finance[Cost Centre],"PRODUCTION")&gt;0,"PRODUCTION ","")&amp;IF(COUNTIFS(tbl_Finance[Job Number],C6&amp;"",tbl_Finance[Cost Centre],"VIDEO")&gt;0,"VIDEO ","")&amp;IF(COUNTIFS(tbl_Finance[Job Number],C6&amp;"",tbl_Finance[Cost Centre],"INTEGRATION")&gt;0,"INTEGRATION ","")&amp;IF(COUNTIFS(tbl_Finance[Job Number],C6&amp;"",tbl_Finance[Cost Centre],"CONSULTING")&gt;0,"CONSULTING ","")&amp;IF(COUNTIFS(tbl_Finance[Job Number],C6&amp;"",tbl_Finance[Cost Centre],"CTS")&gt;0,"CTS ",""))," ",", ")))</f>
        <v/>
      </c>
      <c r="L6" s="24" t="n"/>
      <c r="M6" s="24" t="n"/>
      <c r="N6" s="25">
        <f>IF(M6="","",HYPERLINK(IF(LEFT(M6,4)="http",M6,set_QwilrBase&amp;M6),"Open quote"))</f>
        <v/>
      </c>
      <c r="O6" s="64" t="n"/>
      <c r="P6" s="24" t="n"/>
      <c r="Q6" s="24" t="inlineStr">
        <is>
          <t>Deduct 3hrs for TN 01/07 &amp; 6hrs for NP 14/07</t>
        </is>
      </c>
    </row>
    <row r="7" ht="15" customHeight="1">
      <c r="A7" s="63">
        <f>IF(C7="","",IFERROR(IF(SUMPRODUCT(MAX((tbl_Finance[Job Number]=C7&amp;"")*(tbl_Finance[Xero Invoice No]&lt;&gt;"")*tbl_Finance[Date]))=0,"",SUMPRODUCT(MAX((tbl_Finance[Job Number]=C7&amp;"")*(tbl_Finance[Xero Invoice No]&lt;&gt;"")*tbl_Finance[Date]))),""))</f>
        <v/>
      </c>
      <c r="B7" s="25">
        <f>IF(C7="","",IF(COUNTIFS(tbl_Finance[Job Number],C7&amp;"",tbl_Finance[Xero Invoice No],"&lt;&gt;")=0,"",IFERROR(IF(COUNTIFS(tbl_Finance[Job Number],C7&amp;"",tbl_Finance[Xero Invoice No],LOOKUP(2,1/((tbl_Finance[Job Number]=C7&amp;"")*(tbl_Finance[Xero Invoice No]&lt;&gt;"")),tbl_Finance[Xero Invoice No]))=COUNTIFS(tbl_Finance[Job Number],C7&amp;"",tbl_Finance[Xero Invoice No],"&lt;&gt;"),LOOKUP(2,1/((tbl_Finance[Job Number]=C7&amp;"")*(tbl_Finance[Xero Invoice No]&lt;&gt;"")),tbl_Finance[Xero Invoice No]),LOOKUP(2,1/((tbl_Finance[Job Number]=C7&amp;"")*(tbl_Finance[Xero Invoice No]&lt;&gt;"")),tbl_Finance[Xero Invoice No])&amp;" +more"),"")))</f>
        <v/>
      </c>
      <c r="C7" s="24" t="inlineStr">
        <is>
          <t>587</t>
        </is>
      </c>
      <c r="D7" s="25">
        <f>IF(C7="","",IF(COUNTIF(lst_Jobs,C7&amp;"")&gt;0,"OK","CHECK"))</f>
        <v/>
      </c>
      <c r="E7" s="25">
        <f>IF(C7="","",IFERROR(INDEX(lst_JobName,MATCH(C7&amp;"",lst_Jobs,0)),""))</f>
        <v/>
      </c>
      <c r="F7" s="25">
        <f>IF(C7="","",IFERROR(INDEX(tbl_Finance[Client],MATCH(C7&amp;"",tbl_Finance[Job Number],0)),""))</f>
        <v/>
      </c>
      <c r="G7" s="28">
        <f>IF(C7="","",COUNTIFS(tbl_Finance[Job Number],C7&amp;"",tbl_Finance[Ex GST],"&lt;&gt;"))</f>
        <v/>
      </c>
      <c r="H7" s="27">
        <f>IF(C7="","",SUMIFS(tbl_Finance[Ex GST],tbl_Finance[Job Number],C7&amp;""))</f>
        <v/>
      </c>
      <c r="I7" s="27">
        <f>IF(C7="","",SUMIFS(tbl_Finance[Ex GST],tbl_Finance[Job Number],C7&amp;"",tbl_Finance[Xero Invoice No],"&lt;&gt;"))</f>
        <v/>
      </c>
      <c r="J7" s="27">
        <f>IF(C7="","",H7-I7)</f>
        <v/>
      </c>
      <c r="K7" s="25">
        <f>IF(C7="","",IF(G7=0,"not invoiced yet",SUBSTITUTE(TRIM(IF(COUNTIFS(tbl_Finance[Job Number],C7&amp;"",tbl_Finance[Cost Centre],"ONSITE")&gt;0,"ONSITE ","")&amp;IF(COUNTIFS(tbl_Finance[Job Number],C7&amp;"",tbl_Finance[Cost Centre],"PRODUCTION")&gt;0,"PRODUCTION ","")&amp;IF(COUNTIFS(tbl_Finance[Job Number],C7&amp;"",tbl_Finance[Cost Centre],"VIDEO")&gt;0,"VIDEO ","")&amp;IF(COUNTIFS(tbl_Finance[Job Number],C7&amp;"",tbl_Finance[Cost Centre],"INTEGRATION")&gt;0,"INTEGRATION ","")&amp;IF(COUNTIFS(tbl_Finance[Job Number],C7&amp;"",tbl_Finance[Cost Centre],"CONSULTING")&gt;0,"CONSULTING ","")&amp;IF(COUNTIFS(tbl_Finance[Job Number],C7&amp;"",tbl_Finance[Cost Centre],"CTS")&gt;0,"CTS ",""))," ",", ")))</f>
        <v/>
      </c>
      <c r="L7" s="24" t="n"/>
      <c r="M7" s="24" t="n"/>
      <c r="N7" s="25">
        <f>IF(M7="","",HYPERLINK(IF(LEFT(M7,4)="http",M7,set_QwilrBase&amp;M7),"Open quote"))</f>
        <v/>
      </c>
      <c r="O7" s="64" t="n"/>
      <c r="P7" s="24" t="n"/>
      <c r="Q7" s="24" t="n"/>
    </row>
    <row r="8" ht="15" customHeight="1">
      <c r="A8" s="63">
        <f>IF(C8="","",IFERROR(IF(SUMPRODUCT(MAX((tbl_Finance[Job Number]=C8&amp;"")*(tbl_Finance[Xero Invoice No]&lt;&gt;"")*tbl_Finance[Date]))=0,"",SUMPRODUCT(MAX((tbl_Finance[Job Number]=C8&amp;"")*(tbl_Finance[Xero Invoice No]&lt;&gt;"")*tbl_Finance[Date]))),""))</f>
        <v/>
      </c>
      <c r="B8" s="25">
        <f>IF(C8="","",IF(COUNTIFS(tbl_Finance[Job Number],C8&amp;"",tbl_Finance[Xero Invoice No],"&lt;&gt;")=0,"",IFERROR(IF(COUNTIFS(tbl_Finance[Job Number],C8&amp;"",tbl_Finance[Xero Invoice No],LOOKUP(2,1/((tbl_Finance[Job Number]=C8&amp;"")*(tbl_Finance[Xero Invoice No]&lt;&gt;"")),tbl_Finance[Xero Invoice No]))=COUNTIFS(tbl_Finance[Job Number],C8&amp;"",tbl_Finance[Xero Invoice No],"&lt;&gt;"),LOOKUP(2,1/((tbl_Finance[Job Number]=C8&amp;"")*(tbl_Finance[Xero Invoice No]&lt;&gt;"")),tbl_Finance[Xero Invoice No]),LOOKUP(2,1/((tbl_Finance[Job Number]=C8&amp;"")*(tbl_Finance[Xero Invoice No]&lt;&gt;"")),tbl_Finance[Xero Invoice No])&amp;" +more"),"")))</f>
        <v/>
      </c>
      <c r="C8" s="24" t="inlineStr">
        <is>
          <t>2846/1401/725/1400/1530/1862/2402/2849/974</t>
        </is>
      </c>
      <c r="D8" s="25">
        <f>IF(C8="","",IF(COUNTIF(lst_Jobs,C8&amp;"")&gt;0,"OK","CHECK"))</f>
        <v/>
      </c>
      <c r="E8" s="25">
        <f>IF(C8="","",IFERROR(INDEX(lst_JobName,MATCH(C8&amp;"",lst_Jobs,0)),""))</f>
        <v/>
      </c>
      <c r="F8" s="25">
        <f>IF(C8="","",IFERROR(INDEX(tbl_Finance[Client],MATCH(C8&amp;"",tbl_Finance[Job Number],0)),""))</f>
        <v/>
      </c>
      <c r="G8" s="28">
        <f>IF(C8="","",COUNTIFS(tbl_Finance[Job Number],C8&amp;"",tbl_Finance[Ex GST],"&lt;&gt;"))</f>
        <v/>
      </c>
      <c r="H8" s="27">
        <f>IF(C8="","",SUMIFS(tbl_Finance[Ex GST],tbl_Finance[Job Number],C8&amp;""))</f>
        <v/>
      </c>
      <c r="I8" s="27">
        <f>IF(C8="","",SUMIFS(tbl_Finance[Ex GST],tbl_Finance[Job Number],C8&amp;"",tbl_Finance[Xero Invoice No],"&lt;&gt;"))</f>
        <v/>
      </c>
      <c r="J8" s="27">
        <f>IF(C8="","",H8-I8)</f>
        <v/>
      </c>
      <c r="K8" s="25">
        <f>IF(C8="","",IF(G8=0,"not invoiced yet",SUBSTITUTE(TRIM(IF(COUNTIFS(tbl_Finance[Job Number],C8&amp;"",tbl_Finance[Cost Centre],"ONSITE")&gt;0,"ONSITE ","")&amp;IF(COUNTIFS(tbl_Finance[Job Number],C8&amp;"",tbl_Finance[Cost Centre],"PRODUCTION")&gt;0,"PRODUCTION ","")&amp;IF(COUNTIFS(tbl_Finance[Job Number],C8&amp;"",tbl_Finance[Cost Centre],"VIDEO")&gt;0,"VIDEO ","")&amp;IF(COUNTIFS(tbl_Finance[Job Number],C8&amp;"",tbl_Finance[Cost Centre],"INTEGRATION")&gt;0,"INTEGRATION ","")&amp;IF(COUNTIFS(tbl_Finance[Job Number],C8&amp;"",tbl_Finance[Cost Centre],"CONSULTING")&gt;0,"CONSULTING ","")&amp;IF(COUNTIFS(tbl_Finance[Job Number],C8&amp;"",tbl_Finance[Cost Centre],"CTS")&gt;0,"CTS ",""))," ",", ")))</f>
        <v/>
      </c>
      <c r="L8" s="24" t="n"/>
      <c r="M8" s="24" t="n"/>
      <c r="N8" s="25">
        <f>IF(M8="","",HYPERLINK(IF(LEFT(M8,4)="http",M8,set_QwilrBase&amp;M8),"Open quote"))</f>
        <v/>
      </c>
      <c r="O8" s="64" t="n"/>
      <c r="P8" s="24" t="n"/>
      <c r="Q8" s="24" t="n"/>
    </row>
    <row r="9" ht="15" customHeight="1">
      <c r="A9" s="63">
        <f>IF(C9="","",IFERROR(IF(SUMPRODUCT(MAX((tbl_Finance[Job Number]=C9&amp;"")*(tbl_Finance[Xero Invoice No]&lt;&gt;"")*tbl_Finance[Date]))=0,"",SUMPRODUCT(MAX((tbl_Finance[Job Number]=C9&amp;"")*(tbl_Finance[Xero Invoice No]&lt;&gt;"")*tbl_Finance[Date]))),""))</f>
        <v/>
      </c>
      <c r="B9" s="25">
        <f>IF(C9="","",IF(COUNTIFS(tbl_Finance[Job Number],C9&amp;"",tbl_Finance[Xero Invoice No],"&lt;&gt;")=0,"",IFERROR(IF(COUNTIFS(tbl_Finance[Job Number],C9&amp;"",tbl_Finance[Xero Invoice No],LOOKUP(2,1/((tbl_Finance[Job Number]=C9&amp;"")*(tbl_Finance[Xero Invoice No]&lt;&gt;"")),tbl_Finance[Xero Invoice No]))=COUNTIFS(tbl_Finance[Job Number],C9&amp;"",tbl_Finance[Xero Invoice No],"&lt;&gt;"),LOOKUP(2,1/((tbl_Finance[Job Number]=C9&amp;"")*(tbl_Finance[Xero Invoice No]&lt;&gt;"")),tbl_Finance[Xero Invoice No]),LOOKUP(2,1/((tbl_Finance[Job Number]=C9&amp;"")*(tbl_Finance[Xero Invoice No]&lt;&gt;"")),tbl_Finance[Xero Invoice No])&amp;" +more"),"")))</f>
        <v/>
      </c>
      <c r="C9" s="24" t="inlineStr">
        <is>
          <t>732/1144</t>
        </is>
      </c>
      <c r="D9" s="25">
        <f>IF(C9="","",IF(COUNTIF(lst_Jobs,C9&amp;"")&gt;0,"OK","CHECK"))</f>
        <v/>
      </c>
      <c r="E9" s="25">
        <f>IF(C9="","",IFERROR(INDEX(lst_JobName,MATCH(C9&amp;"",lst_Jobs,0)),""))</f>
        <v/>
      </c>
      <c r="F9" s="25">
        <f>IF(C9="","",IFERROR(INDEX(tbl_Finance[Client],MATCH(C9&amp;"",tbl_Finance[Job Number],0)),""))</f>
        <v/>
      </c>
      <c r="G9" s="28">
        <f>IF(C9="","",COUNTIFS(tbl_Finance[Job Number],C9&amp;"",tbl_Finance[Ex GST],"&lt;&gt;"))</f>
        <v/>
      </c>
      <c r="H9" s="27">
        <f>IF(C9="","",SUMIFS(tbl_Finance[Ex GST],tbl_Finance[Job Number],C9&amp;""))</f>
        <v/>
      </c>
      <c r="I9" s="27">
        <f>IF(C9="","",SUMIFS(tbl_Finance[Ex GST],tbl_Finance[Job Number],C9&amp;"",tbl_Finance[Xero Invoice No],"&lt;&gt;"))</f>
        <v/>
      </c>
      <c r="J9" s="27">
        <f>IF(C9="","",H9-I9)</f>
        <v/>
      </c>
      <c r="K9" s="25">
        <f>IF(C9="","",IF(G9=0,"not invoiced yet",SUBSTITUTE(TRIM(IF(COUNTIFS(tbl_Finance[Job Number],C9&amp;"",tbl_Finance[Cost Centre],"ONSITE")&gt;0,"ONSITE ","")&amp;IF(COUNTIFS(tbl_Finance[Job Number],C9&amp;"",tbl_Finance[Cost Centre],"PRODUCTION")&gt;0,"PRODUCTION ","")&amp;IF(COUNTIFS(tbl_Finance[Job Number],C9&amp;"",tbl_Finance[Cost Centre],"VIDEO")&gt;0,"VIDEO ","")&amp;IF(COUNTIFS(tbl_Finance[Job Number],C9&amp;"",tbl_Finance[Cost Centre],"INTEGRATION")&gt;0,"INTEGRATION ","")&amp;IF(COUNTIFS(tbl_Finance[Job Number],C9&amp;"",tbl_Finance[Cost Centre],"CONSULTING")&gt;0,"CONSULTING ","")&amp;IF(COUNTIFS(tbl_Finance[Job Number],C9&amp;"",tbl_Finance[Cost Centre],"CTS")&gt;0,"CTS ",""))," ",", ")))</f>
        <v/>
      </c>
      <c r="L9" s="24" t="n"/>
      <c r="M9" s="24" t="n"/>
      <c r="N9" s="25">
        <f>IF(M9="","",HYPERLINK(IF(LEFT(M9,4)="http",M9,set_QwilrBase&amp;M9),"Open quote"))</f>
        <v/>
      </c>
      <c r="O9" s="64" t="n"/>
      <c r="P9" s="24" t="n"/>
      <c r="Q9" s="24" t="n"/>
    </row>
    <row r="10" ht="15" customHeight="1">
      <c r="A10" s="63">
        <f>IF(C10="","",IFERROR(IF(SUMPRODUCT(MAX((tbl_Finance[Job Number]=C10&amp;"")*(tbl_Finance[Xero Invoice No]&lt;&gt;"")*tbl_Finance[Date]))=0,"",SUMPRODUCT(MAX((tbl_Finance[Job Number]=C10&amp;"")*(tbl_Finance[Xero Invoice No]&lt;&gt;"")*tbl_Finance[Date]))),""))</f>
        <v/>
      </c>
      <c r="B10" s="25">
        <f>IF(C10="","",IF(COUNTIFS(tbl_Finance[Job Number],C10&amp;"",tbl_Finance[Xero Invoice No],"&lt;&gt;")=0,"",IFERROR(IF(COUNTIFS(tbl_Finance[Job Number],C10&amp;"",tbl_Finance[Xero Invoice No],LOOKUP(2,1/((tbl_Finance[Job Number]=C10&amp;"")*(tbl_Finance[Xero Invoice No]&lt;&gt;"")),tbl_Finance[Xero Invoice No]))=COUNTIFS(tbl_Finance[Job Number],C10&amp;"",tbl_Finance[Xero Invoice No],"&lt;&gt;"),LOOKUP(2,1/((tbl_Finance[Job Number]=C10&amp;"")*(tbl_Finance[Xero Invoice No]&lt;&gt;"")),tbl_Finance[Xero Invoice No]),LOOKUP(2,1/((tbl_Finance[Job Number]=C10&amp;"")*(tbl_Finance[Xero Invoice No]&lt;&gt;"")),tbl_Finance[Xero Invoice No])&amp;" +more"),"")))</f>
        <v/>
      </c>
      <c r="C10" s="24" t="inlineStr">
        <is>
          <t>2192</t>
        </is>
      </c>
      <c r="D10" s="25">
        <f>IF(C10="","",IF(COUNTIF(lst_Jobs,C10&amp;"")&gt;0,"OK","CHECK"))</f>
        <v/>
      </c>
      <c r="E10" s="25">
        <f>IF(C10="","",IFERROR(INDEX(lst_JobName,MATCH(C10&amp;"",lst_Jobs,0)),""))</f>
        <v/>
      </c>
      <c r="F10" s="25">
        <f>IF(C10="","",IFERROR(INDEX(tbl_Finance[Client],MATCH(C10&amp;"",tbl_Finance[Job Number],0)),""))</f>
        <v/>
      </c>
      <c r="G10" s="28">
        <f>IF(C10="","",COUNTIFS(tbl_Finance[Job Number],C10&amp;"",tbl_Finance[Ex GST],"&lt;&gt;"))</f>
        <v/>
      </c>
      <c r="H10" s="27">
        <f>IF(C10="","",SUMIFS(tbl_Finance[Ex GST],tbl_Finance[Job Number],C10&amp;""))</f>
        <v/>
      </c>
      <c r="I10" s="27">
        <f>IF(C10="","",SUMIFS(tbl_Finance[Ex GST],tbl_Finance[Job Number],C10&amp;"",tbl_Finance[Xero Invoice No],"&lt;&gt;"))</f>
        <v/>
      </c>
      <c r="J10" s="27">
        <f>IF(C10="","",H10-I10)</f>
        <v/>
      </c>
      <c r="K10" s="25">
        <f>IF(C10="","",IF(G10=0,"not invoiced yet",SUBSTITUTE(TRIM(IF(COUNTIFS(tbl_Finance[Job Number],C10&amp;"",tbl_Finance[Cost Centre],"ONSITE")&gt;0,"ONSITE ","")&amp;IF(COUNTIFS(tbl_Finance[Job Number],C10&amp;"",tbl_Finance[Cost Centre],"PRODUCTION")&gt;0,"PRODUCTION ","")&amp;IF(COUNTIFS(tbl_Finance[Job Number],C10&amp;"",tbl_Finance[Cost Centre],"VIDEO")&gt;0,"VIDEO ","")&amp;IF(COUNTIFS(tbl_Finance[Job Number],C10&amp;"",tbl_Finance[Cost Centre],"INTEGRATION")&gt;0,"INTEGRATION ","")&amp;IF(COUNTIFS(tbl_Finance[Job Number],C10&amp;"",tbl_Finance[Cost Centre],"CONSULTING")&gt;0,"CONSULTING ","")&amp;IF(COUNTIFS(tbl_Finance[Job Number],C10&amp;"",tbl_Finance[Cost Centre],"CTS")&gt;0,"CTS ",""))," ",", ")))</f>
        <v/>
      </c>
      <c r="L10" s="24" t="n"/>
      <c r="M10" s="24" t="n"/>
      <c r="N10" s="25">
        <f>IF(M10="","",HYPERLINK(IF(LEFT(M10,4)="http",M10,set_QwilrBase&amp;M10),"Open quote"))</f>
        <v/>
      </c>
      <c r="O10" s="64" t="n"/>
      <c r="P10" s="24" t="n"/>
      <c r="Q10" s="24" t="n"/>
    </row>
    <row r="11" ht="15" customHeight="1">
      <c r="A11" s="63">
        <f>IF(C11="","",IFERROR(IF(SUMPRODUCT(MAX((tbl_Finance[Job Number]=C11&amp;"")*(tbl_Finance[Xero Invoice No]&lt;&gt;"")*tbl_Finance[Date]))=0,"",SUMPRODUCT(MAX((tbl_Finance[Job Number]=C11&amp;"")*(tbl_Finance[Xero Invoice No]&lt;&gt;"")*tbl_Finance[Date]))),""))</f>
        <v/>
      </c>
      <c r="B11" s="25">
        <f>IF(C11="","",IF(COUNTIFS(tbl_Finance[Job Number],C11&amp;"",tbl_Finance[Xero Invoice No],"&lt;&gt;")=0,"",IFERROR(IF(COUNTIFS(tbl_Finance[Job Number],C11&amp;"",tbl_Finance[Xero Invoice No],LOOKUP(2,1/((tbl_Finance[Job Number]=C11&amp;"")*(tbl_Finance[Xero Invoice No]&lt;&gt;"")),tbl_Finance[Xero Invoice No]))=COUNTIFS(tbl_Finance[Job Number],C11&amp;"",tbl_Finance[Xero Invoice No],"&lt;&gt;"),LOOKUP(2,1/((tbl_Finance[Job Number]=C11&amp;"")*(tbl_Finance[Xero Invoice No]&lt;&gt;"")),tbl_Finance[Xero Invoice No]),LOOKUP(2,1/((tbl_Finance[Job Number]=C11&amp;"")*(tbl_Finance[Xero Invoice No]&lt;&gt;"")),tbl_Finance[Xero Invoice No])&amp;" +more"),"")))</f>
        <v/>
      </c>
      <c r="C11" s="24" t="inlineStr">
        <is>
          <t>2488</t>
        </is>
      </c>
      <c r="D11" s="25">
        <f>IF(C11="","",IF(COUNTIF(lst_Jobs,C11&amp;"")&gt;0,"OK","CHECK"))</f>
        <v/>
      </c>
      <c r="E11" s="25">
        <f>IF(C11="","",IFERROR(INDEX(lst_JobName,MATCH(C11&amp;"",lst_Jobs,0)),""))</f>
        <v/>
      </c>
      <c r="F11" s="25">
        <f>IF(C11="","",IFERROR(INDEX(tbl_Finance[Client],MATCH(C11&amp;"",tbl_Finance[Job Number],0)),""))</f>
        <v/>
      </c>
      <c r="G11" s="28">
        <f>IF(C11="","",COUNTIFS(tbl_Finance[Job Number],C11&amp;"",tbl_Finance[Ex GST],"&lt;&gt;"))</f>
        <v/>
      </c>
      <c r="H11" s="27">
        <f>IF(C11="","",SUMIFS(tbl_Finance[Ex GST],tbl_Finance[Job Number],C11&amp;""))</f>
        <v/>
      </c>
      <c r="I11" s="27">
        <f>IF(C11="","",SUMIFS(tbl_Finance[Ex GST],tbl_Finance[Job Number],C11&amp;"",tbl_Finance[Xero Invoice No],"&lt;&gt;"))</f>
        <v/>
      </c>
      <c r="J11" s="27">
        <f>IF(C11="","",H11-I11)</f>
        <v/>
      </c>
      <c r="K11" s="25">
        <f>IF(C11="","",IF(G11=0,"not invoiced yet",SUBSTITUTE(TRIM(IF(COUNTIFS(tbl_Finance[Job Number],C11&amp;"",tbl_Finance[Cost Centre],"ONSITE")&gt;0,"ONSITE ","")&amp;IF(COUNTIFS(tbl_Finance[Job Number],C11&amp;"",tbl_Finance[Cost Centre],"PRODUCTION")&gt;0,"PRODUCTION ","")&amp;IF(COUNTIFS(tbl_Finance[Job Number],C11&amp;"",tbl_Finance[Cost Centre],"VIDEO")&gt;0,"VIDEO ","")&amp;IF(COUNTIFS(tbl_Finance[Job Number],C11&amp;"",tbl_Finance[Cost Centre],"INTEGRATION")&gt;0,"INTEGRATION ","")&amp;IF(COUNTIFS(tbl_Finance[Job Number],C11&amp;"",tbl_Finance[Cost Centre],"CONSULTING")&gt;0,"CONSULTING ","")&amp;IF(COUNTIFS(tbl_Finance[Job Number],C11&amp;"",tbl_Finance[Cost Centre],"CTS")&gt;0,"CTS ",""))," ",", ")))</f>
        <v/>
      </c>
      <c r="L11" s="24" t="n"/>
      <c r="M11" s="24" t="n"/>
      <c r="N11" s="25">
        <f>IF(M11="","",HYPERLINK(IF(LEFT(M11,4)="http",M11,set_QwilrBase&amp;M11),"Open quote"))</f>
        <v/>
      </c>
      <c r="O11" s="64" t="n"/>
      <c r="P11" s="24" t="n"/>
      <c r="Q11" s="24" t="n"/>
    </row>
    <row r="12" ht="15" customHeight="1">
      <c r="A12" s="63">
        <f>IF(C12="","",IFERROR(IF(SUMPRODUCT(MAX((tbl_Finance[Job Number]=C12&amp;"")*(tbl_Finance[Xero Invoice No]&lt;&gt;"")*tbl_Finance[Date]))=0,"",SUMPRODUCT(MAX((tbl_Finance[Job Number]=C12&amp;"")*(tbl_Finance[Xero Invoice No]&lt;&gt;"")*tbl_Finance[Date]))),""))</f>
        <v/>
      </c>
      <c r="B12" s="25">
        <f>IF(C12="","",IF(COUNTIFS(tbl_Finance[Job Number],C12&amp;"",tbl_Finance[Xero Invoice No],"&lt;&gt;")=0,"",IFERROR(IF(COUNTIFS(tbl_Finance[Job Number],C12&amp;"",tbl_Finance[Xero Invoice No],LOOKUP(2,1/((tbl_Finance[Job Number]=C12&amp;"")*(tbl_Finance[Xero Invoice No]&lt;&gt;"")),tbl_Finance[Xero Invoice No]))=COUNTIFS(tbl_Finance[Job Number],C12&amp;"",tbl_Finance[Xero Invoice No],"&lt;&gt;"),LOOKUP(2,1/((tbl_Finance[Job Number]=C12&amp;"")*(tbl_Finance[Xero Invoice No]&lt;&gt;"")),tbl_Finance[Xero Invoice No]),LOOKUP(2,1/((tbl_Finance[Job Number]=C12&amp;"")*(tbl_Finance[Xero Invoice No]&lt;&gt;"")),tbl_Finance[Xero Invoice No])&amp;" +more"),"")))</f>
        <v/>
      </c>
      <c r="C12" s="24" t="inlineStr">
        <is>
          <t>26021602</t>
        </is>
      </c>
      <c r="D12" s="25">
        <f>IF(C12="","",IF(COUNTIF(lst_Jobs,C12&amp;"")&gt;0,"OK","CHECK"))</f>
        <v/>
      </c>
      <c r="E12" s="25">
        <f>IF(C12="","",IFERROR(INDEX(lst_JobName,MATCH(C12&amp;"",lst_Jobs,0)),""))</f>
        <v/>
      </c>
      <c r="F12" s="25">
        <f>IF(C12="","",IFERROR(INDEX(tbl_Finance[Client],MATCH(C12&amp;"",tbl_Finance[Job Number],0)),""))</f>
        <v/>
      </c>
      <c r="G12" s="28">
        <f>IF(C12="","",COUNTIFS(tbl_Finance[Job Number],C12&amp;"",tbl_Finance[Ex GST],"&lt;&gt;"))</f>
        <v/>
      </c>
      <c r="H12" s="27">
        <f>IF(C12="","",SUMIFS(tbl_Finance[Ex GST],tbl_Finance[Job Number],C12&amp;""))</f>
        <v/>
      </c>
      <c r="I12" s="27">
        <f>IF(C12="","",SUMIFS(tbl_Finance[Ex GST],tbl_Finance[Job Number],C12&amp;"",tbl_Finance[Xero Invoice No],"&lt;&gt;"))</f>
        <v/>
      </c>
      <c r="J12" s="27">
        <f>IF(C12="","",H12-I12)</f>
        <v/>
      </c>
      <c r="K12" s="25">
        <f>IF(C12="","",IF(G12=0,"not invoiced yet",SUBSTITUTE(TRIM(IF(COUNTIFS(tbl_Finance[Job Number],C12&amp;"",tbl_Finance[Cost Centre],"ONSITE")&gt;0,"ONSITE ","")&amp;IF(COUNTIFS(tbl_Finance[Job Number],C12&amp;"",tbl_Finance[Cost Centre],"PRODUCTION")&gt;0,"PRODUCTION ","")&amp;IF(COUNTIFS(tbl_Finance[Job Number],C12&amp;"",tbl_Finance[Cost Centre],"VIDEO")&gt;0,"VIDEO ","")&amp;IF(COUNTIFS(tbl_Finance[Job Number],C12&amp;"",tbl_Finance[Cost Centre],"INTEGRATION")&gt;0,"INTEGRATION ","")&amp;IF(COUNTIFS(tbl_Finance[Job Number],C12&amp;"",tbl_Finance[Cost Centre],"CONSULTING")&gt;0,"CONSULTING ","")&amp;IF(COUNTIFS(tbl_Finance[Job Number],C12&amp;"",tbl_Finance[Cost Centre],"CTS")&gt;0,"CTS ",""))," ",", ")))</f>
        <v/>
      </c>
      <c r="L12" s="24" t="n"/>
      <c r="M12" s="24" t="n"/>
      <c r="N12" s="25">
        <f>IF(M12="","",HYPERLINK(IF(LEFT(M12,4)="http",M12,set_QwilrBase&amp;M12),"Open quote"))</f>
        <v/>
      </c>
      <c r="O12" s="64" t="n"/>
      <c r="P12" s="24" t="n"/>
      <c r="Q12" s="24" t="n"/>
    </row>
    <row r="13" ht="15" customHeight="1">
      <c r="A13" s="63">
        <f>IF(C13="","",IFERROR(IF(SUMPRODUCT(MAX((tbl_Finance[Job Number]=C13&amp;"")*(tbl_Finance[Xero Invoice No]&lt;&gt;"")*tbl_Finance[Date]))=0,"",SUMPRODUCT(MAX((tbl_Finance[Job Number]=C13&amp;"")*(tbl_Finance[Xero Invoice No]&lt;&gt;"")*tbl_Finance[Date]))),""))</f>
        <v/>
      </c>
      <c r="B13" s="25">
        <f>IF(C13="","",IF(COUNTIFS(tbl_Finance[Job Number],C13&amp;"",tbl_Finance[Xero Invoice No],"&lt;&gt;")=0,"",IFERROR(IF(COUNTIFS(tbl_Finance[Job Number],C13&amp;"",tbl_Finance[Xero Invoice No],LOOKUP(2,1/((tbl_Finance[Job Number]=C13&amp;"")*(tbl_Finance[Xero Invoice No]&lt;&gt;"")),tbl_Finance[Xero Invoice No]))=COUNTIFS(tbl_Finance[Job Number],C13&amp;"",tbl_Finance[Xero Invoice No],"&lt;&gt;"),LOOKUP(2,1/((tbl_Finance[Job Number]=C13&amp;"")*(tbl_Finance[Xero Invoice No]&lt;&gt;"")),tbl_Finance[Xero Invoice No]),LOOKUP(2,1/((tbl_Finance[Job Number]=C13&amp;"")*(tbl_Finance[Xero Invoice No]&lt;&gt;"")),tbl_Finance[Xero Invoice No])&amp;" +more"),"")))</f>
        <v/>
      </c>
      <c r="C13" s="24" t="inlineStr">
        <is>
          <t>26043001</t>
        </is>
      </c>
      <c r="D13" s="25">
        <f>IF(C13="","",IF(COUNTIF(lst_Jobs,C13&amp;"")&gt;0,"OK","CHECK"))</f>
        <v/>
      </c>
      <c r="E13" s="25">
        <f>IF(C13="","",IFERROR(INDEX(lst_JobName,MATCH(C13&amp;"",lst_Jobs,0)),""))</f>
        <v/>
      </c>
      <c r="F13" s="25">
        <f>IF(C13="","",IFERROR(INDEX(tbl_Finance[Client],MATCH(C13&amp;"",tbl_Finance[Job Number],0)),""))</f>
        <v/>
      </c>
      <c r="G13" s="28">
        <f>IF(C13="","",COUNTIFS(tbl_Finance[Job Number],C13&amp;"",tbl_Finance[Ex GST],"&lt;&gt;"))</f>
        <v/>
      </c>
      <c r="H13" s="27">
        <f>IF(C13="","",SUMIFS(tbl_Finance[Ex GST],tbl_Finance[Job Number],C13&amp;""))</f>
        <v/>
      </c>
      <c r="I13" s="27">
        <f>IF(C13="","",SUMIFS(tbl_Finance[Ex GST],tbl_Finance[Job Number],C13&amp;"",tbl_Finance[Xero Invoice No],"&lt;&gt;"))</f>
        <v/>
      </c>
      <c r="J13" s="27">
        <f>IF(C13="","",H13-I13)</f>
        <v/>
      </c>
      <c r="K13" s="25">
        <f>IF(C13="","",IF(G13=0,"not invoiced yet",SUBSTITUTE(TRIM(IF(COUNTIFS(tbl_Finance[Job Number],C13&amp;"",tbl_Finance[Cost Centre],"ONSITE")&gt;0,"ONSITE ","")&amp;IF(COUNTIFS(tbl_Finance[Job Number],C13&amp;"",tbl_Finance[Cost Centre],"PRODUCTION")&gt;0,"PRODUCTION ","")&amp;IF(COUNTIFS(tbl_Finance[Job Number],C13&amp;"",tbl_Finance[Cost Centre],"VIDEO")&gt;0,"VIDEO ","")&amp;IF(COUNTIFS(tbl_Finance[Job Number],C13&amp;"",tbl_Finance[Cost Centre],"INTEGRATION")&gt;0,"INTEGRATION ","")&amp;IF(COUNTIFS(tbl_Finance[Job Number],C13&amp;"",tbl_Finance[Cost Centre],"CONSULTING")&gt;0,"CONSULTING ","")&amp;IF(COUNTIFS(tbl_Finance[Job Number],C13&amp;"",tbl_Finance[Cost Centre],"CTS")&gt;0,"CTS ",""))," ",", ")))</f>
        <v/>
      </c>
      <c r="L13" s="24" t="n"/>
      <c r="M13" s="24" t="n"/>
      <c r="N13" s="25">
        <f>IF(M13="","",HYPERLINK(IF(LEFT(M13,4)="http",M13,set_QwilrBase&amp;M13),"Open quote"))</f>
        <v/>
      </c>
      <c r="O13" s="64" t="n"/>
      <c r="P13" s="24" t="n"/>
      <c r="Q13" s="24" t="inlineStr">
        <is>
          <t>Deduct 8hrs CN for 03/07</t>
        </is>
      </c>
    </row>
    <row r="14" ht="15" customHeight="1">
      <c r="A14" s="63">
        <f>IF(C14="","",IFERROR(IF(SUMPRODUCT(MAX((tbl_Finance[Job Number]=C14&amp;"")*(tbl_Finance[Xero Invoice No]&lt;&gt;"")*tbl_Finance[Date]))=0,"",SUMPRODUCT(MAX((tbl_Finance[Job Number]=C14&amp;"")*(tbl_Finance[Xero Invoice No]&lt;&gt;"")*tbl_Finance[Date]))),""))</f>
        <v/>
      </c>
      <c r="B14" s="25">
        <f>IF(C14="","",IF(COUNTIFS(tbl_Finance[Job Number],C14&amp;"",tbl_Finance[Xero Invoice No],"&lt;&gt;")=0,"",IFERROR(IF(COUNTIFS(tbl_Finance[Job Number],C14&amp;"",tbl_Finance[Xero Invoice No],LOOKUP(2,1/((tbl_Finance[Job Number]=C14&amp;"")*(tbl_Finance[Xero Invoice No]&lt;&gt;"")),tbl_Finance[Xero Invoice No]))=COUNTIFS(tbl_Finance[Job Number],C14&amp;"",tbl_Finance[Xero Invoice No],"&lt;&gt;"),LOOKUP(2,1/((tbl_Finance[Job Number]=C14&amp;"")*(tbl_Finance[Xero Invoice No]&lt;&gt;"")),tbl_Finance[Xero Invoice No]),LOOKUP(2,1/((tbl_Finance[Job Number]=C14&amp;"")*(tbl_Finance[Xero Invoice No]&lt;&gt;"")),tbl_Finance[Xero Invoice No])&amp;" +more"),"")))</f>
        <v/>
      </c>
      <c r="C14" s="24" t="inlineStr">
        <is>
          <t>25101301B</t>
        </is>
      </c>
      <c r="D14" s="25">
        <f>IF(C14="","",IF(COUNTIF(lst_Jobs,C14&amp;"")&gt;0,"OK","CHECK"))</f>
        <v/>
      </c>
      <c r="E14" s="25">
        <f>IF(C14="","",IFERROR(INDEX(lst_JobName,MATCH(C14&amp;"",lst_Jobs,0)),""))</f>
        <v/>
      </c>
      <c r="F14" s="25">
        <f>IF(C14="","",IFERROR(INDEX(tbl_Finance[Client],MATCH(C14&amp;"",tbl_Finance[Job Number],0)),""))</f>
        <v/>
      </c>
      <c r="G14" s="28">
        <f>IF(C14="","",COUNTIFS(tbl_Finance[Job Number],C14&amp;"",tbl_Finance[Ex GST],"&lt;&gt;"))</f>
        <v/>
      </c>
      <c r="H14" s="27">
        <f>IF(C14="","",SUMIFS(tbl_Finance[Ex GST],tbl_Finance[Job Number],C14&amp;""))</f>
        <v/>
      </c>
      <c r="I14" s="27">
        <f>IF(C14="","",SUMIFS(tbl_Finance[Ex GST],tbl_Finance[Job Number],C14&amp;"",tbl_Finance[Xero Invoice No],"&lt;&gt;"))</f>
        <v/>
      </c>
      <c r="J14" s="27">
        <f>IF(C14="","",H14-I14)</f>
        <v/>
      </c>
      <c r="K14" s="25">
        <f>IF(C14="","",IF(G14=0,"not invoiced yet",SUBSTITUTE(TRIM(IF(COUNTIFS(tbl_Finance[Job Number],C14&amp;"",tbl_Finance[Cost Centre],"ONSITE")&gt;0,"ONSITE ","")&amp;IF(COUNTIFS(tbl_Finance[Job Number],C14&amp;"",tbl_Finance[Cost Centre],"PRODUCTION")&gt;0,"PRODUCTION ","")&amp;IF(COUNTIFS(tbl_Finance[Job Number],C14&amp;"",tbl_Finance[Cost Centre],"VIDEO")&gt;0,"VIDEO ","")&amp;IF(COUNTIFS(tbl_Finance[Job Number],C14&amp;"",tbl_Finance[Cost Centre],"INTEGRATION")&gt;0,"INTEGRATION ","")&amp;IF(COUNTIFS(tbl_Finance[Job Number],C14&amp;"",tbl_Finance[Cost Centre],"CONSULTING")&gt;0,"CONSULTING ","")&amp;IF(COUNTIFS(tbl_Finance[Job Number],C14&amp;"",tbl_Finance[Cost Centre],"CTS")&gt;0,"CTS ",""))," ",", ")))</f>
        <v/>
      </c>
      <c r="L14" s="24" t="n"/>
      <c r="M14" s="24" t="n"/>
      <c r="N14" s="25">
        <f>IF(M14="","",HYPERLINK(IF(LEFT(M14,4)="http",M14,set_QwilrBase&amp;M14),"Open quote"))</f>
        <v/>
      </c>
      <c r="O14" s="64" t="n"/>
      <c r="P14" s="24" t="n"/>
      <c r="Q14" s="24" t="n"/>
    </row>
    <row r="15" ht="15" customHeight="1">
      <c r="A15" s="63">
        <f>IF(C15="","",IFERROR(IF(SUMPRODUCT(MAX((tbl_Finance[Job Number]=C15&amp;"")*(tbl_Finance[Xero Invoice No]&lt;&gt;"")*tbl_Finance[Date]))=0,"",SUMPRODUCT(MAX((tbl_Finance[Job Number]=C15&amp;"")*(tbl_Finance[Xero Invoice No]&lt;&gt;"")*tbl_Finance[Date]))),""))</f>
        <v/>
      </c>
      <c r="B15" s="25">
        <f>IF(C15="","",IF(COUNTIFS(tbl_Finance[Job Number],C15&amp;"",tbl_Finance[Xero Invoice No],"&lt;&gt;")=0,"",IFERROR(IF(COUNTIFS(tbl_Finance[Job Number],C15&amp;"",tbl_Finance[Xero Invoice No],LOOKUP(2,1/((tbl_Finance[Job Number]=C15&amp;"")*(tbl_Finance[Xero Invoice No]&lt;&gt;"")),tbl_Finance[Xero Invoice No]))=COUNTIFS(tbl_Finance[Job Number],C15&amp;"",tbl_Finance[Xero Invoice No],"&lt;&gt;"),LOOKUP(2,1/((tbl_Finance[Job Number]=C15&amp;"")*(tbl_Finance[Xero Invoice No]&lt;&gt;"")),tbl_Finance[Xero Invoice No]),LOOKUP(2,1/((tbl_Finance[Job Number]=C15&amp;"")*(tbl_Finance[Xero Invoice No]&lt;&gt;"")),tbl_Finance[Xero Invoice No])&amp;" +more"),"")))</f>
        <v/>
      </c>
      <c r="C15" s="24" t="inlineStr">
        <is>
          <t>2880</t>
        </is>
      </c>
      <c r="D15" s="25">
        <f>IF(C15="","",IF(COUNTIF(lst_Jobs,C15&amp;"")&gt;0,"OK","CHECK"))</f>
        <v/>
      </c>
      <c r="E15" s="25">
        <f>IF(C15="","",IFERROR(INDEX(lst_JobName,MATCH(C15&amp;"",lst_Jobs,0)),""))</f>
        <v/>
      </c>
      <c r="F15" s="25">
        <f>IF(C15="","",IFERROR(INDEX(tbl_Finance[Client],MATCH(C15&amp;"",tbl_Finance[Job Number],0)),""))</f>
        <v/>
      </c>
      <c r="G15" s="28">
        <f>IF(C15="","",COUNTIFS(tbl_Finance[Job Number],C15&amp;"",tbl_Finance[Ex GST],"&lt;&gt;"))</f>
        <v/>
      </c>
      <c r="H15" s="27">
        <f>IF(C15="","",SUMIFS(tbl_Finance[Ex GST],tbl_Finance[Job Number],C15&amp;""))</f>
        <v/>
      </c>
      <c r="I15" s="27">
        <f>IF(C15="","",SUMIFS(tbl_Finance[Ex GST],tbl_Finance[Job Number],C15&amp;"",tbl_Finance[Xero Invoice No],"&lt;&gt;"))</f>
        <v/>
      </c>
      <c r="J15" s="27">
        <f>IF(C15="","",H15-I15)</f>
        <v/>
      </c>
      <c r="K15" s="25">
        <f>IF(C15="","",IF(G15=0,"not invoiced yet",SUBSTITUTE(TRIM(IF(COUNTIFS(tbl_Finance[Job Number],C15&amp;"",tbl_Finance[Cost Centre],"ONSITE")&gt;0,"ONSITE ","")&amp;IF(COUNTIFS(tbl_Finance[Job Number],C15&amp;"",tbl_Finance[Cost Centre],"PRODUCTION")&gt;0,"PRODUCTION ","")&amp;IF(COUNTIFS(tbl_Finance[Job Number],C15&amp;"",tbl_Finance[Cost Centre],"VIDEO")&gt;0,"VIDEO ","")&amp;IF(COUNTIFS(tbl_Finance[Job Number],C15&amp;"",tbl_Finance[Cost Centre],"INTEGRATION")&gt;0,"INTEGRATION ","")&amp;IF(COUNTIFS(tbl_Finance[Job Number],C15&amp;"",tbl_Finance[Cost Centre],"CONSULTING")&gt;0,"CONSULTING ","")&amp;IF(COUNTIFS(tbl_Finance[Job Number],C15&amp;"",tbl_Finance[Cost Centre],"CTS")&gt;0,"CTS ",""))," ",", ")))</f>
        <v/>
      </c>
      <c r="L15" s="24" t="n"/>
      <c r="M15" s="24" t="n"/>
      <c r="N15" s="25">
        <f>IF(M15="","",HYPERLINK(IF(LEFT(M15,4)="http",M15,set_QwilrBase&amp;M15),"Open quote"))</f>
        <v/>
      </c>
      <c r="O15" s="64" t="n"/>
      <c r="P15" s="24" t="n"/>
      <c r="Q15" s="24" t="inlineStr">
        <is>
          <t>2 months extension</t>
        </is>
      </c>
    </row>
    <row r="16" ht="15" customHeight="1">
      <c r="A16" s="63">
        <f>IF(C16="","",IFERROR(IF(SUMPRODUCT(MAX((tbl_Finance[Job Number]=C16&amp;"")*(tbl_Finance[Xero Invoice No]&lt;&gt;"")*tbl_Finance[Date]))=0,"",SUMPRODUCT(MAX((tbl_Finance[Job Number]=C16&amp;"")*(tbl_Finance[Xero Invoice No]&lt;&gt;"")*tbl_Finance[Date]))),""))</f>
        <v/>
      </c>
      <c r="B16" s="25">
        <f>IF(C16="","",IF(COUNTIFS(tbl_Finance[Job Number],C16&amp;"",tbl_Finance[Xero Invoice No],"&lt;&gt;")=0,"",IFERROR(IF(COUNTIFS(tbl_Finance[Job Number],C16&amp;"",tbl_Finance[Xero Invoice No],LOOKUP(2,1/((tbl_Finance[Job Number]=C16&amp;"")*(tbl_Finance[Xero Invoice No]&lt;&gt;"")),tbl_Finance[Xero Invoice No]))=COUNTIFS(tbl_Finance[Job Number],C16&amp;"",tbl_Finance[Xero Invoice No],"&lt;&gt;"),LOOKUP(2,1/((tbl_Finance[Job Number]=C16&amp;"")*(tbl_Finance[Xero Invoice No]&lt;&gt;"")),tbl_Finance[Xero Invoice No]),LOOKUP(2,1/((tbl_Finance[Job Number]=C16&amp;"")*(tbl_Finance[Xero Invoice No]&lt;&gt;"")),tbl_Finance[Xero Invoice No])&amp;" +more"),"")))</f>
        <v/>
      </c>
      <c r="C16" s="24" t="inlineStr">
        <is>
          <t>3056</t>
        </is>
      </c>
      <c r="D16" s="25">
        <f>IF(C16="","",IF(COUNTIF(lst_Jobs,C16&amp;"")&gt;0,"OK","CHECK"))</f>
        <v/>
      </c>
      <c r="E16" s="25">
        <f>IF(C16="","",IFERROR(INDEX(lst_JobName,MATCH(C16&amp;"",lst_Jobs,0)),""))</f>
        <v/>
      </c>
      <c r="F16" s="25">
        <f>IF(C16="","",IFERROR(INDEX(tbl_Finance[Client],MATCH(C16&amp;"",tbl_Finance[Job Number],0)),""))</f>
        <v/>
      </c>
      <c r="G16" s="28">
        <f>IF(C16="","",COUNTIFS(tbl_Finance[Job Number],C16&amp;"",tbl_Finance[Ex GST],"&lt;&gt;"))</f>
        <v/>
      </c>
      <c r="H16" s="27">
        <f>IF(C16="","",SUMIFS(tbl_Finance[Ex GST],tbl_Finance[Job Number],C16&amp;""))</f>
        <v/>
      </c>
      <c r="I16" s="27">
        <f>IF(C16="","",SUMIFS(tbl_Finance[Ex GST],tbl_Finance[Job Number],C16&amp;"",tbl_Finance[Xero Invoice No],"&lt;&gt;"))</f>
        <v/>
      </c>
      <c r="J16" s="27">
        <f>IF(C16="","",H16-I16)</f>
        <v/>
      </c>
      <c r="K16" s="25">
        <f>IF(C16="","",IF(G16=0,"not invoiced yet",SUBSTITUTE(TRIM(IF(COUNTIFS(tbl_Finance[Job Number],C16&amp;"",tbl_Finance[Cost Centre],"ONSITE")&gt;0,"ONSITE ","")&amp;IF(COUNTIFS(tbl_Finance[Job Number],C16&amp;"",tbl_Finance[Cost Centre],"PRODUCTION")&gt;0,"PRODUCTION ","")&amp;IF(COUNTIFS(tbl_Finance[Job Number],C16&amp;"",tbl_Finance[Cost Centre],"VIDEO")&gt;0,"VIDEO ","")&amp;IF(COUNTIFS(tbl_Finance[Job Number],C16&amp;"",tbl_Finance[Cost Centre],"INTEGRATION")&gt;0,"INTEGRATION ","")&amp;IF(COUNTIFS(tbl_Finance[Job Number],C16&amp;"",tbl_Finance[Cost Centre],"CONSULTING")&gt;0,"CONSULTING ","")&amp;IF(COUNTIFS(tbl_Finance[Job Number],C16&amp;"",tbl_Finance[Cost Centre],"CTS")&gt;0,"CTS ",""))," ",", ")))</f>
        <v/>
      </c>
      <c r="L16" s="24" t="n"/>
      <c r="M16" s="24" t="n"/>
      <c r="N16" s="25">
        <f>IF(M16="","",HYPERLINK(IF(LEFT(M16,4)="http",M16,set_QwilrBase&amp;M16),"Open quote"))</f>
        <v/>
      </c>
      <c r="O16" s="64" t="n"/>
      <c r="P16" s="24" t="n"/>
      <c r="Q16" s="24" t="n"/>
    </row>
    <row r="17" ht="15" customHeight="1">
      <c r="A17" s="63">
        <f>IF(C17="","",IFERROR(IF(SUMPRODUCT(MAX((tbl_Finance[Job Number]=C17&amp;"")*(tbl_Finance[Xero Invoice No]&lt;&gt;"")*tbl_Finance[Date]))=0,"",SUMPRODUCT(MAX((tbl_Finance[Job Number]=C17&amp;"")*(tbl_Finance[Xero Invoice No]&lt;&gt;"")*tbl_Finance[Date]))),""))</f>
        <v/>
      </c>
      <c r="B17" s="25">
        <f>IF(C17="","",IF(COUNTIFS(tbl_Finance[Job Number],C17&amp;"",tbl_Finance[Xero Invoice No],"&lt;&gt;")=0,"",IFERROR(IF(COUNTIFS(tbl_Finance[Job Number],C17&amp;"",tbl_Finance[Xero Invoice No],LOOKUP(2,1/((tbl_Finance[Job Number]=C17&amp;"")*(tbl_Finance[Xero Invoice No]&lt;&gt;"")),tbl_Finance[Xero Invoice No]))=COUNTIFS(tbl_Finance[Job Number],C17&amp;"",tbl_Finance[Xero Invoice No],"&lt;&gt;"),LOOKUP(2,1/((tbl_Finance[Job Number]=C17&amp;"")*(tbl_Finance[Xero Invoice No]&lt;&gt;"")),tbl_Finance[Xero Invoice No]),LOOKUP(2,1/((tbl_Finance[Job Number]=C17&amp;"")*(tbl_Finance[Xero Invoice No]&lt;&gt;"")),tbl_Finance[Xero Invoice No])&amp;" +more"),"")))</f>
        <v/>
      </c>
      <c r="C17" s="24" t="inlineStr">
        <is>
          <t>20250731</t>
        </is>
      </c>
      <c r="D17" s="25">
        <f>IF(C17="","",IF(COUNTIF(lst_Jobs,C17&amp;"")&gt;0,"OK","CHECK"))</f>
        <v/>
      </c>
      <c r="E17" s="25">
        <f>IF(C17="","",IFERROR(INDEX(lst_JobName,MATCH(C17&amp;"",lst_Jobs,0)),""))</f>
        <v/>
      </c>
      <c r="F17" s="25">
        <f>IF(C17="","",IFERROR(INDEX(tbl_Finance[Client],MATCH(C17&amp;"",tbl_Finance[Job Number],0)),""))</f>
        <v/>
      </c>
      <c r="G17" s="28">
        <f>IF(C17="","",COUNTIFS(tbl_Finance[Job Number],C17&amp;"",tbl_Finance[Ex GST],"&lt;&gt;"))</f>
        <v/>
      </c>
      <c r="H17" s="27">
        <f>IF(C17="","",SUMIFS(tbl_Finance[Ex GST],tbl_Finance[Job Number],C17&amp;""))</f>
        <v/>
      </c>
      <c r="I17" s="27">
        <f>IF(C17="","",SUMIFS(tbl_Finance[Ex GST],tbl_Finance[Job Number],C17&amp;"",tbl_Finance[Xero Invoice No],"&lt;&gt;"))</f>
        <v/>
      </c>
      <c r="J17" s="27">
        <f>IF(C17="","",H17-I17)</f>
        <v/>
      </c>
      <c r="K17" s="25">
        <f>IF(C17="","",IF(G17=0,"not invoiced yet",SUBSTITUTE(TRIM(IF(COUNTIFS(tbl_Finance[Job Number],C17&amp;"",tbl_Finance[Cost Centre],"ONSITE")&gt;0,"ONSITE ","")&amp;IF(COUNTIFS(tbl_Finance[Job Number],C17&amp;"",tbl_Finance[Cost Centre],"PRODUCTION")&gt;0,"PRODUCTION ","")&amp;IF(COUNTIFS(tbl_Finance[Job Number],C17&amp;"",tbl_Finance[Cost Centre],"VIDEO")&gt;0,"VIDEO ","")&amp;IF(COUNTIFS(tbl_Finance[Job Number],C17&amp;"",tbl_Finance[Cost Centre],"INTEGRATION")&gt;0,"INTEGRATION ","")&amp;IF(COUNTIFS(tbl_Finance[Job Number],C17&amp;"",tbl_Finance[Cost Centre],"CONSULTING")&gt;0,"CONSULTING ","")&amp;IF(COUNTIFS(tbl_Finance[Job Number],C17&amp;"",tbl_Finance[Cost Centre],"CTS")&gt;0,"CTS ",""))," ",", ")))</f>
        <v/>
      </c>
      <c r="L17" s="24" t="n"/>
      <c r="M17" s="24" t="n"/>
      <c r="N17" s="25">
        <f>IF(M17="","",HYPERLINK(IF(LEFT(M17,4)="http",M17,set_QwilrBase&amp;M17),"Open quote"))</f>
        <v/>
      </c>
      <c r="O17" s="64" t="n"/>
      <c r="P17" s="24" t="n"/>
      <c r="Q17" s="24" t="inlineStr">
        <is>
          <t>PO2601703215</t>
        </is>
      </c>
    </row>
    <row r="18" ht="15" customHeight="1">
      <c r="A18" s="63">
        <f>IF(C18="","",IFERROR(IF(SUMPRODUCT(MAX((tbl_Finance[Job Number]=C18&amp;"")*(tbl_Finance[Xero Invoice No]&lt;&gt;"")*tbl_Finance[Date]))=0,"",SUMPRODUCT(MAX((tbl_Finance[Job Number]=C18&amp;"")*(tbl_Finance[Xero Invoice No]&lt;&gt;"")*tbl_Finance[Date]))),""))</f>
        <v/>
      </c>
      <c r="B18" s="25">
        <f>IF(C18="","",IF(COUNTIFS(tbl_Finance[Job Number],C18&amp;"",tbl_Finance[Xero Invoice No],"&lt;&gt;")=0,"",IFERROR(IF(COUNTIFS(tbl_Finance[Job Number],C18&amp;"",tbl_Finance[Xero Invoice No],LOOKUP(2,1/((tbl_Finance[Job Number]=C18&amp;"")*(tbl_Finance[Xero Invoice No]&lt;&gt;"")),tbl_Finance[Xero Invoice No]))=COUNTIFS(tbl_Finance[Job Number],C18&amp;"",tbl_Finance[Xero Invoice No],"&lt;&gt;"),LOOKUP(2,1/((tbl_Finance[Job Number]=C18&amp;"")*(tbl_Finance[Xero Invoice No]&lt;&gt;"")),tbl_Finance[Xero Invoice No]),LOOKUP(2,1/((tbl_Finance[Job Number]=C18&amp;"")*(tbl_Finance[Xero Invoice No]&lt;&gt;"")),tbl_Finance[Xero Invoice No])&amp;" +more"),"")))</f>
        <v/>
      </c>
      <c r="C18" s="24" t="inlineStr">
        <is>
          <t>1668</t>
        </is>
      </c>
      <c r="D18" s="25">
        <f>IF(C18="","",IF(COUNTIF(lst_Jobs,C18&amp;"")&gt;0,"OK","CHECK"))</f>
        <v/>
      </c>
      <c r="E18" s="25">
        <f>IF(C18="","",IFERROR(INDEX(lst_JobName,MATCH(C18&amp;"",lst_Jobs,0)),""))</f>
        <v/>
      </c>
      <c r="F18" s="25">
        <f>IF(C18="","",IFERROR(INDEX(tbl_Finance[Client],MATCH(C18&amp;"",tbl_Finance[Job Number],0)),""))</f>
        <v/>
      </c>
      <c r="G18" s="28">
        <f>IF(C18="","",COUNTIFS(tbl_Finance[Job Number],C18&amp;"",tbl_Finance[Ex GST],"&lt;&gt;"))</f>
        <v/>
      </c>
      <c r="H18" s="27">
        <f>IF(C18="","",SUMIFS(tbl_Finance[Ex GST],tbl_Finance[Job Number],C18&amp;""))</f>
        <v/>
      </c>
      <c r="I18" s="27">
        <f>IF(C18="","",SUMIFS(tbl_Finance[Ex GST],tbl_Finance[Job Number],C18&amp;"",tbl_Finance[Xero Invoice No],"&lt;&gt;"))</f>
        <v/>
      </c>
      <c r="J18" s="27">
        <f>IF(C18="","",H18-I18)</f>
        <v/>
      </c>
      <c r="K18" s="25">
        <f>IF(C18="","",IF(G18=0,"not invoiced yet",SUBSTITUTE(TRIM(IF(COUNTIFS(tbl_Finance[Job Number],C18&amp;"",tbl_Finance[Cost Centre],"ONSITE")&gt;0,"ONSITE ","")&amp;IF(COUNTIFS(tbl_Finance[Job Number],C18&amp;"",tbl_Finance[Cost Centre],"PRODUCTION")&gt;0,"PRODUCTION ","")&amp;IF(COUNTIFS(tbl_Finance[Job Number],C18&amp;"",tbl_Finance[Cost Centre],"VIDEO")&gt;0,"VIDEO ","")&amp;IF(COUNTIFS(tbl_Finance[Job Number],C18&amp;"",tbl_Finance[Cost Centre],"INTEGRATION")&gt;0,"INTEGRATION ","")&amp;IF(COUNTIFS(tbl_Finance[Job Number],C18&amp;"",tbl_Finance[Cost Centre],"CONSULTING")&gt;0,"CONSULTING ","")&amp;IF(COUNTIFS(tbl_Finance[Job Number],C18&amp;"",tbl_Finance[Cost Centre],"CTS")&gt;0,"CTS ",""))," ",", ")))</f>
        <v/>
      </c>
      <c r="L18" s="24" t="n"/>
      <c r="M18" s="24" t="n"/>
      <c r="N18" s="25">
        <f>IF(M18="","",HYPERLINK(IF(LEFT(M18,4)="http",M18,set_QwilrBase&amp;M18),"Open quote"))</f>
        <v/>
      </c>
      <c r="O18" s="64" t="n"/>
      <c r="P18" s="24" t="n"/>
      <c r="Q18" s="24" t="n"/>
    </row>
    <row r="19" ht="15" customHeight="1">
      <c r="A19" s="63">
        <f>IF(C19="","",IFERROR(IF(SUMPRODUCT(MAX((tbl_Finance[Job Number]=C19&amp;"")*(tbl_Finance[Xero Invoice No]&lt;&gt;"")*tbl_Finance[Date]))=0,"",SUMPRODUCT(MAX((tbl_Finance[Job Number]=C19&amp;"")*(tbl_Finance[Xero Invoice No]&lt;&gt;"")*tbl_Finance[Date]))),""))</f>
        <v/>
      </c>
      <c r="B19" s="25">
        <f>IF(C19="","",IF(COUNTIFS(tbl_Finance[Job Number],C19&amp;"",tbl_Finance[Xero Invoice No],"&lt;&gt;")=0,"",IFERROR(IF(COUNTIFS(tbl_Finance[Job Number],C19&amp;"",tbl_Finance[Xero Invoice No],LOOKUP(2,1/((tbl_Finance[Job Number]=C19&amp;"")*(tbl_Finance[Xero Invoice No]&lt;&gt;"")),tbl_Finance[Xero Invoice No]))=COUNTIFS(tbl_Finance[Job Number],C19&amp;"",tbl_Finance[Xero Invoice No],"&lt;&gt;"),LOOKUP(2,1/((tbl_Finance[Job Number]=C19&amp;"")*(tbl_Finance[Xero Invoice No]&lt;&gt;"")),tbl_Finance[Xero Invoice No]),LOOKUP(2,1/((tbl_Finance[Job Number]=C19&amp;"")*(tbl_Finance[Xero Invoice No]&lt;&gt;"")),tbl_Finance[Xero Invoice No])&amp;" +more"),"")))</f>
        <v/>
      </c>
      <c r="C19" s="24" t="inlineStr">
        <is>
          <t>2540</t>
        </is>
      </c>
      <c r="D19" s="25">
        <f>IF(C19="","",IF(COUNTIF(lst_Jobs,C19&amp;"")&gt;0,"OK","CHECK"))</f>
        <v/>
      </c>
      <c r="E19" s="25">
        <f>IF(C19="","",IFERROR(INDEX(lst_JobName,MATCH(C19&amp;"",lst_Jobs,0)),""))</f>
        <v/>
      </c>
      <c r="F19" s="25">
        <f>IF(C19="","",IFERROR(INDEX(tbl_Finance[Client],MATCH(C19&amp;"",tbl_Finance[Job Number],0)),""))</f>
        <v/>
      </c>
      <c r="G19" s="28">
        <f>IF(C19="","",COUNTIFS(tbl_Finance[Job Number],C19&amp;"",tbl_Finance[Ex GST],"&lt;&gt;"))</f>
        <v/>
      </c>
      <c r="H19" s="27">
        <f>IF(C19="","",SUMIFS(tbl_Finance[Ex GST],tbl_Finance[Job Number],C19&amp;""))</f>
        <v/>
      </c>
      <c r="I19" s="27">
        <f>IF(C19="","",SUMIFS(tbl_Finance[Ex GST],tbl_Finance[Job Number],C19&amp;"",tbl_Finance[Xero Invoice No],"&lt;&gt;"))</f>
        <v/>
      </c>
      <c r="J19" s="27">
        <f>IF(C19="","",H19-I19)</f>
        <v/>
      </c>
      <c r="K19" s="25">
        <f>IF(C19="","",IF(G19=0,"not invoiced yet",SUBSTITUTE(TRIM(IF(COUNTIFS(tbl_Finance[Job Number],C19&amp;"",tbl_Finance[Cost Centre],"ONSITE")&gt;0,"ONSITE ","")&amp;IF(COUNTIFS(tbl_Finance[Job Number],C19&amp;"",tbl_Finance[Cost Centre],"PRODUCTION")&gt;0,"PRODUCTION ","")&amp;IF(COUNTIFS(tbl_Finance[Job Number],C19&amp;"",tbl_Finance[Cost Centre],"VIDEO")&gt;0,"VIDEO ","")&amp;IF(COUNTIFS(tbl_Finance[Job Number],C19&amp;"",tbl_Finance[Cost Centre],"INTEGRATION")&gt;0,"INTEGRATION ","")&amp;IF(COUNTIFS(tbl_Finance[Job Number],C19&amp;"",tbl_Finance[Cost Centre],"CONSULTING")&gt;0,"CONSULTING ","")&amp;IF(COUNTIFS(tbl_Finance[Job Number],C19&amp;"",tbl_Finance[Cost Centre],"CTS")&gt;0,"CTS ",""))," ",", ")))</f>
        <v/>
      </c>
      <c r="L19" s="24" t="n"/>
      <c r="M19" s="24" t="n"/>
      <c r="N19" s="25">
        <f>IF(M19="","",HYPERLINK(IF(LEFT(M19,4)="http",M19,set_QwilrBase&amp;M19),"Open quote"))</f>
        <v/>
      </c>
      <c r="O19" s="64" t="n"/>
      <c r="P19" s="24" t="n"/>
      <c r="Q19" s="24" t="inlineStr">
        <is>
          <t>PO2601703274</t>
        </is>
      </c>
    </row>
    <row r="20" ht="15" customHeight="1">
      <c r="A20" s="63">
        <f>IF(C20="","",IFERROR(IF(SUMPRODUCT(MAX((tbl_Finance[Job Number]=C20&amp;"")*(tbl_Finance[Xero Invoice No]&lt;&gt;"")*tbl_Finance[Date]))=0,"",SUMPRODUCT(MAX((tbl_Finance[Job Number]=C20&amp;"")*(tbl_Finance[Xero Invoice No]&lt;&gt;"")*tbl_Finance[Date]))),""))</f>
        <v/>
      </c>
      <c r="B20" s="25">
        <f>IF(C20="","",IF(COUNTIFS(tbl_Finance[Job Number],C20&amp;"",tbl_Finance[Xero Invoice No],"&lt;&gt;")=0,"",IFERROR(IF(COUNTIFS(tbl_Finance[Job Number],C20&amp;"",tbl_Finance[Xero Invoice No],LOOKUP(2,1/((tbl_Finance[Job Number]=C20&amp;"")*(tbl_Finance[Xero Invoice No]&lt;&gt;"")),tbl_Finance[Xero Invoice No]))=COUNTIFS(tbl_Finance[Job Number],C20&amp;"",tbl_Finance[Xero Invoice No],"&lt;&gt;"),LOOKUP(2,1/((tbl_Finance[Job Number]=C20&amp;"")*(tbl_Finance[Xero Invoice No]&lt;&gt;"")),tbl_Finance[Xero Invoice No]),LOOKUP(2,1/((tbl_Finance[Job Number]=C20&amp;"")*(tbl_Finance[Xero Invoice No]&lt;&gt;"")),tbl_Finance[Xero Invoice No])&amp;" +more"),"")))</f>
        <v/>
      </c>
      <c r="C20" s="24" t="inlineStr">
        <is>
          <t>26062501/2347</t>
        </is>
      </c>
      <c r="D20" s="25">
        <f>IF(C20="","",IF(COUNTIF(lst_Jobs,C20&amp;"")&gt;0,"OK","CHECK"))</f>
        <v/>
      </c>
      <c r="E20" s="25">
        <f>IF(C20="","",IFERROR(INDEX(lst_JobName,MATCH(C20&amp;"",lst_Jobs,0)),""))</f>
        <v/>
      </c>
      <c r="F20" s="25">
        <f>IF(C20="","",IFERROR(INDEX(tbl_Finance[Client],MATCH(C20&amp;"",tbl_Finance[Job Number],0)),""))</f>
        <v/>
      </c>
      <c r="G20" s="28">
        <f>IF(C20="","",COUNTIFS(tbl_Finance[Job Number],C20&amp;"",tbl_Finance[Ex GST],"&lt;&gt;"))</f>
        <v/>
      </c>
      <c r="H20" s="27">
        <f>IF(C20="","",SUMIFS(tbl_Finance[Ex GST],tbl_Finance[Job Number],C20&amp;""))</f>
        <v/>
      </c>
      <c r="I20" s="27">
        <f>IF(C20="","",SUMIFS(tbl_Finance[Ex GST],tbl_Finance[Job Number],C20&amp;"",tbl_Finance[Xero Invoice No],"&lt;&gt;"))</f>
        <v/>
      </c>
      <c r="J20" s="27">
        <f>IF(C20="","",H20-I20)</f>
        <v/>
      </c>
      <c r="K20" s="25">
        <f>IF(C20="","",IF(G20=0,"not invoiced yet",SUBSTITUTE(TRIM(IF(COUNTIFS(tbl_Finance[Job Number],C20&amp;"",tbl_Finance[Cost Centre],"ONSITE")&gt;0,"ONSITE ","")&amp;IF(COUNTIFS(tbl_Finance[Job Number],C20&amp;"",tbl_Finance[Cost Centre],"PRODUCTION")&gt;0,"PRODUCTION ","")&amp;IF(COUNTIFS(tbl_Finance[Job Number],C20&amp;"",tbl_Finance[Cost Centre],"VIDEO")&gt;0,"VIDEO ","")&amp;IF(COUNTIFS(tbl_Finance[Job Number],C20&amp;"",tbl_Finance[Cost Centre],"INTEGRATION")&gt;0,"INTEGRATION ","")&amp;IF(COUNTIFS(tbl_Finance[Job Number],C20&amp;"",tbl_Finance[Cost Centre],"CONSULTING")&gt;0,"CONSULTING ","")&amp;IF(COUNTIFS(tbl_Finance[Job Number],C20&amp;"",tbl_Finance[Cost Centre],"CTS")&gt;0,"CTS ",""))," ",", ")))</f>
        <v/>
      </c>
      <c r="L20" s="24" t="n"/>
      <c r="M20" s="24" t="n"/>
      <c r="N20" s="25">
        <f>IF(M20="","",HYPERLINK(IF(LEFT(M20,4)="http",M20,set_QwilrBase&amp;M20),"Open quote"))</f>
        <v/>
      </c>
      <c r="O20" s="64" t="n"/>
      <c r="P20" s="24" t="n"/>
      <c r="Q20" s="24" t="n"/>
    </row>
    <row r="21" ht="15" customHeight="1">
      <c r="A21" s="63">
        <f>IF(C21="","",IFERROR(IF(SUMPRODUCT(MAX((tbl_Finance[Job Number]=C21&amp;"")*(tbl_Finance[Xero Invoice No]&lt;&gt;"")*tbl_Finance[Date]))=0,"",SUMPRODUCT(MAX((tbl_Finance[Job Number]=C21&amp;"")*(tbl_Finance[Xero Invoice No]&lt;&gt;"")*tbl_Finance[Date]))),""))</f>
        <v/>
      </c>
      <c r="B21" s="25">
        <f>IF(C21="","",IF(COUNTIFS(tbl_Finance[Job Number],C21&amp;"",tbl_Finance[Xero Invoice No],"&lt;&gt;")=0,"",IFERROR(IF(COUNTIFS(tbl_Finance[Job Number],C21&amp;"",tbl_Finance[Xero Invoice No],LOOKUP(2,1/((tbl_Finance[Job Number]=C21&amp;"")*(tbl_Finance[Xero Invoice No]&lt;&gt;"")),tbl_Finance[Xero Invoice No]))=COUNTIFS(tbl_Finance[Job Number],C21&amp;"",tbl_Finance[Xero Invoice No],"&lt;&gt;"),LOOKUP(2,1/((tbl_Finance[Job Number]=C21&amp;"")*(tbl_Finance[Xero Invoice No]&lt;&gt;"")),tbl_Finance[Xero Invoice No]),LOOKUP(2,1/((tbl_Finance[Job Number]=C21&amp;"")*(tbl_Finance[Xero Invoice No]&lt;&gt;"")),tbl_Finance[Xero Invoice No])&amp;" +more"),"")))</f>
        <v/>
      </c>
      <c r="C21" s="24" t="inlineStr">
        <is>
          <t>2026021101</t>
        </is>
      </c>
      <c r="D21" s="25">
        <f>IF(C21="","",IF(COUNTIF(lst_Jobs,C21&amp;"")&gt;0,"OK","CHECK"))</f>
        <v/>
      </c>
      <c r="E21" s="25">
        <f>IF(C21="","",IFERROR(INDEX(lst_JobName,MATCH(C21&amp;"",lst_Jobs,0)),""))</f>
        <v/>
      </c>
      <c r="F21" s="25">
        <f>IF(C21="","",IFERROR(INDEX(tbl_Finance[Client],MATCH(C21&amp;"",tbl_Finance[Job Number],0)),""))</f>
        <v/>
      </c>
      <c r="G21" s="28">
        <f>IF(C21="","",COUNTIFS(tbl_Finance[Job Number],C21&amp;"",tbl_Finance[Ex GST],"&lt;&gt;"))</f>
        <v/>
      </c>
      <c r="H21" s="27">
        <f>IF(C21="","",SUMIFS(tbl_Finance[Ex GST],tbl_Finance[Job Number],C21&amp;""))</f>
        <v/>
      </c>
      <c r="I21" s="27">
        <f>IF(C21="","",SUMIFS(tbl_Finance[Ex GST],tbl_Finance[Job Number],C21&amp;"",tbl_Finance[Xero Invoice No],"&lt;&gt;"))</f>
        <v/>
      </c>
      <c r="J21" s="27">
        <f>IF(C21="","",H21-I21)</f>
        <v/>
      </c>
      <c r="K21" s="25">
        <f>IF(C21="","",IF(G21=0,"not invoiced yet",SUBSTITUTE(TRIM(IF(COUNTIFS(tbl_Finance[Job Number],C21&amp;"",tbl_Finance[Cost Centre],"ONSITE")&gt;0,"ONSITE ","")&amp;IF(COUNTIFS(tbl_Finance[Job Number],C21&amp;"",tbl_Finance[Cost Centre],"PRODUCTION")&gt;0,"PRODUCTION ","")&amp;IF(COUNTIFS(tbl_Finance[Job Number],C21&amp;"",tbl_Finance[Cost Centre],"VIDEO")&gt;0,"VIDEO ","")&amp;IF(COUNTIFS(tbl_Finance[Job Number],C21&amp;"",tbl_Finance[Cost Centre],"INTEGRATION")&gt;0,"INTEGRATION ","")&amp;IF(COUNTIFS(tbl_Finance[Job Number],C21&amp;"",tbl_Finance[Cost Centre],"CONSULTING")&gt;0,"CONSULTING ","")&amp;IF(COUNTIFS(tbl_Finance[Job Number],C21&amp;"",tbl_Finance[Cost Centre],"CTS")&gt;0,"CTS ",""))," ",", ")))</f>
        <v/>
      </c>
      <c r="L21" s="24" t="n"/>
      <c r="M21" s="24" t="n"/>
      <c r="N21" s="25">
        <f>IF(M21="","",HYPERLINK(IF(LEFT(M21,4)="http",M21,set_QwilrBase&amp;M21),"Open quote"))</f>
        <v/>
      </c>
      <c r="O21" s="64" t="n"/>
      <c r="P21" s="24" t="n"/>
      <c r="Q21" s="24" t="inlineStr">
        <is>
          <t>Invoice 1/2</t>
        </is>
      </c>
    </row>
    <row r="22" ht="15" customHeight="1">
      <c r="A22" s="63">
        <f>IF(C22="","",IFERROR(IF(SUMPRODUCT(MAX((tbl_Finance[Job Number]=C22&amp;"")*(tbl_Finance[Xero Invoice No]&lt;&gt;"")*tbl_Finance[Date]))=0,"",SUMPRODUCT(MAX((tbl_Finance[Job Number]=C22&amp;"")*(tbl_Finance[Xero Invoice No]&lt;&gt;"")*tbl_Finance[Date]))),""))</f>
        <v/>
      </c>
      <c r="B22" s="25">
        <f>IF(C22="","",IF(COUNTIFS(tbl_Finance[Job Number],C22&amp;"",tbl_Finance[Xero Invoice No],"&lt;&gt;")=0,"",IFERROR(IF(COUNTIFS(tbl_Finance[Job Number],C22&amp;"",tbl_Finance[Xero Invoice No],LOOKUP(2,1/((tbl_Finance[Job Number]=C22&amp;"")*(tbl_Finance[Xero Invoice No]&lt;&gt;"")),tbl_Finance[Xero Invoice No]))=COUNTIFS(tbl_Finance[Job Number],C22&amp;"",tbl_Finance[Xero Invoice No],"&lt;&gt;"),LOOKUP(2,1/((tbl_Finance[Job Number]=C22&amp;"")*(tbl_Finance[Xero Invoice No]&lt;&gt;"")),tbl_Finance[Xero Invoice No]),LOOKUP(2,1/((tbl_Finance[Job Number]=C22&amp;"")*(tbl_Finance[Xero Invoice No]&lt;&gt;"")),tbl_Finance[Xero Invoice No])&amp;" +more"),"")))</f>
        <v/>
      </c>
      <c r="C22" s="24" t="inlineStr">
        <is>
          <t>26022301</t>
        </is>
      </c>
      <c r="D22" s="25">
        <f>IF(C22="","",IF(COUNTIF(lst_Jobs,C22&amp;"")&gt;0,"OK","CHECK"))</f>
        <v/>
      </c>
      <c r="E22" s="25">
        <f>IF(C22="","",IFERROR(INDEX(lst_JobName,MATCH(C22&amp;"",lst_Jobs,0)),""))</f>
        <v/>
      </c>
      <c r="F22" s="25">
        <f>IF(C22="","",IFERROR(INDEX(tbl_Finance[Client],MATCH(C22&amp;"",tbl_Finance[Job Number],0)),""))</f>
        <v/>
      </c>
      <c r="G22" s="28">
        <f>IF(C22="","",COUNTIFS(tbl_Finance[Job Number],C22&amp;"",tbl_Finance[Ex GST],"&lt;&gt;"))</f>
        <v/>
      </c>
      <c r="H22" s="27">
        <f>IF(C22="","",SUMIFS(tbl_Finance[Ex GST],tbl_Finance[Job Number],C22&amp;""))</f>
        <v/>
      </c>
      <c r="I22" s="27">
        <f>IF(C22="","",SUMIFS(tbl_Finance[Ex GST],tbl_Finance[Job Number],C22&amp;"",tbl_Finance[Xero Invoice No],"&lt;&gt;"))</f>
        <v/>
      </c>
      <c r="J22" s="27">
        <f>IF(C22="","",H22-I22)</f>
        <v/>
      </c>
      <c r="K22" s="25">
        <f>IF(C22="","",IF(G22=0,"not invoiced yet",SUBSTITUTE(TRIM(IF(COUNTIFS(tbl_Finance[Job Number],C22&amp;"",tbl_Finance[Cost Centre],"ONSITE")&gt;0,"ONSITE ","")&amp;IF(COUNTIFS(tbl_Finance[Job Number],C22&amp;"",tbl_Finance[Cost Centre],"PRODUCTION")&gt;0,"PRODUCTION ","")&amp;IF(COUNTIFS(tbl_Finance[Job Number],C22&amp;"",tbl_Finance[Cost Centre],"VIDEO")&gt;0,"VIDEO ","")&amp;IF(COUNTIFS(tbl_Finance[Job Number],C22&amp;"",tbl_Finance[Cost Centre],"INTEGRATION")&gt;0,"INTEGRATION ","")&amp;IF(COUNTIFS(tbl_Finance[Job Number],C22&amp;"",tbl_Finance[Cost Centre],"CONSULTING")&gt;0,"CONSULTING ","")&amp;IF(COUNTIFS(tbl_Finance[Job Number],C22&amp;"",tbl_Finance[Cost Centre],"CTS")&gt;0,"CTS ",""))," ",", ")))</f>
        <v/>
      </c>
      <c r="L22" s="24" t="n"/>
      <c r="M22" s="24" t="n"/>
      <c r="N22" s="25">
        <f>IF(M22="","",HYPERLINK(IF(LEFT(M22,4)="http",M22,set_QwilrBase&amp;M22),"Open quote"))</f>
        <v/>
      </c>
      <c r="O22" s="64" t="n"/>
      <c r="P22" s="24" t="n"/>
      <c r="Q22" s="24" t="inlineStr">
        <is>
          <t>Split TBC - Xero split this with production ($850)</t>
        </is>
      </c>
    </row>
    <row r="23" ht="15" customHeight="1">
      <c r="A23" s="63">
        <f>IF(C23="","",IFERROR(IF(SUMPRODUCT(MAX((tbl_Finance[Job Number]=C23&amp;"")*(tbl_Finance[Xero Invoice No]&lt;&gt;"")*tbl_Finance[Date]))=0,"",SUMPRODUCT(MAX((tbl_Finance[Job Number]=C23&amp;"")*(tbl_Finance[Xero Invoice No]&lt;&gt;"")*tbl_Finance[Date]))),""))</f>
        <v/>
      </c>
      <c r="B23" s="25">
        <f>IF(C23="","",IF(COUNTIFS(tbl_Finance[Job Number],C23&amp;"",tbl_Finance[Xero Invoice No],"&lt;&gt;")=0,"",IFERROR(IF(COUNTIFS(tbl_Finance[Job Number],C23&amp;"",tbl_Finance[Xero Invoice No],LOOKUP(2,1/((tbl_Finance[Job Number]=C23&amp;"")*(tbl_Finance[Xero Invoice No]&lt;&gt;"")),tbl_Finance[Xero Invoice No]))=COUNTIFS(tbl_Finance[Job Number],C23&amp;"",tbl_Finance[Xero Invoice No],"&lt;&gt;"),LOOKUP(2,1/((tbl_Finance[Job Number]=C23&amp;"")*(tbl_Finance[Xero Invoice No]&lt;&gt;"")),tbl_Finance[Xero Invoice No]),LOOKUP(2,1/((tbl_Finance[Job Number]=C23&amp;"")*(tbl_Finance[Xero Invoice No]&lt;&gt;"")),tbl_Finance[Xero Invoice No])&amp;" +more"),"")))</f>
        <v/>
      </c>
      <c r="C23" s="24" t="inlineStr">
        <is>
          <t>2608502</t>
        </is>
      </c>
      <c r="D23" s="25">
        <f>IF(C23="","",IF(COUNTIF(lst_Jobs,C23&amp;"")&gt;0,"OK","CHECK"))</f>
        <v/>
      </c>
      <c r="E23" s="25">
        <f>IF(C23="","",IFERROR(INDEX(lst_JobName,MATCH(C23&amp;"",lst_Jobs,0)),""))</f>
        <v/>
      </c>
      <c r="F23" s="25">
        <f>IF(C23="","",IFERROR(INDEX(tbl_Finance[Client],MATCH(C23&amp;"",tbl_Finance[Job Number],0)),""))</f>
        <v/>
      </c>
      <c r="G23" s="28">
        <f>IF(C23="","",COUNTIFS(tbl_Finance[Job Number],C23&amp;"",tbl_Finance[Ex GST],"&lt;&gt;"))</f>
        <v/>
      </c>
      <c r="H23" s="27">
        <f>IF(C23="","",SUMIFS(tbl_Finance[Ex GST],tbl_Finance[Job Number],C23&amp;""))</f>
        <v/>
      </c>
      <c r="I23" s="27">
        <f>IF(C23="","",SUMIFS(tbl_Finance[Ex GST],tbl_Finance[Job Number],C23&amp;"",tbl_Finance[Xero Invoice No],"&lt;&gt;"))</f>
        <v/>
      </c>
      <c r="J23" s="27">
        <f>IF(C23="","",H23-I23)</f>
        <v/>
      </c>
      <c r="K23" s="25">
        <f>IF(C23="","",IF(G23=0,"not invoiced yet",SUBSTITUTE(TRIM(IF(COUNTIFS(tbl_Finance[Job Number],C23&amp;"",tbl_Finance[Cost Centre],"ONSITE")&gt;0,"ONSITE ","")&amp;IF(COUNTIFS(tbl_Finance[Job Number],C23&amp;"",tbl_Finance[Cost Centre],"PRODUCTION")&gt;0,"PRODUCTION ","")&amp;IF(COUNTIFS(tbl_Finance[Job Number],C23&amp;"",tbl_Finance[Cost Centre],"VIDEO")&gt;0,"VIDEO ","")&amp;IF(COUNTIFS(tbl_Finance[Job Number],C23&amp;"",tbl_Finance[Cost Centre],"INTEGRATION")&gt;0,"INTEGRATION ","")&amp;IF(COUNTIFS(tbl_Finance[Job Number],C23&amp;"",tbl_Finance[Cost Centre],"CONSULTING")&gt;0,"CONSULTING ","")&amp;IF(COUNTIFS(tbl_Finance[Job Number],C23&amp;"",tbl_Finance[Cost Centre],"CTS")&gt;0,"CTS ",""))," ",", ")))</f>
        <v/>
      </c>
      <c r="L23" s="24" t="n"/>
      <c r="M23" s="24" t="n"/>
      <c r="N23" s="25">
        <f>IF(M23="","",HYPERLINK(IF(LEFT(M23,4)="http",M23,set_QwilrBase&amp;M23),"Open quote"))</f>
        <v/>
      </c>
      <c r="O23" s="64" t="n"/>
      <c r="P23" s="24" t="n"/>
      <c r="Q23" s="24" t="inlineStr">
        <is>
          <t>8419.62 differe from invoice amount</t>
        </is>
      </c>
    </row>
    <row r="24" ht="15" customHeight="1">
      <c r="A24" s="63">
        <f>IF(C24="","",IFERROR(IF(SUMPRODUCT(MAX((tbl_Finance[Job Number]=C24&amp;"")*(tbl_Finance[Xero Invoice No]&lt;&gt;"")*tbl_Finance[Date]))=0,"",SUMPRODUCT(MAX((tbl_Finance[Job Number]=C24&amp;"")*(tbl_Finance[Xero Invoice No]&lt;&gt;"")*tbl_Finance[Date]))),""))</f>
        <v/>
      </c>
      <c r="B24" s="25">
        <f>IF(C24="","",IF(COUNTIFS(tbl_Finance[Job Number],C24&amp;"",tbl_Finance[Xero Invoice No],"&lt;&gt;")=0,"",IFERROR(IF(COUNTIFS(tbl_Finance[Job Number],C24&amp;"",tbl_Finance[Xero Invoice No],LOOKUP(2,1/((tbl_Finance[Job Number]=C24&amp;"")*(tbl_Finance[Xero Invoice No]&lt;&gt;"")),tbl_Finance[Xero Invoice No]))=COUNTIFS(tbl_Finance[Job Number],C24&amp;"",tbl_Finance[Xero Invoice No],"&lt;&gt;"),LOOKUP(2,1/((tbl_Finance[Job Number]=C24&amp;"")*(tbl_Finance[Xero Invoice No]&lt;&gt;"")),tbl_Finance[Xero Invoice No]),LOOKUP(2,1/((tbl_Finance[Job Number]=C24&amp;"")*(tbl_Finance[Xero Invoice No]&lt;&gt;"")),tbl_Finance[Xero Invoice No])&amp;" +more"),"")))</f>
        <v/>
      </c>
      <c r="C24" s="24" t="inlineStr">
        <is>
          <t>26073102</t>
        </is>
      </c>
      <c r="D24" s="25">
        <f>IF(C24="","",IF(COUNTIF(lst_Jobs,C24&amp;"")&gt;0,"OK","CHECK"))</f>
        <v/>
      </c>
      <c r="E24" s="25">
        <f>IF(C24="","",IFERROR(INDEX(lst_JobName,MATCH(C24&amp;"",lst_Jobs,0)),""))</f>
        <v/>
      </c>
      <c r="F24" s="25">
        <f>IF(C24="","",IFERROR(INDEX(tbl_Finance[Client],MATCH(C24&amp;"",tbl_Finance[Job Number],0)),""))</f>
        <v/>
      </c>
      <c r="G24" s="28">
        <f>IF(C24="","",COUNTIFS(tbl_Finance[Job Number],C24&amp;"",tbl_Finance[Ex GST],"&lt;&gt;"))</f>
        <v/>
      </c>
      <c r="H24" s="27">
        <f>IF(C24="","",SUMIFS(tbl_Finance[Ex GST],tbl_Finance[Job Number],C24&amp;""))</f>
        <v/>
      </c>
      <c r="I24" s="27">
        <f>IF(C24="","",SUMIFS(tbl_Finance[Ex GST],tbl_Finance[Job Number],C24&amp;"",tbl_Finance[Xero Invoice No],"&lt;&gt;"))</f>
        <v/>
      </c>
      <c r="J24" s="27">
        <f>IF(C24="","",H24-I24)</f>
        <v/>
      </c>
      <c r="K24" s="25">
        <f>IF(C24="","",IF(G24=0,"not invoiced yet",SUBSTITUTE(TRIM(IF(COUNTIFS(tbl_Finance[Job Number],C24&amp;"",tbl_Finance[Cost Centre],"ONSITE")&gt;0,"ONSITE ","")&amp;IF(COUNTIFS(tbl_Finance[Job Number],C24&amp;"",tbl_Finance[Cost Centre],"PRODUCTION")&gt;0,"PRODUCTION ","")&amp;IF(COUNTIFS(tbl_Finance[Job Number],C24&amp;"",tbl_Finance[Cost Centre],"VIDEO")&gt;0,"VIDEO ","")&amp;IF(COUNTIFS(tbl_Finance[Job Number],C24&amp;"",tbl_Finance[Cost Centre],"INTEGRATION")&gt;0,"INTEGRATION ","")&amp;IF(COUNTIFS(tbl_Finance[Job Number],C24&amp;"",tbl_Finance[Cost Centre],"CONSULTING")&gt;0,"CONSULTING ","")&amp;IF(COUNTIFS(tbl_Finance[Job Number],C24&amp;"",tbl_Finance[Cost Centre],"CTS")&gt;0,"CTS ",""))," ",", ")))</f>
        <v/>
      </c>
      <c r="L24" s="24" t="n"/>
      <c r="M24" s="24" t="n"/>
      <c r="N24" s="25">
        <f>IF(M24="","",HYPERLINK(IF(LEFT(M24,4)="http",M24,set_QwilrBase&amp;M24),"Open quote"))</f>
        <v/>
      </c>
      <c r="O24" s="64" t="n"/>
      <c r="P24" s="24" t="n"/>
      <c r="Q24" s="24" t="n"/>
    </row>
    <row r="25" ht="15" customHeight="1">
      <c r="A25" s="63">
        <f>IF(C25="","",IFERROR(IF(SUMPRODUCT(MAX((tbl_Finance[Job Number]=C25&amp;"")*(tbl_Finance[Xero Invoice No]&lt;&gt;"")*tbl_Finance[Date]))=0,"",SUMPRODUCT(MAX((tbl_Finance[Job Number]=C25&amp;"")*(tbl_Finance[Xero Invoice No]&lt;&gt;"")*tbl_Finance[Date]))),""))</f>
        <v/>
      </c>
      <c r="B25" s="25">
        <f>IF(C25="","",IF(COUNTIFS(tbl_Finance[Job Number],C25&amp;"",tbl_Finance[Xero Invoice No],"&lt;&gt;")=0,"",IFERROR(IF(COUNTIFS(tbl_Finance[Job Number],C25&amp;"",tbl_Finance[Xero Invoice No],LOOKUP(2,1/((tbl_Finance[Job Number]=C25&amp;"")*(tbl_Finance[Xero Invoice No]&lt;&gt;"")),tbl_Finance[Xero Invoice No]))=COUNTIFS(tbl_Finance[Job Number],C25&amp;"",tbl_Finance[Xero Invoice No],"&lt;&gt;"),LOOKUP(2,1/((tbl_Finance[Job Number]=C25&amp;"")*(tbl_Finance[Xero Invoice No]&lt;&gt;"")),tbl_Finance[Xero Invoice No]),LOOKUP(2,1/((tbl_Finance[Job Number]=C25&amp;"")*(tbl_Finance[Xero Invoice No]&lt;&gt;"")),tbl_Finance[Xero Invoice No])&amp;" +more"),"")))</f>
        <v/>
      </c>
      <c r="C25" s="24" t="inlineStr">
        <is>
          <t>26081301</t>
        </is>
      </c>
      <c r="D25" s="25">
        <f>IF(C25="","",IF(COUNTIF(lst_Jobs,C25&amp;"")&gt;0,"OK","CHECK"))</f>
        <v/>
      </c>
      <c r="E25" s="25">
        <f>IF(C25="","",IFERROR(INDEX(lst_JobName,MATCH(C25&amp;"",lst_Jobs,0)),""))</f>
        <v/>
      </c>
      <c r="F25" s="25">
        <f>IF(C25="","",IFERROR(INDEX(tbl_Finance[Client],MATCH(C25&amp;"",tbl_Finance[Job Number],0)),""))</f>
        <v/>
      </c>
      <c r="G25" s="28">
        <f>IF(C25="","",COUNTIFS(tbl_Finance[Job Number],C25&amp;"",tbl_Finance[Ex GST],"&lt;&gt;"))</f>
        <v/>
      </c>
      <c r="H25" s="27">
        <f>IF(C25="","",SUMIFS(tbl_Finance[Ex GST],tbl_Finance[Job Number],C25&amp;""))</f>
        <v/>
      </c>
      <c r="I25" s="27">
        <f>IF(C25="","",SUMIFS(tbl_Finance[Ex GST],tbl_Finance[Job Number],C25&amp;"",tbl_Finance[Xero Invoice No],"&lt;&gt;"))</f>
        <v/>
      </c>
      <c r="J25" s="27">
        <f>IF(C25="","",H25-I25)</f>
        <v/>
      </c>
      <c r="K25" s="25">
        <f>IF(C25="","",IF(G25=0,"not invoiced yet",SUBSTITUTE(TRIM(IF(COUNTIFS(tbl_Finance[Job Number],C25&amp;"",tbl_Finance[Cost Centre],"ONSITE")&gt;0,"ONSITE ","")&amp;IF(COUNTIFS(tbl_Finance[Job Number],C25&amp;"",tbl_Finance[Cost Centre],"PRODUCTION")&gt;0,"PRODUCTION ","")&amp;IF(COUNTIFS(tbl_Finance[Job Number],C25&amp;"",tbl_Finance[Cost Centre],"VIDEO")&gt;0,"VIDEO ","")&amp;IF(COUNTIFS(tbl_Finance[Job Number],C25&amp;"",tbl_Finance[Cost Centre],"INTEGRATION")&gt;0,"INTEGRATION ","")&amp;IF(COUNTIFS(tbl_Finance[Job Number],C25&amp;"",tbl_Finance[Cost Centre],"CONSULTING")&gt;0,"CONSULTING ","")&amp;IF(COUNTIFS(tbl_Finance[Job Number],C25&amp;"",tbl_Finance[Cost Centre],"CTS")&gt;0,"CTS ",""))," ",", ")))</f>
        <v/>
      </c>
      <c r="L25" s="24" t="n"/>
      <c r="M25" s="24" t="n"/>
      <c r="N25" s="25">
        <f>IF(M25="","",HYPERLINK(IF(LEFT(M25,4)="http",M25,set_QwilrBase&amp;M25),"Open quote"))</f>
        <v/>
      </c>
      <c r="O25" s="64" t="n"/>
      <c r="P25" s="24" t="n"/>
      <c r="Q25" s="24" t="inlineStr">
        <is>
          <t>November</t>
        </is>
      </c>
    </row>
    <row r="26" ht="15" customHeight="1">
      <c r="A26" s="63">
        <f>IF(C26="","",IFERROR(IF(SUMPRODUCT(MAX((tbl_Finance[Job Number]=C26&amp;"")*(tbl_Finance[Xero Invoice No]&lt;&gt;"")*tbl_Finance[Date]))=0,"",SUMPRODUCT(MAX((tbl_Finance[Job Number]=C26&amp;"")*(tbl_Finance[Xero Invoice No]&lt;&gt;"")*tbl_Finance[Date]))),""))</f>
        <v/>
      </c>
      <c r="B26" s="25">
        <f>IF(C26="","",IF(COUNTIFS(tbl_Finance[Job Number],C26&amp;"",tbl_Finance[Xero Invoice No],"&lt;&gt;")=0,"",IFERROR(IF(COUNTIFS(tbl_Finance[Job Number],C26&amp;"",tbl_Finance[Xero Invoice No],LOOKUP(2,1/((tbl_Finance[Job Number]=C26&amp;"")*(tbl_Finance[Xero Invoice No]&lt;&gt;"")),tbl_Finance[Xero Invoice No]))=COUNTIFS(tbl_Finance[Job Number],C26&amp;"",tbl_Finance[Xero Invoice No],"&lt;&gt;"),LOOKUP(2,1/((tbl_Finance[Job Number]=C26&amp;"")*(tbl_Finance[Xero Invoice No]&lt;&gt;"")),tbl_Finance[Xero Invoice No]),LOOKUP(2,1/((tbl_Finance[Job Number]=C26&amp;"")*(tbl_Finance[Xero Invoice No]&lt;&gt;"")),tbl_Finance[Xero Invoice No])&amp;" +more"),"")))</f>
        <v/>
      </c>
      <c r="C26" s="24" t="inlineStr">
        <is>
          <t>585, 586</t>
        </is>
      </c>
      <c r="D26" s="25">
        <f>IF(C26="","",IF(COUNTIF(lst_Jobs,C26&amp;"")&gt;0,"OK","CHECK"))</f>
        <v/>
      </c>
      <c r="E26" s="25">
        <f>IF(C26="","",IFERROR(INDEX(lst_JobName,MATCH(C26&amp;"",lst_Jobs,0)),""))</f>
        <v/>
      </c>
      <c r="F26" s="25">
        <f>IF(C26="","",IFERROR(INDEX(tbl_Finance[Client],MATCH(C26&amp;"",tbl_Finance[Job Number],0)),""))</f>
        <v/>
      </c>
      <c r="G26" s="28">
        <f>IF(C26="","",COUNTIFS(tbl_Finance[Job Number],C26&amp;"",tbl_Finance[Ex GST],"&lt;&gt;"))</f>
        <v/>
      </c>
      <c r="H26" s="27">
        <f>IF(C26="","",SUMIFS(tbl_Finance[Ex GST],tbl_Finance[Job Number],C26&amp;""))</f>
        <v/>
      </c>
      <c r="I26" s="27">
        <f>IF(C26="","",SUMIFS(tbl_Finance[Ex GST],tbl_Finance[Job Number],C26&amp;"",tbl_Finance[Xero Invoice No],"&lt;&gt;"))</f>
        <v/>
      </c>
      <c r="J26" s="27">
        <f>IF(C26="","",H26-I26)</f>
        <v/>
      </c>
      <c r="K26" s="25">
        <f>IF(C26="","",IF(G26=0,"not invoiced yet",SUBSTITUTE(TRIM(IF(COUNTIFS(tbl_Finance[Job Number],C26&amp;"",tbl_Finance[Cost Centre],"ONSITE")&gt;0,"ONSITE ","")&amp;IF(COUNTIFS(tbl_Finance[Job Number],C26&amp;"",tbl_Finance[Cost Centre],"PRODUCTION")&gt;0,"PRODUCTION ","")&amp;IF(COUNTIFS(tbl_Finance[Job Number],C26&amp;"",tbl_Finance[Cost Centre],"VIDEO")&gt;0,"VIDEO ","")&amp;IF(COUNTIFS(tbl_Finance[Job Number],C26&amp;"",tbl_Finance[Cost Centre],"INTEGRATION")&gt;0,"INTEGRATION ","")&amp;IF(COUNTIFS(tbl_Finance[Job Number],C26&amp;"",tbl_Finance[Cost Centre],"CONSULTING")&gt;0,"CONSULTING ","")&amp;IF(COUNTIFS(tbl_Finance[Job Number],C26&amp;"",tbl_Finance[Cost Centre],"CTS")&gt;0,"CTS ",""))," ",", ")))</f>
        <v/>
      </c>
      <c r="L26" s="24" t="n"/>
      <c r="M26" s="24" t="n"/>
      <c r="N26" s="25">
        <f>IF(M26="","",HYPERLINK(IF(LEFT(M26,4)="http",M26,set_QwilrBase&amp;M26),"Open quote"))</f>
        <v/>
      </c>
      <c r="O26" s="64" t="n"/>
      <c r="P26" s="24" t="n"/>
      <c r="Q26" s="24" t="n"/>
    </row>
    <row r="27" ht="15" customHeight="1">
      <c r="A27" s="63">
        <f>IF(C27="","",IFERROR(IF(SUMPRODUCT(MAX((tbl_Finance[Job Number]=C27&amp;"")*(tbl_Finance[Xero Invoice No]&lt;&gt;"")*tbl_Finance[Date]))=0,"",SUMPRODUCT(MAX((tbl_Finance[Job Number]=C27&amp;"")*(tbl_Finance[Xero Invoice No]&lt;&gt;"")*tbl_Finance[Date]))),""))</f>
        <v/>
      </c>
      <c r="B27" s="25">
        <f>IF(C27="","",IF(COUNTIFS(tbl_Finance[Job Number],C27&amp;"",tbl_Finance[Xero Invoice No],"&lt;&gt;")=0,"",IFERROR(IF(COUNTIFS(tbl_Finance[Job Number],C27&amp;"",tbl_Finance[Xero Invoice No],LOOKUP(2,1/((tbl_Finance[Job Number]=C27&amp;"")*(tbl_Finance[Xero Invoice No]&lt;&gt;"")),tbl_Finance[Xero Invoice No]))=COUNTIFS(tbl_Finance[Job Number],C27&amp;"",tbl_Finance[Xero Invoice No],"&lt;&gt;"),LOOKUP(2,1/((tbl_Finance[Job Number]=C27&amp;"")*(tbl_Finance[Xero Invoice No]&lt;&gt;"")),tbl_Finance[Xero Invoice No]),LOOKUP(2,1/((tbl_Finance[Job Number]=C27&amp;"")*(tbl_Finance[Xero Invoice No]&lt;&gt;"")),tbl_Finance[Xero Invoice No])&amp;" +more"),"")))</f>
        <v/>
      </c>
      <c r="C27" s="24" t="inlineStr">
        <is>
          <t>26073103</t>
        </is>
      </c>
      <c r="D27" s="25">
        <f>IF(C27="","",IF(COUNTIF(lst_Jobs,C27&amp;"")&gt;0,"OK","CHECK"))</f>
        <v/>
      </c>
      <c r="E27" s="25">
        <f>IF(C27="","",IFERROR(INDEX(lst_JobName,MATCH(C27&amp;"",lst_Jobs,0)),""))</f>
        <v/>
      </c>
      <c r="F27" s="25">
        <f>IF(C27="","",IFERROR(INDEX(tbl_Finance[Client],MATCH(C27&amp;"",tbl_Finance[Job Number],0)),""))</f>
        <v/>
      </c>
      <c r="G27" s="28">
        <f>IF(C27="","",COUNTIFS(tbl_Finance[Job Number],C27&amp;"",tbl_Finance[Ex GST],"&lt;&gt;"))</f>
        <v/>
      </c>
      <c r="H27" s="27">
        <f>IF(C27="","",SUMIFS(tbl_Finance[Ex GST],tbl_Finance[Job Number],C27&amp;""))</f>
        <v/>
      </c>
      <c r="I27" s="27">
        <f>IF(C27="","",SUMIFS(tbl_Finance[Ex GST],tbl_Finance[Job Number],C27&amp;"",tbl_Finance[Xero Invoice No],"&lt;&gt;"))</f>
        <v/>
      </c>
      <c r="J27" s="27">
        <f>IF(C27="","",H27-I27)</f>
        <v/>
      </c>
      <c r="K27" s="25">
        <f>IF(C27="","",IF(G27=0,"not invoiced yet",SUBSTITUTE(TRIM(IF(COUNTIFS(tbl_Finance[Job Number],C27&amp;"",tbl_Finance[Cost Centre],"ONSITE")&gt;0,"ONSITE ","")&amp;IF(COUNTIFS(tbl_Finance[Job Number],C27&amp;"",tbl_Finance[Cost Centre],"PRODUCTION")&gt;0,"PRODUCTION ","")&amp;IF(COUNTIFS(tbl_Finance[Job Number],C27&amp;"",tbl_Finance[Cost Centre],"VIDEO")&gt;0,"VIDEO ","")&amp;IF(COUNTIFS(tbl_Finance[Job Number],C27&amp;"",tbl_Finance[Cost Centre],"INTEGRATION")&gt;0,"INTEGRATION ","")&amp;IF(COUNTIFS(tbl_Finance[Job Number],C27&amp;"",tbl_Finance[Cost Centre],"CONSULTING")&gt;0,"CONSULTING ","")&amp;IF(COUNTIFS(tbl_Finance[Job Number],C27&amp;"",tbl_Finance[Cost Centre],"CTS")&gt;0,"CTS ",""))," ",", ")))</f>
        <v/>
      </c>
      <c r="L27" s="24" t="n"/>
      <c r="M27" s="24" t="n"/>
      <c r="N27" s="25">
        <f>IF(M27="","",HYPERLINK(IF(LEFT(M27,4)="http",M27,set_QwilrBase&amp;M27),"Open quote"))</f>
        <v/>
      </c>
      <c r="O27" s="64" t="n"/>
      <c r="P27" s="24" t="n"/>
      <c r="Q27" s="24" t="inlineStr">
        <is>
          <t>https://protect.checkpoint.com/v2/r04/___https://app.qwilr.com/%23/page/6a6fe5279de8ab6be4a65917___.Y3A0YTpjb3Jwb3JhdGV0ZWNobm9sb2d5c2VydmljZXNwdHlsdGQ6YzpvOmI1YjBhMWJiMjVjM2UxZGViYmNmN2MyYzg2MGMwOGIwOjc6YjdkZDo5NzUxYWEwYjZkNTAxZWIyMGNiNmQ4OWExM2E0MmQ4OWQ0YjVkZmFkYjk0Y2UxYjUzODI4ODM5ODhhNzE3MTM4OnQ6VDpG</t>
        </is>
      </c>
    </row>
    <row r="28" ht="15" customHeight="1">
      <c r="A28" s="63">
        <f>IF(C28="","",IFERROR(IF(SUMPRODUCT(MAX((tbl_Finance[Job Number]=C28&amp;"")*(tbl_Finance[Xero Invoice No]&lt;&gt;"")*tbl_Finance[Date]))=0,"",SUMPRODUCT(MAX((tbl_Finance[Job Number]=C28&amp;"")*(tbl_Finance[Xero Invoice No]&lt;&gt;"")*tbl_Finance[Date]))),""))</f>
        <v/>
      </c>
      <c r="B28" s="25">
        <f>IF(C28="","",IF(COUNTIFS(tbl_Finance[Job Number],C28&amp;"",tbl_Finance[Xero Invoice No],"&lt;&gt;")=0,"",IFERROR(IF(COUNTIFS(tbl_Finance[Job Number],C28&amp;"",tbl_Finance[Xero Invoice No],LOOKUP(2,1/((tbl_Finance[Job Number]=C28&amp;"")*(tbl_Finance[Xero Invoice No]&lt;&gt;"")),tbl_Finance[Xero Invoice No]))=COUNTIFS(tbl_Finance[Job Number],C28&amp;"",tbl_Finance[Xero Invoice No],"&lt;&gt;"),LOOKUP(2,1/((tbl_Finance[Job Number]=C28&amp;"")*(tbl_Finance[Xero Invoice No]&lt;&gt;"")),tbl_Finance[Xero Invoice No]),LOOKUP(2,1/((tbl_Finance[Job Number]=C28&amp;"")*(tbl_Finance[Xero Invoice No]&lt;&gt;"")),tbl_Finance[Xero Invoice No])&amp;" +more"),"")))</f>
        <v/>
      </c>
      <c r="C28" s="24" t="inlineStr">
        <is>
          <t>26082801</t>
        </is>
      </c>
      <c r="D28" s="25">
        <f>IF(C28="","",IF(COUNTIF(lst_Jobs,C28&amp;"")&gt;0,"OK","CHECK"))</f>
        <v/>
      </c>
      <c r="E28" s="25">
        <f>IF(C28="","",IFERROR(INDEX(lst_JobName,MATCH(C28&amp;"",lst_Jobs,0)),""))</f>
        <v/>
      </c>
      <c r="F28" s="25">
        <f>IF(C28="","",IFERROR(INDEX(tbl_Finance[Client],MATCH(C28&amp;"",tbl_Finance[Job Number],0)),""))</f>
        <v/>
      </c>
      <c r="G28" s="28">
        <f>IF(C28="","",COUNTIFS(tbl_Finance[Job Number],C28&amp;"",tbl_Finance[Ex GST],"&lt;&gt;"))</f>
        <v/>
      </c>
      <c r="H28" s="27">
        <f>IF(C28="","",SUMIFS(tbl_Finance[Ex GST],tbl_Finance[Job Number],C28&amp;""))</f>
        <v/>
      </c>
      <c r="I28" s="27">
        <f>IF(C28="","",SUMIFS(tbl_Finance[Ex GST],tbl_Finance[Job Number],C28&amp;"",tbl_Finance[Xero Invoice No],"&lt;&gt;"))</f>
        <v/>
      </c>
      <c r="J28" s="27">
        <f>IF(C28="","",H28-I28)</f>
        <v/>
      </c>
      <c r="K28" s="25">
        <f>IF(C28="","",IF(G28=0,"not invoiced yet",SUBSTITUTE(TRIM(IF(COUNTIFS(tbl_Finance[Job Number],C28&amp;"",tbl_Finance[Cost Centre],"ONSITE")&gt;0,"ONSITE ","")&amp;IF(COUNTIFS(tbl_Finance[Job Number],C28&amp;"",tbl_Finance[Cost Centre],"PRODUCTION")&gt;0,"PRODUCTION ","")&amp;IF(COUNTIFS(tbl_Finance[Job Number],C28&amp;"",tbl_Finance[Cost Centre],"VIDEO")&gt;0,"VIDEO ","")&amp;IF(COUNTIFS(tbl_Finance[Job Number],C28&amp;"",tbl_Finance[Cost Centre],"INTEGRATION")&gt;0,"INTEGRATION ","")&amp;IF(COUNTIFS(tbl_Finance[Job Number],C28&amp;"",tbl_Finance[Cost Centre],"CONSULTING")&gt;0,"CONSULTING ","")&amp;IF(COUNTIFS(tbl_Finance[Job Number],C28&amp;"",tbl_Finance[Cost Centre],"CTS")&gt;0,"CTS ",""))," ",", ")))</f>
        <v/>
      </c>
      <c r="L28" s="24" t="n"/>
      <c r="M28" s="24" t="n"/>
      <c r="N28" s="25">
        <f>IF(M28="","",HYPERLINK(IF(LEFT(M28,4)="http",M28,set_QwilrBase&amp;M28),"Open quote"))</f>
        <v/>
      </c>
      <c r="O28" s="64" t="n"/>
      <c r="P28" s="24" t="n"/>
      <c r="Q28" s="24" t="inlineStr">
        <is>
          <t>This was not actually for Shell - error in quote. End client was Wotton Kearney.</t>
        </is>
      </c>
    </row>
    <row r="29" ht="15" customHeight="1">
      <c r="A29" s="63">
        <f>IF(C29="","",IFERROR(IF(SUMPRODUCT(MAX((tbl_Finance[Job Number]=C29&amp;"")*(tbl_Finance[Xero Invoice No]&lt;&gt;"")*tbl_Finance[Date]))=0,"",SUMPRODUCT(MAX((tbl_Finance[Job Number]=C29&amp;"")*(tbl_Finance[Xero Invoice No]&lt;&gt;"")*tbl_Finance[Date]))),""))</f>
        <v/>
      </c>
      <c r="B29" s="25">
        <f>IF(C29="","",IF(COUNTIFS(tbl_Finance[Job Number],C29&amp;"",tbl_Finance[Xero Invoice No],"&lt;&gt;")=0,"",IFERROR(IF(COUNTIFS(tbl_Finance[Job Number],C29&amp;"",tbl_Finance[Xero Invoice No],LOOKUP(2,1/((tbl_Finance[Job Number]=C29&amp;"")*(tbl_Finance[Xero Invoice No]&lt;&gt;"")),tbl_Finance[Xero Invoice No]))=COUNTIFS(tbl_Finance[Job Number],C29&amp;"",tbl_Finance[Xero Invoice No],"&lt;&gt;"),LOOKUP(2,1/((tbl_Finance[Job Number]=C29&amp;"")*(tbl_Finance[Xero Invoice No]&lt;&gt;"")),tbl_Finance[Xero Invoice No]),LOOKUP(2,1/((tbl_Finance[Job Number]=C29&amp;"")*(tbl_Finance[Xero Invoice No]&lt;&gt;"")),tbl_Finance[Xero Invoice No])&amp;" +more"),"")))</f>
        <v/>
      </c>
      <c r="C29" s="24" t="inlineStr">
        <is>
          <t>2608603</t>
        </is>
      </c>
      <c r="D29" s="25">
        <f>IF(C29="","",IF(COUNTIF(lst_Jobs,C29&amp;"")&gt;0,"OK","CHECK"))</f>
        <v/>
      </c>
      <c r="E29" s="25">
        <f>IF(C29="","",IFERROR(INDEX(lst_JobName,MATCH(C29&amp;"",lst_Jobs,0)),""))</f>
        <v/>
      </c>
      <c r="F29" s="25">
        <f>IF(C29="","",IFERROR(INDEX(tbl_Finance[Client],MATCH(C29&amp;"",tbl_Finance[Job Number],0)),""))</f>
        <v/>
      </c>
      <c r="G29" s="28">
        <f>IF(C29="","",COUNTIFS(tbl_Finance[Job Number],C29&amp;"",tbl_Finance[Ex GST],"&lt;&gt;"))</f>
        <v/>
      </c>
      <c r="H29" s="27">
        <f>IF(C29="","",SUMIFS(tbl_Finance[Ex GST],tbl_Finance[Job Number],C29&amp;""))</f>
        <v/>
      </c>
      <c r="I29" s="27">
        <f>IF(C29="","",SUMIFS(tbl_Finance[Ex GST],tbl_Finance[Job Number],C29&amp;"",tbl_Finance[Xero Invoice No],"&lt;&gt;"))</f>
        <v/>
      </c>
      <c r="J29" s="27">
        <f>IF(C29="","",H29-I29)</f>
        <v/>
      </c>
      <c r="K29" s="25">
        <f>IF(C29="","",IF(G29=0,"not invoiced yet",SUBSTITUTE(TRIM(IF(COUNTIFS(tbl_Finance[Job Number],C29&amp;"",tbl_Finance[Cost Centre],"ONSITE")&gt;0,"ONSITE ","")&amp;IF(COUNTIFS(tbl_Finance[Job Number],C29&amp;"",tbl_Finance[Cost Centre],"PRODUCTION")&gt;0,"PRODUCTION ","")&amp;IF(COUNTIFS(tbl_Finance[Job Number],C29&amp;"",tbl_Finance[Cost Centre],"VIDEO")&gt;0,"VIDEO ","")&amp;IF(COUNTIFS(tbl_Finance[Job Number],C29&amp;"",tbl_Finance[Cost Centre],"INTEGRATION")&gt;0,"INTEGRATION ","")&amp;IF(COUNTIFS(tbl_Finance[Job Number],C29&amp;"",tbl_Finance[Cost Centre],"CONSULTING")&gt;0,"CONSULTING ","")&amp;IF(COUNTIFS(tbl_Finance[Job Number],C29&amp;"",tbl_Finance[Cost Centre],"CTS")&gt;0,"CTS ",""))," ",", ")))</f>
        <v/>
      </c>
      <c r="L29" s="24" t="n"/>
      <c r="M29" s="24" t="n"/>
      <c r="N29" s="25">
        <f>IF(M29="","",HYPERLINK(IF(LEFT(M29,4)="http",M29,set_QwilrBase&amp;M29),"Open quote"))</f>
        <v/>
      </c>
      <c r="O29" s="64" t="n"/>
      <c r="P29" s="24" t="n"/>
      <c r="Q29" s="24" t="n"/>
    </row>
    <row r="30" ht="15" customHeight="1">
      <c r="A30" s="63">
        <f>IF(C30="","",IFERROR(IF(SUMPRODUCT(MAX((tbl_Finance[Job Number]=C30&amp;"")*(tbl_Finance[Xero Invoice No]&lt;&gt;"")*tbl_Finance[Date]))=0,"",SUMPRODUCT(MAX((tbl_Finance[Job Number]=C30&amp;"")*(tbl_Finance[Xero Invoice No]&lt;&gt;"")*tbl_Finance[Date]))),""))</f>
        <v/>
      </c>
      <c r="B30" s="25">
        <f>IF(C30="","",IF(COUNTIFS(tbl_Finance[Job Number],C30&amp;"",tbl_Finance[Xero Invoice No],"&lt;&gt;")=0,"",IFERROR(IF(COUNTIFS(tbl_Finance[Job Number],C30&amp;"",tbl_Finance[Xero Invoice No],LOOKUP(2,1/((tbl_Finance[Job Number]=C30&amp;"")*(tbl_Finance[Xero Invoice No]&lt;&gt;"")),tbl_Finance[Xero Invoice No]))=COUNTIFS(tbl_Finance[Job Number],C30&amp;"",tbl_Finance[Xero Invoice No],"&lt;&gt;"),LOOKUP(2,1/((tbl_Finance[Job Number]=C30&amp;"")*(tbl_Finance[Xero Invoice No]&lt;&gt;"")),tbl_Finance[Xero Invoice No]),LOOKUP(2,1/((tbl_Finance[Job Number]=C30&amp;"")*(tbl_Finance[Xero Invoice No]&lt;&gt;"")),tbl_Finance[Xero Invoice No])&amp;" +more"),"")))</f>
        <v/>
      </c>
      <c r="C30" s="24" t="inlineStr">
        <is>
          <t>26073107</t>
        </is>
      </c>
      <c r="D30" s="25">
        <f>IF(C30="","",IF(COUNTIF(lst_Jobs,C30&amp;"")&gt;0,"OK","CHECK"))</f>
        <v/>
      </c>
      <c r="E30" s="25">
        <f>IF(C30="","",IFERROR(INDEX(lst_JobName,MATCH(C30&amp;"",lst_Jobs,0)),""))</f>
        <v/>
      </c>
      <c r="F30" s="25">
        <f>IF(C30="","",IFERROR(INDEX(tbl_Finance[Client],MATCH(C30&amp;"",tbl_Finance[Job Number],0)),""))</f>
        <v/>
      </c>
      <c r="G30" s="28">
        <f>IF(C30="","",COUNTIFS(tbl_Finance[Job Number],C30&amp;"",tbl_Finance[Ex GST],"&lt;&gt;"))</f>
        <v/>
      </c>
      <c r="H30" s="27">
        <f>IF(C30="","",SUMIFS(tbl_Finance[Ex GST],tbl_Finance[Job Number],C30&amp;""))</f>
        <v/>
      </c>
      <c r="I30" s="27">
        <f>IF(C30="","",SUMIFS(tbl_Finance[Ex GST],tbl_Finance[Job Number],C30&amp;"",tbl_Finance[Xero Invoice No],"&lt;&gt;"))</f>
        <v/>
      </c>
      <c r="J30" s="27">
        <f>IF(C30="","",H30-I30)</f>
        <v/>
      </c>
      <c r="K30" s="25">
        <f>IF(C30="","",IF(G30=0,"not invoiced yet",SUBSTITUTE(TRIM(IF(COUNTIFS(tbl_Finance[Job Number],C30&amp;"",tbl_Finance[Cost Centre],"ONSITE")&gt;0,"ONSITE ","")&amp;IF(COUNTIFS(tbl_Finance[Job Number],C30&amp;"",tbl_Finance[Cost Centre],"PRODUCTION")&gt;0,"PRODUCTION ","")&amp;IF(COUNTIFS(tbl_Finance[Job Number],C30&amp;"",tbl_Finance[Cost Centre],"VIDEO")&gt;0,"VIDEO ","")&amp;IF(COUNTIFS(tbl_Finance[Job Number],C30&amp;"",tbl_Finance[Cost Centre],"INTEGRATION")&gt;0,"INTEGRATION ","")&amp;IF(COUNTIFS(tbl_Finance[Job Number],C30&amp;"",tbl_Finance[Cost Centre],"CONSULTING")&gt;0,"CONSULTING ","")&amp;IF(COUNTIFS(tbl_Finance[Job Number],C30&amp;"",tbl_Finance[Cost Centre],"CTS")&gt;0,"CTS ",""))," ",", ")))</f>
        <v/>
      </c>
      <c r="L30" s="24" t="n"/>
      <c r="M30" s="24" t="n"/>
      <c r="N30" s="25">
        <f>IF(M30="","",HYPERLINK(IF(LEFT(M30,4)="http",M30,set_QwilrBase&amp;M30),"Open quote"))</f>
        <v/>
      </c>
      <c r="O30" s="64" t="n"/>
      <c r="P30" s="24" t="n"/>
      <c r="Q30" s="24" t="n"/>
    </row>
    <row r="31" ht="15" customHeight="1">
      <c r="A31" s="63">
        <f>IF(C31="","",IFERROR(IF(SUMPRODUCT(MAX((tbl_Finance[Job Number]=C31&amp;"")*(tbl_Finance[Xero Invoice No]&lt;&gt;"")*tbl_Finance[Date]))=0,"",SUMPRODUCT(MAX((tbl_Finance[Job Number]=C31&amp;"")*(tbl_Finance[Xero Invoice No]&lt;&gt;"")*tbl_Finance[Date]))),""))</f>
        <v/>
      </c>
      <c r="B31" s="25">
        <f>IF(C31="","",IF(COUNTIFS(tbl_Finance[Job Number],C31&amp;"",tbl_Finance[Xero Invoice No],"&lt;&gt;")=0,"",IFERROR(IF(COUNTIFS(tbl_Finance[Job Number],C31&amp;"",tbl_Finance[Xero Invoice No],LOOKUP(2,1/((tbl_Finance[Job Number]=C31&amp;"")*(tbl_Finance[Xero Invoice No]&lt;&gt;"")),tbl_Finance[Xero Invoice No]))=COUNTIFS(tbl_Finance[Job Number],C31&amp;"",tbl_Finance[Xero Invoice No],"&lt;&gt;"),LOOKUP(2,1/((tbl_Finance[Job Number]=C31&amp;"")*(tbl_Finance[Xero Invoice No]&lt;&gt;"")),tbl_Finance[Xero Invoice No]),LOOKUP(2,1/((tbl_Finance[Job Number]=C31&amp;"")*(tbl_Finance[Xero Invoice No]&lt;&gt;"")),tbl_Finance[Xero Invoice No])&amp;" +more"),"")))</f>
        <v/>
      </c>
      <c r="C31" s="24" t="inlineStr">
        <is>
          <t>26082704</t>
        </is>
      </c>
      <c r="D31" s="25">
        <f>IF(C31="","",IF(COUNTIF(lst_Jobs,C31&amp;"")&gt;0,"OK","CHECK"))</f>
        <v/>
      </c>
      <c r="E31" s="25">
        <f>IF(C31="","",IFERROR(INDEX(lst_JobName,MATCH(C31&amp;"",lst_Jobs,0)),""))</f>
        <v/>
      </c>
      <c r="F31" s="25">
        <f>IF(C31="","",IFERROR(INDEX(tbl_Finance[Client],MATCH(C31&amp;"",tbl_Finance[Job Number],0)),""))</f>
        <v/>
      </c>
      <c r="G31" s="28">
        <f>IF(C31="","",COUNTIFS(tbl_Finance[Job Number],C31&amp;"",tbl_Finance[Ex GST],"&lt;&gt;"))</f>
        <v/>
      </c>
      <c r="H31" s="27">
        <f>IF(C31="","",SUMIFS(tbl_Finance[Ex GST],tbl_Finance[Job Number],C31&amp;""))</f>
        <v/>
      </c>
      <c r="I31" s="27">
        <f>IF(C31="","",SUMIFS(tbl_Finance[Ex GST],tbl_Finance[Job Number],C31&amp;"",tbl_Finance[Xero Invoice No],"&lt;&gt;"))</f>
        <v/>
      </c>
      <c r="J31" s="27">
        <f>IF(C31="","",H31-I31)</f>
        <v/>
      </c>
      <c r="K31" s="25">
        <f>IF(C31="","",IF(G31=0,"not invoiced yet",SUBSTITUTE(TRIM(IF(COUNTIFS(tbl_Finance[Job Number],C31&amp;"",tbl_Finance[Cost Centre],"ONSITE")&gt;0,"ONSITE ","")&amp;IF(COUNTIFS(tbl_Finance[Job Number],C31&amp;"",tbl_Finance[Cost Centre],"PRODUCTION")&gt;0,"PRODUCTION ","")&amp;IF(COUNTIFS(tbl_Finance[Job Number],C31&amp;"",tbl_Finance[Cost Centre],"VIDEO")&gt;0,"VIDEO ","")&amp;IF(COUNTIFS(tbl_Finance[Job Number],C31&amp;"",tbl_Finance[Cost Centre],"INTEGRATION")&gt;0,"INTEGRATION ","")&amp;IF(COUNTIFS(tbl_Finance[Job Number],C31&amp;"",tbl_Finance[Cost Centre],"CONSULTING")&gt;0,"CONSULTING ","")&amp;IF(COUNTIFS(tbl_Finance[Job Number],C31&amp;"",tbl_Finance[Cost Centre],"CTS")&gt;0,"CTS ",""))," ",", ")))</f>
        <v/>
      </c>
      <c r="L31" s="24" t="n"/>
      <c r="M31" s="24" t="n"/>
      <c r="N31" s="25">
        <f>IF(M31="","",HYPERLINK(IF(LEFT(M31,4)="http",M31,set_QwilrBase&amp;M31),"Open quote"))</f>
        <v/>
      </c>
      <c r="O31" s="64" t="n"/>
      <c r="P31" s="24" t="n"/>
      <c r="Q31" s="24" t="n"/>
    </row>
    <row r="32" ht="15" customHeight="1">
      <c r="A32" s="63">
        <f>IF(C32="","",IFERROR(IF(SUMPRODUCT(MAX((tbl_Finance[Job Number]=C32&amp;"")*(tbl_Finance[Xero Invoice No]&lt;&gt;"")*tbl_Finance[Date]))=0,"",SUMPRODUCT(MAX((tbl_Finance[Job Number]=C32&amp;"")*(tbl_Finance[Xero Invoice No]&lt;&gt;"")*tbl_Finance[Date]))),""))</f>
        <v/>
      </c>
      <c r="B32" s="25">
        <f>IF(C32="","",IF(COUNTIFS(tbl_Finance[Job Number],C32&amp;"",tbl_Finance[Xero Invoice No],"&lt;&gt;")=0,"",IFERROR(IF(COUNTIFS(tbl_Finance[Job Number],C32&amp;"",tbl_Finance[Xero Invoice No],LOOKUP(2,1/((tbl_Finance[Job Number]=C32&amp;"")*(tbl_Finance[Xero Invoice No]&lt;&gt;"")),tbl_Finance[Xero Invoice No]))=COUNTIFS(tbl_Finance[Job Number],C32&amp;"",tbl_Finance[Xero Invoice No],"&lt;&gt;"),LOOKUP(2,1/((tbl_Finance[Job Number]=C32&amp;"")*(tbl_Finance[Xero Invoice No]&lt;&gt;"")),tbl_Finance[Xero Invoice No]),LOOKUP(2,1/((tbl_Finance[Job Number]=C32&amp;"")*(tbl_Finance[Xero Invoice No]&lt;&gt;"")),tbl_Finance[Xero Invoice No])&amp;" +more"),"")))</f>
        <v/>
      </c>
      <c r="C32" s="24" t="n"/>
      <c r="D32" s="25">
        <f>IF(C32="","",IF(COUNTIF(lst_Jobs,C32&amp;"")&gt;0,"OK","CHECK"))</f>
        <v/>
      </c>
      <c r="E32" s="25">
        <f>IF(C32="","",IFERROR(INDEX(lst_JobName,MATCH(C32&amp;"",lst_Jobs,0)),""))</f>
        <v/>
      </c>
      <c r="F32" s="25">
        <f>IF(C32="","",IFERROR(INDEX(tbl_Finance[Client],MATCH(C32&amp;"",tbl_Finance[Job Number],0)),""))</f>
        <v/>
      </c>
      <c r="G32" s="28">
        <f>IF(C32="","",COUNTIFS(tbl_Finance[Job Number],C32&amp;"",tbl_Finance[Ex GST],"&lt;&gt;"))</f>
        <v/>
      </c>
      <c r="H32" s="27">
        <f>IF(C32="","",SUMIFS(tbl_Finance[Ex GST],tbl_Finance[Job Number],C32&amp;""))</f>
        <v/>
      </c>
      <c r="I32" s="27">
        <f>IF(C32="","",SUMIFS(tbl_Finance[Ex GST],tbl_Finance[Job Number],C32&amp;"",tbl_Finance[Xero Invoice No],"&lt;&gt;"))</f>
        <v/>
      </c>
      <c r="J32" s="27">
        <f>IF(C32="","",H32-I32)</f>
        <v/>
      </c>
      <c r="K32" s="25">
        <f>IF(C32="","",IF(G32=0,"not invoiced yet",SUBSTITUTE(TRIM(IF(COUNTIFS(tbl_Finance[Job Number],C32&amp;"",tbl_Finance[Cost Centre],"ONSITE")&gt;0,"ONSITE ","")&amp;IF(COUNTIFS(tbl_Finance[Job Number],C32&amp;"",tbl_Finance[Cost Centre],"PRODUCTION")&gt;0,"PRODUCTION ","")&amp;IF(COUNTIFS(tbl_Finance[Job Number],C32&amp;"",tbl_Finance[Cost Centre],"VIDEO")&gt;0,"VIDEO ","")&amp;IF(COUNTIFS(tbl_Finance[Job Number],C32&amp;"",tbl_Finance[Cost Centre],"INTEGRATION")&gt;0,"INTEGRATION ","")&amp;IF(COUNTIFS(tbl_Finance[Job Number],C32&amp;"",tbl_Finance[Cost Centre],"CONSULTING")&gt;0,"CONSULTING ","")&amp;IF(COUNTIFS(tbl_Finance[Job Number],C32&amp;"",tbl_Finance[Cost Centre],"CTS")&gt;0,"CTS ",""))," ",", ")))</f>
        <v/>
      </c>
      <c r="L32" s="24" t="n"/>
      <c r="M32" s="24" t="n"/>
      <c r="N32" s="25">
        <f>IF(M32="","",HYPERLINK(IF(LEFT(M32,4)="http",M32,set_QwilrBase&amp;M32),"Open quote"))</f>
        <v/>
      </c>
      <c r="O32" s="64" t="n"/>
      <c r="P32" s="24" t="n"/>
      <c r="Q32" s="24" t="n"/>
    </row>
    <row r="33" ht="15" customHeight="1">
      <c r="A33" s="63">
        <f>IF(C33="","",IFERROR(IF(SUMPRODUCT(MAX((tbl_Finance[Job Number]=C33&amp;"")*(tbl_Finance[Xero Invoice No]&lt;&gt;"")*tbl_Finance[Date]))=0,"",SUMPRODUCT(MAX((tbl_Finance[Job Number]=C33&amp;"")*(tbl_Finance[Xero Invoice No]&lt;&gt;"")*tbl_Finance[Date]))),""))</f>
        <v/>
      </c>
      <c r="B33" s="25">
        <f>IF(C33="","",IF(COUNTIFS(tbl_Finance[Job Number],C33&amp;"",tbl_Finance[Xero Invoice No],"&lt;&gt;")=0,"",IFERROR(IF(COUNTIFS(tbl_Finance[Job Number],C33&amp;"",tbl_Finance[Xero Invoice No],LOOKUP(2,1/((tbl_Finance[Job Number]=C33&amp;"")*(tbl_Finance[Xero Invoice No]&lt;&gt;"")),tbl_Finance[Xero Invoice No]))=COUNTIFS(tbl_Finance[Job Number],C33&amp;"",tbl_Finance[Xero Invoice No],"&lt;&gt;"),LOOKUP(2,1/((tbl_Finance[Job Number]=C33&amp;"")*(tbl_Finance[Xero Invoice No]&lt;&gt;"")),tbl_Finance[Xero Invoice No]),LOOKUP(2,1/((tbl_Finance[Job Number]=C33&amp;"")*(tbl_Finance[Xero Invoice No]&lt;&gt;"")),tbl_Finance[Xero Invoice No])&amp;" +more"),"")))</f>
        <v/>
      </c>
      <c r="C33" s="24" t="n"/>
      <c r="D33" s="25">
        <f>IF(C33="","",IF(COUNTIF(lst_Jobs,C33&amp;"")&gt;0,"OK","CHECK"))</f>
        <v/>
      </c>
      <c r="E33" s="25">
        <f>IF(C33="","",IFERROR(INDEX(lst_JobName,MATCH(C33&amp;"",lst_Jobs,0)),""))</f>
        <v/>
      </c>
      <c r="F33" s="25">
        <f>IF(C33="","",IFERROR(INDEX(tbl_Finance[Client],MATCH(C33&amp;"",tbl_Finance[Job Number],0)),""))</f>
        <v/>
      </c>
      <c r="G33" s="28">
        <f>IF(C33="","",COUNTIFS(tbl_Finance[Job Number],C33&amp;"",tbl_Finance[Ex GST],"&lt;&gt;"))</f>
        <v/>
      </c>
      <c r="H33" s="27">
        <f>IF(C33="","",SUMIFS(tbl_Finance[Ex GST],tbl_Finance[Job Number],C33&amp;""))</f>
        <v/>
      </c>
      <c r="I33" s="27">
        <f>IF(C33="","",SUMIFS(tbl_Finance[Ex GST],tbl_Finance[Job Number],C33&amp;"",tbl_Finance[Xero Invoice No],"&lt;&gt;"))</f>
        <v/>
      </c>
      <c r="J33" s="27">
        <f>IF(C33="","",H33-I33)</f>
        <v/>
      </c>
      <c r="K33" s="25">
        <f>IF(C33="","",IF(G33=0,"not invoiced yet",SUBSTITUTE(TRIM(IF(COUNTIFS(tbl_Finance[Job Number],C33&amp;"",tbl_Finance[Cost Centre],"ONSITE")&gt;0,"ONSITE ","")&amp;IF(COUNTIFS(tbl_Finance[Job Number],C33&amp;"",tbl_Finance[Cost Centre],"PRODUCTION")&gt;0,"PRODUCTION ","")&amp;IF(COUNTIFS(tbl_Finance[Job Number],C33&amp;"",tbl_Finance[Cost Centre],"VIDEO")&gt;0,"VIDEO ","")&amp;IF(COUNTIFS(tbl_Finance[Job Number],C33&amp;"",tbl_Finance[Cost Centre],"INTEGRATION")&gt;0,"INTEGRATION ","")&amp;IF(COUNTIFS(tbl_Finance[Job Number],C33&amp;"",tbl_Finance[Cost Centre],"CONSULTING")&gt;0,"CONSULTING ","")&amp;IF(COUNTIFS(tbl_Finance[Job Number],C33&amp;"",tbl_Finance[Cost Centre],"CTS")&gt;0,"CTS ",""))," ",", ")))</f>
        <v/>
      </c>
      <c r="L33" s="24" t="n"/>
      <c r="M33" s="24" t="n"/>
      <c r="N33" s="25">
        <f>IF(M33="","",HYPERLINK(IF(LEFT(M33,4)="http",M33,set_QwilrBase&amp;M33),"Open quote"))</f>
        <v/>
      </c>
      <c r="O33" s="64" t="n"/>
      <c r="P33" s="24" t="n"/>
      <c r="Q33" s="24" t="n"/>
    </row>
    <row r="34" ht="15" customHeight="1">
      <c r="A34" s="63">
        <f>IF(C34="","",IFERROR(IF(SUMPRODUCT(MAX((tbl_Finance[Job Number]=C34&amp;"")*(tbl_Finance[Xero Invoice No]&lt;&gt;"")*tbl_Finance[Date]))=0,"",SUMPRODUCT(MAX((tbl_Finance[Job Number]=C34&amp;"")*(tbl_Finance[Xero Invoice No]&lt;&gt;"")*tbl_Finance[Date]))),""))</f>
        <v/>
      </c>
      <c r="B34" s="25">
        <f>IF(C34="","",IF(COUNTIFS(tbl_Finance[Job Number],C34&amp;"",tbl_Finance[Xero Invoice No],"&lt;&gt;")=0,"",IFERROR(IF(COUNTIFS(tbl_Finance[Job Number],C34&amp;"",tbl_Finance[Xero Invoice No],LOOKUP(2,1/((tbl_Finance[Job Number]=C34&amp;"")*(tbl_Finance[Xero Invoice No]&lt;&gt;"")),tbl_Finance[Xero Invoice No]))=COUNTIFS(tbl_Finance[Job Number],C34&amp;"",tbl_Finance[Xero Invoice No],"&lt;&gt;"),LOOKUP(2,1/((tbl_Finance[Job Number]=C34&amp;"")*(tbl_Finance[Xero Invoice No]&lt;&gt;"")),tbl_Finance[Xero Invoice No]),LOOKUP(2,1/((tbl_Finance[Job Number]=C34&amp;"")*(tbl_Finance[Xero Invoice No]&lt;&gt;"")),tbl_Finance[Xero Invoice No])&amp;" +more"),"")))</f>
        <v/>
      </c>
      <c r="C34" s="24" t="n"/>
      <c r="D34" s="25">
        <f>IF(C34="","",IF(COUNTIF(lst_Jobs,C34&amp;"")&gt;0,"OK","CHECK"))</f>
        <v/>
      </c>
      <c r="E34" s="25">
        <f>IF(C34="","",IFERROR(INDEX(lst_JobName,MATCH(C34&amp;"",lst_Jobs,0)),""))</f>
        <v/>
      </c>
      <c r="F34" s="25">
        <f>IF(C34="","",IFERROR(INDEX(tbl_Finance[Client],MATCH(C34&amp;"",tbl_Finance[Job Number],0)),""))</f>
        <v/>
      </c>
      <c r="G34" s="28">
        <f>IF(C34="","",COUNTIFS(tbl_Finance[Job Number],C34&amp;"",tbl_Finance[Ex GST],"&lt;&gt;"))</f>
        <v/>
      </c>
      <c r="H34" s="27">
        <f>IF(C34="","",SUMIFS(tbl_Finance[Ex GST],tbl_Finance[Job Number],C34&amp;""))</f>
        <v/>
      </c>
      <c r="I34" s="27">
        <f>IF(C34="","",SUMIFS(tbl_Finance[Ex GST],tbl_Finance[Job Number],C34&amp;"",tbl_Finance[Xero Invoice No],"&lt;&gt;"))</f>
        <v/>
      </c>
      <c r="J34" s="27">
        <f>IF(C34="","",H34-I34)</f>
        <v/>
      </c>
      <c r="K34" s="25">
        <f>IF(C34="","",IF(G34=0,"not invoiced yet",SUBSTITUTE(TRIM(IF(COUNTIFS(tbl_Finance[Job Number],C34&amp;"",tbl_Finance[Cost Centre],"ONSITE")&gt;0,"ONSITE ","")&amp;IF(COUNTIFS(tbl_Finance[Job Number],C34&amp;"",tbl_Finance[Cost Centre],"PRODUCTION")&gt;0,"PRODUCTION ","")&amp;IF(COUNTIFS(tbl_Finance[Job Number],C34&amp;"",tbl_Finance[Cost Centre],"VIDEO")&gt;0,"VIDEO ","")&amp;IF(COUNTIFS(tbl_Finance[Job Number],C34&amp;"",tbl_Finance[Cost Centre],"INTEGRATION")&gt;0,"INTEGRATION ","")&amp;IF(COUNTIFS(tbl_Finance[Job Number],C34&amp;"",tbl_Finance[Cost Centre],"CONSULTING")&gt;0,"CONSULTING ","")&amp;IF(COUNTIFS(tbl_Finance[Job Number],C34&amp;"",tbl_Finance[Cost Centre],"CTS")&gt;0,"CTS ",""))," ",", ")))</f>
        <v/>
      </c>
      <c r="L34" s="24" t="n"/>
      <c r="M34" s="24" t="n"/>
      <c r="N34" s="25">
        <f>IF(M34="","",HYPERLINK(IF(LEFT(M34,4)="http",M34,set_QwilrBase&amp;M34),"Open quote"))</f>
        <v/>
      </c>
      <c r="O34" s="64" t="n"/>
      <c r="P34" s="24" t="n"/>
      <c r="Q34" s="24" t="n"/>
    </row>
    <row r="35" ht="15" customHeight="1">
      <c r="A35" s="63">
        <f>IF(C35="","",IFERROR(IF(SUMPRODUCT(MAX((tbl_Finance[Job Number]=C35&amp;"")*(tbl_Finance[Xero Invoice No]&lt;&gt;"")*tbl_Finance[Date]))=0,"",SUMPRODUCT(MAX((tbl_Finance[Job Number]=C35&amp;"")*(tbl_Finance[Xero Invoice No]&lt;&gt;"")*tbl_Finance[Date]))),""))</f>
        <v/>
      </c>
      <c r="B35" s="25">
        <f>IF(C35="","",IF(COUNTIFS(tbl_Finance[Job Number],C35&amp;"",tbl_Finance[Xero Invoice No],"&lt;&gt;")=0,"",IFERROR(IF(COUNTIFS(tbl_Finance[Job Number],C35&amp;"",tbl_Finance[Xero Invoice No],LOOKUP(2,1/((tbl_Finance[Job Number]=C35&amp;"")*(tbl_Finance[Xero Invoice No]&lt;&gt;"")),tbl_Finance[Xero Invoice No]))=COUNTIFS(tbl_Finance[Job Number],C35&amp;"",tbl_Finance[Xero Invoice No],"&lt;&gt;"),LOOKUP(2,1/((tbl_Finance[Job Number]=C35&amp;"")*(tbl_Finance[Xero Invoice No]&lt;&gt;"")),tbl_Finance[Xero Invoice No]),LOOKUP(2,1/((tbl_Finance[Job Number]=C35&amp;"")*(tbl_Finance[Xero Invoice No]&lt;&gt;"")),tbl_Finance[Xero Invoice No])&amp;" +more"),"")))</f>
        <v/>
      </c>
      <c r="C35" s="24" t="n"/>
      <c r="D35" s="25">
        <f>IF(C35="","",IF(COUNTIF(lst_Jobs,C35&amp;"")&gt;0,"OK","CHECK"))</f>
        <v/>
      </c>
      <c r="E35" s="25">
        <f>IF(C35="","",IFERROR(INDEX(lst_JobName,MATCH(C35&amp;"",lst_Jobs,0)),""))</f>
        <v/>
      </c>
      <c r="F35" s="25">
        <f>IF(C35="","",IFERROR(INDEX(tbl_Finance[Client],MATCH(C35&amp;"",tbl_Finance[Job Number],0)),""))</f>
        <v/>
      </c>
      <c r="G35" s="28">
        <f>IF(C35="","",COUNTIFS(tbl_Finance[Job Number],C35&amp;"",tbl_Finance[Ex GST],"&lt;&gt;"))</f>
        <v/>
      </c>
      <c r="H35" s="27">
        <f>IF(C35="","",SUMIFS(tbl_Finance[Ex GST],tbl_Finance[Job Number],C35&amp;""))</f>
        <v/>
      </c>
      <c r="I35" s="27">
        <f>IF(C35="","",SUMIFS(tbl_Finance[Ex GST],tbl_Finance[Job Number],C35&amp;"",tbl_Finance[Xero Invoice No],"&lt;&gt;"))</f>
        <v/>
      </c>
      <c r="J35" s="27">
        <f>IF(C35="","",H35-I35)</f>
        <v/>
      </c>
      <c r="K35" s="25">
        <f>IF(C35="","",IF(G35=0,"not invoiced yet",SUBSTITUTE(TRIM(IF(COUNTIFS(tbl_Finance[Job Number],C35&amp;"",tbl_Finance[Cost Centre],"ONSITE")&gt;0,"ONSITE ","")&amp;IF(COUNTIFS(tbl_Finance[Job Number],C35&amp;"",tbl_Finance[Cost Centre],"PRODUCTION")&gt;0,"PRODUCTION ","")&amp;IF(COUNTIFS(tbl_Finance[Job Number],C35&amp;"",tbl_Finance[Cost Centre],"VIDEO")&gt;0,"VIDEO ","")&amp;IF(COUNTIFS(tbl_Finance[Job Number],C35&amp;"",tbl_Finance[Cost Centre],"INTEGRATION")&gt;0,"INTEGRATION ","")&amp;IF(COUNTIFS(tbl_Finance[Job Number],C35&amp;"",tbl_Finance[Cost Centre],"CONSULTING")&gt;0,"CONSULTING ","")&amp;IF(COUNTIFS(tbl_Finance[Job Number],C35&amp;"",tbl_Finance[Cost Centre],"CTS")&gt;0,"CTS ",""))," ",", ")))</f>
        <v/>
      </c>
      <c r="L35" s="24" t="n"/>
      <c r="M35" s="24" t="n"/>
      <c r="N35" s="25">
        <f>IF(M35="","",HYPERLINK(IF(LEFT(M35,4)="http",M35,set_QwilrBase&amp;M35),"Open quote"))</f>
        <v/>
      </c>
      <c r="O35" s="64" t="n"/>
      <c r="P35" s="24" t="n"/>
      <c r="Q35" s="24" t="n"/>
    </row>
    <row r="36" ht="15" customHeight="1">
      <c r="A36" s="63">
        <f>IF(C36="","",IFERROR(IF(SUMPRODUCT(MAX((tbl_Finance[Job Number]=C36&amp;"")*(tbl_Finance[Xero Invoice No]&lt;&gt;"")*tbl_Finance[Date]))=0,"",SUMPRODUCT(MAX((tbl_Finance[Job Number]=C36&amp;"")*(tbl_Finance[Xero Invoice No]&lt;&gt;"")*tbl_Finance[Date]))),""))</f>
        <v/>
      </c>
      <c r="B36" s="25">
        <f>IF(C36="","",IF(COUNTIFS(tbl_Finance[Job Number],C36&amp;"",tbl_Finance[Xero Invoice No],"&lt;&gt;")=0,"",IFERROR(IF(COUNTIFS(tbl_Finance[Job Number],C36&amp;"",tbl_Finance[Xero Invoice No],LOOKUP(2,1/((tbl_Finance[Job Number]=C36&amp;"")*(tbl_Finance[Xero Invoice No]&lt;&gt;"")),tbl_Finance[Xero Invoice No]))=COUNTIFS(tbl_Finance[Job Number],C36&amp;"",tbl_Finance[Xero Invoice No],"&lt;&gt;"),LOOKUP(2,1/((tbl_Finance[Job Number]=C36&amp;"")*(tbl_Finance[Xero Invoice No]&lt;&gt;"")),tbl_Finance[Xero Invoice No]),LOOKUP(2,1/((tbl_Finance[Job Number]=C36&amp;"")*(tbl_Finance[Xero Invoice No]&lt;&gt;"")),tbl_Finance[Xero Invoice No])&amp;" +more"),"")))</f>
        <v/>
      </c>
      <c r="C36" s="24" t="n"/>
      <c r="D36" s="25">
        <f>IF(C36="","",IF(COUNTIF(lst_Jobs,C36&amp;"")&gt;0,"OK","CHECK"))</f>
        <v/>
      </c>
      <c r="E36" s="25">
        <f>IF(C36="","",IFERROR(INDEX(lst_JobName,MATCH(C36&amp;"",lst_Jobs,0)),""))</f>
        <v/>
      </c>
      <c r="F36" s="25">
        <f>IF(C36="","",IFERROR(INDEX(tbl_Finance[Client],MATCH(C36&amp;"",tbl_Finance[Job Number],0)),""))</f>
        <v/>
      </c>
      <c r="G36" s="28">
        <f>IF(C36="","",COUNTIFS(tbl_Finance[Job Number],C36&amp;"",tbl_Finance[Ex GST],"&lt;&gt;"))</f>
        <v/>
      </c>
      <c r="H36" s="27">
        <f>IF(C36="","",SUMIFS(tbl_Finance[Ex GST],tbl_Finance[Job Number],C36&amp;""))</f>
        <v/>
      </c>
      <c r="I36" s="27">
        <f>IF(C36="","",SUMIFS(tbl_Finance[Ex GST],tbl_Finance[Job Number],C36&amp;"",tbl_Finance[Xero Invoice No],"&lt;&gt;"))</f>
        <v/>
      </c>
      <c r="J36" s="27">
        <f>IF(C36="","",H36-I36)</f>
        <v/>
      </c>
      <c r="K36" s="25">
        <f>IF(C36="","",IF(G36=0,"not invoiced yet",SUBSTITUTE(TRIM(IF(COUNTIFS(tbl_Finance[Job Number],C36&amp;"",tbl_Finance[Cost Centre],"ONSITE")&gt;0,"ONSITE ","")&amp;IF(COUNTIFS(tbl_Finance[Job Number],C36&amp;"",tbl_Finance[Cost Centre],"PRODUCTION")&gt;0,"PRODUCTION ","")&amp;IF(COUNTIFS(tbl_Finance[Job Number],C36&amp;"",tbl_Finance[Cost Centre],"VIDEO")&gt;0,"VIDEO ","")&amp;IF(COUNTIFS(tbl_Finance[Job Number],C36&amp;"",tbl_Finance[Cost Centre],"INTEGRATION")&gt;0,"INTEGRATION ","")&amp;IF(COUNTIFS(tbl_Finance[Job Number],C36&amp;"",tbl_Finance[Cost Centre],"CONSULTING")&gt;0,"CONSULTING ","")&amp;IF(COUNTIFS(tbl_Finance[Job Number],C36&amp;"",tbl_Finance[Cost Centre],"CTS")&gt;0,"CTS ",""))," ",", ")))</f>
        <v/>
      </c>
      <c r="L36" s="24" t="n"/>
      <c r="M36" s="24" t="n"/>
      <c r="N36" s="25">
        <f>IF(M36="","",HYPERLINK(IF(LEFT(M36,4)="http",M36,set_QwilrBase&amp;M36),"Open quote"))</f>
        <v/>
      </c>
      <c r="O36" s="64" t="n"/>
      <c r="P36" s="24" t="n"/>
      <c r="Q36" s="24" t="n"/>
    </row>
    <row r="37" ht="15" customHeight="1">
      <c r="A37" s="63">
        <f>IF(C37="","",IFERROR(IF(SUMPRODUCT(MAX((tbl_Finance[Job Number]=C37&amp;"")*(tbl_Finance[Xero Invoice No]&lt;&gt;"")*tbl_Finance[Date]))=0,"",SUMPRODUCT(MAX((tbl_Finance[Job Number]=C37&amp;"")*(tbl_Finance[Xero Invoice No]&lt;&gt;"")*tbl_Finance[Date]))),""))</f>
        <v/>
      </c>
      <c r="B37" s="25">
        <f>IF(C37="","",IF(COUNTIFS(tbl_Finance[Job Number],C37&amp;"",tbl_Finance[Xero Invoice No],"&lt;&gt;")=0,"",IFERROR(IF(COUNTIFS(tbl_Finance[Job Number],C37&amp;"",tbl_Finance[Xero Invoice No],LOOKUP(2,1/((tbl_Finance[Job Number]=C37&amp;"")*(tbl_Finance[Xero Invoice No]&lt;&gt;"")),tbl_Finance[Xero Invoice No]))=COUNTIFS(tbl_Finance[Job Number],C37&amp;"",tbl_Finance[Xero Invoice No],"&lt;&gt;"),LOOKUP(2,1/((tbl_Finance[Job Number]=C37&amp;"")*(tbl_Finance[Xero Invoice No]&lt;&gt;"")),tbl_Finance[Xero Invoice No]),LOOKUP(2,1/((tbl_Finance[Job Number]=C37&amp;"")*(tbl_Finance[Xero Invoice No]&lt;&gt;"")),tbl_Finance[Xero Invoice No])&amp;" +more"),"")))</f>
        <v/>
      </c>
      <c r="C37" s="24" t="n"/>
      <c r="D37" s="25">
        <f>IF(C37="","",IF(COUNTIF(lst_Jobs,C37&amp;"")&gt;0,"OK","CHECK"))</f>
        <v/>
      </c>
      <c r="E37" s="25">
        <f>IF(C37="","",IFERROR(INDEX(lst_JobName,MATCH(C37&amp;"",lst_Jobs,0)),""))</f>
        <v/>
      </c>
      <c r="F37" s="25">
        <f>IF(C37="","",IFERROR(INDEX(tbl_Finance[Client],MATCH(C37&amp;"",tbl_Finance[Job Number],0)),""))</f>
        <v/>
      </c>
      <c r="G37" s="28">
        <f>IF(C37="","",COUNTIFS(tbl_Finance[Job Number],C37&amp;"",tbl_Finance[Ex GST],"&lt;&gt;"))</f>
        <v/>
      </c>
      <c r="H37" s="27">
        <f>IF(C37="","",SUMIFS(tbl_Finance[Ex GST],tbl_Finance[Job Number],C37&amp;""))</f>
        <v/>
      </c>
      <c r="I37" s="27">
        <f>IF(C37="","",SUMIFS(tbl_Finance[Ex GST],tbl_Finance[Job Number],C37&amp;"",tbl_Finance[Xero Invoice No],"&lt;&gt;"))</f>
        <v/>
      </c>
      <c r="J37" s="27">
        <f>IF(C37="","",H37-I37)</f>
        <v/>
      </c>
      <c r="K37" s="25">
        <f>IF(C37="","",IF(G37=0,"not invoiced yet",SUBSTITUTE(TRIM(IF(COUNTIFS(tbl_Finance[Job Number],C37&amp;"",tbl_Finance[Cost Centre],"ONSITE")&gt;0,"ONSITE ","")&amp;IF(COUNTIFS(tbl_Finance[Job Number],C37&amp;"",tbl_Finance[Cost Centre],"PRODUCTION")&gt;0,"PRODUCTION ","")&amp;IF(COUNTIFS(tbl_Finance[Job Number],C37&amp;"",tbl_Finance[Cost Centre],"VIDEO")&gt;0,"VIDEO ","")&amp;IF(COUNTIFS(tbl_Finance[Job Number],C37&amp;"",tbl_Finance[Cost Centre],"INTEGRATION")&gt;0,"INTEGRATION ","")&amp;IF(COUNTIFS(tbl_Finance[Job Number],C37&amp;"",tbl_Finance[Cost Centre],"CONSULTING")&gt;0,"CONSULTING ","")&amp;IF(COUNTIFS(tbl_Finance[Job Number],C37&amp;"",tbl_Finance[Cost Centre],"CTS")&gt;0,"CTS ",""))," ",", ")))</f>
        <v/>
      </c>
      <c r="L37" s="24" t="n"/>
      <c r="M37" s="24" t="n"/>
      <c r="N37" s="25">
        <f>IF(M37="","",HYPERLINK(IF(LEFT(M37,4)="http",M37,set_QwilrBase&amp;M37),"Open quote"))</f>
        <v/>
      </c>
      <c r="O37" s="64" t="n"/>
      <c r="P37" s="24" t="n"/>
      <c r="Q37" s="24" t="n"/>
    </row>
    <row r="38" ht="15" customHeight="1">
      <c r="A38" s="63">
        <f>IF(C38="","",IFERROR(IF(SUMPRODUCT(MAX((tbl_Finance[Job Number]=C38&amp;"")*(tbl_Finance[Xero Invoice No]&lt;&gt;"")*tbl_Finance[Date]))=0,"",SUMPRODUCT(MAX((tbl_Finance[Job Number]=C38&amp;"")*(tbl_Finance[Xero Invoice No]&lt;&gt;"")*tbl_Finance[Date]))),""))</f>
        <v/>
      </c>
      <c r="B38" s="25">
        <f>IF(C38="","",IF(COUNTIFS(tbl_Finance[Job Number],C38&amp;"",tbl_Finance[Xero Invoice No],"&lt;&gt;")=0,"",IFERROR(IF(COUNTIFS(tbl_Finance[Job Number],C38&amp;"",tbl_Finance[Xero Invoice No],LOOKUP(2,1/((tbl_Finance[Job Number]=C38&amp;"")*(tbl_Finance[Xero Invoice No]&lt;&gt;"")),tbl_Finance[Xero Invoice No]))=COUNTIFS(tbl_Finance[Job Number],C38&amp;"",tbl_Finance[Xero Invoice No],"&lt;&gt;"),LOOKUP(2,1/((tbl_Finance[Job Number]=C38&amp;"")*(tbl_Finance[Xero Invoice No]&lt;&gt;"")),tbl_Finance[Xero Invoice No]),LOOKUP(2,1/((tbl_Finance[Job Number]=C38&amp;"")*(tbl_Finance[Xero Invoice No]&lt;&gt;"")),tbl_Finance[Xero Invoice No])&amp;" +more"),"")))</f>
        <v/>
      </c>
      <c r="C38" s="24" t="n"/>
      <c r="D38" s="25">
        <f>IF(C38="","",IF(COUNTIF(lst_Jobs,C38&amp;"")&gt;0,"OK","CHECK"))</f>
        <v/>
      </c>
      <c r="E38" s="25">
        <f>IF(C38="","",IFERROR(INDEX(lst_JobName,MATCH(C38&amp;"",lst_Jobs,0)),""))</f>
        <v/>
      </c>
      <c r="F38" s="25">
        <f>IF(C38="","",IFERROR(INDEX(tbl_Finance[Client],MATCH(C38&amp;"",tbl_Finance[Job Number],0)),""))</f>
        <v/>
      </c>
      <c r="G38" s="28">
        <f>IF(C38="","",COUNTIFS(tbl_Finance[Job Number],C38&amp;"",tbl_Finance[Ex GST],"&lt;&gt;"))</f>
        <v/>
      </c>
      <c r="H38" s="27">
        <f>IF(C38="","",SUMIFS(tbl_Finance[Ex GST],tbl_Finance[Job Number],C38&amp;""))</f>
        <v/>
      </c>
      <c r="I38" s="27">
        <f>IF(C38="","",SUMIFS(tbl_Finance[Ex GST],tbl_Finance[Job Number],C38&amp;"",tbl_Finance[Xero Invoice No],"&lt;&gt;"))</f>
        <v/>
      </c>
      <c r="J38" s="27">
        <f>IF(C38="","",H38-I38)</f>
        <v/>
      </c>
      <c r="K38" s="25">
        <f>IF(C38="","",IF(G38=0,"not invoiced yet",SUBSTITUTE(TRIM(IF(COUNTIFS(tbl_Finance[Job Number],C38&amp;"",tbl_Finance[Cost Centre],"ONSITE")&gt;0,"ONSITE ","")&amp;IF(COUNTIFS(tbl_Finance[Job Number],C38&amp;"",tbl_Finance[Cost Centre],"PRODUCTION")&gt;0,"PRODUCTION ","")&amp;IF(COUNTIFS(tbl_Finance[Job Number],C38&amp;"",tbl_Finance[Cost Centre],"VIDEO")&gt;0,"VIDEO ","")&amp;IF(COUNTIFS(tbl_Finance[Job Number],C38&amp;"",tbl_Finance[Cost Centre],"INTEGRATION")&gt;0,"INTEGRATION ","")&amp;IF(COUNTIFS(tbl_Finance[Job Number],C38&amp;"",tbl_Finance[Cost Centre],"CONSULTING")&gt;0,"CONSULTING ","")&amp;IF(COUNTIFS(tbl_Finance[Job Number],C38&amp;"",tbl_Finance[Cost Centre],"CTS")&gt;0,"CTS ",""))," ",", ")))</f>
        <v/>
      </c>
      <c r="L38" s="24" t="n"/>
      <c r="M38" s="24" t="n"/>
      <c r="N38" s="25">
        <f>IF(M38="","",HYPERLINK(IF(LEFT(M38,4)="http",M38,set_QwilrBase&amp;M38),"Open quote"))</f>
        <v/>
      </c>
      <c r="O38" s="64" t="n"/>
      <c r="P38" s="24" t="n"/>
      <c r="Q38" s="24" t="n"/>
    </row>
    <row r="39" ht="15" customHeight="1">
      <c r="A39" s="63">
        <f>IF(C39="","",IFERROR(IF(SUMPRODUCT(MAX((tbl_Finance[Job Number]=C39&amp;"")*(tbl_Finance[Xero Invoice No]&lt;&gt;"")*tbl_Finance[Date]))=0,"",SUMPRODUCT(MAX((tbl_Finance[Job Number]=C39&amp;"")*(tbl_Finance[Xero Invoice No]&lt;&gt;"")*tbl_Finance[Date]))),""))</f>
        <v/>
      </c>
      <c r="B39" s="25">
        <f>IF(C39="","",IF(COUNTIFS(tbl_Finance[Job Number],C39&amp;"",tbl_Finance[Xero Invoice No],"&lt;&gt;")=0,"",IFERROR(IF(COUNTIFS(tbl_Finance[Job Number],C39&amp;"",tbl_Finance[Xero Invoice No],LOOKUP(2,1/((tbl_Finance[Job Number]=C39&amp;"")*(tbl_Finance[Xero Invoice No]&lt;&gt;"")),tbl_Finance[Xero Invoice No]))=COUNTIFS(tbl_Finance[Job Number],C39&amp;"",tbl_Finance[Xero Invoice No],"&lt;&gt;"),LOOKUP(2,1/((tbl_Finance[Job Number]=C39&amp;"")*(tbl_Finance[Xero Invoice No]&lt;&gt;"")),tbl_Finance[Xero Invoice No]),LOOKUP(2,1/((tbl_Finance[Job Number]=C39&amp;"")*(tbl_Finance[Xero Invoice No]&lt;&gt;"")),tbl_Finance[Xero Invoice No])&amp;" +more"),"")))</f>
        <v/>
      </c>
      <c r="C39" s="24" t="n"/>
      <c r="D39" s="25">
        <f>IF(C39="","",IF(COUNTIF(lst_Jobs,C39&amp;"")&gt;0,"OK","CHECK"))</f>
        <v/>
      </c>
      <c r="E39" s="25">
        <f>IF(C39="","",IFERROR(INDEX(lst_JobName,MATCH(C39&amp;"",lst_Jobs,0)),""))</f>
        <v/>
      </c>
      <c r="F39" s="25">
        <f>IF(C39="","",IFERROR(INDEX(tbl_Finance[Client],MATCH(C39&amp;"",tbl_Finance[Job Number],0)),""))</f>
        <v/>
      </c>
      <c r="G39" s="28">
        <f>IF(C39="","",COUNTIFS(tbl_Finance[Job Number],C39&amp;"",tbl_Finance[Ex GST],"&lt;&gt;"))</f>
        <v/>
      </c>
      <c r="H39" s="27">
        <f>IF(C39="","",SUMIFS(tbl_Finance[Ex GST],tbl_Finance[Job Number],C39&amp;""))</f>
        <v/>
      </c>
      <c r="I39" s="27">
        <f>IF(C39="","",SUMIFS(tbl_Finance[Ex GST],tbl_Finance[Job Number],C39&amp;"",tbl_Finance[Xero Invoice No],"&lt;&gt;"))</f>
        <v/>
      </c>
      <c r="J39" s="27">
        <f>IF(C39="","",H39-I39)</f>
        <v/>
      </c>
      <c r="K39" s="25">
        <f>IF(C39="","",IF(G39=0,"not invoiced yet",SUBSTITUTE(TRIM(IF(COUNTIFS(tbl_Finance[Job Number],C39&amp;"",tbl_Finance[Cost Centre],"ONSITE")&gt;0,"ONSITE ","")&amp;IF(COUNTIFS(tbl_Finance[Job Number],C39&amp;"",tbl_Finance[Cost Centre],"PRODUCTION")&gt;0,"PRODUCTION ","")&amp;IF(COUNTIFS(tbl_Finance[Job Number],C39&amp;"",tbl_Finance[Cost Centre],"VIDEO")&gt;0,"VIDEO ","")&amp;IF(COUNTIFS(tbl_Finance[Job Number],C39&amp;"",tbl_Finance[Cost Centre],"INTEGRATION")&gt;0,"INTEGRATION ","")&amp;IF(COUNTIFS(tbl_Finance[Job Number],C39&amp;"",tbl_Finance[Cost Centre],"CONSULTING")&gt;0,"CONSULTING ","")&amp;IF(COUNTIFS(tbl_Finance[Job Number],C39&amp;"",tbl_Finance[Cost Centre],"CTS")&gt;0,"CTS ",""))," ",", ")))</f>
        <v/>
      </c>
      <c r="L39" s="24" t="n"/>
      <c r="M39" s="24" t="n"/>
      <c r="N39" s="25">
        <f>IF(M39="","",HYPERLINK(IF(LEFT(M39,4)="http",M39,set_QwilrBase&amp;M39),"Open quote"))</f>
        <v/>
      </c>
      <c r="O39" s="64" t="n"/>
      <c r="P39" s="24" t="n"/>
      <c r="Q39" s="24" t="n"/>
    </row>
    <row r="40" ht="15" customHeight="1">
      <c r="A40" s="63">
        <f>IF(C40="","",IFERROR(IF(SUMPRODUCT(MAX((tbl_Finance[Job Number]=C40&amp;"")*(tbl_Finance[Xero Invoice No]&lt;&gt;"")*tbl_Finance[Date]))=0,"",SUMPRODUCT(MAX((tbl_Finance[Job Number]=C40&amp;"")*(tbl_Finance[Xero Invoice No]&lt;&gt;"")*tbl_Finance[Date]))),""))</f>
        <v/>
      </c>
      <c r="B40" s="25">
        <f>IF(C40="","",IF(COUNTIFS(tbl_Finance[Job Number],C40&amp;"",tbl_Finance[Xero Invoice No],"&lt;&gt;")=0,"",IFERROR(IF(COUNTIFS(tbl_Finance[Job Number],C40&amp;"",tbl_Finance[Xero Invoice No],LOOKUP(2,1/((tbl_Finance[Job Number]=C40&amp;"")*(tbl_Finance[Xero Invoice No]&lt;&gt;"")),tbl_Finance[Xero Invoice No]))=COUNTIFS(tbl_Finance[Job Number],C40&amp;"",tbl_Finance[Xero Invoice No],"&lt;&gt;"),LOOKUP(2,1/((tbl_Finance[Job Number]=C40&amp;"")*(tbl_Finance[Xero Invoice No]&lt;&gt;"")),tbl_Finance[Xero Invoice No]),LOOKUP(2,1/((tbl_Finance[Job Number]=C40&amp;"")*(tbl_Finance[Xero Invoice No]&lt;&gt;"")),tbl_Finance[Xero Invoice No])&amp;" +more"),"")))</f>
        <v/>
      </c>
      <c r="C40" s="24" t="n"/>
      <c r="D40" s="25">
        <f>IF(C40="","",IF(COUNTIF(lst_Jobs,C40&amp;"")&gt;0,"OK","CHECK"))</f>
        <v/>
      </c>
      <c r="E40" s="25">
        <f>IF(C40="","",IFERROR(INDEX(lst_JobName,MATCH(C40&amp;"",lst_Jobs,0)),""))</f>
        <v/>
      </c>
      <c r="F40" s="25">
        <f>IF(C40="","",IFERROR(INDEX(tbl_Finance[Client],MATCH(C40&amp;"",tbl_Finance[Job Number],0)),""))</f>
        <v/>
      </c>
      <c r="G40" s="28">
        <f>IF(C40="","",COUNTIFS(tbl_Finance[Job Number],C40&amp;"",tbl_Finance[Ex GST],"&lt;&gt;"))</f>
        <v/>
      </c>
      <c r="H40" s="27">
        <f>IF(C40="","",SUMIFS(tbl_Finance[Ex GST],tbl_Finance[Job Number],C40&amp;""))</f>
        <v/>
      </c>
      <c r="I40" s="27">
        <f>IF(C40="","",SUMIFS(tbl_Finance[Ex GST],tbl_Finance[Job Number],C40&amp;"",tbl_Finance[Xero Invoice No],"&lt;&gt;"))</f>
        <v/>
      </c>
      <c r="J40" s="27">
        <f>IF(C40="","",H40-I40)</f>
        <v/>
      </c>
      <c r="K40" s="25">
        <f>IF(C40="","",IF(G40=0,"not invoiced yet",SUBSTITUTE(TRIM(IF(COUNTIFS(tbl_Finance[Job Number],C40&amp;"",tbl_Finance[Cost Centre],"ONSITE")&gt;0,"ONSITE ","")&amp;IF(COUNTIFS(tbl_Finance[Job Number],C40&amp;"",tbl_Finance[Cost Centre],"PRODUCTION")&gt;0,"PRODUCTION ","")&amp;IF(COUNTIFS(tbl_Finance[Job Number],C40&amp;"",tbl_Finance[Cost Centre],"VIDEO")&gt;0,"VIDEO ","")&amp;IF(COUNTIFS(tbl_Finance[Job Number],C40&amp;"",tbl_Finance[Cost Centre],"INTEGRATION")&gt;0,"INTEGRATION ","")&amp;IF(COUNTIFS(tbl_Finance[Job Number],C40&amp;"",tbl_Finance[Cost Centre],"CONSULTING")&gt;0,"CONSULTING ","")&amp;IF(COUNTIFS(tbl_Finance[Job Number],C40&amp;"",tbl_Finance[Cost Centre],"CTS")&gt;0,"CTS ",""))," ",", ")))</f>
        <v/>
      </c>
      <c r="L40" s="24" t="n"/>
      <c r="M40" s="24" t="n"/>
      <c r="N40" s="25">
        <f>IF(M40="","",HYPERLINK(IF(LEFT(M40,4)="http",M40,set_QwilrBase&amp;M40),"Open quote"))</f>
        <v/>
      </c>
      <c r="O40" s="64" t="n"/>
      <c r="P40" s="24" t="n"/>
      <c r="Q40" s="24" t="n"/>
    </row>
    <row r="41" ht="15" customHeight="1">
      <c r="A41" s="63">
        <f>IF(C41="","",IFERROR(IF(SUMPRODUCT(MAX((tbl_Finance[Job Number]=C41&amp;"")*(tbl_Finance[Xero Invoice No]&lt;&gt;"")*tbl_Finance[Date]))=0,"",SUMPRODUCT(MAX((tbl_Finance[Job Number]=C41&amp;"")*(tbl_Finance[Xero Invoice No]&lt;&gt;"")*tbl_Finance[Date]))),""))</f>
        <v/>
      </c>
      <c r="B41" s="25">
        <f>IF(C41="","",IF(COUNTIFS(tbl_Finance[Job Number],C41&amp;"",tbl_Finance[Xero Invoice No],"&lt;&gt;")=0,"",IFERROR(IF(COUNTIFS(tbl_Finance[Job Number],C41&amp;"",tbl_Finance[Xero Invoice No],LOOKUP(2,1/((tbl_Finance[Job Number]=C41&amp;"")*(tbl_Finance[Xero Invoice No]&lt;&gt;"")),tbl_Finance[Xero Invoice No]))=COUNTIFS(tbl_Finance[Job Number],C41&amp;"",tbl_Finance[Xero Invoice No],"&lt;&gt;"),LOOKUP(2,1/((tbl_Finance[Job Number]=C41&amp;"")*(tbl_Finance[Xero Invoice No]&lt;&gt;"")),tbl_Finance[Xero Invoice No]),LOOKUP(2,1/((tbl_Finance[Job Number]=C41&amp;"")*(tbl_Finance[Xero Invoice No]&lt;&gt;"")),tbl_Finance[Xero Invoice No])&amp;" +more"),"")))</f>
        <v/>
      </c>
      <c r="C41" s="24" t="n"/>
      <c r="D41" s="25">
        <f>IF(C41="","",IF(COUNTIF(lst_Jobs,C41&amp;"")&gt;0,"OK","CHECK"))</f>
        <v/>
      </c>
      <c r="E41" s="25">
        <f>IF(C41="","",IFERROR(INDEX(lst_JobName,MATCH(C41&amp;"",lst_Jobs,0)),""))</f>
        <v/>
      </c>
      <c r="F41" s="25">
        <f>IF(C41="","",IFERROR(INDEX(tbl_Finance[Client],MATCH(C41&amp;"",tbl_Finance[Job Number],0)),""))</f>
        <v/>
      </c>
      <c r="G41" s="28">
        <f>IF(C41="","",COUNTIFS(tbl_Finance[Job Number],C41&amp;"",tbl_Finance[Ex GST],"&lt;&gt;"))</f>
        <v/>
      </c>
      <c r="H41" s="27">
        <f>IF(C41="","",SUMIFS(tbl_Finance[Ex GST],tbl_Finance[Job Number],C41&amp;""))</f>
        <v/>
      </c>
      <c r="I41" s="27">
        <f>IF(C41="","",SUMIFS(tbl_Finance[Ex GST],tbl_Finance[Job Number],C41&amp;"",tbl_Finance[Xero Invoice No],"&lt;&gt;"))</f>
        <v/>
      </c>
      <c r="J41" s="27">
        <f>IF(C41="","",H41-I41)</f>
        <v/>
      </c>
      <c r="K41" s="25">
        <f>IF(C41="","",IF(G41=0,"not invoiced yet",SUBSTITUTE(TRIM(IF(COUNTIFS(tbl_Finance[Job Number],C41&amp;"",tbl_Finance[Cost Centre],"ONSITE")&gt;0,"ONSITE ","")&amp;IF(COUNTIFS(tbl_Finance[Job Number],C41&amp;"",tbl_Finance[Cost Centre],"PRODUCTION")&gt;0,"PRODUCTION ","")&amp;IF(COUNTIFS(tbl_Finance[Job Number],C41&amp;"",tbl_Finance[Cost Centre],"VIDEO")&gt;0,"VIDEO ","")&amp;IF(COUNTIFS(tbl_Finance[Job Number],C41&amp;"",tbl_Finance[Cost Centre],"INTEGRATION")&gt;0,"INTEGRATION ","")&amp;IF(COUNTIFS(tbl_Finance[Job Number],C41&amp;"",tbl_Finance[Cost Centre],"CONSULTING")&gt;0,"CONSULTING ","")&amp;IF(COUNTIFS(tbl_Finance[Job Number],C41&amp;"",tbl_Finance[Cost Centre],"CTS")&gt;0,"CTS ",""))," ",", ")))</f>
        <v/>
      </c>
      <c r="L41" s="24" t="n"/>
      <c r="M41" s="24" t="n"/>
      <c r="N41" s="25">
        <f>IF(M41="","",HYPERLINK(IF(LEFT(M41,4)="http",M41,set_QwilrBase&amp;M41),"Open quote"))</f>
        <v/>
      </c>
      <c r="O41" s="64" t="n"/>
      <c r="P41" s="24" t="n"/>
      <c r="Q41" s="24" t="n"/>
    </row>
    <row r="42" ht="15" customHeight="1">
      <c r="A42" s="63">
        <f>IF(C42="","",IFERROR(IF(SUMPRODUCT(MAX((tbl_Finance[Job Number]=C42&amp;"")*(tbl_Finance[Xero Invoice No]&lt;&gt;"")*tbl_Finance[Date]))=0,"",SUMPRODUCT(MAX((tbl_Finance[Job Number]=C42&amp;"")*(tbl_Finance[Xero Invoice No]&lt;&gt;"")*tbl_Finance[Date]))),""))</f>
        <v/>
      </c>
      <c r="B42" s="25">
        <f>IF(C42="","",IF(COUNTIFS(tbl_Finance[Job Number],C42&amp;"",tbl_Finance[Xero Invoice No],"&lt;&gt;")=0,"",IFERROR(IF(COUNTIFS(tbl_Finance[Job Number],C42&amp;"",tbl_Finance[Xero Invoice No],LOOKUP(2,1/((tbl_Finance[Job Number]=C42&amp;"")*(tbl_Finance[Xero Invoice No]&lt;&gt;"")),tbl_Finance[Xero Invoice No]))=COUNTIFS(tbl_Finance[Job Number],C42&amp;"",tbl_Finance[Xero Invoice No],"&lt;&gt;"),LOOKUP(2,1/((tbl_Finance[Job Number]=C42&amp;"")*(tbl_Finance[Xero Invoice No]&lt;&gt;"")),tbl_Finance[Xero Invoice No]),LOOKUP(2,1/((tbl_Finance[Job Number]=C42&amp;"")*(tbl_Finance[Xero Invoice No]&lt;&gt;"")),tbl_Finance[Xero Invoice No])&amp;" +more"),"")))</f>
        <v/>
      </c>
      <c r="C42" s="24" t="n"/>
      <c r="D42" s="25">
        <f>IF(C42="","",IF(COUNTIF(lst_Jobs,C42&amp;"")&gt;0,"OK","CHECK"))</f>
        <v/>
      </c>
      <c r="E42" s="25">
        <f>IF(C42="","",IFERROR(INDEX(lst_JobName,MATCH(C42&amp;"",lst_Jobs,0)),""))</f>
        <v/>
      </c>
      <c r="F42" s="25">
        <f>IF(C42="","",IFERROR(INDEX(tbl_Finance[Client],MATCH(C42&amp;"",tbl_Finance[Job Number],0)),""))</f>
        <v/>
      </c>
      <c r="G42" s="28">
        <f>IF(C42="","",COUNTIFS(tbl_Finance[Job Number],C42&amp;"",tbl_Finance[Ex GST],"&lt;&gt;"))</f>
        <v/>
      </c>
      <c r="H42" s="27">
        <f>IF(C42="","",SUMIFS(tbl_Finance[Ex GST],tbl_Finance[Job Number],C42&amp;""))</f>
        <v/>
      </c>
      <c r="I42" s="27">
        <f>IF(C42="","",SUMIFS(tbl_Finance[Ex GST],tbl_Finance[Job Number],C42&amp;"",tbl_Finance[Xero Invoice No],"&lt;&gt;"))</f>
        <v/>
      </c>
      <c r="J42" s="27">
        <f>IF(C42="","",H42-I42)</f>
        <v/>
      </c>
      <c r="K42" s="25">
        <f>IF(C42="","",IF(G42=0,"not invoiced yet",SUBSTITUTE(TRIM(IF(COUNTIFS(tbl_Finance[Job Number],C42&amp;"",tbl_Finance[Cost Centre],"ONSITE")&gt;0,"ONSITE ","")&amp;IF(COUNTIFS(tbl_Finance[Job Number],C42&amp;"",tbl_Finance[Cost Centre],"PRODUCTION")&gt;0,"PRODUCTION ","")&amp;IF(COUNTIFS(tbl_Finance[Job Number],C42&amp;"",tbl_Finance[Cost Centre],"VIDEO")&gt;0,"VIDEO ","")&amp;IF(COUNTIFS(tbl_Finance[Job Number],C42&amp;"",tbl_Finance[Cost Centre],"INTEGRATION")&gt;0,"INTEGRATION ","")&amp;IF(COUNTIFS(tbl_Finance[Job Number],C42&amp;"",tbl_Finance[Cost Centre],"CONSULTING")&gt;0,"CONSULTING ","")&amp;IF(COUNTIFS(tbl_Finance[Job Number],C42&amp;"",tbl_Finance[Cost Centre],"CTS")&gt;0,"CTS ",""))," ",", ")))</f>
        <v/>
      </c>
      <c r="L42" s="24" t="n"/>
      <c r="M42" s="24" t="n"/>
      <c r="N42" s="25">
        <f>IF(M42="","",HYPERLINK(IF(LEFT(M42,4)="http",M42,set_QwilrBase&amp;M42),"Open quote"))</f>
        <v/>
      </c>
      <c r="O42" s="64" t="n"/>
      <c r="P42" s="24" t="n"/>
      <c r="Q42" s="24" t="n"/>
    </row>
    <row r="43" ht="15" customHeight="1">
      <c r="A43" s="63">
        <f>IF(C43="","",IFERROR(IF(SUMPRODUCT(MAX((tbl_Finance[Job Number]=C43&amp;"")*(tbl_Finance[Xero Invoice No]&lt;&gt;"")*tbl_Finance[Date]))=0,"",SUMPRODUCT(MAX((tbl_Finance[Job Number]=C43&amp;"")*(tbl_Finance[Xero Invoice No]&lt;&gt;"")*tbl_Finance[Date]))),""))</f>
        <v/>
      </c>
      <c r="B43" s="25">
        <f>IF(C43="","",IF(COUNTIFS(tbl_Finance[Job Number],C43&amp;"",tbl_Finance[Xero Invoice No],"&lt;&gt;")=0,"",IFERROR(IF(COUNTIFS(tbl_Finance[Job Number],C43&amp;"",tbl_Finance[Xero Invoice No],LOOKUP(2,1/((tbl_Finance[Job Number]=C43&amp;"")*(tbl_Finance[Xero Invoice No]&lt;&gt;"")),tbl_Finance[Xero Invoice No]))=COUNTIFS(tbl_Finance[Job Number],C43&amp;"",tbl_Finance[Xero Invoice No],"&lt;&gt;"),LOOKUP(2,1/((tbl_Finance[Job Number]=C43&amp;"")*(tbl_Finance[Xero Invoice No]&lt;&gt;"")),tbl_Finance[Xero Invoice No]),LOOKUP(2,1/((tbl_Finance[Job Number]=C43&amp;"")*(tbl_Finance[Xero Invoice No]&lt;&gt;"")),tbl_Finance[Xero Invoice No])&amp;" +more"),"")))</f>
        <v/>
      </c>
      <c r="C43" s="24" t="n"/>
      <c r="D43" s="25">
        <f>IF(C43="","",IF(COUNTIF(lst_Jobs,C43&amp;"")&gt;0,"OK","CHECK"))</f>
        <v/>
      </c>
      <c r="E43" s="25">
        <f>IF(C43="","",IFERROR(INDEX(lst_JobName,MATCH(C43&amp;"",lst_Jobs,0)),""))</f>
        <v/>
      </c>
      <c r="F43" s="25">
        <f>IF(C43="","",IFERROR(INDEX(tbl_Finance[Client],MATCH(C43&amp;"",tbl_Finance[Job Number],0)),""))</f>
        <v/>
      </c>
      <c r="G43" s="28">
        <f>IF(C43="","",COUNTIFS(tbl_Finance[Job Number],C43&amp;"",tbl_Finance[Ex GST],"&lt;&gt;"))</f>
        <v/>
      </c>
      <c r="H43" s="27">
        <f>IF(C43="","",SUMIFS(tbl_Finance[Ex GST],tbl_Finance[Job Number],C43&amp;""))</f>
        <v/>
      </c>
      <c r="I43" s="27">
        <f>IF(C43="","",SUMIFS(tbl_Finance[Ex GST],tbl_Finance[Job Number],C43&amp;"",tbl_Finance[Xero Invoice No],"&lt;&gt;"))</f>
        <v/>
      </c>
      <c r="J43" s="27">
        <f>IF(C43="","",H43-I43)</f>
        <v/>
      </c>
      <c r="K43" s="25">
        <f>IF(C43="","",IF(G43=0,"not invoiced yet",SUBSTITUTE(TRIM(IF(COUNTIFS(tbl_Finance[Job Number],C43&amp;"",tbl_Finance[Cost Centre],"ONSITE")&gt;0,"ONSITE ","")&amp;IF(COUNTIFS(tbl_Finance[Job Number],C43&amp;"",tbl_Finance[Cost Centre],"PRODUCTION")&gt;0,"PRODUCTION ","")&amp;IF(COUNTIFS(tbl_Finance[Job Number],C43&amp;"",tbl_Finance[Cost Centre],"VIDEO")&gt;0,"VIDEO ","")&amp;IF(COUNTIFS(tbl_Finance[Job Number],C43&amp;"",tbl_Finance[Cost Centre],"INTEGRATION")&gt;0,"INTEGRATION ","")&amp;IF(COUNTIFS(tbl_Finance[Job Number],C43&amp;"",tbl_Finance[Cost Centre],"CONSULTING")&gt;0,"CONSULTING ","")&amp;IF(COUNTIFS(tbl_Finance[Job Number],C43&amp;"",tbl_Finance[Cost Centre],"CTS")&gt;0,"CTS ",""))," ",", ")))</f>
        <v/>
      </c>
      <c r="L43" s="24" t="n"/>
      <c r="M43" s="24" t="n"/>
      <c r="N43" s="25">
        <f>IF(M43="","",HYPERLINK(IF(LEFT(M43,4)="http",M43,set_QwilrBase&amp;M43),"Open quote"))</f>
        <v/>
      </c>
      <c r="O43" s="64" t="n"/>
      <c r="P43" s="24" t="n"/>
      <c r="Q43" s="24" t="n"/>
    </row>
    <row r="44" ht="15" customHeight="1">
      <c r="A44" s="63">
        <f>IF(C44="","",IFERROR(IF(SUMPRODUCT(MAX((tbl_Finance[Job Number]=C44&amp;"")*(tbl_Finance[Xero Invoice No]&lt;&gt;"")*tbl_Finance[Date]))=0,"",SUMPRODUCT(MAX((tbl_Finance[Job Number]=C44&amp;"")*(tbl_Finance[Xero Invoice No]&lt;&gt;"")*tbl_Finance[Date]))),""))</f>
        <v/>
      </c>
      <c r="B44" s="25">
        <f>IF(C44="","",IF(COUNTIFS(tbl_Finance[Job Number],C44&amp;"",tbl_Finance[Xero Invoice No],"&lt;&gt;")=0,"",IFERROR(IF(COUNTIFS(tbl_Finance[Job Number],C44&amp;"",tbl_Finance[Xero Invoice No],LOOKUP(2,1/((tbl_Finance[Job Number]=C44&amp;"")*(tbl_Finance[Xero Invoice No]&lt;&gt;"")),tbl_Finance[Xero Invoice No]))=COUNTIFS(tbl_Finance[Job Number],C44&amp;"",tbl_Finance[Xero Invoice No],"&lt;&gt;"),LOOKUP(2,1/((tbl_Finance[Job Number]=C44&amp;"")*(tbl_Finance[Xero Invoice No]&lt;&gt;"")),tbl_Finance[Xero Invoice No]),LOOKUP(2,1/((tbl_Finance[Job Number]=C44&amp;"")*(tbl_Finance[Xero Invoice No]&lt;&gt;"")),tbl_Finance[Xero Invoice No])&amp;" +more"),"")))</f>
        <v/>
      </c>
      <c r="C44" s="24" t="n"/>
      <c r="D44" s="25">
        <f>IF(C44="","",IF(COUNTIF(lst_Jobs,C44&amp;"")&gt;0,"OK","CHECK"))</f>
        <v/>
      </c>
      <c r="E44" s="25">
        <f>IF(C44="","",IFERROR(INDEX(lst_JobName,MATCH(C44&amp;"",lst_Jobs,0)),""))</f>
        <v/>
      </c>
      <c r="F44" s="25">
        <f>IF(C44="","",IFERROR(INDEX(tbl_Finance[Client],MATCH(C44&amp;"",tbl_Finance[Job Number],0)),""))</f>
        <v/>
      </c>
      <c r="G44" s="28">
        <f>IF(C44="","",COUNTIFS(tbl_Finance[Job Number],C44&amp;"",tbl_Finance[Ex GST],"&lt;&gt;"))</f>
        <v/>
      </c>
      <c r="H44" s="27">
        <f>IF(C44="","",SUMIFS(tbl_Finance[Ex GST],tbl_Finance[Job Number],C44&amp;""))</f>
        <v/>
      </c>
      <c r="I44" s="27">
        <f>IF(C44="","",SUMIFS(tbl_Finance[Ex GST],tbl_Finance[Job Number],C44&amp;"",tbl_Finance[Xero Invoice No],"&lt;&gt;"))</f>
        <v/>
      </c>
      <c r="J44" s="27">
        <f>IF(C44="","",H44-I44)</f>
        <v/>
      </c>
      <c r="K44" s="25">
        <f>IF(C44="","",IF(G44=0,"not invoiced yet",SUBSTITUTE(TRIM(IF(COUNTIFS(tbl_Finance[Job Number],C44&amp;"",tbl_Finance[Cost Centre],"ONSITE")&gt;0,"ONSITE ","")&amp;IF(COUNTIFS(tbl_Finance[Job Number],C44&amp;"",tbl_Finance[Cost Centre],"PRODUCTION")&gt;0,"PRODUCTION ","")&amp;IF(COUNTIFS(tbl_Finance[Job Number],C44&amp;"",tbl_Finance[Cost Centre],"VIDEO")&gt;0,"VIDEO ","")&amp;IF(COUNTIFS(tbl_Finance[Job Number],C44&amp;"",tbl_Finance[Cost Centre],"INTEGRATION")&gt;0,"INTEGRATION ","")&amp;IF(COUNTIFS(tbl_Finance[Job Number],C44&amp;"",tbl_Finance[Cost Centre],"CONSULTING")&gt;0,"CONSULTING ","")&amp;IF(COUNTIFS(tbl_Finance[Job Number],C44&amp;"",tbl_Finance[Cost Centre],"CTS")&gt;0,"CTS ",""))," ",", ")))</f>
        <v/>
      </c>
      <c r="L44" s="24" t="n"/>
      <c r="M44" s="24" t="n"/>
      <c r="N44" s="25">
        <f>IF(M44="","",HYPERLINK(IF(LEFT(M44,4)="http",M44,set_QwilrBase&amp;M44),"Open quote"))</f>
        <v/>
      </c>
      <c r="O44" s="64" t="n"/>
      <c r="P44" s="24" t="n"/>
      <c r="Q44" s="24" t="n"/>
    </row>
    <row r="45" ht="15" customHeight="1">
      <c r="A45" s="63">
        <f>IF(C45="","",IFERROR(IF(SUMPRODUCT(MAX((tbl_Finance[Job Number]=C45&amp;"")*(tbl_Finance[Xero Invoice No]&lt;&gt;"")*tbl_Finance[Date]))=0,"",SUMPRODUCT(MAX((tbl_Finance[Job Number]=C45&amp;"")*(tbl_Finance[Xero Invoice No]&lt;&gt;"")*tbl_Finance[Date]))),""))</f>
        <v/>
      </c>
      <c r="B45" s="25">
        <f>IF(C45="","",IF(COUNTIFS(tbl_Finance[Job Number],C45&amp;"",tbl_Finance[Xero Invoice No],"&lt;&gt;")=0,"",IFERROR(IF(COUNTIFS(tbl_Finance[Job Number],C45&amp;"",tbl_Finance[Xero Invoice No],LOOKUP(2,1/((tbl_Finance[Job Number]=C45&amp;"")*(tbl_Finance[Xero Invoice No]&lt;&gt;"")),tbl_Finance[Xero Invoice No]))=COUNTIFS(tbl_Finance[Job Number],C45&amp;"",tbl_Finance[Xero Invoice No],"&lt;&gt;"),LOOKUP(2,1/((tbl_Finance[Job Number]=C45&amp;"")*(tbl_Finance[Xero Invoice No]&lt;&gt;"")),tbl_Finance[Xero Invoice No]),LOOKUP(2,1/((tbl_Finance[Job Number]=C45&amp;"")*(tbl_Finance[Xero Invoice No]&lt;&gt;"")),tbl_Finance[Xero Invoice No])&amp;" +more"),"")))</f>
        <v/>
      </c>
      <c r="C45" s="24" t="n"/>
      <c r="D45" s="25">
        <f>IF(C45="","",IF(COUNTIF(lst_Jobs,C45&amp;"")&gt;0,"OK","CHECK"))</f>
        <v/>
      </c>
      <c r="E45" s="25">
        <f>IF(C45="","",IFERROR(INDEX(lst_JobName,MATCH(C45&amp;"",lst_Jobs,0)),""))</f>
        <v/>
      </c>
      <c r="F45" s="25">
        <f>IF(C45="","",IFERROR(INDEX(tbl_Finance[Client],MATCH(C45&amp;"",tbl_Finance[Job Number],0)),""))</f>
        <v/>
      </c>
      <c r="G45" s="28">
        <f>IF(C45="","",COUNTIFS(tbl_Finance[Job Number],C45&amp;"",tbl_Finance[Ex GST],"&lt;&gt;"))</f>
        <v/>
      </c>
      <c r="H45" s="27">
        <f>IF(C45="","",SUMIFS(tbl_Finance[Ex GST],tbl_Finance[Job Number],C45&amp;""))</f>
        <v/>
      </c>
      <c r="I45" s="27">
        <f>IF(C45="","",SUMIFS(tbl_Finance[Ex GST],tbl_Finance[Job Number],C45&amp;"",tbl_Finance[Xero Invoice No],"&lt;&gt;"))</f>
        <v/>
      </c>
      <c r="J45" s="27">
        <f>IF(C45="","",H45-I45)</f>
        <v/>
      </c>
      <c r="K45" s="25">
        <f>IF(C45="","",IF(G45=0,"not invoiced yet",SUBSTITUTE(TRIM(IF(COUNTIFS(tbl_Finance[Job Number],C45&amp;"",tbl_Finance[Cost Centre],"ONSITE")&gt;0,"ONSITE ","")&amp;IF(COUNTIFS(tbl_Finance[Job Number],C45&amp;"",tbl_Finance[Cost Centre],"PRODUCTION")&gt;0,"PRODUCTION ","")&amp;IF(COUNTIFS(tbl_Finance[Job Number],C45&amp;"",tbl_Finance[Cost Centre],"VIDEO")&gt;0,"VIDEO ","")&amp;IF(COUNTIFS(tbl_Finance[Job Number],C45&amp;"",tbl_Finance[Cost Centre],"INTEGRATION")&gt;0,"INTEGRATION ","")&amp;IF(COUNTIFS(tbl_Finance[Job Number],C45&amp;"",tbl_Finance[Cost Centre],"CONSULTING")&gt;0,"CONSULTING ","")&amp;IF(COUNTIFS(tbl_Finance[Job Number],C45&amp;"",tbl_Finance[Cost Centre],"CTS")&gt;0,"CTS ",""))," ",", ")))</f>
        <v/>
      </c>
      <c r="L45" s="24" t="n"/>
      <c r="M45" s="24" t="n"/>
      <c r="N45" s="25">
        <f>IF(M45="","",HYPERLINK(IF(LEFT(M45,4)="http",M45,set_QwilrBase&amp;M45),"Open quote"))</f>
        <v/>
      </c>
      <c r="O45" s="64" t="n"/>
      <c r="P45" s="24" t="n"/>
      <c r="Q45" s="24" t="n"/>
    </row>
    <row r="46" ht="15" customHeight="1">
      <c r="A46" s="63">
        <f>IF(C46="","",IFERROR(IF(SUMPRODUCT(MAX((tbl_Finance[Job Number]=C46&amp;"")*(tbl_Finance[Xero Invoice No]&lt;&gt;"")*tbl_Finance[Date]))=0,"",SUMPRODUCT(MAX((tbl_Finance[Job Number]=C46&amp;"")*(tbl_Finance[Xero Invoice No]&lt;&gt;"")*tbl_Finance[Date]))),""))</f>
        <v/>
      </c>
      <c r="B46" s="25">
        <f>IF(C46="","",IF(COUNTIFS(tbl_Finance[Job Number],C46&amp;"",tbl_Finance[Xero Invoice No],"&lt;&gt;")=0,"",IFERROR(IF(COUNTIFS(tbl_Finance[Job Number],C46&amp;"",tbl_Finance[Xero Invoice No],LOOKUP(2,1/((tbl_Finance[Job Number]=C46&amp;"")*(tbl_Finance[Xero Invoice No]&lt;&gt;"")),tbl_Finance[Xero Invoice No]))=COUNTIFS(tbl_Finance[Job Number],C46&amp;"",tbl_Finance[Xero Invoice No],"&lt;&gt;"),LOOKUP(2,1/((tbl_Finance[Job Number]=C46&amp;"")*(tbl_Finance[Xero Invoice No]&lt;&gt;"")),tbl_Finance[Xero Invoice No]),LOOKUP(2,1/((tbl_Finance[Job Number]=C46&amp;"")*(tbl_Finance[Xero Invoice No]&lt;&gt;"")),tbl_Finance[Xero Invoice No])&amp;" +more"),"")))</f>
        <v/>
      </c>
      <c r="C46" s="24" t="n"/>
      <c r="D46" s="25">
        <f>IF(C46="","",IF(COUNTIF(lst_Jobs,C46&amp;"")&gt;0,"OK","CHECK"))</f>
        <v/>
      </c>
      <c r="E46" s="25">
        <f>IF(C46="","",IFERROR(INDEX(lst_JobName,MATCH(C46&amp;"",lst_Jobs,0)),""))</f>
        <v/>
      </c>
      <c r="F46" s="25">
        <f>IF(C46="","",IFERROR(INDEX(tbl_Finance[Client],MATCH(C46&amp;"",tbl_Finance[Job Number],0)),""))</f>
        <v/>
      </c>
      <c r="G46" s="28">
        <f>IF(C46="","",COUNTIFS(tbl_Finance[Job Number],C46&amp;"",tbl_Finance[Ex GST],"&lt;&gt;"))</f>
        <v/>
      </c>
      <c r="H46" s="27">
        <f>IF(C46="","",SUMIFS(tbl_Finance[Ex GST],tbl_Finance[Job Number],C46&amp;""))</f>
        <v/>
      </c>
      <c r="I46" s="27">
        <f>IF(C46="","",SUMIFS(tbl_Finance[Ex GST],tbl_Finance[Job Number],C46&amp;"",tbl_Finance[Xero Invoice No],"&lt;&gt;"))</f>
        <v/>
      </c>
      <c r="J46" s="27">
        <f>IF(C46="","",H46-I46)</f>
        <v/>
      </c>
      <c r="K46" s="25">
        <f>IF(C46="","",IF(G46=0,"not invoiced yet",SUBSTITUTE(TRIM(IF(COUNTIFS(tbl_Finance[Job Number],C46&amp;"",tbl_Finance[Cost Centre],"ONSITE")&gt;0,"ONSITE ","")&amp;IF(COUNTIFS(tbl_Finance[Job Number],C46&amp;"",tbl_Finance[Cost Centre],"PRODUCTION")&gt;0,"PRODUCTION ","")&amp;IF(COUNTIFS(tbl_Finance[Job Number],C46&amp;"",tbl_Finance[Cost Centre],"VIDEO")&gt;0,"VIDEO ","")&amp;IF(COUNTIFS(tbl_Finance[Job Number],C46&amp;"",tbl_Finance[Cost Centre],"INTEGRATION")&gt;0,"INTEGRATION ","")&amp;IF(COUNTIFS(tbl_Finance[Job Number],C46&amp;"",tbl_Finance[Cost Centre],"CONSULTING")&gt;0,"CONSULTING ","")&amp;IF(COUNTIFS(tbl_Finance[Job Number],C46&amp;"",tbl_Finance[Cost Centre],"CTS")&gt;0,"CTS ",""))," ",", ")))</f>
        <v/>
      </c>
      <c r="L46" s="24" t="n"/>
      <c r="M46" s="24" t="n"/>
      <c r="N46" s="25">
        <f>IF(M46="","",HYPERLINK(IF(LEFT(M46,4)="http",M46,set_QwilrBase&amp;M46),"Open quote"))</f>
        <v/>
      </c>
      <c r="O46" s="64" t="n"/>
      <c r="P46" s="24" t="n"/>
      <c r="Q46" s="24" t="n"/>
    </row>
    <row r="47" ht="15" customHeight="1">
      <c r="A47" s="63">
        <f>IF(C47="","",IFERROR(IF(SUMPRODUCT(MAX((tbl_Finance[Job Number]=C47&amp;"")*(tbl_Finance[Xero Invoice No]&lt;&gt;"")*tbl_Finance[Date]))=0,"",SUMPRODUCT(MAX((tbl_Finance[Job Number]=C47&amp;"")*(tbl_Finance[Xero Invoice No]&lt;&gt;"")*tbl_Finance[Date]))),""))</f>
        <v/>
      </c>
      <c r="B47" s="25">
        <f>IF(C47="","",IF(COUNTIFS(tbl_Finance[Job Number],C47&amp;"",tbl_Finance[Xero Invoice No],"&lt;&gt;")=0,"",IFERROR(IF(COUNTIFS(tbl_Finance[Job Number],C47&amp;"",tbl_Finance[Xero Invoice No],LOOKUP(2,1/((tbl_Finance[Job Number]=C47&amp;"")*(tbl_Finance[Xero Invoice No]&lt;&gt;"")),tbl_Finance[Xero Invoice No]))=COUNTIFS(tbl_Finance[Job Number],C47&amp;"",tbl_Finance[Xero Invoice No],"&lt;&gt;"),LOOKUP(2,1/((tbl_Finance[Job Number]=C47&amp;"")*(tbl_Finance[Xero Invoice No]&lt;&gt;"")),tbl_Finance[Xero Invoice No]),LOOKUP(2,1/((tbl_Finance[Job Number]=C47&amp;"")*(tbl_Finance[Xero Invoice No]&lt;&gt;"")),tbl_Finance[Xero Invoice No])&amp;" +more"),"")))</f>
        <v/>
      </c>
      <c r="C47" s="24" t="n"/>
      <c r="D47" s="25">
        <f>IF(C47="","",IF(COUNTIF(lst_Jobs,C47&amp;"")&gt;0,"OK","CHECK"))</f>
        <v/>
      </c>
      <c r="E47" s="25">
        <f>IF(C47="","",IFERROR(INDEX(lst_JobName,MATCH(C47&amp;"",lst_Jobs,0)),""))</f>
        <v/>
      </c>
      <c r="F47" s="25">
        <f>IF(C47="","",IFERROR(INDEX(tbl_Finance[Client],MATCH(C47&amp;"",tbl_Finance[Job Number],0)),""))</f>
        <v/>
      </c>
      <c r="G47" s="28">
        <f>IF(C47="","",COUNTIFS(tbl_Finance[Job Number],C47&amp;"",tbl_Finance[Ex GST],"&lt;&gt;"))</f>
        <v/>
      </c>
      <c r="H47" s="27">
        <f>IF(C47="","",SUMIFS(tbl_Finance[Ex GST],tbl_Finance[Job Number],C47&amp;""))</f>
        <v/>
      </c>
      <c r="I47" s="27">
        <f>IF(C47="","",SUMIFS(tbl_Finance[Ex GST],tbl_Finance[Job Number],C47&amp;"",tbl_Finance[Xero Invoice No],"&lt;&gt;"))</f>
        <v/>
      </c>
      <c r="J47" s="27">
        <f>IF(C47="","",H47-I47)</f>
        <v/>
      </c>
      <c r="K47" s="25">
        <f>IF(C47="","",IF(G47=0,"not invoiced yet",SUBSTITUTE(TRIM(IF(COUNTIFS(tbl_Finance[Job Number],C47&amp;"",tbl_Finance[Cost Centre],"ONSITE")&gt;0,"ONSITE ","")&amp;IF(COUNTIFS(tbl_Finance[Job Number],C47&amp;"",tbl_Finance[Cost Centre],"PRODUCTION")&gt;0,"PRODUCTION ","")&amp;IF(COUNTIFS(tbl_Finance[Job Number],C47&amp;"",tbl_Finance[Cost Centre],"VIDEO")&gt;0,"VIDEO ","")&amp;IF(COUNTIFS(tbl_Finance[Job Number],C47&amp;"",tbl_Finance[Cost Centre],"INTEGRATION")&gt;0,"INTEGRATION ","")&amp;IF(COUNTIFS(tbl_Finance[Job Number],C47&amp;"",tbl_Finance[Cost Centre],"CONSULTING")&gt;0,"CONSULTING ","")&amp;IF(COUNTIFS(tbl_Finance[Job Number],C47&amp;"",tbl_Finance[Cost Centre],"CTS")&gt;0,"CTS ",""))," ",", ")))</f>
        <v/>
      </c>
      <c r="L47" s="24" t="n"/>
      <c r="M47" s="24" t="n"/>
      <c r="N47" s="25">
        <f>IF(M47="","",HYPERLINK(IF(LEFT(M47,4)="http",M47,set_QwilrBase&amp;M47),"Open quote"))</f>
        <v/>
      </c>
      <c r="O47" s="64" t="n"/>
      <c r="P47" s="24" t="n"/>
      <c r="Q47" s="24" t="n"/>
    </row>
    <row r="48" ht="15" customHeight="1">
      <c r="A48" s="63">
        <f>IF(C48="","",IFERROR(IF(SUMPRODUCT(MAX((tbl_Finance[Job Number]=C48&amp;"")*(tbl_Finance[Xero Invoice No]&lt;&gt;"")*tbl_Finance[Date]))=0,"",SUMPRODUCT(MAX((tbl_Finance[Job Number]=C48&amp;"")*(tbl_Finance[Xero Invoice No]&lt;&gt;"")*tbl_Finance[Date]))),""))</f>
        <v/>
      </c>
      <c r="B48" s="25">
        <f>IF(C48="","",IF(COUNTIFS(tbl_Finance[Job Number],C48&amp;"",tbl_Finance[Xero Invoice No],"&lt;&gt;")=0,"",IFERROR(IF(COUNTIFS(tbl_Finance[Job Number],C48&amp;"",tbl_Finance[Xero Invoice No],LOOKUP(2,1/((tbl_Finance[Job Number]=C48&amp;"")*(tbl_Finance[Xero Invoice No]&lt;&gt;"")),tbl_Finance[Xero Invoice No]))=COUNTIFS(tbl_Finance[Job Number],C48&amp;"",tbl_Finance[Xero Invoice No],"&lt;&gt;"),LOOKUP(2,1/((tbl_Finance[Job Number]=C48&amp;"")*(tbl_Finance[Xero Invoice No]&lt;&gt;"")),tbl_Finance[Xero Invoice No]),LOOKUP(2,1/((tbl_Finance[Job Number]=C48&amp;"")*(tbl_Finance[Xero Invoice No]&lt;&gt;"")),tbl_Finance[Xero Invoice No])&amp;" +more"),"")))</f>
        <v/>
      </c>
      <c r="C48" s="24" t="n"/>
      <c r="D48" s="25">
        <f>IF(C48="","",IF(COUNTIF(lst_Jobs,C48&amp;"")&gt;0,"OK","CHECK"))</f>
        <v/>
      </c>
      <c r="E48" s="25">
        <f>IF(C48="","",IFERROR(INDEX(lst_JobName,MATCH(C48&amp;"",lst_Jobs,0)),""))</f>
        <v/>
      </c>
      <c r="F48" s="25">
        <f>IF(C48="","",IFERROR(INDEX(tbl_Finance[Client],MATCH(C48&amp;"",tbl_Finance[Job Number],0)),""))</f>
        <v/>
      </c>
      <c r="G48" s="28">
        <f>IF(C48="","",COUNTIFS(tbl_Finance[Job Number],C48&amp;"",tbl_Finance[Ex GST],"&lt;&gt;"))</f>
        <v/>
      </c>
      <c r="H48" s="27">
        <f>IF(C48="","",SUMIFS(tbl_Finance[Ex GST],tbl_Finance[Job Number],C48&amp;""))</f>
        <v/>
      </c>
      <c r="I48" s="27">
        <f>IF(C48="","",SUMIFS(tbl_Finance[Ex GST],tbl_Finance[Job Number],C48&amp;"",tbl_Finance[Xero Invoice No],"&lt;&gt;"))</f>
        <v/>
      </c>
      <c r="J48" s="27">
        <f>IF(C48="","",H48-I48)</f>
        <v/>
      </c>
      <c r="K48" s="25">
        <f>IF(C48="","",IF(G48=0,"not invoiced yet",SUBSTITUTE(TRIM(IF(COUNTIFS(tbl_Finance[Job Number],C48&amp;"",tbl_Finance[Cost Centre],"ONSITE")&gt;0,"ONSITE ","")&amp;IF(COUNTIFS(tbl_Finance[Job Number],C48&amp;"",tbl_Finance[Cost Centre],"PRODUCTION")&gt;0,"PRODUCTION ","")&amp;IF(COUNTIFS(tbl_Finance[Job Number],C48&amp;"",tbl_Finance[Cost Centre],"VIDEO")&gt;0,"VIDEO ","")&amp;IF(COUNTIFS(tbl_Finance[Job Number],C48&amp;"",tbl_Finance[Cost Centre],"INTEGRATION")&gt;0,"INTEGRATION ","")&amp;IF(COUNTIFS(tbl_Finance[Job Number],C48&amp;"",tbl_Finance[Cost Centre],"CONSULTING")&gt;0,"CONSULTING ","")&amp;IF(COUNTIFS(tbl_Finance[Job Number],C48&amp;"",tbl_Finance[Cost Centre],"CTS")&gt;0,"CTS ",""))," ",", ")))</f>
        <v/>
      </c>
      <c r="L48" s="24" t="n"/>
      <c r="M48" s="24" t="n"/>
      <c r="N48" s="25">
        <f>IF(M48="","",HYPERLINK(IF(LEFT(M48,4)="http",M48,set_QwilrBase&amp;M48),"Open quote"))</f>
        <v/>
      </c>
      <c r="O48" s="64" t="n"/>
      <c r="P48" s="24" t="n"/>
      <c r="Q48" s="24" t="n"/>
    </row>
    <row r="49" ht="15" customHeight="1">
      <c r="A49" s="63">
        <f>IF(C49="","",IFERROR(IF(SUMPRODUCT(MAX((tbl_Finance[Job Number]=C49&amp;"")*(tbl_Finance[Xero Invoice No]&lt;&gt;"")*tbl_Finance[Date]))=0,"",SUMPRODUCT(MAX((tbl_Finance[Job Number]=C49&amp;"")*(tbl_Finance[Xero Invoice No]&lt;&gt;"")*tbl_Finance[Date]))),""))</f>
        <v/>
      </c>
      <c r="B49" s="25">
        <f>IF(C49="","",IF(COUNTIFS(tbl_Finance[Job Number],C49&amp;"",tbl_Finance[Xero Invoice No],"&lt;&gt;")=0,"",IFERROR(IF(COUNTIFS(tbl_Finance[Job Number],C49&amp;"",tbl_Finance[Xero Invoice No],LOOKUP(2,1/((tbl_Finance[Job Number]=C49&amp;"")*(tbl_Finance[Xero Invoice No]&lt;&gt;"")),tbl_Finance[Xero Invoice No]))=COUNTIFS(tbl_Finance[Job Number],C49&amp;"",tbl_Finance[Xero Invoice No],"&lt;&gt;"),LOOKUP(2,1/((tbl_Finance[Job Number]=C49&amp;"")*(tbl_Finance[Xero Invoice No]&lt;&gt;"")),tbl_Finance[Xero Invoice No]),LOOKUP(2,1/((tbl_Finance[Job Number]=C49&amp;"")*(tbl_Finance[Xero Invoice No]&lt;&gt;"")),tbl_Finance[Xero Invoice No])&amp;" +more"),"")))</f>
        <v/>
      </c>
      <c r="C49" s="24" t="n"/>
      <c r="D49" s="25">
        <f>IF(C49="","",IF(COUNTIF(lst_Jobs,C49&amp;"")&gt;0,"OK","CHECK"))</f>
        <v/>
      </c>
      <c r="E49" s="25">
        <f>IF(C49="","",IFERROR(INDEX(lst_JobName,MATCH(C49&amp;"",lst_Jobs,0)),""))</f>
        <v/>
      </c>
      <c r="F49" s="25">
        <f>IF(C49="","",IFERROR(INDEX(tbl_Finance[Client],MATCH(C49&amp;"",tbl_Finance[Job Number],0)),""))</f>
        <v/>
      </c>
      <c r="G49" s="28">
        <f>IF(C49="","",COUNTIFS(tbl_Finance[Job Number],C49&amp;"",tbl_Finance[Ex GST],"&lt;&gt;"))</f>
        <v/>
      </c>
      <c r="H49" s="27">
        <f>IF(C49="","",SUMIFS(tbl_Finance[Ex GST],tbl_Finance[Job Number],C49&amp;""))</f>
        <v/>
      </c>
      <c r="I49" s="27">
        <f>IF(C49="","",SUMIFS(tbl_Finance[Ex GST],tbl_Finance[Job Number],C49&amp;"",tbl_Finance[Xero Invoice No],"&lt;&gt;"))</f>
        <v/>
      </c>
      <c r="J49" s="27">
        <f>IF(C49="","",H49-I49)</f>
        <v/>
      </c>
      <c r="K49" s="25">
        <f>IF(C49="","",IF(G49=0,"not invoiced yet",SUBSTITUTE(TRIM(IF(COUNTIFS(tbl_Finance[Job Number],C49&amp;"",tbl_Finance[Cost Centre],"ONSITE")&gt;0,"ONSITE ","")&amp;IF(COUNTIFS(tbl_Finance[Job Number],C49&amp;"",tbl_Finance[Cost Centre],"PRODUCTION")&gt;0,"PRODUCTION ","")&amp;IF(COUNTIFS(tbl_Finance[Job Number],C49&amp;"",tbl_Finance[Cost Centre],"VIDEO")&gt;0,"VIDEO ","")&amp;IF(COUNTIFS(tbl_Finance[Job Number],C49&amp;"",tbl_Finance[Cost Centre],"INTEGRATION")&gt;0,"INTEGRATION ","")&amp;IF(COUNTIFS(tbl_Finance[Job Number],C49&amp;"",tbl_Finance[Cost Centre],"CONSULTING")&gt;0,"CONSULTING ","")&amp;IF(COUNTIFS(tbl_Finance[Job Number],C49&amp;"",tbl_Finance[Cost Centre],"CTS")&gt;0,"CTS ",""))," ",", ")))</f>
        <v/>
      </c>
      <c r="L49" s="24" t="n"/>
      <c r="M49" s="24" t="n"/>
      <c r="N49" s="25">
        <f>IF(M49="","",HYPERLINK(IF(LEFT(M49,4)="http",M49,set_QwilrBase&amp;M49),"Open quote"))</f>
        <v/>
      </c>
      <c r="O49" s="64" t="n"/>
      <c r="P49" s="24" t="n"/>
      <c r="Q49" s="24" t="n"/>
    </row>
    <row r="50" ht="15" customHeight="1">
      <c r="A50" s="63">
        <f>IF(C50="","",IFERROR(IF(SUMPRODUCT(MAX((tbl_Finance[Job Number]=C50&amp;"")*(tbl_Finance[Xero Invoice No]&lt;&gt;"")*tbl_Finance[Date]))=0,"",SUMPRODUCT(MAX((tbl_Finance[Job Number]=C50&amp;"")*(tbl_Finance[Xero Invoice No]&lt;&gt;"")*tbl_Finance[Date]))),""))</f>
        <v/>
      </c>
      <c r="B50" s="25">
        <f>IF(C50="","",IF(COUNTIFS(tbl_Finance[Job Number],C50&amp;"",tbl_Finance[Xero Invoice No],"&lt;&gt;")=0,"",IFERROR(IF(COUNTIFS(tbl_Finance[Job Number],C50&amp;"",tbl_Finance[Xero Invoice No],LOOKUP(2,1/((tbl_Finance[Job Number]=C50&amp;"")*(tbl_Finance[Xero Invoice No]&lt;&gt;"")),tbl_Finance[Xero Invoice No]))=COUNTIFS(tbl_Finance[Job Number],C50&amp;"",tbl_Finance[Xero Invoice No],"&lt;&gt;"),LOOKUP(2,1/((tbl_Finance[Job Number]=C50&amp;"")*(tbl_Finance[Xero Invoice No]&lt;&gt;"")),tbl_Finance[Xero Invoice No]),LOOKUP(2,1/((tbl_Finance[Job Number]=C50&amp;"")*(tbl_Finance[Xero Invoice No]&lt;&gt;"")),tbl_Finance[Xero Invoice No])&amp;" +more"),"")))</f>
        <v/>
      </c>
      <c r="C50" s="24" t="n"/>
      <c r="D50" s="25">
        <f>IF(C50="","",IF(COUNTIF(lst_Jobs,C50&amp;"")&gt;0,"OK","CHECK"))</f>
        <v/>
      </c>
      <c r="E50" s="25">
        <f>IF(C50="","",IFERROR(INDEX(lst_JobName,MATCH(C50&amp;"",lst_Jobs,0)),""))</f>
        <v/>
      </c>
      <c r="F50" s="25">
        <f>IF(C50="","",IFERROR(INDEX(tbl_Finance[Client],MATCH(C50&amp;"",tbl_Finance[Job Number],0)),""))</f>
        <v/>
      </c>
      <c r="G50" s="28">
        <f>IF(C50="","",COUNTIFS(tbl_Finance[Job Number],C50&amp;"",tbl_Finance[Ex GST],"&lt;&gt;"))</f>
        <v/>
      </c>
      <c r="H50" s="27">
        <f>IF(C50="","",SUMIFS(tbl_Finance[Ex GST],tbl_Finance[Job Number],C50&amp;""))</f>
        <v/>
      </c>
      <c r="I50" s="27">
        <f>IF(C50="","",SUMIFS(tbl_Finance[Ex GST],tbl_Finance[Job Number],C50&amp;"",tbl_Finance[Xero Invoice No],"&lt;&gt;"))</f>
        <v/>
      </c>
      <c r="J50" s="27">
        <f>IF(C50="","",H50-I50)</f>
        <v/>
      </c>
      <c r="K50" s="25">
        <f>IF(C50="","",IF(G50=0,"not invoiced yet",SUBSTITUTE(TRIM(IF(COUNTIFS(tbl_Finance[Job Number],C50&amp;"",tbl_Finance[Cost Centre],"ONSITE")&gt;0,"ONSITE ","")&amp;IF(COUNTIFS(tbl_Finance[Job Number],C50&amp;"",tbl_Finance[Cost Centre],"PRODUCTION")&gt;0,"PRODUCTION ","")&amp;IF(COUNTIFS(tbl_Finance[Job Number],C50&amp;"",tbl_Finance[Cost Centre],"VIDEO")&gt;0,"VIDEO ","")&amp;IF(COUNTIFS(tbl_Finance[Job Number],C50&amp;"",tbl_Finance[Cost Centre],"INTEGRATION")&gt;0,"INTEGRATION ","")&amp;IF(COUNTIFS(tbl_Finance[Job Number],C50&amp;"",tbl_Finance[Cost Centre],"CONSULTING")&gt;0,"CONSULTING ","")&amp;IF(COUNTIFS(tbl_Finance[Job Number],C50&amp;"",tbl_Finance[Cost Centre],"CTS")&gt;0,"CTS ",""))," ",", ")))</f>
        <v/>
      </c>
      <c r="L50" s="24" t="n"/>
      <c r="M50" s="24" t="n"/>
      <c r="N50" s="25">
        <f>IF(M50="","",HYPERLINK(IF(LEFT(M50,4)="http",M50,set_QwilrBase&amp;M50),"Open quote"))</f>
        <v/>
      </c>
      <c r="O50" s="64" t="n"/>
      <c r="P50" s="24" t="n"/>
      <c r="Q50" s="24" t="n"/>
    </row>
    <row r="51" ht="15" customHeight="1">
      <c r="A51" s="63">
        <f>IF(C51="","",IFERROR(IF(SUMPRODUCT(MAX((tbl_Finance[Job Number]=C51&amp;"")*(tbl_Finance[Xero Invoice No]&lt;&gt;"")*tbl_Finance[Date]))=0,"",SUMPRODUCT(MAX((tbl_Finance[Job Number]=C51&amp;"")*(tbl_Finance[Xero Invoice No]&lt;&gt;"")*tbl_Finance[Date]))),""))</f>
        <v/>
      </c>
      <c r="B51" s="25">
        <f>IF(C51="","",IF(COUNTIFS(tbl_Finance[Job Number],C51&amp;"",tbl_Finance[Xero Invoice No],"&lt;&gt;")=0,"",IFERROR(IF(COUNTIFS(tbl_Finance[Job Number],C51&amp;"",tbl_Finance[Xero Invoice No],LOOKUP(2,1/((tbl_Finance[Job Number]=C51&amp;"")*(tbl_Finance[Xero Invoice No]&lt;&gt;"")),tbl_Finance[Xero Invoice No]))=COUNTIFS(tbl_Finance[Job Number],C51&amp;"",tbl_Finance[Xero Invoice No],"&lt;&gt;"),LOOKUP(2,1/((tbl_Finance[Job Number]=C51&amp;"")*(tbl_Finance[Xero Invoice No]&lt;&gt;"")),tbl_Finance[Xero Invoice No]),LOOKUP(2,1/((tbl_Finance[Job Number]=C51&amp;"")*(tbl_Finance[Xero Invoice No]&lt;&gt;"")),tbl_Finance[Xero Invoice No])&amp;" +more"),"")))</f>
        <v/>
      </c>
      <c r="C51" s="24" t="n"/>
      <c r="D51" s="25">
        <f>IF(C51="","",IF(COUNTIF(lst_Jobs,C51&amp;"")&gt;0,"OK","CHECK"))</f>
        <v/>
      </c>
      <c r="E51" s="25">
        <f>IF(C51="","",IFERROR(INDEX(lst_JobName,MATCH(C51&amp;"",lst_Jobs,0)),""))</f>
        <v/>
      </c>
      <c r="F51" s="25">
        <f>IF(C51="","",IFERROR(INDEX(tbl_Finance[Client],MATCH(C51&amp;"",tbl_Finance[Job Number],0)),""))</f>
        <v/>
      </c>
      <c r="G51" s="28">
        <f>IF(C51="","",COUNTIFS(tbl_Finance[Job Number],C51&amp;"",tbl_Finance[Ex GST],"&lt;&gt;"))</f>
        <v/>
      </c>
      <c r="H51" s="27">
        <f>IF(C51="","",SUMIFS(tbl_Finance[Ex GST],tbl_Finance[Job Number],C51&amp;""))</f>
        <v/>
      </c>
      <c r="I51" s="27">
        <f>IF(C51="","",SUMIFS(tbl_Finance[Ex GST],tbl_Finance[Job Number],C51&amp;"",tbl_Finance[Xero Invoice No],"&lt;&gt;"))</f>
        <v/>
      </c>
      <c r="J51" s="27">
        <f>IF(C51="","",H51-I51)</f>
        <v/>
      </c>
      <c r="K51" s="25">
        <f>IF(C51="","",IF(G51=0,"not invoiced yet",SUBSTITUTE(TRIM(IF(COUNTIFS(tbl_Finance[Job Number],C51&amp;"",tbl_Finance[Cost Centre],"ONSITE")&gt;0,"ONSITE ","")&amp;IF(COUNTIFS(tbl_Finance[Job Number],C51&amp;"",tbl_Finance[Cost Centre],"PRODUCTION")&gt;0,"PRODUCTION ","")&amp;IF(COUNTIFS(tbl_Finance[Job Number],C51&amp;"",tbl_Finance[Cost Centre],"VIDEO")&gt;0,"VIDEO ","")&amp;IF(COUNTIFS(tbl_Finance[Job Number],C51&amp;"",tbl_Finance[Cost Centre],"INTEGRATION")&gt;0,"INTEGRATION ","")&amp;IF(COUNTIFS(tbl_Finance[Job Number],C51&amp;"",tbl_Finance[Cost Centre],"CONSULTING")&gt;0,"CONSULTING ","")&amp;IF(COUNTIFS(tbl_Finance[Job Number],C51&amp;"",tbl_Finance[Cost Centre],"CTS")&gt;0,"CTS ",""))," ",", ")))</f>
        <v/>
      </c>
      <c r="L51" s="24" t="n"/>
      <c r="M51" s="24" t="n"/>
      <c r="N51" s="25">
        <f>IF(M51="","",HYPERLINK(IF(LEFT(M51,4)="http",M51,set_QwilrBase&amp;M51),"Open quote"))</f>
        <v/>
      </c>
      <c r="O51" s="64" t="n"/>
      <c r="P51" s="24" t="n"/>
      <c r="Q51" s="24" t="n"/>
    </row>
    <row r="52" ht="15" customHeight="1">
      <c r="A52" s="63">
        <f>IF(C52="","",IFERROR(IF(SUMPRODUCT(MAX((tbl_Finance[Job Number]=C52&amp;"")*(tbl_Finance[Xero Invoice No]&lt;&gt;"")*tbl_Finance[Date]))=0,"",SUMPRODUCT(MAX((tbl_Finance[Job Number]=C52&amp;"")*(tbl_Finance[Xero Invoice No]&lt;&gt;"")*tbl_Finance[Date]))),""))</f>
        <v/>
      </c>
      <c r="B52" s="25">
        <f>IF(C52="","",IF(COUNTIFS(tbl_Finance[Job Number],C52&amp;"",tbl_Finance[Xero Invoice No],"&lt;&gt;")=0,"",IFERROR(IF(COUNTIFS(tbl_Finance[Job Number],C52&amp;"",tbl_Finance[Xero Invoice No],LOOKUP(2,1/((tbl_Finance[Job Number]=C52&amp;"")*(tbl_Finance[Xero Invoice No]&lt;&gt;"")),tbl_Finance[Xero Invoice No]))=COUNTIFS(tbl_Finance[Job Number],C52&amp;"",tbl_Finance[Xero Invoice No],"&lt;&gt;"),LOOKUP(2,1/((tbl_Finance[Job Number]=C52&amp;"")*(tbl_Finance[Xero Invoice No]&lt;&gt;"")),tbl_Finance[Xero Invoice No]),LOOKUP(2,1/((tbl_Finance[Job Number]=C52&amp;"")*(tbl_Finance[Xero Invoice No]&lt;&gt;"")),tbl_Finance[Xero Invoice No])&amp;" +more"),"")))</f>
        <v/>
      </c>
      <c r="C52" s="24" t="n"/>
      <c r="D52" s="25">
        <f>IF(C52="","",IF(COUNTIF(lst_Jobs,C52&amp;"")&gt;0,"OK","CHECK"))</f>
        <v/>
      </c>
      <c r="E52" s="25">
        <f>IF(C52="","",IFERROR(INDEX(lst_JobName,MATCH(C52&amp;"",lst_Jobs,0)),""))</f>
        <v/>
      </c>
      <c r="F52" s="25">
        <f>IF(C52="","",IFERROR(INDEX(tbl_Finance[Client],MATCH(C52&amp;"",tbl_Finance[Job Number],0)),""))</f>
        <v/>
      </c>
      <c r="G52" s="28">
        <f>IF(C52="","",COUNTIFS(tbl_Finance[Job Number],C52&amp;"",tbl_Finance[Ex GST],"&lt;&gt;"))</f>
        <v/>
      </c>
      <c r="H52" s="27">
        <f>IF(C52="","",SUMIFS(tbl_Finance[Ex GST],tbl_Finance[Job Number],C52&amp;""))</f>
        <v/>
      </c>
      <c r="I52" s="27">
        <f>IF(C52="","",SUMIFS(tbl_Finance[Ex GST],tbl_Finance[Job Number],C52&amp;"",tbl_Finance[Xero Invoice No],"&lt;&gt;"))</f>
        <v/>
      </c>
      <c r="J52" s="27">
        <f>IF(C52="","",H52-I52)</f>
        <v/>
      </c>
      <c r="K52" s="25">
        <f>IF(C52="","",IF(G52=0,"not invoiced yet",SUBSTITUTE(TRIM(IF(COUNTIFS(tbl_Finance[Job Number],C52&amp;"",tbl_Finance[Cost Centre],"ONSITE")&gt;0,"ONSITE ","")&amp;IF(COUNTIFS(tbl_Finance[Job Number],C52&amp;"",tbl_Finance[Cost Centre],"PRODUCTION")&gt;0,"PRODUCTION ","")&amp;IF(COUNTIFS(tbl_Finance[Job Number],C52&amp;"",tbl_Finance[Cost Centre],"VIDEO")&gt;0,"VIDEO ","")&amp;IF(COUNTIFS(tbl_Finance[Job Number],C52&amp;"",tbl_Finance[Cost Centre],"INTEGRATION")&gt;0,"INTEGRATION ","")&amp;IF(COUNTIFS(tbl_Finance[Job Number],C52&amp;"",tbl_Finance[Cost Centre],"CONSULTING")&gt;0,"CONSULTING ","")&amp;IF(COUNTIFS(tbl_Finance[Job Number],C52&amp;"",tbl_Finance[Cost Centre],"CTS")&gt;0,"CTS ",""))," ",", ")))</f>
        <v/>
      </c>
      <c r="L52" s="24" t="n"/>
      <c r="M52" s="24" t="n"/>
      <c r="N52" s="25">
        <f>IF(M52="","",HYPERLINK(IF(LEFT(M52,4)="http",M52,set_QwilrBase&amp;M52),"Open quote"))</f>
        <v/>
      </c>
      <c r="O52" s="64" t="n"/>
      <c r="P52" s="24" t="n"/>
      <c r="Q52" s="24" t="n"/>
    </row>
    <row r="53" ht="15" customHeight="1">
      <c r="A53" s="63">
        <f>IF(C53="","",IFERROR(IF(SUMPRODUCT(MAX((tbl_Finance[Job Number]=C53&amp;"")*(tbl_Finance[Xero Invoice No]&lt;&gt;"")*tbl_Finance[Date]))=0,"",SUMPRODUCT(MAX((tbl_Finance[Job Number]=C53&amp;"")*(tbl_Finance[Xero Invoice No]&lt;&gt;"")*tbl_Finance[Date]))),""))</f>
        <v/>
      </c>
      <c r="B53" s="25">
        <f>IF(C53="","",IF(COUNTIFS(tbl_Finance[Job Number],C53&amp;"",tbl_Finance[Xero Invoice No],"&lt;&gt;")=0,"",IFERROR(IF(COUNTIFS(tbl_Finance[Job Number],C53&amp;"",tbl_Finance[Xero Invoice No],LOOKUP(2,1/((tbl_Finance[Job Number]=C53&amp;"")*(tbl_Finance[Xero Invoice No]&lt;&gt;"")),tbl_Finance[Xero Invoice No]))=COUNTIFS(tbl_Finance[Job Number],C53&amp;"",tbl_Finance[Xero Invoice No],"&lt;&gt;"),LOOKUP(2,1/((tbl_Finance[Job Number]=C53&amp;"")*(tbl_Finance[Xero Invoice No]&lt;&gt;"")),tbl_Finance[Xero Invoice No]),LOOKUP(2,1/((tbl_Finance[Job Number]=C53&amp;"")*(tbl_Finance[Xero Invoice No]&lt;&gt;"")),tbl_Finance[Xero Invoice No])&amp;" +more"),"")))</f>
        <v/>
      </c>
      <c r="C53" s="24" t="n"/>
      <c r="D53" s="25">
        <f>IF(C53="","",IF(COUNTIF(lst_Jobs,C53&amp;"")&gt;0,"OK","CHECK"))</f>
        <v/>
      </c>
      <c r="E53" s="25">
        <f>IF(C53="","",IFERROR(INDEX(lst_JobName,MATCH(C53&amp;"",lst_Jobs,0)),""))</f>
        <v/>
      </c>
      <c r="F53" s="25">
        <f>IF(C53="","",IFERROR(INDEX(tbl_Finance[Client],MATCH(C53&amp;"",tbl_Finance[Job Number],0)),""))</f>
        <v/>
      </c>
      <c r="G53" s="28">
        <f>IF(C53="","",COUNTIFS(tbl_Finance[Job Number],C53&amp;"",tbl_Finance[Ex GST],"&lt;&gt;"))</f>
        <v/>
      </c>
      <c r="H53" s="27">
        <f>IF(C53="","",SUMIFS(tbl_Finance[Ex GST],tbl_Finance[Job Number],C53&amp;""))</f>
        <v/>
      </c>
      <c r="I53" s="27">
        <f>IF(C53="","",SUMIFS(tbl_Finance[Ex GST],tbl_Finance[Job Number],C53&amp;"",tbl_Finance[Xero Invoice No],"&lt;&gt;"))</f>
        <v/>
      </c>
      <c r="J53" s="27">
        <f>IF(C53="","",H53-I53)</f>
        <v/>
      </c>
      <c r="K53" s="25">
        <f>IF(C53="","",IF(G53=0,"not invoiced yet",SUBSTITUTE(TRIM(IF(COUNTIFS(tbl_Finance[Job Number],C53&amp;"",tbl_Finance[Cost Centre],"ONSITE")&gt;0,"ONSITE ","")&amp;IF(COUNTIFS(tbl_Finance[Job Number],C53&amp;"",tbl_Finance[Cost Centre],"PRODUCTION")&gt;0,"PRODUCTION ","")&amp;IF(COUNTIFS(tbl_Finance[Job Number],C53&amp;"",tbl_Finance[Cost Centre],"VIDEO")&gt;0,"VIDEO ","")&amp;IF(COUNTIFS(tbl_Finance[Job Number],C53&amp;"",tbl_Finance[Cost Centre],"INTEGRATION")&gt;0,"INTEGRATION ","")&amp;IF(COUNTIFS(tbl_Finance[Job Number],C53&amp;"",tbl_Finance[Cost Centre],"CONSULTING")&gt;0,"CONSULTING ","")&amp;IF(COUNTIFS(tbl_Finance[Job Number],C53&amp;"",tbl_Finance[Cost Centre],"CTS")&gt;0,"CTS ",""))," ",", ")))</f>
        <v/>
      </c>
      <c r="L53" s="24" t="n"/>
      <c r="M53" s="24" t="n"/>
      <c r="N53" s="25">
        <f>IF(M53="","",HYPERLINK(IF(LEFT(M53,4)="http",M53,set_QwilrBase&amp;M53),"Open quote"))</f>
        <v/>
      </c>
      <c r="O53" s="64" t="n"/>
      <c r="P53" s="24" t="n"/>
      <c r="Q53" s="24" t="n"/>
    </row>
    <row r="54" ht="15" customHeight="1">
      <c r="A54" s="63">
        <f>IF(C54="","",IFERROR(IF(SUMPRODUCT(MAX((tbl_Finance[Job Number]=C54&amp;"")*(tbl_Finance[Xero Invoice No]&lt;&gt;"")*tbl_Finance[Date]))=0,"",SUMPRODUCT(MAX((tbl_Finance[Job Number]=C54&amp;"")*(tbl_Finance[Xero Invoice No]&lt;&gt;"")*tbl_Finance[Date]))),""))</f>
        <v/>
      </c>
      <c r="B54" s="25">
        <f>IF(C54="","",IF(COUNTIFS(tbl_Finance[Job Number],C54&amp;"",tbl_Finance[Xero Invoice No],"&lt;&gt;")=0,"",IFERROR(IF(COUNTIFS(tbl_Finance[Job Number],C54&amp;"",tbl_Finance[Xero Invoice No],LOOKUP(2,1/((tbl_Finance[Job Number]=C54&amp;"")*(tbl_Finance[Xero Invoice No]&lt;&gt;"")),tbl_Finance[Xero Invoice No]))=COUNTIFS(tbl_Finance[Job Number],C54&amp;"",tbl_Finance[Xero Invoice No],"&lt;&gt;"),LOOKUP(2,1/((tbl_Finance[Job Number]=C54&amp;"")*(tbl_Finance[Xero Invoice No]&lt;&gt;"")),tbl_Finance[Xero Invoice No]),LOOKUP(2,1/((tbl_Finance[Job Number]=C54&amp;"")*(tbl_Finance[Xero Invoice No]&lt;&gt;"")),tbl_Finance[Xero Invoice No])&amp;" +more"),"")))</f>
        <v/>
      </c>
      <c r="C54" s="24" t="n"/>
      <c r="D54" s="25">
        <f>IF(C54="","",IF(COUNTIF(lst_Jobs,C54&amp;"")&gt;0,"OK","CHECK"))</f>
        <v/>
      </c>
      <c r="E54" s="25">
        <f>IF(C54="","",IFERROR(INDEX(lst_JobName,MATCH(C54&amp;"",lst_Jobs,0)),""))</f>
        <v/>
      </c>
      <c r="F54" s="25">
        <f>IF(C54="","",IFERROR(INDEX(tbl_Finance[Client],MATCH(C54&amp;"",tbl_Finance[Job Number],0)),""))</f>
        <v/>
      </c>
      <c r="G54" s="28">
        <f>IF(C54="","",COUNTIFS(tbl_Finance[Job Number],C54&amp;"",tbl_Finance[Ex GST],"&lt;&gt;"))</f>
        <v/>
      </c>
      <c r="H54" s="27">
        <f>IF(C54="","",SUMIFS(tbl_Finance[Ex GST],tbl_Finance[Job Number],C54&amp;""))</f>
        <v/>
      </c>
      <c r="I54" s="27">
        <f>IF(C54="","",SUMIFS(tbl_Finance[Ex GST],tbl_Finance[Job Number],C54&amp;"",tbl_Finance[Xero Invoice No],"&lt;&gt;"))</f>
        <v/>
      </c>
      <c r="J54" s="27">
        <f>IF(C54="","",H54-I54)</f>
        <v/>
      </c>
      <c r="K54" s="25">
        <f>IF(C54="","",IF(G54=0,"not invoiced yet",SUBSTITUTE(TRIM(IF(COUNTIFS(tbl_Finance[Job Number],C54&amp;"",tbl_Finance[Cost Centre],"ONSITE")&gt;0,"ONSITE ","")&amp;IF(COUNTIFS(tbl_Finance[Job Number],C54&amp;"",tbl_Finance[Cost Centre],"PRODUCTION")&gt;0,"PRODUCTION ","")&amp;IF(COUNTIFS(tbl_Finance[Job Number],C54&amp;"",tbl_Finance[Cost Centre],"VIDEO")&gt;0,"VIDEO ","")&amp;IF(COUNTIFS(tbl_Finance[Job Number],C54&amp;"",tbl_Finance[Cost Centre],"INTEGRATION")&gt;0,"INTEGRATION ","")&amp;IF(COUNTIFS(tbl_Finance[Job Number],C54&amp;"",tbl_Finance[Cost Centre],"CONSULTING")&gt;0,"CONSULTING ","")&amp;IF(COUNTIFS(tbl_Finance[Job Number],C54&amp;"",tbl_Finance[Cost Centre],"CTS")&gt;0,"CTS ",""))," ",", ")))</f>
        <v/>
      </c>
      <c r="L54" s="24" t="n"/>
      <c r="M54" s="24" t="n"/>
      <c r="N54" s="25">
        <f>IF(M54="","",HYPERLINK(IF(LEFT(M54,4)="http",M54,set_QwilrBase&amp;M54),"Open quote"))</f>
        <v/>
      </c>
      <c r="O54" s="64" t="n"/>
      <c r="P54" s="24" t="n"/>
      <c r="Q54" s="24" t="n"/>
    </row>
    <row r="55" ht="15" customHeight="1">
      <c r="A55" s="63">
        <f>IF(C55="","",IFERROR(IF(SUMPRODUCT(MAX((tbl_Finance[Job Number]=C55&amp;"")*(tbl_Finance[Xero Invoice No]&lt;&gt;"")*tbl_Finance[Date]))=0,"",SUMPRODUCT(MAX((tbl_Finance[Job Number]=C55&amp;"")*(tbl_Finance[Xero Invoice No]&lt;&gt;"")*tbl_Finance[Date]))),""))</f>
        <v/>
      </c>
      <c r="B55" s="25">
        <f>IF(C55="","",IF(COUNTIFS(tbl_Finance[Job Number],C55&amp;"",tbl_Finance[Xero Invoice No],"&lt;&gt;")=0,"",IFERROR(IF(COUNTIFS(tbl_Finance[Job Number],C55&amp;"",tbl_Finance[Xero Invoice No],LOOKUP(2,1/((tbl_Finance[Job Number]=C55&amp;"")*(tbl_Finance[Xero Invoice No]&lt;&gt;"")),tbl_Finance[Xero Invoice No]))=COUNTIFS(tbl_Finance[Job Number],C55&amp;"",tbl_Finance[Xero Invoice No],"&lt;&gt;"),LOOKUP(2,1/((tbl_Finance[Job Number]=C55&amp;"")*(tbl_Finance[Xero Invoice No]&lt;&gt;"")),tbl_Finance[Xero Invoice No]),LOOKUP(2,1/((tbl_Finance[Job Number]=C55&amp;"")*(tbl_Finance[Xero Invoice No]&lt;&gt;"")),tbl_Finance[Xero Invoice No])&amp;" +more"),"")))</f>
        <v/>
      </c>
      <c r="C55" s="24" t="n"/>
      <c r="D55" s="25">
        <f>IF(C55="","",IF(COUNTIF(lst_Jobs,C55&amp;"")&gt;0,"OK","CHECK"))</f>
        <v/>
      </c>
      <c r="E55" s="25">
        <f>IF(C55="","",IFERROR(INDEX(lst_JobName,MATCH(C55&amp;"",lst_Jobs,0)),""))</f>
        <v/>
      </c>
      <c r="F55" s="25">
        <f>IF(C55="","",IFERROR(INDEX(tbl_Finance[Client],MATCH(C55&amp;"",tbl_Finance[Job Number],0)),""))</f>
        <v/>
      </c>
      <c r="G55" s="28">
        <f>IF(C55="","",COUNTIFS(tbl_Finance[Job Number],C55&amp;"",tbl_Finance[Ex GST],"&lt;&gt;"))</f>
        <v/>
      </c>
      <c r="H55" s="27">
        <f>IF(C55="","",SUMIFS(tbl_Finance[Ex GST],tbl_Finance[Job Number],C55&amp;""))</f>
        <v/>
      </c>
      <c r="I55" s="27">
        <f>IF(C55="","",SUMIFS(tbl_Finance[Ex GST],tbl_Finance[Job Number],C55&amp;"",tbl_Finance[Xero Invoice No],"&lt;&gt;"))</f>
        <v/>
      </c>
      <c r="J55" s="27">
        <f>IF(C55="","",H55-I55)</f>
        <v/>
      </c>
      <c r="K55" s="25">
        <f>IF(C55="","",IF(G55=0,"not invoiced yet",SUBSTITUTE(TRIM(IF(COUNTIFS(tbl_Finance[Job Number],C55&amp;"",tbl_Finance[Cost Centre],"ONSITE")&gt;0,"ONSITE ","")&amp;IF(COUNTIFS(tbl_Finance[Job Number],C55&amp;"",tbl_Finance[Cost Centre],"PRODUCTION")&gt;0,"PRODUCTION ","")&amp;IF(COUNTIFS(tbl_Finance[Job Number],C55&amp;"",tbl_Finance[Cost Centre],"VIDEO")&gt;0,"VIDEO ","")&amp;IF(COUNTIFS(tbl_Finance[Job Number],C55&amp;"",tbl_Finance[Cost Centre],"INTEGRATION")&gt;0,"INTEGRATION ","")&amp;IF(COUNTIFS(tbl_Finance[Job Number],C55&amp;"",tbl_Finance[Cost Centre],"CONSULTING")&gt;0,"CONSULTING ","")&amp;IF(COUNTIFS(tbl_Finance[Job Number],C55&amp;"",tbl_Finance[Cost Centre],"CTS")&gt;0,"CTS ",""))," ",", ")))</f>
        <v/>
      </c>
      <c r="L55" s="24" t="n"/>
      <c r="M55" s="24" t="n"/>
      <c r="N55" s="25">
        <f>IF(M55="","",HYPERLINK(IF(LEFT(M55,4)="http",M55,set_QwilrBase&amp;M55),"Open quote"))</f>
        <v/>
      </c>
      <c r="O55" s="64" t="n"/>
      <c r="P55" s="24" t="n"/>
      <c r="Q55" s="24" t="n"/>
    </row>
    <row r="56" ht="15" customHeight="1">
      <c r="A56" s="63">
        <f>IF(C56="","",IFERROR(IF(SUMPRODUCT(MAX((tbl_Finance[Job Number]=C56&amp;"")*(tbl_Finance[Xero Invoice No]&lt;&gt;"")*tbl_Finance[Date]))=0,"",SUMPRODUCT(MAX((tbl_Finance[Job Number]=C56&amp;"")*(tbl_Finance[Xero Invoice No]&lt;&gt;"")*tbl_Finance[Date]))),""))</f>
        <v/>
      </c>
      <c r="B56" s="25">
        <f>IF(C56="","",IF(COUNTIFS(tbl_Finance[Job Number],C56&amp;"",tbl_Finance[Xero Invoice No],"&lt;&gt;")=0,"",IFERROR(IF(COUNTIFS(tbl_Finance[Job Number],C56&amp;"",tbl_Finance[Xero Invoice No],LOOKUP(2,1/((tbl_Finance[Job Number]=C56&amp;"")*(tbl_Finance[Xero Invoice No]&lt;&gt;"")),tbl_Finance[Xero Invoice No]))=COUNTIFS(tbl_Finance[Job Number],C56&amp;"",tbl_Finance[Xero Invoice No],"&lt;&gt;"),LOOKUP(2,1/((tbl_Finance[Job Number]=C56&amp;"")*(tbl_Finance[Xero Invoice No]&lt;&gt;"")),tbl_Finance[Xero Invoice No]),LOOKUP(2,1/((tbl_Finance[Job Number]=C56&amp;"")*(tbl_Finance[Xero Invoice No]&lt;&gt;"")),tbl_Finance[Xero Invoice No])&amp;" +more"),"")))</f>
        <v/>
      </c>
      <c r="C56" s="24" t="n"/>
      <c r="D56" s="25">
        <f>IF(C56="","",IF(COUNTIF(lst_Jobs,C56&amp;"")&gt;0,"OK","CHECK"))</f>
        <v/>
      </c>
      <c r="E56" s="25">
        <f>IF(C56="","",IFERROR(INDEX(lst_JobName,MATCH(C56&amp;"",lst_Jobs,0)),""))</f>
        <v/>
      </c>
      <c r="F56" s="25">
        <f>IF(C56="","",IFERROR(INDEX(tbl_Finance[Client],MATCH(C56&amp;"",tbl_Finance[Job Number],0)),""))</f>
        <v/>
      </c>
      <c r="G56" s="28">
        <f>IF(C56="","",COUNTIFS(tbl_Finance[Job Number],C56&amp;"",tbl_Finance[Ex GST],"&lt;&gt;"))</f>
        <v/>
      </c>
      <c r="H56" s="27">
        <f>IF(C56="","",SUMIFS(tbl_Finance[Ex GST],tbl_Finance[Job Number],C56&amp;""))</f>
        <v/>
      </c>
      <c r="I56" s="27">
        <f>IF(C56="","",SUMIFS(tbl_Finance[Ex GST],tbl_Finance[Job Number],C56&amp;"",tbl_Finance[Xero Invoice No],"&lt;&gt;"))</f>
        <v/>
      </c>
      <c r="J56" s="27">
        <f>IF(C56="","",H56-I56)</f>
        <v/>
      </c>
      <c r="K56" s="25">
        <f>IF(C56="","",IF(G56=0,"not invoiced yet",SUBSTITUTE(TRIM(IF(COUNTIFS(tbl_Finance[Job Number],C56&amp;"",tbl_Finance[Cost Centre],"ONSITE")&gt;0,"ONSITE ","")&amp;IF(COUNTIFS(tbl_Finance[Job Number],C56&amp;"",tbl_Finance[Cost Centre],"PRODUCTION")&gt;0,"PRODUCTION ","")&amp;IF(COUNTIFS(tbl_Finance[Job Number],C56&amp;"",tbl_Finance[Cost Centre],"VIDEO")&gt;0,"VIDEO ","")&amp;IF(COUNTIFS(tbl_Finance[Job Number],C56&amp;"",tbl_Finance[Cost Centre],"INTEGRATION")&gt;0,"INTEGRATION ","")&amp;IF(COUNTIFS(tbl_Finance[Job Number],C56&amp;"",tbl_Finance[Cost Centre],"CONSULTING")&gt;0,"CONSULTING ","")&amp;IF(COUNTIFS(tbl_Finance[Job Number],C56&amp;"",tbl_Finance[Cost Centre],"CTS")&gt;0,"CTS ",""))," ",", ")))</f>
        <v/>
      </c>
      <c r="L56" s="24" t="n"/>
      <c r="M56" s="24" t="n"/>
      <c r="N56" s="25">
        <f>IF(M56="","",HYPERLINK(IF(LEFT(M56,4)="http",M56,set_QwilrBase&amp;M56),"Open quote"))</f>
        <v/>
      </c>
      <c r="O56" s="64" t="n"/>
      <c r="P56" s="24" t="n"/>
      <c r="Q56" s="24" t="n"/>
    </row>
    <row r="57" ht="15" customHeight="1">
      <c r="A57" s="63">
        <f>IF(C57="","",IFERROR(IF(SUMPRODUCT(MAX((tbl_Finance[Job Number]=C57&amp;"")*(tbl_Finance[Xero Invoice No]&lt;&gt;"")*tbl_Finance[Date]))=0,"",SUMPRODUCT(MAX((tbl_Finance[Job Number]=C57&amp;"")*(tbl_Finance[Xero Invoice No]&lt;&gt;"")*tbl_Finance[Date]))),""))</f>
        <v/>
      </c>
      <c r="B57" s="25">
        <f>IF(C57="","",IF(COUNTIFS(tbl_Finance[Job Number],C57&amp;"",tbl_Finance[Xero Invoice No],"&lt;&gt;")=0,"",IFERROR(IF(COUNTIFS(tbl_Finance[Job Number],C57&amp;"",tbl_Finance[Xero Invoice No],LOOKUP(2,1/((tbl_Finance[Job Number]=C57&amp;"")*(tbl_Finance[Xero Invoice No]&lt;&gt;"")),tbl_Finance[Xero Invoice No]))=COUNTIFS(tbl_Finance[Job Number],C57&amp;"",tbl_Finance[Xero Invoice No],"&lt;&gt;"),LOOKUP(2,1/((tbl_Finance[Job Number]=C57&amp;"")*(tbl_Finance[Xero Invoice No]&lt;&gt;"")),tbl_Finance[Xero Invoice No]),LOOKUP(2,1/((tbl_Finance[Job Number]=C57&amp;"")*(tbl_Finance[Xero Invoice No]&lt;&gt;"")),tbl_Finance[Xero Invoice No])&amp;" +more"),"")))</f>
        <v/>
      </c>
      <c r="C57" s="24" t="n"/>
      <c r="D57" s="25">
        <f>IF(C57="","",IF(COUNTIF(lst_Jobs,C57&amp;"")&gt;0,"OK","CHECK"))</f>
        <v/>
      </c>
      <c r="E57" s="25">
        <f>IF(C57="","",IFERROR(INDEX(lst_JobName,MATCH(C57&amp;"",lst_Jobs,0)),""))</f>
        <v/>
      </c>
      <c r="F57" s="25">
        <f>IF(C57="","",IFERROR(INDEX(tbl_Finance[Client],MATCH(C57&amp;"",tbl_Finance[Job Number],0)),""))</f>
        <v/>
      </c>
      <c r="G57" s="28">
        <f>IF(C57="","",COUNTIFS(tbl_Finance[Job Number],C57&amp;"",tbl_Finance[Ex GST],"&lt;&gt;"))</f>
        <v/>
      </c>
      <c r="H57" s="27">
        <f>IF(C57="","",SUMIFS(tbl_Finance[Ex GST],tbl_Finance[Job Number],C57&amp;""))</f>
        <v/>
      </c>
      <c r="I57" s="27">
        <f>IF(C57="","",SUMIFS(tbl_Finance[Ex GST],tbl_Finance[Job Number],C57&amp;"",tbl_Finance[Xero Invoice No],"&lt;&gt;"))</f>
        <v/>
      </c>
      <c r="J57" s="27">
        <f>IF(C57="","",H57-I57)</f>
        <v/>
      </c>
      <c r="K57" s="25">
        <f>IF(C57="","",IF(G57=0,"not invoiced yet",SUBSTITUTE(TRIM(IF(COUNTIFS(tbl_Finance[Job Number],C57&amp;"",tbl_Finance[Cost Centre],"ONSITE")&gt;0,"ONSITE ","")&amp;IF(COUNTIFS(tbl_Finance[Job Number],C57&amp;"",tbl_Finance[Cost Centre],"PRODUCTION")&gt;0,"PRODUCTION ","")&amp;IF(COUNTIFS(tbl_Finance[Job Number],C57&amp;"",tbl_Finance[Cost Centre],"VIDEO")&gt;0,"VIDEO ","")&amp;IF(COUNTIFS(tbl_Finance[Job Number],C57&amp;"",tbl_Finance[Cost Centre],"INTEGRATION")&gt;0,"INTEGRATION ","")&amp;IF(COUNTIFS(tbl_Finance[Job Number],C57&amp;"",tbl_Finance[Cost Centre],"CONSULTING")&gt;0,"CONSULTING ","")&amp;IF(COUNTIFS(tbl_Finance[Job Number],C57&amp;"",tbl_Finance[Cost Centre],"CTS")&gt;0,"CTS ",""))," ",", ")))</f>
        <v/>
      </c>
      <c r="L57" s="24" t="n"/>
      <c r="M57" s="24" t="n"/>
      <c r="N57" s="25">
        <f>IF(M57="","",HYPERLINK(IF(LEFT(M57,4)="http",M57,set_QwilrBase&amp;M57),"Open quote"))</f>
        <v/>
      </c>
      <c r="O57" s="64" t="n"/>
      <c r="P57" s="24" t="n"/>
      <c r="Q57" s="24" t="n"/>
    </row>
    <row r="58" ht="15" customHeight="1">
      <c r="A58" s="63">
        <f>IF(C58="","",IFERROR(IF(SUMPRODUCT(MAX((tbl_Finance[Job Number]=C58&amp;"")*(tbl_Finance[Xero Invoice No]&lt;&gt;"")*tbl_Finance[Date]))=0,"",SUMPRODUCT(MAX((tbl_Finance[Job Number]=C58&amp;"")*(tbl_Finance[Xero Invoice No]&lt;&gt;"")*tbl_Finance[Date]))),""))</f>
        <v/>
      </c>
      <c r="B58" s="25">
        <f>IF(C58="","",IF(COUNTIFS(tbl_Finance[Job Number],C58&amp;"",tbl_Finance[Xero Invoice No],"&lt;&gt;")=0,"",IFERROR(IF(COUNTIFS(tbl_Finance[Job Number],C58&amp;"",tbl_Finance[Xero Invoice No],LOOKUP(2,1/((tbl_Finance[Job Number]=C58&amp;"")*(tbl_Finance[Xero Invoice No]&lt;&gt;"")),tbl_Finance[Xero Invoice No]))=COUNTIFS(tbl_Finance[Job Number],C58&amp;"",tbl_Finance[Xero Invoice No],"&lt;&gt;"),LOOKUP(2,1/((tbl_Finance[Job Number]=C58&amp;"")*(tbl_Finance[Xero Invoice No]&lt;&gt;"")),tbl_Finance[Xero Invoice No]),LOOKUP(2,1/((tbl_Finance[Job Number]=C58&amp;"")*(tbl_Finance[Xero Invoice No]&lt;&gt;"")),tbl_Finance[Xero Invoice No])&amp;" +more"),"")))</f>
        <v/>
      </c>
      <c r="C58" s="24" t="n"/>
      <c r="D58" s="25">
        <f>IF(C58="","",IF(COUNTIF(lst_Jobs,C58&amp;"")&gt;0,"OK","CHECK"))</f>
        <v/>
      </c>
      <c r="E58" s="25">
        <f>IF(C58="","",IFERROR(INDEX(lst_JobName,MATCH(C58&amp;"",lst_Jobs,0)),""))</f>
        <v/>
      </c>
      <c r="F58" s="25">
        <f>IF(C58="","",IFERROR(INDEX(tbl_Finance[Client],MATCH(C58&amp;"",tbl_Finance[Job Number],0)),""))</f>
        <v/>
      </c>
      <c r="G58" s="28">
        <f>IF(C58="","",COUNTIFS(tbl_Finance[Job Number],C58&amp;"",tbl_Finance[Ex GST],"&lt;&gt;"))</f>
        <v/>
      </c>
      <c r="H58" s="27">
        <f>IF(C58="","",SUMIFS(tbl_Finance[Ex GST],tbl_Finance[Job Number],C58&amp;""))</f>
        <v/>
      </c>
      <c r="I58" s="27">
        <f>IF(C58="","",SUMIFS(tbl_Finance[Ex GST],tbl_Finance[Job Number],C58&amp;"",tbl_Finance[Xero Invoice No],"&lt;&gt;"))</f>
        <v/>
      </c>
      <c r="J58" s="27">
        <f>IF(C58="","",H58-I58)</f>
        <v/>
      </c>
      <c r="K58" s="25">
        <f>IF(C58="","",IF(G58=0,"not invoiced yet",SUBSTITUTE(TRIM(IF(COUNTIFS(tbl_Finance[Job Number],C58&amp;"",tbl_Finance[Cost Centre],"ONSITE")&gt;0,"ONSITE ","")&amp;IF(COUNTIFS(tbl_Finance[Job Number],C58&amp;"",tbl_Finance[Cost Centre],"PRODUCTION")&gt;0,"PRODUCTION ","")&amp;IF(COUNTIFS(tbl_Finance[Job Number],C58&amp;"",tbl_Finance[Cost Centre],"VIDEO")&gt;0,"VIDEO ","")&amp;IF(COUNTIFS(tbl_Finance[Job Number],C58&amp;"",tbl_Finance[Cost Centre],"INTEGRATION")&gt;0,"INTEGRATION ","")&amp;IF(COUNTIFS(tbl_Finance[Job Number],C58&amp;"",tbl_Finance[Cost Centre],"CONSULTING")&gt;0,"CONSULTING ","")&amp;IF(COUNTIFS(tbl_Finance[Job Number],C58&amp;"",tbl_Finance[Cost Centre],"CTS")&gt;0,"CTS ",""))," ",", ")))</f>
        <v/>
      </c>
      <c r="L58" s="24" t="n"/>
      <c r="M58" s="24" t="n"/>
      <c r="N58" s="25">
        <f>IF(M58="","",HYPERLINK(IF(LEFT(M58,4)="http",M58,set_QwilrBase&amp;M58),"Open quote"))</f>
        <v/>
      </c>
      <c r="O58" s="64" t="n"/>
      <c r="P58" s="24" t="n"/>
      <c r="Q58" s="24" t="n"/>
    </row>
    <row r="59" ht="15" customHeight="1">
      <c r="A59" s="63">
        <f>IF(C59="","",IFERROR(IF(SUMPRODUCT(MAX((tbl_Finance[Job Number]=C59&amp;"")*(tbl_Finance[Xero Invoice No]&lt;&gt;"")*tbl_Finance[Date]))=0,"",SUMPRODUCT(MAX((tbl_Finance[Job Number]=C59&amp;"")*(tbl_Finance[Xero Invoice No]&lt;&gt;"")*tbl_Finance[Date]))),""))</f>
        <v/>
      </c>
      <c r="B59" s="25">
        <f>IF(C59="","",IF(COUNTIFS(tbl_Finance[Job Number],C59&amp;"",tbl_Finance[Xero Invoice No],"&lt;&gt;")=0,"",IFERROR(IF(COUNTIFS(tbl_Finance[Job Number],C59&amp;"",tbl_Finance[Xero Invoice No],LOOKUP(2,1/((tbl_Finance[Job Number]=C59&amp;"")*(tbl_Finance[Xero Invoice No]&lt;&gt;"")),tbl_Finance[Xero Invoice No]))=COUNTIFS(tbl_Finance[Job Number],C59&amp;"",tbl_Finance[Xero Invoice No],"&lt;&gt;"),LOOKUP(2,1/((tbl_Finance[Job Number]=C59&amp;"")*(tbl_Finance[Xero Invoice No]&lt;&gt;"")),tbl_Finance[Xero Invoice No]),LOOKUP(2,1/((tbl_Finance[Job Number]=C59&amp;"")*(tbl_Finance[Xero Invoice No]&lt;&gt;"")),tbl_Finance[Xero Invoice No])&amp;" +more"),"")))</f>
        <v/>
      </c>
      <c r="C59" s="24" t="n"/>
      <c r="D59" s="25">
        <f>IF(C59="","",IF(COUNTIF(lst_Jobs,C59&amp;"")&gt;0,"OK","CHECK"))</f>
        <v/>
      </c>
      <c r="E59" s="25">
        <f>IF(C59="","",IFERROR(INDEX(lst_JobName,MATCH(C59&amp;"",lst_Jobs,0)),""))</f>
        <v/>
      </c>
      <c r="F59" s="25">
        <f>IF(C59="","",IFERROR(INDEX(tbl_Finance[Client],MATCH(C59&amp;"",tbl_Finance[Job Number],0)),""))</f>
        <v/>
      </c>
      <c r="G59" s="28">
        <f>IF(C59="","",COUNTIFS(tbl_Finance[Job Number],C59&amp;"",tbl_Finance[Ex GST],"&lt;&gt;"))</f>
        <v/>
      </c>
      <c r="H59" s="27">
        <f>IF(C59="","",SUMIFS(tbl_Finance[Ex GST],tbl_Finance[Job Number],C59&amp;""))</f>
        <v/>
      </c>
      <c r="I59" s="27">
        <f>IF(C59="","",SUMIFS(tbl_Finance[Ex GST],tbl_Finance[Job Number],C59&amp;"",tbl_Finance[Xero Invoice No],"&lt;&gt;"))</f>
        <v/>
      </c>
      <c r="J59" s="27">
        <f>IF(C59="","",H59-I59)</f>
        <v/>
      </c>
      <c r="K59" s="25">
        <f>IF(C59="","",IF(G59=0,"not invoiced yet",SUBSTITUTE(TRIM(IF(COUNTIFS(tbl_Finance[Job Number],C59&amp;"",tbl_Finance[Cost Centre],"ONSITE")&gt;0,"ONSITE ","")&amp;IF(COUNTIFS(tbl_Finance[Job Number],C59&amp;"",tbl_Finance[Cost Centre],"PRODUCTION")&gt;0,"PRODUCTION ","")&amp;IF(COUNTIFS(tbl_Finance[Job Number],C59&amp;"",tbl_Finance[Cost Centre],"VIDEO")&gt;0,"VIDEO ","")&amp;IF(COUNTIFS(tbl_Finance[Job Number],C59&amp;"",tbl_Finance[Cost Centre],"INTEGRATION")&gt;0,"INTEGRATION ","")&amp;IF(COUNTIFS(tbl_Finance[Job Number],C59&amp;"",tbl_Finance[Cost Centre],"CONSULTING")&gt;0,"CONSULTING ","")&amp;IF(COUNTIFS(tbl_Finance[Job Number],C59&amp;"",tbl_Finance[Cost Centre],"CTS")&gt;0,"CTS ",""))," ",", ")))</f>
        <v/>
      </c>
      <c r="L59" s="24" t="n"/>
      <c r="M59" s="24" t="n"/>
      <c r="N59" s="25">
        <f>IF(M59="","",HYPERLINK(IF(LEFT(M59,4)="http",M59,set_QwilrBase&amp;M59),"Open quote"))</f>
        <v/>
      </c>
      <c r="O59" s="64" t="n"/>
      <c r="P59" s="24" t="n"/>
      <c r="Q59" s="24" t="n"/>
    </row>
    <row r="60" ht="15" customHeight="1">
      <c r="A60" s="63">
        <f>IF(C60="","",IFERROR(IF(SUMPRODUCT(MAX((tbl_Finance[Job Number]=C60&amp;"")*(tbl_Finance[Xero Invoice No]&lt;&gt;"")*tbl_Finance[Date]))=0,"",SUMPRODUCT(MAX((tbl_Finance[Job Number]=C60&amp;"")*(tbl_Finance[Xero Invoice No]&lt;&gt;"")*tbl_Finance[Date]))),""))</f>
        <v/>
      </c>
      <c r="B60" s="25">
        <f>IF(C60="","",IF(COUNTIFS(tbl_Finance[Job Number],C60&amp;"",tbl_Finance[Xero Invoice No],"&lt;&gt;")=0,"",IFERROR(IF(COUNTIFS(tbl_Finance[Job Number],C60&amp;"",tbl_Finance[Xero Invoice No],LOOKUP(2,1/((tbl_Finance[Job Number]=C60&amp;"")*(tbl_Finance[Xero Invoice No]&lt;&gt;"")),tbl_Finance[Xero Invoice No]))=COUNTIFS(tbl_Finance[Job Number],C60&amp;"",tbl_Finance[Xero Invoice No],"&lt;&gt;"),LOOKUP(2,1/((tbl_Finance[Job Number]=C60&amp;"")*(tbl_Finance[Xero Invoice No]&lt;&gt;"")),tbl_Finance[Xero Invoice No]),LOOKUP(2,1/((tbl_Finance[Job Number]=C60&amp;"")*(tbl_Finance[Xero Invoice No]&lt;&gt;"")),tbl_Finance[Xero Invoice No])&amp;" +more"),"")))</f>
        <v/>
      </c>
      <c r="C60" s="24" t="n"/>
      <c r="D60" s="25">
        <f>IF(C60="","",IF(COUNTIF(lst_Jobs,C60&amp;"")&gt;0,"OK","CHECK"))</f>
        <v/>
      </c>
      <c r="E60" s="25">
        <f>IF(C60="","",IFERROR(INDEX(lst_JobName,MATCH(C60&amp;"",lst_Jobs,0)),""))</f>
        <v/>
      </c>
      <c r="F60" s="25">
        <f>IF(C60="","",IFERROR(INDEX(tbl_Finance[Client],MATCH(C60&amp;"",tbl_Finance[Job Number],0)),""))</f>
        <v/>
      </c>
      <c r="G60" s="28">
        <f>IF(C60="","",COUNTIFS(tbl_Finance[Job Number],C60&amp;"",tbl_Finance[Ex GST],"&lt;&gt;"))</f>
        <v/>
      </c>
      <c r="H60" s="27">
        <f>IF(C60="","",SUMIFS(tbl_Finance[Ex GST],tbl_Finance[Job Number],C60&amp;""))</f>
        <v/>
      </c>
      <c r="I60" s="27">
        <f>IF(C60="","",SUMIFS(tbl_Finance[Ex GST],tbl_Finance[Job Number],C60&amp;"",tbl_Finance[Xero Invoice No],"&lt;&gt;"))</f>
        <v/>
      </c>
      <c r="J60" s="27">
        <f>IF(C60="","",H60-I60)</f>
        <v/>
      </c>
      <c r="K60" s="25">
        <f>IF(C60="","",IF(G60=0,"not invoiced yet",SUBSTITUTE(TRIM(IF(COUNTIFS(tbl_Finance[Job Number],C60&amp;"",tbl_Finance[Cost Centre],"ONSITE")&gt;0,"ONSITE ","")&amp;IF(COUNTIFS(tbl_Finance[Job Number],C60&amp;"",tbl_Finance[Cost Centre],"PRODUCTION")&gt;0,"PRODUCTION ","")&amp;IF(COUNTIFS(tbl_Finance[Job Number],C60&amp;"",tbl_Finance[Cost Centre],"VIDEO")&gt;0,"VIDEO ","")&amp;IF(COUNTIFS(tbl_Finance[Job Number],C60&amp;"",tbl_Finance[Cost Centre],"INTEGRATION")&gt;0,"INTEGRATION ","")&amp;IF(COUNTIFS(tbl_Finance[Job Number],C60&amp;"",tbl_Finance[Cost Centre],"CONSULTING")&gt;0,"CONSULTING ","")&amp;IF(COUNTIFS(tbl_Finance[Job Number],C60&amp;"",tbl_Finance[Cost Centre],"CTS")&gt;0,"CTS ",""))," ",", ")))</f>
        <v/>
      </c>
      <c r="L60" s="24" t="n"/>
      <c r="M60" s="24" t="n"/>
      <c r="N60" s="25">
        <f>IF(M60="","",HYPERLINK(IF(LEFT(M60,4)="http",M60,set_QwilrBase&amp;M60),"Open quote"))</f>
        <v/>
      </c>
      <c r="O60" s="64" t="n"/>
      <c r="P60" s="24" t="n"/>
      <c r="Q60" s="24" t="n"/>
    </row>
    <row r="61" ht="15" customHeight="1">
      <c r="A61" s="63">
        <f>IF(C61="","",IFERROR(IF(SUMPRODUCT(MAX((tbl_Finance[Job Number]=C61&amp;"")*(tbl_Finance[Xero Invoice No]&lt;&gt;"")*tbl_Finance[Date]))=0,"",SUMPRODUCT(MAX((tbl_Finance[Job Number]=C61&amp;"")*(tbl_Finance[Xero Invoice No]&lt;&gt;"")*tbl_Finance[Date]))),""))</f>
        <v/>
      </c>
      <c r="B61" s="25">
        <f>IF(C61="","",IF(COUNTIFS(tbl_Finance[Job Number],C61&amp;"",tbl_Finance[Xero Invoice No],"&lt;&gt;")=0,"",IFERROR(IF(COUNTIFS(tbl_Finance[Job Number],C61&amp;"",tbl_Finance[Xero Invoice No],LOOKUP(2,1/((tbl_Finance[Job Number]=C61&amp;"")*(tbl_Finance[Xero Invoice No]&lt;&gt;"")),tbl_Finance[Xero Invoice No]))=COUNTIFS(tbl_Finance[Job Number],C61&amp;"",tbl_Finance[Xero Invoice No],"&lt;&gt;"),LOOKUP(2,1/((tbl_Finance[Job Number]=C61&amp;"")*(tbl_Finance[Xero Invoice No]&lt;&gt;"")),tbl_Finance[Xero Invoice No]),LOOKUP(2,1/((tbl_Finance[Job Number]=C61&amp;"")*(tbl_Finance[Xero Invoice No]&lt;&gt;"")),tbl_Finance[Xero Invoice No])&amp;" +more"),"")))</f>
        <v/>
      </c>
      <c r="C61" s="24" t="n"/>
      <c r="D61" s="25">
        <f>IF(C61="","",IF(COUNTIF(lst_Jobs,C61&amp;"")&gt;0,"OK","CHECK"))</f>
        <v/>
      </c>
      <c r="E61" s="25">
        <f>IF(C61="","",IFERROR(INDEX(lst_JobName,MATCH(C61&amp;"",lst_Jobs,0)),""))</f>
        <v/>
      </c>
      <c r="F61" s="25">
        <f>IF(C61="","",IFERROR(INDEX(tbl_Finance[Client],MATCH(C61&amp;"",tbl_Finance[Job Number],0)),""))</f>
        <v/>
      </c>
      <c r="G61" s="28">
        <f>IF(C61="","",COUNTIFS(tbl_Finance[Job Number],C61&amp;"",tbl_Finance[Ex GST],"&lt;&gt;"))</f>
        <v/>
      </c>
      <c r="H61" s="27">
        <f>IF(C61="","",SUMIFS(tbl_Finance[Ex GST],tbl_Finance[Job Number],C61&amp;""))</f>
        <v/>
      </c>
      <c r="I61" s="27">
        <f>IF(C61="","",SUMIFS(tbl_Finance[Ex GST],tbl_Finance[Job Number],C61&amp;"",tbl_Finance[Xero Invoice No],"&lt;&gt;"))</f>
        <v/>
      </c>
      <c r="J61" s="27">
        <f>IF(C61="","",H61-I61)</f>
        <v/>
      </c>
      <c r="K61" s="25">
        <f>IF(C61="","",IF(G61=0,"not invoiced yet",SUBSTITUTE(TRIM(IF(COUNTIFS(tbl_Finance[Job Number],C61&amp;"",tbl_Finance[Cost Centre],"ONSITE")&gt;0,"ONSITE ","")&amp;IF(COUNTIFS(tbl_Finance[Job Number],C61&amp;"",tbl_Finance[Cost Centre],"PRODUCTION")&gt;0,"PRODUCTION ","")&amp;IF(COUNTIFS(tbl_Finance[Job Number],C61&amp;"",tbl_Finance[Cost Centre],"VIDEO")&gt;0,"VIDEO ","")&amp;IF(COUNTIFS(tbl_Finance[Job Number],C61&amp;"",tbl_Finance[Cost Centre],"INTEGRATION")&gt;0,"INTEGRATION ","")&amp;IF(COUNTIFS(tbl_Finance[Job Number],C61&amp;"",tbl_Finance[Cost Centre],"CONSULTING")&gt;0,"CONSULTING ","")&amp;IF(COUNTIFS(tbl_Finance[Job Number],C61&amp;"",tbl_Finance[Cost Centre],"CTS")&gt;0,"CTS ",""))," ",", ")))</f>
        <v/>
      </c>
      <c r="L61" s="24" t="n"/>
      <c r="M61" s="24" t="n"/>
      <c r="N61" s="25">
        <f>IF(M61="","",HYPERLINK(IF(LEFT(M61,4)="http",M61,set_QwilrBase&amp;M61),"Open quote"))</f>
        <v/>
      </c>
      <c r="O61" s="64" t="n"/>
      <c r="P61" s="24" t="n"/>
      <c r="Q61" s="24" t="n"/>
    </row>
    <row r="62" ht="15" customHeight="1">
      <c r="A62" s="63">
        <f>IF(C62="","",IFERROR(IF(SUMPRODUCT(MAX((tbl_Finance[Job Number]=C62&amp;"")*(tbl_Finance[Xero Invoice No]&lt;&gt;"")*tbl_Finance[Date]))=0,"",SUMPRODUCT(MAX((tbl_Finance[Job Number]=C62&amp;"")*(tbl_Finance[Xero Invoice No]&lt;&gt;"")*tbl_Finance[Date]))),""))</f>
        <v/>
      </c>
      <c r="B62" s="25">
        <f>IF(C62="","",IF(COUNTIFS(tbl_Finance[Job Number],C62&amp;"",tbl_Finance[Xero Invoice No],"&lt;&gt;")=0,"",IFERROR(IF(COUNTIFS(tbl_Finance[Job Number],C62&amp;"",tbl_Finance[Xero Invoice No],LOOKUP(2,1/((tbl_Finance[Job Number]=C62&amp;"")*(tbl_Finance[Xero Invoice No]&lt;&gt;"")),tbl_Finance[Xero Invoice No]))=COUNTIFS(tbl_Finance[Job Number],C62&amp;"",tbl_Finance[Xero Invoice No],"&lt;&gt;"),LOOKUP(2,1/((tbl_Finance[Job Number]=C62&amp;"")*(tbl_Finance[Xero Invoice No]&lt;&gt;"")),tbl_Finance[Xero Invoice No]),LOOKUP(2,1/((tbl_Finance[Job Number]=C62&amp;"")*(tbl_Finance[Xero Invoice No]&lt;&gt;"")),tbl_Finance[Xero Invoice No])&amp;" +more"),"")))</f>
        <v/>
      </c>
      <c r="C62" s="24" t="n"/>
      <c r="D62" s="25">
        <f>IF(C62="","",IF(COUNTIF(lst_Jobs,C62&amp;"")&gt;0,"OK","CHECK"))</f>
        <v/>
      </c>
      <c r="E62" s="25">
        <f>IF(C62="","",IFERROR(INDEX(lst_JobName,MATCH(C62&amp;"",lst_Jobs,0)),""))</f>
        <v/>
      </c>
      <c r="F62" s="25">
        <f>IF(C62="","",IFERROR(INDEX(tbl_Finance[Client],MATCH(C62&amp;"",tbl_Finance[Job Number],0)),""))</f>
        <v/>
      </c>
      <c r="G62" s="28">
        <f>IF(C62="","",COUNTIFS(tbl_Finance[Job Number],C62&amp;"",tbl_Finance[Ex GST],"&lt;&gt;"))</f>
        <v/>
      </c>
      <c r="H62" s="27">
        <f>IF(C62="","",SUMIFS(tbl_Finance[Ex GST],tbl_Finance[Job Number],C62&amp;""))</f>
        <v/>
      </c>
      <c r="I62" s="27">
        <f>IF(C62="","",SUMIFS(tbl_Finance[Ex GST],tbl_Finance[Job Number],C62&amp;"",tbl_Finance[Xero Invoice No],"&lt;&gt;"))</f>
        <v/>
      </c>
      <c r="J62" s="27">
        <f>IF(C62="","",H62-I62)</f>
        <v/>
      </c>
      <c r="K62" s="25">
        <f>IF(C62="","",IF(G62=0,"not invoiced yet",SUBSTITUTE(TRIM(IF(COUNTIFS(tbl_Finance[Job Number],C62&amp;"",tbl_Finance[Cost Centre],"ONSITE")&gt;0,"ONSITE ","")&amp;IF(COUNTIFS(tbl_Finance[Job Number],C62&amp;"",tbl_Finance[Cost Centre],"PRODUCTION")&gt;0,"PRODUCTION ","")&amp;IF(COUNTIFS(tbl_Finance[Job Number],C62&amp;"",tbl_Finance[Cost Centre],"VIDEO")&gt;0,"VIDEO ","")&amp;IF(COUNTIFS(tbl_Finance[Job Number],C62&amp;"",tbl_Finance[Cost Centre],"INTEGRATION")&gt;0,"INTEGRATION ","")&amp;IF(COUNTIFS(tbl_Finance[Job Number],C62&amp;"",tbl_Finance[Cost Centre],"CONSULTING")&gt;0,"CONSULTING ","")&amp;IF(COUNTIFS(tbl_Finance[Job Number],C62&amp;"",tbl_Finance[Cost Centre],"CTS")&gt;0,"CTS ",""))," ",", ")))</f>
        <v/>
      </c>
      <c r="L62" s="24" t="n"/>
      <c r="M62" s="24" t="n"/>
      <c r="N62" s="25">
        <f>IF(M62="","",HYPERLINK(IF(LEFT(M62,4)="http",M62,set_QwilrBase&amp;M62),"Open quote"))</f>
        <v/>
      </c>
      <c r="O62" s="64" t="n"/>
      <c r="P62" s="24" t="n"/>
      <c r="Q62" s="24" t="n"/>
    </row>
    <row r="63" ht="15" customHeight="1">
      <c r="A63" s="63">
        <f>IF(C63="","",IFERROR(IF(SUMPRODUCT(MAX((tbl_Finance[Job Number]=C63&amp;"")*(tbl_Finance[Xero Invoice No]&lt;&gt;"")*tbl_Finance[Date]))=0,"",SUMPRODUCT(MAX((tbl_Finance[Job Number]=C63&amp;"")*(tbl_Finance[Xero Invoice No]&lt;&gt;"")*tbl_Finance[Date]))),""))</f>
        <v/>
      </c>
      <c r="B63" s="25">
        <f>IF(C63="","",IF(COUNTIFS(tbl_Finance[Job Number],C63&amp;"",tbl_Finance[Xero Invoice No],"&lt;&gt;")=0,"",IFERROR(IF(COUNTIFS(tbl_Finance[Job Number],C63&amp;"",tbl_Finance[Xero Invoice No],LOOKUP(2,1/((tbl_Finance[Job Number]=C63&amp;"")*(tbl_Finance[Xero Invoice No]&lt;&gt;"")),tbl_Finance[Xero Invoice No]))=COUNTIFS(tbl_Finance[Job Number],C63&amp;"",tbl_Finance[Xero Invoice No],"&lt;&gt;"),LOOKUP(2,1/((tbl_Finance[Job Number]=C63&amp;"")*(tbl_Finance[Xero Invoice No]&lt;&gt;"")),tbl_Finance[Xero Invoice No]),LOOKUP(2,1/((tbl_Finance[Job Number]=C63&amp;"")*(tbl_Finance[Xero Invoice No]&lt;&gt;"")),tbl_Finance[Xero Invoice No])&amp;" +more"),"")))</f>
        <v/>
      </c>
      <c r="C63" s="24" t="n"/>
      <c r="D63" s="25">
        <f>IF(C63="","",IF(COUNTIF(lst_Jobs,C63&amp;"")&gt;0,"OK","CHECK"))</f>
        <v/>
      </c>
      <c r="E63" s="25">
        <f>IF(C63="","",IFERROR(INDEX(lst_JobName,MATCH(C63&amp;"",lst_Jobs,0)),""))</f>
        <v/>
      </c>
      <c r="F63" s="25">
        <f>IF(C63="","",IFERROR(INDEX(tbl_Finance[Client],MATCH(C63&amp;"",tbl_Finance[Job Number],0)),""))</f>
        <v/>
      </c>
      <c r="G63" s="28">
        <f>IF(C63="","",COUNTIFS(tbl_Finance[Job Number],C63&amp;"",tbl_Finance[Ex GST],"&lt;&gt;"))</f>
        <v/>
      </c>
      <c r="H63" s="27">
        <f>IF(C63="","",SUMIFS(tbl_Finance[Ex GST],tbl_Finance[Job Number],C63&amp;""))</f>
        <v/>
      </c>
      <c r="I63" s="27">
        <f>IF(C63="","",SUMIFS(tbl_Finance[Ex GST],tbl_Finance[Job Number],C63&amp;"",tbl_Finance[Xero Invoice No],"&lt;&gt;"))</f>
        <v/>
      </c>
      <c r="J63" s="27">
        <f>IF(C63="","",H63-I63)</f>
        <v/>
      </c>
      <c r="K63" s="25">
        <f>IF(C63="","",IF(G63=0,"not invoiced yet",SUBSTITUTE(TRIM(IF(COUNTIFS(tbl_Finance[Job Number],C63&amp;"",tbl_Finance[Cost Centre],"ONSITE")&gt;0,"ONSITE ","")&amp;IF(COUNTIFS(tbl_Finance[Job Number],C63&amp;"",tbl_Finance[Cost Centre],"PRODUCTION")&gt;0,"PRODUCTION ","")&amp;IF(COUNTIFS(tbl_Finance[Job Number],C63&amp;"",tbl_Finance[Cost Centre],"VIDEO")&gt;0,"VIDEO ","")&amp;IF(COUNTIFS(tbl_Finance[Job Number],C63&amp;"",tbl_Finance[Cost Centre],"INTEGRATION")&gt;0,"INTEGRATION ","")&amp;IF(COUNTIFS(tbl_Finance[Job Number],C63&amp;"",tbl_Finance[Cost Centre],"CONSULTING")&gt;0,"CONSULTING ","")&amp;IF(COUNTIFS(tbl_Finance[Job Number],C63&amp;"",tbl_Finance[Cost Centre],"CTS")&gt;0,"CTS ",""))," ",", ")))</f>
        <v/>
      </c>
      <c r="L63" s="24" t="n"/>
      <c r="M63" s="24" t="n"/>
      <c r="N63" s="25">
        <f>IF(M63="","",HYPERLINK(IF(LEFT(M63,4)="http",M63,set_QwilrBase&amp;M63),"Open quote"))</f>
        <v/>
      </c>
      <c r="O63" s="64" t="n"/>
      <c r="P63" s="24" t="n"/>
      <c r="Q63" s="24" t="n"/>
    </row>
    <row r="64" ht="15" customHeight="1">
      <c r="A64" s="63">
        <f>IF(C64="","",IFERROR(IF(SUMPRODUCT(MAX((tbl_Finance[Job Number]=C64&amp;"")*(tbl_Finance[Xero Invoice No]&lt;&gt;"")*tbl_Finance[Date]))=0,"",SUMPRODUCT(MAX((tbl_Finance[Job Number]=C64&amp;"")*(tbl_Finance[Xero Invoice No]&lt;&gt;"")*tbl_Finance[Date]))),""))</f>
        <v/>
      </c>
      <c r="B64" s="25">
        <f>IF(C64="","",IF(COUNTIFS(tbl_Finance[Job Number],C64&amp;"",tbl_Finance[Xero Invoice No],"&lt;&gt;")=0,"",IFERROR(IF(COUNTIFS(tbl_Finance[Job Number],C64&amp;"",tbl_Finance[Xero Invoice No],LOOKUP(2,1/((tbl_Finance[Job Number]=C64&amp;"")*(tbl_Finance[Xero Invoice No]&lt;&gt;"")),tbl_Finance[Xero Invoice No]))=COUNTIFS(tbl_Finance[Job Number],C64&amp;"",tbl_Finance[Xero Invoice No],"&lt;&gt;"),LOOKUP(2,1/((tbl_Finance[Job Number]=C64&amp;"")*(tbl_Finance[Xero Invoice No]&lt;&gt;"")),tbl_Finance[Xero Invoice No]),LOOKUP(2,1/((tbl_Finance[Job Number]=C64&amp;"")*(tbl_Finance[Xero Invoice No]&lt;&gt;"")),tbl_Finance[Xero Invoice No])&amp;" +more"),"")))</f>
        <v/>
      </c>
      <c r="C64" s="24" t="n"/>
      <c r="D64" s="25">
        <f>IF(C64="","",IF(COUNTIF(lst_Jobs,C64&amp;"")&gt;0,"OK","CHECK"))</f>
        <v/>
      </c>
      <c r="E64" s="25">
        <f>IF(C64="","",IFERROR(INDEX(lst_JobName,MATCH(C64&amp;"",lst_Jobs,0)),""))</f>
        <v/>
      </c>
      <c r="F64" s="25">
        <f>IF(C64="","",IFERROR(INDEX(tbl_Finance[Client],MATCH(C64&amp;"",tbl_Finance[Job Number],0)),""))</f>
        <v/>
      </c>
      <c r="G64" s="28">
        <f>IF(C64="","",COUNTIFS(tbl_Finance[Job Number],C64&amp;"",tbl_Finance[Ex GST],"&lt;&gt;"))</f>
        <v/>
      </c>
      <c r="H64" s="27">
        <f>IF(C64="","",SUMIFS(tbl_Finance[Ex GST],tbl_Finance[Job Number],C64&amp;""))</f>
        <v/>
      </c>
      <c r="I64" s="27">
        <f>IF(C64="","",SUMIFS(tbl_Finance[Ex GST],tbl_Finance[Job Number],C64&amp;"",tbl_Finance[Xero Invoice No],"&lt;&gt;"))</f>
        <v/>
      </c>
      <c r="J64" s="27">
        <f>IF(C64="","",H64-I64)</f>
        <v/>
      </c>
      <c r="K64" s="25">
        <f>IF(C64="","",IF(G64=0,"not invoiced yet",SUBSTITUTE(TRIM(IF(COUNTIFS(tbl_Finance[Job Number],C64&amp;"",tbl_Finance[Cost Centre],"ONSITE")&gt;0,"ONSITE ","")&amp;IF(COUNTIFS(tbl_Finance[Job Number],C64&amp;"",tbl_Finance[Cost Centre],"PRODUCTION")&gt;0,"PRODUCTION ","")&amp;IF(COUNTIFS(tbl_Finance[Job Number],C64&amp;"",tbl_Finance[Cost Centre],"VIDEO")&gt;0,"VIDEO ","")&amp;IF(COUNTIFS(tbl_Finance[Job Number],C64&amp;"",tbl_Finance[Cost Centre],"INTEGRATION")&gt;0,"INTEGRATION ","")&amp;IF(COUNTIFS(tbl_Finance[Job Number],C64&amp;"",tbl_Finance[Cost Centre],"CONSULTING")&gt;0,"CONSULTING ","")&amp;IF(COUNTIFS(tbl_Finance[Job Number],C64&amp;"",tbl_Finance[Cost Centre],"CTS")&gt;0,"CTS ",""))," ",", ")))</f>
        <v/>
      </c>
      <c r="L64" s="24" t="n"/>
      <c r="M64" s="24" t="n"/>
      <c r="N64" s="25">
        <f>IF(M64="","",HYPERLINK(IF(LEFT(M64,4)="http",M64,set_QwilrBase&amp;M64),"Open quote"))</f>
        <v/>
      </c>
      <c r="O64" s="64" t="n"/>
      <c r="P64" s="24" t="n"/>
      <c r="Q64" s="24" t="n"/>
    </row>
    <row r="65" ht="15" customHeight="1">
      <c r="A65" s="63">
        <f>IF(C65="","",IFERROR(IF(SUMPRODUCT(MAX((tbl_Finance[Job Number]=C65&amp;"")*(tbl_Finance[Xero Invoice No]&lt;&gt;"")*tbl_Finance[Date]))=0,"",SUMPRODUCT(MAX((tbl_Finance[Job Number]=C65&amp;"")*(tbl_Finance[Xero Invoice No]&lt;&gt;"")*tbl_Finance[Date]))),""))</f>
        <v/>
      </c>
      <c r="B65" s="25">
        <f>IF(C65="","",IF(COUNTIFS(tbl_Finance[Job Number],C65&amp;"",tbl_Finance[Xero Invoice No],"&lt;&gt;")=0,"",IFERROR(IF(COUNTIFS(tbl_Finance[Job Number],C65&amp;"",tbl_Finance[Xero Invoice No],LOOKUP(2,1/((tbl_Finance[Job Number]=C65&amp;"")*(tbl_Finance[Xero Invoice No]&lt;&gt;"")),tbl_Finance[Xero Invoice No]))=COUNTIFS(tbl_Finance[Job Number],C65&amp;"",tbl_Finance[Xero Invoice No],"&lt;&gt;"),LOOKUP(2,1/((tbl_Finance[Job Number]=C65&amp;"")*(tbl_Finance[Xero Invoice No]&lt;&gt;"")),tbl_Finance[Xero Invoice No]),LOOKUP(2,1/((tbl_Finance[Job Number]=C65&amp;"")*(tbl_Finance[Xero Invoice No]&lt;&gt;"")),tbl_Finance[Xero Invoice No])&amp;" +more"),"")))</f>
        <v/>
      </c>
      <c r="C65" s="24" t="n"/>
      <c r="D65" s="25">
        <f>IF(C65="","",IF(COUNTIF(lst_Jobs,C65&amp;"")&gt;0,"OK","CHECK"))</f>
        <v/>
      </c>
      <c r="E65" s="25">
        <f>IF(C65="","",IFERROR(INDEX(lst_JobName,MATCH(C65&amp;"",lst_Jobs,0)),""))</f>
        <v/>
      </c>
      <c r="F65" s="25">
        <f>IF(C65="","",IFERROR(INDEX(tbl_Finance[Client],MATCH(C65&amp;"",tbl_Finance[Job Number],0)),""))</f>
        <v/>
      </c>
      <c r="G65" s="28">
        <f>IF(C65="","",COUNTIFS(tbl_Finance[Job Number],C65&amp;"",tbl_Finance[Ex GST],"&lt;&gt;"))</f>
        <v/>
      </c>
      <c r="H65" s="27">
        <f>IF(C65="","",SUMIFS(tbl_Finance[Ex GST],tbl_Finance[Job Number],C65&amp;""))</f>
        <v/>
      </c>
      <c r="I65" s="27">
        <f>IF(C65="","",SUMIFS(tbl_Finance[Ex GST],tbl_Finance[Job Number],C65&amp;"",tbl_Finance[Xero Invoice No],"&lt;&gt;"))</f>
        <v/>
      </c>
      <c r="J65" s="27">
        <f>IF(C65="","",H65-I65)</f>
        <v/>
      </c>
      <c r="K65" s="25">
        <f>IF(C65="","",IF(G65=0,"not invoiced yet",SUBSTITUTE(TRIM(IF(COUNTIFS(tbl_Finance[Job Number],C65&amp;"",tbl_Finance[Cost Centre],"ONSITE")&gt;0,"ONSITE ","")&amp;IF(COUNTIFS(tbl_Finance[Job Number],C65&amp;"",tbl_Finance[Cost Centre],"PRODUCTION")&gt;0,"PRODUCTION ","")&amp;IF(COUNTIFS(tbl_Finance[Job Number],C65&amp;"",tbl_Finance[Cost Centre],"VIDEO")&gt;0,"VIDEO ","")&amp;IF(COUNTIFS(tbl_Finance[Job Number],C65&amp;"",tbl_Finance[Cost Centre],"INTEGRATION")&gt;0,"INTEGRATION ","")&amp;IF(COUNTIFS(tbl_Finance[Job Number],C65&amp;"",tbl_Finance[Cost Centre],"CONSULTING")&gt;0,"CONSULTING ","")&amp;IF(COUNTIFS(tbl_Finance[Job Number],C65&amp;"",tbl_Finance[Cost Centre],"CTS")&gt;0,"CTS ",""))," ",", ")))</f>
        <v/>
      </c>
      <c r="L65" s="24" t="n"/>
      <c r="M65" s="24" t="n"/>
      <c r="N65" s="25">
        <f>IF(M65="","",HYPERLINK(IF(LEFT(M65,4)="http",M65,set_QwilrBase&amp;M65),"Open quote"))</f>
        <v/>
      </c>
      <c r="O65" s="64" t="n"/>
      <c r="P65" s="24" t="n"/>
      <c r="Q65" s="24" t="n"/>
    </row>
    <row r="66" ht="15" customHeight="1">
      <c r="A66" s="63">
        <f>IF(C66="","",IFERROR(IF(SUMPRODUCT(MAX((tbl_Finance[Job Number]=C66&amp;"")*(tbl_Finance[Xero Invoice No]&lt;&gt;"")*tbl_Finance[Date]))=0,"",SUMPRODUCT(MAX((tbl_Finance[Job Number]=C66&amp;"")*(tbl_Finance[Xero Invoice No]&lt;&gt;"")*tbl_Finance[Date]))),""))</f>
        <v/>
      </c>
      <c r="B66" s="25">
        <f>IF(C66="","",IF(COUNTIFS(tbl_Finance[Job Number],C66&amp;"",tbl_Finance[Xero Invoice No],"&lt;&gt;")=0,"",IFERROR(IF(COUNTIFS(tbl_Finance[Job Number],C66&amp;"",tbl_Finance[Xero Invoice No],LOOKUP(2,1/((tbl_Finance[Job Number]=C66&amp;"")*(tbl_Finance[Xero Invoice No]&lt;&gt;"")),tbl_Finance[Xero Invoice No]))=COUNTIFS(tbl_Finance[Job Number],C66&amp;"",tbl_Finance[Xero Invoice No],"&lt;&gt;"),LOOKUP(2,1/((tbl_Finance[Job Number]=C66&amp;"")*(tbl_Finance[Xero Invoice No]&lt;&gt;"")),tbl_Finance[Xero Invoice No]),LOOKUP(2,1/((tbl_Finance[Job Number]=C66&amp;"")*(tbl_Finance[Xero Invoice No]&lt;&gt;"")),tbl_Finance[Xero Invoice No])&amp;" +more"),"")))</f>
        <v/>
      </c>
      <c r="C66" s="24" t="n"/>
      <c r="D66" s="25">
        <f>IF(C66="","",IF(COUNTIF(lst_Jobs,C66&amp;"")&gt;0,"OK","CHECK"))</f>
        <v/>
      </c>
      <c r="E66" s="25">
        <f>IF(C66="","",IFERROR(INDEX(lst_JobName,MATCH(C66&amp;"",lst_Jobs,0)),""))</f>
        <v/>
      </c>
      <c r="F66" s="25">
        <f>IF(C66="","",IFERROR(INDEX(tbl_Finance[Client],MATCH(C66&amp;"",tbl_Finance[Job Number],0)),""))</f>
        <v/>
      </c>
      <c r="G66" s="28">
        <f>IF(C66="","",COUNTIFS(tbl_Finance[Job Number],C66&amp;"",tbl_Finance[Ex GST],"&lt;&gt;"))</f>
        <v/>
      </c>
      <c r="H66" s="27">
        <f>IF(C66="","",SUMIFS(tbl_Finance[Ex GST],tbl_Finance[Job Number],C66&amp;""))</f>
        <v/>
      </c>
      <c r="I66" s="27">
        <f>IF(C66="","",SUMIFS(tbl_Finance[Ex GST],tbl_Finance[Job Number],C66&amp;"",tbl_Finance[Xero Invoice No],"&lt;&gt;"))</f>
        <v/>
      </c>
      <c r="J66" s="27">
        <f>IF(C66="","",H66-I66)</f>
        <v/>
      </c>
      <c r="K66" s="25">
        <f>IF(C66="","",IF(G66=0,"not invoiced yet",SUBSTITUTE(TRIM(IF(COUNTIFS(tbl_Finance[Job Number],C66&amp;"",tbl_Finance[Cost Centre],"ONSITE")&gt;0,"ONSITE ","")&amp;IF(COUNTIFS(tbl_Finance[Job Number],C66&amp;"",tbl_Finance[Cost Centre],"PRODUCTION")&gt;0,"PRODUCTION ","")&amp;IF(COUNTIFS(tbl_Finance[Job Number],C66&amp;"",tbl_Finance[Cost Centre],"VIDEO")&gt;0,"VIDEO ","")&amp;IF(COUNTIFS(tbl_Finance[Job Number],C66&amp;"",tbl_Finance[Cost Centre],"INTEGRATION")&gt;0,"INTEGRATION ","")&amp;IF(COUNTIFS(tbl_Finance[Job Number],C66&amp;"",tbl_Finance[Cost Centre],"CONSULTING")&gt;0,"CONSULTING ","")&amp;IF(COUNTIFS(tbl_Finance[Job Number],C66&amp;"",tbl_Finance[Cost Centre],"CTS")&gt;0,"CTS ",""))," ",", ")))</f>
        <v/>
      </c>
      <c r="L66" s="24" t="n"/>
      <c r="M66" s="24" t="n"/>
      <c r="N66" s="25">
        <f>IF(M66="","",HYPERLINK(IF(LEFT(M66,4)="http",M66,set_QwilrBase&amp;M66),"Open quote"))</f>
        <v/>
      </c>
      <c r="O66" s="64" t="n"/>
      <c r="P66" s="24" t="n"/>
      <c r="Q66" s="24" t="n"/>
    </row>
    <row r="67" ht="15" customHeight="1">
      <c r="A67" s="63">
        <f>IF(C67="","",IFERROR(IF(SUMPRODUCT(MAX((tbl_Finance[Job Number]=C67&amp;"")*(tbl_Finance[Xero Invoice No]&lt;&gt;"")*tbl_Finance[Date]))=0,"",SUMPRODUCT(MAX((tbl_Finance[Job Number]=C67&amp;"")*(tbl_Finance[Xero Invoice No]&lt;&gt;"")*tbl_Finance[Date]))),""))</f>
        <v/>
      </c>
      <c r="B67" s="25">
        <f>IF(C67="","",IF(COUNTIFS(tbl_Finance[Job Number],C67&amp;"",tbl_Finance[Xero Invoice No],"&lt;&gt;")=0,"",IFERROR(IF(COUNTIFS(tbl_Finance[Job Number],C67&amp;"",tbl_Finance[Xero Invoice No],LOOKUP(2,1/((tbl_Finance[Job Number]=C67&amp;"")*(tbl_Finance[Xero Invoice No]&lt;&gt;"")),tbl_Finance[Xero Invoice No]))=COUNTIFS(tbl_Finance[Job Number],C67&amp;"",tbl_Finance[Xero Invoice No],"&lt;&gt;"),LOOKUP(2,1/((tbl_Finance[Job Number]=C67&amp;"")*(tbl_Finance[Xero Invoice No]&lt;&gt;"")),tbl_Finance[Xero Invoice No]),LOOKUP(2,1/((tbl_Finance[Job Number]=C67&amp;"")*(tbl_Finance[Xero Invoice No]&lt;&gt;"")),tbl_Finance[Xero Invoice No])&amp;" +more"),"")))</f>
        <v/>
      </c>
      <c r="C67" s="24" t="n"/>
      <c r="D67" s="25">
        <f>IF(C67="","",IF(COUNTIF(lst_Jobs,C67&amp;"")&gt;0,"OK","CHECK"))</f>
        <v/>
      </c>
      <c r="E67" s="25">
        <f>IF(C67="","",IFERROR(INDEX(lst_JobName,MATCH(C67&amp;"",lst_Jobs,0)),""))</f>
        <v/>
      </c>
      <c r="F67" s="25">
        <f>IF(C67="","",IFERROR(INDEX(tbl_Finance[Client],MATCH(C67&amp;"",tbl_Finance[Job Number],0)),""))</f>
        <v/>
      </c>
      <c r="G67" s="28">
        <f>IF(C67="","",COUNTIFS(tbl_Finance[Job Number],C67&amp;"",tbl_Finance[Ex GST],"&lt;&gt;"))</f>
        <v/>
      </c>
      <c r="H67" s="27">
        <f>IF(C67="","",SUMIFS(tbl_Finance[Ex GST],tbl_Finance[Job Number],C67&amp;""))</f>
        <v/>
      </c>
      <c r="I67" s="27">
        <f>IF(C67="","",SUMIFS(tbl_Finance[Ex GST],tbl_Finance[Job Number],C67&amp;"",tbl_Finance[Xero Invoice No],"&lt;&gt;"))</f>
        <v/>
      </c>
      <c r="J67" s="27">
        <f>IF(C67="","",H67-I67)</f>
        <v/>
      </c>
      <c r="K67" s="25">
        <f>IF(C67="","",IF(G67=0,"not invoiced yet",SUBSTITUTE(TRIM(IF(COUNTIFS(tbl_Finance[Job Number],C67&amp;"",tbl_Finance[Cost Centre],"ONSITE")&gt;0,"ONSITE ","")&amp;IF(COUNTIFS(tbl_Finance[Job Number],C67&amp;"",tbl_Finance[Cost Centre],"PRODUCTION")&gt;0,"PRODUCTION ","")&amp;IF(COUNTIFS(tbl_Finance[Job Number],C67&amp;"",tbl_Finance[Cost Centre],"VIDEO")&gt;0,"VIDEO ","")&amp;IF(COUNTIFS(tbl_Finance[Job Number],C67&amp;"",tbl_Finance[Cost Centre],"INTEGRATION")&gt;0,"INTEGRATION ","")&amp;IF(COUNTIFS(tbl_Finance[Job Number],C67&amp;"",tbl_Finance[Cost Centre],"CONSULTING")&gt;0,"CONSULTING ","")&amp;IF(COUNTIFS(tbl_Finance[Job Number],C67&amp;"",tbl_Finance[Cost Centre],"CTS")&gt;0,"CTS ",""))," ",", ")))</f>
        <v/>
      </c>
      <c r="L67" s="24" t="n"/>
      <c r="M67" s="24" t="n"/>
      <c r="N67" s="25">
        <f>IF(M67="","",HYPERLINK(IF(LEFT(M67,4)="http",M67,set_QwilrBase&amp;M67),"Open quote"))</f>
        <v/>
      </c>
      <c r="O67" s="64" t="n"/>
      <c r="P67" s="24" t="n"/>
      <c r="Q67" s="24" t="n"/>
    </row>
    <row r="68" ht="15" customHeight="1">
      <c r="A68" s="63">
        <f>IF(C68="","",IFERROR(IF(SUMPRODUCT(MAX((tbl_Finance[Job Number]=C68&amp;"")*(tbl_Finance[Xero Invoice No]&lt;&gt;"")*tbl_Finance[Date]))=0,"",SUMPRODUCT(MAX((tbl_Finance[Job Number]=C68&amp;"")*(tbl_Finance[Xero Invoice No]&lt;&gt;"")*tbl_Finance[Date]))),""))</f>
        <v/>
      </c>
      <c r="B68" s="25">
        <f>IF(C68="","",IF(COUNTIFS(tbl_Finance[Job Number],C68&amp;"",tbl_Finance[Xero Invoice No],"&lt;&gt;")=0,"",IFERROR(IF(COUNTIFS(tbl_Finance[Job Number],C68&amp;"",tbl_Finance[Xero Invoice No],LOOKUP(2,1/((tbl_Finance[Job Number]=C68&amp;"")*(tbl_Finance[Xero Invoice No]&lt;&gt;"")),tbl_Finance[Xero Invoice No]))=COUNTIFS(tbl_Finance[Job Number],C68&amp;"",tbl_Finance[Xero Invoice No],"&lt;&gt;"),LOOKUP(2,1/((tbl_Finance[Job Number]=C68&amp;"")*(tbl_Finance[Xero Invoice No]&lt;&gt;"")),tbl_Finance[Xero Invoice No]),LOOKUP(2,1/((tbl_Finance[Job Number]=C68&amp;"")*(tbl_Finance[Xero Invoice No]&lt;&gt;"")),tbl_Finance[Xero Invoice No])&amp;" +more"),"")))</f>
        <v/>
      </c>
      <c r="C68" s="24" t="n"/>
      <c r="D68" s="25">
        <f>IF(C68="","",IF(COUNTIF(lst_Jobs,C68&amp;"")&gt;0,"OK","CHECK"))</f>
        <v/>
      </c>
      <c r="E68" s="25">
        <f>IF(C68="","",IFERROR(INDEX(lst_JobName,MATCH(C68&amp;"",lst_Jobs,0)),""))</f>
        <v/>
      </c>
      <c r="F68" s="25">
        <f>IF(C68="","",IFERROR(INDEX(tbl_Finance[Client],MATCH(C68&amp;"",tbl_Finance[Job Number],0)),""))</f>
        <v/>
      </c>
      <c r="G68" s="28">
        <f>IF(C68="","",COUNTIFS(tbl_Finance[Job Number],C68&amp;"",tbl_Finance[Ex GST],"&lt;&gt;"))</f>
        <v/>
      </c>
      <c r="H68" s="27">
        <f>IF(C68="","",SUMIFS(tbl_Finance[Ex GST],tbl_Finance[Job Number],C68&amp;""))</f>
        <v/>
      </c>
      <c r="I68" s="27">
        <f>IF(C68="","",SUMIFS(tbl_Finance[Ex GST],tbl_Finance[Job Number],C68&amp;"",tbl_Finance[Xero Invoice No],"&lt;&gt;"))</f>
        <v/>
      </c>
      <c r="J68" s="27">
        <f>IF(C68="","",H68-I68)</f>
        <v/>
      </c>
      <c r="K68" s="25">
        <f>IF(C68="","",IF(G68=0,"not invoiced yet",SUBSTITUTE(TRIM(IF(COUNTIFS(tbl_Finance[Job Number],C68&amp;"",tbl_Finance[Cost Centre],"ONSITE")&gt;0,"ONSITE ","")&amp;IF(COUNTIFS(tbl_Finance[Job Number],C68&amp;"",tbl_Finance[Cost Centre],"PRODUCTION")&gt;0,"PRODUCTION ","")&amp;IF(COUNTIFS(tbl_Finance[Job Number],C68&amp;"",tbl_Finance[Cost Centre],"VIDEO")&gt;0,"VIDEO ","")&amp;IF(COUNTIFS(tbl_Finance[Job Number],C68&amp;"",tbl_Finance[Cost Centre],"INTEGRATION")&gt;0,"INTEGRATION ","")&amp;IF(COUNTIFS(tbl_Finance[Job Number],C68&amp;"",tbl_Finance[Cost Centre],"CONSULTING")&gt;0,"CONSULTING ","")&amp;IF(COUNTIFS(tbl_Finance[Job Number],C68&amp;"",tbl_Finance[Cost Centre],"CTS")&gt;0,"CTS ",""))," ",", ")))</f>
        <v/>
      </c>
      <c r="L68" s="24" t="n"/>
      <c r="M68" s="24" t="n"/>
      <c r="N68" s="25">
        <f>IF(M68="","",HYPERLINK(IF(LEFT(M68,4)="http",M68,set_QwilrBase&amp;M68),"Open quote"))</f>
        <v/>
      </c>
      <c r="O68" s="64" t="n"/>
      <c r="P68" s="24" t="n"/>
      <c r="Q68" s="24" t="n"/>
    </row>
    <row r="69" ht="15" customHeight="1">
      <c r="A69" s="63">
        <f>IF(C69="","",IFERROR(IF(SUMPRODUCT(MAX((tbl_Finance[Job Number]=C69&amp;"")*(tbl_Finance[Xero Invoice No]&lt;&gt;"")*tbl_Finance[Date]))=0,"",SUMPRODUCT(MAX((tbl_Finance[Job Number]=C69&amp;"")*(tbl_Finance[Xero Invoice No]&lt;&gt;"")*tbl_Finance[Date]))),""))</f>
        <v/>
      </c>
      <c r="B69" s="25">
        <f>IF(C69="","",IF(COUNTIFS(tbl_Finance[Job Number],C69&amp;"",tbl_Finance[Xero Invoice No],"&lt;&gt;")=0,"",IFERROR(IF(COUNTIFS(tbl_Finance[Job Number],C69&amp;"",tbl_Finance[Xero Invoice No],LOOKUP(2,1/((tbl_Finance[Job Number]=C69&amp;"")*(tbl_Finance[Xero Invoice No]&lt;&gt;"")),tbl_Finance[Xero Invoice No]))=COUNTIFS(tbl_Finance[Job Number],C69&amp;"",tbl_Finance[Xero Invoice No],"&lt;&gt;"),LOOKUP(2,1/((tbl_Finance[Job Number]=C69&amp;"")*(tbl_Finance[Xero Invoice No]&lt;&gt;"")),tbl_Finance[Xero Invoice No]),LOOKUP(2,1/((tbl_Finance[Job Number]=C69&amp;"")*(tbl_Finance[Xero Invoice No]&lt;&gt;"")),tbl_Finance[Xero Invoice No])&amp;" +more"),"")))</f>
        <v/>
      </c>
      <c r="C69" s="24" t="n"/>
      <c r="D69" s="25">
        <f>IF(C69="","",IF(COUNTIF(lst_Jobs,C69&amp;"")&gt;0,"OK","CHECK"))</f>
        <v/>
      </c>
      <c r="E69" s="25">
        <f>IF(C69="","",IFERROR(INDEX(lst_JobName,MATCH(C69&amp;"",lst_Jobs,0)),""))</f>
        <v/>
      </c>
      <c r="F69" s="25">
        <f>IF(C69="","",IFERROR(INDEX(tbl_Finance[Client],MATCH(C69&amp;"",tbl_Finance[Job Number],0)),""))</f>
        <v/>
      </c>
      <c r="G69" s="28">
        <f>IF(C69="","",COUNTIFS(tbl_Finance[Job Number],C69&amp;"",tbl_Finance[Ex GST],"&lt;&gt;"))</f>
        <v/>
      </c>
      <c r="H69" s="27">
        <f>IF(C69="","",SUMIFS(tbl_Finance[Ex GST],tbl_Finance[Job Number],C69&amp;""))</f>
        <v/>
      </c>
      <c r="I69" s="27">
        <f>IF(C69="","",SUMIFS(tbl_Finance[Ex GST],tbl_Finance[Job Number],C69&amp;"",tbl_Finance[Xero Invoice No],"&lt;&gt;"))</f>
        <v/>
      </c>
      <c r="J69" s="27">
        <f>IF(C69="","",H69-I69)</f>
        <v/>
      </c>
      <c r="K69" s="25">
        <f>IF(C69="","",IF(G69=0,"not invoiced yet",SUBSTITUTE(TRIM(IF(COUNTIFS(tbl_Finance[Job Number],C69&amp;"",tbl_Finance[Cost Centre],"ONSITE")&gt;0,"ONSITE ","")&amp;IF(COUNTIFS(tbl_Finance[Job Number],C69&amp;"",tbl_Finance[Cost Centre],"PRODUCTION")&gt;0,"PRODUCTION ","")&amp;IF(COUNTIFS(tbl_Finance[Job Number],C69&amp;"",tbl_Finance[Cost Centre],"VIDEO")&gt;0,"VIDEO ","")&amp;IF(COUNTIFS(tbl_Finance[Job Number],C69&amp;"",tbl_Finance[Cost Centre],"INTEGRATION")&gt;0,"INTEGRATION ","")&amp;IF(COUNTIFS(tbl_Finance[Job Number],C69&amp;"",tbl_Finance[Cost Centre],"CONSULTING")&gt;0,"CONSULTING ","")&amp;IF(COUNTIFS(tbl_Finance[Job Number],C69&amp;"",tbl_Finance[Cost Centre],"CTS")&gt;0,"CTS ",""))," ",", ")))</f>
        <v/>
      </c>
      <c r="L69" s="24" t="n"/>
      <c r="M69" s="24" t="n"/>
      <c r="N69" s="25">
        <f>IF(M69="","",HYPERLINK(IF(LEFT(M69,4)="http",M69,set_QwilrBase&amp;M69),"Open quote"))</f>
        <v/>
      </c>
      <c r="O69" s="64" t="n"/>
      <c r="P69" s="24" t="n"/>
      <c r="Q69" s="24" t="n"/>
    </row>
    <row r="70" ht="15" customHeight="1">
      <c r="A70" s="63">
        <f>IF(C70="","",IFERROR(IF(SUMPRODUCT(MAX((tbl_Finance[Job Number]=C70&amp;"")*(tbl_Finance[Xero Invoice No]&lt;&gt;"")*tbl_Finance[Date]))=0,"",SUMPRODUCT(MAX((tbl_Finance[Job Number]=C70&amp;"")*(tbl_Finance[Xero Invoice No]&lt;&gt;"")*tbl_Finance[Date]))),""))</f>
        <v/>
      </c>
      <c r="B70" s="25">
        <f>IF(C70="","",IF(COUNTIFS(tbl_Finance[Job Number],C70&amp;"",tbl_Finance[Xero Invoice No],"&lt;&gt;")=0,"",IFERROR(IF(COUNTIFS(tbl_Finance[Job Number],C70&amp;"",tbl_Finance[Xero Invoice No],LOOKUP(2,1/((tbl_Finance[Job Number]=C70&amp;"")*(tbl_Finance[Xero Invoice No]&lt;&gt;"")),tbl_Finance[Xero Invoice No]))=COUNTIFS(tbl_Finance[Job Number],C70&amp;"",tbl_Finance[Xero Invoice No],"&lt;&gt;"),LOOKUP(2,1/((tbl_Finance[Job Number]=C70&amp;"")*(tbl_Finance[Xero Invoice No]&lt;&gt;"")),tbl_Finance[Xero Invoice No]),LOOKUP(2,1/((tbl_Finance[Job Number]=C70&amp;"")*(tbl_Finance[Xero Invoice No]&lt;&gt;"")),tbl_Finance[Xero Invoice No])&amp;" +more"),"")))</f>
        <v/>
      </c>
      <c r="C70" s="24" t="n"/>
      <c r="D70" s="25">
        <f>IF(C70="","",IF(COUNTIF(lst_Jobs,C70&amp;"")&gt;0,"OK","CHECK"))</f>
        <v/>
      </c>
      <c r="E70" s="25">
        <f>IF(C70="","",IFERROR(INDEX(lst_JobName,MATCH(C70&amp;"",lst_Jobs,0)),""))</f>
        <v/>
      </c>
      <c r="F70" s="25">
        <f>IF(C70="","",IFERROR(INDEX(tbl_Finance[Client],MATCH(C70&amp;"",tbl_Finance[Job Number],0)),""))</f>
        <v/>
      </c>
      <c r="G70" s="28">
        <f>IF(C70="","",COUNTIFS(tbl_Finance[Job Number],C70&amp;"",tbl_Finance[Ex GST],"&lt;&gt;"))</f>
        <v/>
      </c>
      <c r="H70" s="27">
        <f>IF(C70="","",SUMIFS(tbl_Finance[Ex GST],tbl_Finance[Job Number],C70&amp;""))</f>
        <v/>
      </c>
      <c r="I70" s="27">
        <f>IF(C70="","",SUMIFS(tbl_Finance[Ex GST],tbl_Finance[Job Number],C70&amp;"",tbl_Finance[Xero Invoice No],"&lt;&gt;"))</f>
        <v/>
      </c>
      <c r="J70" s="27">
        <f>IF(C70="","",H70-I70)</f>
        <v/>
      </c>
      <c r="K70" s="25">
        <f>IF(C70="","",IF(G70=0,"not invoiced yet",SUBSTITUTE(TRIM(IF(COUNTIFS(tbl_Finance[Job Number],C70&amp;"",tbl_Finance[Cost Centre],"ONSITE")&gt;0,"ONSITE ","")&amp;IF(COUNTIFS(tbl_Finance[Job Number],C70&amp;"",tbl_Finance[Cost Centre],"PRODUCTION")&gt;0,"PRODUCTION ","")&amp;IF(COUNTIFS(tbl_Finance[Job Number],C70&amp;"",tbl_Finance[Cost Centre],"VIDEO")&gt;0,"VIDEO ","")&amp;IF(COUNTIFS(tbl_Finance[Job Number],C70&amp;"",tbl_Finance[Cost Centre],"INTEGRATION")&gt;0,"INTEGRATION ","")&amp;IF(COUNTIFS(tbl_Finance[Job Number],C70&amp;"",tbl_Finance[Cost Centre],"CONSULTING")&gt;0,"CONSULTING ","")&amp;IF(COUNTIFS(tbl_Finance[Job Number],C70&amp;"",tbl_Finance[Cost Centre],"CTS")&gt;0,"CTS ",""))," ",", ")))</f>
        <v/>
      </c>
      <c r="L70" s="24" t="n"/>
      <c r="M70" s="24" t="n"/>
      <c r="N70" s="25">
        <f>IF(M70="","",HYPERLINK(IF(LEFT(M70,4)="http",M70,set_QwilrBase&amp;M70),"Open quote"))</f>
        <v/>
      </c>
      <c r="O70" s="64" t="n"/>
      <c r="P70" s="24" t="n"/>
      <c r="Q70" s="24" t="n"/>
    </row>
    <row r="71" ht="15" customHeight="1">
      <c r="A71" s="63">
        <f>IF(C71="","",IFERROR(IF(SUMPRODUCT(MAX((tbl_Finance[Job Number]=C71&amp;"")*(tbl_Finance[Xero Invoice No]&lt;&gt;"")*tbl_Finance[Date]))=0,"",SUMPRODUCT(MAX((tbl_Finance[Job Number]=C71&amp;"")*(tbl_Finance[Xero Invoice No]&lt;&gt;"")*tbl_Finance[Date]))),""))</f>
        <v/>
      </c>
      <c r="B71" s="25">
        <f>IF(C71="","",IF(COUNTIFS(tbl_Finance[Job Number],C71&amp;"",tbl_Finance[Xero Invoice No],"&lt;&gt;")=0,"",IFERROR(IF(COUNTIFS(tbl_Finance[Job Number],C71&amp;"",tbl_Finance[Xero Invoice No],LOOKUP(2,1/((tbl_Finance[Job Number]=C71&amp;"")*(tbl_Finance[Xero Invoice No]&lt;&gt;"")),tbl_Finance[Xero Invoice No]))=COUNTIFS(tbl_Finance[Job Number],C71&amp;"",tbl_Finance[Xero Invoice No],"&lt;&gt;"),LOOKUP(2,1/((tbl_Finance[Job Number]=C71&amp;"")*(tbl_Finance[Xero Invoice No]&lt;&gt;"")),tbl_Finance[Xero Invoice No]),LOOKUP(2,1/((tbl_Finance[Job Number]=C71&amp;"")*(tbl_Finance[Xero Invoice No]&lt;&gt;"")),tbl_Finance[Xero Invoice No])&amp;" +more"),"")))</f>
        <v/>
      </c>
      <c r="C71" s="24" t="n"/>
      <c r="D71" s="25">
        <f>IF(C71="","",IF(COUNTIF(lst_Jobs,C71&amp;"")&gt;0,"OK","CHECK"))</f>
        <v/>
      </c>
      <c r="E71" s="25">
        <f>IF(C71="","",IFERROR(INDEX(lst_JobName,MATCH(C71&amp;"",lst_Jobs,0)),""))</f>
        <v/>
      </c>
      <c r="F71" s="25">
        <f>IF(C71="","",IFERROR(INDEX(tbl_Finance[Client],MATCH(C71&amp;"",tbl_Finance[Job Number],0)),""))</f>
        <v/>
      </c>
      <c r="G71" s="28">
        <f>IF(C71="","",COUNTIFS(tbl_Finance[Job Number],C71&amp;"",tbl_Finance[Ex GST],"&lt;&gt;"))</f>
        <v/>
      </c>
      <c r="H71" s="27">
        <f>IF(C71="","",SUMIFS(tbl_Finance[Ex GST],tbl_Finance[Job Number],C71&amp;""))</f>
        <v/>
      </c>
      <c r="I71" s="27">
        <f>IF(C71="","",SUMIFS(tbl_Finance[Ex GST],tbl_Finance[Job Number],C71&amp;"",tbl_Finance[Xero Invoice No],"&lt;&gt;"))</f>
        <v/>
      </c>
      <c r="J71" s="27">
        <f>IF(C71="","",H71-I71)</f>
        <v/>
      </c>
      <c r="K71" s="25">
        <f>IF(C71="","",IF(G71=0,"not invoiced yet",SUBSTITUTE(TRIM(IF(COUNTIFS(tbl_Finance[Job Number],C71&amp;"",tbl_Finance[Cost Centre],"ONSITE")&gt;0,"ONSITE ","")&amp;IF(COUNTIFS(tbl_Finance[Job Number],C71&amp;"",tbl_Finance[Cost Centre],"PRODUCTION")&gt;0,"PRODUCTION ","")&amp;IF(COUNTIFS(tbl_Finance[Job Number],C71&amp;"",tbl_Finance[Cost Centre],"VIDEO")&gt;0,"VIDEO ","")&amp;IF(COUNTIFS(tbl_Finance[Job Number],C71&amp;"",tbl_Finance[Cost Centre],"INTEGRATION")&gt;0,"INTEGRATION ","")&amp;IF(COUNTIFS(tbl_Finance[Job Number],C71&amp;"",tbl_Finance[Cost Centre],"CONSULTING")&gt;0,"CONSULTING ","")&amp;IF(COUNTIFS(tbl_Finance[Job Number],C71&amp;"",tbl_Finance[Cost Centre],"CTS")&gt;0,"CTS ",""))," ",", ")))</f>
        <v/>
      </c>
      <c r="L71" s="24" t="n"/>
      <c r="M71" s="24" t="n"/>
      <c r="N71" s="25">
        <f>IF(M71="","",HYPERLINK(IF(LEFT(M71,4)="http",M71,set_QwilrBase&amp;M71),"Open quote"))</f>
        <v/>
      </c>
      <c r="O71" s="64" t="n"/>
      <c r="P71" s="24" t="n"/>
      <c r="Q71" s="24" t="n"/>
    </row>
    <row r="72" ht="15" customHeight="1">
      <c r="A72" s="63">
        <f>IF(C72="","",IFERROR(IF(SUMPRODUCT(MAX((tbl_Finance[Job Number]=C72&amp;"")*(tbl_Finance[Xero Invoice No]&lt;&gt;"")*tbl_Finance[Date]))=0,"",SUMPRODUCT(MAX((tbl_Finance[Job Number]=C72&amp;"")*(tbl_Finance[Xero Invoice No]&lt;&gt;"")*tbl_Finance[Date]))),""))</f>
        <v/>
      </c>
      <c r="B72" s="25">
        <f>IF(C72="","",IF(COUNTIFS(tbl_Finance[Job Number],C72&amp;"",tbl_Finance[Xero Invoice No],"&lt;&gt;")=0,"",IFERROR(IF(COUNTIFS(tbl_Finance[Job Number],C72&amp;"",tbl_Finance[Xero Invoice No],LOOKUP(2,1/((tbl_Finance[Job Number]=C72&amp;"")*(tbl_Finance[Xero Invoice No]&lt;&gt;"")),tbl_Finance[Xero Invoice No]))=COUNTIFS(tbl_Finance[Job Number],C72&amp;"",tbl_Finance[Xero Invoice No],"&lt;&gt;"),LOOKUP(2,1/((tbl_Finance[Job Number]=C72&amp;"")*(tbl_Finance[Xero Invoice No]&lt;&gt;"")),tbl_Finance[Xero Invoice No]),LOOKUP(2,1/((tbl_Finance[Job Number]=C72&amp;"")*(tbl_Finance[Xero Invoice No]&lt;&gt;"")),tbl_Finance[Xero Invoice No])&amp;" +more"),"")))</f>
        <v/>
      </c>
      <c r="C72" s="24" t="n"/>
      <c r="D72" s="25">
        <f>IF(C72="","",IF(COUNTIF(lst_Jobs,C72&amp;"")&gt;0,"OK","CHECK"))</f>
        <v/>
      </c>
      <c r="E72" s="25">
        <f>IF(C72="","",IFERROR(INDEX(lst_JobName,MATCH(C72&amp;"",lst_Jobs,0)),""))</f>
        <v/>
      </c>
      <c r="F72" s="25">
        <f>IF(C72="","",IFERROR(INDEX(tbl_Finance[Client],MATCH(C72&amp;"",tbl_Finance[Job Number],0)),""))</f>
        <v/>
      </c>
      <c r="G72" s="28">
        <f>IF(C72="","",COUNTIFS(tbl_Finance[Job Number],C72&amp;"",tbl_Finance[Ex GST],"&lt;&gt;"))</f>
        <v/>
      </c>
      <c r="H72" s="27">
        <f>IF(C72="","",SUMIFS(tbl_Finance[Ex GST],tbl_Finance[Job Number],C72&amp;""))</f>
        <v/>
      </c>
      <c r="I72" s="27">
        <f>IF(C72="","",SUMIFS(tbl_Finance[Ex GST],tbl_Finance[Job Number],C72&amp;"",tbl_Finance[Xero Invoice No],"&lt;&gt;"))</f>
        <v/>
      </c>
      <c r="J72" s="27">
        <f>IF(C72="","",H72-I72)</f>
        <v/>
      </c>
      <c r="K72" s="25">
        <f>IF(C72="","",IF(G72=0,"not invoiced yet",SUBSTITUTE(TRIM(IF(COUNTIFS(tbl_Finance[Job Number],C72&amp;"",tbl_Finance[Cost Centre],"ONSITE")&gt;0,"ONSITE ","")&amp;IF(COUNTIFS(tbl_Finance[Job Number],C72&amp;"",tbl_Finance[Cost Centre],"PRODUCTION")&gt;0,"PRODUCTION ","")&amp;IF(COUNTIFS(tbl_Finance[Job Number],C72&amp;"",tbl_Finance[Cost Centre],"VIDEO")&gt;0,"VIDEO ","")&amp;IF(COUNTIFS(tbl_Finance[Job Number],C72&amp;"",tbl_Finance[Cost Centre],"INTEGRATION")&gt;0,"INTEGRATION ","")&amp;IF(COUNTIFS(tbl_Finance[Job Number],C72&amp;"",tbl_Finance[Cost Centre],"CONSULTING")&gt;0,"CONSULTING ","")&amp;IF(COUNTIFS(tbl_Finance[Job Number],C72&amp;"",tbl_Finance[Cost Centre],"CTS")&gt;0,"CTS ",""))," ",", ")))</f>
        <v/>
      </c>
      <c r="L72" s="24" t="n"/>
      <c r="M72" s="24" t="n"/>
      <c r="N72" s="25">
        <f>IF(M72="","",HYPERLINK(IF(LEFT(M72,4)="http",M72,set_QwilrBase&amp;M72),"Open quote"))</f>
        <v/>
      </c>
      <c r="O72" s="64" t="n"/>
      <c r="P72" s="24" t="n"/>
      <c r="Q72" s="24" t="n"/>
    </row>
    <row r="73" ht="15" customHeight="1">
      <c r="A73" s="63">
        <f>IF(C73="","",IFERROR(IF(SUMPRODUCT(MAX((tbl_Finance[Job Number]=C73&amp;"")*(tbl_Finance[Xero Invoice No]&lt;&gt;"")*tbl_Finance[Date]))=0,"",SUMPRODUCT(MAX((tbl_Finance[Job Number]=C73&amp;"")*(tbl_Finance[Xero Invoice No]&lt;&gt;"")*tbl_Finance[Date]))),""))</f>
        <v/>
      </c>
      <c r="B73" s="25">
        <f>IF(C73="","",IF(COUNTIFS(tbl_Finance[Job Number],C73&amp;"",tbl_Finance[Xero Invoice No],"&lt;&gt;")=0,"",IFERROR(IF(COUNTIFS(tbl_Finance[Job Number],C73&amp;"",tbl_Finance[Xero Invoice No],LOOKUP(2,1/((tbl_Finance[Job Number]=C73&amp;"")*(tbl_Finance[Xero Invoice No]&lt;&gt;"")),tbl_Finance[Xero Invoice No]))=COUNTIFS(tbl_Finance[Job Number],C73&amp;"",tbl_Finance[Xero Invoice No],"&lt;&gt;"),LOOKUP(2,1/((tbl_Finance[Job Number]=C73&amp;"")*(tbl_Finance[Xero Invoice No]&lt;&gt;"")),tbl_Finance[Xero Invoice No]),LOOKUP(2,1/((tbl_Finance[Job Number]=C73&amp;"")*(tbl_Finance[Xero Invoice No]&lt;&gt;"")),tbl_Finance[Xero Invoice No])&amp;" +more"),"")))</f>
        <v/>
      </c>
      <c r="C73" s="24" t="n"/>
      <c r="D73" s="25">
        <f>IF(C73="","",IF(COUNTIF(lst_Jobs,C73&amp;"")&gt;0,"OK","CHECK"))</f>
        <v/>
      </c>
      <c r="E73" s="25">
        <f>IF(C73="","",IFERROR(INDEX(lst_JobName,MATCH(C73&amp;"",lst_Jobs,0)),""))</f>
        <v/>
      </c>
      <c r="F73" s="25">
        <f>IF(C73="","",IFERROR(INDEX(tbl_Finance[Client],MATCH(C73&amp;"",tbl_Finance[Job Number],0)),""))</f>
        <v/>
      </c>
      <c r="G73" s="28">
        <f>IF(C73="","",COUNTIFS(tbl_Finance[Job Number],C73&amp;"",tbl_Finance[Ex GST],"&lt;&gt;"))</f>
        <v/>
      </c>
      <c r="H73" s="27">
        <f>IF(C73="","",SUMIFS(tbl_Finance[Ex GST],tbl_Finance[Job Number],C73&amp;""))</f>
        <v/>
      </c>
      <c r="I73" s="27">
        <f>IF(C73="","",SUMIFS(tbl_Finance[Ex GST],tbl_Finance[Job Number],C73&amp;"",tbl_Finance[Xero Invoice No],"&lt;&gt;"))</f>
        <v/>
      </c>
      <c r="J73" s="27">
        <f>IF(C73="","",H73-I73)</f>
        <v/>
      </c>
      <c r="K73" s="25">
        <f>IF(C73="","",IF(G73=0,"not invoiced yet",SUBSTITUTE(TRIM(IF(COUNTIFS(tbl_Finance[Job Number],C73&amp;"",tbl_Finance[Cost Centre],"ONSITE")&gt;0,"ONSITE ","")&amp;IF(COUNTIFS(tbl_Finance[Job Number],C73&amp;"",tbl_Finance[Cost Centre],"PRODUCTION")&gt;0,"PRODUCTION ","")&amp;IF(COUNTIFS(tbl_Finance[Job Number],C73&amp;"",tbl_Finance[Cost Centre],"VIDEO")&gt;0,"VIDEO ","")&amp;IF(COUNTIFS(tbl_Finance[Job Number],C73&amp;"",tbl_Finance[Cost Centre],"INTEGRATION")&gt;0,"INTEGRATION ","")&amp;IF(COUNTIFS(tbl_Finance[Job Number],C73&amp;"",tbl_Finance[Cost Centre],"CONSULTING")&gt;0,"CONSULTING ","")&amp;IF(COUNTIFS(tbl_Finance[Job Number],C73&amp;"",tbl_Finance[Cost Centre],"CTS")&gt;0,"CTS ",""))," ",", ")))</f>
        <v/>
      </c>
      <c r="L73" s="24" t="n"/>
      <c r="M73" s="24" t="n"/>
      <c r="N73" s="25">
        <f>IF(M73="","",HYPERLINK(IF(LEFT(M73,4)="http",M73,set_QwilrBase&amp;M73),"Open quote"))</f>
        <v/>
      </c>
      <c r="O73" s="64" t="n"/>
      <c r="P73" s="24" t="n"/>
      <c r="Q73" s="24" t="n"/>
    </row>
    <row r="74" ht="15" customHeight="1">
      <c r="A74" s="63">
        <f>IF(C74="","",IFERROR(IF(SUMPRODUCT(MAX((tbl_Finance[Job Number]=C74&amp;"")*(tbl_Finance[Xero Invoice No]&lt;&gt;"")*tbl_Finance[Date]))=0,"",SUMPRODUCT(MAX((tbl_Finance[Job Number]=C74&amp;"")*(tbl_Finance[Xero Invoice No]&lt;&gt;"")*tbl_Finance[Date]))),""))</f>
        <v/>
      </c>
      <c r="B74" s="25">
        <f>IF(C74="","",IF(COUNTIFS(tbl_Finance[Job Number],C74&amp;"",tbl_Finance[Xero Invoice No],"&lt;&gt;")=0,"",IFERROR(IF(COUNTIFS(tbl_Finance[Job Number],C74&amp;"",tbl_Finance[Xero Invoice No],LOOKUP(2,1/((tbl_Finance[Job Number]=C74&amp;"")*(tbl_Finance[Xero Invoice No]&lt;&gt;"")),tbl_Finance[Xero Invoice No]))=COUNTIFS(tbl_Finance[Job Number],C74&amp;"",tbl_Finance[Xero Invoice No],"&lt;&gt;"),LOOKUP(2,1/((tbl_Finance[Job Number]=C74&amp;"")*(tbl_Finance[Xero Invoice No]&lt;&gt;"")),tbl_Finance[Xero Invoice No]),LOOKUP(2,1/((tbl_Finance[Job Number]=C74&amp;"")*(tbl_Finance[Xero Invoice No]&lt;&gt;"")),tbl_Finance[Xero Invoice No])&amp;" +more"),"")))</f>
        <v/>
      </c>
      <c r="C74" s="24" t="n"/>
      <c r="D74" s="25">
        <f>IF(C74="","",IF(COUNTIF(lst_Jobs,C74&amp;"")&gt;0,"OK","CHECK"))</f>
        <v/>
      </c>
      <c r="E74" s="25">
        <f>IF(C74="","",IFERROR(INDEX(lst_JobName,MATCH(C74&amp;"",lst_Jobs,0)),""))</f>
        <v/>
      </c>
      <c r="F74" s="25">
        <f>IF(C74="","",IFERROR(INDEX(tbl_Finance[Client],MATCH(C74&amp;"",tbl_Finance[Job Number],0)),""))</f>
        <v/>
      </c>
      <c r="G74" s="28">
        <f>IF(C74="","",COUNTIFS(tbl_Finance[Job Number],C74&amp;"",tbl_Finance[Ex GST],"&lt;&gt;"))</f>
        <v/>
      </c>
      <c r="H74" s="27">
        <f>IF(C74="","",SUMIFS(tbl_Finance[Ex GST],tbl_Finance[Job Number],C74&amp;""))</f>
        <v/>
      </c>
      <c r="I74" s="27">
        <f>IF(C74="","",SUMIFS(tbl_Finance[Ex GST],tbl_Finance[Job Number],C74&amp;"",tbl_Finance[Xero Invoice No],"&lt;&gt;"))</f>
        <v/>
      </c>
      <c r="J74" s="27">
        <f>IF(C74="","",H74-I74)</f>
        <v/>
      </c>
      <c r="K74" s="25">
        <f>IF(C74="","",IF(G74=0,"not invoiced yet",SUBSTITUTE(TRIM(IF(COUNTIFS(tbl_Finance[Job Number],C74&amp;"",tbl_Finance[Cost Centre],"ONSITE")&gt;0,"ONSITE ","")&amp;IF(COUNTIFS(tbl_Finance[Job Number],C74&amp;"",tbl_Finance[Cost Centre],"PRODUCTION")&gt;0,"PRODUCTION ","")&amp;IF(COUNTIFS(tbl_Finance[Job Number],C74&amp;"",tbl_Finance[Cost Centre],"VIDEO")&gt;0,"VIDEO ","")&amp;IF(COUNTIFS(tbl_Finance[Job Number],C74&amp;"",tbl_Finance[Cost Centre],"INTEGRATION")&gt;0,"INTEGRATION ","")&amp;IF(COUNTIFS(tbl_Finance[Job Number],C74&amp;"",tbl_Finance[Cost Centre],"CONSULTING")&gt;0,"CONSULTING ","")&amp;IF(COUNTIFS(tbl_Finance[Job Number],C74&amp;"",tbl_Finance[Cost Centre],"CTS")&gt;0,"CTS ",""))," ",", ")))</f>
        <v/>
      </c>
      <c r="L74" s="24" t="n"/>
      <c r="M74" s="24" t="n"/>
      <c r="N74" s="25">
        <f>IF(M74="","",HYPERLINK(IF(LEFT(M74,4)="http",M74,set_QwilrBase&amp;M74),"Open quote"))</f>
        <v/>
      </c>
      <c r="O74" s="64" t="n"/>
      <c r="P74" s="24" t="n"/>
      <c r="Q74" s="24" t="n"/>
    </row>
    <row r="75" ht="15" customHeight="1">
      <c r="A75" s="63">
        <f>IF(C75="","",IFERROR(IF(SUMPRODUCT(MAX((tbl_Finance[Job Number]=C75&amp;"")*(tbl_Finance[Xero Invoice No]&lt;&gt;"")*tbl_Finance[Date]))=0,"",SUMPRODUCT(MAX((tbl_Finance[Job Number]=C75&amp;"")*(tbl_Finance[Xero Invoice No]&lt;&gt;"")*tbl_Finance[Date]))),""))</f>
        <v/>
      </c>
      <c r="B75" s="25">
        <f>IF(C75="","",IF(COUNTIFS(tbl_Finance[Job Number],C75&amp;"",tbl_Finance[Xero Invoice No],"&lt;&gt;")=0,"",IFERROR(IF(COUNTIFS(tbl_Finance[Job Number],C75&amp;"",tbl_Finance[Xero Invoice No],LOOKUP(2,1/((tbl_Finance[Job Number]=C75&amp;"")*(tbl_Finance[Xero Invoice No]&lt;&gt;"")),tbl_Finance[Xero Invoice No]))=COUNTIFS(tbl_Finance[Job Number],C75&amp;"",tbl_Finance[Xero Invoice No],"&lt;&gt;"),LOOKUP(2,1/((tbl_Finance[Job Number]=C75&amp;"")*(tbl_Finance[Xero Invoice No]&lt;&gt;"")),tbl_Finance[Xero Invoice No]),LOOKUP(2,1/((tbl_Finance[Job Number]=C75&amp;"")*(tbl_Finance[Xero Invoice No]&lt;&gt;"")),tbl_Finance[Xero Invoice No])&amp;" +more"),"")))</f>
        <v/>
      </c>
      <c r="C75" s="24" t="n"/>
      <c r="D75" s="25">
        <f>IF(C75="","",IF(COUNTIF(lst_Jobs,C75&amp;"")&gt;0,"OK","CHECK"))</f>
        <v/>
      </c>
      <c r="E75" s="25">
        <f>IF(C75="","",IFERROR(INDEX(lst_JobName,MATCH(C75&amp;"",lst_Jobs,0)),""))</f>
        <v/>
      </c>
      <c r="F75" s="25">
        <f>IF(C75="","",IFERROR(INDEX(tbl_Finance[Client],MATCH(C75&amp;"",tbl_Finance[Job Number],0)),""))</f>
        <v/>
      </c>
      <c r="G75" s="28">
        <f>IF(C75="","",COUNTIFS(tbl_Finance[Job Number],C75&amp;"",tbl_Finance[Ex GST],"&lt;&gt;"))</f>
        <v/>
      </c>
      <c r="H75" s="27">
        <f>IF(C75="","",SUMIFS(tbl_Finance[Ex GST],tbl_Finance[Job Number],C75&amp;""))</f>
        <v/>
      </c>
      <c r="I75" s="27">
        <f>IF(C75="","",SUMIFS(tbl_Finance[Ex GST],tbl_Finance[Job Number],C75&amp;"",tbl_Finance[Xero Invoice No],"&lt;&gt;"))</f>
        <v/>
      </c>
      <c r="J75" s="27">
        <f>IF(C75="","",H75-I75)</f>
        <v/>
      </c>
      <c r="K75" s="25">
        <f>IF(C75="","",IF(G75=0,"not invoiced yet",SUBSTITUTE(TRIM(IF(COUNTIFS(tbl_Finance[Job Number],C75&amp;"",tbl_Finance[Cost Centre],"ONSITE")&gt;0,"ONSITE ","")&amp;IF(COUNTIFS(tbl_Finance[Job Number],C75&amp;"",tbl_Finance[Cost Centre],"PRODUCTION")&gt;0,"PRODUCTION ","")&amp;IF(COUNTIFS(tbl_Finance[Job Number],C75&amp;"",tbl_Finance[Cost Centre],"VIDEO")&gt;0,"VIDEO ","")&amp;IF(COUNTIFS(tbl_Finance[Job Number],C75&amp;"",tbl_Finance[Cost Centre],"INTEGRATION")&gt;0,"INTEGRATION ","")&amp;IF(COUNTIFS(tbl_Finance[Job Number],C75&amp;"",tbl_Finance[Cost Centre],"CONSULTING")&gt;0,"CONSULTING ","")&amp;IF(COUNTIFS(tbl_Finance[Job Number],C75&amp;"",tbl_Finance[Cost Centre],"CTS")&gt;0,"CTS ",""))," ",", ")))</f>
        <v/>
      </c>
      <c r="L75" s="24" t="n"/>
      <c r="M75" s="24" t="n"/>
      <c r="N75" s="25">
        <f>IF(M75="","",HYPERLINK(IF(LEFT(M75,4)="http",M75,set_QwilrBase&amp;M75),"Open quote"))</f>
        <v/>
      </c>
      <c r="O75" s="64" t="n"/>
      <c r="P75" s="24" t="n"/>
      <c r="Q75" s="24" t="n"/>
    </row>
    <row r="76" ht="15" customHeight="1">
      <c r="A76" s="63">
        <f>IF(C76="","",IFERROR(IF(SUMPRODUCT(MAX((tbl_Finance[Job Number]=C76&amp;"")*(tbl_Finance[Xero Invoice No]&lt;&gt;"")*tbl_Finance[Date]))=0,"",SUMPRODUCT(MAX((tbl_Finance[Job Number]=C76&amp;"")*(tbl_Finance[Xero Invoice No]&lt;&gt;"")*tbl_Finance[Date]))),""))</f>
        <v/>
      </c>
      <c r="B76" s="25">
        <f>IF(C76="","",IF(COUNTIFS(tbl_Finance[Job Number],C76&amp;"",tbl_Finance[Xero Invoice No],"&lt;&gt;")=0,"",IFERROR(IF(COUNTIFS(tbl_Finance[Job Number],C76&amp;"",tbl_Finance[Xero Invoice No],LOOKUP(2,1/((tbl_Finance[Job Number]=C76&amp;"")*(tbl_Finance[Xero Invoice No]&lt;&gt;"")),tbl_Finance[Xero Invoice No]))=COUNTIFS(tbl_Finance[Job Number],C76&amp;"",tbl_Finance[Xero Invoice No],"&lt;&gt;"),LOOKUP(2,1/((tbl_Finance[Job Number]=C76&amp;"")*(tbl_Finance[Xero Invoice No]&lt;&gt;"")),tbl_Finance[Xero Invoice No]),LOOKUP(2,1/((tbl_Finance[Job Number]=C76&amp;"")*(tbl_Finance[Xero Invoice No]&lt;&gt;"")),tbl_Finance[Xero Invoice No])&amp;" +more"),"")))</f>
        <v/>
      </c>
      <c r="C76" s="24" t="n"/>
      <c r="D76" s="25">
        <f>IF(C76="","",IF(COUNTIF(lst_Jobs,C76&amp;"")&gt;0,"OK","CHECK"))</f>
        <v/>
      </c>
      <c r="E76" s="25">
        <f>IF(C76="","",IFERROR(INDEX(lst_JobName,MATCH(C76&amp;"",lst_Jobs,0)),""))</f>
        <v/>
      </c>
      <c r="F76" s="25">
        <f>IF(C76="","",IFERROR(INDEX(tbl_Finance[Client],MATCH(C76&amp;"",tbl_Finance[Job Number],0)),""))</f>
        <v/>
      </c>
      <c r="G76" s="28">
        <f>IF(C76="","",COUNTIFS(tbl_Finance[Job Number],C76&amp;"",tbl_Finance[Ex GST],"&lt;&gt;"))</f>
        <v/>
      </c>
      <c r="H76" s="27">
        <f>IF(C76="","",SUMIFS(tbl_Finance[Ex GST],tbl_Finance[Job Number],C76&amp;""))</f>
        <v/>
      </c>
      <c r="I76" s="27">
        <f>IF(C76="","",SUMIFS(tbl_Finance[Ex GST],tbl_Finance[Job Number],C76&amp;"",tbl_Finance[Xero Invoice No],"&lt;&gt;"))</f>
        <v/>
      </c>
      <c r="J76" s="27">
        <f>IF(C76="","",H76-I76)</f>
        <v/>
      </c>
      <c r="K76" s="25">
        <f>IF(C76="","",IF(G76=0,"not invoiced yet",SUBSTITUTE(TRIM(IF(COUNTIFS(tbl_Finance[Job Number],C76&amp;"",tbl_Finance[Cost Centre],"ONSITE")&gt;0,"ONSITE ","")&amp;IF(COUNTIFS(tbl_Finance[Job Number],C76&amp;"",tbl_Finance[Cost Centre],"PRODUCTION")&gt;0,"PRODUCTION ","")&amp;IF(COUNTIFS(tbl_Finance[Job Number],C76&amp;"",tbl_Finance[Cost Centre],"VIDEO")&gt;0,"VIDEO ","")&amp;IF(COUNTIFS(tbl_Finance[Job Number],C76&amp;"",tbl_Finance[Cost Centre],"INTEGRATION")&gt;0,"INTEGRATION ","")&amp;IF(COUNTIFS(tbl_Finance[Job Number],C76&amp;"",tbl_Finance[Cost Centre],"CONSULTING")&gt;0,"CONSULTING ","")&amp;IF(COUNTIFS(tbl_Finance[Job Number],C76&amp;"",tbl_Finance[Cost Centre],"CTS")&gt;0,"CTS ",""))," ",", ")))</f>
        <v/>
      </c>
      <c r="L76" s="24" t="n"/>
      <c r="M76" s="24" t="n"/>
      <c r="N76" s="25">
        <f>IF(M76="","",HYPERLINK(IF(LEFT(M76,4)="http",M76,set_QwilrBase&amp;M76),"Open quote"))</f>
        <v/>
      </c>
      <c r="O76" s="64" t="n"/>
      <c r="P76" s="24" t="n"/>
      <c r="Q76" s="24" t="n"/>
    </row>
    <row r="77" ht="15" customHeight="1">
      <c r="A77" s="63">
        <f>IF(C77="","",IFERROR(IF(SUMPRODUCT(MAX((tbl_Finance[Job Number]=C77&amp;"")*(tbl_Finance[Xero Invoice No]&lt;&gt;"")*tbl_Finance[Date]))=0,"",SUMPRODUCT(MAX((tbl_Finance[Job Number]=C77&amp;"")*(tbl_Finance[Xero Invoice No]&lt;&gt;"")*tbl_Finance[Date]))),""))</f>
        <v/>
      </c>
      <c r="B77" s="25">
        <f>IF(C77="","",IF(COUNTIFS(tbl_Finance[Job Number],C77&amp;"",tbl_Finance[Xero Invoice No],"&lt;&gt;")=0,"",IFERROR(IF(COUNTIFS(tbl_Finance[Job Number],C77&amp;"",tbl_Finance[Xero Invoice No],LOOKUP(2,1/((tbl_Finance[Job Number]=C77&amp;"")*(tbl_Finance[Xero Invoice No]&lt;&gt;"")),tbl_Finance[Xero Invoice No]))=COUNTIFS(tbl_Finance[Job Number],C77&amp;"",tbl_Finance[Xero Invoice No],"&lt;&gt;"),LOOKUP(2,1/((tbl_Finance[Job Number]=C77&amp;"")*(tbl_Finance[Xero Invoice No]&lt;&gt;"")),tbl_Finance[Xero Invoice No]),LOOKUP(2,1/((tbl_Finance[Job Number]=C77&amp;"")*(tbl_Finance[Xero Invoice No]&lt;&gt;"")),tbl_Finance[Xero Invoice No])&amp;" +more"),"")))</f>
        <v/>
      </c>
      <c r="C77" s="24" t="n"/>
      <c r="D77" s="25">
        <f>IF(C77="","",IF(COUNTIF(lst_Jobs,C77&amp;"")&gt;0,"OK","CHECK"))</f>
        <v/>
      </c>
      <c r="E77" s="25">
        <f>IF(C77="","",IFERROR(INDEX(lst_JobName,MATCH(C77&amp;"",lst_Jobs,0)),""))</f>
        <v/>
      </c>
      <c r="F77" s="25">
        <f>IF(C77="","",IFERROR(INDEX(tbl_Finance[Client],MATCH(C77&amp;"",tbl_Finance[Job Number],0)),""))</f>
        <v/>
      </c>
      <c r="G77" s="28">
        <f>IF(C77="","",COUNTIFS(tbl_Finance[Job Number],C77&amp;"",tbl_Finance[Ex GST],"&lt;&gt;"))</f>
        <v/>
      </c>
      <c r="H77" s="27">
        <f>IF(C77="","",SUMIFS(tbl_Finance[Ex GST],tbl_Finance[Job Number],C77&amp;""))</f>
        <v/>
      </c>
      <c r="I77" s="27">
        <f>IF(C77="","",SUMIFS(tbl_Finance[Ex GST],tbl_Finance[Job Number],C77&amp;"",tbl_Finance[Xero Invoice No],"&lt;&gt;"))</f>
        <v/>
      </c>
      <c r="J77" s="27">
        <f>IF(C77="","",H77-I77)</f>
        <v/>
      </c>
      <c r="K77" s="25">
        <f>IF(C77="","",IF(G77=0,"not invoiced yet",SUBSTITUTE(TRIM(IF(COUNTIFS(tbl_Finance[Job Number],C77&amp;"",tbl_Finance[Cost Centre],"ONSITE")&gt;0,"ONSITE ","")&amp;IF(COUNTIFS(tbl_Finance[Job Number],C77&amp;"",tbl_Finance[Cost Centre],"PRODUCTION")&gt;0,"PRODUCTION ","")&amp;IF(COUNTIFS(tbl_Finance[Job Number],C77&amp;"",tbl_Finance[Cost Centre],"VIDEO")&gt;0,"VIDEO ","")&amp;IF(COUNTIFS(tbl_Finance[Job Number],C77&amp;"",tbl_Finance[Cost Centre],"INTEGRATION")&gt;0,"INTEGRATION ","")&amp;IF(COUNTIFS(tbl_Finance[Job Number],C77&amp;"",tbl_Finance[Cost Centre],"CONSULTING")&gt;0,"CONSULTING ","")&amp;IF(COUNTIFS(tbl_Finance[Job Number],C77&amp;"",tbl_Finance[Cost Centre],"CTS")&gt;0,"CTS ",""))," ",", ")))</f>
        <v/>
      </c>
      <c r="L77" s="24" t="n"/>
      <c r="M77" s="24" t="n"/>
      <c r="N77" s="25">
        <f>IF(M77="","",HYPERLINK(IF(LEFT(M77,4)="http",M77,set_QwilrBase&amp;M77),"Open quote"))</f>
        <v/>
      </c>
      <c r="O77" s="64" t="n"/>
      <c r="P77" s="24" t="n"/>
      <c r="Q77" s="24" t="n"/>
    </row>
    <row r="78" ht="15" customHeight="1">
      <c r="A78" s="63">
        <f>IF(C78="","",IFERROR(IF(SUMPRODUCT(MAX((tbl_Finance[Job Number]=C78&amp;"")*(tbl_Finance[Xero Invoice No]&lt;&gt;"")*tbl_Finance[Date]))=0,"",SUMPRODUCT(MAX((tbl_Finance[Job Number]=C78&amp;"")*(tbl_Finance[Xero Invoice No]&lt;&gt;"")*tbl_Finance[Date]))),""))</f>
        <v/>
      </c>
      <c r="B78" s="25">
        <f>IF(C78="","",IF(COUNTIFS(tbl_Finance[Job Number],C78&amp;"",tbl_Finance[Xero Invoice No],"&lt;&gt;")=0,"",IFERROR(IF(COUNTIFS(tbl_Finance[Job Number],C78&amp;"",tbl_Finance[Xero Invoice No],LOOKUP(2,1/((tbl_Finance[Job Number]=C78&amp;"")*(tbl_Finance[Xero Invoice No]&lt;&gt;"")),tbl_Finance[Xero Invoice No]))=COUNTIFS(tbl_Finance[Job Number],C78&amp;"",tbl_Finance[Xero Invoice No],"&lt;&gt;"),LOOKUP(2,1/((tbl_Finance[Job Number]=C78&amp;"")*(tbl_Finance[Xero Invoice No]&lt;&gt;"")),tbl_Finance[Xero Invoice No]),LOOKUP(2,1/((tbl_Finance[Job Number]=C78&amp;"")*(tbl_Finance[Xero Invoice No]&lt;&gt;"")),tbl_Finance[Xero Invoice No])&amp;" +more"),"")))</f>
        <v/>
      </c>
      <c r="C78" s="24" t="n"/>
      <c r="D78" s="25">
        <f>IF(C78="","",IF(COUNTIF(lst_Jobs,C78&amp;"")&gt;0,"OK","CHECK"))</f>
        <v/>
      </c>
      <c r="E78" s="25">
        <f>IF(C78="","",IFERROR(INDEX(lst_JobName,MATCH(C78&amp;"",lst_Jobs,0)),""))</f>
        <v/>
      </c>
      <c r="F78" s="25">
        <f>IF(C78="","",IFERROR(INDEX(tbl_Finance[Client],MATCH(C78&amp;"",tbl_Finance[Job Number],0)),""))</f>
        <v/>
      </c>
      <c r="G78" s="28">
        <f>IF(C78="","",COUNTIFS(tbl_Finance[Job Number],C78&amp;"",tbl_Finance[Ex GST],"&lt;&gt;"))</f>
        <v/>
      </c>
      <c r="H78" s="27">
        <f>IF(C78="","",SUMIFS(tbl_Finance[Ex GST],tbl_Finance[Job Number],C78&amp;""))</f>
        <v/>
      </c>
      <c r="I78" s="27">
        <f>IF(C78="","",SUMIFS(tbl_Finance[Ex GST],tbl_Finance[Job Number],C78&amp;"",tbl_Finance[Xero Invoice No],"&lt;&gt;"))</f>
        <v/>
      </c>
      <c r="J78" s="27">
        <f>IF(C78="","",H78-I78)</f>
        <v/>
      </c>
      <c r="K78" s="25">
        <f>IF(C78="","",IF(G78=0,"not invoiced yet",SUBSTITUTE(TRIM(IF(COUNTIFS(tbl_Finance[Job Number],C78&amp;"",tbl_Finance[Cost Centre],"ONSITE")&gt;0,"ONSITE ","")&amp;IF(COUNTIFS(tbl_Finance[Job Number],C78&amp;"",tbl_Finance[Cost Centre],"PRODUCTION")&gt;0,"PRODUCTION ","")&amp;IF(COUNTIFS(tbl_Finance[Job Number],C78&amp;"",tbl_Finance[Cost Centre],"VIDEO")&gt;0,"VIDEO ","")&amp;IF(COUNTIFS(tbl_Finance[Job Number],C78&amp;"",tbl_Finance[Cost Centre],"INTEGRATION")&gt;0,"INTEGRATION ","")&amp;IF(COUNTIFS(tbl_Finance[Job Number],C78&amp;"",tbl_Finance[Cost Centre],"CONSULTING")&gt;0,"CONSULTING ","")&amp;IF(COUNTIFS(tbl_Finance[Job Number],C78&amp;"",tbl_Finance[Cost Centre],"CTS")&gt;0,"CTS ",""))," ",", ")))</f>
        <v/>
      </c>
      <c r="L78" s="24" t="n"/>
      <c r="M78" s="24" t="n"/>
      <c r="N78" s="25">
        <f>IF(M78="","",HYPERLINK(IF(LEFT(M78,4)="http",M78,set_QwilrBase&amp;M78),"Open quote"))</f>
        <v/>
      </c>
      <c r="O78" s="64" t="n"/>
      <c r="P78" s="24" t="n"/>
      <c r="Q78" s="24" t="n"/>
    </row>
    <row r="79" ht="15" customHeight="1">
      <c r="A79" s="63">
        <f>IF(C79="","",IFERROR(IF(SUMPRODUCT(MAX((tbl_Finance[Job Number]=C79&amp;"")*(tbl_Finance[Xero Invoice No]&lt;&gt;"")*tbl_Finance[Date]))=0,"",SUMPRODUCT(MAX((tbl_Finance[Job Number]=C79&amp;"")*(tbl_Finance[Xero Invoice No]&lt;&gt;"")*tbl_Finance[Date]))),""))</f>
        <v/>
      </c>
      <c r="B79" s="25">
        <f>IF(C79="","",IF(COUNTIFS(tbl_Finance[Job Number],C79&amp;"",tbl_Finance[Xero Invoice No],"&lt;&gt;")=0,"",IFERROR(IF(COUNTIFS(tbl_Finance[Job Number],C79&amp;"",tbl_Finance[Xero Invoice No],LOOKUP(2,1/((tbl_Finance[Job Number]=C79&amp;"")*(tbl_Finance[Xero Invoice No]&lt;&gt;"")),tbl_Finance[Xero Invoice No]))=COUNTIFS(tbl_Finance[Job Number],C79&amp;"",tbl_Finance[Xero Invoice No],"&lt;&gt;"),LOOKUP(2,1/((tbl_Finance[Job Number]=C79&amp;"")*(tbl_Finance[Xero Invoice No]&lt;&gt;"")),tbl_Finance[Xero Invoice No]),LOOKUP(2,1/((tbl_Finance[Job Number]=C79&amp;"")*(tbl_Finance[Xero Invoice No]&lt;&gt;"")),tbl_Finance[Xero Invoice No])&amp;" +more"),"")))</f>
        <v/>
      </c>
      <c r="C79" s="24" t="n"/>
      <c r="D79" s="25">
        <f>IF(C79="","",IF(COUNTIF(lst_Jobs,C79&amp;"")&gt;0,"OK","CHECK"))</f>
        <v/>
      </c>
      <c r="E79" s="25">
        <f>IF(C79="","",IFERROR(INDEX(lst_JobName,MATCH(C79&amp;"",lst_Jobs,0)),""))</f>
        <v/>
      </c>
      <c r="F79" s="25">
        <f>IF(C79="","",IFERROR(INDEX(tbl_Finance[Client],MATCH(C79&amp;"",tbl_Finance[Job Number],0)),""))</f>
        <v/>
      </c>
      <c r="G79" s="28">
        <f>IF(C79="","",COUNTIFS(tbl_Finance[Job Number],C79&amp;"",tbl_Finance[Ex GST],"&lt;&gt;"))</f>
        <v/>
      </c>
      <c r="H79" s="27">
        <f>IF(C79="","",SUMIFS(tbl_Finance[Ex GST],tbl_Finance[Job Number],C79&amp;""))</f>
        <v/>
      </c>
      <c r="I79" s="27">
        <f>IF(C79="","",SUMIFS(tbl_Finance[Ex GST],tbl_Finance[Job Number],C79&amp;"",tbl_Finance[Xero Invoice No],"&lt;&gt;"))</f>
        <v/>
      </c>
      <c r="J79" s="27">
        <f>IF(C79="","",H79-I79)</f>
        <v/>
      </c>
      <c r="K79" s="25">
        <f>IF(C79="","",IF(G79=0,"not invoiced yet",SUBSTITUTE(TRIM(IF(COUNTIFS(tbl_Finance[Job Number],C79&amp;"",tbl_Finance[Cost Centre],"ONSITE")&gt;0,"ONSITE ","")&amp;IF(COUNTIFS(tbl_Finance[Job Number],C79&amp;"",tbl_Finance[Cost Centre],"PRODUCTION")&gt;0,"PRODUCTION ","")&amp;IF(COUNTIFS(tbl_Finance[Job Number],C79&amp;"",tbl_Finance[Cost Centre],"VIDEO")&gt;0,"VIDEO ","")&amp;IF(COUNTIFS(tbl_Finance[Job Number],C79&amp;"",tbl_Finance[Cost Centre],"INTEGRATION")&gt;0,"INTEGRATION ","")&amp;IF(COUNTIFS(tbl_Finance[Job Number],C79&amp;"",tbl_Finance[Cost Centre],"CONSULTING")&gt;0,"CONSULTING ","")&amp;IF(COUNTIFS(tbl_Finance[Job Number],C79&amp;"",tbl_Finance[Cost Centre],"CTS")&gt;0,"CTS ",""))," ",", ")))</f>
        <v/>
      </c>
      <c r="L79" s="24" t="n"/>
      <c r="M79" s="24" t="n"/>
      <c r="N79" s="25">
        <f>IF(M79="","",HYPERLINK(IF(LEFT(M79,4)="http",M79,set_QwilrBase&amp;M79),"Open quote"))</f>
        <v/>
      </c>
      <c r="O79" s="64" t="n"/>
      <c r="P79" s="24" t="n"/>
      <c r="Q79" s="24" t="n"/>
    </row>
    <row r="80" ht="15" customHeight="1">
      <c r="A80" s="63">
        <f>IF(C80="","",IFERROR(IF(SUMPRODUCT(MAX((tbl_Finance[Job Number]=C80&amp;"")*(tbl_Finance[Xero Invoice No]&lt;&gt;"")*tbl_Finance[Date]))=0,"",SUMPRODUCT(MAX((tbl_Finance[Job Number]=C80&amp;"")*(tbl_Finance[Xero Invoice No]&lt;&gt;"")*tbl_Finance[Date]))),""))</f>
        <v/>
      </c>
      <c r="B80" s="25">
        <f>IF(C80="","",IF(COUNTIFS(tbl_Finance[Job Number],C80&amp;"",tbl_Finance[Xero Invoice No],"&lt;&gt;")=0,"",IFERROR(IF(COUNTIFS(tbl_Finance[Job Number],C80&amp;"",tbl_Finance[Xero Invoice No],LOOKUP(2,1/((tbl_Finance[Job Number]=C80&amp;"")*(tbl_Finance[Xero Invoice No]&lt;&gt;"")),tbl_Finance[Xero Invoice No]))=COUNTIFS(tbl_Finance[Job Number],C80&amp;"",tbl_Finance[Xero Invoice No],"&lt;&gt;"),LOOKUP(2,1/((tbl_Finance[Job Number]=C80&amp;"")*(tbl_Finance[Xero Invoice No]&lt;&gt;"")),tbl_Finance[Xero Invoice No]),LOOKUP(2,1/((tbl_Finance[Job Number]=C80&amp;"")*(tbl_Finance[Xero Invoice No]&lt;&gt;"")),tbl_Finance[Xero Invoice No])&amp;" +more"),"")))</f>
        <v/>
      </c>
      <c r="C80" s="24" t="n"/>
      <c r="D80" s="25">
        <f>IF(C80="","",IF(COUNTIF(lst_Jobs,C80&amp;"")&gt;0,"OK","CHECK"))</f>
        <v/>
      </c>
      <c r="E80" s="25">
        <f>IF(C80="","",IFERROR(INDEX(lst_JobName,MATCH(C80&amp;"",lst_Jobs,0)),""))</f>
        <v/>
      </c>
      <c r="F80" s="25">
        <f>IF(C80="","",IFERROR(INDEX(tbl_Finance[Client],MATCH(C80&amp;"",tbl_Finance[Job Number],0)),""))</f>
        <v/>
      </c>
      <c r="G80" s="28">
        <f>IF(C80="","",COUNTIFS(tbl_Finance[Job Number],C80&amp;"",tbl_Finance[Ex GST],"&lt;&gt;"))</f>
        <v/>
      </c>
      <c r="H80" s="27">
        <f>IF(C80="","",SUMIFS(tbl_Finance[Ex GST],tbl_Finance[Job Number],C80&amp;""))</f>
        <v/>
      </c>
      <c r="I80" s="27">
        <f>IF(C80="","",SUMIFS(tbl_Finance[Ex GST],tbl_Finance[Job Number],C80&amp;"",tbl_Finance[Xero Invoice No],"&lt;&gt;"))</f>
        <v/>
      </c>
      <c r="J80" s="27">
        <f>IF(C80="","",H80-I80)</f>
        <v/>
      </c>
      <c r="K80" s="25">
        <f>IF(C80="","",IF(G80=0,"not invoiced yet",SUBSTITUTE(TRIM(IF(COUNTIFS(tbl_Finance[Job Number],C80&amp;"",tbl_Finance[Cost Centre],"ONSITE")&gt;0,"ONSITE ","")&amp;IF(COUNTIFS(tbl_Finance[Job Number],C80&amp;"",tbl_Finance[Cost Centre],"PRODUCTION")&gt;0,"PRODUCTION ","")&amp;IF(COUNTIFS(tbl_Finance[Job Number],C80&amp;"",tbl_Finance[Cost Centre],"VIDEO")&gt;0,"VIDEO ","")&amp;IF(COUNTIFS(tbl_Finance[Job Number],C80&amp;"",tbl_Finance[Cost Centre],"INTEGRATION")&gt;0,"INTEGRATION ","")&amp;IF(COUNTIFS(tbl_Finance[Job Number],C80&amp;"",tbl_Finance[Cost Centre],"CONSULTING")&gt;0,"CONSULTING ","")&amp;IF(COUNTIFS(tbl_Finance[Job Number],C80&amp;"",tbl_Finance[Cost Centre],"CTS")&gt;0,"CTS ",""))," ",", ")))</f>
        <v/>
      </c>
      <c r="L80" s="24" t="n"/>
      <c r="M80" s="24" t="n"/>
      <c r="N80" s="25">
        <f>IF(M80="","",HYPERLINK(IF(LEFT(M80,4)="http",M80,set_QwilrBase&amp;M80),"Open quote"))</f>
        <v/>
      </c>
      <c r="O80" s="64" t="n"/>
      <c r="P80" s="24" t="n"/>
      <c r="Q80" s="24" t="n"/>
    </row>
    <row r="81" ht="15" customHeight="1">
      <c r="A81" s="63">
        <f>IF(C81="","",IFERROR(IF(SUMPRODUCT(MAX((tbl_Finance[Job Number]=C81&amp;"")*(tbl_Finance[Xero Invoice No]&lt;&gt;"")*tbl_Finance[Date]))=0,"",SUMPRODUCT(MAX((tbl_Finance[Job Number]=C81&amp;"")*(tbl_Finance[Xero Invoice No]&lt;&gt;"")*tbl_Finance[Date]))),""))</f>
        <v/>
      </c>
      <c r="B81" s="25">
        <f>IF(C81="","",IF(COUNTIFS(tbl_Finance[Job Number],C81&amp;"",tbl_Finance[Xero Invoice No],"&lt;&gt;")=0,"",IFERROR(IF(COUNTIFS(tbl_Finance[Job Number],C81&amp;"",tbl_Finance[Xero Invoice No],LOOKUP(2,1/((tbl_Finance[Job Number]=C81&amp;"")*(tbl_Finance[Xero Invoice No]&lt;&gt;"")),tbl_Finance[Xero Invoice No]))=COUNTIFS(tbl_Finance[Job Number],C81&amp;"",tbl_Finance[Xero Invoice No],"&lt;&gt;"),LOOKUP(2,1/((tbl_Finance[Job Number]=C81&amp;"")*(tbl_Finance[Xero Invoice No]&lt;&gt;"")),tbl_Finance[Xero Invoice No]),LOOKUP(2,1/((tbl_Finance[Job Number]=C81&amp;"")*(tbl_Finance[Xero Invoice No]&lt;&gt;"")),tbl_Finance[Xero Invoice No])&amp;" +more"),"")))</f>
        <v/>
      </c>
      <c r="C81" s="24" t="n"/>
      <c r="D81" s="25">
        <f>IF(C81="","",IF(COUNTIF(lst_Jobs,C81&amp;"")&gt;0,"OK","CHECK"))</f>
        <v/>
      </c>
      <c r="E81" s="25">
        <f>IF(C81="","",IFERROR(INDEX(lst_JobName,MATCH(C81&amp;"",lst_Jobs,0)),""))</f>
        <v/>
      </c>
      <c r="F81" s="25">
        <f>IF(C81="","",IFERROR(INDEX(tbl_Finance[Client],MATCH(C81&amp;"",tbl_Finance[Job Number],0)),""))</f>
        <v/>
      </c>
      <c r="G81" s="28">
        <f>IF(C81="","",COUNTIFS(tbl_Finance[Job Number],C81&amp;"",tbl_Finance[Ex GST],"&lt;&gt;"))</f>
        <v/>
      </c>
      <c r="H81" s="27">
        <f>IF(C81="","",SUMIFS(tbl_Finance[Ex GST],tbl_Finance[Job Number],C81&amp;""))</f>
        <v/>
      </c>
      <c r="I81" s="27">
        <f>IF(C81="","",SUMIFS(tbl_Finance[Ex GST],tbl_Finance[Job Number],C81&amp;"",tbl_Finance[Xero Invoice No],"&lt;&gt;"))</f>
        <v/>
      </c>
      <c r="J81" s="27">
        <f>IF(C81="","",H81-I81)</f>
        <v/>
      </c>
      <c r="K81" s="25">
        <f>IF(C81="","",IF(G81=0,"not invoiced yet",SUBSTITUTE(TRIM(IF(COUNTIFS(tbl_Finance[Job Number],C81&amp;"",tbl_Finance[Cost Centre],"ONSITE")&gt;0,"ONSITE ","")&amp;IF(COUNTIFS(tbl_Finance[Job Number],C81&amp;"",tbl_Finance[Cost Centre],"PRODUCTION")&gt;0,"PRODUCTION ","")&amp;IF(COUNTIFS(tbl_Finance[Job Number],C81&amp;"",tbl_Finance[Cost Centre],"VIDEO")&gt;0,"VIDEO ","")&amp;IF(COUNTIFS(tbl_Finance[Job Number],C81&amp;"",tbl_Finance[Cost Centre],"INTEGRATION")&gt;0,"INTEGRATION ","")&amp;IF(COUNTIFS(tbl_Finance[Job Number],C81&amp;"",tbl_Finance[Cost Centre],"CONSULTING")&gt;0,"CONSULTING ","")&amp;IF(COUNTIFS(tbl_Finance[Job Number],C81&amp;"",tbl_Finance[Cost Centre],"CTS")&gt;0,"CTS ",""))," ",", ")))</f>
        <v/>
      </c>
      <c r="L81" s="24" t="n"/>
      <c r="M81" s="24" t="n"/>
      <c r="N81" s="25">
        <f>IF(M81="","",HYPERLINK(IF(LEFT(M81,4)="http",M81,set_QwilrBase&amp;M81),"Open quote"))</f>
        <v/>
      </c>
      <c r="O81" s="64" t="n"/>
      <c r="P81" s="24" t="n"/>
      <c r="Q81" s="24" t="n"/>
    </row>
    <row r="82" ht="15" customHeight="1">
      <c r="A82" s="63">
        <f>IF(C82="","",IFERROR(IF(SUMPRODUCT(MAX((tbl_Finance[Job Number]=C82&amp;"")*(tbl_Finance[Xero Invoice No]&lt;&gt;"")*tbl_Finance[Date]))=0,"",SUMPRODUCT(MAX((tbl_Finance[Job Number]=C82&amp;"")*(tbl_Finance[Xero Invoice No]&lt;&gt;"")*tbl_Finance[Date]))),""))</f>
        <v/>
      </c>
      <c r="B82" s="25">
        <f>IF(C82="","",IF(COUNTIFS(tbl_Finance[Job Number],C82&amp;"",tbl_Finance[Xero Invoice No],"&lt;&gt;")=0,"",IFERROR(IF(COUNTIFS(tbl_Finance[Job Number],C82&amp;"",tbl_Finance[Xero Invoice No],LOOKUP(2,1/((tbl_Finance[Job Number]=C82&amp;"")*(tbl_Finance[Xero Invoice No]&lt;&gt;"")),tbl_Finance[Xero Invoice No]))=COUNTIFS(tbl_Finance[Job Number],C82&amp;"",tbl_Finance[Xero Invoice No],"&lt;&gt;"),LOOKUP(2,1/((tbl_Finance[Job Number]=C82&amp;"")*(tbl_Finance[Xero Invoice No]&lt;&gt;"")),tbl_Finance[Xero Invoice No]),LOOKUP(2,1/((tbl_Finance[Job Number]=C82&amp;"")*(tbl_Finance[Xero Invoice No]&lt;&gt;"")),tbl_Finance[Xero Invoice No])&amp;" +more"),"")))</f>
        <v/>
      </c>
      <c r="C82" s="24" t="n"/>
      <c r="D82" s="25">
        <f>IF(C82="","",IF(COUNTIF(lst_Jobs,C82&amp;"")&gt;0,"OK","CHECK"))</f>
        <v/>
      </c>
      <c r="E82" s="25">
        <f>IF(C82="","",IFERROR(INDEX(lst_JobName,MATCH(C82&amp;"",lst_Jobs,0)),""))</f>
        <v/>
      </c>
      <c r="F82" s="25">
        <f>IF(C82="","",IFERROR(INDEX(tbl_Finance[Client],MATCH(C82&amp;"",tbl_Finance[Job Number],0)),""))</f>
        <v/>
      </c>
      <c r="G82" s="28">
        <f>IF(C82="","",COUNTIFS(tbl_Finance[Job Number],C82&amp;"",tbl_Finance[Ex GST],"&lt;&gt;"))</f>
        <v/>
      </c>
      <c r="H82" s="27">
        <f>IF(C82="","",SUMIFS(tbl_Finance[Ex GST],tbl_Finance[Job Number],C82&amp;""))</f>
        <v/>
      </c>
      <c r="I82" s="27">
        <f>IF(C82="","",SUMIFS(tbl_Finance[Ex GST],tbl_Finance[Job Number],C82&amp;"",tbl_Finance[Xero Invoice No],"&lt;&gt;"))</f>
        <v/>
      </c>
      <c r="J82" s="27">
        <f>IF(C82="","",H82-I82)</f>
        <v/>
      </c>
      <c r="K82" s="25">
        <f>IF(C82="","",IF(G82=0,"not invoiced yet",SUBSTITUTE(TRIM(IF(COUNTIFS(tbl_Finance[Job Number],C82&amp;"",tbl_Finance[Cost Centre],"ONSITE")&gt;0,"ONSITE ","")&amp;IF(COUNTIFS(tbl_Finance[Job Number],C82&amp;"",tbl_Finance[Cost Centre],"PRODUCTION")&gt;0,"PRODUCTION ","")&amp;IF(COUNTIFS(tbl_Finance[Job Number],C82&amp;"",tbl_Finance[Cost Centre],"VIDEO")&gt;0,"VIDEO ","")&amp;IF(COUNTIFS(tbl_Finance[Job Number],C82&amp;"",tbl_Finance[Cost Centre],"INTEGRATION")&gt;0,"INTEGRATION ","")&amp;IF(COUNTIFS(tbl_Finance[Job Number],C82&amp;"",tbl_Finance[Cost Centre],"CONSULTING")&gt;0,"CONSULTING ","")&amp;IF(COUNTIFS(tbl_Finance[Job Number],C82&amp;"",tbl_Finance[Cost Centre],"CTS")&gt;0,"CTS ",""))," ",", ")))</f>
        <v/>
      </c>
      <c r="L82" s="24" t="n"/>
      <c r="M82" s="24" t="n"/>
      <c r="N82" s="25">
        <f>IF(M82="","",HYPERLINK(IF(LEFT(M82,4)="http",M82,set_QwilrBase&amp;M82),"Open quote"))</f>
        <v/>
      </c>
      <c r="O82" s="64" t="n"/>
      <c r="P82" s="24" t="n"/>
      <c r="Q82" s="24" t="n"/>
    </row>
    <row r="83" ht="15" customHeight="1">
      <c r="A83" s="63">
        <f>IF(C83="","",IFERROR(IF(SUMPRODUCT(MAX((tbl_Finance[Job Number]=C83&amp;"")*(tbl_Finance[Xero Invoice No]&lt;&gt;"")*tbl_Finance[Date]))=0,"",SUMPRODUCT(MAX((tbl_Finance[Job Number]=C83&amp;"")*(tbl_Finance[Xero Invoice No]&lt;&gt;"")*tbl_Finance[Date]))),""))</f>
        <v/>
      </c>
      <c r="B83" s="25">
        <f>IF(C83="","",IF(COUNTIFS(tbl_Finance[Job Number],C83&amp;"",tbl_Finance[Xero Invoice No],"&lt;&gt;")=0,"",IFERROR(IF(COUNTIFS(tbl_Finance[Job Number],C83&amp;"",tbl_Finance[Xero Invoice No],LOOKUP(2,1/((tbl_Finance[Job Number]=C83&amp;"")*(tbl_Finance[Xero Invoice No]&lt;&gt;"")),tbl_Finance[Xero Invoice No]))=COUNTIFS(tbl_Finance[Job Number],C83&amp;"",tbl_Finance[Xero Invoice No],"&lt;&gt;"),LOOKUP(2,1/((tbl_Finance[Job Number]=C83&amp;"")*(tbl_Finance[Xero Invoice No]&lt;&gt;"")),tbl_Finance[Xero Invoice No]),LOOKUP(2,1/((tbl_Finance[Job Number]=C83&amp;"")*(tbl_Finance[Xero Invoice No]&lt;&gt;"")),tbl_Finance[Xero Invoice No])&amp;" +more"),"")))</f>
        <v/>
      </c>
      <c r="C83" s="24" t="n"/>
      <c r="D83" s="25">
        <f>IF(C83="","",IF(COUNTIF(lst_Jobs,C83&amp;"")&gt;0,"OK","CHECK"))</f>
        <v/>
      </c>
      <c r="E83" s="25">
        <f>IF(C83="","",IFERROR(INDEX(lst_JobName,MATCH(C83&amp;"",lst_Jobs,0)),""))</f>
        <v/>
      </c>
      <c r="F83" s="25">
        <f>IF(C83="","",IFERROR(INDEX(tbl_Finance[Client],MATCH(C83&amp;"",tbl_Finance[Job Number],0)),""))</f>
        <v/>
      </c>
      <c r="G83" s="28">
        <f>IF(C83="","",COUNTIFS(tbl_Finance[Job Number],C83&amp;"",tbl_Finance[Ex GST],"&lt;&gt;"))</f>
        <v/>
      </c>
      <c r="H83" s="27">
        <f>IF(C83="","",SUMIFS(tbl_Finance[Ex GST],tbl_Finance[Job Number],C83&amp;""))</f>
        <v/>
      </c>
      <c r="I83" s="27">
        <f>IF(C83="","",SUMIFS(tbl_Finance[Ex GST],tbl_Finance[Job Number],C83&amp;"",tbl_Finance[Xero Invoice No],"&lt;&gt;"))</f>
        <v/>
      </c>
      <c r="J83" s="27">
        <f>IF(C83="","",H83-I83)</f>
        <v/>
      </c>
      <c r="K83" s="25">
        <f>IF(C83="","",IF(G83=0,"not invoiced yet",SUBSTITUTE(TRIM(IF(COUNTIFS(tbl_Finance[Job Number],C83&amp;"",tbl_Finance[Cost Centre],"ONSITE")&gt;0,"ONSITE ","")&amp;IF(COUNTIFS(tbl_Finance[Job Number],C83&amp;"",tbl_Finance[Cost Centre],"PRODUCTION")&gt;0,"PRODUCTION ","")&amp;IF(COUNTIFS(tbl_Finance[Job Number],C83&amp;"",tbl_Finance[Cost Centre],"VIDEO")&gt;0,"VIDEO ","")&amp;IF(COUNTIFS(tbl_Finance[Job Number],C83&amp;"",tbl_Finance[Cost Centre],"INTEGRATION")&gt;0,"INTEGRATION ","")&amp;IF(COUNTIFS(tbl_Finance[Job Number],C83&amp;"",tbl_Finance[Cost Centre],"CONSULTING")&gt;0,"CONSULTING ","")&amp;IF(COUNTIFS(tbl_Finance[Job Number],C83&amp;"",tbl_Finance[Cost Centre],"CTS")&gt;0,"CTS ",""))," ",", ")))</f>
        <v/>
      </c>
      <c r="L83" s="24" t="n"/>
      <c r="M83" s="24" t="n"/>
      <c r="N83" s="25">
        <f>IF(M83="","",HYPERLINK(IF(LEFT(M83,4)="http",M83,set_QwilrBase&amp;M83),"Open quote"))</f>
        <v/>
      </c>
      <c r="O83" s="64" t="n"/>
      <c r="P83" s="24" t="n"/>
      <c r="Q83" s="24" t="n"/>
    </row>
    <row r="84" ht="15" customHeight="1">
      <c r="A84" s="63">
        <f>IF(C84="","",IFERROR(IF(SUMPRODUCT(MAX((tbl_Finance[Job Number]=C84&amp;"")*(tbl_Finance[Xero Invoice No]&lt;&gt;"")*tbl_Finance[Date]))=0,"",SUMPRODUCT(MAX((tbl_Finance[Job Number]=C84&amp;"")*(tbl_Finance[Xero Invoice No]&lt;&gt;"")*tbl_Finance[Date]))),""))</f>
        <v/>
      </c>
      <c r="B84" s="25">
        <f>IF(C84="","",IF(COUNTIFS(tbl_Finance[Job Number],C84&amp;"",tbl_Finance[Xero Invoice No],"&lt;&gt;")=0,"",IFERROR(IF(COUNTIFS(tbl_Finance[Job Number],C84&amp;"",tbl_Finance[Xero Invoice No],LOOKUP(2,1/((tbl_Finance[Job Number]=C84&amp;"")*(tbl_Finance[Xero Invoice No]&lt;&gt;"")),tbl_Finance[Xero Invoice No]))=COUNTIFS(tbl_Finance[Job Number],C84&amp;"",tbl_Finance[Xero Invoice No],"&lt;&gt;"),LOOKUP(2,1/((tbl_Finance[Job Number]=C84&amp;"")*(tbl_Finance[Xero Invoice No]&lt;&gt;"")),tbl_Finance[Xero Invoice No]),LOOKUP(2,1/((tbl_Finance[Job Number]=C84&amp;"")*(tbl_Finance[Xero Invoice No]&lt;&gt;"")),tbl_Finance[Xero Invoice No])&amp;" +more"),"")))</f>
        <v/>
      </c>
      <c r="C84" s="24" t="n"/>
      <c r="D84" s="25">
        <f>IF(C84="","",IF(COUNTIF(lst_Jobs,C84&amp;"")&gt;0,"OK","CHECK"))</f>
        <v/>
      </c>
      <c r="E84" s="25">
        <f>IF(C84="","",IFERROR(INDEX(lst_JobName,MATCH(C84&amp;"",lst_Jobs,0)),""))</f>
        <v/>
      </c>
      <c r="F84" s="25">
        <f>IF(C84="","",IFERROR(INDEX(tbl_Finance[Client],MATCH(C84&amp;"",tbl_Finance[Job Number],0)),""))</f>
        <v/>
      </c>
      <c r="G84" s="28">
        <f>IF(C84="","",COUNTIFS(tbl_Finance[Job Number],C84&amp;"",tbl_Finance[Ex GST],"&lt;&gt;"))</f>
        <v/>
      </c>
      <c r="H84" s="27">
        <f>IF(C84="","",SUMIFS(tbl_Finance[Ex GST],tbl_Finance[Job Number],C84&amp;""))</f>
        <v/>
      </c>
      <c r="I84" s="27">
        <f>IF(C84="","",SUMIFS(tbl_Finance[Ex GST],tbl_Finance[Job Number],C84&amp;"",tbl_Finance[Xero Invoice No],"&lt;&gt;"))</f>
        <v/>
      </c>
      <c r="J84" s="27">
        <f>IF(C84="","",H84-I84)</f>
        <v/>
      </c>
      <c r="K84" s="25">
        <f>IF(C84="","",IF(G84=0,"not invoiced yet",SUBSTITUTE(TRIM(IF(COUNTIFS(tbl_Finance[Job Number],C84&amp;"",tbl_Finance[Cost Centre],"ONSITE")&gt;0,"ONSITE ","")&amp;IF(COUNTIFS(tbl_Finance[Job Number],C84&amp;"",tbl_Finance[Cost Centre],"PRODUCTION")&gt;0,"PRODUCTION ","")&amp;IF(COUNTIFS(tbl_Finance[Job Number],C84&amp;"",tbl_Finance[Cost Centre],"VIDEO")&gt;0,"VIDEO ","")&amp;IF(COUNTIFS(tbl_Finance[Job Number],C84&amp;"",tbl_Finance[Cost Centre],"INTEGRATION")&gt;0,"INTEGRATION ","")&amp;IF(COUNTIFS(tbl_Finance[Job Number],C84&amp;"",tbl_Finance[Cost Centre],"CONSULTING")&gt;0,"CONSULTING ","")&amp;IF(COUNTIFS(tbl_Finance[Job Number],C84&amp;"",tbl_Finance[Cost Centre],"CTS")&gt;0,"CTS ",""))," ",", ")))</f>
        <v/>
      </c>
      <c r="L84" s="24" t="n"/>
      <c r="M84" s="24" t="n"/>
      <c r="N84" s="25">
        <f>IF(M84="","",HYPERLINK(IF(LEFT(M84,4)="http",M84,set_QwilrBase&amp;M84),"Open quote"))</f>
        <v/>
      </c>
      <c r="O84" s="64" t="n"/>
      <c r="P84" s="24" t="n"/>
      <c r="Q84" s="24" t="n"/>
    </row>
    <row r="85" ht="15" customHeight="1">
      <c r="A85" s="63">
        <f>IF(C85="","",IFERROR(IF(SUMPRODUCT(MAX((tbl_Finance[Job Number]=C85&amp;"")*(tbl_Finance[Xero Invoice No]&lt;&gt;"")*tbl_Finance[Date]))=0,"",SUMPRODUCT(MAX((tbl_Finance[Job Number]=C85&amp;"")*(tbl_Finance[Xero Invoice No]&lt;&gt;"")*tbl_Finance[Date]))),""))</f>
        <v/>
      </c>
      <c r="B85" s="25">
        <f>IF(C85="","",IF(COUNTIFS(tbl_Finance[Job Number],C85&amp;"",tbl_Finance[Xero Invoice No],"&lt;&gt;")=0,"",IFERROR(IF(COUNTIFS(tbl_Finance[Job Number],C85&amp;"",tbl_Finance[Xero Invoice No],LOOKUP(2,1/((tbl_Finance[Job Number]=C85&amp;"")*(tbl_Finance[Xero Invoice No]&lt;&gt;"")),tbl_Finance[Xero Invoice No]))=COUNTIFS(tbl_Finance[Job Number],C85&amp;"",tbl_Finance[Xero Invoice No],"&lt;&gt;"),LOOKUP(2,1/((tbl_Finance[Job Number]=C85&amp;"")*(tbl_Finance[Xero Invoice No]&lt;&gt;"")),tbl_Finance[Xero Invoice No]),LOOKUP(2,1/((tbl_Finance[Job Number]=C85&amp;"")*(tbl_Finance[Xero Invoice No]&lt;&gt;"")),tbl_Finance[Xero Invoice No])&amp;" +more"),"")))</f>
        <v/>
      </c>
      <c r="C85" s="24" t="n"/>
      <c r="D85" s="25">
        <f>IF(C85="","",IF(COUNTIF(lst_Jobs,C85&amp;"")&gt;0,"OK","CHECK"))</f>
        <v/>
      </c>
      <c r="E85" s="25">
        <f>IF(C85="","",IFERROR(INDEX(lst_JobName,MATCH(C85&amp;"",lst_Jobs,0)),""))</f>
        <v/>
      </c>
      <c r="F85" s="25">
        <f>IF(C85="","",IFERROR(INDEX(tbl_Finance[Client],MATCH(C85&amp;"",tbl_Finance[Job Number],0)),""))</f>
        <v/>
      </c>
      <c r="G85" s="28">
        <f>IF(C85="","",COUNTIFS(tbl_Finance[Job Number],C85&amp;"",tbl_Finance[Ex GST],"&lt;&gt;"))</f>
        <v/>
      </c>
      <c r="H85" s="27">
        <f>IF(C85="","",SUMIFS(tbl_Finance[Ex GST],tbl_Finance[Job Number],C85&amp;""))</f>
        <v/>
      </c>
      <c r="I85" s="27">
        <f>IF(C85="","",SUMIFS(tbl_Finance[Ex GST],tbl_Finance[Job Number],C85&amp;"",tbl_Finance[Xero Invoice No],"&lt;&gt;"))</f>
        <v/>
      </c>
      <c r="J85" s="27">
        <f>IF(C85="","",H85-I85)</f>
        <v/>
      </c>
      <c r="K85" s="25">
        <f>IF(C85="","",IF(G85=0,"not invoiced yet",SUBSTITUTE(TRIM(IF(COUNTIFS(tbl_Finance[Job Number],C85&amp;"",tbl_Finance[Cost Centre],"ONSITE")&gt;0,"ONSITE ","")&amp;IF(COUNTIFS(tbl_Finance[Job Number],C85&amp;"",tbl_Finance[Cost Centre],"PRODUCTION")&gt;0,"PRODUCTION ","")&amp;IF(COUNTIFS(tbl_Finance[Job Number],C85&amp;"",tbl_Finance[Cost Centre],"VIDEO")&gt;0,"VIDEO ","")&amp;IF(COUNTIFS(tbl_Finance[Job Number],C85&amp;"",tbl_Finance[Cost Centre],"INTEGRATION")&gt;0,"INTEGRATION ","")&amp;IF(COUNTIFS(tbl_Finance[Job Number],C85&amp;"",tbl_Finance[Cost Centre],"CONSULTING")&gt;0,"CONSULTING ","")&amp;IF(COUNTIFS(tbl_Finance[Job Number],C85&amp;"",tbl_Finance[Cost Centre],"CTS")&gt;0,"CTS ",""))," ",", ")))</f>
        <v/>
      </c>
      <c r="L85" s="24" t="n"/>
      <c r="M85" s="24" t="n"/>
      <c r="N85" s="25">
        <f>IF(M85="","",HYPERLINK(IF(LEFT(M85,4)="http",M85,set_QwilrBase&amp;M85),"Open quote"))</f>
        <v/>
      </c>
      <c r="O85" s="64" t="n"/>
      <c r="P85" s="24" t="n"/>
      <c r="Q85" s="24" t="n"/>
    </row>
    <row r="86" ht="15" customHeight="1">
      <c r="A86" s="63">
        <f>IF(C86="","",IFERROR(IF(SUMPRODUCT(MAX((tbl_Finance[Job Number]=C86&amp;"")*(tbl_Finance[Xero Invoice No]&lt;&gt;"")*tbl_Finance[Date]))=0,"",SUMPRODUCT(MAX((tbl_Finance[Job Number]=C86&amp;"")*(tbl_Finance[Xero Invoice No]&lt;&gt;"")*tbl_Finance[Date]))),""))</f>
        <v/>
      </c>
      <c r="B86" s="25">
        <f>IF(C86="","",IF(COUNTIFS(tbl_Finance[Job Number],C86&amp;"",tbl_Finance[Xero Invoice No],"&lt;&gt;")=0,"",IFERROR(IF(COUNTIFS(tbl_Finance[Job Number],C86&amp;"",tbl_Finance[Xero Invoice No],LOOKUP(2,1/((tbl_Finance[Job Number]=C86&amp;"")*(tbl_Finance[Xero Invoice No]&lt;&gt;"")),tbl_Finance[Xero Invoice No]))=COUNTIFS(tbl_Finance[Job Number],C86&amp;"",tbl_Finance[Xero Invoice No],"&lt;&gt;"),LOOKUP(2,1/((tbl_Finance[Job Number]=C86&amp;"")*(tbl_Finance[Xero Invoice No]&lt;&gt;"")),tbl_Finance[Xero Invoice No]),LOOKUP(2,1/((tbl_Finance[Job Number]=C86&amp;"")*(tbl_Finance[Xero Invoice No]&lt;&gt;"")),tbl_Finance[Xero Invoice No])&amp;" +more"),"")))</f>
        <v/>
      </c>
      <c r="C86" s="24" t="n"/>
      <c r="D86" s="25">
        <f>IF(C86="","",IF(COUNTIF(lst_Jobs,C86&amp;"")&gt;0,"OK","CHECK"))</f>
        <v/>
      </c>
      <c r="E86" s="25">
        <f>IF(C86="","",IFERROR(INDEX(lst_JobName,MATCH(C86&amp;"",lst_Jobs,0)),""))</f>
        <v/>
      </c>
      <c r="F86" s="25">
        <f>IF(C86="","",IFERROR(INDEX(tbl_Finance[Client],MATCH(C86&amp;"",tbl_Finance[Job Number],0)),""))</f>
        <v/>
      </c>
      <c r="G86" s="28">
        <f>IF(C86="","",COUNTIFS(tbl_Finance[Job Number],C86&amp;"",tbl_Finance[Ex GST],"&lt;&gt;"))</f>
        <v/>
      </c>
      <c r="H86" s="27">
        <f>IF(C86="","",SUMIFS(tbl_Finance[Ex GST],tbl_Finance[Job Number],C86&amp;""))</f>
        <v/>
      </c>
      <c r="I86" s="27">
        <f>IF(C86="","",SUMIFS(tbl_Finance[Ex GST],tbl_Finance[Job Number],C86&amp;"",tbl_Finance[Xero Invoice No],"&lt;&gt;"))</f>
        <v/>
      </c>
      <c r="J86" s="27">
        <f>IF(C86="","",H86-I86)</f>
        <v/>
      </c>
      <c r="K86" s="25">
        <f>IF(C86="","",IF(G86=0,"not invoiced yet",SUBSTITUTE(TRIM(IF(COUNTIFS(tbl_Finance[Job Number],C86&amp;"",tbl_Finance[Cost Centre],"ONSITE")&gt;0,"ONSITE ","")&amp;IF(COUNTIFS(tbl_Finance[Job Number],C86&amp;"",tbl_Finance[Cost Centre],"PRODUCTION")&gt;0,"PRODUCTION ","")&amp;IF(COUNTIFS(tbl_Finance[Job Number],C86&amp;"",tbl_Finance[Cost Centre],"VIDEO")&gt;0,"VIDEO ","")&amp;IF(COUNTIFS(tbl_Finance[Job Number],C86&amp;"",tbl_Finance[Cost Centre],"INTEGRATION")&gt;0,"INTEGRATION ","")&amp;IF(COUNTIFS(tbl_Finance[Job Number],C86&amp;"",tbl_Finance[Cost Centre],"CONSULTING")&gt;0,"CONSULTING ","")&amp;IF(COUNTIFS(tbl_Finance[Job Number],C86&amp;"",tbl_Finance[Cost Centre],"CTS")&gt;0,"CTS ",""))," ",", ")))</f>
        <v/>
      </c>
      <c r="L86" s="24" t="n"/>
      <c r="M86" s="24" t="n"/>
      <c r="N86" s="25">
        <f>IF(M86="","",HYPERLINK(IF(LEFT(M86,4)="http",M86,set_QwilrBase&amp;M86),"Open quote"))</f>
        <v/>
      </c>
      <c r="O86" s="64" t="n"/>
      <c r="P86" s="24" t="n"/>
      <c r="Q86" s="24" t="n"/>
    </row>
    <row r="87" ht="15" customHeight="1">
      <c r="A87" s="63">
        <f>IF(C87="","",IFERROR(IF(SUMPRODUCT(MAX((tbl_Finance[Job Number]=C87&amp;"")*(tbl_Finance[Xero Invoice No]&lt;&gt;"")*tbl_Finance[Date]))=0,"",SUMPRODUCT(MAX((tbl_Finance[Job Number]=C87&amp;"")*(tbl_Finance[Xero Invoice No]&lt;&gt;"")*tbl_Finance[Date]))),""))</f>
        <v/>
      </c>
      <c r="B87" s="25">
        <f>IF(C87="","",IF(COUNTIFS(tbl_Finance[Job Number],C87&amp;"",tbl_Finance[Xero Invoice No],"&lt;&gt;")=0,"",IFERROR(IF(COUNTIFS(tbl_Finance[Job Number],C87&amp;"",tbl_Finance[Xero Invoice No],LOOKUP(2,1/((tbl_Finance[Job Number]=C87&amp;"")*(tbl_Finance[Xero Invoice No]&lt;&gt;"")),tbl_Finance[Xero Invoice No]))=COUNTIFS(tbl_Finance[Job Number],C87&amp;"",tbl_Finance[Xero Invoice No],"&lt;&gt;"),LOOKUP(2,1/((tbl_Finance[Job Number]=C87&amp;"")*(tbl_Finance[Xero Invoice No]&lt;&gt;"")),tbl_Finance[Xero Invoice No]),LOOKUP(2,1/((tbl_Finance[Job Number]=C87&amp;"")*(tbl_Finance[Xero Invoice No]&lt;&gt;"")),tbl_Finance[Xero Invoice No])&amp;" +more"),"")))</f>
        <v/>
      </c>
      <c r="C87" s="24" t="n"/>
      <c r="D87" s="25">
        <f>IF(C87="","",IF(COUNTIF(lst_Jobs,C87&amp;"")&gt;0,"OK","CHECK"))</f>
        <v/>
      </c>
      <c r="E87" s="25">
        <f>IF(C87="","",IFERROR(INDEX(lst_JobName,MATCH(C87&amp;"",lst_Jobs,0)),""))</f>
        <v/>
      </c>
      <c r="F87" s="25">
        <f>IF(C87="","",IFERROR(INDEX(tbl_Finance[Client],MATCH(C87&amp;"",tbl_Finance[Job Number],0)),""))</f>
        <v/>
      </c>
      <c r="G87" s="28">
        <f>IF(C87="","",COUNTIFS(tbl_Finance[Job Number],C87&amp;"",tbl_Finance[Ex GST],"&lt;&gt;"))</f>
        <v/>
      </c>
      <c r="H87" s="27">
        <f>IF(C87="","",SUMIFS(tbl_Finance[Ex GST],tbl_Finance[Job Number],C87&amp;""))</f>
        <v/>
      </c>
      <c r="I87" s="27">
        <f>IF(C87="","",SUMIFS(tbl_Finance[Ex GST],tbl_Finance[Job Number],C87&amp;"",tbl_Finance[Xero Invoice No],"&lt;&gt;"))</f>
        <v/>
      </c>
      <c r="J87" s="27">
        <f>IF(C87="","",H87-I87)</f>
        <v/>
      </c>
      <c r="K87" s="25">
        <f>IF(C87="","",IF(G87=0,"not invoiced yet",SUBSTITUTE(TRIM(IF(COUNTIFS(tbl_Finance[Job Number],C87&amp;"",tbl_Finance[Cost Centre],"ONSITE")&gt;0,"ONSITE ","")&amp;IF(COUNTIFS(tbl_Finance[Job Number],C87&amp;"",tbl_Finance[Cost Centre],"PRODUCTION")&gt;0,"PRODUCTION ","")&amp;IF(COUNTIFS(tbl_Finance[Job Number],C87&amp;"",tbl_Finance[Cost Centre],"VIDEO")&gt;0,"VIDEO ","")&amp;IF(COUNTIFS(tbl_Finance[Job Number],C87&amp;"",tbl_Finance[Cost Centre],"INTEGRATION")&gt;0,"INTEGRATION ","")&amp;IF(COUNTIFS(tbl_Finance[Job Number],C87&amp;"",tbl_Finance[Cost Centre],"CONSULTING")&gt;0,"CONSULTING ","")&amp;IF(COUNTIFS(tbl_Finance[Job Number],C87&amp;"",tbl_Finance[Cost Centre],"CTS")&gt;0,"CTS ",""))," ",", ")))</f>
        <v/>
      </c>
      <c r="L87" s="24" t="n"/>
      <c r="M87" s="24" t="n"/>
      <c r="N87" s="25">
        <f>IF(M87="","",HYPERLINK(IF(LEFT(M87,4)="http",M87,set_QwilrBase&amp;M87),"Open quote"))</f>
        <v/>
      </c>
      <c r="O87" s="64" t="n"/>
      <c r="P87" s="24" t="n"/>
      <c r="Q87" s="24" t="n"/>
    </row>
    <row r="88" ht="15" customHeight="1">
      <c r="A88" s="63">
        <f>IF(C88="","",IFERROR(IF(SUMPRODUCT(MAX((tbl_Finance[Job Number]=C88&amp;"")*(tbl_Finance[Xero Invoice No]&lt;&gt;"")*tbl_Finance[Date]))=0,"",SUMPRODUCT(MAX((tbl_Finance[Job Number]=C88&amp;"")*(tbl_Finance[Xero Invoice No]&lt;&gt;"")*tbl_Finance[Date]))),""))</f>
        <v/>
      </c>
      <c r="B88" s="25">
        <f>IF(C88="","",IF(COUNTIFS(tbl_Finance[Job Number],C88&amp;"",tbl_Finance[Xero Invoice No],"&lt;&gt;")=0,"",IFERROR(IF(COUNTIFS(tbl_Finance[Job Number],C88&amp;"",tbl_Finance[Xero Invoice No],LOOKUP(2,1/((tbl_Finance[Job Number]=C88&amp;"")*(tbl_Finance[Xero Invoice No]&lt;&gt;"")),tbl_Finance[Xero Invoice No]))=COUNTIFS(tbl_Finance[Job Number],C88&amp;"",tbl_Finance[Xero Invoice No],"&lt;&gt;"),LOOKUP(2,1/((tbl_Finance[Job Number]=C88&amp;"")*(tbl_Finance[Xero Invoice No]&lt;&gt;"")),tbl_Finance[Xero Invoice No]),LOOKUP(2,1/((tbl_Finance[Job Number]=C88&amp;"")*(tbl_Finance[Xero Invoice No]&lt;&gt;"")),tbl_Finance[Xero Invoice No])&amp;" +more"),"")))</f>
        <v/>
      </c>
      <c r="C88" s="24" t="n"/>
      <c r="D88" s="25">
        <f>IF(C88="","",IF(COUNTIF(lst_Jobs,C88&amp;"")&gt;0,"OK","CHECK"))</f>
        <v/>
      </c>
      <c r="E88" s="25">
        <f>IF(C88="","",IFERROR(INDEX(lst_JobName,MATCH(C88&amp;"",lst_Jobs,0)),""))</f>
        <v/>
      </c>
      <c r="F88" s="25">
        <f>IF(C88="","",IFERROR(INDEX(tbl_Finance[Client],MATCH(C88&amp;"",tbl_Finance[Job Number],0)),""))</f>
        <v/>
      </c>
      <c r="G88" s="28">
        <f>IF(C88="","",COUNTIFS(tbl_Finance[Job Number],C88&amp;"",tbl_Finance[Ex GST],"&lt;&gt;"))</f>
        <v/>
      </c>
      <c r="H88" s="27">
        <f>IF(C88="","",SUMIFS(tbl_Finance[Ex GST],tbl_Finance[Job Number],C88&amp;""))</f>
        <v/>
      </c>
      <c r="I88" s="27">
        <f>IF(C88="","",SUMIFS(tbl_Finance[Ex GST],tbl_Finance[Job Number],C88&amp;"",tbl_Finance[Xero Invoice No],"&lt;&gt;"))</f>
        <v/>
      </c>
      <c r="J88" s="27">
        <f>IF(C88="","",H88-I88)</f>
        <v/>
      </c>
      <c r="K88" s="25">
        <f>IF(C88="","",IF(G88=0,"not invoiced yet",SUBSTITUTE(TRIM(IF(COUNTIFS(tbl_Finance[Job Number],C88&amp;"",tbl_Finance[Cost Centre],"ONSITE")&gt;0,"ONSITE ","")&amp;IF(COUNTIFS(tbl_Finance[Job Number],C88&amp;"",tbl_Finance[Cost Centre],"PRODUCTION")&gt;0,"PRODUCTION ","")&amp;IF(COUNTIFS(tbl_Finance[Job Number],C88&amp;"",tbl_Finance[Cost Centre],"VIDEO")&gt;0,"VIDEO ","")&amp;IF(COUNTIFS(tbl_Finance[Job Number],C88&amp;"",tbl_Finance[Cost Centre],"INTEGRATION")&gt;0,"INTEGRATION ","")&amp;IF(COUNTIFS(tbl_Finance[Job Number],C88&amp;"",tbl_Finance[Cost Centre],"CONSULTING")&gt;0,"CONSULTING ","")&amp;IF(COUNTIFS(tbl_Finance[Job Number],C88&amp;"",tbl_Finance[Cost Centre],"CTS")&gt;0,"CTS ",""))," ",", ")))</f>
        <v/>
      </c>
      <c r="L88" s="24" t="n"/>
      <c r="M88" s="24" t="n"/>
      <c r="N88" s="25">
        <f>IF(M88="","",HYPERLINK(IF(LEFT(M88,4)="http",M88,set_QwilrBase&amp;M88),"Open quote"))</f>
        <v/>
      </c>
      <c r="O88" s="64" t="n"/>
      <c r="P88" s="24" t="n"/>
      <c r="Q88" s="24" t="n"/>
    </row>
    <row r="89" ht="15" customHeight="1">
      <c r="A89" s="63">
        <f>IF(C89="","",IFERROR(IF(SUMPRODUCT(MAX((tbl_Finance[Job Number]=C89&amp;"")*(tbl_Finance[Xero Invoice No]&lt;&gt;"")*tbl_Finance[Date]))=0,"",SUMPRODUCT(MAX((tbl_Finance[Job Number]=C89&amp;"")*(tbl_Finance[Xero Invoice No]&lt;&gt;"")*tbl_Finance[Date]))),""))</f>
        <v/>
      </c>
      <c r="B89" s="25">
        <f>IF(C89="","",IF(COUNTIFS(tbl_Finance[Job Number],C89&amp;"",tbl_Finance[Xero Invoice No],"&lt;&gt;")=0,"",IFERROR(IF(COUNTIFS(tbl_Finance[Job Number],C89&amp;"",tbl_Finance[Xero Invoice No],LOOKUP(2,1/((tbl_Finance[Job Number]=C89&amp;"")*(tbl_Finance[Xero Invoice No]&lt;&gt;"")),tbl_Finance[Xero Invoice No]))=COUNTIFS(tbl_Finance[Job Number],C89&amp;"",tbl_Finance[Xero Invoice No],"&lt;&gt;"),LOOKUP(2,1/((tbl_Finance[Job Number]=C89&amp;"")*(tbl_Finance[Xero Invoice No]&lt;&gt;"")),tbl_Finance[Xero Invoice No]),LOOKUP(2,1/((tbl_Finance[Job Number]=C89&amp;"")*(tbl_Finance[Xero Invoice No]&lt;&gt;"")),tbl_Finance[Xero Invoice No])&amp;" +more"),"")))</f>
        <v/>
      </c>
      <c r="C89" s="24" t="n"/>
      <c r="D89" s="25">
        <f>IF(C89="","",IF(COUNTIF(lst_Jobs,C89&amp;"")&gt;0,"OK","CHECK"))</f>
        <v/>
      </c>
      <c r="E89" s="25">
        <f>IF(C89="","",IFERROR(INDEX(lst_JobName,MATCH(C89&amp;"",lst_Jobs,0)),""))</f>
        <v/>
      </c>
      <c r="F89" s="25">
        <f>IF(C89="","",IFERROR(INDEX(tbl_Finance[Client],MATCH(C89&amp;"",tbl_Finance[Job Number],0)),""))</f>
        <v/>
      </c>
      <c r="G89" s="28">
        <f>IF(C89="","",COUNTIFS(tbl_Finance[Job Number],C89&amp;"",tbl_Finance[Ex GST],"&lt;&gt;"))</f>
        <v/>
      </c>
      <c r="H89" s="27">
        <f>IF(C89="","",SUMIFS(tbl_Finance[Ex GST],tbl_Finance[Job Number],C89&amp;""))</f>
        <v/>
      </c>
      <c r="I89" s="27">
        <f>IF(C89="","",SUMIFS(tbl_Finance[Ex GST],tbl_Finance[Job Number],C89&amp;"",tbl_Finance[Xero Invoice No],"&lt;&gt;"))</f>
        <v/>
      </c>
      <c r="J89" s="27">
        <f>IF(C89="","",H89-I89)</f>
        <v/>
      </c>
      <c r="K89" s="25">
        <f>IF(C89="","",IF(G89=0,"not invoiced yet",SUBSTITUTE(TRIM(IF(COUNTIFS(tbl_Finance[Job Number],C89&amp;"",tbl_Finance[Cost Centre],"ONSITE")&gt;0,"ONSITE ","")&amp;IF(COUNTIFS(tbl_Finance[Job Number],C89&amp;"",tbl_Finance[Cost Centre],"PRODUCTION")&gt;0,"PRODUCTION ","")&amp;IF(COUNTIFS(tbl_Finance[Job Number],C89&amp;"",tbl_Finance[Cost Centre],"VIDEO")&gt;0,"VIDEO ","")&amp;IF(COUNTIFS(tbl_Finance[Job Number],C89&amp;"",tbl_Finance[Cost Centre],"INTEGRATION")&gt;0,"INTEGRATION ","")&amp;IF(COUNTIFS(tbl_Finance[Job Number],C89&amp;"",tbl_Finance[Cost Centre],"CONSULTING")&gt;0,"CONSULTING ","")&amp;IF(COUNTIFS(tbl_Finance[Job Number],C89&amp;"",tbl_Finance[Cost Centre],"CTS")&gt;0,"CTS ",""))," ",", ")))</f>
        <v/>
      </c>
      <c r="L89" s="24" t="n"/>
      <c r="M89" s="24" t="n"/>
      <c r="N89" s="25">
        <f>IF(M89="","",HYPERLINK(IF(LEFT(M89,4)="http",M89,set_QwilrBase&amp;M89),"Open quote"))</f>
        <v/>
      </c>
      <c r="O89" s="64" t="n"/>
      <c r="P89" s="24" t="n"/>
      <c r="Q89" s="24" t="n"/>
    </row>
    <row r="90" ht="15" customHeight="1">
      <c r="A90" s="63">
        <f>IF(C90="","",IFERROR(IF(SUMPRODUCT(MAX((tbl_Finance[Job Number]=C90&amp;"")*(tbl_Finance[Xero Invoice No]&lt;&gt;"")*tbl_Finance[Date]))=0,"",SUMPRODUCT(MAX((tbl_Finance[Job Number]=C90&amp;"")*(tbl_Finance[Xero Invoice No]&lt;&gt;"")*tbl_Finance[Date]))),""))</f>
        <v/>
      </c>
      <c r="B90" s="25">
        <f>IF(C90="","",IF(COUNTIFS(tbl_Finance[Job Number],C90&amp;"",tbl_Finance[Xero Invoice No],"&lt;&gt;")=0,"",IFERROR(IF(COUNTIFS(tbl_Finance[Job Number],C90&amp;"",tbl_Finance[Xero Invoice No],LOOKUP(2,1/((tbl_Finance[Job Number]=C90&amp;"")*(tbl_Finance[Xero Invoice No]&lt;&gt;"")),tbl_Finance[Xero Invoice No]))=COUNTIFS(tbl_Finance[Job Number],C90&amp;"",tbl_Finance[Xero Invoice No],"&lt;&gt;"),LOOKUP(2,1/((tbl_Finance[Job Number]=C90&amp;"")*(tbl_Finance[Xero Invoice No]&lt;&gt;"")),tbl_Finance[Xero Invoice No]),LOOKUP(2,1/((tbl_Finance[Job Number]=C90&amp;"")*(tbl_Finance[Xero Invoice No]&lt;&gt;"")),tbl_Finance[Xero Invoice No])&amp;" +more"),"")))</f>
        <v/>
      </c>
      <c r="C90" s="24" t="n"/>
      <c r="D90" s="25">
        <f>IF(C90="","",IF(COUNTIF(lst_Jobs,C90&amp;"")&gt;0,"OK","CHECK"))</f>
        <v/>
      </c>
      <c r="E90" s="25">
        <f>IF(C90="","",IFERROR(INDEX(lst_JobName,MATCH(C90&amp;"",lst_Jobs,0)),""))</f>
        <v/>
      </c>
      <c r="F90" s="25">
        <f>IF(C90="","",IFERROR(INDEX(tbl_Finance[Client],MATCH(C90&amp;"",tbl_Finance[Job Number],0)),""))</f>
        <v/>
      </c>
      <c r="G90" s="28">
        <f>IF(C90="","",COUNTIFS(tbl_Finance[Job Number],C90&amp;"",tbl_Finance[Ex GST],"&lt;&gt;"))</f>
        <v/>
      </c>
      <c r="H90" s="27">
        <f>IF(C90="","",SUMIFS(tbl_Finance[Ex GST],tbl_Finance[Job Number],C90&amp;""))</f>
        <v/>
      </c>
      <c r="I90" s="27">
        <f>IF(C90="","",SUMIFS(tbl_Finance[Ex GST],tbl_Finance[Job Number],C90&amp;"",tbl_Finance[Xero Invoice No],"&lt;&gt;"))</f>
        <v/>
      </c>
      <c r="J90" s="27">
        <f>IF(C90="","",H90-I90)</f>
        <v/>
      </c>
      <c r="K90" s="25">
        <f>IF(C90="","",IF(G90=0,"not invoiced yet",SUBSTITUTE(TRIM(IF(COUNTIFS(tbl_Finance[Job Number],C90&amp;"",tbl_Finance[Cost Centre],"ONSITE")&gt;0,"ONSITE ","")&amp;IF(COUNTIFS(tbl_Finance[Job Number],C90&amp;"",tbl_Finance[Cost Centre],"PRODUCTION")&gt;0,"PRODUCTION ","")&amp;IF(COUNTIFS(tbl_Finance[Job Number],C90&amp;"",tbl_Finance[Cost Centre],"VIDEO")&gt;0,"VIDEO ","")&amp;IF(COUNTIFS(tbl_Finance[Job Number],C90&amp;"",tbl_Finance[Cost Centre],"INTEGRATION")&gt;0,"INTEGRATION ","")&amp;IF(COUNTIFS(tbl_Finance[Job Number],C90&amp;"",tbl_Finance[Cost Centre],"CONSULTING")&gt;0,"CONSULTING ","")&amp;IF(COUNTIFS(tbl_Finance[Job Number],C90&amp;"",tbl_Finance[Cost Centre],"CTS")&gt;0,"CTS ",""))," ",", ")))</f>
        <v/>
      </c>
      <c r="L90" s="24" t="n"/>
      <c r="M90" s="24" t="n"/>
      <c r="N90" s="25">
        <f>IF(M90="","",HYPERLINK(IF(LEFT(M90,4)="http",M90,set_QwilrBase&amp;M90),"Open quote"))</f>
        <v/>
      </c>
      <c r="O90" s="64" t="n"/>
      <c r="P90" s="24" t="n"/>
      <c r="Q90" s="24" t="n"/>
    </row>
    <row r="91" ht="15" customHeight="1">
      <c r="A91" s="63">
        <f>IF(C91="","",IFERROR(IF(SUMPRODUCT(MAX((tbl_Finance[Job Number]=C91&amp;"")*(tbl_Finance[Xero Invoice No]&lt;&gt;"")*tbl_Finance[Date]))=0,"",SUMPRODUCT(MAX((tbl_Finance[Job Number]=C91&amp;"")*(tbl_Finance[Xero Invoice No]&lt;&gt;"")*tbl_Finance[Date]))),""))</f>
        <v/>
      </c>
      <c r="B91" s="25">
        <f>IF(C91="","",IF(COUNTIFS(tbl_Finance[Job Number],C91&amp;"",tbl_Finance[Xero Invoice No],"&lt;&gt;")=0,"",IFERROR(IF(COUNTIFS(tbl_Finance[Job Number],C91&amp;"",tbl_Finance[Xero Invoice No],LOOKUP(2,1/((tbl_Finance[Job Number]=C91&amp;"")*(tbl_Finance[Xero Invoice No]&lt;&gt;"")),tbl_Finance[Xero Invoice No]))=COUNTIFS(tbl_Finance[Job Number],C91&amp;"",tbl_Finance[Xero Invoice No],"&lt;&gt;"),LOOKUP(2,1/((tbl_Finance[Job Number]=C91&amp;"")*(tbl_Finance[Xero Invoice No]&lt;&gt;"")),tbl_Finance[Xero Invoice No]),LOOKUP(2,1/((tbl_Finance[Job Number]=C91&amp;"")*(tbl_Finance[Xero Invoice No]&lt;&gt;"")),tbl_Finance[Xero Invoice No])&amp;" +more"),"")))</f>
        <v/>
      </c>
      <c r="C91" s="24" t="n"/>
      <c r="D91" s="25">
        <f>IF(C91="","",IF(COUNTIF(lst_Jobs,C91&amp;"")&gt;0,"OK","CHECK"))</f>
        <v/>
      </c>
      <c r="E91" s="25">
        <f>IF(C91="","",IFERROR(INDEX(lst_JobName,MATCH(C91&amp;"",lst_Jobs,0)),""))</f>
        <v/>
      </c>
      <c r="F91" s="25">
        <f>IF(C91="","",IFERROR(INDEX(tbl_Finance[Client],MATCH(C91&amp;"",tbl_Finance[Job Number],0)),""))</f>
        <v/>
      </c>
      <c r="G91" s="28">
        <f>IF(C91="","",COUNTIFS(tbl_Finance[Job Number],C91&amp;"",tbl_Finance[Ex GST],"&lt;&gt;"))</f>
        <v/>
      </c>
      <c r="H91" s="27">
        <f>IF(C91="","",SUMIFS(tbl_Finance[Ex GST],tbl_Finance[Job Number],C91&amp;""))</f>
        <v/>
      </c>
      <c r="I91" s="27">
        <f>IF(C91="","",SUMIFS(tbl_Finance[Ex GST],tbl_Finance[Job Number],C91&amp;"",tbl_Finance[Xero Invoice No],"&lt;&gt;"))</f>
        <v/>
      </c>
      <c r="J91" s="27">
        <f>IF(C91="","",H91-I91)</f>
        <v/>
      </c>
      <c r="K91" s="25">
        <f>IF(C91="","",IF(G91=0,"not invoiced yet",SUBSTITUTE(TRIM(IF(COUNTIFS(tbl_Finance[Job Number],C91&amp;"",tbl_Finance[Cost Centre],"ONSITE")&gt;0,"ONSITE ","")&amp;IF(COUNTIFS(tbl_Finance[Job Number],C91&amp;"",tbl_Finance[Cost Centre],"PRODUCTION")&gt;0,"PRODUCTION ","")&amp;IF(COUNTIFS(tbl_Finance[Job Number],C91&amp;"",tbl_Finance[Cost Centre],"VIDEO")&gt;0,"VIDEO ","")&amp;IF(COUNTIFS(tbl_Finance[Job Number],C91&amp;"",tbl_Finance[Cost Centre],"INTEGRATION")&gt;0,"INTEGRATION ","")&amp;IF(COUNTIFS(tbl_Finance[Job Number],C91&amp;"",tbl_Finance[Cost Centre],"CONSULTING")&gt;0,"CONSULTING ","")&amp;IF(COUNTIFS(tbl_Finance[Job Number],C91&amp;"",tbl_Finance[Cost Centre],"CTS")&gt;0,"CTS ",""))," ",", ")))</f>
        <v/>
      </c>
      <c r="L91" s="24" t="n"/>
      <c r="M91" s="24" t="n"/>
      <c r="N91" s="25">
        <f>IF(M91="","",HYPERLINK(IF(LEFT(M91,4)="http",M91,set_QwilrBase&amp;M91),"Open quote"))</f>
        <v/>
      </c>
      <c r="O91" s="64" t="n"/>
      <c r="P91" s="24" t="n"/>
      <c r="Q91" s="24" t="n"/>
    </row>
    <row r="92" ht="15" customHeight="1">
      <c r="A92" s="63">
        <f>IF(C92="","",IFERROR(IF(SUMPRODUCT(MAX((tbl_Finance[Job Number]=C92&amp;"")*(tbl_Finance[Xero Invoice No]&lt;&gt;"")*tbl_Finance[Date]))=0,"",SUMPRODUCT(MAX((tbl_Finance[Job Number]=C92&amp;"")*(tbl_Finance[Xero Invoice No]&lt;&gt;"")*tbl_Finance[Date]))),""))</f>
        <v/>
      </c>
      <c r="B92" s="25">
        <f>IF(C92="","",IF(COUNTIFS(tbl_Finance[Job Number],C92&amp;"",tbl_Finance[Xero Invoice No],"&lt;&gt;")=0,"",IFERROR(IF(COUNTIFS(tbl_Finance[Job Number],C92&amp;"",tbl_Finance[Xero Invoice No],LOOKUP(2,1/((tbl_Finance[Job Number]=C92&amp;"")*(tbl_Finance[Xero Invoice No]&lt;&gt;"")),tbl_Finance[Xero Invoice No]))=COUNTIFS(tbl_Finance[Job Number],C92&amp;"",tbl_Finance[Xero Invoice No],"&lt;&gt;"),LOOKUP(2,1/((tbl_Finance[Job Number]=C92&amp;"")*(tbl_Finance[Xero Invoice No]&lt;&gt;"")),tbl_Finance[Xero Invoice No]),LOOKUP(2,1/((tbl_Finance[Job Number]=C92&amp;"")*(tbl_Finance[Xero Invoice No]&lt;&gt;"")),tbl_Finance[Xero Invoice No])&amp;" +more"),"")))</f>
        <v/>
      </c>
      <c r="C92" s="24" t="n"/>
      <c r="D92" s="25">
        <f>IF(C92="","",IF(COUNTIF(lst_Jobs,C92&amp;"")&gt;0,"OK","CHECK"))</f>
        <v/>
      </c>
      <c r="E92" s="25">
        <f>IF(C92="","",IFERROR(INDEX(lst_JobName,MATCH(C92&amp;"",lst_Jobs,0)),""))</f>
        <v/>
      </c>
      <c r="F92" s="25">
        <f>IF(C92="","",IFERROR(INDEX(tbl_Finance[Client],MATCH(C92&amp;"",tbl_Finance[Job Number],0)),""))</f>
        <v/>
      </c>
      <c r="G92" s="28">
        <f>IF(C92="","",COUNTIFS(tbl_Finance[Job Number],C92&amp;"",tbl_Finance[Ex GST],"&lt;&gt;"))</f>
        <v/>
      </c>
      <c r="H92" s="27">
        <f>IF(C92="","",SUMIFS(tbl_Finance[Ex GST],tbl_Finance[Job Number],C92&amp;""))</f>
        <v/>
      </c>
      <c r="I92" s="27">
        <f>IF(C92="","",SUMIFS(tbl_Finance[Ex GST],tbl_Finance[Job Number],C92&amp;"",tbl_Finance[Xero Invoice No],"&lt;&gt;"))</f>
        <v/>
      </c>
      <c r="J92" s="27">
        <f>IF(C92="","",H92-I92)</f>
        <v/>
      </c>
      <c r="K92" s="25">
        <f>IF(C92="","",IF(G92=0,"not invoiced yet",SUBSTITUTE(TRIM(IF(COUNTIFS(tbl_Finance[Job Number],C92&amp;"",tbl_Finance[Cost Centre],"ONSITE")&gt;0,"ONSITE ","")&amp;IF(COUNTIFS(tbl_Finance[Job Number],C92&amp;"",tbl_Finance[Cost Centre],"PRODUCTION")&gt;0,"PRODUCTION ","")&amp;IF(COUNTIFS(tbl_Finance[Job Number],C92&amp;"",tbl_Finance[Cost Centre],"VIDEO")&gt;0,"VIDEO ","")&amp;IF(COUNTIFS(tbl_Finance[Job Number],C92&amp;"",tbl_Finance[Cost Centre],"INTEGRATION")&gt;0,"INTEGRATION ","")&amp;IF(COUNTIFS(tbl_Finance[Job Number],C92&amp;"",tbl_Finance[Cost Centre],"CONSULTING")&gt;0,"CONSULTING ","")&amp;IF(COUNTIFS(tbl_Finance[Job Number],C92&amp;"",tbl_Finance[Cost Centre],"CTS")&gt;0,"CTS ",""))," ",", ")))</f>
        <v/>
      </c>
      <c r="L92" s="24" t="n"/>
      <c r="M92" s="24" t="n"/>
      <c r="N92" s="25">
        <f>IF(M92="","",HYPERLINK(IF(LEFT(M92,4)="http",M92,set_QwilrBase&amp;M92),"Open quote"))</f>
        <v/>
      </c>
      <c r="O92" s="64" t="n"/>
      <c r="P92" s="24" t="n"/>
      <c r="Q92" s="24" t="n"/>
    </row>
    <row r="93" ht="15" customHeight="1">
      <c r="A93" s="63">
        <f>IF(C93="","",IFERROR(IF(SUMPRODUCT(MAX((tbl_Finance[Job Number]=C93&amp;"")*(tbl_Finance[Xero Invoice No]&lt;&gt;"")*tbl_Finance[Date]))=0,"",SUMPRODUCT(MAX((tbl_Finance[Job Number]=C93&amp;"")*(tbl_Finance[Xero Invoice No]&lt;&gt;"")*tbl_Finance[Date]))),""))</f>
        <v/>
      </c>
      <c r="B93" s="25">
        <f>IF(C93="","",IF(COUNTIFS(tbl_Finance[Job Number],C93&amp;"",tbl_Finance[Xero Invoice No],"&lt;&gt;")=0,"",IFERROR(IF(COUNTIFS(tbl_Finance[Job Number],C93&amp;"",tbl_Finance[Xero Invoice No],LOOKUP(2,1/((tbl_Finance[Job Number]=C93&amp;"")*(tbl_Finance[Xero Invoice No]&lt;&gt;"")),tbl_Finance[Xero Invoice No]))=COUNTIFS(tbl_Finance[Job Number],C93&amp;"",tbl_Finance[Xero Invoice No],"&lt;&gt;"),LOOKUP(2,1/((tbl_Finance[Job Number]=C93&amp;"")*(tbl_Finance[Xero Invoice No]&lt;&gt;"")),tbl_Finance[Xero Invoice No]),LOOKUP(2,1/((tbl_Finance[Job Number]=C93&amp;"")*(tbl_Finance[Xero Invoice No]&lt;&gt;"")),tbl_Finance[Xero Invoice No])&amp;" +more"),"")))</f>
        <v/>
      </c>
      <c r="C93" s="24" t="n"/>
      <c r="D93" s="25">
        <f>IF(C93="","",IF(COUNTIF(lst_Jobs,C93&amp;"")&gt;0,"OK","CHECK"))</f>
        <v/>
      </c>
      <c r="E93" s="25">
        <f>IF(C93="","",IFERROR(INDEX(lst_JobName,MATCH(C93&amp;"",lst_Jobs,0)),""))</f>
        <v/>
      </c>
      <c r="F93" s="25">
        <f>IF(C93="","",IFERROR(INDEX(tbl_Finance[Client],MATCH(C93&amp;"",tbl_Finance[Job Number],0)),""))</f>
        <v/>
      </c>
      <c r="G93" s="28">
        <f>IF(C93="","",COUNTIFS(tbl_Finance[Job Number],C93&amp;"",tbl_Finance[Ex GST],"&lt;&gt;"))</f>
        <v/>
      </c>
      <c r="H93" s="27">
        <f>IF(C93="","",SUMIFS(tbl_Finance[Ex GST],tbl_Finance[Job Number],C93&amp;""))</f>
        <v/>
      </c>
      <c r="I93" s="27">
        <f>IF(C93="","",SUMIFS(tbl_Finance[Ex GST],tbl_Finance[Job Number],C93&amp;"",tbl_Finance[Xero Invoice No],"&lt;&gt;"))</f>
        <v/>
      </c>
      <c r="J93" s="27">
        <f>IF(C93="","",H93-I93)</f>
        <v/>
      </c>
      <c r="K93" s="25">
        <f>IF(C93="","",IF(G93=0,"not invoiced yet",SUBSTITUTE(TRIM(IF(COUNTIFS(tbl_Finance[Job Number],C93&amp;"",tbl_Finance[Cost Centre],"ONSITE")&gt;0,"ONSITE ","")&amp;IF(COUNTIFS(tbl_Finance[Job Number],C93&amp;"",tbl_Finance[Cost Centre],"PRODUCTION")&gt;0,"PRODUCTION ","")&amp;IF(COUNTIFS(tbl_Finance[Job Number],C93&amp;"",tbl_Finance[Cost Centre],"VIDEO")&gt;0,"VIDEO ","")&amp;IF(COUNTIFS(tbl_Finance[Job Number],C93&amp;"",tbl_Finance[Cost Centre],"INTEGRATION")&gt;0,"INTEGRATION ","")&amp;IF(COUNTIFS(tbl_Finance[Job Number],C93&amp;"",tbl_Finance[Cost Centre],"CONSULTING")&gt;0,"CONSULTING ","")&amp;IF(COUNTIFS(tbl_Finance[Job Number],C93&amp;"",tbl_Finance[Cost Centre],"CTS")&gt;0,"CTS ",""))," ",", ")))</f>
        <v/>
      </c>
      <c r="L93" s="24" t="n"/>
      <c r="M93" s="24" t="n"/>
      <c r="N93" s="25">
        <f>IF(M93="","",HYPERLINK(IF(LEFT(M93,4)="http",M93,set_QwilrBase&amp;M93),"Open quote"))</f>
        <v/>
      </c>
      <c r="O93" s="64" t="n"/>
      <c r="P93" s="24" t="n"/>
      <c r="Q93" s="24" t="n"/>
    </row>
    <row r="94" ht="15" customHeight="1">
      <c r="A94" s="63">
        <f>IF(C94="","",IFERROR(IF(SUMPRODUCT(MAX((tbl_Finance[Job Number]=C94&amp;"")*(tbl_Finance[Xero Invoice No]&lt;&gt;"")*tbl_Finance[Date]))=0,"",SUMPRODUCT(MAX((tbl_Finance[Job Number]=C94&amp;"")*(tbl_Finance[Xero Invoice No]&lt;&gt;"")*tbl_Finance[Date]))),""))</f>
        <v/>
      </c>
      <c r="B94" s="25">
        <f>IF(C94="","",IF(COUNTIFS(tbl_Finance[Job Number],C94&amp;"",tbl_Finance[Xero Invoice No],"&lt;&gt;")=0,"",IFERROR(IF(COUNTIFS(tbl_Finance[Job Number],C94&amp;"",tbl_Finance[Xero Invoice No],LOOKUP(2,1/((tbl_Finance[Job Number]=C94&amp;"")*(tbl_Finance[Xero Invoice No]&lt;&gt;"")),tbl_Finance[Xero Invoice No]))=COUNTIFS(tbl_Finance[Job Number],C94&amp;"",tbl_Finance[Xero Invoice No],"&lt;&gt;"),LOOKUP(2,1/((tbl_Finance[Job Number]=C94&amp;"")*(tbl_Finance[Xero Invoice No]&lt;&gt;"")),tbl_Finance[Xero Invoice No]),LOOKUP(2,1/((tbl_Finance[Job Number]=C94&amp;"")*(tbl_Finance[Xero Invoice No]&lt;&gt;"")),tbl_Finance[Xero Invoice No])&amp;" +more"),"")))</f>
        <v/>
      </c>
      <c r="C94" s="24" t="n"/>
      <c r="D94" s="25">
        <f>IF(C94="","",IF(COUNTIF(lst_Jobs,C94&amp;"")&gt;0,"OK","CHECK"))</f>
        <v/>
      </c>
      <c r="E94" s="25">
        <f>IF(C94="","",IFERROR(INDEX(lst_JobName,MATCH(C94&amp;"",lst_Jobs,0)),""))</f>
        <v/>
      </c>
      <c r="F94" s="25">
        <f>IF(C94="","",IFERROR(INDEX(tbl_Finance[Client],MATCH(C94&amp;"",tbl_Finance[Job Number],0)),""))</f>
        <v/>
      </c>
      <c r="G94" s="28">
        <f>IF(C94="","",COUNTIFS(tbl_Finance[Job Number],C94&amp;"",tbl_Finance[Ex GST],"&lt;&gt;"))</f>
        <v/>
      </c>
      <c r="H94" s="27">
        <f>IF(C94="","",SUMIFS(tbl_Finance[Ex GST],tbl_Finance[Job Number],C94&amp;""))</f>
        <v/>
      </c>
      <c r="I94" s="27">
        <f>IF(C94="","",SUMIFS(tbl_Finance[Ex GST],tbl_Finance[Job Number],C94&amp;"",tbl_Finance[Xero Invoice No],"&lt;&gt;"))</f>
        <v/>
      </c>
      <c r="J94" s="27">
        <f>IF(C94="","",H94-I94)</f>
        <v/>
      </c>
      <c r="K94" s="25">
        <f>IF(C94="","",IF(G94=0,"not invoiced yet",SUBSTITUTE(TRIM(IF(COUNTIFS(tbl_Finance[Job Number],C94&amp;"",tbl_Finance[Cost Centre],"ONSITE")&gt;0,"ONSITE ","")&amp;IF(COUNTIFS(tbl_Finance[Job Number],C94&amp;"",tbl_Finance[Cost Centre],"PRODUCTION")&gt;0,"PRODUCTION ","")&amp;IF(COUNTIFS(tbl_Finance[Job Number],C94&amp;"",tbl_Finance[Cost Centre],"VIDEO")&gt;0,"VIDEO ","")&amp;IF(COUNTIFS(tbl_Finance[Job Number],C94&amp;"",tbl_Finance[Cost Centre],"INTEGRATION")&gt;0,"INTEGRATION ","")&amp;IF(COUNTIFS(tbl_Finance[Job Number],C94&amp;"",tbl_Finance[Cost Centre],"CONSULTING")&gt;0,"CONSULTING ","")&amp;IF(COUNTIFS(tbl_Finance[Job Number],C94&amp;"",tbl_Finance[Cost Centre],"CTS")&gt;0,"CTS ",""))," ",", ")))</f>
        <v/>
      </c>
      <c r="L94" s="24" t="n"/>
      <c r="M94" s="24" t="n"/>
      <c r="N94" s="25">
        <f>IF(M94="","",HYPERLINK(IF(LEFT(M94,4)="http",M94,set_QwilrBase&amp;M94),"Open quote"))</f>
        <v/>
      </c>
      <c r="O94" s="64" t="n"/>
      <c r="P94" s="24" t="n"/>
      <c r="Q94" s="24" t="n"/>
    </row>
    <row r="95" ht="15" customHeight="1">
      <c r="A95" s="63">
        <f>IF(C95="","",IFERROR(IF(SUMPRODUCT(MAX((tbl_Finance[Job Number]=C95&amp;"")*(tbl_Finance[Xero Invoice No]&lt;&gt;"")*tbl_Finance[Date]))=0,"",SUMPRODUCT(MAX((tbl_Finance[Job Number]=C95&amp;"")*(tbl_Finance[Xero Invoice No]&lt;&gt;"")*tbl_Finance[Date]))),""))</f>
        <v/>
      </c>
      <c r="B95" s="25">
        <f>IF(C95="","",IF(COUNTIFS(tbl_Finance[Job Number],C95&amp;"",tbl_Finance[Xero Invoice No],"&lt;&gt;")=0,"",IFERROR(IF(COUNTIFS(tbl_Finance[Job Number],C95&amp;"",tbl_Finance[Xero Invoice No],LOOKUP(2,1/((tbl_Finance[Job Number]=C95&amp;"")*(tbl_Finance[Xero Invoice No]&lt;&gt;"")),tbl_Finance[Xero Invoice No]))=COUNTIFS(tbl_Finance[Job Number],C95&amp;"",tbl_Finance[Xero Invoice No],"&lt;&gt;"),LOOKUP(2,1/((tbl_Finance[Job Number]=C95&amp;"")*(tbl_Finance[Xero Invoice No]&lt;&gt;"")),tbl_Finance[Xero Invoice No]),LOOKUP(2,1/((tbl_Finance[Job Number]=C95&amp;"")*(tbl_Finance[Xero Invoice No]&lt;&gt;"")),tbl_Finance[Xero Invoice No])&amp;" +more"),"")))</f>
        <v/>
      </c>
      <c r="C95" s="24" t="n"/>
      <c r="D95" s="25">
        <f>IF(C95="","",IF(COUNTIF(lst_Jobs,C95&amp;"")&gt;0,"OK","CHECK"))</f>
        <v/>
      </c>
      <c r="E95" s="25">
        <f>IF(C95="","",IFERROR(INDEX(lst_JobName,MATCH(C95&amp;"",lst_Jobs,0)),""))</f>
        <v/>
      </c>
      <c r="F95" s="25">
        <f>IF(C95="","",IFERROR(INDEX(tbl_Finance[Client],MATCH(C95&amp;"",tbl_Finance[Job Number],0)),""))</f>
        <v/>
      </c>
      <c r="G95" s="28">
        <f>IF(C95="","",COUNTIFS(tbl_Finance[Job Number],C95&amp;"",tbl_Finance[Ex GST],"&lt;&gt;"))</f>
        <v/>
      </c>
      <c r="H95" s="27">
        <f>IF(C95="","",SUMIFS(tbl_Finance[Ex GST],tbl_Finance[Job Number],C95&amp;""))</f>
        <v/>
      </c>
      <c r="I95" s="27">
        <f>IF(C95="","",SUMIFS(tbl_Finance[Ex GST],tbl_Finance[Job Number],C95&amp;"",tbl_Finance[Xero Invoice No],"&lt;&gt;"))</f>
        <v/>
      </c>
      <c r="J95" s="27">
        <f>IF(C95="","",H95-I95)</f>
        <v/>
      </c>
      <c r="K95" s="25">
        <f>IF(C95="","",IF(G95=0,"not invoiced yet",SUBSTITUTE(TRIM(IF(COUNTIFS(tbl_Finance[Job Number],C95&amp;"",tbl_Finance[Cost Centre],"ONSITE")&gt;0,"ONSITE ","")&amp;IF(COUNTIFS(tbl_Finance[Job Number],C95&amp;"",tbl_Finance[Cost Centre],"PRODUCTION")&gt;0,"PRODUCTION ","")&amp;IF(COUNTIFS(tbl_Finance[Job Number],C95&amp;"",tbl_Finance[Cost Centre],"VIDEO")&gt;0,"VIDEO ","")&amp;IF(COUNTIFS(tbl_Finance[Job Number],C95&amp;"",tbl_Finance[Cost Centre],"INTEGRATION")&gt;0,"INTEGRATION ","")&amp;IF(COUNTIFS(tbl_Finance[Job Number],C95&amp;"",tbl_Finance[Cost Centre],"CONSULTING")&gt;0,"CONSULTING ","")&amp;IF(COUNTIFS(tbl_Finance[Job Number],C95&amp;"",tbl_Finance[Cost Centre],"CTS")&gt;0,"CTS ",""))," ",", ")))</f>
        <v/>
      </c>
      <c r="L95" s="24" t="n"/>
      <c r="M95" s="24" t="n"/>
      <c r="N95" s="25">
        <f>IF(M95="","",HYPERLINK(IF(LEFT(M95,4)="http",M95,set_QwilrBase&amp;M95),"Open quote"))</f>
        <v/>
      </c>
      <c r="O95" s="64" t="n"/>
      <c r="P95" s="24" t="n"/>
      <c r="Q95" s="24" t="n"/>
    </row>
    <row r="96" ht="15" customHeight="1">
      <c r="A96" s="63">
        <f>IF(C96="","",IFERROR(IF(SUMPRODUCT(MAX((tbl_Finance[Job Number]=C96&amp;"")*(tbl_Finance[Xero Invoice No]&lt;&gt;"")*tbl_Finance[Date]))=0,"",SUMPRODUCT(MAX((tbl_Finance[Job Number]=C96&amp;"")*(tbl_Finance[Xero Invoice No]&lt;&gt;"")*tbl_Finance[Date]))),""))</f>
        <v/>
      </c>
      <c r="B96" s="25">
        <f>IF(C96="","",IF(COUNTIFS(tbl_Finance[Job Number],C96&amp;"",tbl_Finance[Xero Invoice No],"&lt;&gt;")=0,"",IFERROR(IF(COUNTIFS(tbl_Finance[Job Number],C96&amp;"",tbl_Finance[Xero Invoice No],LOOKUP(2,1/((tbl_Finance[Job Number]=C96&amp;"")*(tbl_Finance[Xero Invoice No]&lt;&gt;"")),tbl_Finance[Xero Invoice No]))=COUNTIFS(tbl_Finance[Job Number],C96&amp;"",tbl_Finance[Xero Invoice No],"&lt;&gt;"),LOOKUP(2,1/((tbl_Finance[Job Number]=C96&amp;"")*(tbl_Finance[Xero Invoice No]&lt;&gt;"")),tbl_Finance[Xero Invoice No]),LOOKUP(2,1/((tbl_Finance[Job Number]=C96&amp;"")*(tbl_Finance[Xero Invoice No]&lt;&gt;"")),tbl_Finance[Xero Invoice No])&amp;" +more"),"")))</f>
        <v/>
      </c>
      <c r="C96" s="24" t="n"/>
      <c r="D96" s="25">
        <f>IF(C96="","",IF(COUNTIF(lst_Jobs,C96&amp;"")&gt;0,"OK","CHECK"))</f>
        <v/>
      </c>
      <c r="E96" s="25">
        <f>IF(C96="","",IFERROR(INDEX(lst_JobName,MATCH(C96&amp;"",lst_Jobs,0)),""))</f>
        <v/>
      </c>
      <c r="F96" s="25">
        <f>IF(C96="","",IFERROR(INDEX(tbl_Finance[Client],MATCH(C96&amp;"",tbl_Finance[Job Number],0)),""))</f>
        <v/>
      </c>
      <c r="G96" s="28">
        <f>IF(C96="","",COUNTIFS(tbl_Finance[Job Number],C96&amp;"",tbl_Finance[Ex GST],"&lt;&gt;"))</f>
        <v/>
      </c>
      <c r="H96" s="27">
        <f>IF(C96="","",SUMIFS(tbl_Finance[Ex GST],tbl_Finance[Job Number],C96&amp;""))</f>
        <v/>
      </c>
      <c r="I96" s="27">
        <f>IF(C96="","",SUMIFS(tbl_Finance[Ex GST],tbl_Finance[Job Number],C96&amp;"",tbl_Finance[Xero Invoice No],"&lt;&gt;"))</f>
        <v/>
      </c>
      <c r="J96" s="27">
        <f>IF(C96="","",H96-I96)</f>
        <v/>
      </c>
      <c r="K96" s="25">
        <f>IF(C96="","",IF(G96=0,"not invoiced yet",SUBSTITUTE(TRIM(IF(COUNTIFS(tbl_Finance[Job Number],C96&amp;"",tbl_Finance[Cost Centre],"ONSITE")&gt;0,"ONSITE ","")&amp;IF(COUNTIFS(tbl_Finance[Job Number],C96&amp;"",tbl_Finance[Cost Centre],"PRODUCTION")&gt;0,"PRODUCTION ","")&amp;IF(COUNTIFS(tbl_Finance[Job Number],C96&amp;"",tbl_Finance[Cost Centre],"VIDEO")&gt;0,"VIDEO ","")&amp;IF(COUNTIFS(tbl_Finance[Job Number],C96&amp;"",tbl_Finance[Cost Centre],"INTEGRATION")&gt;0,"INTEGRATION ","")&amp;IF(COUNTIFS(tbl_Finance[Job Number],C96&amp;"",tbl_Finance[Cost Centre],"CONSULTING")&gt;0,"CONSULTING ","")&amp;IF(COUNTIFS(tbl_Finance[Job Number],C96&amp;"",tbl_Finance[Cost Centre],"CTS")&gt;0,"CTS ",""))," ",", ")))</f>
        <v/>
      </c>
      <c r="L96" s="24" t="n"/>
      <c r="M96" s="24" t="n"/>
      <c r="N96" s="25">
        <f>IF(M96="","",HYPERLINK(IF(LEFT(M96,4)="http",M96,set_QwilrBase&amp;M96),"Open quote"))</f>
        <v/>
      </c>
      <c r="O96" s="64" t="n"/>
      <c r="P96" s="24" t="n"/>
      <c r="Q96" s="24" t="n"/>
    </row>
    <row r="97" ht="15" customHeight="1">
      <c r="A97" s="63">
        <f>IF(C97="","",IFERROR(IF(SUMPRODUCT(MAX((tbl_Finance[Job Number]=C97&amp;"")*(tbl_Finance[Xero Invoice No]&lt;&gt;"")*tbl_Finance[Date]))=0,"",SUMPRODUCT(MAX((tbl_Finance[Job Number]=C97&amp;"")*(tbl_Finance[Xero Invoice No]&lt;&gt;"")*tbl_Finance[Date]))),""))</f>
        <v/>
      </c>
      <c r="B97" s="25">
        <f>IF(C97="","",IF(COUNTIFS(tbl_Finance[Job Number],C97&amp;"",tbl_Finance[Xero Invoice No],"&lt;&gt;")=0,"",IFERROR(IF(COUNTIFS(tbl_Finance[Job Number],C97&amp;"",tbl_Finance[Xero Invoice No],LOOKUP(2,1/((tbl_Finance[Job Number]=C97&amp;"")*(tbl_Finance[Xero Invoice No]&lt;&gt;"")),tbl_Finance[Xero Invoice No]))=COUNTIFS(tbl_Finance[Job Number],C97&amp;"",tbl_Finance[Xero Invoice No],"&lt;&gt;"),LOOKUP(2,1/((tbl_Finance[Job Number]=C97&amp;"")*(tbl_Finance[Xero Invoice No]&lt;&gt;"")),tbl_Finance[Xero Invoice No]),LOOKUP(2,1/((tbl_Finance[Job Number]=C97&amp;"")*(tbl_Finance[Xero Invoice No]&lt;&gt;"")),tbl_Finance[Xero Invoice No])&amp;" +more"),"")))</f>
        <v/>
      </c>
      <c r="C97" s="24" t="n"/>
      <c r="D97" s="25">
        <f>IF(C97="","",IF(COUNTIF(lst_Jobs,C97&amp;"")&gt;0,"OK","CHECK"))</f>
        <v/>
      </c>
      <c r="E97" s="25">
        <f>IF(C97="","",IFERROR(INDEX(lst_JobName,MATCH(C97&amp;"",lst_Jobs,0)),""))</f>
        <v/>
      </c>
      <c r="F97" s="25">
        <f>IF(C97="","",IFERROR(INDEX(tbl_Finance[Client],MATCH(C97&amp;"",tbl_Finance[Job Number],0)),""))</f>
        <v/>
      </c>
      <c r="G97" s="28">
        <f>IF(C97="","",COUNTIFS(tbl_Finance[Job Number],C97&amp;"",tbl_Finance[Ex GST],"&lt;&gt;"))</f>
        <v/>
      </c>
      <c r="H97" s="27">
        <f>IF(C97="","",SUMIFS(tbl_Finance[Ex GST],tbl_Finance[Job Number],C97&amp;""))</f>
        <v/>
      </c>
      <c r="I97" s="27">
        <f>IF(C97="","",SUMIFS(tbl_Finance[Ex GST],tbl_Finance[Job Number],C97&amp;"",tbl_Finance[Xero Invoice No],"&lt;&gt;"))</f>
        <v/>
      </c>
      <c r="J97" s="27">
        <f>IF(C97="","",H97-I97)</f>
        <v/>
      </c>
      <c r="K97" s="25">
        <f>IF(C97="","",IF(G97=0,"not invoiced yet",SUBSTITUTE(TRIM(IF(COUNTIFS(tbl_Finance[Job Number],C97&amp;"",tbl_Finance[Cost Centre],"ONSITE")&gt;0,"ONSITE ","")&amp;IF(COUNTIFS(tbl_Finance[Job Number],C97&amp;"",tbl_Finance[Cost Centre],"PRODUCTION")&gt;0,"PRODUCTION ","")&amp;IF(COUNTIFS(tbl_Finance[Job Number],C97&amp;"",tbl_Finance[Cost Centre],"VIDEO")&gt;0,"VIDEO ","")&amp;IF(COUNTIFS(tbl_Finance[Job Number],C97&amp;"",tbl_Finance[Cost Centre],"INTEGRATION")&gt;0,"INTEGRATION ","")&amp;IF(COUNTIFS(tbl_Finance[Job Number],C97&amp;"",tbl_Finance[Cost Centre],"CONSULTING")&gt;0,"CONSULTING ","")&amp;IF(COUNTIFS(tbl_Finance[Job Number],C97&amp;"",tbl_Finance[Cost Centre],"CTS")&gt;0,"CTS ",""))," ",", ")))</f>
        <v/>
      </c>
      <c r="L97" s="24" t="n"/>
      <c r="M97" s="24" t="n"/>
      <c r="N97" s="25">
        <f>IF(M97="","",HYPERLINK(IF(LEFT(M97,4)="http",M97,set_QwilrBase&amp;M97),"Open quote"))</f>
        <v/>
      </c>
      <c r="O97" s="64" t="n"/>
      <c r="P97" s="24" t="n"/>
      <c r="Q97" s="24" t="n"/>
    </row>
    <row r="98" ht="15" customHeight="1">
      <c r="A98" s="63">
        <f>IF(C98="","",IFERROR(IF(SUMPRODUCT(MAX((tbl_Finance[Job Number]=C98&amp;"")*(tbl_Finance[Xero Invoice No]&lt;&gt;"")*tbl_Finance[Date]))=0,"",SUMPRODUCT(MAX((tbl_Finance[Job Number]=C98&amp;"")*(tbl_Finance[Xero Invoice No]&lt;&gt;"")*tbl_Finance[Date]))),""))</f>
        <v/>
      </c>
      <c r="B98" s="25">
        <f>IF(C98="","",IF(COUNTIFS(tbl_Finance[Job Number],C98&amp;"",tbl_Finance[Xero Invoice No],"&lt;&gt;")=0,"",IFERROR(IF(COUNTIFS(tbl_Finance[Job Number],C98&amp;"",tbl_Finance[Xero Invoice No],LOOKUP(2,1/((tbl_Finance[Job Number]=C98&amp;"")*(tbl_Finance[Xero Invoice No]&lt;&gt;"")),tbl_Finance[Xero Invoice No]))=COUNTIFS(tbl_Finance[Job Number],C98&amp;"",tbl_Finance[Xero Invoice No],"&lt;&gt;"),LOOKUP(2,1/((tbl_Finance[Job Number]=C98&amp;"")*(tbl_Finance[Xero Invoice No]&lt;&gt;"")),tbl_Finance[Xero Invoice No]),LOOKUP(2,1/((tbl_Finance[Job Number]=C98&amp;"")*(tbl_Finance[Xero Invoice No]&lt;&gt;"")),tbl_Finance[Xero Invoice No])&amp;" +more"),"")))</f>
        <v/>
      </c>
      <c r="C98" s="24" t="n"/>
      <c r="D98" s="25">
        <f>IF(C98="","",IF(COUNTIF(lst_Jobs,C98&amp;"")&gt;0,"OK","CHECK"))</f>
        <v/>
      </c>
      <c r="E98" s="25">
        <f>IF(C98="","",IFERROR(INDEX(lst_JobName,MATCH(C98&amp;"",lst_Jobs,0)),""))</f>
        <v/>
      </c>
      <c r="F98" s="25">
        <f>IF(C98="","",IFERROR(INDEX(tbl_Finance[Client],MATCH(C98&amp;"",tbl_Finance[Job Number],0)),""))</f>
        <v/>
      </c>
      <c r="G98" s="28">
        <f>IF(C98="","",COUNTIFS(tbl_Finance[Job Number],C98&amp;"",tbl_Finance[Ex GST],"&lt;&gt;"))</f>
        <v/>
      </c>
      <c r="H98" s="27">
        <f>IF(C98="","",SUMIFS(tbl_Finance[Ex GST],tbl_Finance[Job Number],C98&amp;""))</f>
        <v/>
      </c>
      <c r="I98" s="27">
        <f>IF(C98="","",SUMIFS(tbl_Finance[Ex GST],tbl_Finance[Job Number],C98&amp;"",tbl_Finance[Xero Invoice No],"&lt;&gt;"))</f>
        <v/>
      </c>
      <c r="J98" s="27">
        <f>IF(C98="","",H98-I98)</f>
        <v/>
      </c>
      <c r="K98" s="25">
        <f>IF(C98="","",IF(G98=0,"not invoiced yet",SUBSTITUTE(TRIM(IF(COUNTIFS(tbl_Finance[Job Number],C98&amp;"",tbl_Finance[Cost Centre],"ONSITE")&gt;0,"ONSITE ","")&amp;IF(COUNTIFS(tbl_Finance[Job Number],C98&amp;"",tbl_Finance[Cost Centre],"PRODUCTION")&gt;0,"PRODUCTION ","")&amp;IF(COUNTIFS(tbl_Finance[Job Number],C98&amp;"",tbl_Finance[Cost Centre],"VIDEO")&gt;0,"VIDEO ","")&amp;IF(COUNTIFS(tbl_Finance[Job Number],C98&amp;"",tbl_Finance[Cost Centre],"INTEGRATION")&gt;0,"INTEGRATION ","")&amp;IF(COUNTIFS(tbl_Finance[Job Number],C98&amp;"",tbl_Finance[Cost Centre],"CONSULTING")&gt;0,"CONSULTING ","")&amp;IF(COUNTIFS(tbl_Finance[Job Number],C98&amp;"",tbl_Finance[Cost Centre],"CTS")&gt;0,"CTS ",""))," ",", ")))</f>
        <v/>
      </c>
      <c r="L98" s="24" t="n"/>
      <c r="M98" s="24" t="n"/>
      <c r="N98" s="25">
        <f>IF(M98="","",HYPERLINK(IF(LEFT(M98,4)="http",M98,set_QwilrBase&amp;M98),"Open quote"))</f>
        <v/>
      </c>
      <c r="O98" s="64" t="n"/>
      <c r="P98" s="24" t="n"/>
      <c r="Q98" s="24" t="n"/>
    </row>
    <row r="99" ht="15" customHeight="1">
      <c r="A99" s="63">
        <f>IF(C99="","",IFERROR(IF(SUMPRODUCT(MAX((tbl_Finance[Job Number]=C99&amp;"")*(tbl_Finance[Xero Invoice No]&lt;&gt;"")*tbl_Finance[Date]))=0,"",SUMPRODUCT(MAX((tbl_Finance[Job Number]=C99&amp;"")*(tbl_Finance[Xero Invoice No]&lt;&gt;"")*tbl_Finance[Date]))),""))</f>
        <v/>
      </c>
      <c r="B99" s="25">
        <f>IF(C99="","",IF(COUNTIFS(tbl_Finance[Job Number],C99&amp;"",tbl_Finance[Xero Invoice No],"&lt;&gt;")=0,"",IFERROR(IF(COUNTIFS(tbl_Finance[Job Number],C99&amp;"",tbl_Finance[Xero Invoice No],LOOKUP(2,1/((tbl_Finance[Job Number]=C99&amp;"")*(tbl_Finance[Xero Invoice No]&lt;&gt;"")),tbl_Finance[Xero Invoice No]))=COUNTIFS(tbl_Finance[Job Number],C99&amp;"",tbl_Finance[Xero Invoice No],"&lt;&gt;"),LOOKUP(2,1/((tbl_Finance[Job Number]=C99&amp;"")*(tbl_Finance[Xero Invoice No]&lt;&gt;"")),tbl_Finance[Xero Invoice No]),LOOKUP(2,1/((tbl_Finance[Job Number]=C99&amp;"")*(tbl_Finance[Xero Invoice No]&lt;&gt;"")),tbl_Finance[Xero Invoice No])&amp;" +more"),"")))</f>
        <v/>
      </c>
      <c r="C99" s="24" t="n"/>
      <c r="D99" s="25">
        <f>IF(C99="","",IF(COUNTIF(lst_Jobs,C99&amp;"")&gt;0,"OK","CHECK"))</f>
        <v/>
      </c>
      <c r="E99" s="25">
        <f>IF(C99="","",IFERROR(INDEX(lst_JobName,MATCH(C99&amp;"",lst_Jobs,0)),""))</f>
        <v/>
      </c>
      <c r="F99" s="25">
        <f>IF(C99="","",IFERROR(INDEX(tbl_Finance[Client],MATCH(C99&amp;"",tbl_Finance[Job Number],0)),""))</f>
        <v/>
      </c>
      <c r="G99" s="28">
        <f>IF(C99="","",COUNTIFS(tbl_Finance[Job Number],C99&amp;"",tbl_Finance[Ex GST],"&lt;&gt;"))</f>
        <v/>
      </c>
      <c r="H99" s="27">
        <f>IF(C99="","",SUMIFS(tbl_Finance[Ex GST],tbl_Finance[Job Number],C99&amp;""))</f>
        <v/>
      </c>
      <c r="I99" s="27">
        <f>IF(C99="","",SUMIFS(tbl_Finance[Ex GST],tbl_Finance[Job Number],C99&amp;"",tbl_Finance[Xero Invoice No],"&lt;&gt;"))</f>
        <v/>
      </c>
      <c r="J99" s="27">
        <f>IF(C99="","",H99-I99)</f>
        <v/>
      </c>
      <c r="K99" s="25">
        <f>IF(C99="","",IF(G99=0,"not invoiced yet",SUBSTITUTE(TRIM(IF(COUNTIFS(tbl_Finance[Job Number],C99&amp;"",tbl_Finance[Cost Centre],"ONSITE")&gt;0,"ONSITE ","")&amp;IF(COUNTIFS(tbl_Finance[Job Number],C99&amp;"",tbl_Finance[Cost Centre],"PRODUCTION")&gt;0,"PRODUCTION ","")&amp;IF(COUNTIFS(tbl_Finance[Job Number],C99&amp;"",tbl_Finance[Cost Centre],"VIDEO")&gt;0,"VIDEO ","")&amp;IF(COUNTIFS(tbl_Finance[Job Number],C99&amp;"",tbl_Finance[Cost Centre],"INTEGRATION")&gt;0,"INTEGRATION ","")&amp;IF(COUNTIFS(tbl_Finance[Job Number],C99&amp;"",tbl_Finance[Cost Centre],"CONSULTING")&gt;0,"CONSULTING ","")&amp;IF(COUNTIFS(tbl_Finance[Job Number],C99&amp;"",tbl_Finance[Cost Centre],"CTS")&gt;0,"CTS ",""))," ",", ")))</f>
        <v/>
      </c>
      <c r="L99" s="24" t="n"/>
      <c r="M99" s="24" t="n"/>
      <c r="N99" s="25">
        <f>IF(M99="","",HYPERLINK(IF(LEFT(M99,4)="http",M99,set_QwilrBase&amp;M99),"Open quote"))</f>
        <v/>
      </c>
      <c r="O99" s="64" t="n"/>
      <c r="P99" s="24" t="n"/>
      <c r="Q99" s="24" t="n"/>
    </row>
    <row r="100" ht="15" customHeight="1">
      <c r="A100" s="63">
        <f>IF(C100="","",IFERROR(IF(SUMPRODUCT(MAX((tbl_Finance[Job Number]=C100&amp;"")*(tbl_Finance[Xero Invoice No]&lt;&gt;"")*tbl_Finance[Date]))=0,"",SUMPRODUCT(MAX((tbl_Finance[Job Number]=C100&amp;"")*(tbl_Finance[Xero Invoice No]&lt;&gt;"")*tbl_Finance[Date]))),""))</f>
        <v/>
      </c>
      <c r="B100" s="25">
        <f>IF(C100="","",IF(COUNTIFS(tbl_Finance[Job Number],C100&amp;"",tbl_Finance[Xero Invoice No],"&lt;&gt;")=0,"",IFERROR(IF(COUNTIFS(tbl_Finance[Job Number],C100&amp;"",tbl_Finance[Xero Invoice No],LOOKUP(2,1/((tbl_Finance[Job Number]=C100&amp;"")*(tbl_Finance[Xero Invoice No]&lt;&gt;"")),tbl_Finance[Xero Invoice No]))=COUNTIFS(tbl_Finance[Job Number],C100&amp;"",tbl_Finance[Xero Invoice No],"&lt;&gt;"),LOOKUP(2,1/((tbl_Finance[Job Number]=C100&amp;"")*(tbl_Finance[Xero Invoice No]&lt;&gt;"")),tbl_Finance[Xero Invoice No]),LOOKUP(2,1/((tbl_Finance[Job Number]=C100&amp;"")*(tbl_Finance[Xero Invoice No]&lt;&gt;"")),tbl_Finance[Xero Invoice No])&amp;" +more"),"")))</f>
        <v/>
      </c>
      <c r="C100" s="24" t="n"/>
      <c r="D100" s="25">
        <f>IF(C100="","",IF(COUNTIF(lst_Jobs,C100&amp;"")&gt;0,"OK","CHECK"))</f>
        <v/>
      </c>
      <c r="E100" s="25">
        <f>IF(C100="","",IFERROR(INDEX(lst_JobName,MATCH(C100&amp;"",lst_Jobs,0)),""))</f>
        <v/>
      </c>
      <c r="F100" s="25">
        <f>IF(C100="","",IFERROR(INDEX(tbl_Finance[Client],MATCH(C100&amp;"",tbl_Finance[Job Number],0)),""))</f>
        <v/>
      </c>
      <c r="G100" s="28">
        <f>IF(C100="","",COUNTIFS(tbl_Finance[Job Number],C100&amp;"",tbl_Finance[Ex GST],"&lt;&gt;"))</f>
        <v/>
      </c>
      <c r="H100" s="27">
        <f>IF(C100="","",SUMIFS(tbl_Finance[Ex GST],tbl_Finance[Job Number],C100&amp;""))</f>
        <v/>
      </c>
      <c r="I100" s="27">
        <f>IF(C100="","",SUMIFS(tbl_Finance[Ex GST],tbl_Finance[Job Number],C100&amp;"",tbl_Finance[Xero Invoice No],"&lt;&gt;"))</f>
        <v/>
      </c>
      <c r="J100" s="27">
        <f>IF(C100="","",H100-I100)</f>
        <v/>
      </c>
      <c r="K100" s="25">
        <f>IF(C100="","",IF(G100=0,"not invoiced yet",SUBSTITUTE(TRIM(IF(COUNTIFS(tbl_Finance[Job Number],C100&amp;"",tbl_Finance[Cost Centre],"ONSITE")&gt;0,"ONSITE ","")&amp;IF(COUNTIFS(tbl_Finance[Job Number],C100&amp;"",tbl_Finance[Cost Centre],"PRODUCTION")&gt;0,"PRODUCTION ","")&amp;IF(COUNTIFS(tbl_Finance[Job Number],C100&amp;"",tbl_Finance[Cost Centre],"VIDEO")&gt;0,"VIDEO ","")&amp;IF(COUNTIFS(tbl_Finance[Job Number],C100&amp;"",tbl_Finance[Cost Centre],"INTEGRATION")&gt;0,"INTEGRATION ","")&amp;IF(COUNTIFS(tbl_Finance[Job Number],C100&amp;"",tbl_Finance[Cost Centre],"CONSULTING")&gt;0,"CONSULTING ","")&amp;IF(COUNTIFS(tbl_Finance[Job Number],C100&amp;"",tbl_Finance[Cost Centre],"CTS")&gt;0,"CTS ",""))," ",", ")))</f>
        <v/>
      </c>
      <c r="L100" s="24" t="n"/>
      <c r="M100" s="24" t="n"/>
      <c r="N100" s="25">
        <f>IF(M100="","",HYPERLINK(IF(LEFT(M100,4)="http",M100,set_QwilrBase&amp;M100),"Open quote"))</f>
        <v/>
      </c>
      <c r="O100" s="64" t="n"/>
      <c r="P100" s="24" t="n"/>
      <c r="Q100" s="24" t="n"/>
    </row>
    <row r="101" ht="15" customHeight="1">
      <c r="A101" s="63">
        <f>IF(C101="","",IFERROR(IF(SUMPRODUCT(MAX((tbl_Finance[Job Number]=C101&amp;"")*(tbl_Finance[Xero Invoice No]&lt;&gt;"")*tbl_Finance[Date]))=0,"",SUMPRODUCT(MAX((tbl_Finance[Job Number]=C101&amp;"")*(tbl_Finance[Xero Invoice No]&lt;&gt;"")*tbl_Finance[Date]))),""))</f>
        <v/>
      </c>
      <c r="B101" s="25">
        <f>IF(C101="","",IF(COUNTIFS(tbl_Finance[Job Number],C101&amp;"",tbl_Finance[Xero Invoice No],"&lt;&gt;")=0,"",IFERROR(IF(COUNTIFS(tbl_Finance[Job Number],C101&amp;"",tbl_Finance[Xero Invoice No],LOOKUP(2,1/((tbl_Finance[Job Number]=C101&amp;"")*(tbl_Finance[Xero Invoice No]&lt;&gt;"")),tbl_Finance[Xero Invoice No]))=COUNTIFS(tbl_Finance[Job Number],C101&amp;"",tbl_Finance[Xero Invoice No],"&lt;&gt;"),LOOKUP(2,1/((tbl_Finance[Job Number]=C101&amp;"")*(tbl_Finance[Xero Invoice No]&lt;&gt;"")),tbl_Finance[Xero Invoice No]),LOOKUP(2,1/((tbl_Finance[Job Number]=C101&amp;"")*(tbl_Finance[Xero Invoice No]&lt;&gt;"")),tbl_Finance[Xero Invoice No])&amp;" +more"),"")))</f>
        <v/>
      </c>
      <c r="C101" s="24" t="n"/>
      <c r="D101" s="25">
        <f>IF(C101="","",IF(COUNTIF(lst_Jobs,C101&amp;"")&gt;0,"OK","CHECK"))</f>
        <v/>
      </c>
      <c r="E101" s="25">
        <f>IF(C101="","",IFERROR(INDEX(lst_JobName,MATCH(C101&amp;"",lst_Jobs,0)),""))</f>
        <v/>
      </c>
      <c r="F101" s="25">
        <f>IF(C101="","",IFERROR(INDEX(tbl_Finance[Client],MATCH(C101&amp;"",tbl_Finance[Job Number],0)),""))</f>
        <v/>
      </c>
      <c r="G101" s="28">
        <f>IF(C101="","",COUNTIFS(tbl_Finance[Job Number],C101&amp;"",tbl_Finance[Ex GST],"&lt;&gt;"))</f>
        <v/>
      </c>
      <c r="H101" s="27">
        <f>IF(C101="","",SUMIFS(tbl_Finance[Ex GST],tbl_Finance[Job Number],C101&amp;""))</f>
        <v/>
      </c>
      <c r="I101" s="27">
        <f>IF(C101="","",SUMIFS(tbl_Finance[Ex GST],tbl_Finance[Job Number],C101&amp;"",tbl_Finance[Xero Invoice No],"&lt;&gt;"))</f>
        <v/>
      </c>
      <c r="J101" s="27">
        <f>IF(C101="","",H101-I101)</f>
        <v/>
      </c>
      <c r="K101" s="25">
        <f>IF(C101="","",IF(G101=0,"not invoiced yet",SUBSTITUTE(TRIM(IF(COUNTIFS(tbl_Finance[Job Number],C101&amp;"",tbl_Finance[Cost Centre],"ONSITE")&gt;0,"ONSITE ","")&amp;IF(COUNTIFS(tbl_Finance[Job Number],C101&amp;"",tbl_Finance[Cost Centre],"PRODUCTION")&gt;0,"PRODUCTION ","")&amp;IF(COUNTIFS(tbl_Finance[Job Number],C101&amp;"",tbl_Finance[Cost Centre],"VIDEO")&gt;0,"VIDEO ","")&amp;IF(COUNTIFS(tbl_Finance[Job Number],C101&amp;"",tbl_Finance[Cost Centre],"INTEGRATION")&gt;0,"INTEGRATION ","")&amp;IF(COUNTIFS(tbl_Finance[Job Number],C101&amp;"",tbl_Finance[Cost Centre],"CONSULTING")&gt;0,"CONSULTING ","")&amp;IF(COUNTIFS(tbl_Finance[Job Number],C101&amp;"",tbl_Finance[Cost Centre],"CTS")&gt;0,"CTS ",""))," ",", ")))</f>
        <v/>
      </c>
      <c r="L101" s="24" t="n"/>
      <c r="M101" s="24" t="n"/>
      <c r="N101" s="25">
        <f>IF(M101="","",HYPERLINK(IF(LEFT(M101,4)="http",M101,set_QwilrBase&amp;M101),"Open quote"))</f>
        <v/>
      </c>
      <c r="O101" s="64" t="n"/>
      <c r="P101" s="24" t="n"/>
      <c r="Q101" s="24" t="n"/>
    </row>
    <row r="102" ht="15" customHeight="1">
      <c r="A102" s="63">
        <f>IF(C102="","",IFERROR(IF(SUMPRODUCT(MAX((tbl_Finance[Job Number]=C102&amp;"")*(tbl_Finance[Xero Invoice No]&lt;&gt;"")*tbl_Finance[Date]))=0,"",SUMPRODUCT(MAX((tbl_Finance[Job Number]=C102&amp;"")*(tbl_Finance[Xero Invoice No]&lt;&gt;"")*tbl_Finance[Date]))),""))</f>
        <v/>
      </c>
      <c r="B102" s="25">
        <f>IF(C102="","",IF(COUNTIFS(tbl_Finance[Job Number],C102&amp;"",tbl_Finance[Xero Invoice No],"&lt;&gt;")=0,"",IFERROR(IF(COUNTIFS(tbl_Finance[Job Number],C102&amp;"",tbl_Finance[Xero Invoice No],LOOKUP(2,1/((tbl_Finance[Job Number]=C102&amp;"")*(tbl_Finance[Xero Invoice No]&lt;&gt;"")),tbl_Finance[Xero Invoice No]))=COUNTIFS(tbl_Finance[Job Number],C102&amp;"",tbl_Finance[Xero Invoice No],"&lt;&gt;"),LOOKUP(2,1/((tbl_Finance[Job Number]=C102&amp;"")*(tbl_Finance[Xero Invoice No]&lt;&gt;"")),tbl_Finance[Xero Invoice No]),LOOKUP(2,1/((tbl_Finance[Job Number]=C102&amp;"")*(tbl_Finance[Xero Invoice No]&lt;&gt;"")),tbl_Finance[Xero Invoice No])&amp;" +more"),"")))</f>
        <v/>
      </c>
      <c r="C102" s="24" t="n"/>
      <c r="D102" s="25">
        <f>IF(C102="","",IF(COUNTIF(lst_Jobs,C102&amp;"")&gt;0,"OK","CHECK"))</f>
        <v/>
      </c>
      <c r="E102" s="25">
        <f>IF(C102="","",IFERROR(INDEX(lst_JobName,MATCH(C102&amp;"",lst_Jobs,0)),""))</f>
        <v/>
      </c>
      <c r="F102" s="25">
        <f>IF(C102="","",IFERROR(INDEX(tbl_Finance[Client],MATCH(C102&amp;"",tbl_Finance[Job Number],0)),""))</f>
        <v/>
      </c>
      <c r="G102" s="28">
        <f>IF(C102="","",COUNTIFS(tbl_Finance[Job Number],C102&amp;"",tbl_Finance[Ex GST],"&lt;&gt;"))</f>
        <v/>
      </c>
      <c r="H102" s="27">
        <f>IF(C102="","",SUMIFS(tbl_Finance[Ex GST],tbl_Finance[Job Number],C102&amp;""))</f>
        <v/>
      </c>
      <c r="I102" s="27">
        <f>IF(C102="","",SUMIFS(tbl_Finance[Ex GST],tbl_Finance[Job Number],C102&amp;"",tbl_Finance[Xero Invoice No],"&lt;&gt;"))</f>
        <v/>
      </c>
      <c r="J102" s="27">
        <f>IF(C102="","",H102-I102)</f>
        <v/>
      </c>
      <c r="K102" s="25">
        <f>IF(C102="","",IF(G102=0,"not invoiced yet",SUBSTITUTE(TRIM(IF(COUNTIFS(tbl_Finance[Job Number],C102&amp;"",tbl_Finance[Cost Centre],"ONSITE")&gt;0,"ONSITE ","")&amp;IF(COUNTIFS(tbl_Finance[Job Number],C102&amp;"",tbl_Finance[Cost Centre],"PRODUCTION")&gt;0,"PRODUCTION ","")&amp;IF(COUNTIFS(tbl_Finance[Job Number],C102&amp;"",tbl_Finance[Cost Centre],"VIDEO")&gt;0,"VIDEO ","")&amp;IF(COUNTIFS(tbl_Finance[Job Number],C102&amp;"",tbl_Finance[Cost Centre],"INTEGRATION")&gt;0,"INTEGRATION ","")&amp;IF(COUNTIFS(tbl_Finance[Job Number],C102&amp;"",tbl_Finance[Cost Centre],"CONSULTING")&gt;0,"CONSULTING ","")&amp;IF(COUNTIFS(tbl_Finance[Job Number],C102&amp;"",tbl_Finance[Cost Centre],"CTS")&gt;0,"CTS ",""))," ",", ")))</f>
        <v/>
      </c>
      <c r="L102" s="24" t="n"/>
      <c r="M102" s="24" t="n"/>
      <c r="N102" s="25">
        <f>IF(M102="","",HYPERLINK(IF(LEFT(M102,4)="http",M102,set_QwilrBase&amp;M102),"Open quote"))</f>
        <v/>
      </c>
      <c r="O102" s="64" t="n"/>
      <c r="P102" s="24" t="n"/>
      <c r="Q102" s="24" t="n"/>
    </row>
    <row r="103" ht="15" customHeight="1">
      <c r="A103" s="63">
        <f>IF(C103="","",IFERROR(IF(SUMPRODUCT(MAX((tbl_Finance[Job Number]=C103&amp;"")*(tbl_Finance[Xero Invoice No]&lt;&gt;"")*tbl_Finance[Date]))=0,"",SUMPRODUCT(MAX((tbl_Finance[Job Number]=C103&amp;"")*(tbl_Finance[Xero Invoice No]&lt;&gt;"")*tbl_Finance[Date]))),""))</f>
        <v/>
      </c>
      <c r="B103" s="25">
        <f>IF(C103="","",IF(COUNTIFS(tbl_Finance[Job Number],C103&amp;"",tbl_Finance[Xero Invoice No],"&lt;&gt;")=0,"",IFERROR(IF(COUNTIFS(tbl_Finance[Job Number],C103&amp;"",tbl_Finance[Xero Invoice No],LOOKUP(2,1/((tbl_Finance[Job Number]=C103&amp;"")*(tbl_Finance[Xero Invoice No]&lt;&gt;"")),tbl_Finance[Xero Invoice No]))=COUNTIFS(tbl_Finance[Job Number],C103&amp;"",tbl_Finance[Xero Invoice No],"&lt;&gt;"),LOOKUP(2,1/((tbl_Finance[Job Number]=C103&amp;"")*(tbl_Finance[Xero Invoice No]&lt;&gt;"")),tbl_Finance[Xero Invoice No]),LOOKUP(2,1/((tbl_Finance[Job Number]=C103&amp;"")*(tbl_Finance[Xero Invoice No]&lt;&gt;"")),tbl_Finance[Xero Invoice No])&amp;" +more"),"")))</f>
        <v/>
      </c>
      <c r="C103" s="24" t="n"/>
      <c r="D103" s="25">
        <f>IF(C103="","",IF(COUNTIF(lst_Jobs,C103&amp;"")&gt;0,"OK","CHECK"))</f>
        <v/>
      </c>
      <c r="E103" s="25">
        <f>IF(C103="","",IFERROR(INDEX(lst_JobName,MATCH(C103&amp;"",lst_Jobs,0)),""))</f>
        <v/>
      </c>
      <c r="F103" s="25">
        <f>IF(C103="","",IFERROR(INDEX(tbl_Finance[Client],MATCH(C103&amp;"",tbl_Finance[Job Number],0)),""))</f>
        <v/>
      </c>
      <c r="G103" s="28">
        <f>IF(C103="","",COUNTIFS(tbl_Finance[Job Number],C103&amp;"",tbl_Finance[Ex GST],"&lt;&gt;"))</f>
        <v/>
      </c>
      <c r="H103" s="27">
        <f>IF(C103="","",SUMIFS(tbl_Finance[Ex GST],tbl_Finance[Job Number],C103&amp;""))</f>
        <v/>
      </c>
      <c r="I103" s="27">
        <f>IF(C103="","",SUMIFS(tbl_Finance[Ex GST],tbl_Finance[Job Number],C103&amp;"",tbl_Finance[Xero Invoice No],"&lt;&gt;"))</f>
        <v/>
      </c>
      <c r="J103" s="27">
        <f>IF(C103="","",H103-I103)</f>
        <v/>
      </c>
      <c r="K103" s="25">
        <f>IF(C103="","",IF(G103=0,"not invoiced yet",SUBSTITUTE(TRIM(IF(COUNTIFS(tbl_Finance[Job Number],C103&amp;"",tbl_Finance[Cost Centre],"ONSITE")&gt;0,"ONSITE ","")&amp;IF(COUNTIFS(tbl_Finance[Job Number],C103&amp;"",tbl_Finance[Cost Centre],"PRODUCTION")&gt;0,"PRODUCTION ","")&amp;IF(COUNTIFS(tbl_Finance[Job Number],C103&amp;"",tbl_Finance[Cost Centre],"VIDEO")&gt;0,"VIDEO ","")&amp;IF(COUNTIFS(tbl_Finance[Job Number],C103&amp;"",tbl_Finance[Cost Centre],"INTEGRATION")&gt;0,"INTEGRATION ","")&amp;IF(COUNTIFS(tbl_Finance[Job Number],C103&amp;"",tbl_Finance[Cost Centre],"CONSULTING")&gt;0,"CONSULTING ","")&amp;IF(COUNTIFS(tbl_Finance[Job Number],C103&amp;"",tbl_Finance[Cost Centre],"CTS")&gt;0,"CTS ",""))," ",", ")))</f>
        <v/>
      </c>
      <c r="L103" s="24" t="n"/>
      <c r="M103" s="24" t="n"/>
      <c r="N103" s="25">
        <f>IF(M103="","",HYPERLINK(IF(LEFT(M103,4)="http",M103,set_QwilrBase&amp;M103),"Open quote"))</f>
        <v/>
      </c>
      <c r="O103" s="64" t="n"/>
      <c r="P103" s="24" t="n"/>
      <c r="Q103" s="24" t="n"/>
    </row>
    <row r="104" ht="15" customHeight="1">
      <c r="A104" s="63">
        <f>IF(C104="","",IFERROR(IF(SUMPRODUCT(MAX((tbl_Finance[Job Number]=C104&amp;"")*(tbl_Finance[Xero Invoice No]&lt;&gt;"")*tbl_Finance[Date]))=0,"",SUMPRODUCT(MAX((tbl_Finance[Job Number]=C104&amp;"")*(tbl_Finance[Xero Invoice No]&lt;&gt;"")*tbl_Finance[Date]))),""))</f>
        <v/>
      </c>
      <c r="B104" s="25">
        <f>IF(C104="","",IF(COUNTIFS(tbl_Finance[Job Number],C104&amp;"",tbl_Finance[Xero Invoice No],"&lt;&gt;")=0,"",IFERROR(IF(COUNTIFS(tbl_Finance[Job Number],C104&amp;"",tbl_Finance[Xero Invoice No],LOOKUP(2,1/((tbl_Finance[Job Number]=C104&amp;"")*(tbl_Finance[Xero Invoice No]&lt;&gt;"")),tbl_Finance[Xero Invoice No]))=COUNTIFS(tbl_Finance[Job Number],C104&amp;"",tbl_Finance[Xero Invoice No],"&lt;&gt;"),LOOKUP(2,1/((tbl_Finance[Job Number]=C104&amp;"")*(tbl_Finance[Xero Invoice No]&lt;&gt;"")),tbl_Finance[Xero Invoice No]),LOOKUP(2,1/((tbl_Finance[Job Number]=C104&amp;"")*(tbl_Finance[Xero Invoice No]&lt;&gt;"")),tbl_Finance[Xero Invoice No])&amp;" +more"),"")))</f>
        <v/>
      </c>
      <c r="C104" s="24" t="n"/>
      <c r="D104" s="25">
        <f>IF(C104="","",IF(COUNTIF(lst_Jobs,C104&amp;"")&gt;0,"OK","CHECK"))</f>
        <v/>
      </c>
      <c r="E104" s="25">
        <f>IF(C104="","",IFERROR(INDEX(lst_JobName,MATCH(C104&amp;"",lst_Jobs,0)),""))</f>
        <v/>
      </c>
      <c r="F104" s="25">
        <f>IF(C104="","",IFERROR(INDEX(tbl_Finance[Client],MATCH(C104&amp;"",tbl_Finance[Job Number],0)),""))</f>
        <v/>
      </c>
      <c r="G104" s="28">
        <f>IF(C104="","",COUNTIFS(tbl_Finance[Job Number],C104&amp;"",tbl_Finance[Ex GST],"&lt;&gt;"))</f>
        <v/>
      </c>
      <c r="H104" s="27">
        <f>IF(C104="","",SUMIFS(tbl_Finance[Ex GST],tbl_Finance[Job Number],C104&amp;""))</f>
        <v/>
      </c>
      <c r="I104" s="27">
        <f>IF(C104="","",SUMIFS(tbl_Finance[Ex GST],tbl_Finance[Job Number],C104&amp;"",tbl_Finance[Xero Invoice No],"&lt;&gt;"))</f>
        <v/>
      </c>
      <c r="J104" s="27">
        <f>IF(C104="","",H104-I104)</f>
        <v/>
      </c>
      <c r="K104" s="25">
        <f>IF(C104="","",IF(G104=0,"not invoiced yet",SUBSTITUTE(TRIM(IF(COUNTIFS(tbl_Finance[Job Number],C104&amp;"",tbl_Finance[Cost Centre],"ONSITE")&gt;0,"ONSITE ","")&amp;IF(COUNTIFS(tbl_Finance[Job Number],C104&amp;"",tbl_Finance[Cost Centre],"PRODUCTION")&gt;0,"PRODUCTION ","")&amp;IF(COUNTIFS(tbl_Finance[Job Number],C104&amp;"",tbl_Finance[Cost Centre],"VIDEO")&gt;0,"VIDEO ","")&amp;IF(COUNTIFS(tbl_Finance[Job Number],C104&amp;"",tbl_Finance[Cost Centre],"INTEGRATION")&gt;0,"INTEGRATION ","")&amp;IF(COUNTIFS(tbl_Finance[Job Number],C104&amp;"",tbl_Finance[Cost Centre],"CONSULTING")&gt;0,"CONSULTING ","")&amp;IF(COUNTIFS(tbl_Finance[Job Number],C104&amp;"",tbl_Finance[Cost Centre],"CTS")&gt;0,"CTS ",""))," ",", ")))</f>
        <v/>
      </c>
      <c r="L104" s="24" t="n"/>
      <c r="M104" s="24" t="n"/>
      <c r="N104" s="25">
        <f>IF(M104="","",HYPERLINK(IF(LEFT(M104,4)="http",M104,set_QwilrBase&amp;M104),"Open quote"))</f>
        <v/>
      </c>
      <c r="O104" s="64" t="n"/>
      <c r="P104" s="24" t="n"/>
      <c r="Q104" s="24" t="n"/>
    </row>
    <row r="105" ht="15" customHeight="1">
      <c r="A105" s="63">
        <f>IF(C105="","",IFERROR(IF(SUMPRODUCT(MAX((tbl_Finance[Job Number]=C105&amp;"")*(tbl_Finance[Xero Invoice No]&lt;&gt;"")*tbl_Finance[Date]))=0,"",SUMPRODUCT(MAX((tbl_Finance[Job Number]=C105&amp;"")*(tbl_Finance[Xero Invoice No]&lt;&gt;"")*tbl_Finance[Date]))),""))</f>
        <v/>
      </c>
      <c r="B105" s="25">
        <f>IF(C105="","",IF(COUNTIFS(tbl_Finance[Job Number],C105&amp;"",tbl_Finance[Xero Invoice No],"&lt;&gt;")=0,"",IFERROR(IF(COUNTIFS(tbl_Finance[Job Number],C105&amp;"",tbl_Finance[Xero Invoice No],LOOKUP(2,1/((tbl_Finance[Job Number]=C105&amp;"")*(tbl_Finance[Xero Invoice No]&lt;&gt;"")),tbl_Finance[Xero Invoice No]))=COUNTIFS(tbl_Finance[Job Number],C105&amp;"",tbl_Finance[Xero Invoice No],"&lt;&gt;"),LOOKUP(2,1/((tbl_Finance[Job Number]=C105&amp;"")*(tbl_Finance[Xero Invoice No]&lt;&gt;"")),tbl_Finance[Xero Invoice No]),LOOKUP(2,1/((tbl_Finance[Job Number]=C105&amp;"")*(tbl_Finance[Xero Invoice No]&lt;&gt;"")),tbl_Finance[Xero Invoice No])&amp;" +more"),"")))</f>
        <v/>
      </c>
      <c r="C105" s="24" t="n"/>
      <c r="D105" s="25">
        <f>IF(C105="","",IF(COUNTIF(lst_Jobs,C105&amp;"")&gt;0,"OK","CHECK"))</f>
        <v/>
      </c>
      <c r="E105" s="25">
        <f>IF(C105="","",IFERROR(INDEX(lst_JobName,MATCH(C105&amp;"",lst_Jobs,0)),""))</f>
        <v/>
      </c>
      <c r="F105" s="25">
        <f>IF(C105="","",IFERROR(INDEX(tbl_Finance[Client],MATCH(C105&amp;"",tbl_Finance[Job Number],0)),""))</f>
        <v/>
      </c>
      <c r="G105" s="28">
        <f>IF(C105="","",COUNTIFS(tbl_Finance[Job Number],C105&amp;"",tbl_Finance[Ex GST],"&lt;&gt;"))</f>
        <v/>
      </c>
      <c r="H105" s="27">
        <f>IF(C105="","",SUMIFS(tbl_Finance[Ex GST],tbl_Finance[Job Number],C105&amp;""))</f>
        <v/>
      </c>
      <c r="I105" s="27">
        <f>IF(C105="","",SUMIFS(tbl_Finance[Ex GST],tbl_Finance[Job Number],C105&amp;"",tbl_Finance[Xero Invoice No],"&lt;&gt;"))</f>
        <v/>
      </c>
      <c r="J105" s="27">
        <f>IF(C105="","",H105-I105)</f>
        <v/>
      </c>
      <c r="K105" s="25">
        <f>IF(C105="","",IF(G105=0,"not invoiced yet",SUBSTITUTE(TRIM(IF(COUNTIFS(tbl_Finance[Job Number],C105&amp;"",tbl_Finance[Cost Centre],"ONSITE")&gt;0,"ONSITE ","")&amp;IF(COUNTIFS(tbl_Finance[Job Number],C105&amp;"",tbl_Finance[Cost Centre],"PRODUCTION")&gt;0,"PRODUCTION ","")&amp;IF(COUNTIFS(tbl_Finance[Job Number],C105&amp;"",tbl_Finance[Cost Centre],"VIDEO")&gt;0,"VIDEO ","")&amp;IF(COUNTIFS(tbl_Finance[Job Number],C105&amp;"",tbl_Finance[Cost Centre],"INTEGRATION")&gt;0,"INTEGRATION ","")&amp;IF(COUNTIFS(tbl_Finance[Job Number],C105&amp;"",tbl_Finance[Cost Centre],"CONSULTING")&gt;0,"CONSULTING ","")&amp;IF(COUNTIFS(tbl_Finance[Job Number],C105&amp;"",tbl_Finance[Cost Centre],"CTS")&gt;0,"CTS ",""))," ",", ")))</f>
        <v/>
      </c>
      <c r="L105" s="24" t="n"/>
      <c r="M105" s="24" t="n"/>
      <c r="N105" s="25">
        <f>IF(M105="","",HYPERLINK(IF(LEFT(M105,4)="http",M105,set_QwilrBase&amp;M105),"Open quote"))</f>
        <v/>
      </c>
      <c r="O105" s="64" t="n"/>
      <c r="P105" s="24" t="n"/>
      <c r="Q105" s="24" t="n"/>
    </row>
    <row r="106" ht="15" customHeight="1">
      <c r="A106" s="63">
        <f>IF(C106="","",IFERROR(IF(SUMPRODUCT(MAX((tbl_Finance[Job Number]=C106&amp;"")*(tbl_Finance[Xero Invoice No]&lt;&gt;"")*tbl_Finance[Date]))=0,"",SUMPRODUCT(MAX((tbl_Finance[Job Number]=C106&amp;"")*(tbl_Finance[Xero Invoice No]&lt;&gt;"")*tbl_Finance[Date]))),""))</f>
        <v/>
      </c>
      <c r="B106" s="25">
        <f>IF(C106="","",IF(COUNTIFS(tbl_Finance[Job Number],C106&amp;"",tbl_Finance[Xero Invoice No],"&lt;&gt;")=0,"",IFERROR(IF(COUNTIFS(tbl_Finance[Job Number],C106&amp;"",tbl_Finance[Xero Invoice No],LOOKUP(2,1/((tbl_Finance[Job Number]=C106&amp;"")*(tbl_Finance[Xero Invoice No]&lt;&gt;"")),tbl_Finance[Xero Invoice No]))=COUNTIFS(tbl_Finance[Job Number],C106&amp;"",tbl_Finance[Xero Invoice No],"&lt;&gt;"),LOOKUP(2,1/((tbl_Finance[Job Number]=C106&amp;"")*(tbl_Finance[Xero Invoice No]&lt;&gt;"")),tbl_Finance[Xero Invoice No]),LOOKUP(2,1/((tbl_Finance[Job Number]=C106&amp;"")*(tbl_Finance[Xero Invoice No]&lt;&gt;"")),tbl_Finance[Xero Invoice No])&amp;" +more"),"")))</f>
        <v/>
      </c>
      <c r="C106" s="24" t="n"/>
      <c r="D106" s="25">
        <f>IF(C106="","",IF(COUNTIF(lst_Jobs,C106&amp;"")&gt;0,"OK","CHECK"))</f>
        <v/>
      </c>
      <c r="E106" s="25">
        <f>IF(C106="","",IFERROR(INDEX(lst_JobName,MATCH(C106&amp;"",lst_Jobs,0)),""))</f>
        <v/>
      </c>
      <c r="F106" s="25">
        <f>IF(C106="","",IFERROR(INDEX(tbl_Finance[Client],MATCH(C106&amp;"",tbl_Finance[Job Number],0)),""))</f>
        <v/>
      </c>
      <c r="G106" s="28">
        <f>IF(C106="","",COUNTIFS(tbl_Finance[Job Number],C106&amp;"",tbl_Finance[Ex GST],"&lt;&gt;"))</f>
        <v/>
      </c>
      <c r="H106" s="27">
        <f>IF(C106="","",SUMIFS(tbl_Finance[Ex GST],tbl_Finance[Job Number],C106&amp;""))</f>
        <v/>
      </c>
      <c r="I106" s="27">
        <f>IF(C106="","",SUMIFS(tbl_Finance[Ex GST],tbl_Finance[Job Number],C106&amp;"",tbl_Finance[Xero Invoice No],"&lt;&gt;"))</f>
        <v/>
      </c>
      <c r="J106" s="27">
        <f>IF(C106="","",H106-I106)</f>
        <v/>
      </c>
      <c r="K106" s="25">
        <f>IF(C106="","",IF(G106=0,"not invoiced yet",SUBSTITUTE(TRIM(IF(COUNTIFS(tbl_Finance[Job Number],C106&amp;"",tbl_Finance[Cost Centre],"ONSITE")&gt;0,"ONSITE ","")&amp;IF(COUNTIFS(tbl_Finance[Job Number],C106&amp;"",tbl_Finance[Cost Centre],"PRODUCTION")&gt;0,"PRODUCTION ","")&amp;IF(COUNTIFS(tbl_Finance[Job Number],C106&amp;"",tbl_Finance[Cost Centre],"VIDEO")&gt;0,"VIDEO ","")&amp;IF(COUNTIFS(tbl_Finance[Job Number],C106&amp;"",tbl_Finance[Cost Centre],"INTEGRATION")&gt;0,"INTEGRATION ","")&amp;IF(COUNTIFS(tbl_Finance[Job Number],C106&amp;"",tbl_Finance[Cost Centre],"CONSULTING")&gt;0,"CONSULTING ","")&amp;IF(COUNTIFS(tbl_Finance[Job Number],C106&amp;"",tbl_Finance[Cost Centre],"CTS")&gt;0,"CTS ",""))," ",", ")))</f>
        <v/>
      </c>
      <c r="L106" s="24" t="n"/>
      <c r="M106" s="24" t="n"/>
      <c r="N106" s="25">
        <f>IF(M106="","",HYPERLINK(IF(LEFT(M106,4)="http",M106,set_QwilrBase&amp;M106),"Open quote"))</f>
        <v/>
      </c>
      <c r="O106" s="64" t="n"/>
      <c r="P106" s="24" t="n"/>
      <c r="Q106" s="24" t="n"/>
    </row>
    <row r="107" ht="15" customHeight="1">
      <c r="A107" s="63">
        <f>IF(C107="","",IFERROR(IF(SUMPRODUCT(MAX((tbl_Finance[Job Number]=C107&amp;"")*(tbl_Finance[Xero Invoice No]&lt;&gt;"")*tbl_Finance[Date]))=0,"",SUMPRODUCT(MAX((tbl_Finance[Job Number]=C107&amp;"")*(tbl_Finance[Xero Invoice No]&lt;&gt;"")*tbl_Finance[Date]))),""))</f>
        <v/>
      </c>
      <c r="B107" s="25">
        <f>IF(C107="","",IF(COUNTIFS(tbl_Finance[Job Number],C107&amp;"",tbl_Finance[Xero Invoice No],"&lt;&gt;")=0,"",IFERROR(IF(COUNTIFS(tbl_Finance[Job Number],C107&amp;"",tbl_Finance[Xero Invoice No],LOOKUP(2,1/((tbl_Finance[Job Number]=C107&amp;"")*(tbl_Finance[Xero Invoice No]&lt;&gt;"")),tbl_Finance[Xero Invoice No]))=COUNTIFS(tbl_Finance[Job Number],C107&amp;"",tbl_Finance[Xero Invoice No],"&lt;&gt;"),LOOKUP(2,1/((tbl_Finance[Job Number]=C107&amp;"")*(tbl_Finance[Xero Invoice No]&lt;&gt;"")),tbl_Finance[Xero Invoice No]),LOOKUP(2,1/((tbl_Finance[Job Number]=C107&amp;"")*(tbl_Finance[Xero Invoice No]&lt;&gt;"")),tbl_Finance[Xero Invoice No])&amp;" +more"),"")))</f>
        <v/>
      </c>
      <c r="C107" s="24" t="n"/>
      <c r="D107" s="25">
        <f>IF(C107="","",IF(COUNTIF(lst_Jobs,C107&amp;"")&gt;0,"OK","CHECK"))</f>
        <v/>
      </c>
      <c r="E107" s="25">
        <f>IF(C107="","",IFERROR(INDEX(lst_JobName,MATCH(C107&amp;"",lst_Jobs,0)),""))</f>
        <v/>
      </c>
      <c r="F107" s="25">
        <f>IF(C107="","",IFERROR(INDEX(tbl_Finance[Client],MATCH(C107&amp;"",tbl_Finance[Job Number],0)),""))</f>
        <v/>
      </c>
      <c r="G107" s="28">
        <f>IF(C107="","",COUNTIFS(tbl_Finance[Job Number],C107&amp;"",tbl_Finance[Ex GST],"&lt;&gt;"))</f>
        <v/>
      </c>
      <c r="H107" s="27">
        <f>IF(C107="","",SUMIFS(tbl_Finance[Ex GST],tbl_Finance[Job Number],C107&amp;""))</f>
        <v/>
      </c>
      <c r="I107" s="27">
        <f>IF(C107="","",SUMIFS(tbl_Finance[Ex GST],tbl_Finance[Job Number],C107&amp;"",tbl_Finance[Xero Invoice No],"&lt;&gt;"))</f>
        <v/>
      </c>
      <c r="J107" s="27">
        <f>IF(C107="","",H107-I107)</f>
        <v/>
      </c>
      <c r="K107" s="25">
        <f>IF(C107="","",IF(G107=0,"not invoiced yet",SUBSTITUTE(TRIM(IF(COUNTIFS(tbl_Finance[Job Number],C107&amp;"",tbl_Finance[Cost Centre],"ONSITE")&gt;0,"ONSITE ","")&amp;IF(COUNTIFS(tbl_Finance[Job Number],C107&amp;"",tbl_Finance[Cost Centre],"PRODUCTION")&gt;0,"PRODUCTION ","")&amp;IF(COUNTIFS(tbl_Finance[Job Number],C107&amp;"",tbl_Finance[Cost Centre],"VIDEO")&gt;0,"VIDEO ","")&amp;IF(COUNTIFS(tbl_Finance[Job Number],C107&amp;"",tbl_Finance[Cost Centre],"INTEGRATION")&gt;0,"INTEGRATION ","")&amp;IF(COUNTIFS(tbl_Finance[Job Number],C107&amp;"",tbl_Finance[Cost Centre],"CONSULTING")&gt;0,"CONSULTING ","")&amp;IF(COUNTIFS(tbl_Finance[Job Number],C107&amp;"",tbl_Finance[Cost Centre],"CTS")&gt;0,"CTS ",""))," ",", ")))</f>
        <v/>
      </c>
      <c r="L107" s="24" t="n"/>
      <c r="M107" s="24" t="n"/>
      <c r="N107" s="25">
        <f>IF(M107="","",HYPERLINK(IF(LEFT(M107,4)="http",M107,set_QwilrBase&amp;M107),"Open quote"))</f>
        <v/>
      </c>
      <c r="O107" s="64" t="n"/>
      <c r="P107" s="24" t="n"/>
      <c r="Q107" s="24" t="n"/>
    </row>
    <row r="108" ht="15" customHeight="1">
      <c r="A108" s="63">
        <f>IF(C108="","",IFERROR(IF(SUMPRODUCT(MAX((tbl_Finance[Job Number]=C108&amp;"")*(tbl_Finance[Xero Invoice No]&lt;&gt;"")*tbl_Finance[Date]))=0,"",SUMPRODUCT(MAX((tbl_Finance[Job Number]=C108&amp;"")*(tbl_Finance[Xero Invoice No]&lt;&gt;"")*tbl_Finance[Date]))),""))</f>
        <v/>
      </c>
      <c r="B108" s="25">
        <f>IF(C108="","",IF(COUNTIFS(tbl_Finance[Job Number],C108&amp;"",tbl_Finance[Xero Invoice No],"&lt;&gt;")=0,"",IFERROR(IF(COUNTIFS(tbl_Finance[Job Number],C108&amp;"",tbl_Finance[Xero Invoice No],LOOKUP(2,1/((tbl_Finance[Job Number]=C108&amp;"")*(tbl_Finance[Xero Invoice No]&lt;&gt;"")),tbl_Finance[Xero Invoice No]))=COUNTIFS(tbl_Finance[Job Number],C108&amp;"",tbl_Finance[Xero Invoice No],"&lt;&gt;"),LOOKUP(2,1/((tbl_Finance[Job Number]=C108&amp;"")*(tbl_Finance[Xero Invoice No]&lt;&gt;"")),tbl_Finance[Xero Invoice No]),LOOKUP(2,1/((tbl_Finance[Job Number]=C108&amp;"")*(tbl_Finance[Xero Invoice No]&lt;&gt;"")),tbl_Finance[Xero Invoice No])&amp;" +more"),"")))</f>
        <v/>
      </c>
      <c r="C108" s="24" t="n"/>
      <c r="D108" s="25">
        <f>IF(C108="","",IF(COUNTIF(lst_Jobs,C108&amp;"")&gt;0,"OK","CHECK"))</f>
        <v/>
      </c>
      <c r="E108" s="25">
        <f>IF(C108="","",IFERROR(INDEX(lst_JobName,MATCH(C108&amp;"",lst_Jobs,0)),""))</f>
        <v/>
      </c>
      <c r="F108" s="25">
        <f>IF(C108="","",IFERROR(INDEX(tbl_Finance[Client],MATCH(C108&amp;"",tbl_Finance[Job Number],0)),""))</f>
        <v/>
      </c>
      <c r="G108" s="28">
        <f>IF(C108="","",COUNTIFS(tbl_Finance[Job Number],C108&amp;"",tbl_Finance[Ex GST],"&lt;&gt;"))</f>
        <v/>
      </c>
      <c r="H108" s="27">
        <f>IF(C108="","",SUMIFS(tbl_Finance[Ex GST],tbl_Finance[Job Number],C108&amp;""))</f>
        <v/>
      </c>
      <c r="I108" s="27">
        <f>IF(C108="","",SUMIFS(tbl_Finance[Ex GST],tbl_Finance[Job Number],C108&amp;"",tbl_Finance[Xero Invoice No],"&lt;&gt;"))</f>
        <v/>
      </c>
      <c r="J108" s="27">
        <f>IF(C108="","",H108-I108)</f>
        <v/>
      </c>
      <c r="K108" s="25">
        <f>IF(C108="","",IF(G108=0,"not invoiced yet",SUBSTITUTE(TRIM(IF(COUNTIFS(tbl_Finance[Job Number],C108&amp;"",tbl_Finance[Cost Centre],"ONSITE")&gt;0,"ONSITE ","")&amp;IF(COUNTIFS(tbl_Finance[Job Number],C108&amp;"",tbl_Finance[Cost Centre],"PRODUCTION")&gt;0,"PRODUCTION ","")&amp;IF(COUNTIFS(tbl_Finance[Job Number],C108&amp;"",tbl_Finance[Cost Centre],"VIDEO")&gt;0,"VIDEO ","")&amp;IF(COUNTIFS(tbl_Finance[Job Number],C108&amp;"",tbl_Finance[Cost Centre],"INTEGRATION")&gt;0,"INTEGRATION ","")&amp;IF(COUNTIFS(tbl_Finance[Job Number],C108&amp;"",tbl_Finance[Cost Centre],"CONSULTING")&gt;0,"CONSULTING ","")&amp;IF(COUNTIFS(tbl_Finance[Job Number],C108&amp;"",tbl_Finance[Cost Centre],"CTS")&gt;0,"CTS ",""))," ",", ")))</f>
        <v/>
      </c>
      <c r="L108" s="24" t="n"/>
      <c r="M108" s="24" t="n"/>
      <c r="N108" s="25">
        <f>IF(M108="","",HYPERLINK(IF(LEFT(M108,4)="http",M108,set_QwilrBase&amp;M108),"Open quote"))</f>
        <v/>
      </c>
      <c r="O108" s="64" t="n"/>
      <c r="P108" s="24" t="n"/>
      <c r="Q108" s="24" t="n"/>
    </row>
    <row r="109" ht="15" customHeight="1">
      <c r="A109" s="63">
        <f>IF(C109="","",IFERROR(IF(SUMPRODUCT(MAX((tbl_Finance[Job Number]=C109&amp;"")*(tbl_Finance[Xero Invoice No]&lt;&gt;"")*tbl_Finance[Date]))=0,"",SUMPRODUCT(MAX((tbl_Finance[Job Number]=C109&amp;"")*(tbl_Finance[Xero Invoice No]&lt;&gt;"")*tbl_Finance[Date]))),""))</f>
        <v/>
      </c>
      <c r="B109" s="25">
        <f>IF(C109="","",IF(COUNTIFS(tbl_Finance[Job Number],C109&amp;"",tbl_Finance[Xero Invoice No],"&lt;&gt;")=0,"",IFERROR(IF(COUNTIFS(tbl_Finance[Job Number],C109&amp;"",tbl_Finance[Xero Invoice No],LOOKUP(2,1/((tbl_Finance[Job Number]=C109&amp;"")*(tbl_Finance[Xero Invoice No]&lt;&gt;"")),tbl_Finance[Xero Invoice No]))=COUNTIFS(tbl_Finance[Job Number],C109&amp;"",tbl_Finance[Xero Invoice No],"&lt;&gt;"),LOOKUP(2,1/((tbl_Finance[Job Number]=C109&amp;"")*(tbl_Finance[Xero Invoice No]&lt;&gt;"")),tbl_Finance[Xero Invoice No]),LOOKUP(2,1/((tbl_Finance[Job Number]=C109&amp;"")*(tbl_Finance[Xero Invoice No]&lt;&gt;"")),tbl_Finance[Xero Invoice No])&amp;" +more"),"")))</f>
        <v/>
      </c>
      <c r="C109" s="24" t="n"/>
      <c r="D109" s="25">
        <f>IF(C109="","",IF(COUNTIF(lst_Jobs,C109&amp;"")&gt;0,"OK","CHECK"))</f>
        <v/>
      </c>
      <c r="E109" s="25">
        <f>IF(C109="","",IFERROR(INDEX(lst_JobName,MATCH(C109&amp;"",lst_Jobs,0)),""))</f>
        <v/>
      </c>
      <c r="F109" s="25">
        <f>IF(C109="","",IFERROR(INDEX(tbl_Finance[Client],MATCH(C109&amp;"",tbl_Finance[Job Number],0)),""))</f>
        <v/>
      </c>
      <c r="G109" s="28">
        <f>IF(C109="","",COUNTIFS(tbl_Finance[Job Number],C109&amp;"",tbl_Finance[Ex GST],"&lt;&gt;"))</f>
        <v/>
      </c>
      <c r="H109" s="27">
        <f>IF(C109="","",SUMIFS(tbl_Finance[Ex GST],tbl_Finance[Job Number],C109&amp;""))</f>
        <v/>
      </c>
      <c r="I109" s="27">
        <f>IF(C109="","",SUMIFS(tbl_Finance[Ex GST],tbl_Finance[Job Number],C109&amp;"",tbl_Finance[Xero Invoice No],"&lt;&gt;"))</f>
        <v/>
      </c>
      <c r="J109" s="27">
        <f>IF(C109="","",H109-I109)</f>
        <v/>
      </c>
      <c r="K109" s="25">
        <f>IF(C109="","",IF(G109=0,"not invoiced yet",SUBSTITUTE(TRIM(IF(COUNTIFS(tbl_Finance[Job Number],C109&amp;"",tbl_Finance[Cost Centre],"ONSITE")&gt;0,"ONSITE ","")&amp;IF(COUNTIFS(tbl_Finance[Job Number],C109&amp;"",tbl_Finance[Cost Centre],"PRODUCTION")&gt;0,"PRODUCTION ","")&amp;IF(COUNTIFS(tbl_Finance[Job Number],C109&amp;"",tbl_Finance[Cost Centre],"VIDEO")&gt;0,"VIDEO ","")&amp;IF(COUNTIFS(tbl_Finance[Job Number],C109&amp;"",tbl_Finance[Cost Centre],"INTEGRATION")&gt;0,"INTEGRATION ","")&amp;IF(COUNTIFS(tbl_Finance[Job Number],C109&amp;"",tbl_Finance[Cost Centre],"CONSULTING")&gt;0,"CONSULTING ","")&amp;IF(COUNTIFS(tbl_Finance[Job Number],C109&amp;"",tbl_Finance[Cost Centre],"CTS")&gt;0,"CTS ",""))," ",", ")))</f>
        <v/>
      </c>
      <c r="L109" s="24" t="n"/>
      <c r="M109" s="24" t="n"/>
      <c r="N109" s="25">
        <f>IF(M109="","",HYPERLINK(IF(LEFT(M109,4)="http",M109,set_QwilrBase&amp;M109),"Open quote"))</f>
        <v/>
      </c>
      <c r="O109" s="64" t="n"/>
      <c r="P109" s="24" t="n"/>
      <c r="Q109" s="24" t="n"/>
    </row>
    <row r="110" ht="15" customHeight="1">
      <c r="A110" s="63">
        <f>IF(C110="","",IFERROR(IF(SUMPRODUCT(MAX((tbl_Finance[Job Number]=C110&amp;"")*(tbl_Finance[Xero Invoice No]&lt;&gt;"")*tbl_Finance[Date]))=0,"",SUMPRODUCT(MAX((tbl_Finance[Job Number]=C110&amp;"")*(tbl_Finance[Xero Invoice No]&lt;&gt;"")*tbl_Finance[Date]))),""))</f>
        <v/>
      </c>
      <c r="B110" s="25">
        <f>IF(C110="","",IF(COUNTIFS(tbl_Finance[Job Number],C110&amp;"",tbl_Finance[Xero Invoice No],"&lt;&gt;")=0,"",IFERROR(IF(COUNTIFS(tbl_Finance[Job Number],C110&amp;"",tbl_Finance[Xero Invoice No],LOOKUP(2,1/((tbl_Finance[Job Number]=C110&amp;"")*(tbl_Finance[Xero Invoice No]&lt;&gt;"")),tbl_Finance[Xero Invoice No]))=COUNTIFS(tbl_Finance[Job Number],C110&amp;"",tbl_Finance[Xero Invoice No],"&lt;&gt;"),LOOKUP(2,1/((tbl_Finance[Job Number]=C110&amp;"")*(tbl_Finance[Xero Invoice No]&lt;&gt;"")),tbl_Finance[Xero Invoice No]),LOOKUP(2,1/((tbl_Finance[Job Number]=C110&amp;"")*(tbl_Finance[Xero Invoice No]&lt;&gt;"")),tbl_Finance[Xero Invoice No])&amp;" +more"),"")))</f>
        <v/>
      </c>
      <c r="C110" s="24" t="n"/>
      <c r="D110" s="25">
        <f>IF(C110="","",IF(COUNTIF(lst_Jobs,C110&amp;"")&gt;0,"OK","CHECK"))</f>
        <v/>
      </c>
      <c r="E110" s="25">
        <f>IF(C110="","",IFERROR(INDEX(lst_JobName,MATCH(C110&amp;"",lst_Jobs,0)),""))</f>
        <v/>
      </c>
      <c r="F110" s="25">
        <f>IF(C110="","",IFERROR(INDEX(tbl_Finance[Client],MATCH(C110&amp;"",tbl_Finance[Job Number],0)),""))</f>
        <v/>
      </c>
      <c r="G110" s="28">
        <f>IF(C110="","",COUNTIFS(tbl_Finance[Job Number],C110&amp;"",tbl_Finance[Ex GST],"&lt;&gt;"))</f>
        <v/>
      </c>
      <c r="H110" s="27">
        <f>IF(C110="","",SUMIFS(tbl_Finance[Ex GST],tbl_Finance[Job Number],C110&amp;""))</f>
        <v/>
      </c>
      <c r="I110" s="27">
        <f>IF(C110="","",SUMIFS(tbl_Finance[Ex GST],tbl_Finance[Job Number],C110&amp;"",tbl_Finance[Xero Invoice No],"&lt;&gt;"))</f>
        <v/>
      </c>
      <c r="J110" s="27">
        <f>IF(C110="","",H110-I110)</f>
        <v/>
      </c>
      <c r="K110" s="25">
        <f>IF(C110="","",IF(G110=0,"not invoiced yet",SUBSTITUTE(TRIM(IF(COUNTIFS(tbl_Finance[Job Number],C110&amp;"",tbl_Finance[Cost Centre],"ONSITE")&gt;0,"ONSITE ","")&amp;IF(COUNTIFS(tbl_Finance[Job Number],C110&amp;"",tbl_Finance[Cost Centre],"PRODUCTION")&gt;0,"PRODUCTION ","")&amp;IF(COUNTIFS(tbl_Finance[Job Number],C110&amp;"",tbl_Finance[Cost Centre],"VIDEO")&gt;0,"VIDEO ","")&amp;IF(COUNTIFS(tbl_Finance[Job Number],C110&amp;"",tbl_Finance[Cost Centre],"INTEGRATION")&gt;0,"INTEGRATION ","")&amp;IF(COUNTIFS(tbl_Finance[Job Number],C110&amp;"",tbl_Finance[Cost Centre],"CONSULTING")&gt;0,"CONSULTING ","")&amp;IF(COUNTIFS(tbl_Finance[Job Number],C110&amp;"",tbl_Finance[Cost Centre],"CTS")&gt;0,"CTS ",""))," ",", ")))</f>
        <v/>
      </c>
      <c r="L110" s="24" t="n"/>
      <c r="M110" s="24" t="n"/>
      <c r="N110" s="25">
        <f>IF(M110="","",HYPERLINK(IF(LEFT(M110,4)="http",M110,set_QwilrBase&amp;M110),"Open quote"))</f>
        <v/>
      </c>
      <c r="O110" s="64" t="n"/>
      <c r="P110" s="24" t="n"/>
      <c r="Q110" s="24" t="n"/>
    </row>
    <row r="111" ht="15" customHeight="1">
      <c r="A111" s="63">
        <f>IF(C111="","",IFERROR(IF(SUMPRODUCT(MAX((tbl_Finance[Job Number]=C111&amp;"")*(tbl_Finance[Xero Invoice No]&lt;&gt;"")*tbl_Finance[Date]))=0,"",SUMPRODUCT(MAX((tbl_Finance[Job Number]=C111&amp;"")*(tbl_Finance[Xero Invoice No]&lt;&gt;"")*tbl_Finance[Date]))),""))</f>
        <v/>
      </c>
      <c r="B111" s="25">
        <f>IF(C111="","",IF(COUNTIFS(tbl_Finance[Job Number],C111&amp;"",tbl_Finance[Xero Invoice No],"&lt;&gt;")=0,"",IFERROR(IF(COUNTIFS(tbl_Finance[Job Number],C111&amp;"",tbl_Finance[Xero Invoice No],LOOKUP(2,1/((tbl_Finance[Job Number]=C111&amp;"")*(tbl_Finance[Xero Invoice No]&lt;&gt;"")),tbl_Finance[Xero Invoice No]))=COUNTIFS(tbl_Finance[Job Number],C111&amp;"",tbl_Finance[Xero Invoice No],"&lt;&gt;"),LOOKUP(2,1/((tbl_Finance[Job Number]=C111&amp;"")*(tbl_Finance[Xero Invoice No]&lt;&gt;"")),tbl_Finance[Xero Invoice No]),LOOKUP(2,1/((tbl_Finance[Job Number]=C111&amp;"")*(tbl_Finance[Xero Invoice No]&lt;&gt;"")),tbl_Finance[Xero Invoice No])&amp;" +more"),"")))</f>
        <v/>
      </c>
      <c r="C111" s="24" t="n"/>
      <c r="D111" s="25">
        <f>IF(C111="","",IF(COUNTIF(lst_Jobs,C111&amp;"")&gt;0,"OK","CHECK"))</f>
        <v/>
      </c>
      <c r="E111" s="25">
        <f>IF(C111="","",IFERROR(INDEX(lst_JobName,MATCH(C111&amp;"",lst_Jobs,0)),""))</f>
        <v/>
      </c>
      <c r="F111" s="25">
        <f>IF(C111="","",IFERROR(INDEX(tbl_Finance[Client],MATCH(C111&amp;"",tbl_Finance[Job Number],0)),""))</f>
        <v/>
      </c>
      <c r="G111" s="28">
        <f>IF(C111="","",COUNTIFS(tbl_Finance[Job Number],C111&amp;"",tbl_Finance[Ex GST],"&lt;&gt;"))</f>
        <v/>
      </c>
      <c r="H111" s="27">
        <f>IF(C111="","",SUMIFS(tbl_Finance[Ex GST],tbl_Finance[Job Number],C111&amp;""))</f>
        <v/>
      </c>
      <c r="I111" s="27">
        <f>IF(C111="","",SUMIFS(tbl_Finance[Ex GST],tbl_Finance[Job Number],C111&amp;"",tbl_Finance[Xero Invoice No],"&lt;&gt;"))</f>
        <v/>
      </c>
      <c r="J111" s="27">
        <f>IF(C111="","",H111-I111)</f>
        <v/>
      </c>
      <c r="K111" s="25">
        <f>IF(C111="","",IF(G111=0,"not invoiced yet",SUBSTITUTE(TRIM(IF(COUNTIFS(tbl_Finance[Job Number],C111&amp;"",tbl_Finance[Cost Centre],"ONSITE")&gt;0,"ONSITE ","")&amp;IF(COUNTIFS(tbl_Finance[Job Number],C111&amp;"",tbl_Finance[Cost Centre],"PRODUCTION")&gt;0,"PRODUCTION ","")&amp;IF(COUNTIFS(tbl_Finance[Job Number],C111&amp;"",tbl_Finance[Cost Centre],"VIDEO")&gt;0,"VIDEO ","")&amp;IF(COUNTIFS(tbl_Finance[Job Number],C111&amp;"",tbl_Finance[Cost Centre],"INTEGRATION")&gt;0,"INTEGRATION ","")&amp;IF(COUNTIFS(tbl_Finance[Job Number],C111&amp;"",tbl_Finance[Cost Centre],"CONSULTING")&gt;0,"CONSULTING ","")&amp;IF(COUNTIFS(tbl_Finance[Job Number],C111&amp;"",tbl_Finance[Cost Centre],"CTS")&gt;0,"CTS ",""))," ",", ")))</f>
        <v/>
      </c>
      <c r="L111" s="24" t="n"/>
      <c r="M111" s="24" t="n"/>
      <c r="N111" s="25">
        <f>IF(M111="","",HYPERLINK(IF(LEFT(M111,4)="http",M111,set_QwilrBase&amp;M111),"Open quote"))</f>
        <v/>
      </c>
      <c r="O111" s="64" t="n"/>
      <c r="P111" s="24" t="n"/>
      <c r="Q111" s="24" t="n"/>
    </row>
    <row r="112" ht="15" customHeight="1">
      <c r="A112" s="63">
        <f>IF(C112="","",IFERROR(IF(SUMPRODUCT(MAX((tbl_Finance[Job Number]=C112&amp;"")*(tbl_Finance[Xero Invoice No]&lt;&gt;"")*tbl_Finance[Date]))=0,"",SUMPRODUCT(MAX((tbl_Finance[Job Number]=C112&amp;"")*(tbl_Finance[Xero Invoice No]&lt;&gt;"")*tbl_Finance[Date]))),""))</f>
        <v/>
      </c>
      <c r="B112" s="25">
        <f>IF(C112="","",IF(COUNTIFS(tbl_Finance[Job Number],C112&amp;"",tbl_Finance[Xero Invoice No],"&lt;&gt;")=0,"",IFERROR(IF(COUNTIFS(tbl_Finance[Job Number],C112&amp;"",tbl_Finance[Xero Invoice No],LOOKUP(2,1/((tbl_Finance[Job Number]=C112&amp;"")*(tbl_Finance[Xero Invoice No]&lt;&gt;"")),tbl_Finance[Xero Invoice No]))=COUNTIFS(tbl_Finance[Job Number],C112&amp;"",tbl_Finance[Xero Invoice No],"&lt;&gt;"),LOOKUP(2,1/((tbl_Finance[Job Number]=C112&amp;"")*(tbl_Finance[Xero Invoice No]&lt;&gt;"")),tbl_Finance[Xero Invoice No]),LOOKUP(2,1/((tbl_Finance[Job Number]=C112&amp;"")*(tbl_Finance[Xero Invoice No]&lt;&gt;"")),tbl_Finance[Xero Invoice No])&amp;" +more"),"")))</f>
        <v/>
      </c>
      <c r="C112" s="24" t="n"/>
      <c r="D112" s="25">
        <f>IF(C112="","",IF(COUNTIF(lst_Jobs,C112&amp;"")&gt;0,"OK","CHECK"))</f>
        <v/>
      </c>
      <c r="E112" s="25">
        <f>IF(C112="","",IFERROR(INDEX(lst_JobName,MATCH(C112&amp;"",lst_Jobs,0)),""))</f>
        <v/>
      </c>
      <c r="F112" s="25">
        <f>IF(C112="","",IFERROR(INDEX(tbl_Finance[Client],MATCH(C112&amp;"",tbl_Finance[Job Number],0)),""))</f>
        <v/>
      </c>
      <c r="G112" s="28">
        <f>IF(C112="","",COUNTIFS(tbl_Finance[Job Number],C112&amp;"",tbl_Finance[Ex GST],"&lt;&gt;"))</f>
        <v/>
      </c>
      <c r="H112" s="27">
        <f>IF(C112="","",SUMIFS(tbl_Finance[Ex GST],tbl_Finance[Job Number],C112&amp;""))</f>
        <v/>
      </c>
      <c r="I112" s="27">
        <f>IF(C112="","",SUMIFS(tbl_Finance[Ex GST],tbl_Finance[Job Number],C112&amp;"",tbl_Finance[Xero Invoice No],"&lt;&gt;"))</f>
        <v/>
      </c>
      <c r="J112" s="27">
        <f>IF(C112="","",H112-I112)</f>
        <v/>
      </c>
      <c r="K112" s="25">
        <f>IF(C112="","",IF(G112=0,"not invoiced yet",SUBSTITUTE(TRIM(IF(COUNTIFS(tbl_Finance[Job Number],C112&amp;"",tbl_Finance[Cost Centre],"ONSITE")&gt;0,"ONSITE ","")&amp;IF(COUNTIFS(tbl_Finance[Job Number],C112&amp;"",tbl_Finance[Cost Centre],"PRODUCTION")&gt;0,"PRODUCTION ","")&amp;IF(COUNTIFS(tbl_Finance[Job Number],C112&amp;"",tbl_Finance[Cost Centre],"VIDEO")&gt;0,"VIDEO ","")&amp;IF(COUNTIFS(tbl_Finance[Job Number],C112&amp;"",tbl_Finance[Cost Centre],"INTEGRATION")&gt;0,"INTEGRATION ","")&amp;IF(COUNTIFS(tbl_Finance[Job Number],C112&amp;"",tbl_Finance[Cost Centre],"CONSULTING")&gt;0,"CONSULTING ","")&amp;IF(COUNTIFS(tbl_Finance[Job Number],C112&amp;"",tbl_Finance[Cost Centre],"CTS")&gt;0,"CTS ",""))," ",", ")))</f>
        <v/>
      </c>
      <c r="L112" s="24" t="n"/>
      <c r="M112" s="24" t="n"/>
      <c r="N112" s="25">
        <f>IF(M112="","",HYPERLINK(IF(LEFT(M112,4)="http",M112,set_QwilrBase&amp;M112),"Open quote"))</f>
        <v/>
      </c>
      <c r="O112" s="64" t="n"/>
      <c r="P112" s="24" t="n"/>
      <c r="Q112" s="24" t="n"/>
    </row>
    <row r="113" ht="15" customHeight="1">
      <c r="A113" s="63">
        <f>IF(C113="","",IFERROR(IF(SUMPRODUCT(MAX((tbl_Finance[Job Number]=C113&amp;"")*(tbl_Finance[Xero Invoice No]&lt;&gt;"")*tbl_Finance[Date]))=0,"",SUMPRODUCT(MAX((tbl_Finance[Job Number]=C113&amp;"")*(tbl_Finance[Xero Invoice No]&lt;&gt;"")*tbl_Finance[Date]))),""))</f>
        <v/>
      </c>
      <c r="B113" s="25">
        <f>IF(C113="","",IF(COUNTIFS(tbl_Finance[Job Number],C113&amp;"",tbl_Finance[Xero Invoice No],"&lt;&gt;")=0,"",IFERROR(IF(COUNTIFS(tbl_Finance[Job Number],C113&amp;"",tbl_Finance[Xero Invoice No],LOOKUP(2,1/((tbl_Finance[Job Number]=C113&amp;"")*(tbl_Finance[Xero Invoice No]&lt;&gt;"")),tbl_Finance[Xero Invoice No]))=COUNTIFS(tbl_Finance[Job Number],C113&amp;"",tbl_Finance[Xero Invoice No],"&lt;&gt;"),LOOKUP(2,1/((tbl_Finance[Job Number]=C113&amp;"")*(tbl_Finance[Xero Invoice No]&lt;&gt;"")),tbl_Finance[Xero Invoice No]),LOOKUP(2,1/((tbl_Finance[Job Number]=C113&amp;"")*(tbl_Finance[Xero Invoice No]&lt;&gt;"")),tbl_Finance[Xero Invoice No])&amp;" +more"),"")))</f>
        <v/>
      </c>
      <c r="C113" s="24" t="n"/>
      <c r="D113" s="25">
        <f>IF(C113="","",IF(COUNTIF(lst_Jobs,C113&amp;"")&gt;0,"OK","CHECK"))</f>
        <v/>
      </c>
      <c r="E113" s="25">
        <f>IF(C113="","",IFERROR(INDEX(lst_JobName,MATCH(C113&amp;"",lst_Jobs,0)),""))</f>
        <v/>
      </c>
      <c r="F113" s="25">
        <f>IF(C113="","",IFERROR(INDEX(tbl_Finance[Client],MATCH(C113&amp;"",tbl_Finance[Job Number],0)),""))</f>
        <v/>
      </c>
      <c r="G113" s="28">
        <f>IF(C113="","",COUNTIFS(tbl_Finance[Job Number],C113&amp;"",tbl_Finance[Ex GST],"&lt;&gt;"))</f>
        <v/>
      </c>
      <c r="H113" s="27">
        <f>IF(C113="","",SUMIFS(tbl_Finance[Ex GST],tbl_Finance[Job Number],C113&amp;""))</f>
        <v/>
      </c>
      <c r="I113" s="27">
        <f>IF(C113="","",SUMIFS(tbl_Finance[Ex GST],tbl_Finance[Job Number],C113&amp;"",tbl_Finance[Xero Invoice No],"&lt;&gt;"))</f>
        <v/>
      </c>
      <c r="J113" s="27">
        <f>IF(C113="","",H113-I113)</f>
        <v/>
      </c>
      <c r="K113" s="25">
        <f>IF(C113="","",IF(G113=0,"not invoiced yet",SUBSTITUTE(TRIM(IF(COUNTIFS(tbl_Finance[Job Number],C113&amp;"",tbl_Finance[Cost Centre],"ONSITE")&gt;0,"ONSITE ","")&amp;IF(COUNTIFS(tbl_Finance[Job Number],C113&amp;"",tbl_Finance[Cost Centre],"PRODUCTION")&gt;0,"PRODUCTION ","")&amp;IF(COUNTIFS(tbl_Finance[Job Number],C113&amp;"",tbl_Finance[Cost Centre],"VIDEO")&gt;0,"VIDEO ","")&amp;IF(COUNTIFS(tbl_Finance[Job Number],C113&amp;"",tbl_Finance[Cost Centre],"INTEGRATION")&gt;0,"INTEGRATION ","")&amp;IF(COUNTIFS(tbl_Finance[Job Number],C113&amp;"",tbl_Finance[Cost Centre],"CONSULTING")&gt;0,"CONSULTING ","")&amp;IF(COUNTIFS(tbl_Finance[Job Number],C113&amp;"",tbl_Finance[Cost Centre],"CTS")&gt;0,"CTS ",""))," ",", ")))</f>
        <v/>
      </c>
      <c r="L113" s="24" t="n"/>
      <c r="M113" s="24" t="n"/>
      <c r="N113" s="25">
        <f>IF(M113="","",HYPERLINK(IF(LEFT(M113,4)="http",M113,set_QwilrBase&amp;M113),"Open quote"))</f>
        <v/>
      </c>
      <c r="O113" s="64" t="n"/>
      <c r="P113" s="24" t="n"/>
      <c r="Q113" s="24" t="n"/>
    </row>
    <row r="114" ht="15" customHeight="1">
      <c r="A114" s="63">
        <f>IF(C114="","",IFERROR(IF(SUMPRODUCT(MAX((tbl_Finance[Job Number]=C114&amp;"")*(tbl_Finance[Xero Invoice No]&lt;&gt;"")*tbl_Finance[Date]))=0,"",SUMPRODUCT(MAX((tbl_Finance[Job Number]=C114&amp;"")*(tbl_Finance[Xero Invoice No]&lt;&gt;"")*tbl_Finance[Date]))),""))</f>
        <v/>
      </c>
      <c r="B114" s="25">
        <f>IF(C114="","",IF(COUNTIFS(tbl_Finance[Job Number],C114&amp;"",tbl_Finance[Xero Invoice No],"&lt;&gt;")=0,"",IFERROR(IF(COUNTIFS(tbl_Finance[Job Number],C114&amp;"",tbl_Finance[Xero Invoice No],LOOKUP(2,1/((tbl_Finance[Job Number]=C114&amp;"")*(tbl_Finance[Xero Invoice No]&lt;&gt;"")),tbl_Finance[Xero Invoice No]))=COUNTIFS(tbl_Finance[Job Number],C114&amp;"",tbl_Finance[Xero Invoice No],"&lt;&gt;"),LOOKUP(2,1/((tbl_Finance[Job Number]=C114&amp;"")*(tbl_Finance[Xero Invoice No]&lt;&gt;"")),tbl_Finance[Xero Invoice No]),LOOKUP(2,1/((tbl_Finance[Job Number]=C114&amp;"")*(tbl_Finance[Xero Invoice No]&lt;&gt;"")),tbl_Finance[Xero Invoice No])&amp;" +more"),"")))</f>
        <v/>
      </c>
      <c r="C114" s="24" t="n"/>
      <c r="D114" s="25">
        <f>IF(C114="","",IF(COUNTIF(lst_Jobs,C114&amp;"")&gt;0,"OK","CHECK"))</f>
        <v/>
      </c>
      <c r="E114" s="25">
        <f>IF(C114="","",IFERROR(INDEX(lst_JobName,MATCH(C114&amp;"",lst_Jobs,0)),""))</f>
        <v/>
      </c>
      <c r="F114" s="25">
        <f>IF(C114="","",IFERROR(INDEX(tbl_Finance[Client],MATCH(C114&amp;"",tbl_Finance[Job Number],0)),""))</f>
        <v/>
      </c>
      <c r="G114" s="28">
        <f>IF(C114="","",COUNTIFS(tbl_Finance[Job Number],C114&amp;"",tbl_Finance[Ex GST],"&lt;&gt;"))</f>
        <v/>
      </c>
      <c r="H114" s="27">
        <f>IF(C114="","",SUMIFS(tbl_Finance[Ex GST],tbl_Finance[Job Number],C114&amp;""))</f>
        <v/>
      </c>
      <c r="I114" s="27">
        <f>IF(C114="","",SUMIFS(tbl_Finance[Ex GST],tbl_Finance[Job Number],C114&amp;"",tbl_Finance[Xero Invoice No],"&lt;&gt;"))</f>
        <v/>
      </c>
      <c r="J114" s="27">
        <f>IF(C114="","",H114-I114)</f>
        <v/>
      </c>
      <c r="K114" s="25">
        <f>IF(C114="","",IF(G114=0,"not invoiced yet",SUBSTITUTE(TRIM(IF(COUNTIFS(tbl_Finance[Job Number],C114&amp;"",tbl_Finance[Cost Centre],"ONSITE")&gt;0,"ONSITE ","")&amp;IF(COUNTIFS(tbl_Finance[Job Number],C114&amp;"",tbl_Finance[Cost Centre],"PRODUCTION")&gt;0,"PRODUCTION ","")&amp;IF(COUNTIFS(tbl_Finance[Job Number],C114&amp;"",tbl_Finance[Cost Centre],"VIDEO")&gt;0,"VIDEO ","")&amp;IF(COUNTIFS(tbl_Finance[Job Number],C114&amp;"",tbl_Finance[Cost Centre],"INTEGRATION")&gt;0,"INTEGRATION ","")&amp;IF(COUNTIFS(tbl_Finance[Job Number],C114&amp;"",tbl_Finance[Cost Centre],"CONSULTING")&gt;0,"CONSULTING ","")&amp;IF(COUNTIFS(tbl_Finance[Job Number],C114&amp;"",tbl_Finance[Cost Centre],"CTS")&gt;0,"CTS ",""))," ",", ")))</f>
        <v/>
      </c>
      <c r="L114" s="24" t="n"/>
      <c r="M114" s="24" t="n"/>
      <c r="N114" s="25">
        <f>IF(M114="","",HYPERLINK(IF(LEFT(M114,4)="http",M114,set_QwilrBase&amp;M114),"Open quote"))</f>
        <v/>
      </c>
      <c r="O114" s="64" t="n"/>
      <c r="P114" s="24" t="n"/>
      <c r="Q114" s="24" t="n"/>
    </row>
    <row r="115" ht="15" customHeight="1">
      <c r="A115" s="63">
        <f>IF(C115="","",IFERROR(IF(SUMPRODUCT(MAX((tbl_Finance[Job Number]=C115&amp;"")*(tbl_Finance[Xero Invoice No]&lt;&gt;"")*tbl_Finance[Date]))=0,"",SUMPRODUCT(MAX((tbl_Finance[Job Number]=C115&amp;"")*(tbl_Finance[Xero Invoice No]&lt;&gt;"")*tbl_Finance[Date]))),""))</f>
        <v/>
      </c>
      <c r="B115" s="25">
        <f>IF(C115="","",IF(COUNTIFS(tbl_Finance[Job Number],C115&amp;"",tbl_Finance[Xero Invoice No],"&lt;&gt;")=0,"",IFERROR(IF(COUNTIFS(tbl_Finance[Job Number],C115&amp;"",tbl_Finance[Xero Invoice No],LOOKUP(2,1/((tbl_Finance[Job Number]=C115&amp;"")*(tbl_Finance[Xero Invoice No]&lt;&gt;"")),tbl_Finance[Xero Invoice No]))=COUNTIFS(tbl_Finance[Job Number],C115&amp;"",tbl_Finance[Xero Invoice No],"&lt;&gt;"),LOOKUP(2,1/((tbl_Finance[Job Number]=C115&amp;"")*(tbl_Finance[Xero Invoice No]&lt;&gt;"")),tbl_Finance[Xero Invoice No]),LOOKUP(2,1/((tbl_Finance[Job Number]=C115&amp;"")*(tbl_Finance[Xero Invoice No]&lt;&gt;"")),tbl_Finance[Xero Invoice No])&amp;" +more"),"")))</f>
        <v/>
      </c>
      <c r="C115" s="24" t="n"/>
      <c r="D115" s="25">
        <f>IF(C115="","",IF(COUNTIF(lst_Jobs,C115&amp;"")&gt;0,"OK","CHECK"))</f>
        <v/>
      </c>
      <c r="E115" s="25">
        <f>IF(C115="","",IFERROR(INDEX(lst_JobName,MATCH(C115&amp;"",lst_Jobs,0)),""))</f>
        <v/>
      </c>
      <c r="F115" s="25">
        <f>IF(C115="","",IFERROR(INDEX(tbl_Finance[Client],MATCH(C115&amp;"",tbl_Finance[Job Number],0)),""))</f>
        <v/>
      </c>
      <c r="G115" s="28">
        <f>IF(C115="","",COUNTIFS(tbl_Finance[Job Number],C115&amp;"",tbl_Finance[Ex GST],"&lt;&gt;"))</f>
        <v/>
      </c>
      <c r="H115" s="27">
        <f>IF(C115="","",SUMIFS(tbl_Finance[Ex GST],tbl_Finance[Job Number],C115&amp;""))</f>
        <v/>
      </c>
      <c r="I115" s="27">
        <f>IF(C115="","",SUMIFS(tbl_Finance[Ex GST],tbl_Finance[Job Number],C115&amp;"",tbl_Finance[Xero Invoice No],"&lt;&gt;"))</f>
        <v/>
      </c>
      <c r="J115" s="27">
        <f>IF(C115="","",H115-I115)</f>
        <v/>
      </c>
      <c r="K115" s="25">
        <f>IF(C115="","",IF(G115=0,"not invoiced yet",SUBSTITUTE(TRIM(IF(COUNTIFS(tbl_Finance[Job Number],C115&amp;"",tbl_Finance[Cost Centre],"ONSITE")&gt;0,"ONSITE ","")&amp;IF(COUNTIFS(tbl_Finance[Job Number],C115&amp;"",tbl_Finance[Cost Centre],"PRODUCTION")&gt;0,"PRODUCTION ","")&amp;IF(COUNTIFS(tbl_Finance[Job Number],C115&amp;"",tbl_Finance[Cost Centre],"VIDEO")&gt;0,"VIDEO ","")&amp;IF(COUNTIFS(tbl_Finance[Job Number],C115&amp;"",tbl_Finance[Cost Centre],"INTEGRATION")&gt;0,"INTEGRATION ","")&amp;IF(COUNTIFS(tbl_Finance[Job Number],C115&amp;"",tbl_Finance[Cost Centre],"CONSULTING")&gt;0,"CONSULTING ","")&amp;IF(COUNTIFS(tbl_Finance[Job Number],C115&amp;"",tbl_Finance[Cost Centre],"CTS")&gt;0,"CTS ",""))," ",", ")))</f>
        <v/>
      </c>
      <c r="L115" s="24" t="n"/>
      <c r="M115" s="24" t="n"/>
      <c r="N115" s="25">
        <f>IF(M115="","",HYPERLINK(IF(LEFT(M115,4)="http",M115,set_QwilrBase&amp;M115),"Open quote"))</f>
        <v/>
      </c>
      <c r="O115" s="64" t="n"/>
      <c r="P115" s="24" t="n"/>
      <c r="Q115" s="24" t="n"/>
    </row>
    <row r="116" ht="15" customHeight="1">
      <c r="A116" s="63">
        <f>IF(C116="","",IFERROR(IF(SUMPRODUCT(MAX((tbl_Finance[Job Number]=C116&amp;"")*(tbl_Finance[Xero Invoice No]&lt;&gt;"")*tbl_Finance[Date]))=0,"",SUMPRODUCT(MAX((tbl_Finance[Job Number]=C116&amp;"")*(tbl_Finance[Xero Invoice No]&lt;&gt;"")*tbl_Finance[Date]))),""))</f>
        <v/>
      </c>
      <c r="B116" s="25">
        <f>IF(C116="","",IF(COUNTIFS(tbl_Finance[Job Number],C116&amp;"",tbl_Finance[Xero Invoice No],"&lt;&gt;")=0,"",IFERROR(IF(COUNTIFS(tbl_Finance[Job Number],C116&amp;"",tbl_Finance[Xero Invoice No],LOOKUP(2,1/((tbl_Finance[Job Number]=C116&amp;"")*(tbl_Finance[Xero Invoice No]&lt;&gt;"")),tbl_Finance[Xero Invoice No]))=COUNTIFS(tbl_Finance[Job Number],C116&amp;"",tbl_Finance[Xero Invoice No],"&lt;&gt;"),LOOKUP(2,1/((tbl_Finance[Job Number]=C116&amp;"")*(tbl_Finance[Xero Invoice No]&lt;&gt;"")),tbl_Finance[Xero Invoice No]),LOOKUP(2,1/((tbl_Finance[Job Number]=C116&amp;"")*(tbl_Finance[Xero Invoice No]&lt;&gt;"")),tbl_Finance[Xero Invoice No])&amp;" +more"),"")))</f>
        <v/>
      </c>
      <c r="C116" s="24" t="n"/>
      <c r="D116" s="25">
        <f>IF(C116="","",IF(COUNTIF(lst_Jobs,C116&amp;"")&gt;0,"OK","CHECK"))</f>
        <v/>
      </c>
      <c r="E116" s="25">
        <f>IF(C116="","",IFERROR(INDEX(lst_JobName,MATCH(C116&amp;"",lst_Jobs,0)),""))</f>
        <v/>
      </c>
      <c r="F116" s="25">
        <f>IF(C116="","",IFERROR(INDEX(tbl_Finance[Client],MATCH(C116&amp;"",tbl_Finance[Job Number],0)),""))</f>
        <v/>
      </c>
      <c r="G116" s="28">
        <f>IF(C116="","",COUNTIFS(tbl_Finance[Job Number],C116&amp;"",tbl_Finance[Ex GST],"&lt;&gt;"))</f>
        <v/>
      </c>
      <c r="H116" s="27">
        <f>IF(C116="","",SUMIFS(tbl_Finance[Ex GST],tbl_Finance[Job Number],C116&amp;""))</f>
        <v/>
      </c>
      <c r="I116" s="27">
        <f>IF(C116="","",SUMIFS(tbl_Finance[Ex GST],tbl_Finance[Job Number],C116&amp;"",tbl_Finance[Xero Invoice No],"&lt;&gt;"))</f>
        <v/>
      </c>
      <c r="J116" s="27">
        <f>IF(C116="","",H116-I116)</f>
        <v/>
      </c>
      <c r="K116" s="25">
        <f>IF(C116="","",IF(G116=0,"not invoiced yet",SUBSTITUTE(TRIM(IF(COUNTIFS(tbl_Finance[Job Number],C116&amp;"",tbl_Finance[Cost Centre],"ONSITE")&gt;0,"ONSITE ","")&amp;IF(COUNTIFS(tbl_Finance[Job Number],C116&amp;"",tbl_Finance[Cost Centre],"PRODUCTION")&gt;0,"PRODUCTION ","")&amp;IF(COUNTIFS(tbl_Finance[Job Number],C116&amp;"",tbl_Finance[Cost Centre],"VIDEO")&gt;0,"VIDEO ","")&amp;IF(COUNTIFS(tbl_Finance[Job Number],C116&amp;"",tbl_Finance[Cost Centre],"INTEGRATION")&gt;0,"INTEGRATION ","")&amp;IF(COUNTIFS(tbl_Finance[Job Number],C116&amp;"",tbl_Finance[Cost Centre],"CONSULTING")&gt;0,"CONSULTING ","")&amp;IF(COUNTIFS(tbl_Finance[Job Number],C116&amp;"",tbl_Finance[Cost Centre],"CTS")&gt;0,"CTS ",""))," ",", ")))</f>
        <v/>
      </c>
      <c r="L116" s="24" t="n"/>
      <c r="M116" s="24" t="n"/>
      <c r="N116" s="25">
        <f>IF(M116="","",HYPERLINK(IF(LEFT(M116,4)="http",M116,set_QwilrBase&amp;M116),"Open quote"))</f>
        <v/>
      </c>
      <c r="O116" s="64" t="n"/>
      <c r="P116" s="24" t="n"/>
      <c r="Q116" s="24" t="n"/>
    </row>
    <row r="117" ht="15" customHeight="1">
      <c r="A117" s="63">
        <f>IF(C117="","",IFERROR(IF(SUMPRODUCT(MAX((tbl_Finance[Job Number]=C117&amp;"")*(tbl_Finance[Xero Invoice No]&lt;&gt;"")*tbl_Finance[Date]))=0,"",SUMPRODUCT(MAX((tbl_Finance[Job Number]=C117&amp;"")*(tbl_Finance[Xero Invoice No]&lt;&gt;"")*tbl_Finance[Date]))),""))</f>
        <v/>
      </c>
      <c r="B117" s="25">
        <f>IF(C117="","",IF(COUNTIFS(tbl_Finance[Job Number],C117&amp;"",tbl_Finance[Xero Invoice No],"&lt;&gt;")=0,"",IFERROR(IF(COUNTIFS(tbl_Finance[Job Number],C117&amp;"",tbl_Finance[Xero Invoice No],LOOKUP(2,1/((tbl_Finance[Job Number]=C117&amp;"")*(tbl_Finance[Xero Invoice No]&lt;&gt;"")),tbl_Finance[Xero Invoice No]))=COUNTIFS(tbl_Finance[Job Number],C117&amp;"",tbl_Finance[Xero Invoice No],"&lt;&gt;"),LOOKUP(2,1/((tbl_Finance[Job Number]=C117&amp;"")*(tbl_Finance[Xero Invoice No]&lt;&gt;"")),tbl_Finance[Xero Invoice No]),LOOKUP(2,1/((tbl_Finance[Job Number]=C117&amp;"")*(tbl_Finance[Xero Invoice No]&lt;&gt;"")),tbl_Finance[Xero Invoice No])&amp;" +more"),"")))</f>
        <v/>
      </c>
      <c r="C117" s="24" t="n"/>
      <c r="D117" s="25">
        <f>IF(C117="","",IF(COUNTIF(lst_Jobs,C117&amp;"")&gt;0,"OK","CHECK"))</f>
        <v/>
      </c>
      <c r="E117" s="25">
        <f>IF(C117="","",IFERROR(INDEX(lst_JobName,MATCH(C117&amp;"",lst_Jobs,0)),""))</f>
        <v/>
      </c>
      <c r="F117" s="25">
        <f>IF(C117="","",IFERROR(INDEX(tbl_Finance[Client],MATCH(C117&amp;"",tbl_Finance[Job Number],0)),""))</f>
        <v/>
      </c>
      <c r="G117" s="28">
        <f>IF(C117="","",COUNTIFS(tbl_Finance[Job Number],C117&amp;"",tbl_Finance[Ex GST],"&lt;&gt;"))</f>
        <v/>
      </c>
      <c r="H117" s="27">
        <f>IF(C117="","",SUMIFS(tbl_Finance[Ex GST],tbl_Finance[Job Number],C117&amp;""))</f>
        <v/>
      </c>
      <c r="I117" s="27">
        <f>IF(C117="","",SUMIFS(tbl_Finance[Ex GST],tbl_Finance[Job Number],C117&amp;"",tbl_Finance[Xero Invoice No],"&lt;&gt;"))</f>
        <v/>
      </c>
      <c r="J117" s="27">
        <f>IF(C117="","",H117-I117)</f>
        <v/>
      </c>
      <c r="K117" s="25">
        <f>IF(C117="","",IF(G117=0,"not invoiced yet",SUBSTITUTE(TRIM(IF(COUNTIFS(tbl_Finance[Job Number],C117&amp;"",tbl_Finance[Cost Centre],"ONSITE")&gt;0,"ONSITE ","")&amp;IF(COUNTIFS(tbl_Finance[Job Number],C117&amp;"",tbl_Finance[Cost Centre],"PRODUCTION")&gt;0,"PRODUCTION ","")&amp;IF(COUNTIFS(tbl_Finance[Job Number],C117&amp;"",tbl_Finance[Cost Centre],"VIDEO")&gt;0,"VIDEO ","")&amp;IF(COUNTIFS(tbl_Finance[Job Number],C117&amp;"",tbl_Finance[Cost Centre],"INTEGRATION")&gt;0,"INTEGRATION ","")&amp;IF(COUNTIFS(tbl_Finance[Job Number],C117&amp;"",tbl_Finance[Cost Centre],"CONSULTING")&gt;0,"CONSULTING ","")&amp;IF(COUNTIFS(tbl_Finance[Job Number],C117&amp;"",tbl_Finance[Cost Centre],"CTS")&gt;0,"CTS ",""))," ",", ")))</f>
        <v/>
      </c>
      <c r="L117" s="24" t="n"/>
      <c r="M117" s="24" t="n"/>
      <c r="N117" s="25">
        <f>IF(M117="","",HYPERLINK(IF(LEFT(M117,4)="http",M117,set_QwilrBase&amp;M117),"Open quote"))</f>
        <v/>
      </c>
      <c r="O117" s="64" t="n"/>
      <c r="P117" s="24" t="n"/>
      <c r="Q117" s="24" t="n"/>
    </row>
    <row r="118" ht="15" customHeight="1">
      <c r="A118" s="63">
        <f>IF(C118="","",IFERROR(IF(SUMPRODUCT(MAX((tbl_Finance[Job Number]=C118&amp;"")*(tbl_Finance[Xero Invoice No]&lt;&gt;"")*tbl_Finance[Date]))=0,"",SUMPRODUCT(MAX((tbl_Finance[Job Number]=C118&amp;"")*(tbl_Finance[Xero Invoice No]&lt;&gt;"")*tbl_Finance[Date]))),""))</f>
        <v/>
      </c>
      <c r="B118" s="25">
        <f>IF(C118="","",IF(COUNTIFS(tbl_Finance[Job Number],C118&amp;"",tbl_Finance[Xero Invoice No],"&lt;&gt;")=0,"",IFERROR(IF(COUNTIFS(tbl_Finance[Job Number],C118&amp;"",tbl_Finance[Xero Invoice No],LOOKUP(2,1/((tbl_Finance[Job Number]=C118&amp;"")*(tbl_Finance[Xero Invoice No]&lt;&gt;"")),tbl_Finance[Xero Invoice No]))=COUNTIFS(tbl_Finance[Job Number],C118&amp;"",tbl_Finance[Xero Invoice No],"&lt;&gt;"),LOOKUP(2,1/((tbl_Finance[Job Number]=C118&amp;"")*(tbl_Finance[Xero Invoice No]&lt;&gt;"")),tbl_Finance[Xero Invoice No]),LOOKUP(2,1/((tbl_Finance[Job Number]=C118&amp;"")*(tbl_Finance[Xero Invoice No]&lt;&gt;"")),tbl_Finance[Xero Invoice No])&amp;" +more"),"")))</f>
        <v/>
      </c>
      <c r="C118" s="24" t="n"/>
      <c r="D118" s="25">
        <f>IF(C118="","",IF(COUNTIF(lst_Jobs,C118&amp;"")&gt;0,"OK","CHECK"))</f>
        <v/>
      </c>
      <c r="E118" s="25">
        <f>IF(C118="","",IFERROR(INDEX(lst_JobName,MATCH(C118&amp;"",lst_Jobs,0)),""))</f>
        <v/>
      </c>
      <c r="F118" s="25">
        <f>IF(C118="","",IFERROR(INDEX(tbl_Finance[Client],MATCH(C118&amp;"",tbl_Finance[Job Number],0)),""))</f>
        <v/>
      </c>
      <c r="G118" s="28">
        <f>IF(C118="","",COUNTIFS(tbl_Finance[Job Number],C118&amp;"",tbl_Finance[Ex GST],"&lt;&gt;"))</f>
        <v/>
      </c>
      <c r="H118" s="27">
        <f>IF(C118="","",SUMIFS(tbl_Finance[Ex GST],tbl_Finance[Job Number],C118&amp;""))</f>
        <v/>
      </c>
      <c r="I118" s="27">
        <f>IF(C118="","",SUMIFS(tbl_Finance[Ex GST],tbl_Finance[Job Number],C118&amp;"",tbl_Finance[Xero Invoice No],"&lt;&gt;"))</f>
        <v/>
      </c>
      <c r="J118" s="27">
        <f>IF(C118="","",H118-I118)</f>
        <v/>
      </c>
      <c r="K118" s="25">
        <f>IF(C118="","",IF(G118=0,"not invoiced yet",SUBSTITUTE(TRIM(IF(COUNTIFS(tbl_Finance[Job Number],C118&amp;"",tbl_Finance[Cost Centre],"ONSITE")&gt;0,"ONSITE ","")&amp;IF(COUNTIFS(tbl_Finance[Job Number],C118&amp;"",tbl_Finance[Cost Centre],"PRODUCTION")&gt;0,"PRODUCTION ","")&amp;IF(COUNTIFS(tbl_Finance[Job Number],C118&amp;"",tbl_Finance[Cost Centre],"VIDEO")&gt;0,"VIDEO ","")&amp;IF(COUNTIFS(tbl_Finance[Job Number],C118&amp;"",tbl_Finance[Cost Centre],"INTEGRATION")&gt;0,"INTEGRATION ","")&amp;IF(COUNTIFS(tbl_Finance[Job Number],C118&amp;"",tbl_Finance[Cost Centre],"CONSULTING")&gt;0,"CONSULTING ","")&amp;IF(COUNTIFS(tbl_Finance[Job Number],C118&amp;"",tbl_Finance[Cost Centre],"CTS")&gt;0,"CTS ",""))," ",", ")))</f>
        <v/>
      </c>
      <c r="L118" s="24" t="n"/>
      <c r="M118" s="24" t="n"/>
      <c r="N118" s="25">
        <f>IF(M118="","",HYPERLINK(IF(LEFT(M118,4)="http",M118,set_QwilrBase&amp;M118),"Open quote"))</f>
        <v/>
      </c>
      <c r="O118" s="64" t="n"/>
      <c r="P118" s="24" t="n"/>
      <c r="Q118" s="24" t="n"/>
    </row>
    <row r="119" ht="15" customHeight="1">
      <c r="A119" s="63">
        <f>IF(C119="","",IFERROR(IF(SUMPRODUCT(MAX((tbl_Finance[Job Number]=C119&amp;"")*(tbl_Finance[Xero Invoice No]&lt;&gt;"")*tbl_Finance[Date]))=0,"",SUMPRODUCT(MAX((tbl_Finance[Job Number]=C119&amp;"")*(tbl_Finance[Xero Invoice No]&lt;&gt;"")*tbl_Finance[Date]))),""))</f>
        <v/>
      </c>
      <c r="B119" s="25">
        <f>IF(C119="","",IF(COUNTIFS(tbl_Finance[Job Number],C119&amp;"",tbl_Finance[Xero Invoice No],"&lt;&gt;")=0,"",IFERROR(IF(COUNTIFS(tbl_Finance[Job Number],C119&amp;"",tbl_Finance[Xero Invoice No],LOOKUP(2,1/((tbl_Finance[Job Number]=C119&amp;"")*(tbl_Finance[Xero Invoice No]&lt;&gt;"")),tbl_Finance[Xero Invoice No]))=COUNTIFS(tbl_Finance[Job Number],C119&amp;"",tbl_Finance[Xero Invoice No],"&lt;&gt;"),LOOKUP(2,1/((tbl_Finance[Job Number]=C119&amp;"")*(tbl_Finance[Xero Invoice No]&lt;&gt;"")),tbl_Finance[Xero Invoice No]),LOOKUP(2,1/((tbl_Finance[Job Number]=C119&amp;"")*(tbl_Finance[Xero Invoice No]&lt;&gt;"")),tbl_Finance[Xero Invoice No])&amp;" +more"),"")))</f>
        <v/>
      </c>
      <c r="C119" s="24" t="n"/>
      <c r="D119" s="25">
        <f>IF(C119="","",IF(COUNTIF(lst_Jobs,C119&amp;"")&gt;0,"OK","CHECK"))</f>
        <v/>
      </c>
      <c r="E119" s="25">
        <f>IF(C119="","",IFERROR(INDEX(lst_JobName,MATCH(C119&amp;"",lst_Jobs,0)),""))</f>
        <v/>
      </c>
      <c r="F119" s="25">
        <f>IF(C119="","",IFERROR(INDEX(tbl_Finance[Client],MATCH(C119&amp;"",tbl_Finance[Job Number],0)),""))</f>
        <v/>
      </c>
      <c r="G119" s="28">
        <f>IF(C119="","",COUNTIFS(tbl_Finance[Job Number],C119&amp;"",tbl_Finance[Ex GST],"&lt;&gt;"))</f>
        <v/>
      </c>
      <c r="H119" s="27">
        <f>IF(C119="","",SUMIFS(tbl_Finance[Ex GST],tbl_Finance[Job Number],C119&amp;""))</f>
        <v/>
      </c>
      <c r="I119" s="27">
        <f>IF(C119="","",SUMIFS(tbl_Finance[Ex GST],tbl_Finance[Job Number],C119&amp;"",tbl_Finance[Xero Invoice No],"&lt;&gt;"))</f>
        <v/>
      </c>
      <c r="J119" s="27">
        <f>IF(C119="","",H119-I119)</f>
        <v/>
      </c>
      <c r="K119" s="25">
        <f>IF(C119="","",IF(G119=0,"not invoiced yet",SUBSTITUTE(TRIM(IF(COUNTIFS(tbl_Finance[Job Number],C119&amp;"",tbl_Finance[Cost Centre],"ONSITE")&gt;0,"ONSITE ","")&amp;IF(COUNTIFS(tbl_Finance[Job Number],C119&amp;"",tbl_Finance[Cost Centre],"PRODUCTION")&gt;0,"PRODUCTION ","")&amp;IF(COUNTIFS(tbl_Finance[Job Number],C119&amp;"",tbl_Finance[Cost Centre],"VIDEO")&gt;0,"VIDEO ","")&amp;IF(COUNTIFS(tbl_Finance[Job Number],C119&amp;"",tbl_Finance[Cost Centre],"INTEGRATION")&gt;0,"INTEGRATION ","")&amp;IF(COUNTIFS(tbl_Finance[Job Number],C119&amp;"",tbl_Finance[Cost Centre],"CONSULTING")&gt;0,"CONSULTING ","")&amp;IF(COUNTIFS(tbl_Finance[Job Number],C119&amp;"",tbl_Finance[Cost Centre],"CTS")&gt;0,"CTS ",""))," ",", ")))</f>
        <v/>
      </c>
      <c r="L119" s="24" t="n"/>
      <c r="M119" s="24" t="n"/>
      <c r="N119" s="25">
        <f>IF(M119="","",HYPERLINK(IF(LEFT(M119,4)="http",M119,set_QwilrBase&amp;M119),"Open quote"))</f>
        <v/>
      </c>
      <c r="O119" s="64" t="n"/>
      <c r="P119" s="24" t="n"/>
      <c r="Q119" s="24" t="n"/>
    </row>
    <row r="120" ht="15" customHeight="1">
      <c r="A120" s="63">
        <f>IF(C120="","",IFERROR(IF(SUMPRODUCT(MAX((tbl_Finance[Job Number]=C120&amp;"")*(tbl_Finance[Xero Invoice No]&lt;&gt;"")*tbl_Finance[Date]))=0,"",SUMPRODUCT(MAX((tbl_Finance[Job Number]=C120&amp;"")*(tbl_Finance[Xero Invoice No]&lt;&gt;"")*tbl_Finance[Date]))),""))</f>
        <v/>
      </c>
      <c r="B120" s="25">
        <f>IF(C120="","",IF(COUNTIFS(tbl_Finance[Job Number],C120&amp;"",tbl_Finance[Xero Invoice No],"&lt;&gt;")=0,"",IFERROR(IF(COUNTIFS(tbl_Finance[Job Number],C120&amp;"",tbl_Finance[Xero Invoice No],LOOKUP(2,1/((tbl_Finance[Job Number]=C120&amp;"")*(tbl_Finance[Xero Invoice No]&lt;&gt;"")),tbl_Finance[Xero Invoice No]))=COUNTIFS(tbl_Finance[Job Number],C120&amp;"",tbl_Finance[Xero Invoice No],"&lt;&gt;"),LOOKUP(2,1/((tbl_Finance[Job Number]=C120&amp;"")*(tbl_Finance[Xero Invoice No]&lt;&gt;"")),tbl_Finance[Xero Invoice No]),LOOKUP(2,1/((tbl_Finance[Job Number]=C120&amp;"")*(tbl_Finance[Xero Invoice No]&lt;&gt;"")),tbl_Finance[Xero Invoice No])&amp;" +more"),"")))</f>
        <v/>
      </c>
      <c r="C120" s="24" t="n"/>
      <c r="D120" s="25">
        <f>IF(C120="","",IF(COUNTIF(lst_Jobs,C120&amp;"")&gt;0,"OK","CHECK"))</f>
        <v/>
      </c>
      <c r="E120" s="25">
        <f>IF(C120="","",IFERROR(INDEX(lst_JobName,MATCH(C120&amp;"",lst_Jobs,0)),""))</f>
        <v/>
      </c>
      <c r="F120" s="25">
        <f>IF(C120="","",IFERROR(INDEX(tbl_Finance[Client],MATCH(C120&amp;"",tbl_Finance[Job Number],0)),""))</f>
        <v/>
      </c>
      <c r="G120" s="28">
        <f>IF(C120="","",COUNTIFS(tbl_Finance[Job Number],C120&amp;"",tbl_Finance[Ex GST],"&lt;&gt;"))</f>
        <v/>
      </c>
      <c r="H120" s="27">
        <f>IF(C120="","",SUMIFS(tbl_Finance[Ex GST],tbl_Finance[Job Number],C120&amp;""))</f>
        <v/>
      </c>
      <c r="I120" s="27">
        <f>IF(C120="","",SUMIFS(tbl_Finance[Ex GST],tbl_Finance[Job Number],C120&amp;"",tbl_Finance[Xero Invoice No],"&lt;&gt;"))</f>
        <v/>
      </c>
      <c r="J120" s="27">
        <f>IF(C120="","",H120-I120)</f>
        <v/>
      </c>
      <c r="K120" s="25">
        <f>IF(C120="","",IF(G120=0,"not invoiced yet",SUBSTITUTE(TRIM(IF(COUNTIFS(tbl_Finance[Job Number],C120&amp;"",tbl_Finance[Cost Centre],"ONSITE")&gt;0,"ONSITE ","")&amp;IF(COUNTIFS(tbl_Finance[Job Number],C120&amp;"",tbl_Finance[Cost Centre],"PRODUCTION")&gt;0,"PRODUCTION ","")&amp;IF(COUNTIFS(tbl_Finance[Job Number],C120&amp;"",tbl_Finance[Cost Centre],"VIDEO")&gt;0,"VIDEO ","")&amp;IF(COUNTIFS(tbl_Finance[Job Number],C120&amp;"",tbl_Finance[Cost Centre],"INTEGRATION")&gt;0,"INTEGRATION ","")&amp;IF(COUNTIFS(tbl_Finance[Job Number],C120&amp;"",tbl_Finance[Cost Centre],"CONSULTING")&gt;0,"CONSULTING ","")&amp;IF(COUNTIFS(tbl_Finance[Job Number],C120&amp;"",tbl_Finance[Cost Centre],"CTS")&gt;0,"CTS ",""))," ",", ")))</f>
        <v/>
      </c>
      <c r="L120" s="24" t="n"/>
      <c r="M120" s="24" t="n"/>
      <c r="N120" s="25">
        <f>IF(M120="","",HYPERLINK(IF(LEFT(M120,4)="http",M120,set_QwilrBase&amp;M120),"Open quote"))</f>
        <v/>
      </c>
      <c r="O120" s="64" t="n"/>
      <c r="P120" s="24" t="n"/>
      <c r="Q120" s="24" t="n"/>
    </row>
    <row r="121" ht="15" customHeight="1">
      <c r="A121" s="63">
        <f>IF(C121="","",IFERROR(IF(SUMPRODUCT(MAX((tbl_Finance[Job Number]=C121&amp;"")*(tbl_Finance[Xero Invoice No]&lt;&gt;"")*tbl_Finance[Date]))=0,"",SUMPRODUCT(MAX((tbl_Finance[Job Number]=C121&amp;"")*(tbl_Finance[Xero Invoice No]&lt;&gt;"")*tbl_Finance[Date]))),""))</f>
        <v/>
      </c>
      <c r="B121" s="25">
        <f>IF(C121="","",IF(COUNTIFS(tbl_Finance[Job Number],C121&amp;"",tbl_Finance[Xero Invoice No],"&lt;&gt;")=0,"",IFERROR(IF(COUNTIFS(tbl_Finance[Job Number],C121&amp;"",tbl_Finance[Xero Invoice No],LOOKUP(2,1/((tbl_Finance[Job Number]=C121&amp;"")*(tbl_Finance[Xero Invoice No]&lt;&gt;"")),tbl_Finance[Xero Invoice No]))=COUNTIFS(tbl_Finance[Job Number],C121&amp;"",tbl_Finance[Xero Invoice No],"&lt;&gt;"),LOOKUP(2,1/((tbl_Finance[Job Number]=C121&amp;"")*(tbl_Finance[Xero Invoice No]&lt;&gt;"")),tbl_Finance[Xero Invoice No]),LOOKUP(2,1/((tbl_Finance[Job Number]=C121&amp;"")*(tbl_Finance[Xero Invoice No]&lt;&gt;"")),tbl_Finance[Xero Invoice No])&amp;" +more"),"")))</f>
        <v/>
      </c>
      <c r="C121" s="24" t="n"/>
      <c r="D121" s="25">
        <f>IF(C121="","",IF(COUNTIF(lst_Jobs,C121&amp;"")&gt;0,"OK","CHECK"))</f>
        <v/>
      </c>
      <c r="E121" s="25">
        <f>IF(C121="","",IFERROR(INDEX(lst_JobName,MATCH(C121&amp;"",lst_Jobs,0)),""))</f>
        <v/>
      </c>
      <c r="F121" s="25">
        <f>IF(C121="","",IFERROR(INDEX(tbl_Finance[Client],MATCH(C121&amp;"",tbl_Finance[Job Number],0)),""))</f>
        <v/>
      </c>
      <c r="G121" s="28">
        <f>IF(C121="","",COUNTIFS(tbl_Finance[Job Number],C121&amp;"",tbl_Finance[Ex GST],"&lt;&gt;"))</f>
        <v/>
      </c>
      <c r="H121" s="27">
        <f>IF(C121="","",SUMIFS(tbl_Finance[Ex GST],tbl_Finance[Job Number],C121&amp;""))</f>
        <v/>
      </c>
      <c r="I121" s="27">
        <f>IF(C121="","",SUMIFS(tbl_Finance[Ex GST],tbl_Finance[Job Number],C121&amp;"",tbl_Finance[Xero Invoice No],"&lt;&gt;"))</f>
        <v/>
      </c>
      <c r="J121" s="27">
        <f>IF(C121="","",H121-I121)</f>
        <v/>
      </c>
      <c r="K121" s="25">
        <f>IF(C121="","",IF(G121=0,"not invoiced yet",SUBSTITUTE(TRIM(IF(COUNTIFS(tbl_Finance[Job Number],C121&amp;"",tbl_Finance[Cost Centre],"ONSITE")&gt;0,"ONSITE ","")&amp;IF(COUNTIFS(tbl_Finance[Job Number],C121&amp;"",tbl_Finance[Cost Centre],"PRODUCTION")&gt;0,"PRODUCTION ","")&amp;IF(COUNTIFS(tbl_Finance[Job Number],C121&amp;"",tbl_Finance[Cost Centre],"VIDEO")&gt;0,"VIDEO ","")&amp;IF(COUNTIFS(tbl_Finance[Job Number],C121&amp;"",tbl_Finance[Cost Centre],"INTEGRATION")&gt;0,"INTEGRATION ","")&amp;IF(COUNTIFS(tbl_Finance[Job Number],C121&amp;"",tbl_Finance[Cost Centre],"CONSULTING")&gt;0,"CONSULTING ","")&amp;IF(COUNTIFS(tbl_Finance[Job Number],C121&amp;"",tbl_Finance[Cost Centre],"CTS")&gt;0,"CTS ",""))," ",", ")))</f>
        <v/>
      </c>
      <c r="L121" s="24" t="n"/>
      <c r="M121" s="24" t="n"/>
      <c r="N121" s="25">
        <f>IF(M121="","",HYPERLINK(IF(LEFT(M121,4)="http",M121,set_QwilrBase&amp;M121),"Open quote"))</f>
        <v/>
      </c>
      <c r="O121" s="64" t="n"/>
      <c r="P121" s="24" t="n"/>
      <c r="Q121" s="24" t="n"/>
    </row>
    <row r="122" ht="15" customHeight="1">
      <c r="A122" s="63">
        <f>IF(C122="","",IFERROR(IF(SUMPRODUCT(MAX((tbl_Finance[Job Number]=C122&amp;"")*(tbl_Finance[Xero Invoice No]&lt;&gt;"")*tbl_Finance[Date]))=0,"",SUMPRODUCT(MAX((tbl_Finance[Job Number]=C122&amp;"")*(tbl_Finance[Xero Invoice No]&lt;&gt;"")*tbl_Finance[Date]))),""))</f>
        <v/>
      </c>
      <c r="B122" s="25">
        <f>IF(C122="","",IF(COUNTIFS(tbl_Finance[Job Number],C122&amp;"",tbl_Finance[Xero Invoice No],"&lt;&gt;")=0,"",IFERROR(IF(COUNTIFS(tbl_Finance[Job Number],C122&amp;"",tbl_Finance[Xero Invoice No],LOOKUP(2,1/((tbl_Finance[Job Number]=C122&amp;"")*(tbl_Finance[Xero Invoice No]&lt;&gt;"")),tbl_Finance[Xero Invoice No]))=COUNTIFS(tbl_Finance[Job Number],C122&amp;"",tbl_Finance[Xero Invoice No],"&lt;&gt;"),LOOKUP(2,1/((tbl_Finance[Job Number]=C122&amp;"")*(tbl_Finance[Xero Invoice No]&lt;&gt;"")),tbl_Finance[Xero Invoice No]),LOOKUP(2,1/((tbl_Finance[Job Number]=C122&amp;"")*(tbl_Finance[Xero Invoice No]&lt;&gt;"")),tbl_Finance[Xero Invoice No])&amp;" +more"),"")))</f>
        <v/>
      </c>
      <c r="C122" s="24" t="n"/>
      <c r="D122" s="25">
        <f>IF(C122="","",IF(COUNTIF(lst_Jobs,C122&amp;"")&gt;0,"OK","CHECK"))</f>
        <v/>
      </c>
      <c r="E122" s="25">
        <f>IF(C122="","",IFERROR(INDEX(lst_JobName,MATCH(C122&amp;"",lst_Jobs,0)),""))</f>
        <v/>
      </c>
      <c r="F122" s="25">
        <f>IF(C122="","",IFERROR(INDEX(tbl_Finance[Client],MATCH(C122&amp;"",tbl_Finance[Job Number],0)),""))</f>
        <v/>
      </c>
      <c r="G122" s="28">
        <f>IF(C122="","",COUNTIFS(tbl_Finance[Job Number],C122&amp;"",tbl_Finance[Ex GST],"&lt;&gt;"))</f>
        <v/>
      </c>
      <c r="H122" s="27">
        <f>IF(C122="","",SUMIFS(tbl_Finance[Ex GST],tbl_Finance[Job Number],C122&amp;""))</f>
        <v/>
      </c>
      <c r="I122" s="27">
        <f>IF(C122="","",SUMIFS(tbl_Finance[Ex GST],tbl_Finance[Job Number],C122&amp;"",tbl_Finance[Xero Invoice No],"&lt;&gt;"))</f>
        <v/>
      </c>
      <c r="J122" s="27">
        <f>IF(C122="","",H122-I122)</f>
        <v/>
      </c>
      <c r="K122" s="25">
        <f>IF(C122="","",IF(G122=0,"not invoiced yet",SUBSTITUTE(TRIM(IF(COUNTIFS(tbl_Finance[Job Number],C122&amp;"",tbl_Finance[Cost Centre],"ONSITE")&gt;0,"ONSITE ","")&amp;IF(COUNTIFS(tbl_Finance[Job Number],C122&amp;"",tbl_Finance[Cost Centre],"PRODUCTION")&gt;0,"PRODUCTION ","")&amp;IF(COUNTIFS(tbl_Finance[Job Number],C122&amp;"",tbl_Finance[Cost Centre],"VIDEO")&gt;0,"VIDEO ","")&amp;IF(COUNTIFS(tbl_Finance[Job Number],C122&amp;"",tbl_Finance[Cost Centre],"INTEGRATION")&gt;0,"INTEGRATION ","")&amp;IF(COUNTIFS(tbl_Finance[Job Number],C122&amp;"",tbl_Finance[Cost Centre],"CONSULTING")&gt;0,"CONSULTING ","")&amp;IF(COUNTIFS(tbl_Finance[Job Number],C122&amp;"",tbl_Finance[Cost Centre],"CTS")&gt;0,"CTS ",""))," ",", ")))</f>
        <v/>
      </c>
      <c r="L122" s="24" t="n"/>
      <c r="M122" s="24" t="n"/>
      <c r="N122" s="25">
        <f>IF(M122="","",HYPERLINK(IF(LEFT(M122,4)="http",M122,set_QwilrBase&amp;M122),"Open quote"))</f>
        <v/>
      </c>
      <c r="O122" s="64" t="n"/>
      <c r="P122" s="24" t="n"/>
      <c r="Q122" s="24" t="n"/>
    </row>
    <row r="123" ht="15" customHeight="1">
      <c r="A123" s="63">
        <f>IF(C123="","",IFERROR(IF(SUMPRODUCT(MAX((tbl_Finance[Job Number]=C123&amp;"")*(tbl_Finance[Xero Invoice No]&lt;&gt;"")*tbl_Finance[Date]))=0,"",SUMPRODUCT(MAX((tbl_Finance[Job Number]=C123&amp;"")*(tbl_Finance[Xero Invoice No]&lt;&gt;"")*tbl_Finance[Date]))),""))</f>
        <v/>
      </c>
      <c r="B123" s="25">
        <f>IF(C123="","",IF(COUNTIFS(tbl_Finance[Job Number],C123&amp;"",tbl_Finance[Xero Invoice No],"&lt;&gt;")=0,"",IFERROR(IF(COUNTIFS(tbl_Finance[Job Number],C123&amp;"",tbl_Finance[Xero Invoice No],LOOKUP(2,1/((tbl_Finance[Job Number]=C123&amp;"")*(tbl_Finance[Xero Invoice No]&lt;&gt;"")),tbl_Finance[Xero Invoice No]))=COUNTIFS(tbl_Finance[Job Number],C123&amp;"",tbl_Finance[Xero Invoice No],"&lt;&gt;"),LOOKUP(2,1/((tbl_Finance[Job Number]=C123&amp;"")*(tbl_Finance[Xero Invoice No]&lt;&gt;"")),tbl_Finance[Xero Invoice No]),LOOKUP(2,1/((tbl_Finance[Job Number]=C123&amp;"")*(tbl_Finance[Xero Invoice No]&lt;&gt;"")),tbl_Finance[Xero Invoice No])&amp;" +more"),"")))</f>
        <v/>
      </c>
      <c r="C123" s="24" t="n"/>
      <c r="D123" s="25">
        <f>IF(C123="","",IF(COUNTIF(lst_Jobs,C123&amp;"")&gt;0,"OK","CHECK"))</f>
        <v/>
      </c>
      <c r="E123" s="25">
        <f>IF(C123="","",IFERROR(INDEX(lst_JobName,MATCH(C123&amp;"",lst_Jobs,0)),""))</f>
        <v/>
      </c>
      <c r="F123" s="25">
        <f>IF(C123="","",IFERROR(INDEX(tbl_Finance[Client],MATCH(C123&amp;"",tbl_Finance[Job Number],0)),""))</f>
        <v/>
      </c>
      <c r="G123" s="28">
        <f>IF(C123="","",COUNTIFS(tbl_Finance[Job Number],C123&amp;"",tbl_Finance[Ex GST],"&lt;&gt;"))</f>
        <v/>
      </c>
      <c r="H123" s="27">
        <f>IF(C123="","",SUMIFS(tbl_Finance[Ex GST],tbl_Finance[Job Number],C123&amp;""))</f>
        <v/>
      </c>
      <c r="I123" s="27">
        <f>IF(C123="","",SUMIFS(tbl_Finance[Ex GST],tbl_Finance[Job Number],C123&amp;"",tbl_Finance[Xero Invoice No],"&lt;&gt;"))</f>
        <v/>
      </c>
      <c r="J123" s="27">
        <f>IF(C123="","",H123-I123)</f>
        <v/>
      </c>
      <c r="K123" s="25">
        <f>IF(C123="","",IF(G123=0,"not invoiced yet",SUBSTITUTE(TRIM(IF(COUNTIFS(tbl_Finance[Job Number],C123&amp;"",tbl_Finance[Cost Centre],"ONSITE")&gt;0,"ONSITE ","")&amp;IF(COUNTIFS(tbl_Finance[Job Number],C123&amp;"",tbl_Finance[Cost Centre],"PRODUCTION")&gt;0,"PRODUCTION ","")&amp;IF(COUNTIFS(tbl_Finance[Job Number],C123&amp;"",tbl_Finance[Cost Centre],"VIDEO")&gt;0,"VIDEO ","")&amp;IF(COUNTIFS(tbl_Finance[Job Number],C123&amp;"",tbl_Finance[Cost Centre],"INTEGRATION")&gt;0,"INTEGRATION ","")&amp;IF(COUNTIFS(tbl_Finance[Job Number],C123&amp;"",tbl_Finance[Cost Centre],"CONSULTING")&gt;0,"CONSULTING ","")&amp;IF(COUNTIFS(tbl_Finance[Job Number],C123&amp;"",tbl_Finance[Cost Centre],"CTS")&gt;0,"CTS ",""))," ",", ")))</f>
        <v/>
      </c>
      <c r="L123" s="24" t="n"/>
      <c r="M123" s="24" t="n"/>
      <c r="N123" s="25">
        <f>IF(M123="","",HYPERLINK(IF(LEFT(M123,4)="http",M123,set_QwilrBase&amp;M123),"Open quote"))</f>
        <v/>
      </c>
      <c r="O123" s="64" t="n"/>
      <c r="P123" s="24" t="n"/>
      <c r="Q123" s="24" t="n"/>
    </row>
    <row r="124" ht="15" customHeight="1">
      <c r="A124" s="63">
        <f>IF(C124="","",IFERROR(IF(SUMPRODUCT(MAX((tbl_Finance[Job Number]=C124&amp;"")*(tbl_Finance[Xero Invoice No]&lt;&gt;"")*tbl_Finance[Date]))=0,"",SUMPRODUCT(MAX((tbl_Finance[Job Number]=C124&amp;"")*(tbl_Finance[Xero Invoice No]&lt;&gt;"")*tbl_Finance[Date]))),""))</f>
        <v/>
      </c>
      <c r="B124" s="25">
        <f>IF(C124="","",IF(COUNTIFS(tbl_Finance[Job Number],C124&amp;"",tbl_Finance[Xero Invoice No],"&lt;&gt;")=0,"",IFERROR(IF(COUNTIFS(tbl_Finance[Job Number],C124&amp;"",tbl_Finance[Xero Invoice No],LOOKUP(2,1/((tbl_Finance[Job Number]=C124&amp;"")*(tbl_Finance[Xero Invoice No]&lt;&gt;"")),tbl_Finance[Xero Invoice No]))=COUNTIFS(tbl_Finance[Job Number],C124&amp;"",tbl_Finance[Xero Invoice No],"&lt;&gt;"),LOOKUP(2,1/((tbl_Finance[Job Number]=C124&amp;"")*(tbl_Finance[Xero Invoice No]&lt;&gt;"")),tbl_Finance[Xero Invoice No]),LOOKUP(2,1/((tbl_Finance[Job Number]=C124&amp;"")*(tbl_Finance[Xero Invoice No]&lt;&gt;"")),tbl_Finance[Xero Invoice No])&amp;" +more"),"")))</f>
        <v/>
      </c>
      <c r="C124" s="24" t="n"/>
      <c r="D124" s="25">
        <f>IF(C124="","",IF(COUNTIF(lst_Jobs,C124&amp;"")&gt;0,"OK","CHECK"))</f>
        <v/>
      </c>
      <c r="E124" s="25">
        <f>IF(C124="","",IFERROR(INDEX(lst_JobName,MATCH(C124&amp;"",lst_Jobs,0)),""))</f>
        <v/>
      </c>
      <c r="F124" s="25">
        <f>IF(C124="","",IFERROR(INDEX(tbl_Finance[Client],MATCH(C124&amp;"",tbl_Finance[Job Number],0)),""))</f>
        <v/>
      </c>
      <c r="G124" s="28">
        <f>IF(C124="","",COUNTIFS(tbl_Finance[Job Number],C124&amp;"",tbl_Finance[Ex GST],"&lt;&gt;"))</f>
        <v/>
      </c>
      <c r="H124" s="27">
        <f>IF(C124="","",SUMIFS(tbl_Finance[Ex GST],tbl_Finance[Job Number],C124&amp;""))</f>
        <v/>
      </c>
      <c r="I124" s="27">
        <f>IF(C124="","",SUMIFS(tbl_Finance[Ex GST],tbl_Finance[Job Number],C124&amp;"",tbl_Finance[Xero Invoice No],"&lt;&gt;"))</f>
        <v/>
      </c>
      <c r="J124" s="27">
        <f>IF(C124="","",H124-I124)</f>
        <v/>
      </c>
      <c r="K124" s="25">
        <f>IF(C124="","",IF(G124=0,"not invoiced yet",SUBSTITUTE(TRIM(IF(COUNTIFS(tbl_Finance[Job Number],C124&amp;"",tbl_Finance[Cost Centre],"ONSITE")&gt;0,"ONSITE ","")&amp;IF(COUNTIFS(tbl_Finance[Job Number],C124&amp;"",tbl_Finance[Cost Centre],"PRODUCTION")&gt;0,"PRODUCTION ","")&amp;IF(COUNTIFS(tbl_Finance[Job Number],C124&amp;"",tbl_Finance[Cost Centre],"VIDEO")&gt;0,"VIDEO ","")&amp;IF(COUNTIFS(tbl_Finance[Job Number],C124&amp;"",tbl_Finance[Cost Centre],"INTEGRATION")&gt;0,"INTEGRATION ","")&amp;IF(COUNTIFS(tbl_Finance[Job Number],C124&amp;"",tbl_Finance[Cost Centre],"CONSULTING")&gt;0,"CONSULTING ","")&amp;IF(COUNTIFS(tbl_Finance[Job Number],C124&amp;"",tbl_Finance[Cost Centre],"CTS")&gt;0,"CTS ",""))," ",", ")))</f>
        <v/>
      </c>
      <c r="L124" s="24" t="n"/>
      <c r="M124" s="24" t="n"/>
      <c r="N124" s="25">
        <f>IF(M124="","",HYPERLINK(IF(LEFT(M124,4)="http",M124,set_QwilrBase&amp;M124),"Open quote"))</f>
        <v/>
      </c>
      <c r="O124" s="64" t="n"/>
      <c r="P124" s="24" t="n"/>
      <c r="Q124" s="24" t="n"/>
    </row>
    <row r="125" ht="15" customHeight="1">
      <c r="A125" s="63">
        <f>IF(C125="","",IFERROR(IF(SUMPRODUCT(MAX((tbl_Finance[Job Number]=C125&amp;"")*(tbl_Finance[Xero Invoice No]&lt;&gt;"")*tbl_Finance[Date]))=0,"",SUMPRODUCT(MAX((tbl_Finance[Job Number]=C125&amp;"")*(tbl_Finance[Xero Invoice No]&lt;&gt;"")*tbl_Finance[Date]))),""))</f>
        <v/>
      </c>
      <c r="B125" s="25">
        <f>IF(C125="","",IF(COUNTIFS(tbl_Finance[Job Number],C125&amp;"",tbl_Finance[Xero Invoice No],"&lt;&gt;")=0,"",IFERROR(IF(COUNTIFS(tbl_Finance[Job Number],C125&amp;"",tbl_Finance[Xero Invoice No],LOOKUP(2,1/((tbl_Finance[Job Number]=C125&amp;"")*(tbl_Finance[Xero Invoice No]&lt;&gt;"")),tbl_Finance[Xero Invoice No]))=COUNTIFS(tbl_Finance[Job Number],C125&amp;"",tbl_Finance[Xero Invoice No],"&lt;&gt;"),LOOKUP(2,1/((tbl_Finance[Job Number]=C125&amp;"")*(tbl_Finance[Xero Invoice No]&lt;&gt;"")),tbl_Finance[Xero Invoice No]),LOOKUP(2,1/((tbl_Finance[Job Number]=C125&amp;"")*(tbl_Finance[Xero Invoice No]&lt;&gt;"")),tbl_Finance[Xero Invoice No])&amp;" +more"),"")))</f>
        <v/>
      </c>
      <c r="C125" s="24" t="n"/>
      <c r="D125" s="25">
        <f>IF(C125="","",IF(COUNTIF(lst_Jobs,C125&amp;"")&gt;0,"OK","CHECK"))</f>
        <v/>
      </c>
      <c r="E125" s="25">
        <f>IF(C125="","",IFERROR(INDEX(lst_JobName,MATCH(C125&amp;"",lst_Jobs,0)),""))</f>
        <v/>
      </c>
      <c r="F125" s="25">
        <f>IF(C125="","",IFERROR(INDEX(tbl_Finance[Client],MATCH(C125&amp;"",tbl_Finance[Job Number],0)),""))</f>
        <v/>
      </c>
      <c r="G125" s="28">
        <f>IF(C125="","",COUNTIFS(tbl_Finance[Job Number],C125&amp;"",tbl_Finance[Ex GST],"&lt;&gt;"))</f>
        <v/>
      </c>
      <c r="H125" s="27">
        <f>IF(C125="","",SUMIFS(tbl_Finance[Ex GST],tbl_Finance[Job Number],C125&amp;""))</f>
        <v/>
      </c>
      <c r="I125" s="27">
        <f>IF(C125="","",SUMIFS(tbl_Finance[Ex GST],tbl_Finance[Job Number],C125&amp;"",tbl_Finance[Xero Invoice No],"&lt;&gt;"))</f>
        <v/>
      </c>
      <c r="J125" s="27">
        <f>IF(C125="","",H125-I125)</f>
        <v/>
      </c>
      <c r="K125" s="25">
        <f>IF(C125="","",IF(G125=0,"not invoiced yet",SUBSTITUTE(TRIM(IF(COUNTIFS(tbl_Finance[Job Number],C125&amp;"",tbl_Finance[Cost Centre],"ONSITE")&gt;0,"ONSITE ","")&amp;IF(COUNTIFS(tbl_Finance[Job Number],C125&amp;"",tbl_Finance[Cost Centre],"PRODUCTION")&gt;0,"PRODUCTION ","")&amp;IF(COUNTIFS(tbl_Finance[Job Number],C125&amp;"",tbl_Finance[Cost Centre],"VIDEO")&gt;0,"VIDEO ","")&amp;IF(COUNTIFS(tbl_Finance[Job Number],C125&amp;"",tbl_Finance[Cost Centre],"INTEGRATION")&gt;0,"INTEGRATION ","")&amp;IF(COUNTIFS(tbl_Finance[Job Number],C125&amp;"",tbl_Finance[Cost Centre],"CONSULTING")&gt;0,"CONSULTING ","")&amp;IF(COUNTIFS(tbl_Finance[Job Number],C125&amp;"",tbl_Finance[Cost Centre],"CTS")&gt;0,"CTS ",""))," ",", ")))</f>
        <v/>
      </c>
      <c r="L125" s="24" t="n"/>
      <c r="M125" s="24" t="n"/>
      <c r="N125" s="25">
        <f>IF(M125="","",HYPERLINK(IF(LEFT(M125,4)="http",M125,set_QwilrBase&amp;M125),"Open quote"))</f>
        <v/>
      </c>
      <c r="O125" s="64" t="n"/>
      <c r="P125" s="24" t="n"/>
      <c r="Q125" s="24" t="n"/>
    </row>
    <row r="126" ht="15" customHeight="1">
      <c r="A126" s="63">
        <f>IF(C126="","",IFERROR(IF(SUMPRODUCT(MAX((tbl_Finance[Job Number]=C126&amp;"")*(tbl_Finance[Xero Invoice No]&lt;&gt;"")*tbl_Finance[Date]))=0,"",SUMPRODUCT(MAX((tbl_Finance[Job Number]=C126&amp;"")*(tbl_Finance[Xero Invoice No]&lt;&gt;"")*tbl_Finance[Date]))),""))</f>
        <v/>
      </c>
      <c r="B126" s="25">
        <f>IF(C126="","",IF(COUNTIFS(tbl_Finance[Job Number],C126&amp;"",tbl_Finance[Xero Invoice No],"&lt;&gt;")=0,"",IFERROR(IF(COUNTIFS(tbl_Finance[Job Number],C126&amp;"",tbl_Finance[Xero Invoice No],LOOKUP(2,1/((tbl_Finance[Job Number]=C126&amp;"")*(tbl_Finance[Xero Invoice No]&lt;&gt;"")),tbl_Finance[Xero Invoice No]))=COUNTIFS(tbl_Finance[Job Number],C126&amp;"",tbl_Finance[Xero Invoice No],"&lt;&gt;"),LOOKUP(2,1/((tbl_Finance[Job Number]=C126&amp;"")*(tbl_Finance[Xero Invoice No]&lt;&gt;"")),tbl_Finance[Xero Invoice No]),LOOKUP(2,1/((tbl_Finance[Job Number]=C126&amp;"")*(tbl_Finance[Xero Invoice No]&lt;&gt;"")),tbl_Finance[Xero Invoice No])&amp;" +more"),"")))</f>
        <v/>
      </c>
      <c r="C126" s="24" t="n"/>
      <c r="D126" s="25">
        <f>IF(C126="","",IF(COUNTIF(lst_Jobs,C126&amp;"")&gt;0,"OK","CHECK"))</f>
        <v/>
      </c>
      <c r="E126" s="25">
        <f>IF(C126="","",IFERROR(INDEX(lst_JobName,MATCH(C126&amp;"",lst_Jobs,0)),""))</f>
        <v/>
      </c>
      <c r="F126" s="25">
        <f>IF(C126="","",IFERROR(INDEX(tbl_Finance[Client],MATCH(C126&amp;"",tbl_Finance[Job Number],0)),""))</f>
        <v/>
      </c>
      <c r="G126" s="28">
        <f>IF(C126="","",COUNTIFS(tbl_Finance[Job Number],C126&amp;"",tbl_Finance[Ex GST],"&lt;&gt;"))</f>
        <v/>
      </c>
      <c r="H126" s="27">
        <f>IF(C126="","",SUMIFS(tbl_Finance[Ex GST],tbl_Finance[Job Number],C126&amp;""))</f>
        <v/>
      </c>
      <c r="I126" s="27">
        <f>IF(C126="","",SUMIFS(tbl_Finance[Ex GST],tbl_Finance[Job Number],C126&amp;"",tbl_Finance[Xero Invoice No],"&lt;&gt;"))</f>
        <v/>
      </c>
      <c r="J126" s="27">
        <f>IF(C126="","",H126-I126)</f>
        <v/>
      </c>
      <c r="K126" s="25">
        <f>IF(C126="","",IF(G126=0,"not invoiced yet",SUBSTITUTE(TRIM(IF(COUNTIFS(tbl_Finance[Job Number],C126&amp;"",tbl_Finance[Cost Centre],"ONSITE")&gt;0,"ONSITE ","")&amp;IF(COUNTIFS(tbl_Finance[Job Number],C126&amp;"",tbl_Finance[Cost Centre],"PRODUCTION")&gt;0,"PRODUCTION ","")&amp;IF(COUNTIFS(tbl_Finance[Job Number],C126&amp;"",tbl_Finance[Cost Centre],"VIDEO")&gt;0,"VIDEO ","")&amp;IF(COUNTIFS(tbl_Finance[Job Number],C126&amp;"",tbl_Finance[Cost Centre],"INTEGRATION")&gt;0,"INTEGRATION ","")&amp;IF(COUNTIFS(tbl_Finance[Job Number],C126&amp;"",tbl_Finance[Cost Centre],"CONSULTING")&gt;0,"CONSULTING ","")&amp;IF(COUNTIFS(tbl_Finance[Job Number],C126&amp;"",tbl_Finance[Cost Centre],"CTS")&gt;0,"CTS ",""))," ",", ")))</f>
        <v/>
      </c>
      <c r="L126" s="24" t="n"/>
      <c r="M126" s="24" t="n"/>
      <c r="N126" s="25">
        <f>IF(M126="","",HYPERLINK(IF(LEFT(M126,4)="http",M126,set_QwilrBase&amp;M126),"Open quote"))</f>
        <v/>
      </c>
      <c r="O126" s="64" t="n"/>
      <c r="P126" s="24" t="n"/>
      <c r="Q126" s="24" t="n"/>
    </row>
    <row r="127" ht="15" customHeight="1">
      <c r="A127" s="63">
        <f>IF(C127="","",IFERROR(IF(SUMPRODUCT(MAX((tbl_Finance[Job Number]=C127&amp;"")*(tbl_Finance[Xero Invoice No]&lt;&gt;"")*tbl_Finance[Date]))=0,"",SUMPRODUCT(MAX((tbl_Finance[Job Number]=C127&amp;"")*(tbl_Finance[Xero Invoice No]&lt;&gt;"")*tbl_Finance[Date]))),""))</f>
        <v/>
      </c>
      <c r="B127" s="25">
        <f>IF(C127="","",IF(COUNTIFS(tbl_Finance[Job Number],C127&amp;"",tbl_Finance[Xero Invoice No],"&lt;&gt;")=0,"",IFERROR(IF(COUNTIFS(tbl_Finance[Job Number],C127&amp;"",tbl_Finance[Xero Invoice No],LOOKUP(2,1/((tbl_Finance[Job Number]=C127&amp;"")*(tbl_Finance[Xero Invoice No]&lt;&gt;"")),tbl_Finance[Xero Invoice No]))=COUNTIFS(tbl_Finance[Job Number],C127&amp;"",tbl_Finance[Xero Invoice No],"&lt;&gt;"),LOOKUP(2,1/((tbl_Finance[Job Number]=C127&amp;"")*(tbl_Finance[Xero Invoice No]&lt;&gt;"")),tbl_Finance[Xero Invoice No]),LOOKUP(2,1/((tbl_Finance[Job Number]=C127&amp;"")*(tbl_Finance[Xero Invoice No]&lt;&gt;"")),tbl_Finance[Xero Invoice No])&amp;" +more"),"")))</f>
        <v/>
      </c>
      <c r="C127" s="24" t="n"/>
      <c r="D127" s="25">
        <f>IF(C127="","",IF(COUNTIF(lst_Jobs,C127&amp;"")&gt;0,"OK","CHECK"))</f>
        <v/>
      </c>
      <c r="E127" s="25">
        <f>IF(C127="","",IFERROR(INDEX(lst_JobName,MATCH(C127&amp;"",lst_Jobs,0)),""))</f>
        <v/>
      </c>
      <c r="F127" s="25">
        <f>IF(C127="","",IFERROR(INDEX(tbl_Finance[Client],MATCH(C127&amp;"",tbl_Finance[Job Number],0)),""))</f>
        <v/>
      </c>
      <c r="G127" s="28">
        <f>IF(C127="","",COUNTIFS(tbl_Finance[Job Number],C127&amp;"",tbl_Finance[Ex GST],"&lt;&gt;"))</f>
        <v/>
      </c>
      <c r="H127" s="27">
        <f>IF(C127="","",SUMIFS(tbl_Finance[Ex GST],tbl_Finance[Job Number],C127&amp;""))</f>
        <v/>
      </c>
      <c r="I127" s="27">
        <f>IF(C127="","",SUMIFS(tbl_Finance[Ex GST],tbl_Finance[Job Number],C127&amp;"",tbl_Finance[Xero Invoice No],"&lt;&gt;"))</f>
        <v/>
      </c>
      <c r="J127" s="27">
        <f>IF(C127="","",H127-I127)</f>
        <v/>
      </c>
      <c r="K127" s="25">
        <f>IF(C127="","",IF(G127=0,"not invoiced yet",SUBSTITUTE(TRIM(IF(COUNTIFS(tbl_Finance[Job Number],C127&amp;"",tbl_Finance[Cost Centre],"ONSITE")&gt;0,"ONSITE ","")&amp;IF(COUNTIFS(tbl_Finance[Job Number],C127&amp;"",tbl_Finance[Cost Centre],"PRODUCTION")&gt;0,"PRODUCTION ","")&amp;IF(COUNTIFS(tbl_Finance[Job Number],C127&amp;"",tbl_Finance[Cost Centre],"VIDEO")&gt;0,"VIDEO ","")&amp;IF(COUNTIFS(tbl_Finance[Job Number],C127&amp;"",tbl_Finance[Cost Centre],"INTEGRATION")&gt;0,"INTEGRATION ","")&amp;IF(COUNTIFS(tbl_Finance[Job Number],C127&amp;"",tbl_Finance[Cost Centre],"CONSULTING")&gt;0,"CONSULTING ","")&amp;IF(COUNTIFS(tbl_Finance[Job Number],C127&amp;"",tbl_Finance[Cost Centre],"CTS")&gt;0,"CTS ",""))," ",", ")))</f>
        <v/>
      </c>
      <c r="L127" s="24" t="n"/>
      <c r="M127" s="24" t="n"/>
      <c r="N127" s="25">
        <f>IF(M127="","",HYPERLINK(IF(LEFT(M127,4)="http",M127,set_QwilrBase&amp;M127),"Open quote"))</f>
        <v/>
      </c>
      <c r="O127" s="64" t="n"/>
      <c r="P127" s="24" t="n"/>
      <c r="Q127" s="24" t="n"/>
    </row>
    <row r="128" ht="15" customHeight="1">
      <c r="A128" s="63">
        <f>IF(C128="","",IFERROR(IF(SUMPRODUCT(MAX((tbl_Finance[Job Number]=C128&amp;"")*(tbl_Finance[Xero Invoice No]&lt;&gt;"")*tbl_Finance[Date]))=0,"",SUMPRODUCT(MAX((tbl_Finance[Job Number]=C128&amp;"")*(tbl_Finance[Xero Invoice No]&lt;&gt;"")*tbl_Finance[Date]))),""))</f>
        <v/>
      </c>
      <c r="B128" s="25">
        <f>IF(C128="","",IF(COUNTIFS(tbl_Finance[Job Number],C128&amp;"",tbl_Finance[Xero Invoice No],"&lt;&gt;")=0,"",IFERROR(IF(COUNTIFS(tbl_Finance[Job Number],C128&amp;"",tbl_Finance[Xero Invoice No],LOOKUP(2,1/((tbl_Finance[Job Number]=C128&amp;"")*(tbl_Finance[Xero Invoice No]&lt;&gt;"")),tbl_Finance[Xero Invoice No]))=COUNTIFS(tbl_Finance[Job Number],C128&amp;"",tbl_Finance[Xero Invoice No],"&lt;&gt;"),LOOKUP(2,1/((tbl_Finance[Job Number]=C128&amp;"")*(tbl_Finance[Xero Invoice No]&lt;&gt;"")),tbl_Finance[Xero Invoice No]),LOOKUP(2,1/((tbl_Finance[Job Number]=C128&amp;"")*(tbl_Finance[Xero Invoice No]&lt;&gt;"")),tbl_Finance[Xero Invoice No])&amp;" +more"),"")))</f>
        <v/>
      </c>
      <c r="C128" s="24" t="n"/>
      <c r="D128" s="25">
        <f>IF(C128="","",IF(COUNTIF(lst_Jobs,C128&amp;"")&gt;0,"OK","CHECK"))</f>
        <v/>
      </c>
      <c r="E128" s="25">
        <f>IF(C128="","",IFERROR(INDEX(lst_JobName,MATCH(C128&amp;"",lst_Jobs,0)),""))</f>
        <v/>
      </c>
      <c r="F128" s="25">
        <f>IF(C128="","",IFERROR(INDEX(tbl_Finance[Client],MATCH(C128&amp;"",tbl_Finance[Job Number],0)),""))</f>
        <v/>
      </c>
      <c r="G128" s="28">
        <f>IF(C128="","",COUNTIFS(tbl_Finance[Job Number],C128&amp;"",tbl_Finance[Ex GST],"&lt;&gt;"))</f>
        <v/>
      </c>
      <c r="H128" s="27">
        <f>IF(C128="","",SUMIFS(tbl_Finance[Ex GST],tbl_Finance[Job Number],C128&amp;""))</f>
        <v/>
      </c>
      <c r="I128" s="27">
        <f>IF(C128="","",SUMIFS(tbl_Finance[Ex GST],tbl_Finance[Job Number],C128&amp;"",tbl_Finance[Xero Invoice No],"&lt;&gt;"))</f>
        <v/>
      </c>
      <c r="J128" s="27">
        <f>IF(C128="","",H128-I128)</f>
        <v/>
      </c>
      <c r="K128" s="25">
        <f>IF(C128="","",IF(G128=0,"not invoiced yet",SUBSTITUTE(TRIM(IF(COUNTIFS(tbl_Finance[Job Number],C128&amp;"",tbl_Finance[Cost Centre],"ONSITE")&gt;0,"ONSITE ","")&amp;IF(COUNTIFS(tbl_Finance[Job Number],C128&amp;"",tbl_Finance[Cost Centre],"PRODUCTION")&gt;0,"PRODUCTION ","")&amp;IF(COUNTIFS(tbl_Finance[Job Number],C128&amp;"",tbl_Finance[Cost Centre],"VIDEO")&gt;0,"VIDEO ","")&amp;IF(COUNTIFS(tbl_Finance[Job Number],C128&amp;"",tbl_Finance[Cost Centre],"INTEGRATION")&gt;0,"INTEGRATION ","")&amp;IF(COUNTIFS(tbl_Finance[Job Number],C128&amp;"",tbl_Finance[Cost Centre],"CONSULTING")&gt;0,"CONSULTING ","")&amp;IF(COUNTIFS(tbl_Finance[Job Number],C128&amp;"",tbl_Finance[Cost Centre],"CTS")&gt;0,"CTS ",""))," ",", ")))</f>
        <v/>
      </c>
      <c r="L128" s="24" t="n"/>
      <c r="M128" s="24" t="n"/>
      <c r="N128" s="25">
        <f>IF(M128="","",HYPERLINK(IF(LEFT(M128,4)="http",M128,set_QwilrBase&amp;M128),"Open quote"))</f>
        <v/>
      </c>
      <c r="O128" s="64" t="n"/>
      <c r="P128" s="24" t="n"/>
      <c r="Q128" s="24" t="n"/>
    </row>
    <row r="129" ht="15" customHeight="1">
      <c r="A129" s="63">
        <f>IF(C129="","",IFERROR(IF(SUMPRODUCT(MAX((tbl_Finance[Job Number]=C129&amp;"")*(tbl_Finance[Xero Invoice No]&lt;&gt;"")*tbl_Finance[Date]))=0,"",SUMPRODUCT(MAX((tbl_Finance[Job Number]=C129&amp;"")*(tbl_Finance[Xero Invoice No]&lt;&gt;"")*tbl_Finance[Date]))),""))</f>
        <v/>
      </c>
      <c r="B129" s="25">
        <f>IF(C129="","",IF(COUNTIFS(tbl_Finance[Job Number],C129&amp;"",tbl_Finance[Xero Invoice No],"&lt;&gt;")=0,"",IFERROR(IF(COUNTIFS(tbl_Finance[Job Number],C129&amp;"",tbl_Finance[Xero Invoice No],LOOKUP(2,1/((tbl_Finance[Job Number]=C129&amp;"")*(tbl_Finance[Xero Invoice No]&lt;&gt;"")),tbl_Finance[Xero Invoice No]))=COUNTIFS(tbl_Finance[Job Number],C129&amp;"",tbl_Finance[Xero Invoice No],"&lt;&gt;"),LOOKUP(2,1/((tbl_Finance[Job Number]=C129&amp;"")*(tbl_Finance[Xero Invoice No]&lt;&gt;"")),tbl_Finance[Xero Invoice No]),LOOKUP(2,1/((tbl_Finance[Job Number]=C129&amp;"")*(tbl_Finance[Xero Invoice No]&lt;&gt;"")),tbl_Finance[Xero Invoice No])&amp;" +more"),"")))</f>
        <v/>
      </c>
      <c r="C129" s="24" t="n"/>
      <c r="D129" s="25">
        <f>IF(C129="","",IF(COUNTIF(lst_Jobs,C129&amp;"")&gt;0,"OK","CHECK"))</f>
        <v/>
      </c>
      <c r="E129" s="25">
        <f>IF(C129="","",IFERROR(INDEX(lst_JobName,MATCH(C129&amp;"",lst_Jobs,0)),""))</f>
        <v/>
      </c>
      <c r="F129" s="25">
        <f>IF(C129="","",IFERROR(INDEX(tbl_Finance[Client],MATCH(C129&amp;"",tbl_Finance[Job Number],0)),""))</f>
        <v/>
      </c>
      <c r="G129" s="28">
        <f>IF(C129="","",COUNTIFS(tbl_Finance[Job Number],C129&amp;"",tbl_Finance[Ex GST],"&lt;&gt;"))</f>
        <v/>
      </c>
      <c r="H129" s="27">
        <f>IF(C129="","",SUMIFS(tbl_Finance[Ex GST],tbl_Finance[Job Number],C129&amp;""))</f>
        <v/>
      </c>
      <c r="I129" s="27">
        <f>IF(C129="","",SUMIFS(tbl_Finance[Ex GST],tbl_Finance[Job Number],C129&amp;"",tbl_Finance[Xero Invoice No],"&lt;&gt;"))</f>
        <v/>
      </c>
      <c r="J129" s="27">
        <f>IF(C129="","",H129-I129)</f>
        <v/>
      </c>
      <c r="K129" s="25">
        <f>IF(C129="","",IF(G129=0,"not invoiced yet",SUBSTITUTE(TRIM(IF(COUNTIFS(tbl_Finance[Job Number],C129&amp;"",tbl_Finance[Cost Centre],"ONSITE")&gt;0,"ONSITE ","")&amp;IF(COUNTIFS(tbl_Finance[Job Number],C129&amp;"",tbl_Finance[Cost Centre],"PRODUCTION")&gt;0,"PRODUCTION ","")&amp;IF(COUNTIFS(tbl_Finance[Job Number],C129&amp;"",tbl_Finance[Cost Centre],"VIDEO")&gt;0,"VIDEO ","")&amp;IF(COUNTIFS(tbl_Finance[Job Number],C129&amp;"",tbl_Finance[Cost Centre],"INTEGRATION")&gt;0,"INTEGRATION ","")&amp;IF(COUNTIFS(tbl_Finance[Job Number],C129&amp;"",tbl_Finance[Cost Centre],"CONSULTING")&gt;0,"CONSULTING ","")&amp;IF(COUNTIFS(tbl_Finance[Job Number],C129&amp;"",tbl_Finance[Cost Centre],"CTS")&gt;0,"CTS ",""))," ",", ")))</f>
        <v/>
      </c>
      <c r="L129" s="24" t="n"/>
      <c r="M129" s="24" t="n"/>
      <c r="N129" s="25">
        <f>IF(M129="","",HYPERLINK(IF(LEFT(M129,4)="http",M129,set_QwilrBase&amp;M129),"Open quote"))</f>
        <v/>
      </c>
      <c r="O129" s="64" t="n"/>
      <c r="P129" s="24" t="n"/>
      <c r="Q129" s="24" t="n"/>
    </row>
    <row r="130" ht="15" customHeight="1">
      <c r="A130" s="63">
        <f>IF(C130="","",IFERROR(IF(SUMPRODUCT(MAX((tbl_Finance[Job Number]=C130&amp;"")*(tbl_Finance[Xero Invoice No]&lt;&gt;"")*tbl_Finance[Date]))=0,"",SUMPRODUCT(MAX((tbl_Finance[Job Number]=C130&amp;"")*(tbl_Finance[Xero Invoice No]&lt;&gt;"")*tbl_Finance[Date]))),""))</f>
        <v/>
      </c>
      <c r="B130" s="25">
        <f>IF(C130="","",IF(COUNTIFS(tbl_Finance[Job Number],C130&amp;"",tbl_Finance[Xero Invoice No],"&lt;&gt;")=0,"",IFERROR(IF(COUNTIFS(tbl_Finance[Job Number],C130&amp;"",tbl_Finance[Xero Invoice No],LOOKUP(2,1/((tbl_Finance[Job Number]=C130&amp;"")*(tbl_Finance[Xero Invoice No]&lt;&gt;"")),tbl_Finance[Xero Invoice No]))=COUNTIFS(tbl_Finance[Job Number],C130&amp;"",tbl_Finance[Xero Invoice No],"&lt;&gt;"),LOOKUP(2,1/((tbl_Finance[Job Number]=C130&amp;"")*(tbl_Finance[Xero Invoice No]&lt;&gt;"")),tbl_Finance[Xero Invoice No]),LOOKUP(2,1/((tbl_Finance[Job Number]=C130&amp;"")*(tbl_Finance[Xero Invoice No]&lt;&gt;"")),tbl_Finance[Xero Invoice No])&amp;" +more"),"")))</f>
        <v/>
      </c>
      <c r="C130" s="24" t="n"/>
      <c r="D130" s="25">
        <f>IF(C130="","",IF(COUNTIF(lst_Jobs,C130&amp;"")&gt;0,"OK","CHECK"))</f>
        <v/>
      </c>
      <c r="E130" s="25">
        <f>IF(C130="","",IFERROR(INDEX(lst_JobName,MATCH(C130&amp;"",lst_Jobs,0)),""))</f>
        <v/>
      </c>
      <c r="F130" s="25">
        <f>IF(C130="","",IFERROR(INDEX(tbl_Finance[Client],MATCH(C130&amp;"",tbl_Finance[Job Number],0)),""))</f>
        <v/>
      </c>
      <c r="G130" s="28">
        <f>IF(C130="","",COUNTIFS(tbl_Finance[Job Number],C130&amp;"",tbl_Finance[Ex GST],"&lt;&gt;"))</f>
        <v/>
      </c>
      <c r="H130" s="27">
        <f>IF(C130="","",SUMIFS(tbl_Finance[Ex GST],tbl_Finance[Job Number],C130&amp;""))</f>
        <v/>
      </c>
      <c r="I130" s="27">
        <f>IF(C130="","",SUMIFS(tbl_Finance[Ex GST],tbl_Finance[Job Number],C130&amp;"",tbl_Finance[Xero Invoice No],"&lt;&gt;"))</f>
        <v/>
      </c>
      <c r="J130" s="27">
        <f>IF(C130="","",H130-I130)</f>
        <v/>
      </c>
      <c r="K130" s="25">
        <f>IF(C130="","",IF(G130=0,"not invoiced yet",SUBSTITUTE(TRIM(IF(COUNTIFS(tbl_Finance[Job Number],C130&amp;"",tbl_Finance[Cost Centre],"ONSITE")&gt;0,"ONSITE ","")&amp;IF(COUNTIFS(tbl_Finance[Job Number],C130&amp;"",tbl_Finance[Cost Centre],"PRODUCTION")&gt;0,"PRODUCTION ","")&amp;IF(COUNTIFS(tbl_Finance[Job Number],C130&amp;"",tbl_Finance[Cost Centre],"VIDEO")&gt;0,"VIDEO ","")&amp;IF(COUNTIFS(tbl_Finance[Job Number],C130&amp;"",tbl_Finance[Cost Centre],"INTEGRATION")&gt;0,"INTEGRATION ","")&amp;IF(COUNTIFS(tbl_Finance[Job Number],C130&amp;"",tbl_Finance[Cost Centre],"CONSULTING")&gt;0,"CONSULTING ","")&amp;IF(COUNTIFS(tbl_Finance[Job Number],C130&amp;"",tbl_Finance[Cost Centre],"CTS")&gt;0,"CTS ",""))," ",", ")))</f>
        <v/>
      </c>
      <c r="L130" s="24" t="n"/>
      <c r="M130" s="24" t="n"/>
      <c r="N130" s="25">
        <f>IF(M130="","",HYPERLINK(IF(LEFT(M130,4)="http",M130,set_QwilrBase&amp;M130),"Open quote"))</f>
        <v/>
      </c>
      <c r="O130" s="64" t="n"/>
      <c r="P130" s="24" t="n"/>
      <c r="Q130" s="24" t="n"/>
    </row>
    <row r="131" ht="15" customHeight="1">
      <c r="A131" s="63">
        <f>IF(C131="","",IFERROR(IF(SUMPRODUCT(MAX((tbl_Finance[Job Number]=C131&amp;"")*(tbl_Finance[Xero Invoice No]&lt;&gt;"")*tbl_Finance[Date]))=0,"",SUMPRODUCT(MAX((tbl_Finance[Job Number]=C131&amp;"")*(tbl_Finance[Xero Invoice No]&lt;&gt;"")*tbl_Finance[Date]))),""))</f>
        <v/>
      </c>
      <c r="B131" s="25">
        <f>IF(C131="","",IF(COUNTIFS(tbl_Finance[Job Number],C131&amp;"",tbl_Finance[Xero Invoice No],"&lt;&gt;")=0,"",IFERROR(IF(COUNTIFS(tbl_Finance[Job Number],C131&amp;"",tbl_Finance[Xero Invoice No],LOOKUP(2,1/((tbl_Finance[Job Number]=C131&amp;"")*(tbl_Finance[Xero Invoice No]&lt;&gt;"")),tbl_Finance[Xero Invoice No]))=COUNTIFS(tbl_Finance[Job Number],C131&amp;"",tbl_Finance[Xero Invoice No],"&lt;&gt;"),LOOKUP(2,1/((tbl_Finance[Job Number]=C131&amp;"")*(tbl_Finance[Xero Invoice No]&lt;&gt;"")),tbl_Finance[Xero Invoice No]),LOOKUP(2,1/((tbl_Finance[Job Number]=C131&amp;"")*(tbl_Finance[Xero Invoice No]&lt;&gt;"")),tbl_Finance[Xero Invoice No])&amp;" +more"),"")))</f>
        <v/>
      </c>
      <c r="C131" s="24" t="n"/>
      <c r="D131" s="25">
        <f>IF(C131="","",IF(COUNTIF(lst_Jobs,C131&amp;"")&gt;0,"OK","CHECK"))</f>
        <v/>
      </c>
      <c r="E131" s="25">
        <f>IF(C131="","",IFERROR(INDEX(lst_JobName,MATCH(C131&amp;"",lst_Jobs,0)),""))</f>
        <v/>
      </c>
      <c r="F131" s="25">
        <f>IF(C131="","",IFERROR(INDEX(tbl_Finance[Client],MATCH(C131&amp;"",tbl_Finance[Job Number],0)),""))</f>
        <v/>
      </c>
      <c r="G131" s="28">
        <f>IF(C131="","",COUNTIFS(tbl_Finance[Job Number],C131&amp;"",tbl_Finance[Ex GST],"&lt;&gt;"))</f>
        <v/>
      </c>
      <c r="H131" s="27">
        <f>IF(C131="","",SUMIFS(tbl_Finance[Ex GST],tbl_Finance[Job Number],C131&amp;""))</f>
        <v/>
      </c>
      <c r="I131" s="27">
        <f>IF(C131="","",SUMIFS(tbl_Finance[Ex GST],tbl_Finance[Job Number],C131&amp;"",tbl_Finance[Xero Invoice No],"&lt;&gt;"))</f>
        <v/>
      </c>
      <c r="J131" s="27">
        <f>IF(C131="","",H131-I131)</f>
        <v/>
      </c>
      <c r="K131" s="25">
        <f>IF(C131="","",IF(G131=0,"not invoiced yet",SUBSTITUTE(TRIM(IF(COUNTIFS(tbl_Finance[Job Number],C131&amp;"",tbl_Finance[Cost Centre],"ONSITE")&gt;0,"ONSITE ","")&amp;IF(COUNTIFS(tbl_Finance[Job Number],C131&amp;"",tbl_Finance[Cost Centre],"PRODUCTION")&gt;0,"PRODUCTION ","")&amp;IF(COUNTIFS(tbl_Finance[Job Number],C131&amp;"",tbl_Finance[Cost Centre],"VIDEO")&gt;0,"VIDEO ","")&amp;IF(COUNTIFS(tbl_Finance[Job Number],C131&amp;"",tbl_Finance[Cost Centre],"INTEGRATION")&gt;0,"INTEGRATION ","")&amp;IF(COUNTIFS(tbl_Finance[Job Number],C131&amp;"",tbl_Finance[Cost Centre],"CONSULTING")&gt;0,"CONSULTING ","")&amp;IF(COUNTIFS(tbl_Finance[Job Number],C131&amp;"",tbl_Finance[Cost Centre],"CTS")&gt;0,"CTS ",""))," ",", ")))</f>
        <v/>
      </c>
      <c r="L131" s="24" t="n"/>
      <c r="M131" s="24" t="n"/>
      <c r="N131" s="25">
        <f>IF(M131="","",HYPERLINK(IF(LEFT(M131,4)="http",M131,set_QwilrBase&amp;M131),"Open quote"))</f>
        <v/>
      </c>
      <c r="O131" s="64" t="n"/>
      <c r="P131" s="24" t="n"/>
      <c r="Q131" s="24" t="n"/>
    </row>
    <row r="132" ht="15" customHeight="1">
      <c r="A132" s="63">
        <f>IF(C132="","",IFERROR(IF(SUMPRODUCT(MAX((tbl_Finance[Job Number]=C132&amp;"")*(tbl_Finance[Xero Invoice No]&lt;&gt;"")*tbl_Finance[Date]))=0,"",SUMPRODUCT(MAX((tbl_Finance[Job Number]=C132&amp;"")*(tbl_Finance[Xero Invoice No]&lt;&gt;"")*tbl_Finance[Date]))),""))</f>
        <v/>
      </c>
      <c r="B132" s="25">
        <f>IF(C132="","",IF(COUNTIFS(tbl_Finance[Job Number],C132&amp;"",tbl_Finance[Xero Invoice No],"&lt;&gt;")=0,"",IFERROR(IF(COUNTIFS(tbl_Finance[Job Number],C132&amp;"",tbl_Finance[Xero Invoice No],LOOKUP(2,1/((tbl_Finance[Job Number]=C132&amp;"")*(tbl_Finance[Xero Invoice No]&lt;&gt;"")),tbl_Finance[Xero Invoice No]))=COUNTIFS(tbl_Finance[Job Number],C132&amp;"",tbl_Finance[Xero Invoice No],"&lt;&gt;"),LOOKUP(2,1/((tbl_Finance[Job Number]=C132&amp;"")*(tbl_Finance[Xero Invoice No]&lt;&gt;"")),tbl_Finance[Xero Invoice No]),LOOKUP(2,1/((tbl_Finance[Job Number]=C132&amp;"")*(tbl_Finance[Xero Invoice No]&lt;&gt;"")),tbl_Finance[Xero Invoice No])&amp;" +more"),"")))</f>
        <v/>
      </c>
      <c r="C132" s="24" t="n"/>
      <c r="D132" s="25">
        <f>IF(C132="","",IF(COUNTIF(lst_Jobs,C132&amp;"")&gt;0,"OK","CHECK"))</f>
        <v/>
      </c>
      <c r="E132" s="25">
        <f>IF(C132="","",IFERROR(INDEX(lst_JobName,MATCH(C132&amp;"",lst_Jobs,0)),""))</f>
        <v/>
      </c>
      <c r="F132" s="25">
        <f>IF(C132="","",IFERROR(INDEX(tbl_Finance[Client],MATCH(C132&amp;"",tbl_Finance[Job Number],0)),""))</f>
        <v/>
      </c>
      <c r="G132" s="28">
        <f>IF(C132="","",COUNTIFS(tbl_Finance[Job Number],C132&amp;"",tbl_Finance[Ex GST],"&lt;&gt;"))</f>
        <v/>
      </c>
      <c r="H132" s="27">
        <f>IF(C132="","",SUMIFS(tbl_Finance[Ex GST],tbl_Finance[Job Number],C132&amp;""))</f>
        <v/>
      </c>
      <c r="I132" s="27">
        <f>IF(C132="","",SUMIFS(tbl_Finance[Ex GST],tbl_Finance[Job Number],C132&amp;"",tbl_Finance[Xero Invoice No],"&lt;&gt;"))</f>
        <v/>
      </c>
      <c r="J132" s="27">
        <f>IF(C132="","",H132-I132)</f>
        <v/>
      </c>
      <c r="K132" s="25">
        <f>IF(C132="","",IF(G132=0,"not invoiced yet",SUBSTITUTE(TRIM(IF(COUNTIFS(tbl_Finance[Job Number],C132&amp;"",tbl_Finance[Cost Centre],"ONSITE")&gt;0,"ONSITE ","")&amp;IF(COUNTIFS(tbl_Finance[Job Number],C132&amp;"",tbl_Finance[Cost Centre],"PRODUCTION")&gt;0,"PRODUCTION ","")&amp;IF(COUNTIFS(tbl_Finance[Job Number],C132&amp;"",tbl_Finance[Cost Centre],"VIDEO")&gt;0,"VIDEO ","")&amp;IF(COUNTIFS(tbl_Finance[Job Number],C132&amp;"",tbl_Finance[Cost Centre],"INTEGRATION")&gt;0,"INTEGRATION ","")&amp;IF(COUNTIFS(tbl_Finance[Job Number],C132&amp;"",tbl_Finance[Cost Centre],"CONSULTING")&gt;0,"CONSULTING ","")&amp;IF(COUNTIFS(tbl_Finance[Job Number],C132&amp;"",tbl_Finance[Cost Centre],"CTS")&gt;0,"CTS ",""))," ",", ")))</f>
        <v/>
      </c>
      <c r="L132" s="24" t="n"/>
      <c r="M132" s="24" t="n"/>
      <c r="N132" s="25">
        <f>IF(M132="","",HYPERLINK(IF(LEFT(M132,4)="http",M132,set_QwilrBase&amp;M132),"Open quote"))</f>
        <v/>
      </c>
      <c r="O132" s="64" t="n"/>
      <c r="P132" s="24" t="n"/>
      <c r="Q132" s="24" t="n"/>
    </row>
    <row r="133" ht="15" customHeight="1">
      <c r="A133" s="63">
        <f>IF(C133="","",IFERROR(IF(SUMPRODUCT(MAX((tbl_Finance[Job Number]=C133&amp;"")*(tbl_Finance[Xero Invoice No]&lt;&gt;"")*tbl_Finance[Date]))=0,"",SUMPRODUCT(MAX((tbl_Finance[Job Number]=C133&amp;"")*(tbl_Finance[Xero Invoice No]&lt;&gt;"")*tbl_Finance[Date]))),""))</f>
        <v/>
      </c>
      <c r="B133" s="25">
        <f>IF(C133="","",IF(COUNTIFS(tbl_Finance[Job Number],C133&amp;"",tbl_Finance[Xero Invoice No],"&lt;&gt;")=0,"",IFERROR(IF(COUNTIFS(tbl_Finance[Job Number],C133&amp;"",tbl_Finance[Xero Invoice No],LOOKUP(2,1/((tbl_Finance[Job Number]=C133&amp;"")*(tbl_Finance[Xero Invoice No]&lt;&gt;"")),tbl_Finance[Xero Invoice No]))=COUNTIFS(tbl_Finance[Job Number],C133&amp;"",tbl_Finance[Xero Invoice No],"&lt;&gt;"),LOOKUP(2,1/((tbl_Finance[Job Number]=C133&amp;"")*(tbl_Finance[Xero Invoice No]&lt;&gt;"")),tbl_Finance[Xero Invoice No]),LOOKUP(2,1/((tbl_Finance[Job Number]=C133&amp;"")*(tbl_Finance[Xero Invoice No]&lt;&gt;"")),tbl_Finance[Xero Invoice No])&amp;" +more"),"")))</f>
        <v/>
      </c>
      <c r="C133" s="24" t="n"/>
      <c r="D133" s="25">
        <f>IF(C133="","",IF(COUNTIF(lst_Jobs,C133&amp;"")&gt;0,"OK","CHECK"))</f>
        <v/>
      </c>
      <c r="E133" s="25">
        <f>IF(C133="","",IFERROR(INDEX(lst_JobName,MATCH(C133&amp;"",lst_Jobs,0)),""))</f>
        <v/>
      </c>
      <c r="F133" s="25">
        <f>IF(C133="","",IFERROR(INDEX(tbl_Finance[Client],MATCH(C133&amp;"",tbl_Finance[Job Number],0)),""))</f>
        <v/>
      </c>
      <c r="G133" s="28">
        <f>IF(C133="","",COUNTIFS(tbl_Finance[Job Number],C133&amp;"",tbl_Finance[Ex GST],"&lt;&gt;"))</f>
        <v/>
      </c>
      <c r="H133" s="27">
        <f>IF(C133="","",SUMIFS(tbl_Finance[Ex GST],tbl_Finance[Job Number],C133&amp;""))</f>
        <v/>
      </c>
      <c r="I133" s="27">
        <f>IF(C133="","",SUMIFS(tbl_Finance[Ex GST],tbl_Finance[Job Number],C133&amp;"",tbl_Finance[Xero Invoice No],"&lt;&gt;"))</f>
        <v/>
      </c>
      <c r="J133" s="27">
        <f>IF(C133="","",H133-I133)</f>
        <v/>
      </c>
      <c r="K133" s="25">
        <f>IF(C133="","",IF(G133=0,"not invoiced yet",SUBSTITUTE(TRIM(IF(COUNTIFS(tbl_Finance[Job Number],C133&amp;"",tbl_Finance[Cost Centre],"ONSITE")&gt;0,"ONSITE ","")&amp;IF(COUNTIFS(tbl_Finance[Job Number],C133&amp;"",tbl_Finance[Cost Centre],"PRODUCTION")&gt;0,"PRODUCTION ","")&amp;IF(COUNTIFS(tbl_Finance[Job Number],C133&amp;"",tbl_Finance[Cost Centre],"VIDEO")&gt;0,"VIDEO ","")&amp;IF(COUNTIFS(tbl_Finance[Job Number],C133&amp;"",tbl_Finance[Cost Centre],"INTEGRATION")&gt;0,"INTEGRATION ","")&amp;IF(COUNTIFS(tbl_Finance[Job Number],C133&amp;"",tbl_Finance[Cost Centre],"CONSULTING")&gt;0,"CONSULTING ","")&amp;IF(COUNTIFS(tbl_Finance[Job Number],C133&amp;"",tbl_Finance[Cost Centre],"CTS")&gt;0,"CTS ",""))," ",", ")))</f>
        <v/>
      </c>
      <c r="L133" s="24" t="n"/>
      <c r="M133" s="24" t="n"/>
      <c r="N133" s="25">
        <f>IF(M133="","",HYPERLINK(IF(LEFT(M133,4)="http",M133,set_QwilrBase&amp;M133),"Open quote"))</f>
        <v/>
      </c>
      <c r="O133" s="64" t="n"/>
      <c r="P133" s="24" t="n"/>
      <c r="Q133" s="24" t="n"/>
    </row>
    <row r="134" ht="15" customHeight="1">
      <c r="A134" s="63">
        <f>IF(C134="","",IFERROR(IF(SUMPRODUCT(MAX((tbl_Finance[Job Number]=C134&amp;"")*(tbl_Finance[Xero Invoice No]&lt;&gt;"")*tbl_Finance[Date]))=0,"",SUMPRODUCT(MAX((tbl_Finance[Job Number]=C134&amp;"")*(tbl_Finance[Xero Invoice No]&lt;&gt;"")*tbl_Finance[Date]))),""))</f>
        <v/>
      </c>
      <c r="B134" s="25">
        <f>IF(C134="","",IF(COUNTIFS(tbl_Finance[Job Number],C134&amp;"",tbl_Finance[Xero Invoice No],"&lt;&gt;")=0,"",IFERROR(IF(COUNTIFS(tbl_Finance[Job Number],C134&amp;"",tbl_Finance[Xero Invoice No],LOOKUP(2,1/((tbl_Finance[Job Number]=C134&amp;"")*(tbl_Finance[Xero Invoice No]&lt;&gt;"")),tbl_Finance[Xero Invoice No]))=COUNTIFS(tbl_Finance[Job Number],C134&amp;"",tbl_Finance[Xero Invoice No],"&lt;&gt;"),LOOKUP(2,1/((tbl_Finance[Job Number]=C134&amp;"")*(tbl_Finance[Xero Invoice No]&lt;&gt;"")),tbl_Finance[Xero Invoice No]),LOOKUP(2,1/((tbl_Finance[Job Number]=C134&amp;"")*(tbl_Finance[Xero Invoice No]&lt;&gt;"")),tbl_Finance[Xero Invoice No])&amp;" +more"),"")))</f>
        <v/>
      </c>
      <c r="C134" s="24" t="n"/>
      <c r="D134" s="25">
        <f>IF(C134="","",IF(COUNTIF(lst_Jobs,C134&amp;"")&gt;0,"OK","CHECK"))</f>
        <v/>
      </c>
      <c r="E134" s="25">
        <f>IF(C134="","",IFERROR(INDEX(lst_JobName,MATCH(C134&amp;"",lst_Jobs,0)),""))</f>
        <v/>
      </c>
      <c r="F134" s="25">
        <f>IF(C134="","",IFERROR(INDEX(tbl_Finance[Client],MATCH(C134&amp;"",tbl_Finance[Job Number],0)),""))</f>
        <v/>
      </c>
      <c r="G134" s="28">
        <f>IF(C134="","",COUNTIFS(tbl_Finance[Job Number],C134&amp;"",tbl_Finance[Ex GST],"&lt;&gt;"))</f>
        <v/>
      </c>
      <c r="H134" s="27">
        <f>IF(C134="","",SUMIFS(tbl_Finance[Ex GST],tbl_Finance[Job Number],C134&amp;""))</f>
        <v/>
      </c>
      <c r="I134" s="27">
        <f>IF(C134="","",SUMIFS(tbl_Finance[Ex GST],tbl_Finance[Job Number],C134&amp;"",tbl_Finance[Xero Invoice No],"&lt;&gt;"))</f>
        <v/>
      </c>
      <c r="J134" s="27">
        <f>IF(C134="","",H134-I134)</f>
        <v/>
      </c>
      <c r="K134" s="25">
        <f>IF(C134="","",IF(G134=0,"not invoiced yet",SUBSTITUTE(TRIM(IF(COUNTIFS(tbl_Finance[Job Number],C134&amp;"",tbl_Finance[Cost Centre],"ONSITE")&gt;0,"ONSITE ","")&amp;IF(COUNTIFS(tbl_Finance[Job Number],C134&amp;"",tbl_Finance[Cost Centre],"PRODUCTION")&gt;0,"PRODUCTION ","")&amp;IF(COUNTIFS(tbl_Finance[Job Number],C134&amp;"",tbl_Finance[Cost Centre],"VIDEO")&gt;0,"VIDEO ","")&amp;IF(COUNTIFS(tbl_Finance[Job Number],C134&amp;"",tbl_Finance[Cost Centre],"INTEGRATION")&gt;0,"INTEGRATION ","")&amp;IF(COUNTIFS(tbl_Finance[Job Number],C134&amp;"",tbl_Finance[Cost Centre],"CONSULTING")&gt;0,"CONSULTING ","")&amp;IF(COUNTIFS(tbl_Finance[Job Number],C134&amp;"",tbl_Finance[Cost Centre],"CTS")&gt;0,"CTS ",""))," ",", ")))</f>
        <v/>
      </c>
      <c r="L134" s="24" t="n"/>
      <c r="M134" s="24" t="n"/>
      <c r="N134" s="25">
        <f>IF(M134="","",HYPERLINK(IF(LEFT(M134,4)="http",M134,set_QwilrBase&amp;M134),"Open quote"))</f>
        <v/>
      </c>
      <c r="O134" s="64" t="n"/>
      <c r="P134" s="24" t="n"/>
      <c r="Q134" s="24" t="n"/>
    </row>
    <row r="135" ht="15" customHeight="1">
      <c r="A135" s="63">
        <f>IF(C135="","",IFERROR(IF(SUMPRODUCT(MAX((tbl_Finance[Job Number]=C135&amp;"")*(tbl_Finance[Xero Invoice No]&lt;&gt;"")*tbl_Finance[Date]))=0,"",SUMPRODUCT(MAX((tbl_Finance[Job Number]=C135&amp;"")*(tbl_Finance[Xero Invoice No]&lt;&gt;"")*tbl_Finance[Date]))),""))</f>
        <v/>
      </c>
      <c r="B135" s="25">
        <f>IF(C135="","",IF(COUNTIFS(tbl_Finance[Job Number],C135&amp;"",tbl_Finance[Xero Invoice No],"&lt;&gt;")=0,"",IFERROR(IF(COUNTIFS(tbl_Finance[Job Number],C135&amp;"",tbl_Finance[Xero Invoice No],LOOKUP(2,1/((tbl_Finance[Job Number]=C135&amp;"")*(tbl_Finance[Xero Invoice No]&lt;&gt;"")),tbl_Finance[Xero Invoice No]))=COUNTIFS(tbl_Finance[Job Number],C135&amp;"",tbl_Finance[Xero Invoice No],"&lt;&gt;"),LOOKUP(2,1/((tbl_Finance[Job Number]=C135&amp;"")*(tbl_Finance[Xero Invoice No]&lt;&gt;"")),tbl_Finance[Xero Invoice No]),LOOKUP(2,1/((tbl_Finance[Job Number]=C135&amp;"")*(tbl_Finance[Xero Invoice No]&lt;&gt;"")),tbl_Finance[Xero Invoice No])&amp;" +more"),"")))</f>
        <v/>
      </c>
      <c r="C135" s="24" t="n"/>
      <c r="D135" s="25">
        <f>IF(C135="","",IF(COUNTIF(lst_Jobs,C135&amp;"")&gt;0,"OK","CHECK"))</f>
        <v/>
      </c>
      <c r="E135" s="25">
        <f>IF(C135="","",IFERROR(INDEX(lst_JobName,MATCH(C135&amp;"",lst_Jobs,0)),""))</f>
        <v/>
      </c>
      <c r="F135" s="25">
        <f>IF(C135="","",IFERROR(INDEX(tbl_Finance[Client],MATCH(C135&amp;"",tbl_Finance[Job Number],0)),""))</f>
        <v/>
      </c>
      <c r="G135" s="28">
        <f>IF(C135="","",COUNTIFS(tbl_Finance[Job Number],C135&amp;"",tbl_Finance[Ex GST],"&lt;&gt;"))</f>
        <v/>
      </c>
      <c r="H135" s="27">
        <f>IF(C135="","",SUMIFS(tbl_Finance[Ex GST],tbl_Finance[Job Number],C135&amp;""))</f>
        <v/>
      </c>
      <c r="I135" s="27">
        <f>IF(C135="","",SUMIFS(tbl_Finance[Ex GST],tbl_Finance[Job Number],C135&amp;"",tbl_Finance[Xero Invoice No],"&lt;&gt;"))</f>
        <v/>
      </c>
      <c r="J135" s="27">
        <f>IF(C135="","",H135-I135)</f>
        <v/>
      </c>
      <c r="K135" s="25">
        <f>IF(C135="","",IF(G135=0,"not invoiced yet",SUBSTITUTE(TRIM(IF(COUNTIFS(tbl_Finance[Job Number],C135&amp;"",tbl_Finance[Cost Centre],"ONSITE")&gt;0,"ONSITE ","")&amp;IF(COUNTIFS(tbl_Finance[Job Number],C135&amp;"",tbl_Finance[Cost Centre],"PRODUCTION")&gt;0,"PRODUCTION ","")&amp;IF(COUNTIFS(tbl_Finance[Job Number],C135&amp;"",tbl_Finance[Cost Centre],"VIDEO")&gt;0,"VIDEO ","")&amp;IF(COUNTIFS(tbl_Finance[Job Number],C135&amp;"",tbl_Finance[Cost Centre],"INTEGRATION")&gt;0,"INTEGRATION ","")&amp;IF(COUNTIFS(tbl_Finance[Job Number],C135&amp;"",tbl_Finance[Cost Centre],"CONSULTING")&gt;0,"CONSULTING ","")&amp;IF(COUNTIFS(tbl_Finance[Job Number],C135&amp;"",tbl_Finance[Cost Centre],"CTS")&gt;0,"CTS ",""))," ",", ")))</f>
        <v/>
      </c>
      <c r="L135" s="24" t="n"/>
      <c r="M135" s="24" t="n"/>
      <c r="N135" s="25">
        <f>IF(M135="","",HYPERLINK(IF(LEFT(M135,4)="http",M135,set_QwilrBase&amp;M135),"Open quote"))</f>
        <v/>
      </c>
      <c r="O135" s="64" t="n"/>
      <c r="P135" s="24" t="n"/>
      <c r="Q135" s="24" t="n"/>
    </row>
    <row r="136" ht="15" customHeight="1">
      <c r="A136" s="63">
        <f>IF(C136="","",IFERROR(IF(SUMPRODUCT(MAX((tbl_Finance[Job Number]=C136&amp;"")*(tbl_Finance[Xero Invoice No]&lt;&gt;"")*tbl_Finance[Date]))=0,"",SUMPRODUCT(MAX((tbl_Finance[Job Number]=C136&amp;"")*(tbl_Finance[Xero Invoice No]&lt;&gt;"")*tbl_Finance[Date]))),""))</f>
        <v/>
      </c>
      <c r="B136" s="25">
        <f>IF(C136="","",IF(COUNTIFS(tbl_Finance[Job Number],C136&amp;"",tbl_Finance[Xero Invoice No],"&lt;&gt;")=0,"",IFERROR(IF(COUNTIFS(tbl_Finance[Job Number],C136&amp;"",tbl_Finance[Xero Invoice No],LOOKUP(2,1/((tbl_Finance[Job Number]=C136&amp;"")*(tbl_Finance[Xero Invoice No]&lt;&gt;"")),tbl_Finance[Xero Invoice No]))=COUNTIFS(tbl_Finance[Job Number],C136&amp;"",tbl_Finance[Xero Invoice No],"&lt;&gt;"),LOOKUP(2,1/((tbl_Finance[Job Number]=C136&amp;"")*(tbl_Finance[Xero Invoice No]&lt;&gt;"")),tbl_Finance[Xero Invoice No]),LOOKUP(2,1/((tbl_Finance[Job Number]=C136&amp;"")*(tbl_Finance[Xero Invoice No]&lt;&gt;"")),tbl_Finance[Xero Invoice No])&amp;" +more"),"")))</f>
        <v/>
      </c>
      <c r="C136" s="24" t="n"/>
      <c r="D136" s="25">
        <f>IF(C136="","",IF(COUNTIF(lst_Jobs,C136&amp;"")&gt;0,"OK","CHECK"))</f>
        <v/>
      </c>
      <c r="E136" s="25">
        <f>IF(C136="","",IFERROR(INDEX(lst_JobName,MATCH(C136&amp;"",lst_Jobs,0)),""))</f>
        <v/>
      </c>
      <c r="F136" s="25">
        <f>IF(C136="","",IFERROR(INDEX(tbl_Finance[Client],MATCH(C136&amp;"",tbl_Finance[Job Number],0)),""))</f>
        <v/>
      </c>
      <c r="G136" s="28">
        <f>IF(C136="","",COUNTIFS(tbl_Finance[Job Number],C136&amp;"",tbl_Finance[Ex GST],"&lt;&gt;"))</f>
        <v/>
      </c>
      <c r="H136" s="27">
        <f>IF(C136="","",SUMIFS(tbl_Finance[Ex GST],tbl_Finance[Job Number],C136&amp;""))</f>
        <v/>
      </c>
      <c r="I136" s="27">
        <f>IF(C136="","",SUMIFS(tbl_Finance[Ex GST],tbl_Finance[Job Number],C136&amp;"",tbl_Finance[Xero Invoice No],"&lt;&gt;"))</f>
        <v/>
      </c>
      <c r="J136" s="27">
        <f>IF(C136="","",H136-I136)</f>
        <v/>
      </c>
      <c r="K136" s="25">
        <f>IF(C136="","",IF(G136=0,"not invoiced yet",SUBSTITUTE(TRIM(IF(COUNTIFS(tbl_Finance[Job Number],C136&amp;"",tbl_Finance[Cost Centre],"ONSITE")&gt;0,"ONSITE ","")&amp;IF(COUNTIFS(tbl_Finance[Job Number],C136&amp;"",tbl_Finance[Cost Centre],"PRODUCTION")&gt;0,"PRODUCTION ","")&amp;IF(COUNTIFS(tbl_Finance[Job Number],C136&amp;"",tbl_Finance[Cost Centre],"VIDEO")&gt;0,"VIDEO ","")&amp;IF(COUNTIFS(tbl_Finance[Job Number],C136&amp;"",tbl_Finance[Cost Centre],"INTEGRATION")&gt;0,"INTEGRATION ","")&amp;IF(COUNTIFS(tbl_Finance[Job Number],C136&amp;"",tbl_Finance[Cost Centre],"CONSULTING")&gt;0,"CONSULTING ","")&amp;IF(COUNTIFS(tbl_Finance[Job Number],C136&amp;"",tbl_Finance[Cost Centre],"CTS")&gt;0,"CTS ",""))," ",", ")))</f>
        <v/>
      </c>
      <c r="L136" s="24" t="n"/>
      <c r="M136" s="24" t="n"/>
      <c r="N136" s="25">
        <f>IF(M136="","",HYPERLINK(IF(LEFT(M136,4)="http",M136,set_QwilrBase&amp;M136),"Open quote"))</f>
        <v/>
      </c>
      <c r="O136" s="64" t="n"/>
      <c r="P136" s="24" t="n"/>
      <c r="Q136" s="24" t="n"/>
    </row>
    <row r="137" ht="15" customHeight="1">
      <c r="A137" s="63">
        <f>IF(C137="","",IFERROR(IF(SUMPRODUCT(MAX((tbl_Finance[Job Number]=C137&amp;"")*(tbl_Finance[Xero Invoice No]&lt;&gt;"")*tbl_Finance[Date]))=0,"",SUMPRODUCT(MAX((tbl_Finance[Job Number]=C137&amp;"")*(tbl_Finance[Xero Invoice No]&lt;&gt;"")*tbl_Finance[Date]))),""))</f>
        <v/>
      </c>
      <c r="B137" s="25">
        <f>IF(C137="","",IF(COUNTIFS(tbl_Finance[Job Number],C137&amp;"",tbl_Finance[Xero Invoice No],"&lt;&gt;")=0,"",IFERROR(IF(COUNTIFS(tbl_Finance[Job Number],C137&amp;"",tbl_Finance[Xero Invoice No],LOOKUP(2,1/((tbl_Finance[Job Number]=C137&amp;"")*(tbl_Finance[Xero Invoice No]&lt;&gt;"")),tbl_Finance[Xero Invoice No]))=COUNTIFS(tbl_Finance[Job Number],C137&amp;"",tbl_Finance[Xero Invoice No],"&lt;&gt;"),LOOKUP(2,1/((tbl_Finance[Job Number]=C137&amp;"")*(tbl_Finance[Xero Invoice No]&lt;&gt;"")),tbl_Finance[Xero Invoice No]),LOOKUP(2,1/((tbl_Finance[Job Number]=C137&amp;"")*(tbl_Finance[Xero Invoice No]&lt;&gt;"")),tbl_Finance[Xero Invoice No])&amp;" +more"),"")))</f>
        <v/>
      </c>
      <c r="C137" s="24" t="n"/>
      <c r="D137" s="25">
        <f>IF(C137="","",IF(COUNTIF(lst_Jobs,C137&amp;"")&gt;0,"OK","CHECK"))</f>
        <v/>
      </c>
      <c r="E137" s="25">
        <f>IF(C137="","",IFERROR(INDEX(lst_JobName,MATCH(C137&amp;"",lst_Jobs,0)),""))</f>
        <v/>
      </c>
      <c r="F137" s="25">
        <f>IF(C137="","",IFERROR(INDEX(tbl_Finance[Client],MATCH(C137&amp;"",tbl_Finance[Job Number],0)),""))</f>
        <v/>
      </c>
      <c r="G137" s="28">
        <f>IF(C137="","",COUNTIFS(tbl_Finance[Job Number],C137&amp;"",tbl_Finance[Ex GST],"&lt;&gt;"))</f>
        <v/>
      </c>
      <c r="H137" s="27">
        <f>IF(C137="","",SUMIFS(tbl_Finance[Ex GST],tbl_Finance[Job Number],C137&amp;""))</f>
        <v/>
      </c>
      <c r="I137" s="27">
        <f>IF(C137="","",SUMIFS(tbl_Finance[Ex GST],tbl_Finance[Job Number],C137&amp;"",tbl_Finance[Xero Invoice No],"&lt;&gt;"))</f>
        <v/>
      </c>
      <c r="J137" s="27">
        <f>IF(C137="","",H137-I137)</f>
        <v/>
      </c>
      <c r="K137" s="25">
        <f>IF(C137="","",IF(G137=0,"not invoiced yet",SUBSTITUTE(TRIM(IF(COUNTIFS(tbl_Finance[Job Number],C137&amp;"",tbl_Finance[Cost Centre],"ONSITE")&gt;0,"ONSITE ","")&amp;IF(COUNTIFS(tbl_Finance[Job Number],C137&amp;"",tbl_Finance[Cost Centre],"PRODUCTION")&gt;0,"PRODUCTION ","")&amp;IF(COUNTIFS(tbl_Finance[Job Number],C137&amp;"",tbl_Finance[Cost Centre],"VIDEO")&gt;0,"VIDEO ","")&amp;IF(COUNTIFS(tbl_Finance[Job Number],C137&amp;"",tbl_Finance[Cost Centre],"INTEGRATION")&gt;0,"INTEGRATION ","")&amp;IF(COUNTIFS(tbl_Finance[Job Number],C137&amp;"",tbl_Finance[Cost Centre],"CONSULTING")&gt;0,"CONSULTING ","")&amp;IF(COUNTIFS(tbl_Finance[Job Number],C137&amp;"",tbl_Finance[Cost Centre],"CTS")&gt;0,"CTS ",""))," ",", ")))</f>
        <v/>
      </c>
      <c r="L137" s="24" t="n"/>
      <c r="M137" s="24" t="n"/>
      <c r="N137" s="25">
        <f>IF(M137="","",HYPERLINK(IF(LEFT(M137,4)="http",M137,set_QwilrBase&amp;M137),"Open quote"))</f>
        <v/>
      </c>
      <c r="O137" s="64" t="n"/>
      <c r="P137" s="24" t="n"/>
      <c r="Q137" s="24" t="n"/>
    </row>
    <row r="138" ht="15" customHeight="1">
      <c r="A138" s="63">
        <f>IF(C138="","",IFERROR(IF(SUMPRODUCT(MAX((tbl_Finance[Job Number]=C138&amp;"")*(tbl_Finance[Xero Invoice No]&lt;&gt;"")*tbl_Finance[Date]))=0,"",SUMPRODUCT(MAX((tbl_Finance[Job Number]=C138&amp;"")*(tbl_Finance[Xero Invoice No]&lt;&gt;"")*tbl_Finance[Date]))),""))</f>
        <v/>
      </c>
      <c r="B138" s="25">
        <f>IF(C138="","",IF(COUNTIFS(tbl_Finance[Job Number],C138&amp;"",tbl_Finance[Xero Invoice No],"&lt;&gt;")=0,"",IFERROR(IF(COUNTIFS(tbl_Finance[Job Number],C138&amp;"",tbl_Finance[Xero Invoice No],LOOKUP(2,1/((tbl_Finance[Job Number]=C138&amp;"")*(tbl_Finance[Xero Invoice No]&lt;&gt;"")),tbl_Finance[Xero Invoice No]))=COUNTIFS(tbl_Finance[Job Number],C138&amp;"",tbl_Finance[Xero Invoice No],"&lt;&gt;"),LOOKUP(2,1/((tbl_Finance[Job Number]=C138&amp;"")*(tbl_Finance[Xero Invoice No]&lt;&gt;"")),tbl_Finance[Xero Invoice No]),LOOKUP(2,1/((tbl_Finance[Job Number]=C138&amp;"")*(tbl_Finance[Xero Invoice No]&lt;&gt;"")),tbl_Finance[Xero Invoice No])&amp;" +more"),"")))</f>
        <v/>
      </c>
      <c r="C138" s="24" t="n"/>
      <c r="D138" s="25">
        <f>IF(C138="","",IF(COUNTIF(lst_Jobs,C138&amp;"")&gt;0,"OK","CHECK"))</f>
        <v/>
      </c>
      <c r="E138" s="25">
        <f>IF(C138="","",IFERROR(INDEX(lst_JobName,MATCH(C138&amp;"",lst_Jobs,0)),""))</f>
        <v/>
      </c>
      <c r="F138" s="25">
        <f>IF(C138="","",IFERROR(INDEX(tbl_Finance[Client],MATCH(C138&amp;"",tbl_Finance[Job Number],0)),""))</f>
        <v/>
      </c>
      <c r="G138" s="28">
        <f>IF(C138="","",COUNTIFS(tbl_Finance[Job Number],C138&amp;"",tbl_Finance[Ex GST],"&lt;&gt;"))</f>
        <v/>
      </c>
      <c r="H138" s="27">
        <f>IF(C138="","",SUMIFS(tbl_Finance[Ex GST],tbl_Finance[Job Number],C138&amp;""))</f>
        <v/>
      </c>
      <c r="I138" s="27">
        <f>IF(C138="","",SUMIFS(tbl_Finance[Ex GST],tbl_Finance[Job Number],C138&amp;"",tbl_Finance[Xero Invoice No],"&lt;&gt;"))</f>
        <v/>
      </c>
      <c r="J138" s="27">
        <f>IF(C138="","",H138-I138)</f>
        <v/>
      </c>
      <c r="K138" s="25">
        <f>IF(C138="","",IF(G138=0,"not invoiced yet",SUBSTITUTE(TRIM(IF(COUNTIFS(tbl_Finance[Job Number],C138&amp;"",tbl_Finance[Cost Centre],"ONSITE")&gt;0,"ONSITE ","")&amp;IF(COUNTIFS(tbl_Finance[Job Number],C138&amp;"",tbl_Finance[Cost Centre],"PRODUCTION")&gt;0,"PRODUCTION ","")&amp;IF(COUNTIFS(tbl_Finance[Job Number],C138&amp;"",tbl_Finance[Cost Centre],"VIDEO")&gt;0,"VIDEO ","")&amp;IF(COUNTIFS(tbl_Finance[Job Number],C138&amp;"",tbl_Finance[Cost Centre],"INTEGRATION")&gt;0,"INTEGRATION ","")&amp;IF(COUNTIFS(tbl_Finance[Job Number],C138&amp;"",tbl_Finance[Cost Centre],"CONSULTING")&gt;0,"CONSULTING ","")&amp;IF(COUNTIFS(tbl_Finance[Job Number],C138&amp;"",tbl_Finance[Cost Centre],"CTS")&gt;0,"CTS ",""))," ",", ")))</f>
        <v/>
      </c>
      <c r="L138" s="24" t="n"/>
      <c r="M138" s="24" t="n"/>
      <c r="N138" s="25">
        <f>IF(M138="","",HYPERLINK(IF(LEFT(M138,4)="http",M138,set_QwilrBase&amp;M138),"Open quote"))</f>
        <v/>
      </c>
      <c r="O138" s="64" t="n"/>
      <c r="P138" s="24" t="n"/>
      <c r="Q138" s="24" t="n"/>
    </row>
    <row r="139" ht="15" customHeight="1">
      <c r="A139" s="63">
        <f>IF(C139="","",IFERROR(IF(SUMPRODUCT(MAX((tbl_Finance[Job Number]=C139&amp;"")*(tbl_Finance[Xero Invoice No]&lt;&gt;"")*tbl_Finance[Date]))=0,"",SUMPRODUCT(MAX((tbl_Finance[Job Number]=C139&amp;"")*(tbl_Finance[Xero Invoice No]&lt;&gt;"")*tbl_Finance[Date]))),""))</f>
        <v/>
      </c>
      <c r="B139" s="25">
        <f>IF(C139="","",IF(COUNTIFS(tbl_Finance[Job Number],C139&amp;"",tbl_Finance[Xero Invoice No],"&lt;&gt;")=0,"",IFERROR(IF(COUNTIFS(tbl_Finance[Job Number],C139&amp;"",tbl_Finance[Xero Invoice No],LOOKUP(2,1/((tbl_Finance[Job Number]=C139&amp;"")*(tbl_Finance[Xero Invoice No]&lt;&gt;"")),tbl_Finance[Xero Invoice No]))=COUNTIFS(tbl_Finance[Job Number],C139&amp;"",tbl_Finance[Xero Invoice No],"&lt;&gt;"),LOOKUP(2,1/((tbl_Finance[Job Number]=C139&amp;"")*(tbl_Finance[Xero Invoice No]&lt;&gt;"")),tbl_Finance[Xero Invoice No]),LOOKUP(2,1/((tbl_Finance[Job Number]=C139&amp;"")*(tbl_Finance[Xero Invoice No]&lt;&gt;"")),tbl_Finance[Xero Invoice No])&amp;" +more"),"")))</f>
        <v/>
      </c>
      <c r="C139" s="24" t="n"/>
      <c r="D139" s="25">
        <f>IF(C139="","",IF(COUNTIF(lst_Jobs,C139&amp;"")&gt;0,"OK","CHECK"))</f>
        <v/>
      </c>
      <c r="E139" s="25">
        <f>IF(C139="","",IFERROR(INDEX(lst_JobName,MATCH(C139&amp;"",lst_Jobs,0)),""))</f>
        <v/>
      </c>
      <c r="F139" s="25">
        <f>IF(C139="","",IFERROR(INDEX(tbl_Finance[Client],MATCH(C139&amp;"",tbl_Finance[Job Number],0)),""))</f>
        <v/>
      </c>
      <c r="G139" s="28">
        <f>IF(C139="","",COUNTIFS(tbl_Finance[Job Number],C139&amp;"",tbl_Finance[Ex GST],"&lt;&gt;"))</f>
        <v/>
      </c>
      <c r="H139" s="27">
        <f>IF(C139="","",SUMIFS(tbl_Finance[Ex GST],tbl_Finance[Job Number],C139&amp;""))</f>
        <v/>
      </c>
      <c r="I139" s="27">
        <f>IF(C139="","",SUMIFS(tbl_Finance[Ex GST],tbl_Finance[Job Number],C139&amp;"",tbl_Finance[Xero Invoice No],"&lt;&gt;"))</f>
        <v/>
      </c>
      <c r="J139" s="27">
        <f>IF(C139="","",H139-I139)</f>
        <v/>
      </c>
      <c r="K139" s="25">
        <f>IF(C139="","",IF(G139=0,"not invoiced yet",SUBSTITUTE(TRIM(IF(COUNTIFS(tbl_Finance[Job Number],C139&amp;"",tbl_Finance[Cost Centre],"ONSITE")&gt;0,"ONSITE ","")&amp;IF(COUNTIFS(tbl_Finance[Job Number],C139&amp;"",tbl_Finance[Cost Centre],"PRODUCTION")&gt;0,"PRODUCTION ","")&amp;IF(COUNTIFS(tbl_Finance[Job Number],C139&amp;"",tbl_Finance[Cost Centre],"VIDEO")&gt;0,"VIDEO ","")&amp;IF(COUNTIFS(tbl_Finance[Job Number],C139&amp;"",tbl_Finance[Cost Centre],"INTEGRATION")&gt;0,"INTEGRATION ","")&amp;IF(COUNTIFS(tbl_Finance[Job Number],C139&amp;"",tbl_Finance[Cost Centre],"CONSULTING")&gt;0,"CONSULTING ","")&amp;IF(COUNTIFS(tbl_Finance[Job Number],C139&amp;"",tbl_Finance[Cost Centre],"CTS")&gt;0,"CTS ",""))," ",", ")))</f>
        <v/>
      </c>
      <c r="L139" s="24" t="n"/>
      <c r="M139" s="24" t="n"/>
      <c r="N139" s="25">
        <f>IF(M139="","",HYPERLINK(IF(LEFT(M139,4)="http",M139,set_QwilrBase&amp;M139),"Open quote"))</f>
        <v/>
      </c>
      <c r="O139" s="64" t="n"/>
      <c r="P139" s="24" t="n"/>
      <c r="Q139" s="24" t="n"/>
    </row>
    <row r="140" ht="15" customHeight="1">
      <c r="A140" s="63">
        <f>IF(C140="","",IFERROR(IF(SUMPRODUCT(MAX((tbl_Finance[Job Number]=C140&amp;"")*(tbl_Finance[Xero Invoice No]&lt;&gt;"")*tbl_Finance[Date]))=0,"",SUMPRODUCT(MAX((tbl_Finance[Job Number]=C140&amp;"")*(tbl_Finance[Xero Invoice No]&lt;&gt;"")*tbl_Finance[Date]))),""))</f>
        <v/>
      </c>
      <c r="B140" s="25">
        <f>IF(C140="","",IF(COUNTIFS(tbl_Finance[Job Number],C140&amp;"",tbl_Finance[Xero Invoice No],"&lt;&gt;")=0,"",IFERROR(IF(COUNTIFS(tbl_Finance[Job Number],C140&amp;"",tbl_Finance[Xero Invoice No],LOOKUP(2,1/((tbl_Finance[Job Number]=C140&amp;"")*(tbl_Finance[Xero Invoice No]&lt;&gt;"")),tbl_Finance[Xero Invoice No]))=COUNTIFS(tbl_Finance[Job Number],C140&amp;"",tbl_Finance[Xero Invoice No],"&lt;&gt;"),LOOKUP(2,1/((tbl_Finance[Job Number]=C140&amp;"")*(tbl_Finance[Xero Invoice No]&lt;&gt;"")),tbl_Finance[Xero Invoice No]),LOOKUP(2,1/((tbl_Finance[Job Number]=C140&amp;"")*(tbl_Finance[Xero Invoice No]&lt;&gt;"")),tbl_Finance[Xero Invoice No])&amp;" +more"),"")))</f>
        <v/>
      </c>
      <c r="C140" s="24" t="n"/>
      <c r="D140" s="25">
        <f>IF(C140="","",IF(COUNTIF(lst_Jobs,C140&amp;"")&gt;0,"OK","CHECK"))</f>
        <v/>
      </c>
      <c r="E140" s="25">
        <f>IF(C140="","",IFERROR(INDEX(lst_JobName,MATCH(C140&amp;"",lst_Jobs,0)),""))</f>
        <v/>
      </c>
      <c r="F140" s="25">
        <f>IF(C140="","",IFERROR(INDEX(tbl_Finance[Client],MATCH(C140&amp;"",tbl_Finance[Job Number],0)),""))</f>
        <v/>
      </c>
      <c r="G140" s="28">
        <f>IF(C140="","",COUNTIFS(tbl_Finance[Job Number],C140&amp;"",tbl_Finance[Ex GST],"&lt;&gt;"))</f>
        <v/>
      </c>
      <c r="H140" s="27">
        <f>IF(C140="","",SUMIFS(tbl_Finance[Ex GST],tbl_Finance[Job Number],C140&amp;""))</f>
        <v/>
      </c>
      <c r="I140" s="27">
        <f>IF(C140="","",SUMIFS(tbl_Finance[Ex GST],tbl_Finance[Job Number],C140&amp;"",tbl_Finance[Xero Invoice No],"&lt;&gt;"))</f>
        <v/>
      </c>
      <c r="J140" s="27">
        <f>IF(C140="","",H140-I140)</f>
        <v/>
      </c>
      <c r="K140" s="25">
        <f>IF(C140="","",IF(G140=0,"not invoiced yet",SUBSTITUTE(TRIM(IF(COUNTIFS(tbl_Finance[Job Number],C140&amp;"",tbl_Finance[Cost Centre],"ONSITE")&gt;0,"ONSITE ","")&amp;IF(COUNTIFS(tbl_Finance[Job Number],C140&amp;"",tbl_Finance[Cost Centre],"PRODUCTION")&gt;0,"PRODUCTION ","")&amp;IF(COUNTIFS(tbl_Finance[Job Number],C140&amp;"",tbl_Finance[Cost Centre],"VIDEO")&gt;0,"VIDEO ","")&amp;IF(COUNTIFS(tbl_Finance[Job Number],C140&amp;"",tbl_Finance[Cost Centre],"INTEGRATION")&gt;0,"INTEGRATION ","")&amp;IF(COUNTIFS(tbl_Finance[Job Number],C140&amp;"",tbl_Finance[Cost Centre],"CONSULTING")&gt;0,"CONSULTING ","")&amp;IF(COUNTIFS(tbl_Finance[Job Number],C140&amp;"",tbl_Finance[Cost Centre],"CTS")&gt;0,"CTS ",""))," ",", ")))</f>
        <v/>
      </c>
      <c r="L140" s="24" t="n"/>
      <c r="M140" s="24" t="n"/>
      <c r="N140" s="25">
        <f>IF(M140="","",HYPERLINK(IF(LEFT(M140,4)="http",M140,set_QwilrBase&amp;M140),"Open quote"))</f>
        <v/>
      </c>
      <c r="O140" s="64" t="n"/>
      <c r="P140" s="24" t="n"/>
      <c r="Q140" s="24" t="n"/>
    </row>
    <row r="141" ht="15" customHeight="1">
      <c r="A141" s="63">
        <f>IF(C141="","",IFERROR(IF(SUMPRODUCT(MAX((tbl_Finance[Job Number]=C141&amp;"")*(tbl_Finance[Xero Invoice No]&lt;&gt;"")*tbl_Finance[Date]))=0,"",SUMPRODUCT(MAX((tbl_Finance[Job Number]=C141&amp;"")*(tbl_Finance[Xero Invoice No]&lt;&gt;"")*tbl_Finance[Date]))),""))</f>
        <v/>
      </c>
      <c r="B141" s="25">
        <f>IF(C141="","",IF(COUNTIFS(tbl_Finance[Job Number],C141&amp;"",tbl_Finance[Xero Invoice No],"&lt;&gt;")=0,"",IFERROR(IF(COUNTIFS(tbl_Finance[Job Number],C141&amp;"",tbl_Finance[Xero Invoice No],LOOKUP(2,1/((tbl_Finance[Job Number]=C141&amp;"")*(tbl_Finance[Xero Invoice No]&lt;&gt;"")),tbl_Finance[Xero Invoice No]))=COUNTIFS(tbl_Finance[Job Number],C141&amp;"",tbl_Finance[Xero Invoice No],"&lt;&gt;"),LOOKUP(2,1/((tbl_Finance[Job Number]=C141&amp;"")*(tbl_Finance[Xero Invoice No]&lt;&gt;"")),tbl_Finance[Xero Invoice No]),LOOKUP(2,1/((tbl_Finance[Job Number]=C141&amp;"")*(tbl_Finance[Xero Invoice No]&lt;&gt;"")),tbl_Finance[Xero Invoice No])&amp;" +more"),"")))</f>
        <v/>
      </c>
      <c r="C141" s="24" t="n"/>
      <c r="D141" s="25">
        <f>IF(C141="","",IF(COUNTIF(lst_Jobs,C141&amp;"")&gt;0,"OK","CHECK"))</f>
        <v/>
      </c>
      <c r="E141" s="25">
        <f>IF(C141="","",IFERROR(INDEX(lst_JobName,MATCH(C141&amp;"",lst_Jobs,0)),""))</f>
        <v/>
      </c>
      <c r="F141" s="25">
        <f>IF(C141="","",IFERROR(INDEX(tbl_Finance[Client],MATCH(C141&amp;"",tbl_Finance[Job Number],0)),""))</f>
        <v/>
      </c>
      <c r="G141" s="28">
        <f>IF(C141="","",COUNTIFS(tbl_Finance[Job Number],C141&amp;"",tbl_Finance[Ex GST],"&lt;&gt;"))</f>
        <v/>
      </c>
      <c r="H141" s="27">
        <f>IF(C141="","",SUMIFS(tbl_Finance[Ex GST],tbl_Finance[Job Number],C141&amp;""))</f>
        <v/>
      </c>
      <c r="I141" s="27">
        <f>IF(C141="","",SUMIFS(tbl_Finance[Ex GST],tbl_Finance[Job Number],C141&amp;"",tbl_Finance[Xero Invoice No],"&lt;&gt;"))</f>
        <v/>
      </c>
      <c r="J141" s="27">
        <f>IF(C141="","",H141-I141)</f>
        <v/>
      </c>
      <c r="K141" s="25">
        <f>IF(C141="","",IF(G141=0,"not invoiced yet",SUBSTITUTE(TRIM(IF(COUNTIFS(tbl_Finance[Job Number],C141&amp;"",tbl_Finance[Cost Centre],"ONSITE")&gt;0,"ONSITE ","")&amp;IF(COUNTIFS(tbl_Finance[Job Number],C141&amp;"",tbl_Finance[Cost Centre],"PRODUCTION")&gt;0,"PRODUCTION ","")&amp;IF(COUNTIFS(tbl_Finance[Job Number],C141&amp;"",tbl_Finance[Cost Centre],"VIDEO")&gt;0,"VIDEO ","")&amp;IF(COUNTIFS(tbl_Finance[Job Number],C141&amp;"",tbl_Finance[Cost Centre],"INTEGRATION")&gt;0,"INTEGRATION ","")&amp;IF(COUNTIFS(tbl_Finance[Job Number],C141&amp;"",tbl_Finance[Cost Centre],"CONSULTING")&gt;0,"CONSULTING ","")&amp;IF(COUNTIFS(tbl_Finance[Job Number],C141&amp;"",tbl_Finance[Cost Centre],"CTS")&gt;0,"CTS ",""))," ",", ")))</f>
        <v/>
      </c>
      <c r="L141" s="24" t="n"/>
      <c r="M141" s="24" t="n"/>
      <c r="N141" s="25">
        <f>IF(M141="","",HYPERLINK(IF(LEFT(M141,4)="http",M141,set_QwilrBase&amp;M141),"Open quote"))</f>
        <v/>
      </c>
      <c r="O141" s="64" t="n"/>
      <c r="P141" s="24" t="n"/>
      <c r="Q141" s="24" t="n"/>
    </row>
    <row r="142" ht="15" customHeight="1">
      <c r="A142" s="63">
        <f>IF(C142="","",IFERROR(IF(SUMPRODUCT(MAX((tbl_Finance[Job Number]=C142&amp;"")*(tbl_Finance[Xero Invoice No]&lt;&gt;"")*tbl_Finance[Date]))=0,"",SUMPRODUCT(MAX((tbl_Finance[Job Number]=C142&amp;"")*(tbl_Finance[Xero Invoice No]&lt;&gt;"")*tbl_Finance[Date]))),""))</f>
        <v/>
      </c>
      <c r="B142" s="25">
        <f>IF(C142="","",IF(COUNTIFS(tbl_Finance[Job Number],C142&amp;"",tbl_Finance[Xero Invoice No],"&lt;&gt;")=0,"",IFERROR(IF(COUNTIFS(tbl_Finance[Job Number],C142&amp;"",tbl_Finance[Xero Invoice No],LOOKUP(2,1/((tbl_Finance[Job Number]=C142&amp;"")*(tbl_Finance[Xero Invoice No]&lt;&gt;"")),tbl_Finance[Xero Invoice No]))=COUNTIFS(tbl_Finance[Job Number],C142&amp;"",tbl_Finance[Xero Invoice No],"&lt;&gt;"),LOOKUP(2,1/((tbl_Finance[Job Number]=C142&amp;"")*(tbl_Finance[Xero Invoice No]&lt;&gt;"")),tbl_Finance[Xero Invoice No]),LOOKUP(2,1/((tbl_Finance[Job Number]=C142&amp;"")*(tbl_Finance[Xero Invoice No]&lt;&gt;"")),tbl_Finance[Xero Invoice No])&amp;" +more"),"")))</f>
        <v/>
      </c>
      <c r="C142" s="24" t="n"/>
      <c r="D142" s="25">
        <f>IF(C142="","",IF(COUNTIF(lst_Jobs,C142&amp;"")&gt;0,"OK","CHECK"))</f>
        <v/>
      </c>
      <c r="E142" s="25">
        <f>IF(C142="","",IFERROR(INDEX(lst_JobName,MATCH(C142&amp;"",lst_Jobs,0)),""))</f>
        <v/>
      </c>
      <c r="F142" s="25">
        <f>IF(C142="","",IFERROR(INDEX(tbl_Finance[Client],MATCH(C142&amp;"",tbl_Finance[Job Number],0)),""))</f>
        <v/>
      </c>
      <c r="G142" s="28">
        <f>IF(C142="","",COUNTIFS(tbl_Finance[Job Number],C142&amp;"",tbl_Finance[Ex GST],"&lt;&gt;"))</f>
        <v/>
      </c>
      <c r="H142" s="27">
        <f>IF(C142="","",SUMIFS(tbl_Finance[Ex GST],tbl_Finance[Job Number],C142&amp;""))</f>
        <v/>
      </c>
      <c r="I142" s="27">
        <f>IF(C142="","",SUMIFS(tbl_Finance[Ex GST],tbl_Finance[Job Number],C142&amp;"",tbl_Finance[Xero Invoice No],"&lt;&gt;"))</f>
        <v/>
      </c>
      <c r="J142" s="27">
        <f>IF(C142="","",H142-I142)</f>
        <v/>
      </c>
      <c r="K142" s="25">
        <f>IF(C142="","",IF(G142=0,"not invoiced yet",SUBSTITUTE(TRIM(IF(COUNTIFS(tbl_Finance[Job Number],C142&amp;"",tbl_Finance[Cost Centre],"ONSITE")&gt;0,"ONSITE ","")&amp;IF(COUNTIFS(tbl_Finance[Job Number],C142&amp;"",tbl_Finance[Cost Centre],"PRODUCTION")&gt;0,"PRODUCTION ","")&amp;IF(COUNTIFS(tbl_Finance[Job Number],C142&amp;"",tbl_Finance[Cost Centre],"VIDEO")&gt;0,"VIDEO ","")&amp;IF(COUNTIFS(tbl_Finance[Job Number],C142&amp;"",tbl_Finance[Cost Centre],"INTEGRATION")&gt;0,"INTEGRATION ","")&amp;IF(COUNTIFS(tbl_Finance[Job Number],C142&amp;"",tbl_Finance[Cost Centre],"CONSULTING")&gt;0,"CONSULTING ","")&amp;IF(COUNTIFS(tbl_Finance[Job Number],C142&amp;"",tbl_Finance[Cost Centre],"CTS")&gt;0,"CTS ",""))," ",", ")))</f>
        <v/>
      </c>
      <c r="L142" s="24" t="n"/>
      <c r="M142" s="24" t="n"/>
      <c r="N142" s="25">
        <f>IF(M142="","",HYPERLINK(IF(LEFT(M142,4)="http",M142,set_QwilrBase&amp;M142),"Open quote"))</f>
        <v/>
      </c>
      <c r="O142" s="64" t="n"/>
      <c r="P142" s="24" t="n"/>
      <c r="Q142" s="24" t="n"/>
    </row>
    <row r="143" ht="15" customHeight="1">
      <c r="A143" s="63">
        <f>IF(C143="","",IFERROR(IF(SUMPRODUCT(MAX((tbl_Finance[Job Number]=C143&amp;"")*(tbl_Finance[Xero Invoice No]&lt;&gt;"")*tbl_Finance[Date]))=0,"",SUMPRODUCT(MAX((tbl_Finance[Job Number]=C143&amp;"")*(tbl_Finance[Xero Invoice No]&lt;&gt;"")*tbl_Finance[Date]))),""))</f>
        <v/>
      </c>
      <c r="B143" s="25">
        <f>IF(C143="","",IF(COUNTIFS(tbl_Finance[Job Number],C143&amp;"",tbl_Finance[Xero Invoice No],"&lt;&gt;")=0,"",IFERROR(IF(COUNTIFS(tbl_Finance[Job Number],C143&amp;"",tbl_Finance[Xero Invoice No],LOOKUP(2,1/((tbl_Finance[Job Number]=C143&amp;"")*(tbl_Finance[Xero Invoice No]&lt;&gt;"")),tbl_Finance[Xero Invoice No]))=COUNTIFS(tbl_Finance[Job Number],C143&amp;"",tbl_Finance[Xero Invoice No],"&lt;&gt;"),LOOKUP(2,1/((tbl_Finance[Job Number]=C143&amp;"")*(tbl_Finance[Xero Invoice No]&lt;&gt;"")),tbl_Finance[Xero Invoice No]),LOOKUP(2,1/((tbl_Finance[Job Number]=C143&amp;"")*(tbl_Finance[Xero Invoice No]&lt;&gt;"")),tbl_Finance[Xero Invoice No])&amp;" +more"),"")))</f>
        <v/>
      </c>
      <c r="C143" s="24" t="n"/>
      <c r="D143" s="25">
        <f>IF(C143="","",IF(COUNTIF(lst_Jobs,C143&amp;"")&gt;0,"OK","CHECK"))</f>
        <v/>
      </c>
      <c r="E143" s="25">
        <f>IF(C143="","",IFERROR(INDEX(lst_JobName,MATCH(C143&amp;"",lst_Jobs,0)),""))</f>
        <v/>
      </c>
      <c r="F143" s="25">
        <f>IF(C143="","",IFERROR(INDEX(tbl_Finance[Client],MATCH(C143&amp;"",tbl_Finance[Job Number],0)),""))</f>
        <v/>
      </c>
      <c r="G143" s="28">
        <f>IF(C143="","",COUNTIFS(tbl_Finance[Job Number],C143&amp;"",tbl_Finance[Ex GST],"&lt;&gt;"))</f>
        <v/>
      </c>
      <c r="H143" s="27">
        <f>IF(C143="","",SUMIFS(tbl_Finance[Ex GST],tbl_Finance[Job Number],C143&amp;""))</f>
        <v/>
      </c>
      <c r="I143" s="27">
        <f>IF(C143="","",SUMIFS(tbl_Finance[Ex GST],tbl_Finance[Job Number],C143&amp;"",tbl_Finance[Xero Invoice No],"&lt;&gt;"))</f>
        <v/>
      </c>
      <c r="J143" s="27">
        <f>IF(C143="","",H143-I143)</f>
        <v/>
      </c>
      <c r="K143" s="25">
        <f>IF(C143="","",IF(G143=0,"not invoiced yet",SUBSTITUTE(TRIM(IF(COUNTIFS(tbl_Finance[Job Number],C143&amp;"",tbl_Finance[Cost Centre],"ONSITE")&gt;0,"ONSITE ","")&amp;IF(COUNTIFS(tbl_Finance[Job Number],C143&amp;"",tbl_Finance[Cost Centre],"PRODUCTION")&gt;0,"PRODUCTION ","")&amp;IF(COUNTIFS(tbl_Finance[Job Number],C143&amp;"",tbl_Finance[Cost Centre],"VIDEO")&gt;0,"VIDEO ","")&amp;IF(COUNTIFS(tbl_Finance[Job Number],C143&amp;"",tbl_Finance[Cost Centre],"INTEGRATION")&gt;0,"INTEGRATION ","")&amp;IF(COUNTIFS(tbl_Finance[Job Number],C143&amp;"",tbl_Finance[Cost Centre],"CONSULTING")&gt;0,"CONSULTING ","")&amp;IF(COUNTIFS(tbl_Finance[Job Number],C143&amp;"",tbl_Finance[Cost Centre],"CTS")&gt;0,"CTS ",""))," ",", ")))</f>
        <v/>
      </c>
      <c r="L143" s="24" t="n"/>
      <c r="M143" s="24" t="n"/>
      <c r="N143" s="25">
        <f>IF(M143="","",HYPERLINK(IF(LEFT(M143,4)="http",M143,set_QwilrBase&amp;M143),"Open quote"))</f>
        <v/>
      </c>
      <c r="O143" s="64" t="n"/>
      <c r="P143" s="24" t="n"/>
      <c r="Q143" s="24" t="n"/>
    </row>
    <row r="144" ht="15" customHeight="1">
      <c r="A144" s="63">
        <f>IF(C144="","",IFERROR(IF(SUMPRODUCT(MAX((tbl_Finance[Job Number]=C144&amp;"")*(tbl_Finance[Xero Invoice No]&lt;&gt;"")*tbl_Finance[Date]))=0,"",SUMPRODUCT(MAX((tbl_Finance[Job Number]=C144&amp;"")*(tbl_Finance[Xero Invoice No]&lt;&gt;"")*tbl_Finance[Date]))),""))</f>
        <v/>
      </c>
      <c r="B144" s="25">
        <f>IF(C144="","",IF(COUNTIFS(tbl_Finance[Job Number],C144&amp;"",tbl_Finance[Xero Invoice No],"&lt;&gt;")=0,"",IFERROR(IF(COUNTIFS(tbl_Finance[Job Number],C144&amp;"",tbl_Finance[Xero Invoice No],LOOKUP(2,1/((tbl_Finance[Job Number]=C144&amp;"")*(tbl_Finance[Xero Invoice No]&lt;&gt;"")),tbl_Finance[Xero Invoice No]))=COUNTIFS(tbl_Finance[Job Number],C144&amp;"",tbl_Finance[Xero Invoice No],"&lt;&gt;"),LOOKUP(2,1/((tbl_Finance[Job Number]=C144&amp;"")*(tbl_Finance[Xero Invoice No]&lt;&gt;"")),tbl_Finance[Xero Invoice No]),LOOKUP(2,1/((tbl_Finance[Job Number]=C144&amp;"")*(tbl_Finance[Xero Invoice No]&lt;&gt;"")),tbl_Finance[Xero Invoice No])&amp;" +more"),"")))</f>
        <v/>
      </c>
      <c r="C144" s="24" t="n"/>
      <c r="D144" s="25">
        <f>IF(C144="","",IF(COUNTIF(lst_Jobs,C144&amp;"")&gt;0,"OK","CHECK"))</f>
        <v/>
      </c>
      <c r="E144" s="25">
        <f>IF(C144="","",IFERROR(INDEX(lst_JobName,MATCH(C144&amp;"",lst_Jobs,0)),""))</f>
        <v/>
      </c>
      <c r="F144" s="25">
        <f>IF(C144="","",IFERROR(INDEX(tbl_Finance[Client],MATCH(C144&amp;"",tbl_Finance[Job Number],0)),""))</f>
        <v/>
      </c>
      <c r="G144" s="28">
        <f>IF(C144="","",COUNTIFS(tbl_Finance[Job Number],C144&amp;"",tbl_Finance[Ex GST],"&lt;&gt;"))</f>
        <v/>
      </c>
      <c r="H144" s="27">
        <f>IF(C144="","",SUMIFS(tbl_Finance[Ex GST],tbl_Finance[Job Number],C144&amp;""))</f>
        <v/>
      </c>
      <c r="I144" s="27">
        <f>IF(C144="","",SUMIFS(tbl_Finance[Ex GST],tbl_Finance[Job Number],C144&amp;"",tbl_Finance[Xero Invoice No],"&lt;&gt;"))</f>
        <v/>
      </c>
      <c r="J144" s="27">
        <f>IF(C144="","",H144-I144)</f>
        <v/>
      </c>
      <c r="K144" s="25">
        <f>IF(C144="","",IF(G144=0,"not invoiced yet",SUBSTITUTE(TRIM(IF(COUNTIFS(tbl_Finance[Job Number],C144&amp;"",tbl_Finance[Cost Centre],"ONSITE")&gt;0,"ONSITE ","")&amp;IF(COUNTIFS(tbl_Finance[Job Number],C144&amp;"",tbl_Finance[Cost Centre],"PRODUCTION")&gt;0,"PRODUCTION ","")&amp;IF(COUNTIFS(tbl_Finance[Job Number],C144&amp;"",tbl_Finance[Cost Centre],"VIDEO")&gt;0,"VIDEO ","")&amp;IF(COUNTIFS(tbl_Finance[Job Number],C144&amp;"",tbl_Finance[Cost Centre],"INTEGRATION")&gt;0,"INTEGRATION ","")&amp;IF(COUNTIFS(tbl_Finance[Job Number],C144&amp;"",tbl_Finance[Cost Centre],"CONSULTING")&gt;0,"CONSULTING ","")&amp;IF(COUNTIFS(tbl_Finance[Job Number],C144&amp;"",tbl_Finance[Cost Centre],"CTS")&gt;0,"CTS ",""))," ",", ")))</f>
        <v/>
      </c>
      <c r="L144" s="24" t="n"/>
      <c r="M144" s="24" t="n"/>
      <c r="N144" s="25">
        <f>IF(M144="","",HYPERLINK(IF(LEFT(M144,4)="http",M144,set_QwilrBase&amp;M144),"Open quote"))</f>
        <v/>
      </c>
      <c r="O144" s="64" t="n"/>
      <c r="P144" s="24" t="n"/>
      <c r="Q144" s="24" t="n"/>
    </row>
    <row r="145" ht="15" customHeight="1">
      <c r="A145" s="63">
        <f>IF(C145="","",IFERROR(IF(SUMPRODUCT(MAX((tbl_Finance[Job Number]=C145&amp;"")*(tbl_Finance[Xero Invoice No]&lt;&gt;"")*tbl_Finance[Date]))=0,"",SUMPRODUCT(MAX((tbl_Finance[Job Number]=C145&amp;"")*(tbl_Finance[Xero Invoice No]&lt;&gt;"")*tbl_Finance[Date]))),""))</f>
        <v/>
      </c>
      <c r="B145" s="25">
        <f>IF(C145="","",IF(COUNTIFS(tbl_Finance[Job Number],C145&amp;"",tbl_Finance[Xero Invoice No],"&lt;&gt;")=0,"",IFERROR(IF(COUNTIFS(tbl_Finance[Job Number],C145&amp;"",tbl_Finance[Xero Invoice No],LOOKUP(2,1/((tbl_Finance[Job Number]=C145&amp;"")*(tbl_Finance[Xero Invoice No]&lt;&gt;"")),tbl_Finance[Xero Invoice No]))=COUNTIFS(tbl_Finance[Job Number],C145&amp;"",tbl_Finance[Xero Invoice No],"&lt;&gt;"),LOOKUP(2,1/((tbl_Finance[Job Number]=C145&amp;"")*(tbl_Finance[Xero Invoice No]&lt;&gt;"")),tbl_Finance[Xero Invoice No]),LOOKUP(2,1/((tbl_Finance[Job Number]=C145&amp;"")*(tbl_Finance[Xero Invoice No]&lt;&gt;"")),tbl_Finance[Xero Invoice No])&amp;" +more"),"")))</f>
        <v/>
      </c>
      <c r="C145" s="24" t="n"/>
      <c r="D145" s="25">
        <f>IF(C145="","",IF(COUNTIF(lst_Jobs,C145&amp;"")&gt;0,"OK","CHECK"))</f>
        <v/>
      </c>
      <c r="E145" s="25">
        <f>IF(C145="","",IFERROR(INDEX(lst_JobName,MATCH(C145&amp;"",lst_Jobs,0)),""))</f>
        <v/>
      </c>
      <c r="F145" s="25">
        <f>IF(C145="","",IFERROR(INDEX(tbl_Finance[Client],MATCH(C145&amp;"",tbl_Finance[Job Number],0)),""))</f>
        <v/>
      </c>
      <c r="G145" s="28">
        <f>IF(C145="","",COUNTIFS(tbl_Finance[Job Number],C145&amp;"",tbl_Finance[Ex GST],"&lt;&gt;"))</f>
        <v/>
      </c>
      <c r="H145" s="27">
        <f>IF(C145="","",SUMIFS(tbl_Finance[Ex GST],tbl_Finance[Job Number],C145&amp;""))</f>
        <v/>
      </c>
      <c r="I145" s="27">
        <f>IF(C145="","",SUMIFS(tbl_Finance[Ex GST],tbl_Finance[Job Number],C145&amp;"",tbl_Finance[Xero Invoice No],"&lt;&gt;"))</f>
        <v/>
      </c>
      <c r="J145" s="27">
        <f>IF(C145="","",H145-I145)</f>
        <v/>
      </c>
      <c r="K145" s="25">
        <f>IF(C145="","",IF(G145=0,"not invoiced yet",SUBSTITUTE(TRIM(IF(COUNTIFS(tbl_Finance[Job Number],C145&amp;"",tbl_Finance[Cost Centre],"ONSITE")&gt;0,"ONSITE ","")&amp;IF(COUNTIFS(tbl_Finance[Job Number],C145&amp;"",tbl_Finance[Cost Centre],"PRODUCTION")&gt;0,"PRODUCTION ","")&amp;IF(COUNTIFS(tbl_Finance[Job Number],C145&amp;"",tbl_Finance[Cost Centre],"VIDEO")&gt;0,"VIDEO ","")&amp;IF(COUNTIFS(tbl_Finance[Job Number],C145&amp;"",tbl_Finance[Cost Centre],"INTEGRATION")&gt;0,"INTEGRATION ","")&amp;IF(COUNTIFS(tbl_Finance[Job Number],C145&amp;"",tbl_Finance[Cost Centre],"CONSULTING")&gt;0,"CONSULTING ","")&amp;IF(COUNTIFS(tbl_Finance[Job Number],C145&amp;"",tbl_Finance[Cost Centre],"CTS")&gt;0,"CTS ",""))," ",", ")))</f>
        <v/>
      </c>
      <c r="L145" s="24" t="n"/>
      <c r="M145" s="24" t="n"/>
      <c r="N145" s="25">
        <f>IF(M145="","",HYPERLINK(IF(LEFT(M145,4)="http",M145,set_QwilrBase&amp;M145),"Open quote"))</f>
        <v/>
      </c>
      <c r="O145" s="64" t="n"/>
      <c r="P145" s="24" t="n"/>
      <c r="Q145" s="24" t="n"/>
    </row>
    <row r="146" ht="15" customHeight="1">
      <c r="A146" s="63">
        <f>IF(C146="","",IFERROR(IF(SUMPRODUCT(MAX((tbl_Finance[Job Number]=C146&amp;"")*(tbl_Finance[Xero Invoice No]&lt;&gt;"")*tbl_Finance[Date]))=0,"",SUMPRODUCT(MAX((tbl_Finance[Job Number]=C146&amp;"")*(tbl_Finance[Xero Invoice No]&lt;&gt;"")*tbl_Finance[Date]))),""))</f>
        <v/>
      </c>
      <c r="B146" s="25">
        <f>IF(C146="","",IF(COUNTIFS(tbl_Finance[Job Number],C146&amp;"",tbl_Finance[Xero Invoice No],"&lt;&gt;")=0,"",IFERROR(IF(COUNTIFS(tbl_Finance[Job Number],C146&amp;"",tbl_Finance[Xero Invoice No],LOOKUP(2,1/((tbl_Finance[Job Number]=C146&amp;"")*(tbl_Finance[Xero Invoice No]&lt;&gt;"")),tbl_Finance[Xero Invoice No]))=COUNTIFS(tbl_Finance[Job Number],C146&amp;"",tbl_Finance[Xero Invoice No],"&lt;&gt;"),LOOKUP(2,1/((tbl_Finance[Job Number]=C146&amp;"")*(tbl_Finance[Xero Invoice No]&lt;&gt;"")),tbl_Finance[Xero Invoice No]),LOOKUP(2,1/((tbl_Finance[Job Number]=C146&amp;"")*(tbl_Finance[Xero Invoice No]&lt;&gt;"")),tbl_Finance[Xero Invoice No])&amp;" +more"),"")))</f>
        <v/>
      </c>
      <c r="C146" s="24" t="n"/>
      <c r="D146" s="25">
        <f>IF(C146="","",IF(COUNTIF(lst_Jobs,C146&amp;"")&gt;0,"OK","CHECK"))</f>
        <v/>
      </c>
      <c r="E146" s="25">
        <f>IF(C146="","",IFERROR(INDEX(lst_JobName,MATCH(C146&amp;"",lst_Jobs,0)),""))</f>
        <v/>
      </c>
      <c r="F146" s="25">
        <f>IF(C146="","",IFERROR(INDEX(tbl_Finance[Client],MATCH(C146&amp;"",tbl_Finance[Job Number],0)),""))</f>
        <v/>
      </c>
      <c r="G146" s="28">
        <f>IF(C146="","",COUNTIFS(tbl_Finance[Job Number],C146&amp;"",tbl_Finance[Ex GST],"&lt;&gt;"))</f>
        <v/>
      </c>
      <c r="H146" s="27">
        <f>IF(C146="","",SUMIFS(tbl_Finance[Ex GST],tbl_Finance[Job Number],C146&amp;""))</f>
        <v/>
      </c>
      <c r="I146" s="27">
        <f>IF(C146="","",SUMIFS(tbl_Finance[Ex GST],tbl_Finance[Job Number],C146&amp;"",tbl_Finance[Xero Invoice No],"&lt;&gt;"))</f>
        <v/>
      </c>
      <c r="J146" s="27">
        <f>IF(C146="","",H146-I146)</f>
        <v/>
      </c>
      <c r="K146" s="25">
        <f>IF(C146="","",IF(G146=0,"not invoiced yet",SUBSTITUTE(TRIM(IF(COUNTIFS(tbl_Finance[Job Number],C146&amp;"",tbl_Finance[Cost Centre],"ONSITE")&gt;0,"ONSITE ","")&amp;IF(COUNTIFS(tbl_Finance[Job Number],C146&amp;"",tbl_Finance[Cost Centre],"PRODUCTION")&gt;0,"PRODUCTION ","")&amp;IF(COUNTIFS(tbl_Finance[Job Number],C146&amp;"",tbl_Finance[Cost Centre],"VIDEO")&gt;0,"VIDEO ","")&amp;IF(COUNTIFS(tbl_Finance[Job Number],C146&amp;"",tbl_Finance[Cost Centre],"INTEGRATION")&gt;0,"INTEGRATION ","")&amp;IF(COUNTIFS(tbl_Finance[Job Number],C146&amp;"",tbl_Finance[Cost Centre],"CONSULTING")&gt;0,"CONSULTING ","")&amp;IF(COUNTIFS(tbl_Finance[Job Number],C146&amp;"",tbl_Finance[Cost Centre],"CTS")&gt;0,"CTS ",""))," ",", ")))</f>
        <v/>
      </c>
      <c r="L146" s="24" t="n"/>
      <c r="M146" s="24" t="n"/>
      <c r="N146" s="25">
        <f>IF(M146="","",HYPERLINK(IF(LEFT(M146,4)="http",M146,set_QwilrBase&amp;M146),"Open quote"))</f>
        <v/>
      </c>
      <c r="O146" s="64" t="n"/>
      <c r="P146" s="24" t="n"/>
      <c r="Q146" s="24" t="n"/>
    </row>
    <row r="147" ht="15" customHeight="1">
      <c r="A147" s="63">
        <f>IF(C147="","",IFERROR(IF(SUMPRODUCT(MAX((tbl_Finance[Job Number]=C147&amp;"")*(tbl_Finance[Xero Invoice No]&lt;&gt;"")*tbl_Finance[Date]))=0,"",SUMPRODUCT(MAX((tbl_Finance[Job Number]=C147&amp;"")*(tbl_Finance[Xero Invoice No]&lt;&gt;"")*tbl_Finance[Date]))),""))</f>
        <v/>
      </c>
      <c r="B147" s="25">
        <f>IF(C147="","",IF(COUNTIFS(tbl_Finance[Job Number],C147&amp;"",tbl_Finance[Xero Invoice No],"&lt;&gt;")=0,"",IFERROR(IF(COUNTIFS(tbl_Finance[Job Number],C147&amp;"",tbl_Finance[Xero Invoice No],LOOKUP(2,1/((tbl_Finance[Job Number]=C147&amp;"")*(tbl_Finance[Xero Invoice No]&lt;&gt;"")),tbl_Finance[Xero Invoice No]))=COUNTIFS(tbl_Finance[Job Number],C147&amp;"",tbl_Finance[Xero Invoice No],"&lt;&gt;"),LOOKUP(2,1/((tbl_Finance[Job Number]=C147&amp;"")*(tbl_Finance[Xero Invoice No]&lt;&gt;"")),tbl_Finance[Xero Invoice No]),LOOKUP(2,1/((tbl_Finance[Job Number]=C147&amp;"")*(tbl_Finance[Xero Invoice No]&lt;&gt;"")),tbl_Finance[Xero Invoice No])&amp;" +more"),"")))</f>
        <v/>
      </c>
      <c r="C147" s="24" t="n"/>
      <c r="D147" s="25">
        <f>IF(C147="","",IF(COUNTIF(lst_Jobs,C147&amp;"")&gt;0,"OK","CHECK"))</f>
        <v/>
      </c>
      <c r="E147" s="25">
        <f>IF(C147="","",IFERROR(INDEX(lst_JobName,MATCH(C147&amp;"",lst_Jobs,0)),""))</f>
        <v/>
      </c>
      <c r="F147" s="25">
        <f>IF(C147="","",IFERROR(INDEX(tbl_Finance[Client],MATCH(C147&amp;"",tbl_Finance[Job Number],0)),""))</f>
        <v/>
      </c>
      <c r="G147" s="28">
        <f>IF(C147="","",COUNTIFS(tbl_Finance[Job Number],C147&amp;"",tbl_Finance[Ex GST],"&lt;&gt;"))</f>
        <v/>
      </c>
      <c r="H147" s="27">
        <f>IF(C147="","",SUMIFS(tbl_Finance[Ex GST],tbl_Finance[Job Number],C147&amp;""))</f>
        <v/>
      </c>
      <c r="I147" s="27">
        <f>IF(C147="","",SUMIFS(tbl_Finance[Ex GST],tbl_Finance[Job Number],C147&amp;"",tbl_Finance[Xero Invoice No],"&lt;&gt;"))</f>
        <v/>
      </c>
      <c r="J147" s="27">
        <f>IF(C147="","",H147-I147)</f>
        <v/>
      </c>
      <c r="K147" s="25">
        <f>IF(C147="","",IF(G147=0,"not invoiced yet",SUBSTITUTE(TRIM(IF(COUNTIFS(tbl_Finance[Job Number],C147&amp;"",tbl_Finance[Cost Centre],"ONSITE")&gt;0,"ONSITE ","")&amp;IF(COUNTIFS(tbl_Finance[Job Number],C147&amp;"",tbl_Finance[Cost Centre],"PRODUCTION")&gt;0,"PRODUCTION ","")&amp;IF(COUNTIFS(tbl_Finance[Job Number],C147&amp;"",tbl_Finance[Cost Centre],"VIDEO")&gt;0,"VIDEO ","")&amp;IF(COUNTIFS(tbl_Finance[Job Number],C147&amp;"",tbl_Finance[Cost Centre],"INTEGRATION")&gt;0,"INTEGRATION ","")&amp;IF(COUNTIFS(tbl_Finance[Job Number],C147&amp;"",tbl_Finance[Cost Centre],"CONSULTING")&gt;0,"CONSULTING ","")&amp;IF(COUNTIFS(tbl_Finance[Job Number],C147&amp;"",tbl_Finance[Cost Centre],"CTS")&gt;0,"CTS ",""))," ",", ")))</f>
        <v/>
      </c>
      <c r="L147" s="24" t="n"/>
      <c r="M147" s="24" t="n"/>
      <c r="N147" s="25">
        <f>IF(M147="","",HYPERLINK(IF(LEFT(M147,4)="http",M147,set_QwilrBase&amp;M147),"Open quote"))</f>
        <v/>
      </c>
      <c r="O147" s="64" t="n"/>
      <c r="P147" s="24" t="n"/>
      <c r="Q147" s="24" t="n"/>
    </row>
    <row r="148" ht="15" customHeight="1">
      <c r="A148" s="63">
        <f>IF(C148="","",IFERROR(IF(SUMPRODUCT(MAX((tbl_Finance[Job Number]=C148&amp;"")*(tbl_Finance[Xero Invoice No]&lt;&gt;"")*tbl_Finance[Date]))=0,"",SUMPRODUCT(MAX((tbl_Finance[Job Number]=C148&amp;"")*(tbl_Finance[Xero Invoice No]&lt;&gt;"")*tbl_Finance[Date]))),""))</f>
        <v/>
      </c>
      <c r="B148" s="25">
        <f>IF(C148="","",IF(COUNTIFS(tbl_Finance[Job Number],C148&amp;"",tbl_Finance[Xero Invoice No],"&lt;&gt;")=0,"",IFERROR(IF(COUNTIFS(tbl_Finance[Job Number],C148&amp;"",tbl_Finance[Xero Invoice No],LOOKUP(2,1/((tbl_Finance[Job Number]=C148&amp;"")*(tbl_Finance[Xero Invoice No]&lt;&gt;"")),tbl_Finance[Xero Invoice No]))=COUNTIFS(tbl_Finance[Job Number],C148&amp;"",tbl_Finance[Xero Invoice No],"&lt;&gt;"),LOOKUP(2,1/((tbl_Finance[Job Number]=C148&amp;"")*(tbl_Finance[Xero Invoice No]&lt;&gt;"")),tbl_Finance[Xero Invoice No]),LOOKUP(2,1/((tbl_Finance[Job Number]=C148&amp;"")*(tbl_Finance[Xero Invoice No]&lt;&gt;"")),tbl_Finance[Xero Invoice No])&amp;" +more"),"")))</f>
        <v/>
      </c>
      <c r="C148" s="24" t="n"/>
      <c r="D148" s="25">
        <f>IF(C148="","",IF(COUNTIF(lst_Jobs,C148&amp;"")&gt;0,"OK","CHECK"))</f>
        <v/>
      </c>
      <c r="E148" s="25">
        <f>IF(C148="","",IFERROR(INDEX(lst_JobName,MATCH(C148&amp;"",lst_Jobs,0)),""))</f>
        <v/>
      </c>
      <c r="F148" s="25">
        <f>IF(C148="","",IFERROR(INDEX(tbl_Finance[Client],MATCH(C148&amp;"",tbl_Finance[Job Number],0)),""))</f>
        <v/>
      </c>
      <c r="G148" s="28">
        <f>IF(C148="","",COUNTIFS(tbl_Finance[Job Number],C148&amp;"",tbl_Finance[Ex GST],"&lt;&gt;"))</f>
        <v/>
      </c>
      <c r="H148" s="27">
        <f>IF(C148="","",SUMIFS(tbl_Finance[Ex GST],tbl_Finance[Job Number],C148&amp;""))</f>
        <v/>
      </c>
      <c r="I148" s="27">
        <f>IF(C148="","",SUMIFS(tbl_Finance[Ex GST],tbl_Finance[Job Number],C148&amp;"",tbl_Finance[Xero Invoice No],"&lt;&gt;"))</f>
        <v/>
      </c>
      <c r="J148" s="27">
        <f>IF(C148="","",H148-I148)</f>
        <v/>
      </c>
      <c r="K148" s="25">
        <f>IF(C148="","",IF(G148=0,"not invoiced yet",SUBSTITUTE(TRIM(IF(COUNTIFS(tbl_Finance[Job Number],C148&amp;"",tbl_Finance[Cost Centre],"ONSITE")&gt;0,"ONSITE ","")&amp;IF(COUNTIFS(tbl_Finance[Job Number],C148&amp;"",tbl_Finance[Cost Centre],"PRODUCTION")&gt;0,"PRODUCTION ","")&amp;IF(COUNTIFS(tbl_Finance[Job Number],C148&amp;"",tbl_Finance[Cost Centre],"VIDEO")&gt;0,"VIDEO ","")&amp;IF(COUNTIFS(tbl_Finance[Job Number],C148&amp;"",tbl_Finance[Cost Centre],"INTEGRATION")&gt;0,"INTEGRATION ","")&amp;IF(COUNTIFS(tbl_Finance[Job Number],C148&amp;"",tbl_Finance[Cost Centre],"CONSULTING")&gt;0,"CONSULTING ","")&amp;IF(COUNTIFS(tbl_Finance[Job Number],C148&amp;"",tbl_Finance[Cost Centre],"CTS")&gt;0,"CTS ",""))," ",", ")))</f>
        <v/>
      </c>
      <c r="L148" s="24" t="n"/>
      <c r="M148" s="24" t="n"/>
      <c r="N148" s="25">
        <f>IF(M148="","",HYPERLINK(IF(LEFT(M148,4)="http",M148,set_QwilrBase&amp;M148),"Open quote"))</f>
        <v/>
      </c>
      <c r="O148" s="64" t="n"/>
      <c r="P148" s="24" t="n"/>
      <c r="Q148" s="24" t="n"/>
    </row>
    <row r="149" ht="15" customHeight="1">
      <c r="A149" s="63">
        <f>IF(C149="","",IFERROR(IF(SUMPRODUCT(MAX((tbl_Finance[Job Number]=C149&amp;"")*(tbl_Finance[Xero Invoice No]&lt;&gt;"")*tbl_Finance[Date]))=0,"",SUMPRODUCT(MAX((tbl_Finance[Job Number]=C149&amp;"")*(tbl_Finance[Xero Invoice No]&lt;&gt;"")*tbl_Finance[Date]))),""))</f>
        <v/>
      </c>
      <c r="B149" s="25">
        <f>IF(C149="","",IF(COUNTIFS(tbl_Finance[Job Number],C149&amp;"",tbl_Finance[Xero Invoice No],"&lt;&gt;")=0,"",IFERROR(IF(COUNTIFS(tbl_Finance[Job Number],C149&amp;"",tbl_Finance[Xero Invoice No],LOOKUP(2,1/((tbl_Finance[Job Number]=C149&amp;"")*(tbl_Finance[Xero Invoice No]&lt;&gt;"")),tbl_Finance[Xero Invoice No]))=COUNTIFS(tbl_Finance[Job Number],C149&amp;"",tbl_Finance[Xero Invoice No],"&lt;&gt;"),LOOKUP(2,1/((tbl_Finance[Job Number]=C149&amp;"")*(tbl_Finance[Xero Invoice No]&lt;&gt;"")),tbl_Finance[Xero Invoice No]),LOOKUP(2,1/((tbl_Finance[Job Number]=C149&amp;"")*(tbl_Finance[Xero Invoice No]&lt;&gt;"")),tbl_Finance[Xero Invoice No])&amp;" +more"),"")))</f>
        <v/>
      </c>
      <c r="C149" s="24" t="n"/>
      <c r="D149" s="25">
        <f>IF(C149="","",IF(COUNTIF(lst_Jobs,C149&amp;"")&gt;0,"OK","CHECK"))</f>
        <v/>
      </c>
      <c r="E149" s="25">
        <f>IF(C149="","",IFERROR(INDEX(lst_JobName,MATCH(C149&amp;"",lst_Jobs,0)),""))</f>
        <v/>
      </c>
      <c r="F149" s="25">
        <f>IF(C149="","",IFERROR(INDEX(tbl_Finance[Client],MATCH(C149&amp;"",tbl_Finance[Job Number],0)),""))</f>
        <v/>
      </c>
      <c r="G149" s="28">
        <f>IF(C149="","",COUNTIFS(tbl_Finance[Job Number],C149&amp;"",tbl_Finance[Ex GST],"&lt;&gt;"))</f>
        <v/>
      </c>
      <c r="H149" s="27">
        <f>IF(C149="","",SUMIFS(tbl_Finance[Ex GST],tbl_Finance[Job Number],C149&amp;""))</f>
        <v/>
      </c>
      <c r="I149" s="27">
        <f>IF(C149="","",SUMIFS(tbl_Finance[Ex GST],tbl_Finance[Job Number],C149&amp;"",tbl_Finance[Xero Invoice No],"&lt;&gt;"))</f>
        <v/>
      </c>
      <c r="J149" s="27">
        <f>IF(C149="","",H149-I149)</f>
        <v/>
      </c>
      <c r="K149" s="25">
        <f>IF(C149="","",IF(G149=0,"not invoiced yet",SUBSTITUTE(TRIM(IF(COUNTIFS(tbl_Finance[Job Number],C149&amp;"",tbl_Finance[Cost Centre],"ONSITE")&gt;0,"ONSITE ","")&amp;IF(COUNTIFS(tbl_Finance[Job Number],C149&amp;"",tbl_Finance[Cost Centre],"PRODUCTION")&gt;0,"PRODUCTION ","")&amp;IF(COUNTIFS(tbl_Finance[Job Number],C149&amp;"",tbl_Finance[Cost Centre],"VIDEO")&gt;0,"VIDEO ","")&amp;IF(COUNTIFS(tbl_Finance[Job Number],C149&amp;"",tbl_Finance[Cost Centre],"INTEGRATION")&gt;0,"INTEGRATION ","")&amp;IF(COUNTIFS(tbl_Finance[Job Number],C149&amp;"",tbl_Finance[Cost Centre],"CONSULTING")&gt;0,"CONSULTING ","")&amp;IF(COUNTIFS(tbl_Finance[Job Number],C149&amp;"",tbl_Finance[Cost Centre],"CTS")&gt;0,"CTS ",""))," ",", ")))</f>
        <v/>
      </c>
      <c r="L149" s="24" t="n"/>
      <c r="M149" s="24" t="n"/>
      <c r="N149" s="25">
        <f>IF(M149="","",HYPERLINK(IF(LEFT(M149,4)="http",M149,set_QwilrBase&amp;M149),"Open quote"))</f>
        <v/>
      </c>
      <c r="O149" s="64" t="n"/>
      <c r="P149" s="24" t="n"/>
      <c r="Q149" s="24" t="n"/>
    </row>
    <row r="150" ht="15" customHeight="1">
      <c r="A150" s="63">
        <f>IF(C150="","",IFERROR(IF(SUMPRODUCT(MAX((tbl_Finance[Job Number]=C150&amp;"")*(tbl_Finance[Xero Invoice No]&lt;&gt;"")*tbl_Finance[Date]))=0,"",SUMPRODUCT(MAX((tbl_Finance[Job Number]=C150&amp;"")*(tbl_Finance[Xero Invoice No]&lt;&gt;"")*tbl_Finance[Date]))),""))</f>
        <v/>
      </c>
      <c r="B150" s="25">
        <f>IF(C150="","",IF(COUNTIFS(tbl_Finance[Job Number],C150&amp;"",tbl_Finance[Xero Invoice No],"&lt;&gt;")=0,"",IFERROR(IF(COUNTIFS(tbl_Finance[Job Number],C150&amp;"",tbl_Finance[Xero Invoice No],LOOKUP(2,1/((tbl_Finance[Job Number]=C150&amp;"")*(tbl_Finance[Xero Invoice No]&lt;&gt;"")),tbl_Finance[Xero Invoice No]))=COUNTIFS(tbl_Finance[Job Number],C150&amp;"",tbl_Finance[Xero Invoice No],"&lt;&gt;"),LOOKUP(2,1/((tbl_Finance[Job Number]=C150&amp;"")*(tbl_Finance[Xero Invoice No]&lt;&gt;"")),tbl_Finance[Xero Invoice No]),LOOKUP(2,1/((tbl_Finance[Job Number]=C150&amp;"")*(tbl_Finance[Xero Invoice No]&lt;&gt;"")),tbl_Finance[Xero Invoice No])&amp;" +more"),"")))</f>
        <v/>
      </c>
      <c r="C150" s="24" t="n"/>
      <c r="D150" s="25">
        <f>IF(C150="","",IF(COUNTIF(lst_Jobs,C150&amp;"")&gt;0,"OK","CHECK"))</f>
        <v/>
      </c>
      <c r="E150" s="25">
        <f>IF(C150="","",IFERROR(INDEX(lst_JobName,MATCH(C150&amp;"",lst_Jobs,0)),""))</f>
        <v/>
      </c>
      <c r="F150" s="25">
        <f>IF(C150="","",IFERROR(INDEX(tbl_Finance[Client],MATCH(C150&amp;"",tbl_Finance[Job Number],0)),""))</f>
        <v/>
      </c>
      <c r="G150" s="28">
        <f>IF(C150="","",COUNTIFS(tbl_Finance[Job Number],C150&amp;"",tbl_Finance[Ex GST],"&lt;&gt;"))</f>
        <v/>
      </c>
      <c r="H150" s="27">
        <f>IF(C150="","",SUMIFS(tbl_Finance[Ex GST],tbl_Finance[Job Number],C150&amp;""))</f>
        <v/>
      </c>
      <c r="I150" s="27">
        <f>IF(C150="","",SUMIFS(tbl_Finance[Ex GST],tbl_Finance[Job Number],C150&amp;"",tbl_Finance[Xero Invoice No],"&lt;&gt;"))</f>
        <v/>
      </c>
      <c r="J150" s="27">
        <f>IF(C150="","",H150-I150)</f>
        <v/>
      </c>
      <c r="K150" s="25">
        <f>IF(C150="","",IF(G150=0,"not invoiced yet",SUBSTITUTE(TRIM(IF(COUNTIFS(tbl_Finance[Job Number],C150&amp;"",tbl_Finance[Cost Centre],"ONSITE")&gt;0,"ONSITE ","")&amp;IF(COUNTIFS(tbl_Finance[Job Number],C150&amp;"",tbl_Finance[Cost Centre],"PRODUCTION")&gt;0,"PRODUCTION ","")&amp;IF(COUNTIFS(tbl_Finance[Job Number],C150&amp;"",tbl_Finance[Cost Centre],"VIDEO")&gt;0,"VIDEO ","")&amp;IF(COUNTIFS(tbl_Finance[Job Number],C150&amp;"",tbl_Finance[Cost Centre],"INTEGRATION")&gt;0,"INTEGRATION ","")&amp;IF(COUNTIFS(tbl_Finance[Job Number],C150&amp;"",tbl_Finance[Cost Centre],"CONSULTING")&gt;0,"CONSULTING ","")&amp;IF(COUNTIFS(tbl_Finance[Job Number],C150&amp;"",tbl_Finance[Cost Centre],"CTS")&gt;0,"CTS ",""))," ",", ")))</f>
        <v/>
      </c>
      <c r="L150" s="24" t="n"/>
      <c r="M150" s="24" t="n"/>
      <c r="N150" s="25">
        <f>IF(M150="","",HYPERLINK(IF(LEFT(M150,4)="http",M150,set_QwilrBase&amp;M150),"Open quote"))</f>
        <v/>
      </c>
      <c r="O150" s="64" t="n"/>
      <c r="P150" s="24" t="n"/>
      <c r="Q150" s="24" t="n"/>
    </row>
    <row r="151" ht="15" customHeight="1">
      <c r="A151" s="63">
        <f>IF(C151="","",IFERROR(IF(SUMPRODUCT(MAX((tbl_Finance[Job Number]=C151&amp;"")*(tbl_Finance[Xero Invoice No]&lt;&gt;"")*tbl_Finance[Date]))=0,"",SUMPRODUCT(MAX((tbl_Finance[Job Number]=C151&amp;"")*(tbl_Finance[Xero Invoice No]&lt;&gt;"")*tbl_Finance[Date]))),""))</f>
        <v/>
      </c>
      <c r="B151" s="25">
        <f>IF(C151="","",IF(COUNTIFS(tbl_Finance[Job Number],C151&amp;"",tbl_Finance[Xero Invoice No],"&lt;&gt;")=0,"",IFERROR(IF(COUNTIFS(tbl_Finance[Job Number],C151&amp;"",tbl_Finance[Xero Invoice No],LOOKUP(2,1/((tbl_Finance[Job Number]=C151&amp;"")*(tbl_Finance[Xero Invoice No]&lt;&gt;"")),tbl_Finance[Xero Invoice No]))=COUNTIFS(tbl_Finance[Job Number],C151&amp;"",tbl_Finance[Xero Invoice No],"&lt;&gt;"),LOOKUP(2,1/((tbl_Finance[Job Number]=C151&amp;"")*(tbl_Finance[Xero Invoice No]&lt;&gt;"")),tbl_Finance[Xero Invoice No]),LOOKUP(2,1/((tbl_Finance[Job Number]=C151&amp;"")*(tbl_Finance[Xero Invoice No]&lt;&gt;"")),tbl_Finance[Xero Invoice No])&amp;" +more"),"")))</f>
        <v/>
      </c>
      <c r="C151" s="24" t="n"/>
      <c r="D151" s="25">
        <f>IF(C151="","",IF(COUNTIF(lst_Jobs,C151&amp;"")&gt;0,"OK","CHECK"))</f>
        <v/>
      </c>
      <c r="E151" s="25">
        <f>IF(C151="","",IFERROR(INDEX(lst_JobName,MATCH(C151&amp;"",lst_Jobs,0)),""))</f>
        <v/>
      </c>
      <c r="F151" s="25">
        <f>IF(C151="","",IFERROR(INDEX(tbl_Finance[Client],MATCH(C151&amp;"",tbl_Finance[Job Number],0)),""))</f>
        <v/>
      </c>
      <c r="G151" s="28">
        <f>IF(C151="","",COUNTIFS(tbl_Finance[Job Number],C151&amp;"",tbl_Finance[Ex GST],"&lt;&gt;"))</f>
        <v/>
      </c>
      <c r="H151" s="27">
        <f>IF(C151="","",SUMIFS(tbl_Finance[Ex GST],tbl_Finance[Job Number],C151&amp;""))</f>
        <v/>
      </c>
      <c r="I151" s="27">
        <f>IF(C151="","",SUMIFS(tbl_Finance[Ex GST],tbl_Finance[Job Number],C151&amp;"",tbl_Finance[Xero Invoice No],"&lt;&gt;"))</f>
        <v/>
      </c>
      <c r="J151" s="27">
        <f>IF(C151="","",H151-I151)</f>
        <v/>
      </c>
      <c r="K151" s="25">
        <f>IF(C151="","",IF(G151=0,"not invoiced yet",SUBSTITUTE(TRIM(IF(COUNTIFS(tbl_Finance[Job Number],C151&amp;"",tbl_Finance[Cost Centre],"ONSITE")&gt;0,"ONSITE ","")&amp;IF(COUNTIFS(tbl_Finance[Job Number],C151&amp;"",tbl_Finance[Cost Centre],"PRODUCTION")&gt;0,"PRODUCTION ","")&amp;IF(COUNTIFS(tbl_Finance[Job Number],C151&amp;"",tbl_Finance[Cost Centre],"VIDEO")&gt;0,"VIDEO ","")&amp;IF(COUNTIFS(tbl_Finance[Job Number],C151&amp;"",tbl_Finance[Cost Centre],"INTEGRATION")&gt;0,"INTEGRATION ","")&amp;IF(COUNTIFS(tbl_Finance[Job Number],C151&amp;"",tbl_Finance[Cost Centre],"CONSULTING")&gt;0,"CONSULTING ","")&amp;IF(COUNTIFS(tbl_Finance[Job Number],C151&amp;"",tbl_Finance[Cost Centre],"CTS")&gt;0,"CTS ",""))," ",", ")))</f>
        <v/>
      </c>
      <c r="L151" s="24" t="n"/>
      <c r="M151" s="24" t="n"/>
      <c r="N151" s="25">
        <f>IF(M151="","",HYPERLINK(IF(LEFT(M151,4)="http",M151,set_QwilrBase&amp;M151),"Open quote"))</f>
        <v/>
      </c>
      <c r="O151" s="64" t="n"/>
      <c r="P151" s="24" t="n"/>
      <c r="Q151" s="24" t="n"/>
    </row>
    <row r="152" ht="15" customHeight="1">
      <c r="A152" s="63">
        <f>IF(C152="","",IFERROR(IF(SUMPRODUCT(MAX((tbl_Finance[Job Number]=C152&amp;"")*(tbl_Finance[Xero Invoice No]&lt;&gt;"")*tbl_Finance[Date]))=0,"",SUMPRODUCT(MAX((tbl_Finance[Job Number]=C152&amp;"")*(tbl_Finance[Xero Invoice No]&lt;&gt;"")*tbl_Finance[Date]))),""))</f>
        <v/>
      </c>
      <c r="B152" s="25">
        <f>IF(C152="","",IF(COUNTIFS(tbl_Finance[Job Number],C152&amp;"",tbl_Finance[Xero Invoice No],"&lt;&gt;")=0,"",IFERROR(IF(COUNTIFS(tbl_Finance[Job Number],C152&amp;"",tbl_Finance[Xero Invoice No],LOOKUP(2,1/((tbl_Finance[Job Number]=C152&amp;"")*(tbl_Finance[Xero Invoice No]&lt;&gt;"")),tbl_Finance[Xero Invoice No]))=COUNTIFS(tbl_Finance[Job Number],C152&amp;"",tbl_Finance[Xero Invoice No],"&lt;&gt;"),LOOKUP(2,1/((tbl_Finance[Job Number]=C152&amp;"")*(tbl_Finance[Xero Invoice No]&lt;&gt;"")),tbl_Finance[Xero Invoice No]),LOOKUP(2,1/((tbl_Finance[Job Number]=C152&amp;"")*(tbl_Finance[Xero Invoice No]&lt;&gt;"")),tbl_Finance[Xero Invoice No])&amp;" +more"),"")))</f>
        <v/>
      </c>
      <c r="C152" s="24" t="n"/>
      <c r="D152" s="25">
        <f>IF(C152="","",IF(COUNTIF(lst_Jobs,C152&amp;"")&gt;0,"OK","CHECK"))</f>
        <v/>
      </c>
      <c r="E152" s="25">
        <f>IF(C152="","",IFERROR(INDEX(lst_JobName,MATCH(C152&amp;"",lst_Jobs,0)),""))</f>
        <v/>
      </c>
      <c r="F152" s="25">
        <f>IF(C152="","",IFERROR(INDEX(tbl_Finance[Client],MATCH(C152&amp;"",tbl_Finance[Job Number],0)),""))</f>
        <v/>
      </c>
      <c r="G152" s="28">
        <f>IF(C152="","",COUNTIFS(tbl_Finance[Job Number],C152&amp;"",tbl_Finance[Ex GST],"&lt;&gt;"))</f>
        <v/>
      </c>
      <c r="H152" s="27">
        <f>IF(C152="","",SUMIFS(tbl_Finance[Ex GST],tbl_Finance[Job Number],C152&amp;""))</f>
        <v/>
      </c>
      <c r="I152" s="27">
        <f>IF(C152="","",SUMIFS(tbl_Finance[Ex GST],tbl_Finance[Job Number],C152&amp;"",tbl_Finance[Xero Invoice No],"&lt;&gt;"))</f>
        <v/>
      </c>
      <c r="J152" s="27">
        <f>IF(C152="","",H152-I152)</f>
        <v/>
      </c>
      <c r="K152" s="25">
        <f>IF(C152="","",IF(G152=0,"not invoiced yet",SUBSTITUTE(TRIM(IF(COUNTIFS(tbl_Finance[Job Number],C152&amp;"",tbl_Finance[Cost Centre],"ONSITE")&gt;0,"ONSITE ","")&amp;IF(COUNTIFS(tbl_Finance[Job Number],C152&amp;"",tbl_Finance[Cost Centre],"PRODUCTION")&gt;0,"PRODUCTION ","")&amp;IF(COUNTIFS(tbl_Finance[Job Number],C152&amp;"",tbl_Finance[Cost Centre],"VIDEO")&gt;0,"VIDEO ","")&amp;IF(COUNTIFS(tbl_Finance[Job Number],C152&amp;"",tbl_Finance[Cost Centre],"INTEGRATION")&gt;0,"INTEGRATION ","")&amp;IF(COUNTIFS(tbl_Finance[Job Number],C152&amp;"",tbl_Finance[Cost Centre],"CONSULTING")&gt;0,"CONSULTING ","")&amp;IF(COUNTIFS(tbl_Finance[Job Number],C152&amp;"",tbl_Finance[Cost Centre],"CTS")&gt;0,"CTS ",""))," ",", ")))</f>
        <v/>
      </c>
      <c r="L152" s="24" t="n"/>
      <c r="M152" s="24" t="n"/>
      <c r="N152" s="25">
        <f>IF(M152="","",HYPERLINK(IF(LEFT(M152,4)="http",M152,set_QwilrBase&amp;M152),"Open quote"))</f>
        <v/>
      </c>
      <c r="O152" s="64" t="n"/>
      <c r="P152" s="24" t="n"/>
      <c r="Q152" s="24" t="n"/>
    </row>
    <row r="153" ht="15" customHeight="1">
      <c r="A153" s="63">
        <f>IF(C153="","",IFERROR(IF(SUMPRODUCT(MAX((tbl_Finance[Job Number]=C153&amp;"")*(tbl_Finance[Xero Invoice No]&lt;&gt;"")*tbl_Finance[Date]))=0,"",SUMPRODUCT(MAX((tbl_Finance[Job Number]=C153&amp;"")*(tbl_Finance[Xero Invoice No]&lt;&gt;"")*tbl_Finance[Date]))),""))</f>
        <v/>
      </c>
      <c r="B153" s="25">
        <f>IF(C153="","",IF(COUNTIFS(tbl_Finance[Job Number],C153&amp;"",tbl_Finance[Xero Invoice No],"&lt;&gt;")=0,"",IFERROR(IF(COUNTIFS(tbl_Finance[Job Number],C153&amp;"",tbl_Finance[Xero Invoice No],LOOKUP(2,1/((tbl_Finance[Job Number]=C153&amp;"")*(tbl_Finance[Xero Invoice No]&lt;&gt;"")),tbl_Finance[Xero Invoice No]))=COUNTIFS(tbl_Finance[Job Number],C153&amp;"",tbl_Finance[Xero Invoice No],"&lt;&gt;"),LOOKUP(2,1/((tbl_Finance[Job Number]=C153&amp;"")*(tbl_Finance[Xero Invoice No]&lt;&gt;"")),tbl_Finance[Xero Invoice No]),LOOKUP(2,1/((tbl_Finance[Job Number]=C153&amp;"")*(tbl_Finance[Xero Invoice No]&lt;&gt;"")),tbl_Finance[Xero Invoice No])&amp;" +more"),"")))</f>
        <v/>
      </c>
      <c r="C153" s="24" t="n"/>
      <c r="D153" s="25">
        <f>IF(C153="","",IF(COUNTIF(lst_Jobs,C153&amp;"")&gt;0,"OK","CHECK"))</f>
        <v/>
      </c>
      <c r="E153" s="25">
        <f>IF(C153="","",IFERROR(INDEX(lst_JobName,MATCH(C153&amp;"",lst_Jobs,0)),""))</f>
        <v/>
      </c>
      <c r="F153" s="25">
        <f>IF(C153="","",IFERROR(INDEX(tbl_Finance[Client],MATCH(C153&amp;"",tbl_Finance[Job Number],0)),""))</f>
        <v/>
      </c>
      <c r="G153" s="28">
        <f>IF(C153="","",COUNTIFS(tbl_Finance[Job Number],C153&amp;"",tbl_Finance[Ex GST],"&lt;&gt;"))</f>
        <v/>
      </c>
      <c r="H153" s="27">
        <f>IF(C153="","",SUMIFS(tbl_Finance[Ex GST],tbl_Finance[Job Number],C153&amp;""))</f>
        <v/>
      </c>
      <c r="I153" s="27">
        <f>IF(C153="","",SUMIFS(tbl_Finance[Ex GST],tbl_Finance[Job Number],C153&amp;"",tbl_Finance[Xero Invoice No],"&lt;&gt;"))</f>
        <v/>
      </c>
      <c r="J153" s="27">
        <f>IF(C153="","",H153-I153)</f>
        <v/>
      </c>
      <c r="K153" s="25">
        <f>IF(C153="","",IF(G153=0,"not invoiced yet",SUBSTITUTE(TRIM(IF(COUNTIFS(tbl_Finance[Job Number],C153&amp;"",tbl_Finance[Cost Centre],"ONSITE")&gt;0,"ONSITE ","")&amp;IF(COUNTIFS(tbl_Finance[Job Number],C153&amp;"",tbl_Finance[Cost Centre],"PRODUCTION")&gt;0,"PRODUCTION ","")&amp;IF(COUNTIFS(tbl_Finance[Job Number],C153&amp;"",tbl_Finance[Cost Centre],"VIDEO")&gt;0,"VIDEO ","")&amp;IF(COUNTIFS(tbl_Finance[Job Number],C153&amp;"",tbl_Finance[Cost Centre],"INTEGRATION")&gt;0,"INTEGRATION ","")&amp;IF(COUNTIFS(tbl_Finance[Job Number],C153&amp;"",tbl_Finance[Cost Centre],"CONSULTING")&gt;0,"CONSULTING ","")&amp;IF(COUNTIFS(tbl_Finance[Job Number],C153&amp;"",tbl_Finance[Cost Centre],"CTS")&gt;0,"CTS ",""))," ",", ")))</f>
        <v/>
      </c>
      <c r="L153" s="24" t="n"/>
      <c r="M153" s="24" t="n"/>
      <c r="N153" s="25">
        <f>IF(M153="","",HYPERLINK(IF(LEFT(M153,4)="http",M153,set_QwilrBase&amp;M153),"Open quote"))</f>
        <v/>
      </c>
      <c r="O153" s="64" t="n"/>
      <c r="P153" s="24" t="n"/>
      <c r="Q153" s="24" t="n"/>
    </row>
    <row r="154" ht="15" customHeight="1">
      <c r="A154" s="63">
        <f>IF(C154="","",IFERROR(IF(SUMPRODUCT(MAX((tbl_Finance[Job Number]=C154&amp;"")*(tbl_Finance[Xero Invoice No]&lt;&gt;"")*tbl_Finance[Date]))=0,"",SUMPRODUCT(MAX((tbl_Finance[Job Number]=C154&amp;"")*(tbl_Finance[Xero Invoice No]&lt;&gt;"")*tbl_Finance[Date]))),""))</f>
        <v/>
      </c>
      <c r="B154" s="25">
        <f>IF(C154="","",IF(COUNTIFS(tbl_Finance[Job Number],C154&amp;"",tbl_Finance[Xero Invoice No],"&lt;&gt;")=0,"",IFERROR(IF(COUNTIFS(tbl_Finance[Job Number],C154&amp;"",tbl_Finance[Xero Invoice No],LOOKUP(2,1/((tbl_Finance[Job Number]=C154&amp;"")*(tbl_Finance[Xero Invoice No]&lt;&gt;"")),tbl_Finance[Xero Invoice No]))=COUNTIFS(tbl_Finance[Job Number],C154&amp;"",tbl_Finance[Xero Invoice No],"&lt;&gt;"),LOOKUP(2,1/((tbl_Finance[Job Number]=C154&amp;"")*(tbl_Finance[Xero Invoice No]&lt;&gt;"")),tbl_Finance[Xero Invoice No]),LOOKUP(2,1/((tbl_Finance[Job Number]=C154&amp;"")*(tbl_Finance[Xero Invoice No]&lt;&gt;"")),tbl_Finance[Xero Invoice No])&amp;" +more"),"")))</f>
        <v/>
      </c>
      <c r="C154" s="24" t="n"/>
      <c r="D154" s="25">
        <f>IF(C154="","",IF(COUNTIF(lst_Jobs,C154&amp;"")&gt;0,"OK","CHECK"))</f>
        <v/>
      </c>
      <c r="E154" s="25">
        <f>IF(C154="","",IFERROR(INDEX(lst_JobName,MATCH(C154&amp;"",lst_Jobs,0)),""))</f>
        <v/>
      </c>
      <c r="F154" s="25">
        <f>IF(C154="","",IFERROR(INDEX(tbl_Finance[Client],MATCH(C154&amp;"",tbl_Finance[Job Number],0)),""))</f>
        <v/>
      </c>
      <c r="G154" s="28">
        <f>IF(C154="","",COUNTIFS(tbl_Finance[Job Number],C154&amp;"",tbl_Finance[Ex GST],"&lt;&gt;"))</f>
        <v/>
      </c>
      <c r="H154" s="27">
        <f>IF(C154="","",SUMIFS(tbl_Finance[Ex GST],tbl_Finance[Job Number],C154&amp;""))</f>
        <v/>
      </c>
      <c r="I154" s="27">
        <f>IF(C154="","",SUMIFS(tbl_Finance[Ex GST],tbl_Finance[Job Number],C154&amp;"",tbl_Finance[Xero Invoice No],"&lt;&gt;"))</f>
        <v/>
      </c>
      <c r="J154" s="27">
        <f>IF(C154="","",H154-I154)</f>
        <v/>
      </c>
      <c r="K154" s="25">
        <f>IF(C154="","",IF(G154=0,"not invoiced yet",SUBSTITUTE(TRIM(IF(COUNTIFS(tbl_Finance[Job Number],C154&amp;"",tbl_Finance[Cost Centre],"ONSITE")&gt;0,"ONSITE ","")&amp;IF(COUNTIFS(tbl_Finance[Job Number],C154&amp;"",tbl_Finance[Cost Centre],"PRODUCTION")&gt;0,"PRODUCTION ","")&amp;IF(COUNTIFS(tbl_Finance[Job Number],C154&amp;"",tbl_Finance[Cost Centre],"VIDEO")&gt;0,"VIDEO ","")&amp;IF(COUNTIFS(tbl_Finance[Job Number],C154&amp;"",tbl_Finance[Cost Centre],"INTEGRATION")&gt;0,"INTEGRATION ","")&amp;IF(COUNTIFS(tbl_Finance[Job Number],C154&amp;"",tbl_Finance[Cost Centre],"CONSULTING")&gt;0,"CONSULTING ","")&amp;IF(COUNTIFS(tbl_Finance[Job Number],C154&amp;"",tbl_Finance[Cost Centre],"CTS")&gt;0,"CTS ",""))," ",", ")))</f>
        <v/>
      </c>
      <c r="L154" s="24" t="n"/>
      <c r="M154" s="24" t="n"/>
      <c r="N154" s="25">
        <f>IF(M154="","",HYPERLINK(IF(LEFT(M154,4)="http",M154,set_QwilrBase&amp;M154),"Open quote"))</f>
        <v/>
      </c>
      <c r="O154" s="64" t="n"/>
      <c r="P154" s="24" t="n"/>
      <c r="Q154" s="24" t="n"/>
    </row>
    <row r="155" ht="15" customHeight="1">
      <c r="A155" s="63">
        <f>IF(C155="","",IFERROR(IF(SUMPRODUCT(MAX((tbl_Finance[Job Number]=C155&amp;"")*(tbl_Finance[Xero Invoice No]&lt;&gt;"")*tbl_Finance[Date]))=0,"",SUMPRODUCT(MAX((tbl_Finance[Job Number]=C155&amp;"")*(tbl_Finance[Xero Invoice No]&lt;&gt;"")*tbl_Finance[Date]))),""))</f>
        <v/>
      </c>
      <c r="B155" s="25">
        <f>IF(C155="","",IF(COUNTIFS(tbl_Finance[Job Number],C155&amp;"",tbl_Finance[Xero Invoice No],"&lt;&gt;")=0,"",IFERROR(IF(COUNTIFS(tbl_Finance[Job Number],C155&amp;"",tbl_Finance[Xero Invoice No],LOOKUP(2,1/((tbl_Finance[Job Number]=C155&amp;"")*(tbl_Finance[Xero Invoice No]&lt;&gt;"")),tbl_Finance[Xero Invoice No]))=COUNTIFS(tbl_Finance[Job Number],C155&amp;"",tbl_Finance[Xero Invoice No],"&lt;&gt;"),LOOKUP(2,1/((tbl_Finance[Job Number]=C155&amp;"")*(tbl_Finance[Xero Invoice No]&lt;&gt;"")),tbl_Finance[Xero Invoice No]),LOOKUP(2,1/((tbl_Finance[Job Number]=C155&amp;"")*(tbl_Finance[Xero Invoice No]&lt;&gt;"")),tbl_Finance[Xero Invoice No])&amp;" +more"),"")))</f>
        <v/>
      </c>
      <c r="C155" s="24" t="n"/>
      <c r="D155" s="25">
        <f>IF(C155="","",IF(COUNTIF(lst_Jobs,C155&amp;"")&gt;0,"OK","CHECK"))</f>
        <v/>
      </c>
      <c r="E155" s="25">
        <f>IF(C155="","",IFERROR(INDEX(lst_JobName,MATCH(C155&amp;"",lst_Jobs,0)),""))</f>
        <v/>
      </c>
      <c r="F155" s="25">
        <f>IF(C155="","",IFERROR(INDEX(tbl_Finance[Client],MATCH(C155&amp;"",tbl_Finance[Job Number],0)),""))</f>
        <v/>
      </c>
      <c r="G155" s="28">
        <f>IF(C155="","",COUNTIFS(tbl_Finance[Job Number],C155&amp;"",tbl_Finance[Ex GST],"&lt;&gt;"))</f>
        <v/>
      </c>
      <c r="H155" s="27">
        <f>IF(C155="","",SUMIFS(tbl_Finance[Ex GST],tbl_Finance[Job Number],C155&amp;""))</f>
        <v/>
      </c>
      <c r="I155" s="27">
        <f>IF(C155="","",SUMIFS(tbl_Finance[Ex GST],tbl_Finance[Job Number],C155&amp;"",tbl_Finance[Xero Invoice No],"&lt;&gt;"))</f>
        <v/>
      </c>
      <c r="J155" s="27">
        <f>IF(C155="","",H155-I155)</f>
        <v/>
      </c>
      <c r="K155" s="25">
        <f>IF(C155="","",IF(G155=0,"not invoiced yet",SUBSTITUTE(TRIM(IF(COUNTIFS(tbl_Finance[Job Number],C155&amp;"",tbl_Finance[Cost Centre],"ONSITE")&gt;0,"ONSITE ","")&amp;IF(COUNTIFS(tbl_Finance[Job Number],C155&amp;"",tbl_Finance[Cost Centre],"PRODUCTION")&gt;0,"PRODUCTION ","")&amp;IF(COUNTIFS(tbl_Finance[Job Number],C155&amp;"",tbl_Finance[Cost Centre],"VIDEO")&gt;0,"VIDEO ","")&amp;IF(COUNTIFS(tbl_Finance[Job Number],C155&amp;"",tbl_Finance[Cost Centre],"INTEGRATION")&gt;0,"INTEGRATION ","")&amp;IF(COUNTIFS(tbl_Finance[Job Number],C155&amp;"",tbl_Finance[Cost Centre],"CONSULTING")&gt;0,"CONSULTING ","")&amp;IF(COUNTIFS(tbl_Finance[Job Number],C155&amp;"",tbl_Finance[Cost Centre],"CTS")&gt;0,"CTS ",""))," ",", ")))</f>
        <v/>
      </c>
      <c r="L155" s="24" t="n"/>
      <c r="M155" s="24" t="n"/>
      <c r="N155" s="25">
        <f>IF(M155="","",HYPERLINK(IF(LEFT(M155,4)="http",M155,set_QwilrBase&amp;M155),"Open quote"))</f>
        <v/>
      </c>
      <c r="O155" s="64" t="n"/>
      <c r="P155" s="24" t="n"/>
      <c r="Q155" s="24" t="n"/>
    </row>
    <row r="156" ht="15" customHeight="1">
      <c r="A156" s="63">
        <f>IF(C156="","",IFERROR(IF(SUMPRODUCT(MAX((tbl_Finance[Job Number]=C156&amp;"")*(tbl_Finance[Xero Invoice No]&lt;&gt;"")*tbl_Finance[Date]))=0,"",SUMPRODUCT(MAX((tbl_Finance[Job Number]=C156&amp;"")*(tbl_Finance[Xero Invoice No]&lt;&gt;"")*tbl_Finance[Date]))),""))</f>
        <v/>
      </c>
      <c r="B156" s="25">
        <f>IF(C156="","",IF(COUNTIFS(tbl_Finance[Job Number],C156&amp;"",tbl_Finance[Xero Invoice No],"&lt;&gt;")=0,"",IFERROR(IF(COUNTIFS(tbl_Finance[Job Number],C156&amp;"",tbl_Finance[Xero Invoice No],LOOKUP(2,1/((tbl_Finance[Job Number]=C156&amp;"")*(tbl_Finance[Xero Invoice No]&lt;&gt;"")),tbl_Finance[Xero Invoice No]))=COUNTIFS(tbl_Finance[Job Number],C156&amp;"",tbl_Finance[Xero Invoice No],"&lt;&gt;"),LOOKUP(2,1/((tbl_Finance[Job Number]=C156&amp;"")*(tbl_Finance[Xero Invoice No]&lt;&gt;"")),tbl_Finance[Xero Invoice No]),LOOKUP(2,1/((tbl_Finance[Job Number]=C156&amp;"")*(tbl_Finance[Xero Invoice No]&lt;&gt;"")),tbl_Finance[Xero Invoice No])&amp;" +more"),"")))</f>
        <v/>
      </c>
      <c r="C156" s="24" t="n"/>
      <c r="D156" s="25">
        <f>IF(C156="","",IF(COUNTIF(lst_Jobs,C156&amp;"")&gt;0,"OK","CHECK"))</f>
        <v/>
      </c>
      <c r="E156" s="25">
        <f>IF(C156="","",IFERROR(INDEX(lst_JobName,MATCH(C156&amp;"",lst_Jobs,0)),""))</f>
        <v/>
      </c>
      <c r="F156" s="25">
        <f>IF(C156="","",IFERROR(INDEX(tbl_Finance[Client],MATCH(C156&amp;"",tbl_Finance[Job Number],0)),""))</f>
        <v/>
      </c>
      <c r="G156" s="28">
        <f>IF(C156="","",COUNTIFS(tbl_Finance[Job Number],C156&amp;"",tbl_Finance[Ex GST],"&lt;&gt;"))</f>
        <v/>
      </c>
      <c r="H156" s="27">
        <f>IF(C156="","",SUMIFS(tbl_Finance[Ex GST],tbl_Finance[Job Number],C156&amp;""))</f>
        <v/>
      </c>
      <c r="I156" s="27">
        <f>IF(C156="","",SUMIFS(tbl_Finance[Ex GST],tbl_Finance[Job Number],C156&amp;"",tbl_Finance[Xero Invoice No],"&lt;&gt;"))</f>
        <v/>
      </c>
      <c r="J156" s="27">
        <f>IF(C156="","",H156-I156)</f>
        <v/>
      </c>
      <c r="K156" s="25">
        <f>IF(C156="","",IF(G156=0,"not invoiced yet",SUBSTITUTE(TRIM(IF(COUNTIFS(tbl_Finance[Job Number],C156&amp;"",tbl_Finance[Cost Centre],"ONSITE")&gt;0,"ONSITE ","")&amp;IF(COUNTIFS(tbl_Finance[Job Number],C156&amp;"",tbl_Finance[Cost Centre],"PRODUCTION")&gt;0,"PRODUCTION ","")&amp;IF(COUNTIFS(tbl_Finance[Job Number],C156&amp;"",tbl_Finance[Cost Centre],"VIDEO")&gt;0,"VIDEO ","")&amp;IF(COUNTIFS(tbl_Finance[Job Number],C156&amp;"",tbl_Finance[Cost Centre],"INTEGRATION")&gt;0,"INTEGRATION ","")&amp;IF(COUNTIFS(tbl_Finance[Job Number],C156&amp;"",tbl_Finance[Cost Centre],"CONSULTING")&gt;0,"CONSULTING ","")&amp;IF(COUNTIFS(tbl_Finance[Job Number],C156&amp;"",tbl_Finance[Cost Centre],"CTS")&gt;0,"CTS ",""))," ",", ")))</f>
        <v/>
      </c>
      <c r="L156" s="24" t="n"/>
      <c r="M156" s="24" t="n"/>
      <c r="N156" s="25">
        <f>IF(M156="","",HYPERLINK(IF(LEFT(M156,4)="http",M156,set_QwilrBase&amp;M156),"Open quote"))</f>
        <v/>
      </c>
      <c r="O156" s="64" t="n"/>
      <c r="P156" s="24" t="n"/>
      <c r="Q156" s="24" t="n"/>
    </row>
    <row r="157" ht="15" customHeight="1">
      <c r="A157" s="63">
        <f>IF(C157="","",IFERROR(IF(SUMPRODUCT(MAX((tbl_Finance[Job Number]=C157&amp;"")*(tbl_Finance[Xero Invoice No]&lt;&gt;"")*tbl_Finance[Date]))=0,"",SUMPRODUCT(MAX((tbl_Finance[Job Number]=C157&amp;"")*(tbl_Finance[Xero Invoice No]&lt;&gt;"")*tbl_Finance[Date]))),""))</f>
        <v/>
      </c>
      <c r="B157" s="25">
        <f>IF(C157="","",IF(COUNTIFS(tbl_Finance[Job Number],C157&amp;"",tbl_Finance[Xero Invoice No],"&lt;&gt;")=0,"",IFERROR(IF(COUNTIFS(tbl_Finance[Job Number],C157&amp;"",tbl_Finance[Xero Invoice No],LOOKUP(2,1/((tbl_Finance[Job Number]=C157&amp;"")*(tbl_Finance[Xero Invoice No]&lt;&gt;"")),tbl_Finance[Xero Invoice No]))=COUNTIFS(tbl_Finance[Job Number],C157&amp;"",tbl_Finance[Xero Invoice No],"&lt;&gt;"),LOOKUP(2,1/((tbl_Finance[Job Number]=C157&amp;"")*(tbl_Finance[Xero Invoice No]&lt;&gt;"")),tbl_Finance[Xero Invoice No]),LOOKUP(2,1/((tbl_Finance[Job Number]=C157&amp;"")*(tbl_Finance[Xero Invoice No]&lt;&gt;"")),tbl_Finance[Xero Invoice No])&amp;" +more"),"")))</f>
        <v/>
      </c>
      <c r="C157" s="24" t="n"/>
      <c r="D157" s="25">
        <f>IF(C157="","",IF(COUNTIF(lst_Jobs,C157&amp;"")&gt;0,"OK","CHECK"))</f>
        <v/>
      </c>
      <c r="E157" s="25">
        <f>IF(C157="","",IFERROR(INDEX(lst_JobName,MATCH(C157&amp;"",lst_Jobs,0)),""))</f>
        <v/>
      </c>
      <c r="F157" s="25">
        <f>IF(C157="","",IFERROR(INDEX(tbl_Finance[Client],MATCH(C157&amp;"",tbl_Finance[Job Number],0)),""))</f>
        <v/>
      </c>
      <c r="G157" s="28">
        <f>IF(C157="","",COUNTIFS(tbl_Finance[Job Number],C157&amp;"",tbl_Finance[Ex GST],"&lt;&gt;"))</f>
        <v/>
      </c>
      <c r="H157" s="27">
        <f>IF(C157="","",SUMIFS(tbl_Finance[Ex GST],tbl_Finance[Job Number],C157&amp;""))</f>
        <v/>
      </c>
      <c r="I157" s="27">
        <f>IF(C157="","",SUMIFS(tbl_Finance[Ex GST],tbl_Finance[Job Number],C157&amp;"",tbl_Finance[Xero Invoice No],"&lt;&gt;"))</f>
        <v/>
      </c>
      <c r="J157" s="27">
        <f>IF(C157="","",H157-I157)</f>
        <v/>
      </c>
      <c r="K157" s="25">
        <f>IF(C157="","",IF(G157=0,"not invoiced yet",SUBSTITUTE(TRIM(IF(COUNTIFS(tbl_Finance[Job Number],C157&amp;"",tbl_Finance[Cost Centre],"ONSITE")&gt;0,"ONSITE ","")&amp;IF(COUNTIFS(tbl_Finance[Job Number],C157&amp;"",tbl_Finance[Cost Centre],"PRODUCTION")&gt;0,"PRODUCTION ","")&amp;IF(COUNTIFS(tbl_Finance[Job Number],C157&amp;"",tbl_Finance[Cost Centre],"VIDEO")&gt;0,"VIDEO ","")&amp;IF(COUNTIFS(tbl_Finance[Job Number],C157&amp;"",tbl_Finance[Cost Centre],"INTEGRATION")&gt;0,"INTEGRATION ","")&amp;IF(COUNTIFS(tbl_Finance[Job Number],C157&amp;"",tbl_Finance[Cost Centre],"CONSULTING")&gt;0,"CONSULTING ","")&amp;IF(COUNTIFS(tbl_Finance[Job Number],C157&amp;"",tbl_Finance[Cost Centre],"CTS")&gt;0,"CTS ",""))," ",", ")))</f>
        <v/>
      </c>
      <c r="L157" s="24" t="n"/>
      <c r="M157" s="24" t="n"/>
      <c r="N157" s="25">
        <f>IF(M157="","",HYPERLINK(IF(LEFT(M157,4)="http",M157,set_QwilrBase&amp;M157),"Open quote"))</f>
        <v/>
      </c>
      <c r="O157" s="64" t="n"/>
      <c r="P157" s="24" t="n"/>
      <c r="Q157" s="24" t="n"/>
    </row>
    <row r="158" ht="15" customHeight="1">
      <c r="A158" s="63">
        <f>IF(C158="","",IFERROR(IF(SUMPRODUCT(MAX((tbl_Finance[Job Number]=C158&amp;"")*(tbl_Finance[Xero Invoice No]&lt;&gt;"")*tbl_Finance[Date]))=0,"",SUMPRODUCT(MAX((tbl_Finance[Job Number]=C158&amp;"")*(tbl_Finance[Xero Invoice No]&lt;&gt;"")*tbl_Finance[Date]))),""))</f>
        <v/>
      </c>
      <c r="B158" s="25">
        <f>IF(C158="","",IF(COUNTIFS(tbl_Finance[Job Number],C158&amp;"",tbl_Finance[Xero Invoice No],"&lt;&gt;")=0,"",IFERROR(IF(COUNTIFS(tbl_Finance[Job Number],C158&amp;"",tbl_Finance[Xero Invoice No],LOOKUP(2,1/((tbl_Finance[Job Number]=C158&amp;"")*(tbl_Finance[Xero Invoice No]&lt;&gt;"")),tbl_Finance[Xero Invoice No]))=COUNTIFS(tbl_Finance[Job Number],C158&amp;"",tbl_Finance[Xero Invoice No],"&lt;&gt;"),LOOKUP(2,1/((tbl_Finance[Job Number]=C158&amp;"")*(tbl_Finance[Xero Invoice No]&lt;&gt;"")),tbl_Finance[Xero Invoice No]),LOOKUP(2,1/((tbl_Finance[Job Number]=C158&amp;"")*(tbl_Finance[Xero Invoice No]&lt;&gt;"")),tbl_Finance[Xero Invoice No])&amp;" +more"),"")))</f>
        <v/>
      </c>
      <c r="C158" s="24" t="n"/>
      <c r="D158" s="25">
        <f>IF(C158="","",IF(COUNTIF(lst_Jobs,C158&amp;"")&gt;0,"OK","CHECK"))</f>
        <v/>
      </c>
      <c r="E158" s="25">
        <f>IF(C158="","",IFERROR(INDEX(lst_JobName,MATCH(C158&amp;"",lst_Jobs,0)),""))</f>
        <v/>
      </c>
      <c r="F158" s="25">
        <f>IF(C158="","",IFERROR(INDEX(tbl_Finance[Client],MATCH(C158&amp;"",tbl_Finance[Job Number],0)),""))</f>
        <v/>
      </c>
      <c r="G158" s="28">
        <f>IF(C158="","",COUNTIFS(tbl_Finance[Job Number],C158&amp;"",tbl_Finance[Ex GST],"&lt;&gt;"))</f>
        <v/>
      </c>
      <c r="H158" s="27">
        <f>IF(C158="","",SUMIFS(tbl_Finance[Ex GST],tbl_Finance[Job Number],C158&amp;""))</f>
        <v/>
      </c>
      <c r="I158" s="27">
        <f>IF(C158="","",SUMIFS(tbl_Finance[Ex GST],tbl_Finance[Job Number],C158&amp;"",tbl_Finance[Xero Invoice No],"&lt;&gt;"))</f>
        <v/>
      </c>
      <c r="J158" s="27">
        <f>IF(C158="","",H158-I158)</f>
        <v/>
      </c>
      <c r="K158" s="25">
        <f>IF(C158="","",IF(G158=0,"not invoiced yet",SUBSTITUTE(TRIM(IF(COUNTIFS(tbl_Finance[Job Number],C158&amp;"",tbl_Finance[Cost Centre],"ONSITE")&gt;0,"ONSITE ","")&amp;IF(COUNTIFS(tbl_Finance[Job Number],C158&amp;"",tbl_Finance[Cost Centre],"PRODUCTION")&gt;0,"PRODUCTION ","")&amp;IF(COUNTIFS(tbl_Finance[Job Number],C158&amp;"",tbl_Finance[Cost Centre],"VIDEO")&gt;0,"VIDEO ","")&amp;IF(COUNTIFS(tbl_Finance[Job Number],C158&amp;"",tbl_Finance[Cost Centre],"INTEGRATION")&gt;0,"INTEGRATION ","")&amp;IF(COUNTIFS(tbl_Finance[Job Number],C158&amp;"",tbl_Finance[Cost Centre],"CONSULTING")&gt;0,"CONSULTING ","")&amp;IF(COUNTIFS(tbl_Finance[Job Number],C158&amp;"",tbl_Finance[Cost Centre],"CTS")&gt;0,"CTS ",""))," ",", ")))</f>
        <v/>
      </c>
      <c r="L158" s="24" t="n"/>
      <c r="M158" s="24" t="n"/>
      <c r="N158" s="25">
        <f>IF(M158="","",HYPERLINK(IF(LEFT(M158,4)="http",M158,set_QwilrBase&amp;M158),"Open quote"))</f>
        <v/>
      </c>
      <c r="O158" s="64" t="n"/>
      <c r="P158" s="24" t="n"/>
      <c r="Q158" s="24" t="n"/>
    </row>
    <row r="159" ht="15" customHeight="1">
      <c r="A159" s="63">
        <f>IF(C159="","",IFERROR(IF(SUMPRODUCT(MAX((tbl_Finance[Job Number]=C159&amp;"")*(tbl_Finance[Xero Invoice No]&lt;&gt;"")*tbl_Finance[Date]))=0,"",SUMPRODUCT(MAX((tbl_Finance[Job Number]=C159&amp;"")*(tbl_Finance[Xero Invoice No]&lt;&gt;"")*tbl_Finance[Date]))),""))</f>
        <v/>
      </c>
      <c r="B159" s="25">
        <f>IF(C159="","",IF(COUNTIFS(tbl_Finance[Job Number],C159&amp;"",tbl_Finance[Xero Invoice No],"&lt;&gt;")=0,"",IFERROR(IF(COUNTIFS(tbl_Finance[Job Number],C159&amp;"",tbl_Finance[Xero Invoice No],LOOKUP(2,1/((tbl_Finance[Job Number]=C159&amp;"")*(tbl_Finance[Xero Invoice No]&lt;&gt;"")),tbl_Finance[Xero Invoice No]))=COUNTIFS(tbl_Finance[Job Number],C159&amp;"",tbl_Finance[Xero Invoice No],"&lt;&gt;"),LOOKUP(2,1/((tbl_Finance[Job Number]=C159&amp;"")*(tbl_Finance[Xero Invoice No]&lt;&gt;"")),tbl_Finance[Xero Invoice No]),LOOKUP(2,1/((tbl_Finance[Job Number]=C159&amp;"")*(tbl_Finance[Xero Invoice No]&lt;&gt;"")),tbl_Finance[Xero Invoice No])&amp;" +more"),"")))</f>
        <v/>
      </c>
      <c r="C159" s="24" t="n"/>
      <c r="D159" s="25">
        <f>IF(C159="","",IF(COUNTIF(lst_Jobs,C159&amp;"")&gt;0,"OK","CHECK"))</f>
        <v/>
      </c>
      <c r="E159" s="25">
        <f>IF(C159="","",IFERROR(INDEX(lst_JobName,MATCH(C159&amp;"",lst_Jobs,0)),""))</f>
        <v/>
      </c>
      <c r="F159" s="25">
        <f>IF(C159="","",IFERROR(INDEX(tbl_Finance[Client],MATCH(C159&amp;"",tbl_Finance[Job Number],0)),""))</f>
        <v/>
      </c>
      <c r="G159" s="28">
        <f>IF(C159="","",COUNTIFS(tbl_Finance[Job Number],C159&amp;"",tbl_Finance[Ex GST],"&lt;&gt;"))</f>
        <v/>
      </c>
      <c r="H159" s="27">
        <f>IF(C159="","",SUMIFS(tbl_Finance[Ex GST],tbl_Finance[Job Number],C159&amp;""))</f>
        <v/>
      </c>
      <c r="I159" s="27">
        <f>IF(C159="","",SUMIFS(tbl_Finance[Ex GST],tbl_Finance[Job Number],C159&amp;"",tbl_Finance[Xero Invoice No],"&lt;&gt;"))</f>
        <v/>
      </c>
      <c r="J159" s="27">
        <f>IF(C159="","",H159-I159)</f>
        <v/>
      </c>
      <c r="K159" s="25">
        <f>IF(C159="","",IF(G159=0,"not invoiced yet",SUBSTITUTE(TRIM(IF(COUNTIFS(tbl_Finance[Job Number],C159&amp;"",tbl_Finance[Cost Centre],"ONSITE")&gt;0,"ONSITE ","")&amp;IF(COUNTIFS(tbl_Finance[Job Number],C159&amp;"",tbl_Finance[Cost Centre],"PRODUCTION")&gt;0,"PRODUCTION ","")&amp;IF(COUNTIFS(tbl_Finance[Job Number],C159&amp;"",tbl_Finance[Cost Centre],"VIDEO")&gt;0,"VIDEO ","")&amp;IF(COUNTIFS(tbl_Finance[Job Number],C159&amp;"",tbl_Finance[Cost Centre],"INTEGRATION")&gt;0,"INTEGRATION ","")&amp;IF(COUNTIFS(tbl_Finance[Job Number],C159&amp;"",tbl_Finance[Cost Centre],"CONSULTING")&gt;0,"CONSULTING ","")&amp;IF(COUNTIFS(tbl_Finance[Job Number],C159&amp;"",tbl_Finance[Cost Centre],"CTS")&gt;0,"CTS ",""))," ",", ")))</f>
        <v/>
      </c>
      <c r="L159" s="24" t="n"/>
      <c r="M159" s="24" t="n"/>
      <c r="N159" s="25">
        <f>IF(M159="","",HYPERLINK(IF(LEFT(M159,4)="http",M159,set_QwilrBase&amp;M159),"Open quote"))</f>
        <v/>
      </c>
      <c r="O159" s="64" t="n"/>
      <c r="P159" s="24" t="n"/>
      <c r="Q159" s="24" t="n"/>
    </row>
    <row r="160" ht="15" customHeight="1">
      <c r="A160" s="63">
        <f>IF(C160="","",IFERROR(IF(SUMPRODUCT(MAX((tbl_Finance[Job Number]=C160&amp;"")*(tbl_Finance[Xero Invoice No]&lt;&gt;"")*tbl_Finance[Date]))=0,"",SUMPRODUCT(MAX((tbl_Finance[Job Number]=C160&amp;"")*(tbl_Finance[Xero Invoice No]&lt;&gt;"")*tbl_Finance[Date]))),""))</f>
        <v/>
      </c>
      <c r="B160" s="25">
        <f>IF(C160="","",IF(COUNTIFS(tbl_Finance[Job Number],C160&amp;"",tbl_Finance[Xero Invoice No],"&lt;&gt;")=0,"",IFERROR(IF(COUNTIFS(tbl_Finance[Job Number],C160&amp;"",tbl_Finance[Xero Invoice No],LOOKUP(2,1/((tbl_Finance[Job Number]=C160&amp;"")*(tbl_Finance[Xero Invoice No]&lt;&gt;"")),tbl_Finance[Xero Invoice No]))=COUNTIFS(tbl_Finance[Job Number],C160&amp;"",tbl_Finance[Xero Invoice No],"&lt;&gt;"),LOOKUP(2,1/((tbl_Finance[Job Number]=C160&amp;"")*(tbl_Finance[Xero Invoice No]&lt;&gt;"")),tbl_Finance[Xero Invoice No]),LOOKUP(2,1/((tbl_Finance[Job Number]=C160&amp;"")*(tbl_Finance[Xero Invoice No]&lt;&gt;"")),tbl_Finance[Xero Invoice No])&amp;" +more"),"")))</f>
        <v/>
      </c>
      <c r="C160" s="24" t="n"/>
      <c r="D160" s="25">
        <f>IF(C160="","",IF(COUNTIF(lst_Jobs,C160&amp;"")&gt;0,"OK","CHECK"))</f>
        <v/>
      </c>
      <c r="E160" s="25">
        <f>IF(C160="","",IFERROR(INDEX(lst_JobName,MATCH(C160&amp;"",lst_Jobs,0)),""))</f>
        <v/>
      </c>
      <c r="F160" s="25">
        <f>IF(C160="","",IFERROR(INDEX(tbl_Finance[Client],MATCH(C160&amp;"",tbl_Finance[Job Number],0)),""))</f>
        <v/>
      </c>
      <c r="G160" s="28">
        <f>IF(C160="","",COUNTIFS(tbl_Finance[Job Number],C160&amp;"",tbl_Finance[Ex GST],"&lt;&gt;"))</f>
        <v/>
      </c>
      <c r="H160" s="27">
        <f>IF(C160="","",SUMIFS(tbl_Finance[Ex GST],tbl_Finance[Job Number],C160&amp;""))</f>
        <v/>
      </c>
      <c r="I160" s="27">
        <f>IF(C160="","",SUMIFS(tbl_Finance[Ex GST],tbl_Finance[Job Number],C160&amp;"",tbl_Finance[Xero Invoice No],"&lt;&gt;"))</f>
        <v/>
      </c>
      <c r="J160" s="27">
        <f>IF(C160="","",H160-I160)</f>
        <v/>
      </c>
      <c r="K160" s="25">
        <f>IF(C160="","",IF(G160=0,"not invoiced yet",SUBSTITUTE(TRIM(IF(COUNTIFS(tbl_Finance[Job Number],C160&amp;"",tbl_Finance[Cost Centre],"ONSITE")&gt;0,"ONSITE ","")&amp;IF(COUNTIFS(tbl_Finance[Job Number],C160&amp;"",tbl_Finance[Cost Centre],"PRODUCTION")&gt;0,"PRODUCTION ","")&amp;IF(COUNTIFS(tbl_Finance[Job Number],C160&amp;"",tbl_Finance[Cost Centre],"VIDEO")&gt;0,"VIDEO ","")&amp;IF(COUNTIFS(tbl_Finance[Job Number],C160&amp;"",tbl_Finance[Cost Centre],"INTEGRATION")&gt;0,"INTEGRATION ","")&amp;IF(COUNTIFS(tbl_Finance[Job Number],C160&amp;"",tbl_Finance[Cost Centre],"CONSULTING")&gt;0,"CONSULTING ","")&amp;IF(COUNTIFS(tbl_Finance[Job Number],C160&amp;"",tbl_Finance[Cost Centre],"CTS")&gt;0,"CTS ",""))," ",", ")))</f>
        <v/>
      </c>
      <c r="L160" s="24" t="n"/>
      <c r="M160" s="24" t="n"/>
      <c r="N160" s="25">
        <f>IF(M160="","",HYPERLINK(IF(LEFT(M160,4)="http",M160,set_QwilrBase&amp;M160),"Open quote"))</f>
        <v/>
      </c>
      <c r="O160" s="64" t="n"/>
      <c r="P160" s="24" t="n"/>
      <c r="Q160" s="24" t="n"/>
    </row>
    <row r="161" ht="15" customHeight="1">
      <c r="A161" s="63">
        <f>IF(C161="","",IFERROR(IF(SUMPRODUCT(MAX((tbl_Finance[Job Number]=C161&amp;"")*(tbl_Finance[Xero Invoice No]&lt;&gt;"")*tbl_Finance[Date]))=0,"",SUMPRODUCT(MAX((tbl_Finance[Job Number]=C161&amp;"")*(tbl_Finance[Xero Invoice No]&lt;&gt;"")*tbl_Finance[Date]))),""))</f>
        <v/>
      </c>
      <c r="B161" s="25">
        <f>IF(C161="","",IF(COUNTIFS(tbl_Finance[Job Number],C161&amp;"",tbl_Finance[Xero Invoice No],"&lt;&gt;")=0,"",IFERROR(IF(COUNTIFS(tbl_Finance[Job Number],C161&amp;"",tbl_Finance[Xero Invoice No],LOOKUP(2,1/((tbl_Finance[Job Number]=C161&amp;"")*(tbl_Finance[Xero Invoice No]&lt;&gt;"")),tbl_Finance[Xero Invoice No]))=COUNTIFS(tbl_Finance[Job Number],C161&amp;"",tbl_Finance[Xero Invoice No],"&lt;&gt;"),LOOKUP(2,1/((tbl_Finance[Job Number]=C161&amp;"")*(tbl_Finance[Xero Invoice No]&lt;&gt;"")),tbl_Finance[Xero Invoice No]),LOOKUP(2,1/((tbl_Finance[Job Number]=C161&amp;"")*(tbl_Finance[Xero Invoice No]&lt;&gt;"")),tbl_Finance[Xero Invoice No])&amp;" +more"),"")))</f>
        <v/>
      </c>
      <c r="C161" s="24" t="n"/>
      <c r="D161" s="25">
        <f>IF(C161="","",IF(COUNTIF(lst_Jobs,C161&amp;"")&gt;0,"OK","CHECK"))</f>
        <v/>
      </c>
      <c r="E161" s="25">
        <f>IF(C161="","",IFERROR(INDEX(lst_JobName,MATCH(C161&amp;"",lst_Jobs,0)),""))</f>
        <v/>
      </c>
      <c r="F161" s="25">
        <f>IF(C161="","",IFERROR(INDEX(tbl_Finance[Client],MATCH(C161&amp;"",tbl_Finance[Job Number],0)),""))</f>
        <v/>
      </c>
      <c r="G161" s="28">
        <f>IF(C161="","",COUNTIFS(tbl_Finance[Job Number],C161&amp;"",tbl_Finance[Ex GST],"&lt;&gt;"))</f>
        <v/>
      </c>
      <c r="H161" s="27">
        <f>IF(C161="","",SUMIFS(tbl_Finance[Ex GST],tbl_Finance[Job Number],C161&amp;""))</f>
        <v/>
      </c>
      <c r="I161" s="27">
        <f>IF(C161="","",SUMIFS(tbl_Finance[Ex GST],tbl_Finance[Job Number],C161&amp;"",tbl_Finance[Xero Invoice No],"&lt;&gt;"))</f>
        <v/>
      </c>
      <c r="J161" s="27">
        <f>IF(C161="","",H161-I161)</f>
        <v/>
      </c>
      <c r="K161" s="25">
        <f>IF(C161="","",IF(G161=0,"not invoiced yet",SUBSTITUTE(TRIM(IF(COUNTIFS(tbl_Finance[Job Number],C161&amp;"",tbl_Finance[Cost Centre],"ONSITE")&gt;0,"ONSITE ","")&amp;IF(COUNTIFS(tbl_Finance[Job Number],C161&amp;"",tbl_Finance[Cost Centre],"PRODUCTION")&gt;0,"PRODUCTION ","")&amp;IF(COUNTIFS(tbl_Finance[Job Number],C161&amp;"",tbl_Finance[Cost Centre],"VIDEO")&gt;0,"VIDEO ","")&amp;IF(COUNTIFS(tbl_Finance[Job Number],C161&amp;"",tbl_Finance[Cost Centre],"INTEGRATION")&gt;0,"INTEGRATION ","")&amp;IF(COUNTIFS(tbl_Finance[Job Number],C161&amp;"",tbl_Finance[Cost Centre],"CONSULTING")&gt;0,"CONSULTING ","")&amp;IF(COUNTIFS(tbl_Finance[Job Number],C161&amp;"",tbl_Finance[Cost Centre],"CTS")&gt;0,"CTS ",""))," ",", ")))</f>
        <v/>
      </c>
      <c r="L161" s="24" t="n"/>
      <c r="M161" s="24" t="n"/>
      <c r="N161" s="25">
        <f>IF(M161="","",HYPERLINK(IF(LEFT(M161,4)="http",M161,set_QwilrBase&amp;M161),"Open quote"))</f>
        <v/>
      </c>
      <c r="O161" s="64" t="n"/>
      <c r="P161" s="24" t="n"/>
      <c r="Q161" s="24" t="n"/>
    </row>
    <row r="162" ht="15" customHeight="1">
      <c r="A162" s="63">
        <f>IF(C162="","",IFERROR(IF(SUMPRODUCT(MAX((tbl_Finance[Job Number]=C162&amp;"")*(tbl_Finance[Xero Invoice No]&lt;&gt;"")*tbl_Finance[Date]))=0,"",SUMPRODUCT(MAX((tbl_Finance[Job Number]=C162&amp;"")*(tbl_Finance[Xero Invoice No]&lt;&gt;"")*tbl_Finance[Date]))),""))</f>
        <v/>
      </c>
      <c r="B162" s="25">
        <f>IF(C162="","",IF(COUNTIFS(tbl_Finance[Job Number],C162&amp;"",tbl_Finance[Xero Invoice No],"&lt;&gt;")=0,"",IFERROR(IF(COUNTIFS(tbl_Finance[Job Number],C162&amp;"",tbl_Finance[Xero Invoice No],LOOKUP(2,1/((tbl_Finance[Job Number]=C162&amp;"")*(tbl_Finance[Xero Invoice No]&lt;&gt;"")),tbl_Finance[Xero Invoice No]))=COUNTIFS(tbl_Finance[Job Number],C162&amp;"",tbl_Finance[Xero Invoice No],"&lt;&gt;"),LOOKUP(2,1/((tbl_Finance[Job Number]=C162&amp;"")*(tbl_Finance[Xero Invoice No]&lt;&gt;"")),tbl_Finance[Xero Invoice No]),LOOKUP(2,1/((tbl_Finance[Job Number]=C162&amp;"")*(tbl_Finance[Xero Invoice No]&lt;&gt;"")),tbl_Finance[Xero Invoice No])&amp;" +more"),"")))</f>
        <v/>
      </c>
      <c r="C162" s="24" t="n"/>
      <c r="D162" s="25">
        <f>IF(C162="","",IF(COUNTIF(lst_Jobs,C162&amp;"")&gt;0,"OK","CHECK"))</f>
        <v/>
      </c>
      <c r="E162" s="25">
        <f>IF(C162="","",IFERROR(INDEX(lst_JobName,MATCH(C162&amp;"",lst_Jobs,0)),""))</f>
        <v/>
      </c>
      <c r="F162" s="25">
        <f>IF(C162="","",IFERROR(INDEX(tbl_Finance[Client],MATCH(C162&amp;"",tbl_Finance[Job Number],0)),""))</f>
        <v/>
      </c>
      <c r="G162" s="28">
        <f>IF(C162="","",COUNTIFS(tbl_Finance[Job Number],C162&amp;"",tbl_Finance[Ex GST],"&lt;&gt;"))</f>
        <v/>
      </c>
      <c r="H162" s="27">
        <f>IF(C162="","",SUMIFS(tbl_Finance[Ex GST],tbl_Finance[Job Number],C162&amp;""))</f>
        <v/>
      </c>
      <c r="I162" s="27">
        <f>IF(C162="","",SUMIFS(tbl_Finance[Ex GST],tbl_Finance[Job Number],C162&amp;"",tbl_Finance[Xero Invoice No],"&lt;&gt;"))</f>
        <v/>
      </c>
      <c r="J162" s="27">
        <f>IF(C162="","",H162-I162)</f>
        <v/>
      </c>
      <c r="K162" s="25">
        <f>IF(C162="","",IF(G162=0,"not invoiced yet",SUBSTITUTE(TRIM(IF(COUNTIFS(tbl_Finance[Job Number],C162&amp;"",tbl_Finance[Cost Centre],"ONSITE")&gt;0,"ONSITE ","")&amp;IF(COUNTIFS(tbl_Finance[Job Number],C162&amp;"",tbl_Finance[Cost Centre],"PRODUCTION")&gt;0,"PRODUCTION ","")&amp;IF(COUNTIFS(tbl_Finance[Job Number],C162&amp;"",tbl_Finance[Cost Centre],"VIDEO")&gt;0,"VIDEO ","")&amp;IF(COUNTIFS(tbl_Finance[Job Number],C162&amp;"",tbl_Finance[Cost Centre],"INTEGRATION")&gt;0,"INTEGRATION ","")&amp;IF(COUNTIFS(tbl_Finance[Job Number],C162&amp;"",tbl_Finance[Cost Centre],"CONSULTING")&gt;0,"CONSULTING ","")&amp;IF(COUNTIFS(tbl_Finance[Job Number],C162&amp;"",tbl_Finance[Cost Centre],"CTS")&gt;0,"CTS ",""))," ",", ")))</f>
        <v/>
      </c>
      <c r="L162" s="24" t="n"/>
      <c r="M162" s="24" t="n"/>
      <c r="N162" s="25">
        <f>IF(M162="","",HYPERLINK(IF(LEFT(M162,4)="http",M162,set_QwilrBase&amp;M162),"Open quote"))</f>
        <v/>
      </c>
      <c r="O162" s="64" t="n"/>
      <c r="P162" s="24" t="n"/>
      <c r="Q162" s="24" t="n"/>
    </row>
    <row r="163" ht="15" customHeight="1">
      <c r="A163" s="63">
        <f>IF(C163="","",IFERROR(IF(SUMPRODUCT(MAX((tbl_Finance[Job Number]=C163&amp;"")*(tbl_Finance[Xero Invoice No]&lt;&gt;"")*tbl_Finance[Date]))=0,"",SUMPRODUCT(MAX((tbl_Finance[Job Number]=C163&amp;"")*(tbl_Finance[Xero Invoice No]&lt;&gt;"")*tbl_Finance[Date]))),""))</f>
        <v/>
      </c>
      <c r="B163" s="25">
        <f>IF(C163="","",IF(COUNTIFS(tbl_Finance[Job Number],C163&amp;"",tbl_Finance[Xero Invoice No],"&lt;&gt;")=0,"",IFERROR(IF(COUNTIFS(tbl_Finance[Job Number],C163&amp;"",tbl_Finance[Xero Invoice No],LOOKUP(2,1/((tbl_Finance[Job Number]=C163&amp;"")*(tbl_Finance[Xero Invoice No]&lt;&gt;"")),tbl_Finance[Xero Invoice No]))=COUNTIFS(tbl_Finance[Job Number],C163&amp;"",tbl_Finance[Xero Invoice No],"&lt;&gt;"),LOOKUP(2,1/((tbl_Finance[Job Number]=C163&amp;"")*(tbl_Finance[Xero Invoice No]&lt;&gt;"")),tbl_Finance[Xero Invoice No]),LOOKUP(2,1/((tbl_Finance[Job Number]=C163&amp;"")*(tbl_Finance[Xero Invoice No]&lt;&gt;"")),tbl_Finance[Xero Invoice No])&amp;" +more"),"")))</f>
        <v/>
      </c>
      <c r="C163" s="24" t="n"/>
      <c r="D163" s="25">
        <f>IF(C163="","",IF(COUNTIF(lst_Jobs,C163&amp;"")&gt;0,"OK","CHECK"))</f>
        <v/>
      </c>
      <c r="E163" s="25">
        <f>IF(C163="","",IFERROR(INDEX(lst_JobName,MATCH(C163&amp;"",lst_Jobs,0)),""))</f>
        <v/>
      </c>
      <c r="F163" s="25">
        <f>IF(C163="","",IFERROR(INDEX(tbl_Finance[Client],MATCH(C163&amp;"",tbl_Finance[Job Number],0)),""))</f>
        <v/>
      </c>
      <c r="G163" s="28">
        <f>IF(C163="","",COUNTIFS(tbl_Finance[Job Number],C163&amp;"",tbl_Finance[Ex GST],"&lt;&gt;"))</f>
        <v/>
      </c>
      <c r="H163" s="27">
        <f>IF(C163="","",SUMIFS(tbl_Finance[Ex GST],tbl_Finance[Job Number],C163&amp;""))</f>
        <v/>
      </c>
      <c r="I163" s="27">
        <f>IF(C163="","",SUMIFS(tbl_Finance[Ex GST],tbl_Finance[Job Number],C163&amp;"",tbl_Finance[Xero Invoice No],"&lt;&gt;"))</f>
        <v/>
      </c>
      <c r="J163" s="27">
        <f>IF(C163="","",H163-I163)</f>
        <v/>
      </c>
      <c r="K163" s="25">
        <f>IF(C163="","",IF(G163=0,"not invoiced yet",SUBSTITUTE(TRIM(IF(COUNTIFS(tbl_Finance[Job Number],C163&amp;"",tbl_Finance[Cost Centre],"ONSITE")&gt;0,"ONSITE ","")&amp;IF(COUNTIFS(tbl_Finance[Job Number],C163&amp;"",tbl_Finance[Cost Centre],"PRODUCTION")&gt;0,"PRODUCTION ","")&amp;IF(COUNTIFS(tbl_Finance[Job Number],C163&amp;"",tbl_Finance[Cost Centre],"VIDEO")&gt;0,"VIDEO ","")&amp;IF(COUNTIFS(tbl_Finance[Job Number],C163&amp;"",tbl_Finance[Cost Centre],"INTEGRATION")&gt;0,"INTEGRATION ","")&amp;IF(COUNTIFS(tbl_Finance[Job Number],C163&amp;"",tbl_Finance[Cost Centre],"CONSULTING")&gt;0,"CONSULTING ","")&amp;IF(COUNTIFS(tbl_Finance[Job Number],C163&amp;"",tbl_Finance[Cost Centre],"CTS")&gt;0,"CTS ",""))," ",", ")))</f>
        <v/>
      </c>
      <c r="L163" s="24" t="n"/>
      <c r="M163" s="24" t="n"/>
      <c r="N163" s="25">
        <f>IF(M163="","",HYPERLINK(IF(LEFT(M163,4)="http",M163,set_QwilrBase&amp;M163),"Open quote"))</f>
        <v/>
      </c>
      <c r="O163" s="64" t="n"/>
      <c r="P163" s="24" t="n"/>
      <c r="Q163" s="24" t="n"/>
    </row>
    <row r="164" ht="15" customHeight="1">
      <c r="A164" s="63">
        <f>IF(C164="","",IFERROR(IF(SUMPRODUCT(MAX((tbl_Finance[Job Number]=C164&amp;"")*(tbl_Finance[Xero Invoice No]&lt;&gt;"")*tbl_Finance[Date]))=0,"",SUMPRODUCT(MAX((tbl_Finance[Job Number]=C164&amp;"")*(tbl_Finance[Xero Invoice No]&lt;&gt;"")*tbl_Finance[Date]))),""))</f>
        <v/>
      </c>
      <c r="B164" s="25">
        <f>IF(C164="","",IF(COUNTIFS(tbl_Finance[Job Number],C164&amp;"",tbl_Finance[Xero Invoice No],"&lt;&gt;")=0,"",IFERROR(IF(COUNTIFS(tbl_Finance[Job Number],C164&amp;"",tbl_Finance[Xero Invoice No],LOOKUP(2,1/((tbl_Finance[Job Number]=C164&amp;"")*(tbl_Finance[Xero Invoice No]&lt;&gt;"")),tbl_Finance[Xero Invoice No]))=COUNTIFS(tbl_Finance[Job Number],C164&amp;"",tbl_Finance[Xero Invoice No],"&lt;&gt;"),LOOKUP(2,1/((tbl_Finance[Job Number]=C164&amp;"")*(tbl_Finance[Xero Invoice No]&lt;&gt;"")),tbl_Finance[Xero Invoice No]),LOOKUP(2,1/((tbl_Finance[Job Number]=C164&amp;"")*(tbl_Finance[Xero Invoice No]&lt;&gt;"")),tbl_Finance[Xero Invoice No])&amp;" +more"),"")))</f>
        <v/>
      </c>
      <c r="C164" s="24" t="n"/>
      <c r="D164" s="25">
        <f>IF(C164="","",IF(COUNTIF(lst_Jobs,C164&amp;"")&gt;0,"OK","CHECK"))</f>
        <v/>
      </c>
      <c r="E164" s="25">
        <f>IF(C164="","",IFERROR(INDEX(lst_JobName,MATCH(C164&amp;"",lst_Jobs,0)),""))</f>
        <v/>
      </c>
      <c r="F164" s="25">
        <f>IF(C164="","",IFERROR(INDEX(tbl_Finance[Client],MATCH(C164&amp;"",tbl_Finance[Job Number],0)),""))</f>
        <v/>
      </c>
      <c r="G164" s="28">
        <f>IF(C164="","",COUNTIFS(tbl_Finance[Job Number],C164&amp;"",tbl_Finance[Ex GST],"&lt;&gt;"))</f>
        <v/>
      </c>
      <c r="H164" s="27">
        <f>IF(C164="","",SUMIFS(tbl_Finance[Ex GST],tbl_Finance[Job Number],C164&amp;""))</f>
        <v/>
      </c>
      <c r="I164" s="27">
        <f>IF(C164="","",SUMIFS(tbl_Finance[Ex GST],tbl_Finance[Job Number],C164&amp;"",tbl_Finance[Xero Invoice No],"&lt;&gt;"))</f>
        <v/>
      </c>
      <c r="J164" s="27">
        <f>IF(C164="","",H164-I164)</f>
        <v/>
      </c>
      <c r="K164" s="25">
        <f>IF(C164="","",IF(G164=0,"not invoiced yet",SUBSTITUTE(TRIM(IF(COUNTIFS(tbl_Finance[Job Number],C164&amp;"",tbl_Finance[Cost Centre],"ONSITE")&gt;0,"ONSITE ","")&amp;IF(COUNTIFS(tbl_Finance[Job Number],C164&amp;"",tbl_Finance[Cost Centre],"PRODUCTION")&gt;0,"PRODUCTION ","")&amp;IF(COUNTIFS(tbl_Finance[Job Number],C164&amp;"",tbl_Finance[Cost Centre],"VIDEO")&gt;0,"VIDEO ","")&amp;IF(COUNTIFS(tbl_Finance[Job Number],C164&amp;"",tbl_Finance[Cost Centre],"INTEGRATION")&gt;0,"INTEGRATION ","")&amp;IF(COUNTIFS(tbl_Finance[Job Number],C164&amp;"",tbl_Finance[Cost Centre],"CONSULTING")&gt;0,"CONSULTING ","")&amp;IF(COUNTIFS(tbl_Finance[Job Number],C164&amp;"",tbl_Finance[Cost Centre],"CTS")&gt;0,"CTS ",""))," ",", ")))</f>
        <v/>
      </c>
      <c r="L164" s="24" t="n"/>
      <c r="M164" s="24" t="n"/>
      <c r="N164" s="25">
        <f>IF(M164="","",HYPERLINK(IF(LEFT(M164,4)="http",M164,set_QwilrBase&amp;M164),"Open quote"))</f>
        <v/>
      </c>
      <c r="O164" s="64" t="n"/>
      <c r="P164" s="24" t="n"/>
      <c r="Q164" s="24" t="n"/>
    </row>
    <row r="165" ht="15" customHeight="1">
      <c r="A165" s="63">
        <f>IF(C165="","",IFERROR(IF(SUMPRODUCT(MAX((tbl_Finance[Job Number]=C165&amp;"")*(tbl_Finance[Xero Invoice No]&lt;&gt;"")*tbl_Finance[Date]))=0,"",SUMPRODUCT(MAX((tbl_Finance[Job Number]=C165&amp;"")*(tbl_Finance[Xero Invoice No]&lt;&gt;"")*tbl_Finance[Date]))),""))</f>
        <v/>
      </c>
      <c r="B165" s="25">
        <f>IF(C165="","",IF(COUNTIFS(tbl_Finance[Job Number],C165&amp;"",tbl_Finance[Xero Invoice No],"&lt;&gt;")=0,"",IFERROR(IF(COUNTIFS(tbl_Finance[Job Number],C165&amp;"",tbl_Finance[Xero Invoice No],LOOKUP(2,1/((tbl_Finance[Job Number]=C165&amp;"")*(tbl_Finance[Xero Invoice No]&lt;&gt;"")),tbl_Finance[Xero Invoice No]))=COUNTIFS(tbl_Finance[Job Number],C165&amp;"",tbl_Finance[Xero Invoice No],"&lt;&gt;"),LOOKUP(2,1/((tbl_Finance[Job Number]=C165&amp;"")*(tbl_Finance[Xero Invoice No]&lt;&gt;"")),tbl_Finance[Xero Invoice No]),LOOKUP(2,1/((tbl_Finance[Job Number]=C165&amp;"")*(tbl_Finance[Xero Invoice No]&lt;&gt;"")),tbl_Finance[Xero Invoice No])&amp;" +more"),"")))</f>
        <v/>
      </c>
      <c r="C165" s="24" t="n"/>
      <c r="D165" s="25">
        <f>IF(C165="","",IF(COUNTIF(lst_Jobs,C165&amp;"")&gt;0,"OK","CHECK"))</f>
        <v/>
      </c>
      <c r="E165" s="25">
        <f>IF(C165="","",IFERROR(INDEX(lst_JobName,MATCH(C165&amp;"",lst_Jobs,0)),""))</f>
        <v/>
      </c>
      <c r="F165" s="25">
        <f>IF(C165="","",IFERROR(INDEX(tbl_Finance[Client],MATCH(C165&amp;"",tbl_Finance[Job Number],0)),""))</f>
        <v/>
      </c>
      <c r="G165" s="28">
        <f>IF(C165="","",COUNTIFS(tbl_Finance[Job Number],C165&amp;"",tbl_Finance[Ex GST],"&lt;&gt;"))</f>
        <v/>
      </c>
      <c r="H165" s="27">
        <f>IF(C165="","",SUMIFS(tbl_Finance[Ex GST],tbl_Finance[Job Number],C165&amp;""))</f>
        <v/>
      </c>
      <c r="I165" s="27">
        <f>IF(C165="","",SUMIFS(tbl_Finance[Ex GST],tbl_Finance[Job Number],C165&amp;"",tbl_Finance[Xero Invoice No],"&lt;&gt;"))</f>
        <v/>
      </c>
      <c r="J165" s="27">
        <f>IF(C165="","",H165-I165)</f>
        <v/>
      </c>
      <c r="K165" s="25">
        <f>IF(C165="","",IF(G165=0,"not invoiced yet",SUBSTITUTE(TRIM(IF(COUNTIFS(tbl_Finance[Job Number],C165&amp;"",tbl_Finance[Cost Centre],"ONSITE")&gt;0,"ONSITE ","")&amp;IF(COUNTIFS(tbl_Finance[Job Number],C165&amp;"",tbl_Finance[Cost Centre],"PRODUCTION")&gt;0,"PRODUCTION ","")&amp;IF(COUNTIFS(tbl_Finance[Job Number],C165&amp;"",tbl_Finance[Cost Centre],"VIDEO")&gt;0,"VIDEO ","")&amp;IF(COUNTIFS(tbl_Finance[Job Number],C165&amp;"",tbl_Finance[Cost Centre],"INTEGRATION")&gt;0,"INTEGRATION ","")&amp;IF(COUNTIFS(tbl_Finance[Job Number],C165&amp;"",tbl_Finance[Cost Centre],"CONSULTING")&gt;0,"CONSULTING ","")&amp;IF(COUNTIFS(tbl_Finance[Job Number],C165&amp;"",tbl_Finance[Cost Centre],"CTS")&gt;0,"CTS ",""))," ",", ")))</f>
        <v/>
      </c>
      <c r="L165" s="24" t="n"/>
      <c r="M165" s="24" t="n"/>
      <c r="N165" s="25">
        <f>IF(M165="","",HYPERLINK(IF(LEFT(M165,4)="http",M165,set_QwilrBase&amp;M165),"Open quote"))</f>
        <v/>
      </c>
      <c r="O165" s="64" t="n"/>
      <c r="P165" s="24" t="n"/>
      <c r="Q165" s="24" t="n"/>
    </row>
    <row r="166" ht="15" customHeight="1">
      <c r="A166" s="63">
        <f>IF(C166="","",IFERROR(IF(SUMPRODUCT(MAX((tbl_Finance[Job Number]=C166&amp;"")*(tbl_Finance[Xero Invoice No]&lt;&gt;"")*tbl_Finance[Date]))=0,"",SUMPRODUCT(MAX((tbl_Finance[Job Number]=C166&amp;"")*(tbl_Finance[Xero Invoice No]&lt;&gt;"")*tbl_Finance[Date]))),""))</f>
        <v/>
      </c>
      <c r="B166" s="25">
        <f>IF(C166="","",IF(COUNTIFS(tbl_Finance[Job Number],C166&amp;"",tbl_Finance[Xero Invoice No],"&lt;&gt;")=0,"",IFERROR(IF(COUNTIFS(tbl_Finance[Job Number],C166&amp;"",tbl_Finance[Xero Invoice No],LOOKUP(2,1/((tbl_Finance[Job Number]=C166&amp;"")*(tbl_Finance[Xero Invoice No]&lt;&gt;"")),tbl_Finance[Xero Invoice No]))=COUNTIFS(tbl_Finance[Job Number],C166&amp;"",tbl_Finance[Xero Invoice No],"&lt;&gt;"),LOOKUP(2,1/((tbl_Finance[Job Number]=C166&amp;"")*(tbl_Finance[Xero Invoice No]&lt;&gt;"")),tbl_Finance[Xero Invoice No]),LOOKUP(2,1/((tbl_Finance[Job Number]=C166&amp;"")*(tbl_Finance[Xero Invoice No]&lt;&gt;"")),tbl_Finance[Xero Invoice No])&amp;" +more"),"")))</f>
        <v/>
      </c>
      <c r="C166" s="24" t="n"/>
      <c r="D166" s="25">
        <f>IF(C166="","",IF(COUNTIF(lst_Jobs,C166&amp;"")&gt;0,"OK","CHECK"))</f>
        <v/>
      </c>
      <c r="E166" s="25">
        <f>IF(C166="","",IFERROR(INDEX(lst_JobName,MATCH(C166&amp;"",lst_Jobs,0)),""))</f>
        <v/>
      </c>
      <c r="F166" s="25">
        <f>IF(C166="","",IFERROR(INDEX(tbl_Finance[Client],MATCH(C166&amp;"",tbl_Finance[Job Number],0)),""))</f>
        <v/>
      </c>
      <c r="G166" s="28">
        <f>IF(C166="","",COUNTIFS(tbl_Finance[Job Number],C166&amp;"",tbl_Finance[Ex GST],"&lt;&gt;"))</f>
        <v/>
      </c>
      <c r="H166" s="27">
        <f>IF(C166="","",SUMIFS(tbl_Finance[Ex GST],tbl_Finance[Job Number],C166&amp;""))</f>
        <v/>
      </c>
      <c r="I166" s="27">
        <f>IF(C166="","",SUMIFS(tbl_Finance[Ex GST],tbl_Finance[Job Number],C166&amp;"",tbl_Finance[Xero Invoice No],"&lt;&gt;"))</f>
        <v/>
      </c>
      <c r="J166" s="27">
        <f>IF(C166="","",H166-I166)</f>
        <v/>
      </c>
      <c r="K166" s="25">
        <f>IF(C166="","",IF(G166=0,"not invoiced yet",SUBSTITUTE(TRIM(IF(COUNTIFS(tbl_Finance[Job Number],C166&amp;"",tbl_Finance[Cost Centre],"ONSITE")&gt;0,"ONSITE ","")&amp;IF(COUNTIFS(tbl_Finance[Job Number],C166&amp;"",tbl_Finance[Cost Centre],"PRODUCTION")&gt;0,"PRODUCTION ","")&amp;IF(COUNTIFS(tbl_Finance[Job Number],C166&amp;"",tbl_Finance[Cost Centre],"VIDEO")&gt;0,"VIDEO ","")&amp;IF(COUNTIFS(tbl_Finance[Job Number],C166&amp;"",tbl_Finance[Cost Centre],"INTEGRATION")&gt;0,"INTEGRATION ","")&amp;IF(COUNTIFS(tbl_Finance[Job Number],C166&amp;"",tbl_Finance[Cost Centre],"CONSULTING")&gt;0,"CONSULTING ","")&amp;IF(COUNTIFS(tbl_Finance[Job Number],C166&amp;"",tbl_Finance[Cost Centre],"CTS")&gt;0,"CTS ",""))," ",", ")))</f>
        <v/>
      </c>
      <c r="L166" s="24" t="n"/>
      <c r="M166" s="24" t="n"/>
      <c r="N166" s="25">
        <f>IF(M166="","",HYPERLINK(IF(LEFT(M166,4)="http",M166,set_QwilrBase&amp;M166),"Open quote"))</f>
        <v/>
      </c>
      <c r="O166" s="64" t="n"/>
      <c r="P166" s="24" t="n"/>
      <c r="Q166" s="24" t="n"/>
    </row>
    <row r="167" ht="15" customHeight="1">
      <c r="A167" s="63">
        <f>IF(C167="","",IFERROR(IF(SUMPRODUCT(MAX((tbl_Finance[Job Number]=C167&amp;"")*(tbl_Finance[Xero Invoice No]&lt;&gt;"")*tbl_Finance[Date]))=0,"",SUMPRODUCT(MAX((tbl_Finance[Job Number]=C167&amp;"")*(tbl_Finance[Xero Invoice No]&lt;&gt;"")*tbl_Finance[Date]))),""))</f>
        <v/>
      </c>
      <c r="B167" s="25">
        <f>IF(C167="","",IF(COUNTIFS(tbl_Finance[Job Number],C167&amp;"",tbl_Finance[Xero Invoice No],"&lt;&gt;")=0,"",IFERROR(IF(COUNTIFS(tbl_Finance[Job Number],C167&amp;"",tbl_Finance[Xero Invoice No],LOOKUP(2,1/((tbl_Finance[Job Number]=C167&amp;"")*(tbl_Finance[Xero Invoice No]&lt;&gt;"")),tbl_Finance[Xero Invoice No]))=COUNTIFS(tbl_Finance[Job Number],C167&amp;"",tbl_Finance[Xero Invoice No],"&lt;&gt;"),LOOKUP(2,1/((tbl_Finance[Job Number]=C167&amp;"")*(tbl_Finance[Xero Invoice No]&lt;&gt;"")),tbl_Finance[Xero Invoice No]),LOOKUP(2,1/((tbl_Finance[Job Number]=C167&amp;"")*(tbl_Finance[Xero Invoice No]&lt;&gt;"")),tbl_Finance[Xero Invoice No])&amp;" +more"),"")))</f>
        <v/>
      </c>
      <c r="C167" s="24" t="n"/>
      <c r="D167" s="25">
        <f>IF(C167="","",IF(COUNTIF(lst_Jobs,C167&amp;"")&gt;0,"OK","CHECK"))</f>
        <v/>
      </c>
      <c r="E167" s="25">
        <f>IF(C167="","",IFERROR(INDEX(lst_JobName,MATCH(C167&amp;"",lst_Jobs,0)),""))</f>
        <v/>
      </c>
      <c r="F167" s="25">
        <f>IF(C167="","",IFERROR(INDEX(tbl_Finance[Client],MATCH(C167&amp;"",tbl_Finance[Job Number],0)),""))</f>
        <v/>
      </c>
      <c r="G167" s="28">
        <f>IF(C167="","",COUNTIFS(tbl_Finance[Job Number],C167&amp;"",tbl_Finance[Ex GST],"&lt;&gt;"))</f>
        <v/>
      </c>
      <c r="H167" s="27">
        <f>IF(C167="","",SUMIFS(tbl_Finance[Ex GST],tbl_Finance[Job Number],C167&amp;""))</f>
        <v/>
      </c>
      <c r="I167" s="27">
        <f>IF(C167="","",SUMIFS(tbl_Finance[Ex GST],tbl_Finance[Job Number],C167&amp;"",tbl_Finance[Xero Invoice No],"&lt;&gt;"))</f>
        <v/>
      </c>
      <c r="J167" s="27">
        <f>IF(C167="","",H167-I167)</f>
        <v/>
      </c>
      <c r="K167" s="25">
        <f>IF(C167="","",IF(G167=0,"not invoiced yet",SUBSTITUTE(TRIM(IF(COUNTIFS(tbl_Finance[Job Number],C167&amp;"",tbl_Finance[Cost Centre],"ONSITE")&gt;0,"ONSITE ","")&amp;IF(COUNTIFS(tbl_Finance[Job Number],C167&amp;"",tbl_Finance[Cost Centre],"PRODUCTION")&gt;0,"PRODUCTION ","")&amp;IF(COUNTIFS(tbl_Finance[Job Number],C167&amp;"",tbl_Finance[Cost Centre],"VIDEO")&gt;0,"VIDEO ","")&amp;IF(COUNTIFS(tbl_Finance[Job Number],C167&amp;"",tbl_Finance[Cost Centre],"INTEGRATION")&gt;0,"INTEGRATION ","")&amp;IF(COUNTIFS(tbl_Finance[Job Number],C167&amp;"",tbl_Finance[Cost Centre],"CONSULTING")&gt;0,"CONSULTING ","")&amp;IF(COUNTIFS(tbl_Finance[Job Number],C167&amp;"",tbl_Finance[Cost Centre],"CTS")&gt;0,"CTS ",""))," ",", ")))</f>
        <v/>
      </c>
      <c r="L167" s="24" t="n"/>
      <c r="M167" s="24" t="n"/>
      <c r="N167" s="25">
        <f>IF(M167="","",HYPERLINK(IF(LEFT(M167,4)="http",M167,set_QwilrBase&amp;M167),"Open quote"))</f>
        <v/>
      </c>
      <c r="O167" s="64" t="n"/>
      <c r="P167" s="24" t="n"/>
      <c r="Q167" s="24" t="n"/>
    </row>
    <row r="168" ht="15" customHeight="1">
      <c r="A168" s="63">
        <f>IF(C168="","",IFERROR(IF(SUMPRODUCT(MAX((tbl_Finance[Job Number]=C168&amp;"")*(tbl_Finance[Xero Invoice No]&lt;&gt;"")*tbl_Finance[Date]))=0,"",SUMPRODUCT(MAX((tbl_Finance[Job Number]=C168&amp;"")*(tbl_Finance[Xero Invoice No]&lt;&gt;"")*tbl_Finance[Date]))),""))</f>
        <v/>
      </c>
      <c r="B168" s="25">
        <f>IF(C168="","",IF(COUNTIFS(tbl_Finance[Job Number],C168&amp;"",tbl_Finance[Xero Invoice No],"&lt;&gt;")=0,"",IFERROR(IF(COUNTIFS(tbl_Finance[Job Number],C168&amp;"",tbl_Finance[Xero Invoice No],LOOKUP(2,1/((tbl_Finance[Job Number]=C168&amp;"")*(tbl_Finance[Xero Invoice No]&lt;&gt;"")),tbl_Finance[Xero Invoice No]))=COUNTIFS(tbl_Finance[Job Number],C168&amp;"",tbl_Finance[Xero Invoice No],"&lt;&gt;"),LOOKUP(2,1/((tbl_Finance[Job Number]=C168&amp;"")*(tbl_Finance[Xero Invoice No]&lt;&gt;"")),tbl_Finance[Xero Invoice No]),LOOKUP(2,1/((tbl_Finance[Job Number]=C168&amp;"")*(tbl_Finance[Xero Invoice No]&lt;&gt;"")),tbl_Finance[Xero Invoice No])&amp;" +more"),"")))</f>
        <v/>
      </c>
      <c r="C168" s="24" t="n"/>
      <c r="D168" s="25">
        <f>IF(C168="","",IF(COUNTIF(lst_Jobs,C168&amp;"")&gt;0,"OK","CHECK"))</f>
        <v/>
      </c>
      <c r="E168" s="25">
        <f>IF(C168="","",IFERROR(INDEX(lst_JobName,MATCH(C168&amp;"",lst_Jobs,0)),""))</f>
        <v/>
      </c>
      <c r="F168" s="25">
        <f>IF(C168="","",IFERROR(INDEX(tbl_Finance[Client],MATCH(C168&amp;"",tbl_Finance[Job Number],0)),""))</f>
        <v/>
      </c>
      <c r="G168" s="28">
        <f>IF(C168="","",COUNTIFS(tbl_Finance[Job Number],C168&amp;"",tbl_Finance[Ex GST],"&lt;&gt;"))</f>
        <v/>
      </c>
      <c r="H168" s="27">
        <f>IF(C168="","",SUMIFS(tbl_Finance[Ex GST],tbl_Finance[Job Number],C168&amp;""))</f>
        <v/>
      </c>
      <c r="I168" s="27">
        <f>IF(C168="","",SUMIFS(tbl_Finance[Ex GST],tbl_Finance[Job Number],C168&amp;"",tbl_Finance[Xero Invoice No],"&lt;&gt;"))</f>
        <v/>
      </c>
      <c r="J168" s="27">
        <f>IF(C168="","",H168-I168)</f>
        <v/>
      </c>
      <c r="K168" s="25">
        <f>IF(C168="","",IF(G168=0,"not invoiced yet",SUBSTITUTE(TRIM(IF(COUNTIFS(tbl_Finance[Job Number],C168&amp;"",tbl_Finance[Cost Centre],"ONSITE")&gt;0,"ONSITE ","")&amp;IF(COUNTIFS(tbl_Finance[Job Number],C168&amp;"",tbl_Finance[Cost Centre],"PRODUCTION")&gt;0,"PRODUCTION ","")&amp;IF(COUNTIFS(tbl_Finance[Job Number],C168&amp;"",tbl_Finance[Cost Centre],"VIDEO")&gt;0,"VIDEO ","")&amp;IF(COUNTIFS(tbl_Finance[Job Number],C168&amp;"",tbl_Finance[Cost Centre],"INTEGRATION")&gt;0,"INTEGRATION ","")&amp;IF(COUNTIFS(tbl_Finance[Job Number],C168&amp;"",tbl_Finance[Cost Centre],"CONSULTING")&gt;0,"CONSULTING ","")&amp;IF(COUNTIFS(tbl_Finance[Job Number],C168&amp;"",tbl_Finance[Cost Centre],"CTS")&gt;0,"CTS ",""))," ",", ")))</f>
        <v/>
      </c>
      <c r="L168" s="24" t="n"/>
      <c r="M168" s="24" t="n"/>
      <c r="N168" s="25">
        <f>IF(M168="","",HYPERLINK(IF(LEFT(M168,4)="http",M168,set_QwilrBase&amp;M168),"Open quote"))</f>
        <v/>
      </c>
      <c r="O168" s="64" t="n"/>
      <c r="P168" s="24" t="n"/>
      <c r="Q168" s="24" t="n"/>
    </row>
    <row r="169" ht="15" customHeight="1">
      <c r="A169" s="63">
        <f>IF(C169="","",IFERROR(IF(SUMPRODUCT(MAX((tbl_Finance[Job Number]=C169&amp;"")*(tbl_Finance[Xero Invoice No]&lt;&gt;"")*tbl_Finance[Date]))=0,"",SUMPRODUCT(MAX((tbl_Finance[Job Number]=C169&amp;"")*(tbl_Finance[Xero Invoice No]&lt;&gt;"")*tbl_Finance[Date]))),""))</f>
        <v/>
      </c>
      <c r="B169" s="25">
        <f>IF(C169="","",IF(COUNTIFS(tbl_Finance[Job Number],C169&amp;"",tbl_Finance[Xero Invoice No],"&lt;&gt;")=0,"",IFERROR(IF(COUNTIFS(tbl_Finance[Job Number],C169&amp;"",tbl_Finance[Xero Invoice No],LOOKUP(2,1/((tbl_Finance[Job Number]=C169&amp;"")*(tbl_Finance[Xero Invoice No]&lt;&gt;"")),tbl_Finance[Xero Invoice No]))=COUNTIFS(tbl_Finance[Job Number],C169&amp;"",tbl_Finance[Xero Invoice No],"&lt;&gt;"),LOOKUP(2,1/((tbl_Finance[Job Number]=C169&amp;"")*(tbl_Finance[Xero Invoice No]&lt;&gt;"")),tbl_Finance[Xero Invoice No]),LOOKUP(2,1/((tbl_Finance[Job Number]=C169&amp;"")*(tbl_Finance[Xero Invoice No]&lt;&gt;"")),tbl_Finance[Xero Invoice No])&amp;" +more"),"")))</f>
        <v/>
      </c>
      <c r="C169" s="24" t="n"/>
      <c r="D169" s="25">
        <f>IF(C169="","",IF(COUNTIF(lst_Jobs,C169&amp;"")&gt;0,"OK","CHECK"))</f>
        <v/>
      </c>
      <c r="E169" s="25">
        <f>IF(C169="","",IFERROR(INDEX(lst_JobName,MATCH(C169&amp;"",lst_Jobs,0)),""))</f>
        <v/>
      </c>
      <c r="F169" s="25">
        <f>IF(C169="","",IFERROR(INDEX(tbl_Finance[Client],MATCH(C169&amp;"",tbl_Finance[Job Number],0)),""))</f>
        <v/>
      </c>
      <c r="G169" s="28">
        <f>IF(C169="","",COUNTIFS(tbl_Finance[Job Number],C169&amp;"",tbl_Finance[Ex GST],"&lt;&gt;"))</f>
        <v/>
      </c>
      <c r="H169" s="27">
        <f>IF(C169="","",SUMIFS(tbl_Finance[Ex GST],tbl_Finance[Job Number],C169&amp;""))</f>
        <v/>
      </c>
      <c r="I169" s="27">
        <f>IF(C169="","",SUMIFS(tbl_Finance[Ex GST],tbl_Finance[Job Number],C169&amp;"",tbl_Finance[Xero Invoice No],"&lt;&gt;"))</f>
        <v/>
      </c>
      <c r="J169" s="27">
        <f>IF(C169="","",H169-I169)</f>
        <v/>
      </c>
      <c r="K169" s="25">
        <f>IF(C169="","",IF(G169=0,"not invoiced yet",SUBSTITUTE(TRIM(IF(COUNTIFS(tbl_Finance[Job Number],C169&amp;"",tbl_Finance[Cost Centre],"ONSITE")&gt;0,"ONSITE ","")&amp;IF(COUNTIFS(tbl_Finance[Job Number],C169&amp;"",tbl_Finance[Cost Centre],"PRODUCTION")&gt;0,"PRODUCTION ","")&amp;IF(COUNTIFS(tbl_Finance[Job Number],C169&amp;"",tbl_Finance[Cost Centre],"VIDEO")&gt;0,"VIDEO ","")&amp;IF(COUNTIFS(tbl_Finance[Job Number],C169&amp;"",tbl_Finance[Cost Centre],"INTEGRATION")&gt;0,"INTEGRATION ","")&amp;IF(COUNTIFS(tbl_Finance[Job Number],C169&amp;"",tbl_Finance[Cost Centre],"CONSULTING")&gt;0,"CONSULTING ","")&amp;IF(COUNTIFS(tbl_Finance[Job Number],C169&amp;"",tbl_Finance[Cost Centre],"CTS")&gt;0,"CTS ",""))," ",", ")))</f>
        <v/>
      </c>
      <c r="L169" s="24" t="n"/>
      <c r="M169" s="24" t="n"/>
      <c r="N169" s="25">
        <f>IF(M169="","",HYPERLINK(IF(LEFT(M169,4)="http",M169,set_QwilrBase&amp;M169),"Open quote"))</f>
        <v/>
      </c>
      <c r="O169" s="64" t="n"/>
      <c r="P169" s="24" t="n"/>
      <c r="Q169" s="24" t="n"/>
    </row>
    <row r="170" ht="15" customHeight="1">
      <c r="A170" s="63">
        <f>IF(C170="","",IFERROR(IF(SUMPRODUCT(MAX((tbl_Finance[Job Number]=C170&amp;"")*(tbl_Finance[Xero Invoice No]&lt;&gt;"")*tbl_Finance[Date]))=0,"",SUMPRODUCT(MAX((tbl_Finance[Job Number]=C170&amp;"")*(tbl_Finance[Xero Invoice No]&lt;&gt;"")*tbl_Finance[Date]))),""))</f>
        <v/>
      </c>
      <c r="B170" s="25">
        <f>IF(C170="","",IF(COUNTIFS(tbl_Finance[Job Number],C170&amp;"",tbl_Finance[Xero Invoice No],"&lt;&gt;")=0,"",IFERROR(IF(COUNTIFS(tbl_Finance[Job Number],C170&amp;"",tbl_Finance[Xero Invoice No],LOOKUP(2,1/((tbl_Finance[Job Number]=C170&amp;"")*(tbl_Finance[Xero Invoice No]&lt;&gt;"")),tbl_Finance[Xero Invoice No]))=COUNTIFS(tbl_Finance[Job Number],C170&amp;"",tbl_Finance[Xero Invoice No],"&lt;&gt;"),LOOKUP(2,1/((tbl_Finance[Job Number]=C170&amp;"")*(tbl_Finance[Xero Invoice No]&lt;&gt;"")),tbl_Finance[Xero Invoice No]),LOOKUP(2,1/((tbl_Finance[Job Number]=C170&amp;"")*(tbl_Finance[Xero Invoice No]&lt;&gt;"")),tbl_Finance[Xero Invoice No])&amp;" +more"),"")))</f>
        <v/>
      </c>
      <c r="C170" s="24" t="n"/>
      <c r="D170" s="25">
        <f>IF(C170="","",IF(COUNTIF(lst_Jobs,C170&amp;"")&gt;0,"OK","CHECK"))</f>
        <v/>
      </c>
      <c r="E170" s="25">
        <f>IF(C170="","",IFERROR(INDEX(lst_JobName,MATCH(C170&amp;"",lst_Jobs,0)),""))</f>
        <v/>
      </c>
      <c r="F170" s="25">
        <f>IF(C170="","",IFERROR(INDEX(tbl_Finance[Client],MATCH(C170&amp;"",tbl_Finance[Job Number],0)),""))</f>
        <v/>
      </c>
      <c r="G170" s="28">
        <f>IF(C170="","",COUNTIFS(tbl_Finance[Job Number],C170&amp;"",tbl_Finance[Ex GST],"&lt;&gt;"))</f>
        <v/>
      </c>
      <c r="H170" s="27">
        <f>IF(C170="","",SUMIFS(tbl_Finance[Ex GST],tbl_Finance[Job Number],C170&amp;""))</f>
        <v/>
      </c>
      <c r="I170" s="27">
        <f>IF(C170="","",SUMIFS(tbl_Finance[Ex GST],tbl_Finance[Job Number],C170&amp;"",tbl_Finance[Xero Invoice No],"&lt;&gt;"))</f>
        <v/>
      </c>
      <c r="J170" s="27">
        <f>IF(C170="","",H170-I170)</f>
        <v/>
      </c>
      <c r="K170" s="25">
        <f>IF(C170="","",IF(G170=0,"not invoiced yet",SUBSTITUTE(TRIM(IF(COUNTIFS(tbl_Finance[Job Number],C170&amp;"",tbl_Finance[Cost Centre],"ONSITE")&gt;0,"ONSITE ","")&amp;IF(COUNTIFS(tbl_Finance[Job Number],C170&amp;"",tbl_Finance[Cost Centre],"PRODUCTION")&gt;0,"PRODUCTION ","")&amp;IF(COUNTIFS(tbl_Finance[Job Number],C170&amp;"",tbl_Finance[Cost Centre],"VIDEO")&gt;0,"VIDEO ","")&amp;IF(COUNTIFS(tbl_Finance[Job Number],C170&amp;"",tbl_Finance[Cost Centre],"INTEGRATION")&gt;0,"INTEGRATION ","")&amp;IF(COUNTIFS(tbl_Finance[Job Number],C170&amp;"",tbl_Finance[Cost Centre],"CONSULTING")&gt;0,"CONSULTING ","")&amp;IF(COUNTIFS(tbl_Finance[Job Number],C170&amp;"",tbl_Finance[Cost Centre],"CTS")&gt;0,"CTS ",""))," ",", ")))</f>
        <v/>
      </c>
      <c r="L170" s="24" t="n"/>
      <c r="M170" s="24" t="n"/>
      <c r="N170" s="25">
        <f>IF(M170="","",HYPERLINK(IF(LEFT(M170,4)="http",M170,set_QwilrBase&amp;M170),"Open quote"))</f>
        <v/>
      </c>
      <c r="O170" s="64" t="n"/>
      <c r="P170" s="24" t="n"/>
      <c r="Q170" s="24" t="n"/>
    </row>
    <row r="171" ht="15" customHeight="1">
      <c r="A171" s="63">
        <f>IF(C171="","",IFERROR(IF(SUMPRODUCT(MAX((tbl_Finance[Job Number]=C171&amp;"")*(tbl_Finance[Xero Invoice No]&lt;&gt;"")*tbl_Finance[Date]))=0,"",SUMPRODUCT(MAX((tbl_Finance[Job Number]=C171&amp;"")*(tbl_Finance[Xero Invoice No]&lt;&gt;"")*tbl_Finance[Date]))),""))</f>
        <v/>
      </c>
      <c r="B171" s="25">
        <f>IF(C171="","",IF(COUNTIFS(tbl_Finance[Job Number],C171&amp;"",tbl_Finance[Xero Invoice No],"&lt;&gt;")=0,"",IFERROR(IF(COUNTIFS(tbl_Finance[Job Number],C171&amp;"",tbl_Finance[Xero Invoice No],LOOKUP(2,1/((tbl_Finance[Job Number]=C171&amp;"")*(tbl_Finance[Xero Invoice No]&lt;&gt;"")),tbl_Finance[Xero Invoice No]))=COUNTIFS(tbl_Finance[Job Number],C171&amp;"",tbl_Finance[Xero Invoice No],"&lt;&gt;"),LOOKUP(2,1/((tbl_Finance[Job Number]=C171&amp;"")*(tbl_Finance[Xero Invoice No]&lt;&gt;"")),tbl_Finance[Xero Invoice No]),LOOKUP(2,1/((tbl_Finance[Job Number]=C171&amp;"")*(tbl_Finance[Xero Invoice No]&lt;&gt;"")),tbl_Finance[Xero Invoice No])&amp;" +more"),"")))</f>
        <v/>
      </c>
      <c r="C171" s="24" t="n"/>
      <c r="D171" s="25">
        <f>IF(C171="","",IF(COUNTIF(lst_Jobs,C171&amp;"")&gt;0,"OK","CHECK"))</f>
        <v/>
      </c>
      <c r="E171" s="25">
        <f>IF(C171="","",IFERROR(INDEX(lst_JobName,MATCH(C171&amp;"",lst_Jobs,0)),""))</f>
        <v/>
      </c>
      <c r="F171" s="25">
        <f>IF(C171="","",IFERROR(INDEX(tbl_Finance[Client],MATCH(C171&amp;"",tbl_Finance[Job Number],0)),""))</f>
        <v/>
      </c>
      <c r="G171" s="28">
        <f>IF(C171="","",COUNTIFS(tbl_Finance[Job Number],C171&amp;"",tbl_Finance[Ex GST],"&lt;&gt;"))</f>
        <v/>
      </c>
      <c r="H171" s="27">
        <f>IF(C171="","",SUMIFS(tbl_Finance[Ex GST],tbl_Finance[Job Number],C171&amp;""))</f>
        <v/>
      </c>
      <c r="I171" s="27">
        <f>IF(C171="","",SUMIFS(tbl_Finance[Ex GST],tbl_Finance[Job Number],C171&amp;"",tbl_Finance[Xero Invoice No],"&lt;&gt;"))</f>
        <v/>
      </c>
      <c r="J171" s="27">
        <f>IF(C171="","",H171-I171)</f>
        <v/>
      </c>
      <c r="K171" s="25">
        <f>IF(C171="","",IF(G171=0,"not invoiced yet",SUBSTITUTE(TRIM(IF(COUNTIFS(tbl_Finance[Job Number],C171&amp;"",tbl_Finance[Cost Centre],"ONSITE")&gt;0,"ONSITE ","")&amp;IF(COUNTIFS(tbl_Finance[Job Number],C171&amp;"",tbl_Finance[Cost Centre],"PRODUCTION")&gt;0,"PRODUCTION ","")&amp;IF(COUNTIFS(tbl_Finance[Job Number],C171&amp;"",tbl_Finance[Cost Centre],"VIDEO")&gt;0,"VIDEO ","")&amp;IF(COUNTIFS(tbl_Finance[Job Number],C171&amp;"",tbl_Finance[Cost Centre],"INTEGRATION")&gt;0,"INTEGRATION ","")&amp;IF(COUNTIFS(tbl_Finance[Job Number],C171&amp;"",tbl_Finance[Cost Centre],"CONSULTING")&gt;0,"CONSULTING ","")&amp;IF(COUNTIFS(tbl_Finance[Job Number],C171&amp;"",tbl_Finance[Cost Centre],"CTS")&gt;0,"CTS ",""))," ",", ")))</f>
        <v/>
      </c>
      <c r="L171" s="24" t="n"/>
      <c r="M171" s="24" t="n"/>
      <c r="N171" s="25">
        <f>IF(M171="","",HYPERLINK(IF(LEFT(M171,4)="http",M171,set_QwilrBase&amp;M171),"Open quote"))</f>
        <v/>
      </c>
      <c r="O171" s="64" t="n"/>
      <c r="P171" s="24" t="n"/>
      <c r="Q171" s="24" t="n"/>
    </row>
    <row r="172" ht="15" customHeight="1">
      <c r="A172" s="63">
        <f>IF(C172="","",IFERROR(IF(SUMPRODUCT(MAX((tbl_Finance[Job Number]=C172&amp;"")*(tbl_Finance[Xero Invoice No]&lt;&gt;"")*tbl_Finance[Date]))=0,"",SUMPRODUCT(MAX((tbl_Finance[Job Number]=C172&amp;"")*(tbl_Finance[Xero Invoice No]&lt;&gt;"")*tbl_Finance[Date]))),""))</f>
        <v/>
      </c>
      <c r="B172" s="25">
        <f>IF(C172="","",IF(COUNTIFS(tbl_Finance[Job Number],C172&amp;"",tbl_Finance[Xero Invoice No],"&lt;&gt;")=0,"",IFERROR(IF(COUNTIFS(tbl_Finance[Job Number],C172&amp;"",tbl_Finance[Xero Invoice No],LOOKUP(2,1/((tbl_Finance[Job Number]=C172&amp;"")*(tbl_Finance[Xero Invoice No]&lt;&gt;"")),tbl_Finance[Xero Invoice No]))=COUNTIFS(tbl_Finance[Job Number],C172&amp;"",tbl_Finance[Xero Invoice No],"&lt;&gt;"),LOOKUP(2,1/((tbl_Finance[Job Number]=C172&amp;"")*(tbl_Finance[Xero Invoice No]&lt;&gt;"")),tbl_Finance[Xero Invoice No]),LOOKUP(2,1/((tbl_Finance[Job Number]=C172&amp;"")*(tbl_Finance[Xero Invoice No]&lt;&gt;"")),tbl_Finance[Xero Invoice No])&amp;" +more"),"")))</f>
        <v/>
      </c>
      <c r="C172" s="24" t="n"/>
      <c r="D172" s="25">
        <f>IF(C172="","",IF(COUNTIF(lst_Jobs,C172&amp;"")&gt;0,"OK","CHECK"))</f>
        <v/>
      </c>
      <c r="E172" s="25">
        <f>IF(C172="","",IFERROR(INDEX(lst_JobName,MATCH(C172&amp;"",lst_Jobs,0)),""))</f>
        <v/>
      </c>
      <c r="F172" s="25">
        <f>IF(C172="","",IFERROR(INDEX(tbl_Finance[Client],MATCH(C172&amp;"",tbl_Finance[Job Number],0)),""))</f>
        <v/>
      </c>
      <c r="G172" s="28">
        <f>IF(C172="","",COUNTIFS(tbl_Finance[Job Number],C172&amp;"",tbl_Finance[Ex GST],"&lt;&gt;"))</f>
        <v/>
      </c>
      <c r="H172" s="27">
        <f>IF(C172="","",SUMIFS(tbl_Finance[Ex GST],tbl_Finance[Job Number],C172&amp;""))</f>
        <v/>
      </c>
      <c r="I172" s="27">
        <f>IF(C172="","",SUMIFS(tbl_Finance[Ex GST],tbl_Finance[Job Number],C172&amp;"",tbl_Finance[Xero Invoice No],"&lt;&gt;"))</f>
        <v/>
      </c>
      <c r="J172" s="27">
        <f>IF(C172="","",H172-I172)</f>
        <v/>
      </c>
      <c r="K172" s="25">
        <f>IF(C172="","",IF(G172=0,"not invoiced yet",SUBSTITUTE(TRIM(IF(COUNTIFS(tbl_Finance[Job Number],C172&amp;"",tbl_Finance[Cost Centre],"ONSITE")&gt;0,"ONSITE ","")&amp;IF(COUNTIFS(tbl_Finance[Job Number],C172&amp;"",tbl_Finance[Cost Centre],"PRODUCTION")&gt;0,"PRODUCTION ","")&amp;IF(COUNTIFS(tbl_Finance[Job Number],C172&amp;"",tbl_Finance[Cost Centre],"VIDEO")&gt;0,"VIDEO ","")&amp;IF(COUNTIFS(tbl_Finance[Job Number],C172&amp;"",tbl_Finance[Cost Centre],"INTEGRATION")&gt;0,"INTEGRATION ","")&amp;IF(COUNTIFS(tbl_Finance[Job Number],C172&amp;"",tbl_Finance[Cost Centre],"CONSULTING")&gt;0,"CONSULTING ","")&amp;IF(COUNTIFS(tbl_Finance[Job Number],C172&amp;"",tbl_Finance[Cost Centre],"CTS")&gt;0,"CTS ",""))," ",", ")))</f>
        <v/>
      </c>
      <c r="L172" s="24" t="n"/>
      <c r="M172" s="24" t="n"/>
      <c r="N172" s="25">
        <f>IF(M172="","",HYPERLINK(IF(LEFT(M172,4)="http",M172,set_QwilrBase&amp;M172),"Open quote"))</f>
        <v/>
      </c>
      <c r="O172" s="64" t="n"/>
      <c r="P172" s="24" t="n"/>
      <c r="Q172" s="24" t="n"/>
    </row>
    <row r="173" ht="15" customHeight="1">
      <c r="A173" s="63">
        <f>IF(C173="","",IFERROR(IF(SUMPRODUCT(MAX((tbl_Finance[Job Number]=C173&amp;"")*(tbl_Finance[Xero Invoice No]&lt;&gt;"")*tbl_Finance[Date]))=0,"",SUMPRODUCT(MAX((tbl_Finance[Job Number]=C173&amp;"")*(tbl_Finance[Xero Invoice No]&lt;&gt;"")*tbl_Finance[Date]))),""))</f>
        <v/>
      </c>
      <c r="B173" s="25">
        <f>IF(C173="","",IF(COUNTIFS(tbl_Finance[Job Number],C173&amp;"",tbl_Finance[Xero Invoice No],"&lt;&gt;")=0,"",IFERROR(IF(COUNTIFS(tbl_Finance[Job Number],C173&amp;"",tbl_Finance[Xero Invoice No],LOOKUP(2,1/((tbl_Finance[Job Number]=C173&amp;"")*(tbl_Finance[Xero Invoice No]&lt;&gt;"")),tbl_Finance[Xero Invoice No]))=COUNTIFS(tbl_Finance[Job Number],C173&amp;"",tbl_Finance[Xero Invoice No],"&lt;&gt;"),LOOKUP(2,1/((tbl_Finance[Job Number]=C173&amp;"")*(tbl_Finance[Xero Invoice No]&lt;&gt;"")),tbl_Finance[Xero Invoice No]),LOOKUP(2,1/((tbl_Finance[Job Number]=C173&amp;"")*(tbl_Finance[Xero Invoice No]&lt;&gt;"")),tbl_Finance[Xero Invoice No])&amp;" +more"),"")))</f>
        <v/>
      </c>
      <c r="C173" s="24" t="n"/>
      <c r="D173" s="25">
        <f>IF(C173="","",IF(COUNTIF(lst_Jobs,C173&amp;"")&gt;0,"OK","CHECK"))</f>
        <v/>
      </c>
      <c r="E173" s="25">
        <f>IF(C173="","",IFERROR(INDEX(lst_JobName,MATCH(C173&amp;"",lst_Jobs,0)),""))</f>
        <v/>
      </c>
      <c r="F173" s="25">
        <f>IF(C173="","",IFERROR(INDEX(tbl_Finance[Client],MATCH(C173&amp;"",tbl_Finance[Job Number],0)),""))</f>
        <v/>
      </c>
      <c r="G173" s="28">
        <f>IF(C173="","",COUNTIFS(tbl_Finance[Job Number],C173&amp;"",tbl_Finance[Ex GST],"&lt;&gt;"))</f>
        <v/>
      </c>
      <c r="H173" s="27">
        <f>IF(C173="","",SUMIFS(tbl_Finance[Ex GST],tbl_Finance[Job Number],C173&amp;""))</f>
        <v/>
      </c>
      <c r="I173" s="27">
        <f>IF(C173="","",SUMIFS(tbl_Finance[Ex GST],tbl_Finance[Job Number],C173&amp;"",tbl_Finance[Xero Invoice No],"&lt;&gt;"))</f>
        <v/>
      </c>
      <c r="J173" s="27">
        <f>IF(C173="","",H173-I173)</f>
        <v/>
      </c>
      <c r="K173" s="25">
        <f>IF(C173="","",IF(G173=0,"not invoiced yet",SUBSTITUTE(TRIM(IF(COUNTIFS(tbl_Finance[Job Number],C173&amp;"",tbl_Finance[Cost Centre],"ONSITE")&gt;0,"ONSITE ","")&amp;IF(COUNTIFS(tbl_Finance[Job Number],C173&amp;"",tbl_Finance[Cost Centre],"PRODUCTION")&gt;0,"PRODUCTION ","")&amp;IF(COUNTIFS(tbl_Finance[Job Number],C173&amp;"",tbl_Finance[Cost Centre],"VIDEO")&gt;0,"VIDEO ","")&amp;IF(COUNTIFS(tbl_Finance[Job Number],C173&amp;"",tbl_Finance[Cost Centre],"INTEGRATION")&gt;0,"INTEGRATION ","")&amp;IF(COUNTIFS(tbl_Finance[Job Number],C173&amp;"",tbl_Finance[Cost Centre],"CONSULTING")&gt;0,"CONSULTING ","")&amp;IF(COUNTIFS(tbl_Finance[Job Number],C173&amp;"",tbl_Finance[Cost Centre],"CTS")&gt;0,"CTS ",""))," ",", ")))</f>
        <v/>
      </c>
      <c r="L173" s="24" t="n"/>
      <c r="M173" s="24" t="n"/>
      <c r="N173" s="25">
        <f>IF(M173="","",HYPERLINK(IF(LEFT(M173,4)="http",M173,set_QwilrBase&amp;M173),"Open quote"))</f>
        <v/>
      </c>
      <c r="O173" s="64" t="n"/>
      <c r="P173" s="24" t="n"/>
      <c r="Q173" s="24" t="n"/>
    </row>
    <row r="174" ht="15" customHeight="1">
      <c r="A174" s="63">
        <f>IF(C174="","",IFERROR(IF(SUMPRODUCT(MAX((tbl_Finance[Job Number]=C174&amp;"")*(tbl_Finance[Xero Invoice No]&lt;&gt;"")*tbl_Finance[Date]))=0,"",SUMPRODUCT(MAX((tbl_Finance[Job Number]=C174&amp;"")*(tbl_Finance[Xero Invoice No]&lt;&gt;"")*tbl_Finance[Date]))),""))</f>
        <v/>
      </c>
      <c r="B174" s="25">
        <f>IF(C174="","",IF(COUNTIFS(tbl_Finance[Job Number],C174&amp;"",tbl_Finance[Xero Invoice No],"&lt;&gt;")=0,"",IFERROR(IF(COUNTIFS(tbl_Finance[Job Number],C174&amp;"",tbl_Finance[Xero Invoice No],LOOKUP(2,1/((tbl_Finance[Job Number]=C174&amp;"")*(tbl_Finance[Xero Invoice No]&lt;&gt;"")),tbl_Finance[Xero Invoice No]))=COUNTIFS(tbl_Finance[Job Number],C174&amp;"",tbl_Finance[Xero Invoice No],"&lt;&gt;"),LOOKUP(2,1/((tbl_Finance[Job Number]=C174&amp;"")*(tbl_Finance[Xero Invoice No]&lt;&gt;"")),tbl_Finance[Xero Invoice No]),LOOKUP(2,1/((tbl_Finance[Job Number]=C174&amp;"")*(tbl_Finance[Xero Invoice No]&lt;&gt;"")),tbl_Finance[Xero Invoice No])&amp;" +more"),"")))</f>
        <v/>
      </c>
      <c r="C174" s="24" t="n"/>
      <c r="D174" s="25">
        <f>IF(C174="","",IF(COUNTIF(lst_Jobs,C174&amp;"")&gt;0,"OK","CHECK"))</f>
        <v/>
      </c>
      <c r="E174" s="25">
        <f>IF(C174="","",IFERROR(INDEX(lst_JobName,MATCH(C174&amp;"",lst_Jobs,0)),""))</f>
        <v/>
      </c>
      <c r="F174" s="25">
        <f>IF(C174="","",IFERROR(INDEX(tbl_Finance[Client],MATCH(C174&amp;"",tbl_Finance[Job Number],0)),""))</f>
        <v/>
      </c>
      <c r="G174" s="28">
        <f>IF(C174="","",COUNTIFS(tbl_Finance[Job Number],C174&amp;"",tbl_Finance[Ex GST],"&lt;&gt;"))</f>
        <v/>
      </c>
      <c r="H174" s="27">
        <f>IF(C174="","",SUMIFS(tbl_Finance[Ex GST],tbl_Finance[Job Number],C174&amp;""))</f>
        <v/>
      </c>
      <c r="I174" s="27">
        <f>IF(C174="","",SUMIFS(tbl_Finance[Ex GST],tbl_Finance[Job Number],C174&amp;"",tbl_Finance[Xero Invoice No],"&lt;&gt;"))</f>
        <v/>
      </c>
      <c r="J174" s="27">
        <f>IF(C174="","",H174-I174)</f>
        <v/>
      </c>
      <c r="K174" s="25">
        <f>IF(C174="","",IF(G174=0,"not invoiced yet",SUBSTITUTE(TRIM(IF(COUNTIFS(tbl_Finance[Job Number],C174&amp;"",tbl_Finance[Cost Centre],"ONSITE")&gt;0,"ONSITE ","")&amp;IF(COUNTIFS(tbl_Finance[Job Number],C174&amp;"",tbl_Finance[Cost Centre],"PRODUCTION")&gt;0,"PRODUCTION ","")&amp;IF(COUNTIFS(tbl_Finance[Job Number],C174&amp;"",tbl_Finance[Cost Centre],"VIDEO")&gt;0,"VIDEO ","")&amp;IF(COUNTIFS(tbl_Finance[Job Number],C174&amp;"",tbl_Finance[Cost Centre],"INTEGRATION")&gt;0,"INTEGRATION ","")&amp;IF(COUNTIFS(tbl_Finance[Job Number],C174&amp;"",tbl_Finance[Cost Centre],"CONSULTING")&gt;0,"CONSULTING ","")&amp;IF(COUNTIFS(tbl_Finance[Job Number],C174&amp;"",tbl_Finance[Cost Centre],"CTS")&gt;0,"CTS ",""))," ",", ")))</f>
        <v/>
      </c>
      <c r="L174" s="24" t="n"/>
      <c r="M174" s="24" t="n"/>
      <c r="N174" s="25">
        <f>IF(M174="","",HYPERLINK(IF(LEFT(M174,4)="http",M174,set_QwilrBase&amp;M174),"Open quote"))</f>
        <v/>
      </c>
      <c r="O174" s="64" t="n"/>
      <c r="P174" s="24" t="n"/>
      <c r="Q174" s="24" t="n"/>
    </row>
    <row r="175" ht="15" customHeight="1">
      <c r="A175" s="63">
        <f>IF(C175="","",IFERROR(IF(SUMPRODUCT(MAX((tbl_Finance[Job Number]=C175&amp;"")*(tbl_Finance[Xero Invoice No]&lt;&gt;"")*tbl_Finance[Date]))=0,"",SUMPRODUCT(MAX((tbl_Finance[Job Number]=C175&amp;"")*(tbl_Finance[Xero Invoice No]&lt;&gt;"")*tbl_Finance[Date]))),""))</f>
        <v/>
      </c>
      <c r="B175" s="25">
        <f>IF(C175="","",IF(COUNTIFS(tbl_Finance[Job Number],C175&amp;"",tbl_Finance[Xero Invoice No],"&lt;&gt;")=0,"",IFERROR(IF(COUNTIFS(tbl_Finance[Job Number],C175&amp;"",tbl_Finance[Xero Invoice No],LOOKUP(2,1/((tbl_Finance[Job Number]=C175&amp;"")*(tbl_Finance[Xero Invoice No]&lt;&gt;"")),tbl_Finance[Xero Invoice No]))=COUNTIFS(tbl_Finance[Job Number],C175&amp;"",tbl_Finance[Xero Invoice No],"&lt;&gt;"),LOOKUP(2,1/((tbl_Finance[Job Number]=C175&amp;"")*(tbl_Finance[Xero Invoice No]&lt;&gt;"")),tbl_Finance[Xero Invoice No]),LOOKUP(2,1/((tbl_Finance[Job Number]=C175&amp;"")*(tbl_Finance[Xero Invoice No]&lt;&gt;"")),tbl_Finance[Xero Invoice No])&amp;" +more"),"")))</f>
        <v/>
      </c>
      <c r="C175" s="24" t="n"/>
      <c r="D175" s="25">
        <f>IF(C175="","",IF(COUNTIF(lst_Jobs,C175&amp;"")&gt;0,"OK","CHECK"))</f>
        <v/>
      </c>
      <c r="E175" s="25">
        <f>IF(C175="","",IFERROR(INDEX(lst_JobName,MATCH(C175&amp;"",lst_Jobs,0)),""))</f>
        <v/>
      </c>
      <c r="F175" s="25">
        <f>IF(C175="","",IFERROR(INDEX(tbl_Finance[Client],MATCH(C175&amp;"",tbl_Finance[Job Number],0)),""))</f>
        <v/>
      </c>
      <c r="G175" s="28">
        <f>IF(C175="","",COUNTIFS(tbl_Finance[Job Number],C175&amp;"",tbl_Finance[Ex GST],"&lt;&gt;"))</f>
        <v/>
      </c>
      <c r="H175" s="27">
        <f>IF(C175="","",SUMIFS(tbl_Finance[Ex GST],tbl_Finance[Job Number],C175&amp;""))</f>
        <v/>
      </c>
      <c r="I175" s="27">
        <f>IF(C175="","",SUMIFS(tbl_Finance[Ex GST],tbl_Finance[Job Number],C175&amp;"",tbl_Finance[Xero Invoice No],"&lt;&gt;"))</f>
        <v/>
      </c>
      <c r="J175" s="27">
        <f>IF(C175="","",H175-I175)</f>
        <v/>
      </c>
      <c r="K175" s="25">
        <f>IF(C175="","",IF(G175=0,"not invoiced yet",SUBSTITUTE(TRIM(IF(COUNTIFS(tbl_Finance[Job Number],C175&amp;"",tbl_Finance[Cost Centre],"ONSITE")&gt;0,"ONSITE ","")&amp;IF(COUNTIFS(tbl_Finance[Job Number],C175&amp;"",tbl_Finance[Cost Centre],"PRODUCTION")&gt;0,"PRODUCTION ","")&amp;IF(COUNTIFS(tbl_Finance[Job Number],C175&amp;"",tbl_Finance[Cost Centre],"VIDEO")&gt;0,"VIDEO ","")&amp;IF(COUNTIFS(tbl_Finance[Job Number],C175&amp;"",tbl_Finance[Cost Centre],"INTEGRATION")&gt;0,"INTEGRATION ","")&amp;IF(COUNTIFS(tbl_Finance[Job Number],C175&amp;"",tbl_Finance[Cost Centre],"CONSULTING")&gt;0,"CONSULTING ","")&amp;IF(COUNTIFS(tbl_Finance[Job Number],C175&amp;"",tbl_Finance[Cost Centre],"CTS")&gt;0,"CTS ",""))," ",", ")))</f>
        <v/>
      </c>
      <c r="L175" s="24" t="n"/>
      <c r="M175" s="24" t="n"/>
      <c r="N175" s="25">
        <f>IF(M175="","",HYPERLINK(IF(LEFT(M175,4)="http",M175,set_QwilrBase&amp;M175),"Open quote"))</f>
        <v/>
      </c>
      <c r="O175" s="64" t="n"/>
      <c r="P175" s="24" t="n"/>
      <c r="Q175" s="24" t="n"/>
    </row>
    <row r="176" ht="15" customHeight="1">
      <c r="A176" s="63">
        <f>IF(C176="","",IFERROR(IF(SUMPRODUCT(MAX((tbl_Finance[Job Number]=C176&amp;"")*(tbl_Finance[Xero Invoice No]&lt;&gt;"")*tbl_Finance[Date]))=0,"",SUMPRODUCT(MAX((tbl_Finance[Job Number]=C176&amp;"")*(tbl_Finance[Xero Invoice No]&lt;&gt;"")*tbl_Finance[Date]))),""))</f>
        <v/>
      </c>
      <c r="B176" s="25">
        <f>IF(C176="","",IF(COUNTIFS(tbl_Finance[Job Number],C176&amp;"",tbl_Finance[Xero Invoice No],"&lt;&gt;")=0,"",IFERROR(IF(COUNTIFS(tbl_Finance[Job Number],C176&amp;"",tbl_Finance[Xero Invoice No],LOOKUP(2,1/((tbl_Finance[Job Number]=C176&amp;"")*(tbl_Finance[Xero Invoice No]&lt;&gt;"")),tbl_Finance[Xero Invoice No]))=COUNTIFS(tbl_Finance[Job Number],C176&amp;"",tbl_Finance[Xero Invoice No],"&lt;&gt;"),LOOKUP(2,1/((tbl_Finance[Job Number]=C176&amp;"")*(tbl_Finance[Xero Invoice No]&lt;&gt;"")),tbl_Finance[Xero Invoice No]),LOOKUP(2,1/((tbl_Finance[Job Number]=C176&amp;"")*(tbl_Finance[Xero Invoice No]&lt;&gt;"")),tbl_Finance[Xero Invoice No])&amp;" +more"),"")))</f>
        <v/>
      </c>
      <c r="C176" s="24" t="n"/>
      <c r="D176" s="25">
        <f>IF(C176="","",IF(COUNTIF(lst_Jobs,C176&amp;"")&gt;0,"OK","CHECK"))</f>
        <v/>
      </c>
      <c r="E176" s="25">
        <f>IF(C176="","",IFERROR(INDEX(lst_JobName,MATCH(C176&amp;"",lst_Jobs,0)),""))</f>
        <v/>
      </c>
      <c r="F176" s="25">
        <f>IF(C176="","",IFERROR(INDEX(tbl_Finance[Client],MATCH(C176&amp;"",tbl_Finance[Job Number],0)),""))</f>
        <v/>
      </c>
      <c r="G176" s="28">
        <f>IF(C176="","",COUNTIFS(tbl_Finance[Job Number],C176&amp;"",tbl_Finance[Ex GST],"&lt;&gt;"))</f>
        <v/>
      </c>
      <c r="H176" s="27">
        <f>IF(C176="","",SUMIFS(tbl_Finance[Ex GST],tbl_Finance[Job Number],C176&amp;""))</f>
        <v/>
      </c>
      <c r="I176" s="27">
        <f>IF(C176="","",SUMIFS(tbl_Finance[Ex GST],tbl_Finance[Job Number],C176&amp;"",tbl_Finance[Xero Invoice No],"&lt;&gt;"))</f>
        <v/>
      </c>
      <c r="J176" s="27">
        <f>IF(C176="","",H176-I176)</f>
        <v/>
      </c>
      <c r="K176" s="25">
        <f>IF(C176="","",IF(G176=0,"not invoiced yet",SUBSTITUTE(TRIM(IF(COUNTIFS(tbl_Finance[Job Number],C176&amp;"",tbl_Finance[Cost Centre],"ONSITE")&gt;0,"ONSITE ","")&amp;IF(COUNTIFS(tbl_Finance[Job Number],C176&amp;"",tbl_Finance[Cost Centre],"PRODUCTION")&gt;0,"PRODUCTION ","")&amp;IF(COUNTIFS(tbl_Finance[Job Number],C176&amp;"",tbl_Finance[Cost Centre],"VIDEO")&gt;0,"VIDEO ","")&amp;IF(COUNTIFS(tbl_Finance[Job Number],C176&amp;"",tbl_Finance[Cost Centre],"INTEGRATION")&gt;0,"INTEGRATION ","")&amp;IF(COUNTIFS(tbl_Finance[Job Number],C176&amp;"",tbl_Finance[Cost Centre],"CONSULTING")&gt;0,"CONSULTING ","")&amp;IF(COUNTIFS(tbl_Finance[Job Number],C176&amp;"",tbl_Finance[Cost Centre],"CTS")&gt;0,"CTS ",""))," ",", ")))</f>
        <v/>
      </c>
      <c r="L176" s="24" t="n"/>
      <c r="M176" s="24" t="n"/>
      <c r="N176" s="25">
        <f>IF(M176="","",HYPERLINK(IF(LEFT(M176,4)="http",M176,set_QwilrBase&amp;M176),"Open quote"))</f>
        <v/>
      </c>
      <c r="O176" s="64" t="n"/>
      <c r="P176" s="24" t="n"/>
      <c r="Q176" s="24" t="n"/>
    </row>
    <row r="177" ht="15" customHeight="1">
      <c r="A177" s="63">
        <f>IF(C177="","",IFERROR(IF(SUMPRODUCT(MAX((tbl_Finance[Job Number]=C177&amp;"")*(tbl_Finance[Xero Invoice No]&lt;&gt;"")*tbl_Finance[Date]))=0,"",SUMPRODUCT(MAX((tbl_Finance[Job Number]=C177&amp;"")*(tbl_Finance[Xero Invoice No]&lt;&gt;"")*tbl_Finance[Date]))),""))</f>
        <v/>
      </c>
      <c r="B177" s="25">
        <f>IF(C177="","",IF(COUNTIFS(tbl_Finance[Job Number],C177&amp;"",tbl_Finance[Xero Invoice No],"&lt;&gt;")=0,"",IFERROR(IF(COUNTIFS(tbl_Finance[Job Number],C177&amp;"",tbl_Finance[Xero Invoice No],LOOKUP(2,1/((tbl_Finance[Job Number]=C177&amp;"")*(tbl_Finance[Xero Invoice No]&lt;&gt;"")),tbl_Finance[Xero Invoice No]))=COUNTIFS(tbl_Finance[Job Number],C177&amp;"",tbl_Finance[Xero Invoice No],"&lt;&gt;"),LOOKUP(2,1/((tbl_Finance[Job Number]=C177&amp;"")*(tbl_Finance[Xero Invoice No]&lt;&gt;"")),tbl_Finance[Xero Invoice No]),LOOKUP(2,1/((tbl_Finance[Job Number]=C177&amp;"")*(tbl_Finance[Xero Invoice No]&lt;&gt;"")),tbl_Finance[Xero Invoice No])&amp;" +more"),"")))</f>
        <v/>
      </c>
      <c r="C177" s="24" t="n"/>
      <c r="D177" s="25">
        <f>IF(C177="","",IF(COUNTIF(lst_Jobs,C177&amp;"")&gt;0,"OK","CHECK"))</f>
        <v/>
      </c>
      <c r="E177" s="25">
        <f>IF(C177="","",IFERROR(INDEX(lst_JobName,MATCH(C177&amp;"",lst_Jobs,0)),""))</f>
        <v/>
      </c>
      <c r="F177" s="25">
        <f>IF(C177="","",IFERROR(INDEX(tbl_Finance[Client],MATCH(C177&amp;"",tbl_Finance[Job Number],0)),""))</f>
        <v/>
      </c>
      <c r="G177" s="28">
        <f>IF(C177="","",COUNTIFS(tbl_Finance[Job Number],C177&amp;"",tbl_Finance[Ex GST],"&lt;&gt;"))</f>
        <v/>
      </c>
      <c r="H177" s="27">
        <f>IF(C177="","",SUMIFS(tbl_Finance[Ex GST],tbl_Finance[Job Number],C177&amp;""))</f>
        <v/>
      </c>
      <c r="I177" s="27">
        <f>IF(C177="","",SUMIFS(tbl_Finance[Ex GST],tbl_Finance[Job Number],C177&amp;"",tbl_Finance[Xero Invoice No],"&lt;&gt;"))</f>
        <v/>
      </c>
      <c r="J177" s="27">
        <f>IF(C177="","",H177-I177)</f>
        <v/>
      </c>
      <c r="K177" s="25">
        <f>IF(C177="","",IF(G177=0,"not invoiced yet",SUBSTITUTE(TRIM(IF(COUNTIFS(tbl_Finance[Job Number],C177&amp;"",tbl_Finance[Cost Centre],"ONSITE")&gt;0,"ONSITE ","")&amp;IF(COUNTIFS(tbl_Finance[Job Number],C177&amp;"",tbl_Finance[Cost Centre],"PRODUCTION")&gt;0,"PRODUCTION ","")&amp;IF(COUNTIFS(tbl_Finance[Job Number],C177&amp;"",tbl_Finance[Cost Centre],"VIDEO")&gt;0,"VIDEO ","")&amp;IF(COUNTIFS(tbl_Finance[Job Number],C177&amp;"",tbl_Finance[Cost Centre],"INTEGRATION")&gt;0,"INTEGRATION ","")&amp;IF(COUNTIFS(tbl_Finance[Job Number],C177&amp;"",tbl_Finance[Cost Centre],"CONSULTING")&gt;0,"CONSULTING ","")&amp;IF(COUNTIFS(tbl_Finance[Job Number],C177&amp;"",tbl_Finance[Cost Centre],"CTS")&gt;0,"CTS ",""))," ",", ")))</f>
        <v/>
      </c>
      <c r="L177" s="24" t="n"/>
      <c r="M177" s="24" t="n"/>
      <c r="N177" s="25">
        <f>IF(M177="","",HYPERLINK(IF(LEFT(M177,4)="http",M177,set_QwilrBase&amp;M177),"Open quote"))</f>
        <v/>
      </c>
      <c r="O177" s="64" t="n"/>
      <c r="P177" s="24" t="n"/>
      <c r="Q177" s="24" t="n"/>
    </row>
    <row r="178" ht="15" customHeight="1">
      <c r="A178" s="63">
        <f>IF(C178="","",IFERROR(IF(SUMPRODUCT(MAX((tbl_Finance[Job Number]=C178&amp;"")*(tbl_Finance[Xero Invoice No]&lt;&gt;"")*tbl_Finance[Date]))=0,"",SUMPRODUCT(MAX((tbl_Finance[Job Number]=C178&amp;"")*(tbl_Finance[Xero Invoice No]&lt;&gt;"")*tbl_Finance[Date]))),""))</f>
        <v/>
      </c>
      <c r="B178" s="25">
        <f>IF(C178="","",IF(COUNTIFS(tbl_Finance[Job Number],C178&amp;"",tbl_Finance[Xero Invoice No],"&lt;&gt;")=0,"",IFERROR(IF(COUNTIFS(tbl_Finance[Job Number],C178&amp;"",tbl_Finance[Xero Invoice No],LOOKUP(2,1/((tbl_Finance[Job Number]=C178&amp;"")*(tbl_Finance[Xero Invoice No]&lt;&gt;"")),tbl_Finance[Xero Invoice No]))=COUNTIFS(tbl_Finance[Job Number],C178&amp;"",tbl_Finance[Xero Invoice No],"&lt;&gt;"),LOOKUP(2,1/((tbl_Finance[Job Number]=C178&amp;"")*(tbl_Finance[Xero Invoice No]&lt;&gt;"")),tbl_Finance[Xero Invoice No]),LOOKUP(2,1/((tbl_Finance[Job Number]=C178&amp;"")*(tbl_Finance[Xero Invoice No]&lt;&gt;"")),tbl_Finance[Xero Invoice No])&amp;" +more"),"")))</f>
        <v/>
      </c>
      <c r="C178" s="24" t="n"/>
      <c r="D178" s="25">
        <f>IF(C178="","",IF(COUNTIF(lst_Jobs,C178&amp;"")&gt;0,"OK","CHECK"))</f>
        <v/>
      </c>
      <c r="E178" s="25">
        <f>IF(C178="","",IFERROR(INDEX(lst_JobName,MATCH(C178&amp;"",lst_Jobs,0)),""))</f>
        <v/>
      </c>
      <c r="F178" s="25">
        <f>IF(C178="","",IFERROR(INDEX(tbl_Finance[Client],MATCH(C178&amp;"",tbl_Finance[Job Number],0)),""))</f>
        <v/>
      </c>
      <c r="G178" s="28">
        <f>IF(C178="","",COUNTIFS(tbl_Finance[Job Number],C178&amp;"",tbl_Finance[Ex GST],"&lt;&gt;"))</f>
        <v/>
      </c>
      <c r="H178" s="27">
        <f>IF(C178="","",SUMIFS(tbl_Finance[Ex GST],tbl_Finance[Job Number],C178&amp;""))</f>
        <v/>
      </c>
      <c r="I178" s="27">
        <f>IF(C178="","",SUMIFS(tbl_Finance[Ex GST],tbl_Finance[Job Number],C178&amp;"",tbl_Finance[Xero Invoice No],"&lt;&gt;"))</f>
        <v/>
      </c>
      <c r="J178" s="27">
        <f>IF(C178="","",H178-I178)</f>
        <v/>
      </c>
      <c r="K178" s="25">
        <f>IF(C178="","",IF(G178=0,"not invoiced yet",SUBSTITUTE(TRIM(IF(COUNTIFS(tbl_Finance[Job Number],C178&amp;"",tbl_Finance[Cost Centre],"ONSITE")&gt;0,"ONSITE ","")&amp;IF(COUNTIFS(tbl_Finance[Job Number],C178&amp;"",tbl_Finance[Cost Centre],"PRODUCTION")&gt;0,"PRODUCTION ","")&amp;IF(COUNTIFS(tbl_Finance[Job Number],C178&amp;"",tbl_Finance[Cost Centre],"VIDEO")&gt;0,"VIDEO ","")&amp;IF(COUNTIFS(tbl_Finance[Job Number],C178&amp;"",tbl_Finance[Cost Centre],"INTEGRATION")&gt;0,"INTEGRATION ","")&amp;IF(COUNTIFS(tbl_Finance[Job Number],C178&amp;"",tbl_Finance[Cost Centre],"CONSULTING")&gt;0,"CONSULTING ","")&amp;IF(COUNTIFS(tbl_Finance[Job Number],C178&amp;"",tbl_Finance[Cost Centre],"CTS")&gt;0,"CTS ",""))," ",", ")))</f>
        <v/>
      </c>
      <c r="L178" s="24" t="n"/>
      <c r="M178" s="24" t="n"/>
      <c r="N178" s="25">
        <f>IF(M178="","",HYPERLINK(IF(LEFT(M178,4)="http",M178,set_QwilrBase&amp;M178),"Open quote"))</f>
        <v/>
      </c>
      <c r="O178" s="64" t="n"/>
      <c r="P178" s="24" t="n"/>
      <c r="Q178" s="24" t="n"/>
    </row>
    <row r="179" ht="15" customHeight="1">
      <c r="A179" s="63">
        <f>IF(C179="","",IFERROR(IF(SUMPRODUCT(MAX((tbl_Finance[Job Number]=C179&amp;"")*(tbl_Finance[Xero Invoice No]&lt;&gt;"")*tbl_Finance[Date]))=0,"",SUMPRODUCT(MAX((tbl_Finance[Job Number]=C179&amp;"")*(tbl_Finance[Xero Invoice No]&lt;&gt;"")*tbl_Finance[Date]))),""))</f>
        <v/>
      </c>
      <c r="B179" s="25">
        <f>IF(C179="","",IF(COUNTIFS(tbl_Finance[Job Number],C179&amp;"",tbl_Finance[Xero Invoice No],"&lt;&gt;")=0,"",IFERROR(IF(COUNTIFS(tbl_Finance[Job Number],C179&amp;"",tbl_Finance[Xero Invoice No],LOOKUP(2,1/((tbl_Finance[Job Number]=C179&amp;"")*(tbl_Finance[Xero Invoice No]&lt;&gt;"")),tbl_Finance[Xero Invoice No]))=COUNTIFS(tbl_Finance[Job Number],C179&amp;"",tbl_Finance[Xero Invoice No],"&lt;&gt;"),LOOKUP(2,1/((tbl_Finance[Job Number]=C179&amp;"")*(tbl_Finance[Xero Invoice No]&lt;&gt;"")),tbl_Finance[Xero Invoice No]),LOOKUP(2,1/((tbl_Finance[Job Number]=C179&amp;"")*(tbl_Finance[Xero Invoice No]&lt;&gt;"")),tbl_Finance[Xero Invoice No])&amp;" +more"),"")))</f>
        <v/>
      </c>
      <c r="C179" s="24" t="n"/>
      <c r="D179" s="25">
        <f>IF(C179="","",IF(COUNTIF(lst_Jobs,C179&amp;"")&gt;0,"OK","CHECK"))</f>
        <v/>
      </c>
      <c r="E179" s="25">
        <f>IF(C179="","",IFERROR(INDEX(lst_JobName,MATCH(C179&amp;"",lst_Jobs,0)),""))</f>
        <v/>
      </c>
      <c r="F179" s="25">
        <f>IF(C179="","",IFERROR(INDEX(tbl_Finance[Client],MATCH(C179&amp;"",tbl_Finance[Job Number],0)),""))</f>
        <v/>
      </c>
      <c r="G179" s="28">
        <f>IF(C179="","",COUNTIFS(tbl_Finance[Job Number],C179&amp;"",tbl_Finance[Ex GST],"&lt;&gt;"))</f>
        <v/>
      </c>
      <c r="H179" s="27">
        <f>IF(C179="","",SUMIFS(tbl_Finance[Ex GST],tbl_Finance[Job Number],C179&amp;""))</f>
        <v/>
      </c>
      <c r="I179" s="27">
        <f>IF(C179="","",SUMIFS(tbl_Finance[Ex GST],tbl_Finance[Job Number],C179&amp;"",tbl_Finance[Xero Invoice No],"&lt;&gt;"))</f>
        <v/>
      </c>
      <c r="J179" s="27">
        <f>IF(C179="","",H179-I179)</f>
        <v/>
      </c>
      <c r="K179" s="25">
        <f>IF(C179="","",IF(G179=0,"not invoiced yet",SUBSTITUTE(TRIM(IF(COUNTIFS(tbl_Finance[Job Number],C179&amp;"",tbl_Finance[Cost Centre],"ONSITE")&gt;0,"ONSITE ","")&amp;IF(COUNTIFS(tbl_Finance[Job Number],C179&amp;"",tbl_Finance[Cost Centre],"PRODUCTION")&gt;0,"PRODUCTION ","")&amp;IF(COUNTIFS(tbl_Finance[Job Number],C179&amp;"",tbl_Finance[Cost Centre],"VIDEO")&gt;0,"VIDEO ","")&amp;IF(COUNTIFS(tbl_Finance[Job Number],C179&amp;"",tbl_Finance[Cost Centre],"INTEGRATION")&gt;0,"INTEGRATION ","")&amp;IF(COUNTIFS(tbl_Finance[Job Number],C179&amp;"",tbl_Finance[Cost Centre],"CONSULTING")&gt;0,"CONSULTING ","")&amp;IF(COUNTIFS(tbl_Finance[Job Number],C179&amp;"",tbl_Finance[Cost Centre],"CTS")&gt;0,"CTS ",""))," ",", ")))</f>
        <v/>
      </c>
      <c r="L179" s="24" t="n"/>
      <c r="M179" s="24" t="n"/>
      <c r="N179" s="25">
        <f>IF(M179="","",HYPERLINK(IF(LEFT(M179,4)="http",M179,set_QwilrBase&amp;M179),"Open quote"))</f>
        <v/>
      </c>
      <c r="O179" s="64" t="n"/>
      <c r="P179" s="24" t="n"/>
      <c r="Q179" s="24" t="n"/>
    </row>
    <row r="180" ht="15" customHeight="1">
      <c r="A180" s="63">
        <f>IF(C180="","",IFERROR(IF(SUMPRODUCT(MAX((tbl_Finance[Job Number]=C180&amp;"")*(tbl_Finance[Xero Invoice No]&lt;&gt;"")*tbl_Finance[Date]))=0,"",SUMPRODUCT(MAX((tbl_Finance[Job Number]=C180&amp;"")*(tbl_Finance[Xero Invoice No]&lt;&gt;"")*tbl_Finance[Date]))),""))</f>
        <v/>
      </c>
      <c r="B180" s="25">
        <f>IF(C180="","",IF(COUNTIFS(tbl_Finance[Job Number],C180&amp;"",tbl_Finance[Xero Invoice No],"&lt;&gt;")=0,"",IFERROR(IF(COUNTIFS(tbl_Finance[Job Number],C180&amp;"",tbl_Finance[Xero Invoice No],LOOKUP(2,1/((tbl_Finance[Job Number]=C180&amp;"")*(tbl_Finance[Xero Invoice No]&lt;&gt;"")),tbl_Finance[Xero Invoice No]))=COUNTIFS(tbl_Finance[Job Number],C180&amp;"",tbl_Finance[Xero Invoice No],"&lt;&gt;"),LOOKUP(2,1/((tbl_Finance[Job Number]=C180&amp;"")*(tbl_Finance[Xero Invoice No]&lt;&gt;"")),tbl_Finance[Xero Invoice No]),LOOKUP(2,1/((tbl_Finance[Job Number]=C180&amp;"")*(tbl_Finance[Xero Invoice No]&lt;&gt;"")),tbl_Finance[Xero Invoice No])&amp;" +more"),"")))</f>
        <v/>
      </c>
      <c r="C180" s="24" t="n"/>
      <c r="D180" s="25">
        <f>IF(C180="","",IF(COUNTIF(lst_Jobs,C180&amp;"")&gt;0,"OK","CHECK"))</f>
        <v/>
      </c>
      <c r="E180" s="25">
        <f>IF(C180="","",IFERROR(INDEX(lst_JobName,MATCH(C180&amp;"",lst_Jobs,0)),""))</f>
        <v/>
      </c>
      <c r="F180" s="25">
        <f>IF(C180="","",IFERROR(INDEX(tbl_Finance[Client],MATCH(C180&amp;"",tbl_Finance[Job Number],0)),""))</f>
        <v/>
      </c>
      <c r="G180" s="28">
        <f>IF(C180="","",COUNTIFS(tbl_Finance[Job Number],C180&amp;"",tbl_Finance[Ex GST],"&lt;&gt;"))</f>
        <v/>
      </c>
      <c r="H180" s="27">
        <f>IF(C180="","",SUMIFS(tbl_Finance[Ex GST],tbl_Finance[Job Number],C180&amp;""))</f>
        <v/>
      </c>
      <c r="I180" s="27">
        <f>IF(C180="","",SUMIFS(tbl_Finance[Ex GST],tbl_Finance[Job Number],C180&amp;"",tbl_Finance[Xero Invoice No],"&lt;&gt;"))</f>
        <v/>
      </c>
      <c r="J180" s="27">
        <f>IF(C180="","",H180-I180)</f>
        <v/>
      </c>
      <c r="K180" s="25">
        <f>IF(C180="","",IF(G180=0,"not invoiced yet",SUBSTITUTE(TRIM(IF(COUNTIFS(tbl_Finance[Job Number],C180&amp;"",tbl_Finance[Cost Centre],"ONSITE")&gt;0,"ONSITE ","")&amp;IF(COUNTIFS(tbl_Finance[Job Number],C180&amp;"",tbl_Finance[Cost Centre],"PRODUCTION")&gt;0,"PRODUCTION ","")&amp;IF(COUNTIFS(tbl_Finance[Job Number],C180&amp;"",tbl_Finance[Cost Centre],"VIDEO")&gt;0,"VIDEO ","")&amp;IF(COUNTIFS(tbl_Finance[Job Number],C180&amp;"",tbl_Finance[Cost Centre],"INTEGRATION")&gt;0,"INTEGRATION ","")&amp;IF(COUNTIFS(tbl_Finance[Job Number],C180&amp;"",tbl_Finance[Cost Centre],"CONSULTING")&gt;0,"CONSULTING ","")&amp;IF(COUNTIFS(tbl_Finance[Job Number],C180&amp;"",tbl_Finance[Cost Centre],"CTS")&gt;0,"CTS ",""))," ",", ")))</f>
        <v/>
      </c>
      <c r="L180" s="24" t="n"/>
      <c r="M180" s="24" t="n"/>
      <c r="N180" s="25">
        <f>IF(M180="","",HYPERLINK(IF(LEFT(M180,4)="http",M180,set_QwilrBase&amp;M180),"Open quote"))</f>
        <v/>
      </c>
      <c r="O180" s="64" t="n"/>
      <c r="P180" s="24" t="n"/>
      <c r="Q180" s="24" t="n"/>
    </row>
    <row r="181" ht="15" customHeight="1">
      <c r="A181" s="63">
        <f>IF(C181="","",IFERROR(IF(SUMPRODUCT(MAX((tbl_Finance[Job Number]=C181&amp;"")*(tbl_Finance[Xero Invoice No]&lt;&gt;"")*tbl_Finance[Date]))=0,"",SUMPRODUCT(MAX((tbl_Finance[Job Number]=C181&amp;"")*(tbl_Finance[Xero Invoice No]&lt;&gt;"")*tbl_Finance[Date]))),""))</f>
        <v/>
      </c>
      <c r="B181" s="25">
        <f>IF(C181="","",IF(COUNTIFS(tbl_Finance[Job Number],C181&amp;"",tbl_Finance[Xero Invoice No],"&lt;&gt;")=0,"",IFERROR(IF(COUNTIFS(tbl_Finance[Job Number],C181&amp;"",tbl_Finance[Xero Invoice No],LOOKUP(2,1/((tbl_Finance[Job Number]=C181&amp;"")*(tbl_Finance[Xero Invoice No]&lt;&gt;"")),tbl_Finance[Xero Invoice No]))=COUNTIFS(tbl_Finance[Job Number],C181&amp;"",tbl_Finance[Xero Invoice No],"&lt;&gt;"),LOOKUP(2,1/((tbl_Finance[Job Number]=C181&amp;"")*(tbl_Finance[Xero Invoice No]&lt;&gt;"")),tbl_Finance[Xero Invoice No]),LOOKUP(2,1/((tbl_Finance[Job Number]=C181&amp;"")*(tbl_Finance[Xero Invoice No]&lt;&gt;"")),tbl_Finance[Xero Invoice No])&amp;" +more"),"")))</f>
        <v/>
      </c>
      <c r="C181" s="24" t="n"/>
      <c r="D181" s="25">
        <f>IF(C181="","",IF(COUNTIF(lst_Jobs,C181&amp;"")&gt;0,"OK","CHECK"))</f>
        <v/>
      </c>
      <c r="E181" s="25">
        <f>IF(C181="","",IFERROR(INDEX(lst_JobName,MATCH(C181&amp;"",lst_Jobs,0)),""))</f>
        <v/>
      </c>
      <c r="F181" s="25">
        <f>IF(C181="","",IFERROR(INDEX(tbl_Finance[Client],MATCH(C181&amp;"",tbl_Finance[Job Number],0)),""))</f>
        <v/>
      </c>
      <c r="G181" s="28">
        <f>IF(C181="","",COUNTIFS(tbl_Finance[Job Number],C181&amp;"",tbl_Finance[Ex GST],"&lt;&gt;"))</f>
        <v/>
      </c>
      <c r="H181" s="27">
        <f>IF(C181="","",SUMIFS(tbl_Finance[Ex GST],tbl_Finance[Job Number],C181&amp;""))</f>
        <v/>
      </c>
      <c r="I181" s="27">
        <f>IF(C181="","",SUMIFS(tbl_Finance[Ex GST],tbl_Finance[Job Number],C181&amp;"",tbl_Finance[Xero Invoice No],"&lt;&gt;"))</f>
        <v/>
      </c>
      <c r="J181" s="27">
        <f>IF(C181="","",H181-I181)</f>
        <v/>
      </c>
      <c r="K181" s="25">
        <f>IF(C181="","",IF(G181=0,"not invoiced yet",SUBSTITUTE(TRIM(IF(COUNTIFS(tbl_Finance[Job Number],C181&amp;"",tbl_Finance[Cost Centre],"ONSITE")&gt;0,"ONSITE ","")&amp;IF(COUNTIFS(tbl_Finance[Job Number],C181&amp;"",tbl_Finance[Cost Centre],"PRODUCTION")&gt;0,"PRODUCTION ","")&amp;IF(COUNTIFS(tbl_Finance[Job Number],C181&amp;"",tbl_Finance[Cost Centre],"VIDEO")&gt;0,"VIDEO ","")&amp;IF(COUNTIFS(tbl_Finance[Job Number],C181&amp;"",tbl_Finance[Cost Centre],"INTEGRATION")&gt;0,"INTEGRATION ","")&amp;IF(COUNTIFS(tbl_Finance[Job Number],C181&amp;"",tbl_Finance[Cost Centre],"CONSULTING")&gt;0,"CONSULTING ","")&amp;IF(COUNTIFS(tbl_Finance[Job Number],C181&amp;"",tbl_Finance[Cost Centre],"CTS")&gt;0,"CTS ",""))," ",", ")))</f>
        <v/>
      </c>
      <c r="L181" s="24" t="n"/>
      <c r="M181" s="24" t="n"/>
      <c r="N181" s="25">
        <f>IF(M181="","",HYPERLINK(IF(LEFT(M181,4)="http",M181,set_QwilrBase&amp;M181),"Open quote"))</f>
        <v/>
      </c>
      <c r="O181" s="64" t="n"/>
      <c r="P181" s="24" t="n"/>
      <c r="Q181" s="24" t="n"/>
    </row>
    <row r="182" ht="15" customHeight="1">
      <c r="A182" s="63">
        <f>IF(C182="","",IFERROR(IF(SUMPRODUCT(MAX((tbl_Finance[Job Number]=C182&amp;"")*(tbl_Finance[Xero Invoice No]&lt;&gt;"")*tbl_Finance[Date]))=0,"",SUMPRODUCT(MAX((tbl_Finance[Job Number]=C182&amp;"")*(tbl_Finance[Xero Invoice No]&lt;&gt;"")*tbl_Finance[Date]))),""))</f>
        <v/>
      </c>
      <c r="B182" s="25">
        <f>IF(C182="","",IF(COUNTIFS(tbl_Finance[Job Number],C182&amp;"",tbl_Finance[Xero Invoice No],"&lt;&gt;")=0,"",IFERROR(IF(COUNTIFS(tbl_Finance[Job Number],C182&amp;"",tbl_Finance[Xero Invoice No],LOOKUP(2,1/((tbl_Finance[Job Number]=C182&amp;"")*(tbl_Finance[Xero Invoice No]&lt;&gt;"")),tbl_Finance[Xero Invoice No]))=COUNTIFS(tbl_Finance[Job Number],C182&amp;"",tbl_Finance[Xero Invoice No],"&lt;&gt;"),LOOKUP(2,1/((tbl_Finance[Job Number]=C182&amp;"")*(tbl_Finance[Xero Invoice No]&lt;&gt;"")),tbl_Finance[Xero Invoice No]),LOOKUP(2,1/((tbl_Finance[Job Number]=C182&amp;"")*(tbl_Finance[Xero Invoice No]&lt;&gt;"")),tbl_Finance[Xero Invoice No])&amp;" +more"),"")))</f>
        <v/>
      </c>
      <c r="C182" s="24" t="n"/>
      <c r="D182" s="25">
        <f>IF(C182="","",IF(COUNTIF(lst_Jobs,C182&amp;"")&gt;0,"OK","CHECK"))</f>
        <v/>
      </c>
      <c r="E182" s="25">
        <f>IF(C182="","",IFERROR(INDEX(lst_JobName,MATCH(C182&amp;"",lst_Jobs,0)),""))</f>
        <v/>
      </c>
      <c r="F182" s="25">
        <f>IF(C182="","",IFERROR(INDEX(tbl_Finance[Client],MATCH(C182&amp;"",tbl_Finance[Job Number],0)),""))</f>
        <v/>
      </c>
      <c r="G182" s="28">
        <f>IF(C182="","",COUNTIFS(tbl_Finance[Job Number],C182&amp;"",tbl_Finance[Ex GST],"&lt;&gt;"))</f>
        <v/>
      </c>
      <c r="H182" s="27">
        <f>IF(C182="","",SUMIFS(tbl_Finance[Ex GST],tbl_Finance[Job Number],C182&amp;""))</f>
        <v/>
      </c>
      <c r="I182" s="27">
        <f>IF(C182="","",SUMIFS(tbl_Finance[Ex GST],tbl_Finance[Job Number],C182&amp;"",tbl_Finance[Xero Invoice No],"&lt;&gt;"))</f>
        <v/>
      </c>
      <c r="J182" s="27">
        <f>IF(C182="","",H182-I182)</f>
        <v/>
      </c>
      <c r="K182" s="25">
        <f>IF(C182="","",IF(G182=0,"not invoiced yet",SUBSTITUTE(TRIM(IF(COUNTIFS(tbl_Finance[Job Number],C182&amp;"",tbl_Finance[Cost Centre],"ONSITE")&gt;0,"ONSITE ","")&amp;IF(COUNTIFS(tbl_Finance[Job Number],C182&amp;"",tbl_Finance[Cost Centre],"PRODUCTION")&gt;0,"PRODUCTION ","")&amp;IF(COUNTIFS(tbl_Finance[Job Number],C182&amp;"",tbl_Finance[Cost Centre],"VIDEO")&gt;0,"VIDEO ","")&amp;IF(COUNTIFS(tbl_Finance[Job Number],C182&amp;"",tbl_Finance[Cost Centre],"INTEGRATION")&gt;0,"INTEGRATION ","")&amp;IF(COUNTIFS(tbl_Finance[Job Number],C182&amp;"",tbl_Finance[Cost Centre],"CONSULTING")&gt;0,"CONSULTING ","")&amp;IF(COUNTIFS(tbl_Finance[Job Number],C182&amp;"",tbl_Finance[Cost Centre],"CTS")&gt;0,"CTS ",""))," ",", ")))</f>
        <v/>
      </c>
      <c r="L182" s="24" t="n"/>
      <c r="M182" s="24" t="n"/>
      <c r="N182" s="25">
        <f>IF(M182="","",HYPERLINK(IF(LEFT(M182,4)="http",M182,set_QwilrBase&amp;M182),"Open quote"))</f>
        <v/>
      </c>
      <c r="O182" s="64" t="n"/>
      <c r="P182" s="24" t="n"/>
      <c r="Q182" s="24" t="n"/>
    </row>
    <row r="183" ht="15" customHeight="1">
      <c r="A183" s="63">
        <f>IF(C183="","",IFERROR(IF(SUMPRODUCT(MAX((tbl_Finance[Job Number]=C183&amp;"")*(tbl_Finance[Xero Invoice No]&lt;&gt;"")*tbl_Finance[Date]))=0,"",SUMPRODUCT(MAX((tbl_Finance[Job Number]=C183&amp;"")*(tbl_Finance[Xero Invoice No]&lt;&gt;"")*tbl_Finance[Date]))),""))</f>
        <v/>
      </c>
      <c r="B183" s="25">
        <f>IF(C183="","",IF(COUNTIFS(tbl_Finance[Job Number],C183&amp;"",tbl_Finance[Xero Invoice No],"&lt;&gt;")=0,"",IFERROR(IF(COUNTIFS(tbl_Finance[Job Number],C183&amp;"",tbl_Finance[Xero Invoice No],LOOKUP(2,1/((tbl_Finance[Job Number]=C183&amp;"")*(tbl_Finance[Xero Invoice No]&lt;&gt;"")),tbl_Finance[Xero Invoice No]))=COUNTIFS(tbl_Finance[Job Number],C183&amp;"",tbl_Finance[Xero Invoice No],"&lt;&gt;"),LOOKUP(2,1/((tbl_Finance[Job Number]=C183&amp;"")*(tbl_Finance[Xero Invoice No]&lt;&gt;"")),tbl_Finance[Xero Invoice No]),LOOKUP(2,1/((tbl_Finance[Job Number]=C183&amp;"")*(tbl_Finance[Xero Invoice No]&lt;&gt;"")),tbl_Finance[Xero Invoice No])&amp;" +more"),"")))</f>
        <v/>
      </c>
      <c r="C183" s="24" t="n"/>
      <c r="D183" s="25">
        <f>IF(C183="","",IF(COUNTIF(lst_Jobs,C183&amp;"")&gt;0,"OK","CHECK"))</f>
        <v/>
      </c>
      <c r="E183" s="25">
        <f>IF(C183="","",IFERROR(INDEX(lst_JobName,MATCH(C183&amp;"",lst_Jobs,0)),""))</f>
        <v/>
      </c>
      <c r="F183" s="25">
        <f>IF(C183="","",IFERROR(INDEX(tbl_Finance[Client],MATCH(C183&amp;"",tbl_Finance[Job Number],0)),""))</f>
        <v/>
      </c>
      <c r="G183" s="28">
        <f>IF(C183="","",COUNTIFS(tbl_Finance[Job Number],C183&amp;"",tbl_Finance[Ex GST],"&lt;&gt;"))</f>
        <v/>
      </c>
      <c r="H183" s="27">
        <f>IF(C183="","",SUMIFS(tbl_Finance[Ex GST],tbl_Finance[Job Number],C183&amp;""))</f>
        <v/>
      </c>
      <c r="I183" s="27">
        <f>IF(C183="","",SUMIFS(tbl_Finance[Ex GST],tbl_Finance[Job Number],C183&amp;"",tbl_Finance[Xero Invoice No],"&lt;&gt;"))</f>
        <v/>
      </c>
      <c r="J183" s="27">
        <f>IF(C183="","",H183-I183)</f>
        <v/>
      </c>
      <c r="K183" s="25">
        <f>IF(C183="","",IF(G183=0,"not invoiced yet",SUBSTITUTE(TRIM(IF(COUNTIFS(tbl_Finance[Job Number],C183&amp;"",tbl_Finance[Cost Centre],"ONSITE")&gt;0,"ONSITE ","")&amp;IF(COUNTIFS(tbl_Finance[Job Number],C183&amp;"",tbl_Finance[Cost Centre],"PRODUCTION")&gt;0,"PRODUCTION ","")&amp;IF(COUNTIFS(tbl_Finance[Job Number],C183&amp;"",tbl_Finance[Cost Centre],"VIDEO")&gt;0,"VIDEO ","")&amp;IF(COUNTIFS(tbl_Finance[Job Number],C183&amp;"",tbl_Finance[Cost Centre],"INTEGRATION")&gt;0,"INTEGRATION ","")&amp;IF(COUNTIFS(tbl_Finance[Job Number],C183&amp;"",tbl_Finance[Cost Centre],"CONSULTING")&gt;0,"CONSULTING ","")&amp;IF(COUNTIFS(tbl_Finance[Job Number],C183&amp;"",tbl_Finance[Cost Centre],"CTS")&gt;0,"CTS ",""))," ",", ")))</f>
        <v/>
      </c>
      <c r="L183" s="24" t="n"/>
      <c r="M183" s="24" t="n"/>
      <c r="N183" s="25">
        <f>IF(M183="","",HYPERLINK(IF(LEFT(M183,4)="http",M183,set_QwilrBase&amp;M183),"Open quote"))</f>
        <v/>
      </c>
      <c r="O183" s="64" t="n"/>
      <c r="P183" s="24" t="n"/>
      <c r="Q183" s="24" t="n"/>
    </row>
    <row r="184" ht="15" customHeight="1">
      <c r="A184" s="63">
        <f>IF(C184="","",IFERROR(IF(SUMPRODUCT(MAX((tbl_Finance[Job Number]=C184&amp;"")*(tbl_Finance[Xero Invoice No]&lt;&gt;"")*tbl_Finance[Date]))=0,"",SUMPRODUCT(MAX((tbl_Finance[Job Number]=C184&amp;"")*(tbl_Finance[Xero Invoice No]&lt;&gt;"")*tbl_Finance[Date]))),""))</f>
        <v/>
      </c>
      <c r="B184" s="25">
        <f>IF(C184="","",IF(COUNTIFS(tbl_Finance[Job Number],C184&amp;"",tbl_Finance[Xero Invoice No],"&lt;&gt;")=0,"",IFERROR(IF(COUNTIFS(tbl_Finance[Job Number],C184&amp;"",tbl_Finance[Xero Invoice No],LOOKUP(2,1/((tbl_Finance[Job Number]=C184&amp;"")*(tbl_Finance[Xero Invoice No]&lt;&gt;"")),tbl_Finance[Xero Invoice No]))=COUNTIFS(tbl_Finance[Job Number],C184&amp;"",tbl_Finance[Xero Invoice No],"&lt;&gt;"),LOOKUP(2,1/((tbl_Finance[Job Number]=C184&amp;"")*(tbl_Finance[Xero Invoice No]&lt;&gt;"")),tbl_Finance[Xero Invoice No]),LOOKUP(2,1/((tbl_Finance[Job Number]=C184&amp;"")*(tbl_Finance[Xero Invoice No]&lt;&gt;"")),tbl_Finance[Xero Invoice No])&amp;" +more"),"")))</f>
        <v/>
      </c>
      <c r="C184" s="24" t="n"/>
      <c r="D184" s="25">
        <f>IF(C184="","",IF(COUNTIF(lst_Jobs,C184&amp;"")&gt;0,"OK","CHECK"))</f>
        <v/>
      </c>
      <c r="E184" s="25">
        <f>IF(C184="","",IFERROR(INDEX(lst_JobName,MATCH(C184&amp;"",lst_Jobs,0)),""))</f>
        <v/>
      </c>
      <c r="F184" s="25">
        <f>IF(C184="","",IFERROR(INDEX(tbl_Finance[Client],MATCH(C184&amp;"",tbl_Finance[Job Number],0)),""))</f>
        <v/>
      </c>
      <c r="G184" s="28">
        <f>IF(C184="","",COUNTIFS(tbl_Finance[Job Number],C184&amp;"",tbl_Finance[Ex GST],"&lt;&gt;"))</f>
        <v/>
      </c>
      <c r="H184" s="27">
        <f>IF(C184="","",SUMIFS(tbl_Finance[Ex GST],tbl_Finance[Job Number],C184&amp;""))</f>
        <v/>
      </c>
      <c r="I184" s="27">
        <f>IF(C184="","",SUMIFS(tbl_Finance[Ex GST],tbl_Finance[Job Number],C184&amp;"",tbl_Finance[Xero Invoice No],"&lt;&gt;"))</f>
        <v/>
      </c>
      <c r="J184" s="27">
        <f>IF(C184="","",H184-I184)</f>
        <v/>
      </c>
      <c r="K184" s="25">
        <f>IF(C184="","",IF(G184=0,"not invoiced yet",SUBSTITUTE(TRIM(IF(COUNTIFS(tbl_Finance[Job Number],C184&amp;"",tbl_Finance[Cost Centre],"ONSITE")&gt;0,"ONSITE ","")&amp;IF(COUNTIFS(tbl_Finance[Job Number],C184&amp;"",tbl_Finance[Cost Centre],"PRODUCTION")&gt;0,"PRODUCTION ","")&amp;IF(COUNTIFS(tbl_Finance[Job Number],C184&amp;"",tbl_Finance[Cost Centre],"VIDEO")&gt;0,"VIDEO ","")&amp;IF(COUNTIFS(tbl_Finance[Job Number],C184&amp;"",tbl_Finance[Cost Centre],"INTEGRATION")&gt;0,"INTEGRATION ","")&amp;IF(COUNTIFS(tbl_Finance[Job Number],C184&amp;"",tbl_Finance[Cost Centre],"CONSULTING")&gt;0,"CONSULTING ","")&amp;IF(COUNTIFS(tbl_Finance[Job Number],C184&amp;"",tbl_Finance[Cost Centre],"CTS")&gt;0,"CTS ",""))," ",", ")))</f>
        <v/>
      </c>
      <c r="L184" s="24" t="n"/>
      <c r="M184" s="24" t="n"/>
      <c r="N184" s="25">
        <f>IF(M184="","",HYPERLINK(IF(LEFT(M184,4)="http",M184,set_QwilrBase&amp;M184),"Open quote"))</f>
        <v/>
      </c>
      <c r="O184" s="64" t="n"/>
      <c r="P184" s="24" t="n"/>
      <c r="Q184" s="24" t="n"/>
    </row>
    <row r="185" ht="15" customHeight="1">
      <c r="A185" s="63">
        <f>IF(C185="","",IFERROR(IF(SUMPRODUCT(MAX((tbl_Finance[Job Number]=C185&amp;"")*(tbl_Finance[Xero Invoice No]&lt;&gt;"")*tbl_Finance[Date]))=0,"",SUMPRODUCT(MAX((tbl_Finance[Job Number]=C185&amp;"")*(tbl_Finance[Xero Invoice No]&lt;&gt;"")*tbl_Finance[Date]))),""))</f>
        <v/>
      </c>
      <c r="B185" s="25">
        <f>IF(C185="","",IF(COUNTIFS(tbl_Finance[Job Number],C185&amp;"",tbl_Finance[Xero Invoice No],"&lt;&gt;")=0,"",IFERROR(IF(COUNTIFS(tbl_Finance[Job Number],C185&amp;"",tbl_Finance[Xero Invoice No],LOOKUP(2,1/((tbl_Finance[Job Number]=C185&amp;"")*(tbl_Finance[Xero Invoice No]&lt;&gt;"")),tbl_Finance[Xero Invoice No]))=COUNTIFS(tbl_Finance[Job Number],C185&amp;"",tbl_Finance[Xero Invoice No],"&lt;&gt;"),LOOKUP(2,1/((tbl_Finance[Job Number]=C185&amp;"")*(tbl_Finance[Xero Invoice No]&lt;&gt;"")),tbl_Finance[Xero Invoice No]),LOOKUP(2,1/((tbl_Finance[Job Number]=C185&amp;"")*(tbl_Finance[Xero Invoice No]&lt;&gt;"")),tbl_Finance[Xero Invoice No])&amp;" +more"),"")))</f>
        <v/>
      </c>
      <c r="C185" s="24" t="n"/>
      <c r="D185" s="25">
        <f>IF(C185="","",IF(COUNTIF(lst_Jobs,C185&amp;"")&gt;0,"OK","CHECK"))</f>
        <v/>
      </c>
      <c r="E185" s="25">
        <f>IF(C185="","",IFERROR(INDEX(lst_JobName,MATCH(C185&amp;"",lst_Jobs,0)),""))</f>
        <v/>
      </c>
      <c r="F185" s="25">
        <f>IF(C185="","",IFERROR(INDEX(tbl_Finance[Client],MATCH(C185&amp;"",tbl_Finance[Job Number],0)),""))</f>
        <v/>
      </c>
      <c r="G185" s="28">
        <f>IF(C185="","",COUNTIFS(tbl_Finance[Job Number],C185&amp;"",tbl_Finance[Ex GST],"&lt;&gt;"))</f>
        <v/>
      </c>
      <c r="H185" s="27">
        <f>IF(C185="","",SUMIFS(tbl_Finance[Ex GST],tbl_Finance[Job Number],C185&amp;""))</f>
        <v/>
      </c>
      <c r="I185" s="27">
        <f>IF(C185="","",SUMIFS(tbl_Finance[Ex GST],tbl_Finance[Job Number],C185&amp;"",tbl_Finance[Xero Invoice No],"&lt;&gt;"))</f>
        <v/>
      </c>
      <c r="J185" s="27">
        <f>IF(C185="","",H185-I185)</f>
        <v/>
      </c>
      <c r="K185" s="25">
        <f>IF(C185="","",IF(G185=0,"not invoiced yet",SUBSTITUTE(TRIM(IF(COUNTIFS(tbl_Finance[Job Number],C185&amp;"",tbl_Finance[Cost Centre],"ONSITE")&gt;0,"ONSITE ","")&amp;IF(COUNTIFS(tbl_Finance[Job Number],C185&amp;"",tbl_Finance[Cost Centre],"PRODUCTION")&gt;0,"PRODUCTION ","")&amp;IF(COUNTIFS(tbl_Finance[Job Number],C185&amp;"",tbl_Finance[Cost Centre],"VIDEO")&gt;0,"VIDEO ","")&amp;IF(COUNTIFS(tbl_Finance[Job Number],C185&amp;"",tbl_Finance[Cost Centre],"INTEGRATION")&gt;0,"INTEGRATION ","")&amp;IF(COUNTIFS(tbl_Finance[Job Number],C185&amp;"",tbl_Finance[Cost Centre],"CONSULTING")&gt;0,"CONSULTING ","")&amp;IF(COUNTIFS(tbl_Finance[Job Number],C185&amp;"",tbl_Finance[Cost Centre],"CTS")&gt;0,"CTS ",""))," ",", ")))</f>
        <v/>
      </c>
      <c r="L185" s="24" t="n"/>
      <c r="M185" s="24" t="n"/>
      <c r="N185" s="25">
        <f>IF(M185="","",HYPERLINK(IF(LEFT(M185,4)="http",M185,set_QwilrBase&amp;M185),"Open quote"))</f>
        <v/>
      </c>
      <c r="O185" s="64" t="n"/>
      <c r="P185" s="24" t="n"/>
      <c r="Q185" s="24" t="n"/>
    </row>
    <row r="186" ht="15" customHeight="1">
      <c r="A186" s="63">
        <f>IF(C186="","",IFERROR(IF(SUMPRODUCT(MAX((tbl_Finance[Job Number]=C186&amp;"")*(tbl_Finance[Xero Invoice No]&lt;&gt;"")*tbl_Finance[Date]))=0,"",SUMPRODUCT(MAX((tbl_Finance[Job Number]=C186&amp;"")*(tbl_Finance[Xero Invoice No]&lt;&gt;"")*tbl_Finance[Date]))),""))</f>
        <v/>
      </c>
      <c r="B186" s="25">
        <f>IF(C186="","",IF(COUNTIFS(tbl_Finance[Job Number],C186&amp;"",tbl_Finance[Xero Invoice No],"&lt;&gt;")=0,"",IFERROR(IF(COUNTIFS(tbl_Finance[Job Number],C186&amp;"",tbl_Finance[Xero Invoice No],LOOKUP(2,1/((tbl_Finance[Job Number]=C186&amp;"")*(tbl_Finance[Xero Invoice No]&lt;&gt;"")),tbl_Finance[Xero Invoice No]))=COUNTIFS(tbl_Finance[Job Number],C186&amp;"",tbl_Finance[Xero Invoice No],"&lt;&gt;"),LOOKUP(2,1/((tbl_Finance[Job Number]=C186&amp;"")*(tbl_Finance[Xero Invoice No]&lt;&gt;"")),tbl_Finance[Xero Invoice No]),LOOKUP(2,1/((tbl_Finance[Job Number]=C186&amp;"")*(tbl_Finance[Xero Invoice No]&lt;&gt;"")),tbl_Finance[Xero Invoice No])&amp;" +more"),"")))</f>
        <v/>
      </c>
      <c r="C186" s="24" t="n"/>
      <c r="D186" s="25">
        <f>IF(C186="","",IF(COUNTIF(lst_Jobs,C186&amp;"")&gt;0,"OK","CHECK"))</f>
        <v/>
      </c>
      <c r="E186" s="25">
        <f>IF(C186="","",IFERROR(INDEX(lst_JobName,MATCH(C186&amp;"",lst_Jobs,0)),""))</f>
        <v/>
      </c>
      <c r="F186" s="25">
        <f>IF(C186="","",IFERROR(INDEX(tbl_Finance[Client],MATCH(C186&amp;"",tbl_Finance[Job Number],0)),""))</f>
        <v/>
      </c>
      <c r="G186" s="28">
        <f>IF(C186="","",COUNTIFS(tbl_Finance[Job Number],C186&amp;"",tbl_Finance[Ex GST],"&lt;&gt;"))</f>
        <v/>
      </c>
      <c r="H186" s="27">
        <f>IF(C186="","",SUMIFS(tbl_Finance[Ex GST],tbl_Finance[Job Number],C186&amp;""))</f>
        <v/>
      </c>
      <c r="I186" s="27">
        <f>IF(C186="","",SUMIFS(tbl_Finance[Ex GST],tbl_Finance[Job Number],C186&amp;"",tbl_Finance[Xero Invoice No],"&lt;&gt;"))</f>
        <v/>
      </c>
      <c r="J186" s="27">
        <f>IF(C186="","",H186-I186)</f>
        <v/>
      </c>
      <c r="K186" s="25">
        <f>IF(C186="","",IF(G186=0,"not invoiced yet",SUBSTITUTE(TRIM(IF(COUNTIFS(tbl_Finance[Job Number],C186&amp;"",tbl_Finance[Cost Centre],"ONSITE")&gt;0,"ONSITE ","")&amp;IF(COUNTIFS(tbl_Finance[Job Number],C186&amp;"",tbl_Finance[Cost Centre],"PRODUCTION")&gt;0,"PRODUCTION ","")&amp;IF(COUNTIFS(tbl_Finance[Job Number],C186&amp;"",tbl_Finance[Cost Centre],"VIDEO")&gt;0,"VIDEO ","")&amp;IF(COUNTIFS(tbl_Finance[Job Number],C186&amp;"",tbl_Finance[Cost Centre],"INTEGRATION")&gt;0,"INTEGRATION ","")&amp;IF(COUNTIFS(tbl_Finance[Job Number],C186&amp;"",tbl_Finance[Cost Centre],"CONSULTING")&gt;0,"CONSULTING ","")&amp;IF(COUNTIFS(tbl_Finance[Job Number],C186&amp;"",tbl_Finance[Cost Centre],"CTS")&gt;0,"CTS ",""))," ",", ")))</f>
        <v/>
      </c>
      <c r="L186" s="24" t="n"/>
      <c r="M186" s="24" t="n"/>
      <c r="N186" s="25">
        <f>IF(M186="","",HYPERLINK(IF(LEFT(M186,4)="http",M186,set_QwilrBase&amp;M186),"Open quote"))</f>
        <v/>
      </c>
      <c r="O186" s="64" t="n"/>
      <c r="P186" s="24" t="n"/>
      <c r="Q186" s="24" t="n"/>
    </row>
    <row r="187" ht="15" customHeight="1">
      <c r="A187" s="63">
        <f>IF(C187="","",IFERROR(IF(SUMPRODUCT(MAX((tbl_Finance[Job Number]=C187&amp;"")*(tbl_Finance[Xero Invoice No]&lt;&gt;"")*tbl_Finance[Date]))=0,"",SUMPRODUCT(MAX((tbl_Finance[Job Number]=C187&amp;"")*(tbl_Finance[Xero Invoice No]&lt;&gt;"")*tbl_Finance[Date]))),""))</f>
        <v/>
      </c>
      <c r="B187" s="25">
        <f>IF(C187="","",IF(COUNTIFS(tbl_Finance[Job Number],C187&amp;"",tbl_Finance[Xero Invoice No],"&lt;&gt;")=0,"",IFERROR(IF(COUNTIFS(tbl_Finance[Job Number],C187&amp;"",tbl_Finance[Xero Invoice No],LOOKUP(2,1/((tbl_Finance[Job Number]=C187&amp;"")*(tbl_Finance[Xero Invoice No]&lt;&gt;"")),tbl_Finance[Xero Invoice No]))=COUNTIFS(tbl_Finance[Job Number],C187&amp;"",tbl_Finance[Xero Invoice No],"&lt;&gt;"),LOOKUP(2,1/((tbl_Finance[Job Number]=C187&amp;"")*(tbl_Finance[Xero Invoice No]&lt;&gt;"")),tbl_Finance[Xero Invoice No]),LOOKUP(2,1/((tbl_Finance[Job Number]=C187&amp;"")*(tbl_Finance[Xero Invoice No]&lt;&gt;"")),tbl_Finance[Xero Invoice No])&amp;" +more"),"")))</f>
        <v/>
      </c>
      <c r="C187" s="24" t="n"/>
      <c r="D187" s="25">
        <f>IF(C187="","",IF(COUNTIF(lst_Jobs,C187&amp;"")&gt;0,"OK","CHECK"))</f>
        <v/>
      </c>
      <c r="E187" s="25">
        <f>IF(C187="","",IFERROR(INDEX(lst_JobName,MATCH(C187&amp;"",lst_Jobs,0)),""))</f>
        <v/>
      </c>
      <c r="F187" s="25">
        <f>IF(C187="","",IFERROR(INDEX(tbl_Finance[Client],MATCH(C187&amp;"",tbl_Finance[Job Number],0)),""))</f>
        <v/>
      </c>
      <c r="G187" s="28">
        <f>IF(C187="","",COUNTIFS(tbl_Finance[Job Number],C187&amp;"",tbl_Finance[Ex GST],"&lt;&gt;"))</f>
        <v/>
      </c>
      <c r="H187" s="27">
        <f>IF(C187="","",SUMIFS(tbl_Finance[Ex GST],tbl_Finance[Job Number],C187&amp;""))</f>
        <v/>
      </c>
      <c r="I187" s="27">
        <f>IF(C187="","",SUMIFS(tbl_Finance[Ex GST],tbl_Finance[Job Number],C187&amp;"",tbl_Finance[Xero Invoice No],"&lt;&gt;"))</f>
        <v/>
      </c>
      <c r="J187" s="27">
        <f>IF(C187="","",H187-I187)</f>
        <v/>
      </c>
      <c r="K187" s="25">
        <f>IF(C187="","",IF(G187=0,"not invoiced yet",SUBSTITUTE(TRIM(IF(COUNTIFS(tbl_Finance[Job Number],C187&amp;"",tbl_Finance[Cost Centre],"ONSITE")&gt;0,"ONSITE ","")&amp;IF(COUNTIFS(tbl_Finance[Job Number],C187&amp;"",tbl_Finance[Cost Centre],"PRODUCTION")&gt;0,"PRODUCTION ","")&amp;IF(COUNTIFS(tbl_Finance[Job Number],C187&amp;"",tbl_Finance[Cost Centre],"VIDEO")&gt;0,"VIDEO ","")&amp;IF(COUNTIFS(tbl_Finance[Job Number],C187&amp;"",tbl_Finance[Cost Centre],"INTEGRATION")&gt;0,"INTEGRATION ","")&amp;IF(COUNTIFS(tbl_Finance[Job Number],C187&amp;"",tbl_Finance[Cost Centre],"CONSULTING")&gt;0,"CONSULTING ","")&amp;IF(COUNTIFS(tbl_Finance[Job Number],C187&amp;"",tbl_Finance[Cost Centre],"CTS")&gt;0,"CTS ",""))," ",", ")))</f>
        <v/>
      </c>
      <c r="L187" s="24" t="n"/>
      <c r="M187" s="24" t="n"/>
      <c r="N187" s="25">
        <f>IF(M187="","",HYPERLINK(IF(LEFT(M187,4)="http",M187,set_QwilrBase&amp;M187),"Open quote"))</f>
        <v/>
      </c>
      <c r="O187" s="64" t="n"/>
      <c r="P187" s="24" t="n"/>
      <c r="Q187" s="24" t="n"/>
    </row>
    <row r="188" ht="15" customHeight="1">
      <c r="A188" s="63">
        <f>IF(C188="","",IFERROR(IF(SUMPRODUCT(MAX((tbl_Finance[Job Number]=C188&amp;"")*(tbl_Finance[Xero Invoice No]&lt;&gt;"")*tbl_Finance[Date]))=0,"",SUMPRODUCT(MAX((tbl_Finance[Job Number]=C188&amp;"")*(tbl_Finance[Xero Invoice No]&lt;&gt;"")*tbl_Finance[Date]))),""))</f>
        <v/>
      </c>
      <c r="B188" s="25">
        <f>IF(C188="","",IF(COUNTIFS(tbl_Finance[Job Number],C188&amp;"",tbl_Finance[Xero Invoice No],"&lt;&gt;")=0,"",IFERROR(IF(COUNTIFS(tbl_Finance[Job Number],C188&amp;"",tbl_Finance[Xero Invoice No],LOOKUP(2,1/((tbl_Finance[Job Number]=C188&amp;"")*(tbl_Finance[Xero Invoice No]&lt;&gt;"")),tbl_Finance[Xero Invoice No]))=COUNTIFS(tbl_Finance[Job Number],C188&amp;"",tbl_Finance[Xero Invoice No],"&lt;&gt;"),LOOKUP(2,1/((tbl_Finance[Job Number]=C188&amp;"")*(tbl_Finance[Xero Invoice No]&lt;&gt;"")),tbl_Finance[Xero Invoice No]),LOOKUP(2,1/((tbl_Finance[Job Number]=C188&amp;"")*(tbl_Finance[Xero Invoice No]&lt;&gt;"")),tbl_Finance[Xero Invoice No])&amp;" +more"),"")))</f>
        <v/>
      </c>
      <c r="C188" s="24" t="n"/>
      <c r="D188" s="25">
        <f>IF(C188="","",IF(COUNTIF(lst_Jobs,C188&amp;"")&gt;0,"OK","CHECK"))</f>
        <v/>
      </c>
      <c r="E188" s="25">
        <f>IF(C188="","",IFERROR(INDEX(lst_JobName,MATCH(C188&amp;"",lst_Jobs,0)),""))</f>
        <v/>
      </c>
      <c r="F188" s="25">
        <f>IF(C188="","",IFERROR(INDEX(tbl_Finance[Client],MATCH(C188&amp;"",tbl_Finance[Job Number],0)),""))</f>
        <v/>
      </c>
      <c r="G188" s="28">
        <f>IF(C188="","",COUNTIFS(tbl_Finance[Job Number],C188&amp;"",tbl_Finance[Ex GST],"&lt;&gt;"))</f>
        <v/>
      </c>
      <c r="H188" s="27">
        <f>IF(C188="","",SUMIFS(tbl_Finance[Ex GST],tbl_Finance[Job Number],C188&amp;""))</f>
        <v/>
      </c>
      <c r="I188" s="27">
        <f>IF(C188="","",SUMIFS(tbl_Finance[Ex GST],tbl_Finance[Job Number],C188&amp;"",tbl_Finance[Xero Invoice No],"&lt;&gt;"))</f>
        <v/>
      </c>
      <c r="J188" s="27">
        <f>IF(C188="","",H188-I188)</f>
        <v/>
      </c>
      <c r="K188" s="25">
        <f>IF(C188="","",IF(G188=0,"not invoiced yet",SUBSTITUTE(TRIM(IF(COUNTIFS(tbl_Finance[Job Number],C188&amp;"",tbl_Finance[Cost Centre],"ONSITE")&gt;0,"ONSITE ","")&amp;IF(COUNTIFS(tbl_Finance[Job Number],C188&amp;"",tbl_Finance[Cost Centre],"PRODUCTION")&gt;0,"PRODUCTION ","")&amp;IF(COUNTIFS(tbl_Finance[Job Number],C188&amp;"",tbl_Finance[Cost Centre],"VIDEO")&gt;0,"VIDEO ","")&amp;IF(COUNTIFS(tbl_Finance[Job Number],C188&amp;"",tbl_Finance[Cost Centre],"INTEGRATION")&gt;0,"INTEGRATION ","")&amp;IF(COUNTIFS(tbl_Finance[Job Number],C188&amp;"",tbl_Finance[Cost Centre],"CONSULTING")&gt;0,"CONSULTING ","")&amp;IF(COUNTIFS(tbl_Finance[Job Number],C188&amp;"",tbl_Finance[Cost Centre],"CTS")&gt;0,"CTS ",""))," ",", ")))</f>
        <v/>
      </c>
      <c r="L188" s="24" t="n"/>
      <c r="M188" s="24" t="n"/>
      <c r="N188" s="25">
        <f>IF(M188="","",HYPERLINK(IF(LEFT(M188,4)="http",M188,set_QwilrBase&amp;M188),"Open quote"))</f>
        <v/>
      </c>
      <c r="O188" s="64" t="n"/>
      <c r="P188" s="24" t="n"/>
      <c r="Q188" s="24" t="n"/>
    </row>
    <row r="189" ht="15" customHeight="1">
      <c r="A189" s="63">
        <f>IF(C189="","",IFERROR(IF(SUMPRODUCT(MAX((tbl_Finance[Job Number]=C189&amp;"")*(tbl_Finance[Xero Invoice No]&lt;&gt;"")*tbl_Finance[Date]))=0,"",SUMPRODUCT(MAX((tbl_Finance[Job Number]=C189&amp;"")*(tbl_Finance[Xero Invoice No]&lt;&gt;"")*tbl_Finance[Date]))),""))</f>
        <v/>
      </c>
      <c r="B189" s="25">
        <f>IF(C189="","",IF(COUNTIFS(tbl_Finance[Job Number],C189&amp;"",tbl_Finance[Xero Invoice No],"&lt;&gt;")=0,"",IFERROR(IF(COUNTIFS(tbl_Finance[Job Number],C189&amp;"",tbl_Finance[Xero Invoice No],LOOKUP(2,1/((tbl_Finance[Job Number]=C189&amp;"")*(tbl_Finance[Xero Invoice No]&lt;&gt;"")),tbl_Finance[Xero Invoice No]))=COUNTIFS(tbl_Finance[Job Number],C189&amp;"",tbl_Finance[Xero Invoice No],"&lt;&gt;"),LOOKUP(2,1/((tbl_Finance[Job Number]=C189&amp;"")*(tbl_Finance[Xero Invoice No]&lt;&gt;"")),tbl_Finance[Xero Invoice No]),LOOKUP(2,1/((tbl_Finance[Job Number]=C189&amp;"")*(tbl_Finance[Xero Invoice No]&lt;&gt;"")),tbl_Finance[Xero Invoice No])&amp;" +more"),"")))</f>
        <v/>
      </c>
      <c r="C189" s="24" t="n"/>
      <c r="D189" s="25">
        <f>IF(C189="","",IF(COUNTIF(lst_Jobs,C189&amp;"")&gt;0,"OK","CHECK"))</f>
        <v/>
      </c>
      <c r="E189" s="25">
        <f>IF(C189="","",IFERROR(INDEX(lst_JobName,MATCH(C189&amp;"",lst_Jobs,0)),""))</f>
        <v/>
      </c>
      <c r="F189" s="25">
        <f>IF(C189="","",IFERROR(INDEX(tbl_Finance[Client],MATCH(C189&amp;"",tbl_Finance[Job Number],0)),""))</f>
        <v/>
      </c>
      <c r="G189" s="28">
        <f>IF(C189="","",COUNTIFS(tbl_Finance[Job Number],C189&amp;"",tbl_Finance[Ex GST],"&lt;&gt;"))</f>
        <v/>
      </c>
      <c r="H189" s="27">
        <f>IF(C189="","",SUMIFS(tbl_Finance[Ex GST],tbl_Finance[Job Number],C189&amp;""))</f>
        <v/>
      </c>
      <c r="I189" s="27">
        <f>IF(C189="","",SUMIFS(tbl_Finance[Ex GST],tbl_Finance[Job Number],C189&amp;"",tbl_Finance[Xero Invoice No],"&lt;&gt;"))</f>
        <v/>
      </c>
      <c r="J189" s="27">
        <f>IF(C189="","",H189-I189)</f>
        <v/>
      </c>
      <c r="K189" s="25">
        <f>IF(C189="","",IF(G189=0,"not invoiced yet",SUBSTITUTE(TRIM(IF(COUNTIFS(tbl_Finance[Job Number],C189&amp;"",tbl_Finance[Cost Centre],"ONSITE")&gt;0,"ONSITE ","")&amp;IF(COUNTIFS(tbl_Finance[Job Number],C189&amp;"",tbl_Finance[Cost Centre],"PRODUCTION")&gt;0,"PRODUCTION ","")&amp;IF(COUNTIFS(tbl_Finance[Job Number],C189&amp;"",tbl_Finance[Cost Centre],"VIDEO")&gt;0,"VIDEO ","")&amp;IF(COUNTIFS(tbl_Finance[Job Number],C189&amp;"",tbl_Finance[Cost Centre],"INTEGRATION")&gt;0,"INTEGRATION ","")&amp;IF(COUNTIFS(tbl_Finance[Job Number],C189&amp;"",tbl_Finance[Cost Centre],"CONSULTING")&gt;0,"CONSULTING ","")&amp;IF(COUNTIFS(tbl_Finance[Job Number],C189&amp;"",tbl_Finance[Cost Centre],"CTS")&gt;0,"CTS ",""))," ",", ")))</f>
        <v/>
      </c>
      <c r="L189" s="24" t="n"/>
      <c r="M189" s="24" t="n"/>
      <c r="N189" s="25">
        <f>IF(M189="","",HYPERLINK(IF(LEFT(M189,4)="http",M189,set_QwilrBase&amp;M189),"Open quote"))</f>
        <v/>
      </c>
      <c r="O189" s="64" t="n"/>
      <c r="P189" s="24" t="n"/>
      <c r="Q189" s="24" t="n"/>
    </row>
    <row r="190" ht="15" customHeight="1">
      <c r="A190" s="63">
        <f>IF(C190="","",IFERROR(IF(SUMPRODUCT(MAX((tbl_Finance[Job Number]=C190&amp;"")*(tbl_Finance[Xero Invoice No]&lt;&gt;"")*tbl_Finance[Date]))=0,"",SUMPRODUCT(MAX((tbl_Finance[Job Number]=C190&amp;"")*(tbl_Finance[Xero Invoice No]&lt;&gt;"")*tbl_Finance[Date]))),""))</f>
        <v/>
      </c>
      <c r="B190" s="25">
        <f>IF(C190="","",IF(COUNTIFS(tbl_Finance[Job Number],C190&amp;"",tbl_Finance[Xero Invoice No],"&lt;&gt;")=0,"",IFERROR(IF(COUNTIFS(tbl_Finance[Job Number],C190&amp;"",tbl_Finance[Xero Invoice No],LOOKUP(2,1/((tbl_Finance[Job Number]=C190&amp;"")*(tbl_Finance[Xero Invoice No]&lt;&gt;"")),tbl_Finance[Xero Invoice No]))=COUNTIFS(tbl_Finance[Job Number],C190&amp;"",tbl_Finance[Xero Invoice No],"&lt;&gt;"),LOOKUP(2,1/((tbl_Finance[Job Number]=C190&amp;"")*(tbl_Finance[Xero Invoice No]&lt;&gt;"")),tbl_Finance[Xero Invoice No]),LOOKUP(2,1/((tbl_Finance[Job Number]=C190&amp;"")*(tbl_Finance[Xero Invoice No]&lt;&gt;"")),tbl_Finance[Xero Invoice No])&amp;" +more"),"")))</f>
        <v/>
      </c>
      <c r="C190" s="24" t="n"/>
      <c r="D190" s="25">
        <f>IF(C190="","",IF(COUNTIF(lst_Jobs,C190&amp;"")&gt;0,"OK","CHECK"))</f>
        <v/>
      </c>
      <c r="E190" s="25">
        <f>IF(C190="","",IFERROR(INDEX(lst_JobName,MATCH(C190&amp;"",lst_Jobs,0)),""))</f>
        <v/>
      </c>
      <c r="F190" s="25">
        <f>IF(C190="","",IFERROR(INDEX(tbl_Finance[Client],MATCH(C190&amp;"",tbl_Finance[Job Number],0)),""))</f>
        <v/>
      </c>
      <c r="G190" s="28">
        <f>IF(C190="","",COUNTIFS(tbl_Finance[Job Number],C190&amp;"",tbl_Finance[Ex GST],"&lt;&gt;"))</f>
        <v/>
      </c>
      <c r="H190" s="27">
        <f>IF(C190="","",SUMIFS(tbl_Finance[Ex GST],tbl_Finance[Job Number],C190&amp;""))</f>
        <v/>
      </c>
      <c r="I190" s="27">
        <f>IF(C190="","",SUMIFS(tbl_Finance[Ex GST],tbl_Finance[Job Number],C190&amp;"",tbl_Finance[Xero Invoice No],"&lt;&gt;"))</f>
        <v/>
      </c>
      <c r="J190" s="27">
        <f>IF(C190="","",H190-I190)</f>
        <v/>
      </c>
      <c r="K190" s="25">
        <f>IF(C190="","",IF(G190=0,"not invoiced yet",SUBSTITUTE(TRIM(IF(COUNTIFS(tbl_Finance[Job Number],C190&amp;"",tbl_Finance[Cost Centre],"ONSITE")&gt;0,"ONSITE ","")&amp;IF(COUNTIFS(tbl_Finance[Job Number],C190&amp;"",tbl_Finance[Cost Centre],"PRODUCTION")&gt;0,"PRODUCTION ","")&amp;IF(COUNTIFS(tbl_Finance[Job Number],C190&amp;"",tbl_Finance[Cost Centre],"VIDEO")&gt;0,"VIDEO ","")&amp;IF(COUNTIFS(tbl_Finance[Job Number],C190&amp;"",tbl_Finance[Cost Centre],"INTEGRATION")&gt;0,"INTEGRATION ","")&amp;IF(COUNTIFS(tbl_Finance[Job Number],C190&amp;"",tbl_Finance[Cost Centre],"CONSULTING")&gt;0,"CONSULTING ","")&amp;IF(COUNTIFS(tbl_Finance[Job Number],C190&amp;"",tbl_Finance[Cost Centre],"CTS")&gt;0,"CTS ",""))," ",", ")))</f>
        <v/>
      </c>
      <c r="L190" s="24" t="n"/>
      <c r="M190" s="24" t="n"/>
      <c r="N190" s="25">
        <f>IF(M190="","",HYPERLINK(IF(LEFT(M190,4)="http",M190,set_QwilrBase&amp;M190),"Open quote"))</f>
        <v/>
      </c>
      <c r="O190" s="64" t="n"/>
      <c r="P190" s="24" t="n"/>
      <c r="Q190" s="24" t="n"/>
    </row>
    <row r="191" ht="15" customHeight="1">
      <c r="A191" s="63">
        <f>IF(C191="","",IFERROR(IF(SUMPRODUCT(MAX((tbl_Finance[Job Number]=C191&amp;"")*(tbl_Finance[Xero Invoice No]&lt;&gt;"")*tbl_Finance[Date]))=0,"",SUMPRODUCT(MAX((tbl_Finance[Job Number]=C191&amp;"")*(tbl_Finance[Xero Invoice No]&lt;&gt;"")*tbl_Finance[Date]))),""))</f>
        <v/>
      </c>
      <c r="B191" s="25">
        <f>IF(C191="","",IF(COUNTIFS(tbl_Finance[Job Number],C191&amp;"",tbl_Finance[Xero Invoice No],"&lt;&gt;")=0,"",IFERROR(IF(COUNTIFS(tbl_Finance[Job Number],C191&amp;"",tbl_Finance[Xero Invoice No],LOOKUP(2,1/((tbl_Finance[Job Number]=C191&amp;"")*(tbl_Finance[Xero Invoice No]&lt;&gt;"")),tbl_Finance[Xero Invoice No]))=COUNTIFS(tbl_Finance[Job Number],C191&amp;"",tbl_Finance[Xero Invoice No],"&lt;&gt;"),LOOKUP(2,1/((tbl_Finance[Job Number]=C191&amp;"")*(tbl_Finance[Xero Invoice No]&lt;&gt;"")),tbl_Finance[Xero Invoice No]),LOOKUP(2,1/((tbl_Finance[Job Number]=C191&amp;"")*(tbl_Finance[Xero Invoice No]&lt;&gt;"")),tbl_Finance[Xero Invoice No])&amp;" +more"),"")))</f>
        <v/>
      </c>
      <c r="C191" s="24" t="n"/>
      <c r="D191" s="25">
        <f>IF(C191="","",IF(COUNTIF(lst_Jobs,C191&amp;"")&gt;0,"OK","CHECK"))</f>
        <v/>
      </c>
      <c r="E191" s="25">
        <f>IF(C191="","",IFERROR(INDEX(lst_JobName,MATCH(C191&amp;"",lst_Jobs,0)),""))</f>
        <v/>
      </c>
      <c r="F191" s="25">
        <f>IF(C191="","",IFERROR(INDEX(tbl_Finance[Client],MATCH(C191&amp;"",tbl_Finance[Job Number],0)),""))</f>
        <v/>
      </c>
      <c r="G191" s="28">
        <f>IF(C191="","",COUNTIFS(tbl_Finance[Job Number],C191&amp;"",tbl_Finance[Ex GST],"&lt;&gt;"))</f>
        <v/>
      </c>
      <c r="H191" s="27">
        <f>IF(C191="","",SUMIFS(tbl_Finance[Ex GST],tbl_Finance[Job Number],C191&amp;""))</f>
        <v/>
      </c>
      <c r="I191" s="27">
        <f>IF(C191="","",SUMIFS(tbl_Finance[Ex GST],tbl_Finance[Job Number],C191&amp;"",tbl_Finance[Xero Invoice No],"&lt;&gt;"))</f>
        <v/>
      </c>
      <c r="J191" s="27">
        <f>IF(C191="","",H191-I191)</f>
        <v/>
      </c>
      <c r="K191" s="25">
        <f>IF(C191="","",IF(G191=0,"not invoiced yet",SUBSTITUTE(TRIM(IF(COUNTIFS(tbl_Finance[Job Number],C191&amp;"",tbl_Finance[Cost Centre],"ONSITE")&gt;0,"ONSITE ","")&amp;IF(COUNTIFS(tbl_Finance[Job Number],C191&amp;"",tbl_Finance[Cost Centre],"PRODUCTION")&gt;0,"PRODUCTION ","")&amp;IF(COUNTIFS(tbl_Finance[Job Number],C191&amp;"",tbl_Finance[Cost Centre],"VIDEO")&gt;0,"VIDEO ","")&amp;IF(COUNTIFS(tbl_Finance[Job Number],C191&amp;"",tbl_Finance[Cost Centre],"INTEGRATION")&gt;0,"INTEGRATION ","")&amp;IF(COUNTIFS(tbl_Finance[Job Number],C191&amp;"",tbl_Finance[Cost Centre],"CONSULTING")&gt;0,"CONSULTING ","")&amp;IF(COUNTIFS(tbl_Finance[Job Number],C191&amp;"",tbl_Finance[Cost Centre],"CTS")&gt;0,"CTS ",""))," ",", ")))</f>
        <v/>
      </c>
      <c r="L191" s="24" t="n"/>
      <c r="M191" s="24" t="n"/>
      <c r="N191" s="25">
        <f>IF(M191="","",HYPERLINK(IF(LEFT(M191,4)="http",M191,set_QwilrBase&amp;M191),"Open quote"))</f>
        <v/>
      </c>
      <c r="O191" s="64" t="n"/>
      <c r="P191" s="24" t="n"/>
      <c r="Q191" s="24" t="n"/>
    </row>
    <row r="192" ht="15" customHeight="1">
      <c r="A192" s="63">
        <f>IF(C192="","",IFERROR(IF(SUMPRODUCT(MAX((tbl_Finance[Job Number]=C192&amp;"")*(tbl_Finance[Xero Invoice No]&lt;&gt;"")*tbl_Finance[Date]))=0,"",SUMPRODUCT(MAX((tbl_Finance[Job Number]=C192&amp;"")*(tbl_Finance[Xero Invoice No]&lt;&gt;"")*tbl_Finance[Date]))),""))</f>
        <v/>
      </c>
      <c r="B192" s="25">
        <f>IF(C192="","",IF(COUNTIFS(tbl_Finance[Job Number],C192&amp;"",tbl_Finance[Xero Invoice No],"&lt;&gt;")=0,"",IFERROR(IF(COUNTIFS(tbl_Finance[Job Number],C192&amp;"",tbl_Finance[Xero Invoice No],LOOKUP(2,1/((tbl_Finance[Job Number]=C192&amp;"")*(tbl_Finance[Xero Invoice No]&lt;&gt;"")),tbl_Finance[Xero Invoice No]))=COUNTIFS(tbl_Finance[Job Number],C192&amp;"",tbl_Finance[Xero Invoice No],"&lt;&gt;"),LOOKUP(2,1/((tbl_Finance[Job Number]=C192&amp;"")*(tbl_Finance[Xero Invoice No]&lt;&gt;"")),tbl_Finance[Xero Invoice No]),LOOKUP(2,1/((tbl_Finance[Job Number]=C192&amp;"")*(tbl_Finance[Xero Invoice No]&lt;&gt;"")),tbl_Finance[Xero Invoice No])&amp;" +more"),"")))</f>
        <v/>
      </c>
      <c r="C192" s="24" t="n"/>
      <c r="D192" s="25">
        <f>IF(C192="","",IF(COUNTIF(lst_Jobs,C192&amp;"")&gt;0,"OK","CHECK"))</f>
        <v/>
      </c>
      <c r="E192" s="25">
        <f>IF(C192="","",IFERROR(INDEX(lst_JobName,MATCH(C192&amp;"",lst_Jobs,0)),""))</f>
        <v/>
      </c>
      <c r="F192" s="25">
        <f>IF(C192="","",IFERROR(INDEX(tbl_Finance[Client],MATCH(C192&amp;"",tbl_Finance[Job Number],0)),""))</f>
        <v/>
      </c>
      <c r="G192" s="28">
        <f>IF(C192="","",COUNTIFS(tbl_Finance[Job Number],C192&amp;"",tbl_Finance[Ex GST],"&lt;&gt;"))</f>
        <v/>
      </c>
      <c r="H192" s="27">
        <f>IF(C192="","",SUMIFS(tbl_Finance[Ex GST],tbl_Finance[Job Number],C192&amp;""))</f>
        <v/>
      </c>
      <c r="I192" s="27">
        <f>IF(C192="","",SUMIFS(tbl_Finance[Ex GST],tbl_Finance[Job Number],C192&amp;"",tbl_Finance[Xero Invoice No],"&lt;&gt;"))</f>
        <v/>
      </c>
      <c r="J192" s="27">
        <f>IF(C192="","",H192-I192)</f>
        <v/>
      </c>
      <c r="K192" s="25">
        <f>IF(C192="","",IF(G192=0,"not invoiced yet",SUBSTITUTE(TRIM(IF(COUNTIFS(tbl_Finance[Job Number],C192&amp;"",tbl_Finance[Cost Centre],"ONSITE")&gt;0,"ONSITE ","")&amp;IF(COUNTIFS(tbl_Finance[Job Number],C192&amp;"",tbl_Finance[Cost Centre],"PRODUCTION")&gt;0,"PRODUCTION ","")&amp;IF(COUNTIFS(tbl_Finance[Job Number],C192&amp;"",tbl_Finance[Cost Centre],"VIDEO")&gt;0,"VIDEO ","")&amp;IF(COUNTIFS(tbl_Finance[Job Number],C192&amp;"",tbl_Finance[Cost Centre],"INTEGRATION")&gt;0,"INTEGRATION ","")&amp;IF(COUNTIFS(tbl_Finance[Job Number],C192&amp;"",tbl_Finance[Cost Centre],"CONSULTING")&gt;0,"CONSULTING ","")&amp;IF(COUNTIFS(tbl_Finance[Job Number],C192&amp;"",tbl_Finance[Cost Centre],"CTS")&gt;0,"CTS ",""))," ",", ")))</f>
        <v/>
      </c>
      <c r="L192" s="24" t="n"/>
      <c r="M192" s="24" t="n"/>
      <c r="N192" s="25">
        <f>IF(M192="","",HYPERLINK(IF(LEFT(M192,4)="http",M192,set_QwilrBase&amp;M192),"Open quote"))</f>
        <v/>
      </c>
      <c r="O192" s="64" t="n"/>
      <c r="P192" s="24" t="n"/>
      <c r="Q192" s="24" t="n"/>
    </row>
    <row r="193" ht="15" customHeight="1">
      <c r="A193" s="63">
        <f>IF(C193="","",IFERROR(IF(SUMPRODUCT(MAX((tbl_Finance[Job Number]=C193&amp;"")*(tbl_Finance[Xero Invoice No]&lt;&gt;"")*tbl_Finance[Date]))=0,"",SUMPRODUCT(MAX((tbl_Finance[Job Number]=C193&amp;"")*(tbl_Finance[Xero Invoice No]&lt;&gt;"")*tbl_Finance[Date]))),""))</f>
        <v/>
      </c>
      <c r="B193" s="25">
        <f>IF(C193="","",IF(COUNTIFS(tbl_Finance[Job Number],C193&amp;"",tbl_Finance[Xero Invoice No],"&lt;&gt;")=0,"",IFERROR(IF(COUNTIFS(tbl_Finance[Job Number],C193&amp;"",tbl_Finance[Xero Invoice No],LOOKUP(2,1/((tbl_Finance[Job Number]=C193&amp;"")*(tbl_Finance[Xero Invoice No]&lt;&gt;"")),tbl_Finance[Xero Invoice No]))=COUNTIFS(tbl_Finance[Job Number],C193&amp;"",tbl_Finance[Xero Invoice No],"&lt;&gt;"),LOOKUP(2,1/((tbl_Finance[Job Number]=C193&amp;"")*(tbl_Finance[Xero Invoice No]&lt;&gt;"")),tbl_Finance[Xero Invoice No]),LOOKUP(2,1/((tbl_Finance[Job Number]=C193&amp;"")*(tbl_Finance[Xero Invoice No]&lt;&gt;"")),tbl_Finance[Xero Invoice No])&amp;" +more"),"")))</f>
        <v/>
      </c>
      <c r="C193" s="24" t="n"/>
      <c r="D193" s="25">
        <f>IF(C193="","",IF(COUNTIF(lst_Jobs,C193&amp;"")&gt;0,"OK","CHECK"))</f>
        <v/>
      </c>
      <c r="E193" s="25">
        <f>IF(C193="","",IFERROR(INDEX(lst_JobName,MATCH(C193&amp;"",lst_Jobs,0)),""))</f>
        <v/>
      </c>
      <c r="F193" s="25">
        <f>IF(C193="","",IFERROR(INDEX(tbl_Finance[Client],MATCH(C193&amp;"",tbl_Finance[Job Number],0)),""))</f>
        <v/>
      </c>
      <c r="G193" s="28">
        <f>IF(C193="","",COUNTIFS(tbl_Finance[Job Number],C193&amp;"",tbl_Finance[Ex GST],"&lt;&gt;"))</f>
        <v/>
      </c>
      <c r="H193" s="27">
        <f>IF(C193="","",SUMIFS(tbl_Finance[Ex GST],tbl_Finance[Job Number],C193&amp;""))</f>
        <v/>
      </c>
      <c r="I193" s="27">
        <f>IF(C193="","",SUMIFS(tbl_Finance[Ex GST],tbl_Finance[Job Number],C193&amp;"",tbl_Finance[Xero Invoice No],"&lt;&gt;"))</f>
        <v/>
      </c>
      <c r="J193" s="27">
        <f>IF(C193="","",H193-I193)</f>
        <v/>
      </c>
      <c r="K193" s="25">
        <f>IF(C193="","",IF(G193=0,"not invoiced yet",SUBSTITUTE(TRIM(IF(COUNTIFS(tbl_Finance[Job Number],C193&amp;"",tbl_Finance[Cost Centre],"ONSITE")&gt;0,"ONSITE ","")&amp;IF(COUNTIFS(tbl_Finance[Job Number],C193&amp;"",tbl_Finance[Cost Centre],"PRODUCTION")&gt;0,"PRODUCTION ","")&amp;IF(COUNTIFS(tbl_Finance[Job Number],C193&amp;"",tbl_Finance[Cost Centre],"VIDEO")&gt;0,"VIDEO ","")&amp;IF(COUNTIFS(tbl_Finance[Job Number],C193&amp;"",tbl_Finance[Cost Centre],"INTEGRATION")&gt;0,"INTEGRATION ","")&amp;IF(COUNTIFS(tbl_Finance[Job Number],C193&amp;"",tbl_Finance[Cost Centre],"CONSULTING")&gt;0,"CONSULTING ","")&amp;IF(COUNTIFS(tbl_Finance[Job Number],C193&amp;"",tbl_Finance[Cost Centre],"CTS")&gt;0,"CTS ",""))," ",", ")))</f>
        <v/>
      </c>
      <c r="L193" s="24" t="n"/>
      <c r="M193" s="24" t="n"/>
      <c r="N193" s="25">
        <f>IF(M193="","",HYPERLINK(IF(LEFT(M193,4)="http",M193,set_QwilrBase&amp;M193),"Open quote"))</f>
        <v/>
      </c>
      <c r="O193" s="64" t="n"/>
      <c r="P193" s="24" t="n"/>
      <c r="Q193" s="24" t="n"/>
    </row>
    <row r="194" ht="15" customHeight="1">
      <c r="A194" s="63">
        <f>IF(C194="","",IFERROR(IF(SUMPRODUCT(MAX((tbl_Finance[Job Number]=C194&amp;"")*(tbl_Finance[Xero Invoice No]&lt;&gt;"")*tbl_Finance[Date]))=0,"",SUMPRODUCT(MAX((tbl_Finance[Job Number]=C194&amp;"")*(tbl_Finance[Xero Invoice No]&lt;&gt;"")*tbl_Finance[Date]))),""))</f>
        <v/>
      </c>
      <c r="B194" s="25">
        <f>IF(C194="","",IF(COUNTIFS(tbl_Finance[Job Number],C194&amp;"",tbl_Finance[Xero Invoice No],"&lt;&gt;")=0,"",IFERROR(IF(COUNTIFS(tbl_Finance[Job Number],C194&amp;"",tbl_Finance[Xero Invoice No],LOOKUP(2,1/((tbl_Finance[Job Number]=C194&amp;"")*(tbl_Finance[Xero Invoice No]&lt;&gt;"")),tbl_Finance[Xero Invoice No]))=COUNTIFS(tbl_Finance[Job Number],C194&amp;"",tbl_Finance[Xero Invoice No],"&lt;&gt;"),LOOKUP(2,1/((tbl_Finance[Job Number]=C194&amp;"")*(tbl_Finance[Xero Invoice No]&lt;&gt;"")),tbl_Finance[Xero Invoice No]),LOOKUP(2,1/((tbl_Finance[Job Number]=C194&amp;"")*(tbl_Finance[Xero Invoice No]&lt;&gt;"")),tbl_Finance[Xero Invoice No])&amp;" +more"),"")))</f>
        <v/>
      </c>
      <c r="C194" s="24" t="n"/>
      <c r="D194" s="25">
        <f>IF(C194="","",IF(COUNTIF(lst_Jobs,C194&amp;"")&gt;0,"OK","CHECK"))</f>
        <v/>
      </c>
      <c r="E194" s="25">
        <f>IF(C194="","",IFERROR(INDEX(lst_JobName,MATCH(C194&amp;"",lst_Jobs,0)),""))</f>
        <v/>
      </c>
      <c r="F194" s="25">
        <f>IF(C194="","",IFERROR(INDEX(tbl_Finance[Client],MATCH(C194&amp;"",tbl_Finance[Job Number],0)),""))</f>
        <v/>
      </c>
      <c r="G194" s="28">
        <f>IF(C194="","",COUNTIFS(tbl_Finance[Job Number],C194&amp;"",tbl_Finance[Ex GST],"&lt;&gt;"))</f>
        <v/>
      </c>
      <c r="H194" s="27">
        <f>IF(C194="","",SUMIFS(tbl_Finance[Ex GST],tbl_Finance[Job Number],C194&amp;""))</f>
        <v/>
      </c>
      <c r="I194" s="27">
        <f>IF(C194="","",SUMIFS(tbl_Finance[Ex GST],tbl_Finance[Job Number],C194&amp;"",tbl_Finance[Xero Invoice No],"&lt;&gt;"))</f>
        <v/>
      </c>
      <c r="J194" s="27">
        <f>IF(C194="","",H194-I194)</f>
        <v/>
      </c>
      <c r="K194" s="25">
        <f>IF(C194="","",IF(G194=0,"not invoiced yet",SUBSTITUTE(TRIM(IF(COUNTIFS(tbl_Finance[Job Number],C194&amp;"",tbl_Finance[Cost Centre],"ONSITE")&gt;0,"ONSITE ","")&amp;IF(COUNTIFS(tbl_Finance[Job Number],C194&amp;"",tbl_Finance[Cost Centre],"PRODUCTION")&gt;0,"PRODUCTION ","")&amp;IF(COUNTIFS(tbl_Finance[Job Number],C194&amp;"",tbl_Finance[Cost Centre],"VIDEO")&gt;0,"VIDEO ","")&amp;IF(COUNTIFS(tbl_Finance[Job Number],C194&amp;"",tbl_Finance[Cost Centre],"INTEGRATION")&gt;0,"INTEGRATION ","")&amp;IF(COUNTIFS(tbl_Finance[Job Number],C194&amp;"",tbl_Finance[Cost Centre],"CONSULTING")&gt;0,"CONSULTING ","")&amp;IF(COUNTIFS(tbl_Finance[Job Number],C194&amp;"",tbl_Finance[Cost Centre],"CTS")&gt;0,"CTS ",""))," ",", ")))</f>
        <v/>
      </c>
      <c r="L194" s="24" t="n"/>
      <c r="M194" s="24" t="n"/>
      <c r="N194" s="25">
        <f>IF(M194="","",HYPERLINK(IF(LEFT(M194,4)="http",M194,set_QwilrBase&amp;M194),"Open quote"))</f>
        <v/>
      </c>
      <c r="O194" s="64" t="n"/>
      <c r="P194" s="24" t="n"/>
      <c r="Q194" s="24" t="n"/>
    </row>
    <row r="195" ht="15" customHeight="1">
      <c r="A195" s="63">
        <f>IF(C195="","",IFERROR(IF(SUMPRODUCT(MAX((tbl_Finance[Job Number]=C195&amp;"")*(tbl_Finance[Xero Invoice No]&lt;&gt;"")*tbl_Finance[Date]))=0,"",SUMPRODUCT(MAX((tbl_Finance[Job Number]=C195&amp;"")*(tbl_Finance[Xero Invoice No]&lt;&gt;"")*tbl_Finance[Date]))),""))</f>
        <v/>
      </c>
      <c r="B195" s="25">
        <f>IF(C195="","",IF(COUNTIFS(tbl_Finance[Job Number],C195&amp;"",tbl_Finance[Xero Invoice No],"&lt;&gt;")=0,"",IFERROR(IF(COUNTIFS(tbl_Finance[Job Number],C195&amp;"",tbl_Finance[Xero Invoice No],LOOKUP(2,1/((tbl_Finance[Job Number]=C195&amp;"")*(tbl_Finance[Xero Invoice No]&lt;&gt;"")),tbl_Finance[Xero Invoice No]))=COUNTIFS(tbl_Finance[Job Number],C195&amp;"",tbl_Finance[Xero Invoice No],"&lt;&gt;"),LOOKUP(2,1/((tbl_Finance[Job Number]=C195&amp;"")*(tbl_Finance[Xero Invoice No]&lt;&gt;"")),tbl_Finance[Xero Invoice No]),LOOKUP(2,1/((tbl_Finance[Job Number]=C195&amp;"")*(tbl_Finance[Xero Invoice No]&lt;&gt;"")),tbl_Finance[Xero Invoice No])&amp;" +more"),"")))</f>
        <v/>
      </c>
      <c r="C195" s="24" t="n"/>
      <c r="D195" s="25">
        <f>IF(C195="","",IF(COUNTIF(lst_Jobs,C195&amp;"")&gt;0,"OK","CHECK"))</f>
        <v/>
      </c>
      <c r="E195" s="25">
        <f>IF(C195="","",IFERROR(INDEX(lst_JobName,MATCH(C195&amp;"",lst_Jobs,0)),""))</f>
        <v/>
      </c>
      <c r="F195" s="25">
        <f>IF(C195="","",IFERROR(INDEX(tbl_Finance[Client],MATCH(C195&amp;"",tbl_Finance[Job Number],0)),""))</f>
        <v/>
      </c>
      <c r="G195" s="28">
        <f>IF(C195="","",COUNTIFS(tbl_Finance[Job Number],C195&amp;"",tbl_Finance[Ex GST],"&lt;&gt;"))</f>
        <v/>
      </c>
      <c r="H195" s="27">
        <f>IF(C195="","",SUMIFS(tbl_Finance[Ex GST],tbl_Finance[Job Number],C195&amp;""))</f>
        <v/>
      </c>
      <c r="I195" s="27">
        <f>IF(C195="","",SUMIFS(tbl_Finance[Ex GST],tbl_Finance[Job Number],C195&amp;"",tbl_Finance[Xero Invoice No],"&lt;&gt;"))</f>
        <v/>
      </c>
      <c r="J195" s="27">
        <f>IF(C195="","",H195-I195)</f>
        <v/>
      </c>
      <c r="K195" s="25">
        <f>IF(C195="","",IF(G195=0,"not invoiced yet",SUBSTITUTE(TRIM(IF(COUNTIFS(tbl_Finance[Job Number],C195&amp;"",tbl_Finance[Cost Centre],"ONSITE")&gt;0,"ONSITE ","")&amp;IF(COUNTIFS(tbl_Finance[Job Number],C195&amp;"",tbl_Finance[Cost Centre],"PRODUCTION")&gt;0,"PRODUCTION ","")&amp;IF(COUNTIFS(tbl_Finance[Job Number],C195&amp;"",tbl_Finance[Cost Centre],"VIDEO")&gt;0,"VIDEO ","")&amp;IF(COUNTIFS(tbl_Finance[Job Number],C195&amp;"",tbl_Finance[Cost Centre],"INTEGRATION")&gt;0,"INTEGRATION ","")&amp;IF(COUNTIFS(tbl_Finance[Job Number],C195&amp;"",tbl_Finance[Cost Centre],"CONSULTING")&gt;0,"CONSULTING ","")&amp;IF(COUNTIFS(tbl_Finance[Job Number],C195&amp;"",tbl_Finance[Cost Centre],"CTS")&gt;0,"CTS ",""))," ",", ")))</f>
        <v/>
      </c>
      <c r="L195" s="24" t="n"/>
      <c r="M195" s="24" t="n"/>
      <c r="N195" s="25">
        <f>IF(M195="","",HYPERLINK(IF(LEFT(M195,4)="http",M195,set_QwilrBase&amp;M195),"Open quote"))</f>
        <v/>
      </c>
      <c r="O195" s="64" t="n"/>
      <c r="P195" s="24" t="n"/>
      <c r="Q195" s="24" t="n"/>
    </row>
    <row r="196" ht="15" customHeight="1">
      <c r="A196" s="63">
        <f>IF(C196="","",IFERROR(IF(SUMPRODUCT(MAX((tbl_Finance[Job Number]=C196&amp;"")*(tbl_Finance[Xero Invoice No]&lt;&gt;"")*tbl_Finance[Date]))=0,"",SUMPRODUCT(MAX((tbl_Finance[Job Number]=C196&amp;"")*(tbl_Finance[Xero Invoice No]&lt;&gt;"")*tbl_Finance[Date]))),""))</f>
        <v/>
      </c>
      <c r="B196" s="25">
        <f>IF(C196="","",IF(COUNTIFS(tbl_Finance[Job Number],C196&amp;"",tbl_Finance[Xero Invoice No],"&lt;&gt;")=0,"",IFERROR(IF(COUNTIFS(tbl_Finance[Job Number],C196&amp;"",tbl_Finance[Xero Invoice No],LOOKUP(2,1/((tbl_Finance[Job Number]=C196&amp;"")*(tbl_Finance[Xero Invoice No]&lt;&gt;"")),tbl_Finance[Xero Invoice No]))=COUNTIFS(tbl_Finance[Job Number],C196&amp;"",tbl_Finance[Xero Invoice No],"&lt;&gt;"),LOOKUP(2,1/((tbl_Finance[Job Number]=C196&amp;"")*(tbl_Finance[Xero Invoice No]&lt;&gt;"")),tbl_Finance[Xero Invoice No]),LOOKUP(2,1/((tbl_Finance[Job Number]=C196&amp;"")*(tbl_Finance[Xero Invoice No]&lt;&gt;"")),tbl_Finance[Xero Invoice No])&amp;" +more"),"")))</f>
        <v/>
      </c>
      <c r="C196" s="24" t="n"/>
      <c r="D196" s="25">
        <f>IF(C196="","",IF(COUNTIF(lst_Jobs,C196&amp;"")&gt;0,"OK","CHECK"))</f>
        <v/>
      </c>
      <c r="E196" s="25">
        <f>IF(C196="","",IFERROR(INDEX(lst_JobName,MATCH(C196&amp;"",lst_Jobs,0)),""))</f>
        <v/>
      </c>
      <c r="F196" s="25">
        <f>IF(C196="","",IFERROR(INDEX(tbl_Finance[Client],MATCH(C196&amp;"",tbl_Finance[Job Number],0)),""))</f>
        <v/>
      </c>
      <c r="G196" s="28">
        <f>IF(C196="","",COUNTIFS(tbl_Finance[Job Number],C196&amp;"",tbl_Finance[Ex GST],"&lt;&gt;"))</f>
        <v/>
      </c>
      <c r="H196" s="27">
        <f>IF(C196="","",SUMIFS(tbl_Finance[Ex GST],tbl_Finance[Job Number],C196&amp;""))</f>
        <v/>
      </c>
      <c r="I196" s="27">
        <f>IF(C196="","",SUMIFS(tbl_Finance[Ex GST],tbl_Finance[Job Number],C196&amp;"",tbl_Finance[Xero Invoice No],"&lt;&gt;"))</f>
        <v/>
      </c>
      <c r="J196" s="27">
        <f>IF(C196="","",H196-I196)</f>
        <v/>
      </c>
      <c r="K196" s="25">
        <f>IF(C196="","",IF(G196=0,"not invoiced yet",SUBSTITUTE(TRIM(IF(COUNTIFS(tbl_Finance[Job Number],C196&amp;"",tbl_Finance[Cost Centre],"ONSITE")&gt;0,"ONSITE ","")&amp;IF(COUNTIFS(tbl_Finance[Job Number],C196&amp;"",tbl_Finance[Cost Centre],"PRODUCTION")&gt;0,"PRODUCTION ","")&amp;IF(COUNTIFS(tbl_Finance[Job Number],C196&amp;"",tbl_Finance[Cost Centre],"VIDEO")&gt;0,"VIDEO ","")&amp;IF(COUNTIFS(tbl_Finance[Job Number],C196&amp;"",tbl_Finance[Cost Centre],"INTEGRATION")&gt;0,"INTEGRATION ","")&amp;IF(COUNTIFS(tbl_Finance[Job Number],C196&amp;"",tbl_Finance[Cost Centre],"CONSULTING")&gt;0,"CONSULTING ","")&amp;IF(COUNTIFS(tbl_Finance[Job Number],C196&amp;"",tbl_Finance[Cost Centre],"CTS")&gt;0,"CTS ",""))," ",", ")))</f>
        <v/>
      </c>
      <c r="L196" s="24" t="n"/>
      <c r="M196" s="24" t="n"/>
      <c r="N196" s="25">
        <f>IF(M196="","",HYPERLINK(IF(LEFT(M196,4)="http",M196,set_QwilrBase&amp;M196),"Open quote"))</f>
        <v/>
      </c>
      <c r="O196" s="64" t="n"/>
      <c r="P196" s="24" t="n"/>
      <c r="Q196" s="24" t="n"/>
    </row>
    <row r="197" ht="15" customHeight="1">
      <c r="A197" s="63">
        <f>IF(C197="","",IFERROR(IF(SUMPRODUCT(MAX((tbl_Finance[Job Number]=C197&amp;"")*(tbl_Finance[Xero Invoice No]&lt;&gt;"")*tbl_Finance[Date]))=0,"",SUMPRODUCT(MAX((tbl_Finance[Job Number]=C197&amp;"")*(tbl_Finance[Xero Invoice No]&lt;&gt;"")*tbl_Finance[Date]))),""))</f>
        <v/>
      </c>
      <c r="B197" s="25">
        <f>IF(C197="","",IF(COUNTIFS(tbl_Finance[Job Number],C197&amp;"",tbl_Finance[Xero Invoice No],"&lt;&gt;")=0,"",IFERROR(IF(COUNTIFS(tbl_Finance[Job Number],C197&amp;"",tbl_Finance[Xero Invoice No],LOOKUP(2,1/((tbl_Finance[Job Number]=C197&amp;"")*(tbl_Finance[Xero Invoice No]&lt;&gt;"")),tbl_Finance[Xero Invoice No]))=COUNTIFS(tbl_Finance[Job Number],C197&amp;"",tbl_Finance[Xero Invoice No],"&lt;&gt;"),LOOKUP(2,1/((tbl_Finance[Job Number]=C197&amp;"")*(tbl_Finance[Xero Invoice No]&lt;&gt;"")),tbl_Finance[Xero Invoice No]),LOOKUP(2,1/((tbl_Finance[Job Number]=C197&amp;"")*(tbl_Finance[Xero Invoice No]&lt;&gt;"")),tbl_Finance[Xero Invoice No])&amp;" +more"),"")))</f>
        <v/>
      </c>
      <c r="C197" s="24" t="n"/>
      <c r="D197" s="25">
        <f>IF(C197="","",IF(COUNTIF(lst_Jobs,C197&amp;"")&gt;0,"OK","CHECK"))</f>
        <v/>
      </c>
      <c r="E197" s="25">
        <f>IF(C197="","",IFERROR(INDEX(lst_JobName,MATCH(C197&amp;"",lst_Jobs,0)),""))</f>
        <v/>
      </c>
      <c r="F197" s="25">
        <f>IF(C197="","",IFERROR(INDEX(tbl_Finance[Client],MATCH(C197&amp;"",tbl_Finance[Job Number],0)),""))</f>
        <v/>
      </c>
      <c r="G197" s="28">
        <f>IF(C197="","",COUNTIFS(tbl_Finance[Job Number],C197&amp;"",tbl_Finance[Ex GST],"&lt;&gt;"))</f>
        <v/>
      </c>
      <c r="H197" s="27">
        <f>IF(C197="","",SUMIFS(tbl_Finance[Ex GST],tbl_Finance[Job Number],C197&amp;""))</f>
        <v/>
      </c>
      <c r="I197" s="27">
        <f>IF(C197="","",SUMIFS(tbl_Finance[Ex GST],tbl_Finance[Job Number],C197&amp;"",tbl_Finance[Xero Invoice No],"&lt;&gt;"))</f>
        <v/>
      </c>
      <c r="J197" s="27">
        <f>IF(C197="","",H197-I197)</f>
        <v/>
      </c>
      <c r="K197" s="25">
        <f>IF(C197="","",IF(G197=0,"not invoiced yet",SUBSTITUTE(TRIM(IF(COUNTIFS(tbl_Finance[Job Number],C197&amp;"",tbl_Finance[Cost Centre],"ONSITE")&gt;0,"ONSITE ","")&amp;IF(COUNTIFS(tbl_Finance[Job Number],C197&amp;"",tbl_Finance[Cost Centre],"PRODUCTION")&gt;0,"PRODUCTION ","")&amp;IF(COUNTIFS(tbl_Finance[Job Number],C197&amp;"",tbl_Finance[Cost Centre],"VIDEO")&gt;0,"VIDEO ","")&amp;IF(COUNTIFS(tbl_Finance[Job Number],C197&amp;"",tbl_Finance[Cost Centre],"INTEGRATION")&gt;0,"INTEGRATION ","")&amp;IF(COUNTIFS(tbl_Finance[Job Number],C197&amp;"",tbl_Finance[Cost Centre],"CONSULTING")&gt;0,"CONSULTING ","")&amp;IF(COUNTIFS(tbl_Finance[Job Number],C197&amp;"",tbl_Finance[Cost Centre],"CTS")&gt;0,"CTS ",""))," ",", ")))</f>
        <v/>
      </c>
      <c r="L197" s="24" t="n"/>
      <c r="M197" s="24" t="n"/>
      <c r="N197" s="25">
        <f>IF(M197="","",HYPERLINK(IF(LEFT(M197,4)="http",M197,set_QwilrBase&amp;M197),"Open quote"))</f>
        <v/>
      </c>
      <c r="O197" s="64" t="n"/>
      <c r="P197" s="24" t="n"/>
      <c r="Q197" s="24" t="n"/>
    </row>
    <row r="198" ht="15" customHeight="1">
      <c r="A198" s="63">
        <f>IF(C198="","",IFERROR(IF(SUMPRODUCT(MAX((tbl_Finance[Job Number]=C198&amp;"")*(tbl_Finance[Xero Invoice No]&lt;&gt;"")*tbl_Finance[Date]))=0,"",SUMPRODUCT(MAX((tbl_Finance[Job Number]=C198&amp;"")*(tbl_Finance[Xero Invoice No]&lt;&gt;"")*tbl_Finance[Date]))),""))</f>
        <v/>
      </c>
      <c r="B198" s="25">
        <f>IF(C198="","",IF(COUNTIFS(tbl_Finance[Job Number],C198&amp;"",tbl_Finance[Xero Invoice No],"&lt;&gt;")=0,"",IFERROR(IF(COUNTIFS(tbl_Finance[Job Number],C198&amp;"",tbl_Finance[Xero Invoice No],LOOKUP(2,1/((tbl_Finance[Job Number]=C198&amp;"")*(tbl_Finance[Xero Invoice No]&lt;&gt;"")),tbl_Finance[Xero Invoice No]))=COUNTIFS(tbl_Finance[Job Number],C198&amp;"",tbl_Finance[Xero Invoice No],"&lt;&gt;"),LOOKUP(2,1/((tbl_Finance[Job Number]=C198&amp;"")*(tbl_Finance[Xero Invoice No]&lt;&gt;"")),tbl_Finance[Xero Invoice No]),LOOKUP(2,1/((tbl_Finance[Job Number]=C198&amp;"")*(tbl_Finance[Xero Invoice No]&lt;&gt;"")),tbl_Finance[Xero Invoice No])&amp;" +more"),"")))</f>
        <v/>
      </c>
      <c r="C198" s="24" t="n"/>
      <c r="D198" s="25">
        <f>IF(C198="","",IF(COUNTIF(lst_Jobs,C198&amp;"")&gt;0,"OK","CHECK"))</f>
        <v/>
      </c>
      <c r="E198" s="25">
        <f>IF(C198="","",IFERROR(INDEX(lst_JobName,MATCH(C198&amp;"",lst_Jobs,0)),""))</f>
        <v/>
      </c>
      <c r="F198" s="25">
        <f>IF(C198="","",IFERROR(INDEX(tbl_Finance[Client],MATCH(C198&amp;"",tbl_Finance[Job Number],0)),""))</f>
        <v/>
      </c>
      <c r="G198" s="28">
        <f>IF(C198="","",COUNTIFS(tbl_Finance[Job Number],C198&amp;"",tbl_Finance[Ex GST],"&lt;&gt;"))</f>
        <v/>
      </c>
      <c r="H198" s="27">
        <f>IF(C198="","",SUMIFS(tbl_Finance[Ex GST],tbl_Finance[Job Number],C198&amp;""))</f>
        <v/>
      </c>
      <c r="I198" s="27">
        <f>IF(C198="","",SUMIFS(tbl_Finance[Ex GST],tbl_Finance[Job Number],C198&amp;"",tbl_Finance[Xero Invoice No],"&lt;&gt;"))</f>
        <v/>
      </c>
      <c r="J198" s="27">
        <f>IF(C198="","",H198-I198)</f>
        <v/>
      </c>
      <c r="K198" s="25">
        <f>IF(C198="","",IF(G198=0,"not invoiced yet",SUBSTITUTE(TRIM(IF(COUNTIFS(tbl_Finance[Job Number],C198&amp;"",tbl_Finance[Cost Centre],"ONSITE")&gt;0,"ONSITE ","")&amp;IF(COUNTIFS(tbl_Finance[Job Number],C198&amp;"",tbl_Finance[Cost Centre],"PRODUCTION")&gt;0,"PRODUCTION ","")&amp;IF(COUNTIFS(tbl_Finance[Job Number],C198&amp;"",tbl_Finance[Cost Centre],"VIDEO")&gt;0,"VIDEO ","")&amp;IF(COUNTIFS(tbl_Finance[Job Number],C198&amp;"",tbl_Finance[Cost Centre],"INTEGRATION")&gt;0,"INTEGRATION ","")&amp;IF(COUNTIFS(tbl_Finance[Job Number],C198&amp;"",tbl_Finance[Cost Centre],"CONSULTING")&gt;0,"CONSULTING ","")&amp;IF(COUNTIFS(tbl_Finance[Job Number],C198&amp;"",tbl_Finance[Cost Centre],"CTS")&gt;0,"CTS ",""))," ",", ")))</f>
        <v/>
      </c>
      <c r="L198" s="24" t="n"/>
      <c r="M198" s="24" t="n"/>
      <c r="N198" s="25">
        <f>IF(M198="","",HYPERLINK(IF(LEFT(M198,4)="http",M198,set_QwilrBase&amp;M198),"Open quote"))</f>
        <v/>
      </c>
      <c r="O198" s="64" t="n"/>
      <c r="P198" s="24" t="n"/>
      <c r="Q198" s="24" t="n"/>
    </row>
    <row r="199" ht="15" customHeight="1">
      <c r="A199" s="63">
        <f>IF(C199="","",IFERROR(IF(SUMPRODUCT(MAX((tbl_Finance[Job Number]=C199&amp;"")*(tbl_Finance[Xero Invoice No]&lt;&gt;"")*tbl_Finance[Date]))=0,"",SUMPRODUCT(MAX((tbl_Finance[Job Number]=C199&amp;"")*(tbl_Finance[Xero Invoice No]&lt;&gt;"")*tbl_Finance[Date]))),""))</f>
        <v/>
      </c>
      <c r="B199" s="25">
        <f>IF(C199="","",IF(COUNTIFS(tbl_Finance[Job Number],C199&amp;"",tbl_Finance[Xero Invoice No],"&lt;&gt;")=0,"",IFERROR(IF(COUNTIFS(tbl_Finance[Job Number],C199&amp;"",tbl_Finance[Xero Invoice No],LOOKUP(2,1/((tbl_Finance[Job Number]=C199&amp;"")*(tbl_Finance[Xero Invoice No]&lt;&gt;"")),tbl_Finance[Xero Invoice No]))=COUNTIFS(tbl_Finance[Job Number],C199&amp;"",tbl_Finance[Xero Invoice No],"&lt;&gt;"),LOOKUP(2,1/((tbl_Finance[Job Number]=C199&amp;"")*(tbl_Finance[Xero Invoice No]&lt;&gt;"")),tbl_Finance[Xero Invoice No]),LOOKUP(2,1/((tbl_Finance[Job Number]=C199&amp;"")*(tbl_Finance[Xero Invoice No]&lt;&gt;"")),tbl_Finance[Xero Invoice No])&amp;" +more"),"")))</f>
        <v/>
      </c>
      <c r="C199" s="24" t="n"/>
      <c r="D199" s="25">
        <f>IF(C199="","",IF(COUNTIF(lst_Jobs,C199&amp;"")&gt;0,"OK","CHECK"))</f>
        <v/>
      </c>
      <c r="E199" s="25">
        <f>IF(C199="","",IFERROR(INDEX(lst_JobName,MATCH(C199&amp;"",lst_Jobs,0)),""))</f>
        <v/>
      </c>
      <c r="F199" s="25">
        <f>IF(C199="","",IFERROR(INDEX(tbl_Finance[Client],MATCH(C199&amp;"",tbl_Finance[Job Number],0)),""))</f>
        <v/>
      </c>
      <c r="G199" s="28">
        <f>IF(C199="","",COUNTIFS(tbl_Finance[Job Number],C199&amp;"",tbl_Finance[Ex GST],"&lt;&gt;"))</f>
        <v/>
      </c>
      <c r="H199" s="27">
        <f>IF(C199="","",SUMIFS(tbl_Finance[Ex GST],tbl_Finance[Job Number],C199&amp;""))</f>
        <v/>
      </c>
      <c r="I199" s="27">
        <f>IF(C199="","",SUMIFS(tbl_Finance[Ex GST],tbl_Finance[Job Number],C199&amp;"",tbl_Finance[Xero Invoice No],"&lt;&gt;"))</f>
        <v/>
      </c>
      <c r="J199" s="27">
        <f>IF(C199="","",H199-I199)</f>
        <v/>
      </c>
      <c r="K199" s="25">
        <f>IF(C199="","",IF(G199=0,"not invoiced yet",SUBSTITUTE(TRIM(IF(COUNTIFS(tbl_Finance[Job Number],C199&amp;"",tbl_Finance[Cost Centre],"ONSITE")&gt;0,"ONSITE ","")&amp;IF(COUNTIFS(tbl_Finance[Job Number],C199&amp;"",tbl_Finance[Cost Centre],"PRODUCTION")&gt;0,"PRODUCTION ","")&amp;IF(COUNTIFS(tbl_Finance[Job Number],C199&amp;"",tbl_Finance[Cost Centre],"VIDEO")&gt;0,"VIDEO ","")&amp;IF(COUNTIFS(tbl_Finance[Job Number],C199&amp;"",tbl_Finance[Cost Centre],"INTEGRATION")&gt;0,"INTEGRATION ","")&amp;IF(COUNTIFS(tbl_Finance[Job Number],C199&amp;"",tbl_Finance[Cost Centre],"CONSULTING")&gt;0,"CONSULTING ","")&amp;IF(COUNTIFS(tbl_Finance[Job Number],C199&amp;"",tbl_Finance[Cost Centre],"CTS")&gt;0,"CTS ",""))," ",", ")))</f>
        <v/>
      </c>
      <c r="L199" s="24" t="n"/>
      <c r="M199" s="24" t="n"/>
      <c r="N199" s="25">
        <f>IF(M199="","",HYPERLINK(IF(LEFT(M199,4)="http",M199,set_QwilrBase&amp;M199),"Open quote"))</f>
        <v/>
      </c>
      <c r="O199" s="64" t="n"/>
      <c r="P199" s="24" t="n"/>
      <c r="Q199" s="24" t="n"/>
    </row>
    <row r="200" ht="15" customHeight="1">
      <c r="A200" s="63">
        <f>IF(C200="","",IFERROR(IF(SUMPRODUCT(MAX((tbl_Finance[Job Number]=C200&amp;"")*(tbl_Finance[Xero Invoice No]&lt;&gt;"")*tbl_Finance[Date]))=0,"",SUMPRODUCT(MAX((tbl_Finance[Job Number]=C200&amp;"")*(tbl_Finance[Xero Invoice No]&lt;&gt;"")*tbl_Finance[Date]))),""))</f>
        <v/>
      </c>
      <c r="B200" s="25">
        <f>IF(C200="","",IF(COUNTIFS(tbl_Finance[Job Number],C200&amp;"",tbl_Finance[Xero Invoice No],"&lt;&gt;")=0,"",IFERROR(IF(COUNTIFS(tbl_Finance[Job Number],C200&amp;"",tbl_Finance[Xero Invoice No],LOOKUP(2,1/((tbl_Finance[Job Number]=C200&amp;"")*(tbl_Finance[Xero Invoice No]&lt;&gt;"")),tbl_Finance[Xero Invoice No]))=COUNTIFS(tbl_Finance[Job Number],C200&amp;"",tbl_Finance[Xero Invoice No],"&lt;&gt;"),LOOKUP(2,1/((tbl_Finance[Job Number]=C200&amp;"")*(tbl_Finance[Xero Invoice No]&lt;&gt;"")),tbl_Finance[Xero Invoice No]),LOOKUP(2,1/((tbl_Finance[Job Number]=C200&amp;"")*(tbl_Finance[Xero Invoice No]&lt;&gt;"")),tbl_Finance[Xero Invoice No])&amp;" +more"),"")))</f>
        <v/>
      </c>
      <c r="C200" s="24" t="n"/>
      <c r="D200" s="25">
        <f>IF(C200="","",IF(COUNTIF(lst_Jobs,C200&amp;"")&gt;0,"OK","CHECK"))</f>
        <v/>
      </c>
      <c r="E200" s="25">
        <f>IF(C200="","",IFERROR(INDEX(lst_JobName,MATCH(C200&amp;"",lst_Jobs,0)),""))</f>
        <v/>
      </c>
      <c r="F200" s="25">
        <f>IF(C200="","",IFERROR(INDEX(tbl_Finance[Client],MATCH(C200&amp;"",tbl_Finance[Job Number],0)),""))</f>
        <v/>
      </c>
      <c r="G200" s="28">
        <f>IF(C200="","",COUNTIFS(tbl_Finance[Job Number],C200&amp;"",tbl_Finance[Ex GST],"&lt;&gt;"))</f>
        <v/>
      </c>
      <c r="H200" s="27">
        <f>IF(C200="","",SUMIFS(tbl_Finance[Ex GST],tbl_Finance[Job Number],C200&amp;""))</f>
        <v/>
      </c>
      <c r="I200" s="27">
        <f>IF(C200="","",SUMIFS(tbl_Finance[Ex GST],tbl_Finance[Job Number],C200&amp;"",tbl_Finance[Xero Invoice No],"&lt;&gt;"))</f>
        <v/>
      </c>
      <c r="J200" s="27">
        <f>IF(C200="","",H200-I200)</f>
        <v/>
      </c>
      <c r="K200" s="25">
        <f>IF(C200="","",IF(G200=0,"not invoiced yet",SUBSTITUTE(TRIM(IF(COUNTIFS(tbl_Finance[Job Number],C200&amp;"",tbl_Finance[Cost Centre],"ONSITE")&gt;0,"ONSITE ","")&amp;IF(COUNTIFS(tbl_Finance[Job Number],C200&amp;"",tbl_Finance[Cost Centre],"PRODUCTION")&gt;0,"PRODUCTION ","")&amp;IF(COUNTIFS(tbl_Finance[Job Number],C200&amp;"",tbl_Finance[Cost Centre],"VIDEO")&gt;0,"VIDEO ","")&amp;IF(COUNTIFS(tbl_Finance[Job Number],C200&amp;"",tbl_Finance[Cost Centre],"INTEGRATION")&gt;0,"INTEGRATION ","")&amp;IF(COUNTIFS(tbl_Finance[Job Number],C200&amp;"",tbl_Finance[Cost Centre],"CONSULTING")&gt;0,"CONSULTING ","")&amp;IF(COUNTIFS(tbl_Finance[Job Number],C200&amp;"",tbl_Finance[Cost Centre],"CTS")&gt;0,"CTS ",""))," ",", ")))</f>
        <v/>
      </c>
      <c r="L200" s="24" t="n"/>
      <c r="M200" s="24" t="n"/>
      <c r="N200" s="25">
        <f>IF(M200="","",HYPERLINK(IF(LEFT(M200,4)="http",M200,set_QwilrBase&amp;M200),"Open quote"))</f>
        <v/>
      </c>
      <c r="O200" s="64" t="n"/>
      <c r="P200" s="24" t="n"/>
      <c r="Q200" s="24" t="n"/>
    </row>
    <row r="201" ht="15" customHeight="1">
      <c r="A201" s="63">
        <f>IF(C201="","",IFERROR(IF(SUMPRODUCT(MAX((tbl_Finance[Job Number]=C201&amp;"")*(tbl_Finance[Xero Invoice No]&lt;&gt;"")*tbl_Finance[Date]))=0,"",SUMPRODUCT(MAX((tbl_Finance[Job Number]=C201&amp;"")*(tbl_Finance[Xero Invoice No]&lt;&gt;"")*tbl_Finance[Date]))),""))</f>
        <v/>
      </c>
      <c r="B201" s="25">
        <f>IF(C201="","",IF(COUNTIFS(tbl_Finance[Job Number],C201&amp;"",tbl_Finance[Xero Invoice No],"&lt;&gt;")=0,"",IFERROR(IF(COUNTIFS(tbl_Finance[Job Number],C201&amp;"",tbl_Finance[Xero Invoice No],LOOKUP(2,1/((tbl_Finance[Job Number]=C201&amp;"")*(tbl_Finance[Xero Invoice No]&lt;&gt;"")),tbl_Finance[Xero Invoice No]))=COUNTIFS(tbl_Finance[Job Number],C201&amp;"",tbl_Finance[Xero Invoice No],"&lt;&gt;"),LOOKUP(2,1/((tbl_Finance[Job Number]=C201&amp;"")*(tbl_Finance[Xero Invoice No]&lt;&gt;"")),tbl_Finance[Xero Invoice No]),LOOKUP(2,1/((tbl_Finance[Job Number]=C201&amp;"")*(tbl_Finance[Xero Invoice No]&lt;&gt;"")),tbl_Finance[Xero Invoice No])&amp;" +more"),"")))</f>
        <v/>
      </c>
      <c r="C201" s="24" t="n"/>
      <c r="D201" s="25">
        <f>IF(C201="","",IF(COUNTIF(lst_Jobs,C201&amp;"")&gt;0,"OK","CHECK"))</f>
        <v/>
      </c>
      <c r="E201" s="25">
        <f>IF(C201="","",IFERROR(INDEX(lst_JobName,MATCH(C201&amp;"",lst_Jobs,0)),""))</f>
        <v/>
      </c>
      <c r="F201" s="25">
        <f>IF(C201="","",IFERROR(INDEX(tbl_Finance[Client],MATCH(C201&amp;"",tbl_Finance[Job Number],0)),""))</f>
        <v/>
      </c>
      <c r="G201" s="28">
        <f>IF(C201="","",COUNTIFS(tbl_Finance[Job Number],C201&amp;"",tbl_Finance[Ex GST],"&lt;&gt;"))</f>
        <v/>
      </c>
      <c r="H201" s="27">
        <f>IF(C201="","",SUMIFS(tbl_Finance[Ex GST],tbl_Finance[Job Number],C201&amp;""))</f>
        <v/>
      </c>
      <c r="I201" s="27">
        <f>IF(C201="","",SUMIFS(tbl_Finance[Ex GST],tbl_Finance[Job Number],C201&amp;"",tbl_Finance[Xero Invoice No],"&lt;&gt;"))</f>
        <v/>
      </c>
      <c r="J201" s="27">
        <f>IF(C201="","",H201-I201)</f>
        <v/>
      </c>
      <c r="K201" s="25">
        <f>IF(C201="","",IF(G201=0,"not invoiced yet",SUBSTITUTE(TRIM(IF(COUNTIFS(tbl_Finance[Job Number],C201&amp;"",tbl_Finance[Cost Centre],"ONSITE")&gt;0,"ONSITE ","")&amp;IF(COUNTIFS(tbl_Finance[Job Number],C201&amp;"",tbl_Finance[Cost Centre],"PRODUCTION")&gt;0,"PRODUCTION ","")&amp;IF(COUNTIFS(tbl_Finance[Job Number],C201&amp;"",tbl_Finance[Cost Centre],"VIDEO")&gt;0,"VIDEO ","")&amp;IF(COUNTIFS(tbl_Finance[Job Number],C201&amp;"",tbl_Finance[Cost Centre],"INTEGRATION")&gt;0,"INTEGRATION ","")&amp;IF(COUNTIFS(tbl_Finance[Job Number],C201&amp;"",tbl_Finance[Cost Centre],"CONSULTING")&gt;0,"CONSULTING ","")&amp;IF(COUNTIFS(tbl_Finance[Job Number],C201&amp;"",tbl_Finance[Cost Centre],"CTS")&gt;0,"CTS ",""))," ",", ")))</f>
        <v/>
      </c>
      <c r="L201" s="24" t="n"/>
      <c r="M201" s="24" t="n"/>
      <c r="N201" s="25">
        <f>IF(M201="","",HYPERLINK(IF(LEFT(M201,4)="http",M201,set_QwilrBase&amp;M201),"Open quote"))</f>
        <v/>
      </c>
      <c r="O201" s="64" t="n"/>
      <c r="P201" s="24" t="n"/>
      <c r="Q201" s="24" t="n"/>
    </row>
    <row r="202" ht="15" customHeight="1">
      <c r="A202" s="63">
        <f>IF(C202="","",IFERROR(IF(SUMPRODUCT(MAX((tbl_Finance[Job Number]=C202&amp;"")*(tbl_Finance[Xero Invoice No]&lt;&gt;"")*tbl_Finance[Date]))=0,"",SUMPRODUCT(MAX((tbl_Finance[Job Number]=C202&amp;"")*(tbl_Finance[Xero Invoice No]&lt;&gt;"")*tbl_Finance[Date]))),""))</f>
        <v/>
      </c>
      <c r="B202" s="25">
        <f>IF(C202="","",IF(COUNTIFS(tbl_Finance[Job Number],C202&amp;"",tbl_Finance[Xero Invoice No],"&lt;&gt;")=0,"",IFERROR(IF(COUNTIFS(tbl_Finance[Job Number],C202&amp;"",tbl_Finance[Xero Invoice No],LOOKUP(2,1/((tbl_Finance[Job Number]=C202&amp;"")*(tbl_Finance[Xero Invoice No]&lt;&gt;"")),tbl_Finance[Xero Invoice No]))=COUNTIFS(tbl_Finance[Job Number],C202&amp;"",tbl_Finance[Xero Invoice No],"&lt;&gt;"),LOOKUP(2,1/((tbl_Finance[Job Number]=C202&amp;"")*(tbl_Finance[Xero Invoice No]&lt;&gt;"")),tbl_Finance[Xero Invoice No]),LOOKUP(2,1/((tbl_Finance[Job Number]=C202&amp;"")*(tbl_Finance[Xero Invoice No]&lt;&gt;"")),tbl_Finance[Xero Invoice No])&amp;" +more"),"")))</f>
        <v/>
      </c>
      <c r="C202" s="24" t="n"/>
      <c r="D202" s="25">
        <f>IF(C202="","",IF(COUNTIF(lst_Jobs,C202&amp;"")&gt;0,"OK","CHECK"))</f>
        <v/>
      </c>
      <c r="E202" s="25">
        <f>IF(C202="","",IFERROR(INDEX(lst_JobName,MATCH(C202&amp;"",lst_Jobs,0)),""))</f>
        <v/>
      </c>
      <c r="F202" s="25">
        <f>IF(C202="","",IFERROR(INDEX(tbl_Finance[Client],MATCH(C202&amp;"",tbl_Finance[Job Number],0)),""))</f>
        <v/>
      </c>
      <c r="G202" s="28">
        <f>IF(C202="","",COUNTIFS(tbl_Finance[Job Number],C202&amp;"",tbl_Finance[Ex GST],"&lt;&gt;"))</f>
        <v/>
      </c>
      <c r="H202" s="27">
        <f>IF(C202="","",SUMIFS(tbl_Finance[Ex GST],tbl_Finance[Job Number],C202&amp;""))</f>
        <v/>
      </c>
      <c r="I202" s="27">
        <f>IF(C202="","",SUMIFS(tbl_Finance[Ex GST],tbl_Finance[Job Number],C202&amp;"",tbl_Finance[Xero Invoice No],"&lt;&gt;"))</f>
        <v/>
      </c>
      <c r="J202" s="27">
        <f>IF(C202="","",H202-I202)</f>
        <v/>
      </c>
      <c r="K202" s="25">
        <f>IF(C202="","",IF(G202=0,"not invoiced yet",SUBSTITUTE(TRIM(IF(COUNTIFS(tbl_Finance[Job Number],C202&amp;"",tbl_Finance[Cost Centre],"ONSITE")&gt;0,"ONSITE ","")&amp;IF(COUNTIFS(tbl_Finance[Job Number],C202&amp;"",tbl_Finance[Cost Centre],"PRODUCTION")&gt;0,"PRODUCTION ","")&amp;IF(COUNTIFS(tbl_Finance[Job Number],C202&amp;"",tbl_Finance[Cost Centre],"VIDEO")&gt;0,"VIDEO ","")&amp;IF(COUNTIFS(tbl_Finance[Job Number],C202&amp;"",tbl_Finance[Cost Centre],"INTEGRATION")&gt;0,"INTEGRATION ","")&amp;IF(COUNTIFS(tbl_Finance[Job Number],C202&amp;"",tbl_Finance[Cost Centre],"CONSULTING")&gt;0,"CONSULTING ","")&amp;IF(COUNTIFS(tbl_Finance[Job Number],C202&amp;"",tbl_Finance[Cost Centre],"CTS")&gt;0,"CTS ",""))," ",", ")))</f>
        <v/>
      </c>
      <c r="L202" s="24" t="n"/>
      <c r="M202" s="24" t="n"/>
      <c r="N202" s="25">
        <f>IF(M202="","",HYPERLINK(IF(LEFT(M202,4)="http",M202,set_QwilrBase&amp;M202),"Open quote"))</f>
        <v/>
      </c>
      <c r="O202" s="64" t="n"/>
      <c r="P202" s="24" t="n"/>
      <c r="Q202" s="24" t="n"/>
    </row>
    <row r="203" ht="15" customHeight="1">
      <c r="A203" s="63">
        <f>IF(C203="","",IFERROR(IF(SUMPRODUCT(MAX((tbl_Finance[Job Number]=C203&amp;"")*(tbl_Finance[Xero Invoice No]&lt;&gt;"")*tbl_Finance[Date]))=0,"",SUMPRODUCT(MAX((tbl_Finance[Job Number]=C203&amp;"")*(tbl_Finance[Xero Invoice No]&lt;&gt;"")*tbl_Finance[Date]))),""))</f>
        <v/>
      </c>
      <c r="B203" s="25">
        <f>IF(C203="","",IF(COUNTIFS(tbl_Finance[Job Number],C203&amp;"",tbl_Finance[Xero Invoice No],"&lt;&gt;")=0,"",IFERROR(IF(COUNTIFS(tbl_Finance[Job Number],C203&amp;"",tbl_Finance[Xero Invoice No],LOOKUP(2,1/((tbl_Finance[Job Number]=C203&amp;"")*(tbl_Finance[Xero Invoice No]&lt;&gt;"")),tbl_Finance[Xero Invoice No]))=COUNTIFS(tbl_Finance[Job Number],C203&amp;"",tbl_Finance[Xero Invoice No],"&lt;&gt;"),LOOKUP(2,1/((tbl_Finance[Job Number]=C203&amp;"")*(tbl_Finance[Xero Invoice No]&lt;&gt;"")),tbl_Finance[Xero Invoice No]),LOOKUP(2,1/((tbl_Finance[Job Number]=C203&amp;"")*(tbl_Finance[Xero Invoice No]&lt;&gt;"")),tbl_Finance[Xero Invoice No])&amp;" +more"),"")))</f>
        <v/>
      </c>
      <c r="C203" s="24" t="n"/>
      <c r="D203" s="25">
        <f>IF(C203="","",IF(COUNTIF(lst_Jobs,C203&amp;"")&gt;0,"OK","CHECK"))</f>
        <v/>
      </c>
      <c r="E203" s="25">
        <f>IF(C203="","",IFERROR(INDEX(lst_JobName,MATCH(C203&amp;"",lst_Jobs,0)),""))</f>
        <v/>
      </c>
      <c r="F203" s="25">
        <f>IF(C203="","",IFERROR(INDEX(tbl_Finance[Client],MATCH(C203&amp;"",tbl_Finance[Job Number],0)),""))</f>
        <v/>
      </c>
      <c r="G203" s="28">
        <f>IF(C203="","",COUNTIFS(tbl_Finance[Job Number],C203&amp;"",tbl_Finance[Ex GST],"&lt;&gt;"))</f>
        <v/>
      </c>
      <c r="H203" s="27">
        <f>IF(C203="","",SUMIFS(tbl_Finance[Ex GST],tbl_Finance[Job Number],C203&amp;""))</f>
        <v/>
      </c>
      <c r="I203" s="27">
        <f>IF(C203="","",SUMIFS(tbl_Finance[Ex GST],tbl_Finance[Job Number],C203&amp;"",tbl_Finance[Xero Invoice No],"&lt;&gt;"))</f>
        <v/>
      </c>
      <c r="J203" s="27">
        <f>IF(C203="","",H203-I203)</f>
        <v/>
      </c>
      <c r="K203" s="25">
        <f>IF(C203="","",IF(G203=0,"not invoiced yet",SUBSTITUTE(TRIM(IF(COUNTIFS(tbl_Finance[Job Number],C203&amp;"",tbl_Finance[Cost Centre],"ONSITE")&gt;0,"ONSITE ","")&amp;IF(COUNTIFS(tbl_Finance[Job Number],C203&amp;"",tbl_Finance[Cost Centre],"PRODUCTION")&gt;0,"PRODUCTION ","")&amp;IF(COUNTIFS(tbl_Finance[Job Number],C203&amp;"",tbl_Finance[Cost Centre],"VIDEO")&gt;0,"VIDEO ","")&amp;IF(COUNTIFS(tbl_Finance[Job Number],C203&amp;"",tbl_Finance[Cost Centre],"INTEGRATION")&gt;0,"INTEGRATION ","")&amp;IF(COUNTIFS(tbl_Finance[Job Number],C203&amp;"",tbl_Finance[Cost Centre],"CONSULTING")&gt;0,"CONSULTING ","")&amp;IF(COUNTIFS(tbl_Finance[Job Number],C203&amp;"",tbl_Finance[Cost Centre],"CTS")&gt;0,"CTS ",""))," ",", ")))</f>
        <v/>
      </c>
      <c r="L203" s="24" t="n"/>
      <c r="M203" s="24" t="n"/>
      <c r="N203" s="25">
        <f>IF(M203="","",HYPERLINK(IF(LEFT(M203,4)="http",M203,set_QwilrBase&amp;M203),"Open quote"))</f>
        <v/>
      </c>
      <c r="O203" s="64" t="n"/>
      <c r="P203" s="24" t="n"/>
      <c r="Q203" s="24" t="n"/>
    </row>
    <row r="204" ht="15" customHeight="1">
      <c r="A204" s="63">
        <f>IF(C204="","",IFERROR(IF(SUMPRODUCT(MAX((tbl_Finance[Job Number]=C204&amp;"")*(tbl_Finance[Xero Invoice No]&lt;&gt;"")*tbl_Finance[Date]))=0,"",SUMPRODUCT(MAX((tbl_Finance[Job Number]=C204&amp;"")*(tbl_Finance[Xero Invoice No]&lt;&gt;"")*tbl_Finance[Date]))),""))</f>
        <v/>
      </c>
      <c r="B204" s="25">
        <f>IF(C204="","",IF(COUNTIFS(tbl_Finance[Job Number],C204&amp;"",tbl_Finance[Xero Invoice No],"&lt;&gt;")=0,"",IFERROR(IF(COUNTIFS(tbl_Finance[Job Number],C204&amp;"",tbl_Finance[Xero Invoice No],LOOKUP(2,1/((tbl_Finance[Job Number]=C204&amp;"")*(tbl_Finance[Xero Invoice No]&lt;&gt;"")),tbl_Finance[Xero Invoice No]))=COUNTIFS(tbl_Finance[Job Number],C204&amp;"",tbl_Finance[Xero Invoice No],"&lt;&gt;"),LOOKUP(2,1/((tbl_Finance[Job Number]=C204&amp;"")*(tbl_Finance[Xero Invoice No]&lt;&gt;"")),tbl_Finance[Xero Invoice No]),LOOKUP(2,1/((tbl_Finance[Job Number]=C204&amp;"")*(tbl_Finance[Xero Invoice No]&lt;&gt;"")),tbl_Finance[Xero Invoice No])&amp;" +more"),"")))</f>
        <v/>
      </c>
      <c r="C204" s="24" t="n"/>
      <c r="D204" s="25">
        <f>IF(C204="","",IF(COUNTIF(lst_Jobs,C204&amp;"")&gt;0,"OK","CHECK"))</f>
        <v/>
      </c>
      <c r="E204" s="25">
        <f>IF(C204="","",IFERROR(INDEX(lst_JobName,MATCH(C204&amp;"",lst_Jobs,0)),""))</f>
        <v/>
      </c>
      <c r="F204" s="25">
        <f>IF(C204="","",IFERROR(INDEX(tbl_Finance[Client],MATCH(C204&amp;"",tbl_Finance[Job Number],0)),""))</f>
        <v/>
      </c>
      <c r="G204" s="28">
        <f>IF(C204="","",COUNTIFS(tbl_Finance[Job Number],C204&amp;"",tbl_Finance[Ex GST],"&lt;&gt;"))</f>
        <v/>
      </c>
      <c r="H204" s="27">
        <f>IF(C204="","",SUMIFS(tbl_Finance[Ex GST],tbl_Finance[Job Number],C204&amp;""))</f>
        <v/>
      </c>
      <c r="I204" s="27">
        <f>IF(C204="","",SUMIFS(tbl_Finance[Ex GST],tbl_Finance[Job Number],C204&amp;"",tbl_Finance[Xero Invoice No],"&lt;&gt;"))</f>
        <v/>
      </c>
      <c r="J204" s="27">
        <f>IF(C204="","",H204-I204)</f>
        <v/>
      </c>
      <c r="K204" s="25">
        <f>IF(C204="","",IF(G204=0,"not invoiced yet",SUBSTITUTE(TRIM(IF(COUNTIFS(tbl_Finance[Job Number],C204&amp;"",tbl_Finance[Cost Centre],"ONSITE")&gt;0,"ONSITE ","")&amp;IF(COUNTIFS(tbl_Finance[Job Number],C204&amp;"",tbl_Finance[Cost Centre],"PRODUCTION")&gt;0,"PRODUCTION ","")&amp;IF(COUNTIFS(tbl_Finance[Job Number],C204&amp;"",tbl_Finance[Cost Centre],"VIDEO")&gt;0,"VIDEO ","")&amp;IF(COUNTIFS(tbl_Finance[Job Number],C204&amp;"",tbl_Finance[Cost Centre],"INTEGRATION")&gt;0,"INTEGRATION ","")&amp;IF(COUNTIFS(tbl_Finance[Job Number],C204&amp;"",tbl_Finance[Cost Centre],"CONSULTING")&gt;0,"CONSULTING ","")&amp;IF(COUNTIFS(tbl_Finance[Job Number],C204&amp;"",tbl_Finance[Cost Centre],"CTS")&gt;0,"CTS ",""))," ",", ")))</f>
        <v/>
      </c>
      <c r="L204" s="24" t="n"/>
      <c r="M204" s="24" t="n"/>
      <c r="N204" s="25">
        <f>IF(M204="","",HYPERLINK(IF(LEFT(M204,4)="http",M204,set_QwilrBase&amp;M204),"Open quote"))</f>
        <v/>
      </c>
      <c r="O204" s="64" t="n"/>
      <c r="P204" s="24" t="n"/>
      <c r="Q204" s="24" t="n"/>
    </row>
    <row r="205" ht="15" customHeight="1">
      <c r="A205" s="63">
        <f>IF(C205="","",IFERROR(IF(SUMPRODUCT(MAX((tbl_Finance[Job Number]=C205&amp;"")*(tbl_Finance[Xero Invoice No]&lt;&gt;"")*tbl_Finance[Date]))=0,"",SUMPRODUCT(MAX((tbl_Finance[Job Number]=C205&amp;"")*(tbl_Finance[Xero Invoice No]&lt;&gt;"")*tbl_Finance[Date]))),""))</f>
        <v/>
      </c>
      <c r="B205" s="25">
        <f>IF(C205="","",IF(COUNTIFS(tbl_Finance[Job Number],C205&amp;"",tbl_Finance[Xero Invoice No],"&lt;&gt;")=0,"",IFERROR(IF(COUNTIFS(tbl_Finance[Job Number],C205&amp;"",tbl_Finance[Xero Invoice No],LOOKUP(2,1/((tbl_Finance[Job Number]=C205&amp;"")*(tbl_Finance[Xero Invoice No]&lt;&gt;"")),tbl_Finance[Xero Invoice No]))=COUNTIFS(tbl_Finance[Job Number],C205&amp;"",tbl_Finance[Xero Invoice No],"&lt;&gt;"),LOOKUP(2,1/((tbl_Finance[Job Number]=C205&amp;"")*(tbl_Finance[Xero Invoice No]&lt;&gt;"")),tbl_Finance[Xero Invoice No]),LOOKUP(2,1/((tbl_Finance[Job Number]=C205&amp;"")*(tbl_Finance[Xero Invoice No]&lt;&gt;"")),tbl_Finance[Xero Invoice No])&amp;" +more"),"")))</f>
        <v/>
      </c>
      <c r="C205" s="24" t="n"/>
      <c r="D205" s="25">
        <f>IF(C205="","",IF(COUNTIF(lst_Jobs,C205&amp;"")&gt;0,"OK","CHECK"))</f>
        <v/>
      </c>
      <c r="E205" s="25">
        <f>IF(C205="","",IFERROR(INDEX(lst_JobName,MATCH(C205&amp;"",lst_Jobs,0)),""))</f>
        <v/>
      </c>
      <c r="F205" s="25">
        <f>IF(C205="","",IFERROR(INDEX(tbl_Finance[Client],MATCH(C205&amp;"",tbl_Finance[Job Number],0)),""))</f>
        <v/>
      </c>
      <c r="G205" s="28">
        <f>IF(C205="","",COUNTIFS(tbl_Finance[Job Number],C205&amp;"",tbl_Finance[Ex GST],"&lt;&gt;"))</f>
        <v/>
      </c>
      <c r="H205" s="27">
        <f>IF(C205="","",SUMIFS(tbl_Finance[Ex GST],tbl_Finance[Job Number],C205&amp;""))</f>
        <v/>
      </c>
      <c r="I205" s="27">
        <f>IF(C205="","",SUMIFS(tbl_Finance[Ex GST],tbl_Finance[Job Number],C205&amp;"",tbl_Finance[Xero Invoice No],"&lt;&gt;"))</f>
        <v/>
      </c>
      <c r="J205" s="27">
        <f>IF(C205="","",H205-I205)</f>
        <v/>
      </c>
      <c r="K205" s="25">
        <f>IF(C205="","",IF(G205=0,"not invoiced yet",SUBSTITUTE(TRIM(IF(COUNTIFS(tbl_Finance[Job Number],C205&amp;"",tbl_Finance[Cost Centre],"ONSITE")&gt;0,"ONSITE ","")&amp;IF(COUNTIFS(tbl_Finance[Job Number],C205&amp;"",tbl_Finance[Cost Centre],"PRODUCTION")&gt;0,"PRODUCTION ","")&amp;IF(COUNTIFS(tbl_Finance[Job Number],C205&amp;"",tbl_Finance[Cost Centre],"VIDEO")&gt;0,"VIDEO ","")&amp;IF(COUNTIFS(tbl_Finance[Job Number],C205&amp;"",tbl_Finance[Cost Centre],"INTEGRATION")&gt;0,"INTEGRATION ","")&amp;IF(COUNTIFS(tbl_Finance[Job Number],C205&amp;"",tbl_Finance[Cost Centre],"CONSULTING")&gt;0,"CONSULTING ","")&amp;IF(COUNTIFS(tbl_Finance[Job Number],C205&amp;"",tbl_Finance[Cost Centre],"CTS")&gt;0,"CTS ",""))," ",", ")))</f>
        <v/>
      </c>
      <c r="L205" s="24" t="n"/>
      <c r="M205" s="24" t="n"/>
      <c r="N205" s="25">
        <f>IF(M205="","",HYPERLINK(IF(LEFT(M205,4)="http",M205,set_QwilrBase&amp;M205),"Open quote"))</f>
        <v/>
      </c>
      <c r="O205" s="64" t="n"/>
      <c r="P205" s="24" t="n"/>
      <c r="Q205" s="24" t="n"/>
    </row>
    <row r="206" ht="15" customHeight="1">
      <c r="A206" s="63">
        <f>IF(C206="","",IFERROR(IF(SUMPRODUCT(MAX((tbl_Finance[Job Number]=C206&amp;"")*(tbl_Finance[Xero Invoice No]&lt;&gt;"")*tbl_Finance[Date]))=0,"",SUMPRODUCT(MAX((tbl_Finance[Job Number]=C206&amp;"")*(tbl_Finance[Xero Invoice No]&lt;&gt;"")*tbl_Finance[Date]))),""))</f>
        <v/>
      </c>
      <c r="B206" s="25">
        <f>IF(C206="","",IF(COUNTIFS(tbl_Finance[Job Number],C206&amp;"",tbl_Finance[Xero Invoice No],"&lt;&gt;")=0,"",IFERROR(IF(COUNTIFS(tbl_Finance[Job Number],C206&amp;"",tbl_Finance[Xero Invoice No],LOOKUP(2,1/((tbl_Finance[Job Number]=C206&amp;"")*(tbl_Finance[Xero Invoice No]&lt;&gt;"")),tbl_Finance[Xero Invoice No]))=COUNTIFS(tbl_Finance[Job Number],C206&amp;"",tbl_Finance[Xero Invoice No],"&lt;&gt;"),LOOKUP(2,1/((tbl_Finance[Job Number]=C206&amp;"")*(tbl_Finance[Xero Invoice No]&lt;&gt;"")),tbl_Finance[Xero Invoice No]),LOOKUP(2,1/((tbl_Finance[Job Number]=C206&amp;"")*(tbl_Finance[Xero Invoice No]&lt;&gt;"")),tbl_Finance[Xero Invoice No])&amp;" +more"),"")))</f>
        <v/>
      </c>
      <c r="C206" s="24" t="n"/>
      <c r="D206" s="25">
        <f>IF(C206="","",IF(COUNTIF(lst_Jobs,C206&amp;"")&gt;0,"OK","CHECK"))</f>
        <v/>
      </c>
      <c r="E206" s="25">
        <f>IF(C206="","",IFERROR(INDEX(lst_JobName,MATCH(C206&amp;"",lst_Jobs,0)),""))</f>
        <v/>
      </c>
      <c r="F206" s="25">
        <f>IF(C206="","",IFERROR(INDEX(tbl_Finance[Client],MATCH(C206&amp;"",tbl_Finance[Job Number],0)),""))</f>
        <v/>
      </c>
      <c r="G206" s="28">
        <f>IF(C206="","",COUNTIFS(tbl_Finance[Job Number],C206&amp;"",tbl_Finance[Ex GST],"&lt;&gt;"))</f>
        <v/>
      </c>
      <c r="H206" s="27">
        <f>IF(C206="","",SUMIFS(tbl_Finance[Ex GST],tbl_Finance[Job Number],C206&amp;""))</f>
        <v/>
      </c>
      <c r="I206" s="27">
        <f>IF(C206="","",SUMIFS(tbl_Finance[Ex GST],tbl_Finance[Job Number],C206&amp;"",tbl_Finance[Xero Invoice No],"&lt;&gt;"))</f>
        <v/>
      </c>
      <c r="J206" s="27">
        <f>IF(C206="","",H206-I206)</f>
        <v/>
      </c>
      <c r="K206" s="25">
        <f>IF(C206="","",IF(G206=0,"not invoiced yet",SUBSTITUTE(TRIM(IF(COUNTIFS(tbl_Finance[Job Number],C206&amp;"",tbl_Finance[Cost Centre],"ONSITE")&gt;0,"ONSITE ","")&amp;IF(COUNTIFS(tbl_Finance[Job Number],C206&amp;"",tbl_Finance[Cost Centre],"PRODUCTION")&gt;0,"PRODUCTION ","")&amp;IF(COUNTIFS(tbl_Finance[Job Number],C206&amp;"",tbl_Finance[Cost Centre],"VIDEO")&gt;0,"VIDEO ","")&amp;IF(COUNTIFS(tbl_Finance[Job Number],C206&amp;"",tbl_Finance[Cost Centre],"INTEGRATION")&gt;0,"INTEGRATION ","")&amp;IF(COUNTIFS(tbl_Finance[Job Number],C206&amp;"",tbl_Finance[Cost Centre],"CONSULTING")&gt;0,"CONSULTING ","")&amp;IF(COUNTIFS(tbl_Finance[Job Number],C206&amp;"",tbl_Finance[Cost Centre],"CTS")&gt;0,"CTS ",""))," ",", ")))</f>
        <v/>
      </c>
      <c r="L206" s="24" t="n"/>
      <c r="M206" s="24" t="n"/>
      <c r="N206" s="25">
        <f>IF(M206="","",HYPERLINK(IF(LEFT(M206,4)="http",M206,set_QwilrBase&amp;M206),"Open quote"))</f>
        <v/>
      </c>
      <c r="O206" s="64" t="n"/>
      <c r="P206" s="24" t="n"/>
      <c r="Q206" s="24" t="n"/>
    </row>
    <row r="207" ht="15" customHeight="1">
      <c r="A207" s="63">
        <f>IF(C207="","",IFERROR(IF(SUMPRODUCT(MAX((tbl_Finance[Job Number]=C207&amp;"")*(tbl_Finance[Xero Invoice No]&lt;&gt;"")*tbl_Finance[Date]))=0,"",SUMPRODUCT(MAX((tbl_Finance[Job Number]=C207&amp;"")*(tbl_Finance[Xero Invoice No]&lt;&gt;"")*tbl_Finance[Date]))),""))</f>
        <v/>
      </c>
      <c r="B207" s="25">
        <f>IF(C207="","",IF(COUNTIFS(tbl_Finance[Job Number],C207&amp;"",tbl_Finance[Xero Invoice No],"&lt;&gt;")=0,"",IFERROR(IF(COUNTIFS(tbl_Finance[Job Number],C207&amp;"",tbl_Finance[Xero Invoice No],LOOKUP(2,1/((tbl_Finance[Job Number]=C207&amp;"")*(tbl_Finance[Xero Invoice No]&lt;&gt;"")),tbl_Finance[Xero Invoice No]))=COUNTIFS(tbl_Finance[Job Number],C207&amp;"",tbl_Finance[Xero Invoice No],"&lt;&gt;"),LOOKUP(2,1/((tbl_Finance[Job Number]=C207&amp;"")*(tbl_Finance[Xero Invoice No]&lt;&gt;"")),tbl_Finance[Xero Invoice No]),LOOKUP(2,1/((tbl_Finance[Job Number]=C207&amp;"")*(tbl_Finance[Xero Invoice No]&lt;&gt;"")),tbl_Finance[Xero Invoice No])&amp;" +more"),"")))</f>
        <v/>
      </c>
      <c r="C207" s="24" t="n"/>
      <c r="D207" s="25">
        <f>IF(C207="","",IF(COUNTIF(lst_Jobs,C207&amp;"")&gt;0,"OK","CHECK"))</f>
        <v/>
      </c>
      <c r="E207" s="25">
        <f>IF(C207="","",IFERROR(INDEX(lst_JobName,MATCH(C207&amp;"",lst_Jobs,0)),""))</f>
        <v/>
      </c>
      <c r="F207" s="25">
        <f>IF(C207="","",IFERROR(INDEX(tbl_Finance[Client],MATCH(C207&amp;"",tbl_Finance[Job Number],0)),""))</f>
        <v/>
      </c>
      <c r="G207" s="28">
        <f>IF(C207="","",COUNTIFS(tbl_Finance[Job Number],C207&amp;"",tbl_Finance[Ex GST],"&lt;&gt;"))</f>
        <v/>
      </c>
      <c r="H207" s="27">
        <f>IF(C207="","",SUMIFS(tbl_Finance[Ex GST],tbl_Finance[Job Number],C207&amp;""))</f>
        <v/>
      </c>
      <c r="I207" s="27">
        <f>IF(C207="","",SUMIFS(tbl_Finance[Ex GST],tbl_Finance[Job Number],C207&amp;"",tbl_Finance[Xero Invoice No],"&lt;&gt;"))</f>
        <v/>
      </c>
      <c r="J207" s="27">
        <f>IF(C207="","",H207-I207)</f>
        <v/>
      </c>
      <c r="K207" s="25">
        <f>IF(C207="","",IF(G207=0,"not invoiced yet",SUBSTITUTE(TRIM(IF(COUNTIFS(tbl_Finance[Job Number],C207&amp;"",tbl_Finance[Cost Centre],"ONSITE")&gt;0,"ONSITE ","")&amp;IF(COUNTIFS(tbl_Finance[Job Number],C207&amp;"",tbl_Finance[Cost Centre],"PRODUCTION")&gt;0,"PRODUCTION ","")&amp;IF(COUNTIFS(tbl_Finance[Job Number],C207&amp;"",tbl_Finance[Cost Centre],"VIDEO")&gt;0,"VIDEO ","")&amp;IF(COUNTIFS(tbl_Finance[Job Number],C207&amp;"",tbl_Finance[Cost Centre],"INTEGRATION")&gt;0,"INTEGRATION ","")&amp;IF(COUNTIFS(tbl_Finance[Job Number],C207&amp;"",tbl_Finance[Cost Centre],"CONSULTING")&gt;0,"CONSULTING ","")&amp;IF(COUNTIFS(tbl_Finance[Job Number],C207&amp;"",tbl_Finance[Cost Centre],"CTS")&gt;0,"CTS ",""))," ",", ")))</f>
        <v/>
      </c>
      <c r="L207" s="24" t="n"/>
      <c r="M207" s="24" t="n"/>
      <c r="N207" s="25">
        <f>IF(M207="","",HYPERLINK(IF(LEFT(M207,4)="http",M207,set_QwilrBase&amp;M207),"Open quote"))</f>
        <v/>
      </c>
      <c r="O207" s="64" t="n"/>
      <c r="P207" s="24" t="n"/>
      <c r="Q207" s="24" t="n"/>
    </row>
    <row r="208" ht="15" customHeight="1">
      <c r="A208" s="63">
        <f>IF(C208="","",IFERROR(IF(SUMPRODUCT(MAX((tbl_Finance[Job Number]=C208&amp;"")*(tbl_Finance[Xero Invoice No]&lt;&gt;"")*tbl_Finance[Date]))=0,"",SUMPRODUCT(MAX((tbl_Finance[Job Number]=C208&amp;"")*(tbl_Finance[Xero Invoice No]&lt;&gt;"")*tbl_Finance[Date]))),""))</f>
        <v/>
      </c>
      <c r="B208" s="25">
        <f>IF(C208="","",IF(COUNTIFS(tbl_Finance[Job Number],C208&amp;"",tbl_Finance[Xero Invoice No],"&lt;&gt;")=0,"",IFERROR(IF(COUNTIFS(tbl_Finance[Job Number],C208&amp;"",tbl_Finance[Xero Invoice No],LOOKUP(2,1/((tbl_Finance[Job Number]=C208&amp;"")*(tbl_Finance[Xero Invoice No]&lt;&gt;"")),tbl_Finance[Xero Invoice No]))=COUNTIFS(tbl_Finance[Job Number],C208&amp;"",tbl_Finance[Xero Invoice No],"&lt;&gt;"),LOOKUP(2,1/((tbl_Finance[Job Number]=C208&amp;"")*(tbl_Finance[Xero Invoice No]&lt;&gt;"")),tbl_Finance[Xero Invoice No]),LOOKUP(2,1/((tbl_Finance[Job Number]=C208&amp;"")*(tbl_Finance[Xero Invoice No]&lt;&gt;"")),tbl_Finance[Xero Invoice No])&amp;" +more"),"")))</f>
        <v/>
      </c>
      <c r="C208" s="24" t="n"/>
      <c r="D208" s="25">
        <f>IF(C208="","",IF(COUNTIF(lst_Jobs,C208&amp;"")&gt;0,"OK","CHECK"))</f>
        <v/>
      </c>
      <c r="E208" s="25">
        <f>IF(C208="","",IFERROR(INDEX(lst_JobName,MATCH(C208&amp;"",lst_Jobs,0)),""))</f>
        <v/>
      </c>
      <c r="F208" s="25">
        <f>IF(C208="","",IFERROR(INDEX(tbl_Finance[Client],MATCH(C208&amp;"",tbl_Finance[Job Number],0)),""))</f>
        <v/>
      </c>
      <c r="G208" s="28">
        <f>IF(C208="","",COUNTIFS(tbl_Finance[Job Number],C208&amp;"",tbl_Finance[Ex GST],"&lt;&gt;"))</f>
        <v/>
      </c>
      <c r="H208" s="27">
        <f>IF(C208="","",SUMIFS(tbl_Finance[Ex GST],tbl_Finance[Job Number],C208&amp;""))</f>
        <v/>
      </c>
      <c r="I208" s="27">
        <f>IF(C208="","",SUMIFS(tbl_Finance[Ex GST],tbl_Finance[Job Number],C208&amp;"",tbl_Finance[Xero Invoice No],"&lt;&gt;"))</f>
        <v/>
      </c>
      <c r="J208" s="27">
        <f>IF(C208="","",H208-I208)</f>
        <v/>
      </c>
      <c r="K208" s="25">
        <f>IF(C208="","",IF(G208=0,"not invoiced yet",SUBSTITUTE(TRIM(IF(COUNTIFS(tbl_Finance[Job Number],C208&amp;"",tbl_Finance[Cost Centre],"ONSITE")&gt;0,"ONSITE ","")&amp;IF(COUNTIFS(tbl_Finance[Job Number],C208&amp;"",tbl_Finance[Cost Centre],"PRODUCTION")&gt;0,"PRODUCTION ","")&amp;IF(COUNTIFS(tbl_Finance[Job Number],C208&amp;"",tbl_Finance[Cost Centre],"VIDEO")&gt;0,"VIDEO ","")&amp;IF(COUNTIFS(tbl_Finance[Job Number],C208&amp;"",tbl_Finance[Cost Centre],"INTEGRATION")&gt;0,"INTEGRATION ","")&amp;IF(COUNTIFS(tbl_Finance[Job Number],C208&amp;"",tbl_Finance[Cost Centre],"CONSULTING")&gt;0,"CONSULTING ","")&amp;IF(COUNTIFS(tbl_Finance[Job Number],C208&amp;"",tbl_Finance[Cost Centre],"CTS")&gt;0,"CTS ",""))," ",", ")))</f>
        <v/>
      </c>
      <c r="L208" s="24" t="n"/>
      <c r="M208" s="24" t="n"/>
      <c r="N208" s="25">
        <f>IF(M208="","",HYPERLINK(IF(LEFT(M208,4)="http",M208,set_QwilrBase&amp;M208),"Open quote"))</f>
        <v/>
      </c>
      <c r="O208" s="64" t="n"/>
      <c r="P208" s="24" t="n"/>
      <c r="Q208" s="24" t="n"/>
    </row>
    <row r="209" ht="15" customHeight="1">
      <c r="A209" s="63">
        <f>IF(C209="","",IFERROR(IF(SUMPRODUCT(MAX((tbl_Finance[Job Number]=C209&amp;"")*(tbl_Finance[Xero Invoice No]&lt;&gt;"")*tbl_Finance[Date]))=0,"",SUMPRODUCT(MAX((tbl_Finance[Job Number]=C209&amp;"")*(tbl_Finance[Xero Invoice No]&lt;&gt;"")*tbl_Finance[Date]))),""))</f>
        <v/>
      </c>
      <c r="B209" s="25">
        <f>IF(C209="","",IF(COUNTIFS(tbl_Finance[Job Number],C209&amp;"",tbl_Finance[Xero Invoice No],"&lt;&gt;")=0,"",IFERROR(IF(COUNTIFS(tbl_Finance[Job Number],C209&amp;"",tbl_Finance[Xero Invoice No],LOOKUP(2,1/((tbl_Finance[Job Number]=C209&amp;"")*(tbl_Finance[Xero Invoice No]&lt;&gt;"")),tbl_Finance[Xero Invoice No]))=COUNTIFS(tbl_Finance[Job Number],C209&amp;"",tbl_Finance[Xero Invoice No],"&lt;&gt;"),LOOKUP(2,1/((tbl_Finance[Job Number]=C209&amp;"")*(tbl_Finance[Xero Invoice No]&lt;&gt;"")),tbl_Finance[Xero Invoice No]),LOOKUP(2,1/((tbl_Finance[Job Number]=C209&amp;"")*(tbl_Finance[Xero Invoice No]&lt;&gt;"")),tbl_Finance[Xero Invoice No])&amp;" +more"),"")))</f>
        <v/>
      </c>
      <c r="C209" s="24" t="n"/>
      <c r="D209" s="25">
        <f>IF(C209="","",IF(COUNTIF(lst_Jobs,C209&amp;"")&gt;0,"OK","CHECK"))</f>
        <v/>
      </c>
      <c r="E209" s="25">
        <f>IF(C209="","",IFERROR(INDEX(lst_JobName,MATCH(C209&amp;"",lst_Jobs,0)),""))</f>
        <v/>
      </c>
      <c r="F209" s="25">
        <f>IF(C209="","",IFERROR(INDEX(tbl_Finance[Client],MATCH(C209&amp;"",tbl_Finance[Job Number],0)),""))</f>
        <v/>
      </c>
      <c r="G209" s="28">
        <f>IF(C209="","",COUNTIFS(tbl_Finance[Job Number],C209&amp;"",tbl_Finance[Ex GST],"&lt;&gt;"))</f>
        <v/>
      </c>
      <c r="H209" s="27">
        <f>IF(C209="","",SUMIFS(tbl_Finance[Ex GST],tbl_Finance[Job Number],C209&amp;""))</f>
        <v/>
      </c>
      <c r="I209" s="27">
        <f>IF(C209="","",SUMIFS(tbl_Finance[Ex GST],tbl_Finance[Job Number],C209&amp;"",tbl_Finance[Xero Invoice No],"&lt;&gt;"))</f>
        <v/>
      </c>
      <c r="J209" s="27">
        <f>IF(C209="","",H209-I209)</f>
        <v/>
      </c>
      <c r="K209" s="25">
        <f>IF(C209="","",IF(G209=0,"not invoiced yet",SUBSTITUTE(TRIM(IF(COUNTIFS(tbl_Finance[Job Number],C209&amp;"",tbl_Finance[Cost Centre],"ONSITE")&gt;0,"ONSITE ","")&amp;IF(COUNTIFS(tbl_Finance[Job Number],C209&amp;"",tbl_Finance[Cost Centre],"PRODUCTION")&gt;0,"PRODUCTION ","")&amp;IF(COUNTIFS(tbl_Finance[Job Number],C209&amp;"",tbl_Finance[Cost Centre],"VIDEO")&gt;0,"VIDEO ","")&amp;IF(COUNTIFS(tbl_Finance[Job Number],C209&amp;"",tbl_Finance[Cost Centre],"INTEGRATION")&gt;0,"INTEGRATION ","")&amp;IF(COUNTIFS(tbl_Finance[Job Number],C209&amp;"",tbl_Finance[Cost Centre],"CONSULTING")&gt;0,"CONSULTING ","")&amp;IF(COUNTIFS(tbl_Finance[Job Number],C209&amp;"",tbl_Finance[Cost Centre],"CTS")&gt;0,"CTS ",""))," ",", ")))</f>
        <v/>
      </c>
      <c r="L209" s="24" t="n"/>
      <c r="M209" s="24" t="n"/>
      <c r="N209" s="25">
        <f>IF(M209="","",HYPERLINK(IF(LEFT(M209,4)="http",M209,set_QwilrBase&amp;M209),"Open quote"))</f>
        <v/>
      </c>
      <c r="O209" s="64" t="n"/>
      <c r="P209" s="24" t="n"/>
      <c r="Q209" s="24" t="n"/>
    </row>
    <row r="210" ht="15" customHeight="1">
      <c r="A210" s="63">
        <f>IF(C210="","",IFERROR(IF(SUMPRODUCT(MAX((tbl_Finance[Job Number]=C210&amp;"")*(tbl_Finance[Xero Invoice No]&lt;&gt;"")*tbl_Finance[Date]))=0,"",SUMPRODUCT(MAX((tbl_Finance[Job Number]=C210&amp;"")*(tbl_Finance[Xero Invoice No]&lt;&gt;"")*tbl_Finance[Date]))),""))</f>
        <v/>
      </c>
      <c r="B210" s="25">
        <f>IF(C210="","",IF(COUNTIFS(tbl_Finance[Job Number],C210&amp;"",tbl_Finance[Xero Invoice No],"&lt;&gt;")=0,"",IFERROR(IF(COUNTIFS(tbl_Finance[Job Number],C210&amp;"",tbl_Finance[Xero Invoice No],LOOKUP(2,1/((tbl_Finance[Job Number]=C210&amp;"")*(tbl_Finance[Xero Invoice No]&lt;&gt;"")),tbl_Finance[Xero Invoice No]))=COUNTIFS(tbl_Finance[Job Number],C210&amp;"",tbl_Finance[Xero Invoice No],"&lt;&gt;"),LOOKUP(2,1/((tbl_Finance[Job Number]=C210&amp;"")*(tbl_Finance[Xero Invoice No]&lt;&gt;"")),tbl_Finance[Xero Invoice No]),LOOKUP(2,1/((tbl_Finance[Job Number]=C210&amp;"")*(tbl_Finance[Xero Invoice No]&lt;&gt;"")),tbl_Finance[Xero Invoice No])&amp;" +more"),"")))</f>
        <v/>
      </c>
      <c r="C210" s="24" t="n"/>
      <c r="D210" s="25">
        <f>IF(C210="","",IF(COUNTIF(lst_Jobs,C210&amp;"")&gt;0,"OK","CHECK"))</f>
        <v/>
      </c>
      <c r="E210" s="25">
        <f>IF(C210="","",IFERROR(INDEX(lst_JobName,MATCH(C210&amp;"",lst_Jobs,0)),""))</f>
        <v/>
      </c>
      <c r="F210" s="25">
        <f>IF(C210="","",IFERROR(INDEX(tbl_Finance[Client],MATCH(C210&amp;"",tbl_Finance[Job Number],0)),""))</f>
        <v/>
      </c>
      <c r="G210" s="28">
        <f>IF(C210="","",COUNTIFS(tbl_Finance[Job Number],C210&amp;"",tbl_Finance[Ex GST],"&lt;&gt;"))</f>
        <v/>
      </c>
      <c r="H210" s="27">
        <f>IF(C210="","",SUMIFS(tbl_Finance[Ex GST],tbl_Finance[Job Number],C210&amp;""))</f>
        <v/>
      </c>
      <c r="I210" s="27">
        <f>IF(C210="","",SUMIFS(tbl_Finance[Ex GST],tbl_Finance[Job Number],C210&amp;"",tbl_Finance[Xero Invoice No],"&lt;&gt;"))</f>
        <v/>
      </c>
      <c r="J210" s="27">
        <f>IF(C210="","",H210-I210)</f>
        <v/>
      </c>
      <c r="K210" s="25">
        <f>IF(C210="","",IF(G210=0,"not invoiced yet",SUBSTITUTE(TRIM(IF(COUNTIFS(tbl_Finance[Job Number],C210&amp;"",tbl_Finance[Cost Centre],"ONSITE")&gt;0,"ONSITE ","")&amp;IF(COUNTIFS(tbl_Finance[Job Number],C210&amp;"",tbl_Finance[Cost Centre],"PRODUCTION")&gt;0,"PRODUCTION ","")&amp;IF(COUNTIFS(tbl_Finance[Job Number],C210&amp;"",tbl_Finance[Cost Centre],"VIDEO")&gt;0,"VIDEO ","")&amp;IF(COUNTIFS(tbl_Finance[Job Number],C210&amp;"",tbl_Finance[Cost Centre],"INTEGRATION")&gt;0,"INTEGRATION ","")&amp;IF(COUNTIFS(tbl_Finance[Job Number],C210&amp;"",tbl_Finance[Cost Centre],"CONSULTING")&gt;0,"CONSULTING ","")&amp;IF(COUNTIFS(tbl_Finance[Job Number],C210&amp;"",tbl_Finance[Cost Centre],"CTS")&gt;0,"CTS ",""))," ",", ")))</f>
        <v/>
      </c>
      <c r="L210" s="24" t="n"/>
      <c r="M210" s="24" t="n"/>
      <c r="N210" s="25">
        <f>IF(M210="","",HYPERLINK(IF(LEFT(M210,4)="http",M210,set_QwilrBase&amp;M210),"Open quote"))</f>
        <v/>
      </c>
      <c r="O210" s="64" t="n"/>
      <c r="P210" s="24" t="n"/>
      <c r="Q210" s="24" t="n"/>
    </row>
    <row r="211" ht="15" customHeight="1">
      <c r="A211" s="63">
        <f>IF(C211="","",IFERROR(IF(SUMPRODUCT(MAX((tbl_Finance[Job Number]=C211&amp;"")*(tbl_Finance[Xero Invoice No]&lt;&gt;"")*tbl_Finance[Date]))=0,"",SUMPRODUCT(MAX((tbl_Finance[Job Number]=C211&amp;"")*(tbl_Finance[Xero Invoice No]&lt;&gt;"")*tbl_Finance[Date]))),""))</f>
        <v/>
      </c>
      <c r="B211" s="25">
        <f>IF(C211="","",IF(COUNTIFS(tbl_Finance[Job Number],C211&amp;"",tbl_Finance[Xero Invoice No],"&lt;&gt;")=0,"",IFERROR(IF(COUNTIFS(tbl_Finance[Job Number],C211&amp;"",tbl_Finance[Xero Invoice No],LOOKUP(2,1/((tbl_Finance[Job Number]=C211&amp;"")*(tbl_Finance[Xero Invoice No]&lt;&gt;"")),tbl_Finance[Xero Invoice No]))=COUNTIFS(tbl_Finance[Job Number],C211&amp;"",tbl_Finance[Xero Invoice No],"&lt;&gt;"),LOOKUP(2,1/((tbl_Finance[Job Number]=C211&amp;"")*(tbl_Finance[Xero Invoice No]&lt;&gt;"")),tbl_Finance[Xero Invoice No]),LOOKUP(2,1/((tbl_Finance[Job Number]=C211&amp;"")*(tbl_Finance[Xero Invoice No]&lt;&gt;"")),tbl_Finance[Xero Invoice No])&amp;" +more"),"")))</f>
        <v/>
      </c>
      <c r="C211" s="24" t="n"/>
      <c r="D211" s="25">
        <f>IF(C211="","",IF(COUNTIF(lst_Jobs,C211&amp;"")&gt;0,"OK","CHECK"))</f>
        <v/>
      </c>
      <c r="E211" s="25">
        <f>IF(C211="","",IFERROR(INDEX(lst_JobName,MATCH(C211&amp;"",lst_Jobs,0)),""))</f>
        <v/>
      </c>
      <c r="F211" s="25">
        <f>IF(C211="","",IFERROR(INDEX(tbl_Finance[Client],MATCH(C211&amp;"",tbl_Finance[Job Number],0)),""))</f>
        <v/>
      </c>
      <c r="G211" s="28">
        <f>IF(C211="","",COUNTIFS(tbl_Finance[Job Number],C211&amp;"",tbl_Finance[Ex GST],"&lt;&gt;"))</f>
        <v/>
      </c>
      <c r="H211" s="27">
        <f>IF(C211="","",SUMIFS(tbl_Finance[Ex GST],tbl_Finance[Job Number],C211&amp;""))</f>
        <v/>
      </c>
      <c r="I211" s="27">
        <f>IF(C211="","",SUMIFS(tbl_Finance[Ex GST],tbl_Finance[Job Number],C211&amp;"",tbl_Finance[Xero Invoice No],"&lt;&gt;"))</f>
        <v/>
      </c>
      <c r="J211" s="27">
        <f>IF(C211="","",H211-I211)</f>
        <v/>
      </c>
      <c r="K211" s="25">
        <f>IF(C211="","",IF(G211=0,"not invoiced yet",SUBSTITUTE(TRIM(IF(COUNTIFS(tbl_Finance[Job Number],C211&amp;"",tbl_Finance[Cost Centre],"ONSITE")&gt;0,"ONSITE ","")&amp;IF(COUNTIFS(tbl_Finance[Job Number],C211&amp;"",tbl_Finance[Cost Centre],"PRODUCTION")&gt;0,"PRODUCTION ","")&amp;IF(COUNTIFS(tbl_Finance[Job Number],C211&amp;"",tbl_Finance[Cost Centre],"VIDEO")&gt;0,"VIDEO ","")&amp;IF(COUNTIFS(tbl_Finance[Job Number],C211&amp;"",tbl_Finance[Cost Centre],"INTEGRATION")&gt;0,"INTEGRATION ","")&amp;IF(COUNTIFS(tbl_Finance[Job Number],C211&amp;"",tbl_Finance[Cost Centre],"CONSULTING")&gt;0,"CONSULTING ","")&amp;IF(COUNTIFS(tbl_Finance[Job Number],C211&amp;"",tbl_Finance[Cost Centre],"CTS")&gt;0,"CTS ",""))," ",", ")))</f>
        <v/>
      </c>
      <c r="L211" s="24" t="n"/>
      <c r="M211" s="24" t="n"/>
      <c r="N211" s="25">
        <f>IF(M211="","",HYPERLINK(IF(LEFT(M211,4)="http",M211,set_QwilrBase&amp;M211),"Open quote"))</f>
        <v/>
      </c>
      <c r="O211" s="64" t="n"/>
      <c r="P211" s="24" t="n"/>
      <c r="Q211" s="24" t="n"/>
    </row>
    <row r="212" ht="15" customHeight="1">
      <c r="A212" s="63">
        <f>IF(C212="","",IFERROR(IF(SUMPRODUCT(MAX((tbl_Finance[Job Number]=C212&amp;"")*(tbl_Finance[Xero Invoice No]&lt;&gt;"")*tbl_Finance[Date]))=0,"",SUMPRODUCT(MAX((tbl_Finance[Job Number]=C212&amp;"")*(tbl_Finance[Xero Invoice No]&lt;&gt;"")*tbl_Finance[Date]))),""))</f>
        <v/>
      </c>
      <c r="B212" s="25">
        <f>IF(C212="","",IF(COUNTIFS(tbl_Finance[Job Number],C212&amp;"",tbl_Finance[Xero Invoice No],"&lt;&gt;")=0,"",IFERROR(IF(COUNTIFS(tbl_Finance[Job Number],C212&amp;"",tbl_Finance[Xero Invoice No],LOOKUP(2,1/((tbl_Finance[Job Number]=C212&amp;"")*(tbl_Finance[Xero Invoice No]&lt;&gt;"")),tbl_Finance[Xero Invoice No]))=COUNTIFS(tbl_Finance[Job Number],C212&amp;"",tbl_Finance[Xero Invoice No],"&lt;&gt;"),LOOKUP(2,1/((tbl_Finance[Job Number]=C212&amp;"")*(tbl_Finance[Xero Invoice No]&lt;&gt;"")),tbl_Finance[Xero Invoice No]),LOOKUP(2,1/((tbl_Finance[Job Number]=C212&amp;"")*(tbl_Finance[Xero Invoice No]&lt;&gt;"")),tbl_Finance[Xero Invoice No])&amp;" +more"),"")))</f>
        <v/>
      </c>
      <c r="C212" s="24" t="n"/>
      <c r="D212" s="25">
        <f>IF(C212="","",IF(COUNTIF(lst_Jobs,C212&amp;"")&gt;0,"OK","CHECK"))</f>
        <v/>
      </c>
      <c r="E212" s="25">
        <f>IF(C212="","",IFERROR(INDEX(lst_JobName,MATCH(C212&amp;"",lst_Jobs,0)),""))</f>
        <v/>
      </c>
      <c r="F212" s="25">
        <f>IF(C212="","",IFERROR(INDEX(tbl_Finance[Client],MATCH(C212&amp;"",tbl_Finance[Job Number],0)),""))</f>
        <v/>
      </c>
      <c r="G212" s="28">
        <f>IF(C212="","",COUNTIFS(tbl_Finance[Job Number],C212&amp;"",tbl_Finance[Ex GST],"&lt;&gt;"))</f>
        <v/>
      </c>
      <c r="H212" s="27">
        <f>IF(C212="","",SUMIFS(tbl_Finance[Ex GST],tbl_Finance[Job Number],C212&amp;""))</f>
        <v/>
      </c>
      <c r="I212" s="27">
        <f>IF(C212="","",SUMIFS(tbl_Finance[Ex GST],tbl_Finance[Job Number],C212&amp;"",tbl_Finance[Xero Invoice No],"&lt;&gt;"))</f>
        <v/>
      </c>
      <c r="J212" s="27">
        <f>IF(C212="","",H212-I212)</f>
        <v/>
      </c>
      <c r="K212" s="25">
        <f>IF(C212="","",IF(G212=0,"not invoiced yet",SUBSTITUTE(TRIM(IF(COUNTIFS(tbl_Finance[Job Number],C212&amp;"",tbl_Finance[Cost Centre],"ONSITE")&gt;0,"ONSITE ","")&amp;IF(COUNTIFS(tbl_Finance[Job Number],C212&amp;"",tbl_Finance[Cost Centre],"PRODUCTION")&gt;0,"PRODUCTION ","")&amp;IF(COUNTIFS(tbl_Finance[Job Number],C212&amp;"",tbl_Finance[Cost Centre],"VIDEO")&gt;0,"VIDEO ","")&amp;IF(COUNTIFS(tbl_Finance[Job Number],C212&amp;"",tbl_Finance[Cost Centre],"INTEGRATION")&gt;0,"INTEGRATION ","")&amp;IF(COUNTIFS(tbl_Finance[Job Number],C212&amp;"",tbl_Finance[Cost Centre],"CONSULTING")&gt;0,"CONSULTING ","")&amp;IF(COUNTIFS(tbl_Finance[Job Number],C212&amp;"",tbl_Finance[Cost Centre],"CTS")&gt;0,"CTS ",""))," ",", ")))</f>
        <v/>
      </c>
      <c r="L212" s="24" t="n"/>
      <c r="M212" s="24" t="n"/>
      <c r="N212" s="25">
        <f>IF(M212="","",HYPERLINK(IF(LEFT(M212,4)="http",M212,set_QwilrBase&amp;M212),"Open quote"))</f>
        <v/>
      </c>
      <c r="O212" s="64" t="n"/>
      <c r="P212" s="24" t="n"/>
      <c r="Q212" s="24" t="n"/>
    </row>
    <row r="213" ht="15" customHeight="1">
      <c r="A213" s="63">
        <f>IF(C213="","",IFERROR(IF(SUMPRODUCT(MAX((tbl_Finance[Job Number]=C213&amp;"")*(tbl_Finance[Xero Invoice No]&lt;&gt;"")*tbl_Finance[Date]))=0,"",SUMPRODUCT(MAX((tbl_Finance[Job Number]=C213&amp;"")*(tbl_Finance[Xero Invoice No]&lt;&gt;"")*tbl_Finance[Date]))),""))</f>
        <v/>
      </c>
      <c r="B213" s="25">
        <f>IF(C213="","",IF(COUNTIFS(tbl_Finance[Job Number],C213&amp;"",tbl_Finance[Xero Invoice No],"&lt;&gt;")=0,"",IFERROR(IF(COUNTIFS(tbl_Finance[Job Number],C213&amp;"",tbl_Finance[Xero Invoice No],LOOKUP(2,1/((tbl_Finance[Job Number]=C213&amp;"")*(tbl_Finance[Xero Invoice No]&lt;&gt;"")),tbl_Finance[Xero Invoice No]))=COUNTIFS(tbl_Finance[Job Number],C213&amp;"",tbl_Finance[Xero Invoice No],"&lt;&gt;"),LOOKUP(2,1/((tbl_Finance[Job Number]=C213&amp;"")*(tbl_Finance[Xero Invoice No]&lt;&gt;"")),tbl_Finance[Xero Invoice No]),LOOKUP(2,1/((tbl_Finance[Job Number]=C213&amp;"")*(tbl_Finance[Xero Invoice No]&lt;&gt;"")),tbl_Finance[Xero Invoice No])&amp;" +more"),"")))</f>
        <v/>
      </c>
      <c r="C213" s="24" t="n"/>
      <c r="D213" s="25">
        <f>IF(C213="","",IF(COUNTIF(lst_Jobs,C213&amp;"")&gt;0,"OK","CHECK"))</f>
        <v/>
      </c>
      <c r="E213" s="25">
        <f>IF(C213="","",IFERROR(INDEX(lst_JobName,MATCH(C213&amp;"",lst_Jobs,0)),""))</f>
        <v/>
      </c>
      <c r="F213" s="25">
        <f>IF(C213="","",IFERROR(INDEX(tbl_Finance[Client],MATCH(C213&amp;"",tbl_Finance[Job Number],0)),""))</f>
        <v/>
      </c>
      <c r="G213" s="28">
        <f>IF(C213="","",COUNTIFS(tbl_Finance[Job Number],C213&amp;"",tbl_Finance[Ex GST],"&lt;&gt;"))</f>
        <v/>
      </c>
      <c r="H213" s="27">
        <f>IF(C213="","",SUMIFS(tbl_Finance[Ex GST],tbl_Finance[Job Number],C213&amp;""))</f>
        <v/>
      </c>
      <c r="I213" s="27">
        <f>IF(C213="","",SUMIFS(tbl_Finance[Ex GST],tbl_Finance[Job Number],C213&amp;"",tbl_Finance[Xero Invoice No],"&lt;&gt;"))</f>
        <v/>
      </c>
      <c r="J213" s="27">
        <f>IF(C213="","",H213-I213)</f>
        <v/>
      </c>
      <c r="K213" s="25">
        <f>IF(C213="","",IF(G213=0,"not invoiced yet",SUBSTITUTE(TRIM(IF(COUNTIFS(tbl_Finance[Job Number],C213&amp;"",tbl_Finance[Cost Centre],"ONSITE")&gt;0,"ONSITE ","")&amp;IF(COUNTIFS(tbl_Finance[Job Number],C213&amp;"",tbl_Finance[Cost Centre],"PRODUCTION")&gt;0,"PRODUCTION ","")&amp;IF(COUNTIFS(tbl_Finance[Job Number],C213&amp;"",tbl_Finance[Cost Centre],"VIDEO")&gt;0,"VIDEO ","")&amp;IF(COUNTIFS(tbl_Finance[Job Number],C213&amp;"",tbl_Finance[Cost Centre],"INTEGRATION")&gt;0,"INTEGRATION ","")&amp;IF(COUNTIFS(tbl_Finance[Job Number],C213&amp;"",tbl_Finance[Cost Centre],"CONSULTING")&gt;0,"CONSULTING ","")&amp;IF(COUNTIFS(tbl_Finance[Job Number],C213&amp;"",tbl_Finance[Cost Centre],"CTS")&gt;0,"CTS ",""))," ",", ")))</f>
        <v/>
      </c>
      <c r="L213" s="24" t="n"/>
      <c r="M213" s="24" t="n"/>
      <c r="N213" s="25">
        <f>IF(M213="","",HYPERLINK(IF(LEFT(M213,4)="http",M213,set_QwilrBase&amp;M213),"Open quote"))</f>
        <v/>
      </c>
      <c r="O213" s="64" t="n"/>
      <c r="P213" s="24" t="n"/>
      <c r="Q213" s="24" t="n"/>
    </row>
    <row r="214" ht="15" customHeight="1">
      <c r="A214" s="63">
        <f>IF(C214="","",IFERROR(IF(SUMPRODUCT(MAX((tbl_Finance[Job Number]=C214&amp;"")*(tbl_Finance[Xero Invoice No]&lt;&gt;"")*tbl_Finance[Date]))=0,"",SUMPRODUCT(MAX((tbl_Finance[Job Number]=C214&amp;"")*(tbl_Finance[Xero Invoice No]&lt;&gt;"")*tbl_Finance[Date]))),""))</f>
        <v/>
      </c>
      <c r="B214" s="25">
        <f>IF(C214="","",IF(COUNTIFS(tbl_Finance[Job Number],C214&amp;"",tbl_Finance[Xero Invoice No],"&lt;&gt;")=0,"",IFERROR(IF(COUNTIFS(tbl_Finance[Job Number],C214&amp;"",tbl_Finance[Xero Invoice No],LOOKUP(2,1/((tbl_Finance[Job Number]=C214&amp;"")*(tbl_Finance[Xero Invoice No]&lt;&gt;"")),tbl_Finance[Xero Invoice No]))=COUNTIFS(tbl_Finance[Job Number],C214&amp;"",tbl_Finance[Xero Invoice No],"&lt;&gt;"),LOOKUP(2,1/((tbl_Finance[Job Number]=C214&amp;"")*(tbl_Finance[Xero Invoice No]&lt;&gt;"")),tbl_Finance[Xero Invoice No]),LOOKUP(2,1/((tbl_Finance[Job Number]=C214&amp;"")*(tbl_Finance[Xero Invoice No]&lt;&gt;"")),tbl_Finance[Xero Invoice No])&amp;" +more"),"")))</f>
        <v/>
      </c>
      <c r="C214" s="24" t="n"/>
      <c r="D214" s="25">
        <f>IF(C214="","",IF(COUNTIF(lst_Jobs,C214&amp;"")&gt;0,"OK","CHECK"))</f>
        <v/>
      </c>
      <c r="E214" s="25">
        <f>IF(C214="","",IFERROR(INDEX(lst_JobName,MATCH(C214&amp;"",lst_Jobs,0)),""))</f>
        <v/>
      </c>
      <c r="F214" s="25">
        <f>IF(C214="","",IFERROR(INDEX(tbl_Finance[Client],MATCH(C214&amp;"",tbl_Finance[Job Number],0)),""))</f>
        <v/>
      </c>
      <c r="G214" s="28">
        <f>IF(C214="","",COUNTIFS(tbl_Finance[Job Number],C214&amp;"",tbl_Finance[Ex GST],"&lt;&gt;"))</f>
        <v/>
      </c>
      <c r="H214" s="27">
        <f>IF(C214="","",SUMIFS(tbl_Finance[Ex GST],tbl_Finance[Job Number],C214&amp;""))</f>
        <v/>
      </c>
      <c r="I214" s="27">
        <f>IF(C214="","",SUMIFS(tbl_Finance[Ex GST],tbl_Finance[Job Number],C214&amp;"",tbl_Finance[Xero Invoice No],"&lt;&gt;"))</f>
        <v/>
      </c>
      <c r="J214" s="27">
        <f>IF(C214="","",H214-I214)</f>
        <v/>
      </c>
      <c r="K214" s="25">
        <f>IF(C214="","",IF(G214=0,"not invoiced yet",SUBSTITUTE(TRIM(IF(COUNTIFS(tbl_Finance[Job Number],C214&amp;"",tbl_Finance[Cost Centre],"ONSITE")&gt;0,"ONSITE ","")&amp;IF(COUNTIFS(tbl_Finance[Job Number],C214&amp;"",tbl_Finance[Cost Centre],"PRODUCTION")&gt;0,"PRODUCTION ","")&amp;IF(COUNTIFS(tbl_Finance[Job Number],C214&amp;"",tbl_Finance[Cost Centre],"VIDEO")&gt;0,"VIDEO ","")&amp;IF(COUNTIFS(tbl_Finance[Job Number],C214&amp;"",tbl_Finance[Cost Centre],"INTEGRATION")&gt;0,"INTEGRATION ","")&amp;IF(COUNTIFS(tbl_Finance[Job Number],C214&amp;"",tbl_Finance[Cost Centre],"CONSULTING")&gt;0,"CONSULTING ","")&amp;IF(COUNTIFS(tbl_Finance[Job Number],C214&amp;"",tbl_Finance[Cost Centre],"CTS")&gt;0,"CTS ",""))," ",", ")))</f>
        <v/>
      </c>
      <c r="L214" s="24" t="n"/>
      <c r="M214" s="24" t="n"/>
      <c r="N214" s="25">
        <f>IF(M214="","",HYPERLINK(IF(LEFT(M214,4)="http",M214,set_QwilrBase&amp;M214),"Open quote"))</f>
        <v/>
      </c>
      <c r="O214" s="64" t="n"/>
      <c r="P214" s="24" t="n"/>
      <c r="Q214" s="24" t="n"/>
    </row>
    <row r="215" ht="15" customHeight="1">
      <c r="A215" s="63">
        <f>IF(C215="","",IFERROR(IF(SUMPRODUCT(MAX((tbl_Finance[Job Number]=C215&amp;"")*(tbl_Finance[Xero Invoice No]&lt;&gt;"")*tbl_Finance[Date]))=0,"",SUMPRODUCT(MAX((tbl_Finance[Job Number]=C215&amp;"")*(tbl_Finance[Xero Invoice No]&lt;&gt;"")*tbl_Finance[Date]))),""))</f>
        <v/>
      </c>
      <c r="B215" s="25">
        <f>IF(C215="","",IF(COUNTIFS(tbl_Finance[Job Number],C215&amp;"",tbl_Finance[Xero Invoice No],"&lt;&gt;")=0,"",IFERROR(IF(COUNTIFS(tbl_Finance[Job Number],C215&amp;"",tbl_Finance[Xero Invoice No],LOOKUP(2,1/((tbl_Finance[Job Number]=C215&amp;"")*(tbl_Finance[Xero Invoice No]&lt;&gt;"")),tbl_Finance[Xero Invoice No]))=COUNTIFS(tbl_Finance[Job Number],C215&amp;"",tbl_Finance[Xero Invoice No],"&lt;&gt;"),LOOKUP(2,1/((tbl_Finance[Job Number]=C215&amp;"")*(tbl_Finance[Xero Invoice No]&lt;&gt;"")),tbl_Finance[Xero Invoice No]),LOOKUP(2,1/((tbl_Finance[Job Number]=C215&amp;"")*(tbl_Finance[Xero Invoice No]&lt;&gt;"")),tbl_Finance[Xero Invoice No])&amp;" +more"),"")))</f>
        <v/>
      </c>
      <c r="C215" s="24" t="n"/>
      <c r="D215" s="25">
        <f>IF(C215="","",IF(COUNTIF(lst_Jobs,C215&amp;"")&gt;0,"OK","CHECK"))</f>
        <v/>
      </c>
      <c r="E215" s="25">
        <f>IF(C215="","",IFERROR(INDEX(lst_JobName,MATCH(C215&amp;"",lst_Jobs,0)),""))</f>
        <v/>
      </c>
      <c r="F215" s="25">
        <f>IF(C215="","",IFERROR(INDEX(tbl_Finance[Client],MATCH(C215&amp;"",tbl_Finance[Job Number],0)),""))</f>
        <v/>
      </c>
      <c r="G215" s="28">
        <f>IF(C215="","",COUNTIFS(tbl_Finance[Job Number],C215&amp;"",tbl_Finance[Ex GST],"&lt;&gt;"))</f>
        <v/>
      </c>
      <c r="H215" s="27">
        <f>IF(C215="","",SUMIFS(tbl_Finance[Ex GST],tbl_Finance[Job Number],C215&amp;""))</f>
        <v/>
      </c>
      <c r="I215" s="27">
        <f>IF(C215="","",SUMIFS(tbl_Finance[Ex GST],tbl_Finance[Job Number],C215&amp;"",tbl_Finance[Xero Invoice No],"&lt;&gt;"))</f>
        <v/>
      </c>
      <c r="J215" s="27">
        <f>IF(C215="","",H215-I215)</f>
        <v/>
      </c>
      <c r="K215" s="25">
        <f>IF(C215="","",IF(G215=0,"not invoiced yet",SUBSTITUTE(TRIM(IF(COUNTIFS(tbl_Finance[Job Number],C215&amp;"",tbl_Finance[Cost Centre],"ONSITE")&gt;0,"ONSITE ","")&amp;IF(COUNTIFS(tbl_Finance[Job Number],C215&amp;"",tbl_Finance[Cost Centre],"PRODUCTION")&gt;0,"PRODUCTION ","")&amp;IF(COUNTIFS(tbl_Finance[Job Number],C215&amp;"",tbl_Finance[Cost Centre],"VIDEO")&gt;0,"VIDEO ","")&amp;IF(COUNTIFS(tbl_Finance[Job Number],C215&amp;"",tbl_Finance[Cost Centre],"INTEGRATION")&gt;0,"INTEGRATION ","")&amp;IF(COUNTIFS(tbl_Finance[Job Number],C215&amp;"",tbl_Finance[Cost Centre],"CONSULTING")&gt;0,"CONSULTING ","")&amp;IF(COUNTIFS(tbl_Finance[Job Number],C215&amp;"",tbl_Finance[Cost Centre],"CTS")&gt;0,"CTS ",""))," ",", ")))</f>
        <v/>
      </c>
      <c r="L215" s="24" t="n"/>
      <c r="M215" s="24" t="n"/>
      <c r="N215" s="25">
        <f>IF(M215="","",HYPERLINK(IF(LEFT(M215,4)="http",M215,set_QwilrBase&amp;M215),"Open quote"))</f>
        <v/>
      </c>
      <c r="O215" s="64" t="n"/>
      <c r="P215" s="24" t="n"/>
      <c r="Q215" s="24" t="n"/>
    </row>
    <row r="216" ht="15" customHeight="1">
      <c r="A216" s="63">
        <f>IF(C216="","",IFERROR(IF(SUMPRODUCT(MAX((tbl_Finance[Job Number]=C216&amp;"")*(tbl_Finance[Xero Invoice No]&lt;&gt;"")*tbl_Finance[Date]))=0,"",SUMPRODUCT(MAX((tbl_Finance[Job Number]=C216&amp;"")*(tbl_Finance[Xero Invoice No]&lt;&gt;"")*tbl_Finance[Date]))),""))</f>
        <v/>
      </c>
      <c r="B216" s="25">
        <f>IF(C216="","",IF(COUNTIFS(tbl_Finance[Job Number],C216&amp;"",tbl_Finance[Xero Invoice No],"&lt;&gt;")=0,"",IFERROR(IF(COUNTIFS(tbl_Finance[Job Number],C216&amp;"",tbl_Finance[Xero Invoice No],LOOKUP(2,1/((tbl_Finance[Job Number]=C216&amp;"")*(tbl_Finance[Xero Invoice No]&lt;&gt;"")),tbl_Finance[Xero Invoice No]))=COUNTIFS(tbl_Finance[Job Number],C216&amp;"",tbl_Finance[Xero Invoice No],"&lt;&gt;"),LOOKUP(2,1/((tbl_Finance[Job Number]=C216&amp;"")*(tbl_Finance[Xero Invoice No]&lt;&gt;"")),tbl_Finance[Xero Invoice No]),LOOKUP(2,1/((tbl_Finance[Job Number]=C216&amp;"")*(tbl_Finance[Xero Invoice No]&lt;&gt;"")),tbl_Finance[Xero Invoice No])&amp;" +more"),"")))</f>
        <v/>
      </c>
      <c r="C216" s="24" t="n"/>
      <c r="D216" s="25">
        <f>IF(C216="","",IF(COUNTIF(lst_Jobs,C216&amp;"")&gt;0,"OK","CHECK"))</f>
        <v/>
      </c>
      <c r="E216" s="25">
        <f>IF(C216="","",IFERROR(INDEX(lst_JobName,MATCH(C216&amp;"",lst_Jobs,0)),""))</f>
        <v/>
      </c>
      <c r="F216" s="25">
        <f>IF(C216="","",IFERROR(INDEX(tbl_Finance[Client],MATCH(C216&amp;"",tbl_Finance[Job Number],0)),""))</f>
        <v/>
      </c>
      <c r="G216" s="28">
        <f>IF(C216="","",COUNTIFS(tbl_Finance[Job Number],C216&amp;"",tbl_Finance[Ex GST],"&lt;&gt;"))</f>
        <v/>
      </c>
      <c r="H216" s="27">
        <f>IF(C216="","",SUMIFS(tbl_Finance[Ex GST],tbl_Finance[Job Number],C216&amp;""))</f>
        <v/>
      </c>
      <c r="I216" s="27">
        <f>IF(C216="","",SUMIFS(tbl_Finance[Ex GST],tbl_Finance[Job Number],C216&amp;"",tbl_Finance[Xero Invoice No],"&lt;&gt;"))</f>
        <v/>
      </c>
      <c r="J216" s="27">
        <f>IF(C216="","",H216-I216)</f>
        <v/>
      </c>
      <c r="K216" s="25">
        <f>IF(C216="","",IF(G216=0,"not invoiced yet",SUBSTITUTE(TRIM(IF(COUNTIFS(tbl_Finance[Job Number],C216&amp;"",tbl_Finance[Cost Centre],"ONSITE")&gt;0,"ONSITE ","")&amp;IF(COUNTIFS(tbl_Finance[Job Number],C216&amp;"",tbl_Finance[Cost Centre],"PRODUCTION")&gt;0,"PRODUCTION ","")&amp;IF(COUNTIFS(tbl_Finance[Job Number],C216&amp;"",tbl_Finance[Cost Centre],"VIDEO")&gt;0,"VIDEO ","")&amp;IF(COUNTIFS(tbl_Finance[Job Number],C216&amp;"",tbl_Finance[Cost Centre],"INTEGRATION")&gt;0,"INTEGRATION ","")&amp;IF(COUNTIFS(tbl_Finance[Job Number],C216&amp;"",tbl_Finance[Cost Centre],"CONSULTING")&gt;0,"CONSULTING ","")&amp;IF(COUNTIFS(tbl_Finance[Job Number],C216&amp;"",tbl_Finance[Cost Centre],"CTS")&gt;0,"CTS ",""))," ",", ")))</f>
        <v/>
      </c>
      <c r="L216" s="24" t="n"/>
      <c r="M216" s="24" t="n"/>
      <c r="N216" s="25">
        <f>IF(M216="","",HYPERLINK(IF(LEFT(M216,4)="http",M216,set_QwilrBase&amp;M216),"Open quote"))</f>
        <v/>
      </c>
      <c r="O216" s="64" t="n"/>
      <c r="P216" s="24" t="n"/>
      <c r="Q216" s="24" t="n"/>
    </row>
    <row r="217" ht="15" customHeight="1">
      <c r="A217" s="63">
        <f>IF(C217="","",IFERROR(IF(SUMPRODUCT(MAX((tbl_Finance[Job Number]=C217&amp;"")*(tbl_Finance[Xero Invoice No]&lt;&gt;"")*tbl_Finance[Date]))=0,"",SUMPRODUCT(MAX((tbl_Finance[Job Number]=C217&amp;"")*(tbl_Finance[Xero Invoice No]&lt;&gt;"")*tbl_Finance[Date]))),""))</f>
        <v/>
      </c>
      <c r="B217" s="25">
        <f>IF(C217="","",IF(COUNTIFS(tbl_Finance[Job Number],C217&amp;"",tbl_Finance[Xero Invoice No],"&lt;&gt;")=0,"",IFERROR(IF(COUNTIFS(tbl_Finance[Job Number],C217&amp;"",tbl_Finance[Xero Invoice No],LOOKUP(2,1/((tbl_Finance[Job Number]=C217&amp;"")*(tbl_Finance[Xero Invoice No]&lt;&gt;"")),tbl_Finance[Xero Invoice No]))=COUNTIFS(tbl_Finance[Job Number],C217&amp;"",tbl_Finance[Xero Invoice No],"&lt;&gt;"),LOOKUP(2,1/((tbl_Finance[Job Number]=C217&amp;"")*(tbl_Finance[Xero Invoice No]&lt;&gt;"")),tbl_Finance[Xero Invoice No]),LOOKUP(2,1/((tbl_Finance[Job Number]=C217&amp;"")*(tbl_Finance[Xero Invoice No]&lt;&gt;"")),tbl_Finance[Xero Invoice No])&amp;" +more"),"")))</f>
        <v/>
      </c>
      <c r="C217" s="24" t="n"/>
      <c r="D217" s="25">
        <f>IF(C217="","",IF(COUNTIF(lst_Jobs,C217&amp;"")&gt;0,"OK","CHECK"))</f>
        <v/>
      </c>
      <c r="E217" s="25">
        <f>IF(C217="","",IFERROR(INDEX(lst_JobName,MATCH(C217&amp;"",lst_Jobs,0)),""))</f>
        <v/>
      </c>
      <c r="F217" s="25">
        <f>IF(C217="","",IFERROR(INDEX(tbl_Finance[Client],MATCH(C217&amp;"",tbl_Finance[Job Number],0)),""))</f>
        <v/>
      </c>
      <c r="G217" s="28">
        <f>IF(C217="","",COUNTIFS(tbl_Finance[Job Number],C217&amp;"",tbl_Finance[Ex GST],"&lt;&gt;"))</f>
        <v/>
      </c>
      <c r="H217" s="27">
        <f>IF(C217="","",SUMIFS(tbl_Finance[Ex GST],tbl_Finance[Job Number],C217&amp;""))</f>
        <v/>
      </c>
      <c r="I217" s="27">
        <f>IF(C217="","",SUMIFS(tbl_Finance[Ex GST],tbl_Finance[Job Number],C217&amp;"",tbl_Finance[Xero Invoice No],"&lt;&gt;"))</f>
        <v/>
      </c>
      <c r="J217" s="27">
        <f>IF(C217="","",H217-I217)</f>
        <v/>
      </c>
      <c r="K217" s="25">
        <f>IF(C217="","",IF(G217=0,"not invoiced yet",SUBSTITUTE(TRIM(IF(COUNTIFS(tbl_Finance[Job Number],C217&amp;"",tbl_Finance[Cost Centre],"ONSITE")&gt;0,"ONSITE ","")&amp;IF(COUNTIFS(tbl_Finance[Job Number],C217&amp;"",tbl_Finance[Cost Centre],"PRODUCTION")&gt;0,"PRODUCTION ","")&amp;IF(COUNTIFS(tbl_Finance[Job Number],C217&amp;"",tbl_Finance[Cost Centre],"VIDEO")&gt;0,"VIDEO ","")&amp;IF(COUNTIFS(tbl_Finance[Job Number],C217&amp;"",tbl_Finance[Cost Centre],"INTEGRATION")&gt;0,"INTEGRATION ","")&amp;IF(COUNTIFS(tbl_Finance[Job Number],C217&amp;"",tbl_Finance[Cost Centre],"CONSULTING")&gt;0,"CONSULTING ","")&amp;IF(COUNTIFS(tbl_Finance[Job Number],C217&amp;"",tbl_Finance[Cost Centre],"CTS")&gt;0,"CTS ",""))," ",", ")))</f>
        <v/>
      </c>
      <c r="L217" s="24" t="n"/>
      <c r="M217" s="24" t="n"/>
      <c r="N217" s="25">
        <f>IF(M217="","",HYPERLINK(IF(LEFT(M217,4)="http",M217,set_QwilrBase&amp;M217),"Open quote"))</f>
        <v/>
      </c>
      <c r="O217" s="64" t="n"/>
      <c r="P217" s="24" t="n"/>
      <c r="Q217" s="24" t="n"/>
    </row>
    <row r="218" ht="15" customHeight="1">
      <c r="A218" s="63">
        <f>IF(C218="","",IFERROR(IF(SUMPRODUCT(MAX((tbl_Finance[Job Number]=C218&amp;"")*(tbl_Finance[Xero Invoice No]&lt;&gt;"")*tbl_Finance[Date]))=0,"",SUMPRODUCT(MAX((tbl_Finance[Job Number]=C218&amp;"")*(tbl_Finance[Xero Invoice No]&lt;&gt;"")*tbl_Finance[Date]))),""))</f>
        <v/>
      </c>
      <c r="B218" s="25">
        <f>IF(C218="","",IF(COUNTIFS(tbl_Finance[Job Number],C218&amp;"",tbl_Finance[Xero Invoice No],"&lt;&gt;")=0,"",IFERROR(IF(COUNTIFS(tbl_Finance[Job Number],C218&amp;"",tbl_Finance[Xero Invoice No],LOOKUP(2,1/((tbl_Finance[Job Number]=C218&amp;"")*(tbl_Finance[Xero Invoice No]&lt;&gt;"")),tbl_Finance[Xero Invoice No]))=COUNTIFS(tbl_Finance[Job Number],C218&amp;"",tbl_Finance[Xero Invoice No],"&lt;&gt;"),LOOKUP(2,1/((tbl_Finance[Job Number]=C218&amp;"")*(tbl_Finance[Xero Invoice No]&lt;&gt;"")),tbl_Finance[Xero Invoice No]),LOOKUP(2,1/((tbl_Finance[Job Number]=C218&amp;"")*(tbl_Finance[Xero Invoice No]&lt;&gt;"")),tbl_Finance[Xero Invoice No])&amp;" +more"),"")))</f>
        <v/>
      </c>
      <c r="C218" s="24" t="n"/>
      <c r="D218" s="25">
        <f>IF(C218="","",IF(COUNTIF(lst_Jobs,C218&amp;"")&gt;0,"OK","CHECK"))</f>
        <v/>
      </c>
      <c r="E218" s="25">
        <f>IF(C218="","",IFERROR(INDEX(lst_JobName,MATCH(C218&amp;"",lst_Jobs,0)),""))</f>
        <v/>
      </c>
      <c r="F218" s="25">
        <f>IF(C218="","",IFERROR(INDEX(tbl_Finance[Client],MATCH(C218&amp;"",tbl_Finance[Job Number],0)),""))</f>
        <v/>
      </c>
      <c r="G218" s="28">
        <f>IF(C218="","",COUNTIFS(tbl_Finance[Job Number],C218&amp;"",tbl_Finance[Ex GST],"&lt;&gt;"))</f>
        <v/>
      </c>
      <c r="H218" s="27">
        <f>IF(C218="","",SUMIFS(tbl_Finance[Ex GST],tbl_Finance[Job Number],C218&amp;""))</f>
        <v/>
      </c>
      <c r="I218" s="27">
        <f>IF(C218="","",SUMIFS(tbl_Finance[Ex GST],tbl_Finance[Job Number],C218&amp;"",tbl_Finance[Xero Invoice No],"&lt;&gt;"))</f>
        <v/>
      </c>
      <c r="J218" s="27">
        <f>IF(C218="","",H218-I218)</f>
        <v/>
      </c>
      <c r="K218" s="25">
        <f>IF(C218="","",IF(G218=0,"not invoiced yet",SUBSTITUTE(TRIM(IF(COUNTIFS(tbl_Finance[Job Number],C218&amp;"",tbl_Finance[Cost Centre],"ONSITE")&gt;0,"ONSITE ","")&amp;IF(COUNTIFS(tbl_Finance[Job Number],C218&amp;"",tbl_Finance[Cost Centre],"PRODUCTION")&gt;0,"PRODUCTION ","")&amp;IF(COUNTIFS(tbl_Finance[Job Number],C218&amp;"",tbl_Finance[Cost Centre],"VIDEO")&gt;0,"VIDEO ","")&amp;IF(COUNTIFS(tbl_Finance[Job Number],C218&amp;"",tbl_Finance[Cost Centre],"INTEGRATION")&gt;0,"INTEGRATION ","")&amp;IF(COUNTIFS(tbl_Finance[Job Number],C218&amp;"",tbl_Finance[Cost Centre],"CONSULTING")&gt;0,"CONSULTING ","")&amp;IF(COUNTIFS(tbl_Finance[Job Number],C218&amp;"",tbl_Finance[Cost Centre],"CTS")&gt;0,"CTS ",""))," ",", ")))</f>
        <v/>
      </c>
      <c r="L218" s="24" t="n"/>
      <c r="M218" s="24" t="n"/>
      <c r="N218" s="25">
        <f>IF(M218="","",HYPERLINK(IF(LEFT(M218,4)="http",M218,set_QwilrBase&amp;M218),"Open quote"))</f>
        <v/>
      </c>
      <c r="O218" s="64" t="n"/>
      <c r="P218" s="24" t="n"/>
      <c r="Q218" s="24" t="n"/>
    </row>
    <row r="219" ht="15" customHeight="1">
      <c r="A219" s="63">
        <f>IF(C219="","",IFERROR(IF(SUMPRODUCT(MAX((tbl_Finance[Job Number]=C219&amp;"")*(tbl_Finance[Xero Invoice No]&lt;&gt;"")*tbl_Finance[Date]))=0,"",SUMPRODUCT(MAX((tbl_Finance[Job Number]=C219&amp;"")*(tbl_Finance[Xero Invoice No]&lt;&gt;"")*tbl_Finance[Date]))),""))</f>
        <v/>
      </c>
      <c r="B219" s="25">
        <f>IF(C219="","",IF(COUNTIFS(tbl_Finance[Job Number],C219&amp;"",tbl_Finance[Xero Invoice No],"&lt;&gt;")=0,"",IFERROR(IF(COUNTIFS(tbl_Finance[Job Number],C219&amp;"",tbl_Finance[Xero Invoice No],LOOKUP(2,1/((tbl_Finance[Job Number]=C219&amp;"")*(tbl_Finance[Xero Invoice No]&lt;&gt;"")),tbl_Finance[Xero Invoice No]))=COUNTIFS(tbl_Finance[Job Number],C219&amp;"",tbl_Finance[Xero Invoice No],"&lt;&gt;"),LOOKUP(2,1/((tbl_Finance[Job Number]=C219&amp;"")*(tbl_Finance[Xero Invoice No]&lt;&gt;"")),tbl_Finance[Xero Invoice No]),LOOKUP(2,1/((tbl_Finance[Job Number]=C219&amp;"")*(tbl_Finance[Xero Invoice No]&lt;&gt;"")),tbl_Finance[Xero Invoice No])&amp;" +more"),"")))</f>
        <v/>
      </c>
      <c r="C219" s="24" t="n"/>
      <c r="D219" s="25">
        <f>IF(C219="","",IF(COUNTIF(lst_Jobs,C219&amp;"")&gt;0,"OK","CHECK"))</f>
        <v/>
      </c>
      <c r="E219" s="25">
        <f>IF(C219="","",IFERROR(INDEX(lst_JobName,MATCH(C219&amp;"",lst_Jobs,0)),""))</f>
        <v/>
      </c>
      <c r="F219" s="25">
        <f>IF(C219="","",IFERROR(INDEX(tbl_Finance[Client],MATCH(C219&amp;"",tbl_Finance[Job Number],0)),""))</f>
        <v/>
      </c>
      <c r="G219" s="28">
        <f>IF(C219="","",COUNTIFS(tbl_Finance[Job Number],C219&amp;"",tbl_Finance[Ex GST],"&lt;&gt;"))</f>
        <v/>
      </c>
      <c r="H219" s="27">
        <f>IF(C219="","",SUMIFS(tbl_Finance[Ex GST],tbl_Finance[Job Number],C219&amp;""))</f>
        <v/>
      </c>
      <c r="I219" s="27">
        <f>IF(C219="","",SUMIFS(tbl_Finance[Ex GST],tbl_Finance[Job Number],C219&amp;"",tbl_Finance[Xero Invoice No],"&lt;&gt;"))</f>
        <v/>
      </c>
      <c r="J219" s="27">
        <f>IF(C219="","",H219-I219)</f>
        <v/>
      </c>
      <c r="K219" s="25">
        <f>IF(C219="","",IF(G219=0,"not invoiced yet",SUBSTITUTE(TRIM(IF(COUNTIFS(tbl_Finance[Job Number],C219&amp;"",tbl_Finance[Cost Centre],"ONSITE")&gt;0,"ONSITE ","")&amp;IF(COUNTIFS(tbl_Finance[Job Number],C219&amp;"",tbl_Finance[Cost Centre],"PRODUCTION")&gt;0,"PRODUCTION ","")&amp;IF(COUNTIFS(tbl_Finance[Job Number],C219&amp;"",tbl_Finance[Cost Centre],"VIDEO")&gt;0,"VIDEO ","")&amp;IF(COUNTIFS(tbl_Finance[Job Number],C219&amp;"",tbl_Finance[Cost Centre],"INTEGRATION")&gt;0,"INTEGRATION ","")&amp;IF(COUNTIFS(tbl_Finance[Job Number],C219&amp;"",tbl_Finance[Cost Centre],"CONSULTING")&gt;0,"CONSULTING ","")&amp;IF(COUNTIFS(tbl_Finance[Job Number],C219&amp;"",tbl_Finance[Cost Centre],"CTS")&gt;0,"CTS ",""))," ",", ")))</f>
        <v/>
      </c>
      <c r="L219" s="24" t="n"/>
      <c r="M219" s="24" t="n"/>
      <c r="N219" s="25">
        <f>IF(M219="","",HYPERLINK(IF(LEFT(M219,4)="http",M219,set_QwilrBase&amp;M219),"Open quote"))</f>
        <v/>
      </c>
      <c r="O219" s="64" t="n"/>
      <c r="P219" s="24" t="n"/>
      <c r="Q219" s="24" t="n"/>
    </row>
    <row r="220" ht="15" customHeight="1">
      <c r="A220" s="63">
        <f>IF(C220="","",IFERROR(IF(SUMPRODUCT(MAX((tbl_Finance[Job Number]=C220&amp;"")*(tbl_Finance[Xero Invoice No]&lt;&gt;"")*tbl_Finance[Date]))=0,"",SUMPRODUCT(MAX((tbl_Finance[Job Number]=C220&amp;"")*(tbl_Finance[Xero Invoice No]&lt;&gt;"")*tbl_Finance[Date]))),""))</f>
        <v/>
      </c>
      <c r="B220" s="25">
        <f>IF(C220="","",IF(COUNTIFS(tbl_Finance[Job Number],C220&amp;"",tbl_Finance[Xero Invoice No],"&lt;&gt;")=0,"",IFERROR(IF(COUNTIFS(tbl_Finance[Job Number],C220&amp;"",tbl_Finance[Xero Invoice No],LOOKUP(2,1/((tbl_Finance[Job Number]=C220&amp;"")*(tbl_Finance[Xero Invoice No]&lt;&gt;"")),tbl_Finance[Xero Invoice No]))=COUNTIFS(tbl_Finance[Job Number],C220&amp;"",tbl_Finance[Xero Invoice No],"&lt;&gt;"),LOOKUP(2,1/((tbl_Finance[Job Number]=C220&amp;"")*(tbl_Finance[Xero Invoice No]&lt;&gt;"")),tbl_Finance[Xero Invoice No]),LOOKUP(2,1/((tbl_Finance[Job Number]=C220&amp;"")*(tbl_Finance[Xero Invoice No]&lt;&gt;"")),tbl_Finance[Xero Invoice No])&amp;" +more"),"")))</f>
        <v/>
      </c>
      <c r="C220" s="24" t="n"/>
      <c r="D220" s="25">
        <f>IF(C220="","",IF(COUNTIF(lst_Jobs,C220&amp;"")&gt;0,"OK","CHECK"))</f>
        <v/>
      </c>
      <c r="E220" s="25">
        <f>IF(C220="","",IFERROR(INDEX(lst_JobName,MATCH(C220&amp;"",lst_Jobs,0)),""))</f>
        <v/>
      </c>
      <c r="F220" s="25">
        <f>IF(C220="","",IFERROR(INDEX(tbl_Finance[Client],MATCH(C220&amp;"",tbl_Finance[Job Number],0)),""))</f>
        <v/>
      </c>
      <c r="G220" s="28">
        <f>IF(C220="","",COUNTIFS(tbl_Finance[Job Number],C220&amp;"",tbl_Finance[Ex GST],"&lt;&gt;"))</f>
        <v/>
      </c>
      <c r="H220" s="27">
        <f>IF(C220="","",SUMIFS(tbl_Finance[Ex GST],tbl_Finance[Job Number],C220&amp;""))</f>
        <v/>
      </c>
      <c r="I220" s="27">
        <f>IF(C220="","",SUMIFS(tbl_Finance[Ex GST],tbl_Finance[Job Number],C220&amp;"",tbl_Finance[Xero Invoice No],"&lt;&gt;"))</f>
        <v/>
      </c>
      <c r="J220" s="27">
        <f>IF(C220="","",H220-I220)</f>
        <v/>
      </c>
      <c r="K220" s="25">
        <f>IF(C220="","",IF(G220=0,"not invoiced yet",SUBSTITUTE(TRIM(IF(COUNTIFS(tbl_Finance[Job Number],C220&amp;"",tbl_Finance[Cost Centre],"ONSITE")&gt;0,"ONSITE ","")&amp;IF(COUNTIFS(tbl_Finance[Job Number],C220&amp;"",tbl_Finance[Cost Centre],"PRODUCTION")&gt;0,"PRODUCTION ","")&amp;IF(COUNTIFS(tbl_Finance[Job Number],C220&amp;"",tbl_Finance[Cost Centre],"VIDEO")&gt;0,"VIDEO ","")&amp;IF(COUNTIFS(tbl_Finance[Job Number],C220&amp;"",tbl_Finance[Cost Centre],"INTEGRATION")&gt;0,"INTEGRATION ","")&amp;IF(COUNTIFS(tbl_Finance[Job Number],C220&amp;"",tbl_Finance[Cost Centre],"CONSULTING")&gt;0,"CONSULTING ","")&amp;IF(COUNTIFS(tbl_Finance[Job Number],C220&amp;"",tbl_Finance[Cost Centre],"CTS")&gt;0,"CTS ",""))," ",", ")))</f>
        <v/>
      </c>
      <c r="L220" s="24" t="n"/>
      <c r="M220" s="24" t="n"/>
      <c r="N220" s="25">
        <f>IF(M220="","",HYPERLINK(IF(LEFT(M220,4)="http",M220,set_QwilrBase&amp;M220),"Open quote"))</f>
        <v/>
      </c>
      <c r="O220" s="64" t="n"/>
      <c r="P220" s="24" t="n"/>
      <c r="Q220" s="24" t="n"/>
    </row>
    <row r="221" ht="15" customHeight="1">
      <c r="A221" s="63">
        <f>IF(C221="","",IFERROR(IF(SUMPRODUCT(MAX((tbl_Finance[Job Number]=C221&amp;"")*(tbl_Finance[Xero Invoice No]&lt;&gt;"")*tbl_Finance[Date]))=0,"",SUMPRODUCT(MAX((tbl_Finance[Job Number]=C221&amp;"")*(tbl_Finance[Xero Invoice No]&lt;&gt;"")*tbl_Finance[Date]))),""))</f>
        <v/>
      </c>
      <c r="B221" s="25">
        <f>IF(C221="","",IF(COUNTIFS(tbl_Finance[Job Number],C221&amp;"",tbl_Finance[Xero Invoice No],"&lt;&gt;")=0,"",IFERROR(IF(COUNTIFS(tbl_Finance[Job Number],C221&amp;"",tbl_Finance[Xero Invoice No],LOOKUP(2,1/((tbl_Finance[Job Number]=C221&amp;"")*(tbl_Finance[Xero Invoice No]&lt;&gt;"")),tbl_Finance[Xero Invoice No]))=COUNTIFS(tbl_Finance[Job Number],C221&amp;"",tbl_Finance[Xero Invoice No],"&lt;&gt;"),LOOKUP(2,1/((tbl_Finance[Job Number]=C221&amp;"")*(tbl_Finance[Xero Invoice No]&lt;&gt;"")),tbl_Finance[Xero Invoice No]),LOOKUP(2,1/((tbl_Finance[Job Number]=C221&amp;"")*(tbl_Finance[Xero Invoice No]&lt;&gt;"")),tbl_Finance[Xero Invoice No])&amp;" +more"),"")))</f>
        <v/>
      </c>
      <c r="C221" s="24" t="n"/>
      <c r="D221" s="25">
        <f>IF(C221="","",IF(COUNTIF(lst_Jobs,C221&amp;"")&gt;0,"OK","CHECK"))</f>
        <v/>
      </c>
      <c r="E221" s="25">
        <f>IF(C221="","",IFERROR(INDEX(lst_JobName,MATCH(C221&amp;"",lst_Jobs,0)),""))</f>
        <v/>
      </c>
      <c r="F221" s="25">
        <f>IF(C221="","",IFERROR(INDEX(tbl_Finance[Client],MATCH(C221&amp;"",tbl_Finance[Job Number],0)),""))</f>
        <v/>
      </c>
      <c r="G221" s="28">
        <f>IF(C221="","",COUNTIFS(tbl_Finance[Job Number],C221&amp;"",tbl_Finance[Ex GST],"&lt;&gt;"))</f>
        <v/>
      </c>
      <c r="H221" s="27">
        <f>IF(C221="","",SUMIFS(tbl_Finance[Ex GST],tbl_Finance[Job Number],C221&amp;""))</f>
        <v/>
      </c>
      <c r="I221" s="27">
        <f>IF(C221="","",SUMIFS(tbl_Finance[Ex GST],tbl_Finance[Job Number],C221&amp;"",tbl_Finance[Xero Invoice No],"&lt;&gt;"))</f>
        <v/>
      </c>
      <c r="J221" s="27">
        <f>IF(C221="","",H221-I221)</f>
        <v/>
      </c>
      <c r="K221" s="25">
        <f>IF(C221="","",IF(G221=0,"not invoiced yet",SUBSTITUTE(TRIM(IF(COUNTIFS(tbl_Finance[Job Number],C221&amp;"",tbl_Finance[Cost Centre],"ONSITE")&gt;0,"ONSITE ","")&amp;IF(COUNTIFS(tbl_Finance[Job Number],C221&amp;"",tbl_Finance[Cost Centre],"PRODUCTION")&gt;0,"PRODUCTION ","")&amp;IF(COUNTIFS(tbl_Finance[Job Number],C221&amp;"",tbl_Finance[Cost Centre],"VIDEO")&gt;0,"VIDEO ","")&amp;IF(COUNTIFS(tbl_Finance[Job Number],C221&amp;"",tbl_Finance[Cost Centre],"INTEGRATION")&gt;0,"INTEGRATION ","")&amp;IF(COUNTIFS(tbl_Finance[Job Number],C221&amp;"",tbl_Finance[Cost Centre],"CONSULTING")&gt;0,"CONSULTING ","")&amp;IF(COUNTIFS(tbl_Finance[Job Number],C221&amp;"",tbl_Finance[Cost Centre],"CTS")&gt;0,"CTS ",""))," ",", ")))</f>
        <v/>
      </c>
      <c r="L221" s="24" t="n"/>
      <c r="M221" s="24" t="n"/>
      <c r="N221" s="25">
        <f>IF(M221="","",HYPERLINK(IF(LEFT(M221,4)="http",M221,set_QwilrBase&amp;M221),"Open quote"))</f>
        <v/>
      </c>
      <c r="O221" s="64" t="n"/>
      <c r="P221" s="24" t="n"/>
      <c r="Q221" s="24" t="n"/>
    </row>
    <row r="222" ht="15" customHeight="1">
      <c r="A222" s="63">
        <f>IF(C222="","",IFERROR(IF(SUMPRODUCT(MAX((tbl_Finance[Job Number]=C222&amp;"")*(tbl_Finance[Xero Invoice No]&lt;&gt;"")*tbl_Finance[Date]))=0,"",SUMPRODUCT(MAX((tbl_Finance[Job Number]=C222&amp;"")*(tbl_Finance[Xero Invoice No]&lt;&gt;"")*tbl_Finance[Date]))),""))</f>
        <v/>
      </c>
      <c r="B222" s="25">
        <f>IF(C222="","",IF(COUNTIFS(tbl_Finance[Job Number],C222&amp;"",tbl_Finance[Xero Invoice No],"&lt;&gt;")=0,"",IFERROR(IF(COUNTIFS(tbl_Finance[Job Number],C222&amp;"",tbl_Finance[Xero Invoice No],LOOKUP(2,1/((tbl_Finance[Job Number]=C222&amp;"")*(tbl_Finance[Xero Invoice No]&lt;&gt;"")),tbl_Finance[Xero Invoice No]))=COUNTIFS(tbl_Finance[Job Number],C222&amp;"",tbl_Finance[Xero Invoice No],"&lt;&gt;"),LOOKUP(2,1/((tbl_Finance[Job Number]=C222&amp;"")*(tbl_Finance[Xero Invoice No]&lt;&gt;"")),tbl_Finance[Xero Invoice No]),LOOKUP(2,1/((tbl_Finance[Job Number]=C222&amp;"")*(tbl_Finance[Xero Invoice No]&lt;&gt;"")),tbl_Finance[Xero Invoice No])&amp;" +more"),"")))</f>
        <v/>
      </c>
      <c r="C222" s="24" t="n"/>
      <c r="D222" s="25">
        <f>IF(C222="","",IF(COUNTIF(lst_Jobs,C222&amp;"")&gt;0,"OK","CHECK"))</f>
        <v/>
      </c>
      <c r="E222" s="25">
        <f>IF(C222="","",IFERROR(INDEX(lst_JobName,MATCH(C222&amp;"",lst_Jobs,0)),""))</f>
        <v/>
      </c>
      <c r="F222" s="25">
        <f>IF(C222="","",IFERROR(INDEX(tbl_Finance[Client],MATCH(C222&amp;"",tbl_Finance[Job Number],0)),""))</f>
        <v/>
      </c>
      <c r="G222" s="28">
        <f>IF(C222="","",COUNTIFS(tbl_Finance[Job Number],C222&amp;"",tbl_Finance[Ex GST],"&lt;&gt;"))</f>
        <v/>
      </c>
      <c r="H222" s="27">
        <f>IF(C222="","",SUMIFS(tbl_Finance[Ex GST],tbl_Finance[Job Number],C222&amp;""))</f>
        <v/>
      </c>
      <c r="I222" s="27">
        <f>IF(C222="","",SUMIFS(tbl_Finance[Ex GST],tbl_Finance[Job Number],C222&amp;"",tbl_Finance[Xero Invoice No],"&lt;&gt;"))</f>
        <v/>
      </c>
      <c r="J222" s="27">
        <f>IF(C222="","",H222-I222)</f>
        <v/>
      </c>
      <c r="K222" s="25">
        <f>IF(C222="","",IF(G222=0,"not invoiced yet",SUBSTITUTE(TRIM(IF(COUNTIFS(tbl_Finance[Job Number],C222&amp;"",tbl_Finance[Cost Centre],"ONSITE")&gt;0,"ONSITE ","")&amp;IF(COUNTIFS(tbl_Finance[Job Number],C222&amp;"",tbl_Finance[Cost Centre],"PRODUCTION")&gt;0,"PRODUCTION ","")&amp;IF(COUNTIFS(tbl_Finance[Job Number],C222&amp;"",tbl_Finance[Cost Centre],"VIDEO")&gt;0,"VIDEO ","")&amp;IF(COUNTIFS(tbl_Finance[Job Number],C222&amp;"",tbl_Finance[Cost Centre],"INTEGRATION")&gt;0,"INTEGRATION ","")&amp;IF(COUNTIFS(tbl_Finance[Job Number],C222&amp;"",tbl_Finance[Cost Centre],"CONSULTING")&gt;0,"CONSULTING ","")&amp;IF(COUNTIFS(tbl_Finance[Job Number],C222&amp;"",tbl_Finance[Cost Centre],"CTS")&gt;0,"CTS ",""))," ",", ")))</f>
        <v/>
      </c>
      <c r="L222" s="24" t="n"/>
      <c r="M222" s="24" t="n"/>
      <c r="N222" s="25">
        <f>IF(M222="","",HYPERLINK(IF(LEFT(M222,4)="http",M222,set_QwilrBase&amp;M222),"Open quote"))</f>
        <v/>
      </c>
      <c r="O222" s="64" t="n"/>
      <c r="P222" s="24" t="n"/>
      <c r="Q222" s="24" t="n"/>
    </row>
    <row r="223" ht="15" customHeight="1">
      <c r="A223" s="63">
        <f>IF(C223="","",IFERROR(IF(SUMPRODUCT(MAX((tbl_Finance[Job Number]=C223&amp;"")*(tbl_Finance[Xero Invoice No]&lt;&gt;"")*tbl_Finance[Date]))=0,"",SUMPRODUCT(MAX((tbl_Finance[Job Number]=C223&amp;"")*(tbl_Finance[Xero Invoice No]&lt;&gt;"")*tbl_Finance[Date]))),""))</f>
        <v/>
      </c>
      <c r="B223" s="25">
        <f>IF(C223="","",IF(COUNTIFS(tbl_Finance[Job Number],C223&amp;"",tbl_Finance[Xero Invoice No],"&lt;&gt;")=0,"",IFERROR(IF(COUNTIFS(tbl_Finance[Job Number],C223&amp;"",tbl_Finance[Xero Invoice No],LOOKUP(2,1/((tbl_Finance[Job Number]=C223&amp;"")*(tbl_Finance[Xero Invoice No]&lt;&gt;"")),tbl_Finance[Xero Invoice No]))=COUNTIFS(tbl_Finance[Job Number],C223&amp;"",tbl_Finance[Xero Invoice No],"&lt;&gt;"),LOOKUP(2,1/((tbl_Finance[Job Number]=C223&amp;"")*(tbl_Finance[Xero Invoice No]&lt;&gt;"")),tbl_Finance[Xero Invoice No]),LOOKUP(2,1/((tbl_Finance[Job Number]=C223&amp;"")*(tbl_Finance[Xero Invoice No]&lt;&gt;"")),tbl_Finance[Xero Invoice No])&amp;" +more"),"")))</f>
        <v/>
      </c>
      <c r="C223" s="24" t="n"/>
      <c r="D223" s="25">
        <f>IF(C223="","",IF(COUNTIF(lst_Jobs,C223&amp;"")&gt;0,"OK","CHECK"))</f>
        <v/>
      </c>
      <c r="E223" s="25">
        <f>IF(C223="","",IFERROR(INDEX(lst_JobName,MATCH(C223&amp;"",lst_Jobs,0)),""))</f>
        <v/>
      </c>
      <c r="F223" s="25">
        <f>IF(C223="","",IFERROR(INDEX(tbl_Finance[Client],MATCH(C223&amp;"",tbl_Finance[Job Number],0)),""))</f>
        <v/>
      </c>
      <c r="G223" s="28">
        <f>IF(C223="","",COUNTIFS(tbl_Finance[Job Number],C223&amp;"",tbl_Finance[Ex GST],"&lt;&gt;"))</f>
        <v/>
      </c>
      <c r="H223" s="27">
        <f>IF(C223="","",SUMIFS(tbl_Finance[Ex GST],tbl_Finance[Job Number],C223&amp;""))</f>
        <v/>
      </c>
      <c r="I223" s="27">
        <f>IF(C223="","",SUMIFS(tbl_Finance[Ex GST],tbl_Finance[Job Number],C223&amp;"",tbl_Finance[Xero Invoice No],"&lt;&gt;"))</f>
        <v/>
      </c>
      <c r="J223" s="27">
        <f>IF(C223="","",H223-I223)</f>
        <v/>
      </c>
      <c r="K223" s="25">
        <f>IF(C223="","",IF(G223=0,"not invoiced yet",SUBSTITUTE(TRIM(IF(COUNTIFS(tbl_Finance[Job Number],C223&amp;"",tbl_Finance[Cost Centre],"ONSITE")&gt;0,"ONSITE ","")&amp;IF(COUNTIFS(tbl_Finance[Job Number],C223&amp;"",tbl_Finance[Cost Centre],"PRODUCTION")&gt;0,"PRODUCTION ","")&amp;IF(COUNTIFS(tbl_Finance[Job Number],C223&amp;"",tbl_Finance[Cost Centre],"VIDEO")&gt;0,"VIDEO ","")&amp;IF(COUNTIFS(tbl_Finance[Job Number],C223&amp;"",tbl_Finance[Cost Centre],"INTEGRATION")&gt;0,"INTEGRATION ","")&amp;IF(COUNTIFS(tbl_Finance[Job Number],C223&amp;"",tbl_Finance[Cost Centre],"CONSULTING")&gt;0,"CONSULTING ","")&amp;IF(COUNTIFS(tbl_Finance[Job Number],C223&amp;"",tbl_Finance[Cost Centre],"CTS")&gt;0,"CTS ",""))," ",", ")))</f>
        <v/>
      </c>
      <c r="L223" s="24" t="n"/>
      <c r="M223" s="24" t="n"/>
      <c r="N223" s="25">
        <f>IF(M223="","",HYPERLINK(IF(LEFT(M223,4)="http",M223,set_QwilrBase&amp;M223),"Open quote"))</f>
        <v/>
      </c>
      <c r="O223" s="64" t="n"/>
      <c r="P223" s="24" t="n"/>
      <c r="Q223" s="24" t="n"/>
    </row>
    <row r="224" ht="15" customHeight="1">
      <c r="A224" s="63">
        <f>IF(C224="","",IFERROR(IF(SUMPRODUCT(MAX((tbl_Finance[Job Number]=C224&amp;"")*(tbl_Finance[Xero Invoice No]&lt;&gt;"")*tbl_Finance[Date]))=0,"",SUMPRODUCT(MAX((tbl_Finance[Job Number]=C224&amp;"")*(tbl_Finance[Xero Invoice No]&lt;&gt;"")*tbl_Finance[Date]))),""))</f>
        <v/>
      </c>
      <c r="B224" s="25">
        <f>IF(C224="","",IF(COUNTIFS(tbl_Finance[Job Number],C224&amp;"",tbl_Finance[Xero Invoice No],"&lt;&gt;")=0,"",IFERROR(IF(COUNTIFS(tbl_Finance[Job Number],C224&amp;"",tbl_Finance[Xero Invoice No],LOOKUP(2,1/((tbl_Finance[Job Number]=C224&amp;"")*(tbl_Finance[Xero Invoice No]&lt;&gt;"")),tbl_Finance[Xero Invoice No]))=COUNTIFS(tbl_Finance[Job Number],C224&amp;"",tbl_Finance[Xero Invoice No],"&lt;&gt;"),LOOKUP(2,1/((tbl_Finance[Job Number]=C224&amp;"")*(tbl_Finance[Xero Invoice No]&lt;&gt;"")),tbl_Finance[Xero Invoice No]),LOOKUP(2,1/((tbl_Finance[Job Number]=C224&amp;"")*(tbl_Finance[Xero Invoice No]&lt;&gt;"")),tbl_Finance[Xero Invoice No])&amp;" +more"),"")))</f>
        <v/>
      </c>
      <c r="C224" s="24" t="n"/>
      <c r="D224" s="25">
        <f>IF(C224="","",IF(COUNTIF(lst_Jobs,C224&amp;"")&gt;0,"OK","CHECK"))</f>
        <v/>
      </c>
      <c r="E224" s="25">
        <f>IF(C224="","",IFERROR(INDEX(lst_JobName,MATCH(C224&amp;"",lst_Jobs,0)),""))</f>
        <v/>
      </c>
      <c r="F224" s="25">
        <f>IF(C224="","",IFERROR(INDEX(tbl_Finance[Client],MATCH(C224&amp;"",tbl_Finance[Job Number],0)),""))</f>
        <v/>
      </c>
      <c r="G224" s="28">
        <f>IF(C224="","",COUNTIFS(tbl_Finance[Job Number],C224&amp;"",tbl_Finance[Ex GST],"&lt;&gt;"))</f>
        <v/>
      </c>
      <c r="H224" s="27">
        <f>IF(C224="","",SUMIFS(tbl_Finance[Ex GST],tbl_Finance[Job Number],C224&amp;""))</f>
        <v/>
      </c>
      <c r="I224" s="27">
        <f>IF(C224="","",SUMIFS(tbl_Finance[Ex GST],tbl_Finance[Job Number],C224&amp;"",tbl_Finance[Xero Invoice No],"&lt;&gt;"))</f>
        <v/>
      </c>
      <c r="J224" s="27">
        <f>IF(C224="","",H224-I224)</f>
        <v/>
      </c>
      <c r="K224" s="25">
        <f>IF(C224="","",IF(G224=0,"not invoiced yet",SUBSTITUTE(TRIM(IF(COUNTIFS(tbl_Finance[Job Number],C224&amp;"",tbl_Finance[Cost Centre],"ONSITE")&gt;0,"ONSITE ","")&amp;IF(COUNTIFS(tbl_Finance[Job Number],C224&amp;"",tbl_Finance[Cost Centre],"PRODUCTION")&gt;0,"PRODUCTION ","")&amp;IF(COUNTIFS(tbl_Finance[Job Number],C224&amp;"",tbl_Finance[Cost Centre],"VIDEO")&gt;0,"VIDEO ","")&amp;IF(COUNTIFS(tbl_Finance[Job Number],C224&amp;"",tbl_Finance[Cost Centre],"INTEGRATION")&gt;0,"INTEGRATION ","")&amp;IF(COUNTIFS(tbl_Finance[Job Number],C224&amp;"",tbl_Finance[Cost Centre],"CONSULTING")&gt;0,"CONSULTING ","")&amp;IF(COUNTIFS(tbl_Finance[Job Number],C224&amp;"",tbl_Finance[Cost Centre],"CTS")&gt;0,"CTS ",""))," ",", ")))</f>
        <v/>
      </c>
      <c r="L224" s="24" t="n"/>
      <c r="M224" s="24" t="n"/>
      <c r="N224" s="25">
        <f>IF(M224="","",HYPERLINK(IF(LEFT(M224,4)="http",M224,set_QwilrBase&amp;M224),"Open quote"))</f>
        <v/>
      </c>
      <c r="O224" s="64" t="n"/>
      <c r="P224" s="24" t="n"/>
      <c r="Q224" s="24" t="n"/>
    </row>
    <row r="225" ht="15" customHeight="1">
      <c r="A225" s="63">
        <f>IF(C225="","",IFERROR(IF(SUMPRODUCT(MAX((tbl_Finance[Job Number]=C225&amp;"")*(tbl_Finance[Xero Invoice No]&lt;&gt;"")*tbl_Finance[Date]))=0,"",SUMPRODUCT(MAX((tbl_Finance[Job Number]=C225&amp;"")*(tbl_Finance[Xero Invoice No]&lt;&gt;"")*tbl_Finance[Date]))),""))</f>
        <v/>
      </c>
      <c r="B225" s="25">
        <f>IF(C225="","",IF(COUNTIFS(tbl_Finance[Job Number],C225&amp;"",tbl_Finance[Xero Invoice No],"&lt;&gt;")=0,"",IFERROR(IF(COUNTIFS(tbl_Finance[Job Number],C225&amp;"",tbl_Finance[Xero Invoice No],LOOKUP(2,1/((tbl_Finance[Job Number]=C225&amp;"")*(tbl_Finance[Xero Invoice No]&lt;&gt;"")),tbl_Finance[Xero Invoice No]))=COUNTIFS(tbl_Finance[Job Number],C225&amp;"",tbl_Finance[Xero Invoice No],"&lt;&gt;"),LOOKUP(2,1/((tbl_Finance[Job Number]=C225&amp;"")*(tbl_Finance[Xero Invoice No]&lt;&gt;"")),tbl_Finance[Xero Invoice No]),LOOKUP(2,1/((tbl_Finance[Job Number]=C225&amp;"")*(tbl_Finance[Xero Invoice No]&lt;&gt;"")),tbl_Finance[Xero Invoice No])&amp;" +more"),"")))</f>
        <v/>
      </c>
      <c r="C225" s="24" t="n"/>
      <c r="D225" s="25">
        <f>IF(C225="","",IF(COUNTIF(lst_Jobs,C225&amp;"")&gt;0,"OK","CHECK"))</f>
        <v/>
      </c>
      <c r="E225" s="25">
        <f>IF(C225="","",IFERROR(INDEX(lst_JobName,MATCH(C225&amp;"",lst_Jobs,0)),""))</f>
        <v/>
      </c>
      <c r="F225" s="25">
        <f>IF(C225="","",IFERROR(INDEX(tbl_Finance[Client],MATCH(C225&amp;"",tbl_Finance[Job Number],0)),""))</f>
        <v/>
      </c>
      <c r="G225" s="28">
        <f>IF(C225="","",COUNTIFS(tbl_Finance[Job Number],C225&amp;"",tbl_Finance[Ex GST],"&lt;&gt;"))</f>
        <v/>
      </c>
      <c r="H225" s="27">
        <f>IF(C225="","",SUMIFS(tbl_Finance[Ex GST],tbl_Finance[Job Number],C225&amp;""))</f>
        <v/>
      </c>
      <c r="I225" s="27">
        <f>IF(C225="","",SUMIFS(tbl_Finance[Ex GST],tbl_Finance[Job Number],C225&amp;"",tbl_Finance[Xero Invoice No],"&lt;&gt;"))</f>
        <v/>
      </c>
      <c r="J225" s="27">
        <f>IF(C225="","",H225-I225)</f>
        <v/>
      </c>
      <c r="K225" s="25">
        <f>IF(C225="","",IF(G225=0,"not invoiced yet",SUBSTITUTE(TRIM(IF(COUNTIFS(tbl_Finance[Job Number],C225&amp;"",tbl_Finance[Cost Centre],"ONSITE")&gt;0,"ONSITE ","")&amp;IF(COUNTIFS(tbl_Finance[Job Number],C225&amp;"",tbl_Finance[Cost Centre],"PRODUCTION")&gt;0,"PRODUCTION ","")&amp;IF(COUNTIFS(tbl_Finance[Job Number],C225&amp;"",tbl_Finance[Cost Centre],"VIDEO")&gt;0,"VIDEO ","")&amp;IF(COUNTIFS(tbl_Finance[Job Number],C225&amp;"",tbl_Finance[Cost Centre],"INTEGRATION")&gt;0,"INTEGRATION ","")&amp;IF(COUNTIFS(tbl_Finance[Job Number],C225&amp;"",tbl_Finance[Cost Centre],"CONSULTING")&gt;0,"CONSULTING ","")&amp;IF(COUNTIFS(tbl_Finance[Job Number],C225&amp;"",tbl_Finance[Cost Centre],"CTS")&gt;0,"CTS ",""))," ",", ")))</f>
        <v/>
      </c>
      <c r="L225" s="24" t="n"/>
      <c r="M225" s="24" t="n"/>
      <c r="N225" s="25">
        <f>IF(M225="","",HYPERLINK(IF(LEFT(M225,4)="http",M225,set_QwilrBase&amp;M225),"Open quote"))</f>
        <v/>
      </c>
      <c r="O225" s="64" t="n"/>
      <c r="P225" s="24" t="n"/>
      <c r="Q225" s="24" t="n"/>
    </row>
    <row r="226" ht="15" customHeight="1">
      <c r="A226" s="63">
        <f>IF(C226="","",IFERROR(IF(SUMPRODUCT(MAX((tbl_Finance[Job Number]=C226&amp;"")*(tbl_Finance[Xero Invoice No]&lt;&gt;"")*tbl_Finance[Date]))=0,"",SUMPRODUCT(MAX((tbl_Finance[Job Number]=C226&amp;"")*(tbl_Finance[Xero Invoice No]&lt;&gt;"")*tbl_Finance[Date]))),""))</f>
        <v/>
      </c>
      <c r="B226" s="25">
        <f>IF(C226="","",IF(COUNTIFS(tbl_Finance[Job Number],C226&amp;"",tbl_Finance[Xero Invoice No],"&lt;&gt;")=0,"",IFERROR(IF(COUNTIFS(tbl_Finance[Job Number],C226&amp;"",tbl_Finance[Xero Invoice No],LOOKUP(2,1/((tbl_Finance[Job Number]=C226&amp;"")*(tbl_Finance[Xero Invoice No]&lt;&gt;"")),tbl_Finance[Xero Invoice No]))=COUNTIFS(tbl_Finance[Job Number],C226&amp;"",tbl_Finance[Xero Invoice No],"&lt;&gt;"),LOOKUP(2,1/((tbl_Finance[Job Number]=C226&amp;"")*(tbl_Finance[Xero Invoice No]&lt;&gt;"")),tbl_Finance[Xero Invoice No]),LOOKUP(2,1/((tbl_Finance[Job Number]=C226&amp;"")*(tbl_Finance[Xero Invoice No]&lt;&gt;"")),tbl_Finance[Xero Invoice No])&amp;" +more"),"")))</f>
        <v/>
      </c>
      <c r="C226" s="24" t="n"/>
      <c r="D226" s="25">
        <f>IF(C226="","",IF(COUNTIF(lst_Jobs,C226&amp;"")&gt;0,"OK","CHECK"))</f>
        <v/>
      </c>
      <c r="E226" s="25">
        <f>IF(C226="","",IFERROR(INDEX(lst_JobName,MATCH(C226&amp;"",lst_Jobs,0)),""))</f>
        <v/>
      </c>
      <c r="F226" s="25">
        <f>IF(C226="","",IFERROR(INDEX(tbl_Finance[Client],MATCH(C226&amp;"",tbl_Finance[Job Number],0)),""))</f>
        <v/>
      </c>
      <c r="G226" s="28">
        <f>IF(C226="","",COUNTIFS(tbl_Finance[Job Number],C226&amp;"",tbl_Finance[Ex GST],"&lt;&gt;"))</f>
        <v/>
      </c>
      <c r="H226" s="27">
        <f>IF(C226="","",SUMIFS(tbl_Finance[Ex GST],tbl_Finance[Job Number],C226&amp;""))</f>
        <v/>
      </c>
      <c r="I226" s="27">
        <f>IF(C226="","",SUMIFS(tbl_Finance[Ex GST],tbl_Finance[Job Number],C226&amp;"",tbl_Finance[Xero Invoice No],"&lt;&gt;"))</f>
        <v/>
      </c>
      <c r="J226" s="27">
        <f>IF(C226="","",H226-I226)</f>
        <v/>
      </c>
      <c r="K226" s="25">
        <f>IF(C226="","",IF(G226=0,"not invoiced yet",SUBSTITUTE(TRIM(IF(COUNTIFS(tbl_Finance[Job Number],C226&amp;"",tbl_Finance[Cost Centre],"ONSITE")&gt;0,"ONSITE ","")&amp;IF(COUNTIFS(tbl_Finance[Job Number],C226&amp;"",tbl_Finance[Cost Centre],"PRODUCTION")&gt;0,"PRODUCTION ","")&amp;IF(COUNTIFS(tbl_Finance[Job Number],C226&amp;"",tbl_Finance[Cost Centre],"VIDEO")&gt;0,"VIDEO ","")&amp;IF(COUNTIFS(tbl_Finance[Job Number],C226&amp;"",tbl_Finance[Cost Centre],"INTEGRATION")&gt;0,"INTEGRATION ","")&amp;IF(COUNTIFS(tbl_Finance[Job Number],C226&amp;"",tbl_Finance[Cost Centre],"CONSULTING")&gt;0,"CONSULTING ","")&amp;IF(COUNTIFS(tbl_Finance[Job Number],C226&amp;"",tbl_Finance[Cost Centre],"CTS")&gt;0,"CTS ",""))," ",", ")))</f>
        <v/>
      </c>
      <c r="L226" s="24" t="n"/>
      <c r="M226" s="24" t="n"/>
      <c r="N226" s="25">
        <f>IF(M226="","",HYPERLINK(IF(LEFT(M226,4)="http",M226,set_QwilrBase&amp;M226),"Open quote"))</f>
        <v/>
      </c>
      <c r="O226" s="64" t="n"/>
      <c r="P226" s="24" t="n"/>
      <c r="Q226" s="24" t="n"/>
    </row>
    <row r="227" ht="15" customHeight="1">
      <c r="A227" s="63">
        <f>IF(C227="","",IFERROR(IF(SUMPRODUCT(MAX((tbl_Finance[Job Number]=C227&amp;"")*(tbl_Finance[Xero Invoice No]&lt;&gt;"")*tbl_Finance[Date]))=0,"",SUMPRODUCT(MAX((tbl_Finance[Job Number]=C227&amp;"")*(tbl_Finance[Xero Invoice No]&lt;&gt;"")*tbl_Finance[Date]))),""))</f>
        <v/>
      </c>
      <c r="B227" s="25">
        <f>IF(C227="","",IF(COUNTIFS(tbl_Finance[Job Number],C227&amp;"",tbl_Finance[Xero Invoice No],"&lt;&gt;")=0,"",IFERROR(IF(COUNTIFS(tbl_Finance[Job Number],C227&amp;"",tbl_Finance[Xero Invoice No],LOOKUP(2,1/((tbl_Finance[Job Number]=C227&amp;"")*(tbl_Finance[Xero Invoice No]&lt;&gt;"")),tbl_Finance[Xero Invoice No]))=COUNTIFS(tbl_Finance[Job Number],C227&amp;"",tbl_Finance[Xero Invoice No],"&lt;&gt;"),LOOKUP(2,1/((tbl_Finance[Job Number]=C227&amp;"")*(tbl_Finance[Xero Invoice No]&lt;&gt;"")),tbl_Finance[Xero Invoice No]),LOOKUP(2,1/((tbl_Finance[Job Number]=C227&amp;"")*(tbl_Finance[Xero Invoice No]&lt;&gt;"")),tbl_Finance[Xero Invoice No])&amp;" +more"),"")))</f>
        <v/>
      </c>
      <c r="C227" s="24" t="n"/>
      <c r="D227" s="25">
        <f>IF(C227="","",IF(COUNTIF(lst_Jobs,C227&amp;"")&gt;0,"OK","CHECK"))</f>
        <v/>
      </c>
      <c r="E227" s="25">
        <f>IF(C227="","",IFERROR(INDEX(lst_JobName,MATCH(C227&amp;"",lst_Jobs,0)),""))</f>
        <v/>
      </c>
      <c r="F227" s="25">
        <f>IF(C227="","",IFERROR(INDEX(tbl_Finance[Client],MATCH(C227&amp;"",tbl_Finance[Job Number],0)),""))</f>
        <v/>
      </c>
      <c r="G227" s="28">
        <f>IF(C227="","",COUNTIFS(tbl_Finance[Job Number],C227&amp;"",tbl_Finance[Ex GST],"&lt;&gt;"))</f>
        <v/>
      </c>
      <c r="H227" s="27">
        <f>IF(C227="","",SUMIFS(tbl_Finance[Ex GST],tbl_Finance[Job Number],C227&amp;""))</f>
        <v/>
      </c>
      <c r="I227" s="27">
        <f>IF(C227="","",SUMIFS(tbl_Finance[Ex GST],tbl_Finance[Job Number],C227&amp;"",tbl_Finance[Xero Invoice No],"&lt;&gt;"))</f>
        <v/>
      </c>
      <c r="J227" s="27">
        <f>IF(C227="","",H227-I227)</f>
        <v/>
      </c>
      <c r="K227" s="25">
        <f>IF(C227="","",IF(G227=0,"not invoiced yet",SUBSTITUTE(TRIM(IF(COUNTIFS(tbl_Finance[Job Number],C227&amp;"",tbl_Finance[Cost Centre],"ONSITE")&gt;0,"ONSITE ","")&amp;IF(COUNTIFS(tbl_Finance[Job Number],C227&amp;"",tbl_Finance[Cost Centre],"PRODUCTION")&gt;0,"PRODUCTION ","")&amp;IF(COUNTIFS(tbl_Finance[Job Number],C227&amp;"",tbl_Finance[Cost Centre],"VIDEO")&gt;0,"VIDEO ","")&amp;IF(COUNTIFS(tbl_Finance[Job Number],C227&amp;"",tbl_Finance[Cost Centre],"INTEGRATION")&gt;0,"INTEGRATION ","")&amp;IF(COUNTIFS(tbl_Finance[Job Number],C227&amp;"",tbl_Finance[Cost Centre],"CONSULTING")&gt;0,"CONSULTING ","")&amp;IF(COUNTIFS(tbl_Finance[Job Number],C227&amp;"",tbl_Finance[Cost Centre],"CTS")&gt;0,"CTS ",""))," ",", ")))</f>
        <v/>
      </c>
      <c r="L227" s="24" t="n"/>
      <c r="M227" s="24" t="n"/>
      <c r="N227" s="25">
        <f>IF(M227="","",HYPERLINK(IF(LEFT(M227,4)="http",M227,set_QwilrBase&amp;M227),"Open quote"))</f>
        <v/>
      </c>
      <c r="O227" s="64" t="n"/>
      <c r="P227" s="24" t="n"/>
      <c r="Q227" s="24" t="n"/>
    </row>
    <row r="228" ht="15" customHeight="1">
      <c r="A228" s="63">
        <f>IF(C228="","",IFERROR(IF(SUMPRODUCT(MAX((tbl_Finance[Job Number]=C228&amp;"")*(tbl_Finance[Xero Invoice No]&lt;&gt;"")*tbl_Finance[Date]))=0,"",SUMPRODUCT(MAX((tbl_Finance[Job Number]=C228&amp;"")*(tbl_Finance[Xero Invoice No]&lt;&gt;"")*tbl_Finance[Date]))),""))</f>
        <v/>
      </c>
      <c r="B228" s="25">
        <f>IF(C228="","",IF(COUNTIFS(tbl_Finance[Job Number],C228&amp;"",tbl_Finance[Xero Invoice No],"&lt;&gt;")=0,"",IFERROR(IF(COUNTIFS(tbl_Finance[Job Number],C228&amp;"",tbl_Finance[Xero Invoice No],LOOKUP(2,1/((tbl_Finance[Job Number]=C228&amp;"")*(tbl_Finance[Xero Invoice No]&lt;&gt;"")),tbl_Finance[Xero Invoice No]))=COUNTIFS(tbl_Finance[Job Number],C228&amp;"",tbl_Finance[Xero Invoice No],"&lt;&gt;"),LOOKUP(2,1/((tbl_Finance[Job Number]=C228&amp;"")*(tbl_Finance[Xero Invoice No]&lt;&gt;"")),tbl_Finance[Xero Invoice No]),LOOKUP(2,1/((tbl_Finance[Job Number]=C228&amp;"")*(tbl_Finance[Xero Invoice No]&lt;&gt;"")),tbl_Finance[Xero Invoice No])&amp;" +more"),"")))</f>
        <v/>
      </c>
      <c r="C228" s="24" t="n"/>
      <c r="D228" s="25">
        <f>IF(C228="","",IF(COUNTIF(lst_Jobs,C228&amp;"")&gt;0,"OK","CHECK"))</f>
        <v/>
      </c>
      <c r="E228" s="25">
        <f>IF(C228="","",IFERROR(INDEX(lst_JobName,MATCH(C228&amp;"",lst_Jobs,0)),""))</f>
        <v/>
      </c>
      <c r="F228" s="25">
        <f>IF(C228="","",IFERROR(INDEX(tbl_Finance[Client],MATCH(C228&amp;"",tbl_Finance[Job Number],0)),""))</f>
        <v/>
      </c>
      <c r="G228" s="28">
        <f>IF(C228="","",COUNTIFS(tbl_Finance[Job Number],C228&amp;"",tbl_Finance[Ex GST],"&lt;&gt;"))</f>
        <v/>
      </c>
      <c r="H228" s="27">
        <f>IF(C228="","",SUMIFS(tbl_Finance[Ex GST],tbl_Finance[Job Number],C228&amp;""))</f>
        <v/>
      </c>
      <c r="I228" s="27">
        <f>IF(C228="","",SUMIFS(tbl_Finance[Ex GST],tbl_Finance[Job Number],C228&amp;"",tbl_Finance[Xero Invoice No],"&lt;&gt;"))</f>
        <v/>
      </c>
      <c r="J228" s="27">
        <f>IF(C228="","",H228-I228)</f>
        <v/>
      </c>
      <c r="K228" s="25">
        <f>IF(C228="","",IF(G228=0,"not invoiced yet",SUBSTITUTE(TRIM(IF(COUNTIFS(tbl_Finance[Job Number],C228&amp;"",tbl_Finance[Cost Centre],"ONSITE")&gt;0,"ONSITE ","")&amp;IF(COUNTIFS(tbl_Finance[Job Number],C228&amp;"",tbl_Finance[Cost Centre],"PRODUCTION")&gt;0,"PRODUCTION ","")&amp;IF(COUNTIFS(tbl_Finance[Job Number],C228&amp;"",tbl_Finance[Cost Centre],"VIDEO")&gt;0,"VIDEO ","")&amp;IF(COUNTIFS(tbl_Finance[Job Number],C228&amp;"",tbl_Finance[Cost Centre],"INTEGRATION")&gt;0,"INTEGRATION ","")&amp;IF(COUNTIFS(tbl_Finance[Job Number],C228&amp;"",tbl_Finance[Cost Centre],"CONSULTING")&gt;0,"CONSULTING ","")&amp;IF(COUNTIFS(tbl_Finance[Job Number],C228&amp;"",tbl_Finance[Cost Centre],"CTS")&gt;0,"CTS ",""))," ",", ")))</f>
        <v/>
      </c>
      <c r="L228" s="24" t="n"/>
      <c r="M228" s="24" t="n"/>
      <c r="N228" s="25">
        <f>IF(M228="","",HYPERLINK(IF(LEFT(M228,4)="http",M228,set_QwilrBase&amp;M228),"Open quote"))</f>
        <v/>
      </c>
      <c r="O228" s="64" t="n"/>
      <c r="P228" s="24" t="n"/>
      <c r="Q228" s="24" t="n"/>
    </row>
    <row r="229" ht="15" customHeight="1">
      <c r="A229" s="63">
        <f>IF(C229="","",IFERROR(IF(SUMPRODUCT(MAX((tbl_Finance[Job Number]=C229&amp;"")*(tbl_Finance[Xero Invoice No]&lt;&gt;"")*tbl_Finance[Date]))=0,"",SUMPRODUCT(MAX((tbl_Finance[Job Number]=C229&amp;"")*(tbl_Finance[Xero Invoice No]&lt;&gt;"")*tbl_Finance[Date]))),""))</f>
        <v/>
      </c>
      <c r="B229" s="25">
        <f>IF(C229="","",IF(COUNTIFS(tbl_Finance[Job Number],C229&amp;"",tbl_Finance[Xero Invoice No],"&lt;&gt;")=0,"",IFERROR(IF(COUNTIFS(tbl_Finance[Job Number],C229&amp;"",tbl_Finance[Xero Invoice No],LOOKUP(2,1/((tbl_Finance[Job Number]=C229&amp;"")*(tbl_Finance[Xero Invoice No]&lt;&gt;"")),tbl_Finance[Xero Invoice No]))=COUNTIFS(tbl_Finance[Job Number],C229&amp;"",tbl_Finance[Xero Invoice No],"&lt;&gt;"),LOOKUP(2,1/((tbl_Finance[Job Number]=C229&amp;"")*(tbl_Finance[Xero Invoice No]&lt;&gt;"")),tbl_Finance[Xero Invoice No]),LOOKUP(2,1/((tbl_Finance[Job Number]=C229&amp;"")*(tbl_Finance[Xero Invoice No]&lt;&gt;"")),tbl_Finance[Xero Invoice No])&amp;" +more"),"")))</f>
        <v/>
      </c>
      <c r="C229" s="24" t="n"/>
      <c r="D229" s="25">
        <f>IF(C229="","",IF(COUNTIF(lst_Jobs,C229&amp;"")&gt;0,"OK","CHECK"))</f>
        <v/>
      </c>
      <c r="E229" s="25">
        <f>IF(C229="","",IFERROR(INDEX(lst_JobName,MATCH(C229&amp;"",lst_Jobs,0)),""))</f>
        <v/>
      </c>
      <c r="F229" s="25">
        <f>IF(C229="","",IFERROR(INDEX(tbl_Finance[Client],MATCH(C229&amp;"",tbl_Finance[Job Number],0)),""))</f>
        <v/>
      </c>
      <c r="G229" s="28">
        <f>IF(C229="","",COUNTIFS(tbl_Finance[Job Number],C229&amp;"",tbl_Finance[Ex GST],"&lt;&gt;"))</f>
        <v/>
      </c>
      <c r="H229" s="27">
        <f>IF(C229="","",SUMIFS(tbl_Finance[Ex GST],tbl_Finance[Job Number],C229&amp;""))</f>
        <v/>
      </c>
      <c r="I229" s="27">
        <f>IF(C229="","",SUMIFS(tbl_Finance[Ex GST],tbl_Finance[Job Number],C229&amp;"",tbl_Finance[Xero Invoice No],"&lt;&gt;"))</f>
        <v/>
      </c>
      <c r="J229" s="27">
        <f>IF(C229="","",H229-I229)</f>
        <v/>
      </c>
      <c r="K229" s="25">
        <f>IF(C229="","",IF(G229=0,"not invoiced yet",SUBSTITUTE(TRIM(IF(COUNTIFS(tbl_Finance[Job Number],C229&amp;"",tbl_Finance[Cost Centre],"ONSITE")&gt;0,"ONSITE ","")&amp;IF(COUNTIFS(tbl_Finance[Job Number],C229&amp;"",tbl_Finance[Cost Centre],"PRODUCTION")&gt;0,"PRODUCTION ","")&amp;IF(COUNTIFS(tbl_Finance[Job Number],C229&amp;"",tbl_Finance[Cost Centre],"VIDEO")&gt;0,"VIDEO ","")&amp;IF(COUNTIFS(tbl_Finance[Job Number],C229&amp;"",tbl_Finance[Cost Centre],"INTEGRATION")&gt;0,"INTEGRATION ","")&amp;IF(COUNTIFS(tbl_Finance[Job Number],C229&amp;"",tbl_Finance[Cost Centre],"CONSULTING")&gt;0,"CONSULTING ","")&amp;IF(COUNTIFS(tbl_Finance[Job Number],C229&amp;"",tbl_Finance[Cost Centre],"CTS")&gt;0,"CTS ",""))," ",", ")))</f>
        <v/>
      </c>
      <c r="L229" s="24" t="n"/>
      <c r="M229" s="24" t="n"/>
      <c r="N229" s="25">
        <f>IF(M229="","",HYPERLINK(IF(LEFT(M229,4)="http",M229,set_QwilrBase&amp;M229),"Open quote"))</f>
        <v/>
      </c>
      <c r="O229" s="64" t="n"/>
      <c r="P229" s="24" t="n"/>
      <c r="Q229" s="24" t="n"/>
    </row>
    <row r="230" ht="15" customHeight="1">
      <c r="A230" s="63">
        <f>IF(C230="","",IFERROR(IF(SUMPRODUCT(MAX((tbl_Finance[Job Number]=C230&amp;"")*(tbl_Finance[Xero Invoice No]&lt;&gt;"")*tbl_Finance[Date]))=0,"",SUMPRODUCT(MAX((tbl_Finance[Job Number]=C230&amp;"")*(tbl_Finance[Xero Invoice No]&lt;&gt;"")*tbl_Finance[Date]))),""))</f>
        <v/>
      </c>
      <c r="B230" s="25">
        <f>IF(C230="","",IF(COUNTIFS(tbl_Finance[Job Number],C230&amp;"",tbl_Finance[Xero Invoice No],"&lt;&gt;")=0,"",IFERROR(IF(COUNTIFS(tbl_Finance[Job Number],C230&amp;"",tbl_Finance[Xero Invoice No],LOOKUP(2,1/((tbl_Finance[Job Number]=C230&amp;"")*(tbl_Finance[Xero Invoice No]&lt;&gt;"")),tbl_Finance[Xero Invoice No]))=COUNTIFS(tbl_Finance[Job Number],C230&amp;"",tbl_Finance[Xero Invoice No],"&lt;&gt;"),LOOKUP(2,1/((tbl_Finance[Job Number]=C230&amp;"")*(tbl_Finance[Xero Invoice No]&lt;&gt;"")),tbl_Finance[Xero Invoice No]),LOOKUP(2,1/((tbl_Finance[Job Number]=C230&amp;"")*(tbl_Finance[Xero Invoice No]&lt;&gt;"")),tbl_Finance[Xero Invoice No])&amp;" +more"),"")))</f>
        <v/>
      </c>
      <c r="C230" s="24" t="n"/>
      <c r="D230" s="25">
        <f>IF(C230="","",IF(COUNTIF(lst_Jobs,C230&amp;"")&gt;0,"OK","CHECK"))</f>
        <v/>
      </c>
      <c r="E230" s="25">
        <f>IF(C230="","",IFERROR(INDEX(lst_JobName,MATCH(C230&amp;"",lst_Jobs,0)),""))</f>
        <v/>
      </c>
      <c r="F230" s="25">
        <f>IF(C230="","",IFERROR(INDEX(tbl_Finance[Client],MATCH(C230&amp;"",tbl_Finance[Job Number],0)),""))</f>
        <v/>
      </c>
      <c r="G230" s="28">
        <f>IF(C230="","",COUNTIFS(tbl_Finance[Job Number],C230&amp;"",tbl_Finance[Ex GST],"&lt;&gt;"))</f>
        <v/>
      </c>
      <c r="H230" s="27">
        <f>IF(C230="","",SUMIFS(tbl_Finance[Ex GST],tbl_Finance[Job Number],C230&amp;""))</f>
        <v/>
      </c>
      <c r="I230" s="27">
        <f>IF(C230="","",SUMIFS(tbl_Finance[Ex GST],tbl_Finance[Job Number],C230&amp;"",tbl_Finance[Xero Invoice No],"&lt;&gt;"))</f>
        <v/>
      </c>
      <c r="J230" s="27">
        <f>IF(C230="","",H230-I230)</f>
        <v/>
      </c>
      <c r="K230" s="25">
        <f>IF(C230="","",IF(G230=0,"not invoiced yet",SUBSTITUTE(TRIM(IF(COUNTIFS(tbl_Finance[Job Number],C230&amp;"",tbl_Finance[Cost Centre],"ONSITE")&gt;0,"ONSITE ","")&amp;IF(COUNTIFS(tbl_Finance[Job Number],C230&amp;"",tbl_Finance[Cost Centre],"PRODUCTION")&gt;0,"PRODUCTION ","")&amp;IF(COUNTIFS(tbl_Finance[Job Number],C230&amp;"",tbl_Finance[Cost Centre],"VIDEO")&gt;0,"VIDEO ","")&amp;IF(COUNTIFS(tbl_Finance[Job Number],C230&amp;"",tbl_Finance[Cost Centre],"INTEGRATION")&gt;0,"INTEGRATION ","")&amp;IF(COUNTIFS(tbl_Finance[Job Number],C230&amp;"",tbl_Finance[Cost Centre],"CONSULTING")&gt;0,"CONSULTING ","")&amp;IF(COUNTIFS(tbl_Finance[Job Number],C230&amp;"",tbl_Finance[Cost Centre],"CTS")&gt;0,"CTS ",""))," ",", ")))</f>
        <v/>
      </c>
      <c r="L230" s="24" t="n"/>
      <c r="M230" s="24" t="n"/>
      <c r="N230" s="25">
        <f>IF(M230="","",HYPERLINK(IF(LEFT(M230,4)="http",M230,set_QwilrBase&amp;M230),"Open quote"))</f>
        <v/>
      </c>
      <c r="O230" s="64" t="n"/>
      <c r="P230" s="24" t="n"/>
      <c r="Q230" s="24" t="n"/>
    </row>
    <row r="231" ht="15" customHeight="1">
      <c r="A231" s="63">
        <f>IF(C231="","",IFERROR(IF(SUMPRODUCT(MAX((tbl_Finance[Job Number]=C231&amp;"")*(tbl_Finance[Xero Invoice No]&lt;&gt;"")*tbl_Finance[Date]))=0,"",SUMPRODUCT(MAX((tbl_Finance[Job Number]=C231&amp;"")*(tbl_Finance[Xero Invoice No]&lt;&gt;"")*tbl_Finance[Date]))),""))</f>
        <v/>
      </c>
      <c r="B231" s="25">
        <f>IF(C231="","",IF(COUNTIFS(tbl_Finance[Job Number],C231&amp;"",tbl_Finance[Xero Invoice No],"&lt;&gt;")=0,"",IFERROR(IF(COUNTIFS(tbl_Finance[Job Number],C231&amp;"",tbl_Finance[Xero Invoice No],LOOKUP(2,1/((tbl_Finance[Job Number]=C231&amp;"")*(tbl_Finance[Xero Invoice No]&lt;&gt;"")),tbl_Finance[Xero Invoice No]))=COUNTIFS(tbl_Finance[Job Number],C231&amp;"",tbl_Finance[Xero Invoice No],"&lt;&gt;"),LOOKUP(2,1/((tbl_Finance[Job Number]=C231&amp;"")*(tbl_Finance[Xero Invoice No]&lt;&gt;"")),tbl_Finance[Xero Invoice No]),LOOKUP(2,1/((tbl_Finance[Job Number]=C231&amp;"")*(tbl_Finance[Xero Invoice No]&lt;&gt;"")),tbl_Finance[Xero Invoice No])&amp;" +more"),"")))</f>
        <v/>
      </c>
      <c r="C231" s="24" t="n"/>
      <c r="D231" s="25">
        <f>IF(C231="","",IF(COUNTIF(lst_Jobs,C231&amp;"")&gt;0,"OK","CHECK"))</f>
        <v/>
      </c>
      <c r="E231" s="25">
        <f>IF(C231="","",IFERROR(INDEX(lst_JobName,MATCH(C231&amp;"",lst_Jobs,0)),""))</f>
        <v/>
      </c>
      <c r="F231" s="25">
        <f>IF(C231="","",IFERROR(INDEX(tbl_Finance[Client],MATCH(C231&amp;"",tbl_Finance[Job Number],0)),""))</f>
        <v/>
      </c>
      <c r="G231" s="28">
        <f>IF(C231="","",COUNTIFS(tbl_Finance[Job Number],C231&amp;"",tbl_Finance[Ex GST],"&lt;&gt;"))</f>
        <v/>
      </c>
      <c r="H231" s="27">
        <f>IF(C231="","",SUMIFS(tbl_Finance[Ex GST],tbl_Finance[Job Number],C231&amp;""))</f>
        <v/>
      </c>
      <c r="I231" s="27">
        <f>IF(C231="","",SUMIFS(tbl_Finance[Ex GST],tbl_Finance[Job Number],C231&amp;"",tbl_Finance[Xero Invoice No],"&lt;&gt;"))</f>
        <v/>
      </c>
      <c r="J231" s="27">
        <f>IF(C231="","",H231-I231)</f>
        <v/>
      </c>
      <c r="K231" s="25">
        <f>IF(C231="","",IF(G231=0,"not invoiced yet",SUBSTITUTE(TRIM(IF(COUNTIFS(tbl_Finance[Job Number],C231&amp;"",tbl_Finance[Cost Centre],"ONSITE")&gt;0,"ONSITE ","")&amp;IF(COUNTIFS(tbl_Finance[Job Number],C231&amp;"",tbl_Finance[Cost Centre],"PRODUCTION")&gt;0,"PRODUCTION ","")&amp;IF(COUNTIFS(tbl_Finance[Job Number],C231&amp;"",tbl_Finance[Cost Centre],"VIDEO")&gt;0,"VIDEO ","")&amp;IF(COUNTIFS(tbl_Finance[Job Number],C231&amp;"",tbl_Finance[Cost Centre],"INTEGRATION")&gt;0,"INTEGRATION ","")&amp;IF(COUNTIFS(tbl_Finance[Job Number],C231&amp;"",tbl_Finance[Cost Centre],"CONSULTING")&gt;0,"CONSULTING ","")&amp;IF(COUNTIFS(tbl_Finance[Job Number],C231&amp;"",tbl_Finance[Cost Centre],"CTS")&gt;0,"CTS ",""))," ",", ")))</f>
        <v/>
      </c>
      <c r="L231" s="24" t="n"/>
      <c r="M231" s="24" t="n"/>
      <c r="N231" s="25">
        <f>IF(M231="","",HYPERLINK(IF(LEFT(M231,4)="http",M231,set_QwilrBase&amp;M231),"Open quote"))</f>
        <v/>
      </c>
      <c r="O231" s="64" t="n"/>
      <c r="P231" s="24" t="n"/>
      <c r="Q231" s="24" t="n"/>
    </row>
    <row r="232" ht="15" customHeight="1">
      <c r="A232" s="63">
        <f>IF(C232="","",IFERROR(IF(SUMPRODUCT(MAX((tbl_Finance[Job Number]=C232&amp;"")*(tbl_Finance[Xero Invoice No]&lt;&gt;"")*tbl_Finance[Date]))=0,"",SUMPRODUCT(MAX((tbl_Finance[Job Number]=C232&amp;"")*(tbl_Finance[Xero Invoice No]&lt;&gt;"")*tbl_Finance[Date]))),""))</f>
        <v/>
      </c>
      <c r="B232" s="25">
        <f>IF(C232="","",IF(COUNTIFS(tbl_Finance[Job Number],C232&amp;"",tbl_Finance[Xero Invoice No],"&lt;&gt;")=0,"",IFERROR(IF(COUNTIFS(tbl_Finance[Job Number],C232&amp;"",tbl_Finance[Xero Invoice No],LOOKUP(2,1/((tbl_Finance[Job Number]=C232&amp;"")*(tbl_Finance[Xero Invoice No]&lt;&gt;"")),tbl_Finance[Xero Invoice No]))=COUNTIFS(tbl_Finance[Job Number],C232&amp;"",tbl_Finance[Xero Invoice No],"&lt;&gt;"),LOOKUP(2,1/((tbl_Finance[Job Number]=C232&amp;"")*(tbl_Finance[Xero Invoice No]&lt;&gt;"")),tbl_Finance[Xero Invoice No]),LOOKUP(2,1/((tbl_Finance[Job Number]=C232&amp;"")*(tbl_Finance[Xero Invoice No]&lt;&gt;"")),tbl_Finance[Xero Invoice No])&amp;" +more"),"")))</f>
        <v/>
      </c>
      <c r="C232" s="24" t="n"/>
      <c r="D232" s="25">
        <f>IF(C232="","",IF(COUNTIF(lst_Jobs,C232&amp;"")&gt;0,"OK","CHECK"))</f>
        <v/>
      </c>
      <c r="E232" s="25">
        <f>IF(C232="","",IFERROR(INDEX(lst_JobName,MATCH(C232&amp;"",lst_Jobs,0)),""))</f>
        <v/>
      </c>
      <c r="F232" s="25">
        <f>IF(C232="","",IFERROR(INDEX(tbl_Finance[Client],MATCH(C232&amp;"",tbl_Finance[Job Number],0)),""))</f>
        <v/>
      </c>
      <c r="G232" s="28">
        <f>IF(C232="","",COUNTIFS(tbl_Finance[Job Number],C232&amp;"",tbl_Finance[Ex GST],"&lt;&gt;"))</f>
        <v/>
      </c>
      <c r="H232" s="27">
        <f>IF(C232="","",SUMIFS(tbl_Finance[Ex GST],tbl_Finance[Job Number],C232&amp;""))</f>
        <v/>
      </c>
      <c r="I232" s="27">
        <f>IF(C232="","",SUMIFS(tbl_Finance[Ex GST],tbl_Finance[Job Number],C232&amp;"",tbl_Finance[Xero Invoice No],"&lt;&gt;"))</f>
        <v/>
      </c>
      <c r="J232" s="27">
        <f>IF(C232="","",H232-I232)</f>
        <v/>
      </c>
      <c r="K232" s="25">
        <f>IF(C232="","",IF(G232=0,"not invoiced yet",SUBSTITUTE(TRIM(IF(COUNTIFS(tbl_Finance[Job Number],C232&amp;"",tbl_Finance[Cost Centre],"ONSITE")&gt;0,"ONSITE ","")&amp;IF(COUNTIFS(tbl_Finance[Job Number],C232&amp;"",tbl_Finance[Cost Centre],"PRODUCTION")&gt;0,"PRODUCTION ","")&amp;IF(COUNTIFS(tbl_Finance[Job Number],C232&amp;"",tbl_Finance[Cost Centre],"VIDEO")&gt;0,"VIDEO ","")&amp;IF(COUNTIFS(tbl_Finance[Job Number],C232&amp;"",tbl_Finance[Cost Centre],"INTEGRATION")&gt;0,"INTEGRATION ","")&amp;IF(COUNTIFS(tbl_Finance[Job Number],C232&amp;"",tbl_Finance[Cost Centre],"CONSULTING")&gt;0,"CONSULTING ","")&amp;IF(COUNTIFS(tbl_Finance[Job Number],C232&amp;"",tbl_Finance[Cost Centre],"CTS")&gt;0,"CTS ",""))," ",", ")))</f>
        <v/>
      </c>
      <c r="L232" s="24" t="n"/>
      <c r="M232" s="24" t="n"/>
      <c r="N232" s="25">
        <f>IF(M232="","",HYPERLINK(IF(LEFT(M232,4)="http",M232,set_QwilrBase&amp;M232),"Open quote"))</f>
        <v/>
      </c>
      <c r="O232" s="64" t="n"/>
      <c r="P232" s="24" t="n"/>
      <c r="Q232" s="24" t="n"/>
    </row>
    <row r="233" ht="15" customHeight="1">
      <c r="A233" s="63">
        <f>IF(C233="","",IFERROR(IF(SUMPRODUCT(MAX((tbl_Finance[Job Number]=C233&amp;"")*(tbl_Finance[Xero Invoice No]&lt;&gt;"")*tbl_Finance[Date]))=0,"",SUMPRODUCT(MAX((tbl_Finance[Job Number]=C233&amp;"")*(tbl_Finance[Xero Invoice No]&lt;&gt;"")*tbl_Finance[Date]))),""))</f>
        <v/>
      </c>
      <c r="B233" s="25">
        <f>IF(C233="","",IF(COUNTIFS(tbl_Finance[Job Number],C233&amp;"",tbl_Finance[Xero Invoice No],"&lt;&gt;")=0,"",IFERROR(IF(COUNTIFS(tbl_Finance[Job Number],C233&amp;"",tbl_Finance[Xero Invoice No],LOOKUP(2,1/((tbl_Finance[Job Number]=C233&amp;"")*(tbl_Finance[Xero Invoice No]&lt;&gt;"")),tbl_Finance[Xero Invoice No]))=COUNTIFS(tbl_Finance[Job Number],C233&amp;"",tbl_Finance[Xero Invoice No],"&lt;&gt;"),LOOKUP(2,1/((tbl_Finance[Job Number]=C233&amp;"")*(tbl_Finance[Xero Invoice No]&lt;&gt;"")),tbl_Finance[Xero Invoice No]),LOOKUP(2,1/((tbl_Finance[Job Number]=C233&amp;"")*(tbl_Finance[Xero Invoice No]&lt;&gt;"")),tbl_Finance[Xero Invoice No])&amp;" +more"),"")))</f>
        <v/>
      </c>
      <c r="C233" s="24" t="n"/>
      <c r="D233" s="25">
        <f>IF(C233="","",IF(COUNTIF(lst_Jobs,C233&amp;"")&gt;0,"OK","CHECK"))</f>
        <v/>
      </c>
      <c r="E233" s="25">
        <f>IF(C233="","",IFERROR(INDEX(lst_JobName,MATCH(C233&amp;"",lst_Jobs,0)),""))</f>
        <v/>
      </c>
      <c r="F233" s="25">
        <f>IF(C233="","",IFERROR(INDEX(tbl_Finance[Client],MATCH(C233&amp;"",tbl_Finance[Job Number],0)),""))</f>
        <v/>
      </c>
      <c r="G233" s="28">
        <f>IF(C233="","",COUNTIFS(tbl_Finance[Job Number],C233&amp;"",tbl_Finance[Ex GST],"&lt;&gt;"))</f>
        <v/>
      </c>
      <c r="H233" s="27">
        <f>IF(C233="","",SUMIFS(tbl_Finance[Ex GST],tbl_Finance[Job Number],C233&amp;""))</f>
        <v/>
      </c>
      <c r="I233" s="27">
        <f>IF(C233="","",SUMIFS(tbl_Finance[Ex GST],tbl_Finance[Job Number],C233&amp;"",tbl_Finance[Xero Invoice No],"&lt;&gt;"))</f>
        <v/>
      </c>
      <c r="J233" s="27">
        <f>IF(C233="","",H233-I233)</f>
        <v/>
      </c>
      <c r="K233" s="25">
        <f>IF(C233="","",IF(G233=0,"not invoiced yet",SUBSTITUTE(TRIM(IF(COUNTIFS(tbl_Finance[Job Number],C233&amp;"",tbl_Finance[Cost Centre],"ONSITE")&gt;0,"ONSITE ","")&amp;IF(COUNTIFS(tbl_Finance[Job Number],C233&amp;"",tbl_Finance[Cost Centre],"PRODUCTION")&gt;0,"PRODUCTION ","")&amp;IF(COUNTIFS(tbl_Finance[Job Number],C233&amp;"",tbl_Finance[Cost Centre],"VIDEO")&gt;0,"VIDEO ","")&amp;IF(COUNTIFS(tbl_Finance[Job Number],C233&amp;"",tbl_Finance[Cost Centre],"INTEGRATION")&gt;0,"INTEGRATION ","")&amp;IF(COUNTIFS(tbl_Finance[Job Number],C233&amp;"",tbl_Finance[Cost Centre],"CONSULTING")&gt;0,"CONSULTING ","")&amp;IF(COUNTIFS(tbl_Finance[Job Number],C233&amp;"",tbl_Finance[Cost Centre],"CTS")&gt;0,"CTS ",""))," ",", ")))</f>
        <v/>
      </c>
      <c r="L233" s="24" t="n"/>
      <c r="M233" s="24" t="n"/>
      <c r="N233" s="25">
        <f>IF(M233="","",HYPERLINK(IF(LEFT(M233,4)="http",M233,set_QwilrBase&amp;M233),"Open quote"))</f>
        <v/>
      </c>
      <c r="O233" s="64" t="n"/>
      <c r="P233" s="24" t="n"/>
      <c r="Q233" s="24" t="n"/>
    </row>
    <row r="234" ht="15" customHeight="1">
      <c r="A234" s="63">
        <f>IF(C234="","",IFERROR(IF(SUMPRODUCT(MAX((tbl_Finance[Job Number]=C234&amp;"")*(tbl_Finance[Xero Invoice No]&lt;&gt;"")*tbl_Finance[Date]))=0,"",SUMPRODUCT(MAX((tbl_Finance[Job Number]=C234&amp;"")*(tbl_Finance[Xero Invoice No]&lt;&gt;"")*tbl_Finance[Date]))),""))</f>
        <v/>
      </c>
      <c r="B234" s="25">
        <f>IF(C234="","",IF(COUNTIFS(tbl_Finance[Job Number],C234&amp;"",tbl_Finance[Xero Invoice No],"&lt;&gt;")=0,"",IFERROR(IF(COUNTIFS(tbl_Finance[Job Number],C234&amp;"",tbl_Finance[Xero Invoice No],LOOKUP(2,1/((tbl_Finance[Job Number]=C234&amp;"")*(tbl_Finance[Xero Invoice No]&lt;&gt;"")),tbl_Finance[Xero Invoice No]))=COUNTIFS(tbl_Finance[Job Number],C234&amp;"",tbl_Finance[Xero Invoice No],"&lt;&gt;"),LOOKUP(2,1/((tbl_Finance[Job Number]=C234&amp;"")*(tbl_Finance[Xero Invoice No]&lt;&gt;"")),tbl_Finance[Xero Invoice No]),LOOKUP(2,1/((tbl_Finance[Job Number]=C234&amp;"")*(tbl_Finance[Xero Invoice No]&lt;&gt;"")),tbl_Finance[Xero Invoice No])&amp;" +more"),"")))</f>
        <v/>
      </c>
      <c r="C234" s="24" t="n"/>
      <c r="D234" s="25">
        <f>IF(C234="","",IF(COUNTIF(lst_Jobs,C234&amp;"")&gt;0,"OK","CHECK"))</f>
        <v/>
      </c>
      <c r="E234" s="25">
        <f>IF(C234="","",IFERROR(INDEX(lst_JobName,MATCH(C234&amp;"",lst_Jobs,0)),""))</f>
        <v/>
      </c>
      <c r="F234" s="25">
        <f>IF(C234="","",IFERROR(INDEX(tbl_Finance[Client],MATCH(C234&amp;"",tbl_Finance[Job Number],0)),""))</f>
        <v/>
      </c>
      <c r="G234" s="28">
        <f>IF(C234="","",COUNTIFS(tbl_Finance[Job Number],C234&amp;"",tbl_Finance[Ex GST],"&lt;&gt;"))</f>
        <v/>
      </c>
      <c r="H234" s="27">
        <f>IF(C234="","",SUMIFS(tbl_Finance[Ex GST],tbl_Finance[Job Number],C234&amp;""))</f>
        <v/>
      </c>
      <c r="I234" s="27">
        <f>IF(C234="","",SUMIFS(tbl_Finance[Ex GST],tbl_Finance[Job Number],C234&amp;"",tbl_Finance[Xero Invoice No],"&lt;&gt;"))</f>
        <v/>
      </c>
      <c r="J234" s="27">
        <f>IF(C234="","",H234-I234)</f>
        <v/>
      </c>
      <c r="K234" s="25">
        <f>IF(C234="","",IF(G234=0,"not invoiced yet",SUBSTITUTE(TRIM(IF(COUNTIFS(tbl_Finance[Job Number],C234&amp;"",tbl_Finance[Cost Centre],"ONSITE")&gt;0,"ONSITE ","")&amp;IF(COUNTIFS(tbl_Finance[Job Number],C234&amp;"",tbl_Finance[Cost Centre],"PRODUCTION")&gt;0,"PRODUCTION ","")&amp;IF(COUNTIFS(tbl_Finance[Job Number],C234&amp;"",tbl_Finance[Cost Centre],"VIDEO")&gt;0,"VIDEO ","")&amp;IF(COUNTIFS(tbl_Finance[Job Number],C234&amp;"",tbl_Finance[Cost Centre],"INTEGRATION")&gt;0,"INTEGRATION ","")&amp;IF(COUNTIFS(tbl_Finance[Job Number],C234&amp;"",tbl_Finance[Cost Centre],"CONSULTING")&gt;0,"CONSULTING ","")&amp;IF(COUNTIFS(tbl_Finance[Job Number],C234&amp;"",tbl_Finance[Cost Centre],"CTS")&gt;0,"CTS ",""))," ",", ")))</f>
        <v/>
      </c>
      <c r="L234" s="24" t="n"/>
      <c r="M234" s="24" t="n"/>
      <c r="N234" s="25">
        <f>IF(M234="","",HYPERLINK(IF(LEFT(M234,4)="http",M234,set_QwilrBase&amp;M234),"Open quote"))</f>
        <v/>
      </c>
      <c r="O234" s="64" t="n"/>
      <c r="P234" s="24" t="n"/>
      <c r="Q234" s="24" t="n"/>
    </row>
    <row r="235" ht="15" customHeight="1">
      <c r="A235" s="63">
        <f>IF(C235="","",IFERROR(IF(SUMPRODUCT(MAX((tbl_Finance[Job Number]=C235&amp;"")*(tbl_Finance[Xero Invoice No]&lt;&gt;"")*tbl_Finance[Date]))=0,"",SUMPRODUCT(MAX((tbl_Finance[Job Number]=C235&amp;"")*(tbl_Finance[Xero Invoice No]&lt;&gt;"")*tbl_Finance[Date]))),""))</f>
        <v/>
      </c>
      <c r="B235" s="25">
        <f>IF(C235="","",IF(COUNTIFS(tbl_Finance[Job Number],C235&amp;"",tbl_Finance[Xero Invoice No],"&lt;&gt;")=0,"",IFERROR(IF(COUNTIFS(tbl_Finance[Job Number],C235&amp;"",tbl_Finance[Xero Invoice No],LOOKUP(2,1/((tbl_Finance[Job Number]=C235&amp;"")*(tbl_Finance[Xero Invoice No]&lt;&gt;"")),tbl_Finance[Xero Invoice No]))=COUNTIFS(tbl_Finance[Job Number],C235&amp;"",tbl_Finance[Xero Invoice No],"&lt;&gt;"),LOOKUP(2,1/((tbl_Finance[Job Number]=C235&amp;"")*(tbl_Finance[Xero Invoice No]&lt;&gt;"")),tbl_Finance[Xero Invoice No]),LOOKUP(2,1/((tbl_Finance[Job Number]=C235&amp;"")*(tbl_Finance[Xero Invoice No]&lt;&gt;"")),tbl_Finance[Xero Invoice No])&amp;" +more"),"")))</f>
        <v/>
      </c>
      <c r="C235" s="24" t="n"/>
      <c r="D235" s="25">
        <f>IF(C235="","",IF(COUNTIF(lst_Jobs,C235&amp;"")&gt;0,"OK","CHECK"))</f>
        <v/>
      </c>
      <c r="E235" s="25">
        <f>IF(C235="","",IFERROR(INDEX(lst_JobName,MATCH(C235&amp;"",lst_Jobs,0)),""))</f>
        <v/>
      </c>
      <c r="F235" s="25">
        <f>IF(C235="","",IFERROR(INDEX(tbl_Finance[Client],MATCH(C235&amp;"",tbl_Finance[Job Number],0)),""))</f>
        <v/>
      </c>
      <c r="G235" s="28">
        <f>IF(C235="","",COUNTIFS(tbl_Finance[Job Number],C235&amp;"",tbl_Finance[Ex GST],"&lt;&gt;"))</f>
        <v/>
      </c>
      <c r="H235" s="27">
        <f>IF(C235="","",SUMIFS(tbl_Finance[Ex GST],tbl_Finance[Job Number],C235&amp;""))</f>
        <v/>
      </c>
      <c r="I235" s="27">
        <f>IF(C235="","",SUMIFS(tbl_Finance[Ex GST],tbl_Finance[Job Number],C235&amp;"",tbl_Finance[Xero Invoice No],"&lt;&gt;"))</f>
        <v/>
      </c>
      <c r="J235" s="27">
        <f>IF(C235="","",H235-I235)</f>
        <v/>
      </c>
      <c r="K235" s="25">
        <f>IF(C235="","",IF(G235=0,"not invoiced yet",SUBSTITUTE(TRIM(IF(COUNTIFS(tbl_Finance[Job Number],C235&amp;"",tbl_Finance[Cost Centre],"ONSITE")&gt;0,"ONSITE ","")&amp;IF(COUNTIFS(tbl_Finance[Job Number],C235&amp;"",tbl_Finance[Cost Centre],"PRODUCTION")&gt;0,"PRODUCTION ","")&amp;IF(COUNTIFS(tbl_Finance[Job Number],C235&amp;"",tbl_Finance[Cost Centre],"VIDEO")&gt;0,"VIDEO ","")&amp;IF(COUNTIFS(tbl_Finance[Job Number],C235&amp;"",tbl_Finance[Cost Centre],"INTEGRATION")&gt;0,"INTEGRATION ","")&amp;IF(COUNTIFS(tbl_Finance[Job Number],C235&amp;"",tbl_Finance[Cost Centre],"CONSULTING")&gt;0,"CONSULTING ","")&amp;IF(COUNTIFS(tbl_Finance[Job Number],C235&amp;"",tbl_Finance[Cost Centre],"CTS")&gt;0,"CTS ",""))," ",", ")))</f>
        <v/>
      </c>
      <c r="L235" s="24" t="n"/>
      <c r="M235" s="24" t="n"/>
      <c r="N235" s="25">
        <f>IF(M235="","",HYPERLINK(IF(LEFT(M235,4)="http",M235,set_QwilrBase&amp;M235),"Open quote"))</f>
        <v/>
      </c>
      <c r="O235" s="64" t="n"/>
      <c r="P235" s="24" t="n"/>
      <c r="Q235" s="24" t="n"/>
    </row>
    <row r="236" ht="15" customHeight="1">
      <c r="A236" s="63">
        <f>IF(C236="","",IFERROR(IF(SUMPRODUCT(MAX((tbl_Finance[Job Number]=C236&amp;"")*(tbl_Finance[Xero Invoice No]&lt;&gt;"")*tbl_Finance[Date]))=0,"",SUMPRODUCT(MAX((tbl_Finance[Job Number]=C236&amp;"")*(tbl_Finance[Xero Invoice No]&lt;&gt;"")*tbl_Finance[Date]))),""))</f>
        <v/>
      </c>
      <c r="B236" s="25">
        <f>IF(C236="","",IF(COUNTIFS(tbl_Finance[Job Number],C236&amp;"",tbl_Finance[Xero Invoice No],"&lt;&gt;")=0,"",IFERROR(IF(COUNTIFS(tbl_Finance[Job Number],C236&amp;"",tbl_Finance[Xero Invoice No],LOOKUP(2,1/((tbl_Finance[Job Number]=C236&amp;"")*(tbl_Finance[Xero Invoice No]&lt;&gt;"")),tbl_Finance[Xero Invoice No]))=COUNTIFS(tbl_Finance[Job Number],C236&amp;"",tbl_Finance[Xero Invoice No],"&lt;&gt;"),LOOKUP(2,1/((tbl_Finance[Job Number]=C236&amp;"")*(tbl_Finance[Xero Invoice No]&lt;&gt;"")),tbl_Finance[Xero Invoice No]),LOOKUP(2,1/((tbl_Finance[Job Number]=C236&amp;"")*(tbl_Finance[Xero Invoice No]&lt;&gt;"")),tbl_Finance[Xero Invoice No])&amp;" +more"),"")))</f>
        <v/>
      </c>
      <c r="C236" s="24" t="n"/>
      <c r="D236" s="25">
        <f>IF(C236="","",IF(COUNTIF(lst_Jobs,C236&amp;"")&gt;0,"OK","CHECK"))</f>
        <v/>
      </c>
      <c r="E236" s="25">
        <f>IF(C236="","",IFERROR(INDEX(lst_JobName,MATCH(C236&amp;"",lst_Jobs,0)),""))</f>
        <v/>
      </c>
      <c r="F236" s="25">
        <f>IF(C236="","",IFERROR(INDEX(tbl_Finance[Client],MATCH(C236&amp;"",tbl_Finance[Job Number],0)),""))</f>
        <v/>
      </c>
      <c r="G236" s="28">
        <f>IF(C236="","",COUNTIFS(tbl_Finance[Job Number],C236&amp;"",tbl_Finance[Ex GST],"&lt;&gt;"))</f>
        <v/>
      </c>
      <c r="H236" s="27">
        <f>IF(C236="","",SUMIFS(tbl_Finance[Ex GST],tbl_Finance[Job Number],C236&amp;""))</f>
        <v/>
      </c>
      <c r="I236" s="27">
        <f>IF(C236="","",SUMIFS(tbl_Finance[Ex GST],tbl_Finance[Job Number],C236&amp;"",tbl_Finance[Xero Invoice No],"&lt;&gt;"))</f>
        <v/>
      </c>
      <c r="J236" s="27">
        <f>IF(C236="","",H236-I236)</f>
        <v/>
      </c>
      <c r="K236" s="25">
        <f>IF(C236="","",IF(G236=0,"not invoiced yet",SUBSTITUTE(TRIM(IF(COUNTIFS(tbl_Finance[Job Number],C236&amp;"",tbl_Finance[Cost Centre],"ONSITE")&gt;0,"ONSITE ","")&amp;IF(COUNTIFS(tbl_Finance[Job Number],C236&amp;"",tbl_Finance[Cost Centre],"PRODUCTION")&gt;0,"PRODUCTION ","")&amp;IF(COUNTIFS(tbl_Finance[Job Number],C236&amp;"",tbl_Finance[Cost Centre],"VIDEO")&gt;0,"VIDEO ","")&amp;IF(COUNTIFS(tbl_Finance[Job Number],C236&amp;"",tbl_Finance[Cost Centre],"INTEGRATION")&gt;0,"INTEGRATION ","")&amp;IF(COUNTIFS(tbl_Finance[Job Number],C236&amp;"",tbl_Finance[Cost Centre],"CONSULTING")&gt;0,"CONSULTING ","")&amp;IF(COUNTIFS(tbl_Finance[Job Number],C236&amp;"",tbl_Finance[Cost Centre],"CTS")&gt;0,"CTS ",""))," ",", ")))</f>
        <v/>
      </c>
      <c r="L236" s="24" t="n"/>
      <c r="M236" s="24" t="n"/>
      <c r="N236" s="25">
        <f>IF(M236="","",HYPERLINK(IF(LEFT(M236,4)="http",M236,set_QwilrBase&amp;M236),"Open quote"))</f>
        <v/>
      </c>
      <c r="O236" s="64" t="n"/>
      <c r="P236" s="24" t="n"/>
      <c r="Q236" s="24" t="n"/>
    </row>
    <row r="237" ht="15" customHeight="1">
      <c r="A237" s="63">
        <f>IF(C237="","",IFERROR(IF(SUMPRODUCT(MAX((tbl_Finance[Job Number]=C237&amp;"")*(tbl_Finance[Xero Invoice No]&lt;&gt;"")*tbl_Finance[Date]))=0,"",SUMPRODUCT(MAX((tbl_Finance[Job Number]=C237&amp;"")*(tbl_Finance[Xero Invoice No]&lt;&gt;"")*tbl_Finance[Date]))),""))</f>
        <v/>
      </c>
      <c r="B237" s="25">
        <f>IF(C237="","",IF(COUNTIFS(tbl_Finance[Job Number],C237&amp;"",tbl_Finance[Xero Invoice No],"&lt;&gt;")=0,"",IFERROR(IF(COUNTIFS(tbl_Finance[Job Number],C237&amp;"",tbl_Finance[Xero Invoice No],LOOKUP(2,1/((tbl_Finance[Job Number]=C237&amp;"")*(tbl_Finance[Xero Invoice No]&lt;&gt;"")),tbl_Finance[Xero Invoice No]))=COUNTIFS(tbl_Finance[Job Number],C237&amp;"",tbl_Finance[Xero Invoice No],"&lt;&gt;"),LOOKUP(2,1/((tbl_Finance[Job Number]=C237&amp;"")*(tbl_Finance[Xero Invoice No]&lt;&gt;"")),tbl_Finance[Xero Invoice No]),LOOKUP(2,1/((tbl_Finance[Job Number]=C237&amp;"")*(tbl_Finance[Xero Invoice No]&lt;&gt;"")),tbl_Finance[Xero Invoice No])&amp;" +more"),"")))</f>
        <v/>
      </c>
      <c r="C237" s="24" t="n"/>
      <c r="D237" s="25">
        <f>IF(C237="","",IF(COUNTIF(lst_Jobs,C237&amp;"")&gt;0,"OK","CHECK"))</f>
        <v/>
      </c>
      <c r="E237" s="25">
        <f>IF(C237="","",IFERROR(INDEX(lst_JobName,MATCH(C237&amp;"",lst_Jobs,0)),""))</f>
        <v/>
      </c>
      <c r="F237" s="25">
        <f>IF(C237="","",IFERROR(INDEX(tbl_Finance[Client],MATCH(C237&amp;"",tbl_Finance[Job Number],0)),""))</f>
        <v/>
      </c>
      <c r="G237" s="28">
        <f>IF(C237="","",COUNTIFS(tbl_Finance[Job Number],C237&amp;"",tbl_Finance[Ex GST],"&lt;&gt;"))</f>
        <v/>
      </c>
      <c r="H237" s="27">
        <f>IF(C237="","",SUMIFS(tbl_Finance[Ex GST],tbl_Finance[Job Number],C237&amp;""))</f>
        <v/>
      </c>
      <c r="I237" s="27">
        <f>IF(C237="","",SUMIFS(tbl_Finance[Ex GST],tbl_Finance[Job Number],C237&amp;"",tbl_Finance[Xero Invoice No],"&lt;&gt;"))</f>
        <v/>
      </c>
      <c r="J237" s="27">
        <f>IF(C237="","",H237-I237)</f>
        <v/>
      </c>
      <c r="K237" s="25">
        <f>IF(C237="","",IF(G237=0,"not invoiced yet",SUBSTITUTE(TRIM(IF(COUNTIFS(tbl_Finance[Job Number],C237&amp;"",tbl_Finance[Cost Centre],"ONSITE")&gt;0,"ONSITE ","")&amp;IF(COUNTIFS(tbl_Finance[Job Number],C237&amp;"",tbl_Finance[Cost Centre],"PRODUCTION")&gt;0,"PRODUCTION ","")&amp;IF(COUNTIFS(tbl_Finance[Job Number],C237&amp;"",tbl_Finance[Cost Centre],"VIDEO")&gt;0,"VIDEO ","")&amp;IF(COUNTIFS(tbl_Finance[Job Number],C237&amp;"",tbl_Finance[Cost Centre],"INTEGRATION")&gt;0,"INTEGRATION ","")&amp;IF(COUNTIFS(tbl_Finance[Job Number],C237&amp;"",tbl_Finance[Cost Centre],"CONSULTING")&gt;0,"CONSULTING ","")&amp;IF(COUNTIFS(tbl_Finance[Job Number],C237&amp;"",tbl_Finance[Cost Centre],"CTS")&gt;0,"CTS ",""))," ",", ")))</f>
        <v/>
      </c>
      <c r="L237" s="24" t="n"/>
      <c r="M237" s="24" t="n"/>
      <c r="N237" s="25">
        <f>IF(M237="","",HYPERLINK(IF(LEFT(M237,4)="http",M237,set_QwilrBase&amp;M237),"Open quote"))</f>
        <v/>
      </c>
      <c r="O237" s="64" t="n"/>
      <c r="P237" s="24" t="n"/>
      <c r="Q237" s="24" t="n"/>
    </row>
    <row r="238" ht="15" customHeight="1">
      <c r="A238" s="63">
        <f>IF(C238="","",IFERROR(IF(SUMPRODUCT(MAX((tbl_Finance[Job Number]=C238&amp;"")*(tbl_Finance[Xero Invoice No]&lt;&gt;"")*tbl_Finance[Date]))=0,"",SUMPRODUCT(MAX((tbl_Finance[Job Number]=C238&amp;"")*(tbl_Finance[Xero Invoice No]&lt;&gt;"")*tbl_Finance[Date]))),""))</f>
        <v/>
      </c>
      <c r="B238" s="25">
        <f>IF(C238="","",IF(COUNTIFS(tbl_Finance[Job Number],C238&amp;"",tbl_Finance[Xero Invoice No],"&lt;&gt;")=0,"",IFERROR(IF(COUNTIFS(tbl_Finance[Job Number],C238&amp;"",tbl_Finance[Xero Invoice No],LOOKUP(2,1/((tbl_Finance[Job Number]=C238&amp;"")*(tbl_Finance[Xero Invoice No]&lt;&gt;"")),tbl_Finance[Xero Invoice No]))=COUNTIFS(tbl_Finance[Job Number],C238&amp;"",tbl_Finance[Xero Invoice No],"&lt;&gt;"),LOOKUP(2,1/((tbl_Finance[Job Number]=C238&amp;"")*(tbl_Finance[Xero Invoice No]&lt;&gt;"")),tbl_Finance[Xero Invoice No]),LOOKUP(2,1/((tbl_Finance[Job Number]=C238&amp;"")*(tbl_Finance[Xero Invoice No]&lt;&gt;"")),tbl_Finance[Xero Invoice No])&amp;" +more"),"")))</f>
        <v/>
      </c>
      <c r="C238" s="24" t="n"/>
      <c r="D238" s="25">
        <f>IF(C238="","",IF(COUNTIF(lst_Jobs,C238&amp;"")&gt;0,"OK","CHECK"))</f>
        <v/>
      </c>
      <c r="E238" s="25">
        <f>IF(C238="","",IFERROR(INDEX(lst_JobName,MATCH(C238&amp;"",lst_Jobs,0)),""))</f>
        <v/>
      </c>
      <c r="F238" s="25">
        <f>IF(C238="","",IFERROR(INDEX(tbl_Finance[Client],MATCH(C238&amp;"",tbl_Finance[Job Number],0)),""))</f>
        <v/>
      </c>
      <c r="G238" s="28">
        <f>IF(C238="","",COUNTIFS(tbl_Finance[Job Number],C238&amp;"",tbl_Finance[Ex GST],"&lt;&gt;"))</f>
        <v/>
      </c>
      <c r="H238" s="27">
        <f>IF(C238="","",SUMIFS(tbl_Finance[Ex GST],tbl_Finance[Job Number],C238&amp;""))</f>
        <v/>
      </c>
      <c r="I238" s="27">
        <f>IF(C238="","",SUMIFS(tbl_Finance[Ex GST],tbl_Finance[Job Number],C238&amp;"",tbl_Finance[Xero Invoice No],"&lt;&gt;"))</f>
        <v/>
      </c>
      <c r="J238" s="27">
        <f>IF(C238="","",H238-I238)</f>
        <v/>
      </c>
      <c r="K238" s="25">
        <f>IF(C238="","",IF(G238=0,"not invoiced yet",SUBSTITUTE(TRIM(IF(COUNTIFS(tbl_Finance[Job Number],C238&amp;"",tbl_Finance[Cost Centre],"ONSITE")&gt;0,"ONSITE ","")&amp;IF(COUNTIFS(tbl_Finance[Job Number],C238&amp;"",tbl_Finance[Cost Centre],"PRODUCTION")&gt;0,"PRODUCTION ","")&amp;IF(COUNTIFS(tbl_Finance[Job Number],C238&amp;"",tbl_Finance[Cost Centre],"VIDEO")&gt;0,"VIDEO ","")&amp;IF(COUNTIFS(tbl_Finance[Job Number],C238&amp;"",tbl_Finance[Cost Centre],"INTEGRATION")&gt;0,"INTEGRATION ","")&amp;IF(COUNTIFS(tbl_Finance[Job Number],C238&amp;"",tbl_Finance[Cost Centre],"CONSULTING")&gt;0,"CONSULTING ","")&amp;IF(COUNTIFS(tbl_Finance[Job Number],C238&amp;"",tbl_Finance[Cost Centre],"CTS")&gt;0,"CTS ",""))," ",", ")))</f>
        <v/>
      </c>
      <c r="L238" s="24" t="n"/>
      <c r="M238" s="24" t="n"/>
      <c r="N238" s="25">
        <f>IF(M238="","",HYPERLINK(IF(LEFT(M238,4)="http",M238,set_QwilrBase&amp;M238),"Open quote"))</f>
        <v/>
      </c>
      <c r="O238" s="64" t="n"/>
      <c r="P238" s="24" t="n"/>
      <c r="Q238" s="24" t="n"/>
    </row>
    <row r="239" ht="15" customHeight="1">
      <c r="A239" s="63">
        <f>IF(C239="","",IFERROR(IF(SUMPRODUCT(MAX((tbl_Finance[Job Number]=C239&amp;"")*(tbl_Finance[Xero Invoice No]&lt;&gt;"")*tbl_Finance[Date]))=0,"",SUMPRODUCT(MAX((tbl_Finance[Job Number]=C239&amp;"")*(tbl_Finance[Xero Invoice No]&lt;&gt;"")*tbl_Finance[Date]))),""))</f>
        <v/>
      </c>
      <c r="B239" s="25">
        <f>IF(C239="","",IF(COUNTIFS(tbl_Finance[Job Number],C239&amp;"",tbl_Finance[Xero Invoice No],"&lt;&gt;")=0,"",IFERROR(IF(COUNTIFS(tbl_Finance[Job Number],C239&amp;"",tbl_Finance[Xero Invoice No],LOOKUP(2,1/((tbl_Finance[Job Number]=C239&amp;"")*(tbl_Finance[Xero Invoice No]&lt;&gt;"")),tbl_Finance[Xero Invoice No]))=COUNTIFS(tbl_Finance[Job Number],C239&amp;"",tbl_Finance[Xero Invoice No],"&lt;&gt;"),LOOKUP(2,1/((tbl_Finance[Job Number]=C239&amp;"")*(tbl_Finance[Xero Invoice No]&lt;&gt;"")),tbl_Finance[Xero Invoice No]),LOOKUP(2,1/((tbl_Finance[Job Number]=C239&amp;"")*(tbl_Finance[Xero Invoice No]&lt;&gt;"")),tbl_Finance[Xero Invoice No])&amp;" +more"),"")))</f>
        <v/>
      </c>
      <c r="C239" s="24" t="n"/>
      <c r="D239" s="25">
        <f>IF(C239="","",IF(COUNTIF(lst_Jobs,C239&amp;"")&gt;0,"OK","CHECK"))</f>
        <v/>
      </c>
      <c r="E239" s="25">
        <f>IF(C239="","",IFERROR(INDEX(lst_JobName,MATCH(C239&amp;"",lst_Jobs,0)),""))</f>
        <v/>
      </c>
      <c r="F239" s="25">
        <f>IF(C239="","",IFERROR(INDEX(tbl_Finance[Client],MATCH(C239&amp;"",tbl_Finance[Job Number],0)),""))</f>
        <v/>
      </c>
      <c r="G239" s="28">
        <f>IF(C239="","",COUNTIFS(tbl_Finance[Job Number],C239&amp;"",tbl_Finance[Ex GST],"&lt;&gt;"))</f>
        <v/>
      </c>
      <c r="H239" s="27">
        <f>IF(C239="","",SUMIFS(tbl_Finance[Ex GST],tbl_Finance[Job Number],C239&amp;""))</f>
        <v/>
      </c>
      <c r="I239" s="27">
        <f>IF(C239="","",SUMIFS(tbl_Finance[Ex GST],tbl_Finance[Job Number],C239&amp;"",tbl_Finance[Xero Invoice No],"&lt;&gt;"))</f>
        <v/>
      </c>
      <c r="J239" s="27">
        <f>IF(C239="","",H239-I239)</f>
        <v/>
      </c>
      <c r="K239" s="25">
        <f>IF(C239="","",IF(G239=0,"not invoiced yet",SUBSTITUTE(TRIM(IF(COUNTIFS(tbl_Finance[Job Number],C239&amp;"",tbl_Finance[Cost Centre],"ONSITE")&gt;0,"ONSITE ","")&amp;IF(COUNTIFS(tbl_Finance[Job Number],C239&amp;"",tbl_Finance[Cost Centre],"PRODUCTION")&gt;0,"PRODUCTION ","")&amp;IF(COUNTIFS(tbl_Finance[Job Number],C239&amp;"",tbl_Finance[Cost Centre],"VIDEO")&gt;0,"VIDEO ","")&amp;IF(COUNTIFS(tbl_Finance[Job Number],C239&amp;"",tbl_Finance[Cost Centre],"INTEGRATION")&gt;0,"INTEGRATION ","")&amp;IF(COUNTIFS(tbl_Finance[Job Number],C239&amp;"",tbl_Finance[Cost Centre],"CONSULTING")&gt;0,"CONSULTING ","")&amp;IF(COUNTIFS(tbl_Finance[Job Number],C239&amp;"",tbl_Finance[Cost Centre],"CTS")&gt;0,"CTS ",""))," ",", ")))</f>
        <v/>
      </c>
      <c r="L239" s="24" t="n"/>
      <c r="M239" s="24" t="n"/>
      <c r="N239" s="25">
        <f>IF(M239="","",HYPERLINK(IF(LEFT(M239,4)="http",M239,set_QwilrBase&amp;M239),"Open quote"))</f>
        <v/>
      </c>
      <c r="O239" s="64" t="n"/>
      <c r="P239" s="24" t="n"/>
      <c r="Q239" s="24" t="n"/>
    </row>
    <row r="240" ht="15" customHeight="1">
      <c r="A240" s="63">
        <f>IF(C240="","",IFERROR(IF(SUMPRODUCT(MAX((tbl_Finance[Job Number]=C240&amp;"")*(tbl_Finance[Xero Invoice No]&lt;&gt;"")*tbl_Finance[Date]))=0,"",SUMPRODUCT(MAX((tbl_Finance[Job Number]=C240&amp;"")*(tbl_Finance[Xero Invoice No]&lt;&gt;"")*tbl_Finance[Date]))),""))</f>
        <v/>
      </c>
      <c r="B240" s="25">
        <f>IF(C240="","",IF(COUNTIFS(tbl_Finance[Job Number],C240&amp;"",tbl_Finance[Xero Invoice No],"&lt;&gt;")=0,"",IFERROR(IF(COUNTIFS(tbl_Finance[Job Number],C240&amp;"",tbl_Finance[Xero Invoice No],LOOKUP(2,1/((tbl_Finance[Job Number]=C240&amp;"")*(tbl_Finance[Xero Invoice No]&lt;&gt;"")),tbl_Finance[Xero Invoice No]))=COUNTIFS(tbl_Finance[Job Number],C240&amp;"",tbl_Finance[Xero Invoice No],"&lt;&gt;"),LOOKUP(2,1/((tbl_Finance[Job Number]=C240&amp;"")*(tbl_Finance[Xero Invoice No]&lt;&gt;"")),tbl_Finance[Xero Invoice No]),LOOKUP(2,1/((tbl_Finance[Job Number]=C240&amp;"")*(tbl_Finance[Xero Invoice No]&lt;&gt;"")),tbl_Finance[Xero Invoice No])&amp;" +more"),"")))</f>
        <v/>
      </c>
      <c r="C240" s="24" t="n"/>
      <c r="D240" s="25">
        <f>IF(C240="","",IF(COUNTIF(lst_Jobs,C240&amp;"")&gt;0,"OK","CHECK"))</f>
        <v/>
      </c>
      <c r="E240" s="25">
        <f>IF(C240="","",IFERROR(INDEX(lst_JobName,MATCH(C240&amp;"",lst_Jobs,0)),""))</f>
        <v/>
      </c>
      <c r="F240" s="25">
        <f>IF(C240="","",IFERROR(INDEX(tbl_Finance[Client],MATCH(C240&amp;"",tbl_Finance[Job Number],0)),""))</f>
        <v/>
      </c>
      <c r="G240" s="28">
        <f>IF(C240="","",COUNTIFS(tbl_Finance[Job Number],C240&amp;"",tbl_Finance[Ex GST],"&lt;&gt;"))</f>
        <v/>
      </c>
      <c r="H240" s="27">
        <f>IF(C240="","",SUMIFS(tbl_Finance[Ex GST],tbl_Finance[Job Number],C240&amp;""))</f>
        <v/>
      </c>
      <c r="I240" s="27">
        <f>IF(C240="","",SUMIFS(tbl_Finance[Ex GST],tbl_Finance[Job Number],C240&amp;"",tbl_Finance[Xero Invoice No],"&lt;&gt;"))</f>
        <v/>
      </c>
      <c r="J240" s="27">
        <f>IF(C240="","",H240-I240)</f>
        <v/>
      </c>
      <c r="K240" s="25">
        <f>IF(C240="","",IF(G240=0,"not invoiced yet",SUBSTITUTE(TRIM(IF(COUNTIFS(tbl_Finance[Job Number],C240&amp;"",tbl_Finance[Cost Centre],"ONSITE")&gt;0,"ONSITE ","")&amp;IF(COUNTIFS(tbl_Finance[Job Number],C240&amp;"",tbl_Finance[Cost Centre],"PRODUCTION")&gt;0,"PRODUCTION ","")&amp;IF(COUNTIFS(tbl_Finance[Job Number],C240&amp;"",tbl_Finance[Cost Centre],"VIDEO")&gt;0,"VIDEO ","")&amp;IF(COUNTIFS(tbl_Finance[Job Number],C240&amp;"",tbl_Finance[Cost Centre],"INTEGRATION")&gt;0,"INTEGRATION ","")&amp;IF(COUNTIFS(tbl_Finance[Job Number],C240&amp;"",tbl_Finance[Cost Centre],"CONSULTING")&gt;0,"CONSULTING ","")&amp;IF(COUNTIFS(tbl_Finance[Job Number],C240&amp;"",tbl_Finance[Cost Centre],"CTS")&gt;0,"CTS ",""))," ",", ")))</f>
        <v/>
      </c>
      <c r="L240" s="24" t="n"/>
      <c r="M240" s="24" t="n"/>
      <c r="N240" s="25">
        <f>IF(M240="","",HYPERLINK(IF(LEFT(M240,4)="http",M240,set_QwilrBase&amp;M240),"Open quote"))</f>
        <v/>
      </c>
      <c r="O240" s="64" t="n"/>
      <c r="P240" s="24" t="n"/>
      <c r="Q240" s="24" t="n"/>
    </row>
    <row r="241" ht="15" customHeight="1">
      <c r="A241" s="63">
        <f>IF(C241="","",IFERROR(IF(SUMPRODUCT(MAX((tbl_Finance[Job Number]=C241&amp;"")*(tbl_Finance[Xero Invoice No]&lt;&gt;"")*tbl_Finance[Date]))=0,"",SUMPRODUCT(MAX((tbl_Finance[Job Number]=C241&amp;"")*(tbl_Finance[Xero Invoice No]&lt;&gt;"")*tbl_Finance[Date]))),""))</f>
        <v/>
      </c>
      <c r="B241" s="25">
        <f>IF(C241="","",IF(COUNTIFS(tbl_Finance[Job Number],C241&amp;"",tbl_Finance[Xero Invoice No],"&lt;&gt;")=0,"",IFERROR(IF(COUNTIFS(tbl_Finance[Job Number],C241&amp;"",tbl_Finance[Xero Invoice No],LOOKUP(2,1/((tbl_Finance[Job Number]=C241&amp;"")*(tbl_Finance[Xero Invoice No]&lt;&gt;"")),tbl_Finance[Xero Invoice No]))=COUNTIFS(tbl_Finance[Job Number],C241&amp;"",tbl_Finance[Xero Invoice No],"&lt;&gt;"),LOOKUP(2,1/((tbl_Finance[Job Number]=C241&amp;"")*(tbl_Finance[Xero Invoice No]&lt;&gt;"")),tbl_Finance[Xero Invoice No]),LOOKUP(2,1/((tbl_Finance[Job Number]=C241&amp;"")*(tbl_Finance[Xero Invoice No]&lt;&gt;"")),tbl_Finance[Xero Invoice No])&amp;" +more"),"")))</f>
        <v/>
      </c>
      <c r="C241" s="24" t="n"/>
      <c r="D241" s="25">
        <f>IF(C241="","",IF(COUNTIF(lst_Jobs,C241&amp;"")&gt;0,"OK","CHECK"))</f>
        <v/>
      </c>
      <c r="E241" s="25">
        <f>IF(C241="","",IFERROR(INDEX(lst_JobName,MATCH(C241&amp;"",lst_Jobs,0)),""))</f>
        <v/>
      </c>
      <c r="F241" s="25">
        <f>IF(C241="","",IFERROR(INDEX(tbl_Finance[Client],MATCH(C241&amp;"",tbl_Finance[Job Number],0)),""))</f>
        <v/>
      </c>
      <c r="G241" s="28">
        <f>IF(C241="","",COUNTIFS(tbl_Finance[Job Number],C241&amp;"",tbl_Finance[Ex GST],"&lt;&gt;"))</f>
        <v/>
      </c>
      <c r="H241" s="27">
        <f>IF(C241="","",SUMIFS(tbl_Finance[Ex GST],tbl_Finance[Job Number],C241&amp;""))</f>
        <v/>
      </c>
      <c r="I241" s="27">
        <f>IF(C241="","",SUMIFS(tbl_Finance[Ex GST],tbl_Finance[Job Number],C241&amp;"",tbl_Finance[Xero Invoice No],"&lt;&gt;"))</f>
        <v/>
      </c>
      <c r="J241" s="27">
        <f>IF(C241="","",H241-I241)</f>
        <v/>
      </c>
      <c r="K241" s="25">
        <f>IF(C241="","",IF(G241=0,"not invoiced yet",SUBSTITUTE(TRIM(IF(COUNTIFS(tbl_Finance[Job Number],C241&amp;"",tbl_Finance[Cost Centre],"ONSITE")&gt;0,"ONSITE ","")&amp;IF(COUNTIFS(tbl_Finance[Job Number],C241&amp;"",tbl_Finance[Cost Centre],"PRODUCTION")&gt;0,"PRODUCTION ","")&amp;IF(COUNTIFS(tbl_Finance[Job Number],C241&amp;"",tbl_Finance[Cost Centre],"VIDEO")&gt;0,"VIDEO ","")&amp;IF(COUNTIFS(tbl_Finance[Job Number],C241&amp;"",tbl_Finance[Cost Centre],"INTEGRATION")&gt;0,"INTEGRATION ","")&amp;IF(COUNTIFS(tbl_Finance[Job Number],C241&amp;"",tbl_Finance[Cost Centre],"CONSULTING")&gt;0,"CONSULTING ","")&amp;IF(COUNTIFS(tbl_Finance[Job Number],C241&amp;"",tbl_Finance[Cost Centre],"CTS")&gt;0,"CTS ",""))," ",", ")))</f>
        <v/>
      </c>
      <c r="L241" s="24" t="n"/>
      <c r="M241" s="24" t="n"/>
      <c r="N241" s="25">
        <f>IF(M241="","",HYPERLINK(IF(LEFT(M241,4)="http",M241,set_QwilrBase&amp;M241),"Open quote"))</f>
        <v/>
      </c>
      <c r="O241" s="64" t="n"/>
      <c r="P241" s="24" t="n"/>
      <c r="Q241" s="24" t="n"/>
    </row>
    <row r="242" ht="15" customHeight="1">
      <c r="A242" s="63">
        <f>IF(C242="","",IFERROR(IF(SUMPRODUCT(MAX((tbl_Finance[Job Number]=C242&amp;"")*(tbl_Finance[Xero Invoice No]&lt;&gt;"")*tbl_Finance[Date]))=0,"",SUMPRODUCT(MAX((tbl_Finance[Job Number]=C242&amp;"")*(tbl_Finance[Xero Invoice No]&lt;&gt;"")*tbl_Finance[Date]))),""))</f>
        <v/>
      </c>
      <c r="B242" s="25">
        <f>IF(C242="","",IF(COUNTIFS(tbl_Finance[Job Number],C242&amp;"",tbl_Finance[Xero Invoice No],"&lt;&gt;")=0,"",IFERROR(IF(COUNTIFS(tbl_Finance[Job Number],C242&amp;"",tbl_Finance[Xero Invoice No],LOOKUP(2,1/((tbl_Finance[Job Number]=C242&amp;"")*(tbl_Finance[Xero Invoice No]&lt;&gt;"")),tbl_Finance[Xero Invoice No]))=COUNTIFS(tbl_Finance[Job Number],C242&amp;"",tbl_Finance[Xero Invoice No],"&lt;&gt;"),LOOKUP(2,1/((tbl_Finance[Job Number]=C242&amp;"")*(tbl_Finance[Xero Invoice No]&lt;&gt;"")),tbl_Finance[Xero Invoice No]),LOOKUP(2,1/((tbl_Finance[Job Number]=C242&amp;"")*(tbl_Finance[Xero Invoice No]&lt;&gt;"")),tbl_Finance[Xero Invoice No])&amp;" +more"),"")))</f>
        <v/>
      </c>
      <c r="C242" s="24" t="n"/>
      <c r="D242" s="25">
        <f>IF(C242="","",IF(COUNTIF(lst_Jobs,C242&amp;"")&gt;0,"OK","CHECK"))</f>
        <v/>
      </c>
      <c r="E242" s="25">
        <f>IF(C242="","",IFERROR(INDEX(lst_JobName,MATCH(C242&amp;"",lst_Jobs,0)),""))</f>
        <v/>
      </c>
      <c r="F242" s="25">
        <f>IF(C242="","",IFERROR(INDEX(tbl_Finance[Client],MATCH(C242&amp;"",tbl_Finance[Job Number],0)),""))</f>
        <v/>
      </c>
      <c r="G242" s="28">
        <f>IF(C242="","",COUNTIFS(tbl_Finance[Job Number],C242&amp;"",tbl_Finance[Ex GST],"&lt;&gt;"))</f>
        <v/>
      </c>
      <c r="H242" s="27">
        <f>IF(C242="","",SUMIFS(tbl_Finance[Ex GST],tbl_Finance[Job Number],C242&amp;""))</f>
        <v/>
      </c>
      <c r="I242" s="27">
        <f>IF(C242="","",SUMIFS(tbl_Finance[Ex GST],tbl_Finance[Job Number],C242&amp;"",tbl_Finance[Xero Invoice No],"&lt;&gt;"))</f>
        <v/>
      </c>
      <c r="J242" s="27">
        <f>IF(C242="","",H242-I242)</f>
        <v/>
      </c>
      <c r="K242" s="25">
        <f>IF(C242="","",IF(G242=0,"not invoiced yet",SUBSTITUTE(TRIM(IF(COUNTIFS(tbl_Finance[Job Number],C242&amp;"",tbl_Finance[Cost Centre],"ONSITE")&gt;0,"ONSITE ","")&amp;IF(COUNTIFS(tbl_Finance[Job Number],C242&amp;"",tbl_Finance[Cost Centre],"PRODUCTION")&gt;0,"PRODUCTION ","")&amp;IF(COUNTIFS(tbl_Finance[Job Number],C242&amp;"",tbl_Finance[Cost Centre],"VIDEO")&gt;0,"VIDEO ","")&amp;IF(COUNTIFS(tbl_Finance[Job Number],C242&amp;"",tbl_Finance[Cost Centre],"INTEGRATION")&gt;0,"INTEGRATION ","")&amp;IF(COUNTIFS(tbl_Finance[Job Number],C242&amp;"",tbl_Finance[Cost Centre],"CONSULTING")&gt;0,"CONSULTING ","")&amp;IF(COUNTIFS(tbl_Finance[Job Number],C242&amp;"",tbl_Finance[Cost Centre],"CTS")&gt;0,"CTS ",""))," ",", ")))</f>
        <v/>
      </c>
      <c r="L242" s="24" t="n"/>
      <c r="M242" s="24" t="n"/>
      <c r="N242" s="25">
        <f>IF(M242="","",HYPERLINK(IF(LEFT(M242,4)="http",M242,set_QwilrBase&amp;M242),"Open quote"))</f>
        <v/>
      </c>
      <c r="O242" s="64" t="n"/>
      <c r="P242" s="24" t="n"/>
      <c r="Q242" s="24" t="n"/>
    </row>
    <row r="243" ht="15" customHeight="1">
      <c r="A243" s="63">
        <f>IF(C243="","",IFERROR(IF(SUMPRODUCT(MAX((tbl_Finance[Job Number]=C243&amp;"")*(tbl_Finance[Xero Invoice No]&lt;&gt;"")*tbl_Finance[Date]))=0,"",SUMPRODUCT(MAX((tbl_Finance[Job Number]=C243&amp;"")*(tbl_Finance[Xero Invoice No]&lt;&gt;"")*tbl_Finance[Date]))),""))</f>
        <v/>
      </c>
      <c r="B243" s="25">
        <f>IF(C243="","",IF(COUNTIFS(tbl_Finance[Job Number],C243&amp;"",tbl_Finance[Xero Invoice No],"&lt;&gt;")=0,"",IFERROR(IF(COUNTIFS(tbl_Finance[Job Number],C243&amp;"",tbl_Finance[Xero Invoice No],LOOKUP(2,1/((tbl_Finance[Job Number]=C243&amp;"")*(tbl_Finance[Xero Invoice No]&lt;&gt;"")),tbl_Finance[Xero Invoice No]))=COUNTIFS(tbl_Finance[Job Number],C243&amp;"",tbl_Finance[Xero Invoice No],"&lt;&gt;"),LOOKUP(2,1/((tbl_Finance[Job Number]=C243&amp;"")*(tbl_Finance[Xero Invoice No]&lt;&gt;"")),tbl_Finance[Xero Invoice No]),LOOKUP(2,1/((tbl_Finance[Job Number]=C243&amp;"")*(tbl_Finance[Xero Invoice No]&lt;&gt;"")),tbl_Finance[Xero Invoice No])&amp;" +more"),"")))</f>
        <v/>
      </c>
      <c r="C243" s="24" t="n"/>
      <c r="D243" s="25">
        <f>IF(C243="","",IF(COUNTIF(lst_Jobs,C243&amp;"")&gt;0,"OK","CHECK"))</f>
        <v/>
      </c>
      <c r="E243" s="25">
        <f>IF(C243="","",IFERROR(INDEX(lst_JobName,MATCH(C243&amp;"",lst_Jobs,0)),""))</f>
        <v/>
      </c>
      <c r="F243" s="25">
        <f>IF(C243="","",IFERROR(INDEX(tbl_Finance[Client],MATCH(C243&amp;"",tbl_Finance[Job Number],0)),""))</f>
        <v/>
      </c>
      <c r="G243" s="28">
        <f>IF(C243="","",COUNTIFS(tbl_Finance[Job Number],C243&amp;"",tbl_Finance[Ex GST],"&lt;&gt;"))</f>
        <v/>
      </c>
      <c r="H243" s="27">
        <f>IF(C243="","",SUMIFS(tbl_Finance[Ex GST],tbl_Finance[Job Number],C243&amp;""))</f>
        <v/>
      </c>
      <c r="I243" s="27">
        <f>IF(C243="","",SUMIFS(tbl_Finance[Ex GST],tbl_Finance[Job Number],C243&amp;"",tbl_Finance[Xero Invoice No],"&lt;&gt;"))</f>
        <v/>
      </c>
      <c r="J243" s="27">
        <f>IF(C243="","",H243-I243)</f>
        <v/>
      </c>
      <c r="K243" s="25">
        <f>IF(C243="","",IF(G243=0,"not invoiced yet",SUBSTITUTE(TRIM(IF(COUNTIFS(tbl_Finance[Job Number],C243&amp;"",tbl_Finance[Cost Centre],"ONSITE")&gt;0,"ONSITE ","")&amp;IF(COUNTIFS(tbl_Finance[Job Number],C243&amp;"",tbl_Finance[Cost Centre],"PRODUCTION")&gt;0,"PRODUCTION ","")&amp;IF(COUNTIFS(tbl_Finance[Job Number],C243&amp;"",tbl_Finance[Cost Centre],"VIDEO")&gt;0,"VIDEO ","")&amp;IF(COUNTIFS(tbl_Finance[Job Number],C243&amp;"",tbl_Finance[Cost Centre],"INTEGRATION")&gt;0,"INTEGRATION ","")&amp;IF(COUNTIFS(tbl_Finance[Job Number],C243&amp;"",tbl_Finance[Cost Centre],"CONSULTING")&gt;0,"CONSULTING ","")&amp;IF(COUNTIFS(tbl_Finance[Job Number],C243&amp;"",tbl_Finance[Cost Centre],"CTS")&gt;0,"CTS ",""))," ",", ")))</f>
        <v/>
      </c>
      <c r="L243" s="24" t="n"/>
      <c r="M243" s="24" t="n"/>
      <c r="N243" s="25">
        <f>IF(M243="","",HYPERLINK(IF(LEFT(M243,4)="http",M243,set_QwilrBase&amp;M243),"Open quote"))</f>
        <v/>
      </c>
      <c r="O243" s="64" t="n"/>
      <c r="P243" s="24" t="n"/>
      <c r="Q243" s="24" t="n"/>
    </row>
    <row r="244" ht="15" customHeight="1">
      <c r="A244" s="63">
        <f>IF(C244="","",IFERROR(IF(SUMPRODUCT(MAX((tbl_Finance[Job Number]=C244&amp;"")*(tbl_Finance[Xero Invoice No]&lt;&gt;"")*tbl_Finance[Date]))=0,"",SUMPRODUCT(MAX((tbl_Finance[Job Number]=C244&amp;"")*(tbl_Finance[Xero Invoice No]&lt;&gt;"")*tbl_Finance[Date]))),""))</f>
        <v/>
      </c>
      <c r="B244" s="25">
        <f>IF(C244="","",IF(COUNTIFS(tbl_Finance[Job Number],C244&amp;"",tbl_Finance[Xero Invoice No],"&lt;&gt;")=0,"",IFERROR(IF(COUNTIFS(tbl_Finance[Job Number],C244&amp;"",tbl_Finance[Xero Invoice No],LOOKUP(2,1/((tbl_Finance[Job Number]=C244&amp;"")*(tbl_Finance[Xero Invoice No]&lt;&gt;"")),tbl_Finance[Xero Invoice No]))=COUNTIFS(tbl_Finance[Job Number],C244&amp;"",tbl_Finance[Xero Invoice No],"&lt;&gt;"),LOOKUP(2,1/((tbl_Finance[Job Number]=C244&amp;"")*(tbl_Finance[Xero Invoice No]&lt;&gt;"")),tbl_Finance[Xero Invoice No]),LOOKUP(2,1/((tbl_Finance[Job Number]=C244&amp;"")*(tbl_Finance[Xero Invoice No]&lt;&gt;"")),tbl_Finance[Xero Invoice No])&amp;" +more"),"")))</f>
        <v/>
      </c>
      <c r="C244" s="24" t="n"/>
      <c r="D244" s="25">
        <f>IF(C244="","",IF(COUNTIF(lst_Jobs,C244&amp;"")&gt;0,"OK","CHECK"))</f>
        <v/>
      </c>
      <c r="E244" s="25">
        <f>IF(C244="","",IFERROR(INDEX(lst_JobName,MATCH(C244&amp;"",lst_Jobs,0)),""))</f>
        <v/>
      </c>
      <c r="F244" s="25">
        <f>IF(C244="","",IFERROR(INDEX(tbl_Finance[Client],MATCH(C244&amp;"",tbl_Finance[Job Number],0)),""))</f>
        <v/>
      </c>
      <c r="G244" s="28">
        <f>IF(C244="","",COUNTIFS(tbl_Finance[Job Number],C244&amp;"",tbl_Finance[Ex GST],"&lt;&gt;"))</f>
        <v/>
      </c>
      <c r="H244" s="27">
        <f>IF(C244="","",SUMIFS(tbl_Finance[Ex GST],tbl_Finance[Job Number],C244&amp;""))</f>
        <v/>
      </c>
      <c r="I244" s="27">
        <f>IF(C244="","",SUMIFS(tbl_Finance[Ex GST],tbl_Finance[Job Number],C244&amp;"",tbl_Finance[Xero Invoice No],"&lt;&gt;"))</f>
        <v/>
      </c>
      <c r="J244" s="27">
        <f>IF(C244="","",H244-I244)</f>
        <v/>
      </c>
      <c r="K244" s="25">
        <f>IF(C244="","",IF(G244=0,"not invoiced yet",SUBSTITUTE(TRIM(IF(COUNTIFS(tbl_Finance[Job Number],C244&amp;"",tbl_Finance[Cost Centre],"ONSITE")&gt;0,"ONSITE ","")&amp;IF(COUNTIFS(tbl_Finance[Job Number],C244&amp;"",tbl_Finance[Cost Centre],"PRODUCTION")&gt;0,"PRODUCTION ","")&amp;IF(COUNTIFS(tbl_Finance[Job Number],C244&amp;"",tbl_Finance[Cost Centre],"VIDEO")&gt;0,"VIDEO ","")&amp;IF(COUNTIFS(tbl_Finance[Job Number],C244&amp;"",tbl_Finance[Cost Centre],"INTEGRATION")&gt;0,"INTEGRATION ","")&amp;IF(COUNTIFS(tbl_Finance[Job Number],C244&amp;"",tbl_Finance[Cost Centre],"CONSULTING")&gt;0,"CONSULTING ","")&amp;IF(COUNTIFS(tbl_Finance[Job Number],C244&amp;"",tbl_Finance[Cost Centre],"CTS")&gt;0,"CTS ",""))," ",", ")))</f>
        <v/>
      </c>
      <c r="L244" s="24" t="n"/>
      <c r="M244" s="24" t="n"/>
      <c r="N244" s="25">
        <f>IF(M244="","",HYPERLINK(IF(LEFT(M244,4)="http",M244,set_QwilrBase&amp;M244),"Open quote"))</f>
        <v/>
      </c>
      <c r="O244" s="64" t="n"/>
      <c r="P244" s="24" t="n"/>
      <c r="Q244" s="24" t="n"/>
    </row>
    <row r="245" ht="15" customHeight="1">
      <c r="A245" s="63">
        <f>IF(C245="","",IFERROR(IF(SUMPRODUCT(MAX((tbl_Finance[Job Number]=C245&amp;"")*(tbl_Finance[Xero Invoice No]&lt;&gt;"")*tbl_Finance[Date]))=0,"",SUMPRODUCT(MAX((tbl_Finance[Job Number]=C245&amp;"")*(tbl_Finance[Xero Invoice No]&lt;&gt;"")*tbl_Finance[Date]))),""))</f>
        <v/>
      </c>
      <c r="B245" s="25">
        <f>IF(C245="","",IF(COUNTIFS(tbl_Finance[Job Number],C245&amp;"",tbl_Finance[Xero Invoice No],"&lt;&gt;")=0,"",IFERROR(IF(COUNTIFS(tbl_Finance[Job Number],C245&amp;"",tbl_Finance[Xero Invoice No],LOOKUP(2,1/((tbl_Finance[Job Number]=C245&amp;"")*(tbl_Finance[Xero Invoice No]&lt;&gt;"")),tbl_Finance[Xero Invoice No]))=COUNTIFS(tbl_Finance[Job Number],C245&amp;"",tbl_Finance[Xero Invoice No],"&lt;&gt;"),LOOKUP(2,1/((tbl_Finance[Job Number]=C245&amp;"")*(tbl_Finance[Xero Invoice No]&lt;&gt;"")),tbl_Finance[Xero Invoice No]),LOOKUP(2,1/((tbl_Finance[Job Number]=C245&amp;"")*(tbl_Finance[Xero Invoice No]&lt;&gt;"")),tbl_Finance[Xero Invoice No])&amp;" +more"),"")))</f>
        <v/>
      </c>
      <c r="C245" s="24" t="n"/>
      <c r="D245" s="25">
        <f>IF(C245="","",IF(COUNTIF(lst_Jobs,C245&amp;"")&gt;0,"OK","CHECK"))</f>
        <v/>
      </c>
      <c r="E245" s="25">
        <f>IF(C245="","",IFERROR(INDEX(lst_JobName,MATCH(C245&amp;"",lst_Jobs,0)),""))</f>
        <v/>
      </c>
      <c r="F245" s="25">
        <f>IF(C245="","",IFERROR(INDEX(tbl_Finance[Client],MATCH(C245&amp;"",tbl_Finance[Job Number],0)),""))</f>
        <v/>
      </c>
      <c r="G245" s="28">
        <f>IF(C245="","",COUNTIFS(tbl_Finance[Job Number],C245&amp;"",tbl_Finance[Ex GST],"&lt;&gt;"))</f>
        <v/>
      </c>
      <c r="H245" s="27">
        <f>IF(C245="","",SUMIFS(tbl_Finance[Ex GST],tbl_Finance[Job Number],C245&amp;""))</f>
        <v/>
      </c>
      <c r="I245" s="27">
        <f>IF(C245="","",SUMIFS(tbl_Finance[Ex GST],tbl_Finance[Job Number],C245&amp;"",tbl_Finance[Xero Invoice No],"&lt;&gt;"))</f>
        <v/>
      </c>
      <c r="J245" s="27">
        <f>IF(C245="","",H245-I245)</f>
        <v/>
      </c>
      <c r="K245" s="25">
        <f>IF(C245="","",IF(G245=0,"not invoiced yet",SUBSTITUTE(TRIM(IF(COUNTIFS(tbl_Finance[Job Number],C245&amp;"",tbl_Finance[Cost Centre],"ONSITE")&gt;0,"ONSITE ","")&amp;IF(COUNTIFS(tbl_Finance[Job Number],C245&amp;"",tbl_Finance[Cost Centre],"PRODUCTION")&gt;0,"PRODUCTION ","")&amp;IF(COUNTIFS(tbl_Finance[Job Number],C245&amp;"",tbl_Finance[Cost Centre],"VIDEO")&gt;0,"VIDEO ","")&amp;IF(COUNTIFS(tbl_Finance[Job Number],C245&amp;"",tbl_Finance[Cost Centre],"INTEGRATION")&gt;0,"INTEGRATION ","")&amp;IF(COUNTIFS(tbl_Finance[Job Number],C245&amp;"",tbl_Finance[Cost Centre],"CONSULTING")&gt;0,"CONSULTING ","")&amp;IF(COUNTIFS(tbl_Finance[Job Number],C245&amp;"",tbl_Finance[Cost Centre],"CTS")&gt;0,"CTS ",""))," ",", ")))</f>
        <v/>
      </c>
      <c r="L245" s="24" t="n"/>
      <c r="M245" s="24" t="n"/>
      <c r="N245" s="25">
        <f>IF(M245="","",HYPERLINK(IF(LEFT(M245,4)="http",M245,set_QwilrBase&amp;M245),"Open quote"))</f>
        <v/>
      </c>
      <c r="O245" s="64" t="n"/>
      <c r="P245" s="24" t="n"/>
      <c r="Q245" s="24" t="n"/>
    </row>
    <row r="246" ht="15" customHeight="1">
      <c r="A246" s="63">
        <f>IF(C246="","",IFERROR(IF(SUMPRODUCT(MAX((tbl_Finance[Job Number]=C246&amp;"")*(tbl_Finance[Xero Invoice No]&lt;&gt;"")*tbl_Finance[Date]))=0,"",SUMPRODUCT(MAX((tbl_Finance[Job Number]=C246&amp;"")*(tbl_Finance[Xero Invoice No]&lt;&gt;"")*tbl_Finance[Date]))),""))</f>
        <v/>
      </c>
      <c r="B246" s="25">
        <f>IF(C246="","",IF(COUNTIFS(tbl_Finance[Job Number],C246&amp;"",tbl_Finance[Xero Invoice No],"&lt;&gt;")=0,"",IFERROR(IF(COUNTIFS(tbl_Finance[Job Number],C246&amp;"",tbl_Finance[Xero Invoice No],LOOKUP(2,1/((tbl_Finance[Job Number]=C246&amp;"")*(tbl_Finance[Xero Invoice No]&lt;&gt;"")),tbl_Finance[Xero Invoice No]))=COUNTIFS(tbl_Finance[Job Number],C246&amp;"",tbl_Finance[Xero Invoice No],"&lt;&gt;"),LOOKUP(2,1/((tbl_Finance[Job Number]=C246&amp;"")*(tbl_Finance[Xero Invoice No]&lt;&gt;"")),tbl_Finance[Xero Invoice No]),LOOKUP(2,1/((tbl_Finance[Job Number]=C246&amp;"")*(tbl_Finance[Xero Invoice No]&lt;&gt;"")),tbl_Finance[Xero Invoice No])&amp;" +more"),"")))</f>
        <v/>
      </c>
      <c r="C246" s="24" t="n"/>
      <c r="D246" s="25">
        <f>IF(C246="","",IF(COUNTIF(lst_Jobs,C246&amp;"")&gt;0,"OK","CHECK"))</f>
        <v/>
      </c>
      <c r="E246" s="25">
        <f>IF(C246="","",IFERROR(INDEX(lst_JobName,MATCH(C246&amp;"",lst_Jobs,0)),""))</f>
        <v/>
      </c>
      <c r="F246" s="25">
        <f>IF(C246="","",IFERROR(INDEX(tbl_Finance[Client],MATCH(C246&amp;"",tbl_Finance[Job Number],0)),""))</f>
        <v/>
      </c>
      <c r="G246" s="28">
        <f>IF(C246="","",COUNTIFS(tbl_Finance[Job Number],C246&amp;"",tbl_Finance[Ex GST],"&lt;&gt;"))</f>
        <v/>
      </c>
      <c r="H246" s="27">
        <f>IF(C246="","",SUMIFS(tbl_Finance[Ex GST],tbl_Finance[Job Number],C246&amp;""))</f>
        <v/>
      </c>
      <c r="I246" s="27">
        <f>IF(C246="","",SUMIFS(tbl_Finance[Ex GST],tbl_Finance[Job Number],C246&amp;"",tbl_Finance[Xero Invoice No],"&lt;&gt;"))</f>
        <v/>
      </c>
      <c r="J246" s="27">
        <f>IF(C246="","",H246-I246)</f>
        <v/>
      </c>
      <c r="K246" s="25">
        <f>IF(C246="","",IF(G246=0,"not invoiced yet",SUBSTITUTE(TRIM(IF(COUNTIFS(tbl_Finance[Job Number],C246&amp;"",tbl_Finance[Cost Centre],"ONSITE")&gt;0,"ONSITE ","")&amp;IF(COUNTIFS(tbl_Finance[Job Number],C246&amp;"",tbl_Finance[Cost Centre],"PRODUCTION")&gt;0,"PRODUCTION ","")&amp;IF(COUNTIFS(tbl_Finance[Job Number],C246&amp;"",tbl_Finance[Cost Centre],"VIDEO")&gt;0,"VIDEO ","")&amp;IF(COUNTIFS(tbl_Finance[Job Number],C246&amp;"",tbl_Finance[Cost Centre],"INTEGRATION")&gt;0,"INTEGRATION ","")&amp;IF(COUNTIFS(tbl_Finance[Job Number],C246&amp;"",tbl_Finance[Cost Centre],"CONSULTING")&gt;0,"CONSULTING ","")&amp;IF(COUNTIFS(tbl_Finance[Job Number],C246&amp;"",tbl_Finance[Cost Centre],"CTS")&gt;0,"CTS ",""))," ",", ")))</f>
        <v/>
      </c>
      <c r="L246" s="24" t="n"/>
      <c r="M246" s="24" t="n"/>
      <c r="N246" s="25">
        <f>IF(M246="","",HYPERLINK(IF(LEFT(M246,4)="http",M246,set_QwilrBase&amp;M246),"Open quote"))</f>
        <v/>
      </c>
      <c r="O246" s="64" t="n"/>
      <c r="P246" s="24" t="n"/>
      <c r="Q246" s="24" t="n"/>
    </row>
    <row r="247" ht="15" customHeight="1">
      <c r="A247" s="63">
        <f>IF(C247="","",IFERROR(IF(SUMPRODUCT(MAX((tbl_Finance[Job Number]=C247&amp;"")*(tbl_Finance[Xero Invoice No]&lt;&gt;"")*tbl_Finance[Date]))=0,"",SUMPRODUCT(MAX((tbl_Finance[Job Number]=C247&amp;"")*(tbl_Finance[Xero Invoice No]&lt;&gt;"")*tbl_Finance[Date]))),""))</f>
        <v/>
      </c>
      <c r="B247" s="25">
        <f>IF(C247="","",IF(COUNTIFS(tbl_Finance[Job Number],C247&amp;"",tbl_Finance[Xero Invoice No],"&lt;&gt;")=0,"",IFERROR(IF(COUNTIFS(tbl_Finance[Job Number],C247&amp;"",tbl_Finance[Xero Invoice No],LOOKUP(2,1/((tbl_Finance[Job Number]=C247&amp;"")*(tbl_Finance[Xero Invoice No]&lt;&gt;"")),tbl_Finance[Xero Invoice No]))=COUNTIFS(tbl_Finance[Job Number],C247&amp;"",tbl_Finance[Xero Invoice No],"&lt;&gt;"),LOOKUP(2,1/((tbl_Finance[Job Number]=C247&amp;"")*(tbl_Finance[Xero Invoice No]&lt;&gt;"")),tbl_Finance[Xero Invoice No]),LOOKUP(2,1/((tbl_Finance[Job Number]=C247&amp;"")*(tbl_Finance[Xero Invoice No]&lt;&gt;"")),tbl_Finance[Xero Invoice No])&amp;" +more"),"")))</f>
        <v/>
      </c>
      <c r="C247" s="24" t="n"/>
      <c r="D247" s="25">
        <f>IF(C247="","",IF(COUNTIF(lst_Jobs,C247&amp;"")&gt;0,"OK","CHECK"))</f>
        <v/>
      </c>
      <c r="E247" s="25">
        <f>IF(C247="","",IFERROR(INDEX(lst_JobName,MATCH(C247&amp;"",lst_Jobs,0)),""))</f>
        <v/>
      </c>
      <c r="F247" s="25">
        <f>IF(C247="","",IFERROR(INDEX(tbl_Finance[Client],MATCH(C247&amp;"",tbl_Finance[Job Number],0)),""))</f>
        <v/>
      </c>
      <c r="G247" s="28">
        <f>IF(C247="","",COUNTIFS(tbl_Finance[Job Number],C247&amp;"",tbl_Finance[Ex GST],"&lt;&gt;"))</f>
        <v/>
      </c>
      <c r="H247" s="27">
        <f>IF(C247="","",SUMIFS(tbl_Finance[Ex GST],tbl_Finance[Job Number],C247&amp;""))</f>
        <v/>
      </c>
      <c r="I247" s="27">
        <f>IF(C247="","",SUMIFS(tbl_Finance[Ex GST],tbl_Finance[Job Number],C247&amp;"",tbl_Finance[Xero Invoice No],"&lt;&gt;"))</f>
        <v/>
      </c>
      <c r="J247" s="27">
        <f>IF(C247="","",H247-I247)</f>
        <v/>
      </c>
      <c r="K247" s="25">
        <f>IF(C247="","",IF(G247=0,"not invoiced yet",SUBSTITUTE(TRIM(IF(COUNTIFS(tbl_Finance[Job Number],C247&amp;"",tbl_Finance[Cost Centre],"ONSITE")&gt;0,"ONSITE ","")&amp;IF(COUNTIFS(tbl_Finance[Job Number],C247&amp;"",tbl_Finance[Cost Centre],"PRODUCTION")&gt;0,"PRODUCTION ","")&amp;IF(COUNTIFS(tbl_Finance[Job Number],C247&amp;"",tbl_Finance[Cost Centre],"VIDEO")&gt;0,"VIDEO ","")&amp;IF(COUNTIFS(tbl_Finance[Job Number],C247&amp;"",tbl_Finance[Cost Centre],"INTEGRATION")&gt;0,"INTEGRATION ","")&amp;IF(COUNTIFS(tbl_Finance[Job Number],C247&amp;"",tbl_Finance[Cost Centre],"CONSULTING")&gt;0,"CONSULTING ","")&amp;IF(COUNTIFS(tbl_Finance[Job Number],C247&amp;"",tbl_Finance[Cost Centre],"CTS")&gt;0,"CTS ",""))," ",", ")))</f>
        <v/>
      </c>
      <c r="L247" s="24" t="n"/>
      <c r="M247" s="24" t="n"/>
      <c r="N247" s="25">
        <f>IF(M247="","",HYPERLINK(IF(LEFT(M247,4)="http",M247,set_QwilrBase&amp;M247),"Open quote"))</f>
        <v/>
      </c>
      <c r="O247" s="64" t="n"/>
      <c r="P247" s="24" t="n"/>
      <c r="Q247" s="24" t="n"/>
    </row>
    <row r="248" ht="15" customHeight="1">
      <c r="A248" s="63">
        <f>IF(C248="","",IFERROR(IF(SUMPRODUCT(MAX((tbl_Finance[Job Number]=C248&amp;"")*(tbl_Finance[Xero Invoice No]&lt;&gt;"")*tbl_Finance[Date]))=0,"",SUMPRODUCT(MAX((tbl_Finance[Job Number]=C248&amp;"")*(tbl_Finance[Xero Invoice No]&lt;&gt;"")*tbl_Finance[Date]))),""))</f>
        <v/>
      </c>
      <c r="B248" s="25">
        <f>IF(C248="","",IF(COUNTIFS(tbl_Finance[Job Number],C248&amp;"",tbl_Finance[Xero Invoice No],"&lt;&gt;")=0,"",IFERROR(IF(COUNTIFS(tbl_Finance[Job Number],C248&amp;"",tbl_Finance[Xero Invoice No],LOOKUP(2,1/((tbl_Finance[Job Number]=C248&amp;"")*(tbl_Finance[Xero Invoice No]&lt;&gt;"")),tbl_Finance[Xero Invoice No]))=COUNTIFS(tbl_Finance[Job Number],C248&amp;"",tbl_Finance[Xero Invoice No],"&lt;&gt;"),LOOKUP(2,1/((tbl_Finance[Job Number]=C248&amp;"")*(tbl_Finance[Xero Invoice No]&lt;&gt;"")),tbl_Finance[Xero Invoice No]),LOOKUP(2,1/((tbl_Finance[Job Number]=C248&amp;"")*(tbl_Finance[Xero Invoice No]&lt;&gt;"")),tbl_Finance[Xero Invoice No])&amp;" +more"),"")))</f>
        <v/>
      </c>
      <c r="C248" s="24" t="n"/>
      <c r="D248" s="25">
        <f>IF(C248="","",IF(COUNTIF(lst_Jobs,C248&amp;"")&gt;0,"OK","CHECK"))</f>
        <v/>
      </c>
      <c r="E248" s="25">
        <f>IF(C248="","",IFERROR(INDEX(lst_JobName,MATCH(C248&amp;"",lst_Jobs,0)),""))</f>
        <v/>
      </c>
      <c r="F248" s="25">
        <f>IF(C248="","",IFERROR(INDEX(tbl_Finance[Client],MATCH(C248&amp;"",tbl_Finance[Job Number],0)),""))</f>
        <v/>
      </c>
      <c r="G248" s="28">
        <f>IF(C248="","",COUNTIFS(tbl_Finance[Job Number],C248&amp;"",tbl_Finance[Ex GST],"&lt;&gt;"))</f>
        <v/>
      </c>
      <c r="H248" s="27">
        <f>IF(C248="","",SUMIFS(tbl_Finance[Ex GST],tbl_Finance[Job Number],C248&amp;""))</f>
        <v/>
      </c>
      <c r="I248" s="27">
        <f>IF(C248="","",SUMIFS(tbl_Finance[Ex GST],tbl_Finance[Job Number],C248&amp;"",tbl_Finance[Xero Invoice No],"&lt;&gt;"))</f>
        <v/>
      </c>
      <c r="J248" s="27">
        <f>IF(C248="","",H248-I248)</f>
        <v/>
      </c>
      <c r="K248" s="25">
        <f>IF(C248="","",IF(G248=0,"not invoiced yet",SUBSTITUTE(TRIM(IF(COUNTIFS(tbl_Finance[Job Number],C248&amp;"",tbl_Finance[Cost Centre],"ONSITE")&gt;0,"ONSITE ","")&amp;IF(COUNTIFS(tbl_Finance[Job Number],C248&amp;"",tbl_Finance[Cost Centre],"PRODUCTION")&gt;0,"PRODUCTION ","")&amp;IF(COUNTIFS(tbl_Finance[Job Number],C248&amp;"",tbl_Finance[Cost Centre],"VIDEO")&gt;0,"VIDEO ","")&amp;IF(COUNTIFS(tbl_Finance[Job Number],C248&amp;"",tbl_Finance[Cost Centre],"INTEGRATION")&gt;0,"INTEGRATION ","")&amp;IF(COUNTIFS(tbl_Finance[Job Number],C248&amp;"",tbl_Finance[Cost Centre],"CONSULTING")&gt;0,"CONSULTING ","")&amp;IF(COUNTIFS(tbl_Finance[Job Number],C248&amp;"",tbl_Finance[Cost Centre],"CTS")&gt;0,"CTS ",""))," ",", ")))</f>
        <v/>
      </c>
      <c r="L248" s="24" t="n"/>
      <c r="M248" s="24" t="n"/>
      <c r="N248" s="25">
        <f>IF(M248="","",HYPERLINK(IF(LEFT(M248,4)="http",M248,set_QwilrBase&amp;M248),"Open quote"))</f>
        <v/>
      </c>
      <c r="O248" s="64" t="n"/>
      <c r="P248" s="24" t="n"/>
      <c r="Q248" s="24" t="n"/>
    </row>
    <row r="249" ht="15" customHeight="1">
      <c r="A249" s="63">
        <f>IF(C249="","",IFERROR(IF(SUMPRODUCT(MAX((tbl_Finance[Job Number]=C249&amp;"")*(tbl_Finance[Xero Invoice No]&lt;&gt;"")*tbl_Finance[Date]))=0,"",SUMPRODUCT(MAX((tbl_Finance[Job Number]=C249&amp;"")*(tbl_Finance[Xero Invoice No]&lt;&gt;"")*tbl_Finance[Date]))),""))</f>
        <v/>
      </c>
      <c r="B249" s="25">
        <f>IF(C249="","",IF(COUNTIFS(tbl_Finance[Job Number],C249&amp;"",tbl_Finance[Xero Invoice No],"&lt;&gt;")=0,"",IFERROR(IF(COUNTIFS(tbl_Finance[Job Number],C249&amp;"",tbl_Finance[Xero Invoice No],LOOKUP(2,1/((tbl_Finance[Job Number]=C249&amp;"")*(tbl_Finance[Xero Invoice No]&lt;&gt;"")),tbl_Finance[Xero Invoice No]))=COUNTIFS(tbl_Finance[Job Number],C249&amp;"",tbl_Finance[Xero Invoice No],"&lt;&gt;"),LOOKUP(2,1/((tbl_Finance[Job Number]=C249&amp;"")*(tbl_Finance[Xero Invoice No]&lt;&gt;"")),tbl_Finance[Xero Invoice No]),LOOKUP(2,1/((tbl_Finance[Job Number]=C249&amp;"")*(tbl_Finance[Xero Invoice No]&lt;&gt;"")),tbl_Finance[Xero Invoice No])&amp;" +more"),"")))</f>
        <v/>
      </c>
      <c r="C249" s="24" t="n"/>
      <c r="D249" s="25">
        <f>IF(C249="","",IF(COUNTIF(lst_Jobs,C249&amp;"")&gt;0,"OK","CHECK"))</f>
        <v/>
      </c>
      <c r="E249" s="25">
        <f>IF(C249="","",IFERROR(INDEX(lst_JobName,MATCH(C249&amp;"",lst_Jobs,0)),""))</f>
        <v/>
      </c>
      <c r="F249" s="25">
        <f>IF(C249="","",IFERROR(INDEX(tbl_Finance[Client],MATCH(C249&amp;"",tbl_Finance[Job Number],0)),""))</f>
        <v/>
      </c>
      <c r="G249" s="28">
        <f>IF(C249="","",COUNTIFS(tbl_Finance[Job Number],C249&amp;"",tbl_Finance[Ex GST],"&lt;&gt;"))</f>
        <v/>
      </c>
      <c r="H249" s="27">
        <f>IF(C249="","",SUMIFS(tbl_Finance[Ex GST],tbl_Finance[Job Number],C249&amp;""))</f>
        <v/>
      </c>
      <c r="I249" s="27">
        <f>IF(C249="","",SUMIFS(tbl_Finance[Ex GST],tbl_Finance[Job Number],C249&amp;"",tbl_Finance[Xero Invoice No],"&lt;&gt;"))</f>
        <v/>
      </c>
      <c r="J249" s="27">
        <f>IF(C249="","",H249-I249)</f>
        <v/>
      </c>
      <c r="K249" s="25">
        <f>IF(C249="","",IF(G249=0,"not invoiced yet",SUBSTITUTE(TRIM(IF(COUNTIFS(tbl_Finance[Job Number],C249&amp;"",tbl_Finance[Cost Centre],"ONSITE")&gt;0,"ONSITE ","")&amp;IF(COUNTIFS(tbl_Finance[Job Number],C249&amp;"",tbl_Finance[Cost Centre],"PRODUCTION")&gt;0,"PRODUCTION ","")&amp;IF(COUNTIFS(tbl_Finance[Job Number],C249&amp;"",tbl_Finance[Cost Centre],"VIDEO")&gt;0,"VIDEO ","")&amp;IF(COUNTIFS(tbl_Finance[Job Number],C249&amp;"",tbl_Finance[Cost Centre],"INTEGRATION")&gt;0,"INTEGRATION ","")&amp;IF(COUNTIFS(tbl_Finance[Job Number],C249&amp;"",tbl_Finance[Cost Centre],"CONSULTING")&gt;0,"CONSULTING ","")&amp;IF(COUNTIFS(tbl_Finance[Job Number],C249&amp;"",tbl_Finance[Cost Centre],"CTS")&gt;0,"CTS ",""))," ",", ")))</f>
        <v/>
      </c>
      <c r="L249" s="24" t="n"/>
      <c r="M249" s="24" t="n"/>
      <c r="N249" s="25">
        <f>IF(M249="","",HYPERLINK(IF(LEFT(M249,4)="http",M249,set_QwilrBase&amp;M249),"Open quote"))</f>
        <v/>
      </c>
      <c r="O249" s="64" t="n"/>
      <c r="P249" s="24" t="n"/>
      <c r="Q249" s="24" t="n"/>
    </row>
    <row r="250" ht="15" customHeight="1">
      <c r="A250" s="63">
        <f>IF(C250="","",IFERROR(IF(SUMPRODUCT(MAX((tbl_Finance[Job Number]=C250&amp;"")*(tbl_Finance[Xero Invoice No]&lt;&gt;"")*tbl_Finance[Date]))=0,"",SUMPRODUCT(MAX((tbl_Finance[Job Number]=C250&amp;"")*(tbl_Finance[Xero Invoice No]&lt;&gt;"")*tbl_Finance[Date]))),""))</f>
        <v/>
      </c>
      <c r="B250" s="25">
        <f>IF(C250="","",IF(COUNTIFS(tbl_Finance[Job Number],C250&amp;"",tbl_Finance[Xero Invoice No],"&lt;&gt;")=0,"",IFERROR(IF(COUNTIFS(tbl_Finance[Job Number],C250&amp;"",tbl_Finance[Xero Invoice No],LOOKUP(2,1/((tbl_Finance[Job Number]=C250&amp;"")*(tbl_Finance[Xero Invoice No]&lt;&gt;"")),tbl_Finance[Xero Invoice No]))=COUNTIFS(tbl_Finance[Job Number],C250&amp;"",tbl_Finance[Xero Invoice No],"&lt;&gt;"),LOOKUP(2,1/((tbl_Finance[Job Number]=C250&amp;"")*(tbl_Finance[Xero Invoice No]&lt;&gt;"")),tbl_Finance[Xero Invoice No]),LOOKUP(2,1/((tbl_Finance[Job Number]=C250&amp;"")*(tbl_Finance[Xero Invoice No]&lt;&gt;"")),tbl_Finance[Xero Invoice No])&amp;" +more"),"")))</f>
        <v/>
      </c>
      <c r="C250" s="24" t="n"/>
      <c r="D250" s="25">
        <f>IF(C250="","",IF(COUNTIF(lst_Jobs,C250&amp;"")&gt;0,"OK","CHECK"))</f>
        <v/>
      </c>
      <c r="E250" s="25">
        <f>IF(C250="","",IFERROR(INDEX(lst_JobName,MATCH(C250&amp;"",lst_Jobs,0)),""))</f>
        <v/>
      </c>
      <c r="F250" s="25">
        <f>IF(C250="","",IFERROR(INDEX(tbl_Finance[Client],MATCH(C250&amp;"",tbl_Finance[Job Number],0)),""))</f>
        <v/>
      </c>
      <c r="G250" s="28">
        <f>IF(C250="","",COUNTIFS(tbl_Finance[Job Number],C250&amp;"",tbl_Finance[Ex GST],"&lt;&gt;"))</f>
        <v/>
      </c>
      <c r="H250" s="27">
        <f>IF(C250="","",SUMIFS(tbl_Finance[Ex GST],tbl_Finance[Job Number],C250&amp;""))</f>
        <v/>
      </c>
      <c r="I250" s="27">
        <f>IF(C250="","",SUMIFS(tbl_Finance[Ex GST],tbl_Finance[Job Number],C250&amp;"",tbl_Finance[Xero Invoice No],"&lt;&gt;"))</f>
        <v/>
      </c>
      <c r="J250" s="27">
        <f>IF(C250="","",H250-I250)</f>
        <v/>
      </c>
      <c r="K250" s="25">
        <f>IF(C250="","",IF(G250=0,"not invoiced yet",SUBSTITUTE(TRIM(IF(COUNTIFS(tbl_Finance[Job Number],C250&amp;"",tbl_Finance[Cost Centre],"ONSITE")&gt;0,"ONSITE ","")&amp;IF(COUNTIFS(tbl_Finance[Job Number],C250&amp;"",tbl_Finance[Cost Centre],"PRODUCTION")&gt;0,"PRODUCTION ","")&amp;IF(COUNTIFS(tbl_Finance[Job Number],C250&amp;"",tbl_Finance[Cost Centre],"VIDEO")&gt;0,"VIDEO ","")&amp;IF(COUNTIFS(tbl_Finance[Job Number],C250&amp;"",tbl_Finance[Cost Centre],"INTEGRATION")&gt;0,"INTEGRATION ","")&amp;IF(COUNTIFS(tbl_Finance[Job Number],C250&amp;"",tbl_Finance[Cost Centre],"CONSULTING")&gt;0,"CONSULTING ","")&amp;IF(COUNTIFS(tbl_Finance[Job Number],C250&amp;"",tbl_Finance[Cost Centre],"CTS")&gt;0,"CTS ",""))," ",", ")))</f>
        <v/>
      </c>
      <c r="L250" s="24" t="n"/>
      <c r="M250" s="24" t="n"/>
      <c r="N250" s="25">
        <f>IF(M250="","",HYPERLINK(IF(LEFT(M250,4)="http",M250,set_QwilrBase&amp;M250),"Open quote"))</f>
        <v/>
      </c>
      <c r="O250" s="64" t="n"/>
      <c r="P250" s="24" t="n"/>
      <c r="Q250" s="24" t="n"/>
    </row>
    <row r="251" ht="15" customHeight="1">
      <c r="A251" s="63">
        <f>IF(C251="","",IFERROR(IF(SUMPRODUCT(MAX((tbl_Finance[Job Number]=C251&amp;"")*(tbl_Finance[Xero Invoice No]&lt;&gt;"")*tbl_Finance[Date]))=0,"",SUMPRODUCT(MAX((tbl_Finance[Job Number]=C251&amp;"")*(tbl_Finance[Xero Invoice No]&lt;&gt;"")*tbl_Finance[Date]))),""))</f>
        <v/>
      </c>
      <c r="B251" s="25">
        <f>IF(C251="","",IF(COUNTIFS(tbl_Finance[Job Number],C251&amp;"",tbl_Finance[Xero Invoice No],"&lt;&gt;")=0,"",IFERROR(IF(COUNTIFS(tbl_Finance[Job Number],C251&amp;"",tbl_Finance[Xero Invoice No],LOOKUP(2,1/((tbl_Finance[Job Number]=C251&amp;"")*(tbl_Finance[Xero Invoice No]&lt;&gt;"")),tbl_Finance[Xero Invoice No]))=COUNTIFS(tbl_Finance[Job Number],C251&amp;"",tbl_Finance[Xero Invoice No],"&lt;&gt;"),LOOKUP(2,1/((tbl_Finance[Job Number]=C251&amp;"")*(tbl_Finance[Xero Invoice No]&lt;&gt;"")),tbl_Finance[Xero Invoice No]),LOOKUP(2,1/((tbl_Finance[Job Number]=C251&amp;"")*(tbl_Finance[Xero Invoice No]&lt;&gt;"")),tbl_Finance[Xero Invoice No])&amp;" +more"),"")))</f>
        <v/>
      </c>
      <c r="C251" s="24" t="n"/>
      <c r="D251" s="25">
        <f>IF(C251="","",IF(COUNTIF(lst_Jobs,C251&amp;"")&gt;0,"OK","CHECK"))</f>
        <v/>
      </c>
      <c r="E251" s="25">
        <f>IF(C251="","",IFERROR(INDEX(lst_JobName,MATCH(C251&amp;"",lst_Jobs,0)),""))</f>
        <v/>
      </c>
      <c r="F251" s="25">
        <f>IF(C251="","",IFERROR(INDEX(tbl_Finance[Client],MATCH(C251&amp;"",tbl_Finance[Job Number],0)),""))</f>
        <v/>
      </c>
      <c r="G251" s="28">
        <f>IF(C251="","",COUNTIFS(tbl_Finance[Job Number],C251&amp;"",tbl_Finance[Ex GST],"&lt;&gt;"))</f>
        <v/>
      </c>
      <c r="H251" s="27">
        <f>IF(C251="","",SUMIFS(tbl_Finance[Ex GST],tbl_Finance[Job Number],C251&amp;""))</f>
        <v/>
      </c>
      <c r="I251" s="27">
        <f>IF(C251="","",SUMIFS(tbl_Finance[Ex GST],tbl_Finance[Job Number],C251&amp;"",tbl_Finance[Xero Invoice No],"&lt;&gt;"))</f>
        <v/>
      </c>
      <c r="J251" s="27">
        <f>IF(C251="","",H251-I251)</f>
        <v/>
      </c>
      <c r="K251" s="25">
        <f>IF(C251="","",IF(G251=0,"not invoiced yet",SUBSTITUTE(TRIM(IF(COUNTIFS(tbl_Finance[Job Number],C251&amp;"",tbl_Finance[Cost Centre],"ONSITE")&gt;0,"ONSITE ","")&amp;IF(COUNTIFS(tbl_Finance[Job Number],C251&amp;"",tbl_Finance[Cost Centre],"PRODUCTION")&gt;0,"PRODUCTION ","")&amp;IF(COUNTIFS(tbl_Finance[Job Number],C251&amp;"",tbl_Finance[Cost Centre],"VIDEO")&gt;0,"VIDEO ","")&amp;IF(COUNTIFS(tbl_Finance[Job Number],C251&amp;"",tbl_Finance[Cost Centre],"INTEGRATION")&gt;0,"INTEGRATION ","")&amp;IF(COUNTIFS(tbl_Finance[Job Number],C251&amp;"",tbl_Finance[Cost Centre],"CONSULTING")&gt;0,"CONSULTING ","")&amp;IF(COUNTIFS(tbl_Finance[Job Number],C251&amp;"",tbl_Finance[Cost Centre],"CTS")&gt;0,"CTS ",""))," ",", ")))</f>
        <v/>
      </c>
      <c r="L251" s="24" t="n"/>
      <c r="M251" s="24" t="n"/>
      <c r="N251" s="25">
        <f>IF(M251="","",HYPERLINK(IF(LEFT(M251,4)="http",M251,set_QwilrBase&amp;M251),"Open quote"))</f>
        <v/>
      </c>
      <c r="O251" s="64" t="n"/>
      <c r="P251" s="24" t="n"/>
      <c r="Q251" s="24" t="n"/>
    </row>
    <row r="252" ht="15" customHeight="1">
      <c r="A252" s="63">
        <f>IF(C252="","",IFERROR(IF(SUMPRODUCT(MAX((tbl_Finance[Job Number]=C252&amp;"")*(tbl_Finance[Xero Invoice No]&lt;&gt;"")*tbl_Finance[Date]))=0,"",SUMPRODUCT(MAX((tbl_Finance[Job Number]=C252&amp;"")*(tbl_Finance[Xero Invoice No]&lt;&gt;"")*tbl_Finance[Date]))),""))</f>
        <v/>
      </c>
      <c r="B252" s="25">
        <f>IF(C252="","",IF(COUNTIFS(tbl_Finance[Job Number],C252&amp;"",tbl_Finance[Xero Invoice No],"&lt;&gt;")=0,"",IFERROR(IF(COUNTIFS(tbl_Finance[Job Number],C252&amp;"",tbl_Finance[Xero Invoice No],LOOKUP(2,1/((tbl_Finance[Job Number]=C252&amp;"")*(tbl_Finance[Xero Invoice No]&lt;&gt;"")),tbl_Finance[Xero Invoice No]))=COUNTIFS(tbl_Finance[Job Number],C252&amp;"",tbl_Finance[Xero Invoice No],"&lt;&gt;"),LOOKUP(2,1/((tbl_Finance[Job Number]=C252&amp;"")*(tbl_Finance[Xero Invoice No]&lt;&gt;"")),tbl_Finance[Xero Invoice No]),LOOKUP(2,1/((tbl_Finance[Job Number]=C252&amp;"")*(tbl_Finance[Xero Invoice No]&lt;&gt;"")),tbl_Finance[Xero Invoice No])&amp;" +more"),"")))</f>
        <v/>
      </c>
      <c r="C252" s="24" t="n"/>
      <c r="D252" s="25">
        <f>IF(C252="","",IF(COUNTIF(lst_Jobs,C252&amp;"")&gt;0,"OK","CHECK"))</f>
        <v/>
      </c>
      <c r="E252" s="25">
        <f>IF(C252="","",IFERROR(INDEX(lst_JobName,MATCH(C252&amp;"",lst_Jobs,0)),""))</f>
        <v/>
      </c>
      <c r="F252" s="25">
        <f>IF(C252="","",IFERROR(INDEX(tbl_Finance[Client],MATCH(C252&amp;"",tbl_Finance[Job Number],0)),""))</f>
        <v/>
      </c>
      <c r="G252" s="28">
        <f>IF(C252="","",COUNTIFS(tbl_Finance[Job Number],C252&amp;"",tbl_Finance[Ex GST],"&lt;&gt;"))</f>
        <v/>
      </c>
      <c r="H252" s="27">
        <f>IF(C252="","",SUMIFS(tbl_Finance[Ex GST],tbl_Finance[Job Number],C252&amp;""))</f>
        <v/>
      </c>
      <c r="I252" s="27">
        <f>IF(C252="","",SUMIFS(tbl_Finance[Ex GST],tbl_Finance[Job Number],C252&amp;"",tbl_Finance[Xero Invoice No],"&lt;&gt;"))</f>
        <v/>
      </c>
      <c r="J252" s="27">
        <f>IF(C252="","",H252-I252)</f>
        <v/>
      </c>
      <c r="K252" s="25">
        <f>IF(C252="","",IF(G252=0,"not invoiced yet",SUBSTITUTE(TRIM(IF(COUNTIFS(tbl_Finance[Job Number],C252&amp;"",tbl_Finance[Cost Centre],"ONSITE")&gt;0,"ONSITE ","")&amp;IF(COUNTIFS(tbl_Finance[Job Number],C252&amp;"",tbl_Finance[Cost Centre],"PRODUCTION")&gt;0,"PRODUCTION ","")&amp;IF(COUNTIFS(tbl_Finance[Job Number],C252&amp;"",tbl_Finance[Cost Centre],"VIDEO")&gt;0,"VIDEO ","")&amp;IF(COUNTIFS(tbl_Finance[Job Number],C252&amp;"",tbl_Finance[Cost Centre],"INTEGRATION")&gt;0,"INTEGRATION ","")&amp;IF(COUNTIFS(tbl_Finance[Job Number],C252&amp;"",tbl_Finance[Cost Centre],"CONSULTING")&gt;0,"CONSULTING ","")&amp;IF(COUNTIFS(tbl_Finance[Job Number],C252&amp;"",tbl_Finance[Cost Centre],"CTS")&gt;0,"CTS ",""))," ",", ")))</f>
        <v/>
      </c>
      <c r="L252" s="24" t="n"/>
      <c r="M252" s="24" t="n"/>
      <c r="N252" s="25">
        <f>IF(M252="","",HYPERLINK(IF(LEFT(M252,4)="http",M252,set_QwilrBase&amp;M252),"Open quote"))</f>
        <v/>
      </c>
      <c r="O252" s="64" t="n"/>
      <c r="P252" s="24" t="n"/>
      <c r="Q252" s="24" t="n"/>
    </row>
    <row r="253" ht="15" customHeight="1">
      <c r="A253" s="63">
        <f>IF(C253="","",IFERROR(IF(SUMPRODUCT(MAX((tbl_Finance[Job Number]=C253&amp;"")*(tbl_Finance[Xero Invoice No]&lt;&gt;"")*tbl_Finance[Date]))=0,"",SUMPRODUCT(MAX((tbl_Finance[Job Number]=C253&amp;"")*(tbl_Finance[Xero Invoice No]&lt;&gt;"")*tbl_Finance[Date]))),""))</f>
        <v/>
      </c>
      <c r="B253" s="25">
        <f>IF(C253="","",IF(COUNTIFS(tbl_Finance[Job Number],C253&amp;"",tbl_Finance[Xero Invoice No],"&lt;&gt;")=0,"",IFERROR(IF(COUNTIFS(tbl_Finance[Job Number],C253&amp;"",tbl_Finance[Xero Invoice No],LOOKUP(2,1/((tbl_Finance[Job Number]=C253&amp;"")*(tbl_Finance[Xero Invoice No]&lt;&gt;"")),tbl_Finance[Xero Invoice No]))=COUNTIFS(tbl_Finance[Job Number],C253&amp;"",tbl_Finance[Xero Invoice No],"&lt;&gt;"),LOOKUP(2,1/((tbl_Finance[Job Number]=C253&amp;"")*(tbl_Finance[Xero Invoice No]&lt;&gt;"")),tbl_Finance[Xero Invoice No]),LOOKUP(2,1/((tbl_Finance[Job Number]=C253&amp;"")*(tbl_Finance[Xero Invoice No]&lt;&gt;"")),tbl_Finance[Xero Invoice No])&amp;" +more"),"")))</f>
        <v/>
      </c>
      <c r="C253" s="24" t="n"/>
      <c r="D253" s="25">
        <f>IF(C253="","",IF(COUNTIF(lst_Jobs,C253&amp;"")&gt;0,"OK","CHECK"))</f>
        <v/>
      </c>
      <c r="E253" s="25">
        <f>IF(C253="","",IFERROR(INDEX(lst_JobName,MATCH(C253&amp;"",lst_Jobs,0)),""))</f>
        <v/>
      </c>
      <c r="F253" s="25">
        <f>IF(C253="","",IFERROR(INDEX(tbl_Finance[Client],MATCH(C253&amp;"",tbl_Finance[Job Number],0)),""))</f>
        <v/>
      </c>
      <c r="G253" s="28">
        <f>IF(C253="","",COUNTIFS(tbl_Finance[Job Number],C253&amp;"",tbl_Finance[Ex GST],"&lt;&gt;"))</f>
        <v/>
      </c>
      <c r="H253" s="27">
        <f>IF(C253="","",SUMIFS(tbl_Finance[Ex GST],tbl_Finance[Job Number],C253&amp;""))</f>
        <v/>
      </c>
      <c r="I253" s="27">
        <f>IF(C253="","",SUMIFS(tbl_Finance[Ex GST],tbl_Finance[Job Number],C253&amp;"",tbl_Finance[Xero Invoice No],"&lt;&gt;"))</f>
        <v/>
      </c>
      <c r="J253" s="27">
        <f>IF(C253="","",H253-I253)</f>
        <v/>
      </c>
      <c r="K253" s="25">
        <f>IF(C253="","",IF(G253=0,"not invoiced yet",SUBSTITUTE(TRIM(IF(COUNTIFS(tbl_Finance[Job Number],C253&amp;"",tbl_Finance[Cost Centre],"ONSITE")&gt;0,"ONSITE ","")&amp;IF(COUNTIFS(tbl_Finance[Job Number],C253&amp;"",tbl_Finance[Cost Centre],"PRODUCTION")&gt;0,"PRODUCTION ","")&amp;IF(COUNTIFS(tbl_Finance[Job Number],C253&amp;"",tbl_Finance[Cost Centre],"VIDEO")&gt;0,"VIDEO ","")&amp;IF(COUNTIFS(tbl_Finance[Job Number],C253&amp;"",tbl_Finance[Cost Centre],"INTEGRATION")&gt;0,"INTEGRATION ","")&amp;IF(COUNTIFS(tbl_Finance[Job Number],C253&amp;"",tbl_Finance[Cost Centre],"CONSULTING")&gt;0,"CONSULTING ","")&amp;IF(COUNTIFS(tbl_Finance[Job Number],C253&amp;"",tbl_Finance[Cost Centre],"CTS")&gt;0,"CTS ",""))," ",", ")))</f>
        <v/>
      </c>
      <c r="L253" s="24" t="n"/>
      <c r="M253" s="24" t="n"/>
      <c r="N253" s="25">
        <f>IF(M253="","",HYPERLINK(IF(LEFT(M253,4)="http",M253,set_QwilrBase&amp;M253),"Open quote"))</f>
        <v/>
      </c>
      <c r="O253" s="64" t="n"/>
      <c r="P253" s="24" t="n"/>
      <c r="Q253" s="24" t="n"/>
    </row>
    <row r="254" ht="15" customHeight="1">
      <c r="A254" s="63">
        <f>IF(C254="","",IFERROR(IF(SUMPRODUCT(MAX((tbl_Finance[Job Number]=C254&amp;"")*(tbl_Finance[Xero Invoice No]&lt;&gt;"")*tbl_Finance[Date]))=0,"",SUMPRODUCT(MAX((tbl_Finance[Job Number]=C254&amp;"")*(tbl_Finance[Xero Invoice No]&lt;&gt;"")*tbl_Finance[Date]))),""))</f>
        <v/>
      </c>
      <c r="B254" s="25">
        <f>IF(C254="","",IF(COUNTIFS(tbl_Finance[Job Number],C254&amp;"",tbl_Finance[Xero Invoice No],"&lt;&gt;")=0,"",IFERROR(IF(COUNTIFS(tbl_Finance[Job Number],C254&amp;"",tbl_Finance[Xero Invoice No],LOOKUP(2,1/((tbl_Finance[Job Number]=C254&amp;"")*(tbl_Finance[Xero Invoice No]&lt;&gt;"")),tbl_Finance[Xero Invoice No]))=COUNTIFS(tbl_Finance[Job Number],C254&amp;"",tbl_Finance[Xero Invoice No],"&lt;&gt;"),LOOKUP(2,1/((tbl_Finance[Job Number]=C254&amp;"")*(tbl_Finance[Xero Invoice No]&lt;&gt;"")),tbl_Finance[Xero Invoice No]),LOOKUP(2,1/((tbl_Finance[Job Number]=C254&amp;"")*(tbl_Finance[Xero Invoice No]&lt;&gt;"")),tbl_Finance[Xero Invoice No])&amp;" +more"),"")))</f>
        <v/>
      </c>
      <c r="C254" s="24" t="n"/>
      <c r="D254" s="25">
        <f>IF(C254="","",IF(COUNTIF(lst_Jobs,C254&amp;"")&gt;0,"OK","CHECK"))</f>
        <v/>
      </c>
      <c r="E254" s="25">
        <f>IF(C254="","",IFERROR(INDEX(lst_JobName,MATCH(C254&amp;"",lst_Jobs,0)),""))</f>
        <v/>
      </c>
      <c r="F254" s="25">
        <f>IF(C254="","",IFERROR(INDEX(tbl_Finance[Client],MATCH(C254&amp;"",tbl_Finance[Job Number],0)),""))</f>
        <v/>
      </c>
      <c r="G254" s="28">
        <f>IF(C254="","",COUNTIFS(tbl_Finance[Job Number],C254&amp;"",tbl_Finance[Ex GST],"&lt;&gt;"))</f>
        <v/>
      </c>
      <c r="H254" s="27">
        <f>IF(C254="","",SUMIFS(tbl_Finance[Ex GST],tbl_Finance[Job Number],C254&amp;""))</f>
        <v/>
      </c>
      <c r="I254" s="27">
        <f>IF(C254="","",SUMIFS(tbl_Finance[Ex GST],tbl_Finance[Job Number],C254&amp;"",tbl_Finance[Xero Invoice No],"&lt;&gt;"))</f>
        <v/>
      </c>
      <c r="J254" s="27">
        <f>IF(C254="","",H254-I254)</f>
        <v/>
      </c>
      <c r="K254" s="25">
        <f>IF(C254="","",IF(G254=0,"not invoiced yet",SUBSTITUTE(TRIM(IF(COUNTIFS(tbl_Finance[Job Number],C254&amp;"",tbl_Finance[Cost Centre],"ONSITE")&gt;0,"ONSITE ","")&amp;IF(COUNTIFS(tbl_Finance[Job Number],C254&amp;"",tbl_Finance[Cost Centre],"PRODUCTION")&gt;0,"PRODUCTION ","")&amp;IF(COUNTIFS(tbl_Finance[Job Number],C254&amp;"",tbl_Finance[Cost Centre],"VIDEO")&gt;0,"VIDEO ","")&amp;IF(COUNTIFS(tbl_Finance[Job Number],C254&amp;"",tbl_Finance[Cost Centre],"INTEGRATION")&gt;0,"INTEGRATION ","")&amp;IF(COUNTIFS(tbl_Finance[Job Number],C254&amp;"",tbl_Finance[Cost Centre],"CONSULTING")&gt;0,"CONSULTING ","")&amp;IF(COUNTIFS(tbl_Finance[Job Number],C254&amp;"",tbl_Finance[Cost Centre],"CTS")&gt;0,"CTS ",""))," ",", ")))</f>
        <v/>
      </c>
      <c r="L254" s="24" t="n"/>
      <c r="M254" s="24" t="n"/>
      <c r="N254" s="25">
        <f>IF(M254="","",HYPERLINK(IF(LEFT(M254,4)="http",M254,set_QwilrBase&amp;M254),"Open quote"))</f>
        <v/>
      </c>
      <c r="O254" s="64" t="n"/>
      <c r="P254" s="24" t="n"/>
      <c r="Q254" s="24" t="n"/>
    </row>
    <row r="255" ht="15" customHeight="1">
      <c r="A255" s="63">
        <f>IF(C255="","",IFERROR(IF(SUMPRODUCT(MAX((tbl_Finance[Job Number]=C255&amp;"")*(tbl_Finance[Xero Invoice No]&lt;&gt;"")*tbl_Finance[Date]))=0,"",SUMPRODUCT(MAX((tbl_Finance[Job Number]=C255&amp;"")*(tbl_Finance[Xero Invoice No]&lt;&gt;"")*tbl_Finance[Date]))),""))</f>
        <v/>
      </c>
      <c r="B255" s="25">
        <f>IF(C255="","",IF(COUNTIFS(tbl_Finance[Job Number],C255&amp;"",tbl_Finance[Xero Invoice No],"&lt;&gt;")=0,"",IFERROR(IF(COUNTIFS(tbl_Finance[Job Number],C255&amp;"",tbl_Finance[Xero Invoice No],LOOKUP(2,1/((tbl_Finance[Job Number]=C255&amp;"")*(tbl_Finance[Xero Invoice No]&lt;&gt;"")),tbl_Finance[Xero Invoice No]))=COUNTIFS(tbl_Finance[Job Number],C255&amp;"",tbl_Finance[Xero Invoice No],"&lt;&gt;"),LOOKUP(2,1/((tbl_Finance[Job Number]=C255&amp;"")*(tbl_Finance[Xero Invoice No]&lt;&gt;"")),tbl_Finance[Xero Invoice No]),LOOKUP(2,1/((tbl_Finance[Job Number]=C255&amp;"")*(tbl_Finance[Xero Invoice No]&lt;&gt;"")),tbl_Finance[Xero Invoice No])&amp;" +more"),"")))</f>
        <v/>
      </c>
      <c r="C255" s="24" t="n"/>
      <c r="D255" s="25">
        <f>IF(C255="","",IF(COUNTIF(lst_Jobs,C255&amp;"")&gt;0,"OK","CHECK"))</f>
        <v/>
      </c>
      <c r="E255" s="25">
        <f>IF(C255="","",IFERROR(INDEX(lst_JobName,MATCH(C255&amp;"",lst_Jobs,0)),""))</f>
        <v/>
      </c>
      <c r="F255" s="25">
        <f>IF(C255="","",IFERROR(INDEX(tbl_Finance[Client],MATCH(C255&amp;"",tbl_Finance[Job Number],0)),""))</f>
        <v/>
      </c>
      <c r="G255" s="28">
        <f>IF(C255="","",COUNTIFS(tbl_Finance[Job Number],C255&amp;"",tbl_Finance[Ex GST],"&lt;&gt;"))</f>
        <v/>
      </c>
      <c r="H255" s="27">
        <f>IF(C255="","",SUMIFS(tbl_Finance[Ex GST],tbl_Finance[Job Number],C255&amp;""))</f>
        <v/>
      </c>
      <c r="I255" s="27">
        <f>IF(C255="","",SUMIFS(tbl_Finance[Ex GST],tbl_Finance[Job Number],C255&amp;"",tbl_Finance[Xero Invoice No],"&lt;&gt;"))</f>
        <v/>
      </c>
      <c r="J255" s="27">
        <f>IF(C255="","",H255-I255)</f>
        <v/>
      </c>
      <c r="K255" s="25">
        <f>IF(C255="","",IF(G255=0,"not invoiced yet",SUBSTITUTE(TRIM(IF(COUNTIFS(tbl_Finance[Job Number],C255&amp;"",tbl_Finance[Cost Centre],"ONSITE")&gt;0,"ONSITE ","")&amp;IF(COUNTIFS(tbl_Finance[Job Number],C255&amp;"",tbl_Finance[Cost Centre],"PRODUCTION")&gt;0,"PRODUCTION ","")&amp;IF(COUNTIFS(tbl_Finance[Job Number],C255&amp;"",tbl_Finance[Cost Centre],"VIDEO")&gt;0,"VIDEO ","")&amp;IF(COUNTIFS(tbl_Finance[Job Number],C255&amp;"",tbl_Finance[Cost Centre],"INTEGRATION")&gt;0,"INTEGRATION ","")&amp;IF(COUNTIFS(tbl_Finance[Job Number],C255&amp;"",tbl_Finance[Cost Centre],"CONSULTING")&gt;0,"CONSULTING ","")&amp;IF(COUNTIFS(tbl_Finance[Job Number],C255&amp;"",tbl_Finance[Cost Centre],"CTS")&gt;0,"CTS ",""))," ",", ")))</f>
        <v/>
      </c>
      <c r="L255" s="24" t="n"/>
      <c r="M255" s="24" t="n"/>
      <c r="N255" s="25">
        <f>IF(M255="","",HYPERLINK(IF(LEFT(M255,4)="http",M255,set_QwilrBase&amp;M255),"Open quote"))</f>
        <v/>
      </c>
      <c r="O255" s="64" t="n"/>
      <c r="P255" s="24" t="n"/>
      <c r="Q255" s="24" t="n"/>
    </row>
    <row r="256" ht="15" customHeight="1">
      <c r="A256" s="63">
        <f>IF(C256="","",IFERROR(IF(SUMPRODUCT(MAX((tbl_Finance[Job Number]=C256&amp;"")*(tbl_Finance[Xero Invoice No]&lt;&gt;"")*tbl_Finance[Date]))=0,"",SUMPRODUCT(MAX((tbl_Finance[Job Number]=C256&amp;"")*(tbl_Finance[Xero Invoice No]&lt;&gt;"")*tbl_Finance[Date]))),""))</f>
        <v/>
      </c>
      <c r="B256" s="25">
        <f>IF(C256="","",IF(COUNTIFS(tbl_Finance[Job Number],C256&amp;"",tbl_Finance[Xero Invoice No],"&lt;&gt;")=0,"",IFERROR(IF(COUNTIFS(tbl_Finance[Job Number],C256&amp;"",tbl_Finance[Xero Invoice No],LOOKUP(2,1/((tbl_Finance[Job Number]=C256&amp;"")*(tbl_Finance[Xero Invoice No]&lt;&gt;"")),tbl_Finance[Xero Invoice No]))=COUNTIFS(tbl_Finance[Job Number],C256&amp;"",tbl_Finance[Xero Invoice No],"&lt;&gt;"),LOOKUP(2,1/((tbl_Finance[Job Number]=C256&amp;"")*(tbl_Finance[Xero Invoice No]&lt;&gt;"")),tbl_Finance[Xero Invoice No]),LOOKUP(2,1/((tbl_Finance[Job Number]=C256&amp;"")*(tbl_Finance[Xero Invoice No]&lt;&gt;"")),tbl_Finance[Xero Invoice No])&amp;" +more"),"")))</f>
        <v/>
      </c>
      <c r="C256" s="24" t="n"/>
      <c r="D256" s="25">
        <f>IF(C256="","",IF(COUNTIF(lst_Jobs,C256&amp;"")&gt;0,"OK","CHECK"))</f>
        <v/>
      </c>
      <c r="E256" s="25">
        <f>IF(C256="","",IFERROR(INDEX(lst_JobName,MATCH(C256&amp;"",lst_Jobs,0)),""))</f>
        <v/>
      </c>
      <c r="F256" s="25">
        <f>IF(C256="","",IFERROR(INDEX(tbl_Finance[Client],MATCH(C256&amp;"",tbl_Finance[Job Number],0)),""))</f>
        <v/>
      </c>
      <c r="G256" s="28">
        <f>IF(C256="","",COUNTIFS(tbl_Finance[Job Number],C256&amp;"",tbl_Finance[Ex GST],"&lt;&gt;"))</f>
        <v/>
      </c>
      <c r="H256" s="27">
        <f>IF(C256="","",SUMIFS(tbl_Finance[Ex GST],tbl_Finance[Job Number],C256&amp;""))</f>
        <v/>
      </c>
      <c r="I256" s="27">
        <f>IF(C256="","",SUMIFS(tbl_Finance[Ex GST],tbl_Finance[Job Number],C256&amp;"",tbl_Finance[Xero Invoice No],"&lt;&gt;"))</f>
        <v/>
      </c>
      <c r="J256" s="27">
        <f>IF(C256="","",H256-I256)</f>
        <v/>
      </c>
      <c r="K256" s="25">
        <f>IF(C256="","",IF(G256=0,"not invoiced yet",SUBSTITUTE(TRIM(IF(COUNTIFS(tbl_Finance[Job Number],C256&amp;"",tbl_Finance[Cost Centre],"ONSITE")&gt;0,"ONSITE ","")&amp;IF(COUNTIFS(tbl_Finance[Job Number],C256&amp;"",tbl_Finance[Cost Centre],"PRODUCTION")&gt;0,"PRODUCTION ","")&amp;IF(COUNTIFS(tbl_Finance[Job Number],C256&amp;"",tbl_Finance[Cost Centre],"VIDEO")&gt;0,"VIDEO ","")&amp;IF(COUNTIFS(tbl_Finance[Job Number],C256&amp;"",tbl_Finance[Cost Centre],"INTEGRATION")&gt;0,"INTEGRATION ","")&amp;IF(COUNTIFS(tbl_Finance[Job Number],C256&amp;"",tbl_Finance[Cost Centre],"CONSULTING")&gt;0,"CONSULTING ","")&amp;IF(COUNTIFS(tbl_Finance[Job Number],C256&amp;"",tbl_Finance[Cost Centre],"CTS")&gt;0,"CTS ",""))," ",", ")))</f>
        <v/>
      </c>
      <c r="L256" s="24" t="n"/>
      <c r="M256" s="24" t="n"/>
      <c r="N256" s="25">
        <f>IF(M256="","",HYPERLINK(IF(LEFT(M256,4)="http",M256,set_QwilrBase&amp;M256),"Open quote"))</f>
        <v/>
      </c>
      <c r="O256" s="64" t="n"/>
      <c r="P256" s="24" t="n"/>
      <c r="Q256" s="24" t="n"/>
    </row>
    <row r="257" ht="15" customHeight="1">
      <c r="A257" s="63">
        <f>IF(C257="","",IFERROR(IF(SUMPRODUCT(MAX((tbl_Finance[Job Number]=C257&amp;"")*(tbl_Finance[Xero Invoice No]&lt;&gt;"")*tbl_Finance[Date]))=0,"",SUMPRODUCT(MAX((tbl_Finance[Job Number]=C257&amp;"")*(tbl_Finance[Xero Invoice No]&lt;&gt;"")*tbl_Finance[Date]))),""))</f>
        <v/>
      </c>
      <c r="B257" s="25">
        <f>IF(C257="","",IF(COUNTIFS(tbl_Finance[Job Number],C257&amp;"",tbl_Finance[Xero Invoice No],"&lt;&gt;")=0,"",IFERROR(IF(COUNTIFS(tbl_Finance[Job Number],C257&amp;"",tbl_Finance[Xero Invoice No],LOOKUP(2,1/((tbl_Finance[Job Number]=C257&amp;"")*(tbl_Finance[Xero Invoice No]&lt;&gt;"")),tbl_Finance[Xero Invoice No]))=COUNTIFS(tbl_Finance[Job Number],C257&amp;"",tbl_Finance[Xero Invoice No],"&lt;&gt;"),LOOKUP(2,1/((tbl_Finance[Job Number]=C257&amp;"")*(tbl_Finance[Xero Invoice No]&lt;&gt;"")),tbl_Finance[Xero Invoice No]),LOOKUP(2,1/((tbl_Finance[Job Number]=C257&amp;"")*(tbl_Finance[Xero Invoice No]&lt;&gt;"")),tbl_Finance[Xero Invoice No])&amp;" +more"),"")))</f>
        <v/>
      </c>
      <c r="C257" s="24" t="n"/>
      <c r="D257" s="25">
        <f>IF(C257="","",IF(COUNTIF(lst_Jobs,C257&amp;"")&gt;0,"OK","CHECK"))</f>
        <v/>
      </c>
      <c r="E257" s="25">
        <f>IF(C257="","",IFERROR(INDEX(lst_JobName,MATCH(C257&amp;"",lst_Jobs,0)),""))</f>
        <v/>
      </c>
      <c r="F257" s="25">
        <f>IF(C257="","",IFERROR(INDEX(tbl_Finance[Client],MATCH(C257&amp;"",tbl_Finance[Job Number],0)),""))</f>
        <v/>
      </c>
      <c r="G257" s="28">
        <f>IF(C257="","",COUNTIFS(tbl_Finance[Job Number],C257&amp;"",tbl_Finance[Ex GST],"&lt;&gt;"))</f>
        <v/>
      </c>
      <c r="H257" s="27">
        <f>IF(C257="","",SUMIFS(tbl_Finance[Ex GST],tbl_Finance[Job Number],C257&amp;""))</f>
        <v/>
      </c>
      <c r="I257" s="27">
        <f>IF(C257="","",SUMIFS(tbl_Finance[Ex GST],tbl_Finance[Job Number],C257&amp;"",tbl_Finance[Xero Invoice No],"&lt;&gt;"))</f>
        <v/>
      </c>
      <c r="J257" s="27">
        <f>IF(C257="","",H257-I257)</f>
        <v/>
      </c>
      <c r="K257" s="25">
        <f>IF(C257="","",IF(G257=0,"not invoiced yet",SUBSTITUTE(TRIM(IF(COUNTIFS(tbl_Finance[Job Number],C257&amp;"",tbl_Finance[Cost Centre],"ONSITE")&gt;0,"ONSITE ","")&amp;IF(COUNTIFS(tbl_Finance[Job Number],C257&amp;"",tbl_Finance[Cost Centre],"PRODUCTION")&gt;0,"PRODUCTION ","")&amp;IF(COUNTIFS(tbl_Finance[Job Number],C257&amp;"",tbl_Finance[Cost Centre],"VIDEO")&gt;0,"VIDEO ","")&amp;IF(COUNTIFS(tbl_Finance[Job Number],C257&amp;"",tbl_Finance[Cost Centre],"INTEGRATION")&gt;0,"INTEGRATION ","")&amp;IF(COUNTIFS(tbl_Finance[Job Number],C257&amp;"",tbl_Finance[Cost Centre],"CONSULTING")&gt;0,"CONSULTING ","")&amp;IF(COUNTIFS(tbl_Finance[Job Number],C257&amp;"",tbl_Finance[Cost Centre],"CTS")&gt;0,"CTS ",""))," ",", ")))</f>
        <v/>
      </c>
      <c r="L257" s="24" t="n"/>
      <c r="M257" s="24" t="n"/>
      <c r="N257" s="25">
        <f>IF(M257="","",HYPERLINK(IF(LEFT(M257,4)="http",M257,set_QwilrBase&amp;M257),"Open quote"))</f>
        <v/>
      </c>
      <c r="O257" s="64" t="n"/>
      <c r="P257" s="24" t="n"/>
      <c r="Q257" s="24" t="n"/>
    </row>
    <row r="258" ht="15" customHeight="1">
      <c r="A258" s="63">
        <f>IF(C258="","",IFERROR(IF(SUMPRODUCT(MAX((tbl_Finance[Job Number]=C258&amp;"")*(tbl_Finance[Xero Invoice No]&lt;&gt;"")*tbl_Finance[Date]))=0,"",SUMPRODUCT(MAX((tbl_Finance[Job Number]=C258&amp;"")*(tbl_Finance[Xero Invoice No]&lt;&gt;"")*tbl_Finance[Date]))),""))</f>
        <v/>
      </c>
      <c r="B258" s="25">
        <f>IF(C258="","",IF(COUNTIFS(tbl_Finance[Job Number],C258&amp;"",tbl_Finance[Xero Invoice No],"&lt;&gt;")=0,"",IFERROR(IF(COUNTIFS(tbl_Finance[Job Number],C258&amp;"",tbl_Finance[Xero Invoice No],LOOKUP(2,1/((tbl_Finance[Job Number]=C258&amp;"")*(tbl_Finance[Xero Invoice No]&lt;&gt;"")),tbl_Finance[Xero Invoice No]))=COUNTIFS(tbl_Finance[Job Number],C258&amp;"",tbl_Finance[Xero Invoice No],"&lt;&gt;"),LOOKUP(2,1/((tbl_Finance[Job Number]=C258&amp;"")*(tbl_Finance[Xero Invoice No]&lt;&gt;"")),tbl_Finance[Xero Invoice No]),LOOKUP(2,1/((tbl_Finance[Job Number]=C258&amp;"")*(tbl_Finance[Xero Invoice No]&lt;&gt;"")),tbl_Finance[Xero Invoice No])&amp;" +more"),"")))</f>
        <v/>
      </c>
      <c r="C258" s="24" t="n"/>
      <c r="D258" s="25">
        <f>IF(C258="","",IF(COUNTIF(lst_Jobs,C258&amp;"")&gt;0,"OK","CHECK"))</f>
        <v/>
      </c>
      <c r="E258" s="25">
        <f>IF(C258="","",IFERROR(INDEX(lst_JobName,MATCH(C258&amp;"",lst_Jobs,0)),""))</f>
        <v/>
      </c>
      <c r="F258" s="25">
        <f>IF(C258="","",IFERROR(INDEX(tbl_Finance[Client],MATCH(C258&amp;"",tbl_Finance[Job Number],0)),""))</f>
        <v/>
      </c>
      <c r="G258" s="28">
        <f>IF(C258="","",COUNTIFS(tbl_Finance[Job Number],C258&amp;"",tbl_Finance[Ex GST],"&lt;&gt;"))</f>
        <v/>
      </c>
      <c r="H258" s="27">
        <f>IF(C258="","",SUMIFS(tbl_Finance[Ex GST],tbl_Finance[Job Number],C258&amp;""))</f>
        <v/>
      </c>
      <c r="I258" s="27">
        <f>IF(C258="","",SUMIFS(tbl_Finance[Ex GST],tbl_Finance[Job Number],C258&amp;"",tbl_Finance[Xero Invoice No],"&lt;&gt;"))</f>
        <v/>
      </c>
      <c r="J258" s="27">
        <f>IF(C258="","",H258-I258)</f>
        <v/>
      </c>
      <c r="K258" s="25">
        <f>IF(C258="","",IF(G258=0,"not invoiced yet",SUBSTITUTE(TRIM(IF(COUNTIFS(tbl_Finance[Job Number],C258&amp;"",tbl_Finance[Cost Centre],"ONSITE")&gt;0,"ONSITE ","")&amp;IF(COUNTIFS(tbl_Finance[Job Number],C258&amp;"",tbl_Finance[Cost Centre],"PRODUCTION")&gt;0,"PRODUCTION ","")&amp;IF(COUNTIFS(tbl_Finance[Job Number],C258&amp;"",tbl_Finance[Cost Centre],"VIDEO")&gt;0,"VIDEO ","")&amp;IF(COUNTIFS(tbl_Finance[Job Number],C258&amp;"",tbl_Finance[Cost Centre],"INTEGRATION")&gt;0,"INTEGRATION ","")&amp;IF(COUNTIFS(tbl_Finance[Job Number],C258&amp;"",tbl_Finance[Cost Centre],"CONSULTING")&gt;0,"CONSULTING ","")&amp;IF(COUNTIFS(tbl_Finance[Job Number],C258&amp;"",tbl_Finance[Cost Centre],"CTS")&gt;0,"CTS ",""))," ",", ")))</f>
        <v/>
      </c>
      <c r="L258" s="24" t="n"/>
      <c r="M258" s="24" t="n"/>
      <c r="N258" s="25">
        <f>IF(M258="","",HYPERLINK(IF(LEFT(M258,4)="http",M258,set_QwilrBase&amp;M258),"Open quote"))</f>
        <v/>
      </c>
      <c r="O258" s="64" t="n"/>
      <c r="P258" s="24" t="n"/>
      <c r="Q258" s="24" t="n"/>
    </row>
    <row r="259" ht="15" customHeight="1">
      <c r="A259" s="63">
        <f>IF(C259="","",IFERROR(IF(SUMPRODUCT(MAX((tbl_Finance[Job Number]=C259&amp;"")*(tbl_Finance[Xero Invoice No]&lt;&gt;"")*tbl_Finance[Date]))=0,"",SUMPRODUCT(MAX((tbl_Finance[Job Number]=C259&amp;"")*(tbl_Finance[Xero Invoice No]&lt;&gt;"")*tbl_Finance[Date]))),""))</f>
        <v/>
      </c>
      <c r="B259" s="25">
        <f>IF(C259="","",IF(COUNTIFS(tbl_Finance[Job Number],C259&amp;"",tbl_Finance[Xero Invoice No],"&lt;&gt;")=0,"",IFERROR(IF(COUNTIFS(tbl_Finance[Job Number],C259&amp;"",tbl_Finance[Xero Invoice No],LOOKUP(2,1/((tbl_Finance[Job Number]=C259&amp;"")*(tbl_Finance[Xero Invoice No]&lt;&gt;"")),tbl_Finance[Xero Invoice No]))=COUNTIFS(tbl_Finance[Job Number],C259&amp;"",tbl_Finance[Xero Invoice No],"&lt;&gt;"),LOOKUP(2,1/((tbl_Finance[Job Number]=C259&amp;"")*(tbl_Finance[Xero Invoice No]&lt;&gt;"")),tbl_Finance[Xero Invoice No]),LOOKUP(2,1/((tbl_Finance[Job Number]=C259&amp;"")*(tbl_Finance[Xero Invoice No]&lt;&gt;"")),tbl_Finance[Xero Invoice No])&amp;" +more"),"")))</f>
        <v/>
      </c>
      <c r="C259" s="24" t="n"/>
      <c r="D259" s="25">
        <f>IF(C259="","",IF(COUNTIF(lst_Jobs,C259&amp;"")&gt;0,"OK","CHECK"))</f>
        <v/>
      </c>
      <c r="E259" s="25">
        <f>IF(C259="","",IFERROR(INDEX(lst_JobName,MATCH(C259&amp;"",lst_Jobs,0)),""))</f>
        <v/>
      </c>
      <c r="F259" s="25">
        <f>IF(C259="","",IFERROR(INDEX(tbl_Finance[Client],MATCH(C259&amp;"",tbl_Finance[Job Number],0)),""))</f>
        <v/>
      </c>
      <c r="G259" s="28">
        <f>IF(C259="","",COUNTIFS(tbl_Finance[Job Number],C259&amp;"",tbl_Finance[Ex GST],"&lt;&gt;"))</f>
        <v/>
      </c>
      <c r="H259" s="27">
        <f>IF(C259="","",SUMIFS(tbl_Finance[Ex GST],tbl_Finance[Job Number],C259&amp;""))</f>
        <v/>
      </c>
      <c r="I259" s="27">
        <f>IF(C259="","",SUMIFS(tbl_Finance[Ex GST],tbl_Finance[Job Number],C259&amp;"",tbl_Finance[Xero Invoice No],"&lt;&gt;"))</f>
        <v/>
      </c>
      <c r="J259" s="27">
        <f>IF(C259="","",H259-I259)</f>
        <v/>
      </c>
      <c r="K259" s="25">
        <f>IF(C259="","",IF(G259=0,"not invoiced yet",SUBSTITUTE(TRIM(IF(COUNTIFS(tbl_Finance[Job Number],C259&amp;"",tbl_Finance[Cost Centre],"ONSITE")&gt;0,"ONSITE ","")&amp;IF(COUNTIFS(tbl_Finance[Job Number],C259&amp;"",tbl_Finance[Cost Centre],"PRODUCTION")&gt;0,"PRODUCTION ","")&amp;IF(COUNTIFS(tbl_Finance[Job Number],C259&amp;"",tbl_Finance[Cost Centre],"VIDEO")&gt;0,"VIDEO ","")&amp;IF(COUNTIFS(tbl_Finance[Job Number],C259&amp;"",tbl_Finance[Cost Centre],"INTEGRATION")&gt;0,"INTEGRATION ","")&amp;IF(COUNTIFS(tbl_Finance[Job Number],C259&amp;"",tbl_Finance[Cost Centre],"CONSULTING")&gt;0,"CONSULTING ","")&amp;IF(COUNTIFS(tbl_Finance[Job Number],C259&amp;"",tbl_Finance[Cost Centre],"CTS")&gt;0,"CTS ",""))," ",", ")))</f>
        <v/>
      </c>
      <c r="L259" s="24" t="n"/>
      <c r="M259" s="24" t="n"/>
      <c r="N259" s="25">
        <f>IF(M259="","",HYPERLINK(IF(LEFT(M259,4)="http",M259,set_QwilrBase&amp;M259),"Open quote"))</f>
        <v/>
      </c>
      <c r="O259" s="64" t="n"/>
      <c r="P259" s="24" t="n"/>
      <c r="Q259" s="24" t="n"/>
    </row>
    <row r="260" ht="15" customHeight="1">
      <c r="A260" s="63">
        <f>IF(C260="","",IFERROR(IF(SUMPRODUCT(MAX((tbl_Finance[Job Number]=C260&amp;"")*(tbl_Finance[Xero Invoice No]&lt;&gt;"")*tbl_Finance[Date]))=0,"",SUMPRODUCT(MAX((tbl_Finance[Job Number]=C260&amp;"")*(tbl_Finance[Xero Invoice No]&lt;&gt;"")*tbl_Finance[Date]))),""))</f>
        <v/>
      </c>
      <c r="B260" s="25">
        <f>IF(C260="","",IF(COUNTIFS(tbl_Finance[Job Number],C260&amp;"",tbl_Finance[Xero Invoice No],"&lt;&gt;")=0,"",IFERROR(IF(COUNTIFS(tbl_Finance[Job Number],C260&amp;"",tbl_Finance[Xero Invoice No],LOOKUP(2,1/((tbl_Finance[Job Number]=C260&amp;"")*(tbl_Finance[Xero Invoice No]&lt;&gt;"")),tbl_Finance[Xero Invoice No]))=COUNTIFS(tbl_Finance[Job Number],C260&amp;"",tbl_Finance[Xero Invoice No],"&lt;&gt;"),LOOKUP(2,1/((tbl_Finance[Job Number]=C260&amp;"")*(tbl_Finance[Xero Invoice No]&lt;&gt;"")),tbl_Finance[Xero Invoice No]),LOOKUP(2,1/((tbl_Finance[Job Number]=C260&amp;"")*(tbl_Finance[Xero Invoice No]&lt;&gt;"")),tbl_Finance[Xero Invoice No])&amp;" +more"),"")))</f>
        <v/>
      </c>
      <c r="C260" s="24" t="n"/>
      <c r="D260" s="25">
        <f>IF(C260="","",IF(COUNTIF(lst_Jobs,C260&amp;"")&gt;0,"OK","CHECK"))</f>
        <v/>
      </c>
      <c r="E260" s="25">
        <f>IF(C260="","",IFERROR(INDEX(lst_JobName,MATCH(C260&amp;"",lst_Jobs,0)),""))</f>
        <v/>
      </c>
      <c r="F260" s="25">
        <f>IF(C260="","",IFERROR(INDEX(tbl_Finance[Client],MATCH(C260&amp;"",tbl_Finance[Job Number],0)),""))</f>
        <v/>
      </c>
      <c r="G260" s="28">
        <f>IF(C260="","",COUNTIFS(tbl_Finance[Job Number],C260&amp;"",tbl_Finance[Ex GST],"&lt;&gt;"))</f>
        <v/>
      </c>
      <c r="H260" s="27">
        <f>IF(C260="","",SUMIFS(tbl_Finance[Ex GST],tbl_Finance[Job Number],C260&amp;""))</f>
        <v/>
      </c>
      <c r="I260" s="27">
        <f>IF(C260="","",SUMIFS(tbl_Finance[Ex GST],tbl_Finance[Job Number],C260&amp;"",tbl_Finance[Xero Invoice No],"&lt;&gt;"))</f>
        <v/>
      </c>
      <c r="J260" s="27">
        <f>IF(C260="","",H260-I260)</f>
        <v/>
      </c>
      <c r="K260" s="25">
        <f>IF(C260="","",IF(G260=0,"not invoiced yet",SUBSTITUTE(TRIM(IF(COUNTIFS(tbl_Finance[Job Number],C260&amp;"",tbl_Finance[Cost Centre],"ONSITE")&gt;0,"ONSITE ","")&amp;IF(COUNTIFS(tbl_Finance[Job Number],C260&amp;"",tbl_Finance[Cost Centre],"PRODUCTION")&gt;0,"PRODUCTION ","")&amp;IF(COUNTIFS(tbl_Finance[Job Number],C260&amp;"",tbl_Finance[Cost Centre],"VIDEO")&gt;0,"VIDEO ","")&amp;IF(COUNTIFS(tbl_Finance[Job Number],C260&amp;"",tbl_Finance[Cost Centre],"INTEGRATION")&gt;0,"INTEGRATION ","")&amp;IF(COUNTIFS(tbl_Finance[Job Number],C260&amp;"",tbl_Finance[Cost Centre],"CONSULTING")&gt;0,"CONSULTING ","")&amp;IF(COUNTIFS(tbl_Finance[Job Number],C260&amp;"",tbl_Finance[Cost Centre],"CTS")&gt;0,"CTS ",""))," ",", ")))</f>
        <v/>
      </c>
      <c r="L260" s="24" t="n"/>
      <c r="M260" s="24" t="n"/>
      <c r="N260" s="25">
        <f>IF(M260="","",HYPERLINK(IF(LEFT(M260,4)="http",M260,set_QwilrBase&amp;M260),"Open quote"))</f>
        <v/>
      </c>
      <c r="O260" s="64" t="n"/>
      <c r="P260" s="24" t="n"/>
      <c r="Q260" s="24" t="n"/>
    </row>
    <row r="261" ht="15" customHeight="1">
      <c r="A261" s="63">
        <f>IF(C261="","",IFERROR(IF(SUMPRODUCT(MAX((tbl_Finance[Job Number]=C261&amp;"")*(tbl_Finance[Xero Invoice No]&lt;&gt;"")*tbl_Finance[Date]))=0,"",SUMPRODUCT(MAX((tbl_Finance[Job Number]=C261&amp;"")*(tbl_Finance[Xero Invoice No]&lt;&gt;"")*tbl_Finance[Date]))),""))</f>
        <v/>
      </c>
      <c r="B261" s="25">
        <f>IF(C261="","",IF(COUNTIFS(tbl_Finance[Job Number],C261&amp;"",tbl_Finance[Xero Invoice No],"&lt;&gt;")=0,"",IFERROR(IF(COUNTIFS(tbl_Finance[Job Number],C261&amp;"",tbl_Finance[Xero Invoice No],LOOKUP(2,1/((tbl_Finance[Job Number]=C261&amp;"")*(tbl_Finance[Xero Invoice No]&lt;&gt;"")),tbl_Finance[Xero Invoice No]))=COUNTIFS(tbl_Finance[Job Number],C261&amp;"",tbl_Finance[Xero Invoice No],"&lt;&gt;"),LOOKUP(2,1/((tbl_Finance[Job Number]=C261&amp;"")*(tbl_Finance[Xero Invoice No]&lt;&gt;"")),tbl_Finance[Xero Invoice No]),LOOKUP(2,1/((tbl_Finance[Job Number]=C261&amp;"")*(tbl_Finance[Xero Invoice No]&lt;&gt;"")),tbl_Finance[Xero Invoice No])&amp;" +more"),"")))</f>
        <v/>
      </c>
      <c r="C261" s="24" t="n"/>
      <c r="D261" s="25">
        <f>IF(C261="","",IF(COUNTIF(lst_Jobs,C261&amp;"")&gt;0,"OK","CHECK"))</f>
        <v/>
      </c>
      <c r="E261" s="25">
        <f>IF(C261="","",IFERROR(INDEX(lst_JobName,MATCH(C261&amp;"",lst_Jobs,0)),""))</f>
        <v/>
      </c>
      <c r="F261" s="25">
        <f>IF(C261="","",IFERROR(INDEX(tbl_Finance[Client],MATCH(C261&amp;"",tbl_Finance[Job Number],0)),""))</f>
        <v/>
      </c>
      <c r="G261" s="28">
        <f>IF(C261="","",COUNTIFS(tbl_Finance[Job Number],C261&amp;"",tbl_Finance[Ex GST],"&lt;&gt;"))</f>
        <v/>
      </c>
      <c r="H261" s="27">
        <f>IF(C261="","",SUMIFS(tbl_Finance[Ex GST],tbl_Finance[Job Number],C261&amp;""))</f>
        <v/>
      </c>
      <c r="I261" s="27">
        <f>IF(C261="","",SUMIFS(tbl_Finance[Ex GST],tbl_Finance[Job Number],C261&amp;"",tbl_Finance[Xero Invoice No],"&lt;&gt;"))</f>
        <v/>
      </c>
      <c r="J261" s="27">
        <f>IF(C261="","",H261-I261)</f>
        <v/>
      </c>
      <c r="K261" s="25">
        <f>IF(C261="","",IF(G261=0,"not invoiced yet",SUBSTITUTE(TRIM(IF(COUNTIFS(tbl_Finance[Job Number],C261&amp;"",tbl_Finance[Cost Centre],"ONSITE")&gt;0,"ONSITE ","")&amp;IF(COUNTIFS(tbl_Finance[Job Number],C261&amp;"",tbl_Finance[Cost Centre],"PRODUCTION")&gt;0,"PRODUCTION ","")&amp;IF(COUNTIFS(tbl_Finance[Job Number],C261&amp;"",tbl_Finance[Cost Centre],"VIDEO")&gt;0,"VIDEO ","")&amp;IF(COUNTIFS(tbl_Finance[Job Number],C261&amp;"",tbl_Finance[Cost Centre],"INTEGRATION")&gt;0,"INTEGRATION ","")&amp;IF(COUNTIFS(tbl_Finance[Job Number],C261&amp;"",tbl_Finance[Cost Centre],"CONSULTING")&gt;0,"CONSULTING ","")&amp;IF(COUNTIFS(tbl_Finance[Job Number],C261&amp;"",tbl_Finance[Cost Centre],"CTS")&gt;0,"CTS ",""))," ",", ")))</f>
        <v/>
      </c>
      <c r="L261" s="24" t="n"/>
      <c r="M261" s="24" t="n"/>
      <c r="N261" s="25">
        <f>IF(M261="","",HYPERLINK(IF(LEFT(M261,4)="http",M261,set_QwilrBase&amp;M261),"Open quote"))</f>
        <v/>
      </c>
      <c r="O261" s="64" t="n"/>
      <c r="P261" s="24" t="n"/>
      <c r="Q261" s="24" t="n"/>
    </row>
    <row r="262" ht="15" customHeight="1">
      <c r="A262" s="63">
        <f>IF(C262="","",IFERROR(IF(SUMPRODUCT(MAX((tbl_Finance[Job Number]=C262&amp;"")*(tbl_Finance[Xero Invoice No]&lt;&gt;"")*tbl_Finance[Date]))=0,"",SUMPRODUCT(MAX((tbl_Finance[Job Number]=C262&amp;"")*(tbl_Finance[Xero Invoice No]&lt;&gt;"")*tbl_Finance[Date]))),""))</f>
        <v/>
      </c>
      <c r="B262" s="25">
        <f>IF(C262="","",IF(COUNTIFS(tbl_Finance[Job Number],C262&amp;"",tbl_Finance[Xero Invoice No],"&lt;&gt;")=0,"",IFERROR(IF(COUNTIFS(tbl_Finance[Job Number],C262&amp;"",tbl_Finance[Xero Invoice No],LOOKUP(2,1/((tbl_Finance[Job Number]=C262&amp;"")*(tbl_Finance[Xero Invoice No]&lt;&gt;"")),tbl_Finance[Xero Invoice No]))=COUNTIFS(tbl_Finance[Job Number],C262&amp;"",tbl_Finance[Xero Invoice No],"&lt;&gt;"),LOOKUP(2,1/((tbl_Finance[Job Number]=C262&amp;"")*(tbl_Finance[Xero Invoice No]&lt;&gt;"")),tbl_Finance[Xero Invoice No]),LOOKUP(2,1/((tbl_Finance[Job Number]=C262&amp;"")*(tbl_Finance[Xero Invoice No]&lt;&gt;"")),tbl_Finance[Xero Invoice No])&amp;" +more"),"")))</f>
        <v/>
      </c>
      <c r="C262" s="24" t="n"/>
      <c r="D262" s="25">
        <f>IF(C262="","",IF(COUNTIF(lst_Jobs,C262&amp;"")&gt;0,"OK","CHECK"))</f>
        <v/>
      </c>
      <c r="E262" s="25">
        <f>IF(C262="","",IFERROR(INDEX(lst_JobName,MATCH(C262&amp;"",lst_Jobs,0)),""))</f>
        <v/>
      </c>
      <c r="F262" s="25">
        <f>IF(C262="","",IFERROR(INDEX(tbl_Finance[Client],MATCH(C262&amp;"",tbl_Finance[Job Number],0)),""))</f>
        <v/>
      </c>
      <c r="G262" s="28">
        <f>IF(C262="","",COUNTIFS(tbl_Finance[Job Number],C262&amp;"",tbl_Finance[Ex GST],"&lt;&gt;"))</f>
        <v/>
      </c>
      <c r="H262" s="27">
        <f>IF(C262="","",SUMIFS(tbl_Finance[Ex GST],tbl_Finance[Job Number],C262&amp;""))</f>
        <v/>
      </c>
      <c r="I262" s="27">
        <f>IF(C262="","",SUMIFS(tbl_Finance[Ex GST],tbl_Finance[Job Number],C262&amp;"",tbl_Finance[Xero Invoice No],"&lt;&gt;"))</f>
        <v/>
      </c>
      <c r="J262" s="27">
        <f>IF(C262="","",H262-I262)</f>
        <v/>
      </c>
      <c r="K262" s="25">
        <f>IF(C262="","",IF(G262=0,"not invoiced yet",SUBSTITUTE(TRIM(IF(COUNTIFS(tbl_Finance[Job Number],C262&amp;"",tbl_Finance[Cost Centre],"ONSITE")&gt;0,"ONSITE ","")&amp;IF(COUNTIFS(tbl_Finance[Job Number],C262&amp;"",tbl_Finance[Cost Centre],"PRODUCTION")&gt;0,"PRODUCTION ","")&amp;IF(COUNTIFS(tbl_Finance[Job Number],C262&amp;"",tbl_Finance[Cost Centre],"VIDEO")&gt;0,"VIDEO ","")&amp;IF(COUNTIFS(tbl_Finance[Job Number],C262&amp;"",tbl_Finance[Cost Centre],"INTEGRATION")&gt;0,"INTEGRATION ","")&amp;IF(COUNTIFS(tbl_Finance[Job Number],C262&amp;"",tbl_Finance[Cost Centre],"CONSULTING")&gt;0,"CONSULTING ","")&amp;IF(COUNTIFS(tbl_Finance[Job Number],C262&amp;"",tbl_Finance[Cost Centre],"CTS")&gt;0,"CTS ",""))," ",", ")))</f>
        <v/>
      </c>
      <c r="L262" s="24" t="n"/>
      <c r="M262" s="24" t="n"/>
      <c r="N262" s="25">
        <f>IF(M262="","",HYPERLINK(IF(LEFT(M262,4)="http",M262,set_QwilrBase&amp;M262),"Open quote"))</f>
        <v/>
      </c>
      <c r="O262" s="64" t="n"/>
      <c r="P262" s="24" t="n"/>
      <c r="Q262" s="24" t="n"/>
    </row>
    <row r="263" ht="15" customHeight="1">
      <c r="A263" s="63">
        <f>IF(C263="","",IFERROR(IF(SUMPRODUCT(MAX((tbl_Finance[Job Number]=C263&amp;"")*(tbl_Finance[Xero Invoice No]&lt;&gt;"")*tbl_Finance[Date]))=0,"",SUMPRODUCT(MAX((tbl_Finance[Job Number]=C263&amp;"")*(tbl_Finance[Xero Invoice No]&lt;&gt;"")*tbl_Finance[Date]))),""))</f>
        <v/>
      </c>
      <c r="B263" s="25">
        <f>IF(C263="","",IF(COUNTIFS(tbl_Finance[Job Number],C263&amp;"",tbl_Finance[Xero Invoice No],"&lt;&gt;")=0,"",IFERROR(IF(COUNTIFS(tbl_Finance[Job Number],C263&amp;"",tbl_Finance[Xero Invoice No],LOOKUP(2,1/((tbl_Finance[Job Number]=C263&amp;"")*(tbl_Finance[Xero Invoice No]&lt;&gt;"")),tbl_Finance[Xero Invoice No]))=COUNTIFS(tbl_Finance[Job Number],C263&amp;"",tbl_Finance[Xero Invoice No],"&lt;&gt;"),LOOKUP(2,1/((tbl_Finance[Job Number]=C263&amp;"")*(tbl_Finance[Xero Invoice No]&lt;&gt;"")),tbl_Finance[Xero Invoice No]),LOOKUP(2,1/((tbl_Finance[Job Number]=C263&amp;"")*(tbl_Finance[Xero Invoice No]&lt;&gt;"")),tbl_Finance[Xero Invoice No])&amp;" +more"),"")))</f>
        <v/>
      </c>
      <c r="C263" s="24" t="n"/>
      <c r="D263" s="25">
        <f>IF(C263="","",IF(COUNTIF(lst_Jobs,C263&amp;"")&gt;0,"OK","CHECK"))</f>
        <v/>
      </c>
      <c r="E263" s="25">
        <f>IF(C263="","",IFERROR(INDEX(lst_JobName,MATCH(C263&amp;"",lst_Jobs,0)),""))</f>
        <v/>
      </c>
      <c r="F263" s="25">
        <f>IF(C263="","",IFERROR(INDEX(tbl_Finance[Client],MATCH(C263&amp;"",tbl_Finance[Job Number],0)),""))</f>
        <v/>
      </c>
      <c r="G263" s="28">
        <f>IF(C263="","",COUNTIFS(tbl_Finance[Job Number],C263&amp;"",tbl_Finance[Ex GST],"&lt;&gt;"))</f>
        <v/>
      </c>
      <c r="H263" s="27">
        <f>IF(C263="","",SUMIFS(tbl_Finance[Ex GST],tbl_Finance[Job Number],C263&amp;""))</f>
        <v/>
      </c>
      <c r="I263" s="27">
        <f>IF(C263="","",SUMIFS(tbl_Finance[Ex GST],tbl_Finance[Job Number],C263&amp;"",tbl_Finance[Xero Invoice No],"&lt;&gt;"))</f>
        <v/>
      </c>
      <c r="J263" s="27">
        <f>IF(C263="","",H263-I263)</f>
        <v/>
      </c>
      <c r="K263" s="25">
        <f>IF(C263="","",IF(G263=0,"not invoiced yet",SUBSTITUTE(TRIM(IF(COUNTIFS(tbl_Finance[Job Number],C263&amp;"",tbl_Finance[Cost Centre],"ONSITE")&gt;0,"ONSITE ","")&amp;IF(COUNTIFS(tbl_Finance[Job Number],C263&amp;"",tbl_Finance[Cost Centre],"PRODUCTION")&gt;0,"PRODUCTION ","")&amp;IF(COUNTIFS(tbl_Finance[Job Number],C263&amp;"",tbl_Finance[Cost Centre],"VIDEO")&gt;0,"VIDEO ","")&amp;IF(COUNTIFS(tbl_Finance[Job Number],C263&amp;"",tbl_Finance[Cost Centre],"INTEGRATION")&gt;0,"INTEGRATION ","")&amp;IF(COUNTIFS(tbl_Finance[Job Number],C263&amp;"",tbl_Finance[Cost Centre],"CONSULTING")&gt;0,"CONSULTING ","")&amp;IF(COUNTIFS(tbl_Finance[Job Number],C263&amp;"",tbl_Finance[Cost Centre],"CTS")&gt;0,"CTS ",""))," ",", ")))</f>
        <v/>
      </c>
      <c r="L263" s="24" t="n"/>
      <c r="M263" s="24" t="n"/>
      <c r="N263" s="25">
        <f>IF(M263="","",HYPERLINK(IF(LEFT(M263,4)="http",M263,set_QwilrBase&amp;M263),"Open quote"))</f>
        <v/>
      </c>
      <c r="O263" s="64" t="n"/>
      <c r="P263" s="24" t="n"/>
      <c r="Q263" s="24" t="n"/>
    </row>
    <row r="264" ht="15" customHeight="1">
      <c r="A264" s="63">
        <f>IF(C264="","",IFERROR(IF(SUMPRODUCT(MAX((tbl_Finance[Job Number]=C264&amp;"")*(tbl_Finance[Xero Invoice No]&lt;&gt;"")*tbl_Finance[Date]))=0,"",SUMPRODUCT(MAX((tbl_Finance[Job Number]=C264&amp;"")*(tbl_Finance[Xero Invoice No]&lt;&gt;"")*tbl_Finance[Date]))),""))</f>
        <v/>
      </c>
      <c r="B264" s="25">
        <f>IF(C264="","",IF(COUNTIFS(tbl_Finance[Job Number],C264&amp;"",tbl_Finance[Xero Invoice No],"&lt;&gt;")=0,"",IFERROR(IF(COUNTIFS(tbl_Finance[Job Number],C264&amp;"",tbl_Finance[Xero Invoice No],LOOKUP(2,1/((tbl_Finance[Job Number]=C264&amp;"")*(tbl_Finance[Xero Invoice No]&lt;&gt;"")),tbl_Finance[Xero Invoice No]))=COUNTIFS(tbl_Finance[Job Number],C264&amp;"",tbl_Finance[Xero Invoice No],"&lt;&gt;"),LOOKUP(2,1/((tbl_Finance[Job Number]=C264&amp;"")*(tbl_Finance[Xero Invoice No]&lt;&gt;"")),tbl_Finance[Xero Invoice No]),LOOKUP(2,1/((tbl_Finance[Job Number]=C264&amp;"")*(tbl_Finance[Xero Invoice No]&lt;&gt;"")),tbl_Finance[Xero Invoice No])&amp;" +more"),"")))</f>
        <v/>
      </c>
      <c r="C264" s="24" t="n"/>
      <c r="D264" s="25">
        <f>IF(C264="","",IF(COUNTIF(lst_Jobs,C264&amp;"")&gt;0,"OK","CHECK"))</f>
        <v/>
      </c>
      <c r="E264" s="25">
        <f>IF(C264="","",IFERROR(INDEX(lst_JobName,MATCH(C264&amp;"",lst_Jobs,0)),""))</f>
        <v/>
      </c>
      <c r="F264" s="25">
        <f>IF(C264="","",IFERROR(INDEX(tbl_Finance[Client],MATCH(C264&amp;"",tbl_Finance[Job Number],0)),""))</f>
        <v/>
      </c>
      <c r="G264" s="28">
        <f>IF(C264="","",COUNTIFS(tbl_Finance[Job Number],C264&amp;"",tbl_Finance[Ex GST],"&lt;&gt;"))</f>
        <v/>
      </c>
      <c r="H264" s="27">
        <f>IF(C264="","",SUMIFS(tbl_Finance[Ex GST],tbl_Finance[Job Number],C264&amp;""))</f>
        <v/>
      </c>
      <c r="I264" s="27">
        <f>IF(C264="","",SUMIFS(tbl_Finance[Ex GST],tbl_Finance[Job Number],C264&amp;"",tbl_Finance[Xero Invoice No],"&lt;&gt;"))</f>
        <v/>
      </c>
      <c r="J264" s="27">
        <f>IF(C264="","",H264-I264)</f>
        <v/>
      </c>
      <c r="K264" s="25">
        <f>IF(C264="","",IF(G264=0,"not invoiced yet",SUBSTITUTE(TRIM(IF(COUNTIFS(tbl_Finance[Job Number],C264&amp;"",tbl_Finance[Cost Centre],"ONSITE")&gt;0,"ONSITE ","")&amp;IF(COUNTIFS(tbl_Finance[Job Number],C264&amp;"",tbl_Finance[Cost Centre],"PRODUCTION")&gt;0,"PRODUCTION ","")&amp;IF(COUNTIFS(tbl_Finance[Job Number],C264&amp;"",tbl_Finance[Cost Centre],"VIDEO")&gt;0,"VIDEO ","")&amp;IF(COUNTIFS(tbl_Finance[Job Number],C264&amp;"",tbl_Finance[Cost Centre],"INTEGRATION")&gt;0,"INTEGRATION ","")&amp;IF(COUNTIFS(tbl_Finance[Job Number],C264&amp;"",tbl_Finance[Cost Centre],"CONSULTING")&gt;0,"CONSULTING ","")&amp;IF(COUNTIFS(tbl_Finance[Job Number],C264&amp;"",tbl_Finance[Cost Centre],"CTS")&gt;0,"CTS ",""))," ",", ")))</f>
        <v/>
      </c>
      <c r="L264" s="24" t="n"/>
      <c r="M264" s="24" t="n"/>
      <c r="N264" s="25">
        <f>IF(M264="","",HYPERLINK(IF(LEFT(M264,4)="http",M264,set_QwilrBase&amp;M264),"Open quote"))</f>
        <v/>
      </c>
      <c r="O264" s="64" t="n"/>
      <c r="P264" s="24" t="n"/>
      <c r="Q264" s="24" t="n"/>
    </row>
    <row r="265" ht="15" customHeight="1">
      <c r="A265" s="63">
        <f>IF(C265="","",IFERROR(IF(SUMPRODUCT(MAX((tbl_Finance[Job Number]=C265&amp;"")*(tbl_Finance[Xero Invoice No]&lt;&gt;"")*tbl_Finance[Date]))=0,"",SUMPRODUCT(MAX((tbl_Finance[Job Number]=C265&amp;"")*(tbl_Finance[Xero Invoice No]&lt;&gt;"")*tbl_Finance[Date]))),""))</f>
        <v/>
      </c>
      <c r="B265" s="25">
        <f>IF(C265="","",IF(COUNTIFS(tbl_Finance[Job Number],C265&amp;"",tbl_Finance[Xero Invoice No],"&lt;&gt;")=0,"",IFERROR(IF(COUNTIFS(tbl_Finance[Job Number],C265&amp;"",tbl_Finance[Xero Invoice No],LOOKUP(2,1/((tbl_Finance[Job Number]=C265&amp;"")*(tbl_Finance[Xero Invoice No]&lt;&gt;"")),tbl_Finance[Xero Invoice No]))=COUNTIFS(tbl_Finance[Job Number],C265&amp;"",tbl_Finance[Xero Invoice No],"&lt;&gt;"),LOOKUP(2,1/((tbl_Finance[Job Number]=C265&amp;"")*(tbl_Finance[Xero Invoice No]&lt;&gt;"")),tbl_Finance[Xero Invoice No]),LOOKUP(2,1/((tbl_Finance[Job Number]=C265&amp;"")*(tbl_Finance[Xero Invoice No]&lt;&gt;"")),tbl_Finance[Xero Invoice No])&amp;" +more"),"")))</f>
        <v/>
      </c>
      <c r="C265" s="24" t="n"/>
      <c r="D265" s="25">
        <f>IF(C265="","",IF(COUNTIF(lst_Jobs,C265&amp;"")&gt;0,"OK","CHECK"))</f>
        <v/>
      </c>
      <c r="E265" s="25">
        <f>IF(C265="","",IFERROR(INDEX(lst_JobName,MATCH(C265&amp;"",lst_Jobs,0)),""))</f>
        <v/>
      </c>
      <c r="F265" s="25">
        <f>IF(C265="","",IFERROR(INDEX(tbl_Finance[Client],MATCH(C265&amp;"",tbl_Finance[Job Number],0)),""))</f>
        <v/>
      </c>
      <c r="G265" s="28">
        <f>IF(C265="","",COUNTIFS(tbl_Finance[Job Number],C265&amp;"",tbl_Finance[Ex GST],"&lt;&gt;"))</f>
        <v/>
      </c>
      <c r="H265" s="27">
        <f>IF(C265="","",SUMIFS(tbl_Finance[Ex GST],tbl_Finance[Job Number],C265&amp;""))</f>
        <v/>
      </c>
      <c r="I265" s="27">
        <f>IF(C265="","",SUMIFS(tbl_Finance[Ex GST],tbl_Finance[Job Number],C265&amp;"",tbl_Finance[Xero Invoice No],"&lt;&gt;"))</f>
        <v/>
      </c>
      <c r="J265" s="27">
        <f>IF(C265="","",H265-I265)</f>
        <v/>
      </c>
      <c r="K265" s="25">
        <f>IF(C265="","",IF(G265=0,"not invoiced yet",SUBSTITUTE(TRIM(IF(COUNTIFS(tbl_Finance[Job Number],C265&amp;"",tbl_Finance[Cost Centre],"ONSITE")&gt;0,"ONSITE ","")&amp;IF(COUNTIFS(tbl_Finance[Job Number],C265&amp;"",tbl_Finance[Cost Centre],"PRODUCTION")&gt;0,"PRODUCTION ","")&amp;IF(COUNTIFS(tbl_Finance[Job Number],C265&amp;"",tbl_Finance[Cost Centre],"VIDEO")&gt;0,"VIDEO ","")&amp;IF(COUNTIFS(tbl_Finance[Job Number],C265&amp;"",tbl_Finance[Cost Centre],"INTEGRATION")&gt;0,"INTEGRATION ","")&amp;IF(COUNTIFS(tbl_Finance[Job Number],C265&amp;"",tbl_Finance[Cost Centre],"CONSULTING")&gt;0,"CONSULTING ","")&amp;IF(COUNTIFS(tbl_Finance[Job Number],C265&amp;"",tbl_Finance[Cost Centre],"CTS")&gt;0,"CTS ",""))," ",", ")))</f>
        <v/>
      </c>
      <c r="L265" s="24" t="n"/>
      <c r="M265" s="24" t="n"/>
      <c r="N265" s="25">
        <f>IF(M265="","",HYPERLINK(IF(LEFT(M265,4)="http",M265,set_QwilrBase&amp;M265),"Open quote"))</f>
        <v/>
      </c>
      <c r="O265" s="64" t="n"/>
      <c r="P265" s="24" t="n"/>
      <c r="Q265" s="24" t="n"/>
    </row>
    <row r="266" ht="15" customHeight="1">
      <c r="A266" s="63">
        <f>IF(C266="","",IFERROR(IF(SUMPRODUCT(MAX((tbl_Finance[Job Number]=C266&amp;"")*(tbl_Finance[Xero Invoice No]&lt;&gt;"")*tbl_Finance[Date]))=0,"",SUMPRODUCT(MAX((tbl_Finance[Job Number]=C266&amp;"")*(tbl_Finance[Xero Invoice No]&lt;&gt;"")*tbl_Finance[Date]))),""))</f>
        <v/>
      </c>
      <c r="B266" s="25">
        <f>IF(C266="","",IF(COUNTIFS(tbl_Finance[Job Number],C266&amp;"",tbl_Finance[Xero Invoice No],"&lt;&gt;")=0,"",IFERROR(IF(COUNTIFS(tbl_Finance[Job Number],C266&amp;"",tbl_Finance[Xero Invoice No],LOOKUP(2,1/((tbl_Finance[Job Number]=C266&amp;"")*(tbl_Finance[Xero Invoice No]&lt;&gt;"")),tbl_Finance[Xero Invoice No]))=COUNTIFS(tbl_Finance[Job Number],C266&amp;"",tbl_Finance[Xero Invoice No],"&lt;&gt;"),LOOKUP(2,1/((tbl_Finance[Job Number]=C266&amp;"")*(tbl_Finance[Xero Invoice No]&lt;&gt;"")),tbl_Finance[Xero Invoice No]),LOOKUP(2,1/((tbl_Finance[Job Number]=C266&amp;"")*(tbl_Finance[Xero Invoice No]&lt;&gt;"")),tbl_Finance[Xero Invoice No])&amp;" +more"),"")))</f>
        <v/>
      </c>
      <c r="C266" s="24" t="n"/>
      <c r="D266" s="25">
        <f>IF(C266="","",IF(COUNTIF(lst_Jobs,C266&amp;"")&gt;0,"OK","CHECK"))</f>
        <v/>
      </c>
      <c r="E266" s="25">
        <f>IF(C266="","",IFERROR(INDEX(lst_JobName,MATCH(C266&amp;"",lst_Jobs,0)),""))</f>
        <v/>
      </c>
      <c r="F266" s="25">
        <f>IF(C266="","",IFERROR(INDEX(tbl_Finance[Client],MATCH(C266&amp;"",tbl_Finance[Job Number],0)),""))</f>
        <v/>
      </c>
      <c r="G266" s="28">
        <f>IF(C266="","",COUNTIFS(tbl_Finance[Job Number],C266&amp;"",tbl_Finance[Ex GST],"&lt;&gt;"))</f>
        <v/>
      </c>
      <c r="H266" s="27">
        <f>IF(C266="","",SUMIFS(tbl_Finance[Ex GST],tbl_Finance[Job Number],C266&amp;""))</f>
        <v/>
      </c>
      <c r="I266" s="27">
        <f>IF(C266="","",SUMIFS(tbl_Finance[Ex GST],tbl_Finance[Job Number],C266&amp;"",tbl_Finance[Xero Invoice No],"&lt;&gt;"))</f>
        <v/>
      </c>
      <c r="J266" s="27">
        <f>IF(C266="","",H266-I266)</f>
        <v/>
      </c>
      <c r="K266" s="25">
        <f>IF(C266="","",IF(G266=0,"not invoiced yet",SUBSTITUTE(TRIM(IF(COUNTIFS(tbl_Finance[Job Number],C266&amp;"",tbl_Finance[Cost Centre],"ONSITE")&gt;0,"ONSITE ","")&amp;IF(COUNTIFS(tbl_Finance[Job Number],C266&amp;"",tbl_Finance[Cost Centre],"PRODUCTION")&gt;0,"PRODUCTION ","")&amp;IF(COUNTIFS(tbl_Finance[Job Number],C266&amp;"",tbl_Finance[Cost Centre],"VIDEO")&gt;0,"VIDEO ","")&amp;IF(COUNTIFS(tbl_Finance[Job Number],C266&amp;"",tbl_Finance[Cost Centre],"INTEGRATION")&gt;0,"INTEGRATION ","")&amp;IF(COUNTIFS(tbl_Finance[Job Number],C266&amp;"",tbl_Finance[Cost Centre],"CONSULTING")&gt;0,"CONSULTING ","")&amp;IF(COUNTIFS(tbl_Finance[Job Number],C266&amp;"",tbl_Finance[Cost Centre],"CTS")&gt;0,"CTS ",""))," ",", ")))</f>
        <v/>
      </c>
      <c r="L266" s="24" t="n"/>
      <c r="M266" s="24" t="n"/>
      <c r="N266" s="25">
        <f>IF(M266="","",HYPERLINK(IF(LEFT(M266,4)="http",M266,set_QwilrBase&amp;M266),"Open quote"))</f>
        <v/>
      </c>
      <c r="O266" s="64" t="n"/>
      <c r="P266" s="24" t="n"/>
      <c r="Q266" s="24" t="n"/>
    </row>
    <row r="267" ht="15" customHeight="1">
      <c r="A267" s="63">
        <f>IF(C267="","",IFERROR(IF(SUMPRODUCT(MAX((tbl_Finance[Job Number]=C267&amp;"")*(tbl_Finance[Xero Invoice No]&lt;&gt;"")*tbl_Finance[Date]))=0,"",SUMPRODUCT(MAX((tbl_Finance[Job Number]=C267&amp;"")*(tbl_Finance[Xero Invoice No]&lt;&gt;"")*tbl_Finance[Date]))),""))</f>
        <v/>
      </c>
      <c r="B267" s="25">
        <f>IF(C267="","",IF(COUNTIFS(tbl_Finance[Job Number],C267&amp;"",tbl_Finance[Xero Invoice No],"&lt;&gt;")=0,"",IFERROR(IF(COUNTIFS(tbl_Finance[Job Number],C267&amp;"",tbl_Finance[Xero Invoice No],LOOKUP(2,1/((tbl_Finance[Job Number]=C267&amp;"")*(tbl_Finance[Xero Invoice No]&lt;&gt;"")),tbl_Finance[Xero Invoice No]))=COUNTIFS(tbl_Finance[Job Number],C267&amp;"",tbl_Finance[Xero Invoice No],"&lt;&gt;"),LOOKUP(2,1/((tbl_Finance[Job Number]=C267&amp;"")*(tbl_Finance[Xero Invoice No]&lt;&gt;"")),tbl_Finance[Xero Invoice No]),LOOKUP(2,1/((tbl_Finance[Job Number]=C267&amp;"")*(tbl_Finance[Xero Invoice No]&lt;&gt;"")),tbl_Finance[Xero Invoice No])&amp;" +more"),"")))</f>
        <v/>
      </c>
      <c r="C267" s="24" t="n"/>
      <c r="D267" s="25">
        <f>IF(C267="","",IF(COUNTIF(lst_Jobs,C267&amp;"")&gt;0,"OK","CHECK"))</f>
        <v/>
      </c>
      <c r="E267" s="25">
        <f>IF(C267="","",IFERROR(INDEX(lst_JobName,MATCH(C267&amp;"",lst_Jobs,0)),""))</f>
        <v/>
      </c>
      <c r="F267" s="25">
        <f>IF(C267="","",IFERROR(INDEX(tbl_Finance[Client],MATCH(C267&amp;"",tbl_Finance[Job Number],0)),""))</f>
        <v/>
      </c>
      <c r="G267" s="28">
        <f>IF(C267="","",COUNTIFS(tbl_Finance[Job Number],C267&amp;"",tbl_Finance[Ex GST],"&lt;&gt;"))</f>
        <v/>
      </c>
      <c r="H267" s="27">
        <f>IF(C267="","",SUMIFS(tbl_Finance[Ex GST],tbl_Finance[Job Number],C267&amp;""))</f>
        <v/>
      </c>
      <c r="I267" s="27">
        <f>IF(C267="","",SUMIFS(tbl_Finance[Ex GST],tbl_Finance[Job Number],C267&amp;"",tbl_Finance[Xero Invoice No],"&lt;&gt;"))</f>
        <v/>
      </c>
      <c r="J267" s="27">
        <f>IF(C267="","",H267-I267)</f>
        <v/>
      </c>
      <c r="K267" s="25">
        <f>IF(C267="","",IF(G267=0,"not invoiced yet",SUBSTITUTE(TRIM(IF(COUNTIFS(tbl_Finance[Job Number],C267&amp;"",tbl_Finance[Cost Centre],"ONSITE")&gt;0,"ONSITE ","")&amp;IF(COUNTIFS(tbl_Finance[Job Number],C267&amp;"",tbl_Finance[Cost Centre],"PRODUCTION")&gt;0,"PRODUCTION ","")&amp;IF(COUNTIFS(tbl_Finance[Job Number],C267&amp;"",tbl_Finance[Cost Centre],"VIDEO")&gt;0,"VIDEO ","")&amp;IF(COUNTIFS(tbl_Finance[Job Number],C267&amp;"",tbl_Finance[Cost Centre],"INTEGRATION")&gt;0,"INTEGRATION ","")&amp;IF(COUNTIFS(tbl_Finance[Job Number],C267&amp;"",tbl_Finance[Cost Centre],"CONSULTING")&gt;0,"CONSULTING ","")&amp;IF(COUNTIFS(tbl_Finance[Job Number],C267&amp;"",tbl_Finance[Cost Centre],"CTS")&gt;0,"CTS ",""))," ",", ")))</f>
        <v/>
      </c>
      <c r="L267" s="24" t="n"/>
      <c r="M267" s="24" t="n"/>
      <c r="N267" s="25">
        <f>IF(M267="","",HYPERLINK(IF(LEFT(M267,4)="http",M267,set_QwilrBase&amp;M267),"Open quote"))</f>
        <v/>
      </c>
      <c r="O267" s="64" t="n"/>
      <c r="P267" s="24" t="n"/>
      <c r="Q267" s="24" t="n"/>
    </row>
    <row r="268" ht="15" customHeight="1">
      <c r="A268" s="63">
        <f>IF(C268="","",IFERROR(IF(SUMPRODUCT(MAX((tbl_Finance[Job Number]=C268&amp;"")*(tbl_Finance[Xero Invoice No]&lt;&gt;"")*tbl_Finance[Date]))=0,"",SUMPRODUCT(MAX((tbl_Finance[Job Number]=C268&amp;"")*(tbl_Finance[Xero Invoice No]&lt;&gt;"")*tbl_Finance[Date]))),""))</f>
        <v/>
      </c>
      <c r="B268" s="25">
        <f>IF(C268="","",IF(COUNTIFS(tbl_Finance[Job Number],C268&amp;"",tbl_Finance[Xero Invoice No],"&lt;&gt;")=0,"",IFERROR(IF(COUNTIFS(tbl_Finance[Job Number],C268&amp;"",tbl_Finance[Xero Invoice No],LOOKUP(2,1/((tbl_Finance[Job Number]=C268&amp;"")*(tbl_Finance[Xero Invoice No]&lt;&gt;"")),tbl_Finance[Xero Invoice No]))=COUNTIFS(tbl_Finance[Job Number],C268&amp;"",tbl_Finance[Xero Invoice No],"&lt;&gt;"),LOOKUP(2,1/((tbl_Finance[Job Number]=C268&amp;"")*(tbl_Finance[Xero Invoice No]&lt;&gt;"")),tbl_Finance[Xero Invoice No]),LOOKUP(2,1/((tbl_Finance[Job Number]=C268&amp;"")*(tbl_Finance[Xero Invoice No]&lt;&gt;"")),tbl_Finance[Xero Invoice No])&amp;" +more"),"")))</f>
        <v/>
      </c>
      <c r="C268" s="24" t="n"/>
      <c r="D268" s="25">
        <f>IF(C268="","",IF(COUNTIF(lst_Jobs,C268&amp;"")&gt;0,"OK","CHECK"))</f>
        <v/>
      </c>
      <c r="E268" s="25">
        <f>IF(C268="","",IFERROR(INDEX(lst_JobName,MATCH(C268&amp;"",lst_Jobs,0)),""))</f>
        <v/>
      </c>
      <c r="F268" s="25">
        <f>IF(C268="","",IFERROR(INDEX(tbl_Finance[Client],MATCH(C268&amp;"",tbl_Finance[Job Number],0)),""))</f>
        <v/>
      </c>
      <c r="G268" s="28">
        <f>IF(C268="","",COUNTIFS(tbl_Finance[Job Number],C268&amp;"",tbl_Finance[Ex GST],"&lt;&gt;"))</f>
        <v/>
      </c>
      <c r="H268" s="27">
        <f>IF(C268="","",SUMIFS(tbl_Finance[Ex GST],tbl_Finance[Job Number],C268&amp;""))</f>
        <v/>
      </c>
      <c r="I268" s="27">
        <f>IF(C268="","",SUMIFS(tbl_Finance[Ex GST],tbl_Finance[Job Number],C268&amp;"",tbl_Finance[Xero Invoice No],"&lt;&gt;"))</f>
        <v/>
      </c>
      <c r="J268" s="27">
        <f>IF(C268="","",H268-I268)</f>
        <v/>
      </c>
      <c r="K268" s="25">
        <f>IF(C268="","",IF(G268=0,"not invoiced yet",SUBSTITUTE(TRIM(IF(COUNTIFS(tbl_Finance[Job Number],C268&amp;"",tbl_Finance[Cost Centre],"ONSITE")&gt;0,"ONSITE ","")&amp;IF(COUNTIFS(tbl_Finance[Job Number],C268&amp;"",tbl_Finance[Cost Centre],"PRODUCTION")&gt;0,"PRODUCTION ","")&amp;IF(COUNTIFS(tbl_Finance[Job Number],C268&amp;"",tbl_Finance[Cost Centre],"VIDEO")&gt;0,"VIDEO ","")&amp;IF(COUNTIFS(tbl_Finance[Job Number],C268&amp;"",tbl_Finance[Cost Centre],"INTEGRATION")&gt;0,"INTEGRATION ","")&amp;IF(COUNTIFS(tbl_Finance[Job Number],C268&amp;"",tbl_Finance[Cost Centre],"CONSULTING")&gt;0,"CONSULTING ","")&amp;IF(COUNTIFS(tbl_Finance[Job Number],C268&amp;"",tbl_Finance[Cost Centre],"CTS")&gt;0,"CTS ",""))," ",", ")))</f>
        <v/>
      </c>
      <c r="L268" s="24" t="n"/>
      <c r="M268" s="24" t="n"/>
      <c r="N268" s="25">
        <f>IF(M268="","",HYPERLINK(IF(LEFT(M268,4)="http",M268,set_QwilrBase&amp;M268),"Open quote"))</f>
        <v/>
      </c>
      <c r="O268" s="64" t="n"/>
      <c r="P268" s="24" t="n"/>
      <c r="Q268" s="24" t="n"/>
    </row>
    <row r="269" ht="15" customHeight="1">
      <c r="A269" s="63">
        <f>IF(C269="","",IFERROR(IF(SUMPRODUCT(MAX((tbl_Finance[Job Number]=C269&amp;"")*(tbl_Finance[Xero Invoice No]&lt;&gt;"")*tbl_Finance[Date]))=0,"",SUMPRODUCT(MAX((tbl_Finance[Job Number]=C269&amp;"")*(tbl_Finance[Xero Invoice No]&lt;&gt;"")*tbl_Finance[Date]))),""))</f>
        <v/>
      </c>
      <c r="B269" s="25">
        <f>IF(C269="","",IF(COUNTIFS(tbl_Finance[Job Number],C269&amp;"",tbl_Finance[Xero Invoice No],"&lt;&gt;")=0,"",IFERROR(IF(COUNTIFS(tbl_Finance[Job Number],C269&amp;"",tbl_Finance[Xero Invoice No],LOOKUP(2,1/((tbl_Finance[Job Number]=C269&amp;"")*(tbl_Finance[Xero Invoice No]&lt;&gt;"")),tbl_Finance[Xero Invoice No]))=COUNTIFS(tbl_Finance[Job Number],C269&amp;"",tbl_Finance[Xero Invoice No],"&lt;&gt;"),LOOKUP(2,1/((tbl_Finance[Job Number]=C269&amp;"")*(tbl_Finance[Xero Invoice No]&lt;&gt;"")),tbl_Finance[Xero Invoice No]),LOOKUP(2,1/((tbl_Finance[Job Number]=C269&amp;"")*(tbl_Finance[Xero Invoice No]&lt;&gt;"")),tbl_Finance[Xero Invoice No])&amp;" +more"),"")))</f>
        <v/>
      </c>
      <c r="C269" s="24" t="n"/>
      <c r="D269" s="25">
        <f>IF(C269="","",IF(COUNTIF(lst_Jobs,C269&amp;"")&gt;0,"OK","CHECK"))</f>
        <v/>
      </c>
      <c r="E269" s="25">
        <f>IF(C269="","",IFERROR(INDEX(lst_JobName,MATCH(C269&amp;"",lst_Jobs,0)),""))</f>
        <v/>
      </c>
      <c r="F269" s="25">
        <f>IF(C269="","",IFERROR(INDEX(tbl_Finance[Client],MATCH(C269&amp;"",tbl_Finance[Job Number],0)),""))</f>
        <v/>
      </c>
      <c r="G269" s="28">
        <f>IF(C269="","",COUNTIFS(tbl_Finance[Job Number],C269&amp;"",tbl_Finance[Ex GST],"&lt;&gt;"))</f>
        <v/>
      </c>
      <c r="H269" s="27">
        <f>IF(C269="","",SUMIFS(tbl_Finance[Ex GST],tbl_Finance[Job Number],C269&amp;""))</f>
        <v/>
      </c>
      <c r="I269" s="27">
        <f>IF(C269="","",SUMIFS(tbl_Finance[Ex GST],tbl_Finance[Job Number],C269&amp;"",tbl_Finance[Xero Invoice No],"&lt;&gt;"))</f>
        <v/>
      </c>
      <c r="J269" s="27">
        <f>IF(C269="","",H269-I269)</f>
        <v/>
      </c>
      <c r="K269" s="25">
        <f>IF(C269="","",IF(G269=0,"not invoiced yet",SUBSTITUTE(TRIM(IF(COUNTIFS(tbl_Finance[Job Number],C269&amp;"",tbl_Finance[Cost Centre],"ONSITE")&gt;0,"ONSITE ","")&amp;IF(COUNTIFS(tbl_Finance[Job Number],C269&amp;"",tbl_Finance[Cost Centre],"PRODUCTION")&gt;0,"PRODUCTION ","")&amp;IF(COUNTIFS(tbl_Finance[Job Number],C269&amp;"",tbl_Finance[Cost Centre],"VIDEO")&gt;0,"VIDEO ","")&amp;IF(COUNTIFS(tbl_Finance[Job Number],C269&amp;"",tbl_Finance[Cost Centre],"INTEGRATION")&gt;0,"INTEGRATION ","")&amp;IF(COUNTIFS(tbl_Finance[Job Number],C269&amp;"",tbl_Finance[Cost Centre],"CONSULTING")&gt;0,"CONSULTING ","")&amp;IF(COUNTIFS(tbl_Finance[Job Number],C269&amp;"",tbl_Finance[Cost Centre],"CTS")&gt;0,"CTS ",""))," ",", ")))</f>
        <v/>
      </c>
      <c r="L269" s="24" t="n"/>
      <c r="M269" s="24" t="n"/>
      <c r="N269" s="25">
        <f>IF(M269="","",HYPERLINK(IF(LEFT(M269,4)="http",M269,set_QwilrBase&amp;M269),"Open quote"))</f>
        <v/>
      </c>
      <c r="O269" s="64" t="n"/>
      <c r="P269" s="24" t="n"/>
      <c r="Q269" s="24" t="n"/>
    </row>
    <row r="270" ht="15" customHeight="1">
      <c r="A270" s="63">
        <f>IF(C270="","",IFERROR(IF(SUMPRODUCT(MAX((tbl_Finance[Job Number]=C270&amp;"")*(tbl_Finance[Xero Invoice No]&lt;&gt;"")*tbl_Finance[Date]))=0,"",SUMPRODUCT(MAX((tbl_Finance[Job Number]=C270&amp;"")*(tbl_Finance[Xero Invoice No]&lt;&gt;"")*tbl_Finance[Date]))),""))</f>
        <v/>
      </c>
      <c r="B270" s="25">
        <f>IF(C270="","",IF(COUNTIFS(tbl_Finance[Job Number],C270&amp;"",tbl_Finance[Xero Invoice No],"&lt;&gt;")=0,"",IFERROR(IF(COUNTIFS(tbl_Finance[Job Number],C270&amp;"",tbl_Finance[Xero Invoice No],LOOKUP(2,1/((tbl_Finance[Job Number]=C270&amp;"")*(tbl_Finance[Xero Invoice No]&lt;&gt;"")),tbl_Finance[Xero Invoice No]))=COUNTIFS(tbl_Finance[Job Number],C270&amp;"",tbl_Finance[Xero Invoice No],"&lt;&gt;"),LOOKUP(2,1/((tbl_Finance[Job Number]=C270&amp;"")*(tbl_Finance[Xero Invoice No]&lt;&gt;"")),tbl_Finance[Xero Invoice No]),LOOKUP(2,1/((tbl_Finance[Job Number]=C270&amp;"")*(tbl_Finance[Xero Invoice No]&lt;&gt;"")),tbl_Finance[Xero Invoice No])&amp;" +more"),"")))</f>
        <v/>
      </c>
      <c r="C270" s="24" t="n"/>
      <c r="D270" s="25">
        <f>IF(C270="","",IF(COUNTIF(lst_Jobs,C270&amp;"")&gt;0,"OK","CHECK"))</f>
        <v/>
      </c>
      <c r="E270" s="25">
        <f>IF(C270="","",IFERROR(INDEX(lst_JobName,MATCH(C270&amp;"",lst_Jobs,0)),""))</f>
        <v/>
      </c>
      <c r="F270" s="25">
        <f>IF(C270="","",IFERROR(INDEX(tbl_Finance[Client],MATCH(C270&amp;"",tbl_Finance[Job Number],0)),""))</f>
        <v/>
      </c>
      <c r="G270" s="28">
        <f>IF(C270="","",COUNTIFS(tbl_Finance[Job Number],C270&amp;"",tbl_Finance[Ex GST],"&lt;&gt;"))</f>
        <v/>
      </c>
      <c r="H270" s="27">
        <f>IF(C270="","",SUMIFS(tbl_Finance[Ex GST],tbl_Finance[Job Number],C270&amp;""))</f>
        <v/>
      </c>
      <c r="I270" s="27">
        <f>IF(C270="","",SUMIFS(tbl_Finance[Ex GST],tbl_Finance[Job Number],C270&amp;"",tbl_Finance[Xero Invoice No],"&lt;&gt;"))</f>
        <v/>
      </c>
      <c r="J270" s="27">
        <f>IF(C270="","",H270-I270)</f>
        <v/>
      </c>
      <c r="K270" s="25">
        <f>IF(C270="","",IF(G270=0,"not invoiced yet",SUBSTITUTE(TRIM(IF(COUNTIFS(tbl_Finance[Job Number],C270&amp;"",tbl_Finance[Cost Centre],"ONSITE")&gt;0,"ONSITE ","")&amp;IF(COUNTIFS(tbl_Finance[Job Number],C270&amp;"",tbl_Finance[Cost Centre],"PRODUCTION")&gt;0,"PRODUCTION ","")&amp;IF(COUNTIFS(tbl_Finance[Job Number],C270&amp;"",tbl_Finance[Cost Centre],"VIDEO")&gt;0,"VIDEO ","")&amp;IF(COUNTIFS(tbl_Finance[Job Number],C270&amp;"",tbl_Finance[Cost Centre],"INTEGRATION")&gt;0,"INTEGRATION ","")&amp;IF(COUNTIFS(tbl_Finance[Job Number],C270&amp;"",tbl_Finance[Cost Centre],"CONSULTING")&gt;0,"CONSULTING ","")&amp;IF(COUNTIFS(tbl_Finance[Job Number],C270&amp;"",tbl_Finance[Cost Centre],"CTS")&gt;0,"CTS ",""))," ",", ")))</f>
        <v/>
      </c>
      <c r="L270" s="24" t="n"/>
      <c r="M270" s="24" t="n"/>
      <c r="N270" s="25">
        <f>IF(M270="","",HYPERLINK(IF(LEFT(M270,4)="http",M270,set_QwilrBase&amp;M270),"Open quote"))</f>
        <v/>
      </c>
      <c r="O270" s="64" t="n"/>
      <c r="P270" s="24" t="n"/>
      <c r="Q270" s="24" t="n"/>
    </row>
    <row r="271" ht="15" customHeight="1">
      <c r="A271" s="63">
        <f>IF(C271="","",IFERROR(IF(SUMPRODUCT(MAX((tbl_Finance[Job Number]=C271&amp;"")*(tbl_Finance[Xero Invoice No]&lt;&gt;"")*tbl_Finance[Date]))=0,"",SUMPRODUCT(MAX((tbl_Finance[Job Number]=C271&amp;"")*(tbl_Finance[Xero Invoice No]&lt;&gt;"")*tbl_Finance[Date]))),""))</f>
        <v/>
      </c>
      <c r="B271" s="25">
        <f>IF(C271="","",IF(COUNTIFS(tbl_Finance[Job Number],C271&amp;"",tbl_Finance[Xero Invoice No],"&lt;&gt;")=0,"",IFERROR(IF(COUNTIFS(tbl_Finance[Job Number],C271&amp;"",tbl_Finance[Xero Invoice No],LOOKUP(2,1/((tbl_Finance[Job Number]=C271&amp;"")*(tbl_Finance[Xero Invoice No]&lt;&gt;"")),tbl_Finance[Xero Invoice No]))=COUNTIFS(tbl_Finance[Job Number],C271&amp;"",tbl_Finance[Xero Invoice No],"&lt;&gt;"),LOOKUP(2,1/((tbl_Finance[Job Number]=C271&amp;"")*(tbl_Finance[Xero Invoice No]&lt;&gt;"")),tbl_Finance[Xero Invoice No]),LOOKUP(2,1/((tbl_Finance[Job Number]=C271&amp;"")*(tbl_Finance[Xero Invoice No]&lt;&gt;"")),tbl_Finance[Xero Invoice No])&amp;" +more"),"")))</f>
        <v/>
      </c>
      <c r="C271" s="24" t="n"/>
      <c r="D271" s="25">
        <f>IF(C271="","",IF(COUNTIF(lst_Jobs,C271&amp;"")&gt;0,"OK","CHECK"))</f>
        <v/>
      </c>
      <c r="E271" s="25">
        <f>IF(C271="","",IFERROR(INDEX(lst_JobName,MATCH(C271&amp;"",lst_Jobs,0)),""))</f>
        <v/>
      </c>
      <c r="F271" s="25">
        <f>IF(C271="","",IFERROR(INDEX(tbl_Finance[Client],MATCH(C271&amp;"",tbl_Finance[Job Number],0)),""))</f>
        <v/>
      </c>
      <c r="G271" s="28">
        <f>IF(C271="","",COUNTIFS(tbl_Finance[Job Number],C271&amp;"",tbl_Finance[Ex GST],"&lt;&gt;"))</f>
        <v/>
      </c>
      <c r="H271" s="27">
        <f>IF(C271="","",SUMIFS(tbl_Finance[Ex GST],tbl_Finance[Job Number],C271&amp;""))</f>
        <v/>
      </c>
      <c r="I271" s="27">
        <f>IF(C271="","",SUMIFS(tbl_Finance[Ex GST],tbl_Finance[Job Number],C271&amp;"",tbl_Finance[Xero Invoice No],"&lt;&gt;"))</f>
        <v/>
      </c>
      <c r="J271" s="27">
        <f>IF(C271="","",H271-I271)</f>
        <v/>
      </c>
      <c r="K271" s="25">
        <f>IF(C271="","",IF(G271=0,"not invoiced yet",SUBSTITUTE(TRIM(IF(COUNTIFS(tbl_Finance[Job Number],C271&amp;"",tbl_Finance[Cost Centre],"ONSITE")&gt;0,"ONSITE ","")&amp;IF(COUNTIFS(tbl_Finance[Job Number],C271&amp;"",tbl_Finance[Cost Centre],"PRODUCTION")&gt;0,"PRODUCTION ","")&amp;IF(COUNTIFS(tbl_Finance[Job Number],C271&amp;"",tbl_Finance[Cost Centre],"VIDEO")&gt;0,"VIDEO ","")&amp;IF(COUNTIFS(tbl_Finance[Job Number],C271&amp;"",tbl_Finance[Cost Centre],"INTEGRATION")&gt;0,"INTEGRATION ","")&amp;IF(COUNTIFS(tbl_Finance[Job Number],C271&amp;"",tbl_Finance[Cost Centre],"CONSULTING")&gt;0,"CONSULTING ","")&amp;IF(COUNTIFS(tbl_Finance[Job Number],C271&amp;"",tbl_Finance[Cost Centre],"CTS")&gt;0,"CTS ",""))," ",", ")))</f>
        <v/>
      </c>
      <c r="L271" s="24" t="n"/>
      <c r="M271" s="24" t="n"/>
      <c r="N271" s="25">
        <f>IF(M271="","",HYPERLINK(IF(LEFT(M271,4)="http",M271,set_QwilrBase&amp;M271),"Open quote"))</f>
        <v/>
      </c>
      <c r="O271" s="64" t="n"/>
      <c r="P271" s="24" t="n"/>
      <c r="Q271" s="24" t="n"/>
    </row>
    <row r="272" ht="15" customHeight="1">
      <c r="A272" s="63">
        <f>IF(C272="","",IFERROR(IF(SUMPRODUCT(MAX((tbl_Finance[Job Number]=C272&amp;"")*(tbl_Finance[Xero Invoice No]&lt;&gt;"")*tbl_Finance[Date]))=0,"",SUMPRODUCT(MAX((tbl_Finance[Job Number]=C272&amp;"")*(tbl_Finance[Xero Invoice No]&lt;&gt;"")*tbl_Finance[Date]))),""))</f>
        <v/>
      </c>
      <c r="B272" s="25">
        <f>IF(C272="","",IF(COUNTIFS(tbl_Finance[Job Number],C272&amp;"",tbl_Finance[Xero Invoice No],"&lt;&gt;")=0,"",IFERROR(IF(COUNTIFS(tbl_Finance[Job Number],C272&amp;"",tbl_Finance[Xero Invoice No],LOOKUP(2,1/((tbl_Finance[Job Number]=C272&amp;"")*(tbl_Finance[Xero Invoice No]&lt;&gt;"")),tbl_Finance[Xero Invoice No]))=COUNTIFS(tbl_Finance[Job Number],C272&amp;"",tbl_Finance[Xero Invoice No],"&lt;&gt;"),LOOKUP(2,1/((tbl_Finance[Job Number]=C272&amp;"")*(tbl_Finance[Xero Invoice No]&lt;&gt;"")),tbl_Finance[Xero Invoice No]),LOOKUP(2,1/((tbl_Finance[Job Number]=C272&amp;"")*(tbl_Finance[Xero Invoice No]&lt;&gt;"")),tbl_Finance[Xero Invoice No])&amp;" +more"),"")))</f>
        <v/>
      </c>
      <c r="C272" s="24" t="n"/>
      <c r="D272" s="25">
        <f>IF(C272="","",IF(COUNTIF(lst_Jobs,C272&amp;"")&gt;0,"OK","CHECK"))</f>
        <v/>
      </c>
      <c r="E272" s="25">
        <f>IF(C272="","",IFERROR(INDEX(lst_JobName,MATCH(C272&amp;"",lst_Jobs,0)),""))</f>
        <v/>
      </c>
      <c r="F272" s="25">
        <f>IF(C272="","",IFERROR(INDEX(tbl_Finance[Client],MATCH(C272&amp;"",tbl_Finance[Job Number],0)),""))</f>
        <v/>
      </c>
      <c r="G272" s="28">
        <f>IF(C272="","",COUNTIFS(tbl_Finance[Job Number],C272&amp;"",tbl_Finance[Ex GST],"&lt;&gt;"))</f>
        <v/>
      </c>
      <c r="H272" s="27">
        <f>IF(C272="","",SUMIFS(tbl_Finance[Ex GST],tbl_Finance[Job Number],C272&amp;""))</f>
        <v/>
      </c>
      <c r="I272" s="27">
        <f>IF(C272="","",SUMIFS(tbl_Finance[Ex GST],tbl_Finance[Job Number],C272&amp;"",tbl_Finance[Xero Invoice No],"&lt;&gt;"))</f>
        <v/>
      </c>
      <c r="J272" s="27">
        <f>IF(C272="","",H272-I272)</f>
        <v/>
      </c>
      <c r="K272" s="25">
        <f>IF(C272="","",IF(G272=0,"not invoiced yet",SUBSTITUTE(TRIM(IF(COUNTIFS(tbl_Finance[Job Number],C272&amp;"",tbl_Finance[Cost Centre],"ONSITE")&gt;0,"ONSITE ","")&amp;IF(COUNTIFS(tbl_Finance[Job Number],C272&amp;"",tbl_Finance[Cost Centre],"PRODUCTION")&gt;0,"PRODUCTION ","")&amp;IF(COUNTIFS(tbl_Finance[Job Number],C272&amp;"",tbl_Finance[Cost Centre],"VIDEO")&gt;0,"VIDEO ","")&amp;IF(COUNTIFS(tbl_Finance[Job Number],C272&amp;"",tbl_Finance[Cost Centre],"INTEGRATION")&gt;0,"INTEGRATION ","")&amp;IF(COUNTIFS(tbl_Finance[Job Number],C272&amp;"",tbl_Finance[Cost Centre],"CONSULTING")&gt;0,"CONSULTING ","")&amp;IF(COUNTIFS(tbl_Finance[Job Number],C272&amp;"",tbl_Finance[Cost Centre],"CTS")&gt;0,"CTS ",""))," ",", ")))</f>
        <v/>
      </c>
      <c r="L272" s="24" t="n"/>
      <c r="M272" s="24" t="n"/>
      <c r="N272" s="25">
        <f>IF(M272="","",HYPERLINK(IF(LEFT(M272,4)="http",M272,set_QwilrBase&amp;M272),"Open quote"))</f>
        <v/>
      </c>
      <c r="O272" s="64" t="n"/>
      <c r="P272" s="24" t="n"/>
      <c r="Q272" s="24" t="n"/>
    </row>
    <row r="273" ht="15" customHeight="1">
      <c r="A273" s="63">
        <f>IF(C273="","",IFERROR(IF(SUMPRODUCT(MAX((tbl_Finance[Job Number]=C273&amp;"")*(tbl_Finance[Xero Invoice No]&lt;&gt;"")*tbl_Finance[Date]))=0,"",SUMPRODUCT(MAX((tbl_Finance[Job Number]=C273&amp;"")*(tbl_Finance[Xero Invoice No]&lt;&gt;"")*tbl_Finance[Date]))),""))</f>
        <v/>
      </c>
      <c r="B273" s="25">
        <f>IF(C273="","",IF(COUNTIFS(tbl_Finance[Job Number],C273&amp;"",tbl_Finance[Xero Invoice No],"&lt;&gt;")=0,"",IFERROR(IF(COUNTIFS(tbl_Finance[Job Number],C273&amp;"",tbl_Finance[Xero Invoice No],LOOKUP(2,1/((tbl_Finance[Job Number]=C273&amp;"")*(tbl_Finance[Xero Invoice No]&lt;&gt;"")),tbl_Finance[Xero Invoice No]))=COUNTIFS(tbl_Finance[Job Number],C273&amp;"",tbl_Finance[Xero Invoice No],"&lt;&gt;"),LOOKUP(2,1/((tbl_Finance[Job Number]=C273&amp;"")*(tbl_Finance[Xero Invoice No]&lt;&gt;"")),tbl_Finance[Xero Invoice No]),LOOKUP(2,1/((tbl_Finance[Job Number]=C273&amp;"")*(tbl_Finance[Xero Invoice No]&lt;&gt;"")),tbl_Finance[Xero Invoice No])&amp;" +more"),"")))</f>
        <v/>
      </c>
      <c r="C273" s="24" t="n"/>
      <c r="D273" s="25">
        <f>IF(C273="","",IF(COUNTIF(lst_Jobs,C273&amp;"")&gt;0,"OK","CHECK"))</f>
        <v/>
      </c>
      <c r="E273" s="25">
        <f>IF(C273="","",IFERROR(INDEX(lst_JobName,MATCH(C273&amp;"",lst_Jobs,0)),""))</f>
        <v/>
      </c>
      <c r="F273" s="25">
        <f>IF(C273="","",IFERROR(INDEX(tbl_Finance[Client],MATCH(C273&amp;"",tbl_Finance[Job Number],0)),""))</f>
        <v/>
      </c>
      <c r="G273" s="28">
        <f>IF(C273="","",COUNTIFS(tbl_Finance[Job Number],C273&amp;"",tbl_Finance[Ex GST],"&lt;&gt;"))</f>
        <v/>
      </c>
      <c r="H273" s="27">
        <f>IF(C273="","",SUMIFS(tbl_Finance[Ex GST],tbl_Finance[Job Number],C273&amp;""))</f>
        <v/>
      </c>
      <c r="I273" s="27">
        <f>IF(C273="","",SUMIFS(tbl_Finance[Ex GST],tbl_Finance[Job Number],C273&amp;"",tbl_Finance[Xero Invoice No],"&lt;&gt;"))</f>
        <v/>
      </c>
      <c r="J273" s="27">
        <f>IF(C273="","",H273-I273)</f>
        <v/>
      </c>
      <c r="K273" s="25">
        <f>IF(C273="","",IF(G273=0,"not invoiced yet",SUBSTITUTE(TRIM(IF(COUNTIFS(tbl_Finance[Job Number],C273&amp;"",tbl_Finance[Cost Centre],"ONSITE")&gt;0,"ONSITE ","")&amp;IF(COUNTIFS(tbl_Finance[Job Number],C273&amp;"",tbl_Finance[Cost Centre],"PRODUCTION")&gt;0,"PRODUCTION ","")&amp;IF(COUNTIFS(tbl_Finance[Job Number],C273&amp;"",tbl_Finance[Cost Centre],"VIDEO")&gt;0,"VIDEO ","")&amp;IF(COUNTIFS(tbl_Finance[Job Number],C273&amp;"",tbl_Finance[Cost Centre],"INTEGRATION")&gt;0,"INTEGRATION ","")&amp;IF(COUNTIFS(tbl_Finance[Job Number],C273&amp;"",tbl_Finance[Cost Centre],"CONSULTING")&gt;0,"CONSULTING ","")&amp;IF(COUNTIFS(tbl_Finance[Job Number],C273&amp;"",tbl_Finance[Cost Centre],"CTS")&gt;0,"CTS ",""))," ",", ")))</f>
        <v/>
      </c>
      <c r="L273" s="24" t="n"/>
      <c r="M273" s="24" t="n"/>
      <c r="N273" s="25">
        <f>IF(M273="","",HYPERLINK(IF(LEFT(M273,4)="http",M273,set_QwilrBase&amp;M273),"Open quote"))</f>
        <v/>
      </c>
      <c r="O273" s="64" t="n"/>
      <c r="P273" s="24" t="n"/>
      <c r="Q273" s="24" t="n"/>
    </row>
    <row r="274" ht="15" customHeight="1">
      <c r="A274" s="63">
        <f>IF(C274="","",IFERROR(IF(SUMPRODUCT(MAX((tbl_Finance[Job Number]=C274&amp;"")*(tbl_Finance[Xero Invoice No]&lt;&gt;"")*tbl_Finance[Date]))=0,"",SUMPRODUCT(MAX((tbl_Finance[Job Number]=C274&amp;"")*(tbl_Finance[Xero Invoice No]&lt;&gt;"")*tbl_Finance[Date]))),""))</f>
        <v/>
      </c>
      <c r="B274" s="25">
        <f>IF(C274="","",IF(COUNTIFS(tbl_Finance[Job Number],C274&amp;"",tbl_Finance[Xero Invoice No],"&lt;&gt;")=0,"",IFERROR(IF(COUNTIFS(tbl_Finance[Job Number],C274&amp;"",tbl_Finance[Xero Invoice No],LOOKUP(2,1/((tbl_Finance[Job Number]=C274&amp;"")*(tbl_Finance[Xero Invoice No]&lt;&gt;"")),tbl_Finance[Xero Invoice No]))=COUNTIFS(tbl_Finance[Job Number],C274&amp;"",tbl_Finance[Xero Invoice No],"&lt;&gt;"),LOOKUP(2,1/((tbl_Finance[Job Number]=C274&amp;"")*(tbl_Finance[Xero Invoice No]&lt;&gt;"")),tbl_Finance[Xero Invoice No]),LOOKUP(2,1/((tbl_Finance[Job Number]=C274&amp;"")*(tbl_Finance[Xero Invoice No]&lt;&gt;"")),tbl_Finance[Xero Invoice No])&amp;" +more"),"")))</f>
        <v/>
      </c>
      <c r="C274" s="24" t="n"/>
      <c r="D274" s="25">
        <f>IF(C274="","",IF(COUNTIF(lst_Jobs,C274&amp;"")&gt;0,"OK","CHECK"))</f>
        <v/>
      </c>
      <c r="E274" s="25">
        <f>IF(C274="","",IFERROR(INDEX(lst_JobName,MATCH(C274&amp;"",lst_Jobs,0)),""))</f>
        <v/>
      </c>
      <c r="F274" s="25">
        <f>IF(C274="","",IFERROR(INDEX(tbl_Finance[Client],MATCH(C274&amp;"",tbl_Finance[Job Number],0)),""))</f>
        <v/>
      </c>
      <c r="G274" s="28">
        <f>IF(C274="","",COUNTIFS(tbl_Finance[Job Number],C274&amp;"",tbl_Finance[Ex GST],"&lt;&gt;"))</f>
        <v/>
      </c>
      <c r="H274" s="27">
        <f>IF(C274="","",SUMIFS(tbl_Finance[Ex GST],tbl_Finance[Job Number],C274&amp;""))</f>
        <v/>
      </c>
      <c r="I274" s="27">
        <f>IF(C274="","",SUMIFS(tbl_Finance[Ex GST],tbl_Finance[Job Number],C274&amp;"",tbl_Finance[Xero Invoice No],"&lt;&gt;"))</f>
        <v/>
      </c>
      <c r="J274" s="27">
        <f>IF(C274="","",H274-I274)</f>
        <v/>
      </c>
      <c r="K274" s="25">
        <f>IF(C274="","",IF(G274=0,"not invoiced yet",SUBSTITUTE(TRIM(IF(COUNTIFS(tbl_Finance[Job Number],C274&amp;"",tbl_Finance[Cost Centre],"ONSITE")&gt;0,"ONSITE ","")&amp;IF(COUNTIFS(tbl_Finance[Job Number],C274&amp;"",tbl_Finance[Cost Centre],"PRODUCTION")&gt;0,"PRODUCTION ","")&amp;IF(COUNTIFS(tbl_Finance[Job Number],C274&amp;"",tbl_Finance[Cost Centre],"VIDEO")&gt;0,"VIDEO ","")&amp;IF(COUNTIFS(tbl_Finance[Job Number],C274&amp;"",tbl_Finance[Cost Centre],"INTEGRATION")&gt;0,"INTEGRATION ","")&amp;IF(COUNTIFS(tbl_Finance[Job Number],C274&amp;"",tbl_Finance[Cost Centre],"CONSULTING")&gt;0,"CONSULTING ","")&amp;IF(COUNTIFS(tbl_Finance[Job Number],C274&amp;"",tbl_Finance[Cost Centre],"CTS")&gt;0,"CTS ",""))," ",", ")))</f>
        <v/>
      </c>
      <c r="L274" s="24" t="n"/>
      <c r="M274" s="24" t="n"/>
      <c r="N274" s="25">
        <f>IF(M274="","",HYPERLINK(IF(LEFT(M274,4)="http",M274,set_QwilrBase&amp;M274),"Open quote"))</f>
        <v/>
      </c>
      <c r="O274" s="64" t="n"/>
      <c r="P274" s="24" t="n"/>
      <c r="Q274" s="24" t="n"/>
    </row>
    <row r="275" ht="15" customHeight="1">
      <c r="A275" s="63">
        <f>IF(C275="","",IFERROR(IF(SUMPRODUCT(MAX((tbl_Finance[Job Number]=C275&amp;"")*(tbl_Finance[Xero Invoice No]&lt;&gt;"")*tbl_Finance[Date]))=0,"",SUMPRODUCT(MAX((tbl_Finance[Job Number]=C275&amp;"")*(tbl_Finance[Xero Invoice No]&lt;&gt;"")*tbl_Finance[Date]))),""))</f>
        <v/>
      </c>
      <c r="B275" s="25">
        <f>IF(C275="","",IF(COUNTIFS(tbl_Finance[Job Number],C275&amp;"",tbl_Finance[Xero Invoice No],"&lt;&gt;")=0,"",IFERROR(IF(COUNTIFS(tbl_Finance[Job Number],C275&amp;"",tbl_Finance[Xero Invoice No],LOOKUP(2,1/((tbl_Finance[Job Number]=C275&amp;"")*(tbl_Finance[Xero Invoice No]&lt;&gt;"")),tbl_Finance[Xero Invoice No]))=COUNTIFS(tbl_Finance[Job Number],C275&amp;"",tbl_Finance[Xero Invoice No],"&lt;&gt;"),LOOKUP(2,1/((tbl_Finance[Job Number]=C275&amp;"")*(tbl_Finance[Xero Invoice No]&lt;&gt;"")),tbl_Finance[Xero Invoice No]),LOOKUP(2,1/((tbl_Finance[Job Number]=C275&amp;"")*(tbl_Finance[Xero Invoice No]&lt;&gt;"")),tbl_Finance[Xero Invoice No])&amp;" +more"),"")))</f>
        <v/>
      </c>
      <c r="C275" s="24" t="n"/>
      <c r="D275" s="25">
        <f>IF(C275="","",IF(COUNTIF(lst_Jobs,C275&amp;"")&gt;0,"OK","CHECK"))</f>
        <v/>
      </c>
      <c r="E275" s="25">
        <f>IF(C275="","",IFERROR(INDEX(lst_JobName,MATCH(C275&amp;"",lst_Jobs,0)),""))</f>
        <v/>
      </c>
      <c r="F275" s="25">
        <f>IF(C275="","",IFERROR(INDEX(tbl_Finance[Client],MATCH(C275&amp;"",tbl_Finance[Job Number],0)),""))</f>
        <v/>
      </c>
      <c r="G275" s="28">
        <f>IF(C275="","",COUNTIFS(tbl_Finance[Job Number],C275&amp;"",tbl_Finance[Ex GST],"&lt;&gt;"))</f>
        <v/>
      </c>
      <c r="H275" s="27">
        <f>IF(C275="","",SUMIFS(tbl_Finance[Ex GST],tbl_Finance[Job Number],C275&amp;""))</f>
        <v/>
      </c>
      <c r="I275" s="27">
        <f>IF(C275="","",SUMIFS(tbl_Finance[Ex GST],tbl_Finance[Job Number],C275&amp;"",tbl_Finance[Xero Invoice No],"&lt;&gt;"))</f>
        <v/>
      </c>
      <c r="J275" s="27">
        <f>IF(C275="","",H275-I275)</f>
        <v/>
      </c>
      <c r="K275" s="25">
        <f>IF(C275="","",IF(G275=0,"not invoiced yet",SUBSTITUTE(TRIM(IF(COUNTIFS(tbl_Finance[Job Number],C275&amp;"",tbl_Finance[Cost Centre],"ONSITE")&gt;0,"ONSITE ","")&amp;IF(COUNTIFS(tbl_Finance[Job Number],C275&amp;"",tbl_Finance[Cost Centre],"PRODUCTION")&gt;0,"PRODUCTION ","")&amp;IF(COUNTIFS(tbl_Finance[Job Number],C275&amp;"",tbl_Finance[Cost Centre],"VIDEO")&gt;0,"VIDEO ","")&amp;IF(COUNTIFS(tbl_Finance[Job Number],C275&amp;"",tbl_Finance[Cost Centre],"INTEGRATION")&gt;0,"INTEGRATION ","")&amp;IF(COUNTIFS(tbl_Finance[Job Number],C275&amp;"",tbl_Finance[Cost Centre],"CONSULTING")&gt;0,"CONSULTING ","")&amp;IF(COUNTIFS(tbl_Finance[Job Number],C275&amp;"",tbl_Finance[Cost Centre],"CTS")&gt;0,"CTS ",""))," ",", ")))</f>
        <v/>
      </c>
      <c r="L275" s="24" t="n"/>
      <c r="M275" s="24" t="n"/>
      <c r="N275" s="25">
        <f>IF(M275="","",HYPERLINK(IF(LEFT(M275,4)="http",M275,set_QwilrBase&amp;M275),"Open quote"))</f>
        <v/>
      </c>
      <c r="O275" s="64" t="n"/>
      <c r="P275" s="24" t="n"/>
      <c r="Q275" s="24" t="n"/>
    </row>
    <row r="276" ht="15" customHeight="1">
      <c r="A276" s="63">
        <f>IF(C276="","",IFERROR(IF(SUMPRODUCT(MAX((tbl_Finance[Job Number]=C276&amp;"")*(tbl_Finance[Xero Invoice No]&lt;&gt;"")*tbl_Finance[Date]))=0,"",SUMPRODUCT(MAX((tbl_Finance[Job Number]=C276&amp;"")*(tbl_Finance[Xero Invoice No]&lt;&gt;"")*tbl_Finance[Date]))),""))</f>
        <v/>
      </c>
      <c r="B276" s="25">
        <f>IF(C276="","",IF(COUNTIFS(tbl_Finance[Job Number],C276&amp;"",tbl_Finance[Xero Invoice No],"&lt;&gt;")=0,"",IFERROR(IF(COUNTIFS(tbl_Finance[Job Number],C276&amp;"",tbl_Finance[Xero Invoice No],LOOKUP(2,1/((tbl_Finance[Job Number]=C276&amp;"")*(tbl_Finance[Xero Invoice No]&lt;&gt;"")),tbl_Finance[Xero Invoice No]))=COUNTIFS(tbl_Finance[Job Number],C276&amp;"",tbl_Finance[Xero Invoice No],"&lt;&gt;"),LOOKUP(2,1/((tbl_Finance[Job Number]=C276&amp;"")*(tbl_Finance[Xero Invoice No]&lt;&gt;"")),tbl_Finance[Xero Invoice No]),LOOKUP(2,1/((tbl_Finance[Job Number]=C276&amp;"")*(tbl_Finance[Xero Invoice No]&lt;&gt;"")),tbl_Finance[Xero Invoice No])&amp;" +more"),"")))</f>
        <v/>
      </c>
      <c r="C276" s="24" t="n"/>
      <c r="D276" s="25">
        <f>IF(C276="","",IF(COUNTIF(lst_Jobs,C276&amp;"")&gt;0,"OK","CHECK"))</f>
        <v/>
      </c>
      <c r="E276" s="25">
        <f>IF(C276="","",IFERROR(INDEX(lst_JobName,MATCH(C276&amp;"",lst_Jobs,0)),""))</f>
        <v/>
      </c>
      <c r="F276" s="25">
        <f>IF(C276="","",IFERROR(INDEX(tbl_Finance[Client],MATCH(C276&amp;"",tbl_Finance[Job Number],0)),""))</f>
        <v/>
      </c>
      <c r="G276" s="28">
        <f>IF(C276="","",COUNTIFS(tbl_Finance[Job Number],C276&amp;"",tbl_Finance[Ex GST],"&lt;&gt;"))</f>
        <v/>
      </c>
      <c r="H276" s="27">
        <f>IF(C276="","",SUMIFS(tbl_Finance[Ex GST],tbl_Finance[Job Number],C276&amp;""))</f>
        <v/>
      </c>
      <c r="I276" s="27">
        <f>IF(C276="","",SUMIFS(tbl_Finance[Ex GST],tbl_Finance[Job Number],C276&amp;"",tbl_Finance[Xero Invoice No],"&lt;&gt;"))</f>
        <v/>
      </c>
      <c r="J276" s="27">
        <f>IF(C276="","",H276-I276)</f>
        <v/>
      </c>
      <c r="K276" s="25">
        <f>IF(C276="","",IF(G276=0,"not invoiced yet",SUBSTITUTE(TRIM(IF(COUNTIFS(tbl_Finance[Job Number],C276&amp;"",tbl_Finance[Cost Centre],"ONSITE")&gt;0,"ONSITE ","")&amp;IF(COUNTIFS(tbl_Finance[Job Number],C276&amp;"",tbl_Finance[Cost Centre],"PRODUCTION")&gt;0,"PRODUCTION ","")&amp;IF(COUNTIFS(tbl_Finance[Job Number],C276&amp;"",tbl_Finance[Cost Centre],"VIDEO")&gt;0,"VIDEO ","")&amp;IF(COUNTIFS(tbl_Finance[Job Number],C276&amp;"",tbl_Finance[Cost Centre],"INTEGRATION")&gt;0,"INTEGRATION ","")&amp;IF(COUNTIFS(tbl_Finance[Job Number],C276&amp;"",tbl_Finance[Cost Centre],"CONSULTING")&gt;0,"CONSULTING ","")&amp;IF(COUNTIFS(tbl_Finance[Job Number],C276&amp;"",tbl_Finance[Cost Centre],"CTS")&gt;0,"CTS ",""))," ",", ")))</f>
        <v/>
      </c>
      <c r="L276" s="24" t="n"/>
      <c r="M276" s="24" t="n"/>
      <c r="N276" s="25">
        <f>IF(M276="","",HYPERLINK(IF(LEFT(M276,4)="http",M276,set_QwilrBase&amp;M276),"Open quote"))</f>
        <v/>
      </c>
      <c r="O276" s="64" t="n"/>
      <c r="P276" s="24" t="n"/>
      <c r="Q276" s="24" t="n"/>
    </row>
    <row r="277" ht="15" customHeight="1">
      <c r="A277" s="63">
        <f>IF(C277="","",IFERROR(IF(SUMPRODUCT(MAX((tbl_Finance[Job Number]=C277&amp;"")*(tbl_Finance[Xero Invoice No]&lt;&gt;"")*tbl_Finance[Date]))=0,"",SUMPRODUCT(MAX((tbl_Finance[Job Number]=C277&amp;"")*(tbl_Finance[Xero Invoice No]&lt;&gt;"")*tbl_Finance[Date]))),""))</f>
        <v/>
      </c>
      <c r="B277" s="25">
        <f>IF(C277="","",IF(COUNTIFS(tbl_Finance[Job Number],C277&amp;"",tbl_Finance[Xero Invoice No],"&lt;&gt;")=0,"",IFERROR(IF(COUNTIFS(tbl_Finance[Job Number],C277&amp;"",tbl_Finance[Xero Invoice No],LOOKUP(2,1/((tbl_Finance[Job Number]=C277&amp;"")*(tbl_Finance[Xero Invoice No]&lt;&gt;"")),tbl_Finance[Xero Invoice No]))=COUNTIFS(tbl_Finance[Job Number],C277&amp;"",tbl_Finance[Xero Invoice No],"&lt;&gt;"),LOOKUP(2,1/((tbl_Finance[Job Number]=C277&amp;"")*(tbl_Finance[Xero Invoice No]&lt;&gt;"")),tbl_Finance[Xero Invoice No]),LOOKUP(2,1/((tbl_Finance[Job Number]=C277&amp;"")*(tbl_Finance[Xero Invoice No]&lt;&gt;"")),tbl_Finance[Xero Invoice No])&amp;" +more"),"")))</f>
        <v/>
      </c>
      <c r="C277" s="24" t="n"/>
      <c r="D277" s="25">
        <f>IF(C277="","",IF(COUNTIF(lst_Jobs,C277&amp;"")&gt;0,"OK","CHECK"))</f>
        <v/>
      </c>
      <c r="E277" s="25">
        <f>IF(C277="","",IFERROR(INDEX(lst_JobName,MATCH(C277&amp;"",lst_Jobs,0)),""))</f>
        <v/>
      </c>
      <c r="F277" s="25">
        <f>IF(C277="","",IFERROR(INDEX(tbl_Finance[Client],MATCH(C277&amp;"",tbl_Finance[Job Number],0)),""))</f>
        <v/>
      </c>
      <c r="G277" s="28">
        <f>IF(C277="","",COUNTIFS(tbl_Finance[Job Number],C277&amp;"",tbl_Finance[Ex GST],"&lt;&gt;"))</f>
        <v/>
      </c>
      <c r="H277" s="27">
        <f>IF(C277="","",SUMIFS(tbl_Finance[Ex GST],tbl_Finance[Job Number],C277&amp;""))</f>
        <v/>
      </c>
      <c r="I277" s="27">
        <f>IF(C277="","",SUMIFS(tbl_Finance[Ex GST],tbl_Finance[Job Number],C277&amp;"",tbl_Finance[Xero Invoice No],"&lt;&gt;"))</f>
        <v/>
      </c>
      <c r="J277" s="27">
        <f>IF(C277="","",H277-I277)</f>
        <v/>
      </c>
      <c r="K277" s="25">
        <f>IF(C277="","",IF(G277=0,"not invoiced yet",SUBSTITUTE(TRIM(IF(COUNTIFS(tbl_Finance[Job Number],C277&amp;"",tbl_Finance[Cost Centre],"ONSITE")&gt;0,"ONSITE ","")&amp;IF(COUNTIFS(tbl_Finance[Job Number],C277&amp;"",tbl_Finance[Cost Centre],"PRODUCTION")&gt;0,"PRODUCTION ","")&amp;IF(COUNTIFS(tbl_Finance[Job Number],C277&amp;"",tbl_Finance[Cost Centre],"VIDEO")&gt;0,"VIDEO ","")&amp;IF(COUNTIFS(tbl_Finance[Job Number],C277&amp;"",tbl_Finance[Cost Centre],"INTEGRATION")&gt;0,"INTEGRATION ","")&amp;IF(COUNTIFS(tbl_Finance[Job Number],C277&amp;"",tbl_Finance[Cost Centre],"CONSULTING")&gt;0,"CONSULTING ","")&amp;IF(COUNTIFS(tbl_Finance[Job Number],C277&amp;"",tbl_Finance[Cost Centre],"CTS")&gt;0,"CTS ",""))," ",", ")))</f>
        <v/>
      </c>
      <c r="L277" s="24" t="n"/>
      <c r="M277" s="24" t="n"/>
      <c r="N277" s="25">
        <f>IF(M277="","",HYPERLINK(IF(LEFT(M277,4)="http",M277,set_QwilrBase&amp;M277),"Open quote"))</f>
        <v/>
      </c>
      <c r="O277" s="64" t="n"/>
      <c r="P277" s="24" t="n"/>
      <c r="Q277" s="24" t="n"/>
    </row>
    <row r="278" ht="15" customHeight="1">
      <c r="A278" s="63">
        <f>IF(C278="","",IFERROR(IF(SUMPRODUCT(MAX((tbl_Finance[Job Number]=C278&amp;"")*(tbl_Finance[Xero Invoice No]&lt;&gt;"")*tbl_Finance[Date]))=0,"",SUMPRODUCT(MAX((tbl_Finance[Job Number]=C278&amp;"")*(tbl_Finance[Xero Invoice No]&lt;&gt;"")*tbl_Finance[Date]))),""))</f>
        <v/>
      </c>
      <c r="B278" s="25">
        <f>IF(C278="","",IF(COUNTIFS(tbl_Finance[Job Number],C278&amp;"",tbl_Finance[Xero Invoice No],"&lt;&gt;")=0,"",IFERROR(IF(COUNTIFS(tbl_Finance[Job Number],C278&amp;"",tbl_Finance[Xero Invoice No],LOOKUP(2,1/((tbl_Finance[Job Number]=C278&amp;"")*(tbl_Finance[Xero Invoice No]&lt;&gt;"")),tbl_Finance[Xero Invoice No]))=COUNTIFS(tbl_Finance[Job Number],C278&amp;"",tbl_Finance[Xero Invoice No],"&lt;&gt;"),LOOKUP(2,1/((tbl_Finance[Job Number]=C278&amp;"")*(tbl_Finance[Xero Invoice No]&lt;&gt;"")),tbl_Finance[Xero Invoice No]),LOOKUP(2,1/((tbl_Finance[Job Number]=C278&amp;"")*(tbl_Finance[Xero Invoice No]&lt;&gt;"")),tbl_Finance[Xero Invoice No])&amp;" +more"),"")))</f>
        <v/>
      </c>
      <c r="C278" s="24" t="n"/>
      <c r="D278" s="25">
        <f>IF(C278="","",IF(COUNTIF(lst_Jobs,C278&amp;"")&gt;0,"OK","CHECK"))</f>
        <v/>
      </c>
      <c r="E278" s="25">
        <f>IF(C278="","",IFERROR(INDEX(lst_JobName,MATCH(C278&amp;"",lst_Jobs,0)),""))</f>
        <v/>
      </c>
      <c r="F278" s="25">
        <f>IF(C278="","",IFERROR(INDEX(tbl_Finance[Client],MATCH(C278&amp;"",tbl_Finance[Job Number],0)),""))</f>
        <v/>
      </c>
      <c r="G278" s="28">
        <f>IF(C278="","",COUNTIFS(tbl_Finance[Job Number],C278&amp;"",tbl_Finance[Ex GST],"&lt;&gt;"))</f>
        <v/>
      </c>
      <c r="H278" s="27">
        <f>IF(C278="","",SUMIFS(tbl_Finance[Ex GST],tbl_Finance[Job Number],C278&amp;""))</f>
        <v/>
      </c>
      <c r="I278" s="27">
        <f>IF(C278="","",SUMIFS(tbl_Finance[Ex GST],tbl_Finance[Job Number],C278&amp;"",tbl_Finance[Xero Invoice No],"&lt;&gt;"))</f>
        <v/>
      </c>
      <c r="J278" s="27">
        <f>IF(C278="","",H278-I278)</f>
        <v/>
      </c>
      <c r="K278" s="25">
        <f>IF(C278="","",IF(G278=0,"not invoiced yet",SUBSTITUTE(TRIM(IF(COUNTIFS(tbl_Finance[Job Number],C278&amp;"",tbl_Finance[Cost Centre],"ONSITE")&gt;0,"ONSITE ","")&amp;IF(COUNTIFS(tbl_Finance[Job Number],C278&amp;"",tbl_Finance[Cost Centre],"PRODUCTION")&gt;0,"PRODUCTION ","")&amp;IF(COUNTIFS(tbl_Finance[Job Number],C278&amp;"",tbl_Finance[Cost Centre],"VIDEO")&gt;0,"VIDEO ","")&amp;IF(COUNTIFS(tbl_Finance[Job Number],C278&amp;"",tbl_Finance[Cost Centre],"INTEGRATION")&gt;0,"INTEGRATION ","")&amp;IF(COUNTIFS(tbl_Finance[Job Number],C278&amp;"",tbl_Finance[Cost Centre],"CONSULTING")&gt;0,"CONSULTING ","")&amp;IF(COUNTIFS(tbl_Finance[Job Number],C278&amp;"",tbl_Finance[Cost Centre],"CTS")&gt;0,"CTS ",""))," ",", ")))</f>
        <v/>
      </c>
      <c r="L278" s="24" t="n"/>
      <c r="M278" s="24" t="n"/>
      <c r="N278" s="25">
        <f>IF(M278="","",HYPERLINK(IF(LEFT(M278,4)="http",M278,set_QwilrBase&amp;M278),"Open quote"))</f>
        <v/>
      </c>
      <c r="O278" s="64" t="n"/>
      <c r="P278" s="24" t="n"/>
      <c r="Q278" s="24" t="n"/>
    </row>
    <row r="279" ht="15" customHeight="1">
      <c r="A279" s="63">
        <f>IF(C279="","",IFERROR(IF(SUMPRODUCT(MAX((tbl_Finance[Job Number]=C279&amp;"")*(tbl_Finance[Xero Invoice No]&lt;&gt;"")*tbl_Finance[Date]))=0,"",SUMPRODUCT(MAX((tbl_Finance[Job Number]=C279&amp;"")*(tbl_Finance[Xero Invoice No]&lt;&gt;"")*tbl_Finance[Date]))),""))</f>
        <v/>
      </c>
      <c r="B279" s="25">
        <f>IF(C279="","",IF(COUNTIFS(tbl_Finance[Job Number],C279&amp;"",tbl_Finance[Xero Invoice No],"&lt;&gt;")=0,"",IFERROR(IF(COUNTIFS(tbl_Finance[Job Number],C279&amp;"",tbl_Finance[Xero Invoice No],LOOKUP(2,1/((tbl_Finance[Job Number]=C279&amp;"")*(tbl_Finance[Xero Invoice No]&lt;&gt;"")),tbl_Finance[Xero Invoice No]))=COUNTIFS(tbl_Finance[Job Number],C279&amp;"",tbl_Finance[Xero Invoice No],"&lt;&gt;"),LOOKUP(2,1/((tbl_Finance[Job Number]=C279&amp;"")*(tbl_Finance[Xero Invoice No]&lt;&gt;"")),tbl_Finance[Xero Invoice No]),LOOKUP(2,1/((tbl_Finance[Job Number]=C279&amp;"")*(tbl_Finance[Xero Invoice No]&lt;&gt;"")),tbl_Finance[Xero Invoice No])&amp;" +more"),"")))</f>
        <v/>
      </c>
      <c r="C279" s="24" t="n"/>
      <c r="D279" s="25">
        <f>IF(C279="","",IF(COUNTIF(lst_Jobs,C279&amp;"")&gt;0,"OK","CHECK"))</f>
        <v/>
      </c>
      <c r="E279" s="25">
        <f>IF(C279="","",IFERROR(INDEX(lst_JobName,MATCH(C279&amp;"",lst_Jobs,0)),""))</f>
        <v/>
      </c>
      <c r="F279" s="25">
        <f>IF(C279="","",IFERROR(INDEX(tbl_Finance[Client],MATCH(C279&amp;"",tbl_Finance[Job Number],0)),""))</f>
        <v/>
      </c>
      <c r="G279" s="28">
        <f>IF(C279="","",COUNTIFS(tbl_Finance[Job Number],C279&amp;"",tbl_Finance[Ex GST],"&lt;&gt;"))</f>
        <v/>
      </c>
      <c r="H279" s="27">
        <f>IF(C279="","",SUMIFS(tbl_Finance[Ex GST],tbl_Finance[Job Number],C279&amp;""))</f>
        <v/>
      </c>
      <c r="I279" s="27">
        <f>IF(C279="","",SUMIFS(tbl_Finance[Ex GST],tbl_Finance[Job Number],C279&amp;"",tbl_Finance[Xero Invoice No],"&lt;&gt;"))</f>
        <v/>
      </c>
      <c r="J279" s="27">
        <f>IF(C279="","",H279-I279)</f>
        <v/>
      </c>
      <c r="K279" s="25">
        <f>IF(C279="","",IF(G279=0,"not invoiced yet",SUBSTITUTE(TRIM(IF(COUNTIFS(tbl_Finance[Job Number],C279&amp;"",tbl_Finance[Cost Centre],"ONSITE")&gt;0,"ONSITE ","")&amp;IF(COUNTIFS(tbl_Finance[Job Number],C279&amp;"",tbl_Finance[Cost Centre],"PRODUCTION")&gt;0,"PRODUCTION ","")&amp;IF(COUNTIFS(tbl_Finance[Job Number],C279&amp;"",tbl_Finance[Cost Centre],"VIDEO")&gt;0,"VIDEO ","")&amp;IF(COUNTIFS(tbl_Finance[Job Number],C279&amp;"",tbl_Finance[Cost Centre],"INTEGRATION")&gt;0,"INTEGRATION ","")&amp;IF(COUNTIFS(tbl_Finance[Job Number],C279&amp;"",tbl_Finance[Cost Centre],"CONSULTING")&gt;0,"CONSULTING ","")&amp;IF(COUNTIFS(tbl_Finance[Job Number],C279&amp;"",tbl_Finance[Cost Centre],"CTS")&gt;0,"CTS ",""))," ",", ")))</f>
        <v/>
      </c>
      <c r="L279" s="24" t="n"/>
      <c r="M279" s="24" t="n"/>
      <c r="N279" s="25">
        <f>IF(M279="","",HYPERLINK(IF(LEFT(M279,4)="http",M279,set_QwilrBase&amp;M279),"Open quote"))</f>
        <v/>
      </c>
      <c r="O279" s="64" t="n"/>
      <c r="P279" s="24" t="n"/>
      <c r="Q279" s="24" t="n"/>
    </row>
    <row r="280" ht="15" customHeight="1">
      <c r="A280" s="63">
        <f>IF(C280="","",IFERROR(IF(SUMPRODUCT(MAX((tbl_Finance[Job Number]=C280&amp;"")*(tbl_Finance[Xero Invoice No]&lt;&gt;"")*tbl_Finance[Date]))=0,"",SUMPRODUCT(MAX((tbl_Finance[Job Number]=C280&amp;"")*(tbl_Finance[Xero Invoice No]&lt;&gt;"")*tbl_Finance[Date]))),""))</f>
        <v/>
      </c>
      <c r="B280" s="25">
        <f>IF(C280="","",IF(COUNTIFS(tbl_Finance[Job Number],C280&amp;"",tbl_Finance[Xero Invoice No],"&lt;&gt;")=0,"",IFERROR(IF(COUNTIFS(tbl_Finance[Job Number],C280&amp;"",tbl_Finance[Xero Invoice No],LOOKUP(2,1/((tbl_Finance[Job Number]=C280&amp;"")*(tbl_Finance[Xero Invoice No]&lt;&gt;"")),tbl_Finance[Xero Invoice No]))=COUNTIFS(tbl_Finance[Job Number],C280&amp;"",tbl_Finance[Xero Invoice No],"&lt;&gt;"),LOOKUP(2,1/((tbl_Finance[Job Number]=C280&amp;"")*(tbl_Finance[Xero Invoice No]&lt;&gt;"")),tbl_Finance[Xero Invoice No]),LOOKUP(2,1/((tbl_Finance[Job Number]=C280&amp;"")*(tbl_Finance[Xero Invoice No]&lt;&gt;"")),tbl_Finance[Xero Invoice No])&amp;" +more"),"")))</f>
        <v/>
      </c>
      <c r="C280" s="24" t="n"/>
      <c r="D280" s="25">
        <f>IF(C280="","",IF(COUNTIF(lst_Jobs,C280&amp;"")&gt;0,"OK","CHECK"))</f>
        <v/>
      </c>
      <c r="E280" s="25">
        <f>IF(C280="","",IFERROR(INDEX(lst_JobName,MATCH(C280&amp;"",lst_Jobs,0)),""))</f>
        <v/>
      </c>
      <c r="F280" s="25">
        <f>IF(C280="","",IFERROR(INDEX(tbl_Finance[Client],MATCH(C280&amp;"",tbl_Finance[Job Number],0)),""))</f>
        <v/>
      </c>
      <c r="G280" s="28">
        <f>IF(C280="","",COUNTIFS(tbl_Finance[Job Number],C280&amp;"",tbl_Finance[Ex GST],"&lt;&gt;"))</f>
        <v/>
      </c>
      <c r="H280" s="27">
        <f>IF(C280="","",SUMIFS(tbl_Finance[Ex GST],tbl_Finance[Job Number],C280&amp;""))</f>
        <v/>
      </c>
      <c r="I280" s="27">
        <f>IF(C280="","",SUMIFS(tbl_Finance[Ex GST],tbl_Finance[Job Number],C280&amp;"",tbl_Finance[Xero Invoice No],"&lt;&gt;"))</f>
        <v/>
      </c>
      <c r="J280" s="27">
        <f>IF(C280="","",H280-I280)</f>
        <v/>
      </c>
      <c r="K280" s="25">
        <f>IF(C280="","",IF(G280=0,"not invoiced yet",SUBSTITUTE(TRIM(IF(COUNTIFS(tbl_Finance[Job Number],C280&amp;"",tbl_Finance[Cost Centre],"ONSITE")&gt;0,"ONSITE ","")&amp;IF(COUNTIFS(tbl_Finance[Job Number],C280&amp;"",tbl_Finance[Cost Centre],"PRODUCTION")&gt;0,"PRODUCTION ","")&amp;IF(COUNTIFS(tbl_Finance[Job Number],C280&amp;"",tbl_Finance[Cost Centre],"VIDEO")&gt;0,"VIDEO ","")&amp;IF(COUNTIFS(tbl_Finance[Job Number],C280&amp;"",tbl_Finance[Cost Centre],"INTEGRATION")&gt;0,"INTEGRATION ","")&amp;IF(COUNTIFS(tbl_Finance[Job Number],C280&amp;"",tbl_Finance[Cost Centre],"CONSULTING")&gt;0,"CONSULTING ","")&amp;IF(COUNTIFS(tbl_Finance[Job Number],C280&amp;"",tbl_Finance[Cost Centre],"CTS")&gt;0,"CTS ",""))," ",", ")))</f>
        <v/>
      </c>
      <c r="L280" s="24" t="n"/>
      <c r="M280" s="24" t="n"/>
      <c r="N280" s="25">
        <f>IF(M280="","",HYPERLINK(IF(LEFT(M280,4)="http",M280,set_QwilrBase&amp;M280),"Open quote"))</f>
        <v/>
      </c>
      <c r="O280" s="64" t="n"/>
      <c r="P280" s="24" t="n"/>
      <c r="Q280" s="24" t="n"/>
    </row>
    <row r="281" ht="15" customHeight="1">
      <c r="A281" s="63">
        <f>IF(C281="","",IFERROR(IF(SUMPRODUCT(MAX((tbl_Finance[Job Number]=C281&amp;"")*(tbl_Finance[Xero Invoice No]&lt;&gt;"")*tbl_Finance[Date]))=0,"",SUMPRODUCT(MAX((tbl_Finance[Job Number]=C281&amp;"")*(tbl_Finance[Xero Invoice No]&lt;&gt;"")*tbl_Finance[Date]))),""))</f>
        <v/>
      </c>
      <c r="B281" s="25">
        <f>IF(C281="","",IF(COUNTIFS(tbl_Finance[Job Number],C281&amp;"",tbl_Finance[Xero Invoice No],"&lt;&gt;")=0,"",IFERROR(IF(COUNTIFS(tbl_Finance[Job Number],C281&amp;"",tbl_Finance[Xero Invoice No],LOOKUP(2,1/((tbl_Finance[Job Number]=C281&amp;"")*(tbl_Finance[Xero Invoice No]&lt;&gt;"")),tbl_Finance[Xero Invoice No]))=COUNTIFS(tbl_Finance[Job Number],C281&amp;"",tbl_Finance[Xero Invoice No],"&lt;&gt;"),LOOKUP(2,1/((tbl_Finance[Job Number]=C281&amp;"")*(tbl_Finance[Xero Invoice No]&lt;&gt;"")),tbl_Finance[Xero Invoice No]),LOOKUP(2,1/((tbl_Finance[Job Number]=C281&amp;"")*(tbl_Finance[Xero Invoice No]&lt;&gt;"")),tbl_Finance[Xero Invoice No])&amp;" +more"),"")))</f>
        <v/>
      </c>
      <c r="C281" s="24" t="n"/>
      <c r="D281" s="25">
        <f>IF(C281="","",IF(COUNTIF(lst_Jobs,C281&amp;"")&gt;0,"OK","CHECK"))</f>
        <v/>
      </c>
      <c r="E281" s="25">
        <f>IF(C281="","",IFERROR(INDEX(lst_JobName,MATCH(C281&amp;"",lst_Jobs,0)),""))</f>
        <v/>
      </c>
      <c r="F281" s="25">
        <f>IF(C281="","",IFERROR(INDEX(tbl_Finance[Client],MATCH(C281&amp;"",tbl_Finance[Job Number],0)),""))</f>
        <v/>
      </c>
      <c r="G281" s="28">
        <f>IF(C281="","",COUNTIFS(tbl_Finance[Job Number],C281&amp;"",tbl_Finance[Ex GST],"&lt;&gt;"))</f>
        <v/>
      </c>
      <c r="H281" s="27">
        <f>IF(C281="","",SUMIFS(tbl_Finance[Ex GST],tbl_Finance[Job Number],C281&amp;""))</f>
        <v/>
      </c>
      <c r="I281" s="27">
        <f>IF(C281="","",SUMIFS(tbl_Finance[Ex GST],tbl_Finance[Job Number],C281&amp;"",tbl_Finance[Xero Invoice No],"&lt;&gt;"))</f>
        <v/>
      </c>
      <c r="J281" s="27">
        <f>IF(C281="","",H281-I281)</f>
        <v/>
      </c>
      <c r="K281" s="25">
        <f>IF(C281="","",IF(G281=0,"not invoiced yet",SUBSTITUTE(TRIM(IF(COUNTIFS(tbl_Finance[Job Number],C281&amp;"",tbl_Finance[Cost Centre],"ONSITE")&gt;0,"ONSITE ","")&amp;IF(COUNTIFS(tbl_Finance[Job Number],C281&amp;"",tbl_Finance[Cost Centre],"PRODUCTION")&gt;0,"PRODUCTION ","")&amp;IF(COUNTIFS(tbl_Finance[Job Number],C281&amp;"",tbl_Finance[Cost Centre],"VIDEO")&gt;0,"VIDEO ","")&amp;IF(COUNTIFS(tbl_Finance[Job Number],C281&amp;"",tbl_Finance[Cost Centre],"INTEGRATION")&gt;0,"INTEGRATION ","")&amp;IF(COUNTIFS(tbl_Finance[Job Number],C281&amp;"",tbl_Finance[Cost Centre],"CONSULTING")&gt;0,"CONSULTING ","")&amp;IF(COUNTIFS(tbl_Finance[Job Number],C281&amp;"",tbl_Finance[Cost Centre],"CTS")&gt;0,"CTS ",""))," ",", ")))</f>
        <v/>
      </c>
      <c r="L281" s="24" t="n"/>
      <c r="M281" s="24" t="n"/>
      <c r="N281" s="25">
        <f>IF(M281="","",HYPERLINK(IF(LEFT(M281,4)="http",M281,set_QwilrBase&amp;M281),"Open quote"))</f>
        <v/>
      </c>
      <c r="O281" s="64" t="n"/>
      <c r="P281" s="24" t="n"/>
      <c r="Q281" s="24" t="n"/>
    </row>
    <row r="282" ht="15" customHeight="1">
      <c r="A282" s="63">
        <f>IF(C282="","",IFERROR(IF(SUMPRODUCT(MAX((tbl_Finance[Job Number]=C282&amp;"")*(tbl_Finance[Xero Invoice No]&lt;&gt;"")*tbl_Finance[Date]))=0,"",SUMPRODUCT(MAX((tbl_Finance[Job Number]=C282&amp;"")*(tbl_Finance[Xero Invoice No]&lt;&gt;"")*tbl_Finance[Date]))),""))</f>
        <v/>
      </c>
      <c r="B282" s="25">
        <f>IF(C282="","",IF(COUNTIFS(tbl_Finance[Job Number],C282&amp;"",tbl_Finance[Xero Invoice No],"&lt;&gt;")=0,"",IFERROR(IF(COUNTIFS(tbl_Finance[Job Number],C282&amp;"",tbl_Finance[Xero Invoice No],LOOKUP(2,1/((tbl_Finance[Job Number]=C282&amp;"")*(tbl_Finance[Xero Invoice No]&lt;&gt;"")),tbl_Finance[Xero Invoice No]))=COUNTIFS(tbl_Finance[Job Number],C282&amp;"",tbl_Finance[Xero Invoice No],"&lt;&gt;"),LOOKUP(2,1/((tbl_Finance[Job Number]=C282&amp;"")*(tbl_Finance[Xero Invoice No]&lt;&gt;"")),tbl_Finance[Xero Invoice No]),LOOKUP(2,1/((tbl_Finance[Job Number]=C282&amp;"")*(tbl_Finance[Xero Invoice No]&lt;&gt;"")),tbl_Finance[Xero Invoice No])&amp;" +more"),"")))</f>
        <v/>
      </c>
      <c r="C282" s="24" t="n"/>
      <c r="D282" s="25">
        <f>IF(C282="","",IF(COUNTIF(lst_Jobs,C282&amp;"")&gt;0,"OK","CHECK"))</f>
        <v/>
      </c>
      <c r="E282" s="25">
        <f>IF(C282="","",IFERROR(INDEX(lst_JobName,MATCH(C282&amp;"",lst_Jobs,0)),""))</f>
        <v/>
      </c>
      <c r="F282" s="25">
        <f>IF(C282="","",IFERROR(INDEX(tbl_Finance[Client],MATCH(C282&amp;"",tbl_Finance[Job Number],0)),""))</f>
        <v/>
      </c>
      <c r="G282" s="28">
        <f>IF(C282="","",COUNTIFS(tbl_Finance[Job Number],C282&amp;"",tbl_Finance[Ex GST],"&lt;&gt;"))</f>
        <v/>
      </c>
      <c r="H282" s="27">
        <f>IF(C282="","",SUMIFS(tbl_Finance[Ex GST],tbl_Finance[Job Number],C282&amp;""))</f>
        <v/>
      </c>
      <c r="I282" s="27">
        <f>IF(C282="","",SUMIFS(tbl_Finance[Ex GST],tbl_Finance[Job Number],C282&amp;"",tbl_Finance[Xero Invoice No],"&lt;&gt;"))</f>
        <v/>
      </c>
      <c r="J282" s="27">
        <f>IF(C282="","",H282-I282)</f>
        <v/>
      </c>
      <c r="K282" s="25">
        <f>IF(C282="","",IF(G282=0,"not invoiced yet",SUBSTITUTE(TRIM(IF(COUNTIFS(tbl_Finance[Job Number],C282&amp;"",tbl_Finance[Cost Centre],"ONSITE")&gt;0,"ONSITE ","")&amp;IF(COUNTIFS(tbl_Finance[Job Number],C282&amp;"",tbl_Finance[Cost Centre],"PRODUCTION")&gt;0,"PRODUCTION ","")&amp;IF(COUNTIFS(tbl_Finance[Job Number],C282&amp;"",tbl_Finance[Cost Centre],"VIDEO")&gt;0,"VIDEO ","")&amp;IF(COUNTIFS(tbl_Finance[Job Number],C282&amp;"",tbl_Finance[Cost Centre],"INTEGRATION")&gt;0,"INTEGRATION ","")&amp;IF(COUNTIFS(tbl_Finance[Job Number],C282&amp;"",tbl_Finance[Cost Centre],"CONSULTING")&gt;0,"CONSULTING ","")&amp;IF(COUNTIFS(tbl_Finance[Job Number],C282&amp;"",tbl_Finance[Cost Centre],"CTS")&gt;0,"CTS ",""))," ",", ")))</f>
        <v/>
      </c>
      <c r="L282" s="24" t="n"/>
      <c r="M282" s="24" t="n"/>
      <c r="N282" s="25">
        <f>IF(M282="","",HYPERLINK(IF(LEFT(M282,4)="http",M282,set_QwilrBase&amp;M282),"Open quote"))</f>
        <v/>
      </c>
      <c r="O282" s="64" t="n"/>
      <c r="P282" s="24" t="n"/>
      <c r="Q282" s="24" t="n"/>
    </row>
    <row r="283" ht="15" customHeight="1">
      <c r="A283" s="63">
        <f>IF(C283="","",IFERROR(IF(SUMPRODUCT(MAX((tbl_Finance[Job Number]=C283&amp;"")*(tbl_Finance[Xero Invoice No]&lt;&gt;"")*tbl_Finance[Date]))=0,"",SUMPRODUCT(MAX((tbl_Finance[Job Number]=C283&amp;"")*(tbl_Finance[Xero Invoice No]&lt;&gt;"")*tbl_Finance[Date]))),""))</f>
        <v/>
      </c>
      <c r="B283" s="25">
        <f>IF(C283="","",IF(COUNTIFS(tbl_Finance[Job Number],C283&amp;"",tbl_Finance[Xero Invoice No],"&lt;&gt;")=0,"",IFERROR(IF(COUNTIFS(tbl_Finance[Job Number],C283&amp;"",tbl_Finance[Xero Invoice No],LOOKUP(2,1/((tbl_Finance[Job Number]=C283&amp;"")*(tbl_Finance[Xero Invoice No]&lt;&gt;"")),tbl_Finance[Xero Invoice No]))=COUNTIFS(tbl_Finance[Job Number],C283&amp;"",tbl_Finance[Xero Invoice No],"&lt;&gt;"),LOOKUP(2,1/((tbl_Finance[Job Number]=C283&amp;"")*(tbl_Finance[Xero Invoice No]&lt;&gt;"")),tbl_Finance[Xero Invoice No]),LOOKUP(2,1/((tbl_Finance[Job Number]=C283&amp;"")*(tbl_Finance[Xero Invoice No]&lt;&gt;"")),tbl_Finance[Xero Invoice No])&amp;" +more"),"")))</f>
        <v/>
      </c>
      <c r="C283" s="24" t="n"/>
      <c r="D283" s="25">
        <f>IF(C283="","",IF(COUNTIF(lst_Jobs,C283&amp;"")&gt;0,"OK","CHECK"))</f>
        <v/>
      </c>
      <c r="E283" s="25">
        <f>IF(C283="","",IFERROR(INDEX(lst_JobName,MATCH(C283&amp;"",lst_Jobs,0)),""))</f>
        <v/>
      </c>
      <c r="F283" s="25">
        <f>IF(C283="","",IFERROR(INDEX(tbl_Finance[Client],MATCH(C283&amp;"",tbl_Finance[Job Number],0)),""))</f>
        <v/>
      </c>
      <c r="G283" s="28">
        <f>IF(C283="","",COUNTIFS(tbl_Finance[Job Number],C283&amp;"",tbl_Finance[Ex GST],"&lt;&gt;"))</f>
        <v/>
      </c>
      <c r="H283" s="27">
        <f>IF(C283="","",SUMIFS(tbl_Finance[Ex GST],tbl_Finance[Job Number],C283&amp;""))</f>
        <v/>
      </c>
      <c r="I283" s="27">
        <f>IF(C283="","",SUMIFS(tbl_Finance[Ex GST],tbl_Finance[Job Number],C283&amp;"",tbl_Finance[Xero Invoice No],"&lt;&gt;"))</f>
        <v/>
      </c>
      <c r="J283" s="27">
        <f>IF(C283="","",H283-I283)</f>
        <v/>
      </c>
      <c r="K283" s="25">
        <f>IF(C283="","",IF(G283=0,"not invoiced yet",SUBSTITUTE(TRIM(IF(COUNTIFS(tbl_Finance[Job Number],C283&amp;"",tbl_Finance[Cost Centre],"ONSITE")&gt;0,"ONSITE ","")&amp;IF(COUNTIFS(tbl_Finance[Job Number],C283&amp;"",tbl_Finance[Cost Centre],"PRODUCTION")&gt;0,"PRODUCTION ","")&amp;IF(COUNTIFS(tbl_Finance[Job Number],C283&amp;"",tbl_Finance[Cost Centre],"VIDEO")&gt;0,"VIDEO ","")&amp;IF(COUNTIFS(tbl_Finance[Job Number],C283&amp;"",tbl_Finance[Cost Centre],"INTEGRATION")&gt;0,"INTEGRATION ","")&amp;IF(COUNTIFS(tbl_Finance[Job Number],C283&amp;"",tbl_Finance[Cost Centre],"CONSULTING")&gt;0,"CONSULTING ","")&amp;IF(COUNTIFS(tbl_Finance[Job Number],C283&amp;"",tbl_Finance[Cost Centre],"CTS")&gt;0,"CTS ",""))," ",", ")))</f>
        <v/>
      </c>
      <c r="L283" s="24" t="n"/>
      <c r="M283" s="24" t="n"/>
      <c r="N283" s="25">
        <f>IF(M283="","",HYPERLINK(IF(LEFT(M283,4)="http",M283,set_QwilrBase&amp;M283),"Open quote"))</f>
        <v/>
      </c>
      <c r="O283" s="64" t="n"/>
      <c r="P283" s="24" t="n"/>
      <c r="Q283" s="24" t="n"/>
    </row>
    <row r="284" ht="15" customHeight="1">
      <c r="A284" s="63">
        <f>IF(C284="","",IFERROR(IF(SUMPRODUCT(MAX((tbl_Finance[Job Number]=C284&amp;"")*(tbl_Finance[Xero Invoice No]&lt;&gt;"")*tbl_Finance[Date]))=0,"",SUMPRODUCT(MAX((tbl_Finance[Job Number]=C284&amp;"")*(tbl_Finance[Xero Invoice No]&lt;&gt;"")*tbl_Finance[Date]))),""))</f>
        <v/>
      </c>
      <c r="B284" s="25">
        <f>IF(C284="","",IF(COUNTIFS(tbl_Finance[Job Number],C284&amp;"",tbl_Finance[Xero Invoice No],"&lt;&gt;")=0,"",IFERROR(IF(COUNTIFS(tbl_Finance[Job Number],C284&amp;"",tbl_Finance[Xero Invoice No],LOOKUP(2,1/((tbl_Finance[Job Number]=C284&amp;"")*(tbl_Finance[Xero Invoice No]&lt;&gt;"")),tbl_Finance[Xero Invoice No]))=COUNTIFS(tbl_Finance[Job Number],C284&amp;"",tbl_Finance[Xero Invoice No],"&lt;&gt;"),LOOKUP(2,1/((tbl_Finance[Job Number]=C284&amp;"")*(tbl_Finance[Xero Invoice No]&lt;&gt;"")),tbl_Finance[Xero Invoice No]),LOOKUP(2,1/((tbl_Finance[Job Number]=C284&amp;"")*(tbl_Finance[Xero Invoice No]&lt;&gt;"")),tbl_Finance[Xero Invoice No])&amp;" +more"),"")))</f>
        <v/>
      </c>
      <c r="C284" s="24" t="n"/>
      <c r="D284" s="25">
        <f>IF(C284="","",IF(COUNTIF(lst_Jobs,C284&amp;"")&gt;0,"OK","CHECK"))</f>
        <v/>
      </c>
      <c r="E284" s="25">
        <f>IF(C284="","",IFERROR(INDEX(lst_JobName,MATCH(C284&amp;"",lst_Jobs,0)),""))</f>
        <v/>
      </c>
      <c r="F284" s="25">
        <f>IF(C284="","",IFERROR(INDEX(tbl_Finance[Client],MATCH(C284&amp;"",tbl_Finance[Job Number],0)),""))</f>
        <v/>
      </c>
      <c r="G284" s="28">
        <f>IF(C284="","",COUNTIFS(tbl_Finance[Job Number],C284&amp;"",tbl_Finance[Ex GST],"&lt;&gt;"))</f>
        <v/>
      </c>
      <c r="H284" s="27">
        <f>IF(C284="","",SUMIFS(tbl_Finance[Ex GST],tbl_Finance[Job Number],C284&amp;""))</f>
        <v/>
      </c>
      <c r="I284" s="27">
        <f>IF(C284="","",SUMIFS(tbl_Finance[Ex GST],tbl_Finance[Job Number],C284&amp;"",tbl_Finance[Xero Invoice No],"&lt;&gt;"))</f>
        <v/>
      </c>
      <c r="J284" s="27">
        <f>IF(C284="","",H284-I284)</f>
        <v/>
      </c>
      <c r="K284" s="25">
        <f>IF(C284="","",IF(G284=0,"not invoiced yet",SUBSTITUTE(TRIM(IF(COUNTIFS(tbl_Finance[Job Number],C284&amp;"",tbl_Finance[Cost Centre],"ONSITE")&gt;0,"ONSITE ","")&amp;IF(COUNTIFS(tbl_Finance[Job Number],C284&amp;"",tbl_Finance[Cost Centre],"PRODUCTION")&gt;0,"PRODUCTION ","")&amp;IF(COUNTIFS(tbl_Finance[Job Number],C284&amp;"",tbl_Finance[Cost Centre],"VIDEO")&gt;0,"VIDEO ","")&amp;IF(COUNTIFS(tbl_Finance[Job Number],C284&amp;"",tbl_Finance[Cost Centre],"INTEGRATION")&gt;0,"INTEGRATION ","")&amp;IF(COUNTIFS(tbl_Finance[Job Number],C284&amp;"",tbl_Finance[Cost Centre],"CONSULTING")&gt;0,"CONSULTING ","")&amp;IF(COUNTIFS(tbl_Finance[Job Number],C284&amp;"",tbl_Finance[Cost Centre],"CTS")&gt;0,"CTS ",""))," ",", ")))</f>
        <v/>
      </c>
      <c r="L284" s="24" t="n"/>
      <c r="M284" s="24" t="n"/>
      <c r="N284" s="25">
        <f>IF(M284="","",HYPERLINK(IF(LEFT(M284,4)="http",M284,set_QwilrBase&amp;M284),"Open quote"))</f>
        <v/>
      </c>
      <c r="O284" s="64" t="n"/>
      <c r="P284" s="24" t="n"/>
      <c r="Q284" s="24" t="n"/>
    </row>
    <row r="285" ht="15" customHeight="1">
      <c r="A285" s="63">
        <f>IF(C285="","",IFERROR(IF(SUMPRODUCT(MAX((tbl_Finance[Job Number]=C285&amp;"")*(tbl_Finance[Xero Invoice No]&lt;&gt;"")*tbl_Finance[Date]))=0,"",SUMPRODUCT(MAX((tbl_Finance[Job Number]=C285&amp;"")*(tbl_Finance[Xero Invoice No]&lt;&gt;"")*tbl_Finance[Date]))),""))</f>
        <v/>
      </c>
      <c r="B285" s="25">
        <f>IF(C285="","",IF(COUNTIFS(tbl_Finance[Job Number],C285&amp;"",tbl_Finance[Xero Invoice No],"&lt;&gt;")=0,"",IFERROR(IF(COUNTIFS(tbl_Finance[Job Number],C285&amp;"",tbl_Finance[Xero Invoice No],LOOKUP(2,1/((tbl_Finance[Job Number]=C285&amp;"")*(tbl_Finance[Xero Invoice No]&lt;&gt;"")),tbl_Finance[Xero Invoice No]))=COUNTIFS(tbl_Finance[Job Number],C285&amp;"",tbl_Finance[Xero Invoice No],"&lt;&gt;"),LOOKUP(2,1/((tbl_Finance[Job Number]=C285&amp;"")*(tbl_Finance[Xero Invoice No]&lt;&gt;"")),tbl_Finance[Xero Invoice No]),LOOKUP(2,1/((tbl_Finance[Job Number]=C285&amp;"")*(tbl_Finance[Xero Invoice No]&lt;&gt;"")),tbl_Finance[Xero Invoice No])&amp;" +more"),"")))</f>
        <v/>
      </c>
      <c r="C285" s="24" t="n"/>
      <c r="D285" s="25">
        <f>IF(C285="","",IF(COUNTIF(lst_Jobs,C285&amp;"")&gt;0,"OK","CHECK"))</f>
        <v/>
      </c>
      <c r="E285" s="25">
        <f>IF(C285="","",IFERROR(INDEX(lst_JobName,MATCH(C285&amp;"",lst_Jobs,0)),""))</f>
        <v/>
      </c>
      <c r="F285" s="25">
        <f>IF(C285="","",IFERROR(INDEX(tbl_Finance[Client],MATCH(C285&amp;"",tbl_Finance[Job Number],0)),""))</f>
        <v/>
      </c>
      <c r="G285" s="28">
        <f>IF(C285="","",COUNTIFS(tbl_Finance[Job Number],C285&amp;"",tbl_Finance[Ex GST],"&lt;&gt;"))</f>
        <v/>
      </c>
      <c r="H285" s="27">
        <f>IF(C285="","",SUMIFS(tbl_Finance[Ex GST],tbl_Finance[Job Number],C285&amp;""))</f>
        <v/>
      </c>
      <c r="I285" s="27">
        <f>IF(C285="","",SUMIFS(tbl_Finance[Ex GST],tbl_Finance[Job Number],C285&amp;"",tbl_Finance[Xero Invoice No],"&lt;&gt;"))</f>
        <v/>
      </c>
      <c r="J285" s="27">
        <f>IF(C285="","",H285-I285)</f>
        <v/>
      </c>
      <c r="K285" s="25">
        <f>IF(C285="","",IF(G285=0,"not invoiced yet",SUBSTITUTE(TRIM(IF(COUNTIFS(tbl_Finance[Job Number],C285&amp;"",tbl_Finance[Cost Centre],"ONSITE")&gt;0,"ONSITE ","")&amp;IF(COUNTIFS(tbl_Finance[Job Number],C285&amp;"",tbl_Finance[Cost Centre],"PRODUCTION")&gt;0,"PRODUCTION ","")&amp;IF(COUNTIFS(tbl_Finance[Job Number],C285&amp;"",tbl_Finance[Cost Centre],"VIDEO")&gt;0,"VIDEO ","")&amp;IF(COUNTIFS(tbl_Finance[Job Number],C285&amp;"",tbl_Finance[Cost Centre],"INTEGRATION")&gt;0,"INTEGRATION ","")&amp;IF(COUNTIFS(tbl_Finance[Job Number],C285&amp;"",tbl_Finance[Cost Centre],"CONSULTING")&gt;0,"CONSULTING ","")&amp;IF(COUNTIFS(tbl_Finance[Job Number],C285&amp;"",tbl_Finance[Cost Centre],"CTS")&gt;0,"CTS ",""))," ",", ")))</f>
        <v/>
      </c>
      <c r="L285" s="24" t="n"/>
      <c r="M285" s="24" t="n"/>
      <c r="N285" s="25">
        <f>IF(M285="","",HYPERLINK(IF(LEFT(M285,4)="http",M285,set_QwilrBase&amp;M285),"Open quote"))</f>
        <v/>
      </c>
      <c r="O285" s="64" t="n"/>
      <c r="P285" s="24" t="n"/>
      <c r="Q285" s="24" t="n"/>
    </row>
    <row r="286" ht="15" customHeight="1">
      <c r="A286" s="63">
        <f>IF(C286="","",IFERROR(IF(SUMPRODUCT(MAX((tbl_Finance[Job Number]=C286&amp;"")*(tbl_Finance[Xero Invoice No]&lt;&gt;"")*tbl_Finance[Date]))=0,"",SUMPRODUCT(MAX((tbl_Finance[Job Number]=C286&amp;"")*(tbl_Finance[Xero Invoice No]&lt;&gt;"")*tbl_Finance[Date]))),""))</f>
        <v/>
      </c>
      <c r="B286" s="25">
        <f>IF(C286="","",IF(COUNTIFS(tbl_Finance[Job Number],C286&amp;"",tbl_Finance[Xero Invoice No],"&lt;&gt;")=0,"",IFERROR(IF(COUNTIFS(tbl_Finance[Job Number],C286&amp;"",tbl_Finance[Xero Invoice No],LOOKUP(2,1/((tbl_Finance[Job Number]=C286&amp;"")*(tbl_Finance[Xero Invoice No]&lt;&gt;"")),tbl_Finance[Xero Invoice No]))=COUNTIFS(tbl_Finance[Job Number],C286&amp;"",tbl_Finance[Xero Invoice No],"&lt;&gt;"),LOOKUP(2,1/((tbl_Finance[Job Number]=C286&amp;"")*(tbl_Finance[Xero Invoice No]&lt;&gt;"")),tbl_Finance[Xero Invoice No]),LOOKUP(2,1/((tbl_Finance[Job Number]=C286&amp;"")*(tbl_Finance[Xero Invoice No]&lt;&gt;"")),tbl_Finance[Xero Invoice No])&amp;" +more"),"")))</f>
        <v/>
      </c>
      <c r="C286" s="24" t="n"/>
      <c r="D286" s="25">
        <f>IF(C286="","",IF(COUNTIF(lst_Jobs,C286&amp;"")&gt;0,"OK","CHECK"))</f>
        <v/>
      </c>
      <c r="E286" s="25">
        <f>IF(C286="","",IFERROR(INDEX(lst_JobName,MATCH(C286&amp;"",lst_Jobs,0)),""))</f>
        <v/>
      </c>
      <c r="F286" s="25">
        <f>IF(C286="","",IFERROR(INDEX(tbl_Finance[Client],MATCH(C286&amp;"",tbl_Finance[Job Number],0)),""))</f>
        <v/>
      </c>
      <c r="G286" s="28">
        <f>IF(C286="","",COUNTIFS(tbl_Finance[Job Number],C286&amp;"",tbl_Finance[Ex GST],"&lt;&gt;"))</f>
        <v/>
      </c>
      <c r="H286" s="27">
        <f>IF(C286="","",SUMIFS(tbl_Finance[Ex GST],tbl_Finance[Job Number],C286&amp;""))</f>
        <v/>
      </c>
      <c r="I286" s="27">
        <f>IF(C286="","",SUMIFS(tbl_Finance[Ex GST],tbl_Finance[Job Number],C286&amp;"",tbl_Finance[Xero Invoice No],"&lt;&gt;"))</f>
        <v/>
      </c>
      <c r="J286" s="27">
        <f>IF(C286="","",H286-I286)</f>
        <v/>
      </c>
      <c r="K286" s="25">
        <f>IF(C286="","",IF(G286=0,"not invoiced yet",SUBSTITUTE(TRIM(IF(COUNTIFS(tbl_Finance[Job Number],C286&amp;"",tbl_Finance[Cost Centre],"ONSITE")&gt;0,"ONSITE ","")&amp;IF(COUNTIFS(tbl_Finance[Job Number],C286&amp;"",tbl_Finance[Cost Centre],"PRODUCTION")&gt;0,"PRODUCTION ","")&amp;IF(COUNTIFS(tbl_Finance[Job Number],C286&amp;"",tbl_Finance[Cost Centre],"VIDEO")&gt;0,"VIDEO ","")&amp;IF(COUNTIFS(tbl_Finance[Job Number],C286&amp;"",tbl_Finance[Cost Centre],"INTEGRATION")&gt;0,"INTEGRATION ","")&amp;IF(COUNTIFS(tbl_Finance[Job Number],C286&amp;"",tbl_Finance[Cost Centre],"CONSULTING")&gt;0,"CONSULTING ","")&amp;IF(COUNTIFS(tbl_Finance[Job Number],C286&amp;"",tbl_Finance[Cost Centre],"CTS")&gt;0,"CTS ",""))," ",", ")))</f>
        <v/>
      </c>
      <c r="L286" s="24" t="n"/>
      <c r="M286" s="24" t="n"/>
      <c r="N286" s="25">
        <f>IF(M286="","",HYPERLINK(IF(LEFT(M286,4)="http",M286,set_QwilrBase&amp;M286),"Open quote"))</f>
        <v/>
      </c>
      <c r="O286" s="64" t="n"/>
      <c r="P286" s="24" t="n"/>
      <c r="Q286" s="24" t="n"/>
    </row>
    <row r="287" ht="15" customHeight="1">
      <c r="A287" s="63">
        <f>IF(C287="","",IFERROR(IF(SUMPRODUCT(MAX((tbl_Finance[Job Number]=C287&amp;"")*(tbl_Finance[Xero Invoice No]&lt;&gt;"")*tbl_Finance[Date]))=0,"",SUMPRODUCT(MAX((tbl_Finance[Job Number]=C287&amp;"")*(tbl_Finance[Xero Invoice No]&lt;&gt;"")*tbl_Finance[Date]))),""))</f>
        <v/>
      </c>
      <c r="B287" s="25">
        <f>IF(C287="","",IF(COUNTIFS(tbl_Finance[Job Number],C287&amp;"",tbl_Finance[Xero Invoice No],"&lt;&gt;")=0,"",IFERROR(IF(COUNTIFS(tbl_Finance[Job Number],C287&amp;"",tbl_Finance[Xero Invoice No],LOOKUP(2,1/((tbl_Finance[Job Number]=C287&amp;"")*(tbl_Finance[Xero Invoice No]&lt;&gt;"")),tbl_Finance[Xero Invoice No]))=COUNTIFS(tbl_Finance[Job Number],C287&amp;"",tbl_Finance[Xero Invoice No],"&lt;&gt;"),LOOKUP(2,1/((tbl_Finance[Job Number]=C287&amp;"")*(tbl_Finance[Xero Invoice No]&lt;&gt;"")),tbl_Finance[Xero Invoice No]),LOOKUP(2,1/((tbl_Finance[Job Number]=C287&amp;"")*(tbl_Finance[Xero Invoice No]&lt;&gt;"")),tbl_Finance[Xero Invoice No])&amp;" +more"),"")))</f>
        <v/>
      </c>
      <c r="C287" s="24" t="n"/>
      <c r="D287" s="25">
        <f>IF(C287="","",IF(COUNTIF(lst_Jobs,C287&amp;"")&gt;0,"OK","CHECK"))</f>
        <v/>
      </c>
      <c r="E287" s="25">
        <f>IF(C287="","",IFERROR(INDEX(lst_JobName,MATCH(C287&amp;"",lst_Jobs,0)),""))</f>
        <v/>
      </c>
      <c r="F287" s="25">
        <f>IF(C287="","",IFERROR(INDEX(tbl_Finance[Client],MATCH(C287&amp;"",tbl_Finance[Job Number],0)),""))</f>
        <v/>
      </c>
      <c r="G287" s="28">
        <f>IF(C287="","",COUNTIFS(tbl_Finance[Job Number],C287&amp;"",tbl_Finance[Ex GST],"&lt;&gt;"))</f>
        <v/>
      </c>
      <c r="H287" s="27">
        <f>IF(C287="","",SUMIFS(tbl_Finance[Ex GST],tbl_Finance[Job Number],C287&amp;""))</f>
        <v/>
      </c>
      <c r="I287" s="27">
        <f>IF(C287="","",SUMIFS(tbl_Finance[Ex GST],tbl_Finance[Job Number],C287&amp;"",tbl_Finance[Xero Invoice No],"&lt;&gt;"))</f>
        <v/>
      </c>
      <c r="J287" s="27">
        <f>IF(C287="","",H287-I287)</f>
        <v/>
      </c>
      <c r="K287" s="25">
        <f>IF(C287="","",IF(G287=0,"not invoiced yet",SUBSTITUTE(TRIM(IF(COUNTIFS(tbl_Finance[Job Number],C287&amp;"",tbl_Finance[Cost Centre],"ONSITE")&gt;0,"ONSITE ","")&amp;IF(COUNTIFS(tbl_Finance[Job Number],C287&amp;"",tbl_Finance[Cost Centre],"PRODUCTION")&gt;0,"PRODUCTION ","")&amp;IF(COUNTIFS(tbl_Finance[Job Number],C287&amp;"",tbl_Finance[Cost Centre],"VIDEO")&gt;0,"VIDEO ","")&amp;IF(COUNTIFS(tbl_Finance[Job Number],C287&amp;"",tbl_Finance[Cost Centre],"INTEGRATION")&gt;0,"INTEGRATION ","")&amp;IF(COUNTIFS(tbl_Finance[Job Number],C287&amp;"",tbl_Finance[Cost Centre],"CONSULTING")&gt;0,"CONSULTING ","")&amp;IF(COUNTIFS(tbl_Finance[Job Number],C287&amp;"",tbl_Finance[Cost Centre],"CTS")&gt;0,"CTS ",""))," ",", ")))</f>
        <v/>
      </c>
      <c r="L287" s="24" t="n"/>
      <c r="M287" s="24" t="n"/>
      <c r="N287" s="25">
        <f>IF(M287="","",HYPERLINK(IF(LEFT(M287,4)="http",M287,set_QwilrBase&amp;M287),"Open quote"))</f>
        <v/>
      </c>
      <c r="O287" s="64" t="n"/>
      <c r="P287" s="24" t="n"/>
      <c r="Q287" s="24" t="n"/>
    </row>
    <row r="288" ht="15" customHeight="1">
      <c r="A288" s="63">
        <f>IF(C288="","",IFERROR(IF(SUMPRODUCT(MAX((tbl_Finance[Job Number]=C288&amp;"")*(tbl_Finance[Xero Invoice No]&lt;&gt;"")*tbl_Finance[Date]))=0,"",SUMPRODUCT(MAX((tbl_Finance[Job Number]=C288&amp;"")*(tbl_Finance[Xero Invoice No]&lt;&gt;"")*tbl_Finance[Date]))),""))</f>
        <v/>
      </c>
      <c r="B288" s="25">
        <f>IF(C288="","",IF(COUNTIFS(tbl_Finance[Job Number],C288&amp;"",tbl_Finance[Xero Invoice No],"&lt;&gt;")=0,"",IFERROR(IF(COUNTIFS(tbl_Finance[Job Number],C288&amp;"",tbl_Finance[Xero Invoice No],LOOKUP(2,1/((tbl_Finance[Job Number]=C288&amp;"")*(tbl_Finance[Xero Invoice No]&lt;&gt;"")),tbl_Finance[Xero Invoice No]))=COUNTIFS(tbl_Finance[Job Number],C288&amp;"",tbl_Finance[Xero Invoice No],"&lt;&gt;"),LOOKUP(2,1/((tbl_Finance[Job Number]=C288&amp;"")*(tbl_Finance[Xero Invoice No]&lt;&gt;"")),tbl_Finance[Xero Invoice No]),LOOKUP(2,1/((tbl_Finance[Job Number]=C288&amp;"")*(tbl_Finance[Xero Invoice No]&lt;&gt;"")),tbl_Finance[Xero Invoice No])&amp;" +more"),"")))</f>
        <v/>
      </c>
      <c r="C288" s="24" t="n"/>
      <c r="D288" s="25">
        <f>IF(C288="","",IF(COUNTIF(lst_Jobs,C288&amp;"")&gt;0,"OK","CHECK"))</f>
        <v/>
      </c>
      <c r="E288" s="25">
        <f>IF(C288="","",IFERROR(INDEX(lst_JobName,MATCH(C288&amp;"",lst_Jobs,0)),""))</f>
        <v/>
      </c>
      <c r="F288" s="25">
        <f>IF(C288="","",IFERROR(INDEX(tbl_Finance[Client],MATCH(C288&amp;"",tbl_Finance[Job Number],0)),""))</f>
        <v/>
      </c>
      <c r="G288" s="28">
        <f>IF(C288="","",COUNTIFS(tbl_Finance[Job Number],C288&amp;"",tbl_Finance[Ex GST],"&lt;&gt;"))</f>
        <v/>
      </c>
      <c r="H288" s="27">
        <f>IF(C288="","",SUMIFS(tbl_Finance[Ex GST],tbl_Finance[Job Number],C288&amp;""))</f>
        <v/>
      </c>
      <c r="I288" s="27">
        <f>IF(C288="","",SUMIFS(tbl_Finance[Ex GST],tbl_Finance[Job Number],C288&amp;"",tbl_Finance[Xero Invoice No],"&lt;&gt;"))</f>
        <v/>
      </c>
      <c r="J288" s="27">
        <f>IF(C288="","",H288-I288)</f>
        <v/>
      </c>
      <c r="K288" s="25">
        <f>IF(C288="","",IF(G288=0,"not invoiced yet",SUBSTITUTE(TRIM(IF(COUNTIFS(tbl_Finance[Job Number],C288&amp;"",tbl_Finance[Cost Centre],"ONSITE")&gt;0,"ONSITE ","")&amp;IF(COUNTIFS(tbl_Finance[Job Number],C288&amp;"",tbl_Finance[Cost Centre],"PRODUCTION")&gt;0,"PRODUCTION ","")&amp;IF(COUNTIFS(tbl_Finance[Job Number],C288&amp;"",tbl_Finance[Cost Centre],"VIDEO")&gt;0,"VIDEO ","")&amp;IF(COUNTIFS(tbl_Finance[Job Number],C288&amp;"",tbl_Finance[Cost Centre],"INTEGRATION")&gt;0,"INTEGRATION ","")&amp;IF(COUNTIFS(tbl_Finance[Job Number],C288&amp;"",tbl_Finance[Cost Centre],"CONSULTING")&gt;0,"CONSULTING ","")&amp;IF(COUNTIFS(tbl_Finance[Job Number],C288&amp;"",tbl_Finance[Cost Centre],"CTS")&gt;0,"CTS ",""))," ",", ")))</f>
        <v/>
      </c>
      <c r="L288" s="24" t="n"/>
      <c r="M288" s="24" t="n"/>
      <c r="N288" s="25">
        <f>IF(M288="","",HYPERLINK(IF(LEFT(M288,4)="http",M288,set_QwilrBase&amp;M288),"Open quote"))</f>
        <v/>
      </c>
      <c r="O288" s="64" t="n"/>
      <c r="P288" s="24" t="n"/>
      <c r="Q288" s="24" t="n"/>
    </row>
    <row r="289" ht="15" customHeight="1">
      <c r="A289" s="63">
        <f>IF(C289="","",IFERROR(IF(SUMPRODUCT(MAX((tbl_Finance[Job Number]=C289&amp;"")*(tbl_Finance[Xero Invoice No]&lt;&gt;"")*tbl_Finance[Date]))=0,"",SUMPRODUCT(MAX((tbl_Finance[Job Number]=C289&amp;"")*(tbl_Finance[Xero Invoice No]&lt;&gt;"")*tbl_Finance[Date]))),""))</f>
        <v/>
      </c>
      <c r="B289" s="25">
        <f>IF(C289="","",IF(COUNTIFS(tbl_Finance[Job Number],C289&amp;"",tbl_Finance[Xero Invoice No],"&lt;&gt;")=0,"",IFERROR(IF(COUNTIFS(tbl_Finance[Job Number],C289&amp;"",tbl_Finance[Xero Invoice No],LOOKUP(2,1/((tbl_Finance[Job Number]=C289&amp;"")*(tbl_Finance[Xero Invoice No]&lt;&gt;"")),tbl_Finance[Xero Invoice No]))=COUNTIFS(tbl_Finance[Job Number],C289&amp;"",tbl_Finance[Xero Invoice No],"&lt;&gt;"),LOOKUP(2,1/((tbl_Finance[Job Number]=C289&amp;"")*(tbl_Finance[Xero Invoice No]&lt;&gt;"")),tbl_Finance[Xero Invoice No]),LOOKUP(2,1/((tbl_Finance[Job Number]=C289&amp;"")*(tbl_Finance[Xero Invoice No]&lt;&gt;"")),tbl_Finance[Xero Invoice No])&amp;" +more"),"")))</f>
        <v/>
      </c>
      <c r="C289" s="24" t="n"/>
      <c r="D289" s="25">
        <f>IF(C289="","",IF(COUNTIF(lst_Jobs,C289&amp;"")&gt;0,"OK","CHECK"))</f>
        <v/>
      </c>
      <c r="E289" s="25">
        <f>IF(C289="","",IFERROR(INDEX(lst_JobName,MATCH(C289&amp;"",lst_Jobs,0)),""))</f>
        <v/>
      </c>
      <c r="F289" s="25">
        <f>IF(C289="","",IFERROR(INDEX(tbl_Finance[Client],MATCH(C289&amp;"",tbl_Finance[Job Number],0)),""))</f>
        <v/>
      </c>
      <c r="G289" s="28">
        <f>IF(C289="","",COUNTIFS(tbl_Finance[Job Number],C289&amp;"",tbl_Finance[Ex GST],"&lt;&gt;"))</f>
        <v/>
      </c>
      <c r="H289" s="27">
        <f>IF(C289="","",SUMIFS(tbl_Finance[Ex GST],tbl_Finance[Job Number],C289&amp;""))</f>
        <v/>
      </c>
      <c r="I289" s="27">
        <f>IF(C289="","",SUMIFS(tbl_Finance[Ex GST],tbl_Finance[Job Number],C289&amp;"",tbl_Finance[Xero Invoice No],"&lt;&gt;"))</f>
        <v/>
      </c>
      <c r="J289" s="27">
        <f>IF(C289="","",H289-I289)</f>
        <v/>
      </c>
      <c r="K289" s="25">
        <f>IF(C289="","",IF(G289=0,"not invoiced yet",SUBSTITUTE(TRIM(IF(COUNTIFS(tbl_Finance[Job Number],C289&amp;"",tbl_Finance[Cost Centre],"ONSITE")&gt;0,"ONSITE ","")&amp;IF(COUNTIFS(tbl_Finance[Job Number],C289&amp;"",tbl_Finance[Cost Centre],"PRODUCTION")&gt;0,"PRODUCTION ","")&amp;IF(COUNTIFS(tbl_Finance[Job Number],C289&amp;"",tbl_Finance[Cost Centre],"VIDEO")&gt;0,"VIDEO ","")&amp;IF(COUNTIFS(tbl_Finance[Job Number],C289&amp;"",tbl_Finance[Cost Centre],"INTEGRATION")&gt;0,"INTEGRATION ","")&amp;IF(COUNTIFS(tbl_Finance[Job Number],C289&amp;"",tbl_Finance[Cost Centre],"CONSULTING")&gt;0,"CONSULTING ","")&amp;IF(COUNTIFS(tbl_Finance[Job Number],C289&amp;"",tbl_Finance[Cost Centre],"CTS")&gt;0,"CTS ",""))," ",", ")))</f>
        <v/>
      </c>
      <c r="L289" s="24" t="n"/>
      <c r="M289" s="24" t="n"/>
      <c r="N289" s="25">
        <f>IF(M289="","",HYPERLINK(IF(LEFT(M289,4)="http",M289,set_QwilrBase&amp;M289),"Open quote"))</f>
        <v/>
      </c>
      <c r="O289" s="64" t="n"/>
      <c r="P289" s="24" t="n"/>
      <c r="Q289" s="24" t="n"/>
    </row>
    <row r="290" ht="15" customHeight="1">
      <c r="A290" s="63">
        <f>IF(C290="","",IFERROR(IF(SUMPRODUCT(MAX((tbl_Finance[Job Number]=C290&amp;"")*(tbl_Finance[Xero Invoice No]&lt;&gt;"")*tbl_Finance[Date]))=0,"",SUMPRODUCT(MAX((tbl_Finance[Job Number]=C290&amp;"")*(tbl_Finance[Xero Invoice No]&lt;&gt;"")*tbl_Finance[Date]))),""))</f>
        <v/>
      </c>
      <c r="B290" s="25">
        <f>IF(C290="","",IF(COUNTIFS(tbl_Finance[Job Number],C290&amp;"",tbl_Finance[Xero Invoice No],"&lt;&gt;")=0,"",IFERROR(IF(COUNTIFS(tbl_Finance[Job Number],C290&amp;"",tbl_Finance[Xero Invoice No],LOOKUP(2,1/((tbl_Finance[Job Number]=C290&amp;"")*(tbl_Finance[Xero Invoice No]&lt;&gt;"")),tbl_Finance[Xero Invoice No]))=COUNTIFS(tbl_Finance[Job Number],C290&amp;"",tbl_Finance[Xero Invoice No],"&lt;&gt;"),LOOKUP(2,1/((tbl_Finance[Job Number]=C290&amp;"")*(tbl_Finance[Xero Invoice No]&lt;&gt;"")),tbl_Finance[Xero Invoice No]),LOOKUP(2,1/((tbl_Finance[Job Number]=C290&amp;"")*(tbl_Finance[Xero Invoice No]&lt;&gt;"")),tbl_Finance[Xero Invoice No])&amp;" +more"),"")))</f>
        <v/>
      </c>
      <c r="C290" s="24" t="n"/>
      <c r="D290" s="25">
        <f>IF(C290="","",IF(COUNTIF(lst_Jobs,C290&amp;"")&gt;0,"OK","CHECK"))</f>
        <v/>
      </c>
      <c r="E290" s="25">
        <f>IF(C290="","",IFERROR(INDEX(lst_JobName,MATCH(C290&amp;"",lst_Jobs,0)),""))</f>
        <v/>
      </c>
      <c r="F290" s="25">
        <f>IF(C290="","",IFERROR(INDEX(tbl_Finance[Client],MATCH(C290&amp;"",tbl_Finance[Job Number],0)),""))</f>
        <v/>
      </c>
      <c r="G290" s="28">
        <f>IF(C290="","",COUNTIFS(tbl_Finance[Job Number],C290&amp;"",tbl_Finance[Ex GST],"&lt;&gt;"))</f>
        <v/>
      </c>
      <c r="H290" s="27">
        <f>IF(C290="","",SUMIFS(tbl_Finance[Ex GST],tbl_Finance[Job Number],C290&amp;""))</f>
        <v/>
      </c>
      <c r="I290" s="27">
        <f>IF(C290="","",SUMIFS(tbl_Finance[Ex GST],tbl_Finance[Job Number],C290&amp;"",tbl_Finance[Xero Invoice No],"&lt;&gt;"))</f>
        <v/>
      </c>
      <c r="J290" s="27">
        <f>IF(C290="","",H290-I290)</f>
        <v/>
      </c>
      <c r="K290" s="25">
        <f>IF(C290="","",IF(G290=0,"not invoiced yet",SUBSTITUTE(TRIM(IF(COUNTIFS(tbl_Finance[Job Number],C290&amp;"",tbl_Finance[Cost Centre],"ONSITE")&gt;0,"ONSITE ","")&amp;IF(COUNTIFS(tbl_Finance[Job Number],C290&amp;"",tbl_Finance[Cost Centre],"PRODUCTION")&gt;0,"PRODUCTION ","")&amp;IF(COUNTIFS(tbl_Finance[Job Number],C290&amp;"",tbl_Finance[Cost Centre],"VIDEO")&gt;0,"VIDEO ","")&amp;IF(COUNTIFS(tbl_Finance[Job Number],C290&amp;"",tbl_Finance[Cost Centre],"INTEGRATION")&gt;0,"INTEGRATION ","")&amp;IF(COUNTIFS(tbl_Finance[Job Number],C290&amp;"",tbl_Finance[Cost Centre],"CONSULTING")&gt;0,"CONSULTING ","")&amp;IF(COUNTIFS(tbl_Finance[Job Number],C290&amp;"",tbl_Finance[Cost Centre],"CTS")&gt;0,"CTS ",""))," ",", ")))</f>
        <v/>
      </c>
      <c r="L290" s="24" t="n"/>
      <c r="M290" s="24" t="n"/>
      <c r="N290" s="25">
        <f>IF(M290="","",HYPERLINK(IF(LEFT(M290,4)="http",M290,set_QwilrBase&amp;M290),"Open quote"))</f>
        <v/>
      </c>
      <c r="O290" s="64" t="n"/>
      <c r="P290" s="24" t="n"/>
      <c r="Q290" s="24" t="n"/>
    </row>
    <row r="291" ht="15" customHeight="1">
      <c r="A291" s="63">
        <f>IF(C291="","",IFERROR(IF(SUMPRODUCT(MAX((tbl_Finance[Job Number]=C291&amp;"")*(tbl_Finance[Xero Invoice No]&lt;&gt;"")*tbl_Finance[Date]))=0,"",SUMPRODUCT(MAX((tbl_Finance[Job Number]=C291&amp;"")*(tbl_Finance[Xero Invoice No]&lt;&gt;"")*tbl_Finance[Date]))),""))</f>
        <v/>
      </c>
      <c r="B291" s="25">
        <f>IF(C291="","",IF(COUNTIFS(tbl_Finance[Job Number],C291&amp;"",tbl_Finance[Xero Invoice No],"&lt;&gt;")=0,"",IFERROR(IF(COUNTIFS(tbl_Finance[Job Number],C291&amp;"",tbl_Finance[Xero Invoice No],LOOKUP(2,1/((tbl_Finance[Job Number]=C291&amp;"")*(tbl_Finance[Xero Invoice No]&lt;&gt;"")),tbl_Finance[Xero Invoice No]))=COUNTIFS(tbl_Finance[Job Number],C291&amp;"",tbl_Finance[Xero Invoice No],"&lt;&gt;"),LOOKUP(2,1/((tbl_Finance[Job Number]=C291&amp;"")*(tbl_Finance[Xero Invoice No]&lt;&gt;"")),tbl_Finance[Xero Invoice No]),LOOKUP(2,1/((tbl_Finance[Job Number]=C291&amp;"")*(tbl_Finance[Xero Invoice No]&lt;&gt;"")),tbl_Finance[Xero Invoice No])&amp;" +more"),"")))</f>
        <v/>
      </c>
      <c r="C291" s="24" t="n"/>
      <c r="D291" s="25">
        <f>IF(C291="","",IF(COUNTIF(lst_Jobs,C291&amp;"")&gt;0,"OK","CHECK"))</f>
        <v/>
      </c>
      <c r="E291" s="25">
        <f>IF(C291="","",IFERROR(INDEX(lst_JobName,MATCH(C291&amp;"",lst_Jobs,0)),""))</f>
        <v/>
      </c>
      <c r="F291" s="25">
        <f>IF(C291="","",IFERROR(INDEX(tbl_Finance[Client],MATCH(C291&amp;"",tbl_Finance[Job Number],0)),""))</f>
        <v/>
      </c>
      <c r="G291" s="28">
        <f>IF(C291="","",COUNTIFS(tbl_Finance[Job Number],C291&amp;"",tbl_Finance[Ex GST],"&lt;&gt;"))</f>
        <v/>
      </c>
      <c r="H291" s="27">
        <f>IF(C291="","",SUMIFS(tbl_Finance[Ex GST],tbl_Finance[Job Number],C291&amp;""))</f>
        <v/>
      </c>
      <c r="I291" s="27">
        <f>IF(C291="","",SUMIFS(tbl_Finance[Ex GST],tbl_Finance[Job Number],C291&amp;"",tbl_Finance[Xero Invoice No],"&lt;&gt;"))</f>
        <v/>
      </c>
      <c r="J291" s="27">
        <f>IF(C291="","",H291-I291)</f>
        <v/>
      </c>
      <c r="K291" s="25">
        <f>IF(C291="","",IF(G291=0,"not invoiced yet",SUBSTITUTE(TRIM(IF(COUNTIFS(tbl_Finance[Job Number],C291&amp;"",tbl_Finance[Cost Centre],"ONSITE")&gt;0,"ONSITE ","")&amp;IF(COUNTIFS(tbl_Finance[Job Number],C291&amp;"",tbl_Finance[Cost Centre],"PRODUCTION")&gt;0,"PRODUCTION ","")&amp;IF(COUNTIFS(tbl_Finance[Job Number],C291&amp;"",tbl_Finance[Cost Centre],"VIDEO")&gt;0,"VIDEO ","")&amp;IF(COUNTIFS(tbl_Finance[Job Number],C291&amp;"",tbl_Finance[Cost Centre],"INTEGRATION")&gt;0,"INTEGRATION ","")&amp;IF(COUNTIFS(tbl_Finance[Job Number],C291&amp;"",tbl_Finance[Cost Centre],"CONSULTING")&gt;0,"CONSULTING ","")&amp;IF(COUNTIFS(tbl_Finance[Job Number],C291&amp;"",tbl_Finance[Cost Centre],"CTS")&gt;0,"CTS ",""))," ",", ")))</f>
        <v/>
      </c>
      <c r="L291" s="24" t="n"/>
      <c r="M291" s="24" t="n"/>
      <c r="N291" s="25">
        <f>IF(M291="","",HYPERLINK(IF(LEFT(M291,4)="http",M291,set_QwilrBase&amp;M291),"Open quote"))</f>
        <v/>
      </c>
      <c r="O291" s="64" t="n"/>
      <c r="P291" s="24" t="n"/>
      <c r="Q291" s="24" t="n"/>
    </row>
    <row r="292" ht="15" customHeight="1">
      <c r="A292" s="63">
        <f>IF(C292="","",IFERROR(IF(SUMPRODUCT(MAX((tbl_Finance[Job Number]=C292&amp;"")*(tbl_Finance[Xero Invoice No]&lt;&gt;"")*tbl_Finance[Date]))=0,"",SUMPRODUCT(MAX((tbl_Finance[Job Number]=C292&amp;"")*(tbl_Finance[Xero Invoice No]&lt;&gt;"")*tbl_Finance[Date]))),""))</f>
        <v/>
      </c>
      <c r="B292" s="25">
        <f>IF(C292="","",IF(COUNTIFS(tbl_Finance[Job Number],C292&amp;"",tbl_Finance[Xero Invoice No],"&lt;&gt;")=0,"",IFERROR(IF(COUNTIFS(tbl_Finance[Job Number],C292&amp;"",tbl_Finance[Xero Invoice No],LOOKUP(2,1/((tbl_Finance[Job Number]=C292&amp;"")*(tbl_Finance[Xero Invoice No]&lt;&gt;"")),tbl_Finance[Xero Invoice No]))=COUNTIFS(tbl_Finance[Job Number],C292&amp;"",tbl_Finance[Xero Invoice No],"&lt;&gt;"),LOOKUP(2,1/((tbl_Finance[Job Number]=C292&amp;"")*(tbl_Finance[Xero Invoice No]&lt;&gt;"")),tbl_Finance[Xero Invoice No]),LOOKUP(2,1/((tbl_Finance[Job Number]=C292&amp;"")*(tbl_Finance[Xero Invoice No]&lt;&gt;"")),tbl_Finance[Xero Invoice No])&amp;" +more"),"")))</f>
        <v/>
      </c>
      <c r="C292" s="24" t="n"/>
      <c r="D292" s="25">
        <f>IF(C292="","",IF(COUNTIF(lst_Jobs,C292&amp;"")&gt;0,"OK","CHECK"))</f>
        <v/>
      </c>
      <c r="E292" s="25">
        <f>IF(C292="","",IFERROR(INDEX(lst_JobName,MATCH(C292&amp;"",lst_Jobs,0)),""))</f>
        <v/>
      </c>
      <c r="F292" s="25">
        <f>IF(C292="","",IFERROR(INDEX(tbl_Finance[Client],MATCH(C292&amp;"",tbl_Finance[Job Number],0)),""))</f>
        <v/>
      </c>
      <c r="G292" s="28">
        <f>IF(C292="","",COUNTIFS(tbl_Finance[Job Number],C292&amp;"",tbl_Finance[Ex GST],"&lt;&gt;"))</f>
        <v/>
      </c>
      <c r="H292" s="27">
        <f>IF(C292="","",SUMIFS(tbl_Finance[Ex GST],tbl_Finance[Job Number],C292&amp;""))</f>
        <v/>
      </c>
      <c r="I292" s="27">
        <f>IF(C292="","",SUMIFS(tbl_Finance[Ex GST],tbl_Finance[Job Number],C292&amp;"",tbl_Finance[Xero Invoice No],"&lt;&gt;"))</f>
        <v/>
      </c>
      <c r="J292" s="27">
        <f>IF(C292="","",H292-I292)</f>
        <v/>
      </c>
      <c r="K292" s="25">
        <f>IF(C292="","",IF(G292=0,"not invoiced yet",SUBSTITUTE(TRIM(IF(COUNTIFS(tbl_Finance[Job Number],C292&amp;"",tbl_Finance[Cost Centre],"ONSITE")&gt;0,"ONSITE ","")&amp;IF(COUNTIFS(tbl_Finance[Job Number],C292&amp;"",tbl_Finance[Cost Centre],"PRODUCTION")&gt;0,"PRODUCTION ","")&amp;IF(COUNTIFS(tbl_Finance[Job Number],C292&amp;"",tbl_Finance[Cost Centre],"VIDEO")&gt;0,"VIDEO ","")&amp;IF(COUNTIFS(tbl_Finance[Job Number],C292&amp;"",tbl_Finance[Cost Centre],"INTEGRATION")&gt;0,"INTEGRATION ","")&amp;IF(COUNTIFS(tbl_Finance[Job Number],C292&amp;"",tbl_Finance[Cost Centre],"CONSULTING")&gt;0,"CONSULTING ","")&amp;IF(COUNTIFS(tbl_Finance[Job Number],C292&amp;"",tbl_Finance[Cost Centre],"CTS")&gt;0,"CTS ",""))," ",", ")))</f>
        <v/>
      </c>
      <c r="L292" s="24" t="n"/>
      <c r="M292" s="24" t="n"/>
      <c r="N292" s="25">
        <f>IF(M292="","",HYPERLINK(IF(LEFT(M292,4)="http",M292,set_QwilrBase&amp;M292),"Open quote"))</f>
        <v/>
      </c>
      <c r="O292" s="64" t="n"/>
      <c r="P292" s="24" t="n"/>
      <c r="Q292" s="24" t="n"/>
    </row>
    <row r="293" ht="15" customHeight="1">
      <c r="A293" s="63">
        <f>IF(C293="","",IFERROR(IF(SUMPRODUCT(MAX((tbl_Finance[Job Number]=C293&amp;"")*(tbl_Finance[Xero Invoice No]&lt;&gt;"")*tbl_Finance[Date]))=0,"",SUMPRODUCT(MAX((tbl_Finance[Job Number]=C293&amp;"")*(tbl_Finance[Xero Invoice No]&lt;&gt;"")*tbl_Finance[Date]))),""))</f>
        <v/>
      </c>
      <c r="B293" s="25">
        <f>IF(C293="","",IF(COUNTIFS(tbl_Finance[Job Number],C293&amp;"",tbl_Finance[Xero Invoice No],"&lt;&gt;")=0,"",IFERROR(IF(COUNTIFS(tbl_Finance[Job Number],C293&amp;"",tbl_Finance[Xero Invoice No],LOOKUP(2,1/((tbl_Finance[Job Number]=C293&amp;"")*(tbl_Finance[Xero Invoice No]&lt;&gt;"")),tbl_Finance[Xero Invoice No]))=COUNTIFS(tbl_Finance[Job Number],C293&amp;"",tbl_Finance[Xero Invoice No],"&lt;&gt;"),LOOKUP(2,1/((tbl_Finance[Job Number]=C293&amp;"")*(tbl_Finance[Xero Invoice No]&lt;&gt;"")),tbl_Finance[Xero Invoice No]),LOOKUP(2,1/((tbl_Finance[Job Number]=C293&amp;"")*(tbl_Finance[Xero Invoice No]&lt;&gt;"")),tbl_Finance[Xero Invoice No])&amp;" +more"),"")))</f>
        <v/>
      </c>
      <c r="C293" s="24" t="n"/>
      <c r="D293" s="25">
        <f>IF(C293="","",IF(COUNTIF(lst_Jobs,C293&amp;"")&gt;0,"OK","CHECK"))</f>
        <v/>
      </c>
      <c r="E293" s="25">
        <f>IF(C293="","",IFERROR(INDEX(lst_JobName,MATCH(C293&amp;"",lst_Jobs,0)),""))</f>
        <v/>
      </c>
      <c r="F293" s="25">
        <f>IF(C293="","",IFERROR(INDEX(tbl_Finance[Client],MATCH(C293&amp;"",tbl_Finance[Job Number],0)),""))</f>
        <v/>
      </c>
      <c r="G293" s="28">
        <f>IF(C293="","",COUNTIFS(tbl_Finance[Job Number],C293&amp;"",tbl_Finance[Ex GST],"&lt;&gt;"))</f>
        <v/>
      </c>
      <c r="H293" s="27">
        <f>IF(C293="","",SUMIFS(tbl_Finance[Ex GST],tbl_Finance[Job Number],C293&amp;""))</f>
        <v/>
      </c>
      <c r="I293" s="27">
        <f>IF(C293="","",SUMIFS(tbl_Finance[Ex GST],tbl_Finance[Job Number],C293&amp;"",tbl_Finance[Xero Invoice No],"&lt;&gt;"))</f>
        <v/>
      </c>
      <c r="J293" s="27">
        <f>IF(C293="","",H293-I293)</f>
        <v/>
      </c>
      <c r="K293" s="25">
        <f>IF(C293="","",IF(G293=0,"not invoiced yet",SUBSTITUTE(TRIM(IF(COUNTIFS(tbl_Finance[Job Number],C293&amp;"",tbl_Finance[Cost Centre],"ONSITE")&gt;0,"ONSITE ","")&amp;IF(COUNTIFS(tbl_Finance[Job Number],C293&amp;"",tbl_Finance[Cost Centre],"PRODUCTION")&gt;0,"PRODUCTION ","")&amp;IF(COUNTIFS(tbl_Finance[Job Number],C293&amp;"",tbl_Finance[Cost Centre],"VIDEO")&gt;0,"VIDEO ","")&amp;IF(COUNTIFS(tbl_Finance[Job Number],C293&amp;"",tbl_Finance[Cost Centre],"INTEGRATION")&gt;0,"INTEGRATION ","")&amp;IF(COUNTIFS(tbl_Finance[Job Number],C293&amp;"",tbl_Finance[Cost Centre],"CONSULTING")&gt;0,"CONSULTING ","")&amp;IF(COUNTIFS(tbl_Finance[Job Number],C293&amp;"",tbl_Finance[Cost Centre],"CTS")&gt;0,"CTS ",""))," ",", ")))</f>
        <v/>
      </c>
      <c r="L293" s="24" t="n"/>
      <c r="M293" s="24" t="n"/>
      <c r="N293" s="25">
        <f>IF(M293="","",HYPERLINK(IF(LEFT(M293,4)="http",M293,set_QwilrBase&amp;M293),"Open quote"))</f>
        <v/>
      </c>
      <c r="O293" s="64" t="n"/>
      <c r="P293" s="24" t="n"/>
      <c r="Q293" s="24" t="n"/>
    </row>
    <row r="294" ht="15" customHeight="1">
      <c r="A294" s="63">
        <f>IF(C294="","",IFERROR(IF(SUMPRODUCT(MAX((tbl_Finance[Job Number]=C294&amp;"")*(tbl_Finance[Xero Invoice No]&lt;&gt;"")*tbl_Finance[Date]))=0,"",SUMPRODUCT(MAX((tbl_Finance[Job Number]=C294&amp;"")*(tbl_Finance[Xero Invoice No]&lt;&gt;"")*tbl_Finance[Date]))),""))</f>
        <v/>
      </c>
      <c r="B294" s="25">
        <f>IF(C294="","",IF(COUNTIFS(tbl_Finance[Job Number],C294&amp;"",tbl_Finance[Xero Invoice No],"&lt;&gt;")=0,"",IFERROR(IF(COUNTIFS(tbl_Finance[Job Number],C294&amp;"",tbl_Finance[Xero Invoice No],LOOKUP(2,1/((tbl_Finance[Job Number]=C294&amp;"")*(tbl_Finance[Xero Invoice No]&lt;&gt;"")),tbl_Finance[Xero Invoice No]))=COUNTIFS(tbl_Finance[Job Number],C294&amp;"",tbl_Finance[Xero Invoice No],"&lt;&gt;"),LOOKUP(2,1/((tbl_Finance[Job Number]=C294&amp;"")*(tbl_Finance[Xero Invoice No]&lt;&gt;"")),tbl_Finance[Xero Invoice No]),LOOKUP(2,1/((tbl_Finance[Job Number]=C294&amp;"")*(tbl_Finance[Xero Invoice No]&lt;&gt;"")),tbl_Finance[Xero Invoice No])&amp;" +more"),"")))</f>
        <v/>
      </c>
      <c r="C294" s="24" t="n"/>
      <c r="D294" s="25">
        <f>IF(C294="","",IF(COUNTIF(lst_Jobs,C294&amp;"")&gt;0,"OK","CHECK"))</f>
        <v/>
      </c>
      <c r="E294" s="25">
        <f>IF(C294="","",IFERROR(INDEX(lst_JobName,MATCH(C294&amp;"",lst_Jobs,0)),""))</f>
        <v/>
      </c>
      <c r="F294" s="25">
        <f>IF(C294="","",IFERROR(INDEX(tbl_Finance[Client],MATCH(C294&amp;"",tbl_Finance[Job Number],0)),""))</f>
        <v/>
      </c>
      <c r="G294" s="28">
        <f>IF(C294="","",COUNTIFS(tbl_Finance[Job Number],C294&amp;"",tbl_Finance[Ex GST],"&lt;&gt;"))</f>
        <v/>
      </c>
      <c r="H294" s="27">
        <f>IF(C294="","",SUMIFS(tbl_Finance[Ex GST],tbl_Finance[Job Number],C294&amp;""))</f>
        <v/>
      </c>
      <c r="I294" s="27">
        <f>IF(C294="","",SUMIFS(tbl_Finance[Ex GST],tbl_Finance[Job Number],C294&amp;"",tbl_Finance[Xero Invoice No],"&lt;&gt;"))</f>
        <v/>
      </c>
      <c r="J294" s="27">
        <f>IF(C294="","",H294-I294)</f>
        <v/>
      </c>
      <c r="K294" s="25">
        <f>IF(C294="","",IF(G294=0,"not invoiced yet",SUBSTITUTE(TRIM(IF(COUNTIFS(tbl_Finance[Job Number],C294&amp;"",tbl_Finance[Cost Centre],"ONSITE")&gt;0,"ONSITE ","")&amp;IF(COUNTIFS(tbl_Finance[Job Number],C294&amp;"",tbl_Finance[Cost Centre],"PRODUCTION")&gt;0,"PRODUCTION ","")&amp;IF(COUNTIFS(tbl_Finance[Job Number],C294&amp;"",tbl_Finance[Cost Centre],"VIDEO")&gt;0,"VIDEO ","")&amp;IF(COUNTIFS(tbl_Finance[Job Number],C294&amp;"",tbl_Finance[Cost Centre],"INTEGRATION")&gt;0,"INTEGRATION ","")&amp;IF(COUNTIFS(tbl_Finance[Job Number],C294&amp;"",tbl_Finance[Cost Centre],"CONSULTING")&gt;0,"CONSULTING ","")&amp;IF(COUNTIFS(tbl_Finance[Job Number],C294&amp;"",tbl_Finance[Cost Centre],"CTS")&gt;0,"CTS ",""))," ",", ")))</f>
        <v/>
      </c>
      <c r="L294" s="24" t="n"/>
      <c r="M294" s="24" t="n"/>
      <c r="N294" s="25">
        <f>IF(M294="","",HYPERLINK(IF(LEFT(M294,4)="http",M294,set_QwilrBase&amp;M294),"Open quote"))</f>
        <v/>
      </c>
      <c r="O294" s="64" t="n"/>
      <c r="P294" s="24" t="n"/>
      <c r="Q294" s="24" t="n"/>
    </row>
    <row r="295" ht="15" customHeight="1">
      <c r="A295" s="63">
        <f>IF(C295="","",IFERROR(IF(SUMPRODUCT(MAX((tbl_Finance[Job Number]=C295&amp;"")*(tbl_Finance[Xero Invoice No]&lt;&gt;"")*tbl_Finance[Date]))=0,"",SUMPRODUCT(MAX((tbl_Finance[Job Number]=C295&amp;"")*(tbl_Finance[Xero Invoice No]&lt;&gt;"")*tbl_Finance[Date]))),""))</f>
        <v/>
      </c>
      <c r="B295" s="25">
        <f>IF(C295="","",IF(COUNTIFS(tbl_Finance[Job Number],C295&amp;"",tbl_Finance[Xero Invoice No],"&lt;&gt;")=0,"",IFERROR(IF(COUNTIFS(tbl_Finance[Job Number],C295&amp;"",tbl_Finance[Xero Invoice No],LOOKUP(2,1/((tbl_Finance[Job Number]=C295&amp;"")*(tbl_Finance[Xero Invoice No]&lt;&gt;"")),tbl_Finance[Xero Invoice No]))=COUNTIFS(tbl_Finance[Job Number],C295&amp;"",tbl_Finance[Xero Invoice No],"&lt;&gt;"),LOOKUP(2,1/((tbl_Finance[Job Number]=C295&amp;"")*(tbl_Finance[Xero Invoice No]&lt;&gt;"")),tbl_Finance[Xero Invoice No]),LOOKUP(2,1/((tbl_Finance[Job Number]=C295&amp;"")*(tbl_Finance[Xero Invoice No]&lt;&gt;"")),tbl_Finance[Xero Invoice No])&amp;" +more"),"")))</f>
        <v/>
      </c>
      <c r="C295" s="24" t="n"/>
      <c r="D295" s="25">
        <f>IF(C295="","",IF(COUNTIF(lst_Jobs,C295&amp;"")&gt;0,"OK","CHECK"))</f>
        <v/>
      </c>
      <c r="E295" s="25">
        <f>IF(C295="","",IFERROR(INDEX(lst_JobName,MATCH(C295&amp;"",lst_Jobs,0)),""))</f>
        <v/>
      </c>
      <c r="F295" s="25">
        <f>IF(C295="","",IFERROR(INDEX(tbl_Finance[Client],MATCH(C295&amp;"",tbl_Finance[Job Number],0)),""))</f>
        <v/>
      </c>
      <c r="G295" s="28">
        <f>IF(C295="","",COUNTIFS(tbl_Finance[Job Number],C295&amp;"",tbl_Finance[Ex GST],"&lt;&gt;"))</f>
        <v/>
      </c>
      <c r="H295" s="27">
        <f>IF(C295="","",SUMIFS(tbl_Finance[Ex GST],tbl_Finance[Job Number],C295&amp;""))</f>
        <v/>
      </c>
      <c r="I295" s="27">
        <f>IF(C295="","",SUMIFS(tbl_Finance[Ex GST],tbl_Finance[Job Number],C295&amp;"",tbl_Finance[Xero Invoice No],"&lt;&gt;"))</f>
        <v/>
      </c>
      <c r="J295" s="27">
        <f>IF(C295="","",H295-I295)</f>
        <v/>
      </c>
      <c r="K295" s="25">
        <f>IF(C295="","",IF(G295=0,"not invoiced yet",SUBSTITUTE(TRIM(IF(COUNTIFS(tbl_Finance[Job Number],C295&amp;"",tbl_Finance[Cost Centre],"ONSITE")&gt;0,"ONSITE ","")&amp;IF(COUNTIFS(tbl_Finance[Job Number],C295&amp;"",tbl_Finance[Cost Centre],"PRODUCTION")&gt;0,"PRODUCTION ","")&amp;IF(COUNTIFS(tbl_Finance[Job Number],C295&amp;"",tbl_Finance[Cost Centre],"VIDEO")&gt;0,"VIDEO ","")&amp;IF(COUNTIFS(tbl_Finance[Job Number],C295&amp;"",tbl_Finance[Cost Centre],"INTEGRATION")&gt;0,"INTEGRATION ","")&amp;IF(COUNTIFS(tbl_Finance[Job Number],C295&amp;"",tbl_Finance[Cost Centre],"CONSULTING")&gt;0,"CONSULTING ","")&amp;IF(COUNTIFS(tbl_Finance[Job Number],C295&amp;"",tbl_Finance[Cost Centre],"CTS")&gt;0,"CTS ",""))," ",", ")))</f>
        <v/>
      </c>
      <c r="L295" s="24" t="n"/>
      <c r="M295" s="24" t="n"/>
      <c r="N295" s="25">
        <f>IF(M295="","",HYPERLINK(IF(LEFT(M295,4)="http",M295,set_QwilrBase&amp;M295),"Open quote"))</f>
        <v/>
      </c>
      <c r="O295" s="64" t="n"/>
      <c r="P295" s="24" t="n"/>
      <c r="Q295" s="24" t="n"/>
    </row>
    <row r="296" ht="15" customHeight="1">
      <c r="A296" s="63">
        <f>IF(C296="","",IFERROR(IF(SUMPRODUCT(MAX((tbl_Finance[Job Number]=C296&amp;"")*(tbl_Finance[Xero Invoice No]&lt;&gt;"")*tbl_Finance[Date]))=0,"",SUMPRODUCT(MAX((tbl_Finance[Job Number]=C296&amp;"")*(tbl_Finance[Xero Invoice No]&lt;&gt;"")*tbl_Finance[Date]))),""))</f>
        <v/>
      </c>
      <c r="B296" s="25">
        <f>IF(C296="","",IF(COUNTIFS(tbl_Finance[Job Number],C296&amp;"",tbl_Finance[Xero Invoice No],"&lt;&gt;")=0,"",IFERROR(IF(COUNTIFS(tbl_Finance[Job Number],C296&amp;"",tbl_Finance[Xero Invoice No],LOOKUP(2,1/((tbl_Finance[Job Number]=C296&amp;"")*(tbl_Finance[Xero Invoice No]&lt;&gt;"")),tbl_Finance[Xero Invoice No]))=COUNTIFS(tbl_Finance[Job Number],C296&amp;"",tbl_Finance[Xero Invoice No],"&lt;&gt;"),LOOKUP(2,1/((tbl_Finance[Job Number]=C296&amp;"")*(tbl_Finance[Xero Invoice No]&lt;&gt;"")),tbl_Finance[Xero Invoice No]),LOOKUP(2,1/((tbl_Finance[Job Number]=C296&amp;"")*(tbl_Finance[Xero Invoice No]&lt;&gt;"")),tbl_Finance[Xero Invoice No])&amp;" +more"),"")))</f>
        <v/>
      </c>
      <c r="C296" s="24" t="n"/>
      <c r="D296" s="25">
        <f>IF(C296="","",IF(COUNTIF(lst_Jobs,C296&amp;"")&gt;0,"OK","CHECK"))</f>
        <v/>
      </c>
      <c r="E296" s="25">
        <f>IF(C296="","",IFERROR(INDEX(lst_JobName,MATCH(C296&amp;"",lst_Jobs,0)),""))</f>
        <v/>
      </c>
      <c r="F296" s="25">
        <f>IF(C296="","",IFERROR(INDEX(tbl_Finance[Client],MATCH(C296&amp;"",tbl_Finance[Job Number],0)),""))</f>
        <v/>
      </c>
      <c r="G296" s="28">
        <f>IF(C296="","",COUNTIFS(tbl_Finance[Job Number],C296&amp;"",tbl_Finance[Ex GST],"&lt;&gt;"))</f>
        <v/>
      </c>
      <c r="H296" s="27">
        <f>IF(C296="","",SUMIFS(tbl_Finance[Ex GST],tbl_Finance[Job Number],C296&amp;""))</f>
        <v/>
      </c>
      <c r="I296" s="27">
        <f>IF(C296="","",SUMIFS(tbl_Finance[Ex GST],tbl_Finance[Job Number],C296&amp;"",tbl_Finance[Xero Invoice No],"&lt;&gt;"))</f>
        <v/>
      </c>
      <c r="J296" s="27">
        <f>IF(C296="","",H296-I296)</f>
        <v/>
      </c>
      <c r="K296" s="25">
        <f>IF(C296="","",IF(G296=0,"not invoiced yet",SUBSTITUTE(TRIM(IF(COUNTIFS(tbl_Finance[Job Number],C296&amp;"",tbl_Finance[Cost Centre],"ONSITE")&gt;0,"ONSITE ","")&amp;IF(COUNTIFS(tbl_Finance[Job Number],C296&amp;"",tbl_Finance[Cost Centre],"PRODUCTION")&gt;0,"PRODUCTION ","")&amp;IF(COUNTIFS(tbl_Finance[Job Number],C296&amp;"",tbl_Finance[Cost Centre],"VIDEO")&gt;0,"VIDEO ","")&amp;IF(COUNTIFS(tbl_Finance[Job Number],C296&amp;"",tbl_Finance[Cost Centre],"INTEGRATION")&gt;0,"INTEGRATION ","")&amp;IF(COUNTIFS(tbl_Finance[Job Number],C296&amp;"",tbl_Finance[Cost Centre],"CONSULTING")&gt;0,"CONSULTING ","")&amp;IF(COUNTIFS(tbl_Finance[Job Number],C296&amp;"",tbl_Finance[Cost Centre],"CTS")&gt;0,"CTS ",""))," ",", ")))</f>
        <v/>
      </c>
      <c r="L296" s="24" t="n"/>
      <c r="M296" s="24" t="n"/>
      <c r="N296" s="25">
        <f>IF(M296="","",HYPERLINK(IF(LEFT(M296,4)="http",M296,set_QwilrBase&amp;M296),"Open quote"))</f>
        <v/>
      </c>
      <c r="O296" s="64" t="n"/>
      <c r="P296" s="24" t="n"/>
      <c r="Q296" s="24" t="n"/>
    </row>
    <row r="297" ht="15" customHeight="1">
      <c r="A297" s="63">
        <f>IF(C297="","",IFERROR(IF(SUMPRODUCT(MAX((tbl_Finance[Job Number]=C297&amp;"")*(tbl_Finance[Xero Invoice No]&lt;&gt;"")*tbl_Finance[Date]))=0,"",SUMPRODUCT(MAX((tbl_Finance[Job Number]=C297&amp;"")*(tbl_Finance[Xero Invoice No]&lt;&gt;"")*tbl_Finance[Date]))),""))</f>
        <v/>
      </c>
      <c r="B297" s="25">
        <f>IF(C297="","",IF(COUNTIFS(tbl_Finance[Job Number],C297&amp;"",tbl_Finance[Xero Invoice No],"&lt;&gt;")=0,"",IFERROR(IF(COUNTIFS(tbl_Finance[Job Number],C297&amp;"",tbl_Finance[Xero Invoice No],LOOKUP(2,1/((tbl_Finance[Job Number]=C297&amp;"")*(tbl_Finance[Xero Invoice No]&lt;&gt;"")),tbl_Finance[Xero Invoice No]))=COUNTIFS(tbl_Finance[Job Number],C297&amp;"",tbl_Finance[Xero Invoice No],"&lt;&gt;"),LOOKUP(2,1/((tbl_Finance[Job Number]=C297&amp;"")*(tbl_Finance[Xero Invoice No]&lt;&gt;"")),tbl_Finance[Xero Invoice No]),LOOKUP(2,1/((tbl_Finance[Job Number]=C297&amp;"")*(tbl_Finance[Xero Invoice No]&lt;&gt;"")),tbl_Finance[Xero Invoice No])&amp;" +more"),"")))</f>
        <v/>
      </c>
      <c r="C297" s="24" t="n"/>
      <c r="D297" s="25">
        <f>IF(C297="","",IF(COUNTIF(lst_Jobs,C297&amp;"")&gt;0,"OK","CHECK"))</f>
        <v/>
      </c>
      <c r="E297" s="25">
        <f>IF(C297="","",IFERROR(INDEX(lst_JobName,MATCH(C297&amp;"",lst_Jobs,0)),""))</f>
        <v/>
      </c>
      <c r="F297" s="25">
        <f>IF(C297="","",IFERROR(INDEX(tbl_Finance[Client],MATCH(C297&amp;"",tbl_Finance[Job Number],0)),""))</f>
        <v/>
      </c>
      <c r="G297" s="28">
        <f>IF(C297="","",COUNTIFS(tbl_Finance[Job Number],C297&amp;"",tbl_Finance[Ex GST],"&lt;&gt;"))</f>
        <v/>
      </c>
      <c r="H297" s="27">
        <f>IF(C297="","",SUMIFS(tbl_Finance[Ex GST],tbl_Finance[Job Number],C297&amp;""))</f>
        <v/>
      </c>
      <c r="I297" s="27">
        <f>IF(C297="","",SUMIFS(tbl_Finance[Ex GST],tbl_Finance[Job Number],C297&amp;"",tbl_Finance[Xero Invoice No],"&lt;&gt;"))</f>
        <v/>
      </c>
      <c r="J297" s="27">
        <f>IF(C297="","",H297-I297)</f>
        <v/>
      </c>
      <c r="K297" s="25">
        <f>IF(C297="","",IF(G297=0,"not invoiced yet",SUBSTITUTE(TRIM(IF(COUNTIFS(tbl_Finance[Job Number],C297&amp;"",tbl_Finance[Cost Centre],"ONSITE")&gt;0,"ONSITE ","")&amp;IF(COUNTIFS(tbl_Finance[Job Number],C297&amp;"",tbl_Finance[Cost Centre],"PRODUCTION")&gt;0,"PRODUCTION ","")&amp;IF(COUNTIFS(tbl_Finance[Job Number],C297&amp;"",tbl_Finance[Cost Centre],"VIDEO")&gt;0,"VIDEO ","")&amp;IF(COUNTIFS(tbl_Finance[Job Number],C297&amp;"",tbl_Finance[Cost Centre],"INTEGRATION")&gt;0,"INTEGRATION ","")&amp;IF(COUNTIFS(tbl_Finance[Job Number],C297&amp;"",tbl_Finance[Cost Centre],"CONSULTING")&gt;0,"CONSULTING ","")&amp;IF(COUNTIFS(tbl_Finance[Job Number],C297&amp;"",tbl_Finance[Cost Centre],"CTS")&gt;0,"CTS ",""))," ",", ")))</f>
        <v/>
      </c>
      <c r="L297" s="24" t="n"/>
      <c r="M297" s="24" t="n"/>
      <c r="N297" s="25">
        <f>IF(M297="","",HYPERLINK(IF(LEFT(M297,4)="http",M297,set_QwilrBase&amp;M297),"Open quote"))</f>
        <v/>
      </c>
      <c r="O297" s="64" t="n"/>
      <c r="P297" s="24" t="n"/>
      <c r="Q297" s="24" t="n"/>
    </row>
    <row r="298" ht="15" customHeight="1">
      <c r="A298" s="63">
        <f>IF(C298="","",IFERROR(IF(SUMPRODUCT(MAX((tbl_Finance[Job Number]=C298&amp;"")*(tbl_Finance[Xero Invoice No]&lt;&gt;"")*tbl_Finance[Date]))=0,"",SUMPRODUCT(MAX((tbl_Finance[Job Number]=C298&amp;"")*(tbl_Finance[Xero Invoice No]&lt;&gt;"")*tbl_Finance[Date]))),""))</f>
        <v/>
      </c>
      <c r="B298" s="25">
        <f>IF(C298="","",IF(COUNTIFS(tbl_Finance[Job Number],C298&amp;"",tbl_Finance[Xero Invoice No],"&lt;&gt;")=0,"",IFERROR(IF(COUNTIFS(tbl_Finance[Job Number],C298&amp;"",tbl_Finance[Xero Invoice No],LOOKUP(2,1/((tbl_Finance[Job Number]=C298&amp;"")*(tbl_Finance[Xero Invoice No]&lt;&gt;"")),tbl_Finance[Xero Invoice No]))=COUNTIFS(tbl_Finance[Job Number],C298&amp;"",tbl_Finance[Xero Invoice No],"&lt;&gt;"),LOOKUP(2,1/((tbl_Finance[Job Number]=C298&amp;"")*(tbl_Finance[Xero Invoice No]&lt;&gt;"")),tbl_Finance[Xero Invoice No]),LOOKUP(2,1/((tbl_Finance[Job Number]=C298&amp;"")*(tbl_Finance[Xero Invoice No]&lt;&gt;"")),tbl_Finance[Xero Invoice No])&amp;" +more"),"")))</f>
        <v/>
      </c>
      <c r="C298" s="24" t="n"/>
      <c r="D298" s="25">
        <f>IF(C298="","",IF(COUNTIF(lst_Jobs,C298&amp;"")&gt;0,"OK","CHECK"))</f>
        <v/>
      </c>
      <c r="E298" s="25">
        <f>IF(C298="","",IFERROR(INDEX(lst_JobName,MATCH(C298&amp;"",lst_Jobs,0)),""))</f>
        <v/>
      </c>
      <c r="F298" s="25">
        <f>IF(C298="","",IFERROR(INDEX(tbl_Finance[Client],MATCH(C298&amp;"",tbl_Finance[Job Number],0)),""))</f>
        <v/>
      </c>
      <c r="G298" s="28">
        <f>IF(C298="","",COUNTIFS(tbl_Finance[Job Number],C298&amp;"",tbl_Finance[Ex GST],"&lt;&gt;"))</f>
        <v/>
      </c>
      <c r="H298" s="27">
        <f>IF(C298="","",SUMIFS(tbl_Finance[Ex GST],tbl_Finance[Job Number],C298&amp;""))</f>
        <v/>
      </c>
      <c r="I298" s="27">
        <f>IF(C298="","",SUMIFS(tbl_Finance[Ex GST],tbl_Finance[Job Number],C298&amp;"",tbl_Finance[Xero Invoice No],"&lt;&gt;"))</f>
        <v/>
      </c>
      <c r="J298" s="27">
        <f>IF(C298="","",H298-I298)</f>
        <v/>
      </c>
      <c r="K298" s="25">
        <f>IF(C298="","",IF(G298=0,"not invoiced yet",SUBSTITUTE(TRIM(IF(COUNTIFS(tbl_Finance[Job Number],C298&amp;"",tbl_Finance[Cost Centre],"ONSITE")&gt;0,"ONSITE ","")&amp;IF(COUNTIFS(tbl_Finance[Job Number],C298&amp;"",tbl_Finance[Cost Centre],"PRODUCTION")&gt;0,"PRODUCTION ","")&amp;IF(COUNTIFS(tbl_Finance[Job Number],C298&amp;"",tbl_Finance[Cost Centre],"VIDEO")&gt;0,"VIDEO ","")&amp;IF(COUNTIFS(tbl_Finance[Job Number],C298&amp;"",tbl_Finance[Cost Centre],"INTEGRATION")&gt;0,"INTEGRATION ","")&amp;IF(COUNTIFS(tbl_Finance[Job Number],C298&amp;"",tbl_Finance[Cost Centre],"CONSULTING")&gt;0,"CONSULTING ","")&amp;IF(COUNTIFS(tbl_Finance[Job Number],C298&amp;"",tbl_Finance[Cost Centre],"CTS")&gt;0,"CTS ",""))," ",", ")))</f>
        <v/>
      </c>
      <c r="L298" s="24" t="n"/>
      <c r="M298" s="24" t="n"/>
      <c r="N298" s="25">
        <f>IF(M298="","",HYPERLINK(IF(LEFT(M298,4)="http",M298,set_QwilrBase&amp;M298),"Open quote"))</f>
        <v/>
      </c>
      <c r="O298" s="64" t="n"/>
      <c r="P298" s="24" t="n"/>
      <c r="Q298" s="24" t="n"/>
    </row>
    <row r="299" ht="15" customHeight="1">
      <c r="A299" s="63">
        <f>IF(C299="","",IFERROR(IF(SUMPRODUCT(MAX((tbl_Finance[Job Number]=C299&amp;"")*(tbl_Finance[Xero Invoice No]&lt;&gt;"")*tbl_Finance[Date]))=0,"",SUMPRODUCT(MAX((tbl_Finance[Job Number]=C299&amp;"")*(tbl_Finance[Xero Invoice No]&lt;&gt;"")*tbl_Finance[Date]))),""))</f>
        <v/>
      </c>
      <c r="B299" s="25">
        <f>IF(C299="","",IF(COUNTIFS(tbl_Finance[Job Number],C299&amp;"",tbl_Finance[Xero Invoice No],"&lt;&gt;")=0,"",IFERROR(IF(COUNTIFS(tbl_Finance[Job Number],C299&amp;"",tbl_Finance[Xero Invoice No],LOOKUP(2,1/((tbl_Finance[Job Number]=C299&amp;"")*(tbl_Finance[Xero Invoice No]&lt;&gt;"")),tbl_Finance[Xero Invoice No]))=COUNTIFS(tbl_Finance[Job Number],C299&amp;"",tbl_Finance[Xero Invoice No],"&lt;&gt;"),LOOKUP(2,1/((tbl_Finance[Job Number]=C299&amp;"")*(tbl_Finance[Xero Invoice No]&lt;&gt;"")),tbl_Finance[Xero Invoice No]),LOOKUP(2,1/((tbl_Finance[Job Number]=C299&amp;"")*(tbl_Finance[Xero Invoice No]&lt;&gt;"")),tbl_Finance[Xero Invoice No])&amp;" +more"),"")))</f>
        <v/>
      </c>
      <c r="C299" s="24" t="n"/>
      <c r="D299" s="25">
        <f>IF(C299="","",IF(COUNTIF(lst_Jobs,C299&amp;"")&gt;0,"OK","CHECK"))</f>
        <v/>
      </c>
      <c r="E299" s="25">
        <f>IF(C299="","",IFERROR(INDEX(lst_JobName,MATCH(C299&amp;"",lst_Jobs,0)),""))</f>
        <v/>
      </c>
      <c r="F299" s="25">
        <f>IF(C299="","",IFERROR(INDEX(tbl_Finance[Client],MATCH(C299&amp;"",tbl_Finance[Job Number],0)),""))</f>
        <v/>
      </c>
      <c r="G299" s="28">
        <f>IF(C299="","",COUNTIFS(tbl_Finance[Job Number],C299&amp;"",tbl_Finance[Ex GST],"&lt;&gt;"))</f>
        <v/>
      </c>
      <c r="H299" s="27">
        <f>IF(C299="","",SUMIFS(tbl_Finance[Ex GST],tbl_Finance[Job Number],C299&amp;""))</f>
        <v/>
      </c>
      <c r="I299" s="27">
        <f>IF(C299="","",SUMIFS(tbl_Finance[Ex GST],tbl_Finance[Job Number],C299&amp;"",tbl_Finance[Xero Invoice No],"&lt;&gt;"))</f>
        <v/>
      </c>
      <c r="J299" s="27">
        <f>IF(C299="","",H299-I299)</f>
        <v/>
      </c>
      <c r="K299" s="25">
        <f>IF(C299="","",IF(G299=0,"not invoiced yet",SUBSTITUTE(TRIM(IF(COUNTIFS(tbl_Finance[Job Number],C299&amp;"",tbl_Finance[Cost Centre],"ONSITE")&gt;0,"ONSITE ","")&amp;IF(COUNTIFS(tbl_Finance[Job Number],C299&amp;"",tbl_Finance[Cost Centre],"PRODUCTION")&gt;0,"PRODUCTION ","")&amp;IF(COUNTIFS(tbl_Finance[Job Number],C299&amp;"",tbl_Finance[Cost Centre],"VIDEO")&gt;0,"VIDEO ","")&amp;IF(COUNTIFS(tbl_Finance[Job Number],C299&amp;"",tbl_Finance[Cost Centre],"INTEGRATION")&gt;0,"INTEGRATION ","")&amp;IF(COUNTIFS(tbl_Finance[Job Number],C299&amp;"",tbl_Finance[Cost Centre],"CONSULTING")&gt;0,"CONSULTING ","")&amp;IF(COUNTIFS(tbl_Finance[Job Number],C299&amp;"",tbl_Finance[Cost Centre],"CTS")&gt;0,"CTS ",""))," ",", ")))</f>
        <v/>
      </c>
      <c r="L299" s="24" t="n"/>
      <c r="M299" s="24" t="n"/>
      <c r="N299" s="25">
        <f>IF(M299="","",HYPERLINK(IF(LEFT(M299,4)="http",M299,set_QwilrBase&amp;M299),"Open quote"))</f>
        <v/>
      </c>
      <c r="O299" s="64" t="n"/>
      <c r="P299" s="24" t="n"/>
      <c r="Q299" s="24" t="n"/>
    </row>
    <row r="300" ht="15" customHeight="1">
      <c r="A300" s="63">
        <f>IF(C300="","",IFERROR(IF(SUMPRODUCT(MAX((tbl_Finance[Job Number]=C300&amp;"")*(tbl_Finance[Xero Invoice No]&lt;&gt;"")*tbl_Finance[Date]))=0,"",SUMPRODUCT(MAX((tbl_Finance[Job Number]=C300&amp;"")*(tbl_Finance[Xero Invoice No]&lt;&gt;"")*tbl_Finance[Date]))),""))</f>
        <v/>
      </c>
      <c r="B300" s="25">
        <f>IF(C300="","",IF(COUNTIFS(tbl_Finance[Job Number],C300&amp;"",tbl_Finance[Xero Invoice No],"&lt;&gt;")=0,"",IFERROR(IF(COUNTIFS(tbl_Finance[Job Number],C300&amp;"",tbl_Finance[Xero Invoice No],LOOKUP(2,1/((tbl_Finance[Job Number]=C300&amp;"")*(tbl_Finance[Xero Invoice No]&lt;&gt;"")),tbl_Finance[Xero Invoice No]))=COUNTIFS(tbl_Finance[Job Number],C300&amp;"",tbl_Finance[Xero Invoice No],"&lt;&gt;"),LOOKUP(2,1/((tbl_Finance[Job Number]=C300&amp;"")*(tbl_Finance[Xero Invoice No]&lt;&gt;"")),tbl_Finance[Xero Invoice No]),LOOKUP(2,1/((tbl_Finance[Job Number]=C300&amp;"")*(tbl_Finance[Xero Invoice No]&lt;&gt;"")),tbl_Finance[Xero Invoice No])&amp;" +more"),"")))</f>
        <v/>
      </c>
      <c r="C300" s="24" t="n"/>
      <c r="D300" s="25">
        <f>IF(C300="","",IF(COUNTIF(lst_Jobs,C300&amp;"")&gt;0,"OK","CHECK"))</f>
        <v/>
      </c>
      <c r="E300" s="25">
        <f>IF(C300="","",IFERROR(INDEX(lst_JobName,MATCH(C300&amp;"",lst_Jobs,0)),""))</f>
        <v/>
      </c>
      <c r="F300" s="25">
        <f>IF(C300="","",IFERROR(INDEX(tbl_Finance[Client],MATCH(C300&amp;"",tbl_Finance[Job Number],0)),""))</f>
        <v/>
      </c>
      <c r="G300" s="28">
        <f>IF(C300="","",COUNTIFS(tbl_Finance[Job Number],C300&amp;"",tbl_Finance[Ex GST],"&lt;&gt;"))</f>
        <v/>
      </c>
      <c r="H300" s="27">
        <f>IF(C300="","",SUMIFS(tbl_Finance[Ex GST],tbl_Finance[Job Number],C300&amp;""))</f>
        <v/>
      </c>
      <c r="I300" s="27">
        <f>IF(C300="","",SUMIFS(tbl_Finance[Ex GST],tbl_Finance[Job Number],C300&amp;"",tbl_Finance[Xero Invoice No],"&lt;&gt;"))</f>
        <v/>
      </c>
      <c r="J300" s="27">
        <f>IF(C300="","",H300-I300)</f>
        <v/>
      </c>
      <c r="K300" s="25">
        <f>IF(C300="","",IF(G300=0,"not invoiced yet",SUBSTITUTE(TRIM(IF(COUNTIFS(tbl_Finance[Job Number],C300&amp;"",tbl_Finance[Cost Centre],"ONSITE")&gt;0,"ONSITE ","")&amp;IF(COUNTIFS(tbl_Finance[Job Number],C300&amp;"",tbl_Finance[Cost Centre],"PRODUCTION")&gt;0,"PRODUCTION ","")&amp;IF(COUNTIFS(tbl_Finance[Job Number],C300&amp;"",tbl_Finance[Cost Centre],"VIDEO")&gt;0,"VIDEO ","")&amp;IF(COUNTIFS(tbl_Finance[Job Number],C300&amp;"",tbl_Finance[Cost Centre],"INTEGRATION")&gt;0,"INTEGRATION ","")&amp;IF(COUNTIFS(tbl_Finance[Job Number],C300&amp;"",tbl_Finance[Cost Centre],"CONSULTING")&gt;0,"CONSULTING ","")&amp;IF(COUNTIFS(tbl_Finance[Job Number],C300&amp;"",tbl_Finance[Cost Centre],"CTS")&gt;0,"CTS ",""))," ",", ")))</f>
        <v/>
      </c>
      <c r="L300" s="24" t="n"/>
      <c r="M300" s="24" t="n"/>
      <c r="N300" s="25">
        <f>IF(M300="","",HYPERLINK(IF(LEFT(M300,4)="http",M300,set_QwilrBase&amp;M300),"Open quote"))</f>
        <v/>
      </c>
      <c r="O300" s="64" t="n"/>
      <c r="P300" s="24" t="n"/>
      <c r="Q300" s="24" t="n"/>
    </row>
    <row r="301" ht="15" customHeight="1">
      <c r="A301" s="63">
        <f>IF(C301="","",IFERROR(IF(SUMPRODUCT(MAX((tbl_Finance[Job Number]=C301&amp;"")*(tbl_Finance[Xero Invoice No]&lt;&gt;"")*tbl_Finance[Date]))=0,"",SUMPRODUCT(MAX((tbl_Finance[Job Number]=C301&amp;"")*(tbl_Finance[Xero Invoice No]&lt;&gt;"")*tbl_Finance[Date]))),""))</f>
        <v/>
      </c>
      <c r="B301" s="25">
        <f>IF(C301="","",IF(COUNTIFS(tbl_Finance[Job Number],C301&amp;"",tbl_Finance[Xero Invoice No],"&lt;&gt;")=0,"",IFERROR(IF(COUNTIFS(tbl_Finance[Job Number],C301&amp;"",tbl_Finance[Xero Invoice No],LOOKUP(2,1/((tbl_Finance[Job Number]=C301&amp;"")*(tbl_Finance[Xero Invoice No]&lt;&gt;"")),tbl_Finance[Xero Invoice No]))=COUNTIFS(tbl_Finance[Job Number],C301&amp;"",tbl_Finance[Xero Invoice No],"&lt;&gt;"),LOOKUP(2,1/((tbl_Finance[Job Number]=C301&amp;"")*(tbl_Finance[Xero Invoice No]&lt;&gt;"")),tbl_Finance[Xero Invoice No]),LOOKUP(2,1/((tbl_Finance[Job Number]=C301&amp;"")*(tbl_Finance[Xero Invoice No]&lt;&gt;"")),tbl_Finance[Xero Invoice No])&amp;" +more"),"")))</f>
        <v/>
      </c>
      <c r="C301" s="24" t="n"/>
      <c r="D301" s="25">
        <f>IF(C301="","",IF(COUNTIF(lst_Jobs,C301&amp;"")&gt;0,"OK","CHECK"))</f>
        <v/>
      </c>
      <c r="E301" s="25">
        <f>IF(C301="","",IFERROR(INDEX(lst_JobName,MATCH(C301&amp;"",lst_Jobs,0)),""))</f>
        <v/>
      </c>
      <c r="F301" s="25">
        <f>IF(C301="","",IFERROR(INDEX(tbl_Finance[Client],MATCH(C301&amp;"",tbl_Finance[Job Number],0)),""))</f>
        <v/>
      </c>
      <c r="G301" s="28">
        <f>IF(C301="","",COUNTIFS(tbl_Finance[Job Number],C301&amp;"",tbl_Finance[Ex GST],"&lt;&gt;"))</f>
        <v/>
      </c>
      <c r="H301" s="27">
        <f>IF(C301="","",SUMIFS(tbl_Finance[Ex GST],tbl_Finance[Job Number],C301&amp;""))</f>
        <v/>
      </c>
      <c r="I301" s="27">
        <f>IF(C301="","",SUMIFS(tbl_Finance[Ex GST],tbl_Finance[Job Number],C301&amp;"",tbl_Finance[Xero Invoice No],"&lt;&gt;"))</f>
        <v/>
      </c>
      <c r="J301" s="27">
        <f>IF(C301="","",H301-I301)</f>
        <v/>
      </c>
      <c r="K301" s="25">
        <f>IF(C301="","",IF(G301=0,"not invoiced yet",SUBSTITUTE(TRIM(IF(COUNTIFS(tbl_Finance[Job Number],C301&amp;"",tbl_Finance[Cost Centre],"ONSITE")&gt;0,"ONSITE ","")&amp;IF(COUNTIFS(tbl_Finance[Job Number],C301&amp;"",tbl_Finance[Cost Centre],"PRODUCTION")&gt;0,"PRODUCTION ","")&amp;IF(COUNTIFS(tbl_Finance[Job Number],C301&amp;"",tbl_Finance[Cost Centre],"VIDEO")&gt;0,"VIDEO ","")&amp;IF(COUNTIFS(tbl_Finance[Job Number],C301&amp;"",tbl_Finance[Cost Centre],"INTEGRATION")&gt;0,"INTEGRATION ","")&amp;IF(COUNTIFS(tbl_Finance[Job Number],C301&amp;"",tbl_Finance[Cost Centre],"CONSULTING")&gt;0,"CONSULTING ","")&amp;IF(COUNTIFS(tbl_Finance[Job Number],C301&amp;"",tbl_Finance[Cost Centre],"CTS")&gt;0,"CTS ",""))," ",", ")))</f>
        <v/>
      </c>
      <c r="L301" s="24" t="n"/>
      <c r="M301" s="24" t="n"/>
      <c r="N301" s="25">
        <f>IF(M301="","",HYPERLINK(IF(LEFT(M301,4)="http",M301,set_QwilrBase&amp;M301),"Open quote"))</f>
        <v/>
      </c>
      <c r="O301" s="64" t="n"/>
      <c r="P301" s="24" t="n"/>
      <c r="Q301" s="24" t="n"/>
    </row>
    <row r="302" ht="15" customHeight="1">
      <c r="A302" s="63">
        <f>IF(C302="","",IFERROR(IF(SUMPRODUCT(MAX((tbl_Finance[Job Number]=C302&amp;"")*(tbl_Finance[Xero Invoice No]&lt;&gt;"")*tbl_Finance[Date]))=0,"",SUMPRODUCT(MAX((tbl_Finance[Job Number]=C302&amp;"")*(tbl_Finance[Xero Invoice No]&lt;&gt;"")*tbl_Finance[Date]))),""))</f>
        <v/>
      </c>
      <c r="B302" s="25">
        <f>IF(C302="","",IF(COUNTIFS(tbl_Finance[Job Number],C302&amp;"",tbl_Finance[Xero Invoice No],"&lt;&gt;")=0,"",IFERROR(IF(COUNTIFS(tbl_Finance[Job Number],C302&amp;"",tbl_Finance[Xero Invoice No],LOOKUP(2,1/((tbl_Finance[Job Number]=C302&amp;"")*(tbl_Finance[Xero Invoice No]&lt;&gt;"")),tbl_Finance[Xero Invoice No]))=COUNTIFS(tbl_Finance[Job Number],C302&amp;"",tbl_Finance[Xero Invoice No],"&lt;&gt;"),LOOKUP(2,1/((tbl_Finance[Job Number]=C302&amp;"")*(tbl_Finance[Xero Invoice No]&lt;&gt;"")),tbl_Finance[Xero Invoice No]),LOOKUP(2,1/((tbl_Finance[Job Number]=C302&amp;"")*(tbl_Finance[Xero Invoice No]&lt;&gt;"")),tbl_Finance[Xero Invoice No])&amp;" +more"),"")))</f>
        <v/>
      </c>
      <c r="C302" s="24" t="n"/>
      <c r="D302" s="25">
        <f>IF(C302="","",IF(COUNTIF(lst_Jobs,C302&amp;"")&gt;0,"OK","CHECK"))</f>
        <v/>
      </c>
      <c r="E302" s="25">
        <f>IF(C302="","",IFERROR(INDEX(lst_JobName,MATCH(C302&amp;"",lst_Jobs,0)),""))</f>
        <v/>
      </c>
      <c r="F302" s="25">
        <f>IF(C302="","",IFERROR(INDEX(tbl_Finance[Client],MATCH(C302&amp;"",tbl_Finance[Job Number],0)),""))</f>
        <v/>
      </c>
      <c r="G302" s="28">
        <f>IF(C302="","",COUNTIFS(tbl_Finance[Job Number],C302&amp;"",tbl_Finance[Ex GST],"&lt;&gt;"))</f>
        <v/>
      </c>
      <c r="H302" s="27">
        <f>IF(C302="","",SUMIFS(tbl_Finance[Ex GST],tbl_Finance[Job Number],C302&amp;""))</f>
        <v/>
      </c>
      <c r="I302" s="27">
        <f>IF(C302="","",SUMIFS(tbl_Finance[Ex GST],tbl_Finance[Job Number],C302&amp;"",tbl_Finance[Xero Invoice No],"&lt;&gt;"))</f>
        <v/>
      </c>
      <c r="J302" s="27">
        <f>IF(C302="","",H302-I302)</f>
        <v/>
      </c>
      <c r="K302" s="25">
        <f>IF(C302="","",IF(G302=0,"not invoiced yet",SUBSTITUTE(TRIM(IF(COUNTIFS(tbl_Finance[Job Number],C302&amp;"",tbl_Finance[Cost Centre],"ONSITE")&gt;0,"ONSITE ","")&amp;IF(COUNTIFS(tbl_Finance[Job Number],C302&amp;"",tbl_Finance[Cost Centre],"PRODUCTION")&gt;0,"PRODUCTION ","")&amp;IF(COUNTIFS(tbl_Finance[Job Number],C302&amp;"",tbl_Finance[Cost Centre],"VIDEO")&gt;0,"VIDEO ","")&amp;IF(COUNTIFS(tbl_Finance[Job Number],C302&amp;"",tbl_Finance[Cost Centre],"INTEGRATION")&gt;0,"INTEGRATION ","")&amp;IF(COUNTIFS(tbl_Finance[Job Number],C302&amp;"",tbl_Finance[Cost Centre],"CONSULTING")&gt;0,"CONSULTING ","")&amp;IF(COUNTIFS(tbl_Finance[Job Number],C302&amp;"",tbl_Finance[Cost Centre],"CTS")&gt;0,"CTS ",""))," ",", ")))</f>
        <v/>
      </c>
      <c r="L302" s="24" t="n"/>
      <c r="M302" s="24" t="n"/>
      <c r="N302" s="25">
        <f>IF(M302="","",HYPERLINK(IF(LEFT(M302,4)="http",M302,set_QwilrBase&amp;M302),"Open quote"))</f>
        <v/>
      </c>
      <c r="O302" s="64" t="n"/>
      <c r="P302" s="24" t="n"/>
      <c r="Q302" s="24" t="n"/>
    </row>
    <row r="303" ht="15" customHeight="1">
      <c r="A303" s="63">
        <f>IF(C303="","",IFERROR(IF(SUMPRODUCT(MAX((tbl_Finance[Job Number]=C303&amp;"")*(tbl_Finance[Xero Invoice No]&lt;&gt;"")*tbl_Finance[Date]))=0,"",SUMPRODUCT(MAX((tbl_Finance[Job Number]=C303&amp;"")*(tbl_Finance[Xero Invoice No]&lt;&gt;"")*tbl_Finance[Date]))),""))</f>
        <v/>
      </c>
      <c r="B303" s="25">
        <f>IF(C303="","",IF(COUNTIFS(tbl_Finance[Job Number],C303&amp;"",tbl_Finance[Xero Invoice No],"&lt;&gt;")=0,"",IFERROR(IF(COUNTIFS(tbl_Finance[Job Number],C303&amp;"",tbl_Finance[Xero Invoice No],LOOKUP(2,1/((tbl_Finance[Job Number]=C303&amp;"")*(tbl_Finance[Xero Invoice No]&lt;&gt;"")),tbl_Finance[Xero Invoice No]))=COUNTIFS(tbl_Finance[Job Number],C303&amp;"",tbl_Finance[Xero Invoice No],"&lt;&gt;"),LOOKUP(2,1/((tbl_Finance[Job Number]=C303&amp;"")*(tbl_Finance[Xero Invoice No]&lt;&gt;"")),tbl_Finance[Xero Invoice No]),LOOKUP(2,1/((tbl_Finance[Job Number]=C303&amp;"")*(tbl_Finance[Xero Invoice No]&lt;&gt;"")),tbl_Finance[Xero Invoice No])&amp;" +more"),"")))</f>
        <v/>
      </c>
      <c r="C303" s="24" t="n"/>
      <c r="D303" s="25">
        <f>IF(C303="","",IF(COUNTIF(lst_Jobs,C303&amp;"")&gt;0,"OK","CHECK"))</f>
        <v/>
      </c>
      <c r="E303" s="25">
        <f>IF(C303="","",IFERROR(INDEX(lst_JobName,MATCH(C303&amp;"",lst_Jobs,0)),""))</f>
        <v/>
      </c>
      <c r="F303" s="25">
        <f>IF(C303="","",IFERROR(INDEX(tbl_Finance[Client],MATCH(C303&amp;"",tbl_Finance[Job Number],0)),""))</f>
        <v/>
      </c>
      <c r="G303" s="28">
        <f>IF(C303="","",COUNTIFS(tbl_Finance[Job Number],C303&amp;"",tbl_Finance[Ex GST],"&lt;&gt;"))</f>
        <v/>
      </c>
      <c r="H303" s="27">
        <f>IF(C303="","",SUMIFS(tbl_Finance[Ex GST],tbl_Finance[Job Number],C303&amp;""))</f>
        <v/>
      </c>
      <c r="I303" s="27">
        <f>IF(C303="","",SUMIFS(tbl_Finance[Ex GST],tbl_Finance[Job Number],C303&amp;"",tbl_Finance[Xero Invoice No],"&lt;&gt;"))</f>
        <v/>
      </c>
      <c r="J303" s="27">
        <f>IF(C303="","",H303-I303)</f>
        <v/>
      </c>
      <c r="K303" s="25">
        <f>IF(C303="","",IF(G303=0,"not invoiced yet",SUBSTITUTE(TRIM(IF(COUNTIFS(tbl_Finance[Job Number],C303&amp;"",tbl_Finance[Cost Centre],"ONSITE")&gt;0,"ONSITE ","")&amp;IF(COUNTIFS(tbl_Finance[Job Number],C303&amp;"",tbl_Finance[Cost Centre],"PRODUCTION")&gt;0,"PRODUCTION ","")&amp;IF(COUNTIFS(tbl_Finance[Job Number],C303&amp;"",tbl_Finance[Cost Centre],"VIDEO")&gt;0,"VIDEO ","")&amp;IF(COUNTIFS(tbl_Finance[Job Number],C303&amp;"",tbl_Finance[Cost Centre],"INTEGRATION")&gt;0,"INTEGRATION ","")&amp;IF(COUNTIFS(tbl_Finance[Job Number],C303&amp;"",tbl_Finance[Cost Centre],"CONSULTING")&gt;0,"CONSULTING ","")&amp;IF(COUNTIFS(tbl_Finance[Job Number],C303&amp;"",tbl_Finance[Cost Centre],"CTS")&gt;0,"CTS ",""))," ",", ")))</f>
        <v/>
      </c>
      <c r="L303" s="24" t="n"/>
      <c r="M303" s="24" t="n"/>
      <c r="N303" s="25">
        <f>IF(M303="","",HYPERLINK(IF(LEFT(M303,4)="http",M303,set_QwilrBase&amp;M303),"Open quote"))</f>
        <v/>
      </c>
      <c r="O303" s="64" t="n"/>
      <c r="P303" s="24" t="n"/>
      <c r="Q303" s="24" t="n"/>
    </row>
    <row r="304" ht="15" customHeight="1">
      <c r="A304" s="63">
        <f>IF(C304="","",IFERROR(IF(SUMPRODUCT(MAX((tbl_Finance[Job Number]=C304&amp;"")*(tbl_Finance[Xero Invoice No]&lt;&gt;"")*tbl_Finance[Date]))=0,"",SUMPRODUCT(MAX((tbl_Finance[Job Number]=C304&amp;"")*(tbl_Finance[Xero Invoice No]&lt;&gt;"")*tbl_Finance[Date]))),""))</f>
        <v/>
      </c>
      <c r="B304" s="25">
        <f>IF(C304="","",IF(COUNTIFS(tbl_Finance[Job Number],C304&amp;"",tbl_Finance[Xero Invoice No],"&lt;&gt;")=0,"",IFERROR(IF(COUNTIFS(tbl_Finance[Job Number],C304&amp;"",tbl_Finance[Xero Invoice No],LOOKUP(2,1/((tbl_Finance[Job Number]=C304&amp;"")*(tbl_Finance[Xero Invoice No]&lt;&gt;"")),tbl_Finance[Xero Invoice No]))=COUNTIFS(tbl_Finance[Job Number],C304&amp;"",tbl_Finance[Xero Invoice No],"&lt;&gt;"),LOOKUP(2,1/((tbl_Finance[Job Number]=C304&amp;"")*(tbl_Finance[Xero Invoice No]&lt;&gt;"")),tbl_Finance[Xero Invoice No]),LOOKUP(2,1/((tbl_Finance[Job Number]=C304&amp;"")*(tbl_Finance[Xero Invoice No]&lt;&gt;"")),tbl_Finance[Xero Invoice No])&amp;" +more"),"")))</f>
        <v/>
      </c>
      <c r="C304" s="24" t="n"/>
      <c r="D304" s="25">
        <f>IF(C304="","",IF(COUNTIF(lst_Jobs,C304&amp;"")&gt;0,"OK","CHECK"))</f>
        <v/>
      </c>
      <c r="E304" s="25">
        <f>IF(C304="","",IFERROR(INDEX(lst_JobName,MATCH(C304&amp;"",lst_Jobs,0)),""))</f>
        <v/>
      </c>
      <c r="F304" s="25">
        <f>IF(C304="","",IFERROR(INDEX(tbl_Finance[Client],MATCH(C304&amp;"",tbl_Finance[Job Number],0)),""))</f>
        <v/>
      </c>
      <c r="G304" s="28">
        <f>IF(C304="","",COUNTIFS(tbl_Finance[Job Number],C304&amp;"",tbl_Finance[Ex GST],"&lt;&gt;"))</f>
        <v/>
      </c>
      <c r="H304" s="27">
        <f>IF(C304="","",SUMIFS(tbl_Finance[Ex GST],tbl_Finance[Job Number],C304&amp;""))</f>
        <v/>
      </c>
      <c r="I304" s="27">
        <f>IF(C304="","",SUMIFS(tbl_Finance[Ex GST],tbl_Finance[Job Number],C304&amp;"",tbl_Finance[Xero Invoice No],"&lt;&gt;"))</f>
        <v/>
      </c>
      <c r="J304" s="27">
        <f>IF(C304="","",H304-I304)</f>
        <v/>
      </c>
      <c r="K304" s="25">
        <f>IF(C304="","",IF(G304=0,"not invoiced yet",SUBSTITUTE(TRIM(IF(COUNTIFS(tbl_Finance[Job Number],C304&amp;"",tbl_Finance[Cost Centre],"ONSITE")&gt;0,"ONSITE ","")&amp;IF(COUNTIFS(tbl_Finance[Job Number],C304&amp;"",tbl_Finance[Cost Centre],"PRODUCTION")&gt;0,"PRODUCTION ","")&amp;IF(COUNTIFS(tbl_Finance[Job Number],C304&amp;"",tbl_Finance[Cost Centre],"VIDEO")&gt;0,"VIDEO ","")&amp;IF(COUNTIFS(tbl_Finance[Job Number],C304&amp;"",tbl_Finance[Cost Centre],"INTEGRATION")&gt;0,"INTEGRATION ","")&amp;IF(COUNTIFS(tbl_Finance[Job Number],C304&amp;"",tbl_Finance[Cost Centre],"CONSULTING")&gt;0,"CONSULTING ","")&amp;IF(COUNTIFS(tbl_Finance[Job Number],C304&amp;"",tbl_Finance[Cost Centre],"CTS")&gt;0,"CTS ",""))," ",", ")))</f>
        <v/>
      </c>
      <c r="L304" s="24" t="n"/>
      <c r="M304" s="24" t="n"/>
      <c r="N304" s="25">
        <f>IF(M304="","",HYPERLINK(IF(LEFT(M304,4)="http",M304,set_QwilrBase&amp;M304),"Open quote"))</f>
        <v/>
      </c>
      <c r="O304" s="64" t="n"/>
      <c r="P304" s="24" t="n"/>
      <c r="Q304" s="24" t="n"/>
    </row>
    <row r="305" ht="15" customHeight="1">
      <c r="A305" s="63">
        <f>IF(C305="","",IFERROR(IF(SUMPRODUCT(MAX((tbl_Finance[Job Number]=C305&amp;"")*(tbl_Finance[Xero Invoice No]&lt;&gt;"")*tbl_Finance[Date]))=0,"",SUMPRODUCT(MAX((tbl_Finance[Job Number]=C305&amp;"")*(tbl_Finance[Xero Invoice No]&lt;&gt;"")*tbl_Finance[Date]))),""))</f>
        <v/>
      </c>
      <c r="B305" s="25">
        <f>IF(C305="","",IF(COUNTIFS(tbl_Finance[Job Number],C305&amp;"",tbl_Finance[Xero Invoice No],"&lt;&gt;")=0,"",IFERROR(IF(COUNTIFS(tbl_Finance[Job Number],C305&amp;"",tbl_Finance[Xero Invoice No],LOOKUP(2,1/((tbl_Finance[Job Number]=C305&amp;"")*(tbl_Finance[Xero Invoice No]&lt;&gt;"")),tbl_Finance[Xero Invoice No]))=COUNTIFS(tbl_Finance[Job Number],C305&amp;"",tbl_Finance[Xero Invoice No],"&lt;&gt;"),LOOKUP(2,1/((tbl_Finance[Job Number]=C305&amp;"")*(tbl_Finance[Xero Invoice No]&lt;&gt;"")),tbl_Finance[Xero Invoice No]),LOOKUP(2,1/((tbl_Finance[Job Number]=C305&amp;"")*(tbl_Finance[Xero Invoice No]&lt;&gt;"")),tbl_Finance[Xero Invoice No])&amp;" +more"),"")))</f>
        <v/>
      </c>
      <c r="C305" s="24" t="n"/>
      <c r="D305" s="25">
        <f>IF(C305="","",IF(COUNTIF(lst_Jobs,C305&amp;"")&gt;0,"OK","CHECK"))</f>
        <v/>
      </c>
      <c r="E305" s="25">
        <f>IF(C305="","",IFERROR(INDEX(lst_JobName,MATCH(C305&amp;"",lst_Jobs,0)),""))</f>
        <v/>
      </c>
      <c r="F305" s="25">
        <f>IF(C305="","",IFERROR(INDEX(tbl_Finance[Client],MATCH(C305&amp;"",tbl_Finance[Job Number],0)),""))</f>
        <v/>
      </c>
      <c r="G305" s="28">
        <f>IF(C305="","",COUNTIFS(tbl_Finance[Job Number],C305&amp;"",tbl_Finance[Ex GST],"&lt;&gt;"))</f>
        <v/>
      </c>
      <c r="H305" s="27">
        <f>IF(C305="","",SUMIFS(tbl_Finance[Ex GST],tbl_Finance[Job Number],C305&amp;""))</f>
        <v/>
      </c>
      <c r="I305" s="27">
        <f>IF(C305="","",SUMIFS(tbl_Finance[Ex GST],tbl_Finance[Job Number],C305&amp;"",tbl_Finance[Xero Invoice No],"&lt;&gt;"))</f>
        <v/>
      </c>
      <c r="J305" s="27">
        <f>IF(C305="","",H305-I305)</f>
        <v/>
      </c>
      <c r="K305" s="25">
        <f>IF(C305="","",IF(G305=0,"not invoiced yet",SUBSTITUTE(TRIM(IF(COUNTIFS(tbl_Finance[Job Number],C305&amp;"",tbl_Finance[Cost Centre],"ONSITE")&gt;0,"ONSITE ","")&amp;IF(COUNTIFS(tbl_Finance[Job Number],C305&amp;"",tbl_Finance[Cost Centre],"PRODUCTION")&gt;0,"PRODUCTION ","")&amp;IF(COUNTIFS(tbl_Finance[Job Number],C305&amp;"",tbl_Finance[Cost Centre],"VIDEO")&gt;0,"VIDEO ","")&amp;IF(COUNTIFS(tbl_Finance[Job Number],C305&amp;"",tbl_Finance[Cost Centre],"INTEGRATION")&gt;0,"INTEGRATION ","")&amp;IF(COUNTIFS(tbl_Finance[Job Number],C305&amp;"",tbl_Finance[Cost Centre],"CONSULTING")&gt;0,"CONSULTING ","")&amp;IF(COUNTIFS(tbl_Finance[Job Number],C305&amp;"",tbl_Finance[Cost Centre],"CTS")&gt;0,"CTS ",""))," ",", ")))</f>
        <v/>
      </c>
      <c r="L305" s="24" t="n"/>
      <c r="M305" s="24" t="n"/>
      <c r="N305" s="25">
        <f>IF(M305="","",HYPERLINK(IF(LEFT(M305,4)="http",M305,set_QwilrBase&amp;M305),"Open quote"))</f>
        <v/>
      </c>
      <c r="O305" s="64" t="n"/>
      <c r="P305" s="24" t="n"/>
      <c r="Q305" s="24" t="n"/>
    </row>
    <row r="306" ht="15" customHeight="1">
      <c r="A306" s="63">
        <f>IF(C306="","",IFERROR(IF(SUMPRODUCT(MAX((tbl_Finance[Job Number]=C306&amp;"")*(tbl_Finance[Xero Invoice No]&lt;&gt;"")*tbl_Finance[Date]))=0,"",SUMPRODUCT(MAX((tbl_Finance[Job Number]=C306&amp;"")*(tbl_Finance[Xero Invoice No]&lt;&gt;"")*tbl_Finance[Date]))),""))</f>
        <v/>
      </c>
      <c r="B306" s="25">
        <f>IF(C306="","",IF(COUNTIFS(tbl_Finance[Job Number],C306&amp;"",tbl_Finance[Xero Invoice No],"&lt;&gt;")=0,"",IFERROR(IF(COUNTIFS(tbl_Finance[Job Number],C306&amp;"",tbl_Finance[Xero Invoice No],LOOKUP(2,1/((tbl_Finance[Job Number]=C306&amp;"")*(tbl_Finance[Xero Invoice No]&lt;&gt;"")),tbl_Finance[Xero Invoice No]))=COUNTIFS(tbl_Finance[Job Number],C306&amp;"",tbl_Finance[Xero Invoice No],"&lt;&gt;"),LOOKUP(2,1/((tbl_Finance[Job Number]=C306&amp;"")*(tbl_Finance[Xero Invoice No]&lt;&gt;"")),tbl_Finance[Xero Invoice No]),LOOKUP(2,1/((tbl_Finance[Job Number]=C306&amp;"")*(tbl_Finance[Xero Invoice No]&lt;&gt;"")),tbl_Finance[Xero Invoice No])&amp;" +more"),"")))</f>
        <v/>
      </c>
      <c r="C306" s="24" t="n"/>
      <c r="D306" s="25">
        <f>IF(C306="","",IF(COUNTIF(lst_Jobs,C306&amp;"")&gt;0,"OK","CHECK"))</f>
        <v/>
      </c>
      <c r="E306" s="25">
        <f>IF(C306="","",IFERROR(INDEX(lst_JobName,MATCH(C306&amp;"",lst_Jobs,0)),""))</f>
        <v/>
      </c>
      <c r="F306" s="25">
        <f>IF(C306="","",IFERROR(INDEX(tbl_Finance[Client],MATCH(C306&amp;"",tbl_Finance[Job Number],0)),""))</f>
        <v/>
      </c>
      <c r="G306" s="28">
        <f>IF(C306="","",COUNTIFS(tbl_Finance[Job Number],C306&amp;"",tbl_Finance[Ex GST],"&lt;&gt;"))</f>
        <v/>
      </c>
      <c r="H306" s="27">
        <f>IF(C306="","",SUMIFS(tbl_Finance[Ex GST],tbl_Finance[Job Number],C306&amp;""))</f>
        <v/>
      </c>
      <c r="I306" s="27">
        <f>IF(C306="","",SUMIFS(tbl_Finance[Ex GST],tbl_Finance[Job Number],C306&amp;"",tbl_Finance[Xero Invoice No],"&lt;&gt;"))</f>
        <v/>
      </c>
      <c r="J306" s="27">
        <f>IF(C306="","",H306-I306)</f>
        <v/>
      </c>
      <c r="K306" s="25">
        <f>IF(C306="","",IF(G306=0,"not invoiced yet",SUBSTITUTE(TRIM(IF(COUNTIFS(tbl_Finance[Job Number],C306&amp;"",tbl_Finance[Cost Centre],"ONSITE")&gt;0,"ONSITE ","")&amp;IF(COUNTIFS(tbl_Finance[Job Number],C306&amp;"",tbl_Finance[Cost Centre],"PRODUCTION")&gt;0,"PRODUCTION ","")&amp;IF(COUNTIFS(tbl_Finance[Job Number],C306&amp;"",tbl_Finance[Cost Centre],"VIDEO")&gt;0,"VIDEO ","")&amp;IF(COUNTIFS(tbl_Finance[Job Number],C306&amp;"",tbl_Finance[Cost Centre],"INTEGRATION")&gt;0,"INTEGRATION ","")&amp;IF(COUNTIFS(tbl_Finance[Job Number],C306&amp;"",tbl_Finance[Cost Centre],"CONSULTING")&gt;0,"CONSULTING ","")&amp;IF(COUNTIFS(tbl_Finance[Job Number],C306&amp;"",tbl_Finance[Cost Centre],"CTS")&gt;0,"CTS ",""))," ",", ")))</f>
        <v/>
      </c>
      <c r="L306" s="24" t="n"/>
      <c r="M306" s="24" t="n"/>
      <c r="N306" s="25">
        <f>IF(M306="","",HYPERLINK(IF(LEFT(M306,4)="http",M306,set_QwilrBase&amp;M306),"Open quote"))</f>
        <v/>
      </c>
      <c r="O306" s="64" t="n"/>
      <c r="P306" s="24" t="n"/>
      <c r="Q306" s="24" t="n"/>
    </row>
    <row r="307" ht="15" customHeight="1">
      <c r="A307" s="63">
        <f>IF(C307="","",IFERROR(IF(SUMPRODUCT(MAX((tbl_Finance[Job Number]=C307&amp;"")*(tbl_Finance[Xero Invoice No]&lt;&gt;"")*tbl_Finance[Date]))=0,"",SUMPRODUCT(MAX((tbl_Finance[Job Number]=C307&amp;"")*(tbl_Finance[Xero Invoice No]&lt;&gt;"")*tbl_Finance[Date]))),""))</f>
        <v/>
      </c>
      <c r="B307" s="25">
        <f>IF(C307="","",IF(COUNTIFS(tbl_Finance[Job Number],C307&amp;"",tbl_Finance[Xero Invoice No],"&lt;&gt;")=0,"",IFERROR(IF(COUNTIFS(tbl_Finance[Job Number],C307&amp;"",tbl_Finance[Xero Invoice No],LOOKUP(2,1/((tbl_Finance[Job Number]=C307&amp;"")*(tbl_Finance[Xero Invoice No]&lt;&gt;"")),tbl_Finance[Xero Invoice No]))=COUNTIFS(tbl_Finance[Job Number],C307&amp;"",tbl_Finance[Xero Invoice No],"&lt;&gt;"),LOOKUP(2,1/((tbl_Finance[Job Number]=C307&amp;"")*(tbl_Finance[Xero Invoice No]&lt;&gt;"")),tbl_Finance[Xero Invoice No]),LOOKUP(2,1/((tbl_Finance[Job Number]=C307&amp;"")*(tbl_Finance[Xero Invoice No]&lt;&gt;"")),tbl_Finance[Xero Invoice No])&amp;" +more"),"")))</f>
        <v/>
      </c>
      <c r="C307" s="24" t="n"/>
      <c r="D307" s="25">
        <f>IF(C307="","",IF(COUNTIF(lst_Jobs,C307&amp;"")&gt;0,"OK","CHECK"))</f>
        <v/>
      </c>
      <c r="E307" s="25">
        <f>IF(C307="","",IFERROR(INDEX(lst_JobName,MATCH(C307&amp;"",lst_Jobs,0)),""))</f>
        <v/>
      </c>
      <c r="F307" s="25">
        <f>IF(C307="","",IFERROR(INDEX(tbl_Finance[Client],MATCH(C307&amp;"",tbl_Finance[Job Number],0)),""))</f>
        <v/>
      </c>
      <c r="G307" s="28">
        <f>IF(C307="","",COUNTIFS(tbl_Finance[Job Number],C307&amp;"",tbl_Finance[Ex GST],"&lt;&gt;"))</f>
        <v/>
      </c>
      <c r="H307" s="27">
        <f>IF(C307="","",SUMIFS(tbl_Finance[Ex GST],tbl_Finance[Job Number],C307&amp;""))</f>
        <v/>
      </c>
      <c r="I307" s="27">
        <f>IF(C307="","",SUMIFS(tbl_Finance[Ex GST],tbl_Finance[Job Number],C307&amp;"",tbl_Finance[Xero Invoice No],"&lt;&gt;"))</f>
        <v/>
      </c>
      <c r="J307" s="27">
        <f>IF(C307="","",H307-I307)</f>
        <v/>
      </c>
      <c r="K307" s="25">
        <f>IF(C307="","",IF(G307=0,"not invoiced yet",SUBSTITUTE(TRIM(IF(COUNTIFS(tbl_Finance[Job Number],C307&amp;"",tbl_Finance[Cost Centre],"ONSITE")&gt;0,"ONSITE ","")&amp;IF(COUNTIFS(tbl_Finance[Job Number],C307&amp;"",tbl_Finance[Cost Centre],"PRODUCTION")&gt;0,"PRODUCTION ","")&amp;IF(COUNTIFS(tbl_Finance[Job Number],C307&amp;"",tbl_Finance[Cost Centre],"VIDEO")&gt;0,"VIDEO ","")&amp;IF(COUNTIFS(tbl_Finance[Job Number],C307&amp;"",tbl_Finance[Cost Centre],"INTEGRATION")&gt;0,"INTEGRATION ","")&amp;IF(COUNTIFS(tbl_Finance[Job Number],C307&amp;"",tbl_Finance[Cost Centre],"CONSULTING")&gt;0,"CONSULTING ","")&amp;IF(COUNTIFS(tbl_Finance[Job Number],C307&amp;"",tbl_Finance[Cost Centre],"CTS")&gt;0,"CTS ",""))," ",", ")))</f>
        <v/>
      </c>
      <c r="L307" s="24" t="n"/>
      <c r="M307" s="24" t="n"/>
      <c r="N307" s="25">
        <f>IF(M307="","",HYPERLINK(IF(LEFT(M307,4)="http",M307,set_QwilrBase&amp;M307),"Open quote"))</f>
        <v/>
      </c>
      <c r="O307" s="64" t="n"/>
      <c r="P307" s="24" t="n"/>
      <c r="Q307" s="24" t="n"/>
    </row>
    <row r="308" ht="15" customHeight="1">
      <c r="A308" s="63">
        <f>IF(C308="","",IFERROR(IF(SUMPRODUCT(MAX((tbl_Finance[Job Number]=C308&amp;"")*(tbl_Finance[Xero Invoice No]&lt;&gt;"")*tbl_Finance[Date]))=0,"",SUMPRODUCT(MAX((tbl_Finance[Job Number]=C308&amp;"")*(tbl_Finance[Xero Invoice No]&lt;&gt;"")*tbl_Finance[Date]))),""))</f>
        <v/>
      </c>
      <c r="B308" s="25">
        <f>IF(C308="","",IF(COUNTIFS(tbl_Finance[Job Number],C308&amp;"",tbl_Finance[Xero Invoice No],"&lt;&gt;")=0,"",IFERROR(IF(COUNTIFS(tbl_Finance[Job Number],C308&amp;"",tbl_Finance[Xero Invoice No],LOOKUP(2,1/((tbl_Finance[Job Number]=C308&amp;"")*(tbl_Finance[Xero Invoice No]&lt;&gt;"")),tbl_Finance[Xero Invoice No]))=COUNTIFS(tbl_Finance[Job Number],C308&amp;"",tbl_Finance[Xero Invoice No],"&lt;&gt;"),LOOKUP(2,1/((tbl_Finance[Job Number]=C308&amp;"")*(tbl_Finance[Xero Invoice No]&lt;&gt;"")),tbl_Finance[Xero Invoice No]),LOOKUP(2,1/((tbl_Finance[Job Number]=C308&amp;"")*(tbl_Finance[Xero Invoice No]&lt;&gt;"")),tbl_Finance[Xero Invoice No])&amp;" +more"),"")))</f>
        <v/>
      </c>
      <c r="C308" s="24" t="n"/>
      <c r="D308" s="25">
        <f>IF(C308="","",IF(COUNTIF(lst_Jobs,C308&amp;"")&gt;0,"OK","CHECK"))</f>
        <v/>
      </c>
      <c r="E308" s="25">
        <f>IF(C308="","",IFERROR(INDEX(lst_JobName,MATCH(C308&amp;"",lst_Jobs,0)),""))</f>
        <v/>
      </c>
      <c r="F308" s="25">
        <f>IF(C308="","",IFERROR(INDEX(tbl_Finance[Client],MATCH(C308&amp;"",tbl_Finance[Job Number],0)),""))</f>
        <v/>
      </c>
      <c r="G308" s="28">
        <f>IF(C308="","",COUNTIFS(tbl_Finance[Job Number],C308&amp;"",tbl_Finance[Ex GST],"&lt;&gt;"))</f>
        <v/>
      </c>
      <c r="H308" s="27">
        <f>IF(C308="","",SUMIFS(tbl_Finance[Ex GST],tbl_Finance[Job Number],C308&amp;""))</f>
        <v/>
      </c>
      <c r="I308" s="27">
        <f>IF(C308="","",SUMIFS(tbl_Finance[Ex GST],tbl_Finance[Job Number],C308&amp;"",tbl_Finance[Xero Invoice No],"&lt;&gt;"))</f>
        <v/>
      </c>
      <c r="J308" s="27">
        <f>IF(C308="","",H308-I308)</f>
        <v/>
      </c>
      <c r="K308" s="25">
        <f>IF(C308="","",IF(G308=0,"not invoiced yet",SUBSTITUTE(TRIM(IF(COUNTIFS(tbl_Finance[Job Number],C308&amp;"",tbl_Finance[Cost Centre],"ONSITE")&gt;0,"ONSITE ","")&amp;IF(COUNTIFS(tbl_Finance[Job Number],C308&amp;"",tbl_Finance[Cost Centre],"PRODUCTION")&gt;0,"PRODUCTION ","")&amp;IF(COUNTIFS(tbl_Finance[Job Number],C308&amp;"",tbl_Finance[Cost Centre],"VIDEO")&gt;0,"VIDEO ","")&amp;IF(COUNTIFS(tbl_Finance[Job Number],C308&amp;"",tbl_Finance[Cost Centre],"INTEGRATION")&gt;0,"INTEGRATION ","")&amp;IF(COUNTIFS(tbl_Finance[Job Number],C308&amp;"",tbl_Finance[Cost Centre],"CONSULTING")&gt;0,"CONSULTING ","")&amp;IF(COUNTIFS(tbl_Finance[Job Number],C308&amp;"",tbl_Finance[Cost Centre],"CTS")&gt;0,"CTS ",""))," ",", ")))</f>
        <v/>
      </c>
      <c r="L308" s="24" t="n"/>
      <c r="M308" s="24" t="n"/>
      <c r="N308" s="25">
        <f>IF(M308="","",HYPERLINK(IF(LEFT(M308,4)="http",M308,set_QwilrBase&amp;M308),"Open quote"))</f>
        <v/>
      </c>
      <c r="O308" s="64" t="n"/>
      <c r="P308" s="24" t="n"/>
      <c r="Q308" s="24" t="n"/>
    </row>
    <row r="309" ht="15" customHeight="1">
      <c r="A309" s="63">
        <f>IF(C309="","",IFERROR(IF(SUMPRODUCT(MAX((tbl_Finance[Job Number]=C309&amp;"")*(tbl_Finance[Xero Invoice No]&lt;&gt;"")*tbl_Finance[Date]))=0,"",SUMPRODUCT(MAX((tbl_Finance[Job Number]=C309&amp;"")*(tbl_Finance[Xero Invoice No]&lt;&gt;"")*tbl_Finance[Date]))),""))</f>
        <v/>
      </c>
      <c r="B309" s="25">
        <f>IF(C309="","",IF(COUNTIFS(tbl_Finance[Job Number],C309&amp;"",tbl_Finance[Xero Invoice No],"&lt;&gt;")=0,"",IFERROR(IF(COUNTIFS(tbl_Finance[Job Number],C309&amp;"",tbl_Finance[Xero Invoice No],LOOKUP(2,1/((tbl_Finance[Job Number]=C309&amp;"")*(tbl_Finance[Xero Invoice No]&lt;&gt;"")),tbl_Finance[Xero Invoice No]))=COUNTIFS(tbl_Finance[Job Number],C309&amp;"",tbl_Finance[Xero Invoice No],"&lt;&gt;"),LOOKUP(2,1/((tbl_Finance[Job Number]=C309&amp;"")*(tbl_Finance[Xero Invoice No]&lt;&gt;"")),tbl_Finance[Xero Invoice No]),LOOKUP(2,1/((tbl_Finance[Job Number]=C309&amp;"")*(tbl_Finance[Xero Invoice No]&lt;&gt;"")),tbl_Finance[Xero Invoice No])&amp;" +more"),"")))</f>
        <v/>
      </c>
      <c r="C309" s="24" t="n"/>
      <c r="D309" s="25">
        <f>IF(C309="","",IF(COUNTIF(lst_Jobs,C309&amp;"")&gt;0,"OK","CHECK"))</f>
        <v/>
      </c>
      <c r="E309" s="25">
        <f>IF(C309="","",IFERROR(INDEX(lst_JobName,MATCH(C309&amp;"",lst_Jobs,0)),""))</f>
        <v/>
      </c>
      <c r="F309" s="25">
        <f>IF(C309="","",IFERROR(INDEX(tbl_Finance[Client],MATCH(C309&amp;"",tbl_Finance[Job Number],0)),""))</f>
        <v/>
      </c>
      <c r="G309" s="28">
        <f>IF(C309="","",COUNTIFS(tbl_Finance[Job Number],C309&amp;"",tbl_Finance[Ex GST],"&lt;&gt;"))</f>
        <v/>
      </c>
      <c r="H309" s="27">
        <f>IF(C309="","",SUMIFS(tbl_Finance[Ex GST],tbl_Finance[Job Number],C309&amp;""))</f>
        <v/>
      </c>
      <c r="I309" s="27">
        <f>IF(C309="","",SUMIFS(tbl_Finance[Ex GST],tbl_Finance[Job Number],C309&amp;"",tbl_Finance[Xero Invoice No],"&lt;&gt;"))</f>
        <v/>
      </c>
      <c r="J309" s="27">
        <f>IF(C309="","",H309-I309)</f>
        <v/>
      </c>
      <c r="K309" s="25">
        <f>IF(C309="","",IF(G309=0,"not invoiced yet",SUBSTITUTE(TRIM(IF(COUNTIFS(tbl_Finance[Job Number],C309&amp;"",tbl_Finance[Cost Centre],"ONSITE")&gt;0,"ONSITE ","")&amp;IF(COUNTIFS(tbl_Finance[Job Number],C309&amp;"",tbl_Finance[Cost Centre],"PRODUCTION")&gt;0,"PRODUCTION ","")&amp;IF(COUNTIFS(tbl_Finance[Job Number],C309&amp;"",tbl_Finance[Cost Centre],"VIDEO")&gt;0,"VIDEO ","")&amp;IF(COUNTIFS(tbl_Finance[Job Number],C309&amp;"",tbl_Finance[Cost Centre],"INTEGRATION")&gt;0,"INTEGRATION ","")&amp;IF(COUNTIFS(tbl_Finance[Job Number],C309&amp;"",tbl_Finance[Cost Centre],"CONSULTING")&gt;0,"CONSULTING ","")&amp;IF(COUNTIFS(tbl_Finance[Job Number],C309&amp;"",tbl_Finance[Cost Centre],"CTS")&gt;0,"CTS ",""))," ",", ")))</f>
        <v/>
      </c>
      <c r="L309" s="24" t="n"/>
      <c r="M309" s="24" t="n"/>
      <c r="N309" s="25">
        <f>IF(M309="","",HYPERLINK(IF(LEFT(M309,4)="http",M309,set_QwilrBase&amp;M309),"Open quote"))</f>
        <v/>
      </c>
      <c r="O309" s="64" t="n"/>
      <c r="P309" s="24" t="n"/>
      <c r="Q309" s="24" t="n"/>
    </row>
    <row r="310" ht="15" customHeight="1">
      <c r="A310" s="63">
        <f>IF(C310="","",IFERROR(IF(SUMPRODUCT(MAX((tbl_Finance[Job Number]=C310&amp;"")*(tbl_Finance[Xero Invoice No]&lt;&gt;"")*tbl_Finance[Date]))=0,"",SUMPRODUCT(MAX((tbl_Finance[Job Number]=C310&amp;"")*(tbl_Finance[Xero Invoice No]&lt;&gt;"")*tbl_Finance[Date]))),""))</f>
        <v/>
      </c>
      <c r="B310" s="25">
        <f>IF(C310="","",IF(COUNTIFS(tbl_Finance[Job Number],C310&amp;"",tbl_Finance[Xero Invoice No],"&lt;&gt;")=0,"",IFERROR(IF(COUNTIFS(tbl_Finance[Job Number],C310&amp;"",tbl_Finance[Xero Invoice No],LOOKUP(2,1/((tbl_Finance[Job Number]=C310&amp;"")*(tbl_Finance[Xero Invoice No]&lt;&gt;"")),tbl_Finance[Xero Invoice No]))=COUNTIFS(tbl_Finance[Job Number],C310&amp;"",tbl_Finance[Xero Invoice No],"&lt;&gt;"),LOOKUP(2,1/((tbl_Finance[Job Number]=C310&amp;"")*(tbl_Finance[Xero Invoice No]&lt;&gt;"")),tbl_Finance[Xero Invoice No]),LOOKUP(2,1/((tbl_Finance[Job Number]=C310&amp;"")*(tbl_Finance[Xero Invoice No]&lt;&gt;"")),tbl_Finance[Xero Invoice No])&amp;" +more"),"")))</f>
        <v/>
      </c>
      <c r="C310" s="24" t="n"/>
      <c r="D310" s="25">
        <f>IF(C310="","",IF(COUNTIF(lst_Jobs,C310&amp;"")&gt;0,"OK","CHECK"))</f>
        <v/>
      </c>
      <c r="E310" s="25">
        <f>IF(C310="","",IFERROR(INDEX(lst_JobName,MATCH(C310&amp;"",lst_Jobs,0)),""))</f>
        <v/>
      </c>
      <c r="F310" s="25">
        <f>IF(C310="","",IFERROR(INDEX(tbl_Finance[Client],MATCH(C310&amp;"",tbl_Finance[Job Number],0)),""))</f>
        <v/>
      </c>
      <c r="G310" s="28">
        <f>IF(C310="","",COUNTIFS(tbl_Finance[Job Number],C310&amp;"",tbl_Finance[Ex GST],"&lt;&gt;"))</f>
        <v/>
      </c>
      <c r="H310" s="27">
        <f>IF(C310="","",SUMIFS(tbl_Finance[Ex GST],tbl_Finance[Job Number],C310&amp;""))</f>
        <v/>
      </c>
      <c r="I310" s="27">
        <f>IF(C310="","",SUMIFS(tbl_Finance[Ex GST],tbl_Finance[Job Number],C310&amp;"",tbl_Finance[Xero Invoice No],"&lt;&gt;"))</f>
        <v/>
      </c>
      <c r="J310" s="27">
        <f>IF(C310="","",H310-I310)</f>
        <v/>
      </c>
      <c r="K310" s="25">
        <f>IF(C310="","",IF(G310=0,"not invoiced yet",SUBSTITUTE(TRIM(IF(COUNTIFS(tbl_Finance[Job Number],C310&amp;"",tbl_Finance[Cost Centre],"ONSITE")&gt;0,"ONSITE ","")&amp;IF(COUNTIFS(tbl_Finance[Job Number],C310&amp;"",tbl_Finance[Cost Centre],"PRODUCTION")&gt;0,"PRODUCTION ","")&amp;IF(COUNTIFS(tbl_Finance[Job Number],C310&amp;"",tbl_Finance[Cost Centre],"VIDEO")&gt;0,"VIDEO ","")&amp;IF(COUNTIFS(tbl_Finance[Job Number],C310&amp;"",tbl_Finance[Cost Centre],"INTEGRATION")&gt;0,"INTEGRATION ","")&amp;IF(COUNTIFS(tbl_Finance[Job Number],C310&amp;"",tbl_Finance[Cost Centre],"CONSULTING")&gt;0,"CONSULTING ","")&amp;IF(COUNTIFS(tbl_Finance[Job Number],C310&amp;"",tbl_Finance[Cost Centre],"CTS")&gt;0,"CTS ",""))," ",", ")))</f>
        <v/>
      </c>
      <c r="L310" s="24" t="n"/>
      <c r="M310" s="24" t="n"/>
      <c r="N310" s="25">
        <f>IF(M310="","",HYPERLINK(IF(LEFT(M310,4)="http",M310,set_QwilrBase&amp;M310),"Open quote"))</f>
        <v/>
      </c>
      <c r="O310" s="64" t="n"/>
      <c r="P310" s="24" t="n"/>
      <c r="Q310" s="24" t="n"/>
    </row>
    <row r="311" ht="15" customHeight="1">
      <c r="A311" s="63">
        <f>IF(C311="","",IFERROR(IF(SUMPRODUCT(MAX((tbl_Finance[Job Number]=C311&amp;"")*(tbl_Finance[Xero Invoice No]&lt;&gt;"")*tbl_Finance[Date]))=0,"",SUMPRODUCT(MAX((tbl_Finance[Job Number]=C311&amp;"")*(tbl_Finance[Xero Invoice No]&lt;&gt;"")*tbl_Finance[Date]))),""))</f>
        <v/>
      </c>
      <c r="B311" s="25">
        <f>IF(C311="","",IF(COUNTIFS(tbl_Finance[Job Number],C311&amp;"",tbl_Finance[Xero Invoice No],"&lt;&gt;")=0,"",IFERROR(IF(COUNTIFS(tbl_Finance[Job Number],C311&amp;"",tbl_Finance[Xero Invoice No],LOOKUP(2,1/((tbl_Finance[Job Number]=C311&amp;"")*(tbl_Finance[Xero Invoice No]&lt;&gt;"")),tbl_Finance[Xero Invoice No]))=COUNTIFS(tbl_Finance[Job Number],C311&amp;"",tbl_Finance[Xero Invoice No],"&lt;&gt;"),LOOKUP(2,1/((tbl_Finance[Job Number]=C311&amp;"")*(tbl_Finance[Xero Invoice No]&lt;&gt;"")),tbl_Finance[Xero Invoice No]),LOOKUP(2,1/((tbl_Finance[Job Number]=C311&amp;"")*(tbl_Finance[Xero Invoice No]&lt;&gt;"")),tbl_Finance[Xero Invoice No])&amp;" +more"),"")))</f>
        <v/>
      </c>
      <c r="C311" s="24" t="n"/>
      <c r="D311" s="25">
        <f>IF(C311="","",IF(COUNTIF(lst_Jobs,C311&amp;"")&gt;0,"OK","CHECK"))</f>
        <v/>
      </c>
      <c r="E311" s="25">
        <f>IF(C311="","",IFERROR(INDEX(lst_JobName,MATCH(C311&amp;"",lst_Jobs,0)),""))</f>
        <v/>
      </c>
      <c r="F311" s="25">
        <f>IF(C311="","",IFERROR(INDEX(tbl_Finance[Client],MATCH(C311&amp;"",tbl_Finance[Job Number],0)),""))</f>
        <v/>
      </c>
      <c r="G311" s="28">
        <f>IF(C311="","",COUNTIFS(tbl_Finance[Job Number],C311&amp;"",tbl_Finance[Ex GST],"&lt;&gt;"))</f>
        <v/>
      </c>
      <c r="H311" s="27">
        <f>IF(C311="","",SUMIFS(tbl_Finance[Ex GST],tbl_Finance[Job Number],C311&amp;""))</f>
        <v/>
      </c>
      <c r="I311" s="27">
        <f>IF(C311="","",SUMIFS(tbl_Finance[Ex GST],tbl_Finance[Job Number],C311&amp;"",tbl_Finance[Xero Invoice No],"&lt;&gt;"))</f>
        <v/>
      </c>
      <c r="J311" s="27">
        <f>IF(C311="","",H311-I311)</f>
        <v/>
      </c>
      <c r="K311" s="25">
        <f>IF(C311="","",IF(G311=0,"not invoiced yet",SUBSTITUTE(TRIM(IF(COUNTIFS(tbl_Finance[Job Number],C311&amp;"",tbl_Finance[Cost Centre],"ONSITE")&gt;0,"ONSITE ","")&amp;IF(COUNTIFS(tbl_Finance[Job Number],C311&amp;"",tbl_Finance[Cost Centre],"PRODUCTION")&gt;0,"PRODUCTION ","")&amp;IF(COUNTIFS(tbl_Finance[Job Number],C311&amp;"",tbl_Finance[Cost Centre],"VIDEO")&gt;0,"VIDEO ","")&amp;IF(COUNTIFS(tbl_Finance[Job Number],C311&amp;"",tbl_Finance[Cost Centre],"INTEGRATION")&gt;0,"INTEGRATION ","")&amp;IF(COUNTIFS(tbl_Finance[Job Number],C311&amp;"",tbl_Finance[Cost Centre],"CONSULTING")&gt;0,"CONSULTING ","")&amp;IF(COUNTIFS(tbl_Finance[Job Number],C311&amp;"",tbl_Finance[Cost Centre],"CTS")&gt;0,"CTS ",""))," ",", ")))</f>
        <v/>
      </c>
      <c r="L311" s="24" t="n"/>
      <c r="M311" s="24" t="n"/>
      <c r="N311" s="25">
        <f>IF(M311="","",HYPERLINK(IF(LEFT(M311,4)="http",M311,set_QwilrBase&amp;M311),"Open quote"))</f>
        <v/>
      </c>
      <c r="O311" s="64" t="n"/>
      <c r="P311" s="24" t="n"/>
      <c r="Q311" s="24" t="n"/>
    </row>
    <row r="312" ht="15" customHeight="1">
      <c r="A312" s="63">
        <f>IF(C312="","",IFERROR(IF(SUMPRODUCT(MAX((tbl_Finance[Job Number]=C312&amp;"")*(tbl_Finance[Xero Invoice No]&lt;&gt;"")*tbl_Finance[Date]))=0,"",SUMPRODUCT(MAX((tbl_Finance[Job Number]=C312&amp;"")*(tbl_Finance[Xero Invoice No]&lt;&gt;"")*tbl_Finance[Date]))),""))</f>
        <v/>
      </c>
      <c r="B312" s="25">
        <f>IF(C312="","",IF(COUNTIFS(tbl_Finance[Job Number],C312&amp;"",tbl_Finance[Xero Invoice No],"&lt;&gt;")=0,"",IFERROR(IF(COUNTIFS(tbl_Finance[Job Number],C312&amp;"",tbl_Finance[Xero Invoice No],LOOKUP(2,1/((tbl_Finance[Job Number]=C312&amp;"")*(tbl_Finance[Xero Invoice No]&lt;&gt;"")),tbl_Finance[Xero Invoice No]))=COUNTIFS(tbl_Finance[Job Number],C312&amp;"",tbl_Finance[Xero Invoice No],"&lt;&gt;"),LOOKUP(2,1/((tbl_Finance[Job Number]=C312&amp;"")*(tbl_Finance[Xero Invoice No]&lt;&gt;"")),tbl_Finance[Xero Invoice No]),LOOKUP(2,1/((tbl_Finance[Job Number]=C312&amp;"")*(tbl_Finance[Xero Invoice No]&lt;&gt;"")),tbl_Finance[Xero Invoice No])&amp;" +more"),"")))</f>
        <v/>
      </c>
      <c r="C312" s="24" t="n"/>
      <c r="D312" s="25">
        <f>IF(C312="","",IF(COUNTIF(lst_Jobs,C312&amp;"")&gt;0,"OK","CHECK"))</f>
        <v/>
      </c>
      <c r="E312" s="25">
        <f>IF(C312="","",IFERROR(INDEX(lst_JobName,MATCH(C312&amp;"",lst_Jobs,0)),""))</f>
        <v/>
      </c>
      <c r="F312" s="25">
        <f>IF(C312="","",IFERROR(INDEX(tbl_Finance[Client],MATCH(C312&amp;"",tbl_Finance[Job Number],0)),""))</f>
        <v/>
      </c>
      <c r="G312" s="28">
        <f>IF(C312="","",COUNTIFS(tbl_Finance[Job Number],C312&amp;"",tbl_Finance[Ex GST],"&lt;&gt;"))</f>
        <v/>
      </c>
      <c r="H312" s="27">
        <f>IF(C312="","",SUMIFS(tbl_Finance[Ex GST],tbl_Finance[Job Number],C312&amp;""))</f>
        <v/>
      </c>
      <c r="I312" s="27">
        <f>IF(C312="","",SUMIFS(tbl_Finance[Ex GST],tbl_Finance[Job Number],C312&amp;"",tbl_Finance[Xero Invoice No],"&lt;&gt;"))</f>
        <v/>
      </c>
      <c r="J312" s="27">
        <f>IF(C312="","",H312-I312)</f>
        <v/>
      </c>
      <c r="K312" s="25">
        <f>IF(C312="","",IF(G312=0,"not invoiced yet",SUBSTITUTE(TRIM(IF(COUNTIFS(tbl_Finance[Job Number],C312&amp;"",tbl_Finance[Cost Centre],"ONSITE")&gt;0,"ONSITE ","")&amp;IF(COUNTIFS(tbl_Finance[Job Number],C312&amp;"",tbl_Finance[Cost Centre],"PRODUCTION")&gt;0,"PRODUCTION ","")&amp;IF(COUNTIFS(tbl_Finance[Job Number],C312&amp;"",tbl_Finance[Cost Centre],"VIDEO")&gt;0,"VIDEO ","")&amp;IF(COUNTIFS(tbl_Finance[Job Number],C312&amp;"",tbl_Finance[Cost Centre],"INTEGRATION")&gt;0,"INTEGRATION ","")&amp;IF(COUNTIFS(tbl_Finance[Job Number],C312&amp;"",tbl_Finance[Cost Centre],"CONSULTING")&gt;0,"CONSULTING ","")&amp;IF(COUNTIFS(tbl_Finance[Job Number],C312&amp;"",tbl_Finance[Cost Centre],"CTS")&gt;0,"CTS ",""))," ",", ")))</f>
        <v/>
      </c>
      <c r="L312" s="24" t="n"/>
      <c r="M312" s="24" t="n"/>
      <c r="N312" s="25">
        <f>IF(M312="","",HYPERLINK(IF(LEFT(M312,4)="http",M312,set_QwilrBase&amp;M312),"Open quote"))</f>
        <v/>
      </c>
      <c r="O312" s="64" t="n"/>
      <c r="P312" s="24" t="n"/>
      <c r="Q312" s="24" t="n"/>
    </row>
    <row r="313" ht="15" customHeight="1">
      <c r="A313" s="63">
        <f>IF(C313="","",IFERROR(IF(SUMPRODUCT(MAX((tbl_Finance[Job Number]=C313&amp;"")*(tbl_Finance[Xero Invoice No]&lt;&gt;"")*tbl_Finance[Date]))=0,"",SUMPRODUCT(MAX((tbl_Finance[Job Number]=C313&amp;"")*(tbl_Finance[Xero Invoice No]&lt;&gt;"")*tbl_Finance[Date]))),""))</f>
        <v/>
      </c>
      <c r="B313" s="25">
        <f>IF(C313="","",IF(COUNTIFS(tbl_Finance[Job Number],C313&amp;"",tbl_Finance[Xero Invoice No],"&lt;&gt;")=0,"",IFERROR(IF(COUNTIFS(tbl_Finance[Job Number],C313&amp;"",tbl_Finance[Xero Invoice No],LOOKUP(2,1/((tbl_Finance[Job Number]=C313&amp;"")*(tbl_Finance[Xero Invoice No]&lt;&gt;"")),tbl_Finance[Xero Invoice No]))=COUNTIFS(tbl_Finance[Job Number],C313&amp;"",tbl_Finance[Xero Invoice No],"&lt;&gt;"),LOOKUP(2,1/((tbl_Finance[Job Number]=C313&amp;"")*(tbl_Finance[Xero Invoice No]&lt;&gt;"")),tbl_Finance[Xero Invoice No]),LOOKUP(2,1/((tbl_Finance[Job Number]=C313&amp;"")*(tbl_Finance[Xero Invoice No]&lt;&gt;"")),tbl_Finance[Xero Invoice No])&amp;" +more"),"")))</f>
        <v/>
      </c>
      <c r="C313" s="24" t="n"/>
      <c r="D313" s="25">
        <f>IF(C313="","",IF(COUNTIF(lst_Jobs,C313&amp;"")&gt;0,"OK","CHECK"))</f>
        <v/>
      </c>
      <c r="E313" s="25">
        <f>IF(C313="","",IFERROR(INDEX(lst_JobName,MATCH(C313&amp;"",lst_Jobs,0)),""))</f>
        <v/>
      </c>
      <c r="F313" s="25">
        <f>IF(C313="","",IFERROR(INDEX(tbl_Finance[Client],MATCH(C313&amp;"",tbl_Finance[Job Number],0)),""))</f>
        <v/>
      </c>
      <c r="G313" s="28">
        <f>IF(C313="","",COUNTIFS(tbl_Finance[Job Number],C313&amp;"",tbl_Finance[Ex GST],"&lt;&gt;"))</f>
        <v/>
      </c>
      <c r="H313" s="27">
        <f>IF(C313="","",SUMIFS(tbl_Finance[Ex GST],tbl_Finance[Job Number],C313&amp;""))</f>
        <v/>
      </c>
      <c r="I313" s="27">
        <f>IF(C313="","",SUMIFS(tbl_Finance[Ex GST],tbl_Finance[Job Number],C313&amp;"",tbl_Finance[Xero Invoice No],"&lt;&gt;"))</f>
        <v/>
      </c>
      <c r="J313" s="27">
        <f>IF(C313="","",H313-I313)</f>
        <v/>
      </c>
      <c r="K313" s="25">
        <f>IF(C313="","",IF(G313=0,"not invoiced yet",SUBSTITUTE(TRIM(IF(COUNTIFS(tbl_Finance[Job Number],C313&amp;"",tbl_Finance[Cost Centre],"ONSITE")&gt;0,"ONSITE ","")&amp;IF(COUNTIFS(tbl_Finance[Job Number],C313&amp;"",tbl_Finance[Cost Centre],"PRODUCTION")&gt;0,"PRODUCTION ","")&amp;IF(COUNTIFS(tbl_Finance[Job Number],C313&amp;"",tbl_Finance[Cost Centre],"VIDEO")&gt;0,"VIDEO ","")&amp;IF(COUNTIFS(tbl_Finance[Job Number],C313&amp;"",tbl_Finance[Cost Centre],"INTEGRATION")&gt;0,"INTEGRATION ","")&amp;IF(COUNTIFS(tbl_Finance[Job Number],C313&amp;"",tbl_Finance[Cost Centre],"CONSULTING")&gt;0,"CONSULTING ","")&amp;IF(COUNTIFS(tbl_Finance[Job Number],C313&amp;"",tbl_Finance[Cost Centre],"CTS")&gt;0,"CTS ",""))," ",", ")))</f>
        <v/>
      </c>
      <c r="L313" s="24" t="n"/>
      <c r="M313" s="24" t="n"/>
      <c r="N313" s="25">
        <f>IF(M313="","",HYPERLINK(IF(LEFT(M313,4)="http",M313,set_QwilrBase&amp;M313),"Open quote"))</f>
        <v/>
      </c>
      <c r="O313" s="64" t="n"/>
      <c r="P313" s="24" t="n"/>
      <c r="Q313" s="24" t="n"/>
    </row>
    <row r="314" ht="15" customHeight="1">
      <c r="A314" s="63">
        <f>IF(C314="","",IFERROR(IF(SUMPRODUCT(MAX((tbl_Finance[Job Number]=C314&amp;"")*(tbl_Finance[Xero Invoice No]&lt;&gt;"")*tbl_Finance[Date]))=0,"",SUMPRODUCT(MAX((tbl_Finance[Job Number]=C314&amp;"")*(tbl_Finance[Xero Invoice No]&lt;&gt;"")*tbl_Finance[Date]))),""))</f>
        <v/>
      </c>
      <c r="B314" s="25">
        <f>IF(C314="","",IF(COUNTIFS(tbl_Finance[Job Number],C314&amp;"",tbl_Finance[Xero Invoice No],"&lt;&gt;")=0,"",IFERROR(IF(COUNTIFS(tbl_Finance[Job Number],C314&amp;"",tbl_Finance[Xero Invoice No],LOOKUP(2,1/((tbl_Finance[Job Number]=C314&amp;"")*(tbl_Finance[Xero Invoice No]&lt;&gt;"")),tbl_Finance[Xero Invoice No]))=COUNTIFS(tbl_Finance[Job Number],C314&amp;"",tbl_Finance[Xero Invoice No],"&lt;&gt;"),LOOKUP(2,1/((tbl_Finance[Job Number]=C314&amp;"")*(tbl_Finance[Xero Invoice No]&lt;&gt;"")),tbl_Finance[Xero Invoice No]),LOOKUP(2,1/((tbl_Finance[Job Number]=C314&amp;"")*(tbl_Finance[Xero Invoice No]&lt;&gt;"")),tbl_Finance[Xero Invoice No])&amp;" +more"),"")))</f>
        <v/>
      </c>
      <c r="C314" s="24" t="n"/>
      <c r="D314" s="25">
        <f>IF(C314="","",IF(COUNTIF(lst_Jobs,C314&amp;"")&gt;0,"OK","CHECK"))</f>
        <v/>
      </c>
      <c r="E314" s="25">
        <f>IF(C314="","",IFERROR(INDEX(lst_JobName,MATCH(C314&amp;"",lst_Jobs,0)),""))</f>
        <v/>
      </c>
      <c r="F314" s="25">
        <f>IF(C314="","",IFERROR(INDEX(tbl_Finance[Client],MATCH(C314&amp;"",tbl_Finance[Job Number],0)),""))</f>
        <v/>
      </c>
      <c r="G314" s="28">
        <f>IF(C314="","",COUNTIFS(tbl_Finance[Job Number],C314&amp;"",tbl_Finance[Ex GST],"&lt;&gt;"))</f>
        <v/>
      </c>
      <c r="H314" s="27">
        <f>IF(C314="","",SUMIFS(tbl_Finance[Ex GST],tbl_Finance[Job Number],C314&amp;""))</f>
        <v/>
      </c>
      <c r="I314" s="27">
        <f>IF(C314="","",SUMIFS(tbl_Finance[Ex GST],tbl_Finance[Job Number],C314&amp;"",tbl_Finance[Xero Invoice No],"&lt;&gt;"))</f>
        <v/>
      </c>
      <c r="J314" s="27">
        <f>IF(C314="","",H314-I314)</f>
        <v/>
      </c>
      <c r="K314" s="25">
        <f>IF(C314="","",IF(G314=0,"not invoiced yet",SUBSTITUTE(TRIM(IF(COUNTIFS(tbl_Finance[Job Number],C314&amp;"",tbl_Finance[Cost Centre],"ONSITE")&gt;0,"ONSITE ","")&amp;IF(COUNTIFS(tbl_Finance[Job Number],C314&amp;"",tbl_Finance[Cost Centre],"PRODUCTION")&gt;0,"PRODUCTION ","")&amp;IF(COUNTIFS(tbl_Finance[Job Number],C314&amp;"",tbl_Finance[Cost Centre],"VIDEO")&gt;0,"VIDEO ","")&amp;IF(COUNTIFS(tbl_Finance[Job Number],C314&amp;"",tbl_Finance[Cost Centre],"INTEGRATION")&gt;0,"INTEGRATION ","")&amp;IF(COUNTIFS(tbl_Finance[Job Number],C314&amp;"",tbl_Finance[Cost Centre],"CONSULTING")&gt;0,"CONSULTING ","")&amp;IF(COUNTIFS(tbl_Finance[Job Number],C314&amp;"",tbl_Finance[Cost Centre],"CTS")&gt;0,"CTS ",""))," ",", ")))</f>
        <v/>
      </c>
      <c r="L314" s="24" t="n"/>
      <c r="M314" s="24" t="n"/>
      <c r="N314" s="25">
        <f>IF(M314="","",HYPERLINK(IF(LEFT(M314,4)="http",M314,set_QwilrBase&amp;M314),"Open quote"))</f>
        <v/>
      </c>
      <c r="O314" s="64" t="n"/>
      <c r="P314" s="24" t="n"/>
      <c r="Q314" s="24" t="n"/>
    </row>
    <row r="315" ht="15" customHeight="1">
      <c r="A315" s="63">
        <f>IF(C315="","",IFERROR(IF(SUMPRODUCT(MAX((tbl_Finance[Job Number]=C315&amp;"")*(tbl_Finance[Xero Invoice No]&lt;&gt;"")*tbl_Finance[Date]))=0,"",SUMPRODUCT(MAX((tbl_Finance[Job Number]=C315&amp;"")*(tbl_Finance[Xero Invoice No]&lt;&gt;"")*tbl_Finance[Date]))),""))</f>
        <v/>
      </c>
      <c r="B315" s="25">
        <f>IF(C315="","",IF(COUNTIFS(tbl_Finance[Job Number],C315&amp;"",tbl_Finance[Xero Invoice No],"&lt;&gt;")=0,"",IFERROR(IF(COUNTIFS(tbl_Finance[Job Number],C315&amp;"",tbl_Finance[Xero Invoice No],LOOKUP(2,1/((tbl_Finance[Job Number]=C315&amp;"")*(tbl_Finance[Xero Invoice No]&lt;&gt;"")),tbl_Finance[Xero Invoice No]))=COUNTIFS(tbl_Finance[Job Number],C315&amp;"",tbl_Finance[Xero Invoice No],"&lt;&gt;"),LOOKUP(2,1/((tbl_Finance[Job Number]=C315&amp;"")*(tbl_Finance[Xero Invoice No]&lt;&gt;"")),tbl_Finance[Xero Invoice No]),LOOKUP(2,1/((tbl_Finance[Job Number]=C315&amp;"")*(tbl_Finance[Xero Invoice No]&lt;&gt;"")),tbl_Finance[Xero Invoice No])&amp;" +more"),"")))</f>
        <v/>
      </c>
      <c r="C315" s="24" t="n"/>
      <c r="D315" s="25">
        <f>IF(C315="","",IF(COUNTIF(lst_Jobs,C315&amp;"")&gt;0,"OK","CHECK"))</f>
        <v/>
      </c>
      <c r="E315" s="25">
        <f>IF(C315="","",IFERROR(INDEX(lst_JobName,MATCH(C315&amp;"",lst_Jobs,0)),""))</f>
        <v/>
      </c>
      <c r="F315" s="25">
        <f>IF(C315="","",IFERROR(INDEX(tbl_Finance[Client],MATCH(C315&amp;"",tbl_Finance[Job Number],0)),""))</f>
        <v/>
      </c>
      <c r="G315" s="28">
        <f>IF(C315="","",COUNTIFS(tbl_Finance[Job Number],C315&amp;"",tbl_Finance[Ex GST],"&lt;&gt;"))</f>
        <v/>
      </c>
      <c r="H315" s="27">
        <f>IF(C315="","",SUMIFS(tbl_Finance[Ex GST],tbl_Finance[Job Number],C315&amp;""))</f>
        <v/>
      </c>
      <c r="I315" s="27">
        <f>IF(C315="","",SUMIFS(tbl_Finance[Ex GST],tbl_Finance[Job Number],C315&amp;"",tbl_Finance[Xero Invoice No],"&lt;&gt;"))</f>
        <v/>
      </c>
      <c r="J315" s="27">
        <f>IF(C315="","",H315-I315)</f>
        <v/>
      </c>
      <c r="K315" s="25">
        <f>IF(C315="","",IF(G315=0,"not invoiced yet",SUBSTITUTE(TRIM(IF(COUNTIFS(tbl_Finance[Job Number],C315&amp;"",tbl_Finance[Cost Centre],"ONSITE")&gt;0,"ONSITE ","")&amp;IF(COUNTIFS(tbl_Finance[Job Number],C315&amp;"",tbl_Finance[Cost Centre],"PRODUCTION")&gt;0,"PRODUCTION ","")&amp;IF(COUNTIFS(tbl_Finance[Job Number],C315&amp;"",tbl_Finance[Cost Centre],"VIDEO")&gt;0,"VIDEO ","")&amp;IF(COUNTIFS(tbl_Finance[Job Number],C315&amp;"",tbl_Finance[Cost Centre],"INTEGRATION")&gt;0,"INTEGRATION ","")&amp;IF(COUNTIFS(tbl_Finance[Job Number],C315&amp;"",tbl_Finance[Cost Centre],"CONSULTING")&gt;0,"CONSULTING ","")&amp;IF(COUNTIFS(tbl_Finance[Job Number],C315&amp;"",tbl_Finance[Cost Centre],"CTS")&gt;0,"CTS ",""))," ",", ")))</f>
        <v/>
      </c>
      <c r="L315" s="24" t="n"/>
      <c r="M315" s="24" t="n"/>
      <c r="N315" s="25">
        <f>IF(M315="","",HYPERLINK(IF(LEFT(M315,4)="http",M315,set_QwilrBase&amp;M315),"Open quote"))</f>
        <v/>
      </c>
      <c r="O315" s="64" t="n"/>
      <c r="P315" s="24" t="n"/>
      <c r="Q315" s="24" t="n"/>
    </row>
    <row r="316" ht="15" customHeight="1">
      <c r="A316" s="63">
        <f>IF(C316="","",IFERROR(IF(SUMPRODUCT(MAX((tbl_Finance[Job Number]=C316&amp;"")*(tbl_Finance[Xero Invoice No]&lt;&gt;"")*tbl_Finance[Date]))=0,"",SUMPRODUCT(MAX((tbl_Finance[Job Number]=C316&amp;"")*(tbl_Finance[Xero Invoice No]&lt;&gt;"")*tbl_Finance[Date]))),""))</f>
        <v/>
      </c>
      <c r="B316" s="25">
        <f>IF(C316="","",IF(COUNTIFS(tbl_Finance[Job Number],C316&amp;"",tbl_Finance[Xero Invoice No],"&lt;&gt;")=0,"",IFERROR(IF(COUNTIFS(tbl_Finance[Job Number],C316&amp;"",tbl_Finance[Xero Invoice No],LOOKUP(2,1/((tbl_Finance[Job Number]=C316&amp;"")*(tbl_Finance[Xero Invoice No]&lt;&gt;"")),tbl_Finance[Xero Invoice No]))=COUNTIFS(tbl_Finance[Job Number],C316&amp;"",tbl_Finance[Xero Invoice No],"&lt;&gt;"),LOOKUP(2,1/((tbl_Finance[Job Number]=C316&amp;"")*(tbl_Finance[Xero Invoice No]&lt;&gt;"")),tbl_Finance[Xero Invoice No]),LOOKUP(2,1/((tbl_Finance[Job Number]=C316&amp;"")*(tbl_Finance[Xero Invoice No]&lt;&gt;"")),tbl_Finance[Xero Invoice No])&amp;" +more"),"")))</f>
        <v/>
      </c>
      <c r="C316" s="24" t="n"/>
      <c r="D316" s="25">
        <f>IF(C316="","",IF(COUNTIF(lst_Jobs,C316&amp;"")&gt;0,"OK","CHECK"))</f>
        <v/>
      </c>
      <c r="E316" s="25">
        <f>IF(C316="","",IFERROR(INDEX(lst_JobName,MATCH(C316&amp;"",lst_Jobs,0)),""))</f>
        <v/>
      </c>
      <c r="F316" s="25">
        <f>IF(C316="","",IFERROR(INDEX(tbl_Finance[Client],MATCH(C316&amp;"",tbl_Finance[Job Number],0)),""))</f>
        <v/>
      </c>
      <c r="G316" s="28">
        <f>IF(C316="","",COUNTIFS(tbl_Finance[Job Number],C316&amp;"",tbl_Finance[Ex GST],"&lt;&gt;"))</f>
        <v/>
      </c>
      <c r="H316" s="27">
        <f>IF(C316="","",SUMIFS(tbl_Finance[Ex GST],tbl_Finance[Job Number],C316&amp;""))</f>
        <v/>
      </c>
      <c r="I316" s="27">
        <f>IF(C316="","",SUMIFS(tbl_Finance[Ex GST],tbl_Finance[Job Number],C316&amp;"",tbl_Finance[Xero Invoice No],"&lt;&gt;"))</f>
        <v/>
      </c>
      <c r="J316" s="27">
        <f>IF(C316="","",H316-I316)</f>
        <v/>
      </c>
      <c r="K316" s="25">
        <f>IF(C316="","",IF(G316=0,"not invoiced yet",SUBSTITUTE(TRIM(IF(COUNTIFS(tbl_Finance[Job Number],C316&amp;"",tbl_Finance[Cost Centre],"ONSITE")&gt;0,"ONSITE ","")&amp;IF(COUNTIFS(tbl_Finance[Job Number],C316&amp;"",tbl_Finance[Cost Centre],"PRODUCTION")&gt;0,"PRODUCTION ","")&amp;IF(COUNTIFS(tbl_Finance[Job Number],C316&amp;"",tbl_Finance[Cost Centre],"VIDEO")&gt;0,"VIDEO ","")&amp;IF(COUNTIFS(tbl_Finance[Job Number],C316&amp;"",tbl_Finance[Cost Centre],"INTEGRATION")&gt;0,"INTEGRATION ","")&amp;IF(COUNTIFS(tbl_Finance[Job Number],C316&amp;"",tbl_Finance[Cost Centre],"CONSULTING")&gt;0,"CONSULTING ","")&amp;IF(COUNTIFS(tbl_Finance[Job Number],C316&amp;"",tbl_Finance[Cost Centre],"CTS")&gt;0,"CTS ",""))," ",", ")))</f>
        <v/>
      </c>
      <c r="L316" s="24" t="n"/>
      <c r="M316" s="24" t="n"/>
      <c r="N316" s="25">
        <f>IF(M316="","",HYPERLINK(IF(LEFT(M316,4)="http",M316,set_QwilrBase&amp;M316),"Open quote"))</f>
        <v/>
      </c>
      <c r="O316" s="64" t="n"/>
      <c r="P316" s="24" t="n"/>
      <c r="Q316" s="24" t="n"/>
    </row>
    <row r="317" ht="15" customHeight="1">
      <c r="A317" s="63">
        <f>IF(C317="","",IFERROR(IF(SUMPRODUCT(MAX((tbl_Finance[Job Number]=C317&amp;"")*(tbl_Finance[Xero Invoice No]&lt;&gt;"")*tbl_Finance[Date]))=0,"",SUMPRODUCT(MAX((tbl_Finance[Job Number]=C317&amp;"")*(tbl_Finance[Xero Invoice No]&lt;&gt;"")*tbl_Finance[Date]))),""))</f>
        <v/>
      </c>
      <c r="B317" s="25">
        <f>IF(C317="","",IF(COUNTIFS(tbl_Finance[Job Number],C317&amp;"",tbl_Finance[Xero Invoice No],"&lt;&gt;")=0,"",IFERROR(IF(COUNTIFS(tbl_Finance[Job Number],C317&amp;"",tbl_Finance[Xero Invoice No],LOOKUP(2,1/((tbl_Finance[Job Number]=C317&amp;"")*(tbl_Finance[Xero Invoice No]&lt;&gt;"")),tbl_Finance[Xero Invoice No]))=COUNTIFS(tbl_Finance[Job Number],C317&amp;"",tbl_Finance[Xero Invoice No],"&lt;&gt;"),LOOKUP(2,1/((tbl_Finance[Job Number]=C317&amp;"")*(tbl_Finance[Xero Invoice No]&lt;&gt;"")),tbl_Finance[Xero Invoice No]),LOOKUP(2,1/((tbl_Finance[Job Number]=C317&amp;"")*(tbl_Finance[Xero Invoice No]&lt;&gt;"")),tbl_Finance[Xero Invoice No])&amp;" +more"),"")))</f>
        <v/>
      </c>
      <c r="C317" s="24" t="n"/>
      <c r="D317" s="25">
        <f>IF(C317="","",IF(COUNTIF(lst_Jobs,C317&amp;"")&gt;0,"OK","CHECK"))</f>
        <v/>
      </c>
      <c r="E317" s="25">
        <f>IF(C317="","",IFERROR(INDEX(lst_JobName,MATCH(C317&amp;"",lst_Jobs,0)),""))</f>
        <v/>
      </c>
      <c r="F317" s="25">
        <f>IF(C317="","",IFERROR(INDEX(tbl_Finance[Client],MATCH(C317&amp;"",tbl_Finance[Job Number],0)),""))</f>
        <v/>
      </c>
      <c r="G317" s="28">
        <f>IF(C317="","",COUNTIFS(tbl_Finance[Job Number],C317&amp;"",tbl_Finance[Ex GST],"&lt;&gt;"))</f>
        <v/>
      </c>
      <c r="H317" s="27">
        <f>IF(C317="","",SUMIFS(tbl_Finance[Ex GST],tbl_Finance[Job Number],C317&amp;""))</f>
        <v/>
      </c>
      <c r="I317" s="27">
        <f>IF(C317="","",SUMIFS(tbl_Finance[Ex GST],tbl_Finance[Job Number],C317&amp;"",tbl_Finance[Xero Invoice No],"&lt;&gt;"))</f>
        <v/>
      </c>
      <c r="J317" s="27">
        <f>IF(C317="","",H317-I317)</f>
        <v/>
      </c>
      <c r="K317" s="25">
        <f>IF(C317="","",IF(G317=0,"not invoiced yet",SUBSTITUTE(TRIM(IF(COUNTIFS(tbl_Finance[Job Number],C317&amp;"",tbl_Finance[Cost Centre],"ONSITE")&gt;0,"ONSITE ","")&amp;IF(COUNTIFS(tbl_Finance[Job Number],C317&amp;"",tbl_Finance[Cost Centre],"PRODUCTION")&gt;0,"PRODUCTION ","")&amp;IF(COUNTIFS(tbl_Finance[Job Number],C317&amp;"",tbl_Finance[Cost Centre],"VIDEO")&gt;0,"VIDEO ","")&amp;IF(COUNTIFS(tbl_Finance[Job Number],C317&amp;"",tbl_Finance[Cost Centre],"INTEGRATION")&gt;0,"INTEGRATION ","")&amp;IF(COUNTIFS(tbl_Finance[Job Number],C317&amp;"",tbl_Finance[Cost Centre],"CONSULTING")&gt;0,"CONSULTING ","")&amp;IF(COUNTIFS(tbl_Finance[Job Number],C317&amp;"",tbl_Finance[Cost Centre],"CTS")&gt;0,"CTS ",""))," ",", ")))</f>
        <v/>
      </c>
      <c r="L317" s="24" t="n"/>
      <c r="M317" s="24" t="n"/>
      <c r="N317" s="25">
        <f>IF(M317="","",HYPERLINK(IF(LEFT(M317,4)="http",M317,set_QwilrBase&amp;M317),"Open quote"))</f>
        <v/>
      </c>
      <c r="O317" s="64" t="n"/>
      <c r="P317" s="24" t="n"/>
      <c r="Q317" s="24" t="n"/>
    </row>
    <row r="318" ht="15" customHeight="1">
      <c r="A318" s="63">
        <f>IF(C318="","",IFERROR(IF(SUMPRODUCT(MAX((tbl_Finance[Job Number]=C318&amp;"")*(tbl_Finance[Xero Invoice No]&lt;&gt;"")*tbl_Finance[Date]))=0,"",SUMPRODUCT(MAX((tbl_Finance[Job Number]=C318&amp;"")*(tbl_Finance[Xero Invoice No]&lt;&gt;"")*tbl_Finance[Date]))),""))</f>
        <v/>
      </c>
      <c r="B318" s="25">
        <f>IF(C318="","",IF(COUNTIFS(tbl_Finance[Job Number],C318&amp;"",tbl_Finance[Xero Invoice No],"&lt;&gt;")=0,"",IFERROR(IF(COUNTIFS(tbl_Finance[Job Number],C318&amp;"",tbl_Finance[Xero Invoice No],LOOKUP(2,1/((tbl_Finance[Job Number]=C318&amp;"")*(tbl_Finance[Xero Invoice No]&lt;&gt;"")),tbl_Finance[Xero Invoice No]))=COUNTIFS(tbl_Finance[Job Number],C318&amp;"",tbl_Finance[Xero Invoice No],"&lt;&gt;"),LOOKUP(2,1/((tbl_Finance[Job Number]=C318&amp;"")*(tbl_Finance[Xero Invoice No]&lt;&gt;"")),tbl_Finance[Xero Invoice No]),LOOKUP(2,1/((tbl_Finance[Job Number]=C318&amp;"")*(tbl_Finance[Xero Invoice No]&lt;&gt;"")),tbl_Finance[Xero Invoice No])&amp;" +more"),"")))</f>
        <v/>
      </c>
      <c r="C318" s="24" t="n"/>
      <c r="D318" s="25">
        <f>IF(C318="","",IF(COUNTIF(lst_Jobs,C318&amp;"")&gt;0,"OK","CHECK"))</f>
        <v/>
      </c>
      <c r="E318" s="25">
        <f>IF(C318="","",IFERROR(INDEX(lst_JobName,MATCH(C318&amp;"",lst_Jobs,0)),""))</f>
        <v/>
      </c>
      <c r="F318" s="25">
        <f>IF(C318="","",IFERROR(INDEX(tbl_Finance[Client],MATCH(C318&amp;"",tbl_Finance[Job Number],0)),""))</f>
        <v/>
      </c>
      <c r="G318" s="28">
        <f>IF(C318="","",COUNTIFS(tbl_Finance[Job Number],C318&amp;"",tbl_Finance[Ex GST],"&lt;&gt;"))</f>
        <v/>
      </c>
      <c r="H318" s="27">
        <f>IF(C318="","",SUMIFS(tbl_Finance[Ex GST],tbl_Finance[Job Number],C318&amp;""))</f>
        <v/>
      </c>
      <c r="I318" s="27">
        <f>IF(C318="","",SUMIFS(tbl_Finance[Ex GST],tbl_Finance[Job Number],C318&amp;"",tbl_Finance[Xero Invoice No],"&lt;&gt;"))</f>
        <v/>
      </c>
      <c r="J318" s="27">
        <f>IF(C318="","",H318-I318)</f>
        <v/>
      </c>
      <c r="K318" s="25">
        <f>IF(C318="","",IF(G318=0,"not invoiced yet",SUBSTITUTE(TRIM(IF(COUNTIFS(tbl_Finance[Job Number],C318&amp;"",tbl_Finance[Cost Centre],"ONSITE")&gt;0,"ONSITE ","")&amp;IF(COUNTIFS(tbl_Finance[Job Number],C318&amp;"",tbl_Finance[Cost Centre],"PRODUCTION")&gt;0,"PRODUCTION ","")&amp;IF(COUNTIFS(tbl_Finance[Job Number],C318&amp;"",tbl_Finance[Cost Centre],"VIDEO")&gt;0,"VIDEO ","")&amp;IF(COUNTIFS(tbl_Finance[Job Number],C318&amp;"",tbl_Finance[Cost Centre],"INTEGRATION")&gt;0,"INTEGRATION ","")&amp;IF(COUNTIFS(tbl_Finance[Job Number],C318&amp;"",tbl_Finance[Cost Centre],"CONSULTING")&gt;0,"CONSULTING ","")&amp;IF(COUNTIFS(tbl_Finance[Job Number],C318&amp;"",tbl_Finance[Cost Centre],"CTS")&gt;0,"CTS ",""))," ",", ")))</f>
        <v/>
      </c>
      <c r="L318" s="24" t="n"/>
      <c r="M318" s="24" t="n"/>
      <c r="N318" s="25">
        <f>IF(M318="","",HYPERLINK(IF(LEFT(M318,4)="http",M318,set_QwilrBase&amp;M318),"Open quote"))</f>
        <v/>
      </c>
      <c r="O318" s="64" t="n"/>
      <c r="P318" s="24" t="n"/>
      <c r="Q318" s="24" t="n"/>
    </row>
    <row r="319" ht="15" customHeight="1">
      <c r="A319" s="63">
        <f>IF(C319="","",IFERROR(IF(SUMPRODUCT(MAX((tbl_Finance[Job Number]=C319&amp;"")*(tbl_Finance[Xero Invoice No]&lt;&gt;"")*tbl_Finance[Date]))=0,"",SUMPRODUCT(MAX((tbl_Finance[Job Number]=C319&amp;"")*(tbl_Finance[Xero Invoice No]&lt;&gt;"")*tbl_Finance[Date]))),""))</f>
        <v/>
      </c>
      <c r="B319" s="25">
        <f>IF(C319="","",IF(COUNTIFS(tbl_Finance[Job Number],C319&amp;"",tbl_Finance[Xero Invoice No],"&lt;&gt;")=0,"",IFERROR(IF(COUNTIFS(tbl_Finance[Job Number],C319&amp;"",tbl_Finance[Xero Invoice No],LOOKUP(2,1/((tbl_Finance[Job Number]=C319&amp;"")*(tbl_Finance[Xero Invoice No]&lt;&gt;"")),tbl_Finance[Xero Invoice No]))=COUNTIFS(tbl_Finance[Job Number],C319&amp;"",tbl_Finance[Xero Invoice No],"&lt;&gt;"),LOOKUP(2,1/((tbl_Finance[Job Number]=C319&amp;"")*(tbl_Finance[Xero Invoice No]&lt;&gt;"")),tbl_Finance[Xero Invoice No]),LOOKUP(2,1/((tbl_Finance[Job Number]=C319&amp;"")*(tbl_Finance[Xero Invoice No]&lt;&gt;"")),tbl_Finance[Xero Invoice No])&amp;" +more"),"")))</f>
        <v/>
      </c>
      <c r="C319" s="24" t="n"/>
      <c r="D319" s="25">
        <f>IF(C319="","",IF(COUNTIF(lst_Jobs,C319&amp;"")&gt;0,"OK","CHECK"))</f>
        <v/>
      </c>
      <c r="E319" s="25">
        <f>IF(C319="","",IFERROR(INDEX(lst_JobName,MATCH(C319&amp;"",lst_Jobs,0)),""))</f>
        <v/>
      </c>
      <c r="F319" s="25">
        <f>IF(C319="","",IFERROR(INDEX(tbl_Finance[Client],MATCH(C319&amp;"",tbl_Finance[Job Number],0)),""))</f>
        <v/>
      </c>
      <c r="G319" s="28">
        <f>IF(C319="","",COUNTIFS(tbl_Finance[Job Number],C319&amp;"",tbl_Finance[Ex GST],"&lt;&gt;"))</f>
        <v/>
      </c>
      <c r="H319" s="27">
        <f>IF(C319="","",SUMIFS(tbl_Finance[Ex GST],tbl_Finance[Job Number],C319&amp;""))</f>
        <v/>
      </c>
      <c r="I319" s="27">
        <f>IF(C319="","",SUMIFS(tbl_Finance[Ex GST],tbl_Finance[Job Number],C319&amp;"",tbl_Finance[Xero Invoice No],"&lt;&gt;"))</f>
        <v/>
      </c>
      <c r="J319" s="27">
        <f>IF(C319="","",H319-I319)</f>
        <v/>
      </c>
      <c r="K319" s="25">
        <f>IF(C319="","",IF(G319=0,"not invoiced yet",SUBSTITUTE(TRIM(IF(COUNTIFS(tbl_Finance[Job Number],C319&amp;"",tbl_Finance[Cost Centre],"ONSITE")&gt;0,"ONSITE ","")&amp;IF(COUNTIFS(tbl_Finance[Job Number],C319&amp;"",tbl_Finance[Cost Centre],"PRODUCTION")&gt;0,"PRODUCTION ","")&amp;IF(COUNTIFS(tbl_Finance[Job Number],C319&amp;"",tbl_Finance[Cost Centre],"VIDEO")&gt;0,"VIDEO ","")&amp;IF(COUNTIFS(tbl_Finance[Job Number],C319&amp;"",tbl_Finance[Cost Centre],"INTEGRATION")&gt;0,"INTEGRATION ","")&amp;IF(COUNTIFS(tbl_Finance[Job Number],C319&amp;"",tbl_Finance[Cost Centre],"CONSULTING")&gt;0,"CONSULTING ","")&amp;IF(COUNTIFS(tbl_Finance[Job Number],C319&amp;"",tbl_Finance[Cost Centre],"CTS")&gt;0,"CTS ",""))," ",", ")))</f>
        <v/>
      </c>
      <c r="L319" s="24" t="n"/>
      <c r="M319" s="24" t="n"/>
      <c r="N319" s="25">
        <f>IF(M319="","",HYPERLINK(IF(LEFT(M319,4)="http",M319,set_QwilrBase&amp;M319),"Open quote"))</f>
        <v/>
      </c>
      <c r="O319" s="64" t="n"/>
      <c r="P319" s="24" t="n"/>
      <c r="Q319" s="24" t="n"/>
    </row>
    <row r="320" ht="15" customHeight="1">
      <c r="A320" s="63">
        <f>IF(C320="","",IFERROR(IF(SUMPRODUCT(MAX((tbl_Finance[Job Number]=C320&amp;"")*(tbl_Finance[Xero Invoice No]&lt;&gt;"")*tbl_Finance[Date]))=0,"",SUMPRODUCT(MAX((tbl_Finance[Job Number]=C320&amp;"")*(tbl_Finance[Xero Invoice No]&lt;&gt;"")*tbl_Finance[Date]))),""))</f>
        <v/>
      </c>
      <c r="B320" s="25">
        <f>IF(C320="","",IF(COUNTIFS(tbl_Finance[Job Number],C320&amp;"",tbl_Finance[Xero Invoice No],"&lt;&gt;")=0,"",IFERROR(IF(COUNTIFS(tbl_Finance[Job Number],C320&amp;"",tbl_Finance[Xero Invoice No],LOOKUP(2,1/((tbl_Finance[Job Number]=C320&amp;"")*(tbl_Finance[Xero Invoice No]&lt;&gt;"")),tbl_Finance[Xero Invoice No]))=COUNTIFS(tbl_Finance[Job Number],C320&amp;"",tbl_Finance[Xero Invoice No],"&lt;&gt;"),LOOKUP(2,1/((tbl_Finance[Job Number]=C320&amp;"")*(tbl_Finance[Xero Invoice No]&lt;&gt;"")),tbl_Finance[Xero Invoice No]),LOOKUP(2,1/((tbl_Finance[Job Number]=C320&amp;"")*(tbl_Finance[Xero Invoice No]&lt;&gt;"")),tbl_Finance[Xero Invoice No])&amp;" +more"),"")))</f>
        <v/>
      </c>
      <c r="C320" s="24" t="n"/>
      <c r="D320" s="25">
        <f>IF(C320="","",IF(COUNTIF(lst_Jobs,C320&amp;"")&gt;0,"OK","CHECK"))</f>
        <v/>
      </c>
      <c r="E320" s="25">
        <f>IF(C320="","",IFERROR(INDEX(lst_JobName,MATCH(C320&amp;"",lst_Jobs,0)),""))</f>
        <v/>
      </c>
      <c r="F320" s="25">
        <f>IF(C320="","",IFERROR(INDEX(tbl_Finance[Client],MATCH(C320&amp;"",tbl_Finance[Job Number],0)),""))</f>
        <v/>
      </c>
      <c r="G320" s="28">
        <f>IF(C320="","",COUNTIFS(tbl_Finance[Job Number],C320&amp;"",tbl_Finance[Ex GST],"&lt;&gt;"))</f>
        <v/>
      </c>
      <c r="H320" s="27">
        <f>IF(C320="","",SUMIFS(tbl_Finance[Ex GST],tbl_Finance[Job Number],C320&amp;""))</f>
        <v/>
      </c>
      <c r="I320" s="27">
        <f>IF(C320="","",SUMIFS(tbl_Finance[Ex GST],tbl_Finance[Job Number],C320&amp;"",tbl_Finance[Xero Invoice No],"&lt;&gt;"))</f>
        <v/>
      </c>
      <c r="J320" s="27">
        <f>IF(C320="","",H320-I320)</f>
        <v/>
      </c>
      <c r="K320" s="25">
        <f>IF(C320="","",IF(G320=0,"not invoiced yet",SUBSTITUTE(TRIM(IF(COUNTIFS(tbl_Finance[Job Number],C320&amp;"",tbl_Finance[Cost Centre],"ONSITE")&gt;0,"ONSITE ","")&amp;IF(COUNTIFS(tbl_Finance[Job Number],C320&amp;"",tbl_Finance[Cost Centre],"PRODUCTION")&gt;0,"PRODUCTION ","")&amp;IF(COUNTIFS(tbl_Finance[Job Number],C320&amp;"",tbl_Finance[Cost Centre],"VIDEO")&gt;0,"VIDEO ","")&amp;IF(COUNTIFS(tbl_Finance[Job Number],C320&amp;"",tbl_Finance[Cost Centre],"INTEGRATION")&gt;0,"INTEGRATION ","")&amp;IF(COUNTIFS(tbl_Finance[Job Number],C320&amp;"",tbl_Finance[Cost Centre],"CONSULTING")&gt;0,"CONSULTING ","")&amp;IF(COUNTIFS(tbl_Finance[Job Number],C320&amp;"",tbl_Finance[Cost Centre],"CTS")&gt;0,"CTS ",""))," ",", ")))</f>
        <v/>
      </c>
      <c r="L320" s="24" t="n"/>
      <c r="M320" s="24" t="n"/>
      <c r="N320" s="25">
        <f>IF(M320="","",HYPERLINK(IF(LEFT(M320,4)="http",M320,set_QwilrBase&amp;M320),"Open quote"))</f>
        <v/>
      </c>
      <c r="O320" s="64" t="n"/>
      <c r="P320" s="24" t="n"/>
      <c r="Q320" s="24" t="n"/>
    </row>
    <row r="321" ht="15" customHeight="1">
      <c r="A321" s="63">
        <f>IF(C321="","",IFERROR(IF(SUMPRODUCT(MAX((tbl_Finance[Job Number]=C321&amp;"")*(tbl_Finance[Xero Invoice No]&lt;&gt;"")*tbl_Finance[Date]))=0,"",SUMPRODUCT(MAX((tbl_Finance[Job Number]=C321&amp;"")*(tbl_Finance[Xero Invoice No]&lt;&gt;"")*tbl_Finance[Date]))),""))</f>
        <v/>
      </c>
      <c r="B321" s="25">
        <f>IF(C321="","",IF(COUNTIFS(tbl_Finance[Job Number],C321&amp;"",tbl_Finance[Xero Invoice No],"&lt;&gt;")=0,"",IFERROR(IF(COUNTIFS(tbl_Finance[Job Number],C321&amp;"",tbl_Finance[Xero Invoice No],LOOKUP(2,1/((tbl_Finance[Job Number]=C321&amp;"")*(tbl_Finance[Xero Invoice No]&lt;&gt;"")),tbl_Finance[Xero Invoice No]))=COUNTIFS(tbl_Finance[Job Number],C321&amp;"",tbl_Finance[Xero Invoice No],"&lt;&gt;"),LOOKUP(2,1/((tbl_Finance[Job Number]=C321&amp;"")*(tbl_Finance[Xero Invoice No]&lt;&gt;"")),tbl_Finance[Xero Invoice No]),LOOKUP(2,1/((tbl_Finance[Job Number]=C321&amp;"")*(tbl_Finance[Xero Invoice No]&lt;&gt;"")),tbl_Finance[Xero Invoice No])&amp;" +more"),"")))</f>
        <v/>
      </c>
      <c r="C321" s="24" t="n"/>
      <c r="D321" s="25">
        <f>IF(C321="","",IF(COUNTIF(lst_Jobs,C321&amp;"")&gt;0,"OK","CHECK"))</f>
        <v/>
      </c>
      <c r="E321" s="25">
        <f>IF(C321="","",IFERROR(INDEX(lst_JobName,MATCH(C321&amp;"",lst_Jobs,0)),""))</f>
        <v/>
      </c>
      <c r="F321" s="25">
        <f>IF(C321="","",IFERROR(INDEX(tbl_Finance[Client],MATCH(C321&amp;"",tbl_Finance[Job Number],0)),""))</f>
        <v/>
      </c>
      <c r="G321" s="28">
        <f>IF(C321="","",COUNTIFS(tbl_Finance[Job Number],C321&amp;"",tbl_Finance[Ex GST],"&lt;&gt;"))</f>
        <v/>
      </c>
      <c r="H321" s="27">
        <f>IF(C321="","",SUMIFS(tbl_Finance[Ex GST],tbl_Finance[Job Number],C321&amp;""))</f>
        <v/>
      </c>
      <c r="I321" s="27">
        <f>IF(C321="","",SUMIFS(tbl_Finance[Ex GST],tbl_Finance[Job Number],C321&amp;"",tbl_Finance[Xero Invoice No],"&lt;&gt;"))</f>
        <v/>
      </c>
      <c r="J321" s="27">
        <f>IF(C321="","",H321-I321)</f>
        <v/>
      </c>
      <c r="K321" s="25">
        <f>IF(C321="","",IF(G321=0,"not invoiced yet",SUBSTITUTE(TRIM(IF(COUNTIFS(tbl_Finance[Job Number],C321&amp;"",tbl_Finance[Cost Centre],"ONSITE")&gt;0,"ONSITE ","")&amp;IF(COUNTIFS(tbl_Finance[Job Number],C321&amp;"",tbl_Finance[Cost Centre],"PRODUCTION")&gt;0,"PRODUCTION ","")&amp;IF(COUNTIFS(tbl_Finance[Job Number],C321&amp;"",tbl_Finance[Cost Centre],"VIDEO")&gt;0,"VIDEO ","")&amp;IF(COUNTIFS(tbl_Finance[Job Number],C321&amp;"",tbl_Finance[Cost Centre],"INTEGRATION")&gt;0,"INTEGRATION ","")&amp;IF(COUNTIFS(tbl_Finance[Job Number],C321&amp;"",tbl_Finance[Cost Centre],"CONSULTING")&gt;0,"CONSULTING ","")&amp;IF(COUNTIFS(tbl_Finance[Job Number],C321&amp;"",tbl_Finance[Cost Centre],"CTS")&gt;0,"CTS ",""))," ",", ")))</f>
        <v/>
      </c>
      <c r="L321" s="24" t="n"/>
      <c r="M321" s="24" t="n"/>
      <c r="N321" s="25">
        <f>IF(M321="","",HYPERLINK(IF(LEFT(M321,4)="http",M321,set_QwilrBase&amp;M321),"Open quote"))</f>
        <v/>
      </c>
      <c r="O321" s="64" t="n"/>
      <c r="P321" s="24" t="n"/>
      <c r="Q321" s="24" t="n"/>
    </row>
    <row r="322" ht="15" customHeight="1">
      <c r="A322" s="63">
        <f>IF(C322="","",IFERROR(IF(SUMPRODUCT(MAX((tbl_Finance[Job Number]=C322&amp;"")*(tbl_Finance[Xero Invoice No]&lt;&gt;"")*tbl_Finance[Date]))=0,"",SUMPRODUCT(MAX((tbl_Finance[Job Number]=C322&amp;"")*(tbl_Finance[Xero Invoice No]&lt;&gt;"")*tbl_Finance[Date]))),""))</f>
        <v/>
      </c>
      <c r="B322" s="25">
        <f>IF(C322="","",IF(COUNTIFS(tbl_Finance[Job Number],C322&amp;"",tbl_Finance[Xero Invoice No],"&lt;&gt;")=0,"",IFERROR(IF(COUNTIFS(tbl_Finance[Job Number],C322&amp;"",tbl_Finance[Xero Invoice No],LOOKUP(2,1/((tbl_Finance[Job Number]=C322&amp;"")*(tbl_Finance[Xero Invoice No]&lt;&gt;"")),tbl_Finance[Xero Invoice No]))=COUNTIFS(tbl_Finance[Job Number],C322&amp;"",tbl_Finance[Xero Invoice No],"&lt;&gt;"),LOOKUP(2,1/((tbl_Finance[Job Number]=C322&amp;"")*(tbl_Finance[Xero Invoice No]&lt;&gt;"")),tbl_Finance[Xero Invoice No]),LOOKUP(2,1/((tbl_Finance[Job Number]=C322&amp;"")*(tbl_Finance[Xero Invoice No]&lt;&gt;"")),tbl_Finance[Xero Invoice No])&amp;" +more"),"")))</f>
        <v/>
      </c>
      <c r="C322" s="24" t="n"/>
      <c r="D322" s="25">
        <f>IF(C322="","",IF(COUNTIF(lst_Jobs,C322&amp;"")&gt;0,"OK","CHECK"))</f>
        <v/>
      </c>
      <c r="E322" s="25">
        <f>IF(C322="","",IFERROR(INDEX(lst_JobName,MATCH(C322&amp;"",lst_Jobs,0)),""))</f>
        <v/>
      </c>
      <c r="F322" s="25">
        <f>IF(C322="","",IFERROR(INDEX(tbl_Finance[Client],MATCH(C322&amp;"",tbl_Finance[Job Number],0)),""))</f>
        <v/>
      </c>
      <c r="G322" s="28">
        <f>IF(C322="","",COUNTIFS(tbl_Finance[Job Number],C322&amp;"",tbl_Finance[Ex GST],"&lt;&gt;"))</f>
        <v/>
      </c>
      <c r="H322" s="27">
        <f>IF(C322="","",SUMIFS(tbl_Finance[Ex GST],tbl_Finance[Job Number],C322&amp;""))</f>
        <v/>
      </c>
      <c r="I322" s="27">
        <f>IF(C322="","",SUMIFS(tbl_Finance[Ex GST],tbl_Finance[Job Number],C322&amp;"",tbl_Finance[Xero Invoice No],"&lt;&gt;"))</f>
        <v/>
      </c>
      <c r="J322" s="27">
        <f>IF(C322="","",H322-I322)</f>
        <v/>
      </c>
      <c r="K322" s="25">
        <f>IF(C322="","",IF(G322=0,"not invoiced yet",SUBSTITUTE(TRIM(IF(COUNTIFS(tbl_Finance[Job Number],C322&amp;"",tbl_Finance[Cost Centre],"ONSITE")&gt;0,"ONSITE ","")&amp;IF(COUNTIFS(tbl_Finance[Job Number],C322&amp;"",tbl_Finance[Cost Centre],"PRODUCTION")&gt;0,"PRODUCTION ","")&amp;IF(COUNTIFS(tbl_Finance[Job Number],C322&amp;"",tbl_Finance[Cost Centre],"VIDEO")&gt;0,"VIDEO ","")&amp;IF(COUNTIFS(tbl_Finance[Job Number],C322&amp;"",tbl_Finance[Cost Centre],"INTEGRATION")&gt;0,"INTEGRATION ","")&amp;IF(COUNTIFS(tbl_Finance[Job Number],C322&amp;"",tbl_Finance[Cost Centre],"CONSULTING")&gt;0,"CONSULTING ","")&amp;IF(COUNTIFS(tbl_Finance[Job Number],C322&amp;"",tbl_Finance[Cost Centre],"CTS")&gt;0,"CTS ",""))," ",", ")))</f>
        <v/>
      </c>
      <c r="L322" s="24" t="n"/>
      <c r="M322" s="24" t="n"/>
      <c r="N322" s="25">
        <f>IF(M322="","",HYPERLINK(IF(LEFT(M322,4)="http",M322,set_QwilrBase&amp;M322),"Open quote"))</f>
        <v/>
      </c>
      <c r="O322" s="64" t="n"/>
      <c r="P322" s="24" t="n"/>
      <c r="Q322" s="24" t="n"/>
    </row>
    <row r="323" ht="15" customHeight="1">
      <c r="A323" s="63">
        <f>IF(C323="","",IFERROR(IF(SUMPRODUCT(MAX((tbl_Finance[Job Number]=C323&amp;"")*(tbl_Finance[Xero Invoice No]&lt;&gt;"")*tbl_Finance[Date]))=0,"",SUMPRODUCT(MAX((tbl_Finance[Job Number]=C323&amp;"")*(tbl_Finance[Xero Invoice No]&lt;&gt;"")*tbl_Finance[Date]))),""))</f>
        <v/>
      </c>
      <c r="B323" s="25">
        <f>IF(C323="","",IF(COUNTIFS(tbl_Finance[Job Number],C323&amp;"",tbl_Finance[Xero Invoice No],"&lt;&gt;")=0,"",IFERROR(IF(COUNTIFS(tbl_Finance[Job Number],C323&amp;"",tbl_Finance[Xero Invoice No],LOOKUP(2,1/((tbl_Finance[Job Number]=C323&amp;"")*(tbl_Finance[Xero Invoice No]&lt;&gt;"")),tbl_Finance[Xero Invoice No]))=COUNTIFS(tbl_Finance[Job Number],C323&amp;"",tbl_Finance[Xero Invoice No],"&lt;&gt;"),LOOKUP(2,1/((tbl_Finance[Job Number]=C323&amp;"")*(tbl_Finance[Xero Invoice No]&lt;&gt;"")),tbl_Finance[Xero Invoice No]),LOOKUP(2,1/((tbl_Finance[Job Number]=C323&amp;"")*(tbl_Finance[Xero Invoice No]&lt;&gt;"")),tbl_Finance[Xero Invoice No])&amp;" +more"),"")))</f>
        <v/>
      </c>
      <c r="C323" s="24" t="n"/>
      <c r="D323" s="25">
        <f>IF(C323="","",IF(COUNTIF(lst_Jobs,C323&amp;"")&gt;0,"OK","CHECK"))</f>
        <v/>
      </c>
      <c r="E323" s="25">
        <f>IF(C323="","",IFERROR(INDEX(lst_JobName,MATCH(C323&amp;"",lst_Jobs,0)),""))</f>
        <v/>
      </c>
      <c r="F323" s="25">
        <f>IF(C323="","",IFERROR(INDEX(tbl_Finance[Client],MATCH(C323&amp;"",tbl_Finance[Job Number],0)),""))</f>
        <v/>
      </c>
      <c r="G323" s="28">
        <f>IF(C323="","",COUNTIFS(tbl_Finance[Job Number],C323&amp;"",tbl_Finance[Ex GST],"&lt;&gt;"))</f>
        <v/>
      </c>
      <c r="H323" s="27">
        <f>IF(C323="","",SUMIFS(tbl_Finance[Ex GST],tbl_Finance[Job Number],C323&amp;""))</f>
        <v/>
      </c>
      <c r="I323" s="27">
        <f>IF(C323="","",SUMIFS(tbl_Finance[Ex GST],tbl_Finance[Job Number],C323&amp;"",tbl_Finance[Xero Invoice No],"&lt;&gt;"))</f>
        <v/>
      </c>
      <c r="J323" s="27">
        <f>IF(C323="","",H323-I323)</f>
        <v/>
      </c>
      <c r="K323" s="25">
        <f>IF(C323="","",IF(G323=0,"not invoiced yet",SUBSTITUTE(TRIM(IF(COUNTIFS(tbl_Finance[Job Number],C323&amp;"",tbl_Finance[Cost Centre],"ONSITE")&gt;0,"ONSITE ","")&amp;IF(COUNTIFS(tbl_Finance[Job Number],C323&amp;"",tbl_Finance[Cost Centre],"PRODUCTION")&gt;0,"PRODUCTION ","")&amp;IF(COUNTIFS(tbl_Finance[Job Number],C323&amp;"",tbl_Finance[Cost Centre],"VIDEO")&gt;0,"VIDEO ","")&amp;IF(COUNTIFS(tbl_Finance[Job Number],C323&amp;"",tbl_Finance[Cost Centre],"INTEGRATION")&gt;0,"INTEGRATION ","")&amp;IF(COUNTIFS(tbl_Finance[Job Number],C323&amp;"",tbl_Finance[Cost Centre],"CONSULTING")&gt;0,"CONSULTING ","")&amp;IF(COUNTIFS(tbl_Finance[Job Number],C323&amp;"",tbl_Finance[Cost Centre],"CTS")&gt;0,"CTS ",""))," ",", ")))</f>
        <v/>
      </c>
      <c r="L323" s="24" t="n"/>
      <c r="M323" s="24" t="n"/>
      <c r="N323" s="25">
        <f>IF(M323="","",HYPERLINK(IF(LEFT(M323,4)="http",M323,set_QwilrBase&amp;M323),"Open quote"))</f>
        <v/>
      </c>
      <c r="O323" s="64" t="n"/>
      <c r="P323" s="24" t="n"/>
      <c r="Q323" s="24" t="n"/>
    </row>
    <row r="324" ht="15" customHeight="1">
      <c r="A324" s="63">
        <f>IF(C324="","",IFERROR(IF(SUMPRODUCT(MAX((tbl_Finance[Job Number]=C324&amp;"")*(tbl_Finance[Xero Invoice No]&lt;&gt;"")*tbl_Finance[Date]))=0,"",SUMPRODUCT(MAX((tbl_Finance[Job Number]=C324&amp;"")*(tbl_Finance[Xero Invoice No]&lt;&gt;"")*tbl_Finance[Date]))),""))</f>
        <v/>
      </c>
      <c r="B324" s="25">
        <f>IF(C324="","",IF(COUNTIFS(tbl_Finance[Job Number],C324&amp;"",tbl_Finance[Xero Invoice No],"&lt;&gt;")=0,"",IFERROR(IF(COUNTIFS(tbl_Finance[Job Number],C324&amp;"",tbl_Finance[Xero Invoice No],LOOKUP(2,1/((tbl_Finance[Job Number]=C324&amp;"")*(tbl_Finance[Xero Invoice No]&lt;&gt;"")),tbl_Finance[Xero Invoice No]))=COUNTIFS(tbl_Finance[Job Number],C324&amp;"",tbl_Finance[Xero Invoice No],"&lt;&gt;"),LOOKUP(2,1/((tbl_Finance[Job Number]=C324&amp;"")*(tbl_Finance[Xero Invoice No]&lt;&gt;"")),tbl_Finance[Xero Invoice No]),LOOKUP(2,1/((tbl_Finance[Job Number]=C324&amp;"")*(tbl_Finance[Xero Invoice No]&lt;&gt;"")),tbl_Finance[Xero Invoice No])&amp;" +more"),"")))</f>
        <v/>
      </c>
      <c r="C324" s="24" t="n"/>
      <c r="D324" s="25">
        <f>IF(C324="","",IF(COUNTIF(lst_Jobs,C324&amp;"")&gt;0,"OK","CHECK"))</f>
        <v/>
      </c>
      <c r="E324" s="25">
        <f>IF(C324="","",IFERROR(INDEX(lst_JobName,MATCH(C324&amp;"",lst_Jobs,0)),""))</f>
        <v/>
      </c>
      <c r="F324" s="25">
        <f>IF(C324="","",IFERROR(INDEX(tbl_Finance[Client],MATCH(C324&amp;"",tbl_Finance[Job Number],0)),""))</f>
        <v/>
      </c>
      <c r="G324" s="28">
        <f>IF(C324="","",COUNTIFS(tbl_Finance[Job Number],C324&amp;"",tbl_Finance[Ex GST],"&lt;&gt;"))</f>
        <v/>
      </c>
      <c r="H324" s="27">
        <f>IF(C324="","",SUMIFS(tbl_Finance[Ex GST],tbl_Finance[Job Number],C324&amp;""))</f>
        <v/>
      </c>
      <c r="I324" s="27">
        <f>IF(C324="","",SUMIFS(tbl_Finance[Ex GST],tbl_Finance[Job Number],C324&amp;"",tbl_Finance[Xero Invoice No],"&lt;&gt;"))</f>
        <v/>
      </c>
      <c r="J324" s="27">
        <f>IF(C324="","",H324-I324)</f>
        <v/>
      </c>
      <c r="K324" s="25">
        <f>IF(C324="","",IF(G324=0,"not invoiced yet",SUBSTITUTE(TRIM(IF(COUNTIFS(tbl_Finance[Job Number],C324&amp;"",tbl_Finance[Cost Centre],"ONSITE")&gt;0,"ONSITE ","")&amp;IF(COUNTIFS(tbl_Finance[Job Number],C324&amp;"",tbl_Finance[Cost Centre],"PRODUCTION")&gt;0,"PRODUCTION ","")&amp;IF(COUNTIFS(tbl_Finance[Job Number],C324&amp;"",tbl_Finance[Cost Centre],"VIDEO")&gt;0,"VIDEO ","")&amp;IF(COUNTIFS(tbl_Finance[Job Number],C324&amp;"",tbl_Finance[Cost Centre],"INTEGRATION")&gt;0,"INTEGRATION ","")&amp;IF(COUNTIFS(tbl_Finance[Job Number],C324&amp;"",tbl_Finance[Cost Centre],"CONSULTING")&gt;0,"CONSULTING ","")&amp;IF(COUNTIFS(tbl_Finance[Job Number],C324&amp;"",tbl_Finance[Cost Centre],"CTS")&gt;0,"CTS ",""))," ",", ")))</f>
        <v/>
      </c>
      <c r="L324" s="24" t="n"/>
      <c r="M324" s="24" t="n"/>
      <c r="N324" s="25">
        <f>IF(M324="","",HYPERLINK(IF(LEFT(M324,4)="http",M324,set_QwilrBase&amp;M324),"Open quote"))</f>
        <v/>
      </c>
      <c r="O324" s="64" t="n"/>
      <c r="P324" s="24" t="n"/>
      <c r="Q324" s="24" t="n"/>
    </row>
    <row r="325" ht="15" customHeight="1">
      <c r="A325" s="63">
        <f>IF(C325="","",IFERROR(IF(SUMPRODUCT(MAX((tbl_Finance[Job Number]=C325&amp;"")*(tbl_Finance[Xero Invoice No]&lt;&gt;"")*tbl_Finance[Date]))=0,"",SUMPRODUCT(MAX((tbl_Finance[Job Number]=C325&amp;"")*(tbl_Finance[Xero Invoice No]&lt;&gt;"")*tbl_Finance[Date]))),""))</f>
        <v/>
      </c>
      <c r="B325" s="25">
        <f>IF(C325="","",IF(COUNTIFS(tbl_Finance[Job Number],C325&amp;"",tbl_Finance[Xero Invoice No],"&lt;&gt;")=0,"",IFERROR(IF(COUNTIFS(tbl_Finance[Job Number],C325&amp;"",tbl_Finance[Xero Invoice No],LOOKUP(2,1/((tbl_Finance[Job Number]=C325&amp;"")*(tbl_Finance[Xero Invoice No]&lt;&gt;"")),tbl_Finance[Xero Invoice No]))=COUNTIFS(tbl_Finance[Job Number],C325&amp;"",tbl_Finance[Xero Invoice No],"&lt;&gt;"),LOOKUP(2,1/((tbl_Finance[Job Number]=C325&amp;"")*(tbl_Finance[Xero Invoice No]&lt;&gt;"")),tbl_Finance[Xero Invoice No]),LOOKUP(2,1/((tbl_Finance[Job Number]=C325&amp;"")*(tbl_Finance[Xero Invoice No]&lt;&gt;"")),tbl_Finance[Xero Invoice No])&amp;" +more"),"")))</f>
        <v/>
      </c>
      <c r="C325" s="24" t="n"/>
      <c r="D325" s="25">
        <f>IF(C325="","",IF(COUNTIF(lst_Jobs,C325&amp;"")&gt;0,"OK","CHECK"))</f>
        <v/>
      </c>
      <c r="E325" s="25">
        <f>IF(C325="","",IFERROR(INDEX(lst_JobName,MATCH(C325&amp;"",lst_Jobs,0)),""))</f>
        <v/>
      </c>
      <c r="F325" s="25">
        <f>IF(C325="","",IFERROR(INDEX(tbl_Finance[Client],MATCH(C325&amp;"",tbl_Finance[Job Number],0)),""))</f>
        <v/>
      </c>
      <c r="G325" s="28">
        <f>IF(C325="","",COUNTIFS(tbl_Finance[Job Number],C325&amp;"",tbl_Finance[Ex GST],"&lt;&gt;"))</f>
        <v/>
      </c>
      <c r="H325" s="27">
        <f>IF(C325="","",SUMIFS(tbl_Finance[Ex GST],tbl_Finance[Job Number],C325&amp;""))</f>
        <v/>
      </c>
      <c r="I325" s="27">
        <f>IF(C325="","",SUMIFS(tbl_Finance[Ex GST],tbl_Finance[Job Number],C325&amp;"",tbl_Finance[Xero Invoice No],"&lt;&gt;"))</f>
        <v/>
      </c>
      <c r="J325" s="27">
        <f>IF(C325="","",H325-I325)</f>
        <v/>
      </c>
      <c r="K325" s="25">
        <f>IF(C325="","",IF(G325=0,"not invoiced yet",SUBSTITUTE(TRIM(IF(COUNTIFS(tbl_Finance[Job Number],C325&amp;"",tbl_Finance[Cost Centre],"ONSITE")&gt;0,"ONSITE ","")&amp;IF(COUNTIFS(tbl_Finance[Job Number],C325&amp;"",tbl_Finance[Cost Centre],"PRODUCTION")&gt;0,"PRODUCTION ","")&amp;IF(COUNTIFS(tbl_Finance[Job Number],C325&amp;"",tbl_Finance[Cost Centre],"VIDEO")&gt;0,"VIDEO ","")&amp;IF(COUNTIFS(tbl_Finance[Job Number],C325&amp;"",tbl_Finance[Cost Centre],"INTEGRATION")&gt;0,"INTEGRATION ","")&amp;IF(COUNTIFS(tbl_Finance[Job Number],C325&amp;"",tbl_Finance[Cost Centre],"CONSULTING")&gt;0,"CONSULTING ","")&amp;IF(COUNTIFS(tbl_Finance[Job Number],C325&amp;"",tbl_Finance[Cost Centre],"CTS")&gt;0,"CTS ",""))," ",", ")))</f>
        <v/>
      </c>
      <c r="L325" s="24" t="n"/>
      <c r="M325" s="24" t="n"/>
      <c r="N325" s="25">
        <f>IF(M325="","",HYPERLINK(IF(LEFT(M325,4)="http",M325,set_QwilrBase&amp;M325),"Open quote"))</f>
        <v/>
      </c>
      <c r="O325" s="64" t="n"/>
      <c r="P325" s="24" t="n"/>
      <c r="Q325" s="24" t="n"/>
    </row>
    <row r="326" ht="15" customHeight="1">
      <c r="A326" s="63">
        <f>IF(C326="","",IFERROR(IF(SUMPRODUCT(MAX((tbl_Finance[Job Number]=C326&amp;"")*(tbl_Finance[Xero Invoice No]&lt;&gt;"")*tbl_Finance[Date]))=0,"",SUMPRODUCT(MAX((tbl_Finance[Job Number]=C326&amp;"")*(tbl_Finance[Xero Invoice No]&lt;&gt;"")*tbl_Finance[Date]))),""))</f>
        <v/>
      </c>
      <c r="B326" s="25">
        <f>IF(C326="","",IF(COUNTIFS(tbl_Finance[Job Number],C326&amp;"",tbl_Finance[Xero Invoice No],"&lt;&gt;")=0,"",IFERROR(IF(COUNTIFS(tbl_Finance[Job Number],C326&amp;"",tbl_Finance[Xero Invoice No],LOOKUP(2,1/((tbl_Finance[Job Number]=C326&amp;"")*(tbl_Finance[Xero Invoice No]&lt;&gt;"")),tbl_Finance[Xero Invoice No]))=COUNTIFS(tbl_Finance[Job Number],C326&amp;"",tbl_Finance[Xero Invoice No],"&lt;&gt;"),LOOKUP(2,1/((tbl_Finance[Job Number]=C326&amp;"")*(tbl_Finance[Xero Invoice No]&lt;&gt;"")),tbl_Finance[Xero Invoice No]),LOOKUP(2,1/((tbl_Finance[Job Number]=C326&amp;"")*(tbl_Finance[Xero Invoice No]&lt;&gt;"")),tbl_Finance[Xero Invoice No])&amp;" +more"),"")))</f>
        <v/>
      </c>
      <c r="C326" s="24" t="n"/>
      <c r="D326" s="25">
        <f>IF(C326="","",IF(COUNTIF(lst_Jobs,C326&amp;"")&gt;0,"OK","CHECK"))</f>
        <v/>
      </c>
      <c r="E326" s="25">
        <f>IF(C326="","",IFERROR(INDEX(lst_JobName,MATCH(C326&amp;"",lst_Jobs,0)),""))</f>
        <v/>
      </c>
      <c r="F326" s="25">
        <f>IF(C326="","",IFERROR(INDEX(tbl_Finance[Client],MATCH(C326&amp;"",tbl_Finance[Job Number],0)),""))</f>
        <v/>
      </c>
      <c r="G326" s="28">
        <f>IF(C326="","",COUNTIFS(tbl_Finance[Job Number],C326&amp;"",tbl_Finance[Ex GST],"&lt;&gt;"))</f>
        <v/>
      </c>
      <c r="H326" s="27">
        <f>IF(C326="","",SUMIFS(tbl_Finance[Ex GST],tbl_Finance[Job Number],C326&amp;""))</f>
        <v/>
      </c>
      <c r="I326" s="27">
        <f>IF(C326="","",SUMIFS(tbl_Finance[Ex GST],tbl_Finance[Job Number],C326&amp;"",tbl_Finance[Xero Invoice No],"&lt;&gt;"))</f>
        <v/>
      </c>
      <c r="J326" s="27">
        <f>IF(C326="","",H326-I326)</f>
        <v/>
      </c>
      <c r="K326" s="25">
        <f>IF(C326="","",IF(G326=0,"not invoiced yet",SUBSTITUTE(TRIM(IF(COUNTIFS(tbl_Finance[Job Number],C326&amp;"",tbl_Finance[Cost Centre],"ONSITE")&gt;0,"ONSITE ","")&amp;IF(COUNTIFS(tbl_Finance[Job Number],C326&amp;"",tbl_Finance[Cost Centre],"PRODUCTION")&gt;0,"PRODUCTION ","")&amp;IF(COUNTIFS(tbl_Finance[Job Number],C326&amp;"",tbl_Finance[Cost Centre],"VIDEO")&gt;0,"VIDEO ","")&amp;IF(COUNTIFS(tbl_Finance[Job Number],C326&amp;"",tbl_Finance[Cost Centre],"INTEGRATION")&gt;0,"INTEGRATION ","")&amp;IF(COUNTIFS(tbl_Finance[Job Number],C326&amp;"",tbl_Finance[Cost Centre],"CONSULTING")&gt;0,"CONSULTING ","")&amp;IF(COUNTIFS(tbl_Finance[Job Number],C326&amp;"",tbl_Finance[Cost Centre],"CTS")&gt;0,"CTS ",""))," ",", ")))</f>
        <v/>
      </c>
      <c r="L326" s="24" t="n"/>
      <c r="M326" s="24" t="n"/>
      <c r="N326" s="25">
        <f>IF(M326="","",HYPERLINK(IF(LEFT(M326,4)="http",M326,set_QwilrBase&amp;M326),"Open quote"))</f>
        <v/>
      </c>
      <c r="O326" s="64" t="n"/>
      <c r="P326" s="24" t="n"/>
      <c r="Q326" s="24" t="n"/>
    </row>
    <row r="327" ht="15" customHeight="1">
      <c r="A327" s="63">
        <f>IF(C327="","",IFERROR(IF(SUMPRODUCT(MAX((tbl_Finance[Job Number]=C327&amp;"")*(tbl_Finance[Xero Invoice No]&lt;&gt;"")*tbl_Finance[Date]))=0,"",SUMPRODUCT(MAX((tbl_Finance[Job Number]=C327&amp;"")*(tbl_Finance[Xero Invoice No]&lt;&gt;"")*tbl_Finance[Date]))),""))</f>
        <v/>
      </c>
      <c r="B327" s="25">
        <f>IF(C327="","",IF(COUNTIFS(tbl_Finance[Job Number],C327&amp;"",tbl_Finance[Xero Invoice No],"&lt;&gt;")=0,"",IFERROR(IF(COUNTIFS(tbl_Finance[Job Number],C327&amp;"",tbl_Finance[Xero Invoice No],LOOKUP(2,1/((tbl_Finance[Job Number]=C327&amp;"")*(tbl_Finance[Xero Invoice No]&lt;&gt;"")),tbl_Finance[Xero Invoice No]))=COUNTIFS(tbl_Finance[Job Number],C327&amp;"",tbl_Finance[Xero Invoice No],"&lt;&gt;"),LOOKUP(2,1/((tbl_Finance[Job Number]=C327&amp;"")*(tbl_Finance[Xero Invoice No]&lt;&gt;"")),tbl_Finance[Xero Invoice No]),LOOKUP(2,1/((tbl_Finance[Job Number]=C327&amp;"")*(tbl_Finance[Xero Invoice No]&lt;&gt;"")),tbl_Finance[Xero Invoice No])&amp;" +more"),"")))</f>
        <v/>
      </c>
      <c r="C327" s="24" t="n"/>
      <c r="D327" s="25">
        <f>IF(C327="","",IF(COUNTIF(lst_Jobs,C327&amp;"")&gt;0,"OK","CHECK"))</f>
        <v/>
      </c>
      <c r="E327" s="25">
        <f>IF(C327="","",IFERROR(INDEX(lst_JobName,MATCH(C327&amp;"",lst_Jobs,0)),""))</f>
        <v/>
      </c>
      <c r="F327" s="25">
        <f>IF(C327="","",IFERROR(INDEX(tbl_Finance[Client],MATCH(C327&amp;"",tbl_Finance[Job Number],0)),""))</f>
        <v/>
      </c>
      <c r="G327" s="28">
        <f>IF(C327="","",COUNTIFS(tbl_Finance[Job Number],C327&amp;"",tbl_Finance[Ex GST],"&lt;&gt;"))</f>
        <v/>
      </c>
      <c r="H327" s="27">
        <f>IF(C327="","",SUMIFS(tbl_Finance[Ex GST],tbl_Finance[Job Number],C327&amp;""))</f>
        <v/>
      </c>
      <c r="I327" s="27">
        <f>IF(C327="","",SUMIFS(tbl_Finance[Ex GST],tbl_Finance[Job Number],C327&amp;"",tbl_Finance[Xero Invoice No],"&lt;&gt;"))</f>
        <v/>
      </c>
      <c r="J327" s="27">
        <f>IF(C327="","",H327-I327)</f>
        <v/>
      </c>
      <c r="K327" s="25">
        <f>IF(C327="","",IF(G327=0,"not invoiced yet",SUBSTITUTE(TRIM(IF(COUNTIFS(tbl_Finance[Job Number],C327&amp;"",tbl_Finance[Cost Centre],"ONSITE")&gt;0,"ONSITE ","")&amp;IF(COUNTIFS(tbl_Finance[Job Number],C327&amp;"",tbl_Finance[Cost Centre],"PRODUCTION")&gt;0,"PRODUCTION ","")&amp;IF(COUNTIFS(tbl_Finance[Job Number],C327&amp;"",tbl_Finance[Cost Centre],"VIDEO")&gt;0,"VIDEO ","")&amp;IF(COUNTIFS(tbl_Finance[Job Number],C327&amp;"",tbl_Finance[Cost Centre],"INTEGRATION")&gt;0,"INTEGRATION ","")&amp;IF(COUNTIFS(tbl_Finance[Job Number],C327&amp;"",tbl_Finance[Cost Centre],"CONSULTING")&gt;0,"CONSULTING ","")&amp;IF(COUNTIFS(tbl_Finance[Job Number],C327&amp;"",tbl_Finance[Cost Centre],"CTS")&gt;0,"CTS ",""))," ",", ")))</f>
        <v/>
      </c>
      <c r="L327" s="24" t="n"/>
      <c r="M327" s="24" t="n"/>
      <c r="N327" s="25">
        <f>IF(M327="","",HYPERLINK(IF(LEFT(M327,4)="http",M327,set_QwilrBase&amp;M327),"Open quote"))</f>
        <v/>
      </c>
      <c r="O327" s="64" t="n"/>
      <c r="P327" s="24" t="n"/>
      <c r="Q327" s="24" t="n"/>
    </row>
    <row r="328" ht="15" customHeight="1">
      <c r="A328" s="63">
        <f>IF(C328="","",IFERROR(IF(SUMPRODUCT(MAX((tbl_Finance[Job Number]=C328&amp;"")*(tbl_Finance[Xero Invoice No]&lt;&gt;"")*tbl_Finance[Date]))=0,"",SUMPRODUCT(MAX((tbl_Finance[Job Number]=C328&amp;"")*(tbl_Finance[Xero Invoice No]&lt;&gt;"")*tbl_Finance[Date]))),""))</f>
        <v/>
      </c>
      <c r="B328" s="25">
        <f>IF(C328="","",IF(COUNTIFS(tbl_Finance[Job Number],C328&amp;"",tbl_Finance[Xero Invoice No],"&lt;&gt;")=0,"",IFERROR(IF(COUNTIFS(tbl_Finance[Job Number],C328&amp;"",tbl_Finance[Xero Invoice No],LOOKUP(2,1/((tbl_Finance[Job Number]=C328&amp;"")*(tbl_Finance[Xero Invoice No]&lt;&gt;"")),tbl_Finance[Xero Invoice No]))=COUNTIFS(tbl_Finance[Job Number],C328&amp;"",tbl_Finance[Xero Invoice No],"&lt;&gt;"),LOOKUP(2,1/((tbl_Finance[Job Number]=C328&amp;"")*(tbl_Finance[Xero Invoice No]&lt;&gt;"")),tbl_Finance[Xero Invoice No]),LOOKUP(2,1/((tbl_Finance[Job Number]=C328&amp;"")*(tbl_Finance[Xero Invoice No]&lt;&gt;"")),tbl_Finance[Xero Invoice No])&amp;" +more"),"")))</f>
        <v/>
      </c>
      <c r="C328" s="24" t="n"/>
      <c r="D328" s="25">
        <f>IF(C328="","",IF(COUNTIF(lst_Jobs,C328&amp;"")&gt;0,"OK","CHECK"))</f>
        <v/>
      </c>
      <c r="E328" s="25">
        <f>IF(C328="","",IFERROR(INDEX(lst_JobName,MATCH(C328&amp;"",lst_Jobs,0)),""))</f>
        <v/>
      </c>
      <c r="F328" s="25">
        <f>IF(C328="","",IFERROR(INDEX(tbl_Finance[Client],MATCH(C328&amp;"",tbl_Finance[Job Number],0)),""))</f>
        <v/>
      </c>
      <c r="G328" s="28">
        <f>IF(C328="","",COUNTIFS(tbl_Finance[Job Number],C328&amp;"",tbl_Finance[Ex GST],"&lt;&gt;"))</f>
        <v/>
      </c>
      <c r="H328" s="27">
        <f>IF(C328="","",SUMIFS(tbl_Finance[Ex GST],tbl_Finance[Job Number],C328&amp;""))</f>
        <v/>
      </c>
      <c r="I328" s="27">
        <f>IF(C328="","",SUMIFS(tbl_Finance[Ex GST],tbl_Finance[Job Number],C328&amp;"",tbl_Finance[Xero Invoice No],"&lt;&gt;"))</f>
        <v/>
      </c>
      <c r="J328" s="27">
        <f>IF(C328="","",H328-I328)</f>
        <v/>
      </c>
      <c r="K328" s="25">
        <f>IF(C328="","",IF(G328=0,"not invoiced yet",SUBSTITUTE(TRIM(IF(COUNTIFS(tbl_Finance[Job Number],C328&amp;"",tbl_Finance[Cost Centre],"ONSITE")&gt;0,"ONSITE ","")&amp;IF(COUNTIFS(tbl_Finance[Job Number],C328&amp;"",tbl_Finance[Cost Centre],"PRODUCTION")&gt;0,"PRODUCTION ","")&amp;IF(COUNTIFS(tbl_Finance[Job Number],C328&amp;"",tbl_Finance[Cost Centre],"VIDEO")&gt;0,"VIDEO ","")&amp;IF(COUNTIFS(tbl_Finance[Job Number],C328&amp;"",tbl_Finance[Cost Centre],"INTEGRATION")&gt;0,"INTEGRATION ","")&amp;IF(COUNTIFS(tbl_Finance[Job Number],C328&amp;"",tbl_Finance[Cost Centre],"CONSULTING")&gt;0,"CONSULTING ","")&amp;IF(COUNTIFS(tbl_Finance[Job Number],C328&amp;"",tbl_Finance[Cost Centre],"CTS")&gt;0,"CTS ",""))," ",", ")))</f>
        <v/>
      </c>
      <c r="L328" s="24" t="n"/>
      <c r="M328" s="24" t="n"/>
      <c r="N328" s="25">
        <f>IF(M328="","",HYPERLINK(IF(LEFT(M328,4)="http",M328,set_QwilrBase&amp;M328),"Open quote"))</f>
        <v/>
      </c>
      <c r="O328" s="64" t="n"/>
      <c r="P328" s="24" t="n"/>
      <c r="Q328" s="24" t="n"/>
    </row>
    <row r="329" ht="15" customHeight="1">
      <c r="A329" s="63">
        <f>IF(C329="","",IFERROR(IF(SUMPRODUCT(MAX((tbl_Finance[Job Number]=C329&amp;"")*(tbl_Finance[Xero Invoice No]&lt;&gt;"")*tbl_Finance[Date]))=0,"",SUMPRODUCT(MAX((tbl_Finance[Job Number]=C329&amp;"")*(tbl_Finance[Xero Invoice No]&lt;&gt;"")*tbl_Finance[Date]))),""))</f>
        <v/>
      </c>
      <c r="B329" s="25">
        <f>IF(C329="","",IF(COUNTIFS(tbl_Finance[Job Number],C329&amp;"",tbl_Finance[Xero Invoice No],"&lt;&gt;")=0,"",IFERROR(IF(COUNTIFS(tbl_Finance[Job Number],C329&amp;"",tbl_Finance[Xero Invoice No],LOOKUP(2,1/((tbl_Finance[Job Number]=C329&amp;"")*(tbl_Finance[Xero Invoice No]&lt;&gt;"")),tbl_Finance[Xero Invoice No]))=COUNTIFS(tbl_Finance[Job Number],C329&amp;"",tbl_Finance[Xero Invoice No],"&lt;&gt;"),LOOKUP(2,1/((tbl_Finance[Job Number]=C329&amp;"")*(tbl_Finance[Xero Invoice No]&lt;&gt;"")),tbl_Finance[Xero Invoice No]),LOOKUP(2,1/((tbl_Finance[Job Number]=C329&amp;"")*(tbl_Finance[Xero Invoice No]&lt;&gt;"")),tbl_Finance[Xero Invoice No])&amp;" +more"),"")))</f>
        <v/>
      </c>
      <c r="C329" s="24" t="n"/>
      <c r="D329" s="25">
        <f>IF(C329="","",IF(COUNTIF(lst_Jobs,C329&amp;"")&gt;0,"OK","CHECK"))</f>
        <v/>
      </c>
      <c r="E329" s="25">
        <f>IF(C329="","",IFERROR(INDEX(lst_JobName,MATCH(C329&amp;"",lst_Jobs,0)),""))</f>
        <v/>
      </c>
      <c r="F329" s="25">
        <f>IF(C329="","",IFERROR(INDEX(tbl_Finance[Client],MATCH(C329&amp;"",tbl_Finance[Job Number],0)),""))</f>
        <v/>
      </c>
      <c r="G329" s="28">
        <f>IF(C329="","",COUNTIFS(tbl_Finance[Job Number],C329&amp;"",tbl_Finance[Ex GST],"&lt;&gt;"))</f>
        <v/>
      </c>
      <c r="H329" s="27">
        <f>IF(C329="","",SUMIFS(tbl_Finance[Ex GST],tbl_Finance[Job Number],C329&amp;""))</f>
        <v/>
      </c>
      <c r="I329" s="27">
        <f>IF(C329="","",SUMIFS(tbl_Finance[Ex GST],tbl_Finance[Job Number],C329&amp;"",tbl_Finance[Xero Invoice No],"&lt;&gt;"))</f>
        <v/>
      </c>
      <c r="J329" s="27">
        <f>IF(C329="","",H329-I329)</f>
        <v/>
      </c>
      <c r="K329" s="25">
        <f>IF(C329="","",IF(G329=0,"not invoiced yet",SUBSTITUTE(TRIM(IF(COUNTIFS(tbl_Finance[Job Number],C329&amp;"",tbl_Finance[Cost Centre],"ONSITE")&gt;0,"ONSITE ","")&amp;IF(COUNTIFS(tbl_Finance[Job Number],C329&amp;"",tbl_Finance[Cost Centre],"PRODUCTION")&gt;0,"PRODUCTION ","")&amp;IF(COUNTIFS(tbl_Finance[Job Number],C329&amp;"",tbl_Finance[Cost Centre],"VIDEO")&gt;0,"VIDEO ","")&amp;IF(COUNTIFS(tbl_Finance[Job Number],C329&amp;"",tbl_Finance[Cost Centre],"INTEGRATION")&gt;0,"INTEGRATION ","")&amp;IF(COUNTIFS(tbl_Finance[Job Number],C329&amp;"",tbl_Finance[Cost Centre],"CONSULTING")&gt;0,"CONSULTING ","")&amp;IF(COUNTIFS(tbl_Finance[Job Number],C329&amp;"",tbl_Finance[Cost Centre],"CTS")&gt;0,"CTS ",""))," ",", ")))</f>
        <v/>
      </c>
      <c r="L329" s="24" t="n"/>
      <c r="M329" s="24" t="n"/>
      <c r="N329" s="25">
        <f>IF(M329="","",HYPERLINK(IF(LEFT(M329,4)="http",M329,set_QwilrBase&amp;M329),"Open quote"))</f>
        <v/>
      </c>
      <c r="O329" s="64" t="n"/>
      <c r="P329" s="24" t="n"/>
      <c r="Q329" s="24" t="n"/>
    </row>
    <row r="330" ht="15" customHeight="1">
      <c r="A330" s="63">
        <f>IF(C330="","",IFERROR(IF(SUMPRODUCT(MAX((tbl_Finance[Job Number]=C330&amp;"")*(tbl_Finance[Xero Invoice No]&lt;&gt;"")*tbl_Finance[Date]))=0,"",SUMPRODUCT(MAX((tbl_Finance[Job Number]=C330&amp;"")*(tbl_Finance[Xero Invoice No]&lt;&gt;"")*tbl_Finance[Date]))),""))</f>
        <v/>
      </c>
      <c r="B330" s="25">
        <f>IF(C330="","",IF(COUNTIFS(tbl_Finance[Job Number],C330&amp;"",tbl_Finance[Xero Invoice No],"&lt;&gt;")=0,"",IFERROR(IF(COUNTIFS(tbl_Finance[Job Number],C330&amp;"",tbl_Finance[Xero Invoice No],LOOKUP(2,1/((tbl_Finance[Job Number]=C330&amp;"")*(tbl_Finance[Xero Invoice No]&lt;&gt;"")),tbl_Finance[Xero Invoice No]))=COUNTIFS(tbl_Finance[Job Number],C330&amp;"",tbl_Finance[Xero Invoice No],"&lt;&gt;"),LOOKUP(2,1/((tbl_Finance[Job Number]=C330&amp;"")*(tbl_Finance[Xero Invoice No]&lt;&gt;"")),tbl_Finance[Xero Invoice No]),LOOKUP(2,1/((tbl_Finance[Job Number]=C330&amp;"")*(tbl_Finance[Xero Invoice No]&lt;&gt;"")),tbl_Finance[Xero Invoice No])&amp;" +more"),"")))</f>
        <v/>
      </c>
      <c r="C330" s="24" t="n"/>
      <c r="D330" s="25">
        <f>IF(C330="","",IF(COUNTIF(lst_Jobs,C330&amp;"")&gt;0,"OK","CHECK"))</f>
        <v/>
      </c>
      <c r="E330" s="25">
        <f>IF(C330="","",IFERROR(INDEX(lst_JobName,MATCH(C330&amp;"",lst_Jobs,0)),""))</f>
        <v/>
      </c>
      <c r="F330" s="25">
        <f>IF(C330="","",IFERROR(INDEX(tbl_Finance[Client],MATCH(C330&amp;"",tbl_Finance[Job Number],0)),""))</f>
        <v/>
      </c>
      <c r="G330" s="28">
        <f>IF(C330="","",COUNTIFS(tbl_Finance[Job Number],C330&amp;"",tbl_Finance[Ex GST],"&lt;&gt;"))</f>
        <v/>
      </c>
      <c r="H330" s="27">
        <f>IF(C330="","",SUMIFS(tbl_Finance[Ex GST],tbl_Finance[Job Number],C330&amp;""))</f>
        <v/>
      </c>
      <c r="I330" s="27">
        <f>IF(C330="","",SUMIFS(tbl_Finance[Ex GST],tbl_Finance[Job Number],C330&amp;"",tbl_Finance[Xero Invoice No],"&lt;&gt;"))</f>
        <v/>
      </c>
      <c r="J330" s="27">
        <f>IF(C330="","",H330-I330)</f>
        <v/>
      </c>
      <c r="K330" s="25">
        <f>IF(C330="","",IF(G330=0,"not invoiced yet",SUBSTITUTE(TRIM(IF(COUNTIFS(tbl_Finance[Job Number],C330&amp;"",tbl_Finance[Cost Centre],"ONSITE")&gt;0,"ONSITE ","")&amp;IF(COUNTIFS(tbl_Finance[Job Number],C330&amp;"",tbl_Finance[Cost Centre],"PRODUCTION")&gt;0,"PRODUCTION ","")&amp;IF(COUNTIFS(tbl_Finance[Job Number],C330&amp;"",tbl_Finance[Cost Centre],"VIDEO")&gt;0,"VIDEO ","")&amp;IF(COUNTIFS(tbl_Finance[Job Number],C330&amp;"",tbl_Finance[Cost Centre],"INTEGRATION")&gt;0,"INTEGRATION ","")&amp;IF(COUNTIFS(tbl_Finance[Job Number],C330&amp;"",tbl_Finance[Cost Centre],"CONSULTING")&gt;0,"CONSULTING ","")&amp;IF(COUNTIFS(tbl_Finance[Job Number],C330&amp;"",tbl_Finance[Cost Centre],"CTS")&gt;0,"CTS ",""))," ",", ")))</f>
        <v/>
      </c>
      <c r="L330" s="24" t="n"/>
      <c r="M330" s="24" t="n"/>
      <c r="N330" s="25">
        <f>IF(M330="","",HYPERLINK(IF(LEFT(M330,4)="http",M330,set_QwilrBase&amp;M330),"Open quote"))</f>
        <v/>
      </c>
      <c r="O330" s="64" t="n"/>
      <c r="P330" s="24" t="n"/>
      <c r="Q330" s="24" t="n"/>
    </row>
    <row r="331" ht="15" customHeight="1">
      <c r="A331" s="63">
        <f>IF(C331="","",IFERROR(IF(SUMPRODUCT(MAX((tbl_Finance[Job Number]=C331&amp;"")*(tbl_Finance[Xero Invoice No]&lt;&gt;"")*tbl_Finance[Date]))=0,"",SUMPRODUCT(MAX((tbl_Finance[Job Number]=C331&amp;"")*(tbl_Finance[Xero Invoice No]&lt;&gt;"")*tbl_Finance[Date]))),""))</f>
        <v/>
      </c>
      <c r="B331" s="25">
        <f>IF(C331="","",IF(COUNTIFS(tbl_Finance[Job Number],C331&amp;"",tbl_Finance[Xero Invoice No],"&lt;&gt;")=0,"",IFERROR(IF(COUNTIFS(tbl_Finance[Job Number],C331&amp;"",tbl_Finance[Xero Invoice No],LOOKUP(2,1/((tbl_Finance[Job Number]=C331&amp;"")*(tbl_Finance[Xero Invoice No]&lt;&gt;"")),tbl_Finance[Xero Invoice No]))=COUNTIFS(tbl_Finance[Job Number],C331&amp;"",tbl_Finance[Xero Invoice No],"&lt;&gt;"),LOOKUP(2,1/((tbl_Finance[Job Number]=C331&amp;"")*(tbl_Finance[Xero Invoice No]&lt;&gt;"")),tbl_Finance[Xero Invoice No]),LOOKUP(2,1/((tbl_Finance[Job Number]=C331&amp;"")*(tbl_Finance[Xero Invoice No]&lt;&gt;"")),tbl_Finance[Xero Invoice No])&amp;" +more"),"")))</f>
        <v/>
      </c>
      <c r="C331" s="24" t="n"/>
      <c r="D331" s="25">
        <f>IF(C331="","",IF(COUNTIF(lst_Jobs,C331&amp;"")&gt;0,"OK","CHECK"))</f>
        <v/>
      </c>
      <c r="E331" s="25">
        <f>IF(C331="","",IFERROR(INDEX(lst_JobName,MATCH(C331&amp;"",lst_Jobs,0)),""))</f>
        <v/>
      </c>
      <c r="F331" s="25">
        <f>IF(C331="","",IFERROR(INDEX(tbl_Finance[Client],MATCH(C331&amp;"",tbl_Finance[Job Number],0)),""))</f>
        <v/>
      </c>
      <c r="G331" s="28">
        <f>IF(C331="","",COUNTIFS(tbl_Finance[Job Number],C331&amp;"",tbl_Finance[Ex GST],"&lt;&gt;"))</f>
        <v/>
      </c>
      <c r="H331" s="27">
        <f>IF(C331="","",SUMIFS(tbl_Finance[Ex GST],tbl_Finance[Job Number],C331&amp;""))</f>
        <v/>
      </c>
      <c r="I331" s="27">
        <f>IF(C331="","",SUMIFS(tbl_Finance[Ex GST],tbl_Finance[Job Number],C331&amp;"",tbl_Finance[Xero Invoice No],"&lt;&gt;"))</f>
        <v/>
      </c>
      <c r="J331" s="27">
        <f>IF(C331="","",H331-I331)</f>
        <v/>
      </c>
      <c r="K331" s="25">
        <f>IF(C331="","",IF(G331=0,"not invoiced yet",SUBSTITUTE(TRIM(IF(COUNTIFS(tbl_Finance[Job Number],C331&amp;"",tbl_Finance[Cost Centre],"ONSITE")&gt;0,"ONSITE ","")&amp;IF(COUNTIFS(tbl_Finance[Job Number],C331&amp;"",tbl_Finance[Cost Centre],"PRODUCTION")&gt;0,"PRODUCTION ","")&amp;IF(COUNTIFS(tbl_Finance[Job Number],C331&amp;"",tbl_Finance[Cost Centre],"VIDEO")&gt;0,"VIDEO ","")&amp;IF(COUNTIFS(tbl_Finance[Job Number],C331&amp;"",tbl_Finance[Cost Centre],"INTEGRATION")&gt;0,"INTEGRATION ","")&amp;IF(COUNTIFS(tbl_Finance[Job Number],C331&amp;"",tbl_Finance[Cost Centre],"CONSULTING")&gt;0,"CONSULTING ","")&amp;IF(COUNTIFS(tbl_Finance[Job Number],C331&amp;"",tbl_Finance[Cost Centre],"CTS")&gt;0,"CTS ",""))," ",", ")))</f>
        <v/>
      </c>
      <c r="L331" s="24" t="n"/>
      <c r="M331" s="24" t="n"/>
      <c r="N331" s="25">
        <f>IF(M331="","",HYPERLINK(IF(LEFT(M331,4)="http",M331,set_QwilrBase&amp;M331),"Open quote"))</f>
        <v/>
      </c>
      <c r="O331" s="64" t="n"/>
      <c r="P331" s="24" t="n"/>
      <c r="Q331" s="24" t="n"/>
    </row>
    <row r="332" ht="15" customHeight="1">
      <c r="A332" s="63">
        <f>IF(C332="","",IFERROR(IF(SUMPRODUCT(MAX((tbl_Finance[Job Number]=C332&amp;"")*(tbl_Finance[Xero Invoice No]&lt;&gt;"")*tbl_Finance[Date]))=0,"",SUMPRODUCT(MAX((tbl_Finance[Job Number]=C332&amp;"")*(tbl_Finance[Xero Invoice No]&lt;&gt;"")*tbl_Finance[Date]))),""))</f>
        <v/>
      </c>
      <c r="B332" s="25">
        <f>IF(C332="","",IF(COUNTIFS(tbl_Finance[Job Number],C332&amp;"",tbl_Finance[Xero Invoice No],"&lt;&gt;")=0,"",IFERROR(IF(COUNTIFS(tbl_Finance[Job Number],C332&amp;"",tbl_Finance[Xero Invoice No],LOOKUP(2,1/((tbl_Finance[Job Number]=C332&amp;"")*(tbl_Finance[Xero Invoice No]&lt;&gt;"")),tbl_Finance[Xero Invoice No]))=COUNTIFS(tbl_Finance[Job Number],C332&amp;"",tbl_Finance[Xero Invoice No],"&lt;&gt;"),LOOKUP(2,1/((tbl_Finance[Job Number]=C332&amp;"")*(tbl_Finance[Xero Invoice No]&lt;&gt;"")),tbl_Finance[Xero Invoice No]),LOOKUP(2,1/((tbl_Finance[Job Number]=C332&amp;"")*(tbl_Finance[Xero Invoice No]&lt;&gt;"")),tbl_Finance[Xero Invoice No])&amp;" +more"),"")))</f>
        <v/>
      </c>
      <c r="C332" s="24" t="n"/>
      <c r="D332" s="25">
        <f>IF(C332="","",IF(COUNTIF(lst_Jobs,C332&amp;"")&gt;0,"OK","CHECK"))</f>
        <v/>
      </c>
      <c r="E332" s="25">
        <f>IF(C332="","",IFERROR(INDEX(lst_JobName,MATCH(C332&amp;"",lst_Jobs,0)),""))</f>
        <v/>
      </c>
      <c r="F332" s="25">
        <f>IF(C332="","",IFERROR(INDEX(tbl_Finance[Client],MATCH(C332&amp;"",tbl_Finance[Job Number],0)),""))</f>
        <v/>
      </c>
      <c r="G332" s="28">
        <f>IF(C332="","",COUNTIFS(tbl_Finance[Job Number],C332&amp;"",tbl_Finance[Ex GST],"&lt;&gt;"))</f>
        <v/>
      </c>
      <c r="H332" s="27">
        <f>IF(C332="","",SUMIFS(tbl_Finance[Ex GST],tbl_Finance[Job Number],C332&amp;""))</f>
        <v/>
      </c>
      <c r="I332" s="27">
        <f>IF(C332="","",SUMIFS(tbl_Finance[Ex GST],tbl_Finance[Job Number],C332&amp;"",tbl_Finance[Xero Invoice No],"&lt;&gt;"))</f>
        <v/>
      </c>
      <c r="J332" s="27">
        <f>IF(C332="","",H332-I332)</f>
        <v/>
      </c>
      <c r="K332" s="25">
        <f>IF(C332="","",IF(G332=0,"not invoiced yet",SUBSTITUTE(TRIM(IF(COUNTIFS(tbl_Finance[Job Number],C332&amp;"",tbl_Finance[Cost Centre],"ONSITE")&gt;0,"ONSITE ","")&amp;IF(COUNTIFS(tbl_Finance[Job Number],C332&amp;"",tbl_Finance[Cost Centre],"PRODUCTION")&gt;0,"PRODUCTION ","")&amp;IF(COUNTIFS(tbl_Finance[Job Number],C332&amp;"",tbl_Finance[Cost Centre],"VIDEO")&gt;0,"VIDEO ","")&amp;IF(COUNTIFS(tbl_Finance[Job Number],C332&amp;"",tbl_Finance[Cost Centre],"INTEGRATION")&gt;0,"INTEGRATION ","")&amp;IF(COUNTIFS(tbl_Finance[Job Number],C332&amp;"",tbl_Finance[Cost Centre],"CONSULTING")&gt;0,"CONSULTING ","")&amp;IF(COUNTIFS(tbl_Finance[Job Number],C332&amp;"",tbl_Finance[Cost Centre],"CTS")&gt;0,"CTS ",""))," ",", ")))</f>
        <v/>
      </c>
      <c r="L332" s="24" t="n"/>
      <c r="M332" s="24" t="n"/>
      <c r="N332" s="25">
        <f>IF(M332="","",HYPERLINK(IF(LEFT(M332,4)="http",M332,set_QwilrBase&amp;M332),"Open quote"))</f>
        <v/>
      </c>
      <c r="O332" s="64" t="n"/>
      <c r="P332" s="24" t="n"/>
      <c r="Q332" s="24" t="n"/>
    </row>
    <row r="333" ht="15" customHeight="1">
      <c r="A333" s="63">
        <f>IF(C333="","",IFERROR(IF(SUMPRODUCT(MAX((tbl_Finance[Job Number]=C333&amp;"")*(tbl_Finance[Xero Invoice No]&lt;&gt;"")*tbl_Finance[Date]))=0,"",SUMPRODUCT(MAX((tbl_Finance[Job Number]=C333&amp;"")*(tbl_Finance[Xero Invoice No]&lt;&gt;"")*tbl_Finance[Date]))),""))</f>
        <v/>
      </c>
      <c r="B333" s="25">
        <f>IF(C333="","",IF(COUNTIFS(tbl_Finance[Job Number],C333&amp;"",tbl_Finance[Xero Invoice No],"&lt;&gt;")=0,"",IFERROR(IF(COUNTIFS(tbl_Finance[Job Number],C333&amp;"",tbl_Finance[Xero Invoice No],LOOKUP(2,1/((tbl_Finance[Job Number]=C333&amp;"")*(tbl_Finance[Xero Invoice No]&lt;&gt;"")),tbl_Finance[Xero Invoice No]))=COUNTIFS(tbl_Finance[Job Number],C333&amp;"",tbl_Finance[Xero Invoice No],"&lt;&gt;"),LOOKUP(2,1/((tbl_Finance[Job Number]=C333&amp;"")*(tbl_Finance[Xero Invoice No]&lt;&gt;"")),tbl_Finance[Xero Invoice No]),LOOKUP(2,1/((tbl_Finance[Job Number]=C333&amp;"")*(tbl_Finance[Xero Invoice No]&lt;&gt;"")),tbl_Finance[Xero Invoice No])&amp;" +more"),"")))</f>
        <v/>
      </c>
      <c r="C333" s="24" t="n"/>
      <c r="D333" s="25">
        <f>IF(C333="","",IF(COUNTIF(lst_Jobs,C333&amp;"")&gt;0,"OK","CHECK"))</f>
        <v/>
      </c>
      <c r="E333" s="25">
        <f>IF(C333="","",IFERROR(INDEX(lst_JobName,MATCH(C333&amp;"",lst_Jobs,0)),""))</f>
        <v/>
      </c>
      <c r="F333" s="25">
        <f>IF(C333="","",IFERROR(INDEX(tbl_Finance[Client],MATCH(C333&amp;"",tbl_Finance[Job Number],0)),""))</f>
        <v/>
      </c>
      <c r="G333" s="28">
        <f>IF(C333="","",COUNTIFS(tbl_Finance[Job Number],C333&amp;"",tbl_Finance[Ex GST],"&lt;&gt;"))</f>
        <v/>
      </c>
      <c r="H333" s="27">
        <f>IF(C333="","",SUMIFS(tbl_Finance[Ex GST],tbl_Finance[Job Number],C333&amp;""))</f>
        <v/>
      </c>
      <c r="I333" s="27">
        <f>IF(C333="","",SUMIFS(tbl_Finance[Ex GST],tbl_Finance[Job Number],C333&amp;"",tbl_Finance[Xero Invoice No],"&lt;&gt;"))</f>
        <v/>
      </c>
      <c r="J333" s="27">
        <f>IF(C333="","",H333-I333)</f>
        <v/>
      </c>
      <c r="K333" s="25">
        <f>IF(C333="","",IF(G333=0,"not invoiced yet",SUBSTITUTE(TRIM(IF(COUNTIFS(tbl_Finance[Job Number],C333&amp;"",tbl_Finance[Cost Centre],"ONSITE")&gt;0,"ONSITE ","")&amp;IF(COUNTIFS(tbl_Finance[Job Number],C333&amp;"",tbl_Finance[Cost Centre],"PRODUCTION")&gt;0,"PRODUCTION ","")&amp;IF(COUNTIFS(tbl_Finance[Job Number],C333&amp;"",tbl_Finance[Cost Centre],"VIDEO")&gt;0,"VIDEO ","")&amp;IF(COUNTIFS(tbl_Finance[Job Number],C333&amp;"",tbl_Finance[Cost Centre],"INTEGRATION")&gt;0,"INTEGRATION ","")&amp;IF(COUNTIFS(tbl_Finance[Job Number],C333&amp;"",tbl_Finance[Cost Centre],"CONSULTING")&gt;0,"CONSULTING ","")&amp;IF(COUNTIFS(tbl_Finance[Job Number],C333&amp;"",tbl_Finance[Cost Centre],"CTS")&gt;0,"CTS ",""))," ",", ")))</f>
        <v/>
      </c>
      <c r="L333" s="24" t="n"/>
      <c r="M333" s="24" t="n"/>
      <c r="N333" s="25">
        <f>IF(M333="","",HYPERLINK(IF(LEFT(M333,4)="http",M333,set_QwilrBase&amp;M333),"Open quote"))</f>
        <v/>
      </c>
      <c r="O333" s="64" t="n"/>
      <c r="P333" s="24" t="n"/>
      <c r="Q333" s="24" t="n"/>
    </row>
    <row r="334" ht="15" customHeight="1">
      <c r="A334" s="63">
        <f>IF(C334="","",IFERROR(IF(SUMPRODUCT(MAX((tbl_Finance[Job Number]=C334&amp;"")*(tbl_Finance[Xero Invoice No]&lt;&gt;"")*tbl_Finance[Date]))=0,"",SUMPRODUCT(MAX((tbl_Finance[Job Number]=C334&amp;"")*(tbl_Finance[Xero Invoice No]&lt;&gt;"")*tbl_Finance[Date]))),""))</f>
        <v/>
      </c>
      <c r="B334" s="25">
        <f>IF(C334="","",IF(COUNTIFS(tbl_Finance[Job Number],C334&amp;"",tbl_Finance[Xero Invoice No],"&lt;&gt;")=0,"",IFERROR(IF(COUNTIFS(tbl_Finance[Job Number],C334&amp;"",tbl_Finance[Xero Invoice No],LOOKUP(2,1/((tbl_Finance[Job Number]=C334&amp;"")*(tbl_Finance[Xero Invoice No]&lt;&gt;"")),tbl_Finance[Xero Invoice No]))=COUNTIFS(tbl_Finance[Job Number],C334&amp;"",tbl_Finance[Xero Invoice No],"&lt;&gt;"),LOOKUP(2,1/((tbl_Finance[Job Number]=C334&amp;"")*(tbl_Finance[Xero Invoice No]&lt;&gt;"")),tbl_Finance[Xero Invoice No]),LOOKUP(2,1/((tbl_Finance[Job Number]=C334&amp;"")*(tbl_Finance[Xero Invoice No]&lt;&gt;"")),tbl_Finance[Xero Invoice No])&amp;" +more"),"")))</f>
        <v/>
      </c>
      <c r="C334" s="24" t="n"/>
      <c r="D334" s="25">
        <f>IF(C334="","",IF(COUNTIF(lst_Jobs,C334&amp;"")&gt;0,"OK","CHECK"))</f>
        <v/>
      </c>
      <c r="E334" s="25">
        <f>IF(C334="","",IFERROR(INDEX(lst_JobName,MATCH(C334&amp;"",lst_Jobs,0)),""))</f>
        <v/>
      </c>
      <c r="F334" s="25">
        <f>IF(C334="","",IFERROR(INDEX(tbl_Finance[Client],MATCH(C334&amp;"",tbl_Finance[Job Number],0)),""))</f>
        <v/>
      </c>
      <c r="G334" s="28">
        <f>IF(C334="","",COUNTIFS(tbl_Finance[Job Number],C334&amp;"",tbl_Finance[Ex GST],"&lt;&gt;"))</f>
        <v/>
      </c>
      <c r="H334" s="27">
        <f>IF(C334="","",SUMIFS(tbl_Finance[Ex GST],tbl_Finance[Job Number],C334&amp;""))</f>
        <v/>
      </c>
      <c r="I334" s="27">
        <f>IF(C334="","",SUMIFS(tbl_Finance[Ex GST],tbl_Finance[Job Number],C334&amp;"",tbl_Finance[Xero Invoice No],"&lt;&gt;"))</f>
        <v/>
      </c>
      <c r="J334" s="27">
        <f>IF(C334="","",H334-I334)</f>
        <v/>
      </c>
      <c r="K334" s="25">
        <f>IF(C334="","",IF(G334=0,"not invoiced yet",SUBSTITUTE(TRIM(IF(COUNTIFS(tbl_Finance[Job Number],C334&amp;"",tbl_Finance[Cost Centre],"ONSITE")&gt;0,"ONSITE ","")&amp;IF(COUNTIFS(tbl_Finance[Job Number],C334&amp;"",tbl_Finance[Cost Centre],"PRODUCTION")&gt;0,"PRODUCTION ","")&amp;IF(COUNTIFS(tbl_Finance[Job Number],C334&amp;"",tbl_Finance[Cost Centre],"VIDEO")&gt;0,"VIDEO ","")&amp;IF(COUNTIFS(tbl_Finance[Job Number],C334&amp;"",tbl_Finance[Cost Centre],"INTEGRATION")&gt;0,"INTEGRATION ","")&amp;IF(COUNTIFS(tbl_Finance[Job Number],C334&amp;"",tbl_Finance[Cost Centre],"CONSULTING")&gt;0,"CONSULTING ","")&amp;IF(COUNTIFS(tbl_Finance[Job Number],C334&amp;"",tbl_Finance[Cost Centre],"CTS")&gt;0,"CTS ",""))," ",", ")))</f>
        <v/>
      </c>
      <c r="L334" s="24" t="n"/>
      <c r="M334" s="24" t="n"/>
      <c r="N334" s="25">
        <f>IF(M334="","",HYPERLINK(IF(LEFT(M334,4)="http",M334,set_QwilrBase&amp;M334),"Open quote"))</f>
        <v/>
      </c>
      <c r="O334" s="64" t="n"/>
      <c r="P334" s="24" t="n"/>
      <c r="Q334" s="24" t="n"/>
    </row>
    <row r="335" ht="15" customHeight="1">
      <c r="A335" s="63">
        <f>IF(C335="","",IFERROR(IF(SUMPRODUCT(MAX((tbl_Finance[Job Number]=C335&amp;"")*(tbl_Finance[Xero Invoice No]&lt;&gt;"")*tbl_Finance[Date]))=0,"",SUMPRODUCT(MAX((tbl_Finance[Job Number]=C335&amp;"")*(tbl_Finance[Xero Invoice No]&lt;&gt;"")*tbl_Finance[Date]))),""))</f>
        <v/>
      </c>
      <c r="B335" s="25">
        <f>IF(C335="","",IF(COUNTIFS(tbl_Finance[Job Number],C335&amp;"",tbl_Finance[Xero Invoice No],"&lt;&gt;")=0,"",IFERROR(IF(COUNTIFS(tbl_Finance[Job Number],C335&amp;"",tbl_Finance[Xero Invoice No],LOOKUP(2,1/((tbl_Finance[Job Number]=C335&amp;"")*(tbl_Finance[Xero Invoice No]&lt;&gt;"")),tbl_Finance[Xero Invoice No]))=COUNTIFS(tbl_Finance[Job Number],C335&amp;"",tbl_Finance[Xero Invoice No],"&lt;&gt;"),LOOKUP(2,1/((tbl_Finance[Job Number]=C335&amp;"")*(tbl_Finance[Xero Invoice No]&lt;&gt;"")),tbl_Finance[Xero Invoice No]),LOOKUP(2,1/((tbl_Finance[Job Number]=C335&amp;"")*(tbl_Finance[Xero Invoice No]&lt;&gt;"")),tbl_Finance[Xero Invoice No])&amp;" +more"),"")))</f>
        <v/>
      </c>
      <c r="C335" s="24" t="n"/>
      <c r="D335" s="25">
        <f>IF(C335="","",IF(COUNTIF(lst_Jobs,C335&amp;"")&gt;0,"OK","CHECK"))</f>
        <v/>
      </c>
      <c r="E335" s="25">
        <f>IF(C335="","",IFERROR(INDEX(lst_JobName,MATCH(C335&amp;"",lst_Jobs,0)),""))</f>
        <v/>
      </c>
      <c r="F335" s="25">
        <f>IF(C335="","",IFERROR(INDEX(tbl_Finance[Client],MATCH(C335&amp;"",tbl_Finance[Job Number],0)),""))</f>
        <v/>
      </c>
      <c r="G335" s="28">
        <f>IF(C335="","",COUNTIFS(tbl_Finance[Job Number],C335&amp;"",tbl_Finance[Ex GST],"&lt;&gt;"))</f>
        <v/>
      </c>
      <c r="H335" s="27">
        <f>IF(C335="","",SUMIFS(tbl_Finance[Ex GST],tbl_Finance[Job Number],C335&amp;""))</f>
        <v/>
      </c>
      <c r="I335" s="27">
        <f>IF(C335="","",SUMIFS(tbl_Finance[Ex GST],tbl_Finance[Job Number],C335&amp;"",tbl_Finance[Xero Invoice No],"&lt;&gt;"))</f>
        <v/>
      </c>
      <c r="J335" s="27">
        <f>IF(C335="","",H335-I335)</f>
        <v/>
      </c>
      <c r="K335" s="25">
        <f>IF(C335="","",IF(G335=0,"not invoiced yet",SUBSTITUTE(TRIM(IF(COUNTIFS(tbl_Finance[Job Number],C335&amp;"",tbl_Finance[Cost Centre],"ONSITE")&gt;0,"ONSITE ","")&amp;IF(COUNTIFS(tbl_Finance[Job Number],C335&amp;"",tbl_Finance[Cost Centre],"PRODUCTION")&gt;0,"PRODUCTION ","")&amp;IF(COUNTIFS(tbl_Finance[Job Number],C335&amp;"",tbl_Finance[Cost Centre],"VIDEO")&gt;0,"VIDEO ","")&amp;IF(COUNTIFS(tbl_Finance[Job Number],C335&amp;"",tbl_Finance[Cost Centre],"INTEGRATION")&gt;0,"INTEGRATION ","")&amp;IF(COUNTIFS(tbl_Finance[Job Number],C335&amp;"",tbl_Finance[Cost Centre],"CONSULTING")&gt;0,"CONSULTING ","")&amp;IF(COUNTIFS(tbl_Finance[Job Number],C335&amp;"",tbl_Finance[Cost Centre],"CTS")&gt;0,"CTS ",""))," ",", ")))</f>
        <v/>
      </c>
      <c r="L335" s="24" t="n"/>
      <c r="M335" s="24" t="n"/>
      <c r="N335" s="25">
        <f>IF(M335="","",HYPERLINK(IF(LEFT(M335,4)="http",M335,set_QwilrBase&amp;M335),"Open quote"))</f>
        <v/>
      </c>
      <c r="O335" s="64" t="n"/>
      <c r="P335" s="24" t="n"/>
      <c r="Q335" s="24" t="n"/>
    </row>
    <row r="336" ht="15" customHeight="1">
      <c r="A336" s="63">
        <f>IF(C336="","",IFERROR(IF(SUMPRODUCT(MAX((tbl_Finance[Job Number]=C336&amp;"")*(tbl_Finance[Xero Invoice No]&lt;&gt;"")*tbl_Finance[Date]))=0,"",SUMPRODUCT(MAX((tbl_Finance[Job Number]=C336&amp;"")*(tbl_Finance[Xero Invoice No]&lt;&gt;"")*tbl_Finance[Date]))),""))</f>
        <v/>
      </c>
      <c r="B336" s="25">
        <f>IF(C336="","",IF(COUNTIFS(tbl_Finance[Job Number],C336&amp;"",tbl_Finance[Xero Invoice No],"&lt;&gt;")=0,"",IFERROR(IF(COUNTIFS(tbl_Finance[Job Number],C336&amp;"",tbl_Finance[Xero Invoice No],LOOKUP(2,1/((tbl_Finance[Job Number]=C336&amp;"")*(tbl_Finance[Xero Invoice No]&lt;&gt;"")),tbl_Finance[Xero Invoice No]))=COUNTIFS(tbl_Finance[Job Number],C336&amp;"",tbl_Finance[Xero Invoice No],"&lt;&gt;"),LOOKUP(2,1/((tbl_Finance[Job Number]=C336&amp;"")*(tbl_Finance[Xero Invoice No]&lt;&gt;"")),tbl_Finance[Xero Invoice No]),LOOKUP(2,1/((tbl_Finance[Job Number]=C336&amp;"")*(tbl_Finance[Xero Invoice No]&lt;&gt;"")),tbl_Finance[Xero Invoice No])&amp;" +more"),"")))</f>
        <v/>
      </c>
      <c r="C336" s="24" t="n"/>
      <c r="D336" s="25">
        <f>IF(C336="","",IF(COUNTIF(lst_Jobs,C336&amp;"")&gt;0,"OK","CHECK"))</f>
        <v/>
      </c>
      <c r="E336" s="25">
        <f>IF(C336="","",IFERROR(INDEX(lst_JobName,MATCH(C336&amp;"",lst_Jobs,0)),""))</f>
        <v/>
      </c>
      <c r="F336" s="25">
        <f>IF(C336="","",IFERROR(INDEX(tbl_Finance[Client],MATCH(C336&amp;"",tbl_Finance[Job Number],0)),""))</f>
        <v/>
      </c>
      <c r="G336" s="28">
        <f>IF(C336="","",COUNTIFS(tbl_Finance[Job Number],C336&amp;"",tbl_Finance[Ex GST],"&lt;&gt;"))</f>
        <v/>
      </c>
      <c r="H336" s="27">
        <f>IF(C336="","",SUMIFS(tbl_Finance[Ex GST],tbl_Finance[Job Number],C336&amp;""))</f>
        <v/>
      </c>
      <c r="I336" s="27">
        <f>IF(C336="","",SUMIFS(tbl_Finance[Ex GST],tbl_Finance[Job Number],C336&amp;"",tbl_Finance[Xero Invoice No],"&lt;&gt;"))</f>
        <v/>
      </c>
      <c r="J336" s="27">
        <f>IF(C336="","",H336-I336)</f>
        <v/>
      </c>
      <c r="K336" s="25">
        <f>IF(C336="","",IF(G336=0,"not invoiced yet",SUBSTITUTE(TRIM(IF(COUNTIFS(tbl_Finance[Job Number],C336&amp;"",tbl_Finance[Cost Centre],"ONSITE")&gt;0,"ONSITE ","")&amp;IF(COUNTIFS(tbl_Finance[Job Number],C336&amp;"",tbl_Finance[Cost Centre],"PRODUCTION")&gt;0,"PRODUCTION ","")&amp;IF(COUNTIFS(tbl_Finance[Job Number],C336&amp;"",tbl_Finance[Cost Centre],"VIDEO")&gt;0,"VIDEO ","")&amp;IF(COUNTIFS(tbl_Finance[Job Number],C336&amp;"",tbl_Finance[Cost Centre],"INTEGRATION")&gt;0,"INTEGRATION ","")&amp;IF(COUNTIFS(tbl_Finance[Job Number],C336&amp;"",tbl_Finance[Cost Centre],"CONSULTING")&gt;0,"CONSULTING ","")&amp;IF(COUNTIFS(tbl_Finance[Job Number],C336&amp;"",tbl_Finance[Cost Centre],"CTS")&gt;0,"CTS ",""))," ",", ")))</f>
        <v/>
      </c>
      <c r="L336" s="24" t="n"/>
      <c r="M336" s="24" t="n"/>
      <c r="N336" s="25">
        <f>IF(M336="","",HYPERLINK(IF(LEFT(M336,4)="http",M336,set_QwilrBase&amp;M336),"Open quote"))</f>
        <v/>
      </c>
      <c r="O336" s="64" t="n"/>
      <c r="P336" s="24" t="n"/>
      <c r="Q336" s="24" t="n"/>
    </row>
    <row r="337" ht="15" customHeight="1">
      <c r="A337" s="63">
        <f>IF(C337="","",IFERROR(IF(SUMPRODUCT(MAX((tbl_Finance[Job Number]=C337&amp;"")*(tbl_Finance[Xero Invoice No]&lt;&gt;"")*tbl_Finance[Date]))=0,"",SUMPRODUCT(MAX((tbl_Finance[Job Number]=C337&amp;"")*(tbl_Finance[Xero Invoice No]&lt;&gt;"")*tbl_Finance[Date]))),""))</f>
        <v/>
      </c>
      <c r="B337" s="25">
        <f>IF(C337="","",IF(COUNTIFS(tbl_Finance[Job Number],C337&amp;"",tbl_Finance[Xero Invoice No],"&lt;&gt;")=0,"",IFERROR(IF(COUNTIFS(tbl_Finance[Job Number],C337&amp;"",tbl_Finance[Xero Invoice No],LOOKUP(2,1/((tbl_Finance[Job Number]=C337&amp;"")*(tbl_Finance[Xero Invoice No]&lt;&gt;"")),tbl_Finance[Xero Invoice No]))=COUNTIFS(tbl_Finance[Job Number],C337&amp;"",tbl_Finance[Xero Invoice No],"&lt;&gt;"),LOOKUP(2,1/((tbl_Finance[Job Number]=C337&amp;"")*(tbl_Finance[Xero Invoice No]&lt;&gt;"")),tbl_Finance[Xero Invoice No]),LOOKUP(2,1/((tbl_Finance[Job Number]=C337&amp;"")*(tbl_Finance[Xero Invoice No]&lt;&gt;"")),tbl_Finance[Xero Invoice No])&amp;" +more"),"")))</f>
        <v/>
      </c>
      <c r="C337" s="24" t="n"/>
      <c r="D337" s="25">
        <f>IF(C337="","",IF(COUNTIF(lst_Jobs,C337&amp;"")&gt;0,"OK","CHECK"))</f>
        <v/>
      </c>
      <c r="E337" s="25">
        <f>IF(C337="","",IFERROR(INDEX(lst_JobName,MATCH(C337&amp;"",lst_Jobs,0)),""))</f>
        <v/>
      </c>
      <c r="F337" s="25">
        <f>IF(C337="","",IFERROR(INDEX(tbl_Finance[Client],MATCH(C337&amp;"",tbl_Finance[Job Number],0)),""))</f>
        <v/>
      </c>
      <c r="G337" s="28">
        <f>IF(C337="","",COUNTIFS(tbl_Finance[Job Number],C337&amp;"",tbl_Finance[Ex GST],"&lt;&gt;"))</f>
        <v/>
      </c>
      <c r="H337" s="27">
        <f>IF(C337="","",SUMIFS(tbl_Finance[Ex GST],tbl_Finance[Job Number],C337&amp;""))</f>
        <v/>
      </c>
      <c r="I337" s="27">
        <f>IF(C337="","",SUMIFS(tbl_Finance[Ex GST],tbl_Finance[Job Number],C337&amp;"",tbl_Finance[Xero Invoice No],"&lt;&gt;"))</f>
        <v/>
      </c>
      <c r="J337" s="27">
        <f>IF(C337="","",H337-I337)</f>
        <v/>
      </c>
      <c r="K337" s="25">
        <f>IF(C337="","",IF(G337=0,"not invoiced yet",SUBSTITUTE(TRIM(IF(COUNTIFS(tbl_Finance[Job Number],C337&amp;"",tbl_Finance[Cost Centre],"ONSITE")&gt;0,"ONSITE ","")&amp;IF(COUNTIFS(tbl_Finance[Job Number],C337&amp;"",tbl_Finance[Cost Centre],"PRODUCTION")&gt;0,"PRODUCTION ","")&amp;IF(COUNTIFS(tbl_Finance[Job Number],C337&amp;"",tbl_Finance[Cost Centre],"VIDEO")&gt;0,"VIDEO ","")&amp;IF(COUNTIFS(tbl_Finance[Job Number],C337&amp;"",tbl_Finance[Cost Centre],"INTEGRATION")&gt;0,"INTEGRATION ","")&amp;IF(COUNTIFS(tbl_Finance[Job Number],C337&amp;"",tbl_Finance[Cost Centre],"CONSULTING")&gt;0,"CONSULTING ","")&amp;IF(COUNTIFS(tbl_Finance[Job Number],C337&amp;"",tbl_Finance[Cost Centre],"CTS")&gt;0,"CTS ",""))," ",", ")))</f>
        <v/>
      </c>
      <c r="L337" s="24" t="n"/>
      <c r="M337" s="24" t="n"/>
      <c r="N337" s="25">
        <f>IF(M337="","",HYPERLINK(IF(LEFT(M337,4)="http",M337,set_QwilrBase&amp;M337),"Open quote"))</f>
        <v/>
      </c>
      <c r="O337" s="64" t="n"/>
      <c r="P337" s="24" t="n"/>
      <c r="Q337" s="24" t="n"/>
    </row>
    <row r="338" ht="15" customHeight="1">
      <c r="A338" s="63">
        <f>IF(C338="","",IFERROR(IF(SUMPRODUCT(MAX((tbl_Finance[Job Number]=C338&amp;"")*(tbl_Finance[Xero Invoice No]&lt;&gt;"")*tbl_Finance[Date]))=0,"",SUMPRODUCT(MAX((tbl_Finance[Job Number]=C338&amp;"")*(tbl_Finance[Xero Invoice No]&lt;&gt;"")*tbl_Finance[Date]))),""))</f>
        <v/>
      </c>
      <c r="B338" s="25">
        <f>IF(C338="","",IF(COUNTIFS(tbl_Finance[Job Number],C338&amp;"",tbl_Finance[Xero Invoice No],"&lt;&gt;")=0,"",IFERROR(IF(COUNTIFS(tbl_Finance[Job Number],C338&amp;"",tbl_Finance[Xero Invoice No],LOOKUP(2,1/((tbl_Finance[Job Number]=C338&amp;"")*(tbl_Finance[Xero Invoice No]&lt;&gt;"")),tbl_Finance[Xero Invoice No]))=COUNTIFS(tbl_Finance[Job Number],C338&amp;"",tbl_Finance[Xero Invoice No],"&lt;&gt;"),LOOKUP(2,1/((tbl_Finance[Job Number]=C338&amp;"")*(tbl_Finance[Xero Invoice No]&lt;&gt;"")),tbl_Finance[Xero Invoice No]),LOOKUP(2,1/((tbl_Finance[Job Number]=C338&amp;"")*(tbl_Finance[Xero Invoice No]&lt;&gt;"")),tbl_Finance[Xero Invoice No])&amp;" +more"),"")))</f>
        <v/>
      </c>
      <c r="C338" s="24" t="n"/>
      <c r="D338" s="25">
        <f>IF(C338="","",IF(COUNTIF(lst_Jobs,C338&amp;"")&gt;0,"OK","CHECK"))</f>
        <v/>
      </c>
      <c r="E338" s="25">
        <f>IF(C338="","",IFERROR(INDEX(lst_JobName,MATCH(C338&amp;"",lst_Jobs,0)),""))</f>
        <v/>
      </c>
      <c r="F338" s="25">
        <f>IF(C338="","",IFERROR(INDEX(tbl_Finance[Client],MATCH(C338&amp;"",tbl_Finance[Job Number],0)),""))</f>
        <v/>
      </c>
      <c r="G338" s="28">
        <f>IF(C338="","",COUNTIFS(tbl_Finance[Job Number],C338&amp;"",tbl_Finance[Ex GST],"&lt;&gt;"))</f>
        <v/>
      </c>
      <c r="H338" s="27">
        <f>IF(C338="","",SUMIFS(tbl_Finance[Ex GST],tbl_Finance[Job Number],C338&amp;""))</f>
        <v/>
      </c>
      <c r="I338" s="27">
        <f>IF(C338="","",SUMIFS(tbl_Finance[Ex GST],tbl_Finance[Job Number],C338&amp;"",tbl_Finance[Xero Invoice No],"&lt;&gt;"))</f>
        <v/>
      </c>
      <c r="J338" s="27">
        <f>IF(C338="","",H338-I338)</f>
        <v/>
      </c>
      <c r="K338" s="25">
        <f>IF(C338="","",IF(G338=0,"not invoiced yet",SUBSTITUTE(TRIM(IF(COUNTIFS(tbl_Finance[Job Number],C338&amp;"",tbl_Finance[Cost Centre],"ONSITE")&gt;0,"ONSITE ","")&amp;IF(COUNTIFS(tbl_Finance[Job Number],C338&amp;"",tbl_Finance[Cost Centre],"PRODUCTION")&gt;0,"PRODUCTION ","")&amp;IF(COUNTIFS(tbl_Finance[Job Number],C338&amp;"",tbl_Finance[Cost Centre],"VIDEO")&gt;0,"VIDEO ","")&amp;IF(COUNTIFS(tbl_Finance[Job Number],C338&amp;"",tbl_Finance[Cost Centre],"INTEGRATION")&gt;0,"INTEGRATION ","")&amp;IF(COUNTIFS(tbl_Finance[Job Number],C338&amp;"",tbl_Finance[Cost Centre],"CONSULTING")&gt;0,"CONSULTING ","")&amp;IF(COUNTIFS(tbl_Finance[Job Number],C338&amp;"",tbl_Finance[Cost Centre],"CTS")&gt;0,"CTS ",""))," ",", ")))</f>
        <v/>
      </c>
      <c r="L338" s="24" t="n"/>
      <c r="M338" s="24" t="n"/>
      <c r="N338" s="25">
        <f>IF(M338="","",HYPERLINK(IF(LEFT(M338,4)="http",M338,set_QwilrBase&amp;M338),"Open quote"))</f>
        <v/>
      </c>
      <c r="O338" s="64" t="n"/>
      <c r="P338" s="24" t="n"/>
      <c r="Q338" s="24" t="n"/>
    </row>
    <row r="339" ht="15" customHeight="1">
      <c r="A339" s="63">
        <f>IF(C339="","",IFERROR(IF(SUMPRODUCT(MAX((tbl_Finance[Job Number]=C339&amp;"")*(tbl_Finance[Xero Invoice No]&lt;&gt;"")*tbl_Finance[Date]))=0,"",SUMPRODUCT(MAX((tbl_Finance[Job Number]=C339&amp;"")*(tbl_Finance[Xero Invoice No]&lt;&gt;"")*tbl_Finance[Date]))),""))</f>
        <v/>
      </c>
      <c r="B339" s="25">
        <f>IF(C339="","",IF(COUNTIFS(tbl_Finance[Job Number],C339&amp;"",tbl_Finance[Xero Invoice No],"&lt;&gt;")=0,"",IFERROR(IF(COUNTIFS(tbl_Finance[Job Number],C339&amp;"",tbl_Finance[Xero Invoice No],LOOKUP(2,1/((tbl_Finance[Job Number]=C339&amp;"")*(tbl_Finance[Xero Invoice No]&lt;&gt;"")),tbl_Finance[Xero Invoice No]))=COUNTIFS(tbl_Finance[Job Number],C339&amp;"",tbl_Finance[Xero Invoice No],"&lt;&gt;"),LOOKUP(2,1/((tbl_Finance[Job Number]=C339&amp;"")*(tbl_Finance[Xero Invoice No]&lt;&gt;"")),tbl_Finance[Xero Invoice No]),LOOKUP(2,1/((tbl_Finance[Job Number]=C339&amp;"")*(tbl_Finance[Xero Invoice No]&lt;&gt;"")),tbl_Finance[Xero Invoice No])&amp;" +more"),"")))</f>
        <v/>
      </c>
      <c r="C339" s="24" t="n"/>
      <c r="D339" s="25">
        <f>IF(C339="","",IF(COUNTIF(lst_Jobs,C339&amp;"")&gt;0,"OK","CHECK"))</f>
        <v/>
      </c>
      <c r="E339" s="25">
        <f>IF(C339="","",IFERROR(INDEX(lst_JobName,MATCH(C339&amp;"",lst_Jobs,0)),""))</f>
        <v/>
      </c>
      <c r="F339" s="25">
        <f>IF(C339="","",IFERROR(INDEX(tbl_Finance[Client],MATCH(C339&amp;"",tbl_Finance[Job Number],0)),""))</f>
        <v/>
      </c>
      <c r="G339" s="28">
        <f>IF(C339="","",COUNTIFS(tbl_Finance[Job Number],C339&amp;"",tbl_Finance[Ex GST],"&lt;&gt;"))</f>
        <v/>
      </c>
      <c r="H339" s="27">
        <f>IF(C339="","",SUMIFS(tbl_Finance[Ex GST],tbl_Finance[Job Number],C339&amp;""))</f>
        <v/>
      </c>
      <c r="I339" s="27">
        <f>IF(C339="","",SUMIFS(tbl_Finance[Ex GST],tbl_Finance[Job Number],C339&amp;"",tbl_Finance[Xero Invoice No],"&lt;&gt;"))</f>
        <v/>
      </c>
      <c r="J339" s="27">
        <f>IF(C339="","",H339-I339)</f>
        <v/>
      </c>
      <c r="K339" s="25">
        <f>IF(C339="","",IF(G339=0,"not invoiced yet",SUBSTITUTE(TRIM(IF(COUNTIFS(tbl_Finance[Job Number],C339&amp;"",tbl_Finance[Cost Centre],"ONSITE")&gt;0,"ONSITE ","")&amp;IF(COUNTIFS(tbl_Finance[Job Number],C339&amp;"",tbl_Finance[Cost Centre],"PRODUCTION")&gt;0,"PRODUCTION ","")&amp;IF(COUNTIFS(tbl_Finance[Job Number],C339&amp;"",tbl_Finance[Cost Centre],"VIDEO")&gt;0,"VIDEO ","")&amp;IF(COUNTIFS(tbl_Finance[Job Number],C339&amp;"",tbl_Finance[Cost Centre],"INTEGRATION")&gt;0,"INTEGRATION ","")&amp;IF(COUNTIFS(tbl_Finance[Job Number],C339&amp;"",tbl_Finance[Cost Centre],"CONSULTING")&gt;0,"CONSULTING ","")&amp;IF(COUNTIFS(tbl_Finance[Job Number],C339&amp;"",tbl_Finance[Cost Centre],"CTS")&gt;0,"CTS ",""))," ",", ")))</f>
        <v/>
      </c>
      <c r="L339" s="24" t="n"/>
      <c r="M339" s="24" t="n"/>
      <c r="N339" s="25">
        <f>IF(M339="","",HYPERLINK(IF(LEFT(M339,4)="http",M339,set_QwilrBase&amp;M339),"Open quote"))</f>
        <v/>
      </c>
      <c r="O339" s="64" t="n"/>
      <c r="P339" s="24" t="n"/>
      <c r="Q339" s="24" t="n"/>
    </row>
    <row r="340" ht="15" customHeight="1">
      <c r="A340" s="63">
        <f>IF(C340="","",IFERROR(IF(SUMPRODUCT(MAX((tbl_Finance[Job Number]=C340&amp;"")*(tbl_Finance[Xero Invoice No]&lt;&gt;"")*tbl_Finance[Date]))=0,"",SUMPRODUCT(MAX((tbl_Finance[Job Number]=C340&amp;"")*(tbl_Finance[Xero Invoice No]&lt;&gt;"")*tbl_Finance[Date]))),""))</f>
        <v/>
      </c>
      <c r="B340" s="25">
        <f>IF(C340="","",IF(COUNTIFS(tbl_Finance[Job Number],C340&amp;"",tbl_Finance[Xero Invoice No],"&lt;&gt;")=0,"",IFERROR(IF(COUNTIFS(tbl_Finance[Job Number],C340&amp;"",tbl_Finance[Xero Invoice No],LOOKUP(2,1/((tbl_Finance[Job Number]=C340&amp;"")*(tbl_Finance[Xero Invoice No]&lt;&gt;"")),tbl_Finance[Xero Invoice No]))=COUNTIFS(tbl_Finance[Job Number],C340&amp;"",tbl_Finance[Xero Invoice No],"&lt;&gt;"),LOOKUP(2,1/((tbl_Finance[Job Number]=C340&amp;"")*(tbl_Finance[Xero Invoice No]&lt;&gt;"")),tbl_Finance[Xero Invoice No]),LOOKUP(2,1/((tbl_Finance[Job Number]=C340&amp;"")*(tbl_Finance[Xero Invoice No]&lt;&gt;"")),tbl_Finance[Xero Invoice No])&amp;" +more"),"")))</f>
        <v/>
      </c>
      <c r="C340" s="24" t="n"/>
      <c r="D340" s="25">
        <f>IF(C340="","",IF(COUNTIF(lst_Jobs,C340&amp;"")&gt;0,"OK","CHECK"))</f>
        <v/>
      </c>
      <c r="E340" s="25">
        <f>IF(C340="","",IFERROR(INDEX(lst_JobName,MATCH(C340&amp;"",lst_Jobs,0)),""))</f>
        <v/>
      </c>
      <c r="F340" s="25">
        <f>IF(C340="","",IFERROR(INDEX(tbl_Finance[Client],MATCH(C340&amp;"",tbl_Finance[Job Number],0)),""))</f>
        <v/>
      </c>
      <c r="G340" s="28">
        <f>IF(C340="","",COUNTIFS(tbl_Finance[Job Number],C340&amp;"",tbl_Finance[Ex GST],"&lt;&gt;"))</f>
        <v/>
      </c>
      <c r="H340" s="27">
        <f>IF(C340="","",SUMIFS(tbl_Finance[Ex GST],tbl_Finance[Job Number],C340&amp;""))</f>
        <v/>
      </c>
      <c r="I340" s="27">
        <f>IF(C340="","",SUMIFS(tbl_Finance[Ex GST],tbl_Finance[Job Number],C340&amp;"",tbl_Finance[Xero Invoice No],"&lt;&gt;"))</f>
        <v/>
      </c>
      <c r="J340" s="27">
        <f>IF(C340="","",H340-I340)</f>
        <v/>
      </c>
      <c r="K340" s="25">
        <f>IF(C340="","",IF(G340=0,"not invoiced yet",SUBSTITUTE(TRIM(IF(COUNTIFS(tbl_Finance[Job Number],C340&amp;"",tbl_Finance[Cost Centre],"ONSITE")&gt;0,"ONSITE ","")&amp;IF(COUNTIFS(tbl_Finance[Job Number],C340&amp;"",tbl_Finance[Cost Centre],"PRODUCTION")&gt;0,"PRODUCTION ","")&amp;IF(COUNTIFS(tbl_Finance[Job Number],C340&amp;"",tbl_Finance[Cost Centre],"VIDEO")&gt;0,"VIDEO ","")&amp;IF(COUNTIFS(tbl_Finance[Job Number],C340&amp;"",tbl_Finance[Cost Centre],"INTEGRATION")&gt;0,"INTEGRATION ","")&amp;IF(COUNTIFS(tbl_Finance[Job Number],C340&amp;"",tbl_Finance[Cost Centre],"CONSULTING")&gt;0,"CONSULTING ","")&amp;IF(COUNTIFS(tbl_Finance[Job Number],C340&amp;"",tbl_Finance[Cost Centre],"CTS")&gt;0,"CTS ",""))," ",", ")))</f>
        <v/>
      </c>
      <c r="L340" s="24" t="n"/>
      <c r="M340" s="24" t="n"/>
      <c r="N340" s="25">
        <f>IF(M340="","",HYPERLINK(IF(LEFT(M340,4)="http",M340,set_QwilrBase&amp;M340),"Open quote"))</f>
        <v/>
      </c>
      <c r="O340" s="64" t="n"/>
      <c r="P340" s="24" t="n"/>
      <c r="Q340" s="24" t="n"/>
    </row>
    <row r="341" ht="15" customHeight="1">
      <c r="A341" s="63">
        <f>IF(C341="","",IFERROR(IF(SUMPRODUCT(MAX((tbl_Finance[Job Number]=C341&amp;"")*(tbl_Finance[Xero Invoice No]&lt;&gt;"")*tbl_Finance[Date]))=0,"",SUMPRODUCT(MAX((tbl_Finance[Job Number]=C341&amp;"")*(tbl_Finance[Xero Invoice No]&lt;&gt;"")*tbl_Finance[Date]))),""))</f>
        <v/>
      </c>
      <c r="B341" s="25">
        <f>IF(C341="","",IF(COUNTIFS(tbl_Finance[Job Number],C341&amp;"",tbl_Finance[Xero Invoice No],"&lt;&gt;")=0,"",IFERROR(IF(COUNTIFS(tbl_Finance[Job Number],C341&amp;"",tbl_Finance[Xero Invoice No],LOOKUP(2,1/((tbl_Finance[Job Number]=C341&amp;"")*(tbl_Finance[Xero Invoice No]&lt;&gt;"")),tbl_Finance[Xero Invoice No]))=COUNTIFS(tbl_Finance[Job Number],C341&amp;"",tbl_Finance[Xero Invoice No],"&lt;&gt;"),LOOKUP(2,1/((tbl_Finance[Job Number]=C341&amp;"")*(tbl_Finance[Xero Invoice No]&lt;&gt;"")),tbl_Finance[Xero Invoice No]),LOOKUP(2,1/((tbl_Finance[Job Number]=C341&amp;"")*(tbl_Finance[Xero Invoice No]&lt;&gt;"")),tbl_Finance[Xero Invoice No])&amp;" +more"),"")))</f>
        <v/>
      </c>
      <c r="C341" s="24" t="n"/>
      <c r="D341" s="25">
        <f>IF(C341="","",IF(COUNTIF(lst_Jobs,C341&amp;"")&gt;0,"OK","CHECK"))</f>
        <v/>
      </c>
      <c r="E341" s="25">
        <f>IF(C341="","",IFERROR(INDEX(lst_JobName,MATCH(C341&amp;"",lst_Jobs,0)),""))</f>
        <v/>
      </c>
      <c r="F341" s="25">
        <f>IF(C341="","",IFERROR(INDEX(tbl_Finance[Client],MATCH(C341&amp;"",tbl_Finance[Job Number],0)),""))</f>
        <v/>
      </c>
      <c r="G341" s="28">
        <f>IF(C341="","",COUNTIFS(tbl_Finance[Job Number],C341&amp;"",tbl_Finance[Ex GST],"&lt;&gt;"))</f>
        <v/>
      </c>
      <c r="H341" s="27">
        <f>IF(C341="","",SUMIFS(tbl_Finance[Ex GST],tbl_Finance[Job Number],C341&amp;""))</f>
        <v/>
      </c>
      <c r="I341" s="27">
        <f>IF(C341="","",SUMIFS(tbl_Finance[Ex GST],tbl_Finance[Job Number],C341&amp;"",tbl_Finance[Xero Invoice No],"&lt;&gt;"))</f>
        <v/>
      </c>
      <c r="J341" s="27">
        <f>IF(C341="","",H341-I341)</f>
        <v/>
      </c>
      <c r="K341" s="25">
        <f>IF(C341="","",IF(G341=0,"not invoiced yet",SUBSTITUTE(TRIM(IF(COUNTIFS(tbl_Finance[Job Number],C341&amp;"",tbl_Finance[Cost Centre],"ONSITE")&gt;0,"ONSITE ","")&amp;IF(COUNTIFS(tbl_Finance[Job Number],C341&amp;"",tbl_Finance[Cost Centre],"PRODUCTION")&gt;0,"PRODUCTION ","")&amp;IF(COUNTIFS(tbl_Finance[Job Number],C341&amp;"",tbl_Finance[Cost Centre],"VIDEO")&gt;0,"VIDEO ","")&amp;IF(COUNTIFS(tbl_Finance[Job Number],C341&amp;"",tbl_Finance[Cost Centre],"INTEGRATION")&gt;0,"INTEGRATION ","")&amp;IF(COUNTIFS(tbl_Finance[Job Number],C341&amp;"",tbl_Finance[Cost Centre],"CONSULTING")&gt;0,"CONSULTING ","")&amp;IF(COUNTIFS(tbl_Finance[Job Number],C341&amp;"",tbl_Finance[Cost Centre],"CTS")&gt;0,"CTS ",""))," ",", ")))</f>
        <v/>
      </c>
      <c r="L341" s="24" t="n"/>
      <c r="M341" s="24" t="n"/>
      <c r="N341" s="25">
        <f>IF(M341="","",HYPERLINK(IF(LEFT(M341,4)="http",M341,set_QwilrBase&amp;M341),"Open quote"))</f>
        <v/>
      </c>
      <c r="O341" s="64" t="n"/>
      <c r="P341" s="24" t="n"/>
      <c r="Q341" s="24" t="n"/>
    </row>
    <row r="342" ht="15" customHeight="1">
      <c r="A342" s="63">
        <f>IF(C342="","",IFERROR(IF(SUMPRODUCT(MAX((tbl_Finance[Job Number]=C342&amp;"")*(tbl_Finance[Xero Invoice No]&lt;&gt;"")*tbl_Finance[Date]))=0,"",SUMPRODUCT(MAX((tbl_Finance[Job Number]=C342&amp;"")*(tbl_Finance[Xero Invoice No]&lt;&gt;"")*tbl_Finance[Date]))),""))</f>
        <v/>
      </c>
      <c r="B342" s="25">
        <f>IF(C342="","",IF(COUNTIFS(tbl_Finance[Job Number],C342&amp;"",tbl_Finance[Xero Invoice No],"&lt;&gt;")=0,"",IFERROR(IF(COUNTIFS(tbl_Finance[Job Number],C342&amp;"",tbl_Finance[Xero Invoice No],LOOKUP(2,1/((tbl_Finance[Job Number]=C342&amp;"")*(tbl_Finance[Xero Invoice No]&lt;&gt;"")),tbl_Finance[Xero Invoice No]))=COUNTIFS(tbl_Finance[Job Number],C342&amp;"",tbl_Finance[Xero Invoice No],"&lt;&gt;"),LOOKUP(2,1/((tbl_Finance[Job Number]=C342&amp;"")*(tbl_Finance[Xero Invoice No]&lt;&gt;"")),tbl_Finance[Xero Invoice No]),LOOKUP(2,1/((tbl_Finance[Job Number]=C342&amp;"")*(tbl_Finance[Xero Invoice No]&lt;&gt;"")),tbl_Finance[Xero Invoice No])&amp;" +more"),"")))</f>
        <v/>
      </c>
      <c r="C342" s="24" t="n"/>
      <c r="D342" s="25">
        <f>IF(C342="","",IF(COUNTIF(lst_Jobs,C342&amp;"")&gt;0,"OK","CHECK"))</f>
        <v/>
      </c>
      <c r="E342" s="25">
        <f>IF(C342="","",IFERROR(INDEX(lst_JobName,MATCH(C342&amp;"",lst_Jobs,0)),""))</f>
        <v/>
      </c>
      <c r="F342" s="25">
        <f>IF(C342="","",IFERROR(INDEX(tbl_Finance[Client],MATCH(C342&amp;"",tbl_Finance[Job Number],0)),""))</f>
        <v/>
      </c>
      <c r="G342" s="28">
        <f>IF(C342="","",COUNTIFS(tbl_Finance[Job Number],C342&amp;"",tbl_Finance[Ex GST],"&lt;&gt;"))</f>
        <v/>
      </c>
      <c r="H342" s="27">
        <f>IF(C342="","",SUMIFS(tbl_Finance[Ex GST],tbl_Finance[Job Number],C342&amp;""))</f>
        <v/>
      </c>
      <c r="I342" s="27">
        <f>IF(C342="","",SUMIFS(tbl_Finance[Ex GST],tbl_Finance[Job Number],C342&amp;"",tbl_Finance[Xero Invoice No],"&lt;&gt;"))</f>
        <v/>
      </c>
      <c r="J342" s="27">
        <f>IF(C342="","",H342-I342)</f>
        <v/>
      </c>
      <c r="K342" s="25">
        <f>IF(C342="","",IF(G342=0,"not invoiced yet",SUBSTITUTE(TRIM(IF(COUNTIFS(tbl_Finance[Job Number],C342&amp;"",tbl_Finance[Cost Centre],"ONSITE")&gt;0,"ONSITE ","")&amp;IF(COUNTIFS(tbl_Finance[Job Number],C342&amp;"",tbl_Finance[Cost Centre],"PRODUCTION")&gt;0,"PRODUCTION ","")&amp;IF(COUNTIFS(tbl_Finance[Job Number],C342&amp;"",tbl_Finance[Cost Centre],"VIDEO")&gt;0,"VIDEO ","")&amp;IF(COUNTIFS(tbl_Finance[Job Number],C342&amp;"",tbl_Finance[Cost Centre],"INTEGRATION")&gt;0,"INTEGRATION ","")&amp;IF(COUNTIFS(tbl_Finance[Job Number],C342&amp;"",tbl_Finance[Cost Centre],"CONSULTING")&gt;0,"CONSULTING ","")&amp;IF(COUNTIFS(tbl_Finance[Job Number],C342&amp;"",tbl_Finance[Cost Centre],"CTS")&gt;0,"CTS ",""))," ",", ")))</f>
        <v/>
      </c>
      <c r="L342" s="24" t="n"/>
      <c r="M342" s="24" t="n"/>
      <c r="N342" s="25">
        <f>IF(M342="","",HYPERLINK(IF(LEFT(M342,4)="http",M342,set_QwilrBase&amp;M342),"Open quote"))</f>
        <v/>
      </c>
      <c r="O342" s="64" t="n"/>
      <c r="P342" s="24" t="n"/>
      <c r="Q342" s="24" t="n"/>
    </row>
    <row r="343" ht="15" customHeight="1">
      <c r="A343" s="63">
        <f>IF(C343="","",IFERROR(IF(SUMPRODUCT(MAX((tbl_Finance[Job Number]=C343&amp;"")*(tbl_Finance[Xero Invoice No]&lt;&gt;"")*tbl_Finance[Date]))=0,"",SUMPRODUCT(MAX((tbl_Finance[Job Number]=C343&amp;"")*(tbl_Finance[Xero Invoice No]&lt;&gt;"")*tbl_Finance[Date]))),""))</f>
        <v/>
      </c>
      <c r="B343" s="25">
        <f>IF(C343="","",IF(COUNTIFS(tbl_Finance[Job Number],C343&amp;"",tbl_Finance[Xero Invoice No],"&lt;&gt;")=0,"",IFERROR(IF(COUNTIFS(tbl_Finance[Job Number],C343&amp;"",tbl_Finance[Xero Invoice No],LOOKUP(2,1/((tbl_Finance[Job Number]=C343&amp;"")*(tbl_Finance[Xero Invoice No]&lt;&gt;"")),tbl_Finance[Xero Invoice No]))=COUNTIFS(tbl_Finance[Job Number],C343&amp;"",tbl_Finance[Xero Invoice No],"&lt;&gt;"),LOOKUP(2,1/((tbl_Finance[Job Number]=C343&amp;"")*(tbl_Finance[Xero Invoice No]&lt;&gt;"")),tbl_Finance[Xero Invoice No]),LOOKUP(2,1/((tbl_Finance[Job Number]=C343&amp;"")*(tbl_Finance[Xero Invoice No]&lt;&gt;"")),tbl_Finance[Xero Invoice No])&amp;" +more"),"")))</f>
        <v/>
      </c>
      <c r="C343" s="24" t="n"/>
      <c r="D343" s="25">
        <f>IF(C343="","",IF(COUNTIF(lst_Jobs,C343&amp;"")&gt;0,"OK","CHECK"))</f>
        <v/>
      </c>
      <c r="E343" s="25">
        <f>IF(C343="","",IFERROR(INDEX(lst_JobName,MATCH(C343&amp;"",lst_Jobs,0)),""))</f>
        <v/>
      </c>
      <c r="F343" s="25">
        <f>IF(C343="","",IFERROR(INDEX(tbl_Finance[Client],MATCH(C343&amp;"",tbl_Finance[Job Number],0)),""))</f>
        <v/>
      </c>
      <c r="G343" s="28">
        <f>IF(C343="","",COUNTIFS(tbl_Finance[Job Number],C343&amp;"",tbl_Finance[Ex GST],"&lt;&gt;"))</f>
        <v/>
      </c>
      <c r="H343" s="27">
        <f>IF(C343="","",SUMIFS(tbl_Finance[Ex GST],tbl_Finance[Job Number],C343&amp;""))</f>
        <v/>
      </c>
      <c r="I343" s="27">
        <f>IF(C343="","",SUMIFS(tbl_Finance[Ex GST],tbl_Finance[Job Number],C343&amp;"",tbl_Finance[Xero Invoice No],"&lt;&gt;"))</f>
        <v/>
      </c>
      <c r="J343" s="27">
        <f>IF(C343="","",H343-I343)</f>
        <v/>
      </c>
      <c r="K343" s="25">
        <f>IF(C343="","",IF(G343=0,"not invoiced yet",SUBSTITUTE(TRIM(IF(COUNTIFS(tbl_Finance[Job Number],C343&amp;"",tbl_Finance[Cost Centre],"ONSITE")&gt;0,"ONSITE ","")&amp;IF(COUNTIFS(tbl_Finance[Job Number],C343&amp;"",tbl_Finance[Cost Centre],"PRODUCTION")&gt;0,"PRODUCTION ","")&amp;IF(COUNTIFS(tbl_Finance[Job Number],C343&amp;"",tbl_Finance[Cost Centre],"VIDEO")&gt;0,"VIDEO ","")&amp;IF(COUNTIFS(tbl_Finance[Job Number],C343&amp;"",tbl_Finance[Cost Centre],"INTEGRATION")&gt;0,"INTEGRATION ","")&amp;IF(COUNTIFS(tbl_Finance[Job Number],C343&amp;"",tbl_Finance[Cost Centre],"CONSULTING")&gt;0,"CONSULTING ","")&amp;IF(COUNTIFS(tbl_Finance[Job Number],C343&amp;"",tbl_Finance[Cost Centre],"CTS")&gt;0,"CTS ",""))," ",", ")))</f>
        <v/>
      </c>
      <c r="L343" s="24" t="n"/>
      <c r="M343" s="24" t="n"/>
      <c r="N343" s="25">
        <f>IF(M343="","",HYPERLINK(IF(LEFT(M343,4)="http",M343,set_QwilrBase&amp;M343),"Open quote"))</f>
        <v/>
      </c>
      <c r="O343" s="64" t="n"/>
      <c r="P343" s="24" t="n"/>
      <c r="Q343" s="24" t="n"/>
    </row>
    <row r="344" ht="15" customHeight="1">
      <c r="A344" s="63">
        <f>IF(C344="","",IFERROR(IF(SUMPRODUCT(MAX((tbl_Finance[Job Number]=C344&amp;"")*(tbl_Finance[Xero Invoice No]&lt;&gt;"")*tbl_Finance[Date]))=0,"",SUMPRODUCT(MAX((tbl_Finance[Job Number]=C344&amp;"")*(tbl_Finance[Xero Invoice No]&lt;&gt;"")*tbl_Finance[Date]))),""))</f>
        <v/>
      </c>
      <c r="B344" s="25">
        <f>IF(C344="","",IF(COUNTIFS(tbl_Finance[Job Number],C344&amp;"",tbl_Finance[Xero Invoice No],"&lt;&gt;")=0,"",IFERROR(IF(COUNTIFS(tbl_Finance[Job Number],C344&amp;"",tbl_Finance[Xero Invoice No],LOOKUP(2,1/((tbl_Finance[Job Number]=C344&amp;"")*(tbl_Finance[Xero Invoice No]&lt;&gt;"")),tbl_Finance[Xero Invoice No]))=COUNTIFS(tbl_Finance[Job Number],C344&amp;"",tbl_Finance[Xero Invoice No],"&lt;&gt;"),LOOKUP(2,1/((tbl_Finance[Job Number]=C344&amp;"")*(tbl_Finance[Xero Invoice No]&lt;&gt;"")),tbl_Finance[Xero Invoice No]),LOOKUP(2,1/((tbl_Finance[Job Number]=C344&amp;"")*(tbl_Finance[Xero Invoice No]&lt;&gt;"")),tbl_Finance[Xero Invoice No])&amp;" +more"),"")))</f>
        <v/>
      </c>
      <c r="C344" s="24" t="n"/>
      <c r="D344" s="25">
        <f>IF(C344="","",IF(COUNTIF(lst_Jobs,C344&amp;"")&gt;0,"OK","CHECK"))</f>
        <v/>
      </c>
      <c r="E344" s="25">
        <f>IF(C344="","",IFERROR(INDEX(lst_JobName,MATCH(C344&amp;"",lst_Jobs,0)),""))</f>
        <v/>
      </c>
      <c r="F344" s="25">
        <f>IF(C344="","",IFERROR(INDEX(tbl_Finance[Client],MATCH(C344&amp;"",tbl_Finance[Job Number],0)),""))</f>
        <v/>
      </c>
      <c r="G344" s="28">
        <f>IF(C344="","",COUNTIFS(tbl_Finance[Job Number],C344&amp;"",tbl_Finance[Ex GST],"&lt;&gt;"))</f>
        <v/>
      </c>
      <c r="H344" s="27">
        <f>IF(C344="","",SUMIFS(tbl_Finance[Ex GST],tbl_Finance[Job Number],C344&amp;""))</f>
        <v/>
      </c>
      <c r="I344" s="27">
        <f>IF(C344="","",SUMIFS(tbl_Finance[Ex GST],tbl_Finance[Job Number],C344&amp;"",tbl_Finance[Xero Invoice No],"&lt;&gt;"))</f>
        <v/>
      </c>
      <c r="J344" s="27">
        <f>IF(C344="","",H344-I344)</f>
        <v/>
      </c>
      <c r="K344" s="25">
        <f>IF(C344="","",IF(G344=0,"not invoiced yet",SUBSTITUTE(TRIM(IF(COUNTIFS(tbl_Finance[Job Number],C344&amp;"",tbl_Finance[Cost Centre],"ONSITE")&gt;0,"ONSITE ","")&amp;IF(COUNTIFS(tbl_Finance[Job Number],C344&amp;"",tbl_Finance[Cost Centre],"PRODUCTION")&gt;0,"PRODUCTION ","")&amp;IF(COUNTIFS(tbl_Finance[Job Number],C344&amp;"",tbl_Finance[Cost Centre],"VIDEO")&gt;0,"VIDEO ","")&amp;IF(COUNTIFS(tbl_Finance[Job Number],C344&amp;"",tbl_Finance[Cost Centre],"INTEGRATION")&gt;0,"INTEGRATION ","")&amp;IF(COUNTIFS(tbl_Finance[Job Number],C344&amp;"",tbl_Finance[Cost Centre],"CONSULTING")&gt;0,"CONSULTING ","")&amp;IF(COUNTIFS(tbl_Finance[Job Number],C344&amp;"",tbl_Finance[Cost Centre],"CTS")&gt;0,"CTS ",""))," ",", ")))</f>
        <v/>
      </c>
      <c r="L344" s="24" t="n"/>
      <c r="M344" s="24" t="n"/>
      <c r="N344" s="25">
        <f>IF(M344="","",HYPERLINK(IF(LEFT(M344,4)="http",M344,set_QwilrBase&amp;M344),"Open quote"))</f>
        <v/>
      </c>
      <c r="O344" s="64" t="n"/>
      <c r="P344" s="24" t="n"/>
      <c r="Q344" s="24" t="n"/>
    </row>
    <row r="345" ht="15" customHeight="1">
      <c r="A345" s="63">
        <f>IF(C345="","",IFERROR(IF(SUMPRODUCT(MAX((tbl_Finance[Job Number]=C345&amp;"")*(tbl_Finance[Xero Invoice No]&lt;&gt;"")*tbl_Finance[Date]))=0,"",SUMPRODUCT(MAX((tbl_Finance[Job Number]=C345&amp;"")*(tbl_Finance[Xero Invoice No]&lt;&gt;"")*tbl_Finance[Date]))),""))</f>
        <v/>
      </c>
      <c r="B345" s="25">
        <f>IF(C345="","",IF(COUNTIFS(tbl_Finance[Job Number],C345&amp;"",tbl_Finance[Xero Invoice No],"&lt;&gt;")=0,"",IFERROR(IF(COUNTIFS(tbl_Finance[Job Number],C345&amp;"",tbl_Finance[Xero Invoice No],LOOKUP(2,1/((tbl_Finance[Job Number]=C345&amp;"")*(tbl_Finance[Xero Invoice No]&lt;&gt;"")),tbl_Finance[Xero Invoice No]))=COUNTIFS(tbl_Finance[Job Number],C345&amp;"",tbl_Finance[Xero Invoice No],"&lt;&gt;"),LOOKUP(2,1/((tbl_Finance[Job Number]=C345&amp;"")*(tbl_Finance[Xero Invoice No]&lt;&gt;"")),tbl_Finance[Xero Invoice No]),LOOKUP(2,1/((tbl_Finance[Job Number]=C345&amp;"")*(tbl_Finance[Xero Invoice No]&lt;&gt;"")),tbl_Finance[Xero Invoice No])&amp;" +more"),"")))</f>
        <v/>
      </c>
      <c r="C345" s="24" t="n"/>
      <c r="D345" s="25">
        <f>IF(C345="","",IF(COUNTIF(lst_Jobs,C345&amp;"")&gt;0,"OK","CHECK"))</f>
        <v/>
      </c>
      <c r="E345" s="25">
        <f>IF(C345="","",IFERROR(INDEX(lst_JobName,MATCH(C345&amp;"",lst_Jobs,0)),""))</f>
        <v/>
      </c>
      <c r="F345" s="25">
        <f>IF(C345="","",IFERROR(INDEX(tbl_Finance[Client],MATCH(C345&amp;"",tbl_Finance[Job Number],0)),""))</f>
        <v/>
      </c>
      <c r="G345" s="28">
        <f>IF(C345="","",COUNTIFS(tbl_Finance[Job Number],C345&amp;"",tbl_Finance[Ex GST],"&lt;&gt;"))</f>
        <v/>
      </c>
      <c r="H345" s="27">
        <f>IF(C345="","",SUMIFS(tbl_Finance[Ex GST],tbl_Finance[Job Number],C345&amp;""))</f>
        <v/>
      </c>
      <c r="I345" s="27">
        <f>IF(C345="","",SUMIFS(tbl_Finance[Ex GST],tbl_Finance[Job Number],C345&amp;"",tbl_Finance[Xero Invoice No],"&lt;&gt;"))</f>
        <v/>
      </c>
      <c r="J345" s="27">
        <f>IF(C345="","",H345-I345)</f>
        <v/>
      </c>
      <c r="K345" s="25">
        <f>IF(C345="","",IF(G345=0,"not invoiced yet",SUBSTITUTE(TRIM(IF(COUNTIFS(tbl_Finance[Job Number],C345&amp;"",tbl_Finance[Cost Centre],"ONSITE")&gt;0,"ONSITE ","")&amp;IF(COUNTIFS(tbl_Finance[Job Number],C345&amp;"",tbl_Finance[Cost Centre],"PRODUCTION")&gt;0,"PRODUCTION ","")&amp;IF(COUNTIFS(tbl_Finance[Job Number],C345&amp;"",tbl_Finance[Cost Centre],"VIDEO")&gt;0,"VIDEO ","")&amp;IF(COUNTIFS(tbl_Finance[Job Number],C345&amp;"",tbl_Finance[Cost Centre],"INTEGRATION")&gt;0,"INTEGRATION ","")&amp;IF(COUNTIFS(tbl_Finance[Job Number],C345&amp;"",tbl_Finance[Cost Centre],"CONSULTING")&gt;0,"CONSULTING ","")&amp;IF(COUNTIFS(tbl_Finance[Job Number],C345&amp;"",tbl_Finance[Cost Centre],"CTS")&gt;0,"CTS ",""))," ",", ")))</f>
        <v/>
      </c>
      <c r="L345" s="24" t="n"/>
      <c r="M345" s="24" t="n"/>
      <c r="N345" s="25">
        <f>IF(M345="","",HYPERLINK(IF(LEFT(M345,4)="http",M345,set_QwilrBase&amp;M345),"Open quote"))</f>
        <v/>
      </c>
      <c r="O345" s="64" t="n"/>
      <c r="P345" s="24" t="n"/>
      <c r="Q345" s="24" t="n"/>
    </row>
    <row r="346" ht="15" customHeight="1">
      <c r="A346" s="63">
        <f>IF(C346="","",IFERROR(IF(SUMPRODUCT(MAX((tbl_Finance[Job Number]=C346&amp;"")*(tbl_Finance[Xero Invoice No]&lt;&gt;"")*tbl_Finance[Date]))=0,"",SUMPRODUCT(MAX((tbl_Finance[Job Number]=C346&amp;"")*(tbl_Finance[Xero Invoice No]&lt;&gt;"")*tbl_Finance[Date]))),""))</f>
        <v/>
      </c>
      <c r="B346" s="25">
        <f>IF(C346="","",IF(COUNTIFS(tbl_Finance[Job Number],C346&amp;"",tbl_Finance[Xero Invoice No],"&lt;&gt;")=0,"",IFERROR(IF(COUNTIFS(tbl_Finance[Job Number],C346&amp;"",tbl_Finance[Xero Invoice No],LOOKUP(2,1/((tbl_Finance[Job Number]=C346&amp;"")*(tbl_Finance[Xero Invoice No]&lt;&gt;"")),tbl_Finance[Xero Invoice No]))=COUNTIFS(tbl_Finance[Job Number],C346&amp;"",tbl_Finance[Xero Invoice No],"&lt;&gt;"),LOOKUP(2,1/((tbl_Finance[Job Number]=C346&amp;"")*(tbl_Finance[Xero Invoice No]&lt;&gt;"")),tbl_Finance[Xero Invoice No]),LOOKUP(2,1/((tbl_Finance[Job Number]=C346&amp;"")*(tbl_Finance[Xero Invoice No]&lt;&gt;"")),tbl_Finance[Xero Invoice No])&amp;" +more"),"")))</f>
        <v/>
      </c>
      <c r="C346" s="24" t="n"/>
      <c r="D346" s="25">
        <f>IF(C346="","",IF(COUNTIF(lst_Jobs,C346&amp;"")&gt;0,"OK","CHECK"))</f>
        <v/>
      </c>
      <c r="E346" s="25">
        <f>IF(C346="","",IFERROR(INDEX(lst_JobName,MATCH(C346&amp;"",lst_Jobs,0)),""))</f>
        <v/>
      </c>
      <c r="F346" s="25">
        <f>IF(C346="","",IFERROR(INDEX(tbl_Finance[Client],MATCH(C346&amp;"",tbl_Finance[Job Number],0)),""))</f>
        <v/>
      </c>
      <c r="G346" s="28">
        <f>IF(C346="","",COUNTIFS(tbl_Finance[Job Number],C346&amp;"",tbl_Finance[Ex GST],"&lt;&gt;"))</f>
        <v/>
      </c>
      <c r="H346" s="27">
        <f>IF(C346="","",SUMIFS(tbl_Finance[Ex GST],tbl_Finance[Job Number],C346&amp;""))</f>
        <v/>
      </c>
      <c r="I346" s="27">
        <f>IF(C346="","",SUMIFS(tbl_Finance[Ex GST],tbl_Finance[Job Number],C346&amp;"",tbl_Finance[Xero Invoice No],"&lt;&gt;"))</f>
        <v/>
      </c>
      <c r="J346" s="27">
        <f>IF(C346="","",H346-I346)</f>
        <v/>
      </c>
      <c r="K346" s="25">
        <f>IF(C346="","",IF(G346=0,"not invoiced yet",SUBSTITUTE(TRIM(IF(COUNTIFS(tbl_Finance[Job Number],C346&amp;"",tbl_Finance[Cost Centre],"ONSITE")&gt;0,"ONSITE ","")&amp;IF(COUNTIFS(tbl_Finance[Job Number],C346&amp;"",tbl_Finance[Cost Centre],"PRODUCTION")&gt;0,"PRODUCTION ","")&amp;IF(COUNTIFS(tbl_Finance[Job Number],C346&amp;"",tbl_Finance[Cost Centre],"VIDEO")&gt;0,"VIDEO ","")&amp;IF(COUNTIFS(tbl_Finance[Job Number],C346&amp;"",tbl_Finance[Cost Centre],"INTEGRATION")&gt;0,"INTEGRATION ","")&amp;IF(COUNTIFS(tbl_Finance[Job Number],C346&amp;"",tbl_Finance[Cost Centre],"CONSULTING")&gt;0,"CONSULTING ","")&amp;IF(COUNTIFS(tbl_Finance[Job Number],C346&amp;"",tbl_Finance[Cost Centre],"CTS")&gt;0,"CTS ",""))," ",", ")))</f>
        <v/>
      </c>
      <c r="L346" s="24" t="n"/>
      <c r="M346" s="24" t="n"/>
      <c r="N346" s="25">
        <f>IF(M346="","",HYPERLINK(IF(LEFT(M346,4)="http",M346,set_QwilrBase&amp;M346),"Open quote"))</f>
        <v/>
      </c>
      <c r="O346" s="64" t="n"/>
      <c r="P346" s="24" t="n"/>
      <c r="Q346" s="24" t="n"/>
    </row>
    <row r="347" ht="15" customHeight="1">
      <c r="A347" s="63">
        <f>IF(C347="","",IFERROR(IF(SUMPRODUCT(MAX((tbl_Finance[Job Number]=C347&amp;"")*(tbl_Finance[Xero Invoice No]&lt;&gt;"")*tbl_Finance[Date]))=0,"",SUMPRODUCT(MAX((tbl_Finance[Job Number]=C347&amp;"")*(tbl_Finance[Xero Invoice No]&lt;&gt;"")*tbl_Finance[Date]))),""))</f>
        <v/>
      </c>
      <c r="B347" s="25">
        <f>IF(C347="","",IF(COUNTIFS(tbl_Finance[Job Number],C347&amp;"",tbl_Finance[Xero Invoice No],"&lt;&gt;")=0,"",IFERROR(IF(COUNTIFS(tbl_Finance[Job Number],C347&amp;"",tbl_Finance[Xero Invoice No],LOOKUP(2,1/((tbl_Finance[Job Number]=C347&amp;"")*(tbl_Finance[Xero Invoice No]&lt;&gt;"")),tbl_Finance[Xero Invoice No]))=COUNTIFS(tbl_Finance[Job Number],C347&amp;"",tbl_Finance[Xero Invoice No],"&lt;&gt;"),LOOKUP(2,1/((tbl_Finance[Job Number]=C347&amp;"")*(tbl_Finance[Xero Invoice No]&lt;&gt;"")),tbl_Finance[Xero Invoice No]),LOOKUP(2,1/((tbl_Finance[Job Number]=C347&amp;"")*(tbl_Finance[Xero Invoice No]&lt;&gt;"")),tbl_Finance[Xero Invoice No])&amp;" +more"),"")))</f>
        <v/>
      </c>
      <c r="C347" s="24" t="n"/>
      <c r="D347" s="25">
        <f>IF(C347="","",IF(COUNTIF(lst_Jobs,C347&amp;"")&gt;0,"OK","CHECK"))</f>
        <v/>
      </c>
      <c r="E347" s="25">
        <f>IF(C347="","",IFERROR(INDEX(lst_JobName,MATCH(C347&amp;"",lst_Jobs,0)),""))</f>
        <v/>
      </c>
      <c r="F347" s="25">
        <f>IF(C347="","",IFERROR(INDEX(tbl_Finance[Client],MATCH(C347&amp;"",tbl_Finance[Job Number],0)),""))</f>
        <v/>
      </c>
      <c r="G347" s="28">
        <f>IF(C347="","",COUNTIFS(tbl_Finance[Job Number],C347&amp;"",tbl_Finance[Ex GST],"&lt;&gt;"))</f>
        <v/>
      </c>
      <c r="H347" s="27">
        <f>IF(C347="","",SUMIFS(tbl_Finance[Ex GST],tbl_Finance[Job Number],C347&amp;""))</f>
        <v/>
      </c>
      <c r="I347" s="27">
        <f>IF(C347="","",SUMIFS(tbl_Finance[Ex GST],tbl_Finance[Job Number],C347&amp;"",tbl_Finance[Xero Invoice No],"&lt;&gt;"))</f>
        <v/>
      </c>
      <c r="J347" s="27">
        <f>IF(C347="","",H347-I347)</f>
        <v/>
      </c>
      <c r="K347" s="25">
        <f>IF(C347="","",IF(G347=0,"not invoiced yet",SUBSTITUTE(TRIM(IF(COUNTIFS(tbl_Finance[Job Number],C347&amp;"",tbl_Finance[Cost Centre],"ONSITE")&gt;0,"ONSITE ","")&amp;IF(COUNTIFS(tbl_Finance[Job Number],C347&amp;"",tbl_Finance[Cost Centre],"PRODUCTION")&gt;0,"PRODUCTION ","")&amp;IF(COUNTIFS(tbl_Finance[Job Number],C347&amp;"",tbl_Finance[Cost Centre],"VIDEO")&gt;0,"VIDEO ","")&amp;IF(COUNTIFS(tbl_Finance[Job Number],C347&amp;"",tbl_Finance[Cost Centre],"INTEGRATION")&gt;0,"INTEGRATION ","")&amp;IF(COUNTIFS(tbl_Finance[Job Number],C347&amp;"",tbl_Finance[Cost Centre],"CONSULTING")&gt;0,"CONSULTING ","")&amp;IF(COUNTIFS(tbl_Finance[Job Number],C347&amp;"",tbl_Finance[Cost Centre],"CTS")&gt;0,"CTS ",""))," ",", ")))</f>
        <v/>
      </c>
      <c r="L347" s="24" t="n"/>
      <c r="M347" s="24" t="n"/>
      <c r="N347" s="25">
        <f>IF(M347="","",HYPERLINK(IF(LEFT(M347,4)="http",M347,set_QwilrBase&amp;M347),"Open quote"))</f>
        <v/>
      </c>
      <c r="O347" s="64" t="n"/>
      <c r="P347" s="24" t="n"/>
      <c r="Q347" s="24" t="n"/>
    </row>
    <row r="348" ht="15" customHeight="1">
      <c r="A348" s="63">
        <f>IF(C348="","",IFERROR(IF(SUMPRODUCT(MAX((tbl_Finance[Job Number]=C348&amp;"")*(tbl_Finance[Xero Invoice No]&lt;&gt;"")*tbl_Finance[Date]))=0,"",SUMPRODUCT(MAX((tbl_Finance[Job Number]=C348&amp;"")*(tbl_Finance[Xero Invoice No]&lt;&gt;"")*tbl_Finance[Date]))),""))</f>
        <v/>
      </c>
      <c r="B348" s="25">
        <f>IF(C348="","",IF(COUNTIFS(tbl_Finance[Job Number],C348&amp;"",tbl_Finance[Xero Invoice No],"&lt;&gt;")=0,"",IFERROR(IF(COUNTIFS(tbl_Finance[Job Number],C348&amp;"",tbl_Finance[Xero Invoice No],LOOKUP(2,1/((tbl_Finance[Job Number]=C348&amp;"")*(tbl_Finance[Xero Invoice No]&lt;&gt;"")),tbl_Finance[Xero Invoice No]))=COUNTIFS(tbl_Finance[Job Number],C348&amp;"",tbl_Finance[Xero Invoice No],"&lt;&gt;"),LOOKUP(2,1/((tbl_Finance[Job Number]=C348&amp;"")*(tbl_Finance[Xero Invoice No]&lt;&gt;"")),tbl_Finance[Xero Invoice No]),LOOKUP(2,1/((tbl_Finance[Job Number]=C348&amp;"")*(tbl_Finance[Xero Invoice No]&lt;&gt;"")),tbl_Finance[Xero Invoice No])&amp;" +more"),"")))</f>
        <v/>
      </c>
      <c r="C348" s="24" t="n"/>
      <c r="D348" s="25">
        <f>IF(C348="","",IF(COUNTIF(lst_Jobs,C348&amp;"")&gt;0,"OK","CHECK"))</f>
        <v/>
      </c>
      <c r="E348" s="25">
        <f>IF(C348="","",IFERROR(INDEX(lst_JobName,MATCH(C348&amp;"",lst_Jobs,0)),""))</f>
        <v/>
      </c>
      <c r="F348" s="25">
        <f>IF(C348="","",IFERROR(INDEX(tbl_Finance[Client],MATCH(C348&amp;"",tbl_Finance[Job Number],0)),""))</f>
        <v/>
      </c>
      <c r="G348" s="28">
        <f>IF(C348="","",COUNTIFS(tbl_Finance[Job Number],C348&amp;"",tbl_Finance[Ex GST],"&lt;&gt;"))</f>
        <v/>
      </c>
      <c r="H348" s="27">
        <f>IF(C348="","",SUMIFS(tbl_Finance[Ex GST],tbl_Finance[Job Number],C348&amp;""))</f>
        <v/>
      </c>
      <c r="I348" s="27">
        <f>IF(C348="","",SUMIFS(tbl_Finance[Ex GST],tbl_Finance[Job Number],C348&amp;"",tbl_Finance[Xero Invoice No],"&lt;&gt;"))</f>
        <v/>
      </c>
      <c r="J348" s="27">
        <f>IF(C348="","",H348-I348)</f>
        <v/>
      </c>
      <c r="K348" s="25">
        <f>IF(C348="","",IF(G348=0,"not invoiced yet",SUBSTITUTE(TRIM(IF(COUNTIFS(tbl_Finance[Job Number],C348&amp;"",tbl_Finance[Cost Centre],"ONSITE")&gt;0,"ONSITE ","")&amp;IF(COUNTIFS(tbl_Finance[Job Number],C348&amp;"",tbl_Finance[Cost Centre],"PRODUCTION")&gt;0,"PRODUCTION ","")&amp;IF(COUNTIFS(tbl_Finance[Job Number],C348&amp;"",tbl_Finance[Cost Centre],"VIDEO")&gt;0,"VIDEO ","")&amp;IF(COUNTIFS(tbl_Finance[Job Number],C348&amp;"",tbl_Finance[Cost Centre],"INTEGRATION")&gt;0,"INTEGRATION ","")&amp;IF(COUNTIFS(tbl_Finance[Job Number],C348&amp;"",tbl_Finance[Cost Centre],"CONSULTING")&gt;0,"CONSULTING ","")&amp;IF(COUNTIFS(tbl_Finance[Job Number],C348&amp;"",tbl_Finance[Cost Centre],"CTS")&gt;0,"CTS ",""))," ",", ")))</f>
        <v/>
      </c>
      <c r="L348" s="24" t="n"/>
      <c r="M348" s="24" t="n"/>
      <c r="N348" s="25">
        <f>IF(M348="","",HYPERLINK(IF(LEFT(M348,4)="http",M348,set_QwilrBase&amp;M348),"Open quote"))</f>
        <v/>
      </c>
      <c r="O348" s="64" t="n"/>
      <c r="P348" s="24" t="n"/>
      <c r="Q348" s="24" t="n"/>
    </row>
    <row r="349" ht="15" customHeight="1">
      <c r="A349" s="63">
        <f>IF(C349="","",IFERROR(IF(SUMPRODUCT(MAX((tbl_Finance[Job Number]=C349&amp;"")*(tbl_Finance[Xero Invoice No]&lt;&gt;"")*tbl_Finance[Date]))=0,"",SUMPRODUCT(MAX((tbl_Finance[Job Number]=C349&amp;"")*(tbl_Finance[Xero Invoice No]&lt;&gt;"")*tbl_Finance[Date]))),""))</f>
        <v/>
      </c>
      <c r="B349" s="25">
        <f>IF(C349="","",IF(COUNTIFS(tbl_Finance[Job Number],C349&amp;"",tbl_Finance[Xero Invoice No],"&lt;&gt;")=0,"",IFERROR(IF(COUNTIFS(tbl_Finance[Job Number],C349&amp;"",tbl_Finance[Xero Invoice No],LOOKUP(2,1/((tbl_Finance[Job Number]=C349&amp;"")*(tbl_Finance[Xero Invoice No]&lt;&gt;"")),tbl_Finance[Xero Invoice No]))=COUNTIFS(tbl_Finance[Job Number],C349&amp;"",tbl_Finance[Xero Invoice No],"&lt;&gt;"),LOOKUP(2,1/((tbl_Finance[Job Number]=C349&amp;"")*(tbl_Finance[Xero Invoice No]&lt;&gt;"")),tbl_Finance[Xero Invoice No]),LOOKUP(2,1/((tbl_Finance[Job Number]=C349&amp;"")*(tbl_Finance[Xero Invoice No]&lt;&gt;"")),tbl_Finance[Xero Invoice No])&amp;" +more"),"")))</f>
        <v/>
      </c>
      <c r="C349" s="24" t="n"/>
      <c r="D349" s="25">
        <f>IF(C349="","",IF(COUNTIF(lst_Jobs,C349&amp;"")&gt;0,"OK","CHECK"))</f>
        <v/>
      </c>
      <c r="E349" s="25">
        <f>IF(C349="","",IFERROR(INDEX(lst_JobName,MATCH(C349&amp;"",lst_Jobs,0)),""))</f>
        <v/>
      </c>
      <c r="F349" s="25">
        <f>IF(C349="","",IFERROR(INDEX(tbl_Finance[Client],MATCH(C349&amp;"",tbl_Finance[Job Number],0)),""))</f>
        <v/>
      </c>
      <c r="G349" s="28">
        <f>IF(C349="","",COUNTIFS(tbl_Finance[Job Number],C349&amp;"",tbl_Finance[Ex GST],"&lt;&gt;"))</f>
        <v/>
      </c>
      <c r="H349" s="27">
        <f>IF(C349="","",SUMIFS(tbl_Finance[Ex GST],tbl_Finance[Job Number],C349&amp;""))</f>
        <v/>
      </c>
      <c r="I349" s="27">
        <f>IF(C349="","",SUMIFS(tbl_Finance[Ex GST],tbl_Finance[Job Number],C349&amp;"",tbl_Finance[Xero Invoice No],"&lt;&gt;"))</f>
        <v/>
      </c>
      <c r="J349" s="27">
        <f>IF(C349="","",H349-I349)</f>
        <v/>
      </c>
      <c r="K349" s="25">
        <f>IF(C349="","",IF(G349=0,"not invoiced yet",SUBSTITUTE(TRIM(IF(COUNTIFS(tbl_Finance[Job Number],C349&amp;"",tbl_Finance[Cost Centre],"ONSITE")&gt;0,"ONSITE ","")&amp;IF(COUNTIFS(tbl_Finance[Job Number],C349&amp;"",tbl_Finance[Cost Centre],"PRODUCTION")&gt;0,"PRODUCTION ","")&amp;IF(COUNTIFS(tbl_Finance[Job Number],C349&amp;"",tbl_Finance[Cost Centre],"VIDEO")&gt;0,"VIDEO ","")&amp;IF(COUNTIFS(tbl_Finance[Job Number],C349&amp;"",tbl_Finance[Cost Centre],"INTEGRATION")&gt;0,"INTEGRATION ","")&amp;IF(COUNTIFS(tbl_Finance[Job Number],C349&amp;"",tbl_Finance[Cost Centre],"CONSULTING")&gt;0,"CONSULTING ","")&amp;IF(COUNTIFS(tbl_Finance[Job Number],C349&amp;"",tbl_Finance[Cost Centre],"CTS")&gt;0,"CTS ",""))," ",", ")))</f>
        <v/>
      </c>
      <c r="L349" s="24" t="n"/>
      <c r="M349" s="24" t="n"/>
      <c r="N349" s="25">
        <f>IF(M349="","",HYPERLINK(IF(LEFT(M349,4)="http",M349,set_QwilrBase&amp;M349),"Open quote"))</f>
        <v/>
      </c>
      <c r="O349" s="64" t="n"/>
      <c r="P349" s="24" t="n"/>
      <c r="Q349" s="24" t="n"/>
    </row>
    <row r="350" ht="15" customHeight="1">
      <c r="A350" s="63">
        <f>IF(C350="","",IFERROR(IF(SUMPRODUCT(MAX((tbl_Finance[Job Number]=C350&amp;"")*(tbl_Finance[Xero Invoice No]&lt;&gt;"")*tbl_Finance[Date]))=0,"",SUMPRODUCT(MAX((tbl_Finance[Job Number]=C350&amp;"")*(tbl_Finance[Xero Invoice No]&lt;&gt;"")*tbl_Finance[Date]))),""))</f>
        <v/>
      </c>
      <c r="B350" s="25">
        <f>IF(C350="","",IF(COUNTIFS(tbl_Finance[Job Number],C350&amp;"",tbl_Finance[Xero Invoice No],"&lt;&gt;")=0,"",IFERROR(IF(COUNTIFS(tbl_Finance[Job Number],C350&amp;"",tbl_Finance[Xero Invoice No],LOOKUP(2,1/((tbl_Finance[Job Number]=C350&amp;"")*(tbl_Finance[Xero Invoice No]&lt;&gt;"")),tbl_Finance[Xero Invoice No]))=COUNTIFS(tbl_Finance[Job Number],C350&amp;"",tbl_Finance[Xero Invoice No],"&lt;&gt;"),LOOKUP(2,1/((tbl_Finance[Job Number]=C350&amp;"")*(tbl_Finance[Xero Invoice No]&lt;&gt;"")),tbl_Finance[Xero Invoice No]),LOOKUP(2,1/((tbl_Finance[Job Number]=C350&amp;"")*(tbl_Finance[Xero Invoice No]&lt;&gt;"")),tbl_Finance[Xero Invoice No])&amp;" +more"),"")))</f>
        <v/>
      </c>
      <c r="C350" s="24" t="n"/>
      <c r="D350" s="25">
        <f>IF(C350="","",IF(COUNTIF(lst_Jobs,C350&amp;"")&gt;0,"OK","CHECK"))</f>
        <v/>
      </c>
      <c r="E350" s="25">
        <f>IF(C350="","",IFERROR(INDEX(lst_JobName,MATCH(C350&amp;"",lst_Jobs,0)),""))</f>
        <v/>
      </c>
      <c r="F350" s="25">
        <f>IF(C350="","",IFERROR(INDEX(tbl_Finance[Client],MATCH(C350&amp;"",tbl_Finance[Job Number],0)),""))</f>
        <v/>
      </c>
      <c r="G350" s="28">
        <f>IF(C350="","",COUNTIFS(tbl_Finance[Job Number],C350&amp;"",tbl_Finance[Ex GST],"&lt;&gt;"))</f>
        <v/>
      </c>
      <c r="H350" s="27">
        <f>IF(C350="","",SUMIFS(tbl_Finance[Ex GST],tbl_Finance[Job Number],C350&amp;""))</f>
        <v/>
      </c>
      <c r="I350" s="27">
        <f>IF(C350="","",SUMIFS(tbl_Finance[Ex GST],tbl_Finance[Job Number],C350&amp;"",tbl_Finance[Xero Invoice No],"&lt;&gt;"))</f>
        <v/>
      </c>
      <c r="J350" s="27">
        <f>IF(C350="","",H350-I350)</f>
        <v/>
      </c>
      <c r="K350" s="25">
        <f>IF(C350="","",IF(G350=0,"not invoiced yet",SUBSTITUTE(TRIM(IF(COUNTIFS(tbl_Finance[Job Number],C350&amp;"",tbl_Finance[Cost Centre],"ONSITE")&gt;0,"ONSITE ","")&amp;IF(COUNTIFS(tbl_Finance[Job Number],C350&amp;"",tbl_Finance[Cost Centre],"PRODUCTION")&gt;0,"PRODUCTION ","")&amp;IF(COUNTIFS(tbl_Finance[Job Number],C350&amp;"",tbl_Finance[Cost Centre],"VIDEO")&gt;0,"VIDEO ","")&amp;IF(COUNTIFS(tbl_Finance[Job Number],C350&amp;"",tbl_Finance[Cost Centre],"INTEGRATION")&gt;0,"INTEGRATION ","")&amp;IF(COUNTIFS(tbl_Finance[Job Number],C350&amp;"",tbl_Finance[Cost Centre],"CONSULTING")&gt;0,"CONSULTING ","")&amp;IF(COUNTIFS(tbl_Finance[Job Number],C350&amp;"",tbl_Finance[Cost Centre],"CTS")&gt;0,"CTS ",""))," ",", ")))</f>
        <v/>
      </c>
      <c r="L350" s="24" t="n"/>
      <c r="M350" s="24" t="n"/>
      <c r="N350" s="25">
        <f>IF(M350="","",HYPERLINK(IF(LEFT(M350,4)="http",M350,set_QwilrBase&amp;M350),"Open quote"))</f>
        <v/>
      </c>
      <c r="O350" s="64" t="n"/>
      <c r="P350" s="24" t="n"/>
      <c r="Q350" s="24" t="n"/>
    </row>
    <row r="351" ht="15" customHeight="1">
      <c r="A351" s="63">
        <f>IF(C351="","",IFERROR(IF(SUMPRODUCT(MAX((tbl_Finance[Job Number]=C351&amp;"")*(tbl_Finance[Xero Invoice No]&lt;&gt;"")*tbl_Finance[Date]))=0,"",SUMPRODUCT(MAX((tbl_Finance[Job Number]=C351&amp;"")*(tbl_Finance[Xero Invoice No]&lt;&gt;"")*tbl_Finance[Date]))),""))</f>
        <v/>
      </c>
      <c r="B351" s="25">
        <f>IF(C351="","",IF(COUNTIFS(tbl_Finance[Job Number],C351&amp;"",tbl_Finance[Xero Invoice No],"&lt;&gt;")=0,"",IFERROR(IF(COUNTIFS(tbl_Finance[Job Number],C351&amp;"",tbl_Finance[Xero Invoice No],LOOKUP(2,1/((tbl_Finance[Job Number]=C351&amp;"")*(tbl_Finance[Xero Invoice No]&lt;&gt;"")),tbl_Finance[Xero Invoice No]))=COUNTIFS(tbl_Finance[Job Number],C351&amp;"",tbl_Finance[Xero Invoice No],"&lt;&gt;"),LOOKUP(2,1/((tbl_Finance[Job Number]=C351&amp;"")*(tbl_Finance[Xero Invoice No]&lt;&gt;"")),tbl_Finance[Xero Invoice No]),LOOKUP(2,1/((tbl_Finance[Job Number]=C351&amp;"")*(tbl_Finance[Xero Invoice No]&lt;&gt;"")),tbl_Finance[Xero Invoice No])&amp;" +more"),"")))</f>
        <v/>
      </c>
      <c r="C351" s="24" t="n"/>
      <c r="D351" s="25">
        <f>IF(C351="","",IF(COUNTIF(lst_Jobs,C351&amp;"")&gt;0,"OK","CHECK"))</f>
        <v/>
      </c>
      <c r="E351" s="25">
        <f>IF(C351="","",IFERROR(INDEX(lst_JobName,MATCH(C351&amp;"",lst_Jobs,0)),""))</f>
        <v/>
      </c>
      <c r="F351" s="25">
        <f>IF(C351="","",IFERROR(INDEX(tbl_Finance[Client],MATCH(C351&amp;"",tbl_Finance[Job Number],0)),""))</f>
        <v/>
      </c>
      <c r="G351" s="28">
        <f>IF(C351="","",COUNTIFS(tbl_Finance[Job Number],C351&amp;"",tbl_Finance[Ex GST],"&lt;&gt;"))</f>
        <v/>
      </c>
      <c r="H351" s="27">
        <f>IF(C351="","",SUMIFS(tbl_Finance[Ex GST],tbl_Finance[Job Number],C351&amp;""))</f>
        <v/>
      </c>
      <c r="I351" s="27">
        <f>IF(C351="","",SUMIFS(tbl_Finance[Ex GST],tbl_Finance[Job Number],C351&amp;"",tbl_Finance[Xero Invoice No],"&lt;&gt;"))</f>
        <v/>
      </c>
      <c r="J351" s="27">
        <f>IF(C351="","",H351-I351)</f>
        <v/>
      </c>
      <c r="K351" s="25">
        <f>IF(C351="","",IF(G351=0,"not invoiced yet",SUBSTITUTE(TRIM(IF(COUNTIFS(tbl_Finance[Job Number],C351&amp;"",tbl_Finance[Cost Centre],"ONSITE")&gt;0,"ONSITE ","")&amp;IF(COUNTIFS(tbl_Finance[Job Number],C351&amp;"",tbl_Finance[Cost Centre],"PRODUCTION")&gt;0,"PRODUCTION ","")&amp;IF(COUNTIFS(tbl_Finance[Job Number],C351&amp;"",tbl_Finance[Cost Centre],"VIDEO")&gt;0,"VIDEO ","")&amp;IF(COUNTIFS(tbl_Finance[Job Number],C351&amp;"",tbl_Finance[Cost Centre],"INTEGRATION")&gt;0,"INTEGRATION ","")&amp;IF(COUNTIFS(tbl_Finance[Job Number],C351&amp;"",tbl_Finance[Cost Centre],"CONSULTING")&gt;0,"CONSULTING ","")&amp;IF(COUNTIFS(tbl_Finance[Job Number],C351&amp;"",tbl_Finance[Cost Centre],"CTS")&gt;0,"CTS ",""))," ",", ")))</f>
        <v/>
      </c>
      <c r="L351" s="24" t="n"/>
      <c r="M351" s="24" t="n"/>
      <c r="N351" s="25">
        <f>IF(M351="","",HYPERLINK(IF(LEFT(M351,4)="http",M351,set_QwilrBase&amp;M351),"Open quote"))</f>
        <v/>
      </c>
      <c r="O351" s="64" t="n"/>
      <c r="P351" s="24" t="n"/>
      <c r="Q351" s="24" t="n"/>
    </row>
    <row r="352" ht="15" customHeight="1">
      <c r="A352" s="63">
        <f>IF(C352="","",IFERROR(IF(SUMPRODUCT(MAX((tbl_Finance[Job Number]=C352&amp;"")*(tbl_Finance[Xero Invoice No]&lt;&gt;"")*tbl_Finance[Date]))=0,"",SUMPRODUCT(MAX((tbl_Finance[Job Number]=C352&amp;"")*(tbl_Finance[Xero Invoice No]&lt;&gt;"")*tbl_Finance[Date]))),""))</f>
        <v/>
      </c>
      <c r="B352" s="25">
        <f>IF(C352="","",IF(COUNTIFS(tbl_Finance[Job Number],C352&amp;"",tbl_Finance[Xero Invoice No],"&lt;&gt;")=0,"",IFERROR(IF(COUNTIFS(tbl_Finance[Job Number],C352&amp;"",tbl_Finance[Xero Invoice No],LOOKUP(2,1/((tbl_Finance[Job Number]=C352&amp;"")*(tbl_Finance[Xero Invoice No]&lt;&gt;"")),tbl_Finance[Xero Invoice No]))=COUNTIFS(tbl_Finance[Job Number],C352&amp;"",tbl_Finance[Xero Invoice No],"&lt;&gt;"),LOOKUP(2,1/((tbl_Finance[Job Number]=C352&amp;"")*(tbl_Finance[Xero Invoice No]&lt;&gt;"")),tbl_Finance[Xero Invoice No]),LOOKUP(2,1/((tbl_Finance[Job Number]=C352&amp;"")*(tbl_Finance[Xero Invoice No]&lt;&gt;"")),tbl_Finance[Xero Invoice No])&amp;" +more"),"")))</f>
        <v/>
      </c>
      <c r="C352" s="24" t="n"/>
      <c r="D352" s="25">
        <f>IF(C352="","",IF(COUNTIF(lst_Jobs,C352&amp;"")&gt;0,"OK","CHECK"))</f>
        <v/>
      </c>
      <c r="E352" s="25">
        <f>IF(C352="","",IFERROR(INDEX(lst_JobName,MATCH(C352&amp;"",lst_Jobs,0)),""))</f>
        <v/>
      </c>
      <c r="F352" s="25">
        <f>IF(C352="","",IFERROR(INDEX(tbl_Finance[Client],MATCH(C352&amp;"",tbl_Finance[Job Number],0)),""))</f>
        <v/>
      </c>
      <c r="G352" s="28">
        <f>IF(C352="","",COUNTIFS(tbl_Finance[Job Number],C352&amp;"",tbl_Finance[Ex GST],"&lt;&gt;"))</f>
        <v/>
      </c>
      <c r="H352" s="27">
        <f>IF(C352="","",SUMIFS(tbl_Finance[Ex GST],tbl_Finance[Job Number],C352&amp;""))</f>
        <v/>
      </c>
      <c r="I352" s="27">
        <f>IF(C352="","",SUMIFS(tbl_Finance[Ex GST],tbl_Finance[Job Number],C352&amp;"",tbl_Finance[Xero Invoice No],"&lt;&gt;"))</f>
        <v/>
      </c>
      <c r="J352" s="27">
        <f>IF(C352="","",H352-I352)</f>
        <v/>
      </c>
      <c r="K352" s="25">
        <f>IF(C352="","",IF(G352=0,"not invoiced yet",SUBSTITUTE(TRIM(IF(COUNTIFS(tbl_Finance[Job Number],C352&amp;"",tbl_Finance[Cost Centre],"ONSITE")&gt;0,"ONSITE ","")&amp;IF(COUNTIFS(tbl_Finance[Job Number],C352&amp;"",tbl_Finance[Cost Centre],"PRODUCTION")&gt;0,"PRODUCTION ","")&amp;IF(COUNTIFS(tbl_Finance[Job Number],C352&amp;"",tbl_Finance[Cost Centre],"VIDEO")&gt;0,"VIDEO ","")&amp;IF(COUNTIFS(tbl_Finance[Job Number],C352&amp;"",tbl_Finance[Cost Centre],"INTEGRATION")&gt;0,"INTEGRATION ","")&amp;IF(COUNTIFS(tbl_Finance[Job Number],C352&amp;"",tbl_Finance[Cost Centre],"CONSULTING")&gt;0,"CONSULTING ","")&amp;IF(COUNTIFS(tbl_Finance[Job Number],C352&amp;"",tbl_Finance[Cost Centre],"CTS")&gt;0,"CTS ",""))," ",", ")))</f>
        <v/>
      </c>
      <c r="L352" s="24" t="n"/>
      <c r="M352" s="24" t="n"/>
      <c r="N352" s="25">
        <f>IF(M352="","",HYPERLINK(IF(LEFT(M352,4)="http",M352,set_QwilrBase&amp;M352),"Open quote"))</f>
        <v/>
      </c>
      <c r="O352" s="64" t="n"/>
      <c r="P352" s="24" t="n"/>
      <c r="Q352" s="24" t="n"/>
    </row>
    <row r="353" ht="15" customHeight="1">
      <c r="A353" s="63">
        <f>IF(C353="","",IFERROR(IF(SUMPRODUCT(MAX((tbl_Finance[Job Number]=C353&amp;"")*(tbl_Finance[Xero Invoice No]&lt;&gt;"")*tbl_Finance[Date]))=0,"",SUMPRODUCT(MAX((tbl_Finance[Job Number]=C353&amp;"")*(tbl_Finance[Xero Invoice No]&lt;&gt;"")*tbl_Finance[Date]))),""))</f>
        <v/>
      </c>
      <c r="B353" s="25">
        <f>IF(C353="","",IF(COUNTIFS(tbl_Finance[Job Number],C353&amp;"",tbl_Finance[Xero Invoice No],"&lt;&gt;")=0,"",IFERROR(IF(COUNTIFS(tbl_Finance[Job Number],C353&amp;"",tbl_Finance[Xero Invoice No],LOOKUP(2,1/((tbl_Finance[Job Number]=C353&amp;"")*(tbl_Finance[Xero Invoice No]&lt;&gt;"")),tbl_Finance[Xero Invoice No]))=COUNTIFS(tbl_Finance[Job Number],C353&amp;"",tbl_Finance[Xero Invoice No],"&lt;&gt;"),LOOKUP(2,1/((tbl_Finance[Job Number]=C353&amp;"")*(tbl_Finance[Xero Invoice No]&lt;&gt;"")),tbl_Finance[Xero Invoice No]),LOOKUP(2,1/((tbl_Finance[Job Number]=C353&amp;"")*(tbl_Finance[Xero Invoice No]&lt;&gt;"")),tbl_Finance[Xero Invoice No])&amp;" +more"),"")))</f>
        <v/>
      </c>
      <c r="C353" s="24" t="n"/>
      <c r="D353" s="25">
        <f>IF(C353="","",IF(COUNTIF(lst_Jobs,C353&amp;"")&gt;0,"OK","CHECK"))</f>
        <v/>
      </c>
      <c r="E353" s="25">
        <f>IF(C353="","",IFERROR(INDEX(lst_JobName,MATCH(C353&amp;"",lst_Jobs,0)),""))</f>
        <v/>
      </c>
      <c r="F353" s="25">
        <f>IF(C353="","",IFERROR(INDEX(tbl_Finance[Client],MATCH(C353&amp;"",tbl_Finance[Job Number],0)),""))</f>
        <v/>
      </c>
      <c r="G353" s="28">
        <f>IF(C353="","",COUNTIFS(tbl_Finance[Job Number],C353&amp;"",tbl_Finance[Ex GST],"&lt;&gt;"))</f>
        <v/>
      </c>
      <c r="H353" s="27">
        <f>IF(C353="","",SUMIFS(tbl_Finance[Ex GST],tbl_Finance[Job Number],C353&amp;""))</f>
        <v/>
      </c>
      <c r="I353" s="27">
        <f>IF(C353="","",SUMIFS(tbl_Finance[Ex GST],tbl_Finance[Job Number],C353&amp;"",tbl_Finance[Xero Invoice No],"&lt;&gt;"))</f>
        <v/>
      </c>
      <c r="J353" s="27">
        <f>IF(C353="","",H353-I353)</f>
        <v/>
      </c>
      <c r="K353" s="25">
        <f>IF(C353="","",IF(G353=0,"not invoiced yet",SUBSTITUTE(TRIM(IF(COUNTIFS(tbl_Finance[Job Number],C353&amp;"",tbl_Finance[Cost Centre],"ONSITE")&gt;0,"ONSITE ","")&amp;IF(COUNTIFS(tbl_Finance[Job Number],C353&amp;"",tbl_Finance[Cost Centre],"PRODUCTION")&gt;0,"PRODUCTION ","")&amp;IF(COUNTIFS(tbl_Finance[Job Number],C353&amp;"",tbl_Finance[Cost Centre],"VIDEO")&gt;0,"VIDEO ","")&amp;IF(COUNTIFS(tbl_Finance[Job Number],C353&amp;"",tbl_Finance[Cost Centre],"INTEGRATION")&gt;0,"INTEGRATION ","")&amp;IF(COUNTIFS(tbl_Finance[Job Number],C353&amp;"",tbl_Finance[Cost Centre],"CONSULTING")&gt;0,"CONSULTING ","")&amp;IF(COUNTIFS(tbl_Finance[Job Number],C353&amp;"",tbl_Finance[Cost Centre],"CTS")&gt;0,"CTS ",""))," ",", ")))</f>
        <v/>
      </c>
      <c r="L353" s="24" t="n"/>
      <c r="M353" s="24" t="n"/>
      <c r="N353" s="25">
        <f>IF(M353="","",HYPERLINK(IF(LEFT(M353,4)="http",M353,set_QwilrBase&amp;M353),"Open quote"))</f>
        <v/>
      </c>
      <c r="O353" s="64" t="n"/>
      <c r="P353" s="24" t="n"/>
      <c r="Q353" s="24" t="n"/>
    </row>
    <row r="354" ht="15" customHeight="1">
      <c r="A354" s="63">
        <f>IF(C354="","",IFERROR(IF(SUMPRODUCT(MAX((tbl_Finance[Job Number]=C354&amp;"")*(tbl_Finance[Xero Invoice No]&lt;&gt;"")*tbl_Finance[Date]))=0,"",SUMPRODUCT(MAX((tbl_Finance[Job Number]=C354&amp;"")*(tbl_Finance[Xero Invoice No]&lt;&gt;"")*tbl_Finance[Date]))),""))</f>
        <v/>
      </c>
      <c r="B354" s="25">
        <f>IF(C354="","",IF(COUNTIFS(tbl_Finance[Job Number],C354&amp;"",tbl_Finance[Xero Invoice No],"&lt;&gt;")=0,"",IFERROR(IF(COUNTIFS(tbl_Finance[Job Number],C354&amp;"",tbl_Finance[Xero Invoice No],LOOKUP(2,1/((tbl_Finance[Job Number]=C354&amp;"")*(tbl_Finance[Xero Invoice No]&lt;&gt;"")),tbl_Finance[Xero Invoice No]))=COUNTIFS(tbl_Finance[Job Number],C354&amp;"",tbl_Finance[Xero Invoice No],"&lt;&gt;"),LOOKUP(2,1/((tbl_Finance[Job Number]=C354&amp;"")*(tbl_Finance[Xero Invoice No]&lt;&gt;"")),tbl_Finance[Xero Invoice No]),LOOKUP(2,1/((tbl_Finance[Job Number]=C354&amp;"")*(tbl_Finance[Xero Invoice No]&lt;&gt;"")),tbl_Finance[Xero Invoice No])&amp;" +more"),"")))</f>
        <v/>
      </c>
      <c r="C354" s="24" t="n"/>
      <c r="D354" s="25">
        <f>IF(C354="","",IF(COUNTIF(lst_Jobs,C354&amp;"")&gt;0,"OK","CHECK"))</f>
        <v/>
      </c>
      <c r="E354" s="25">
        <f>IF(C354="","",IFERROR(INDEX(lst_JobName,MATCH(C354&amp;"",lst_Jobs,0)),""))</f>
        <v/>
      </c>
      <c r="F354" s="25">
        <f>IF(C354="","",IFERROR(INDEX(tbl_Finance[Client],MATCH(C354&amp;"",tbl_Finance[Job Number],0)),""))</f>
        <v/>
      </c>
      <c r="G354" s="28">
        <f>IF(C354="","",COUNTIFS(tbl_Finance[Job Number],C354&amp;"",tbl_Finance[Ex GST],"&lt;&gt;"))</f>
        <v/>
      </c>
      <c r="H354" s="27">
        <f>IF(C354="","",SUMIFS(tbl_Finance[Ex GST],tbl_Finance[Job Number],C354&amp;""))</f>
        <v/>
      </c>
      <c r="I354" s="27">
        <f>IF(C354="","",SUMIFS(tbl_Finance[Ex GST],tbl_Finance[Job Number],C354&amp;"",tbl_Finance[Xero Invoice No],"&lt;&gt;"))</f>
        <v/>
      </c>
      <c r="J354" s="27">
        <f>IF(C354="","",H354-I354)</f>
        <v/>
      </c>
      <c r="K354" s="25">
        <f>IF(C354="","",IF(G354=0,"not invoiced yet",SUBSTITUTE(TRIM(IF(COUNTIFS(tbl_Finance[Job Number],C354&amp;"",tbl_Finance[Cost Centre],"ONSITE")&gt;0,"ONSITE ","")&amp;IF(COUNTIFS(tbl_Finance[Job Number],C354&amp;"",tbl_Finance[Cost Centre],"PRODUCTION")&gt;0,"PRODUCTION ","")&amp;IF(COUNTIFS(tbl_Finance[Job Number],C354&amp;"",tbl_Finance[Cost Centre],"VIDEO")&gt;0,"VIDEO ","")&amp;IF(COUNTIFS(tbl_Finance[Job Number],C354&amp;"",tbl_Finance[Cost Centre],"INTEGRATION")&gt;0,"INTEGRATION ","")&amp;IF(COUNTIFS(tbl_Finance[Job Number],C354&amp;"",tbl_Finance[Cost Centre],"CONSULTING")&gt;0,"CONSULTING ","")&amp;IF(COUNTIFS(tbl_Finance[Job Number],C354&amp;"",tbl_Finance[Cost Centre],"CTS")&gt;0,"CTS ",""))," ",", ")))</f>
        <v/>
      </c>
      <c r="L354" s="24" t="n"/>
      <c r="M354" s="24" t="n"/>
      <c r="N354" s="25">
        <f>IF(M354="","",HYPERLINK(IF(LEFT(M354,4)="http",M354,set_QwilrBase&amp;M354),"Open quote"))</f>
        <v/>
      </c>
      <c r="O354" s="64" t="n"/>
      <c r="P354" s="24" t="n"/>
      <c r="Q354" s="24" t="n"/>
    </row>
    <row r="355" ht="15" customHeight="1">
      <c r="A355" s="63">
        <f>IF(C355="","",IFERROR(IF(SUMPRODUCT(MAX((tbl_Finance[Job Number]=C355&amp;"")*(tbl_Finance[Xero Invoice No]&lt;&gt;"")*tbl_Finance[Date]))=0,"",SUMPRODUCT(MAX((tbl_Finance[Job Number]=C355&amp;"")*(tbl_Finance[Xero Invoice No]&lt;&gt;"")*tbl_Finance[Date]))),""))</f>
        <v/>
      </c>
      <c r="B355" s="25">
        <f>IF(C355="","",IF(COUNTIFS(tbl_Finance[Job Number],C355&amp;"",tbl_Finance[Xero Invoice No],"&lt;&gt;")=0,"",IFERROR(IF(COUNTIFS(tbl_Finance[Job Number],C355&amp;"",tbl_Finance[Xero Invoice No],LOOKUP(2,1/((tbl_Finance[Job Number]=C355&amp;"")*(tbl_Finance[Xero Invoice No]&lt;&gt;"")),tbl_Finance[Xero Invoice No]))=COUNTIFS(tbl_Finance[Job Number],C355&amp;"",tbl_Finance[Xero Invoice No],"&lt;&gt;"),LOOKUP(2,1/((tbl_Finance[Job Number]=C355&amp;"")*(tbl_Finance[Xero Invoice No]&lt;&gt;"")),tbl_Finance[Xero Invoice No]),LOOKUP(2,1/((tbl_Finance[Job Number]=C355&amp;"")*(tbl_Finance[Xero Invoice No]&lt;&gt;"")),tbl_Finance[Xero Invoice No])&amp;" +more"),"")))</f>
        <v/>
      </c>
      <c r="C355" s="24" t="n"/>
      <c r="D355" s="25">
        <f>IF(C355="","",IF(COUNTIF(lst_Jobs,C355&amp;"")&gt;0,"OK","CHECK"))</f>
        <v/>
      </c>
      <c r="E355" s="25">
        <f>IF(C355="","",IFERROR(INDEX(lst_JobName,MATCH(C355&amp;"",lst_Jobs,0)),""))</f>
        <v/>
      </c>
      <c r="F355" s="25">
        <f>IF(C355="","",IFERROR(INDEX(tbl_Finance[Client],MATCH(C355&amp;"",tbl_Finance[Job Number],0)),""))</f>
        <v/>
      </c>
      <c r="G355" s="28">
        <f>IF(C355="","",COUNTIFS(tbl_Finance[Job Number],C355&amp;"",tbl_Finance[Ex GST],"&lt;&gt;"))</f>
        <v/>
      </c>
      <c r="H355" s="27">
        <f>IF(C355="","",SUMIFS(tbl_Finance[Ex GST],tbl_Finance[Job Number],C355&amp;""))</f>
        <v/>
      </c>
      <c r="I355" s="27">
        <f>IF(C355="","",SUMIFS(tbl_Finance[Ex GST],tbl_Finance[Job Number],C355&amp;"",tbl_Finance[Xero Invoice No],"&lt;&gt;"))</f>
        <v/>
      </c>
      <c r="J355" s="27">
        <f>IF(C355="","",H355-I355)</f>
        <v/>
      </c>
      <c r="K355" s="25">
        <f>IF(C355="","",IF(G355=0,"not invoiced yet",SUBSTITUTE(TRIM(IF(COUNTIFS(tbl_Finance[Job Number],C355&amp;"",tbl_Finance[Cost Centre],"ONSITE")&gt;0,"ONSITE ","")&amp;IF(COUNTIFS(tbl_Finance[Job Number],C355&amp;"",tbl_Finance[Cost Centre],"PRODUCTION")&gt;0,"PRODUCTION ","")&amp;IF(COUNTIFS(tbl_Finance[Job Number],C355&amp;"",tbl_Finance[Cost Centre],"VIDEO")&gt;0,"VIDEO ","")&amp;IF(COUNTIFS(tbl_Finance[Job Number],C355&amp;"",tbl_Finance[Cost Centre],"INTEGRATION")&gt;0,"INTEGRATION ","")&amp;IF(COUNTIFS(tbl_Finance[Job Number],C355&amp;"",tbl_Finance[Cost Centre],"CONSULTING")&gt;0,"CONSULTING ","")&amp;IF(COUNTIFS(tbl_Finance[Job Number],C355&amp;"",tbl_Finance[Cost Centre],"CTS")&gt;0,"CTS ",""))," ",", ")))</f>
        <v/>
      </c>
      <c r="L355" s="24" t="n"/>
      <c r="M355" s="24" t="n"/>
      <c r="N355" s="25">
        <f>IF(M355="","",HYPERLINK(IF(LEFT(M355,4)="http",M355,set_QwilrBase&amp;M355),"Open quote"))</f>
        <v/>
      </c>
      <c r="O355" s="64" t="n"/>
      <c r="P355" s="24" t="n"/>
      <c r="Q355" s="24" t="n"/>
    </row>
    <row r="356" ht="15" customHeight="1">
      <c r="A356" s="63">
        <f>IF(C356="","",IFERROR(IF(SUMPRODUCT(MAX((tbl_Finance[Job Number]=C356&amp;"")*(tbl_Finance[Xero Invoice No]&lt;&gt;"")*tbl_Finance[Date]))=0,"",SUMPRODUCT(MAX((tbl_Finance[Job Number]=C356&amp;"")*(tbl_Finance[Xero Invoice No]&lt;&gt;"")*tbl_Finance[Date]))),""))</f>
        <v/>
      </c>
      <c r="B356" s="25">
        <f>IF(C356="","",IF(COUNTIFS(tbl_Finance[Job Number],C356&amp;"",tbl_Finance[Xero Invoice No],"&lt;&gt;")=0,"",IFERROR(IF(COUNTIFS(tbl_Finance[Job Number],C356&amp;"",tbl_Finance[Xero Invoice No],LOOKUP(2,1/((tbl_Finance[Job Number]=C356&amp;"")*(tbl_Finance[Xero Invoice No]&lt;&gt;"")),tbl_Finance[Xero Invoice No]))=COUNTIFS(tbl_Finance[Job Number],C356&amp;"",tbl_Finance[Xero Invoice No],"&lt;&gt;"),LOOKUP(2,1/((tbl_Finance[Job Number]=C356&amp;"")*(tbl_Finance[Xero Invoice No]&lt;&gt;"")),tbl_Finance[Xero Invoice No]),LOOKUP(2,1/((tbl_Finance[Job Number]=C356&amp;"")*(tbl_Finance[Xero Invoice No]&lt;&gt;"")),tbl_Finance[Xero Invoice No])&amp;" +more"),"")))</f>
        <v/>
      </c>
      <c r="C356" s="24" t="n"/>
      <c r="D356" s="25">
        <f>IF(C356="","",IF(COUNTIF(lst_Jobs,C356&amp;"")&gt;0,"OK","CHECK"))</f>
        <v/>
      </c>
      <c r="E356" s="25">
        <f>IF(C356="","",IFERROR(INDEX(lst_JobName,MATCH(C356&amp;"",lst_Jobs,0)),""))</f>
        <v/>
      </c>
      <c r="F356" s="25">
        <f>IF(C356="","",IFERROR(INDEX(tbl_Finance[Client],MATCH(C356&amp;"",tbl_Finance[Job Number],0)),""))</f>
        <v/>
      </c>
      <c r="G356" s="28">
        <f>IF(C356="","",COUNTIFS(tbl_Finance[Job Number],C356&amp;"",tbl_Finance[Ex GST],"&lt;&gt;"))</f>
        <v/>
      </c>
      <c r="H356" s="27">
        <f>IF(C356="","",SUMIFS(tbl_Finance[Ex GST],tbl_Finance[Job Number],C356&amp;""))</f>
        <v/>
      </c>
      <c r="I356" s="27">
        <f>IF(C356="","",SUMIFS(tbl_Finance[Ex GST],tbl_Finance[Job Number],C356&amp;"",tbl_Finance[Xero Invoice No],"&lt;&gt;"))</f>
        <v/>
      </c>
      <c r="J356" s="27">
        <f>IF(C356="","",H356-I356)</f>
        <v/>
      </c>
      <c r="K356" s="25">
        <f>IF(C356="","",IF(G356=0,"not invoiced yet",SUBSTITUTE(TRIM(IF(COUNTIFS(tbl_Finance[Job Number],C356&amp;"",tbl_Finance[Cost Centre],"ONSITE")&gt;0,"ONSITE ","")&amp;IF(COUNTIFS(tbl_Finance[Job Number],C356&amp;"",tbl_Finance[Cost Centre],"PRODUCTION")&gt;0,"PRODUCTION ","")&amp;IF(COUNTIFS(tbl_Finance[Job Number],C356&amp;"",tbl_Finance[Cost Centre],"VIDEO")&gt;0,"VIDEO ","")&amp;IF(COUNTIFS(tbl_Finance[Job Number],C356&amp;"",tbl_Finance[Cost Centre],"INTEGRATION")&gt;0,"INTEGRATION ","")&amp;IF(COUNTIFS(tbl_Finance[Job Number],C356&amp;"",tbl_Finance[Cost Centre],"CONSULTING")&gt;0,"CONSULTING ","")&amp;IF(COUNTIFS(tbl_Finance[Job Number],C356&amp;"",tbl_Finance[Cost Centre],"CTS")&gt;0,"CTS ",""))," ",", ")))</f>
        <v/>
      </c>
      <c r="L356" s="24" t="n"/>
      <c r="M356" s="24" t="n"/>
      <c r="N356" s="25">
        <f>IF(M356="","",HYPERLINK(IF(LEFT(M356,4)="http",M356,set_QwilrBase&amp;M356),"Open quote"))</f>
        <v/>
      </c>
      <c r="O356" s="64" t="n"/>
      <c r="P356" s="24" t="n"/>
      <c r="Q356" s="24" t="n"/>
    </row>
    <row r="357" ht="15" customHeight="1">
      <c r="A357" s="63">
        <f>IF(C357="","",IFERROR(IF(SUMPRODUCT(MAX((tbl_Finance[Job Number]=C357&amp;"")*(tbl_Finance[Xero Invoice No]&lt;&gt;"")*tbl_Finance[Date]))=0,"",SUMPRODUCT(MAX((tbl_Finance[Job Number]=C357&amp;"")*(tbl_Finance[Xero Invoice No]&lt;&gt;"")*tbl_Finance[Date]))),""))</f>
        <v/>
      </c>
      <c r="B357" s="25">
        <f>IF(C357="","",IF(COUNTIFS(tbl_Finance[Job Number],C357&amp;"",tbl_Finance[Xero Invoice No],"&lt;&gt;")=0,"",IFERROR(IF(COUNTIFS(tbl_Finance[Job Number],C357&amp;"",tbl_Finance[Xero Invoice No],LOOKUP(2,1/((tbl_Finance[Job Number]=C357&amp;"")*(tbl_Finance[Xero Invoice No]&lt;&gt;"")),tbl_Finance[Xero Invoice No]))=COUNTIFS(tbl_Finance[Job Number],C357&amp;"",tbl_Finance[Xero Invoice No],"&lt;&gt;"),LOOKUP(2,1/((tbl_Finance[Job Number]=C357&amp;"")*(tbl_Finance[Xero Invoice No]&lt;&gt;"")),tbl_Finance[Xero Invoice No]),LOOKUP(2,1/((tbl_Finance[Job Number]=C357&amp;"")*(tbl_Finance[Xero Invoice No]&lt;&gt;"")),tbl_Finance[Xero Invoice No])&amp;" +more"),"")))</f>
        <v/>
      </c>
      <c r="C357" s="24" t="n"/>
      <c r="D357" s="25">
        <f>IF(C357="","",IF(COUNTIF(lst_Jobs,C357&amp;"")&gt;0,"OK","CHECK"))</f>
        <v/>
      </c>
      <c r="E357" s="25">
        <f>IF(C357="","",IFERROR(INDEX(lst_JobName,MATCH(C357&amp;"",lst_Jobs,0)),""))</f>
        <v/>
      </c>
      <c r="F357" s="25">
        <f>IF(C357="","",IFERROR(INDEX(tbl_Finance[Client],MATCH(C357&amp;"",tbl_Finance[Job Number],0)),""))</f>
        <v/>
      </c>
      <c r="G357" s="28">
        <f>IF(C357="","",COUNTIFS(tbl_Finance[Job Number],C357&amp;"",tbl_Finance[Ex GST],"&lt;&gt;"))</f>
        <v/>
      </c>
      <c r="H357" s="27">
        <f>IF(C357="","",SUMIFS(tbl_Finance[Ex GST],tbl_Finance[Job Number],C357&amp;""))</f>
        <v/>
      </c>
      <c r="I357" s="27">
        <f>IF(C357="","",SUMIFS(tbl_Finance[Ex GST],tbl_Finance[Job Number],C357&amp;"",tbl_Finance[Xero Invoice No],"&lt;&gt;"))</f>
        <v/>
      </c>
      <c r="J357" s="27">
        <f>IF(C357="","",H357-I357)</f>
        <v/>
      </c>
      <c r="K357" s="25">
        <f>IF(C357="","",IF(G357=0,"not invoiced yet",SUBSTITUTE(TRIM(IF(COUNTIFS(tbl_Finance[Job Number],C357&amp;"",tbl_Finance[Cost Centre],"ONSITE")&gt;0,"ONSITE ","")&amp;IF(COUNTIFS(tbl_Finance[Job Number],C357&amp;"",tbl_Finance[Cost Centre],"PRODUCTION")&gt;0,"PRODUCTION ","")&amp;IF(COUNTIFS(tbl_Finance[Job Number],C357&amp;"",tbl_Finance[Cost Centre],"VIDEO")&gt;0,"VIDEO ","")&amp;IF(COUNTIFS(tbl_Finance[Job Number],C357&amp;"",tbl_Finance[Cost Centre],"INTEGRATION")&gt;0,"INTEGRATION ","")&amp;IF(COUNTIFS(tbl_Finance[Job Number],C357&amp;"",tbl_Finance[Cost Centre],"CONSULTING")&gt;0,"CONSULTING ","")&amp;IF(COUNTIFS(tbl_Finance[Job Number],C357&amp;"",tbl_Finance[Cost Centre],"CTS")&gt;0,"CTS ",""))," ",", ")))</f>
        <v/>
      </c>
      <c r="L357" s="24" t="n"/>
      <c r="M357" s="24" t="n"/>
      <c r="N357" s="25">
        <f>IF(M357="","",HYPERLINK(IF(LEFT(M357,4)="http",M357,set_QwilrBase&amp;M357),"Open quote"))</f>
        <v/>
      </c>
      <c r="O357" s="64" t="n"/>
      <c r="P357" s="24" t="n"/>
      <c r="Q357" s="24" t="n"/>
    </row>
    <row r="358" ht="15" customHeight="1">
      <c r="A358" s="63">
        <f>IF(C358="","",IFERROR(IF(SUMPRODUCT(MAX((tbl_Finance[Job Number]=C358&amp;"")*(tbl_Finance[Xero Invoice No]&lt;&gt;"")*tbl_Finance[Date]))=0,"",SUMPRODUCT(MAX((tbl_Finance[Job Number]=C358&amp;"")*(tbl_Finance[Xero Invoice No]&lt;&gt;"")*tbl_Finance[Date]))),""))</f>
        <v/>
      </c>
      <c r="B358" s="25">
        <f>IF(C358="","",IF(COUNTIFS(tbl_Finance[Job Number],C358&amp;"",tbl_Finance[Xero Invoice No],"&lt;&gt;")=0,"",IFERROR(IF(COUNTIFS(tbl_Finance[Job Number],C358&amp;"",tbl_Finance[Xero Invoice No],LOOKUP(2,1/((tbl_Finance[Job Number]=C358&amp;"")*(tbl_Finance[Xero Invoice No]&lt;&gt;"")),tbl_Finance[Xero Invoice No]))=COUNTIFS(tbl_Finance[Job Number],C358&amp;"",tbl_Finance[Xero Invoice No],"&lt;&gt;"),LOOKUP(2,1/((tbl_Finance[Job Number]=C358&amp;"")*(tbl_Finance[Xero Invoice No]&lt;&gt;"")),tbl_Finance[Xero Invoice No]),LOOKUP(2,1/((tbl_Finance[Job Number]=C358&amp;"")*(tbl_Finance[Xero Invoice No]&lt;&gt;"")),tbl_Finance[Xero Invoice No])&amp;" +more"),"")))</f>
        <v/>
      </c>
      <c r="C358" s="24" t="n"/>
      <c r="D358" s="25">
        <f>IF(C358="","",IF(COUNTIF(lst_Jobs,C358&amp;"")&gt;0,"OK","CHECK"))</f>
        <v/>
      </c>
      <c r="E358" s="25">
        <f>IF(C358="","",IFERROR(INDEX(lst_JobName,MATCH(C358&amp;"",lst_Jobs,0)),""))</f>
        <v/>
      </c>
      <c r="F358" s="25">
        <f>IF(C358="","",IFERROR(INDEX(tbl_Finance[Client],MATCH(C358&amp;"",tbl_Finance[Job Number],0)),""))</f>
        <v/>
      </c>
      <c r="G358" s="28">
        <f>IF(C358="","",COUNTIFS(tbl_Finance[Job Number],C358&amp;"",tbl_Finance[Ex GST],"&lt;&gt;"))</f>
        <v/>
      </c>
      <c r="H358" s="27">
        <f>IF(C358="","",SUMIFS(tbl_Finance[Ex GST],tbl_Finance[Job Number],C358&amp;""))</f>
        <v/>
      </c>
      <c r="I358" s="27">
        <f>IF(C358="","",SUMIFS(tbl_Finance[Ex GST],tbl_Finance[Job Number],C358&amp;"",tbl_Finance[Xero Invoice No],"&lt;&gt;"))</f>
        <v/>
      </c>
      <c r="J358" s="27">
        <f>IF(C358="","",H358-I358)</f>
        <v/>
      </c>
      <c r="K358" s="25">
        <f>IF(C358="","",IF(G358=0,"not invoiced yet",SUBSTITUTE(TRIM(IF(COUNTIFS(tbl_Finance[Job Number],C358&amp;"",tbl_Finance[Cost Centre],"ONSITE")&gt;0,"ONSITE ","")&amp;IF(COUNTIFS(tbl_Finance[Job Number],C358&amp;"",tbl_Finance[Cost Centre],"PRODUCTION")&gt;0,"PRODUCTION ","")&amp;IF(COUNTIFS(tbl_Finance[Job Number],C358&amp;"",tbl_Finance[Cost Centre],"VIDEO")&gt;0,"VIDEO ","")&amp;IF(COUNTIFS(tbl_Finance[Job Number],C358&amp;"",tbl_Finance[Cost Centre],"INTEGRATION")&gt;0,"INTEGRATION ","")&amp;IF(COUNTIFS(tbl_Finance[Job Number],C358&amp;"",tbl_Finance[Cost Centre],"CONSULTING")&gt;0,"CONSULTING ","")&amp;IF(COUNTIFS(tbl_Finance[Job Number],C358&amp;"",tbl_Finance[Cost Centre],"CTS")&gt;0,"CTS ",""))," ",", ")))</f>
        <v/>
      </c>
      <c r="L358" s="24" t="n"/>
      <c r="M358" s="24" t="n"/>
      <c r="N358" s="25">
        <f>IF(M358="","",HYPERLINK(IF(LEFT(M358,4)="http",M358,set_QwilrBase&amp;M358),"Open quote"))</f>
        <v/>
      </c>
      <c r="O358" s="64" t="n"/>
      <c r="P358" s="24" t="n"/>
      <c r="Q358" s="24" t="n"/>
    </row>
    <row r="359" ht="15" customHeight="1">
      <c r="A359" s="63">
        <f>IF(C359="","",IFERROR(IF(SUMPRODUCT(MAX((tbl_Finance[Job Number]=C359&amp;"")*(tbl_Finance[Xero Invoice No]&lt;&gt;"")*tbl_Finance[Date]))=0,"",SUMPRODUCT(MAX((tbl_Finance[Job Number]=C359&amp;"")*(tbl_Finance[Xero Invoice No]&lt;&gt;"")*tbl_Finance[Date]))),""))</f>
        <v/>
      </c>
      <c r="B359" s="25">
        <f>IF(C359="","",IF(COUNTIFS(tbl_Finance[Job Number],C359&amp;"",tbl_Finance[Xero Invoice No],"&lt;&gt;")=0,"",IFERROR(IF(COUNTIFS(tbl_Finance[Job Number],C359&amp;"",tbl_Finance[Xero Invoice No],LOOKUP(2,1/((tbl_Finance[Job Number]=C359&amp;"")*(tbl_Finance[Xero Invoice No]&lt;&gt;"")),tbl_Finance[Xero Invoice No]))=COUNTIFS(tbl_Finance[Job Number],C359&amp;"",tbl_Finance[Xero Invoice No],"&lt;&gt;"),LOOKUP(2,1/((tbl_Finance[Job Number]=C359&amp;"")*(tbl_Finance[Xero Invoice No]&lt;&gt;"")),tbl_Finance[Xero Invoice No]),LOOKUP(2,1/((tbl_Finance[Job Number]=C359&amp;"")*(tbl_Finance[Xero Invoice No]&lt;&gt;"")),tbl_Finance[Xero Invoice No])&amp;" +more"),"")))</f>
        <v/>
      </c>
      <c r="C359" s="24" t="n"/>
      <c r="D359" s="25">
        <f>IF(C359="","",IF(COUNTIF(lst_Jobs,C359&amp;"")&gt;0,"OK","CHECK"))</f>
        <v/>
      </c>
      <c r="E359" s="25">
        <f>IF(C359="","",IFERROR(INDEX(lst_JobName,MATCH(C359&amp;"",lst_Jobs,0)),""))</f>
        <v/>
      </c>
      <c r="F359" s="25">
        <f>IF(C359="","",IFERROR(INDEX(tbl_Finance[Client],MATCH(C359&amp;"",tbl_Finance[Job Number],0)),""))</f>
        <v/>
      </c>
      <c r="G359" s="28">
        <f>IF(C359="","",COUNTIFS(tbl_Finance[Job Number],C359&amp;"",tbl_Finance[Ex GST],"&lt;&gt;"))</f>
        <v/>
      </c>
      <c r="H359" s="27">
        <f>IF(C359="","",SUMIFS(tbl_Finance[Ex GST],tbl_Finance[Job Number],C359&amp;""))</f>
        <v/>
      </c>
      <c r="I359" s="27">
        <f>IF(C359="","",SUMIFS(tbl_Finance[Ex GST],tbl_Finance[Job Number],C359&amp;"",tbl_Finance[Xero Invoice No],"&lt;&gt;"))</f>
        <v/>
      </c>
      <c r="J359" s="27">
        <f>IF(C359="","",H359-I359)</f>
        <v/>
      </c>
      <c r="K359" s="25">
        <f>IF(C359="","",IF(G359=0,"not invoiced yet",SUBSTITUTE(TRIM(IF(COUNTIFS(tbl_Finance[Job Number],C359&amp;"",tbl_Finance[Cost Centre],"ONSITE")&gt;0,"ONSITE ","")&amp;IF(COUNTIFS(tbl_Finance[Job Number],C359&amp;"",tbl_Finance[Cost Centre],"PRODUCTION")&gt;0,"PRODUCTION ","")&amp;IF(COUNTIFS(tbl_Finance[Job Number],C359&amp;"",tbl_Finance[Cost Centre],"VIDEO")&gt;0,"VIDEO ","")&amp;IF(COUNTIFS(tbl_Finance[Job Number],C359&amp;"",tbl_Finance[Cost Centre],"INTEGRATION")&gt;0,"INTEGRATION ","")&amp;IF(COUNTIFS(tbl_Finance[Job Number],C359&amp;"",tbl_Finance[Cost Centre],"CONSULTING")&gt;0,"CONSULTING ","")&amp;IF(COUNTIFS(tbl_Finance[Job Number],C359&amp;"",tbl_Finance[Cost Centre],"CTS")&gt;0,"CTS ",""))," ",", ")))</f>
        <v/>
      </c>
      <c r="L359" s="24" t="n"/>
      <c r="M359" s="24" t="n"/>
      <c r="N359" s="25">
        <f>IF(M359="","",HYPERLINK(IF(LEFT(M359,4)="http",M359,set_QwilrBase&amp;M359),"Open quote"))</f>
        <v/>
      </c>
      <c r="O359" s="64" t="n"/>
      <c r="P359" s="24" t="n"/>
      <c r="Q359" s="24" t="n"/>
    </row>
    <row r="360" ht="15" customHeight="1">
      <c r="A360" s="63">
        <f>IF(C360="","",IFERROR(IF(SUMPRODUCT(MAX((tbl_Finance[Job Number]=C360&amp;"")*(tbl_Finance[Xero Invoice No]&lt;&gt;"")*tbl_Finance[Date]))=0,"",SUMPRODUCT(MAX((tbl_Finance[Job Number]=C360&amp;"")*(tbl_Finance[Xero Invoice No]&lt;&gt;"")*tbl_Finance[Date]))),""))</f>
        <v/>
      </c>
      <c r="B360" s="25">
        <f>IF(C360="","",IF(COUNTIFS(tbl_Finance[Job Number],C360&amp;"",tbl_Finance[Xero Invoice No],"&lt;&gt;")=0,"",IFERROR(IF(COUNTIFS(tbl_Finance[Job Number],C360&amp;"",tbl_Finance[Xero Invoice No],LOOKUP(2,1/((tbl_Finance[Job Number]=C360&amp;"")*(tbl_Finance[Xero Invoice No]&lt;&gt;"")),tbl_Finance[Xero Invoice No]))=COUNTIFS(tbl_Finance[Job Number],C360&amp;"",tbl_Finance[Xero Invoice No],"&lt;&gt;"),LOOKUP(2,1/((tbl_Finance[Job Number]=C360&amp;"")*(tbl_Finance[Xero Invoice No]&lt;&gt;"")),tbl_Finance[Xero Invoice No]),LOOKUP(2,1/((tbl_Finance[Job Number]=C360&amp;"")*(tbl_Finance[Xero Invoice No]&lt;&gt;"")),tbl_Finance[Xero Invoice No])&amp;" +more"),"")))</f>
        <v/>
      </c>
      <c r="C360" s="24" t="n"/>
      <c r="D360" s="25">
        <f>IF(C360="","",IF(COUNTIF(lst_Jobs,C360&amp;"")&gt;0,"OK","CHECK"))</f>
        <v/>
      </c>
      <c r="E360" s="25">
        <f>IF(C360="","",IFERROR(INDEX(lst_JobName,MATCH(C360&amp;"",lst_Jobs,0)),""))</f>
        <v/>
      </c>
      <c r="F360" s="25">
        <f>IF(C360="","",IFERROR(INDEX(tbl_Finance[Client],MATCH(C360&amp;"",tbl_Finance[Job Number],0)),""))</f>
        <v/>
      </c>
      <c r="G360" s="28">
        <f>IF(C360="","",COUNTIFS(tbl_Finance[Job Number],C360&amp;"",tbl_Finance[Ex GST],"&lt;&gt;"))</f>
        <v/>
      </c>
      <c r="H360" s="27">
        <f>IF(C360="","",SUMIFS(tbl_Finance[Ex GST],tbl_Finance[Job Number],C360&amp;""))</f>
        <v/>
      </c>
      <c r="I360" s="27">
        <f>IF(C360="","",SUMIFS(tbl_Finance[Ex GST],tbl_Finance[Job Number],C360&amp;"",tbl_Finance[Xero Invoice No],"&lt;&gt;"))</f>
        <v/>
      </c>
      <c r="J360" s="27">
        <f>IF(C360="","",H360-I360)</f>
        <v/>
      </c>
      <c r="K360" s="25">
        <f>IF(C360="","",IF(G360=0,"not invoiced yet",SUBSTITUTE(TRIM(IF(COUNTIFS(tbl_Finance[Job Number],C360&amp;"",tbl_Finance[Cost Centre],"ONSITE")&gt;0,"ONSITE ","")&amp;IF(COUNTIFS(tbl_Finance[Job Number],C360&amp;"",tbl_Finance[Cost Centre],"PRODUCTION")&gt;0,"PRODUCTION ","")&amp;IF(COUNTIFS(tbl_Finance[Job Number],C360&amp;"",tbl_Finance[Cost Centre],"VIDEO")&gt;0,"VIDEO ","")&amp;IF(COUNTIFS(tbl_Finance[Job Number],C360&amp;"",tbl_Finance[Cost Centre],"INTEGRATION")&gt;0,"INTEGRATION ","")&amp;IF(COUNTIFS(tbl_Finance[Job Number],C360&amp;"",tbl_Finance[Cost Centre],"CONSULTING")&gt;0,"CONSULTING ","")&amp;IF(COUNTIFS(tbl_Finance[Job Number],C360&amp;"",tbl_Finance[Cost Centre],"CTS")&gt;0,"CTS ",""))," ",", ")))</f>
        <v/>
      </c>
      <c r="L360" s="24" t="n"/>
      <c r="M360" s="24" t="n"/>
      <c r="N360" s="25">
        <f>IF(M360="","",HYPERLINK(IF(LEFT(M360,4)="http",M360,set_QwilrBase&amp;M360),"Open quote"))</f>
        <v/>
      </c>
      <c r="O360" s="64" t="n"/>
      <c r="P360" s="24" t="n"/>
      <c r="Q360" s="24" t="n"/>
    </row>
    <row r="361" ht="15" customHeight="1">
      <c r="A361" s="63">
        <f>IF(C361="","",IFERROR(IF(SUMPRODUCT(MAX((tbl_Finance[Job Number]=C361&amp;"")*(tbl_Finance[Xero Invoice No]&lt;&gt;"")*tbl_Finance[Date]))=0,"",SUMPRODUCT(MAX((tbl_Finance[Job Number]=C361&amp;"")*(tbl_Finance[Xero Invoice No]&lt;&gt;"")*tbl_Finance[Date]))),""))</f>
        <v/>
      </c>
      <c r="B361" s="25">
        <f>IF(C361="","",IF(COUNTIFS(tbl_Finance[Job Number],C361&amp;"",tbl_Finance[Xero Invoice No],"&lt;&gt;")=0,"",IFERROR(IF(COUNTIFS(tbl_Finance[Job Number],C361&amp;"",tbl_Finance[Xero Invoice No],LOOKUP(2,1/((tbl_Finance[Job Number]=C361&amp;"")*(tbl_Finance[Xero Invoice No]&lt;&gt;"")),tbl_Finance[Xero Invoice No]))=COUNTIFS(tbl_Finance[Job Number],C361&amp;"",tbl_Finance[Xero Invoice No],"&lt;&gt;"),LOOKUP(2,1/((tbl_Finance[Job Number]=C361&amp;"")*(tbl_Finance[Xero Invoice No]&lt;&gt;"")),tbl_Finance[Xero Invoice No]),LOOKUP(2,1/((tbl_Finance[Job Number]=C361&amp;"")*(tbl_Finance[Xero Invoice No]&lt;&gt;"")),tbl_Finance[Xero Invoice No])&amp;" +more"),"")))</f>
        <v/>
      </c>
      <c r="C361" s="24" t="n"/>
      <c r="D361" s="25">
        <f>IF(C361="","",IF(COUNTIF(lst_Jobs,C361&amp;"")&gt;0,"OK","CHECK"))</f>
        <v/>
      </c>
      <c r="E361" s="25">
        <f>IF(C361="","",IFERROR(INDEX(lst_JobName,MATCH(C361&amp;"",lst_Jobs,0)),""))</f>
        <v/>
      </c>
      <c r="F361" s="25">
        <f>IF(C361="","",IFERROR(INDEX(tbl_Finance[Client],MATCH(C361&amp;"",tbl_Finance[Job Number],0)),""))</f>
        <v/>
      </c>
      <c r="G361" s="28">
        <f>IF(C361="","",COUNTIFS(tbl_Finance[Job Number],C361&amp;"",tbl_Finance[Ex GST],"&lt;&gt;"))</f>
        <v/>
      </c>
      <c r="H361" s="27">
        <f>IF(C361="","",SUMIFS(tbl_Finance[Ex GST],tbl_Finance[Job Number],C361&amp;""))</f>
        <v/>
      </c>
      <c r="I361" s="27">
        <f>IF(C361="","",SUMIFS(tbl_Finance[Ex GST],tbl_Finance[Job Number],C361&amp;"",tbl_Finance[Xero Invoice No],"&lt;&gt;"))</f>
        <v/>
      </c>
      <c r="J361" s="27">
        <f>IF(C361="","",H361-I361)</f>
        <v/>
      </c>
      <c r="K361" s="25">
        <f>IF(C361="","",IF(G361=0,"not invoiced yet",SUBSTITUTE(TRIM(IF(COUNTIFS(tbl_Finance[Job Number],C361&amp;"",tbl_Finance[Cost Centre],"ONSITE")&gt;0,"ONSITE ","")&amp;IF(COUNTIFS(tbl_Finance[Job Number],C361&amp;"",tbl_Finance[Cost Centre],"PRODUCTION")&gt;0,"PRODUCTION ","")&amp;IF(COUNTIFS(tbl_Finance[Job Number],C361&amp;"",tbl_Finance[Cost Centre],"VIDEO")&gt;0,"VIDEO ","")&amp;IF(COUNTIFS(tbl_Finance[Job Number],C361&amp;"",tbl_Finance[Cost Centre],"INTEGRATION")&gt;0,"INTEGRATION ","")&amp;IF(COUNTIFS(tbl_Finance[Job Number],C361&amp;"",tbl_Finance[Cost Centre],"CONSULTING")&gt;0,"CONSULTING ","")&amp;IF(COUNTIFS(tbl_Finance[Job Number],C361&amp;"",tbl_Finance[Cost Centre],"CTS")&gt;0,"CTS ",""))," ",", ")))</f>
        <v/>
      </c>
      <c r="L361" s="24" t="n"/>
      <c r="M361" s="24" t="n"/>
      <c r="N361" s="25">
        <f>IF(M361="","",HYPERLINK(IF(LEFT(M361,4)="http",M361,set_QwilrBase&amp;M361),"Open quote"))</f>
        <v/>
      </c>
      <c r="O361" s="64" t="n"/>
      <c r="P361" s="24" t="n"/>
      <c r="Q361" s="24" t="n"/>
    </row>
    <row r="362" ht="15" customHeight="1">
      <c r="A362" s="63">
        <f>IF(C362="","",IFERROR(IF(SUMPRODUCT(MAX((tbl_Finance[Job Number]=C362&amp;"")*(tbl_Finance[Xero Invoice No]&lt;&gt;"")*tbl_Finance[Date]))=0,"",SUMPRODUCT(MAX((tbl_Finance[Job Number]=C362&amp;"")*(tbl_Finance[Xero Invoice No]&lt;&gt;"")*tbl_Finance[Date]))),""))</f>
        <v/>
      </c>
      <c r="B362" s="25">
        <f>IF(C362="","",IF(COUNTIFS(tbl_Finance[Job Number],C362&amp;"",tbl_Finance[Xero Invoice No],"&lt;&gt;")=0,"",IFERROR(IF(COUNTIFS(tbl_Finance[Job Number],C362&amp;"",tbl_Finance[Xero Invoice No],LOOKUP(2,1/((tbl_Finance[Job Number]=C362&amp;"")*(tbl_Finance[Xero Invoice No]&lt;&gt;"")),tbl_Finance[Xero Invoice No]))=COUNTIFS(tbl_Finance[Job Number],C362&amp;"",tbl_Finance[Xero Invoice No],"&lt;&gt;"),LOOKUP(2,1/((tbl_Finance[Job Number]=C362&amp;"")*(tbl_Finance[Xero Invoice No]&lt;&gt;"")),tbl_Finance[Xero Invoice No]),LOOKUP(2,1/((tbl_Finance[Job Number]=C362&amp;"")*(tbl_Finance[Xero Invoice No]&lt;&gt;"")),tbl_Finance[Xero Invoice No])&amp;" +more"),"")))</f>
        <v/>
      </c>
      <c r="C362" s="24" t="n"/>
      <c r="D362" s="25">
        <f>IF(C362="","",IF(COUNTIF(lst_Jobs,C362&amp;"")&gt;0,"OK","CHECK"))</f>
        <v/>
      </c>
      <c r="E362" s="25">
        <f>IF(C362="","",IFERROR(INDEX(lst_JobName,MATCH(C362&amp;"",lst_Jobs,0)),""))</f>
        <v/>
      </c>
      <c r="F362" s="25">
        <f>IF(C362="","",IFERROR(INDEX(tbl_Finance[Client],MATCH(C362&amp;"",tbl_Finance[Job Number],0)),""))</f>
        <v/>
      </c>
      <c r="G362" s="28">
        <f>IF(C362="","",COUNTIFS(tbl_Finance[Job Number],C362&amp;"",tbl_Finance[Ex GST],"&lt;&gt;"))</f>
        <v/>
      </c>
      <c r="H362" s="27">
        <f>IF(C362="","",SUMIFS(tbl_Finance[Ex GST],tbl_Finance[Job Number],C362&amp;""))</f>
        <v/>
      </c>
      <c r="I362" s="27">
        <f>IF(C362="","",SUMIFS(tbl_Finance[Ex GST],tbl_Finance[Job Number],C362&amp;"",tbl_Finance[Xero Invoice No],"&lt;&gt;"))</f>
        <v/>
      </c>
      <c r="J362" s="27">
        <f>IF(C362="","",H362-I362)</f>
        <v/>
      </c>
      <c r="K362" s="25">
        <f>IF(C362="","",IF(G362=0,"not invoiced yet",SUBSTITUTE(TRIM(IF(COUNTIFS(tbl_Finance[Job Number],C362&amp;"",tbl_Finance[Cost Centre],"ONSITE")&gt;0,"ONSITE ","")&amp;IF(COUNTIFS(tbl_Finance[Job Number],C362&amp;"",tbl_Finance[Cost Centre],"PRODUCTION")&gt;0,"PRODUCTION ","")&amp;IF(COUNTIFS(tbl_Finance[Job Number],C362&amp;"",tbl_Finance[Cost Centre],"VIDEO")&gt;0,"VIDEO ","")&amp;IF(COUNTIFS(tbl_Finance[Job Number],C362&amp;"",tbl_Finance[Cost Centre],"INTEGRATION")&gt;0,"INTEGRATION ","")&amp;IF(COUNTIFS(tbl_Finance[Job Number],C362&amp;"",tbl_Finance[Cost Centre],"CONSULTING")&gt;0,"CONSULTING ","")&amp;IF(COUNTIFS(tbl_Finance[Job Number],C362&amp;"",tbl_Finance[Cost Centre],"CTS")&gt;0,"CTS ",""))," ",", ")))</f>
        <v/>
      </c>
      <c r="L362" s="24" t="n"/>
      <c r="M362" s="24" t="n"/>
      <c r="N362" s="25">
        <f>IF(M362="","",HYPERLINK(IF(LEFT(M362,4)="http",M362,set_QwilrBase&amp;M362),"Open quote"))</f>
        <v/>
      </c>
      <c r="O362" s="64" t="n"/>
      <c r="P362" s="24" t="n"/>
      <c r="Q362" s="24" t="n"/>
    </row>
    <row r="363" ht="15" customHeight="1">
      <c r="A363" s="63">
        <f>IF(C363="","",IFERROR(IF(SUMPRODUCT(MAX((tbl_Finance[Job Number]=C363&amp;"")*(tbl_Finance[Xero Invoice No]&lt;&gt;"")*tbl_Finance[Date]))=0,"",SUMPRODUCT(MAX((tbl_Finance[Job Number]=C363&amp;"")*(tbl_Finance[Xero Invoice No]&lt;&gt;"")*tbl_Finance[Date]))),""))</f>
        <v/>
      </c>
      <c r="B363" s="25">
        <f>IF(C363="","",IF(COUNTIFS(tbl_Finance[Job Number],C363&amp;"",tbl_Finance[Xero Invoice No],"&lt;&gt;")=0,"",IFERROR(IF(COUNTIFS(tbl_Finance[Job Number],C363&amp;"",tbl_Finance[Xero Invoice No],LOOKUP(2,1/((tbl_Finance[Job Number]=C363&amp;"")*(tbl_Finance[Xero Invoice No]&lt;&gt;"")),tbl_Finance[Xero Invoice No]))=COUNTIFS(tbl_Finance[Job Number],C363&amp;"",tbl_Finance[Xero Invoice No],"&lt;&gt;"),LOOKUP(2,1/((tbl_Finance[Job Number]=C363&amp;"")*(tbl_Finance[Xero Invoice No]&lt;&gt;"")),tbl_Finance[Xero Invoice No]),LOOKUP(2,1/((tbl_Finance[Job Number]=C363&amp;"")*(tbl_Finance[Xero Invoice No]&lt;&gt;"")),tbl_Finance[Xero Invoice No])&amp;" +more"),"")))</f>
        <v/>
      </c>
      <c r="C363" s="24" t="n"/>
      <c r="D363" s="25">
        <f>IF(C363="","",IF(COUNTIF(lst_Jobs,C363&amp;"")&gt;0,"OK","CHECK"))</f>
        <v/>
      </c>
      <c r="E363" s="25">
        <f>IF(C363="","",IFERROR(INDEX(lst_JobName,MATCH(C363&amp;"",lst_Jobs,0)),""))</f>
        <v/>
      </c>
      <c r="F363" s="25">
        <f>IF(C363="","",IFERROR(INDEX(tbl_Finance[Client],MATCH(C363&amp;"",tbl_Finance[Job Number],0)),""))</f>
        <v/>
      </c>
      <c r="G363" s="28">
        <f>IF(C363="","",COUNTIFS(tbl_Finance[Job Number],C363&amp;"",tbl_Finance[Ex GST],"&lt;&gt;"))</f>
        <v/>
      </c>
      <c r="H363" s="27">
        <f>IF(C363="","",SUMIFS(tbl_Finance[Ex GST],tbl_Finance[Job Number],C363&amp;""))</f>
        <v/>
      </c>
      <c r="I363" s="27">
        <f>IF(C363="","",SUMIFS(tbl_Finance[Ex GST],tbl_Finance[Job Number],C363&amp;"",tbl_Finance[Xero Invoice No],"&lt;&gt;"))</f>
        <v/>
      </c>
      <c r="J363" s="27">
        <f>IF(C363="","",H363-I363)</f>
        <v/>
      </c>
      <c r="K363" s="25">
        <f>IF(C363="","",IF(G363=0,"not invoiced yet",SUBSTITUTE(TRIM(IF(COUNTIFS(tbl_Finance[Job Number],C363&amp;"",tbl_Finance[Cost Centre],"ONSITE")&gt;0,"ONSITE ","")&amp;IF(COUNTIFS(tbl_Finance[Job Number],C363&amp;"",tbl_Finance[Cost Centre],"PRODUCTION")&gt;0,"PRODUCTION ","")&amp;IF(COUNTIFS(tbl_Finance[Job Number],C363&amp;"",tbl_Finance[Cost Centre],"VIDEO")&gt;0,"VIDEO ","")&amp;IF(COUNTIFS(tbl_Finance[Job Number],C363&amp;"",tbl_Finance[Cost Centre],"INTEGRATION")&gt;0,"INTEGRATION ","")&amp;IF(COUNTIFS(tbl_Finance[Job Number],C363&amp;"",tbl_Finance[Cost Centre],"CONSULTING")&gt;0,"CONSULTING ","")&amp;IF(COUNTIFS(tbl_Finance[Job Number],C363&amp;"",tbl_Finance[Cost Centre],"CTS")&gt;0,"CTS ",""))," ",", ")))</f>
        <v/>
      </c>
      <c r="L363" s="24" t="n"/>
      <c r="M363" s="24" t="n"/>
      <c r="N363" s="25">
        <f>IF(M363="","",HYPERLINK(IF(LEFT(M363,4)="http",M363,set_QwilrBase&amp;M363),"Open quote"))</f>
        <v/>
      </c>
      <c r="O363" s="64" t="n"/>
      <c r="P363" s="24" t="n"/>
      <c r="Q363" s="24" t="n"/>
    </row>
    <row r="364" ht="15" customHeight="1">
      <c r="A364" s="63">
        <f>IF(C364="","",IFERROR(IF(SUMPRODUCT(MAX((tbl_Finance[Job Number]=C364&amp;"")*(tbl_Finance[Xero Invoice No]&lt;&gt;"")*tbl_Finance[Date]))=0,"",SUMPRODUCT(MAX((tbl_Finance[Job Number]=C364&amp;"")*(tbl_Finance[Xero Invoice No]&lt;&gt;"")*tbl_Finance[Date]))),""))</f>
        <v/>
      </c>
      <c r="B364" s="25">
        <f>IF(C364="","",IF(COUNTIFS(tbl_Finance[Job Number],C364&amp;"",tbl_Finance[Xero Invoice No],"&lt;&gt;")=0,"",IFERROR(IF(COUNTIFS(tbl_Finance[Job Number],C364&amp;"",tbl_Finance[Xero Invoice No],LOOKUP(2,1/((tbl_Finance[Job Number]=C364&amp;"")*(tbl_Finance[Xero Invoice No]&lt;&gt;"")),tbl_Finance[Xero Invoice No]))=COUNTIFS(tbl_Finance[Job Number],C364&amp;"",tbl_Finance[Xero Invoice No],"&lt;&gt;"),LOOKUP(2,1/((tbl_Finance[Job Number]=C364&amp;"")*(tbl_Finance[Xero Invoice No]&lt;&gt;"")),tbl_Finance[Xero Invoice No]),LOOKUP(2,1/((tbl_Finance[Job Number]=C364&amp;"")*(tbl_Finance[Xero Invoice No]&lt;&gt;"")),tbl_Finance[Xero Invoice No])&amp;" +more"),"")))</f>
        <v/>
      </c>
      <c r="C364" s="24" t="n"/>
      <c r="D364" s="25">
        <f>IF(C364="","",IF(COUNTIF(lst_Jobs,C364&amp;"")&gt;0,"OK","CHECK"))</f>
        <v/>
      </c>
      <c r="E364" s="25">
        <f>IF(C364="","",IFERROR(INDEX(lst_JobName,MATCH(C364&amp;"",lst_Jobs,0)),""))</f>
        <v/>
      </c>
      <c r="F364" s="25">
        <f>IF(C364="","",IFERROR(INDEX(tbl_Finance[Client],MATCH(C364&amp;"",tbl_Finance[Job Number],0)),""))</f>
        <v/>
      </c>
      <c r="G364" s="28">
        <f>IF(C364="","",COUNTIFS(tbl_Finance[Job Number],C364&amp;"",tbl_Finance[Ex GST],"&lt;&gt;"))</f>
        <v/>
      </c>
      <c r="H364" s="27">
        <f>IF(C364="","",SUMIFS(tbl_Finance[Ex GST],tbl_Finance[Job Number],C364&amp;""))</f>
        <v/>
      </c>
      <c r="I364" s="27">
        <f>IF(C364="","",SUMIFS(tbl_Finance[Ex GST],tbl_Finance[Job Number],C364&amp;"",tbl_Finance[Xero Invoice No],"&lt;&gt;"))</f>
        <v/>
      </c>
      <c r="J364" s="27">
        <f>IF(C364="","",H364-I364)</f>
        <v/>
      </c>
      <c r="K364" s="25">
        <f>IF(C364="","",IF(G364=0,"not invoiced yet",SUBSTITUTE(TRIM(IF(COUNTIFS(tbl_Finance[Job Number],C364&amp;"",tbl_Finance[Cost Centre],"ONSITE")&gt;0,"ONSITE ","")&amp;IF(COUNTIFS(tbl_Finance[Job Number],C364&amp;"",tbl_Finance[Cost Centre],"PRODUCTION")&gt;0,"PRODUCTION ","")&amp;IF(COUNTIFS(tbl_Finance[Job Number],C364&amp;"",tbl_Finance[Cost Centre],"VIDEO")&gt;0,"VIDEO ","")&amp;IF(COUNTIFS(tbl_Finance[Job Number],C364&amp;"",tbl_Finance[Cost Centre],"INTEGRATION")&gt;0,"INTEGRATION ","")&amp;IF(COUNTIFS(tbl_Finance[Job Number],C364&amp;"",tbl_Finance[Cost Centre],"CONSULTING")&gt;0,"CONSULTING ","")&amp;IF(COUNTIFS(tbl_Finance[Job Number],C364&amp;"",tbl_Finance[Cost Centre],"CTS")&gt;0,"CTS ",""))," ",", ")))</f>
        <v/>
      </c>
      <c r="L364" s="24" t="n"/>
      <c r="M364" s="24" t="n"/>
      <c r="N364" s="25">
        <f>IF(M364="","",HYPERLINK(IF(LEFT(M364,4)="http",M364,set_QwilrBase&amp;M364),"Open quote"))</f>
        <v/>
      </c>
      <c r="O364" s="64" t="n"/>
      <c r="P364" s="24" t="n"/>
      <c r="Q364" s="24" t="n"/>
    </row>
    <row r="365" ht="15" customHeight="1">
      <c r="A365" s="63">
        <f>IF(C365="","",IFERROR(IF(SUMPRODUCT(MAX((tbl_Finance[Job Number]=C365&amp;"")*(tbl_Finance[Xero Invoice No]&lt;&gt;"")*tbl_Finance[Date]))=0,"",SUMPRODUCT(MAX((tbl_Finance[Job Number]=C365&amp;"")*(tbl_Finance[Xero Invoice No]&lt;&gt;"")*tbl_Finance[Date]))),""))</f>
        <v/>
      </c>
      <c r="B365" s="25">
        <f>IF(C365="","",IF(COUNTIFS(tbl_Finance[Job Number],C365&amp;"",tbl_Finance[Xero Invoice No],"&lt;&gt;")=0,"",IFERROR(IF(COUNTIFS(tbl_Finance[Job Number],C365&amp;"",tbl_Finance[Xero Invoice No],LOOKUP(2,1/((tbl_Finance[Job Number]=C365&amp;"")*(tbl_Finance[Xero Invoice No]&lt;&gt;"")),tbl_Finance[Xero Invoice No]))=COUNTIFS(tbl_Finance[Job Number],C365&amp;"",tbl_Finance[Xero Invoice No],"&lt;&gt;"),LOOKUP(2,1/((tbl_Finance[Job Number]=C365&amp;"")*(tbl_Finance[Xero Invoice No]&lt;&gt;"")),tbl_Finance[Xero Invoice No]),LOOKUP(2,1/((tbl_Finance[Job Number]=C365&amp;"")*(tbl_Finance[Xero Invoice No]&lt;&gt;"")),tbl_Finance[Xero Invoice No])&amp;" +more"),"")))</f>
        <v/>
      </c>
      <c r="C365" s="24" t="n"/>
      <c r="D365" s="25">
        <f>IF(C365="","",IF(COUNTIF(lst_Jobs,C365&amp;"")&gt;0,"OK","CHECK"))</f>
        <v/>
      </c>
      <c r="E365" s="25">
        <f>IF(C365="","",IFERROR(INDEX(lst_JobName,MATCH(C365&amp;"",lst_Jobs,0)),""))</f>
        <v/>
      </c>
      <c r="F365" s="25">
        <f>IF(C365="","",IFERROR(INDEX(tbl_Finance[Client],MATCH(C365&amp;"",tbl_Finance[Job Number],0)),""))</f>
        <v/>
      </c>
      <c r="G365" s="28">
        <f>IF(C365="","",COUNTIFS(tbl_Finance[Job Number],C365&amp;"",tbl_Finance[Ex GST],"&lt;&gt;"))</f>
        <v/>
      </c>
      <c r="H365" s="27">
        <f>IF(C365="","",SUMIFS(tbl_Finance[Ex GST],tbl_Finance[Job Number],C365&amp;""))</f>
        <v/>
      </c>
      <c r="I365" s="27">
        <f>IF(C365="","",SUMIFS(tbl_Finance[Ex GST],tbl_Finance[Job Number],C365&amp;"",tbl_Finance[Xero Invoice No],"&lt;&gt;"))</f>
        <v/>
      </c>
      <c r="J365" s="27">
        <f>IF(C365="","",H365-I365)</f>
        <v/>
      </c>
      <c r="K365" s="25">
        <f>IF(C365="","",IF(G365=0,"not invoiced yet",SUBSTITUTE(TRIM(IF(COUNTIFS(tbl_Finance[Job Number],C365&amp;"",tbl_Finance[Cost Centre],"ONSITE")&gt;0,"ONSITE ","")&amp;IF(COUNTIFS(tbl_Finance[Job Number],C365&amp;"",tbl_Finance[Cost Centre],"PRODUCTION")&gt;0,"PRODUCTION ","")&amp;IF(COUNTIFS(tbl_Finance[Job Number],C365&amp;"",tbl_Finance[Cost Centre],"VIDEO")&gt;0,"VIDEO ","")&amp;IF(COUNTIFS(tbl_Finance[Job Number],C365&amp;"",tbl_Finance[Cost Centre],"INTEGRATION")&gt;0,"INTEGRATION ","")&amp;IF(COUNTIFS(tbl_Finance[Job Number],C365&amp;"",tbl_Finance[Cost Centre],"CONSULTING")&gt;0,"CONSULTING ","")&amp;IF(COUNTIFS(tbl_Finance[Job Number],C365&amp;"",tbl_Finance[Cost Centre],"CTS")&gt;0,"CTS ",""))," ",", ")))</f>
        <v/>
      </c>
      <c r="L365" s="24" t="n"/>
      <c r="M365" s="24" t="n"/>
      <c r="N365" s="25">
        <f>IF(M365="","",HYPERLINK(IF(LEFT(M365,4)="http",M365,set_QwilrBase&amp;M365),"Open quote"))</f>
        <v/>
      </c>
      <c r="O365" s="64" t="n"/>
      <c r="P365" s="24" t="n"/>
      <c r="Q365" s="24" t="n"/>
    </row>
    <row r="366" ht="15" customHeight="1">
      <c r="A366" s="63">
        <f>IF(C366="","",IFERROR(IF(SUMPRODUCT(MAX((tbl_Finance[Job Number]=C366&amp;"")*(tbl_Finance[Xero Invoice No]&lt;&gt;"")*tbl_Finance[Date]))=0,"",SUMPRODUCT(MAX((tbl_Finance[Job Number]=C366&amp;"")*(tbl_Finance[Xero Invoice No]&lt;&gt;"")*tbl_Finance[Date]))),""))</f>
        <v/>
      </c>
      <c r="B366" s="25">
        <f>IF(C366="","",IF(COUNTIFS(tbl_Finance[Job Number],C366&amp;"",tbl_Finance[Xero Invoice No],"&lt;&gt;")=0,"",IFERROR(IF(COUNTIFS(tbl_Finance[Job Number],C366&amp;"",tbl_Finance[Xero Invoice No],LOOKUP(2,1/((tbl_Finance[Job Number]=C366&amp;"")*(tbl_Finance[Xero Invoice No]&lt;&gt;"")),tbl_Finance[Xero Invoice No]))=COUNTIFS(tbl_Finance[Job Number],C366&amp;"",tbl_Finance[Xero Invoice No],"&lt;&gt;"),LOOKUP(2,1/((tbl_Finance[Job Number]=C366&amp;"")*(tbl_Finance[Xero Invoice No]&lt;&gt;"")),tbl_Finance[Xero Invoice No]),LOOKUP(2,1/((tbl_Finance[Job Number]=C366&amp;"")*(tbl_Finance[Xero Invoice No]&lt;&gt;"")),tbl_Finance[Xero Invoice No])&amp;" +more"),"")))</f>
        <v/>
      </c>
      <c r="C366" s="24" t="n"/>
      <c r="D366" s="25">
        <f>IF(C366="","",IF(COUNTIF(lst_Jobs,C366&amp;"")&gt;0,"OK","CHECK"))</f>
        <v/>
      </c>
      <c r="E366" s="25">
        <f>IF(C366="","",IFERROR(INDEX(lst_JobName,MATCH(C366&amp;"",lst_Jobs,0)),""))</f>
        <v/>
      </c>
      <c r="F366" s="25">
        <f>IF(C366="","",IFERROR(INDEX(tbl_Finance[Client],MATCH(C366&amp;"",tbl_Finance[Job Number],0)),""))</f>
        <v/>
      </c>
      <c r="G366" s="28">
        <f>IF(C366="","",COUNTIFS(tbl_Finance[Job Number],C366&amp;"",tbl_Finance[Ex GST],"&lt;&gt;"))</f>
        <v/>
      </c>
      <c r="H366" s="27">
        <f>IF(C366="","",SUMIFS(tbl_Finance[Ex GST],tbl_Finance[Job Number],C366&amp;""))</f>
        <v/>
      </c>
      <c r="I366" s="27">
        <f>IF(C366="","",SUMIFS(tbl_Finance[Ex GST],tbl_Finance[Job Number],C366&amp;"",tbl_Finance[Xero Invoice No],"&lt;&gt;"))</f>
        <v/>
      </c>
      <c r="J366" s="27">
        <f>IF(C366="","",H366-I366)</f>
        <v/>
      </c>
      <c r="K366" s="25">
        <f>IF(C366="","",IF(G366=0,"not invoiced yet",SUBSTITUTE(TRIM(IF(COUNTIFS(tbl_Finance[Job Number],C366&amp;"",tbl_Finance[Cost Centre],"ONSITE")&gt;0,"ONSITE ","")&amp;IF(COUNTIFS(tbl_Finance[Job Number],C366&amp;"",tbl_Finance[Cost Centre],"PRODUCTION")&gt;0,"PRODUCTION ","")&amp;IF(COUNTIFS(tbl_Finance[Job Number],C366&amp;"",tbl_Finance[Cost Centre],"VIDEO")&gt;0,"VIDEO ","")&amp;IF(COUNTIFS(tbl_Finance[Job Number],C366&amp;"",tbl_Finance[Cost Centre],"INTEGRATION")&gt;0,"INTEGRATION ","")&amp;IF(COUNTIFS(tbl_Finance[Job Number],C366&amp;"",tbl_Finance[Cost Centre],"CONSULTING")&gt;0,"CONSULTING ","")&amp;IF(COUNTIFS(tbl_Finance[Job Number],C366&amp;"",tbl_Finance[Cost Centre],"CTS")&gt;0,"CTS ",""))," ",", ")))</f>
        <v/>
      </c>
      <c r="L366" s="24" t="n"/>
      <c r="M366" s="24" t="n"/>
      <c r="N366" s="25">
        <f>IF(M366="","",HYPERLINK(IF(LEFT(M366,4)="http",M366,set_QwilrBase&amp;M366),"Open quote"))</f>
        <v/>
      </c>
      <c r="O366" s="64" t="n"/>
      <c r="P366" s="24" t="n"/>
      <c r="Q366" s="24" t="n"/>
    </row>
    <row r="367" ht="15" customHeight="1">
      <c r="A367" s="63">
        <f>IF(C367="","",IFERROR(IF(SUMPRODUCT(MAX((tbl_Finance[Job Number]=C367&amp;"")*(tbl_Finance[Xero Invoice No]&lt;&gt;"")*tbl_Finance[Date]))=0,"",SUMPRODUCT(MAX((tbl_Finance[Job Number]=C367&amp;"")*(tbl_Finance[Xero Invoice No]&lt;&gt;"")*tbl_Finance[Date]))),""))</f>
        <v/>
      </c>
      <c r="B367" s="25">
        <f>IF(C367="","",IF(COUNTIFS(tbl_Finance[Job Number],C367&amp;"",tbl_Finance[Xero Invoice No],"&lt;&gt;")=0,"",IFERROR(IF(COUNTIFS(tbl_Finance[Job Number],C367&amp;"",tbl_Finance[Xero Invoice No],LOOKUP(2,1/((tbl_Finance[Job Number]=C367&amp;"")*(tbl_Finance[Xero Invoice No]&lt;&gt;"")),tbl_Finance[Xero Invoice No]))=COUNTIFS(tbl_Finance[Job Number],C367&amp;"",tbl_Finance[Xero Invoice No],"&lt;&gt;"),LOOKUP(2,1/((tbl_Finance[Job Number]=C367&amp;"")*(tbl_Finance[Xero Invoice No]&lt;&gt;"")),tbl_Finance[Xero Invoice No]),LOOKUP(2,1/((tbl_Finance[Job Number]=C367&amp;"")*(tbl_Finance[Xero Invoice No]&lt;&gt;"")),tbl_Finance[Xero Invoice No])&amp;" +more"),"")))</f>
        <v/>
      </c>
      <c r="C367" s="24" t="n"/>
      <c r="D367" s="25">
        <f>IF(C367="","",IF(COUNTIF(lst_Jobs,C367&amp;"")&gt;0,"OK","CHECK"))</f>
        <v/>
      </c>
      <c r="E367" s="25">
        <f>IF(C367="","",IFERROR(INDEX(lst_JobName,MATCH(C367&amp;"",lst_Jobs,0)),""))</f>
        <v/>
      </c>
      <c r="F367" s="25">
        <f>IF(C367="","",IFERROR(INDEX(tbl_Finance[Client],MATCH(C367&amp;"",tbl_Finance[Job Number],0)),""))</f>
        <v/>
      </c>
      <c r="G367" s="28">
        <f>IF(C367="","",COUNTIFS(tbl_Finance[Job Number],C367&amp;"",tbl_Finance[Ex GST],"&lt;&gt;"))</f>
        <v/>
      </c>
      <c r="H367" s="27">
        <f>IF(C367="","",SUMIFS(tbl_Finance[Ex GST],tbl_Finance[Job Number],C367&amp;""))</f>
        <v/>
      </c>
      <c r="I367" s="27">
        <f>IF(C367="","",SUMIFS(tbl_Finance[Ex GST],tbl_Finance[Job Number],C367&amp;"",tbl_Finance[Xero Invoice No],"&lt;&gt;"))</f>
        <v/>
      </c>
      <c r="J367" s="27">
        <f>IF(C367="","",H367-I367)</f>
        <v/>
      </c>
      <c r="K367" s="25">
        <f>IF(C367="","",IF(G367=0,"not invoiced yet",SUBSTITUTE(TRIM(IF(COUNTIFS(tbl_Finance[Job Number],C367&amp;"",tbl_Finance[Cost Centre],"ONSITE")&gt;0,"ONSITE ","")&amp;IF(COUNTIFS(tbl_Finance[Job Number],C367&amp;"",tbl_Finance[Cost Centre],"PRODUCTION")&gt;0,"PRODUCTION ","")&amp;IF(COUNTIFS(tbl_Finance[Job Number],C367&amp;"",tbl_Finance[Cost Centre],"VIDEO")&gt;0,"VIDEO ","")&amp;IF(COUNTIFS(tbl_Finance[Job Number],C367&amp;"",tbl_Finance[Cost Centre],"INTEGRATION")&gt;0,"INTEGRATION ","")&amp;IF(COUNTIFS(tbl_Finance[Job Number],C367&amp;"",tbl_Finance[Cost Centre],"CONSULTING")&gt;0,"CONSULTING ","")&amp;IF(COUNTIFS(tbl_Finance[Job Number],C367&amp;"",tbl_Finance[Cost Centre],"CTS")&gt;0,"CTS ",""))," ",", ")))</f>
        <v/>
      </c>
      <c r="L367" s="24" t="n"/>
      <c r="M367" s="24" t="n"/>
      <c r="N367" s="25">
        <f>IF(M367="","",HYPERLINK(IF(LEFT(M367,4)="http",M367,set_QwilrBase&amp;M367),"Open quote"))</f>
        <v/>
      </c>
      <c r="O367" s="64" t="n"/>
      <c r="P367" s="24" t="n"/>
      <c r="Q367" s="24" t="n"/>
    </row>
    <row r="368" ht="15" customHeight="1">
      <c r="A368" s="63">
        <f>IF(C368="","",IFERROR(IF(SUMPRODUCT(MAX((tbl_Finance[Job Number]=C368&amp;"")*(tbl_Finance[Xero Invoice No]&lt;&gt;"")*tbl_Finance[Date]))=0,"",SUMPRODUCT(MAX((tbl_Finance[Job Number]=C368&amp;"")*(tbl_Finance[Xero Invoice No]&lt;&gt;"")*tbl_Finance[Date]))),""))</f>
        <v/>
      </c>
      <c r="B368" s="25">
        <f>IF(C368="","",IF(COUNTIFS(tbl_Finance[Job Number],C368&amp;"",tbl_Finance[Xero Invoice No],"&lt;&gt;")=0,"",IFERROR(IF(COUNTIFS(tbl_Finance[Job Number],C368&amp;"",tbl_Finance[Xero Invoice No],LOOKUP(2,1/((tbl_Finance[Job Number]=C368&amp;"")*(tbl_Finance[Xero Invoice No]&lt;&gt;"")),tbl_Finance[Xero Invoice No]))=COUNTIFS(tbl_Finance[Job Number],C368&amp;"",tbl_Finance[Xero Invoice No],"&lt;&gt;"),LOOKUP(2,1/((tbl_Finance[Job Number]=C368&amp;"")*(tbl_Finance[Xero Invoice No]&lt;&gt;"")),tbl_Finance[Xero Invoice No]),LOOKUP(2,1/((tbl_Finance[Job Number]=C368&amp;"")*(tbl_Finance[Xero Invoice No]&lt;&gt;"")),tbl_Finance[Xero Invoice No])&amp;" +more"),"")))</f>
        <v/>
      </c>
      <c r="C368" s="24" t="n"/>
      <c r="D368" s="25">
        <f>IF(C368="","",IF(COUNTIF(lst_Jobs,C368&amp;"")&gt;0,"OK","CHECK"))</f>
        <v/>
      </c>
      <c r="E368" s="25">
        <f>IF(C368="","",IFERROR(INDEX(lst_JobName,MATCH(C368&amp;"",lst_Jobs,0)),""))</f>
        <v/>
      </c>
      <c r="F368" s="25">
        <f>IF(C368="","",IFERROR(INDEX(tbl_Finance[Client],MATCH(C368&amp;"",tbl_Finance[Job Number],0)),""))</f>
        <v/>
      </c>
      <c r="G368" s="28">
        <f>IF(C368="","",COUNTIFS(tbl_Finance[Job Number],C368&amp;"",tbl_Finance[Ex GST],"&lt;&gt;"))</f>
        <v/>
      </c>
      <c r="H368" s="27">
        <f>IF(C368="","",SUMIFS(tbl_Finance[Ex GST],tbl_Finance[Job Number],C368&amp;""))</f>
        <v/>
      </c>
      <c r="I368" s="27">
        <f>IF(C368="","",SUMIFS(tbl_Finance[Ex GST],tbl_Finance[Job Number],C368&amp;"",tbl_Finance[Xero Invoice No],"&lt;&gt;"))</f>
        <v/>
      </c>
      <c r="J368" s="27">
        <f>IF(C368="","",H368-I368)</f>
        <v/>
      </c>
      <c r="K368" s="25">
        <f>IF(C368="","",IF(G368=0,"not invoiced yet",SUBSTITUTE(TRIM(IF(COUNTIFS(tbl_Finance[Job Number],C368&amp;"",tbl_Finance[Cost Centre],"ONSITE")&gt;0,"ONSITE ","")&amp;IF(COUNTIFS(tbl_Finance[Job Number],C368&amp;"",tbl_Finance[Cost Centre],"PRODUCTION")&gt;0,"PRODUCTION ","")&amp;IF(COUNTIFS(tbl_Finance[Job Number],C368&amp;"",tbl_Finance[Cost Centre],"VIDEO")&gt;0,"VIDEO ","")&amp;IF(COUNTIFS(tbl_Finance[Job Number],C368&amp;"",tbl_Finance[Cost Centre],"INTEGRATION")&gt;0,"INTEGRATION ","")&amp;IF(COUNTIFS(tbl_Finance[Job Number],C368&amp;"",tbl_Finance[Cost Centre],"CONSULTING")&gt;0,"CONSULTING ","")&amp;IF(COUNTIFS(tbl_Finance[Job Number],C368&amp;"",tbl_Finance[Cost Centre],"CTS")&gt;0,"CTS ",""))," ",", ")))</f>
        <v/>
      </c>
      <c r="L368" s="24" t="n"/>
      <c r="M368" s="24" t="n"/>
      <c r="N368" s="25">
        <f>IF(M368="","",HYPERLINK(IF(LEFT(M368,4)="http",M368,set_QwilrBase&amp;M368),"Open quote"))</f>
        <v/>
      </c>
      <c r="O368" s="64" t="n"/>
      <c r="P368" s="24" t="n"/>
      <c r="Q368" s="24" t="n"/>
    </row>
    <row r="369" ht="15" customHeight="1">
      <c r="A369" s="63">
        <f>IF(C369="","",IFERROR(IF(SUMPRODUCT(MAX((tbl_Finance[Job Number]=C369&amp;"")*(tbl_Finance[Xero Invoice No]&lt;&gt;"")*tbl_Finance[Date]))=0,"",SUMPRODUCT(MAX((tbl_Finance[Job Number]=C369&amp;"")*(tbl_Finance[Xero Invoice No]&lt;&gt;"")*tbl_Finance[Date]))),""))</f>
        <v/>
      </c>
      <c r="B369" s="25">
        <f>IF(C369="","",IF(COUNTIFS(tbl_Finance[Job Number],C369&amp;"",tbl_Finance[Xero Invoice No],"&lt;&gt;")=0,"",IFERROR(IF(COUNTIFS(tbl_Finance[Job Number],C369&amp;"",tbl_Finance[Xero Invoice No],LOOKUP(2,1/((tbl_Finance[Job Number]=C369&amp;"")*(tbl_Finance[Xero Invoice No]&lt;&gt;"")),tbl_Finance[Xero Invoice No]))=COUNTIFS(tbl_Finance[Job Number],C369&amp;"",tbl_Finance[Xero Invoice No],"&lt;&gt;"),LOOKUP(2,1/((tbl_Finance[Job Number]=C369&amp;"")*(tbl_Finance[Xero Invoice No]&lt;&gt;"")),tbl_Finance[Xero Invoice No]),LOOKUP(2,1/((tbl_Finance[Job Number]=C369&amp;"")*(tbl_Finance[Xero Invoice No]&lt;&gt;"")),tbl_Finance[Xero Invoice No])&amp;" +more"),"")))</f>
        <v/>
      </c>
      <c r="C369" s="24" t="n"/>
      <c r="D369" s="25">
        <f>IF(C369="","",IF(COUNTIF(lst_Jobs,C369&amp;"")&gt;0,"OK","CHECK"))</f>
        <v/>
      </c>
      <c r="E369" s="25">
        <f>IF(C369="","",IFERROR(INDEX(lst_JobName,MATCH(C369&amp;"",lst_Jobs,0)),""))</f>
        <v/>
      </c>
      <c r="F369" s="25">
        <f>IF(C369="","",IFERROR(INDEX(tbl_Finance[Client],MATCH(C369&amp;"",tbl_Finance[Job Number],0)),""))</f>
        <v/>
      </c>
      <c r="G369" s="28">
        <f>IF(C369="","",COUNTIFS(tbl_Finance[Job Number],C369&amp;"",tbl_Finance[Ex GST],"&lt;&gt;"))</f>
        <v/>
      </c>
      <c r="H369" s="27">
        <f>IF(C369="","",SUMIFS(tbl_Finance[Ex GST],tbl_Finance[Job Number],C369&amp;""))</f>
        <v/>
      </c>
      <c r="I369" s="27">
        <f>IF(C369="","",SUMIFS(tbl_Finance[Ex GST],tbl_Finance[Job Number],C369&amp;"",tbl_Finance[Xero Invoice No],"&lt;&gt;"))</f>
        <v/>
      </c>
      <c r="J369" s="27">
        <f>IF(C369="","",H369-I369)</f>
        <v/>
      </c>
      <c r="K369" s="25">
        <f>IF(C369="","",IF(G369=0,"not invoiced yet",SUBSTITUTE(TRIM(IF(COUNTIFS(tbl_Finance[Job Number],C369&amp;"",tbl_Finance[Cost Centre],"ONSITE")&gt;0,"ONSITE ","")&amp;IF(COUNTIFS(tbl_Finance[Job Number],C369&amp;"",tbl_Finance[Cost Centre],"PRODUCTION")&gt;0,"PRODUCTION ","")&amp;IF(COUNTIFS(tbl_Finance[Job Number],C369&amp;"",tbl_Finance[Cost Centre],"VIDEO")&gt;0,"VIDEO ","")&amp;IF(COUNTIFS(tbl_Finance[Job Number],C369&amp;"",tbl_Finance[Cost Centre],"INTEGRATION")&gt;0,"INTEGRATION ","")&amp;IF(COUNTIFS(tbl_Finance[Job Number],C369&amp;"",tbl_Finance[Cost Centre],"CONSULTING")&gt;0,"CONSULTING ","")&amp;IF(COUNTIFS(tbl_Finance[Job Number],C369&amp;"",tbl_Finance[Cost Centre],"CTS")&gt;0,"CTS ",""))," ",", ")))</f>
        <v/>
      </c>
      <c r="L369" s="24" t="n"/>
      <c r="M369" s="24" t="n"/>
      <c r="N369" s="25">
        <f>IF(M369="","",HYPERLINK(IF(LEFT(M369,4)="http",M369,set_QwilrBase&amp;M369),"Open quote"))</f>
        <v/>
      </c>
      <c r="O369" s="64" t="n"/>
      <c r="P369" s="24" t="n"/>
      <c r="Q369" s="24" t="n"/>
    </row>
    <row r="370" ht="15" customHeight="1">
      <c r="A370" s="63">
        <f>IF(C370="","",IFERROR(IF(SUMPRODUCT(MAX((tbl_Finance[Job Number]=C370&amp;"")*(tbl_Finance[Xero Invoice No]&lt;&gt;"")*tbl_Finance[Date]))=0,"",SUMPRODUCT(MAX((tbl_Finance[Job Number]=C370&amp;"")*(tbl_Finance[Xero Invoice No]&lt;&gt;"")*tbl_Finance[Date]))),""))</f>
        <v/>
      </c>
      <c r="B370" s="25">
        <f>IF(C370="","",IF(COUNTIFS(tbl_Finance[Job Number],C370&amp;"",tbl_Finance[Xero Invoice No],"&lt;&gt;")=0,"",IFERROR(IF(COUNTIFS(tbl_Finance[Job Number],C370&amp;"",tbl_Finance[Xero Invoice No],LOOKUP(2,1/((tbl_Finance[Job Number]=C370&amp;"")*(tbl_Finance[Xero Invoice No]&lt;&gt;"")),tbl_Finance[Xero Invoice No]))=COUNTIFS(tbl_Finance[Job Number],C370&amp;"",tbl_Finance[Xero Invoice No],"&lt;&gt;"),LOOKUP(2,1/((tbl_Finance[Job Number]=C370&amp;"")*(tbl_Finance[Xero Invoice No]&lt;&gt;"")),tbl_Finance[Xero Invoice No]),LOOKUP(2,1/((tbl_Finance[Job Number]=C370&amp;"")*(tbl_Finance[Xero Invoice No]&lt;&gt;"")),tbl_Finance[Xero Invoice No])&amp;" +more"),"")))</f>
        <v/>
      </c>
      <c r="C370" s="24" t="n"/>
      <c r="D370" s="25">
        <f>IF(C370="","",IF(COUNTIF(lst_Jobs,C370&amp;"")&gt;0,"OK","CHECK"))</f>
        <v/>
      </c>
      <c r="E370" s="25">
        <f>IF(C370="","",IFERROR(INDEX(lst_JobName,MATCH(C370&amp;"",lst_Jobs,0)),""))</f>
        <v/>
      </c>
      <c r="F370" s="25">
        <f>IF(C370="","",IFERROR(INDEX(tbl_Finance[Client],MATCH(C370&amp;"",tbl_Finance[Job Number],0)),""))</f>
        <v/>
      </c>
      <c r="G370" s="28">
        <f>IF(C370="","",COUNTIFS(tbl_Finance[Job Number],C370&amp;"",tbl_Finance[Ex GST],"&lt;&gt;"))</f>
        <v/>
      </c>
      <c r="H370" s="27">
        <f>IF(C370="","",SUMIFS(tbl_Finance[Ex GST],tbl_Finance[Job Number],C370&amp;""))</f>
        <v/>
      </c>
      <c r="I370" s="27">
        <f>IF(C370="","",SUMIFS(tbl_Finance[Ex GST],tbl_Finance[Job Number],C370&amp;"",tbl_Finance[Xero Invoice No],"&lt;&gt;"))</f>
        <v/>
      </c>
      <c r="J370" s="27">
        <f>IF(C370="","",H370-I370)</f>
        <v/>
      </c>
      <c r="K370" s="25">
        <f>IF(C370="","",IF(G370=0,"not invoiced yet",SUBSTITUTE(TRIM(IF(COUNTIFS(tbl_Finance[Job Number],C370&amp;"",tbl_Finance[Cost Centre],"ONSITE")&gt;0,"ONSITE ","")&amp;IF(COUNTIFS(tbl_Finance[Job Number],C370&amp;"",tbl_Finance[Cost Centre],"PRODUCTION")&gt;0,"PRODUCTION ","")&amp;IF(COUNTIFS(tbl_Finance[Job Number],C370&amp;"",tbl_Finance[Cost Centre],"VIDEO")&gt;0,"VIDEO ","")&amp;IF(COUNTIFS(tbl_Finance[Job Number],C370&amp;"",tbl_Finance[Cost Centre],"INTEGRATION")&gt;0,"INTEGRATION ","")&amp;IF(COUNTIFS(tbl_Finance[Job Number],C370&amp;"",tbl_Finance[Cost Centre],"CONSULTING")&gt;0,"CONSULTING ","")&amp;IF(COUNTIFS(tbl_Finance[Job Number],C370&amp;"",tbl_Finance[Cost Centre],"CTS")&gt;0,"CTS ",""))," ",", ")))</f>
        <v/>
      </c>
      <c r="L370" s="24" t="n"/>
      <c r="M370" s="24" t="n"/>
      <c r="N370" s="25">
        <f>IF(M370="","",HYPERLINK(IF(LEFT(M370,4)="http",M370,set_QwilrBase&amp;M370),"Open quote"))</f>
        <v/>
      </c>
      <c r="O370" s="64" t="n"/>
      <c r="P370" s="24" t="n"/>
      <c r="Q370" s="24" t="n"/>
    </row>
    <row r="371" ht="15" customHeight="1">
      <c r="A371" s="63">
        <f>IF(C371="","",IFERROR(IF(SUMPRODUCT(MAX((tbl_Finance[Job Number]=C371&amp;"")*(tbl_Finance[Xero Invoice No]&lt;&gt;"")*tbl_Finance[Date]))=0,"",SUMPRODUCT(MAX((tbl_Finance[Job Number]=C371&amp;"")*(tbl_Finance[Xero Invoice No]&lt;&gt;"")*tbl_Finance[Date]))),""))</f>
        <v/>
      </c>
      <c r="B371" s="25">
        <f>IF(C371="","",IF(COUNTIFS(tbl_Finance[Job Number],C371&amp;"",tbl_Finance[Xero Invoice No],"&lt;&gt;")=0,"",IFERROR(IF(COUNTIFS(tbl_Finance[Job Number],C371&amp;"",tbl_Finance[Xero Invoice No],LOOKUP(2,1/((tbl_Finance[Job Number]=C371&amp;"")*(tbl_Finance[Xero Invoice No]&lt;&gt;"")),tbl_Finance[Xero Invoice No]))=COUNTIFS(tbl_Finance[Job Number],C371&amp;"",tbl_Finance[Xero Invoice No],"&lt;&gt;"),LOOKUP(2,1/((tbl_Finance[Job Number]=C371&amp;"")*(tbl_Finance[Xero Invoice No]&lt;&gt;"")),tbl_Finance[Xero Invoice No]),LOOKUP(2,1/((tbl_Finance[Job Number]=C371&amp;"")*(tbl_Finance[Xero Invoice No]&lt;&gt;"")),tbl_Finance[Xero Invoice No])&amp;" +more"),"")))</f>
        <v/>
      </c>
      <c r="C371" s="24" t="n"/>
      <c r="D371" s="25">
        <f>IF(C371="","",IF(COUNTIF(lst_Jobs,C371&amp;"")&gt;0,"OK","CHECK"))</f>
        <v/>
      </c>
      <c r="E371" s="25">
        <f>IF(C371="","",IFERROR(INDEX(lst_JobName,MATCH(C371&amp;"",lst_Jobs,0)),""))</f>
        <v/>
      </c>
      <c r="F371" s="25">
        <f>IF(C371="","",IFERROR(INDEX(tbl_Finance[Client],MATCH(C371&amp;"",tbl_Finance[Job Number],0)),""))</f>
        <v/>
      </c>
      <c r="G371" s="28">
        <f>IF(C371="","",COUNTIFS(tbl_Finance[Job Number],C371&amp;"",tbl_Finance[Ex GST],"&lt;&gt;"))</f>
        <v/>
      </c>
      <c r="H371" s="27">
        <f>IF(C371="","",SUMIFS(tbl_Finance[Ex GST],tbl_Finance[Job Number],C371&amp;""))</f>
        <v/>
      </c>
      <c r="I371" s="27">
        <f>IF(C371="","",SUMIFS(tbl_Finance[Ex GST],tbl_Finance[Job Number],C371&amp;"",tbl_Finance[Xero Invoice No],"&lt;&gt;"))</f>
        <v/>
      </c>
      <c r="J371" s="27">
        <f>IF(C371="","",H371-I371)</f>
        <v/>
      </c>
      <c r="K371" s="25">
        <f>IF(C371="","",IF(G371=0,"not invoiced yet",SUBSTITUTE(TRIM(IF(COUNTIFS(tbl_Finance[Job Number],C371&amp;"",tbl_Finance[Cost Centre],"ONSITE")&gt;0,"ONSITE ","")&amp;IF(COUNTIFS(tbl_Finance[Job Number],C371&amp;"",tbl_Finance[Cost Centre],"PRODUCTION")&gt;0,"PRODUCTION ","")&amp;IF(COUNTIFS(tbl_Finance[Job Number],C371&amp;"",tbl_Finance[Cost Centre],"VIDEO")&gt;0,"VIDEO ","")&amp;IF(COUNTIFS(tbl_Finance[Job Number],C371&amp;"",tbl_Finance[Cost Centre],"INTEGRATION")&gt;0,"INTEGRATION ","")&amp;IF(COUNTIFS(tbl_Finance[Job Number],C371&amp;"",tbl_Finance[Cost Centre],"CONSULTING")&gt;0,"CONSULTING ","")&amp;IF(COUNTIFS(tbl_Finance[Job Number],C371&amp;"",tbl_Finance[Cost Centre],"CTS")&gt;0,"CTS ",""))," ",", ")))</f>
        <v/>
      </c>
      <c r="L371" s="24" t="n"/>
      <c r="M371" s="24" t="n"/>
      <c r="N371" s="25">
        <f>IF(M371="","",HYPERLINK(IF(LEFT(M371,4)="http",M371,set_QwilrBase&amp;M371),"Open quote"))</f>
        <v/>
      </c>
      <c r="O371" s="64" t="n"/>
      <c r="P371" s="24" t="n"/>
      <c r="Q371" s="24" t="n"/>
    </row>
    <row r="372" ht="15" customHeight="1">
      <c r="A372" s="63">
        <f>IF(C372="","",IFERROR(IF(SUMPRODUCT(MAX((tbl_Finance[Job Number]=C372&amp;"")*(tbl_Finance[Xero Invoice No]&lt;&gt;"")*tbl_Finance[Date]))=0,"",SUMPRODUCT(MAX((tbl_Finance[Job Number]=C372&amp;"")*(tbl_Finance[Xero Invoice No]&lt;&gt;"")*tbl_Finance[Date]))),""))</f>
        <v/>
      </c>
      <c r="B372" s="25">
        <f>IF(C372="","",IF(COUNTIFS(tbl_Finance[Job Number],C372&amp;"",tbl_Finance[Xero Invoice No],"&lt;&gt;")=0,"",IFERROR(IF(COUNTIFS(tbl_Finance[Job Number],C372&amp;"",tbl_Finance[Xero Invoice No],LOOKUP(2,1/((tbl_Finance[Job Number]=C372&amp;"")*(tbl_Finance[Xero Invoice No]&lt;&gt;"")),tbl_Finance[Xero Invoice No]))=COUNTIFS(tbl_Finance[Job Number],C372&amp;"",tbl_Finance[Xero Invoice No],"&lt;&gt;"),LOOKUP(2,1/((tbl_Finance[Job Number]=C372&amp;"")*(tbl_Finance[Xero Invoice No]&lt;&gt;"")),tbl_Finance[Xero Invoice No]),LOOKUP(2,1/((tbl_Finance[Job Number]=C372&amp;"")*(tbl_Finance[Xero Invoice No]&lt;&gt;"")),tbl_Finance[Xero Invoice No])&amp;" +more"),"")))</f>
        <v/>
      </c>
      <c r="C372" s="24" t="n"/>
      <c r="D372" s="25">
        <f>IF(C372="","",IF(COUNTIF(lst_Jobs,C372&amp;"")&gt;0,"OK","CHECK"))</f>
        <v/>
      </c>
      <c r="E372" s="25">
        <f>IF(C372="","",IFERROR(INDEX(lst_JobName,MATCH(C372&amp;"",lst_Jobs,0)),""))</f>
        <v/>
      </c>
      <c r="F372" s="25">
        <f>IF(C372="","",IFERROR(INDEX(tbl_Finance[Client],MATCH(C372&amp;"",tbl_Finance[Job Number],0)),""))</f>
        <v/>
      </c>
      <c r="G372" s="28">
        <f>IF(C372="","",COUNTIFS(tbl_Finance[Job Number],C372&amp;"",tbl_Finance[Ex GST],"&lt;&gt;"))</f>
        <v/>
      </c>
      <c r="H372" s="27">
        <f>IF(C372="","",SUMIFS(tbl_Finance[Ex GST],tbl_Finance[Job Number],C372&amp;""))</f>
        <v/>
      </c>
      <c r="I372" s="27">
        <f>IF(C372="","",SUMIFS(tbl_Finance[Ex GST],tbl_Finance[Job Number],C372&amp;"",tbl_Finance[Xero Invoice No],"&lt;&gt;"))</f>
        <v/>
      </c>
      <c r="J372" s="27">
        <f>IF(C372="","",H372-I372)</f>
        <v/>
      </c>
      <c r="K372" s="25">
        <f>IF(C372="","",IF(G372=0,"not invoiced yet",SUBSTITUTE(TRIM(IF(COUNTIFS(tbl_Finance[Job Number],C372&amp;"",tbl_Finance[Cost Centre],"ONSITE")&gt;0,"ONSITE ","")&amp;IF(COUNTIFS(tbl_Finance[Job Number],C372&amp;"",tbl_Finance[Cost Centre],"PRODUCTION")&gt;0,"PRODUCTION ","")&amp;IF(COUNTIFS(tbl_Finance[Job Number],C372&amp;"",tbl_Finance[Cost Centre],"VIDEO")&gt;0,"VIDEO ","")&amp;IF(COUNTIFS(tbl_Finance[Job Number],C372&amp;"",tbl_Finance[Cost Centre],"INTEGRATION")&gt;0,"INTEGRATION ","")&amp;IF(COUNTIFS(tbl_Finance[Job Number],C372&amp;"",tbl_Finance[Cost Centre],"CONSULTING")&gt;0,"CONSULTING ","")&amp;IF(COUNTIFS(tbl_Finance[Job Number],C372&amp;"",tbl_Finance[Cost Centre],"CTS")&gt;0,"CTS ",""))," ",", ")))</f>
        <v/>
      </c>
      <c r="L372" s="24" t="n"/>
      <c r="M372" s="24" t="n"/>
      <c r="N372" s="25">
        <f>IF(M372="","",HYPERLINK(IF(LEFT(M372,4)="http",M372,set_QwilrBase&amp;M372),"Open quote"))</f>
        <v/>
      </c>
      <c r="O372" s="64" t="n"/>
      <c r="P372" s="24" t="n"/>
      <c r="Q372" s="24" t="n"/>
    </row>
    <row r="373" ht="15" customHeight="1">
      <c r="A373" s="63">
        <f>IF(C373="","",IFERROR(IF(SUMPRODUCT(MAX((tbl_Finance[Job Number]=C373&amp;"")*(tbl_Finance[Xero Invoice No]&lt;&gt;"")*tbl_Finance[Date]))=0,"",SUMPRODUCT(MAX((tbl_Finance[Job Number]=C373&amp;"")*(tbl_Finance[Xero Invoice No]&lt;&gt;"")*tbl_Finance[Date]))),""))</f>
        <v/>
      </c>
      <c r="B373" s="25">
        <f>IF(C373="","",IF(COUNTIFS(tbl_Finance[Job Number],C373&amp;"",tbl_Finance[Xero Invoice No],"&lt;&gt;")=0,"",IFERROR(IF(COUNTIFS(tbl_Finance[Job Number],C373&amp;"",tbl_Finance[Xero Invoice No],LOOKUP(2,1/((tbl_Finance[Job Number]=C373&amp;"")*(tbl_Finance[Xero Invoice No]&lt;&gt;"")),tbl_Finance[Xero Invoice No]))=COUNTIFS(tbl_Finance[Job Number],C373&amp;"",tbl_Finance[Xero Invoice No],"&lt;&gt;"),LOOKUP(2,1/((tbl_Finance[Job Number]=C373&amp;"")*(tbl_Finance[Xero Invoice No]&lt;&gt;"")),tbl_Finance[Xero Invoice No]),LOOKUP(2,1/((tbl_Finance[Job Number]=C373&amp;"")*(tbl_Finance[Xero Invoice No]&lt;&gt;"")),tbl_Finance[Xero Invoice No])&amp;" +more"),"")))</f>
        <v/>
      </c>
      <c r="C373" s="24" t="n"/>
      <c r="D373" s="25">
        <f>IF(C373="","",IF(COUNTIF(lst_Jobs,C373&amp;"")&gt;0,"OK","CHECK"))</f>
        <v/>
      </c>
      <c r="E373" s="25">
        <f>IF(C373="","",IFERROR(INDEX(lst_JobName,MATCH(C373&amp;"",lst_Jobs,0)),""))</f>
        <v/>
      </c>
      <c r="F373" s="25">
        <f>IF(C373="","",IFERROR(INDEX(tbl_Finance[Client],MATCH(C373&amp;"",tbl_Finance[Job Number],0)),""))</f>
        <v/>
      </c>
      <c r="G373" s="28">
        <f>IF(C373="","",COUNTIFS(tbl_Finance[Job Number],C373&amp;"",tbl_Finance[Ex GST],"&lt;&gt;"))</f>
        <v/>
      </c>
      <c r="H373" s="27">
        <f>IF(C373="","",SUMIFS(tbl_Finance[Ex GST],tbl_Finance[Job Number],C373&amp;""))</f>
        <v/>
      </c>
      <c r="I373" s="27">
        <f>IF(C373="","",SUMIFS(tbl_Finance[Ex GST],tbl_Finance[Job Number],C373&amp;"",tbl_Finance[Xero Invoice No],"&lt;&gt;"))</f>
        <v/>
      </c>
      <c r="J373" s="27">
        <f>IF(C373="","",H373-I373)</f>
        <v/>
      </c>
      <c r="K373" s="25">
        <f>IF(C373="","",IF(G373=0,"not invoiced yet",SUBSTITUTE(TRIM(IF(COUNTIFS(tbl_Finance[Job Number],C373&amp;"",tbl_Finance[Cost Centre],"ONSITE")&gt;0,"ONSITE ","")&amp;IF(COUNTIFS(tbl_Finance[Job Number],C373&amp;"",tbl_Finance[Cost Centre],"PRODUCTION")&gt;0,"PRODUCTION ","")&amp;IF(COUNTIFS(tbl_Finance[Job Number],C373&amp;"",tbl_Finance[Cost Centre],"VIDEO")&gt;0,"VIDEO ","")&amp;IF(COUNTIFS(tbl_Finance[Job Number],C373&amp;"",tbl_Finance[Cost Centre],"INTEGRATION")&gt;0,"INTEGRATION ","")&amp;IF(COUNTIFS(tbl_Finance[Job Number],C373&amp;"",tbl_Finance[Cost Centre],"CONSULTING")&gt;0,"CONSULTING ","")&amp;IF(COUNTIFS(tbl_Finance[Job Number],C373&amp;"",tbl_Finance[Cost Centre],"CTS")&gt;0,"CTS ",""))," ",", ")))</f>
        <v/>
      </c>
      <c r="L373" s="24" t="n"/>
      <c r="M373" s="24" t="n"/>
      <c r="N373" s="25">
        <f>IF(M373="","",HYPERLINK(IF(LEFT(M373,4)="http",M373,set_QwilrBase&amp;M373),"Open quote"))</f>
        <v/>
      </c>
      <c r="O373" s="64" t="n"/>
      <c r="P373" s="24" t="n"/>
      <c r="Q373" s="24" t="n"/>
    </row>
    <row r="374" ht="15" customHeight="1">
      <c r="A374" s="63">
        <f>IF(C374="","",IFERROR(IF(SUMPRODUCT(MAX((tbl_Finance[Job Number]=C374&amp;"")*(tbl_Finance[Xero Invoice No]&lt;&gt;"")*tbl_Finance[Date]))=0,"",SUMPRODUCT(MAX((tbl_Finance[Job Number]=C374&amp;"")*(tbl_Finance[Xero Invoice No]&lt;&gt;"")*tbl_Finance[Date]))),""))</f>
        <v/>
      </c>
      <c r="B374" s="25">
        <f>IF(C374="","",IF(COUNTIFS(tbl_Finance[Job Number],C374&amp;"",tbl_Finance[Xero Invoice No],"&lt;&gt;")=0,"",IFERROR(IF(COUNTIFS(tbl_Finance[Job Number],C374&amp;"",tbl_Finance[Xero Invoice No],LOOKUP(2,1/((tbl_Finance[Job Number]=C374&amp;"")*(tbl_Finance[Xero Invoice No]&lt;&gt;"")),tbl_Finance[Xero Invoice No]))=COUNTIFS(tbl_Finance[Job Number],C374&amp;"",tbl_Finance[Xero Invoice No],"&lt;&gt;"),LOOKUP(2,1/((tbl_Finance[Job Number]=C374&amp;"")*(tbl_Finance[Xero Invoice No]&lt;&gt;"")),tbl_Finance[Xero Invoice No]),LOOKUP(2,1/((tbl_Finance[Job Number]=C374&amp;"")*(tbl_Finance[Xero Invoice No]&lt;&gt;"")),tbl_Finance[Xero Invoice No])&amp;" +more"),"")))</f>
        <v/>
      </c>
      <c r="C374" s="24" t="n"/>
      <c r="D374" s="25">
        <f>IF(C374="","",IF(COUNTIF(lst_Jobs,C374&amp;"")&gt;0,"OK","CHECK"))</f>
        <v/>
      </c>
      <c r="E374" s="25">
        <f>IF(C374="","",IFERROR(INDEX(lst_JobName,MATCH(C374&amp;"",lst_Jobs,0)),""))</f>
        <v/>
      </c>
      <c r="F374" s="25">
        <f>IF(C374="","",IFERROR(INDEX(tbl_Finance[Client],MATCH(C374&amp;"",tbl_Finance[Job Number],0)),""))</f>
        <v/>
      </c>
      <c r="G374" s="28">
        <f>IF(C374="","",COUNTIFS(tbl_Finance[Job Number],C374&amp;"",tbl_Finance[Ex GST],"&lt;&gt;"))</f>
        <v/>
      </c>
      <c r="H374" s="27">
        <f>IF(C374="","",SUMIFS(tbl_Finance[Ex GST],tbl_Finance[Job Number],C374&amp;""))</f>
        <v/>
      </c>
      <c r="I374" s="27">
        <f>IF(C374="","",SUMIFS(tbl_Finance[Ex GST],tbl_Finance[Job Number],C374&amp;"",tbl_Finance[Xero Invoice No],"&lt;&gt;"))</f>
        <v/>
      </c>
      <c r="J374" s="27">
        <f>IF(C374="","",H374-I374)</f>
        <v/>
      </c>
      <c r="K374" s="25">
        <f>IF(C374="","",IF(G374=0,"not invoiced yet",SUBSTITUTE(TRIM(IF(COUNTIFS(tbl_Finance[Job Number],C374&amp;"",tbl_Finance[Cost Centre],"ONSITE")&gt;0,"ONSITE ","")&amp;IF(COUNTIFS(tbl_Finance[Job Number],C374&amp;"",tbl_Finance[Cost Centre],"PRODUCTION")&gt;0,"PRODUCTION ","")&amp;IF(COUNTIFS(tbl_Finance[Job Number],C374&amp;"",tbl_Finance[Cost Centre],"VIDEO")&gt;0,"VIDEO ","")&amp;IF(COUNTIFS(tbl_Finance[Job Number],C374&amp;"",tbl_Finance[Cost Centre],"INTEGRATION")&gt;0,"INTEGRATION ","")&amp;IF(COUNTIFS(tbl_Finance[Job Number],C374&amp;"",tbl_Finance[Cost Centre],"CONSULTING")&gt;0,"CONSULTING ","")&amp;IF(COUNTIFS(tbl_Finance[Job Number],C374&amp;"",tbl_Finance[Cost Centre],"CTS")&gt;0,"CTS ",""))," ",", ")))</f>
        <v/>
      </c>
      <c r="L374" s="24" t="n"/>
      <c r="M374" s="24" t="n"/>
      <c r="N374" s="25">
        <f>IF(M374="","",HYPERLINK(IF(LEFT(M374,4)="http",M374,set_QwilrBase&amp;M374),"Open quote"))</f>
        <v/>
      </c>
      <c r="O374" s="64" t="n"/>
      <c r="P374" s="24" t="n"/>
      <c r="Q374" s="24" t="n"/>
    </row>
    <row r="375" ht="15" customHeight="1">
      <c r="A375" s="63">
        <f>IF(C375="","",IFERROR(IF(SUMPRODUCT(MAX((tbl_Finance[Job Number]=C375&amp;"")*(tbl_Finance[Xero Invoice No]&lt;&gt;"")*tbl_Finance[Date]))=0,"",SUMPRODUCT(MAX((tbl_Finance[Job Number]=C375&amp;"")*(tbl_Finance[Xero Invoice No]&lt;&gt;"")*tbl_Finance[Date]))),""))</f>
        <v/>
      </c>
      <c r="B375" s="25">
        <f>IF(C375="","",IF(COUNTIFS(tbl_Finance[Job Number],C375&amp;"",tbl_Finance[Xero Invoice No],"&lt;&gt;")=0,"",IFERROR(IF(COUNTIFS(tbl_Finance[Job Number],C375&amp;"",tbl_Finance[Xero Invoice No],LOOKUP(2,1/((tbl_Finance[Job Number]=C375&amp;"")*(tbl_Finance[Xero Invoice No]&lt;&gt;"")),tbl_Finance[Xero Invoice No]))=COUNTIFS(tbl_Finance[Job Number],C375&amp;"",tbl_Finance[Xero Invoice No],"&lt;&gt;"),LOOKUP(2,1/((tbl_Finance[Job Number]=C375&amp;"")*(tbl_Finance[Xero Invoice No]&lt;&gt;"")),tbl_Finance[Xero Invoice No]),LOOKUP(2,1/((tbl_Finance[Job Number]=C375&amp;"")*(tbl_Finance[Xero Invoice No]&lt;&gt;"")),tbl_Finance[Xero Invoice No])&amp;" +more"),"")))</f>
        <v/>
      </c>
      <c r="C375" s="24" t="n"/>
      <c r="D375" s="25">
        <f>IF(C375="","",IF(COUNTIF(lst_Jobs,C375&amp;"")&gt;0,"OK","CHECK"))</f>
        <v/>
      </c>
      <c r="E375" s="25">
        <f>IF(C375="","",IFERROR(INDEX(lst_JobName,MATCH(C375&amp;"",lst_Jobs,0)),""))</f>
        <v/>
      </c>
      <c r="F375" s="25">
        <f>IF(C375="","",IFERROR(INDEX(tbl_Finance[Client],MATCH(C375&amp;"",tbl_Finance[Job Number],0)),""))</f>
        <v/>
      </c>
      <c r="G375" s="28">
        <f>IF(C375="","",COUNTIFS(tbl_Finance[Job Number],C375&amp;"",tbl_Finance[Ex GST],"&lt;&gt;"))</f>
        <v/>
      </c>
      <c r="H375" s="27">
        <f>IF(C375="","",SUMIFS(tbl_Finance[Ex GST],tbl_Finance[Job Number],C375&amp;""))</f>
        <v/>
      </c>
      <c r="I375" s="27">
        <f>IF(C375="","",SUMIFS(tbl_Finance[Ex GST],tbl_Finance[Job Number],C375&amp;"",tbl_Finance[Xero Invoice No],"&lt;&gt;"))</f>
        <v/>
      </c>
      <c r="J375" s="27">
        <f>IF(C375="","",H375-I375)</f>
        <v/>
      </c>
      <c r="K375" s="25">
        <f>IF(C375="","",IF(G375=0,"not invoiced yet",SUBSTITUTE(TRIM(IF(COUNTIFS(tbl_Finance[Job Number],C375&amp;"",tbl_Finance[Cost Centre],"ONSITE")&gt;0,"ONSITE ","")&amp;IF(COUNTIFS(tbl_Finance[Job Number],C375&amp;"",tbl_Finance[Cost Centre],"PRODUCTION")&gt;0,"PRODUCTION ","")&amp;IF(COUNTIFS(tbl_Finance[Job Number],C375&amp;"",tbl_Finance[Cost Centre],"VIDEO")&gt;0,"VIDEO ","")&amp;IF(COUNTIFS(tbl_Finance[Job Number],C375&amp;"",tbl_Finance[Cost Centre],"INTEGRATION")&gt;0,"INTEGRATION ","")&amp;IF(COUNTIFS(tbl_Finance[Job Number],C375&amp;"",tbl_Finance[Cost Centre],"CONSULTING")&gt;0,"CONSULTING ","")&amp;IF(COUNTIFS(tbl_Finance[Job Number],C375&amp;"",tbl_Finance[Cost Centre],"CTS")&gt;0,"CTS ",""))," ",", ")))</f>
        <v/>
      </c>
      <c r="L375" s="24" t="n"/>
      <c r="M375" s="24" t="n"/>
      <c r="N375" s="25">
        <f>IF(M375="","",HYPERLINK(IF(LEFT(M375,4)="http",M375,set_QwilrBase&amp;M375),"Open quote"))</f>
        <v/>
      </c>
      <c r="O375" s="64" t="n"/>
      <c r="P375" s="24" t="n"/>
      <c r="Q375" s="24" t="n"/>
    </row>
    <row r="376" ht="15" customHeight="1">
      <c r="A376" s="63">
        <f>IF(C376="","",IFERROR(IF(SUMPRODUCT(MAX((tbl_Finance[Job Number]=C376&amp;"")*(tbl_Finance[Xero Invoice No]&lt;&gt;"")*tbl_Finance[Date]))=0,"",SUMPRODUCT(MAX((tbl_Finance[Job Number]=C376&amp;"")*(tbl_Finance[Xero Invoice No]&lt;&gt;"")*tbl_Finance[Date]))),""))</f>
        <v/>
      </c>
      <c r="B376" s="25">
        <f>IF(C376="","",IF(COUNTIFS(tbl_Finance[Job Number],C376&amp;"",tbl_Finance[Xero Invoice No],"&lt;&gt;")=0,"",IFERROR(IF(COUNTIFS(tbl_Finance[Job Number],C376&amp;"",tbl_Finance[Xero Invoice No],LOOKUP(2,1/((tbl_Finance[Job Number]=C376&amp;"")*(tbl_Finance[Xero Invoice No]&lt;&gt;"")),tbl_Finance[Xero Invoice No]))=COUNTIFS(tbl_Finance[Job Number],C376&amp;"",tbl_Finance[Xero Invoice No],"&lt;&gt;"),LOOKUP(2,1/((tbl_Finance[Job Number]=C376&amp;"")*(tbl_Finance[Xero Invoice No]&lt;&gt;"")),tbl_Finance[Xero Invoice No]),LOOKUP(2,1/((tbl_Finance[Job Number]=C376&amp;"")*(tbl_Finance[Xero Invoice No]&lt;&gt;"")),tbl_Finance[Xero Invoice No])&amp;" +more"),"")))</f>
        <v/>
      </c>
      <c r="C376" s="24" t="n"/>
      <c r="D376" s="25">
        <f>IF(C376="","",IF(COUNTIF(lst_Jobs,C376&amp;"")&gt;0,"OK","CHECK"))</f>
        <v/>
      </c>
      <c r="E376" s="25">
        <f>IF(C376="","",IFERROR(INDEX(lst_JobName,MATCH(C376&amp;"",lst_Jobs,0)),""))</f>
        <v/>
      </c>
      <c r="F376" s="25">
        <f>IF(C376="","",IFERROR(INDEX(tbl_Finance[Client],MATCH(C376&amp;"",tbl_Finance[Job Number],0)),""))</f>
        <v/>
      </c>
      <c r="G376" s="28">
        <f>IF(C376="","",COUNTIFS(tbl_Finance[Job Number],C376&amp;"",tbl_Finance[Ex GST],"&lt;&gt;"))</f>
        <v/>
      </c>
      <c r="H376" s="27">
        <f>IF(C376="","",SUMIFS(tbl_Finance[Ex GST],tbl_Finance[Job Number],C376&amp;""))</f>
        <v/>
      </c>
      <c r="I376" s="27">
        <f>IF(C376="","",SUMIFS(tbl_Finance[Ex GST],tbl_Finance[Job Number],C376&amp;"",tbl_Finance[Xero Invoice No],"&lt;&gt;"))</f>
        <v/>
      </c>
      <c r="J376" s="27">
        <f>IF(C376="","",H376-I376)</f>
        <v/>
      </c>
      <c r="K376" s="25">
        <f>IF(C376="","",IF(G376=0,"not invoiced yet",SUBSTITUTE(TRIM(IF(COUNTIFS(tbl_Finance[Job Number],C376&amp;"",tbl_Finance[Cost Centre],"ONSITE")&gt;0,"ONSITE ","")&amp;IF(COUNTIFS(tbl_Finance[Job Number],C376&amp;"",tbl_Finance[Cost Centre],"PRODUCTION")&gt;0,"PRODUCTION ","")&amp;IF(COUNTIFS(tbl_Finance[Job Number],C376&amp;"",tbl_Finance[Cost Centre],"VIDEO")&gt;0,"VIDEO ","")&amp;IF(COUNTIFS(tbl_Finance[Job Number],C376&amp;"",tbl_Finance[Cost Centre],"INTEGRATION")&gt;0,"INTEGRATION ","")&amp;IF(COUNTIFS(tbl_Finance[Job Number],C376&amp;"",tbl_Finance[Cost Centre],"CONSULTING")&gt;0,"CONSULTING ","")&amp;IF(COUNTIFS(tbl_Finance[Job Number],C376&amp;"",tbl_Finance[Cost Centre],"CTS")&gt;0,"CTS ",""))," ",", ")))</f>
        <v/>
      </c>
      <c r="L376" s="24" t="n"/>
      <c r="M376" s="24" t="n"/>
      <c r="N376" s="25">
        <f>IF(M376="","",HYPERLINK(IF(LEFT(M376,4)="http",M376,set_QwilrBase&amp;M376),"Open quote"))</f>
        <v/>
      </c>
      <c r="O376" s="64" t="n"/>
      <c r="P376" s="24" t="n"/>
      <c r="Q376" s="24" t="n"/>
    </row>
    <row r="377" ht="15" customHeight="1">
      <c r="A377" s="63">
        <f>IF(C377="","",IFERROR(IF(SUMPRODUCT(MAX((tbl_Finance[Job Number]=C377&amp;"")*(tbl_Finance[Xero Invoice No]&lt;&gt;"")*tbl_Finance[Date]))=0,"",SUMPRODUCT(MAX((tbl_Finance[Job Number]=C377&amp;"")*(tbl_Finance[Xero Invoice No]&lt;&gt;"")*tbl_Finance[Date]))),""))</f>
        <v/>
      </c>
      <c r="B377" s="25">
        <f>IF(C377="","",IF(COUNTIFS(tbl_Finance[Job Number],C377&amp;"",tbl_Finance[Xero Invoice No],"&lt;&gt;")=0,"",IFERROR(IF(COUNTIFS(tbl_Finance[Job Number],C377&amp;"",tbl_Finance[Xero Invoice No],LOOKUP(2,1/((tbl_Finance[Job Number]=C377&amp;"")*(tbl_Finance[Xero Invoice No]&lt;&gt;"")),tbl_Finance[Xero Invoice No]))=COUNTIFS(tbl_Finance[Job Number],C377&amp;"",tbl_Finance[Xero Invoice No],"&lt;&gt;"),LOOKUP(2,1/((tbl_Finance[Job Number]=C377&amp;"")*(tbl_Finance[Xero Invoice No]&lt;&gt;"")),tbl_Finance[Xero Invoice No]),LOOKUP(2,1/((tbl_Finance[Job Number]=C377&amp;"")*(tbl_Finance[Xero Invoice No]&lt;&gt;"")),tbl_Finance[Xero Invoice No])&amp;" +more"),"")))</f>
        <v/>
      </c>
      <c r="C377" s="24" t="n"/>
      <c r="D377" s="25">
        <f>IF(C377="","",IF(COUNTIF(lst_Jobs,C377&amp;"")&gt;0,"OK","CHECK"))</f>
        <v/>
      </c>
      <c r="E377" s="25">
        <f>IF(C377="","",IFERROR(INDEX(lst_JobName,MATCH(C377&amp;"",lst_Jobs,0)),""))</f>
        <v/>
      </c>
      <c r="F377" s="25">
        <f>IF(C377="","",IFERROR(INDEX(tbl_Finance[Client],MATCH(C377&amp;"",tbl_Finance[Job Number],0)),""))</f>
        <v/>
      </c>
      <c r="G377" s="28">
        <f>IF(C377="","",COUNTIFS(tbl_Finance[Job Number],C377&amp;"",tbl_Finance[Ex GST],"&lt;&gt;"))</f>
        <v/>
      </c>
      <c r="H377" s="27">
        <f>IF(C377="","",SUMIFS(tbl_Finance[Ex GST],tbl_Finance[Job Number],C377&amp;""))</f>
        <v/>
      </c>
      <c r="I377" s="27">
        <f>IF(C377="","",SUMIFS(tbl_Finance[Ex GST],tbl_Finance[Job Number],C377&amp;"",tbl_Finance[Xero Invoice No],"&lt;&gt;"))</f>
        <v/>
      </c>
      <c r="J377" s="27">
        <f>IF(C377="","",H377-I377)</f>
        <v/>
      </c>
      <c r="K377" s="25">
        <f>IF(C377="","",IF(G377=0,"not invoiced yet",SUBSTITUTE(TRIM(IF(COUNTIFS(tbl_Finance[Job Number],C377&amp;"",tbl_Finance[Cost Centre],"ONSITE")&gt;0,"ONSITE ","")&amp;IF(COUNTIFS(tbl_Finance[Job Number],C377&amp;"",tbl_Finance[Cost Centre],"PRODUCTION")&gt;0,"PRODUCTION ","")&amp;IF(COUNTIFS(tbl_Finance[Job Number],C377&amp;"",tbl_Finance[Cost Centre],"VIDEO")&gt;0,"VIDEO ","")&amp;IF(COUNTIFS(tbl_Finance[Job Number],C377&amp;"",tbl_Finance[Cost Centre],"INTEGRATION")&gt;0,"INTEGRATION ","")&amp;IF(COUNTIFS(tbl_Finance[Job Number],C377&amp;"",tbl_Finance[Cost Centre],"CONSULTING")&gt;0,"CONSULTING ","")&amp;IF(COUNTIFS(tbl_Finance[Job Number],C377&amp;"",tbl_Finance[Cost Centre],"CTS")&gt;0,"CTS ",""))," ",", ")))</f>
        <v/>
      </c>
      <c r="L377" s="24" t="n"/>
      <c r="M377" s="24" t="n"/>
      <c r="N377" s="25">
        <f>IF(M377="","",HYPERLINK(IF(LEFT(M377,4)="http",M377,set_QwilrBase&amp;M377),"Open quote"))</f>
        <v/>
      </c>
      <c r="O377" s="64" t="n"/>
      <c r="P377" s="24" t="n"/>
      <c r="Q377" s="24" t="n"/>
    </row>
    <row r="378" ht="15" customHeight="1">
      <c r="A378" s="63">
        <f>IF(C378="","",IFERROR(IF(SUMPRODUCT(MAX((tbl_Finance[Job Number]=C378&amp;"")*(tbl_Finance[Xero Invoice No]&lt;&gt;"")*tbl_Finance[Date]))=0,"",SUMPRODUCT(MAX((tbl_Finance[Job Number]=C378&amp;"")*(tbl_Finance[Xero Invoice No]&lt;&gt;"")*tbl_Finance[Date]))),""))</f>
        <v/>
      </c>
      <c r="B378" s="25">
        <f>IF(C378="","",IF(COUNTIFS(tbl_Finance[Job Number],C378&amp;"",tbl_Finance[Xero Invoice No],"&lt;&gt;")=0,"",IFERROR(IF(COUNTIFS(tbl_Finance[Job Number],C378&amp;"",tbl_Finance[Xero Invoice No],LOOKUP(2,1/((tbl_Finance[Job Number]=C378&amp;"")*(tbl_Finance[Xero Invoice No]&lt;&gt;"")),tbl_Finance[Xero Invoice No]))=COUNTIFS(tbl_Finance[Job Number],C378&amp;"",tbl_Finance[Xero Invoice No],"&lt;&gt;"),LOOKUP(2,1/((tbl_Finance[Job Number]=C378&amp;"")*(tbl_Finance[Xero Invoice No]&lt;&gt;"")),tbl_Finance[Xero Invoice No]),LOOKUP(2,1/((tbl_Finance[Job Number]=C378&amp;"")*(tbl_Finance[Xero Invoice No]&lt;&gt;"")),tbl_Finance[Xero Invoice No])&amp;" +more"),"")))</f>
        <v/>
      </c>
      <c r="C378" s="24" t="n"/>
      <c r="D378" s="25">
        <f>IF(C378="","",IF(COUNTIF(lst_Jobs,C378&amp;"")&gt;0,"OK","CHECK"))</f>
        <v/>
      </c>
      <c r="E378" s="25">
        <f>IF(C378="","",IFERROR(INDEX(lst_JobName,MATCH(C378&amp;"",lst_Jobs,0)),""))</f>
        <v/>
      </c>
      <c r="F378" s="25">
        <f>IF(C378="","",IFERROR(INDEX(tbl_Finance[Client],MATCH(C378&amp;"",tbl_Finance[Job Number],0)),""))</f>
        <v/>
      </c>
      <c r="G378" s="28">
        <f>IF(C378="","",COUNTIFS(tbl_Finance[Job Number],C378&amp;"",tbl_Finance[Ex GST],"&lt;&gt;"))</f>
        <v/>
      </c>
      <c r="H378" s="27">
        <f>IF(C378="","",SUMIFS(tbl_Finance[Ex GST],tbl_Finance[Job Number],C378&amp;""))</f>
        <v/>
      </c>
      <c r="I378" s="27">
        <f>IF(C378="","",SUMIFS(tbl_Finance[Ex GST],tbl_Finance[Job Number],C378&amp;"",tbl_Finance[Xero Invoice No],"&lt;&gt;"))</f>
        <v/>
      </c>
      <c r="J378" s="27">
        <f>IF(C378="","",H378-I378)</f>
        <v/>
      </c>
      <c r="K378" s="25">
        <f>IF(C378="","",IF(G378=0,"not invoiced yet",SUBSTITUTE(TRIM(IF(COUNTIFS(tbl_Finance[Job Number],C378&amp;"",tbl_Finance[Cost Centre],"ONSITE")&gt;0,"ONSITE ","")&amp;IF(COUNTIFS(tbl_Finance[Job Number],C378&amp;"",tbl_Finance[Cost Centre],"PRODUCTION")&gt;0,"PRODUCTION ","")&amp;IF(COUNTIFS(tbl_Finance[Job Number],C378&amp;"",tbl_Finance[Cost Centre],"VIDEO")&gt;0,"VIDEO ","")&amp;IF(COUNTIFS(tbl_Finance[Job Number],C378&amp;"",tbl_Finance[Cost Centre],"INTEGRATION")&gt;0,"INTEGRATION ","")&amp;IF(COUNTIFS(tbl_Finance[Job Number],C378&amp;"",tbl_Finance[Cost Centre],"CONSULTING")&gt;0,"CONSULTING ","")&amp;IF(COUNTIFS(tbl_Finance[Job Number],C378&amp;"",tbl_Finance[Cost Centre],"CTS")&gt;0,"CTS ",""))," ",", ")))</f>
        <v/>
      </c>
      <c r="L378" s="24" t="n"/>
      <c r="M378" s="24" t="n"/>
      <c r="N378" s="25">
        <f>IF(M378="","",HYPERLINK(IF(LEFT(M378,4)="http",M378,set_QwilrBase&amp;M378),"Open quote"))</f>
        <v/>
      </c>
      <c r="O378" s="64" t="n"/>
      <c r="P378" s="24" t="n"/>
      <c r="Q378" s="24" t="n"/>
    </row>
    <row r="379" ht="15" customHeight="1">
      <c r="A379" s="63">
        <f>IF(C379="","",IFERROR(IF(SUMPRODUCT(MAX((tbl_Finance[Job Number]=C379&amp;"")*(tbl_Finance[Xero Invoice No]&lt;&gt;"")*tbl_Finance[Date]))=0,"",SUMPRODUCT(MAX((tbl_Finance[Job Number]=C379&amp;"")*(tbl_Finance[Xero Invoice No]&lt;&gt;"")*tbl_Finance[Date]))),""))</f>
        <v/>
      </c>
      <c r="B379" s="25">
        <f>IF(C379="","",IF(COUNTIFS(tbl_Finance[Job Number],C379&amp;"",tbl_Finance[Xero Invoice No],"&lt;&gt;")=0,"",IFERROR(IF(COUNTIFS(tbl_Finance[Job Number],C379&amp;"",tbl_Finance[Xero Invoice No],LOOKUP(2,1/((tbl_Finance[Job Number]=C379&amp;"")*(tbl_Finance[Xero Invoice No]&lt;&gt;"")),tbl_Finance[Xero Invoice No]))=COUNTIFS(tbl_Finance[Job Number],C379&amp;"",tbl_Finance[Xero Invoice No],"&lt;&gt;"),LOOKUP(2,1/((tbl_Finance[Job Number]=C379&amp;"")*(tbl_Finance[Xero Invoice No]&lt;&gt;"")),tbl_Finance[Xero Invoice No]),LOOKUP(2,1/((tbl_Finance[Job Number]=C379&amp;"")*(tbl_Finance[Xero Invoice No]&lt;&gt;"")),tbl_Finance[Xero Invoice No])&amp;" +more"),"")))</f>
        <v/>
      </c>
      <c r="C379" s="24" t="n"/>
      <c r="D379" s="25">
        <f>IF(C379="","",IF(COUNTIF(lst_Jobs,C379&amp;"")&gt;0,"OK","CHECK"))</f>
        <v/>
      </c>
      <c r="E379" s="25">
        <f>IF(C379="","",IFERROR(INDEX(lst_JobName,MATCH(C379&amp;"",lst_Jobs,0)),""))</f>
        <v/>
      </c>
      <c r="F379" s="25">
        <f>IF(C379="","",IFERROR(INDEX(tbl_Finance[Client],MATCH(C379&amp;"",tbl_Finance[Job Number],0)),""))</f>
        <v/>
      </c>
      <c r="G379" s="28">
        <f>IF(C379="","",COUNTIFS(tbl_Finance[Job Number],C379&amp;"",tbl_Finance[Ex GST],"&lt;&gt;"))</f>
        <v/>
      </c>
      <c r="H379" s="27">
        <f>IF(C379="","",SUMIFS(tbl_Finance[Ex GST],tbl_Finance[Job Number],C379&amp;""))</f>
        <v/>
      </c>
      <c r="I379" s="27">
        <f>IF(C379="","",SUMIFS(tbl_Finance[Ex GST],tbl_Finance[Job Number],C379&amp;"",tbl_Finance[Xero Invoice No],"&lt;&gt;"))</f>
        <v/>
      </c>
      <c r="J379" s="27">
        <f>IF(C379="","",H379-I379)</f>
        <v/>
      </c>
      <c r="K379" s="25">
        <f>IF(C379="","",IF(G379=0,"not invoiced yet",SUBSTITUTE(TRIM(IF(COUNTIFS(tbl_Finance[Job Number],C379&amp;"",tbl_Finance[Cost Centre],"ONSITE")&gt;0,"ONSITE ","")&amp;IF(COUNTIFS(tbl_Finance[Job Number],C379&amp;"",tbl_Finance[Cost Centre],"PRODUCTION")&gt;0,"PRODUCTION ","")&amp;IF(COUNTIFS(tbl_Finance[Job Number],C379&amp;"",tbl_Finance[Cost Centre],"VIDEO")&gt;0,"VIDEO ","")&amp;IF(COUNTIFS(tbl_Finance[Job Number],C379&amp;"",tbl_Finance[Cost Centre],"INTEGRATION")&gt;0,"INTEGRATION ","")&amp;IF(COUNTIFS(tbl_Finance[Job Number],C379&amp;"",tbl_Finance[Cost Centre],"CONSULTING")&gt;0,"CONSULTING ","")&amp;IF(COUNTIFS(tbl_Finance[Job Number],C379&amp;"",tbl_Finance[Cost Centre],"CTS")&gt;0,"CTS ",""))," ",", ")))</f>
        <v/>
      </c>
      <c r="L379" s="24" t="n"/>
      <c r="M379" s="24" t="n"/>
      <c r="N379" s="25">
        <f>IF(M379="","",HYPERLINK(IF(LEFT(M379,4)="http",M379,set_QwilrBase&amp;M379),"Open quote"))</f>
        <v/>
      </c>
      <c r="O379" s="64" t="n"/>
      <c r="P379" s="24" t="n"/>
      <c r="Q379" s="24" t="n"/>
    </row>
    <row r="380" ht="15" customHeight="1">
      <c r="A380" s="63">
        <f>IF(C380="","",IFERROR(IF(SUMPRODUCT(MAX((tbl_Finance[Job Number]=C380&amp;"")*(tbl_Finance[Xero Invoice No]&lt;&gt;"")*tbl_Finance[Date]))=0,"",SUMPRODUCT(MAX((tbl_Finance[Job Number]=C380&amp;"")*(tbl_Finance[Xero Invoice No]&lt;&gt;"")*tbl_Finance[Date]))),""))</f>
        <v/>
      </c>
      <c r="B380" s="25">
        <f>IF(C380="","",IF(COUNTIFS(tbl_Finance[Job Number],C380&amp;"",tbl_Finance[Xero Invoice No],"&lt;&gt;")=0,"",IFERROR(IF(COUNTIFS(tbl_Finance[Job Number],C380&amp;"",tbl_Finance[Xero Invoice No],LOOKUP(2,1/((tbl_Finance[Job Number]=C380&amp;"")*(tbl_Finance[Xero Invoice No]&lt;&gt;"")),tbl_Finance[Xero Invoice No]))=COUNTIFS(tbl_Finance[Job Number],C380&amp;"",tbl_Finance[Xero Invoice No],"&lt;&gt;"),LOOKUP(2,1/((tbl_Finance[Job Number]=C380&amp;"")*(tbl_Finance[Xero Invoice No]&lt;&gt;"")),tbl_Finance[Xero Invoice No]),LOOKUP(2,1/((tbl_Finance[Job Number]=C380&amp;"")*(tbl_Finance[Xero Invoice No]&lt;&gt;"")),tbl_Finance[Xero Invoice No])&amp;" +more"),"")))</f>
        <v/>
      </c>
      <c r="C380" s="24" t="n"/>
      <c r="D380" s="25">
        <f>IF(C380="","",IF(COUNTIF(lst_Jobs,C380&amp;"")&gt;0,"OK","CHECK"))</f>
        <v/>
      </c>
      <c r="E380" s="25">
        <f>IF(C380="","",IFERROR(INDEX(lst_JobName,MATCH(C380&amp;"",lst_Jobs,0)),""))</f>
        <v/>
      </c>
      <c r="F380" s="25">
        <f>IF(C380="","",IFERROR(INDEX(tbl_Finance[Client],MATCH(C380&amp;"",tbl_Finance[Job Number],0)),""))</f>
        <v/>
      </c>
      <c r="G380" s="28">
        <f>IF(C380="","",COUNTIFS(tbl_Finance[Job Number],C380&amp;"",tbl_Finance[Ex GST],"&lt;&gt;"))</f>
        <v/>
      </c>
      <c r="H380" s="27">
        <f>IF(C380="","",SUMIFS(tbl_Finance[Ex GST],tbl_Finance[Job Number],C380&amp;""))</f>
        <v/>
      </c>
      <c r="I380" s="27">
        <f>IF(C380="","",SUMIFS(tbl_Finance[Ex GST],tbl_Finance[Job Number],C380&amp;"",tbl_Finance[Xero Invoice No],"&lt;&gt;"))</f>
        <v/>
      </c>
      <c r="J380" s="27">
        <f>IF(C380="","",H380-I380)</f>
        <v/>
      </c>
      <c r="K380" s="25">
        <f>IF(C380="","",IF(G380=0,"not invoiced yet",SUBSTITUTE(TRIM(IF(COUNTIFS(tbl_Finance[Job Number],C380&amp;"",tbl_Finance[Cost Centre],"ONSITE")&gt;0,"ONSITE ","")&amp;IF(COUNTIFS(tbl_Finance[Job Number],C380&amp;"",tbl_Finance[Cost Centre],"PRODUCTION")&gt;0,"PRODUCTION ","")&amp;IF(COUNTIFS(tbl_Finance[Job Number],C380&amp;"",tbl_Finance[Cost Centre],"VIDEO")&gt;0,"VIDEO ","")&amp;IF(COUNTIFS(tbl_Finance[Job Number],C380&amp;"",tbl_Finance[Cost Centre],"INTEGRATION")&gt;0,"INTEGRATION ","")&amp;IF(COUNTIFS(tbl_Finance[Job Number],C380&amp;"",tbl_Finance[Cost Centre],"CONSULTING")&gt;0,"CONSULTING ","")&amp;IF(COUNTIFS(tbl_Finance[Job Number],C380&amp;"",tbl_Finance[Cost Centre],"CTS")&gt;0,"CTS ",""))," ",", ")))</f>
        <v/>
      </c>
      <c r="L380" s="24" t="n"/>
      <c r="M380" s="24" t="n"/>
      <c r="N380" s="25">
        <f>IF(M380="","",HYPERLINK(IF(LEFT(M380,4)="http",M380,set_QwilrBase&amp;M380),"Open quote"))</f>
        <v/>
      </c>
      <c r="O380" s="64" t="n"/>
      <c r="P380" s="24" t="n"/>
      <c r="Q380" s="24" t="n"/>
    </row>
    <row r="381" ht="15" customHeight="1">
      <c r="A381" s="63">
        <f>IF(C381="","",IFERROR(IF(SUMPRODUCT(MAX((tbl_Finance[Job Number]=C381&amp;"")*(tbl_Finance[Xero Invoice No]&lt;&gt;"")*tbl_Finance[Date]))=0,"",SUMPRODUCT(MAX((tbl_Finance[Job Number]=C381&amp;"")*(tbl_Finance[Xero Invoice No]&lt;&gt;"")*tbl_Finance[Date]))),""))</f>
        <v/>
      </c>
      <c r="B381" s="25">
        <f>IF(C381="","",IF(COUNTIFS(tbl_Finance[Job Number],C381&amp;"",tbl_Finance[Xero Invoice No],"&lt;&gt;")=0,"",IFERROR(IF(COUNTIFS(tbl_Finance[Job Number],C381&amp;"",tbl_Finance[Xero Invoice No],LOOKUP(2,1/((tbl_Finance[Job Number]=C381&amp;"")*(tbl_Finance[Xero Invoice No]&lt;&gt;"")),tbl_Finance[Xero Invoice No]))=COUNTIFS(tbl_Finance[Job Number],C381&amp;"",tbl_Finance[Xero Invoice No],"&lt;&gt;"),LOOKUP(2,1/((tbl_Finance[Job Number]=C381&amp;"")*(tbl_Finance[Xero Invoice No]&lt;&gt;"")),tbl_Finance[Xero Invoice No]),LOOKUP(2,1/((tbl_Finance[Job Number]=C381&amp;"")*(tbl_Finance[Xero Invoice No]&lt;&gt;"")),tbl_Finance[Xero Invoice No])&amp;" +more"),"")))</f>
        <v/>
      </c>
      <c r="C381" s="24" t="n"/>
      <c r="D381" s="25">
        <f>IF(C381="","",IF(COUNTIF(lst_Jobs,C381&amp;"")&gt;0,"OK","CHECK"))</f>
        <v/>
      </c>
      <c r="E381" s="25">
        <f>IF(C381="","",IFERROR(INDEX(lst_JobName,MATCH(C381&amp;"",lst_Jobs,0)),""))</f>
        <v/>
      </c>
      <c r="F381" s="25">
        <f>IF(C381="","",IFERROR(INDEX(tbl_Finance[Client],MATCH(C381&amp;"",tbl_Finance[Job Number],0)),""))</f>
        <v/>
      </c>
      <c r="G381" s="28">
        <f>IF(C381="","",COUNTIFS(tbl_Finance[Job Number],C381&amp;"",tbl_Finance[Ex GST],"&lt;&gt;"))</f>
        <v/>
      </c>
      <c r="H381" s="27">
        <f>IF(C381="","",SUMIFS(tbl_Finance[Ex GST],tbl_Finance[Job Number],C381&amp;""))</f>
        <v/>
      </c>
      <c r="I381" s="27">
        <f>IF(C381="","",SUMIFS(tbl_Finance[Ex GST],tbl_Finance[Job Number],C381&amp;"",tbl_Finance[Xero Invoice No],"&lt;&gt;"))</f>
        <v/>
      </c>
      <c r="J381" s="27">
        <f>IF(C381="","",H381-I381)</f>
        <v/>
      </c>
      <c r="K381" s="25">
        <f>IF(C381="","",IF(G381=0,"not invoiced yet",SUBSTITUTE(TRIM(IF(COUNTIFS(tbl_Finance[Job Number],C381&amp;"",tbl_Finance[Cost Centre],"ONSITE")&gt;0,"ONSITE ","")&amp;IF(COUNTIFS(tbl_Finance[Job Number],C381&amp;"",tbl_Finance[Cost Centre],"PRODUCTION")&gt;0,"PRODUCTION ","")&amp;IF(COUNTIFS(tbl_Finance[Job Number],C381&amp;"",tbl_Finance[Cost Centre],"VIDEO")&gt;0,"VIDEO ","")&amp;IF(COUNTIFS(tbl_Finance[Job Number],C381&amp;"",tbl_Finance[Cost Centre],"INTEGRATION")&gt;0,"INTEGRATION ","")&amp;IF(COUNTIFS(tbl_Finance[Job Number],C381&amp;"",tbl_Finance[Cost Centre],"CONSULTING")&gt;0,"CONSULTING ","")&amp;IF(COUNTIFS(tbl_Finance[Job Number],C381&amp;"",tbl_Finance[Cost Centre],"CTS")&gt;0,"CTS ",""))," ",", ")))</f>
        <v/>
      </c>
      <c r="L381" s="24" t="n"/>
      <c r="M381" s="24" t="n"/>
      <c r="N381" s="25">
        <f>IF(M381="","",HYPERLINK(IF(LEFT(M381,4)="http",M381,set_QwilrBase&amp;M381),"Open quote"))</f>
        <v/>
      </c>
      <c r="O381" s="64" t="n"/>
      <c r="P381" s="24" t="n"/>
      <c r="Q381" s="24" t="n"/>
    </row>
    <row r="382" ht="15" customHeight="1">
      <c r="A382" s="63">
        <f>IF(C382="","",IFERROR(IF(SUMPRODUCT(MAX((tbl_Finance[Job Number]=C382&amp;"")*(tbl_Finance[Xero Invoice No]&lt;&gt;"")*tbl_Finance[Date]))=0,"",SUMPRODUCT(MAX((tbl_Finance[Job Number]=C382&amp;"")*(tbl_Finance[Xero Invoice No]&lt;&gt;"")*tbl_Finance[Date]))),""))</f>
        <v/>
      </c>
      <c r="B382" s="25">
        <f>IF(C382="","",IF(COUNTIFS(tbl_Finance[Job Number],C382&amp;"",tbl_Finance[Xero Invoice No],"&lt;&gt;")=0,"",IFERROR(IF(COUNTIFS(tbl_Finance[Job Number],C382&amp;"",tbl_Finance[Xero Invoice No],LOOKUP(2,1/((tbl_Finance[Job Number]=C382&amp;"")*(tbl_Finance[Xero Invoice No]&lt;&gt;"")),tbl_Finance[Xero Invoice No]))=COUNTIFS(tbl_Finance[Job Number],C382&amp;"",tbl_Finance[Xero Invoice No],"&lt;&gt;"),LOOKUP(2,1/((tbl_Finance[Job Number]=C382&amp;"")*(tbl_Finance[Xero Invoice No]&lt;&gt;"")),tbl_Finance[Xero Invoice No]),LOOKUP(2,1/((tbl_Finance[Job Number]=C382&amp;"")*(tbl_Finance[Xero Invoice No]&lt;&gt;"")),tbl_Finance[Xero Invoice No])&amp;" +more"),"")))</f>
        <v/>
      </c>
      <c r="C382" s="24" t="n"/>
      <c r="D382" s="25">
        <f>IF(C382="","",IF(COUNTIF(lst_Jobs,C382&amp;"")&gt;0,"OK","CHECK"))</f>
        <v/>
      </c>
      <c r="E382" s="25">
        <f>IF(C382="","",IFERROR(INDEX(lst_JobName,MATCH(C382&amp;"",lst_Jobs,0)),""))</f>
        <v/>
      </c>
      <c r="F382" s="25">
        <f>IF(C382="","",IFERROR(INDEX(tbl_Finance[Client],MATCH(C382&amp;"",tbl_Finance[Job Number],0)),""))</f>
        <v/>
      </c>
      <c r="G382" s="28">
        <f>IF(C382="","",COUNTIFS(tbl_Finance[Job Number],C382&amp;"",tbl_Finance[Ex GST],"&lt;&gt;"))</f>
        <v/>
      </c>
      <c r="H382" s="27">
        <f>IF(C382="","",SUMIFS(tbl_Finance[Ex GST],tbl_Finance[Job Number],C382&amp;""))</f>
        <v/>
      </c>
      <c r="I382" s="27">
        <f>IF(C382="","",SUMIFS(tbl_Finance[Ex GST],tbl_Finance[Job Number],C382&amp;"",tbl_Finance[Xero Invoice No],"&lt;&gt;"))</f>
        <v/>
      </c>
      <c r="J382" s="27">
        <f>IF(C382="","",H382-I382)</f>
        <v/>
      </c>
      <c r="K382" s="25">
        <f>IF(C382="","",IF(G382=0,"not invoiced yet",SUBSTITUTE(TRIM(IF(COUNTIFS(tbl_Finance[Job Number],C382&amp;"",tbl_Finance[Cost Centre],"ONSITE")&gt;0,"ONSITE ","")&amp;IF(COUNTIFS(tbl_Finance[Job Number],C382&amp;"",tbl_Finance[Cost Centre],"PRODUCTION")&gt;0,"PRODUCTION ","")&amp;IF(COUNTIFS(tbl_Finance[Job Number],C382&amp;"",tbl_Finance[Cost Centre],"VIDEO")&gt;0,"VIDEO ","")&amp;IF(COUNTIFS(tbl_Finance[Job Number],C382&amp;"",tbl_Finance[Cost Centre],"INTEGRATION")&gt;0,"INTEGRATION ","")&amp;IF(COUNTIFS(tbl_Finance[Job Number],C382&amp;"",tbl_Finance[Cost Centre],"CONSULTING")&gt;0,"CONSULTING ","")&amp;IF(COUNTIFS(tbl_Finance[Job Number],C382&amp;"",tbl_Finance[Cost Centre],"CTS")&gt;0,"CTS ",""))," ",", ")))</f>
        <v/>
      </c>
      <c r="L382" s="24" t="n"/>
      <c r="M382" s="24" t="n"/>
      <c r="N382" s="25">
        <f>IF(M382="","",HYPERLINK(IF(LEFT(M382,4)="http",M382,set_QwilrBase&amp;M382),"Open quote"))</f>
        <v/>
      </c>
      <c r="O382" s="64" t="n"/>
      <c r="P382" s="24" t="n"/>
      <c r="Q382" s="24" t="n"/>
    </row>
    <row r="383" ht="15" customHeight="1">
      <c r="A383" s="63">
        <f>IF(C383="","",IFERROR(IF(SUMPRODUCT(MAX((tbl_Finance[Job Number]=C383&amp;"")*(tbl_Finance[Xero Invoice No]&lt;&gt;"")*tbl_Finance[Date]))=0,"",SUMPRODUCT(MAX((tbl_Finance[Job Number]=C383&amp;"")*(tbl_Finance[Xero Invoice No]&lt;&gt;"")*tbl_Finance[Date]))),""))</f>
        <v/>
      </c>
      <c r="B383" s="25">
        <f>IF(C383="","",IF(COUNTIFS(tbl_Finance[Job Number],C383&amp;"",tbl_Finance[Xero Invoice No],"&lt;&gt;")=0,"",IFERROR(IF(COUNTIFS(tbl_Finance[Job Number],C383&amp;"",tbl_Finance[Xero Invoice No],LOOKUP(2,1/((tbl_Finance[Job Number]=C383&amp;"")*(tbl_Finance[Xero Invoice No]&lt;&gt;"")),tbl_Finance[Xero Invoice No]))=COUNTIFS(tbl_Finance[Job Number],C383&amp;"",tbl_Finance[Xero Invoice No],"&lt;&gt;"),LOOKUP(2,1/((tbl_Finance[Job Number]=C383&amp;"")*(tbl_Finance[Xero Invoice No]&lt;&gt;"")),tbl_Finance[Xero Invoice No]),LOOKUP(2,1/((tbl_Finance[Job Number]=C383&amp;"")*(tbl_Finance[Xero Invoice No]&lt;&gt;"")),tbl_Finance[Xero Invoice No])&amp;" +more"),"")))</f>
        <v/>
      </c>
      <c r="C383" s="24" t="n"/>
      <c r="D383" s="25">
        <f>IF(C383="","",IF(COUNTIF(lst_Jobs,C383&amp;"")&gt;0,"OK","CHECK"))</f>
        <v/>
      </c>
      <c r="E383" s="25">
        <f>IF(C383="","",IFERROR(INDEX(lst_JobName,MATCH(C383&amp;"",lst_Jobs,0)),""))</f>
        <v/>
      </c>
      <c r="F383" s="25">
        <f>IF(C383="","",IFERROR(INDEX(tbl_Finance[Client],MATCH(C383&amp;"",tbl_Finance[Job Number],0)),""))</f>
        <v/>
      </c>
      <c r="G383" s="28">
        <f>IF(C383="","",COUNTIFS(tbl_Finance[Job Number],C383&amp;"",tbl_Finance[Ex GST],"&lt;&gt;"))</f>
        <v/>
      </c>
      <c r="H383" s="27">
        <f>IF(C383="","",SUMIFS(tbl_Finance[Ex GST],tbl_Finance[Job Number],C383&amp;""))</f>
        <v/>
      </c>
      <c r="I383" s="27">
        <f>IF(C383="","",SUMIFS(tbl_Finance[Ex GST],tbl_Finance[Job Number],C383&amp;"",tbl_Finance[Xero Invoice No],"&lt;&gt;"))</f>
        <v/>
      </c>
      <c r="J383" s="27">
        <f>IF(C383="","",H383-I383)</f>
        <v/>
      </c>
      <c r="K383" s="25">
        <f>IF(C383="","",IF(G383=0,"not invoiced yet",SUBSTITUTE(TRIM(IF(COUNTIFS(tbl_Finance[Job Number],C383&amp;"",tbl_Finance[Cost Centre],"ONSITE")&gt;0,"ONSITE ","")&amp;IF(COUNTIFS(tbl_Finance[Job Number],C383&amp;"",tbl_Finance[Cost Centre],"PRODUCTION")&gt;0,"PRODUCTION ","")&amp;IF(COUNTIFS(tbl_Finance[Job Number],C383&amp;"",tbl_Finance[Cost Centre],"VIDEO")&gt;0,"VIDEO ","")&amp;IF(COUNTIFS(tbl_Finance[Job Number],C383&amp;"",tbl_Finance[Cost Centre],"INTEGRATION")&gt;0,"INTEGRATION ","")&amp;IF(COUNTIFS(tbl_Finance[Job Number],C383&amp;"",tbl_Finance[Cost Centre],"CONSULTING")&gt;0,"CONSULTING ","")&amp;IF(COUNTIFS(tbl_Finance[Job Number],C383&amp;"",tbl_Finance[Cost Centre],"CTS")&gt;0,"CTS ",""))," ",", ")))</f>
        <v/>
      </c>
      <c r="L383" s="24" t="n"/>
      <c r="M383" s="24" t="n"/>
      <c r="N383" s="25">
        <f>IF(M383="","",HYPERLINK(IF(LEFT(M383,4)="http",M383,set_QwilrBase&amp;M383),"Open quote"))</f>
        <v/>
      </c>
      <c r="O383" s="64" t="n"/>
      <c r="P383" s="24" t="n"/>
      <c r="Q383" s="24" t="n"/>
    </row>
    <row r="384" ht="15" customHeight="1">
      <c r="A384" s="63">
        <f>IF(C384="","",IFERROR(IF(SUMPRODUCT(MAX((tbl_Finance[Job Number]=C384&amp;"")*(tbl_Finance[Xero Invoice No]&lt;&gt;"")*tbl_Finance[Date]))=0,"",SUMPRODUCT(MAX((tbl_Finance[Job Number]=C384&amp;"")*(tbl_Finance[Xero Invoice No]&lt;&gt;"")*tbl_Finance[Date]))),""))</f>
        <v/>
      </c>
      <c r="B384" s="25">
        <f>IF(C384="","",IF(COUNTIFS(tbl_Finance[Job Number],C384&amp;"",tbl_Finance[Xero Invoice No],"&lt;&gt;")=0,"",IFERROR(IF(COUNTIFS(tbl_Finance[Job Number],C384&amp;"",tbl_Finance[Xero Invoice No],LOOKUP(2,1/((tbl_Finance[Job Number]=C384&amp;"")*(tbl_Finance[Xero Invoice No]&lt;&gt;"")),tbl_Finance[Xero Invoice No]))=COUNTIFS(tbl_Finance[Job Number],C384&amp;"",tbl_Finance[Xero Invoice No],"&lt;&gt;"),LOOKUP(2,1/((tbl_Finance[Job Number]=C384&amp;"")*(tbl_Finance[Xero Invoice No]&lt;&gt;"")),tbl_Finance[Xero Invoice No]),LOOKUP(2,1/((tbl_Finance[Job Number]=C384&amp;"")*(tbl_Finance[Xero Invoice No]&lt;&gt;"")),tbl_Finance[Xero Invoice No])&amp;" +more"),"")))</f>
        <v/>
      </c>
      <c r="C384" s="24" t="n"/>
      <c r="D384" s="25">
        <f>IF(C384="","",IF(COUNTIF(lst_Jobs,C384&amp;"")&gt;0,"OK","CHECK"))</f>
        <v/>
      </c>
      <c r="E384" s="25">
        <f>IF(C384="","",IFERROR(INDEX(lst_JobName,MATCH(C384&amp;"",lst_Jobs,0)),""))</f>
        <v/>
      </c>
      <c r="F384" s="25">
        <f>IF(C384="","",IFERROR(INDEX(tbl_Finance[Client],MATCH(C384&amp;"",tbl_Finance[Job Number],0)),""))</f>
        <v/>
      </c>
      <c r="G384" s="28">
        <f>IF(C384="","",COUNTIFS(tbl_Finance[Job Number],C384&amp;"",tbl_Finance[Ex GST],"&lt;&gt;"))</f>
        <v/>
      </c>
      <c r="H384" s="27">
        <f>IF(C384="","",SUMIFS(tbl_Finance[Ex GST],tbl_Finance[Job Number],C384&amp;""))</f>
        <v/>
      </c>
      <c r="I384" s="27">
        <f>IF(C384="","",SUMIFS(tbl_Finance[Ex GST],tbl_Finance[Job Number],C384&amp;"",tbl_Finance[Xero Invoice No],"&lt;&gt;"))</f>
        <v/>
      </c>
      <c r="J384" s="27">
        <f>IF(C384="","",H384-I384)</f>
        <v/>
      </c>
      <c r="K384" s="25">
        <f>IF(C384="","",IF(G384=0,"not invoiced yet",SUBSTITUTE(TRIM(IF(COUNTIFS(tbl_Finance[Job Number],C384&amp;"",tbl_Finance[Cost Centre],"ONSITE")&gt;0,"ONSITE ","")&amp;IF(COUNTIFS(tbl_Finance[Job Number],C384&amp;"",tbl_Finance[Cost Centre],"PRODUCTION")&gt;0,"PRODUCTION ","")&amp;IF(COUNTIFS(tbl_Finance[Job Number],C384&amp;"",tbl_Finance[Cost Centre],"VIDEO")&gt;0,"VIDEO ","")&amp;IF(COUNTIFS(tbl_Finance[Job Number],C384&amp;"",tbl_Finance[Cost Centre],"INTEGRATION")&gt;0,"INTEGRATION ","")&amp;IF(COUNTIFS(tbl_Finance[Job Number],C384&amp;"",tbl_Finance[Cost Centre],"CONSULTING")&gt;0,"CONSULTING ","")&amp;IF(COUNTIFS(tbl_Finance[Job Number],C384&amp;"",tbl_Finance[Cost Centre],"CTS")&gt;0,"CTS ",""))," ",", ")))</f>
        <v/>
      </c>
      <c r="L384" s="24" t="n"/>
      <c r="M384" s="24" t="n"/>
      <c r="N384" s="25">
        <f>IF(M384="","",HYPERLINK(IF(LEFT(M384,4)="http",M384,set_QwilrBase&amp;M384),"Open quote"))</f>
        <v/>
      </c>
      <c r="O384" s="64" t="n"/>
      <c r="P384" s="24" t="n"/>
      <c r="Q384" s="24" t="n"/>
    </row>
    <row r="385" ht="15" customHeight="1">
      <c r="A385" s="63">
        <f>IF(C385="","",IFERROR(IF(SUMPRODUCT(MAX((tbl_Finance[Job Number]=C385&amp;"")*(tbl_Finance[Xero Invoice No]&lt;&gt;"")*tbl_Finance[Date]))=0,"",SUMPRODUCT(MAX((tbl_Finance[Job Number]=C385&amp;"")*(tbl_Finance[Xero Invoice No]&lt;&gt;"")*tbl_Finance[Date]))),""))</f>
        <v/>
      </c>
      <c r="B385" s="25">
        <f>IF(C385="","",IF(COUNTIFS(tbl_Finance[Job Number],C385&amp;"",tbl_Finance[Xero Invoice No],"&lt;&gt;")=0,"",IFERROR(IF(COUNTIFS(tbl_Finance[Job Number],C385&amp;"",tbl_Finance[Xero Invoice No],LOOKUP(2,1/((tbl_Finance[Job Number]=C385&amp;"")*(tbl_Finance[Xero Invoice No]&lt;&gt;"")),tbl_Finance[Xero Invoice No]))=COUNTIFS(tbl_Finance[Job Number],C385&amp;"",tbl_Finance[Xero Invoice No],"&lt;&gt;"),LOOKUP(2,1/((tbl_Finance[Job Number]=C385&amp;"")*(tbl_Finance[Xero Invoice No]&lt;&gt;"")),tbl_Finance[Xero Invoice No]),LOOKUP(2,1/((tbl_Finance[Job Number]=C385&amp;"")*(tbl_Finance[Xero Invoice No]&lt;&gt;"")),tbl_Finance[Xero Invoice No])&amp;" +more"),"")))</f>
        <v/>
      </c>
      <c r="C385" s="24" t="n"/>
      <c r="D385" s="25">
        <f>IF(C385="","",IF(COUNTIF(lst_Jobs,C385&amp;"")&gt;0,"OK","CHECK"))</f>
        <v/>
      </c>
      <c r="E385" s="25">
        <f>IF(C385="","",IFERROR(INDEX(lst_JobName,MATCH(C385&amp;"",lst_Jobs,0)),""))</f>
        <v/>
      </c>
      <c r="F385" s="25">
        <f>IF(C385="","",IFERROR(INDEX(tbl_Finance[Client],MATCH(C385&amp;"",tbl_Finance[Job Number],0)),""))</f>
        <v/>
      </c>
      <c r="G385" s="28">
        <f>IF(C385="","",COUNTIFS(tbl_Finance[Job Number],C385&amp;"",tbl_Finance[Ex GST],"&lt;&gt;"))</f>
        <v/>
      </c>
      <c r="H385" s="27">
        <f>IF(C385="","",SUMIFS(tbl_Finance[Ex GST],tbl_Finance[Job Number],C385&amp;""))</f>
        <v/>
      </c>
      <c r="I385" s="27">
        <f>IF(C385="","",SUMIFS(tbl_Finance[Ex GST],tbl_Finance[Job Number],C385&amp;"",tbl_Finance[Xero Invoice No],"&lt;&gt;"))</f>
        <v/>
      </c>
      <c r="J385" s="27">
        <f>IF(C385="","",H385-I385)</f>
        <v/>
      </c>
      <c r="K385" s="25">
        <f>IF(C385="","",IF(G385=0,"not invoiced yet",SUBSTITUTE(TRIM(IF(COUNTIFS(tbl_Finance[Job Number],C385&amp;"",tbl_Finance[Cost Centre],"ONSITE")&gt;0,"ONSITE ","")&amp;IF(COUNTIFS(tbl_Finance[Job Number],C385&amp;"",tbl_Finance[Cost Centre],"PRODUCTION")&gt;0,"PRODUCTION ","")&amp;IF(COUNTIFS(tbl_Finance[Job Number],C385&amp;"",tbl_Finance[Cost Centre],"VIDEO")&gt;0,"VIDEO ","")&amp;IF(COUNTIFS(tbl_Finance[Job Number],C385&amp;"",tbl_Finance[Cost Centre],"INTEGRATION")&gt;0,"INTEGRATION ","")&amp;IF(COUNTIFS(tbl_Finance[Job Number],C385&amp;"",tbl_Finance[Cost Centre],"CONSULTING")&gt;0,"CONSULTING ","")&amp;IF(COUNTIFS(tbl_Finance[Job Number],C385&amp;"",tbl_Finance[Cost Centre],"CTS")&gt;0,"CTS ",""))," ",", ")))</f>
        <v/>
      </c>
      <c r="L385" s="24" t="n"/>
      <c r="M385" s="24" t="n"/>
      <c r="N385" s="25">
        <f>IF(M385="","",HYPERLINK(IF(LEFT(M385,4)="http",M385,set_QwilrBase&amp;M385),"Open quote"))</f>
        <v/>
      </c>
      <c r="O385" s="64" t="n"/>
      <c r="P385" s="24" t="n"/>
      <c r="Q385" s="24" t="n"/>
    </row>
    <row r="386" ht="15" customHeight="1">
      <c r="A386" s="63">
        <f>IF(C386="","",IFERROR(IF(SUMPRODUCT(MAX((tbl_Finance[Job Number]=C386&amp;"")*(tbl_Finance[Xero Invoice No]&lt;&gt;"")*tbl_Finance[Date]))=0,"",SUMPRODUCT(MAX((tbl_Finance[Job Number]=C386&amp;"")*(tbl_Finance[Xero Invoice No]&lt;&gt;"")*tbl_Finance[Date]))),""))</f>
        <v/>
      </c>
      <c r="B386" s="25">
        <f>IF(C386="","",IF(COUNTIFS(tbl_Finance[Job Number],C386&amp;"",tbl_Finance[Xero Invoice No],"&lt;&gt;")=0,"",IFERROR(IF(COUNTIFS(tbl_Finance[Job Number],C386&amp;"",tbl_Finance[Xero Invoice No],LOOKUP(2,1/((tbl_Finance[Job Number]=C386&amp;"")*(tbl_Finance[Xero Invoice No]&lt;&gt;"")),tbl_Finance[Xero Invoice No]))=COUNTIFS(tbl_Finance[Job Number],C386&amp;"",tbl_Finance[Xero Invoice No],"&lt;&gt;"),LOOKUP(2,1/((tbl_Finance[Job Number]=C386&amp;"")*(tbl_Finance[Xero Invoice No]&lt;&gt;"")),tbl_Finance[Xero Invoice No]),LOOKUP(2,1/((tbl_Finance[Job Number]=C386&amp;"")*(tbl_Finance[Xero Invoice No]&lt;&gt;"")),tbl_Finance[Xero Invoice No])&amp;" +more"),"")))</f>
        <v/>
      </c>
      <c r="C386" s="24" t="n"/>
      <c r="D386" s="25">
        <f>IF(C386="","",IF(COUNTIF(lst_Jobs,C386&amp;"")&gt;0,"OK","CHECK"))</f>
        <v/>
      </c>
      <c r="E386" s="25">
        <f>IF(C386="","",IFERROR(INDEX(lst_JobName,MATCH(C386&amp;"",lst_Jobs,0)),""))</f>
        <v/>
      </c>
      <c r="F386" s="25">
        <f>IF(C386="","",IFERROR(INDEX(tbl_Finance[Client],MATCH(C386&amp;"",tbl_Finance[Job Number],0)),""))</f>
        <v/>
      </c>
      <c r="G386" s="28">
        <f>IF(C386="","",COUNTIFS(tbl_Finance[Job Number],C386&amp;"",tbl_Finance[Ex GST],"&lt;&gt;"))</f>
        <v/>
      </c>
      <c r="H386" s="27">
        <f>IF(C386="","",SUMIFS(tbl_Finance[Ex GST],tbl_Finance[Job Number],C386&amp;""))</f>
        <v/>
      </c>
      <c r="I386" s="27">
        <f>IF(C386="","",SUMIFS(tbl_Finance[Ex GST],tbl_Finance[Job Number],C386&amp;"",tbl_Finance[Xero Invoice No],"&lt;&gt;"))</f>
        <v/>
      </c>
      <c r="J386" s="27">
        <f>IF(C386="","",H386-I386)</f>
        <v/>
      </c>
      <c r="K386" s="25">
        <f>IF(C386="","",IF(G386=0,"not invoiced yet",SUBSTITUTE(TRIM(IF(COUNTIFS(tbl_Finance[Job Number],C386&amp;"",tbl_Finance[Cost Centre],"ONSITE")&gt;0,"ONSITE ","")&amp;IF(COUNTIFS(tbl_Finance[Job Number],C386&amp;"",tbl_Finance[Cost Centre],"PRODUCTION")&gt;0,"PRODUCTION ","")&amp;IF(COUNTIFS(tbl_Finance[Job Number],C386&amp;"",tbl_Finance[Cost Centre],"VIDEO")&gt;0,"VIDEO ","")&amp;IF(COUNTIFS(tbl_Finance[Job Number],C386&amp;"",tbl_Finance[Cost Centre],"INTEGRATION")&gt;0,"INTEGRATION ","")&amp;IF(COUNTIFS(tbl_Finance[Job Number],C386&amp;"",tbl_Finance[Cost Centre],"CONSULTING")&gt;0,"CONSULTING ","")&amp;IF(COUNTIFS(tbl_Finance[Job Number],C386&amp;"",tbl_Finance[Cost Centre],"CTS")&gt;0,"CTS ",""))," ",", ")))</f>
        <v/>
      </c>
      <c r="L386" s="24" t="n"/>
      <c r="M386" s="24" t="n"/>
      <c r="N386" s="25">
        <f>IF(M386="","",HYPERLINK(IF(LEFT(M386,4)="http",M386,set_QwilrBase&amp;M386),"Open quote"))</f>
        <v/>
      </c>
      <c r="O386" s="64" t="n"/>
      <c r="P386" s="24" t="n"/>
      <c r="Q386" s="24" t="n"/>
    </row>
    <row r="387" ht="15" customHeight="1">
      <c r="A387" s="63">
        <f>IF(C387="","",IFERROR(IF(SUMPRODUCT(MAX((tbl_Finance[Job Number]=C387&amp;"")*(tbl_Finance[Xero Invoice No]&lt;&gt;"")*tbl_Finance[Date]))=0,"",SUMPRODUCT(MAX((tbl_Finance[Job Number]=C387&amp;"")*(tbl_Finance[Xero Invoice No]&lt;&gt;"")*tbl_Finance[Date]))),""))</f>
        <v/>
      </c>
      <c r="B387" s="25">
        <f>IF(C387="","",IF(COUNTIFS(tbl_Finance[Job Number],C387&amp;"",tbl_Finance[Xero Invoice No],"&lt;&gt;")=0,"",IFERROR(IF(COUNTIFS(tbl_Finance[Job Number],C387&amp;"",tbl_Finance[Xero Invoice No],LOOKUP(2,1/((tbl_Finance[Job Number]=C387&amp;"")*(tbl_Finance[Xero Invoice No]&lt;&gt;"")),tbl_Finance[Xero Invoice No]))=COUNTIFS(tbl_Finance[Job Number],C387&amp;"",tbl_Finance[Xero Invoice No],"&lt;&gt;"),LOOKUP(2,1/((tbl_Finance[Job Number]=C387&amp;"")*(tbl_Finance[Xero Invoice No]&lt;&gt;"")),tbl_Finance[Xero Invoice No]),LOOKUP(2,1/((tbl_Finance[Job Number]=C387&amp;"")*(tbl_Finance[Xero Invoice No]&lt;&gt;"")),tbl_Finance[Xero Invoice No])&amp;" +more"),"")))</f>
        <v/>
      </c>
      <c r="C387" s="24" t="n"/>
      <c r="D387" s="25">
        <f>IF(C387="","",IF(COUNTIF(lst_Jobs,C387&amp;"")&gt;0,"OK","CHECK"))</f>
        <v/>
      </c>
      <c r="E387" s="25">
        <f>IF(C387="","",IFERROR(INDEX(lst_JobName,MATCH(C387&amp;"",lst_Jobs,0)),""))</f>
        <v/>
      </c>
      <c r="F387" s="25">
        <f>IF(C387="","",IFERROR(INDEX(tbl_Finance[Client],MATCH(C387&amp;"",tbl_Finance[Job Number],0)),""))</f>
        <v/>
      </c>
      <c r="G387" s="28">
        <f>IF(C387="","",COUNTIFS(tbl_Finance[Job Number],C387&amp;"",tbl_Finance[Ex GST],"&lt;&gt;"))</f>
        <v/>
      </c>
      <c r="H387" s="27">
        <f>IF(C387="","",SUMIFS(tbl_Finance[Ex GST],tbl_Finance[Job Number],C387&amp;""))</f>
        <v/>
      </c>
      <c r="I387" s="27">
        <f>IF(C387="","",SUMIFS(tbl_Finance[Ex GST],tbl_Finance[Job Number],C387&amp;"",tbl_Finance[Xero Invoice No],"&lt;&gt;"))</f>
        <v/>
      </c>
      <c r="J387" s="27">
        <f>IF(C387="","",H387-I387)</f>
        <v/>
      </c>
      <c r="K387" s="25">
        <f>IF(C387="","",IF(G387=0,"not invoiced yet",SUBSTITUTE(TRIM(IF(COUNTIFS(tbl_Finance[Job Number],C387&amp;"",tbl_Finance[Cost Centre],"ONSITE")&gt;0,"ONSITE ","")&amp;IF(COUNTIFS(tbl_Finance[Job Number],C387&amp;"",tbl_Finance[Cost Centre],"PRODUCTION")&gt;0,"PRODUCTION ","")&amp;IF(COUNTIFS(tbl_Finance[Job Number],C387&amp;"",tbl_Finance[Cost Centre],"VIDEO")&gt;0,"VIDEO ","")&amp;IF(COUNTIFS(tbl_Finance[Job Number],C387&amp;"",tbl_Finance[Cost Centre],"INTEGRATION")&gt;0,"INTEGRATION ","")&amp;IF(COUNTIFS(tbl_Finance[Job Number],C387&amp;"",tbl_Finance[Cost Centre],"CONSULTING")&gt;0,"CONSULTING ","")&amp;IF(COUNTIFS(tbl_Finance[Job Number],C387&amp;"",tbl_Finance[Cost Centre],"CTS")&gt;0,"CTS ",""))," ",", ")))</f>
        <v/>
      </c>
      <c r="L387" s="24" t="n"/>
      <c r="M387" s="24" t="n"/>
      <c r="N387" s="25">
        <f>IF(M387="","",HYPERLINK(IF(LEFT(M387,4)="http",M387,set_QwilrBase&amp;M387),"Open quote"))</f>
        <v/>
      </c>
      <c r="O387" s="64" t="n"/>
      <c r="P387" s="24" t="n"/>
      <c r="Q387" s="24" t="n"/>
    </row>
    <row r="388" ht="15" customHeight="1">
      <c r="A388" s="63">
        <f>IF(C388="","",IFERROR(IF(SUMPRODUCT(MAX((tbl_Finance[Job Number]=C388&amp;"")*(tbl_Finance[Xero Invoice No]&lt;&gt;"")*tbl_Finance[Date]))=0,"",SUMPRODUCT(MAX((tbl_Finance[Job Number]=C388&amp;"")*(tbl_Finance[Xero Invoice No]&lt;&gt;"")*tbl_Finance[Date]))),""))</f>
        <v/>
      </c>
      <c r="B388" s="25">
        <f>IF(C388="","",IF(COUNTIFS(tbl_Finance[Job Number],C388&amp;"",tbl_Finance[Xero Invoice No],"&lt;&gt;")=0,"",IFERROR(IF(COUNTIFS(tbl_Finance[Job Number],C388&amp;"",tbl_Finance[Xero Invoice No],LOOKUP(2,1/((tbl_Finance[Job Number]=C388&amp;"")*(tbl_Finance[Xero Invoice No]&lt;&gt;"")),tbl_Finance[Xero Invoice No]))=COUNTIFS(tbl_Finance[Job Number],C388&amp;"",tbl_Finance[Xero Invoice No],"&lt;&gt;"),LOOKUP(2,1/((tbl_Finance[Job Number]=C388&amp;"")*(tbl_Finance[Xero Invoice No]&lt;&gt;"")),tbl_Finance[Xero Invoice No]),LOOKUP(2,1/((tbl_Finance[Job Number]=C388&amp;"")*(tbl_Finance[Xero Invoice No]&lt;&gt;"")),tbl_Finance[Xero Invoice No])&amp;" +more"),"")))</f>
        <v/>
      </c>
      <c r="C388" s="24" t="n"/>
      <c r="D388" s="25">
        <f>IF(C388="","",IF(COUNTIF(lst_Jobs,C388&amp;"")&gt;0,"OK","CHECK"))</f>
        <v/>
      </c>
      <c r="E388" s="25">
        <f>IF(C388="","",IFERROR(INDEX(lst_JobName,MATCH(C388&amp;"",lst_Jobs,0)),""))</f>
        <v/>
      </c>
      <c r="F388" s="25">
        <f>IF(C388="","",IFERROR(INDEX(tbl_Finance[Client],MATCH(C388&amp;"",tbl_Finance[Job Number],0)),""))</f>
        <v/>
      </c>
      <c r="G388" s="28">
        <f>IF(C388="","",COUNTIFS(tbl_Finance[Job Number],C388&amp;"",tbl_Finance[Ex GST],"&lt;&gt;"))</f>
        <v/>
      </c>
      <c r="H388" s="27">
        <f>IF(C388="","",SUMIFS(tbl_Finance[Ex GST],tbl_Finance[Job Number],C388&amp;""))</f>
        <v/>
      </c>
      <c r="I388" s="27">
        <f>IF(C388="","",SUMIFS(tbl_Finance[Ex GST],tbl_Finance[Job Number],C388&amp;"",tbl_Finance[Xero Invoice No],"&lt;&gt;"))</f>
        <v/>
      </c>
      <c r="J388" s="27">
        <f>IF(C388="","",H388-I388)</f>
        <v/>
      </c>
      <c r="K388" s="25">
        <f>IF(C388="","",IF(G388=0,"not invoiced yet",SUBSTITUTE(TRIM(IF(COUNTIFS(tbl_Finance[Job Number],C388&amp;"",tbl_Finance[Cost Centre],"ONSITE")&gt;0,"ONSITE ","")&amp;IF(COUNTIFS(tbl_Finance[Job Number],C388&amp;"",tbl_Finance[Cost Centre],"PRODUCTION")&gt;0,"PRODUCTION ","")&amp;IF(COUNTIFS(tbl_Finance[Job Number],C388&amp;"",tbl_Finance[Cost Centre],"VIDEO")&gt;0,"VIDEO ","")&amp;IF(COUNTIFS(tbl_Finance[Job Number],C388&amp;"",tbl_Finance[Cost Centre],"INTEGRATION")&gt;0,"INTEGRATION ","")&amp;IF(COUNTIFS(tbl_Finance[Job Number],C388&amp;"",tbl_Finance[Cost Centre],"CONSULTING")&gt;0,"CONSULTING ","")&amp;IF(COUNTIFS(tbl_Finance[Job Number],C388&amp;"",tbl_Finance[Cost Centre],"CTS")&gt;0,"CTS ",""))," ",", ")))</f>
        <v/>
      </c>
      <c r="L388" s="24" t="n"/>
      <c r="M388" s="24" t="n"/>
      <c r="N388" s="25">
        <f>IF(M388="","",HYPERLINK(IF(LEFT(M388,4)="http",M388,set_QwilrBase&amp;M388),"Open quote"))</f>
        <v/>
      </c>
      <c r="O388" s="64" t="n"/>
      <c r="P388" s="24" t="n"/>
      <c r="Q388" s="24" t="n"/>
    </row>
    <row r="389" ht="15" customHeight="1">
      <c r="A389" s="63">
        <f>IF(C389="","",IFERROR(IF(SUMPRODUCT(MAX((tbl_Finance[Job Number]=C389&amp;"")*(tbl_Finance[Xero Invoice No]&lt;&gt;"")*tbl_Finance[Date]))=0,"",SUMPRODUCT(MAX((tbl_Finance[Job Number]=C389&amp;"")*(tbl_Finance[Xero Invoice No]&lt;&gt;"")*tbl_Finance[Date]))),""))</f>
        <v/>
      </c>
      <c r="B389" s="25">
        <f>IF(C389="","",IF(COUNTIFS(tbl_Finance[Job Number],C389&amp;"",tbl_Finance[Xero Invoice No],"&lt;&gt;")=0,"",IFERROR(IF(COUNTIFS(tbl_Finance[Job Number],C389&amp;"",tbl_Finance[Xero Invoice No],LOOKUP(2,1/((tbl_Finance[Job Number]=C389&amp;"")*(tbl_Finance[Xero Invoice No]&lt;&gt;"")),tbl_Finance[Xero Invoice No]))=COUNTIFS(tbl_Finance[Job Number],C389&amp;"",tbl_Finance[Xero Invoice No],"&lt;&gt;"),LOOKUP(2,1/((tbl_Finance[Job Number]=C389&amp;"")*(tbl_Finance[Xero Invoice No]&lt;&gt;"")),tbl_Finance[Xero Invoice No]),LOOKUP(2,1/((tbl_Finance[Job Number]=C389&amp;"")*(tbl_Finance[Xero Invoice No]&lt;&gt;"")),tbl_Finance[Xero Invoice No])&amp;" +more"),"")))</f>
        <v/>
      </c>
      <c r="C389" s="24" t="n"/>
      <c r="D389" s="25">
        <f>IF(C389="","",IF(COUNTIF(lst_Jobs,C389&amp;"")&gt;0,"OK","CHECK"))</f>
        <v/>
      </c>
      <c r="E389" s="25">
        <f>IF(C389="","",IFERROR(INDEX(lst_JobName,MATCH(C389&amp;"",lst_Jobs,0)),""))</f>
        <v/>
      </c>
      <c r="F389" s="25">
        <f>IF(C389="","",IFERROR(INDEX(tbl_Finance[Client],MATCH(C389&amp;"",tbl_Finance[Job Number],0)),""))</f>
        <v/>
      </c>
      <c r="G389" s="28">
        <f>IF(C389="","",COUNTIFS(tbl_Finance[Job Number],C389&amp;"",tbl_Finance[Ex GST],"&lt;&gt;"))</f>
        <v/>
      </c>
      <c r="H389" s="27">
        <f>IF(C389="","",SUMIFS(tbl_Finance[Ex GST],tbl_Finance[Job Number],C389&amp;""))</f>
        <v/>
      </c>
      <c r="I389" s="27">
        <f>IF(C389="","",SUMIFS(tbl_Finance[Ex GST],tbl_Finance[Job Number],C389&amp;"",tbl_Finance[Xero Invoice No],"&lt;&gt;"))</f>
        <v/>
      </c>
      <c r="J389" s="27">
        <f>IF(C389="","",H389-I389)</f>
        <v/>
      </c>
      <c r="K389" s="25">
        <f>IF(C389="","",IF(G389=0,"not invoiced yet",SUBSTITUTE(TRIM(IF(COUNTIFS(tbl_Finance[Job Number],C389&amp;"",tbl_Finance[Cost Centre],"ONSITE")&gt;0,"ONSITE ","")&amp;IF(COUNTIFS(tbl_Finance[Job Number],C389&amp;"",tbl_Finance[Cost Centre],"PRODUCTION")&gt;0,"PRODUCTION ","")&amp;IF(COUNTIFS(tbl_Finance[Job Number],C389&amp;"",tbl_Finance[Cost Centre],"VIDEO")&gt;0,"VIDEO ","")&amp;IF(COUNTIFS(tbl_Finance[Job Number],C389&amp;"",tbl_Finance[Cost Centre],"INTEGRATION")&gt;0,"INTEGRATION ","")&amp;IF(COUNTIFS(tbl_Finance[Job Number],C389&amp;"",tbl_Finance[Cost Centre],"CONSULTING")&gt;0,"CONSULTING ","")&amp;IF(COUNTIFS(tbl_Finance[Job Number],C389&amp;"",tbl_Finance[Cost Centre],"CTS")&gt;0,"CTS ",""))," ",", ")))</f>
        <v/>
      </c>
      <c r="L389" s="24" t="n"/>
      <c r="M389" s="24" t="n"/>
      <c r="N389" s="25">
        <f>IF(M389="","",HYPERLINK(IF(LEFT(M389,4)="http",M389,set_QwilrBase&amp;M389),"Open quote"))</f>
        <v/>
      </c>
      <c r="O389" s="64" t="n"/>
      <c r="P389" s="24" t="n"/>
      <c r="Q389" s="24" t="n"/>
    </row>
    <row r="390" ht="15" customHeight="1">
      <c r="A390" s="63">
        <f>IF(C390="","",IFERROR(IF(SUMPRODUCT(MAX((tbl_Finance[Job Number]=C390&amp;"")*(tbl_Finance[Xero Invoice No]&lt;&gt;"")*tbl_Finance[Date]))=0,"",SUMPRODUCT(MAX((tbl_Finance[Job Number]=C390&amp;"")*(tbl_Finance[Xero Invoice No]&lt;&gt;"")*tbl_Finance[Date]))),""))</f>
        <v/>
      </c>
      <c r="B390" s="25">
        <f>IF(C390="","",IF(COUNTIFS(tbl_Finance[Job Number],C390&amp;"",tbl_Finance[Xero Invoice No],"&lt;&gt;")=0,"",IFERROR(IF(COUNTIFS(tbl_Finance[Job Number],C390&amp;"",tbl_Finance[Xero Invoice No],LOOKUP(2,1/((tbl_Finance[Job Number]=C390&amp;"")*(tbl_Finance[Xero Invoice No]&lt;&gt;"")),tbl_Finance[Xero Invoice No]))=COUNTIFS(tbl_Finance[Job Number],C390&amp;"",tbl_Finance[Xero Invoice No],"&lt;&gt;"),LOOKUP(2,1/((tbl_Finance[Job Number]=C390&amp;"")*(tbl_Finance[Xero Invoice No]&lt;&gt;"")),tbl_Finance[Xero Invoice No]),LOOKUP(2,1/((tbl_Finance[Job Number]=C390&amp;"")*(tbl_Finance[Xero Invoice No]&lt;&gt;"")),tbl_Finance[Xero Invoice No])&amp;" +more"),"")))</f>
        <v/>
      </c>
      <c r="C390" s="24" t="n"/>
      <c r="D390" s="25">
        <f>IF(C390="","",IF(COUNTIF(lst_Jobs,C390&amp;"")&gt;0,"OK","CHECK"))</f>
        <v/>
      </c>
      <c r="E390" s="25">
        <f>IF(C390="","",IFERROR(INDEX(lst_JobName,MATCH(C390&amp;"",lst_Jobs,0)),""))</f>
        <v/>
      </c>
      <c r="F390" s="25">
        <f>IF(C390="","",IFERROR(INDEX(tbl_Finance[Client],MATCH(C390&amp;"",tbl_Finance[Job Number],0)),""))</f>
        <v/>
      </c>
      <c r="G390" s="28">
        <f>IF(C390="","",COUNTIFS(tbl_Finance[Job Number],C390&amp;"",tbl_Finance[Ex GST],"&lt;&gt;"))</f>
        <v/>
      </c>
      <c r="H390" s="27">
        <f>IF(C390="","",SUMIFS(tbl_Finance[Ex GST],tbl_Finance[Job Number],C390&amp;""))</f>
        <v/>
      </c>
      <c r="I390" s="27">
        <f>IF(C390="","",SUMIFS(tbl_Finance[Ex GST],tbl_Finance[Job Number],C390&amp;"",tbl_Finance[Xero Invoice No],"&lt;&gt;"))</f>
        <v/>
      </c>
      <c r="J390" s="27">
        <f>IF(C390="","",H390-I390)</f>
        <v/>
      </c>
      <c r="K390" s="25">
        <f>IF(C390="","",IF(G390=0,"not invoiced yet",SUBSTITUTE(TRIM(IF(COUNTIFS(tbl_Finance[Job Number],C390&amp;"",tbl_Finance[Cost Centre],"ONSITE")&gt;0,"ONSITE ","")&amp;IF(COUNTIFS(tbl_Finance[Job Number],C390&amp;"",tbl_Finance[Cost Centre],"PRODUCTION")&gt;0,"PRODUCTION ","")&amp;IF(COUNTIFS(tbl_Finance[Job Number],C390&amp;"",tbl_Finance[Cost Centre],"VIDEO")&gt;0,"VIDEO ","")&amp;IF(COUNTIFS(tbl_Finance[Job Number],C390&amp;"",tbl_Finance[Cost Centre],"INTEGRATION")&gt;0,"INTEGRATION ","")&amp;IF(COUNTIFS(tbl_Finance[Job Number],C390&amp;"",tbl_Finance[Cost Centre],"CONSULTING")&gt;0,"CONSULTING ","")&amp;IF(COUNTIFS(tbl_Finance[Job Number],C390&amp;"",tbl_Finance[Cost Centre],"CTS")&gt;0,"CTS ",""))," ",", ")))</f>
        <v/>
      </c>
      <c r="L390" s="24" t="n"/>
      <c r="M390" s="24" t="n"/>
      <c r="N390" s="25">
        <f>IF(M390="","",HYPERLINK(IF(LEFT(M390,4)="http",M390,set_QwilrBase&amp;M390),"Open quote"))</f>
        <v/>
      </c>
      <c r="O390" s="64" t="n"/>
      <c r="P390" s="24" t="n"/>
      <c r="Q390" s="24" t="n"/>
    </row>
    <row r="391" ht="15" customHeight="1">
      <c r="A391" s="63">
        <f>IF(C391="","",IFERROR(IF(SUMPRODUCT(MAX((tbl_Finance[Job Number]=C391&amp;"")*(tbl_Finance[Xero Invoice No]&lt;&gt;"")*tbl_Finance[Date]))=0,"",SUMPRODUCT(MAX((tbl_Finance[Job Number]=C391&amp;"")*(tbl_Finance[Xero Invoice No]&lt;&gt;"")*tbl_Finance[Date]))),""))</f>
        <v/>
      </c>
      <c r="B391" s="25">
        <f>IF(C391="","",IF(COUNTIFS(tbl_Finance[Job Number],C391&amp;"",tbl_Finance[Xero Invoice No],"&lt;&gt;")=0,"",IFERROR(IF(COUNTIFS(tbl_Finance[Job Number],C391&amp;"",tbl_Finance[Xero Invoice No],LOOKUP(2,1/((tbl_Finance[Job Number]=C391&amp;"")*(tbl_Finance[Xero Invoice No]&lt;&gt;"")),tbl_Finance[Xero Invoice No]))=COUNTIFS(tbl_Finance[Job Number],C391&amp;"",tbl_Finance[Xero Invoice No],"&lt;&gt;"),LOOKUP(2,1/((tbl_Finance[Job Number]=C391&amp;"")*(tbl_Finance[Xero Invoice No]&lt;&gt;"")),tbl_Finance[Xero Invoice No]),LOOKUP(2,1/((tbl_Finance[Job Number]=C391&amp;"")*(tbl_Finance[Xero Invoice No]&lt;&gt;"")),tbl_Finance[Xero Invoice No])&amp;" +more"),"")))</f>
        <v/>
      </c>
      <c r="C391" s="24" t="n"/>
      <c r="D391" s="25">
        <f>IF(C391="","",IF(COUNTIF(lst_Jobs,C391&amp;"")&gt;0,"OK","CHECK"))</f>
        <v/>
      </c>
      <c r="E391" s="25">
        <f>IF(C391="","",IFERROR(INDEX(lst_JobName,MATCH(C391&amp;"",lst_Jobs,0)),""))</f>
        <v/>
      </c>
      <c r="F391" s="25">
        <f>IF(C391="","",IFERROR(INDEX(tbl_Finance[Client],MATCH(C391&amp;"",tbl_Finance[Job Number],0)),""))</f>
        <v/>
      </c>
      <c r="G391" s="28">
        <f>IF(C391="","",COUNTIFS(tbl_Finance[Job Number],C391&amp;"",tbl_Finance[Ex GST],"&lt;&gt;"))</f>
        <v/>
      </c>
      <c r="H391" s="27">
        <f>IF(C391="","",SUMIFS(tbl_Finance[Ex GST],tbl_Finance[Job Number],C391&amp;""))</f>
        <v/>
      </c>
      <c r="I391" s="27">
        <f>IF(C391="","",SUMIFS(tbl_Finance[Ex GST],tbl_Finance[Job Number],C391&amp;"",tbl_Finance[Xero Invoice No],"&lt;&gt;"))</f>
        <v/>
      </c>
      <c r="J391" s="27">
        <f>IF(C391="","",H391-I391)</f>
        <v/>
      </c>
      <c r="K391" s="25">
        <f>IF(C391="","",IF(G391=0,"not invoiced yet",SUBSTITUTE(TRIM(IF(COUNTIFS(tbl_Finance[Job Number],C391&amp;"",tbl_Finance[Cost Centre],"ONSITE")&gt;0,"ONSITE ","")&amp;IF(COUNTIFS(tbl_Finance[Job Number],C391&amp;"",tbl_Finance[Cost Centre],"PRODUCTION")&gt;0,"PRODUCTION ","")&amp;IF(COUNTIFS(tbl_Finance[Job Number],C391&amp;"",tbl_Finance[Cost Centre],"VIDEO")&gt;0,"VIDEO ","")&amp;IF(COUNTIFS(tbl_Finance[Job Number],C391&amp;"",tbl_Finance[Cost Centre],"INTEGRATION")&gt;0,"INTEGRATION ","")&amp;IF(COUNTIFS(tbl_Finance[Job Number],C391&amp;"",tbl_Finance[Cost Centre],"CONSULTING")&gt;0,"CONSULTING ","")&amp;IF(COUNTIFS(tbl_Finance[Job Number],C391&amp;"",tbl_Finance[Cost Centre],"CTS")&gt;0,"CTS ",""))," ",", ")))</f>
        <v/>
      </c>
      <c r="L391" s="24" t="n"/>
      <c r="M391" s="24" t="n"/>
      <c r="N391" s="25">
        <f>IF(M391="","",HYPERLINK(IF(LEFT(M391,4)="http",M391,set_QwilrBase&amp;M391),"Open quote"))</f>
        <v/>
      </c>
      <c r="O391" s="64" t="n"/>
      <c r="P391" s="24" t="n"/>
      <c r="Q391" s="24" t="n"/>
    </row>
    <row r="392" ht="15" customHeight="1">
      <c r="A392" s="63">
        <f>IF(C392="","",IFERROR(IF(SUMPRODUCT(MAX((tbl_Finance[Job Number]=C392&amp;"")*(tbl_Finance[Xero Invoice No]&lt;&gt;"")*tbl_Finance[Date]))=0,"",SUMPRODUCT(MAX((tbl_Finance[Job Number]=C392&amp;"")*(tbl_Finance[Xero Invoice No]&lt;&gt;"")*tbl_Finance[Date]))),""))</f>
        <v/>
      </c>
      <c r="B392" s="25">
        <f>IF(C392="","",IF(COUNTIFS(tbl_Finance[Job Number],C392&amp;"",tbl_Finance[Xero Invoice No],"&lt;&gt;")=0,"",IFERROR(IF(COUNTIFS(tbl_Finance[Job Number],C392&amp;"",tbl_Finance[Xero Invoice No],LOOKUP(2,1/((tbl_Finance[Job Number]=C392&amp;"")*(tbl_Finance[Xero Invoice No]&lt;&gt;"")),tbl_Finance[Xero Invoice No]))=COUNTIFS(tbl_Finance[Job Number],C392&amp;"",tbl_Finance[Xero Invoice No],"&lt;&gt;"),LOOKUP(2,1/((tbl_Finance[Job Number]=C392&amp;"")*(tbl_Finance[Xero Invoice No]&lt;&gt;"")),tbl_Finance[Xero Invoice No]),LOOKUP(2,1/((tbl_Finance[Job Number]=C392&amp;"")*(tbl_Finance[Xero Invoice No]&lt;&gt;"")),tbl_Finance[Xero Invoice No])&amp;" +more"),"")))</f>
        <v/>
      </c>
      <c r="C392" s="24" t="n"/>
      <c r="D392" s="25">
        <f>IF(C392="","",IF(COUNTIF(lst_Jobs,C392&amp;"")&gt;0,"OK","CHECK"))</f>
        <v/>
      </c>
      <c r="E392" s="25">
        <f>IF(C392="","",IFERROR(INDEX(lst_JobName,MATCH(C392&amp;"",lst_Jobs,0)),""))</f>
        <v/>
      </c>
      <c r="F392" s="25">
        <f>IF(C392="","",IFERROR(INDEX(tbl_Finance[Client],MATCH(C392&amp;"",tbl_Finance[Job Number],0)),""))</f>
        <v/>
      </c>
      <c r="G392" s="28">
        <f>IF(C392="","",COUNTIFS(tbl_Finance[Job Number],C392&amp;"",tbl_Finance[Ex GST],"&lt;&gt;"))</f>
        <v/>
      </c>
      <c r="H392" s="27">
        <f>IF(C392="","",SUMIFS(tbl_Finance[Ex GST],tbl_Finance[Job Number],C392&amp;""))</f>
        <v/>
      </c>
      <c r="I392" s="27">
        <f>IF(C392="","",SUMIFS(tbl_Finance[Ex GST],tbl_Finance[Job Number],C392&amp;"",tbl_Finance[Xero Invoice No],"&lt;&gt;"))</f>
        <v/>
      </c>
      <c r="J392" s="27">
        <f>IF(C392="","",H392-I392)</f>
        <v/>
      </c>
      <c r="K392" s="25">
        <f>IF(C392="","",IF(G392=0,"not invoiced yet",SUBSTITUTE(TRIM(IF(COUNTIFS(tbl_Finance[Job Number],C392&amp;"",tbl_Finance[Cost Centre],"ONSITE")&gt;0,"ONSITE ","")&amp;IF(COUNTIFS(tbl_Finance[Job Number],C392&amp;"",tbl_Finance[Cost Centre],"PRODUCTION")&gt;0,"PRODUCTION ","")&amp;IF(COUNTIFS(tbl_Finance[Job Number],C392&amp;"",tbl_Finance[Cost Centre],"VIDEO")&gt;0,"VIDEO ","")&amp;IF(COUNTIFS(tbl_Finance[Job Number],C392&amp;"",tbl_Finance[Cost Centre],"INTEGRATION")&gt;0,"INTEGRATION ","")&amp;IF(COUNTIFS(tbl_Finance[Job Number],C392&amp;"",tbl_Finance[Cost Centre],"CONSULTING")&gt;0,"CONSULTING ","")&amp;IF(COUNTIFS(tbl_Finance[Job Number],C392&amp;"",tbl_Finance[Cost Centre],"CTS")&gt;0,"CTS ",""))," ",", ")))</f>
        <v/>
      </c>
      <c r="L392" s="24" t="n"/>
      <c r="M392" s="24" t="n"/>
      <c r="N392" s="25">
        <f>IF(M392="","",HYPERLINK(IF(LEFT(M392,4)="http",M392,set_QwilrBase&amp;M392),"Open quote"))</f>
        <v/>
      </c>
      <c r="O392" s="64" t="n"/>
      <c r="P392" s="24" t="n"/>
      <c r="Q392" s="24" t="n"/>
    </row>
    <row r="393" ht="15" customHeight="1">
      <c r="A393" s="63">
        <f>IF(C393="","",IFERROR(IF(SUMPRODUCT(MAX((tbl_Finance[Job Number]=C393&amp;"")*(tbl_Finance[Xero Invoice No]&lt;&gt;"")*tbl_Finance[Date]))=0,"",SUMPRODUCT(MAX((tbl_Finance[Job Number]=C393&amp;"")*(tbl_Finance[Xero Invoice No]&lt;&gt;"")*tbl_Finance[Date]))),""))</f>
        <v/>
      </c>
      <c r="B393" s="25">
        <f>IF(C393="","",IF(COUNTIFS(tbl_Finance[Job Number],C393&amp;"",tbl_Finance[Xero Invoice No],"&lt;&gt;")=0,"",IFERROR(IF(COUNTIFS(tbl_Finance[Job Number],C393&amp;"",tbl_Finance[Xero Invoice No],LOOKUP(2,1/((tbl_Finance[Job Number]=C393&amp;"")*(tbl_Finance[Xero Invoice No]&lt;&gt;"")),tbl_Finance[Xero Invoice No]))=COUNTIFS(tbl_Finance[Job Number],C393&amp;"",tbl_Finance[Xero Invoice No],"&lt;&gt;"),LOOKUP(2,1/((tbl_Finance[Job Number]=C393&amp;"")*(tbl_Finance[Xero Invoice No]&lt;&gt;"")),tbl_Finance[Xero Invoice No]),LOOKUP(2,1/((tbl_Finance[Job Number]=C393&amp;"")*(tbl_Finance[Xero Invoice No]&lt;&gt;"")),tbl_Finance[Xero Invoice No])&amp;" +more"),"")))</f>
        <v/>
      </c>
      <c r="C393" s="24" t="n"/>
      <c r="D393" s="25">
        <f>IF(C393="","",IF(COUNTIF(lst_Jobs,C393&amp;"")&gt;0,"OK","CHECK"))</f>
        <v/>
      </c>
      <c r="E393" s="25">
        <f>IF(C393="","",IFERROR(INDEX(lst_JobName,MATCH(C393&amp;"",lst_Jobs,0)),""))</f>
        <v/>
      </c>
      <c r="F393" s="25">
        <f>IF(C393="","",IFERROR(INDEX(tbl_Finance[Client],MATCH(C393&amp;"",tbl_Finance[Job Number],0)),""))</f>
        <v/>
      </c>
      <c r="G393" s="28">
        <f>IF(C393="","",COUNTIFS(tbl_Finance[Job Number],C393&amp;"",tbl_Finance[Ex GST],"&lt;&gt;"))</f>
        <v/>
      </c>
      <c r="H393" s="27">
        <f>IF(C393="","",SUMIFS(tbl_Finance[Ex GST],tbl_Finance[Job Number],C393&amp;""))</f>
        <v/>
      </c>
      <c r="I393" s="27">
        <f>IF(C393="","",SUMIFS(tbl_Finance[Ex GST],tbl_Finance[Job Number],C393&amp;"",tbl_Finance[Xero Invoice No],"&lt;&gt;"))</f>
        <v/>
      </c>
      <c r="J393" s="27">
        <f>IF(C393="","",H393-I393)</f>
        <v/>
      </c>
      <c r="K393" s="25">
        <f>IF(C393="","",IF(G393=0,"not invoiced yet",SUBSTITUTE(TRIM(IF(COUNTIFS(tbl_Finance[Job Number],C393&amp;"",tbl_Finance[Cost Centre],"ONSITE")&gt;0,"ONSITE ","")&amp;IF(COUNTIFS(tbl_Finance[Job Number],C393&amp;"",tbl_Finance[Cost Centre],"PRODUCTION")&gt;0,"PRODUCTION ","")&amp;IF(COUNTIFS(tbl_Finance[Job Number],C393&amp;"",tbl_Finance[Cost Centre],"VIDEO")&gt;0,"VIDEO ","")&amp;IF(COUNTIFS(tbl_Finance[Job Number],C393&amp;"",tbl_Finance[Cost Centre],"INTEGRATION")&gt;0,"INTEGRATION ","")&amp;IF(COUNTIFS(tbl_Finance[Job Number],C393&amp;"",tbl_Finance[Cost Centre],"CONSULTING")&gt;0,"CONSULTING ","")&amp;IF(COUNTIFS(tbl_Finance[Job Number],C393&amp;"",tbl_Finance[Cost Centre],"CTS")&gt;0,"CTS ",""))," ",", ")))</f>
        <v/>
      </c>
      <c r="L393" s="24" t="n"/>
      <c r="M393" s="24" t="n"/>
      <c r="N393" s="25">
        <f>IF(M393="","",HYPERLINK(IF(LEFT(M393,4)="http",M393,set_QwilrBase&amp;M393),"Open quote"))</f>
        <v/>
      </c>
      <c r="O393" s="64" t="n"/>
      <c r="P393" s="24" t="n"/>
      <c r="Q393" s="24" t="n"/>
    </row>
    <row r="394" ht="15" customHeight="1">
      <c r="A394" s="63">
        <f>IF(C394="","",IFERROR(IF(SUMPRODUCT(MAX((tbl_Finance[Job Number]=C394&amp;"")*(tbl_Finance[Xero Invoice No]&lt;&gt;"")*tbl_Finance[Date]))=0,"",SUMPRODUCT(MAX((tbl_Finance[Job Number]=C394&amp;"")*(tbl_Finance[Xero Invoice No]&lt;&gt;"")*tbl_Finance[Date]))),""))</f>
        <v/>
      </c>
      <c r="B394" s="25">
        <f>IF(C394="","",IF(COUNTIFS(tbl_Finance[Job Number],C394&amp;"",tbl_Finance[Xero Invoice No],"&lt;&gt;")=0,"",IFERROR(IF(COUNTIFS(tbl_Finance[Job Number],C394&amp;"",tbl_Finance[Xero Invoice No],LOOKUP(2,1/((tbl_Finance[Job Number]=C394&amp;"")*(tbl_Finance[Xero Invoice No]&lt;&gt;"")),tbl_Finance[Xero Invoice No]))=COUNTIFS(tbl_Finance[Job Number],C394&amp;"",tbl_Finance[Xero Invoice No],"&lt;&gt;"),LOOKUP(2,1/((tbl_Finance[Job Number]=C394&amp;"")*(tbl_Finance[Xero Invoice No]&lt;&gt;"")),tbl_Finance[Xero Invoice No]),LOOKUP(2,1/((tbl_Finance[Job Number]=C394&amp;"")*(tbl_Finance[Xero Invoice No]&lt;&gt;"")),tbl_Finance[Xero Invoice No])&amp;" +more"),"")))</f>
        <v/>
      </c>
      <c r="C394" s="24" t="n"/>
      <c r="D394" s="25">
        <f>IF(C394="","",IF(COUNTIF(lst_Jobs,C394&amp;"")&gt;0,"OK","CHECK"))</f>
        <v/>
      </c>
      <c r="E394" s="25">
        <f>IF(C394="","",IFERROR(INDEX(lst_JobName,MATCH(C394&amp;"",lst_Jobs,0)),""))</f>
        <v/>
      </c>
      <c r="F394" s="25">
        <f>IF(C394="","",IFERROR(INDEX(tbl_Finance[Client],MATCH(C394&amp;"",tbl_Finance[Job Number],0)),""))</f>
        <v/>
      </c>
      <c r="G394" s="28">
        <f>IF(C394="","",COUNTIFS(tbl_Finance[Job Number],C394&amp;"",tbl_Finance[Ex GST],"&lt;&gt;"))</f>
        <v/>
      </c>
      <c r="H394" s="27">
        <f>IF(C394="","",SUMIFS(tbl_Finance[Ex GST],tbl_Finance[Job Number],C394&amp;""))</f>
        <v/>
      </c>
      <c r="I394" s="27">
        <f>IF(C394="","",SUMIFS(tbl_Finance[Ex GST],tbl_Finance[Job Number],C394&amp;"",tbl_Finance[Xero Invoice No],"&lt;&gt;"))</f>
        <v/>
      </c>
      <c r="J394" s="27">
        <f>IF(C394="","",H394-I394)</f>
        <v/>
      </c>
      <c r="K394" s="25">
        <f>IF(C394="","",IF(G394=0,"not invoiced yet",SUBSTITUTE(TRIM(IF(COUNTIFS(tbl_Finance[Job Number],C394&amp;"",tbl_Finance[Cost Centre],"ONSITE")&gt;0,"ONSITE ","")&amp;IF(COUNTIFS(tbl_Finance[Job Number],C394&amp;"",tbl_Finance[Cost Centre],"PRODUCTION")&gt;0,"PRODUCTION ","")&amp;IF(COUNTIFS(tbl_Finance[Job Number],C394&amp;"",tbl_Finance[Cost Centre],"VIDEO")&gt;0,"VIDEO ","")&amp;IF(COUNTIFS(tbl_Finance[Job Number],C394&amp;"",tbl_Finance[Cost Centre],"INTEGRATION")&gt;0,"INTEGRATION ","")&amp;IF(COUNTIFS(tbl_Finance[Job Number],C394&amp;"",tbl_Finance[Cost Centre],"CONSULTING")&gt;0,"CONSULTING ","")&amp;IF(COUNTIFS(tbl_Finance[Job Number],C394&amp;"",tbl_Finance[Cost Centre],"CTS")&gt;0,"CTS ",""))," ",", ")))</f>
        <v/>
      </c>
      <c r="L394" s="24" t="n"/>
      <c r="M394" s="24" t="n"/>
      <c r="N394" s="25">
        <f>IF(M394="","",HYPERLINK(IF(LEFT(M394,4)="http",M394,set_QwilrBase&amp;M394),"Open quote"))</f>
        <v/>
      </c>
      <c r="O394" s="64" t="n"/>
      <c r="P394" s="24" t="n"/>
      <c r="Q394" s="24" t="n"/>
    </row>
    <row r="395" ht="15" customHeight="1">
      <c r="A395" s="63">
        <f>IF(C395="","",IFERROR(IF(SUMPRODUCT(MAX((tbl_Finance[Job Number]=C395&amp;"")*(tbl_Finance[Xero Invoice No]&lt;&gt;"")*tbl_Finance[Date]))=0,"",SUMPRODUCT(MAX((tbl_Finance[Job Number]=C395&amp;"")*(tbl_Finance[Xero Invoice No]&lt;&gt;"")*tbl_Finance[Date]))),""))</f>
        <v/>
      </c>
      <c r="B395" s="25">
        <f>IF(C395="","",IF(COUNTIFS(tbl_Finance[Job Number],C395&amp;"",tbl_Finance[Xero Invoice No],"&lt;&gt;")=0,"",IFERROR(IF(COUNTIFS(tbl_Finance[Job Number],C395&amp;"",tbl_Finance[Xero Invoice No],LOOKUP(2,1/((tbl_Finance[Job Number]=C395&amp;"")*(tbl_Finance[Xero Invoice No]&lt;&gt;"")),tbl_Finance[Xero Invoice No]))=COUNTIFS(tbl_Finance[Job Number],C395&amp;"",tbl_Finance[Xero Invoice No],"&lt;&gt;"),LOOKUP(2,1/((tbl_Finance[Job Number]=C395&amp;"")*(tbl_Finance[Xero Invoice No]&lt;&gt;"")),tbl_Finance[Xero Invoice No]),LOOKUP(2,1/((tbl_Finance[Job Number]=C395&amp;"")*(tbl_Finance[Xero Invoice No]&lt;&gt;"")),tbl_Finance[Xero Invoice No])&amp;" +more"),"")))</f>
        <v/>
      </c>
      <c r="C395" s="24" t="n"/>
      <c r="D395" s="25">
        <f>IF(C395="","",IF(COUNTIF(lst_Jobs,C395&amp;"")&gt;0,"OK","CHECK"))</f>
        <v/>
      </c>
      <c r="E395" s="25">
        <f>IF(C395="","",IFERROR(INDEX(lst_JobName,MATCH(C395&amp;"",lst_Jobs,0)),""))</f>
        <v/>
      </c>
      <c r="F395" s="25">
        <f>IF(C395="","",IFERROR(INDEX(tbl_Finance[Client],MATCH(C395&amp;"",tbl_Finance[Job Number],0)),""))</f>
        <v/>
      </c>
      <c r="G395" s="28">
        <f>IF(C395="","",COUNTIFS(tbl_Finance[Job Number],C395&amp;"",tbl_Finance[Ex GST],"&lt;&gt;"))</f>
        <v/>
      </c>
      <c r="H395" s="27">
        <f>IF(C395="","",SUMIFS(tbl_Finance[Ex GST],tbl_Finance[Job Number],C395&amp;""))</f>
        <v/>
      </c>
      <c r="I395" s="27">
        <f>IF(C395="","",SUMIFS(tbl_Finance[Ex GST],tbl_Finance[Job Number],C395&amp;"",tbl_Finance[Xero Invoice No],"&lt;&gt;"))</f>
        <v/>
      </c>
      <c r="J395" s="27">
        <f>IF(C395="","",H395-I395)</f>
        <v/>
      </c>
      <c r="K395" s="25">
        <f>IF(C395="","",IF(G395=0,"not invoiced yet",SUBSTITUTE(TRIM(IF(COUNTIFS(tbl_Finance[Job Number],C395&amp;"",tbl_Finance[Cost Centre],"ONSITE")&gt;0,"ONSITE ","")&amp;IF(COUNTIFS(tbl_Finance[Job Number],C395&amp;"",tbl_Finance[Cost Centre],"PRODUCTION")&gt;0,"PRODUCTION ","")&amp;IF(COUNTIFS(tbl_Finance[Job Number],C395&amp;"",tbl_Finance[Cost Centre],"VIDEO")&gt;0,"VIDEO ","")&amp;IF(COUNTIFS(tbl_Finance[Job Number],C395&amp;"",tbl_Finance[Cost Centre],"INTEGRATION")&gt;0,"INTEGRATION ","")&amp;IF(COUNTIFS(tbl_Finance[Job Number],C395&amp;"",tbl_Finance[Cost Centre],"CONSULTING")&gt;0,"CONSULTING ","")&amp;IF(COUNTIFS(tbl_Finance[Job Number],C395&amp;"",tbl_Finance[Cost Centre],"CTS")&gt;0,"CTS ",""))," ",", ")))</f>
        <v/>
      </c>
      <c r="L395" s="24" t="n"/>
      <c r="M395" s="24" t="n"/>
      <c r="N395" s="25">
        <f>IF(M395="","",HYPERLINK(IF(LEFT(M395,4)="http",M395,set_QwilrBase&amp;M395),"Open quote"))</f>
        <v/>
      </c>
      <c r="O395" s="64" t="n"/>
      <c r="P395" s="24" t="n"/>
      <c r="Q395" s="24" t="n"/>
    </row>
    <row r="396" ht="15" customHeight="1">
      <c r="A396" s="63">
        <f>IF(C396="","",IFERROR(IF(SUMPRODUCT(MAX((tbl_Finance[Job Number]=C396&amp;"")*(tbl_Finance[Xero Invoice No]&lt;&gt;"")*tbl_Finance[Date]))=0,"",SUMPRODUCT(MAX((tbl_Finance[Job Number]=C396&amp;"")*(tbl_Finance[Xero Invoice No]&lt;&gt;"")*tbl_Finance[Date]))),""))</f>
        <v/>
      </c>
      <c r="B396" s="25">
        <f>IF(C396="","",IF(COUNTIFS(tbl_Finance[Job Number],C396&amp;"",tbl_Finance[Xero Invoice No],"&lt;&gt;")=0,"",IFERROR(IF(COUNTIFS(tbl_Finance[Job Number],C396&amp;"",tbl_Finance[Xero Invoice No],LOOKUP(2,1/((tbl_Finance[Job Number]=C396&amp;"")*(tbl_Finance[Xero Invoice No]&lt;&gt;"")),tbl_Finance[Xero Invoice No]))=COUNTIFS(tbl_Finance[Job Number],C396&amp;"",tbl_Finance[Xero Invoice No],"&lt;&gt;"),LOOKUP(2,1/((tbl_Finance[Job Number]=C396&amp;"")*(tbl_Finance[Xero Invoice No]&lt;&gt;"")),tbl_Finance[Xero Invoice No]),LOOKUP(2,1/((tbl_Finance[Job Number]=C396&amp;"")*(tbl_Finance[Xero Invoice No]&lt;&gt;"")),tbl_Finance[Xero Invoice No])&amp;" +more"),"")))</f>
        <v/>
      </c>
      <c r="C396" s="24" t="n"/>
      <c r="D396" s="25">
        <f>IF(C396="","",IF(COUNTIF(lst_Jobs,C396&amp;"")&gt;0,"OK","CHECK"))</f>
        <v/>
      </c>
      <c r="E396" s="25">
        <f>IF(C396="","",IFERROR(INDEX(lst_JobName,MATCH(C396&amp;"",lst_Jobs,0)),""))</f>
        <v/>
      </c>
      <c r="F396" s="25">
        <f>IF(C396="","",IFERROR(INDEX(tbl_Finance[Client],MATCH(C396&amp;"",tbl_Finance[Job Number],0)),""))</f>
        <v/>
      </c>
      <c r="G396" s="28">
        <f>IF(C396="","",COUNTIFS(tbl_Finance[Job Number],C396&amp;"",tbl_Finance[Ex GST],"&lt;&gt;"))</f>
        <v/>
      </c>
      <c r="H396" s="27">
        <f>IF(C396="","",SUMIFS(tbl_Finance[Ex GST],tbl_Finance[Job Number],C396&amp;""))</f>
        <v/>
      </c>
      <c r="I396" s="27">
        <f>IF(C396="","",SUMIFS(tbl_Finance[Ex GST],tbl_Finance[Job Number],C396&amp;"",tbl_Finance[Xero Invoice No],"&lt;&gt;"))</f>
        <v/>
      </c>
      <c r="J396" s="27">
        <f>IF(C396="","",H396-I396)</f>
        <v/>
      </c>
      <c r="K396" s="25">
        <f>IF(C396="","",IF(G396=0,"not invoiced yet",SUBSTITUTE(TRIM(IF(COUNTIFS(tbl_Finance[Job Number],C396&amp;"",tbl_Finance[Cost Centre],"ONSITE")&gt;0,"ONSITE ","")&amp;IF(COUNTIFS(tbl_Finance[Job Number],C396&amp;"",tbl_Finance[Cost Centre],"PRODUCTION")&gt;0,"PRODUCTION ","")&amp;IF(COUNTIFS(tbl_Finance[Job Number],C396&amp;"",tbl_Finance[Cost Centre],"VIDEO")&gt;0,"VIDEO ","")&amp;IF(COUNTIFS(tbl_Finance[Job Number],C396&amp;"",tbl_Finance[Cost Centre],"INTEGRATION")&gt;0,"INTEGRATION ","")&amp;IF(COUNTIFS(tbl_Finance[Job Number],C396&amp;"",tbl_Finance[Cost Centre],"CONSULTING")&gt;0,"CONSULTING ","")&amp;IF(COUNTIFS(tbl_Finance[Job Number],C396&amp;"",tbl_Finance[Cost Centre],"CTS")&gt;0,"CTS ",""))," ",", ")))</f>
        <v/>
      </c>
      <c r="L396" s="24" t="n"/>
      <c r="M396" s="24" t="n"/>
      <c r="N396" s="25">
        <f>IF(M396="","",HYPERLINK(IF(LEFT(M396,4)="http",M396,set_QwilrBase&amp;M396),"Open quote"))</f>
        <v/>
      </c>
      <c r="O396" s="64" t="n"/>
      <c r="P396" s="24" t="n"/>
      <c r="Q396" s="24" t="n"/>
    </row>
    <row r="397" ht="15" customHeight="1">
      <c r="A397" s="63">
        <f>IF(C397="","",IFERROR(IF(SUMPRODUCT(MAX((tbl_Finance[Job Number]=C397&amp;"")*(tbl_Finance[Xero Invoice No]&lt;&gt;"")*tbl_Finance[Date]))=0,"",SUMPRODUCT(MAX((tbl_Finance[Job Number]=C397&amp;"")*(tbl_Finance[Xero Invoice No]&lt;&gt;"")*tbl_Finance[Date]))),""))</f>
        <v/>
      </c>
      <c r="B397" s="25">
        <f>IF(C397="","",IF(COUNTIFS(tbl_Finance[Job Number],C397&amp;"",tbl_Finance[Xero Invoice No],"&lt;&gt;")=0,"",IFERROR(IF(COUNTIFS(tbl_Finance[Job Number],C397&amp;"",tbl_Finance[Xero Invoice No],LOOKUP(2,1/((tbl_Finance[Job Number]=C397&amp;"")*(tbl_Finance[Xero Invoice No]&lt;&gt;"")),tbl_Finance[Xero Invoice No]))=COUNTIFS(tbl_Finance[Job Number],C397&amp;"",tbl_Finance[Xero Invoice No],"&lt;&gt;"),LOOKUP(2,1/((tbl_Finance[Job Number]=C397&amp;"")*(tbl_Finance[Xero Invoice No]&lt;&gt;"")),tbl_Finance[Xero Invoice No]),LOOKUP(2,1/((tbl_Finance[Job Number]=C397&amp;"")*(tbl_Finance[Xero Invoice No]&lt;&gt;"")),tbl_Finance[Xero Invoice No])&amp;" +more"),"")))</f>
        <v/>
      </c>
      <c r="C397" s="24" t="n"/>
      <c r="D397" s="25">
        <f>IF(C397="","",IF(COUNTIF(lst_Jobs,C397&amp;"")&gt;0,"OK","CHECK"))</f>
        <v/>
      </c>
      <c r="E397" s="25">
        <f>IF(C397="","",IFERROR(INDEX(lst_JobName,MATCH(C397&amp;"",lst_Jobs,0)),""))</f>
        <v/>
      </c>
      <c r="F397" s="25">
        <f>IF(C397="","",IFERROR(INDEX(tbl_Finance[Client],MATCH(C397&amp;"",tbl_Finance[Job Number],0)),""))</f>
        <v/>
      </c>
      <c r="G397" s="28">
        <f>IF(C397="","",COUNTIFS(tbl_Finance[Job Number],C397&amp;"",tbl_Finance[Ex GST],"&lt;&gt;"))</f>
        <v/>
      </c>
      <c r="H397" s="27">
        <f>IF(C397="","",SUMIFS(tbl_Finance[Ex GST],tbl_Finance[Job Number],C397&amp;""))</f>
        <v/>
      </c>
      <c r="I397" s="27">
        <f>IF(C397="","",SUMIFS(tbl_Finance[Ex GST],tbl_Finance[Job Number],C397&amp;"",tbl_Finance[Xero Invoice No],"&lt;&gt;"))</f>
        <v/>
      </c>
      <c r="J397" s="27">
        <f>IF(C397="","",H397-I397)</f>
        <v/>
      </c>
      <c r="K397" s="25">
        <f>IF(C397="","",IF(G397=0,"not invoiced yet",SUBSTITUTE(TRIM(IF(COUNTIFS(tbl_Finance[Job Number],C397&amp;"",tbl_Finance[Cost Centre],"ONSITE")&gt;0,"ONSITE ","")&amp;IF(COUNTIFS(tbl_Finance[Job Number],C397&amp;"",tbl_Finance[Cost Centre],"PRODUCTION")&gt;0,"PRODUCTION ","")&amp;IF(COUNTIFS(tbl_Finance[Job Number],C397&amp;"",tbl_Finance[Cost Centre],"VIDEO")&gt;0,"VIDEO ","")&amp;IF(COUNTIFS(tbl_Finance[Job Number],C397&amp;"",tbl_Finance[Cost Centre],"INTEGRATION")&gt;0,"INTEGRATION ","")&amp;IF(COUNTIFS(tbl_Finance[Job Number],C397&amp;"",tbl_Finance[Cost Centre],"CONSULTING")&gt;0,"CONSULTING ","")&amp;IF(COUNTIFS(tbl_Finance[Job Number],C397&amp;"",tbl_Finance[Cost Centre],"CTS")&gt;0,"CTS ",""))," ",", ")))</f>
        <v/>
      </c>
      <c r="L397" s="24" t="n"/>
      <c r="M397" s="24" t="n"/>
      <c r="N397" s="25">
        <f>IF(M397="","",HYPERLINK(IF(LEFT(M397,4)="http",M397,set_QwilrBase&amp;M397),"Open quote"))</f>
        <v/>
      </c>
      <c r="O397" s="64" t="n"/>
      <c r="P397" s="24" t="n"/>
      <c r="Q397" s="24" t="n"/>
    </row>
    <row r="398" ht="15" customHeight="1">
      <c r="A398" s="63">
        <f>IF(C398="","",IFERROR(IF(SUMPRODUCT(MAX((tbl_Finance[Job Number]=C398&amp;"")*(tbl_Finance[Xero Invoice No]&lt;&gt;"")*tbl_Finance[Date]))=0,"",SUMPRODUCT(MAX((tbl_Finance[Job Number]=C398&amp;"")*(tbl_Finance[Xero Invoice No]&lt;&gt;"")*tbl_Finance[Date]))),""))</f>
        <v/>
      </c>
      <c r="B398" s="25">
        <f>IF(C398="","",IF(COUNTIFS(tbl_Finance[Job Number],C398&amp;"",tbl_Finance[Xero Invoice No],"&lt;&gt;")=0,"",IFERROR(IF(COUNTIFS(tbl_Finance[Job Number],C398&amp;"",tbl_Finance[Xero Invoice No],LOOKUP(2,1/((tbl_Finance[Job Number]=C398&amp;"")*(tbl_Finance[Xero Invoice No]&lt;&gt;"")),tbl_Finance[Xero Invoice No]))=COUNTIFS(tbl_Finance[Job Number],C398&amp;"",tbl_Finance[Xero Invoice No],"&lt;&gt;"),LOOKUP(2,1/((tbl_Finance[Job Number]=C398&amp;"")*(tbl_Finance[Xero Invoice No]&lt;&gt;"")),tbl_Finance[Xero Invoice No]),LOOKUP(2,1/((tbl_Finance[Job Number]=C398&amp;"")*(tbl_Finance[Xero Invoice No]&lt;&gt;"")),tbl_Finance[Xero Invoice No])&amp;" +more"),"")))</f>
        <v/>
      </c>
      <c r="C398" s="24" t="n"/>
      <c r="D398" s="25">
        <f>IF(C398="","",IF(COUNTIF(lst_Jobs,C398&amp;"")&gt;0,"OK","CHECK"))</f>
        <v/>
      </c>
      <c r="E398" s="25">
        <f>IF(C398="","",IFERROR(INDEX(lst_JobName,MATCH(C398&amp;"",lst_Jobs,0)),""))</f>
        <v/>
      </c>
      <c r="F398" s="25">
        <f>IF(C398="","",IFERROR(INDEX(tbl_Finance[Client],MATCH(C398&amp;"",tbl_Finance[Job Number],0)),""))</f>
        <v/>
      </c>
      <c r="G398" s="28">
        <f>IF(C398="","",COUNTIFS(tbl_Finance[Job Number],C398&amp;"",tbl_Finance[Ex GST],"&lt;&gt;"))</f>
        <v/>
      </c>
      <c r="H398" s="27">
        <f>IF(C398="","",SUMIFS(tbl_Finance[Ex GST],tbl_Finance[Job Number],C398&amp;""))</f>
        <v/>
      </c>
      <c r="I398" s="27">
        <f>IF(C398="","",SUMIFS(tbl_Finance[Ex GST],tbl_Finance[Job Number],C398&amp;"",tbl_Finance[Xero Invoice No],"&lt;&gt;"))</f>
        <v/>
      </c>
      <c r="J398" s="27">
        <f>IF(C398="","",H398-I398)</f>
        <v/>
      </c>
      <c r="K398" s="25">
        <f>IF(C398="","",IF(G398=0,"not invoiced yet",SUBSTITUTE(TRIM(IF(COUNTIFS(tbl_Finance[Job Number],C398&amp;"",tbl_Finance[Cost Centre],"ONSITE")&gt;0,"ONSITE ","")&amp;IF(COUNTIFS(tbl_Finance[Job Number],C398&amp;"",tbl_Finance[Cost Centre],"PRODUCTION")&gt;0,"PRODUCTION ","")&amp;IF(COUNTIFS(tbl_Finance[Job Number],C398&amp;"",tbl_Finance[Cost Centre],"VIDEO")&gt;0,"VIDEO ","")&amp;IF(COUNTIFS(tbl_Finance[Job Number],C398&amp;"",tbl_Finance[Cost Centre],"INTEGRATION")&gt;0,"INTEGRATION ","")&amp;IF(COUNTIFS(tbl_Finance[Job Number],C398&amp;"",tbl_Finance[Cost Centre],"CONSULTING")&gt;0,"CONSULTING ","")&amp;IF(COUNTIFS(tbl_Finance[Job Number],C398&amp;"",tbl_Finance[Cost Centre],"CTS")&gt;0,"CTS ",""))," ",", ")))</f>
        <v/>
      </c>
      <c r="L398" s="24" t="n"/>
      <c r="M398" s="24" t="n"/>
      <c r="N398" s="25">
        <f>IF(M398="","",HYPERLINK(IF(LEFT(M398,4)="http",M398,set_QwilrBase&amp;M398),"Open quote"))</f>
        <v/>
      </c>
      <c r="O398" s="64" t="n"/>
      <c r="P398" s="24" t="n"/>
      <c r="Q398" s="24" t="n"/>
    </row>
    <row r="399" ht="15" customHeight="1">
      <c r="A399" s="63">
        <f>IF(C399="","",IFERROR(IF(SUMPRODUCT(MAX((tbl_Finance[Job Number]=C399&amp;"")*(tbl_Finance[Xero Invoice No]&lt;&gt;"")*tbl_Finance[Date]))=0,"",SUMPRODUCT(MAX((tbl_Finance[Job Number]=C399&amp;"")*(tbl_Finance[Xero Invoice No]&lt;&gt;"")*tbl_Finance[Date]))),""))</f>
        <v/>
      </c>
      <c r="B399" s="25">
        <f>IF(C399="","",IF(COUNTIFS(tbl_Finance[Job Number],C399&amp;"",tbl_Finance[Xero Invoice No],"&lt;&gt;")=0,"",IFERROR(IF(COUNTIFS(tbl_Finance[Job Number],C399&amp;"",tbl_Finance[Xero Invoice No],LOOKUP(2,1/((tbl_Finance[Job Number]=C399&amp;"")*(tbl_Finance[Xero Invoice No]&lt;&gt;"")),tbl_Finance[Xero Invoice No]))=COUNTIFS(tbl_Finance[Job Number],C399&amp;"",tbl_Finance[Xero Invoice No],"&lt;&gt;"),LOOKUP(2,1/((tbl_Finance[Job Number]=C399&amp;"")*(tbl_Finance[Xero Invoice No]&lt;&gt;"")),tbl_Finance[Xero Invoice No]),LOOKUP(2,1/((tbl_Finance[Job Number]=C399&amp;"")*(tbl_Finance[Xero Invoice No]&lt;&gt;"")),tbl_Finance[Xero Invoice No])&amp;" +more"),"")))</f>
        <v/>
      </c>
      <c r="C399" s="24" t="n"/>
      <c r="D399" s="25">
        <f>IF(C399="","",IF(COUNTIF(lst_Jobs,C399&amp;"")&gt;0,"OK","CHECK"))</f>
        <v/>
      </c>
      <c r="E399" s="25">
        <f>IF(C399="","",IFERROR(INDEX(lst_JobName,MATCH(C399&amp;"",lst_Jobs,0)),""))</f>
        <v/>
      </c>
      <c r="F399" s="25">
        <f>IF(C399="","",IFERROR(INDEX(tbl_Finance[Client],MATCH(C399&amp;"",tbl_Finance[Job Number],0)),""))</f>
        <v/>
      </c>
      <c r="G399" s="28">
        <f>IF(C399="","",COUNTIFS(tbl_Finance[Job Number],C399&amp;"",tbl_Finance[Ex GST],"&lt;&gt;"))</f>
        <v/>
      </c>
      <c r="H399" s="27">
        <f>IF(C399="","",SUMIFS(tbl_Finance[Ex GST],tbl_Finance[Job Number],C399&amp;""))</f>
        <v/>
      </c>
      <c r="I399" s="27">
        <f>IF(C399="","",SUMIFS(tbl_Finance[Ex GST],tbl_Finance[Job Number],C399&amp;"",tbl_Finance[Xero Invoice No],"&lt;&gt;"))</f>
        <v/>
      </c>
      <c r="J399" s="27">
        <f>IF(C399="","",H399-I399)</f>
        <v/>
      </c>
      <c r="K399" s="25">
        <f>IF(C399="","",IF(G399=0,"not invoiced yet",SUBSTITUTE(TRIM(IF(COUNTIFS(tbl_Finance[Job Number],C399&amp;"",tbl_Finance[Cost Centre],"ONSITE")&gt;0,"ONSITE ","")&amp;IF(COUNTIFS(tbl_Finance[Job Number],C399&amp;"",tbl_Finance[Cost Centre],"PRODUCTION")&gt;0,"PRODUCTION ","")&amp;IF(COUNTIFS(tbl_Finance[Job Number],C399&amp;"",tbl_Finance[Cost Centre],"VIDEO")&gt;0,"VIDEO ","")&amp;IF(COUNTIFS(tbl_Finance[Job Number],C399&amp;"",tbl_Finance[Cost Centre],"INTEGRATION")&gt;0,"INTEGRATION ","")&amp;IF(COUNTIFS(tbl_Finance[Job Number],C399&amp;"",tbl_Finance[Cost Centre],"CONSULTING")&gt;0,"CONSULTING ","")&amp;IF(COUNTIFS(tbl_Finance[Job Number],C399&amp;"",tbl_Finance[Cost Centre],"CTS")&gt;0,"CTS ",""))," ",", ")))</f>
        <v/>
      </c>
      <c r="L399" s="24" t="n"/>
      <c r="M399" s="24" t="n"/>
      <c r="N399" s="25">
        <f>IF(M399="","",HYPERLINK(IF(LEFT(M399,4)="http",M399,set_QwilrBase&amp;M399),"Open quote"))</f>
        <v/>
      </c>
      <c r="O399" s="64" t="n"/>
      <c r="P399" s="24" t="n"/>
      <c r="Q399" s="24" t="n"/>
    </row>
    <row r="400" ht="15" customHeight="1">
      <c r="A400" s="63">
        <f>IF(C400="","",IFERROR(IF(SUMPRODUCT(MAX((tbl_Finance[Job Number]=C400&amp;"")*(tbl_Finance[Xero Invoice No]&lt;&gt;"")*tbl_Finance[Date]))=0,"",SUMPRODUCT(MAX((tbl_Finance[Job Number]=C400&amp;"")*(tbl_Finance[Xero Invoice No]&lt;&gt;"")*tbl_Finance[Date]))),""))</f>
        <v/>
      </c>
      <c r="B400" s="25">
        <f>IF(C400="","",IF(COUNTIFS(tbl_Finance[Job Number],C400&amp;"",tbl_Finance[Xero Invoice No],"&lt;&gt;")=0,"",IFERROR(IF(COUNTIFS(tbl_Finance[Job Number],C400&amp;"",tbl_Finance[Xero Invoice No],LOOKUP(2,1/((tbl_Finance[Job Number]=C400&amp;"")*(tbl_Finance[Xero Invoice No]&lt;&gt;"")),tbl_Finance[Xero Invoice No]))=COUNTIFS(tbl_Finance[Job Number],C400&amp;"",tbl_Finance[Xero Invoice No],"&lt;&gt;"),LOOKUP(2,1/((tbl_Finance[Job Number]=C400&amp;"")*(tbl_Finance[Xero Invoice No]&lt;&gt;"")),tbl_Finance[Xero Invoice No]),LOOKUP(2,1/((tbl_Finance[Job Number]=C400&amp;"")*(tbl_Finance[Xero Invoice No]&lt;&gt;"")),tbl_Finance[Xero Invoice No])&amp;" +more"),"")))</f>
        <v/>
      </c>
      <c r="C400" s="24" t="n"/>
      <c r="D400" s="25">
        <f>IF(C400="","",IF(COUNTIF(lst_Jobs,C400&amp;"")&gt;0,"OK","CHECK"))</f>
        <v/>
      </c>
      <c r="E400" s="25">
        <f>IF(C400="","",IFERROR(INDEX(lst_JobName,MATCH(C400&amp;"",lst_Jobs,0)),""))</f>
        <v/>
      </c>
      <c r="F400" s="25">
        <f>IF(C400="","",IFERROR(INDEX(tbl_Finance[Client],MATCH(C400&amp;"",tbl_Finance[Job Number],0)),""))</f>
        <v/>
      </c>
      <c r="G400" s="28">
        <f>IF(C400="","",COUNTIFS(tbl_Finance[Job Number],C400&amp;"",tbl_Finance[Ex GST],"&lt;&gt;"))</f>
        <v/>
      </c>
      <c r="H400" s="27">
        <f>IF(C400="","",SUMIFS(tbl_Finance[Ex GST],tbl_Finance[Job Number],C400&amp;""))</f>
        <v/>
      </c>
      <c r="I400" s="27">
        <f>IF(C400="","",SUMIFS(tbl_Finance[Ex GST],tbl_Finance[Job Number],C400&amp;"",tbl_Finance[Xero Invoice No],"&lt;&gt;"))</f>
        <v/>
      </c>
      <c r="J400" s="27">
        <f>IF(C400="","",H400-I400)</f>
        <v/>
      </c>
      <c r="K400" s="25">
        <f>IF(C400="","",IF(G400=0,"not invoiced yet",SUBSTITUTE(TRIM(IF(COUNTIFS(tbl_Finance[Job Number],C400&amp;"",tbl_Finance[Cost Centre],"ONSITE")&gt;0,"ONSITE ","")&amp;IF(COUNTIFS(tbl_Finance[Job Number],C400&amp;"",tbl_Finance[Cost Centre],"PRODUCTION")&gt;0,"PRODUCTION ","")&amp;IF(COUNTIFS(tbl_Finance[Job Number],C400&amp;"",tbl_Finance[Cost Centre],"VIDEO")&gt;0,"VIDEO ","")&amp;IF(COUNTIFS(tbl_Finance[Job Number],C400&amp;"",tbl_Finance[Cost Centre],"INTEGRATION")&gt;0,"INTEGRATION ","")&amp;IF(COUNTIFS(tbl_Finance[Job Number],C400&amp;"",tbl_Finance[Cost Centre],"CONSULTING")&gt;0,"CONSULTING ","")&amp;IF(COUNTIFS(tbl_Finance[Job Number],C400&amp;"",tbl_Finance[Cost Centre],"CTS")&gt;0,"CTS ",""))," ",", ")))</f>
        <v/>
      </c>
      <c r="L400" s="24" t="n"/>
      <c r="M400" s="24" t="n"/>
      <c r="N400" s="25">
        <f>IF(M400="","",HYPERLINK(IF(LEFT(M400,4)="http",M400,set_QwilrBase&amp;M400),"Open quote"))</f>
        <v/>
      </c>
      <c r="O400" s="64" t="n"/>
      <c r="P400" s="24" t="n"/>
      <c r="Q400" s="24" t="n"/>
    </row>
    <row r="401" ht="15" customHeight="1">
      <c r="A401" s="63">
        <f>IF(C401="","",IFERROR(IF(SUMPRODUCT(MAX((tbl_Finance[Job Number]=C401&amp;"")*(tbl_Finance[Xero Invoice No]&lt;&gt;"")*tbl_Finance[Date]))=0,"",SUMPRODUCT(MAX((tbl_Finance[Job Number]=C401&amp;"")*(tbl_Finance[Xero Invoice No]&lt;&gt;"")*tbl_Finance[Date]))),""))</f>
        <v/>
      </c>
      <c r="B401" s="25">
        <f>IF(C401="","",IF(COUNTIFS(tbl_Finance[Job Number],C401&amp;"",tbl_Finance[Xero Invoice No],"&lt;&gt;")=0,"",IFERROR(IF(COUNTIFS(tbl_Finance[Job Number],C401&amp;"",tbl_Finance[Xero Invoice No],LOOKUP(2,1/((tbl_Finance[Job Number]=C401&amp;"")*(tbl_Finance[Xero Invoice No]&lt;&gt;"")),tbl_Finance[Xero Invoice No]))=COUNTIFS(tbl_Finance[Job Number],C401&amp;"",tbl_Finance[Xero Invoice No],"&lt;&gt;"),LOOKUP(2,1/((tbl_Finance[Job Number]=C401&amp;"")*(tbl_Finance[Xero Invoice No]&lt;&gt;"")),tbl_Finance[Xero Invoice No]),LOOKUP(2,1/((tbl_Finance[Job Number]=C401&amp;"")*(tbl_Finance[Xero Invoice No]&lt;&gt;"")),tbl_Finance[Xero Invoice No])&amp;" +more"),"")))</f>
        <v/>
      </c>
      <c r="C401" s="24" t="n"/>
      <c r="D401" s="25">
        <f>IF(C401="","",IF(COUNTIF(lst_Jobs,C401&amp;"")&gt;0,"OK","CHECK"))</f>
        <v/>
      </c>
      <c r="E401" s="25">
        <f>IF(C401="","",IFERROR(INDEX(lst_JobName,MATCH(C401&amp;"",lst_Jobs,0)),""))</f>
        <v/>
      </c>
      <c r="F401" s="25">
        <f>IF(C401="","",IFERROR(INDEX(tbl_Finance[Client],MATCH(C401&amp;"",tbl_Finance[Job Number],0)),""))</f>
        <v/>
      </c>
      <c r="G401" s="28">
        <f>IF(C401="","",COUNTIFS(tbl_Finance[Job Number],C401&amp;"",tbl_Finance[Ex GST],"&lt;&gt;"))</f>
        <v/>
      </c>
      <c r="H401" s="27">
        <f>IF(C401="","",SUMIFS(tbl_Finance[Ex GST],tbl_Finance[Job Number],C401&amp;""))</f>
        <v/>
      </c>
      <c r="I401" s="27">
        <f>IF(C401="","",SUMIFS(tbl_Finance[Ex GST],tbl_Finance[Job Number],C401&amp;"",tbl_Finance[Xero Invoice No],"&lt;&gt;"))</f>
        <v/>
      </c>
      <c r="J401" s="27">
        <f>IF(C401="","",H401-I401)</f>
        <v/>
      </c>
      <c r="K401" s="25">
        <f>IF(C401="","",IF(G401=0,"not invoiced yet",SUBSTITUTE(TRIM(IF(COUNTIFS(tbl_Finance[Job Number],C401&amp;"",tbl_Finance[Cost Centre],"ONSITE")&gt;0,"ONSITE ","")&amp;IF(COUNTIFS(tbl_Finance[Job Number],C401&amp;"",tbl_Finance[Cost Centre],"PRODUCTION")&gt;0,"PRODUCTION ","")&amp;IF(COUNTIFS(tbl_Finance[Job Number],C401&amp;"",tbl_Finance[Cost Centre],"VIDEO")&gt;0,"VIDEO ","")&amp;IF(COUNTIFS(tbl_Finance[Job Number],C401&amp;"",tbl_Finance[Cost Centre],"INTEGRATION")&gt;0,"INTEGRATION ","")&amp;IF(COUNTIFS(tbl_Finance[Job Number],C401&amp;"",tbl_Finance[Cost Centre],"CONSULTING")&gt;0,"CONSULTING ","")&amp;IF(COUNTIFS(tbl_Finance[Job Number],C401&amp;"",tbl_Finance[Cost Centre],"CTS")&gt;0,"CTS ",""))," ",", ")))</f>
        <v/>
      </c>
      <c r="L401" s="24" t="n"/>
      <c r="M401" s="24" t="n"/>
      <c r="N401" s="25">
        <f>IF(M401="","",HYPERLINK(IF(LEFT(M401,4)="http",M401,set_QwilrBase&amp;M401),"Open quote"))</f>
        <v/>
      </c>
      <c r="O401" s="64" t="n"/>
      <c r="P401" s="24" t="n"/>
      <c r="Q401" s="24" t="n"/>
    </row>
    <row r="402" ht="15" customHeight="1">
      <c r="A402" s="63">
        <f>IF(C402="","",IFERROR(IF(SUMPRODUCT(MAX((tbl_Finance[Job Number]=C402&amp;"")*(tbl_Finance[Xero Invoice No]&lt;&gt;"")*tbl_Finance[Date]))=0,"",SUMPRODUCT(MAX((tbl_Finance[Job Number]=C402&amp;"")*(tbl_Finance[Xero Invoice No]&lt;&gt;"")*tbl_Finance[Date]))),""))</f>
        <v/>
      </c>
      <c r="B402" s="25">
        <f>IF(C402="","",IF(COUNTIFS(tbl_Finance[Job Number],C402&amp;"",tbl_Finance[Xero Invoice No],"&lt;&gt;")=0,"",IFERROR(IF(COUNTIFS(tbl_Finance[Job Number],C402&amp;"",tbl_Finance[Xero Invoice No],LOOKUP(2,1/((tbl_Finance[Job Number]=C402&amp;"")*(tbl_Finance[Xero Invoice No]&lt;&gt;"")),tbl_Finance[Xero Invoice No]))=COUNTIFS(tbl_Finance[Job Number],C402&amp;"",tbl_Finance[Xero Invoice No],"&lt;&gt;"),LOOKUP(2,1/((tbl_Finance[Job Number]=C402&amp;"")*(tbl_Finance[Xero Invoice No]&lt;&gt;"")),tbl_Finance[Xero Invoice No]),LOOKUP(2,1/((tbl_Finance[Job Number]=C402&amp;"")*(tbl_Finance[Xero Invoice No]&lt;&gt;"")),tbl_Finance[Xero Invoice No])&amp;" +more"),"")))</f>
        <v/>
      </c>
      <c r="C402" s="24" t="n"/>
      <c r="D402" s="25">
        <f>IF(C402="","",IF(COUNTIF(lst_Jobs,C402&amp;"")&gt;0,"OK","CHECK"))</f>
        <v/>
      </c>
      <c r="E402" s="25">
        <f>IF(C402="","",IFERROR(INDEX(lst_JobName,MATCH(C402&amp;"",lst_Jobs,0)),""))</f>
        <v/>
      </c>
      <c r="F402" s="25">
        <f>IF(C402="","",IFERROR(INDEX(tbl_Finance[Client],MATCH(C402&amp;"",tbl_Finance[Job Number],0)),""))</f>
        <v/>
      </c>
      <c r="G402" s="28">
        <f>IF(C402="","",COUNTIFS(tbl_Finance[Job Number],C402&amp;"",tbl_Finance[Ex GST],"&lt;&gt;"))</f>
        <v/>
      </c>
      <c r="H402" s="27">
        <f>IF(C402="","",SUMIFS(tbl_Finance[Ex GST],tbl_Finance[Job Number],C402&amp;""))</f>
        <v/>
      </c>
      <c r="I402" s="27">
        <f>IF(C402="","",SUMIFS(tbl_Finance[Ex GST],tbl_Finance[Job Number],C402&amp;"",tbl_Finance[Xero Invoice No],"&lt;&gt;"))</f>
        <v/>
      </c>
      <c r="J402" s="27">
        <f>IF(C402="","",H402-I402)</f>
        <v/>
      </c>
      <c r="K402" s="25">
        <f>IF(C402="","",IF(G402=0,"not invoiced yet",SUBSTITUTE(TRIM(IF(COUNTIFS(tbl_Finance[Job Number],C402&amp;"",tbl_Finance[Cost Centre],"ONSITE")&gt;0,"ONSITE ","")&amp;IF(COUNTIFS(tbl_Finance[Job Number],C402&amp;"",tbl_Finance[Cost Centre],"PRODUCTION")&gt;0,"PRODUCTION ","")&amp;IF(COUNTIFS(tbl_Finance[Job Number],C402&amp;"",tbl_Finance[Cost Centre],"VIDEO")&gt;0,"VIDEO ","")&amp;IF(COUNTIFS(tbl_Finance[Job Number],C402&amp;"",tbl_Finance[Cost Centre],"INTEGRATION")&gt;0,"INTEGRATION ","")&amp;IF(COUNTIFS(tbl_Finance[Job Number],C402&amp;"",tbl_Finance[Cost Centre],"CONSULTING")&gt;0,"CONSULTING ","")&amp;IF(COUNTIFS(tbl_Finance[Job Number],C402&amp;"",tbl_Finance[Cost Centre],"CTS")&gt;0,"CTS ",""))," ",", ")))</f>
        <v/>
      </c>
      <c r="L402" s="24" t="n"/>
      <c r="M402" s="24" t="n"/>
      <c r="N402" s="25">
        <f>IF(M402="","",HYPERLINK(IF(LEFT(M402,4)="http",M402,set_QwilrBase&amp;M402),"Open quote"))</f>
        <v/>
      </c>
      <c r="O402" s="64" t="n"/>
      <c r="P402" s="24" t="n"/>
      <c r="Q402" s="24" t="n"/>
    </row>
    <row r="403" ht="15" customHeight="1">
      <c r="A403" s="63">
        <f>IF(C403="","",IFERROR(IF(SUMPRODUCT(MAX((tbl_Finance[Job Number]=C403&amp;"")*(tbl_Finance[Xero Invoice No]&lt;&gt;"")*tbl_Finance[Date]))=0,"",SUMPRODUCT(MAX((tbl_Finance[Job Number]=C403&amp;"")*(tbl_Finance[Xero Invoice No]&lt;&gt;"")*tbl_Finance[Date]))),""))</f>
        <v/>
      </c>
      <c r="B403" s="25">
        <f>IF(C403="","",IF(COUNTIFS(tbl_Finance[Job Number],C403&amp;"",tbl_Finance[Xero Invoice No],"&lt;&gt;")=0,"",IFERROR(IF(COUNTIFS(tbl_Finance[Job Number],C403&amp;"",tbl_Finance[Xero Invoice No],LOOKUP(2,1/((tbl_Finance[Job Number]=C403&amp;"")*(tbl_Finance[Xero Invoice No]&lt;&gt;"")),tbl_Finance[Xero Invoice No]))=COUNTIFS(tbl_Finance[Job Number],C403&amp;"",tbl_Finance[Xero Invoice No],"&lt;&gt;"),LOOKUP(2,1/((tbl_Finance[Job Number]=C403&amp;"")*(tbl_Finance[Xero Invoice No]&lt;&gt;"")),tbl_Finance[Xero Invoice No]),LOOKUP(2,1/((tbl_Finance[Job Number]=C403&amp;"")*(tbl_Finance[Xero Invoice No]&lt;&gt;"")),tbl_Finance[Xero Invoice No])&amp;" +more"),"")))</f>
        <v/>
      </c>
      <c r="C403" s="24" t="n"/>
      <c r="D403" s="25">
        <f>IF(C403="","",IF(COUNTIF(lst_Jobs,C403&amp;"")&gt;0,"OK","CHECK"))</f>
        <v/>
      </c>
      <c r="E403" s="25">
        <f>IF(C403="","",IFERROR(INDEX(lst_JobName,MATCH(C403&amp;"",lst_Jobs,0)),""))</f>
        <v/>
      </c>
      <c r="F403" s="25">
        <f>IF(C403="","",IFERROR(INDEX(tbl_Finance[Client],MATCH(C403&amp;"",tbl_Finance[Job Number],0)),""))</f>
        <v/>
      </c>
      <c r="G403" s="28">
        <f>IF(C403="","",COUNTIFS(tbl_Finance[Job Number],C403&amp;"",tbl_Finance[Ex GST],"&lt;&gt;"))</f>
        <v/>
      </c>
      <c r="H403" s="27">
        <f>IF(C403="","",SUMIFS(tbl_Finance[Ex GST],tbl_Finance[Job Number],C403&amp;""))</f>
        <v/>
      </c>
      <c r="I403" s="27">
        <f>IF(C403="","",SUMIFS(tbl_Finance[Ex GST],tbl_Finance[Job Number],C403&amp;"",tbl_Finance[Xero Invoice No],"&lt;&gt;"))</f>
        <v/>
      </c>
      <c r="J403" s="27">
        <f>IF(C403="","",H403-I403)</f>
        <v/>
      </c>
      <c r="K403" s="25">
        <f>IF(C403="","",IF(G403=0,"not invoiced yet",SUBSTITUTE(TRIM(IF(COUNTIFS(tbl_Finance[Job Number],C403&amp;"",tbl_Finance[Cost Centre],"ONSITE")&gt;0,"ONSITE ","")&amp;IF(COUNTIFS(tbl_Finance[Job Number],C403&amp;"",tbl_Finance[Cost Centre],"PRODUCTION")&gt;0,"PRODUCTION ","")&amp;IF(COUNTIFS(tbl_Finance[Job Number],C403&amp;"",tbl_Finance[Cost Centre],"VIDEO")&gt;0,"VIDEO ","")&amp;IF(COUNTIFS(tbl_Finance[Job Number],C403&amp;"",tbl_Finance[Cost Centre],"INTEGRATION")&gt;0,"INTEGRATION ","")&amp;IF(COUNTIFS(tbl_Finance[Job Number],C403&amp;"",tbl_Finance[Cost Centre],"CONSULTING")&gt;0,"CONSULTING ","")&amp;IF(COUNTIFS(tbl_Finance[Job Number],C403&amp;"",tbl_Finance[Cost Centre],"CTS")&gt;0,"CTS ",""))," ",", ")))</f>
        <v/>
      </c>
      <c r="L403" s="24" t="n"/>
      <c r="M403" s="24" t="n"/>
      <c r="N403" s="25">
        <f>IF(M403="","",HYPERLINK(IF(LEFT(M403,4)="http",M403,set_QwilrBase&amp;M403),"Open quote"))</f>
        <v/>
      </c>
      <c r="O403" s="64" t="n"/>
      <c r="P403" s="24" t="n"/>
      <c r="Q403" s="24" t="n"/>
    </row>
    <row r="404" ht="15" customHeight="1">
      <c r="A404" s="63">
        <f>IF(C404="","",IFERROR(IF(SUMPRODUCT(MAX((tbl_Finance[Job Number]=C404&amp;"")*(tbl_Finance[Xero Invoice No]&lt;&gt;"")*tbl_Finance[Date]))=0,"",SUMPRODUCT(MAX((tbl_Finance[Job Number]=C404&amp;"")*(tbl_Finance[Xero Invoice No]&lt;&gt;"")*tbl_Finance[Date]))),""))</f>
        <v/>
      </c>
      <c r="B404" s="25">
        <f>IF(C404="","",IF(COUNTIFS(tbl_Finance[Job Number],C404&amp;"",tbl_Finance[Xero Invoice No],"&lt;&gt;")=0,"",IFERROR(IF(COUNTIFS(tbl_Finance[Job Number],C404&amp;"",tbl_Finance[Xero Invoice No],LOOKUP(2,1/((tbl_Finance[Job Number]=C404&amp;"")*(tbl_Finance[Xero Invoice No]&lt;&gt;"")),tbl_Finance[Xero Invoice No]))=COUNTIFS(tbl_Finance[Job Number],C404&amp;"",tbl_Finance[Xero Invoice No],"&lt;&gt;"),LOOKUP(2,1/((tbl_Finance[Job Number]=C404&amp;"")*(tbl_Finance[Xero Invoice No]&lt;&gt;"")),tbl_Finance[Xero Invoice No]),LOOKUP(2,1/((tbl_Finance[Job Number]=C404&amp;"")*(tbl_Finance[Xero Invoice No]&lt;&gt;"")),tbl_Finance[Xero Invoice No])&amp;" +more"),"")))</f>
        <v/>
      </c>
      <c r="C404" s="24" t="n"/>
      <c r="D404" s="25">
        <f>IF(C404="","",IF(COUNTIF(lst_Jobs,C404&amp;"")&gt;0,"OK","CHECK"))</f>
        <v/>
      </c>
      <c r="E404" s="25">
        <f>IF(C404="","",IFERROR(INDEX(lst_JobName,MATCH(C404&amp;"",lst_Jobs,0)),""))</f>
        <v/>
      </c>
      <c r="F404" s="25">
        <f>IF(C404="","",IFERROR(INDEX(tbl_Finance[Client],MATCH(C404&amp;"",tbl_Finance[Job Number],0)),""))</f>
        <v/>
      </c>
      <c r="G404" s="28">
        <f>IF(C404="","",COUNTIFS(tbl_Finance[Job Number],C404&amp;"",tbl_Finance[Ex GST],"&lt;&gt;"))</f>
        <v/>
      </c>
      <c r="H404" s="27">
        <f>IF(C404="","",SUMIFS(tbl_Finance[Ex GST],tbl_Finance[Job Number],C404&amp;""))</f>
        <v/>
      </c>
      <c r="I404" s="27">
        <f>IF(C404="","",SUMIFS(tbl_Finance[Ex GST],tbl_Finance[Job Number],C404&amp;"",tbl_Finance[Xero Invoice No],"&lt;&gt;"))</f>
        <v/>
      </c>
      <c r="J404" s="27">
        <f>IF(C404="","",H404-I404)</f>
        <v/>
      </c>
      <c r="K404" s="25">
        <f>IF(C404="","",IF(G404=0,"not invoiced yet",SUBSTITUTE(TRIM(IF(COUNTIFS(tbl_Finance[Job Number],C404&amp;"",tbl_Finance[Cost Centre],"ONSITE")&gt;0,"ONSITE ","")&amp;IF(COUNTIFS(tbl_Finance[Job Number],C404&amp;"",tbl_Finance[Cost Centre],"PRODUCTION")&gt;0,"PRODUCTION ","")&amp;IF(COUNTIFS(tbl_Finance[Job Number],C404&amp;"",tbl_Finance[Cost Centre],"VIDEO")&gt;0,"VIDEO ","")&amp;IF(COUNTIFS(tbl_Finance[Job Number],C404&amp;"",tbl_Finance[Cost Centre],"INTEGRATION")&gt;0,"INTEGRATION ","")&amp;IF(COUNTIFS(tbl_Finance[Job Number],C404&amp;"",tbl_Finance[Cost Centre],"CONSULTING")&gt;0,"CONSULTING ","")&amp;IF(COUNTIFS(tbl_Finance[Job Number],C404&amp;"",tbl_Finance[Cost Centre],"CTS")&gt;0,"CTS ",""))," ",", ")))</f>
        <v/>
      </c>
      <c r="L404" s="24" t="n"/>
      <c r="M404" s="24" t="n"/>
      <c r="N404" s="25">
        <f>IF(M404="","",HYPERLINK(IF(LEFT(M404,4)="http",M404,set_QwilrBase&amp;M404),"Open quote"))</f>
        <v/>
      </c>
      <c r="O404" s="64" t="n"/>
      <c r="P404" s="24" t="n"/>
      <c r="Q404" s="24" t="n"/>
    </row>
    <row r="405" ht="15" customHeight="1">
      <c r="A405" s="63">
        <f>IF(C405="","",IFERROR(IF(SUMPRODUCT(MAX((tbl_Finance[Job Number]=C405&amp;"")*(tbl_Finance[Xero Invoice No]&lt;&gt;"")*tbl_Finance[Date]))=0,"",SUMPRODUCT(MAX((tbl_Finance[Job Number]=C405&amp;"")*(tbl_Finance[Xero Invoice No]&lt;&gt;"")*tbl_Finance[Date]))),""))</f>
        <v/>
      </c>
      <c r="B405" s="25">
        <f>IF(C405="","",IF(COUNTIFS(tbl_Finance[Job Number],C405&amp;"",tbl_Finance[Xero Invoice No],"&lt;&gt;")=0,"",IFERROR(IF(COUNTIFS(tbl_Finance[Job Number],C405&amp;"",tbl_Finance[Xero Invoice No],LOOKUP(2,1/((tbl_Finance[Job Number]=C405&amp;"")*(tbl_Finance[Xero Invoice No]&lt;&gt;"")),tbl_Finance[Xero Invoice No]))=COUNTIFS(tbl_Finance[Job Number],C405&amp;"",tbl_Finance[Xero Invoice No],"&lt;&gt;"),LOOKUP(2,1/((tbl_Finance[Job Number]=C405&amp;"")*(tbl_Finance[Xero Invoice No]&lt;&gt;"")),tbl_Finance[Xero Invoice No]),LOOKUP(2,1/((tbl_Finance[Job Number]=C405&amp;"")*(tbl_Finance[Xero Invoice No]&lt;&gt;"")),tbl_Finance[Xero Invoice No])&amp;" +more"),"")))</f>
        <v/>
      </c>
      <c r="C405" s="24" t="n"/>
      <c r="D405" s="25">
        <f>IF(C405="","",IF(COUNTIF(lst_Jobs,C405&amp;"")&gt;0,"OK","CHECK"))</f>
        <v/>
      </c>
      <c r="E405" s="25">
        <f>IF(C405="","",IFERROR(INDEX(lst_JobName,MATCH(C405&amp;"",lst_Jobs,0)),""))</f>
        <v/>
      </c>
      <c r="F405" s="25">
        <f>IF(C405="","",IFERROR(INDEX(tbl_Finance[Client],MATCH(C405&amp;"",tbl_Finance[Job Number],0)),""))</f>
        <v/>
      </c>
      <c r="G405" s="28">
        <f>IF(C405="","",COUNTIFS(tbl_Finance[Job Number],C405&amp;"",tbl_Finance[Ex GST],"&lt;&gt;"))</f>
        <v/>
      </c>
      <c r="H405" s="27">
        <f>IF(C405="","",SUMIFS(tbl_Finance[Ex GST],tbl_Finance[Job Number],C405&amp;""))</f>
        <v/>
      </c>
      <c r="I405" s="27">
        <f>IF(C405="","",SUMIFS(tbl_Finance[Ex GST],tbl_Finance[Job Number],C405&amp;"",tbl_Finance[Xero Invoice No],"&lt;&gt;"))</f>
        <v/>
      </c>
      <c r="J405" s="27">
        <f>IF(C405="","",H405-I405)</f>
        <v/>
      </c>
      <c r="K405" s="25">
        <f>IF(C405="","",IF(G405=0,"not invoiced yet",SUBSTITUTE(TRIM(IF(COUNTIFS(tbl_Finance[Job Number],C405&amp;"",tbl_Finance[Cost Centre],"ONSITE")&gt;0,"ONSITE ","")&amp;IF(COUNTIFS(tbl_Finance[Job Number],C405&amp;"",tbl_Finance[Cost Centre],"PRODUCTION")&gt;0,"PRODUCTION ","")&amp;IF(COUNTIFS(tbl_Finance[Job Number],C405&amp;"",tbl_Finance[Cost Centre],"VIDEO")&gt;0,"VIDEO ","")&amp;IF(COUNTIFS(tbl_Finance[Job Number],C405&amp;"",tbl_Finance[Cost Centre],"INTEGRATION")&gt;0,"INTEGRATION ","")&amp;IF(COUNTIFS(tbl_Finance[Job Number],C405&amp;"",tbl_Finance[Cost Centre],"CONSULTING")&gt;0,"CONSULTING ","")&amp;IF(COUNTIFS(tbl_Finance[Job Number],C405&amp;"",tbl_Finance[Cost Centre],"CTS")&gt;0,"CTS ",""))," ",", ")))</f>
        <v/>
      </c>
      <c r="L405" s="24" t="n"/>
      <c r="M405" s="24" t="n"/>
      <c r="N405" s="25">
        <f>IF(M405="","",HYPERLINK(IF(LEFT(M405,4)="http",M405,set_QwilrBase&amp;M405),"Open quote"))</f>
        <v/>
      </c>
      <c r="O405" s="64" t="n"/>
      <c r="P405" s="24" t="n"/>
      <c r="Q405" s="24" t="n"/>
    </row>
    <row r="406" ht="15" customHeight="1">
      <c r="A406" s="63">
        <f>IF(C406="","",IFERROR(IF(SUMPRODUCT(MAX((tbl_Finance[Job Number]=C406&amp;"")*(tbl_Finance[Xero Invoice No]&lt;&gt;"")*tbl_Finance[Date]))=0,"",SUMPRODUCT(MAX((tbl_Finance[Job Number]=C406&amp;"")*(tbl_Finance[Xero Invoice No]&lt;&gt;"")*tbl_Finance[Date]))),""))</f>
        <v/>
      </c>
      <c r="B406" s="25">
        <f>IF(C406="","",IF(COUNTIFS(tbl_Finance[Job Number],C406&amp;"",tbl_Finance[Xero Invoice No],"&lt;&gt;")=0,"",IFERROR(IF(COUNTIFS(tbl_Finance[Job Number],C406&amp;"",tbl_Finance[Xero Invoice No],LOOKUP(2,1/((tbl_Finance[Job Number]=C406&amp;"")*(tbl_Finance[Xero Invoice No]&lt;&gt;"")),tbl_Finance[Xero Invoice No]))=COUNTIFS(tbl_Finance[Job Number],C406&amp;"",tbl_Finance[Xero Invoice No],"&lt;&gt;"),LOOKUP(2,1/((tbl_Finance[Job Number]=C406&amp;"")*(tbl_Finance[Xero Invoice No]&lt;&gt;"")),tbl_Finance[Xero Invoice No]),LOOKUP(2,1/((tbl_Finance[Job Number]=C406&amp;"")*(tbl_Finance[Xero Invoice No]&lt;&gt;"")),tbl_Finance[Xero Invoice No])&amp;" +more"),"")))</f>
        <v/>
      </c>
      <c r="C406" s="24" t="n"/>
      <c r="D406" s="25">
        <f>IF(C406="","",IF(COUNTIF(lst_Jobs,C406&amp;"")&gt;0,"OK","CHECK"))</f>
        <v/>
      </c>
      <c r="E406" s="25">
        <f>IF(C406="","",IFERROR(INDEX(lst_JobName,MATCH(C406&amp;"",lst_Jobs,0)),""))</f>
        <v/>
      </c>
      <c r="F406" s="25">
        <f>IF(C406="","",IFERROR(INDEX(tbl_Finance[Client],MATCH(C406&amp;"",tbl_Finance[Job Number],0)),""))</f>
        <v/>
      </c>
      <c r="G406" s="28">
        <f>IF(C406="","",COUNTIFS(tbl_Finance[Job Number],C406&amp;"",tbl_Finance[Ex GST],"&lt;&gt;"))</f>
        <v/>
      </c>
      <c r="H406" s="27">
        <f>IF(C406="","",SUMIFS(tbl_Finance[Ex GST],tbl_Finance[Job Number],C406&amp;""))</f>
        <v/>
      </c>
      <c r="I406" s="27">
        <f>IF(C406="","",SUMIFS(tbl_Finance[Ex GST],tbl_Finance[Job Number],C406&amp;"",tbl_Finance[Xero Invoice No],"&lt;&gt;"))</f>
        <v/>
      </c>
      <c r="J406" s="27">
        <f>IF(C406="","",H406-I406)</f>
        <v/>
      </c>
      <c r="K406" s="25">
        <f>IF(C406="","",IF(G406=0,"not invoiced yet",SUBSTITUTE(TRIM(IF(COUNTIFS(tbl_Finance[Job Number],C406&amp;"",tbl_Finance[Cost Centre],"ONSITE")&gt;0,"ONSITE ","")&amp;IF(COUNTIFS(tbl_Finance[Job Number],C406&amp;"",tbl_Finance[Cost Centre],"PRODUCTION")&gt;0,"PRODUCTION ","")&amp;IF(COUNTIFS(tbl_Finance[Job Number],C406&amp;"",tbl_Finance[Cost Centre],"VIDEO")&gt;0,"VIDEO ","")&amp;IF(COUNTIFS(tbl_Finance[Job Number],C406&amp;"",tbl_Finance[Cost Centre],"INTEGRATION")&gt;0,"INTEGRATION ","")&amp;IF(COUNTIFS(tbl_Finance[Job Number],C406&amp;"",tbl_Finance[Cost Centre],"CONSULTING")&gt;0,"CONSULTING ","")&amp;IF(COUNTIFS(tbl_Finance[Job Number],C406&amp;"",tbl_Finance[Cost Centre],"CTS")&gt;0,"CTS ",""))," ",", ")))</f>
        <v/>
      </c>
      <c r="L406" s="24" t="n"/>
      <c r="M406" s="24" t="n"/>
      <c r="N406" s="25">
        <f>IF(M406="","",HYPERLINK(IF(LEFT(M406,4)="http",M406,set_QwilrBase&amp;M406),"Open quote"))</f>
        <v/>
      </c>
      <c r="O406" s="64" t="n"/>
      <c r="P406" s="24" t="n"/>
      <c r="Q406" s="24" t="n"/>
    </row>
    <row r="407" ht="15" customHeight="1">
      <c r="A407" s="63">
        <f>IF(C407="","",IFERROR(IF(SUMPRODUCT(MAX((tbl_Finance[Job Number]=C407&amp;"")*(tbl_Finance[Xero Invoice No]&lt;&gt;"")*tbl_Finance[Date]))=0,"",SUMPRODUCT(MAX((tbl_Finance[Job Number]=C407&amp;"")*(tbl_Finance[Xero Invoice No]&lt;&gt;"")*tbl_Finance[Date]))),""))</f>
        <v/>
      </c>
      <c r="B407" s="25">
        <f>IF(C407="","",IF(COUNTIFS(tbl_Finance[Job Number],C407&amp;"",tbl_Finance[Xero Invoice No],"&lt;&gt;")=0,"",IFERROR(IF(COUNTIFS(tbl_Finance[Job Number],C407&amp;"",tbl_Finance[Xero Invoice No],LOOKUP(2,1/((tbl_Finance[Job Number]=C407&amp;"")*(tbl_Finance[Xero Invoice No]&lt;&gt;"")),tbl_Finance[Xero Invoice No]))=COUNTIFS(tbl_Finance[Job Number],C407&amp;"",tbl_Finance[Xero Invoice No],"&lt;&gt;"),LOOKUP(2,1/((tbl_Finance[Job Number]=C407&amp;"")*(tbl_Finance[Xero Invoice No]&lt;&gt;"")),tbl_Finance[Xero Invoice No]),LOOKUP(2,1/((tbl_Finance[Job Number]=C407&amp;"")*(tbl_Finance[Xero Invoice No]&lt;&gt;"")),tbl_Finance[Xero Invoice No])&amp;" +more"),"")))</f>
        <v/>
      </c>
      <c r="C407" s="24" t="n"/>
      <c r="D407" s="25">
        <f>IF(C407="","",IF(COUNTIF(lst_Jobs,C407&amp;"")&gt;0,"OK","CHECK"))</f>
        <v/>
      </c>
      <c r="E407" s="25">
        <f>IF(C407="","",IFERROR(INDEX(lst_JobName,MATCH(C407&amp;"",lst_Jobs,0)),""))</f>
        <v/>
      </c>
      <c r="F407" s="25">
        <f>IF(C407="","",IFERROR(INDEX(tbl_Finance[Client],MATCH(C407&amp;"",tbl_Finance[Job Number],0)),""))</f>
        <v/>
      </c>
      <c r="G407" s="28">
        <f>IF(C407="","",COUNTIFS(tbl_Finance[Job Number],C407&amp;"",tbl_Finance[Ex GST],"&lt;&gt;"))</f>
        <v/>
      </c>
      <c r="H407" s="27">
        <f>IF(C407="","",SUMIFS(tbl_Finance[Ex GST],tbl_Finance[Job Number],C407&amp;""))</f>
        <v/>
      </c>
      <c r="I407" s="27">
        <f>IF(C407="","",SUMIFS(tbl_Finance[Ex GST],tbl_Finance[Job Number],C407&amp;"",tbl_Finance[Xero Invoice No],"&lt;&gt;"))</f>
        <v/>
      </c>
      <c r="J407" s="27">
        <f>IF(C407="","",H407-I407)</f>
        <v/>
      </c>
      <c r="K407" s="25">
        <f>IF(C407="","",IF(G407=0,"not invoiced yet",SUBSTITUTE(TRIM(IF(COUNTIFS(tbl_Finance[Job Number],C407&amp;"",tbl_Finance[Cost Centre],"ONSITE")&gt;0,"ONSITE ","")&amp;IF(COUNTIFS(tbl_Finance[Job Number],C407&amp;"",tbl_Finance[Cost Centre],"PRODUCTION")&gt;0,"PRODUCTION ","")&amp;IF(COUNTIFS(tbl_Finance[Job Number],C407&amp;"",tbl_Finance[Cost Centre],"VIDEO")&gt;0,"VIDEO ","")&amp;IF(COUNTIFS(tbl_Finance[Job Number],C407&amp;"",tbl_Finance[Cost Centre],"INTEGRATION")&gt;0,"INTEGRATION ","")&amp;IF(COUNTIFS(tbl_Finance[Job Number],C407&amp;"",tbl_Finance[Cost Centre],"CONSULTING")&gt;0,"CONSULTING ","")&amp;IF(COUNTIFS(tbl_Finance[Job Number],C407&amp;"",tbl_Finance[Cost Centre],"CTS")&gt;0,"CTS ",""))," ",", ")))</f>
        <v/>
      </c>
      <c r="L407" s="24" t="n"/>
      <c r="M407" s="24" t="n"/>
      <c r="N407" s="25">
        <f>IF(M407="","",HYPERLINK(IF(LEFT(M407,4)="http",M407,set_QwilrBase&amp;M407),"Open quote"))</f>
        <v/>
      </c>
      <c r="O407" s="64" t="n"/>
      <c r="P407" s="24" t="n"/>
      <c r="Q407" s="24" t="n"/>
    </row>
    <row r="408" ht="15" customHeight="1">
      <c r="A408" s="63">
        <f>IF(C408="","",IFERROR(IF(SUMPRODUCT(MAX((tbl_Finance[Job Number]=C408&amp;"")*(tbl_Finance[Xero Invoice No]&lt;&gt;"")*tbl_Finance[Date]))=0,"",SUMPRODUCT(MAX((tbl_Finance[Job Number]=C408&amp;"")*(tbl_Finance[Xero Invoice No]&lt;&gt;"")*tbl_Finance[Date]))),""))</f>
        <v/>
      </c>
      <c r="B408" s="25">
        <f>IF(C408="","",IF(COUNTIFS(tbl_Finance[Job Number],C408&amp;"",tbl_Finance[Xero Invoice No],"&lt;&gt;")=0,"",IFERROR(IF(COUNTIFS(tbl_Finance[Job Number],C408&amp;"",tbl_Finance[Xero Invoice No],LOOKUP(2,1/((tbl_Finance[Job Number]=C408&amp;"")*(tbl_Finance[Xero Invoice No]&lt;&gt;"")),tbl_Finance[Xero Invoice No]))=COUNTIFS(tbl_Finance[Job Number],C408&amp;"",tbl_Finance[Xero Invoice No],"&lt;&gt;"),LOOKUP(2,1/((tbl_Finance[Job Number]=C408&amp;"")*(tbl_Finance[Xero Invoice No]&lt;&gt;"")),tbl_Finance[Xero Invoice No]),LOOKUP(2,1/((tbl_Finance[Job Number]=C408&amp;"")*(tbl_Finance[Xero Invoice No]&lt;&gt;"")),tbl_Finance[Xero Invoice No])&amp;" +more"),"")))</f>
        <v/>
      </c>
      <c r="C408" s="24" t="n"/>
      <c r="D408" s="25">
        <f>IF(C408="","",IF(COUNTIF(lst_Jobs,C408&amp;"")&gt;0,"OK","CHECK"))</f>
        <v/>
      </c>
      <c r="E408" s="25">
        <f>IF(C408="","",IFERROR(INDEX(lst_JobName,MATCH(C408&amp;"",lst_Jobs,0)),""))</f>
        <v/>
      </c>
      <c r="F408" s="25">
        <f>IF(C408="","",IFERROR(INDEX(tbl_Finance[Client],MATCH(C408&amp;"",tbl_Finance[Job Number],0)),""))</f>
        <v/>
      </c>
      <c r="G408" s="28">
        <f>IF(C408="","",COUNTIFS(tbl_Finance[Job Number],C408&amp;"",tbl_Finance[Ex GST],"&lt;&gt;"))</f>
        <v/>
      </c>
      <c r="H408" s="27">
        <f>IF(C408="","",SUMIFS(tbl_Finance[Ex GST],tbl_Finance[Job Number],C408&amp;""))</f>
        <v/>
      </c>
      <c r="I408" s="27">
        <f>IF(C408="","",SUMIFS(tbl_Finance[Ex GST],tbl_Finance[Job Number],C408&amp;"",tbl_Finance[Xero Invoice No],"&lt;&gt;"))</f>
        <v/>
      </c>
      <c r="J408" s="27">
        <f>IF(C408="","",H408-I408)</f>
        <v/>
      </c>
      <c r="K408" s="25">
        <f>IF(C408="","",IF(G408=0,"not invoiced yet",SUBSTITUTE(TRIM(IF(COUNTIFS(tbl_Finance[Job Number],C408&amp;"",tbl_Finance[Cost Centre],"ONSITE")&gt;0,"ONSITE ","")&amp;IF(COUNTIFS(tbl_Finance[Job Number],C408&amp;"",tbl_Finance[Cost Centre],"PRODUCTION")&gt;0,"PRODUCTION ","")&amp;IF(COUNTIFS(tbl_Finance[Job Number],C408&amp;"",tbl_Finance[Cost Centre],"VIDEO")&gt;0,"VIDEO ","")&amp;IF(COUNTIFS(tbl_Finance[Job Number],C408&amp;"",tbl_Finance[Cost Centre],"INTEGRATION")&gt;0,"INTEGRATION ","")&amp;IF(COUNTIFS(tbl_Finance[Job Number],C408&amp;"",tbl_Finance[Cost Centre],"CONSULTING")&gt;0,"CONSULTING ","")&amp;IF(COUNTIFS(tbl_Finance[Job Number],C408&amp;"",tbl_Finance[Cost Centre],"CTS")&gt;0,"CTS ",""))," ",", ")))</f>
        <v/>
      </c>
      <c r="L408" s="24" t="n"/>
      <c r="M408" s="24" t="n"/>
      <c r="N408" s="25">
        <f>IF(M408="","",HYPERLINK(IF(LEFT(M408,4)="http",M408,set_QwilrBase&amp;M408),"Open quote"))</f>
        <v/>
      </c>
      <c r="O408" s="64" t="n"/>
      <c r="P408" s="24" t="n"/>
      <c r="Q408" s="24" t="n"/>
    </row>
    <row r="409" ht="15" customHeight="1">
      <c r="A409" s="63">
        <f>IF(C409="","",IFERROR(IF(SUMPRODUCT(MAX((tbl_Finance[Job Number]=C409&amp;"")*(tbl_Finance[Xero Invoice No]&lt;&gt;"")*tbl_Finance[Date]))=0,"",SUMPRODUCT(MAX((tbl_Finance[Job Number]=C409&amp;"")*(tbl_Finance[Xero Invoice No]&lt;&gt;"")*tbl_Finance[Date]))),""))</f>
        <v/>
      </c>
      <c r="B409" s="25">
        <f>IF(C409="","",IF(COUNTIFS(tbl_Finance[Job Number],C409&amp;"",tbl_Finance[Xero Invoice No],"&lt;&gt;")=0,"",IFERROR(IF(COUNTIFS(tbl_Finance[Job Number],C409&amp;"",tbl_Finance[Xero Invoice No],LOOKUP(2,1/((tbl_Finance[Job Number]=C409&amp;"")*(tbl_Finance[Xero Invoice No]&lt;&gt;"")),tbl_Finance[Xero Invoice No]))=COUNTIFS(tbl_Finance[Job Number],C409&amp;"",tbl_Finance[Xero Invoice No],"&lt;&gt;"),LOOKUP(2,1/((tbl_Finance[Job Number]=C409&amp;"")*(tbl_Finance[Xero Invoice No]&lt;&gt;"")),tbl_Finance[Xero Invoice No]),LOOKUP(2,1/((tbl_Finance[Job Number]=C409&amp;"")*(tbl_Finance[Xero Invoice No]&lt;&gt;"")),tbl_Finance[Xero Invoice No])&amp;" +more"),"")))</f>
        <v/>
      </c>
      <c r="C409" s="24" t="n"/>
      <c r="D409" s="25">
        <f>IF(C409="","",IF(COUNTIF(lst_Jobs,C409&amp;"")&gt;0,"OK","CHECK"))</f>
        <v/>
      </c>
      <c r="E409" s="25">
        <f>IF(C409="","",IFERROR(INDEX(lst_JobName,MATCH(C409&amp;"",lst_Jobs,0)),""))</f>
        <v/>
      </c>
      <c r="F409" s="25">
        <f>IF(C409="","",IFERROR(INDEX(tbl_Finance[Client],MATCH(C409&amp;"",tbl_Finance[Job Number],0)),""))</f>
        <v/>
      </c>
      <c r="G409" s="28">
        <f>IF(C409="","",COUNTIFS(tbl_Finance[Job Number],C409&amp;"",tbl_Finance[Ex GST],"&lt;&gt;"))</f>
        <v/>
      </c>
      <c r="H409" s="27">
        <f>IF(C409="","",SUMIFS(tbl_Finance[Ex GST],tbl_Finance[Job Number],C409&amp;""))</f>
        <v/>
      </c>
      <c r="I409" s="27">
        <f>IF(C409="","",SUMIFS(tbl_Finance[Ex GST],tbl_Finance[Job Number],C409&amp;"",tbl_Finance[Xero Invoice No],"&lt;&gt;"))</f>
        <v/>
      </c>
      <c r="J409" s="27">
        <f>IF(C409="","",H409-I409)</f>
        <v/>
      </c>
      <c r="K409" s="25">
        <f>IF(C409="","",IF(G409=0,"not invoiced yet",SUBSTITUTE(TRIM(IF(COUNTIFS(tbl_Finance[Job Number],C409&amp;"",tbl_Finance[Cost Centre],"ONSITE")&gt;0,"ONSITE ","")&amp;IF(COUNTIFS(tbl_Finance[Job Number],C409&amp;"",tbl_Finance[Cost Centre],"PRODUCTION")&gt;0,"PRODUCTION ","")&amp;IF(COUNTIFS(tbl_Finance[Job Number],C409&amp;"",tbl_Finance[Cost Centre],"VIDEO")&gt;0,"VIDEO ","")&amp;IF(COUNTIFS(tbl_Finance[Job Number],C409&amp;"",tbl_Finance[Cost Centre],"INTEGRATION")&gt;0,"INTEGRATION ","")&amp;IF(COUNTIFS(tbl_Finance[Job Number],C409&amp;"",tbl_Finance[Cost Centre],"CONSULTING")&gt;0,"CONSULTING ","")&amp;IF(COUNTIFS(tbl_Finance[Job Number],C409&amp;"",tbl_Finance[Cost Centre],"CTS")&gt;0,"CTS ",""))," ",", ")))</f>
        <v/>
      </c>
      <c r="L409" s="24" t="n"/>
      <c r="M409" s="24" t="n"/>
      <c r="N409" s="25">
        <f>IF(M409="","",HYPERLINK(IF(LEFT(M409,4)="http",M409,set_QwilrBase&amp;M409),"Open quote"))</f>
        <v/>
      </c>
      <c r="O409" s="64" t="n"/>
      <c r="P409" s="24" t="n"/>
      <c r="Q409" s="24" t="n"/>
    </row>
    <row r="410" ht="15" customHeight="1">
      <c r="A410" s="63">
        <f>IF(C410="","",IFERROR(IF(SUMPRODUCT(MAX((tbl_Finance[Job Number]=C410&amp;"")*(tbl_Finance[Xero Invoice No]&lt;&gt;"")*tbl_Finance[Date]))=0,"",SUMPRODUCT(MAX((tbl_Finance[Job Number]=C410&amp;"")*(tbl_Finance[Xero Invoice No]&lt;&gt;"")*tbl_Finance[Date]))),""))</f>
        <v/>
      </c>
      <c r="B410" s="25">
        <f>IF(C410="","",IF(COUNTIFS(tbl_Finance[Job Number],C410&amp;"",tbl_Finance[Xero Invoice No],"&lt;&gt;")=0,"",IFERROR(IF(COUNTIFS(tbl_Finance[Job Number],C410&amp;"",tbl_Finance[Xero Invoice No],LOOKUP(2,1/((tbl_Finance[Job Number]=C410&amp;"")*(tbl_Finance[Xero Invoice No]&lt;&gt;"")),tbl_Finance[Xero Invoice No]))=COUNTIFS(tbl_Finance[Job Number],C410&amp;"",tbl_Finance[Xero Invoice No],"&lt;&gt;"),LOOKUP(2,1/((tbl_Finance[Job Number]=C410&amp;"")*(tbl_Finance[Xero Invoice No]&lt;&gt;"")),tbl_Finance[Xero Invoice No]),LOOKUP(2,1/((tbl_Finance[Job Number]=C410&amp;"")*(tbl_Finance[Xero Invoice No]&lt;&gt;"")),tbl_Finance[Xero Invoice No])&amp;" +more"),"")))</f>
        <v/>
      </c>
      <c r="C410" s="24" t="n"/>
      <c r="D410" s="25">
        <f>IF(C410="","",IF(COUNTIF(lst_Jobs,C410&amp;"")&gt;0,"OK","CHECK"))</f>
        <v/>
      </c>
      <c r="E410" s="25">
        <f>IF(C410="","",IFERROR(INDEX(lst_JobName,MATCH(C410&amp;"",lst_Jobs,0)),""))</f>
        <v/>
      </c>
      <c r="F410" s="25">
        <f>IF(C410="","",IFERROR(INDEX(tbl_Finance[Client],MATCH(C410&amp;"",tbl_Finance[Job Number],0)),""))</f>
        <v/>
      </c>
      <c r="G410" s="28">
        <f>IF(C410="","",COUNTIFS(tbl_Finance[Job Number],C410&amp;"",tbl_Finance[Ex GST],"&lt;&gt;"))</f>
        <v/>
      </c>
      <c r="H410" s="27">
        <f>IF(C410="","",SUMIFS(tbl_Finance[Ex GST],tbl_Finance[Job Number],C410&amp;""))</f>
        <v/>
      </c>
      <c r="I410" s="27">
        <f>IF(C410="","",SUMIFS(tbl_Finance[Ex GST],tbl_Finance[Job Number],C410&amp;"",tbl_Finance[Xero Invoice No],"&lt;&gt;"))</f>
        <v/>
      </c>
      <c r="J410" s="27">
        <f>IF(C410="","",H410-I410)</f>
        <v/>
      </c>
      <c r="K410" s="25">
        <f>IF(C410="","",IF(G410=0,"not invoiced yet",SUBSTITUTE(TRIM(IF(COUNTIFS(tbl_Finance[Job Number],C410&amp;"",tbl_Finance[Cost Centre],"ONSITE")&gt;0,"ONSITE ","")&amp;IF(COUNTIFS(tbl_Finance[Job Number],C410&amp;"",tbl_Finance[Cost Centre],"PRODUCTION")&gt;0,"PRODUCTION ","")&amp;IF(COUNTIFS(tbl_Finance[Job Number],C410&amp;"",tbl_Finance[Cost Centre],"VIDEO")&gt;0,"VIDEO ","")&amp;IF(COUNTIFS(tbl_Finance[Job Number],C410&amp;"",tbl_Finance[Cost Centre],"INTEGRATION")&gt;0,"INTEGRATION ","")&amp;IF(COUNTIFS(tbl_Finance[Job Number],C410&amp;"",tbl_Finance[Cost Centre],"CONSULTING")&gt;0,"CONSULTING ","")&amp;IF(COUNTIFS(tbl_Finance[Job Number],C410&amp;"",tbl_Finance[Cost Centre],"CTS")&gt;0,"CTS ",""))," ",", ")))</f>
        <v/>
      </c>
      <c r="L410" s="24" t="n"/>
      <c r="M410" s="24" t="n"/>
      <c r="N410" s="25">
        <f>IF(M410="","",HYPERLINK(IF(LEFT(M410,4)="http",M410,set_QwilrBase&amp;M410),"Open quote"))</f>
        <v/>
      </c>
      <c r="O410" s="64" t="n"/>
      <c r="P410" s="24" t="n"/>
      <c r="Q410" s="24" t="n"/>
    </row>
    <row r="411" ht="15" customHeight="1">
      <c r="A411" s="63">
        <f>IF(C411="","",IFERROR(IF(SUMPRODUCT(MAX((tbl_Finance[Job Number]=C411&amp;"")*(tbl_Finance[Xero Invoice No]&lt;&gt;"")*tbl_Finance[Date]))=0,"",SUMPRODUCT(MAX((tbl_Finance[Job Number]=C411&amp;"")*(tbl_Finance[Xero Invoice No]&lt;&gt;"")*tbl_Finance[Date]))),""))</f>
        <v/>
      </c>
      <c r="B411" s="25">
        <f>IF(C411="","",IF(COUNTIFS(tbl_Finance[Job Number],C411&amp;"",tbl_Finance[Xero Invoice No],"&lt;&gt;")=0,"",IFERROR(IF(COUNTIFS(tbl_Finance[Job Number],C411&amp;"",tbl_Finance[Xero Invoice No],LOOKUP(2,1/((tbl_Finance[Job Number]=C411&amp;"")*(tbl_Finance[Xero Invoice No]&lt;&gt;"")),tbl_Finance[Xero Invoice No]))=COUNTIFS(tbl_Finance[Job Number],C411&amp;"",tbl_Finance[Xero Invoice No],"&lt;&gt;"),LOOKUP(2,1/((tbl_Finance[Job Number]=C411&amp;"")*(tbl_Finance[Xero Invoice No]&lt;&gt;"")),tbl_Finance[Xero Invoice No]),LOOKUP(2,1/((tbl_Finance[Job Number]=C411&amp;"")*(tbl_Finance[Xero Invoice No]&lt;&gt;"")),tbl_Finance[Xero Invoice No])&amp;" +more"),"")))</f>
        <v/>
      </c>
      <c r="C411" s="24" t="n"/>
      <c r="D411" s="25">
        <f>IF(C411="","",IF(COUNTIF(lst_Jobs,C411&amp;"")&gt;0,"OK","CHECK"))</f>
        <v/>
      </c>
      <c r="E411" s="25">
        <f>IF(C411="","",IFERROR(INDEX(lst_JobName,MATCH(C411&amp;"",lst_Jobs,0)),""))</f>
        <v/>
      </c>
      <c r="F411" s="25">
        <f>IF(C411="","",IFERROR(INDEX(tbl_Finance[Client],MATCH(C411&amp;"",tbl_Finance[Job Number],0)),""))</f>
        <v/>
      </c>
      <c r="G411" s="28">
        <f>IF(C411="","",COUNTIFS(tbl_Finance[Job Number],C411&amp;"",tbl_Finance[Ex GST],"&lt;&gt;"))</f>
        <v/>
      </c>
      <c r="H411" s="27">
        <f>IF(C411="","",SUMIFS(tbl_Finance[Ex GST],tbl_Finance[Job Number],C411&amp;""))</f>
        <v/>
      </c>
      <c r="I411" s="27">
        <f>IF(C411="","",SUMIFS(tbl_Finance[Ex GST],tbl_Finance[Job Number],C411&amp;"",tbl_Finance[Xero Invoice No],"&lt;&gt;"))</f>
        <v/>
      </c>
      <c r="J411" s="27">
        <f>IF(C411="","",H411-I411)</f>
        <v/>
      </c>
      <c r="K411" s="25">
        <f>IF(C411="","",IF(G411=0,"not invoiced yet",SUBSTITUTE(TRIM(IF(COUNTIFS(tbl_Finance[Job Number],C411&amp;"",tbl_Finance[Cost Centre],"ONSITE")&gt;0,"ONSITE ","")&amp;IF(COUNTIFS(tbl_Finance[Job Number],C411&amp;"",tbl_Finance[Cost Centre],"PRODUCTION")&gt;0,"PRODUCTION ","")&amp;IF(COUNTIFS(tbl_Finance[Job Number],C411&amp;"",tbl_Finance[Cost Centre],"VIDEO")&gt;0,"VIDEO ","")&amp;IF(COUNTIFS(tbl_Finance[Job Number],C411&amp;"",tbl_Finance[Cost Centre],"INTEGRATION")&gt;0,"INTEGRATION ","")&amp;IF(COUNTIFS(tbl_Finance[Job Number],C411&amp;"",tbl_Finance[Cost Centre],"CONSULTING")&gt;0,"CONSULTING ","")&amp;IF(COUNTIFS(tbl_Finance[Job Number],C411&amp;"",tbl_Finance[Cost Centre],"CTS")&gt;0,"CTS ",""))," ",", ")))</f>
        <v/>
      </c>
      <c r="L411" s="24" t="n"/>
      <c r="M411" s="24" t="n"/>
      <c r="N411" s="25">
        <f>IF(M411="","",HYPERLINK(IF(LEFT(M411,4)="http",M411,set_QwilrBase&amp;M411),"Open quote"))</f>
        <v/>
      </c>
      <c r="O411" s="64" t="n"/>
      <c r="P411" s="24" t="n"/>
      <c r="Q411" s="24" t="n"/>
    </row>
    <row r="412" ht="15" customHeight="1">
      <c r="A412" s="63">
        <f>IF(C412="","",IFERROR(IF(SUMPRODUCT(MAX((tbl_Finance[Job Number]=C412&amp;"")*(tbl_Finance[Xero Invoice No]&lt;&gt;"")*tbl_Finance[Date]))=0,"",SUMPRODUCT(MAX((tbl_Finance[Job Number]=C412&amp;"")*(tbl_Finance[Xero Invoice No]&lt;&gt;"")*tbl_Finance[Date]))),""))</f>
        <v/>
      </c>
      <c r="B412" s="25">
        <f>IF(C412="","",IF(COUNTIFS(tbl_Finance[Job Number],C412&amp;"",tbl_Finance[Xero Invoice No],"&lt;&gt;")=0,"",IFERROR(IF(COUNTIFS(tbl_Finance[Job Number],C412&amp;"",tbl_Finance[Xero Invoice No],LOOKUP(2,1/((tbl_Finance[Job Number]=C412&amp;"")*(tbl_Finance[Xero Invoice No]&lt;&gt;"")),tbl_Finance[Xero Invoice No]))=COUNTIFS(tbl_Finance[Job Number],C412&amp;"",tbl_Finance[Xero Invoice No],"&lt;&gt;"),LOOKUP(2,1/((tbl_Finance[Job Number]=C412&amp;"")*(tbl_Finance[Xero Invoice No]&lt;&gt;"")),tbl_Finance[Xero Invoice No]),LOOKUP(2,1/((tbl_Finance[Job Number]=C412&amp;"")*(tbl_Finance[Xero Invoice No]&lt;&gt;"")),tbl_Finance[Xero Invoice No])&amp;" +more"),"")))</f>
        <v/>
      </c>
      <c r="C412" s="24" t="n"/>
      <c r="D412" s="25">
        <f>IF(C412="","",IF(COUNTIF(lst_Jobs,C412&amp;"")&gt;0,"OK","CHECK"))</f>
        <v/>
      </c>
      <c r="E412" s="25">
        <f>IF(C412="","",IFERROR(INDEX(lst_JobName,MATCH(C412&amp;"",lst_Jobs,0)),""))</f>
        <v/>
      </c>
      <c r="F412" s="25">
        <f>IF(C412="","",IFERROR(INDEX(tbl_Finance[Client],MATCH(C412&amp;"",tbl_Finance[Job Number],0)),""))</f>
        <v/>
      </c>
      <c r="G412" s="28">
        <f>IF(C412="","",COUNTIFS(tbl_Finance[Job Number],C412&amp;"",tbl_Finance[Ex GST],"&lt;&gt;"))</f>
        <v/>
      </c>
      <c r="H412" s="27">
        <f>IF(C412="","",SUMIFS(tbl_Finance[Ex GST],tbl_Finance[Job Number],C412&amp;""))</f>
        <v/>
      </c>
      <c r="I412" s="27">
        <f>IF(C412="","",SUMIFS(tbl_Finance[Ex GST],tbl_Finance[Job Number],C412&amp;"",tbl_Finance[Xero Invoice No],"&lt;&gt;"))</f>
        <v/>
      </c>
      <c r="J412" s="27">
        <f>IF(C412="","",H412-I412)</f>
        <v/>
      </c>
      <c r="K412" s="25">
        <f>IF(C412="","",IF(G412=0,"not invoiced yet",SUBSTITUTE(TRIM(IF(COUNTIFS(tbl_Finance[Job Number],C412&amp;"",tbl_Finance[Cost Centre],"ONSITE")&gt;0,"ONSITE ","")&amp;IF(COUNTIFS(tbl_Finance[Job Number],C412&amp;"",tbl_Finance[Cost Centre],"PRODUCTION")&gt;0,"PRODUCTION ","")&amp;IF(COUNTIFS(tbl_Finance[Job Number],C412&amp;"",tbl_Finance[Cost Centre],"VIDEO")&gt;0,"VIDEO ","")&amp;IF(COUNTIFS(tbl_Finance[Job Number],C412&amp;"",tbl_Finance[Cost Centre],"INTEGRATION")&gt;0,"INTEGRATION ","")&amp;IF(COUNTIFS(tbl_Finance[Job Number],C412&amp;"",tbl_Finance[Cost Centre],"CONSULTING")&gt;0,"CONSULTING ","")&amp;IF(COUNTIFS(tbl_Finance[Job Number],C412&amp;"",tbl_Finance[Cost Centre],"CTS")&gt;0,"CTS ",""))," ",", ")))</f>
        <v/>
      </c>
      <c r="L412" s="24" t="n"/>
      <c r="M412" s="24" t="n"/>
      <c r="N412" s="25">
        <f>IF(M412="","",HYPERLINK(IF(LEFT(M412,4)="http",M412,set_QwilrBase&amp;M412),"Open quote"))</f>
        <v/>
      </c>
      <c r="O412" s="64" t="n"/>
      <c r="P412" s="24" t="n"/>
      <c r="Q412" s="24" t="n"/>
    </row>
    <row r="413" ht="15" customHeight="1">
      <c r="A413" s="63">
        <f>IF(C413="","",IFERROR(IF(SUMPRODUCT(MAX((tbl_Finance[Job Number]=C413&amp;"")*(tbl_Finance[Xero Invoice No]&lt;&gt;"")*tbl_Finance[Date]))=0,"",SUMPRODUCT(MAX((tbl_Finance[Job Number]=C413&amp;"")*(tbl_Finance[Xero Invoice No]&lt;&gt;"")*tbl_Finance[Date]))),""))</f>
        <v/>
      </c>
      <c r="B413" s="25">
        <f>IF(C413="","",IF(COUNTIFS(tbl_Finance[Job Number],C413&amp;"",tbl_Finance[Xero Invoice No],"&lt;&gt;")=0,"",IFERROR(IF(COUNTIFS(tbl_Finance[Job Number],C413&amp;"",tbl_Finance[Xero Invoice No],LOOKUP(2,1/((tbl_Finance[Job Number]=C413&amp;"")*(tbl_Finance[Xero Invoice No]&lt;&gt;"")),tbl_Finance[Xero Invoice No]))=COUNTIFS(tbl_Finance[Job Number],C413&amp;"",tbl_Finance[Xero Invoice No],"&lt;&gt;"),LOOKUP(2,1/((tbl_Finance[Job Number]=C413&amp;"")*(tbl_Finance[Xero Invoice No]&lt;&gt;"")),tbl_Finance[Xero Invoice No]),LOOKUP(2,1/((tbl_Finance[Job Number]=C413&amp;"")*(tbl_Finance[Xero Invoice No]&lt;&gt;"")),tbl_Finance[Xero Invoice No])&amp;" +more"),"")))</f>
        <v/>
      </c>
      <c r="C413" s="24" t="n"/>
      <c r="D413" s="25">
        <f>IF(C413="","",IF(COUNTIF(lst_Jobs,C413&amp;"")&gt;0,"OK","CHECK"))</f>
        <v/>
      </c>
      <c r="E413" s="25">
        <f>IF(C413="","",IFERROR(INDEX(lst_JobName,MATCH(C413&amp;"",lst_Jobs,0)),""))</f>
        <v/>
      </c>
      <c r="F413" s="25">
        <f>IF(C413="","",IFERROR(INDEX(tbl_Finance[Client],MATCH(C413&amp;"",tbl_Finance[Job Number],0)),""))</f>
        <v/>
      </c>
      <c r="G413" s="28">
        <f>IF(C413="","",COUNTIFS(tbl_Finance[Job Number],C413&amp;"",tbl_Finance[Ex GST],"&lt;&gt;"))</f>
        <v/>
      </c>
      <c r="H413" s="27">
        <f>IF(C413="","",SUMIFS(tbl_Finance[Ex GST],tbl_Finance[Job Number],C413&amp;""))</f>
        <v/>
      </c>
      <c r="I413" s="27">
        <f>IF(C413="","",SUMIFS(tbl_Finance[Ex GST],tbl_Finance[Job Number],C413&amp;"",tbl_Finance[Xero Invoice No],"&lt;&gt;"))</f>
        <v/>
      </c>
      <c r="J413" s="27">
        <f>IF(C413="","",H413-I413)</f>
        <v/>
      </c>
      <c r="K413" s="25">
        <f>IF(C413="","",IF(G413=0,"not invoiced yet",SUBSTITUTE(TRIM(IF(COUNTIFS(tbl_Finance[Job Number],C413&amp;"",tbl_Finance[Cost Centre],"ONSITE")&gt;0,"ONSITE ","")&amp;IF(COUNTIFS(tbl_Finance[Job Number],C413&amp;"",tbl_Finance[Cost Centre],"PRODUCTION")&gt;0,"PRODUCTION ","")&amp;IF(COUNTIFS(tbl_Finance[Job Number],C413&amp;"",tbl_Finance[Cost Centre],"VIDEO")&gt;0,"VIDEO ","")&amp;IF(COUNTIFS(tbl_Finance[Job Number],C413&amp;"",tbl_Finance[Cost Centre],"INTEGRATION")&gt;0,"INTEGRATION ","")&amp;IF(COUNTIFS(tbl_Finance[Job Number],C413&amp;"",tbl_Finance[Cost Centre],"CONSULTING")&gt;0,"CONSULTING ","")&amp;IF(COUNTIFS(tbl_Finance[Job Number],C413&amp;"",tbl_Finance[Cost Centre],"CTS")&gt;0,"CTS ",""))," ",", ")))</f>
        <v/>
      </c>
      <c r="L413" s="24" t="n"/>
      <c r="M413" s="24" t="n"/>
      <c r="N413" s="25">
        <f>IF(M413="","",HYPERLINK(IF(LEFT(M413,4)="http",M413,set_QwilrBase&amp;M413),"Open quote"))</f>
        <v/>
      </c>
      <c r="O413" s="64" t="n"/>
      <c r="P413" s="24" t="n"/>
      <c r="Q413" s="24" t="n"/>
    </row>
    <row r="414" ht="15" customHeight="1">
      <c r="A414" s="63">
        <f>IF(C414="","",IFERROR(IF(SUMPRODUCT(MAX((tbl_Finance[Job Number]=C414&amp;"")*(tbl_Finance[Xero Invoice No]&lt;&gt;"")*tbl_Finance[Date]))=0,"",SUMPRODUCT(MAX((tbl_Finance[Job Number]=C414&amp;"")*(tbl_Finance[Xero Invoice No]&lt;&gt;"")*tbl_Finance[Date]))),""))</f>
        <v/>
      </c>
      <c r="B414" s="25">
        <f>IF(C414="","",IF(COUNTIFS(tbl_Finance[Job Number],C414&amp;"",tbl_Finance[Xero Invoice No],"&lt;&gt;")=0,"",IFERROR(IF(COUNTIFS(tbl_Finance[Job Number],C414&amp;"",tbl_Finance[Xero Invoice No],LOOKUP(2,1/((tbl_Finance[Job Number]=C414&amp;"")*(tbl_Finance[Xero Invoice No]&lt;&gt;"")),tbl_Finance[Xero Invoice No]))=COUNTIFS(tbl_Finance[Job Number],C414&amp;"",tbl_Finance[Xero Invoice No],"&lt;&gt;"),LOOKUP(2,1/((tbl_Finance[Job Number]=C414&amp;"")*(tbl_Finance[Xero Invoice No]&lt;&gt;"")),tbl_Finance[Xero Invoice No]),LOOKUP(2,1/((tbl_Finance[Job Number]=C414&amp;"")*(tbl_Finance[Xero Invoice No]&lt;&gt;"")),tbl_Finance[Xero Invoice No])&amp;" +more"),"")))</f>
        <v/>
      </c>
      <c r="C414" s="24" t="n"/>
      <c r="D414" s="25">
        <f>IF(C414="","",IF(COUNTIF(lst_Jobs,C414&amp;"")&gt;0,"OK","CHECK"))</f>
        <v/>
      </c>
      <c r="E414" s="25">
        <f>IF(C414="","",IFERROR(INDEX(lst_JobName,MATCH(C414&amp;"",lst_Jobs,0)),""))</f>
        <v/>
      </c>
      <c r="F414" s="25">
        <f>IF(C414="","",IFERROR(INDEX(tbl_Finance[Client],MATCH(C414&amp;"",tbl_Finance[Job Number],0)),""))</f>
        <v/>
      </c>
      <c r="G414" s="28">
        <f>IF(C414="","",COUNTIFS(tbl_Finance[Job Number],C414&amp;"",tbl_Finance[Ex GST],"&lt;&gt;"))</f>
        <v/>
      </c>
      <c r="H414" s="27">
        <f>IF(C414="","",SUMIFS(tbl_Finance[Ex GST],tbl_Finance[Job Number],C414&amp;""))</f>
        <v/>
      </c>
      <c r="I414" s="27">
        <f>IF(C414="","",SUMIFS(tbl_Finance[Ex GST],tbl_Finance[Job Number],C414&amp;"",tbl_Finance[Xero Invoice No],"&lt;&gt;"))</f>
        <v/>
      </c>
      <c r="J414" s="27">
        <f>IF(C414="","",H414-I414)</f>
        <v/>
      </c>
      <c r="K414" s="25">
        <f>IF(C414="","",IF(G414=0,"not invoiced yet",SUBSTITUTE(TRIM(IF(COUNTIFS(tbl_Finance[Job Number],C414&amp;"",tbl_Finance[Cost Centre],"ONSITE")&gt;0,"ONSITE ","")&amp;IF(COUNTIFS(tbl_Finance[Job Number],C414&amp;"",tbl_Finance[Cost Centre],"PRODUCTION")&gt;0,"PRODUCTION ","")&amp;IF(COUNTIFS(tbl_Finance[Job Number],C414&amp;"",tbl_Finance[Cost Centre],"VIDEO")&gt;0,"VIDEO ","")&amp;IF(COUNTIFS(tbl_Finance[Job Number],C414&amp;"",tbl_Finance[Cost Centre],"INTEGRATION")&gt;0,"INTEGRATION ","")&amp;IF(COUNTIFS(tbl_Finance[Job Number],C414&amp;"",tbl_Finance[Cost Centre],"CONSULTING")&gt;0,"CONSULTING ","")&amp;IF(COUNTIFS(tbl_Finance[Job Number],C414&amp;"",tbl_Finance[Cost Centre],"CTS")&gt;0,"CTS ",""))," ",", ")))</f>
        <v/>
      </c>
      <c r="L414" s="24" t="n"/>
      <c r="M414" s="24" t="n"/>
      <c r="N414" s="25">
        <f>IF(M414="","",HYPERLINK(IF(LEFT(M414,4)="http",M414,set_QwilrBase&amp;M414),"Open quote"))</f>
        <v/>
      </c>
      <c r="O414" s="64" t="n"/>
      <c r="P414" s="24" t="n"/>
      <c r="Q414" s="24" t="n"/>
    </row>
    <row r="415" ht="15" customHeight="1">
      <c r="A415" s="63">
        <f>IF(C415="","",IFERROR(IF(SUMPRODUCT(MAX((tbl_Finance[Job Number]=C415&amp;"")*(tbl_Finance[Xero Invoice No]&lt;&gt;"")*tbl_Finance[Date]))=0,"",SUMPRODUCT(MAX((tbl_Finance[Job Number]=C415&amp;"")*(tbl_Finance[Xero Invoice No]&lt;&gt;"")*tbl_Finance[Date]))),""))</f>
        <v/>
      </c>
      <c r="B415" s="25">
        <f>IF(C415="","",IF(COUNTIFS(tbl_Finance[Job Number],C415&amp;"",tbl_Finance[Xero Invoice No],"&lt;&gt;")=0,"",IFERROR(IF(COUNTIFS(tbl_Finance[Job Number],C415&amp;"",tbl_Finance[Xero Invoice No],LOOKUP(2,1/((tbl_Finance[Job Number]=C415&amp;"")*(tbl_Finance[Xero Invoice No]&lt;&gt;"")),tbl_Finance[Xero Invoice No]))=COUNTIFS(tbl_Finance[Job Number],C415&amp;"",tbl_Finance[Xero Invoice No],"&lt;&gt;"),LOOKUP(2,1/((tbl_Finance[Job Number]=C415&amp;"")*(tbl_Finance[Xero Invoice No]&lt;&gt;"")),tbl_Finance[Xero Invoice No]),LOOKUP(2,1/((tbl_Finance[Job Number]=C415&amp;"")*(tbl_Finance[Xero Invoice No]&lt;&gt;"")),tbl_Finance[Xero Invoice No])&amp;" +more"),"")))</f>
        <v/>
      </c>
      <c r="C415" s="24" t="n"/>
      <c r="D415" s="25">
        <f>IF(C415="","",IF(COUNTIF(lst_Jobs,C415&amp;"")&gt;0,"OK","CHECK"))</f>
        <v/>
      </c>
      <c r="E415" s="25">
        <f>IF(C415="","",IFERROR(INDEX(lst_JobName,MATCH(C415&amp;"",lst_Jobs,0)),""))</f>
        <v/>
      </c>
      <c r="F415" s="25">
        <f>IF(C415="","",IFERROR(INDEX(tbl_Finance[Client],MATCH(C415&amp;"",tbl_Finance[Job Number],0)),""))</f>
        <v/>
      </c>
      <c r="G415" s="28">
        <f>IF(C415="","",COUNTIFS(tbl_Finance[Job Number],C415&amp;"",tbl_Finance[Ex GST],"&lt;&gt;"))</f>
        <v/>
      </c>
      <c r="H415" s="27">
        <f>IF(C415="","",SUMIFS(tbl_Finance[Ex GST],tbl_Finance[Job Number],C415&amp;""))</f>
        <v/>
      </c>
      <c r="I415" s="27">
        <f>IF(C415="","",SUMIFS(tbl_Finance[Ex GST],tbl_Finance[Job Number],C415&amp;"",tbl_Finance[Xero Invoice No],"&lt;&gt;"))</f>
        <v/>
      </c>
      <c r="J415" s="27">
        <f>IF(C415="","",H415-I415)</f>
        <v/>
      </c>
      <c r="K415" s="25">
        <f>IF(C415="","",IF(G415=0,"not invoiced yet",SUBSTITUTE(TRIM(IF(COUNTIFS(tbl_Finance[Job Number],C415&amp;"",tbl_Finance[Cost Centre],"ONSITE")&gt;0,"ONSITE ","")&amp;IF(COUNTIFS(tbl_Finance[Job Number],C415&amp;"",tbl_Finance[Cost Centre],"PRODUCTION")&gt;0,"PRODUCTION ","")&amp;IF(COUNTIFS(tbl_Finance[Job Number],C415&amp;"",tbl_Finance[Cost Centre],"VIDEO")&gt;0,"VIDEO ","")&amp;IF(COUNTIFS(tbl_Finance[Job Number],C415&amp;"",tbl_Finance[Cost Centre],"INTEGRATION")&gt;0,"INTEGRATION ","")&amp;IF(COUNTIFS(tbl_Finance[Job Number],C415&amp;"",tbl_Finance[Cost Centre],"CONSULTING")&gt;0,"CONSULTING ","")&amp;IF(COUNTIFS(tbl_Finance[Job Number],C415&amp;"",tbl_Finance[Cost Centre],"CTS")&gt;0,"CTS ",""))," ",", ")))</f>
        <v/>
      </c>
      <c r="L415" s="24" t="n"/>
      <c r="M415" s="24" t="n"/>
      <c r="N415" s="25">
        <f>IF(M415="","",HYPERLINK(IF(LEFT(M415,4)="http",M415,set_QwilrBase&amp;M415),"Open quote"))</f>
        <v/>
      </c>
      <c r="O415" s="64" t="n"/>
      <c r="P415" s="24" t="n"/>
      <c r="Q415" s="24" t="n"/>
    </row>
    <row r="416" ht="15" customHeight="1">
      <c r="A416" s="63">
        <f>IF(C416="","",IFERROR(IF(SUMPRODUCT(MAX((tbl_Finance[Job Number]=C416&amp;"")*(tbl_Finance[Xero Invoice No]&lt;&gt;"")*tbl_Finance[Date]))=0,"",SUMPRODUCT(MAX((tbl_Finance[Job Number]=C416&amp;"")*(tbl_Finance[Xero Invoice No]&lt;&gt;"")*tbl_Finance[Date]))),""))</f>
        <v/>
      </c>
      <c r="B416" s="25">
        <f>IF(C416="","",IF(COUNTIFS(tbl_Finance[Job Number],C416&amp;"",tbl_Finance[Xero Invoice No],"&lt;&gt;")=0,"",IFERROR(IF(COUNTIFS(tbl_Finance[Job Number],C416&amp;"",tbl_Finance[Xero Invoice No],LOOKUP(2,1/((tbl_Finance[Job Number]=C416&amp;"")*(tbl_Finance[Xero Invoice No]&lt;&gt;"")),tbl_Finance[Xero Invoice No]))=COUNTIFS(tbl_Finance[Job Number],C416&amp;"",tbl_Finance[Xero Invoice No],"&lt;&gt;"),LOOKUP(2,1/((tbl_Finance[Job Number]=C416&amp;"")*(tbl_Finance[Xero Invoice No]&lt;&gt;"")),tbl_Finance[Xero Invoice No]),LOOKUP(2,1/((tbl_Finance[Job Number]=C416&amp;"")*(tbl_Finance[Xero Invoice No]&lt;&gt;"")),tbl_Finance[Xero Invoice No])&amp;" +more"),"")))</f>
        <v/>
      </c>
      <c r="C416" s="24" t="n"/>
      <c r="D416" s="25">
        <f>IF(C416="","",IF(COUNTIF(lst_Jobs,C416&amp;"")&gt;0,"OK","CHECK"))</f>
        <v/>
      </c>
      <c r="E416" s="25">
        <f>IF(C416="","",IFERROR(INDEX(lst_JobName,MATCH(C416&amp;"",lst_Jobs,0)),""))</f>
        <v/>
      </c>
      <c r="F416" s="25">
        <f>IF(C416="","",IFERROR(INDEX(tbl_Finance[Client],MATCH(C416&amp;"",tbl_Finance[Job Number],0)),""))</f>
        <v/>
      </c>
      <c r="G416" s="28">
        <f>IF(C416="","",COUNTIFS(tbl_Finance[Job Number],C416&amp;"",tbl_Finance[Ex GST],"&lt;&gt;"))</f>
        <v/>
      </c>
      <c r="H416" s="27">
        <f>IF(C416="","",SUMIFS(tbl_Finance[Ex GST],tbl_Finance[Job Number],C416&amp;""))</f>
        <v/>
      </c>
      <c r="I416" s="27">
        <f>IF(C416="","",SUMIFS(tbl_Finance[Ex GST],tbl_Finance[Job Number],C416&amp;"",tbl_Finance[Xero Invoice No],"&lt;&gt;"))</f>
        <v/>
      </c>
      <c r="J416" s="27">
        <f>IF(C416="","",H416-I416)</f>
        <v/>
      </c>
      <c r="K416" s="25">
        <f>IF(C416="","",IF(G416=0,"not invoiced yet",SUBSTITUTE(TRIM(IF(COUNTIFS(tbl_Finance[Job Number],C416&amp;"",tbl_Finance[Cost Centre],"ONSITE")&gt;0,"ONSITE ","")&amp;IF(COUNTIFS(tbl_Finance[Job Number],C416&amp;"",tbl_Finance[Cost Centre],"PRODUCTION")&gt;0,"PRODUCTION ","")&amp;IF(COUNTIFS(tbl_Finance[Job Number],C416&amp;"",tbl_Finance[Cost Centre],"VIDEO")&gt;0,"VIDEO ","")&amp;IF(COUNTIFS(tbl_Finance[Job Number],C416&amp;"",tbl_Finance[Cost Centre],"INTEGRATION")&gt;0,"INTEGRATION ","")&amp;IF(COUNTIFS(tbl_Finance[Job Number],C416&amp;"",tbl_Finance[Cost Centre],"CONSULTING")&gt;0,"CONSULTING ","")&amp;IF(COUNTIFS(tbl_Finance[Job Number],C416&amp;"",tbl_Finance[Cost Centre],"CTS")&gt;0,"CTS ",""))," ",", ")))</f>
        <v/>
      </c>
      <c r="L416" s="24" t="n"/>
      <c r="M416" s="24" t="n"/>
      <c r="N416" s="25">
        <f>IF(M416="","",HYPERLINK(IF(LEFT(M416,4)="http",M416,set_QwilrBase&amp;M416),"Open quote"))</f>
        <v/>
      </c>
      <c r="O416" s="64" t="n"/>
      <c r="P416" s="24" t="n"/>
      <c r="Q416" s="24" t="n"/>
    </row>
    <row r="417" ht="15" customHeight="1">
      <c r="A417" s="63">
        <f>IF(C417="","",IFERROR(IF(SUMPRODUCT(MAX((tbl_Finance[Job Number]=C417&amp;"")*(tbl_Finance[Xero Invoice No]&lt;&gt;"")*tbl_Finance[Date]))=0,"",SUMPRODUCT(MAX((tbl_Finance[Job Number]=C417&amp;"")*(tbl_Finance[Xero Invoice No]&lt;&gt;"")*tbl_Finance[Date]))),""))</f>
        <v/>
      </c>
      <c r="B417" s="25">
        <f>IF(C417="","",IF(COUNTIFS(tbl_Finance[Job Number],C417&amp;"",tbl_Finance[Xero Invoice No],"&lt;&gt;")=0,"",IFERROR(IF(COUNTIFS(tbl_Finance[Job Number],C417&amp;"",tbl_Finance[Xero Invoice No],LOOKUP(2,1/((tbl_Finance[Job Number]=C417&amp;"")*(tbl_Finance[Xero Invoice No]&lt;&gt;"")),tbl_Finance[Xero Invoice No]))=COUNTIFS(tbl_Finance[Job Number],C417&amp;"",tbl_Finance[Xero Invoice No],"&lt;&gt;"),LOOKUP(2,1/((tbl_Finance[Job Number]=C417&amp;"")*(tbl_Finance[Xero Invoice No]&lt;&gt;"")),tbl_Finance[Xero Invoice No]),LOOKUP(2,1/((tbl_Finance[Job Number]=C417&amp;"")*(tbl_Finance[Xero Invoice No]&lt;&gt;"")),tbl_Finance[Xero Invoice No])&amp;" +more"),"")))</f>
        <v/>
      </c>
      <c r="C417" s="24" t="n"/>
      <c r="D417" s="25">
        <f>IF(C417="","",IF(COUNTIF(lst_Jobs,C417&amp;"")&gt;0,"OK","CHECK"))</f>
        <v/>
      </c>
      <c r="E417" s="25">
        <f>IF(C417="","",IFERROR(INDEX(lst_JobName,MATCH(C417&amp;"",lst_Jobs,0)),""))</f>
        <v/>
      </c>
      <c r="F417" s="25">
        <f>IF(C417="","",IFERROR(INDEX(tbl_Finance[Client],MATCH(C417&amp;"",tbl_Finance[Job Number],0)),""))</f>
        <v/>
      </c>
      <c r="G417" s="28">
        <f>IF(C417="","",COUNTIFS(tbl_Finance[Job Number],C417&amp;"",tbl_Finance[Ex GST],"&lt;&gt;"))</f>
        <v/>
      </c>
      <c r="H417" s="27">
        <f>IF(C417="","",SUMIFS(tbl_Finance[Ex GST],tbl_Finance[Job Number],C417&amp;""))</f>
        <v/>
      </c>
      <c r="I417" s="27">
        <f>IF(C417="","",SUMIFS(tbl_Finance[Ex GST],tbl_Finance[Job Number],C417&amp;"",tbl_Finance[Xero Invoice No],"&lt;&gt;"))</f>
        <v/>
      </c>
      <c r="J417" s="27">
        <f>IF(C417="","",H417-I417)</f>
        <v/>
      </c>
      <c r="K417" s="25">
        <f>IF(C417="","",IF(G417=0,"not invoiced yet",SUBSTITUTE(TRIM(IF(COUNTIFS(tbl_Finance[Job Number],C417&amp;"",tbl_Finance[Cost Centre],"ONSITE")&gt;0,"ONSITE ","")&amp;IF(COUNTIFS(tbl_Finance[Job Number],C417&amp;"",tbl_Finance[Cost Centre],"PRODUCTION")&gt;0,"PRODUCTION ","")&amp;IF(COUNTIFS(tbl_Finance[Job Number],C417&amp;"",tbl_Finance[Cost Centre],"VIDEO")&gt;0,"VIDEO ","")&amp;IF(COUNTIFS(tbl_Finance[Job Number],C417&amp;"",tbl_Finance[Cost Centre],"INTEGRATION")&gt;0,"INTEGRATION ","")&amp;IF(COUNTIFS(tbl_Finance[Job Number],C417&amp;"",tbl_Finance[Cost Centre],"CONSULTING")&gt;0,"CONSULTING ","")&amp;IF(COUNTIFS(tbl_Finance[Job Number],C417&amp;"",tbl_Finance[Cost Centre],"CTS")&gt;0,"CTS ",""))," ",", ")))</f>
        <v/>
      </c>
      <c r="L417" s="24" t="n"/>
      <c r="M417" s="24" t="n"/>
      <c r="N417" s="25">
        <f>IF(M417="","",HYPERLINK(IF(LEFT(M417,4)="http",M417,set_QwilrBase&amp;M417),"Open quote"))</f>
        <v/>
      </c>
      <c r="O417" s="64" t="n"/>
      <c r="P417" s="24" t="n"/>
      <c r="Q417" s="24" t="n"/>
    </row>
    <row r="418" ht="15" customHeight="1">
      <c r="A418" s="63">
        <f>IF(C418="","",IFERROR(IF(SUMPRODUCT(MAX((tbl_Finance[Job Number]=C418&amp;"")*(tbl_Finance[Xero Invoice No]&lt;&gt;"")*tbl_Finance[Date]))=0,"",SUMPRODUCT(MAX((tbl_Finance[Job Number]=C418&amp;"")*(tbl_Finance[Xero Invoice No]&lt;&gt;"")*tbl_Finance[Date]))),""))</f>
        <v/>
      </c>
      <c r="B418" s="25">
        <f>IF(C418="","",IF(COUNTIFS(tbl_Finance[Job Number],C418&amp;"",tbl_Finance[Xero Invoice No],"&lt;&gt;")=0,"",IFERROR(IF(COUNTIFS(tbl_Finance[Job Number],C418&amp;"",tbl_Finance[Xero Invoice No],LOOKUP(2,1/((tbl_Finance[Job Number]=C418&amp;"")*(tbl_Finance[Xero Invoice No]&lt;&gt;"")),tbl_Finance[Xero Invoice No]))=COUNTIFS(tbl_Finance[Job Number],C418&amp;"",tbl_Finance[Xero Invoice No],"&lt;&gt;"),LOOKUP(2,1/((tbl_Finance[Job Number]=C418&amp;"")*(tbl_Finance[Xero Invoice No]&lt;&gt;"")),tbl_Finance[Xero Invoice No]),LOOKUP(2,1/((tbl_Finance[Job Number]=C418&amp;"")*(tbl_Finance[Xero Invoice No]&lt;&gt;"")),tbl_Finance[Xero Invoice No])&amp;" +more"),"")))</f>
        <v/>
      </c>
      <c r="C418" s="24" t="n"/>
      <c r="D418" s="25">
        <f>IF(C418="","",IF(COUNTIF(lst_Jobs,C418&amp;"")&gt;0,"OK","CHECK"))</f>
        <v/>
      </c>
      <c r="E418" s="25">
        <f>IF(C418="","",IFERROR(INDEX(lst_JobName,MATCH(C418&amp;"",lst_Jobs,0)),""))</f>
        <v/>
      </c>
      <c r="F418" s="25">
        <f>IF(C418="","",IFERROR(INDEX(tbl_Finance[Client],MATCH(C418&amp;"",tbl_Finance[Job Number],0)),""))</f>
        <v/>
      </c>
      <c r="G418" s="28">
        <f>IF(C418="","",COUNTIFS(tbl_Finance[Job Number],C418&amp;"",tbl_Finance[Ex GST],"&lt;&gt;"))</f>
        <v/>
      </c>
      <c r="H418" s="27">
        <f>IF(C418="","",SUMIFS(tbl_Finance[Ex GST],tbl_Finance[Job Number],C418&amp;""))</f>
        <v/>
      </c>
      <c r="I418" s="27">
        <f>IF(C418="","",SUMIFS(tbl_Finance[Ex GST],tbl_Finance[Job Number],C418&amp;"",tbl_Finance[Xero Invoice No],"&lt;&gt;"))</f>
        <v/>
      </c>
      <c r="J418" s="27">
        <f>IF(C418="","",H418-I418)</f>
        <v/>
      </c>
      <c r="K418" s="25">
        <f>IF(C418="","",IF(G418=0,"not invoiced yet",SUBSTITUTE(TRIM(IF(COUNTIFS(tbl_Finance[Job Number],C418&amp;"",tbl_Finance[Cost Centre],"ONSITE")&gt;0,"ONSITE ","")&amp;IF(COUNTIFS(tbl_Finance[Job Number],C418&amp;"",tbl_Finance[Cost Centre],"PRODUCTION")&gt;0,"PRODUCTION ","")&amp;IF(COUNTIFS(tbl_Finance[Job Number],C418&amp;"",tbl_Finance[Cost Centre],"VIDEO")&gt;0,"VIDEO ","")&amp;IF(COUNTIFS(tbl_Finance[Job Number],C418&amp;"",tbl_Finance[Cost Centre],"INTEGRATION")&gt;0,"INTEGRATION ","")&amp;IF(COUNTIFS(tbl_Finance[Job Number],C418&amp;"",tbl_Finance[Cost Centre],"CONSULTING")&gt;0,"CONSULTING ","")&amp;IF(COUNTIFS(tbl_Finance[Job Number],C418&amp;"",tbl_Finance[Cost Centre],"CTS")&gt;0,"CTS ",""))," ",", ")))</f>
        <v/>
      </c>
      <c r="L418" s="24" t="n"/>
      <c r="M418" s="24" t="n"/>
      <c r="N418" s="25">
        <f>IF(M418="","",HYPERLINK(IF(LEFT(M418,4)="http",M418,set_QwilrBase&amp;M418),"Open quote"))</f>
        <v/>
      </c>
      <c r="O418" s="64" t="n"/>
      <c r="P418" s="24" t="n"/>
      <c r="Q418" s="24" t="n"/>
    </row>
    <row r="419" ht="15" customHeight="1">
      <c r="A419" s="63">
        <f>IF(C419="","",IFERROR(IF(SUMPRODUCT(MAX((tbl_Finance[Job Number]=C419&amp;"")*(tbl_Finance[Xero Invoice No]&lt;&gt;"")*tbl_Finance[Date]))=0,"",SUMPRODUCT(MAX((tbl_Finance[Job Number]=C419&amp;"")*(tbl_Finance[Xero Invoice No]&lt;&gt;"")*tbl_Finance[Date]))),""))</f>
        <v/>
      </c>
      <c r="B419" s="25">
        <f>IF(C419="","",IF(COUNTIFS(tbl_Finance[Job Number],C419&amp;"",tbl_Finance[Xero Invoice No],"&lt;&gt;")=0,"",IFERROR(IF(COUNTIFS(tbl_Finance[Job Number],C419&amp;"",tbl_Finance[Xero Invoice No],LOOKUP(2,1/((tbl_Finance[Job Number]=C419&amp;"")*(tbl_Finance[Xero Invoice No]&lt;&gt;"")),tbl_Finance[Xero Invoice No]))=COUNTIFS(tbl_Finance[Job Number],C419&amp;"",tbl_Finance[Xero Invoice No],"&lt;&gt;"),LOOKUP(2,1/((tbl_Finance[Job Number]=C419&amp;"")*(tbl_Finance[Xero Invoice No]&lt;&gt;"")),tbl_Finance[Xero Invoice No]),LOOKUP(2,1/((tbl_Finance[Job Number]=C419&amp;"")*(tbl_Finance[Xero Invoice No]&lt;&gt;"")),tbl_Finance[Xero Invoice No])&amp;" +more"),"")))</f>
        <v/>
      </c>
      <c r="C419" s="24" t="n"/>
      <c r="D419" s="25">
        <f>IF(C419="","",IF(COUNTIF(lst_Jobs,C419&amp;"")&gt;0,"OK","CHECK"))</f>
        <v/>
      </c>
      <c r="E419" s="25">
        <f>IF(C419="","",IFERROR(INDEX(lst_JobName,MATCH(C419&amp;"",lst_Jobs,0)),""))</f>
        <v/>
      </c>
      <c r="F419" s="25">
        <f>IF(C419="","",IFERROR(INDEX(tbl_Finance[Client],MATCH(C419&amp;"",tbl_Finance[Job Number],0)),""))</f>
        <v/>
      </c>
      <c r="G419" s="28">
        <f>IF(C419="","",COUNTIFS(tbl_Finance[Job Number],C419&amp;"",tbl_Finance[Ex GST],"&lt;&gt;"))</f>
        <v/>
      </c>
      <c r="H419" s="27">
        <f>IF(C419="","",SUMIFS(tbl_Finance[Ex GST],tbl_Finance[Job Number],C419&amp;""))</f>
        <v/>
      </c>
      <c r="I419" s="27">
        <f>IF(C419="","",SUMIFS(tbl_Finance[Ex GST],tbl_Finance[Job Number],C419&amp;"",tbl_Finance[Xero Invoice No],"&lt;&gt;"))</f>
        <v/>
      </c>
      <c r="J419" s="27">
        <f>IF(C419="","",H419-I419)</f>
        <v/>
      </c>
      <c r="K419" s="25">
        <f>IF(C419="","",IF(G419=0,"not invoiced yet",SUBSTITUTE(TRIM(IF(COUNTIFS(tbl_Finance[Job Number],C419&amp;"",tbl_Finance[Cost Centre],"ONSITE")&gt;0,"ONSITE ","")&amp;IF(COUNTIFS(tbl_Finance[Job Number],C419&amp;"",tbl_Finance[Cost Centre],"PRODUCTION")&gt;0,"PRODUCTION ","")&amp;IF(COUNTIFS(tbl_Finance[Job Number],C419&amp;"",tbl_Finance[Cost Centre],"VIDEO")&gt;0,"VIDEO ","")&amp;IF(COUNTIFS(tbl_Finance[Job Number],C419&amp;"",tbl_Finance[Cost Centre],"INTEGRATION")&gt;0,"INTEGRATION ","")&amp;IF(COUNTIFS(tbl_Finance[Job Number],C419&amp;"",tbl_Finance[Cost Centre],"CONSULTING")&gt;0,"CONSULTING ","")&amp;IF(COUNTIFS(tbl_Finance[Job Number],C419&amp;"",tbl_Finance[Cost Centre],"CTS")&gt;0,"CTS ",""))," ",", ")))</f>
        <v/>
      </c>
      <c r="L419" s="24" t="n"/>
      <c r="M419" s="24" t="n"/>
      <c r="N419" s="25">
        <f>IF(M419="","",HYPERLINK(IF(LEFT(M419,4)="http",M419,set_QwilrBase&amp;M419),"Open quote"))</f>
        <v/>
      </c>
      <c r="O419" s="64" t="n"/>
      <c r="P419" s="24" t="n"/>
      <c r="Q419" s="24" t="n"/>
    </row>
    <row r="420" ht="15" customHeight="1">
      <c r="A420" s="63">
        <f>IF(C420="","",IFERROR(IF(SUMPRODUCT(MAX((tbl_Finance[Job Number]=C420&amp;"")*(tbl_Finance[Xero Invoice No]&lt;&gt;"")*tbl_Finance[Date]))=0,"",SUMPRODUCT(MAX((tbl_Finance[Job Number]=C420&amp;"")*(tbl_Finance[Xero Invoice No]&lt;&gt;"")*tbl_Finance[Date]))),""))</f>
        <v/>
      </c>
      <c r="B420" s="25">
        <f>IF(C420="","",IF(COUNTIFS(tbl_Finance[Job Number],C420&amp;"",tbl_Finance[Xero Invoice No],"&lt;&gt;")=0,"",IFERROR(IF(COUNTIFS(tbl_Finance[Job Number],C420&amp;"",tbl_Finance[Xero Invoice No],LOOKUP(2,1/((tbl_Finance[Job Number]=C420&amp;"")*(tbl_Finance[Xero Invoice No]&lt;&gt;"")),tbl_Finance[Xero Invoice No]))=COUNTIFS(tbl_Finance[Job Number],C420&amp;"",tbl_Finance[Xero Invoice No],"&lt;&gt;"),LOOKUP(2,1/((tbl_Finance[Job Number]=C420&amp;"")*(tbl_Finance[Xero Invoice No]&lt;&gt;"")),tbl_Finance[Xero Invoice No]),LOOKUP(2,1/((tbl_Finance[Job Number]=C420&amp;"")*(tbl_Finance[Xero Invoice No]&lt;&gt;"")),tbl_Finance[Xero Invoice No])&amp;" +more"),"")))</f>
        <v/>
      </c>
      <c r="C420" s="24" t="n"/>
      <c r="D420" s="25">
        <f>IF(C420="","",IF(COUNTIF(lst_Jobs,C420&amp;"")&gt;0,"OK","CHECK"))</f>
        <v/>
      </c>
      <c r="E420" s="25">
        <f>IF(C420="","",IFERROR(INDEX(lst_JobName,MATCH(C420&amp;"",lst_Jobs,0)),""))</f>
        <v/>
      </c>
      <c r="F420" s="25">
        <f>IF(C420="","",IFERROR(INDEX(tbl_Finance[Client],MATCH(C420&amp;"",tbl_Finance[Job Number],0)),""))</f>
        <v/>
      </c>
      <c r="G420" s="28">
        <f>IF(C420="","",COUNTIFS(tbl_Finance[Job Number],C420&amp;"",tbl_Finance[Ex GST],"&lt;&gt;"))</f>
        <v/>
      </c>
      <c r="H420" s="27">
        <f>IF(C420="","",SUMIFS(tbl_Finance[Ex GST],tbl_Finance[Job Number],C420&amp;""))</f>
        <v/>
      </c>
      <c r="I420" s="27">
        <f>IF(C420="","",SUMIFS(tbl_Finance[Ex GST],tbl_Finance[Job Number],C420&amp;"",tbl_Finance[Xero Invoice No],"&lt;&gt;"))</f>
        <v/>
      </c>
      <c r="J420" s="27">
        <f>IF(C420="","",H420-I420)</f>
        <v/>
      </c>
      <c r="K420" s="25">
        <f>IF(C420="","",IF(G420=0,"not invoiced yet",SUBSTITUTE(TRIM(IF(COUNTIFS(tbl_Finance[Job Number],C420&amp;"",tbl_Finance[Cost Centre],"ONSITE")&gt;0,"ONSITE ","")&amp;IF(COUNTIFS(tbl_Finance[Job Number],C420&amp;"",tbl_Finance[Cost Centre],"PRODUCTION")&gt;0,"PRODUCTION ","")&amp;IF(COUNTIFS(tbl_Finance[Job Number],C420&amp;"",tbl_Finance[Cost Centre],"VIDEO")&gt;0,"VIDEO ","")&amp;IF(COUNTIFS(tbl_Finance[Job Number],C420&amp;"",tbl_Finance[Cost Centre],"INTEGRATION")&gt;0,"INTEGRATION ","")&amp;IF(COUNTIFS(tbl_Finance[Job Number],C420&amp;"",tbl_Finance[Cost Centre],"CONSULTING")&gt;0,"CONSULTING ","")&amp;IF(COUNTIFS(tbl_Finance[Job Number],C420&amp;"",tbl_Finance[Cost Centre],"CTS")&gt;0,"CTS ",""))," ",", ")))</f>
        <v/>
      </c>
      <c r="L420" s="24" t="n"/>
      <c r="M420" s="24" t="n"/>
      <c r="N420" s="25">
        <f>IF(M420="","",HYPERLINK(IF(LEFT(M420,4)="http",M420,set_QwilrBase&amp;M420),"Open quote"))</f>
        <v/>
      </c>
      <c r="O420" s="64" t="n"/>
      <c r="P420" s="24" t="n"/>
      <c r="Q420" s="24" t="n"/>
    </row>
    <row r="421" ht="15" customHeight="1">
      <c r="A421" s="63">
        <f>IF(C421="","",IFERROR(IF(SUMPRODUCT(MAX((tbl_Finance[Job Number]=C421&amp;"")*(tbl_Finance[Xero Invoice No]&lt;&gt;"")*tbl_Finance[Date]))=0,"",SUMPRODUCT(MAX((tbl_Finance[Job Number]=C421&amp;"")*(tbl_Finance[Xero Invoice No]&lt;&gt;"")*tbl_Finance[Date]))),""))</f>
        <v/>
      </c>
      <c r="B421" s="25">
        <f>IF(C421="","",IF(COUNTIFS(tbl_Finance[Job Number],C421&amp;"",tbl_Finance[Xero Invoice No],"&lt;&gt;")=0,"",IFERROR(IF(COUNTIFS(tbl_Finance[Job Number],C421&amp;"",tbl_Finance[Xero Invoice No],LOOKUP(2,1/((tbl_Finance[Job Number]=C421&amp;"")*(tbl_Finance[Xero Invoice No]&lt;&gt;"")),tbl_Finance[Xero Invoice No]))=COUNTIFS(tbl_Finance[Job Number],C421&amp;"",tbl_Finance[Xero Invoice No],"&lt;&gt;"),LOOKUP(2,1/((tbl_Finance[Job Number]=C421&amp;"")*(tbl_Finance[Xero Invoice No]&lt;&gt;"")),tbl_Finance[Xero Invoice No]),LOOKUP(2,1/((tbl_Finance[Job Number]=C421&amp;"")*(tbl_Finance[Xero Invoice No]&lt;&gt;"")),tbl_Finance[Xero Invoice No])&amp;" +more"),"")))</f>
        <v/>
      </c>
      <c r="C421" s="24" t="n"/>
      <c r="D421" s="25">
        <f>IF(C421="","",IF(COUNTIF(lst_Jobs,C421&amp;"")&gt;0,"OK","CHECK"))</f>
        <v/>
      </c>
      <c r="E421" s="25">
        <f>IF(C421="","",IFERROR(INDEX(lst_JobName,MATCH(C421&amp;"",lst_Jobs,0)),""))</f>
        <v/>
      </c>
      <c r="F421" s="25">
        <f>IF(C421="","",IFERROR(INDEX(tbl_Finance[Client],MATCH(C421&amp;"",tbl_Finance[Job Number],0)),""))</f>
        <v/>
      </c>
      <c r="G421" s="28">
        <f>IF(C421="","",COUNTIFS(tbl_Finance[Job Number],C421&amp;"",tbl_Finance[Ex GST],"&lt;&gt;"))</f>
        <v/>
      </c>
      <c r="H421" s="27">
        <f>IF(C421="","",SUMIFS(tbl_Finance[Ex GST],tbl_Finance[Job Number],C421&amp;""))</f>
        <v/>
      </c>
      <c r="I421" s="27">
        <f>IF(C421="","",SUMIFS(tbl_Finance[Ex GST],tbl_Finance[Job Number],C421&amp;"",tbl_Finance[Xero Invoice No],"&lt;&gt;"))</f>
        <v/>
      </c>
      <c r="J421" s="27">
        <f>IF(C421="","",H421-I421)</f>
        <v/>
      </c>
      <c r="K421" s="25">
        <f>IF(C421="","",IF(G421=0,"not invoiced yet",SUBSTITUTE(TRIM(IF(COUNTIFS(tbl_Finance[Job Number],C421&amp;"",tbl_Finance[Cost Centre],"ONSITE")&gt;0,"ONSITE ","")&amp;IF(COUNTIFS(tbl_Finance[Job Number],C421&amp;"",tbl_Finance[Cost Centre],"PRODUCTION")&gt;0,"PRODUCTION ","")&amp;IF(COUNTIFS(tbl_Finance[Job Number],C421&amp;"",tbl_Finance[Cost Centre],"VIDEO")&gt;0,"VIDEO ","")&amp;IF(COUNTIFS(tbl_Finance[Job Number],C421&amp;"",tbl_Finance[Cost Centre],"INTEGRATION")&gt;0,"INTEGRATION ","")&amp;IF(COUNTIFS(tbl_Finance[Job Number],C421&amp;"",tbl_Finance[Cost Centre],"CONSULTING")&gt;0,"CONSULTING ","")&amp;IF(COUNTIFS(tbl_Finance[Job Number],C421&amp;"",tbl_Finance[Cost Centre],"CTS")&gt;0,"CTS ",""))," ",", ")))</f>
        <v/>
      </c>
      <c r="L421" s="24" t="n"/>
      <c r="M421" s="24" t="n"/>
      <c r="N421" s="25">
        <f>IF(M421="","",HYPERLINK(IF(LEFT(M421,4)="http",M421,set_QwilrBase&amp;M421),"Open quote"))</f>
        <v/>
      </c>
      <c r="O421" s="64" t="n"/>
      <c r="P421" s="24" t="n"/>
      <c r="Q421" s="24" t="n"/>
    </row>
    <row r="422" ht="15" customHeight="1">
      <c r="A422" s="63">
        <f>IF(C422="","",IFERROR(IF(SUMPRODUCT(MAX((tbl_Finance[Job Number]=C422&amp;"")*(tbl_Finance[Xero Invoice No]&lt;&gt;"")*tbl_Finance[Date]))=0,"",SUMPRODUCT(MAX((tbl_Finance[Job Number]=C422&amp;"")*(tbl_Finance[Xero Invoice No]&lt;&gt;"")*tbl_Finance[Date]))),""))</f>
        <v/>
      </c>
      <c r="B422" s="25">
        <f>IF(C422="","",IF(COUNTIFS(tbl_Finance[Job Number],C422&amp;"",tbl_Finance[Xero Invoice No],"&lt;&gt;")=0,"",IFERROR(IF(COUNTIFS(tbl_Finance[Job Number],C422&amp;"",tbl_Finance[Xero Invoice No],LOOKUP(2,1/((tbl_Finance[Job Number]=C422&amp;"")*(tbl_Finance[Xero Invoice No]&lt;&gt;"")),tbl_Finance[Xero Invoice No]))=COUNTIFS(tbl_Finance[Job Number],C422&amp;"",tbl_Finance[Xero Invoice No],"&lt;&gt;"),LOOKUP(2,1/((tbl_Finance[Job Number]=C422&amp;"")*(tbl_Finance[Xero Invoice No]&lt;&gt;"")),tbl_Finance[Xero Invoice No]),LOOKUP(2,1/((tbl_Finance[Job Number]=C422&amp;"")*(tbl_Finance[Xero Invoice No]&lt;&gt;"")),tbl_Finance[Xero Invoice No])&amp;" +more"),"")))</f>
        <v/>
      </c>
      <c r="C422" s="24" t="n"/>
      <c r="D422" s="25">
        <f>IF(C422="","",IF(COUNTIF(lst_Jobs,C422&amp;"")&gt;0,"OK","CHECK"))</f>
        <v/>
      </c>
      <c r="E422" s="25">
        <f>IF(C422="","",IFERROR(INDEX(lst_JobName,MATCH(C422&amp;"",lst_Jobs,0)),""))</f>
        <v/>
      </c>
      <c r="F422" s="25">
        <f>IF(C422="","",IFERROR(INDEX(tbl_Finance[Client],MATCH(C422&amp;"",tbl_Finance[Job Number],0)),""))</f>
        <v/>
      </c>
      <c r="G422" s="28">
        <f>IF(C422="","",COUNTIFS(tbl_Finance[Job Number],C422&amp;"",tbl_Finance[Ex GST],"&lt;&gt;"))</f>
        <v/>
      </c>
      <c r="H422" s="27">
        <f>IF(C422="","",SUMIFS(tbl_Finance[Ex GST],tbl_Finance[Job Number],C422&amp;""))</f>
        <v/>
      </c>
      <c r="I422" s="27">
        <f>IF(C422="","",SUMIFS(tbl_Finance[Ex GST],tbl_Finance[Job Number],C422&amp;"",tbl_Finance[Xero Invoice No],"&lt;&gt;"))</f>
        <v/>
      </c>
      <c r="J422" s="27">
        <f>IF(C422="","",H422-I422)</f>
        <v/>
      </c>
      <c r="K422" s="25">
        <f>IF(C422="","",IF(G422=0,"not invoiced yet",SUBSTITUTE(TRIM(IF(COUNTIFS(tbl_Finance[Job Number],C422&amp;"",tbl_Finance[Cost Centre],"ONSITE")&gt;0,"ONSITE ","")&amp;IF(COUNTIFS(tbl_Finance[Job Number],C422&amp;"",tbl_Finance[Cost Centre],"PRODUCTION")&gt;0,"PRODUCTION ","")&amp;IF(COUNTIFS(tbl_Finance[Job Number],C422&amp;"",tbl_Finance[Cost Centre],"VIDEO")&gt;0,"VIDEO ","")&amp;IF(COUNTIFS(tbl_Finance[Job Number],C422&amp;"",tbl_Finance[Cost Centre],"INTEGRATION")&gt;0,"INTEGRATION ","")&amp;IF(COUNTIFS(tbl_Finance[Job Number],C422&amp;"",tbl_Finance[Cost Centre],"CONSULTING")&gt;0,"CONSULTING ","")&amp;IF(COUNTIFS(tbl_Finance[Job Number],C422&amp;"",tbl_Finance[Cost Centre],"CTS")&gt;0,"CTS ",""))," ",", ")))</f>
        <v/>
      </c>
      <c r="L422" s="24" t="n"/>
      <c r="M422" s="24" t="n"/>
      <c r="N422" s="25">
        <f>IF(M422="","",HYPERLINK(IF(LEFT(M422,4)="http",M422,set_QwilrBase&amp;M422),"Open quote"))</f>
        <v/>
      </c>
      <c r="O422" s="64" t="n"/>
      <c r="P422" s="24" t="n"/>
      <c r="Q422" s="24" t="n"/>
    </row>
    <row r="423" ht="15" customHeight="1">
      <c r="A423" s="63">
        <f>IF(C423="","",IFERROR(IF(SUMPRODUCT(MAX((tbl_Finance[Job Number]=C423&amp;"")*(tbl_Finance[Xero Invoice No]&lt;&gt;"")*tbl_Finance[Date]))=0,"",SUMPRODUCT(MAX((tbl_Finance[Job Number]=C423&amp;"")*(tbl_Finance[Xero Invoice No]&lt;&gt;"")*tbl_Finance[Date]))),""))</f>
        <v/>
      </c>
      <c r="B423" s="25">
        <f>IF(C423="","",IF(COUNTIFS(tbl_Finance[Job Number],C423&amp;"",tbl_Finance[Xero Invoice No],"&lt;&gt;")=0,"",IFERROR(IF(COUNTIFS(tbl_Finance[Job Number],C423&amp;"",tbl_Finance[Xero Invoice No],LOOKUP(2,1/((tbl_Finance[Job Number]=C423&amp;"")*(tbl_Finance[Xero Invoice No]&lt;&gt;"")),tbl_Finance[Xero Invoice No]))=COUNTIFS(tbl_Finance[Job Number],C423&amp;"",tbl_Finance[Xero Invoice No],"&lt;&gt;"),LOOKUP(2,1/((tbl_Finance[Job Number]=C423&amp;"")*(tbl_Finance[Xero Invoice No]&lt;&gt;"")),tbl_Finance[Xero Invoice No]),LOOKUP(2,1/((tbl_Finance[Job Number]=C423&amp;"")*(tbl_Finance[Xero Invoice No]&lt;&gt;"")),tbl_Finance[Xero Invoice No])&amp;" +more"),"")))</f>
        <v/>
      </c>
      <c r="C423" s="24" t="n"/>
      <c r="D423" s="25">
        <f>IF(C423="","",IF(COUNTIF(lst_Jobs,C423&amp;"")&gt;0,"OK","CHECK"))</f>
        <v/>
      </c>
      <c r="E423" s="25">
        <f>IF(C423="","",IFERROR(INDEX(lst_JobName,MATCH(C423&amp;"",lst_Jobs,0)),""))</f>
        <v/>
      </c>
      <c r="F423" s="25">
        <f>IF(C423="","",IFERROR(INDEX(tbl_Finance[Client],MATCH(C423&amp;"",tbl_Finance[Job Number],0)),""))</f>
        <v/>
      </c>
      <c r="G423" s="28">
        <f>IF(C423="","",COUNTIFS(tbl_Finance[Job Number],C423&amp;"",tbl_Finance[Ex GST],"&lt;&gt;"))</f>
        <v/>
      </c>
      <c r="H423" s="27">
        <f>IF(C423="","",SUMIFS(tbl_Finance[Ex GST],tbl_Finance[Job Number],C423&amp;""))</f>
        <v/>
      </c>
      <c r="I423" s="27">
        <f>IF(C423="","",SUMIFS(tbl_Finance[Ex GST],tbl_Finance[Job Number],C423&amp;"",tbl_Finance[Xero Invoice No],"&lt;&gt;"))</f>
        <v/>
      </c>
      <c r="J423" s="27">
        <f>IF(C423="","",H423-I423)</f>
        <v/>
      </c>
      <c r="K423" s="25">
        <f>IF(C423="","",IF(G423=0,"not invoiced yet",SUBSTITUTE(TRIM(IF(COUNTIFS(tbl_Finance[Job Number],C423&amp;"",tbl_Finance[Cost Centre],"ONSITE")&gt;0,"ONSITE ","")&amp;IF(COUNTIFS(tbl_Finance[Job Number],C423&amp;"",tbl_Finance[Cost Centre],"PRODUCTION")&gt;0,"PRODUCTION ","")&amp;IF(COUNTIFS(tbl_Finance[Job Number],C423&amp;"",tbl_Finance[Cost Centre],"VIDEO")&gt;0,"VIDEO ","")&amp;IF(COUNTIFS(tbl_Finance[Job Number],C423&amp;"",tbl_Finance[Cost Centre],"INTEGRATION")&gt;0,"INTEGRATION ","")&amp;IF(COUNTIFS(tbl_Finance[Job Number],C423&amp;"",tbl_Finance[Cost Centre],"CONSULTING")&gt;0,"CONSULTING ","")&amp;IF(COUNTIFS(tbl_Finance[Job Number],C423&amp;"",tbl_Finance[Cost Centre],"CTS")&gt;0,"CTS ",""))," ",", ")))</f>
        <v/>
      </c>
      <c r="L423" s="24" t="n"/>
      <c r="M423" s="24" t="n"/>
      <c r="N423" s="25">
        <f>IF(M423="","",HYPERLINK(IF(LEFT(M423,4)="http",M423,set_QwilrBase&amp;M423),"Open quote"))</f>
        <v/>
      </c>
      <c r="O423" s="64" t="n"/>
      <c r="P423" s="24" t="n"/>
      <c r="Q423" s="24" t="n"/>
    </row>
    <row r="424" ht="15" customHeight="1">
      <c r="A424" s="63">
        <f>IF(C424="","",IFERROR(IF(SUMPRODUCT(MAX((tbl_Finance[Job Number]=C424&amp;"")*(tbl_Finance[Xero Invoice No]&lt;&gt;"")*tbl_Finance[Date]))=0,"",SUMPRODUCT(MAX((tbl_Finance[Job Number]=C424&amp;"")*(tbl_Finance[Xero Invoice No]&lt;&gt;"")*tbl_Finance[Date]))),""))</f>
        <v/>
      </c>
      <c r="B424" s="25">
        <f>IF(C424="","",IF(COUNTIFS(tbl_Finance[Job Number],C424&amp;"",tbl_Finance[Xero Invoice No],"&lt;&gt;")=0,"",IFERROR(IF(COUNTIFS(tbl_Finance[Job Number],C424&amp;"",tbl_Finance[Xero Invoice No],LOOKUP(2,1/((tbl_Finance[Job Number]=C424&amp;"")*(tbl_Finance[Xero Invoice No]&lt;&gt;"")),tbl_Finance[Xero Invoice No]))=COUNTIFS(tbl_Finance[Job Number],C424&amp;"",tbl_Finance[Xero Invoice No],"&lt;&gt;"),LOOKUP(2,1/((tbl_Finance[Job Number]=C424&amp;"")*(tbl_Finance[Xero Invoice No]&lt;&gt;"")),tbl_Finance[Xero Invoice No]),LOOKUP(2,1/((tbl_Finance[Job Number]=C424&amp;"")*(tbl_Finance[Xero Invoice No]&lt;&gt;"")),tbl_Finance[Xero Invoice No])&amp;" +more"),"")))</f>
        <v/>
      </c>
      <c r="C424" s="24" t="n"/>
      <c r="D424" s="25">
        <f>IF(C424="","",IF(COUNTIF(lst_Jobs,C424&amp;"")&gt;0,"OK","CHECK"))</f>
        <v/>
      </c>
      <c r="E424" s="25">
        <f>IF(C424="","",IFERROR(INDEX(lst_JobName,MATCH(C424&amp;"",lst_Jobs,0)),""))</f>
        <v/>
      </c>
      <c r="F424" s="25">
        <f>IF(C424="","",IFERROR(INDEX(tbl_Finance[Client],MATCH(C424&amp;"",tbl_Finance[Job Number],0)),""))</f>
        <v/>
      </c>
      <c r="G424" s="28">
        <f>IF(C424="","",COUNTIFS(tbl_Finance[Job Number],C424&amp;"",tbl_Finance[Ex GST],"&lt;&gt;"))</f>
        <v/>
      </c>
      <c r="H424" s="27">
        <f>IF(C424="","",SUMIFS(tbl_Finance[Ex GST],tbl_Finance[Job Number],C424&amp;""))</f>
        <v/>
      </c>
      <c r="I424" s="27">
        <f>IF(C424="","",SUMIFS(tbl_Finance[Ex GST],tbl_Finance[Job Number],C424&amp;"",tbl_Finance[Xero Invoice No],"&lt;&gt;"))</f>
        <v/>
      </c>
      <c r="J424" s="27">
        <f>IF(C424="","",H424-I424)</f>
        <v/>
      </c>
      <c r="K424" s="25">
        <f>IF(C424="","",IF(G424=0,"not invoiced yet",SUBSTITUTE(TRIM(IF(COUNTIFS(tbl_Finance[Job Number],C424&amp;"",tbl_Finance[Cost Centre],"ONSITE")&gt;0,"ONSITE ","")&amp;IF(COUNTIFS(tbl_Finance[Job Number],C424&amp;"",tbl_Finance[Cost Centre],"PRODUCTION")&gt;0,"PRODUCTION ","")&amp;IF(COUNTIFS(tbl_Finance[Job Number],C424&amp;"",tbl_Finance[Cost Centre],"VIDEO")&gt;0,"VIDEO ","")&amp;IF(COUNTIFS(tbl_Finance[Job Number],C424&amp;"",tbl_Finance[Cost Centre],"INTEGRATION")&gt;0,"INTEGRATION ","")&amp;IF(COUNTIFS(tbl_Finance[Job Number],C424&amp;"",tbl_Finance[Cost Centre],"CONSULTING")&gt;0,"CONSULTING ","")&amp;IF(COUNTIFS(tbl_Finance[Job Number],C424&amp;"",tbl_Finance[Cost Centre],"CTS")&gt;0,"CTS ",""))," ",", ")))</f>
        <v/>
      </c>
      <c r="L424" s="24" t="n"/>
      <c r="M424" s="24" t="n"/>
      <c r="N424" s="25">
        <f>IF(M424="","",HYPERLINK(IF(LEFT(M424,4)="http",M424,set_QwilrBase&amp;M424),"Open quote"))</f>
        <v/>
      </c>
      <c r="O424" s="64" t="n"/>
      <c r="P424" s="24" t="n"/>
      <c r="Q424" s="24" t="n"/>
    </row>
    <row r="425" ht="15" customHeight="1">
      <c r="A425" s="63">
        <f>IF(C425="","",IFERROR(IF(SUMPRODUCT(MAX((tbl_Finance[Job Number]=C425&amp;"")*(tbl_Finance[Xero Invoice No]&lt;&gt;"")*tbl_Finance[Date]))=0,"",SUMPRODUCT(MAX((tbl_Finance[Job Number]=C425&amp;"")*(tbl_Finance[Xero Invoice No]&lt;&gt;"")*tbl_Finance[Date]))),""))</f>
        <v/>
      </c>
      <c r="B425" s="25">
        <f>IF(C425="","",IF(COUNTIFS(tbl_Finance[Job Number],C425&amp;"",tbl_Finance[Xero Invoice No],"&lt;&gt;")=0,"",IFERROR(IF(COUNTIFS(tbl_Finance[Job Number],C425&amp;"",tbl_Finance[Xero Invoice No],LOOKUP(2,1/((tbl_Finance[Job Number]=C425&amp;"")*(tbl_Finance[Xero Invoice No]&lt;&gt;"")),tbl_Finance[Xero Invoice No]))=COUNTIFS(tbl_Finance[Job Number],C425&amp;"",tbl_Finance[Xero Invoice No],"&lt;&gt;"),LOOKUP(2,1/((tbl_Finance[Job Number]=C425&amp;"")*(tbl_Finance[Xero Invoice No]&lt;&gt;"")),tbl_Finance[Xero Invoice No]),LOOKUP(2,1/((tbl_Finance[Job Number]=C425&amp;"")*(tbl_Finance[Xero Invoice No]&lt;&gt;"")),tbl_Finance[Xero Invoice No])&amp;" +more"),"")))</f>
        <v/>
      </c>
      <c r="C425" s="24" t="n"/>
      <c r="D425" s="25">
        <f>IF(C425="","",IF(COUNTIF(lst_Jobs,C425&amp;"")&gt;0,"OK","CHECK"))</f>
        <v/>
      </c>
      <c r="E425" s="25">
        <f>IF(C425="","",IFERROR(INDEX(lst_JobName,MATCH(C425&amp;"",lst_Jobs,0)),""))</f>
        <v/>
      </c>
      <c r="F425" s="25">
        <f>IF(C425="","",IFERROR(INDEX(tbl_Finance[Client],MATCH(C425&amp;"",tbl_Finance[Job Number],0)),""))</f>
        <v/>
      </c>
      <c r="G425" s="28">
        <f>IF(C425="","",COUNTIFS(tbl_Finance[Job Number],C425&amp;"",tbl_Finance[Ex GST],"&lt;&gt;"))</f>
        <v/>
      </c>
      <c r="H425" s="27">
        <f>IF(C425="","",SUMIFS(tbl_Finance[Ex GST],tbl_Finance[Job Number],C425&amp;""))</f>
        <v/>
      </c>
      <c r="I425" s="27">
        <f>IF(C425="","",SUMIFS(tbl_Finance[Ex GST],tbl_Finance[Job Number],C425&amp;"",tbl_Finance[Xero Invoice No],"&lt;&gt;"))</f>
        <v/>
      </c>
      <c r="J425" s="27">
        <f>IF(C425="","",H425-I425)</f>
        <v/>
      </c>
      <c r="K425" s="25">
        <f>IF(C425="","",IF(G425=0,"not invoiced yet",SUBSTITUTE(TRIM(IF(COUNTIFS(tbl_Finance[Job Number],C425&amp;"",tbl_Finance[Cost Centre],"ONSITE")&gt;0,"ONSITE ","")&amp;IF(COUNTIFS(tbl_Finance[Job Number],C425&amp;"",tbl_Finance[Cost Centre],"PRODUCTION")&gt;0,"PRODUCTION ","")&amp;IF(COUNTIFS(tbl_Finance[Job Number],C425&amp;"",tbl_Finance[Cost Centre],"VIDEO")&gt;0,"VIDEO ","")&amp;IF(COUNTIFS(tbl_Finance[Job Number],C425&amp;"",tbl_Finance[Cost Centre],"INTEGRATION")&gt;0,"INTEGRATION ","")&amp;IF(COUNTIFS(tbl_Finance[Job Number],C425&amp;"",tbl_Finance[Cost Centre],"CONSULTING")&gt;0,"CONSULTING ","")&amp;IF(COUNTIFS(tbl_Finance[Job Number],C425&amp;"",tbl_Finance[Cost Centre],"CTS")&gt;0,"CTS ",""))," ",", ")))</f>
        <v/>
      </c>
      <c r="L425" s="24" t="n"/>
      <c r="M425" s="24" t="n"/>
      <c r="N425" s="25">
        <f>IF(M425="","",HYPERLINK(IF(LEFT(M425,4)="http",M425,set_QwilrBase&amp;M425),"Open quote"))</f>
        <v/>
      </c>
      <c r="O425" s="64" t="n"/>
      <c r="P425" s="24" t="n"/>
      <c r="Q425" s="24" t="n"/>
    </row>
    <row r="426" ht="15" customHeight="1">
      <c r="A426" s="63">
        <f>IF(C426="","",IFERROR(IF(SUMPRODUCT(MAX((tbl_Finance[Job Number]=C426&amp;"")*(tbl_Finance[Xero Invoice No]&lt;&gt;"")*tbl_Finance[Date]))=0,"",SUMPRODUCT(MAX((tbl_Finance[Job Number]=C426&amp;"")*(tbl_Finance[Xero Invoice No]&lt;&gt;"")*tbl_Finance[Date]))),""))</f>
        <v/>
      </c>
      <c r="B426" s="25">
        <f>IF(C426="","",IF(COUNTIFS(tbl_Finance[Job Number],C426&amp;"",tbl_Finance[Xero Invoice No],"&lt;&gt;")=0,"",IFERROR(IF(COUNTIFS(tbl_Finance[Job Number],C426&amp;"",tbl_Finance[Xero Invoice No],LOOKUP(2,1/((tbl_Finance[Job Number]=C426&amp;"")*(tbl_Finance[Xero Invoice No]&lt;&gt;"")),tbl_Finance[Xero Invoice No]))=COUNTIFS(tbl_Finance[Job Number],C426&amp;"",tbl_Finance[Xero Invoice No],"&lt;&gt;"),LOOKUP(2,1/((tbl_Finance[Job Number]=C426&amp;"")*(tbl_Finance[Xero Invoice No]&lt;&gt;"")),tbl_Finance[Xero Invoice No]),LOOKUP(2,1/((tbl_Finance[Job Number]=C426&amp;"")*(tbl_Finance[Xero Invoice No]&lt;&gt;"")),tbl_Finance[Xero Invoice No])&amp;" +more"),"")))</f>
        <v/>
      </c>
      <c r="C426" s="24" t="n"/>
      <c r="D426" s="25">
        <f>IF(C426="","",IF(COUNTIF(lst_Jobs,C426&amp;"")&gt;0,"OK","CHECK"))</f>
        <v/>
      </c>
      <c r="E426" s="25">
        <f>IF(C426="","",IFERROR(INDEX(lst_JobName,MATCH(C426&amp;"",lst_Jobs,0)),""))</f>
        <v/>
      </c>
      <c r="F426" s="25">
        <f>IF(C426="","",IFERROR(INDEX(tbl_Finance[Client],MATCH(C426&amp;"",tbl_Finance[Job Number],0)),""))</f>
        <v/>
      </c>
      <c r="G426" s="28">
        <f>IF(C426="","",COUNTIFS(tbl_Finance[Job Number],C426&amp;"",tbl_Finance[Ex GST],"&lt;&gt;"))</f>
        <v/>
      </c>
      <c r="H426" s="27">
        <f>IF(C426="","",SUMIFS(tbl_Finance[Ex GST],tbl_Finance[Job Number],C426&amp;""))</f>
        <v/>
      </c>
      <c r="I426" s="27">
        <f>IF(C426="","",SUMIFS(tbl_Finance[Ex GST],tbl_Finance[Job Number],C426&amp;"",tbl_Finance[Xero Invoice No],"&lt;&gt;"))</f>
        <v/>
      </c>
      <c r="J426" s="27">
        <f>IF(C426="","",H426-I426)</f>
        <v/>
      </c>
      <c r="K426" s="25">
        <f>IF(C426="","",IF(G426=0,"not invoiced yet",SUBSTITUTE(TRIM(IF(COUNTIFS(tbl_Finance[Job Number],C426&amp;"",tbl_Finance[Cost Centre],"ONSITE")&gt;0,"ONSITE ","")&amp;IF(COUNTIFS(tbl_Finance[Job Number],C426&amp;"",tbl_Finance[Cost Centre],"PRODUCTION")&gt;0,"PRODUCTION ","")&amp;IF(COUNTIFS(tbl_Finance[Job Number],C426&amp;"",tbl_Finance[Cost Centre],"VIDEO")&gt;0,"VIDEO ","")&amp;IF(COUNTIFS(tbl_Finance[Job Number],C426&amp;"",tbl_Finance[Cost Centre],"INTEGRATION")&gt;0,"INTEGRATION ","")&amp;IF(COUNTIFS(tbl_Finance[Job Number],C426&amp;"",tbl_Finance[Cost Centre],"CONSULTING")&gt;0,"CONSULTING ","")&amp;IF(COUNTIFS(tbl_Finance[Job Number],C426&amp;"",tbl_Finance[Cost Centre],"CTS")&gt;0,"CTS ",""))," ",", ")))</f>
        <v/>
      </c>
      <c r="L426" s="24" t="n"/>
      <c r="M426" s="24" t="n"/>
      <c r="N426" s="25">
        <f>IF(M426="","",HYPERLINK(IF(LEFT(M426,4)="http",M426,set_QwilrBase&amp;M426),"Open quote"))</f>
        <v/>
      </c>
      <c r="O426" s="64" t="n"/>
      <c r="P426" s="24" t="n"/>
      <c r="Q426" s="24" t="n"/>
    </row>
    <row r="427" ht="15" customHeight="1">
      <c r="A427" s="63">
        <f>IF(C427="","",IFERROR(IF(SUMPRODUCT(MAX((tbl_Finance[Job Number]=C427&amp;"")*(tbl_Finance[Xero Invoice No]&lt;&gt;"")*tbl_Finance[Date]))=0,"",SUMPRODUCT(MAX((tbl_Finance[Job Number]=C427&amp;"")*(tbl_Finance[Xero Invoice No]&lt;&gt;"")*tbl_Finance[Date]))),""))</f>
        <v/>
      </c>
      <c r="B427" s="25">
        <f>IF(C427="","",IF(COUNTIFS(tbl_Finance[Job Number],C427&amp;"",tbl_Finance[Xero Invoice No],"&lt;&gt;")=0,"",IFERROR(IF(COUNTIFS(tbl_Finance[Job Number],C427&amp;"",tbl_Finance[Xero Invoice No],LOOKUP(2,1/((tbl_Finance[Job Number]=C427&amp;"")*(tbl_Finance[Xero Invoice No]&lt;&gt;"")),tbl_Finance[Xero Invoice No]))=COUNTIFS(tbl_Finance[Job Number],C427&amp;"",tbl_Finance[Xero Invoice No],"&lt;&gt;"),LOOKUP(2,1/((tbl_Finance[Job Number]=C427&amp;"")*(tbl_Finance[Xero Invoice No]&lt;&gt;"")),tbl_Finance[Xero Invoice No]),LOOKUP(2,1/((tbl_Finance[Job Number]=C427&amp;"")*(tbl_Finance[Xero Invoice No]&lt;&gt;"")),tbl_Finance[Xero Invoice No])&amp;" +more"),"")))</f>
        <v/>
      </c>
      <c r="C427" s="24" t="n"/>
      <c r="D427" s="25">
        <f>IF(C427="","",IF(COUNTIF(lst_Jobs,C427&amp;"")&gt;0,"OK","CHECK"))</f>
        <v/>
      </c>
      <c r="E427" s="25">
        <f>IF(C427="","",IFERROR(INDEX(lst_JobName,MATCH(C427&amp;"",lst_Jobs,0)),""))</f>
        <v/>
      </c>
      <c r="F427" s="25">
        <f>IF(C427="","",IFERROR(INDEX(tbl_Finance[Client],MATCH(C427&amp;"",tbl_Finance[Job Number],0)),""))</f>
        <v/>
      </c>
      <c r="G427" s="28">
        <f>IF(C427="","",COUNTIFS(tbl_Finance[Job Number],C427&amp;"",tbl_Finance[Ex GST],"&lt;&gt;"))</f>
        <v/>
      </c>
      <c r="H427" s="27">
        <f>IF(C427="","",SUMIFS(tbl_Finance[Ex GST],tbl_Finance[Job Number],C427&amp;""))</f>
        <v/>
      </c>
      <c r="I427" s="27">
        <f>IF(C427="","",SUMIFS(tbl_Finance[Ex GST],tbl_Finance[Job Number],C427&amp;"",tbl_Finance[Xero Invoice No],"&lt;&gt;"))</f>
        <v/>
      </c>
      <c r="J427" s="27">
        <f>IF(C427="","",H427-I427)</f>
        <v/>
      </c>
      <c r="K427" s="25">
        <f>IF(C427="","",IF(G427=0,"not invoiced yet",SUBSTITUTE(TRIM(IF(COUNTIFS(tbl_Finance[Job Number],C427&amp;"",tbl_Finance[Cost Centre],"ONSITE")&gt;0,"ONSITE ","")&amp;IF(COUNTIFS(tbl_Finance[Job Number],C427&amp;"",tbl_Finance[Cost Centre],"PRODUCTION")&gt;0,"PRODUCTION ","")&amp;IF(COUNTIFS(tbl_Finance[Job Number],C427&amp;"",tbl_Finance[Cost Centre],"VIDEO")&gt;0,"VIDEO ","")&amp;IF(COUNTIFS(tbl_Finance[Job Number],C427&amp;"",tbl_Finance[Cost Centre],"INTEGRATION")&gt;0,"INTEGRATION ","")&amp;IF(COUNTIFS(tbl_Finance[Job Number],C427&amp;"",tbl_Finance[Cost Centre],"CONSULTING")&gt;0,"CONSULTING ","")&amp;IF(COUNTIFS(tbl_Finance[Job Number],C427&amp;"",tbl_Finance[Cost Centre],"CTS")&gt;0,"CTS ",""))," ",", ")))</f>
        <v/>
      </c>
      <c r="L427" s="24" t="n"/>
      <c r="M427" s="24" t="n"/>
      <c r="N427" s="25">
        <f>IF(M427="","",HYPERLINK(IF(LEFT(M427,4)="http",M427,set_QwilrBase&amp;M427),"Open quote"))</f>
        <v/>
      </c>
      <c r="O427" s="64" t="n"/>
      <c r="P427" s="24" t="n"/>
      <c r="Q427" s="24" t="n"/>
    </row>
    <row r="428" ht="15" customHeight="1">
      <c r="A428" s="63">
        <f>IF(C428="","",IFERROR(IF(SUMPRODUCT(MAX((tbl_Finance[Job Number]=C428&amp;"")*(tbl_Finance[Xero Invoice No]&lt;&gt;"")*tbl_Finance[Date]))=0,"",SUMPRODUCT(MAX((tbl_Finance[Job Number]=C428&amp;"")*(tbl_Finance[Xero Invoice No]&lt;&gt;"")*tbl_Finance[Date]))),""))</f>
        <v/>
      </c>
      <c r="B428" s="25">
        <f>IF(C428="","",IF(COUNTIFS(tbl_Finance[Job Number],C428&amp;"",tbl_Finance[Xero Invoice No],"&lt;&gt;")=0,"",IFERROR(IF(COUNTIFS(tbl_Finance[Job Number],C428&amp;"",tbl_Finance[Xero Invoice No],LOOKUP(2,1/((tbl_Finance[Job Number]=C428&amp;"")*(tbl_Finance[Xero Invoice No]&lt;&gt;"")),tbl_Finance[Xero Invoice No]))=COUNTIFS(tbl_Finance[Job Number],C428&amp;"",tbl_Finance[Xero Invoice No],"&lt;&gt;"),LOOKUP(2,1/((tbl_Finance[Job Number]=C428&amp;"")*(tbl_Finance[Xero Invoice No]&lt;&gt;"")),tbl_Finance[Xero Invoice No]),LOOKUP(2,1/((tbl_Finance[Job Number]=C428&amp;"")*(tbl_Finance[Xero Invoice No]&lt;&gt;"")),tbl_Finance[Xero Invoice No])&amp;" +more"),"")))</f>
        <v/>
      </c>
      <c r="C428" s="24" t="n"/>
      <c r="D428" s="25">
        <f>IF(C428="","",IF(COUNTIF(lst_Jobs,C428&amp;"")&gt;0,"OK","CHECK"))</f>
        <v/>
      </c>
      <c r="E428" s="25">
        <f>IF(C428="","",IFERROR(INDEX(lst_JobName,MATCH(C428&amp;"",lst_Jobs,0)),""))</f>
        <v/>
      </c>
      <c r="F428" s="25">
        <f>IF(C428="","",IFERROR(INDEX(tbl_Finance[Client],MATCH(C428&amp;"",tbl_Finance[Job Number],0)),""))</f>
        <v/>
      </c>
      <c r="G428" s="28">
        <f>IF(C428="","",COUNTIFS(tbl_Finance[Job Number],C428&amp;"",tbl_Finance[Ex GST],"&lt;&gt;"))</f>
        <v/>
      </c>
      <c r="H428" s="27">
        <f>IF(C428="","",SUMIFS(tbl_Finance[Ex GST],tbl_Finance[Job Number],C428&amp;""))</f>
        <v/>
      </c>
      <c r="I428" s="27">
        <f>IF(C428="","",SUMIFS(tbl_Finance[Ex GST],tbl_Finance[Job Number],C428&amp;"",tbl_Finance[Xero Invoice No],"&lt;&gt;"))</f>
        <v/>
      </c>
      <c r="J428" s="27">
        <f>IF(C428="","",H428-I428)</f>
        <v/>
      </c>
      <c r="K428" s="25">
        <f>IF(C428="","",IF(G428=0,"not invoiced yet",SUBSTITUTE(TRIM(IF(COUNTIFS(tbl_Finance[Job Number],C428&amp;"",tbl_Finance[Cost Centre],"ONSITE")&gt;0,"ONSITE ","")&amp;IF(COUNTIFS(tbl_Finance[Job Number],C428&amp;"",tbl_Finance[Cost Centre],"PRODUCTION")&gt;0,"PRODUCTION ","")&amp;IF(COUNTIFS(tbl_Finance[Job Number],C428&amp;"",tbl_Finance[Cost Centre],"VIDEO")&gt;0,"VIDEO ","")&amp;IF(COUNTIFS(tbl_Finance[Job Number],C428&amp;"",tbl_Finance[Cost Centre],"INTEGRATION")&gt;0,"INTEGRATION ","")&amp;IF(COUNTIFS(tbl_Finance[Job Number],C428&amp;"",tbl_Finance[Cost Centre],"CONSULTING")&gt;0,"CONSULTING ","")&amp;IF(COUNTIFS(tbl_Finance[Job Number],C428&amp;"",tbl_Finance[Cost Centre],"CTS")&gt;0,"CTS ",""))," ",", ")))</f>
        <v/>
      </c>
      <c r="L428" s="24" t="n"/>
      <c r="M428" s="24" t="n"/>
      <c r="N428" s="25">
        <f>IF(M428="","",HYPERLINK(IF(LEFT(M428,4)="http",M428,set_QwilrBase&amp;M428),"Open quote"))</f>
        <v/>
      </c>
      <c r="O428" s="64" t="n"/>
      <c r="P428" s="24" t="n"/>
      <c r="Q428" s="24" t="n"/>
    </row>
    <row r="429" ht="15" customHeight="1">
      <c r="A429" s="63">
        <f>IF(C429="","",IFERROR(IF(SUMPRODUCT(MAX((tbl_Finance[Job Number]=C429&amp;"")*(tbl_Finance[Xero Invoice No]&lt;&gt;"")*tbl_Finance[Date]))=0,"",SUMPRODUCT(MAX((tbl_Finance[Job Number]=C429&amp;"")*(tbl_Finance[Xero Invoice No]&lt;&gt;"")*tbl_Finance[Date]))),""))</f>
        <v/>
      </c>
      <c r="B429" s="25">
        <f>IF(C429="","",IF(COUNTIFS(tbl_Finance[Job Number],C429&amp;"",tbl_Finance[Xero Invoice No],"&lt;&gt;")=0,"",IFERROR(IF(COUNTIFS(tbl_Finance[Job Number],C429&amp;"",tbl_Finance[Xero Invoice No],LOOKUP(2,1/((tbl_Finance[Job Number]=C429&amp;"")*(tbl_Finance[Xero Invoice No]&lt;&gt;"")),tbl_Finance[Xero Invoice No]))=COUNTIFS(tbl_Finance[Job Number],C429&amp;"",tbl_Finance[Xero Invoice No],"&lt;&gt;"),LOOKUP(2,1/((tbl_Finance[Job Number]=C429&amp;"")*(tbl_Finance[Xero Invoice No]&lt;&gt;"")),tbl_Finance[Xero Invoice No]),LOOKUP(2,1/((tbl_Finance[Job Number]=C429&amp;"")*(tbl_Finance[Xero Invoice No]&lt;&gt;"")),tbl_Finance[Xero Invoice No])&amp;" +more"),"")))</f>
        <v/>
      </c>
      <c r="C429" s="24" t="n"/>
      <c r="D429" s="25">
        <f>IF(C429="","",IF(COUNTIF(lst_Jobs,C429&amp;"")&gt;0,"OK","CHECK"))</f>
        <v/>
      </c>
      <c r="E429" s="25">
        <f>IF(C429="","",IFERROR(INDEX(lst_JobName,MATCH(C429&amp;"",lst_Jobs,0)),""))</f>
        <v/>
      </c>
      <c r="F429" s="25">
        <f>IF(C429="","",IFERROR(INDEX(tbl_Finance[Client],MATCH(C429&amp;"",tbl_Finance[Job Number],0)),""))</f>
        <v/>
      </c>
      <c r="G429" s="28">
        <f>IF(C429="","",COUNTIFS(tbl_Finance[Job Number],C429&amp;"",tbl_Finance[Ex GST],"&lt;&gt;"))</f>
        <v/>
      </c>
      <c r="H429" s="27">
        <f>IF(C429="","",SUMIFS(tbl_Finance[Ex GST],tbl_Finance[Job Number],C429&amp;""))</f>
        <v/>
      </c>
      <c r="I429" s="27">
        <f>IF(C429="","",SUMIFS(tbl_Finance[Ex GST],tbl_Finance[Job Number],C429&amp;"",tbl_Finance[Xero Invoice No],"&lt;&gt;"))</f>
        <v/>
      </c>
      <c r="J429" s="27">
        <f>IF(C429="","",H429-I429)</f>
        <v/>
      </c>
      <c r="K429" s="25">
        <f>IF(C429="","",IF(G429=0,"not invoiced yet",SUBSTITUTE(TRIM(IF(COUNTIFS(tbl_Finance[Job Number],C429&amp;"",tbl_Finance[Cost Centre],"ONSITE")&gt;0,"ONSITE ","")&amp;IF(COUNTIFS(tbl_Finance[Job Number],C429&amp;"",tbl_Finance[Cost Centre],"PRODUCTION")&gt;0,"PRODUCTION ","")&amp;IF(COUNTIFS(tbl_Finance[Job Number],C429&amp;"",tbl_Finance[Cost Centre],"VIDEO")&gt;0,"VIDEO ","")&amp;IF(COUNTIFS(tbl_Finance[Job Number],C429&amp;"",tbl_Finance[Cost Centre],"INTEGRATION")&gt;0,"INTEGRATION ","")&amp;IF(COUNTIFS(tbl_Finance[Job Number],C429&amp;"",tbl_Finance[Cost Centre],"CONSULTING")&gt;0,"CONSULTING ","")&amp;IF(COUNTIFS(tbl_Finance[Job Number],C429&amp;"",tbl_Finance[Cost Centre],"CTS")&gt;0,"CTS ",""))," ",", ")))</f>
        <v/>
      </c>
      <c r="L429" s="24" t="n"/>
      <c r="M429" s="24" t="n"/>
      <c r="N429" s="25">
        <f>IF(M429="","",HYPERLINK(IF(LEFT(M429,4)="http",M429,set_QwilrBase&amp;M429),"Open quote"))</f>
        <v/>
      </c>
      <c r="O429" s="64" t="n"/>
      <c r="P429" s="24" t="n"/>
      <c r="Q429" s="24" t="n"/>
    </row>
    <row r="430" ht="15" customHeight="1">
      <c r="A430" s="63">
        <f>IF(C430="","",IFERROR(IF(SUMPRODUCT(MAX((tbl_Finance[Job Number]=C430&amp;"")*(tbl_Finance[Xero Invoice No]&lt;&gt;"")*tbl_Finance[Date]))=0,"",SUMPRODUCT(MAX((tbl_Finance[Job Number]=C430&amp;"")*(tbl_Finance[Xero Invoice No]&lt;&gt;"")*tbl_Finance[Date]))),""))</f>
        <v/>
      </c>
      <c r="B430" s="25">
        <f>IF(C430="","",IF(COUNTIFS(tbl_Finance[Job Number],C430&amp;"",tbl_Finance[Xero Invoice No],"&lt;&gt;")=0,"",IFERROR(IF(COUNTIFS(tbl_Finance[Job Number],C430&amp;"",tbl_Finance[Xero Invoice No],LOOKUP(2,1/((tbl_Finance[Job Number]=C430&amp;"")*(tbl_Finance[Xero Invoice No]&lt;&gt;"")),tbl_Finance[Xero Invoice No]))=COUNTIFS(tbl_Finance[Job Number],C430&amp;"",tbl_Finance[Xero Invoice No],"&lt;&gt;"),LOOKUP(2,1/((tbl_Finance[Job Number]=C430&amp;"")*(tbl_Finance[Xero Invoice No]&lt;&gt;"")),tbl_Finance[Xero Invoice No]),LOOKUP(2,1/((tbl_Finance[Job Number]=C430&amp;"")*(tbl_Finance[Xero Invoice No]&lt;&gt;"")),tbl_Finance[Xero Invoice No])&amp;" +more"),"")))</f>
        <v/>
      </c>
      <c r="C430" s="24" t="n"/>
      <c r="D430" s="25">
        <f>IF(C430="","",IF(COUNTIF(lst_Jobs,C430&amp;"")&gt;0,"OK","CHECK"))</f>
        <v/>
      </c>
      <c r="E430" s="25">
        <f>IF(C430="","",IFERROR(INDEX(lst_JobName,MATCH(C430&amp;"",lst_Jobs,0)),""))</f>
        <v/>
      </c>
      <c r="F430" s="25">
        <f>IF(C430="","",IFERROR(INDEX(tbl_Finance[Client],MATCH(C430&amp;"",tbl_Finance[Job Number],0)),""))</f>
        <v/>
      </c>
      <c r="G430" s="28">
        <f>IF(C430="","",COUNTIFS(tbl_Finance[Job Number],C430&amp;"",tbl_Finance[Ex GST],"&lt;&gt;"))</f>
        <v/>
      </c>
      <c r="H430" s="27">
        <f>IF(C430="","",SUMIFS(tbl_Finance[Ex GST],tbl_Finance[Job Number],C430&amp;""))</f>
        <v/>
      </c>
      <c r="I430" s="27">
        <f>IF(C430="","",SUMIFS(tbl_Finance[Ex GST],tbl_Finance[Job Number],C430&amp;"",tbl_Finance[Xero Invoice No],"&lt;&gt;"))</f>
        <v/>
      </c>
      <c r="J430" s="27">
        <f>IF(C430="","",H430-I430)</f>
        <v/>
      </c>
      <c r="K430" s="25">
        <f>IF(C430="","",IF(G430=0,"not invoiced yet",SUBSTITUTE(TRIM(IF(COUNTIFS(tbl_Finance[Job Number],C430&amp;"",tbl_Finance[Cost Centre],"ONSITE")&gt;0,"ONSITE ","")&amp;IF(COUNTIFS(tbl_Finance[Job Number],C430&amp;"",tbl_Finance[Cost Centre],"PRODUCTION")&gt;0,"PRODUCTION ","")&amp;IF(COUNTIFS(tbl_Finance[Job Number],C430&amp;"",tbl_Finance[Cost Centre],"VIDEO")&gt;0,"VIDEO ","")&amp;IF(COUNTIFS(tbl_Finance[Job Number],C430&amp;"",tbl_Finance[Cost Centre],"INTEGRATION")&gt;0,"INTEGRATION ","")&amp;IF(COUNTIFS(tbl_Finance[Job Number],C430&amp;"",tbl_Finance[Cost Centre],"CONSULTING")&gt;0,"CONSULTING ","")&amp;IF(COUNTIFS(tbl_Finance[Job Number],C430&amp;"",tbl_Finance[Cost Centre],"CTS")&gt;0,"CTS ",""))," ",", ")))</f>
        <v/>
      </c>
      <c r="L430" s="24" t="n"/>
      <c r="M430" s="24" t="n"/>
      <c r="N430" s="25">
        <f>IF(M430="","",HYPERLINK(IF(LEFT(M430,4)="http",M430,set_QwilrBase&amp;M430),"Open quote"))</f>
        <v/>
      </c>
      <c r="O430" s="64" t="n"/>
      <c r="P430" s="24" t="n"/>
      <c r="Q430" s="24" t="n"/>
    </row>
    <row r="431" ht="15" customHeight="1">
      <c r="A431" s="63">
        <f>IF(C431="","",IFERROR(IF(SUMPRODUCT(MAX((tbl_Finance[Job Number]=C431&amp;"")*(tbl_Finance[Xero Invoice No]&lt;&gt;"")*tbl_Finance[Date]))=0,"",SUMPRODUCT(MAX((tbl_Finance[Job Number]=C431&amp;"")*(tbl_Finance[Xero Invoice No]&lt;&gt;"")*tbl_Finance[Date]))),""))</f>
        <v/>
      </c>
      <c r="B431" s="25">
        <f>IF(C431="","",IF(COUNTIFS(tbl_Finance[Job Number],C431&amp;"",tbl_Finance[Xero Invoice No],"&lt;&gt;")=0,"",IFERROR(IF(COUNTIFS(tbl_Finance[Job Number],C431&amp;"",tbl_Finance[Xero Invoice No],LOOKUP(2,1/((tbl_Finance[Job Number]=C431&amp;"")*(tbl_Finance[Xero Invoice No]&lt;&gt;"")),tbl_Finance[Xero Invoice No]))=COUNTIFS(tbl_Finance[Job Number],C431&amp;"",tbl_Finance[Xero Invoice No],"&lt;&gt;"),LOOKUP(2,1/((tbl_Finance[Job Number]=C431&amp;"")*(tbl_Finance[Xero Invoice No]&lt;&gt;"")),tbl_Finance[Xero Invoice No]),LOOKUP(2,1/((tbl_Finance[Job Number]=C431&amp;"")*(tbl_Finance[Xero Invoice No]&lt;&gt;"")),tbl_Finance[Xero Invoice No])&amp;" +more"),"")))</f>
        <v/>
      </c>
      <c r="C431" s="24" t="n"/>
      <c r="D431" s="25">
        <f>IF(C431="","",IF(COUNTIF(lst_Jobs,C431&amp;"")&gt;0,"OK","CHECK"))</f>
        <v/>
      </c>
      <c r="E431" s="25">
        <f>IF(C431="","",IFERROR(INDEX(lst_JobName,MATCH(C431&amp;"",lst_Jobs,0)),""))</f>
        <v/>
      </c>
      <c r="F431" s="25">
        <f>IF(C431="","",IFERROR(INDEX(tbl_Finance[Client],MATCH(C431&amp;"",tbl_Finance[Job Number],0)),""))</f>
        <v/>
      </c>
      <c r="G431" s="28">
        <f>IF(C431="","",COUNTIFS(tbl_Finance[Job Number],C431&amp;"",tbl_Finance[Ex GST],"&lt;&gt;"))</f>
        <v/>
      </c>
      <c r="H431" s="27">
        <f>IF(C431="","",SUMIFS(tbl_Finance[Ex GST],tbl_Finance[Job Number],C431&amp;""))</f>
        <v/>
      </c>
      <c r="I431" s="27">
        <f>IF(C431="","",SUMIFS(tbl_Finance[Ex GST],tbl_Finance[Job Number],C431&amp;"",tbl_Finance[Xero Invoice No],"&lt;&gt;"))</f>
        <v/>
      </c>
      <c r="J431" s="27">
        <f>IF(C431="","",H431-I431)</f>
        <v/>
      </c>
      <c r="K431" s="25">
        <f>IF(C431="","",IF(G431=0,"not invoiced yet",SUBSTITUTE(TRIM(IF(COUNTIFS(tbl_Finance[Job Number],C431&amp;"",tbl_Finance[Cost Centre],"ONSITE")&gt;0,"ONSITE ","")&amp;IF(COUNTIFS(tbl_Finance[Job Number],C431&amp;"",tbl_Finance[Cost Centre],"PRODUCTION")&gt;0,"PRODUCTION ","")&amp;IF(COUNTIFS(tbl_Finance[Job Number],C431&amp;"",tbl_Finance[Cost Centre],"VIDEO")&gt;0,"VIDEO ","")&amp;IF(COUNTIFS(tbl_Finance[Job Number],C431&amp;"",tbl_Finance[Cost Centre],"INTEGRATION")&gt;0,"INTEGRATION ","")&amp;IF(COUNTIFS(tbl_Finance[Job Number],C431&amp;"",tbl_Finance[Cost Centre],"CONSULTING")&gt;0,"CONSULTING ","")&amp;IF(COUNTIFS(tbl_Finance[Job Number],C431&amp;"",tbl_Finance[Cost Centre],"CTS")&gt;0,"CTS ",""))," ",", ")))</f>
        <v/>
      </c>
      <c r="L431" s="24" t="n"/>
      <c r="M431" s="24" t="n"/>
      <c r="N431" s="25">
        <f>IF(M431="","",HYPERLINK(IF(LEFT(M431,4)="http",M431,set_QwilrBase&amp;M431),"Open quote"))</f>
        <v/>
      </c>
      <c r="O431" s="64" t="n"/>
      <c r="P431" s="24" t="n"/>
      <c r="Q431" s="24" t="n"/>
    </row>
  </sheetData>
  <sheetProtection selectLockedCells="0" selectUnlockedCells="0" sheet="1" objects="0" insertRows="0" insertHyperlinks="1" autoFilter="0" scenarios="0" formatColumns="0" deleteColumns="1" insertColumns="1" pivotTables="1" deleteRows="1" formatCells="0" formatRows="0" sort="0"/>
  <mergeCells count="1">
    <mergeCell ref="A3:K3"/>
  </mergeCells>
  <conditionalFormatting sqref="D5:D5000">
    <cfRule type="expression" priority="1" dxfId="0" stopIfTrue="0">
      <formula>D5="CHECK"</formula>
    </cfRule>
  </conditionalFormatting>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5B708A"/>
    <outlinePr summaryBelow="1" summaryRight="1"/>
    <pageSetUpPr/>
  </sheetPr>
  <dimension ref="A1:AD462"/>
  <sheetViews>
    <sheetView showGridLines="0" tabSelected="0" zoomScale="9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5" customWidth="1" min="3" max="3"/>
    <col width="12" customWidth="1" min="4" max="4"/>
    <col width="38" customWidth="1" min="5" max="5"/>
    <col width="24" customWidth="1" min="6" max="6"/>
    <col width="11" customWidth="1" min="7" max="7"/>
    <col width="16" customWidth="1" min="8" max="8"/>
    <col width="14" customWidth="1" min="9" max="9"/>
    <col width="14" customWidth="1" min="10" max="10"/>
    <col width="16" customWidth="1" min="11" max="11"/>
    <col width="12" customWidth="1" min="12" max="12"/>
    <col width="14" customWidth="1" min="13" max="13"/>
    <col width="18" customWidth="1" min="14" max="14"/>
    <col width="14" customWidth="1" min="15" max="15"/>
    <col width="11" customWidth="1" min="16" max="16"/>
    <col width="16" customWidth="1" min="17" max="17"/>
    <col width="20" customWidth="1" min="18" max="18"/>
    <col width="11" customWidth="1" min="19" max="19"/>
    <col width="17" customWidth="1" min="20" max="20"/>
    <col width="22" customWidth="1" min="21" max="21"/>
    <col width="14" customWidth="1" min="22" max="22"/>
    <col width="14" customWidth="1" min="23" max="23"/>
    <col width="10" customWidth="1" min="24" max="24"/>
    <col width="15" customWidth="1" min="25" max="25"/>
    <col width="15" customWidth="1" min="26" max="26"/>
    <col width="15" customWidth="1" min="27" max="27"/>
    <col width="19" customWidth="1" min="28" max="28"/>
    <col width="18" customWidth="1" min="29" max="29"/>
    <col width="38" customWidth="1" min="30" max="30"/>
  </cols>
  <sheetData>
    <row r="1" ht="24" customHeight="1">
      <c r="A1" s="18" t="inlineStr">
        <is>
          <t>Production - Job Detail</t>
        </is>
      </c>
    </row>
    <row r="2" ht="16" customHeight="1">
      <c r="A2" s="2" t="inlineStr">
        <is>
          <t>Production and Video jobs. One row per job number. Revenue comes from the Finance sheet, so margin is the whole job: every invoice against it less the costs you enter here.</t>
        </is>
      </c>
    </row>
    <row r="3" ht="22" customHeight="1">
      <c r="A3" s="19">
        <f>"Revenue Ex GST  "&amp;TEXT(SUBTOTAL(109,tbl_Production[Revenue Ex GST]),"$#,##0.00")</f>
        <v/>
      </c>
    </row>
    <row r="4" ht="34" customHeight="1">
      <c r="A4" s="21" t="inlineStr">
        <is>
          <t>Invoice Date</t>
        </is>
      </c>
      <c r="B4" s="21" t="inlineStr">
        <is>
          <t>Invoice No</t>
        </is>
      </c>
      <c r="C4" s="20" t="inlineStr">
        <is>
          <t>Job Number</t>
        </is>
      </c>
      <c r="D4" s="21" t="inlineStr">
        <is>
          <t>Job in Xero?</t>
        </is>
      </c>
      <c r="E4" s="21" t="inlineStr">
        <is>
          <t>Job Name (Xero)</t>
        </is>
      </c>
      <c r="F4" s="21" t="inlineStr">
        <is>
          <t>Client</t>
        </is>
      </c>
      <c r="G4" s="21" t="inlineStr">
        <is>
          <t>Lines on Job</t>
        </is>
      </c>
      <c r="H4" s="21" t="inlineStr">
        <is>
          <t>Revenue Ex GST</t>
        </is>
      </c>
      <c r="I4" s="21" t="inlineStr">
        <is>
          <t>Invoiced</t>
        </is>
      </c>
      <c r="J4" s="21" t="inlineStr">
        <is>
          <t>To Invoice</t>
        </is>
      </c>
      <c r="K4" s="21" t="inlineStr">
        <is>
          <t>Cost Centres</t>
        </is>
      </c>
      <c r="L4" s="20" t="inlineStr">
        <is>
          <t>Event Date</t>
        </is>
      </c>
      <c r="M4" s="20" t="inlineStr">
        <is>
          <t>Current RMS No</t>
        </is>
      </c>
      <c r="N4" s="21" t="inlineStr">
        <is>
          <t>Open in Current RMS</t>
        </is>
      </c>
      <c r="O4" s="21" t="inlineStr">
        <is>
          <t>Zoho Number</t>
        </is>
      </c>
      <c r="P4" s="20" t="inlineStr">
        <is>
          <t>Job Closed</t>
        </is>
      </c>
      <c r="Q4" s="20" t="inlineStr">
        <is>
          <t>Discounts Given</t>
        </is>
      </c>
      <c r="R4" s="21" t="inlineStr">
        <is>
          <t>Value Before Discount</t>
        </is>
      </c>
      <c r="S4" s="21" t="inlineStr">
        <is>
          <t>Discount %</t>
        </is>
      </c>
      <c r="T4" s="20" t="inlineStr">
        <is>
          <t>Cross Hire Expense</t>
        </is>
      </c>
      <c r="U4" s="20" t="inlineStr">
        <is>
          <t>Labour Expense (Internal)</t>
        </is>
      </c>
      <c r="V4" s="21" t="inlineStr">
        <is>
          <t>Total Expense</t>
        </is>
      </c>
      <c r="W4" s="21" t="inlineStr">
        <is>
          <t>Margin</t>
        </is>
      </c>
      <c r="X4" s="21" t="inlineStr">
        <is>
          <t>Margin %</t>
        </is>
      </c>
      <c r="Y4" s="20" t="inlineStr">
        <is>
          <t>Video Filming Hrs</t>
        </is>
      </c>
      <c r="Z4" s="20" t="inlineStr">
        <is>
          <t>Video Editing Hrs</t>
        </is>
      </c>
      <c r="AA4" s="20" t="inlineStr">
        <is>
          <t>Project Mgmt Hrs</t>
        </is>
      </c>
      <c r="AB4" s="20" t="inlineStr">
        <is>
          <t>Video Project Mgmt Hrs</t>
        </is>
      </c>
      <c r="AC4" s="20" t="inlineStr">
        <is>
          <t>Production Labour Hrs</t>
        </is>
      </c>
      <c r="AD4" s="20" t="inlineStr">
        <is>
          <t>Notes</t>
        </is>
      </c>
    </row>
    <row r="5" ht="15" customHeight="1">
      <c r="A5" s="63">
        <f>IF(C5="","",IFERROR(IF(SUMPRODUCT(MAX((tbl_Finance[Job Number]=C5&amp;"")*(tbl_Finance[Xero Invoice No]&lt;&gt;"")*tbl_Finance[Date]))=0,"",SUMPRODUCT(MAX((tbl_Finance[Job Number]=C5&amp;"")*(tbl_Finance[Xero Invoice No]&lt;&gt;"")*tbl_Finance[Date]))),""))</f>
        <v/>
      </c>
      <c r="B5" s="25">
        <f>IF(C5="","",IF(COUNTIFS(tbl_Finance[Job Number],C5&amp;"",tbl_Finance[Xero Invoice No],"&lt;&gt;")=0,"",IFERROR(IF(COUNTIFS(tbl_Finance[Job Number],C5&amp;"",tbl_Finance[Xero Invoice No],LOOKUP(2,1/((tbl_Finance[Job Number]=C5&amp;"")*(tbl_Finance[Xero Invoice No]&lt;&gt;"")),tbl_Finance[Xero Invoice No]))=COUNTIFS(tbl_Finance[Job Number],C5&amp;"",tbl_Finance[Xero Invoice No],"&lt;&gt;"),LOOKUP(2,1/((tbl_Finance[Job Number]=C5&amp;"")*(tbl_Finance[Xero Invoice No]&lt;&gt;"")),tbl_Finance[Xero Invoice No]),LOOKUP(2,1/((tbl_Finance[Job Number]=C5&amp;"")*(tbl_Finance[Xero Invoice No]&lt;&gt;"")),tbl_Finance[Xero Invoice No])&amp;" +more"),"")))</f>
        <v/>
      </c>
      <c r="C5" s="24" t="inlineStr">
        <is>
          <t>2602309</t>
        </is>
      </c>
      <c r="D5" s="25">
        <f>IF(C5="","",IF(COUNTIF(lst_Jobs,C5&amp;"")&gt;0,"OK","CHECK"))</f>
        <v/>
      </c>
      <c r="E5" s="25">
        <f>IF(C5="","",IFERROR(INDEX(lst_JobName,MATCH(C5&amp;"",lst_Jobs,0)),""))</f>
        <v/>
      </c>
      <c r="F5" s="25">
        <f>IF(C5="","",IFERROR(INDEX(tbl_Finance[Client],MATCH(C5&amp;"",tbl_Finance[Job Number],0)),""))</f>
        <v/>
      </c>
      <c r="G5" s="28">
        <f>IF(C5="","",COUNTIFS(tbl_Finance[Job Number],C5&amp;"",tbl_Finance[Ex GST],"&lt;&gt;"))</f>
        <v/>
      </c>
      <c r="H5" s="27">
        <f>IF(C5="","",SUMIFS(tbl_Finance[Ex GST],tbl_Finance[Job Number],C5&amp;""))</f>
        <v/>
      </c>
      <c r="I5" s="27">
        <f>IF(C5="","",SUMIFS(tbl_Finance[Ex GST],tbl_Finance[Job Number],C5&amp;"",tbl_Finance[Xero Invoice No],"&lt;&gt;"))</f>
        <v/>
      </c>
      <c r="J5" s="27">
        <f>IF(C5="","",H5-I5)</f>
        <v/>
      </c>
      <c r="K5" s="25">
        <f>IF(C5="","",IF(G5=0,"not invoiced yet",SUBSTITUTE(TRIM(IF(COUNTIFS(tbl_Finance[Job Number],C5&amp;"",tbl_Finance[Cost Centre],"ONSITE")&gt;0,"ONSITE ","")&amp;IF(COUNTIFS(tbl_Finance[Job Number],C5&amp;"",tbl_Finance[Cost Centre],"PRODUCTION")&gt;0,"PRODUCTION ","")&amp;IF(COUNTIFS(tbl_Finance[Job Number],C5&amp;"",tbl_Finance[Cost Centre],"VIDEO")&gt;0,"VIDEO ","")&amp;IF(COUNTIFS(tbl_Finance[Job Number],C5&amp;"",tbl_Finance[Cost Centre],"INTEGRATION")&gt;0,"INTEGRATION ","")&amp;IF(COUNTIFS(tbl_Finance[Job Number],C5&amp;"",tbl_Finance[Cost Centre],"CONSULTING")&gt;0,"CONSULTING ","")&amp;IF(COUNTIFS(tbl_Finance[Job Number],C5&amp;"",tbl_Finance[Cost Centre],"CTS")&gt;0,"CTS ",""))," ",", ")))</f>
        <v/>
      </c>
      <c r="L5" s="22" t="inlineStr">
        <is>
          <t>7/1/2026</t>
        </is>
      </c>
      <c r="M5" s="24" t="inlineStr">
        <is>
          <t>5879</t>
        </is>
      </c>
      <c r="N5" s="25">
        <f>IF(M5="","",IF(AND(LEFT(M5,4)&lt;&gt;"http",set_RMSBase=""),"",HYPERLINK(IF(LEFT(M5,4)="http",M5,set_RMSBase&amp;M5),"Open opportunity")))</f>
        <v/>
      </c>
      <c r="O5" s="25">
        <f>IF(C5="","",C5)</f>
        <v/>
      </c>
      <c r="P5" s="24" t="inlineStr">
        <is>
          <t>Y</t>
        </is>
      </c>
      <c r="Q5" s="26" t="n"/>
      <c r="R5" s="27">
        <f>IF(C5="","",H5+N(Q5))</f>
        <v/>
      </c>
      <c r="S5" s="29">
        <f>IFERROR(Q5/R5,"")</f>
        <v/>
      </c>
      <c r="T5" s="26" t="n"/>
      <c r="U5" s="26" t="n">
        <v>229.56</v>
      </c>
      <c r="V5" s="27">
        <f>IF(C5="","",N(T5)+N(U5))</f>
        <v/>
      </c>
      <c r="W5" s="27">
        <f>IF(C5="","",H5-V5)</f>
        <v/>
      </c>
      <c r="X5" s="29">
        <f>IFERROR(W5/H5,"")</f>
        <v/>
      </c>
      <c r="Y5" s="64" t="n"/>
      <c r="Z5" s="64" t="n"/>
      <c r="AA5" s="64" t="n"/>
      <c r="AB5" s="64" t="n"/>
      <c r="AC5" s="64" t="n">
        <v>4</v>
      </c>
      <c r="AD5" s="24" t="n"/>
    </row>
    <row r="6" ht="15" customHeight="1">
      <c r="A6" s="63">
        <f>IF(C6="","",IFERROR(IF(SUMPRODUCT(MAX((tbl_Finance[Job Number]=C6&amp;"")*(tbl_Finance[Xero Invoice No]&lt;&gt;"")*tbl_Finance[Date]))=0,"",SUMPRODUCT(MAX((tbl_Finance[Job Number]=C6&amp;"")*(tbl_Finance[Xero Invoice No]&lt;&gt;"")*tbl_Finance[Date]))),""))</f>
        <v/>
      </c>
      <c r="B6" s="25">
        <f>IF(C6="","",IF(COUNTIFS(tbl_Finance[Job Number],C6&amp;"",tbl_Finance[Xero Invoice No],"&lt;&gt;")=0,"",IFERROR(IF(COUNTIFS(tbl_Finance[Job Number],C6&amp;"",tbl_Finance[Xero Invoice No],LOOKUP(2,1/((tbl_Finance[Job Number]=C6&amp;"")*(tbl_Finance[Xero Invoice No]&lt;&gt;"")),tbl_Finance[Xero Invoice No]))=COUNTIFS(tbl_Finance[Job Number],C6&amp;"",tbl_Finance[Xero Invoice No],"&lt;&gt;"),LOOKUP(2,1/((tbl_Finance[Job Number]=C6&amp;"")*(tbl_Finance[Xero Invoice No]&lt;&gt;"")),tbl_Finance[Xero Invoice No]),LOOKUP(2,1/((tbl_Finance[Job Number]=C6&amp;"")*(tbl_Finance[Xero Invoice No]&lt;&gt;"")),tbl_Finance[Xero Invoice No])&amp;" +more"),"")))</f>
        <v/>
      </c>
      <c r="C6" s="24" t="inlineStr">
        <is>
          <t>26032301</t>
        </is>
      </c>
      <c r="D6" s="25">
        <f>IF(C6="","",IF(COUNTIF(lst_Jobs,C6&amp;"")&gt;0,"OK","CHECK"))</f>
        <v/>
      </c>
      <c r="E6" s="25">
        <f>IF(C6="","",IFERROR(INDEX(lst_JobName,MATCH(C6&amp;"",lst_Jobs,0)),""))</f>
        <v/>
      </c>
      <c r="F6" s="25">
        <f>IF(C6="","",IFERROR(INDEX(tbl_Finance[Client],MATCH(C6&amp;"",tbl_Finance[Job Number],0)),""))</f>
        <v/>
      </c>
      <c r="G6" s="28">
        <f>IF(C6="","",COUNTIFS(tbl_Finance[Job Number],C6&amp;"",tbl_Finance[Ex GST],"&lt;&gt;"))</f>
        <v/>
      </c>
      <c r="H6" s="27">
        <f>IF(C6="","",SUMIFS(tbl_Finance[Ex GST],tbl_Finance[Job Number],C6&amp;""))</f>
        <v/>
      </c>
      <c r="I6" s="27">
        <f>IF(C6="","",SUMIFS(tbl_Finance[Ex GST],tbl_Finance[Job Number],C6&amp;"",tbl_Finance[Xero Invoice No],"&lt;&gt;"))</f>
        <v/>
      </c>
      <c r="J6" s="27">
        <f>IF(C6="","",H6-I6)</f>
        <v/>
      </c>
      <c r="K6" s="25">
        <f>IF(C6="","",IF(G6=0,"not invoiced yet",SUBSTITUTE(TRIM(IF(COUNTIFS(tbl_Finance[Job Number],C6&amp;"",tbl_Finance[Cost Centre],"ONSITE")&gt;0,"ONSITE ","")&amp;IF(COUNTIFS(tbl_Finance[Job Number],C6&amp;"",tbl_Finance[Cost Centre],"PRODUCTION")&gt;0,"PRODUCTION ","")&amp;IF(COUNTIFS(tbl_Finance[Job Number],C6&amp;"",tbl_Finance[Cost Centre],"VIDEO")&gt;0,"VIDEO ","")&amp;IF(COUNTIFS(tbl_Finance[Job Number],C6&amp;"",tbl_Finance[Cost Centre],"INTEGRATION")&gt;0,"INTEGRATION ","")&amp;IF(COUNTIFS(tbl_Finance[Job Number],C6&amp;"",tbl_Finance[Cost Centre],"CONSULTING")&gt;0,"CONSULTING ","")&amp;IF(COUNTIFS(tbl_Finance[Job Number],C6&amp;"",tbl_Finance[Cost Centre],"CTS")&gt;0,"CTS ",""))," ",", ")))</f>
        <v/>
      </c>
      <c r="L6" s="22" t="inlineStr">
        <is>
          <t>7/1/2026</t>
        </is>
      </c>
      <c r="M6" s="24" t="inlineStr">
        <is>
          <t>5924</t>
        </is>
      </c>
      <c r="N6" s="25">
        <f>IF(M6="","",IF(AND(LEFT(M6,4)&lt;&gt;"http",set_RMSBase=""),"",HYPERLINK(IF(LEFT(M6,4)="http",M6,set_RMSBase&amp;M6),"Open opportunity")))</f>
        <v/>
      </c>
      <c r="O6" s="25">
        <f>IF(C6="","",C6)</f>
        <v/>
      </c>
      <c r="P6" s="24" t="inlineStr">
        <is>
          <t>Y</t>
        </is>
      </c>
      <c r="Q6" s="26" t="n">
        <v>334</v>
      </c>
      <c r="R6" s="27">
        <f>IF(C6="","",H6+N(Q6))</f>
        <v/>
      </c>
      <c r="S6" s="29">
        <f>IFERROR(Q6/R6,"")</f>
        <v/>
      </c>
      <c r="T6" s="26" t="n"/>
      <c r="U6" s="26" t="n">
        <v>977.23</v>
      </c>
      <c r="V6" s="27">
        <f>IF(C6="","",N(T6)+N(U6))</f>
        <v/>
      </c>
      <c r="W6" s="27">
        <f>IF(C6="","",H6-V6)</f>
        <v/>
      </c>
      <c r="X6" s="29">
        <f>IFERROR(W6/H6,"")</f>
        <v/>
      </c>
      <c r="Y6" s="64" t="n">
        <v>4</v>
      </c>
      <c r="Z6" s="64" t="n"/>
      <c r="AA6" s="64" t="n"/>
      <c r="AB6" s="64" t="n"/>
      <c r="AC6" s="64" t="n">
        <v>10</v>
      </c>
      <c r="AD6" s="24" t="n"/>
    </row>
    <row r="7" ht="15" customHeight="1">
      <c r="A7" s="63">
        <f>IF(C7="","",IFERROR(IF(SUMPRODUCT(MAX((tbl_Finance[Job Number]=C7&amp;"")*(tbl_Finance[Xero Invoice No]&lt;&gt;"")*tbl_Finance[Date]))=0,"",SUMPRODUCT(MAX((tbl_Finance[Job Number]=C7&amp;"")*(tbl_Finance[Xero Invoice No]&lt;&gt;"")*tbl_Finance[Date]))),""))</f>
        <v/>
      </c>
      <c r="B7" s="25">
        <f>IF(C7="","",IF(COUNTIFS(tbl_Finance[Job Number],C7&amp;"",tbl_Finance[Xero Invoice No],"&lt;&gt;")=0,"",IFERROR(IF(COUNTIFS(tbl_Finance[Job Number],C7&amp;"",tbl_Finance[Xero Invoice No],LOOKUP(2,1/((tbl_Finance[Job Number]=C7&amp;"")*(tbl_Finance[Xero Invoice No]&lt;&gt;"")),tbl_Finance[Xero Invoice No]))=COUNTIFS(tbl_Finance[Job Number],C7&amp;"",tbl_Finance[Xero Invoice No],"&lt;&gt;"),LOOKUP(2,1/((tbl_Finance[Job Number]=C7&amp;"")*(tbl_Finance[Xero Invoice No]&lt;&gt;"")),tbl_Finance[Xero Invoice No]),LOOKUP(2,1/((tbl_Finance[Job Number]=C7&amp;"")*(tbl_Finance[Xero Invoice No]&lt;&gt;"")),tbl_Finance[Xero Invoice No])&amp;" +more"),"")))</f>
        <v/>
      </c>
      <c r="C7" s="24" t="inlineStr">
        <is>
          <t>26062201</t>
        </is>
      </c>
      <c r="D7" s="25">
        <f>IF(C7="","",IF(COUNTIF(lst_Jobs,C7&amp;"")&gt;0,"OK","CHECK"))</f>
        <v/>
      </c>
      <c r="E7" s="25">
        <f>IF(C7="","",IFERROR(INDEX(lst_JobName,MATCH(C7&amp;"",lst_Jobs,0)),""))</f>
        <v/>
      </c>
      <c r="F7" s="25">
        <f>IF(C7="","",IFERROR(INDEX(tbl_Finance[Client],MATCH(C7&amp;"",tbl_Finance[Job Number],0)),""))</f>
        <v/>
      </c>
      <c r="G7" s="28">
        <f>IF(C7="","",COUNTIFS(tbl_Finance[Job Number],C7&amp;"",tbl_Finance[Ex GST],"&lt;&gt;"))</f>
        <v/>
      </c>
      <c r="H7" s="27">
        <f>IF(C7="","",SUMIFS(tbl_Finance[Ex GST],tbl_Finance[Job Number],C7&amp;""))</f>
        <v/>
      </c>
      <c r="I7" s="27">
        <f>IF(C7="","",SUMIFS(tbl_Finance[Ex GST],tbl_Finance[Job Number],C7&amp;"",tbl_Finance[Xero Invoice No],"&lt;&gt;"))</f>
        <v/>
      </c>
      <c r="J7" s="27">
        <f>IF(C7="","",H7-I7)</f>
        <v/>
      </c>
      <c r="K7" s="25">
        <f>IF(C7="","",IF(G7=0,"not invoiced yet",SUBSTITUTE(TRIM(IF(COUNTIFS(tbl_Finance[Job Number],C7&amp;"",tbl_Finance[Cost Centre],"ONSITE")&gt;0,"ONSITE ","")&amp;IF(COUNTIFS(tbl_Finance[Job Number],C7&amp;"",tbl_Finance[Cost Centre],"PRODUCTION")&gt;0,"PRODUCTION ","")&amp;IF(COUNTIFS(tbl_Finance[Job Number],C7&amp;"",tbl_Finance[Cost Centre],"VIDEO")&gt;0,"VIDEO ","")&amp;IF(COUNTIFS(tbl_Finance[Job Number],C7&amp;"",tbl_Finance[Cost Centre],"INTEGRATION")&gt;0,"INTEGRATION ","")&amp;IF(COUNTIFS(tbl_Finance[Job Number],C7&amp;"",tbl_Finance[Cost Centre],"CONSULTING")&gt;0,"CONSULTING ","")&amp;IF(COUNTIFS(tbl_Finance[Job Number],C7&amp;"",tbl_Finance[Cost Centre],"CTS")&gt;0,"CTS ",""))," ",", ")))</f>
        <v/>
      </c>
      <c r="L7" s="22" t="inlineStr">
        <is>
          <t>7/2/2026</t>
        </is>
      </c>
      <c r="M7" s="24" t="inlineStr">
        <is>
          <t>6076</t>
        </is>
      </c>
      <c r="N7" s="25">
        <f>IF(M7="","",IF(AND(LEFT(M7,4)&lt;&gt;"http",set_RMSBase=""),"",HYPERLINK(IF(LEFT(M7,4)="http",M7,set_RMSBase&amp;M7),"Open opportunity")))</f>
        <v/>
      </c>
      <c r="O7" s="25">
        <f>IF(C7="","",C7)</f>
        <v/>
      </c>
      <c r="P7" s="24" t="inlineStr">
        <is>
          <t>Y</t>
        </is>
      </c>
      <c r="Q7" s="26" t="n"/>
      <c r="R7" s="27">
        <f>IF(C7="","",H7+N(Q7))</f>
        <v/>
      </c>
      <c r="S7" s="29">
        <f>IFERROR(Q7/R7,"")</f>
        <v/>
      </c>
      <c r="T7" s="26" t="n"/>
      <c r="U7" s="26" t="n">
        <v>821.5599999999999</v>
      </c>
      <c r="V7" s="27">
        <f>IF(C7="","",N(T7)+N(U7))</f>
        <v/>
      </c>
      <c r="W7" s="27">
        <f>IF(C7="","",H7-V7)</f>
        <v/>
      </c>
      <c r="X7" s="29">
        <f>IFERROR(W7/H7,"")</f>
        <v/>
      </c>
      <c r="Y7" s="64" t="n">
        <v>8</v>
      </c>
      <c r="Z7" s="64" t="n"/>
      <c r="AA7" s="64" t="n">
        <v>1</v>
      </c>
      <c r="AB7" s="64" t="n"/>
      <c r="AC7" s="64" t="n">
        <v>8</v>
      </c>
      <c r="AD7" s="24" t="n"/>
    </row>
    <row r="8" ht="15" customHeight="1">
      <c r="A8" s="63">
        <f>IF(C8="","",IFERROR(IF(SUMPRODUCT(MAX((tbl_Finance[Job Number]=C8&amp;"")*(tbl_Finance[Xero Invoice No]&lt;&gt;"")*tbl_Finance[Date]))=0,"",SUMPRODUCT(MAX((tbl_Finance[Job Number]=C8&amp;"")*(tbl_Finance[Xero Invoice No]&lt;&gt;"")*tbl_Finance[Date]))),""))</f>
        <v/>
      </c>
      <c r="B8" s="25">
        <f>IF(C8="","",IF(COUNTIFS(tbl_Finance[Job Number],C8&amp;"",tbl_Finance[Xero Invoice No],"&lt;&gt;")=0,"",IFERROR(IF(COUNTIFS(tbl_Finance[Job Number],C8&amp;"",tbl_Finance[Xero Invoice No],LOOKUP(2,1/((tbl_Finance[Job Number]=C8&amp;"")*(tbl_Finance[Xero Invoice No]&lt;&gt;"")),tbl_Finance[Xero Invoice No]))=COUNTIFS(tbl_Finance[Job Number],C8&amp;"",tbl_Finance[Xero Invoice No],"&lt;&gt;"),LOOKUP(2,1/((tbl_Finance[Job Number]=C8&amp;"")*(tbl_Finance[Xero Invoice No]&lt;&gt;"")),tbl_Finance[Xero Invoice No]),LOOKUP(2,1/((tbl_Finance[Job Number]=C8&amp;"")*(tbl_Finance[Xero Invoice No]&lt;&gt;"")),tbl_Finance[Xero Invoice No])&amp;" +more"),"")))</f>
        <v/>
      </c>
      <c r="C8" s="24" t="inlineStr">
        <is>
          <t>2605802</t>
        </is>
      </c>
      <c r="D8" s="25">
        <f>IF(C8="","",IF(COUNTIF(lst_Jobs,C8&amp;"")&gt;0,"OK","CHECK"))</f>
        <v/>
      </c>
      <c r="E8" s="25">
        <f>IF(C8="","",IFERROR(INDEX(lst_JobName,MATCH(C8&amp;"",lst_Jobs,0)),""))</f>
        <v/>
      </c>
      <c r="F8" s="25">
        <f>IF(C8="","",IFERROR(INDEX(tbl_Finance[Client],MATCH(C8&amp;"",tbl_Finance[Job Number],0)),""))</f>
        <v/>
      </c>
      <c r="G8" s="28">
        <f>IF(C8="","",COUNTIFS(tbl_Finance[Job Number],C8&amp;"",tbl_Finance[Ex GST],"&lt;&gt;"))</f>
        <v/>
      </c>
      <c r="H8" s="27">
        <f>IF(C8="","",SUMIFS(tbl_Finance[Ex GST],tbl_Finance[Job Number],C8&amp;""))</f>
        <v/>
      </c>
      <c r="I8" s="27">
        <f>IF(C8="","",SUMIFS(tbl_Finance[Ex GST],tbl_Finance[Job Number],C8&amp;"",tbl_Finance[Xero Invoice No],"&lt;&gt;"))</f>
        <v/>
      </c>
      <c r="J8" s="27">
        <f>IF(C8="","",H8-I8)</f>
        <v/>
      </c>
      <c r="K8" s="25">
        <f>IF(C8="","",IF(G8=0,"not invoiced yet",SUBSTITUTE(TRIM(IF(COUNTIFS(tbl_Finance[Job Number],C8&amp;"",tbl_Finance[Cost Centre],"ONSITE")&gt;0,"ONSITE ","")&amp;IF(COUNTIFS(tbl_Finance[Job Number],C8&amp;"",tbl_Finance[Cost Centre],"PRODUCTION")&gt;0,"PRODUCTION ","")&amp;IF(COUNTIFS(tbl_Finance[Job Number],C8&amp;"",tbl_Finance[Cost Centre],"VIDEO")&gt;0,"VIDEO ","")&amp;IF(COUNTIFS(tbl_Finance[Job Number],C8&amp;"",tbl_Finance[Cost Centre],"INTEGRATION")&gt;0,"INTEGRATION ","")&amp;IF(COUNTIFS(tbl_Finance[Job Number],C8&amp;"",tbl_Finance[Cost Centre],"CONSULTING")&gt;0,"CONSULTING ","")&amp;IF(COUNTIFS(tbl_Finance[Job Number],C8&amp;"",tbl_Finance[Cost Centre],"CTS")&gt;0,"CTS ",""))," ",", ")))</f>
        <v/>
      </c>
      <c r="L8" s="22" t="inlineStr">
        <is>
          <t>7/15/2026</t>
        </is>
      </c>
      <c r="M8" s="24" t="inlineStr">
        <is>
          <t>6013</t>
        </is>
      </c>
      <c r="N8" s="25">
        <f>IF(M8="","",IF(AND(LEFT(M8,4)&lt;&gt;"http",set_RMSBase=""),"",HYPERLINK(IF(LEFT(M8,4)="http",M8,set_RMSBase&amp;M8),"Open opportunity")))</f>
        <v/>
      </c>
      <c r="O8" s="25">
        <f>IF(C8="","",C8)</f>
        <v/>
      </c>
      <c r="P8" s="24" t="inlineStr">
        <is>
          <t>Y</t>
        </is>
      </c>
      <c r="Q8" s="26" t="n"/>
      <c r="R8" s="27">
        <f>IF(C8="","",H8+N(Q8))</f>
        <v/>
      </c>
      <c r="S8" s="29">
        <f>IFERROR(Q8/R8,"")</f>
        <v/>
      </c>
      <c r="T8" s="26" t="n"/>
      <c r="U8" s="26" t="n"/>
      <c r="V8" s="27">
        <f>IF(C8="","",N(T8)+N(U8))</f>
        <v/>
      </c>
      <c r="W8" s="27">
        <f>IF(C8="","",H8-V8)</f>
        <v/>
      </c>
      <c r="X8" s="29">
        <f>IFERROR(W8/H8,"")</f>
        <v/>
      </c>
      <c r="Y8" s="64" t="n"/>
      <c r="Z8" s="64" t="n"/>
      <c r="AA8" s="64" t="n">
        <v>2</v>
      </c>
      <c r="AB8" s="64" t="n"/>
      <c r="AC8" s="64" t="n">
        <v>4</v>
      </c>
      <c r="AD8" s="24" t="n"/>
    </row>
    <row r="9" ht="15" customHeight="1">
      <c r="A9" s="63">
        <f>IF(C9="","",IFERROR(IF(SUMPRODUCT(MAX((tbl_Finance[Job Number]=C9&amp;"")*(tbl_Finance[Xero Invoice No]&lt;&gt;"")*tbl_Finance[Date]))=0,"",SUMPRODUCT(MAX((tbl_Finance[Job Number]=C9&amp;"")*(tbl_Finance[Xero Invoice No]&lt;&gt;"")*tbl_Finance[Date]))),""))</f>
        <v/>
      </c>
      <c r="B9" s="25">
        <f>IF(C9="","",IF(COUNTIFS(tbl_Finance[Job Number],C9&amp;"",tbl_Finance[Xero Invoice No],"&lt;&gt;")=0,"",IFERROR(IF(COUNTIFS(tbl_Finance[Job Number],C9&amp;"",tbl_Finance[Xero Invoice No],LOOKUP(2,1/((tbl_Finance[Job Number]=C9&amp;"")*(tbl_Finance[Xero Invoice No]&lt;&gt;"")),tbl_Finance[Xero Invoice No]))=COUNTIFS(tbl_Finance[Job Number],C9&amp;"",tbl_Finance[Xero Invoice No],"&lt;&gt;"),LOOKUP(2,1/((tbl_Finance[Job Number]=C9&amp;"")*(tbl_Finance[Xero Invoice No]&lt;&gt;"")),tbl_Finance[Xero Invoice No]),LOOKUP(2,1/((tbl_Finance[Job Number]=C9&amp;"")*(tbl_Finance[Xero Invoice No]&lt;&gt;"")),tbl_Finance[Xero Invoice No])&amp;" +more"),"")))</f>
        <v/>
      </c>
      <c r="C9" s="24" t="inlineStr">
        <is>
          <t>2607701</t>
        </is>
      </c>
      <c r="D9" s="25">
        <f>IF(C9="","",IF(COUNTIF(lst_Jobs,C9&amp;"")&gt;0,"OK","CHECK"))</f>
        <v/>
      </c>
      <c r="E9" s="25">
        <f>IF(C9="","",IFERROR(INDEX(lst_JobName,MATCH(C9&amp;"",lst_Jobs,0)),""))</f>
        <v/>
      </c>
      <c r="F9" s="25">
        <f>IF(C9="","",IFERROR(INDEX(tbl_Finance[Client],MATCH(C9&amp;"",tbl_Finance[Job Number],0)),""))</f>
        <v/>
      </c>
      <c r="G9" s="28">
        <f>IF(C9="","",COUNTIFS(tbl_Finance[Job Number],C9&amp;"",tbl_Finance[Ex GST],"&lt;&gt;"))</f>
        <v/>
      </c>
      <c r="H9" s="27">
        <f>IF(C9="","",SUMIFS(tbl_Finance[Ex GST],tbl_Finance[Job Number],C9&amp;""))</f>
        <v/>
      </c>
      <c r="I9" s="27">
        <f>IF(C9="","",SUMIFS(tbl_Finance[Ex GST],tbl_Finance[Job Number],C9&amp;"",tbl_Finance[Xero Invoice No],"&lt;&gt;"))</f>
        <v/>
      </c>
      <c r="J9" s="27">
        <f>IF(C9="","",H9-I9)</f>
        <v/>
      </c>
      <c r="K9" s="25">
        <f>IF(C9="","",IF(G9=0,"not invoiced yet",SUBSTITUTE(TRIM(IF(COUNTIFS(tbl_Finance[Job Number],C9&amp;"",tbl_Finance[Cost Centre],"ONSITE")&gt;0,"ONSITE ","")&amp;IF(COUNTIFS(tbl_Finance[Job Number],C9&amp;"",tbl_Finance[Cost Centre],"PRODUCTION")&gt;0,"PRODUCTION ","")&amp;IF(COUNTIFS(tbl_Finance[Job Number],C9&amp;"",tbl_Finance[Cost Centre],"VIDEO")&gt;0,"VIDEO ","")&amp;IF(COUNTIFS(tbl_Finance[Job Number],C9&amp;"",tbl_Finance[Cost Centre],"INTEGRATION")&gt;0,"INTEGRATION ","")&amp;IF(COUNTIFS(tbl_Finance[Job Number],C9&amp;"",tbl_Finance[Cost Centre],"CONSULTING")&gt;0,"CONSULTING ","")&amp;IF(COUNTIFS(tbl_Finance[Job Number],C9&amp;"",tbl_Finance[Cost Centre],"CTS")&gt;0,"CTS ",""))," ",", ")))</f>
        <v/>
      </c>
      <c r="L9" s="22" t="inlineStr">
        <is>
          <t>7/16/2026</t>
        </is>
      </c>
      <c r="M9" s="24" t="inlineStr">
        <is>
          <t>6089</t>
        </is>
      </c>
      <c r="N9" s="25">
        <f>IF(M9="","",IF(AND(LEFT(M9,4)&lt;&gt;"http",set_RMSBase=""),"",HYPERLINK(IF(LEFT(M9,4)="http",M9,set_RMSBase&amp;M9),"Open opportunity")))</f>
        <v/>
      </c>
      <c r="O9" s="25">
        <f>IF(C9="","",C9)</f>
        <v/>
      </c>
      <c r="P9" s="24" t="inlineStr">
        <is>
          <t>Y</t>
        </is>
      </c>
      <c r="Q9" s="26" t="n">
        <v>465</v>
      </c>
      <c r="R9" s="27">
        <f>IF(C9="","",H9+N(Q9))</f>
        <v/>
      </c>
      <c r="S9" s="29">
        <f>IFERROR(Q9/R9,"")</f>
        <v/>
      </c>
      <c r="T9" s="26" t="n"/>
      <c r="U9" s="26" t="n">
        <v>312.18</v>
      </c>
      <c r="V9" s="27">
        <f>IF(C9="","",N(T9)+N(U9))</f>
        <v/>
      </c>
      <c r="W9" s="27">
        <f>IF(C9="","",H9-V9)</f>
        <v/>
      </c>
      <c r="X9" s="29">
        <f>IFERROR(W9/H9,"")</f>
        <v/>
      </c>
      <c r="Y9" s="64" t="n">
        <v>4</v>
      </c>
      <c r="Z9" s="64" t="n"/>
      <c r="AA9" s="64" t="n"/>
      <c r="AB9" s="64" t="n"/>
      <c r="AC9" s="64" t="n">
        <v>2</v>
      </c>
      <c r="AD9" s="24" t="n"/>
    </row>
    <row r="10" ht="15" customHeight="1">
      <c r="A10" s="63">
        <f>IF(C10="","",IFERROR(IF(SUMPRODUCT(MAX((tbl_Finance[Job Number]=C10&amp;"")*(tbl_Finance[Xero Invoice No]&lt;&gt;"")*tbl_Finance[Date]))=0,"",SUMPRODUCT(MAX((tbl_Finance[Job Number]=C10&amp;"")*(tbl_Finance[Xero Invoice No]&lt;&gt;"")*tbl_Finance[Date]))),""))</f>
        <v/>
      </c>
      <c r="B10" s="25">
        <f>IF(C10="","",IF(COUNTIFS(tbl_Finance[Job Number],C10&amp;"",tbl_Finance[Xero Invoice No],"&lt;&gt;")=0,"",IFERROR(IF(COUNTIFS(tbl_Finance[Job Number],C10&amp;"",tbl_Finance[Xero Invoice No],LOOKUP(2,1/((tbl_Finance[Job Number]=C10&amp;"")*(tbl_Finance[Xero Invoice No]&lt;&gt;"")),tbl_Finance[Xero Invoice No]))=COUNTIFS(tbl_Finance[Job Number],C10&amp;"",tbl_Finance[Xero Invoice No],"&lt;&gt;"),LOOKUP(2,1/((tbl_Finance[Job Number]=C10&amp;"")*(tbl_Finance[Xero Invoice No]&lt;&gt;"")),tbl_Finance[Xero Invoice No]),LOOKUP(2,1/((tbl_Finance[Job Number]=C10&amp;"")*(tbl_Finance[Xero Invoice No]&lt;&gt;"")),tbl_Finance[Xero Invoice No])&amp;" +more"),"")))</f>
        <v/>
      </c>
      <c r="C10" s="24" t="inlineStr">
        <is>
          <t>26052703</t>
        </is>
      </c>
      <c r="D10" s="25">
        <f>IF(C10="","",IF(COUNTIF(lst_Jobs,C10&amp;"")&gt;0,"OK","CHECK"))</f>
        <v/>
      </c>
      <c r="E10" s="25">
        <f>IF(C10="","",IFERROR(INDEX(lst_JobName,MATCH(C10&amp;"",lst_Jobs,0)),""))</f>
        <v/>
      </c>
      <c r="F10" s="25">
        <f>IF(C10="","",IFERROR(INDEX(tbl_Finance[Client],MATCH(C10&amp;"",tbl_Finance[Job Number],0)),""))</f>
        <v/>
      </c>
      <c r="G10" s="28">
        <f>IF(C10="","",COUNTIFS(tbl_Finance[Job Number],C10&amp;"",tbl_Finance[Ex GST],"&lt;&gt;"))</f>
        <v/>
      </c>
      <c r="H10" s="27">
        <f>IF(C10="","",SUMIFS(tbl_Finance[Ex GST],tbl_Finance[Job Number],C10&amp;""))</f>
        <v/>
      </c>
      <c r="I10" s="27">
        <f>IF(C10="","",SUMIFS(tbl_Finance[Ex GST],tbl_Finance[Job Number],C10&amp;"",tbl_Finance[Xero Invoice No],"&lt;&gt;"))</f>
        <v/>
      </c>
      <c r="J10" s="27">
        <f>IF(C10="","",H10-I10)</f>
        <v/>
      </c>
      <c r="K10" s="25">
        <f>IF(C10="","",IF(G10=0,"not invoiced yet",SUBSTITUTE(TRIM(IF(COUNTIFS(tbl_Finance[Job Number],C10&amp;"",tbl_Finance[Cost Centre],"ONSITE")&gt;0,"ONSITE ","")&amp;IF(COUNTIFS(tbl_Finance[Job Number],C10&amp;"",tbl_Finance[Cost Centre],"PRODUCTION")&gt;0,"PRODUCTION ","")&amp;IF(COUNTIFS(tbl_Finance[Job Number],C10&amp;"",tbl_Finance[Cost Centre],"VIDEO")&gt;0,"VIDEO ","")&amp;IF(COUNTIFS(tbl_Finance[Job Number],C10&amp;"",tbl_Finance[Cost Centre],"INTEGRATION")&gt;0,"INTEGRATION ","")&amp;IF(COUNTIFS(tbl_Finance[Job Number],C10&amp;"",tbl_Finance[Cost Centre],"CONSULTING")&gt;0,"CONSULTING ","")&amp;IF(COUNTIFS(tbl_Finance[Job Number],C10&amp;"",tbl_Finance[Cost Centre],"CTS")&gt;0,"CTS ",""))," ",", ")))</f>
        <v/>
      </c>
      <c r="L10" s="22" t="n">
        <v>46224</v>
      </c>
      <c r="M10" s="24" t="inlineStr">
        <is>
          <t>6034</t>
        </is>
      </c>
      <c r="N10" s="25">
        <f>IF(M10="","",IF(AND(LEFT(M10,4)&lt;&gt;"http",set_RMSBase=""),"",HYPERLINK(IF(LEFT(M10,4)="http",M10,set_RMSBase&amp;M10),"Open opportunity")))</f>
        <v/>
      </c>
      <c r="O10" s="25">
        <f>IF(C10="","",C10)</f>
        <v/>
      </c>
      <c r="P10" s="24" t="inlineStr">
        <is>
          <t>Y</t>
        </is>
      </c>
      <c r="Q10" s="26" t="n">
        <v>580</v>
      </c>
      <c r="R10" s="27">
        <f>IF(C10="","",H10+N(Q10))</f>
        <v/>
      </c>
      <c r="S10" s="29">
        <f>IFERROR(Q10/R10,"")</f>
        <v/>
      </c>
      <c r="T10" s="26" t="n">
        <v>631.5</v>
      </c>
      <c r="U10" s="26" t="n">
        <v>3148.7</v>
      </c>
      <c r="V10" s="27">
        <f>IF(C10="","",N(T10)+N(U10))</f>
        <v/>
      </c>
      <c r="W10" s="27">
        <f>IF(C10="","",H10-V10)</f>
        <v/>
      </c>
      <c r="X10" s="29">
        <f>IFERROR(W10/H10,"")</f>
        <v/>
      </c>
      <c r="Y10" s="64" t="n">
        <v>4</v>
      </c>
      <c r="Z10" s="64" t="n"/>
      <c r="AA10" s="64" t="n"/>
      <c r="AB10" s="64" t="n"/>
      <c r="AC10" s="64" t="n">
        <v>44</v>
      </c>
      <c r="AD10" s="24" t="n"/>
    </row>
    <row r="11" ht="15" customHeight="1">
      <c r="A11" s="63">
        <f>IF(C11="","",IFERROR(IF(SUMPRODUCT(MAX((tbl_Finance[Job Number]=C11&amp;"")*(tbl_Finance[Xero Invoice No]&lt;&gt;"")*tbl_Finance[Date]))=0,"",SUMPRODUCT(MAX((tbl_Finance[Job Number]=C11&amp;"")*(tbl_Finance[Xero Invoice No]&lt;&gt;"")*tbl_Finance[Date]))),""))</f>
        <v/>
      </c>
      <c r="B11" s="25">
        <f>IF(C11="","",IF(COUNTIFS(tbl_Finance[Job Number],C11&amp;"",tbl_Finance[Xero Invoice No],"&lt;&gt;")=0,"",IFERROR(IF(COUNTIFS(tbl_Finance[Job Number],C11&amp;"",tbl_Finance[Xero Invoice No],LOOKUP(2,1/((tbl_Finance[Job Number]=C11&amp;"")*(tbl_Finance[Xero Invoice No]&lt;&gt;"")),tbl_Finance[Xero Invoice No]))=COUNTIFS(tbl_Finance[Job Number],C11&amp;"",tbl_Finance[Xero Invoice No],"&lt;&gt;"),LOOKUP(2,1/((tbl_Finance[Job Number]=C11&amp;"")*(tbl_Finance[Xero Invoice No]&lt;&gt;"")),tbl_Finance[Xero Invoice No]),LOOKUP(2,1/((tbl_Finance[Job Number]=C11&amp;"")*(tbl_Finance[Xero Invoice No]&lt;&gt;"")),tbl_Finance[Xero Invoice No])&amp;" +more"),"")))</f>
        <v/>
      </c>
      <c r="C11" s="24" t="inlineStr">
        <is>
          <t>26041603</t>
        </is>
      </c>
      <c r="D11" s="25">
        <f>IF(C11="","",IF(COUNTIF(lst_Jobs,C11&amp;"")&gt;0,"OK","CHECK"))</f>
        <v/>
      </c>
      <c r="E11" s="25">
        <f>IF(C11="","",IFERROR(INDEX(lst_JobName,MATCH(C11&amp;"",lst_Jobs,0)),""))</f>
        <v/>
      </c>
      <c r="F11" s="25">
        <f>IF(C11="","",IFERROR(INDEX(tbl_Finance[Client],MATCH(C11&amp;"",tbl_Finance[Job Number],0)),""))</f>
        <v/>
      </c>
      <c r="G11" s="28">
        <f>IF(C11="","",COUNTIFS(tbl_Finance[Job Number],C11&amp;"",tbl_Finance[Ex GST],"&lt;&gt;"))</f>
        <v/>
      </c>
      <c r="H11" s="27">
        <f>IF(C11="","",SUMIFS(tbl_Finance[Ex GST],tbl_Finance[Job Number],C11&amp;""))</f>
        <v/>
      </c>
      <c r="I11" s="27">
        <f>IF(C11="","",SUMIFS(tbl_Finance[Ex GST],tbl_Finance[Job Number],C11&amp;"",tbl_Finance[Xero Invoice No],"&lt;&gt;"))</f>
        <v/>
      </c>
      <c r="J11" s="27">
        <f>IF(C11="","",H11-I11)</f>
        <v/>
      </c>
      <c r="K11" s="25">
        <f>IF(C11="","",IF(G11=0,"not invoiced yet",SUBSTITUTE(TRIM(IF(COUNTIFS(tbl_Finance[Job Number],C11&amp;"",tbl_Finance[Cost Centre],"ONSITE")&gt;0,"ONSITE ","")&amp;IF(COUNTIFS(tbl_Finance[Job Number],C11&amp;"",tbl_Finance[Cost Centre],"PRODUCTION")&gt;0,"PRODUCTION ","")&amp;IF(COUNTIFS(tbl_Finance[Job Number],C11&amp;"",tbl_Finance[Cost Centre],"VIDEO")&gt;0,"VIDEO ","")&amp;IF(COUNTIFS(tbl_Finance[Job Number],C11&amp;"",tbl_Finance[Cost Centre],"INTEGRATION")&gt;0,"INTEGRATION ","")&amp;IF(COUNTIFS(tbl_Finance[Job Number],C11&amp;"",tbl_Finance[Cost Centre],"CONSULTING")&gt;0,"CONSULTING ","")&amp;IF(COUNTIFS(tbl_Finance[Job Number],C11&amp;"",tbl_Finance[Cost Centre],"CTS")&gt;0,"CTS ",""))," ",", ")))</f>
        <v/>
      </c>
      <c r="L11" s="22" t="n">
        <v>46226</v>
      </c>
      <c r="M11" s="24" t="inlineStr">
        <is>
          <t>6085</t>
        </is>
      </c>
      <c r="N11" s="25">
        <f>IF(M11="","",IF(AND(LEFT(M11,4)&lt;&gt;"http",set_RMSBase=""),"",HYPERLINK(IF(LEFT(M11,4)="http",M11,set_RMSBase&amp;M11),"Open opportunity")))</f>
        <v/>
      </c>
      <c r="O11" s="25">
        <f>IF(C11="","",C11)</f>
        <v/>
      </c>
      <c r="P11" s="24" t="inlineStr">
        <is>
          <t>Y</t>
        </is>
      </c>
      <c r="Q11" s="26" t="n"/>
      <c r="R11" s="27">
        <f>IF(C11="","",H11+N(Q11))</f>
        <v/>
      </c>
      <c r="S11" s="29">
        <f>IFERROR(Q11/R11,"")</f>
        <v/>
      </c>
      <c r="T11" s="26" t="n"/>
      <c r="U11" s="26" t="n">
        <v>153.84</v>
      </c>
      <c r="V11" s="27">
        <f>IF(C11="","",N(T11)+N(U11))</f>
        <v/>
      </c>
      <c r="W11" s="27">
        <f>IF(C11="","",H11-V11)</f>
        <v/>
      </c>
      <c r="X11" s="29">
        <f>IFERROR(W11/H11,"")</f>
        <v/>
      </c>
      <c r="Y11" s="64" t="n"/>
      <c r="Z11" s="64" t="n"/>
      <c r="AA11" s="64" t="n"/>
      <c r="AB11" s="64" t="n"/>
      <c r="AC11" s="64" t="n">
        <v>4</v>
      </c>
      <c r="AD11" s="24" t="n"/>
    </row>
    <row r="12" ht="15" customHeight="1">
      <c r="A12" s="63">
        <f>IF(C12="","",IFERROR(IF(SUMPRODUCT(MAX((tbl_Finance[Job Number]=C12&amp;"")*(tbl_Finance[Xero Invoice No]&lt;&gt;"")*tbl_Finance[Date]))=0,"",SUMPRODUCT(MAX((tbl_Finance[Job Number]=C12&amp;"")*(tbl_Finance[Xero Invoice No]&lt;&gt;"")*tbl_Finance[Date]))),""))</f>
        <v/>
      </c>
      <c r="B12" s="25">
        <f>IF(C12="","",IF(COUNTIFS(tbl_Finance[Job Number],C12&amp;"",tbl_Finance[Xero Invoice No],"&lt;&gt;")=0,"",IFERROR(IF(COUNTIFS(tbl_Finance[Job Number],C12&amp;"",tbl_Finance[Xero Invoice No],LOOKUP(2,1/((tbl_Finance[Job Number]=C12&amp;"")*(tbl_Finance[Xero Invoice No]&lt;&gt;"")),tbl_Finance[Xero Invoice No]))=COUNTIFS(tbl_Finance[Job Number],C12&amp;"",tbl_Finance[Xero Invoice No],"&lt;&gt;"),LOOKUP(2,1/((tbl_Finance[Job Number]=C12&amp;"")*(tbl_Finance[Xero Invoice No]&lt;&gt;"")),tbl_Finance[Xero Invoice No]),LOOKUP(2,1/((tbl_Finance[Job Number]=C12&amp;"")*(tbl_Finance[Xero Invoice No]&lt;&gt;"")),tbl_Finance[Xero Invoice No])&amp;" +more"),"")))</f>
        <v/>
      </c>
      <c r="C12" s="24" t="inlineStr">
        <is>
          <t>2605403</t>
        </is>
      </c>
      <c r="D12" s="25">
        <f>IF(C12="","",IF(COUNTIF(lst_Jobs,C12&amp;"")&gt;0,"OK","CHECK"))</f>
        <v/>
      </c>
      <c r="E12" s="25">
        <f>IF(C12="","",IFERROR(INDEX(lst_JobName,MATCH(C12&amp;"",lst_Jobs,0)),""))</f>
        <v/>
      </c>
      <c r="F12" s="25">
        <f>IF(C12="","",IFERROR(INDEX(tbl_Finance[Client],MATCH(C12&amp;"",tbl_Finance[Job Number],0)),""))</f>
        <v/>
      </c>
      <c r="G12" s="28">
        <f>IF(C12="","",COUNTIFS(tbl_Finance[Job Number],C12&amp;"",tbl_Finance[Ex GST],"&lt;&gt;"))</f>
        <v/>
      </c>
      <c r="H12" s="27">
        <f>IF(C12="","",SUMIFS(tbl_Finance[Ex GST],tbl_Finance[Job Number],C12&amp;""))</f>
        <v/>
      </c>
      <c r="I12" s="27">
        <f>IF(C12="","",SUMIFS(tbl_Finance[Ex GST],tbl_Finance[Job Number],C12&amp;"",tbl_Finance[Xero Invoice No],"&lt;&gt;"))</f>
        <v/>
      </c>
      <c r="J12" s="27">
        <f>IF(C12="","",H12-I12)</f>
        <v/>
      </c>
      <c r="K12" s="25">
        <f>IF(C12="","",IF(G12=0,"not invoiced yet",SUBSTITUTE(TRIM(IF(COUNTIFS(tbl_Finance[Job Number],C12&amp;"",tbl_Finance[Cost Centre],"ONSITE")&gt;0,"ONSITE ","")&amp;IF(COUNTIFS(tbl_Finance[Job Number],C12&amp;"",tbl_Finance[Cost Centre],"PRODUCTION")&gt;0,"PRODUCTION ","")&amp;IF(COUNTIFS(tbl_Finance[Job Number],C12&amp;"",tbl_Finance[Cost Centre],"VIDEO")&gt;0,"VIDEO ","")&amp;IF(COUNTIFS(tbl_Finance[Job Number],C12&amp;"",tbl_Finance[Cost Centre],"INTEGRATION")&gt;0,"INTEGRATION ","")&amp;IF(COUNTIFS(tbl_Finance[Job Number],C12&amp;"",tbl_Finance[Cost Centre],"CONSULTING")&gt;0,"CONSULTING ","")&amp;IF(COUNTIFS(tbl_Finance[Job Number],C12&amp;"",tbl_Finance[Cost Centre],"CTS")&gt;0,"CTS ",""))," ",", ")))</f>
        <v/>
      </c>
      <c r="L12" s="22" t="n">
        <v>46226</v>
      </c>
      <c r="M12" s="24" t="inlineStr">
        <is>
          <t>5956</t>
        </is>
      </c>
      <c r="N12" s="25">
        <f>IF(M12="","",IF(AND(LEFT(M12,4)&lt;&gt;"http",set_RMSBase=""),"",HYPERLINK(IF(LEFT(M12,4)="http",M12,set_RMSBase&amp;M12),"Open opportunity")))</f>
        <v/>
      </c>
      <c r="O12" s="25">
        <f>IF(C12="","",C12)</f>
        <v/>
      </c>
      <c r="P12" s="24" t="inlineStr">
        <is>
          <t>Y</t>
        </is>
      </c>
      <c r="Q12" s="26" t="n">
        <v>839</v>
      </c>
      <c r="R12" s="27">
        <f>IF(C12="","",H12+N(Q12))</f>
        <v/>
      </c>
      <c r="S12" s="29">
        <f>IFERROR(Q12/R12,"")</f>
        <v/>
      </c>
      <c r="T12" s="26" t="n"/>
      <c r="U12" s="26" t="n">
        <v>1375.96</v>
      </c>
      <c r="V12" s="27">
        <f>IF(C12="","",N(T12)+N(U12))</f>
        <v/>
      </c>
      <c r="W12" s="27">
        <f>IF(C12="","",H12-V12)</f>
        <v/>
      </c>
      <c r="X12" s="29">
        <f>IFERROR(W12/H12,"")</f>
        <v/>
      </c>
      <c r="Y12" s="64" t="n"/>
      <c r="Z12" s="64" t="n"/>
      <c r="AA12" s="64" t="n"/>
      <c r="AB12" s="64" t="n"/>
      <c r="AC12" s="64" t="n">
        <v>16</v>
      </c>
      <c r="AD12" s="24" t="n"/>
    </row>
    <row r="13" ht="15" customHeight="1">
      <c r="A13" s="63">
        <f>IF(C13="","",IFERROR(IF(SUMPRODUCT(MAX((tbl_Finance[Job Number]=C13&amp;"")*(tbl_Finance[Xero Invoice No]&lt;&gt;"")*tbl_Finance[Date]))=0,"",SUMPRODUCT(MAX((tbl_Finance[Job Number]=C13&amp;"")*(tbl_Finance[Xero Invoice No]&lt;&gt;"")*tbl_Finance[Date]))),""))</f>
        <v/>
      </c>
      <c r="B13" s="25">
        <f>IF(C13="","",IF(COUNTIFS(tbl_Finance[Job Number],C13&amp;"",tbl_Finance[Xero Invoice No],"&lt;&gt;")=0,"",IFERROR(IF(COUNTIFS(tbl_Finance[Job Number],C13&amp;"",tbl_Finance[Xero Invoice No],LOOKUP(2,1/((tbl_Finance[Job Number]=C13&amp;"")*(tbl_Finance[Xero Invoice No]&lt;&gt;"")),tbl_Finance[Xero Invoice No]))=COUNTIFS(tbl_Finance[Job Number],C13&amp;"",tbl_Finance[Xero Invoice No],"&lt;&gt;"),LOOKUP(2,1/((tbl_Finance[Job Number]=C13&amp;"")*(tbl_Finance[Xero Invoice No]&lt;&gt;"")),tbl_Finance[Xero Invoice No]),LOOKUP(2,1/((tbl_Finance[Job Number]=C13&amp;"")*(tbl_Finance[Xero Invoice No]&lt;&gt;"")),tbl_Finance[Xero Invoice No])&amp;" +more"),"")))</f>
        <v/>
      </c>
      <c r="C13" s="24" t="inlineStr">
        <is>
          <t>2607901</t>
        </is>
      </c>
      <c r="D13" s="25">
        <f>IF(C13="","",IF(COUNTIF(lst_Jobs,C13&amp;"")&gt;0,"OK","CHECK"))</f>
        <v/>
      </c>
      <c r="E13" s="25">
        <f>IF(C13="","",IFERROR(INDEX(lst_JobName,MATCH(C13&amp;"",lst_Jobs,0)),""))</f>
        <v/>
      </c>
      <c r="F13" s="25">
        <f>IF(C13="","",IFERROR(INDEX(tbl_Finance[Client],MATCH(C13&amp;"",tbl_Finance[Job Number],0)),""))</f>
        <v/>
      </c>
      <c r="G13" s="28">
        <f>IF(C13="","",COUNTIFS(tbl_Finance[Job Number],C13&amp;"",tbl_Finance[Ex GST],"&lt;&gt;"))</f>
        <v/>
      </c>
      <c r="H13" s="27">
        <f>IF(C13="","",SUMIFS(tbl_Finance[Ex GST],tbl_Finance[Job Number],C13&amp;""))</f>
        <v/>
      </c>
      <c r="I13" s="27">
        <f>IF(C13="","",SUMIFS(tbl_Finance[Ex GST],tbl_Finance[Job Number],C13&amp;"",tbl_Finance[Xero Invoice No],"&lt;&gt;"))</f>
        <v/>
      </c>
      <c r="J13" s="27">
        <f>IF(C13="","",H13-I13)</f>
        <v/>
      </c>
      <c r="K13" s="25">
        <f>IF(C13="","",IF(G13=0,"not invoiced yet",SUBSTITUTE(TRIM(IF(COUNTIFS(tbl_Finance[Job Number],C13&amp;"",tbl_Finance[Cost Centre],"ONSITE")&gt;0,"ONSITE ","")&amp;IF(COUNTIFS(tbl_Finance[Job Number],C13&amp;"",tbl_Finance[Cost Centre],"PRODUCTION")&gt;0,"PRODUCTION ","")&amp;IF(COUNTIFS(tbl_Finance[Job Number],C13&amp;"",tbl_Finance[Cost Centre],"VIDEO")&gt;0,"VIDEO ","")&amp;IF(COUNTIFS(tbl_Finance[Job Number],C13&amp;"",tbl_Finance[Cost Centre],"INTEGRATION")&gt;0,"INTEGRATION ","")&amp;IF(COUNTIFS(tbl_Finance[Job Number],C13&amp;"",tbl_Finance[Cost Centre],"CONSULTING")&gt;0,"CONSULTING ","")&amp;IF(COUNTIFS(tbl_Finance[Job Number],C13&amp;"",tbl_Finance[Cost Centre],"CTS")&gt;0,"CTS ",""))," ",", ")))</f>
        <v/>
      </c>
      <c r="L13" s="22" t="n">
        <v>46226</v>
      </c>
      <c r="M13" s="24" t="inlineStr">
        <is>
          <t>6097</t>
        </is>
      </c>
      <c r="N13" s="25">
        <f>IF(M13="","",IF(AND(LEFT(M13,4)&lt;&gt;"http",set_RMSBase=""),"",HYPERLINK(IF(LEFT(M13,4)="http",M13,set_RMSBase&amp;M13),"Open opportunity")))</f>
        <v/>
      </c>
      <c r="O13" s="25">
        <f>IF(C13="","",C13)</f>
        <v/>
      </c>
      <c r="P13" s="24" t="inlineStr">
        <is>
          <t>Y</t>
        </is>
      </c>
      <c r="Q13" s="26" t="n">
        <v>95</v>
      </c>
      <c r="R13" s="27">
        <f>IF(C13="","",H13+N(Q13))</f>
        <v/>
      </c>
      <c r="S13" s="29">
        <f>IFERROR(Q13/R13,"")</f>
        <v/>
      </c>
      <c r="T13" s="26" t="n"/>
      <c r="U13" s="26" t="n">
        <v>453.31</v>
      </c>
      <c r="V13" s="27">
        <f>IF(C13="","",N(T13)+N(U13))</f>
        <v/>
      </c>
      <c r="W13" s="27">
        <f>IF(C13="","",H13-V13)</f>
        <v/>
      </c>
      <c r="X13" s="29">
        <f>IFERROR(W13/H13,"")</f>
        <v/>
      </c>
      <c r="Y13" s="64" t="n"/>
      <c r="Z13" s="64" t="n"/>
      <c r="AA13" s="64" t="n"/>
      <c r="AB13" s="64" t="n"/>
      <c r="AC13" s="64" t="n">
        <v>6</v>
      </c>
      <c r="AD13" s="24" t="n"/>
    </row>
    <row r="14" ht="15" customHeight="1">
      <c r="A14" s="63">
        <f>IF(C14="","",IFERROR(IF(SUMPRODUCT(MAX((tbl_Finance[Job Number]=C14&amp;"")*(tbl_Finance[Xero Invoice No]&lt;&gt;"")*tbl_Finance[Date]))=0,"",SUMPRODUCT(MAX((tbl_Finance[Job Number]=C14&amp;"")*(tbl_Finance[Xero Invoice No]&lt;&gt;"")*tbl_Finance[Date]))),""))</f>
        <v/>
      </c>
      <c r="B14" s="25">
        <f>IF(C14="","",IF(COUNTIFS(tbl_Finance[Job Number],C14&amp;"",tbl_Finance[Xero Invoice No],"&lt;&gt;")=0,"",IFERROR(IF(COUNTIFS(tbl_Finance[Job Number],C14&amp;"",tbl_Finance[Xero Invoice No],LOOKUP(2,1/((tbl_Finance[Job Number]=C14&amp;"")*(tbl_Finance[Xero Invoice No]&lt;&gt;"")),tbl_Finance[Xero Invoice No]))=COUNTIFS(tbl_Finance[Job Number],C14&amp;"",tbl_Finance[Xero Invoice No],"&lt;&gt;"),LOOKUP(2,1/((tbl_Finance[Job Number]=C14&amp;"")*(tbl_Finance[Xero Invoice No]&lt;&gt;"")),tbl_Finance[Xero Invoice No]),LOOKUP(2,1/((tbl_Finance[Job Number]=C14&amp;"")*(tbl_Finance[Xero Invoice No]&lt;&gt;"")),tbl_Finance[Xero Invoice No])&amp;" +more"),"")))</f>
        <v/>
      </c>
      <c r="C14" s="24" t="inlineStr">
        <is>
          <t>26063001</t>
        </is>
      </c>
      <c r="D14" s="25">
        <f>IF(C14="","",IF(COUNTIF(lst_Jobs,C14&amp;"")&gt;0,"OK","CHECK"))</f>
        <v/>
      </c>
      <c r="E14" s="25">
        <f>IF(C14="","",IFERROR(INDEX(lst_JobName,MATCH(C14&amp;"",lst_Jobs,0)),""))</f>
        <v/>
      </c>
      <c r="F14" s="25">
        <f>IF(C14="","",IFERROR(INDEX(tbl_Finance[Client],MATCH(C14&amp;"",tbl_Finance[Job Number],0)),""))</f>
        <v/>
      </c>
      <c r="G14" s="28">
        <f>IF(C14="","",COUNTIFS(tbl_Finance[Job Number],C14&amp;"",tbl_Finance[Ex GST],"&lt;&gt;"))</f>
        <v/>
      </c>
      <c r="H14" s="27">
        <f>IF(C14="","",SUMIFS(tbl_Finance[Ex GST],tbl_Finance[Job Number],C14&amp;""))</f>
        <v/>
      </c>
      <c r="I14" s="27">
        <f>IF(C14="","",SUMIFS(tbl_Finance[Ex GST],tbl_Finance[Job Number],C14&amp;"",tbl_Finance[Xero Invoice No],"&lt;&gt;"))</f>
        <v/>
      </c>
      <c r="J14" s="27">
        <f>IF(C14="","",H14-I14)</f>
        <v/>
      </c>
      <c r="K14" s="25">
        <f>IF(C14="","",IF(G14=0,"not invoiced yet",SUBSTITUTE(TRIM(IF(COUNTIFS(tbl_Finance[Job Number],C14&amp;"",tbl_Finance[Cost Centre],"ONSITE")&gt;0,"ONSITE ","")&amp;IF(COUNTIFS(tbl_Finance[Job Number],C14&amp;"",tbl_Finance[Cost Centre],"PRODUCTION")&gt;0,"PRODUCTION ","")&amp;IF(COUNTIFS(tbl_Finance[Job Number],C14&amp;"",tbl_Finance[Cost Centre],"VIDEO")&gt;0,"VIDEO ","")&amp;IF(COUNTIFS(tbl_Finance[Job Number],C14&amp;"",tbl_Finance[Cost Centre],"INTEGRATION")&gt;0,"INTEGRATION ","")&amp;IF(COUNTIFS(tbl_Finance[Job Number],C14&amp;"",tbl_Finance[Cost Centre],"CONSULTING")&gt;0,"CONSULTING ","")&amp;IF(COUNTIFS(tbl_Finance[Job Number],C14&amp;"",tbl_Finance[Cost Centre],"CTS")&gt;0,"CTS ",""))," ",", ")))</f>
        <v/>
      </c>
      <c r="L14" s="22" t="n">
        <v>46229</v>
      </c>
      <c r="M14" s="24" t="inlineStr">
        <is>
          <t>6114</t>
        </is>
      </c>
      <c r="N14" s="25">
        <f>IF(M14="","",IF(AND(LEFT(M14,4)&lt;&gt;"http",set_RMSBase=""),"",HYPERLINK(IF(LEFT(M14,4)="http",M14,set_RMSBase&amp;M14),"Open opportunity")))</f>
        <v/>
      </c>
      <c r="O14" s="25">
        <f>IF(C14="","",C14)</f>
        <v/>
      </c>
      <c r="P14" s="24" t="inlineStr">
        <is>
          <t>Y</t>
        </is>
      </c>
      <c r="Q14" s="26" t="n"/>
      <c r="R14" s="27">
        <f>IF(C14="","",H14+N(Q14))</f>
        <v/>
      </c>
      <c r="S14" s="29">
        <f>IFERROR(Q14/R14,"")</f>
        <v/>
      </c>
      <c r="T14" s="26" t="n">
        <v>850</v>
      </c>
      <c r="U14" s="26" t="n"/>
      <c r="V14" s="27">
        <f>IF(C14="","",N(T14)+N(U14))</f>
        <v/>
      </c>
      <c r="W14" s="27">
        <f>IF(C14="","",H14-V14)</f>
        <v/>
      </c>
      <c r="X14" s="29">
        <f>IFERROR(W14/H14,"")</f>
        <v/>
      </c>
      <c r="Y14" s="64" t="n"/>
      <c r="Z14" s="64" t="n"/>
      <c r="AA14" s="64" t="n"/>
      <c r="AB14" s="64" t="n"/>
      <c r="AC14" s="64" t="n"/>
      <c r="AD14" s="24" t="n"/>
    </row>
    <row r="15" ht="15" customHeight="1">
      <c r="A15" s="63">
        <f>IF(C15="","",IFERROR(IF(SUMPRODUCT(MAX((tbl_Finance[Job Number]=C15&amp;"")*(tbl_Finance[Xero Invoice No]&lt;&gt;"")*tbl_Finance[Date]))=0,"",SUMPRODUCT(MAX((tbl_Finance[Job Number]=C15&amp;"")*(tbl_Finance[Xero Invoice No]&lt;&gt;"")*tbl_Finance[Date]))),""))</f>
        <v/>
      </c>
      <c r="B15" s="25">
        <f>IF(C15="","",IF(COUNTIFS(tbl_Finance[Job Number],C15&amp;"",tbl_Finance[Xero Invoice No],"&lt;&gt;")=0,"",IFERROR(IF(COUNTIFS(tbl_Finance[Job Number],C15&amp;"",tbl_Finance[Xero Invoice No],LOOKUP(2,1/((tbl_Finance[Job Number]=C15&amp;"")*(tbl_Finance[Xero Invoice No]&lt;&gt;"")),tbl_Finance[Xero Invoice No]))=COUNTIFS(tbl_Finance[Job Number],C15&amp;"",tbl_Finance[Xero Invoice No],"&lt;&gt;"),LOOKUP(2,1/((tbl_Finance[Job Number]=C15&amp;"")*(tbl_Finance[Xero Invoice No]&lt;&gt;"")),tbl_Finance[Xero Invoice No]),LOOKUP(2,1/((tbl_Finance[Job Number]=C15&amp;"")*(tbl_Finance[Xero Invoice No]&lt;&gt;"")),tbl_Finance[Xero Invoice No])&amp;" +more"),"")))</f>
        <v/>
      </c>
      <c r="C15" s="24" t="inlineStr">
        <is>
          <t>2604202</t>
        </is>
      </c>
      <c r="D15" s="25">
        <f>IF(C15="","",IF(COUNTIF(lst_Jobs,C15&amp;"")&gt;0,"OK","CHECK"))</f>
        <v/>
      </c>
      <c r="E15" s="25">
        <f>IF(C15="","",IFERROR(INDEX(lst_JobName,MATCH(C15&amp;"",lst_Jobs,0)),""))</f>
        <v/>
      </c>
      <c r="F15" s="25">
        <f>IF(C15="","",IFERROR(INDEX(tbl_Finance[Client],MATCH(C15&amp;"",tbl_Finance[Job Number],0)),""))</f>
        <v/>
      </c>
      <c r="G15" s="28">
        <f>IF(C15="","",COUNTIFS(tbl_Finance[Job Number],C15&amp;"",tbl_Finance[Ex GST],"&lt;&gt;"))</f>
        <v/>
      </c>
      <c r="H15" s="27">
        <f>IF(C15="","",SUMIFS(tbl_Finance[Ex GST],tbl_Finance[Job Number],C15&amp;""))</f>
        <v/>
      </c>
      <c r="I15" s="27">
        <f>IF(C15="","",SUMIFS(tbl_Finance[Ex GST],tbl_Finance[Job Number],C15&amp;"",tbl_Finance[Xero Invoice No],"&lt;&gt;"))</f>
        <v/>
      </c>
      <c r="J15" s="27">
        <f>IF(C15="","",H15-I15)</f>
        <v/>
      </c>
      <c r="K15" s="25">
        <f>IF(C15="","",IF(G15=0,"not invoiced yet",SUBSTITUTE(TRIM(IF(COUNTIFS(tbl_Finance[Job Number],C15&amp;"",tbl_Finance[Cost Centre],"ONSITE")&gt;0,"ONSITE ","")&amp;IF(COUNTIFS(tbl_Finance[Job Number],C15&amp;"",tbl_Finance[Cost Centre],"PRODUCTION")&gt;0,"PRODUCTION ","")&amp;IF(COUNTIFS(tbl_Finance[Job Number],C15&amp;"",tbl_Finance[Cost Centre],"VIDEO")&gt;0,"VIDEO ","")&amp;IF(COUNTIFS(tbl_Finance[Job Number],C15&amp;"",tbl_Finance[Cost Centre],"INTEGRATION")&gt;0,"INTEGRATION ","")&amp;IF(COUNTIFS(tbl_Finance[Job Number],C15&amp;"",tbl_Finance[Cost Centre],"CONSULTING")&gt;0,"CONSULTING ","")&amp;IF(COUNTIFS(tbl_Finance[Job Number],C15&amp;"",tbl_Finance[Cost Centre],"CTS")&gt;0,"CTS ",""))," ",", ")))</f>
        <v/>
      </c>
      <c r="L15" s="22" t="n">
        <v>46231</v>
      </c>
      <c r="M15" s="24" t="inlineStr">
        <is>
          <t>6099</t>
        </is>
      </c>
      <c r="N15" s="25">
        <f>IF(M15="","",IF(AND(LEFT(M15,4)&lt;&gt;"http",set_RMSBase=""),"",HYPERLINK(IF(LEFT(M15,4)="http",M15,set_RMSBase&amp;M15),"Open opportunity")))</f>
        <v/>
      </c>
      <c r="O15" s="25">
        <f>IF(C15="","",C15)</f>
        <v/>
      </c>
      <c r="P15" s="24" t="inlineStr">
        <is>
          <t>Y</t>
        </is>
      </c>
      <c r="Q15" s="26" t="n">
        <v>4452.72</v>
      </c>
      <c r="R15" s="27">
        <f>IF(C15="","",H15+N(Q15))</f>
        <v/>
      </c>
      <c r="S15" s="29">
        <f>IFERROR(Q15/R15,"")</f>
        <v/>
      </c>
      <c r="T15" s="26" t="n">
        <v>19155.02</v>
      </c>
      <c r="U15" s="26" t="n">
        <v>462.23</v>
      </c>
      <c r="V15" s="27">
        <f>IF(C15="","",N(T15)+N(U15))</f>
        <v/>
      </c>
      <c r="W15" s="27">
        <f>IF(C15="","",H15-V15)</f>
        <v/>
      </c>
      <c r="X15" s="29">
        <f>IFERROR(W15/H15,"")</f>
        <v/>
      </c>
      <c r="Y15" s="64" t="n"/>
      <c r="Z15" s="64" t="n"/>
      <c r="AA15" s="64" t="n">
        <v>8</v>
      </c>
      <c r="AB15" s="64" t="n"/>
      <c r="AC15" s="64" t="n">
        <v>142</v>
      </c>
      <c r="AD15" s="24" t="n"/>
    </row>
    <row r="16" ht="15" customHeight="1">
      <c r="A16" s="63">
        <f>IF(C16="","",IFERROR(IF(SUMPRODUCT(MAX((tbl_Finance[Job Number]=C16&amp;"")*(tbl_Finance[Xero Invoice No]&lt;&gt;"")*tbl_Finance[Date]))=0,"",SUMPRODUCT(MAX((tbl_Finance[Job Number]=C16&amp;"")*(tbl_Finance[Xero Invoice No]&lt;&gt;"")*tbl_Finance[Date]))),""))</f>
        <v/>
      </c>
      <c r="B16" s="25">
        <f>IF(C16="","",IF(COUNTIFS(tbl_Finance[Job Number],C16&amp;"",tbl_Finance[Xero Invoice No],"&lt;&gt;")=0,"",IFERROR(IF(COUNTIFS(tbl_Finance[Job Number],C16&amp;"",tbl_Finance[Xero Invoice No],LOOKUP(2,1/((tbl_Finance[Job Number]=C16&amp;"")*(tbl_Finance[Xero Invoice No]&lt;&gt;"")),tbl_Finance[Xero Invoice No]))=COUNTIFS(tbl_Finance[Job Number],C16&amp;"",tbl_Finance[Xero Invoice No],"&lt;&gt;"),LOOKUP(2,1/((tbl_Finance[Job Number]=C16&amp;"")*(tbl_Finance[Xero Invoice No]&lt;&gt;"")),tbl_Finance[Xero Invoice No]),LOOKUP(2,1/((tbl_Finance[Job Number]=C16&amp;"")*(tbl_Finance[Xero Invoice No]&lt;&gt;"")),tbl_Finance[Xero Invoice No])&amp;" +more"),"")))</f>
        <v/>
      </c>
      <c r="C16" s="24" t="inlineStr">
        <is>
          <t>26062202</t>
        </is>
      </c>
      <c r="D16" s="25">
        <f>IF(C16="","",IF(COUNTIF(lst_Jobs,C16&amp;"")&gt;0,"OK","CHECK"))</f>
        <v/>
      </c>
      <c r="E16" s="25">
        <f>IF(C16="","",IFERROR(INDEX(lst_JobName,MATCH(C16&amp;"",lst_Jobs,0)),""))</f>
        <v/>
      </c>
      <c r="F16" s="25">
        <f>IF(C16="","",IFERROR(INDEX(tbl_Finance[Client],MATCH(C16&amp;"",tbl_Finance[Job Number],0)),""))</f>
        <v/>
      </c>
      <c r="G16" s="28">
        <f>IF(C16="","",COUNTIFS(tbl_Finance[Job Number],C16&amp;"",tbl_Finance[Ex GST],"&lt;&gt;"))</f>
        <v/>
      </c>
      <c r="H16" s="27">
        <f>IF(C16="","",SUMIFS(tbl_Finance[Ex GST],tbl_Finance[Job Number],C16&amp;""))</f>
        <v/>
      </c>
      <c r="I16" s="27">
        <f>IF(C16="","",SUMIFS(tbl_Finance[Ex GST],tbl_Finance[Job Number],C16&amp;"",tbl_Finance[Xero Invoice No],"&lt;&gt;"))</f>
        <v/>
      </c>
      <c r="J16" s="27">
        <f>IF(C16="","",H16-I16)</f>
        <v/>
      </c>
      <c r="K16" s="25">
        <f>IF(C16="","",IF(G16=0,"not invoiced yet",SUBSTITUTE(TRIM(IF(COUNTIFS(tbl_Finance[Job Number],C16&amp;"",tbl_Finance[Cost Centre],"ONSITE")&gt;0,"ONSITE ","")&amp;IF(COUNTIFS(tbl_Finance[Job Number],C16&amp;"",tbl_Finance[Cost Centre],"PRODUCTION")&gt;0,"PRODUCTION ","")&amp;IF(COUNTIFS(tbl_Finance[Job Number],C16&amp;"",tbl_Finance[Cost Centre],"VIDEO")&gt;0,"VIDEO ","")&amp;IF(COUNTIFS(tbl_Finance[Job Number],C16&amp;"",tbl_Finance[Cost Centre],"INTEGRATION")&gt;0,"INTEGRATION ","")&amp;IF(COUNTIFS(tbl_Finance[Job Number],C16&amp;"",tbl_Finance[Cost Centre],"CONSULTING")&gt;0,"CONSULTING ","")&amp;IF(COUNTIFS(tbl_Finance[Job Number],C16&amp;"",tbl_Finance[Cost Centre],"CTS")&gt;0,"CTS ",""))," ",", ")))</f>
        <v/>
      </c>
      <c r="L16" s="22" t="n">
        <v>46232</v>
      </c>
      <c r="M16" s="24" t="inlineStr">
        <is>
          <t>6075</t>
        </is>
      </c>
      <c r="N16" s="25">
        <f>IF(M16="","",IF(AND(LEFT(M16,4)&lt;&gt;"http",set_RMSBase=""),"",HYPERLINK(IF(LEFT(M16,4)="http",M16,set_RMSBase&amp;M16),"Open opportunity")))</f>
        <v/>
      </c>
      <c r="O16" s="25">
        <f>IF(C16="","",C16)</f>
        <v/>
      </c>
      <c r="P16" s="24" t="inlineStr">
        <is>
          <t>Y</t>
        </is>
      </c>
      <c r="Q16" s="26" t="n"/>
      <c r="R16" s="27">
        <f>IF(C16="","",H16+N(Q16))</f>
        <v/>
      </c>
      <c r="S16" s="29">
        <f>IFERROR(Q16/R16,"")</f>
        <v/>
      </c>
      <c r="T16" s="26" t="n"/>
      <c r="U16" s="26" t="n">
        <v>812.09</v>
      </c>
      <c r="V16" s="27">
        <f>IF(C16="","",N(T16)+N(U16))</f>
        <v/>
      </c>
      <c r="W16" s="27">
        <f>IF(C16="","",H16-V16)</f>
        <v/>
      </c>
      <c r="X16" s="29">
        <f>IFERROR(W16/H16,"")</f>
        <v/>
      </c>
      <c r="Y16" s="64" t="n">
        <v>8</v>
      </c>
      <c r="Z16" s="64" t="n"/>
      <c r="AA16" s="64" t="n">
        <v>1</v>
      </c>
      <c r="AB16" s="64" t="n"/>
      <c r="AC16" s="64" t="n">
        <v>8</v>
      </c>
      <c r="AD16" s="24" t="n"/>
    </row>
    <row r="17" ht="15" customHeight="1">
      <c r="A17" s="63">
        <f>IF(C17="","",IFERROR(IF(SUMPRODUCT(MAX((tbl_Finance[Job Number]=C17&amp;"")*(tbl_Finance[Xero Invoice No]&lt;&gt;"")*tbl_Finance[Date]))=0,"",SUMPRODUCT(MAX((tbl_Finance[Job Number]=C17&amp;"")*(tbl_Finance[Xero Invoice No]&lt;&gt;"")*tbl_Finance[Date]))),""))</f>
        <v/>
      </c>
      <c r="B17" s="25">
        <f>IF(C17="","",IF(COUNTIFS(tbl_Finance[Job Number],C17&amp;"",tbl_Finance[Xero Invoice No],"&lt;&gt;")=0,"",IFERROR(IF(COUNTIFS(tbl_Finance[Job Number],C17&amp;"",tbl_Finance[Xero Invoice No],LOOKUP(2,1/((tbl_Finance[Job Number]=C17&amp;"")*(tbl_Finance[Xero Invoice No]&lt;&gt;"")),tbl_Finance[Xero Invoice No]))=COUNTIFS(tbl_Finance[Job Number],C17&amp;"",tbl_Finance[Xero Invoice No],"&lt;&gt;"),LOOKUP(2,1/((tbl_Finance[Job Number]=C17&amp;"")*(tbl_Finance[Xero Invoice No]&lt;&gt;"")),tbl_Finance[Xero Invoice No]),LOOKUP(2,1/((tbl_Finance[Job Number]=C17&amp;"")*(tbl_Finance[Xero Invoice No]&lt;&gt;"")),tbl_Finance[Xero Invoice No])&amp;" +more"),"")))</f>
        <v/>
      </c>
      <c r="C17" s="24" t="inlineStr">
        <is>
          <t>26071303</t>
        </is>
      </c>
      <c r="D17" s="25">
        <f>IF(C17="","",IF(COUNTIF(lst_Jobs,C17&amp;"")&gt;0,"OK","CHECK"))</f>
        <v/>
      </c>
      <c r="E17" s="25">
        <f>IF(C17="","",IFERROR(INDEX(lst_JobName,MATCH(C17&amp;"",lst_Jobs,0)),""))</f>
        <v/>
      </c>
      <c r="F17" s="25">
        <f>IF(C17="","",IFERROR(INDEX(tbl_Finance[Client],MATCH(C17&amp;"",tbl_Finance[Job Number],0)),""))</f>
        <v/>
      </c>
      <c r="G17" s="28">
        <f>IF(C17="","",COUNTIFS(tbl_Finance[Job Number],C17&amp;"",tbl_Finance[Ex GST],"&lt;&gt;"))</f>
        <v/>
      </c>
      <c r="H17" s="27">
        <f>IF(C17="","",SUMIFS(tbl_Finance[Ex GST],tbl_Finance[Job Number],C17&amp;""))</f>
        <v/>
      </c>
      <c r="I17" s="27">
        <f>IF(C17="","",SUMIFS(tbl_Finance[Ex GST],tbl_Finance[Job Number],C17&amp;"",tbl_Finance[Xero Invoice No],"&lt;&gt;"))</f>
        <v/>
      </c>
      <c r="J17" s="27">
        <f>IF(C17="","",H17-I17)</f>
        <v/>
      </c>
      <c r="K17" s="25">
        <f>IF(C17="","",IF(G17=0,"not invoiced yet",SUBSTITUTE(TRIM(IF(COUNTIFS(tbl_Finance[Job Number],C17&amp;"",tbl_Finance[Cost Centre],"ONSITE")&gt;0,"ONSITE ","")&amp;IF(COUNTIFS(tbl_Finance[Job Number],C17&amp;"",tbl_Finance[Cost Centre],"PRODUCTION")&gt;0,"PRODUCTION ","")&amp;IF(COUNTIFS(tbl_Finance[Job Number],C17&amp;"",tbl_Finance[Cost Centre],"VIDEO")&gt;0,"VIDEO ","")&amp;IF(COUNTIFS(tbl_Finance[Job Number],C17&amp;"",tbl_Finance[Cost Centre],"INTEGRATION")&gt;0,"INTEGRATION ","")&amp;IF(COUNTIFS(tbl_Finance[Job Number],C17&amp;"",tbl_Finance[Cost Centre],"CONSULTING")&gt;0,"CONSULTING ","")&amp;IF(COUNTIFS(tbl_Finance[Job Number],C17&amp;"",tbl_Finance[Cost Centre],"CTS")&gt;0,"CTS ",""))," ",", ")))</f>
        <v/>
      </c>
      <c r="L17" s="22" t="n">
        <v>46233</v>
      </c>
      <c r="M17" s="24" t="inlineStr">
        <is>
          <t>6125</t>
        </is>
      </c>
      <c r="N17" s="25">
        <f>IF(M17="","",IF(AND(LEFT(M17,4)&lt;&gt;"http",set_RMSBase=""),"",HYPERLINK(IF(LEFT(M17,4)="http",M17,set_RMSBase&amp;M17),"Open opportunity")))</f>
        <v/>
      </c>
      <c r="O17" s="25">
        <f>IF(C17="","",C17)</f>
        <v/>
      </c>
      <c r="P17" s="24" t="inlineStr">
        <is>
          <t>Y</t>
        </is>
      </c>
      <c r="Q17" s="26" t="n"/>
      <c r="R17" s="27">
        <f>IF(C17="","",H17+N(Q17))</f>
        <v/>
      </c>
      <c r="S17" s="29">
        <f>IFERROR(Q17/R17,"")</f>
        <v/>
      </c>
      <c r="T17" s="26" t="n">
        <v>9487</v>
      </c>
      <c r="U17" s="26" t="n">
        <v>283.18</v>
      </c>
      <c r="V17" s="27">
        <f>IF(C17="","",N(T17)+N(U17))</f>
        <v/>
      </c>
      <c r="W17" s="27">
        <f>IF(C17="","",H17-V17)</f>
        <v/>
      </c>
      <c r="X17" s="29">
        <f>IFERROR(W17/H17,"")</f>
        <v/>
      </c>
      <c r="Y17" s="64" t="n"/>
      <c r="Z17" s="64" t="n"/>
      <c r="AA17" s="64" t="n"/>
      <c r="AB17" s="64" t="n"/>
      <c r="AC17" s="64" t="n">
        <v>40</v>
      </c>
      <c r="AD17" s="24" t="n"/>
    </row>
    <row r="18" ht="15" customHeight="1">
      <c r="A18" s="63">
        <f>IF(C18="","",IFERROR(IF(SUMPRODUCT(MAX((tbl_Finance[Job Number]=C18&amp;"")*(tbl_Finance[Xero Invoice No]&lt;&gt;"")*tbl_Finance[Date]))=0,"",SUMPRODUCT(MAX((tbl_Finance[Job Number]=C18&amp;"")*(tbl_Finance[Xero Invoice No]&lt;&gt;"")*tbl_Finance[Date]))),""))</f>
        <v/>
      </c>
      <c r="B18" s="25">
        <f>IF(C18="","",IF(COUNTIFS(tbl_Finance[Job Number],C18&amp;"",tbl_Finance[Xero Invoice No],"&lt;&gt;")=0,"",IFERROR(IF(COUNTIFS(tbl_Finance[Job Number],C18&amp;"",tbl_Finance[Xero Invoice No],LOOKUP(2,1/((tbl_Finance[Job Number]=C18&amp;"")*(tbl_Finance[Xero Invoice No]&lt;&gt;"")),tbl_Finance[Xero Invoice No]))=COUNTIFS(tbl_Finance[Job Number],C18&amp;"",tbl_Finance[Xero Invoice No],"&lt;&gt;"),LOOKUP(2,1/((tbl_Finance[Job Number]=C18&amp;"")*(tbl_Finance[Xero Invoice No]&lt;&gt;"")),tbl_Finance[Xero Invoice No]),LOOKUP(2,1/((tbl_Finance[Job Number]=C18&amp;"")*(tbl_Finance[Xero Invoice No]&lt;&gt;"")),tbl_Finance[Xero Invoice No])&amp;" +more"),"")))</f>
        <v/>
      </c>
      <c r="C18" s="24" t="inlineStr">
        <is>
          <t>26061702</t>
        </is>
      </c>
      <c r="D18" s="25">
        <f>IF(C18="","",IF(COUNTIF(lst_Jobs,C18&amp;"")&gt;0,"OK","CHECK"))</f>
        <v/>
      </c>
      <c r="E18" s="25">
        <f>IF(C18="","",IFERROR(INDEX(lst_JobName,MATCH(C18&amp;"",lst_Jobs,0)),""))</f>
        <v/>
      </c>
      <c r="F18" s="25">
        <f>IF(C18="","",IFERROR(INDEX(tbl_Finance[Client],MATCH(C18&amp;"",tbl_Finance[Job Number],0)),""))</f>
        <v/>
      </c>
      <c r="G18" s="28">
        <f>IF(C18="","",COUNTIFS(tbl_Finance[Job Number],C18&amp;"",tbl_Finance[Ex GST],"&lt;&gt;"))</f>
        <v/>
      </c>
      <c r="H18" s="27">
        <f>IF(C18="","",SUMIFS(tbl_Finance[Ex GST],tbl_Finance[Job Number],C18&amp;""))</f>
        <v/>
      </c>
      <c r="I18" s="27">
        <f>IF(C18="","",SUMIFS(tbl_Finance[Ex GST],tbl_Finance[Job Number],C18&amp;"",tbl_Finance[Xero Invoice No],"&lt;&gt;"))</f>
        <v/>
      </c>
      <c r="J18" s="27">
        <f>IF(C18="","",H18-I18)</f>
        <v/>
      </c>
      <c r="K18" s="25">
        <f>IF(C18="","",IF(G18=0,"not invoiced yet",SUBSTITUTE(TRIM(IF(COUNTIFS(tbl_Finance[Job Number],C18&amp;"",tbl_Finance[Cost Centre],"ONSITE")&gt;0,"ONSITE ","")&amp;IF(COUNTIFS(tbl_Finance[Job Number],C18&amp;"",tbl_Finance[Cost Centre],"PRODUCTION")&gt;0,"PRODUCTION ","")&amp;IF(COUNTIFS(tbl_Finance[Job Number],C18&amp;"",tbl_Finance[Cost Centre],"VIDEO")&gt;0,"VIDEO ","")&amp;IF(COUNTIFS(tbl_Finance[Job Number],C18&amp;"",tbl_Finance[Cost Centre],"INTEGRATION")&gt;0,"INTEGRATION ","")&amp;IF(COUNTIFS(tbl_Finance[Job Number],C18&amp;"",tbl_Finance[Cost Centre],"CONSULTING")&gt;0,"CONSULTING ","")&amp;IF(COUNTIFS(tbl_Finance[Job Number],C18&amp;"",tbl_Finance[Cost Centre],"CTS")&gt;0,"CTS ",""))," ",", ")))</f>
        <v/>
      </c>
      <c r="L18" s="22" t="n">
        <v>46234</v>
      </c>
      <c r="M18" s="24" t="inlineStr">
        <is>
          <t>6066</t>
        </is>
      </c>
      <c r="N18" s="25">
        <f>IF(M18="","",IF(AND(LEFT(M18,4)&lt;&gt;"http",set_RMSBase=""),"",HYPERLINK(IF(LEFT(M18,4)="http",M18,set_RMSBase&amp;M18),"Open opportunity")))</f>
        <v/>
      </c>
      <c r="O18" s="25">
        <f>IF(C18="","",C18)</f>
        <v/>
      </c>
      <c r="P18" s="24" t="inlineStr">
        <is>
          <t>Y</t>
        </is>
      </c>
      <c r="Q18" s="26" t="n"/>
      <c r="R18" s="27">
        <f>IF(C18="","",H18+N(Q18))</f>
        <v/>
      </c>
      <c r="S18" s="29">
        <f>IFERROR(Q18/R18,"")</f>
        <v/>
      </c>
      <c r="T18" s="26" t="n"/>
      <c r="U18" s="26" t="n">
        <v>626.92</v>
      </c>
      <c r="V18" s="27">
        <f>IF(C18="","",N(T18)+N(U18))</f>
        <v/>
      </c>
      <c r="W18" s="27">
        <f>IF(C18="","",H18-V18)</f>
        <v/>
      </c>
      <c r="X18" s="29">
        <f>IFERROR(W18/H18,"")</f>
        <v/>
      </c>
      <c r="Y18" s="64" t="n"/>
      <c r="Z18" s="64" t="n"/>
      <c r="AA18" s="64" t="n"/>
      <c r="AB18" s="64" t="n"/>
      <c r="AC18" s="64" t="n">
        <v>10</v>
      </c>
      <c r="AD18" s="24" t="n"/>
    </row>
    <row r="19" ht="15" customHeight="1">
      <c r="A19" s="63">
        <f>IF(C19="","",IFERROR(IF(SUMPRODUCT(MAX((tbl_Finance[Job Number]=C19&amp;"")*(tbl_Finance[Xero Invoice No]&lt;&gt;"")*tbl_Finance[Date]))=0,"",SUMPRODUCT(MAX((tbl_Finance[Job Number]=C19&amp;"")*(tbl_Finance[Xero Invoice No]&lt;&gt;"")*tbl_Finance[Date]))),""))</f>
        <v/>
      </c>
      <c r="B19" s="25">
        <f>IF(C19="","",IF(COUNTIFS(tbl_Finance[Job Number],C19&amp;"",tbl_Finance[Xero Invoice No],"&lt;&gt;")=0,"",IFERROR(IF(COUNTIFS(tbl_Finance[Job Number],C19&amp;"",tbl_Finance[Xero Invoice No],LOOKUP(2,1/((tbl_Finance[Job Number]=C19&amp;"")*(tbl_Finance[Xero Invoice No]&lt;&gt;"")),tbl_Finance[Xero Invoice No]))=COUNTIFS(tbl_Finance[Job Number],C19&amp;"",tbl_Finance[Xero Invoice No],"&lt;&gt;"),LOOKUP(2,1/((tbl_Finance[Job Number]=C19&amp;"")*(tbl_Finance[Xero Invoice No]&lt;&gt;"")),tbl_Finance[Xero Invoice No]),LOOKUP(2,1/((tbl_Finance[Job Number]=C19&amp;"")*(tbl_Finance[Xero Invoice No]&lt;&gt;"")),tbl_Finance[Xero Invoice No])&amp;" +more"),"")))</f>
        <v/>
      </c>
      <c r="C19" s="24" t="inlineStr">
        <is>
          <t>26061701</t>
        </is>
      </c>
      <c r="D19" s="25">
        <f>IF(C19="","",IF(COUNTIF(lst_Jobs,C19&amp;"")&gt;0,"OK","CHECK"))</f>
        <v/>
      </c>
      <c r="E19" s="25">
        <f>IF(C19="","",IFERROR(INDEX(lst_JobName,MATCH(C19&amp;"",lst_Jobs,0)),""))</f>
        <v/>
      </c>
      <c r="F19" s="25">
        <f>IF(C19="","",IFERROR(INDEX(tbl_Finance[Client],MATCH(C19&amp;"",tbl_Finance[Job Number],0)),""))</f>
        <v/>
      </c>
      <c r="G19" s="28">
        <f>IF(C19="","",COUNTIFS(tbl_Finance[Job Number],C19&amp;"",tbl_Finance[Ex GST],"&lt;&gt;"))</f>
        <v/>
      </c>
      <c r="H19" s="27">
        <f>IF(C19="","",SUMIFS(tbl_Finance[Ex GST],tbl_Finance[Job Number],C19&amp;""))</f>
        <v/>
      </c>
      <c r="I19" s="27">
        <f>IF(C19="","",SUMIFS(tbl_Finance[Ex GST],tbl_Finance[Job Number],C19&amp;"",tbl_Finance[Xero Invoice No],"&lt;&gt;"))</f>
        <v/>
      </c>
      <c r="J19" s="27">
        <f>IF(C19="","",H19-I19)</f>
        <v/>
      </c>
      <c r="K19" s="25">
        <f>IF(C19="","",IF(G19=0,"not invoiced yet",SUBSTITUTE(TRIM(IF(COUNTIFS(tbl_Finance[Job Number],C19&amp;"",tbl_Finance[Cost Centre],"ONSITE")&gt;0,"ONSITE ","")&amp;IF(COUNTIFS(tbl_Finance[Job Number],C19&amp;"",tbl_Finance[Cost Centre],"PRODUCTION")&gt;0,"PRODUCTION ","")&amp;IF(COUNTIFS(tbl_Finance[Job Number],C19&amp;"",tbl_Finance[Cost Centre],"VIDEO")&gt;0,"VIDEO ","")&amp;IF(COUNTIFS(tbl_Finance[Job Number],C19&amp;"",tbl_Finance[Cost Centre],"INTEGRATION")&gt;0,"INTEGRATION ","")&amp;IF(COUNTIFS(tbl_Finance[Job Number],C19&amp;"",tbl_Finance[Cost Centre],"CONSULTING")&gt;0,"CONSULTING ","")&amp;IF(COUNTIFS(tbl_Finance[Job Number],C19&amp;"",tbl_Finance[Cost Centre],"CTS")&gt;0,"CTS ",""))," ",", ")))</f>
        <v/>
      </c>
      <c r="L19" s="22" t="n">
        <v>46234</v>
      </c>
      <c r="M19" s="24" t="inlineStr">
        <is>
          <t>6145</t>
        </is>
      </c>
      <c r="N19" s="25">
        <f>IF(M19="","",IF(AND(LEFT(M19,4)&lt;&gt;"http",set_RMSBase=""),"",HYPERLINK(IF(LEFT(M19,4)="http",M19,set_RMSBase&amp;M19),"Open opportunity")))</f>
        <v/>
      </c>
      <c r="O19" s="25">
        <f>IF(C19="","",C19)</f>
        <v/>
      </c>
      <c r="P19" s="24" t="inlineStr">
        <is>
          <t>Y</t>
        </is>
      </c>
      <c r="Q19" s="26" t="n"/>
      <c r="R19" s="27">
        <f>IF(C19="","",H19+N(Q19))</f>
        <v/>
      </c>
      <c r="S19" s="29">
        <f>IFERROR(Q19/R19,"")</f>
        <v/>
      </c>
      <c r="T19" s="26" t="n"/>
      <c r="U19" s="26" t="n"/>
      <c r="V19" s="27">
        <f>IF(C19="","",N(T19)+N(U19))</f>
        <v/>
      </c>
      <c r="W19" s="27">
        <f>IF(C19="","",H19-V19)</f>
        <v/>
      </c>
      <c r="X19" s="29">
        <f>IFERROR(W19/H19,"")</f>
        <v/>
      </c>
      <c r="Y19" s="64" t="n"/>
      <c r="Z19" s="64" t="n"/>
      <c r="AA19" s="64" t="n"/>
      <c r="AB19" s="64" t="n"/>
      <c r="AC19" s="64" t="n"/>
      <c r="AD19" s="24" t="n"/>
    </row>
    <row r="20" ht="15" customHeight="1">
      <c r="A20" s="63">
        <f>IF(C20="","",IFERROR(IF(SUMPRODUCT(MAX((tbl_Finance[Job Number]=C20&amp;"")*(tbl_Finance[Xero Invoice No]&lt;&gt;"")*tbl_Finance[Date]))=0,"",SUMPRODUCT(MAX((tbl_Finance[Job Number]=C20&amp;"")*(tbl_Finance[Xero Invoice No]&lt;&gt;"")*tbl_Finance[Date]))),""))</f>
        <v/>
      </c>
      <c r="B20" s="25">
        <f>IF(C20="","",IF(COUNTIFS(tbl_Finance[Job Number],C20&amp;"",tbl_Finance[Xero Invoice No],"&lt;&gt;")=0,"",IFERROR(IF(COUNTIFS(tbl_Finance[Job Number],C20&amp;"",tbl_Finance[Xero Invoice No],LOOKUP(2,1/((tbl_Finance[Job Number]=C20&amp;"")*(tbl_Finance[Xero Invoice No]&lt;&gt;"")),tbl_Finance[Xero Invoice No]))=COUNTIFS(tbl_Finance[Job Number],C20&amp;"",tbl_Finance[Xero Invoice No],"&lt;&gt;"),LOOKUP(2,1/((tbl_Finance[Job Number]=C20&amp;"")*(tbl_Finance[Xero Invoice No]&lt;&gt;"")),tbl_Finance[Xero Invoice No]),LOOKUP(2,1/((tbl_Finance[Job Number]=C20&amp;"")*(tbl_Finance[Xero Invoice No]&lt;&gt;"")),tbl_Finance[Xero Invoice No])&amp;" +more"),"")))</f>
        <v/>
      </c>
      <c r="C20" s="24" t="inlineStr">
        <is>
          <t>2512804</t>
        </is>
      </c>
      <c r="D20" s="25">
        <f>IF(C20="","",IF(COUNTIF(lst_Jobs,C20&amp;"")&gt;0,"OK","CHECK"))</f>
        <v/>
      </c>
      <c r="E20" s="25">
        <f>IF(C20="","",IFERROR(INDEX(lst_JobName,MATCH(C20&amp;"",lst_Jobs,0)),""))</f>
        <v/>
      </c>
      <c r="F20" s="25">
        <f>IF(C20="","",IFERROR(INDEX(tbl_Finance[Client],MATCH(C20&amp;"",tbl_Finance[Job Number],0)),""))</f>
        <v/>
      </c>
      <c r="G20" s="28">
        <f>IF(C20="","",COUNTIFS(tbl_Finance[Job Number],C20&amp;"",tbl_Finance[Ex GST],"&lt;&gt;"))</f>
        <v/>
      </c>
      <c r="H20" s="27">
        <f>IF(C20="","",SUMIFS(tbl_Finance[Ex GST],tbl_Finance[Job Number],C20&amp;""))</f>
        <v/>
      </c>
      <c r="I20" s="27">
        <f>IF(C20="","",SUMIFS(tbl_Finance[Ex GST],tbl_Finance[Job Number],C20&amp;"",tbl_Finance[Xero Invoice No],"&lt;&gt;"))</f>
        <v/>
      </c>
      <c r="J20" s="27">
        <f>IF(C20="","",H20-I20)</f>
        <v/>
      </c>
      <c r="K20" s="25">
        <f>IF(C20="","",IF(G20=0,"not invoiced yet",SUBSTITUTE(TRIM(IF(COUNTIFS(tbl_Finance[Job Number],C20&amp;"",tbl_Finance[Cost Centre],"ONSITE")&gt;0,"ONSITE ","")&amp;IF(COUNTIFS(tbl_Finance[Job Number],C20&amp;"",tbl_Finance[Cost Centre],"PRODUCTION")&gt;0,"PRODUCTION ","")&amp;IF(COUNTIFS(tbl_Finance[Job Number],C20&amp;"",tbl_Finance[Cost Centre],"VIDEO")&gt;0,"VIDEO ","")&amp;IF(COUNTIFS(tbl_Finance[Job Number],C20&amp;"",tbl_Finance[Cost Centre],"INTEGRATION")&gt;0,"INTEGRATION ","")&amp;IF(COUNTIFS(tbl_Finance[Job Number],C20&amp;"",tbl_Finance[Cost Centre],"CONSULTING")&gt;0,"CONSULTING ","")&amp;IF(COUNTIFS(tbl_Finance[Job Number],C20&amp;"",tbl_Finance[Cost Centre],"CTS")&gt;0,"CTS ",""))," ",", ")))</f>
        <v/>
      </c>
      <c r="L20" s="22" t="n">
        <v>46239</v>
      </c>
      <c r="M20" s="24" t="inlineStr">
        <is>
          <t>5826</t>
        </is>
      </c>
      <c r="N20" s="25">
        <f>IF(M20="","",IF(AND(LEFT(M20,4)&lt;&gt;"http",set_RMSBase=""),"",HYPERLINK(IF(LEFT(M20,4)="http",M20,set_RMSBase&amp;M20),"Open opportunity")))</f>
        <v/>
      </c>
      <c r="O20" s="25">
        <f>IF(C20="","",C20)</f>
        <v/>
      </c>
      <c r="P20" s="24" t="inlineStr">
        <is>
          <t>Y</t>
        </is>
      </c>
      <c r="Q20" s="26" t="n">
        <v>334</v>
      </c>
      <c r="R20" s="27">
        <f>IF(C20="","",H20+N(Q20))</f>
        <v/>
      </c>
      <c r="S20" s="29">
        <f>IFERROR(Q20/R20,"")</f>
        <v/>
      </c>
      <c r="T20" s="26" t="n"/>
      <c r="U20" s="26" t="n"/>
      <c r="V20" s="27">
        <f>IF(C20="","",N(T20)+N(U20))</f>
        <v/>
      </c>
      <c r="W20" s="27">
        <f>IF(C20="","",H20-V20)</f>
        <v/>
      </c>
      <c r="X20" s="29">
        <f>IFERROR(W20/H20,"")</f>
        <v/>
      </c>
      <c r="Y20" s="64" t="n">
        <v>4</v>
      </c>
      <c r="Z20" s="64" t="n"/>
      <c r="AA20" s="64" t="n"/>
      <c r="AB20" s="64" t="n"/>
      <c r="AC20" s="64" t="n">
        <v>12</v>
      </c>
      <c r="AD20" s="24" t="n"/>
    </row>
    <row r="21" ht="15" customHeight="1">
      <c r="A21" s="63">
        <f>IF(C21="","",IFERROR(IF(SUMPRODUCT(MAX((tbl_Finance[Job Number]=C21&amp;"")*(tbl_Finance[Xero Invoice No]&lt;&gt;"")*tbl_Finance[Date]))=0,"",SUMPRODUCT(MAX((tbl_Finance[Job Number]=C21&amp;"")*(tbl_Finance[Xero Invoice No]&lt;&gt;"")*tbl_Finance[Date]))),""))</f>
        <v/>
      </c>
      <c r="B21" s="25">
        <f>IF(C21="","",IF(COUNTIFS(tbl_Finance[Job Number],C21&amp;"",tbl_Finance[Xero Invoice No],"&lt;&gt;")=0,"",IFERROR(IF(COUNTIFS(tbl_Finance[Job Number],C21&amp;"",tbl_Finance[Xero Invoice No],LOOKUP(2,1/((tbl_Finance[Job Number]=C21&amp;"")*(tbl_Finance[Xero Invoice No]&lt;&gt;"")),tbl_Finance[Xero Invoice No]))=COUNTIFS(tbl_Finance[Job Number],C21&amp;"",tbl_Finance[Xero Invoice No],"&lt;&gt;"),LOOKUP(2,1/((tbl_Finance[Job Number]=C21&amp;"")*(tbl_Finance[Xero Invoice No]&lt;&gt;"")),tbl_Finance[Xero Invoice No]),LOOKUP(2,1/((tbl_Finance[Job Number]=C21&amp;"")*(tbl_Finance[Xero Invoice No]&lt;&gt;"")),tbl_Finance[Xero Invoice No])&amp;" +more"),"")))</f>
        <v/>
      </c>
      <c r="C21" s="24" t="inlineStr">
        <is>
          <t>2607703</t>
        </is>
      </c>
      <c r="D21" s="25">
        <f>IF(C21="","",IF(COUNTIF(lst_Jobs,C21&amp;"")&gt;0,"OK","CHECK"))</f>
        <v/>
      </c>
      <c r="E21" s="25">
        <f>IF(C21="","",IFERROR(INDEX(lst_JobName,MATCH(C21&amp;"",lst_Jobs,0)),""))</f>
        <v/>
      </c>
      <c r="F21" s="25">
        <f>IF(C21="","",IFERROR(INDEX(tbl_Finance[Client],MATCH(C21&amp;"",tbl_Finance[Job Number],0)),""))</f>
        <v/>
      </c>
      <c r="G21" s="28">
        <f>IF(C21="","",COUNTIFS(tbl_Finance[Job Number],C21&amp;"",tbl_Finance[Ex GST],"&lt;&gt;"))</f>
        <v/>
      </c>
      <c r="H21" s="27">
        <f>IF(C21="","",SUMIFS(tbl_Finance[Ex GST],tbl_Finance[Job Number],C21&amp;""))</f>
        <v/>
      </c>
      <c r="I21" s="27">
        <f>IF(C21="","",SUMIFS(tbl_Finance[Ex GST],tbl_Finance[Job Number],C21&amp;"",tbl_Finance[Xero Invoice No],"&lt;&gt;"))</f>
        <v/>
      </c>
      <c r="J21" s="27">
        <f>IF(C21="","",H21-I21)</f>
        <v/>
      </c>
      <c r="K21" s="25">
        <f>IF(C21="","",IF(G21=0,"not invoiced yet",SUBSTITUTE(TRIM(IF(COUNTIFS(tbl_Finance[Job Number],C21&amp;"",tbl_Finance[Cost Centre],"ONSITE")&gt;0,"ONSITE ","")&amp;IF(COUNTIFS(tbl_Finance[Job Number],C21&amp;"",tbl_Finance[Cost Centre],"PRODUCTION")&gt;0,"PRODUCTION ","")&amp;IF(COUNTIFS(tbl_Finance[Job Number],C21&amp;"",tbl_Finance[Cost Centre],"VIDEO")&gt;0,"VIDEO ","")&amp;IF(COUNTIFS(tbl_Finance[Job Number],C21&amp;"",tbl_Finance[Cost Centre],"INTEGRATION")&gt;0,"INTEGRATION ","")&amp;IF(COUNTIFS(tbl_Finance[Job Number],C21&amp;"",tbl_Finance[Cost Centre],"CONSULTING")&gt;0,"CONSULTING ","")&amp;IF(COUNTIFS(tbl_Finance[Job Number],C21&amp;"",tbl_Finance[Cost Centre],"CTS")&gt;0,"CTS ",""))," ",", ")))</f>
        <v/>
      </c>
      <c r="L21" s="22" t="n">
        <v>46240</v>
      </c>
      <c r="M21" s="24" t="inlineStr">
        <is>
          <t>6088</t>
        </is>
      </c>
      <c r="N21" s="25">
        <f>IF(M21="","",IF(AND(LEFT(M21,4)&lt;&gt;"http",set_RMSBase=""),"",HYPERLINK(IF(LEFT(M21,4)="http",M21,set_RMSBase&amp;M21),"Open opportunity")))</f>
        <v/>
      </c>
      <c r="O21" s="25">
        <f>IF(C21="","",C21)</f>
        <v/>
      </c>
      <c r="P21" s="24" t="inlineStr">
        <is>
          <t>Y</t>
        </is>
      </c>
      <c r="Q21" s="26" t="n"/>
      <c r="R21" s="27">
        <f>IF(C21="","",H21+N(Q21))</f>
        <v/>
      </c>
      <c r="S21" s="29">
        <f>IFERROR(Q21/R21,"")</f>
        <v/>
      </c>
      <c r="T21" s="26" t="n"/>
      <c r="U21" s="26" t="n"/>
      <c r="V21" s="27">
        <f>IF(C21="","",N(T21)+N(U21))</f>
        <v/>
      </c>
      <c r="W21" s="27">
        <f>IF(C21="","",H21-V21)</f>
        <v/>
      </c>
      <c r="X21" s="29">
        <f>IFERROR(W21/H21,"")</f>
        <v/>
      </c>
      <c r="Y21" s="64" t="n"/>
      <c r="Z21" s="64" t="n"/>
      <c r="AA21" s="64" t="n"/>
      <c r="AB21" s="64" t="n"/>
      <c r="AC21" s="64" t="n">
        <v>11</v>
      </c>
      <c r="AD21" s="24" t="n"/>
    </row>
    <row r="22" ht="15" customHeight="1">
      <c r="A22" s="63">
        <f>IF(C22="","",IFERROR(IF(SUMPRODUCT(MAX((tbl_Finance[Job Number]=C22&amp;"")*(tbl_Finance[Xero Invoice No]&lt;&gt;"")*tbl_Finance[Date]))=0,"",SUMPRODUCT(MAX((tbl_Finance[Job Number]=C22&amp;"")*(tbl_Finance[Xero Invoice No]&lt;&gt;"")*tbl_Finance[Date]))),""))</f>
        <v/>
      </c>
      <c r="B22" s="25">
        <f>IF(C22="","",IF(COUNTIFS(tbl_Finance[Job Number],C22&amp;"",tbl_Finance[Xero Invoice No],"&lt;&gt;")=0,"",IFERROR(IF(COUNTIFS(tbl_Finance[Job Number],C22&amp;"",tbl_Finance[Xero Invoice No],LOOKUP(2,1/((tbl_Finance[Job Number]=C22&amp;"")*(tbl_Finance[Xero Invoice No]&lt;&gt;"")),tbl_Finance[Xero Invoice No]))=COUNTIFS(tbl_Finance[Job Number],C22&amp;"",tbl_Finance[Xero Invoice No],"&lt;&gt;"),LOOKUP(2,1/((tbl_Finance[Job Number]=C22&amp;"")*(tbl_Finance[Xero Invoice No]&lt;&gt;"")),tbl_Finance[Xero Invoice No]),LOOKUP(2,1/((tbl_Finance[Job Number]=C22&amp;"")*(tbl_Finance[Xero Invoice No]&lt;&gt;"")),tbl_Finance[Xero Invoice No])&amp;" +more"),"")))</f>
        <v/>
      </c>
      <c r="C22" s="24" t="inlineStr">
        <is>
          <t>26072902</t>
        </is>
      </c>
      <c r="D22" s="25">
        <f>IF(C22="","",IF(COUNTIF(lst_Jobs,C22&amp;"")&gt;0,"OK","CHECK"))</f>
        <v/>
      </c>
      <c r="E22" s="25">
        <f>IF(C22="","",IFERROR(INDEX(lst_JobName,MATCH(C22&amp;"",lst_Jobs,0)),""))</f>
        <v/>
      </c>
      <c r="F22" s="25">
        <f>IF(C22="","",IFERROR(INDEX(tbl_Finance[Client],MATCH(C22&amp;"",tbl_Finance[Job Number],0)),""))</f>
        <v/>
      </c>
      <c r="G22" s="28">
        <f>IF(C22="","",COUNTIFS(tbl_Finance[Job Number],C22&amp;"",tbl_Finance[Ex GST],"&lt;&gt;"))</f>
        <v/>
      </c>
      <c r="H22" s="27">
        <f>IF(C22="","",SUMIFS(tbl_Finance[Ex GST],tbl_Finance[Job Number],C22&amp;""))</f>
        <v/>
      </c>
      <c r="I22" s="27">
        <f>IF(C22="","",SUMIFS(tbl_Finance[Ex GST],tbl_Finance[Job Number],C22&amp;"",tbl_Finance[Xero Invoice No],"&lt;&gt;"))</f>
        <v/>
      </c>
      <c r="J22" s="27">
        <f>IF(C22="","",H22-I22)</f>
        <v/>
      </c>
      <c r="K22" s="25">
        <f>IF(C22="","",IF(G22=0,"not invoiced yet",SUBSTITUTE(TRIM(IF(COUNTIFS(tbl_Finance[Job Number],C22&amp;"",tbl_Finance[Cost Centre],"ONSITE")&gt;0,"ONSITE ","")&amp;IF(COUNTIFS(tbl_Finance[Job Number],C22&amp;"",tbl_Finance[Cost Centre],"PRODUCTION")&gt;0,"PRODUCTION ","")&amp;IF(COUNTIFS(tbl_Finance[Job Number],C22&amp;"",tbl_Finance[Cost Centre],"VIDEO")&gt;0,"VIDEO ","")&amp;IF(COUNTIFS(tbl_Finance[Job Number],C22&amp;"",tbl_Finance[Cost Centre],"INTEGRATION")&gt;0,"INTEGRATION ","")&amp;IF(COUNTIFS(tbl_Finance[Job Number],C22&amp;"",tbl_Finance[Cost Centre],"CONSULTING")&gt;0,"CONSULTING ","")&amp;IF(COUNTIFS(tbl_Finance[Job Number],C22&amp;"",tbl_Finance[Cost Centre],"CTS")&gt;0,"CTS ",""))," ",", ")))</f>
        <v/>
      </c>
      <c r="L22" s="22" t="n">
        <v>46240</v>
      </c>
      <c r="M22" s="24" t="inlineStr">
        <is>
          <t>6128</t>
        </is>
      </c>
      <c r="N22" s="25">
        <f>IF(M22="","",IF(AND(LEFT(M22,4)&lt;&gt;"http",set_RMSBase=""),"",HYPERLINK(IF(LEFT(M22,4)="http",M22,set_RMSBase&amp;M22),"Open opportunity")))</f>
        <v/>
      </c>
      <c r="O22" s="25">
        <f>IF(C22="","",C22)</f>
        <v/>
      </c>
      <c r="P22" s="24" t="inlineStr">
        <is>
          <t>Y</t>
        </is>
      </c>
      <c r="Q22" s="26" t="n"/>
      <c r="R22" s="27">
        <f>IF(C22="","",H22+N(Q22))</f>
        <v/>
      </c>
      <c r="S22" s="29">
        <f>IFERROR(Q22/R22,"")</f>
        <v/>
      </c>
      <c r="T22" s="26" t="n">
        <v>1092.36</v>
      </c>
      <c r="U22" s="26" t="n"/>
      <c r="V22" s="27">
        <f>IF(C22="","",N(T22)+N(U22))</f>
        <v/>
      </c>
      <c r="W22" s="27">
        <f>IF(C22="","",H22-V22)</f>
        <v/>
      </c>
      <c r="X22" s="29">
        <f>IFERROR(W22/H22,"")</f>
        <v/>
      </c>
      <c r="Y22" s="64" t="n">
        <v>4</v>
      </c>
      <c r="Z22" s="64" t="n"/>
      <c r="AA22" s="64" t="n">
        <v>1</v>
      </c>
      <c r="AB22" s="64" t="n"/>
      <c r="AC22" s="64" t="n">
        <v>10</v>
      </c>
      <c r="AD22" s="24" t="n"/>
    </row>
    <row r="23" ht="15" customHeight="1">
      <c r="A23" s="63">
        <f>IF(C23="","",IFERROR(IF(SUMPRODUCT(MAX((tbl_Finance[Job Number]=C23&amp;"")*(tbl_Finance[Xero Invoice No]&lt;&gt;"")*tbl_Finance[Date]))=0,"",SUMPRODUCT(MAX((tbl_Finance[Job Number]=C23&amp;"")*(tbl_Finance[Xero Invoice No]&lt;&gt;"")*tbl_Finance[Date]))),""))</f>
        <v/>
      </c>
      <c r="B23" s="25">
        <f>IF(C23="","",IF(COUNTIFS(tbl_Finance[Job Number],C23&amp;"",tbl_Finance[Xero Invoice No],"&lt;&gt;")=0,"",IFERROR(IF(COUNTIFS(tbl_Finance[Job Number],C23&amp;"",tbl_Finance[Xero Invoice No],LOOKUP(2,1/((tbl_Finance[Job Number]=C23&amp;"")*(tbl_Finance[Xero Invoice No]&lt;&gt;"")),tbl_Finance[Xero Invoice No]))=COUNTIFS(tbl_Finance[Job Number],C23&amp;"",tbl_Finance[Xero Invoice No],"&lt;&gt;"),LOOKUP(2,1/((tbl_Finance[Job Number]=C23&amp;"")*(tbl_Finance[Xero Invoice No]&lt;&gt;"")),tbl_Finance[Xero Invoice No]),LOOKUP(2,1/((tbl_Finance[Job Number]=C23&amp;"")*(tbl_Finance[Xero Invoice No]&lt;&gt;"")),tbl_Finance[Xero Invoice No])&amp;" +more"),"")))</f>
        <v/>
      </c>
      <c r="C23" s="24" t="inlineStr">
        <is>
          <t>26071901</t>
        </is>
      </c>
      <c r="D23" s="25">
        <f>IF(C23="","",IF(COUNTIF(lst_Jobs,C23&amp;"")&gt;0,"OK","CHECK"))</f>
        <v/>
      </c>
      <c r="E23" s="25">
        <f>IF(C23="","",IFERROR(INDEX(lst_JobName,MATCH(C23&amp;"",lst_Jobs,0)),""))</f>
        <v/>
      </c>
      <c r="F23" s="25">
        <f>IF(C23="","",IFERROR(INDEX(tbl_Finance[Client],MATCH(C23&amp;"",tbl_Finance[Job Number],0)),""))</f>
        <v/>
      </c>
      <c r="G23" s="28">
        <f>IF(C23="","",COUNTIFS(tbl_Finance[Job Number],C23&amp;"",tbl_Finance[Ex GST],"&lt;&gt;"))</f>
        <v/>
      </c>
      <c r="H23" s="27">
        <f>IF(C23="","",SUMIFS(tbl_Finance[Ex GST],tbl_Finance[Job Number],C23&amp;""))</f>
        <v/>
      </c>
      <c r="I23" s="27">
        <f>IF(C23="","",SUMIFS(tbl_Finance[Ex GST],tbl_Finance[Job Number],C23&amp;"",tbl_Finance[Xero Invoice No],"&lt;&gt;"))</f>
        <v/>
      </c>
      <c r="J23" s="27">
        <f>IF(C23="","",H23-I23)</f>
        <v/>
      </c>
      <c r="K23" s="25">
        <f>IF(C23="","",IF(G23=0,"not invoiced yet",SUBSTITUTE(TRIM(IF(COUNTIFS(tbl_Finance[Job Number],C23&amp;"",tbl_Finance[Cost Centre],"ONSITE")&gt;0,"ONSITE ","")&amp;IF(COUNTIFS(tbl_Finance[Job Number],C23&amp;"",tbl_Finance[Cost Centre],"PRODUCTION")&gt;0,"PRODUCTION ","")&amp;IF(COUNTIFS(tbl_Finance[Job Number],C23&amp;"",tbl_Finance[Cost Centre],"VIDEO")&gt;0,"VIDEO ","")&amp;IF(COUNTIFS(tbl_Finance[Job Number],C23&amp;"",tbl_Finance[Cost Centre],"INTEGRATION")&gt;0,"INTEGRATION ","")&amp;IF(COUNTIFS(tbl_Finance[Job Number],C23&amp;"",tbl_Finance[Cost Centre],"CONSULTING")&gt;0,"CONSULTING ","")&amp;IF(COUNTIFS(tbl_Finance[Job Number],C23&amp;"",tbl_Finance[Cost Centre],"CTS")&gt;0,"CTS ",""))," ",", ")))</f>
        <v/>
      </c>
      <c r="L23" s="22" t="n">
        <v>46245</v>
      </c>
      <c r="M23" s="24" t="inlineStr">
        <is>
          <t>6127</t>
        </is>
      </c>
      <c r="N23" s="25">
        <f>IF(M23="","",IF(AND(LEFT(M23,4)&lt;&gt;"http",set_RMSBase=""),"",HYPERLINK(IF(LEFT(M23,4)="http",M23,set_RMSBase&amp;M23),"Open opportunity")))</f>
        <v/>
      </c>
      <c r="O23" s="25">
        <f>IF(C23="","",C23)</f>
        <v/>
      </c>
      <c r="P23" s="24" t="inlineStr">
        <is>
          <t>Y</t>
        </is>
      </c>
      <c r="Q23" s="26" t="n"/>
      <c r="R23" s="27">
        <f>IF(C23="","",H23+N(Q23))</f>
        <v/>
      </c>
      <c r="S23" s="29">
        <f>IFERROR(Q23/R23,"")</f>
        <v/>
      </c>
      <c r="T23" s="26" t="n"/>
      <c r="U23" s="26" t="n"/>
      <c r="V23" s="27">
        <f>IF(C23="","",N(T23)+N(U23))</f>
        <v/>
      </c>
      <c r="W23" s="27">
        <f>IF(C23="","",H23-V23)</f>
        <v/>
      </c>
      <c r="X23" s="29">
        <f>IFERROR(W23/H23,"")</f>
        <v/>
      </c>
      <c r="Y23" s="64" t="n"/>
      <c r="Z23" s="64" t="n"/>
      <c r="AA23" s="64" t="n"/>
      <c r="AB23" s="64" t="n"/>
      <c r="AC23" s="64" t="n">
        <v>4</v>
      </c>
      <c r="AD23" s="24" t="n"/>
    </row>
    <row r="24" ht="15" customHeight="1">
      <c r="A24" s="63">
        <f>IF(C24="","",IFERROR(IF(SUMPRODUCT(MAX((tbl_Finance[Job Number]=C24&amp;"")*(tbl_Finance[Xero Invoice No]&lt;&gt;"")*tbl_Finance[Date]))=0,"",SUMPRODUCT(MAX((tbl_Finance[Job Number]=C24&amp;"")*(tbl_Finance[Xero Invoice No]&lt;&gt;"")*tbl_Finance[Date]))),""))</f>
        <v/>
      </c>
      <c r="B24" s="25">
        <f>IF(C24="","",IF(COUNTIFS(tbl_Finance[Job Number],C24&amp;"",tbl_Finance[Xero Invoice No],"&lt;&gt;")=0,"",IFERROR(IF(COUNTIFS(tbl_Finance[Job Number],C24&amp;"",tbl_Finance[Xero Invoice No],LOOKUP(2,1/((tbl_Finance[Job Number]=C24&amp;"")*(tbl_Finance[Xero Invoice No]&lt;&gt;"")),tbl_Finance[Xero Invoice No]))=COUNTIFS(tbl_Finance[Job Number],C24&amp;"",tbl_Finance[Xero Invoice No],"&lt;&gt;"),LOOKUP(2,1/((tbl_Finance[Job Number]=C24&amp;"")*(tbl_Finance[Xero Invoice No]&lt;&gt;"")),tbl_Finance[Xero Invoice No]),LOOKUP(2,1/((tbl_Finance[Job Number]=C24&amp;"")*(tbl_Finance[Xero Invoice No]&lt;&gt;"")),tbl_Finance[Xero Invoice No])&amp;" +more"),"")))</f>
        <v/>
      </c>
      <c r="C24" s="24" t="inlineStr">
        <is>
          <t>26063002</t>
        </is>
      </c>
      <c r="D24" s="25">
        <f>IF(C24="","",IF(COUNTIF(lst_Jobs,C24&amp;"")&gt;0,"OK","CHECK"))</f>
        <v/>
      </c>
      <c r="E24" s="25">
        <f>IF(C24="","",IFERROR(INDEX(lst_JobName,MATCH(C24&amp;"",lst_Jobs,0)),""))</f>
        <v/>
      </c>
      <c r="F24" s="25">
        <f>IF(C24="","",IFERROR(INDEX(tbl_Finance[Client],MATCH(C24&amp;"",tbl_Finance[Job Number],0)),""))</f>
        <v/>
      </c>
      <c r="G24" s="28">
        <f>IF(C24="","",COUNTIFS(tbl_Finance[Job Number],C24&amp;"",tbl_Finance[Ex GST],"&lt;&gt;"))</f>
        <v/>
      </c>
      <c r="H24" s="27">
        <f>IF(C24="","",SUMIFS(tbl_Finance[Ex GST],tbl_Finance[Job Number],C24&amp;""))</f>
        <v/>
      </c>
      <c r="I24" s="27">
        <f>IF(C24="","",SUMIFS(tbl_Finance[Ex GST],tbl_Finance[Job Number],C24&amp;"",tbl_Finance[Xero Invoice No],"&lt;&gt;"))</f>
        <v/>
      </c>
      <c r="J24" s="27">
        <f>IF(C24="","",H24-I24)</f>
        <v/>
      </c>
      <c r="K24" s="25">
        <f>IF(C24="","",IF(G24=0,"not invoiced yet",SUBSTITUTE(TRIM(IF(COUNTIFS(tbl_Finance[Job Number],C24&amp;"",tbl_Finance[Cost Centre],"ONSITE")&gt;0,"ONSITE ","")&amp;IF(COUNTIFS(tbl_Finance[Job Number],C24&amp;"",tbl_Finance[Cost Centre],"PRODUCTION")&gt;0,"PRODUCTION ","")&amp;IF(COUNTIFS(tbl_Finance[Job Number],C24&amp;"",tbl_Finance[Cost Centre],"VIDEO")&gt;0,"VIDEO ","")&amp;IF(COUNTIFS(tbl_Finance[Job Number],C24&amp;"",tbl_Finance[Cost Centre],"INTEGRATION")&gt;0,"INTEGRATION ","")&amp;IF(COUNTIFS(tbl_Finance[Job Number],C24&amp;"",tbl_Finance[Cost Centre],"CONSULTING")&gt;0,"CONSULTING ","")&amp;IF(COUNTIFS(tbl_Finance[Job Number],C24&amp;"",tbl_Finance[Cost Centre],"CTS")&gt;0,"CTS ",""))," ",", ")))</f>
        <v/>
      </c>
      <c r="L24" s="22" t="n">
        <v>46245</v>
      </c>
      <c r="M24" s="24" t="inlineStr">
        <is>
          <t>6084</t>
        </is>
      </c>
      <c r="N24" s="25">
        <f>IF(M24="","",IF(AND(LEFT(M24,4)&lt;&gt;"http",set_RMSBase=""),"",HYPERLINK(IF(LEFT(M24,4)="http",M24,set_RMSBase&amp;M24),"Open opportunity")))</f>
        <v/>
      </c>
      <c r="O24" s="25">
        <f>IF(C24="","",C24)</f>
        <v/>
      </c>
      <c r="P24" s="24" t="inlineStr">
        <is>
          <t>Y</t>
        </is>
      </c>
      <c r="Q24" s="26" t="n">
        <v>2104.4</v>
      </c>
      <c r="R24" s="27">
        <f>IF(C24="","",H24+N(Q24))</f>
        <v/>
      </c>
      <c r="S24" s="29">
        <f>IFERROR(Q24/R24,"")</f>
        <v/>
      </c>
      <c r="T24" s="26" t="n"/>
      <c r="U24" s="26" t="n"/>
      <c r="V24" s="27">
        <f>IF(C24="","",N(T24)+N(U24))</f>
        <v/>
      </c>
      <c r="W24" s="27">
        <f>IF(C24="","",H24-V24)</f>
        <v/>
      </c>
      <c r="X24" s="29">
        <f>IFERROR(W24/H24,"")</f>
        <v/>
      </c>
      <c r="Y24" s="64" t="n">
        <v>7</v>
      </c>
      <c r="Z24" s="64" t="n"/>
      <c r="AA24" s="64" t="n">
        <v>2</v>
      </c>
      <c r="AB24" s="64" t="n"/>
      <c r="AC24" s="64" t="n">
        <v>37</v>
      </c>
      <c r="AD24" s="24" t="n"/>
    </row>
    <row r="25" ht="15" customHeight="1">
      <c r="A25" s="63">
        <f>IF(C25="","",IFERROR(IF(SUMPRODUCT(MAX((tbl_Finance[Job Number]=C25&amp;"")*(tbl_Finance[Xero Invoice No]&lt;&gt;"")*tbl_Finance[Date]))=0,"",SUMPRODUCT(MAX((tbl_Finance[Job Number]=C25&amp;"")*(tbl_Finance[Xero Invoice No]&lt;&gt;"")*tbl_Finance[Date]))),""))</f>
        <v/>
      </c>
      <c r="B25" s="25">
        <f>IF(C25="","",IF(COUNTIFS(tbl_Finance[Job Number],C25&amp;"",tbl_Finance[Xero Invoice No],"&lt;&gt;")=0,"",IFERROR(IF(COUNTIFS(tbl_Finance[Job Number],C25&amp;"",tbl_Finance[Xero Invoice No],LOOKUP(2,1/((tbl_Finance[Job Number]=C25&amp;"")*(tbl_Finance[Xero Invoice No]&lt;&gt;"")),tbl_Finance[Xero Invoice No]))=COUNTIFS(tbl_Finance[Job Number],C25&amp;"",tbl_Finance[Xero Invoice No],"&lt;&gt;"),LOOKUP(2,1/((tbl_Finance[Job Number]=C25&amp;"")*(tbl_Finance[Xero Invoice No]&lt;&gt;"")),tbl_Finance[Xero Invoice No]),LOOKUP(2,1/((tbl_Finance[Job Number]=C25&amp;"")*(tbl_Finance[Xero Invoice No]&lt;&gt;"")),tbl_Finance[Xero Invoice No])&amp;" +more"),"")))</f>
        <v/>
      </c>
      <c r="C25" s="24" t="inlineStr">
        <is>
          <t>26072903</t>
        </is>
      </c>
      <c r="D25" s="25">
        <f>IF(C25="","",IF(COUNTIF(lst_Jobs,C25&amp;"")&gt;0,"OK","CHECK"))</f>
        <v/>
      </c>
      <c r="E25" s="25">
        <f>IF(C25="","",IFERROR(INDEX(lst_JobName,MATCH(C25&amp;"",lst_Jobs,0)),""))</f>
        <v/>
      </c>
      <c r="F25" s="25">
        <f>IF(C25="","",IFERROR(INDEX(tbl_Finance[Client],MATCH(C25&amp;"",tbl_Finance[Job Number],0)),""))</f>
        <v/>
      </c>
      <c r="G25" s="28">
        <f>IF(C25="","",COUNTIFS(tbl_Finance[Job Number],C25&amp;"",tbl_Finance[Ex GST],"&lt;&gt;"))</f>
        <v/>
      </c>
      <c r="H25" s="27">
        <f>IF(C25="","",SUMIFS(tbl_Finance[Ex GST],tbl_Finance[Job Number],C25&amp;""))</f>
        <v/>
      </c>
      <c r="I25" s="27">
        <f>IF(C25="","",SUMIFS(tbl_Finance[Ex GST],tbl_Finance[Job Number],C25&amp;"",tbl_Finance[Xero Invoice No],"&lt;&gt;"))</f>
        <v/>
      </c>
      <c r="J25" s="27">
        <f>IF(C25="","",H25-I25)</f>
        <v/>
      </c>
      <c r="K25" s="25">
        <f>IF(C25="","",IF(G25=0,"not invoiced yet",SUBSTITUTE(TRIM(IF(COUNTIFS(tbl_Finance[Job Number],C25&amp;"",tbl_Finance[Cost Centre],"ONSITE")&gt;0,"ONSITE ","")&amp;IF(COUNTIFS(tbl_Finance[Job Number],C25&amp;"",tbl_Finance[Cost Centre],"PRODUCTION")&gt;0,"PRODUCTION ","")&amp;IF(COUNTIFS(tbl_Finance[Job Number],C25&amp;"",tbl_Finance[Cost Centre],"VIDEO")&gt;0,"VIDEO ","")&amp;IF(COUNTIFS(tbl_Finance[Job Number],C25&amp;"",tbl_Finance[Cost Centre],"INTEGRATION")&gt;0,"INTEGRATION ","")&amp;IF(COUNTIFS(tbl_Finance[Job Number],C25&amp;"",tbl_Finance[Cost Centre],"CONSULTING")&gt;0,"CONSULTING ","")&amp;IF(COUNTIFS(tbl_Finance[Job Number],C25&amp;"",tbl_Finance[Cost Centre],"CTS")&gt;0,"CTS ",""))," ",", ")))</f>
        <v/>
      </c>
      <c r="L25" s="22" t="n">
        <v>46245</v>
      </c>
      <c r="M25" s="24" t="inlineStr">
        <is>
          <t>6134</t>
        </is>
      </c>
      <c r="N25" s="25">
        <f>IF(M25="","",IF(AND(LEFT(M25,4)&lt;&gt;"http",set_RMSBase=""),"",HYPERLINK(IF(LEFT(M25,4)="http",M25,set_RMSBase&amp;M25),"Open opportunity")))</f>
        <v/>
      </c>
      <c r="O25" s="25">
        <f>IF(C25="","",C25)</f>
        <v/>
      </c>
      <c r="P25" s="24" t="inlineStr">
        <is>
          <t>Y</t>
        </is>
      </c>
      <c r="Q25" s="26" t="n"/>
      <c r="R25" s="27">
        <f>IF(C25="","",H25+N(Q25))</f>
        <v/>
      </c>
      <c r="S25" s="29">
        <f>IFERROR(Q25/R25,"")</f>
        <v/>
      </c>
      <c r="T25" s="26" t="n">
        <v>1092.36</v>
      </c>
      <c r="U25" s="26" t="n"/>
      <c r="V25" s="27">
        <f>IF(C25="","",N(T25)+N(U25))</f>
        <v/>
      </c>
      <c r="W25" s="27">
        <f>IF(C25="","",H25-V25)</f>
        <v/>
      </c>
      <c r="X25" s="29">
        <f>IFERROR(W25/H25,"")</f>
        <v/>
      </c>
      <c r="Y25" s="64" t="n">
        <v>9</v>
      </c>
      <c r="Z25" s="64" t="n"/>
      <c r="AA25" s="64" t="n"/>
      <c r="AB25" s="64" t="n"/>
      <c r="AC25" s="64" t="n">
        <v>9</v>
      </c>
      <c r="AD25" s="24" t="n"/>
    </row>
    <row r="26" ht="15" customHeight="1">
      <c r="A26" s="63">
        <f>IF(C26="","",IFERROR(IF(SUMPRODUCT(MAX((tbl_Finance[Job Number]=C26&amp;"")*(tbl_Finance[Xero Invoice No]&lt;&gt;"")*tbl_Finance[Date]))=0,"",SUMPRODUCT(MAX((tbl_Finance[Job Number]=C26&amp;"")*(tbl_Finance[Xero Invoice No]&lt;&gt;"")*tbl_Finance[Date]))),""))</f>
        <v/>
      </c>
      <c r="B26" s="25">
        <f>IF(C26="","",IF(COUNTIFS(tbl_Finance[Job Number],C26&amp;"",tbl_Finance[Xero Invoice No],"&lt;&gt;")=0,"",IFERROR(IF(COUNTIFS(tbl_Finance[Job Number],C26&amp;"",tbl_Finance[Xero Invoice No],LOOKUP(2,1/((tbl_Finance[Job Number]=C26&amp;"")*(tbl_Finance[Xero Invoice No]&lt;&gt;"")),tbl_Finance[Xero Invoice No]))=COUNTIFS(tbl_Finance[Job Number],C26&amp;"",tbl_Finance[Xero Invoice No],"&lt;&gt;"),LOOKUP(2,1/((tbl_Finance[Job Number]=C26&amp;"")*(tbl_Finance[Xero Invoice No]&lt;&gt;"")),tbl_Finance[Xero Invoice No]),LOOKUP(2,1/((tbl_Finance[Job Number]=C26&amp;"")*(tbl_Finance[Xero Invoice No]&lt;&gt;"")),tbl_Finance[Xero Invoice No])&amp;" +more"),"")))</f>
        <v/>
      </c>
      <c r="C26" s="24" t="inlineStr">
        <is>
          <t>26061104</t>
        </is>
      </c>
      <c r="D26" s="25">
        <f>IF(C26="","",IF(COUNTIF(lst_Jobs,C26&amp;"")&gt;0,"OK","CHECK"))</f>
        <v/>
      </c>
      <c r="E26" s="25">
        <f>IF(C26="","",IFERROR(INDEX(lst_JobName,MATCH(C26&amp;"",lst_Jobs,0)),""))</f>
        <v/>
      </c>
      <c r="F26" s="25">
        <f>IF(C26="","",IFERROR(INDEX(tbl_Finance[Client],MATCH(C26&amp;"",tbl_Finance[Job Number],0)),""))</f>
        <v/>
      </c>
      <c r="G26" s="28">
        <f>IF(C26="","",COUNTIFS(tbl_Finance[Job Number],C26&amp;"",tbl_Finance[Ex GST],"&lt;&gt;"))</f>
        <v/>
      </c>
      <c r="H26" s="27">
        <f>IF(C26="","",SUMIFS(tbl_Finance[Ex GST],tbl_Finance[Job Number],C26&amp;""))</f>
        <v/>
      </c>
      <c r="I26" s="27">
        <f>IF(C26="","",SUMIFS(tbl_Finance[Ex GST],tbl_Finance[Job Number],C26&amp;"",tbl_Finance[Xero Invoice No],"&lt;&gt;"))</f>
        <v/>
      </c>
      <c r="J26" s="27">
        <f>IF(C26="","",H26-I26)</f>
        <v/>
      </c>
      <c r="K26" s="25">
        <f>IF(C26="","",IF(G26=0,"not invoiced yet",SUBSTITUTE(TRIM(IF(COUNTIFS(tbl_Finance[Job Number],C26&amp;"",tbl_Finance[Cost Centre],"ONSITE")&gt;0,"ONSITE ","")&amp;IF(COUNTIFS(tbl_Finance[Job Number],C26&amp;"",tbl_Finance[Cost Centre],"PRODUCTION")&gt;0,"PRODUCTION ","")&amp;IF(COUNTIFS(tbl_Finance[Job Number],C26&amp;"",tbl_Finance[Cost Centre],"VIDEO")&gt;0,"VIDEO ","")&amp;IF(COUNTIFS(tbl_Finance[Job Number],C26&amp;"",tbl_Finance[Cost Centre],"INTEGRATION")&gt;0,"INTEGRATION ","")&amp;IF(COUNTIFS(tbl_Finance[Job Number],C26&amp;"",tbl_Finance[Cost Centre],"CONSULTING")&gt;0,"CONSULTING ","")&amp;IF(COUNTIFS(tbl_Finance[Job Number],C26&amp;"",tbl_Finance[Cost Centre],"CTS")&gt;0,"CTS ",""))," ",", ")))</f>
        <v/>
      </c>
      <c r="L26" s="22" t="n">
        <v>46246</v>
      </c>
      <c r="M26" s="24" t="inlineStr">
        <is>
          <t>Proj: 0016</t>
        </is>
      </c>
      <c r="N26" s="25">
        <f>IF(M26="","",IF(AND(LEFT(M26,4)&lt;&gt;"http",set_RMSBase=""),"",HYPERLINK(IF(LEFT(M26,4)="http",M26,set_RMSBase&amp;M26),"Open opportunity")))</f>
        <v/>
      </c>
      <c r="O26" s="25">
        <f>IF(C26="","",C26)</f>
        <v/>
      </c>
      <c r="P26" s="24" t="inlineStr">
        <is>
          <t>Y</t>
        </is>
      </c>
      <c r="Q26" s="26" t="n">
        <v>5271.5</v>
      </c>
      <c r="R26" s="27">
        <f>IF(C26="","",H26+N(Q26))</f>
        <v/>
      </c>
      <c r="S26" s="29">
        <f>IFERROR(Q26/R26,"")</f>
        <v/>
      </c>
      <c r="T26" s="26" t="n">
        <v>980.16</v>
      </c>
      <c r="U26" s="26" t="n"/>
      <c r="V26" s="27">
        <f>IF(C26="","",N(T26)+N(U26))</f>
        <v/>
      </c>
      <c r="W26" s="27">
        <f>IF(C26="","",H26-V26)</f>
        <v/>
      </c>
      <c r="X26" s="29">
        <f>IFERROR(W26/H26,"")</f>
        <v/>
      </c>
      <c r="Y26" s="64" t="n">
        <v>8</v>
      </c>
      <c r="Z26" s="64" t="n"/>
      <c r="AA26" s="64" t="n">
        <v>12</v>
      </c>
      <c r="AB26" s="64" t="n"/>
      <c r="AC26" s="64" t="n">
        <v>104</v>
      </c>
      <c r="AD26" s="24" t="n"/>
    </row>
    <row r="27" ht="15" customHeight="1">
      <c r="A27" s="63">
        <f>IF(C27="","",IFERROR(IF(SUMPRODUCT(MAX((tbl_Finance[Job Number]=C27&amp;"")*(tbl_Finance[Xero Invoice No]&lt;&gt;"")*tbl_Finance[Date]))=0,"",SUMPRODUCT(MAX((tbl_Finance[Job Number]=C27&amp;"")*(tbl_Finance[Xero Invoice No]&lt;&gt;"")*tbl_Finance[Date]))),""))</f>
        <v/>
      </c>
      <c r="B27" s="25">
        <f>IF(C27="","",IF(COUNTIFS(tbl_Finance[Job Number],C27&amp;"",tbl_Finance[Xero Invoice No],"&lt;&gt;")=0,"",IFERROR(IF(COUNTIFS(tbl_Finance[Job Number],C27&amp;"",tbl_Finance[Xero Invoice No],LOOKUP(2,1/((tbl_Finance[Job Number]=C27&amp;"")*(tbl_Finance[Xero Invoice No]&lt;&gt;"")),tbl_Finance[Xero Invoice No]))=COUNTIFS(tbl_Finance[Job Number],C27&amp;"",tbl_Finance[Xero Invoice No],"&lt;&gt;"),LOOKUP(2,1/((tbl_Finance[Job Number]=C27&amp;"")*(tbl_Finance[Xero Invoice No]&lt;&gt;"")),tbl_Finance[Xero Invoice No]),LOOKUP(2,1/((tbl_Finance[Job Number]=C27&amp;"")*(tbl_Finance[Xero Invoice No]&lt;&gt;"")),tbl_Finance[Xero Invoice No])&amp;" +more"),"")))</f>
        <v/>
      </c>
      <c r="C27" s="24" t="inlineStr">
        <is>
          <t>26061105</t>
        </is>
      </c>
      <c r="D27" s="25">
        <f>IF(C27="","",IF(COUNTIF(lst_Jobs,C27&amp;"")&gt;0,"OK","CHECK"))</f>
        <v/>
      </c>
      <c r="E27" s="25">
        <f>IF(C27="","",IFERROR(INDEX(lst_JobName,MATCH(C27&amp;"",lst_Jobs,0)),""))</f>
        <v/>
      </c>
      <c r="F27" s="25">
        <f>IF(C27="","",IFERROR(INDEX(tbl_Finance[Client],MATCH(C27&amp;"",tbl_Finance[Job Number],0)),""))</f>
        <v/>
      </c>
      <c r="G27" s="28">
        <f>IF(C27="","",COUNTIFS(tbl_Finance[Job Number],C27&amp;"",tbl_Finance[Ex GST],"&lt;&gt;"))</f>
        <v/>
      </c>
      <c r="H27" s="27">
        <f>IF(C27="","",SUMIFS(tbl_Finance[Ex GST],tbl_Finance[Job Number],C27&amp;""))</f>
        <v/>
      </c>
      <c r="I27" s="27">
        <f>IF(C27="","",SUMIFS(tbl_Finance[Ex GST],tbl_Finance[Job Number],C27&amp;"",tbl_Finance[Xero Invoice No],"&lt;&gt;"))</f>
        <v/>
      </c>
      <c r="J27" s="27">
        <f>IF(C27="","",H27-I27)</f>
        <v/>
      </c>
      <c r="K27" s="25">
        <f>IF(C27="","",IF(G27=0,"not invoiced yet",SUBSTITUTE(TRIM(IF(COUNTIFS(tbl_Finance[Job Number],C27&amp;"",tbl_Finance[Cost Centre],"ONSITE")&gt;0,"ONSITE ","")&amp;IF(COUNTIFS(tbl_Finance[Job Number],C27&amp;"",tbl_Finance[Cost Centre],"PRODUCTION")&gt;0,"PRODUCTION ","")&amp;IF(COUNTIFS(tbl_Finance[Job Number],C27&amp;"",tbl_Finance[Cost Centre],"VIDEO")&gt;0,"VIDEO ","")&amp;IF(COUNTIFS(tbl_Finance[Job Number],C27&amp;"",tbl_Finance[Cost Centre],"INTEGRATION")&gt;0,"INTEGRATION ","")&amp;IF(COUNTIFS(tbl_Finance[Job Number],C27&amp;"",tbl_Finance[Cost Centre],"CONSULTING")&gt;0,"CONSULTING ","")&amp;IF(COUNTIFS(tbl_Finance[Job Number],C27&amp;"",tbl_Finance[Cost Centre],"CTS")&gt;0,"CTS ",""))," ",", ")))</f>
        <v/>
      </c>
      <c r="L27" s="22" t="n">
        <v>46246</v>
      </c>
      <c r="M27" s="24" t="inlineStr">
        <is>
          <t>6093</t>
        </is>
      </c>
      <c r="N27" s="25">
        <f>IF(M27="","",IF(AND(LEFT(M27,4)&lt;&gt;"http",set_RMSBase=""),"",HYPERLINK(IF(LEFT(M27,4)="http",M27,set_RMSBase&amp;M27),"Open opportunity")))</f>
        <v/>
      </c>
      <c r="O27" s="25">
        <f>IF(C27="","",C27)</f>
        <v/>
      </c>
      <c r="P27" s="24" t="inlineStr">
        <is>
          <t>Y</t>
        </is>
      </c>
      <c r="Q27" s="26" t="n">
        <v>1680</v>
      </c>
      <c r="R27" s="27">
        <f>IF(C27="","",H27+N(Q27))</f>
        <v/>
      </c>
      <c r="S27" s="29">
        <f>IFERROR(Q27/R27,"")</f>
        <v/>
      </c>
      <c r="T27" s="26" t="n">
        <v>3111.2</v>
      </c>
      <c r="U27" s="26" t="n"/>
      <c r="V27" s="27">
        <f>IF(C27="","",N(T27)+N(U27))</f>
        <v/>
      </c>
      <c r="W27" s="27">
        <f>IF(C27="","",H27-V27)</f>
        <v/>
      </c>
      <c r="X27" s="29">
        <f>IFERROR(W27/H27,"")</f>
        <v/>
      </c>
      <c r="Y27" s="64" t="n"/>
      <c r="Z27" s="64" t="n"/>
      <c r="AA27" s="64" t="n"/>
      <c r="AB27" s="64" t="n"/>
      <c r="AC27" s="64" t="n">
        <v>16</v>
      </c>
      <c r="AD27" s="24" t="n"/>
    </row>
    <row r="28" ht="15" customHeight="1">
      <c r="A28" s="63">
        <f>IF(C28="","",IFERROR(IF(SUMPRODUCT(MAX((tbl_Finance[Job Number]=C28&amp;"")*(tbl_Finance[Xero Invoice No]&lt;&gt;"")*tbl_Finance[Date]))=0,"",SUMPRODUCT(MAX((tbl_Finance[Job Number]=C28&amp;"")*(tbl_Finance[Xero Invoice No]&lt;&gt;"")*tbl_Finance[Date]))),""))</f>
        <v/>
      </c>
      <c r="B28" s="25">
        <f>IF(C28="","",IF(COUNTIFS(tbl_Finance[Job Number],C28&amp;"",tbl_Finance[Xero Invoice No],"&lt;&gt;")=0,"",IFERROR(IF(COUNTIFS(tbl_Finance[Job Number],C28&amp;"",tbl_Finance[Xero Invoice No],LOOKUP(2,1/((tbl_Finance[Job Number]=C28&amp;"")*(tbl_Finance[Xero Invoice No]&lt;&gt;"")),tbl_Finance[Xero Invoice No]))=COUNTIFS(tbl_Finance[Job Number],C28&amp;"",tbl_Finance[Xero Invoice No],"&lt;&gt;"),LOOKUP(2,1/((tbl_Finance[Job Number]=C28&amp;"")*(tbl_Finance[Xero Invoice No]&lt;&gt;"")),tbl_Finance[Xero Invoice No]),LOOKUP(2,1/((tbl_Finance[Job Number]=C28&amp;"")*(tbl_Finance[Xero Invoice No]&lt;&gt;"")),tbl_Finance[Xero Invoice No])&amp;" +more"),"")))</f>
        <v/>
      </c>
      <c r="C28" s="24" t="inlineStr">
        <is>
          <t>2605401</t>
        </is>
      </c>
      <c r="D28" s="25">
        <f>IF(C28="","",IF(COUNTIF(lst_Jobs,C28&amp;"")&gt;0,"OK","CHECK"))</f>
        <v/>
      </c>
      <c r="E28" s="25">
        <f>IF(C28="","",IFERROR(INDEX(lst_JobName,MATCH(C28&amp;"",lst_Jobs,0)),""))</f>
        <v/>
      </c>
      <c r="F28" s="25">
        <f>IF(C28="","",IFERROR(INDEX(tbl_Finance[Client],MATCH(C28&amp;"",tbl_Finance[Job Number],0)),""))</f>
        <v/>
      </c>
      <c r="G28" s="28">
        <f>IF(C28="","",COUNTIFS(tbl_Finance[Job Number],C28&amp;"",tbl_Finance[Ex GST],"&lt;&gt;"))</f>
        <v/>
      </c>
      <c r="H28" s="27">
        <f>IF(C28="","",SUMIFS(tbl_Finance[Ex GST],tbl_Finance[Job Number],C28&amp;""))</f>
        <v/>
      </c>
      <c r="I28" s="27">
        <f>IF(C28="","",SUMIFS(tbl_Finance[Ex GST],tbl_Finance[Job Number],C28&amp;"",tbl_Finance[Xero Invoice No],"&lt;&gt;"))</f>
        <v/>
      </c>
      <c r="J28" s="27">
        <f>IF(C28="","",H28-I28)</f>
        <v/>
      </c>
      <c r="K28" s="25">
        <f>IF(C28="","",IF(G28=0,"not invoiced yet",SUBSTITUTE(TRIM(IF(COUNTIFS(tbl_Finance[Job Number],C28&amp;"",tbl_Finance[Cost Centre],"ONSITE")&gt;0,"ONSITE ","")&amp;IF(COUNTIFS(tbl_Finance[Job Number],C28&amp;"",tbl_Finance[Cost Centre],"PRODUCTION")&gt;0,"PRODUCTION ","")&amp;IF(COUNTIFS(tbl_Finance[Job Number],C28&amp;"",tbl_Finance[Cost Centre],"VIDEO")&gt;0,"VIDEO ","")&amp;IF(COUNTIFS(tbl_Finance[Job Number],C28&amp;"",tbl_Finance[Cost Centre],"INTEGRATION")&gt;0,"INTEGRATION ","")&amp;IF(COUNTIFS(tbl_Finance[Job Number],C28&amp;"",tbl_Finance[Cost Centre],"CONSULTING")&gt;0,"CONSULTING ","")&amp;IF(COUNTIFS(tbl_Finance[Job Number],C28&amp;"",tbl_Finance[Cost Centre],"CTS")&gt;0,"CTS ",""))," ",", ")))</f>
        <v/>
      </c>
      <c r="L28" s="22" t="n">
        <v>46246</v>
      </c>
      <c r="M28" s="24" t="inlineStr">
        <is>
          <t>Proj: 0019</t>
        </is>
      </c>
      <c r="N28" s="25">
        <f>IF(M28="","",IF(AND(LEFT(M28,4)&lt;&gt;"http",set_RMSBase=""),"",HYPERLINK(IF(LEFT(M28,4)="http",M28,set_RMSBase&amp;M28),"Open opportunity")))</f>
        <v/>
      </c>
      <c r="O28" s="25">
        <f>IF(C28="","",C28)</f>
        <v/>
      </c>
      <c r="P28" s="24" t="inlineStr">
        <is>
          <t>Y</t>
        </is>
      </c>
      <c r="Q28" s="26" t="n">
        <v>2351.5</v>
      </c>
      <c r="R28" s="27">
        <f>IF(C28="","",H28+N(Q28))</f>
        <v/>
      </c>
      <c r="S28" s="29">
        <f>IFERROR(Q28/R28,"")</f>
        <v/>
      </c>
      <c r="T28" s="26" t="n">
        <v>3520.25</v>
      </c>
      <c r="U28" s="26" t="n"/>
      <c r="V28" s="27">
        <f>IF(C28="","",N(T28)+N(U28))</f>
        <v/>
      </c>
      <c r="W28" s="27">
        <f>IF(C28="","",H28-V28)</f>
        <v/>
      </c>
      <c r="X28" s="29">
        <f>IFERROR(W28/H28,"")</f>
        <v/>
      </c>
      <c r="Y28" s="64" t="n"/>
      <c r="Z28" s="64" t="n">
        <v>8</v>
      </c>
      <c r="AA28" s="64" t="n"/>
      <c r="AB28" s="64" t="n"/>
      <c r="AC28" s="64" t="n">
        <v>18</v>
      </c>
      <c r="AD28" s="24" t="n"/>
    </row>
    <row r="29" ht="15" customHeight="1">
      <c r="A29" s="63">
        <f>IF(C29="","",IFERROR(IF(SUMPRODUCT(MAX((tbl_Finance[Job Number]=C29&amp;"")*(tbl_Finance[Xero Invoice No]&lt;&gt;"")*tbl_Finance[Date]))=0,"",SUMPRODUCT(MAX((tbl_Finance[Job Number]=C29&amp;"")*(tbl_Finance[Xero Invoice No]&lt;&gt;"")*tbl_Finance[Date]))),""))</f>
        <v/>
      </c>
      <c r="B29" s="25">
        <f>IF(C29="","",IF(COUNTIFS(tbl_Finance[Job Number],C29&amp;"",tbl_Finance[Xero Invoice No],"&lt;&gt;")=0,"",IFERROR(IF(COUNTIFS(tbl_Finance[Job Number],C29&amp;"",tbl_Finance[Xero Invoice No],LOOKUP(2,1/((tbl_Finance[Job Number]=C29&amp;"")*(tbl_Finance[Xero Invoice No]&lt;&gt;"")),tbl_Finance[Xero Invoice No]))=COUNTIFS(tbl_Finance[Job Number],C29&amp;"",tbl_Finance[Xero Invoice No],"&lt;&gt;"),LOOKUP(2,1/((tbl_Finance[Job Number]=C29&amp;"")*(tbl_Finance[Xero Invoice No]&lt;&gt;"")),tbl_Finance[Xero Invoice No]),LOOKUP(2,1/((tbl_Finance[Job Number]=C29&amp;"")*(tbl_Finance[Xero Invoice No]&lt;&gt;"")),tbl_Finance[Xero Invoice No])&amp;" +more"),"")))</f>
        <v/>
      </c>
      <c r="C29" s="24" t="inlineStr">
        <is>
          <t>2605402</t>
        </is>
      </c>
      <c r="D29" s="25">
        <f>IF(C29="","",IF(COUNTIF(lst_Jobs,C29&amp;"")&gt;0,"OK","CHECK"))</f>
        <v/>
      </c>
      <c r="E29" s="25">
        <f>IF(C29="","",IFERROR(INDEX(lst_JobName,MATCH(C29&amp;"",lst_Jobs,0)),""))</f>
        <v/>
      </c>
      <c r="F29" s="25">
        <f>IF(C29="","",IFERROR(INDEX(tbl_Finance[Client],MATCH(C29&amp;"",tbl_Finance[Job Number],0)),""))</f>
        <v/>
      </c>
      <c r="G29" s="28">
        <f>IF(C29="","",COUNTIFS(tbl_Finance[Job Number],C29&amp;"",tbl_Finance[Ex GST],"&lt;&gt;"))</f>
        <v/>
      </c>
      <c r="H29" s="27">
        <f>IF(C29="","",SUMIFS(tbl_Finance[Ex GST],tbl_Finance[Job Number],C29&amp;""))</f>
        <v/>
      </c>
      <c r="I29" s="27">
        <f>IF(C29="","",SUMIFS(tbl_Finance[Ex GST],tbl_Finance[Job Number],C29&amp;"",tbl_Finance[Xero Invoice No],"&lt;&gt;"))</f>
        <v/>
      </c>
      <c r="J29" s="27">
        <f>IF(C29="","",H29-I29)</f>
        <v/>
      </c>
      <c r="K29" s="25">
        <f>IF(C29="","",IF(G29=0,"not invoiced yet",SUBSTITUTE(TRIM(IF(COUNTIFS(tbl_Finance[Job Number],C29&amp;"",tbl_Finance[Cost Centre],"ONSITE")&gt;0,"ONSITE ","")&amp;IF(COUNTIFS(tbl_Finance[Job Number],C29&amp;"",tbl_Finance[Cost Centre],"PRODUCTION")&gt;0,"PRODUCTION ","")&amp;IF(COUNTIFS(tbl_Finance[Job Number],C29&amp;"",tbl_Finance[Cost Centre],"VIDEO")&gt;0,"VIDEO ","")&amp;IF(COUNTIFS(tbl_Finance[Job Number],C29&amp;"",tbl_Finance[Cost Centre],"INTEGRATION")&gt;0,"INTEGRATION ","")&amp;IF(COUNTIFS(tbl_Finance[Job Number],C29&amp;"",tbl_Finance[Cost Centre],"CONSULTING")&gt;0,"CONSULTING ","")&amp;IF(COUNTIFS(tbl_Finance[Job Number],C29&amp;"",tbl_Finance[Cost Centre],"CTS")&gt;0,"CTS ",""))," ",", ")))</f>
        <v/>
      </c>
      <c r="L29" s="22" t="n">
        <v>46246</v>
      </c>
      <c r="M29" s="24" t="inlineStr">
        <is>
          <t>Proj: 0019</t>
        </is>
      </c>
      <c r="N29" s="25">
        <f>IF(M29="","",IF(AND(LEFT(M29,4)&lt;&gt;"http",set_RMSBase=""),"",HYPERLINK(IF(LEFT(M29,4)="http",M29,set_RMSBase&amp;M29),"Open opportunity")))</f>
        <v/>
      </c>
      <c r="O29" s="25">
        <f>IF(C29="","",C29)</f>
        <v/>
      </c>
      <c r="P29" s="24" t="inlineStr">
        <is>
          <t>Y</t>
        </is>
      </c>
      <c r="Q29" s="26" t="n">
        <v>1309.25</v>
      </c>
      <c r="R29" s="27">
        <f>IF(C29="","",H29+N(Q29))</f>
        <v/>
      </c>
      <c r="S29" s="29">
        <f>IFERROR(Q29/R29,"")</f>
        <v/>
      </c>
      <c r="T29" s="26" t="n">
        <v>706.67</v>
      </c>
      <c r="U29" s="26" t="n"/>
      <c r="V29" s="27">
        <f>IF(C29="","",N(T29)+N(U29))</f>
        <v/>
      </c>
      <c r="W29" s="27">
        <f>IF(C29="","",H29-V29)</f>
        <v/>
      </c>
      <c r="X29" s="29">
        <f>IFERROR(W29/H29,"")</f>
        <v/>
      </c>
      <c r="Y29" s="64" t="n">
        <v>4</v>
      </c>
      <c r="Z29" s="64" t="n"/>
      <c r="AA29" s="64" t="n"/>
      <c r="AB29" s="64" t="n"/>
      <c r="AC29" s="64" t="n">
        <v>31</v>
      </c>
      <c r="AD29" s="24" t="n"/>
    </row>
    <row r="30" ht="15" customHeight="1">
      <c r="A30" s="63">
        <f>IF(C30="","",IFERROR(IF(SUMPRODUCT(MAX((tbl_Finance[Job Number]=C30&amp;"")*(tbl_Finance[Xero Invoice No]&lt;&gt;"")*tbl_Finance[Date]))=0,"",SUMPRODUCT(MAX((tbl_Finance[Job Number]=C30&amp;"")*(tbl_Finance[Xero Invoice No]&lt;&gt;"")*tbl_Finance[Date]))),""))</f>
        <v/>
      </c>
      <c r="B30" s="25">
        <f>IF(C30="","",IF(COUNTIFS(tbl_Finance[Job Number],C30&amp;"",tbl_Finance[Xero Invoice No],"&lt;&gt;")=0,"",IFERROR(IF(COUNTIFS(tbl_Finance[Job Number],C30&amp;"",tbl_Finance[Xero Invoice No],LOOKUP(2,1/((tbl_Finance[Job Number]=C30&amp;"")*(tbl_Finance[Xero Invoice No]&lt;&gt;"")),tbl_Finance[Xero Invoice No]))=COUNTIFS(tbl_Finance[Job Number],C30&amp;"",tbl_Finance[Xero Invoice No],"&lt;&gt;"),LOOKUP(2,1/((tbl_Finance[Job Number]=C30&amp;"")*(tbl_Finance[Xero Invoice No]&lt;&gt;"")),tbl_Finance[Xero Invoice No]),LOOKUP(2,1/((tbl_Finance[Job Number]=C30&amp;"")*(tbl_Finance[Xero Invoice No]&lt;&gt;"")),tbl_Finance[Xero Invoice No])&amp;" +more"),"")))</f>
        <v/>
      </c>
      <c r="C30" s="24" t="inlineStr">
        <is>
          <t>2608604</t>
        </is>
      </c>
      <c r="D30" s="25">
        <f>IF(C30="","",IF(COUNTIF(lst_Jobs,C30&amp;"")&gt;0,"OK","CHECK"))</f>
        <v/>
      </c>
      <c r="E30" s="25">
        <f>IF(C30="","",IFERROR(INDEX(lst_JobName,MATCH(C30&amp;"",lst_Jobs,0)),""))</f>
        <v/>
      </c>
      <c r="F30" s="25">
        <f>IF(C30="","",IFERROR(INDEX(tbl_Finance[Client],MATCH(C30&amp;"",tbl_Finance[Job Number],0)),""))</f>
        <v/>
      </c>
      <c r="G30" s="28">
        <f>IF(C30="","",COUNTIFS(tbl_Finance[Job Number],C30&amp;"",tbl_Finance[Ex GST],"&lt;&gt;"))</f>
        <v/>
      </c>
      <c r="H30" s="27">
        <f>IF(C30="","",SUMIFS(tbl_Finance[Ex GST],tbl_Finance[Job Number],C30&amp;""))</f>
        <v/>
      </c>
      <c r="I30" s="27">
        <f>IF(C30="","",SUMIFS(tbl_Finance[Ex GST],tbl_Finance[Job Number],C30&amp;"",tbl_Finance[Xero Invoice No],"&lt;&gt;"))</f>
        <v/>
      </c>
      <c r="J30" s="27">
        <f>IF(C30="","",H30-I30)</f>
        <v/>
      </c>
      <c r="K30" s="25">
        <f>IF(C30="","",IF(G30=0,"not invoiced yet",SUBSTITUTE(TRIM(IF(COUNTIFS(tbl_Finance[Job Number],C30&amp;"",tbl_Finance[Cost Centre],"ONSITE")&gt;0,"ONSITE ","")&amp;IF(COUNTIFS(tbl_Finance[Job Number],C30&amp;"",tbl_Finance[Cost Centre],"PRODUCTION")&gt;0,"PRODUCTION ","")&amp;IF(COUNTIFS(tbl_Finance[Job Number],C30&amp;"",tbl_Finance[Cost Centre],"VIDEO")&gt;0,"VIDEO ","")&amp;IF(COUNTIFS(tbl_Finance[Job Number],C30&amp;"",tbl_Finance[Cost Centre],"INTEGRATION")&gt;0,"INTEGRATION ","")&amp;IF(COUNTIFS(tbl_Finance[Job Number],C30&amp;"",tbl_Finance[Cost Centre],"CONSULTING")&gt;0,"CONSULTING ","")&amp;IF(COUNTIFS(tbl_Finance[Job Number],C30&amp;"",tbl_Finance[Cost Centre],"CTS")&gt;0,"CTS ",""))," ",", ")))</f>
        <v/>
      </c>
      <c r="L30" s="22" t="n">
        <v>46247</v>
      </c>
      <c r="M30" s="24" t="inlineStr">
        <is>
          <t>6138</t>
        </is>
      </c>
      <c r="N30" s="25">
        <f>IF(M30="","",IF(AND(LEFT(M30,4)&lt;&gt;"http",set_RMSBase=""),"",HYPERLINK(IF(LEFT(M30,4)="http",M30,set_RMSBase&amp;M30),"Open opportunity")))</f>
        <v/>
      </c>
      <c r="O30" s="25">
        <f>IF(C30="","",C30)</f>
        <v/>
      </c>
      <c r="P30" s="24" t="inlineStr">
        <is>
          <t>Y</t>
        </is>
      </c>
      <c r="Q30" s="26" t="n">
        <v>25</v>
      </c>
      <c r="R30" s="27">
        <f>IF(C30="","",H30+N(Q30))</f>
        <v/>
      </c>
      <c r="S30" s="29">
        <f>IFERROR(Q30/R30,"")</f>
        <v/>
      </c>
      <c r="T30" s="26" t="n"/>
      <c r="U30" s="26" t="n"/>
      <c r="V30" s="27">
        <f>IF(C30="","",N(T30)+N(U30))</f>
        <v/>
      </c>
      <c r="W30" s="27">
        <f>IF(C30="","",H30-V30)</f>
        <v/>
      </c>
      <c r="X30" s="29">
        <f>IFERROR(W30/H30,"")</f>
        <v/>
      </c>
      <c r="Y30" s="64" t="n">
        <v>4</v>
      </c>
      <c r="Z30" s="64" t="n"/>
      <c r="AA30" s="64" t="n">
        <v>2</v>
      </c>
      <c r="AB30" s="64" t="n"/>
      <c r="AC30" s="64" t="n">
        <v>6</v>
      </c>
      <c r="AD30" s="24" t="n"/>
    </row>
    <row r="31" ht="15" customHeight="1">
      <c r="A31" s="63">
        <f>IF(C31="","",IFERROR(IF(SUMPRODUCT(MAX((tbl_Finance[Job Number]=C31&amp;"")*(tbl_Finance[Xero Invoice No]&lt;&gt;"")*tbl_Finance[Date]))=0,"",SUMPRODUCT(MAX((tbl_Finance[Job Number]=C31&amp;"")*(tbl_Finance[Xero Invoice No]&lt;&gt;"")*tbl_Finance[Date]))),""))</f>
        <v/>
      </c>
      <c r="B31" s="25">
        <f>IF(C31="","",IF(COUNTIFS(tbl_Finance[Job Number],C31&amp;"",tbl_Finance[Xero Invoice No],"&lt;&gt;")=0,"",IFERROR(IF(COUNTIFS(tbl_Finance[Job Number],C31&amp;"",tbl_Finance[Xero Invoice No],LOOKUP(2,1/((tbl_Finance[Job Number]=C31&amp;"")*(tbl_Finance[Xero Invoice No]&lt;&gt;"")),tbl_Finance[Xero Invoice No]))=COUNTIFS(tbl_Finance[Job Number],C31&amp;"",tbl_Finance[Xero Invoice No],"&lt;&gt;"),LOOKUP(2,1/((tbl_Finance[Job Number]=C31&amp;"")*(tbl_Finance[Xero Invoice No]&lt;&gt;"")),tbl_Finance[Xero Invoice No]),LOOKUP(2,1/((tbl_Finance[Job Number]=C31&amp;"")*(tbl_Finance[Xero Invoice No]&lt;&gt;"")),tbl_Finance[Xero Invoice No])&amp;" +more"),"")))</f>
        <v/>
      </c>
      <c r="C31" s="24" t="inlineStr">
        <is>
          <t>26052702</t>
        </is>
      </c>
      <c r="D31" s="25">
        <f>IF(C31="","",IF(COUNTIF(lst_Jobs,C31&amp;"")&gt;0,"OK","CHECK"))</f>
        <v/>
      </c>
      <c r="E31" s="25">
        <f>IF(C31="","",IFERROR(INDEX(lst_JobName,MATCH(C31&amp;"",lst_Jobs,0)),""))</f>
        <v/>
      </c>
      <c r="F31" s="25">
        <f>IF(C31="","",IFERROR(INDEX(tbl_Finance[Client],MATCH(C31&amp;"",tbl_Finance[Job Number],0)),""))</f>
        <v/>
      </c>
      <c r="G31" s="28">
        <f>IF(C31="","",COUNTIFS(tbl_Finance[Job Number],C31&amp;"",tbl_Finance[Ex GST],"&lt;&gt;"))</f>
        <v/>
      </c>
      <c r="H31" s="27">
        <f>IF(C31="","",SUMIFS(tbl_Finance[Ex GST],tbl_Finance[Job Number],C31&amp;""))</f>
        <v/>
      </c>
      <c r="I31" s="27">
        <f>IF(C31="","",SUMIFS(tbl_Finance[Ex GST],tbl_Finance[Job Number],C31&amp;"",tbl_Finance[Xero Invoice No],"&lt;&gt;"))</f>
        <v/>
      </c>
      <c r="J31" s="27">
        <f>IF(C31="","",H31-I31)</f>
        <v/>
      </c>
      <c r="K31" s="25">
        <f>IF(C31="","",IF(G31=0,"not invoiced yet",SUBSTITUTE(TRIM(IF(COUNTIFS(tbl_Finance[Job Number],C31&amp;"",tbl_Finance[Cost Centre],"ONSITE")&gt;0,"ONSITE ","")&amp;IF(COUNTIFS(tbl_Finance[Job Number],C31&amp;"",tbl_Finance[Cost Centre],"PRODUCTION")&gt;0,"PRODUCTION ","")&amp;IF(COUNTIFS(tbl_Finance[Job Number],C31&amp;"",tbl_Finance[Cost Centre],"VIDEO")&gt;0,"VIDEO ","")&amp;IF(COUNTIFS(tbl_Finance[Job Number],C31&amp;"",tbl_Finance[Cost Centre],"INTEGRATION")&gt;0,"INTEGRATION ","")&amp;IF(COUNTIFS(tbl_Finance[Job Number],C31&amp;"",tbl_Finance[Cost Centre],"CONSULTING")&gt;0,"CONSULTING ","")&amp;IF(COUNTIFS(tbl_Finance[Job Number],C31&amp;"",tbl_Finance[Cost Centre],"CTS")&gt;0,"CTS ",""))," ",", ")))</f>
        <v/>
      </c>
      <c r="L31" s="22" t="n">
        <v>46247</v>
      </c>
      <c r="M31" s="24" t="inlineStr">
        <is>
          <t>6045</t>
        </is>
      </c>
      <c r="N31" s="25">
        <f>IF(M31="","",IF(AND(LEFT(M31,4)&lt;&gt;"http",set_RMSBase=""),"",HYPERLINK(IF(LEFT(M31,4)="http",M31,set_RMSBase&amp;M31),"Open opportunity")))</f>
        <v/>
      </c>
      <c r="O31" s="25">
        <f>IF(C31="","",C31)</f>
        <v/>
      </c>
      <c r="P31" s="24" t="inlineStr">
        <is>
          <t>Y</t>
        </is>
      </c>
      <c r="Q31" s="26" t="n">
        <v>2181</v>
      </c>
      <c r="R31" s="27">
        <f>IF(C31="","",H31+N(Q31))</f>
        <v/>
      </c>
      <c r="S31" s="29">
        <f>IFERROR(Q31/R31,"")</f>
        <v/>
      </c>
      <c r="T31" s="26" t="n">
        <v>5005.78</v>
      </c>
      <c r="U31" s="26" t="n"/>
      <c r="V31" s="27">
        <f>IF(C31="","",N(T31)+N(U31))</f>
        <v/>
      </c>
      <c r="W31" s="27">
        <f>IF(C31="","",H31-V31)</f>
        <v/>
      </c>
      <c r="X31" s="29">
        <f>IFERROR(W31/H31,"")</f>
        <v/>
      </c>
      <c r="Y31" s="64" t="n"/>
      <c r="Z31" s="64" t="n"/>
      <c r="AA31" s="64" t="n">
        <v>6</v>
      </c>
      <c r="AB31" s="64" t="n"/>
      <c r="AC31" s="64" t="n">
        <v>78</v>
      </c>
      <c r="AD31" s="24" t="n"/>
    </row>
    <row r="32" ht="15" customHeight="1">
      <c r="A32" s="63">
        <f>IF(C32="","",IFERROR(IF(SUMPRODUCT(MAX((tbl_Finance[Job Number]=C32&amp;"")*(tbl_Finance[Xero Invoice No]&lt;&gt;"")*tbl_Finance[Date]))=0,"",SUMPRODUCT(MAX((tbl_Finance[Job Number]=C32&amp;"")*(tbl_Finance[Xero Invoice No]&lt;&gt;"")*tbl_Finance[Date]))),""))</f>
        <v/>
      </c>
      <c r="B32" s="25">
        <f>IF(C32="","",IF(COUNTIFS(tbl_Finance[Job Number],C32&amp;"",tbl_Finance[Xero Invoice No],"&lt;&gt;")=0,"",IFERROR(IF(COUNTIFS(tbl_Finance[Job Number],C32&amp;"",tbl_Finance[Xero Invoice No],LOOKUP(2,1/((tbl_Finance[Job Number]=C32&amp;"")*(tbl_Finance[Xero Invoice No]&lt;&gt;"")),tbl_Finance[Xero Invoice No]))=COUNTIFS(tbl_Finance[Job Number],C32&amp;"",tbl_Finance[Xero Invoice No],"&lt;&gt;"),LOOKUP(2,1/((tbl_Finance[Job Number]=C32&amp;"")*(tbl_Finance[Xero Invoice No]&lt;&gt;"")),tbl_Finance[Xero Invoice No]),LOOKUP(2,1/((tbl_Finance[Job Number]=C32&amp;"")*(tbl_Finance[Xero Invoice No]&lt;&gt;"")),tbl_Finance[Xero Invoice No])&amp;" +more"),"")))</f>
        <v/>
      </c>
      <c r="C32" s="24" t="inlineStr">
        <is>
          <t>26072906</t>
        </is>
      </c>
      <c r="D32" s="25">
        <f>IF(C32="","",IF(COUNTIF(lst_Jobs,C32&amp;"")&gt;0,"OK","CHECK"))</f>
        <v/>
      </c>
      <c r="E32" s="25">
        <f>IF(C32="","",IFERROR(INDEX(lst_JobName,MATCH(C32&amp;"",lst_Jobs,0)),""))</f>
        <v/>
      </c>
      <c r="F32" s="25">
        <f>IF(C32="","",IFERROR(INDEX(tbl_Finance[Client],MATCH(C32&amp;"",tbl_Finance[Job Number],0)),""))</f>
        <v/>
      </c>
      <c r="G32" s="28">
        <f>IF(C32="","",COUNTIFS(tbl_Finance[Job Number],C32&amp;"",tbl_Finance[Ex GST],"&lt;&gt;"))</f>
        <v/>
      </c>
      <c r="H32" s="27">
        <f>IF(C32="","",SUMIFS(tbl_Finance[Ex GST],tbl_Finance[Job Number],C32&amp;""))</f>
        <v/>
      </c>
      <c r="I32" s="27">
        <f>IF(C32="","",SUMIFS(tbl_Finance[Ex GST],tbl_Finance[Job Number],C32&amp;"",tbl_Finance[Xero Invoice No],"&lt;&gt;"))</f>
        <v/>
      </c>
      <c r="J32" s="27">
        <f>IF(C32="","",H32-I32)</f>
        <v/>
      </c>
      <c r="K32" s="25">
        <f>IF(C32="","",IF(G32=0,"not invoiced yet",SUBSTITUTE(TRIM(IF(COUNTIFS(tbl_Finance[Job Number],C32&amp;"",tbl_Finance[Cost Centre],"ONSITE")&gt;0,"ONSITE ","")&amp;IF(COUNTIFS(tbl_Finance[Job Number],C32&amp;"",tbl_Finance[Cost Centre],"PRODUCTION")&gt;0,"PRODUCTION ","")&amp;IF(COUNTIFS(tbl_Finance[Job Number],C32&amp;"",tbl_Finance[Cost Centre],"VIDEO")&gt;0,"VIDEO ","")&amp;IF(COUNTIFS(tbl_Finance[Job Number],C32&amp;"",tbl_Finance[Cost Centre],"INTEGRATION")&gt;0,"INTEGRATION ","")&amp;IF(COUNTIFS(tbl_Finance[Job Number],C32&amp;"",tbl_Finance[Cost Centre],"CONSULTING")&gt;0,"CONSULTING ","")&amp;IF(COUNTIFS(tbl_Finance[Job Number],C32&amp;"",tbl_Finance[Cost Centre],"CTS")&gt;0,"CTS ",""))," ",", ")))</f>
        <v/>
      </c>
      <c r="L32" s="22" t="n">
        <v>46252</v>
      </c>
      <c r="M32" s="24" t="inlineStr">
        <is>
          <t>6130</t>
        </is>
      </c>
      <c r="N32" s="25">
        <f>IF(M32="","",IF(AND(LEFT(M32,4)&lt;&gt;"http",set_RMSBase=""),"",HYPERLINK(IF(LEFT(M32,4)="http",M32,set_RMSBase&amp;M32),"Open opportunity")))</f>
        <v/>
      </c>
      <c r="O32" s="25">
        <f>IF(C32="","",C32)</f>
        <v/>
      </c>
      <c r="P32" s="24" t="inlineStr">
        <is>
          <t>Y</t>
        </is>
      </c>
      <c r="Q32" s="26" t="n">
        <v>148.8</v>
      </c>
      <c r="R32" s="27">
        <f>IF(C32="","",H32+N(Q32))</f>
        <v/>
      </c>
      <c r="S32" s="29">
        <f>IFERROR(Q32/R32,"")</f>
        <v/>
      </c>
      <c r="T32" s="26" t="n"/>
      <c r="U32" s="26" t="n"/>
      <c r="V32" s="27">
        <f>IF(C32="","",N(T32)+N(U32))</f>
        <v/>
      </c>
      <c r="W32" s="27">
        <f>IF(C32="","",H32-V32)</f>
        <v/>
      </c>
      <c r="X32" s="29">
        <f>IFERROR(W32/H32,"")</f>
        <v/>
      </c>
      <c r="Y32" s="64" t="n">
        <v>8</v>
      </c>
      <c r="Z32" s="64" t="n">
        <v>8</v>
      </c>
      <c r="AA32" s="64" t="n"/>
      <c r="AB32" s="64" t="n"/>
      <c r="AC32" s="64" t="n">
        <v>8</v>
      </c>
      <c r="AD32" s="24" t="n"/>
    </row>
    <row r="33" ht="15" customHeight="1">
      <c r="A33" s="63">
        <f>IF(C33="","",IFERROR(IF(SUMPRODUCT(MAX((tbl_Finance[Job Number]=C33&amp;"")*(tbl_Finance[Xero Invoice No]&lt;&gt;"")*tbl_Finance[Date]))=0,"",SUMPRODUCT(MAX((tbl_Finance[Job Number]=C33&amp;"")*(tbl_Finance[Xero Invoice No]&lt;&gt;"")*tbl_Finance[Date]))),""))</f>
        <v/>
      </c>
      <c r="B33" s="25">
        <f>IF(C33="","",IF(COUNTIFS(tbl_Finance[Job Number],C33&amp;"",tbl_Finance[Xero Invoice No],"&lt;&gt;")=0,"",IFERROR(IF(COUNTIFS(tbl_Finance[Job Number],C33&amp;"",tbl_Finance[Xero Invoice No],LOOKUP(2,1/((tbl_Finance[Job Number]=C33&amp;"")*(tbl_Finance[Xero Invoice No]&lt;&gt;"")),tbl_Finance[Xero Invoice No]))=COUNTIFS(tbl_Finance[Job Number],C33&amp;"",tbl_Finance[Xero Invoice No],"&lt;&gt;"),LOOKUP(2,1/((tbl_Finance[Job Number]=C33&amp;"")*(tbl_Finance[Xero Invoice No]&lt;&gt;"")),tbl_Finance[Xero Invoice No]),LOOKUP(2,1/((tbl_Finance[Job Number]=C33&amp;"")*(tbl_Finance[Xero Invoice No]&lt;&gt;"")),tbl_Finance[Xero Invoice No])&amp;" +more"),"")))</f>
        <v/>
      </c>
      <c r="C33" s="24" t="inlineStr">
        <is>
          <t>2603104</t>
        </is>
      </c>
      <c r="D33" s="25">
        <f>IF(C33="","",IF(COUNTIF(lst_Jobs,C33&amp;"")&gt;0,"OK","CHECK"))</f>
        <v/>
      </c>
      <c r="E33" s="25">
        <f>IF(C33="","",IFERROR(INDEX(lst_JobName,MATCH(C33&amp;"",lst_Jobs,0)),""))</f>
        <v/>
      </c>
      <c r="F33" s="25">
        <f>IF(C33="","",IFERROR(INDEX(tbl_Finance[Client],MATCH(C33&amp;"",tbl_Finance[Job Number],0)),""))</f>
        <v/>
      </c>
      <c r="G33" s="28">
        <f>IF(C33="","",COUNTIFS(tbl_Finance[Job Number],C33&amp;"",tbl_Finance[Ex GST],"&lt;&gt;"))</f>
        <v/>
      </c>
      <c r="H33" s="27">
        <f>IF(C33="","",SUMIFS(tbl_Finance[Ex GST],tbl_Finance[Job Number],C33&amp;""))</f>
        <v/>
      </c>
      <c r="I33" s="27">
        <f>IF(C33="","",SUMIFS(tbl_Finance[Ex GST],tbl_Finance[Job Number],C33&amp;"",tbl_Finance[Xero Invoice No],"&lt;&gt;"))</f>
        <v/>
      </c>
      <c r="J33" s="27">
        <f>IF(C33="","",H33-I33)</f>
        <v/>
      </c>
      <c r="K33" s="25">
        <f>IF(C33="","",IF(G33=0,"not invoiced yet",SUBSTITUTE(TRIM(IF(COUNTIFS(tbl_Finance[Job Number],C33&amp;"",tbl_Finance[Cost Centre],"ONSITE")&gt;0,"ONSITE ","")&amp;IF(COUNTIFS(tbl_Finance[Job Number],C33&amp;"",tbl_Finance[Cost Centre],"PRODUCTION")&gt;0,"PRODUCTION ","")&amp;IF(COUNTIFS(tbl_Finance[Job Number],C33&amp;"",tbl_Finance[Cost Centre],"VIDEO")&gt;0,"VIDEO ","")&amp;IF(COUNTIFS(tbl_Finance[Job Number],C33&amp;"",tbl_Finance[Cost Centre],"INTEGRATION")&gt;0,"INTEGRATION ","")&amp;IF(COUNTIFS(tbl_Finance[Job Number],C33&amp;"",tbl_Finance[Cost Centre],"CONSULTING")&gt;0,"CONSULTING ","")&amp;IF(COUNTIFS(tbl_Finance[Job Number],C33&amp;"",tbl_Finance[Cost Centre],"CTS")&gt;0,"CTS ",""))," ",", ")))</f>
        <v/>
      </c>
      <c r="L33" s="22" t="n">
        <v>46252</v>
      </c>
      <c r="M33" s="24" t="inlineStr">
        <is>
          <t>6091</t>
        </is>
      </c>
      <c r="N33" s="25">
        <f>IF(M33="","",IF(AND(LEFT(M33,4)&lt;&gt;"http",set_RMSBase=""),"",HYPERLINK(IF(LEFT(M33,4)="http",M33,set_RMSBase&amp;M33),"Open opportunity")))</f>
        <v/>
      </c>
      <c r="O33" s="25">
        <f>IF(C33="","",C33)</f>
        <v/>
      </c>
      <c r="P33" s="24" t="inlineStr">
        <is>
          <t>Y</t>
        </is>
      </c>
      <c r="Q33" s="26" t="n">
        <v>2984.5</v>
      </c>
      <c r="R33" s="27">
        <f>IF(C33="","",H33+N(Q33))</f>
        <v/>
      </c>
      <c r="S33" s="29">
        <f>IFERROR(Q33/R33,"")</f>
        <v/>
      </c>
      <c r="T33" s="26" t="n">
        <v>2166.76</v>
      </c>
      <c r="U33" s="26" t="n"/>
      <c r="V33" s="27">
        <f>IF(C33="","",N(T33)+N(U33))</f>
        <v/>
      </c>
      <c r="W33" s="27">
        <f>IF(C33="","",H33-V33)</f>
        <v/>
      </c>
      <c r="X33" s="29">
        <f>IFERROR(W33/H33,"")</f>
        <v/>
      </c>
      <c r="Y33" s="64" t="n">
        <v>8</v>
      </c>
      <c r="Z33" s="64" t="n"/>
      <c r="AA33" s="64" t="n"/>
      <c r="AB33" s="64" t="n"/>
      <c r="AC33" s="64" t="n">
        <v>18</v>
      </c>
      <c r="AD33" s="24" t="n"/>
    </row>
    <row r="34" ht="15" customHeight="1">
      <c r="A34" s="63">
        <f>IF(C34="","",IFERROR(IF(SUMPRODUCT(MAX((tbl_Finance[Job Number]=C34&amp;"")*(tbl_Finance[Xero Invoice No]&lt;&gt;"")*tbl_Finance[Date]))=0,"",SUMPRODUCT(MAX((tbl_Finance[Job Number]=C34&amp;"")*(tbl_Finance[Xero Invoice No]&lt;&gt;"")*tbl_Finance[Date]))),""))</f>
        <v/>
      </c>
      <c r="B34" s="25">
        <f>IF(C34="","",IF(COUNTIFS(tbl_Finance[Job Number],C34&amp;"",tbl_Finance[Xero Invoice No],"&lt;&gt;")=0,"",IFERROR(IF(COUNTIFS(tbl_Finance[Job Number],C34&amp;"",tbl_Finance[Xero Invoice No],LOOKUP(2,1/((tbl_Finance[Job Number]=C34&amp;"")*(tbl_Finance[Xero Invoice No]&lt;&gt;"")),tbl_Finance[Xero Invoice No]))=COUNTIFS(tbl_Finance[Job Number],C34&amp;"",tbl_Finance[Xero Invoice No],"&lt;&gt;"),LOOKUP(2,1/((tbl_Finance[Job Number]=C34&amp;"")*(tbl_Finance[Xero Invoice No]&lt;&gt;"")),tbl_Finance[Xero Invoice No]),LOOKUP(2,1/((tbl_Finance[Job Number]=C34&amp;"")*(tbl_Finance[Xero Invoice No]&lt;&gt;"")),tbl_Finance[Xero Invoice No])&amp;" +more"),"")))</f>
        <v/>
      </c>
      <c r="C34" s="24" t="inlineStr">
        <is>
          <t>26072802</t>
        </is>
      </c>
      <c r="D34" s="25">
        <f>IF(C34="","",IF(COUNTIF(lst_Jobs,C34&amp;"")&gt;0,"OK","CHECK"))</f>
        <v/>
      </c>
      <c r="E34" s="25">
        <f>IF(C34="","",IFERROR(INDEX(lst_JobName,MATCH(C34&amp;"",lst_Jobs,0)),""))</f>
        <v/>
      </c>
      <c r="F34" s="25">
        <f>IF(C34="","",IFERROR(INDEX(tbl_Finance[Client],MATCH(C34&amp;"",tbl_Finance[Job Number],0)),""))</f>
        <v/>
      </c>
      <c r="G34" s="28">
        <f>IF(C34="","",COUNTIFS(tbl_Finance[Job Number],C34&amp;"",tbl_Finance[Ex GST],"&lt;&gt;"))</f>
        <v/>
      </c>
      <c r="H34" s="27">
        <f>IF(C34="","",SUMIFS(tbl_Finance[Ex GST],tbl_Finance[Job Number],C34&amp;""))</f>
        <v/>
      </c>
      <c r="I34" s="27">
        <f>IF(C34="","",SUMIFS(tbl_Finance[Ex GST],tbl_Finance[Job Number],C34&amp;"",tbl_Finance[Xero Invoice No],"&lt;&gt;"))</f>
        <v/>
      </c>
      <c r="J34" s="27">
        <f>IF(C34="","",H34-I34)</f>
        <v/>
      </c>
      <c r="K34" s="25">
        <f>IF(C34="","",IF(G34=0,"not invoiced yet",SUBSTITUTE(TRIM(IF(COUNTIFS(tbl_Finance[Job Number],C34&amp;"",tbl_Finance[Cost Centre],"ONSITE")&gt;0,"ONSITE ","")&amp;IF(COUNTIFS(tbl_Finance[Job Number],C34&amp;"",tbl_Finance[Cost Centre],"PRODUCTION")&gt;0,"PRODUCTION ","")&amp;IF(COUNTIFS(tbl_Finance[Job Number],C34&amp;"",tbl_Finance[Cost Centre],"VIDEO")&gt;0,"VIDEO ","")&amp;IF(COUNTIFS(tbl_Finance[Job Number],C34&amp;"",tbl_Finance[Cost Centre],"INTEGRATION")&gt;0,"INTEGRATION ","")&amp;IF(COUNTIFS(tbl_Finance[Job Number],C34&amp;"",tbl_Finance[Cost Centre],"CONSULTING")&gt;0,"CONSULTING ","")&amp;IF(COUNTIFS(tbl_Finance[Job Number],C34&amp;"",tbl_Finance[Cost Centre],"CTS")&gt;0,"CTS ",""))," ",", ")))</f>
        <v/>
      </c>
      <c r="L34" s="22" t="n">
        <v>46252</v>
      </c>
      <c r="M34" s="24" t="inlineStr">
        <is>
          <t>6131</t>
        </is>
      </c>
      <c r="N34" s="25">
        <f>IF(M34="","",IF(AND(LEFT(M34,4)&lt;&gt;"http",set_RMSBase=""),"",HYPERLINK(IF(LEFT(M34,4)="http",M34,set_RMSBase&amp;M34),"Open opportunity")))</f>
        <v/>
      </c>
      <c r="O34" s="25">
        <f>IF(C34="","",C34)</f>
        <v/>
      </c>
      <c r="P34" s="24" t="inlineStr">
        <is>
          <t>Y</t>
        </is>
      </c>
      <c r="Q34" s="26" t="n">
        <v>95</v>
      </c>
      <c r="R34" s="27">
        <f>IF(C34="","",H34+N(Q34))</f>
        <v/>
      </c>
      <c r="S34" s="29">
        <f>IFERROR(Q34/R34,"")</f>
        <v/>
      </c>
      <c r="T34" s="26" t="n"/>
      <c r="U34" s="26" t="n"/>
      <c r="V34" s="27">
        <f>IF(C34="","",N(T34)+N(U34))</f>
        <v/>
      </c>
      <c r="W34" s="27">
        <f>IF(C34="","",H34-V34)</f>
        <v/>
      </c>
      <c r="X34" s="29">
        <f>IFERROR(W34/H34,"")</f>
        <v/>
      </c>
      <c r="Y34" s="64" t="n"/>
      <c r="Z34" s="64" t="n"/>
      <c r="AA34" s="64" t="n"/>
      <c r="AB34" s="64" t="n"/>
      <c r="AC34" s="64" t="n">
        <v>6.5</v>
      </c>
      <c r="AD34" s="24" t="n"/>
    </row>
    <row r="35" ht="15" customHeight="1">
      <c r="A35" s="63">
        <f>IF(C35="","",IFERROR(IF(SUMPRODUCT(MAX((tbl_Finance[Job Number]=C35&amp;"")*(tbl_Finance[Xero Invoice No]&lt;&gt;"")*tbl_Finance[Date]))=0,"",SUMPRODUCT(MAX((tbl_Finance[Job Number]=C35&amp;"")*(tbl_Finance[Xero Invoice No]&lt;&gt;"")*tbl_Finance[Date]))),""))</f>
        <v/>
      </c>
      <c r="B35" s="25">
        <f>IF(C35="","",IF(COUNTIFS(tbl_Finance[Job Number],C35&amp;"",tbl_Finance[Xero Invoice No],"&lt;&gt;")=0,"",IFERROR(IF(COUNTIFS(tbl_Finance[Job Number],C35&amp;"",tbl_Finance[Xero Invoice No],LOOKUP(2,1/((tbl_Finance[Job Number]=C35&amp;"")*(tbl_Finance[Xero Invoice No]&lt;&gt;"")),tbl_Finance[Xero Invoice No]))=COUNTIFS(tbl_Finance[Job Number],C35&amp;"",tbl_Finance[Xero Invoice No],"&lt;&gt;"),LOOKUP(2,1/((tbl_Finance[Job Number]=C35&amp;"")*(tbl_Finance[Xero Invoice No]&lt;&gt;"")),tbl_Finance[Xero Invoice No]),LOOKUP(2,1/((tbl_Finance[Job Number]=C35&amp;"")*(tbl_Finance[Xero Invoice No]&lt;&gt;"")),tbl_Finance[Xero Invoice No])&amp;" +more"),"")))</f>
        <v/>
      </c>
      <c r="C35" s="24" t="inlineStr">
        <is>
          <t>26081402</t>
        </is>
      </c>
      <c r="D35" s="25">
        <f>IF(C35="","",IF(COUNTIF(lst_Jobs,C35&amp;"")&gt;0,"OK","CHECK"))</f>
        <v/>
      </c>
      <c r="E35" s="25">
        <f>IF(C35="","",IFERROR(INDEX(lst_JobName,MATCH(C35&amp;"",lst_Jobs,0)),""))</f>
        <v/>
      </c>
      <c r="F35" s="25">
        <f>IF(C35="","",IFERROR(INDEX(tbl_Finance[Client],MATCH(C35&amp;"",tbl_Finance[Job Number],0)),""))</f>
        <v/>
      </c>
      <c r="G35" s="28">
        <f>IF(C35="","",COUNTIFS(tbl_Finance[Job Number],C35&amp;"",tbl_Finance[Ex GST],"&lt;&gt;"))</f>
        <v/>
      </c>
      <c r="H35" s="27">
        <f>IF(C35="","",SUMIFS(tbl_Finance[Ex GST],tbl_Finance[Job Number],C35&amp;""))</f>
        <v/>
      </c>
      <c r="I35" s="27">
        <f>IF(C35="","",SUMIFS(tbl_Finance[Ex GST],tbl_Finance[Job Number],C35&amp;"",tbl_Finance[Xero Invoice No],"&lt;&gt;"))</f>
        <v/>
      </c>
      <c r="J35" s="27">
        <f>IF(C35="","",H35-I35)</f>
        <v/>
      </c>
      <c r="K35" s="25">
        <f>IF(C35="","",IF(G35=0,"not invoiced yet",SUBSTITUTE(TRIM(IF(COUNTIFS(tbl_Finance[Job Number],C35&amp;"",tbl_Finance[Cost Centre],"ONSITE")&gt;0,"ONSITE ","")&amp;IF(COUNTIFS(tbl_Finance[Job Number],C35&amp;"",tbl_Finance[Cost Centre],"PRODUCTION")&gt;0,"PRODUCTION ","")&amp;IF(COUNTIFS(tbl_Finance[Job Number],C35&amp;"",tbl_Finance[Cost Centre],"VIDEO")&gt;0,"VIDEO ","")&amp;IF(COUNTIFS(tbl_Finance[Job Number],C35&amp;"",tbl_Finance[Cost Centre],"INTEGRATION")&gt;0,"INTEGRATION ","")&amp;IF(COUNTIFS(tbl_Finance[Job Number],C35&amp;"",tbl_Finance[Cost Centre],"CONSULTING")&gt;0,"CONSULTING ","")&amp;IF(COUNTIFS(tbl_Finance[Job Number],C35&amp;"",tbl_Finance[Cost Centre],"CTS")&gt;0,"CTS ",""))," ",", ")))</f>
        <v/>
      </c>
      <c r="L35" s="22" t="n">
        <v>46253</v>
      </c>
      <c r="M35" s="24" t="inlineStr">
        <is>
          <t>6153</t>
        </is>
      </c>
      <c r="N35" s="25">
        <f>IF(M35="","",IF(AND(LEFT(M35,4)&lt;&gt;"http",set_RMSBase=""),"",HYPERLINK(IF(LEFT(M35,4)="http",M35,set_RMSBase&amp;M35),"Open opportunity")))</f>
        <v/>
      </c>
      <c r="O35" s="25">
        <f>IF(C35="","",C35)</f>
        <v/>
      </c>
      <c r="P35" s="24" t="inlineStr">
        <is>
          <t>Y</t>
        </is>
      </c>
      <c r="Q35" s="26" t="n"/>
      <c r="R35" s="27">
        <f>IF(C35="","",H35+N(Q35))</f>
        <v/>
      </c>
      <c r="S35" s="29">
        <f>IFERROR(Q35/R35,"")</f>
        <v/>
      </c>
      <c r="T35" s="26" t="n"/>
      <c r="U35" s="26" t="n"/>
      <c r="V35" s="27">
        <f>IF(C35="","",N(T35)+N(U35))</f>
        <v/>
      </c>
      <c r="W35" s="27">
        <f>IF(C35="","",H35-V35)</f>
        <v/>
      </c>
      <c r="X35" s="29">
        <f>IFERROR(W35/H35,"")</f>
        <v/>
      </c>
      <c r="Y35" s="64" t="n"/>
      <c r="Z35" s="64" t="n"/>
      <c r="AA35" s="64" t="n"/>
      <c r="AB35" s="64" t="n"/>
      <c r="AC35" s="64" t="n">
        <v>4</v>
      </c>
      <c r="AD35" s="24" t="n"/>
    </row>
    <row r="36" ht="15" customHeight="1">
      <c r="A36" s="63">
        <f>IF(C36="","",IFERROR(IF(SUMPRODUCT(MAX((tbl_Finance[Job Number]=C36&amp;"")*(tbl_Finance[Xero Invoice No]&lt;&gt;"")*tbl_Finance[Date]))=0,"",SUMPRODUCT(MAX((tbl_Finance[Job Number]=C36&amp;"")*(tbl_Finance[Xero Invoice No]&lt;&gt;"")*tbl_Finance[Date]))),""))</f>
        <v/>
      </c>
      <c r="B36" s="25">
        <f>IF(C36="","",IF(COUNTIFS(tbl_Finance[Job Number],C36&amp;"",tbl_Finance[Xero Invoice No],"&lt;&gt;")=0,"",IFERROR(IF(COUNTIFS(tbl_Finance[Job Number],C36&amp;"",tbl_Finance[Xero Invoice No],LOOKUP(2,1/((tbl_Finance[Job Number]=C36&amp;"")*(tbl_Finance[Xero Invoice No]&lt;&gt;"")),tbl_Finance[Xero Invoice No]))=COUNTIFS(tbl_Finance[Job Number],C36&amp;"",tbl_Finance[Xero Invoice No],"&lt;&gt;"),LOOKUP(2,1/((tbl_Finance[Job Number]=C36&amp;"")*(tbl_Finance[Xero Invoice No]&lt;&gt;"")),tbl_Finance[Xero Invoice No]),LOOKUP(2,1/((tbl_Finance[Job Number]=C36&amp;"")*(tbl_Finance[Xero Invoice No]&lt;&gt;"")),tbl_Finance[Xero Invoice No])&amp;" +more"),"")))</f>
        <v/>
      </c>
      <c r="C36" s="24" t="inlineStr">
        <is>
          <t>26061106</t>
        </is>
      </c>
      <c r="D36" s="25">
        <f>IF(C36="","",IF(COUNTIF(lst_Jobs,C36&amp;"")&gt;0,"OK","CHECK"))</f>
        <v/>
      </c>
      <c r="E36" s="25">
        <f>IF(C36="","",IFERROR(INDEX(lst_JobName,MATCH(C36&amp;"",lst_Jobs,0)),""))</f>
        <v/>
      </c>
      <c r="F36" s="25">
        <f>IF(C36="","",IFERROR(INDEX(tbl_Finance[Client],MATCH(C36&amp;"",tbl_Finance[Job Number],0)),""))</f>
        <v/>
      </c>
      <c r="G36" s="28">
        <f>IF(C36="","",COUNTIFS(tbl_Finance[Job Number],C36&amp;"",tbl_Finance[Ex GST],"&lt;&gt;"))</f>
        <v/>
      </c>
      <c r="H36" s="27">
        <f>IF(C36="","",SUMIFS(tbl_Finance[Ex GST],tbl_Finance[Job Number],C36&amp;""))</f>
        <v/>
      </c>
      <c r="I36" s="27">
        <f>IF(C36="","",SUMIFS(tbl_Finance[Ex GST],tbl_Finance[Job Number],C36&amp;"",tbl_Finance[Xero Invoice No],"&lt;&gt;"))</f>
        <v/>
      </c>
      <c r="J36" s="27">
        <f>IF(C36="","",H36-I36)</f>
        <v/>
      </c>
      <c r="K36" s="25">
        <f>IF(C36="","",IF(G36=0,"not invoiced yet",SUBSTITUTE(TRIM(IF(COUNTIFS(tbl_Finance[Job Number],C36&amp;"",tbl_Finance[Cost Centre],"ONSITE")&gt;0,"ONSITE ","")&amp;IF(COUNTIFS(tbl_Finance[Job Number],C36&amp;"",tbl_Finance[Cost Centre],"PRODUCTION")&gt;0,"PRODUCTION ","")&amp;IF(COUNTIFS(tbl_Finance[Job Number],C36&amp;"",tbl_Finance[Cost Centre],"VIDEO")&gt;0,"VIDEO ","")&amp;IF(COUNTIFS(tbl_Finance[Job Number],C36&amp;"",tbl_Finance[Cost Centre],"INTEGRATION")&gt;0,"INTEGRATION ","")&amp;IF(COUNTIFS(tbl_Finance[Job Number],C36&amp;"",tbl_Finance[Cost Centre],"CONSULTING")&gt;0,"CONSULTING ","")&amp;IF(COUNTIFS(tbl_Finance[Job Number],C36&amp;"",tbl_Finance[Cost Centre],"CTS")&gt;0,"CTS ",""))," ",", ")))</f>
        <v/>
      </c>
      <c r="L36" s="22" t="n">
        <v>46253</v>
      </c>
      <c r="M36" s="24" t="inlineStr">
        <is>
          <t>5853</t>
        </is>
      </c>
      <c r="N36" s="25">
        <f>IF(M36="","",IF(AND(LEFT(M36,4)&lt;&gt;"http",set_RMSBase=""),"",HYPERLINK(IF(LEFT(M36,4)="http",M36,set_RMSBase&amp;M36),"Open opportunity")))</f>
        <v/>
      </c>
      <c r="O36" s="25">
        <f>IF(C36="","",C36)</f>
        <v/>
      </c>
      <c r="P36" s="24" t="inlineStr">
        <is>
          <t>Y</t>
        </is>
      </c>
      <c r="Q36" s="26" t="n">
        <v>611.5</v>
      </c>
      <c r="R36" s="27">
        <f>IF(C36="","",H36+N(Q36))</f>
        <v/>
      </c>
      <c r="S36" s="29">
        <f>IFERROR(Q36/R36,"")</f>
        <v/>
      </c>
      <c r="T36" s="26" t="n">
        <v>4272.26</v>
      </c>
      <c r="U36" s="26" t="n"/>
      <c r="V36" s="27">
        <f>IF(C36="","",N(T36)+N(U36))</f>
        <v/>
      </c>
      <c r="W36" s="27">
        <f>IF(C36="","",H36-V36)</f>
        <v/>
      </c>
      <c r="X36" s="29">
        <f>IFERROR(W36/H36,"")</f>
        <v/>
      </c>
      <c r="Y36" s="64" t="n"/>
      <c r="Z36" s="64" t="n">
        <v>4</v>
      </c>
      <c r="AA36" s="64" t="n">
        <v>2</v>
      </c>
      <c r="AB36" s="64" t="n"/>
      <c r="AC36" s="64" t="n">
        <v>25</v>
      </c>
      <c r="AD36" s="24" t="n"/>
    </row>
    <row r="37" ht="15" customHeight="1">
      <c r="A37" s="63">
        <f>IF(C37="","",IFERROR(IF(SUMPRODUCT(MAX((tbl_Finance[Job Number]=C37&amp;"")*(tbl_Finance[Xero Invoice No]&lt;&gt;"")*tbl_Finance[Date]))=0,"",SUMPRODUCT(MAX((tbl_Finance[Job Number]=C37&amp;"")*(tbl_Finance[Xero Invoice No]&lt;&gt;"")*tbl_Finance[Date]))),""))</f>
        <v/>
      </c>
      <c r="B37" s="25">
        <f>IF(C37="","",IF(COUNTIFS(tbl_Finance[Job Number],C37&amp;"",tbl_Finance[Xero Invoice No],"&lt;&gt;")=0,"",IFERROR(IF(COUNTIFS(tbl_Finance[Job Number],C37&amp;"",tbl_Finance[Xero Invoice No],LOOKUP(2,1/((tbl_Finance[Job Number]=C37&amp;"")*(tbl_Finance[Xero Invoice No]&lt;&gt;"")),tbl_Finance[Xero Invoice No]))=COUNTIFS(tbl_Finance[Job Number],C37&amp;"",tbl_Finance[Xero Invoice No],"&lt;&gt;"),LOOKUP(2,1/((tbl_Finance[Job Number]=C37&amp;"")*(tbl_Finance[Xero Invoice No]&lt;&gt;"")),tbl_Finance[Xero Invoice No]),LOOKUP(2,1/((tbl_Finance[Job Number]=C37&amp;"")*(tbl_Finance[Xero Invoice No]&lt;&gt;"")),tbl_Finance[Xero Invoice No])&amp;" +more"),"")))</f>
        <v/>
      </c>
      <c r="C37" s="24" t="inlineStr">
        <is>
          <t>26061107</t>
        </is>
      </c>
      <c r="D37" s="25">
        <f>IF(C37="","",IF(COUNTIF(lst_Jobs,C37&amp;"")&gt;0,"OK","CHECK"))</f>
        <v/>
      </c>
      <c r="E37" s="25">
        <f>IF(C37="","",IFERROR(INDEX(lst_JobName,MATCH(C37&amp;"",lst_Jobs,0)),""))</f>
        <v/>
      </c>
      <c r="F37" s="25">
        <f>IF(C37="","",IFERROR(INDEX(tbl_Finance[Client],MATCH(C37&amp;"",tbl_Finance[Job Number],0)),""))</f>
        <v/>
      </c>
      <c r="G37" s="28">
        <f>IF(C37="","",COUNTIFS(tbl_Finance[Job Number],C37&amp;"",tbl_Finance[Ex GST],"&lt;&gt;"))</f>
        <v/>
      </c>
      <c r="H37" s="27">
        <f>IF(C37="","",SUMIFS(tbl_Finance[Ex GST],tbl_Finance[Job Number],C37&amp;""))</f>
        <v/>
      </c>
      <c r="I37" s="27">
        <f>IF(C37="","",SUMIFS(tbl_Finance[Ex GST],tbl_Finance[Job Number],C37&amp;"",tbl_Finance[Xero Invoice No],"&lt;&gt;"))</f>
        <v/>
      </c>
      <c r="J37" s="27">
        <f>IF(C37="","",H37-I37)</f>
        <v/>
      </c>
      <c r="K37" s="25">
        <f>IF(C37="","",IF(G37=0,"not invoiced yet",SUBSTITUTE(TRIM(IF(COUNTIFS(tbl_Finance[Job Number],C37&amp;"",tbl_Finance[Cost Centre],"ONSITE")&gt;0,"ONSITE ","")&amp;IF(COUNTIFS(tbl_Finance[Job Number],C37&amp;"",tbl_Finance[Cost Centre],"PRODUCTION")&gt;0,"PRODUCTION ","")&amp;IF(COUNTIFS(tbl_Finance[Job Number],C37&amp;"",tbl_Finance[Cost Centre],"VIDEO")&gt;0,"VIDEO ","")&amp;IF(COUNTIFS(tbl_Finance[Job Number],C37&amp;"",tbl_Finance[Cost Centre],"INTEGRATION")&gt;0,"INTEGRATION ","")&amp;IF(COUNTIFS(tbl_Finance[Job Number],C37&amp;"",tbl_Finance[Cost Centre],"CONSULTING")&gt;0,"CONSULTING ","")&amp;IF(COUNTIFS(tbl_Finance[Job Number],C37&amp;"",tbl_Finance[Cost Centre],"CTS")&gt;0,"CTS ",""))," ",", ")))</f>
        <v/>
      </c>
      <c r="L37" s="22" t="n">
        <v>46254</v>
      </c>
      <c r="M37" s="24" t="inlineStr">
        <is>
          <t>6092</t>
        </is>
      </c>
      <c r="N37" s="25">
        <f>IF(M37="","",IF(AND(LEFT(M37,4)&lt;&gt;"http",set_RMSBase=""),"",HYPERLINK(IF(LEFT(M37,4)="http",M37,set_RMSBase&amp;M37),"Open opportunity")))</f>
        <v/>
      </c>
      <c r="O37" s="25">
        <f>IF(C37="","",C37)</f>
        <v/>
      </c>
      <c r="P37" s="24" t="inlineStr">
        <is>
          <t>Y</t>
        </is>
      </c>
      <c r="Q37" s="26" t="n">
        <v>885.75</v>
      </c>
      <c r="R37" s="27">
        <f>IF(C37="","",H37+N(Q37))</f>
        <v/>
      </c>
      <c r="S37" s="29">
        <f>IFERROR(Q37/R37,"")</f>
        <v/>
      </c>
      <c r="T37" s="26" t="n">
        <v>1221.04</v>
      </c>
      <c r="U37" s="26" t="n"/>
      <c r="V37" s="27">
        <f>IF(C37="","",N(T37)+N(U37))</f>
        <v/>
      </c>
      <c r="W37" s="27">
        <f>IF(C37="","",H37-V37)</f>
        <v/>
      </c>
      <c r="X37" s="29">
        <f>IFERROR(W37/H37,"")</f>
        <v/>
      </c>
      <c r="Y37" s="64" t="n"/>
      <c r="Z37" s="64" t="n"/>
      <c r="AA37" s="64" t="n">
        <v>3</v>
      </c>
      <c r="AB37" s="64" t="n"/>
      <c r="AC37" s="64" t="n">
        <v>18</v>
      </c>
      <c r="AD37" s="24" t="n"/>
    </row>
    <row r="38" ht="15" customHeight="1">
      <c r="A38" s="63">
        <f>IF(C38="","",IFERROR(IF(SUMPRODUCT(MAX((tbl_Finance[Job Number]=C38&amp;"")*(tbl_Finance[Xero Invoice No]&lt;&gt;"")*tbl_Finance[Date]))=0,"",SUMPRODUCT(MAX((tbl_Finance[Job Number]=C38&amp;"")*(tbl_Finance[Xero Invoice No]&lt;&gt;"")*tbl_Finance[Date]))),""))</f>
        <v/>
      </c>
      <c r="B38" s="25">
        <f>IF(C38="","",IF(COUNTIFS(tbl_Finance[Job Number],C38&amp;"",tbl_Finance[Xero Invoice No],"&lt;&gt;")=0,"",IFERROR(IF(COUNTIFS(tbl_Finance[Job Number],C38&amp;"",tbl_Finance[Xero Invoice No],LOOKUP(2,1/((tbl_Finance[Job Number]=C38&amp;"")*(tbl_Finance[Xero Invoice No]&lt;&gt;"")),tbl_Finance[Xero Invoice No]))=COUNTIFS(tbl_Finance[Job Number],C38&amp;"",tbl_Finance[Xero Invoice No],"&lt;&gt;"),LOOKUP(2,1/((tbl_Finance[Job Number]=C38&amp;"")*(tbl_Finance[Xero Invoice No]&lt;&gt;"")),tbl_Finance[Xero Invoice No]),LOOKUP(2,1/((tbl_Finance[Job Number]=C38&amp;"")*(tbl_Finance[Xero Invoice No]&lt;&gt;"")),tbl_Finance[Xero Invoice No])&amp;" +more"),"")))</f>
        <v/>
      </c>
      <c r="C38" s="24" t="inlineStr">
        <is>
          <t>26073110</t>
        </is>
      </c>
      <c r="D38" s="25">
        <f>IF(C38="","",IF(COUNTIF(lst_Jobs,C38&amp;"")&gt;0,"OK","CHECK"))</f>
        <v/>
      </c>
      <c r="E38" s="25">
        <f>IF(C38="","",IFERROR(INDEX(lst_JobName,MATCH(C38&amp;"",lst_Jobs,0)),""))</f>
        <v/>
      </c>
      <c r="F38" s="25">
        <f>IF(C38="","",IFERROR(INDEX(tbl_Finance[Client],MATCH(C38&amp;"",tbl_Finance[Job Number],0)),""))</f>
        <v/>
      </c>
      <c r="G38" s="28">
        <f>IF(C38="","",COUNTIFS(tbl_Finance[Job Number],C38&amp;"",tbl_Finance[Ex GST],"&lt;&gt;"))</f>
        <v/>
      </c>
      <c r="H38" s="27">
        <f>IF(C38="","",SUMIFS(tbl_Finance[Ex GST],tbl_Finance[Job Number],C38&amp;""))</f>
        <v/>
      </c>
      <c r="I38" s="27">
        <f>IF(C38="","",SUMIFS(tbl_Finance[Ex GST],tbl_Finance[Job Number],C38&amp;"",tbl_Finance[Xero Invoice No],"&lt;&gt;"))</f>
        <v/>
      </c>
      <c r="J38" s="27">
        <f>IF(C38="","",H38-I38)</f>
        <v/>
      </c>
      <c r="K38" s="25">
        <f>IF(C38="","",IF(G38=0,"not invoiced yet",SUBSTITUTE(TRIM(IF(COUNTIFS(tbl_Finance[Job Number],C38&amp;"",tbl_Finance[Cost Centre],"ONSITE")&gt;0,"ONSITE ","")&amp;IF(COUNTIFS(tbl_Finance[Job Number],C38&amp;"",tbl_Finance[Cost Centre],"PRODUCTION")&gt;0,"PRODUCTION ","")&amp;IF(COUNTIFS(tbl_Finance[Job Number],C38&amp;"",tbl_Finance[Cost Centre],"VIDEO")&gt;0,"VIDEO ","")&amp;IF(COUNTIFS(tbl_Finance[Job Number],C38&amp;"",tbl_Finance[Cost Centre],"INTEGRATION")&gt;0,"INTEGRATION ","")&amp;IF(COUNTIFS(tbl_Finance[Job Number],C38&amp;"",tbl_Finance[Cost Centre],"CONSULTING")&gt;0,"CONSULTING ","")&amp;IF(COUNTIFS(tbl_Finance[Job Number],C38&amp;"",tbl_Finance[Cost Centre],"CTS")&gt;0,"CTS ",""))," ",", ")))</f>
        <v/>
      </c>
      <c r="L38" s="22" t="n">
        <v>46254</v>
      </c>
      <c r="M38" s="24" t="inlineStr">
        <is>
          <t>6117</t>
        </is>
      </c>
      <c r="N38" s="25">
        <f>IF(M38="","",IF(AND(LEFT(M38,4)&lt;&gt;"http",set_RMSBase=""),"",HYPERLINK(IF(LEFT(M38,4)="http",M38,set_RMSBase&amp;M38),"Open opportunity")))</f>
        <v/>
      </c>
      <c r="O38" s="25">
        <f>IF(C38="","",C38)</f>
        <v/>
      </c>
      <c r="P38" s="24" t="inlineStr">
        <is>
          <t>Y</t>
        </is>
      </c>
      <c r="Q38" s="26" t="n"/>
      <c r="R38" s="27">
        <f>IF(C38="","",H38+N(Q38))</f>
        <v/>
      </c>
      <c r="S38" s="29">
        <f>IFERROR(Q38/R38,"")</f>
        <v/>
      </c>
      <c r="T38" s="26" t="n"/>
      <c r="U38" s="26" t="n"/>
      <c r="V38" s="27">
        <f>IF(C38="","",N(T38)+N(U38))</f>
        <v/>
      </c>
      <c r="W38" s="27">
        <f>IF(C38="","",H38-V38)</f>
        <v/>
      </c>
      <c r="X38" s="29">
        <f>IFERROR(W38/H38,"")</f>
        <v/>
      </c>
      <c r="Y38" s="64" t="n"/>
      <c r="Z38" s="64" t="n"/>
      <c r="AA38" s="64" t="n">
        <v>1</v>
      </c>
      <c r="AB38" s="64" t="n"/>
      <c r="AC38" s="64" t="n">
        <v>8</v>
      </c>
      <c r="AD38" s="24" t="n"/>
    </row>
    <row r="39" ht="15" customHeight="1">
      <c r="A39" s="63">
        <f>IF(C39="","",IFERROR(IF(SUMPRODUCT(MAX((tbl_Finance[Job Number]=C39&amp;"")*(tbl_Finance[Xero Invoice No]&lt;&gt;"")*tbl_Finance[Date]))=0,"",SUMPRODUCT(MAX((tbl_Finance[Job Number]=C39&amp;"")*(tbl_Finance[Xero Invoice No]&lt;&gt;"")*tbl_Finance[Date]))),""))</f>
        <v/>
      </c>
      <c r="B39" s="25">
        <f>IF(C39="","",IF(COUNTIFS(tbl_Finance[Job Number],C39&amp;"",tbl_Finance[Xero Invoice No],"&lt;&gt;")=0,"",IFERROR(IF(COUNTIFS(tbl_Finance[Job Number],C39&amp;"",tbl_Finance[Xero Invoice No],LOOKUP(2,1/((tbl_Finance[Job Number]=C39&amp;"")*(tbl_Finance[Xero Invoice No]&lt;&gt;"")),tbl_Finance[Xero Invoice No]))=COUNTIFS(tbl_Finance[Job Number],C39&amp;"",tbl_Finance[Xero Invoice No],"&lt;&gt;"),LOOKUP(2,1/((tbl_Finance[Job Number]=C39&amp;"")*(tbl_Finance[Xero Invoice No]&lt;&gt;"")),tbl_Finance[Xero Invoice No]),LOOKUP(2,1/((tbl_Finance[Job Number]=C39&amp;"")*(tbl_Finance[Xero Invoice No]&lt;&gt;"")),tbl_Finance[Xero Invoice No])&amp;" +more"),"")))</f>
        <v/>
      </c>
      <c r="C39" s="24" t="inlineStr">
        <is>
          <t>25121208</t>
        </is>
      </c>
      <c r="D39" s="25">
        <f>IF(C39="","",IF(COUNTIF(lst_Jobs,C39&amp;"")&gt;0,"OK","CHECK"))</f>
        <v/>
      </c>
      <c r="E39" s="25">
        <f>IF(C39="","",IFERROR(INDEX(lst_JobName,MATCH(C39&amp;"",lst_Jobs,0)),""))</f>
        <v/>
      </c>
      <c r="F39" s="25">
        <f>IF(C39="","",IFERROR(INDEX(tbl_Finance[Client],MATCH(C39&amp;"",tbl_Finance[Job Number],0)),""))</f>
        <v/>
      </c>
      <c r="G39" s="28">
        <f>IF(C39="","",COUNTIFS(tbl_Finance[Job Number],C39&amp;"",tbl_Finance[Ex GST],"&lt;&gt;"))</f>
        <v/>
      </c>
      <c r="H39" s="27">
        <f>IF(C39="","",SUMIFS(tbl_Finance[Ex GST],tbl_Finance[Job Number],C39&amp;""))</f>
        <v/>
      </c>
      <c r="I39" s="27">
        <f>IF(C39="","",SUMIFS(tbl_Finance[Ex GST],tbl_Finance[Job Number],C39&amp;"",tbl_Finance[Xero Invoice No],"&lt;&gt;"))</f>
        <v/>
      </c>
      <c r="J39" s="27">
        <f>IF(C39="","",H39-I39)</f>
        <v/>
      </c>
      <c r="K39" s="25">
        <f>IF(C39="","",IF(G39=0,"not invoiced yet",SUBSTITUTE(TRIM(IF(COUNTIFS(tbl_Finance[Job Number],C39&amp;"",tbl_Finance[Cost Centre],"ONSITE")&gt;0,"ONSITE ","")&amp;IF(COUNTIFS(tbl_Finance[Job Number],C39&amp;"",tbl_Finance[Cost Centre],"PRODUCTION")&gt;0,"PRODUCTION ","")&amp;IF(COUNTIFS(tbl_Finance[Job Number],C39&amp;"",tbl_Finance[Cost Centre],"VIDEO")&gt;0,"VIDEO ","")&amp;IF(COUNTIFS(tbl_Finance[Job Number],C39&amp;"",tbl_Finance[Cost Centre],"INTEGRATION")&gt;0,"INTEGRATION ","")&amp;IF(COUNTIFS(tbl_Finance[Job Number],C39&amp;"",tbl_Finance[Cost Centre],"CONSULTING")&gt;0,"CONSULTING ","")&amp;IF(COUNTIFS(tbl_Finance[Job Number],C39&amp;"",tbl_Finance[Cost Centre],"CTS")&gt;0,"CTS ",""))," ",", ")))</f>
        <v/>
      </c>
      <c r="L39" s="22" t="n">
        <v>46254</v>
      </c>
      <c r="M39" s="24" t="inlineStr">
        <is>
          <t>5821</t>
        </is>
      </c>
      <c r="N39" s="25">
        <f>IF(M39="","",IF(AND(LEFT(M39,4)&lt;&gt;"http",set_RMSBase=""),"",HYPERLINK(IF(LEFT(M39,4)="http",M39,set_RMSBase&amp;M39),"Open opportunity")))</f>
        <v/>
      </c>
      <c r="O39" s="25">
        <f>IF(C39="","",C39)</f>
        <v/>
      </c>
      <c r="P39" s="24" t="inlineStr">
        <is>
          <t>Y</t>
        </is>
      </c>
      <c r="Q39" s="26" t="n">
        <v>3652.5</v>
      </c>
      <c r="R39" s="27">
        <f>IF(C39="","",H39+N(Q39))</f>
        <v/>
      </c>
      <c r="S39" s="29">
        <f>IFERROR(Q39/R39,"")</f>
        <v/>
      </c>
      <c r="T39" s="26" t="n">
        <v>1805.72</v>
      </c>
      <c r="U39" s="26" t="n"/>
      <c r="V39" s="27">
        <f>IF(C39="","",N(T39)+N(U39))</f>
        <v/>
      </c>
      <c r="W39" s="27">
        <f>IF(C39="","",H39-V39)</f>
        <v/>
      </c>
      <c r="X39" s="29">
        <f>IFERROR(W39/H39,"")</f>
        <v/>
      </c>
      <c r="Y39" s="64" t="n"/>
      <c r="Z39" s="64" t="n"/>
      <c r="AA39" s="64" t="n">
        <v>2</v>
      </c>
      <c r="AB39" s="64" t="n"/>
      <c r="AC39" s="64" t="n">
        <v>20</v>
      </c>
      <c r="AD39" s="24" t="n"/>
    </row>
    <row r="40" ht="15" customHeight="1">
      <c r="A40" s="63">
        <f>IF(C40="","",IFERROR(IF(SUMPRODUCT(MAX((tbl_Finance[Job Number]=C40&amp;"")*(tbl_Finance[Xero Invoice No]&lt;&gt;"")*tbl_Finance[Date]))=0,"",SUMPRODUCT(MAX((tbl_Finance[Job Number]=C40&amp;"")*(tbl_Finance[Xero Invoice No]&lt;&gt;"")*tbl_Finance[Date]))),""))</f>
        <v/>
      </c>
      <c r="B40" s="25">
        <f>IF(C40="","",IF(COUNTIFS(tbl_Finance[Job Number],C40&amp;"",tbl_Finance[Xero Invoice No],"&lt;&gt;")=0,"",IFERROR(IF(COUNTIFS(tbl_Finance[Job Number],C40&amp;"",tbl_Finance[Xero Invoice No],LOOKUP(2,1/((tbl_Finance[Job Number]=C40&amp;"")*(tbl_Finance[Xero Invoice No]&lt;&gt;"")),tbl_Finance[Xero Invoice No]))=COUNTIFS(tbl_Finance[Job Number],C40&amp;"",tbl_Finance[Xero Invoice No],"&lt;&gt;"),LOOKUP(2,1/((tbl_Finance[Job Number]=C40&amp;"")*(tbl_Finance[Xero Invoice No]&lt;&gt;"")),tbl_Finance[Xero Invoice No]),LOOKUP(2,1/((tbl_Finance[Job Number]=C40&amp;"")*(tbl_Finance[Xero Invoice No]&lt;&gt;"")),tbl_Finance[Xero Invoice No])&amp;" +more"),"")))</f>
        <v/>
      </c>
      <c r="C40" s="24" t="inlineStr">
        <is>
          <t>26061108</t>
        </is>
      </c>
      <c r="D40" s="25">
        <f>IF(C40="","",IF(COUNTIF(lst_Jobs,C40&amp;"")&gt;0,"OK","CHECK"))</f>
        <v/>
      </c>
      <c r="E40" s="25">
        <f>IF(C40="","",IFERROR(INDEX(lst_JobName,MATCH(C40&amp;"",lst_Jobs,0)),""))</f>
        <v/>
      </c>
      <c r="F40" s="25">
        <f>IF(C40="","",IFERROR(INDEX(tbl_Finance[Client],MATCH(C40&amp;"",tbl_Finance[Job Number],0)),""))</f>
        <v/>
      </c>
      <c r="G40" s="28">
        <f>IF(C40="","",COUNTIFS(tbl_Finance[Job Number],C40&amp;"",tbl_Finance[Ex GST],"&lt;&gt;"))</f>
        <v/>
      </c>
      <c r="H40" s="27">
        <f>IF(C40="","",SUMIFS(tbl_Finance[Ex GST],tbl_Finance[Job Number],C40&amp;""))</f>
        <v/>
      </c>
      <c r="I40" s="27">
        <f>IF(C40="","",SUMIFS(tbl_Finance[Ex GST],tbl_Finance[Job Number],C40&amp;"",tbl_Finance[Xero Invoice No],"&lt;&gt;"))</f>
        <v/>
      </c>
      <c r="J40" s="27">
        <f>IF(C40="","",H40-I40)</f>
        <v/>
      </c>
      <c r="K40" s="25">
        <f>IF(C40="","",IF(G40=0,"not invoiced yet",SUBSTITUTE(TRIM(IF(COUNTIFS(tbl_Finance[Job Number],C40&amp;"",tbl_Finance[Cost Centre],"ONSITE")&gt;0,"ONSITE ","")&amp;IF(COUNTIFS(tbl_Finance[Job Number],C40&amp;"",tbl_Finance[Cost Centre],"PRODUCTION")&gt;0,"PRODUCTION ","")&amp;IF(COUNTIFS(tbl_Finance[Job Number],C40&amp;"",tbl_Finance[Cost Centre],"VIDEO")&gt;0,"VIDEO ","")&amp;IF(COUNTIFS(tbl_Finance[Job Number],C40&amp;"",tbl_Finance[Cost Centre],"INTEGRATION")&gt;0,"INTEGRATION ","")&amp;IF(COUNTIFS(tbl_Finance[Job Number],C40&amp;"",tbl_Finance[Cost Centre],"CONSULTING")&gt;0,"CONSULTING ","")&amp;IF(COUNTIFS(tbl_Finance[Job Number],C40&amp;"",tbl_Finance[Cost Centre],"CTS")&gt;0,"CTS ",""))," ",", ")))</f>
        <v/>
      </c>
      <c r="L40" s="22" t="n">
        <v>46254</v>
      </c>
      <c r="M40" s="24" t="inlineStr">
        <is>
          <t>6073</t>
        </is>
      </c>
      <c r="N40" s="25">
        <f>IF(M40="","",IF(AND(LEFT(M40,4)&lt;&gt;"http",set_RMSBase=""),"",HYPERLINK(IF(LEFT(M40,4)="http",M40,set_RMSBase&amp;M40),"Open opportunity")))</f>
        <v/>
      </c>
      <c r="O40" s="25">
        <f>IF(C40="","",C40)</f>
        <v/>
      </c>
      <c r="P40" s="24" t="inlineStr">
        <is>
          <t>Y</t>
        </is>
      </c>
      <c r="Q40" s="26" t="n">
        <v>1651.4</v>
      </c>
      <c r="R40" s="27">
        <f>IF(C40="","",H40+N(Q40))</f>
        <v/>
      </c>
      <c r="S40" s="29">
        <f>IFERROR(Q40/R40,"")</f>
        <v/>
      </c>
      <c r="T40" s="26" t="n"/>
      <c r="U40" s="26" t="n"/>
      <c r="V40" s="27">
        <f>IF(C40="","",N(T40)+N(U40))</f>
        <v/>
      </c>
      <c r="W40" s="27">
        <f>IF(C40="","",H40-V40)</f>
        <v/>
      </c>
      <c r="X40" s="29">
        <f>IFERROR(W40/H40,"")</f>
        <v/>
      </c>
      <c r="Y40" s="64" t="n">
        <v>5</v>
      </c>
      <c r="Z40" s="64" t="n"/>
      <c r="AA40" s="64" t="n">
        <v>6</v>
      </c>
      <c r="AB40" s="64" t="n"/>
      <c r="AC40" s="64" t="n">
        <v>45</v>
      </c>
      <c r="AD40" s="24" t="n"/>
    </row>
    <row r="41" ht="15" customHeight="1">
      <c r="A41" s="63">
        <f>IF(C41="","",IFERROR(IF(SUMPRODUCT(MAX((tbl_Finance[Job Number]=C41&amp;"")*(tbl_Finance[Xero Invoice No]&lt;&gt;"")*tbl_Finance[Date]))=0,"",SUMPRODUCT(MAX((tbl_Finance[Job Number]=C41&amp;"")*(tbl_Finance[Xero Invoice No]&lt;&gt;"")*tbl_Finance[Date]))),""))</f>
        <v/>
      </c>
      <c r="B41" s="25">
        <f>IF(C41="","",IF(COUNTIFS(tbl_Finance[Job Number],C41&amp;"",tbl_Finance[Xero Invoice No],"&lt;&gt;")=0,"",IFERROR(IF(COUNTIFS(tbl_Finance[Job Number],C41&amp;"",tbl_Finance[Xero Invoice No],LOOKUP(2,1/((tbl_Finance[Job Number]=C41&amp;"")*(tbl_Finance[Xero Invoice No]&lt;&gt;"")),tbl_Finance[Xero Invoice No]))=COUNTIFS(tbl_Finance[Job Number],C41&amp;"",tbl_Finance[Xero Invoice No],"&lt;&gt;"),LOOKUP(2,1/((tbl_Finance[Job Number]=C41&amp;"")*(tbl_Finance[Xero Invoice No]&lt;&gt;"")),tbl_Finance[Xero Invoice No]),LOOKUP(2,1/((tbl_Finance[Job Number]=C41&amp;"")*(tbl_Finance[Xero Invoice No]&lt;&gt;"")),tbl_Finance[Xero Invoice No])&amp;" +more"),"")))</f>
        <v/>
      </c>
      <c r="C41" s="24" t="inlineStr">
        <is>
          <t>26061109</t>
        </is>
      </c>
      <c r="D41" s="25">
        <f>IF(C41="","",IF(COUNTIF(lst_Jobs,C41&amp;"")&gt;0,"OK","CHECK"))</f>
        <v/>
      </c>
      <c r="E41" s="25">
        <f>IF(C41="","",IFERROR(INDEX(lst_JobName,MATCH(C41&amp;"",lst_Jobs,0)),""))</f>
        <v/>
      </c>
      <c r="F41" s="25">
        <f>IF(C41="","",IFERROR(INDEX(tbl_Finance[Client],MATCH(C41&amp;"",tbl_Finance[Job Number],0)),""))</f>
        <v/>
      </c>
      <c r="G41" s="28">
        <f>IF(C41="","",COUNTIFS(tbl_Finance[Job Number],C41&amp;"",tbl_Finance[Ex GST],"&lt;&gt;"))</f>
        <v/>
      </c>
      <c r="H41" s="27">
        <f>IF(C41="","",SUMIFS(tbl_Finance[Ex GST],tbl_Finance[Job Number],C41&amp;""))</f>
        <v/>
      </c>
      <c r="I41" s="27">
        <f>IF(C41="","",SUMIFS(tbl_Finance[Ex GST],tbl_Finance[Job Number],C41&amp;"",tbl_Finance[Xero Invoice No],"&lt;&gt;"))</f>
        <v/>
      </c>
      <c r="J41" s="27">
        <f>IF(C41="","",H41-I41)</f>
        <v/>
      </c>
      <c r="K41" s="25">
        <f>IF(C41="","",IF(G41=0,"not invoiced yet",SUBSTITUTE(TRIM(IF(COUNTIFS(tbl_Finance[Job Number],C41&amp;"",tbl_Finance[Cost Centre],"ONSITE")&gt;0,"ONSITE ","")&amp;IF(COUNTIFS(tbl_Finance[Job Number],C41&amp;"",tbl_Finance[Cost Centre],"PRODUCTION")&gt;0,"PRODUCTION ","")&amp;IF(COUNTIFS(tbl_Finance[Job Number],C41&amp;"",tbl_Finance[Cost Centre],"VIDEO")&gt;0,"VIDEO ","")&amp;IF(COUNTIFS(tbl_Finance[Job Number],C41&amp;"",tbl_Finance[Cost Centre],"INTEGRATION")&gt;0,"INTEGRATION ","")&amp;IF(COUNTIFS(tbl_Finance[Job Number],C41&amp;"",tbl_Finance[Cost Centre],"CONSULTING")&gt;0,"CONSULTING ","")&amp;IF(COUNTIFS(tbl_Finance[Job Number],C41&amp;"",tbl_Finance[Cost Centre],"CTS")&gt;0,"CTS ",""))," ",", ")))</f>
        <v/>
      </c>
      <c r="L41" s="22" t="n">
        <v>46258</v>
      </c>
      <c r="M41" s="24" t="inlineStr">
        <is>
          <t>6095</t>
        </is>
      </c>
      <c r="N41" s="25">
        <f>IF(M41="","",IF(AND(LEFT(M41,4)&lt;&gt;"http",set_RMSBase=""),"",HYPERLINK(IF(LEFT(M41,4)="http",M41,set_RMSBase&amp;M41),"Open opportunity")))</f>
        <v/>
      </c>
      <c r="O41" s="25">
        <f>IF(C41="","",C41)</f>
        <v/>
      </c>
      <c r="P41" s="24" t="inlineStr">
        <is>
          <t>Y</t>
        </is>
      </c>
      <c r="Q41" s="26" t="n">
        <v>524.5</v>
      </c>
      <c r="R41" s="27">
        <f>IF(C41="","",H41+N(Q41))</f>
        <v/>
      </c>
      <c r="S41" s="29">
        <f>IFERROR(Q41/R41,"")</f>
        <v/>
      </c>
      <c r="T41" s="26" t="n">
        <v>1350</v>
      </c>
      <c r="U41" s="26" t="n"/>
      <c r="V41" s="27">
        <f>IF(C41="","",N(T41)+N(U41))</f>
        <v/>
      </c>
      <c r="W41" s="27">
        <f>IF(C41="","",H41-V41)</f>
        <v/>
      </c>
      <c r="X41" s="29">
        <f>IFERROR(W41/H41,"")</f>
        <v/>
      </c>
      <c r="Y41" s="64" t="n">
        <v>4</v>
      </c>
      <c r="Z41" s="64" t="n"/>
      <c r="AA41" s="64" t="n"/>
      <c r="AB41" s="64" t="n"/>
      <c r="AC41" s="64" t="n">
        <v>41</v>
      </c>
      <c r="AD41" s="24" t="n"/>
    </row>
    <row r="42" ht="15" customHeight="1">
      <c r="A42" s="63">
        <f>IF(C42="","",IFERROR(IF(SUMPRODUCT(MAX((tbl_Finance[Job Number]=C42&amp;"")*(tbl_Finance[Xero Invoice No]&lt;&gt;"")*tbl_Finance[Date]))=0,"",SUMPRODUCT(MAX((tbl_Finance[Job Number]=C42&amp;"")*(tbl_Finance[Xero Invoice No]&lt;&gt;"")*tbl_Finance[Date]))),""))</f>
        <v/>
      </c>
      <c r="B42" s="25">
        <f>IF(C42="","",IF(COUNTIFS(tbl_Finance[Job Number],C42&amp;"",tbl_Finance[Xero Invoice No],"&lt;&gt;")=0,"",IFERROR(IF(COUNTIFS(tbl_Finance[Job Number],C42&amp;"",tbl_Finance[Xero Invoice No],LOOKUP(2,1/((tbl_Finance[Job Number]=C42&amp;"")*(tbl_Finance[Xero Invoice No]&lt;&gt;"")),tbl_Finance[Xero Invoice No]))=COUNTIFS(tbl_Finance[Job Number],C42&amp;"",tbl_Finance[Xero Invoice No],"&lt;&gt;"),LOOKUP(2,1/((tbl_Finance[Job Number]=C42&amp;"")*(tbl_Finance[Xero Invoice No]&lt;&gt;"")),tbl_Finance[Xero Invoice No]),LOOKUP(2,1/((tbl_Finance[Job Number]=C42&amp;"")*(tbl_Finance[Xero Invoice No]&lt;&gt;"")),tbl_Finance[Xero Invoice No])&amp;" +more"),"")))</f>
        <v/>
      </c>
      <c r="C42" s="24" t="inlineStr">
        <is>
          <t>26071501</t>
        </is>
      </c>
      <c r="D42" s="25">
        <f>IF(C42="","",IF(COUNTIF(lst_Jobs,C42&amp;"")&gt;0,"OK","CHECK"))</f>
        <v/>
      </c>
      <c r="E42" s="25">
        <f>IF(C42="","",IFERROR(INDEX(lst_JobName,MATCH(C42&amp;"",lst_Jobs,0)),""))</f>
        <v/>
      </c>
      <c r="F42" s="25">
        <f>IF(C42="","",IFERROR(INDEX(tbl_Finance[Client],MATCH(C42&amp;"",tbl_Finance[Job Number],0)),""))</f>
        <v/>
      </c>
      <c r="G42" s="28">
        <f>IF(C42="","",COUNTIFS(tbl_Finance[Job Number],C42&amp;"",tbl_Finance[Ex GST],"&lt;&gt;"))</f>
        <v/>
      </c>
      <c r="H42" s="27">
        <f>IF(C42="","",SUMIFS(tbl_Finance[Ex GST],tbl_Finance[Job Number],C42&amp;""))</f>
        <v/>
      </c>
      <c r="I42" s="27">
        <f>IF(C42="","",SUMIFS(tbl_Finance[Ex GST],tbl_Finance[Job Number],C42&amp;"",tbl_Finance[Xero Invoice No],"&lt;&gt;"))</f>
        <v/>
      </c>
      <c r="J42" s="27">
        <f>IF(C42="","",H42-I42)</f>
        <v/>
      </c>
      <c r="K42" s="25">
        <f>IF(C42="","",IF(G42=0,"not invoiced yet",SUBSTITUTE(TRIM(IF(COUNTIFS(tbl_Finance[Job Number],C42&amp;"",tbl_Finance[Cost Centre],"ONSITE")&gt;0,"ONSITE ","")&amp;IF(COUNTIFS(tbl_Finance[Job Number],C42&amp;"",tbl_Finance[Cost Centre],"PRODUCTION")&gt;0,"PRODUCTION ","")&amp;IF(COUNTIFS(tbl_Finance[Job Number],C42&amp;"",tbl_Finance[Cost Centre],"VIDEO")&gt;0,"VIDEO ","")&amp;IF(COUNTIFS(tbl_Finance[Job Number],C42&amp;"",tbl_Finance[Cost Centre],"INTEGRATION")&gt;0,"INTEGRATION ","")&amp;IF(COUNTIFS(tbl_Finance[Job Number],C42&amp;"",tbl_Finance[Cost Centre],"CONSULTING")&gt;0,"CONSULTING ","")&amp;IF(COUNTIFS(tbl_Finance[Job Number],C42&amp;"",tbl_Finance[Cost Centre],"CTS")&gt;0,"CTS ",""))," ",", ")))</f>
        <v/>
      </c>
      <c r="L42" s="22" t="n">
        <v>46258</v>
      </c>
      <c r="M42" s="24" t="inlineStr">
        <is>
          <t>6094</t>
        </is>
      </c>
      <c r="N42" s="25">
        <f>IF(M42="","",IF(AND(LEFT(M42,4)&lt;&gt;"http",set_RMSBase=""),"",HYPERLINK(IF(LEFT(M42,4)="http",M42,set_RMSBase&amp;M42),"Open opportunity")))</f>
        <v/>
      </c>
      <c r="O42" s="25">
        <f>IF(C42="","",C42)</f>
        <v/>
      </c>
      <c r="P42" s="24" t="inlineStr">
        <is>
          <t>Y</t>
        </is>
      </c>
      <c r="Q42" s="26" t="n">
        <v>495</v>
      </c>
      <c r="R42" s="27">
        <f>IF(C42="","",H42+N(Q42))</f>
        <v/>
      </c>
      <c r="S42" s="29">
        <f>IFERROR(Q42/R42,"")</f>
        <v/>
      </c>
      <c r="T42" s="26" t="n">
        <v>2303.09</v>
      </c>
      <c r="U42" s="26" t="n"/>
      <c r="V42" s="27">
        <f>IF(C42="","",N(T42)+N(U42))</f>
        <v/>
      </c>
      <c r="W42" s="27">
        <f>IF(C42="","",H42-V42)</f>
        <v/>
      </c>
      <c r="X42" s="29">
        <f>IFERROR(W42/H42,"")</f>
        <v/>
      </c>
      <c r="Y42" s="64" t="n"/>
      <c r="Z42" s="64" t="n"/>
      <c r="AA42" s="64" t="n"/>
      <c r="AB42" s="64" t="n"/>
      <c r="AC42" s="64" t="n">
        <v>11</v>
      </c>
      <c r="AD42" s="24" t="n"/>
    </row>
    <row r="43" ht="15" customHeight="1">
      <c r="A43" s="63">
        <f>IF(C43="","",IFERROR(IF(SUMPRODUCT(MAX((tbl_Finance[Job Number]=C43&amp;"")*(tbl_Finance[Xero Invoice No]&lt;&gt;"")*tbl_Finance[Date]))=0,"",SUMPRODUCT(MAX((tbl_Finance[Job Number]=C43&amp;"")*(tbl_Finance[Xero Invoice No]&lt;&gt;"")*tbl_Finance[Date]))),""))</f>
        <v/>
      </c>
      <c r="B43" s="25">
        <f>IF(C43="","",IF(COUNTIFS(tbl_Finance[Job Number],C43&amp;"",tbl_Finance[Xero Invoice No],"&lt;&gt;")=0,"",IFERROR(IF(COUNTIFS(tbl_Finance[Job Number],C43&amp;"",tbl_Finance[Xero Invoice No],LOOKUP(2,1/((tbl_Finance[Job Number]=C43&amp;"")*(tbl_Finance[Xero Invoice No]&lt;&gt;"")),tbl_Finance[Xero Invoice No]))=COUNTIFS(tbl_Finance[Job Number],C43&amp;"",tbl_Finance[Xero Invoice No],"&lt;&gt;"),LOOKUP(2,1/((tbl_Finance[Job Number]=C43&amp;"")*(tbl_Finance[Xero Invoice No]&lt;&gt;"")),tbl_Finance[Xero Invoice No]),LOOKUP(2,1/((tbl_Finance[Job Number]=C43&amp;"")*(tbl_Finance[Xero Invoice No]&lt;&gt;"")),tbl_Finance[Xero Invoice No])&amp;" +more"),"")))</f>
        <v/>
      </c>
      <c r="C43" s="24" t="inlineStr">
        <is>
          <t>26073111</t>
        </is>
      </c>
      <c r="D43" s="25">
        <f>IF(C43="","",IF(COUNTIF(lst_Jobs,C43&amp;"")&gt;0,"OK","CHECK"))</f>
        <v/>
      </c>
      <c r="E43" s="25">
        <f>IF(C43="","",IFERROR(INDEX(lst_JobName,MATCH(C43&amp;"",lst_Jobs,0)),""))</f>
        <v/>
      </c>
      <c r="F43" s="25">
        <f>IF(C43="","",IFERROR(INDEX(tbl_Finance[Client],MATCH(C43&amp;"",tbl_Finance[Job Number],0)),""))</f>
        <v/>
      </c>
      <c r="G43" s="28">
        <f>IF(C43="","",COUNTIFS(tbl_Finance[Job Number],C43&amp;"",tbl_Finance[Ex GST],"&lt;&gt;"))</f>
        <v/>
      </c>
      <c r="H43" s="27">
        <f>IF(C43="","",SUMIFS(tbl_Finance[Ex GST],tbl_Finance[Job Number],C43&amp;""))</f>
        <v/>
      </c>
      <c r="I43" s="27">
        <f>IF(C43="","",SUMIFS(tbl_Finance[Ex GST],tbl_Finance[Job Number],C43&amp;"",tbl_Finance[Xero Invoice No],"&lt;&gt;"))</f>
        <v/>
      </c>
      <c r="J43" s="27">
        <f>IF(C43="","",H43-I43)</f>
        <v/>
      </c>
      <c r="K43" s="25">
        <f>IF(C43="","",IF(G43=0,"not invoiced yet",SUBSTITUTE(TRIM(IF(COUNTIFS(tbl_Finance[Job Number],C43&amp;"",tbl_Finance[Cost Centre],"ONSITE")&gt;0,"ONSITE ","")&amp;IF(COUNTIFS(tbl_Finance[Job Number],C43&amp;"",tbl_Finance[Cost Centre],"PRODUCTION")&gt;0,"PRODUCTION ","")&amp;IF(COUNTIFS(tbl_Finance[Job Number],C43&amp;"",tbl_Finance[Cost Centre],"VIDEO")&gt;0,"VIDEO ","")&amp;IF(COUNTIFS(tbl_Finance[Job Number],C43&amp;"",tbl_Finance[Cost Centre],"INTEGRATION")&gt;0,"INTEGRATION ","")&amp;IF(COUNTIFS(tbl_Finance[Job Number],C43&amp;"",tbl_Finance[Cost Centre],"CONSULTING")&gt;0,"CONSULTING ","")&amp;IF(COUNTIFS(tbl_Finance[Job Number],C43&amp;"",tbl_Finance[Cost Centre],"CTS")&gt;0,"CTS ",""))," ",", ")))</f>
        <v/>
      </c>
      <c r="L43" s="22" t="n">
        <v>46259</v>
      </c>
      <c r="M43" s="24" t="inlineStr">
        <is>
          <t>6144</t>
        </is>
      </c>
      <c r="N43" s="25">
        <f>IF(M43="","",IF(AND(LEFT(M43,4)&lt;&gt;"http",set_RMSBase=""),"",HYPERLINK(IF(LEFT(M43,4)="http",M43,set_RMSBase&amp;M43),"Open opportunity")))</f>
        <v/>
      </c>
      <c r="O43" s="25">
        <f>IF(C43="","",C43)</f>
        <v/>
      </c>
      <c r="P43" s="24" t="inlineStr">
        <is>
          <t>Y</t>
        </is>
      </c>
      <c r="Q43" s="26" t="n">
        <v>2281.25</v>
      </c>
      <c r="R43" s="27">
        <f>IF(C43="","",H43+N(Q43))</f>
        <v/>
      </c>
      <c r="S43" s="29">
        <f>IFERROR(Q43/R43,"")</f>
        <v/>
      </c>
      <c r="T43" s="26" t="n">
        <v>14754.3</v>
      </c>
      <c r="U43" s="26" t="n"/>
      <c r="V43" s="27">
        <f>IF(C43="","",N(T43)+N(U43))</f>
        <v/>
      </c>
      <c r="W43" s="27">
        <f>IF(C43="","",H43-V43)</f>
        <v/>
      </c>
      <c r="X43" s="29">
        <f>IFERROR(W43/H43,"")</f>
        <v/>
      </c>
      <c r="Y43" s="64" t="n">
        <v>5</v>
      </c>
      <c r="Z43" s="64" t="n"/>
      <c r="AA43" s="64" t="n">
        <v>3</v>
      </c>
      <c r="AB43" s="64" t="n"/>
      <c r="AC43" s="64" t="n">
        <v>37</v>
      </c>
      <c r="AD43" s="24" t="n"/>
    </row>
    <row r="44" ht="15" customHeight="1">
      <c r="A44" s="63">
        <f>IF(C44="","",IFERROR(IF(SUMPRODUCT(MAX((tbl_Finance[Job Number]=C44&amp;"")*(tbl_Finance[Xero Invoice No]&lt;&gt;"")*tbl_Finance[Date]))=0,"",SUMPRODUCT(MAX((tbl_Finance[Job Number]=C44&amp;"")*(tbl_Finance[Xero Invoice No]&lt;&gt;"")*tbl_Finance[Date]))),""))</f>
        <v/>
      </c>
      <c r="B44" s="25">
        <f>IF(C44="","",IF(COUNTIFS(tbl_Finance[Job Number],C44&amp;"",tbl_Finance[Xero Invoice No],"&lt;&gt;")=0,"",IFERROR(IF(COUNTIFS(tbl_Finance[Job Number],C44&amp;"",tbl_Finance[Xero Invoice No],LOOKUP(2,1/((tbl_Finance[Job Number]=C44&amp;"")*(tbl_Finance[Xero Invoice No]&lt;&gt;"")),tbl_Finance[Xero Invoice No]))=COUNTIFS(tbl_Finance[Job Number],C44&amp;"",tbl_Finance[Xero Invoice No],"&lt;&gt;"),LOOKUP(2,1/((tbl_Finance[Job Number]=C44&amp;"")*(tbl_Finance[Xero Invoice No]&lt;&gt;"")),tbl_Finance[Xero Invoice No]),LOOKUP(2,1/((tbl_Finance[Job Number]=C44&amp;"")*(tbl_Finance[Xero Invoice No]&lt;&gt;"")),tbl_Finance[Xero Invoice No])&amp;" +more"),"")))</f>
        <v/>
      </c>
      <c r="C44" s="24" t="inlineStr">
        <is>
          <t>2606904</t>
        </is>
      </c>
      <c r="D44" s="25">
        <f>IF(C44="","",IF(COUNTIF(lst_Jobs,C44&amp;"")&gt;0,"OK","CHECK"))</f>
        <v/>
      </c>
      <c r="E44" s="25">
        <f>IF(C44="","",IFERROR(INDEX(lst_JobName,MATCH(C44&amp;"",lst_Jobs,0)),""))</f>
        <v/>
      </c>
      <c r="F44" s="25">
        <f>IF(C44="","",IFERROR(INDEX(tbl_Finance[Client],MATCH(C44&amp;"",tbl_Finance[Job Number],0)),""))</f>
        <v/>
      </c>
      <c r="G44" s="28">
        <f>IF(C44="","",COUNTIFS(tbl_Finance[Job Number],C44&amp;"",tbl_Finance[Ex GST],"&lt;&gt;"))</f>
        <v/>
      </c>
      <c r="H44" s="27">
        <f>IF(C44="","",SUMIFS(tbl_Finance[Ex GST],tbl_Finance[Job Number],C44&amp;""))</f>
        <v/>
      </c>
      <c r="I44" s="27">
        <f>IF(C44="","",SUMIFS(tbl_Finance[Ex GST],tbl_Finance[Job Number],C44&amp;"",tbl_Finance[Xero Invoice No],"&lt;&gt;"))</f>
        <v/>
      </c>
      <c r="J44" s="27">
        <f>IF(C44="","",H44-I44)</f>
        <v/>
      </c>
      <c r="K44" s="25">
        <f>IF(C44="","",IF(G44=0,"not invoiced yet",SUBSTITUTE(TRIM(IF(COUNTIFS(tbl_Finance[Job Number],C44&amp;"",tbl_Finance[Cost Centre],"ONSITE")&gt;0,"ONSITE ","")&amp;IF(COUNTIFS(tbl_Finance[Job Number],C44&amp;"",tbl_Finance[Cost Centre],"PRODUCTION")&gt;0,"PRODUCTION ","")&amp;IF(COUNTIFS(tbl_Finance[Job Number],C44&amp;"",tbl_Finance[Cost Centre],"VIDEO")&gt;0,"VIDEO ","")&amp;IF(COUNTIFS(tbl_Finance[Job Number],C44&amp;"",tbl_Finance[Cost Centre],"INTEGRATION")&gt;0,"INTEGRATION ","")&amp;IF(COUNTIFS(tbl_Finance[Job Number],C44&amp;"",tbl_Finance[Cost Centre],"CONSULTING")&gt;0,"CONSULTING ","")&amp;IF(COUNTIFS(tbl_Finance[Job Number],C44&amp;"",tbl_Finance[Cost Centre],"CTS")&gt;0,"CTS ",""))," ",", ")))</f>
        <v/>
      </c>
      <c r="L44" s="22" t="n">
        <v>46259</v>
      </c>
      <c r="M44" s="24" t="inlineStr">
        <is>
          <t>6044</t>
        </is>
      </c>
      <c r="N44" s="25">
        <f>IF(M44="","",IF(AND(LEFT(M44,4)&lt;&gt;"http",set_RMSBase=""),"",HYPERLINK(IF(LEFT(M44,4)="http",M44,set_RMSBase&amp;M44),"Open opportunity")))</f>
        <v/>
      </c>
      <c r="O44" s="25">
        <f>IF(C44="","",C44)</f>
        <v/>
      </c>
      <c r="P44" s="24" t="inlineStr">
        <is>
          <t>Y</t>
        </is>
      </c>
      <c r="Q44" s="26" t="n">
        <v>3563</v>
      </c>
      <c r="R44" s="27">
        <f>IF(C44="","",H44+N(Q44))</f>
        <v/>
      </c>
      <c r="S44" s="29">
        <f>IFERROR(Q44/R44,"")</f>
        <v/>
      </c>
      <c r="T44" s="26" t="n">
        <v>1874</v>
      </c>
      <c r="U44" s="26" t="n"/>
      <c r="V44" s="27">
        <f>IF(C44="","",N(T44)+N(U44))</f>
        <v/>
      </c>
      <c r="W44" s="27">
        <f>IF(C44="","",H44-V44)</f>
        <v/>
      </c>
      <c r="X44" s="29">
        <f>IFERROR(W44/H44,"")</f>
        <v/>
      </c>
      <c r="Y44" s="64" t="n"/>
      <c r="Z44" s="64" t="n"/>
      <c r="AA44" s="64" t="n">
        <v>2</v>
      </c>
      <c r="AB44" s="64" t="n"/>
      <c r="AC44" s="64" t="n">
        <v>22</v>
      </c>
      <c r="AD44" s="24" t="n"/>
    </row>
    <row r="45" ht="15" customHeight="1">
      <c r="A45" s="63">
        <f>IF(C45="","",IFERROR(IF(SUMPRODUCT(MAX((tbl_Finance[Job Number]=C45&amp;"")*(tbl_Finance[Xero Invoice No]&lt;&gt;"")*tbl_Finance[Date]))=0,"",SUMPRODUCT(MAX((tbl_Finance[Job Number]=C45&amp;"")*(tbl_Finance[Xero Invoice No]&lt;&gt;"")*tbl_Finance[Date]))),""))</f>
        <v/>
      </c>
      <c r="B45" s="25">
        <f>IF(C45="","",IF(COUNTIFS(tbl_Finance[Job Number],C45&amp;"",tbl_Finance[Xero Invoice No],"&lt;&gt;")=0,"",IFERROR(IF(COUNTIFS(tbl_Finance[Job Number],C45&amp;"",tbl_Finance[Xero Invoice No],LOOKUP(2,1/((tbl_Finance[Job Number]=C45&amp;"")*(tbl_Finance[Xero Invoice No]&lt;&gt;"")),tbl_Finance[Xero Invoice No]))=COUNTIFS(tbl_Finance[Job Number],C45&amp;"",tbl_Finance[Xero Invoice No],"&lt;&gt;"),LOOKUP(2,1/((tbl_Finance[Job Number]=C45&amp;"")*(tbl_Finance[Xero Invoice No]&lt;&gt;"")),tbl_Finance[Xero Invoice No]),LOOKUP(2,1/((tbl_Finance[Job Number]=C45&amp;"")*(tbl_Finance[Xero Invoice No]&lt;&gt;"")),tbl_Finance[Xero Invoice No])&amp;" +more"),"")))</f>
        <v/>
      </c>
      <c r="C45" s="24" t="inlineStr">
        <is>
          <t>26061001</t>
        </is>
      </c>
      <c r="D45" s="25">
        <f>IF(C45="","",IF(COUNTIF(lst_Jobs,C45&amp;"")&gt;0,"OK","CHECK"))</f>
        <v/>
      </c>
      <c r="E45" s="25">
        <f>IF(C45="","",IFERROR(INDEX(lst_JobName,MATCH(C45&amp;"",lst_Jobs,0)),""))</f>
        <v/>
      </c>
      <c r="F45" s="25">
        <f>IF(C45="","",IFERROR(INDEX(tbl_Finance[Client],MATCH(C45&amp;"",tbl_Finance[Job Number],0)),""))</f>
        <v/>
      </c>
      <c r="G45" s="28">
        <f>IF(C45="","",COUNTIFS(tbl_Finance[Job Number],C45&amp;"",tbl_Finance[Ex GST],"&lt;&gt;"))</f>
        <v/>
      </c>
      <c r="H45" s="27">
        <f>IF(C45="","",SUMIFS(tbl_Finance[Ex GST],tbl_Finance[Job Number],C45&amp;""))</f>
        <v/>
      </c>
      <c r="I45" s="27">
        <f>IF(C45="","",SUMIFS(tbl_Finance[Ex GST],tbl_Finance[Job Number],C45&amp;"",tbl_Finance[Xero Invoice No],"&lt;&gt;"))</f>
        <v/>
      </c>
      <c r="J45" s="27">
        <f>IF(C45="","",H45-I45)</f>
        <v/>
      </c>
      <c r="K45" s="25">
        <f>IF(C45="","",IF(G45=0,"not invoiced yet",SUBSTITUTE(TRIM(IF(COUNTIFS(tbl_Finance[Job Number],C45&amp;"",tbl_Finance[Cost Centre],"ONSITE")&gt;0,"ONSITE ","")&amp;IF(COUNTIFS(tbl_Finance[Job Number],C45&amp;"",tbl_Finance[Cost Centre],"PRODUCTION")&gt;0,"PRODUCTION ","")&amp;IF(COUNTIFS(tbl_Finance[Job Number],C45&amp;"",tbl_Finance[Cost Centre],"VIDEO")&gt;0,"VIDEO ","")&amp;IF(COUNTIFS(tbl_Finance[Job Number],C45&amp;"",tbl_Finance[Cost Centre],"INTEGRATION")&gt;0,"INTEGRATION ","")&amp;IF(COUNTIFS(tbl_Finance[Job Number],C45&amp;"",tbl_Finance[Cost Centre],"CONSULTING")&gt;0,"CONSULTING ","")&amp;IF(COUNTIFS(tbl_Finance[Job Number],C45&amp;"",tbl_Finance[Cost Centre],"CTS")&gt;0,"CTS ",""))," ",", ")))</f>
        <v/>
      </c>
      <c r="L45" s="22" t="n">
        <v>46259</v>
      </c>
      <c r="M45" s="24" t="inlineStr">
        <is>
          <t>6055</t>
        </is>
      </c>
      <c r="N45" s="25">
        <f>IF(M45="","",IF(AND(LEFT(M45,4)&lt;&gt;"http",set_RMSBase=""),"",HYPERLINK(IF(LEFT(M45,4)="http",M45,set_RMSBase&amp;M45),"Open opportunity")))</f>
        <v/>
      </c>
      <c r="O45" s="25">
        <f>IF(C45="","",C45)</f>
        <v/>
      </c>
      <c r="P45" s="24" t="inlineStr">
        <is>
          <t>Y</t>
        </is>
      </c>
      <c r="Q45" s="26" t="n">
        <v>90</v>
      </c>
      <c r="R45" s="27">
        <f>IF(C45="","",H45+N(Q45))</f>
        <v/>
      </c>
      <c r="S45" s="29">
        <f>IFERROR(Q45/R45,"")</f>
        <v/>
      </c>
      <c r="T45" s="26" t="n"/>
      <c r="U45" s="26" t="n"/>
      <c r="V45" s="27">
        <f>IF(C45="","",N(T45)+N(U45))</f>
        <v/>
      </c>
      <c r="W45" s="27">
        <f>IF(C45="","",H45-V45)</f>
        <v/>
      </c>
      <c r="X45" s="29">
        <f>IFERROR(W45/H45,"")</f>
        <v/>
      </c>
      <c r="Y45" s="64" t="n"/>
      <c r="Z45" s="64" t="n"/>
      <c r="AA45" s="64" t="n">
        <v>1</v>
      </c>
      <c r="AB45" s="64" t="n"/>
      <c r="AC45" s="64" t="n">
        <v>4</v>
      </c>
      <c r="AD45" s="24" t="n"/>
    </row>
    <row r="46" ht="15" customHeight="1">
      <c r="A46" s="63">
        <f>IF(C46="","",IFERROR(IF(SUMPRODUCT(MAX((tbl_Finance[Job Number]=C46&amp;"")*(tbl_Finance[Xero Invoice No]&lt;&gt;"")*tbl_Finance[Date]))=0,"",SUMPRODUCT(MAX((tbl_Finance[Job Number]=C46&amp;"")*(tbl_Finance[Xero Invoice No]&lt;&gt;"")*tbl_Finance[Date]))),""))</f>
        <v/>
      </c>
      <c r="B46" s="25">
        <f>IF(C46="","",IF(COUNTIFS(tbl_Finance[Job Number],C46&amp;"",tbl_Finance[Xero Invoice No],"&lt;&gt;")=0,"",IFERROR(IF(COUNTIFS(tbl_Finance[Job Number],C46&amp;"",tbl_Finance[Xero Invoice No],LOOKUP(2,1/((tbl_Finance[Job Number]=C46&amp;"")*(tbl_Finance[Xero Invoice No]&lt;&gt;"")),tbl_Finance[Xero Invoice No]))=COUNTIFS(tbl_Finance[Job Number],C46&amp;"",tbl_Finance[Xero Invoice No],"&lt;&gt;"),LOOKUP(2,1/((tbl_Finance[Job Number]=C46&amp;"")*(tbl_Finance[Xero Invoice No]&lt;&gt;"")),tbl_Finance[Xero Invoice No]),LOOKUP(2,1/((tbl_Finance[Job Number]=C46&amp;"")*(tbl_Finance[Xero Invoice No]&lt;&gt;"")),tbl_Finance[Xero Invoice No])&amp;" +more"),"")))</f>
        <v/>
      </c>
      <c r="C46" s="24" t="inlineStr">
        <is>
          <t>26073105</t>
        </is>
      </c>
      <c r="D46" s="25">
        <f>IF(C46="","",IF(COUNTIF(lst_Jobs,C46&amp;"")&gt;0,"OK","CHECK"))</f>
        <v/>
      </c>
      <c r="E46" s="25">
        <f>IF(C46="","",IFERROR(INDEX(lst_JobName,MATCH(C46&amp;"",lst_Jobs,0)),""))</f>
        <v/>
      </c>
      <c r="F46" s="25">
        <f>IF(C46="","",IFERROR(INDEX(tbl_Finance[Client],MATCH(C46&amp;"",tbl_Finance[Job Number],0)),""))</f>
        <v/>
      </c>
      <c r="G46" s="28">
        <f>IF(C46="","",COUNTIFS(tbl_Finance[Job Number],C46&amp;"",tbl_Finance[Ex GST],"&lt;&gt;"))</f>
        <v/>
      </c>
      <c r="H46" s="27">
        <f>IF(C46="","",SUMIFS(tbl_Finance[Ex GST],tbl_Finance[Job Number],C46&amp;""))</f>
        <v/>
      </c>
      <c r="I46" s="27">
        <f>IF(C46="","",SUMIFS(tbl_Finance[Ex GST],tbl_Finance[Job Number],C46&amp;"",tbl_Finance[Xero Invoice No],"&lt;&gt;"))</f>
        <v/>
      </c>
      <c r="J46" s="27">
        <f>IF(C46="","",H46-I46)</f>
        <v/>
      </c>
      <c r="K46" s="25">
        <f>IF(C46="","",IF(G46=0,"not invoiced yet",SUBSTITUTE(TRIM(IF(COUNTIFS(tbl_Finance[Job Number],C46&amp;"",tbl_Finance[Cost Centre],"ONSITE")&gt;0,"ONSITE ","")&amp;IF(COUNTIFS(tbl_Finance[Job Number],C46&amp;"",tbl_Finance[Cost Centre],"PRODUCTION")&gt;0,"PRODUCTION ","")&amp;IF(COUNTIFS(tbl_Finance[Job Number],C46&amp;"",tbl_Finance[Cost Centre],"VIDEO")&gt;0,"VIDEO ","")&amp;IF(COUNTIFS(tbl_Finance[Job Number],C46&amp;"",tbl_Finance[Cost Centre],"INTEGRATION")&gt;0,"INTEGRATION ","")&amp;IF(COUNTIFS(tbl_Finance[Job Number],C46&amp;"",tbl_Finance[Cost Centre],"CONSULTING")&gt;0,"CONSULTING ","")&amp;IF(COUNTIFS(tbl_Finance[Job Number],C46&amp;"",tbl_Finance[Cost Centre],"CTS")&gt;0,"CTS ",""))," ",", ")))</f>
        <v/>
      </c>
      <c r="L46" s="22" t="n">
        <v>46259</v>
      </c>
      <c r="M46" s="24" t="inlineStr">
        <is>
          <t>6129</t>
        </is>
      </c>
      <c r="N46" s="25">
        <f>IF(M46="","",IF(AND(LEFT(M46,4)&lt;&gt;"http",set_RMSBase=""),"",HYPERLINK(IF(LEFT(M46,4)="http",M46,set_RMSBase&amp;M46),"Open opportunity")))</f>
        <v/>
      </c>
      <c r="O46" s="25">
        <f>IF(C46="","",C46)</f>
        <v/>
      </c>
      <c r="P46" s="24" t="inlineStr">
        <is>
          <t>Y</t>
        </is>
      </c>
      <c r="Q46" s="26" t="n"/>
      <c r="R46" s="27">
        <f>IF(C46="","",H46+N(Q46))</f>
        <v/>
      </c>
      <c r="S46" s="29">
        <f>IFERROR(Q46/R46,"")</f>
        <v/>
      </c>
      <c r="T46" s="26" t="n"/>
      <c r="U46" s="26" t="n"/>
      <c r="V46" s="27">
        <f>IF(C46="","",N(T46)+N(U46))</f>
        <v/>
      </c>
      <c r="W46" s="27">
        <f>IF(C46="","",H46-V46)</f>
        <v/>
      </c>
      <c r="X46" s="29">
        <f>IFERROR(W46/H46,"")</f>
        <v/>
      </c>
      <c r="Y46" s="64" t="n"/>
      <c r="Z46" s="64" t="n"/>
      <c r="AA46" s="64" t="n"/>
      <c r="AB46" s="64" t="n"/>
      <c r="AC46" s="64" t="n">
        <v>4</v>
      </c>
      <c r="AD46" s="24" t="n"/>
    </row>
    <row r="47" ht="15" customHeight="1">
      <c r="A47" s="63">
        <f>IF(C47="","",IFERROR(IF(SUMPRODUCT(MAX((tbl_Finance[Job Number]=C47&amp;"")*(tbl_Finance[Xero Invoice No]&lt;&gt;"")*tbl_Finance[Date]))=0,"",SUMPRODUCT(MAX((tbl_Finance[Job Number]=C47&amp;"")*(tbl_Finance[Xero Invoice No]&lt;&gt;"")*tbl_Finance[Date]))),""))</f>
        <v/>
      </c>
      <c r="B47" s="25">
        <f>IF(C47="","",IF(COUNTIFS(tbl_Finance[Job Number],C47&amp;"",tbl_Finance[Xero Invoice No],"&lt;&gt;")=0,"",IFERROR(IF(COUNTIFS(tbl_Finance[Job Number],C47&amp;"",tbl_Finance[Xero Invoice No],LOOKUP(2,1/((tbl_Finance[Job Number]=C47&amp;"")*(tbl_Finance[Xero Invoice No]&lt;&gt;"")),tbl_Finance[Xero Invoice No]))=COUNTIFS(tbl_Finance[Job Number],C47&amp;"",tbl_Finance[Xero Invoice No],"&lt;&gt;"),LOOKUP(2,1/((tbl_Finance[Job Number]=C47&amp;"")*(tbl_Finance[Xero Invoice No]&lt;&gt;"")),tbl_Finance[Xero Invoice No]),LOOKUP(2,1/((tbl_Finance[Job Number]=C47&amp;"")*(tbl_Finance[Xero Invoice No]&lt;&gt;"")),tbl_Finance[Xero Invoice No])&amp;" +more"),"")))</f>
        <v/>
      </c>
      <c r="C47" s="24" t="inlineStr">
        <is>
          <t>2608702</t>
        </is>
      </c>
      <c r="D47" s="25">
        <f>IF(C47="","",IF(COUNTIF(lst_Jobs,C47&amp;"")&gt;0,"OK","CHECK"))</f>
        <v/>
      </c>
      <c r="E47" s="25">
        <f>IF(C47="","",IFERROR(INDEX(lst_JobName,MATCH(C47&amp;"",lst_Jobs,0)),""))</f>
        <v/>
      </c>
      <c r="F47" s="25">
        <f>IF(C47="","",IFERROR(INDEX(tbl_Finance[Client],MATCH(C47&amp;"",tbl_Finance[Job Number],0)),""))</f>
        <v/>
      </c>
      <c r="G47" s="28">
        <f>IF(C47="","",COUNTIFS(tbl_Finance[Job Number],C47&amp;"",tbl_Finance[Ex GST],"&lt;&gt;"))</f>
        <v/>
      </c>
      <c r="H47" s="27">
        <f>IF(C47="","",SUMIFS(tbl_Finance[Ex GST],tbl_Finance[Job Number],C47&amp;""))</f>
        <v/>
      </c>
      <c r="I47" s="27">
        <f>IF(C47="","",SUMIFS(tbl_Finance[Ex GST],tbl_Finance[Job Number],C47&amp;"",tbl_Finance[Xero Invoice No],"&lt;&gt;"))</f>
        <v/>
      </c>
      <c r="J47" s="27">
        <f>IF(C47="","",H47-I47)</f>
        <v/>
      </c>
      <c r="K47" s="25">
        <f>IF(C47="","",IF(G47=0,"not invoiced yet",SUBSTITUTE(TRIM(IF(COUNTIFS(tbl_Finance[Job Number],C47&amp;"",tbl_Finance[Cost Centre],"ONSITE")&gt;0,"ONSITE ","")&amp;IF(COUNTIFS(tbl_Finance[Job Number],C47&amp;"",tbl_Finance[Cost Centre],"PRODUCTION")&gt;0,"PRODUCTION ","")&amp;IF(COUNTIFS(tbl_Finance[Job Number],C47&amp;"",tbl_Finance[Cost Centre],"VIDEO")&gt;0,"VIDEO ","")&amp;IF(COUNTIFS(tbl_Finance[Job Number],C47&amp;"",tbl_Finance[Cost Centre],"INTEGRATION")&gt;0,"INTEGRATION ","")&amp;IF(COUNTIFS(tbl_Finance[Job Number],C47&amp;"",tbl_Finance[Cost Centre],"CONSULTING")&gt;0,"CONSULTING ","")&amp;IF(COUNTIFS(tbl_Finance[Job Number],C47&amp;"",tbl_Finance[Cost Centre],"CTS")&gt;0,"CTS ",""))," ",", ")))</f>
        <v/>
      </c>
      <c r="L47" s="22" t="n">
        <v>46260</v>
      </c>
      <c r="M47" s="24" t="inlineStr">
        <is>
          <t>6149</t>
        </is>
      </c>
      <c r="N47" s="25">
        <f>IF(M47="","",IF(AND(LEFT(M47,4)&lt;&gt;"http",set_RMSBase=""),"",HYPERLINK(IF(LEFT(M47,4)="http",M47,set_RMSBase&amp;M47),"Open opportunity")))</f>
        <v/>
      </c>
      <c r="O47" s="25">
        <f>IF(C47="","",C47)</f>
        <v/>
      </c>
      <c r="P47" s="24" t="inlineStr">
        <is>
          <t>Y</t>
        </is>
      </c>
      <c r="Q47" s="26" t="n"/>
      <c r="R47" s="27">
        <f>IF(C47="","",H47+N(Q47))</f>
        <v/>
      </c>
      <c r="S47" s="29">
        <f>IFERROR(Q47/R47,"")</f>
        <v/>
      </c>
      <c r="T47" s="26" t="n">
        <v>784.5</v>
      </c>
      <c r="U47" s="26" t="n"/>
      <c r="V47" s="27">
        <f>IF(C47="","",N(T47)+N(U47))</f>
        <v/>
      </c>
      <c r="W47" s="27">
        <f>IF(C47="","",H47-V47)</f>
        <v/>
      </c>
      <c r="X47" s="29">
        <f>IFERROR(W47/H47,"")</f>
        <v/>
      </c>
      <c r="Y47" s="64" t="n"/>
      <c r="Z47" s="64" t="n"/>
      <c r="AA47" s="64" t="n"/>
      <c r="AB47" s="64" t="n"/>
      <c r="AC47" s="64" t="n"/>
      <c r="AD47" s="24" t="n"/>
    </row>
    <row r="48" ht="15" customHeight="1">
      <c r="A48" s="63">
        <f>IF(C48="","",IFERROR(IF(SUMPRODUCT(MAX((tbl_Finance[Job Number]=C48&amp;"")*(tbl_Finance[Xero Invoice No]&lt;&gt;"")*tbl_Finance[Date]))=0,"",SUMPRODUCT(MAX((tbl_Finance[Job Number]=C48&amp;"")*(tbl_Finance[Xero Invoice No]&lt;&gt;"")*tbl_Finance[Date]))),""))</f>
        <v/>
      </c>
      <c r="B48" s="25">
        <f>IF(C48="","",IF(COUNTIFS(tbl_Finance[Job Number],C48&amp;"",tbl_Finance[Xero Invoice No],"&lt;&gt;")=0,"",IFERROR(IF(COUNTIFS(tbl_Finance[Job Number],C48&amp;"",tbl_Finance[Xero Invoice No],LOOKUP(2,1/((tbl_Finance[Job Number]=C48&amp;"")*(tbl_Finance[Xero Invoice No]&lt;&gt;"")),tbl_Finance[Xero Invoice No]))=COUNTIFS(tbl_Finance[Job Number],C48&amp;"",tbl_Finance[Xero Invoice No],"&lt;&gt;"),LOOKUP(2,1/((tbl_Finance[Job Number]=C48&amp;"")*(tbl_Finance[Xero Invoice No]&lt;&gt;"")),tbl_Finance[Xero Invoice No]),LOOKUP(2,1/((tbl_Finance[Job Number]=C48&amp;"")*(tbl_Finance[Xero Invoice No]&lt;&gt;"")),tbl_Finance[Xero Invoice No])&amp;" +more"),"")))</f>
        <v/>
      </c>
      <c r="C48" s="24" t="inlineStr">
        <is>
          <t>2606903</t>
        </is>
      </c>
      <c r="D48" s="25">
        <f>IF(C48="","",IF(COUNTIF(lst_Jobs,C48&amp;"")&gt;0,"OK","CHECK"))</f>
        <v/>
      </c>
      <c r="E48" s="25">
        <f>IF(C48="","",IFERROR(INDEX(lst_JobName,MATCH(C48&amp;"",lst_Jobs,0)),""))</f>
        <v/>
      </c>
      <c r="F48" s="25">
        <f>IF(C48="","",IFERROR(INDEX(tbl_Finance[Client],MATCH(C48&amp;"",tbl_Finance[Job Number],0)),""))</f>
        <v/>
      </c>
      <c r="G48" s="28">
        <f>IF(C48="","",COUNTIFS(tbl_Finance[Job Number],C48&amp;"",tbl_Finance[Ex GST],"&lt;&gt;"))</f>
        <v/>
      </c>
      <c r="H48" s="27">
        <f>IF(C48="","",SUMIFS(tbl_Finance[Ex GST],tbl_Finance[Job Number],C48&amp;""))</f>
        <v/>
      </c>
      <c r="I48" s="27">
        <f>IF(C48="","",SUMIFS(tbl_Finance[Ex GST],tbl_Finance[Job Number],C48&amp;"",tbl_Finance[Xero Invoice No],"&lt;&gt;"))</f>
        <v/>
      </c>
      <c r="J48" s="27">
        <f>IF(C48="","",H48-I48)</f>
        <v/>
      </c>
      <c r="K48" s="25">
        <f>IF(C48="","",IF(G48=0,"not invoiced yet",SUBSTITUTE(TRIM(IF(COUNTIFS(tbl_Finance[Job Number],C48&amp;"",tbl_Finance[Cost Centre],"ONSITE")&gt;0,"ONSITE ","")&amp;IF(COUNTIFS(tbl_Finance[Job Number],C48&amp;"",tbl_Finance[Cost Centre],"PRODUCTION")&gt;0,"PRODUCTION ","")&amp;IF(COUNTIFS(tbl_Finance[Job Number],C48&amp;"",tbl_Finance[Cost Centre],"VIDEO")&gt;0,"VIDEO ","")&amp;IF(COUNTIFS(tbl_Finance[Job Number],C48&amp;"",tbl_Finance[Cost Centre],"INTEGRATION")&gt;0,"INTEGRATION ","")&amp;IF(COUNTIFS(tbl_Finance[Job Number],C48&amp;"",tbl_Finance[Cost Centre],"CONSULTING")&gt;0,"CONSULTING ","")&amp;IF(COUNTIFS(tbl_Finance[Job Number],C48&amp;"",tbl_Finance[Cost Centre],"CTS")&gt;0,"CTS ",""))," ",", ")))</f>
        <v/>
      </c>
      <c r="L48" s="22" t="n">
        <v>46262</v>
      </c>
      <c r="M48" s="24" t="inlineStr">
        <is>
          <t>6024</t>
        </is>
      </c>
      <c r="N48" s="25">
        <f>IF(M48="","",IF(AND(LEFT(M48,4)&lt;&gt;"http",set_RMSBase=""),"",HYPERLINK(IF(LEFT(M48,4)="http",M48,set_RMSBase&amp;M48),"Open opportunity")))</f>
        <v/>
      </c>
      <c r="O48" s="25">
        <f>IF(C48="","",C48)</f>
        <v/>
      </c>
      <c r="P48" s="24" t="inlineStr">
        <is>
          <t>Y</t>
        </is>
      </c>
      <c r="Q48" s="26" t="n">
        <v>3530.5</v>
      </c>
      <c r="R48" s="27">
        <f>IF(C48="","",H48+N(Q48))</f>
        <v/>
      </c>
      <c r="S48" s="29">
        <f>IFERROR(Q48/R48,"")</f>
        <v/>
      </c>
      <c r="T48" s="26" t="n">
        <v>4749.88</v>
      </c>
      <c r="U48" s="26" t="n"/>
      <c r="V48" s="27">
        <f>IF(C48="","",N(T48)+N(U48))</f>
        <v/>
      </c>
      <c r="W48" s="27">
        <f>IF(C48="","",H48-V48)</f>
        <v/>
      </c>
      <c r="X48" s="29">
        <f>IFERROR(W48/H48,"")</f>
        <v/>
      </c>
      <c r="Y48" s="64" t="n"/>
      <c r="Z48" s="64" t="n"/>
      <c r="AA48" s="64" t="n">
        <v>4</v>
      </c>
      <c r="AB48" s="64" t="n"/>
      <c r="AC48" s="64" t="n">
        <v>23</v>
      </c>
      <c r="AD48" s="24" t="n"/>
    </row>
    <row r="49" ht="15" customHeight="1">
      <c r="A49" s="63">
        <f>IF(C49="","",IFERROR(IF(SUMPRODUCT(MAX((tbl_Finance[Job Number]=C49&amp;"")*(tbl_Finance[Xero Invoice No]&lt;&gt;"")*tbl_Finance[Date]))=0,"",SUMPRODUCT(MAX((tbl_Finance[Job Number]=C49&amp;"")*(tbl_Finance[Xero Invoice No]&lt;&gt;"")*tbl_Finance[Date]))),""))</f>
        <v/>
      </c>
      <c r="B49" s="25">
        <f>IF(C49="","",IF(COUNTIFS(tbl_Finance[Job Number],C49&amp;"",tbl_Finance[Xero Invoice No],"&lt;&gt;")=0,"",IFERROR(IF(COUNTIFS(tbl_Finance[Job Number],C49&amp;"",tbl_Finance[Xero Invoice No],LOOKUP(2,1/((tbl_Finance[Job Number]=C49&amp;"")*(tbl_Finance[Xero Invoice No]&lt;&gt;"")),tbl_Finance[Xero Invoice No]))=COUNTIFS(tbl_Finance[Job Number],C49&amp;"",tbl_Finance[Xero Invoice No],"&lt;&gt;"),LOOKUP(2,1/((tbl_Finance[Job Number]=C49&amp;"")*(tbl_Finance[Xero Invoice No]&lt;&gt;"")),tbl_Finance[Xero Invoice No]),LOOKUP(2,1/((tbl_Finance[Job Number]=C49&amp;"")*(tbl_Finance[Xero Invoice No]&lt;&gt;"")),tbl_Finance[Xero Invoice No])&amp;" +more"),"")))</f>
        <v/>
      </c>
      <c r="C49" s="24" t="inlineStr">
        <is>
          <t>26072003</t>
        </is>
      </c>
      <c r="D49" s="25">
        <f>IF(C49="","",IF(COUNTIF(lst_Jobs,C49&amp;"")&gt;0,"OK","CHECK"))</f>
        <v/>
      </c>
      <c r="E49" s="25">
        <f>IF(C49="","",IFERROR(INDEX(lst_JobName,MATCH(C49&amp;"",lst_Jobs,0)),""))</f>
        <v/>
      </c>
      <c r="F49" s="25">
        <f>IF(C49="","",IFERROR(INDEX(tbl_Finance[Client],MATCH(C49&amp;"",tbl_Finance[Job Number],0)),""))</f>
        <v/>
      </c>
      <c r="G49" s="28">
        <f>IF(C49="","",COUNTIFS(tbl_Finance[Job Number],C49&amp;"",tbl_Finance[Ex GST],"&lt;&gt;"))</f>
        <v/>
      </c>
      <c r="H49" s="27">
        <f>IF(C49="","",SUMIFS(tbl_Finance[Ex GST],tbl_Finance[Job Number],C49&amp;""))</f>
        <v/>
      </c>
      <c r="I49" s="27">
        <f>IF(C49="","",SUMIFS(tbl_Finance[Ex GST],tbl_Finance[Job Number],C49&amp;"",tbl_Finance[Xero Invoice No],"&lt;&gt;"))</f>
        <v/>
      </c>
      <c r="J49" s="27">
        <f>IF(C49="","",H49-I49)</f>
        <v/>
      </c>
      <c r="K49" s="25">
        <f>IF(C49="","",IF(G49=0,"not invoiced yet",SUBSTITUTE(TRIM(IF(COUNTIFS(tbl_Finance[Job Number],C49&amp;"",tbl_Finance[Cost Centre],"ONSITE")&gt;0,"ONSITE ","")&amp;IF(COUNTIFS(tbl_Finance[Job Number],C49&amp;"",tbl_Finance[Cost Centre],"PRODUCTION")&gt;0,"PRODUCTION ","")&amp;IF(COUNTIFS(tbl_Finance[Job Number],C49&amp;"",tbl_Finance[Cost Centre],"VIDEO")&gt;0,"VIDEO ","")&amp;IF(COUNTIFS(tbl_Finance[Job Number],C49&amp;"",tbl_Finance[Cost Centre],"INTEGRATION")&gt;0,"INTEGRATION ","")&amp;IF(COUNTIFS(tbl_Finance[Job Number],C49&amp;"",tbl_Finance[Cost Centre],"CONSULTING")&gt;0,"CONSULTING ","")&amp;IF(COUNTIFS(tbl_Finance[Job Number],C49&amp;"",tbl_Finance[Cost Centre],"CTS")&gt;0,"CTS ",""))," ",", ")))</f>
        <v/>
      </c>
      <c r="L49" s="22" t="n">
        <v>46265</v>
      </c>
      <c r="M49" s="24" t="inlineStr">
        <is>
          <t>6169</t>
        </is>
      </c>
      <c r="N49" s="25">
        <f>IF(M49="","",IF(AND(LEFT(M49,4)&lt;&gt;"http",set_RMSBase=""),"",HYPERLINK(IF(LEFT(M49,4)="http",M49,set_RMSBase&amp;M49),"Open opportunity")))</f>
        <v/>
      </c>
      <c r="O49" s="25">
        <f>IF(C49="","",C49)</f>
        <v/>
      </c>
      <c r="P49" s="24" t="inlineStr">
        <is>
          <t>Y</t>
        </is>
      </c>
      <c r="Q49" s="26" t="n"/>
      <c r="R49" s="27">
        <f>IF(C49="","",H49+N(Q49))</f>
        <v/>
      </c>
      <c r="S49" s="29">
        <f>IFERROR(Q49/R49,"")</f>
        <v/>
      </c>
      <c r="T49" s="26" t="n"/>
      <c r="U49" s="26" t="n"/>
      <c r="V49" s="27">
        <f>IF(C49="","",N(T49)+N(U49))</f>
        <v/>
      </c>
      <c r="W49" s="27">
        <f>IF(C49="","",H49-V49)</f>
        <v/>
      </c>
      <c r="X49" s="29">
        <f>IFERROR(W49/H49,"")</f>
        <v/>
      </c>
      <c r="Y49" s="64" t="n"/>
      <c r="Z49" s="64" t="n"/>
      <c r="AA49" s="64" t="n"/>
      <c r="AB49" s="64" t="n"/>
      <c r="AC49" s="64" t="n">
        <v>56</v>
      </c>
      <c r="AD49" s="24" t="n"/>
    </row>
    <row r="50" ht="15" customHeight="1">
      <c r="A50" s="63">
        <f>IF(C50="","",IFERROR(IF(SUMPRODUCT(MAX((tbl_Finance[Job Number]=C50&amp;"")*(tbl_Finance[Xero Invoice No]&lt;&gt;"")*tbl_Finance[Date]))=0,"",SUMPRODUCT(MAX((tbl_Finance[Job Number]=C50&amp;"")*(tbl_Finance[Xero Invoice No]&lt;&gt;"")*tbl_Finance[Date]))),""))</f>
        <v/>
      </c>
      <c r="B50" s="25">
        <f>IF(C50="","",IF(COUNTIFS(tbl_Finance[Job Number],C50&amp;"",tbl_Finance[Xero Invoice No],"&lt;&gt;")=0,"",IFERROR(IF(COUNTIFS(tbl_Finance[Job Number],C50&amp;"",tbl_Finance[Xero Invoice No],LOOKUP(2,1/((tbl_Finance[Job Number]=C50&amp;"")*(tbl_Finance[Xero Invoice No]&lt;&gt;"")),tbl_Finance[Xero Invoice No]))=COUNTIFS(tbl_Finance[Job Number],C50&amp;"",tbl_Finance[Xero Invoice No],"&lt;&gt;"),LOOKUP(2,1/((tbl_Finance[Job Number]=C50&amp;"")*(tbl_Finance[Xero Invoice No]&lt;&gt;"")),tbl_Finance[Xero Invoice No]),LOOKUP(2,1/((tbl_Finance[Job Number]=C50&amp;"")*(tbl_Finance[Xero Invoice No]&lt;&gt;"")),tbl_Finance[Xero Invoice No])&amp;" +more"),"")))</f>
        <v/>
      </c>
      <c r="C50" s="24" t="inlineStr">
        <is>
          <t>26061609/26061608/26061607/26061108</t>
        </is>
      </c>
      <c r="D50" s="25">
        <f>IF(C50="","",IF(COUNTIF(lst_Jobs,C50&amp;"")&gt;0,"OK","CHECK"))</f>
        <v/>
      </c>
      <c r="E50" s="25">
        <f>IF(C50="","",IFERROR(INDEX(lst_JobName,MATCH(C50&amp;"",lst_Jobs,0)),""))</f>
        <v/>
      </c>
      <c r="F50" s="25">
        <f>IF(C50="","",IFERROR(INDEX(tbl_Finance[Client],MATCH(C50&amp;"",tbl_Finance[Job Number],0)),""))</f>
        <v/>
      </c>
      <c r="G50" s="28">
        <f>IF(C50="","",COUNTIFS(tbl_Finance[Job Number],C50&amp;"",tbl_Finance[Ex GST],"&lt;&gt;"))</f>
        <v/>
      </c>
      <c r="H50" s="27">
        <f>IF(C50="","",SUMIFS(tbl_Finance[Ex GST],tbl_Finance[Job Number],C50&amp;""))</f>
        <v/>
      </c>
      <c r="I50" s="27">
        <f>IF(C50="","",SUMIFS(tbl_Finance[Ex GST],tbl_Finance[Job Number],C50&amp;"",tbl_Finance[Xero Invoice No],"&lt;&gt;"))</f>
        <v/>
      </c>
      <c r="J50" s="27">
        <f>IF(C50="","",H50-I50)</f>
        <v/>
      </c>
      <c r="K50" s="25">
        <f>IF(C50="","",IF(G50=0,"not invoiced yet",SUBSTITUTE(TRIM(IF(COUNTIFS(tbl_Finance[Job Number],C50&amp;"",tbl_Finance[Cost Centre],"ONSITE")&gt;0,"ONSITE ","")&amp;IF(COUNTIFS(tbl_Finance[Job Number],C50&amp;"",tbl_Finance[Cost Centre],"PRODUCTION")&gt;0,"PRODUCTION ","")&amp;IF(COUNTIFS(tbl_Finance[Job Number],C50&amp;"",tbl_Finance[Cost Centre],"VIDEO")&gt;0,"VIDEO ","")&amp;IF(COUNTIFS(tbl_Finance[Job Number],C50&amp;"",tbl_Finance[Cost Centre],"INTEGRATION")&gt;0,"INTEGRATION ","")&amp;IF(COUNTIFS(tbl_Finance[Job Number],C50&amp;"",tbl_Finance[Cost Centre],"CONSULTING")&gt;0,"CONSULTING ","")&amp;IF(COUNTIFS(tbl_Finance[Job Number],C50&amp;"",tbl_Finance[Cost Centre],"CTS")&gt;0,"CTS ",""))," ",", ")))</f>
        <v/>
      </c>
      <c r="L50" s="22" t="inlineStr">
        <is>
          <t>N/A</t>
        </is>
      </c>
      <c r="M50" s="24" t="inlineStr">
        <is>
          <t>Proj: 0017</t>
        </is>
      </c>
      <c r="N50" s="25">
        <f>IF(M50="","",IF(AND(LEFT(M50,4)&lt;&gt;"http",set_RMSBase=""),"",HYPERLINK(IF(LEFT(M50,4)="http",M50,set_RMSBase&amp;M50),"Open opportunity")))</f>
        <v/>
      </c>
      <c r="O50" s="25">
        <f>IF(C50="","",C50)</f>
        <v/>
      </c>
      <c r="P50" s="24" t="inlineStr">
        <is>
          <t>Y</t>
        </is>
      </c>
      <c r="Q50" s="26" t="n"/>
      <c r="R50" s="27">
        <f>IF(C50="","",H50+N(Q50))</f>
        <v/>
      </c>
      <c r="S50" s="29">
        <f>IFERROR(Q50/R50,"")</f>
        <v/>
      </c>
      <c r="T50" s="26" t="n"/>
      <c r="U50" s="26" t="n"/>
      <c r="V50" s="27">
        <f>IF(C50="","",N(T50)+N(U50))</f>
        <v/>
      </c>
      <c r="W50" s="27">
        <f>IF(C50="","",H50-V50)</f>
        <v/>
      </c>
      <c r="X50" s="29">
        <f>IFERROR(W50/H50,"")</f>
        <v/>
      </c>
      <c r="Y50" s="64" t="n"/>
      <c r="Z50" s="64" t="n"/>
      <c r="AA50" s="64" t="n"/>
      <c r="AB50" s="64" t="n"/>
      <c r="AC50" s="64" t="n"/>
      <c r="AD50" s="24" t="n"/>
    </row>
    <row r="51" ht="15" customHeight="1">
      <c r="A51" s="63">
        <f>IF(C51="","",IFERROR(IF(SUMPRODUCT(MAX((tbl_Finance[Job Number]=C51&amp;"")*(tbl_Finance[Xero Invoice No]&lt;&gt;"")*tbl_Finance[Date]))=0,"",SUMPRODUCT(MAX((tbl_Finance[Job Number]=C51&amp;"")*(tbl_Finance[Xero Invoice No]&lt;&gt;"")*tbl_Finance[Date]))),""))</f>
        <v/>
      </c>
      <c r="B51" s="25">
        <f>IF(C51="","",IF(COUNTIFS(tbl_Finance[Job Number],C51&amp;"",tbl_Finance[Xero Invoice No],"&lt;&gt;")=0,"",IFERROR(IF(COUNTIFS(tbl_Finance[Job Number],C51&amp;"",tbl_Finance[Xero Invoice No],LOOKUP(2,1/((tbl_Finance[Job Number]=C51&amp;"")*(tbl_Finance[Xero Invoice No]&lt;&gt;"")),tbl_Finance[Xero Invoice No]))=COUNTIFS(tbl_Finance[Job Number],C51&amp;"",tbl_Finance[Xero Invoice No],"&lt;&gt;"),LOOKUP(2,1/((tbl_Finance[Job Number]=C51&amp;"")*(tbl_Finance[Xero Invoice No]&lt;&gt;"")),tbl_Finance[Xero Invoice No]),LOOKUP(2,1/((tbl_Finance[Job Number]=C51&amp;"")*(tbl_Finance[Xero Invoice No]&lt;&gt;"")),tbl_Finance[Xero Invoice No])&amp;" +more"),"")))</f>
        <v/>
      </c>
      <c r="C51" s="24" t="inlineStr">
        <is>
          <t>9100</t>
        </is>
      </c>
      <c r="D51" s="25">
        <f>IF(C51="","",IF(COUNTIF(lst_Jobs,C51&amp;"")&gt;0,"OK","CHECK"))</f>
        <v/>
      </c>
      <c r="E51" s="25">
        <f>IF(C51="","",IFERROR(INDEX(lst_JobName,MATCH(C51&amp;"",lst_Jobs,0)),""))</f>
        <v/>
      </c>
      <c r="F51" s="25">
        <f>IF(C51="","",IFERROR(INDEX(tbl_Finance[Client],MATCH(C51&amp;"",tbl_Finance[Job Number],0)),""))</f>
        <v/>
      </c>
      <c r="G51" s="28">
        <f>IF(C51="","",COUNTIFS(tbl_Finance[Job Number],C51&amp;"",tbl_Finance[Ex GST],"&lt;&gt;"))</f>
        <v/>
      </c>
      <c r="H51" s="27">
        <f>IF(C51="","",SUMIFS(tbl_Finance[Ex GST],tbl_Finance[Job Number],C51&amp;""))</f>
        <v/>
      </c>
      <c r="I51" s="27">
        <f>IF(C51="","",SUMIFS(tbl_Finance[Ex GST],tbl_Finance[Job Number],C51&amp;"",tbl_Finance[Xero Invoice No],"&lt;&gt;"))</f>
        <v/>
      </c>
      <c r="J51" s="27">
        <f>IF(C51="","",H51-I51)</f>
        <v/>
      </c>
      <c r="K51" s="25">
        <f>IF(C51="","",IF(G51=0,"not invoiced yet",SUBSTITUTE(TRIM(IF(COUNTIFS(tbl_Finance[Job Number],C51&amp;"",tbl_Finance[Cost Centre],"ONSITE")&gt;0,"ONSITE ","")&amp;IF(COUNTIFS(tbl_Finance[Job Number],C51&amp;"",tbl_Finance[Cost Centre],"PRODUCTION")&gt;0,"PRODUCTION ","")&amp;IF(COUNTIFS(tbl_Finance[Job Number],C51&amp;"",tbl_Finance[Cost Centre],"VIDEO")&gt;0,"VIDEO ","")&amp;IF(COUNTIFS(tbl_Finance[Job Number],C51&amp;"",tbl_Finance[Cost Centre],"INTEGRATION")&gt;0,"INTEGRATION ","")&amp;IF(COUNTIFS(tbl_Finance[Job Number],C51&amp;"",tbl_Finance[Cost Centre],"CONSULTING")&gt;0,"CONSULTING ","")&amp;IF(COUNTIFS(tbl_Finance[Job Number],C51&amp;"",tbl_Finance[Cost Centre],"CTS")&gt;0,"CTS ",""))," ",", ")))</f>
        <v/>
      </c>
      <c r="L51" s="22" t="inlineStr">
        <is>
          <t>N/A</t>
        </is>
      </c>
      <c r="M51" s="24" t="n"/>
      <c r="N51" s="25">
        <f>IF(M51="","",IF(AND(LEFT(M51,4)&lt;&gt;"http",set_RMSBase=""),"",HYPERLINK(IF(LEFT(M51,4)="http",M51,set_RMSBase&amp;M51),"Open opportunity")))</f>
        <v/>
      </c>
      <c r="O51" s="25">
        <f>IF(C51="","",C51)</f>
        <v/>
      </c>
      <c r="P51" s="24" t="inlineStr">
        <is>
          <t>Y</t>
        </is>
      </c>
      <c r="Q51" s="26" t="n"/>
      <c r="R51" s="27">
        <f>IF(C51="","",H51+N(Q51))</f>
        <v/>
      </c>
      <c r="S51" s="29">
        <f>IFERROR(Q51/R51,"")</f>
        <v/>
      </c>
      <c r="T51" s="26" t="n"/>
      <c r="U51" s="26" t="n"/>
      <c r="V51" s="27">
        <f>IF(C51="","",N(T51)+N(U51))</f>
        <v/>
      </c>
      <c r="W51" s="27">
        <f>IF(C51="","",H51-V51)</f>
        <v/>
      </c>
      <c r="X51" s="29">
        <f>IFERROR(W51/H51,"")</f>
        <v/>
      </c>
      <c r="Y51" s="64" t="n"/>
      <c r="Z51" s="64" t="n"/>
      <c r="AA51" s="64" t="n"/>
      <c r="AB51" s="64" t="n"/>
      <c r="AC51" s="64" t="n"/>
      <c r="AD51" s="24" t="n"/>
    </row>
    <row r="52" ht="15" customHeight="1">
      <c r="A52" s="63">
        <f>IF(C52="","",IFERROR(IF(SUMPRODUCT(MAX((tbl_Finance[Job Number]=C52&amp;"")*(tbl_Finance[Xero Invoice No]&lt;&gt;"")*tbl_Finance[Date]))=0,"",SUMPRODUCT(MAX((tbl_Finance[Job Number]=C52&amp;"")*(tbl_Finance[Xero Invoice No]&lt;&gt;"")*tbl_Finance[Date]))),""))</f>
        <v/>
      </c>
      <c r="B52" s="25">
        <f>IF(C52="","",IF(COUNTIFS(tbl_Finance[Job Number],C52&amp;"",tbl_Finance[Xero Invoice No],"&lt;&gt;")=0,"",IFERROR(IF(COUNTIFS(tbl_Finance[Job Number],C52&amp;"",tbl_Finance[Xero Invoice No],LOOKUP(2,1/((tbl_Finance[Job Number]=C52&amp;"")*(tbl_Finance[Xero Invoice No]&lt;&gt;"")),tbl_Finance[Xero Invoice No]))=COUNTIFS(tbl_Finance[Job Number],C52&amp;"",tbl_Finance[Xero Invoice No],"&lt;&gt;"),LOOKUP(2,1/((tbl_Finance[Job Number]=C52&amp;"")*(tbl_Finance[Xero Invoice No]&lt;&gt;"")),tbl_Finance[Xero Invoice No]),LOOKUP(2,1/((tbl_Finance[Job Number]=C52&amp;"")*(tbl_Finance[Xero Invoice No]&lt;&gt;"")),tbl_Finance[Xero Invoice No])&amp;" +more"),"")))</f>
        <v/>
      </c>
      <c r="C52" s="24" t="inlineStr">
        <is>
          <t>26061602</t>
        </is>
      </c>
      <c r="D52" s="25">
        <f>IF(C52="","",IF(COUNTIF(lst_Jobs,C52&amp;"")&gt;0,"OK","CHECK"))</f>
        <v/>
      </c>
      <c r="E52" s="25">
        <f>IF(C52="","",IFERROR(INDEX(lst_JobName,MATCH(C52&amp;"",lst_Jobs,0)),""))</f>
        <v/>
      </c>
      <c r="F52" s="25">
        <f>IF(C52="","",IFERROR(INDEX(tbl_Finance[Client],MATCH(C52&amp;"",tbl_Finance[Job Number],0)),""))</f>
        <v/>
      </c>
      <c r="G52" s="28">
        <f>IF(C52="","",COUNTIFS(tbl_Finance[Job Number],C52&amp;"",tbl_Finance[Ex GST],"&lt;&gt;"))</f>
        <v/>
      </c>
      <c r="H52" s="27">
        <f>IF(C52="","",SUMIFS(tbl_Finance[Ex GST],tbl_Finance[Job Number],C52&amp;""))</f>
        <v/>
      </c>
      <c r="I52" s="27">
        <f>IF(C52="","",SUMIFS(tbl_Finance[Ex GST],tbl_Finance[Job Number],C52&amp;"",tbl_Finance[Xero Invoice No],"&lt;&gt;"))</f>
        <v/>
      </c>
      <c r="J52" s="27">
        <f>IF(C52="","",H52-I52)</f>
        <v/>
      </c>
      <c r="K52" s="25">
        <f>IF(C52="","",IF(G52=0,"not invoiced yet",SUBSTITUTE(TRIM(IF(COUNTIFS(tbl_Finance[Job Number],C52&amp;"",tbl_Finance[Cost Centre],"ONSITE")&gt;0,"ONSITE ","")&amp;IF(COUNTIFS(tbl_Finance[Job Number],C52&amp;"",tbl_Finance[Cost Centre],"PRODUCTION")&gt;0,"PRODUCTION ","")&amp;IF(COUNTIFS(tbl_Finance[Job Number],C52&amp;"",tbl_Finance[Cost Centre],"VIDEO")&gt;0,"VIDEO ","")&amp;IF(COUNTIFS(tbl_Finance[Job Number],C52&amp;"",tbl_Finance[Cost Centre],"INTEGRATION")&gt;0,"INTEGRATION ","")&amp;IF(COUNTIFS(tbl_Finance[Job Number],C52&amp;"",tbl_Finance[Cost Centre],"CONSULTING")&gt;0,"CONSULTING ","")&amp;IF(COUNTIFS(tbl_Finance[Job Number],C52&amp;"",tbl_Finance[Cost Centre],"CTS")&gt;0,"CTS ",""))," ",", ")))</f>
        <v/>
      </c>
      <c r="L52" s="22" t="n">
        <v>46266</v>
      </c>
      <c r="M52" s="24" t="inlineStr">
        <is>
          <t>5849</t>
        </is>
      </c>
      <c r="N52" s="25">
        <f>IF(M52="","",IF(AND(LEFT(M52,4)&lt;&gt;"http",set_RMSBase=""),"",HYPERLINK(IF(LEFT(M52,4)="http",M52,set_RMSBase&amp;M52),"Open opportunity")))</f>
        <v/>
      </c>
      <c r="O52" s="25">
        <f>IF(C52="","",C52)</f>
        <v/>
      </c>
      <c r="P52" s="24" t="inlineStr">
        <is>
          <t>Y</t>
        </is>
      </c>
      <c r="Q52" s="26" t="n">
        <v>261</v>
      </c>
      <c r="R52" s="27">
        <f>IF(C52="","",H52+N(Q52))</f>
        <v/>
      </c>
      <c r="S52" s="29">
        <f>IFERROR(Q52/R52,"")</f>
        <v/>
      </c>
      <c r="T52" s="26" t="n"/>
      <c r="U52" s="26" t="n"/>
      <c r="V52" s="27">
        <f>IF(C52="","",N(T52)+N(U52))</f>
        <v/>
      </c>
      <c r="W52" s="27">
        <f>IF(C52="","",H52-V52)</f>
        <v/>
      </c>
      <c r="X52" s="29">
        <f>IFERROR(W52/H52,"")</f>
        <v/>
      </c>
      <c r="Y52" s="64" t="n"/>
      <c r="Z52" s="64" t="n">
        <v>9</v>
      </c>
      <c r="AA52" s="64" t="n"/>
      <c r="AB52" s="64" t="n"/>
      <c r="AC52" s="64" t="n">
        <v>16</v>
      </c>
      <c r="AD52" s="24" t="n"/>
    </row>
    <row r="53" ht="15" customHeight="1">
      <c r="A53" s="63">
        <f>IF(C53="","",IFERROR(IF(SUMPRODUCT(MAX((tbl_Finance[Job Number]=C53&amp;"")*(tbl_Finance[Xero Invoice No]&lt;&gt;"")*tbl_Finance[Date]))=0,"",SUMPRODUCT(MAX((tbl_Finance[Job Number]=C53&amp;"")*(tbl_Finance[Xero Invoice No]&lt;&gt;"")*tbl_Finance[Date]))),""))</f>
        <v/>
      </c>
      <c r="B53" s="25">
        <f>IF(C53="","",IF(COUNTIFS(tbl_Finance[Job Number],C53&amp;"",tbl_Finance[Xero Invoice No],"&lt;&gt;")=0,"",IFERROR(IF(COUNTIFS(tbl_Finance[Job Number],C53&amp;"",tbl_Finance[Xero Invoice No],LOOKUP(2,1/((tbl_Finance[Job Number]=C53&amp;"")*(tbl_Finance[Xero Invoice No]&lt;&gt;"")),tbl_Finance[Xero Invoice No]))=COUNTIFS(tbl_Finance[Job Number],C53&amp;"",tbl_Finance[Xero Invoice No],"&lt;&gt;"),LOOKUP(2,1/((tbl_Finance[Job Number]=C53&amp;"")*(tbl_Finance[Xero Invoice No]&lt;&gt;"")),tbl_Finance[Xero Invoice No]),LOOKUP(2,1/((tbl_Finance[Job Number]=C53&amp;"")*(tbl_Finance[Xero Invoice No]&lt;&gt;"")),tbl_Finance[Xero Invoice No])&amp;" +more"),"")))</f>
        <v/>
      </c>
      <c r="C53" s="24" t="inlineStr">
        <is>
          <t>26071701</t>
        </is>
      </c>
      <c r="D53" s="25">
        <f>IF(C53="","",IF(COUNTIF(lst_Jobs,C53&amp;"")&gt;0,"OK","CHECK"))</f>
        <v/>
      </c>
      <c r="E53" s="25">
        <f>IF(C53="","",IFERROR(INDEX(lst_JobName,MATCH(C53&amp;"",lst_Jobs,0)),""))</f>
        <v/>
      </c>
      <c r="F53" s="25">
        <f>IF(C53="","",IFERROR(INDEX(tbl_Finance[Client],MATCH(C53&amp;"",tbl_Finance[Job Number],0)),""))</f>
        <v/>
      </c>
      <c r="G53" s="28">
        <f>IF(C53="","",COUNTIFS(tbl_Finance[Job Number],C53&amp;"",tbl_Finance[Ex GST],"&lt;&gt;"))</f>
        <v/>
      </c>
      <c r="H53" s="27">
        <f>IF(C53="","",SUMIFS(tbl_Finance[Ex GST],tbl_Finance[Job Number],C53&amp;""))</f>
        <v/>
      </c>
      <c r="I53" s="27">
        <f>IF(C53="","",SUMIFS(tbl_Finance[Ex GST],tbl_Finance[Job Number],C53&amp;"",tbl_Finance[Xero Invoice No],"&lt;&gt;"))</f>
        <v/>
      </c>
      <c r="J53" s="27">
        <f>IF(C53="","",H53-I53)</f>
        <v/>
      </c>
      <c r="K53" s="25">
        <f>IF(C53="","",IF(G53=0,"not invoiced yet",SUBSTITUTE(TRIM(IF(COUNTIFS(tbl_Finance[Job Number],C53&amp;"",tbl_Finance[Cost Centre],"ONSITE")&gt;0,"ONSITE ","")&amp;IF(COUNTIFS(tbl_Finance[Job Number],C53&amp;"",tbl_Finance[Cost Centre],"PRODUCTION")&gt;0,"PRODUCTION ","")&amp;IF(COUNTIFS(tbl_Finance[Job Number],C53&amp;"",tbl_Finance[Cost Centre],"VIDEO")&gt;0,"VIDEO ","")&amp;IF(COUNTIFS(tbl_Finance[Job Number],C53&amp;"",tbl_Finance[Cost Centre],"INTEGRATION")&gt;0,"INTEGRATION ","")&amp;IF(COUNTIFS(tbl_Finance[Job Number],C53&amp;"",tbl_Finance[Cost Centre],"CONSULTING")&gt;0,"CONSULTING ","")&amp;IF(COUNTIFS(tbl_Finance[Job Number],C53&amp;"",tbl_Finance[Cost Centre],"CTS")&gt;0,"CTS ",""))," ",", ")))</f>
        <v/>
      </c>
      <c r="L53" s="22" t="n">
        <v>46266</v>
      </c>
      <c r="M53" s="24" t="inlineStr">
        <is>
          <t>6143</t>
        </is>
      </c>
      <c r="N53" s="25">
        <f>IF(M53="","",IF(AND(LEFT(M53,4)&lt;&gt;"http",set_RMSBase=""),"",HYPERLINK(IF(LEFT(M53,4)="http",M53,set_RMSBase&amp;M53),"Open opportunity")))</f>
        <v/>
      </c>
      <c r="O53" s="25">
        <f>IF(C53="","",C53)</f>
        <v/>
      </c>
      <c r="P53" s="24" t="inlineStr">
        <is>
          <t>Y</t>
        </is>
      </c>
      <c r="Q53" s="26" t="n">
        <v>180</v>
      </c>
      <c r="R53" s="27">
        <f>IF(C53="","",H53+N(Q53))</f>
        <v/>
      </c>
      <c r="S53" s="29">
        <f>IFERROR(Q53/R53,"")</f>
        <v/>
      </c>
      <c r="T53" s="26" t="n"/>
      <c r="U53" s="26" t="n"/>
      <c r="V53" s="27">
        <f>IF(C53="","",N(T53)+N(U53))</f>
        <v/>
      </c>
      <c r="W53" s="27">
        <f>IF(C53="","",H53-V53)</f>
        <v/>
      </c>
      <c r="X53" s="29">
        <f>IFERROR(W53/H53,"")</f>
        <v/>
      </c>
      <c r="Y53" s="64" t="n">
        <v>4</v>
      </c>
      <c r="Z53" s="64" t="n"/>
      <c r="AA53" s="64" t="n"/>
      <c r="AB53" s="64" t="n"/>
      <c r="AC53" s="64" t="n">
        <v>31</v>
      </c>
      <c r="AD53" s="24" t="n"/>
    </row>
    <row r="54" ht="15" customHeight="1">
      <c r="A54" s="63">
        <f>IF(C54="","",IFERROR(IF(SUMPRODUCT(MAX((tbl_Finance[Job Number]=C54&amp;"")*(tbl_Finance[Xero Invoice No]&lt;&gt;"")*tbl_Finance[Date]))=0,"",SUMPRODUCT(MAX((tbl_Finance[Job Number]=C54&amp;"")*(tbl_Finance[Xero Invoice No]&lt;&gt;"")*tbl_Finance[Date]))),""))</f>
        <v/>
      </c>
      <c r="B54" s="25">
        <f>IF(C54="","",IF(COUNTIFS(tbl_Finance[Job Number],C54&amp;"",tbl_Finance[Xero Invoice No],"&lt;&gt;")=0,"",IFERROR(IF(COUNTIFS(tbl_Finance[Job Number],C54&amp;"",tbl_Finance[Xero Invoice No],LOOKUP(2,1/((tbl_Finance[Job Number]=C54&amp;"")*(tbl_Finance[Xero Invoice No]&lt;&gt;"")),tbl_Finance[Xero Invoice No]))=COUNTIFS(tbl_Finance[Job Number],C54&amp;"",tbl_Finance[Xero Invoice No],"&lt;&gt;"),LOOKUP(2,1/((tbl_Finance[Job Number]=C54&amp;"")*(tbl_Finance[Xero Invoice No]&lt;&gt;"")),tbl_Finance[Xero Invoice No]),LOOKUP(2,1/((tbl_Finance[Job Number]=C54&amp;"")*(tbl_Finance[Xero Invoice No]&lt;&gt;"")),tbl_Finance[Xero Invoice No])&amp;" +more"),"")))</f>
        <v/>
      </c>
      <c r="C54" s="24" t="inlineStr">
        <is>
          <t>2608404</t>
        </is>
      </c>
      <c r="D54" s="25">
        <f>IF(C54="","",IF(COUNTIF(lst_Jobs,C54&amp;"")&gt;0,"OK","CHECK"))</f>
        <v/>
      </c>
      <c r="E54" s="25">
        <f>IF(C54="","",IFERROR(INDEX(lst_JobName,MATCH(C54&amp;"",lst_Jobs,0)),""))</f>
        <v/>
      </c>
      <c r="F54" s="25">
        <f>IF(C54="","",IFERROR(INDEX(tbl_Finance[Client],MATCH(C54&amp;"",tbl_Finance[Job Number],0)),""))</f>
        <v/>
      </c>
      <c r="G54" s="28">
        <f>IF(C54="","",COUNTIFS(tbl_Finance[Job Number],C54&amp;"",tbl_Finance[Ex GST],"&lt;&gt;"))</f>
        <v/>
      </c>
      <c r="H54" s="27">
        <f>IF(C54="","",SUMIFS(tbl_Finance[Ex GST],tbl_Finance[Job Number],C54&amp;""))</f>
        <v/>
      </c>
      <c r="I54" s="27">
        <f>IF(C54="","",SUMIFS(tbl_Finance[Ex GST],tbl_Finance[Job Number],C54&amp;"",tbl_Finance[Xero Invoice No],"&lt;&gt;"))</f>
        <v/>
      </c>
      <c r="J54" s="27">
        <f>IF(C54="","",H54-I54)</f>
        <v/>
      </c>
      <c r="K54" s="25">
        <f>IF(C54="","",IF(G54=0,"not invoiced yet",SUBSTITUTE(TRIM(IF(COUNTIFS(tbl_Finance[Job Number],C54&amp;"",tbl_Finance[Cost Centre],"ONSITE")&gt;0,"ONSITE ","")&amp;IF(COUNTIFS(tbl_Finance[Job Number],C54&amp;"",tbl_Finance[Cost Centre],"PRODUCTION")&gt;0,"PRODUCTION ","")&amp;IF(COUNTIFS(tbl_Finance[Job Number],C54&amp;"",tbl_Finance[Cost Centre],"VIDEO")&gt;0,"VIDEO ","")&amp;IF(COUNTIFS(tbl_Finance[Job Number],C54&amp;"",tbl_Finance[Cost Centre],"INTEGRATION")&gt;0,"INTEGRATION ","")&amp;IF(COUNTIFS(tbl_Finance[Job Number],C54&amp;"",tbl_Finance[Cost Centre],"CONSULTING")&gt;0,"CONSULTING ","")&amp;IF(COUNTIFS(tbl_Finance[Job Number],C54&amp;"",tbl_Finance[Cost Centre],"CTS")&gt;0,"CTS ",""))," ",", ")))</f>
        <v/>
      </c>
      <c r="L54" s="22" t="n">
        <v>46267</v>
      </c>
      <c r="M54" s="24" t="inlineStr">
        <is>
          <t>6115</t>
        </is>
      </c>
      <c r="N54" s="25">
        <f>IF(M54="","",IF(AND(LEFT(M54,4)&lt;&gt;"http",set_RMSBase=""),"",HYPERLINK(IF(LEFT(M54,4)="http",M54,set_RMSBase&amp;M54),"Open opportunity")))</f>
        <v/>
      </c>
      <c r="O54" s="25">
        <f>IF(C54="","",C54)</f>
        <v/>
      </c>
      <c r="P54" s="24" t="inlineStr">
        <is>
          <t>Y</t>
        </is>
      </c>
      <c r="Q54" s="26" t="n"/>
      <c r="R54" s="27">
        <f>IF(C54="","",H54+N(Q54))</f>
        <v/>
      </c>
      <c r="S54" s="29">
        <f>IFERROR(Q54/R54,"")</f>
        <v/>
      </c>
      <c r="T54" s="26" t="n"/>
      <c r="U54" s="26" t="n"/>
      <c r="V54" s="27">
        <f>IF(C54="","",N(T54)+N(U54))</f>
        <v/>
      </c>
      <c r="W54" s="27">
        <f>IF(C54="","",H54-V54)</f>
        <v/>
      </c>
      <c r="X54" s="29">
        <f>IFERROR(W54/H54,"")</f>
        <v/>
      </c>
      <c r="Y54" s="64" t="n"/>
      <c r="Z54" s="64" t="n">
        <v>1</v>
      </c>
      <c r="AA54" s="64" t="n">
        <v>1</v>
      </c>
      <c r="AB54" s="64" t="n"/>
      <c r="AC54" s="64" t="n">
        <v>4</v>
      </c>
      <c r="AD54" s="24" t="n"/>
    </row>
    <row r="55" ht="15" customHeight="1">
      <c r="A55" s="63">
        <f>IF(C55="","",IFERROR(IF(SUMPRODUCT(MAX((tbl_Finance[Job Number]=C55&amp;"")*(tbl_Finance[Xero Invoice No]&lt;&gt;"")*tbl_Finance[Date]))=0,"",SUMPRODUCT(MAX((tbl_Finance[Job Number]=C55&amp;"")*(tbl_Finance[Xero Invoice No]&lt;&gt;"")*tbl_Finance[Date]))),""))</f>
        <v/>
      </c>
      <c r="B55" s="25">
        <f>IF(C55="","",IF(COUNTIFS(tbl_Finance[Job Number],C55&amp;"",tbl_Finance[Xero Invoice No],"&lt;&gt;")=0,"",IFERROR(IF(COUNTIFS(tbl_Finance[Job Number],C55&amp;"",tbl_Finance[Xero Invoice No],LOOKUP(2,1/((tbl_Finance[Job Number]=C55&amp;"")*(tbl_Finance[Xero Invoice No]&lt;&gt;"")),tbl_Finance[Xero Invoice No]))=COUNTIFS(tbl_Finance[Job Number],C55&amp;"",tbl_Finance[Xero Invoice No],"&lt;&gt;"),LOOKUP(2,1/((tbl_Finance[Job Number]=C55&amp;"")*(tbl_Finance[Xero Invoice No]&lt;&gt;"")),tbl_Finance[Xero Invoice No]),LOOKUP(2,1/((tbl_Finance[Job Number]=C55&amp;"")*(tbl_Finance[Xero Invoice No]&lt;&gt;"")),tbl_Finance[Xero Invoice No])&amp;" +more"),"")))</f>
        <v/>
      </c>
      <c r="C55" s="24" t="inlineStr">
        <is>
          <t>26081904</t>
        </is>
      </c>
      <c r="D55" s="25">
        <f>IF(C55="","",IF(COUNTIF(lst_Jobs,C55&amp;"")&gt;0,"OK","CHECK"))</f>
        <v/>
      </c>
      <c r="E55" s="25">
        <f>IF(C55="","",IFERROR(INDEX(lst_JobName,MATCH(C55&amp;"",lst_Jobs,0)),""))</f>
        <v/>
      </c>
      <c r="F55" s="25">
        <f>IF(C55="","",IFERROR(INDEX(tbl_Finance[Client],MATCH(C55&amp;"",tbl_Finance[Job Number],0)),""))</f>
        <v/>
      </c>
      <c r="G55" s="28">
        <f>IF(C55="","",COUNTIFS(tbl_Finance[Job Number],C55&amp;"",tbl_Finance[Ex GST],"&lt;&gt;"))</f>
        <v/>
      </c>
      <c r="H55" s="27">
        <f>IF(C55="","",SUMIFS(tbl_Finance[Ex GST],tbl_Finance[Job Number],C55&amp;""))</f>
        <v/>
      </c>
      <c r="I55" s="27">
        <f>IF(C55="","",SUMIFS(tbl_Finance[Ex GST],tbl_Finance[Job Number],C55&amp;"",tbl_Finance[Xero Invoice No],"&lt;&gt;"))</f>
        <v/>
      </c>
      <c r="J55" s="27">
        <f>IF(C55="","",H55-I55)</f>
        <v/>
      </c>
      <c r="K55" s="25">
        <f>IF(C55="","",IF(G55=0,"not invoiced yet",SUBSTITUTE(TRIM(IF(COUNTIFS(tbl_Finance[Job Number],C55&amp;"",tbl_Finance[Cost Centre],"ONSITE")&gt;0,"ONSITE ","")&amp;IF(COUNTIFS(tbl_Finance[Job Number],C55&amp;"",tbl_Finance[Cost Centre],"PRODUCTION")&gt;0,"PRODUCTION ","")&amp;IF(COUNTIFS(tbl_Finance[Job Number],C55&amp;"",tbl_Finance[Cost Centre],"VIDEO")&gt;0,"VIDEO ","")&amp;IF(COUNTIFS(tbl_Finance[Job Number],C55&amp;"",tbl_Finance[Cost Centre],"INTEGRATION")&gt;0,"INTEGRATION ","")&amp;IF(COUNTIFS(tbl_Finance[Job Number],C55&amp;"",tbl_Finance[Cost Centre],"CONSULTING")&gt;0,"CONSULTING ","")&amp;IF(COUNTIFS(tbl_Finance[Job Number],C55&amp;"",tbl_Finance[Cost Centre],"CTS")&gt;0,"CTS ",""))," ",", ")))</f>
        <v/>
      </c>
      <c r="L55" s="22" t="n">
        <v>46267</v>
      </c>
      <c r="M55" s="24" t="inlineStr">
        <is>
          <t>6160</t>
        </is>
      </c>
      <c r="N55" s="25">
        <f>IF(M55="","",IF(AND(LEFT(M55,4)&lt;&gt;"http",set_RMSBase=""),"",HYPERLINK(IF(LEFT(M55,4)="http",M55,set_RMSBase&amp;M55),"Open opportunity")))</f>
        <v/>
      </c>
      <c r="O55" s="25">
        <f>IF(C55="","",C55)</f>
        <v/>
      </c>
      <c r="P55" s="24" t="inlineStr">
        <is>
          <t>Y</t>
        </is>
      </c>
      <c r="Q55" s="26" t="n">
        <v>90</v>
      </c>
      <c r="R55" s="27">
        <f>IF(C55="","",H55+N(Q55))</f>
        <v/>
      </c>
      <c r="S55" s="29">
        <f>IFERROR(Q55/R55,"")</f>
        <v/>
      </c>
      <c r="T55" s="26" t="n"/>
      <c r="U55" s="26" t="n"/>
      <c r="V55" s="27">
        <f>IF(C55="","",N(T55)+N(U55))</f>
        <v/>
      </c>
      <c r="W55" s="27">
        <f>IF(C55="","",H55-V55)</f>
        <v/>
      </c>
      <c r="X55" s="29">
        <f>IFERROR(W55/H55,"")</f>
        <v/>
      </c>
      <c r="Y55" s="64" t="n"/>
      <c r="Z55" s="64" t="n">
        <v>1</v>
      </c>
      <c r="AA55" s="64" t="n">
        <v>1</v>
      </c>
      <c r="AB55" s="64" t="n"/>
      <c r="AC55" s="64" t="n">
        <v>5</v>
      </c>
      <c r="AD55" s="24" t="n"/>
    </row>
    <row r="56" ht="15" customHeight="1">
      <c r="A56" s="63">
        <f>IF(C56="","",IFERROR(IF(SUMPRODUCT(MAX((tbl_Finance[Job Number]=C56&amp;"")*(tbl_Finance[Xero Invoice No]&lt;&gt;"")*tbl_Finance[Date]))=0,"",SUMPRODUCT(MAX((tbl_Finance[Job Number]=C56&amp;"")*(tbl_Finance[Xero Invoice No]&lt;&gt;"")*tbl_Finance[Date]))),""))</f>
        <v/>
      </c>
      <c r="B56" s="25">
        <f>IF(C56="","",IF(COUNTIFS(tbl_Finance[Job Number],C56&amp;"",tbl_Finance[Xero Invoice No],"&lt;&gt;")=0,"",IFERROR(IF(COUNTIFS(tbl_Finance[Job Number],C56&amp;"",tbl_Finance[Xero Invoice No],LOOKUP(2,1/((tbl_Finance[Job Number]=C56&amp;"")*(tbl_Finance[Xero Invoice No]&lt;&gt;"")),tbl_Finance[Xero Invoice No]))=COUNTIFS(tbl_Finance[Job Number],C56&amp;"",tbl_Finance[Xero Invoice No],"&lt;&gt;"),LOOKUP(2,1/((tbl_Finance[Job Number]=C56&amp;"")*(tbl_Finance[Xero Invoice No]&lt;&gt;"")),tbl_Finance[Xero Invoice No]),LOOKUP(2,1/((tbl_Finance[Job Number]=C56&amp;"")*(tbl_Finance[Xero Invoice No]&lt;&gt;"")),tbl_Finance[Xero Invoice No])&amp;" +more"),"")))</f>
        <v/>
      </c>
      <c r="C56" s="24" t="inlineStr">
        <is>
          <t>26032302</t>
        </is>
      </c>
      <c r="D56" s="25">
        <f>IF(C56="","",IF(COUNTIF(lst_Jobs,C56&amp;"")&gt;0,"OK","CHECK"))</f>
        <v/>
      </c>
      <c r="E56" s="25">
        <f>IF(C56="","",IFERROR(INDEX(lst_JobName,MATCH(C56&amp;"",lst_Jobs,0)),""))</f>
        <v/>
      </c>
      <c r="F56" s="25">
        <f>IF(C56="","",IFERROR(INDEX(tbl_Finance[Client],MATCH(C56&amp;"",tbl_Finance[Job Number],0)),""))</f>
        <v/>
      </c>
      <c r="G56" s="28">
        <f>IF(C56="","",COUNTIFS(tbl_Finance[Job Number],C56&amp;"",tbl_Finance[Ex GST],"&lt;&gt;"))</f>
        <v/>
      </c>
      <c r="H56" s="27">
        <f>IF(C56="","",SUMIFS(tbl_Finance[Ex GST],tbl_Finance[Job Number],C56&amp;""))</f>
        <v/>
      </c>
      <c r="I56" s="27">
        <f>IF(C56="","",SUMIFS(tbl_Finance[Ex GST],tbl_Finance[Job Number],C56&amp;"",tbl_Finance[Xero Invoice No],"&lt;&gt;"))</f>
        <v/>
      </c>
      <c r="J56" s="27">
        <f>IF(C56="","",H56-I56)</f>
        <v/>
      </c>
      <c r="K56" s="25">
        <f>IF(C56="","",IF(G56=0,"not invoiced yet",SUBSTITUTE(TRIM(IF(COUNTIFS(tbl_Finance[Job Number],C56&amp;"",tbl_Finance[Cost Centre],"ONSITE")&gt;0,"ONSITE ","")&amp;IF(COUNTIFS(tbl_Finance[Job Number],C56&amp;"",tbl_Finance[Cost Centre],"PRODUCTION")&gt;0,"PRODUCTION ","")&amp;IF(COUNTIFS(tbl_Finance[Job Number],C56&amp;"",tbl_Finance[Cost Centre],"VIDEO")&gt;0,"VIDEO ","")&amp;IF(COUNTIFS(tbl_Finance[Job Number],C56&amp;"",tbl_Finance[Cost Centre],"INTEGRATION")&gt;0,"INTEGRATION ","")&amp;IF(COUNTIFS(tbl_Finance[Job Number],C56&amp;"",tbl_Finance[Cost Centre],"CONSULTING")&gt;0,"CONSULTING ","")&amp;IF(COUNTIFS(tbl_Finance[Job Number],C56&amp;"",tbl_Finance[Cost Centre],"CTS")&gt;0,"CTS ",""))," ",", ")))</f>
        <v/>
      </c>
      <c r="L56" s="22" t="n">
        <v>46267</v>
      </c>
      <c r="M56" s="24" t="inlineStr">
        <is>
          <t>5925</t>
        </is>
      </c>
      <c r="N56" s="25">
        <f>IF(M56="","",IF(AND(LEFT(M56,4)&lt;&gt;"http",set_RMSBase=""),"",HYPERLINK(IF(LEFT(M56,4)="http",M56,set_RMSBase&amp;M56),"Open opportunity")))</f>
        <v/>
      </c>
      <c r="O56" s="25">
        <f>IF(C56="","",C56)</f>
        <v/>
      </c>
      <c r="P56" s="24" t="inlineStr">
        <is>
          <t>Y</t>
        </is>
      </c>
      <c r="Q56" s="26" t="n">
        <v>334</v>
      </c>
      <c r="R56" s="27">
        <f>IF(C56="","",H56+N(Q56))</f>
        <v/>
      </c>
      <c r="S56" s="29">
        <f>IFERROR(Q56/R56,"")</f>
        <v/>
      </c>
      <c r="T56" s="26" t="n"/>
      <c r="U56" s="26" t="n"/>
      <c r="V56" s="27">
        <f>IF(C56="","",N(T56)+N(U56))</f>
        <v/>
      </c>
      <c r="W56" s="27">
        <f>IF(C56="","",H56-V56)</f>
        <v/>
      </c>
      <c r="X56" s="29">
        <f>IFERROR(W56/H56,"")</f>
        <v/>
      </c>
      <c r="Y56" s="64" t="n">
        <v>4</v>
      </c>
      <c r="Z56" s="64" t="n"/>
      <c r="AA56" s="64" t="n"/>
      <c r="AB56" s="64" t="n"/>
      <c r="AC56" s="64" t="n">
        <v>12</v>
      </c>
      <c r="AD56" s="24" t="n"/>
    </row>
    <row r="57" ht="15" customHeight="1">
      <c r="A57" s="63">
        <f>IF(C57="","",IFERROR(IF(SUMPRODUCT(MAX((tbl_Finance[Job Number]=C57&amp;"")*(tbl_Finance[Xero Invoice No]&lt;&gt;"")*tbl_Finance[Date]))=0,"",SUMPRODUCT(MAX((tbl_Finance[Job Number]=C57&amp;"")*(tbl_Finance[Xero Invoice No]&lt;&gt;"")*tbl_Finance[Date]))),""))</f>
        <v/>
      </c>
      <c r="B57" s="25">
        <f>IF(C57="","",IF(COUNTIFS(tbl_Finance[Job Number],C57&amp;"",tbl_Finance[Xero Invoice No],"&lt;&gt;")=0,"",IFERROR(IF(COUNTIFS(tbl_Finance[Job Number],C57&amp;"",tbl_Finance[Xero Invoice No],LOOKUP(2,1/((tbl_Finance[Job Number]=C57&amp;"")*(tbl_Finance[Xero Invoice No]&lt;&gt;"")),tbl_Finance[Xero Invoice No]))=COUNTIFS(tbl_Finance[Job Number],C57&amp;"",tbl_Finance[Xero Invoice No],"&lt;&gt;"),LOOKUP(2,1/((tbl_Finance[Job Number]=C57&amp;"")*(tbl_Finance[Xero Invoice No]&lt;&gt;"")),tbl_Finance[Xero Invoice No]),LOOKUP(2,1/((tbl_Finance[Job Number]=C57&amp;"")*(tbl_Finance[Xero Invoice No]&lt;&gt;"")),tbl_Finance[Xero Invoice No])&amp;" +more"),"")))</f>
        <v/>
      </c>
      <c r="C57" s="24" t="inlineStr">
        <is>
          <t>26072102</t>
        </is>
      </c>
      <c r="D57" s="25">
        <f>IF(C57="","",IF(COUNTIF(lst_Jobs,C57&amp;"")&gt;0,"OK","CHECK"))</f>
        <v/>
      </c>
      <c r="E57" s="25">
        <f>IF(C57="","",IFERROR(INDEX(lst_JobName,MATCH(C57&amp;"",lst_Jobs,0)),""))</f>
        <v/>
      </c>
      <c r="F57" s="25">
        <f>IF(C57="","",IFERROR(INDEX(tbl_Finance[Client],MATCH(C57&amp;"",tbl_Finance[Job Number],0)),""))</f>
        <v/>
      </c>
      <c r="G57" s="28">
        <f>IF(C57="","",COUNTIFS(tbl_Finance[Job Number],C57&amp;"",tbl_Finance[Ex GST],"&lt;&gt;"))</f>
        <v/>
      </c>
      <c r="H57" s="27">
        <f>IF(C57="","",SUMIFS(tbl_Finance[Ex GST],tbl_Finance[Job Number],C57&amp;""))</f>
        <v/>
      </c>
      <c r="I57" s="27">
        <f>IF(C57="","",SUMIFS(tbl_Finance[Ex GST],tbl_Finance[Job Number],C57&amp;"",tbl_Finance[Xero Invoice No],"&lt;&gt;"))</f>
        <v/>
      </c>
      <c r="J57" s="27">
        <f>IF(C57="","",H57-I57)</f>
        <v/>
      </c>
      <c r="K57" s="25">
        <f>IF(C57="","",IF(G57=0,"not invoiced yet",SUBSTITUTE(TRIM(IF(COUNTIFS(tbl_Finance[Job Number],C57&amp;"",tbl_Finance[Cost Centre],"ONSITE")&gt;0,"ONSITE ","")&amp;IF(COUNTIFS(tbl_Finance[Job Number],C57&amp;"",tbl_Finance[Cost Centre],"PRODUCTION")&gt;0,"PRODUCTION ","")&amp;IF(COUNTIFS(tbl_Finance[Job Number],C57&amp;"",tbl_Finance[Cost Centre],"VIDEO")&gt;0,"VIDEO ","")&amp;IF(COUNTIFS(tbl_Finance[Job Number],C57&amp;"",tbl_Finance[Cost Centre],"INTEGRATION")&gt;0,"INTEGRATION ","")&amp;IF(COUNTIFS(tbl_Finance[Job Number],C57&amp;"",tbl_Finance[Cost Centre],"CONSULTING")&gt;0,"CONSULTING ","")&amp;IF(COUNTIFS(tbl_Finance[Job Number],C57&amp;"",tbl_Finance[Cost Centre],"CTS")&gt;0,"CTS ",""))," ",", ")))</f>
        <v/>
      </c>
      <c r="L57" s="22" t="n">
        <v>46275</v>
      </c>
      <c r="M57" s="24" t="inlineStr">
        <is>
          <t>6122</t>
        </is>
      </c>
      <c r="N57" s="25">
        <f>IF(M57="","",IF(AND(LEFT(M57,4)&lt;&gt;"http",set_RMSBase=""),"",HYPERLINK(IF(LEFT(M57,4)="http",M57,set_RMSBase&amp;M57),"Open opportunity")))</f>
        <v/>
      </c>
      <c r="O57" s="25">
        <f>IF(C57="","",C57)</f>
        <v/>
      </c>
      <c r="P57" s="24" t="inlineStr">
        <is>
          <t>Y</t>
        </is>
      </c>
      <c r="Q57" s="26" t="n">
        <v>2005.65</v>
      </c>
      <c r="R57" s="27">
        <f>IF(C57="","",H57+N(Q57))</f>
        <v/>
      </c>
      <c r="S57" s="29">
        <f>IFERROR(Q57/R57,"")</f>
        <v/>
      </c>
      <c r="T57" s="26" t="n"/>
      <c r="U57" s="26" t="n"/>
      <c r="V57" s="27">
        <f>IF(C57="","",N(T57)+N(U57))</f>
        <v/>
      </c>
      <c r="W57" s="27">
        <f>IF(C57="","",H57-V57)</f>
        <v/>
      </c>
      <c r="X57" s="29">
        <f>IFERROR(W57/H57,"")</f>
        <v/>
      </c>
      <c r="Y57" s="64" t="n">
        <v>4</v>
      </c>
      <c r="Z57" s="64" t="n"/>
      <c r="AA57" s="64" t="n"/>
      <c r="AB57" s="64" t="n"/>
      <c r="AC57" s="64" t="n">
        <v>28</v>
      </c>
      <c r="AD57" s="24" t="n"/>
    </row>
    <row r="58" ht="15" customHeight="1">
      <c r="A58" s="63">
        <f>IF(C58="","",IFERROR(IF(SUMPRODUCT(MAX((tbl_Finance[Job Number]=C58&amp;"")*(tbl_Finance[Xero Invoice No]&lt;&gt;"")*tbl_Finance[Date]))=0,"",SUMPRODUCT(MAX((tbl_Finance[Job Number]=C58&amp;"")*(tbl_Finance[Xero Invoice No]&lt;&gt;"")*tbl_Finance[Date]))),""))</f>
        <v/>
      </c>
      <c r="B58" s="25">
        <f>IF(C58="","",IF(COUNTIFS(tbl_Finance[Job Number],C58&amp;"",tbl_Finance[Xero Invoice No],"&lt;&gt;")=0,"",IFERROR(IF(COUNTIFS(tbl_Finance[Job Number],C58&amp;"",tbl_Finance[Xero Invoice No],LOOKUP(2,1/((tbl_Finance[Job Number]=C58&amp;"")*(tbl_Finance[Xero Invoice No]&lt;&gt;"")),tbl_Finance[Xero Invoice No]))=COUNTIFS(tbl_Finance[Job Number],C58&amp;"",tbl_Finance[Xero Invoice No],"&lt;&gt;"),LOOKUP(2,1/((tbl_Finance[Job Number]=C58&amp;"")*(tbl_Finance[Xero Invoice No]&lt;&gt;"")),tbl_Finance[Xero Invoice No]),LOOKUP(2,1/((tbl_Finance[Job Number]=C58&amp;"")*(tbl_Finance[Xero Invoice No]&lt;&gt;"")),tbl_Finance[Xero Invoice No])&amp;" +more"),"")))</f>
        <v/>
      </c>
      <c r="C58" s="24" t="inlineStr">
        <is>
          <t>26082703</t>
        </is>
      </c>
      <c r="D58" s="25">
        <f>IF(C58="","",IF(COUNTIF(lst_Jobs,C58&amp;"")&gt;0,"OK","CHECK"))</f>
        <v/>
      </c>
      <c r="E58" s="25">
        <f>IF(C58="","",IFERROR(INDEX(lst_JobName,MATCH(C58&amp;"",lst_Jobs,0)),""))</f>
        <v/>
      </c>
      <c r="F58" s="25">
        <f>IF(C58="","",IFERROR(INDEX(tbl_Finance[Client],MATCH(C58&amp;"",tbl_Finance[Job Number],0)),""))</f>
        <v/>
      </c>
      <c r="G58" s="28">
        <f>IF(C58="","",COUNTIFS(tbl_Finance[Job Number],C58&amp;"",tbl_Finance[Ex GST],"&lt;&gt;"))</f>
        <v/>
      </c>
      <c r="H58" s="27">
        <f>IF(C58="","",SUMIFS(tbl_Finance[Ex GST],tbl_Finance[Job Number],C58&amp;""))</f>
        <v/>
      </c>
      <c r="I58" s="27">
        <f>IF(C58="","",SUMIFS(tbl_Finance[Ex GST],tbl_Finance[Job Number],C58&amp;"",tbl_Finance[Xero Invoice No],"&lt;&gt;"))</f>
        <v/>
      </c>
      <c r="J58" s="27">
        <f>IF(C58="","",H58-I58)</f>
        <v/>
      </c>
      <c r="K58" s="25">
        <f>IF(C58="","",IF(G58=0,"not invoiced yet",SUBSTITUTE(TRIM(IF(COUNTIFS(tbl_Finance[Job Number],C58&amp;"",tbl_Finance[Cost Centre],"ONSITE")&gt;0,"ONSITE ","")&amp;IF(COUNTIFS(tbl_Finance[Job Number],C58&amp;"",tbl_Finance[Cost Centre],"PRODUCTION")&gt;0,"PRODUCTION ","")&amp;IF(COUNTIFS(tbl_Finance[Job Number],C58&amp;"",tbl_Finance[Cost Centre],"VIDEO")&gt;0,"VIDEO ","")&amp;IF(COUNTIFS(tbl_Finance[Job Number],C58&amp;"",tbl_Finance[Cost Centre],"INTEGRATION")&gt;0,"INTEGRATION ","")&amp;IF(COUNTIFS(tbl_Finance[Job Number],C58&amp;"",tbl_Finance[Cost Centre],"CONSULTING")&gt;0,"CONSULTING ","")&amp;IF(COUNTIFS(tbl_Finance[Job Number],C58&amp;"",tbl_Finance[Cost Centre],"CTS")&gt;0,"CTS ",""))," ",", ")))</f>
        <v/>
      </c>
      <c r="L58" s="22" t="n">
        <v>46275</v>
      </c>
      <c r="M58" s="24" t="inlineStr">
        <is>
          <t>6168</t>
        </is>
      </c>
      <c r="N58" s="25">
        <f>IF(M58="","",IF(AND(LEFT(M58,4)&lt;&gt;"http",set_RMSBase=""),"",HYPERLINK(IF(LEFT(M58,4)="http",M58,set_RMSBase&amp;M58),"Open opportunity")))</f>
        <v/>
      </c>
      <c r="O58" s="25">
        <f>IF(C58="","",C58)</f>
        <v/>
      </c>
      <c r="P58" s="24" t="inlineStr">
        <is>
          <t>Y</t>
        </is>
      </c>
      <c r="Q58" s="26" t="n"/>
      <c r="R58" s="27">
        <f>IF(C58="","",H58+N(Q58))</f>
        <v/>
      </c>
      <c r="S58" s="29">
        <f>IFERROR(Q58/R58,"")</f>
        <v/>
      </c>
      <c r="T58" s="26" t="n"/>
      <c r="U58" s="26" t="n"/>
      <c r="V58" s="27">
        <f>IF(C58="","",N(T58)+N(U58))</f>
        <v/>
      </c>
      <c r="W58" s="27">
        <f>IF(C58="","",H58-V58)</f>
        <v/>
      </c>
      <c r="X58" s="29">
        <f>IFERROR(W58/H58,"")</f>
        <v/>
      </c>
      <c r="Y58" s="64" t="n"/>
      <c r="Z58" s="64" t="n"/>
      <c r="AA58" s="64" t="n"/>
      <c r="AB58" s="64" t="n"/>
      <c r="AC58" s="64" t="n">
        <v>6</v>
      </c>
      <c r="AD58" s="24" t="n"/>
    </row>
    <row r="59" ht="15" customHeight="1">
      <c r="A59" s="63">
        <f>IF(C59="","",IFERROR(IF(SUMPRODUCT(MAX((tbl_Finance[Job Number]=C59&amp;"")*(tbl_Finance[Xero Invoice No]&lt;&gt;"")*tbl_Finance[Date]))=0,"",SUMPRODUCT(MAX((tbl_Finance[Job Number]=C59&amp;"")*(tbl_Finance[Xero Invoice No]&lt;&gt;"")*tbl_Finance[Date]))),""))</f>
        <v/>
      </c>
      <c r="B59" s="25">
        <f>IF(C59="","",IF(COUNTIFS(tbl_Finance[Job Number],C59&amp;"",tbl_Finance[Xero Invoice No],"&lt;&gt;")=0,"",IFERROR(IF(COUNTIFS(tbl_Finance[Job Number],C59&amp;"",tbl_Finance[Xero Invoice No],LOOKUP(2,1/((tbl_Finance[Job Number]=C59&amp;"")*(tbl_Finance[Xero Invoice No]&lt;&gt;"")),tbl_Finance[Xero Invoice No]))=COUNTIFS(tbl_Finance[Job Number],C59&amp;"",tbl_Finance[Xero Invoice No],"&lt;&gt;"),LOOKUP(2,1/((tbl_Finance[Job Number]=C59&amp;"")*(tbl_Finance[Xero Invoice No]&lt;&gt;"")),tbl_Finance[Xero Invoice No]),LOOKUP(2,1/((tbl_Finance[Job Number]=C59&amp;"")*(tbl_Finance[Xero Invoice No]&lt;&gt;"")),tbl_Finance[Xero Invoice No])&amp;" +more"),"")))</f>
        <v/>
      </c>
      <c r="C59" s="24" t="inlineStr">
        <is>
          <t>2608701</t>
        </is>
      </c>
      <c r="D59" s="25">
        <f>IF(C59="","",IF(COUNTIF(lst_Jobs,C59&amp;"")&gt;0,"OK","CHECK"))</f>
        <v/>
      </c>
      <c r="E59" s="25">
        <f>IF(C59="","",IFERROR(INDEX(lst_JobName,MATCH(C59&amp;"",lst_Jobs,0)),""))</f>
        <v/>
      </c>
      <c r="F59" s="25">
        <f>IF(C59="","",IFERROR(INDEX(tbl_Finance[Client],MATCH(C59&amp;"",tbl_Finance[Job Number],0)),""))</f>
        <v/>
      </c>
      <c r="G59" s="28">
        <f>IF(C59="","",COUNTIFS(tbl_Finance[Job Number],C59&amp;"",tbl_Finance[Ex GST],"&lt;&gt;"))</f>
        <v/>
      </c>
      <c r="H59" s="27">
        <f>IF(C59="","",SUMIFS(tbl_Finance[Ex GST],tbl_Finance[Job Number],C59&amp;""))</f>
        <v/>
      </c>
      <c r="I59" s="27">
        <f>IF(C59="","",SUMIFS(tbl_Finance[Ex GST],tbl_Finance[Job Number],C59&amp;"",tbl_Finance[Xero Invoice No],"&lt;&gt;"))</f>
        <v/>
      </c>
      <c r="J59" s="27">
        <f>IF(C59="","",H59-I59)</f>
        <v/>
      </c>
      <c r="K59" s="25">
        <f>IF(C59="","",IF(G59=0,"not invoiced yet",SUBSTITUTE(TRIM(IF(COUNTIFS(tbl_Finance[Job Number],C59&amp;"",tbl_Finance[Cost Centre],"ONSITE")&gt;0,"ONSITE ","")&amp;IF(COUNTIFS(tbl_Finance[Job Number],C59&amp;"",tbl_Finance[Cost Centre],"PRODUCTION")&gt;0,"PRODUCTION ","")&amp;IF(COUNTIFS(tbl_Finance[Job Number],C59&amp;"",tbl_Finance[Cost Centre],"VIDEO")&gt;0,"VIDEO ","")&amp;IF(COUNTIFS(tbl_Finance[Job Number],C59&amp;"",tbl_Finance[Cost Centre],"INTEGRATION")&gt;0,"INTEGRATION ","")&amp;IF(COUNTIFS(tbl_Finance[Job Number],C59&amp;"",tbl_Finance[Cost Centre],"CONSULTING")&gt;0,"CONSULTING ","")&amp;IF(COUNTIFS(tbl_Finance[Job Number],C59&amp;"",tbl_Finance[Cost Centre],"CTS")&gt;0,"CTS ",""))," ",", ")))</f>
        <v/>
      </c>
      <c r="L59" s="22" t="n">
        <v>46275</v>
      </c>
      <c r="M59" s="24" t="inlineStr">
        <is>
          <t>6148</t>
        </is>
      </c>
      <c r="N59" s="25">
        <f>IF(M59="","",IF(AND(LEFT(M59,4)&lt;&gt;"http",set_RMSBase=""),"",HYPERLINK(IF(LEFT(M59,4)="http",M59,set_RMSBase&amp;M59),"Open opportunity")))</f>
        <v/>
      </c>
      <c r="O59" s="25">
        <f>IF(C59="","",C59)</f>
        <v/>
      </c>
      <c r="P59" s="24" t="inlineStr">
        <is>
          <t>Y</t>
        </is>
      </c>
      <c r="Q59" s="26" t="n"/>
      <c r="R59" s="27">
        <f>IF(C59="","",H59+N(Q59))</f>
        <v/>
      </c>
      <c r="S59" s="29">
        <f>IFERROR(Q59/R59,"")</f>
        <v/>
      </c>
      <c r="T59" s="26" t="n"/>
      <c r="U59" s="26" t="n"/>
      <c r="V59" s="27">
        <f>IF(C59="","",N(T59)+N(U59))</f>
        <v/>
      </c>
      <c r="W59" s="27">
        <f>IF(C59="","",H59-V59)</f>
        <v/>
      </c>
      <c r="X59" s="29">
        <f>IFERROR(W59/H59,"")</f>
        <v/>
      </c>
      <c r="Y59" s="64" t="n"/>
      <c r="Z59" s="64" t="n"/>
      <c r="AA59" s="64" t="n"/>
      <c r="AB59" s="64" t="n"/>
      <c r="AC59" s="64" t="n">
        <v>4</v>
      </c>
      <c r="AD59" s="24" t="n"/>
    </row>
    <row r="60" ht="15" customHeight="1">
      <c r="A60" s="63">
        <f>IF(C60="","",IFERROR(IF(SUMPRODUCT(MAX((tbl_Finance[Job Number]=C60&amp;"")*(tbl_Finance[Xero Invoice No]&lt;&gt;"")*tbl_Finance[Date]))=0,"",SUMPRODUCT(MAX((tbl_Finance[Job Number]=C60&amp;"")*(tbl_Finance[Xero Invoice No]&lt;&gt;"")*tbl_Finance[Date]))),""))</f>
        <v/>
      </c>
      <c r="B60" s="25">
        <f>IF(C60="","",IF(COUNTIFS(tbl_Finance[Job Number],C60&amp;"",tbl_Finance[Xero Invoice No],"&lt;&gt;")=0,"",IFERROR(IF(COUNTIFS(tbl_Finance[Job Number],C60&amp;"",tbl_Finance[Xero Invoice No],LOOKUP(2,1/((tbl_Finance[Job Number]=C60&amp;"")*(tbl_Finance[Xero Invoice No]&lt;&gt;"")),tbl_Finance[Xero Invoice No]))=COUNTIFS(tbl_Finance[Job Number],C60&amp;"",tbl_Finance[Xero Invoice No],"&lt;&gt;"),LOOKUP(2,1/((tbl_Finance[Job Number]=C60&amp;"")*(tbl_Finance[Xero Invoice No]&lt;&gt;"")),tbl_Finance[Xero Invoice No]),LOOKUP(2,1/((tbl_Finance[Job Number]=C60&amp;"")*(tbl_Finance[Xero Invoice No]&lt;&gt;"")),tbl_Finance[Xero Invoice No])&amp;" +more"),"")))</f>
        <v/>
      </c>
      <c r="C60" s="24" t="inlineStr">
        <is>
          <t>2609801</t>
        </is>
      </c>
      <c r="D60" s="25">
        <f>IF(C60="","",IF(COUNTIF(lst_Jobs,C60&amp;"")&gt;0,"OK","CHECK"))</f>
        <v/>
      </c>
      <c r="E60" s="25">
        <f>IF(C60="","",IFERROR(INDEX(lst_JobName,MATCH(C60&amp;"",lst_Jobs,0)),""))</f>
        <v/>
      </c>
      <c r="F60" s="25">
        <f>IF(C60="","",IFERROR(INDEX(tbl_Finance[Client],MATCH(C60&amp;"",tbl_Finance[Job Number],0)),""))</f>
        <v/>
      </c>
      <c r="G60" s="28">
        <f>IF(C60="","",COUNTIFS(tbl_Finance[Job Number],C60&amp;"",tbl_Finance[Ex GST],"&lt;&gt;"))</f>
        <v/>
      </c>
      <c r="H60" s="27">
        <f>IF(C60="","",SUMIFS(tbl_Finance[Ex GST],tbl_Finance[Job Number],C60&amp;""))</f>
        <v/>
      </c>
      <c r="I60" s="27">
        <f>IF(C60="","",SUMIFS(tbl_Finance[Ex GST],tbl_Finance[Job Number],C60&amp;"",tbl_Finance[Xero Invoice No],"&lt;&gt;"))</f>
        <v/>
      </c>
      <c r="J60" s="27">
        <f>IF(C60="","",H60-I60)</f>
        <v/>
      </c>
      <c r="K60" s="25">
        <f>IF(C60="","",IF(G60=0,"not invoiced yet",SUBSTITUTE(TRIM(IF(COUNTIFS(tbl_Finance[Job Number],C60&amp;"",tbl_Finance[Cost Centre],"ONSITE")&gt;0,"ONSITE ","")&amp;IF(COUNTIFS(tbl_Finance[Job Number],C60&amp;"",tbl_Finance[Cost Centre],"PRODUCTION")&gt;0,"PRODUCTION ","")&amp;IF(COUNTIFS(tbl_Finance[Job Number],C60&amp;"",tbl_Finance[Cost Centre],"VIDEO")&gt;0,"VIDEO ","")&amp;IF(COUNTIFS(tbl_Finance[Job Number],C60&amp;"",tbl_Finance[Cost Centre],"INTEGRATION")&gt;0,"INTEGRATION ","")&amp;IF(COUNTIFS(tbl_Finance[Job Number],C60&amp;"",tbl_Finance[Cost Centre],"CONSULTING")&gt;0,"CONSULTING ","")&amp;IF(COUNTIFS(tbl_Finance[Job Number],C60&amp;"",tbl_Finance[Cost Centre],"CTS")&gt;0,"CTS ",""))," ",", ")))</f>
        <v/>
      </c>
      <c r="L60" s="22" t="n">
        <v>46281</v>
      </c>
      <c r="M60" s="24" t="inlineStr">
        <is>
          <t>6175</t>
        </is>
      </c>
      <c r="N60" s="25">
        <f>IF(M60="","",IF(AND(LEFT(M60,4)&lt;&gt;"http",set_RMSBase=""),"",HYPERLINK(IF(LEFT(M60,4)="http",M60,set_RMSBase&amp;M60),"Open opportunity")))</f>
        <v/>
      </c>
      <c r="O60" s="25">
        <f>IF(C60="","",C60)</f>
        <v/>
      </c>
      <c r="P60" s="24" t="inlineStr">
        <is>
          <t>Y</t>
        </is>
      </c>
      <c r="Q60" s="26" t="n"/>
      <c r="R60" s="27">
        <f>IF(C60="","",H60+N(Q60))</f>
        <v/>
      </c>
      <c r="S60" s="29">
        <f>IFERROR(Q60/R60,"")</f>
        <v/>
      </c>
      <c r="T60" s="26" t="n"/>
      <c r="U60" s="26" t="n"/>
      <c r="V60" s="27">
        <f>IF(C60="","",N(T60)+N(U60))</f>
        <v/>
      </c>
      <c r="W60" s="27">
        <f>IF(C60="","",H60-V60)</f>
        <v/>
      </c>
      <c r="X60" s="29">
        <f>IFERROR(W60/H60,"")</f>
        <v/>
      </c>
      <c r="Y60" s="64" t="n"/>
      <c r="Z60" s="64" t="n"/>
      <c r="AA60" s="64" t="n"/>
      <c r="AB60" s="64" t="n"/>
      <c r="AC60" s="64" t="n">
        <v>4</v>
      </c>
      <c r="AD60" s="24" t="n"/>
    </row>
    <row r="61" ht="15" customHeight="1">
      <c r="A61" s="63">
        <f>IF(C61="","",IFERROR(IF(SUMPRODUCT(MAX((tbl_Finance[Job Number]=C61&amp;"")*(tbl_Finance[Xero Invoice No]&lt;&gt;"")*tbl_Finance[Date]))=0,"",SUMPRODUCT(MAX((tbl_Finance[Job Number]=C61&amp;"")*(tbl_Finance[Xero Invoice No]&lt;&gt;"")*tbl_Finance[Date]))),""))</f>
        <v/>
      </c>
      <c r="B61" s="25">
        <f>IF(C61="","",IF(COUNTIFS(tbl_Finance[Job Number],C61&amp;"",tbl_Finance[Xero Invoice No],"&lt;&gt;")=0,"",IFERROR(IF(COUNTIFS(tbl_Finance[Job Number],C61&amp;"",tbl_Finance[Xero Invoice No],LOOKUP(2,1/((tbl_Finance[Job Number]=C61&amp;"")*(tbl_Finance[Xero Invoice No]&lt;&gt;"")),tbl_Finance[Xero Invoice No]))=COUNTIFS(tbl_Finance[Job Number],C61&amp;"",tbl_Finance[Xero Invoice No],"&lt;&gt;"),LOOKUP(2,1/((tbl_Finance[Job Number]=C61&amp;"")*(tbl_Finance[Xero Invoice No]&lt;&gt;"")),tbl_Finance[Xero Invoice No]),LOOKUP(2,1/((tbl_Finance[Job Number]=C61&amp;"")*(tbl_Finance[Xero Invoice No]&lt;&gt;"")),tbl_Finance[Xero Invoice No])&amp;" +more"),"")))</f>
        <v/>
      </c>
      <c r="C61" s="24" t="inlineStr">
        <is>
          <t>26082502</t>
        </is>
      </c>
      <c r="D61" s="25">
        <f>IF(C61="","",IF(COUNTIF(lst_Jobs,C61&amp;"")&gt;0,"OK","CHECK"))</f>
        <v/>
      </c>
      <c r="E61" s="25">
        <f>IF(C61="","",IFERROR(INDEX(lst_JobName,MATCH(C61&amp;"",lst_Jobs,0)),""))</f>
        <v/>
      </c>
      <c r="F61" s="25">
        <f>IF(C61="","",IFERROR(INDEX(tbl_Finance[Client],MATCH(C61&amp;"",tbl_Finance[Job Number],0)),""))</f>
        <v/>
      </c>
      <c r="G61" s="28">
        <f>IF(C61="","",COUNTIFS(tbl_Finance[Job Number],C61&amp;"",tbl_Finance[Ex GST],"&lt;&gt;"))</f>
        <v/>
      </c>
      <c r="H61" s="27">
        <f>IF(C61="","",SUMIFS(tbl_Finance[Ex GST],tbl_Finance[Job Number],C61&amp;""))</f>
        <v/>
      </c>
      <c r="I61" s="27">
        <f>IF(C61="","",SUMIFS(tbl_Finance[Ex GST],tbl_Finance[Job Number],C61&amp;"",tbl_Finance[Xero Invoice No],"&lt;&gt;"))</f>
        <v/>
      </c>
      <c r="J61" s="27">
        <f>IF(C61="","",H61-I61)</f>
        <v/>
      </c>
      <c r="K61" s="25">
        <f>IF(C61="","",IF(G61=0,"not invoiced yet",SUBSTITUTE(TRIM(IF(COUNTIFS(tbl_Finance[Job Number],C61&amp;"",tbl_Finance[Cost Centre],"ONSITE")&gt;0,"ONSITE ","")&amp;IF(COUNTIFS(tbl_Finance[Job Number],C61&amp;"",tbl_Finance[Cost Centre],"PRODUCTION")&gt;0,"PRODUCTION ","")&amp;IF(COUNTIFS(tbl_Finance[Job Number],C61&amp;"",tbl_Finance[Cost Centre],"VIDEO")&gt;0,"VIDEO ","")&amp;IF(COUNTIFS(tbl_Finance[Job Number],C61&amp;"",tbl_Finance[Cost Centre],"INTEGRATION")&gt;0,"INTEGRATION ","")&amp;IF(COUNTIFS(tbl_Finance[Job Number],C61&amp;"",tbl_Finance[Cost Centre],"CONSULTING")&gt;0,"CONSULTING ","")&amp;IF(COUNTIFS(tbl_Finance[Job Number],C61&amp;"",tbl_Finance[Cost Centre],"CTS")&gt;0,"CTS ",""))," ",", ")))</f>
        <v/>
      </c>
      <c r="L61" s="22" t="n">
        <v>46271</v>
      </c>
      <c r="M61" s="24" t="inlineStr">
        <is>
          <t>6186</t>
        </is>
      </c>
      <c r="N61" s="25">
        <f>IF(M61="","",IF(AND(LEFT(M61,4)&lt;&gt;"http",set_RMSBase=""),"",HYPERLINK(IF(LEFT(M61,4)="http",M61,set_RMSBase&amp;M61),"Open opportunity")))</f>
        <v/>
      </c>
      <c r="O61" s="25">
        <f>IF(C61="","",C61)</f>
        <v/>
      </c>
      <c r="P61" s="24" t="inlineStr">
        <is>
          <t>Y</t>
        </is>
      </c>
      <c r="Q61" s="26" t="n"/>
      <c r="R61" s="27">
        <f>IF(C61="","",H61+N(Q61))</f>
        <v/>
      </c>
      <c r="S61" s="29">
        <f>IFERROR(Q61/R61,"")</f>
        <v/>
      </c>
      <c r="T61" s="26" t="n"/>
      <c r="U61" s="26" t="n"/>
      <c r="V61" s="27">
        <f>IF(C61="","",N(T61)+N(U61))</f>
        <v/>
      </c>
      <c r="W61" s="27">
        <f>IF(C61="","",H61-V61)</f>
        <v/>
      </c>
      <c r="X61" s="29">
        <f>IFERROR(W61/H61,"")</f>
        <v/>
      </c>
      <c r="Y61" s="64" t="n"/>
      <c r="Z61" s="64" t="n"/>
      <c r="AA61" s="64" t="n"/>
      <c r="AB61" s="64" t="n"/>
      <c r="AC61" s="64" t="n">
        <v>55</v>
      </c>
      <c r="AD61" s="24" t="n"/>
    </row>
    <row r="62" ht="15" customHeight="1">
      <c r="A62" s="63">
        <f>IF(C62="","",IFERROR(IF(SUMPRODUCT(MAX((tbl_Finance[Job Number]=C62&amp;"")*(tbl_Finance[Xero Invoice No]&lt;&gt;"")*tbl_Finance[Date]))=0,"",SUMPRODUCT(MAX((tbl_Finance[Job Number]=C62&amp;"")*(tbl_Finance[Xero Invoice No]&lt;&gt;"")*tbl_Finance[Date]))),""))</f>
        <v/>
      </c>
      <c r="B62" s="25">
        <f>IF(C62="","",IF(COUNTIFS(tbl_Finance[Job Number],C62&amp;"",tbl_Finance[Xero Invoice No],"&lt;&gt;")=0,"",IFERROR(IF(COUNTIFS(tbl_Finance[Job Number],C62&amp;"",tbl_Finance[Xero Invoice No],LOOKUP(2,1/((tbl_Finance[Job Number]=C62&amp;"")*(tbl_Finance[Xero Invoice No]&lt;&gt;"")),tbl_Finance[Xero Invoice No]))=COUNTIFS(tbl_Finance[Job Number],C62&amp;"",tbl_Finance[Xero Invoice No],"&lt;&gt;"),LOOKUP(2,1/((tbl_Finance[Job Number]=C62&amp;"")*(tbl_Finance[Xero Invoice No]&lt;&gt;"")),tbl_Finance[Xero Invoice No]),LOOKUP(2,1/((tbl_Finance[Job Number]=C62&amp;"")*(tbl_Finance[Xero Invoice No]&lt;&gt;"")),tbl_Finance[Xero Invoice No])&amp;" +more"),"")))</f>
        <v/>
      </c>
      <c r="C62" s="24" t="inlineStr">
        <is>
          <t>26082503</t>
        </is>
      </c>
      <c r="D62" s="25">
        <f>IF(C62="","",IF(COUNTIF(lst_Jobs,C62&amp;"")&gt;0,"OK","CHECK"))</f>
        <v/>
      </c>
      <c r="E62" s="25">
        <f>IF(C62="","",IFERROR(INDEX(lst_JobName,MATCH(C62&amp;"",lst_Jobs,0)),""))</f>
        <v/>
      </c>
      <c r="F62" s="25">
        <f>IF(C62="","",IFERROR(INDEX(tbl_Finance[Client],MATCH(C62&amp;"",tbl_Finance[Job Number],0)),""))</f>
        <v/>
      </c>
      <c r="G62" s="28">
        <f>IF(C62="","",COUNTIFS(tbl_Finance[Job Number],C62&amp;"",tbl_Finance[Ex GST],"&lt;&gt;"))</f>
        <v/>
      </c>
      <c r="H62" s="27">
        <f>IF(C62="","",SUMIFS(tbl_Finance[Ex GST],tbl_Finance[Job Number],C62&amp;""))</f>
        <v/>
      </c>
      <c r="I62" s="27">
        <f>IF(C62="","",SUMIFS(tbl_Finance[Ex GST],tbl_Finance[Job Number],C62&amp;"",tbl_Finance[Xero Invoice No],"&lt;&gt;"))</f>
        <v/>
      </c>
      <c r="J62" s="27">
        <f>IF(C62="","",H62-I62)</f>
        <v/>
      </c>
      <c r="K62" s="25">
        <f>IF(C62="","",IF(G62=0,"not invoiced yet",SUBSTITUTE(TRIM(IF(COUNTIFS(tbl_Finance[Job Number],C62&amp;"",tbl_Finance[Cost Centre],"ONSITE")&gt;0,"ONSITE ","")&amp;IF(COUNTIFS(tbl_Finance[Job Number],C62&amp;"",tbl_Finance[Cost Centre],"PRODUCTION")&gt;0,"PRODUCTION ","")&amp;IF(COUNTIFS(tbl_Finance[Job Number],C62&amp;"",tbl_Finance[Cost Centre],"VIDEO")&gt;0,"VIDEO ","")&amp;IF(COUNTIFS(tbl_Finance[Job Number],C62&amp;"",tbl_Finance[Cost Centre],"INTEGRATION")&gt;0,"INTEGRATION ","")&amp;IF(COUNTIFS(tbl_Finance[Job Number],C62&amp;"",tbl_Finance[Cost Centre],"CONSULTING")&gt;0,"CONSULTING ","")&amp;IF(COUNTIFS(tbl_Finance[Job Number],C62&amp;"",tbl_Finance[Cost Centre],"CTS")&gt;0,"CTS ",""))," ",", ")))</f>
        <v/>
      </c>
      <c r="L62" s="22" t="n">
        <v>46279</v>
      </c>
      <c r="M62" s="24" t="inlineStr">
        <is>
          <t>6187</t>
        </is>
      </c>
      <c r="N62" s="25">
        <f>IF(M62="","",IF(AND(LEFT(M62,4)&lt;&gt;"http",set_RMSBase=""),"",HYPERLINK(IF(LEFT(M62,4)="http",M62,set_RMSBase&amp;M62),"Open opportunity")))</f>
        <v/>
      </c>
      <c r="O62" s="25">
        <f>IF(C62="","",C62)</f>
        <v/>
      </c>
      <c r="P62" s="24" t="inlineStr">
        <is>
          <t>Y</t>
        </is>
      </c>
      <c r="Q62" s="26" t="n"/>
      <c r="R62" s="27">
        <f>IF(C62="","",H62+N(Q62))</f>
        <v/>
      </c>
      <c r="S62" s="29">
        <f>IFERROR(Q62/R62,"")</f>
        <v/>
      </c>
      <c r="T62" s="26" t="n"/>
      <c r="U62" s="26" t="n"/>
      <c r="V62" s="27">
        <f>IF(C62="","",N(T62)+N(U62))</f>
        <v/>
      </c>
      <c r="W62" s="27">
        <f>IF(C62="","",H62-V62)</f>
        <v/>
      </c>
      <c r="X62" s="29">
        <f>IFERROR(W62/H62,"")</f>
        <v/>
      </c>
      <c r="Y62" s="64" t="n"/>
      <c r="Z62" s="64" t="n"/>
      <c r="AA62" s="64" t="n"/>
      <c r="AB62" s="64" t="n"/>
      <c r="AC62" s="64" t="n">
        <v>10.5</v>
      </c>
      <c r="AD62" s="24" t="n"/>
    </row>
    <row r="63" ht="15" customHeight="1">
      <c r="A63" s="63">
        <f>IF(C63="","",IFERROR(IF(SUMPRODUCT(MAX((tbl_Finance[Job Number]=C63&amp;"")*(tbl_Finance[Xero Invoice No]&lt;&gt;"")*tbl_Finance[Date]))=0,"",SUMPRODUCT(MAX((tbl_Finance[Job Number]=C63&amp;"")*(tbl_Finance[Xero Invoice No]&lt;&gt;"")*tbl_Finance[Date]))),""))</f>
        <v/>
      </c>
      <c r="B63" s="25">
        <f>IF(C63="","",IF(COUNTIFS(tbl_Finance[Job Number],C63&amp;"",tbl_Finance[Xero Invoice No],"&lt;&gt;")=0,"",IFERROR(IF(COUNTIFS(tbl_Finance[Job Number],C63&amp;"",tbl_Finance[Xero Invoice No],LOOKUP(2,1/((tbl_Finance[Job Number]=C63&amp;"")*(tbl_Finance[Xero Invoice No]&lt;&gt;"")),tbl_Finance[Xero Invoice No]))=COUNTIFS(tbl_Finance[Job Number],C63&amp;"",tbl_Finance[Xero Invoice No],"&lt;&gt;"),LOOKUP(2,1/((tbl_Finance[Job Number]=C63&amp;"")*(tbl_Finance[Xero Invoice No]&lt;&gt;"")),tbl_Finance[Xero Invoice No]),LOOKUP(2,1/((tbl_Finance[Job Number]=C63&amp;"")*(tbl_Finance[Xero Invoice No]&lt;&gt;"")),tbl_Finance[Xero Invoice No])&amp;" +more"),"")))</f>
        <v/>
      </c>
      <c r="C63" s="24" t="n"/>
      <c r="D63" s="25">
        <f>IF(C63="","",IF(COUNTIF(lst_Jobs,C63&amp;"")&gt;0,"OK","CHECK"))</f>
        <v/>
      </c>
      <c r="E63" s="25">
        <f>IF(C63="","",IFERROR(INDEX(lst_JobName,MATCH(C63&amp;"",lst_Jobs,0)),""))</f>
        <v/>
      </c>
      <c r="F63" s="25">
        <f>IF(C63="","",IFERROR(INDEX(tbl_Finance[Client],MATCH(C63&amp;"",tbl_Finance[Job Number],0)),""))</f>
        <v/>
      </c>
      <c r="G63" s="28">
        <f>IF(C63="","",COUNTIFS(tbl_Finance[Job Number],C63&amp;"",tbl_Finance[Ex GST],"&lt;&gt;"))</f>
        <v/>
      </c>
      <c r="H63" s="27">
        <f>IF(C63="","",SUMIFS(tbl_Finance[Ex GST],tbl_Finance[Job Number],C63&amp;""))</f>
        <v/>
      </c>
      <c r="I63" s="27">
        <f>IF(C63="","",SUMIFS(tbl_Finance[Ex GST],tbl_Finance[Job Number],C63&amp;"",tbl_Finance[Xero Invoice No],"&lt;&gt;"))</f>
        <v/>
      </c>
      <c r="J63" s="27">
        <f>IF(C63="","",H63-I63)</f>
        <v/>
      </c>
      <c r="K63" s="25">
        <f>IF(C63="","",IF(G63=0,"not invoiced yet",SUBSTITUTE(TRIM(IF(COUNTIFS(tbl_Finance[Job Number],C63&amp;"",tbl_Finance[Cost Centre],"ONSITE")&gt;0,"ONSITE ","")&amp;IF(COUNTIFS(tbl_Finance[Job Number],C63&amp;"",tbl_Finance[Cost Centre],"PRODUCTION")&gt;0,"PRODUCTION ","")&amp;IF(COUNTIFS(tbl_Finance[Job Number],C63&amp;"",tbl_Finance[Cost Centre],"VIDEO")&gt;0,"VIDEO ","")&amp;IF(COUNTIFS(tbl_Finance[Job Number],C63&amp;"",tbl_Finance[Cost Centre],"INTEGRATION")&gt;0,"INTEGRATION ","")&amp;IF(COUNTIFS(tbl_Finance[Job Number],C63&amp;"",tbl_Finance[Cost Centre],"CONSULTING")&gt;0,"CONSULTING ","")&amp;IF(COUNTIFS(tbl_Finance[Job Number],C63&amp;"",tbl_Finance[Cost Centre],"CTS")&gt;0,"CTS ",""))," ",", ")))</f>
        <v/>
      </c>
      <c r="L63" s="22" t="n"/>
      <c r="M63" s="24" t="n"/>
      <c r="N63" s="25">
        <f>IF(M63="","",IF(AND(LEFT(M63,4)&lt;&gt;"http",set_RMSBase=""),"",HYPERLINK(IF(LEFT(M63,4)="http",M63,set_RMSBase&amp;M63),"Open opportunity")))</f>
        <v/>
      </c>
      <c r="O63" s="25">
        <f>IF(C63="","",C63)</f>
        <v/>
      </c>
      <c r="P63" s="24" t="n"/>
      <c r="Q63" s="26" t="n"/>
      <c r="R63" s="27">
        <f>IF(C63="","",H63+N(Q63))</f>
        <v/>
      </c>
      <c r="S63" s="29">
        <f>IFERROR(Q63/R63,"")</f>
        <v/>
      </c>
      <c r="T63" s="26" t="n"/>
      <c r="U63" s="26" t="n"/>
      <c r="V63" s="27">
        <f>IF(C63="","",N(T63)+N(U63))</f>
        <v/>
      </c>
      <c r="W63" s="27">
        <f>IF(C63="","",H63-V63)</f>
        <v/>
      </c>
      <c r="X63" s="29">
        <f>IFERROR(W63/H63,"")</f>
        <v/>
      </c>
      <c r="Y63" s="64" t="n"/>
      <c r="Z63" s="64" t="n"/>
      <c r="AA63" s="64" t="n"/>
      <c r="AB63" s="64" t="n"/>
      <c r="AC63" s="64" t="n"/>
      <c r="AD63" s="24" t="n"/>
    </row>
    <row r="64" ht="15" customHeight="1">
      <c r="A64" s="63">
        <f>IF(C64="","",IFERROR(IF(SUMPRODUCT(MAX((tbl_Finance[Job Number]=C64&amp;"")*(tbl_Finance[Xero Invoice No]&lt;&gt;"")*tbl_Finance[Date]))=0,"",SUMPRODUCT(MAX((tbl_Finance[Job Number]=C64&amp;"")*(tbl_Finance[Xero Invoice No]&lt;&gt;"")*tbl_Finance[Date]))),""))</f>
        <v/>
      </c>
      <c r="B64" s="25">
        <f>IF(C64="","",IF(COUNTIFS(tbl_Finance[Job Number],C64&amp;"",tbl_Finance[Xero Invoice No],"&lt;&gt;")=0,"",IFERROR(IF(COUNTIFS(tbl_Finance[Job Number],C64&amp;"",tbl_Finance[Xero Invoice No],LOOKUP(2,1/((tbl_Finance[Job Number]=C64&amp;"")*(tbl_Finance[Xero Invoice No]&lt;&gt;"")),tbl_Finance[Xero Invoice No]))=COUNTIFS(tbl_Finance[Job Number],C64&amp;"",tbl_Finance[Xero Invoice No],"&lt;&gt;"),LOOKUP(2,1/((tbl_Finance[Job Number]=C64&amp;"")*(tbl_Finance[Xero Invoice No]&lt;&gt;"")),tbl_Finance[Xero Invoice No]),LOOKUP(2,1/((tbl_Finance[Job Number]=C64&amp;"")*(tbl_Finance[Xero Invoice No]&lt;&gt;"")),tbl_Finance[Xero Invoice No])&amp;" +more"),"")))</f>
        <v/>
      </c>
      <c r="C64" s="24" t="n"/>
      <c r="D64" s="25">
        <f>IF(C64="","",IF(COUNTIF(lst_Jobs,C64&amp;"")&gt;0,"OK","CHECK"))</f>
        <v/>
      </c>
      <c r="E64" s="25">
        <f>IF(C64="","",IFERROR(INDEX(lst_JobName,MATCH(C64&amp;"",lst_Jobs,0)),""))</f>
        <v/>
      </c>
      <c r="F64" s="25">
        <f>IF(C64="","",IFERROR(INDEX(tbl_Finance[Client],MATCH(C64&amp;"",tbl_Finance[Job Number],0)),""))</f>
        <v/>
      </c>
      <c r="G64" s="28">
        <f>IF(C64="","",COUNTIFS(tbl_Finance[Job Number],C64&amp;"",tbl_Finance[Ex GST],"&lt;&gt;"))</f>
        <v/>
      </c>
      <c r="H64" s="27">
        <f>IF(C64="","",SUMIFS(tbl_Finance[Ex GST],tbl_Finance[Job Number],C64&amp;""))</f>
        <v/>
      </c>
      <c r="I64" s="27">
        <f>IF(C64="","",SUMIFS(tbl_Finance[Ex GST],tbl_Finance[Job Number],C64&amp;"",tbl_Finance[Xero Invoice No],"&lt;&gt;"))</f>
        <v/>
      </c>
      <c r="J64" s="27">
        <f>IF(C64="","",H64-I64)</f>
        <v/>
      </c>
      <c r="K64" s="25">
        <f>IF(C64="","",IF(G64=0,"not invoiced yet",SUBSTITUTE(TRIM(IF(COUNTIFS(tbl_Finance[Job Number],C64&amp;"",tbl_Finance[Cost Centre],"ONSITE")&gt;0,"ONSITE ","")&amp;IF(COUNTIFS(tbl_Finance[Job Number],C64&amp;"",tbl_Finance[Cost Centre],"PRODUCTION")&gt;0,"PRODUCTION ","")&amp;IF(COUNTIFS(tbl_Finance[Job Number],C64&amp;"",tbl_Finance[Cost Centre],"VIDEO")&gt;0,"VIDEO ","")&amp;IF(COUNTIFS(tbl_Finance[Job Number],C64&amp;"",tbl_Finance[Cost Centre],"INTEGRATION")&gt;0,"INTEGRATION ","")&amp;IF(COUNTIFS(tbl_Finance[Job Number],C64&amp;"",tbl_Finance[Cost Centre],"CONSULTING")&gt;0,"CONSULTING ","")&amp;IF(COUNTIFS(tbl_Finance[Job Number],C64&amp;"",tbl_Finance[Cost Centre],"CTS")&gt;0,"CTS ",""))," ",", ")))</f>
        <v/>
      </c>
      <c r="L64" s="22" t="n"/>
      <c r="M64" s="24" t="n"/>
      <c r="N64" s="25">
        <f>IF(M64="","",IF(AND(LEFT(M64,4)&lt;&gt;"http",set_RMSBase=""),"",HYPERLINK(IF(LEFT(M64,4)="http",M64,set_RMSBase&amp;M64),"Open opportunity")))</f>
        <v/>
      </c>
      <c r="O64" s="25">
        <f>IF(C64="","",C64)</f>
        <v/>
      </c>
      <c r="P64" s="24" t="n"/>
      <c r="Q64" s="26" t="n"/>
      <c r="R64" s="27">
        <f>IF(C64="","",H64+N(Q64))</f>
        <v/>
      </c>
      <c r="S64" s="29">
        <f>IFERROR(Q64/R64,"")</f>
        <v/>
      </c>
      <c r="T64" s="26" t="n"/>
      <c r="U64" s="26" t="n"/>
      <c r="V64" s="27">
        <f>IF(C64="","",N(T64)+N(U64))</f>
        <v/>
      </c>
      <c r="W64" s="27">
        <f>IF(C64="","",H64-V64)</f>
        <v/>
      </c>
      <c r="X64" s="29">
        <f>IFERROR(W64/H64,"")</f>
        <v/>
      </c>
      <c r="Y64" s="64" t="n"/>
      <c r="Z64" s="64" t="n"/>
      <c r="AA64" s="64" t="n"/>
      <c r="AB64" s="64" t="n"/>
      <c r="AC64" s="64" t="n"/>
      <c r="AD64" s="24" t="n"/>
    </row>
    <row r="65" ht="15" customHeight="1">
      <c r="A65" s="63">
        <f>IF(C65="","",IFERROR(IF(SUMPRODUCT(MAX((tbl_Finance[Job Number]=C65&amp;"")*(tbl_Finance[Xero Invoice No]&lt;&gt;"")*tbl_Finance[Date]))=0,"",SUMPRODUCT(MAX((tbl_Finance[Job Number]=C65&amp;"")*(tbl_Finance[Xero Invoice No]&lt;&gt;"")*tbl_Finance[Date]))),""))</f>
        <v/>
      </c>
      <c r="B65" s="25">
        <f>IF(C65="","",IF(COUNTIFS(tbl_Finance[Job Number],C65&amp;"",tbl_Finance[Xero Invoice No],"&lt;&gt;")=0,"",IFERROR(IF(COUNTIFS(tbl_Finance[Job Number],C65&amp;"",tbl_Finance[Xero Invoice No],LOOKUP(2,1/((tbl_Finance[Job Number]=C65&amp;"")*(tbl_Finance[Xero Invoice No]&lt;&gt;"")),tbl_Finance[Xero Invoice No]))=COUNTIFS(tbl_Finance[Job Number],C65&amp;"",tbl_Finance[Xero Invoice No],"&lt;&gt;"),LOOKUP(2,1/((tbl_Finance[Job Number]=C65&amp;"")*(tbl_Finance[Xero Invoice No]&lt;&gt;"")),tbl_Finance[Xero Invoice No]),LOOKUP(2,1/((tbl_Finance[Job Number]=C65&amp;"")*(tbl_Finance[Xero Invoice No]&lt;&gt;"")),tbl_Finance[Xero Invoice No])&amp;" +more"),"")))</f>
        <v/>
      </c>
      <c r="C65" s="24" t="n"/>
      <c r="D65" s="25">
        <f>IF(C65="","",IF(COUNTIF(lst_Jobs,C65&amp;"")&gt;0,"OK","CHECK"))</f>
        <v/>
      </c>
      <c r="E65" s="25">
        <f>IF(C65="","",IFERROR(INDEX(lst_JobName,MATCH(C65&amp;"",lst_Jobs,0)),""))</f>
        <v/>
      </c>
      <c r="F65" s="25">
        <f>IF(C65="","",IFERROR(INDEX(tbl_Finance[Client],MATCH(C65&amp;"",tbl_Finance[Job Number],0)),""))</f>
        <v/>
      </c>
      <c r="G65" s="28">
        <f>IF(C65="","",COUNTIFS(tbl_Finance[Job Number],C65&amp;"",tbl_Finance[Ex GST],"&lt;&gt;"))</f>
        <v/>
      </c>
      <c r="H65" s="27">
        <f>IF(C65="","",SUMIFS(tbl_Finance[Ex GST],tbl_Finance[Job Number],C65&amp;""))</f>
        <v/>
      </c>
      <c r="I65" s="27">
        <f>IF(C65="","",SUMIFS(tbl_Finance[Ex GST],tbl_Finance[Job Number],C65&amp;"",tbl_Finance[Xero Invoice No],"&lt;&gt;"))</f>
        <v/>
      </c>
      <c r="J65" s="27">
        <f>IF(C65="","",H65-I65)</f>
        <v/>
      </c>
      <c r="K65" s="25">
        <f>IF(C65="","",IF(G65=0,"not invoiced yet",SUBSTITUTE(TRIM(IF(COUNTIFS(tbl_Finance[Job Number],C65&amp;"",tbl_Finance[Cost Centre],"ONSITE")&gt;0,"ONSITE ","")&amp;IF(COUNTIFS(tbl_Finance[Job Number],C65&amp;"",tbl_Finance[Cost Centre],"PRODUCTION")&gt;0,"PRODUCTION ","")&amp;IF(COUNTIFS(tbl_Finance[Job Number],C65&amp;"",tbl_Finance[Cost Centre],"VIDEO")&gt;0,"VIDEO ","")&amp;IF(COUNTIFS(tbl_Finance[Job Number],C65&amp;"",tbl_Finance[Cost Centre],"INTEGRATION")&gt;0,"INTEGRATION ","")&amp;IF(COUNTIFS(tbl_Finance[Job Number],C65&amp;"",tbl_Finance[Cost Centre],"CONSULTING")&gt;0,"CONSULTING ","")&amp;IF(COUNTIFS(tbl_Finance[Job Number],C65&amp;"",tbl_Finance[Cost Centre],"CTS")&gt;0,"CTS ",""))," ",", ")))</f>
        <v/>
      </c>
      <c r="L65" s="22" t="n"/>
      <c r="M65" s="24" t="n"/>
      <c r="N65" s="25">
        <f>IF(M65="","",IF(AND(LEFT(M65,4)&lt;&gt;"http",set_RMSBase=""),"",HYPERLINK(IF(LEFT(M65,4)="http",M65,set_RMSBase&amp;M65),"Open opportunity")))</f>
        <v/>
      </c>
      <c r="O65" s="25">
        <f>IF(C65="","",C65)</f>
        <v/>
      </c>
      <c r="P65" s="24" t="n"/>
      <c r="Q65" s="26" t="n"/>
      <c r="R65" s="27">
        <f>IF(C65="","",H65+N(Q65))</f>
        <v/>
      </c>
      <c r="S65" s="29">
        <f>IFERROR(Q65/R65,"")</f>
        <v/>
      </c>
      <c r="T65" s="26" t="n"/>
      <c r="U65" s="26" t="n"/>
      <c r="V65" s="27">
        <f>IF(C65="","",N(T65)+N(U65))</f>
        <v/>
      </c>
      <c r="W65" s="27">
        <f>IF(C65="","",H65-V65)</f>
        <v/>
      </c>
      <c r="X65" s="29">
        <f>IFERROR(W65/H65,"")</f>
        <v/>
      </c>
      <c r="Y65" s="64" t="n"/>
      <c r="Z65" s="64" t="n"/>
      <c r="AA65" s="64" t="n"/>
      <c r="AB65" s="64" t="n"/>
      <c r="AC65" s="64" t="n"/>
      <c r="AD65" s="24" t="n"/>
    </row>
    <row r="66" ht="15" customHeight="1">
      <c r="A66" s="63">
        <f>IF(C66="","",IFERROR(IF(SUMPRODUCT(MAX((tbl_Finance[Job Number]=C66&amp;"")*(tbl_Finance[Xero Invoice No]&lt;&gt;"")*tbl_Finance[Date]))=0,"",SUMPRODUCT(MAX((tbl_Finance[Job Number]=C66&amp;"")*(tbl_Finance[Xero Invoice No]&lt;&gt;"")*tbl_Finance[Date]))),""))</f>
        <v/>
      </c>
      <c r="B66" s="25">
        <f>IF(C66="","",IF(COUNTIFS(tbl_Finance[Job Number],C66&amp;"",tbl_Finance[Xero Invoice No],"&lt;&gt;")=0,"",IFERROR(IF(COUNTIFS(tbl_Finance[Job Number],C66&amp;"",tbl_Finance[Xero Invoice No],LOOKUP(2,1/((tbl_Finance[Job Number]=C66&amp;"")*(tbl_Finance[Xero Invoice No]&lt;&gt;"")),tbl_Finance[Xero Invoice No]))=COUNTIFS(tbl_Finance[Job Number],C66&amp;"",tbl_Finance[Xero Invoice No],"&lt;&gt;"),LOOKUP(2,1/((tbl_Finance[Job Number]=C66&amp;"")*(tbl_Finance[Xero Invoice No]&lt;&gt;"")),tbl_Finance[Xero Invoice No]),LOOKUP(2,1/((tbl_Finance[Job Number]=C66&amp;"")*(tbl_Finance[Xero Invoice No]&lt;&gt;"")),tbl_Finance[Xero Invoice No])&amp;" +more"),"")))</f>
        <v/>
      </c>
      <c r="C66" s="24" t="n"/>
      <c r="D66" s="25">
        <f>IF(C66="","",IF(COUNTIF(lst_Jobs,C66&amp;"")&gt;0,"OK","CHECK"))</f>
        <v/>
      </c>
      <c r="E66" s="25">
        <f>IF(C66="","",IFERROR(INDEX(lst_JobName,MATCH(C66&amp;"",lst_Jobs,0)),""))</f>
        <v/>
      </c>
      <c r="F66" s="25">
        <f>IF(C66="","",IFERROR(INDEX(tbl_Finance[Client],MATCH(C66&amp;"",tbl_Finance[Job Number],0)),""))</f>
        <v/>
      </c>
      <c r="G66" s="28">
        <f>IF(C66="","",COUNTIFS(tbl_Finance[Job Number],C66&amp;"",tbl_Finance[Ex GST],"&lt;&gt;"))</f>
        <v/>
      </c>
      <c r="H66" s="27">
        <f>IF(C66="","",SUMIFS(tbl_Finance[Ex GST],tbl_Finance[Job Number],C66&amp;""))</f>
        <v/>
      </c>
      <c r="I66" s="27">
        <f>IF(C66="","",SUMIFS(tbl_Finance[Ex GST],tbl_Finance[Job Number],C66&amp;"",tbl_Finance[Xero Invoice No],"&lt;&gt;"))</f>
        <v/>
      </c>
      <c r="J66" s="27">
        <f>IF(C66="","",H66-I66)</f>
        <v/>
      </c>
      <c r="K66" s="25">
        <f>IF(C66="","",IF(G66=0,"not invoiced yet",SUBSTITUTE(TRIM(IF(COUNTIFS(tbl_Finance[Job Number],C66&amp;"",tbl_Finance[Cost Centre],"ONSITE")&gt;0,"ONSITE ","")&amp;IF(COUNTIFS(tbl_Finance[Job Number],C66&amp;"",tbl_Finance[Cost Centre],"PRODUCTION")&gt;0,"PRODUCTION ","")&amp;IF(COUNTIFS(tbl_Finance[Job Number],C66&amp;"",tbl_Finance[Cost Centre],"VIDEO")&gt;0,"VIDEO ","")&amp;IF(COUNTIFS(tbl_Finance[Job Number],C66&amp;"",tbl_Finance[Cost Centre],"INTEGRATION")&gt;0,"INTEGRATION ","")&amp;IF(COUNTIFS(tbl_Finance[Job Number],C66&amp;"",tbl_Finance[Cost Centre],"CONSULTING")&gt;0,"CONSULTING ","")&amp;IF(COUNTIFS(tbl_Finance[Job Number],C66&amp;"",tbl_Finance[Cost Centre],"CTS")&gt;0,"CTS ",""))," ",", ")))</f>
        <v/>
      </c>
      <c r="L66" s="22" t="n"/>
      <c r="M66" s="24" t="n"/>
      <c r="N66" s="25">
        <f>IF(M66="","",IF(AND(LEFT(M66,4)&lt;&gt;"http",set_RMSBase=""),"",HYPERLINK(IF(LEFT(M66,4)="http",M66,set_RMSBase&amp;M66),"Open opportunity")))</f>
        <v/>
      </c>
      <c r="O66" s="25">
        <f>IF(C66="","",C66)</f>
        <v/>
      </c>
      <c r="P66" s="24" t="n"/>
      <c r="Q66" s="26" t="n"/>
      <c r="R66" s="27">
        <f>IF(C66="","",H66+N(Q66))</f>
        <v/>
      </c>
      <c r="S66" s="29">
        <f>IFERROR(Q66/R66,"")</f>
        <v/>
      </c>
      <c r="T66" s="26" t="n"/>
      <c r="U66" s="26" t="n"/>
      <c r="V66" s="27">
        <f>IF(C66="","",N(T66)+N(U66))</f>
        <v/>
      </c>
      <c r="W66" s="27">
        <f>IF(C66="","",H66-V66)</f>
        <v/>
      </c>
      <c r="X66" s="29">
        <f>IFERROR(W66/H66,"")</f>
        <v/>
      </c>
      <c r="Y66" s="64" t="n"/>
      <c r="Z66" s="64" t="n"/>
      <c r="AA66" s="64" t="n"/>
      <c r="AB66" s="64" t="n"/>
      <c r="AC66" s="64" t="n"/>
      <c r="AD66" s="24" t="n"/>
    </row>
    <row r="67" ht="15" customHeight="1">
      <c r="A67" s="63">
        <f>IF(C67="","",IFERROR(IF(SUMPRODUCT(MAX((tbl_Finance[Job Number]=C67&amp;"")*(tbl_Finance[Xero Invoice No]&lt;&gt;"")*tbl_Finance[Date]))=0,"",SUMPRODUCT(MAX((tbl_Finance[Job Number]=C67&amp;"")*(tbl_Finance[Xero Invoice No]&lt;&gt;"")*tbl_Finance[Date]))),""))</f>
        <v/>
      </c>
      <c r="B67" s="25">
        <f>IF(C67="","",IF(COUNTIFS(tbl_Finance[Job Number],C67&amp;"",tbl_Finance[Xero Invoice No],"&lt;&gt;")=0,"",IFERROR(IF(COUNTIFS(tbl_Finance[Job Number],C67&amp;"",tbl_Finance[Xero Invoice No],LOOKUP(2,1/((tbl_Finance[Job Number]=C67&amp;"")*(tbl_Finance[Xero Invoice No]&lt;&gt;"")),tbl_Finance[Xero Invoice No]))=COUNTIFS(tbl_Finance[Job Number],C67&amp;"",tbl_Finance[Xero Invoice No],"&lt;&gt;"),LOOKUP(2,1/((tbl_Finance[Job Number]=C67&amp;"")*(tbl_Finance[Xero Invoice No]&lt;&gt;"")),tbl_Finance[Xero Invoice No]),LOOKUP(2,1/((tbl_Finance[Job Number]=C67&amp;"")*(tbl_Finance[Xero Invoice No]&lt;&gt;"")),tbl_Finance[Xero Invoice No])&amp;" +more"),"")))</f>
        <v/>
      </c>
      <c r="C67" s="24" t="n"/>
      <c r="D67" s="25">
        <f>IF(C67="","",IF(COUNTIF(lst_Jobs,C67&amp;"")&gt;0,"OK","CHECK"))</f>
        <v/>
      </c>
      <c r="E67" s="25">
        <f>IF(C67="","",IFERROR(INDEX(lst_JobName,MATCH(C67&amp;"",lst_Jobs,0)),""))</f>
        <v/>
      </c>
      <c r="F67" s="25">
        <f>IF(C67="","",IFERROR(INDEX(tbl_Finance[Client],MATCH(C67&amp;"",tbl_Finance[Job Number],0)),""))</f>
        <v/>
      </c>
      <c r="G67" s="28">
        <f>IF(C67="","",COUNTIFS(tbl_Finance[Job Number],C67&amp;"",tbl_Finance[Ex GST],"&lt;&gt;"))</f>
        <v/>
      </c>
      <c r="H67" s="27">
        <f>IF(C67="","",SUMIFS(tbl_Finance[Ex GST],tbl_Finance[Job Number],C67&amp;""))</f>
        <v/>
      </c>
      <c r="I67" s="27">
        <f>IF(C67="","",SUMIFS(tbl_Finance[Ex GST],tbl_Finance[Job Number],C67&amp;"",tbl_Finance[Xero Invoice No],"&lt;&gt;"))</f>
        <v/>
      </c>
      <c r="J67" s="27">
        <f>IF(C67="","",H67-I67)</f>
        <v/>
      </c>
      <c r="K67" s="25">
        <f>IF(C67="","",IF(G67=0,"not invoiced yet",SUBSTITUTE(TRIM(IF(COUNTIFS(tbl_Finance[Job Number],C67&amp;"",tbl_Finance[Cost Centre],"ONSITE")&gt;0,"ONSITE ","")&amp;IF(COUNTIFS(tbl_Finance[Job Number],C67&amp;"",tbl_Finance[Cost Centre],"PRODUCTION")&gt;0,"PRODUCTION ","")&amp;IF(COUNTIFS(tbl_Finance[Job Number],C67&amp;"",tbl_Finance[Cost Centre],"VIDEO")&gt;0,"VIDEO ","")&amp;IF(COUNTIFS(tbl_Finance[Job Number],C67&amp;"",tbl_Finance[Cost Centre],"INTEGRATION")&gt;0,"INTEGRATION ","")&amp;IF(COUNTIFS(tbl_Finance[Job Number],C67&amp;"",tbl_Finance[Cost Centre],"CONSULTING")&gt;0,"CONSULTING ","")&amp;IF(COUNTIFS(tbl_Finance[Job Number],C67&amp;"",tbl_Finance[Cost Centre],"CTS")&gt;0,"CTS ",""))," ",", ")))</f>
        <v/>
      </c>
      <c r="L67" s="22" t="n"/>
      <c r="M67" s="24" t="n"/>
      <c r="N67" s="25">
        <f>IF(M67="","",IF(AND(LEFT(M67,4)&lt;&gt;"http",set_RMSBase=""),"",HYPERLINK(IF(LEFT(M67,4)="http",M67,set_RMSBase&amp;M67),"Open opportunity")))</f>
        <v/>
      </c>
      <c r="O67" s="25">
        <f>IF(C67="","",C67)</f>
        <v/>
      </c>
      <c r="P67" s="24" t="n"/>
      <c r="Q67" s="26" t="n"/>
      <c r="R67" s="27">
        <f>IF(C67="","",H67+N(Q67))</f>
        <v/>
      </c>
      <c r="S67" s="29">
        <f>IFERROR(Q67/R67,"")</f>
        <v/>
      </c>
      <c r="T67" s="26" t="n"/>
      <c r="U67" s="26" t="n"/>
      <c r="V67" s="27">
        <f>IF(C67="","",N(T67)+N(U67))</f>
        <v/>
      </c>
      <c r="W67" s="27">
        <f>IF(C67="","",H67-V67)</f>
        <v/>
      </c>
      <c r="X67" s="29">
        <f>IFERROR(W67/H67,"")</f>
        <v/>
      </c>
      <c r="Y67" s="64" t="n"/>
      <c r="Z67" s="64" t="n"/>
      <c r="AA67" s="64" t="n"/>
      <c r="AB67" s="64" t="n"/>
      <c r="AC67" s="64" t="n"/>
      <c r="AD67" s="24" t="n"/>
    </row>
    <row r="68" ht="15" customHeight="1">
      <c r="A68" s="63">
        <f>IF(C68="","",IFERROR(IF(SUMPRODUCT(MAX((tbl_Finance[Job Number]=C68&amp;"")*(tbl_Finance[Xero Invoice No]&lt;&gt;"")*tbl_Finance[Date]))=0,"",SUMPRODUCT(MAX((tbl_Finance[Job Number]=C68&amp;"")*(tbl_Finance[Xero Invoice No]&lt;&gt;"")*tbl_Finance[Date]))),""))</f>
        <v/>
      </c>
      <c r="B68" s="25">
        <f>IF(C68="","",IF(COUNTIFS(tbl_Finance[Job Number],C68&amp;"",tbl_Finance[Xero Invoice No],"&lt;&gt;")=0,"",IFERROR(IF(COUNTIFS(tbl_Finance[Job Number],C68&amp;"",tbl_Finance[Xero Invoice No],LOOKUP(2,1/((tbl_Finance[Job Number]=C68&amp;"")*(tbl_Finance[Xero Invoice No]&lt;&gt;"")),tbl_Finance[Xero Invoice No]))=COUNTIFS(tbl_Finance[Job Number],C68&amp;"",tbl_Finance[Xero Invoice No],"&lt;&gt;"),LOOKUP(2,1/((tbl_Finance[Job Number]=C68&amp;"")*(tbl_Finance[Xero Invoice No]&lt;&gt;"")),tbl_Finance[Xero Invoice No]),LOOKUP(2,1/((tbl_Finance[Job Number]=C68&amp;"")*(tbl_Finance[Xero Invoice No]&lt;&gt;"")),tbl_Finance[Xero Invoice No])&amp;" +more"),"")))</f>
        <v/>
      </c>
      <c r="C68" s="24" t="n"/>
      <c r="D68" s="25">
        <f>IF(C68="","",IF(COUNTIF(lst_Jobs,C68&amp;"")&gt;0,"OK","CHECK"))</f>
        <v/>
      </c>
      <c r="E68" s="25">
        <f>IF(C68="","",IFERROR(INDEX(lst_JobName,MATCH(C68&amp;"",lst_Jobs,0)),""))</f>
        <v/>
      </c>
      <c r="F68" s="25">
        <f>IF(C68="","",IFERROR(INDEX(tbl_Finance[Client],MATCH(C68&amp;"",tbl_Finance[Job Number],0)),""))</f>
        <v/>
      </c>
      <c r="G68" s="28">
        <f>IF(C68="","",COUNTIFS(tbl_Finance[Job Number],C68&amp;"",tbl_Finance[Ex GST],"&lt;&gt;"))</f>
        <v/>
      </c>
      <c r="H68" s="27">
        <f>IF(C68="","",SUMIFS(tbl_Finance[Ex GST],tbl_Finance[Job Number],C68&amp;""))</f>
        <v/>
      </c>
      <c r="I68" s="27">
        <f>IF(C68="","",SUMIFS(tbl_Finance[Ex GST],tbl_Finance[Job Number],C68&amp;"",tbl_Finance[Xero Invoice No],"&lt;&gt;"))</f>
        <v/>
      </c>
      <c r="J68" s="27">
        <f>IF(C68="","",H68-I68)</f>
        <v/>
      </c>
      <c r="K68" s="25">
        <f>IF(C68="","",IF(G68=0,"not invoiced yet",SUBSTITUTE(TRIM(IF(COUNTIFS(tbl_Finance[Job Number],C68&amp;"",tbl_Finance[Cost Centre],"ONSITE")&gt;0,"ONSITE ","")&amp;IF(COUNTIFS(tbl_Finance[Job Number],C68&amp;"",tbl_Finance[Cost Centre],"PRODUCTION")&gt;0,"PRODUCTION ","")&amp;IF(COUNTIFS(tbl_Finance[Job Number],C68&amp;"",tbl_Finance[Cost Centre],"VIDEO")&gt;0,"VIDEO ","")&amp;IF(COUNTIFS(tbl_Finance[Job Number],C68&amp;"",tbl_Finance[Cost Centre],"INTEGRATION")&gt;0,"INTEGRATION ","")&amp;IF(COUNTIFS(tbl_Finance[Job Number],C68&amp;"",tbl_Finance[Cost Centre],"CONSULTING")&gt;0,"CONSULTING ","")&amp;IF(COUNTIFS(tbl_Finance[Job Number],C68&amp;"",tbl_Finance[Cost Centre],"CTS")&gt;0,"CTS ",""))," ",", ")))</f>
        <v/>
      </c>
      <c r="L68" s="22" t="n"/>
      <c r="M68" s="24" t="n"/>
      <c r="N68" s="25">
        <f>IF(M68="","",IF(AND(LEFT(M68,4)&lt;&gt;"http",set_RMSBase=""),"",HYPERLINK(IF(LEFT(M68,4)="http",M68,set_RMSBase&amp;M68),"Open opportunity")))</f>
        <v/>
      </c>
      <c r="O68" s="25">
        <f>IF(C68="","",C68)</f>
        <v/>
      </c>
      <c r="P68" s="24" t="n"/>
      <c r="Q68" s="26" t="n"/>
      <c r="R68" s="27">
        <f>IF(C68="","",H68+N(Q68))</f>
        <v/>
      </c>
      <c r="S68" s="29">
        <f>IFERROR(Q68/R68,"")</f>
        <v/>
      </c>
      <c r="T68" s="26" t="n"/>
      <c r="U68" s="26" t="n"/>
      <c r="V68" s="27">
        <f>IF(C68="","",N(T68)+N(U68))</f>
        <v/>
      </c>
      <c r="W68" s="27">
        <f>IF(C68="","",H68-V68)</f>
        <v/>
      </c>
      <c r="X68" s="29">
        <f>IFERROR(W68/H68,"")</f>
        <v/>
      </c>
      <c r="Y68" s="64" t="n"/>
      <c r="Z68" s="64" t="n"/>
      <c r="AA68" s="64" t="n"/>
      <c r="AB68" s="64" t="n"/>
      <c r="AC68" s="64" t="n"/>
      <c r="AD68" s="24" t="n"/>
    </row>
    <row r="69" ht="15" customHeight="1">
      <c r="A69" s="63">
        <f>IF(C69="","",IFERROR(IF(SUMPRODUCT(MAX((tbl_Finance[Job Number]=C69&amp;"")*(tbl_Finance[Xero Invoice No]&lt;&gt;"")*tbl_Finance[Date]))=0,"",SUMPRODUCT(MAX((tbl_Finance[Job Number]=C69&amp;"")*(tbl_Finance[Xero Invoice No]&lt;&gt;"")*tbl_Finance[Date]))),""))</f>
        <v/>
      </c>
      <c r="B69" s="25">
        <f>IF(C69="","",IF(COUNTIFS(tbl_Finance[Job Number],C69&amp;"",tbl_Finance[Xero Invoice No],"&lt;&gt;")=0,"",IFERROR(IF(COUNTIFS(tbl_Finance[Job Number],C69&amp;"",tbl_Finance[Xero Invoice No],LOOKUP(2,1/((tbl_Finance[Job Number]=C69&amp;"")*(tbl_Finance[Xero Invoice No]&lt;&gt;"")),tbl_Finance[Xero Invoice No]))=COUNTIFS(tbl_Finance[Job Number],C69&amp;"",tbl_Finance[Xero Invoice No],"&lt;&gt;"),LOOKUP(2,1/((tbl_Finance[Job Number]=C69&amp;"")*(tbl_Finance[Xero Invoice No]&lt;&gt;"")),tbl_Finance[Xero Invoice No]),LOOKUP(2,1/((tbl_Finance[Job Number]=C69&amp;"")*(tbl_Finance[Xero Invoice No]&lt;&gt;"")),tbl_Finance[Xero Invoice No])&amp;" +more"),"")))</f>
        <v/>
      </c>
      <c r="C69" s="24" t="n"/>
      <c r="D69" s="25">
        <f>IF(C69="","",IF(COUNTIF(lst_Jobs,C69&amp;"")&gt;0,"OK","CHECK"))</f>
        <v/>
      </c>
      <c r="E69" s="25">
        <f>IF(C69="","",IFERROR(INDEX(lst_JobName,MATCH(C69&amp;"",lst_Jobs,0)),""))</f>
        <v/>
      </c>
      <c r="F69" s="25">
        <f>IF(C69="","",IFERROR(INDEX(tbl_Finance[Client],MATCH(C69&amp;"",tbl_Finance[Job Number],0)),""))</f>
        <v/>
      </c>
      <c r="G69" s="28">
        <f>IF(C69="","",COUNTIFS(tbl_Finance[Job Number],C69&amp;"",tbl_Finance[Ex GST],"&lt;&gt;"))</f>
        <v/>
      </c>
      <c r="H69" s="27">
        <f>IF(C69="","",SUMIFS(tbl_Finance[Ex GST],tbl_Finance[Job Number],C69&amp;""))</f>
        <v/>
      </c>
      <c r="I69" s="27">
        <f>IF(C69="","",SUMIFS(tbl_Finance[Ex GST],tbl_Finance[Job Number],C69&amp;"",tbl_Finance[Xero Invoice No],"&lt;&gt;"))</f>
        <v/>
      </c>
      <c r="J69" s="27">
        <f>IF(C69="","",H69-I69)</f>
        <v/>
      </c>
      <c r="K69" s="25">
        <f>IF(C69="","",IF(G69=0,"not invoiced yet",SUBSTITUTE(TRIM(IF(COUNTIFS(tbl_Finance[Job Number],C69&amp;"",tbl_Finance[Cost Centre],"ONSITE")&gt;0,"ONSITE ","")&amp;IF(COUNTIFS(tbl_Finance[Job Number],C69&amp;"",tbl_Finance[Cost Centre],"PRODUCTION")&gt;0,"PRODUCTION ","")&amp;IF(COUNTIFS(tbl_Finance[Job Number],C69&amp;"",tbl_Finance[Cost Centre],"VIDEO")&gt;0,"VIDEO ","")&amp;IF(COUNTIFS(tbl_Finance[Job Number],C69&amp;"",tbl_Finance[Cost Centre],"INTEGRATION")&gt;0,"INTEGRATION ","")&amp;IF(COUNTIFS(tbl_Finance[Job Number],C69&amp;"",tbl_Finance[Cost Centre],"CONSULTING")&gt;0,"CONSULTING ","")&amp;IF(COUNTIFS(tbl_Finance[Job Number],C69&amp;"",tbl_Finance[Cost Centre],"CTS")&gt;0,"CTS ",""))," ",", ")))</f>
        <v/>
      </c>
      <c r="L69" s="22" t="n"/>
      <c r="M69" s="24" t="n"/>
      <c r="N69" s="25">
        <f>IF(M69="","",IF(AND(LEFT(M69,4)&lt;&gt;"http",set_RMSBase=""),"",HYPERLINK(IF(LEFT(M69,4)="http",M69,set_RMSBase&amp;M69),"Open opportunity")))</f>
        <v/>
      </c>
      <c r="O69" s="25">
        <f>IF(C69="","",C69)</f>
        <v/>
      </c>
      <c r="P69" s="24" t="n"/>
      <c r="Q69" s="26" t="n"/>
      <c r="R69" s="27">
        <f>IF(C69="","",H69+N(Q69))</f>
        <v/>
      </c>
      <c r="S69" s="29">
        <f>IFERROR(Q69/R69,"")</f>
        <v/>
      </c>
      <c r="T69" s="26" t="n"/>
      <c r="U69" s="26" t="n"/>
      <c r="V69" s="27">
        <f>IF(C69="","",N(T69)+N(U69))</f>
        <v/>
      </c>
      <c r="W69" s="27">
        <f>IF(C69="","",H69-V69)</f>
        <v/>
      </c>
      <c r="X69" s="29">
        <f>IFERROR(W69/H69,"")</f>
        <v/>
      </c>
      <c r="Y69" s="64" t="n"/>
      <c r="Z69" s="64" t="n"/>
      <c r="AA69" s="64" t="n"/>
      <c r="AB69" s="64" t="n"/>
      <c r="AC69" s="64" t="n"/>
      <c r="AD69" s="24" t="n"/>
    </row>
    <row r="70" ht="15" customHeight="1">
      <c r="A70" s="63">
        <f>IF(C70="","",IFERROR(IF(SUMPRODUCT(MAX((tbl_Finance[Job Number]=C70&amp;"")*(tbl_Finance[Xero Invoice No]&lt;&gt;"")*tbl_Finance[Date]))=0,"",SUMPRODUCT(MAX((tbl_Finance[Job Number]=C70&amp;"")*(tbl_Finance[Xero Invoice No]&lt;&gt;"")*tbl_Finance[Date]))),""))</f>
        <v/>
      </c>
      <c r="B70" s="25">
        <f>IF(C70="","",IF(COUNTIFS(tbl_Finance[Job Number],C70&amp;"",tbl_Finance[Xero Invoice No],"&lt;&gt;")=0,"",IFERROR(IF(COUNTIFS(tbl_Finance[Job Number],C70&amp;"",tbl_Finance[Xero Invoice No],LOOKUP(2,1/((tbl_Finance[Job Number]=C70&amp;"")*(tbl_Finance[Xero Invoice No]&lt;&gt;"")),tbl_Finance[Xero Invoice No]))=COUNTIFS(tbl_Finance[Job Number],C70&amp;"",tbl_Finance[Xero Invoice No],"&lt;&gt;"),LOOKUP(2,1/((tbl_Finance[Job Number]=C70&amp;"")*(tbl_Finance[Xero Invoice No]&lt;&gt;"")),tbl_Finance[Xero Invoice No]),LOOKUP(2,1/((tbl_Finance[Job Number]=C70&amp;"")*(tbl_Finance[Xero Invoice No]&lt;&gt;"")),tbl_Finance[Xero Invoice No])&amp;" +more"),"")))</f>
        <v/>
      </c>
      <c r="C70" s="24" t="n"/>
      <c r="D70" s="25">
        <f>IF(C70="","",IF(COUNTIF(lst_Jobs,C70&amp;"")&gt;0,"OK","CHECK"))</f>
        <v/>
      </c>
      <c r="E70" s="25">
        <f>IF(C70="","",IFERROR(INDEX(lst_JobName,MATCH(C70&amp;"",lst_Jobs,0)),""))</f>
        <v/>
      </c>
      <c r="F70" s="25">
        <f>IF(C70="","",IFERROR(INDEX(tbl_Finance[Client],MATCH(C70&amp;"",tbl_Finance[Job Number],0)),""))</f>
        <v/>
      </c>
      <c r="G70" s="28">
        <f>IF(C70="","",COUNTIFS(tbl_Finance[Job Number],C70&amp;"",tbl_Finance[Ex GST],"&lt;&gt;"))</f>
        <v/>
      </c>
      <c r="H70" s="27">
        <f>IF(C70="","",SUMIFS(tbl_Finance[Ex GST],tbl_Finance[Job Number],C70&amp;""))</f>
        <v/>
      </c>
      <c r="I70" s="27">
        <f>IF(C70="","",SUMIFS(tbl_Finance[Ex GST],tbl_Finance[Job Number],C70&amp;"",tbl_Finance[Xero Invoice No],"&lt;&gt;"))</f>
        <v/>
      </c>
      <c r="J70" s="27">
        <f>IF(C70="","",H70-I70)</f>
        <v/>
      </c>
      <c r="K70" s="25">
        <f>IF(C70="","",IF(G70=0,"not invoiced yet",SUBSTITUTE(TRIM(IF(COUNTIFS(tbl_Finance[Job Number],C70&amp;"",tbl_Finance[Cost Centre],"ONSITE")&gt;0,"ONSITE ","")&amp;IF(COUNTIFS(tbl_Finance[Job Number],C70&amp;"",tbl_Finance[Cost Centre],"PRODUCTION")&gt;0,"PRODUCTION ","")&amp;IF(COUNTIFS(tbl_Finance[Job Number],C70&amp;"",tbl_Finance[Cost Centre],"VIDEO")&gt;0,"VIDEO ","")&amp;IF(COUNTIFS(tbl_Finance[Job Number],C70&amp;"",tbl_Finance[Cost Centre],"INTEGRATION")&gt;0,"INTEGRATION ","")&amp;IF(COUNTIFS(tbl_Finance[Job Number],C70&amp;"",tbl_Finance[Cost Centre],"CONSULTING")&gt;0,"CONSULTING ","")&amp;IF(COUNTIFS(tbl_Finance[Job Number],C70&amp;"",tbl_Finance[Cost Centre],"CTS")&gt;0,"CTS ",""))," ",", ")))</f>
        <v/>
      </c>
      <c r="L70" s="22" t="n"/>
      <c r="M70" s="24" t="n"/>
      <c r="N70" s="25">
        <f>IF(M70="","",IF(AND(LEFT(M70,4)&lt;&gt;"http",set_RMSBase=""),"",HYPERLINK(IF(LEFT(M70,4)="http",M70,set_RMSBase&amp;M70),"Open opportunity")))</f>
        <v/>
      </c>
      <c r="O70" s="25">
        <f>IF(C70="","",C70)</f>
        <v/>
      </c>
      <c r="P70" s="24" t="n"/>
      <c r="Q70" s="26" t="n"/>
      <c r="R70" s="27">
        <f>IF(C70="","",H70+N(Q70))</f>
        <v/>
      </c>
      <c r="S70" s="29">
        <f>IFERROR(Q70/R70,"")</f>
        <v/>
      </c>
      <c r="T70" s="26" t="n"/>
      <c r="U70" s="26" t="n"/>
      <c r="V70" s="27">
        <f>IF(C70="","",N(T70)+N(U70))</f>
        <v/>
      </c>
      <c r="W70" s="27">
        <f>IF(C70="","",H70-V70)</f>
        <v/>
      </c>
      <c r="X70" s="29">
        <f>IFERROR(W70/H70,"")</f>
        <v/>
      </c>
      <c r="Y70" s="64" t="n"/>
      <c r="Z70" s="64" t="n"/>
      <c r="AA70" s="64" t="n"/>
      <c r="AB70" s="64" t="n"/>
      <c r="AC70" s="64" t="n"/>
      <c r="AD70" s="24" t="n"/>
    </row>
    <row r="71" ht="15" customHeight="1">
      <c r="A71" s="63">
        <f>IF(C71="","",IFERROR(IF(SUMPRODUCT(MAX((tbl_Finance[Job Number]=C71&amp;"")*(tbl_Finance[Xero Invoice No]&lt;&gt;"")*tbl_Finance[Date]))=0,"",SUMPRODUCT(MAX((tbl_Finance[Job Number]=C71&amp;"")*(tbl_Finance[Xero Invoice No]&lt;&gt;"")*tbl_Finance[Date]))),""))</f>
        <v/>
      </c>
      <c r="B71" s="25">
        <f>IF(C71="","",IF(COUNTIFS(tbl_Finance[Job Number],C71&amp;"",tbl_Finance[Xero Invoice No],"&lt;&gt;")=0,"",IFERROR(IF(COUNTIFS(tbl_Finance[Job Number],C71&amp;"",tbl_Finance[Xero Invoice No],LOOKUP(2,1/((tbl_Finance[Job Number]=C71&amp;"")*(tbl_Finance[Xero Invoice No]&lt;&gt;"")),tbl_Finance[Xero Invoice No]))=COUNTIFS(tbl_Finance[Job Number],C71&amp;"",tbl_Finance[Xero Invoice No],"&lt;&gt;"),LOOKUP(2,1/((tbl_Finance[Job Number]=C71&amp;"")*(tbl_Finance[Xero Invoice No]&lt;&gt;"")),tbl_Finance[Xero Invoice No]),LOOKUP(2,1/((tbl_Finance[Job Number]=C71&amp;"")*(tbl_Finance[Xero Invoice No]&lt;&gt;"")),tbl_Finance[Xero Invoice No])&amp;" +more"),"")))</f>
        <v/>
      </c>
      <c r="C71" s="24" t="n"/>
      <c r="D71" s="25">
        <f>IF(C71="","",IF(COUNTIF(lst_Jobs,C71&amp;"")&gt;0,"OK","CHECK"))</f>
        <v/>
      </c>
      <c r="E71" s="25">
        <f>IF(C71="","",IFERROR(INDEX(lst_JobName,MATCH(C71&amp;"",lst_Jobs,0)),""))</f>
        <v/>
      </c>
      <c r="F71" s="25">
        <f>IF(C71="","",IFERROR(INDEX(tbl_Finance[Client],MATCH(C71&amp;"",tbl_Finance[Job Number],0)),""))</f>
        <v/>
      </c>
      <c r="G71" s="28">
        <f>IF(C71="","",COUNTIFS(tbl_Finance[Job Number],C71&amp;"",tbl_Finance[Ex GST],"&lt;&gt;"))</f>
        <v/>
      </c>
      <c r="H71" s="27">
        <f>IF(C71="","",SUMIFS(tbl_Finance[Ex GST],tbl_Finance[Job Number],C71&amp;""))</f>
        <v/>
      </c>
      <c r="I71" s="27">
        <f>IF(C71="","",SUMIFS(tbl_Finance[Ex GST],tbl_Finance[Job Number],C71&amp;"",tbl_Finance[Xero Invoice No],"&lt;&gt;"))</f>
        <v/>
      </c>
      <c r="J71" s="27">
        <f>IF(C71="","",H71-I71)</f>
        <v/>
      </c>
      <c r="K71" s="25">
        <f>IF(C71="","",IF(G71=0,"not invoiced yet",SUBSTITUTE(TRIM(IF(COUNTIFS(tbl_Finance[Job Number],C71&amp;"",tbl_Finance[Cost Centre],"ONSITE")&gt;0,"ONSITE ","")&amp;IF(COUNTIFS(tbl_Finance[Job Number],C71&amp;"",tbl_Finance[Cost Centre],"PRODUCTION")&gt;0,"PRODUCTION ","")&amp;IF(COUNTIFS(tbl_Finance[Job Number],C71&amp;"",tbl_Finance[Cost Centre],"VIDEO")&gt;0,"VIDEO ","")&amp;IF(COUNTIFS(tbl_Finance[Job Number],C71&amp;"",tbl_Finance[Cost Centre],"INTEGRATION")&gt;0,"INTEGRATION ","")&amp;IF(COUNTIFS(tbl_Finance[Job Number],C71&amp;"",tbl_Finance[Cost Centre],"CONSULTING")&gt;0,"CONSULTING ","")&amp;IF(COUNTIFS(tbl_Finance[Job Number],C71&amp;"",tbl_Finance[Cost Centre],"CTS")&gt;0,"CTS ",""))," ",", ")))</f>
        <v/>
      </c>
      <c r="L71" s="22" t="n"/>
      <c r="M71" s="24" t="n"/>
      <c r="N71" s="25">
        <f>IF(M71="","",IF(AND(LEFT(M71,4)&lt;&gt;"http",set_RMSBase=""),"",HYPERLINK(IF(LEFT(M71,4)="http",M71,set_RMSBase&amp;M71),"Open opportunity")))</f>
        <v/>
      </c>
      <c r="O71" s="25">
        <f>IF(C71="","",C71)</f>
        <v/>
      </c>
      <c r="P71" s="24" t="n"/>
      <c r="Q71" s="26" t="n"/>
      <c r="R71" s="27">
        <f>IF(C71="","",H71+N(Q71))</f>
        <v/>
      </c>
      <c r="S71" s="29">
        <f>IFERROR(Q71/R71,"")</f>
        <v/>
      </c>
      <c r="T71" s="26" t="n"/>
      <c r="U71" s="26" t="n"/>
      <c r="V71" s="27">
        <f>IF(C71="","",N(T71)+N(U71))</f>
        <v/>
      </c>
      <c r="W71" s="27">
        <f>IF(C71="","",H71-V71)</f>
        <v/>
      </c>
      <c r="X71" s="29">
        <f>IFERROR(W71/H71,"")</f>
        <v/>
      </c>
      <c r="Y71" s="64" t="n"/>
      <c r="Z71" s="64" t="n"/>
      <c r="AA71" s="64" t="n"/>
      <c r="AB71" s="64" t="n"/>
      <c r="AC71" s="64" t="n"/>
      <c r="AD71" s="24" t="n"/>
    </row>
    <row r="72" ht="15" customHeight="1">
      <c r="A72" s="63">
        <f>IF(C72="","",IFERROR(IF(SUMPRODUCT(MAX((tbl_Finance[Job Number]=C72&amp;"")*(tbl_Finance[Xero Invoice No]&lt;&gt;"")*tbl_Finance[Date]))=0,"",SUMPRODUCT(MAX((tbl_Finance[Job Number]=C72&amp;"")*(tbl_Finance[Xero Invoice No]&lt;&gt;"")*tbl_Finance[Date]))),""))</f>
        <v/>
      </c>
      <c r="B72" s="25">
        <f>IF(C72="","",IF(COUNTIFS(tbl_Finance[Job Number],C72&amp;"",tbl_Finance[Xero Invoice No],"&lt;&gt;")=0,"",IFERROR(IF(COUNTIFS(tbl_Finance[Job Number],C72&amp;"",tbl_Finance[Xero Invoice No],LOOKUP(2,1/((tbl_Finance[Job Number]=C72&amp;"")*(tbl_Finance[Xero Invoice No]&lt;&gt;"")),tbl_Finance[Xero Invoice No]))=COUNTIFS(tbl_Finance[Job Number],C72&amp;"",tbl_Finance[Xero Invoice No],"&lt;&gt;"),LOOKUP(2,1/((tbl_Finance[Job Number]=C72&amp;"")*(tbl_Finance[Xero Invoice No]&lt;&gt;"")),tbl_Finance[Xero Invoice No]),LOOKUP(2,1/((tbl_Finance[Job Number]=C72&amp;"")*(tbl_Finance[Xero Invoice No]&lt;&gt;"")),tbl_Finance[Xero Invoice No])&amp;" +more"),"")))</f>
        <v/>
      </c>
      <c r="C72" s="24" t="n"/>
      <c r="D72" s="25">
        <f>IF(C72="","",IF(COUNTIF(lst_Jobs,C72&amp;"")&gt;0,"OK","CHECK"))</f>
        <v/>
      </c>
      <c r="E72" s="25">
        <f>IF(C72="","",IFERROR(INDEX(lst_JobName,MATCH(C72&amp;"",lst_Jobs,0)),""))</f>
        <v/>
      </c>
      <c r="F72" s="25">
        <f>IF(C72="","",IFERROR(INDEX(tbl_Finance[Client],MATCH(C72&amp;"",tbl_Finance[Job Number],0)),""))</f>
        <v/>
      </c>
      <c r="G72" s="28">
        <f>IF(C72="","",COUNTIFS(tbl_Finance[Job Number],C72&amp;"",tbl_Finance[Ex GST],"&lt;&gt;"))</f>
        <v/>
      </c>
      <c r="H72" s="27">
        <f>IF(C72="","",SUMIFS(tbl_Finance[Ex GST],tbl_Finance[Job Number],C72&amp;""))</f>
        <v/>
      </c>
      <c r="I72" s="27">
        <f>IF(C72="","",SUMIFS(tbl_Finance[Ex GST],tbl_Finance[Job Number],C72&amp;"",tbl_Finance[Xero Invoice No],"&lt;&gt;"))</f>
        <v/>
      </c>
      <c r="J72" s="27">
        <f>IF(C72="","",H72-I72)</f>
        <v/>
      </c>
      <c r="K72" s="25">
        <f>IF(C72="","",IF(G72=0,"not invoiced yet",SUBSTITUTE(TRIM(IF(COUNTIFS(tbl_Finance[Job Number],C72&amp;"",tbl_Finance[Cost Centre],"ONSITE")&gt;0,"ONSITE ","")&amp;IF(COUNTIFS(tbl_Finance[Job Number],C72&amp;"",tbl_Finance[Cost Centre],"PRODUCTION")&gt;0,"PRODUCTION ","")&amp;IF(COUNTIFS(tbl_Finance[Job Number],C72&amp;"",tbl_Finance[Cost Centre],"VIDEO")&gt;0,"VIDEO ","")&amp;IF(COUNTIFS(tbl_Finance[Job Number],C72&amp;"",tbl_Finance[Cost Centre],"INTEGRATION")&gt;0,"INTEGRATION ","")&amp;IF(COUNTIFS(tbl_Finance[Job Number],C72&amp;"",tbl_Finance[Cost Centre],"CONSULTING")&gt;0,"CONSULTING ","")&amp;IF(COUNTIFS(tbl_Finance[Job Number],C72&amp;"",tbl_Finance[Cost Centre],"CTS")&gt;0,"CTS ",""))," ",", ")))</f>
        <v/>
      </c>
      <c r="L72" s="22" t="n"/>
      <c r="M72" s="24" t="n"/>
      <c r="N72" s="25">
        <f>IF(M72="","",IF(AND(LEFT(M72,4)&lt;&gt;"http",set_RMSBase=""),"",HYPERLINK(IF(LEFT(M72,4)="http",M72,set_RMSBase&amp;M72),"Open opportunity")))</f>
        <v/>
      </c>
      <c r="O72" s="25">
        <f>IF(C72="","",C72)</f>
        <v/>
      </c>
      <c r="P72" s="24" t="n"/>
      <c r="Q72" s="26" t="n"/>
      <c r="R72" s="27">
        <f>IF(C72="","",H72+N(Q72))</f>
        <v/>
      </c>
      <c r="S72" s="29">
        <f>IFERROR(Q72/R72,"")</f>
        <v/>
      </c>
      <c r="T72" s="26" t="n"/>
      <c r="U72" s="26" t="n"/>
      <c r="V72" s="27">
        <f>IF(C72="","",N(T72)+N(U72))</f>
        <v/>
      </c>
      <c r="W72" s="27">
        <f>IF(C72="","",H72-V72)</f>
        <v/>
      </c>
      <c r="X72" s="29">
        <f>IFERROR(W72/H72,"")</f>
        <v/>
      </c>
      <c r="Y72" s="64" t="n"/>
      <c r="Z72" s="64" t="n"/>
      <c r="AA72" s="64" t="n"/>
      <c r="AB72" s="64" t="n"/>
      <c r="AC72" s="64" t="n"/>
      <c r="AD72" s="24" t="n"/>
    </row>
    <row r="73" ht="15" customHeight="1">
      <c r="A73" s="63">
        <f>IF(C73="","",IFERROR(IF(SUMPRODUCT(MAX((tbl_Finance[Job Number]=C73&amp;"")*(tbl_Finance[Xero Invoice No]&lt;&gt;"")*tbl_Finance[Date]))=0,"",SUMPRODUCT(MAX((tbl_Finance[Job Number]=C73&amp;"")*(tbl_Finance[Xero Invoice No]&lt;&gt;"")*tbl_Finance[Date]))),""))</f>
        <v/>
      </c>
      <c r="B73" s="25">
        <f>IF(C73="","",IF(COUNTIFS(tbl_Finance[Job Number],C73&amp;"",tbl_Finance[Xero Invoice No],"&lt;&gt;")=0,"",IFERROR(IF(COUNTIFS(tbl_Finance[Job Number],C73&amp;"",tbl_Finance[Xero Invoice No],LOOKUP(2,1/((tbl_Finance[Job Number]=C73&amp;"")*(tbl_Finance[Xero Invoice No]&lt;&gt;"")),tbl_Finance[Xero Invoice No]))=COUNTIFS(tbl_Finance[Job Number],C73&amp;"",tbl_Finance[Xero Invoice No],"&lt;&gt;"),LOOKUP(2,1/((tbl_Finance[Job Number]=C73&amp;"")*(tbl_Finance[Xero Invoice No]&lt;&gt;"")),tbl_Finance[Xero Invoice No]),LOOKUP(2,1/((tbl_Finance[Job Number]=C73&amp;"")*(tbl_Finance[Xero Invoice No]&lt;&gt;"")),tbl_Finance[Xero Invoice No])&amp;" +more"),"")))</f>
        <v/>
      </c>
      <c r="C73" s="24" t="n"/>
      <c r="D73" s="25">
        <f>IF(C73="","",IF(COUNTIF(lst_Jobs,C73&amp;"")&gt;0,"OK","CHECK"))</f>
        <v/>
      </c>
      <c r="E73" s="25">
        <f>IF(C73="","",IFERROR(INDEX(lst_JobName,MATCH(C73&amp;"",lst_Jobs,0)),""))</f>
        <v/>
      </c>
      <c r="F73" s="25">
        <f>IF(C73="","",IFERROR(INDEX(tbl_Finance[Client],MATCH(C73&amp;"",tbl_Finance[Job Number],0)),""))</f>
        <v/>
      </c>
      <c r="G73" s="28">
        <f>IF(C73="","",COUNTIFS(tbl_Finance[Job Number],C73&amp;"",tbl_Finance[Ex GST],"&lt;&gt;"))</f>
        <v/>
      </c>
      <c r="H73" s="27">
        <f>IF(C73="","",SUMIFS(tbl_Finance[Ex GST],tbl_Finance[Job Number],C73&amp;""))</f>
        <v/>
      </c>
      <c r="I73" s="27">
        <f>IF(C73="","",SUMIFS(tbl_Finance[Ex GST],tbl_Finance[Job Number],C73&amp;"",tbl_Finance[Xero Invoice No],"&lt;&gt;"))</f>
        <v/>
      </c>
      <c r="J73" s="27">
        <f>IF(C73="","",H73-I73)</f>
        <v/>
      </c>
      <c r="K73" s="25">
        <f>IF(C73="","",IF(G73=0,"not invoiced yet",SUBSTITUTE(TRIM(IF(COUNTIFS(tbl_Finance[Job Number],C73&amp;"",tbl_Finance[Cost Centre],"ONSITE")&gt;0,"ONSITE ","")&amp;IF(COUNTIFS(tbl_Finance[Job Number],C73&amp;"",tbl_Finance[Cost Centre],"PRODUCTION")&gt;0,"PRODUCTION ","")&amp;IF(COUNTIFS(tbl_Finance[Job Number],C73&amp;"",tbl_Finance[Cost Centre],"VIDEO")&gt;0,"VIDEO ","")&amp;IF(COUNTIFS(tbl_Finance[Job Number],C73&amp;"",tbl_Finance[Cost Centre],"INTEGRATION")&gt;0,"INTEGRATION ","")&amp;IF(COUNTIFS(tbl_Finance[Job Number],C73&amp;"",tbl_Finance[Cost Centre],"CONSULTING")&gt;0,"CONSULTING ","")&amp;IF(COUNTIFS(tbl_Finance[Job Number],C73&amp;"",tbl_Finance[Cost Centre],"CTS")&gt;0,"CTS ",""))," ",", ")))</f>
        <v/>
      </c>
      <c r="L73" s="22" t="n"/>
      <c r="M73" s="24" t="n"/>
      <c r="N73" s="25">
        <f>IF(M73="","",IF(AND(LEFT(M73,4)&lt;&gt;"http",set_RMSBase=""),"",HYPERLINK(IF(LEFT(M73,4)="http",M73,set_RMSBase&amp;M73),"Open opportunity")))</f>
        <v/>
      </c>
      <c r="O73" s="25">
        <f>IF(C73="","",C73)</f>
        <v/>
      </c>
      <c r="P73" s="24" t="n"/>
      <c r="Q73" s="26" t="n"/>
      <c r="R73" s="27">
        <f>IF(C73="","",H73+N(Q73))</f>
        <v/>
      </c>
      <c r="S73" s="29">
        <f>IFERROR(Q73/R73,"")</f>
        <v/>
      </c>
      <c r="T73" s="26" t="n"/>
      <c r="U73" s="26" t="n"/>
      <c r="V73" s="27">
        <f>IF(C73="","",N(T73)+N(U73))</f>
        <v/>
      </c>
      <c r="W73" s="27">
        <f>IF(C73="","",H73-V73)</f>
        <v/>
      </c>
      <c r="X73" s="29">
        <f>IFERROR(W73/H73,"")</f>
        <v/>
      </c>
      <c r="Y73" s="64" t="n"/>
      <c r="Z73" s="64" t="n"/>
      <c r="AA73" s="64" t="n"/>
      <c r="AB73" s="64" t="n"/>
      <c r="AC73" s="64" t="n"/>
      <c r="AD73" s="24" t="n"/>
    </row>
    <row r="74" ht="15" customHeight="1">
      <c r="A74" s="63">
        <f>IF(C74="","",IFERROR(IF(SUMPRODUCT(MAX((tbl_Finance[Job Number]=C74&amp;"")*(tbl_Finance[Xero Invoice No]&lt;&gt;"")*tbl_Finance[Date]))=0,"",SUMPRODUCT(MAX((tbl_Finance[Job Number]=C74&amp;"")*(tbl_Finance[Xero Invoice No]&lt;&gt;"")*tbl_Finance[Date]))),""))</f>
        <v/>
      </c>
      <c r="B74" s="25">
        <f>IF(C74="","",IF(COUNTIFS(tbl_Finance[Job Number],C74&amp;"",tbl_Finance[Xero Invoice No],"&lt;&gt;")=0,"",IFERROR(IF(COUNTIFS(tbl_Finance[Job Number],C74&amp;"",tbl_Finance[Xero Invoice No],LOOKUP(2,1/((tbl_Finance[Job Number]=C74&amp;"")*(tbl_Finance[Xero Invoice No]&lt;&gt;"")),tbl_Finance[Xero Invoice No]))=COUNTIFS(tbl_Finance[Job Number],C74&amp;"",tbl_Finance[Xero Invoice No],"&lt;&gt;"),LOOKUP(2,1/((tbl_Finance[Job Number]=C74&amp;"")*(tbl_Finance[Xero Invoice No]&lt;&gt;"")),tbl_Finance[Xero Invoice No]),LOOKUP(2,1/((tbl_Finance[Job Number]=C74&amp;"")*(tbl_Finance[Xero Invoice No]&lt;&gt;"")),tbl_Finance[Xero Invoice No])&amp;" +more"),"")))</f>
        <v/>
      </c>
      <c r="C74" s="24" t="n"/>
      <c r="D74" s="25">
        <f>IF(C74="","",IF(COUNTIF(lst_Jobs,C74&amp;"")&gt;0,"OK","CHECK"))</f>
        <v/>
      </c>
      <c r="E74" s="25">
        <f>IF(C74="","",IFERROR(INDEX(lst_JobName,MATCH(C74&amp;"",lst_Jobs,0)),""))</f>
        <v/>
      </c>
      <c r="F74" s="25">
        <f>IF(C74="","",IFERROR(INDEX(tbl_Finance[Client],MATCH(C74&amp;"",tbl_Finance[Job Number],0)),""))</f>
        <v/>
      </c>
      <c r="G74" s="28">
        <f>IF(C74="","",COUNTIFS(tbl_Finance[Job Number],C74&amp;"",tbl_Finance[Ex GST],"&lt;&gt;"))</f>
        <v/>
      </c>
      <c r="H74" s="27">
        <f>IF(C74="","",SUMIFS(tbl_Finance[Ex GST],tbl_Finance[Job Number],C74&amp;""))</f>
        <v/>
      </c>
      <c r="I74" s="27">
        <f>IF(C74="","",SUMIFS(tbl_Finance[Ex GST],tbl_Finance[Job Number],C74&amp;"",tbl_Finance[Xero Invoice No],"&lt;&gt;"))</f>
        <v/>
      </c>
      <c r="J74" s="27">
        <f>IF(C74="","",H74-I74)</f>
        <v/>
      </c>
      <c r="K74" s="25">
        <f>IF(C74="","",IF(G74=0,"not invoiced yet",SUBSTITUTE(TRIM(IF(COUNTIFS(tbl_Finance[Job Number],C74&amp;"",tbl_Finance[Cost Centre],"ONSITE")&gt;0,"ONSITE ","")&amp;IF(COUNTIFS(tbl_Finance[Job Number],C74&amp;"",tbl_Finance[Cost Centre],"PRODUCTION")&gt;0,"PRODUCTION ","")&amp;IF(COUNTIFS(tbl_Finance[Job Number],C74&amp;"",tbl_Finance[Cost Centre],"VIDEO")&gt;0,"VIDEO ","")&amp;IF(COUNTIFS(tbl_Finance[Job Number],C74&amp;"",tbl_Finance[Cost Centre],"INTEGRATION")&gt;0,"INTEGRATION ","")&amp;IF(COUNTIFS(tbl_Finance[Job Number],C74&amp;"",tbl_Finance[Cost Centre],"CONSULTING")&gt;0,"CONSULTING ","")&amp;IF(COUNTIFS(tbl_Finance[Job Number],C74&amp;"",tbl_Finance[Cost Centre],"CTS")&gt;0,"CTS ",""))," ",", ")))</f>
        <v/>
      </c>
      <c r="L74" s="22" t="n"/>
      <c r="M74" s="24" t="n"/>
      <c r="N74" s="25">
        <f>IF(M74="","",IF(AND(LEFT(M74,4)&lt;&gt;"http",set_RMSBase=""),"",HYPERLINK(IF(LEFT(M74,4)="http",M74,set_RMSBase&amp;M74),"Open opportunity")))</f>
        <v/>
      </c>
      <c r="O74" s="25">
        <f>IF(C74="","",C74)</f>
        <v/>
      </c>
      <c r="P74" s="24" t="n"/>
      <c r="Q74" s="26" t="n"/>
      <c r="R74" s="27">
        <f>IF(C74="","",H74+N(Q74))</f>
        <v/>
      </c>
      <c r="S74" s="29">
        <f>IFERROR(Q74/R74,"")</f>
        <v/>
      </c>
      <c r="T74" s="26" t="n"/>
      <c r="U74" s="26" t="n"/>
      <c r="V74" s="27">
        <f>IF(C74="","",N(T74)+N(U74))</f>
        <v/>
      </c>
      <c r="W74" s="27">
        <f>IF(C74="","",H74-V74)</f>
        <v/>
      </c>
      <c r="X74" s="29">
        <f>IFERROR(W74/H74,"")</f>
        <v/>
      </c>
      <c r="Y74" s="64" t="n"/>
      <c r="Z74" s="64" t="n"/>
      <c r="AA74" s="64" t="n"/>
      <c r="AB74" s="64" t="n"/>
      <c r="AC74" s="64" t="n"/>
      <c r="AD74" s="24" t="n"/>
    </row>
    <row r="75" ht="15" customHeight="1">
      <c r="A75" s="63">
        <f>IF(C75="","",IFERROR(IF(SUMPRODUCT(MAX((tbl_Finance[Job Number]=C75&amp;"")*(tbl_Finance[Xero Invoice No]&lt;&gt;"")*tbl_Finance[Date]))=0,"",SUMPRODUCT(MAX((tbl_Finance[Job Number]=C75&amp;"")*(tbl_Finance[Xero Invoice No]&lt;&gt;"")*tbl_Finance[Date]))),""))</f>
        <v/>
      </c>
      <c r="B75" s="25">
        <f>IF(C75="","",IF(COUNTIFS(tbl_Finance[Job Number],C75&amp;"",tbl_Finance[Xero Invoice No],"&lt;&gt;")=0,"",IFERROR(IF(COUNTIFS(tbl_Finance[Job Number],C75&amp;"",tbl_Finance[Xero Invoice No],LOOKUP(2,1/((tbl_Finance[Job Number]=C75&amp;"")*(tbl_Finance[Xero Invoice No]&lt;&gt;"")),tbl_Finance[Xero Invoice No]))=COUNTIFS(tbl_Finance[Job Number],C75&amp;"",tbl_Finance[Xero Invoice No],"&lt;&gt;"),LOOKUP(2,1/((tbl_Finance[Job Number]=C75&amp;"")*(tbl_Finance[Xero Invoice No]&lt;&gt;"")),tbl_Finance[Xero Invoice No]),LOOKUP(2,1/((tbl_Finance[Job Number]=C75&amp;"")*(tbl_Finance[Xero Invoice No]&lt;&gt;"")),tbl_Finance[Xero Invoice No])&amp;" +more"),"")))</f>
        <v/>
      </c>
      <c r="C75" s="24" t="n"/>
      <c r="D75" s="25">
        <f>IF(C75="","",IF(COUNTIF(lst_Jobs,C75&amp;"")&gt;0,"OK","CHECK"))</f>
        <v/>
      </c>
      <c r="E75" s="25">
        <f>IF(C75="","",IFERROR(INDEX(lst_JobName,MATCH(C75&amp;"",lst_Jobs,0)),""))</f>
        <v/>
      </c>
      <c r="F75" s="25">
        <f>IF(C75="","",IFERROR(INDEX(tbl_Finance[Client],MATCH(C75&amp;"",tbl_Finance[Job Number],0)),""))</f>
        <v/>
      </c>
      <c r="G75" s="28">
        <f>IF(C75="","",COUNTIFS(tbl_Finance[Job Number],C75&amp;"",tbl_Finance[Ex GST],"&lt;&gt;"))</f>
        <v/>
      </c>
      <c r="H75" s="27">
        <f>IF(C75="","",SUMIFS(tbl_Finance[Ex GST],tbl_Finance[Job Number],C75&amp;""))</f>
        <v/>
      </c>
      <c r="I75" s="27">
        <f>IF(C75="","",SUMIFS(tbl_Finance[Ex GST],tbl_Finance[Job Number],C75&amp;"",tbl_Finance[Xero Invoice No],"&lt;&gt;"))</f>
        <v/>
      </c>
      <c r="J75" s="27">
        <f>IF(C75="","",H75-I75)</f>
        <v/>
      </c>
      <c r="K75" s="25">
        <f>IF(C75="","",IF(G75=0,"not invoiced yet",SUBSTITUTE(TRIM(IF(COUNTIFS(tbl_Finance[Job Number],C75&amp;"",tbl_Finance[Cost Centre],"ONSITE")&gt;0,"ONSITE ","")&amp;IF(COUNTIFS(tbl_Finance[Job Number],C75&amp;"",tbl_Finance[Cost Centre],"PRODUCTION")&gt;0,"PRODUCTION ","")&amp;IF(COUNTIFS(tbl_Finance[Job Number],C75&amp;"",tbl_Finance[Cost Centre],"VIDEO")&gt;0,"VIDEO ","")&amp;IF(COUNTIFS(tbl_Finance[Job Number],C75&amp;"",tbl_Finance[Cost Centre],"INTEGRATION")&gt;0,"INTEGRATION ","")&amp;IF(COUNTIFS(tbl_Finance[Job Number],C75&amp;"",tbl_Finance[Cost Centre],"CONSULTING")&gt;0,"CONSULTING ","")&amp;IF(COUNTIFS(tbl_Finance[Job Number],C75&amp;"",tbl_Finance[Cost Centre],"CTS")&gt;0,"CTS ",""))," ",", ")))</f>
        <v/>
      </c>
      <c r="L75" s="22" t="n"/>
      <c r="M75" s="24" t="n"/>
      <c r="N75" s="25">
        <f>IF(M75="","",IF(AND(LEFT(M75,4)&lt;&gt;"http",set_RMSBase=""),"",HYPERLINK(IF(LEFT(M75,4)="http",M75,set_RMSBase&amp;M75),"Open opportunity")))</f>
        <v/>
      </c>
      <c r="O75" s="25">
        <f>IF(C75="","",C75)</f>
        <v/>
      </c>
      <c r="P75" s="24" t="n"/>
      <c r="Q75" s="26" t="n"/>
      <c r="R75" s="27">
        <f>IF(C75="","",H75+N(Q75))</f>
        <v/>
      </c>
      <c r="S75" s="29">
        <f>IFERROR(Q75/R75,"")</f>
        <v/>
      </c>
      <c r="T75" s="26" t="n"/>
      <c r="U75" s="26" t="n"/>
      <c r="V75" s="27">
        <f>IF(C75="","",N(T75)+N(U75))</f>
        <v/>
      </c>
      <c r="W75" s="27">
        <f>IF(C75="","",H75-V75)</f>
        <v/>
      </c>
      <c r="X75" s="29">
        <f>IFERROR(W75/H75,"")</f>
        <v/>
      </c>
      <c r="Y75" s="64" t="n"/>
      <c r="Z75" s="64" t="n"/>
      <c r="AA75" s="64" t="n"/>
      <c r="AB75" s="64" t="n"/>
      <c r="AC75" s="64" t="n"/>
      <c r="AD75" s="24" t="n"/>
    </row>
    <row r="76" ht="15" customHeight="1">
      <c r="A76" s="63">
        <f>IF(C76="","",IFERROR(IF(SUMPRODUCT(MAX((tbl_Finance[Job Number]=C76&amp;"")*(tbl_Finance[Xero Invoice No]&lt;&gt;"")*tbl_Finance[Date]))=0,"",SUMPRODUCT(MAX((tbl_Finance[Job Number]=C76&amp;"")*(tbl_Finance[Xero Invoice No]&lt;&gt;"")*tbl_Finance[Date]))),""))</f>
        <v/>
      </c>
      <c r="B76" s="25">
        <f>IF(C76="","",IF(COUNTIFS(tbl_Finance[Job Number],C76&amp;"",tbl_Finance[Xero Invoice No],"&lt;&gt;")=0,"",IFERROR(IF(COUNTIFS(tbl_Finance[Job Number],C76&amp;"",tbl_Finance[Xero Invoice No],LOOKUP(2,1/((tbl_Finance[Job Number]=C76&amp;"")*(tbl_Finance[Xero Invoice No]&lt;&gt;"")),tbl_Finance[Xero Invoice No]))=COUNTIFS(tbl_Finance[Job Number],C76&amp;"",tbl_Finance[Xero Invoice No],"&lt;&gt;"),LOOKUP(2,1/((tbl_Finance[Job Number]=C76&amp;"")*(tbl_Finance[Xero Invoice No]&lt;&gt;"")),tbl_Finance[Xero Invoice No]),LOOKUP(2,1/((tbl_Finance[Job Number]=C76&amp;"")*(tbl_Finance[Xero Invoice No]&lt;&gt;"")),tbl_Finance[Xero Invoice No])&amp;" +more"),"")))</f>
        <v/>
      </c>
      <c r="C76" s="24" t="n"/>
      <c r="D76" s="25">
        <f>IF(C76="","",IF(COUNTIF(lst_Jobs,C76&amp;"")&gt;0,"OK","CHECK"))</f>
        <v/>
      </c>
      <c r="E76" s="25">
        <f>IF(C76="","",IFERROR(INDEX(lst_JobName,MATCH(C76&amp;"",lst_Jobs,0)),""))</f>
        <v/>
      </c>
      <c r="F76" s="25">
        <f>IF(C76="","",IFERROR(INDEX(tbl_Finance[Client],MATCH(C76&amp;"",tbl_Finance[Job Number],0)),""))</f>
        <v/>
      </c>
      <c r="G76" s="28">
        <f>IF(C76="","",COUNTIFS(tbl_Finance[Job Number],C76&amp;"",tbl_Finance[Ex GST],"&lt;&gt;"))</f>
        <v/>
      </c>
      <c r="H76" s="27">
        <f>IF(C76="","",SUMIFS(tbl_Finance[Ex GST],tbl_Finance[Job Number],C76&amp;""))</f>
        <v/>
      </c>
      <c r="I76" s="27">
        <f>IF(C76="","",SUMIFS(tbl_Finance[Ex GST],tbl_Finance[Job Number],C76&amp;"",tbl_Finance[Xero Invoice No],"&lt;&gt;"))</f>
        <v/>
      </c>
      <c r="J76" s="27">
        <f>IF(C76="","",H76-I76)</f>
        <v/>
      </c>
      <c r="K76" s="25">
        <f>IF(C76="","",IF(G76=0,"not invoiced yet",SUBSTITUTE(TRIM(IF(COUNTIFS(tbl_Finance[Job Number],C76&amp;"",tbl_Finance[Cost Centre],"ONSITE")&gt;0,"ONSITE ","")&amp;IF(COUNTIFS(tbl_Finance[Job Number],C76&amp;"",tbl_Finance[Cost Centre],"PRODUCTION")&gt;0,"PRODUCTION ","")&amp;IF(COUNTIFS(tbl_Finance[Job Number],C76&amp;"",tbl_Finance[Cost Centre],"VIDEO")&gt;0,"VIDEO ","")&amp;IF(COUNTIFS(tbl_Finance[Job Number],C76&amp;"",tbl_Finance[Cost Centre],"INTEGRATION")&gt;0,"INTEGRATION ","")&amp;IF(COUNTIFS(tbl_Finance[Job Number],C76&amp;"",tbl_Finance[Cost Centre],"CONSULTING")&gt;0,"CONSULTING ","")&amp;IF(COUNTIFS(tbl_Finance[Job Number],C76&amp;"",tbl_Finance[Cost Centre],"CTS")&gt;0,"CTS ",""))," ",", ")))</f>
        <v/>
      </c>
      <c r="L76" s="22" t="n"/>
      <c r="M76" s="24" t="n"/>
      <c r="N76" s="25">
        <f>IF(M76="","",IF(AND(LEFT(M76,4)&lt;&gt;"http",set_RMSBase=""),"",HYPERLINK(IF(LEFT(M76,4)="http",M76,set_RMSBase&amp;M76),"Open opportunity")))</f>
        <v/>
      </c>
      <c r="O76" s="25">
        <f>IF(C76="","",C76)</f>
        <v/>
      </c>
      <c r="P76" s="24" t="n"/>
      <c r="Q76" s="26" t="n"/>
      <c r="R76" s="27">
        <f>IF(C76="","",H76+N(Q76))</f>
        <v/>
      </c>
      <c r="S76" s="29">
        <f>IFERROR(Q76/R76,"")</f>
        <v/>
      </c>
      <c r="T76" s="26" t="n"/>
      <c r="U76" s="26" t="n"/>
      <c r="V76" s="27">
        <f>IF(C76="","",N(T76)+N(U76))</f>
        <v/>
      </c>
      <c r="W76" s="27">
        <f>IF(C76="","",H76-V76)</f>
        <v/>
      </c>
      <c r="X76" s="29">
        <f>IFERROR(W76/H76,"")</f>
        <v/>
      </c>
      <c r="Y76" s="64" t="n"/>
      <c r="Z76" s="64" t="n"/>
      <c r="AA76" s="64" t="n"/>
      <c r="AB76" s="64" t="n"/>
      <c r="AC76" s="64" t="n"/>
      <c r="AD76" s="24" t="n"/>
    </row>
    <row r="77" ht="15" customHeight="1">
      <c r="A77" s="63">
        <f>IF(C77="","",IFERROR(IF(SUMPRODUCT(MAX((tbl_Finance[Job Number]=C77&amp;"")*(tbl_Finance[Xero Invoice No]&lt;&gt;"")*tbl_Finance[Date]))=0,"",SUMPRODUCT(MAX((tbl_Finance[Job Number]=C77&amp;"")*(tbl_Finance[Xero Invoice No]&lt;&gt;"")*tbl_Finance[Date]))),""))</f>
        <v/>
      </c>
      <c r="B77" s="25">
        <f>IF(C77="","",IF(COUNTIFS(tbl_Finance[Job Number],C77&amp;"",tbl_Finance[Xero Invoice No],"&lt;&gt;")=0,"",IFERROR(IF(COUNTIFS(tbl_Finance[Job Number],C77&amp;"",tbl_Finance[Xero Invoice No],LOOKUP(2,1/((tbl_Finance[Job Number]=C77&amp;"")*(tbl_Finance[Xero Invoice No]&lt;&gt;"")),tbl_Finance[Xero Invoice No]))=COUNTIFS(tbl_Finance[Job Number],C77&amp;"",tbl_Finance[Xero Invoice No],"&lt;&gt;"),LOOKUP(2,1/((tbl_Finance[Job Number]=C77&amp;"")*(tbl_Finance[Xero Invoice No]&lt;&gt;"")),tbl_Finance[Xero Invoice No]),LOOKUP(2,1/((tbl_Finance[Job Number]=C77&amp;"")*(tbl_Finance[Xero Invoice No]&lt;&gt;"")),tbl_Finance[Xero Invoice No])&amp;" +more"),"")))</f>
        <v/>
      </c>
      <c r="C77" s="24" t="n"/>
      <c r="D77" s="25">
        <f>IF(C77="","",IF(COUNTIF(lst_Jobs,C77&amp;"")&gt;0,"OK","CHECK"))</f>
        <v/>
      </c>
      <c r="E77" s="25">
        <f>IF(C77="","",IFERROR(INDEX(lst_JobName,MATCH(C77&amp;"",lst_Jobs,0)),""))</f>
        <v/>
      </c>
      <c r="F77" s="25">
        <f>IF(C77="","",IFERROR(INDEX(tbl_Finance[Client],MATCH(C77&amp;"",tbl_Finance[Job Number],0)),""))</f>
        <v/>
      </c>
      <c r="G77" s="28">
        <f>IF(C77="","",COUNTIFS(tbl_Finance[Job Number],C77&amp;"",tbl_Finance[Ex GST],"&lt;&gt;"))</f>
        <v/>
      </c>
      <c r="H77" s="27">
        <f>IF(C77="","",SUMIFS(tbl_Finance[Ex GST],tbl_Finance[Job Number],C77&amp;""))</f>
        <v/>
      </c>
      <c r="I77" s="27">
        <f>IF(C77="","",SUMIFS(tbl_Finance[Ex GST],tbl_Finance[Job Number],C77&amp;"",tbl_Finance[Xero Invoice No],"&lt;&gt;"))</f>
        <v/>
      </c>
      <c r="J77" s="27">
        <f>IF(C77="","",H77-I77)</f>
        <v/>
      </c>
      <c r="K77" s="25">
        <f>IF(C77="","",IF(G77=0,"not invoiced yet",SUBSTITUTE(TRIM(IF(COUNTIFS(tbl_Finance[Job Number],C77&amp;"",tbl_Finance[Cost Centre],"ONSITE")&gt;0,"ONSITE ","")&amp;IF(COUNTIFS(tbl_Finance[Job Number],C77&amp;"",tbl_Finance[Cost Centre],"PRODUCTION")&gt;0,"PRODUCTION ","")&amp;IF(COUNTIFS(tbl_Finance[Job Number],C77&amp;"",tbl_Finance[Cost Centre],"VIDEO")&gt;0,"VIDEO ","")&amp;IF(COUNTIFS(tbl_Finance[Job Number],C77&amp;"",tbl_Finance[Cost Centre],"INTEGRATION")&gt;0,"INTEGRATION ","")&amp;IF(COUNTIFS(tbl_Finance[Job Number],C77&amp;"",tbl_Finance[Cost Centre],"CONSULTING")&gt;0,"CONSULTING ","")&amp;IF(COUNTIFS(tbl_Finance[Job Number],C77&amp;"",tbl_Finance[Cost Centre],"CTS")&gt;0,"CTS ",""))," ",", ")))</f>
        <v/>
      </c>
      <c r="L77" s="22" t="n"/>
      <c r="M77" s="24" t="n"/>
      <c r="N77" s="25">
        <f>IF(M77="","",IF(AND(LEFT(M77,4)&lt;&gt;"http",set_RMSBase=""),"",HYPERLINK(IF(LEFT(M77,4)="http",M77,set_RMSBase&amp;M77),"Open opportunity")))</f>
        <v/>
      </c>
      <c r="O77" s="25">
        <f>IF(C77="","",C77)</f>
        <v/>
      </c>
      <c r="P77" s="24" t="n"/>
      <c r="Q77" s="26" t="n"/>
      <c r="R77" s="27">
        <f>IF(C77="","",H77+N(Q77))</f>
        <v/>
      </c>
      <c r="S77" s="29">
        <f>IFERROR(Q77/R77,"")</f>
        <v/>
      </c>
      <c r="T77" s="26" t="n"/>
      <c r="U77" s="26" t="n"/>
      <c r="V77" s="27">
        <f>IF(C77="","",N(T77)+N(U77))</f>
        <v/>
      </c>
      <c r="W77" s="27">
        <f>IF(C77="","",H77-V77)</f>
        <v/>
      </c>
      <c r="X77" s="29">
        <f>IFERROR(W77/H77,"")</f>
        <v/>
      </c>
      <c r="Y77" s="64" t="n"/>
      <c r="Z77" s="64" t="n"/>
      <c r="AA77" s="64" t="n"/>
      <c r="AB77" s="64" t="n"/>
      <c r="AC77" s="64" t="n"/>
      <c r="AD77" s="24" t="n"/>
    </row>
    <row r="78" ht="15" customHeight="1">
      <c r="A78" s="63">
        <f>IF(C78="","",IFERROR(IF(SUMPRODUCT(MAX((tbl_Finance[Job Number]=C78&amp;"")*(tbl_Finance[Xero Invoice No]&lt;&gt;"")*tbl_Finance[Date]))=0,"",SUMPRODUCT(MAX((tbl_Finance[Job Number]=C78&amp;"")*(tbl_Finance[Xero Invoice No]&lt;&gt;"")*tbl_Finance[Date]))),""))</f>
        <v/>
      </c>
      <c r="B78" s="25">
        <f>IF(C78="","",IF(COUNTIFS(tbl_Finance[Job Number],C78&amp;"",tbl_Finance[Xero Invoice No],"&lt;&gt;")=0,"",IFERROR(IF(COUNTIFS(tbl_Finance[Job Number],C78&amp;"",tbl_Finance[Xero Invoice No],LOOKUP(2,1/((tbl_Finance[Job Number]=C78&amp;"")*(tbl_Finance[Xero Invoice No]&lt;&gt;"")),tbl_Finance[Xero Invoice No]))=COUNTIFS(tbl_Finance[Job Number],C78&amp;"",tbl_Finance[Xero Invoice No],"&lt;&gt;"),LOOKUP(2,1/((tbl_Finance[Job Number]=C78&amp;"")*(tbl_Finance[Xero Invoice No]&lt;&gt;"")),tbl_Finance[Xero Invoice No]),LOOKUP(2,1/((tbl_Finance[Job Number]=C78&amp;"")*(tbl_Finance[Xero Invoice No]&lt;&gt;"")),tbl_Finance[Xero Invoice No])&amp;" +more"),"")))</f>
        <v/>
      </c>
      <c r="C78" s="24" t="n"/>
      <c r="D78" s="25">
        <f>IF(C78="","",IF(COUNTIF(lst_Jobs,C78&amp;"")&gt;0,"OK","CHECK"))</f>
        <v/>
      </c>
      <c r="E78" s="25">
        <f>IF(C78="","",IFERROR(INDEX(lst_JobName,MATCH(C78&amp;"",lst_Jobs,0)),""))</f>
        <v/>
      </c>
      <c r="F78" s="25">
        <f>IF(C78="","",IFERROR(INDEX(tbl_Finance[Client],MATCH(C78&amp;"",tbl_Finance[Job Number],0)),""))</f>
        <v/>
      </c>
      <c r="G78" s="28">
        <f>IF(C78="","",COUNTIFS(tbl_Finance[Job Number],C78&amp;"",tbl_Finance[Ex GST],"&lt;&gt;"))</f>
        <v/>
      </c>
      <c r="H78" s="27">
        <f>IF(C78="","",SUMIFS(tbl_Finance[Ex GST],tbl_Finance[Job Number],C78&amp;""))</f>
        <v/>
      </c>
      <c r="I78" s="27">
        <f>IF(C78="","",SUMIFS(tbl_Finance[Ex GST],tbl_Finance[Job Number],C78&amp;"",tbl_Finance[Xero Invoice No],"&lt;&gt;"))</f>
        <v/>
      </c>
      <c r="J78" s="27">
        <f>IF(C78="","",H78-I78)</f>
        <v/>
      </c>
      <c r="K78" s="25">
        <f>IF(C78="","",IF(G78=0,"not invoiced yet",SUBSTITUTE(TRIM(IF(COUNTIFS(tbl_Finance[Job Number],C78&amp;"",tbl_Finance[Cost Centre],"ONSITE")&gt;0,"ONSITE ","")&amp;IF(COUNTIFS(tbl_Finance[Job Number],C78&amp;"",tbl_Finance[Cost Centre],"PRODUCTION")&gt;0,"PRODUCTION ","")&amp;IF(COUNTIFS(tbl_Finance[Job Number],C78&amp;"",tbl_Finance[Cost Centre],"VIDEO")&gt;0,"VIDEO ","")&amp;IF(COUNTIFS(tbl_Finance[Job Number],C78&amp;"",tbl_Finance[Cost Centre],"INTEGRATION")&gt;0,"INTEGRATION ","")&amp;IF(COUNTIFS(tbl_Finance[Job Number],C78&amp;"",tbl_Finance[Cost Centre],"CONSULTING")&gt;0,"CONSULTING ","")&amp;IF(COUNTIFS(tbl_Finance[Job Number],C78&amp;"",tbl_Finance[Cost Centre],"CTS")&gt;0,"CTS ",""))," ",", ")))</f>
        <v/>
      </c>
      <c r="L78" s="22" t="n"/>
      <c r="M78" s="24" t="n"/>
      <c r="N78" s="25">
        <f>IF(M78="","",IF(AND(LEFT(M78,4)&lt;&gt;"http",set_RMSBase=""),"",HYPERLINK(IF(LEFT(M78,4)="http",M78,set_RMSBase&amp;M78),"Open opportunity")))</f>
        <v/>
      </c>
      <c r="O78" s="25">
        <f>IF(C78="","",C78)</f>
        <v/>
      </c>
      <c r="P78" s="24" t="n"/>
      <c r="Q78" s="26" t="n"/>
      <c r="R78" s="27">
        <f>IF(C78="","",H78+N(Q78))</f>
        <v/>
      </c>
      <c r="S78" s="29">
        <f>IFERROR(Q78/R78,"")</f>
        <v/>
      </c>
      <c r="T78" s="26" t="n"/>
      <c r="U78" s="26" t="n"/>
      <c r="V78" s="27">
        <f>IF(C78="","",N(T78)+N(U78))</f>
        <v/>
      </c>
      <c r="W78" s="27">
        <f>IF(C78="","",H78-V78)</f>
        <v/>
      </c>
      <c r="X78" s="29">
        <f>IFERROR(W78/H78,"")</f>
        <v/>
      </c>
      <c r="Y78" s="64" t="n"/>
      <c r="Z78" s="64" t="n"/>
      <c r="AA78" s="64" t="n"/>
      <c r="AB78" s="64" t="n"/>
      <c r="AC78" s="64" t="n"/>
      <c r="AD78" s="24" t="n"/>
    </row>
    <row r="79" ht="15" customHeight="1">
      <c r="A79" s="63">
        <f>IF(C79="","",IFERROR(IF(SUMPRODUCT(MAX((tbl_Finance[Job Number]=C79&amp;"")*(tbl_Finance[Xero Invoice No]&lt;&gt;"")*tbl_Finance[Date]))=0,"",SUMPRODUCT(MAX((tbl_Finance[Job Number]=C79&amp;"")*(tbl_Finance[Xero Invoice No]&lt;&gt;"")*tbl_Finance[Date]))),""))</f>
        <v/>
      </c>
      <c r="B79" s="25">
        <f>IF(C79="","",IF(COUNTIFS(tbl_Finance[Job Number],C79&amp;"",tbl_Finance[Xero Invoice No],"&lt;&gt;")=0,"",IFERROR(IF(COUNTIFS(tbl_Finance[Job Number],C79&amp;"",tbl_Finance[Xero Invoice No],LOOKUP(2,1/((tbl_Finance[Job Number]=C79&amp;"")*(tbl_Finance[Xero Invoice No]&lt;&gt;"")),tbl_Finance[Xero Invoice No]))=COUNTIFS(tbl_Finance[Job Number],C79&amp;"",tbl_Finance[Xero Invoice No],"&lt;&gt;"),LOOKUP(2,1/((tbl_Finance[Job Number]=C79&amp;"")*(tbl_Finance[Xero Invoice No]&lt;&gt;"")),tbl_Finance[Xero Invoice No]),LOOKUP(2,1/((tbl_Finance[Job Number]=C79&amp;"")*(tbl_Finance[Xero Invoice No]&lt;&gt;"")),tbl_Finance[Xero Invoice No])&amp;" +more"),"")))</f>
        <v/>
      </c>
      <c r="C79" s="24" t="n"/>
      <c r="D79" s="25">
        <f>IF(C79="","",IF(COUNTIF(lst_Jobs,C79&amp;"")&gt;0,"OK","CHECK"))</f>
        <v/>
      </c>
      <c r="E79" s="25">
        <f>IF(C79="","",IFERROR(INDEX(lst_JobName,MATCH(C79&amp;"",lst_Jobs,0)),""))</f>
        <v/>
      </c>
      <c r="F79" s="25">
        <f>IF(C79="","",IFERROR(INDEX(tbl_Finance[Client],MATCH(C79&amp;"",tbl_Finance[Job Number],0)),""))</f>
        <v/>
      </c>
      <c r="G79" s="28">
        <f>IF(C79="","",COUNTIFS(tbl_Finance[Job Number],C79&amp;"",tbl_Finance[Ex GST],"&lt;&gt;"))</f>
        <v/>
      </c>
      <c r="H79" s="27">
        <f>IF(C79="","",SUMIFS(tbl_Finance[Ex GST],tbl_Finance[Job Number],C79&amp;""))</f>
        <v/>
      </c>
      <c r="I79" s="27">
        <f>IF(C79="","",SUMIFS(tbl_Finance[Ex GST],tbl_Finance[Job Number],C79&amp;"",tbl_Finance[Xero Invoice No],"&lt;&gt;"))</f>
        <v/>
      </c>
      <c r="J79" s="27">
        <f>IF(C79="","",H79-I79)</f>
        <v/>
      </c>
      <c r="K79" s="25">
        <f>IF(C79="","",IF(G79=0,"not invoiced yet",SUBSTITUTE(TRIM(IF(COUNTIFS(tbl_Finance[Job Number],C79&amp;"",tbl_Finance[Cost Centre],"ONSITE")&gt;0,"ONSITE ","")&amp;IF(COUNTIFS(tbl_Finance[Job Number],C79&amp;"",tbl_Finance[Cost Centre],"PRODUCTION")&gt;0,"PRODUCTION ","")&amp;IF(COUNTIFS(tbl_Finance[Job Number],C79&amp;"",tbl_Finance[Cost Centre],"VIDEO")&gt;0,"VIDEO ","")&amp;IF(COUNTIFS(tbl_Finance[Job Number],C79&amp;"",tbl_Finance[Cost Centre],"INTEGRATION")&gt;0,"INTEGRATION ","")&amp;IF(COUNTIFS(tbl_Finance[Job Number],C79&amp;"",tbl_Finance[Cost Centre],"CONSULTING")&gt;0,"CONSULTING ","")&amp;IF(COUNTIFS(tbl_Finance[Job Number],C79&amp;"",tbl_Finance[Cost Centre],"CTS")&gt;0,"CTS ",""))," ",", ")))</f>
        <v/>
      </c>
      <c r="L79" s="22" t="n"/>
      <c r="M79" s="24" t="n"/>
      <c r="N79" s="25">
        <f>IF(M79="","",IF(AND(LEFT(M79,4)&lt;&gt;"http",set_RMSBase=""),"",HYPERLINK(IF(LEFT(M79,4)="http",M79,set_RMSBase&amp;M79),"Open opportunity")))</f>
        <v/>
      </c>
      <c r="O79" s="25">
        <f>IF(C79="","",C79)</f>
        <v/>
      </c>
      <c r="P79" s="24" t="n"/>
      <c r="Q79" s="26" t="n"/>
      <c r="R79" s="27">
        <f>IF(C79="","",H79+N(Q79))</f>
        <v/>
      </c>
      <c r="S79" s="29">
        <f>IFERROR(Q79/R79,"")</f>
        <v/>
      </c>
      <c r="T79" s="26" t="n"/>
      <c r="U79" s="26" t="n"/>
      <c r="V79" s="27">
        <f>IF(C79="","",N(T79)+N(U79))</f>
        <v/>
      </c>
      <c r="W79" s="27">
        <f>IF(C79="","",H79-V79)</f>
        <v/>
      </c>
      <c r="X79" s="29">
        <f>IFERROR(W79/H79,"")</f>
        <v/>
      </c>
      <c r="Y79" s="64" t="n"/>
      <c r="Z79" s="64" t="n"/>
      <c r="AA79" s="64" t="n"/>
      <c r="AB79" s="64" t="n"/>
      <c r="AC79" s="64" t="n"/>
      <c r="AD79" s="24" t="n"/>
    </row>
    <row r="80" ht="15" customHeight="1">
      <c r="A80" s="63">
        <f>IF(C80="","",IFERROR(IF(SUMPRODUCT(MAX((tbl_Finance[Job Number]=C80&amp;"")*(tbl_Finance[Xero Invoice No]&lt;&gt;"")*tbl_Finance[Date]))=0,"",SUMPRODUCT(MAX((tbl_Finance[Job Number]=C80&amp;"")*(tbl_Finance[Xero Invoice No]&lt;&gt;"")*tbl_Finance[Date]))),""))</f>
        <v/>
      </c>
      <c r="B80" s="25">
        <f>IF(C80="","",IF(COUNTIFS(tbl_Finance[Job Number],C80&amp;"",tbl_Finance[Xero Invoice No],"&lt;&gt;")=0,"",IFERROR(IF(COUNTIFS(tbl_Finance[Job Number],C80&amp;"",tbl_Finance[Xero Invoice No],LOOKUP(2,1/((tbl_Finance[Job Number]=C80&amp;"")*(tbl_Finance[Xero Invoice No]&lt;&gt;"")),tbl_Finance[Xero Invoice No]))=COUNTIFS(tbl_Finance[Job Number],C80&amp;"",tbl_Finance[Xero Invoice No],"&lt;&gt;"),LOOKUP(2,1/((tbl_Finance[Job Number]=C80&amp;"")*(tbl_Finance[Xero Invoice No]&lt;&gt;"")),tbl_Finance[Xero Invoice No]),LOOKUP(2,1/((tbl_Finance[Job Number]=C80&amp;"")*(tbl_Finance[Xero Invoice No]&lt;&gt;"")),tbl_Finance[Xero Invoice No])&amp;" +more"),"")))</f>
        <v/>
      </c>
      <c r="C80" s="24" t="n"/>
      <c r="D80" s="25">
        <f>IF(C80="","",IF(COUNTIF(lst_Jobs,C80&amp;"")&gt;0,"OK","CHECK"))</f>
        <v/>
      </c>
      <c r="E80" s="25">
        <f>IF(C80="","",IFERROR(INDEX(lst_JobName,MATCH(C80&amp;"",lst_Jobs,0)),""))</f>
        <v/>
      </c>
      <c r="F80" s="25">
        <f>IF(C80="","",IFERROR(INDEX(tbl_Finance[Client],MATCH(C80&amp;"",tbl_Finance[Job Number],0)),""))</f>
        <v/>
      </c>
      <c r="G80" s="28">
        <f>IF(C80="","",COUNTIFS(tbl_Finance[Job Number],C80&amp;"",tbl_Finance[Ex GST],"&lt;&gt;"))</f>
        <v/>
      </c>
      <c r="H80" s="27">
        <f>IF(C80="","",SUMIFS(tbl_Finance[Ex GST],tbl_Finance[Job Number],C80&amp;""))</f>
        <v/>
      </c>
      <c r="I80" s="27">
        <f>IF(C80="","",SUMIFS(tbl_Finance[Ex GST],tbl_Finance[Job Number],C80&amp;"",tbl_Finance[Xero Invoice No],"&lt;&gt;"))</f>
        <v/>
      </c>
      <c r="J80" s="27">
        <f>IF(C80="","",H80-I80)</f>
        <v/>
      </c>
      <c r="K80" s="25">
        <f>IF(C80="","",IF(G80=0,"not invoiced yet",SUBSTITUTE(TRIM(IF(COUNTIFS(tbl_Finance[Job Number],C80&amp;"",tbl_Finance[Cost Centre],"ONSITE")&gt;0,"ONSITE ","")&amp;IF(COUNTIFS(tbl_Finance[Job Number],C80&amp;"",tbl_Finance[Cost Centre],"PRODUCTION")&gt;0,"PRODUCTION ","")&amp;IF(COUNTIFS(tbl_Finance[Job Number],C80&amp;"",tbl_Finance[Cost Centre],"VIDEO")&gt;0,"VIDEO ","")&amp;IF(COUNTIFS(tbl_Finance[Job Number],C80&amp;"",tbl_Finance[Cost Centre],"INTEGRATION")&gt;0,"INTEGRATION ","")&amp;IF(COUNTIFS(tbl_Finance[Job Number],C80&amp;"",tbl_Finance[Cost Centre],"CONSULTING")&gt;0,"CONSULTING ","")&amp;IF(COUNTIFS(tbl_Finance[Job Number],C80&amp;"",tbl_Finance[Cost Centre],"CTS")&gt;0,"CTS ",""))," ",", ")))</f>
        <v/>
      </c>
      <c r="L80" s="22" t="n"/>
      <c r="M80" s="24" t="n"/>
      <c r="N80" s="25">
        <f>IF(M80="","",IF(AND(LEFT(M80,4)&lt;&gt;"http",set_RMSBase=""),"",HYPERLINK(IF(LEFT(M80,4)="http",M80,set_RMSBase&amp;M80),"Open opportunity")))</f>
        <v/>
      </c>
      <c r="O80" s="25">
        <f>IF(C80="","",C80)</f>
        <v/>
      </c>
      <c r="P80" s="24" t="n"/>
      <c r="Q80" s="26" t="n"/>
      <c r="R80" s="27">
        <f>IF(C80="","",H80+N(Q80))</f>
        <v/>
      </c>
      <c r="S80" s="29">
        <f>IFERROR(Q80/R80,"")</f>
        <v/>
      </c>
      <c r="T80" s="26" t="n"/>
      <c r="U80" s="26" t="n"/>
      <c r="V80" s="27">
        <f>IF(C80="","",N(T80)+N(U80))</f>
        <v/>
      </c>
      <c r="W80" s="27">
        <f>IF(C80="","",H80-V80)</f>
        <v/>
      </c>
      <c r="X80" s="29">
        <f>IFERROR(W80/H80,"")</f>
        <v/>
      </c>
      <c r="Y80" s="64" t="n"/>
      <c r="Z80" s="64" t="n"/>
      <c r="AA80" s="64" t="n"/>
      <c r="AB80" s="64" t="n"/>
      <c r="AC80" s="64" t="n"/>
      <c r="AD80" s="24" t="n"/>
    </row>
    <row r="81" ht="15" customHeight="1">
      <c r="A81" s="63">
        <f>IF(C81="","",IFERROR(IF(SUMPRODUCT(MAX((tbl_Finance[Job Number]=C81&amp;"")*(tbl_Finance[Xero Invoice No]&lt;&gt;"")*tbl_Finance[Date]))=0,"",SUMPRODUCT(MAX((tbl_Finance[Job Number]=C81&amp;"")*(tbl_Finance[Xero Invoice No]&lt;&gt;"")*tbl_Finance[Date]))),""))</f>
        <v/>
      </c>
      <c r="B81" s="25">
        <f>IF(C81="","",IF(COUNTIFS(tbl_Finance[Job Number],C81&amp;"",tbl_Finance[Xero Invoice No],"&lt;&gt;")=0,"",IFERROR(IF(COUNTIFS(tbl_Finance[Job Number],C81&amp;"",tbl_Finance[Xero Invoice No],LOOKUP(2,1/((tbl_Finance[Job Number]=C81&amp;"")*(tbl_Finance[Xero Invoice No]&lt;&gt;"")),tbl_Finance[Xero Invoice No]))=COUNTIFS(tbl_Finance[Job Number],C81&amp;"",tbl_Finance[Xero Invoice No],"&lt;&gt;"),LOOKUP(2,1/((tbl_Finance[Job Number]=C81&amp;"")*(tbl_Finance[Xero Invoice No]&lt;&gt;"")),tbl_Finance[Xero Invoice No]),LOOKUP(2,1/((tbl_Finance[Job Number]=C81&amp;"")*(tbl_Finance[Xero Invoice No]&lt;&gt;"")),tbl_Finance[Xero Invoice No])&amp;" +more"),"")))</f>
        <v/>
      </c>
      <c r="C81" s="24" t="n"/>
      <c r="D81" s="25">
        <f>IF(C81="","",IF(COUNTIF(lst_Jobs,C81&amp;"")&gt;0,"OK","CHECK"))</f>
        <v/>
      </c>
      <c r="E81" s="25">
        <f>IF(C81="","",IFERROR(INDEX(lst_JobName,MATCH(C81&amp;"",lst_Jobs,0)),""))</f>
        <v/>
      </c>
      <c r="F81" s="25">
        <f>IF(C81="","",IFERROR(INDEX(tbl_Finance[Client],MATCH(C81&amp;"",tbl_Finance[Job Number],0)),""))</f>
        <v/>
      </c>
      <c r="G81" s="28">
        <f>IF(C81="","",COUNTIFS(tbl_Finance[Job Number],C81&amp;"",tbl_Finance[Ex GST],"&lt;&gt;"))</f>
        <v/>
      </c>
      <c r="H81" s="27">
        <f>IF(C81="","",SUMIFS(tbl_Finance[Ex GST],tbl_Finance[Job Number],C81&amp;""))</f>
        <v/>
      </c>
      <c r="I81" s="27">
        <f>IF(C81="","",SUMIFS(tbl_Finance[Ex GST],tbl_Finance[Job Number],C81&amp;"",tbl_Finance[Xero Invoice No],"&lt;&gt;"))</f>
        <v/>
      </c>
      <c r="J81" s="27">
        <f>IF(C81="","",H81-I81)</f>
        <v/>
      </c>
      <c r="K81" s="25">
        <f>IF(C81="","",IF(G81=0,"not invoiced yet",SUBSTITUTE(TRIM(IF(COUNTIFS(tbl_Finance[Job Number],C81&amp;"",tbl_Finance[Cost Centre],"ONSITE")&gt;0,"ONSITE ","")&amp;IF(COUNTIFS(tbl_Finance[Job Number],C81&amp;"",tbl_Finance[Cost Centre],"PRODUCTION")&gt;0,"PRODUCTION ","")&amp;IF(COUNTIFS(tbl_Finance[Job Number],C81&amp;"",tbl_Finance[Cost Centre],"VIDEO")&gt;0,"VIDEO ","")&amp;IF(COUNTIFS(tbl_Finance[Job Number],C81&amp;"",tbl_Finance[Cost Centre],"INTEGRATION")&gt;0,"INTEGRATION ","")&amp;IF(COUNTIFS(tbl_Finance[Job Number],C81&amp;"",tbl_Finance[Cost Centre],"CONSULTING")&gt;0,"CONSULTING ","")&amp;IF(COUNTIFS(tbl_Finance[Job Number],C81&amp;"",tbl_Finance[Cost Centre],"CTS")&gt;0,"CTS ",""))," ",", ")))</f>
        <v/>
      </c>
      <c r="L81" s="22" t="n"/>
      <c r="M81" s="24" t="n"/>
      <c r="N81" s="25">
        <f>IF(M81="","",IF(AND(LEFT(M81,4)&lt;&gt;"http",set_RMSBase=""),"",HYPERLINK(IF(LEFT(M81,4)="http",M81,set_RMSBase&amp;M81),"Open opportunity")))</f>
        <v/>
      </c>
      <c r="O81" s="25">
        <f>IF(C81="","",C81)</f>
        <v/>
      </c>
      <c r="P81" s="24" t="n"/>
      <c r="Q81" s="26" t="n"/>
      <c r="R81" s="27">
        <f>IF(C81="","",H81+N(Q81))</f>
        <v/>
      </c>
      <c r="S81" s="29">
        <f>IFERROR(Q81/R81,"")</f>
        <v/>
      </c>
      <c r="T81" s="26" t="n"/>
      <c r="U81" s="26" t="n"/>
      <c r="V81" s="27">
        <f>IF(C81="","",N(T81)+N(U81))</f>
        <v/>
      </c>
      <c r="W81" s="27">
        <f>IF(C81="","",H81-V81)</f>
        <v/>
      </c>
      <c r="X81" s="29">
        <f>IFERROR(W81/H81,"")</f>
        <v/>
      </c>
      <c r="Y81" s="64" t="n"/>
      <c r="Z81" s="64" t="n"/>
      <c r="AA81" s="64" t="n"/>
      <c r="AB81" s="64" t="n"/>
      <c r="AC81" s="64" t="n"/>
      <c r="AD81" s="24" t="n"/>
    </row>
    <row r="82" ht="15" customHeight="1">
      <c r="A82" s="63">
        <f>IF(C82="","",IFERROR(IF(SUMPRODUCT(MAX((tbl_Finance[Job Number]=C82&amp;"")*(tbl_Finance[Xero Invoice No]&lt;&gt;"")*tbl_Finance[Date]))=0,"",SUMPRODUCT(MAX((tbl_Finance[Job Number]=C82&amp;"")*(tbl_Finance[Xero Invoice No]&lt;&gt;"")*tbl_Finance[Date]))),""))</f>
        <v/>
      </c>
      <c r="B82" s="25">
        <f>IF(C82="","",IF(COUNTIFS(tbl_Finance[Job Number],C82&amp;"",tbl_Finance[Xero Invoice No],"&lt;&gt;")=0,"",IFERROR(IF(COUNTIFS(tbl_Finance[Job Number],C82&amp;"",tbl_Finance[Xero Invoice No],LOOKUP(2,1/((tbl_Finance[Job Number]=C82&amp;"")*(tbl_Finance[Xero Invoice No]&lt;&gt;"")),tbl_Finance[Xero Invoice No]))=COUNTIFS(tbl_Finance[Job Number],C82&amp;"",tbl_Finance[Xero Invoice No],"&lt;&gt;"),LOOKUP(2,1/((tbl_Finance[Job Number]=C82&amp;"")*(tbl_Finance[Xero Invoice No]&lt;&gt;"")),tbl_Finance[Xero Invoice No]),LOOKUP(2,1/((tbl_Finance[Job Number]=C82&amp;"")*(tbl_Finance[Xero Invoice No]&lt;&gt;"")),tbl_Finance[Xero Invoice No])&amp;" +more"),"")))</f>
        <v/>
      </c>
      <c r="C82" s="24" t="n"/>
      <c r="D82" s="25">
        <f>IF(C82="","",IF(COUNTIF(lst_Jobs,C82&amp;"")&gt;0,"OK","CHECK"))</f>
        <v/>
      </c>
      <c r="E82" s="25">
        <f>IF(C82="","",IFERROR(INDEX(lst_JobName,MATCH(C82&amp;"",lst_Jobs,0)),""))</f>
        <v/>
      </c>
      <c r="F82" s="25">
        <f>IF(C82="","",IFERROR(INDEX(tbl_Finance[Client],MATCH(C82&amp;"",tbl_Finance[Job Number],0)),""))</f>
        <v/>
      </c>
      <c r="G82" s="28">
        <f>IF(C82="","",COUNTIFS(tbl_Finance[Job Number],C82&amp;"",tbl_Finance[Ex GST],"&lt;&gt;"))</f>
        <v/>
      </c>
      <c r="H82" s="27">
        <f>IF(C82="","",SUMIFS(tbl_Finance[Ex GST],tbl_Finance[Job Number],C82&amp;""))</f>
        <v/>
      </c>
      <c r="I82" s="27">
        <f>IF(C82="","",SUMIFS(tbl_Finance[Ex GST],tbl_Finance[Job Number],C82&amp;"",tbl_Finance[Xero Invoice No],"&lt;&gt;"))</f>
        <v/>
      </c>
      <c r="J82" s="27">
        <f>IF(C82="","",H82-I82)</f>
        <v/>
      </c>
      <c r="K82" s="25">
        <f>IF(C82="","",IF(G82=0,"not invoiced yet",SUBSTITUTE(TRIM(IF(COUNTIFS(tbl_Finance[Job Number],C82&amp;"",tbl_Finance[Cost Centre],"ONSITE")&gt;0,"ONSITE ","")&amp;IF(COUNTIFS(tbl_Finance[Job Number],C82&amp;"",tbl_Finance[Cost Centre],"PRODUCTION")&gt;0,"PRODUCTION ","")&amp;IF(COUNTIFS(tbl_Finance[Job Number],C82&amp;"",tbl_Finance[Cost Centre],"VIDEO")&gt;0,"VIDEO ","")&amp;IF(COUNTIFS(tbl_Finance[Job Number],C82&amp;"",tbl_Finance[Cost Centre],"INTEGRATION")&gt;0,"INTEGRATION ","")&amp;IF(COUNTIFS(tbl_Finance[Job Number],C82&amp;"",tbl_Finance[Cost Centre],"CONSULTING")&gt;0,"CONSULTING ","")&amp;IF(COUNTIFS(tbl_Finance[Job Number],C82&amp;"",tbl_Finance[Cost Centre],"CTS")&gt;0,"CTS ",""))," ",", ")))</f>
        <v/>
      </c>
      <c r="L82" s="22" t="n"/>
      <c r="M82" s="24" t="n"/>
      <c r="N82" s="25">
        <f>IF(M82="","",IF(AND(LEFT(M82,4)&lt;&gt;"http",set_RMSBase=""),"",HYPERLINK(IF(LEFT(M82,4)="http",M82,set_RMSBase&amp;M82),"Open opportunity")))</f>
        <v/>
      </c>
      <c r="O82" s="25">
        <f>IF(C82="","",C82)</f>
        <v/>
      </c>
      <c r="P82" s="24" t="n"/>
      <c r="Q82" s="26" t="n"/>
      <c r="R82" s="27">
        <f>IF(C82="","",H82+N(Q82))</f>
        <v/>
      </c>
      <c r="S82" s="29">
        <f>IFERROR(Q82/R82,"")</f>
        <v/>
      </c>
      <c r="T82" s="26" t="n"/>
      <c r="U82" s="26" t="n"/>
      <c r="V82" s="27">
        <f>IF(C82="","",N(T82)+N(U82))</f>
        <v/>
      </c>
      <c r="W82" s="27">
        <f>IF(C82="","",H82-V82)</f>
        <v/>
      </c>
      <c r="X82" s="29">
        <f>IFERROR(W82/H82,"")</f>
        <v/>
      </c>
      <c r="Y82" s="64" t="n"/>
      <c r="Z82" s="64" t="n"/>
      <c r="AA82" s="64" t="n"/>
      <c r="AB82" s="64" t="n"/>
      <c r="AC82" s="64" t="n"/>
      <c r="AD82" s="24" t="n"/>
    </row>
    <row r="83" ht="15" customHeight="1">
      <c r="A83" s="63">
        <f>IF(C83="","",IFERROR(IF(SUMPRODUCT(MAX((tbl_Finance[Job Number]=C83&amp;"")*(tbl_Finance[Xero Invoice No]&lt;&gt;"")*tbl_Finance[Date]))=0,"",SUMPRODUCT(MAX((tbl_Finance[Job Number]=C83&amp;"")*(tbl_Finance[Xero Invoice No]&lt;&gt;"")*tbl_Finance[Date]))),""))</f>
        <v/>
      </c>
      <c r="B83" s="25">
        <f>IF(C83="","",IF(COUNTIFS(tbl_Finance[Job Number],C83&amp;"",tbl_Finance[Xero Invoice No],"&lt;&gt;")=0,"",IFERROR(IF(COUNTIFS(tbl_Finance[Job Number],C83&amp;"",tbl_Finance[Xero Invoice No],LOOKUP(2,1/((tbl_Finance[Job Number]=C83&amp;"")*(tbl_Finance[Xero Invoice No]&lt;&gt;"")),tbl_Finance[Xero Invoice No]))=COUNTIFS(tbl_Finance[Job Number],C83&amp;"",tbl_Finance[Xero Invoice No],"&lt;&gt;"),LOOKUP(2,1/((tbl_Finance[Job Number]=C83&amp;"")*(tbl_Finance[Xero Invoice No]&lt;&gt;"")),tbl_Finance[Xero Invoice No]),LOOKUP(2,1/((tbl_Finance[Job Number]=C83&amp;"")*(tbl_Finance[Xero Invoice No]&lt;&gt;"")),tbl_Finance[Xero Invoice No])&amp;" +more"),"")))</f>
        <v/>
      </c>
      <c r="C83" s="24" t="n"/>
      <c r="D83" s="25">
        <f>IF(C83="","",IF(COUNTIF(lst_Jobs,C83&amp;"")&gt;0,"OK","CHECK"))</f>
        <v/>
      </c>
      <c r="E83" s="25">
        <f>IF(C83="","",IFERROR(INDEX(lst_JobName,MATCH(C83&amp;"",lst_Jobs,0)),""))</f>
        <v/>
      </c>
      <c r="F83" s="25">
        <f>IF(C83="","",IFERROR(INDEX(tbl_Finance[Client],MATCH(C83&amp;"",tbl_Finance[Job Number],0)),""))</f>
        <v/>
      </c>
      <c r="G83" s="28">
        <f>IF(C83="","",COUNTIFS(tbl_Finance[Job Number],C83&amp;"",tbl_Finance[Ex GST],"&lt;&gt;"))</f>
        <v/>
      </c>
      <c r="H83" s="27">
        <f>IF(C83="","",SUMIFS(tbl_Finance[Ex GST],tbl_Finance[Job Number],C83&amp;""))</f>
        <v/>
      </c>
      <c r="I83" s="27">
        <f>IF(C83="","",SUMIFS(tbl_Finance[Ex GST],tbl_Finance[Job Number],C83&amp;"",tbl_Finance[Xero Invoice No],"&lt;&gt;"))</f>
        <v/>
      </c>
      <c r="J83" s="27">
        <f>IF(C83="","",H83-I83)</f>
        <v/>
      </c>
      <c r="K83" s="25">
        <f>IF(C83="","",IF(G83=0,"not invoiced yet",SUBSTITUTE(TRIM(IF(COUNTIFS(tbl_Finance[Job Number],C83&amp;"",tbl_Finance[Cost Centre],"ONSITE")&gt;0,"ONSITE ","")&amp;IF(COUNTIFS(tbl_Finance[Job Number],C83&amp;"",tbl_Finance[Cost Centre],"PRODUCTION")&gt;0,"PRODUCTION ","")&amp;IF(COUNTIFS(tbl_Finance[Job Number],C83&amp;"",tbl_Finance[Cost Centre],"VIDEO")&gt;0,"VIDEO ","")&amp;IF(COUNTIFS(tbl_Finance[Job Number],C83&amp;"",tbl_Finance[Cost Centre],"INTEGRATION")&gt;0,"INTEGRATION ","")&amp;IF(COUNTIFS(tbl_Finance[Job Number],C83&amp;"",tbl_Finance[Cost Centre],"CONSULTING")&gt;0,"CONSULTING ","")&amp;IF(COUNTIFS(tbl_Finance[Job Number],C83&amp;"",tbl_Finance[Cost Centre],"CTS")&gt;0,"CTS ",""))," ",", ")))</f>
        <v/>
      </c>
      <c r="L83" s="22" t="n"/>
      <c r="M83" s="24" t="n"/>
      <c r="N83" s="25">
        <f>IF(M83="","",IF(AND(LEFT(M83,4)&lt;&gt;"http",set_RMSBase=""),"",HYPERLINK(IF(LEFT(M83,4)="http",M83,set_RMSBase&amp;M83),"Open opportunity")))</f>
        <v/>
      </c>
      <c r="O83" s="25">
        <f>IF(C83="","",C83)</f>
        <v/>
      </c>
      <c r="P83" s="24" t="n"/>
      <c r="Q83" s="26" t="n"/>
      <c r="R83" s="27">
        <f>IF(C83="","",H83+N(Q83))</f>
        <v/>
      </c>
      <c r="S83" s="29">
        <f>IFERROR(Q83/R83,"")</f>
        <v/>
      </c>
      <c r="T83" s="26" t="n"/>
      <c r="U83" s="26" t="n"/>
      <c r="V83" s="27">
        <f>IF(C83="","",N(T83)+N(U83))</f>
        <v/>
      </c>
      <c r="W83" s="27">
        <f>IF(C83="","",H83-V83)</f>
        <v/>
      </c>
      <c r="X83" s="29">
        <f>IFERROR(W83/H83,"")</f>
        <v/>
      </c>
      <c r="Y83" s="64" t="n"/>
      <c r="Z83" s="64" t="n"/>
      <c r="AA83" s="64" t="n"/>
      <c r="AB83" s="64" t="n"/>
      <c r="AC83" s="64" t="n"/>
      <c r="AD83" s="24" t="n"/>
    </row>
    <row r="84" ht="15" customHeight="1">
      <c r="A84" s="63">
        <f>IF(C84="","",IFERROR(IF(SUMPRODUCT(MAX((tbl_Finance[Job Number]=C84&amp;"")*(tbl_Finance[Xero Invoice No]&lt;&gt;"")*tbl_Finance[Date]))=0,"",SUMPRODUCT(MAX((tbl_Finance[Job Number]=C84&amp;"")*(tbl_Finance[Xero Invoice No]&lt;&gt;"")*tbl_Finance[Date]))),""))</f>
        <v/>
      </c>
      <c r="B84" s="25">
        <f>IF(C84="","",IF(COUNTIFS(tbl_Finance[Job Number],C84&amp;"",tbl_Finance[Xero Invoice No],"&lt;&gt;")=0,"",IFERROR(IF(COUNTIFS(tbl_Finance[Job Number],C84&amp;"",tbl_Finance[Xero Invoice No],LOOKUP(2,1/((tbl_Finance[Job Number]=C84&amp;"")*(tbl_Finance[Xero Invoice No]&lt;&gt;"")),tbl_Finance[Xero Invoice No]))=COUNTIFS(tbl_Finance[Job Number],C84&amp;"",tbl_Finance[Xero Invoice No],"&lt;&gt;"),LOOKUP(2,1/((tbl_Finance[Job Number]=C84&amp;"")*(tbl_Finance[Xero Invoice No]&lt;&gt;"")),tbl_Finance[Xero Invoice No]),LOOKUP(2,1/((tbl_Finance[Job Number]=C84&amp;"")*(tbl_Finance[Xero Invoice No]&lt;&gt;"")),tbl_Finance[Xero Invoice No])&amp;" +more"),"")))</f>
        <v/>
      </c>
      <c r="C84" s="24" t="n"/>
      <c r="D84" s="25">
        <f>IF(C84="","",IF(COUNTIF(lst_Jobs,C84&amp;"")&gt;0,"OK","CHECK"))</f>
        <v/>
      </c>
      <c r="E84" s="25">
        <f>IF(C84="","",IFERROR(INDEX(lst_JobName,MATCH(C84&amp;"",lst_Jobs,0)),""))</f>
        <v/>
      </c>
      <c r="F84" s="25">
        <f>IF(C84="","",IFERROR(INDEX(tbl_Finance[Client],MATCH(C84&amp;"",tbl_Finance[Job Number],0)),""))</f>
        <v/>
      </c>
      <c r="G84" s="28">
        <f>IF(C84="","",COUNTIFS(tbl_Finance[Job Number],C84&amp;"",tbl_Finance[Ex GST],"&lt;&gt;"))</f>
        <v/>
      </c>
      <c r="H84" s="27">
        <f>IF(C84="","",SUMIFS(tbl_Finance[Ex GST],tbl_Finance[Job Number],C84&amp;""))</f>
        <v/>
      </c>
      <c r="I84" s="27">
        <f>IF(C84="","",SUMIFS(tbl_Finance[Ex GST],tbl_Finance[Job Number],C84&amp;"",tbl_Finance[Xero Invoice No],"&lt;&gt;"))</f>
        <v/>
      </c>
      <c r="J84" s="27">
        <f>IF(C84="","",H84-I84)</f>
        <v/>
      </c>
      <c r="K84" s="25">
        <f>IF(C84="","",IF(G84=0,"not invoiced yet",SUBSTITUTE(TRIM(IF(COUNTIFS(tbl_Finance[Job Number],C84&amp;"",tbl_Finance[Cost Centre],"ONSITE")&gt;0,"ONSITE ","")&amp;IF(COUNTIFS(tbl_Finance[Job Number],C84&amp;"",tbl_Finance[Cost Centre],"PRODUCTION")&gt;0,"PRODUCTION ","")&amp;IF(COUNTIFS(tbl_Finance[Job Number],C84&amp;"",tbl_Finance[Cost Centre],"VIDEO")&gt;0,"VIDEO ","")&amp;IF(COUNTIFS(tbl_Finance[Job Number],C84&amp;"",tbl_Finance[Cost Centre],"INTEGRATION")&gt;0,"INTEGRATION ","")&amp;IF(COUNTIFS(tbl_Finance[Job Number],C84&amp;"",tbl_Finance[Cost Centre],"CONSULTING")&gt;0,"CONSULTING ","")&amp;IF(COUNTIFS(tbl_Finance[Job Number],C84&amp;"",tbl_Finance[Cost Centre],"CTS")&gt;0,"CTS ",""))," ",", ")))</f>
        <v/>
      </c>
      <c r="L84" s="22" t="n"/>
      <c r="M84" s="24" t="n"/>
      <c r="N84" s="25">
        <f>IF(M84="","",IF(AND(LEFT(M84,4)&lt;&gt;"http",set_RMSBase=""),"",HYPERLINK(IF(LEFT(M84,4)="http",M84,set_RMSBase&amp;M84),"Open opportunity")))</f>
        <v/>
      </c>
      <c r="O84" s="25">
        <f>IF(C84="","",C84)</f>
        <v/>
      </c>
      <c r="P84" s="24" t="n"/>
      <c r="Q84" s="26" t="n"/>
      <c r="R84" s="27">
        <f>IF(C84="","",H84+N(Q84))</f>
        <v/>
      </c>
      <c r="S84" s="29">
        <f>IFERROR(Q84/R84,"")</f>
        <v/>
      </c>
      <c r="T84" s="26" t="n"/>
      <c r="U84" s="26" t="n"/>
      <c r="V84" s="27">
        <f>IF(C84="","",N(T84)+N(U84))</f>
        <v/>
      </c>
      <c r="W84" s="27">
        <f>IF(C84="","",H84-V84)</f>
        <v/>
      </c>
      <c r="X84" s="29">
        <f>IFERROR(W84/H84,"")</f>
        <v/>
      </c>
      <c r="Y84" s="64" t="n"/>
      <c r="Z84" s="64" t="n"/>
      <c r="AA84" s="64" t="n"/>
      <c r="AB84" s="64" t="n"/>
      <c r="AC84" s="64" t="n"/>
      <c r="AD84" s="24" t="n"/>
    </row>
    <row r="85" ht="15" customHeight="1">
      <c r="A85" s="63">
        <f>IF(C85="","",IFERROR(IF(SUMPRODUCT(MAX((tbl_Finance[Job Number]=C85&amp;"")*(tbl_Finance[Xero Invoice No]&lt;&gt;"")*tbl_Finance[Date]))=0,"",SUMPRODUCT(MAX((tbl_Finance[Job Number]=C85&amp;"")*(tbl_Finance[Xero Invoice No]&lt;&gt;"")*tbl_Finance[Date]))),""))</f>
        <v/>
      </c>
      <c r="B85" s="25">
        <f>IF(C85="","",IF(COUNTIFS(tbl_Finance[Job Number],C85&amp;"",tbl_Finance[Xero Invoice No],"&lt;&gt;")=0,"",IFERROR(IF(COUNTIFS(tbl_Finance[Job Number],C85&amp;"",tbl_Finance[Xero Invoice No],LOOKUP(2,1/((tbl_Finance[Job Number]=C85&amp;"")*(tbl_Finance[Xero Invoice No]&lt;&gt;"")),tbl_Finance[Xero Invoice No]))=COUNTIFS(tbl_Finance[Job Number],C85&amp;"",tbl_Finance[Xero Invoice No],"&lt;&gt;"),LOOKUP(2,1/((tbl_Finance[Job Number]=C85&amp;"")*(tbl_Finance[Xero Invoice No]&lt;&gt;"")),tbl_Finance[Xero Invoice No]),LOOKUP(2,1/((tbl_Finance[Job Number]=C85&amp;"")*(tbl_Finance[Xero Invoice No]&lt;&gt;"")),tbl_Finance[Xero Invoice No])&amp;" +more"),"")))</f>
        <v/>
      </c>
      <c r="C85" s="24" t="n"/>
      <c r="D85" s="25">
        <f>IF(C85="","",IF(COUNTIF(lst_Jobs,C85&amp;"")&gt;0,"OK","CHECK"))</f>
        <v/>
      </c>
      <c r="E85" s="25">
        <f>IF(C85="","",IFERROR(INDEX(lst_JobName,MATCH(C85&amp;"",lst_Jobs,0)),""))</f>
        <v/>
      </c>
      <c r="F85" s="25">
        <f>IF(C85="","",IFERROR(INDEX(tbl_Finance[Client],MATCH(C85&amp;"",tbl_Finance[Job Number],0)),""))</f>
        <v/>
      </c>
      <c r="G85" s="28">
        <f>IF(C85="","",COUNTIFS(tbl_Finance[Job Number],C85&amp;"",tbl_Finance[Ex GST],"&lt;&gt;"))</f>
        <v/>
      </c>
      <c r="H85" s="27">
        <f>IF(C85="","",SUMIFS(tbl_Finance[Ex GST],tbl_Finance[Job Number],C85&amp;""))</f>
        <v/>
      </c>
      <c r="I85" s="27">
        <f>IF(C85="","",SUMIFS(tbl_Finance[Ex GST],tbl_Finance[Job Number],C85&amp;"",tbl_Finance[Xero Invoice No],"&lt;&gt;"))</f>
        <v/>
      </c>
      <c r="J85" s="27">
        <f>IF(C85="","",H85-I85)</f>
        <v/>
      </c>
      <c r="K85" s="25">
        <f>IF(C85="","",IF(G85=0,"not invoiced yet",SUBSTITUTE(TRIM(IF(COUNTIFS(tbl_Finance[Job Number],C85&amp;"",tbl_Finance[Cost Centre],"ONSITE")&gt;0,"ONSITE ","")&amp;IF(COUNTIFS(tbl_Finance[Job Number],C85&amp;"",tbl_Finance[Cost Centre],"PRODUCTION")&gt;0,"PRODUCTION ","")&amp;IF(COUNTIFS(tbl_Finance[Job Number],C85&amp;"",tbl_Finance[Cost Centre],"VIDEO")&gt;0,"VIDEO ","")&amp;IF(COUNTIFS(tbl_Finance[Job Number],C85&amp;"",tbl_Finance[Cost Centre],"INTEGRATION")&gt;0,"INTEGRATION ","")&amp;IF(COUNTIFS(tbl_Finance[Job Number],C85&amp;"",tbl_Finance[Cost Centre],"CONSULTING")&gt;0,"CONSULTING ","")&amp;IF(COUNTIFS(tbl_Finance[Job Number],C85&amp;"",tbl_Finance[Cost Centre],"CTS")&gt;0,"CTS ",""))," ",", ")))</f>
        <v/>
      </c>
      <c r="L85" s="22" t="n"/>
      <c r="M85" s="24" t="n"/>
      <c r="N85" s="25">
        <f>IF(M85="","",IF(AND(LEFT(M85,4)&lt;&gt;"http",set_RMSBase=""),"",HYPERLINK(IF(LEFT(M85,4)="http",M85,set_RMSBase&amp;M85),"Open opportunity")))</f>
        <v/>
      </c>
      <c r="O85" s="25">
        <f>IF(C85="","",C85)</f>
        <v/>
      </c>
      <c r="P85" s="24" t="n"/>
      <c r="Q85" s="26" t="n"/>
      <c r="R85" s="27">
        <f>IF(C85="","",H85+N(Q85))</f>
        <v/>
      </c>
      <c r="S85" s="29">
        <f>IFERROR(Q85/R85,"")</f>
        <v/>
      </c>
      <c r="T85" s="26" t="n"/>
      <c r="U85" s="26" t="n"/>
      <c r="V85" s="27">
        <f>IF(C85="","",N(T85)+N(U85))</f>
        <v/>
      </c>
      <c r="W85" s="27">
        <f>IF(C85="","",H85-V85)</f>
        <v/>
      </c>
      <c r="X85" s="29">
        <f>IFERROR(W85/H85,"")</f>
        <v/>
      </c>
      <c r="Y85" s="64" t="n"/>
      <c r="Z85" s="64" t="n"/>
      <c r="AA85" s="64" t="n"/>
      <c r="AB85" s="64" t="n"/>
      <c r="AC85" s="64" t="n"/>
      <c r="AD85" s="24" t="n"/>
    </row>
    <row r="86" ht="15" customHeight="1">
      <c r="A86" s="63">
        <f>IF(C86="","",IFERROR(IF(SUMPRODUCT(MAX((tbl_Finance[Job Number]=C86&amp;"")*(tbl_Finance[Xero Invoice No]&lt;&gt;"")*tbl_Finance[Date]))=0,"",SUMPRODUCT(MAX((tbl_Finance[Job Number]=C86&amp;"")*(tbl_Finance[Xero Invoice No]&lt;&gt;"")*tbl_Finance[Date]))),""))</f>
        <v/>
      </c>
      <c r="B86" s="25">
        <f>IF(C86="","",IF(COUNTIFS(tbl_Finance[Job Number],C86&amp;"",tbl_Finance[Xero Invoice No],"&lt;&gt;")=0,"",IFERROR(IF(COUNTIFS(tbl_Finance[Job Number],C86&amp;"",tbl_Finance[Xero Invoice No],LOOKUP(2,1/((tbl_Finance[Job Number]=C86&amp;"")*(tbl_Finance[Xero Invoice No]&lt;&gt;"")),tbl_Finance[Xero Invoice No]))=COUNTIFS(tbl_Finance[Job Number],C86&amp;"",tbl_Finance[Xero Invoice No],"&lt;&gt;"),LOOKUP(2,1/((tbl_Finance[Job Number]=C86&amp;"")*(tbl_Finance[Xero Invoice No]&lt;&gt;"")),tbl_Finance[Xero Invoice No]),LOOKUP(2,1/((tbl_Finance[Job Number]=C86&amp;"")*(tbl_Finance[Xero Invoice No]&lt;&gt;"")),tbl_Finance[Xero Invoice No])&amp;" +more"),"")))</f>
        <v/>
      </c>
      <c r="C86" s="24" t="n"/>
      <c r="D86" s="25">
        <f>IF(C86="","",IF(COUNTIF(lst_Jobs,C86&amp;"")&gt;0,"OK","CHECK"))</f>
        <v/>
      </c>
      <c r="E86" s="25">
        <f>IF(C86="","",IFERROR(INDEX(lst_JobName,MATCH(C86&amp;"",lst_Jobs,0)),""))</f>
        <v/>
      </c>
      <c r="F86" s="25">
        <f>IF(C86="","",IFERROR(INDEX(tbl_Finance[Client],MATCH(C86&amp;"",tbl_Finance[Job Number],0)),""))</f>
        <v/>
      </c>
      <c r="G86" s="28">
        <f>IF(C86="","",COUNTIFS(tbl_Finance[Job Number],C86&amp;"",tbl_Finance[Ex GST],"&lt;&gt;"))</f>
        <v/>
      </c>
      <c r="H86" s="27">
        <f>IF(C86="","",SUMIFS(tbl_Finance[Ex GST],tbl_Finance[Job Number],C86&amp;""))</f>
        <v/>
      </c>
      <c r="I86" s="27">
        <f>IF(C86="","",SUMIFS(tbl_Finance[Ex GST],tbl_Finance[Job Number],C86&amp;"",tbl_Finance[Xero Invoice No],"&lt;&gt;"))</f>
        <v/>
      </c>
      <c r="J86" s="27">
        <f>IF(C86="","",H86-I86)</f>
        <v/>
      </c>
      <c r="K86" s="25">
        <f>IF(C86="","",IF(G86=0,"not invoiced yet",SUBSTITUTE(TRIM(IF(COUNTIFS(tbl_Finance[Job Number],C86&amp;"",tbl_Finance[Cost Centre],"ONSITE")&gt;0,"ONSITE ","")&amp;IF(COUNTIFS(tbl_Finance[Job Number],C86&amp;"",tbl_Finance[Cost Centre],"PRODUCTION")&gt;0,"PRODUCTION ","")&amp;IF(COUNTIFS(tbl_Finance[Job Number],C86&amp;"",tbl_Finance[Cost Centre],"VIDEO")&gt;0,"VIDEO ","")&amp;IF(COUNTIFS(tbl_Finance[Job Number],C86&amp;"",tbl_Finance[Cost Centre],"INTEGRATION")&gt;0,"INTEGRATION ","")&amp;IF(COUNTIFS(tbl_Finance[Job Number],C86&amp;"",tbl_Finance[Cost Centre],"CONSULTING")&gt;0,"CONSULTING ","")&amp;IF(COUNTIFS(tbl_Finance[Job Number],C86&amp;"",tbl_Finance[Cost Centre],"CTS")&gt;0,"CTS ",""))," ",", ")))</f>
        <v/>
      </c>
      <c r="L86" s="22" t="n"/>
      <c r="M86" s="24" t="n"/>
      <c r="N86" s="25">
        <f>IF(M86="","",IF(AND(LEFT(M86,4)&lt;&gt;"http",set_RMSBase=""),"",HYPERLINK(IF(LEFT(M86,4)="http",M86,set_RMSBase&amp;M86),"Open opportunity")))</f>
        <v/>
      </c>
      <c r="O86" s="25">
        <f>IF(C86="","",C86)</f>
        <v/>
      </c>
      <c r="P86" s="24" t="n"/>
      <c r="Q86" s="26" t="n"/>
      <c r="R86" s="27">
        <f>IF(C86="","",H86+N(Q86))</f>
        <v/>
      </c>
      <c r="S86" s="29">
        <f>IFERROR(Q86/R86,"")</f>
        <v/>
      </c>
      <c r="T86" s="26" t="n"/>
      <c r="U86" s="26" t="n"/>
      <c r="V86" s="27">
        <f>IF(C86="","",N(T86)+N(U86))</f>
        <v/>
      </c>
      <c r="W86" s="27">
        <f>IF(C86="","",H86-V86)</f>
        <v/>
      </c>
      <c r="X86" s="29">
        <f>IFERROR(W86/H86,"")</f>
        <v/>
      </c>
      <c r="Y86" s="64" t="n"/>
      <c r="Z86" s="64" t="n"/>
      <c r="AA86" s="64" t="n"/>
      <c r="AB86" s="64" t="n"/>
      <c r="AC86" s="64" t="n"/>
      <c r="AD86" s="24" t="n"/>
    </row>
    <row r="87" ht="15" customHeight="1">
      <c r="A87" s="63">
        <f>IF(C87="","",IFERROR(IF(SUMPRODUCT(MAX((tbl_Finance[Job Number]=C87&amp;"")*(tbl_Finance[Xero Invoice No]&lt;&gt;"")*tbl_Finance[Date]))=0,"",SUMPRODUCT(MAX((tbl_Finance[Job Number]=C87&amp;"")*(tbl_Finance[Xero Invoice No]&lt;&gt;"")*tbl_Finance[Date]))),""))</f>
        <v/>
      </c>
      <c r="B87" s="25">
        <f>IF(C87="","",IF(COUNTIFS(tbl_Finance[Job Number],C87&amp;"",tbl_Finance[Xero Invoice No],"&lt;&gt;")=0,"",IFERROR(IF(COUNTIFS(tbl_Finance[Job Number],C87&amp;"",tbl_Finance[Xero Invoice No],LOOKUP(2,1/((tbl_Finance[Job Number]=C87&amp;"")*(tbl_Finance[Xero Invoice No]&lt;&gt;"")),tbl_Finance[Xero Invoice No]))=COUNTIFS(tbl_Finance[Job Number],C87&amp;"",tbl_Finance[Xero Invoice No],"&lt;&gt;"),LOOKUP(2,1/((tbl_Finance[Job Number]=C87&amp;"")*(tbl_Finance[Xero Invoice No]&lt;&gt;"")),tbl_Finance[Xero Invoice No]),LOOKUP(2,1/((tbl_Finance[Job Number]=C87&amp;"")*(tbl_Finance[Xero Invoice No]&lt;&gt;"")),tbl_Finance[Xero Invoice No])&amp;" +more"),"")))</f>
        <v/>
      </c>
      <c r="C87" s="24" t="n"/>
      <c r="D87" s="25">
        <f>IF(C87="","",IF(COUNTIF(lst_Jobs,C87&amp;"")&gt;0,"OK","CHECK"))</f>
        <v/>
      </c>
      <c r="E87" s="25">
        <f>IF(C87="","",IFERROR(INDEX(lst_JobName,MATCH(C87&amp;"",lst_Jobs,0)),""))</f>
        <v/>
      </c>
      <c r="F87" s="25">
        <f>IF(C87="","",IFERROR(INDEX(tbl_Finance[Client],MATCH(C87&amp;"",tbl_Finance[Job Number],0)),""))</f>
        <v/>
      </c>
      <c r="G87" s="28">
        <f>IF(C87="","",COUNTIFS(tbl_Finance[Job Number],C87&amp;"",tbl_Finance[Ex GST],"&lt;&gt;"))</f>
        <v/>
      </c>
      <c r="H87" s="27">
        <f>IF(C87="","",SUMIFS(tbl_Finance[Ex GST],tbl_Finance[Job Number],C87&amp;""))</f>
        <v/>
      </c>
      <c r="I87" s="27">
        <f>IF(C87="","",SUMIFS(tbl_Finance[Ex GST],tbl_Finance[Job Number],C87&amp;"",tbl_Finance[Xero Invoice No],"&lt;&gt;"))</f>
        <v/>
      </c>
      <c r="J87" s="27">
        <f>IF(C87="","",H87-I87)</f>
        <v/>
      </c>
      <c r="K87" s="25">
        <f>IF(C87="","",IF(G87=0,"not invoiced yet",SUBSTITUTE(TRIM(IF(COUNTIFS(tbl_Finance[Job Number],C87&amp;"",tbl_Finance[Cost Centre],"ONSITE")&gt;0,"ONSITE ","")&amp;IF(COUNTIFS(tbl_Finance[Job Number],C87&amp;"",tbl_Finance[Cost Centre],"PRODUCTION")&gt;0,"PRODUCTION ","")&amp;IF(COUNTIFS(tbl_Finance[Job Number],C87&amp;"",tbl_Finance[Cost Centre],"VIDEO")&gt;0,"VIDEO ","")&amp;IF(COUNTIFS(tbl_Finance[Job Number],C87&amp;"",tbl_Finance[Cost Centre],"INTEGRATION")&gt;0,"INTEGRATION ","")&amp;IF(COUNTIFS(tbl_Finance[Job Number],C87&amp;"",tbl_Finance[Cost Centre],"CONSULTING")&gt;0,"CONSULTING ","")&amp;IF(COUNTIFS(tbl_Finance[Job Number],C87&amp;"",tbl_Finance[Cost Centre],"CTS")&gt;0,"CTS ",""))," ",", ")))</f>
        <v/>
      </c>
      <c r="L87" s="22" t="n"/>
      <c r="M87" s="24" t="n"/>
      <c r="N87" s="25">
        <f>IF(M87="","",IF(AND(LEFT(M87,4)&lt;&gt;"http",set_RMSBase=""),"",HYPERLINK(IF(LEFT(M87,4)="http",M87,set_RMSBase&amp;M87),"Open opportunity")))</f>
        <v/>
      </c>
      <c r="O87" s="25">
        <f>IF(C87="","",C87)</f>
        <v/>
      </c>
      <c r="P87" s="24" t="n"/>
      <c r="Q87" s="26" t="n"/>
      <c r="R87" s="27">
        <f>IF(C87="","",H87+N(Q87))</f>
        <v/>
      </c>
      <c r="S87" s="29">
        <f>IFERROR(Q87/R87,"")</f>
        <v/>
      </c>
      <c r="T87" s="26" t="n"/>
      <c r="U87" s="26" t="n"/>
      <c r="V87" s="27">
        <f>IF(C87="","",N(T87)+N(U87))</f>
        <v/>
      </c>
      <c r="W87" s="27">
        <f>IF(C87="","",H87-V87)</f>
        <v/>
      </c>
      <c r="X87" s="29">
        <f>IFERROR(W87/H87,"")</f>
        <v/>
      </c>
      <c r="Y87" s="64" t="n"/>
      <c r="Z87" s="64" t="n"/>
      <c r="AA87" s="64" t="n"/>
      <c r="AB87" s="64" t="n"/>
      <c r="AC87" s="64" t="n"/>
      <c r="AD87" s="24" t="n"/>
    </row>
    <row r="88" ht="15" customHeight="1">
      <c r="A88" s="63">
        <f>IF(C88="","",IFERROR(IF(SUMPRODUCT(MAX((tbl_Finance[Job Number]=C88&amp;"")*(tbl_Finance[Xero Invoice No]&lt;&gt;"")*tbl_Finance[Date]))=0,"",SUMPRODUCT(MAX((tbl_Finance[Job Number]=C88&amp;"")*(tbl_Finance[Xero Invoice No]&lt;&gt;"")*tbl_Finance[Date]))),""))</f>
        <v/>
      </c>
      <c r="B88" s="25">
        <f>IF(C88="","",IF(COUNTIFS(tbl_Finance[Job Number],C88&amp;"",tbl_Finance[Xero Invoice No],"&lt;&gt;")=0,"",IFERROR(IF(COUNTIFS(tbl_Finance[Job Number],C88&amp;"",tbl_Finance[Xero Invoice No],LOOKUP(2,1/((tbl_Finance[Job Number]=C88&amp;"")*(tbl_Finance[Xero Invoice No]&lt;&gt;"")),tbl_Finance[Xero Invoice No]))=COUNTIFS(tbl_Finance[Job Number],C88&amp;"",tbl_Finance[Xero Invoice No],"&lt;&gt;"),LOOKUP(2,1/((tbl_Finance[Job Number]=C88&amp;"")*(tbl_Finance[Xero Invoice No]&lt;&gt;"")),tbl_Finance[Xero Invoice No]),LOOKUP(2,1/((tbl_Finance[Job Number]=C88&amp;"")*(tbl_Finance[Xero Invoice No]&lt;&gt;"")),tbl_Finance[Xero Invoice No])&amp;" +more"),"")))</f>
        <v/>
      </c>
      <c r="C88" s="24" t="n"/>
      <c r="D88" s="25">
        <f>IF(C88="","",IF(COUNTIF(lst_Jobs,C88&amp;"")&gt;0,"OK","CHECK"))</f>
        <v/>
      </c>
      <c r="E88" s="25">
        <f>IF(C88="","",IFERROR(INDEX(lst_JobName,MATCH(C88&amp;"",lst_Jobs,0)),""))</f>
        <v/>
      </c>
      <c r="F88" s="25">
        <f>IF(C88="","",IFERROR(INDEX(tbl_Finance[Client],MATCH(C88&amp;"",tbl_Finance[Job Number],0)),""))</f>
        <v/>
      </c>
      <c r="G88" s="28">
        <f>IF(C88="","",COUNTIFS(tbl_Finance[Job Number],C88&amp;"",tbl_Finance[Ex GST],"&lt;&gt;"))</f>
        <v/>
      </c>
      <c r="H88" s="27">
        <f>IF(C88="","",SUMIFS(tbl_Finance[Ex GST],tbl_Finance[Job Number],C88&amp;""))</f>
        <v/>
      </c>
      <c r="I88" s="27">
        <f>IF(C88="","",SUMIFS(tbl_Finance[Ex GST],tbl_Finance[Job Number],C88&amp;"",tbl_Finance[Xero Invoice No],"&lt;&gt;"))</f>
        <v/>
      </c>
      <c r="J88" s="27">
        <f>IF(C88="","",H88-I88)</f>
        <v/>
      </c>
      <c r="K88" s="25">
        <f>IF(C88="","",IF(G88=0,"not invoiced yet",SUBSTITUTE(TRIM(IF(COUNTIFS(tbl_Finance[Job Number],C88&amp;"",tbl_Finance[Cost Centre],"ONSITE")&gt;0,"ONSITE ","")&amp;IF(COUNTIFS(tbl_Finance[Job Number],C88&amp;"",tbl_Finance[Cost Centre],"PRODUCTION")&gt;0,"PRODUCTION ","")&amp;IF(COUNTIFS(tbl_Finance[Job Number],C88&amp;"",tbl_Finance[Cost Centre],"VIDEO")&gt;0,"VIDEO ","")&amp;IF(COUNTIFS(tbl_Finance[Job Number],C88&amp;"",tbl_Finance[Cost Centre],"INTEGRATION")&gt;0,"INTEGRATION ","")&amp;IF(COUNTIFS(tbl_Finance[Job Number],C88&amp;"",tbl_Finance[Cost Centre],"CONSULTING")&gt;0,"CONSULTING ","")&amp;IF(COUNTIFS(tbl_Finance[Job Number],C88&amp;"",tbl_Finance[Cost Centre],"CTS")&gt;0,"CTS ",""))," ",", ")))</f>
        <v/>
      </c>
      <c r="L88" s="22" t="n"/>
      <c r="M88" s="24" t="n"/>
      <c r="N88" s="25">
        <f>IF(M88="","",IF(AND(LEFT(M88,4)&lt;&gt;"http",set_RMSBase=""),"",HYPERLINK(IF(LEFT(M88,4)="http",M88,set_RMSBase&amp;M88),"Open opportunity")))</f>
        <v/>
      </c>
      <c r="O88" s="25">
        <f>IF(C88="","",C88)</f>
        <v/>
      </c>
      <c r="P88" s="24" t="n"/>
      <c r="Q88" s="26" t="n"/>
      <c r="R88" s="27">
        <f>IF(C88="","",H88+N(Q88))</f>
        <v/>
      </c>
      <c r="S88" s="29">
        <f>IFERROR(Q88/R88,"")</f>
        <v/>
      </c>
      <c r="T88" s="26" t="n"/>
      <c r="U88" s="26" t="n"/>
      <c r="V88" s="27">
        <f>IF(C88="","",N(T88)+N(U88))</f>
        <v/>
      </c>
      <c r="W88" s="27">
        <f>IF(C88="","",H88-V88)</f>
        <v/>
      </c>
      <c r="X88" s="29">
        <f>IFERROR(W88/H88,"")</f>
        <v/>
      </c>
      <c r="Y88" s="64" t="n"/>
      <c r="Z88" s="64" t="n"/>
      <c r="AA88" s="64" t="n"/>
      <c r="AB88" s="64" t="n"/>
      <c r="AC88" s="64" t="n"/>
      <c r="AD88" s="24" t="n"/>
    </row>
    <row r="89" ht="15" customHeight="1">
      <c r="A89" s="63">
        <f>IF(C89="","",IFERROR(IF(SUMPRODUCT(MAX((tbl_Finance[Job Number]=C89&amp;"")*(tbl_Finance[Xero Invoice No]&lt;&gt;"")*tbl_Finance[Date]))=0,"",SUMPRODUCT(MAX((tbl_Finance[Job Number]=C89&amp;"")*(tbl_Finance[Xero Invoice No]&lt;&gt;"")*tbl_Finance[Date]))),""))</f>
        <v/>
      </c>
      <c r="B89" s="25">
        <f>IF(C89="","",IF(COUNTIFS(tbl_Finance[Job Number],C89&amp;"",tbl_Finance[Xero Invoice No],"&lt;&gt;")=0,"",IFERROR(IF(COUNTIFS(tbl_Finance[Job Number],C89&amp;"",tbl_Finance[Xero Invoice No],LOOKUP(2,1/((tbl_Finance[Job Number]=C89&amp;"")*(tbl_Finance[Xero Invoice No]&lt;&gt;"")),tbl_Finance[Xero Invoice No]))=COUNTIFS(tbl_Finance[Job Number],C89&amp;"",tbl_Finance[Xero Invoice No],"&lt;&gt;"),LOOKUP(2,1/((tbl_Finance[Job Number]=C89&amp;"")*(tbl_Finance[Xero Invoice No]&lt;&gt;"")),tbl_Finance[Xero Invoice No]),LOOKUP(2,1/((tbl_Finance[Job Number]=C89&amp;"")*(tbl_Finance[Xero Invoice No]&lt;&gt;"")),tbl_Finance[Xero Invoice No])&amp;" +more"),"")))</f>
        <v/>
      </c>
      <c r="C89" s="24" t="n"/>
      <c r="D89" s="25">
        <f>IF(C89="","",IF(COUNTIF(lst_Jobs,C89&amp;"")&gt;0,"OK","CHECK"))</f>
        <v/>
      </c>
      <c r="E89" s="25">
        <f>IF(C89="","",IFERROR(INDEX(lst_JobName,MATCH(C89&amp;"",lst_Jobs,0)),""))</f>
        <v/>
      </c>
      <c r="F89" s="25">
        <f>IF(C89="","",IFERROR(INDEX(tbl_Finance[Client],MATCH(C89&amp;"",tbl_Finance[Job Number],0)),""))</f>
        <v/>
      </c>
      <c r="G89" s="28">
        <f>IF(C89="","",COUNTIFS(tbl_Finance[Job Number],C89&amp;"",tbl_Finance[Ex GST],"&lt;&gt;"))</f>
        <v/>
      </c>
      <c r="H89" s="27">
        <f>IF(C89="","",SUMIFS(tbl_Finance[Ex GST],tbl_Finance[Job Number],C89&amp;""))</f>
        <v/>
      </c>
      <c r="I89" s="27">
        <f>IF(C89="","",SUMIFS(tbl_Finance[Ex GST],tbl_Finance[Job Number],C89&amp;"",tbl_Finance[Xero Invoice No],"&lt;&gt;"))</f>
        <v/>
      </c>
      <c r="J89" s="27">
        <f>IF(C89="","",H89-I89)</f>
        <v/>
      </c>
      <c r="K89" s="25">
        <f>IF(C89="","",IF(G89=0,"not invoiced yet",SUBSTITUTE(TRIM(IF(COUNTIFS(tbl_Finance[Job Number],C89&amp;"",tbl_Finance[Cost Centre],"ONSITE")&gt;0,"ONSITE ","")&amp;IF(COUNTIFS(tbl_Finance[Job Number],C89&amp;"",tbl_Finance[Cost Centre],"PRODUCTION")&gt;0,"PRODUCTION ","")&amp;IF(COUNTIFS(tbl_Finance[Job Number],C89&amp;"",tbl_Finance[Cost Centre],"VIDEO")&gt;0,"VIDEO ","")&amp;IF(COUNTIFS(tbl_Finance[Job Number],C89&amp;"",tbl_Finance[Cost Centre],"INTEGRATION")&gt;0,"INTEGRATION ","")&amp;IF(COUNTIFS(tbl_Finance[Job Number],C89&amp;"",tbl_Finance[Cost Centre],"CONSULTING")&gt;0,"CONSULTING ","")&amp;IF(COUNTIFS(tbl_Finance[Job Number],C89&amp;"",tbl_Finance[Cost Centre],"CTS")&gt;0,"CTS ",""))," ",", ")))</f>
        <v/>
      </c>
      <c r="L89" s="22" t="n"/>
      <c r="M89" s="24" t="n"/>
      <c r="N89" s="25">
        <f>IF(M89="","",IF(AND(LEFT(M89,4)&lt;&gt;"http",set_RMSBase=""),"",HYPERLINK(IF(LEFT(M89,4)="http",M89,set_RMSBase&amp;M89),"Open opportunity")))</f>
        <v/>
      </c>
      <c r="O89" s="25">
        <f>IF(C89="","",C89)</f>
        <v/>
      </c>
      <c r="P89" s="24" t="n"/>
      <c r="Q89" s="26" t="n"/>
      <c r="R89" s="27">
        <f>IF(C89="","",H89+N(Q89))</f>
        <v/>
      </c>
      <c r="S89" s="29">
        <f>IFERROR(Q89/R89,"")</f>
        <v/>
      </c>
      <c r="T89" s="26" t="n"/>
      <c r="U89" s="26" t="n"/>
      <c r="V89" s="27">
        <f>IF(C89="","",N(T89)+N(U89))</f>
        <v/>
      </c>
      <c r="W89" s="27">
        <f>IF(C89="","",H89-V89)</f>
        <v/>
      </c>
      <c r="X89" s="29">
        <f>IFERROR(W89/H89,"")</f>
        <v/>
      </c>
      <c r="Y89" s="64" t="n"/>
      <c r="Z89" s="64" t="n"/>
      <c r="AA89" s="64" t="n"/>
      <c r="AB89" s="64" t="n"/>
      <c r="AC89" s="64" t="n"/>
      <c r="AD89" s="24" t="n"/>
    </row>
    <row r="90" ht="15" customHeight="1">
      <c r="A90" s="63">
        <f>IF(C90="","",IFERROR(IF(SUMPRODUCT(MAX((tbl_Finance[Job Number]=C90&amp;"")*(tbl_Finance[Xero Invoice No]&lt;&gt;"")*tbl_Finance[Date]))=0,"",SUMPRODUCT(MAX((tbl_Finance[Job Number]=C90&amp;"")*(tbl_Finance[Xero Invoice No]&lt;&gt;"")*tbl_Finance[Date]))),""))</f>
        <v/>
      </c>
      <c r="B90" s="25">
        <f>IF(C90="","",IF(COUNTIFS(tbl_Finance[Job Number],C90&amp;"",tbl_Finance[Xero Invoice No],"&lt;&gt;")=0,"",IFERROR(IF(COUNTIFS(tbl_Finance[Job Number],C90&amp;"",tbl_Finance[Xero Invoice No],LOOKUP(2,1/((tbl_Finance[Job Number]=C90&amp;"")*(tbl_Finance[Xero Invoice No]&lt;&gt;"")),tbl_Finance[Xero Invoice No]))=COUNTIFS(tbl_Finance[Job Number],C90&amp;"",tbl_Finance[Xero Invoice No],"&lt;&gt;"),LOOKUP(2,1/((tbl_Finance[Job Number]=C90&amp;"")*(tbl_Finance[Xero Invoice No]&lt;&gt;"")),tbl_Finance[Xero Invoice No]),LOOKUP(2,1/((tbl_Finance[Job Number]=C90&amp;"")*(tbl_Finance[Xero Invoice No]&lt;&gt;"")),tbl_Finance[Xero Invoice No])&amp;" +more"),"")))</f>
        <v/>
      </c>
      <c r="C90" s="24" t="n"/>
      <c r="D90" s="25">
        <f>IF(C90="","",IF(COUNTIF(lst_Jobs,C90&amp;"")&gt;0,"OK","CHECK"))</f>
        <v/>
      </c>
      <c r="E90" s="25">
        <f>IF(C90="","",IFERROR(INDEX(lst_JobName,MATCH(C90&amp;"",lst_Jobs,0)),""))</f>
        <v/>
      </c>
      <c r="F90" s="25">
        <f>IF(C90="","",IFERROR(INDEX(tbl_Finance[Client],MATCH(C90&amp;"",tbl_Finance[Job Number],0)),""))</f>
        <v/>
      </c>
      <c r="G90" s="28">
        <f>IF(C90="","",COUNTIFS(tbl_Finance[Job Number],C90&amp;"",tbl_Finance[Ex GST],"&lt;&gt;"))</f>
        <v/>
      </c>
      <c r="H90" s="27">
        <f>IF(C90="","",SUMIFS(tbl_Finance[Ex GST],tbl_Finance[Job Number],C90&amp;""))</f>
        <v/>
      </c>
      <c r="I90" s="27">
        <f>IF(C90="","",SUMIFS(tbl_Finance[Ex GST],tbl_Finance[Job Number],C90&amp;"",tbl_Finance[Xero Invoice No],"&lt;&gt;"))</f>
        <v/>
      </c>
      <c r="J90" s="27">
        <f>IF(C90="","",H90-I90)</f>
        <v/>
      </c>
      <c r="K90" s="25">
        <f>IF(C90="","",IF(G90=0,"not invoiced yet",SUBSTITUTE(TRIM(IF(COUNTIFS(tbl_Finance[Job Number],C90&amp;"",tbl_Finance[Cost Centre],"ONSITE")&gt;0,"ONSITE ","")&amp;IF(COUNTIFS(tbl_Finance[Job Number],C90&amp;"",tbl_Finance[Cost Centre],"PRODUCTION")&gt;0,"PRODUCTION ","")&amp;IF(COUNTIFS(tbl_Finance[Job Number],C90&amp;"",tbl_Finance[Cost Centre],"VIDEO")&gt;0,"VIDEO ","")&amp;IF(COUNTIFS(tbl_Finance[Job Number],C90&amp;"",tbl_Finance[Cost Centre],"INTEGRATION")&gt;0,"INTEGRATION ","")&amp;IF(COUNTIFS(tbl_Finance[Job Number],C90&amp;"",tbl_Finance[Cost Centre],"CONSULTING")&gt;0,"CONSULTING ","")&amp;IF(COUNTIFS(tbl_Finance[Job Number],C90&amp;"",tbl_Finance[Cost Centre],"CTS")&gt;0,"CTS ",""))," ",", ")))</f>
        <v/>
      </c>
      <c r="L90" s="22" t="n"/>
      <c r="M90" s="24" t="n"/>
      <c r="N90" s="25">
        <f>IF(M90="","",IF(AND(LEFT(M90,4)&lt;&gt;"http",set_RMSBase=""),"",HYPERLINK(IF(LEFT(M90,4)="http",M90,set_RMSBase&amp;M90),"Open opportunity")))</f>
        <v/>
      </c>
      <c r="O90" s="25">
        <f>IF(C90="","",C90)</f>
        <v/>
      </c>
      <c r="P90" s="24" t="n"/>
      <c r="Q90" s="26" t="n"/>
      <c r="R90" s="27">
        <f>IF(C90="","",H90+N(Q90))</f>
        <v/>
      </c>
      <c r="S90" s="29">
        <f>IFERROR(Q90/R90,"")</f>
        <v/>
      </c>
      <c r="T90" s="26" t="n"/>
      <c r="U90" s="26" t="n"/>
      <c r="V90" s="27">
        <f>IF(C90="","",N(T90)+N(U90))</f>
        <v/>
      </c>
      <c r="W90" s="27">
        <f>IF(C90="","",H90-V90)</f>
        <v/>
      </c>
      <c r="X90" s="29">
        <f>IFERROR(W90/H90,"")</f>
        <v/>
      </c>
      <c r="Y90" s="64" t="n"/>
      <c r="Z90" s="64" t="n"/>
      <c r="AA90" s="64" t="n"/>
      <c r="AB90" s="64" t="n"/>
      <c r="AC90" s="64" t="n"/>
      <c r="AD90" s="24" t="n"/>
    </row>
    <row r="91" ht="15" customHeight="1">
      <c r="A91" s="63">
        <f>IF(C91="","",IFERROR(IF(SUMPRODUCT(MAX((tbl_Finance[Job Number]=C91&amp;"")*(tbl_Finance[Xero Invoice No]&lt;&gt;"")*tbl_Finance[Date]))=0,"",SUMPRODUCT(MAX((tbl_Finance[Job Number]=C91&amp;"")*(tbl_Finance[Xero Invoice No]&lt;&gt;"")*tbl_Finance[Date]))),""))</f>
        <v/>
      </c>
      <c r="B91" s="25">
        <f>IF(C91="","",IF(COUNTIFS(tbl_Finance[Job Number],C91&amp;"",tbl_Finance[Xero Invoice No],"&lt;&gt;")=0,"",IFERROR(IF(COUNTIFS(tbl_Finance[Job Number],C91&amp;"",tbl_Finance[Xero Invoice No],LOOKUP(2,1/((tbl_Finance[Job Number]=C91&amp;"")*(tbl_Finance[Xero Invoice No]&lt;&gt;"")),tbl_Finance[Xero Invoice No]))=COUNTIFS(tbl_Finance[Job Number],C91&amp;"",tbl_Finance[Xero Invoice No],"&lt;&gt;"),LOOKUP(2,1/((tbl_Finance[Job Number]=C91&amp;"")*(tbl_Finance[Xero Invoice No]&lt;&gt;"")),tbl_Finance[Xero Invoice No]),LOOKUP(2,1/((tbl_Finance[Job Number]=C91&amp;"")*(tbl_Finance[Xero Invoice No]&lt;&gt;"")),tbl_Finance[Xero Invoice No])&amp;" +more"),"")))</f>
        <v/>
      </c>
      <c r="C91" s="24" t="n"/>
      <c r="D91" s="25">
        <f>IF(C91="","",IF(COUNTIF(lst_Jobs,C91&amp;"")&gt;0,"OK","CHECK"))</f>
        <v/>
      </c>
      <c r="E91" s="25">
        <f>IF(C91="","",IFERROR(INDEX(lst_JobName,MATCH(C91&amp;"",lst_Jobs,0)),""))</f>
        <v/>
      </c>
      <c r="F91" s="25">
        <f>IF(C91="","",IFERROR(INDEX(tbl_Finance[Client],MATCH(C91&amp;"",tbl_Finance[Job Number],0)),""))</f>
        <v/>
      </c>
      <c r="G91" s="28">
        <f>IF(C91="","",COUNTIFS(tbl_Finance[Job Number],C91&amp;"",tbl_Finance[Ex GST],"&lt;&gt;"))</f>
        <v/>
      </c>
      <c r="H91" s="27">
        <f>IF(C91="","",SUMIFS(tbl_Finance[Ex GST],tbl_Finance[Job Number],C91&amp;""))</f>
        <v/>
      </c>
      <c r="I91" s="27">
        <f>IF(C91="","",SUMIFS(tbl_Finance[Ex GST],tbl_Finance[Job Number],C91&amp;"",tbl_Finance[Xero Invoice No],"&lt;&gt;"))</f>
        <v/>
      </c>
      <c r="J91" s="27">
        <f>IF(C91="","",H91-I91)</f>
        <v/>
      </c>
      <c r="K91" s="25">
        <f>IF(C91="","",IF(G91=0,"not invoiced yet",SUBSTITUTE(TRIM(IF(COUNTIFS(tbl_Finance[Job Number],C91&amp;"",tbl_Finance[Cost Centre],"ONSITE")&gt;0,"ONSITE ","")&amp;IF(COUNTIFS(tbl_Finance[Job Number],C91&amp;"",tbl_Finance[Cost Centre],"PRODUCTION")&gt;0,"PRODUCTION ","")&amp;IF(COUNTIFS(tbl_Finance[Job Number],C91&amp;"",tbl_Finance[Cost Centre],"VIDEO")&gt;0,"VIDEO ","")&amp;IF(COUNTIFS(tbl_Finance[Job Number],C91&amp;"",tbl_Finance[Cost Centre],"INTEGRATION")&gt;0,"INTEGRATION ","")&amp;IF(COUNTIFS(tbl_Finance[Job Number],C91&amp;"",tbl_Finance[Cost Centre],"CONSULTING")&gt;0,"CONSULTING ","")&amp;IF(COUNTIFS(tbl_Finance[Job Number],C91&amp;"",tbl_Finance[Cost Centre],"CTS")&gt;0,"CTS ",""))," ",", ")))</f>
        <v/>
      </c>
      <c r="L91" s="22" t="n"/>
      <c r="M91" s="24" t="n"/>
      <c r="N91" s="25">
        <f>IF(M91="","",IF(AND(LEFT(M91,4)&lt;&gt;"http",set_RMSBase=""),"",HYPERLINK(IF(LEFT(M91,4)="http",M91,set_RMSBase&amp;M91),"Open opportunity")))</f>
        <v/>
      </c>
      <c r="O91" s="25">
        <f>IF(C91="","",C91)</f>
        <v/>
      </c>
      <c r="P91" s="24" t="n"/>
      <c r="Q91" s="26" t="n"/>
      <c r="R91" s="27">
        <f>IF(C91="","",H91+N(Q91))</f>
        <v/>
      </c>
      <c r="S91" s="29">
        <f>IFERROR(Q91/R91,"")</f>
        <v/>
      </c>
      <c r="T91" s="26" t="n"/>
      <c r="U91" s="26" t="n"/>
      <c r="V91" s="27">
        <f>IF(C91="","",N(T91)+N(U91))</f>
        <v/>
      </c>
      <c r="W91" s="27">
        <f>IF(C91="","",H91-V91)</f>
        <v/>
      </c>
      <c r="X91" s="29">
        <f>IFERROR(W91/H91,"")</f>
        <v/>
      </c>
      <c r="Y91" s="64" t="n"/>
      <c r="Z91" s="64" t="n"/>
      <c r="AA91" s="64" t="n"/>
      <c r="AB91" s="64" t="n"/>
      <c r="AC91" s="64" t="n"/>
      <c r="AD91" s="24" t="n"/>
    </row>
    <row r="92" ht="15" customHeight="1">
      <c r="A92" s="63">
        <f>IF(C92="","",IFERROR(IF(SUMPRODUCT(MAX((tbl_Finance[Job Number]=C92&amp;"")*(tbl_Finance[Xero Invoice No]&lt;&gt;"")*tbl_Finance[Date]))=0,"",SUMPRODUCT(MAX((tbl_Finance[Job Number]=C92&amp;"")*(tbl_Finance[Xero Invoice No]&lt;&gt;"")*tbl_Finance[Date]))),""))</f>
        <v/>
      </c>
      <c r="B92" s="25">
        <f>IF(C92="","",IF(COUNTIFS(tbl_Finance[Job Number],C92&amp;"",tbl_Finance[Xero Invoice No],"&lt;&gt;")=0,"",IFERROR(IF(COUNTIFS(tbl_Finance[Job Number],C92&amp;"",tbl_Finance[Xero Invoice No],LOOKUP(2,1/((tbl_Finance[Job Number]=C92&amp;"")*(tbl_Finance[Xero Invoice No]&lt;&gt;"")),tbl_Finance[Xero Invoice No]))=COUNTIFS(tbl_Finance[Job Number],C92&amp;"",tbl_Finance[Xero Invoice No],"&lt;&gt;"),LOOKUP(2,1/((tbl_Finance[Job Number]=C92&amp;"")*(tbl_Finance[Xero Invoice No]&lt;&gt;"")),tbl_Finance[Xero Invoice No]),LOOKUP(2,1/((tbl_Finance[Job Number]=C92&amp;"")*(tbl_Finance[Xero Invoice No]&lt;&gt;"")),tbl_Finance[Xero Invoice No])&amp;" +more"),"")))</f>
        <v/>
      </c>
      <c r="C92" s="24" t="n"/>
      <c r="D92" s="25">
        <f>IF(C92="","",IF(COUNTIF(lst_Jobs,C92&amp;"")&gt;0,"OK","CHECK"))</f>
        <v/>
      </c>
      <c r="E92" s="25">
        <f>IF(C92="","",IFERROR(INDEX(lst_JobName,MATCH(C92&amp;"",lst_Jobs,0)),""))</f>
        <v/>
      </c>
      <c r="F92" s="25">
        <f>IF(C92="","",IFERROR(INDEX(tbl_Finance[Client],MATCH(C92&amp;"",tbl_Finance[Job Number],0)),""))</f>
        <v/>
      </c>
      <c r="G92" s="28">
        <f>IF(C92="","",COUNTIFS(tbl_Finance[Job Number],C92&amp;"",tbl_Finance[Ex GST],"&lt;&gt;"))</f>
        <v/>
      </c>
      <c r="H92" s="27">
        <f>IF(C92="","",SUMIFS(tbl_Finance[Ex GST],tbl_Finance[Job Number],C92&amp;""))</f>
        <v/>
      </c>
      <c r="I92" s="27">
        <f>IF(C92="","",SUMIFS(tbl_Finance[Ex GST],tbl_Finance[Job Number],C92&amp;"",tbl_Finance[Xero Invoice No],"&lt;&gt;"))</f>
        <v/>
      </c>
      <c r="J92" s="27">
        <f>IF(C92="","",H92-I92)</f>
        <v/>
      </c>
      <c r="K92" s="25">
        <f>IF(C92="","",IF(G92=0,"not invoiced yet",SUBSTITUTE(TRIM(IF(COUNTIFS(tbl_Finance[Job Number],C92&amp;"",tbl_Finance[Cost Centre],"ONSITE")&gt;0,"ONSITE ","")&amp;IF(COUNTIFS(tbl_Finance[Job Number],C92&amp;"",tbl_Finance[Cost Centre],"PRODUCTION")&gt;0,"PRODUCTION ","")&amp;IF(COUNTIFS(tbl_Finance[Job Number],C92&amp;"",tbl_Finance[Cost Centre],"VIDEO")&gt;0,"VIDEO ","")&amp;IF(COUNTIFS(tbl_Finance[Job Number],C92&amp;"",tbl_Finance[Cost Centre],"INTEGRATION")&gt;0,"INTEGRATION ","")&amp;IF(COUNTIFS(tbl_Finance[Job Number],C92&amp;"",tbl_Finance[Cost Centre],"CONSULTING")&gt;0,"CONSULTING ","")&amp;IF(COUNTIFS(tbl_Finance[Job Number],C92&amp;"",tbl_Finance[Cost Centre],"CTS")&gt;0,"CTS ",""))," ",", ")))</f>
        <v/>
      </c>
      <c r="L92" s="22" t="n"/>
      <c r="M92" s="24" t="n"/>
      <c r="N92" s="25">
        <f>IF(M92="","",IF(AND(LEFT(M92,4)&lt;&gt;"http",set_RMSBase=""),"",HYPERLINK(IF(LEFT(M92,4)="http",M92,set_RMSBase&amp;M92),"Open opportunity")))</f>
        <v/>
      </c>
      <c r="O92" s="25">
        <f>IF(C92="","",C92)</f>
        <v/>
      </c>
      <c r="P92" s="24" t="n"/>
      <c r="Q92" s="26" t="n"/>
      <c r="R92" s="27">
        <f>IF(C92="","",H92+N(Q92))</f>
        <v/>
      </c>
      <c r="S92" s="29">
        <f>IFERROR(Q92/R92,"")</f>
        <v/>
      </c>
      <c r="T92" s="26" t="n"/>
      <c r="U92" s="26" t="n"/>
      <c r="V92" s="27">
        <f>IF(C92="","",N(T92)+N(U92))</f>
        <v/>
      </c>
      <c r="W92" s="27">
        <f>IF(C92="","",H92-V92)</f>
        <v/>
      </c>
      <c r="X92" s="29">
        <f>IFERROR(W92/H92,"")</f>
        <v/>
      </c>
      <c r="Y92" s="64" t="n"/>
      <c r="Z92" s="64" t="n"/>
      <c r="AA92" s="64" t="n"/>
      <c r="AB92" s="64" t="n"/>
      <c r="AC92" s="64" t="n"/>
      <c r="AD92" s="24" t="n"/>
    </row>
    <row r="93" ht="15" customHeight="1">
      <c r="A93" s="63">
        <f>IF(C93="","",IFERROR(IF(SUMPRODUCT(MAX((tbl_Finance[Job Number]=C93&amp;"")*(tbl_Finance[Xero Invoice No]&lt;&gt;"")*tbl_Finance[Date]))=0,"",SUMPRODUCT(MAX((tbl_Finance[Job Number]=C93&amp;"")*(tbl_Finance[Xero Invoice No]&lt;&gt;"")*tbl_Finance[Date]))),""))</f>
        <v/>
      </c>
      <c r="B93" s="25">
        <f>IF(C93="","",IF(COUNTIFS(tbl_Finance[Job Number],C93&amp;"",tbl_Finance[Xero Invoice No],"&lt;&gt;")=0,"",IFERROR(IF(COUNTIFS(tbl_Finance[Job Number],C93&amp;"",tbl_Finance[Xero Invoice No],LOOKUP(2,1/((tbl_Finance[Job Number]=C93&amp;"")*(tbl_Finance[Xero Invoice No]&lt;&gt;"")),tbl_Finance[Xero Invoice No]))=COUNTIFS(tbl_Finance[Job Number],C93&amp;"",tbl_Finance[Xero Invoice No],"&lt;&gt;"),LOOKUP(2,1/((tbl_Finance[Job Number]=C93&amp;"")*(tbl_Finance[Xero Invoice No]&lt;&gt;"")),tbl_Finance[Xero Invoice No]),LOOKUP(2,1/((tbl_Finance[Job Number]=C93&amp;"")*(tbl_Finance[Xero Invoice No]&lt;&gt;"")),tbl_Finance[Xero Invoice No])&amp;" +more"),"")))</f>
        <v/>
      </c>
      <c r="C93" s="24" t="n"/>
      <c r="D93" s="25">
        <f>IF(C93="","",IF(COUNTIF(lst_Jobs,C93&amp;"")&gt;0,"OK","CHECK"))</f>
        <v/>
      </c>
      <c r="E93" s="25">
        <f>IF(C93="","",IFERROR(INDEX(lst_JobName,MATCH(C93&amp;"",lst_Jobs,0)),""))</f>
        <v/>
      </c>
      <c r="F93" s="25">
        <f>IF(C93="","",IFERROR(INDEX(tbl_Finance[Client],MATCH(C93&amp;"",tbl_Finance[Job Number],0)),""))</f>
        <v/>
      </c>
      <c r="G93" s="28">
        <f>IF(C93="","",COUNTIFS(tbl_Finance[Job Number],C93&amp;"",tbl_Finance[Ex GST],"&lt;&gt;"))</f>
        <v/>
      </c>
      <c r="H93" s="27">
        <f>IF(C93="","",SUMIFS(tbl_Finance[Ex GST],tbl_Finance[Job Number],C93&amp;""))</f>
        <v/>
      </c>
      <c r="I93" s="27">
        <f>IF(C93="","",SUMIFS(tbl_Finance[Ex GST],tbl_Finance[Job Number],C93&amp;"",tbl_Finance[Xero Invoice No],"&lt;&gt;"))</f>
        <v/>
      </c>
      <c r="J93" s="27">
        <f>IF(C93="","",H93-I93)</f>
        <v/>
      </c>
      <c r="K93" s="25">
        <f>IF(C93="","",IF(G93=0,"not invoiced yet",SUBSTITUTE(TRIM(IF(COUNTIFS(tbl_Finance[Job Number],C93&amp;"",tbl_Finance[Cost Centre],"ONSITE")&gt;0,"ONSITE ","")&amp;IF(COUNTIFS(tbl_Finance[Job Number],C93&amp;"",tbl_Finance[Cost Centre],"PRODUCTION")&gt;0,"PRODUCTION ","")&amp;IF(COUNTIFS(tbl_Finance[Job Number],C93&amp;"",tbl_Finance[Cost Centre],"VIDEO")&gt;0,"VIDEO ","")&amp;IF(COUNTIFS(tbl_Finance[Job Number],C93&amp;"",tbl_Finance[Cost Centre],"INTEGRATION")&gt;0,"INTEGRATION ","")&amp;IF(COUNTIFS(tbl_Finance[Job Number],C93&amp;"",tbl_Finance[Cost Centre],"CONSULTING")&gt;0,"CONSULTING ","")&amp;IF(COUNTIFS(tbl_Finance[Job Number],C93&amp;"",tbl_Finance[Cost Centre],"CTS")&gt;0,"CTS ",""))," ",", ")))</f>
        <v/>
      </c>
      <c r="L93" s="22" t="n"/>
      <c r="M93" s="24" t="n"/>
      <c r="N93" s="25">
        <f>IF(M93="","",IF(AND(LEFT(M93,4)&lt;&gt;"http",set_RMSBase=""),"",HYPERLINK(IF(LEFT(M93,4)="http",M93,set_RMSBase&amp;M93),"Open opportunity")))</f>
        <v/>
      </c>
      <c r="O93" s="25">
        <f>IF(C93="","",C93)</f>
        <v/>
      </c>
      <c r="P93" s="24" t="n"/>
      <c r="Q93" s="26" t="n"/>
      <c r="R93" s="27">
        <f>IF(C93="","",H93+N(Q93))</f>
        <v/>
      </c>
      <c r="S93" s="29">
        <f>IFERROR(Q93/R93,"")</f>
        <v/>
      </c>
      <c r="T93" s="26" t="n"/>
      <c r="U93" s="26" t="n"/>
      <c r="V93" s="27">
        <f>IF(C93="","",N(T93)+N(U93))</f>
        <v/>
      </c>
      <c r="W93" s="27">
        <f>IF(C93="","",H93-V93)</f>
        <v/>
      </c>
      <c r="X93" s="29">
        <f>IFERROR(W93/H93,"")</f>
        <v/>
      </c>
      <c r="Y93" s="64" t="n"/>
      <c r="Z93" s="64" t="n"/>
      <c r="AA93" s="64" t="n"/>
      <c r="AB93" s="64" t="n"/>
      <c r="AC93" s="64" t="n"/>
      <c r="AD93" s="24" t="n"/>
    </row>
    <row r="94" ht="15" customHeight="1">
      <c r="A94" s="63">
        <f>IF(C94="","",IFERROR(IF(SUMPRODUCT(MAX((tbl_Finance[Job Number]=C94&amp;"")*(tbl_Finance[Xero Invoice No]&lt;&gt;"")*tbl_Finance[Date]))=0,"",SUMPRODUCT(MAX((tbl_Finance[Job Number]=C94&amp;"")*(tbl_Finance[Xero Invoice No]&lt;&gt;"")*tbl_Finance[Date]))),""))</f>
        <v/>
      </c>
      <c r="B94" s="25">
        <f>IF(C94="","",IF(COUNTIFS(tbl_Finance[Job Number],C94&amp;"",tbl_Finance[Xero Invoice No],"&lt;&gt;")=0,"",IFERROR(IF(COUNTIFS(tbl_Finance[Job Number],C94&amp;"",tbl_Finance[Xero Invoice No],LOOKUP(2,1/((tbl_Finance[Job Number]=C94&amp;"")*(tbl_Finance[Xero Invoice No]&lt;&gt;"")),tbl_Finance[Xero Invoice No]))=COUNTIFS(tbl_Finance[Job Number],C94&amp;"",tbl_Finance[Xero Invoice No],"&lt;&gt;"),LOOKUP(2,1/((tbl_Finance[Job Number]=C94&amp;"")*(tbl_Finance[Xero Invoice No]&lt;&gt;"")),tbl_Finance[Xero Invoice No]),LOOKUP(2,1/((tbl_Finance[Job Number]=C94&amp;"")*(tbl_Finance[Xero Invoice No]&lt;&gt;"")),tbl_Finance[Xero Invoice No])&amp;" +more"),"")))</f>
        <v/>
      </c>
      <c r="C94" s="24" t="n"/>
      <c r="D94" s="25">
        <f>IF(C94="","",IF(COUNTIF(lst_Jobs,C94&amp;"")&gt;0,"OK","CHECK"))</f>
        <v/>
      </c>
      <c r="E94" s="25">
        <f>IF(C94="","",IFERROR(INDEX(lst_JobName,MATCH(C94&amp;"",lst_Jobs,0)),""))</f>
        <v/>
      </c>
      <c r="F94" s="25">
        <f>IF(C94="","",IFERROR(INDEX(tbl_Finance[Client],MATCH(C94&amp;"",tbl_Finance[Job Number],0)),""))</f>
        <v/>
      </c>
      <c r="G94" s="28">
        <f>IF(C94="","",COUNTIFS(tbl_Finance[Job Number],C94&amp;"",tbl_Finance[Ex GST],"&lt;&gt;"))</f>
        <v/>
      </c>
      <c r="H94" s="27">
        <f>IF(C94="","",SUMIFS(tbl_Finance[Ex GST],tbl_Finance[Job Number],C94&amp;""))</f>
        <v/>
      </c>
      <c r="I94" s="27">
        <f>IF(C94="","",SUMIFS(tbl_Finance[Ex GST],tbl_Finance[Job Number],C94&amp;"",tbl_Finance[Xero Invoice No],"&lt;&gt;"))</f>
        <v/>
      </c>
      <c r="J94" s="27">
        <f>IF(C94="","",H94-I94)</f>
        <v/>
      </c>
      <c r="K94" s="25">
        <f>IF(C94="","",IF(G94=0,"not invoiced yet",SUBSTITUTE(TRIM(IF(COUNTIFS(tbl_Finance[Job Number],C94&amp;"",tbl_Finance[Cost Centre],"ONSITE")&gt;0,"ONSITE ","")&amp;IF(COUNTIFS(tbl_Finance[Job Number],C94&amp;"",tbl_Finance[Cost Centre],"PRODUCTION")&gt;0,"PRODUCTION ","")&amp;IF(COUNTIFS(tbl_Finance[Job Number],C94&amp;"",tbl_Finance[Cost Centre],"VIDEO")&gt;0,"VIDEO ","")&amp;IF(COUNTIFS(tbl_Finance[Job Number],C94&amp;"",tbl_Finance[Cost Centre],"INTEGRATION")&gt;0,"INTEGRATION ","")&amp;IF(COUNTIFS(tbl_Finance[Job Number],C94&amp;"",tbl_Finance[Cost Centre],"CONSULTING")&gt;0,"CONSULTING ","")&amp;IF(COUNTIFS(tbl_Finance[Job Number],C94&amp;"",tbl_Finance[Cost Centre],"CTS")&gt;0,"CTS ",""))," ",", ")))</f>
        <v/>
      </c>
      <c r="L94" s="22" t="n"/>
      <c r="M94" s="24" t="n"/>
      <c r="N94" s="25">
        <f>IF(M94="","",IF(AND(LEFT(M94,4)&lt;&gt;"http",set_RMSBase=""),"",HYPERLINK(IF(LEFT(M94,4)="http",M94,set_RMSBase&amp;M94),"Open opportunity")))</f>
        <v/>
      </c>
      <c r="O94" s="25">
        <f>IF(C94="","",C94)</f>
        <v/>
      </c>
      <c r="P94" s="24" t="n"/>
      <c r="Q94" s="26" t="n"/>
      <c r="R94" s="27">
        <f>IF(C94="","",H94+N(Q94))</f>
        <v/>
      </c>
      <c r="S94" s="29">
        <f>IFERROR(Q94/R94,"")</f>
        <v/>
      </c>
      <c r="T94" s="26" t="n"/>
      <c r="U94" s="26" t="n"/>
      <c r="V94" s="27">
        <f>IF(C94="","",N(T94)+N(U94))</f>
        <v/>
      </c>
      <c r="W94" s="27">
        <f>IF(C94="","",H94-V94)</f>
        <v/>
      </c>
      <c r="X94" s="29">
        <f>IFERROR(W94/H94,"")</f>
        <v/>
      </c>
      <c r="Y94" s="64" t="n"/>
      <c r="Z94" s="64" t="n"/>
      <c r="AA94" s="64" t="n"/>
      <c r="AB94" s="64" t="n"/>
      <c r="AC94" s="64" t="n"/>
      <c r="AD94" s="24" t="n"/>
    </row>
    <row r="95" ht="15" customHeight="1">
      <c r="A95" s="63">
        <f>IF(C95="","",IFERROR(IF(SUMPRODUCT(MAX((tbl_Finance[Job Number]=C95&amp;"")*(tbl_Finance[Xero Invoice No]&lt;&gt;"")*tbl_Finance[Date]))=0,"",SUMPRODUCT(MAX((tbl_Finance[Job Number]=C95&amp;"")*(tbl_Finance[Xero Invoice No]&lt;&gt;"")*tbl_Finance[Date]))),""))</f>
        <v/>
      </c>
      <c r="B95" s="25">
        <f>IF(C95="","",IF(COUNTIFS(tbl_Finance[Job Number],C95&amp;"",tbl_Finance[Xero Invoice No],"&lt;&gt;")=0,"",IFERROR(IF(COUNTIFS(tbl_Finance[Job Number],C95&amp;"",tbl_Finance[Xero Invoice No],LOOKUP(2,1/((tbl_Finance[Job Number]=C95&amp;"")*(tbl_Finance[Xero Invoice No]&lt;&gt;"")),tbl_Finance[Xero Invoice No]))=COUNTIFS(tbl_Finance[Job Number],C95&amp;"",tbl_Finance[Xero Invoice No],"&lt;&gt;"),LOOKUP(2,1/((tbl_Finance[Job Number]=C95&amp;"")*(tbl_Finance[Xero Invoice No]&lt;&gt;"")),tbl_Finance[Xero Invoice No]),LOOKUP(2,1/((tbl_Finance[Job Number]=C95&amp;"")*(tbl_Finance[Xero Invoice No]&lt;&gt;"")),tbl_Finance[Xero Invoice No])&amp;" +more"),"")))</f>
        <v/>
      </c>
      <c r="C95" s="24" t="n"/>
      <c r="D95" s="25">
        <f>IF(C95="","",IF(COUNTIF(lst_Jobs,C95&amp;"")&gt;0,"OK","CHECK"))</f>
        <v/>
      </c>
      <c r="E95" s="25">
        <f>IF(C95="","",IFERROR(INDEX(lst_JobName,MATCH(C95&amp;"",lst_Jobs,0)),""))</f>
        <v/>
      </c>
      <c r="F95" s="25">
        <f>IF(C95="","",IFERROR(INDEX(tbl_Finance[Client],MATCH(C95&amp;"",tbl_Finance[Job Number],0)),""))</f>
        <v/>
      </c>
      <c r="G95" s="28">
        <f>IF(C95="","",COUNTIFS(tbl_Finance[Job Number],C95&amp;"",tbl_Finance[Ex GST],"&lt;&gt;"))</f>
        <v/>
      </c>
      <c r="H95" s="27">
        <f>IF(C95="","",SUMIFS(tbl_Finance[Ex GST],tbl_Finance[Job Number],C95&amp;""))</f>
        <v/>
      </c>
      <c r="I95" s="27">
        <f>IF(C95="","",SUMIFS(tbl_Finance[Ex GST],tbl_Finance[Job Number],C95&amp;"",tbl_Finance[Xero Invoice No],"&lt;&gt;"))</f>
        <v/>
      </c>
      <c r="J95" s="27">
        <f>IF(C95="","",H95-I95)</f>
        <v/>
      </c>
      <c r="K95" s="25">
        <f>IF(C95="","",IF(G95=0,"not invoiced yet",SUBSTITUTE(TRIM(IF(COUNTIFS(tbl_Finance[Job Number],C95&amp;"",tbl_Finance[Cost Centre],"ONSITE")&gt;0,"ONSITE ","")&amp;IF(COUNTIFS(tbl_Finance[Job Number],C95&amp;"",tbl_Finance[Cost Centre],"PRODUCTION")&gt;0,"PRODUCTION ","")&amp;IF(COUNTIFS(tbl_Finance[Job Number],C95&amp;"",tbl_Finance[Cost Centre],"VIDEO")&gt;0,"VIDEO ","")&amp;IF(COUNTIFS(tbl_Finance[Job Number],C95&amp;"",tbl_Finance[Cost Centre],"INTEGRATION")&gt;0,"INTEGRATION ","")&amp;IF(COUNTIFS(tbl_Finance[Job Number],C95&amp;"",tbl_Finance[Cost Centre],"CONSULTING")&gt;0,"CONSULTING ","")&amp;IF(COUNTIFS(tbl_Finance[Job Number],C95&amp;"",tbl_Finance[Cost Centre],"CTS")&gt;0,"CTS ",""))," ",", ")))</f>
        <v/>
      </c>
      <c r="L95" s="22" t="n"/>
      <c r="M95" s="24" t="n"/>
      <c r="N95" s="25">
        <f>IF(M95="","",IF(AND(LEFT(M95,4)&lt;&gt;"http",set_RMSBase=""),"",HYPERLINK(IF(LEFT(M95,4)="http",M95,set_RMSBase&amp;M95),"Open opportunity")))</f>
        <v/>
      </c>
      <c r="O95" s="25">
        <f>IF(C95="","",C95)</f>
        <v/>
      </c>
      <c r="P95" s="24" t="n"/>
      <c r="Q95" s="26" t="n"/>
      <c r="R95" s="27">
        <f>IF(C95="","",H95+N(Q95))</f>
        <v/>
      </c>
      <c r="S95" s="29">
        <f>IFERROR(Q95/R95,"")</f>
        <v/>
      </c>
      <c r="T95" s="26" t="n"/>
      <c r="U95" s="26" t="n"/>
      <c r="V95" s="27">
        <f>IF(C95="","",N(T95)+N(U95))</f>
        <v/>
      </c>
      <c r="W95" s="27">
        <f>IF(C95="","",H95-V95)</f>
        <v/>
      </c>
      <c r="X95" s="29">
        <f>IFERROR(W95/H95,"")</f>
        <v/>
      </c>
      <c r="Y95" s="64" t="n"/>
      <c r="Z95" s="64" t="n"/>
      <c r="AA95" s="64" t="n"/>
      <c r="AB95" s="64" t="n"/>
      <c r="AC95" s="64" t="n"/>
      <c r="AD95" s="24" t="n"/>
    </row>
    <row r="96" ht="15" customHeight="1">
      <c r="A96" s="63">
        <f>IF(C96="","",IFERROR(IF(SUMPRODUCT(MAX((tbl_Finance[Job Number]=C96&amp;"")*(tbl_Finance[Xero Invoice No]&lt;&gt;"")*tbl_Finance[Date]))=0,"",SUMPRODUCT(MAX((tbl_Finance[Job Number]=C96&amp;"")*(tbl_Finance[Xero Invoice No]&lt;&gt;"")*tbl_Finance[Date]))),""))</f>
        <v/>
      </c>
      <c r="B96" s="25">
        <f>IF(C96="","",IF(COUNTIFS(tbl_Finance[Job Number],C96&amp;"",tbl_Finance[Xero Invoice No],"&lt;&gt;")=0,"",IFERROR(IF(COUNTIFS(tbl_Finance[Job Number],C96&amp;"",tbl_Finance[Xero Invoice No],LOOKUP(2,1/((tbl_Finance[Job Number]=C96&amp;"")*(tbl_Finance[Xero Invoice No]&lt;&gt;"")),tbl_Finance[Xero Invoice No]))=COUNTIFS(tbl_Finance[Job Number],C96&amp;"",tbl_Finance[Xero Invoice No],"&lt;&gt;"),LOOKUP(2,1/((tbl_Finance[Job Number]=C96&amp;"")*(tbl_Finance[Xero Invoice No]&lt;&gt;"")),tbl_Finance[Xero Invoice No]),LOOKUP(2,1/((tbl_Finance[Job Number]=C96&amp;"")*(tbl_Finance[Xero Invoice No]&lt;&gt;"")),tbl_Finance[Xero Invoice No])&amp;" +more"),"")))</f>
        <v/>
      </c>
      <c r="C96" s="24" t="n"/>
      <c r="D96" s="25">
        <f>IF(C96="","",IF(COUNTIF(lst_Jobs,C96&amp;"")&gt;0,"OK","CHECK"))</f>
        <v/>
      </c>
      <c r="E96" s="25">
        <f>IF(C96="","",IFERROR(INDEX(lst_JobName,MATCH(C96&amp;"",lst_Jobs,0)),""))</f>
        <v/>
      </c>
      <c r="F96" s="25">
        <f>IF(C96="","",IFERROR(INDEX(tbl_Finance[Client],MATCH(C96&amp;"",tbl_Finance[Job Number],0)),""))</f>
        <v/>
      </c>
      <c r="G96" s="28">
        <f>IF(C96="","",COUNTIFS(tbl_Finance[Job Number],C96&amp;"",tbl_Finance[Ex GST],"&lt;&gt;"))</f>
        <v/>
      </c>
      <c r="H96" s="27">
        <f>IF(C96="","",SUMIFS(tbl_Finance[Ex GST],tbl_Finance[Job Number],C96&amp;""))</f>
        <v/>
      </c>
      <c r="I96" s="27">
        <f>IF(C96="","",SUMIFS(tbl_Finance[Ex GST],tbl_Finance[Job Number],C96&amp;"",tbl_Finance[Xero Invoice No],"&lt;&gt;"))</f>
        <v/>
      </c>
      <c r="J96" s="27">
        <f>IF(C96="","",H96-I96)</f>
        <v/>
      </c>
      <c r="K96" s="25">
        <f>IF(C96="","",IF(G96=0,"not invoiced yet",SUBSTITUTE(TRIM(IF(COUNTIFS(tbl_Finance[Job Number],C96&amp;"",tbl_Finance[Cost Centre],"ONSITE")&gt;0,"ONSITE ","")&amp;IF(COUNTIFS(tbl_Finance[Job Number],C96&amp;"",tbl_Finance[Cost Centre],"PRODUCTION")&gt;0,"PRODUCTION ","")&amp;IF(COUNTIFS(tbl_Finance[Job Number],C96&amp;"",tbl_Finance[Cost Centre],"VIDEO")&gt;0,"VIDEO ","")&amp;IF(COUNTIFS(tbl_Finance[Job Number],C96&amp;"",tbl_Finance[Cost Centre],"INTEGRATION")&gt;0,"INTEGRATION ","")&amp;IF(COUNTIFS(tbl_Finance[Job Number],C96&amp;"",tbl_Finance[Cost Centre],"CONSULTING")&gt;0,"CONSULTING ","")&amp;IF(COUNTIFS(tbl_Finance[Job Number],C96&amp;"",tbl_Finance[Cost Centre],"CTS")&gt;0,"CTS ",""))," ",", ")))</f>
        <v/>
      </c>
      <c r="L96" s="22" t="n"/>
      <c r="M96" s="24" t="n"/>
      <c r="N96" s="25">
        <f>IF(M96="","",IF(AND(LEFT(M96,4)&lt;&gt;"http",set_RMSBase=""),"",HYPERLINK(IF(LEFT(M96,4)="http",M96,set_RMSBase&amp;M96),"Open opportunity")))</f>
        <v/>
      </c>
      <c r="O96" s="25">
        <f>IF(C96="","",C96)</f>
        <v/>
      </c>
      <c r="P96" s="24" t="n"/>
      <c r="Q96" s="26" t="n"/>
      <c r="R96" s="27">
        <f>IF(C96="","",H96+N(Q96))</f>
        <v/>
      </c>
      <c r="S96" s="29">
        <f>IFERROR(Q96/R96,"")</f>
        <v/>
      </c>
      <c r="T96" s="26" t="n"/>
      <c r="U96" s="26" t="n"/>
      <c r="V96" s="27">
        <f>IF(C96="","",N(T96)+N(U96))</f>
        <v/>
      </c>
      <c r="W96" s="27">
        <f>IF(C96="","",H96-V96)</f>
        <v/>
      </c>
      <c r="X96" s="29">
        <f>IFERROR(W96/H96,"")</f>
        <v/>
      </c>
      <c r="Y96" s="64" t="n"/>
      <c r="Z96" s="64" t="n"/>
      <c r="AA96" s="64" t="n"/>
      <c r="AB96" s="64" t="n"/>
      <c r="AC96" s="64" t="n"/>
      <c r="AD96" s="24" t="n"/>
    </row>
    <row r="97" ht="15" customHeight="1">
      <c r="A97" s="63">
        <f>IF(C97="","",IFERROR(IF(SUMPRODUCT(MAX((tbl_Finance[Job Number]=C97&amp;"")*(tbl_Finance[Xero Invoice No]&lt;&gt;"")*tbl_Finance[Date]))=0,"",SUMPRODUCT(MAX((tbl_Finance[Job Number]=C97&amp;"")*(tbl_Finance[Xero Invoice No]&lt;&gt;"")*tbl_Finance[Date]))),""))</f>
        <v/>
      </c>
      <c r="B97" s="25">
        <f>IF(C97="","",IF(COUNTIFS(tbl_Finance[Job Number],C97&amp;"",tbl_Finance[Xero Invoice No],"&lt;&gt;")=0,"",IFERROR(IF(COUNTIFS(tbl_Finance[Job Number],C97&amp;"",tbl_Finance[Xero Invoice No],LOOKUP(2,1/((tbl_Finance[Job Number]=C97&amp;"")*(tbl_Finance[Xero Invoice No]&lt;&gt;"")),tbl_Finance[Xero Invoice No]))=COUNTIFS(tbl_Finance[Job Number],C97&amp;"",tbl_Finance[Xero Invoice No],"&lt;&gt;"),LOOKUP(2,1/((tbl_Finance[Job Number]=C97&amp;"")*(tbl_Finance[Xero Invoice No]&lt;&gt;"")),tbl_Finance[Xero Invoice No]),LOOKUP(2,1/((tbl_Finance[Job Number]=C97&amp;"")*(tbl_Finance[Xero Invoice No]&lt;&gt;"")),tbl_Finance[Xero Invoice No])&amp;" +more"),"")))</f>
        <v/>
      </c>
      <c r="C97" s="24" t="n"/>
      <c r="D97" s="25">
        <f>IF(C97="","",IF(COUNTIF(lst_Jobs,C97&amp;"")&gt;0,"OK","CHECK"))</f>
        <v/>
      </c>
      <c r="E97" s="25">
        <f>IF(C97="","",IFERROR(INDEX(lst_JobName,MATCH(C97&amp;"",lst_Jobs,0)),""))</f>
        <v/>
      </c>
      <c r="F97" s="25">
        <f>IF(C97="","",IFERROR(INDEX(tbl_Finance[Client],MATCH(C97&amp;"",tbl_Finance[Job Number],0)),""))</f>
        <v/>
      </c>
      <c r="G97" s="28">
        <f>IF(C97="","",COUNTIFS(tbl_Finance[Job Number],C97&amp;"",tbl_Finance[Ex GST],"&lt;&gt;"))</f>
        <v/>
      </c>
      <c r="H97" s="27">
        <f>IF(C97="","",SUMIFS(tbl_Finance[Ex GST],tbl_Finance[Job Number],C97&amp;""))</f>
        <v/>
      </c>
      <c r="I97" s="27">
        <f>IF(C97="","",SUMIFS(tbl_Finance[Ex GST],tbl_Finance[Job Number],C97&amp;"",tbl_Finance[Xero Invoice No],"&lt;&gt;"))</f>
        <v/>
      </c>
      <c r="J97" s="27">
        <f>IF(C97="","",H97-I97)</f>
        <v/>
      </c>
      <c r="K97" s="25">
        <f>IF(C97="","",IF(G97=0,"not invoiced yet",SUBSTITUTE(TRIM(IF(COUNTIFS(tbl_Finance[Job Number],C97&amp;"",tbl_Finance[Cost Centre],"ONSITE")&gt;0,"ONSITE ","")&amp;IF(COUNTIFS(tbl_Finance[Job Number],C97&amp;"",tbl_Finance[Cost Centre],"PRODUCTION")&gt;0,"PRODUCTION ","")&amp;IF(COUNTIFS(tbl_Finance[Job Number],C97&amp;"",tbl_Finance[Cost Centre],"VIDEO")&gt;0,"VIDEO ","")&amp;IF(COUNTIFS(tbl_Finance[Job Number],C97&amp;"",tbl_Finance[Cost Centre],"INTEGRATION")&gt;0,"INTEGRATION ","")&amp;IF(COUNTIFS(tbl_Finance[Job Number],C97&amp;"",tbl_Finance[Cost Centre],"CONSULTING")&gt;0,"CONSULTING ","")&amp;IF(COUNTIFS(tbl_Finance[Job Number],C97&amp;"",tbl_Finance[Cost Centre],"CTS")&gt;0,"CTS ",""))," ",", ")))</f>
        <v/>
      </c>
      <c r="L97" s="22" t="n"/>
      <c r="M97" s="24" t="n"/>
      <c r="N97" s="25">
        <f>IF(M97="","",IF(AND(LEFT(M97,4)&lt;&gt;"http",set_RMSBase=""),"",HYPERLINK(IF(LEFT(M97,4)="http",M97,set_RMSBase&amp;M97),"Open opportunity")))</f>
        <v/>
      </c>
      <c r="O97" s="25">
        <f>IF(C97="","",C97)</f>
        <v/>
      </c>
      <c r="P97" s="24" t="n"/>
      <c r="Q97" s="26" t="n"/>
      <c r="R97" s="27">
        <f>IF(C97="","",H97+N(Q97))</f>
        <v/>
      </c>
      <c r="S97" s="29">
        <f>IFERROR(Q97/R97,"")</f>
        <v/>
      </c>
      <c r="T97" s="26" t="n"/>
      <c r="U97" s="26" t="n"/>
      <c r="V97" s="27">
        <f>IF(C97="","",N(T97)+N(U97))</f>
        <v/>
      </c>
      <c r="W97" s="27">
        <f>IF(C97="","",H97-V97)</f>
        <v/>
      </c>
      <c r="X97" s="29">
        <f>IFERROR(W97/H97,"")</f>
        <v/>
      </c>
      <c r="Y97" s="64" t="n"/>
      <c r="Z97" s="64" t="n"/>
      <c r="AA97" s="64" t="n"/>
      <c r="AB97" s="64" t="n"/>
      <c r="AC97" s="64" t="n"/>
      <c r="AD97" s="24" t="n"/>
    </row>
    <row r="98" ht="15" customHeight="1">
      <c r="A98" s="63">
        <f>IF(C98="","",IFERROR(IF(SUMPRODUCT(MAX((tbl_Finance[Job Number]=C98&amp;"")*(tbl_Finance[Xero Invoice No]&lt;&gt;"")*tbl_Finance[Date]))=0,"",SUMPRODUCT(MAX((tbl_Finance[Job Number]=C98&amp;"")*(tbl_Finance[Xero Invoice No]&lt;&gt;"")*tbl_Finance[Date]))),""))</f>
        <v/>
      </c>
      <c r="B98" s="25">
        <f>IF(C98="","",IF(COUNTIFS(tbl_Finance[Job Number],C98&amp;"",tbl_Finance[Xero Invoice No],"&lt;&gt;")=0,"",IFERROR(IF(COUNTIFS(tbl_Finance[Job Number],C98&amp;"",tbl_Finance[Xero Invoice No],LOOKUP(2,1/((tbl_Finance[Job Number]=C98&amp;"")*(tbl_Finance[Xero Invoice No]&lt;&gt;"")),tbl_Finance[Xero Invoice No]))=COUNTIFS(tbl_Finance[Job Number],C98&amp;"",tbl_Finance[Xero Invoice No],"&lt;&gt;"),LOOKUP(2,1/((tbl_Finance[Job Number]=C98&amp;"")*(tbl_Finance[Xero Invoice No]&lt;&gt;"")),tbl_Finance[Xero Invoice No]),LOOKUP(2,1/((tbl_Finance[Job Number]=C98&amp;"")*(tbl_Finance[Xero Invoice No]&lt;&gt;"")),tbl_Finance[Xero Invoice No])&amp;" +more"),"")))</f>
        <v/>
      </c>
      <c r="C98" s="24" t="n"/>
      <c r="D98" s="25">
        <f>IF(C98="","",IF(COUNTIF(lst_Jobs,C98&amp;"")&gt;0,"OK","CHECK"))</f>
        <v/>
      </c>
      <c r="E98" s="25">
        <f>IF(C98="","",IFERROR(INDEX(lst_JobName,MATCH(C98&amp;"",lst_Jobs,0)),""))</f>
        <v/>
      </c>
      <c r="F98" s="25">
        <f>IF(C98="","",IFERROR(INDEX(tbl_Finance[Client],MATCH(C98&amp;"",tbl_Finance[Job Number],0)),""))</f>
        <v/>
      </c>
      <c r="G98" s="28">
        <f>IF(C98="","",COUNTIFS(tbl_Finance[Job Number],C98&amp;"",tbl_Finance[Ex GST],"&lt;&gt;"))</f>
        <v/>
      </c>
      <c r="H98" s="27">
        <f>IF(C98="","",SUMIFS(tbl_Finance[Ex GST],tbl_Finance[Job Number],C98&amp;""))</f>
        <v/>
      </c>
      <c r="I98" s="27">
        <f>IF(C98="","",SUMIFS(tbl_Finance[Ex GST],tbl_Finance[Job Number],C98&amp;"",tbl_Finance[Xero Invoice No],"&lt;&gt;"))</f>
        <v/>
      </c>
      <c r="J98" s="27">
        <f>IF(C98="","",H98-I98)</f>
        <v/>
      </c>
      <c r="K98" s="25">
        <f>IF(C98="","",IF(G98=0,"not invoiced yet",SUBSTITUTE(TRIM(IF(COUNTIFS(tbl_Finance[Job Number],C98&amp;"",tbl_Finance[Cost Centre],"ONSITE")&gt;0,"ONSITE ","")&amp;IF(COUNTIFS(tbl_Finance[Job Number],C98&amp;"",tbl_Finance[Cost Centre],"PRODUCTION")&gt;0,"PRODUCTION ","")&amp;IF(COUNTIFS(tbl_Finance[Job Number],C98&amp;"",tbl_Finance[Cost Centre],"VIDEO")&gt;0,"VIDEO ","")&amp;IF(COUNTIFS(tbl_Finance[Job Number],C98&amp;"",tbl_Finance[Cost Centre],"INTEGRATION")&gt;0,"INTEGRATION ","")&amp;IF(COUNTIFS(tbl_Finance[Job Number],C98&amp;"",tbl_Finance[Cost Centre],"CONSULTING")&gt;0,"CONSULTING ","")&amp;IF(COUNTIFS(tbl_Finance[Job Number],C98&amp;"",tbl_Finance[Cost Centre],"CTS")&gt;0,"CTS ",""))," ",", ")))</f>
        <v/>
      </c>
      <c r="L98" s="22" t="n"/>
      <c r="M98" s="24" t="n"/>
      <c r="N98" s="25">
        <f>IF(M98="","",IF(AND(LEFT(M98,4)&lt;&gt;"http",set_RMSBase=""),"",HYPERLINK(IF(LEFT(M98,4)="http",M98,set_RMSBase&amp;M98),"Open opportunity")))</f>
        <v/>
      </c>
      <c r="O98" s="25">
        <f>IF(C98="","",C98)</f>
        <v/>
      </c>
      <c r="P98" s="24" t="n"/>
      <c r="Q98" s="26" t="n"/>
      <c r="R98" s="27">
        <f>IF(C98="","",H98+N(Q98))</f>
        <v/>
      </c>
      <c r="S98" s="29">
        <f>IFERROR(Q98/R98,"")</f>
        <v/>
      </c>
      <c r="T98" s="26" t="n"/>
      <c r="U98" s="26" t="n"/>
      <c r="V98" s="27">
        <f>IF(C98="","",N(T98)+N(U98))</f>
        <v/>
      </c>
      <c r="W98" s="27">
        <f>IF(C98="","",H98-V98)</f>
        <v/>
      </c>
      <c r="X98" s="29">
        <f>IFERROR(W98/H98,"")</f>
        <v/>
      </c>
      <c r="Y98" s="64" t="n"/>
      <c r="Z98" s="64" t="n"/>
      <c r="AA98" s="64" t="n"/>
      <c r="AB98" s="64" t="n"/>
      <c r="AC98" s="64" t="n"/>
      <c r="AD98" s="24" t="n"/>
    </row>
    <row r="99" ht="15" customHeight="1">
      <c r="A99" s="63">
        <f>IF(C99="","",IFERROR(IF(SUMPRODUCT(MAX((tbl_Finance[Job Number]=C99&amp;"")*(tbl_Finance[Xero Invoice No]&lt;&gt;"")*tbl_Finance[Date]))=0,"",SUMPRODUCT(MAX((tbl_Finance[Job Number]=C99&amp;"")*(tbl_Finance[Xero Invoice No]&lt;&gt;"")*tbl_Finance[Date]))),""))</f>
        <v/>
      </c>
      <c r="B99" s="25">
        <f>IF(C99="","",IF(COUNTIFS(tbl_Finance[Job Number],C99&amp;"",tbl_Finance[Xero Invoice No],"&lt;&gt;")=0,"",IFERROR(IF(COUNTIFS(tbl_Finance[Job Number],C99&amp;"",tbl_Finance[Xero Invoice No],LOOKUP(2,1/((tbl_Finance[Job Number]=C99&amp;"")*(tbl_Finance[Xero Invoice No]&lt;&gt;"")),tbl_Finance[Xero Invoice No]))=COUNTIFS(tbl_Finance[Job Number],C99&amp;"",tbl_Finance[Xero Invoice No],"&lt;&gt;"),LOOKUP(2,1/((tbl_Finance[Job Number]=C99&amp;"")*(tbl_Finance[Xero Invoice No]&lt;&gt;"")),tbl_Finance[Xero Invoice No]),LOOKUP(2,1/((tbl_Finance[Job Number]=C99&amp;"")*(tbl_Finance[Xero Invoice No]&lt;&gt;"")),tbl_Finance[Xero Invoice No])&amp;" +more"),"")))</f>
        <v/>
      </c>
      <c r="C99" s="24" t="n"/>
      <c r="D99" s="25">
        <f>IF(C99="","",IF(COUNTIF(lst_Jobs,C99&amp;"")&gt;0,"OK","CHECK"))</f>
        <v/>
      </c>
      <c r="E99" s="25">
        <f>IF(C99="","",IFERROR(INDEX(lst_JobName,MATCH(C99&amp;"",lst_Jobs,0)),""))</f>
        <v/>
      </c>
      <c r="F99" s="25">
        <f>IF(C99="","",IFERROR(INDEX(tbl_Finance[Client],MATCH(C99&amp;"",tbl_Finance[Job Number],0)),""))</f>
        <v/>
      </c>
      <c r="G99" s="28">
        <f>IF(C99="","",COUNTIFS(tbl_Finance[Job Number],C99&amp;"",tbl_Finance[Ex GST],"&lt;&gt;"))</f>
        <v/>
      </c>
      <c r="H99" s="27">
        <f>IF(C99="","",SUMIFS(tbl_Finance[Ex GST],tbl_Finance[Job Number],C99&amp;""))</f>
        <v/>
      </c>
      <c r="I99" s="27">
        <f>IF(C99="","",SUMIFS(tbl_Finance[Ex GST],tbl_Finance[Job Number],C99&amp;"",tbl_Finance[Xero Invoice No],"&lt;&gt;"))</f>
        <v/>
      </c>
      <c r="J99" s="27">
        <f>IF(C99="","",H99-I99)</f>
        <v/>
      </c>
      <c r="K99" s="25">
        <f>IF(C99="","",IF(G99=0,"not invoiced yet",SUBSTITUTE(TRIM(IF(COUNTIFS(tbl_Finance[Job Number],C99&amp;"",tbl_Finance[Cost Centre],"ONSITE")&gt;0,"ONSITE ","")&amp;IF(COUNTIFS(tbl_Finance[Job Number],C99&amp;"",tbl_Finance[Cost Centre],"PRODUCTION")&gt;0,"PRODUCTION ","")&amp;IF(COUNTIFS(tbl_Finance[Job Number],C99&amp;"",tbl_Finance[Cost Centre],"VIDEO")&gt;0,"VIDEO ","")&amp;IF(COUNTIFS(tbl_Finance[Job Number],C99&amp;"",tbl_Finance[Cost Centre],"INTEGRATION")&gt;0,"INTEGRATION ","")&amp;IF(COUNTIFS(tbl_Finance[Job Number],C99&amp;"",tbl_Finance[Cost Centre],"CONSULTING")&gt;0,"CONSULTING ","")&amp;IF(COUNTIFS(tbl_Finance[Job Number],C99&amp;"",tbl_Finance[Cost Centre],"CTS")&gt;0,"CTS ",""))," ",", ")))</f>
        <v/>
      </c>
      <c r="L99" s="22" t="n"/>
      <c r="M99" s="24" t="n"/>
      <c r="N99" s="25">
        <f>IF(M99="","",IF(AND(LEFT(M99,4)&lt;&gt;"http",set_RMSBase=""),"",HYPERLINK(IF(LEFT(M99,4)="http",M99,set_RMSBase&amp;M99),"Open opportunity")))</f>
        <v/>
      </c>
      <c r="O99" s="25">
        <f>IF(C99="","",C99)</f>
        <v/>
      </c>
      <c r="P99" s="24" t="n"/>
      <c r="Q99" s="26" t="n"/>
      <c r="R99" s="27">
        <f>IF(C99="","",H99+N(Q99))</f>
        <v/>
      </c>
      <c r="S99" s="29">
        <f>IFERROR(Q99/R99,"")</f>
        <v/>
      </c>
      <c r="T99" s="26" t="n"/>
      <c r="U99" s="26" t="n"/>
      <c r="V99" s="27">
        <f>IF(C99="","",N(T99)+N(U99))</f>
        <v/>
      </c>
      <c r="W99" s="27">
        <f>IF(C99="","",H99-V99)</f>
        <v/>
      </c>
      <c r="X99" s="29">
        <f>IFERROR(W99/H99,"")</f>
        <v/>
      </c>
      <c r="Y99" s="64" t="n"/>
      <c r="Z99" s="64" t="n"/>
      <c r="AA99" s="64" t="n"/>
      <c r="AB99" s="64" t="n"/>
      <c r="AC99" s="64" t="n"/>
      <c r="AD99" s="24" t="n"/>
    </row>
    <row r="100" ht="15" customHeight="1">
      <c r="A100" s="63">
        <f>IF(C100="","",IFERROR(IF(SUMPRODUCT(MAX((tbl_Finance[Job Number]=C100&amp;"")*(tbl_Finance[Xero Invoice No]&lt;&gt;"")*tbl_Finance[Date]))=0,"",SUMPRODUCT(MAX((tbl_Finance[Job Number]=C100&amp;"")*(tbl_Finance[Xero Invoice No]&lt;&gt;"")*tbl_Finance[Date]))),""))</f>
        <v/>
      </c>
      <c r="B100" s="25">
        <f>IF(C100="","",IF(COUNTIFS(tbl_Finance[Job Number],C100&amp;"",tbl_Finance[Xero Invoice No],"&lt;&gt;")=0,"",IFERROR(IF(COUNTIFS(tbl_Finance[Job Number],C100&amp;"",tbl_Finance[Xero Invoice No],LOOKUP(2,1/((tbl_Finance[Job Number]=C100&amp;"")*(tbl_Finance[Xero Invoice No]&lt;&gt;"")),tbl_Finance[Xero Invoice No]))=COUNTIFS(tbl_Finance[Job Number],C100&amp;"",tbl_Finance[Xero Invoice No],"&lt;&gt;"),LOOKUP(2,1/((tbl_Finance[Job Number]=C100&amp;"")*(tbl_Finance[Xero Invoice No]&lt;&gt;"")),tbl_Finance[Xero Invoice No]),LOOKUP(2,1/((tbl_Finance[Job Number]=C100&amp;"")*(tbl_Finance[Xero Invoice No]&lt;&gt;"")),tbl_Finance[Xero Invoice No])&amp;" +more"),"")))</f>
        <v/>
      </c>
      <c r="C100" s="24" t="n"/>
      <c r="D100" s="25">
        <f>IF(C100="","",IF(COUNTIF(lst_Jobs,C100&amp;"")&gt;0,"OK","CHECK"))</f>
        <v/>
      </c>
      <c r="E100" s="25">
        <f>IF(C100="","",IFERROR(INDEX(lst_JobName,MATCH(C100&amp;"",lst_Jobs,0)),""))</f>
        <v/>
      </c>
      <c r="F100" s="25">
        <f>IF(C100="","",IFERROR(INDEX(tbl_Finance[Client],MATCH(C100&amp;"",tbl_Finance[Job Number],0)),""))</f>
        <v/>
      </c>
      <c r="G100" s="28">
        <f>IF(C100="","",COUNTIFS(tbl_Finance[Job Number],C100&amp;"",tbl_Finance[Ex GST],"&lt;&gt;"))</f>
        <v/>
      </c>
      <c r="H100" s="27">
        <f>IF(C100="","",SUMIFS(tbl_Finance[Ex GST],tbl_Finance[Job Number],C100&amp;""))</f>
        <v/>
      </c>
      <c r="I100" s="27">
        <f>IF(C100="","",SUMIFS(tbl_Finance[Ex GST],tbl_Finance[Job Number],C100&amp;"",tbl_Finance[Xero Invoice No],"&lt;&gt;"))</f>
        <v/>
      </c>
      <c r="J100" s="27">
        <f>IF(C100="","",H100-I100)</f>
        <v/>
      </c>
      <c r="K100" s="25">
        <f>IF(C100="","",IF(G100=0,"not invoiced yet",SUBSTITUTE(TRIM(IF(COUNTIFS(tbl_Finance[Job Number],C100&amp;"",tbl_Finance[Cost Centre],"ONSITE")&gt;0,"ONSITE ","")&amp;IF(COUNTIFS(tbl_Finance[Job Number],C100&amp;"",tbl_Finance[Cost Centre],"PRODUCTION")&gt;0,"PRODUCTION ","")&amp;IF(COUNTIFS(tbl_Finance[Job Number],C100&amp;"",tbl_Finance[Cost Centre],"VIDEO")&gt;0,"VIDEO ","")&amp;IF(COUNTIFS(tbl_Finance[Job Number],C100&amp;"",tbl_Finance[Cost Centre],"INTEGRATION")&gt;0,"INTEGRATION ","")&amp;IF(COUNTIFS(tbl_Finance[Job Number],C100&amp;"",tbl_Finance[Cost Centre],"CONSULTING")&gt;0,"CONSULTING ","")&amp;IF(COUNTIFS(tbl_Finance[Job Number],C100&amp;"",tbl_Finance[Cost Centre],"CTS")&gt;0,"CTS ",""))," ",", ")))</f>
        <v/>
      </c>
      <c r="L100" s="22" t="n"/>
      <c r="M100" s="24" t="n"/>
      <c r="N100" s="25">
        <f>IF(M100="","",IF(AND(LEFT(M100,4)&lt;&gt;"http",set_RMSBase=""),"",HYPERLINK(IF(LEFT(M100,4)="http",M100,set_RMSBase&amp;M100),"Open opportunity")))</f>
        <v/>
      </c>
      <c r="O100" s="25">
        <f>IF(C100="","",C100)</f>
        <v/>
      </c>
      <c r="P100" s="24" t="n"/>
      <c r="Q100" s="26" t="n"/>
      <c r="R100" s="27">
        <f>IF(C100="","",H100+N(Q100))</f>
        <v/>
      </c>
      <c r="S100" s="29">
        <f>IFERROR(Q100/R100,"")</f>
        <v/>
      </c>
      <c r="T100" s="26" t="n"/>
      <c r="U100" s="26" t="n"/>
      <c r="V100" s="27">
        <f>IF(C100="","",N(T100)+N(U100))</f>
        <v/>
      </c>
      <c r="W100" s="27">
        <f>IF(C100="","",H100-V100)</f>
        <v/>
      </c>
      <c r="X100" s="29">
        <f>IFERROR(W100/H100,"")</f>
        <v/>
      </c>
      <c r="Y100" s="64" t="n"/>
      <c r="Z100" s="64" t="n"/>
      <c r="AA100" s="64" t="n"/>
      <c r="AB100" s="64" t="n"/>
      <c r="AC100" s="64" t="n"/>
      <c r="AD100" s="24" t="n"/>
    </row>
    <row r="101" ht="15" customHeight="1">
      <c r="A101" s="63">
        <f>IF(C101="","",IFERROR(IF(SUMPRODUCT(MAX((tbl_Finance[Job Number]=C101&amp;"")*(tbl_Finance[Xero Invoice No]&lt;&gt;"")*tbl_Finance[Date]))=0,"",SUMPRODUCT(MAX((tbl_Finance[Job Number]=C101&amp;"")*(tbl_Finance[Xero Invoice No]&lt;&gt;"")*tbl_Finance[Date]))),""))</f>
        <v/>
      </c>
      <c r="B101" s="25">
        <f>IF(C101="","",IF(COUNTIFS(tbl_Finance[Job Number],C101&amp;"",tbl_Finance[Xero Invoice No],"&lt;&gt;")=0,"",IFERROR(IF(COUNTIFS(tbl_Finance[Job Number],C101&amp;"",tbl_Finance[Xero Invoice No],LOOKUP(2,1/((tbl_Finance[Job Number]=C101&amp;"")*(tbl_Finance[Xero Invoice No]&lt;&gt;"")),tbl_Finance[Xero Invoice No]))=COUNTIFS(tbl_Finance[Job Number],C101&amp;"",tbl_Finance[Xero Invoice No],"&lt;&gt;"),LOOKUP(2,1/((tbl_Finance[Job Number]=C101&amp;"")*(tbl_Finance[Xero Invoice No]&lt;&gt;"")),tbl_Finance[Xero Invoice No]),LOOKUP(2,1/((tbl_Finance[Job Number]=C101&amp;"")*(tbl_Finance[Xero Invoice No]&lt;&gt;"")),tbl_Finance[Xero Invoice No])&amp;" +more"),"")))</f>
        <v/>
      </c>
      <c r="C101" s="24" t="n"/>
      <c r="D101" s="25">
        <f>IF(C101="","",IF(COUNTIF(lst_Jobs,C101&amp;"")&gt;0,"OK","CHECK"))</f>
        <v/>
      </c>
      <c r="E101" s="25">
        <f>IF(C101="","",IFERROR(INDEX(lst_JobName,MATCH(C101&amp;"",lst_Jobs,0)),""))</f>
        <v/>
      </c>
      <c r="F101" s="25">
        <f>IF(C101="","",IFERROR(INDEX(tbl_Finance[Client],MATCH(C101&amp;"",tbl_Finance[Job Number],0)),""))</f>
        <v/>
      </c>
      <c r="G101" s="28">
        <f>IF(C101="","",COUNTIFS(tbl_Finance[Job Number],C101&amp;"",tbl_Finance[Ex GST],"&lt;&gt;"))</f>
        <v/>
      </c>
      <c r="H101" s="27">
        <f>IF(C101="","",SUMIFS(tbl_Finance[Ex GST],tbl_Finance[Job Number],C101&amp;""))</f>
        <v/>
      </c>
      <c r="I101" s="27">
        <f>IF(C101="","",SUMIFS(tbl_Finance[Ex GST],tbl_Finance[Job Number],C101&amp;"",tbl_Finance[Xero Invoice No],"&lt;&gt;"))</f>
        <v/>
      </c>
      <c r="J101" s="27">
        <f>IF(C101="","",H101-I101)</f>
        <v/>
      </c>
      <c r="K101" s="25">
        <f>IF(C101="","",IF(G101=0,"not invoiced yet",SUBSTITUTE(TRIM(IF(COUNTIFS(tbl_Finance[Job Number],C101&amp;"",tbl_Finance[Cost Centre],"ONSITE")&gt;0,"ONSITE ","")&amp;IF(COUNTIFS(tbl_Finance[Job Number],C101&amp;"",tbl_Finance[Cost Centre],"PRODUCTION")&gt;0,"PRODUCTION ","")&amp;IF(COUNTIFS(tbl_Finance[Job Number],C101&amp;"",tbl_Finance[Cost Centre],"VIDEO")&gt;0,"VIDEO ","")&amp;IF(COUNTIFS(tbl_Finance[Job Number],C101&amp;"",tbl_Finance[Cost Centre],"INTEGRATION")&gt;0,"INTEGRATION ","")&amp;IF(COUNTIFS(tbl_Finance[Job Number],C101&amp;"",tbl_Finance[Cost Centre],"CONSULTING")&gt;0,"CONSULTING ","")&amp;IF(COUNTIFS(tbl_Finance[Job Number],C101&amp;"",tbl_Finance[Cost Centre],"CTS")&gt;0,"CTS ",""))," ",", ")))</f>
        <v/>
      </c>
      <c r="L101" s="22" t="n"/>
      <c r="M101" s="24" t="n"/>
      <c r="N101" s="25">
        <f>IF(M101="","",IF(AND(LEFT(M101,4)&lt;&gt;"http",set_RMSBase=""),"",HYPERLINK(IF(LEFT(M101,4)="http",M101,set_RMSBase&amp;M101),"Open opportunity")))</f>
        <v/>
      </c>
      <c r="O101" s="25">
        <f>IF(C101="","",C101)</f>
        <v/>
      </c>
      <c r="P101" s="24" t="n"/>
      <c r="Q101" s="26" t="n"/>
      <c r="R101" s="27">
        <f>IF(C101="","",H101+N(Q101))</f>
        <v/>
      </c>
      <c r="S101" s="29">
        <f>IFERROR(Q101/R101,"")</f>
        <v/>
      </c>
      <c r="T101" s="26" t="n"/>
      <c r="U101" s="26" t="n"/>
      <c r="V101" s="27">
        <f>IF(C101="","",N(T101)+N(U101))</f>
        <v/>
      </c>
      <c r="W101" s="27">
        <f>IF(C101="","",H101-V101)</f>
        <v/>
      </c>
      <c r="X101" s="29">
        <f>IFERROR(W101/H101,"")</f>
        <v/>
      </c>
      <c r="Y101" s="64" t="n"/>
      <c r="Z101" s="64" t="n"/>
      <c r="AA101" s="64" t="n"/>
      <c r="AB101" s="64" t="n"/>
      <c r="AC101" s="64" t="n"/>
      <c r="AD101" s="24" t="n"/>
    </row>
    <row r="102" ht="15" customHeight="1">
      <c r="A102" s="63">
        <f>IF(C102="","",IFERROR(IF(SUMPRODUCT(MAX((tbl_Finance[Job Number]=C102&amp;"")*(tbl_Finance[Xero Invoice No]&lt;&gt;"")*tbl_Finance[Date]))=0,"",SUMPRODUCT(MAX((tbl_Finance[Job Number]=C102&amp;"")*(tbl_Finance[Xero Invoice No]&lt;&gt;"")*tbl_Finance[Date]))),""))</f>
        <v/>
      </c>
      <c r="B102" s="25">
        <f>IF(C102="","",IF(COUNTIFS(tbl_Finance[Job Number],C102&amp;"",tbl_Finance[Xero Invoice No],"&lt;&gt;")=0,"",IFERROR(IF(COUNTIFS(tbl_Finance[Job Number],C102&amp;"",tbl_Finance[Xero Invoice No],LOOKUP(2,1/((tbl_Finance[Job Number]=C102&amp;"")*(tbl_Finance[Xero Invoice No]&lt;&gt;"")),tbl_Finance[Xero Invoice No]))=COUNTIFS(tbl_Finance[Job Number],C102&amp;"",tbl_Finance[Xero Invoice No],"&lt;&gt;"),LOOKUP(2,1/((tbl_Finance[Job Number]=C102&amp;"")*(tbl_Finance[Xero Invoice No]&lt;&gt;"")),tbl_Finance[Xero Invoice No]),LOOKUP(2,1/((tbl_Finance[Job Number]=C102&amp;"")*(tbl_Finance[Xero Invoice No]&lt;&gt;"")),tbl_Finance[Xero Invoice No])&amp;" +more"),"")))</f>
        <v/>
      </c>
      <c r="C102" s="24" t="n"/>
      <c r="D102" s="25">
        <f>IF(C102="","",IF(COUNTIF(lst_Jobs,C102&amp;"")&gt;0,"OK","CHECK"))</f>
        <v/>
      </c>
      <c r="E102" s="25">
        <f>IF(C102="","",IFERROR(INDEX(lst_JobName,MATCH(C102&amp;"",lst_Jobs,0)),""))</f>
        <v/>
      </c>
      <c r="F102" s="25">
        <f>IF(C102="","",IFERROR(INDEX(tbl_Finance[Client],MATCH(C102&amp;"",tbl_Finance[Job Number],0)),""))</f>
        <v/>
      </c>
      <c r="G102" s="28">
        <f>IF(C102="","",COUNTIFS(tbl_Finance[Job Number],C102&amp;"",tbl_Finance[Ex GST],"&lt;&gt;"))</f>
        <v/>
      </c>
      <c r="H102" s="27">
        <f>IF(C102="","",SUMIFS(tbl_Finance[Ex GST],tbl_Finance[Job Number],C102&amp;""))</f>
        <v/>
      </c>
      <c r="I102" s="27">
        <f>IF(C102="","",SUMIFS(tbl_Finance[Ex GST],tbl_Finance[Job Number],C102&amp;"",tbl_Finance[Xero Invoice No],"&lt;&gt;"))</f>
        <v/>
      </c>
      <c r="J102" s="27">
        <f>IF(C102="","",H102-I102)</f>
        <v/>
      </c>
      <c r="K102" s="25">
        <f>IF(C102="","",IF(G102=0,"not invoiced yet",SUBSTITUTE(TRIM(IF(COUNTIFS(tbl_Finance[Job Number],C102&amp;"",tbl_Finance[Cost Centre],"ONSITE")&gt;0,"ONSITE ","")&amp;IF(COUNTIFS(tbl_Finance[Job Number],C102&amp;"",tbl_Finance[Cost Centre],"PRODUCTION")&gt;0,"PRODUCTION ","")&amp;IF(COUNTIFS(tbl_Finance[Job Number],C102&amp;"",tbl_Finance[Cost Centre],"VIDEO")&gt;0,"VIDEO ","")&amp;IF(COUNTIFS(tbl_Finance[Job Number],C102&amp;"",tbl_Finance[Cost Centre],"INTEGRATION")&gt;0,"INTEGRATION ","")&amp;IF(COUNTIFS(tbl_Finance[Job Number],C102&amp;"",tbl_Finance[Cost Centre],"CONSULTING")&gt;0,"CONSULTING ","")&amp;IF(COUNTIFS(tbl_Finance[Job Number],C102&amp;"",tbl_Finance[Cost Centre],"CTS")&gt;0,"CTS ",""))," ",", ")))</f>
        <v/>
      </c>
      <c r="L102" s="22" t="n"/>
      <c r="M102" s="24" t="n"/>
      <c r="N102" s="25">
        <f>IF(M102="","",IF(AND(LEFT(M102,4)&lt;&gt;"http",set_RMSBase=""),"",HYPERLINK(IF(LEFT(M102,4)="http",M102,set_RMSBase&amp;M102),"Open opportunity")))</f>
        <v/>
      </c>
      <c r="O102" s="25">
        <f>IF(C102="","",C102)</f>
        <v/>
      </c>
      <c r="P102" s="24" t="n"/>
      <c r="Q102" s="26" t="n"/>
      <c r="R102" s="27">
        <f>IF(C102="","",H102+N(Q102))</f>
        <v/>
      </c>
      <c r="S102" s="29">
        <f>IFERROR(Q102/R102,"")</f>
        <v/>
      </c>
      <c r="T102" s="26" t="n"/>
      <c r="U102" s="26" t="n"/>
      <c r="V102" s="27">
        <f>IF(C102="","",N(T102)+N(U102))</f>
        <v/>
      </c>
      <c r="W102" s="27">
        <f>IF(C102="","",H102-V102)</f>
        <v/>
      </c>
      <c r="X102" s="29">
        <f>IFERROR(W102/H102,"")</f>
        <v/>
      </c>
      <c r="Y102" s="64" t="n"/>
      <c r="Z102" s="64" t="n"/>
      <c r="AA102" s="64" t="n"/>
      <c r="AB102" s="64" t="n"/>
      <c r="AC102" s="64" t="n"/>
      <c r="AD102" s="24" t="n"/>
    </row>
    <row r="103" ht="15" customHeight="1">
      <c r="A103" s="63">
        <f>IF(C103="","",IFERROR(IF(SUMPRODUCT(MAX((tbl_Finance[Job Number]=C103&amp;"")*(tbl_Finance[Xero Invoice No]&lt;&gt;"")*tbl_Finance[Date]))=0,"",SUMPRODUCT(MAX((tbl_Finance[Job Number]=C103&amp;"")*(tbl_Finance[Xero Invoice No]&lt;&gt;"")*tbl_Finance[Date]))),""))</f>
        <v/>
      </c>
      <c r="B103" s="25">
        <f>IF(C103="","",IF(COUNTIFS(tbl_Finance[Job Number],C103&amp;"",tbl_Finance[Xero Invoice No],"&lt;&gt;")=0,"",IFERROR(IF(COUNTIFS(tbl_Finance[Job Number],C103&amp;"",tbl_Finance[Xero Invoice No],LOOKUP(2,1/((tbl_Finance[Job Number]=C103&amp;"")*(tbl_Finance[Xero Invoice No]&lt;&gt;"")),tbl_Finance[Xero Invoice No]))=COUNTIFS(tbl_Finance[Job Number],C103&amp;"",tbl_Finance[Xero Invoice No],"&lt;&gt;"),LOOKUP(2,1/((tbl_Finance[Job Number]=C103&amp;"")*(tbl_Finance[Xero Invoice No]&lt;&gt;"")),tbl_Finance[Xero Invoice No]),LOOKUP(2,1/((tbl_Finance[Job Number]=C103&amp;"")*(tbl_Finance[Xero Invoice No]&lt;&gt;"")),tbl_Finance[Xero Invoice No])&amp;" +more"),"")))</f>
        <v/>
      </c>
      <c r="C103" s="24" t="n"/>
      <c r="D103" s="25">
        <f>IF(C103="","",IF(COUNTIF(lst_Jobs,C103&amp;"")&gt;0,"OK","CHECK"))</f>
        <v/>
      </c>
      <c r="E103" s="25">
        <f>IF(C103="","",IFERROR(INDEX(lst_JobName,MATCH(C103&amp;"",lst_Jobs,0)),""))</f>
        <v/>
      </c>
      <c r="F103" s="25">
        <f>IF(C103="","",IFERROR(INDEX(tbl_Finance[Client],MATCH(C103&amp;"",tbl_Finance[Job Number],0)),""))</f>
        <v/>
      </c>
      <c r="G103" s="28">
        <f>IF(C103="","",COUNTIFS(tbl_Finance[Job Number],C103&amp;"",tbl_Finance[Ex GST],"&lt;&gt;"))</f>
        <v/>
      </c>
      <c r="H103" s="27">
        <f>IF(C103="","",SUMIFS(tbl_Finance[Ex GST],tbl_Finance[Job Number],C103&amp;""))</f>
        <v/>
      </c>
      <c r="I103" s="27">
        <f>IF(C103="","",SUMIFS(tbl_Finance[Ex GST],tbl_Finance[Job Number],C103&amp;"",tbl_Finance[Xero Invoice No],"&lt;&gt;"))</f>
        <v/>
      </c>
      <c r="J103" s="27">
        <f>IF(C103="","",H103-I103)</f>
        <v/>
      </c>
      <c r="K103" s="25">
        <f>IF(C103="","",IF(G103=0,"not invoiced yet",SUBSTITUTE(TRIM(IF(COUNTIFS(tbl_Finance[Job Number],C103&amp;"",tbl_Finance[Cost Centre],"ONSITE")&gt;0,"ONSITE ","")&amp;IF(COUNTIFS(tbl_Finance[Job Number],C103&amp;"",tbl_Finance[Cost Centre],"PRODUCTION")&gt;0,"PRODUCTION ","")&amp;IF(COUNTIFS(tbl_Finance[Job Number],C103&amp;"",tbl_Finance[Cost Centre],"VIDEO")&gt;0,"VIDEO ","")&amp;IF(COUNTIFS(tbl_Finance[Job Number],C103&amp;"",tbl_Finance[Cost Centre],"INTEGRATION")&gt;0,"INTEGRATION ","")&amp;IF(COUNTIFS(tbl_Finance[Job Number],C103&amp;"",tbl_Finance[Cost Centre],"CONSULTING")&gt;0,"CONSULTING ","")&amp;IF(COUNTIFS(tbl_Finance[Job Number],C103&amp;"",tbl_Finance[Cost Centre],"CTS")&gt;0,"CTS ",""))," ",", ")))</f>
        <v/>
      </c>
      <c r="L103" s="22" t="n"/>
      <c r="M103" s="24" t="n"/>
      <c r="N103" s="25">
        <f>IF(M103="","",IF(AND(LEFT(M103,4)&lt;&gt;"http",set_RMSBase=""),"",HYPERLINK(IF(LEFT(M103,4)="http",M103,set_RMSBase&amp;M103),"Open opportunity")))</f>
        <v/>
      </c>
      <c r="O103" s="25">
        <f>IF(C103="","",C103)</f>
        <v/>
      </c>
      <c r="P103" s="24" t="n"/>
      <c r="Q103" s="26" t="n"/>
      <c r="R103" s="27">
        <f>IF(C103="","",H103+N(Q103))</f>
        <v/>
      </c>
      <c r="S103" s="29">
        <f>IFERROR(Q103/R103,"")</f>
        <v/>
      </c>
      <c r="T103" s="26" t="n"/>
      <c r="U103" s="26" t="n"/>
      <c r="V103" s="27">
        <f>IF(C103="","",N(T103)+N(U103))</f>
        <v/>
      </c>
      <c r="W103" s="27">
        <f>IF(C103="","",H103-V103)</f>
        <v/>
      </c>
      <c r="X103" s="29">
        <f>IFERROR(W103/H103,"")</f>
        <v/>
      </c>
      <c r="Y103" s="64" t="n"/>
      <c r="Z103" s="64" t="n"/>
      <c r="AA103" s="64" t="n"/>
      <c r="AB103" s="64" t="n"/>
      <c r="AC103" s="64" t="n"/>
      <c r="AD103" s="24" t="n"/>
    </row>
    <row r="104" ht="15" customHeight="1">
      <c r="A104" s="63">
        <f>IF(C104="","",IFERROR(IF(SUMPRODUCT(MAX((tbl_Finance[Job Number]=C104&amp;"")*(tbl_Finance[Xero Invoice No]&lt;&gt;"")*tbl_Finance[Date]))=0,"",SUMPRODUCT(MAX((tbl_Finance[Job Number]=C104&amp;"")*(tbl_Finance[Xero Invoice No]&lt;&gt;"")*tbl_Finance[Date]))),""))</f>
        <v/>
      </c>
      <c r="B104" s="25">
        <f>IF(C104="","",IF(COUNTIFS(tbl_Finance[Job Number],C104&amp;"",tbl_Finance[Xero Invoice No],"&lt;&gt;")=0,"",IFERROR(IF(COUNTIFS(tbl_Finance[Job Number],C104&amp;"",tbl_Finance[Xero Invoice No],LOOKUP(2,1/((tbl_Finance[Job Number]=C104&amp;"")*(tbl_Finance[Xero Invoice No]&lt;&gt;"")),tbl_Finance[Xero Invoice No]))=COUNTIFS(tbl_Finance[Job Number],C104&amp;"",tbl_Finance[Xero Invoice No],"&lt;&gt;"),LOOKUP(2,1/((tbl_Finance[Job Number]=C104&amp;"")*(tbl_Finance[Xero Invoice No]&lt;&gt;"")),tbl_Finance[Xero Invoice No]),LOOKUP(2,1/((tbl_Finance[Job Number]=C104&amp;"")*(tbl_Finance[Xero Invoice No]&lt;&gt;"")),tbl_Finance[Xero Invoice No])&amp;" +more"),"")))</f>
        <v/>
      </c>
      <c r="C104" s="24" t="n"/>
      <c r="D104" s="25">
        <f>IF(C104="","",IF(COUNTIF(lst_Jobs,C104&amp;"")&gt;0,"OK","CHECK"))</f>
        <v/>
      </c>
      <c r="E104" s="25">
        <f>IF(C104="","",IFERROR(INDEX(lst_JobName,MATCH(C104&amp;"",lst_Jobs,0)),""))</f>
        <v/>
      </c>
      <c r="F104" s="25">
        <f>IF(C104="","",IFERROR(INDEX(tbl_Finance[Client],MATCH(C104&amp;"",tbl_Finance[Job Number],0)),""))</f>
        <v/>
      </c>
      <c r="G104" s="28">
        <f>IF(C104="","",COUNTIFS(tbl_Finance[Job Number],C104&amp;"",tbl_Finance[Ex GST],"&lt;&gt;"))</f>
        <v/>
      </c>
      <c r="H104" s="27">
        <f>IF(C104="","",SUMIFS(tbl_Finance[Ex GST],tbl_Finance[Job Number],C104&amp;""))</f>
        <v/>
      </c>
      <c r="I104" s="27">
        <f>IF(C104="","",SUMIFS(tbl_Finance[Ex GST],tbl_Finance[Job Number],C104&amp;"",tbl_Finance[Xero Invoice No],"&lt;&gt;"))</f>
        <v/>
      </c>
      <c r="J104" s="27">
        <f>IF(C104="","",H104-I104)</f>
        <v/>
      </c>
      <c r="K104" s="25">
        <f>IF(C104="","",IF(G104=0,"not invoiced yet",SUBSTITUTE(TRIM(IF(COUNTIFS(tbl_Finance[Job Number],C104&amp;"",tbl_Finance[Cost Centre],"ONSITE")&gt;0,"ONSITE ","")&amp;IF(COUNTIFS(tbl_Finance[Job Number],C104&amp;"",tbl_Finance[Cost Centre],"PRODUCTION")&gt;0,"PRODUCTION ","")&amp;IF(COUNTIFS(tbl_Finance[Job Number],C104&amp;"",tbl_Finance[Cost Centre],"VIDEO")&gt;0,"VIDEO ","")&amp;IF(COUNTIFS(tbl_Finance[Job Number],C104&amp;"",tbl_Finance[Cost Centre],"INTEGRATION")&gt;0,"INTEGRATION ","")&amp;IF(COUNTIFS(tbl_Finance[Job Number],C104&amp;"",tbl_Finance[Cost Centre],"CONSULTING")&gt;0,"CONSULTING ","")&amp;IF(COUNTIFS(tbl_Finance[Job Number],C104&amp;"",tbl_Finance[Cost Centre],"CTS")&gt;0,"CTS ",""))," ",", ")))</f>
        <v/>
      </c>
      <c r="L104" s="22" t="n"/>
      <c r="M104" s="24" t="n"/>
      <c r="N104" s="25">
        <f>IF(M104="","",IF(AND(LEFT(M104,4)&lt;&gt;"http",set_RMSBase=""),"",HYPERLINK(IF(LEFT(M104,4)="http",M104,set_RMSBase&amp;M104),"Open opportunity")))</f>
        <v/>
      </c>
      <c r="O104" s="25">
        <f>IF(C104="","",C104)</f>
        <v/>
      </c>
      <c r="P104" s="24" t="n"/>
      <c r="Q104" s="26" t="n"/>
      <c r="R104" s="27">
        <f>IF(C104="","",H104+N(Q104))</f>
        <v/>
      </c>
      <c r="S104" s="29">
        <f>IFERROR(Q104/R104,"")</f>
        <v/>
      </c>
      <c r="T104" s="26" t="n"/>
      <c r="U104" s="26" t="n"/>
      <c r="V104" s="27">
        <f>IF(C104="","",N(T104)+N(U104))</f>
        <v/>
      </c>
      <c r="W104" s="27">
        <f>IF(C104="","",H104-V104)</f>
        <v/>
      </c>
      <c r="X104" s="29">
        <f>IFERROR(W104/H104,"")</f>
        <v/>
      </c>
      <c r="Y104" s="64" t="n"/>
      <c r="Z104" s="64" t="n"/>
      <c r="AA104" s="64" t="n"/>
      <c r="AB104" s="64" t="n"/>
      <c r="AC104" s="64" t="n"/>
      <c r="AD104" s="24" t="n"/>
    </row>
    <row r="105" ht="15" customHeight="1">
      <c r="A105" s="63">
        <f>IF(C105="","",IFERROR(IF(SUMPRODUCT(MAX((tbl_Finance[Job Number]=C105&amp;"")*(tbl_Finance[Xero Invoice No]&lt;&gt;"")*tbl_Finance[Date]))=0,"",SUMPRODUCT(MAX((tbl_Finance[Job Number]=C105&amp;"")*(tbl_Finance[Xero Invoice No]&lt;&gt;"")*tbl_Finance[Date]))),""))</f>
        <v/>
      </c>
      <c r="B105" s="25">
        <f>IF(C105="","",IF(COUNTIFS(tbl_Finance[Job Number],C105&amp;"",tbl_Finance[Xero Invoice No],"&lt;&gt;")=0,"",IFERROR(IF(COUNTIFS(tbl_Finance[Job Number],C105&amp;"",tbl_Finance[Xero Invoice No],LOOKUP(2,1/((tbl_Finance[Job Number]=C105&amp;"")*(tbl_Finance[Xero Invoice No]&lt;&gt;"")),tbl_Finance[Xero Invoice No]))=COUNTIFS(tbl_Finance[Job Number],C105&amp;"",tbl_Finance[Xero Invoice No],"&lt;&gt;"),LOOKUP(2,1/((tbl_Finance[Job Number]=C105&amp;"")*(tbl_Finance[Xero Invoice No]&lt;&gt;"")),tbl_Finance[Xero Invoice No]),LOOKUP(2,1/((tbl_Finance[Job Number]=C105&amp;"")*(tbl_Finance[Xero Invoice No]&lt;&gt;"")),tbl_Finance[Xero Invoice No])&amp;" +more"),"")))</f>
        <v/>
      </c>
      <c r="C105" s="24" t="n"/>
      <c r="D105" s="25">
        <f>IF(C105="","",IF(COUNTIF(lst_Jobs,C105&amp;"")&gt;0,"OK","CHECK"))</f>
        <v/>
      </c>
      <c r="E105" s="25">
        <f>IF(C105="","",IFERROR(INDEX(lst_JobName,MATCH(C105&amp;"",lst_Jobs,0)),""))</f>
        <v/>
      </c>
      <c r="F105" s="25">
        <f>IF(C105="","",IFERROR(INDEX(tbl_Finance[Client],MATCH(C105&amp;"",tbl_Finance[Job Number],0)),""))</f>
        <v/>
      </c>
      <c r="G105" s="28">
        <f>IF(C105="","",COUNTIFS(tbl_Finance[Job Number],C105&amp;"",tbl_Finance[Ex GST],"&lt;&gt;"))</f>
        <v/>
      </c>
      <c r="H105" s="27">
        <f>IF(C105="","",SUMIFS(tbl_Finance[Ex GST],tbl_Finance[Job Number],C105&amp;""))</f>
        <v/>
      </c>
      <c r="I105" s="27">
        <f>IF(C105="","",SUMIFS(tbl_Finance[Ex GST],tbl_Finance[Job Number],C105&amp;"",tbl_Finance[Xero Invoice No],"&lt;&gt;"))</f>
        <v/>
      </c>
      <c r="J105" s="27">
        <f>IF(C105="","",H105-I105)</f>
        <v/>
      </c>
      <c r="K105" s="25">
        <f>IF(C105="","",IF(G105=0,"not invoiced yet",SUBSTITUTE(TRIM(IF(COUNTIFS(tbl_Finance[Job Number],C105&amp;"",tbl_Finance[Cost Centre],"ONSITE")&gt;0,"ONSITE ","")&amp;IF(COUNTIFS(tbl_Finance[Job Number],C105&amp;"",tbl_Finance[Cost Centre],"PRODUCTION")&gt;0,"PRODUCTION ","")&amp;IF(COUNTIFS(tbl_Finance[Job Number],C105&amp;"",tbl_Finance[Cost Centre],"VIDEO")&gt;0,"VIDEO ","")&amp;IF(COUNTIFS(tbl_Finance[Job Number],C105&amp;"",tbl_Finance[Cost Centre],"INTEGRATION")&gt;0,"INTEGRATION ","")&amp;IF(COUNTIFS(tbl_Finance[Job Number],C105&amp;"",tbl_Finance[Cost Centre],"CONSULTING")&gt;0,"CONSULTING ","")&amp;IF(COUNTIFS(tbl_Finance[Job Number],C105&amp;"",tbl_Finance[Cost Centre],"CTS")&gt;0,"CTS ",""))," ",", ")))</f>
        <v/>
      </c>
      <c r="L105" s="22" t="n"/>
      <c r="M105" s="24" t="n"/>
      <c r="N105" s="25">
        <f>IF(M105="","",IF(AND(LEFT(M105,4)&lt;&gt;"http",set_RMSBase=""),"",HYPERLINK(IF(LEFT(M105,4)="http",M105,set_RMSBase&amp;M105),"Open opportunity")))</f>
        <v/>
      </c>
      <c r="O105" s="25">
        <f>IF(C105="","",C105)</f>
        <v/>
      </c>
      <c r="P105" s="24" t="n"/>
      <c r="Q105" s="26" t="n"/>
      <c r="R105" s="27">
        <f>IF(C105="","",H105+N(Q105))</f>
        <v/>
      </c>
      <c r="S105" s="29">
        <f>IFERROR(Q105/R105,"")</f>
        <v/>
      </c>
      <c r="T105" s="26" t="n"/>
      <c r="U105" s="26" t="n"/>
      <c r="V105" s="27">
        <f>IF(C105="","",N(T105)+N(U105))</f>
        <v/>
      </c>
      <c r="W105" s="27">
        <f>IF(C105="","",H105-V105)</f>
        <v/>
      </c>
      <c r="X105" s="29">
        <f>IFERROR(W105/H105,"")</f>
        <v/>
      </c>
      <c r="Y105" s="64" t="n"/>
      <c r="Z105" s="64" t="n"/>
      <c r="AA105" s="64" t="n"/>
      <c r="AB105" s="64" t="n"/>
      <c r="AC105" s="64" t="n"/>
      <c r="AD105" s="24" t="n"/>
    </row>
    <row r="106" ht="15" customHeight="1">
      <c r="A106" s="63">
        <f>IF(C106="","",IFERROR(IF(SUMPRODUCT(MAX((tbl_Finance[Job Number]=C106&amp;"")*(tbl_Finance[Xero Invoice No]&lt;&gt;"")*tbl_Finance[Date]))=0,"",SUMPRODUCT(MAX((tbl_Finance[Job Number]=C106&amp;"")*(tbl_Finance[Xero Invoice No]&lt;&gt;"")*tbl_Finance[Date]))),""))</f>
        <v/>
      </c>
      <c r="B106" s="25">
        <f>IF(C106="","",IF(COUNTIFS(tbl_Finance[Job Number],C106&amp;"",tbl_Finance[Xero Invoice No],"&lt;&gt;")=0,"",IFERROR(IF(COUNTIFS(tbl_Finance[Job Number],C106&amp;"",tbl_Finance[Xero Invoice No],LOOKUP(2,1/((tbl_Finance[Job Number]=C106&amp;"")*(tbl_Finance[Xero Invoice No]&lt;&gt;"")),tbl_Finance[Xero Invoice No]))=COUNTIFS(tbl_Finance[Job Number],C106&amp;"",tbl_Finance[Xero Invoice No],"&lt;&gt;"),LOOKUP(2,1/((tbl_Finance[Job Number]=C106&amp;"")*(tbl_Finance[Xero Invoice No]&lt;&gt;"")),tbl_Finance[Xero Invoice No]),LOOKUP(2,1/((tbl_Finance[Job Number]=C106&amp;"")*(tbl_Finance[Xero Invoice No]&lt;&gt;"")),tbl_Finance[Xero Invoice No])&amp;" +more"),"")))</f>
        <v/>
      </c>
      <c r="C106" s="24" t="n"/>
      <c r="D106" s="25">
        <f>IF(C106="","",IF(COUNTIF(lst_Jobs,C106&amp;"")&gt;0,"OK","CHECK"))</f>
        <v/>
      </c>
      <c r="E106" s="25">
        <f>IF(C106="","",IFERROR(INDEX(lst_JobName,MATCH(C106&amp;"",lst_Jobs,0)),""))</f>
        <v/>
      </c>
      <c r="F106" s="25">
        <f>IF(C106="","",IFERROR(INDEX(tbl_Finance[Client],MATCH(C106&amp;"",tbl_Finance[Job Number],0)),""))</f>
        <v/>
      </c>
      <c r="G106" s="28">
        <f>IF(C106="","",COUNTIFS(tbl_Finance[Job Number],C106&amp;"",tbl_Finance[Ex GST],"&lt;&gt;"))</f>
        <v/>
      </c>
      <c r="H106" s="27">
        <f>IF(C106="","",SUMIFS(tbl_Finance[Ex GST],tbl_Finance[Job Number],C106&amp;""))</f>
        <v/>
      </c>
      <c r="I106" s="27">
        <f>IF(C106="","",SUMIFS(tbl_Finance[Ex GST],tbl_Finance[Job Number],C106&amp;"",tbl_Finance[Xero Invoice No],"&lt;&gt;"))</f>
        <v/>
      </c>
      <c r="J106" s="27">
        <f>IF(C106="","",H106-I106)</f>
        <v/>
      </c>
      <c r="K106" s="25">
        <f>IF(C106="","",IF(G106=0,"not invoiced yet",SUBSTITUTE(TRIM(IF(COUNTIFS(tbl_Finance[Job Number],C106&amp;"",tbl_Finance[Cost Centre],"ONSITE")&gt;0,"ONSITE ","")&amp;IF(COUNTIFS(tbl_Finance[Job Number],C106&amp;"",tbl_Finance[Cost Centre],"PRODUCTION")&gt;0,"PRODUCTION ","")&amp;IF(COUNTIFS(tbl_Finance[Job Number],C106&amp;"",tbl_Finance[Cost Centre],"VIDEO")&gt;0,"VIDEO ","")&amp;IF(COUNTIFS(tbl_Finance[Job Number],C106&amp;"",tbl_Finance[Cost Centre],"INTEGRATION")&gt;0,"INTEGRATION ","")&amp;IF(COUNTIFS(tbl_Finance[Job Number],C106&amp;"",tbl_Finance[Cost Centre],"CONSULTING")&gt;0,"CONSULTING ","")&amp;IF(COUNTIFS(tbl_Finance[Job Number],C106&amp;"",tbl_Finance[Cost Centre],"CTS")&gt;0,"CTS ",""))," ",", ")))</f>
        <v/>
      </c>
      <c r="L106" s="22" t="n"/>
      <c r="M106" s="24" t="n"/>
      <c r="N106" s="25">
        <f>IF(M106="","",IF(AND(LEFT(M106,4)&lt;&gt;"http",set_RMSBase=""),"",HYPERLINK(IF(LEFT(M106,4)="http",M106,set_RMSBase&amp;M106),"Open opportunity")))</f>
        <v/>
      </c>
      <c r="O106" s="25">
        <f>IF(C106="","",C106)</f>
        <v/>
      </c>
      <c r="P106" s="24" t="n"/>
      <c r="Q106" s="26" t="n"/>
      <c r="R106" s="27">
        <f>IF(C106="","",H106+N(Q106))</f>
        <v/>
      </c>
      <c r="S106" s="29">
        <f>IFERROR(Q106/R106,"")</f>
        <v/>
      </c>
      <c r="T106" s="26" t="n"/>
      <c r="U106" s="26" t="n"/>
      <c r="V106" s="27">
        <f>IF(C106="","",N(T106)+N(U106))</f>
        <v/>
      </c>
      <c r="W106" s="27">
        <f>IF(C106="","",H106-V106)</f>
        <v/>
      </c>
      <c r="X106" s="29">
        <f>IFERROR(W106/H106,"")</f>
        <v/>
      </c>
      <c r="Y106" s="64" t="n"/>
      <c r="Z106" s="64" t="n"/>
      <c r="AA106" s="64" t="n"/>
      <c r="AB106" s="64" t="n"/>
      <c r="AC106" s="64" t="n"/>
      <c r="AD106" s="24" t="n"/>
    </row>
    <row r="107" ht="15" customHeight="1">
      <c r="A107" s="63">
        <f>IF(C107="","",IFERROR(IF(SUMPRODUCT(MAX((tbl_Finance[Job Number]=C107&amp;"")*(tbl_Finance[Xero Invoice No]&lt;&gt;"")*tbl_Finance[Date]))=0,"",SUMPRODUCT(MAX((tbl_Finance[Job Number]=C107&amp;"")*(tbl_Finance[Xero Invoice No]&lt;&gt;"")*tbl_Finance[Date]))),""))</f>
        <v/>
      </c>
      <c r="B107" s="25">
        <f>IF(C107="","",IF(COUNTIFS(tbl_Finance[Job Number],C107&amp;"",tbl_Finance[Xero Invoice No],"&lt;&gt;")=0,"",IFERROR(IF(COUNTIFS(tbl_Finance[Job Number],C107&amp;"",tbl_Finance[Xero Invoice No],LOOKUP(2,1/((tbl_Finance[Job Number]=C107&amp;"")*(tbl_Finance[Xero Invoice No]&lt;&gt;"")),tbl_Finance[Xero Invoice No]))=COUNTIFS(tbl_Finance[Job Number],C107&amp;"",tbl_Finance[Xero Invoice No],"&lt;&gt;"),LOOKUP(2,1/((tbl_Finance[Job Number]=C107&amp;"")*(tbl_Finance[Xero Invoice No]&lt;&gt;"")),tbl_Finance[Xero Invoice No]),LOOKUP(2,1/((tbl_Finance[Job Number]=C107&amp;"")*(tbl_Finance[Xero Invoice No]&lt;&gt;"")),tbl_Finance[Xero Invoice No])&amp;" +more"),"")))</f>
        <v/>
      </c>
      <c r="C107" s="24" t="n"/>
      <c r="D107" s="25">
        <f>IF(C107="","",IF(COUNTIF(lst_Jobs,C107&amp;"")&gt;0,"OK","CHECK"))</f>
        <v/>
      </c>
      <c r="E107" s="25">
        <f>IF(C107="","",IFERROR(INDEX(lst_JobName,MATCH(C107&amp;"",lst_Jobs,0)),""))</f>
        <v/>
      </c>
      <c r="F107" s="25">
        <f>IF(C107="","",IFERROR(INDEX(tbl_Finance[Client],MATCH(C107&amp;"",tbl_Finance[Job Number],0)),""))</f>
        <v/>
      </c>
      <c r="G107" s="28">
        <f>IF(C107="","",COUNTIFS(tbl_Finance[Job Number],C107&amp;"",tbl_Finance[Ex GST],"&lt;&gt;"))</f>
        <v/>
      </c>
      <c r="H107" s="27">
        <f>IF(C107="","",SUMIFS(tbl_Finance[Ex GST],tbl_Finance[Job Number],C107&amp;""))</f>
        <v/>
      </c>
      <c r="I107" s="27">
        <f>IF(C107="","",SUMIFS(tbl_Finance[Ex GST],tbl_Finance[Job Number],C107&amp;"",tbl_Finance[Xero Invoice No],"&lt;&gt;"))</f>
        <v/>
      </c>
      <c r="J107" s="27">
        <f>IF(C107="","",H107-I107)</f>
        <v/>
      </c>
      <c r="K107" s="25">
        <f>IF(C107="","",IF(G107=0,"not invoiced yet",SUBSTITUTE(TRIM(IF(COUNTIFS(tbl_Finance[Job Number],C107&amp;"",tbl_Finance[Cost Centre],"ONSITE")&gt;0,"ONSITE ","")&amp;IF(COUNTIFS(tbl_Finance[Job Number],C107&amp;"",tbl_Finance[Cost Centre],"PRODUCTION")&gt;0,"PRODUCTION ","")&amp;IF(COUNTIFS(tbl_Finance[Job Number],C107&amp;"",tbl_Finance[Cost Centre],"VIDEO")&gt;0,"VIDEO ","")&amp;IF(COUNTIFS(tbl_Finance[Job Number],C107&amp;"",tbl_Finance[Cost Centre],"INTEGRATION")&gt;0,"INTEGRATION ","")&amp;IF(COUNTIFS(tbl_Finance[Job Number],C107&amp;"",tbl_Finance[Cost Centre],"CONSULTING")&gt;0,"CONSULTING ","")&amp;IF(COUNTIFS(tbl_Finance[Job Number],C107&amp;"",tbl_Finance[Cost Centre],"CTS")&gt;0,"CTS ",""))," ",", ")))</f>
        <v/>
      </c>
      <c r="L107" s="22" t="n"/>
      <c r="M107" s="24" t="n"/>
      <c r="N107" s="25">
        <f>IF(M107="","",IF(AND(LEFT(M107,4)&lt;&gt;"http",set_RMSBase=""),"",HYPERLINK(IF(LEFT(M107,4)="http",M107,set_RMSBase&amp;M107),"Open opportunity")))</f>
        <v/>
      </c>
      <c r="O107" s="25">
        <f>IF(C107="","",C107)</f>
        <v/>
      </c>
      <c r="P107" s="24" t="n"/>
      <c r="Q107" s="26" t="n"/>
      <c r="R107" s="27">
        <f>IF(C107="","",H107+N(Q107))</f>
        <v/>
      </c>
      <c r="S107" s="29">
        <f>IFERROR(Q107/R107,"")</f>
        <v/>
      </c>
      <c r="T107" s="26" t="n"/>
      <c r="U107" s="26" t="n"/>
      <c r="V107" s="27">
        <f>IF(C107="","",N(T107)+N(U107))</f>
        <v/>
      </c>
      <c r="W107" s="27">
        <f>IF(C107="","",H107-V107)</f>
        <v/>
      </c>
      <c r="X107" s="29">
        <f>IFERROR(W107/H107,"")</f>
        <v/>
      </c>
      <c r="Y107" s="64" t="n"/>
      <c r="Z107" s="64" t="n"/>
      <c r="AA107" s="64" t="n"/>
      <c r="AB107" s="64" t="n"/>
      <c r="AC107" s="64" t="n"/>
      <c r="AD107" s="24" t="n"/>
    </row>
    <row r="108" ht="15" customHeight="1">
      <c r="A108" s="63">
        <f>IF(C108="","",IFERROR(IF(SUMPRODUCT(MAX((tbl_Finance[Job Number]=C108&amp;"")*(tbl_Finance[Xero Invoice No]&lt;&gt;"")*tbl_Finance[Date]))=0,"",SUMPRODUCT(MAX((tbl_Finance[Job Number]=C108&amp;"")*(tbl_Finance[Xero Invoice No]&lt;&gt;"")*tbl_Finance[Date]))),""))</f>
        <v/>
      </c>
      <c r="B108" s="25">
        <f>IF(C108="","",IF(COUNTIFS(tbl_Finance[Job Number],C108&amp;"",tbl_Finance[Xero Invoice No],"&lt;&gt;")=0,"",IFERROR(IF(COUNTIFS(tbl_Finance[Job Number],C108&amp;"",tbl_Finance[Xero Invoice No],LOOKUP(2,1/((tbl_Finance[Job Number]=C108&amp;"")*(tbl_Finance[Xero Invoice No]&lt;&gt;"")),tbl_Finance[Xero Invoice No]))=COUNTIFS(tbl_Finance[Job Number],C108&amp;"",tbl_Finance[Xero Invoice No],"&lt;&gt;"),LOOKUP(2,1/((tbl_Finance[Job Number]=C108&amp;"")*(tbl_Finance[Xero Invoice No]&lt;&gt;"")),tbl_Finance[Xero Invoice No]),LOOKUP(2,1/((tbl_Finance[Job Number]=C108&amp;"")*(tbl_Finance[Xero Invoice No]&lt;&gt;"")),tbl_Finance[Xero Invoice No])&amp;" +more"),"")))</f>
        <v/>
      </c>
      <c r="C108" s="24" t="n"/>
      <c r="D108" s="25">
        <f>IF(C108="","",IF(COUNTIF(lst_Jobs,C108&amp;"")&gt;0,"OK","CHECK"))</f>
        <v/>
      </c>
      <c r="E108" s="25">
        <f>IF(C108="","",IFERROR(INDEX(lst_JobName,MATCH(C108&amp;"",lst_Jobs,0)),""))</f>
        <v/>
      </c>
      <c r="F108" s="25">
        <f>IF(C108="","",IFERROR(INDEX(tbl_Finance[Client],MATCH(C108&amp;"",tbl_Finance[Job Number],0)),""))</f>
        <v/>
      </c>
      <c r="G108" s="28">
        <f>IF(C108="","",COUNTIFS(tbl_Finance[Job Number],C108&amp;"",tbl_Finance[Ex GST],"&lt;&gt;"))</f>
        <v/>
      </c>
      <c r="H108" s="27">
        <f>IF(C108="","",SUMIFS(tbl_Finance[Ex GST],tbl_Finance[Job Number],C108&amp;""))</f>
        <v/>
      </c>
      <c r="I108" s="27">
        <f>IF(C108="","",SUMIFS(tbl_Finance[Ex GST],tbl_Finance[Job Number],C108&amp;"",tbl_Finance[Xero Invoice No],"&lt;&gt;"))</f>
        <v/>
      </c>
      <c r="J108" s="27">
        <f>IF(C108="","",H108-I108)</f>
        <v/>
      </c>
      <c r="K108" s="25">
        <f>IF(C108="","",IF(G108=0,"not invoiced yet",SUBSTITUTE(TRIM(IF(COUNTIFS(tbl_Finance[Job Number],C108&amp;"",tbl_Finance[Cost Centre],"ONSITE")&gt;0,"ONSITE ","")&amp;IF(COUNTIFS(tbl_Finance[Job Number],C108&amp;"",tbl_Finance[Cost Centre],"PRODUCTION")&gt;0,"PRODUCTION ","")&amp;IF(COUNTIFS(tbl_Finance[Job Number],C108&amp;"",tbl_Finance[Cost Centre],"VIDEO")&gt;0,"VIDEO ","")&amp;IF(COUNTIFS(tbl_Finance[Job Number],C108&amp;"",tbl_Finance[Cost Centre],"INTEGRATION")&gt;0,"INTEGRATION ","")&amp;IF(COUNTIFS(tbl_Finance[Job Number],C108&amp;"",tbl_Finance[Cost Centre],"CONSULTING")&gt;0,"CONSULTING ","")&amp;IF(COUNTIFS(tbl_Finance[Job Number],C108&amp;"",tbl_Finance[Cost Centre],"CTS")&gt;0,"CTS ",""))," ",", ")))</f>
        <v/>
      </c>
      <c r="L108" s="22" t="n"/>
      <c r="M108" s="24" t="n"/>
      <c r="N108" s="25">
        <f>IF(M108="","",IF(AND(LEFT(M108,4)&lt;&gt;"http",set_RMSBase=""),"",HYPERLINK(IF(LEFT(M108,4)="http",M108,set_RMSBase&amp;M108),"Open opportunity")))</f>
        <v/>
      </c>
      <c r="O108" s="25">
        <f>IF(C108="","",C108)</f>
        <v/>
      </c>
      <c r="P108" s="24" t="n"/>
      <c r="Q108" s="26" t="n"/>
      <c r="R108" s="27">
        <f>IF(C108="","",H108+N(Q108))</f>
        <v/>
      </c>
      <c r="S108" s="29">
        <f>IFERROR(Q108/R108,"")</f>
        <v/>
      </c>
      <c r="T108" s="26" t="n"/>
      <c r="U108" s="26" t="n"/>
      <c r="V108" s="27">
        <f>IF(C108="","",N(T108)+N(U108))</f>
        <v/>
      </c>
      <c r="W108" s="27">
        <f>IF(C108="","",H108-V108)</f>
        <v/>
      </c>
      <c r="X108" s="29">
        <f>IFERROR(W108/H108,"")</f>
        <v/>
      </c>
      <c r="Y108" s="64" t="n"/>
      <c r="Z108" s="64" t="n"/>
      <c r="AA108" s="64" t="n"/>
      <c r="AB108" s="64" t="n"/>
      <c r="AC108" s="64" t="n"/>
      <c r="AD108" s="24" t="n"/>
    </row>
    <row r="109" ht="15" customHeight="1">
      <c r="A109" s="63">
        <f>IF(C109="","",IFERROR(IF(SUMPRODUCT(MAX((tbl_Finance[Job Number]=C109&amp;"")*(tbl_Finance[Xero Invoice No]&lt;&gt;"")*tbl_Finance[Date]))=0,"",SUMPRODUCT(MAX((tbl_Finance[Job Number]=C109&amp;"")*(tbl_Finance[Xero Invoice No]&lt;&gt;"")*tbl_Finance[Date]))),""))</f>
        <v/>
      </c>
      <c r="B109" s="25">
        <f>IF(C109="","",IF(COUNTIFS(tbl_Finance[Job Number],C109&amp;"",tbl_Finance[Xero Invoice No],"&lt;&gt;")=0,"",IFERROR(IF(COUNTIFS(tbl_Finance[Job Number],C109&amp;"",tbl_Finance[Xero Invoice No],LOOKUP(2,1/((tbl_Finance[Job Number]=C109&amp;"")*(tbl_Finance[Xero Invoice No]&lt;&gt;"")),tbl_Finance[Xero Invoice No]))=COUNTIFS(tbl_Finance[Job Number],C109&amp;"",tbl_Finance[Xero Invoice No],"&lt;&gt;"),LOOKUP(2,1/((tbl_Finance[Job Number]=C109&amp;"")*(tbl_Finance[Xero Invoice No]&lt;&gt;"")),tbl_Finance[Xero Invoice No]),LOOKUP(2,1/((tbl_Finance[Job Number]=C109&amp;"")*(tbl_Finance[Xero Invoice No]&lt;&gt;"")),tbl_Finance[Xero Invoice No])&amp;" +more"),"")))</f>
        <v/>
      </c>
      <c r="C109" s="24" t="n"/>
      <c r="D109" s="25">
        <f>IF(C109="","",IF(COUNTIF(lst_Jobs,C109&amp;"")&gt;0,"OK","CHECK"))</f>
        <v/>
      </c>
      <c r="E109" s="25">
        <f>IF(C109="","",IFERROR(INDEX(lst_JobName,MATCH(C109&amp;"",lst_Jobs,0)),""))</f>
        <v/>
      </c>
      <c r="F109" s="25">
        <f>IF(C109="","",IFERROR(INDEX(tbl_Finance[Client],MATCH(C109&amp;"",tbl_Finance[Job Number],0)),""))</f>
        <v/>
      </c>
      <c r="G109" s="28">
        <f>IF(C109="","",COUNTIFS(tbl_Finance[Job Number],C109&amp;"",tbl_Finance[Ex GST],"&lt;&gt;"))</f>
        <v/>
      </c>
      <c r="H109" s="27">
        <f>IF(C109="","",SUMIFS(tbl_Finance[Ex GST],tbl_Finance[Job Number],C109&amp;""))</f>
        <v/>
      </c>
      <c r="I109" s="27">
        <f>IF(C109="","",SUMIFS(tbl_Finance[Ex GST],tbl_Finance[Job Number],C109&amp;"",tbl_Finance[Xero Invoice No],"&lt;&gt;"))</f>
        <v/>
      </c>
      <c r="J109" s="27">
        <f>IF(C109="","",H109-I109)</f>
        <v/>
      </c>
      <c r="K109" s="25">
        <f>IF(C109="","",IF(G109=0,"not invoiced yet",SUBSTITUTE(TRIM(IF(COUNTIFS(tbl_Finance[Job Number],C109&amp;"",tbl_Finance[Cost Centre],"ONSITE")&gt;0,"ONSITE ","")&amp;IF(COUNTIFS(tbl_Finance[Job Number],C109&amp;"",tbl_Finance[Cost Centre],"PRODUCTION")&gt;0,"PRODUCTION ","")&amp;IF(COUNTIFS(tbl_Finance[Job Number],C109&amp;"",tbl_Finance[Cost Centre],"VIDEO")&gt;0,"VIDEO ","")&amp;IF(COUNTIFS(tbl_Finance[Job Number],C109&amp;"",tbl_Finance[Cost Centre],"INTEGRATION")&gt;0,"INTEGRATION ","")&amp;IF(COUNTIFS(tbl_Finance[Job Number],C109&amp;"",tbl_Finance[Cost Centre],"CONSULTING")&gt;0,"CONSULTING ","")&amp;IF(COUNTIFS(tbl_Finance[Job Number],C109&amp;"",tbl_Finance[Cost Centre],"CTS")&gt;0,"CTS ",""))," ",", ")))</f>
        <v/>
      </c>
      <c r="L109" s="22" t="n"/>
      <c r="M109" s="24" t="n"/>
      <c r="N109" s="25">
        <f>IF(M109="","",IF(AND(LEFT(M109,4)&lt;&gt;"http",set_RMSBase=""),"",HYPERLINK(IF(LEFT(M109,4)="http",M109,set_RMSBase&amp;M109),"Open opportunity")))</f>
        <v/>
      </c>
      <c r="O109" s="25">
        <f>IF(C109="","",C109)</f>
        <v/>
      </c>
      <c r="P109" s="24" t="n"/>
      <c r="Q109" s="26" t="n"/>
      <c r="R109" s="27">
        <f>IF(C109="","",H109+N(Q109))</f>
        <v/>
      </c>
      <c r="S109" s="29">
        <f>IFERROR(Q109/R109,"")</f>
        <v/>
      </c>
      <c r="T109" s="26" t="n"/>
      <c r="U109" s="26" t="n"/>
      <c r="V109" s="27">
        <f>IF(C109="","",N(T109)+N(U109))</f>
        <v/>
      </c>
      <c r="W109" s="27">
        <f>IF(C109="","",H109-V109)</f>
        <v/>
      </c>
      <c r="X109" s="29">
        <f>IFERROR(W109/H109,"")</f>
        <v/>
      </c>
      <c r="Y109" s="64" t="n"/>
      <c r="Z109" s="64" t="n"/>
      <c r="AA109" s="64" t="n"/>
      <c r="AB109" s="64" t="n"/>
      <c r="AC109" s="64" t="n"/>
      <c r="AD109" s="24" t="n"/>
    </row>
    <row r="110" ht="15" customHeight="1">
      <c r="A110" s="63">
        <f>IF(C110="","",IFERROR(IF(SUMPRODUCT(MAX((tbl_Finance[Job Number]=C110&amp;"")*(tbl_Finance[Xero Invoice No]&lt;&gt;"")*tbl_Finance[Date]))=0,"",SUMPRODUCT(MAX((tbl_Finance[Job Number]=C110&amp;"")*(tbl_Finance[Xero Invoice No]&lt;&gt;"")*tbl_Finance[Date]))),""))</f>
        <v/>
      </c>
      <c r="B110" s="25">
        <f>IF(C110="","",IF(COUNTIFS(tbl_Finance[Job Number],C110&amp;"",tbl_Finance[Xero Invoice No],"&lt;&gt;")=0,"",IFERROR(IF(COUNTIFS(tbl_Finance[Job Number],C110&amp;"",tbl_Finance[Xero Invoice No],LOOKUP(2,1/((tbl_Finance[Job Number]=C110&amp;"")*(tbl_Finance[Xero Invoice No]&lt;&gt;"")),tbl_Finance[Xero Invoice No]))=COUNTIFS(tbl_Finance[Job Number],C110&amp;"",tbl_Finance[Xero Invoice No],"&lt;&gt;"),LOOKUP(2,1/((tbl_Finance[Job Number]=C110&amp;"")*(tbl_Finance[Xero Invoice No]&lt;&gt;"")),tbl_Finance[Xero Invoice No]),LOOKUP(2,1/((tbl_Finance[Job Number]=C110&amp;"")*(tbl_Finance[Xero Invoice No]&lt;&gt;"")),tbl_Finance[Xero Invoice No])&amp;" +more"),"")))</f>
        <v/>
      </c>
      <c r="C110" s="24" t="n"/>
      <c r="D110" s="25">
        <f>IF(C110="","",IF(COUNTIF(lst_Jobs,C110&amp;"")&gt;0,"OK","CHECK"))</f>
        <v/>
      </c>
      <c r="E110" s="25">
        <f>IF(C110="","",IFERROR(INDEX(lst_JobName,MATCH(C110&amp;"",lst_Jobs,0)),""))</f>
        <v/>
      </c>
      <c r="F110" s="25">
        <f>IF(C110="","",IFERROR(INDEX(tbl_Finance[Client],MATCH(C110&amp;"",tbl_Finance[Job Number],0)),""))</f>
        <v/>
      </c>
      <c r="G110" s="28">
        <f>IF(C110="","",COUNTIFS(tbl_Finance[Job Number],C110&amp;"",tbl_Finance[Ex GST],"&lt;&gt;"))</f>
        <v/>
      </c>
      <c r="H110" s="27">
        <f>IF(C110="","",SUMIFS(tbl_Finance[Ex GST],tbl_Finance[Job Number],C110&amp;""))</f>
        <v/>
      </c>
      <c r="I110" s="27">
        <f>IF(C110="","",SUMIFS(tbl_Finance[Ex GST],tbl_Finance[Job Number],C110&amp;"",tbl_Finance[Xero Invoice No],"&lt;&gt;"))</f>
        <v/>
      </c>
      <c r="J110" s="27">
        <f>IF(C110="","",H110-I110)</f>
        <v/>
      </c>
      <c r="K110" s="25">
        <f>IF(C110="","",IF(G110=0,"not invoiced yet",SUBSTITUTE(TRIM(IF(COUNTIFS(tbl_Finance[Job Number],C110&amp;"",tbl_Finance[Cost Centre],"ONSITE")&gt;0,"ONSITE ","")&amp;IF(COUNTIFS(tbl_Finance[Job Number],C110&amp;"",tbl_Finance[Cost Centre],"PRODUCTION")&gt;0,"PRODUCTION ","")&amp;IF(COUNTIFS(tbl_Finance[Job Number],C110&amp;"",tbl_Finance[Cost Centre],"VIDEO")&gt;0,"VIDEO ","")&amp;IF(COUNTIFS(tbl_Finance[Job Number],C110&amp;"",tbl_Finance[Cost Centre],"INTEGRATION")&gt;0,"INTEGRATION ","")&amp;IF(COUNTIFS(tbl_Finance[Job Number],C110&amp;"",tbl_Finance[Cost Centre],"CONSULTING")&gt;0,"CONSULTING ","")&amp;IF(COUNTIFS(tbl_Finance[Job Number],C110&amp;"",tbl_Finance[Cost Centre],"CTS")&gt;0,"CTS ",""))," ",", ")))</f>
        <v/>
      </c>
      <c r="L110" s="22" t="n"/>
      <c r="M110" s="24" t="n"/>
      <c r="N110" s="25">
        <f>IF(M110="","",IF(AND(LEFT(M110,4)&lt;&gt;"http",set_RMSBase=""),"",HYPERLINK(IF(LEFT(M110,4)="http",M110,set_RMSBase&amp;M110),"Open opportunity")))</f>
        <v/>
      </c>
      <c r="O110" s="25">
        <f>IF(C110="","",C110)</f>
        <v/>
      </c>
      <c r="P110" s="24" t="n"/>
      <c r="Q110" s="26" t="n"/>
      <c r="R110" s="27">
        <f>IF(C110="","",H110+N(Q110))</f>
        <v/>
      </c>
      <c r="S110" s="29">
        <f>IFERROR(Q110/R110,"")</f>
        <v/>
      </c>
      <c r="T110" s="26" t="n"/>
      <c r="U110" s="26" t="n"/>
      <c r="V110" s="27">
        <f>IF(C110="","",N(T110)+N(U110))</f>
        <v/>
      </c>
      <c r="W110" s="27">
        <f>IF(C110="","",H110-V110)</f>
        <v/>
      </c>
      <c r="X110" s="29">
        <f>IFERROR(W110/H110,"")</f>
        <v/>
      </c>
      <c r="Y110" s="64" t="n"/>
      <c r="Z110" s="64" t="n"/>
      <c r="AA110" s="64" t="n"/>
      <c r="AB110" s="64" t="n"/>
      <c r="AC110" s="64" t="n"/>
      <c r="AD110" s="24" t="n"/>
    </row>
    <row r="111" ht="15" customHeight="1">
      <c r="A111" s="63">
        <f>IF(C111="","",IFERROR(IF(SUMPRODUCT(MAX((tbl_Finance[Job Number]=C111&amp;"")*(tbl_Finance[Xero Invoice No]&lt;&gt;"")*tbl_Finance[Date]))=0,"",SUMPRODUCT(MAX((tbl_Finance[Job Number]=C111&amp;"")*(tbl_Finance[Xero Invoice No]&lt;&gt;"")*tbl_Finance[Date]))),""))</f>
        <v/>
      </c>
      <c r="B111" s="25">
        <f>IF(C111="","",IF(COUNTIFS(tbl_Finance[Job Number],C111&amp;"",tbl_Finance[Xero Invoice No],"&lt;&gt;")=0,"",IFERROR(IF(COUNTIFS(tbl_Finance[Job Number],C111&amp;"",tbl_Finance[Xero Invoice No],LOOKUP(2,1/((tbl_Finance[Job Number]=C111&amp;"")*(tbl_Finance[Xero Invoice No]&lt;&gt;"")),tbl_Finance[Xero Invoice No]))=COUNTIFS(tbl_Finance[Job Number],C111&amp;"",tbl_Finance[Xero Invoice No],"&lt;&gt;"),LOOKUP(2,1/((tbl_Finance[Job Number]=C111&amp;"")*(tbl_Finance[Xero Invoice No]&lt;&gt;"")),tbl_Finance[Xero Invoice No]),LOOKUP(2,1/((tbl_Finance[Job Number]=C111&amp;"")*(tbl_Finance[Xero Invoice No]&lt;&gt;"")),tbl_Finance[Xero Invoice No])&amp;" +more"),"")))</f>
        <v/>
      </c>
      <c r="C111" s="24" t="n"/>
      <c r="D111" s="25">
        <f>IF(C111="","",IF(COUNTIF(lst_Jobs,C111&amp;"")&gt;0,"OK","CHECK"))</f>
        <v/>
      </c>
      <c r="E111" s="25">
        <f>IF(C111="","",IFERROR(INDEX(lst_JobName,MATCH(C111&amp;"",lst_Jobs,0)),""))</f>
        <v/>
      </c>
      <c r="F111" s="25">
        <f>IF(C111="","",IFERROR(INDEX(tbl_Finance[Client],MATCH(C111&amp;"",tbl_Finance[Job Number],0)),""))</f>
        <v/>
      </c>
      <c r="G111" s="28">
        <f>IF(C111="","",COUNTIFS(tbl_Finance[Job Number],C111&amp;"",tbl_Finance[Ex GST],"&lt;&gt;"))</f>
        <v/>
      </c>
      <c r="H111" s="27">
        <f>IF(C111="","",SUMIFS(tbl_Finance[Ex GST],tbl_Finance[Job Number],C111&amp;""))</f>
        <v/>
      </c>
      <c r="I111" s="27">
        <f>IF(C111="","",SUMIFS(tbl_Finance[Ex GST],tbl_Finance[Job Number],C111&amp;"",tbl_Finance[Xero Invoice No],"&lt;&gt;"))</f>
        <v/>
      </c>
      <c r="J111" s="27">
        <f>IF(C111="","",H111-I111)</f>
        <v/>
      </c>
      <c r="K111" s="25">
        <f>IF(C111="","",IF(G111=0,"not invoiced yet",SUBSTITUTE(TRIM(IF(COUNTIFS(tbl_Finance[Job Number],C111&amp;"",tbl_Finance[Cost Centre],"ONSITE")&gt;0,"ONSITE ","")&amp;IF(COUNTIFS(tbl_Finance[Job Number],C111&amp;"",tbl_Finance[Cost Centre],"PRODUCTION")&gt;0,"PRODUCTION ","")&amp;IF(COUNTIFS(tbl_Finance[Job Number],C111&amp;"",tbl_Finance[Cost Centre],"VIDEO")&gt;0,"VIDEO ","")&amp;IF(COUNTIFS(tbl_Finance[Job Number],C111&amp;"",tbl_Finance[Cost Centre],"INTEGRATION")&gt;0,"INTEGRATION ","")&amp;IF(COUNTIFS(tbl_Finance[Job Number],C111&amp;"",tbl_Finance[Cost Centre],"CONSULTING")&gt;0,"CONSULTING ","")&amp;IF(COUNTIFS(tbl_Finance[Job Number],C111&amp;"",tbl_Finance[Cost Centre],"CTS")&gt;0,"CTS ",""))," ",", ")))</f>
        <v/>
      </c>
      <c r="L111" s="22" t="n"/>
      <c r="M111" s="24" t="n"/>
      <c r="N111" s="25">
        <f>IF(M111="","",IF(AND(LEFT(M111,4)&lt;&gt;"http",set_RMSBase=""),"",HYPERLINK(IF(LEFT(M111,4)="http",M111,set_RMSBase&amp;M111),"Open opportunity")))</f>
        <v/>
      </c>
      <c r="O111" s="25">
        <f>IF(C111="","",C111)</f>
        <v/>
      </c>
      <c r="P111" s="24" t="n"/>
      <c r="Q111" s="26" t="n"/>
      <c r="R111" s="27">
        <f>IF(C111="","",H111+N(Q111))</f>
        <v/>
      </c>
      <c r="S111" s="29">
        <f>IFERROR(Q111/R111,"")</f>
        <v/>
      </c>
      <c r="T111" s="26" t="n"/>
      <c r="U111" s="26" t="n"/>
      <c r="V111" s="27">
        <f>IF(C111="","",N(T111)+N(U111))</f>
        <v/>
      </c>
      <c r="W111" s="27">
        <f>IF(C111="","",H111-V111)</f>
        <v/>
      </c>
      <c r="X111" s="29">
        <f>IFERROR(W111/H111,"")</f>
        <v/>
      </c>
      <c r="Y111" s="64" t="n"/>
      <c r="Z111" s="64" t="n"/>
      <c r="AA111" s="64" t="n"/>
      <c r="AB111" s="64" t="n"/>
      <c r="AC111" s="64" t="n"/>
      <c r="AD111" s="24" t="n"/>
    </row>
    <row r="112" ht="15" customHeight="1">
      <c r="A112" s="63">
        <f>IF(C112="","",IFERROR(IF(SUMPRODUCT(MAX((tbl_Finance[Job Number]=C112&amp;"")*(tbl_Finance[Xero Invoice No]&lt;&gt;"")*tbl_Finance[Date]))=0,"",SUMPRODUCT(MAX((tbl_Finance[Job Number]=C112&amp;"")*(tbl_Finance[Xero Invoice No]&lt;&gt;"")*tbl_Finance[Date]))),""))</f>
        <v/>
      </c>
      <c r="B112" s="25">
        <f>IF(C112="","",IF(COUNTIFS(tbl_Finance[Job Number],C112&amp;"",tbl_Finance[Xero Invoice No],"&lt;&gt;")=0,"",IFERROR(IF(COUNTIFS(tbl_Finance[Job Number],C112&amp;"",tbl_Finance[Xero Invoice No],LOOKUP(2,1/((tbl_Finance[Job Number]=C112&amp;"")*(tbl_Finance[Xero Invoice No]&lt;&gt;"")),tbl_Finance[Xero Invoice No]))=COUNTIFS(tbl_Finance[Job Number],C112&amp;"",tbl_Finance[Xero Invoice No],"&lt;&gt;"),LOOKUP(2,1/((tbl_Finance[Job Number]=C112&amp;"")*(tbl_Finance[Xero Invoice No]&lt;&gt;"")),tbl_Finance[Xero Invoice No]),LOOKUP(2,1/((tbl_Finance[Job Number]=C112&amp;"")*(tbl_Finance[Xero Invoice No]&lt;&gt;"")),tbl_Finance[Xero Invoice No])&amp;" +more"),"")))</f>
        <v/>
      </c>
      <c r="C112" s="24" t="n"/>
      <c r="D112" s="25">
        <f>IF(C112="","",IF(COUNTIF(lst_Jobs,C112&amp;"")&gt;0,"OK","CHECK"))</f>
        <v/>
      </c>
      <c r="E112" s="25">
        <f>IF(C112="","",IFERROR(INDEX(lst_JobName,MATCH(C112&amp;"",lst_Jobs,0)),""))</f>
        <v/>
      </c>
      <c r="F112" s="25">
        <f>IF(C112="","",IFERROR(INDEX(tbl_Finance[Client],MATCH(C112&amp;"",tbl_Finance[Job Number],0)),""))</f>
        <v/>
      </c>
      <c r="G112" s="28">
        <f>IF(C112="","",COUNTIFS(tbl_Finance[Job Number],C112&amp;"",tbl_Finance[Ex GST],"&lt;&gt;"))</f>
        <v/>
      </c>
      <c r="H112" s="27">
        <f>IF(C112="","",SUMIFS(tbl_Finance[Ex GST],tbl_Finance[Job Number],C112&amp;""))</f>
        <v/>
      </c>
      <c r="I112" s="27">
        <f>IF(C112="","",SUMIFS(tbl_Finance[Ex GST],tbl_Finance[Job Number],C112&amp;"",tbl_Finance[Xero Invoice No],"&lt;&gt;"))</f>
        <v/>
      </c>
      <c r="J112" s="27">
        <f>IF(C112="","",H112-I112)</f>
        <v/>
      </c>
      <c r="K112" s="25">
        <f>IF(C112="","",IF(G112=0,"not invoiced yet",SUBSTITUTE(TRIM(IF(COUNTIFS(tbl_Finance[Job Number],C112&amp;"",tbl_Finance[Cost Centre],"ONSITE")&gt;0,"ONSITE ","")&amp;IF(COUNTIFS(tbl_Finance[Job Number],C112&amp;"",tbl_Finance[Cost Centre],"PRODUCTION")&gt;0,"PRODUCTION ","")&amp;IF(COUNTIFS(tbl_Finance[Job Number],C112&amp;"",tbl_Finance[Cost Centre],"VIDEO")&gt;0,"VIDEO ","")&amp;IF(COUNTIFS(tbl_Finance[Job Number],C112&amp;"",tbl_Finance[Cost Centre],"INTEGRATION")&gt;0,"INTEGRATION ","")&amp;IF(COUNTIFS(tbl_Finance[Job Number],C112&amp;"",tbl_Finance[Cost Centre],"CONSULTING")&gt;0,"CONSULTING ","")&amp;IF(COUNTIFS(tbl_Finance[Job Number],C112&amp;"",tbl_Finance[Cost Centre],"CTS")&gt;0,"CTS ",""))," ",", ")))</f>
        <v/>
      </c>
      <c r="L112" s="22" t="n"/>
      <c r="M112" s="24" t="n"/>
      <c r="N112" s="25">
        <f>IF(M112="","",IF(AND(LEFT(M112,4)&lt;&gt;"http",set_RMSBase=""),"",HYPERLINK(IF(LEFT(M112,4)="http",M112,set_RMSBase&amp;M112),"Open opportunity")))</f>
        <v/>
      </c>
      <c r="O112" s="25">
        <f>IF(C112="","",C112)</f>
        <v/>
      </c>
      <c r="P112" s="24" t="n"/>
      <c r="Q112" s="26" t="n"/>
      <c r="R112" s="27">
        <f>IF(C112="","",H112+N(Q112))</f>
        <v/>
      </c>
      <c r="S112" s="29">
        <f>IFERROR(Q112/R112,"")</f>
        <v/>
      </c>
      <c r="T112" s="26" t="n"/>
      <c r="U112" s="26" t="n"/>
      <c r="V112" s="27">
        <f>IF(C112="","",N(T112)+N(U112))</f>
        <v/>
      </c>
      <c r="W112" s="27">
        <f>IF(C112="","",H112-V112)</f>
        <v/>
      </c>
      <c r="X112" s="29">
        <f>IFERROR(W112/H112,"")</f>
        <v/>
      </c>
      <c r="Y112" s="64" t="n"/>
      <c r="Z112" s="64" t="n"/>
      <c r="AA112" s="64" t="n"/>
      <c r="AB112" s="64" t="n"/>
      <c r="AC112" s="64" t="n"/>
      <c r="AD112" s="24" t="n"/>
    </row>
    <row r="113" ht="15" customHeight="1">
      <c r="A113" s="63">
        <f>IF(C113="","",IFERROR(IF(SUMPRODUCT(MAX((tbl_Finance[Job Number]=C113&amp;"")*(tbl_Finance[Xero Invoice No]&lt;&gt;"")*tbl_Finance[Date]))=0,"",SUMPRODUCT(MAX((tbl_Finance[Job Number]=C113&amp;"")*(tbl_Finance[Xero Invoice No]&lt;&gt;"")*tbl_Finance[Date]))),""))</f>
        <v/>
      </c>
      <c r="B113" s="25">
        <f>IF(C113="","",IF(COUNTIFS(tbl_Finance[Job Number],C113&amp;"",tbl_Finance[Xero Invoice No],"&lt;&gt;")=0,"",IFERROR(IF(COUNTIFS(tbl_Finance[Job Number],C113&amp;"",tbl_Finance[Xero Invoice No],LOOKUP(2,1/((tbl_Finance[Job Number]=C113&amp;"")*(tbl_Finance[Xero Invoice No]&lt;&gt;"")),tbl_Finance[Xero Invoice No]))=COUNTIFS(tbl_Finance[Job Number],C113&amp;"",tbl_Finance[Xero Invoice No],"&lt;&gt;"),LOOKUP(2,1/((tbl_Finance[Job Number]=C113&amp;"")*(tbl_Finance[Xero Invoice No]&lt;&gt;"")),tbl_Finance[Xero Invoice No]),LOOKUP(2,1/((tbl_Finance[Job Number]=C113&amp;"")*(tbl_Finance[Xero Invoice No]&lt;&gt;"")),tbl_Finance[Xero Invoice No])&amp;" +more"),"")))</f>
        <v/>
      </c>
      <c r="C113" s="24" t="n"/>
      <c r="D113" s="25">
        <f>IF(C113="","",IF(COUNTIF(lst_Jobs,C113&amp;"")&gt;0,"OK","CHECK"))</f>
        <v/>
      </c>
      <c r="E113" s="25">
        <f>IF(C113="","",IFERROR(INDEX(lst_JobName,MATCH(C113&amp;"",lst_Jobs,0)),""))</f>
        <v/>
      </c>
      <c r="F113" s="25">
        <f>IF(C113="","",IFERROR(INDEX(tbl_Finance[Client],MATCH(C113&amp;"",tbl_Finance[Job Number],0)),""))</f>
        <v/>
      </c>
      <c r="G113" s="28">
        <f>IF(C113="","",COUNTIFS(tbl_Finance[Job Number],C113&amp;"",tbl_Finance[Ex GST],"&lt;&gt;"))</f>
        <v/>
      </c>
      <c r="H113" s="27">
        <f>IF(C113="","",SUMIFS(tbl_Finance[Ex GST],tbl_Finance[Job Number],C113&amp;""))</f>
        <v/>
      </c>
      <c r="I113" s="27">
        <f>IF(C113="","",SUMIFS(tbl_Finance[Ex GST],tbl_Finance[Job Number],C113&amp;"",tbl_Finance[Xero Invoice No],"&lt;&gt;"))</f>
        <v/>
      </c>
      <c r="J113" s="27">
        <f>IF(C113="","",H113-I113)</f>
        <v/>
      </c>
      <c r="K113" s="25">
        <f>IF(C113="","",IF(G113=0,"not invoiced yet",SUBSTITUTE(TRIM(IF(COUNTIFS(tbl_Finance[Job Number],C113&amp;"",tbl_Finance[Cost Centre],"ONSITE")&gt;0,"ONSITE ","")&amp;IF(COUNTIFS(tbl_Finance[Job Number],C113&amp;"",tbl_Finance[Cost Centre],"PRODUCTION")&gt;0,"PRODUCTION ","")&amp;IF(COUNTIFS(tbl_Finance[Job Number],C113&amp;"",tbl_Finance[Cost Centre],"VIDEO")&gt;0,"VIDEO ","")&amp;IF(COUNTIFS(tbl_Finance[Job Number],C113&amp;"",tbl_Finance[Cost Centre],"INTEGRATION")&gt;0,"INTEGRATION ","")&amp;IF(COUNTIFS(tbl_Finance[Job Number],C113&amp;"",tbl_Finance[Cost Centre],"CONSULTING")&gt;0,"CONSULTING ","")&amp;IF(COUNTIFS(tbl_Finance[Job Number],C113&amp;"",tbl_Finance[Cost Centre],"CTS")&gt;0,"CTS ",""))," ",", ")))</f>
        <v/>
      </c>
      <c r="L113" s="22" t="n"/>
      <c r="M113" s="24" t="n"/>
      <c r="N113" s="25">
        <f>IF(M113="","",IF(AND(LEFT(M113,4)&lt;&gt;"http",set_RMSBase=""),"",HYPERLINK(IF(LEFT(M113,4)="http",M113,set_RMSBase&amp;M113),"Open opportunity")))</f>
        <v/>
      </c>
      <c r="O113" s="25">
        <f>IF(C113="","",C113)</f>
        <v/>
      </c>
      <c r="P113" s="24" t="n"/>
      <c r="Q113" s="26" t="n"/>
      <c r="R113" s="27">
        <f>IF(C113="","",H113+N(Q113))</f>
        <v/>
      </c>
      <c r="S113" s="29">
        <f>IFERROR(Q113/R113,"")</f>
        <v/>
      </c>
      <c r="T113" s="26" t="n"/>
      <c r="U113" s="26" t="n"/>
      <c r="V113" s="27">
        <f>IF(C113="","",N(T113)+N(U113))</f>
        <v/>
      </c>
      <c r="W113" s="27">
        <f>IF(C113="","",H113-V113)</f>
        <v/>
      </c>
      <c r="X113" s="29">
        <f>IFERROR(W113/H113,"")</f>
        <v/>
      </c>
      <c r="Y113" s="64" t="n"/>
      <c r="Z113" s="64" t="n"/>
      <c r="AA113" s="64" t="n"/>
      <c r="AB113" s="64" t="n"/>
      <c r="AC113" s="64" t="n"/>
      <c r="AD113" s="24" t="n"/>
    </row>
    <row r="114" ht="15" customHeight="1">
      <c r="A114" s="63">
        <f>IF(C114="","",IFERROR(IF(SUMPRODUCT(MAX((tbl_Finance[Job Number]=C114&amp;"")*(tbl_Finance[Xero Invoice No]&lt;&gt;"")*tbl_Finance[Date]))=0,"",SUMPRODUCT(MAX((tbl_Finance[Job Number]=C114&amp;"")*(tbl_Finance[Xero Invoice No]&lt;&gt;"")*tbl_Finance[Date]))),""))</f>
        <v/>
      </c>
      <c r="B114" s="25">
        <f>IF(C114="","",IF(COUNTIFS(tbl_Finance[Job Number],C114&amp;"",tbl_Finance[Xero Invoice No],"&lt;&gt;")=0,"",IFERROR(IF(COUNTIFS(tbl_Finance[Job Number],C114&amp;"",tbl_Finance[Xero Invoice No],LOOKUP(2,1/((tbl_Finance[Job Number]=C114&amp;"")*(tbl_Finance[Xero Invoice No]&lt;&gt;"")),tbl_Finance[Xero Invoice No]))=COUNTIFS(tbl_Finance[Job Number],C114&amp;"",tbl_Finance[Xero Invoice No],"&lt;&gt;"),LOOKUP(2,1/((tbl_Finance[Job Number]=C114&amp;"")*(tbl_Finance[Xero Invoice No]&lt;&gt;"")),tbl_Finance[Xero Invoice No]),LOOKUP(2,1/((tbl_Finance[Job Number]=C114&amp;"")*(tbl_Finance[Xero Invoice No]&lt;&gt;"")),tbl_Finance[Xero Invoice No])&amp;" +more"),"")))</f>
        <v/>
      </c>
      <c r="C114" s="24" t="n"/>
      <c r="D114" s="25">
        <f>IF(C114="","",IF(COUNTIF(lst_Jobs,C114&amp;"")&gt;0,"OK","CHECK"))</f>
        <v/>
      </c>
      <c r="E114" s="25">
        <f>IF(C114="","",IFERROR(INDEX(lst_JobName,MATCH(C114&amp;"",lst_Jobs,0)),""))</f>
        <v/>
      </c>
      <c r="F114" s="25">
        <f>IF(C114="","",IFERROR(INDEX(tbl_Finance[Client],MATCH(C114&amp;"",tbl_Finance[Job Number],0)),""))</f>
        <v/>
      </c>
      <c r="G114" s="28">
        <f>IF(C114="","",COUNTIFS(tbl_Finance[Job Number],C114&amp;"",tbl_Finance[Ex GST],"&lt;&gt;"))</f>
        <v/>
      </c>
      <c r="H114" s="27">
        <f>IF(C114="","",SUMIFS(tbl_Finance[Ex GST],tbl_Finance[Job Number],C114&amp;""))</f>
        <v/>
      </c>
      <c r="I114" s="27">
        <f>IF(C114="","",SUMIFS(tbl_Finance[Ex GST],tbl_Finance[Job Number],C114&amp;"",tbl_Finance[Xero Invoice No],"&lt;&gt;"))</f>
        <v/>
      </c>
      <c r="J114" s="27">
        <f>IF(C114="","",H114-I114)</f>
        <v/>
      </c>
      <c r="K114" s="25">
        <f>IF(C114="","",IF(G114=0,"not invoiced yet",SUBSTITUTE(TRIM(IF(COUNTIFS(tbl_Finance[Job Number],C114&amp;"",tbl_Finance[Cost Centre],"ONSITE")&gt;0,"ONSITE ","")&amp;IF(COUNTIFS(tbl_Finance[Job Number],C114&amp;"",tbl_Finance[Cost Centre],"PRODUCTION")&gt;0,"PRODUCTION ","")&amp;IF(COUNTIFS(tbl_Finance[Job Number],C114&amp;"",tbl_Finance[Cost Centre],"VIDEO")&gt;0,"VIDEO ","")&amp;IF(COUNTIFS(tbl_Finance[Job Number],C114&amp;"",tbl_Finance[Cost Centre],"INTEGRATION")&gt;0,"INTEGRATION ","")&amp;IF(COUNTIFS(tbl_Finance[Job Number],C114&amp;"",tbl_Finance[Cost Centre],"CONSULTING")&gt;0,"CONSULTING ","")&amp;IF(COUNTIFS(tbl_Finance[Job Number],C114&amp;"",tbl_Finance[Cost Centre],"CTS")&gt;0,"CTS ",""))," ",", ")))</f>
        <v/>
      </c>
      <c r="L114" s="22" t="n"/>
      <c r="M114" s="24" t="n"/>
      <c r="N114" s="25">
        <f>IF(M114="","",IF(AND(LEFT(M114,4)&lt;&gt;"http",set_RMSBase=""),"",HYPERLINK(IF(LEFT(M114,4)="http",M114,set_RMSBase&amp;M114),"Open opportunity")))</f>
        <v/>
      </c>
      <c r="O114" s="25">
        <f>IF(C114="","",C114)</f>
        <v/>
      </c>
      <c r="P114" s="24" t="n"/>
      <c r="Q114" s="26" t="n"/>
      <c r="R114" s="27">
        <f>IF(C114="","",H114+N(Q114))</f>
        <v/>
      </c>
      <c r="S114" s="29">
        <f>IFERROR(Q114/R114,"")</f>
        <v/>
      </c>
      <c r="T114" s="26" t="n"/>
      <c r="U114" s="26" t="n"/>
      <c r="V114" s="27">
        <f>IF(C114="","",N(T114)+N(U114))</f>
        <v/>
      </c>
      <c r="W114" s="27">
        <f>IF(C114="","",H114-V114)</f>
        <v/>
      </c>
      <c r="X114" s="29">
        <f>IFERROR(W114/H114,"")</f>
        <v/>
      </c>
      <c r="Y114" s="64" t="n"/>
      <c r="Z114" s="64" t="n"/>
      <c r="AA114" s="64" t="n"/>
      <c r="AB114" s="64" t="n"/>
      <c r="AC114" s="64" t="n"/>
      <c r="AD114" s="24" t="n"/>
    </row>
    <row r="115" ht="15" customHeight="1">
      <c r="A115" s="63">
        <f>IF(C115="","",IFERROR(IF(SUMPRODUCT(MAX((tbl_Finance[Job Number]=C115&amp;"")*(tbl_Finance[Xero Invoice No]&lt;&gt;"")*tbl_Finance[Date]))=0,"",SUMPRODUCT(MAX((tbl_Finance[Job Number]=C115&amp;"")*(tbl_Finance[Xero Invoice No]&lt;&gt;"")*tbl_Finance[Date]))),""))</f>
        <v/>
      </c>
      <c r="B115" s="25">
        <f>IF(C115="","",IF(COUNTIFS(tbl_Finance[Job Number],C115&amp;"",tbl_Finance[Xero Invoice No],"&lt;&gt;")=0,"",IFERROR(IF(COUNTIFS(tbl_Finance[Job Number],C115&amp;"",tbl_Finance[Xero Invoice No],LOOKUP(2,1/((tbl_Finance[Job Number]=C115&amp;"")*(tbl_Finance[Xero Invoice No]&lt;&gt;"")),tbl_Finance[Xero Invoice No]))=COUNTIFS(tbl_Finance[Job Number],C115&amp;"",tbl_Finance[Xero Invoice No],"&lt;&gt;"),LOOKUP(2,1/((tbl_Finance[Job Number]=C115&amp;"")*(tbl_Finance[Xero Invoice No]&lt;&gt;"")),tbl_Finance[Xero Invoice No]),LOOKUP(2,1/((tbl_Finance[Job Number]=C115&amp;"")*(tbl_Finance[Xero Invoice No]&lt;&gt;"")),tbl_Finance[Xero Invoice No])&amp;" +more"),"")))</f>
        <v/>
      </c>
      <c r="C115" s="24" t="n"/>
      <c r="D115" s="25">
        <f>IF(C115="","",IF(COUNTIF(lst_Jobs,C115&amp;"")&gt;0,"OK","CHECK"))</f>
        <v/>
      </c>
      <c r="E115" s="25">
        <f>IF(C115="","",IFERROR(INDEX(lst_JobName,MATCH(C115&amp;"",lst_Jobs,0)),""))</f>
        <v/>
      </c>
      <c r="F115" s="25">
        <f>IF(C115="","",IFERROR(INDEX(tbl_Finance[Client],MATCH(C115&amp;"",tbl_Finance[Job Number],0)),""))</f>
        <v/>
      </c>
      <c r="G115" s="28">
        <f>IF(C115="","",COUNTIFS(tbl_Finance[Job Number],C115&amp;"",tbl_Finance[Ex GST],"&lt;&gt;"))</f>
        <v/>
      </c>
      <c r="H115" s="27">
        <f>IF(C115="","",SUMIFS(tbl_Finance[Ex GST],tbl_Finance[Job Number],C115&amp;""))</f>
        <v/>
      </c>
      <c r="I115" s="27">
        <f>IF(C115="","",SUMIFS(tbl_Finance[Ex GST],tbl_Finance[Job Number],C115&amp;"",tbl_Finance[Xero Invoice No],"&lt;&gt;"))</f>
        <v/>
      </c>
      <c r="J115" s="27">
        <f>IF(C115="","",H115-I115)</f>
        <v/>
      </c>
      <c r="K115" s="25">
        <f>IF(C115="","",IF(G115=0,"not invoiced yet",SUBSTITUTE(TRIM(IF(COUNTIFS(tbl_Finance[Job Number],C115&amp;"",tbl_Finance[Cost Centre],"ONSITE")&gt;0,"ONSITE ","")&amp;IF(COUNTIFS(tbl_Finance[Job Number],C115&amp;"",tbl_Finance[Cost Centre],"PRODUCTION")&gt;0,"PRODUCTION ","")&amp;IF(COUNTIFS(tbl_Finance[Job Number],C115&amp;"",tbl_Finance[Cost Centre],"VIDEO")&gt;0,"VIDEO ","")&amp;IF(COUNTIFS(tbl_Finance[Job Number],C115&amp;"",tbl_Finance[Cost Centre],"INTEGRATION")&gt;0,"INTEGRATION ","")&amp;IF(COUNTIFS(tbl_Finance[Job Number],C115&amp;"",tbl_Finance[Cost Centre],"CONSULTING")&gt;0,"CONSULTING ","")&amp;IF(COUNTIFS(tbl_Finance[Job Number],C115&amp;"",tbl_Finance[Cost Centre],"CTS")&gt;0,"CTS ",""))," ",", ")))</f>
        <v/>
      </c>
      <c r="L115" s="22" t="n"/>
      <c r="M115" s="24" t="n"/>
      <c r="N115" s="25">
        <f>IF(M115="","",IF(AND(LEFT(M115,4)&lt;&gt;"http",set_RMSBase=""),"",HYPERLINK(IF(LEFT(M115,4)="http",M115,set_RMSBase&amp;M115),"Open opportunity")))</f>
        <v/>
      </c>
      <c r="O115" s="25">
        <f>IF(C115="","",C115)</f>
        <v/>
      </c>
      <c r="P115" s="24" t="n"/>
      <c r="Q115" s="26" t="n"/>
      <c r="R115" s="27">
        <f>IF(C115="","",H115+N(Q115))</f>
        <v/>
      </c>
      <c r="S115" s="29">
        <f>IFERROR(Q115/R115,"")</f>
        <v/>
      </c>
      <c r="T115" s="26" t="n"/>
      <c r="U115" s="26" t="n"/>
      <c r="V115" s="27">
        <f>IF(C115="","",N(T115)+N(U115))</f>
        <v/>
      </c>
      <c r="W115" s="27">
        <f>IF(C115="","",H115-V115)</f>
        <v/>
      </c>
      <c r="X115" s="29">
        <f>IFERROR(W115/H115,"")</f>
        <v/>
      </c>
      <c r="Y115" s="64" t="n"/>
      <c r="Z115" s="64" t="n"/>
      <c r="AA115" s="64" t="n"/>
      <c r="AB115" s="64" t="n"/>
      <c r="AC115" s="64" t="n"/>
      <c r="AD115" s="24" t="n"/>
    </row>
    <row r="116" ht="15" customHeight="1">
      <c r="A116" s="63">
        <f>IF(C116="","",IFERROR(IF(SUMPRODUCT(MAX((tbl_Finance[Job Number]=C116&amp;"")*(tbl_Finance[Xero Invoice No]&lt;&gt;"")*tbl_Finance[Date]))=0,"",SUMPRODUCT(MAX((tbl_Finance[Job Number]=C116&amp;"")*(tbl_Finance[Xero Invoice No]&lt;&gt;"")*tbl_Finance[Date]))),""))</f>
        <v/>
      </c>
      <c r="B116" s="25">
        <f>IF(C116="","",IF(COUNTIFS(tbl_Finance[Job Number],C116&amp;"",tbl_Finance[Xero Invoice No],"&lt;&gt;")=0,"",IFERROR(IF(COUNTIFS(tbl_Finance[Job Number],C116&amp;"",tbl_Finance[Xero Invoice No],LOOKUP(2,1/((tbl_Finance[Job Number]=C116&amp;"")*(tbl_Finance[Xero Invoice No]&lt;&gt;"")),tbl_Finance[Xero Invoice No]))=COUNTIFS(tbl_Finance[Job Number],C116&amp;"",tbl_Finance[Xero Invoice No],"&lt;&gt;"),LOOKUP(2,1/((tbl_Finance[Job Number]=C116&amp;"")*(tbl_Finance[Xero Invoice No]&lt;&gt;"")),tbl_Finance[Xero Invoice No]),LOOKUP(2,1/((tbl_Finance[Job Number]=C116&amp;"")*(tbl_Finance[Xero Invoice No]&lt;&gt;"")),tbl_Finance[Xero Invoice No])&amp;" +more"),"")))</f>
        <v/>
      </c>
      <c r="C116" s="24" t="n"/>
      <c r="D116" s="25">
        <f>IF(C116="","",IF(COUNTIF(lst_Jobs,C116&amp;"")&gt;0,"OK","CHECK"))</f>
        <v/>
      </c>
      <c r="E116" s="25">
        <f>IF(C116="","",IFERROR(INDEX(lst_JobName,MATCH(C116&amp;"",lst_Jobs,0)),""))</f>
        <v/>
      </c>
      <c r="F116" s="25">
        <f>IF(C116="","",IFERROR(INDEX(tbl_Finance[Client],MATCH(C116&amp;"",tbl_Finance[Job Number],0)),""))</f>
        <v/>
      </c>
      <c r="G116" s="28">
        <f>IF(C116="","",COUNTIFS(tbl_Finance[Job Number],C116&amp;"",tbl_Finance[Ex GST],"&lt;&gt;"))</f>
        <v/>
      </c>
      <c r="H116" s="27">
        <f>IF(C116="","",SUMIFS(tbl_Finance[Ex GST],tbl_Finance[Job Number],C116&amp;""))</f>
        <v/>
      </c>
      <c r="I116" s="27">
        <f>IF(C116="","",SUMIFS(tbl_Finance[Ex GST],tbl_Finance[Job Number],C116&amp;"",tbl_Finance[Xero Invoice No],"&lt;&gt;"))</f>
        <v/>
      </c>
      <c r="J116" s="27">
        <f>IF(C116="","",H116-I116)</f>
        <v/>
      </c>
      <c r="K116" s="25">
        <f>IF(C116="","",IF(G116=0,"not invoiced yet",SUBSTITUTE(TRIM(IF(COUNTIFS(tbl_Finance[Job Number],C116&amp;"",tbl_Finance[Cost Centre],"ONSITE")&gt;0,"ONSITE ","")&amp;IF(COUNTIFS(tbl_Finance[Job Number],C116&amp;"",tbl_Finance[Cost Centre],"PRODUCTION")&gt;0,"PRODUCTION ","")&amp;IF(COUNTIFS(tbl_Finance[Job Number],C116&amp;"",tbl_Finance[Cost Centre],"VIDEO")&gt;0,"VIDEO ","")&amp;IF(COUNTIFS(tbl_Finance[Job Number],C116&amp;"",tbl_Finance[Cost Centre],"INTEGRATION")&gt;0,"INTEGRATION ","")&amp;IF(COUNTIFS(tbl_Finance[Job Number],C116&amp;"",tbl_Finance[Cost Centre],"CONSULTING")&gt;0,"CONSULTING ","")&amp;IF(COUNTIFS(tbl_Finance[Job Number],C116&amp;"",tbl_Finance[Cost Centre],"CTS")&gt;0,"CTS ",""))," ",", ")))</f>
        <v/>
      </c>
      <c r="L116" s="22" t="n"/>
      <c r="M116" s="24" t="n"/>
      <c r="N116" s="25">
        <f>IF(M116="","",IF(AND(LEFT(M116,4)&lt;&gt;"http",set_RMSBase=""),"",HYPERLINK(IF(LEFT(M116,4)="http",M116,set_RMSBase&amp;M116),"Open opportunity")))</f>
        <v/>
      </c>
      <c r="O116" s="25">
        <f>IF(C116="","",C116)</f>
        <v/>
      </c>
      <c r="P116" s="24" t="n"/>
      <c r="Q116" s="26" t="n"/>
      <c r="R116" s="27">
        <f>IF(C116="","",H116+N(Q116))</f>
        <v/>
      </c>
      <c r="S116" s="29">
        <f>IFERROR(Q116/R116,"")</f>
        <v/>
      </c>
      <c r="T116" s="26" t="n"/>
      <c r="U116" s="26" t="n"/>
      <c r="V116" s="27">
        <f>IF(C116="","",N(T116)+N(U116))</f>
        <v/>
      </c>
      <c r="W116" s="27">
        <f>IF(C116="","",H116-V116)</f>
        <v/>
      </c>
      <c r="X116" s="29">
        <f>IFERROR(W116/H116,"")</f>
        <v/>
      </c>
      <c r="Y116" s="64" t="n"/>
      <c r="Z116" s="64" t="n"/>
      <c r="AA116" s="64" t="n"/>
      <c r="AB116" s="64" t="n"/>
      <c r="AC116" s="64" t="n"/>
      <c r="AD116" s="24" t="n"/>
    </row>
    <row r="117" ht="15" customHeight="1">
      <c r="A117" s="63">
        <f>IF(C117="","",IFERROR(IF(SUMPRODUCT(MAX((tbl_Finance[Job Number]=C117&amp;"")*(tbl_Finance[Xero Invoice No]&lt;&gt;"")*tbl_Finance[Date]))=0,"",SUMPRODUCT(MAX((tbl_Finance[Job Number]=C117&amp;"")*(tbl_Finance[Xero Invoice No]&lt;&gt;"")*tbl_Finance[Date]))),""))</f>
        <v/>
      </c>
      <c r="B117" s="25">
        <f>IF(C117="","",IF(COUNTIFS(tbl_Finance[Job Number],C117&amp;"",tbl_Finance[Xero Invoice No],"&lt;&gt;")=0,"",IFERROR(IF(COUNTIFS(tbl_Finance[Job Number],C117&amp;"",tbl_Finance[Xero Invoice No],LOOKUP(2,1/((tbl_Finance[Job Number]=C117&amp;"")*(tbl_Finance[Xero Invoice No]&lt;&gt;"")),tbl_Finance[Xero Invoice No]))=COUNTIFS(tbl_Finance[Job Number],C117&amp;"",tbl_Finance[Xero Invoice No],"&lt;&gt;"),LOOKUP(2,1/((tbl_Finance[Job Number]=C117&amp;"")*(tbl_Finance[Xero Invoice No]&lt;&gt;"")),tbl_Finance[Xero Invoice No]),LOOKUP(2,1/((tbl_Finance[Job Number]=C117&amp;"")*(tbl_Finance[Xero Invoice No]&lt;&gt;"")),tbl_Finance[Xero Invoice No])&amp;" +more"),"")))</f>
        <v/>
      </c>
      <c r="C117" s="24" t="n"/>
      <c r="D117" s="25">
        <f>IF(C117="","",IF(COUNTIF(lst_Jobs,C117&amp;"")&gt;0,"OK","CHECK"))</f>
        <v/>
      </c>
      <c r="E117" s="25">
        <f>IF(C117="","",IFERROR(INDEX(lst_JobName,MATCH(C117&amp;"",lst_Jobs,0)),""))</f>
        <v/>
      </c>
      <c r="F117" s="25">
        <f>IF(C117="","",IFERROR(INDEX(tbl_Finance[Client],MATCH(C117&amp;"",tbl_Finance[Job Number],0)),""))</f>
        <v/>
      </c>
      <c r="G117" s="28">
        <f>IF(C117="","",COUNTIFS(tbl_Finance[Job Number],C117&amp;"",tbl_Finance[Ex GST],"&lt;&gt;"))</f>
        <v/>
      </c>
      <c r="H117" s="27">
        <f>IF(C117="","",SUMIFS(tbl_Finance[Ex GST],tbl_Finance[Job Number],C117&amp;""))</f>
        <v/>
      </c>
      <c r="I117" s="27">
        <f>IF(C117="","",SUMIFS(tbl_Finance[Ex GST],tbl_Finance[Job Number],C117&amp;"",tbl_Finance[Xero Invoice No],"&lt;&gt;"))</f>
        <v/>
      </c>
      <c r="J117" s="27">
        <f>IF(C117="","",H117-I117)</f>
        <v/>
      </c>
      <c r="K117" s="25">
        <f>IF(C117="","",IF(G117=0,"not invoiced yet",SUBSTITUTE(TRIM(IF(COUNTIFS(tbl_Finance[Job Number],C117&amp;"",tbl_Finance[Cost Centre],"ONSITE")&gt;0,"ONSITE ","")&amp;IF(COUNTIFS(tbl_Finance[Job Number],C117&amp;"",tbl_Finance[Cost Centre],"PRODUCTION")&gt;0,"PRODUCTION ","")&amp;IF(COUNTIFS(tbl_Finance[Job Number],C117&amp;"",tbl_Finance[Cost Centre],"VIDEO")&gt;0,"VIDEO ","")&amp;IF(COUNTIFS(tbl_Finance[Job Number],C117&amp;"",tbl_Finance[Cost Centre],"INTEGRATION")&gt;0,"INTEGRATION ","")&amp;IF(COUNTIFS(tbl_Finance[Job Number],C117&amp;"",tbl_Finance[Cost Centre],"CONSULTING")&gt;0,"CONSULTING ","")&amp;IF(COUNTIFS(tbl_Finance[Job Number],C117&amp;"",tbl_Finance[Cost Centre],"CTS")&gt;0,"CTS ",""))," ",", ")))</f>
        <v/>
      </c>
      <c r="L117" s="22" t="n"/>
      <c r="M117" s="24" t="n"/>
      <c r="N117" s="25">
        <f>IF(M117="","",IF(AND(LEFT(M117,4)&lt;&gt;"http",set_RMSBase=""),"",HYPERLINK(IF(LEFT(M117,4)="http",M117,set_RMSBase&amp;M117),"Open opportunity")))</f>
        <v/>
      </c>
      <c r="O117" s="25">
        <f>IF(C117="","",C117)</f>
        <v/>
      </c>
      <c r="P117" s="24" t="n"/>
      <c r="Q117" s="26" t="n"/>
      <c r="R117" s="27">
        <f>IF(C117="","",H117+N(Q117))</f>
        <v/>
      </c>
      <c r="S117" s="29">
        <f>IFERROR(Q117/R117,"")</f>
        <v/>
      </c>
      <c r="T117" s="26" t="n"/>
      <c r="U117" s="26" t="n"/>
      <c r="V117" s="27">
        <f>IF(C117="","",N(T117)+N(U117))</f>
        <v/>
      </c>
      <c r="W117" s="27">
        <f>IF(C117="","",H117-V117)</f>
        <v/>
      </c>
      <c r="X117" s="29">
        <f>IFERROR(W117/H117,"")</f>
        <v/>
      </c>
      <c r="Y117" s="64" t="n"/>
      <c r="Z117" s="64" t="n"/>
      <c r="AA117" s="64" t="n"/>
      <c r="AB117" s="64" t="n"/>
      <c r="AC117" s="64" t="n"/>
      <c r="AD117" s="24" t="n"/>
    </row>
    <row r="118" ht="15" customHeight="1">
      <c r="A118" s="63">
        <f>IF(C118="","",IFERROR(IF(SUMPRODUCT(MAX((tbl_Finance[Job Number]=C118&amp;"")*(tbl_Finance[Xero Invoice No]&lt;&gt;"")*tbl_Finance[Date]))=0,"",SUMPRODUCT(MAX((tbl_Finance[Job Number]=C118&amp;"")*(tbl_Finance[Xero Invoice No]&lt;&gt;"")*tbl_Finance[Date]))),""))</f>
        <v/>
      </c>
      <c r="B118" s="25">
        <f>IF(C118="","",IF(COUNTIFS(tbl_Finance[Job Number],C118&amp;"",tbl_Finance[Xero Invoice No],"&lt;&gt;")=0,"",IFERROR(IF(COUNTIFS(tbl_Finance[Job Number],C118&amp;"",tbl_Finance[Xero Invoice No],LOOKUP(2,1/((tbl_Finance[Job Number]=C118&amp;"")*(tbl_Finance[Xero Invoice No]&lt;&gt;"")),tbl_Finance[Xero Invoice No]))=COUNTIFS(tbl_Finance[Job Number],C118&amp;"",tbl_Finance[Xero Invoice No],"&lt;&gt;"),LOOKUP(2,1/((tbl_Finance[Job Number]=C118&amp;"")*(tbl_Finance[Xero Invoice No]&lt;&gt;"")),tbl_Finance[Xero Invoice No]),LOOKUP(2,1/((tbl_Finance[Job Number]=C118&amp;"")*(tbl_Finance[Xero Invoice No]&lt;&gt;"")),tbl_Finance[Xero Invoice No])&amp;" +more"),"")))</f>
        <v/>
      </c>
      <c r="C118" s="24" t="n"/>
      <c r="D118" s="25">
        <f>IF(C118="","",IF(COUNTIF(lst_Jobs,C118&amp;"")&gt;0,"OK","CHECK"))</f>
        <v/>
      </c>
      <c r="E118" s="25">
        <f>IF(C118="","",IFERROR(INDEX(lst_JobName,MATCH(C118&amp;"",lst_Jobs,0)),""))</f>
        <v/>
      </c>
      <c r="F118" s="25">
        <f>IF(C118="","",IFERROR(INDEX(tbl_Finance[Client],MATCH(C118&amp;"",tbl_Finance[Job Number],0)),""))</f>
        <v/>
      </c>
      <c r="G118" s="28">
        <f>IF(C118="","",COUNTIFS(tbl_Finance[Job Number],C118&amp;"",tbl_Finance[Ex GST],"&lt;&gt;"))</f>
        <v/>
      </c>
      <c r="H118" s="27">
        <f>IF(C118="","",SUMIFS(tbl_Finance[Ex GST],tbl_Finance[Job Number],C118&amp;""))</f>
        <v/>
      </c>
      <c r="I118" s="27">
        <f>IF(C118="","",SUMIFS(tbl_Finance[Ex GST],tbl_Finance[Job Number],C118&amp;"",tbl_Finance[Xero Invoice No],"&lt;&gt;"))</f>
        <v/>
      </c>
      <c r="J118" s="27">
        <f>IF(C118="","",H118-I118)</f>
        <v/>
      </c>
      <c r="K118" s="25">
        <f>IF(C118="","",IF(G118=0,"not invoiced yet",SUBSTITUTE(TRIM(IF(COUNTIFS(tbl_Finance[Job Number],C118&amp;"",tbl_Finance[Cost Centre],"ONSITE")&gt;0,"ONSITE ","")&amp;IF(COUNTIFS(tbl_Finance[Job Number],C118&amp;"",tbl_Finance[Cost Centre],"PRODUCTION")&gt;0,"PRODUCTION ","")&amp;IF(COUNTIFS(tbl_Finance[Job Number],C118&amp;"",tbl_Finance[Cost Centre],"VIDEO")&gt;0,"VIDEO ","")&amp;IF(COUNTIFS(tbl_Finance[Job Number],C118&amp;"",tbl_Finance[Cost Centre],"INTEGRATION")&gt;0,"INTEGRATION ","")&amp;IF(COUNTIFS(tbl_Finance[Job Number],C118&amp;"",tbl_Finance[Cost Centre],"CONSULTING")&gt;0,"CONSULTING ","")&amp;IF(COUNTIFS(tbl_Finance[Job Number],C118&amp;"",tbl_Finance[Cost Centre],"CTS")&gt;0,"CTS ",""))," ",", ")))</f>
        <v/>
      </c>
      <c r="L118" s="22" t="n"/>
      <c r="M118" s="24" t="n"/>
      <c r="N118" s="25">
        <f>IF(M118="","",IF(AND(LEFT(M118,4)&lt;&gt;"http",set_RMSBase=""),"",HYPERLINK(IF(LEFT(M118,4)="http",M118,set_RMSBase&amp;M118),"Open opportunity")))</f>
        <v/>
      </c>
      <c r="O118" s="25">
        <f>IF(C118="","",C118)</f>
        <v/>
      </c>
      <c r="P118" s="24" t="n"/>
      <c r="Q118" s="26" t="n"/>
      <c r="R118" s="27">
        <f>IF(C118="","",H118+N(Q118))</f>
        <v/>
      </c>
      <c r="S118" s="29">
        <f>IFERROR(Q118/R118,"")</f>
        <v/>
      </c>
      <c r="T118" s="26" t="n"/>
      <c r="U118" s="26" t="n"/>
      <c r="V118" s="27">
        <f>IF(C118="","",N(T118)+N(U118))</f>
        <v/>
      </c>
      <c r="W118" s="27">
        <f>IF(C118="","",H118-V118)</f>
        <v/>
      </c>
      <c r="X118" s="29">
        <f>IFERROR(W118/H118,"")</f>
        <v/>
      </c>
      <c r="Y118" s="64" t="n"/>
      <c r="Z118" s="64" t="n"/>
      <c r="AA118" s="64" t="n"/>
      <c r="AB118" s="64" t="n"/>
      <c r="AC118" s="64" t="n"/>
      <c r="AD118" s="24" t="n"/>
    </row>
    <row r="119" ht="15" customHeight="1">
      <c r="A119" s="63">
        <f>IF(C119="","",IFERROR(IF(SUMPRODUCT(MAX((tbl_Finance[Job Number]=C119&amp;"")*(tbl_Finance[Xero Invoice No]&lt;&gt;"")*tbl_Finance[Date]))=0,"",SUMPRODUCT(MAX((tbl_Finance[Job Number]=C119&amp;"")*(tbl_Finance[Xero Invoice No]&lt;&gt;"")*tbl_Finance[Date]))),""))</f>
        <v/>
      </c>
      <c r="B119" s="25">
        <f>IF(C119="","",IF(COUNTIFS(tbl_Finance[Job Number],C119&amp;"",tbl_Finance[Xero Invoice No],"&lt;&gt;")=0,"",IFERROR(IF(COUNTIFS(tbl_Finance[Job Number],C119&amp;"",tbl_Finance[Xero Invoice No],LOOKUP(2,1/((tbl_Finance[Job Number]=C119&amp;"")*(tbl_Finance[Xero Invoice No]&lt;&gt;"")),tbl_Finance[Xero Invoice No]))=COUNTIFS(tbl_Finance[Job Number],C119&amp;"",tbl_Finance[Xero Invoice No],"&lt;&gt;"),LOOKUP(2,1/((tbl_Finance[Job Number]=C119&amp;"")*(tbl_Finance[Xero Invoice No]&lt;&gt;"")),tbl_Finance[Xero Invoice No]),LOOKUP(2,1/((tbl_Finance[Job Number]=C119&amp;"")*(tbl_Finance[Xero Invoice No]&lt;&gt;"")),tbl_Finance[Xero Invoice No])&amp;" +more"),"")))</f>
        <v/>
      </c>
      <c r="C119" s="24" t="n"/>
      <c r="D119" s="25">
        <f>IF(C119="","",IF(COUNTIF(lst_Jobs,C119&amp;"")&gt;0,"OK","CHECK"))</f>
        <v/>
      </c>
      <c r="E119" s="25">
        <f>IF(C119="","",IFERROR(INDEX(lst_JobName,MATCH(C119&amp;"",lst_Jobs,0)),""))</f>
        <v/>
      </c>
      <c r="F119" s="25">
        <f>IF(C119="","",IFERROR(INDEX(tbl_Finance[Client],MATCH(C119&amp;"",tbl_Finance[Job Number],0)),""))</f>
        <v/>
      </c>
      <c r="G119" s="28">
        <f>IF(C119="","",COUNTIFS(tbl_Finance[Job Number],C119&amp;"",tbl_Finance[Ex GST],"&lt;&gt;"))</f>
        <v/>
      </c>
      <c r="H119" s="27">
        <f>IF(C119="","",SUMIFS(tbl_Finance[Ex GST],tbl_Finance[Job Number],C119&amp;""))</f>
        <v/>
      </c>
      <c r="I119" s="27">
        <f>IF(C119="","",SUMIFS(tbl_Finance[Ex GST],tbl_Finance[Job Number],C119&amp;"",tbl_Finance[Xero Invoice No],"&lt;&gt;"))</f>
        <v/>
      </c>
      <c r="J119" s="27">
        <f>IF(C119="","",H119-I119)</f>
        <v/>
      </c>
      <c r="K119" s="25">
        <f>IF(C119="","",IF(G119=0,"not invoiced yet",SUBSTITUTE(TRIM(IF(COUNTIFS(tbl_Finance[Job Number],C119&amp;"",tbl_Finance[Cost Centre],"ONSITE")&gt;0,"ONSITE ","")&amp;IF(COUNTIFS(tbl_Finance[Job Number],C119&amp;"",tbl_Finance[Cost Centre],"PRODUCTION")&gt;0,"PRODUCTION ","")&amp;IF(COUNTIFS(tbl_Finance[Job Number],C119&amp;"",tbl_Finance[Cost Centre],"VIDEO")&gt;0,"VIDEO ","")&amp;IF(COUNTIFS(tbl_Finance[Job Number],C119&amp;"",tbl_Finance[Cost Centre],"INTEGRATION")&gt;0,"INTEGRATION ","")&amp;IF(COUNTIFS(tbl_Finance[Job Number],C119&amp;"",tbl_Finance[Cost Centre],"CONSULTING")&gt;0,"CONSULTING ","")&amp;IF(COUNTIFS(tbl_Finance[Job Number],C119&amp;"",tbl_Finance[Cost Centre],"CTS")&gt;0,"CTS ",""))," ",", ")))</f>
        <v/>
      </c>
      <c r="L119" s="22" t="n"/>
      <c r="M119" s="24" t="n"/>
      <c r="N119" s="25">
        <f>IF(M119="","",IF(AND(LEFT(M119,4)&lt;&gt;"http",set_RMSBase=""),"",HYPERLINK(IF(LEFT(M119,4)="http",M119,set_RMSBase&amp;M119),"Open opportunity")))</f>
        <v/>
      </c>
      <c r="O119" s="25">
        <f>IF(C119="","",C119)</f>
        <v/>
      </c>
      <c r="P119" s="24" t="n"/>
      <c r="Q119" s="26" t="n"/>
      <c r="R119" s="27">
        <f>IF(C119="","",H119+N(Q119))</f>
        <v/>
      </c>
      <c r="S119" s="29">
        <f>IFERROR(Q119/R119,"")</f>
        <v/>
      </c>
      <c r="T119" s="26" t="n"/>
      <c r="U119" s="26" t="n"/>
      <c r="V119" s="27">
        <f>IF(C119="","",N(T119)+N(U119))</f>
        <v/>
      </c>
      <c r="W119" s="27">
        <f>IF(C119="","",H119-V119)</f>
        <v/>
      </c>
      <c r="X119" s="29">
        <f>IFERROR(W119/H119,"")</f>
        <v/>
      </c>
      <c r="Y119" s="64" t="n"/>
      <c r="Z119" s="64" t="n"/>
      <c r="AA119" s="64" t="n"/>
      <c r="AB119" s="64" t="n"/>
      <c r="AC119" s="64" t="n"/>
      <c r="AD119" s="24" t="n"/>
    </row>
    <row r="120" ht="15" customHeight="1">
      <c r="A120" s="63">
        <f>IF(C120="","",IFERROR(IF(SUMPRODUCT(MAX((tbl_Finance[Job Number]=C120&amp;"")*(tbl_Finance[Xero Invoice No]&lt;&gt;"")*tbl_Finance[Date]))=0,"",SUMPRODUCT(MAX((tbl_Finance[Job Number]=C120&amp;"")*(tbl_Finance[Xero Invoice No]&lt;&gt;"")*tbl_Finance[Date]))),""))</f>
        <v/>
      </c>
      <c r="B120" s="25">
        <f>IF(C120="","",IF(COUNTIFS(tbl_Finance[Job Number],C120&amp;"",tbl_Finance[Xero Invoice No],"&lt;&gt;")=0,"",IFERROR(IF(COUNTIFS(tbl_Finance[Job Number],C120&amp;"",tbl_Finance[Xero Invoice No],LOOKUP(2,1/((tbl_Finance[Job Number]=C120&amp;"")*(tbl_Finance[Xero Invoice No]&lt;&gt;"")),tbl_Finance[Xero Invoice No]))=COUNTIFS(tbl_Finance[Job Number],C120&amp;"",tbl_Finance[Xero Invoice No],"&lt;&gt;"),LOOKUP(2,1/((tbl_Finance[Job Number]=C120&amp;"")*(tbl_Finance[Xero Invoice No]&lt;&gt;"")),tbl_Finance[Xero Invoice No]),LOOKUP(2,1/((tbl_Finance[Job Number]=C120&amp;"")*(tbl_Finance[Xero Invoice No]&lt;&gt;"")),tbl_Finance[Xero Invoice No])&amp;" +more"),"")))</f>
        <v/>
      </c>
      <c r="C120" s="24" t="n"/>
      <c r="D120" s="25">
        <f>IF(C120="","",IF(COUNTIF(lst_Jobs,C120&amp;"")&gt;0,"OK","CHECK"))</f>
        <v/>
      </c>
      <c r="E120" s="25">
        <f>IF(C120="","",IFERROR(INDEX(lst_JobName,MATCH(C120&amp;"",lst_Jobs,0)),""))</f>
        <v/>
      </c>
      <c r="F120" s="25">
        <f>IF(C120="","",IFERROR(INDEX(tbl_Finance[Client],MATCH(C120&amp;"",tbl_Finance[Job Number],0)),""))</f>
        <v/>
      </c>
      <c r="G120" s="28">
        <f>IF(C120="","",COUNTIFS(tbl_Finance[Job Number],C120&amp;"",tbl_Finance[Ex GST],"&lt;&gt;"))</f>
        <v/>
      </c>
      <c r="H120" s="27">
        <f>IF(C120="","",SUMIFS(tbl_Finance[Ex GST],tbl_Finance[Job Number],C120&amp;""))</f>
        <v/>
      </c>
      <c r="I120" s="27">
        <f>IF(C120="","",SUMIFS(tbl_Finance[Ex GST],tbl_Finance[Job Number],C120&amp;"",tbl_Finance[Xero Invoice No],"&lt;&gt;"))</f>
        <v/>
      </c>
      <c r="J120" s="27">
        <f>IF(C120="","",H120-I120)</f>
        <v/>
      </c>
      <c r="K120" s="25">
        <f>IF(C120="","",IF(G120=0,"not invoiced yet",SUBSTITUTE(TRIM(IF(COUNTIFS(tbl_Finance[Job Number],C120&amp;"",tbl_Finance[Cost Centre],"ONSITE")&gt;0,"ONSITE ","")&amp;IF(COUNTIFS(tbl_Finance[Job Number],C120&amp;"",tbl_Finance[Cost Centre],"PRODUCTION")&gt;0,"PRODUCTION ","")&amp;IF(COUNTIFS(tbl_Finance[Job Number],C120&amp;"",tbl_Finance[Cost Centre],"VIDEO")&gt;0,"VIDEO ","")&amp;IF(COUNTIFS(tbl_Finance[Job Number],C120&amp;"",tbl_Finance[Cost Centre],"INTEGRATION")&gt;0,"INTEGRATION ","")&amp;IF(COUNTIFS(tbl_Finance[Job Number],C120&amp;"",tbl_Finance[Cost Centre],"CONSULTING")&gt;0,"CONSULTING ","")&amp;IF(COUNTIFS(tbl_Finance[Job Number],C120&amp;"",tbl_Finance[Cost Centre],"CTS")&gt;0,"CTS ",""))," ",", ")))</f>
        <v/>
      </c>
      <c r="L120" s="22" t="n"/>
      <c r="M120" s="24" t="n"/>
      <c r="N120" s="25">
        <f>IF(M120="","",IF(AND(LEFT(M120,4)&lt;&gt;"http",set_RMSBase=""),"",HYPERLINK(IF(LEFT(M120,4)="http",M120,set_RMSBase&amp;M120),"Open opportunity")))</f>
        <v/>
      </c>
      <c r="O120" s="25">
        <f>IF(C120="","",C120)</f>
        <v/>
      </c>
      <c r="P120" s="24" t="n"/>
      <c r="Q120" s="26" t="n"/>
      <c r="R120" s="27">
        <f>IF(C120="","",H120+N(Q120))</f>
        <v/>
      </c>
      <c r="S120" s="29">
        <f>IFERROR(Q120/R120,"")</f>
        <v/>
      </c>
      <c r="T120" s="26" t="n"/>
      <c r="U120" s="26" t="n"/>
      <c r="V120" s="27">
        <f>IF(C120="","",N(T120)+N(U120))</f>
        <v/>
      </c>
      <c r="W120" s="27">
        <f>IF(C120="","",H120-V120)</f>
        <v/>
      </c>
      <c r="X120" s="29">
        <f>IFERROR(W120/H120,"")</f>
        <v/>
      </c>
      <c r="Y120" s="64" t="n"/>
      <c r="Z120" s="64" t="n"/>
      <c r="AA120" s="64" t="n"/>
      <c r="AB120" s="64" t="n"/>
      <c r="AC120" s="64" t="n"/>
      <c r="AD120" s="24" t="n"/>
    </row>
    <row r="121" ht="15" customHeight="1">
      <c r="A121" s="63">
        <f>IF(C121="","",IFERROR(IF(SUMPRODUCT(MAX((tbl_Finance[Job Number]=C121&amp;"")*(tbl_Finance[Xero Invoice No]&lt;&gt;"")*tbl_Finance[Date]))=0,"",SUMPRODUCT(MAX((tbl_Finance[Job Number]=C121&amp;"")*(tbl_Finance[Xero Invoice No]&lt;&gt;"")*tbl_Finance[Date]))),""))</f>
        <v/>
      </c>
      <c r="B121" s="25">
        <f>IF(C121="","",IF(COUNTIFS(tbl_Finance[Job Number],C121&amp;"",tbl_Finance[Xero Invoice No],"&lt;&gt;")=0,"",IFERROR(IF(COUNTIFS(tbl_Finance[Job Number],C121&amp;"",tbl_Finance[Xero Invoice No],LOOKUP(2,1/((tbl_Finance[Job Number]=C121&amp;"")*(tbl_Finance[Xero Invoice No]&lt;&gt;"")),tbl_Finance[Xero Invoice No]))=COUNTIFS(tbl_Finance[Job Number],C121&amp;"",tbl_Finance[Xero Invoice No],"&lt;&gt;"),LOOKUP(2,1/((tbl_Finance[Job Number]=C121&amp;"")*(tbl_Finance[Xero Invoice No]&lt;&gt;"")),tbl_Finance[Xero Invoice No]),LOOKUP(2,1/((tbl_Finance[Job Number]=C121&amp;"")*(tbl_Finance[Xero Invoice No]&lt;&gt;"")),tbl_Finance[Xero Invoice No])&amp;" +more"),"")))</f>
        <v/>
      </c>
      <c r="C121" s="24" t="n"/>
      <c r="D121" s="25">
        <f>IF(C121="","",IF(COUNTIF(lst_Jobs,C121&amp;"")&gt;0,"OK","CHECK"))</f>
        <v/>
      </c>
      <c r="E121" s="25">
        <f>IF(C121="","",IFERROR(INDEX(lst_JobName,MATCH(C121&amp;"",lst_Jobs,0)),""))</f>
        <v/>
      </c>
      <c r="F121" s="25">
        <f>IF(C121="","",IFERROR(INDEX(tbl_Finance[Client],MATCH(C121&amp;"",tbl_Finance[Job Number],0)),""))</f>
        <v/>
      </c>
      <c r="G121" s="28">
        <f>IF(C121="","",COUNTIFS(tbl_Finance[Job Number],C121&amp;"",tbl_Finance[Ex GST],"&lt;&gt;"))</f>
        <v/>
      </c>
      <c r="H121" s="27">
        <f>IF(C121="","",SUMIFS(tbl_Finance[Ex GST],tbl_Finance[Job Number],C121&amp;""))</f>
        <v/>
      </c>
      <c r="I121" s="27">
        <f>IF(C121="","",SUMIFS(tbl_Finance[Ex GST],tbl_Finance[Job Number],C121&amp;"",tbl_Finance[Xero Invoice No],"&lt;&gt;"))</f>
        <v/>
      </c>
      <c r="J121" s="27">
        <f>IF(C121="","",H121-I121)</f>
        <v/>
      </c>
      <c r="K121" s="25">
        <f>IF(C121="","",IF(G121=0,"not invoiced yet",SUBSTITUTE(TRIM(IF(COUNTIFS(tbl_Finance[Job Number],C121&amp;"",tbl_Finance[Cost Centre],"ONSITE")&gt;0,"ONSITE ","")&amp;IF(COUNTIFS(tbl_Finance[Job Number],C121&amp;"",tbl_Finance[Cost Centre],"PRODUCTION")&gt;0,"PRODUCTION ","")&amp;IF(COUNTIFS(tbl_Finance[Job Number],C121&amp;"",tbl_Finance[Cost Centre],"VIDEO")&gt;0,"VIDEO ","")&amp;IF(COUNTIFS(tbl_Finance[Job Number],C121&amp;"",tbl_Finance[Cost Centre],"INTEGRATION")&gt;0,"INTEGRATION ","")&amp;IF(COUNTIFS(tbl_Finance[Job Number],C121&amp;"",tbl_Finance[Cost Centre],"CONSULTING")&gt;0,"CONSULTING ","")&amp;IF(COUNTIFS(tbl_Finance[Job Number],C121&amp;"",tbl_Finance[Cost Centre],"CTS")&gt;0,"CTS ",""))," ",", ")))</f>
        <v/>
      </c>
      <c r="L121" s="22" t="n"/>
      <c r="M121" s="24" t="n"/>
      <c r="N121" s="25">
        <f>IF(M121="","",IF(AND(LEFT(M121,4)&lt;&gt;"http",set_RMSBase=""),"",HYPERLINK(IF(LEFT(M121,4)="http",M121,set_RMSBase&amp;M121),"Open opportunity")))</f>
        <v/>
      </c>
      <c r="O121" s="25">
        <f>IF(C121="","",C121)</f>
        <v/>
      </c>
      <c r="P121" s="24" t="n"/>
      <c r="Q121" s="26" t="n"/>
      <c r="R121" s="27">
        <f>IF(C121="","",H121+N(Q121))</f>
        <v/>
      </c>
      <c r="S121" s="29">
        <f>IFERROR(Q121/R121,"")</f>
        <v/>
      </c>
      <c r="T121" s="26" t="n"/>
      <c r="U121" s="26" t="n"/>
      <c r="V121" s="27">
        <f>IF(C121="","",N(T121)+N(U121))</f>
        <v/>
      </c>
      <c r="W121" s="27">
        <f>IF(C121="","",H121-V121)</f>
        <v/>
      </c>
      <c r="X121" s="29">
        <f>IFERROR(W121/H121,"")</f>
        <v/>
      </c>
      <c r="Y121" s="64" t="n"/>
      <c r="Z121" s="64" t="n"/>
      <c r="AA121" s="64" t="n"/>
      <c r="AB121" s="64" t="n"/>
      <c r="AC121" s="64" t="n"/>
      <c r="AD121" s="24" t="n"/>
    </row>
    <row r="122" ht="15" customHeight="1">
      <c r="A122" s="63">
        <f>IF(C122="","",IFERROR(IF(SUMPRODUCT(MAX((tbl_Finance[Job Number]=C122&amp;"")*(tbl_Finance[Xero Invoice No]&lt;&gt;"")*tbl_Finance[Date]))=0,"",SUMPRODUCT(MAX((tbl_Finance[Job Number]=C122&amp;"")*(tbl_Finance[Xero Invoice No]&lt;&gt;"")*tbl_Finance[Date]))),""))</f>
        <v/>
      </c>
      <c r="B122" s="25">
        <f>IF(C122="","",IF(COUNTIFS(tbl_Finance[Job Number],C122&amp;"",tbl_Finance[Xero Invoice No],"&lt;&gt;")=0,"",IFERROR(IF(COUNTIFS(tbl_Finance[Job Number],C122&amp;"",tbl_Finance[Xero Invoice No],LOOKUP(2,1/((tbl_Finance[Job Number]=C122&amp;"")*(tbl_Finance[Xero Invoice No]&lt;&gt;"")),tbl_Finance[Xero Invoice No]))=COUNTIFS(tbl_Finance[Job Number],C122&amp;"",tbl_Finance[Xero Invoice No],"&lt;&gt;"),LOOKUP(2,1/((tbl_Finance[Job Number]=C122&amp;"")*(tbl_Finance[Xero Invoice No]&lt;&gt;"")),tbl_Finance[Xero Invoice No]),LOOKUP(2,1/((tbl_Finance[Job Number]=C122&amp;"")*(tbl_Finance[Xero Invoice No]&lt;&gt;"")),tbl_Finance[Xero Invoice No])&amp;" +more"),"")))</f>
        <v/>
      </c>
      <c r="C122" s="24" t="n"/>
      <c r="D122" s="25">
        <f>IF(C122="","",IF(COUNTIF(lst_Jobs,C122&amp;"")&gt;0,"OK","CHECK"))</f>
        <v/>
      </c>
      <c r="E122" s="25">
        <f>IF(C122="","",IFERROR(INDEX(lst_JobName,MATCH(C122&amp;"",lst_Jobs,0)),""))</f>
        <v/>
      </c>
      <c r="F122" s="25">
        <f>IF(C122="","",IFERROR(INDEX(tbl_Finance[Client],MATCH(C122&amp;"",tbl_Finance[Job Number],0)),""))</f>
        <v/>
      </c>
      <c r="G122" s="28">
        <f>IF(C122="","",COUNTIFS(tbl_Finance[Job Number],C122&amp;"",tbl_Finance[Ex GST],"&lt;&gt;"))</f>
        <v/>
      </c>
      <c r="H122" s="27">
        <f>IF(C122="","",SUMIFS(tbl_Finance[Ex GST],tbl_Finance[Job Number],C122&amp;""))</f>
        <v/>
      </c>
      <c r="I122" s="27">
        <f>IF(C122="","",SUMIFS(tbl_Finance[Ex GST],tbl_Finance[Job Number],C122&amp;"",tbl_Finance[Xero Invoice No],"&lt;&gt;"))</f>
        <v/>
      </c>
      <c r="J122" s="27">
        <f>IF(C122="","",H122-I122)</f>
        <v/>
      </c>
      <c r="K122" s="25">
        <f>IF(C122="","",IF(G122=0,"not invoiced yet",SUBSTITUTE(TRIM(IF(COUNTIFS(tbl_Finance[Job Number],C122&amp;"",tbl_Finance[Cost Centre],"ONSITE")&gt;0,"ONSITE ","")&amp;IF(COUNTIFS(tbl_Finance[Job Number],C122&amp;"",tbl_Finance[Cost Centre],"PRODUCTION")&gt;0,"PRODUCTION ","")&amp;IF(COUNTIFS(tbl_Finance[Job Number],C122&amp;"",tbl_Finance[Cost Centre],"VIDEO")&gt;0,"VIDEO ","")&amp;IF(COUNTIFS(tbl_Finance[Job Number],C122&amp;"",tbl_Finance[Cost Centre],"INTEGRATION")&gt;0,"INTEGRATION ","")&amp;IF(COUNTIFS(tbl_Finance[Job Number],C122&amp;"",tbl_Finance[Cost Centre],"CONSULTING")&gt;0,"CONSULTING ","")&amp;IF(COUNTIFS(tbl_Finance[Job Number],C122&amp;"",tbl_Finance[Cost Centre],"CTS")&gt;0,"CTS ",""))," ",", ")))</f>
        <v/>
      </c>
      <c r="L122" s="22" t="n"/>
      <c r="M122" s="24" t="n"/>
      <c r="N122" s="25">
        <f>IF(M122="","",IF(AND(LEFT(M122,4)&lt;&gt;"http",set_RMSBase=""),"",HYPERLINK(IF(LEFT(M122,4)="http",M122,set_RMSBase&amp;M122),"Open opportunity")))</f>
        <v/>
      </c>
      <c r="O122" s="25">
        <f>IF(C122="","",C122)</f>
        <v/>
      </c>
      <c r="P122" s="24" t="n"/>
      <c r="Q122" s="26" t="n"/>
      <c r="R122" s="27">
        <f>IF(C122="","",H122+N(Q122))</f>
        <v/>
      </c>
      <c r="S122" s="29">
        <f>IFERROR(Q122/R122,"")</f>
        <v/>
      </c>
      <c r="T122" s="26" t="n"/>
      <c r="U122" s="26" t="n"/>
      <c r="V122" s="27">
        <f>IF(C122="","",N(T122)+N(U122))</f>
        <v/>
      </c>
      <c r="W122" s="27">
        <f>IF(C122="","",H122-V122)</f>
        <v/>
      </c>
      <c r="X122" s="29">
        <f>IFERROR(W122/H122,"")</f>
        <v/>
      </c>
      <c r="Y122" s="64" t="n"/>
      <c r="Z122" s="64" t="n"/>
      <c r="AA122" s="64" t="n"/>
      <c r="AB122" s="64" t="n"/>
      <c r="AC122" s="64" t="n"/>
      <c r="AD122" s="24" t="n"/>
    </row>
    <row r="123" ht="15" customHeight="1">
      <c r="A123" s="63">
        <f>IF(C123="","",IFERROR(IF(SUMPRODUCT(MAX((tbl_Finance[Job Number]=C123&amp;"")*(tbl_Finance[Xero Invoice No]&lt;&gt;"")*tbl_Finance[Date]))=0,"",SUMPRODUCT(MAX((tbl_Finance[Job Number]=C123&amp;"")*(tbl_Finance[Xero Invoice No]&lt;&gt;"")*tbl_Finance[Date]))),""))</f>
        <v/>
      </c>
      <c r="B123" s="25">
        <f>IF(C123="","",IF(COUNTIFS(tbl_Finance[Job Number],C123&amp;"",tbl_Finance[Xero Invoice No],"&lt;&gt;")=0,"",IFERROR(IF(COUNTIFS(tbl_Finance[Job Number],C123&amp;"",tbl_Finance[Xero Invoice No],LOOKUP(2,1/((tbl_Finance[Job Number]=C123&amp;"")*(tbl_Finance[Xero Invoice No]&lt;&gt;"")),tbl_Finance[Xero Invoice No]))=COUNTIFS(tbl_Finance[Job Number],C123&amp;"",tbl_Finance[Xero Invoice No],"&lt;&gt;"),LOOKUP(2,1/((tbl_Finance[Job Number]=C123&amp;"")*(tbl_Finance[Xero Invoice No]&lt;&gt;"")),tbl_Finance[Xero Invoice No]),LOOKUP(2,1/((tbl_Finance[Job Number]=C123&amp;"")*(tbl_Finance[Xero Invoice No]&lt;&gt;"")),tbl_Finance[Xero Invoice No])&amp;" +more"),"")))</f>
        <v/>
      </c>
      <c r="C123" s="24" t="n"/>
      <c r="D123" s="25">
        <f>IF(C123="","",IF(COUNTIF(lst_Jobs,C123&amp;"")&gt;0,"OK","CHECK"))</f>
        <v/>
      </c>
      <c r="E123" s="25">
        <f>IF(C123="","",IFERROR(INDEX(lst_JobName,MATCH(C123&amp;"",lst_Jobs,0)),""))</f>
        <v/>
      </c>
      <c r="F123" s="25">
        <f>IF(C123="","",IFERROR(INDEX(tbl_Finance[Client],MATCH(C123&amp;"",tbl_Finance[Job Number],0)),""))</f>
        <v/>
      </c>
      <c r="G123" s="28">
        <f>IF(C123="","",COUNTIFS(tbl_Finance[Job Number],C123&amp;"",tbl_Finance[Ex GST],"&lt;&gt;"))</f>
        <v/>
      </c>
      <c r="H123" s="27">
        <f>IF(C123="","",SUMIFS(tbl_Finance[Ex GST],tbl_Finance[Job Number],C123&amp;""))</f>
        <v/>
      </c>
      <c r="I123" s="27">
        <f>IF(C123="","",SUMIFS(tbl_Finance[Ex GST],tbl_Finance[Job Number],C123&amp;"",tbl_Finance[Xero Invoice No],"&lt;&gt;"))</f>
        <v/>
      </c>
      <c r="J123" s="27">
        <f>IF(C123="","",H123-I123)</f>
        <v/>
      </c>
      <c r="K123" s="25">
        <f>IF(C123="","",IF(G123=0,"not invoiced yet",SUBSTITUTE(TRIM(IF(COUNTIFS(tbl_Finance[Job Number],C123&amp;"",tbl_Finance[Cost Centre],"ONSITE")&gt;0,"ONSITE ","")&amp;IF(COUNTIFS(tbl_Finance[Job Number],C123&amp;"",tbl_Finance[Cost Centre],"PRODUCTION")&gt;0,"PRODUCTION ","")&amp;IF(COUNTIFS(tbl_Finance[Job Number],C123&amp;"",tbl_Finance[Cost Centre],"VIDEO")&gt;0,"VIDEO ","")&amp;IF(COUNTIFS(tbl_Finance[Job Number],C123&amp;"",tbl_Finance[Cost Centre],"INTEGRATION")&gt;0,"INTEGRATION ","")&amp;IF(COUNTIFS(tbl_Finance[Job Number],C123&amp;"",tbl_Finance[Cost Centre],"CONSULTING")&gt;0,"CONSULTING ","")&amp;IF(COUNTIFS(tbl_Finance[Job Number],C123&amp;"",tbl_Finance[Cost Centre],"CTS")&gt;0,"CTS ",""))," ",", ")))</f>
        <v/>
      </c>
      <c r="L123" s="22" t="n"/>
      <c r="M123" s="24" t="n"/>
      <c r="N123" s="25">
        <f>IF(M123="","",IF(AND(LEFT(M123,4)&lt;&gt;"http",set_RMSBase=""),"",HYPERLINK(IF(LEFT(M123,4)="http",M123,set_RMSBase&amp;M123),"Open opportunity")))</f>
        <v/>
      </c>
      <c r="O123" s="25">
        <f>IF(C123="","",C123)</f>
        <v/>
      </c>
      <c r="P123" s="24" t="n"/>
      <c r="Q123" s="26" t="n"/>
      <c r="R123" s="27">
        <f>IF(C123="","",H123+N(Q123))</f>
        <v/>
      </c>
      <c r="S123" s="29">
        <f>IFERROR(Q123/R123,"")</f>
        <v/>
      </c>
      <c r="T123" s="26" t="n"/>
      <c r="U123" s="26" t="n"/>
      <c r="V123" s="27">
        <f>IF(C123="","",N(T123)+N(U123))</f>
        <v/>
      </c>
      <c r="W123" s="27">
        <f>IF(C123="","",H123-V123)</f>
        <v/>
      </c>
      <c r="X123" s="29">
        <f>IFERROR(W123/H123,"")</f>
        <v/>
      </c>
      <c r="Y123" s="64" t="n"/>
      <c r="Z123" s="64" t="n"/>
      <c r="AA123" s="64" t="n"/>
      <c r="AB123" s="64" t="n"/>
      <c r="AC123" s="64" t="n"/>
      <c r="AD123" s="24" t="n"/>
    </row>
    <row r="124" ht="15" customHeight="1">
      <c r="A124" s="63">
        <f>IF(C124="","",IFERROR(IF(SUMPRODUCT(MAX((tbl_Finance[Job Number]=C124&amp;"")*(tbl_Finance[Xero Invoice No]&lt;&gt;"")*tbl_Finance[Date]))=0,"",SUMPRODUCT(MAX((tbl_Finance[Job Number]=C124&amp;"")*(tbl_Finance[Xero Invoice No]&lt;&gt;"")*tbl_Finance[Date]))),""))</f>
        <v/>
      </c>
      <c r="B124" s="25">
        <f>IF(C124="","",IF(COUNTIFS(tbl_Finance[Job Number],C124&amp;"",tbl_Finance[Xero Invoice No],"&lt;&gt;")=0,"",IFERROR(IF(COUNTIFS(tbl_Finance[Job Number],C124&amp;"",tbl_Finance[Xero Invoice No],LOOKUP(2,1/((tbl_Finance[Job Number]=C124&amp;"")*(tbl_Finance[Xero Invoice No]&lt;&gt;"")),tbl_Finance[Xero Invoice No]))=COUNTIFS(tbl_Finance[Job Number],C124&amp;"",tbl_Finance[Xero Invoice No],"&lt;&gt;"),LOOKUP(2,1/((tbl_Finance[Job Number]=C124&amp;"")*(tbl_Finance[Xero Invoice No]&lt;&gt;"")),tbl_Finance[Xero Invoice No]),LOOKUP(2,1/((tbl_Finance[Job Number]=C124&amp;"")*(tbl_Finance[Xero Invoice No]&lt;&gt;"")),tbl_Finance[Xero Invoice No])&amp;" +more"),"")))</f>
        <v/>
      </c>
      <c r="C124" s="24" t="n"/>
      <c r="D124" s="25">
        <f>IF(C124="","",IF(COUNTIF(lst_Jobs,C124&amp;"")&gt;0,"OK","CHECK"))</f>
        <v/>
      </c>
      <c r="E124" s="25">
        <f>IF(C124="","",IFERROR(INDEX(lst_JobName,MATCH(C124&amp;"",lst_Jobs,0)),""))</f>
        <v/>
      </c>
      <c r="F124" s="25">
        <f>IF(C124="","",IFERROR(INDEX(tbl_Finance[Client],MATCH(C124&amp;"",tbl_Finance[Job Number],0)),""))</f>
        <v/>
      </c>
      <c r="G124" s="28">
        <f>IF(C124="","",COUNTIFS(tbl_Finance[Job Number],C124&amp;"",tbl_Finance[Ex GST],"&lt;&gt;"))</f>
        <v/>
      </c>
      <c r="H124" s="27">
        <f>IF(C124="","",SUMIFS(tbl_Finance[Ex GST],tbl_Finance[Job Number],C124&amp;""))</f>
        <v/>
      </c>
      <c r="I124" s="27">
        <f>IF(C124="","",SUMIFS(tbl_Finance[Ex GST],tbl_Finance[Job Number],C124&amp;"",tbl_Finance[Xero Invoice No],"&lt;&gt;"))</f>
        <v/>
      </c>
      <c r="J124" s="27">
        <f>IF(C124="","",H124-I124)</f>
        <v/>
      </c>
      <c r="K124" s="25">
        <f>IF(C124="","",IF(G124=0,"not invoiced yet",SUBSTITUTE(TRIM(IF(COUNTIFS(tbl_Finance[Job Number],C124&amp;"",tbl_Finance[Cost Centre],"ONSITE")&gt;0,"ONSITE ","")&amp;IF(COUNTIFS(tbl_Finance[Job Number],C124&amp;"",tbl_Finance[Cost Centre],"PRODUCTION")&gt;0,"PRODUCTION ","")&amp;IF(COUNTIFS(tbl_Finance[Job Number],C124&amp;"",tbl_Finance[Cost Centre],"VIDEO")&gt;0,"VIDEO ","")&amp;IF(COUNTIFS(tbl_Finance[Job Number],C124&amp;"",tbl_Finance[Cost Centre],"INTEGRATION")&gt;0,"INTEGRATION ","")&amp;IF(COUNTIFS(tbl_Finance[Job Number],C124&amp;"",tbl_Finance[Cost Centre],"CONSULTING")&gt;0,"CONSULTING ","")&amp;IF(COUNTIFS(tbl_Finance[Job Number],C124&amp;"",tbl_Finance[Cost Centre],"CTS")&gt;0,"CTS ",""))," ",", ")))</f>
        <v/>
      </c>
      <c r="L124" s="22" t="n"/>
      <c r="M124" s="24" t="n"/>
      <c r="N124" s="25">
        <f>IF(M124="","",IF(AND(LEFT(M124,4)&lt;&gt;"http",set_RMSBase=""),"",HYPERLINK(IF(LEFT(M124,4)="http",M124,set_RMSBase&amp;M124),"Open opportunity")))</f>
        <v/>
      </c>
      <c r="O124" s="25">
        <f>IF(C124="","",C124)</f>
        <v/>
      </c>
      <c r="P124" s="24" t="n"/>
      <c r="Q124" s="26" t="n"/>
      <c r="R124" s="27">
        <f>IF(C124="","",H124+N(Q124))</f>
        <v/>
      </c>
      <c r="S124" s="29">
        <f>IFERROR(Q124/R124,"")</f>
        <v/>
      </c>
      <c r="T124" s="26" t="n"/>
      <c r="U124" s="26" t="n"/>
      <c r="V124" s="27">
        <f>IF(C124="","",N(T124)+N(U124))</f>
        <v/>
      </c>
      <c r="W124" s="27">
        <f>IF(C124="","",H124-V124)</f>
        <v/>
      </c>
      <c r="X124" s="29">
        <f>IFERROR(W124/H124,"")</f>
        <v/>
      </c>
      <c r="Y124" s="64" t="n"/>
      <c r="Z124" s="64" t="n"/>
      <c r="AA124" s="64" t="n"/>
      <c r="AB124" s="64" t="n"/>
      <c r="AC124" s="64" t="n"/>
      <c r="AD124" s="24" t="n"/>
    </row>
    <row r="125" ht="15" customHeight="1">
      <c r="A125" s="63">
        <f>IF(C125="","",IFERROR(IF(SUMPRODUCT(MAX((tbl_Finance[Job Number]=C125&amp;"")*(tbl_Finance[Xero Invoice No]&lt;&gt;"")*tbl_Finance[Date]))=0,"",SUMPRODUCT(MAX((tbl_Finance[Job Number]=C125&amp;"")*(tbl_Finance[Xero Invoice No]&lt;&gt;"")*tbl_Finance[Date]))),""))</f>
        <v/>
      </c>
      <c r="B125" s="25">
        <f>IF(C125="","",IF(COUNTIFS(tbl_Finance[Job Number],C125&amp;"",tbl_Finance[Xero Invoice No],"&lt;&gt;")=0,"",IFERROR(IF(COUNTIFS(tbl_Finance[Job Number],C125&amp;"",tbl_Finance[Xero Invoice No],LOOKUP(2,1/((tbl_Finance[Job Number]=C125&amp;"")*(tbl_Finance[Xero Invoice No]&lt;&gt;"")),tbl_Finance[Xero Invoice No]))=COUNTIFS(tbl_Finance[Job Number],C125&amp;"",tbl_Finance[Xero Invoice No],"&lt;&gt;"),LOOKUP(2,1/((tbl_Finance[Job Number]=C125&amp;"")*(tbl_Finance[Xero Invoice No]&lt;&gt;"")),tbl_Finance[Xero Invoice No]),LOOKUP(2,1/((tbl_Finance[Job Number]=C125&amp;"")*(tbl_Finance[Xero Invoice No]&lt;&gt;"")),tbl_Finance[Xero Invoice No])&amp;" +more"),"")))</f>
        <v/>
      </c>
      <c r="C125" s="24" t="n"/>
      <c r="D125" s="25">
        <f>IF(C125="","",IF(COUNTIF(lst_Jobs,C125&amp;"")&gt;0,"OK","CHECK"))</f>
        <v/>
      </c>
      <c r="E125" s="25">
        <f>IF(C125="","",IFERROR(INDEX(lst_JobName,MATCH(C125&amp;"",lst_Jobs,0)),""))</f>
        <v/>
      </c>
      <c r="F125" s="25">
        <f>IF(C125="","",IFERROR(INDEX(tbl_Finance[Client],MATCH(C125&amp;"",tbl_Finance[Job Number],0)),""))</f>
        <v/>
      </c>
      <c r="G125" s="28">
        <f>IF(C125="","",COUNTIFS(tbl_Finance[Job Number],C125&amp;"",tbl_Finance[Ex GST],"&lt;&gt;"))</f>
        <v/>
      </c>
      <c r="H125" s="27">
        <f>IF(C125="","",SUMIFS(tbl_Finance[Ex GST],tbl_Finance[Job Number],C125&amp;""))</f>
        <v/>
      </c>
      <c r="I125" s="27">
        <f>IF(C125="","",SUMIFS(tbl_Finance[Ex GST],tbl_Finance[Job Number],C125&amp;"",tbl_Finance[Xero Invoice No],"&lt;&gt;"))</f>
        <v/>
      </c>
      <c r="J125" s="27">
        <f>IF(C125="","",H125-I125)</f>
        <v/>
      </c>
      <c r="K125" s="25">
        <f>IF(C125="","",IF(G125=0,"not invoiced yet",SUBSTITUTE(TRIM(IF(COUNTIFS(tbl_Finance[Job Number],C125&amp;"",tbl_Finance[Cost Centre],"ONSITE")&gt;0,"ONSITE ","")&amp;IF(COUNTIFS(tbl_Finance[Job Number],C125&amp;"",tbl_Finance[Cost Centre],"PRODUCTION")&gt;0,"PRODUCTION ","")&amp;IF(COUNTIFS(tbl_Finance[Job Number],C125&amp;"",tbl_Finance[Cost Centre],"VIDEO")&gt;0,"VIDEO ","")&amp;IF(COUNTIFS(tbl_Finance[Job Number],C125&amp;"",tbl_Finance[Cost Centre],"INTEGRATION")&gt;0,"INTEGRATION ","")&amp;IF(COUNTIFS(tbl_Finance[Job Number],C125&amp;"",tbl_Finance[Cost Centre],"CONSULTING")&gt;0,"CONSULTING ","")&amp;IF(COUNTIFS(tbl_Finance[Job Number],C125&amp;"",tbl_Finance[Cost Centre],"CTS")&gt;0,"CTS ",""))," ",", ")))</f>
        <v/>
      </c>
      <c r="L125" s="22" t="n"/>
      <c r="M125" s="24" t="n"/>
      <c r="N125" s="25">
        <f>IF(M125="","",IF(AND(LEFT(M125,4)&lt;&gt;"http",set_RMSBase=""),"",HYPERLINK(IF(LEFT(M125,4)="http",M125,set_RMSBase&amp;M125),"Open opportunity")))</f>
        <v/>
      </c>
      <c r="O125" s="25">
        <f>IF(C125="","",C125)</f>
        <v/>
      </c>
      <c r="P125" s="24" t="n"/>
      <c r="Q125" s="26" t="n"/>
      <c r="R125" s="27">
        <f>IF(C125="","",H125+N(Q125))</f>
        <v/>
      </c>
      <c r="S125" s="29">
        <f>IFERROR(Q125/R125,"")</f>
        <v/>
      </c>
      <c r="T125" s="26" t="n"/>
      <c r="U125" s="26" t="n"/>
      <c r="V125" s="27">
        <f>IF(C125="","",N(T125)+N(U125))</f>
        <v/>
      </c>
      <c r="W125" s="27">
        <f>IF(C125="","",H125-V125)</f>
        <v/>
      </c>
      <c r="X125" s="29">
        <f>IFERROR(W125/H125,"")</f>
        <v/>
      </c>
      <c r="Y125" s="64" t="n"/>
      <c r="Z125" s="64" t="n"/>
      <c r="AA125" s="64" t="n"/>
      <c r="AB125" s="64" t="n"/>
      <c r="AC125" s="64" t="n"/>
      <c r="AD125" s="24" t="n"/>
    </row>
    <row r="126" ht="15" customHeight="1">
      <c r="A126" s="63">
        <f>IF(C126="","",IFERROR(IF(SUMPRODUCT(MAX((tbl_Finance[Job Number]=C126&amp;"")*(tbl_Finance[Xero Invoice No]&lt;&gt;"")*tbl_Finance[Date]))=0,"",SUMPRODUCT(MAX((tbl_Finance[Job Number]=C126&amp;"")*(tbl_Finance[Xero Invoice No]&lt;&gt;"")*tbl_Finance[Date]))),""))</f>
        <v/>
      </c>
      <c r="B126" s="25">
        <f>IF(C126="","",IF(COUNTIFS(tbl_Finance[Job Number],C126&amp;"",tbl_Finance[Xero Invoice No],"&lt;&gt;")=0,"",IFERROR(IF(COUNTIFS(tbl_Finance[Job Number],C126&amp;"",tbl_Finance[Xero Invoice No],LOOKUP(2,1/((tbl_Finance[Job Number]=C126&amp;"")*(tbl_Finance[Xero Invoice No]&lt;&gt;"")),tbl_Finance[Xero Invoice No]))=COUNTIFS(tbl_Finance[Job Number],C126&amp;"",tbl_Finance[Xero Invoice No],"&lt;&gt;"),LOOKUP(2,1/((tbl_Finance[Job Number]=C126&amp;"")*(tbl_Finance[Xero Invoice No]&lt;&gt;"")),tbl_Finance[Xero Invoice No]),LOOKUP(2,1/((tbl_Finance[Job Number]=C126&amp;"")*(tbl_Finance[Xero Invoice No]&lt;&gt;"")),tbl_Finance[Xero Invoice No])&amp;" +more"),"")))</f>
        <v/>
      </c>
      <c r="C126" s="24" t="n"/>
      <c r="D126" s="25">
        <f>IF(C126="","",IF(COUNTIF(lst_Jobs,C126&amp;"")&gt;0,"OK","CHECK"))</f>
        <v/>
      </c>
      <c r="E126" s="25">
        <f>IF(C126="","",IFERROR(INDEX(lst_JobName,MATCH(C126&amp;"",lst_Jobs,0)),""))</f>
        <v/>
      </c>
      <c r="F126" s="25">
        <f>IF(C126="","",IFERROR(INDEX(tbl_Finance[Client],MATCH(C126&amp;"",tbl_Finance[Job Number],0)),""))</f>
        <v/>
      </c>
      <c r="G126" s="28">
        <f>IF(C126="","",COUNTIFS(tbl_Finance[Job Number],C126&amp;"",tbl_Finance[Ex GST],"&lt;&gt;"))</f>
        <v/>
      </c>
      <c r="H126" s="27">
        <f>IF(C126="","",SUMIFS(tbl_Finance[Ex GST],tbl_Finance[Job Number],C126&amp;""))</f>
        <v/>
      </c>
      <c r="I126" s="27">
        <f>IF(C126="","",SUMIFS(tbl_Finance[Ex GST],tbl_Finance[Job Number],C126&amp;"",tbl_Finance[Xero Invoice No],"&lt;&gt;"))</f>
        <v/>
      </c>
      <c r="J126" s="27">
        <f>IF(C126="","",H126-I126)</f>
        <v/>
      </c>
      <c r="K126" s="25">
        <f>IF(C126="","",IF(G126=0,"not invoiced yet",SUBSTITUTE(TRIM(IF(COUNTIFS(tbl_Finance[Job Number],C126&amp;"",tbl_Finance[Cost Centre],"ONSITE")&gt;0,"ONSITE ","")&amp;IF(COUNTIFS(tbl_Finance[Job Number],C126&amp;"",tbl_Finance[Cost Centre],"PRODUCTION")&gt;0,"PRODUCTION ","")&amp;IF(COUNTIFS(tbl_Finance[Job Number],C126&amp;"",tbl_Finance[Cost Centre],"VIDEO")&gt;0,"VIDEO ","")&amp;IF(COUNTIFS(tbl_Finance[Job Number],C126&amp;"",tbl_Finance[Cost Centre],"INTEGRATION")&gt;0,"INTEGRATION ","")&amp;IF(COUNTIFS(tbl_Finance[Job Number],C126&amp;"",tbl_Finance[Cost Centre],"CONSULTING")&gt;0,"CONSULTING ","")&amp;IF(COUNTIFS(tbl_Finance[Job Number],C126&amp;"",tbl_Finance[Cost Centre],"CTS")&gt;0,"CTS ",""))," ",", ")))</f>
        <v/>
      </c>
      <c r="L126" s="22" t="n"/>
      <c r="M126" s="24" t="n"/>
      <c r="N126" s="25">
        <f>IF(M126="","",IF(AND(LEFT(M126,4)&lt;&gt;"http",set_RMSBase=""),"",HYPERLINK(IF(LEFT(M126,4)="http",M126,set_RMSBase&amp;M126),"Open opportunity")))</f>
        <v/>
      </c>
      <c r="O126" s="25">
        <f>IF(C126="","",C126)</f>
        <v/>
      </c>
      <c r="P126" s="24" t="n"/>
      <c r="Q126" s="26" t="n"/>
      <c r="R126" s="27">
        <f>IF(C126="","",H126+N(Q126))</f>
        <v/>
      </c>
      <c r="S126" s="29">
        <f>IFERROR(Q126/R126,"")</f>
        <v/>
      </c>
      <c r="T126" s="26" t="n"/>
      <c r="U126" s="26" t="n"/>
      <c r="V126" s="27">
        <f>IF(C126="","",N(T126)+N(U126))</f>
        <v/>
      </c>
      <c r="W126" s="27">
        <f>IF(C126="","",H126-V126)</f>
        <v/>
      </c>
      <c r="X126" s="29">
        <f>IFERROR(W126/H126,"")</f>
        <v/>
      </c>
      <c r="Y126" s="64" t="n"/>
      <c r="Z126" s="64" t="n"/>
      <c r="AA126" s="64" t="n"/>
      <c r="AB126" s="64" t="n"/>
      <c r="AC126" s="64" t="n"/>
      <c r="AD126" s="24" t="n"/>
    </row>
    <row r="127" ht="15" customHeight="1">
      <c r="A127" s="63">
        <f>IF(C127="","",IFERROR(IF(SUMPRODUCT(MAX((tbl_Finance[Job Number]=C127&amp;"")*(tbl_Finance[Xero Invoice No]&lt;&gt;"")*tbl_Finance[Date]))=0,"",SUMPRODUCT(MAX((tbl_Finance[Job Number]=C127&amp;"")*(tbl_Finance[Xero Invoice No]&lt;&gt;"")*tbl_Finance[Date]))),""))</f>
        <v/>
      </c>
      <c r="B127" s="25">
        <f>IF(C127="","",IF(COUNTIFS(tbl_Finance[Job Number],C127&amp;"",tbl_Finance[Xero Invoice No],"&lt;&gt;")=0,"",IFERROR(IF(COUNTIFS(tbl_Finance[Job Number],C127&amp;"",tbl_Finance[Xero Invoice No],LOOKUP(2,1/((tbl_Finance[Job Number]=C127&amp;"")*(tbl_Finance[Xero Invoice No]&lt;&gt;"")),tbl_Finance[Xero Invoice No]))=COUNTIFS(tbl_Finance[Job Number],C127&amp;"",tbl_Finance[Xero Invoice No],"&lt;&gt;"),LOOKUP(2,1/((tbl_Finance[Job Number]=C127&amp;"")*(tbl_Finance[Xero Invoice No]&lt;&gt;"")),tbl_Finance[Xero Invoice No]),LOOKUP(2,1/((tbl_Finance[Job Number]=C127&amp;"")*(tbl_Finance[Xero Invoice No]&lt;&gt;"")),tbl_Finance[Xero Invoice No])&amp;" +more"),"")))</f>
        <v/>
      </c>
      <c r="C127" s="24" t="n"/>
      <c r="D127" s="25">
        <f>IF(C127="","",IF(COUNTIF(lst_Jobs,C127&amp;"")&gt;0,"OK","CHECK"))</f>
        <v/>
      </c>
      <c r="E127" s="25">
        <f>IF(C127="","",IFERROR(INDEX(lst_JobName,MATCH(C127&amp;"",lst_Jobs,0)),""))</f>
        <v/>
      </c>
      <c r="F127" s="25">
        <f>IF(C127="","",IFERROR(INDEX(tbl_Finance[Client],MATCH(C127&amp;"",tbl_Finance[Job Number],0)),""))</f>
        <v/>
      </c>
      <c r="G127" s="28">
        <f>IF(C127="","",COUNTIFS(tbl_Finance[Job Number],C127&amp;"",tbl_Finance[Ex GST],"&lt;&gt;"))</f>
        <v/>
      </c>
      <c r="H127" s="27">
        <f>IF(C127="","",SUMIFS(tbl_Finance[Ex GST],tbl_Finance[Job Number],C127&amp;""))</f>
        <v/>
      </c>
      <c r="I127" s="27">
        <f>IF(C127="","",SUMIFS(tbl_Finance[Ex GST],tbl_Finance[Job Number],C127&amp;"",tbl_Finance[Xero Invoice No],"&lt;&gt;"))</f>
        <v/>
      </c>
      <c r="J127" s="27">
        <f>IF(C127="","",H127-I127)</f>
        <v/>
      </c>
      <c r="K127" s="25">
        <f>IF(C127="","",IF(G127=0,"not invoiced yet",SUBSTITUTE(TRIM(IF(COUNTIFS(tbl_Finance[Job Number],C127&amp;"",tbl_Finance[Cost Centre],"ONSITE")&gt;0,"ONSITE ","")&amp;IF(COUNTIFS(tbl_Finance[Job Number],C127&amp;"",tbl_Finance[Cost Centre],"PRODUCTION")&gt;0,"PRODUCTION ","")&amp;IF(COUNTIFS(tbl_Finance[Job Number],C127&amp;"",tbl_Finance[Cost Centre],"VIDEO")&gt;0,"VIDEO ","")&amp;IF(COUNTIFS(tbl_Finance[Job Number],C127&amp;"",tbl_Finance[Cost Centre],"INTEGRATION")&gt;0,"INTEGRATION ","")&amp;IF(COUNTIFS(tbl_Finance[Job Number],C127&amp;"",tbl_Finance[Cost Centre],"CONSULTING")&gt;0,"CONSULTING ","")&amp;IF(COUNTIFS(tbl_Finance[Job Number],C127&amp;"",tbl_Finance[Cost Centre],"CTS")&gt;0,"CTS ",""))," ",", ")))</f>
        <v/>
      </c>
      <c r="L127" s="22" t="n"/>
      <c r="M127" s="24" t="n"/>
      <c r="N127" s="25">
        <f>IF(M127="","",IF(AND(LEFT(M127,4)&lt;&gt;"http",set_RMSBase=""),"",HYPERLINK(IF(LEFT(M127,4)="http",M127,set_RMSBase&amp;M127),"Open opportunity")))</f>
        <v/>
      </c>
      <c r="O127" s="25">
        <f>IF(C127="","",C127)</f>
        <v/>
      </c>
      <c r="P127" s="24" t="n"/>
      <c r="Q127" s="26" t="n"/>
      <c r="R127" s="27">
        <f>IF(C127="","",H127+N(Q127))</f>
        <v/>
      </c>
      <c r="S127" s="29">
        <f>IFERROR(Q127/R127,"")</f>
        <v/>
      </c>
      <c r="T127" s="26" t="n"/>
      <c r="U127" s="26" t="n"/>
      <c r="V127" s="27">
        <f>IF(C127="","",N(T127)+N(U127))</f>
        <v/>
      </c>
      <c r="W127" s="27">
        <f>IF(C127="","",H127-V127)</f>
        <v/>
      </c>
      <c r="X127" s="29">
        <f>IFERROR(W127/H127,"")</f>
        <v/>
      </c>
      <c r="Y127" s="64" t="n"/>
      <c r="Z127" s="64" t="n"/>
      <c r="AA127" s="64" t="n"/>
      <c r="AB127" s="64" t="n"/>
      <c r="AC127" s="64" t="n"/>
      <c r="AD127" s="24" t="n"/>
    </row>
    <row r="128" ht="15" customHeight="1">
      <c r="A128" s="63">
        <f>IF(C128="","",IFERROR(IF(SUMPRODUCT(MAX((tbl_Finance[Job Number]=C128&amp;"")*(tbl_Finance[Xero Invoice No]&lt;&gt;"")*tbl_Finance[Date]))=0,"",SUMPRODUCT(MAX((tbl_Finance[Job Number]=C128&amp;"")*(tbl_Finance[Xero Invoice No]&lt;&gt;"")*tbl_Finance[Date]))),""))</f>
        <v/>
      </c>
      <c r="B128" s="25">
        <f>IF(C128="","",IF(COUNTIFS(tbl_Finance[Job Number],C128&amp;"",tbl_Finance[Xero Invoice No],"&lt;&gt;")=0,"",IFERROR(IF(COUNTIFS(tbl_Finance[Job Number],C128&amp;"",tbl_Finance[Xero Invoice No],LOOKUP(2,1/((tbl_Finance[Job Number]=C128&amp;"")*(tbl_Finance[Xero Invoice No]&lt;&gt;"")),tbl_Finance[Xero Invoice No]))=COUNTIFS(tbl_Finance[Job Number],C128&amp;"",tbl_Finance[Xero Invoice No],"&lt;&gt;"),LOOKUP(2,1/((tbl_Finance[Job Number]=C128&amp;"")*(tbl_Finance[Xero Invoice No]&lt;&gt;"")),tbl_Finance[Xero Invoice No]),LOOKUP(2,1/((tbl_Finance[Job Number]=C128&amp;"")*(tbl_Finance[Xero Invoice No]&lt;&gt;"")),tbl_Finance[Xero Invoice No])&amp;" +more"),"")))</f>
        <v/>
      </c>
      <c r="C128" s="24" t="n"/>
      <c r="D128" s="25">
        <f>IF(C128="","",IF(COUNTIF(lst_Jobs,C128&amp;"")&gt;0,"OK","CHECK"))</f>
        <v/>
      </c>
      <c r="E128" s="25">
        <f>IF(C128="","",IFERROR(INDEX(lst_JobName,MATCH(C128&amp;"",lst_Jobs,0)),""))</f>
        <v/>
      </c>
      <c r="F128" s="25">
        <f>IF(C128="","",IFERROR(INDEX(tbl_Finance[Client],MATCH(C128&amp;"",tbl_Finance[Job Number],0)),""))</f>
        <v/>
      </c>
      <c r="G128" s="28">
        <f>IF(C128="","",COUNTIFS(tbl_Finance[Job Number],C128&amp;"",tbl_Finance[Ex GST],"&lt;&gt;"))</f>
        <v/>
      </c>
      <c r="H128" s="27">
        <f>IF(C128="","",SUMIFS(tbl_Finance[Ex GST],tbl_Finance[Job Number],C128&amp;""))</f>
        <v/>
      </c>
      <c r="I128" s="27">
        <f>IF(C128="","",SUMIFS(tbl_Finance[Ex GST],tbl_Finance[Job Number],C128&amp;"",tbl_Finance[Xero Invoice No],"&lt;&gt;"))</f>
        <v/>
      </c>
      <c r="J128" s="27">
        <f>IF(C128="","",H128-I128)</f>
        <v/>
      </c>
      <c r="K128" s="25">
        <f>IF(C128="","",IF(G128=0,"not invoiced yet",SUBSTITUTE(TRIM(IF(COUNTIFS(tbl_Finance[Job Number],C128&amp;"",tbl_Finance[Cost Centre],"ONSITE")&gt;0,"ONSITE ","")&amp;IF(COUNTIFS(tbl_Finance[Job Number],C128&amp;"",tbl_Finance[Cost Centre],"PRODUCTION")&gt;0,"PRODUCTION ","")&amp;IF(COUNTIFS(tbl_Finance[Job Number],C128&amp;"",tbl_Finance[Cost Centre],"VIDEO")&gt;0,"VIDEO ","")&amp;IF(COUNTIFS(tbl_Finance[Job Number],C128&amp;"",tbl_Finance[Cost Centre],"INTEGRATION")&gt;0,"INTEGRATION ","")&amp;IF(COUNTIFS(tbl_Finance[Job Number],C128&amp;"",tbl_Finance[Cost Centre],"CONSULTING")&gt;0,"CONSULTING ","")&amp;IF(COUNTIFS(tbl_Finance[Job Number],C128&amp;"",tbl_Finance[Cost Centre],"CTS")&gt;0,"CTS ",""))," ",", ")))</f>
        <v/>
      </c>
      <c r="L128" s="22" t="n"/>
      <c r="M128" s="24" t="n"/>
      <c r="N128" s="25">
        <f>IF(M128="","",IF(AND(LEFT(M128,4)&lt;&gt;"http",set_RMSBase=""),"",HYPERLINK(IF(LEFT(M128,4)="http",M128,set_RMSBase&amp;M128),"Open opportunity")))</f>
        <v/>
      </c>
      <c r="O128" s="25">
        <f>IF(C128="","",C128)</f>
        <v/>
      </c>
      <c r="P128" s="24" t="n"/>
      <c r="Q128" s="26" t="n"/>
      <c r="R128" s="27">
        <f>IF(C128="","",H128+N(Q128))</f>
        <v/>
      </c>
      <c r="S128" s="29">
        <f>IFERROR(Q128/R128,"")</f>
        <v/>
      </c>
      <c r="T128" s="26" t="n"/>
      <c r="U128" s="26" t="n"/>
      <c r="V128" s="27">
        <f>IF(C128="","",N(T128)+N(U128))</f>
        <v/>
      </c>
      <c r="W128" s="27">
        <f>IF(C128="","",H128-V128)</f>
        <v/>
      </c>
      <c r="X128" s="29">
        <f>IFERROR(W128/H128,"")</f>
        <v/>
      </c>
      <c r="Y128" s="64" t="n"/>
      <c r="Z128" s="64" t="n"/>
      <c r="AA128" s="64" t="n"/>
      <c r="AB128" s="64" t="n"/>
      <c r="AC128" s="64" t="n"/>
      <c r="AD128" s="24" t="n"/>
    </row>
    <row r="129" ht="15" customHeight="1">
      <c r="A129" s="63">
        <f>IF(C129="","",IFERROR(IF(SUMPRODUCT(MAX((tbl_Finance[Job Number]=C129&amp;"")*(tbl_Finance[Xero Invoice No]&lt;&gt;"")*tbl_Finance[Date]))=0,"",SUMPRODUCT(MAX((tbl_Finance[Job Number]=C129&amp;"")*(tbl_Finance[Xero Invoice No]&lt;&gt;"")*tbl_Finance[Date]))),""))</f>
        <v/>
      </c>
      <c r="B129" s="25">
        <f>IF(C129="","",IF(COUNTIFS(tbl_Finance[Job Number],C129&amp;"",tbl_Finance[Xero Invoice No],"&lt;&gt;")=0,"",IFERROR(IF(COUNTIFS(tbl_Finance[Job Number],C129&amp;"",tbl_Finance[Xero Invoice No],LOOKUP(2,1/((tbl_Finance[Job Number]=C129&amp;"")*(tbl_Finance[Xero Invoice No]&lt;&gt;"")),tbl_Finance[Xero Invoice No]))=COUNTIFS(tbl_Finance[Job Number],C129&amp;"",tbl_Finance[Xero Invoice No],"&lt;&gt;"),LOOKUP(2,1/((tbl_Finance[Job Number]=C129&amp;"")*(tbl_Finance[Xero Invoice No]&lt;&gt;"")),tbl_Finance[Xero Invoice No]),LOOKUP(2,1/((tbl_Finance[Job Number]=C129&amp;"")*(tbl_Finance[Xero Invoice No]&lt;&gt;"")),tbl_Finance[Xero Invoice No])&amp;" +more"),"")))</f>
        <v/>
      </c>
      <c r="C129" s="24" t="n"/>
      <c r="D129" s="25">
        <f>IF(C129="","",IF(COUNTIF(lst_Jobs,C129&amp;"")&gt;0,"OK","CHECK"))</f>
        <v/>
      </c>
      <c r="E129" s="25">
        <f>IF(C129="","",IFERROR(INDEX(lst_JobName,MATCH(C129&amp;"",lst_Jobs,0)),""))</f>
        <v/>
      </c>
      <c r="F129" s="25">
        <f>IF(C129="","",IFERROR(INDEX(tbl_Finance[Client],MATCH(C129&amp;"",tbl_Finance[Job Number],0)),""))</f>
        <v/>
      </c>
      <c r="G129" s="28">
        <f>IF(C129="","",COUNTIFS(tbl_Finance[Job Number],C129&amp;"",tbl_Finance[Ex GST],"&lt;&gt;"))</f>
        <v/>
      </c>
      <c r="H129" s="27">
        <f>IF(C129="","",SUMIFS(tbl_Finance[Ex GST],tbl_Finance[Job Number],C129&amp;""))</f>
        <v/>
      </c>
      <c r="I129" s="27">
        <f>IF(C129="","",SUMIFS(tbl_Finance[Ex GST],tbl_Finance[Job Number],C129&amp;"",tbl_Finance[Xero Invoice No],"&lt;&gt;"))</f>
        <v/>
      </c>
      <c r="J129" s="27">
        <f>IF(C129="","",H129-I129)</f>
        <v/>
      </c>
      <c r="K129" s="25">
        <f>IF(C129="","",IF(G129=0,"not invoiced yet",SUBSTITUTE(TRIM(IF(COUNTIFS(tbl_Finance[Job Number],C129&amp;"",tbl_Finance[Cost Centre],"ONSITE")&gt;0,"ONSITE ","")&amp;IF(COUNTIFS(tbl_Finance[Job Number],C129&amp;"",tbl_Finance[Cost Centre],"PRODUCTION")&gt;0,"PRODUCTION ","")&amp;IF(COUNTIFS(tbl_Finance[Job Number],C129&amp;"",tbl_Finance[Cost Centre],"VIDEO")&gt;0,"VIDEO ","")&amp;IF(COUNTIFS(tbl_Finance[Job Number],C129&amp;"",tbl_Finance[Cost Centre],"INTEGRATION")&gt;0,"INTEGRATION ","")&amp;IF(COUNTIFS(tbl_Finance[Job Number],C129&amp;"",tbl_Finance[Cost Centre],"CONSULTING")&gt;0,"CONSULTING ","")&amp;IF(COUNTIFS(tbl_Finance[Job Number],C129&amp;"",tbl_Finance[Cost Centre],"CTS")&gt;0,"CTS ",""))," ",", ")))</f>
        <v/>
      </c>
      <c r="L129" s="22" t="n"/>
      <c r="M129" s="24" t="n"/>
      <c r="N129" s="25">
        <f>IF(M129="","",IF(AND(LEFT(M129,4)&lt;&gt;"http",set_RMSBase=""),"",HYPERLINK(IF(LEFT(M129,4)="http",M129,set_RMSBase&amp;M129),"Open opportunity")))</f>
        <v/>
      </c>
      <c r="O129" s="25">
        <f>IF(C129="","",C129)</f>
        <v/>
      </c>
      <c r="P129" s="24" t="n"/>
      <c r="Q129" s="26" t="n"/>
      <c r="R129" s="27">
        <f>IF(C129="","",H129+N(Q129))</f>
        <v/>
      </c>
      <c r="S129" s="29">
        <f>IFERROR(Q129/R129,"")</f>
        <v/>
      </c>
      <c r="T129" s="26" t="n"/>
      <c r="U129" s="26" t="n"/>
      <c r="V129" s="27">
        <f>IF(C129="","",N(T129)+N(U129))</f>
        <v/>
      </c>
      <c r="W129" s="27">
        <f>IF(C129="","",H129-V129)</f>
        <v/>
      </c>
      <c r="X129" s="29">
        <f>IFERROR(W129/H129,"")</f>
        <v/>
      </c>
      <c r="Y129" s="64" t="n"/>
      <c r="Z129" s="64" t="n"/>
      <c r="AA129" s="64" t="n"/>
      <c r="AB129" s="64" t="n"/>
      <c r="AC129" s="64" t="n"/>
      <c r="AD129" s="24" t="n"/>
    </row>
    <row r="130" ht="15" customHeight="1">
      <c r="A130" s="63">
        <f>IF(C130="","",IFERROR(IF(SUMPRODUCT(MAX((tbl_Finance[Job Number]=C130&amp;"")*(tbl_Finance[Xero Invoice No]&lt;&gt;"")*tbl_Finance[Date]))=0,"",SUMPRODUCT(MAX((tbl_Finance[Job Number]=C130&amp;"")*(tbl_Finance[Xero Invoice No]&lt;&gt;"")*tbl_Finance[Date]))),""))</f>
        <v/>
      </c>
      <c r="B130" s="25">
        <f>IF(C130="","",IF(COUNTIFS(tbl_Finance[Job Number],C130&amp;"",tbl_Finance[Xero Invoice No],"&lt;&gt;")=0,"",IFERROR(IF(COUNTIFS(tbl_Finance[Job Number],C130&amp;"",tbl_Finance[Xero Invoice No],LOOKUP(2,1/((tbl_Finance[Job Number]=C130&amp;"")*(tbl_Finance[Xero Invoice No]&lt;&gt;"")),tbl_Finance[Xero Invoice No]))=COUNTIFS(tbl_Finance[Job Number],C130&amp;"",tbl_Finance[Xero Invoice No],"&lt;&gt;"),LOOKUP(2,1/((tbl_Finance[Job Number]=C130&amp;"")*(tbl_Finance[Xero Invoice No]&lt;&gt;"")),tbl_Finance[Xero Invoice No]),LOOKUP(2,1/((tbl_Finance[Job Number]=C130&amp;"")*(tbl_Finance[Xero Invoice No]&lt;&gt;"")),tbl_Finance[Xero Invoice No])&amp;" +more"),"")))</f>
        <v/>
      </c>
      <c r="C130" s="24" t="n"/>
      <c r="D130" s="25">
        <f>IF(C130="","",IF(COUNTIF(lst_Jobs,C130&amp;"")&gt;0,"OK","CHECK"))</f>
        <v/>
      </c>
      <c r="E130" s="25">
        <f>IF(C130="","",IFERROR(INDEX(lst_JobName,MATCH(C130&amp;"",lst_Jobs,0)),""))</f>
        <v/>
      </c>
      <c r="F130" s="25">
        <f>IF(C130="","",IFERROR(INDEX(tbl_Finance[Client],MATCH(C130&amp;"",tbl_Finance[Job Number],0)),""))</f>
        <v/>
      </c>
      <c r="G130" s="28">
        <f>IF(C130="","",COUNTIFS(tbl_Finance[Job Number],C130&amp;"",tbl_Finance[Ex GST],"&lt;&gt;"))</f>
        <v/>
      </c>
      <c r="H130" s="27">
        <f>IF(C130="","",SUMIFS(tbl_Finance[Ex GST],tbl_Finance[Job Number],C130&amp;""))</f>
        <v/>
      </c>
      <c r="I130" s="27">
        <f>IF(C130="","",SUMIFS(tbl_Finance[Ex GST],tbl_Finance[Job Number],C130&amp;"",tbl_Finance[Xero Invoice No],"&lt;&gt;"))</f>
        <v/>
      </c>
      <c r="J130" s="27">
        <f>IF(C130="","",H130-I130)</f>
        <v/>
      </c>
      <c r="K130" s="25">
        <f>IF(C130="","",IF(G130=0,"not invoiced yet",SUBSTITUTE(TRIM(IF(COUNTIFS(tbl_Finance[Job Number],C130&amp;"",tbl_Finance[Cost Centre],"ONSITE")&gt;0,"ONSITE ","")&amp;IF(COUNTIFS(tbl_Finance[Job Number],C130&amp;"",tbl_Finance[Cost Centre],"PRODUCTION")&gt;0,"PRODUCTION ","")&amp;IF(COUNTIFS(tbl_Finance[Job Number],C130&amp;"",tbl_Finance[Cost Centre],"VIDEO")&gt;0,"VIDEO ","")&amp;IF(COUNTIFS(tbl_Finance[Job Number],C130&amp;"",tbl_Finance[Cost Centre],"INTEGRATION")&gt;0,"INTEGRATION ","")&amp;IF(COUNTIFS(tbl_Finance[Job Number],C130&amp;"",tbl_Finance[Cost Centre],"CONSULTING")&gt;0,"CONSULTING ","")&amp;IF(COUNTIFS(tbl_Finance[Job Number],C130&amp;"",tbl_Finance[Cost Centre],"CTS")&gt;0,"CTS ",""))," ",", ")))</f>
        <v/>
      </c>
      <c r="L130" s="22" t="n"/>
      <c r="M130" s="24" t="n"/>
      <c r="N130" s="25">
        <f>IF(M130="","",IF(AND(LEFT(M130,4)&lt;&gt;"http",set_RMSBase=""),"",HYPERLINK(IF(LEFT(M130,4)="http",M130,set_RMSBase&amp;M130),"Open opportunity")))</f>
        <v/>
      </c>
      <c r="O130" s="25">
        <f>IF(C130="","",C130)</f>
        <v/>
      </c>
      <c r="P130" s="24" t="n"/>
      <c r="Q130" s="26" t="n"/>
      <c r="R130" s="27">
        <f>IF(C130="","",H130+N(Q130))</f>
        <v/>
      </c>
      <c r="S130" s="29">
        <f>IFERROR(Q130/R130,"")</f>
        <v/>
      </c>
      <c r="T130" s="26" t="n"/>
      <c r="U130" s="26" t="n"/>
      <c r="V130" s="27">
        <f>IF(C130="","",N(T130)+N(U130))</f>
        <v/>
      </c>
      <c r="W130" s="27">
        <f>IF(C130="","",H130-V130)</f>
        <v/>
      </c>
      <c r="X130" s="29">
        <f>IFERROR(W130/H130,"")</f>
        <v/>
      </c>
      <c r="Y130" s="64" t="n"/>
      <c r="Z130" s="64" t="n"/>
      <c r="AA130" s="64" t="n"/>
      <c r="AB130" s="64" t="n"/>
      <c r="AC130" s="64" t="n"/>
      <c r="AD130" s="24" t="n"/>
    </row>
    <row r="131" ht="15" customHeight="1">
      <c r="A131" s="63">
        <f>IF(C131="","",IFERROR(IF(SUMPRODUCT(MAX((tbl_Finance[Job Number]=C131&amp;"")*(tbl_Finance[Xero Invoice No]&lt;&gt;"")*tbl_Finance[Date]))=0,"",SUMPRODUCT(MAX((tbl_Finance[Job Number]=C131&amp;"")*(tbl_Finance[Xero Invoice No]&lt;&gt;"")*tbl_Finance[Date]))),""))</f>
        <v/>
      </c>
      <c r="B131" s="25">
        <f>IF(C131="","",IF(COUNTIFS(tbl_Finance[Job Number],C131&amp;"",tbl_Finance[Xero Invoice No],"&lt;&gt;")=0,"",IFERROR(IF(COUNTIFS(tbl_Finance[Job Number],C131&amp;"",tbl_Finance[Xero Invoice No],LOOKUP(2,1/((tbl_Finance[Job Number]=C131&amp;"")*(tbl_Finance[Xero Invoice No]&lt;&gt;"")),tbl_Finance[Xero Invoice No]))=COUNTIFS(tbl_Finance[Job Number],C131&amp;"",tbl_Finance[Xero Invoice No],"&lt;&gt;"),LOOKUP(2,1/((tbl_Finance[Job Number]=C131&amp;"")*(tbl_Finance[Xero Invoice No]&lt;&gt;"")),tbl_Finance[Xero Invoice No]),LOOKUP(2,1/((tbl_Finance[Job Number]=C131&amp;"")*(tbl_Finance[Xero Invoice No]&lt;&gt;"")),tbl_Finance[Xero Invoice No])&amp;" +more"),"")))</f>
        <v/>
      </c>
      <c r="C131" s="24" t="n"/>
      <c r="D131" s="25">
        <f>IF(C131="","",IF(COUNTIF(lst_Jobs,C131&amp;"")&gt;0,"OK","CHECK"))</f>
        <v/>
      </c>
      <c r="E131" s="25">
        <f>IF(C131="","",IFERROR(INDEX(lst_JobName,MATCH(C131&amp;"",lst_Jobs,0)),""))</f>
        <v/>
      </c>
      <c r="F131" s="25">
        <f>IF(C131="","",IFERROR(INDEX(tbl_Finance[Client],MATCH(C131&amp;"",tbl_Finance[Job Number],0)),""))</f>
        <v/>
      </c>
      <c r="G131" s="28">
        <f>IF(C131="","",COUNTIFS(tbl_Finance[Job Number],C131&amp;"",tbl_Finance[Ex GST],"&lt;&gt;"))</f>
        <v/>
      </c>
      <c r="H131" s="27">
        <f>IF(C131="","",SUMIFS(tbl_Finance[Ex GST],tbl_Finance[Job Number],C131&amp;""))</f>
        <v/>
      </c>
      <c r="I131" s="27">
        <f>IF(C131="","",SUMIFS(tbl_Finance[Ex GST],tbl_Finance[Job Number],C131&amp;"",tbl_Finance[Xero Invoice No],"&lt;&gt;"))</f>
        <v/>
      </c>
      <c r="J131" s="27">
        <f>IF(C131="","",H131-I131)</f>
        <v/>
      </c>
      <c r="K131" s="25">
        <f>IF(C131="","",IF(G131=0,"not invoiced yet",SUBSTITUTE(TRIM(IF(COUNTIFS(tbl_Finance[Job Number],C131&amp;"",tbl_Finance[Cost Centre],"ONSITE")&gt;0,"ONSITE ","")&amp;IF(COUNTIFS(tbl_Finance[Job Number],C131&amp;"",tbl_Finance[Cost Centre],"PRODUCTION")&gt;0,"PRODUCTION ","")&amp;IF(COUNTIFS(tbl_Finance[Job Number],C131&amp;"",tbl_Finance[Cost Centre],"VIDEO")&gt;0,"VIDEO ","")&amp;IF(COUNTIFS(tbl_Finance[Job Number],C131&amp;"",tbl_Finance[Cost Centre],"INTEGRATION")&gt;0,"INTEGRATION ","")&amp;IF(COUNTIFS(tbl_Finance[Job Number],C131&amp;"",tbl_Finance[Cost Centre],"CONSULTING")&gt;0,"CONSULTING ","")&amp;IF(COUNTIFS(tbl_Finance[Job Number],C131&amp;"",tbl_Finance[Cost Centre],"CTS")&gt;0,"CTS ",""))," ",", ")))</f>
        <v/>
      </c>
      <c r="L131" s="22" t="n"/>
      <c r="M131" s="24" t="n"/>
      <c r="N131" s="25">
        <f>IF(M131="","",IF(AND(LEFT(M131,4)&lt;&gt;"http",set_RMSBase=""),"",HYPERLINK(IF(LEFT(M131,4)="http",M131,set_RMSBase&amp;M131),"Open opportunity")))</f>
        <v/>
      </c>
      <c r="O131" s="25">
        <f>IF(C131="","",C131)</f>
        <v/>
      </c>
      <c r="P131" s="24" t="n"/>
      <c r="Q131" s="26" t="n"/>
      <c r="R131" s="27">
        <f>IF(C131="","",H131+N(Q131))</f>
        <v/>
      </c>
      <c r="S131" s="29">
        <f>IFERROR(Q131/R131,"")</f>
        <v/>
      </c>
      <c r="T131" s="26" t="n"/>
      <c r="U131" s="26" t="n"/>
      <c r="V131" s="27">
        <f>IF(C131="","",N(T131)+N(U131))</f>
        <v/>
      </c>
      <c r="W131" s="27">
        <f>IF(C131="","",H131-V131)</f>
        <v/>
      </c>
      <c r="X131" s="29">
        <f>IFERROR(W131/H131,"")</f>
        <v/>
      </c>
      <c r="Y131" s="64" t="n"/>
      <c r="Z131" s="64" t="n"/>
      <c r="AA131" s="64" t="n"/>
      <c r="AB131" s="64" t="n"/>
      <c r="AC131" s="64" t="n"/>
      <c r="AD131" s="24" t="n"/>
    </row>
    <row r="132" ht="15" customHeight="1">
      <c r="A132" s="63">
        <f>IF(C132="","",IFERROR(IF(SUMPRODUCT(MAX((tbl_Finance[Job Number]=C132&amp;"")*(tbl_Finance[Xero Invoice No]&lt;&gt;"")*tbl_Finance[Date]))=0,"",SUMPRODUCT(MAX((tbl_Finance[Job Number]=C132&amp;"")*(tbl_Finance[Xero Invoice No]&lt;&gt;"")*tbl_Finance[Date]))),""))</f>
        <v/>
      </c>
      <c r="B132" s="25">
        <f>IF(C132="","",IF(COUNTIFS(tbl_Finance[Job Number],C132&amp;"",tbl_Finance[Xero Invoice No],"&lt;&gt;")=0,"",IFERROR(IF(COUNTIFS(tbl_Finance[Job Number],C132&amp;"",tbl_Finance[Xero Invoice No],LOOKUP(2,1/((tbl_Finance[Job Number]=C132&amp;"")*(tbl_Finance[Xero Invoice No]&lt;&gt;"")),tbl_Finance[Xero Invoice No]))=COUNTIFS(tbl_Finance[Job Number],C132&amp;"",tbl_Finance[Xero Invoice No],"&lt;&gt;"),LOOKUP(2,1/((tbl_Finance[Job Number]=C132&amp;"")*(tbl_Finance[Xero Invoice No]&lt;&gt;"")),tbl_Finance[Xero Invoice No]),LOOKUP(2,1/((tbl_Finance[Job Number]=C132&amp;"")*(tbl_Finance[Xero Invoice No]&lt;&gt;"")),tbl_Finance[Xero Invoice No])&amp;" +more"),"")))</f>
        <v/>
      </c>
      <c r="C132" s="24" t="n"/>
      <c r="D132" s="25">
        <f>IF(C132="","",IF(COUNTIF(lst_Jobs,C132&amp;"")&gt;0,"OK","CHECK"))</f>
        <v/>
      </c>
      <c r="E132" s="25">
        <f>IF(C132="","",IFERROR(INDEX(lst_JobName,MATCH(C132&amp;"",lst_Jobs,0)),""))</f>
        <v/>
      </c>
      <c r="F132" s="25">
        <f>IF(C132="","",IFERROR(INDEX(tbl_Finance[Client],MATCH(C132&amp;"",tbl_Finance[Job Number],0)),""))</f>
        <v/>
      </c>
      <c r="G132" s="28">
        <f>IF(C132="","",COUNTIFS(tbl_Finance[Job Number],C132&amp;"",tbl_Finance[Ex GST],"&lt;&gt;"))</f>
        <v/>
      </c>
      <c r="H132" s="27">
        <f>IF(C132="","",SUMIFS(tbl_Finance[Ex GST],tbl_Finance[Job Number],C132&amp;""))</f>
        <v/>
      </c>
      <c r="I132" s="27">
        <f>IF(C132="","",SUMIFS(tbl_Finance[Ex GST],tbl_Finance[Job Number],C132&amp;"",tbl_Finance[Xero Invoice No],"&lt;&gt;"))</f>
        <v/>
      </c>
      <c r="J132" s="27">
        <f>IF(C132="","",H132-I132)</f>
        <v/>
      </c>
      <c r="K132" s="25">
        <f>IF(C132="","",IF(G132=0,"not invoiced yet",SUBSTITUTE(TRIM(IF(COUNTIFS(tbl_Finance[Job Number],C132&amp;"",tbl_Finance[Cost Centre],"ONSITE")&gt;0,"ONSITE ","")&amp;IF(COUNTIFS(tbl_Finance[Job Number],C132&amp;"",tbl_Finance[Cost Centre],"PRODUCTION")&gt;0,"PRODUCTION ","")&amp;IF(COUNTIFS(tbl_Finance[Job Number],C132&amp;"",tbl_Finance[Cost Centre],"VIDEO")&gt;0,"VIDEO ","")&amp;IF(COUNTIFS(tbl_Finance[Job Number],C132&amp;"",tbl_Finance[Cost Centre],"INTEGRATION")&gt;0,"INTEGRATION ","")&amp;IF(COUNTIFS(tbl_Finance[Job Number],C132&amp;"",tbl_Finance[Cost Centre],"CONSULTING")&gt;0,"CONSULTING ","")&amp;IF(COUNTIFS(tbl_Finance[Job Number],C132&amp;"",tbl_Finance[Cost Centre],"CTS")&gt;0,"CTS ",""))," ",", ")))</f>
        <v/>
      </c>
      <c r="L132" s="22" t="n"/>
      <c r="M132" s="24" t="n"/>
      <c r="N132" s="25">
        <f>IF(M132="","",IF(AND(LEFT(M132,4)&lt;&gt;"http",set_RMSBase=""),"",HYPERLINK(IF(LEFT(M132,4)="http",M132,set_RMSBase&amp;M132),"Open opportunity")))</f>
        <v/>
      </c>
      <c r="O132" s="25">
        <f>IF(C132="","",C132)</f>
        <v/>
      </c>
      <c r="P132" s="24" t="n"/>
      <c r="Q132" s="26" t="n"/>
      <c r="R132" s="27">
        <f>IF(C132="","",H132+N(Q132))</f>
        <v/>
      </c>
      <c r="S132" s="29">
        <f>IFERROR(Q132/R132,"")</f>
        <v/>
      </c>
      <c r="T132" s="26" t="n"/>
      <c r="U132" s="26" t="n"/>
      <c r="V132" s="27">
        <f>IF(C132="","",N(T132)+N(U132))</f>
        <v/>
      </c>
      <c r="W132" s="27">
        <f>IF(C132="","",H132-V132)</f>
        <v/>
      </c>
      <c r="X132" s="29">
        <f>IFERROR(W132/H132,"")</f>
        <v/>
      </c>
      <c r="Y132" s="64" t="n"/>
      <c r="Z132" s="64" t="n"/>
      <c r="AA132" s="64" t="n"/>
      <c r="AB132" s="64" t="n"/>
      <c r="AC132" s="64" t="n"/>
      <c r="AD132" s="24" t="n"/>
    </row>
    <row r="133" ht="15" customHeight="1">
      <c r="A133" s="63">
        <f>IF(C133="","",IFERROR(IF(SUMPRODUCT(MAX((tbl_Finance[Job Number]=C133&amp;"")*(tbl_Finance[Xero Invoice No]&lt;&gt;"")*tbl_Finance[Date]))=0,"",SUMPRODUCT(MAX((tbl_Finance[Job Number]=C133&amp;"")*(tbl_Finance[Xero Invoice No]&lt;&gt;"")*tbl_Finance[Date]))),""))</f>
        <v/>
      </c>
      <c r="B133" s="25">
        <f>IF(C133="","",IF(COUNTIFS(tbl_Finance[Job Number],C133&amp;"",tbl_Finance[Xero Invoice No],"&lt;&gt;")=0,"",IFERROR(IF(COUNTIFS(tbl_Finance[Job Number],C133&amp;"",tbl_Finance[Xero Invoice No],LOOKUP(2,1/((tbl_Finance[Job Number]=C133&amp;"")*(tbl_Finance[Xero Invoice No]&lt;&gt;"")),tbl_Finance[Xero Invoice No]))=COUNTIFS(tbl_Finance[Job Number],C133&amp;"",tbl_Finance[Xero Invoice No],"&lt;&gt;"),LOOKUP(2,1/((tbl_Finance[Job Number]=C133&amp;"")*(tbl_Finance[Xero Invoice No]&lt;&gt;"")),tbl_Finance[Xero Invoice No]),LOOKUP(2,1/((tbl_Finance[Job Number]=C133&amp;"")*(tbl_Finance[Xero Invoice No]&lt;&gt;"")),tbl_Finance[Xero Invoice No])&amp;" +more"),"")))</f>
        <v/>
      </c>
      <c r="C133" s="24" t="n"/>
      <c r="D133" s="25">
        <f>IF(C133="","",IF(COUNTIF(lst_Jobs,C133&amp;"")&gt;0,"OK","CHECK"))</f>
        <v/>
      </c>
      <c r="E133" s="25">
        <f>IF(C133="","",IFERROR(INDEX(lst_JobName,MATCH(C133&amp;"",lst_Jobs,0)),""))</f>
        <v/>
      </c>
      <c r="F133" s="25">
        <f>IF(C133="","",IFERROR(INDEX(tbl_Finance[Client],MATCH(C133&amp;"",tbl_Finance[Job Number],0)),""))</f>
        <v/>
      </c>
      <c r="G133" s="28">
        <f>IF(C133="","",COUNTIFS(tbl_Finance[Job Number],C133&amp;"",tbl_Finance[Ex GST],"&lt;&gt;"))</f>
        <v/>
      </c>
      <c r="H133" s="27">
        <f>IF(C133="","",SUMIFS(tbl_Finance[Ex GST],tbl_Finance[Job Number],C133&amp;""))</f>
        <v/>
      </c>
      <c r="I133" s="27">
        <f>IF(C133="","",SUMIFS(tbl_Finance[Ex GST],tbl_Finance[Job Number],C133&amp;"",tbl_Finance[Xero Invoice No],"&lt;&gt;"))</f>
        <v/>
      </c>
      <c r="J133" s="27">
        <f>IF(C133="","",H133-I133)</f>
        <v/>
      </c>
      <c r="K133" s="25">
        <f>IF(C133="","",IF(G133=0,"not invoiced yet",SUBSTITUTE(TRIM(IF(COUNTIFS(tbl_Finance[Job Number],C133&amp;"",tbl_Finance[Cost Centre],"ONSITE")&gt;0,"ONSITE ","")&amp;IF(COUNTIFS(tbl_Finance[Job Number],C133&amp;"",tbl_Finance[Cost Centre],"PRODUCTION")&gt;0,"PRODUCTION ","")&amp;IF(COUNTIFS(tbl_Finance[Job Number],C133&amp;"",tbl_Finance[Cost Centre],"VIDEO")&gt;0,"VIDEO ","")&amp;IF(COUNTIFS(tbl_Finance[Job Number],C133&amp;"",tbl_Finance[Cost Centre],"INTEGRATION")&gt;0,"INTEGRATION ","")&amp;IF(COUNTIFS(tbl_Finance[Job Number],C133&amp;"",tbl_Finance[Cost Centre],"CONSULTING")&gt;0,"CONSULTING ","")&amp;IF(COUNTIFS(tbl_Finance[Job Number],C133&amp;"",tbl_Finance[Cost Centre],"CTS")&gt;0,"CTS ",""))," ",", ")))</f>
        <v/>
      </c>
      <c r="L133" s="22" t="n"/>
      <c r="M133" s="24" t="n"/>
      <c r="N133" s="25">
        <f>IF(M133="","",IF(AND(LEFT(M133,4)&lt;&gt;"http",set_RMSBase=""),"",HYPERLINK(IF(LEFT(M133,4)="http",M133,set_RMSBase&amp;M133),"Open opportunity")))</f>
        <v/>
      </c>
      <c r="O133" s="25">
        <f>IF(C133="","",C133)</f>
        <v/>
      </c>
      <c r="P133" s="24" t="n"/>
      <c r="Q133" s="26" t="n"/>
      <c r="R133" s="27">
        <f>IF(C133="","",H133+N(Q133))</f>
        <v/>
      </c>
      <c r="S133" s="29">
        <f>IFERROR(Q133/R133,"")</f>
        <v/>
      </c>
      <c r="T133" s="26" t="n"/>
      <c r="U133" s="26" t="n"/>
      <c r="V133" s="27">
        <f>IF(C133="","",N(T133)+N(U133))</f>
        <v/>
      </c>
      <c r="W133" s="27">
        <f>IF(C133="","",H133-V133)</f>
        <v/>
      </c>
      <c r="X133" s="29">
        <f>IFERROR(W133/H133,"")</f>
        <v/>
      </c>
      <c r="Y133" s="64" t="n"/>
      <c r="Z133" s="64" t="n"/>
      <c r="AA133" s="64" t="n"/>
      <c r="AB133" s="64" t="n"/>
      <c r="AC133" s="64" t="n"/>
      <c r="AD133" s="24" t="n"/>
    </row>
    <row r="134" ht="15" customHeight="1">
      <c r="A134" s="63">
        <f>IF(C134="","",IFERROR(IF(SUMPRODUCT(MAX((tbl_Finance[Job Number]=C134&amp;"")*(tbl_Finance[Xero Invoice No]&lt;&gt;"")*tbl_Finance[Date]))=0,"",SUMPRODUCT(MAX((tbl_Finance[Job Number]=C134&amp;"")*(tbl_Finance[Xero Invoice No]&lt;&gt;"")*tbl_Finance[Date]))),""))</f>
        <v/>
      </c>
      <c r="B134" s="25">
        <f>IF(C134="","",IF(COUNTIFS(tbl_Finance[Job Number],C134&amp;"",tbl_Finance[Xero Invoice No],"&lt;&gt;")=0,"",IFERROR(IF(COUNTIFS(tbl_Finance[Job Number],C134&amp;"",tbl_Finance[Xero Invoice No],LOOKUP(2,1/((tbl_Finance[Job Number]=C134&amp;"")*(tbl_Finance[Xero Invoice No]&lt;&gt;"")),tbl_Finance[Xero Invoice No]))=COUNTIFS(tbl_Finance[Job Number],C134&amp;"",tbl_Finance[Xero Invoice No],"&lt;&gt;"),LOOKUP(2,1/((tbl_Finance[Job Number]=C134&amp;"")*(tbl_Finance[Xero Invoice No]&lt;&gt;"")),tbl_Finance[Xero Invoice No]),LOOKUP(2,1/((tbl_Finance[Job Number]=C134&amp;"")*(tbl_Finance[Xero Invoice No]&lt;&gt;"")),tbl_Finance[Xero Invoice No])&amp;" +more"),"")))</f>
        <v/>
      </c>
      <c r="C134" s="24" t="n"/>
      <c r="D134" s="25">
        <f>IF(C134="","",IF(COUNTIF(lst_Jobs,C134&amp;"")&gt;0,"OK","CHECK"))</f>
        <v/>
      </c>
      <c r="E134" s="25">
        <f>IF(C134="","",IFERROR(INDEX(lst_JobName,MATCH(C134&amp;"",lst_Jobs,0)),""))</f>
        <v/>
      </c>
      <c r="F134" s="25">
        <f>IF(C134="","",IFERROR(INDEX(tbl_Finance[Client],MATCH(C134&amp;"",tbl_Finance[Job Number],0)),""))</f>
        <v/>
      </c>
      <c r="G134" s="28">
        <f>IF(C134="","",COUNTIFS(tbl_Finance[Job Number],C134&amp;"",tbl_Finance[Ex GST],"&lt;&gt;"))</f>
        <v/>
      </c>
      <c r="H134" s="27">
        <f>IF(C134="","",SUMIFS(tbl_Finance[Ex GST],tbl_Finance[Job Number],C134&amp;""))</f>
        <v/>
      </c>
      <c r="I134" s="27">
        <f>IF(C134="","",SUMIFS(tbl_Finance[Ex GST],tbl_Finance[Job Number],C134&amp;"",tbl_Finance[Xero Invoice No],"&lt;&gt;"))</f>
        <v/>
      </c>
      <c r="J134" s="27">
        <f>IF(C134="","",H134-I134)</f>
        <v/>
      </c>
      <c r="K134" s="25">
        <f>IF(C134="","",IF(G134=0,"not invoiced yet",SUBSTITUTE(TRIM(IF(COUNTIFS(tbl_Finance[Job Number],C134&amp;"",tbl_Finance[Cost Centre],"ONSITE")&gt;0,"ONSITE ","")&amp;IF(COUNTIFS(tbl_Finance[Job Number],C134&amp;"",tbl_Finance[Cost Centre],"PRODUCTION")&gt;0,"PRODUCTION ","")&amp;IF(COUNTIFS(tbl_Finance[Job Number],C134&amp;"",tbl_Finance[Cost Centre],"VIDEO")&gt;0,"VIDEO ","")&amp;IF(COUNTIFS(tbl_Finance[Job Number],C134&amp;"",tbl_Finance[Cost Centre],"INTEGRATION")&gt;0,"INTEGRATION ","")&amp;IF(COUNTIFS(tbl_Finance[Job Number],C134&amp;"",tbl_Finance[Cost Centre],"CONSULTING")&gt;0,"CONSULTING ","")&amp;IF(COUNTIFS(tbl_Finance[Job Number],C134&amp;"",tbl_Finance[Cost Centre],"CTS")&gt;0,"CTS ",""))," ",", ")))</f>
        <v/>
      </c>
      <c r="L134" s="22" t="n"/>
      <c r="M134" s="24" t="n"/>
      <c r="N134" s="25">
        <f>IF(M134="","",IF(AND(LEFT(M134,4)&lt;&gt;"http",set_RMSBase=""),"",HYPERLINK(IF(LEFT(M134,4)="http",M134,set_RMSBase&amp;M134),"Open opportunity")))</f>
        <v/>
      </c>
      <c r="O134" s="25">
        <f>IF(C134="","",C134)</f>
        <v/>
      </c>
      <c r="P134" s="24" t="n"/>
      <c r="Q134" s="26" t="n"/>
      <c r="R134" s="27">
        <f>IF(C134="","",H134+N(Q134))</f>
        <v/>
      </c>
      <c r="S134" s="29">
        <f>IFERROR(Q134/R134,"")</f>
        <v/>
      </c>
      <c r="T134" s="26" t="n"/>
      <c r="U134" s="26" t="n"/>
      <c r="V134" s="27">
        <f>IF(C134="","",N(T134)+N(U134))</f>
        <v/>
      </c>
      <c r="W134" s="27">
        <f>IF(C134="","",H134-V134)</f>
        <v/>
      </c>
      <c r="X134" s="29">
        <f>IFERROR(W134/H134,"")</f>
        <v/>
      </c>
      <c r="Y134" s="64" t="n"/>
      <c r="Z134" s="64" t="n"/>
      <c r="AA134" s="64" t="n"/>
      <c r="AB134" s="64" t="n"/>
      <c r="AC134" s="64" t="n"/>
      <c r="AD134" s="24" t="n"/>
    </row>
    <row r="135" ht="15" customHeight="1">
      <c r="A135" s="63">
        <f>IF(C135="","",IFERROR(IF(SUMPRODUCT(MAX((tbl_Finance[Job Number]=C135&amp;"")*(tbl_Finance[Xero Invoice No]&lt;&gt;"")*tbl_Finance[Date]))=0,"",SUMPRODUCT(MAX((tbl_Finance[Job Number]=C135&amp;"")*(tbl_Finance[Xero Invoice No]&lt;&gt;"")*tbl_Finance[Date]))),""))</f>
        <v/>
      </c>
      <c r="B135" s="25">
        <f>IF(C135="","",IF(COUNTIFS(tbl_Finance[Job Number],C135&amp;"",tbl_Finance[Xero Invoice No],"&lt;&gt;")=0,"",IFERROR(IF(COUNTIFS(tbl_Finance[Job Number],C135&amp;"",tbl_Finance[Xero Invoice No],LOOKUP(2,1/((tbl_Finance[Job Number]=C135&amp;"")*(tbl_Finance[Xero Invoice No]&lt;&gt;"")),tbl_Finance[Xero Invoice No]))=COUNTIFS(tbl_Finance[Job Number],C135&amp;"",tbl_Finance[Xero Invoice No],"&lt;&gt;"),LOOKUP(2,1/((tbl_Finance[Job Number]=C135&amp;"")*(tbl_Finance[Xero Invoice No]&lt;&gt;"")),tbl_Finance[Xero Invoice No]),LOOKUP(2,1/((tbl_Finance[Job Number]=C135&amp;"")*(tbl_Finance[Xero Invoice No]&lt;&gt;"")),tbl_Finance[Xero Invoice No])&amp;" +more"),"")))</f>
        <v/>
      </c>
      <c r="C135" s="24" t="n"/>
      <c r="D135" s="25">
        <f>IF(C135="","",IF(COUNTIF(lst_Jobs,C135&amp;"")&gt;0,"OK","CHECK"))</f>
        <v/>
      </c>
      <c r="E135" s="25">
        <f>IF(C135="","",IFERROR(INDEX(lst_JobName,MATCH(C135&amp;"",lst_Jobs,0)),""))</f>
        <v/>
      </c>
      <c r="F135" s="25">
        <f>IF(C135="","",IFERROR(INDEX(tbl_Finance[Client],MATCH(C135&amp;"",tbl_Finance[Job Number],0)),""))</f>
        <v/>
      </c>
      <c r="G135" s="28">
        <f>IF(C135="","",COUNTIFS(tbl_Finance[Job Number],C135&amp;"",tbl_Finance[Ex GST],"&lt;&gt;"))</f>
        <v/>
      </c>
      <c r="H135" s="27">
        <f>IF(C135="","",SUMIFS(tbl_Finance[Ex GST],tbl_Finance[Job Number],C135&amp;""))</f>
        <v/>
      </c>
      <c r="I135" s="27">
        <f>IF(C135="","",SUMIFS(tbl_Finance[Ex GST],tbl_Finance[Job Number],C135&amp;"",tbl_Finance[Xero Invoice No],"&lt;&gt;"))</f>
        <v/>
      </c>
      <c r="J135" s="27">
        <f>IF(C135="","",H135-I135)</f>
        <v/>
      </c>
      <c r="K135" s="25">
        <f>IF(C135="","",IF(G135=0,"not invoiced yet",SUBSTITUTE(TRIM(IF(COUNTIFS(tbl_Finance[Job Number],C135&amp;"",tbl_Finance[Cost Centre],"ONSITE")&gt;0,"ONSITE ","")&amp;IF(COUNTIFS(tbl_Finance[Job Number],C135&amp;"",tbl_Finance[Cost Centre],"PRODUCTION")&gt;0,"PRODUCTION ","")&amp;IF(COUNTIFS(tbl_Finance[Job Number],C135&amp;"",tbl_Finance[Cost Centre],"VIDEO")&gt;0,"VIDEO ","")&amp;IF(COUNTIFS(tbl_Finance[Job Number],C135&amp;"",tbl_Finance[Cost Centre],"INTEGRATION")&gt;0,"INTEGRATION ","")&amp;IF(COUNTIFS(tbl_Finance[Job Number],C135&amp;"",tbl_Finance[Cost Centre],"CONSULTING")&gt;0,"CONSULTING ","")&amp;IF(COUNTIFS(tbl_Finance[Job Number],C135&amp;"",tbl_Finance[Cost Centre],"CTS")&gt;0,"CTS ",""))," ",", ")))</f>
        <v/>
      </c>
      <c r="L135" s="22" t="n"/>
      <c r="M135" s="24" t="n"/>
      <c r="N135" s="25">
        <f>IF(M135="","",IF(AND(LEFT(M135,4)&lt;&gt;"http",set_RMSBase=""),"",HYPERLINK(IF(LEFT(M135,4)="http",M135,set_RMSBase&amp;M135),"Open opportunity")))</f>
        <v/>
      </c>
      <c r="O135" s="25">
        <f>IF(C135="","",C135)</f>
        <v/>
      </c>
      <c r="P135" s="24" t="n"/>
      <c r="Q135" s="26" t="n"/>
      <c r="R135" s="27">
        <f>IF(C135="","",H135+N(Q135))</f>
        <v/>
      </c>
      <c r="S135" s="29">
        <f>IFERROR(Q135/R135,"")</f>
        <v/>
      </c>
      <c r="T135" s="26" t="n"/>
      <c r="U135" s="26" t="n"/>
      <c r="V135" s="27">
        <f>IF(C135="","",N(T135)+N(U135))</f>
        <v/>
      </c>
      <c r="W135" s="27">
        <f>IF(C135="","",H135-V135)</f>
        <v/>
      </c>
      <c r="X135" s="29">
        <f>IFERROR(W135/H135,"")</f>
        <v/>
      </c>
      <c r="Y135" s="64" t="n"/>
      <c r="Z135" s="64" t="n"/>
      <c r="AA135" s="64" t="n"/>
      <c r="AB135" s="64" t="n"/>
      <c r="AC135" s="64" t="n"/>
      <c r="AD135" s="24" t="n"/>
    </row>
    <row r="136" ht="15" customHeight="1">
      <c r="A136" s="63">
        <f>IF(C136="","",IFERROR(IF(SUMPRODUCT(MAX((tbl_Finance[Job Number]=C136&amp;"")*(tbl_Finance[Xero Invoice No]&lt;&gt;"")*tbl_Finance[Date]))=0,"",SUMPRODUCT(MAX((tbl_Finance[Job Number]=C136&amp;"")*(tbl_Finance[Xero Invoice No]&lt;&gt;"")*tbl_Finance[Date]))),""))</f>
        <v/>
      </c>
      <c r="B136" s="25">
        <f>IF(C136="","",IF(COUNTIFS(tbl_Finance[Job Number],C136&amp;"",tbl_Finance[Xero Invoice No],"&lt;&gt;")=0,"",IFERROR(IF(COUNTIFS(tbl_Finance[Job Number],C136&amp;"",tbl_Finance[Xero Invoice No],LOOKUP(2,1/((tbl_Finance[Job Number]=C136&amp;"")*(tbl_Finance[Xero Invoice No]&lt;&gt;"")),tbl_Finance[Xero Invoice No]))=COUNTIFS(tbl_Finance[Job Number],C136&amp;"",tbl_Finance[Xero Invoice No],"&lt;&gt;"),LOOKUP(2,1/((tbl_Finance[Job Number]=C136&amp;"")*(tbl_Finance[Xero Invoice No]&lt;&gt;"")),tbl_Finance[Xero Invoice No]),LOOKUP(2,1/((tbl_Finance[Job Number]=C136&amp;"")*(tbl_Finance[Xero Invoice No]&lt;&gt;"")),tbl_Finance[Xero Invoice No])&amp;" +more"),"")))</f>
        <v/>
      </c>
      <c r="C136" s="24" t="n"/>
      <c r="D136" s="25">
        <f>IF(C136="","",IF(COUNTIF(lst_Jobs,C136&amp;"")&gt;0,"OK","CHECK"))</f>
        <v/>
      </c>
      <c r="E136" s="25">
        <f>IF(C136="","",IFERROR(INDEX(lst_JobName,MATCH(C136&amp;"",lst_Jobs,0)),""))</f>
        <v/>
      </c>
      <c r="F136" s="25">
        <f>IF(C136="","",IFERROR(INDEX(tbl_Finance[Client],MATCH(C136&amp;"",tbl_Finance[Job Number],0)),""))</f>
        <v/>
      </c>
      <c r="G136" s="28">
        <f>IF(C136="","",COUNTIFS(tbl_Finance[Job Number],C136&amp;"",tbl_Finance[Ex GST],"&lt;&gt;"))</f>
        <v/>
      </c>
      <c r="H136" s="27">
        <f>IF(C136="","",SUMIFS(tbl_Finance[Ex GST],tbl_Finance[Job Number],C136&amp;""))</f>
        <v/>
      </c>
      <c r="I136" s="27">
        <f>IF(C136="","",SUMIFS(tbl_Finance[Ex GST],tbl_Finance[Job Number],C136&amp;"",tbl_Finance[Xero Invoice No],"&lt;&gt;"))</f>
        <v/>
      </c>
      <c r="J136" s="27">
        <f>IF(C136="","",H136-I136)</f>
        <v/>
      </c>
      <c r="K136" s="25">
        <f>IF(C136="","",IF(G136=0,"not invoiced yet",SUBSTITUTE(TRIM(IF(COUNTIFS(tbl_Finance[Job Number],C136&amp;"",tbl_Finance[Cost Centre],"ONSITE")&gt;0,"ONSITE ","")&amp;IF(COUNTIFS(tbl_Finance[Job Number],C136&amp;"",tbl_Finance[Cost Centre],"PRODUCTION")&gt;0,"PRODUCTION ","")&amp;IF(COUNTIFS(tbl_Finance[Job Number],C136&amp;"",tbl_Finance[Cost Centre],"VIDEO")&gt;0,"VIDEO ","")&amp;IF(COUNTIFS(tbl_Finance[Job Number],C136&amp;"",tbl_Finance[Cost Centre],"INTEGRATION")&gt;0,"INTEGRATION ","")&amp;IF(COUNTIFS(tbl_Finance[Job Number],C136&amp;"",tbl_Finance[Cost Centre],"CONSULTING")&gt;0,"CONSULTING ","")&amp;IF(COUNTIFS(tbl_Finance[Job Number],C136&amp;"",tbl_Finance[Cost Centre],"CTS")&gt;0,"CTS ",""))," ",", ")))</f>
        <v/>
      </c>
      <c r="L136" s="22" t="n"/>
      <c r="M136" s="24" t="n"/>
      <c r="N136" s="25">
        <f>IF(M136="","",IF(AND(LEFT(M136,4)&lt;&gt;"http",set_RMSBase=""),"",HYPERLINK(IF(LEFT(M136,4)="http",M136,set_RMSBase&amp;M136),"Open opportunity")))</f>
        <v/>
      </c>
      <c r="O136" s="25">
        <f>IF(C136="","",C136)</f>
        <v/>
      </c>
      <c r="P136" s="24" t="n"/>
      <c r="Q136" s="26" t="n"/>
      <c r="R136" s="27">
        <f>IF(C136="","",H136+N(Q136))</f>
        <v/>
      </c>
      <c r="S136" s="29">
        <f>IFERROR(Q136/R136,"")</f>
        <v/>
      </c>
      <c r="T136" s="26" t="n"/>
      <c r="U136" s="26" t="n"/>
      <c r="V136" s="27">
        <f>IF(C136="","",N(T136)+N(U136))</f>
        <v/>
      </c>
      <c r="W136" s="27">
        <f>IF(C136="","",H136-V136)</f>
        <v/>
      </c>
      <c r="X136" s="29">
        <f>IFERROR(W136/H136,"")</f>
        <v/>
      </c>
      <c r="Y136" s="64" t="n"/>
      <c r="Z136" s="64" t="n"/>
      <c r="AA136" s="64" t="n"/>
      <c r="AB136" s="64" t="n"/>
      <c r="AC136" s="64" t="n"/>
      <c r="AD136" s="24" t="n"/>
    </row>
    <row r="137" ht="15" customHeight="1">
      <c r="A137" s="63">
        <f>IF(C137="","",IFERROR(IF(SUMPRODUCT(MAX((tbl_Finance[Job Number]=C137&amp;"")*(tbl_Finance[Xero Invoice No]&lt;&gt;"")*tbl_Finance[Date]))=0,"",SUMPRODUCT(MAX((tbl_Finance[Job Number]=C137&amp;"")*(tbl_Finance[Xero Invoice No]&lt;&gt;"")*tbl_Finance[Date]))),""))</f>
        <v/>
      </c>
      <c r="B137" s="25">
        <f>IF(C137="","",IF(COUNTIFS(tbl_Finance[Job Number],C137&amp;"",tbl_Finance[Xero Invoice No],"&lt;&gt;")=0,"",IFERROR(IF(COUNTIFS(tbl_Finance[Job Number],C137&amp;"",tbl_Finance[Xero Invoice No],LOOKUP(2,1/((tbl_Finance[Job Number]=C137&amp;"")*(tbl_Finance[Xero Invoice No]&lt;&gt;"")),tbl_Finance[Xero Invoice No]))=COUNTIFS(tbl_Finance[Job Number],C137&amp;"",tbl_Finance[Xero Invoice No],"&lt;&gt;"),LOOKUP(2,1/((tbl_Finance[Job Number]=C137&amp;"")*(tbl_Finance[Xero Invoice No]&lt;&gt;"")),tbl_Finance[Xero Invoice No]),LOOKUP(2,1/((tbl_Finance[Job Number]=C137&amp;"")*(tbl_Finance[Xero Invoice No]&lt;&gt;"")),tbl_Finance[Xero Invoice No])&amp;" +more"),"")))</f>
        <v/>
      </c>
      <c r="C137" s="24" t="n"/>
      <c r="D137" s="25">
        <f>IF(C137="","",IF(COUNTIF(lst_Jobs,C137&amp;"")&gt;0,"OK","CHECK"))</f>
        <v/>
      </c>
      <c r="E137" s="25">
        <f>IF(C137="","",IFERROR(INDEX(lst_JobName,MATCH(C137&amp;"",lst_Jobs,0)),""))</f>
        <v/>
      </c>
      <c r="F137" s="25">
        <f>IF(C137="","",IFERROR(INDEX(tbl_Finance[Client],MATCH(C137&amp;"",tbl_Finance[Job Number],0)),""))</f>
        <v/>
      </c>
      <c r="G137" s="28">
        <f>IF(C137="","",COUNTIFS(tbl_Finance[Job Number],C137&amp;"",tbl_Finance[Ex GST],"&lt;&gt;"))</f>
        <v/>
      </c>
      <c r="H137" s="27">
        <f>IF(C137="","",SUMIFS(tbl_Finance[Ex GST],tbl_Finance[Job Number],C137&amp;""))</f>
        <v/>
      </c>
      <c r="I137" s="27">
        <f>IF(C137="","",SUMIFS(tbl_Finance[Ex GST],tbl_Finance[Job Number],C137&amp;"",tbl_Finance[Xero Invoice No],"&lt;&gt;"))</f>
        <v/>
      </c>
      <c r="J137" s="27">
        <f>IF(C137="","",H137-I137)</f>
        <v/>
      </c>
      <c r="K137" s="25">
        <f>IF(C137="","",IF(G137=0,"not invoiced yet",SUBSTITUTE(TRIM(IF(COUNTIFS(tbl_Finance[Job Number],C137&amp;"",tbl_Finance[Cost Centre],"ONSITE")&gt;0,"ONSITE ","")&amp;IF(COUNTIFS(tbl_Finance[Job Number],C137&amp;"",tbl_Finance[Cost Centre],"PRODUCTION")&gt;0,"PRODUCTION ","")&amp;IF(COUNTIFS(tbl_Finance[Job Number],C137&amp;"",tbl_Finance[Cost Centre],"VIDEO")&gt;0,"VIDEO ","")&amp;IF(COUNTIFS(tbl_Finance[Job Number],C137&amp;"",tbl_Finance[Cost Centre],"INTEGRATION")&gt;0,"INTEGRATION ","")&amp;IF(COUNTIFS(tbl_Finance[Job Number],C137&amp;"",tbl_Finance[Cost Centre],"CONSULTING")&gt;0,"CONSULTING ","")&amp;IF(COUNTIFS(tbl_Finance[Job Number],C137&amp;"",tbl_Finance[Cost Centre],"CTS")&gt;0,"CTS ",""))," ",", ")))</f>
        <v/>
      </c>
      <c r="L137" s="22" t="n"/>
      <c r="M137" s="24" t="n"/>
      <c r="N137" s="25">
        <f>IF(M137="","",IF(AND(LEFT(M137,4)&lt;&gt;"http",set_RMSBase=""),"",HYPERLINK(IF(LEFT(M137,4)="http",M137,set_RMSBase&amp;M137),"Open opportunity")))</f>
        <v/>
      </c>
      <c r="O137" s="25">
        <f>IF(C137="","",C137)</f>
        <v/>
      </c>
      <c r="P137" s="24" t="n"/>
      <c r="Q137" s="26" t="n"/>
      <c r="R137" s="27">
        <f>IF(C137="","",H137+N(Q137))</f>
        <v/>
      </c>
      <c r="S137" s="29">
        <f>IFERROR(Q137/R137,"")</f>
        <v/>
      </c>
      <c r="T137" s="26" t="n"/>
      <c r="U137" s="26" t="n"/>
      <c r="V137" s="27">
        <f>IF(C137="","",N(T137)+N(U137))</f>
        <v/>
      </c>
      <c r="W137" s="27">
        <f>IF(C137="","",H137-V137)</f>
        <v/>
      </c>
      <c r="X137" s="29">
        <f>IFERROR(W137/H137,"")</f>
        <v/>
      </c>
      <c r="Y137" s="64" t="n"/>
      <c r="Z137" s="64" t="n"/>
      <c r="AA137" s="64" t="n"/>
      <c r="AB137" s="64" t="n"/>
      <c r="AC137" s="64" t="n"/>
      <c r="AD137" s="24" t="n"/>
    </row>
    <row r="138" ht="15" customHeight="1">
      <c r="A138" s="63">
        <f>IF(C138="","",IFERROR(IF(SUMPRODUCT(MAX((tbl_Finance[Job Number]=C138&amp;"")*(tbl_Finance[Xero Invoice No]&lt;&gt;"")*tbl_Finance[Date]))=0,"",SUMPRODUCT(MAX((tbl_Finance[Job Number]=C138&amp;"")*(tbl_Finance[Xero Invoice No]&lt;&gt;"")*tbl_Finance[Date]))),""))</f>
        <v/>
      </c>
      <c r="B138" s="25">
        <f>IF(C138="","",IF(COUNTIFS(tbl_Finance[Job Number],C138&amp;"",tbl_Finance[Xero Invoice No],"&lt;&gt;")=0,"",IFERROR(IF(COUNTIFS(tbl_Finance[Job Number],C138&amp;"",tbl_Finance[Xero Invoice No],LOOKUP(2,1/((tbl_Finance[Job Number]=C138&amp;"")*(tbl_Finance[Xero Invoice No]&lt;&gt;"")),tbl_Finance[Xero Invoice No]))=COUNTIFS(tbl_Finance[Job Number],C138&amp;"",tbl_Finance[Xero Invoice No],"&lt;&gt;"),LOOKUP(2,1/((tbl_Finance[Job Number]=C138&amp;"")*(tbl_Finance[Xero Invoice No]&lt;&gt;"")),tbl_Finance[Xero Invoice No]),LOOKUP(2,1/((tbl_Finance[Job Number]=C138&amp;"")*(tbl_Finance[Xero Invoice No]&lt;&gt;"")),tbl_Finance[Xero Invoice No])&amp;" +more"),"")))</f>
        <v/>
      </c>
      <c r="C138" s="24" t="n"/>
      <c r="D138" s="25">
        <f>IF(C138="","",IF(COUNTIF(lst_Jobs,C138&amp;"")&gt;0,"OK","CHECK"))</f>
        <v/>
      </c>
      <c r="E138" s="25">
        <f>IF(C138="","",IFERROR(INDEX(lst_JobName,MATCH(C138&amp;"",lst_Jobs,0)),""))</f>
        <v/>
      </c>
      <c r="F138" s="25">
        <f>IF(C138="","",IFERROR(INDEX(tbl_Finance[Client],MATCH(C138&amp;"",tbl_Finance[Job Number],0)),""))</f>
        <v/>
      </c>
      <c r="G138" s="28">
        <f>IF(C138="","",COUNTIFS(tbl_Finance[Job Number],C138&amp;"",tbl_Finance[Ex GST],"&lt;&gt;"))</f>
        <v/>
      </c>
      <c r="H138" s="27">
        <f>IF(C138="","",SUMIFS(tbl_Finance[Ex GST],tbl_Finance[Job Number],C138&amp;""))</f>
        <v/>
      </c>
      <c r="I138" s="27">
        <f>IF(C138="","",SUMIFS(tbl_Finance[Ex GST],tbl_Finance[Job Number],C138&amp;"",tbl_Finance[Xero Invoice No],"&lt;&gt;"))</f>
        <v/>
      </c>
      <c r="J138" s="27">
        <f>IF(C138="","",H138-I138)</f>
        <v/>
      </c>
      <c r="K138" s="25">
        <f>IF(C138="","",IF(G138=0,"not invoiced yet",SUBSTITUTE(TRIM(IF(COUNTIFS(tbl_Finance[Job Number],C138&amp;"",tbl_Finance[Cost Centre],"ONSITE")&gt;0,"ONSITE ","")&amp;IF(COUNTIFS(tbl_Finance[Job Number],C138&amp;"",tbl_Finance[Cost Centre],"PRODUCTION")&gt;0,"PRODUCTION ","")&amp;IF(COUNTIFS(tbl_Finance[Job Number],C138&amp;"",tbl_Finance[Cost Centre],"VIDEO")&gt;0,"VIDEO ","")&amp;IF(COUNTIFS(tbl_Finance[Job Number],C138&amp;"",tbl_Finance[Cost Centre],"INTEGRATION")&gt;0,"INTEGRATION ","")&amp;IF(COUNTIFS(tbl_Finance[Job Number],C138&amp;"",tbl_Finance[Cost Centre],"CONSULTING")&gt;0,"CONSULTING ","")&amp;IF(COUNTIFS(tbl_Finance[Job Number],C138&amp;"",tbl_Finance[Cost Centre],"CTS")&gt;0,"CTS ",""))," ",", ")))</f>
        <v/>
      </c>
      <c r="L138" s="22" t="n"/>
      <c r="M138" s="24" t="n"/>
      <c r="N138" s="25">
        <f>IF(M138="","",IF(AND(LEFT(M138,4)&lt;&gt;"http",set_RMSBase=""),"",HYPERLINK(IF(LEFT(M138,4)="http",M138,set_RMSBase&amp;M138),"Open opportunity")))</f>
        <v/>
      </c>
      <c r="O138" s="25">
        <f>IF(C138="","",C138)</f>
        <v/>
      </c>
      <c r="P138" s="24" t="n"/>
      <c r="Q138" s="26" t="n"/>
      <c r="R138" s="27">
        <f>IF(C138="","",H138+N(Q138))</f>
        <v/>
      </c>
      <c r="S138" s="29">
        <f>IFERROR(Q138/R138,"")</f>
        <v/>
      </c>
      <c r="T138" s="26" t="n"/>
      <c r="U138" s="26" t="n"/>
      <c r="V138" s="27">
        <f>IF(C138="","",N(T138)+N(U138))</f>
        <v/>
      </c>
      <c r="W138" s="27">
        <f>IF(C138="","",H138-V138)</f>
        <v/>
      </c>
      <c r="X138" s="29">
        <f>IFERROR(W138/H138,"")</f>
        <v/>
      </c>
      <c r="Y138" s="64" t="n"/>
      <c r="Z138" s="64" t="n"/>
      <c r="AA138" s="64" t="n"/>
      <c r="AB138" s="64" t="n"/>
      <c r="AC138" s="64" t="n"/>
      <c r="AD138" s="24" t="n"/>
    </row>
    <row r="139" ht="15" customHeight="1">
      <c r="A139" s="63">
        <f>IF(C139="","",IFERROR(IF(SUMPRODUCT(MAX((tbl_Finance[Job Number]=C139&amp;"")*(tbl_Finance[Xero Invoice No]&lt;&gt;"")*tbl_Finance[Date]))=0,"",SUMPRODUCT(MAX((tbl_Finance[Job Number]=C139&amp;"")*(tbl_Finance[Xero Invoice No]&lt;&gt;"")*tbl_Finance[Date]))),""))</f>
        <v/>
      </c>
      <c r="B139" s="25">
        <f>IF(C139="","",IF(COUNTIFS(tbl_Finance[Job Number],C139&amp;"",tbl_Finance[Xero Invoice No],"&lt;&gt;")=0,"",IFERROR(IF(COUNTIFS(tbl_Finance[Job Number],C139&amp;"",tbl_Finance[Xero Invoice No],LOOKUP(2,1/((tbl_Finance[Job Number]=C139&amp;"")*(tbl_Finance[Xero Invoice No]&lt;&gt;"")),tbl_Finance[Xero Invoice No]))=COUNTIFS(tbl_Finance[Job Number],C139&amp;"",tbl_Finance[Xero Invoice No],"&lt;&gt;"),LOOKUP(2,1/((tbl_Finance[Job Number]=C139&amp;"")*(tbl_Finance[Xero Invoice No]&lt;&gt;"")),tbl_Finance[Xero Invoice No]),LOOKUP(2,1/((tbl_Finance[Job Number]=C139&amp;"")*(tbl_Finance[Xero Invoice No]&lt;&gt;"")),tbl_Finance[Xero Invoice No])&amp;" +more"),"")))</f>
        <v/>
      </c>
      <c r="C139" s="24" t="n"/>
      <c r="D139" s="25">
        <f>IF(C139="","",IF(COUNTIF(lst_Jobs,C139&amp;"")&gt;0,"OK","CHECK"))</f>
        <v/>
      </c>
      <c r="E139" s="25">
        <f>IF(C139="","",IFERROR(INDEX(lst_JobName,MATCH(C139&amp;"",lst_Jobs,0)),""))</f>
        <v/>
      </c>
      <c r="F139" s="25">
        <f>IF(C139="","",IFERROR(INDEX(tbl_Finance[Client],MATCH(C139&amp;"",tbl_Finance[Job Number],0)),""))</f>
        <v/>
      </c>
      <c r="G139" s="28">
        <f>IF(C139="","",COUNTIFS(tbl_Finance[Job Number],C139&amp;"",tbl_Finance[Ex GST],"&lt;&gt;"))</f>
        <v/>
      </c>
      <c r="H139" s="27">
        <f>IF(C139="","",SUMIFS(tbl_Finance[Ex GST],tbl_Finance[Job Number],C139&amp;""))</f>
        <v/>
      </c>
      <c r="I139" s="27">
        <f>IF(C139="","",SUMIFS(tbl_Finance[Ex GST],tbl_Finance[Job Number],C139&amp;"",tbl_Finance[Xero Invoice No],"&lt;&gt;"))</f>
        <v/>
      </c>
      <c r="J139" s="27">
        <f>IF(C139="","",H139-I139)</f>
        <v/>
      </c>
      <c r="K139" s="25">
        <f>IF(C139="","",IF(G139=0,"not invoiced yet",SUBSTITUTE(TRIM(IF(COUNTIFS(tbl_Finance[Job Number],C139&amp;"",tbl_Finance[Cost Centre],"ONSITE")&gt;0,"ONSITE ","")&amp;IF(COUNTIFS(tbl_Finance[Job Number],C139&amp;"",tbl_Finance[Cost Centre],"PRODUCTION")&gt;0,"PRODUCTION ","")&amp;IF(COUNTIFS(tbl_Finance[Job Number],C139&amp;"",tbl_Finance[Cost Centre],"VIDEO")&gt;0,"VIDEO ","")&amp;IF(COUNTIFS(tbl_Finance[Job Number],C139&amp;"",tbl_Finance[Cost Centre],"INTEGRATION")&gt;0,"INTEGRATION ","")&amp;IF(COUNTIFS(tbl_Finance[Job Number],C139&amp;"",tbl_Finance[Cost Centre],"CONSULTING")&gt;0,"CONSULTING ","")&amp;IF(COUNTIFS(tbl_Finance[Job Number],C139&amp;"",tbl_Finance[Cost Centre],"CTS")&gt;0,"CTS ",""))," ",", ")))</f>
        <v/>
      </c>
      <c r="L139" s="22" t="n"/>
      <c r="M139" s="24" t="n"/>
      <c r="N139" s="25">
        <f>IF(M139="","",IF(AND(LEFT(M139,4)&lt;&gt;"http",set_RMSBase=""),"",HYPERLINK(IF(LEFT(M139,4)="http",M139,set_RMSBase&amp;M139),"Open opportunity")))</f>
        <v/>
      </c>
      <c r="O139" s="25">
        <f>IF(C139="","",C139)</f>
        <v/>
      </c>
      <c r="P139" s="24" t="n"/>
      <c r="Q139" s="26" t="n"/>
      <c r="R139" s="27">
        <f>IF(C139="","",H139+N(Q139))</f>
        <v/>
      </c>
      <c r="S139" s="29">
        <f>IFERROR(Q139/R139,"")</f>
        <v/>
      </c>
      <c r="T139" s="26" t="n"/>
      <c r="U139" s="26" t="n"/>
      <c r="V139" s="27">
        <f>IF(C139="","",N(T139)+N(U139))</f>
        <v/>
      </c>
      <c r="W139" s="27">
        <f>IF(C139="","",H139-V139)</f>
        <v/>
      </c>
      <c r="X139" s="29">
        <f>IFERROR(W139/H139,"")</f>
        <v/>
      </c>
      <c r="Y139" s="64" t="n"/>
      <c r="Z139" s="64" t="n"/>
      <c r="AA139" s="64" t="n"/>
      <c r="AB139" s="64" t="n"/>
      <c r="AC139" s="64" t="n"/>
      <c r="AD139" s="24" t="n"/>
    </row>
    <row r="140" ht="15" customHeight="1">
      <c r="A140" s="63">
        <f>IF(C140="","",IFERROR(IF(SUMPRODUCT(MAX((tbl_Finance[Job Number]=C140&amp;"")*(tbl_Finance[Xero Invoice No]&lt;&gt;"")*tbl_Finance[Date]))=0,"",SUMPRODUCT(MAX((tbl_Finance[Job Number]=C140&amp;"")*(tbl_Finance[Xero Invoice No]&lt;&gt;"")*tbl_Finance[Date]))),""))</f>
        <v/>
      </c>
      <c r="B140" s="25">
        <f>IF(C140="","",IF(COUNTIFS(tbl_Finance[Job Number],C140&amp;"",tbl_Finance[Xero Invoice No],"&lt;&gt;")=0,"",IFERROR(IF(COUNTIFS(tbl_Finance[Job Number],C140&amp;"",tbl_Finance[Xero Invoice No],LOOKUP(2,1/((tbl_Finance[Job Number]=C140&amp;"")*(tbl_Finance[Xero Invoice No]&lt;&gt;"")),tbl_Finance[Xero Invoice No]))=COUNTIFS(tbl_Finance[Job Number],C140&amp;"",tbl_Finance[Xero Invoice No],"&lt;&gt;"),LOOKUP(2,1/((tbl_Finance[Job Number]=C140&amp;"")*(tbl_Finance[Xero Invoice No]&lt;&gt;"")),tbl_Finance[Xero Invoice No]),LOOKUP(2,1/((tbl_Finance[Job Number]=C140&amp;"")*(tbl_Finance[Xero Invoice No]&lt;&gt;"")),tbl_Finance[Xero Invoice No])&amp;" +more"),"")))</f>
        <v/>
      </c>
      <c r="C140" s="24" t="n"/>
      <c r="D140" s="25">
        <f>IF(C140="","",IF(COUNTIF(lst_Jobs,C140&amp;"")&gt;0,"OK","CHECK"))</f>
        <v/>
      </c>
      <c r="E140" s="25">
        <f>IF(C140="","",IFERROR(INDEX(lst_JobName,MATCH(C140&amp;"",lst_Jobs,0)),""))</f>
        <v/>
      </c>
      <c r="F140" s="25">
        <f>IF(C140="","",IFERROR(INDEX(tbl_Finance[Client],MATCH(C140&amp;"",tbl_Finance[Job Number],0)),""))</f>
        <v/>
      </c>
      <c r="G140" s="28">
        <f>IF(C140="","",COUNTIFS(tbl_Finance[Job Number],C140&amp;"",tbl_Finance[Ex GST],"&lt;&gt;"))</f>
        <v/>
      </c>
      <c r="H140" s="27">
        <f>IF(C140="","",SUMIFS(tbl_Finance[Ex GST],tbl_Finance[Job Number],C140&amp;""))</f>
        <v/>
      </c>
      <c r="I140" s="27">
        <f>IF(C140="","",SUMIFS(tbl_Finance[Ex GST],tbl_Finance[Job Number],C140&amp;"",tbl_Finance[Xero Invoice No],"&lt;&gt;"))</f>
        <v/>
      </c>
      <c r="J140" s="27">
        <f>IF(C140="","",H140-I140)</f>
        <v/>
      </c>
      <c r="K140" s="25">
        <f>IF(C140="","",IF(G140=0,"not invoiced yet",SUBSTITUTE(TRIM(IF(COUNTIFS(tbl_Finance[Job Number],C140&amp;"",tbl_Finance[Cost Centre],"ONSITE")&gt;0,"ONSITE ","")&amp;IF(COUNTIFS(tbl_Finance[Job Number],C140&amp;"",tbl_Finance[Cost Centre],"PRODUCTION")&gt;0,"PRODUCTION ","")&amp;IF(COUNTIFS(tbl_Finance[Job Number],C140&amp;"",tbl_Finance[Cost Centre],"VIDEO")&gt;0,"VIDEO ","")&amp;IF(COUNTIFS(tbl_Finance[Job Number],C140&amp;"",tbl_Finance[Cost Centre],"INTEGRATION")&gt;0,"INTEGRATION ","")&amp;IF(COUNTIFS(tbl_Finance[Job Number],C140&amp;"",tbl_Finance[Cost Centre],"CONSULTING")&gt;0,"CONSULTING ","")&amp;IF(COUNTIFS(tbl_Finance[Job Number],C140&amp;"",tbl_Finance[Cost Centre],"CTS")&gt;0,"CTS ",""))," ",", ")))</f>
        <v/>
      </c>
      <c r="L140" s="22" t="n"/>
      <c r="M140" s="24" t="n"/>
      <c r="N140" s="25">
        <f>IF(M140="","",IF(AND(LEFT(M140,4)&lt;&gt;"http",set_RMSBase=""),"",HYPERLINK(IF(LEFT(M140,4)="http",M140,set_RMSBase&amp;M140),"Open opportunity")))</f>
        <v/>
      </c>
      <c r="O140" s="25">
        <f>IF(C140="","",C140)</f>
        <v/>
      </c>
      <c r="P140" s="24" t="n"/>
      <c r="Q140" s="26" t="n"/>
      <c r="R140" s="27">
        <f>IF(C140="","",H140+N(Q140))</f>
        <v/>
      </c>
      <c r="S140" s="29">
        <f>IFERROR(Q140/R140,"")</f>
        <v/>
      </c>
      <c r="T140" s="26" t="n"/>
      <c r="U140" s="26" t="n"/>
      <c r="V140" s="27">
        <f>IF(C140="","",N(T140)+N(U140))</f>
        <v/>
      </c>
      <c r="W140" s="27">
        <f>IF(C140="","",H140-V140)</f>
        <v/>
      </c>
      <c r="X140" s="29">
        <f>IFERROR(W140/H140,"")</f>
        <v/>
      </c>
      <c r="Y140" s="64" t="n"/>
      <c r="Z140" s="64" t="n"/>
      <c r="AA140" s="64" t="n"/>
      <c r="AB140" s="64" t="n"/>
      <c r="AC140" s="64" t="n"/>
      <c r="AD140" s="24" t="n"/>
    </row>
    <row r="141" ht="15" customHeight="1">
      <c r="A141" s="63">
        <f>IF(C141="","",IFERROR(IF(SUMPRODUCT(MAX((tbl_Finance[Job Number]=C141&amp;"")*(tbl_Finance[Xero Invoice No]&lt;&gt;"")*tbl_Finance[Date]))=0,"",SUMPRODUCT(MAX((tbl_Finance[Job Number]=C141&amp;"")*(tbl_Finance[Xero Invoice No]&lt;&gt;"")*tbl_Finance[Date]))),""))</f>
        <v/>
      </c>
      <c r="B141" s="25">
        <f>IF(C141="","",IF(COUNTIFS(tbl_Finance[Job Number],C141&amp;"",tbl_Finance[Xero Invoice No],"&lt;&gt;")=0,"",IFERROR(IF(COUNTIFS(tbl_Finance[Job Number],C141&amp;"",tbl_Finance[Xero Invoice No],LOOKUP(2,1/((tbl_Finance[Job Number]=C141&amp;"")*(tbl_Finance[Xero Invoice No]&lt;&gt;"")),tbl_Finance[Xero Invoice No]))=COUNTIFS(tbl_Finance[Job Number],C141&amp;"",tbl_Finance[Xero Invoice No],"&lt;&gt;"),LOOKUP(2,1/((tbl_Finance[Job Number]=C141&amp;"")*(tbl_Finance[Xero Invoice No]&lt;&gt;"")),tbl_Finance[Xero Invoice No]),LOOKUP(2,1/((tbl_Finance[Job Number]=C141&amp;"")*(tbl_Finance[Xero Invoice No]&lt;&gt;"")),tbl_Finance[Xero Invoice No])&amp;" +more"),"")))</f>
        <v/>
      </c>
      <c r="C141" s="24" t="n"/>
      <c r="D141" s="25">
        <f>IF(C141="","",IF(COUNTIF(lst_Jobs,C141&amp;"")&gt;0,"OK","CHECK"))</f>
        <v/>
      </c>
      <c r="E141" s="25">
        <f>IF(C141="","",IFERROR(INDEX(lst_JobName,MATCH(C141&amp;"",lst_Jobs,0)),""))</f>
        <v/>
      </c>
      <c r="F141" s="25">
        <f>IF(C141="","",IFERROR(INDEX(tbl_Finance[Client],MATCH(C141&amp;"",tbl_Finance[Job Number],0)),""))</f>
        <v/>
      </c>
      <c r="G141" s="28">
        <f>IF(C141="","",COUNTIFS(tbl_Finance[Job Number],C141&amp;"",tbl_Finance[Ex GST],"&lt;&gt;"))</f>
        <v/>
      </c>
      <c r="H141" s="27">
        <f>IF(C141="","",SUMIFS(tbl_Finance[Ex GST],tbl_Finance[Job Number],C141&amp;""))</f>
        <v/>
      </c>
      <c r="I141" s="27">
        <f>IF(C141="","",SUMIFS(tbl_Finance[Ex GST],tbl_Finance[Job Number],C141&amp;"",tbl_Finance[Xero Invoice No],"&lt;&gt;"))</f>
        <v/>
      </c>
      <c r="J141" s="27">
        <f>IF(C141="","",H141-I141)</f>
        <v/>
      </c>
      <c r="K141" s="25">
        <f>IF(C141="","",IF(G141=0,"not invoiced yet",SUBSTITUTE(TRIM(IF(COUNTIFS(tbl_Finance[Job Number],C141&amp;"",tbl_Finance[Cost Centre],"ONSITE")&gt;0,"ONSITE ","")&amp;IF(COUNTIFS(tbl_Finance[Job Number],C141&amp;"",tbl_Finance[Cost Centre],"PRODUCTION")&gt;0,"PRODUCTION ","")&amp;IF(COUNTIFS(tbl_Finance[Job Number],C141&amp;"",tbl_Finance[Cost Centre],"VIDEO")&gt;0,"VIDEO ","")&amp;IF(COUNTIFS(tbl_Finance[Job Number],C141&amp;"",tbl_Finance[Cost Centre],"INTEGRATION")&gt;0,"INTEGRATION ","")&amp;IF(COUNTIFS(tbl_Finance[Job Number],C141&amp;"",tbl_Finance[Cost Centre],"CONSULTING")&gt;0,"CONSULTING ","")&amp;IF(COUNTIFS(tbl_Finance[Job Number],C141&amp;"",tbl_Finance[Cost Centre],"CTS")&gt;0,"CTS ",""))," ",", ")))</f>
        <v/>
      </c>
      <c r="L141" s="22" t="n"/>
      <c r="M141" s="24" t="n"/>
      <c r="N141" s="25">
        <f>IF(M141="","",IF(AND(LEFT(M141,4)&lt;&gt;"http",set_RMSBase=""),"",HYPERLINK(IF(LEFT(M141,4)="http",M141,set_RMSBase&amp;M141),"Open opportunity")))</f>
        <v/>
      </c>
      <c r="O141" s="25">
        <f>IF(C141="","",C141)</f>
        <v/>
      </c>
      <c r="P141" s="24" t="n"/>
      <c r="Q141" s="26" t="n"/>
      <c r="R141" s="27">
        <f>IF(C141="","",H141+N(Q141))</f>
        <v/>
      </c>
      <c r="S141" s="29">
        <f>IFERROR(Q141/R141,"")</f>
        <v/>
      </c>
      <c r="T141" s="26" t="n"/>
      <c r="U141" s="26" t="n"/>
      <c r="V141" s="27">
        <f>IF(C141="","",N(T141)+N(U141))</f>
        <v/>
      </c>
      <c r="W141" s="27">
        <f>IF(C141="","",H141-V141)</f>
        <v/>
      </c>
      <c r="X141" s="29">
        <f>IFERROR(W141/H141,"")</f>
        <v/>
      </c>
      <c r="Y141" s="64" t="n"/>
      <c r="Z141" s="64" t="n"/>
      <c r="AA141" s="64" t="n"/>
      <c r="AB141" s="64" t="n"/>
      <c r="AC141" s="64" t="n"/>
      <c r="AD141" s="24" t="n"/>
    </row>
    <row r="142" ht="15" customHeight="1">
      <c r="A142" s="63">
        <f>IF(C142="","",IFERROR(IF(SUMPRODUCT(MAX((tbl_Finance[Job Number]=C142&amp;"")*(tbl_Finance[Xero Invoice No]&lt;&gt;"")*tbl_Finance[Date]))=0,"",SUMPRODUCT(MAX((tbl_Finance[Job Number]=C142&amp;"")*(tbl_Finance[Xero Invoice No]&lt;&gt;"")*tbl_Finance[Date]))),""))</f>
        <v/>
      </c>
      <c r="B142" s="25">
        <f>IF(C142="","",IF(COUNTIFS(tbl_Finance[Job Number],C142&amp;"",tbl_Finance[Xero Invoice No],"&lt;&gt;")=0,"",IFERROR(IF(COUNTIFS(tbl_Finance[Job Number],C142&amp;"",tbl_Finance[Xero Invoice No],LOOKUP(2,1/((tbl_Finance[Job Number]=C142&amp;"")*(tbl_Finance[Xero Invoice No]&lt;&gt;"")),tbl_Finance[Xero Invoice No]))=COUNTIFS(tbl_Finance[Job Number],C142&amp;"",tbl_Finance[Xero Invoice No],"&lt;&gt;"),LOOKUP(2,1/((tbl_Finance[Job Number]=C142&amp;"")*(tbl_Finance[Xero Invoice No]&lt;&gt;"")),tbl_Finance[Xero Invoice No]),LOOKUP(2,1/((tbl_Finance[Job Number]=C142&amp;"")*(tbl_Finance[Xero Invoice No]&lt;&gt;"")),tbl_Finance[Xero Invoice No])&amp;" +more"),"")))</f>
        <v/>
      </c>
      <c r="C142" s="24" t="n"/>
      <c r="D142" s="25">
        <f>IF(C142="","",IF(COUNTIF(lst_Jobs,C142&amp;"")&gt;0,"OK","CHECK"))</f>
        <v/>
      </c>
      <c r="E142" s="25">
        <f>IF(C142="","",IFERROR(INDEX(lst_JobName,MATCH(C142&amp;"",lst_Jobs,0)),""))</f>
        <v/>
      </c>
      <c r="F142" s="25">
        <f>IF(C142="","",IFERROR(INDEX(tbl_Finance[Client],MATCH(C142&amp;"",tbl_Finance[Job Number],0)),""))</f>
        <v/>
      </c>
      <c r="G142" s="28">
        <f>IF(C142="","",COUNTIFS(tbl_Finance[Job Number],C142&amp;"",tbl_Finance[Ex GST],"&lt;&gt;"))</f>
        <v/>
      </c>
      <c r="H142" s="27">
        <f>IF(C142="","",SUMIFS(tbl_Finance[Ex GST],tbl_Finance[Job Number],C142&amp;""))</f>
        <v/>
      </c>
      <c r="I142" s="27">
        <f>IF(C142="","",SUMIFS(tbl_Finance[Ex GST],tbl_Finance[Job Number],C142&amp;"",tbl_Finance[Xero Invoice No],"&lt;&gt;"))</f>
        <v/>
      </c>
      <c r="J142" s="27">
        <f>IF(C142="","",H142-I142)</f>
        <v/>
      </c>
      <c r="K142" s="25">
        <f>IF(C142="","",IF(G142=0,"not invoiced yet",SUBSTITUTE(TRIM(IF(COUNTIFS(tbl_Finance[Job Number],C142&amp;"",tbl_Finance[Cost Centre],"ONSITE")&gt;0,"ONSITE ","")&amp;IF(COUNTIFS(tbl_Finance[Job Number],C142&amp;"",tbl_Finance[Cost Centre],"PRODUCTION")&gt;0,"PRODUCTION ","")&amp;IF(COUNTIFS(tbl_Finance[Job Number],C142&amp;"",tbl_Finance[Cost Centre],"VIDEO")&gt;0,"VIDEO ","")&amp;IF(COUNTIFS(tbl_Finance[Job Number],C142&amp;"",tbl_Finance[Cost Centre],"INTEGRATION")&gt;0,"INTEGRATION ","")&amp;IF(COUNTIFS(tbl_Finance[Job Number],C142&amp;"",tbl_Finance[Cost Centre],"CONSULTING")&gt;0,"CONSULTING ","")&amp;IF(COUNTIFS(tbl_Finance[Job Number],C142&amp;"",tbl_Finance[Cost Centre],"CTS")&gt;0,"CTS ",""))," ",", ")))</f>
        <v/>
      </c>
      <c r="L142" s="22" t="n"/>
      <c r="M142" s="24" t="n"/>
      <c r="N142" s="25">
        <f>IF(M142="","",IF(AND(LEFT(M142,4)&lt;&gt;"http",set_RMSBase=""),"",HYPERLINK(IF(LEFT(M142,4)="http",M142,set_RMSBase&amp;M142),"Open opportunity")))</f>
        <v/>
      </c>
      <c r="O142" s="25">
        <f>IF(C142="","",C142)</f>
        <v/>
      </c>
      <c r="P142" s="24" t="n"/>
      <c r="Q142" s="26" t="n"/>
      <c r="R142" s="27">
        <f>IF(C142="","",H142+N(Q142))</f>
        <v/>
      </c>
      <c r="S142" s="29">
        <f>IFERROR(Q142/R142,"")</f>
        <v/>
      </c>
      <c r="T142" s="26" t="n"/>
      <c r="U142" s="26" t="n"/>
      <c r="V142" s="27">
        <f>IF(C142="","",N(T142)+N(U142))</f>
        <v/>
      </c>
      <c r="W142" s="27">
        <f>IF(C142="","",H142-V142)</f>
        <v/>
      </c>
      <c r="X142" s="29">
        <f>IFERROR(W142/H142,"")</f>
        <v/>
      </c>
      <c r="Y142" s="64" t="n"/>
      <c r="Z142" s="64" t="n"/>
      <c r="AA142" s="64" t="n"/>
      <c r="AB142" s="64" t="n"/>
      <c r="AC142" s="64" t="n"/>
      <c r="AD142" s="24" t="n"/>
    </row>
    <row r="143" ht="15" customHeight="1">
      <c r="A143" s="63">
        <f>IF(C143="","",IFERROR(IF(SUMPRODUCT(MAX((tbl_Finance[Job Number]=C143&amp;"")*(tbl_Finance[Xero Invoice No]&lt;&gt;"")*tbl_Finance[Date]))=0,"",SUMPRODUCT(MAX((tbl_Finance[Job Number]=C143&amp;"")*(tbl_Finance[Xero Invoice No]&lt;&gt;"")*tbl_Finance[Date]))),""))</f>
        <v/>
      </c>
      <c r="B143" s="25">
        <f>IF(C143="","",IF(COUNTIFS(tbl_Finance[Job Number],C143&amp;"",tbl_Finance[Xero Invoice No],"&lt;&gt;")=0,"",IFERROR(IF(COUNTIFS(tbl_Finance[Job Number],C143&amp;"",tbl_Finance[Xero Invoice No],LOOKUP(2,1/((tbl_Finance[Job Number]=C143&amp;"")*(tbl_Finance[Xero Invoice No]&lt;&gt;"")),tbl_Finance[Xero Invoice No]))=COUNTIFS(tbl_Finance[Job Number],C143&amp;"",tbl_Finance[Xero Invoice No],"&lt;&gt;"),LOOKUP(2,1/((tbl_Finance[Job Number]=C143&amp;"")*(tbl_Finance[Xero Invoice No]&lt;&gt;"")),tbl_Finance[Xero Invoice No]),LOOKUP(2,1/((tbl_Finance[Job Number]=C143&amp;"")*(tbl_Finance[Xero Invoice No]&lt;&gt;"")),tbl_Finance[Xero Invoice No])&amp;" +more"),"")))</f>
        <v/>
      </c>
      <c r="C143" s="24" t="n"/>
      <c r="D143" s="25">
        <f>IF(C143="","",IF(COUNTIF(lst_Jobs,C143&amp;"")&gt;0,"OK","CHECK"))</f>
        <v/>
      </c>
      <c r="E143" s="25">
        <f>IF(C143="","",IFERROR(INDEX(lst_JobName,MATCH(C143&amp;"",lst_Jobs,0)),""))</f>
        <v/>
      </c>
      <c r="F143" s="25">
        <f>IF(C143="","",IFERROR(INDEX(tbl_Finance[Client],MATCH(C143&amp;"",tbl_Finance[Job Number],0)),""))</f>
        <v/>
      </c>
      <c r="G143" s="28">
        <f>IF(C143="","",COUNTIFS(tbl_Finance[Job Number],C143&amp;"",tbl_Finance[Ex GST],"&lt;&gt;"))</f>
        <v/>
      </c>
      <c r="H143" s="27">
        <f>IF(C143="","",SUMIFS(tbl_Finance[Ex GST],tbl_Finance[Job Number],C143&amp;""))</f>
        <v/>
      </c>
      <c r="I143" s="27">
        <f>IF(C143="","",SUMIFS(tbl_Finance[Ex GST],tbl_Finance[Job Number],C143&amp;"",tbl_Finance[Xero Invoice No],"&lt;&gt;"))</f>
        <v/>
      </c>
      <c r="J143" s="27">
        <f>IF(C143="","",H143-I143)</f>
        <v/>
      </c>
      <c r="K143" s="25">
        <f>IF(C143="","",IF(G143=0,"not invoiced yet",SUBSTITUTE(TRIM(IF(COUNTIFS(tbl_Finance[Job Number],C143&amp;"",tbl_Finance[Cost Centre],"ONSITE")&gt;0,"ONSITE ","")&amp;IF(COUNTIFS(tbl_Finance[Job Number],C143&amp;"",tbl_Finance[Cost Centre],"PRODUCTION")&gt;0,"PRODUCTION ","")&amp;IF(COUNTIFS(tbl_Finance[Job Number],C143&amp;"",tbl_Finance[Cost Centre],"VIDEO")&gt;0,"VIDEO ","")&amp;IF(COUNTIFS(tbl_Finance[Job Number],C143&amp;"",tbl_Finance[Cost Centre],"INTEGRATION")&gt;0,"INTEGRATION ","")&amp;IF(COUNTIFS(tbl_Finance[Job Number],C143&amp;"",tbl_Finance[Cost Centre],"CONSULTING")&gt;0,"CONSULTING ","")&amp;IF(COUNTIFS(tbl_Finance[Job Number],C143&amp;"",tbl_Finance[Cost Centre],"CTS")&gt;0,"CTS ",""))," ",", ")))</f>
        <v/>
      </c>
      <c r="L143" s="22" t="n"/>
      <c r="M143" s="24" t="n"/>
      <c r="N143" s="25">
        <f>IF(M143="","",IF(AND(LEFT(M143,4)&lt;&gt;"http",set_RMSBase=""),"",HYPERLINK(IF(LEFT(M143,4)="http",M143,set_RMSBase&amp;M143),"Open opportunity")))</f>
        <v/>
      </c>
      <c r="O143" s="25">
        <f>IF(C143="","",C143)</f>
        <v/>
      </c>
      <c r="P143" s="24" t="n"/>
      <c r="Q143" s="26" t="n"/>
      <c r="R143" s="27">
        <f>IF(C143="","",H143+N(Q143))</f>
        <v/>
      </c>
      <c r="S143" s="29">
        <f>IFERROR(Q143/R143,"")</f>
        <v/>
      </c>
      <c r="T143" s="26" t="n"/>
      <c r="U143" s="26" t="n"/>
      <c r="V143" s="27">
        <f>IF(C143="","",N(T143)+N(U143))</f>
        <v/>
      </c>
      <c r="W143" s="27">
        <f>IF(C143="","",H143-V143)</f>
        <v/>
      </c>
      <c r="X143" s="29">
        <f>IFERROR(W143/H143,"")</f>
        <v/>
      </c>
      <c r="Y143" s="64" t="n"/>
      <c r="Z143" s="64" t="n"/>
      <c r="AA143" s="64" t="n"/>
      <c r="AB143" s="64" t="n"/>
      <c r="AC143" s="64" t="n"/>
      <c r="AD143" s="24" t="n"/>
    </row>
    <row r="144" ht="15" customHeight="1">
      <c r="A144" s="63">
        <f>IF(C144="","",IFERROR(IF(SUMPRODUCT(MAX((tbl_Finance[Job Number]=C144&amp;"")*(tbl_Finance[Xero Invoice No]&lt;&gt;"")*tbl_Finance[Date]))=0,"",SUMPRODUCT(MAX((tbl_Finance[Job Number]=C144&amp;"")*(tbl_Finance[Xero Invoice No]&lt;&gt;"")*tbl_Finance[Date]))),""))</f>
        <v/>
      </c>
      <c r="B144" s="25">
        <f>IF(C144="","",IF(COUNTIFS(tbl_Finance[Job Number],C144&amp;"",tbl_Finance[Xero Invoice No],"&lt;&gt;")=0,"",IFERROR(IF(COUNTIFS(tbl_Finance[Job Number],C144&amp;"",tbl_Finance[Xero Invoice No],LOOKUP(2,1/((tbl_Finance[Job Number]=C144&amp;"")*(tbl_Finance[Xero Invoice No]&lt;&gt;"")),tbl_Finance[Xero Invoice No]))=COUNTIFS(tbl_Finance[Job Number],C144&amp;"",tbl_Finance[Xero Invoice No],"&lt;&gt;"),LOOKUP(2,1/((tbl_Finance[Job Number]=C144&amp;"")*(tbl_Finance[Xero Invoice No]&lt;&gt;"")),tbl_Finance[Xero Invoice No]),LOOKUP(2,1/((tbl_Finance[Job Number]=C144&amp;"")*(tbl_Finance[Xero Invoice No]&lt;&gt;"")),tbl_Finance[Xero Invoice No])&amp;" +more"),"")))</f>
        <v/>
      </c>
      <c r="C144" s="24" t="n"/>
      <c r="D144" s="25">
        <f>IF(C144="","",IF(COUNTIF(lst_Jobs,C144&amp;"")&gt;0,"OK","CHECK"))</f>
        <v/>
      </c>
      <c r="E144" s="25">
        <f>IF(C144="","",IFERROR(INDEX(lst_JobName,MATCH(C144&amp;"",lst_Jobs,0)),""))</f>
        <v/>
      </c>
      <c r="F144" s="25">
        <f>IF(C144="","",IFERROR(INDEX(tbl_Finance[Client],MATCH(C144&amp;"",tbl_Finance[Job Number],0)),""))</f>
        <v/>
      </c>
      <c r="G144" s="28">
        <f>IF(C144="","",COUNTIFS(tbl_Finance[Job Number],C144&amp;"",tbl_Finance[Ex GST],"&lt;&gt;"))</f>
        <v/>
      </c>
      <c r="H144" s="27">
        <f>IF(C144="","",SUMIFS(tbl_Finance[Ex GST],tbl_Finance[Job Number],C144&amp;""))</f>
        <v/>
      </c>
      <c r="I144" s="27">
        <f>IF(C144="","",SUMIFS(tbl_Finance[Ex GST],tbl_Finance[Job Number],C144&amp;"",tbl_Finance[Xero Invoice No],"&lt;&gt;"))</f>
        <v/>
      </c>
      <c r="J144" s="27">
        <f>IF(C144="","",H144-I144)</f>
        <v/>
      </c>
      <c r="K144" s="25">
        <f>IF(C144="","",IF(G144=0,"not invoiced yet",SUBSTITUTE(TRIM(IF(COUNTIFS(tbl_Finance[Job Number],C144&amp;"",tbl_Finance[Cost Centre],"ONSITE")&gt;0,"ONSITE ","")&amp;IF(COUNTIFS(tbl_Finance[Job Number],C144&amp;"",tbl_Finance[Cost Centre],"PRODUCTION")&gt;0,"PRODUCTION ","")&amp;IF(COUNTIFS(tbl_Finance[Job Number],C144&amp;"",tbl_Finance[Cost Centre],"VIDEO")&gt;0,"VIDEO ","")&amp;IF(COUNTIFS(tbl_Finance[Job Number],C144&amp;"",tbl_Finance[Cost Centre],"INTEGRATION")&gt;0,"INTEGRATION ","")&amp;IF(COUNTIFS(tbl_Finance[Job Number],C144&amp;"",tbl_Finance[Cost Centre],"CONSULTING")&gt;0,"CONSULTING ","")&amp;IF(COUNTIFS(tbl_Finance[Job Number],C144&amp;"",tbl_Finance[Cost Centre],"CTS")&gt;0,"CTS ",""))," ",", ")))</f>
        <v/>
      </c>
      <c r="L144" s="22" t="n"/>
      <c r="M144" s="24" t="n"/>
      <c r="N144" s="25">
        <f>IF(M144="","",IF(AND(LEFT(M144,4)&lt;&gt;"http",set_RMSBase=""),"",HYPERLINK(IF(LEFT(M144,4)="http",M144,set_RMSBase&amp;M144),"Open opportunity")))</f>
        <v/>
      </c>
      <c r="O144" s="25">
        <f>IF(C144="","",C144)</f>
        <v/>
      </c>
      <c r="P144" s="24" t="n"/>
      <c r="Q144" s="26" t="n"/>
      <c r="R144" s="27">
        <f>IF(C144="","",H144+N(Q144))</f>
        <v/>
      </c>
      <c r="S144" s="29">
        <f>IFERROR(Q144/R144,"")</f>
        <v/>
      </c>
      <c r="T144" s="26" t="n"/>
      <c r="U144" s="26" t="n"/>
      <c r="V144" s="27">
        <f>IF(C144="","",N(T144)+N(U144))</f>
        <v/>
      </c>
      <c r="W144" s="27">
        <f>IF(C144="","",H144-V144)</f>
        <v/>
      </c>
      <c r="X144" s="29">
        <f>IFERROR(W144/H144,"")</f>
        <v/>
      </c>
      <c r="Y144" s="64" t="n"/>
      <c r="Z144" s="64" t="n"/>
      <c r="AA144" s="64" t="n"/>
      <c r="AB144" s="64" t="n"/>
      <c r="AC144" s="64" t="n"/>
      <c r="AD144" s="24" t="n"/>
    </row>
    <row r="145" ht="15" customHeight="1">
      <c r="A145" s="63">
        <f>IF(C145="","",IFERROR(IF(SUMPRODUCT(MAX((tbl_Finance[Job Number]=C145&amp;"")*(tbl_Finance[Xero Invoice No]&lt;&gt;"")*tbl_Finance[Date]))=0,"",SUMPRODUCT(MAX((tbl_Finance[Job Number]=C145&amp;"")*(tbl_Finance[Xero Invoice No]&lt;&gt;"")*tbl_Finance[Date]))),""))</f>
        <v/>
      </c>
      <c r="B145" s="25">
        <f>IF(C145="","",IF(COUNTIFS(tbl_Finance[Job Number],C145&amp;"",tbl_Finance[Xero Invoice No],"&lt;&gt;")=0,"",IFERROR(IF(COUNTIFS(tbl_Finance[Job Number],C145&amp;"",tbl_Finance[Xero Invoice No],LOOKUP(2,1/((tbl_Finance[Job Number]=C145&amp;"")*(tbl_Finance[Xero Invoice No]&lt;&gt;"")),tbl_Finance[Xero Invoice No]))=COUNTIFS(tbl_Finance[Job Number],C145&amp;"",tbl_Finance[Xero Invoice No],"&lt;&gt;"),LOOKUP(2,1/((tbl_Finance[Job Number]=C145&amp;"")*(tbl_Finance[Xero Invoice No]&lt;&gt;"")),tbl_Finance[Xero Invoice No]),LOOKUP(2,1/((tbl_Finance[Job Number]=C145&amp;"")*(tbl_Finance[Xero Invoice No]&lt;&gt;"")),tbl_Finance[Xero Invoice No])&amp;" +more"),"")))</f>
        <v/>
      </c>
      <c r="C145" s="24" t="n"/>
      <c r="D145" s="25">
        <f>IF(C145="","",IF(COUNTIF(lst_Jobs,C145&amp;"")&gt;0,"OK","CHECK"))</f>
        <v/>
      </c>
      <c r="E145" s="25">
        <f>IF(C145="","",IFERROR(INDEX(lst_JobName,MATCH(C145&amp;"",lst_Jobs,0)),""))</f>
        <v/>
      </c>
      <c r="F145" s="25">
        <f>IF(C145="","",IFERROR(INDEX(tbl_Finance[Client],MATCH(C145&amp;"",tbl_Finance[Job Number],0)),""))</f>
        <v/>
      </c>
      <c r="G145" s="28">
        <f>IF(C145="","",COUNTIFS(tbl_Finance[Job Number],C145&amp;"",tbl_Finance[Ex GST],"&lt;&gt;"))</f>
        <v/>
      </c>
      <c r="H145" s="27">
        <f>IF(C145="","",SUMIFS(tbl_Finance[Ex GST],tbl_Finance[Job Number],C145&amp;""))</f>
        <v/>
      </c>
      <c r="I145" s="27">
        <f>IF(C145="","",SUMIFS(tbl_Finance[Ex GST],tbl_Finance[Job Number],C145&amp;"",tbl_Finance[Xero Invoice No],"&lt;&gt;"))</f>
        <v/>
      </c>
      <c r="J145" s="27">
        <f>IF(C145="","",H145-I145)</f>
        <v/>
      </c>
      <c r="K145" s="25">
        <f>IF(C145="","",IF(G145=0,"not invoiced yet",SUBSTITUTE(TRIM(IF(COUNTIFS(tbl_Finance[Job Number],C145&amp;"",tbl_Finance[Cost Centre],"ONSITE")&gt;0,"ONSITE ","")&amp;IF(COUNTIFS(tbl_Finance[Job Number],C145&amp;"",tbl_Finance[Cost Centre],"PRODUCTION")&gt;0,"PRODUCTION ","")&amp;IF(COUNTIFS(tbl_Finance[Job Number],C145&amp;"",tbl_Finance[Cost Centre],"VIDEO")&gt;0,"VIDEO ","")&amp;IF(COUNTIFS(tbl_Finance[Job Number],C145&amp;"",tbl_Finance[Cost Centre],"INTEGRATION")&gt;0,"INTEGRATION ","")&amp;IF(COUNTIFS(tbl_Finance[Job Number],C145&amp;"",tbl_Finance[Cost Centre],"CONSULTING")&gt;0,"CONSULTING ","")&amp;IF(COUNTIFS(tbl_Finance[Job Number],C145&amp;"",tbl_Finance[Cost Centre],"CTS")&gt;0,"CTS ",""))," ",", ")))</f>
        <v/>
      </c>
      <c r="L145" s="22" t="n"/>
      <c r="M145" s="24" t="n"/>
      <c r="N145" s="25">
        <f>IF(M145="","",IF(AND(LEFT(M145,4)&lt;&gt;"http",set_RMSBase=""),"",HYPERLINK(IF(LEFT(M145,4)="http",M145,set_RMSBase&amp;M145),"Open opportunity")))</f>
        <v/>
      </c>
      <c r="O145" s="25">
        <f>IF(C145="","",C145)</f>
        <v/>
      </c>
      <c r="P145" s="24" t="n"/>
      <c r="Q145" s="26" t="n"/>
      <c r="R145" s="27">
        <f>IF(C145="","",H145+N(Q145))</f>
        <v/>
      </c>
      <c r="S145" s="29">
        <f>IFERROR(Q145/R145,"")</f>
        <v/>
      </c>
      <c r="T145" s="26" t="n"/>
      <c r="U145" s="26" t="n"/>
      <c r="V145" s="27">
        <f>IF(C145="","",N(T145)+N(U145))</f>
        <v/>
      </c>
      <c r="W145" s="27">
        <f>IF(C145="","",H145-V145)</f>
        <v/>
      </c>
      <c r="X145" s="29">
        <f>IFERROR(W145/H145,"")</f>
        <v/>
      </c>
      <c r="Y145" s="64" t="n"/>
      <c r="Z145" s="64" t="n"/>
      <c r="AA145" s="64" t="n"/>
      <c r="AB145" s="64" t="n"/>
      <c r="AC145" s="64" t="n"/>
      <c r="AD145" s="24" t="n"/>
    </row>
    <row r="146" ht="15" customHeight="1">
      <c r="A146" s="63">
        <f>IF(C146="","",IFERROR(IF(SUMPRODUCT(MAX((tbl_Finance[Job Number]=C146&amp;"")*(tbl_Finance[Xero Invoice No]&lt;&gt;"")*tbl_Finance[Date]))=0,"",SUMPRODUCT(MAX((tbl_Finance[Job Number]=C146&amp;"")*(tbl_Finance[Xero Invoice No]&lt;&gt;"")*tbl_Finance[Date]))),""))</f>
        <v/>
      </c>
      <c r="B146" s="25">
        <f>IF(C146="","",IF(COUNTIFS(tbl_Finance[Job Number],C146&amp;"",tbl_Finance[Xero Invoice No],"&lt;&gt;")=0,"",IFERROR(IF(COUNTIFS(tbl_Finance[Job Number],C146&amp;"",tbl_Finance[Xero Invoice No],LOOKUP(2,1/((tbl_Finance[Job Number]=C146&amp;"")*(tbl_Finance[Xero Invoice No]&lt;&gt;"")),tbl_Finance[Xero Invoice No]))=COUNTIFS(tbl_Finance[Job Number],C146&amp;"",tbl_Finance[Xero Invoice No],"&lt;&gt;"),LOOKUP(2,1/((tbl_Finance[Job Number]=C146&amp;"")*(tbl_Finance[Xero Invoice No]&lt;&gt;"")),tbl_Finance[Xero Invoice No]),LOOKUP(2,1/((tbl_Finance[Job Number]=C146&amp;"")*(tbl_Finance[Xero Invoice No]&lt;&gt;"")),tbl_Finance[Xero Invoice No])&amp;" +more"),"")))</f>
        <v/>
      </c>
      <c r="C146" s="24" t="n"/>
      <c r="D146" s="25">
        <f>IF(C146="","",IF(COUNTIF(lst_Jobs,C146&amp;"")&gt;0,"OK","CHECK"))</f>
        <v/>
      </c>
      <c r="E146" s="25">
        <f>IF(C146="","",IFERROR(INDEX(lst_JobName,MATCH(C146&amp;"",lst_Jobs,0)),""))</f>
        <v/>
      </c>
      <c r="F146" s="25">
        <f>IF(C146="","",IFERROR(INDEX(tbl_Finance[Client],MATCH(C146&amp;"",tbl_Finance[Job Number],0)),""))</f>
        <v/>
      </c>
      <c r="G146" s="28">
        <f>IF(C146="","",COUNTIFS(tbl_Finance[Job Number],C146&amp;"",tbl_Finance[Ex GST],"&lt;&gt;"))</f>
        <v/>
      </c>
      <c r="H146" s="27">
        <f>IF(C146="","",SUMIFS(tbl_Finance[Ex GST],tbl_Finance[Job Number],C146&amp;""))</f>
        <v/>
      </c>
      <c r="I146" s="27">
        <f>IF(C146="","",SUMIFS(tbl_Finance[Ex GST],tbl_Finance[Job Number],C146&amp;"",tbl_Finance[Xero Invoice No],"&lt;&gt;"))</f>
        <v/>
      </c>
      <c r="J146" s="27">
        <f>IF(C146="","",H146-I146)</f>
        <v/>
      </c>
      <c r="K146" s="25">
        <f>IF(C146="","",IF(G146=0,"not invoiced yet",SUBSTITUTE(TRIM(IF(COUNTIFS(tbl_Finance[Job Number],C146&amp;"",tbl_Finance[Cost Centre],"ONSITE")&gt;0,"ONSITE ","")&amp;IF(COUNTIFS(tbl_Finance[Job Number],C146&amp;"",tbl_Finance[Cost Centre],"PRODUCTION")&gt;0,"PRODUCTION ","")&amp;IF(COUNTIFS(tbl_Finance[Job Number],C146&amp;"",tbl_Finance[Cost Centre],"VIDEO")&gt;0,"VIDEO ","")&amp;IF(COUNTIFS(tbl_Finance[Job Number],C146&amp;"",tbl_Finance[Cost Centre],"INTEGRATION")&gt;0,"INTEGRATION ","")&amp;IF(COUNTIFS(tbl_Finance[Job Number],C146&amp;"",tbl_Finance[Cost Centre],"CONSULTING")&gt;0,"CONSULTING ","")&amp;IF(COUNTIFS(tbl_Finance[Job Number],C146&amp;"",tbl_Finance[Cost Centre],"CTS")&gt;0,"CTS ",""))," ",", ")))</f>
        <v/>
      </c>
      <c r="L146" s="22" t="n"/>
      <c r="M146" s="24" t="n"/>
      <c r="N146" s="25">
        <f>IF(M146="","",IF(AND(LEFT(M146,4)&lt;&gt;"http",set_RMSBase=""),"",HYPERLINK(IF(LEFT(M146,4)="http",M146,set_RMSBase&amp;M146),"Open opportunity")))</f>
        <v/>
      </c>
      <c r="O146" s="25">
        <f>IF(C146="","",C146)</f>
        <v/>
      </c>
      <c r="P146" s="24" t="n"/>
      <c r="Q146" s="26" t="n"/>
      <c r="R146" s="27">
        <f>IF(C146="","",H146+N(Q146))</f>
        <v/>
      </c>
      <c r="S146" s="29">
        <f>IFERROR(Q146/R146,"")</f>
        <v/>
      </c>
      <c r="T146" s="26" t="n"/>
      <c r="U146" s="26" t="n"/>
      <c r="V146" s="27">
        <f>IF(C146="","",N(T146)+N(U146))</f>
        <v/>
      </c>
      <c r="W146" s="27">
        <f>IF(C146="","",H146-V146)</f>
        <v/>
      </c>
      <c r="X146" s="29">
        <f>IFERROR(W146/H146,"")</f>
        <v/>
      </c>
      <c r="Y146" s="64" t="n"/>
      <c r="Z146" s="64" t="n"/>
      <c r="AA146" s="64" t="n"/>
      <c r="AB146" s="64" t="n"/>
      <c r="AC146" s="64" t="n"/>
      <c r="AD146" s="24" t="n"/>
    </row>
    <row r="147" ht="15" customHeight="1">
      <c r="A147" s="63">
        <f>IF(C147="","",IFERROR(IF(SUMPRODUCT(MAX((tbl_Finance[Job Number]=C147&amp;"")*(tbl_Finance[Xero Invoice No]&lt;&gt;"")*tbl_Finance[Date]))=0,"",SUMPRODUCT(MAX((tbl_Finance[Job Number]=C147&amp;"")*(tbl_Finance[Xero Invoice No]&lt;&gt;"")*tbl_Finance[Date]))),""))</f>
        <v/>
      </c>
      <c r="B147" s="25">
        <f>IF(C147="","",IF(COUNTIFS(tbl_Finance[Job Number],C147&amp;"",tbl_Finance[Xero Invoice No],"&lt;&gt;")=0,"",IFERROR(IF(COUNTIFS(tbl_Finance[Job Number],C147&amp;"",tbl_Finance[Xero Invoice No],LOOKUP(2,1/((tbl_Finance[Job Number]=C147&amp;"")*(tbl_Finance[Xero Invoice No]&lt;&gt;"")),tbl_Finance[Xero Invoice No]))=COUNTIFS(tbl_Finance[Job Number],C147&amp;"",tbl_Finance[Xero Invoice No],"&lt;&gt;"),LOOKUP(2,1/((tbl_Finance[Job Number]=C147&amp;"")*(tbl_Finance[Xero Invoice No]&lt;&gt;"")),tbl_Finance[Xero Invoice No]),LOOKUP(2,1/((tbl_Finance[Job Number]=C147&amp;"")*(tbl_Finance[Xero Invoice No]&lt;&gt;"")),tbl_Finance[Xero Invoice No])&amp;" +more"),"")))</f>
        <v/>
      </c>
      <c r="C147" s="24" t="n"/>
      <c r="D147" s="25">
        <f>IF(C147="","",IF(COUNTIF(lst_Jobs,C147&amp;"")&gt;0,"OK","CHECK"))</f>
        <v/>
      </c>
      <c r="E147" s="25">
        <f>IF(C147="","",IFERROR(INDEX(lst_JobName,MATCH(C147&amp;"",lst_Jobs,0)),""))</f>
        <v/>
      </c>
      <c r="F147" s="25">
        <f>IF(C147="","",IFERROR(INDEX(tbl_Finance[Client],MATCH(C147&amp;"",tbl_Finance[Job Number],0)),""))</f>
        <v/>
      </c>
      <c r="G147" s="28">
        <f>IF(C147="","",COUNTIFS(tbl_Finance[Job Number],C147&amp;"",tbl_Finance[Ex GST],"&lt;&gt;"))</f>
        <v/>
      </c>
      <c r="H147" s="27">
        <f>IF(C147="","",SUMIFS(tbl_Finance[Ex GST],tbl_Finance[Job Number],C147&amp;""))</f>
        <v/>
      </c>
      <c r="I147" s="27">
        <f>IF(C147="","",SUMIFS(tbl_Finance[Ex GST],tbl_Finance[Job Number],C147&amp;"",tbl_Finance[Xero Invoice No],"&lt;&gt;"))</f>
        <v/>
      </c>
      <c r="J147" s="27">
        <f>IF(C147="","",H147-I147)</f>
        <v/>
      </c>
      <c r="K147" s="25">
        <f>IF(C147="","",IF(G147=0,"not invoiced yet",SUBSTITUTE(TRIM(IF(COUNTIFS(tbl_Finance[Job Number],C147&amp;"",tbl_Finance[Cost Centre],"ONSITE")&gt;0,"ONSITE ","")&amp;IF(COUNTIFS(tbl_Finance[Job Number],C147&amp;"",tbl_Finance[Cost Centre],"PRODUCTION")&gt;0,"PRODUCTION ","")&amp;IF(COUNTIFS(tbl_Finance[Job Number],C147&amp;"",tbl_Finance[Cost Centre],"VIDEO")&gt;0,"VIDEO ","")&amp;IF(COUNTIFS(tbl_Finance[Job Number],C147&amp;"",tbl_Finance[Cost Centre],"INTEGRATION")&gt;0,"INTEGRATION ","")&amp;IF(COUNTIFS(tbl_Finance[Job Number],C147&amp;"",tbl_Finance[Cost Centre],"CONSULTING")&gt;0,"CONSULTING ","")&amp;IF(COUNTIFS(tbl_Finance[Job Number],C147&amp;"",tbl_Finance[Cost Centre],"CTS")&gt;0,"CTS ",""))," ",", ")))</f>
        <v/>
      </c>
      <c r="L147" s="22" t="n"/>
      <c r="M147" s="24" t="n"/>
      <c r="N147" s="25">
        <f>IF(M147="","",IF(AND(LEFT(M147,4)&lt;&gt;"http",set_RMSBase=""),"",HYPERLINK(IF(LEFT(M147,4)="http",M147,set_RMSBase&amp;M147),"Open opportunity")))</f>
        <v/>
      </c>
      <c r="O147" s="25">
        <f>IF(C147="","",C147)</f>
        <v/>
      </c>
      <c r="P147" s="24" t="n"/>
      <c r="Q147" s="26" t="n"/>
      <c r="R147" s="27">
        <f>IF(C147="","",H147+N(Q147))</f>
        <v/>
      </c>
      <c r="S147" s="29">
        <f>IFERROR(Q147/R147,"")</f>
        <v/>
      </c>
      <c r="T147" s="26" t="n"/>
      <c r="U147" s="26" t="n"/>
      <c r="V147" s="27">
        <f>IF(C147="","",N(T147)+N(U147))</f>
        <v/>
      </c>
      <c r="W147" s="27">
        <f>IF(C147="","",H147-V147)</f>
        <v/>
      </c>
      <c r="X147" s="29">
        <f>IFERROR(W147/H147,"")</f>
        <v/>
      </c>
      <c r="Y147" s="64" t="n"/>
      <c r="Z147" s="64" t="n"/>
      <c r="AA147" s="64" t="n"/>
      <c r="AB147" s="64" t="n"/>
      <c r="AC147" s="64" t="n"/>
      <c r="AD147" s="24" t="n"/>
    </row>
    <row r="148" ht="15" customHeight="1">
      <c r="A148" s="63">
        <f>IF(C148="","",IFERROR(IF(SUMPRODUCT(MAX((tbl_Finance[Job Number]=C148&amp;"")*(tbl_Finance[Xero Invoice No]&lt;&gt;"")*tbl_Finance[Date]))=0,"",SUMPRODUCT(MAX((tbl_Finance[Job Number]=C148&amp;"")*(tbl_Finance[Xero Invoice No]&lt;&gt;"")*tbl_Finance[Date]))),""))</f>
        <v/>
      </c>
      <c r="B148" s="25">
        <f>IF(C148="","",IF(COUNTIFS(tbl_Finance[Job Number],C148&amp;"",tbl_Finance[Xero Invoice No],"&lt;&gt;")=0,"",IFERROR(IF(COUNTIFS(tbl_Finance[Job Number],C148&amp;"",tbl_Finance[Xero Invoice No],LOOKUP(2,1/((tbl_Finance[Job Number]=C148&amp;"")*(tbl_Finance[Xero Invoice No]&lt;&gt;"")),tbl_Finance[Xero Invoice No]))=COUNTIFS(tbl_Finance[Job Number],C148&amp;"",tbl_Finance[Xero Invoice No],"&lt;&gt;"),LOOKUP(2,1/((tbl_Finance[Job Number]=C148&amp;"")*(tbl_Finance[Xero Invoice No]&lt;&gt;"")),tbl_Finance[Xero Invoice No]),LOOKUP(2,1/((tbl_Finance[Job Number]=C148&amp;"")*(tbl_Finance[Xero Invoice No]&lt;&gt;"")),tbl_Finance[Xero Invoice No])&amp;" +more"),"")))</f>
        <v/>
      </c>
      <c r="C148" s="24" t="n"/>
      <c r="D148" s="25">
        <f>IF(C148="","",IF(COUNTIF(lst_Jobs,C148&amp;"")&gt;0,"OK","CHECK"))</f>
        <v/>
      </c>
      <c r="E148" s="25">
        <f>IF(C148="","",IFERROR(INDEX(lst_JobName,MATCH(C148&amp;"",lst_Jobs,0)),""))</f>
        <v/>
      </c>
      <c r="F148" s="25">
        <f>IF(C148="","",IFERROR(INDEX(tbl_Finance[Client],MATCH(C148&amp;"",tbl_Finance[Job Number],0)),""))</f>
        <v/>
      </c>
      <c r="G148" s="28">
        <f>IF(C148="","",COUNTIFS(tbl_Finance[Job Number],C148&amp;"",tbl_Finance[Ex GST],"&lt;&gt;"))</f>
        <v/>
      </c>
      <c r="H148" s="27">
        <f>IF(C148="","",SUMIFS(tbl_Finance[Ex GST],tbl_Finance[Job Number],C148&amp;""))</f>
        <v/>
      </c>
      <c r="I148" s="27">
        <f>IF(C148="","",SUMIFS(tbl_Finance[Ex GST],tbl_Finance[Job Number],C148&amp;"",tbl_Finance[Xero Invoice No],"&lt;&gt;"))</f>
        <v/>
      </c>
      <c r="J148" s="27">
        <f>IF(C148="","",H148-I148)</f>
        <v/>
      </c>
      <c r="K148" s="25">
        <f>IF(C148="","",IF(G148=0,"not invoiced yet",SUBSTITUTE(TRIM(IF(COUNTIFS(tbl_Finance[Job Number],C148&amp;"",tbl_Finance[Cost Centre],"ONSITE")&gt;0,"ONSITE ","")&amp;IF(COUNTIFS(tbl_Finance[Job Number],C148&amp;"",tbl_Finance[Cost Centre],"PRODUCTION")&gt;0,"PRODUCTION ","")&amp;IF(COUNTIFS(tbl_Finance[Job Number],C148&amp;"",tbl_Finance[Cost Centre],"VIDEO")&gt;0,"VIDEO ","")&amp;IF(COUNTIFS(tbl_Finance[Job Number],C148&amp;"",tbl_Finance[Cost Centre],"INTEGRATION")&gt;0,"INTEGRATION ","")&amp;IF(COUNTIFS(tbl_Finance[Job Number],C148&amp;"",tbl_Finance[Cost Centre],"CONSULTING")&gt;0,"CONSULTING ","")&amp;IF(COUNTIFS(tbl_Finance[Job Number],C148&amp;"",tbl_Finance[Cost Centre],"CTS")&gt;0,"CTS ",""))," ",", ")))</f>
        <v/>
      </c>
      <c r="L148" s="22" t="n"/>
      <c r="M148" s="24" t="n"/>
      <c r="N148" s="25">
        <f>IF(M148="","",IF(AND(LEFT(M148,4)&lt;&gt;"http",set_RMSBase=""),"",HYPERLINK(IF(LEFT(M148,4)="http",M148,set_RMSBase&amp;M148),"Open opportunity")))</f>
        <v/>
      </c>
      <c r="O148" s="25">
        <f>IF(C148="","",C148)</f>
        <v/>
      </c>
      <c r="P148" s="24" t="n"/>
      <c r="Q148" s="26" t="n"/>
      <c r="R148" s="27">
        <f>IF(C148="","",H148+N(Q148))</f>
        <v/>
      </c>
      <c r="S148" s="29">
        <f>IFERROR(Q148/R148,"")</f>
        <v/>
      </c>
      <c r="T148" s="26" t="n"/>
      <c r="U148" s="26" t="n"/>
      <c r="V148" s="27">
        <f>IF(C148="","",N(T148)+N(U148))</f>
        <v/>
      </c>
      <c r="W148" s="27">
        <f>IF(C148="","",H148-V148)</f>
        <v/>
      </c>
      <c r="X148" s="29">
        <f>IFERROR(W148/H148,"")</f>
        <v/>
      </c>
      <c r="Y148" s="64" t="n"/>
      <c r="Z148" s="64" t="n"/>
      <c r="AA148" s="64" t="n"/>
      <c r="AB148" s="64" t="n"/>
      <c r="AC148" s="64" t="n"/>
      <c r="AD148" s="24" t="n"/>
    </row>
    <row r="149" ht="15" customHeight="1">
      <c r="A149" s="63">
        <f>IF(C149="","",IFERROR(IF(SUMPRODUCT(MAX((tbl_Finance[Job Number]=C149&amp;"")*(tbl_Finance[Xero Invoice No]&lt;&gt;"")*tbl_Finance[Date]))=0,"",SUMPRODUCT(MAX((tbl_Finance[Job Number]=C149&amp;"")*(tbl_Finance[Xero Invoice No]&lt;&gt;"")*tbl_Finance[Date]))),""))</f>
        <v/>
      </c>
      <c r="B149" s="25">
        <f>IF(C149="","",IF(COUNTIFS(tbl_Finance[Job Number],C149&amp;"",tbl_Finance[Xero Invoice No],"&lt;&gt;")=0,"",IFERROR(IF(COUNTIFS(tbl_Finance[Job Number],C149&amp;"",tbl_Finance[Xero Invoice No],LOOKUP(2,1/((tbl_Finance[Job Number]=C149&amp;"")*(tbl_Finance[Xero Invoice No]&lt;&gt;"")),tbl_Finance[Xero Invoice No]))=COUNTIFS(tbl_Finance[Job Number],C149&amp;"",tbl_Finance[Xero Invoice No],"&lt;&gt;"),LOOKUP(2,1/((tbl_Finance[Job Number]=C149&amp;"")*(tbl_Finance[Xero Invoice No]&lt;&gt;"")),tbl_Finance[Xero Invoice No]),LOOKUP(2,1/((tbl_Finance[Job Number]=C149&amp;"")*(tbl_Finance[Xero Invoice No]&lt;&gt;"")),tbl_Finance[Xero Invoice No])&amp;" +more"),"")))</f>
        <v/>
      </c>
      <c r="C149" s="24" t="n"/>
      <c r="D149" s="25">
        <f>IF(C149="","",IF(COUNTIF(lst_Jobs,C149&amp;"")&gt;0,"OK","CHECK"))</f>
        <v/>
      </c>
      <c r="E149" s="25">
        <f>IF(C149="","",IFERROR(INDEX(lst_JobName,MATCH(C149&amp;"",lst_Jobs,0)),""))</f>
        <v/>
      </c>
      <c r="F149" s="25">
        <f>IF(C149="","",IFERROR(INDEX(tbl_Finance[Client],MATCH(C149&amp;"",tbl_Finance[Job Number],0)),""))</f>
        <v/>
      </c>
      <c r="G149" s="28">
        <f>IF(C149="","",COUNTIFS(tbl_Finance[Job Number],C149&amp;"",tbl_Finance[Ex GST],"&lt;&gt;"))</f>
        <v/>
      </c>
      <c r="H149" s="27">
        <f>IF(C149="","",SUMIFS(tbl_Finance[Ex GST],tbl_Finance[Job Number],C149&amp;""))</f>
        <v/>
      </c>
      <c r="I149" s="27">
        <f>IF(C149="","",SUMIFS(tbl_Finance[Ex GST],tbl_Finance[Job Number],C149&amp;"",tbl_Finance[Xero Invoice No],"&lt;&gt;"))</f>
        <v/>
      </c>
      <c r="J149" s="27">
        <f>IF(C149="","",H149-I149)</f>
        <v/>
      </c>
      <c r="K149" s="25">
        <f>IF(C149="","",IF(G149=0,"not invoiced yet",SUBSTITUTE(TRIM(IF(COUNTIFS(tbl_Finance[Job Number],C149&amp;"",tbl_Finance[Cost Centre],"ONSITE")&gt;0,"ONSITE ","")&amp;IF(COUNTIFS(tbl_Finance[Job Number],C149&amp;"",tbl_Finance[Cost Centre],"PRODUCTION")&gt;0,"PRODUCTION ","")&amp;IF(COUNTIFS(tbl_Finance[Job Number],C149&amp;"",tbl_Finance[Cost Centre],"VIDEO")&gt;0,"VIDEO ","")&amp;IF(COUNTIFS(tbl_Finance[Job Number],C149&amp;"",tbl_Finance[Cost Centre],"INTEGRATION")&gt;0,"INTEGRATION ","")&amp;IF(COUNTIFS(tbl_Finance[Job Number],C149&amp;"",tbl_Finance[Cost Centre],"CONSULTING")&gt;0,"CONSULTING ","")&amp;IF(COUNTIFS(tbl_Finance[Job Number],C149&amp;"",tbl_Finance[Cost Centre],"CTS")&gt;0,"CTS ",""))," ",", ")))</f>
        <v/>
      </c>
      <c r="L149" s="22" t="n"/>
      <c r="M149" s="24" t="n"/>
      <c r="N149" s="25">
        <f>IF(M149="","",IF(AND(LEFT(M149,4)&lt;&gt;"http",set_RMSBase=""),"",HYPERLINK(IF(LEFT(M149,4)="http",M149,set_RMSBase&amp;M149),"Open opportunity")))</f>
        <v/>
      </c>
      <c r="O149" s="25">
        <f>IF(C149="","",C149)</f>
        <v/>
      </c>
      <c r="P149" s="24" t="n"/>
      <c r="Q149" s="26" t="n"/>
      <c r="R149" s="27">
        <f>IF(C149="","",H149+N(Q149))</f>
        <v/>
      </c>
      <c r="S149" s="29">
        <f>IFERROR(Q149/R149,"")</f>
        <v/>
      </c>
      <c r="T149" s="26" t="n"/>
      <c r="U149" s="26" t="n"/>
      <c r="V149" s="27">
        <f>IF(C149="","",N(T149)+N(U149))</f>
        <v/>
      </c>
      <c r="W149" s="27">
        <f>IF(C149="","",H149-V149)</f>
        <v/>
      </c>
      <c r="X149" s="29">
        <f>IFERROR(W149/H149,"")</f>
        <v/>
      </c>
      <c r="Y149" s="64" t="n"/>
      <c r="Z149" s="64" t="n"/>
      <c r="AA149" s="64" t="n"/>
      <c r="AB149" s="64" t="n"/>
      <c r="AC149" s="64" t="n"/>
      <c r="AD149" s="24" t="n"/>
    </row>
    <row r="150" ht="15" customHeight="1">
      <c r="A150" s="63">
        <f>IF(C150="","",IFERROR(IF(SUMPRODUCT(MAX((tbl_Finance[Job Number]=C150&amp;"")*(tbl_Finance[Xero Invoice No]&lt;&gt;"")*tbl_Finance[Date]))=0,"",SUMPRODUCT(MAX((tbl_Finance[Job Number]=C150&amp;"")*(tbl_Finance[Xero Invoice No]&lt;&gt;"")*tbl_Finance[Date]))),""))</f>
        <v/>
      </c>
      <c r="B150" s="25">
        <f>IF(C150="","",IF(COUNTIFS(tbl_Finance[Job Number],C150&amp;"",tbl_Finance[Xero Invoice No],"&lt;&gt;")=0,"",IFERROR(IF(COUNTIFS(tbl_Finance[Job Number],C150&amp;"",tbl_Finance[Xero Invoice No],LOOKUP(2,1/((tbl_Finance[Job Number]=C150&amp;"")*(tbl_Finance[Xero Invoice No]&lt;&gt;"")),tbl_Finance[Xero Invoice No]))=COUNTIFS(tbl_Finance[Job Number],C150&amp;"",tbl_Finance[Xero Invoice No],"&lt;&gt;"),LOOKUP(2,1/((tbl_Finance[Job Number]=C150&amp;"")*(tbl_Finance[Xero Invoice No]&lt;&gt;"")),tbl_Finance[Xero Invoice No]),LOOKUP(2,1/((tbl_Finance[Job Number]=C150&amp;"")*(tbl_Finance[Xero Invoice No]&lt;&gt;"")),tbl_Finance[Xero Invoice No])&amp;" +more"),"")))</f>
        <v/>
      </c>
      <c r="C150" s="24" t="n"/>
      <c r="D150" s="25">
        <f>IF(C150="","",IF(COUNTIF(lst_Jobs,C150&amp;"")&gt;0,"OK","CHECK"))</f>
        <v/>
      </c>
      <c r="E150" s="25">
        <f>IF(C150="","",IFERROR(INDEX(lst_JobName,MATCH(C150&amp;"",lst_Jobs,0)),""))</f>
        <v/>
      </c>
      <c r="F150" s="25">
        <f>IF(C150="","",IFERROR(INDEX(tbl_Finance[Client],MATCH(C150&amp;"",tbl_Finance[Job Number],0)),""))</f>
        <v/>
      </c>
      <c r="G150" s="28">
        <f>IF(C150="","",COUNTIFS(tbl_Finance[Job Number],C150&amp;"",tbl_Finance[Ex GST],"&lt;&gt;"))</f>
        <v/>
      </c>
      <c r="H150" s="27">
        <f>IF(C150="","",SUMIFS(tbl_Finance[Ex GST],tbl_Finance[Job Number],C150&amp;""))</f>
        <v/>
      </c>
      <c r="I150" s="27">
        <f>IF(C150="","",SUMIFS(tbl_Finance[Ex GST],tbl_Finance[Job Number],C150&amp;"",tbl_Finance[Xero Invoice No],"&lt;&gt;"))</f>
        <v/>
      </c>
      <c r="J150" s="27">
        <f>IF(C150="","",H150-I150)</f>
        <v/>
      </c>
      <c r="K150" s="25">
        <f>IF(C150="","",IF(G150=0,"not invoiced yet",SUBSTITUTE(TRIM(IF(COUNTIFS(tbl_Finance[Job Number],C150&amp;"",tbl_Finance[Cost Centre],"ONSITE")&gt;0,"ONSITE ","")&amp;IF(COUNTIFS(tbl_Finance[Job Number],C150&amp;"",tbl_Finance[Cost Centre],"PRODUCTION")&gt;0,"PRODUCTION ","")&amp;IF(COUNTIFS(tbl_Finance[Job Number],C150&amp;"",tbl_Finance[Cost Centre],"VIDEO")&gt;0,"VIDEO ","")&amp;IF(COUNTIFS(tbl_Finance[Job Number],C150&amp;"",tbl_Finance[Cost Centre],"INTEGRATION")&gt;0,"INTEGRATION ","")&amp;IF(COUNTIFS(tbl_Finance[Job Number],C150&amp;"",tbl_Finance[Cost Centre],"CONSULTING")&gt;0,"CONSULTING ","")&amp;IF(COUNTIFS(tbl_Finance[Job Number],C150&amp;"",tbl_Finance[Cost Centre],"CTS")&gt;0,"CTS ",""))," ",", ")))</f>
        <v/>
      </c>
      <c r="L150" s="22" t="n"/>
      <c r="M150" s="24" t="n"/>
      <c r="N150" s="25">
        <f>IF(M150="","",IF(AND(LEFT(M150,4)&lt;&gt;"http",set_RMSBase=""),"",HYPERLINK(IF(LEFT(M150,4)="http",M150,set_RMSBase&amp;M150),"Open opportunity")))</f>
        <v/>
      </c>
      <c r="O150" s="25">
        <f>IF(C150="","",C150)</f>
        <v/>
      </c>
      <c r="P150" s="24" t="n"/>
      <c r="Q150" s="26" t="n"/>
      <c r="R150" s="27">
        <f>IF(C150="","",H150+N(Q150))</f>
        <v/>
      </c>
      <c r="S150" s="29">
        <f>IFERROR(Q150/R150,"")</f>
        <v/>
      </c>
      <c r="T150" s="26" t="n"/>
      <c r="U150" s="26" t="n"/>
      <c r="V150" s="27">
        <f>IF(C150="","",N(T150)+N(U150))</f>
        <v/>
      </c>
      <c r="W150" s="27">
        <f>IF(C150="","",H150-V150)</f>
        <v/>
      </c>
      <c r="X150" s="29">
        <f>IFERROR(W150/H150,"")</f>
        <v/>
      </c>
      <c r="Y150" s="64" t="n"/>
      <c r="Z150" s="64" t="n"/>
      <c r="AA150" s="64" t="n"/>
      <c r="AB150" s="64" t="n"/>
      <c r="AC150" s="64" t="n"/>
      <c r="AD150" s="24" t="n"/>
    </row>
    <row r="151" ht="15" customHeight="1">
      <c r="A151" s="63">
        <f>IF(C151="","",IFERROR(IF(SUMPRODUCT(MAX((tbl_Finance[Job Number]=C151&amp;"")*(tbl_Finance[Xero Invoice No]&lt;&gt;"")*tbl_Finance[Date]))=0,"",SUMPRODUCT(MAX((tbl_Finance[Job Number]=C151&amp;"")*(tbl_Finance[Xero Invoice No]&lt;&gt;"")*tbl_Finance[Date]))),""))</f>
        <v/>
      </c>
      <c r="B151" s="25">
        <f>IF(C151="","",IF(COUNTIFS(tbl_Finance[Job Number],C151&amp;"",tbl_Finance[Xero Invoice No],"&lt;&gt;")=0,"",IFERROR(IF(COUNTIFS(tbl_Finance[Job Number],C151&amp;"",tbl_Finance[Xero Invoice No],LOOKUP(2,1/((tbl_Finance[Job Number]=C151&amp;"")*(tbl_Finance[Xero Invoice No]&lt;&gt;"")),tbl_Finance[Xero Invoice No]))=COUNTIFS(tbl_Finance[Job Number],C151&amp;"",tbl_Finance[Xero Invoice No],"&lt;&gt;"),LOOKUP(2,1/((tbl_Finance[Job Number]=C151&amp;"")*(tbl_Finance[Xero Invoice No]&lt;&gt;"")),tbl_Finance[Xero Invoice No]),LOOKUP(2,1/((tbl_Finance[Job Number]=C151&amp;"")*(tbl_Finance[Xero Invoice No]&lt;&gt;"")),tbl_Finance[Xero Invoice No])&amp;" +more"),"")))</f>
        <v/>
      </c>
      <c r="C151" s="24" t="n"/>
      <c r="D151" s="25">
        <f>IF(C151="","",IF(COUNTIF(lst_Jobs,C151&amp;"")&gt;0,"OK","CHECK"))</f>
        <v/>
      </c>
      <c r="E151" s="25">
        <f>IF(C151="","",IFERROR(INDEX(lst_JobName,MATCH(C151&amp;"",lst_Jobs,0)),""))</f>
        <v/>
      </c>
      <c r="F151" s="25">
        <f>IF(C151="","",IFERROR(INDEX(tbl_Finance[Client],MATCH(C151&amp;"",tbl_Finance[Job Number],0)),""))</f>
        <v/>
      </c>
      <c r="G151" s="28">
        <f>IF(C151="","",COUNTIFS(tbl_Finance[Job Number],C151&amp;"",tbl_Finance[Ex GST],"&lt;&gt;"))</f>
        <v/>
      </c>
      <c r="H151" s="27">
        <f>IF(C151="","",SUMIFS(tbl_Finance[Ex GST],tbl_Finance[Job Number],C151&amp;""))</f>
        <v/>
      </c>
      <c r="I151" s="27">
        <f>IF(C151="","",SUMIFS(tbl_Finance[Ex GST],tbl_Finance[Job Number],C151&amp;"",tbl_Finance[Xero Invoice No],"&lt;&gt;"))</f>
        <v/>
      </c>
      <c r="J151" s="27">
        <f>IF(C151="","",H151-I151)</f>
        <v/>
      </c>
      <c r="K151" s="25">
        <f>IF(C151="","",IF(G151=0,"not invoiced yet",SUBSTITUTE(TRIM(IF(COUNTIFS(tbl_Finance[Job Number],C151&amp;"",tbl_Finance[Cost Centre],"ONSITE")&gt;0,"ONSITE ","")&amp;IF(COUNTIFS(tbl_Finance[Job Number],C151&amp;"",tbl_Finance[Cost Centre],"PRODUCTION")&gt;0,"PRODUCTION ","")&amp;IF(COUNTIFS(tbl_Finance[Job Number],C151&amp;"",tbl_Finance[Cost Centre],"VIDEO")&gt;0,"VIDEO ","")&amp;IF(COUNTIFS(tbl_Finance[Job Number],C151&amp;"",tbl_Finance[Cost Centre],"INTEGRATION")&gt;0,"INTEGRATION ","")&amp;IF(COUNTIFS(tbl_Finance[Job Number],C151&amp;"",tbl_Finance[Cost Centre],"CONSULTING")&gt;0,"CONSULTING ","")&amp;IF(COUNTIFS(tbl_Finance[Job Number],C151&amp;"",tbl_Finance[Cost Centre],"CTS")&gt;0,"CTS ",""))," ",", ")))</f>
        <v/>
      </c>
      <c r="L151" s="22" t="n"/>
      <c r="M151" s="24" t="n"/>
      <c r="N151" s="25">
        <f>IF(M151="","",IF(AND(LEFT(M151,4)&lt;&gt;"http",set_RMSBase=""),"",HYPERLINK(IF(LEFT(M151,4)="http",M151,set_RMSBase&amp;M151),"Open opportunity")))</f>
        <v/>
      </c>
      <c r="O151" s="25">
        <f>IF(C151="","",C151)</f>
        <v/>
      </c>
      <c r="P151" s="24" t="n"/>
      <c r="Q151" s="26" t="n"/>
      <c r="R151" s="27">
        <f>IF(C151="","",H151+N(Q151))</f>
        <v/>
      </c>
      <c r="S151" s="29">
        <f>IFERROR(Q151/R151,"")</f>
        <v/>
      </c>
      <c r="T151" s="26" t="n"/>
      <c r="U151" s="26" t="n"/>
      <c r="V151" s="27">
        <f>IF(C151="","",N(T151)+N(U151))</f>
        <v/>
      </c>
      <c r="W151" s="27">
        <f>IF(C151="","",H151-V151)</f>
        <v/>
      </c>
      <c r="X151" s="29">
        <f>IFERROR(W151/H151,"")</f>
        <v/>
      </c>
      <c r="Y151" s="64" t="n"/>
      <c r="Z151" s="64" t="n"/>
      <c r="AA151" s="64" t="n"/>
      <c r="AB151" s="64" t="n"/>
      <c r="AC151" s="64" t="n"/>
      <c r="AD151" s="24" t="n"/>
    </row>
    <row r="152" ht="15" customHeight="1">
      <c r="A152" s="63">
        <f>IF(C152="","",IFERROR(IF(SUMPRODUCT(MAX((tbl_Finance[Job Number]=C152&amp;"")*(tbl_Finance[Xero Invoice No]&lt;&gt;"")*tbl_Finance[Date]))=0,"",SUMPRODUCT(MAX((tbl_Finance[Job Number]=C152&amp;"")*(tbl_Finance[Xero Invoice No]&lt;&gt;"")*tbl_Finance[Date]))),""))</f>
        <v/>
      </c>
      <c r="B152" s="25">
        <f>IF(C152="","",IF(COUNTIFS(tbl_Finance[Job Number],C152&amp;"",tbl_Finance[Xero Invoice No],"&lt;&gt;")=0,"",IFERROR(IF(COUNTIFS(tbl_Finance[Job Number],C152&amp;"",tbl_Finance[Xero Invoice No],LOOKUP(2,1/((tbl_Finance[Job Number]=C152&amp;"")*(tbl_Finance[Xero Invoice No]&lt;&gt;"")),tbl_Finance[Xero Invoice No]))=COUNTIFS(tbl_Finance[Job Number],C152&amp;"",tbl_Finance[Xero Invoice No],"&lt;&gt;"),LOOKUP(2,1/((tbl_Finance[Job Number]=C152&amp;"")*(tbl_Finance[Xero Invoice No]&lt;&gt;"")),tbl_Finance[Xero Invoice No]),LOOKUP(2,1/((tbl_Finance[Job Number]=C152&amp;"")*(tbl_Finance[Xero Invoice No]&lt;&gt;"")),tbl_Finance[Xero Invoice No])&amp;" +more"),"")))</f>
        <v/>
      </c>
      <c r="C152" s="24" t="n"/>
      <c r="D152" s="25">
        <f>IF(C152="","",IF(COUNTIF(lst_Jobs,C152&amp;"")&gt;0,"OK","CHECK"))</f>
        <v/>
      </c>
      <c r="E152" s="25">
        <f>IF(C152="","",IFERROR(INDEX(lst_JobName,MATCH(C152&amp;"",lst_Jobs,0)),""))</f>
        <v/>
      </c>
      <c r="F152" s="25">
        <f>IF(C152="","",IFERROR(INDEX(tbl_Finance[Client],MATCH(C152&amp;"",tbl_Finance[Job Number],0)),""))</f>
        <v/>
      </c>
      <c r="G152" s="28">
        <f>IF(C152="","",COUNTIFS(tbl_Finance[Job Number],C152&amp;"",tbl_Finance[Ex GST],"&lt;&gt;"))</f>
        <v/>
      </c>
      <c r="H152" s="27">
        <f>IF(C152="","",SUMIFS(tbl_Finance[Ex GST],tbl_Finance[Job Number],C152&amp;""))</f>
        <v/>
      </c>
      <c r="I152" s="27">
        <f>IF(C152="","",SUMIFS(tbl_Finance[Ex GST],tbl_Finance[Job Number],C152&amp;"",tbl_Finance[Xero Invoice No],"&lt;&gt;"))</f>
        <v/>
      </c>
      <c r="J152" s="27">
        <f>IF(C152="","",H152-I152)</f>
        <v/>
      </c>
      <c r="K152" s="25">
        <f>IF(C152="","",IF(G152=0,"not invoiced yet",SUBSTITUTE(TRIM(IF(COUNTIFS(tbl_Finance[Job Number],C152&amp;"",tbl_Finance[Cost Centre],"ONSITE")&gt;0,"ONSITE ","")&amp;IF(COUNTIFS(tbl_Finance[Job Number],C152&amp;"",tbl_Finance[Cost Centre],"PRODUCTION")&gt;0,"PRODUCTION ","")&amp;IF(COUNTIFS(tbl_Finance[Job Number],C152&amp;"",tbl_Finance[Cost Centre],"VIDEO")&gt;0,"VIDEO ","")&amp;IF(COUNTIFS(tbl_Finance[Job Number],C152&amp;"",tbl_Finance[Cost Centre],"INTEGRATION")&gt;0,"INTEGRATION ","")&amp;IF(COUNTIFS(tbl_Finance[Job Number],C152&amp;"",tbl_Finance[Cost Centre],"CONSULTING")&gt;0,"CONSULTING ","")&amp;IF(COUNTIFS(tbl_Finance[Job Number],C152&amp;"",tbl_Finance[Cost Centre],"CTS")&gt;0,"CTS ",""))," ",", ")))</f>
        <v/>
      </c>
      <c r="L152" s="22" t="n"/>
      <c r="M152" s="24" t="n"/>
      <c r="N152" s="25">
        <f>IF(M152="","",IF(AND(LEFT(M152,4)&lt;&gt;"http",set_RMSBase=""),"",HYPERLINK(IF(LEFT(M152,4)="http",M152,set_RMSBase&amp;M152),"Open opportunity")))</f>
        <v/>
      </c>
      <c r="O152" s="25">
        <f>IF(C152="","",C152)</f>
        <v/>
      </c>
      <c r="P152" s="24" t="n"/>
      <c r="Q152" s="26" t="n"/>
      <c r="R152" s="27">
        <f>IF(C152="","",H152+N(Q152))</f>
        <v/>
      </c>
      <c r="S152" s="29">
        <f>IFERROR(Q152/R152,"")</f>
        <v/>
      </c>
      <c r="T152" s="26" t="n"/>
      <c r="U152" s="26" t="n"/>
      <c r="V152" s="27">
        <f>IF(C152="","",N(T152)+N(U152))</f>
        <v/>
      </c>
      <c r="W152" s="27">
        <f>IF(C152="","",H152-V152)</f>
        <v/>
      </c>
      <c r="X152" s="29">
        <f>IFERROR(W152/H152,"")</f>
        <v/>
      </c>
      <c r="Y152" s="64" t="n"/>
      <c r="Z152" s="64" t="n"/>
      <c r="AA152" s="64" t="n"/>
      <c r="AB152" s="64" t="n"/>
      <c r="AC152" s="64" t="n"/>
      <c r="AD152" s="24" t="n"/>
    </row>
    <row r="153" ht="15" customHeight="1">
      <c r="A153" s="63">
        <f>IF(C153="","",IFERROR(IF(SUMPRODUCT(MAX((tbl_Finance[Job Number]=C153&amp;"")*(tbl_Finance[Xero Invoice No]&lt;&gt;"")*tbl_Finance[Date]))=0,"",SUMPRODUCT(MAX((tbl_Finance[Job Number]=C153&amp;"")*(tbl_Finance[Xero Invoice No]&lt;&gt;"")*tbl_Finance[Date]))),""))</f>
        <v/>
      </c>
      <c r="B153" s="25">
        <f>IF(C153="","",IF(COUNTIFS(tbl_Finance[Job Number],C153&amp;"",tbl_Finance[Xero Invoice No],"&lt;&gt;")=0,"",IFERROR(IF(COUNTIFS(tbl_Finance[Job Number],C153&amp;"",tbl_Finance[Xero Invoice No],LOOKUP(2,1/((tbl_Finance[Job Number]=C153&amp;"")*(tbl_Finance[Xero Invoice No]&lt;&gt;"")),tbl_Finance[Xero Invoice No]))=COUNTIFS(tbl_Finance[Job Number],C153&amp;"",tbl_Finance[Xero Invoice No],"&lt;&gt;"),LOOKUP(2,1/((tbl_Finance[Job Number]=C153&amp;"")*(tbl_Finance[Xero Invoice No]&lt;&gt;"")),tbl_Finance[Xero Invoice No]),LOOKUP(2,1/((tbl_Finance[Job Number]=C153&amp;"")*(tbl_Finance[Xero Invoice No]&lt;&gt;"")),tbl_Finance[Xero Invoice No])&amp;" +more"),"")))</f>
        <v/>
      </c>
      <c r="C153" s="24" t="n"/>
      <c r="D153" s="25">
        <f>IF(C153="","",IF(COUNTIF(lst_Jobs,C153&amp;"")&gt;0,"OK","CHECK"))</f>
        <v/>
      </c>
      <c r="E153" s="25">
        <f>IF(C153="","",IFERROR(INDEX(lst_JobName,MATCH(C153&amp;"",lst_Jobs,0)),""))</f>
        <v/>
      </c>
      <c r="F153" s="25">
        <f>IF(C153="","",IFERROR(INDEX(tbl_Finance[Client],MATCH(C153&amp;"",tbl_Finance[Job Number],0)),""))</f>
        <v/>
      </c>
      <c r="G153" s="28">
        <f>IF(C153="","",COUNTIFS(tbl_Finance[Job Number],C153&amp;"",tbl_Finance[Ex GST],"&lt;&gt;"))</f>
        <v/>
      </c>
      <c r="H153" s="27">
        <f>IF(C153="","",SUMIFS(tbl_Finance[Ex GST],tbl_Finance[Job Number],C153&amp;""))</f>
        <v/>
      </c>
      <c r="I153" s="27">
        <f>IF(C153="","",SUMIFS(tbl_Finance[Ex GST],tbl_Finance[Job Number],C153&amp;"",tbl_Finance[Xero Invoice No],"&lt;&gt;"))</f>
        <v/>
      </c>
      <c r="J153" s="27">
        <f>IF(C153="","",H153-I153)</f>
        <v/>
      </c>
      <c r="K153" s="25">
        <f>IF(C153="","",IF(G153=0,"not invoiced yet",SUBSTITUTE(TRIM(IF(COUNTIFS(tbl_Finance[Job Number],C153&amp;"",tbl_Finance[Cost Centre],"ONSITE")&gt;0,"ONSITE ","")&amp;IF(COUNTIFS(tbl_Finance[Job Number],C153&amp;"",tbl_Finance[Cost Centre],"PRODUCTION")&gt;0,"PRODUCTION ","")&amp;IF(COUNTIFS(tbl_Finance[Job Number],C153&amp;"",tbl_Finance[Cost Centre],"VIDEO")&gt;0,"VIDEO ","")&amp;IF(COUNTIFS(tbl_Finance[Job Number],C153&amp;"",tbl_Finance[Cost Centre],"INTEGRATION")&gt;0,"INTEGRATION ","")&amp;IF(COUNTIFS(tbl_Finance[Job Number],C153&amp;"",tbl_Finance[Cost Centre],"CONSULTING")&gt;0,"CONSULTING ","")&amp;IF(COUNTIFS(tbl_Finance[Job Number],C153&amp;"",tbl_Finance[Cost Centre],"CTS")&gt;0,"CTS ",""))," ",", ")))</f>
        <v/>
      </c>
      <c r="L153" s="22" t="n"/>
      <c r="M153" s="24" t="n"/>
      <c r="N153" s="25">
        <f>IF(M153="","",IF(AND(LEFT(M153,4)&lt;&gt;"http",set_RMSBase=""),"",HYPERLINK(IF(LEFT(M153,4)="http",M153,set_RMSBase&amp;M153),"Open opportunity")))</f>
        <v/>
      </c>
      <c r="O153" s="25">
        <f>IF(C153="","",C153)</f>
        <v/>
      </c>
      <c r="P153" s="24" t="n"/>
      <c r="Q153" s="26" t="n"/>
      <c r="R153" s="27">
        <f>IF(C153="","",H153+N(Q153))</f>
        <v/>
      </c>
      <c r="S153" s="29">
        <f>IFERROR(Q153/R153,"")</f>
        <v/>
      </c>
      <c r="T153" s="26" t="n"/>
      <c r="U153" s="26" t="n"/>
      <c r="V153" s="27">
        <f>IF(C153="","",N(T153)+N(U153))</f>
        <v/>
      </c>
      <c r="W153" s="27">
        <f>IF(C153="","",H153-V153)</f>
        <v/>
      </c>
      <c r="X153" s="29">
        <f>IFERROR(W153/H153,"")</f>
        <v/>
      </c>
      <c r="Y153" s="64" t="n"/>
      <c r="Z153" s="64" t="n"/>
      <c r="AA153" s="64" t="n"/>
      <c r="AB153" s="64" t="n"/>
      <c r="AC153" s="64" t="n"/>
      <c r="AD153" s="24" t="n"/>
    </row>
    <row r="154" ht="15" customHeight="1">
      <c r="A154" s="63">
        <f>IF(C154="","",IFERROR(IF(SUMPRODUCT(MAX((tbl_Finance[Job Number]=C154&amp;"")*(tbl_Finance[Xero Invoice No]&lt;&gt;"")*tbl_Finance[Date]))=0,"",SUMPRODUCT(MAX((tbl_Finance[Job Number]=C154&amp;"")*(tbl_Finance[Xero Invoice No]&lt;&gt;"")*tbl_Finance[Date]))),""))</f>
        <v/>
      </c>
      <c r="B154" s="25">
        <f>IF(C154="","",IF(COUNTIFS(tbl_Finance[Job Number],C154&amp;"",tbl_Finance[Xero Invoice No],"&lt;&gt;")=0,"",IFERROR(IF(COUNTIFS(tbl_Finance[Job Number],C154&amp;"",tbl_Finance[Xero Invoice No],LOOKUP(2,1/((tbl_Finance[Job Number]=C154&amp;"")*(tbl_Finance[Xero Invoice No]&lt;&gt;"")),tbl_Finance[Xero Invoice No]))=COUNTIFS(tbl_Finance[Job Number],C154&amp;"",tbl_Finance[Xero Invoice No],"&lt;&gt;"),LOOKUP(2,1/((tbl_Finance[Job Number]=C154&amp;"")*(tbl_Finance[Xero Invoice No]&lt;&gt;"")),tbl_Finance[Xero Invoice No]),LOOKUP(2,1/((tbl_Finance[Job Number]=C154&amp;"")*(tbl_Finance[Xero Invoice No]&lt;&gt;"")),tbl_Finance[Xero Invoice No])&amp;" +more"),"")))</f>
        <v/>
      </c>
      <c r="C154" s="24" t="n"/>
      <c r="D154" s="25">
        <f>IF(C154="","",IF(COUNTIF(lst_Jobs,C154&amp;"")&gt;0,"OK","CHECK"))</f>
        <v/>
      </c>
      <c r="E154" s="25">
        <f>IF(C154="","",IFERROR(INDEX(lst_JobName,MATCH(C154&amp;"",lst_Jobs,0)),""))</f>
        <v/>
      </c>
      <c r="F154" s="25">
        <f>IF(C154="","",IFERROR(INDEX(tbl_Finance[Client],MATCH(C154&amp;"",tbl_Finance[Job Number],0)),""))</f>
        <v/>
      </c>
      <c r="G154" s="28">
        <f>IF(C154="","",COUNTIFS(tbl_Finance[Job Number],C154&amp;"",tbl_Finance[Ex GST],"&lt;&gt;"))</f>
        <v/>
      </c>
      <c r="H154" s="27">
        <f>IF(C154="","",SUMIFS(tbl_Finance[Ex GST],tbl_Finance[Job Number],C154&amp;""))</f>
        <v/>
      </c>
      <c r="I154" s="27">
        <f>IF(C154="","",SUMIFS(tbl_Finance[Ex GST],tbl_Finance[Job Number],C154&amp;"",tbl_Finance[Xero Invoice No],"&lt;&gt;"))</f>
        <v/>
      </c>
      <c r="J154" s="27">
        <f>IF(C154="","",H154-I154)</f>
        <v/>
      </c>
      <c r="K154" s="25">
        <f>IF(C154="","",IF(G154=0,"not invoiced yet",SUBSTITUTE(TRIM(IF(COUNTIFS(tbl_Finance[Job Number],C154&amp;"",tbl_Finance[Cost Centre],"ONSITE")&gt;0,"ONSITE ","")&amp;IF(COUNTIFS(tbl_Finance[Job Number],C154&amp;"",tbl_Finance[Cost Centre],"PRODUCTION")&gt;0,"PRODUCTION ","")&amp;IF(COUNTIFS(tbl_Finance[Job Number],C154&amp;"",tbl_Finance[Cost Centre],"VIDEO")&gt;0,"VIDEO ","")&amp;IF(COUNTIFS(tbl_Finance[Job Number],C154&amp;"",tbl_Finance[Cost Centre],"INTEGRATION")&gt;0,"INTEGRATION ","")&amp;IF(COUNTIFS(tbl_Finance[Job Number],C154&amp;"",tbl_Finance[Cost Centre],"CONSULTING")&gt;0,"CONSULTING ","")&amp;IF(COUNTIFS(tbl_Finance[Job Number],C154&amp;"",tbl_Finance[Cost Centre],"CTS")&gt;0,"CTS ",""))," ",", ")))</f>
        <v/>
      </c>
      <c r="L154" s="22" t="n"/>
      <c r="M154" s="24" t="n"/>
      <c r="N154" s="25">
        <f>IF(M154="","",IF(AND(LEFT(M154,4)&lt;&gt;"http",set_RMSBase=""),"",HYPERLINK(IF(LEFT(M154,4)="http",M154,set_RMSBase&amp;M154),"Open opportunity")))</f>
        <v/>
      </c>
      <c r="O154" s="25">
        <f>IF(C154="","",C154)</f>
        <v/>
      </c>
      <c r="P154" s="24" t="n"/>
      <c r="Q154" s="26" t="n"/>
      <c r="R154" s="27">
        <f>IF(C154="","",H154+N(Q154))</f>
        <v/>
      </c>
      <c r="S154" s="29">
        <f>IFERROR(Q154/R154,"")</f>
        <v/>
      </c>
      <c r="T154" s="26" t="n"/>
      <c r="U154" s="26" t="n"/>
      <c r="V154" s="27">
        <f>IF(C154="","",N(T154)+N(U154))</f>
        <v/>
      </c>
      <c r="W154" s="27">
        <f>IF(C154="","",H154-V154)</f>
        <v/>
      </c>
      <c r="X154" s="29">
        <f>IFERROR(W154/H154,"")</f>
        <v/>
      </c>
      <c r="Y154" s="64" t="n"/>
      <c r="Z154" s="64" t="n"/>
      <c r="AA154" s="64" t="n"/>
      <c r="AB154" s="64" t="n"/>
      <c r="AC154" s="64" t="n"/>
      <c r="AD154" s="24" t="n"/>
    </row>
    <row r="155" ht="15" customHeight="1">
      <c r="A155" s="63">
        <f>IF(C155="","",IFERROR(IF(SUMPRODUCT(MAX((tbl_Finance[Job Number]=C155&amp;"")*(tbl_Finance[Xero Invoice No]&lt;&gt;"")*tbl_Finance[Date]))=0,"",SUMPRODUCT(MAX((tbl_Finance[Job Number]=C155&amp;"")*(tbl_Finance[Xero Invoice No]&lt;&gt;"")*tbl_Finance[Date]))),""))</f>
        <v/>
      </c>
      <c r="B155" s="25">
        <f>IF(C155="","",IF(COUNTIFS(tbl_Finance[Job Number],C155&amp;"",tbl_Finance[Xero Invoice No],"&lt;&gt;")=0,"",IFERROR(IF(COUNTIFS(tbl_Finance[Job Number],C155&amp;"",tbl_Finance[Xero Invoice No],LOOKUP(2,1/((tbl_Finance[Job Number]=C155&amp;"")*(tbl_Finance[Xero Invoice No]&lt;&gt;"")),tbl_Finance[Xero Invoice No]))=COUNTIFS(tbl_Finance[Job Number],C155&amp;"",tbl_Finance[Xero Invoice No],"&lt;&gt;"),LOOKUP(2,1/((tbl_Finance[Job Number]=C155&amp;"")*(tbl_Finance[Xero Invoice No]&lt;&gt;"")),tbl_Finance[Xero Invoice No]),LOOKUP(2,1/((tbl_Finance[Job Number]=C155&amp;"")*(tbl_Finance[Xero Invoice No]&lt;&gt;"")),tbl_Finance[Xero Invoice No])&amp;" +more"),"")))</f>
        <v/>
      </c>
      <c r="C155" s="24" t="n"/>
      <c r="D155" s="25">
        <f>IF(C155="","",IF(COUNTIF(lst_Jobs,C155&amp;"")&gt;0,"OK","CHECK"))</f>
        <v/>
      </c>
      <c r="E155" s="25">
        <f>IF(C155="","",IFERROR(INDEX(lst_JobName,MATCH(C155&amp;"",lst_Jobs,0)),""))</f>
        <v/>
      </c>
      <c r="F155" s="25">
        <f>IF(C155="","",IFERROR(INDEX(tbl_Finance[Client],MATCH(C155&amp;"",tbl_Finance[Job Number],0)),""))</f>
        <v/>
      </c>
      <c r="G155" s="28">
        <f>IF(C155="","",COUNTIFS(tbl_Finance[Job Number],C155&amp;"",tbl_Finance[Ex GST],"&lt;&gt;"))</f>
        <v/>
      </c>
      <c r="H155" s="27">
        <f>IF(C155="","",SUMIFS(tbl_Finance[Ex GST],tbl_Finance[Job Number],C155&amp;""))</f>
        <v/>
      </c>
      <c r="I155" s="27">
        <f>IF(C155="","",SUMIFS(tbl_Finance[Ex GST],tbl_Finance[Job Number],C155&amp;"",tbl_Finance[Xero Invoice No],"&lt;&gt;"))</f>
        <v/>
      </c>
      <c r="J155" s="27">
        <f>IF(C155="","",H155-I155)</f>
        <v/>
      </c>
      <c r="K155" s="25">
        <f>IF(C155="","",IF(G155=0,"not invoiced yet",SUBSTITUTE(TRIM(IF(COUNTIFS(tbl_Finance[Job Number],C155&amp;"",tbl_Finance[Cost Centre],"ONSITE")&gt;0,"ONSITE ","")&amp;IF(COUNTIFS(tbl_Finance[Job Number],C155&amp;"",tbl_Finance[Cost Centre],"PRODUCTION")&gt;0,"PRODUCTION ","")&amp;IF(COUNTIFS(tbl_Finance[Job Number],C155&amp;"",tbl_Finance[Cost Centre],"VIDEO")&gt;0,"VIDEO ","")&amp;IF(COUNTIFS(tbl_Finance[Job Number],C155&amp;"",tbl_Finance[Cost Centre],"INTEGRATION")&gt;0,"INTEGRATION ","")&amp;IF(COUNTIFS(tbl_Finance[Job Number],C155&amp;"",tbl_Finance[Cost Centre],"CONSULTING")&gt;0,"CONSULTING ","")&amp;IF(COUNTIFS(tbl_Finance[Job Number],C155&amp;"",tbl_Finance[Cost Centre],"CTS")&gt;0,"CTS ",""))," ",", ")))</f>
        <v/>
      </c>
      <c r="L155" s="22" t="n"/>
      <c r="M155" s="24" t="n"/>
      <c r="N155" s="25">
        <f>IF(M155="","",IF(AND(LEFT(M155,4)&lt;&gt;"http",set_RMSBase=""),"",HYPERLINK(IF(LEFT(M155,4)="http",M155,set_RMSBase&amp;M155),"Open opportunity")))</f>
        <v/>
      </c>
      <c r="O155" s="25">
        <f>IF(C155="","",C155)</f>
        <v/>
      </c>
      <c r="P155" s="24" t="n"/>
      <c r="Q155" s="26" t="n"/>
      <c r="R155" s="27">
        <f>IF(C155="","",H155+N(Q155))</f>
        <v/>
      </c>
      <c r="S155" s="29">
        <f>IFERROR(Q155/R155,"")</f>
        <v/>
      </c>
      <c r="T155" s="26" t="n"/>
      <c r="U155" s="26" t="n"/>
      <c r="V155" s="27">
        <f>IF(C155="","",N(T155)+N(U155))</f>
        <v/>
      </c>
      <c r="W155" s="27">
        <f>IF(C155="","",H155-V155)</f>
        <v/>
      </c>
      <c r="X155" s="29">
        <f>IFERROR(W155/H155,"")</f>
        <v/>
      </c>
      <c r="Y155" s="64" t="n"/>
      <c r="Z155" s="64" t="n"/>
      <c r="AA155" s="64" t="n"/>
      <c r="AB155" s="64" t="n"/>
      <c r="AC155" s="64" t="n"/>
      <c r="AD155" s="24" t="n"/>
    </row>
    <row r="156" ht="15" customHeight="1">
      <c r="A156" s="63">
        <f>IF(C156="","",IFERROR(IF(SUMPRODUCT(MAX((tbl_Finance[Job Number]=C156&amp;"")*(tbl_Finance[Xero Invoice No]&lt;&gt;"")*tbl_Finance[Date]))=0,"",SUMPRODUCT(MAX((tbl_Finance[Job Number]=C156&amp;"")*(tbl_Finance[Xero Invoice No]&lt;&gt;"")*tbl_Finance[Date]))),""))</f>
        <v/>
      </c>
      <c r="B156" s="25">
        <f>IF(C156="","",IF(COUNTIFS(tbl_Finance[Job Number],C156&amp;"",tbl_Finance[Xero Invoice No],"&lt;&gt;")=0,"",IFERROR(IF(COUNTIFS(tbl_Finance[Job Number],C156&amp;"",tbl_Finance[Xero Invoice No],LOOKUP(2,1/((tbl_Finance[Job Number]=C156&amp;"")*(tbl_Finance[Xero Invoice No]&lt;&gt;"")),tbl_Finance[Xero Invoice No]))=COUNTIFS(tbl_Finance[Job Number],C156&amp;"",tbl_Finance[Xero Invoice No],"&lt;&gt;"),LOOKUP(2,1/((tbl_Finance[Job Number]=C156&amp;"")*(tbl_Finance[Xero Invoice No]&lt;&gt;"")),tbl_Finance[Xero Invoice No]),LOOKUP(2,1/((tbl_Finance[Job Number]=C156&amp;"")*(tbl_Finance[Xero Invoice No]&lt;&gt;"")),tbl_Finance[Xero Invoice No])&amp;" +more"),"")))</f>
        <v/>
      </c>
      <c r="C156" s="24" t="n"/>
      <c r="D156" s="25">
        <f>IF(C156="","",IF(COUNTIF(lst_Jobs,C156&amp;"")&gt;0,"OK","CHECK"))</f>
        <v/>
      </c>
      <c r="E156" s="25">
        <f>IF(C156="","",IFERROR(INDEX(lst_JobName,MATCH(C156&amp;"",lst_Jobs,0)),""))</f>
        <v/>
      </c>
      <c r="F156" s="25">
        <f>IF(C156="","",IFERROR(INDEX(tbl_Finance[Client],MATCH(C156&amp;"",tbl_Finance[Job Number],0)),""))</f>
        <v/>
      </c>
      <c r="G156" s="28">
        <f>IF(C156="","",COUNTIFS(tbl_Finance[Job Number],C156&amp;"",tbl_Finance[Ex GST],"&lt;&gt;"))</f>
        <v/>
      </c>
      <c r="H156" s="27">
        <f>IF(C156="","",SUMIFS(tbl_Finance[Ex GST],tbl_Finance[Job Number],C156&amp;""))</f>
        <v/>
      </c>
      <c r="I156" s="27">
        <f>IF(C156="","",SUMIFS(tbl_Finance[Ex GST],tbl_Finance[Job Number],C156&amp;"",tbl_Finance[Xero Invoice No],"&lt;&gt;"))</f>
        <v/>
      </c>
      <c r="J156" s="27">
        <f>IF(C156="","",H156-I156)</f>
        <v/>
      </c>
      <c r="K156" s="25">
        <f>IF(C156="","",IF(G156=0,"not invoiced yet",SUBSTITUTE(TRIM(IF(COUNTIFS(tbl_Finance[Job Number],C156&amp;"",tbl_Finance[Cost Centre],"ONSITE")&gt;0,"ONSITE ","")&amp;IF(COUNTIFS(tbl_Finance[Job Number],C156&amp;"",tbl_Finance[Cost Centre],"PRODUCTION")&gt;0,"PRODUCTION ","")&amp;IF(COUNTIFS(tbl_Finance[Job Number],C156&amp;"",tbl_Finance[Cost Centre],"VIDEO")&gt;0,"VIDEO ","")&amp;IF(COUNTIFS(tbl_Finance[Job Number],C156&amp;"",tbl_Finance[Cost Centre],"INTEGRATION")&gt;0,"INTEGRATION ","")&amp;IF(COUNTIFS(tbl_Finance[Job Number],C156&amp;"",tbl_Finance[Cost Centre],"CONSULTING")&gt;0,"CONSULTING ","")&amp;IF(COUNTIFS(tbl_Finance[Job Number],C156&amp;"",tbl_Finance[Cost Centre],"CTS")&gt;0,"CTS ",""))," ",", ")))</f>
        <v/>
      </c>
      <c r="L156" s="22" t="n"/>
      <c r="M156" s="24" t="n"/>
      <c r="N156" s="25">
        <f>IF(M156="","",IF(AND(LEFT(M156,4)&lt;&gt;"http",set_RMSBase=""),"",HYPERLINK(IF(LEFT(M156,4)="http",M156,set_RMSBase&amp;M156),"Open opportunity")))</f>
        <v/>
      </c>
      <c r="O156" s="25">
        <f>IF(C156="","",C156)</f>
        <v/>
      </c>
      <c r="P156" s="24" t="n"/>
      <c r="Q156" s="26" t="n"/>
      <c r="R156" s="27">
        <f>IF(C156="","",H156+N(Q156))</f>
        <v/>
      </c>
      <c r="S156" s="29">
        <f>IFERROR(Q156/R156,"")</f>
        <v/>
      </c>
      <c r="T156" s="26" t="n"/>
      <c r="U156" s="26" t="n"/>
      <c r="V156" s="27">
        <f>IF(C156="","",N(T156)+N(U156))</f>
        <v/>
      </c>
      <c r="W156" s="27">
        <f>IF(C156="","",H156-V156)</f>
        <v/>
      </c>
      <c r="X156" s="29">
        <f>IFERROR(W156/H156,"")</f>
        <v/>
      </c>
      <c r="Y156" s="64" t="n"/>
      <c r="Z156" s="64" t="n"/>
      <c r="AA156" s="64" t="n"/>
      <c r="AB156" s="64" t="n"/>
      <c r="AC156" s="64" t="n"/>
      <c r="AD156" s="24" t="n"/>
    </row>
    <row r="157" ht="15" customHeight="1">
      <c r="A157" s="63">
        <f>IF(C157="","",IFERROR(IF(SUMPRODUCT(MAX((tbl_Finance[Job Number]=C157&amp;"")*(tbl_Finance[Xero Invoice No]&lt;&gt;"")*tbl_Finance[Date]))=0,"",SUMPRODUCT(MAX((tbl_Finance[Job Number]=C157&amp;"")*(tbl_Finance[Xero Invoice No]&lt;&gt;"")*tbl_Finance[Date]))),""))</f>
        <v/>
      </c>
      <c r="B157" s="25">
        <f>IF(C157="","",IF(COUNTIFS(tbl_Finance[Job Number],C157&amp;"",tbl_Finance[Xero Invoice No],"&lt;&gt;")=0,"",IFERROR(IF(COUNTIFS(tbl_Finance[Job Number],C157&amp;"",tbl_Finance[Xero Invoice No],LOOKUP(2,1/((tbl_Finance[Job Number]=C157&amp;"")*(tbl_Finance[Xero Invoice No]&lt;&gt;"")),tbl_Finance[Xero Invoice No]))=COUNTIFS(tbl_Finance[Job Number],C157&amp;"",tbl_Finance[Xero Invoice No],"&lt;&gt;"),LOOKUP(2,1/((tbl_Finance[Job Number]=C157&amp;"")*(tbl_Finance[Xero Invoice No]&lt;&gt;"")),tbl_Finance[Xero Invoice No]),LOOKUP(2,1/((tbl_Finance[Job Number]=C157&amp;"")*(tbl_Finance[Xero Invoice No]&lt;&gt;"")),tbl_Finance[Xero Invoice No])&amp;" +more"),"")))</f>
        <v/>
      </c>
      <c r="C157" s="24" t="n"/>
      <c r="D157" s="25">
        <f>IF(C157="","",IF(COUNTIF(lst_Jobs,C157&amp;"")&gt;0,"OK","CHECK"))</f>
        <v/>
      </c>
      <c r="E157" s="25">
        <f>IF(C157="","",IFERROR(INDEX(lst_JobName,MATCH(C157&amp;"",lst_Jobs,0)),""))</f>
        <v/>
      </c>
      <c r="F157" s="25">
        <f>IF(C157="","",IFERROR(INDEX(tbl_Finance[Client],MATCH(C157&amp;"",tbl_Finance[Job Number],0)),""))</f>
        <v/>
      </c>
      <c r="G157" s="28">
        <f>IF(C157="","",COUNTIFS(tbl_Finance[Job Number],C157&amp;"",tbl_Finance[Ex GST],"&lt;&gt;"))</f>
        <v/>
      </c>
      <c r="H157" s="27">
        <f>IF(C157="","",SUMIFS(tbl_Finance[Ex GST],tbl_Finance[Job Number],C157&amp;""))</f>
        <v/>
      </c>
      <c r="I157" s="27">
        <f>IF(C157="","",SUMIFS(tbl_Finance[Ex GST],tbl_Finance[Job Number],C157&amp;"",tbl_Finance[Xero Invoice No],"&lt;&gt;"))</f>
        <v/>
      </c>
      <c r="J157" s="27">
        <f>IF(C157="","",H157-I157)</f>
        <v/>
      </c>
      <c r="K157" s="25">
        <f>IF(C157="","",IF(G157=0,"not invoiced yet",SUBSTITUTE(TRIM(IF(COUNTIFS(tbl_Finance[Job Number],C157&amp;"",tbl_Finance[Cost Centre],"ONSITE")&gt;0,"ONSITE ","")&amp;IF(COUNTIFS(tbl_Finance[Job Number],C157&amp;"",tbl_Finance[Cost Centre],"PRODUCTION")&gt;0,"PRODUCTION ","")&amp;IF(COUNTIFS(tbl_Finance[Job Number],C157&amp;"",tbl_Finance[Cost Centre],"VIDEO")&gt;0,"VIDEO ","")&amp;IF(COUNTIFS(tbl_Finance[Job Number],C157&amp;"",tbl_Finance[Cost Centre],"INTEGRATION")&gt;0,"INTEGRATION ","")&amp;IF(COUNTIFS(tbl_Finance[Job Number],C157&amp;"",tbl_Finance[Cost Centre],"CONSULTING")&gt;0,"CONSULTING ","")&amp;IF(COUNTIFS(tbl_Finance[Job Number],C157&amp;"",tbl_Finance[Cost Centre],"CTS")&gt;0,"CTS ",""))," ",", ")))</f>
        <v/>
      </c>
      <c r="L157" s="22" t="n"/>
      <c r="M157" s="24" t="n"/>
      <c r="N157" s="25">
        <f>IF(M157="","",IF(AND(LEFT(M157,4)&lt;&gt;"http",set_RMSBase=""),"",HYPERLINK(IF(LEFT(M157,4)="http",M157,set_RMSBase&amp;M157),"Open opportunity")))</f>
        <v/>
      </c>
      <c r="O157" s="25">
        <f>IF(C157="","",C157)</f>
        <v/>
      </c>
      <c r="P157" s="24" t="n"/>
      <c r="Q157" s="26" t="n"/>
      <c r="R157" s="27">
        <f>IF(C157="","",H157+N(Q157))</f>
        <v/>
      </c>
      <c r="S157" s="29">
        <f>IFERROR(Q157/R157,"")</f>
        <v/>
      </c>
      <c r="T157" s="26" t="n"/>
      <c r="U157" s="26" t="n"/>
      <c r="V157" s="27">
        <f>IF(C157="","",N(T157)+N(U157))</f>
        <v/>
      </c>
      <c r="W157" s="27">
        <f>IF(C157="","",H157-V157)</f>
        <v/>
      </c>
      <c r="X157" s="29">
        <f>IFERROR(W157/H157,"")</f>
        <v/>
      </c>
      <c r="Y157" s="64" t="n"/>
      <c r="Z157" s="64" t="n"/>
      <c r="AA157" s="64" t="n"/>
      <c r="AB157" s="64" t="n"/>
      <c r="AC157" s="64" t="n"/>
      <c r="AD157" s="24" t="n"/>
    </row>
    <row r="158" ht="15" customHeight="1">
      <c r="A158" s="63">
        <f>IF(C158="","",IFERROR(IF(SUMPRODUCT(MAX((tbl_Finance[Job Number]=C158&amp;"")*(tbl_Finance[Xero Invoice No]&lt;&gt;"")*tbl_Finance[Date]))=0,"",SUMPRODUCT(MAX((tbl_Finance[Job Number]=C158&amp;"")*(tbl_Finance[Xero Invoice No]&lt;&gt;"")*tbl_Finance[Date]))),""))</f>
        <v/>
      </c>
      <c r="B158" s="25">
        <f>IF(C158="","",IF(COUNTIFS(tbl_Finance[Job Number],C158&amp;"",tbl_Finance[Xero Invoice No],"&lt;&gt;")=0,"",IFERROR(IF(COUNTIFS(tbl_Finance[Job Number],C158&amp;"",tbl_Finance[Xero Invoice No],LOOKUP(2,1/((tbl_Finance[Job Number]=C158&amp;"")*(tbl_Finance[Xero Invoice No]&lt;&gt;"")),tbl_Finance[Xero Invoice No]))=COUNTIFS(tbl_Finance[Job Number],C158&amp;"",tbl_Finance[Xero Invoice No],"&lt;&gt;"),LOOKUP(2,1/((tbl_Finance[Job Number]=C158&amp;"")*(tbl_Finance[Xero Invoice No]&lt;&gt;"")),tbl_Finance[Xero Invoice No]),LOOKUP(2,1/((tbl_Finance[Job Number]=C158&amp;"")*(tbl_Finance[Xero Invoice No]&lt;&gt;"")),tbl_Finance[Xero Invoice No])&amp;" +more"),"")))</f>
        <v/>
      </c>
      <c r="C158" s="24" t="n"/>
      <c r="D158" s="25">
        <f>IF(C158="","",IF(COUNTIF(lst_Jobs,C158&amp;"")&gt;0,"OK","CHECK"))</f>
        <v/>
      </c>
      <c r="E158" s="25">
        <f>IF(C158="","",IFERROR(INDEX(lst_JobName,MATCH(C158&amp;"",lst_Jobs,0)),""))</f>
        <v/>
      </c>
      <c r="F158" s="25">
        <f>IF(C158="","",IFERROR(INDEX(tbl_Finance[Client],MATCH(C158&amp;"",tbl_Finance[Job Number],0)),""))</f>
        <v/>
      </c>
      <c r="G158" s="28">
        <f>IF(C158="","",COUNTIFS(tbl_Finance[Job Number],C158&amp;"",tbl_Finance[Ex GST],"&lt;&gt;"))</f>
        <v/>
      </c>
      <c r="H158" s="27">
        <f>IF(C158="","",SUMIFS(tbl_Finance[Ex GST],tbl_Finance[Job Number],C158&amp;""))</f>
        <v/>
      </c>
      <c r="I158" s="27">
        <f>IF(C158="","",SUMIFS(tbl_Finance[Ex GST],tbl_Finance[Job Number],C158&amp;"",tbl_Finance[Xero Invoice No],"&lt;&gt;"))</f>
        <v/>
      </c>
      <c r="J158" s="27">
        <f>IF(C158="","",H158-I158)</f>
        <v/>
      </c>
      <c r="K158" s="25">
        <f>IF(C158="","",IF(G158=0,"not invoiced yet",SUBSTITUTE(TRIM(IF(COUNTIFS(tbl_Finance[Job Number],C158&amp;"",tbl_Finance[Cost Centre],"ONSITE")&gt;0,"ONSITE ","")&amp;IF(COUNTIFS(tbl_Finance[Job Number],C158&amp;"",tbl_Finance[Cost Centre],"PRODUCTION")&gt;0,"PRODUCTION ","")&amp;IF(COUNTIFS(tbl_Finance[Job Number],C158&amp;"",tbl_Finance[Cost Centre],"VIDEO")&gt;0,"VIDEO ","")&amp;IF(COUNTIFS(tbl_Finance[Job Number],C158&amp;"",tbl_Finance[Cost Centre],"INTEGRATION")&gt;0,"INTEGRATION ","")&amp;IF(COUNTIFS(tbl_Finance[Job Number],C158&amp;"",tbl_Finance[Cost Centre],"CONSULTING")&gt;0,"CONSULTING ","")&amp;IF(COUNTIFS(tbl_Finance[Job Number],C158&amp;"",tbl_Finance[Cost Centre],"CTS")&gt;0,"CTS ",""))," ",", ")))</f>
        <v/>
      </c>
      <c r="L158" s="22" t="n"/>
      <c r="M158" s="24" t="n"/>
      <c r="N158" s="25">
        <f>IF(M158="","",IF(AND(LEFT(M158,4)&lt;&gt;"http",set_RMSBase=""),"",HYPERLINK(IF(LEFT(M158,4)="http",M158,set_RMSBase&amp;M158),"Open opportunity")))</f>
        <v/>
      </c>
      <c r="O158" s="25">
        <f>IF(C158="","",C158)</f>
        <v/>
      </c>
      <c r="P158" s="24" t="n"/>
      <c r="Q158" s="26" t="n"/>
      <c r="R158" s="27">
        <f>IF(C158="","",H158+N(Q158))</f>
        <v/>
      </c>
      <c r="S158" s="29">
        <f>IFERROR(Q158/R158,"")</f>
        <v/>
      </c>
      <c r="T158" s="26" t="n"/>
      <c r="U158" s="26" t="n"/>
      <c r="V158" s="27">
        <f>IF(C158="","",N(T158)+N(U158))</f>
        <v/>
      </c>
      <c r="W158" s="27">
        <f>IF(C158="","",H158-V158)</f>
        <v/>
      </c>
      <c r="X158" s="29">
        <f>IFERROR(W158/H158,"")</f>
        <v/>
      </c>
      <c r="Y158" s="64" t="n"/>
      <c r="Z158" s="64" t="n"/>
      <c r="AA158" s="64" t="n"/>
      <c r="AB158" s="64" t="n"/>
      <c r="AC158" s="64" t="n"/>
      <c r="AD158" s="24" t="n"/>
    </row>
    <row r="159" ht="15" customHeight="1">
      <c r="A159" s="63">
        <f>IF(C159="","",IFERROR(IF(SUMPRODUCT(MAX((tbl_Finance[Job Number]=C159&amp;"")*(tbl_Finance[Xero Invoice No]&lt;&gt;"")*tbl_Finance[Date]))=0,"",SUMPRODUCT(MAX((tbl_Finance[Job Number]=C159&amp;"")*(tbl_Finance[Xero Invoice No]&lt;&gt;"")*tbl_Finance[Date]))),""))</f>
        <v/>
      </c>
      <c r="B159" s="25">
        <f>IF(C159="","",IF(COUNTIFS(tbl_Finance[Job Number],C159&amp;"",tbl_Finance[Xero Invoice No],"&lt;&gt;")=0,"",IFERROR(IF(COUNTIFS(tbl_Finance[Job Number],C159&amp;"",tbl_Finance[Xero Invoice No],LOOKUP(2,1/((tbl_Finance[Job Number]=C159&amp;"")*(tbl_Finance[Xero Invoice No]&lt;&gt;"")),tbl_Finance[Xero Invoice No]))=COUNTIFS(tbl_Finance[Job Number],C159&amp;"",tbl_Finance[Xero Invoice No],"&lt;&gt;"),LOOKUP(2,1/((tbl_Finance[Job Number]=C159&amp;"")*(tbl_Finance[Xero Invoice No]&lt;&gt;"")),tbl_Finance[Xero Invoice No]),LOOKUP(2,1/((tbl_Finance[Job Number]=C159&amp;"")*(tbl_Finance[Xero Invoice No]&lt;&gt;"")),tbl_Finance[Xero Invoice No])&amp;" +more"),"")))</f>
        <v/>
      </c>
      <c r="C159" s="24" t="n"/>
      <c r="D159" s="25">
        <f>IF(C159="","",IF(COUNTIF(lst_Jobs,C159&amp;"")&gt;0,"OK","CHECK"))</f>
        <v/>
      </c>
      <c r="E159" s="25">
        <f>IF(C159="","",IFERROR(INDEX(lst_JobName,MATCH(C159&amp;"",lst_Jobs,0)),""))</f>
        <v/>
      </c>
      <c r="F159" s="25">
        <f>IF(C159="","",IFERROR(INDEX(tbl_Finance[Client],MATCH(C159&amp;"",tbl_Finance[Job Number],0)),""))</f>
        <v/>
      </c>
      <c r="G159" s="28">
        <f>IF(C159="","",COUNTIFS(tbl_Finance[Job Number],C159&amp;"",tbl_Finance[Ex GST],"&lt;&gt;"))</f>
        <v/>
      </c>
      <c r="H159" s="27">
        <f>IF(C159="","",SUMIFS(tbl_Finance[Ex GST],tbl_Finance[Job Number],C159&amp;""))</f>
        <v/>
      </c>
      <c r="I159" s="27">
        <f>IF(C159="","",SUMIFS(tbl_Finance[Ex GST],tbl_Finance[Job Number],C159&amp;"",tbl_Finance[Xero Invoice No],"&lt;&gt;"))</f>
        <v/>
      </c>
      <c r="J159" s="27">
        <f>IF(C159="","",H159-I159)</f>
        <v/>
      </c>
      <c r="K159" s="25">
        <f>IF(C159="","",IF(G159=0,"not invoiced yet",SUBSTITUTE(TRIM(IF(COUNTIFS(tbl_Finance[Job Number],C159&amp;"",tbl_Finance[Cost Centre],"ONSITE")&gt;0,"ONSITE ","")&amp;IF(COUNTIFS(tbl_Finance[Job Number],C159&amp;"",tbl_Finance[Cost Centre],"PRODUCTION")&gt;0,"PRODUCTION ","")&amp;IF(COUNTIFS(tbl_Finance[Job Number],C159&amp;"",tbl_Finance[Cost Centre],"VIDEO")&gt;0,"VIDEO ","")&amp;IF(COUNTIFS(tbl_Finance[Job Number],C159&amp;"",tbl_Finance[Cost Centre],"INTEGRATION")&gt;0,"INTEGRATION ","")&amp;IF(COUNTIFS(tbl_Finance[Job Number],C159&amp;"",tbl_Finance[Cost Centre],"CONSULTING")&gt;0,"CONSULTING ","")&amp;IF(COUNTIFS(tbl_Finance[Job Number],C159&amp;"",tbl_Finance[Cost Centre],"CTS")&gt;0,"CTS ",""))," ",", ")))</f>
        <v/>
      </c>
      <c r="L159" s="22" t="n"/>
      <c r="M159" s="24" t="n"/>
      <c r="N159" s="25">
        <f>IF(M159="","",IF(AND(LEFT(M159,4)&lt;&gt;"http",set_RMSBase=""),"",HYPERLINK(IF(LEFT(M159,4)="http",M159,set_RMSBase&amp;M159),"Open opportunity")))</f>
        <v/>
      </c>
      <c r="O159" s="25">
        <f>IF(C159="","",C159)</f>
        <v/>
      </c>
      <c r="P159" s="24" t="n"/>
      <c r="Q159" s="26" t="n"/>
      <c r="R159" s="27">
        <f>IF(C159="","",H159+N(Q159))</f>
        <v/>
      </c>
      <c r="S159" s="29">
        <f>IFERROR(Q159/R159,"")</f>
        <v/>
      </c>
      <c r="T159" s="26" t="n"/>
      <c r="U159" s="26" t="n"/>
      <c r="V159" s="27">
        <f>IF(C159="","",N(T159)+N(U159))</f>
        <v/>
      </c>
      <c r="W159" s="27">
        <f>IF(C159="","",H159-V159)</f>
        <v/>
      </c>
      <c r="X159" s="29">
        <f>IFERROR(W159/H159,"")</f>
        <v/>
      </c>
      <c r="Y159" s="64" t="n"/>
      <c r="Z159" s="64" t="n"/>
      <c r="AA159" s="64" t="n"/>
      <c r="AB159" s="64" t="n"/>
      <c r="AC159" s="64" t="n"/>
      <c r="AD159" s="24" t="n"/>
    </row>
    <row r="160" ht="15" customHeight="1">
      <c r="A160" s="63">
        <f>IF(C160="","",IFERROR(IF(SUMPRODUCT(MAX((tbl_Finance[Job Number]=C160&amp;"")*(tbl_Finance[Xero Invoice No]&lt;&gt;"")*tbl_Finance[Date]))=0,"",SUMPRODUCT(MAX((tbl_Finance[Job Number]=C160&amp;"")*(tbl_Finance[Xero Invoice No]&lt;&gt;"")*tbl_Finance[Date]))),""))</f>
        <v/>
      </c>
      <c r="B160" s="25">
        <f>IF(C160="","",IF(COUNTIFS(tbl_Finance[Job Number],C160&amp;"",tbl_Finance[Xero Invoice No],"&lt;&gt;")=0,"",IFERROR(IF(COUNTIFS(tbl_Finance[Job Number],C160&amp;"",tbl_Finance[Xero Invoice No],LOOKUP(2,1/((tbl_Finance[Job Number]=C160&amp;"")*(tbl_Finance[Xero Invoice No]&lt;&gt;"")),tbl_Finance[Xero Invoice No]))=COUNTIFS(tbl_Finance[Job Number],C160&amp;"",tbl_Finance[Xero Invoice No],"&lt;&gt;"),LOOKUP(2,1/((tbl_Finance[Job Number]=C160&amp;"")*(tbl_Finance[Xero Invoice No]&lt;&gt;"")),tbl_Finance[Xero Invoice No]),LOOKUP(2,1/((tbl_Finance[Job Number]=C160&amp;"")*(tbl_Finance[Xero Invoice No]&lt;&gt;"")),tbl_Finance[Xero Invoice No])&amp;" +more"),"")))</f>
        <v/>
      </c>
      <c r="C160" s="24" t="n"/>
      <c r="D160" s="25">
        <f>IF(C160="","",IF(COUNTIF(lst_Jobs,C160&amp;"")&gt;0,"OK","CHECK"))</f>
        <v/>
      </c>
      <c r="E160" s="25">
        <f>IF(C160="","",IFERROR(INDEX(lst_JobName,MATCH(C160&amp;"",lst_Jobs,0)),""))</f>
        <v/>
      </c>
      <c r="F160" s="25">
        <f>IF(C160="","",IFERROR(INDEX(tbl_Finance[Client],MATCH(C160&amp;"",tbl_Finance[Job Number],0)),""))</f>
        <v/>
      </c>
      <c r="G160" s="28">
        <f>IF(C160="","",COUNTIFS(tbl_Finance[Job Number],C160&amp;"",tbl_Finance[Ex GST],"&lt;&gt;"))</f>
        <v/>
      </c>
      <c r="H160" s="27">
        <f>IF(C160="","",SUMIFS(tbl_Finance[Ex GST],tbl_Finance[Job Number],C160&amp;""))</f>
        <v/>
      </c>
      <c r="I160" s="27">
        <f>IF(C160="","",SUMIFS(tbl_Finance[Ex GST],tbl_Finance[Job Number],C160&amp;"",tbl_Finance[Xero Invoice No],"&lt;&gt;"))</f>
        <v/>
      </c>
      <c r="J160" s="27">
        <f>IF(C160="","",H160-I160)</f>
        <v/>
      </c>
      <c r="K160" s="25">
        <f>IF(C160="","",IF(G160=0,"not invoiced yet",SUBSTITUTE(TRIM(IF(COUNTIFS(tbl_Finance[Job Number],C160&amp;"",tbl_Finance[Cost Centre],"ONSITE")&gt;0,"ONSITE ","")&amp;IF(COUNTIFS(tbl_Finance[Job Number],C160&amp;"",tbl_Finance[Cost Centre],"PRODUCTION")&gt;0,"PRODUCTION ","")&amp;IF(COUNTIFS(tbl_Finance[Job Number],C160&amp;"",tbl_Finance[Cost Centre],"VIDEO")&gt;0,"VIDEO ","")&amp;IF(COUNTIFS(tbl_Finance[Job Number],C160&amp;"",tbl_Finance[Cost Centre],"INTEGRATION")&gt;0,"INTEGRATION ","")&amp;IF(COUNTIFS(tbl_Finance[Job Number],C160&amp;"",tbl_Finance[Cost Centre],"CONSULTING")&gt;0,"CONSULTING ","")&amp;IF(COUNTIFS(tbl_Finance[Job Number],C160&amp;"",tbl_Finance[Cost Centre],"CTS")&gt;0,"CTS ",""))," ",", ")))</f>
        <v/>
      </c>
      <c r="L160" s="22" t="n"/>
      <c r="M160" s="24" t="n"/>
      <c r="N160" s="25">
        <f>IF(M160="","",IF(AND(LEFT(M160,4)&lt;&gt;"http",set_RMSBase=""),"",HYPERLINK(IF(LEFT(M160,4)="http",M160,set_RMSBase&amp;M160),"Open opportunity")))</f>
        <v/>
      </c>
      <c r="O160" s="25">
        <f>IF(C160="","",C160)</f>
        <v/>
      </c>
      <c r="P160" s="24" t="n"/>
      <c r="Q160" s="26" t="n"/>
      <c r="R160" s="27">
        <f>IF(C160="","",H160+N(Q160))</f>
        <v/>
      </c>
      <c r="S160" s="29">
        <f>IFERROR(Q160/R160,"")</f>
        <v/>
      </c>
      <c r="T160" s="26" t="n"/>
      <c r="U160" s="26" t="n"/>
      <c r="V160" s="27">
        <f>IF(C160="","",N(T160)+N(U160))</f>
        <v/>
      </c>
      <c r="W160" s="27">
        <f>IF(C160="","",H160-V160)</f>
        <v/>
      </c>
      <c r="X160" s="29">
        <f>IFERROR(W160/H160,"")</f>
        <v/>
      </c>
      <c r="Y160" s="64" t="n"/>
      <c r="Z160" s="64" t="n"/>
      <c r="AA160" s="64" t="n"/>
      <c r="AB160" s="64" t="n"/>
      <c r="AC160" s="64" t="n"/>
      <c r="AD160" s="24" t="n"/>
    </row>
    <row r="161" ht="15" customHeight="1">
      <c r="A161" s="63">
        <f>IF(C161="","",IFERROR(IF(SUMPRODUCT(MAX((tbl_Finance[Job Number]=C161&amp;"")*(tbl_Finance[Xero Invoice No]&lt;&gt;"")*tbl_Finance[Date]))=0,"",SUMPRODUCT(MAX((tbl_Finance[Job Number]=C161&amp;"")*(tbl_Finance[Xero Invoice No]&lt;&gt;"")*tbl_Finance[Date]))),""))</f>
        <v/>
      </c>
      <c r="B161" s="25">
        <f>IF(C161="","",IF(COUNTIFS(tbl_Finance[Job Number],C161&amp;"",tbl_Finance[Xero Invoice No],"&lt;&gt;")=0,"",IFERROR(IF(COUNTIFS(tbl_Finance[Job Number],C161&amp;"",tbl_Finance[Xero Invoice No],LOOKUP(2,1/((tbl_Finance[Job Number]=C161&amp;"")*(tbl_Finance[Xero Invoice No]&lt;&gt;"")),tbl_Finance[Xero Invoice No]))=COUNTIFS(tbl_Finance[Job Number],C161&amp;"",tbl_Finance[Xero Invoice No],"&lt;&gt;"),LOOKUP(2,1/((tbl_Finance[Job Number]=C161&amp;"")*(tbl_Finance[Xero Invoice No]&lt;&gt;"")),tbl_Finance[Xero Invoice No]),LOOKUP(2,1/((tbl_Finance[Job Number]=C161&amp;"")*(tbl_Finance[Xero Invoice No]&lt;&gt;"")),tbl_Finance[Xero Invoice No])&amp;" +more"),"")))</f>
        <v/>
      </c>
      <c r="C161" s="24" t="n"/>
      <c r="D161" s="25">
        <f>IF(C161="","",IF(COUNTIF(lst_Jobs,C161&amp;"")&gt;0,"OK","CHECK"))</f>
        <v/>
      </c>
      <c r="E161" s="25">
        <f>IF(C161="","",IFERROR(INDEX(lst_JobName,MATCH(C161&amp;"",lst_Jobs,0)),""))</f>
        <v/>
      </c>
      <c r="F161" s="25">
        <f>IF(C161="","",IFERROR(INDEX(tbl_Finance[Client],MATCH(C161&amp;"",tbl_Finance[Job Number],0)),""))</f>
        <v/>
      </c>
      <c r="G161" s="28">
        <f>IF(C161="","",COUNTIFS(tbl_Finance[Job Number],C161&amp;"",tbl_Finance[Ex GST],"&lt;&gt;"))</f>
        <v/>
      </c>
      <c r="H161" s="27">
        <f>IF(C161="","",SUMIFS(tbl_Finance[Ex GST],tbl_Finance[Job Number],C161&amp;""))</f>
        <v/>
      </c>
      <c r="I161" s="27">
        <f>IF(C161="","",SUMIFS(tbl_Finance[Ex GST],tbl_Finance[Job Number],C161&amp;"",tbl_Finance[Xero Invoice No],"&lt;&gt;"))</f>
        <v/>
      </c>
      <c r="J161" s="27">
        <f>IF(C161="","",H161-I161)</f>
        <v/>
      </c>
      <c r="K161" s="25">
        <f>IF(C161="","",IF(G161=0,"not invoiced yet",SUBSTITUTE(TRIM(IF(COUNTIFS(tbl_Finance[Job Number],C161&amp;"",tbl_Finance[Cost Centre],"ONSITE")&gt;0,"ONSITE ","")&amp;IF(COUNTIFS(tbl_Finance[Job Number],C161&amp;"",tbl_Finance[Cost Centre],"PRODUCTION")&gt;0,"PRODUCTION ","")&amp;IF(COUNTIFS(tbl_Finance[Job Number],C161&amp;"",tbl_Finance[Cost Centre],"VIDEO")&gt;0,"VIDEO ","")&amp;IF(COUNTIFS(tbl_Finance[Job Number],C161&amp;"",tbl_Finance[Cost Centre],"INTEGRATION")&gt;0,"INTEGRATION ","")&amp;IF(COUNTIFS(tbl_Finance[Job Number],C161&amp;"",tbl_Finance[Cost Centre],"CONSULTING")&gt;0,"CONSULTING ","")&amp;IF(COUNTIFS(tbl_Finance[Job Number],C161&amp;"",tbl_Finance[Cost Centre],"CTS")&gt;0,"CTS ",""))," ",", ")))</f>
        <v/>
      </c>
      <c r="L161" s="22" t="n"/>
      <c r="M161" s="24" t="n"/>
      <c r="N161" s="25">
        <f>IF(M161="","",IF(AND(LEFT(M161,4)&lt;&gt;"http",set_RMSBase=""),"",HYPERLINK(IF(LEFT(M161,4)="http",M161,set_RMSBase&amp;M161),"Open opportunity")))</f>
        <v/>
      </c>
      <c r="O161" s="25">
        <f>IF(C161="","",C161)</f>
        <v/>
      </c>
      <c r="P161" s="24" t="n"/>
      <c r="Q161" s="26" t="n"/>
      <c r="R161" s="27">
        <f>IF(C161="","",H161+N(Q161))</f>
        <v/>
      </c>
      <c r="S161" s="29">
        <f>IFERROR(Q161/R161,"")</f>
        <v/>
      </c>
      <c r="T161" s="26" t="n"/>
      <c r="U161" s="26" t="n"/>
      <c r="V161" s="27">
        <f>IF(C161="","",N(T161)+N(U161))</f>
        <v/>
      </c>
      <c r="W161" s="27">
        <f>IF(C161="","",H161-V161)</f>
        <v/>
      </c>
      <c r="X161" s="29">
        <f>IFERROR(W161/H161,"")</f>
        <v/>
      </c>
      <c r="Y161" s="64" t="n"/>
      <c r="Z161" s="64" t="n"/>
      <c r="AA161" s="64" t="n"/>
      <c r="AB161" s="64" t="n"/>
      <c r="AC161" s="64" t="n"/>
      <c r="AD161" s="24" t="n"/>
    </row>
    <row r="162" ht="15" customHeight="1">
      <c r="A162" s="63">
        <f>IF(C162="","",IFERROR(IF(SUMPRODUCT(MAX((tbl_Finance[Job Number]=C162&amp;"")*(tbl_Finance[Xero Invoice No]&lt;&gt;"")*tbl_Finance[Date]))=0,"",SUMPRODUCT(MAX((tbl_Finance[Job Number]=C162&amp;"")*(tbl_Finance[Xero Invoice No]&lt;&gt;"")*tbl_Finance[Date]))),""))</f>
        <v/>
      </c>
      <c r="B162" s="25">
        <f>IF(C162="","",IF(COUNTIFS(tbl_Finance[Job Number],C162&amp;"",tbl_Finance[Xero Invoice No],"&lt;&gt;")=0,"",IFERROR(IF(COUNTIFS(tbl_Finance[Job Number],C162&amp;"",tbl_Finance[Xero Invoice No],LOOKUP(2,1/((tbl_Finance[Job Number]=C162&amp;"")*(tbl_Finance[Xero Invoice No]&lt;&gt;"")),tbl_Finance[Xero Invoice No]))=COUNTIFS(tbl_Finance[Job Number],C162&amp;"",tbl_Finance[Xero Invoice No],"&lt;&gt;"),LOOKUP(2,1/((tbl_Finance[Job Number]=C162&amp;"")*(tbl_Finance[Xero Invoice No]&lt;&gt;"")),tbl_Finance[Xero Invoice No]),LOOKUP(2,1/((tbl_Finance[Job Number]=C162&amp;"")*(tbl_Finance[Xero Invoice No]&lt;&gt;"")),tbl_Finance[Xero Invoice No])&amp;" +more"),"")))</f>
        <v/>
      </c>
      <c r="C162" s="24" t="n"/>
      <c r="D162" s="25">
        <f>IF(C162="","",IF(COUNTIF(lst_Jobs,C162&amp;"")&gt;0,"OK","CHECK"))</f>
        <v/>
      </c>
      <c r="E162" s="25">
        <f>IF(C162="","",IFERROR(INDEX(lst_JobName,MATCH(C162&amp;"",lst_Jobs,0)),""))</f>
        <v/>
      </c>
      <c r="F162" s="25">
        <f>IF(C162="","",IFERROR(INDEX(tbl_Finance[Client],MATCH(C162&amp;"",tbl_Finance[Job Number],0)),""))</f>
        <v/>
      </c>
      <c r="G162" s="28">
        <f>IF(C162="","",COUNTIFS(tbl_Finance[Job Number],C162&amp;"",tbl_Finance[Ex GST],"&lt;&gt;"))</f>
        <v/>
      </c>
      <c r="H162" s="27">
        <f>IF(C162="","",SUMIFS(tbl_Finance[Ex GST],tbl_Finance[Job Number],C162&amp;""))</f>
        <v/>
      </c>
      <c r="I162" s="27">
        <f>IF(C162="","",SUMIFS(tbl_Finance[Ex GST],tbl_Finance[Job Number],C162&amp;"",tbl_Finance[Xero Invoice No],"&lt;&gt;"))</f>
        <v/>
      </c>
      <c r="J162" s="27">
        <f>IF(C162="","",H162-I162)</f>
        <v/>
      </c>
      <c r="K162" s="25">
        <f>IF(C162="","",IF(G162=0,"not invoiced yet",SUBSTITUTE(TRIM(IF(COUNTIFS(tbl_Finance[Job Number],C162&amp;"",tbl_Finance[Cost Centre],"ONSITE")&gt;0,"ONSITE ","")&amp;IF(COUNTIFS(tbl_Finance[Job Number],C162&amp;"",tbl_Finance[Cost Centre],"PRODUCTION")&gt;0,"PRODUCTION ","")&amp;IF(COUNTIFS(tbl_Finance[Job Number],C162&amp;"",tbl_Finance[Cost Centre],"VIDEO")&gt;0,"VIDEO ","")&amp;IF(COUNTIFS(tbl_Finance[Job Number],C162&amp;"",tbl_Finance[Cost Centre],"INTEGRATION")&gt;0,"INTEGRATION ","")&amp;IF(COUNTIFS(tbl_Finance[Job Number],C162&amp;"",tbl_Finance[Cost Centre],"CONSULTING")&gt;0,"CONSULTING ","")&amp;IF(COUNTIFS(tbl_Finance[Job Number],C162&amp;"",tbl_Finance[Cost Centre],"CTS")&gt;0,"CTS ",""))," ",", ")))</f>
        <v/>
      </c>
      <c r="L162" s="22" t="n"/>
      <c r="M162" s="24" t="n"/>
      <c r="N162" s="25">
        <f>IF(M162="","",IF(AND(LEFT(M162,4)&lt;&gt;"http",set_RMSBase=""),"",HYPERLINK(IF(LEFT(M162,4)="http",M162,set_RMSBase&amp;M162),"Open opportunity")))</f>
        <v/>
      </c>
      <c r="O162" s="25">
        <f>IF(C162="","",C162)</f>
        <v/>
      </c>
      <c r="P162" s="24" t="n"/>
      <c r="Q162" s="26" t="n"/>
      <c r="R162" s="27">
        <f>IF(C162="","",H162+N(Q162))</f>
        <v/>
      </c>
      <c r="S162" s="29">
        <f>IFERROR(Q162/R162,"")</f>
        <v/>
      </c>
      <c r="T162" s="26" t="n"/>
      <c r="U162" s="26" t="n"/>
      <c r="V162" s="27">
        <f>IF(C162="","",N(T162)+N(U162))</f>
        <v/>
      </c>
      <c r="W162" s="27">
        <f>IF(C162="","",H162-V162)</f>
        <v/>
      </c>
      <c r="X162" s="29">
        <f>IFERROR(W162/H162,"")</f>
        <v/>
      </c>
      <c r="Y162" s="64" t="n"/>
      <c r="Z162" s="64" t="n"/>
      <c r="AA162" s="64" t="n"/>
      <c r="AB162" s="64" t="n"/>
      <c r="AC162" s="64" t="n"/>
      <c r="AD162" s="24" t="n"/>
    </row>
    <row r="163" ht="15" customHeight="1">
      <c r="A163" s="63">
        <f>IF(C163="","",IFERROR(IF(SUMPRODUCT(MAX((tbl_Finance[Job Number]=C163&amp;"")*(tbl_Finance[Xero Invoice No]&lt;&gt;"")*tbl_Finance[Date]))=0,"",SUMPRODUCT(MAX((tbl_Finance[Job Number]=C163&amp;"")*(tbl_Finance[Xero Invoice No]&lt;&gt;"")*tbl_Finance[Date]))),""))</f>
        <v/>
      </c>
      <c r="B163" s="25">
        <f>IF(C163="","",IF(COUNTIFS(tbl_Finance[Job Number],C163&amp;"",tbl_Finance[Xero Invoice No],"&lt;&gt;")=0,"",IFERROR(IF(COUNTIFS(tbl_Finance[Job Number],C163&amp;"",tbl_Finance[Xero Invoice No],LOOKUP(2,1/((tbl_Finance[Job Number]=C163&amp;"")*(tbl_Finance[Xero Invoice No]&lt;&gt;"")),tbl_Finance[Xero Invoice No]))=COUNTIFS(tbl_Finance[Job Number],C163&amp;"",tbl_Finance[Xero Invoice No],"&lt;&gt;"),LOOKUP(2,1/((tbl_Finance[Job Number]=C163&amp;"")*(tbl_Finance[Xero Invoice No]&lt;&gt;"")),tbl_Finance[Xero Invoice No]),LOOKUP(2,1/((tbl_Finance[Job Number]=C163&amp;"")*(tbl_Finance[Xero Invoice No]&lt;&gt;"")),tbl_Finance[Xero Invoice No])&amp;" +more"),"")))</f>
        <v/>
      </c>
      <c r="C163" s="24" t="n"/>
      <c r="D163" s="25">
        <f>IF(C163="","",IF(COUNTIF(lst_Jobs,C163&amp;"")&gt;0,"OK","CHECK"))</f>
        <v/>
      </c>
      <c r="E163" s="25">
        <f>IF(C163="","",IFERROR(INDEX(lst_JobName,MATCH(C163&amp;"",lst_Jobs,0)),""))</f>
        <v/>
      </c>
      <c r="F163" s="25">
        <f>IF(C163="","",IFERROR(INDEX(tbl_Finance[Client],MATCH(C163&amp;"",tbl_Finance[Job Number],0)),""))</f>
        <v/>
      </c>
      <c r="G163" s="28">
        <f>IF(C163="","",COUNTIFS(tbl_Finance[Job Number],C163&amp;"",tbl_Finance[Ex GST],"&lt;&gt;"))</f>
        <v/>
      </c>
      <c r="H163" s="27">
        <f>IF(C163="","",SUMIFS(tbl_Finance[Ex GST],tbl_Finance[Job Number],C163&amp;""))</f>
        <v/>
      </c>
      <c r="I163" s="27">
        <f>IF(C163="","",SUMIFS(tbl_Finance[Ex GST],tbl_Finance[Job Number],C163&amp;"",tbl_Finance[Xero Invoice No],"&lt;&gt;"))</f>
        <v/>
      </c>
      <c r="J163" s="27">
        <f>IF(C163="","",H163-I163)</f>
        <v/>
      </c>
      <c r="K163" s="25">
        <f>IF(C163="","",IF(G163=0,"not invoiced yet",SUBSTITUTE(TRIM(IF(COUNTIFS(tbl_Finance[Job Number],C163&amp;"",tbl_Finance[Cost Centre],"ONSITE")&gt;0,"ONSITE ","")&amp;IF(COUNTIFS(tbl_Finance[Job Number],C163&amp;"",tbl_Finance[Cost Centre],"PRODUCTION")&gt;0,"PRODUCTION ","")&amp;IF(COUNTIFS(tbl_Finance[Job Number],C163&amp;"",tbl_Finance[Cost Centre],"VIDEO")&gt;0,"VIDEO ","")&amp;IF(COUNTIFS(tbl_Finance[Job Number],C163&amp;"",tbl_Finance[Cost Centre],"INTEGRATION")&gt;0,"INTEGRATION ","")&amp;IF(COUNTIFS(tbl_Finance[Job Number],C163&amp;"",tbl_Finance[Cost Centre],"CONSULTING")&gt;0,"CONSULTING ","")&amp;IF(COUNTIFS(tbl_Finance[Job Number],C163&amp;"",tbl_Finance[Cost Centre],"CTS")&gt;0,"CTS ",""))," ",", ")))</f>
        <v/>
      </c>
      <c r="L163" s="22" t="n"/>
      <c r="M163" s="24" t="n"/>
      <c r="N163" s="25">
        <f>IF(M163="","",IF(AND(LEFT(M163,4)&lt;&gt;"http",set_RMSBase=""),"",HYPERLINK(IF(LEFT(M163,4)="http",M163,set_RMSBase&amp;M163),"Open opportunity")))</f>
        <v/>
      </c>
      <c r="O163" s="25">
        <f>IF(C163="","",C163)</f>
        <v/>
      </c>
      <c r="P163" s="24" t="n"/>
      <c r="Q163" s="26" t="n"/>
      <c r="R163" s="27">
        <f>IF(C163="","",H163+N(Q163))</f>
        <v/>
      </c>
      <c r="S163" s="29">
        <f>IFERROR(Q163/R163,"")</f>
        <v/>
      </c>
      <c r="T163" s="26" t="n"/>
      <c r="U163" s="26" t="n"/>
      <c r="V163" s="27">
        <f>IF(C163="","",N(T163)+N(U163))</f>
        <v/>
      </c>
      <c r="W163" s="27">
        <f>IF(C163="","",H163-V163)</f>
        <v/>
      </c>
      <c r="X163" s="29">
        <f>IFERROR(W163/H163,"")</f>
        <v/>
      </c>
      <c r="Y163" s="64" t="n"/>
      <c r="Z163" s="64" t="n"/>
      <c r="AA163" s="64" t="n"/>
      <c r="AB163" s="64" t="n"/>
      <c r="AC163" s="64" t="n"/>
      <c r="AD163" s="24" t="n"/>
    </row>
    <row r="164" ht="15" customHeight="1">
      <c r="A164" s="63">
        <f>IF(C164="","",IFERROR(IF(SUMPRODUCT(MAX((tbl_Finance[Job Number]=C164&amp;"")*(tbl_Finance[Xero Invoice No]&lt;&gt;"")*tbl_Finance[Date]))=0,"",SUMPRODUCT(MAX((tbl_Finance[Job Number]=C164&amp;"")*(tbl_Finance[Xero Invoice No]&lt;&gt;"")*tbl_Finance[Date]))),""))</f>
        <v/>
      </c>
      <c r="B164" s="25">
        <f>IF(C164="","",IF(COUNTIFS(tbl_Finance[Job Number],C164&amp;"",tbl_Finance[Xero Invoice No],"&lt;&gt;")=0,"",IFERROR(IF(COUNTIFS(tbl_Finance[Job Number],C164&amp;"",tbl_Finance[Xero Invoice No],LOOKUP(2,1/((tbl_Finance[Job Number]=C164&amp;"")*(tbl_Finance[Xero Invoice No]&lt;&gt;"")),tbl_Finance[Xero Invoice No]))=COUNTIFS(tbl_Finance[Job Number],C164&amp;"",tbl_Finance[Xero Invoice No],"&lt;&gt;"),LOOKUP(2,1/((tbl_Finance[Job Number]=C164&amp;"")*(tbl_Finance[Xero Invoice No]&lt;&gt;"")),tbl_Finance[Xero Invoice No]),LOOKUP(2,1/((tbl_Finance[Job Number]=C164&amp;"")*(tbl_Finance[Xero Invoice No]&lt;&gt;"")),tbl_Finance[Xero Invoice No])&amp;" +more"),"")))</f>
        <v/>
      </c>
      <c r="C164" s="24" t="n"/>
      <c r="D164" s="25">
        <f>IF(C164="","",IF(COUNTIF(lst_Jobs,C164&amp;"")&gt;0,"OK","CHECK"))</f>
        <v/>
      </c>
      <c r="E164" s="25">
        <f>IF(C164="","",IFERROR(INDEX(lst_JobName,MATCH(C164&amp;"",lst_Jobs,0)),""))</f>
        <v/>
      </c>
      <c r="F164" s="25">
        <f>IF(C164="","",IFERROR(INDEX(tbl_Finance[Client],MATCH(C164&amp;"",tbl_Finance[Job Number],0)),""))</f>
        <v/>
      </c>
      <c r="G164" s="28">
        <f>IF(C164="","",COUNTIFS(tbl_Finance[Job Number],C164&amp;"",tbl_Finance[Ex GST],"&lt;&gt;"))</f>
        <v/>
      </c>
      <c r="H164" s="27">
        <f>IF(C164="","",SUMIFS(tbl_Finance[Ex GST],tbl_Finance[Job Number],C164&amp;""))</f>
        <v/>
      </c>
      <c r="I164" s="27">
        <f>IF(C164="","",SUMIFS(tbl_Finance[Ex GST],tbl_Finance[Job Number],C164&amp;"",tbl_Finance[Xero Invoice No],"&lt;&gt;"))</f>
        <v/>
      </c>
      <c r="J164" s="27">
        <f>IF(C164="","",H164-I164)</f>
        <v/>
      </c>
      <c r="K164" s="25">
        <f>IF(C164="","",IF(G164=0,"not invoiced yet",SUBSTITUTE(TRIM(IF(COUNTIFS(tbl_Finance[Job Number],C164&amp;"",tbl_Finance[Cost Centre],"ONSITE")&gt;0,"ONSITE ","")&amp;IF(COUNTIFS(tbl_Finance[Job Number],C164&amp;"",tbl_Finance[Cost Centre],"PRODUCTION")&gt;0,"PRODUCTION ","")&amp;IF(COUNTIFS(tbl_Finance[Job Number],C164&amp;"",tbl_Finance[Cost Centre],"VIDEO")&gt;0,"VIDEO ","")&amp;IF(COUNTIFS(tbl_Finance[Job Number],C164&amp;"",tbl_Finance[Cost Centre],"INTEGRATION")&gt;0,"INTEGRATION ","")&amp;IF(COUNTIFS(tbl_Finance[Job Number],C164&amp;"",tbl_Finance[Cost Centre],"CONSULTING")&gt;0,"CONSULTING ","")&amp;IF(COUNTIFS(tbl_Finance[Job Number],C164&amp;"",tbl_Finance[Cost Centre],"CTS")&gt;0,"CTS ",""))," ",", ")))</f>
        <v/>
      </c>
      <c r="L164" s="22" t="n"/>
      <c r="M164" s="24" t="n"/>
      <c r="N164" s="25">
        <f>IF(M164="","",IF(AND(LEFT(M164,4)&lt;&gt;"http",set_RMSBase=""),"",HYPERLINK(IF(LEFT(M164,4)="http",M164,set_RMSBase&amp;M164),"Open opportunity")))</f>
        <v/>
      </c>
      <c r="O164" s="25">
        <f>IF(C164="","",C164)</f>
        <v/>
      </c>
      <c r="P164" s="24" t="n"/>
      <c r="Q164" s="26" t="n"/>
      <c r="R164" s="27">
        <f>IF(C164="","",H164+N(Q164))</f>
        <v/>
      </c>
      <c r="S164" s="29">
        <f>IFERROR(Q164/R164,"")</f>
        <v/>
      </c>
      <c r="T164" s="26" t="n"/>
      <c r="U164" s="26" t="n"/>
      <c r="V164" s="27">
        <f>IF(C164="","",N(T164)+N(U164))</f>
        <v/>
      </c>
      <c r="W164" s="27">
        <f>IF(C164="","",H164-V164)</f>
        <v/>
      </c>
      <c r="X164" s="29">
        <f>IFERROR(W164/H164,"")</f>
        <v/>
      </c>
      <c r="Y164" s="64" t="n"/>
      <c r="Z164" s="64" t="n"/>
      <c r="AA164" s="64" t="n"/>
      <c r="AB164" s="64" t="n"/>
      <c r="AC164" s="64" t="n"/>
      <c r="AD164" s="24" t="n"/>
    </row>
    <row r="165" ht="15" customHeight="1">
      <c r="A165" s="63">
        <f>IF(C165="","",IFERROR(IF(SUMPRODUCT(MAX((tbl_Finance[Job Number]=C165&amp;"")*(tbl_Finance[Xero Invoice No]&lt;&gt;"")*tbl_Finance[Date]))=0,"",SUMPRODUCT(MAX((tbl_Finance[Job Number]=C165&amp;"")*(tbl_Finance[Xero Invoice No]&lt;&gt;"")*tbl_Finance[Date]))),""))</f>
        <v/>
      </c>
      <c r="B165" s="25">
        <f>IF(C165="","",IF(COUNTIFS(tbl_Finance[Job Number],C165&amp;"",tbl_Finance[Xero Invoice No],"&lt;&gt;")=0,"",IFERROR(IF(COUNTIFS(tbl_Finance[Job Number],C165&amp;"",tbl_Finance[Xero Invoice No],LOOKUP(2,1/((tbl_Finance[Job Number]=C165&amp;"")*(tbl_Finance[Xero Invoice No]&lt;&gt;"")),tbl_Finance[Xero Invoice No]))=COUNTIFS(tbl_Finance[Job Number],C165&amp;"",tbl_Finance[Xero Invoice No],"&lt;&gt;"),LOOKUP(2,1/((tbl_Finance[Job Number]=C165&amp;"")*(tbl_Finance[Xero Invoice No]&lt;&gt;"")),tbl_Finance[Xero Invoice No]),LOOKUP(2,1/((tbl_Finance[Job Number]=C165&amp;"")*(tbl_Finance[Xero Invoice No]&lt;&gt;"")),tbl_Finance[Xero Invoice No])&amp;" +more"),"")))</f>
        <v/>
      </c>
      <c r="C165" s="24" t="n"/>
      <c r="D165" s="25">
        <f>IF(C165="","",IF(COUNTIF(lst_Jobs,C165&amp;"")&gt;0,"OK","CHECK"))</f>
        <v/>
      </c>
      <c r="E165" s="25">
        <f>IF(C165="","",IFERROR(INDEX(lst_JobName,MATCH(C165&amp;"",lst_Jobs,0)),""))</f>
        <v/>
      </c>
      <c r="F165" s="25">
        <f>IF(C165="","",IFERROR(INDEX(tbl_Finance[Client],MATCH(C165&amp;"",tbl_Finance[Job Number],0)),""))</f>
        <v/>
      </c>
      <c r="G165" s="28">
        <f>IF(C165="","",COUNTIFS(tbl_Finance[Job Number],C165&amp;"",tbl_Finance[Ex GST],"&lt;&gt;"))</f>
        <v/>
      </c>
      <c r="H165" s="27">
        <f>IF(C165="","",SUMIFS(tbl_Finance[Ex GST],tbl_Finance[Job Number],C165&amp;""))</f>
        <v/>
      </c>
      <c r="I165" s="27">
        <f>IF(C165="","",SUMIFS(tbl_Finance[Ex GST],tbl_Finance[Job Number],C165&amp;"",tbl_Finance[Xero Invoice No],"&lt;&gt;"))</f>
        <v/>
      </c>
      <c r="J165" s="27">
        <f>IF(C165="","",H165-I165)</f>
        <v/>
      </c>
      <c r="K165" s="25">
        <f>IF(C165="","",IF(G165=0,"not invoiced yet",SUBSTITUTE(TRIM(IF(COUNTIFS(tbl_Finance[Job Number],C165&amp;"",tbl_Finance[Cost Centre],"ONSITE")&gt;0,"ONSITE ","")&amp;IF(COUNTIFS(tbl_Finance[Job Number],C165&amp;"",tbl_Finance[Cost Centre],"PRODUCTION")&gt;0,"PRODUCTION ","")&amp;IF(COUNTIFS(tbl_Finance[Job Number],C165&amp;"",tbl_Finance[Cost Centre],"VIDEO")&gt;0,"VIDEO ","")&amp;IF(COUNTIFS(tbl_Finance[Job Number],C165&amp;"",tbl_Finance[Cost Centre],"INTEGRATION")&gt;0,"INTEGRATION ","")&amp;IF(COUNTIFS(tbl_Finance[Job Number],C165&amp;"",tbl_Finance[Cost Centre],"CONSULTING")&gt;0,"CONSULTING ","")&amp;IF(COUNTIFS(tbl_Finance[Job Number],C165&amp;"",tbl_Finance[Cost Centre],"CTS")&gt;0,"CTS ",""))," ",", ")))</f>
        <v/>
      </c>
      <c r="L165" s="22" t="n"/>
      <c r="M165" s="24" t="n"/>
      <c r="N165" s="25">
        <f>IF(M165="","",IF(AND(LEFT(M165,4)&lt;&gt;"http",set_RMSBase=""),"",HYPERLINK(IF(LEFT(M165,4)="http",M165,set_RMSBase&amp;M165),"Open opportunity")))</f>
        <v/>
      </c>
      <c r="O165" s="25">
        <f>IF(C165="","",C165)</f>
        <v/>
      </c>
      <c r="P165" s="24" t="n"/>
      <c r="Q165" s="26" t="n"/>
      <c r="R165" s="27">
        <f>IF(C165="","",H165+N(Q165))</f>
        <v/>
      </c>
      <c r="S165" s="29">
        <f>IFERROR(Q165/R165,"")</f>
        <v/>
      </c>
      <c r="T165" s="26" t="n"/>
      <c r="U165" s="26" t="n"/>
      <c r="V165" s="27">
        <f>IF(C165="","",N(T165)+N(U165))</f>
        <v/>
      </c>
      <c r="W165" s="27">
        <f>IF(C165="","",H165-V165)</f>
        <v/>
      </c>
      <c r="X165" s="29">
        <f>IFERROR(W165/H165,"")</f>
        <v/>
      </c>
      <c r="Y165" s="64" t="n"/>
      <c r="Z165" s="64" t="n"/>
      <c r="AA165" s="64" t="n"/>
      <c r="AB165" s="64" t="n"/>
      <c r="AC165" s="64" t="n"/>
      <c r="AD165" s="24" t="n"/>
    </row>
    <row r="166" ht="15" customHeight="1">
      <c r="A166" s="63">
        <f>IF(C166="","",IFERROR(IF(SUMPRODUCT(MAX((tbl_Finance[Job Number]=C166&amp;"")*(tbl_Finance[Xero Invoice No]&lt;&gt;"")*tbl_Finance[Date]))=0,"",SUMPRODUCT(MAX((tbl_Finance[Job Number]=C166&amp;"")*(tbl_Finance[Xero Invoice No]&lt;&gt;"")*tbl_Finance[Date]))),""))</f>
        <v/>
      </c>
      <c r="B166" s="25">
        <f>IF(C166="","",IF(COUNTIFS(tbl_Finance[Job Number],C166&amp;"",tbl_Finance[Xero Invoice No],"&lt;&gt;")=0,"",IFERROR(IF(COUNTIFS(tbl_Finance[Job Number],C166&amp;"",tbl_Finance[Xero Invoice No],LOOKUP(2,1/((tbl_Finance[Job Number]=C166&amp;"")*(tbl_Finance[Xero Invoice No]&lt;&gt;"")),tbl_Finance[Xero Invoice No]))=COUNTIFS(tbl_Finance[Job Number],C166&amp;"",tbl_Finance[Xero Invoice No],"&lt;&gt;"),LOOKUP(2,1/((tbl_Finance[Job Number]=C166&amp;"")*(tbl_Finance[Xero Invoice No]&lt;&gt;"")),tbl_Finance[Xero Invoice No]),LOOKUP(2,1/((tbl_Finance[Job Number]=C166&amp;"")*(tbl_Finance[Xero Invoice No]&lt;&gt;"")),tbl_Finance[Xero Invoice No])&amp;" +more"),"")))</f>
        <v/>
      </c>
      <c r="C166" s="24" t="n"/>
      <c r="D166" s="25">
        <f>IF(C166="","",IF(COUNTIF(lst_Jobs,C166&amp;"")&gt;0,"OK","CHECK"))</f>
        <v/>
      </c>
      <c r="E166" s="25">
        <f>IF(C166="","",IFERROR(INDEX(lst_JobName,MATCH(C166&amp;"",lst_Jobs,0)),""))</f>
        <v/>
      </c>
      <c r="F166" s="25">
        <f>IF(C166="","",IFERROR(INDEX(tbl_Finance[Client],MATCH(C166&amp;"",tbl_Finance[Job Number],0)),""))</f>
        <v/>
      </c>
      <c r="G166" s="28">
        <f>IF(C166="","",COUNTIFS(tbl_Finance[Job Number],C166&amp;"",tbl_Finance[Ex GST],"&lt;&gt;"))</f>
        <v/>
      </c>
      <c r="H166" s="27">
        <f>IF(C166="","",SUMIFS(tbl_Finance[Ex GST],tbl_Finance[Job Number],C166&amp;""))</f>
        <v/>
      </c>
      <c r="I166" s="27">
        <f>IF(C166="","",SUMIFS(tbl_Finance[Ex GST],tbl_Finance[Job Number],C166&amp;"",tbl_Finance[Xero Invoice No],"&lt;&gt;"))</f>
        <v/>
      </c>
      <c r="J166" s="27">
        <f>IF(C166="","",H166-I166)</f>
        <v/>
      </c>
      <c r="K166" s="25">
        <f>IF(C166="","",IF(G166=0,"not invoiced yet",SUBSTITUTE(TRIM(IF(COUNTIFS(tbl_Finance[Job Number],C166&amp;"",tbl_Finance[Cost Centre],"ONSITE")&gt;0,"ONSITE ","")&amp;IF(COUNTIFS(tbl_Finance[Job Number],C166&amp;"",tbl_Finance[Cost Centre],"PRODUCTION")&gt;0,"PRODUCTION ","")&amp;IF(COUNTIFS(tbl_Finance[Job Number],C166&amp;"",tbl_Finance[Cost Centre],"VIDEO")&gt;0,"VIDEO ","")&amp;IF(COUNTIFS(tbl_Finance[Job Number],C166&amp;"",tbl_Finance[Cost Centre],"INTEGRATION")&gt;0,"INTEGRATION ","")&amp;IF(COUNTIFS(tbl_Finance[Job Number],C166&amp;"",tbl_Finance[Cost Centre],"CONSULTING")&gt;0,"CONSULTING ","")&amp;IF(COUNTIFS(tbl_Finance[Job Number],C166&amp;"",tbl_Finance[Cost Centre],"CTS")&gt;0,"CTS ",""))," ",", ")))</f>
        <v/>
      </c>
      <c r="L166" s="22" t="n"/>
      <c r="M166" s="24" t="n"/>
      <c r="N166" s="25">
        <f>IF(M166="","",IF(AND(LEFT(M166,4)&lt;&gt;"http",set_RMSBase=""),"",HYPERLINK(IF(LEFT(M166,4)="http",M166,set_RMSBase&amp;M166),"Open opportunity")))</f>
        <v/>
      </c>
      <c r="O166" s="25">
        <f>IF(C166="","",C166)</f>
        <v/>
      </c>
      <c r="P166" s="24" t="n"/>
      <c r="Q166" s="26" t="n"/>
      <c r="R166" s="27">
        <f>IF(C166="","",H166+N(Q166))</f>
        <v/>
      </c>
      <c r="S166" s="29">
        <f>IFERROR(Q166/R166,"")</f>
        <v/>
      </c>
      <c r="T166" s="26" t="n"/>
      <c r="U166" s="26" t="n"/>
      <c r="V166" s="27">
        <f>IF(C166="","",N(T166)+N(U166))</f>
        <v/>
      </c>
      <c r="W166" s="27">
        <f>IF(C166="","",H166-V166)</f>
        <v/>
      </c>
      <c r="X166" s="29">
        <f>IFERROR(W166/H166,"")</f>
        <v/>
      </c>
      <c r="Y166" s="64" t="n"/>
      <c r="Z166" s="64" t="n"/>
      <c r="AA166" s="64" t="n"/>
      <c r="AB166" s="64" t="n"/>
      <c r="AC166" s="64" t="n"/>
      <c r="AD166" s="24" t="n"/>
    </row>
    <row r="167" ht="15" customHeight="1">
      <c r="A167" s="63">
        <f>IF(C167="","",IFERROR(IF(SUMPRODUCT(MAX((tbl_Finance[Job Number]=C167&amp;"")*(tbl_Finance[Xero Invoice No]&lt;&gt;"")*tbl_Finance[Date]))=0,"",SUMPRODUCT(MAX((tbl_Finance[Job Number]=C167&amp;"")*(tbl_Finance[Xero Invoice No]&lt;&gt;"")*tbl_Finance[Date]))),""))</f>
        <v/>
      </c>
      <c r="B167" s="25">
        <f>IF(C167="","",IF(COUNTIFS(tbl_Finance[Job Number],C167&amp;"",tbl_Finance[Xero Invoice No],"&lt;&gt;")=0,"",IFERROR(IF(COUNTIFS(tbl_Finance[Job Number],C167&amp;"",tbl_Finance[Xero Invoice No],LOOKUP(2,1/((tbl_Finance[Job Number]=C167&amp;"")*(tbl_Finance[Xero Invoice No]&lt;&gt;"")),tbl_Finance[Xero Invoice No]))=COUNTIFS(tbl_Finance[Job Number],C167&amp;"",tbl_Finance[Xero Invoice No],"&lt;&gt;"),LOOKUP(2,1/((tbl_Finance[Job Number]=C167&amp;"")*(tbl_Finance[Xero Invoice No]&lt;&gt;"")),tbl_Finance[Xero Invoice No]),LOOKUP(2,1/((tbl_Finance[Job Number]=C167&amp;"")*(tbl_Finance[Xero Invoice No]&lt;&gt;"")),tbl_Finance[Xero Invoice No])&amp;" +more"),"")))</f>
        <v/>
      </c>
      <c r="C167" s="24" t="n"/>
      <c r="D167" s="25">
        <f>IF(C167="","",IF(COUNTIF(lst_Jobs,C167&amp;"")&gt;0,"OK","CHECK"))</f>
        <v/>
      </c>
      <c r="E167" s="25">
        <f>IF(C167="","",IFERROR(INDEX(lst_JobName,MATCH(C167&amp;"",lst_Jobs,0)),""))</f>
        <v/>
      </c>
      <c r="F167" s="25">
        <f>IF(C167="","",IFERROR(INDEX(tbl_Finance[Client],MATCH(C167&amp;"",tbl_Finance[Job Number],0)),""))</f>
        <v/>
      </c>
      <c r="G167" s="28">
        <f>IF(C167="","",COUNTIFS(tbl_Finance[Job Number],C167&amp;"",tbl_Finance[Ex GST],"&lt;&gt;"))</f>
        <v/>
      </c>
      <c r="H167" s="27">
        <f>IF(C167="","",SUMIFS(tbl_Finance[Ex GST],tbl_Finance[Job Number],C167&amp;""))</f>
        <v/>
      </c>
      <c r="I167" s="27">
        <f>IF(C167="","",SUMIFS(tbl_Finance[Ex GST],tbl_Finance[Job Number],C167&amp;"",tbl_Finance[Xero Invoice No],"&lt;&gt;"))</f>
        <v/>
      </c>
      <c r="J167" s="27">
        <f>IF(C167="","",H167-I167)</f>
        <v/>
      </c>
      <c r="K167" s="25">
        <f>IF(C167="","",IF(G167=0,"not invoiced yet",SUBSTITUTE(TRIM(IF(COUNTIFS(tbl_Finance[Job Number],C167&amp;"",tbl_Finance[Cost Centre],"ONSITE")&gt;0,"ONSITE ","")&amp;IF(COUNTIFS(tbl_Finance[Job Number],C167&amp;"",tbl_Finance[Cost Centre],"PRODUCTION")&gt;0,"PRODUCTION ","")&amp;IF(COUNTIFS(tbl_Finance[Job Number],C167&amp;"",tbl_Finance[Cost Centre],"VIDEO")&gt;0,"VIDEO ","")&amp;IF(COUNTIFS(tbl_Finance[Job Number],C167&amp;"",tbl_Finance[Cost Centre],"INTEGRATION")&gt;0,"INTEGRATION ","")&amp;IF(COUNTIFS(tbl_Finance[Job Number],C167&amp;"",tbl_Finance[Cost Centre],"CONSULTING")&gt;0,"CONSULTING ","")&amp;IF(COUNTIFS(tbl_Finance[Job Number],C167&amp;"",tbl_Finance[Cost Centre],"CTS")&gt;0,"CTS ",""))," ",", ")))</f>
        <v/>
      </c>
      <c r="L167" s="22" t="n"/>
      <c r="M167" s="24" t="n"/>
      <c r="N167" s="25">
        <f>IF(M167="","",IF(AND(LEFT(M167,4)&lt;&gt;"http",set_RMSBase=""),"",HYPERLINK(IF(LEFT(M167,4)="http",M167,set_RMSBase&amp;M167),"Open opportunity")))</f>
        <v/>
      </c>
      <c r="O167" s="25">
        <f>IF(C167="","",C167)</f>
        <v/>
      </c>
      <c r="P167" s="24" t="n"/>
      <c r="Q167" s="26" t="n"/>
      <c r="R167" s="27">
        <f>IF(C167="","",H167+N(Q167))</f>
        <v/>
      </c>
      <c r="S167" s="29">
        <f>IFERROR(Q167/R167,"")</f>
        <v/>
      </c>
      <c r="T167" s="26" t="n"/>
      <c r="U167" s="26" t="n"/>
      <c r="V167" s="27">
        <f>IF(C167="","",N(T167)+N(U167))</f>
        <v/>
      </c>
      <c r="W167" s="27">
        <f>IF(C167="","",H167-V167)</f>
        <v/>
      </c>
      <c r="X167" s="29">
        <f>IFERROR(W167/H167,"")</f>
        <v/>
      </c>
      <c r="Y167" s="64" t="n"/>
      <c r="Z167" s="64" t="n"/>
      <c r="AA167" s="64" t="n"/>
      <c r="AB167" s="64" t="n"/>
      <c r="AC167" s="64" t="n"/>
      <c r="AD167" s="24" t="n"/>
    </row>
    <row r="168" ht="15" customHeight="1">
      <c r="A168" s="63">
        <f>IF(C168="","",IFERROR(IF(SUMPRODUCT(MAX((tbl_Finance[Job Number]=C168&amp;"")*(tbl_Finance[Xero Invoice No]&lt;&gt;"")*tbl_Finance[Date]))=0,"",SUMPRODUCT(MAX((tbl_Finance[Job Number]=C168&amp;"")*(tbl_Finance[Xero Invoice No]&lt;&gt;"")*tbl_Finance[Date]))),""))</f>
        <v/>
      </c>
      <c r="B168" s="25">
        <f>IF(C168="","",IF(COUNTIFS(tbl_Finance[Job Number],C168&amp;"",tbl_Finance[Xero Invoice No],"&lt;&gt;")=0,"",IFERROR(IF(COUNTIFS(tbl_Finance[Job Number],C168&amp;"",tbl_Finance[Xero Invoice No],LOOKUP(2,1/((tbl_Finance[Job Number]=C168&amp;"")*(tbl_Finance[Xero Invoice No]&lt;&gt;"")),tbl_Finance[Xero Invoice No]))=COUNTIFS(tbl_Finance[Job Number],C168&amp;"",tbl_Finance[Xero Invoice No],"&lt;&gt;"),LOOKUP(2,1/((tbl_Finance[Job Number]=C168&amp;"")*(tbl_Finance[Xero Invoice No]&lt;&gt;"")),tbl_Finance[Xero Invoice No]),LOOKUP(2,1/((tbl_Finance[Job Number]=C168&amp;"")*(tbl_Finance[Xero Invoice No]&lt;&gt;"")),tbl_Finance[Xero Invoice No])&amp;" +more"),"")))</f>
        <v/>
      </c>
      <c r="C168" s="24" t="n"/>
      <c r="D168" s="25">
        <f>IF(C168="","",IF(COUNTIF(lst_Jobs,C168&amp;"")&gt;0,"OK","CHECK"))</f>
        <v/>
      </c>
      <c r="E168" s="25">
        <f>IF(C168="","",IFERROR(INDEX(lst_JobName,MATCH(C168&amp;"",lst_Jobs,0)),""))</f>
        <v/>
      </c>
      <c r="F168" s="25">
        <f>IF(C168="","",IFERROR(INDEX(tbl_Finance[Client],MATCH(C168&amp;"",tbl_Finance[Job Number],0)),""))</f>
        <v/>
      </c>
      <c r="G168" s="28">
        <f>IF(C168="","",COUNTIFS(tbl_Finance[Job Number],C168&amp;"",tbl_Finance[Ex GST],"&lt;&gt;"))</f>
        <v/>
      </c>
      <c r="H168" s="27">
        <f>IF(C168="","",SUMIFS(tbl_Finance[Ex GST],tbl_Finance[Job Number],C168&amp;""))</f>
        <v/>
      </c>
      <c r="I168" s="27">
        <f>IF(C168="","",SUMIFS(tbl_Finance[Ex GST],tbl_Finance[Job Number],C168&amp;"",tbl_Finance[Xero Invoice No],"&lt;&gt;"))</f>
        <v/>
      </c>
      <c r="J168" s="27">
        <f>IF(C168="","",H168-I168)</f>
        <v/>
      </c>
      <c r="K168" s="25">
        <f>IF(C168="","",IF(G168=0,"not invoiced yet",SUBSTITUTE(TRIM(IF(COUNTIFS(tbl_Finance[Job Number],C168&amp;"",tbl_Finance[Cost Centre],"ONSITE")&gt;0,"ONSITE ","")&amp;IF(COUNTIFS(tbl_Finance[Job Number],C168&amp;"",tbl_Finance[Cost Centre],"PRODUCTION")&gt;0,"PRODUCTION ","")&amp;IF(COUNTIFS(tbl_Finance[Job Number],C168&amp;"",tbl_Finance[Cost Centre],"VIDEO")&gt;0,"VIDEO ","")&amp;IF(COUNTIFS(tbl_Finance[Job Number],C168&amp;"",tbl_Finance[Cost Centre],"INTEGRATION")&gt;0,"INTEGRATION ","")&amp;IF(COUNTIFS(tbl_Finance[Job Number],C168&amp;"",tbl_Finance[Cost Centre],"CONSULTING")&gt;0,"CONSULTING ","")&amp;IF(COUNTIFS(tbl_Finance[Job Number],C168&amp;"",tbl_Finance[Cost Centre],"CTS")&gt;0,"CTS ",""))," ",", ")))</f>
        <v/>
      </c>
      <c r="L168" s="22" t="n"/>
      <c r="M168" s="24" t="n"/>
      <c r="N168" s="25">
        <f>IF(M168="","",IF(AND(LEFT(M168,4)&lt;&gt;"http",set_RMSBase=""),"",HYPERLINK(IF(LEFT(M168,4)="http",M168,set_RMSBase&amp;M168),"Open opportunity")))</f>
        <v/>
      </c>
      <c r="O168" s="25">
        <f>IF(C168="","",C168)</f>
        <v/>
      </c>
      <c r="P168" s="24" t="n"/>
      <c r="Q168" s="26" t="n"/>
      <c r="R168" s="27">
        <f>IF(C168="","",H168+N(Q168))</f>
        <v/>
      </c>
      <c r="S168" s="29">
        <f>IFERROR(Q168/R168,"")</f>
        <v/>
      </c>
      <c r="T168" s="26" t="n"/>
      <c r="U168" s="26" t="n"/>
      <c r="V168" s="27">
        <f>IF(C168="","",N(T168)+N(U168))</f>
        <v/>
      </c>
      <c r="W168" s="27">
        <f>IF(C168="","",H168-V168)</f>
        <v/>
      </c>
      <c r="X168" s="29">
        <f>IFERROR(W168/H168,"")</f>
        <v/>
      </c>
      <c r="Y168" s="64" t="n"/>
      <c r="Z168" s="64" t="n"/>
      <c r="AA168" s="64" t="n"/>
      <c r="AB168" s="64" t="n"/>
      <c r="AC168" s="64" t="n"/>
      <c r="AD168" s="24" t="n"/>
    </row>
    <row r="169" ht="15" customHeight="1">
      <c r="A169" s="63">
        <f>IF(C169="","",IFERROR(IF(SUMPRODUCT(MAX((tbl_Finance[Job Number]=C169&amp;"")*(tbl_Finance[Xero Invoice No]&lt;&gt;"")*tbl_Finance[Date]))=0,"",SUMPRODUCT(MAX((tbl_Finance[Job Number]=C169&amp;"")*(tbl_Finance[Xero Invoice No]&lt;&gt;"")*tbl_Finance[Date]))),""))</f>
        <v/>
      </c>
      <c r="B169" s="25">
        <f>IF(C169="","",IF(COUNTIFS(tbl_Finance[Job Number],C169&amp;"",tbl_Finance[Xero Invoice No],"&lt;&gt;")=0,"",IFERROR(IF(COUNTIFS(tbl_Finance[Job Number],C169&amp;"",tbl_Finance[Xero Invoice No],LOOKUP(2,1/((tbl_Finance[Job Number]=C169&amp;"")*(tbl_Finance[Xero Invoice No]&lt;&gt;"")),tbl_Finance[Xero Invoice No]))=COUNTIFS(tbl_Finance[Job Number],C169&amp;"",tbl_Finance[Xero Invoice No],"&lt;&gt;"),LOOKUP(2,1/((tbl_Finance[Job Number]=C169&amp;"")*(tbl_Finance[Xero Invoice No]&lt;&gt;"")),tbl_Finance[Xero Invoice No]),LOOKUP(2,1/((tbl_Finance[Job Number]=C169&amp;"")*(tbl_Finance[Xero Invoice No]&lt;&gt;"")),tbl_Finance[Xero Invoice No])&amp;" +more"),"")))</f>
        <v/>
      </c>
      <c r="C169" s="24" t="n"/>
      <c r="D169" s="25">
        <f>IF(C169="","",IF(COUNTIF(lst_Jobs,C169&amp;"")&gt;0,"OK","CHECK"))</f>
        <v/>
      </c>
      <c r="E169" s="25">
        <f>IF(C169="","",IFERROR(INDEX(lst_JobName,MATCH(C169&amp;"",lst_Jobs,0)),""))</f>
        <v/>
      </c>
      <c r="F169" s="25">
        <f>IF(C169="","",IFERROR(INDEX(tbl_Finance[Client],MATCH(C169&amp;"",tbl_Finance[Job Number],0)),""))</f>
        <v/>
      </c>
      <c r="G169" s="28">
        <f>IF(C169="","",COUNTIFS(tbl_Finance[Job Number],C169&amp;"",tbl_Finance[Ex GST],"&lt;&gt;"))</f>
        <v/>
      </c>
      <c r="H169" s="27">
        <f>IF(C169="","",SUMIFS(tbl_Finance[Ex GST],tbl_Finance[Job Number],C169&amp;""))</f>
        <v/>
      </c>
      <c r="I169" s="27">
        <f>IF(C169="","",SUMIFS(tbl_Finance[Ex GST],tbl_Finance[Job Number],C169&amp;"",tbl_Finance[Xero Invoice No],"&lt;&gt;"))</f>
        <v/>
      </c>
      <c r="J169" s="27">
        <f>IF(C169="","",H169-I169)</f>
        <v/>
      </c>
      <c r="K169" s="25">
        <f>IF(C169="","",IF(G169=0,"not invoiced yet",SUBSTITUTE(TRIM(IF(COUNTIFS(tbl_Finance[Job Number],C169&amp;"",tbl_Finance[Cost Centre],"ONSITE")&gt;0,"ONSITE ","")&amp;IF(COUNTIFS(tbl_Finance[Job Number],C169&amp;"",tbl_Finance[Cost Centre],"PRODUCTION")&gt;0,"PRODUCTION ","")&amp;IF(COUNTIFS(tbl_Finance[Job Number],C169&amp;"",tbl_Finance[Cost Centre],"VIDEO")&gt;0,"VIDEO ","")&amp;IF(COUNTIFS(tbl_Finance[Job Number],C169&amp;"",tbl_Finance[Cost Centre],"INTEGRATION")&gt;0,"INTEGRATION ","")&amp;IF(COUNTIFS(tbl_Finance[Job Number],C169&amp;"",tbl_Finance[Cost Centre],"CONSULTING")&gt;0,"CONSULTING ","")&amp;IF(COUNTIFS(tbl_Finance[Job Number],C169&amp;"",tbl_Finance[Cost Centre],"CTS")&gt;0,"CTS ",""))," ",", ")))</f>
        <v/>
      </c>
      <c r="L169" s="22" t="n"/>
      <c r="M169" s="24" t="n"/>
      <c r="N169" s="25">
        <f>IF(M169="","",IF(AND(LEFT(M169,4)&lt;&gt;"http",set_RMSBase=""),"",HYPERLINK(IF(LEFT(M169,4)="http",M169,set_RMSBase&amp;M169),"Open opportunity")))</f>
        <v/>
      </c>
      <c r="O169" s="25">
        <f>IF(C169="","",C169)</f>
        <v/>
      </c>
      <c r="P169" s="24" t="n"/>
      <c r="Q169" s="26" t="n"/>
      <c r="R169" s="27">
        <f>IF(C169="","",H169+N(Q169))</f>
        <v/>
      </c>
      <c r="S169" s="29">
        <f>IFERROR(Q169/R169,"")</f>
        <v/>
      </c>
      <c r="T169" s="26" t="n"/>
      <c r="U169" s="26" t="n"/>
      <c r="V169" s="27">
        <f>IF(C169="","",N(T169)+N(U169))</f>
        <v/>
      </c>
      <c r="W169" s="27">
        <f>IF(C169="","",H169-V169)</f>
        <v/>
      </c>
      <c r="X169" s="29">
        <f>IFERROR(W169/H169,"")</f>
        <v/>
      </c>
      <c r="Y169" s="64" t="n"/>
      <c r="Z169" s="64" t="n"/>
      <c r="AA169" s="64" t="n"/>
      <c r="AB169" s="64" t="n"/>
      <c r="AC169" s="64" t="n"/>
      <c r="AD169" s="24" t="n"/>
    </row>
    <row r="170" ht="15" customHeight="1">
      <c r="A170" s="63">
        <f>IF(C170="","",IFERROR(IF(SUMPRODUCT(MAX((tbl_Finance[Job Number]=C170&amp;"")*(tbl_Finance[Xero Invoice No]&lt;&gt;"")*tbl_Finance[Date]))=0,"",SUMPRODUCT(MAX((tbl_Finance[Job Number]=C170&amp;"")*(tbl_Finance[Xero Invoice No]&lt;&gt;"")*tbl_Finance[Date]))),""))</f>
        <v/>
      </c>
      <c r="B170" s="25">
        <f>IF(C170="","",IF(COUNTIFS(tbl_Finance[Job Number],C170&amp;"",tbl_Finance[Xero Invoice No],"&lt;&gt;")=0,"",IFERROR(IF(COUNTIFS(tbl_Finance[Job Number],C170&amp;"",tbl_Finance[Xero Invoice No],LOOKUP(2,1/((tbl_Finance[Job Number]=C170&amp;"")*(tbl_Finance[Xero Invoice No]&lt;&gt;"")),tbl_Finance[Xero Invoice No]))=COUNTIFS(tbl_Finance[Job Number],C170&amp;"",tbl_Finance[Xero Invoice No],"&lt;&gt;"),LOOKUP(2,1/((tbl_Finance[Job Number]=C170&amp;"")*(tbl_Finance[Xero Invoice No]&lt;&gt;"")),tbl_Finance[Xero Invoice No]),LOOKUP(2,1/((tbl_Finance[Job Number]=C170&amp;"")*(tbl_Finance[Xero Invoice No]&lt;&gt;"")),tbl_Finance[Xero Invoice No])&amp;" +more"),"")))</f>
        <v/>
      </c>
      <c r="C170" s="24" t="n"/>
      <c r="D170" s="25">
        <f>IF(C170="","",IF(COUNTIF(lst_Jobs,C170&amp;"")&gt;0,"OK","CHECK"))</f>
        <v/>
      </c>
      <c r="E170" s="25">
        <f>IF(C170="","",IFERROR(INDEX(lst_JobName,MATCH(C170&amp;"",lst_Jobs,0)),""))</f>
        <v/>
      </c>
      <c r="F170" s="25">
        <f>IF(C170="","",IFERROR(INDEX(tbl_Finance[Client],MATCH(C170&amp;"",tbl_Finance[Job Number],0)),""))</f>
        <v/>
      </c>
      <c r="G170" s="28">
        <f>IF(C170="","",COUNTIFS(tbl_Finance[Job Number],C170&amp;"",tbl_Finance[Ex GST],"&lt;&gt;"))</f>
        <v/>
      </c>
      <c r="H170" s="27">
        <f>IF(C170="","",SUMIFS(tbl_Finance[Ex GST],tbl_Finance[Job Number],C170&amp;""))</f>
        <v/>
      </c>
      <c r="I170" s="27">
        <f>IF(C170="","",SUMIFS(tbl_Finance[Ex GST],tbl_Finance[Job Number],C170&amp;"",tbl_Finance[Xero Invoice No],"&lt;&gt;"))</f>
        <v/>
      </c>
      <c r="J170" s="27">
        <f>IF(C170="","",H170-I170)</f>
        <v/>
      </c>
      <c r="K170" s="25">
        <f>IF(C170="","",IF(G170=0,"not invoiced yet",SUBSTITUTE(TRIM(IF(COUNTIFS(tbl_Finance[Job Number],C170&amp;"",tbl_Finance[Cost Centre],"ONSITE")&gt;0,"ONSITE ","")&amp;IF(COUNTIFS(tbl_Finance[Job Number],C170&amp;"",tbl_Finance[Cost Centre],"PRODUCTION")&gt;0,"PRODUCTION ","")&amp;IF(COUNTIFS(tbl_Finance[Job Number],C170&amp;"",tbl_Finance[Cost Centre],"VIDEO")&gt;0,"VIDEO ","")&amp;IF(COUNTIFS(tbl_Finance[Job Number],C170&amp;"",tbl_Finance[Cost Centre],"INTEGRATION")&gt;0,"INTEGRATION ","")&amp;IF(COUNTIFS(tbl_Finance[Job Number],C170&amp;"",tbl_Finance[Cost Centre],"CONSULTING")&gt;0,"CONSULTING ","")&amp;IF(COUNTIFS(tbl_Finance[Job Number],C170&amp;"",tbl_Finance[Cost Centre],"CTS")&gt;0,"CTS ",""))," ",", ")))</f>
        <v/>
      </c>
      <c r="L170" s="22" t="n"/>
      <c r="M170" s="24" t="n"/>
      <c r="N170" s="25">
        <f>IF(M170="","",IF(AND(LEFT(M170,4)&lt;&gt;"http",set_RMSBase=""),"",HYPERLINK(IF(LEFT(M170,4)="http",M170,set_RMSBase&amp;M170),"Open opportunity")))</f>
        <v/>
      </c>
      <c r="O170" s="25">
        <f>IF(C170="","",C170)</f>
        <v/>
      </c>
      <c r="P170" s="24" t="n"/>
      <c r="Q170" s="26" t="n"/>
      <c r="R170" s="27">
        <f>IF(C170="","",H170+N(Q170))</f>
        <v/>
      </c>
      <c r="S170" s="29">
        <f>IFERROR(Q170/R170,"")</f>
        <v/>
      </c>
      <c r="T170" s="26" t="n"/>
      <c r="U170" s="26" t="n"/>
      <c r="V170" s="27">
        <f>IF(C170="","",N(T170)+N(U170))</f>
        <v/>
      </c>
      <c r="W170" s="27">
        <f>IF(C170="","",H170-V170)</f>
        <v/>
      </c>
      <c r="X170" s="29">
        <f>IFERROR(W170/H170,"")</f>
        <v/>
      </c>
      <c r="Y170" s="64" t="n"/>
      <c r="Z170" s="64" t="n"/>
      <c r="AA170" s="64" t="n"/>
      <c r="AB170" s="64" t="n"/>
      <c r="AC170" s="64" t="n"/>
      <c r="AD170" s="24" t="n"/>
    </row>
    <row r="171" ht="15" customHeight="1">
      <c r="A171" s="63">
        <f>IF(C171="","",IFERROR(IF(SUMPRODUCT(MAX((tbl_Finance[Job Number]=C171&amp;"")*(tbl_Finance[Xero Invoice No]&lt;&gt;"")*tbl_Finance[Date]))=0,"",SUMPRODUCT(MAX((tbl_Finance[Job Number]=C171&amp;"")*(tbl_Finance[Xero Invoice No]&lt;&gt;"")*tbl_Finance[Date]))),""))</f>
        <v/>
      </c>
      <c r="B171" s="25">
        <f>IF(C171="","",IF(COUNTIFS(tbl_Finance[Job Number],C171&amp;"",tbl_Finance[Xero Invoice No],"&lt;&gt;")=0,"",IFERROR(IF(COUNTIFS(tbl_Finance[Job Number],C171&amp;"",tbl_Finance[Xero Invoice No],LOOKUP(2,1/((tbl_Finance[Job Number]=C171&amp;"")*(tbl_Finance[Xero Invoice No]&lt;&gt;"")),tbl_Finance[Xero Invoice No]))=COUNTIFS(tbl_Finance[Job Number],C171&amp;"",tbl_Finance[Xero Invoice No],"&lt;&gt;"),LOOKUP(2,1/((tbl_Finance[Job Number]=C171&amp;"")*(tbl_Finance[Xero Invoice No]&lt;&gt;"")),tbl_Finance[Xero Invoice No]),LOOKUP(2,1/((tbl_Finance[Job Number]=C171&amp;"")*(tbl_Finance[Xero Invoice No]&lt;&gt;"")),tbl_Finance[Xero Invoice No])&amp;" +more"),"")))</f>
        <v/>
      </c>
      <c r="C171" s="24" t="n"/>
      <c r="D171" s="25">
        <f>IF(C171="","",IF(COUNTIF(lst_Jobs,C171&amp;"")&gt;0,"OK","CHECK"))</f>
        <v/>
      </c>
      <c r="E171" s="25">
        <f>IF(C171="","",IFERROR(INDEX(lst_JobName,MATCH(C171&amp;"",lst_Jobs,0)),""))</f>
        <v/>
      </c>
      <c r="F171" s="25">
        <f>IF(C171="","",IFERROR(INDEX(tbl_Finance[Client],MATCH(C171&amp;"",tbl_Finance[Job Number],0)),""))</f>
        <v/>
      </c>
      <c r="G171" s="28">
        <f>IF(C171="","",COUNTIFS(tbl_Finance[Job Number],C171&amp;"",tbl_Finance[Ex GST],"&lt;&gt;"))</f>
        <v/>
      </c>
      <c r="H171" s="27">
        <f>IF(C171="","",SUMIFS(tbl_Finance[Ex GST],tbl_Finance[Job Number],C171&amp;""))</f>
        <v/>
      </c>
      <c r="I171" s="27">
        <f>IF(C171="","",SUMIFS(tbl_Finance[Ex GST],tbl_Finance[Job Number],C171&amp;"",tbl_Finance[Xero Invoice No],"&lt;&gt;"))</f>
        <v/>
      </c>
      <c r="J171" s="27">
        <f>IF(C171="","",H171-I171)</f>
        <v/>
      </c>
      <c r="K171" s="25">
        <f>IF(C171="","",IF(G171=0,"not invoiced yet",SUBSTITUTE(TRIM(IF(COUNTIFS(tbl_Finance[Job Number],C171&amp;"",tbl_Finance[Cost Centre],"ONSITE")&gt;0,"ONSITE ","")&amp;IF(COUNTIFS(tbl_Finance[Job Number],C171&amp;"",tbl_Finance[Cost Centre],"PRODUCTION")&gt;0,"PRODUCTION ","")&amp;IF(COUNTIFS(tbl_Finance[Job Number],C171&amp;"",tbl_Finance[Cost Centre],"VIDEO")&gt;0,"VIDEO ","")&amp;IF(COUNTIFS(tbl_Finance[Job Number],C171&amp;"",tbl_Finance[Cost Centre],"INTEGRATION")&gt;0,"INTEGRATION ","")&amp;IF(COUNTIFS(tbl_Finance[Job Number],C171&amp;"",tbl_Finance[Cost Centre],"CONSULTING")&gt;0,"CONSULTING ","")&amp;IF(COUNTIFS(tbl_Finance[Job Number],C171&amp;"",tbl_Finance[Cost Centre],"CTS")&gt;0,"CTS ",""))," ",", ")))</f>
        <v/>
      </c>
      <c r="L171" s="22" t="n"/>
      <c r="M171" s="24" t="n"/>
      <c r="N171" s="25">
        <f>IF(M171="","",IF(AND(LEFT(M171,4)&lt;&gt;"http",set_RMSBase=""),"",HYPERLINK(IF(LEFT(M171,4)="http",M171,set_RMSBase&amp;M171),"Open opportunity")))</f>
        <v/>
      </c>
      <c r="O171" s="25">
        <f>IF(C171="","",C171)</f>
        <v/>
      </c>
      <c r="P171" s="24" t="n"/>
      <c r="Q171" s="26" t="n"/>
      <c r="R171" s="27">
        <f>IF(C171="","",H171+N(Q171))</f>
        <v/>
      </c>
      <c r="S171" s="29">
        <f>IFERROR(Q171/R171,"")</f>
        <v/>
      </c>
      <c r="T171" s="26" t="n"/>
      <c r="U171" s="26" t="n"/>
      <c r="V171" s="27">
        <f>IF(C171="","",N(T171)+N(U171))</f>
        <v/>
      </c>
      <c r="W171" s="27">
        <f>IF(C171="","",H171-V171)</f>
        <v/>
      </c>
      <c r="X171" s="29">
        <f>IFERROR(W171/H171,"")</f>
        <v/>
      </c>
      <c r="Y171" s="64" t="n"/>
      <c r="Z171" s="64" t="n"/>
      <c r="AA171" s="64" t="n"/>
      <c r="AB171" s="64" t="n"/>
      <c r="AC171" s="64" t="n"/>
      <c r="AD171" s="24" t="n"/>
    </row>
    <row r="172" ht="15" customHeight="1">
      <c r="A172" s="63">
        <f>IF(C172="","",IFERROR(IF(SUMPRODUCT(MAX((tbl_Finance[Job Number]=C172&amp;"")*(tbl_Finance[Xero Invoice No]&lt;&gt;"")*tbl_Finance[Date]))=0,"",SUMPRODUCT(MAX((tbl_Finance[Job Number]=C172&amp;"")*(tbl_Finance[Xero Invoice No]&lt;&gt;"")*tbl_Finance[Date]))),""))</f>
        <v/>
      </c>
      <c r="B172" s="25">
        <f>IF(C172="","",IF(COUNTIFS(tbl_Finance[Job Number],C172&amp;"",tbl_Finance[Xero Invoice No],"&lt;&gt;")=0,"",IFERROR(IF(COUNTIFS(tbl_Finance[Job Number],C172&amp;"",tbl_Finance[Xero Invoice No],LOOKUP(2,1/((tbl_Finance[Job Number]=C172&amp;"")*(tbl_Finance[Xero Invoice No]&lt;&gt;"")),tbl_Finance[Xero Invoice No]))=COUNTIFS(tbl_Finance[Job Number],C172&amp;"",tbl_Finance[Xero Invoice No],"&lt;&gt;"),LOOKUP(2,1/((tbl_Finance[Job Number]=C172&amp;"")*(tbl_Finance[Xero Invoice No]&lt;&gt;"")),tbl_Finance[Xero Invoice No]),LOOKUP(2,1/((tbl_Finance[Job Number]=C172&amp;"")*(tbl_Finance[Xero Invoice No]&lt;&gt;"")),tbl_Finance[Xero Invoice No])&amp;" +more"),"")))</f>
        <v/>
      </c>
      <c r="C172" s="24" t="n"/>
      <c r="D172" s="25">
        <f>IF(C172="","",IF(COUNTIF(lst_Jobs,C172&amp;"")&gt;0,"OK","CHECK"))</f>
        <v/>
      </c>
      <c r="E172" s="25">
        <f>IF(C172="","",IFERROR(INDEX(lst_JobName,MATCH(C172&amp;"",lst_Jobs,0)),""))</f>
        <v/>
      </c>
      <c r="F172" s="25">
        <f>IF(C172="","",IFERROR(INDEX(tbl_Finance[Client],MATCH(C172&amp;"",tbl_Finance[Job Number],0)),""))</f>
        <v/>
      </c>
      <c r="G172" s="28">
        <f>IF(C172="","",COUNTIFS(tbl_Finance[Job Number],C172&amp;"",tbl_Finance[Ex GST],"&lt;&gt;"))</f>
        <v/>
      </c>
      <c r="H172" s="27">
        <f>IF(C172="","",SUMIFS(tbl_Finance[Ex GST],tbl_Finance[Job Number],C172&amp;""))</f>
        <v/>
      </c>
      <c r="I172" s="27">
        <f>IF(C172="","",SUMIFS(tbl_Finance[Ex GST],tbl_Finance[Job Number],C172&amp;"",tbl_Finance[Xero Invoice No],"&lt;&gt;"))</f>
        <v/>
      </c>
      <c r="J172" s="27">
        <f>IF(C172="","",H172-I172)</f>
        <v/>
      </c>
      <c r="K172" s="25">
        <f>IF(C172="","",IF(G172=0,"not invoiced yet",SUBSTITUTE(TRIM(IF(COUNTIFS(tbl_Finance[Job Number],C172&amp;"",tbl_Finance[Cost Centre],"ONSITE")&gt;0,"ONSITE ","")&amp;IF(COUNTIFS(tbl_Finance[Job Number],C172&amp;"",tbl_Finance[Cost Centre],"PRODUCTION")&gt;0,"PRODUCTION ","")&amp;IF(COUNTIFS(tbl_Finance[Job Number],C172&amp;"",tbl_Finance[Cost Centre],"VIDEO")&gt;0,"VIDEO ","")&amp;IF(COUNTIFS(tbl_Finance[Job Number],C172&amp;"",tbl_Finance[Cost Centre],"INTEGRATION")&gt;0,"INTEGRATION ","")&amp;IF(COUNTIFS(tbl_Finance[Job Number],C172&amp;"",tbl_Finance[Cost Centre],"CONSULTING")&gt;0,"CONSULTING ","")&amp;IF(COUNTIFS(tbl_Finance[Job Number],C172&amp;"",tbl_Finance[Cost Centre],"CTS")&gt;0,"CTS ",""))," ",", ")))</f>
        <v/>
      </c>
      <c r="L172" s="22" t="n"/>
      <c r="M172" s="24" t="n"/>
      <c r="N172" s="25">
        <f>IF(M172="","",IF(AND(LEFT(M172,4)&lt;&gt;"http",set_RMSBase=""),"",HYPERLINK(IF(LEFT(M172,4)="http",M172,set_RMSBase&amp;M172),"Open opportunity")))</f>
        <v/>
      </c>
      <c r="O172" s="25">
        <f>IF(C172="","",C172)</f>
        <v/>
      </c>
      <c r="P172" s="24" t="n"/>
      <c r="Q172" s="26" t="n"/>
      <c r="R172" s="27">
        <f>IF(C172="","",H172+N(Q172))</f>
        <v/>
      </c>
      <c r="S172" s="29">
        <f>IFERROR(Q172/R172,"")</f>
        <v/>
      </c>
      <c r="T172" s="26" t="n"/>
      <c r="U172" s="26" t="n"/>
      <c r="V172" s="27">
        <f>IF(C172="","",N(T172)+N(U172))</f>
        <v/>
      </c>
      <c r="W172" s="27">
        <f>IF(C172="","",H172-V172)</f>
        <v/>
      </c>
      <c r="X172" s="29">
        <f>IFERROR(W172/H172,"")</f>
        <v/>
      </c>
      <c r="Y172" s="64" t="n"/>
      <c r="Z172" s="64" t="n"/>
      <c r="AA172" s="64" t="n"/>
      <c r="AB172" s="64" t="n"/>
      <c r="AC172" s="64" t="n"/>
      <c r="AD172" s="24" t="n"/>
    </row>
    <row r="173" ht="15" customHeight="1">
      <c r="A173" s="63">
        <f>IF(C173="","",IFERROR(IF(SUMPRODUCT(MAX((tbl_Finance[Job Number]=C173&amp;"")*(tbl_Finance[Xero Invoice No]&lt;&gt;"")*tbl_Finance[Date]))=0,"",SUMPRODUCT(MAX((tbl_Finance[Job Number]=C173&amp;"")*(tbl_Finance[Xero Invoice No]&lt;&gt;"")*tbl_Finance[Date]))),""))</f>
        <v/>
      </c>
      <c r="B173" s="25">
        <f>IF(C173="","",IF(COUNTIFS(tbl_Finance[Job Number],C173&amp;"",tbl_Finance[Xero Invoice No],"&lt;&gt;")=0,"",IFERROR(IF(COUNTIFS(tbl_Finance[Job Number],C173&amp;"",tbl_Finance[Xero Invoice No],LOOKUP(2,1/((tbl_Finance[Job Number]=C173&amp;"")*(tbl_Finance[Xero Invoice No]&lt;&gt;"")),tbl_Finance[Xero Invoice No]))=COUNTIFS(tbl_Finance[Job Number],C173&amp;"",tbl_Finance[Xero Invoice No],"&lt;&gt;"),LOOKUP(2,1/((tbl_Finance[Job Number]=C173&amp;"")*(tbl_Finance[Xero Invoice No]&lt;&gt;"")),tbl_Finance[Xero Invoice No]),LOOKUP(2,1/((tbl_Finance[Job Number]=C173&amp;"")*(tbl_Finance[Xero Invoice No]&lt;&gt;"")),tbl_Finance[Xero Invoice No])&amp;" +more"),"")))</f>
        <v/>
      </c>
      <c r="C173" s="24" t="n"/>
      <c r="D173" s="25">
        <f>IF(C173="","",IF(COUNTIF(lst_Jobs,C173&amp;"")&gt;0,"OK","CHECK"))</f>
        <v/>
      </c>
      <c r="E173" s="25">
        <f>IF(C173="","",IFERROR(INDEX(lst_JobName,MATCH(C173&amp;"",lst_Jobs,0)),""))</f>
        <v/>
      </c>
      <c r="F173" s="25">
        <f>IF(C173="","",IFERROR(INDEX(tbl_Finance[Client],MATCH(C173&amp;"",tbl_Finance[Job Number],0)),""))</f>
        <v/>
      </c>
      <c r="G173" s="28">
        <f>IF(C173="","",COUNTIFS(tbl_Finance[Job Number],C173&amp;"",tbl_Finance[Ex GST],"&lt;&gt;"))</f>
        <v/>
      </c>
      <c r="H173" s="27">
        <f>IF(C173="","",SUMIFS(tbl_Finance[Ex GST],tbl_Finance[Job Number],C173&amp;""))</f>
        <v/>
      </c>
      <c r="I173" s="27">
        <f>IF(C173="","",SUMIFS(tbl_Finance[Ex GST],tbl_Finance[Job Number],C173&amp;"",tbl_Finance[Xero Invoice No],"&lt;&gt;"))</f>
        <v/>
      </c>
      <c r="J173" s="27">
        <f>IF(C173="","",H173-I173)</f>
        <v/>
      </c>
      <c r="K173" s="25">
        <f>IF(C173="","",IF(G173=0,"not invoiced yet",SUBSTITUTE(TRIM(IF(COUNTIFS(tbl_Finance[Job Number],C173&amp;"",tbl_Finance[Cost Centre],"ONSITE")&gt;0,"ONSITE ","")&amp;IF(COUNTIFS(tbl_Finance[Job Number],C173&amp;"",tbl_Finance[Cost Centre],"PRODUCTION")&gt;0,"PRODUCTION ","")&amp;IF(COUNTIFS(tbl_Finance[Job Number],C173&amp;"",tbl_Finance[Cost Centre],"VIDEO")&gt;0,"VIDEO ","")&amp;IF(COUNTIFS(tbl_Finance[Job Number],C173&amp;"",tbl_Finance[Cost Centre],"INTEGRATION")&gt;0,"INTEGRATION ","")&amp;IF(COUNTIFS(tbl_Finance[Job Number],C173&amp;"",tbl_Finance[Cost Centre],"CONSULTING")&gt;0,"CONSULTING ","")&amp;IF(COUNTIFS(tbl_Finance[Job Number],C173&amp;"",tbl_Finance[Cost Centre],"CTS")&gt;0,"CTS ",""))," ",", ")))</f>
        <v/>
      </c>
      <c r="L173" s="22" t="n"/>
      <c r="M173" s="24" t="n"/>
      <c r="N173" s="25">
        <f>IF(M173="","",IF(AND(LEFT(M173,4)&lt;&gt;"http",set_RMSBase=""),"",HYPERLINK(IF(LEFT(M173,4)="http",M173,set_RMSBase&amp;M173),"Open opportunity")))</f>
        <v/>
      </c>
      <c r="O173" s="25">
        <f>IF(C173="","",C173)</f>
        <v/>
      </c>
      <c r="P173" s="24" t="n"/>
      <c r="Q173" s="26" t="n"/>
      <c r="R173" s="27">
        <f>IF(C173="","",H173+N(Q173))</f>
        <v/>
      </c>
      <c r="S173" s="29">
        <f>IFERROR(Q173/R173,"")</f>
        <v/>
      </c>
      <c r="T173" s="26" t="n"/>
      <c r="U173" s="26" t="n"/>
      <c r="V173" s="27">
        <f>IF(C173="","",N(T173)+N(U173))</f>
        <v/>
      </c>
      <c r="W173" s="27">
        <f>IF(C173="","",H173-V173)</f>
        <v/>
      </c>
      <c r="X173" s="29">
        <f>IFERROR(W173/H173,"")</f>
        <v/>
      </c>
      <c r="Y173" s="64" t="n"/>
      <c r="Z173" s="64" t="n"/>
      <c r="AA173" s="64" t="n"/>
      <c r="AB173" s="64" t="n"/>
      <c r="AC173" s="64" t="n"/>
      <c r="AD173" s="24" t="n"/>
    </row>
    <row r="174" ht="15" customHeight="1">
      <c r="A174" s="63">
        <f>IF(C174="","",IFERROR(IF(SUMPRODUCT(MAX((tbl_Finance[Job Number]=C174&amp;"")*(tbl_Finance[Xero Invoice No]&lt;&gt;"")*tbl_Finance[Date]))=0,"",SUMPRODUCT(MAX((tbl_Finance[Job Number]=C174&amp;"")*(tbl_Finance[Xero Invoice No]&lt;&gt;"")*tbl_Finance[Date]))),""))</f>
        <v/>
      </c>
      <c r="B174" s="25">
        <f>IF(C174="","",IF(COUNTIFS(tbl_Finance[Job Number],C174&amp;"",tbl_Finance[Xero Invoice No],"&lt;&gt;")=0,"",IFERROR(IF(COUNTIFS(tbl_Finance[Job Number],C174&amp;"",tbl_Finance[Xero Invoice No],LOOKUP(2,1/((tbl_Finance[Job Number]=C174&amp;"")*(tbl_Finance[Xero Invoice No]&lt;&gt;"")),tbl_Finance[Xero Invoice No]))=COUNTIFS(tbl_Finance[Job Number],C174&amp;"",tbl_Finance[Xero Invoice No],"&lt;&gt;"),LOOKUP(2,1/((tbl_Finance[Job Number]=C174&amp;"")*(tbl_Finance[Xero Invoice No]&lt;&gt;"")),tbl_Finance[Xero Invoice No]),LOOKUP(2,1/((tbl_Finance[Job Number]=C174&amp;"")*(tbl_Finance[Xero Invoice No]&lt;&gt;"")),tbl_Finance[Xero Invoice No])&amp;" +more"),"")))</f>
        <v/>
      </c>
      <c r="C174" s="24" t="n"/>
      <c r="D174" s="25">
        <f>IF(C174="","",IF(COUNTIF(lst_Jobs,C174&amp;"")&gt;0,"OK","CHECK"))</f>
        <v/>
      </c>
      <c r="E174" s="25">
        <f>IF(C174="","",IFERROR(INDEX(lst_JobName,MATCH(C174&amp;"",lst_Jobs,0)),""))</f>
        <v/>
      </c>
      <c r="F174" s="25">
        <f>IF(C174="","",IFERROR(INDEX(tbl_Finance[Client],MATCH(C174&amp;"",tbl_Finance[Job Number],0)),""))</f>
        <v/>
      </c>
      <c r="G174" s="28">
        <f>IF(C174="","",COUNTIFS(tbl_Finance[Job Number],C174&amp;"",tbl_Finance[Ex GST],"&lt;&gt;"))</f>
        <v/>
      </c>
      <c r="H174" s="27">
        <f>IF(C174="","",SUMIFS(tbl_Finance[Ex GST],tbl_Finance[Job Number],C174&amp;""))</f>
        <v/>
      </c>
      <c r="I174" s="27">
        <f>IF(C174="","",SUMIFS(tbl_Finance[Ex GST],tbl_Finance[Job Number],C174&amp;"",tbl_Finance[Xero Invoice No],"&lt;&gt;"))</f>
        <v/>
      </c>
      <c r="J174" s="27">
        <f>IF(C174="","",H174-I174)</f>
        <v/>
      </c>
      <c r="K174" s="25">
        <f>IF(C174="","",IF(G174=0,"not invoiced yet",SUBSTITUTE(TRIM(IF(COUNTIFS(tbl_Finance[Job Number],C174&amp;"",tbl_Finance[Cost Centre],"ONSITE")&gt;0,"ONSITE ","")&amp;IF(COUNTIFS(tbl_Finance[Job Number],C174&amp;"",tbl_Finance[Cost Centre],"PRODUCTION")&gt;0,"PRODUCTION ","")&amp;IF(COUNTIFS(tbl_Finance[Job Number],C174&amp;"",tbl_Finance[Cost Centre],"VIDEO")&gt;0,"VIDEO ","")&amp;IF(COUNTIFS(tbl_Finance[Job Number],C174&amp;"",tbl_Finance[Cost Centre],"INTEGRATION")&gt;0,"INTEGRATION ","")&amp;IF(COUNTIFS(tbl_Finance[Job Number],C174&amp;"",tbl_Finance[Cost Centre],"CONSULTING")&gt;0,"CONSULTING ","")&amp;IF(COUNTIFS(tbl_Finance[Job Number],C174&amp;"",tbl_Finance[Cost Centre],"CTS")&gt;0,"CTS ",""))," ",", ")))</f>
        <v/>
      </c>
      <c r="L174" s="22" t="n"/>
      <c r="M174" s="24" t="n"/>
      <c r="N174" s="25">
        <f>IF(M174="","",IF(AND(LEFT(M174,4)&lt;&gt;"http",set_RMSBase=""),"",HYPERLINK(IF(LEFT(M174,4)="http",M174,set_RMSBase&amp;M174),"Open opportunity")))</f>
        <v/>
      </c>
      <c r="O174" s="25">
        <f>IF(C174="","",C174)</f>
        <v/>
      </c>
      <c r="P174" s="24" t="n"/>
      <c r="Q174" s="26" t="n"/>
      <c r="R174" s="27">
        <f>IF(C174="","",H174+N(Q174))</f>
        <v/>
      </c>
      <c r="S174" s="29">
        <f>IFERROR(Q174/R174,"")</f>
        <v/>
      </c>
      <c r="T174" s="26" t="n"/>
      <c r="U174" s="26" t="n"/>
      <c r="V174" s="27">
        <f>IF(C174="","",N(T174)+N(U174))</f>
        <v/>
      </c>
      <c r="W174" s="27">
        <f>IF(C174="","",H174-V174)</f>
        <v/>
      </c>
      <c r="X174" s="29">
        <f>IFERROR(W174/H174,"")</f>
        <v/>
      </c>
      <c r="Y174" s="64" t="n"/>
      <c r="Z174" s="64" t="n"/>
      <c r="AA174" s="64" t="n"/>
      <c r="AB174" s="64" t="n"/>
      <c r="AC174" s="64" t="n"/>
      <c r="AD174" s="24" t="n"/>
    </row>
    <row r="175" ht="15" customHeight="1">
      <c r="A175" s="63">
        <f>IF(C175="","",IFERROR(IF(SUMPRODUCT(MAX((tbl_Finance[Job Number]=C175&amp;"")*(tbl_Finance[Xero Invoice No]&lt;&gt;"")*tbl_Finance[Date]))=0,"",SUMPRODUCT(MAX((tbl_Finance[Job Number]=C175&amp;"")*(tbl_Finance[Xero Invoice No]&lt;&gt;"")*tbl_Finance[Date]))),""))</f>
        <v/>
      </c>
      <c r="B175" s="25">
        <f>IF(C175="","",IF(COUNTIFS(tbl_Finance[Job Number],C175&amp;"",tbl_Finance[Xero Invoice No],"&lt;&gt;")=0,"",IFERROR(IF(COUNTIFS(tbl_Finance[Job Number],C175&amp;"",tbl_Finance[Xero Invoice No],LOOKUP(2,1/((tbl_Finance[Job Number]=C175&amp;"")*(tbl_Finance[Xero Invoice No]&lt;&gt;"")),tbl_Finance[Xero Invoice No]))=COUNTIFS(tbl_Finance[Job Number],C175&amp;"",tbl_Finance[Xero Invoice No],"&lt;&gt;"),LOOKUP(2,1/((tbl_Finance[Job Number]=C175&amp;"")*(tbl_Finance[Xero Invoice No]&lt;&gt;"")),tbl_Finance[Xero Invoice No]),LOOKUP(2,1/((tbl_Finance[Job Number]=C175&amp;"")*(tbl_Finance[Xero Invoice No]&lt;&gt;"")),tbl_Finance[Xero Invoice No])&amp;" +more"),"")))</f>
        <v/>
      </c>
      <c r="C175" s="24" t="n"/>
      <c r="D175" s="25">
        <f>IF(C175="","",IF(COUNTIF(lst_Jobs,C175&amp;"")&gt;0,"OK","CHECK"))</f>
        <v/>
      </c>
      <c r="E175" s="25">
        <f>IF(C175="","",IFERROR(INDEX(lst_JobName,MATCH(C175&amp;"",lst_Jobs,0)),""))</f>
        <v/>
      </c>
      <c r="F175" s="25">
        <f>IF(C175="","",IFERROR(INDEX(tbl_Finance[Client],MATCH(C175&amp;"",tbl_Finance[Job Number],0)),""))</f>
        <v/>
      </c>
      <c r="G175" s="28">
        <f>IF(C175="","",COUNTIFS(tbl_Finance[Job Number],C175&amp;"",tbl_Finance[Ex GST],"&lt;&gt;"))</f>
        <v/>
      </c>
      <c r="H175" s="27">
        <f>IF(C175="","",SUMIFS(tbl_Finance[Ex GST],tbl_Finance[Job Number],C175&amp;""))</f>
        <v/>
      </c>
      <c r="I175" s="27">
        <f>IF(C175="","",SUMIFS(tbl_Finance[Ex GST],tbl_Finance[Job Number],C175&amp;"",tbl_Finance[Xero Invoice No],"&lt;&gt;"))</f>
        <v/>
      </c>
      <c r="J175" s="27">
        <f>IF(C175="","",H175-I175)</f>
        <v/>
      </c>
      <c r="K175" s="25">
        <f>IF(C175="","",IF(G175=0,"not invoiced yet",SUBSTITUTE(TRIM(IF(COUNTIFS(tbl_Finance[Job Number],C175&amp;"",tbl_Finance[Cost Centre],"ONSITE")&gt;0,"ONSITE ","")&amp;IF(COUNTIFS(tbl_Finance[Job Number],C175&amp;"",tbl_Finance[Cost Centre],"PRODUCTION")&gt;0,"PRODUCTION ","")&amp;IF(COUNTIFS(tbl_Finance[Job Number],C175&amp;"",tbl_Finance[Cost Centre],"VIDEO")&gt;0,"VIDEO ","")&amp;IF(COUNTIFS(tbl_Finance[Job Number],C175&amp;"",tbl_Finance[Cost Centre],"INTEGRATION")&gt;0,"INTEGRATION ","")&amp;IF(COUNTIFS(tbl_Finance[Job Number],C175&amp;"",tbl_Finance[Cost Centre],"CONSULTING")&gt;0,"CONSULTING ","")&amp;IF(COUNTIFS(tbl_Finance[Job Number],C175&amp;"",tbl_Finance[Cost Centre],"CTS")&gt;0,"CTS ",""))," ",", ")))</f>
        <v/>
      </c>
      <c r="L175" s="22" t="n"/>
      <c r="M175" s="24" t="n"/>
      <c r="N175" s="25">
        <f>IF(M175="","",IF(AND(LEFT(M175,4)&lt;&gt;"http",set_RMSBase=""),"",HYPERLINK(IF(LEFT(M175,4)="http",M175,set_RMSBase&amp;M175),"Open opportunity")))</f>
        <v/>
      </c>
      <c r="O175" s="25">
        <f>IF(C175="","",C175)</f>
        <v/>
      </c>
      <c r="P175" s="24" t="n"/>
      <c r="Q175" s="26" t="n"/>
      <c r="R175" s="27">
        <f>IF(C175="","",H175+N(Q175))</f>
        <v/>
      </c>
      <c r="S175" s="29">
        <f>IFERROR(Q175/R175,"")</f>
        <v/>
      </c>
      <c r="T175" s="26" t="n"/>
      <c r="U175" s="26" t="n"/>
      <c r="V175" s="27">
        <f>IF(C175="","",N(T175)+N(U175))</f>
        <v/>
      </c>
      <c r="W175" s="27">
        <f>IF(C175="","",H175-V175)</f>
        <v/>
      </c>
      <c r="X175" s="29">
        <f>IFERROR(W175/H175,"")</f>
        <v/>
      </c>
      <c r="Y175" s="64" t="n"/>
      <c r="Z175" s="64" t="n"/>
      <c r="AA175" s="64" t="n"/>
      <c r="AB175" s="64" t="n"/>
      <c r="AC175" s="64" t="n"/>
      <c r="AD175" s="24" t="n"/>
    </row>
    <row r="176" ht="15" customHeight="1">
      <c r="A176" s="63">
        <f>IF(C176="","",IFERROR(IF(SUMPRODUCT(MAX((tbl_Finance[Job Number]=C176&amp;"")*(tbl_Finance[Xero Invoice No]&lt;&gt;"")*tbl_Finance[Date]))=0,"",SUMPRODUCT(MAX((tbl_Finance[Job Number]=C176&amp;"")*(tbl_Finance[Xero Invoice No]&lt;&gt;"")*tbl_Finance[Date]))),""))</f>
        <v/>
      </c>
      <c r="B176" s="25">
        <f>IF(C176="","",IF(COUNTIFS(tbl_Finance[Job Number],C176&amp;"",tbl_Finance[Xero Invoice No],"&lt;&gt;")=0,"",IFERROR(IF(COUNTIFS(tbl_Finance[Job Number],C176&amp;"",tbl_Finance[Xero Invoice No],LOOKUP(2,1/((tbl_Finance[Job Number]=C176&amp;"")*(tbl_Finance[Xero Invoice No]&lt;&gt;"")),tbl_Finance[Xero Invoice No]))=COUNTIFS(tbl_Finance[Job Number],C176&amp;"",tbl_Finance[Xero Invoice No],"&lt;&gt;"),LOOKUP(2,1/((tbl_Finance[Job Number]=C176&amp;"")*(tbl_Finance[Xero Invoice No]&lt;&gt;"")),tbl_Finance[Xero Invoice No]),LOOKUP(2,1/((tbl_Finance[Job Number]=C176&amp;"")*(tbl_Finance[Xero Invoice No]&lt;&gt;"")),tbl_Finance[Xero Invoice No])&amp;" +more"),"")))</f>
        <v/>
      </c>
      <c r="C176" s="24" t="n"/>
      <c r="D176" s="25">
        <f>IF(C176="","",IF(COUNTIF(lst_Jobs,C176&amp;"")&gt;0,"OK","CHECK"))</f>
        <v/>
      </c>
      <c r="E176" s="25">
        <f>IF(C176="","",IFERROR(INDEX(lst_JobName,MATCH(C176&amp;"",lst_Jobs,0)),""))</f>
        <v/>
      </c>
      <c r="F176" s="25">
        <f>IF(C176="","",IFERROR(INDEX(tbl_Finance[Client],MATCH(C176&amp;"",tbl_Finance[Job Number],0)),""))</f>
        <v/>
      </c>
      <c r="G176" s="28">
        <f>IF(C176="","",COUNTIFS(tbl_Finance[Job Number],C176&amp;"",tbl_Finance[Ex GST],"&lt;&gt;"))</f>
        <v/>
      </c>
      <c r="H176" s="27">
        <f>IF(C176="","",SUMIFS(tbl_Finance[Ex GST],tbl_Finance[Job Number],C176&amp;""))</f>
        <v/>
      </c>
      <c r="I176" s="27">
        <f>IF(C176="","",SUMIFS(tbl_Finance[Ex GST],tbl_Finance[Job Number],C176&amp;"",tbl_Finance[Xero Invoice No],"&lt;&gt;"))</f>
        <v/>
      </c>
      <c r="J176" s="27">
        <f>IF(C176="","",H176-I176)</f>
        <v/>
      </c>
      <c r="K176" s="25">
        <f>IF(C176="","",IF(G176=0,"not invoiced yet",SUBSTITUTE(TRIM(IF(COUNTIFS(tbl_Finance[Job Number],C176&amp;"",tbl_Finance[Cost Centre],"ONSITE")&gt;0,"ONSITE ","")&amp;IF(COUNTIFS(tbl_Finance[Job Number],C176&amp;"",tbl_Finance[Cost Centre],"PRODUCTION")&gt;0,"PRODUCTION ","")&amp;IF(COUNTIFS(tbl_Finance[Job Number],C176&amp;"",tbl_Finance[Cost Centre],"VIDEO")&gt;0,"VIDEO ","")&amp;IF(COUNTIFS(tbl_Finance[Job Number],C176&amp;"",tbl_Finance[Cost Centre],"INTEGRATION")&gt;0,"INTEGRATION ","")&amp;IF(COUNTIFS(tbl_Finance[Job Number],C176&amp;"",tbl_Finance[Cost Centre],"CONSULTING")&gt;0,"CONSULTING ","")&amp;IF(COUNTIFS(tbl_Finance[Job Number],C176&amp;"",tbl_Finance[Cost Centre],"CTS")&gt;0,"CTS ",""))," ",", ")))</f>
        <v/>
      </c>
      <c r="L176" s="22" t="n"/>
      <c r="M176" s="24" t="n"/>
      <c r="N176" s="25">
        <f>IF(M176="","",IF(AND(LEFT(M176,4)&lt;&gt;"http",set_RMSBase=""),"",HYPERLINK(IF(LEFT(M176,4)="http",M176,set_RMSBase&amp;M176),"Open opportunity")))</f>
        <v/>
      </c>
      <c r="O176" s="25">
        <f>IF(C176="","",C176)</f>
        <v/>
      </c>
      <c r="P176" s="24" t="n"/>
      <c r="Q176" s="26" t="n"/>
      <c r="R176" s="27">
        <f>IF(C176="","",H176+N(Q176))</f>
        <v/>
      </c>
      <c r="S176" s="29">
        <f>IFERROR(Q176/R176,"")</f>
        <v/>
      </c>
      <c r="T176" s="26" t="n"/>
      <c r="U176" s="26" t="n"/>
      <c r="V176" s="27">
        <f>IF(C176="","",N(T176)+N(U176))</f>
        <v/>
      </c>
      <c r="W176" s="27">
        <f>IF(C176="","",H176-V176)</f>
        <v/>
      </c>
      <c r="X176" s="29">
        <f>IFERROR(W176/H176,"")</f>
        <v/>
      </c>
      <c r="Y176" s="64" t="n"/>
      <c r="Z176" s="64" t="n"/>
      <c r="AA176" s="64" t="n"/>
      <c r="AB176" s="64" t="n"/>
      <c r="AC176" s="64" t="n"/>
      <c r="AD176" s="24" t="n"/>
    </row>
    <row r="177" ht="15" customHeight="1">
      <c r="A177" s="63">
        <f>IF(C177="","",IFERROR(IF(SUMPRODUCT(MAX((tbl_Finance[Job Number]=C177&amp;"")*(tbl_Finance[Xero Invoice No]&lt;&gt;"")*tbl_Finance[Date]))=0,"",SUMPRODUCT(MAX((tbl_Finance[Job Number]=C177&amp;"")*(tbl_Finance[Xero Invoice No]&lt;&gt;"")*tbl_Finance[Date]))),""))</f>
        <v/>
      </c>
      <c r="B177" s="25">
        <f>IF(C177="","",IF(COUNTIFS(tbl_Finance[Job Number],C177&amp;"",tbl_Finance[Xero Invoice No],"&lt;&gt;")=0,"",IFERROR(IF(COUNTIFS(tbl_Finance[Job Number],C177&amp;"",tbl_Finance[Xero Invoice No],LOOKUP(2,1/((tbl_Finance[Job Number]=C177&amp;"")*(tbl_Finance[Xero Invoice No]&lt;&gt;"")),tbl_Finance[Xero Invoice No]))=COUNTIFS(tbl_Finance[Job Number],C177&amp;"",tbl_Finance[Xero Invoice No],"&lt;&gt;"),LOOKUP(2,1/((tbl_Finance[Job Number]=C177&amp;"")*(tbl_Finance[Xero Invoice No]&lt;&gt;"")),tbl_Finance[Xero Invoice No]),LOOKUP(2,1/((tbl_Finance[Job Number]=C177&amp;"")*(tbl_Finance[Xero Invoice No]&lt;&gt;"")),tbl_Finance[Xero Invoice No])&amp;" +more"),"")))</f>
        <v/>
      </c>
      <c r="C177" s="24" t="n"/>
      <c r="D177" s="25">
        <f>IF(C177="","",IF(COUNTIF(lst_Jobs,C177&amp;"")&gt;0,"OK","CHECK"))</f>
        <v/>
      </c>
      <c r="E177" s="25">
        <f>IF(C177="","",IFERROR(INDEX(lst_JobName,MATCH(C177&amp;"",lst_Jobs,0)),""))</f>
        <v/>
      </c>
      <c r="F177" s="25">
        <f>IF(C177="","",IFERROR(INDEX(tbl_Finance[Client],MATCH(C177&amp;"",tbl_Finance[Job Number],0)),""))</f>
        <v/>
      </c>
      <c r="G177" s="28">
        <f>IF(C177="","",COUNTIFS(tbl_Finance[Job Number],C177&amp;"",tbl_Finance[Ex GST],"&lt;&gt;"))</f>
        <v/>
      </c>
      <c r="H177" s="27">
        <f>IF(C177="","",SUMIFS(tbl_Finance[Ex GST],tbl_Finance[Job Number],C177&amp;""))</f>
        <v/>
      </c>
      <c r="I177" s="27">
        <f>IF(C177="","",SUMIFS(tbl_Finance[Ex GST],tbl_Finance[Job Number],C177&amp;"",tbl_Finance[Xero Invoice No],"&lt;&gt;"))</f>
        <v/>
      </c>
      <c r="J177" s="27">
        <f>IF(C177="","",H177-I177)</f>
        <v/>
      </c>
      <c r="K177" s="25">
        <f>IF(C177="","",IF(G177=0,"not invoiced yet",SUBSTITUTE(TRIM(IF(COUNTIFS(tbl_Finance[Job Number],C177&amp;"",tbl_Finance[Cost Centre],"ONSITE")&gt;0,"ONSITE ","")&amp;IF(COUNTIFS(tbl_Finance[Job Number],C177&amp;"",tbl_Finance[Cost Centre],"PRODUCTION")&gt;0,"PRODUCTION ","")&amp;IF(COUNTIFS(tbl_Finance[Job Number],C177&amp;"",tbl_Finance[Cost Centre],"VIDEO")&gt;0,"VIDEO ","")&amp;IF(COUNTIFS(tbl_Finance[Job Number],C177&amp;"",tbl_Finance[Cost Centre],"INTEGRATION")&gt;0,"INTEGRATION ","")&amp;IF(COUNTIFS(tbl_Finance[Job Number],C177&amp;"",tbl_Finance[Cost Centre],"CONSULTING")&gt;0,"CONSULTING ","")&amp;IF(COUNTIFS(tbl_Finance[Job Number],C177&amp;"",tbl_Finance[Cost Centre],"CTS")&gt;0,"CTS ",""))," ",", ")))</f>
        <v/>
      </c>
      <c r="L177" s="22" t="n"/>
      <c r="M177" s="24" t="n"/>
      <c r="N177" s="25">
        <f>IF(M177="","",IF(AND(LEFT(M177,4)&lt;&gt;"http",set_RMSBase=""),"",HYPERLINK(IF(LEFT(M177,4)="http",M177,set_RMSBase&amp;M177),"Open opportunity")))</f>
        <v/>
      </c>
      <c r="O177" s="25">
        <f>IF(C177="","",C177)</f>
        <v/>
      </c>
      <c r="P177" s="24" t="n"/>
      <c r="Q177" s="26" t="n"/>
      <c r="R177" s="27">
        <f>IF(C177="","",H177+N(Q177))</f>
        <v/>
      </c>
      <c r="S177" s="29">
        <f>IFERROR(Q177/R177,"")</f>
        <v/>
      </c>
      <c r="T177" s="26" t="n"/>
      <c r="U177" s="26" t="n"/>
      <c r="V177" s="27">
        <f>IF(C177="","",N(T177)+N(U177))</f>
        <v/>
      </c>
      <c r="W177" s="27">
        <f>IF(C177="","",H177-V177)</f>
        <v/>
      </c>
      <c r="X177" s="29">
        <f>IFERROR(W177/H177,"")</f>
        <v/>
      </c>
      <c r="Y177" s="64" t="n"/>
      <c r="Z177" s="64" t="n"/>
      <c r="AA177" s="64" t="n"/>
      <c r="AB177" s="64" t="n"/>
      <c r="AC177" s="64" t="n"/>
      <c r="AD177" s="24" t="n"/>
    </row>
    <row r="178" ht="15" customHeight="1">
      <c r="A178" s="63">
        <f>IF(C178="","",IFERROR(IF(SUMPRODUCT(MAX((tbl_Finance[Job Number]=C178&amp;"")*(tbl_Finance[Xero Invoice No]&lt;&gt;"")*tbl_Finance[Date]))=0,"",SUMPRODUCT(MAX((tbl_Finance[Job Number]=C178&amp;"")*(tbl_Finance[Xero Invoice No]&lt;&gt;"")*tbl_Finance[Date]))),""))</f>
        <v/>
      </c>
      <c r="B178" s="25">
        <f>IF(C178="","",IF(COUNTIFS(tbl_Finance[Job Number],C178&amp;"",tbl_Finance[Xero Invoice No],"&lt;&gt;")=0,"",IFERROR(IF(COUNTIFS(tbl_Finance[Job Number],C178&amp;"",tbl_Finance[Xero Invoice No],LOOKUP(2,1/((tbl_Finance[Job Number]=C178&amp;"")*(tbl_Finance[Xero Invoice No]&lt;&gt;"")),tbl_Finance[Xero Invoice No]))=COUNTIFS(tbl_Finance[Job Number],C178&amp;"",tbl_Finance[Xero Invoice No],"&lt;&gt;"),LOOKUP(2,1/((tbl_Finance[Job Number]=C178&amp;"")*(tbl_Finance[Xero Invoice No]&lt;&gt;"")),tbl_Finance[Xero Invoice No]),LOOKUP(2,1/((tbl_Finance[Job Number]=C178&amp;"")*(tbl_Finance[Xero Invoice No]&lt;&gt;"")),tbl_Finance[Xero Invoice No])&amp;" +more"),"")))</f>
        <v/>
      </c>
      <c r="C178" s="24" t="n"/>
      <c r="D178" s="25">
        <f>IF(C178="","",IF(COUNTIF(lst_Jobs,C178&amp;"")&gt;0,"OK","CHECK"))</f>
        <v/>
      </c>
      <c r="E178" s="25">
        <f>IF(C178="","",IFERROR(INDEX(lst_JobName,MATCH(C178&amp;"",lst_Jobs,0)),""))</f>
        <v/>
      </c>
      <c r="F178" s="25">
        <f>IF(C178="","",IFERROR(INDEX(tbl_Finance[Client],MATCH(C178&amp;"",tbl_Finance[Job Number],0)),""))</f>
        <v/>
      </c>
      <c r="G178" s="28">
        <f>IF(C178="","",COUNTIFS(tbl_Finance[Job Number],C178&amp;"",tbl_Finance[Ex GST],"&lt;&gt;"))</f>
        <v/>
      </c>
      <c r="H178" s="27">
        <f>IF(C178="","",SUMIFS(tbl_Finance[Ex GST],tbl_Finance[Job Number],C178&amp;""))</f>
        <v/>
      </c>
      <c r="I178" s="27">
        <f>IF(C178="","",SUMIFS(tbl_Finance[Ex GST],tbl_Finance[Job Number],C178&amp;"",tbl_Finance[Xero Invoice No],"&lt;&gt;"))</f>
        <v/>
      </c>
      <c r="J178" s="27">
        <f>IF(C178="","",H178-I178)</f>
        <v/>
      </c>
      <c r="K178" s="25">
        <f>IF(C178="","",IF(G178=0,"not invoiced yet",SUBSTITUTE(TRIM(IF(COUNTIFS(tbl_Finance[Job Number],C178&amp;"",tbl_Finance[Cost Centre],"ONSITE")&gt;0,"ONSITE ","")&amp;IF(COUNTIFS(tbl_Finance[Job Number],C178&amp;"",tbl_Finance[Cost Centre],"PRODUCTION")&gt;0,"PRODUCTION ","")&amp;IF(COUNTIFS(tbl_Finance[Job Number],C178&amp;"",tbl_Finance[Cost Centre],"VIDEO")&gt;0,"VIDEO ","")&amp;IF(COUNTIFS(tbl_Finance[Job Number],C178&amp;"",tbl_Finance[Cost Centre],"INTEGRATION")&gt;0,"INTEGRATION ","")&amp;IF(COUNTIFS(tbl_Finance[Job Number],C178&amp;"",tbl_Finance[Cost Centre],"CONSULTING")&gt;0,"CONSULTING ","")&amp;IF(COUNTIFS(tbl_Finance[Job Number],C178&amp;"",tbl_Finance[Cost Centre],"CTS")&gt;0,"CTS ",""))," ",", ")))</f>
        <v/>
      </c>
      <c r="L178" s="22" t="n"/>
      <c r="M178" s="24" t="n"/>
      <c r="N178" s="25">
        <f>IF(M178="","",IF(AND(LEFT(M178,4)&lt;&gt;"http",set_RMSBase=""),"",HYPERLINK(IF(LEFT(M178,4)="http",M178,set_RMSBase&amp;M178),"Open opportunity")))</f>
        <v/>
      </c>
      <c r="O178" s="25">
        <f>IF(C178="","",C178)</f>
        <v/>
      </c>
      <c r="P178" s="24" t="n"/>
      <c r="Q178" s="26" t="n"/>
      <c r="R178" s="27">
        <f>IF(C178="","",H178+N(Q178))</f>
        <v/>
      </c>
      <c r="S178" s="29">
        <f>IFERROR(Q178/R178,"")</f>
        <v/>
      </c>
      <c r="T178" s="26" t="n"/>
      <c r="U178" s="26" t="n"/>
      <c r="V178" s="27">
        <f>IF(C178="","",N(T178)+N(U178))</f>
        <v/>
      </c>
      <c r="W178" s="27">
        <f>IF(C178="","",H178-V178)</f>
        <v/>
      </c>
      <c r="X178" s="29">
        <f>IFERROR(W178/H178,"")</f>
        <v/>
      </c>
      <c r="Y178" s="64" t="n"/>
      <c r="Z178" s="64" t="n"/>
      <c r="AA178" s="64" t="n"/>
      <c r="AB178" s="64" t="n"/>
      <c r="AC178" s="64" t="n"/>
      <c r="AD178" s="24" t="n"/>
    </row>
    <row r="179" ht="15" customHeight="1">
      <c r="A179" s="63">
        <f>IF(C179="","",IFERROR(IF(SUMPRODUCT(MAX((tbl_Finance[Job Number]=C179&amp;"")*(tbl_Finance[Xero Invoice No]&lt;&gt;"")*tbl_Finance[Date]))=0,"",SUMPRODUCT(MAX((tbl_Finance[Job Number]=C179&amp;"")*(tbl_Finance[Xero Invoice No]&lt;&gt;"")*tbl_Finance[Date]))),""))</f>
        <v/>
      </c>
      <c r="B179" s="25">
        <f>IF(C179="","",IF(COUNTIFS(tbl_Finance[Job Number],C179&amp;"",tbl_Finance[Xero Invoice No],"&lt;&gt;")=0,"",IFERROR(IF(COUNTIFS(tbl_Finance[Job Number],C179&amp;"",tbl_Finance[Xero Invoice No],LOOKUP(2,1/((tbl_Finance[Job Number]=C179&amp;"")*(tbl_Finance[Xero Invoice No]&lt;&gt;"")),tbl_Finance[Xero Invoice No]))=COUNTIFS(tbl_Finance[Job Number],C179&amp;"",tbl_Finance[Xero Invoice No],"&lt;&gt;"),LOOKUP(2,1/((tbl_Finance[Job Number]=C179&amp;"")*(tbl_Finance[Xero Invoice No]&lt;&gt;"")),tbl_Finance[Xero Invoice No]),LOOKUP(2,1/((tbl_Finance[Job Number]=C179&amp;"")*(tbl_Finance[Xero Invoice No]&lt;&gt;"")),tbl_Finance[Xero Invoice No])&amp;" +more"),"")))</f>
        <v/>
      </c>
      <c r="C179" s="24" t="n"/>
      <c r="D179" s="25">
        <f>IF(C179="","",IF(COUNTIF(lst_Jobs,C179&amp;"")&gt;0,"OK","CHECK"))</f>
        <v/>
      </c>
      <c r="E179" s="25">
        <f>IF(C179="","",IFERROR(INDEX(lst_JobName,MATCH(C179&amp;"",lst_Jobs,0)),""))</f>
        <v/>
      </c>
      <c r="F179" s="25">
        <f>IF(C179="","",IFERROR(INDEX(tbl_Finance[Client],MATCH(C179&amp;"",tbl_Finance[Job Number],0)),""))</f>
        <v/>
      </c>
      <c r="G179" s="28">
        <f>IF(C179="","",COUNTIFS(tbl_Finance[Job Number],C179&amp;"",tbl_Finance[Ex GST],"&lt;&gt;"))</f>
        <v/>
      </c>
      <c r="H179" s="27">
        <f>IF(C179="","",SUMIFS(tbl_Finance[Ex GST],tbl_Finance[Job Number],C179&amp;""))</f>
        <v/>
      </c>
      <c r="I179" s="27">
        <f>IF(C179="","",SUMIFS(tbl_Finance[Ex GST],tbl_Finance[Job Number],C179&amp;"",tbl_Finance[Xero Invoice No],"&lt;&gt;"))</f>
        <v/>
      </c>
      <c r="J179" s="27">
        <f>IF(C179="","",H179-I179)</f>
        <v/>
      </c>
      <c r="K179" s="25">
        <f>IF(C179="","",IF(G179=0,"not invoiced yet",SUBSTITUTE(TRIM(IF(COUNTIFS(tbl_Finance[Job Number],C179&amp;"",tbl_Finance[Cost Centre],"ONSITE")&gt;0,"ONSITE ","")&amp;IF(COUNTIFS(tbl_Finance[Job Number],C179&amp;"",tbl_Finance[Cost Centre],"PRODUCTION")&gt;0,"PRODUCTION ","")&amp;IF(COUNTIFS(tbl_Finance[Job Number],C179&amp;"",tbl_Finance[Cost Centre],"VIDEO")&gt;0,"VIDEO ","")&amp;IF(COUNTIFS(tbl_Finance[Job Number],C179&amp;"",tbl_Finance[Cost Centre],"INTEGRATION")&gt;0,"INTEGRATION ","")&amp;IF(COUNTIFS(tbl_Finance[Job Number],C179&amp;"",tbl_Finance[Cost Centre],"CONSULTING")&gt;0,"CONSULTING ","")&amp;IF(COUNTIFS(tbl_Finance[Job Number],C179&amp;"",tbl_Finance[Cost Centre],"CTS")&gt;0,"CTS ",""))," ",", ")))</f>
        <v/>
      </c>
      <c r="L179" s="22" t="n"/>
      <c r="M179" s="24" t="n"/>
      <c r="N179" s="25">
        <f>IF(M179="","",IF(AND(LEFT(M179,4)&lt;&gt;"http",set_RMSBase=""),"",HYPERLINK(IF(LEFT(M179,4)="http",M179,set_RMSBase&amp;M179),"Open opportunity")))</f>
        <v/>
      </c>
      <c r="O179" s="25">
        <f>IF(C179="","",C179)</f>
        <v/>
      </c>
      <c r="P179" s="24" t="n"/>
      <c r="Q179" s="26" t="n"/>
      <c r="R179" s="27">
        <f>IF(C179="","",H179+N(Q179))</f>
        <v/>
      </c>
      <c r="S179" s="29">
        <f>IFERROR(Q179/R179,"")</f>
        <v/>
      </c>
      <c r="T179" s="26" t="n"/>
      <c r="U179" s="26" t="n"/>
      <c r="V179" s="27">
        <f>IF(C179="","",N(T179)+N(U179))</f>
        <v/>
      </c>
      <c r="W179" s="27">
        <f>IF(C179="","",H179-V179)</f>
        <v/>
      </c>
      <c r="X179" s="29">
        <f>IFERROR(W179/H179,"")</f>
        <v/>
      </c>
      <c r="Y179" s="64" t="n"/>
      <c r="Z179" s="64" t="n"/>
      <c r="AA179" s="64" t="n"/>
      <c r="AB179" s="64" t="n"/>
      <c r="AC179" s="64" t="n"/>
      <c r="AD179" s="24" t="n"/>
    </row>
    <row r="180" ht="15" customHeight="1">
      <c r="A180" s="63">
        <f>IF(C180="","",IFERROR(IF(SUMPRODUCT(MAX((tbl_Finance[Job Number]=C180&amp;"")*(tbl_Finance[Xero Invoice No]&lt;&gt;"")*tbl_Finance[Date]))=0,"",SUMPRODUCT(MAX((tbl_Finance[Job Number]=C180&amp;"")*(tbl_Finance[Xero Invoice No]&lt;&gt;"")*tbl_Finance[Date]))),""))</f>
        <v/>
      </c>
      <c r="B180" s="25">
        <f>IF(C180="","",IF(COUNTIFS(tbl_Finance[Job Number],C180&amp;"",tbl_Finance[Xero Invoice No],"&lt;&gt;")=0,"",IFERROR(IF(COUNTIFS(tbl_Finance[Job Number],C180&amp;"",tbl_Finance[Xero Invoice No],LOOKUP(2,1/((tbl_Finance[Job Number]=C180&amp;"")*(tbl_Finance[Xero Invoice No]&lt;&gt;"")),tbl_Finance[Xero Invoice No]))=COUNTIFS(tbl_Finance[Job Number],C180&amp;"",tbl_Finance[Xero Invoice No],"&lt;&gt;"),LOOKUP(2,1/((tbl_Finance[Job Number]=C180&amp;"")*(tbl_Finance[Xero Invoice No]&lt;&gt;"")),tbl_Finance[Xero Invoice No]),LOOKUP(2,1/((tbl_Finance[Job Number]=C180&amp;"")*(tbl_Finance[Xero Invoice No]&lt;&gt;"")),tbl_Finance[Xero Invoice No])&amp;" +more"),"")))</f>
        <v/>
      </c>
      <c r="C180" s="24" t="n"/>
      <c r="D180" s="25">
        <f>IF(C180="","",IF(COUNTIF(lst_Jobs,C180&amp;"")&gt;0,"OK","CHECK"))</f>
        <v/>
      </c>
      <c r="E180" s="25">
        <f>IF(C180="","",IFERROR(INDEX(lst_JobName,MATCH(C180&amp;"",lst_Jobs,0)),""))</f>
        <v/>
      </c>
      <c r="F180" s="25">
        <f>IF(C180="","",IFERROR(INDEX(tbl_Finance[Client],MATCH(C180&amp;"",tbl_Finance[Job Number],0)),""))</f>
        <v/>
      </c>
      <c r="G180" s="28">
        <f>IF(C180="","",COUNTIFS(tbl_Finance[Job Number],C180&amp;"",tbl_Finance[Ex GST],"&lt;&gt;"))</f>
        <v/>
      </c>
      <c r="H180" s="27">
        <f>IF(C180="","",SUMIFS(tbl_Finance[Ex GST],tbl_Finance[Job Number],C180&amp;""))</f>
        <v/>
      </c>
      <c r="I180" s="27">
        <f>IF(C180="","",SUMIFS(tbl_Finance[Ex GST],tbl_Finance[Job Number],C180&amp;"",tbl_Finance[Xero Invoice No],"&lt;&gt;"))</f>
        <v/>
      </c>
      <c r="J180" s="27">
        <f>IF(C180="","",H180-I180)</f>
        <v/>
      </c>
      <c r="K180" s="25">
        <f>IF(C180="","",IF(G180=0,"not invoiced yet",SUBSTITUTE(TRIM(IF(COUNTIFS(tbl_Finance[Job Number],C180&amp;"",tbl_Finance[Cost Centre],"ONSITE")&gt;0,"ONSITE ","")&amp;IF(COUNTIFS(tbl_Finance[Job Number],C180&amp;"",tbl_Finance[Cost Centre],"PRODUCTION")&gt;0,"PRODUCTION ","")&amp;IF(COUNTIFS(tbl_Finance[Job Number],C180&amp;"",tbl_Finance[Cost Centre],"VIDEO")&gt;0,"VIDEO ","")&amp;IF(COUNTIFS(tbl_Finance[Job Number],C180&amp;"",tbl_Finance[Cost Centre],"INTEGRATION")&gt;0,"INTEGRATION ","")&amp;IF(COUNTIFS(tbl_Finance[Job Number],C180&amp;"",tbl_Finance[Cost Centre],"CONSULTING")&gt;0,"CONSULTING ","")&amp;IF(COUNTIFS(tbl_Finance[Job Number],C180&amp;"",tbl_Finance[Cost Centre],"CTS")&gt;0,"CTS ",""))," ",", ")))</f>
        <v/>
      </c>
      <c r="L180" s="22" t="n"/>
      <c r="M180" s="24" t="n"/>
      <c r="N180" s="25">
        <f>IF(M180="","",IF(AND(LEFT(M180,4)&lt;&gt;"http",set_RMSBase=""),"",HYPERLINK(IF(LEFT(M180,4)="http",M180,set_RMSBase&amp;M180),"Open opportunity")))</f>
        <v/>
      </c>
      <c r="O180" s="25">
        <f>IF(C180="","",C180)</f>
        <v/>
      </c>
      <c r="P180" s="24" t="n"/>
      <c r="Q180" s="26" t="n"/>
      <c r="R180" s="27">
        <f>IF(C180="","",H180+N(Q180))</f>
        <v/>
      </c>
      <c r="S180" s="29">
        <f>IFERROR(Q180/R180,"")</f>
        <v/>
      </c>
      <c r="T180" s="26" t="n"/>
      <c r="U180" s="26" t="n"/>
      <c r="V180" s="27">
        <f>IF(C180="","",N(T180)+N(U180))</f>
        <v/>
      </c>
      <c r="W180" s="27">
        <f>IF(C180="","",H180-V180)</f>
        <v/>
      </c>
      <c r="X180" s="29">
        <f>IFERROR(W180/H180,"")</f>
        <v/>
      </c>
      <c r="Y180" s="64" t="n"/>
      <c r="Z180" s="64" t="n"/>
      <c r="AA180" s="64" t="n"/>
      <c r="AB180" s="64" t="n"/>
      <c r="AC180" s="64" t="n"/>
      <c r="AD180" s="24" t="n"/>
    </row>
    <row r="181" ht="15" customHeight="1">
      <c r="A181" s="63">
        <f>IF(C181="","",IFERROR(IF(SUMPRODUCT(MAX((tbl_Finance[Job Number]=C181&amp;"")*(tbl_Finance[Xero Invoice No]&lt;&gt;"")*tbl_Finance[Date]))=0,"",SUMPRODUCT(MAX((tbl_Finance[Job Number]=C181&amp;"")*(tbl_Finance[Xero Invoice No]&lt;&gt;"")*tbl_Finance[Date]))),""))</f>
        <v/>
      </c>
      <c r="B181" s="25">
        <f>IF(C181="","",IF(COUNTIFS(tbl_Finance[Job Number],C181&amp;"",tbl_Finance[Xero Invoice No],"&lt;&gt;")=0,"",IFERROR(IF(COUNTIFS(tbl_Finance[Job Number],C181&amp;"",tbl_Finance[Xero Invoice No],LOOKUP(2,1/((tbl_Finance[Job Number]=C181&amp;"")*(tbl_Finance[Xero Invoice No]&lt;&gt;"")),tbl_Finance[Xero Invoice No]))=COUNTIFS(tbl_Finance[Job Number],C181&amp;"",tbl_Finance[Xero Invoice No],"&lt;&gt;"),LOOKUP(2,1/((tbl_Finance[Job Number]=C181&amp;"")*(tbl_Finance[Xero Invoice No]&lt;&gt;"")),tbl_Finance[Xero Invoice No]),LOOKUP(2,1/((tbl_Finance[Job Number]=C181&amp;"")*(tbl_Finance[Xero Invoice No]&lt;&gt;"")),tbl_Finance[Xero Invoice No])&amp;" +more"),"")))</f>
        <v/>
      </c>
      <c r="C181" s="24" t="n"/>
      <c r="D181" s="25">
        <f>IF(C181="","",IF(COUNTIF(lst_Jobs,C181&amp;"")&gt;0,"OK","CHECK"))</f>
        <v/>
      </c>
      <c r="E181" s="25">
        <f>IF(C181="","",IFERROR(INDEX(lst_JobName,MATCH(C181&amp;"",lst_Jobs,0)),""))</f>
        <v/>
      </c>
      <c r="F181" s="25">
        <f>IF(C181="","",IFERROR(INDEX(tbl_Finance[Client],MATCH(C181&amp;"",tbl_Finance[Job Number],0)),""))</f>
        <v/>
      </c>
      <c r="G181" s="28">
        <f>IF(C181="","",COUNTIFS(tbl_Finance[Job Number],C181&amp;"",tbl_Finance[Ex GST],"&lt;&gt;"))</f>
        <v/>
      </c>
      <c r="H181" s="27">
        <f>IF(C181="","",SUMIFS(tbl_Finance[Ex GST],tbl_Finance[Job Number],C181&amp;""))</f>
        <v/>
      </c>
      <c r="I181" s="27">
        <f>IF(C181="","",SUMIFS(tbl_Finance[Ex GST],tbl_Finance[Job Number],C181&amp;"",tbl_Finance[Xero Invoice No],"&lt;&gt;"))</f>
        <v/>
      </c>
      <c r="J181" s="27">
        <f>IF(C181="","",H181-I181)</f>
        <v/>
      </c>
      <c r="K181" s="25">
        <f>IF(C181="","",IF(G181=0,"not invoiced yet",SUBSTITUTE(TRIM(IF(COUNTIFS(tbl_Finance[Job Number],C181&amp;"",tbl_Finance[Cost Centre],"ONSITE")&gt;0,"ONSITE ","")&amp;IF(COUNTIFS(tbl_Finance[Job Number],C181&amp;"",tbl_Finance[Cost Centre],"PRODUCTION")&gt;0,"PRODUCTION ","")&amp;IF(COUNTIFS(tbl_Finance[Job Number],C181&amp;"",tbl_Finance[Cost Centre],"VIDEO")&gt;0,"VIDEO ","")&amp;IF(COUNTIFS(tbl_Finance[Job Number],C181&amp;"",tbl_Finance[Cost Centre],"INTEGRATION")&gt;0,"INTEGRATION ","")&amp;IF(COUNTIFS(tbl_Finance[Job Number],C181&amp;"",tbl_Finance[Cost Centre],"CONSULTING")&gt;0,"CONSULTING ","")&amp;IF(COUNTIFS(tbl_Finance[Job Number],C181&amp;"",tbl_Finance[Cost Centre],"CTS")&gt;0,"CTS ",""))," ",", ")))</f>
        <v/>
      </c>
      <c r="L181" s="22" t="n"/>
      <c r="M181" s="24" t="n"/>
      <c r="N181" s="25">
        <f>IF(M181="","",IF(AND(LEFT(M181,4)&lt;&gt;"http",set_RMSBase=""),"",HYPERLINK(IF(LEFT(M181,4)="http",M181,set_RMSBase&amp;M181),"Open opportunity")))</f>
        <v/>
      </c>
      <c r="O181" s="25">
        <f>IF(C181="","",C181)</f>
        <v/>
      </c>
      <c r="P181" s="24" t="n"/>
      <c r="Q181" s="26" t="n"/>
      <c r="R181" s="27">
        <f>IF(C181="","",H181+N(Q181))</f>
        <v/>
      </c>
      <c r="S181" s="29">
        <f>IFERROR(Q181/R181,"")</f>
        <v/>
      </c>
      <c r="T181" s="26" t="n"/>
      <c r="U181" s="26" t="n"/>
      <c r="V181" s="27">
        <f>IF(C181="","",N(T181)+N(U181))</f>
        <v/>
      </c>
      <c r="W181" s="27">
        <f>IF(C181="","",H181-V181)</f>
        <v/>
      </c>
      <c r="X181" s="29">
        <f>IFERROR(W181/H181,"")</f>
        <v/>
      </c>
      <c r="Y181" s="64" t="n"/>
      <c r="Z181" s="64" t="n"/>
      <c r="AA181" s="64" t="n"/>
      <c r="AB181" s="64" t="n"/>
      <c r="AC181" s="64" t="n"/>
      <c r="AD181" s="24" t="n"/>
    </row>
    <row r="182" ht="15" customHeight="1">
      <c r="A182" s="63">
        <f>IF(C182="","",IFERROR(IF(SUMPRODUCT(MAX((tbl_Finance[Job Number]=C182&amp;"")*(tbl_Finance[Xero Invoice No]&lt;&gt;"")*tbl_Finance[Date]))=0,"",SUMPRODUCT(MAX((tbl_Finance[Job Number]=C182&amp;"")*(tbl_Finance[Xero Invoice No]&lt;&gt;"")*tbl_Finance[Date]))),""))</f>
        <v/>
      </c>
      <c r="B182" s="25">
        <f>IF(C182="","",IF(COUNTIFS(tbl_Finance[Job Number],C182&amp;"",tbl_Finance[Xero Invoice No],"&lt;&gt;")=0,"",IFERROR(IF(COUNTIFS(tbl_Finance[Job Number],C182&amp;"",tbl_Finance[Xero Invoice No],LOOKUP(2,1/((tbl_Finance[Job Number]=C182&amp;"")*(tbl_Finance[Xero Invoice No]&lt;&gt;"")),tbl_Finance[Xero Invoice No]))=COUNTIFS(tbl_Finance[Job Number],C182&amp;"",tbl_Finance[Xero Invoice No],"&lt;&gt;"),LOOKUP(2,1/((tbl_Finance[Job Number]=C182&amp;"")*(tbl_Finance[Xero Invoice No]&lt;&gt;"")),tbl_Finance[Xero Invoice No]),LOOKUP(2,1/((tbl_Finance[Job Number]=C182&amp;"")*(tbl_Finance[Xero Invoice No]&lt;&gt;"")),tbl_Finance[Xero Invoice No])&amp;" +more"),"")))</f>
        <v/>
      </c>
      <c r="C182" s="24" t="n"/>
      <c r="D182" s="25">
        <f>IF(C182="","",IF(COUNTIF(lst_Jobs,C182&amp;"")&gt;0,"OK","CHECK"))</f>
        <v/>
      </c>
      <c r="E182" s="25">
        <f>IF(C182="","",IFERROR(INDEX(lst_JobName,MATCH(C182&amp;"",lst_Jobs,0)),""))</f>
        <v/>
      </c>
      <c r="F182" s="25">
        <f>IF(C182="","",IFERROR(INDEX(tbl_Finance[Client],MATCH(C182&amp;"",tbl_Finance[Job Number],0)),""))</f>
        <v/>
      </c>
      <c r="G182" s="28">
        <f>IF(C182="","",COUNTIFS(tbl_Finance[Job Number],C182&amp;"",tbl_Finance[Ex GST],"&lt;&gt;"))</f>
        <v/>
      </c>
      <c r="H182" s="27">
        <f>IF(C182="","",SUMIFS(tbl_Finance[Ex GST],tbl_Finance[Job Number],C182&amp;""))</f>
        <v/>
      </c>
      <c r="I182" s="27">
        <f>IF(C182="","",SUMIFS(tbl_Finance[Ex GST],tbl_Finance[Job Number],C182&amp;"",tbl_Finance[Xero Invoice No],"&lt;&gt;"))</f>
        <v/>
      </c>
      <c r="J182" s="27">
        <f>IF(C182="","",H182-I182)</f>
        <v/>
      </c>
      <c r="K182" s="25">
        <f>IF(C182="","",IF(G182=0,"not invoiced yet",SUBSTITUTE(TRIM(IF(COUNTIFS(tbl_Finance[Job Number],C182&amp;"",tbl_Finance[Cost Centre],"ONSITE")&gt;0,"ONSITE ","")&amp;IF(COUNTIFS(tbl_Finance[Job Number],C182&amp;"",tbl_Finance[Cost Centre],"PRODUCTION")&gt;0,"PRODUCTION ","")&amp;IF(COUNTIFS(tbl_Finance[Job Number],C182&amp;"",tbl_Finance[Cost Centre],"VIDEO")&gt;0,"VIDEO ","")&amp;IF(COUNTIFS(tbl_Finance[Job Number],C182&amp;"",tbl_Finance[Cost Centre],"INTEGRATION")&gt;0,"INTEGRATION ","")&amp;IF(COUNTIFS(tbl_Finance[Job Number],C182&amp;"",tbl_Finance[Cost Centre],"CONSULTING")&gt;0,"CONSULTING ","")&amp;IF(COUNTIFS(tbl_Finance[Job Number],C182&amp;"",tbl_Finance[Cost Centre],"CTS")&gt;0,"CTS ",""))," ",", ")))</f>
        <v/>
      </c>
      <c r="L182" s="22" t="n"/>
      <c r="M182" s="24" t="n"/>
      <c r="N182" s="25">
        <f>IF(M182="","",IF(AND(LEFT(M182,4)&lt;&gt;"http",set_RMSBase=""),"",HYPERLINK(IF(LEFT(M182,4)="http",M182,set_RMSBase&amp;M182),"Open opportunity")))</f>
        <v/>
      </c>
      <c r="O182" s="25">
        <f>IF(C182="","",C182)</f>
        <v/>
      </c>
      <c r="P182" s="24" t="n"/>
      <c r="Q182" s="26" t="n"/>
      <c r="R182" s="27">
        <f>IF(C182="","",H182+N(Q182))</f>
        <v/>
      </c>
      <c r="S182" s="29">
        <f>IFERROR(Q182/R182,"")</f>
        <v/>
      </c>
      <c r="T182" s="26" t="n"/>
      <c r="U182" s="26" t="n"/>
      <c r="V182" s="27">
        <f>IF(C182="","",N(T182)+N(U182))</f>
        <v/>
      </c>
      <c r="W182" s="27">
        <f>IF(C182="","",H182-V182)</f>
        <v/>
      </c>
      <c r="X182" s="29">
        <f>IFERROR(W182/H182,"")</f>
        <v/>
      </c>
      <c r="Y182" s="64" t="n"/>
      <c r="Z182" s="64" t="n"/>
      <c r="AA182" s="64" t="n"/>
      <c r="AB182" s="64" t="n"/>
      <c r="AC182" s="64" t="n"/>
      <c r="AD182" s="24" t="n"/>
    </row>
    <row r="183" ht="15" customHeight="1">
      <c r="A183" s="63">
        <f>IF(C183="","",IFERROR(IF(SUMPRODUCT(MAX((tbl_Finance[Job Number]=C183&amp;"")*(tbl_Finance[Xero Invoice No]&lt;&gt;"")*tbl_Finance[Date]))=0,"",SUMPRODUCT(MAX((tbl_Finance[Job Number]=C183&amp;"")*(tbl_Finance[Xero Invoice No]&lt;&gt;"")*tbl_Finance[Date]))),""))</f>
        <v/>
      </c>
      <c r="B183" s="25">
        <f>IF(C183="","",IF(COUNTIFS(tbl_Finance[Job Number],C183&amp;"",tbl_Finance[Xero Invoice No],"&lt;&gt;")=0,"",IFERROR(IF(COUNTIFS(tbl_Finance[Job Number],C183&amp;"",tbl_Finance[Xero Invoice No],LOOKUP(2,1/((tbl_Finance[Job Number]=C183&amp;"")*(tbl_Finance[Xero Invoice No]&lt;&gt;"")),tbl_Finance[Xero Invoice No]))=COUNTIFS(tbl_Finance[Job Number],C183&amp;"",tbl_Finance[Xero Invoice No],"&lt;&gt;"),LOOKUP(2,1/((tbl_Finance[Job Number]=C183&amp;"")*(tbl_Finance[Xero Invoice No]&lt;&gt;"")),tbl_Finance[Xero Invoice No]),LOOKUP(2,1/((tbl_Finance[Job Number]=C183&amp;"")*(tbl_Finance[Xero Invoice No]&lt;&gt;"")),tbl_Finance[Xero Invoice No])&amp;" +more"),"")))</f>
        <v/>
      </c>
      <c r="C183" s="24" t="n"/>
      <c r="D183" s="25">
        <f>IF(C183="","",IF(COUNTIF(lst_Jobs,C183&amp;"")&gt;0,"OK","CHECK"))</f>
        <v/>
      </c>
      <c r="E183" s="25">
        <f>IF(C183="","",IFERROR(INDEX(lst_JobName,MATCH(C183&amp;"",lst_Jobs,0)),""))</f>
        <v/>
      </c>
      <c r="F183" s="25">
        <f>IF(C183="","",IFERROR(INDEX(tbl_Finance[Client],MATCH(C183&amp;"",tbl_Finance[Job Number],0)),""))</f>
        <v/>
      </c>
      <c r="G183" s="28">
        <f>IF(C183="","",COUNTIFS(tbl_Finance[Job Number],C183&amp;"",tbl_Finance[Ex GST],"&lt;&gt;"))</f>
        <v/>
      </c>
      <c r="H183" s="27">
        <f>IF(C183="","",SUMIFS(tbl_Finance[Ex GST],tbl_Finance[Job Number],C183&amp;""))</f>
        <v/>
      </c>
      <c r="I183" s="27">
        <f>IF(C183="","",SUMIFS(tbl_Finance[Ex GST],tbl_Finance[Job Number],C183&amp;"",tbl_Finance[Xero Invoice No],"&lt;&gt;"))</f>
        <v/>
      </c>
      <c r="J183" s="27">
        <f>IF(C183="","",H183-I183)</f>
        <v/>
      </c>
      <c r="K183" s="25">
        <f>IF(C183="","",IF(G183=0,"not invoiced yet",SUBSTITUTE(TRIM(IF(COUNTIFS(tbl_Finance[Job Number],C183&amp;"",tbl_Finance[Cost Centre],"ONSITE")&gt;0,"ONSITE ","")&amp;IF(COUNTIFS(tbl_Finance[Job Number],C183&amp;"",tbl_Finance[Cost Centre],"PRODUCTION")&gt;0,"PRODUCTION ","")&amp;IF(COUNTIFS(tbl_Finance[Job Number],C183&amp;"",tbl_Finance[Cost Centre],"VIDEO")&gt;0,"VIDEO ","")&amp;IF(COUNTIFS(tbl_Finance[Job Number],C183&amp;"",tbl_Finance[Cost Centre],"INTEGRATION")&gt;0,"INTEGRATION ","")&amp;IF(COUNTIFS(tbl_Finance[Job Number],C183&amp;"",tbl_Finance[Cost Centre],"CONSULTING")&gt;0,"CONSULTING ","")&amp;IF(COUNTIFS(tbl_Finance[Job Number],C183&amp;"",tbl_Finance[Cost Centre],"CTS")&gt;0,"CTS ",""))," ",", ")))</f>
        <v/>
      </c>
      <c r="L183" s="22" t="n"/>
      <c r="M183" s="24" t="n"/>
      <c r="N183" s="25">
        <f>IF(M183="","",IF(AND(LEFT(M183,4)&lt;&gt;"http",set_RMSBase=""),"",HYPERLINK(IF(LEFT(M183,4)="http",M183,set_RMSBase&amp;M183),"Open opportunity")))</f>
        <v/>
      </c>
      <c r="O183" s="25">
        <f>IF(C183="","",C183)</f>
        <v/>
      </c>
      <c r="P183" s="24" t="n"/>
      <c r="Q183" s="26" t="n"/>
      <c r="R183" s="27">
        <f>IF(C183="","",H183+N(Q183))</f>
        <v/>
      </c>
      <c r="S183" s="29">
        <f>IFERROR(Q183/R183,"")</f>
        <v/>
      </c>
      <c r="T183" s="26" t="n"/>
      <c r="U183" s="26" t="n"/>
      <c r="V183" s="27">
        <f>IF(C183="","",N(T183)+N(U183))</f>
        <v/>
      </c>
      <c r="W183" s="27">
        <f>IF(C183="","",H183-V183)</f>
        <v/>
      </c>
      <c r="X183" s="29">
        <f>IFERROR(W183/H183,"")</f>
        <v/>
      </c>
      <c r="Y183" s="64" t="n"/>
      <c r="Z183" s="64" t="n"/>
      <c r="AA183" s="64" t="n"/>
      <c r="AB183" s="64" t="n"/>
      <c r="AC183" s="64" t="n"/>
      <c r="AD183" s="24" t="n"/>
    </row>
    <row r="184" ht="15" customHeight="1">
      <c r="A184" s="63">
        <f>IF(C184="","",IFERROR(IF(SUMPRODUCT(MAX((tbl_Finance[Job Number]=C184&amp;"")*(tbl_Finance[Xero Invoice No]&lt;&gt;"")*tbl_Finance[Date]))=0,"",SUMPRODUCT(MAX((tbl_Finance[Job Number]=C184&amp;"")*(tbl_Finance[Xero Invoice No]&lt;&gt;"")*tbl_Finance[Date]))),""))</f>
        <v/>
      </c>
      <c r="B184" s="25">
        <f>IF(C184="","",IF(COUNTIFS(tbl_Finance[Job Number],C184&amp;"",tbl_Finance[Xero Invoice No],"&lt;&gt;")=0,"",IFERROR(IF(COUNTIFS(tbl_Finance[Job Number],C184&amp;"",tbl_Finance[Xero Invoice No],LOOKUP(2,1/((tbl_Finance[Job Number]=C184&amp;"")*(tbl_Finance[Xero Invoice No]&lt;&gt;"")),tbl_Finance[Xero Invoice No]))=COUNTIFS(tbl_Finance[Job Number],C184&amp;"",tbl_Finance[Xero Invoice No],"&lt;&gt;"),LOOKUP(2,1/((tbl_Finance[Job Number]=C184&amp;"")*(tbl_Finance[Xero Invoice No]&lt;&gt;"")),tbl_Finance[Xero Invoice No]),LOOKUP(2,1/((tbl_Finance[Job Number]=C184&amp;"")*(tbl_Finance[Xero Invoice No]&lt;&gt;"")),tbl_Finance[Xero Invoice No])&amp;" +more"),"")))</f>
        <v/>
      </c>
      <c r="C184" s="24" t="n"/>
      <c r="D184" s="25">
        <f>IF(C184="","",IF(COUNTIF(lst_Jobs,C184&amp;"")&gt;0,"OK","CHECK"))</f>
        <v/>
      </c>
      <c r="E184" s="25">
        <f>IF(C184="","",IFERROR(INDEX(lst_JobName,MATCH(C184&amp;"",lst_Jobs,0)),""))</f>
        <v/>
      </c>
      <c r="F184" s="25">
        <f>IF(C184="","",IFERROR(INDEX(tbl_Finance[Client],MATCH(C184&amp;"",tbl_Finance[Job Number],0)),""))</f>
        <v/>
      </c>
      <c r="G184" s="28">
        <f>IF(C184="","",COUNTIFS(tbl_Finance[Job Number],C184&amp;"",tbl_Finance[Ex GST],"&lt;&gt;"))</f>
        <v/>
      </c>
      <c r="H184" s="27">
        <f>IF(C184="","",SUMIFS(tbl_Finance[Ex GST],tbl_Finance[Job Number],C184&amp;""))</f>
        <v/>
      </c>
      <c r="I184" s="27">
        <f>IF(C184="","",SUMIFS(tbl_Finance[Ex GST],tbl_Finance[Job Number],C184&amp;"",tbl_Finance[Xero Invoice No],"&lt;&gt;"))</f>
        <v/>
      </c>
      <c r="J184" s="27">
        <f>IF(C184="","",H184-I184)</f>
        <v/>
      </c>
      <c r="K184" s="25">
        <f>IF(C184="","",IF(G184=0,"not invoiced yet",SUBSTITUTE(TRIM(IF(COUNTIFS(tbl_Finance[Job Number],C184&amp;"",tbl_Finance[Cost Centre],"ONSITE")&gt;0,"ONSITE ","")&amp;IF(COUNTIFS(tbl_Finance[Job Number],C184&amp;"",tbl_Finance[Cost Centre],"PRODUCTION")&gt;0,"PRODUCTION ","")&amp;IF(COUNTIFS(tbl_Finance[Job Number],C184&amp;"",tbl_Finance[Cost Centre],"VIDEO")&gt;0,"VIDEO ","")&amp;IF(COUNTIFS(tbl_Finance[Job Number],C184&amp;"",tbl_Finance[Cost Centre],"INTEGRATION")&gt;0,"INTEGRATION ","")&amp;IF(COUNTIFS(tbl_Finance[Job Number],C184&amp;"",tbl_Finance[Cost Centre],"CONSULTING")&gt;0,"CONSULTING ","")&amp;IF(COUNTIFS(tbl_Finance[Job Number],C184&amp;"",tbl_Finance[Cost Centre],"CTS")&gt;0,"CTS ",""))," ",", ")))</f>
        <v/>
      </c>
      <c r="L184" s="22" t="n"/>
      <c r="M184" s="24" t="n"/>
      <c r="N184" s="25">
        <f>IF(M184="","",IF(AND(LEFT(M184,4)&lt;&gt;"http",set_RMSBase=""),"",HYPERLINK(IF(LEFT(M184,4)="http",M184,set_RMSBase&amp;M184),"Open opportunity")))</f>
        <v/>
      </c>
      <c r="O184" s="25">
        <f>IF(C184="","",C184)</f>
        <v/>
      </c>
      <c r="P184" s="24" t="n"/>
      <c r="Q184" s="26" t="n"/>
      <c r="R184" s="27">
        <f>IF(C184="","",H184+N(Q184))</f>
        <v/>
      </c>
      <c r="S184" s="29">
        <f>IFERROR(Q184/R184,"")</f>
        <v/>
      </c>
      <c r="T184" s="26" t="n"/>
      <c r="U184" s="26" t="n"/>
      <c r="V184" s="27">
        <f>IF(C184="","",N(T184)+N(U184))</f>
        <v/>
      </c>
      <c r="W184" s="27">
        <f>IF(C184="","",H184-V184)</f>
        <v/>
      </c>
      <c r="X184" s="29">
        <f>IFERROR(W184/H184,"")</f>
        <v/>
      </c>
      <c r="Y184" s="64" t="n"/>
      <c r="Z184" s="64" t="n"/>
      <c r="AA184" s="64" t="n"/>
      <c r="AB184" s="64" t="n"/>
      <c r="AC184" s="64" t="n"/>
      <c r="AD184" s="24" t="n"/>
    </row>
    <row r="185" ht="15" customHeight="1">
      <c r="A185" s="63">
        <f>IF(C185="","",IFERROR(IF(SUMPRODUCT(MAX((tbl_Finance[Job Number]=C185&amp;"")*(tbl_Finance[Xero Invoice No]&lt;&gt;"")*tbl_Finance[Date]))=0,"",SUMPRODUCT(MAX((tbl_Finance[Job Number]=C185&amp;"")*(tbl_Finance[Xero Invoice No]&lt;&gt;"")*tbl_Finance[Date]))),""))</f>
        <v/>
      </c>
      <c r="B185" s="25">
        <f>IF(C185="","",IF(COUNTIFS(tbl_Finance[Job Number],C185&amp;"",tbl_Finance[Xero Invoice No],"&lt;&gt;")=0,"",IFERROR(IF(COUNTIFS(tbl_Finance[Job Number],C185&amp;"",tbl_Finance[Xero Invoice No],LOOKUP(2,1/((tbl_Finance[Job Number]=C185&amp;"")*(tbl_Finance[Xero Invoice No]&lt;&gt;"")),tbl_Finance[Xero Invoice No]))=COUNTIFS(tbl_Finance[Job Number],C185&amp;"",tbl_Finance[Xero Invoice No],"&lt;&gt;"),LOOKUP(2,1/((tbl_Finance[Job Number]=C185&amp;"")*(tbl_Finance[Xero Invoice No]&lt;&gt;"")),tbl_Finance[Xero Invoice No]),LOOKUP(2,1/((tbl_Finance[Job Number]=C185&amp;"")*(tbl_Finance[Xero Invoice No]&lt;&gt;"")),tbl_Finance[Xero Invoice No])&amp;" +more"),"")))</f>
        <v/>
      </c>
      <c r="C185" s="24" t="n"/>
      <c r="D185" s="25">
        <f>IF(C185="","",IF(COUNTIF(lst_Jobs,C185&amp;"")&gt;0,"OK","CHECK"))</f>
        <v/>
      </c>
      <c r="E185" s="25">
        <f>IF(C185="","",IFERROR(INDEX(lst_JobName,MATCH(C185&amp;"",lst_Jobs,0)),""))</f>
        <v/>
      </c>
      <c r="F185" s="25">
        <f>IF(C185="","",IFERROR(INDEX(tbl_Finance[Client],MATCH(C185&amp;"",tbl_Finance[Job Number],0)),""))</f>
        <v/>
      </c>
      <c r="G185" s="28">
        <f>IF(C185="","",COUNTIFS(tbl_Finance[Job Number],C185&amp;"",tbl_Finance[Ex GST],"&lt;&gt;"))</f>
        <v/>
      </c>
      <c r="H185" s="27">
        <f>IF(C185="","",SUMIFS(tbl_Finance[Ex GST],tbl_Finance[Job Number],C185&amp;""))</f>
        <v/>
      </c>
      <c r="I185" s="27">
        <f>IF(C185="","",SUMIFS(tbl_Finance[Ex GST],tbl_Finance[Job Number],C185&amp;"",tbl_Finance[Xero Invoice No],"&lt;&gt;"))</f>
        <v/>
      </c>
      <c r="J185" s="27">
        <f>IF(C185="","",H185-I185)</f>
        <v/>
      </c>
      <c r="K185" s="25">
        <f>IF(C185="","",IF(G185=0,"not invoiced yet",SUBSTITUTE(TRIM(IF(COUNTIFS(tbl_Finance[Job Number],C185&amp;"",tbl_Finance[Cost Centre],"ONSITE")&gt;0,"ONSITE ","")&amp;IF(COUNTIFS(tbl_Finance[Job Number],C185&amp;"",tbl_Finance[Cost Centre],"PRODUCTION")&gt;0,"PRODUCTION ","")&amp;IF(COUNTIFS(tbl_Finance[Job Number],C185&amp;"",tbl_Finance[Cost Centre],"VIDEO")&gt;0,"VIDEO ","")&amp;IF(COUNTIFS(tbl_Finance[Job Number],C185&amp;"",tbl_Finance[Cost Centre],"INTEGRATION")&gt;0,"INTEGRATION ","")&amp;IF(COUNTIFS(tbl_Finance[Job Number],C185&amp;"",tbl_Finance[Cost Centre],"CONSULTING")&gt;0,"CONSULTING ","")&amp;IF(COUNTIFS(tbl_Finance[Job Number],C185&amp;"",tbl_Finance[Cost Centre],"CTS")&gt;0,"CTS ",""))," ",", ")))</f>
        <v/>
      </c>
      <c r="L185" s="22" t="n"/>
      <c r="M185" s="24" t="n"/>
      <c r="N185" s="25">
        <f>IF(M185="","",IF(AND(LEFT(M185,4)&lt;&gt;"http",set_RMSBase=""),"",HYPERLINK(IF(LEFT(M185,4)="http",M185,set_RMSBase&amp;M185),"Open opportunity")))</f>
        <v/>
      </c>
      <c r="O185" s="25">
        <f>IF(C185="","",C185)</f>
        <v/>
      </c>
      <c r="P185" s="24" t="n"/>
      <c r="Q185" s="26" t="n"/>
      <c r="R185" s="27">
        <f>IF(C185="","",H185+N(Q185))</f>
        <v/>
      </c>
      <c r="S185" s="29">
        <f>IFERROR(Q185/R185,"")</f>
        <v/>
      </c>
      <c r="T185" s="26" t="n"/>
      <c r="U185" s="26" t="n"/>
      <c r="V185" s="27">
        <f>IF(C185="","",N(T185)+N(U185))</f>
        <v/>
      </c>
      <c r="W185" s="27">
        <f>IF(C185="","",H185-V185)</f>
        <v/>
      </c>
      <c r="X185" s="29">
        <f>IFERROR(W185/H185,"")</f>
        <v/>
      </c>
      <c r="Y185" s="64" t="n"/>
      <c r="Z185" s="64" t="n"/>
      <c r="AA185" s="64" t="n"/>
      <c r="AB185" s="64" t="n"/>
      <c r="AC185" s="64" t="n"/>
      <c r="AD185" s="24" t="n"/>
    </row>
    <row r="186" ht="15" customHeight="1">
      <c r="A186" s="63">
        <f>IF(C186="","",IFERROR(IF(SUMPRODUCT(MAX((tbl_Finance[Job Number]=C186&amp;"")*(tbl_Finance[Xero Invoice No]&lt;&gt;"")*tbl_Finance[Date]))=0,"",SUMPRODUCT(MAX((tbl_Finance[Job Number]=C186&amp;"")*(tbl_Finance[Xero Invoice No]&lt;&gt;"")*tbl_Finance[Date]))),""))</f>
        <v/>
      </c>
      <c r="B186" s="25">
        <f>IF(C186="","",IF(COUNTIFS(tbl_Finance[Job Number],C186&amp;"",tbl_Finance[Xero Invoice No],"&lt;&gt;")=0,"",IFERROR(IF(COUNTIFS(tbl_Finance[Job Number],C186&amp;"",tbl_Finance[Xero Invoice No],LOOKUP(2,1/((tbl_Finance[Job Number]=C186&amp;"")*(tbl_Finance[Xero Invoice No]&lt;&gt;"")),tbl_Finance[Xero Invoice No]))=COUNTIFS(tbl_Finance[Job Number],C186&amp;"",tbl_Finance[Xero Invoice No],"&lt;&gt;"),LOOKUP(2,1/((tbl_Finance[Job Number]=C186&amp;"")*(tbl_Finance[Xero Invoice No]&lt;&gt;"")),tbl_Finance[Xero Invoice No]),LOOKUP(2,1/((tbl_Finance[Job Number]=C186&amp;"")*(tbl_Finance[Xero Invoice No]&lt;&gt;"")),tbl_Finance[Xero Invoice No])&amp;" +more"),"")))</f>
        <v/>
      </c>
      <c r="C186" s="24" t="n"/>
      <c r="D186" s="25">
        <f>IF(C186="","",IF(COUNTIF(lst_Jobs,C186&amp;"")&gt;0,"OK","CHECK"))</f>
        <v/>
      </c>
      <c r="E186" s="25">
        <f>IF(C186="","",IFERROR(INDEX(lst_JobName,MATCH(C186&amp;"",lst_Jobs,0)),""))</f>
        <v/>
      </c>
      <c r="F186" s="25">
        <f>IF(C186="","",IFERROR(INDEX(tbl_Finance[Client],MATCH(C186&amp;"",tbl_Finance[Job Number],0)),""))</f>
        <v/>
      </c>
      <c r="G186" s="28">
        <f>IF(C186="","",COUNTIFS(tbl_Finance[Job Number],C186&amp;"",tbl_Finance[Ex GST],"&lt;&gt;"))</f>
        <v/>
      </c>
      <c r="H186" s="27">
        <f>IF(C186="","",SUMIFS(tbl_Finance[Ex GST],tbl_Finance[Job Number],C186&amp;""))</f>
        <v/>
      </c>
      <c r="I186" s="27">
        <f>IF(C186="","",SUMIFS(tbl_Finance[Ex GST],tbl_Finance[Job Number],C186&amp;"",tbl_Finance[Xero Invoice No],"&lt;&gt;"))</f>
        <v/>
      </c>
      <c r="J186" s="27">
        <f>IF(C186="","",H186-I186)</f>
        <v/>
      </c>
      <c r="K186" s="25">
        <f>IF(C186="","",IF(G186=0,"not invoiced yet",SUBSTITUTE(TRIM(IF(COUNTIFS(tbl_Finance[Job Number],C186&amp;"",tbl_Finance[Cost Centre],"ONSITE")&gt;0,"ONSITE ","")&amp;IF(COUNTIFS(tbl_Finance[Job Number],C186&amp;"",tbl_Finance[Cost Centre],"PRODUCTION")&gt;0,"PRODUCTION ","")&amp;IF(COUNTIFS(tbl_Finance[Job Number],C186&amp;"",tbl_Finance[Cost Centre],"VIDEO")&gt;0,"VIDEO ","")&amp;IF(COUNTIFS(tbl_Finance[Job Number],C186&amp;"",tbl_Finance[Cost Centre],"INTEGRATION")&gt;0,"INTEGRATION ","")&amp;IF(COUNTIFS(tbl_Finance[Job Number],C186&amp;"",tbl_Finance[Cost Centre],"CONSULTING")&gt;0,"CONSULTING ","")&amp;IF(COUNTIFS(tbl_Finance[Job Number],C186&amp;"",tbl_Finance[Cost Centre],"CTS")&gt;0,"CTS ",""))," ",", ")))</f>
        <v/>
      </c>
      <c r="L186" s="22" t="n"/>
      <c r="M186" s="24" t="n"/>
      <c r="N186" s="25">
        <f>IF(M186="","",IF(AND(LEFT(M186,4)&lt;&gt;"http",set_RMSBase=""),"",HYPERLINK(IF(LEFT(M186,4)="http",M186,set_RMSBase&amp;M186),"Open opportunity")))</f>
        <v/>
      </c>
      <c r="O186" s="25">
        <f>IF(C186="","",C186)</f>
        <v/>
      </c>
      <c r="P186" s="24" t="n"/>
      <c r="Q186" s="26" t="n"/>
      <c r="R186" s="27">
        <f>IF(C186="","",H186+N(Q186))</f>
        <v/>
      </c>
      <c r="S186" s="29">
        <f>IFERROR(Q186/R186,"")</f>
        <v/>
      </c>
      <c r="T186" s="26" t="n"/>
      <c r="U186" s="26" t="n"/>
      <c r="V186" s="27">
        <f>IF(C186="","",N(T186)+N(U186))</f>
        <v/>
      </c>
      <c r="W186" s="27">
        <f>IF(C186="","",H186-V186)</f>
        <v/>
      </c>
      <c r="X186" s="29">
        <f>IFERROR(W186/H186,"")</f>
        <v/>
      </c>
      <c r="Y186" s="64" t="n"/>
      <c r="Z186" s="64" t="n"/>
      <c r="AA186" s="64" t="n"/>
      <c r="AB186" s="64" t="n"/>
      <c r="AC186" s="64" t="n"/>
      <c r="AD186" s="24" t="n"/>
    </row>
    <row r="187" ht="15" customHeight="1">
      <c r="A187" s="63">
        <f>IF(C187="","",IFERROR(IF(SUMPRODUCT(MAX((tbl_Finance[Job Number]=C187&amp;"")*(tbl_Finance[Xero Invoice No]&lt;&gt;"")*tbl_Finance[Date]))=0,"",SUMPRODUCT(MAX((tbl_Finance[Job Number]=C187&amp;"")*(tbl_Finance[Xero Invoice No]&lt;&gt;"")*tbl_Finance[Date]))),""))</f>
        <v/>
      </c>
      <c r="B187" s="25">
        <f>IF(C187="","",IF(COUNTIFS(tbl_Finance[Job Number],C187&amp;"",tbl_Finance[Xero Invoice No],"&lt;&gt;")=0,"",IFERROR(IF(COUNTIFS(tbl_Finance[Job Number],C187&amp;"",tbl_Finance[Xero Invoice No],LOOKUP(2,1/((tbl_Finance[Job Number]=C187&amp;"")*(tbl_Finance[Xero Invoice No]&lt;&gt;"")),tbl_Finance[Xero Invoice No]))=COUNTIFS(tbl_Finance[Job Number],C187&amp;"",tbl_Finance[Xero Invoice No],"&lt;&gt;"),LOOKUP(2,1/((tbl_Finance[Job Number]=C187&amp;"")*(tbl_Finance[Xero Invoice No]&lt;&gt;"")),tbl_Finance[Xero Invoice No]),LOOKUP(2,1/((tbl_Finance[Job Number]=C187&amp;"")*(tbl_Finance[Xero Invoice No]&lt;&gt;"")),tbl_Finance[Xero Invoice No])&amp;" +more"),"")))</f>
        <v/>
      </c>
      <c r="C187" s="24" t="n"/>
      <c r="D187" s="25">
        <f>IF(C187="","",IF(COUNTIF(lst_Jobs,C187&amp;"")&gt;0,"OK","CHECK"))</f>
        <v/>
      </c>
      <c r="E187" s="25">
        <f>IF(C187="","",IFERROR(INDEX(lst_JobName,MATCH(C187&amp;"",lst_Jobs,0)),""))</f>
        <v/>
      </c>
      <c r="F187" s="25">
        <f>IF(C187="","",IFERROR(INDEX(tbl_Finance[Client],MATCH(C187&amp;"",tbl_Finance[Job Number],0)),""))</f>
        <v/>
      </c>
      <c r="G187" s="28">
        <f>IF(C187="","",COUNTIFS(tbl_Finance[Job Number],C187&amp;"",tbl_Finance[Ex GST],"&lt;&gt;"))</f>
        <v/>
      </c>
      <c r="H187" s="27">
        <f>IF(C187="","",SUMIFS(tbl_Finance[Ex GST],tbl_Finance[Job Number],C187&amp;""))</f>
        <v/>
      </c>
      <c r="I187" s="27">
        <f>IF(C187="","",SUMIFS(tbl_Finance[Ex GST],tbl_Finance[Job Number],C187&amp;"",tbl_Finance[Xero Invoice No],"&lt;&gt;"))</f>
        <v/>
      </c>
      <c r="J187" s="27">
        <f>IF(C187="","",H187-I187)</f>
        <v/>
      </c>
      <c r="K187" s="25">
        <f>IF(C187="","",IF(G187=0,"not invoiced yet",SUBSTITUTE(TRIM(IF(COUNTIFS(tbl_Finance[Job Number],C187&amp;"",tbl_Finance[Cost Centre],"ONSITE")&gt;0,"ONSITE ","")&amp;IF(COUNTIFS(tbl_Finance[Job Number],C187&amp;"",tbl_Finance[Cost Centre],"PRODUCTION")&gt;0,"PRODUCTION ","")&amp;IF(COUNTIFS(tbl_Finance[Job Number],C187&amp;"",tbl_Finance[Cost Centre],"VIDEO")&gt;0,"VIDEO ","")&amp;IF(COUNTIFS(tbl_Finance[Job Number],C187&amp;"",tbl_Finance[Cost Centre],"INTEGRATION")&gt;0,"INTEGRATION ","")&amp;IF(COUNTIFS(tbl_Finance[Job Number],C187&amp;"",tbl_Finance[Cost Centre],"CONSULTING")&gt;0,"CONSULTING ","")&amp;IF(COUNTIFS(tbl_Finance[Job Number],C187&amp;"",tbl_Finance[Cost Centre],"CTS")&gt;0,"CTS ",""))," ",", ")))</f>
        <v/>
      </c>
      <c r="L187" s="22" t="n"/>
      <c r="M187" s="24" t="n"/>
      <c r="N187" s="25">
        <f>IF(M187="","",IF(AND(LEFT(M187,4)&lt;&gt;"http",set_RMSBase=""),"",HYPERLINK(IF(LEFT(M187,4)="http",M187,set_RMSBase&amp;M187),"Open opportunity")))</f>
        <v/>
      </c>
      <c r="O187" s="25">
        <f>IF(C187="","",C187)</f>
        <v/>
      </c>
      <c r="P187" s="24" t="n"/>
      <c r="Q187" s="26" t="n"/>
      <c r="R187" s="27">
        <f>IF(C187="","",H187+N(Q187))</f>
        <v/>
      </c>
      <c r="S187" s="29">
        <f>IFERROR(Q187/R187,"")</f>
        <v/>
      </c>
      <c r="T187" s="26" t="n"/>
      <c r="U187" s="26" t="n"/>
      <c r="V187" s="27">
        <f>IF(C187="","",N(T187)+N(U187))</f>
        <v/>
      </c>
      <c r="W187" s="27">
        <f>IF(C187="","",H187-V187)</f>
        <v/>
      </c>
      <c r="X187" s="29">
        <f>IFERROR(W187/H187,"")</f>
        <v/>
      </c>
      <c r="Y187" s="64" t="n"/>
      <c r="Z187" s="64" t="n"/>
      <c r="AA187" s="64" t="n"/>
      <c r="AB187" s="64" t="n"/>
      <c r="AC187" s="64" t="n"/>
      <c r="AD187" s="24" t="n"/>
    </row>
    <row r="188" ht="15" customHeight="1">
      <c r="A188" s="63">
        <f>IF(C188="","",IFERROR(IF(SUMPRODUCT(MAX((tbl_Finance[Job Number]=C188&amp;"")*(tbl_Finance[Xero Invoice No]&lt;&gt;"")*tbl_Finance[Date]))=0,"",SUMPRODUCT(MAX((tbl_Finance[Job Number]=C188&amp;"")*(tbl_Finance[Xero Invoice No]&lt;&gt;"")*tbl_Finance[Date]))),""))</f>
        <v/>
      </c>
      <c r="B188" s="25">
        <f>IF(C188="","",IF(COUNTIFS(tbl_Finance[Job Number],C188&amp;"",tbl_Finance[Xero Invoice No],"&lt;&gt;")=0,"",IFERROR(IF(COUNTIFS(tbl_Finance[Job Number],C188&amp;"",tbl_Finance[Xero Invoice No],LOOKUP(2,1/((tbl_Finance[Job Number]=C188&amp;"")*(tbl_Finance[Xero Invoice No]&lt;&gt;"")),tbl_Finance[Xero Invoice No]))=COUNTIFS(tbl_Finance[Job Number],C188&amp;"",tbl_Finance[Xero Invoice No],"&lt;&gt;"),LOOKUP(2,1/((tbl_Finance[Job Number]=C188&amp;"")*(tbl_Finance[Xero Invoice No]&lt;&gt;"")),tbl_Finance[Xero Invoice No]),LOOKUP(2,1/((tbl_Finance[Job Number]=C188&amp;"")*(tbl_Finance[Xero Invoice No]&lt;&gt;"")),tbl_Finance[Xero Invoice No])&amp;" +more"),"")))</f>
        <v/>
      </c>
      <c r="C188" s="24" t="n"/>
      <c r="D188" s="25">
        <f>IF(C188="","",IF(COUNTIF(lst_Jobs,C188&amp;"")&gt;0,"OK","CHECK"))</f>
        <v/>
      </c>
      <c r="E188" s="25">
        <f>IF(C188="","",IFERROR(INDEX(lst_JobName,MATCH(C188&amp;"",lst_Jobs,0)),""))</f>
        <v/>
      </c>
      <c r="F188" s="25">
        <f>IF(C188="","",IFERROR(INDEX(tbl_Finance[Client],MATCH(C188&amp;"",tbl_Finance[Job Number],0)),""))</f>
        <v/>
      </c>
      <c r="G188" s="28">
        <f>IF(C188="","",COUNTIFS(tbl_Finance[Job Number],C188&amp;"",tbl_Finance[Ex GST],"&lt;&gt;"))</f>
        <v/>
      </c>
      <c r="H188" s="27">
        <f>IF(C188="","",SUMIFS(tbl_Finance[Ex GST],tbl_Finance[Job Number],C188&amp;""))</f>
        <v/>
      </c>
      <c r="I188" s="27">
        <f>IF(C188="","",SUMIFS(tbl_Finance[Ex GST],tbl_Finance[Job Number],C188&amp;"",tbl_Finance[Xero Invoice No],"&lt;&gt;"))</f>
        <v/>
      </c>
      <c r="J188" s="27">
        <f>IF(C188="","",H188-I188)</f>
        <v/>
      </c>
      <c r="K188" s="25">
        <f>IF(C188="","",IF(G188=0,"not invoiced yet",SUBSTITUTE(TRIM(IF(COUNTIFS(tbl_Finance[Job Number],C188&amp;"",tbl_Finance[Cost Centre],"ONSITE")&gt;0,"ONSITE ","")&amp;IF(COUNTIFS(tbl_Finance[Job Number],C188&amp;"",tbl_Finance[Cost Centre],"PRODUCTION")&gt;0,"PRODUCTION ","")&amp;IF(COUNTIFS(tbl_Finance[Job Number],C188&amp;"",tbl_Finance[Cost Centre],"VIDEO")&gt;0,"VIDEO ","")&amp;IF(COUNTIFS(tbl_Finance[Job Number],C188&amp;"",tbl_Finance[Cost Centre],"INTEGRATION")&gt;0,"INTEGRATION ","")&amp;IF(COUNTIFS(tbl_Finance[Job Number],C188&amp;"",tbl_Finance[Cost Centre],"CONSULTING")&gt;0,"CONSULTING ","")&amp;IF(COUNTIFS(tbl_Finance[Job Number],C188&amp;"",tbl_Finance[Cost Centre],"CTS")&gt;0,"CTS ",""))," ",", ")))</f>
        <v/>
      </c>
      <c r="L188" s="22" t="n"/>
      <c r="M188" s="24" t="n"/>
      <c r="N188" s="25">
        <f>IF(M188="","",IF(AND(LEFT(M188,4)&lt;&gt;"http",set_RMSBase=""),"",HYPERLINK(IF(LEFT(M188,4)="http",M188,set_RMSBase&amp;M188),"Open opportunity")))</f>
        <v/>
      </c>
      <c r="O188" s="25">
        <f>IF(C188="","",C188)</f>
        <v/>
      </c>
      <c r="P188" s="24" t="n"/>
      <c r="Q188" s="26" t="n"/>
      <c r="R188" s="27">
        <f>IF(C188="","",H188+N(Q188))</f>
        <v/>
      </c>
      <c r="S188" s="29">
        <f>IFERROR(Q188/R188,"")</f>
        <v/>
      </c>
      <c r="T188" s="26" t="n"/>
      <c r="U188" s="26" t="n"/>
      <c r="V188" s="27">
        <f>IF(C188="","",N(T188)+N(U188))</f>
        <v/>
      </c>
      <c r="W188" s="27">
        <f>IF(C188="","",H188-V188)</f>
        <v/>
      </c>
      <c r="X188" s="29">
        <f>IFERROR(W188/H188,"")</f>
        <v/>
      </c>
      <c r="Y188" s="64" t="n"/>
      <c r="Z188" s="64" t="n"/>
      <c r="AA188" s="64" t="n"/>
      <c r="AB188" s="64" t="n"/>
      <c r="AC188" s="64" t="n"/>
      <c r="AD188" s="24" t="n"/>
    </row>
    <row r="189" ht="15" customHeight="1">
      <c r="A189" s="63">
        <f>IF(C189="","",IFERROR(IF(SUMPRODUCT(MAX((tbl_Finance[Job Number]=C189&amp;"")*(tbl_Finance[Xero Invoice No]&lt;&gt;"")*tbl_Finance[Date]))=0,"",SUMPRODUCT(MAX((tbl_Finance[Job Number]=C189&amp;"")*(tbl_Finance[Xero Invoice No]&lt;&gt;"")*tbl_Finance[Date]))),""))</f>
        <v/>
      </c>
      <c r="B189" s="25">
        <f>IF(C189="","",IF(COUNTIFS(tbl_Finance[Job Number],C189&amp;"",tbl_Finance[Xero Invoice No],"&lt;&gt;")=0,"",IFERROR(IF(COUNTIFS(tbl_Finance[Job Number],C189&amp;"",tbl_Finance[Xero Invoice No],LOOKUP(2,1/((tbl_Finance[Job Number]=C189&amp;"")*(tbl_Finance[Xero Invoice No]&lt;&gt;"")),tbl_Finance[Xero Invoice No]))=COUNTIFS(tbl_Finance[Job Number],C189&amp;"",tbl_Finance[Xero Invoice No],"&lt;&gt;"),LOOKUP(2,1/((tbl_Finance[Job Number]=C189&amp;"")*(tbl_Finance[Xero Invoice No]&lt;&gt;"")),tbl_Finance[Xero Invoice No]),LOOKUP(2,1/((tbl_Finance[Job Number]=C189&amp;"")*(tbl_Finance[Xero Invoice No]&lt;&gt;"")),tbl_Finance[Xero Invoice No])&amp;" +more"),"")))</f>
        <v/>
      </c>
      <c r="C189" s="24" t="n"/>
      <c r="D189" s="25">
        <f>IF(C189="","",IF(COUNTIF(lst_Jobs,C189&amp;"")&gt;0,"OK","CHECK"))</f>
        <v/>
      </c>
      <c r="E189" s="25">
        <f>IF(C189="","",IFERROR(INDEX(lst_JobName,MATCH(C189&amp;"",lst_Jobs,0)),""))</f>
        <v/>
      </c>
      <c r="F189" s="25">
        <f>IF(C189="","",IFERROR(INDEX(tbl_Finance[Client],MATCH(C189&amp;"",tbl_Finance[Job Number],0)),""))</f>
        <v/>
      </c>
      <c r="G189" s="28">
        <f>IF(C189="","",COUNTIFS(tbl_Finance[Job Number],C189&amp;"",tbl_Finance[Ex GST],"&lt;&gt;"))</f>
        <v/>
      </c>
      <c r="H189" s="27">
        <f>IF(C189="","",SUMIFS(tbl_Finance[Ex GST],tbl_Finance[Job Number],C189&amp;""))</f>
        <v/>
      </c>
      <c r="I189" s="27">
        <f>IF(C189="","",SUMIFS(tbl_Finance[Ex GST],tbl_Finance[Job Number],C189&amp;"",tbl_Finance[Xero Invoice No],"&lt;&gt;"))</f>
        <v/>
      </c>
      <c r="J189" s="27">
        <f>IF(C189="","",H189-I189)</f>
        <v/>
      </c>
      <c r="K189" s="25">
        <f>IF(C189="","",IF(G189=0,"not invoiced yet",SUBSTITUTE(TRIM(IF(COUNTIFS(tbl_Finance[Job Number],C189&amp;"",tbl_Finance[Cost Centre],"ONSITE")&gt;0,"ONSITE ","")&amp;IF(COUNTIFS(tbl_Finance[Job Number],C189&amp;"",tbl_Finance[Cost Centre],"PRODUCTION")&gt;0,"PRODUCTION ","")&amp;IF(COUNTIFS(tbl_Finance[Job Number],C189&amp;"",tbl_Finance[Cost Centre],"VIDEO")&gt;0,"VIDEO ","")&amp;IF(COUNTIFS(tbl_Finance[Job Number],C189&amp;"",tbl_Finance[Cost Centre],"INTEGRATION")&gt;0,"INTEGRATION ","")&amp;IF(COUNTIFS(tbl_Finance[Job Number],C189&amp;"",tbl_Finance[Cost Centre],"CONSULTING")&gt;0,"CONSULTING ","")&amp;IF(COUNTIFS(tbl_Finance[Job Number],C189&amp;"",tbl_Finance[Cost Centre],"CTS")&gt;0,"CTS ",""))," ",", ")))</f>
        <v/>
      </c>
      <c r="L189" s="22" t="n"/>
      <c r="M189" s="24" t="n"/>
      <c r="N189" s="25">
        <f>IF(M189="","",IF(AND(LEFT(M189,4)&lt;&gt;"http",set_RMSBase=""),"",HYPERLINK(IF(LEFT(M189,4)="http",M189,set_RMSBase&amp;M189),"Open opportunity")))</f>
        <v/>
      </c>
      <c r="O189" s="25">
        <f>IF(C189="","",C189)</f>
        <v/>
      </c>
      <c r="P189" s="24" t="n"/>
      <c r="Q189" s="26" t="n"/>
      <c r="R189" s="27">
        <f>IF(C189="","",H189+N(Q189))</f>
        <v/>
      </c>
      <c r="S189" s="29">
        <f>IFERROR(Q189/R189,"")</f>
        <v/>
      </c>
      <c r="T189" s="26" t="n"/>
      <c r="U189" s="26" t="n"/>
      <c r="V189" s="27">
        <f>IF(C189="","",N(T189)+N(U189))</f>
        <v/>
      </c>
      <c r="W189" s="27">
        <f>IF(C189="","",H189-V189)</f>
        <v/>
      </c>
      <c r="X189" s="29">
        <f>IFERROR(W189/H189,"")</f>
        <v/>
      </c>
      <c r="Y189" s="64" t="n"/>
      <c r="Z189" s="64" t="n"/>
      <c r="AA189" s="64" t="n"/>
      <c r="AB189" s="64" t="n"/>
      <c r="AC189" s="64" t="n"/>
      <c r="AD189" s="24" t="n"/>
    </row>
    <row r="190" ht="15" customHeight="1">
      <c r="A190" s="63">
        <f>IF(C190="","",IFERROR(IF(SUMPRODUCT(MAX((tbl_Finance[Job Number]=C190&amp;"")*(tbl_Finance[Xero Invoice No]&lt;&gt;"")*tbl_Finance[Date]))=0,"",SUMPRODUCT(MAX((tbl_Finance[Job Number]=C190&amp;"")*(tbl_Finance[Xero Invoice No]&lt;&gt;"")*tbl_Finance[Date]))),""))</f>
        <v/>
      </c>
      <c r="B190" s="25">
        <f>IF(C190="","",IF(COUNTIFS(tbl_Finance[Job Number],C190&amp;"",tbl_Finance[Xero Invoice No],"&lt;&gt;")=0,"",IFERROR(IF(COUNTIFS(tbl_Finance[Job Number],C190&amp;"",tbl_Finance[Xero Invoice No],LOOKUP(2,1/((tbl_Finance[Job Number]=C190&amp;"")*(tbl_Finance[Xero Invoice No]&lt;&gt;"")),tbl_Finance[Xero Invoice No]))=COUNTIFS(tbl_Finance[Job Number],C190&amp;"",tbl_Finance[Xero Invoice No],"&lt;&gt;"),LOOKUP(2,1/((tbl_Finance[Job Number]=C190&amp;"")*(tbl_Finance[Xero Invoice No]&lt;&gt;"")),tbl_Finance[Xero Invoice No]),LOOKUP(2,1/((tbl_Finance[Job Number]=C190&amp;"")*(tbl_Finance[Xero Invoice No]&lt;&gt;"")),tbl_Finance[Xero Invoice No])&amp;" +more"),"")))</f>
        <v/>
      </c>
      <c r="C190" s="24" t="n"/>
      <c r="D190" s="25">
        <f>IF(C190="","",IF(COUNTIF(lst_Jobs,C190&amp;"")&gt;0,"OK","CHECK"))</f>
        <v/>
      </c>
      <c r="E190" s="25">
        <f>IF(C190="","",IFERROR(INDEX(lst_JobName,MATCH(C190&amp;"",lst_Jobs,0)),""))</f>
        <v/>
      </c>
      <c r="F190" s="25">
        <f>IF(C190="","",IFERROR(INDEX(tbl_Finance[Client],MATCH(C190&amp;"",tbl_Finance[Job Number],0)),""))</f>
        <v/>
      </c>
      <c r="G190" s="28">
        <f>IF(C190="","",COUNTIFS(tbl_Finance[Job Number],C190&amp;"",tbl_Finance[Ex GST],"&lt;&gt;"))</f>
        <v/>
      </c>
      <c r="H190" s="27">
        <f>IF(C190="","",SUMIFS(tbl_Finance[Ex GST],tbl_Finance[Job Number],C190&amp;""))</f>
        <v/>
      </c>
      <c r="I190" s="27">
        <f>IF(C190="","",SUMIFS(tbl_Finance[Ex GST],tbl_Finance[Job Number],C190&amp;"",tbl_Finance[Xero Invoice No],"&lt;&gt;"))</f>
        <v/>
      </c>
      <c r="J190" s="27">
        <f>IF(C190="","",H190-I190)</f>
        <v/>
      </c>
      <c r="K190" s="25">
        <f>IF(C190="","",IF(G190=0,"not invoiced yet",SUBSTITUTE(TRIM(IF(COUNTIFS(tbl_Finance[Job Number],C190&amp;"",tbl_Finance[Cost Centre],"ONSITE")&gt;0,"ONSITE ","")&amp;IF(COUNTIFS(tbl_Finance[Job Number],C190&amp;"",tbl_Finance[Cost Centre],"PRODUCTION")&gt;0,"PRODUCTION ","")&amp;IF(COUNTIFS(tbl_Finance[Job Number],C190&amp;"",tbl_Finance[Cost Centre],"VIDEO")&gt;0,"VIDEO ","")&amp;IF(COUNTIFS(tbl_Finance[Job Number],C190&amp;"",tbl_Finance[Cost Centre],"INTEGRATION")&gt;0,"INTEGRATION ","")&amp;IF(COUNTIFS(tbl_Finance[Job Number],C190&amp;"",tbl_Finance[Cost Centre],"CONSULTING")&gt;0,"CONSULTING ","")&amp;IF(COUNTIFS(tbl_Finance[Job Number],C190&amp;"",tbl_Finance[Cost Centre],"CTS")&gt;0,"CTS ",""))," ",", ")))</f>
        <v/>
      </c>
      <c r="L190" s="22" t="n"/>
      <c r="M190" s="24" t="n"/>
      <c r="N190" s="25">
        <f>IF(M190="","",IF(AND(LEFT(M190,4)&lt;&gt;"http",set_RMSBase=""),"",HYPERLINK(IF(LEFT(M190,4)="http",M190,set_RMSBase&amp;M190),"Open opportunity")))</f>
        <v/>
      </c>
      <c r="O190" s="25">
        <f>IF(C190="","",C190)</f>
        <v/>
      </c>
      <c r="P190" s="24" t="n"/>
      <c r="Q190" s="26" t="n"/>
      <c r="R190" s="27">
        <f>IF(C190="","",H190+N(Q190))</f>
        <v/>
      </c>
      <c r="S190" s="29">
        <f>IFERROR(Q190/R190,"")</f>
        <v/>
      </c>
      <c r="T190" s="26" t="n"/>
      <c r="U190" s="26" t="n"/>
      <c r="V190" s="27">
        <f>IF(C190="","",N(T190)+N(U190))</f>
        <v/>
      </c>
      <c r="W190" s="27">
        <f>IF(C190="","",H190-V190)</f>
        <v/>
      </c>
      <c r="X190" s="29">
        <f>IFERROR(W190/H190,"")</f>
        <v/>
      </c>
      <c r="Y190" s="64" t="n"/>
      <c r="Z190" s="64" t="n"/>
      <c r="AA190" s="64" t="n"/>
      <c r="AB190" s="64" t="n"/>
      <c r="AC190" s="64" t="n"/>
      <c r="AD190" s="24" t="n"/>
    </row>
    <row r="191" ht="15" customHeight="1">
      <c r="A191" s="63">
        <f>IF(C191="","",IFERROR(IF(SUMPRODUCT(MAX((tbl_Finance[Job Number]=C191&amp;"")*(tbl_Finance[Xero Invoice No]&lt;&gt;"")*tbl_Finance[Date]))=0,"",SUMPRODUCT(MAX((tbl_Finance[Job Number]=C191&amp;"")*(tbl_Finance[Xero Invoice No]&lt;&gt;"")*tbl_Finance[Date]))),""))</f>
        <v/>
      </c>
      <c r="B191" s="25">
        <f>IF(C191="","",IF(COUNTIFS(tbl_Finance[Job Number],C191&amp;"",tbl_Finance[Xero Invoice No],"&lt;&gt;")=0,"",IFERROR(IF(COUNTIFS(tbl_Finance[Job Number],C191&amp;"",tbl_Finance[Xero Invoice No],LOOKUP(2,1/((tbl_Finance[Job Number]=C191&amp;"")*(tbl_Finance[Xero Invoice No]&lt;&gt;"")),tbl_Finance[Xero Invoice No]))=COUNTIFS(tbl_Finance[Job Number],C191&amp;"",tbl_Finance[Xero Invoice No],"&lt;&gt;"),LOOKUP(2,1/((tbl_Finance[Job Number]=C191&amp;"")*(tbl_Finance[Xero Invoice No]&lt;&gt;"")),tbl_Finance[Xero Invoice No]),LOOKUP(2,1/((tbl_Finance[Job Number]=C191&amp;"")*(tbl_Finance[Xero Invoice No]&lt;&gt;"")),tbl_Finance[Xero Invoice No])&amp;" +more"),"")))</f>
        <v/>
      </c>
      <c r="C191" s="24" t="n"/>
      <c r="D191" s="25">
        <f>IF(C191="","",IF(COUNTIF(lst_Jobs,C191&amp;"")&gt;0,"OK","CHECK"))</f>
        <v/>
      </c>
      <c r="E191" s="25">
        <f>IF(C191="","",IFERROR(INDEX(lst_JobName,MATCH(C191&amp;"",lst_Jobs,0)),""))</f>
        <v/>
      </c>
      <c r="F191" s="25">
        <f>IF(C191="","",IFERROR(INDEX(tbl_Finance[Client],MATCH(C191&amp;"",tbl_Finance[Job Number],0)),""))</f>
        <v/>
      </c>
      <c r="G191" s="28">
        <f>IF(C191="","",COUNTIFS(tbl_Finance[Job Number],C191&amp;"",tbl_Finance[Ex GST],"&lt;&gt;"))</f>
        <v/>
      </c>
      <c r="H191" s="27">
        <f>IF(C191="","",SUMIFS(tbl_Finance[Ex GST],tbl_Finance[Job Number],C191&amp;""))</f>
        <v/>
      </c>
      <c r="I191" s="27">
        <f>IF(C191="","",SUMIFS(tbl_Finance[Ex GST],tbl_Finance[Job Number],C191&amp;"",tbl_Finance[Xero Invoice No],"&lt;&gt;"))</f>
        <v/>
      </c>
      <c r="J191" s="27">
        <f>IF(C191="","",H191-I191)</f>
        <v/>
      </c>
      <c r="K191" s="25">
        <f>IF(C191="","",IF(G191=0,"not invoiced yet",SUBSTITUTE(TRIM(IF(COUNTIFS(tbl_Finance[Job Number],C191&amp;"",tbl_Finance[Cost Centre],"ONSITE")&gt;0,"ONSITE ","")&amp;IF(COUNTIFS(tbl_Finance[Job Number],C191&amp;"",tbl_Finance[Cost Centre],"PRODUCTION")&gt;0,"PRODUCTION ","")&amp;IF(COUNTIFS(tbl_Finance[Job Number],C191&amp;"",tbl_Finance[Cost Centre],"VIDEO")&gt;0,"VIDEO ","")&amp;IF(COUNTIFS(tbl_Finance[Job Number],C191&amp;"",tbl_Finance[Cost Centre],"INTEGRATION")&gt;0,"INTEGRATION ","")&amp;IF(COUNTIFS(tbl_Finance[Job Number],C191&amp;"",tbl_Finance[Cost Centre],"CONSULTING")&gt;0,"CONSULTING ","")&amp;IF(COUNTIFS(tbl_Finance[Job Number],C191&amp;"",tbl_Finance[Cost Centre],"CTS")&gt;0,"CTS ",""))," ",", ")))</f>
        <v/>
      </c>
      <c r="L191" s="22" t="n"/>
      <c r="M191" s="24" t="n"/>
      <c r="N191" s="25">
        <f>IF(M191="","",IF(AND(LEFT(M191,4)&lt;&gt;"http",set_RMSBase=""),"",HYPERLINK(IF(LEFT(M191,4)="http",M191,set_RMSBase&amp;M191),"Open opportunity")))</f>
        <v/>
      </c>
      <c r="O191" s="25">
        <f>IF(C191="","",C191)</f>
        <v/>
      </c>
      <c r="P191" s="24" t="n"/>
      <c r="Q191" s="26" t="n"/>
      <c r="R191" s="27">
        <f>IF(C191="","",H191+N(Q191))</f>
        <v/>
      </c>
      <c r="S191" s="29">
        <f>IFERROR(Q191/R191,"")</f>
        <v/>
      </c>
      <c r="T191" s="26" t="n"/>
      <c r="U191" s="26" t="n"/>
      <c r="V191" s="27">
        <f>IF(C191="","",N(T191)+N(U191))</f>
        <v/>
      </c>
      <c r="W191" s="27">
        <f>IF(C191="","",H191-V191)</f>
        <v/>
      </c>
      <c r="X191" s="29">
        <f>IFERROR(W191/H191,"")</f>
        <v/>
      </c>
      <c r="Y191" s="64" t="n"/>
      <c r="Z191" s="64" t="n"/>
      <c r="AA191" s="64" t="n"/>
      <c r="AB191" s="64" t="n"/>
      <c r="AC191" s="64" t="n"/>
      <c r="AD191" s="24" t="n"/>
    </row>
    <row r="192" ht="15" customHeight="1">
      <c r="A192" s="63">
        <f>IF(C192="","",IFERROR(IF(SUMPRODUCT(MAX((tbl_Finance[Job Number]=C192&amp;"")*(tbl_Finance[Xero Invoice No]&lt;&gt;"")*tbl_Finance[Date]))=0,"",SUMPRODUCT(MAX((tbl_Finance[Job Number]=C192&amp;"")*(tbl_Finance[Xero Invoice No]&lt;&gt;"")*tbl_Finance[Date]))),""))</f>
        <v/>
      </c>
      <c r="B192" s="25">
        <f>IF(C192="","",IF(COUNTIFS(tbl_Finance[Job Number],C192&amp;"",tbl_Finance[Xero Invoice No],"&lt;&gt;")=0,"",IFERROR(IF(COUNTIFS(tbl_Finance[Job Number],C192&amp;"",tbl_Finance[Xero Invoice No],LOOKUP(2,1/((tbl_Finance[Job Number]=C192&amp;"")*(tbl_Finance[Xero Invoice No]&lt;&gt;"")),tbl_Finance[Xero Invoice No]))=COUNTIFS(tbl_Finance[Job Number],C192&amp;"",tbl_Finance[Xero Invoice No],"&lt;&gt;"),LOOKUP(2,1/((tbl_Finance[Job Number]=C192&amp;"")*(tbl_Finance[Xero Invoice No]&lt;&gt;"")),tbl_Finance[Xero Invoice No]),LOOKUP(2,1/((tbl_Finance[Job Number]=C192&amp;"")*(tbl_Finance[Xero Invoice No]&lt;&gt;"")),tbl_Finance[Xero Invoice No])&amp;" +more"),"")))</f>
        <v/>
      </c>
      <c r="C192" s="24" t="n"/>
      <c r="D192" s="25">
        <f>IF(C192="","",IF(COUNTIF(lst_Jobs,C192&amp;"")&gt;0,"OK","CHECK"))</f>
        <v/>
      </c>
      <c r="E192" s="25">
        <f>IF(C192="","",IFERROR(INDEX(lst_JobName,MATCH(C192&amp;"",lst_Jobs,0)),""))</f>
        <v/>
      </c>
      <c r="F192" s="25">
        <f>IF(C192="","",IFERROR(INDEX(tbl_Finance[Client],MATCH(C192&amp;"",tbl_Finance[Job Number],0)),""))</f>
        <v/>
      </c>
      <c r="G192" s="28">
        <f>IF(C192="","",COUNTIFS(tbl_Finance[Job Number],C192&amp;"",tbl_Finance[Ex GST],"&lt;&gt;"))</f>
        <v/>
      </c>
      <c r="H192" s="27">
        <f>IF(C192="","",SUMIFS(tbl_Finance[Ex GST],tbl_Finance[Job Number],C192&amp;""))</f>
        <v/>
      </c>
      <c r="I192" s="27">
        <f>IF(C192="","",SUMIFS(tbl_Finance[Ex GST],tbl_Finance[Job Number],C192&amp;"",tbl_Finance[Xero Invoice No],"&lt;&gt;"))</f>
        <v/>
      </c>
      <c r="J192" s="27">
        <f>IF(C192="","",H192-I192)</f>
        <v/>
      </c>
      <c r="K192" s="25">
        <f>IF(C192="","",IF(G192=0,"not invoiced yet",SUBSTITUTE(TRIM(IF(COUNTIFS(tbl_Finance[Job Number],C192&amp;"",tbl_Finance[Cost Centre],"ONSITE")&gt;0,"ONSITE ","")&amp;IF(COUNTIFS(tbl_Finance[Job Number],C192&amp;"",tbl_Finance[Cost Centre],"PRODUCTION")&gt;0,"PRODUCTION ","")&amp;IF(COUNTIFS(tbl_Finance[Job Number],C192&amp;"",tbl_Finance[Cost Centre],"VIDEO")&gt;0,"VIDEO ","")&amp;IF(COUNTIFS(tbl_Finance[Job Number],C192&amp;"",tbl_Finance[Cost Centre],"INTEGRATION")&gt;0,"INTEGRATION ","")&amp;IF(COUNTIFS(tbl_Finance[Job Number],C192&amp;"",tbl_Finance[Cost Centre],"CONSULTING")&gt;0,"CONSULTING ","")&amp;IF(COUNTIFS(tbl_Finance[Job Number],C192&amp;"",tbl_Finance[Cost Centre],"CTS")&gt;0,"CTS ",""))," ",", ")))</f>
        <v/>
      </c>
      <c r="L192" s="22" t="n"/>
      <c r="M192" s="24" t="n"/>
      <c r="N192" s="25">
        <f>IF(M192="","",IF(AND(LEFT(M192,4)&lt;&gt;"http",set_RMSBase=""),"",HYPERLINK(IF(LEFT(M192,4)="http",M192,set_RMSBase&amp;M192),"Open opportunity")))</f>
        <v/>
      </c>
      <c r="O192" s="25">
        <f>IF(C192="","",C192)</f>
        <v/>
      </c>
      <c r="P192" s="24" t="n"/>
      <c r="Q192" s="26" t="n"/>
      <c r="R192" s="27">
        <f>IF(C192="","",H192+N(Q192))</f>
        <v/>
      </c>
      <c r="S192" s="29">
        <f>IFERROR(Q192/R192,"")</f>
        <v/>
      </c>
      <c r="T192" s="26" t="n"/>
      <c r="U192" s="26" t="n"/>
      <c r="V192" s="27">
        <f>IF(C192="","",N(T192)+N(U192))</f>
        <v/>
      </c>
      <c r="W192" s="27">
        <f>IF(C192="","",H192-V192)</f>
        <v/>
      </c>
      <c r="X192" s="29">
        <f>IFERROR(W192/H192,"")</f>
        <v/>
      </c>
      <c r="Y192" s="64" t="n"/>
      <c r="Z192" s="64" t="n"/>
      <c r="AA192" s="64" t="n"/>
      <c r="AB192" s="64" t="n"/>
      <c r="AC192" s="64" t="n"/>
      <c r="AD192" s="24" t="n"/>
    </row>
    <row r="193" ht="15" customHeight="1">
      <c r="A193" s="63">
        <f>IF(C193="","",IFERROR(IF(SUMPRODUCT(MAX((tbl_Finance[Job Number]=C193&amp;"")*(tbl_Finance[Xero Invoice No]&lt;&gt;"")*tbl_Finance[Date]))=0,"",SUMPRODUCT(MAX((tbl_Finance[Job Number]=C193&amp;"")*(tbl_Finance[Xero Invoice No]&lt;&gt;"")*tbl_Finance[Date]))),""))</f>
        <v/>
      </c>
      <c r="B193" s="25">
        <f>IF(C193="","",IF(COUNTIFS(tbl_Finance[Job Number],C193&amp;"",tbl_Finance[Xero Invoice No],"&lt;&gt;")=0,"",IFERROR(IF(COUNTIFS(tbl_Finance[Job Number],C193&amp;"",tbl_Finance[Xero Invoice No],LOOKUP(2,1/((tbl_Finance[Job Number]=C193&amp;"")*(tbl_Finance[Xero Invoice No]&lt;&gt;"")),tbl_Finance[Xero Invoice No]))=COUNTIFS(tbl_Finance[Job Number],C193&amp;"",tbl_Finance[Xero Invoice No],"&lt;&gt;"),LOOKUP(2,1/((tbl_Finance[Job Number]=C193&amp;"")*(tbl_Finance[Xero Invoice No]&lt;&gt;"")),tbl_Finance[Xero Invoice No]),LOOKUP(2,1/((tbl_Finance[Job Number]=C193&amp;"")*(tbl_Finance[Xero Invoice No]&lt;&gt;"")),tbl_Finance[Xero Invoice No])&amp;" +more"),"")))</f>
        <v/>
      </c>
      <c r="C193" s="24" t="n"/>
      <c r="D193" s="25">
        <f>IF(C193="","",IF(COUNTIF(lst_Jobs,C193&amp;"")&gt;0,"OK","CHECK"))</f>
        <v/>
      </c>
      <c r="E193" s="25">
        <f>IF(C193="","",IFERROR(INDEX(lst_JobName,MATCH(C193&amp;"",lst_Jobs,0)),""))</f>
        <v/>
      </c>
      <c r="F193" s="25">
        <f>IF(C193="","",IFERROR(INDEX(tbl_Finance[Client],MATCH(C193&amp;"",tbl_Finance[Job Number],0)),""))</f>
        <v/>
      </c>
      <c r="G193" s="28">
        <f>IF(C193="","",COUNTIFS(tbl_Finance[Job Number],C193&amp;"",tbl_Finance[Ex GST],"&lt;&gt;"))</f>
        <v/>
      </c>
      <c r="H193" s="27">
        <f>IF(C193="","",SUMIFS(tbl_Finance[Ex GST],tbl_Finance[Job Number],C193&amp;""))</f>
        <v/>
      </c>
      <c r="I193" s="27">
        <f>IF(C193="","",SUMIFS(tbl_Finance[Ex GST],tbl_Finance[Job Number],C193&amp;"",tbl_Finance[Xero Invoice No],"&lt;&gt;"))</f>
        <v/>
      </c>
      <c r="J193" s="27">
        <f>IF(C193="","",H193-I193)</f>
        <v/>
      </c>
      <c r="K193" s="25">
        <f>IF(C193="","",IF(G193=0,"not invoiced yet",SUBSTITUTE(TRIM(IF(COUNTIFS(tbl_Finance[Job Number],C193&amp;"",tbl_Finance[Cost Centre],"ONSITE")&gt;0,"ONSITE ","")&amp;IF(COUNTIFS(tbl_Finance[Job Number],C193&amp;"",tbl_Finance[Cost Centre],"PRODUCTION")&gt;0,"PRODUCTION ","")&amp;IF(COUNTIFS(tbl_Finance[Job Number],C193&amp;"",tbl_Finance[Cost Centre],"VIDEO")&gt;0,"VIDEO ","")&amp;IF(COUNTIFS(tbl_Finance[Job Number],C193&amp;"",tbl_Finance[Cost Centre],"INTEGRATION")&gt;0,"INTEGRATION ","")&amp;IF(COUNTIFS(tbl_Finance[Job Number],C193&amp;"",tbl_Finance[Cost Centre],"CONSULTING")&gt;0,"CONSULTING ","")&amp;IF(COUNTIFS(tbl_Finance[Job Number],C193&amp;"",tbl_Finance[Cost Centre],"CTS")&gt;0,"CTS ",""))," ",", ")))</f>
        <v/>
      </c>
      <c r="L193" s="22" t="n"/>
      <c r="M193" s="24" t="n"/>
      <c r="N193" s="25">
        <f>IF(M193="","",IF(AND(LEFT(M193,4)&lt;&gt;"http",set_RMSBase=""),"",HYPERLINK(IF(LEFT(M193,4)="http",M193,set_RMSBase&amp;M193),"Open opportunity")))</f>
        <v/>
      </c>
      <c r="O193" s="25">
        <f>IF(C193="","",C193)</f>
        <v/>
      </c>
      <c r="P193" s="24" t="n"/>
      <c r="Q193" s="26" t="n"/>
      <c r="R193" s="27">
        <f>IF(C193="","",H193+N(Q193))</f>
        <v/>
      </c>
      <c r="S193" s="29">
        <f>IFERROR(Q193/R193,"")</f>
        <v/>
      </c>
      <c r="T193" s="26" t="n"/>
      <c r="U193" s="26" t="n"/>
      <c r="V193" s="27">
        <f>IF(C193="","",N(T193)+N(U193))</f>
        <v/>
      </c>
      <c r="W193" s="27">
        <f>IF(C193="","",H193-V193)</f>
        <v/>
      </c>
      <c r="X193" s="29">
        <f>IFERROR(W193/H193,"")</f>
        <v/>
      </c>
      <c r="Y193" s="64" t="n"/>
      <c r="Z193" s="64" t="n"/>
      <c r="AA193" s="64" t="n"/>
      <c r="AB193" s="64" t="n"/>
      <c r="AC193" s="64" t="n"/>
      <c r="AD193" s="24" t="n"/>
    </row>
    <row r="194" ht="15" customHeight="1">
      <c r="A194" s="63">
        <f>IF(C194="","",IFERROR(IF(SUMPRODUCT(MAX((tbl_Finance[Job Number]=C194&amp;"")*(tbl_Finance[Xero Invoice No]&lt;&gt;"")*tbl_Finance[Date]))=0,"",SUMPRODUCT(MAX((tbl_Finance[Job Number]=C194&amp;"")*(tbl_Finance[Xero Invoice No]&lt;&gt;"")*tbl_Finance[Date]))),""))</f>
        <v/>
      </c>
      <c r="B194" s="25">
        <f>IF(C194="","",IF(COUNTIFS(tbl_Finance[Job Number],C194&amp;"",tbl_Finance[Xero Invoice No],"&lt;&gt;")=0,"",IFERROR(IF(COUNTIFS(tbl_Finance[Job Number],C194&amp;"",tbl_Finance[Xero Invoice No],LOOKUP(2,1/((tbl_Finance[Job Number]=C194&amp;"")*(tbl_Finance[Xero Invoice No]&lt;&gt;"")),tbl_Finance[Xero Invoice No]))=COUNTIFS(tbl_Finance[Job Number],C194&amp;"",tbl_Finance[Xero Invoice No],"&lt;&gt;"),LOOKUP(2,1/((tbl_Finance[Job Number]=C194&amp;"")*(tbl_Finance[Xero Invoice No]&lt;&gt;"")),tbl_Finance[Xero Invoice No]),LOOKUP(2,1/((tbl_Finance[Job Number]=C194&amp;"")*(tbl_Finance[Xero Invoice No]&lt;&gt;"")),tbl_Finance[Xero Invoice No])&amp;" +more"),"")))</f>
        <v/>
      </c>
      <c r="C194" s="24" t="n"/>
      <c r="D194" s="25">
        <f>IF(C194="","",IF(COUNTIF(lst_Jobs,C194&amp;"")&gt;0,"OK","CHECK"))</f>
        <v/>
      </c>
      <c r="E194" s="25">
        <f>IF(C194="","",IFERROR(INDEX(lst_JobName,MATCH(C194&amp;"",lst_Jobs,0)),""))</f>
        <v/>
      </c>
      <c r="F194" s="25">
        <f>IF(C194="","",IFERROR(INDEX(tbl_Finance[Client],MATCH(C194&amp;"",tbl_Finance[Job Number],0)),""))</f>
        <v/>
      </c>
      <c r="G194" s="28">
        <f>IF(C194="","",COUNTIFS(tbl_Finance[Job Number],C194&amp;"",tbl_Finance[Ex GST],"&lt;&gt;"))</f>
        <v/>
      </c>
      <c r="H194" s="27">
        <f>IF(C194="","",SUMIFS(tbl_Finance[Ex GST],tbl_Finance[Job Number],C194&amp;""))</f>
        <v/>
      </c>
      <c r="I194" s="27">
        <f>IF(C194="","",SUMIFS(tbl_Finance[Ex GST],tbl_Finance[Job Number],C194&amp;"",tbl_Finance[Xero Invoice No],"&lt;&gt;"))</f>
        <v/>
      </c>
      <c r="J194" s="27">
        <f>IF(C194="","",H194-I194)</f>
        <v/>
      </c>
      <c r="K194" s="25">
        <f>IF(C194="","",IF(G194=0,"not invoiced yet",SUBSTITUTE(TRIM(IF(COUNTIFS(tbl_Finance[Job Number],C194&amp;"",tbl_Finance[Cost Centre],"ONSITE")&gt;0,"ONSITE ","")&amp;IF(COUNTIFS(tbl_Finance[Job Number],C194&amp;"",tbl_Finance[Cost Centre],"PRODUCTION")&gt;0,"PRODUCTION ","")&amp;IF(COUNTIFS(tbl_Finance[Job Number],C194&amp;"",tbl_Finance[Cost Centre],"VIDEO")&gt;0,"VIDEO ","")&amp;IF(COUNTIFS(tbl_Finance[Job Number],C194&amp;"",tbl_Finance[Cost Centre],"INTEGRATION")&gt;0,"INTEGRATION ","")&amp;IF(COUNTIFS(tbl_Finance[Job Number],C194&amp;"",tbl_Finance[Cost Centre],"CONSULTING")&gt;0,"CONSULTING ","")&amp;IF(COUNTIFS(tbl_Finance[Job Number],C194&amp;"",tbl_Finance[Cost Centre],"CTS")&gt;0,"CTS ",""))," ",", ")))</f>
        <v/>
      </c>
      <c r="L194" s="22" t="n"/>
      <c r="M194" s="24" t="n"/>
      <c r="N194" s="25">
        <f>IF(M194="","",IF(AND(LEFT(M194,4)&lt;&gt;"http",set_RMSBase=""),"",HYPERLINK(IF(LEFT(M194,4)="http",M194,set_RMSBase&amp;M194),"Open opportunity")))</f>
        <v/>
      </c>
      <c r="O194" s="25">
        <f>IF(C194="","",C194)</f>
        <v/>
      </c>
      <c r="P194" s="24" t="n"/>
      <c r="Q194" s="26" t="n"/>
      <c r="R194" s="27">
        <f>IF(C194="","",H194+N(Q194))</f>
        <v/>
      </c>
      <c r="S194" s="29">
        <f>IFERROR(Q194/R194,"")</f>
        <v/>
      </c>
      <c r="T194" s="26" t="n"/>
      <c r="U194" s="26" t="n"/>
      <c r="V194" s="27">
        <f>IF(C194="","",N(T194)+N(U194))</f>
        <v/>
      </c>
      <c r="W194" s="27">
        <f>IF(C194="","",H194-V194)</f>
        <v/>
      </c>
      <c r="X194" s="29">
        <f>IFERROR(W194/H194,"")</f>
        <v/>
      </c>
      <c r="Y194" s="64" t="n"/>
      <c r="Z194" s="64" t="n"/>
      <c r="AA194" s="64" t="n"/>
      <c r="AB194" s="64" t="n"/>
      <c r="AC194" s="64" t="n"/>
      <c r="AD194" s="24" t="n"/>
    </row>
    <row r="195" ht="15" customHeight="1">
      <c r="A195" s="63">
        <f>IF(C195="","",IFERROR(IF(SUMPRODUCT(MAX((tbl_Finance[Job Number]=C195&amp;"")*(tbl_Finance[Xero Invoice No]&lt;&gt;"")*tbl_Finance[Date]))=0,"",SUMPRODUCT(MAX((tbl_Finance[Job Number]=C195&amp;"")*(tbl_Finance[Xero Invoice No]&lt;&gt;"")*tbl_Finance[Date]))),""))</f>
        <v/>
      </c>
      <c r="B195" s="25">
        <f>IF(C195="","",IF(COUNTIFS(tbl_Finance[Job Number],C195&amp;"",tbl_Finance[Xero Invoice No],"&lt;&gt;")=0,"",IFERROR(IF(COUNTIFS(tbl_Finance[Job Number],C195&amp;"",tbl_Finance[Xero Invoice No],LOOKUP(2,1/((tbl_Finance[Job Number]=C195&amp;"")*(tbl_Finance[Xero Invoice No]&lt;&gt;"")),tbl_Finance[Xero Invoice No]))=COUNTIFS(tbl_Finance[Job Number],C195&amp;"",tbl_Finance[Xero Invoice No],"&lt;&gt;"),LOOKUP(2,1/((tbl_Finance[Job Number]=C195&amp;"")*(tbl_Finance[Xero Invoice No]&lt;&gt;"")),tbl_Finance[Xero Invoice No]),LOOKUP(2,1/((tbl_Finance[Job Number]=C195&amp;"")*(tbl_Finance[Xero Invoice No]&lt;&gt;"")),tbl_Finance[Xero Invoice No])&amp;" +more"),"")))</f>
        <v/>
      </c>
      <c r="C195" s="24" t="n"/>
      <c r="D195" s="25">
        <f>IF(C195="","",IF(COUNTIF(lst_Jobs,C195&amp;"")&gt;0,"OK","CHECK"))</f>
        <v/>
      </c>
      <c r="E195" s="25">
        <f>IF(C195="","",IFERROR(INDEX(lst_JobName,MATCH(C195&amp;"",lst_Jobs,0)),""))</f>
        <v/>
      </c>
      <c r="F195" s="25">
        <f>IF(C195="","",IFERROR(INDEX(tbl_Finance[Client],MATCH(C195&amp;"",tbl_Finance[Job Number],0)),""))</f>
        <v/>
      </c>
      <c r="G195" s="28">
        <f>IF(C195="","",COUNTIFS(tbl_Finance[Job Number],C195&amp;"",tbl_Finance[Ex GST],"&lt;&gt;"))</f>
        <v/>
      </c>
      <c r="H195" s="27">
        <f>IF(C195="","",SUMIFS(tbl_Finance[Ex GST],tbl_Finance[Job Number],C195&amp;""))</f>
        <v/>
      </c>
      <c r="I195" s="27">
        <f>IF(C195="","",SUMIFS(tbl_Finance[Ex GST],tbl_Finance[Job Number],C195&amp;"",tbl_Finance[Xero Invoice No],"&lt;&gt;"))</f>
        <v/>
      </c>
      <c r="J195" s="27">
        <f>IF(C195="","",H195-I195)</f>
        <v/>
      </c>
      <c r="K195" s="25">
        <f>IF(C195="","",IF(G195=0,"not invoiced yet",SUBSTITUTE(TRIM(IF(COUNTIFS(tbl_Finance[Job Number],C195&amp;"",tbl_Finance[Cost Centre],"ONSITE")&gt;0,"ONSITE ","")&amp;IF(COUNTIFS(tbl_Finance[Job Number],C195&amp;"",tbl_Finance[Cost Centre],"PRODUCTION")&gt;0,"PRODUCTION ","")&amp;IF(COUNTIFS(tbl_Finance[Job Number],C195&amp;"",tbl_Finance[Cost Centre],"VIDEO")&gt;0,"VIDEO ","")&amp;IF(COUNTIFS(tbl_Finance[Job Number],C195&amp;"",tbl_Finance[Cost Centre],"INTEGRATION")&gt;0,"INTEGRATION ","")&amp;IF(COUNTIFS(tbl_Finance[Job Number],C195&amp;"",tbl_Finance[Cost Centre],"CONSULTING")&gt;0,"CONSULTING ","")&amp;IF(COUNTIFS(tbl_Finance[Job Number],C195&amp;"",tbl_Finance[Cost Centre],"CTS")&gt;0,"CTS ",""))," ",", ")))</f>
        <v/>
      </c>
      <c r="L195" s="22" t="n"/>
      <c r="M195" s="24" t="n"/>
      <c r="N195" s="25">
        <f>IF(M195="","",IF(AND(LEFT(M195,4)&lt;&gt;"http",set_RMSBase=""),"",HYPERLINK(IF(LEFT(M195,4)="http",M195,set_RMSBase&amp;M195),"Open opportunity")))</f>
        <v/>
      </c>
      <c r="O195" s="25">
        <f>IF(C195="","",C195)</f>
        <v/>
      </c>
      <c r="P195" s="24" t="n"/>
      <c r="Q195" s="26" t="n"/>
      <c r="R195" s="27">
        <f>IF(C195="","",H195+N(Q195))</f>
        <v/>
      </c>
      <c r="S195" s="29">
        <f>IFERROR(Q195/R195,"")</f>
        <v/>
      </c>
      <c r="T195" s="26" t="n"/>
      <c r="U195" s="26" t="n"/>
      <c r="V195" s="27">
        <f>IF(C195="","",N(T195)+N(U195))</f>
        <v/>
      </c>
      <c r="W195" s="27">
        <f>IF(C195="","",H195-V195)</f>
        <v/>
      </c>
      <c r="X195" s="29">
        <f>IFERROR(W195/H195,"")</f>
        <v/>
      </c>
      <c r="Y195" s="64" t="n"/>
      <c r="Z195" s="64" t="n"/>
      <c r="AA195" s="64" t="n"/>
      <c r="AB195" s="64" t="n"/>
      <c r="AC195" s="64" t="n"/>
      <c r="AD195" s="24" t="n"/>
    </row>
    <row r="196" ht="15" customHeight="1">
      <c r="A196" s="63">
        <f>IF(C196="","",IFERROR(IF(SUMPRODUCT(MAX((tbl_Finance[Job Number]=C196&amp;"")*(tbl_Finance[Xero Invoice No]&lt;&gt;"")*tbl_Finance[Date]))=0,"",SUMPRODUCT(MAX((tbl_Finance[Job Number]=C196&amp;"")*(tbl_Finance[Xero Invoice No]&lt;&gt;"")*tbl_Finance[Date]))),""))</f>
        <v/>
      </c>
      <c r="B196" s="25">
        <f>IF(C196="","",IF(COUNTIFS(tbl_Finance[Job Number],C196&amp;"",tbl_Finance[Xero Invoice No],"&lt;&gt;")=0,"",IFERROR(IF(COUNTIFS(tbl_Finance[Job Number],C196&amp;"",tbl_Finance[Xero Invoice No],LOOKUP(2,1/((tbl_Finance[Job Number]=C196&amp;"")*(tbl_Finance[Xero Invoice No]&lt;&gt;"")),tbl_Finance[Xero Invoice No]))=COUNTIFS(tbl_Finance[Job Number],C196&amp;"",tbl_Finance[Xero Invoice No],"&lt;&gt;"),LOOKUP(2,1/((tbl_Finance[Job Number]=C196&amp;"")*(tbl_Finance[Xero Invoice No]&lt;&gt;"")),tbl_Finance[Xero Invoice No]),LOOKUP(2,1/((tbl_Finance[Job Number]=C196&amp;"")*(tbl_Finance[Xero Invoice No]&lt;&gt;"")),tbl_Finance[Xero Invoice No])&amp;" +more"),"")))</f>
        <v/>
      </c>
      <c r="C196" s="24" t="n"/>
      <c r="D196" s="25">
        <f>IF(C196="","",IF(COUNTIF(lst_Jobs,C196&amp;"")&gt;0,"OK","CHECK"))</f>
        <v/>
      </c>
      <c r="E196" s="25">
        <f>IF(C196="","",IFERROR(INDEX(lst_JobName,MATCH(C196&amp;"",lst_Jobs,0)),""))</f>
        <v/>
      </c>
      <c r="F196" s="25">
        <f>IF(C196="","",IFERROR(INDEX(tbl_Finance[Client],MATCH(C196&amp;"",tbl_Finance[Job Number],0)),""))</f>
        <v/>
      </c>
      <c r="G196" s="28">
        <f>IF(C196="","",COUNTIFS(tbl_Finance[Job Number],C196&amp;"",tbl_Finance[Ex GST],"&lt;&gt;"))</f>
        <v/>
      </c>
      <c r="H196" s="27">
        <f>IF(C196="","",SUMIFS(tbl_Finance[Ex GST],tbl_Finance[Job Number],C196&amp;""))</f>
        <v/>
      </c>
      <c r="I196" s="27">
        <f>IF(C196="","",SUMIFS(tbl_Finance[Ex GST],tbl_Finance[Job Number],C196&amp;"",tbl_Finance[Xero Invoice No],"&lt;&gt;"))</f>
        <v/>
      </c>
      <c r="J196" s="27">
        <f>IF(C196="","",H196-I196)</f>
        <v/>
      </c>
      <c r="K196" s="25">
        <f>IF(C196="","",IF(G196=0,"not invoiced yet",SUBSTITUTE(TRIM(IF(COUNTIFS(tbl_Finance[Job Number],C196&amp;"",tbl_Finance[Cost Centre],"ONSITE")&gt;0,"ONSITE ","")&amp;IF(COUNTIFS(tbl_Finance[Job Number],C196&amp;"",tbl_Finance[Cost Centre],"PRODUCTION")&gt;0,"PRODUCTION ","")&amp;IF(COUNTIFS(tbl_Finance[Job Number],C196&amp;"",tbl_Finance[Cost Centre],"VIDEO")&gt;0,"VIDEO ","")&amp;IF(COUNTIFS(tbl_Finance[Job Number],C196&amp;"",tbl_Finance[Cost Centre],"INTEGRATION")&gt;0,"INTEGRATION ","")&amp;IF(COUNTIFS(tbl_Finance[Job Number],C196&amp;"",tbl_Finance[Cost Centre],"CONSULTING")&gt;0,"CONSULTING ","")&amp;IF(COUNTIFS(tbl_Finance[Job Number],C196&amp;"",tbl_Finance[Cost Centre],"CTS")&gt;0,"CTS ",""))," ",", ")))</f>
        <v/>
      </c>
      <c r="L196" s="22" t="n"/>
      <c r="M196" s="24" t="n"/>
      <c r="N196" s="25">
        <f>IF(M196="","",IF(AND(LEFT(M196,4)&lt;&gt;"http",set_RMSBase=""),"",HYPERLINK(IF(LEFT(M196,4)="http",M196,set_RMSBase&amp;M196),"Open opportunity")))</f>
        <v/>
      </c>
      <c r="O196" s="25">
        <f>IF(C196="","",C196)</f>
        <v/>
      </c>
      <c r="P196" s="24" t="n"/>
      <c r="Q196" s="26" t="n"/>
      <c r="R196" s="27">
        <f>IF(C196="","",H196+N(Q196))</f>
        <v/>
      </c>
      <c r="S196" s="29">
        <f>IFERROR(Q196/R196,"")</f>
        <v/>
      </c>
      <c r="T196" s="26" t="n"/>
      <c r="U196" s="26" t="n"/>
      <c r="V196" s="27">
        <f>IF(C196="","",N(T196)+N(U196))</f>
        <v/>
      </c>
      <c r="W196" s="27">
        <f>IF(C196="","",H196-V196)</f>
        <v/>
      </c>
      <c r="X196" s="29">
        <f>IFERROR(W196/H196,"")</f>
        <v/>
      </c>
      <c r="Y196" s="64" t="n"/>
      <c r="Z196" s="64" t="n"/>
      <c r="AA196" s="64" t="n"/>
      <c r="AB196" s="64" t="n"/>
      <c r="AC196" s="64" t="n"/>
      <c r="AD196" s="24" t="n"/>
    </row>
    <row r="197" ht="15" customHeight="1">
      <c r="A197" s="63">
        <f>IF(C197="","",IFERROR(IF(SUMPRODUCT(MAX((tbl_Finance[Job Number]=C197&amp;"")*(tbl_Finance[Xero Invoice No]&lt;&gt;"")*tbl_Finance[Date]))=0,"",SUMPRODUCT(MAX((tbl_Finance[Job Number]=C197&amp;"")*(tbl_Finance[Xero Invoice No]&lt;&gt;"")*tbl_Finance[Date]))),""))</f>
        <v/>
      </c>
      <c r="B197" s="25">
        <f>IF(C197="","",IF(COUNTIFS(tbl_Finance[Job Number],C197&amp;"",tbl_Finance[Xero Invoice No],"&lt;&gt;")=0,"",IFERROR(IF(COUNTIFS(tbl_Finance[Job Number],C197&amp;"",tbl_Finance[Xero Invoice No],LOOKUP(2,1/((tbl_Finance[Job Number]=C197&amp;"")*(tbl_Finance[Xero Invoice No]&lt;&gt;"")),tbl_Finance[Xero Invoice No]))=COUNTIFS(tbl_Finance[Job Number],C197&amp;"",tbl_Finance[Xero Invoice No],"&lt;&gt;"),LOOKUP(2,1/((tbl_Finance[Job Number]=C197&amp;"")*(tbl_Finance[Xero Invoice No]&lt;&gt;"")),tbl_Finance[Xero Invoice No]),LOOKUP(2,1/((tbl_Finance[Job Number]=C197&amp;"")*(tbl_Finance[Xero Invoice No]&lt;&gt;"")),tbl_Finance[Xero Invoice No])&amp;" +more"),"")))</f>
        <v/>
      </c>
      <c r="C197" s="24" t="n"/>
      <c r="D197" s="25">
        <f>IF(C197="","",IF(COUNTIF(lst_Jobs,C197&amp;"")&gt;0,"OK","CHECK"))</f>
        <v/>
      </c>
      <c r="E197" s="25">
        <f>IF(C197="","",IFERROR(INDEX(lst_JobName,MATCH(C197&amp;"",lst_Jobs,0)),""))</f>
        <v/>
      </c>
      <c r="F197" s="25">
        <f>IF(C197="","",IFERROR(INDEX(tbl_Finance[Client],MATCH(C197&amp;"",tbl_Finance[Job Number],0)),""))</f>
        <v/>
      </c>
      <c r="G197" s="28">
        <f>IF(C197="","",COUNTIFS(tbl_Finance[Job Number],C197&amp;"",tbl_Finance[Ex GST],"&lt;&gt;"))</f>
        <v/>
      </c>
      <c r="H197" s="27">
        <f>IF(C197="","",SUMIFS(tbl_Finance[Ex GST],tbl_Finance[Job Number],C197&amp;""))</f>
        <v/>
      </c>
      <c r="I197" s="27">
        <f>IF(C197="","",SUMIFS(tbl_Finance[Ex GST],tbl_Finance[Job Number],C197&amp;"",tbl_Finance[Xero Invoice No],"&lt;&gt;"))</f>
        <v/>
      </c>
      <c r="J197" s="27">
        <f>IF(C197="","",H197-I197)</f>
        <v/>
      </c>
      <c r="K197" s="25">
        <f>IF(C197="","",IF(G197=0,"not invoiced yet",SUBSTITUTE(TRIM(IF(COUNTIFS(tbl_Finance[Job Number],C197&amp;"",tbl_Finance[Cost Centre],"ONSITE")&gt;0,"ONSITE ","")&amp;IF(COUNTIFS(tbl_Finance[Job Number],C197&amp;"",tbl_Finance[Cost Centre],"PRODUCTION")&gt;0,"PRODUCTION ","")&amp;IF(COUNTIFS(tbl_Finance[Job Number],C197&amp;"",tbl_Finance[Cost Centre],"VIDEO")&gt;0,"VIDEO ","")&amp;IF(COUNTIFS(tbl_Finance[Job Number],C197&amp;"",tbl_Finance[Cost Centre],"INTEGRATION")&gt;0,"INTEGRATION ","")&amp;IF(COUNTIFS(tbl_Finance[Job Number],C197&amp;"",tbl_Finance[Cost Centre],"CONSULTING")&gt;0,"CONSULTING ","")&amp;IF(COUNTIFS(tbl_Finance[Job Number],C197&amp;"",tbl_Finance[Cost Centre],"CTS")&gt;0,"CTS ",""))," ",", ")))</f>
        <v/>
      </c>
      <c r="L197" s="22" t="n"/>
      <c r="M197" s="24" t="n"/>
      <c r="N197" s="25">
        <f>IF(M197="","",IF(AND(LEFT(M197,4)&lt;&gt;"http",set_RMSBase=""),"",HYPERLINK(IF(LEFT(M197,4)="http",M197,set_RMSBase&amp;M197),"Open opportunity")))</f>
        <v/>
      </c>
      <c r="O197" s="25">
        <f>IF(C197="","",C197)</f>
        <v/>
      </c>
      <c r="P197" s="24" t="n"/>
      <c r="Q197" s="26" t="n"/>
      <c r="R197" s="27">
        <f>IF(C197="","",H197+N(Q197))</f>
        <v/>
      </c>
      <c r="S197" s="29">
        <f>IFERROR(Q197/R197,"")</f>
        <v/>
      </c>
      <c r="T197" s="26" t="n"/>
      <c r="U197" s="26" t="n"/>
      <c r="V197" s="27">
        <f>IF(C197="","",N(T197)+N(U197))</f>
        <v/>
      </c>
      <c r="W197" s="27">
        <f>IF(C197="","",H197-V197)</f>
        <v/>
      </c>
      <c r="X197" s="29">
        <f>IFERROR(W197/H197,"")</f>
        <v/>
      </c>
      <c r="Y197" s="64" t="n"/>
      <c r="Z197" s="64" t="n"/>
      <c r="AA197" s="64" t="n"/>
      <c r="AB197" s="64" t="n"/>
      <c r="AC197" s="64" t="n"/>
      <c r="AD197" s="24" t="n"/>
    </row>
    <row r="198" ht="15" customHeight="1">
      <c r="A198" s="63">
        <f>IF(C198="","",IFERROR(IF(SUMPRODUCT(MAX((tbl_Finance[Job Number]=C198&amp;"")*(tbl_Finance[Xero Invoice No]&lt;&gt;"")*tbl_Finance[Date]))=0,"",SUMPRODUCT(MAX((tbl_Finance[Job Number]=C198&amp;"")*(tbl_Finance[Xero Invoice No]&lt;&gt;"")*tbl_Finance[Date]))),""))</f>
        <v/>
      </c>
      <c r="B198" s="25">
        <f>IF(C198="","",IF(COUNTIFS(tbl_Finance[Job Number],C198&amp;"",tbl_Finance[Xero Invoice No],"&lt;&gt;")=0,"",IFERROR(IF(COUNTIFS(tbl_Finance[Job Number],C198&amp;"",tbl_Finance[Xero Invoice No],LOOKUP(2,1/((tbl_Finance[Job Number]=C198&amp;"")*(tbl_Finance[Xero Invoice No]&lt;&gt;"")),tbl_Finance[Xero Invoice No]))=COUNTIFS(tbl_Finance[Job Number],C198&amp;"",tbl_Finance[Xero Invoice No],"&lt;&gt;"),LOOKUP(2,1/((tbl_Finance[Job Number]=C198&amp;"")*(tbl_Finance[Xero Invoice No]&lt;&gt;"")),tbl_Finance[Xero Invoice No]),LOOKUP(2,1/((tbl_Finance[Job Number]=C198&amp;"")*(tbl_Finance[Xero Invoice No]&lt;&gt;"")),tbl_Finance[Xero Invoice No])&amp;" +more"),"")))</f>
        <v/>
      </c>
      <c r="C198" s="24" t="n"/>
      <c r="D198" s="25">
        <f>IF(C198="","",IF(COUNTIF(lst_Jobs,C198&amp;"")&gt;0,"OK","CHECK"))</f>
        <v/>
      </c>
      <c r="E198" s="25">
        <f>IF(C198="","",IFERROR(INDEX(lst_JobName,MATCH(C198&amp;"",lst_Jobs,0)),""))</f>
        <v/>
      </c>
      <c r="F198" s="25">
        <f>IF(C198="","",IFERROR(INDEX(tbl_Finance[Client],MATCH(C198&amp;"",tbl_Finance[Job Number],0)),""))</f>
        <v/>
      </c>
      <c r="G198" s="28">
        <f>IF(C198="","",COUNTIFS(tbl_Finance[Job Number],C198&amp;"",tbl_Finance[Ex GST],"&lt;&gt;"))</f>
        <v/>
      </c>
      <c r="H198" s="27">
        <f>IF(C198="","",SUMIFS(tbl_Finance[Ex GST],tbl_Finance[Job Number],C198&amp;""))</f>
        <v/>
      </c>
      <c r="I198" s="27">
        <f>IF(C198="","",SUMIFS(tbl_Finance[Ex GST],tbl_Finance[Job Number],C198&amp;"",tbl_Finance[Xero Invoice No],"&lt;&gt;"))</f>
        <v/>
      </c>
      <c r="J198" s="27">
        <f>IF(C198="","",H198-I198)</f>
        <v/>
      </c>
      <c r="K198" s="25">
        <f>IF(C198="","",IF(G198=0,"not invoiced yet",SUBSTITUTE(TRIM(IF(COUNTIFS(tbl_Finance[Job Number],C198&amp;"",tbl_Finance[Cost Centre],"ONSITE")&gt;0,"ONSITE ","")&amp;IF(COUNTIFS(tbl_Finance[Job Number],C198&amp;"",tbl_Finance[Cost Centre],"PRODUCTION")&gt;0,"PRODUCTION ","")&amp;IF(COUNTIFS(tbl_Finance[Job Number],C198&amp;"",tbl_Finance[Cost Centre],"VIDEO")&gt;0,"VIDEO ","")&amp;IF(COUNTIFS(tbl_Finance[Job Number],C198&amp;"",tbl_Finance[Cost Centre],"INTEGRATION")&gt;0,"INTEGRATION ","")&amp;IF(COUNTIFS(tbl_Finance[Job Number],C198&amp;"",tbl_Finance[Cost Centre],"CONSULTING")&gt;0,"CONSULTING ","")&amp;IF(COUNTIFS(tbl_Finance[Job Number],C198&amp;"",tbl_Finance[Cost Centre],"CTS")&gt;0,"CTS ",""))," ",", ")))</f>
        <v/>
      </c>
      <c r="L198" s="22" t="n"/>
      <c r="M198" s="24" t="n"/>
      <c r="N198" s="25">
        <f>IF(M198="","",IF(AND(LEFT(M198,4)&lt;&gt;"http",set_RMSBase=""),"",HYPERLINK(IF(LEFT(M198,4)="http",M198,set_RMSBase&amp;M198),"Open opportunity")))</f>
        <v/>
      </c>
      <c r="O198" s="25">
        <f>IF(C198="","",C198)</f>
        <v/>
      </c>
      <c r="P198" s="24" t="n"/>
      <c r="Q198" s="26" t="n"/>
      <c r="R198" s="27">
        <f>IF(C198="","",H198+N(Q198))</f>
        <v/>
      </c>
      <c r="S198" s="29">
        <f>IFERROR(Q198/R198,"")</f>
        <v/>
      </c>
      <c r="T198" s="26" t="n"/>
      <c r="U198" s="26" t="n"/>
      <c r="V198" s="27">
        <f>IF(C198="","",N(T198)+N(U198))</f>
        <v/>
      </c>
      <c r="W198" s="27">
        <f>IF(C198="","",H198-V198)</f>
        <v/>
      </c>
      <c r="X198" s="29">
        <f>IFERROR(W198/H198,"")</f>
        <v/>
      </c>
      <c r="Y198" s="64" t="n"/>
      <c r="Z198" s="64" t="n"/>
      <c r="AA198" s="64" t="n"/>
      <c r="AB198" s="64" t="n"/>
      <c r="AC198" s="64" t="n"/>
      <c r="AD198" s="24" t="n"/>
    </row>
    <row r="199" ht="15" customHeight="1">
      <c r="A199" s="63">
        <f>IF(C199="","",IFERROR(IF(SUMPRODUCT(MAX((tbl_Finance[Job Number]=C199&amp;"")*(tbl_Finance[Xero Invoice No]&lt;&gt;"")*tbl_Finance[Date]))=0,"",SUMPRODUCT(MAX((tbl_Finance[Job Number]=C199&amp;"")*(tbl_Finance[Xero Invoice No]&lt;&gt;"")*tbl_Finance[Date]))),""))</f>
        <v/>
      </c>
      <c r="B199" s="25">
        <f>IF(C199="","",IF(COUNTIFS(tbl_Finance[Job Number],C199&amp;"",tbl_Finance[Xero Invoice No],"&lt;&gt;")=0,"",IFERROR(IF(COUNTIFS(tbl_Finance[Job Number],C199&amp;"",tbl_Finance[Xero Invoice No],LOOKUP(2,1/((tbl_Finance[Job Number]=C199&amp;"")*(tbl_Finance[Xero Invoice No]&lt;&gt;"")),tbl_Finance[Xero Invoice No]))=COUNTIFS(tbl_Finance[Job Number],C199&amp;"",tbl_Finance[Xero Invoice No],"&lt;&gt;"),LOOKUP(2,1/((tbl_Finance[Job Number]=C199&amp;"")*(tbl_Finance[Xero Invoice No]&lt;&gt;"")),tbl_Finance[Xero Invoice No]),LOOKUP(2,1/((tbl_Finance[Job Number]=C199&amp;"")*(tbl_Finance[Xero Invoice No]&lt;&gt;"")),tbl_Finance[Xero Invoice No])&amp;" +more"),"")))</f>
        <v/>
      </c>
      <c r="C199" s="24" t="n"/>
      <c r="D199" s="25">
        <f>IF(C199="","",IF(COUNTIF(lst_Jobs,C199&amp;"")&gt;0,"OK","CHECK"))</f>
        <v/>
      </c>
      <c r="E199" s="25">
        <f>IF(C199="","",IFERROR(INDEX(lst_JobName,MATCH(C199&amp;"",lst_Jobs,0)),""))</f>
        <v/>
      </c>
      <c r="F199" s="25">
        <f>IF(C199="","",IFERROR(INDEX(tbl_Finance[Client],MATCH(C199&amp;"",tbl_Finance[Job Number],0)),""))</f>
        <v/>
      </c>
      <c r="G199" s="28">
        <f>IF(C199="","",COUNTIFS(tbl_Finance[Job Number],C199&amp;"",tbl_Finance[Ex GST],"&lt;&gt;"))</f>
        <v/>
      </c>
      <c r="H199" s="27">
        <f>IF(C199="","",SUMIFS(tbl_Finance[Ex GST],tbl_Finance[Job Number],C199&amp;""))</f>
        <v/>
      </c>
      <c r="I199" s="27">
        <f>IF(C199="","",SUMIFS(tbl_Finance[Ex GST],tbl_Finance[Job Number],C199&amp;"",tbl_Finance[Xero Invoice No],"&lt;&gt;"))</f>
        <v/>
      </c>
      <c r="J199" s="27">
        <f>IF(C199="","",H199-I199)</f>
        <v/>
      </c>
      <c r="K199" s="25">
        <f>IF(C199="","",IF(G199=0,"not invoiced yet",SUBSTITUTE(TRIM(IF(COUNTIFS(tbl_Finance[Job Number],C199&amp;"",tbl_Finance[Cost Centre],"ONSITE")&gt;0,"ONSITE ","")&amp;IF(COUNTIFS(tbl_Finance[Job Number],C199&amp;"",tbl_Finance[Cost Centre],"PRODUCTION")&gt;0,"PRODUCTION ","")&amp;IF(COUNTIFS(tbl_Finance[Job Number],C199&amp;"",tbl_Finance[Cost Centre],"VIDEO")&gt;0,"VIDEO ","")&amp;IF(COUNTIFS(tbl_Finance[Job Number],C199&amp;"",tbl_Finance[Cost Centre],"INTEGRATION")&gt;0,"INTEGRATION ","")&amp;IF(COUNTIFS(tbl_Finance[Job Number],C199&amp;"",tbl_Finance[Cost Centre],"CONSULTING")&gt;0,"CONSULTING ","")&amp;IF(COUNTIFS(tbl_Finance[Job Number],C199&amp;"",tbl_Finance[Cost Centre],"CTS")&gt;0,"CTS ",""))," ",", ")))</f>
        <v/>
      </c>
      <c r="L199" s="22" t="n"/>
      <c r="M199" s="24" t="n"/>
      <c r="N199" s="25">
        <f>IF(M199="","",IF(AND(LEFT(M199,4)&lt;&gt;"http",set_RMSBase=""),"",HYPERLINK(IF(LEFT(M199,4)="http",M199,set_RMSBase&amp;M199),"Open opportunity")))</f>
        <v/>
      </c>
      <c r="O199" s="25">
        <f>IF(C199="","",C199)</f>
        <v/>
      </c>
      <c r="P199" s="24" t="n"/>
      <c r="Q199" s="26" t="n"/>
      <c r="R199" s="27">
        <f>IF(C199="","",H199+N(Q199))</f>
        <v/>
      </c>
      <c r="S199" s="29">
        <f>IFERROR(Q199/R199,"")</f>
        <v/>
      </c>
      <c r="T199" s="26" t="n"/>
      <c r="U199" s="26" t="n"/>
      <c r="V199" s="27">
        <f>IF(C199="","",N(T199)+N(U199))</f>
        <v/>
      </c>
      <c r="W199" s="27">
        <f>IF(C199="","",H199-V199)</f>
        <v/>
      </c>
      <c r="X199" s="29">
        <f>IFERROR(W199/H199,"")</f>
        <v/>
      </c>
      <c r="Y199" s="64" t="n"/>
      <c r="Z199" s="64" t="n"/>
      <c r="AA199" s="64" t="n"/>
      <c r="AB199" s="64" t="n"/>
      <c r="AC199" s="64" t="n"/>
      <c r="AD199" s="24" t="n"/>
    </row>
    <row r="200" ht="15" customHeight="1">
      <c r="A200" s="63">
        <f>IF(C200="","",IFERROR(IF(SUMPRODUCT(MAX((tbl_Finance[Job Number]=C200&amp;"")*(tbl_Finance[Xero Invoice No]&lt;&gt;"")*tbl_Finance[Date]))=0,"",SUMPRODUCT(MAX((tbl_Finance[Job Number]=C200&amp;"")*(tbl_Finance[Xero Invoice No]&lt;&gt;"")*tbl_Finance[Date]))),""))</f>
        <v/>
      </c>
      <c r="B200" s="25">
        <f>IF(C200="","",IF(COUNTIFS(tbl_Finance[Job Number],C200&amp;"",tbl_Finance[Xero Invoice No],"&lt;&gt;")=0,"",IFERROR(IF(COUNTIFS(tbl_Finance[Job Number],C200&amp;"",tbl_Finance[Xero Invoice No],LOOKUP(2,1/((tbl_Finance[Job Number]=C200&amp;"")*(tbl_Finance[Xero Invoice No]&lt;&gt;"")),tbl_Finance[Xero Invoice No]))=COUNTIFS(tbl_Finance[Job Number],C200&amp;"",tbl_Finance[Xero Invoice No],"&lt;&gt;"),LOOKUP(2,1/((tbl_Finance[Job Number]=C200&amp;"")*(tbl_Finance[Xero Invoice No]&lt;&gt;"")),tbl_Finance[Xero Invoice No]),LOOKUP(2,1/((tbl_Finance[Job Number]=C200&amp;"")*(tbl_Finance[Xero Invoice No]&lt;&gt;"")),tbl_Finance[Xero Invoice No])&amp;" +more"),"")))</f>
        <v/>
      </c>
      <c r="C200" s="24" t="n"/>
      <c r="D200" s="25">
        <f>IF(C200="","",IF(COUNTIF(lst_Jobs,C200&amp;"")&gt;0,"OK","CHECK"))</f>
        <v/>
      </c>
      <c r="E200" s="25">
        <f>IF(C200="","",IFERROR(INDEX(lst_JobName,MATCH(C200&amp;"",lst_Jobs,0)),""))</f>
        <v/>
      </c>
      <c r="F200" s="25">
        <f>IF(C200="","",IFERROR(INDEX(tbl_Finance[Client],MATCH(C200&amp;"",tbl_Finance[Job Number],0)),""))</f>
        <v/>
      </c>
      <c r="G200" s="28">
        <f>IF(C200="","",COUNTIFS(tbl_Finance[Job Number],C200&amp;"",tbl_Finance[Ex GST],"&lt;&gt;"))</f>
        <v/>
      </c>
      <c r="H200" s="27">
        <f>IF(C200="","",SUMIFS(tbl_Finance[Ex GST],tbl_Finance[Job Number],C200&amp;""))</f>
        <v/>
      </c>
      <c r="I200" s="27">
        <f>IF(C200="","",SUMIFS(tbl_Finance[Ex GST],tbl_Finance[Job Number],C200&amp;"",tbl_Finance[Xero Invoice No],"&lt;&gt;"))</f>
        <v/>
      </c>
      <c r="J200" s="27">
        <f>IF(C200="","",H200-I200)</f>
        <v/>
      </c>
      <c r="K200" s="25">
        <f>IF(C200="","",IF(G200=0,"not invoiced yet",SUBSTITUTE(TRIM(IF(COUNTIFS(tbl_Finance[Job Number],C200&amp;"",tbl_Finance[Cost Centre],"ONSITE")&gt;0,"ONSITE ","")&amp;IF(COUNTIFS(tbl_Finance[Job Number],C200&amp;"",tbl_Finance[Cost Centre],"PRODUCTION")&gt;0,"PRODUCTION ","")&amp;IF(COUNTIFS(tbl_Finance[Job Number],C200&amp;"",tbl_Finance[Cost Centre],"VIDEO")&gt;0,"VIDEO ","")&amp;IF(COUNTIFS(tbl_Finance[Job Number],C200&amp;"",tbl_Finance[Cost Centre],"INTEGRATION")&gt;0,"INTEGRATION ","")&amp;IF(COUNTIFS(tbl_Finance[Job Number],C200&amp;"",tbl_Finance[Cost Centre],"CONSULTING")&gt;0,"CONSULTING ","")&amp;IF(COUNTIFS(tbl_Finance[Job Number],C200&amp;"",tbl_Finance[Cost Centre],"CTS")&gt;0,"CTS ",""))," ",", ")))</f>
        <v/>
      </c>
      <c r="L200" s="22" t="n"/>
      <c r="M200" s="24" t="n"/>
      <c r="N200" s="25">
        <f>IF(M200="","",IF(AND(LEFT(M200,4)&lt;&gt;"http",set_RMSBase=""),"",HYPERLINK(IF(LEFT(M200,4)="http",M200,set_RMSBase&amp;M200),"Open opportunity")))</f>
        <v/>
      </c>
      <c r="O200" s="25">
        <f>IF(C200="","",C200)</f>
        <v/>
      </c>
      <c r="P200" s="24" t="n"/>
      <c r="Q200" s="26" t="n"/>
      <c r="R200" s="27">
        <f>IF(C200="","",H200+N(Q200))</f>
        <v/>
      </c>
      <c r="S200" s="29">
        <f>IFERROR(Q200/R200,"")</f>
        <v/>
      </c>
      <c r="T200" s="26" t="n"/>
      <c r="U200" s="26" t="n"/>
      <c r="V200" s="27">
        <f>IF(C200="","",N(T200)+N(U200))</f>
        <v/>
      </c>
      <c r="W200" s="27">
        <f>IF(C200="","",H200-V200)</f>
        <v/>
      </c>
      <c r="X200" s="29">
        <f>IFERROR(W200/H200,"")</f>
        <v/>
      </c>
      <c r="Y200" s="64" t="n"/>
      <c r="Z200" s="64" t="n"/>
      <c r="AA200" s="64" t="n"/>
      <c r="AB200" s="64" t="n"/>
      <c r="AC200" s="64" t="n"/>
      <c r="AD200" s="24" t="n"/>
    </row>
    <row r="201" ht="15" customHeight="1">
      <c r="A201" s="63">
        <f>IF(C201="","",IFERROR(IF(SUMPRODUCT(MAX((tbl_Finance[Job Number]=C201&amp;"")*(tbl_Finance[Xero Invoice No]&lt;&gt;"")*tbl_Finance[Date]))=0,"",SUMPRODUCT(MAX((tbl_Finance[Job Number]=C201&amp;"")*(tbl_Finance[Xero Invoice No]&lt;&gt;"")*tbl_Finance[Date]))),""))</f>
        <v/>
      </c>
      <c r="B201" s="25">
        <f>IF(C201="","",IF(COUNTIFS(tbl_Finance[Job Number],C201&amp;"",tbl_Finance[Xero Invoice No],"&lt;&gt;")=0,"",IFERROR(IF(COUNTIFS(tbl_Finance[Job Number],C201&amp;"",tbl_Finance[Xero Invoice No],LOOKUP(2,1/((tbl_Finance[Job Number]=C201&amp;"")*(tbl_Finance[Xero Invoice No]&lt;&gt;"")),tbl_Finance[Xero Invoice No]))=COUNTIFS(tbl_Finance[Job Number],C201&amp;"",tbl_Finance[Xero Invoice No],"&lt;&gt;"),LOOKUP(2,1/((tbl_Finance[Job Number]=C201&amp;"")*(tbl_Finance[Xero Invoice No]&lt;&gt;"")),tbl_Finance[Xero Invoice No]),LOOKUP(2,1/((tbl_Finance[Job Number]=C201&amp;"")*(tbl_Finance[Xero Invoice No]&lt;&gt;"")),tbl_Finance[Xero Invoice No])&amp;" +more"),"")))</f>
        <v/>
      </c>
      <c r="C201" s="24" t="n"/>
      <c r="D201" s="25">
        <f>IF(C201="","",IF(COUNTIF(lst_Jobs,C201&amp;"")&gt;0,"OK","CHECK"))</f>
        <v/>
      </c>
      <c r="E201" s="25">
        <f>IF(C201="","",IFERROR(INDEX(lst_JobName,MATCH(C201&amp;"",lst_Jobs,0)),""))</f>
        <v/>
      </c>
      <c r="F201" s="25">
        <f>IF(C201="","",IFERROR(INDEX(tbl_Finance[Client],MATCH(C201&amp;"",tbl_Finance[Job Number],0)),""))</f>
        <v/>
      </c>
      <c r="G201" s="28">
        <f>IF(C201="","",COUNTIFS(tbl_Finance[Job Number],C201&amp;"",tbl_Finance[Ex GST],"&lt;&gt;"))</f>
        <v/>
      </c>
      <c r="H201" s="27">
        <f>IF(C201="","",SUMIFS(tbl_Finance[Ex GST],tbl_Finance[Job Number],C201&amp;""))</f>
        <v/>
      </c>
      <c r="I201" s="27">
        <f>IF(C201="","",SUMIFS(tbl_Finance[Ex GST],tbl_Finance[Job Number],C201&amp;"",tbl_Finance[Xero Invoice No],"&lt;&gt;"))</f>
        <v/>
      </c>
      <c r="J201" s="27">
        <f>IF(C201="","",H201-I201)</f>
        <v/>
      </c>
      <c r="K201" s="25">
        <f>IF(C201="","",IF(G201=0,"not invoiced yet",SUBSTITUTE(TRIM(IF(COUNTIFS(tbl_Finance[Job Number],C201&amp;"",tbl_Finance[Cost Centre],"ONSITE")&gt;0,"ONSITE ","")&amp;IF(COUNTIFS(tbl_Finance[Job Number],C201&amp;"",tbl_Finance[Cost Centre],"PRODUCTION")&gt;0,"PRODUCTION ","")&amp;IF(COUNTIFS(tbl_Finance[Job Number],C201&amp;"",tbl_Finance[Cost Centre],"VIDEO")&gt;0,"VIDEO ","")&amp;IF(COUNTIFS(tbl_Finance[Job Number],C201&amp;"",tbl_Finance[Cost Centre],"INTEGRATION")&gt;0,"INTEGRATION ","")&amp;IF(COUNTIFS(tbl_Finance[Job Number],C201&amp;"",tbl_Finance[Cost Centre],"CONSULTING")&gt;0,"CONSULTING ","")&amp;IF(COUNTIFS(tbl_Finance[Job Number],C201&amp;"",tbl_Finance[Cost Centre],"CTS")&gt;0,"CTS ",""))," ",", ")))</f>
        <v/>
      </c>
      <c r="L201" s="22" t="n"/>
      <c r="M201" s="24" t="n"/>
      <c r="N201" s="25">
        <f>IF(M201="","",IF(AND(LEFT(M201,4)&lt;&gt;"http",set_RMSBase=""),"",HYPERLINK(IF(LEFT(M201,4)="http",M201,set_RMSBase&amp;M201),"Open opportunity")))</f>
        <v/>
      </c>
      <c r="O201" s="25">
        <f>IF(C201="","",C201)</f>
        <v/>
      </c>
      <c r="P201" s="24" t="n"/>
      <c r="Q201" s="26" t="n"/>
      <c r="R201" s="27">
        <f>IF(C201="","",H201+N(Q201))</f>
        <v/>
      </c>
      <c r="S201" s="29">
        <f>IFERROR(Q201/R201,"")</f>
        <v/>
      </c>
      <c r="T201" s="26" t="n"/>
      <c r="U201" s="26" t="n"/>
      <c r="V201" s="27">
        <f>IF(C201="","",N(T201)+N(U201))</f>
        <v/>
      </c>
      <c r="W201" s="27">
        <f>IF(C201="","",H201-V201)</f>
        <v/>
      </c>
      <c r="X201" s="29">
        <f>IFERROR(W201/H201,"")</f>
        <v/>
      </c>
      <c r="Y201" s="64" t="n"/>
      <c r="Z201" s="64" t="n"/>
      <c r="AA201" s="64" t="n"/>
      <c r="AB201" s="64" t="n"/>
      <c r="AC201" s="64" t="n"/>
      <c r="AD201" s="24" t="n"/>
    </row>
    <row r="202" ht="15" customHeight="1">
      <c r="A202" s="63">
        <f>IF(C202="","",IFERROR(IF(SUMPRODUCT(MAX((tbl_Finance[Job Number]=C202&amp;"")*(tbl_Finance[Xero Invoice No]&lt;&gt;"")*tbl_Finance[Date]))=0,"",SUMPRODUCT(MAX((tbl_Finance[Job Number]=C202&amp;"")*(tbl_Finance[Xero Invoice No]&lt;&gt;"")*tbl_Finance[Date]))),""))</f>
        <v/>
      </c>
      <c r="B202" s="25">
        <f>IF(C202="","",IF(COUNTIFS(tbl_Finance[Job Number],C202&amp;"",tbl_Finance[Xero Invoice No],"&lt;&gt;")=0,"",IFERROR(IF(COUNTIFS(tbl_Finance[Job Number],C202&amp;"",tbl_Finance[Xero Invoice No],LOOKUP(2,1/((tbl_Finance[Job Number]=C202&amp;"")*(tbl_Finance[Xero Invoice No]&lt;&gt;"")),tbl_Finance[Xero Invoice No]))=COUNTIFS(tbl_Finance[Job Number],C202&amp;"",tbl_Finance[Xero Invoice No],"&lt;&gt;"),LOOKUP(2,1/((tbl_Finance[Job Number]=C202&amp;"")*(tbl_Finance[Xero Invoice No]&lt;&gt;"")),tbl_Finance[Xero Invoice No]),LOOKUP(2,1/((tbl_Finance[Job Number]=C202&amp;"")*(tbl_Finance[Xero Invoice No]&lt;&gt;"")),tbl_Finance[Xero Invoice No])&amp;" +more"),"")))</f>
        <v/>
      </c>
      <c r="C202" s="24" t="n"/>
      <c r="D202" s="25">
        <f>IF(C202="","",IF(COUNTIF(lst_Jobs,C202&amp;"")&gt;0,"OK","CHECK"))</f>
        <v/>
      </c>
      <c r="E202" s="25">
        <f>IF(C202="","",IFERROR(INDEX(lst_JobName,MATCH(C202&amp;"",lst_Jobs,0)),""))</f>
        <v/>
      </c>
      <c r="F202" s="25">
        <f>IF(C202="","",IFERROR(INDEX(tbl_Finance[Client],MATCH(C202&amp;"",tbl_Finance[Job Number],0)),""))</f>
        <v/>
      </c>
      <c r="G202" s="28">
        <f>IF(C202="","",COUNTIFS(tbl_Finance[Job Number],C202&amp;"",tbl_Finance[Ex GST],"&lt;&gt;"))</f>
        <v/>
      </c>
      <c r="H202" s="27">
        <f>IF(C202="","",SUMIFS(tbl_Finance[Ex GST],tbl_Finance[Job Number],C202&amp;""))</f>
        <v/>
      </c>
      <c r="I202" s="27">
        <f>IF(C202="","",SUMIFS(tbl_Finance[Ex GST],tbl_Finance[Job Number],C202&amp;"",tbl_Finance[Xero Invoice No],"&lt;&gt;"))</f>
        <v/>
      </c>
      <c r="J202" s="27">
        <f>IF(C202="","",H202-I202)</f>
        <v/>
      </c>
      <c r="K202" s="25">
        <f>IF(C202="","",IF(G202=0,"not invoiced yet",SUBSTITUTE(TRIM(IF(COUNTIFS(tbl_Finance[Job Number],C202&amp;"",tbl_Finance[Cost Centre],"ONSITE")&gt;0,"ONSITE ","")&amp;IF(COUNTIFS(tbl_Finance[Job Number],C202&amp;"",tbl_Finance[Cost Centre],"PRODUCTION")&gt;0,"PRODUCTION ","")&amp;IF(COUNTIFS(tbl_Finance[Job Number],C202&amp;"",tbl_Finance[Cost Centre],"VIDEO")&gt;0,"VIDEO ","")&amp;IF(COUNTIFS(tbl_Finance[Job Number],C202&amp;"",tbl_Finance[Cost Centre],"INTEGRATION")&gt;0,"INTEGRATION ","")&amp;IF(COUNTIFS(tbl_Finance[Job Number],C202&amp;"",tbl_Finance[Cost Centre],"CONSULTING")&gt;0,"CONSULTING ","")&amp;IF(COUNTIFS(tbl_Finance[Job Number],C202&amp;"",tbl_Finance[Cost Centre],"CTS")&gt;0,"CTS ",""))," ",", ")))</f>
        <v/>
      </c>
      <c r="L202" s="22" t="n"/>
      <c r="M202" s="24" t="n"/>
      <c r="N202" s="25">
        <f>IF(M202="","",IF(AND(LEFT(M202,4)&lt;&gt;"http",set_RMSBase=""),"",HYPERLINK(IF(LEFT(M202,4)="http",M202,set_RMSBase&amp;M202),"Open opportunity")))</f>
        <v/>
      </c>
      <c r="O202" s="25">
        <f>IF(C202="","",C202)</f>
        <v/>
      </c>
      <c r="P202" s="24" t="n"/>
      <c r="Q202" s="26" t="n"/>
      <c r="R202" s="27">
        <f>IF(C202="","",H202+N(Q202))</f>
        <v/>
      </c>
      <c r="S202" s="29">
        <f>IFERROR(Q202/R202,"")</f>
        <v/>
      </c>
      <c r="T202" s="26" t="n"/>
      <c r="U202" s="26" t="n"/>
      <c r="V202" s="27">
        <f>IF(C202="","",N(T202)+N(U202))</f>
        <v/>
      </c>
      <c r="W202" s="27">
        <f>IF(C202="","",H202-V202)</f>
        <v/>
      </c>
      <c r="X202" s="29">
        <f>IFERROR(W202/H202,"")</f>
        <v/>
      </c>
      <c r="Y202" s="64" t="n"/>
      <c r="Z202" s="64" t="n"/>
      <c r="AA202" s="64" t="n"/>
      <c r="AB202" s="64" t="n"/>
      <c r="AC202" s="64" t="n"/>
      <c r="AD202" s="24" t="n"/>
    </row>
    <row r="203" ht="15" customHeight="1">
      <c r="A203" s="63">
        <f>IF(C203="","",IFERROR(IF(SUMPRODUCT(MAX((tbl_Finance[Job Number]=C203&amp;"")*(tbl_Finance[Xero Invoice No]&lt;&gt;"")*tbl_Finance[Date]))=0,"",SUMPRODUCT(MAX((tbl_Finance[Job Number]=C203&amp;"")*(tbl_Finance[Xero Invoice No]&lt;&gt;"")*tbl_Finance[Date]))),""))</f>
        <v/>
      </c>
      <c r="B203" s="25">
        <f>IF(C203="","",IF(COUNTIFS(tbl_Finance[Job Number],C203&amp;"",tbl_Finance[Xero Invoice No],"&lt;&gt;")=0,"",IFERROR(IF(COUNTIFS(tbl_Finance[Job Number],C203&amp;"",tbl_Finance[Xero Invoice No],LOOKUP(2,1/((tbl_Finance[Job Number]=C203&amp;"")*(tbl_Finance[Xero Invoice No]&lt;&gt;"")),tbl_Finance[Xero Invoice No]))=COUNTIFS(tbl_Finance[Job Number],C203&amp;"",tbl_Finance[Xero Invoice No],"&lt;&gt;"),LOOKUP(2,1/((tbl_Finance[Job Number]=C203&amp;"")*(tbl_Finance[Xero Invoice No]&lt;&gt;"")),tbl_Finance[Xero Invoice No]),LOOKUP(2,1/((tbl_Finance[Job Number]=C203&amp;"")*(tbl_Finance[Xero Invoice No]&lt;&gt;"")),tbl_Finance[Xero Invoice No])&amp;" +more"),"")))</f>
        <v/>
      </c>
      <c r="C203" s="24" t="n"/>
      <c r="D203" s="25">
        <f>IF(C203="","",IF(COUNTIF(lst_Jobs,C203&amp;"")&gt;0,"OK","CHECK"))</f>
        <v/>
      </c>
      <c r="E203" s="25">
        <f>IF(C203="","",IFERROR(INDEX(lst_JobName,MATCH(C203&amp;"",lst_Jobs,0)),""))</f>
        <v/>
      </c>
      <c r="F203" s="25">
        <f>IF(C203="","",IFERROR(INDEX(tbl_Finance[Client],MATCH(C203&amp;"",tbl_Finance[Job Number],0)),""))</f>
        <v/>
      </c>
      <c r="G203" s="28">
        <f>IF(C203="","",COUNTIFS(tbl_Finance[Job Number],C203&amp;"",tbl_Finance[Ex GST],"&lt;&gt;"))</f>
        <v/>
      </c>
      <c r="H203" s="27">
        <f>IF(C203="","",SUMIFS(tbl_Finance[Ex GST],tbl_Finance[Job Number],C203&amp;""))</f>
        <v/>
      </c>
      <c r="I203" s="27">
        <f>IF(C203="","",SUMIFS(tbl_Finance[Ex GST],tbl_Finance[Job Number],C203&amp;"",tbl_Finance[Xero Invoice No],"&lt;&gt;"))</f>
        <v/>
      </c>
      <c r="J203" s="27">
        <f>IF(C203="","",H203-I203)</f>
        <v/>
      </c>
      <c r="K203" s="25">
        <f>IF(C203="","",IF(G203=0,"not invoiced yet",SUBSTITUTE(TRIM(IF(COUNTIFS(tbl_Finance[Job Number],C203&amp;"",tbl_Finance[Cost Centre],"ONSITE")&gt;0,"ONSITE ","")&amp;IF(COUNTIFS(tbl_Finance[Job Number],C203&amp;"",tbl_Finance[Cost Centre],"PRODUCTION")&gt;0,"PRODUCTION ","")&amp;IF(COUNTIFS(tbl_Finance[Job Number],C203&amp;"",tbl_Finance[Cost Centre],"VIDEO")&gt;0,"VIDEO ","")&amp;IF(COUNTIFS(tbl_Finance[Job Number],C203&amp;"",tbl_Finance[Cost Centre],"INTEGRATION")&gt;0,"INTEGRATION ","")&amp;IF(COUNTIFS(tbl_Finance[Job Number],C203&amp;"",tbl_Finance[Cost Centre],"CONSULTING")&gt;0,"CONSULTING ","")&amp;IF(COUNTIFS(tbl_Finance[Job Number],C203&amp;"",tbl_Finance[Cost Centre],"CTS")&gt;0,"CTS ",""))," ",", ")))</f>
        <v/>
      </c>
      <c r="L203" s="22" t="n"/>
      <c r="M203" s="24" t="n"/>
      <c r="N203" s="25">
        <f>IF(M203="","",IF(AND(LEFT(M203,4)&lt;&gt;"http",set_RMSBase=""),"",HYPERLINK(IF(LEFT(M203,4)="http",M203,set_RMSBase&amp;M203),"Open opportunity")))</f>
        <v/>
      </c>
      <c r="O203" s="25">
        <f>IF(C203="","",C203)</f>
        <v/>
      </c>
      <c r="P203" s="24" t="n"/>
      <c r="Q203" s="26" t="n"/>
      <c r="R203" s="27">
        <f>IF(C203="","",H203+N(Q203))</f>
        <v/>
      </c>
      <c r="S203" s="29">
        <f>IFERROR(Q203/R203,"")</f>
        <v/>
      </c>
      <c r="T203" s="26" t="n"/>
      <c r="U203" s="26" t="n"/>
      <c r="V203" s="27">
        <f>IF(C203="","",N(T203)+N(U203))</f>
        <v/>
      </c>
      <c r="W203" s="27">
        <f>IF(C203="","",H203-V203)</f>
        <v/>
      </c>
      <c r="X203" s="29">
        <f>IFERROR(W203/H203,"")</f>
        <v/>
      </c>
      <c r="Y203" s="64" t="n"/>
      <c r="Z203" s="64" t="n"/>
      <c r="AA203" s="64" t="n"/>
      <c r="AB203" s="64" t="n"/>
      <c r="AC203" s="64" t="n"/>
      <c r="AD203" s="24" t="n"/>
    </row>
    <row r="204" ht="15" customHeight="1">
      <c r="A204" s="63">
        <f>IF(C204="","",IFERROR(IF(SUMPRODUCT(MAX((tbl_Finance[Job Number]=C204&amp;"")*(tbl_Finance[Xero Invoice No]&lt;&gt;"")*tbl_Finance[Date]))=0,"",SUMPRODUCT(MAX((tbl_Finance[Job Number]=C204&amp;"")*(tbl_Finance[Xero Invoice No]&lt;&gt;"")*tbl_Finance[Date]))),""))</f>
        <v/>
      </c>
      <c r="B204" s="25">
        <f>IF(C204="","",IF(COUNTIFS(tbl_Finance[Job Number],C204&amp;"",tbl_Finance[Xero Invoice No],"&lt;&gt;")=0,"",IFERROR(IF(COUNTIFS(tbl_Finance[Job Number],C204&amp;"",tbl_Finance[Xero Invoice No],LOOKUP(2,1/((tbl_Finance[Job Number]=C204&amp;"")*(tbl_Finance[Xero Invoice No]&lt;&gt;"")),tbl_Finance[Xero Invoice No]))=COUNTIFS(tbl_Finance[Job Number],C204&amp;"",tbl_Finance[Xero Invoice No],"&lt;&gt;"),LOOKUP(2,1/((tbl_Finance[Job Number]=C204&amp;"")*(tbl_Finance[Xero Invoice No]&lt;&gt;"")),tbl_Finance[Xero Invoice No]),LOOKUP(2,1/((tbl_Finance[Job Number]=C204&amp;"")*(tbl_Finance[Xero Invoice No]&lt;&gt;"")),tbl_Finance[Xero Invoice No])&amp;" +more"),"")))</f>
        <v/>
      </c>
      <c r="C204" s="24" t="n"/>
      <c r="D204" s="25">
        <f>IF(C204="","",IF(COUNTIF(lst_Jobs,C204&amp;"")&gt;0,"OK","CHECK"))</f>
        <v/>
      </c>
      <c r="E204" s="25">
        <f>IF(C204="","",IFERROR(INDEX(lst_JobName,MATCH(C204&amp;"",lst_Jobs,0)),""))</f>
        <v/>
      </c>
      <c r="F204" s="25">
        <f>IF(C204="","",IFERROR(INDEX(tbl_Finance[Client],MATCH(C204&amp;"",tbl_Finance[Job Number],0)),""))</f>
        <v/>
      </c>
      <c r="G204" s="28">
        <f>IF(C204="","",COUNTIFS(tbl_Finance[Job Number],C204&amp;"",tbl_Finance[Ex GST],"&lt;&gt;"))</f>
        <v/>
      </c>
      <c r="H204" s="27">
        <f>IF(C204="","",SUMIFS(tbl_Finance[Ex GST],tbl_Finance[Job Number],C204&amp;""))</f>
        <v/>
      </c>
      <c r="I204" s="27">
        <f>IF(C204="","",SUMIFS(tbl_Finance[Ex GST],tbl_Finance[Job Number],C204&amp;"",tbl_Finance[Xero Invoice No],"&lt;&gt;"))</f>
        <v/>
      </c>
      <c r="J204" s="27">
        <f>IF(C204="","",H204-I204)</f>
        <v/>
      </c>
      <c r="K204" s="25">
        <f>IF(C204="","",IF(G204=0,"not invoiced yet",SUBSTITUTE(TRIM(IF(COUNTIFS(tbl_Finance[Job Number],C204&amp;"",tbl_Finance[Cost Centre],"ONSITE")&gt;0,"ONSITE ","")&amp;IF(COUNTIFS(tbl_Finance[Job Number],C204&amp;"",tbl_Finance[Cost Centre],"PRODUCTION")&gt;0,"PRODUCTION ","")&amp;IF(COUNTIFS(tbl_Finance[Job Number],C204&amp;"",tbl_Finance[Cost Centre],"VIDEO")&gt;0,"VIDEO ","")&amp;IF(COUNTIFS(tbl_Finance[Job Number],C204&amp;"",tbl_Finance[Cost Centre],"INTEGRATION")&gt;0,"INTEGRATION ","")&amp;IF(COUNTIFS(tbl_Finance[Job Number],C204&amp;"",tbl_Finance[Cost Centre],"CONSULTING")&gt;0,"CONSULTING ","")&amp;IF(COUNTIFS(tbl_Finance[Job Number],C204&amp;"",tbl_Finance[Cost Centre],"CTS")&gt;0,"CTS ",""))," ",", ")))</f>
        <v/>
      </c>
      <c r="L204" s="22" t="n"/>
      <c r="M204" s="24" t="n"/>
      <c r="N204" s="25">
        <f>IF(M204="","",IF(AND(LEFT(M204,4)&lt;&gt;"http",set_RMSBase=""),"",HYPERLINK(IF(LEFT(M204,4)="http",M204,set_RMSBase&amp;M204),"Open opportunity")))</f>
        <v/>
      </c>
      <c r="O204" s="25">
        <f>IF(C204="","",C204)</f>
        <v/>
      </c>
      <c r="P204" s="24" t="n"/>
      <c r="Q204" s="26" t="n"/>
      <c r="R204" s="27">
        <f>IF(C204="","",H204+N(Q204))</f>
        <v/>
      </c>
      <c r="S204" s="29">
        <f>IFERROR(Q204/R204,"")</f>
        <v/>
      </c>
      <c r="T204" s="26" t="n"/>
      <c r="U204" s="26" t="n"/>
      <c r="V204" s="27">
        <f>IF(C204="","",N(T204)+N(U204))</f>
        <v/>
      </c>
      <c r="W204" s="27">
        <f>IF(C204="","",H204-V204)</f>
        <v/>
      </c>
      <c r="X204" s="29">
        <f>IFERROR(W204/H204,"")</f>
        <v/>
      </c>
      <c r="Y204" s="64" t="n"/>
      <c r="Z204" s="64" t="n"/>
      <c r="AA204" s="64" t="n"/>
      <c r="AB204" s="64" t="n"/>
      <c r="AC204" s="64" t="n"/>
      <c r="AD204" s="24" t="n"/>
    </row>
    <row r="205" ht="15" customHeight="1">
      <c r="A205" s="63">
        <f>IF(C205="","",IFERROR(IF(SUMPRODUCT(MAX((tbl_Finance[Job Number]=C205&amp;"")*(tbl_Finance[Xero Invoice No]&lt;&gt;"")*tbl_Finance[Date]))=0,"",SUMPRODUCT(MAX((tbl_Finance[Job Number]=C205&amp;"")*(tbl_Finance[Xero Invoice No]&lt;&gt;"")*tbl_Finance[Date]))),""))</f>
        <v/>
      </c>
      <c r="B205" s="25">
        <f>IF(C205="","",IF(COUNTIFS(tbl_Finance[Job Number],C205&amp;"",tbl_Finance[Xero Invoice No],"&lt;&gt;")=0,"",IFERROR(IF(COUNTIFS(tbl_Finance[Job Number],C205&amp;"",tbl_Finance[Xero Invoice No],LOOKUP(2,1/((tbl_Finance[Job Number]=C205&amp;"")*(tbl_Finance[Xero Invoice No]&lt;&gt;"")),tbl_Finance[Xero Invoice No]))=COUNTIFS(tbl_Finance[Job Number],C205&amp;"",tbl_Finance[Xero Invoice No],"&lt;&gt;"),LOOKUP(2,1/((tbl_Finance[Job Number]=C205&amp;"")*(tbl_Finance[Xero Invoice No]&lt;&gt;"")),tbl_Finance[Xero Invoice No]),LOOKUP(2,1/((tbl_Finance[Job Number]=C205&amp;"")*(tbl_Finance[Xero Invoice No]&lt;&gt;"")),tbl_Finance[Xero Invoice No])&amp;" +more"),"")))</f>
        <v/>
      </c>
      <c r="C205" s="24" t="n"/>
      <c r="D205" s="25">
        <f>IF(C205="","",IF(COUNTIF(lst_Jobs,C205&amp;"")&gt;0,"OK","CHECK"))</f>
        <v/>
      </c>
      <c r="E205" s="25">
        <f>IF(C205="","",IFERROR(INDEX(lst_JobName,MATCH(C205&amp;"",lst_Jobs,0)),""))</f>
        <v/>
      </c>
      <c r="F205" s="25">
        <f>IF(C205="","",IFERROR(INDEX(tbl_Finance[Client],MATCH(C205&amp;"",tbl_Finance[Job Number],0)),""))</f>
        <v/>
      </c>
      <c r="G205" s="28">
        <f>IF(C205="","",COUNTIFS(tbl_Finance[Job Number],C205&amp;"",tbl_Finance[Ex GST],"&lt;&gt;"))</f>
        <v/>
      </c>
      <c r="H205" s="27">
        <f>IF(C205="","",SUMIFS(tbl_Finance[Ex GST],tbl_Finance[Job Number],C205&amp;""))</f>
        <v/>
      </c>
      <c r="I205" s="27">
        <f>IF(C205="","",SUMIFS(tbl_Finance[Ex GST],tbl_Finance[Job Number],C205&amp;"",tbl_Finance[Xero Invoice No],"&lt;&gt;"))</f>
        <v/>
      </c>
      <c r="J205" s="27">
        <f>IF(C205="","",H205-I205)</f>
        <v/>
      </c>
      <c r="K205" s="25">
        <f>IF(C205="","",IF(G205=0,"not invoiced yet",SUBSTITUTE(TRIM(IF(COUNTIFS(tbl_Finance[Job Number],C205&amp;"",tbl_Finance[Cost Centre],"ONSITE")&gt;0,"ONSITE ","")&amp;IF(COUNTIFS(tbl_Finance[Job Number],C205&amp;"",tbl_Finance[Cost Centre],"PRODUCTION")&gt;0,"PRODUCTION ","")&amp;IF(COUNTIFS(tbl_Finance[Job Number],C205&amp;"",tbl_Finance[Cost Centre],"VIDEO")&gt;0,"VIDEO ","")&amp;IF(COUNTIFS(tbl_Finance[Job Number],C205&amp;"",tbl_Finance[Cost Centre],"INTEGRATION")&gt;0,"INTEGRATION ","")&amp;IF(COUNTIFS(tbl_Finance[Job Number],C205&amp;"",tbl_Finance[Cost Centre],"CONSULTING")&gt;0,"CONSULTING ","")&amp;IF(COUNTIFS(tbl_Finance[Job Number],C205&amp;"",tbl_Finance[Cost Centre],"CTS")&gt;0,"CTS ",""))," ",", ")))</f>
        <v/>
      </c>
      <c r="L205" s="22" t="n"/>
      <c r="M205" s="24" t="n"/>
      <c r="N205" s="25">
        <f>IF(M205="","",IF(AND(LEFT(M205,4)&lt;&gt;"http",set_RMSBase=""),"",HYPERLINK(IF(LEFT(M205,4)="http",M205,set_RMSBase&amp;M205),"Open opportunity")))</f>
        <v/>
      </c>
      <c r="O205" s="25">
        <f>IF(C205="","",C205)</f>
        <v/>
      </c>
      <c r="P205" s="24" t="n"/>
      <c r="Q205" s="26" t="n"/>
      <c r="R205" s="27">
        <f>IF(C205="","",H205+N(Q205))</f>
        <v/>
      </c>
      <c r="S205" s="29">
        <f>IFERROR(Q205/R205,"")</f>
        <v/>
      </c>
      <c r="T205" s="26" t="n"/>
      <c r="U205" s="26" t="n"/>
      <c r="V205" s="27">
        <f>IF(C205="","",N(T205)+N(U205))</f>
        <v/>
      </c>
      <c r="W205" s="27">
        <f>IF(C205="","",H205-V205)</f>
        <v/>
      </c>
      <c r="X205" s="29">
        <f>IFERROR(W205/H205,"")</f>
        <v/>
      </c>
      <c r="Y205" s="64" t="n"/>
      <c r="Z205" s="64" t="n"/>
      <c r="AA205" s="64" t="n"/>
      <c r="AB205" s="64" t="n"/>
      <c r="AC205" s="64" t="n"/>
      <c r="AD205" s="24" t="n"/>
    </row>
    <row r="206" ht="15" customHeight="1">
      <c r="A206" s="63">
        <f>IF(C206="","",IFERROR(IF(SUMPRODUCT(MAX((tbl_Finance[Job Number]=C206&amp;"")*(tbl_Finance[Xero Invoice No]&lt;&gt;"")*tbl_Finance[Date]))=0,"",SUMPRODUCT(MAX((tbl_Finance[Job Number]=C206&amp;"")*(tbl_Finance[Xero Invoice No]&lt;&gt;"")*tbl_Finance[Date]))),""))</f>
        <v/>
      </c>
      <c r="B206" s="25">
        <f>IF(C206="","",IF(COUNTIFS(tbl_Finance[Job Number],C206&amp;"",tbl_Finance[Xero Invoice No],"&lt;&gt;")=0,"",IFERROR(IF(COUNTIFS(tbl_Finance[Job Number],C206&amp;"",tbl_Finance[Xero Invoice No],LOOKUP(2,1/((tbl_Finance[Job Number]=C206&amp;"")*(tbl_Finance[Xero Invoice No]&lt;&gt;"")),tbl_Finance[Xero Invoice No]))=COUNTIFS(tbl_Finance[Job Number],C206&amp;"",tbl_Finance[Xero Invoice No],"&lt;&gt;"),LOOKUP(2,1/((tbl_Finance[Job Number]=C206&amp;"")*(tbl_Finance[Xero Invoice No]&lt;&gt;"")),tbl_Finance[Xero Invoice No]),LOOKUP(2,1/((tbl_Finance[Job Number]=C206&amp;"")*(tbl_Finance[Xero Invoice No]&lt;&gt;"")),tbl_Finance[Xero Invoice No])&amp;" +more"),"")))</f>
        <v/>
      </c>
      <c r="C206" s="24" t="n"/>
      <c r="D206" s="25">
        <f>IF(C206="","",IF(COUNTIF(lst_Jobs,C206&amp;"")&gt;0,"OK","CHECK"))</f>
        <v/>
      </c>
      <c r="E206" s="25">
        <f>IF(C206="","",IFERROR(INDEX(lst_JobName,MATCH(C206&amp;"",lst_Jobs,0)),""))</f>
        <v/>
      </c>
      <c r="F206" s="25">
        <f>IF(C206="","",IFERROR(INDEX(tbl_Finance[Client],MATCH(C206&amp;"",tbl_Finance[Job Number],0)),""))</f>
        <v/>
      </c>
      <c r="G206" s="28">
        <f>IF(C206="","",COUNTIFS(tbl_Finance[Job Number],C206&amp;"",tbl_Finance[Ex GST],"&lt;&gt;"))</f>
        <v/>
      </c>
      <c r="H206" s="27">
        <f>IF(C206="","",SUMIFS(tbl_Finance[Ex GST],tbl_Finance[Job Number],C206&amp;""))</f>
        <v/>
      </c>
      <c r="I206" s="27">
        <f>IF(C206="","",SUMIFS(tbl_Finance[Ex GST],tbl_Finance[Job Number],C206&amp;"",tbl_Finance[Xero Invoice No],"&lt;&gt;"))</f>
        <v/>
      </c>
      <c r="J206" s="27">
        <f>IF(C206="","",H206-I206)</f>
        <v/>
      </c>
      <c r="K206" s="25">
        <f>IF(C206="","",IF(G206=0,"not invoiced yet",SUBSTITUTE(TRIM(IF(COUNTIFS(tbl_Finance[Job Number],C206&amp;"",tbl_Finance[Cost Centre],"ONSITE")&gt;0,"ONSITE ","")&amp;IF(COUNTIFS(tbl_Finance[Job Number],C206&amp;"",tbl_Finance[Cost Centre],"PRODUCTION")&gt;0,"PRODUCTION ","")&amp;IF(COUNTIFS(tbl_Finance[Job Number],C206&amp;"",tbl_Finance[Cost Centre],"VIDEO")&gt;0,"VIDEO ","")&amp;IF(COUNTIFS(tbl_Finance[Job Number],C206&amp;"",tbl_Finance[Cost Centre],"INTEGRATION")&gt;0,"INTEGRATION ","")&amp;IF(COUNTIFS(tbl_Finance[Job Number],C206&amp;"",tbl_Finance[Cost Centre],"CONSULTING")&gt;0,"CONSULTING ","")&amp;IF(COUNTIFS(tbl_Finance[Job Number],C206&amp;"",tbl_Finance[Cost Centre],"CTS")&gt;0,"CTS ",""))," ",", ")))</f>
        <v/>
      </c>
      <c r="L206" s="22" t="n"/>
      <c r="M206" s="24" t="n"/>
      <c r="N206" s="25">
        <f>IF(M206="","",IF(AND(LEFT(M206,4)&lt;&gt;"http",set_RMSBase=""),"",HYPERLINK(IF(LEFT(M206,4)="http",M206,set_RMSBase&amp;M206),"Open opportunity")))</f>
        <v/>
      </c>
      <c r="O206" s="25">
        <f>IF(C206="","",C206)</f>
        <v/>
      </c>
      <c r="P206" s="24" t="n"/>
      <c r="Q206" s="26" t="n"/>
      <c r="R206" s="27">
        <f>IF(C206="","",H206+N(Q206))</f>
        <v/>
      </c>
      <c r="S206" s="29">
        <f>IFERROR(Q206/R206,"")</f>
        <v/>
      </c>
      <c r="T206" s="26" t="n"/>
      <c r="U206" s="26" t="n"/>
      <c r="V206" s="27">
        <f>IF(C206="","",N(T206)+N(U206))</f>
        <v/>
      </c>
      <c r="W206" s="27">
        <f>IF(C206="","",H206-V206)</f>
        <v/>
      </c>
      <c r="X206" s="29">
        <f>IFERROR(W206/H206,"")</f>
        <v/>
      </c>
      <c r="Y206" s="64" t="n"/>
      <c r="Z206" s="64" t="n"/>
      <c r="AA206" s="64" t="n"/>
      <c r="AB206" s="64" t="n"/>
      <c r="AC206" s="64" t="n"/>
      <c r="AD206" s="24" t="n"/>
    </row>
    <row r="207" ht="15" customHeight="1">
      <c r="A207" s="63">
        <f>IF(C207="","",IFERROR(IF(SUMPRODUCT(MAX((tbl_Finance[Job Number]=C207&amp;"")*(tbl_Finance[Xero Invoice No]&lt;&gt;"")*tbl_Finance[Date]))=0,"",SUMPRODUCT(MAX((tbl_Finance[Job Number]=C207&amp;"")*(tbl_Finance[Xero Invoice No]&lt;&gt;"")*tbl_Finance[Date]))),""))</f>
        <v/>
      </c>
      <c r="B207" s="25">
        <f>IF(C207="","",IF(COUNTIFS(tbl_Finance[Job Number],C207&amp;"",tbl_Finance[Xero Invoice No],"&lt;&gt;")=0,"",IFERROR(IF(COUNTIFS(tbl_Finance[Job Number],C207&amp;"",tbl_Finance[Xero Invoice No],LOOKUP(2,1/((tbl_Finance[Job Number]=C207&amp;"")*(tbl_Finance[Xero Invoice No]&lt;&gt;"")),tbl_Finance[Xero Invoice No]))=COUNTIFS(tbl_Finance[Job Number],C207&amp;"",tbl_Finance[Xero Invoice No],"&lt;&gt;"),LOOKUP(2,1/((tbl_Finance[Job Number]=C207&amp;"")*(tbl_Finance[Xero Invoice No]&lt;&gt;"")),tbl_Finance[Xero Invoice No]),LOOKUP(2,1/((tbl_Finance[Job Number]=C207&amp;"")*(tbl_Finance[Xero Invoice No]&lt;&gt;"")),tbl_Finance[Xero Invoice No])&amp;" +more"),"")))</f>
        <v/>
      </c>
      <c r="C207" s="24" t="n"/>
      <c r="D207" s="25">
        <f>IF(C207="","",IF(COUNTIF(lst_Jobs,C207&amp;"")&gt;0,"OK","CHECK"))</f>
        <v/>
      </c>
      <c r="E207" s="25">
        <f>IF(C207="","",IFERROR(INDEX(lst_JobName,MATCH(C207&amp;"",lst_Jobs,0)),""))</f>
        <v/>
      </c>
      <c r="F207" s="25">
        <f>IF(C207="","",IFERROR(INDEX(tbl_Finance[Client],MATCH(C207&amp;"",tbl_Finance[Job Number],0)),""))</f>
        <v/>
      </c>
      <c r="G207" s="28">
        <f>IF(C207="","",COUNTIFS(tbl_Finance[Job Number],C207&amp;"",tbl_Finance[Ex GST],"&lt;&gt;"))</f>
        <v/>
      </c>
      <c r="H207" s="27">
        <f>IF(C207="","",SUMIFS(tbl_Finance[Ex GST],tbl_Finance[Job Number],C207&amp;""))</f>
        <v/>
      </c>
      <c r="I207" s="27">
        <f>IF(C207="","",SUMIFS(tbl_Finance[Ex GST],tbl_Finance[Job Number],C207&amp;"",tbl_Finance[Xero Invoice No],"&lt;&gt;"))</f>
        <v/>
      </c>
      <c r="J207" s="27">
        <f>IF(C207="","",H207-I207)</f>
        <v/>
      </c>
      <c r="K207" s="25">
        <f>IF(C207="","",IF(G207=0,"not invoiced yet",SUBSTITUTE(TRIM(IF(COUNTIFS(tbl_Finance[Job Number],C207&amp;"",tbl_Finance[Cost Centre],"ONSITE")&gt;0,"ONSITE ","")&amp;IF(COUNTIFS(tbl_Finance[Job Number],C207&amp;"",tbl_Finance[Cost Centre],"PRODUCTION")&gt;0,"PRODUCTION ","")&amp;IF(COUNTIFS(tbl_Finance[Job Number],C207&amp;"",tbl_Finance[Cost Centre],"VIDEO")&gt;0,"VIDEO ","")&amp;IF(COUNTIFS(tbl_Finance[Job Number],C207&amp;"",tbl_Finance[Cost Centre],"INTEGRATION")&gt;0,"INTEGRATION ","")&amp;IF(COUNTIFS(tbl_Finance[Job Number],C207&amp;"",tbl_Finance[Cost Centre],"CONSULTING")&gt;0,"CONSULTING ","")&amp;IF(COUNTIFS(tbl_Finance[Job Number],C207&amp;"",tbl_Finance[Cost Centre],"CTS")&gt;0,"CTS ",""))," ",", ")))</f>
        <v/>
      </c>
      <c r="L207" s="22" t="n"/>
      <c r="M207" s="24" t="n"/>
      <c r="N207" s="25">
        <f>IF(M207="","",IF(AND(LEFT(M207,4)&lt;&gt;"http",set_RMSBase=""),"",HYPERLINK(IF(LEFT(M207,4)="http",M207,set_RMSBase&amp;M207),"Open opportunity")))</f>
        <v/>
      </c>
      <c r="O207" s="25">
        <f>IF(C207="","",C207)</f>
        <v/>
      </c>
      <c r="P207" s="24" t="n"/>
      <c r="Q207" s="26" t="n"/>
      <c r="R207" s="27">
        <f>IF(C207="","",H207+N(Q207))</f>
        <v/>
      </c>
      <c r="S207" s="29">
        <f>IFERROR(Q207/R207,"")</f>
        <v/>
      </c>
      <c r="T207" s="26" t="n"/>
      <c r="U207" s="26" t="n"/>
      <c r="V207" s="27">
        <f>IF(C207="","",N(T207)+N(U207))</f>
        <v/>
      </c>
      <c r="W207" s="27">
        <f>IF(C207="","",H207-V207)</f>
        <v/>
      </c>
      <c r="X207" s="29">
        <f>IFERROR(W207/H207,"")</f>
        <v/>
      </c>
      <c r="Y207" s="64" t="n"/>
      <c r="Z207" s="64" t="n"/>
      <c r="AA207" s="64" t="n"/>
      <c r="AB207" s="64" t="n"/>
      <c r="AC207" s="64" t="n"/>
      <c r="AD207" s="24" t="n"/>
    </row>
    <row r="208" ht="15" customHeight="1">
      <c r="A208" s="63">
        <f>IF(C208="","",IFERROR(IF(SUMPRODUCT(MAX((tbl_Finance[Job Number]=C208&amp;"")*(tbl_Finance[Xero Invoice No]&lt;&gt;"")*tbl_Finance[Date]))=0,"",SUMPRODUCT(MAX((tbl_Finance[Job Number]=C208&amp;"")*(tbl_Finance[Xero Invoice No]&lt;&gt;"")*tbl_Finance[Date]))),""))</f>
        <v/>
      </c>
      <c r="B208" s="25">
        <f>IF(C208="","",IF(COUNTIFS(tbl_Finance[Job Number],C208&amp;"",tbl_Finance[Xero Invoice No],"&lt;&gt;")=0,"",IFERROR(IF(COUNTIFS(tbl_Finance[Job Number],C208&amp;"",tbl_Finance[Xero Invoice No],LOOKUP(2,1/((tbl_Finance[Job Number]=C208&amp;"")*(tbl_Finance[Xero Invoice No]&lt;&gt;"")),tbl_Finance[Xero Invoice No]))=COUNTIFS(tbl_Finance[Job Number],C208&amp;"",tbl_Finance[Xero Invoice No],"&lt;&gt;"),LOOKUP(2,1/((tbl_Finance[Job Number]=C208&amp;"")*(tbl_Finance[Xero Invoice No]&lt;&gt;"")),tbl_Finance[Xero Invoice No]),LOOKUP(2,1/((tbl_Finance[Job Number]=C208&amp;"")*(tbl_Finance[Xero Invoice No]&lt;&gt;"")),tbl_Finance[Xero Invoice No])&amp;" +more"),"")))</f>
        <v/>
      </c>
      <c r="C208" s="24" t="n"/>
      <c r="D208" s="25">
        <f>IF(C208="","",IF(COUNTIF(lst_Jobs,C208&amp;"")&gt;0,"OK","CHECK"))</f>
        <v/>
      </c>
      <c r="E208" s="25">
        <f>IF(C208="","",IFERROR(INDEX(lst_JobName,MATCH(C208&amp;"",lst_Jobs,0)),""))</f>
        <v/>
      </c>
      <c r="F208" s="25">
        <f>IF(C208="","",IFERROR(INDEX(tbl_Finance[Client],MATCH(C208&amp;"",tbl_Finance[Job Number],0)),""))</f>
        <v/>
      </c>
      <c r="G208" s="28">
        <f>IF(C208="","",COUNTIFS(tbl_Finance[Job Number],C208&amp;"",tbl_Finance[Ex GST],"&lt;&gt;"))</f>
        <v/>
      </c>
      <c r="H208" s="27">
        <f>IF(C208="","",SUMIFS(tbl_Finance[Ex GST],tbl_Finance[Job Number],C208&amp;""))</f>
        <v/>
      </c>
      <c r="I208" s="27">
        <f>IF(C208="","",SUMIFS(tbl_Finance[Ex GST],tbl_Finance[Job Number],C208&amp;"",tbl_Finance[Xero Invoice No],"&lt;&gt;"))</f>
        <v/>
      </c>
      <c r="J208" s="27">
        <f>IF(C208="","",H208-I208)</f>
        <v/>
      </c>
      <c r="K208" s="25">
        <f>IF(C208="","",IF(G208=0,"not invoiced yet",SUBSTITUTE(TRIM(IF(COUNTIFS(tbl_Finance[Job Number],C208&amp;"",tbl_Finance[Cost Centre],"ONSITE")&gt;0,"ONSITE ","")&amp;IF(COUNTIFS(tbl_Finance[Job Number],C208&amp;"",tbl_Finance[Cost Centre],"PRODUCTION")&gt;0,"PRODUCTION ","")&amp;IF(COUNTIFS(tbl_Finance[Job Number],C208&amp;"",tbl_Finance[Cost Centre],"VIDEO")&gt;0,"VIDEO ","")&amp;IF(COUNTIFS(tbl_Finance[Job Number],C208&amp;"",tbl_Finance[Cost Centre],"INTEGRATION")&gt;0,"INTEGRATION ","")&amp;IF(COUNTIFS(tbl_Finance[Job Number],C208&amp;"",tbl_Finance[Cost Centre],"CONSULTING")&gt;0,"CONSULTING ","")&amp;IF(COUNTIFS(tbl_Finance[Job Number],C208&amp;"",tbl_Finance[Cost Centre],"CTS")&gt;0,"CTS ",""))," ",", ")))</f>
        <v/>
      </c>
      <c r="L208" s="22" t="n"/>
      <c r="M208" s="24" t="n"/>
      <c r="N208" s="25">
        <f>IF(M208="","",IF(AND(LEFT(M208,4)&lt;&gt;"http",set_RMSBase=""),"",HYPERLINK(IF(LEFT(M208,4)="http",M208,set_RMSBase&amp;M208),"Open opportunity")))</f>
        <v/>
      </c>
      <c r="O208" s="25">
        <f>IF(C208="","",C208)</f>
        <v/>
      </c>
      <c r="P208" s="24" t="n"/>
      <c r="Q208" s="26" t="n"/>
      <c r="R208" s="27">
        <f>IF(C208="","",H208+N(Q208))</f>
        <v/>
      </c>
      <c r="S208" s="29">
        <f>IFERROR(Q208/R208,"")</f>
        <v/>
      </c>
      <c r="T208" s="26" t="n"/>
      <c r="U208" s="26" t="n"/>
      <c r="V208" s="27">
        <f>IF(C208="","",N(T208)+N(U208))</f>
        <v/>
      </c>
      <c r="W208" s="27">
        <f>IF(C208="","",H208-V208)</f>
        <v/>
      </c>
      <c r="X208" s="29">
        <f>IFERROR(W208/H208,"")</f>
        <v/>
      </c>
      <c r="Y208" s="64" t="n"/>
      <c r="Z208" s="64" t="n"/>
      <c r="AA208" s="64" t="n"/>
      <c r="AB208" s="64" t="n"/>
      <c r="AC208" s="64" t="n"/>
      <c r="AD208" s="24" t="n"/>
    </row>
    <row r="209" ht="15" customHeight="1">
      <c r="A209" s="63">
        <f>IF(C209="","",IFERROR(IF(SUMPRODUCT(MAX((tbl_Finance[Job Number]=C209&amp;"")*(tbl_Finance[Xero Invoice No]&lt;&gt;"")*tbl_Finance[Date]))=0,"",SUMPRODUCT(MAX((tbl_Finance[Job Number]=C209&amp;"")*(tbl_Finance[Xero Invoice No]&lt;&gt;"")*tbl_Finance[Date]))),""))</f>
        <v/>
      </c>
      <c r="B209" s="25">
        <f>IF(C209="","",IF(COUNTIFS(tbl_Finance[Job Number],C209&amp;"",tbl_Finance[Xero Invoice No],"&lt;&gt;")=0,"",IFERROR(IF(COUNTIFS(tbl_Finance[Job Number],C209&amp;"",tbl_Finance[Xero Invoice No],LOOKUP(2,1/((tbl_Finance[Job Number]=C209&amp;"")*(tbl_Finance[Xero Invoice No]&lt;&gt;"")),tbl_Finance[Xero Invoice No]))=COUNTIFS(tbl_Finance[Job Number],C209&amp;"",tbl_Finance[Xero Invoice No],"&lt;&gt;"),LOOKUP(2,1/((tbl_Finance[Job Number]=C209&amp;"")*(tbl_Finance[Xero Invoice No]&lt;&gt;"")),tbl_Finance[Xero Invoice No]),LOOKUP(2,1/((tbl_Finance[Job Number]=C209&amp;"")*(tbl_Finance[Xero Invoice No]&lt;&gt;"")),tbl_Finance[Xero Invoice No])&amp;" +more"),"")))</f>
        <v/>
      </c>
      <c r="C209" s="24" t="n"/>
      <c r="D209" s="25">
        <f>IF(C209="","",IF(COUNTIF(lst_Jobs,C209&amp;"")&gt;0,"OK","CHECK"))</f>
        <v/>
      </c>
      <c r="E209" s="25">
        <f>IF(C209="","",IFERROR(INDEX(lst_JobName,MATCH(C209&amp;"",lst_Jobs,0)),""))</f>
        <v/>
      </c>
      <c r="F209" s="25">
        <f>IF(C209="","",IFERROR(INDEX(tbl_Finance[Client],MATCH(C209&amp;"",tbl_Finance[Job Number],0)),""))</f>
        <v/>
      </c>
      <c r="G209" s="28">
        <f>IF(C209="","",COUNTIFS(tbl_Finance[Job Number],C209&amp;"",tbl_Finance[Ex GST],"&lt;&gt;"))</f>
        <v/>
      </c>
      <c r="H209" s="27">
        <f>IF(C209="","",SUMIFS(tbl_Finance[Ex GST],tbl_Finance[Job Number],C209&amp;""))</f>
        <v/>
      </c>
      <c r="I209" s="27">
        <f>IF(C209="","",SUMIFS(tbl_Finance[Ex GST],tbl_Finance[Job Number],C209&amp;"",tbl_Finance[Xero Invoice No],"&lt;&gt;"))</f>
        <v/>
      </c>
      <c r="J209" s="27">
        <f>IF(C209="","",H209-I209)</f>
        <v/>
      </c>
      <c r="K209" s="25">
        <f>IF(C209="","",IF(G209=0,"not invoiced yet",SUBSTITUTE(TRIM(IF(COUNTIFS(tbl_Finance[Job Number],C209&amp;"",tbl_Finance[Cost Centre],"ONSITE")&gt;0,"ONSITE ","")&amp;IF(COUNTIFS(tbl_Finance[Job Number],C209&amp;"",tbl_Finance[Cost Centre],"PRODUCTION")&gt;0,"PRODUCTION ","")&amp;IF(COUNTIFS(tbl_Finance[Job Number],C209&amp;"",tbl_Finance[Cost Centre],"VIDEO")&gt;0,"VIDEO ","")&amp;IF(COUNTIFS(tbl_Finance[Job Number],C209&amp;"",tbl_Finance[Cost Centre],"INTEGRATION")&gt;0,"INTEGRATION ","")&amp;IF(COUNTIFS(tbl_Finance[Job Number],C209&amp;"",tbl_Finance[Cost Centre],"CONSULTING")&gt;0,"CONSULTING ","")&amp;IF(COUNTIFS(tbl_Finance[Job Number],C209&amp;"",tbl_Finance[Cost Centre],"CTS")&gt;0,"CTS ",""))," ",", ")))</f>
        <v/>
      </c>
      <c r="L209" s="22" t="n"/>
      <c r="M209" s="24" t="n"/>
      <c r="N209" s="25">
        <f>IF(M209="","",IF(AND(LEFT(M209,4)&lt;&gt;"http",set_RMSBase=""),"",HYPERLINK(IF(LEFT(M209,4)="http",M209,set_RMSBase&amp;M209),"Open opportunity")))</f>
        <v/>
      </c>
      <c r="O209" s="25">
        <f>IF(C209="","",C209)</f>
        <v/>
      </c>
      <c r="P209" s="24" t="n"/>
      <c r="Q209" s="26" t="n"/>
      <c r="R209" s="27">
        <f>IF(C209="","",H209+N(Q209))</f>
        <v/>
      </c>
      <c r="S209" s="29">
        <f>IFERROR(Q209/R209,"")</f>
        <v/>
      </c>
      <c r="T209" s="26" t="n"/>
      <c r="U209" s="26" t="n"/>
      <c r="V209" s="27">
        <f>IF(C209="","",N(T209)+N(U209))</f>
        <v/>
      </c>
      <c r="W209" s="27">
        <f>IF(C209="","",H209-V209)</f>
        <v/>
      </c>
      <c r="X209" s="29">
        <f>IFERROR(W209/H209,"")</f>
        <v/>
      </c>
      <c r="Y209" s="64" t="n"/>
      <c r="Z209" s="64" t="n"/>
      <c r="AA209" s="64" t="n"/>
      <c r="AB209" s="64" t="n"/>
      <c r="AC209" s="64" t="n"/>
      <c r="AD209" s="24" t="n"/>
    </row>
    <row r="210" ht="15" customHeight="1">
      <c r="A210" s="63">
        <f>IF(C210="","",IFERROR(IF(SUMPRODUCT(MAX((tbl_Finance[Job Number]=C210&amp;"")*(tbl_Finance[Xero Invoice No]&lt;&gt;"")*tbl_Finance[Date]))=0,"",SUMPRODUCT(MAX((tbl_Finance[Job Number]=C210&amp;"")*(tbl_Finance[Xero Invoice No]&lt;&gt;"")*tbl_Finance[Date]))),""))</f>
        <v/>
      </c>
      <c r="B210" s="25">
        <f>IF(C210="","",IF(COUNTIFS(tbl_Finance[Job Number],C210&amp;"",tbl_Finance[Xero Invoice No],"&lt;&gt;")=0,"",IFERROR(IF(COUNTIFS(tbl_Finance[Job Number],C210&amp;"",tbl_Finance[Xero Invoice No],LOOKUP(2,1/((tbl_Finance[Job Number]=C210&amp;"")*(tbl_Finance[Xero Invoice No]&lt;&gt;"")),tbl_Finance[Xero Invoice No]))=COUNTIFS(tbl_Finance[Job Number],C210&amp;"",tbl_Finance[Xero Invoice No],"&lt;&gt;"),LOOKUP(2,1/((tbl_Finance[Job Number]=C210&amp;"")*(tbl_Finance[Xero Invoice No]&lt;&gt;"")),tbl_Finance[Xero Invoice No]),LOOKUP(2,1/((tbl_Finance[Job Number]=C210&amp;"")*(tbl_Finance[Xero Invoice No]&lt;&gt;"")),tbl_Finance[Xero Invoice No])&amp;" +more"),"")))</f>
        <v/>
      </c>
      <c r="C210" s="24" t="n"/>
      <c r="D210" s="25">
        <f>IF(C210="","",IF(COUNTIF(lst_Jobs,C210&amp;"")&gt;0,"OK","CHECK"))</f>
        <v/>
      </c>
      <c r="E210" s="25">
        <f>IF(C210="","",IFERROR(INDEX(lst_JobName,MATCH(C210&amp;"",lst_Jobs,0)),""))</f>
        <v/>
      </c>
      <c r="F210" s="25">
        <f>IF(C210="","",IFERROR(INDEX(tbl_Finance[Client],MATCH(C210&amp;"",tbl_Finance[Job Number],0)),""))</f>
        <v/>
      </c>
      <c r="G210" s="28">
        <f>IF(C210="","",COUNTIFS(tbl_Finance[Job Number],C210&amp;"",tbl_Finance[Ex GST],"&lt;&gt;"))</f>
        <v/>
      </c>
      <c r="H210" s="27">
        <f>IF(C210="","",SUMIFS(tbl_Finance[Ex GST],tbl_Finance[Job Number],C210&amp;""))</f>
        <v/>
      </c>
      <c r="I210" s="27">
        <f>IF(C210="","",SUMIFS(tbl_Finance[Ex GST],tbl_Finance[Job Number],C210&amp;"",tbl_Finance[Xero Invoice No],"&lt;&gt;"))</f>
        <v/>
      </c>
      <c r="J210" s="27">
        <f>IF(C210="","",H210-I210)</f>
        <v/>
      </c>
      <c r="K210" s="25">
        <f>IF(C210="","",IF(G210=0,"not invoiced yet",SUBSTITUTE(TRIM(IF(COUNTIFS(tbl_Finance[Job Number],C210&amp;"",tbl_Finance[Cost Centre],"ONSITE")&gt;0,"ONSITE ","")&amp;IF(COUNTIFS(tbl_Finance[Job Number],C210&amp;"",tbl_Finance[Cost Centre],"PRODUCTION")&gt;0,"PRODUCTION ","")&amp;IF(COUNTIFS(tbl_Finance[Job Number],C210&amp;"",tbl_Finance[Cost Centre],"VIDEO")&gt;0,"VIDEO ","")&amp;IF(COUNTIFS(tbl_Finance[Job Number],C210&amp;"",tbl_Finance[Cost Centre],"INTEGRATION")&gt;0,"INTEGRATION ","")&amp;IF(COUNTIFS(tbl_Finance[Job Number],C210&amp;"",tbl_Finance[Cost Centre],"CONSULTING")&gt;0,"CONSULTING ","")&amp;IF(COUNTIFS(tbl_Finance[Job Number],C210&amp;"",tbl_Finance[Cost Centre],"CTS")&gt;0,"CTS ",""))," ",", ")))</f>
        <v/>
      </c>
      <c r="L210" s="22" t="n"/>
      <c r="M210" s="24" t="n"/>
      <c r="N210" s="25">
        <f>IF(M210="","",IF(AND(LEFT(M210,4)&lt;&gt;"http",set_RMSBase=""),"",HYPERLINK(IF(LEFT(M210,4)="http",M210,set_RMSBase&amp;M210),"Open opportunity")))</f>
        <v/>
      </c>
      <c r="O210" s="25">
        <f>IF(C210="","",C210)</f>
        <v/>
      </c>
      <c r="P210" s="24" t="n"/>
      <c r="Q210" s="26" t="n"/>
      <c r="R210" s="27">
        <f>IF(C210="","",H210+N(Q210))</f>
        <v/>
      </c>
      <c r="S210" s="29">
        <f>IFERROR(Q210/R210,"")</f>
        <v/>
      </c>
      <c r="T210" s="26" t="n"/>
      <c r="U210" s="26" t="n"/>
      <c r="V210" s="27">
        <f>IF(C210="","",N(T210)+N(U210))</f>
        <v/>
      </c>
      <c r="W210" s="27">
        <f>IF(C210="","",H210-V210)</f>
        <v/>
      </c>
      <c r="X210" s="29">
        <f>IFERROR(W210/H210,"")</f>
        <v/>
      </c>
      <c r="Y210" s="64" t="n"/>
      <c r="Z210" s="64" t="n"/>
      <c r="AA210" s="64" t="n"/>
      <c r="AB210" s="64" t="n"/>
      <c r="AC210" s="64" t="n"/>
      <c r="AD210" s="24" t="n"/>
    </row>
    <row r="211" ht="15" customHeight="1">
      <c r="A211" s="63">
        <f>IF(C211="","",IFERROR(IF(SUMPRODUCT(MAX((tbl_Finance[Job Number]=C211&amp;"")*(tbl_Finance[Xero Invoice No]&lt;&gt;"")*tbl_Finance[Date]))=0,"",SUMPRODUCT(MAX((tbl_Finance[Job Number]=C211&amp;"")*(tbl_Finance[Xero Invoice No]&lt;&gt;"")*tbl_Finance[Date]))),""))</f>
        <v/>
      </c>
      <c r="B211" s="25">
        <f>IF(C211="","",IF(COUNTIFS(tbl_Finance[Job Number],C211&amp;"",tbl_Finance[Xero Invoice No],"&lt;&gt;")=0,"",IFERROR(IF(COUNTIFS(tbl_Finance[Job Number],C211&amp;"",tbl_Finance[Xero Invoice No],LOOKUP(2,1/((tbl_Finance[Job Number]=C211&amp;"")*(tbl_Finance[Xero Invoice No]&lt;&gt;"")),tbl_Finance[Xero Invoice No]))=COUNTIFS(tbl_Finance[Job Number],C211&amp;"",tbl_Finance[Xero Invoice No],"&lt;&gt;"),LOOKUP(2,1/((tbl_Finance[Job Number]=C211&amp;"")*(tbl_Finance[Xero Invoice No]&lt;&gt;"")),tbl_Finance[Xero Invoice No]),LOOKUP(2,1/((tbl_Finance[Job Number]=C211&amp;"")*(tbl_Finance[Xero Invoice No]&lt;&gt;"")),tbl_Finance[Xero Invoice No])&amp;" +more"),"")))</f>
        <v/>
      </c>
      <c r="C211" s="24" t="n"/>
      <c r="D211" s="25">
        <f>IF(C211="","",IF(COUNTIF(lst_Jobs,C211&amp;"")&gt;0,"OK","CHECK"))</f>
        <v/>
      </c>
      <c r="E211" s="25">
        <f>IF(C211="","",IFERROR(INDEX(lst_JobName,MATCH(C211&amp;"",lst_Jobs,0)),""))</f>
        <v/>
      </c>
      <c r="F211" s="25">
        <f>IF(C211="","",IFERROR(INDEX(tbl_Finance[Client],MATCH(C211&amp;"",tbl_Finance[Job Number],0)),""))</f>
        <v/>
      </c>
      <c r="G211" s="28">
        <f>IF(C211="","",COUNTIFS(tbl_Finance[Job Number],C211&amp;"",tbl_Finance[Ex GST],"&lt;&gt;"))</f>
        <v/>
      </c>
      <c r="H211" s="27">
        <f>IF(C211="","",SUMIFS(tbl_Finance[Ex GST],tbl_Finance[Job Number],C211&amp;""))</f>
        <v/>
      </c>
      <c r="I211" s="27">
        <f>IF(C211="","",SUMIFS(tbl_Finance[Ex GST],tbl_Finance[Job Number],C211&amp;"",tbl_Finance[Xero Invoice No],"&lt;&gt;"))</f>
        <v/>
      </c>
      <c r="J211" s="27">
        <f>IF(C211="","",H211-I211)</f>
        <v/>
      </c>
      <c r="K211" s="25">
        <f>IF(C211="","",IF(G211=0,"not invoiced yet",SUBSTITUTE(TRIM(IF(COUNTIFS(tbl_Finance[Job Number],C211&amp;"",tbl_Finance[Cost Centre],"ONSITE")&gt;0,"ONSITE ","")&amp;IF(COUNTIFS(tbl_Finance[Job Number],C211&amp;"",tbl_Finance[Cost Centre],"PRODUCTION")&gt;0,"PRODUCTION ","")&amp;IF(COUNTIFS(tbl_Finance[Job Number],C211&amp;"",tbl_Finance[Cost Centre],"VIDEO")&gt;0,"VIDEO ","")&amp;IF(COUNTIFS(tbl_Finance[Job Number],C211&amp;"",tbl_Finance[Cost Centre],"INTEGRATION")&gt;0,"INTEGRATION ","")&amp;IF(COUNTIFS(tbl_Finance[Job Number],C211&amp;"",tbl_Finance[Cost Centre],"CONSULTING")&gt;0,"CONSULTING ","")&amp;IF(COUNTIFS(tbl_Finance[Job Number],C211&amp;"",tbl_Finance[Cost Centre],"CTS")&gt;0,"CTS ",""))," ",", ")))</f>
        <v/>
      </c>
      <c r="L211" s="22" t="n"/>
      <c r="M211" s="24" t="n"/>
      <c r="N211" s="25">
        <f>IF(M211="","",IF(AND(LEFT(M211,4)&lt;&gt;"http",set_RMSBase=""),"",HYPERLINK(IF(LEFT(M211,4)="http",M211,set_RMSBase&amp;M211),"Open opportunity")))</f>
        <v/>
      </c>
      <c r="O211" s="25">
        <f>IF(C211="","",C211)</f>
        <v/>
      </c>
      <c r="P211" s="24" t="n"/>
      <c r="Q211" s="26" t="n"/>
      <c r="R211" s="27">
        <f>IF(C211="","",H211+N(Q211))</f>
        <v/>
      </c>
      <c r="S211" s="29">
        <f>IFERROR(Q211/R211,"")</f>
        <v/>
      </c>
      <c r="T211" s="26" t="n"/>
      <c r="U211" s="26" t="n"/>
      <c r="V211" s="27">
        <f>IF(C211="","",N(T211)+N(U211))</f>
        <v/>
      </c>
      <c r="W211" s="27">
        <f>IF(C211="","",H211-V211)</f>
        <v/>
      </c>
      <c r="X211" s="29">
        <f>IFERROR(W211/H211,"")</f>
        <v/>
      </c>
      <c r="Y211" s="64" t="n"/>
      <c r="Z211" s="64" t="n"/>
      <c r="AA211" s="64" t="n"/>
      <c r="AB211" s="64" t="n"/>
      <c r="AC211" s="64" t="n"/>
      <c r="AD211" s="24" t="n"/>
    </row>
    <row r="212" ht="15" customHeight="1">
      <c r="A212" s="63">
        <f>IF(C212="","",IFERROR(IF(SUMPRODUCT(MAX((tbl_Finance[Job Number]=C212&amp;"")*(tbl_Finance[Xero Invoice No]&lt;&gt;"")*tbl_Finance[Date]))=0,"",SUMPRODUCT(MAX((tbl_Finance[Job Number]=C212&amp;"")*(tbl_Finance[Xero Invoice No]&lt;&gt;"")*tbl_Finance[Date]))),""))</f>
        <v/>
      </c>
      <c r="B212" s="25">
        <f>IF(C212="","",IF(COUNTIFS(tbl_Finance[Job Number],C212&amp;"",tbl_Finance[Xero Invoice No],"&lt;&gt;")=0,"",IFERROR(IF(COUNTIFS(tbl_Finance[Job Number],C212&amp;"",tbl_Finance[Xero Invoice No],LOOKUP(2,1/((tbl_Finance[Job Number]=C212&amp;"")*(tbl_Finance[Xero Invoice No]&lt;&gt;"")),tbl_Finance[Xero Invoice No]))=COUNTIFS(tbl_Finance[Job Number],C212&amp;"",tbl_Finance[Xero Invoice No],"&lt;&gt;"),LOOKUP(2,1/((tbl_Finance[Job Number]=C212&amp;"")*(tbl_Finance[Xero Invoice No]&lt;&gt;"")),tbl_Finance[Xero Invoice No]),LOOKUP(2,1/((tbl_Finance[Job Number]=C212&amp;"")*(tbl_Finance[Xero Invoice No]&lt;&gt;"")),tbl_Finance[Xero Invoice No])&amp;" +more"),"")))</f>
        <v/>
      </c>
      <c r="C212" s="24" t="n"/>
      <c r="D212" s="25">
        <f>IF(C212="","",IF(COUNTIF(lst_Jobs,C212&amp;"")&gt;0,"OK","CHECK"))</f>
        <v/>
      </c>
      <c r="E212" s="25">
        <f>IF(C212="","",IFERROR(INDEX(lst_JobName,MATCH(C212&amp;"",lst_Jobs,0)),""))</f>
        <v/>
      </c>
      <c r="F212" s="25">
        <f>IF(C212="","",IFERROR(INDEX(tbl_Finance[Client],MATCH(C212&amp;"",tbl_Finance[Job Number],0)),""))</f>
        <v/>
      </c>
      <c r="G212" s="28">
        <f>IF(C212="","",COUNTIFS(tbl_Finance[Job Number],C212&amp;"",tbl_Finance[Ex GST],"&lt;&gt;"))</f>
        <v/>
      </c>
      <c r="H212" s="27">
        <f>IF(C212="","",SUMIFS(tbl_Finance[Ex GST],tbl_Finance[Job Number],C212&amp;""))</f>
        <v/>
      </c>
      <c r="I212" s="27">
        <f>IF(C212="","",SUMIFS(tbl_Finance[Ex GST],tbl_Finance[Job Number],C212&amp;"",tbl_Finance[Xero Invoice No],"&lt;&gt;"))</f>
        <v/>
      </c>
      <c r="J212" s="27">
        <f>IF(C212="","",H212-I212)</f>
        <v/>
      </c>
      <c r="K212" s="25">
        <f>IF(C212="","",IF(G212=0,"not invoiced yet",SUBSTITUTE(TRIM(IF(COUNTIFS(tbl_Finance[Job Number],C212&amp;"",tbl_Finance[Cost Centre],"ONSITE")&gt;0,"ONSITE ","")&amp;IF(COUNTIFS(tbl_Finance[Job Number],C212&amp;"",tbl_Finance[Cost Centre],"PRODUCTION")&gt;0,"PRODUCTION ","")&amp;IF(COUNTIFS(tbl_Finance[Job Number],C212&amp;"",tbl_Finance[Cost Centre],"VIDEO")&gt;0,"VIDEO ","")&amp;IF(COUNTIFS(tbl_Finance[Job Number],C212&amp;"",tbl_Finance[Cost Centre],"INTEGRATION")&gt;0,"INTEGRATION ","")&amp;IF(COUNTIFS(tbl_Finance[Job Number],C212&amp;"",tbl_Finance[Cost Centre],"CONSULTING")&gt;0,"CONSULTING ","")&amp;IF(COUNTIFS(tbl_Finance[Job Number],C212&amp;"",tbl_Finance[Cost Centre],"CTS")&gt;0,"CTS ",""))," ",", ")))</f>
        <v/>
      </c>
      <c r="L212" s="22" t="n"/>
      <c r="M212" s="24" t="n"/>
      <c r="N212" s="25">
        <f>IF(M212="","",IF(AND(LEFT(M212,4)&lt;&gt;"http",set_RMSBase=""),"",HYPERLINK(IF(LEFT(M212,4)="http",M212,set_RMSBase&amp;M212),"Open opportunity")))</f>
        <v/>
      </c>
      <c r="O212" s="25">
        <f>IF(C212="","",C212)</f>
        <v/>
      </c>
      <c r="P212" s="24" t="n"/>
      <c r="Q212" s="26" t="n"/>
      <c r="R212" s="27">
        <f>IF(C212="","",H212+N(Q212))</f>
        <v/>
      </c>
      <c r="S212" s="29">
        <f>IFERROR(Q212/R212,"")</f>
        <v/>
      </c>
      <c r="T212" s="26" t="n"/>
      <c r="U212" s="26" t="n"/>
      <c r="V212" s="27">
        <f>IF(C212="","",N(T212)+N(U212))</f>
        <v/>
      </c>
      <c r="W212" s="27">
        <f>IF(C212="","",H212-V212)</f>
        <v/>
      </c>
      <c r="X212" s="29">
        <f>IFERROR(W212/H212,"")</f>
        <v/>
      </c>
      <c r="Y212" s="64" t="n"/>
      <c r="Z212" s="64" t="n"/>
      <c r="AA212" s="64" t="n"/>
      <c r="AB212" s="64" t="n"/>
      <c r="AC212" s="64" t="n"/>
      <c r="AD212" s="24" t="n"/>
    </row>
    <row r="213" ht="15" customHeight="1">
      <c r="A213" s="63">
        <f>IF(C213="","",IFERROR(IF(SUMPRODUCT(MAX((tbl_Finance[Job Number]=C213&amp;"")*(tbl_Finance[Xero Invoice No]&lt;&gt;"")*tbl_Finance[Date]))=0,"",SUMPRODUCT(MAX((tbl_Finance[Job Number]=C213&amp;"")*(tbl_Finance[Xero Invoice No]&lt;&gt;"")*tbl_Finance[Date]))),""))</f>
        <v/>
      </c>
      <c r="B213" s="25">
        <f>IF(C213="","",IF(COUNTIFS(tbl_Finance[Job Number],C213&amp;"",tbl_Finance[Xero Invoice No],"&lt;&gt;")=0,"",IFERROR(IF(COUNTIFS(tbl_Finance[Job Number],C213&amp;"",tbl_Finance[Xero Invoice No],LOOKUP(2,1/((tbl_Finance[Job Number]=C213&amp;"")*(tbl_Finance[Xero Invoice No]&lt;&gt;"")),tbl_Finance[Xero Invoice No]))=COUNTIFS(tbl_Finance[Job Number],C213&amp;"",tbl_Finance[Xero Invoice No],"&lt;&gt;"),LOOKUP(2,1/((tbl_Finance[Job Number]=C213&amp;"")*(tbl_Finance[Xero Invoice No]&lt;&gt;"")),tbl_Finance[Xero Invoice No]),LOOKUP(2,1/((tbl_Finance[Job Number]=C213&amp;"")*(tbl_Finance[Xero Invoice No]&lt;&gt;"")),tbl_Finance[Xero Invoice No])&amp;" +more"),"")))</f>
        <v/>
      </c>
      <c r="C213" s="24" t="n"/>
      <c r="D213" s="25">
        <f>IF(C213="","",IF(COUNTIF(lst_Jobs,C213&amp;"")&gt;0,"OK","CHECK"))</f>
        <v/>
      </c>
      <c r="E213" s="25">
        <f>IF(C213="","",IFERROR(INDEX(lst_JobName,MATCH(C213&amp;"",lst_Jobs,0)),""))</f>
        <v/>
      </c>
      <c r="F213" s="25">
        <f>IF(C213="","",IFERROR(INDEX(tbl_Finance[Client],MATCH(C213&amp;"",tbl_Finance[Job Number],0)),""))</f>
        <v/>
      </c>
      <c r="G213" s="28">
        <f>IF(C213="","",COUNTIFS(tbl_Finance[Job Number],C213&amp;"",tbl_Finance[Ex GST],"&lt;&gt;"))</f>
        <v/>
      </c>
      <c r="H213" s="27">
        <f>IF(C213="","",SUMIFS(tbl_Finance[Ex GST],tbl_Finance[Job Number],C213&amp;""))</f>
        <v/>
      </c>
      <c r="I213" s="27">
        <f>IF(C213="","",SUMIFS(tbl_Finance[Ex GST],tbl_Finance[Job Number],C213&amp;"",tbl_Finance[Xero Invoice No],"&lt;&gt;"))</f>
        <v/>
      </c>
      <c r="J213" s="27">
        <f>IF(C213="","",H213-I213)</f>
        <v/>
      </c>
      <c r="K213" s="25">
        <f>IF(C213="","",IF(G213=0,"not invoiced yet",SUBSTITUTE(TRIM(IF(COUNTIFS(tbl_Finance[Job Number],C213&amp;"",tbl_Finance[Cost Centre],"ONSITE")&gt;0,"ONSITE ","")&amp;IF(COUNTIFS(tbl_Finance[Job Number],C213&amp;"",tbl_Finance[Cost Centre],"PRODUCTION")&gt;0,"PRODUCTION ","")&amp;IF(COUNTIFS(tbl_Finance[Job Number],C213&amp;"",tbl_Finance[Cost Centre],"VIDEO")&gt;0,"VIDEO ","")&amp;IF(COUNTIFS(tbl_Finance[Job Number],C213&amp;"",tbl_Finance[Cost Centre],"INTEGRATION")&gt;0,"INTEGRATION ","")&amp;IF(COUNTIFS(tbl_Finance[Job Number],C213&amp;"",tbl_Finance[Cost Centre],"CONSULTING")&gt;0,"CONSULTING ","")&amp;IF(COUNTIFS(tbl_Finance[Job Number],C213&amp;"",tbl_Finance[Cost Centre],"CTS")&gt;0,"CTS ",""))," ",", ")))</f>
        <v/>
      </c>
      <c r="L213" s="22" t="n"/>
      <c r="M213" s="24" t="n"/>
      <c r="N213" s="25">
        <f>IF(M213="","",IF(AND(LEFT(M213,4)&lt;&gt;"http",set_RMSBase=""),"",HYPERLINK(IF(LEFT(M213,4)="http",M213,set_RMSBase&amp;M213),"Open opportunity")))</f>
        <v/>
      </c>
      <c r="O213" s="25">
        <f>IF(C213="","",C213)</f>
        <v/>
      </c>
      <c r="P213" s="24" t="n"/>
      <c r="Q213" s="26" t="n"/>
      <c r="R213" s="27">
        <f>IF(C213="","",H213+N(Q213))</f>
        <v/>
      </c>
      <c r="S213" s="29">
        <f>IFERROR(Q213/R213,"")</f>
        <v/>
      </c>
      <c r="T213" s="26" t="n"/>
      <c r="U213" s="26" t="n"/>
      <c r="V213" s="27">
        <f>IF(C213="","",N(T213)+N(U213))</f>
        <v/>
      </c>
      <c r="W213" s="27">
        <f>IF(C213="","",H213-V213)</f>
        <v/>
      </c>
      <c r="X213" s="29">
        <f>IFERROR(W213/H213,"")</f>
        <v/>
      </c>
      <c r="Y213" s="64" t="n"/>
      <c r="Z213" s="64" t="n"/>
      <c r="AA213" s="64" t="n"/>
      <c r="AB213" s="64" t="n"/>
      <c r="AC213" s="64" t="n"/>
      <c r="AD213" s="24" t="n"/>
    </row>
    <row r="214" ht="15" customHeight="1">
      <c r="A214" s="63">
        <f>IF(C214="","",IFERROR(IF(SUMPRODUCT(MAX((tbl_Finance[Job Number]=C214&amp;"")*(tbl_Finance[Xero Invoice No]&lt;&gt;"")*tbl_Finance[Date]))=0,"",SUMPRODUCT(MAX((tbl_Finance[Job Number]=C214&amp;"")*(tbl_Finance[Xero Invoice No]&lt;&gt;"")*tbl_Finance[Date]))),""))</f>
        <v/>
      </c>
      <c r="B214" s="25">
        <f>IF(C214="","",IF(COUNTIFS(tbl_Finance[Job Number],C214&amp;"",tbl_Finance[Xero Invoice No],"&lt;&gt;")=0,"",IFERROR(IF(COUNTIFS(tbl_Finance[Job Number],C214&amp;"",tbl_Finance[Xero Invoice No],LOOKUP(2,1/((tbl_Finance[Job Number]=C214&amp;"")*(tbl_Finance[Xero Invoice No]&lt;&gt;"")),tbl_Finance[Xero Invoice No]))=COUNTIFS(tbl_Finance[Job Number],C214&amp;"",tbl_Finance[Xero Invoice No],"&lt;&gt;"),LOOKUP(2,1/((tbl_Finance[Job Number]=C214&amp;"")*(tbl_Finance[Xero Invoice No]&lt;&gt;"")),tbl_Finance[Xero Invoice No]),LOOKUP(2,1/((tbl_Finance[Job Number]=C214&amp;"")*(tbl_Finance[Xero Invoice No]&lt;&gt;"")),tbl_Finance[Xero Invoice No])&amp;" +more"),"")))</f>
        <v/>
      </c>
      <c r="C214" s="24" t="n"/>
      <c r="D214" s="25">
        <f>IF(C214="","",IF(COUNTIF(lst_Jobs,C214&amp;"")&gt;0,"OK","CHECK"))</f>
        <v/>
      </c>
      <c r="E214" s="25">
        <f>IF(C214="","",IFERROR(INDEX(lst_JobName,MATCH(C214&amp;"",lst_Jobs,0)),""))</f>
        <v/>
      </c>
      <c r="F214" s="25">
        <f>IF(C214="","",IFERROR(INDEX(tbl_Finance[Client],MATCH(C214&amp;"",tbl_Finance[Job Number],0)),""))</f>
        <v/>
      </c>
      <c r="G214" s="28">
        <f>IF(C214="","",COUNTIFS(tbl_Finance[Job Number],C214&amp;"",tbl_Finance[Ex GST],"&lt;&gt;"))</f>
        <v/>
      </c>
      <c r="H214" s="27">
        <f>IF(C214="","",SUMIFS(tbl_Finance[Ex GST],tbl_Finance[Job Number],C214&amp;""))</f>
        <v/>
      </c>
      <c r="I214" s="27">
        <f>IF(C214="","",SUMIFS(tbl_Finance[Ex GST],tbl_Finance[Job Number],C214&amp;"",tbl_Finance[Xero Invoice No],"&lt;&gt;"))</f>
        <v/>
      </c>
      <c r="J214" s="27">
        <f>IF(C214="","",H214-I214)</f>
        <v/>
      </c>
      <c r="K214" s="25">
        <f>IF(C214="","",IF(G214=0,"not invoiced yet",SUBSTITUTE(TRIM(IF(COUNTIFS(tbl_Finance[Job Number],C214&amp;"",tbl_Finance[Cost Centre],"ONSITE")&gt;0,"ONSITE ","")&amp;IF(COUNTIFS(tbl_Finance[Job Number],C214&amp;"",tbl_Finance[Cost Centre],"PRODUCTION")&gt;0,"PRODUCTION ","")&amp;IF(COUNTIFS(tbl_Finance[Job Number],C214&amp;"",tbl_Finance[Cost Centre],"VIDEO")&gt;0,"VIDEO ","")&amp;IF(COUNTIFS(tbl_Finance[Job Number],C214&amp;"",tbl_Finance[Cost Centre],"INTEGRATION")&gt;0,"INTEGRATION ","")&amp;IF(COUNTIFS(tbl_Finance[Job Number],C214&amp;"",tbl_Finance[Cost Centre],"CONSULTING")&gt;0,"CONSULTING ","")&amp;IF(COUNTIFS(tbl_Finance[Job Number],C214&amp;"",tbl_Finance[Cost Centre],"CTS")&gt;0,"CTS ",""))," ",", ")))</f>
        <v/>
      </c>
      <c r="L214" s="22" t="n"/>
      <c r="M214" s="24" t="n"/>
      <c r="N214" s="25">
        <f>IF(M214="","",IF(AND(LEFT(M214,4)&lt;&gt;"http",set_RMSBase=""),"",HYPERLINK(IF(LEFT(M214,4)="http",M214,set_RMSBase&amp;M214),"Open opportunity")))</f>
        <v/>
      </c>
      <c r="O214" s="25">
        <f>IF(C214="","",C214)</f>
        <v/>
      </c>
      <c r="P214" s="24" t="n"/>
      <c r="Q214" s="26" t="n"/>
      <c r="R214" s="27">
        <f>IF(C214="","",H214+N(Q214))</f>
        <v/>
      </c>
      <c r="S214" s="29">
        <f>IFERROR(Q214/R214,"")</f>
        <v/>
      </c>
      <c r="T214" s="26" t="n"/>
      <c r="U214" s="26" t="n"/>
      <c r="V214" s="27">
        <f>IF(C214="","",N(T214)+N(U214))</f>
        <v/>
      </c>
      <c r="W214" s="27">
        <f>IF(C214="","",H214-V214)</f>
        <v/>
      </c>
      <c r="X214" s="29">
        <f>IFERROR(W214/H214,"")</f>
        <v/>
      </c>
      <c r="Y214" s="64" t="n"/>
      <c r="Z214" s="64" t="n"/>
      <c r="AA214" s="64" t="n"/>
      <c r="AB214" s="64" t="n"/>
      <c r="AC214" s="64" t="n"/>
      <c r="AD214" s="24" t="n"/>
    </row>
    <row r="215" ht="15" customHeight="1">
      <c r="A215" s="63">
        <f>IF(C215="","",IFERROR(IF(SUMPRODUCT(MAX((tbl_Finance[Job Number]=C215&amp;"")*(tbl_Finance[Xero Invoice No]&lt;&gt;"")*tbl_Finance[Date]))=0,"",SUMPRODUCT(MAX((tbl_Finance[Job Number]=C215&amp;"")*(tbl_Finance[Xero Invoice No]&lt;&gt;"")*tbl_Finance[Date]))),""))</f>
        <v/>
      </c>
      <c r="B215" s="25">
        <f>IF(C215="","",IF(COUNTIFS(tbl_Finance[Job Number],C215&amp;"",tbl_Finance[Xero Invoice No],"&lt;&gt;")=0,"",IFERROR(IF(COUNTIFS(tbl_Finance[Job Number],C215&amp;"",tbl_Finance[Xero Invoice No],LOOKUP(2,1/((tbl_Finance[Job Number]=C215&amp;"")*(tbl_Finance[Xero Invoice No]&lt;&gt;"")),tbl_Finance[Xero Invoice No]))=COUNTIFS(tbl_Finance[Job Number],C215&amp;"",tbl_Finance[Xero Invoice No],"&lt;&gt;"),LOOKUP(2,1/((tbl_Finance[Job Number]=C215&amp;"")*(tbl_Finance[Xero Invoice No]&lt;&gt;"")),tbl_Finance[Xero Invoice No]),LOOKUP(2,1/((tbl_Finance[Job Number]=C215&amp;"")*(tbl_Finance[Xero Invoice No]&lt;&gt;"")),tbl_Finance[Xero Invoice No])&amp;" +more"),"")))</f>
        <v/>
      </c>
      <c r="C215" s="24" t="n"/>
      <c r="D215" s="25">
        <f>IF(C215="","",IF(COUNTIF(lst_Jobs,C215&amp;"")&gt;0,"OK","CHECK"))</f>
        <v/>
      </c>
      <c r="E215" s="25">
        <f>IF(C215="","",IFERROR(INDEX(lst_JobName,MATCH(C215&amp;"",lst_Jobs,0)),""))</f>
        <v/>
      </c>
      <c r="F215" s="25">
        <f>IF(C215="","",IFERROR(INDEX(tbl_Finance[Client],MATCH(C215&amp;"",tbl_Finance[Job Number],0)),""))</f>
        <v/>
      </c>
      <c r="G215" s="28">
        <f>IF(C215="","",COUNTIFS(tbl_Finance[Job Number],C215&amp;"",tbl_Finance[Ex GST],"&lt;&gt;"))</f>
        <v/>
      </c>
      <c r="H215" s="27">
        <f>IF(C215="","",SUMIFS(tbl_Finance[Ex GST],tbl_Finance[Job Number],C215&amp;""))</f>
        <v/>
      </c>
      <c r="I215" s="27">
        <f>IF(C215="","",SUMIFS(tbl_Finance[Ex GST],tbl_Finance[Job Number],C215&amp;"",tbl_Finance[Xero Invoice No],"&lt;&gt;"))</f>
        <v/>
      </c>
      <c r="J215" s="27">
        <f>IF(C215="","",H215-I215)</f>
        <v/>
      </c>
      <c r="K215" s="25">
        <f>IF(C215="","",IF(G215=0,"not invoiced yet",SUBSTITUTE(TRIM(IF(COUNTIFS(tbl_Finance[Job Number],C215&amp;"",tbl_Finance[Cost Centre],"ONSITE")&gt;0,"ONSITE ","")&amp;IF(COUNTIFS(tbl_Finance[Job Number],C215&amp;"",tbl_Finance[Cost Centre],"PRODUCTION")&gt;0,"PRODUCTION ","")&amp;IF(COUNTIFS(tbl_Finance[Job Number],C215&amp;"",tbl_Finance[Cost Centre],"VIDEO")&gt;0,"VIDEO ","")&amp;IF(COUNTIFS(tbl_Finance[Job Number],C215&amp;"",tbl_Finance[Cost Centre],"INTEGRATION")&gt;0,"INTEGRATION ","")&amp;IF(COUNTIFS(tbl_Finance[Job Number],C215&amp;"",tbl_Finance[Cost Centre],"CONSULTING")&gt;0,"CONSULTING ","")&amp;IF(COUNTIFS(tbl_Finance[Job Number],C215&amp;"",tbl_Finance[Cost Centre],"CTS")&gt;0,"CTS ",""))," ",", ")))</f>
        <v/>
      </c>
      <c r="L215" s="22" t="n"/>
      <c r="M215" s="24" t="n"/>
      <c r="N215" s="25">
        <f>IF(M215="","",IF(AND(LEFT(M215,4)&lt;&gt;"http",set_RMSBase=""),"",HYPERLINK(IF(LEFT(M215,4)="http",M215,set_RMSBase&amp;M215),"Open opportunity")))</f>
        <v/>
      </c>
      <c r="O215" s="25">
        <f>IF(C215="","",C215)</f>
        <v/>
      </c>
      <c r="P215" s="24" t="n"/>
      <c r="Q215" s="26" t="n"/>
      <c r="R215" s="27">
        <f>IF(C215="","",H215+N(Q215))</f>
        <v/>
      </c>
      <c r="S215" s="29">
        <f>IFERROR(Q215/R215,"")</f>
        <v/>
      </c>
      <c r="T215" s="26" t="n"/>
      <c r="U215" s="26" t="n"/>
      <c r="V215" s="27">
        <f>IF(C215="","",N(T215)+N(U215))</f>
        <v/>
      </c>
      <c r="W215" s="27">
        <f>IF(C215="","",H215-V215)</f>
        <v/>
      </c>
      <c r="X215" s="29">
        <f>IFERROR(W215/H215,"")</f>
        <v/>
      </c>
      <c r="Y215" s="64" t="n"/>
      <c r="Z215" s="64" t="n"/>
      <c r="AA215" s="64" t="n"/>
      <c r="AB215" s="64" t="n"/>
      <c r="AC215" s="64" t="n"/>
      <c r="AD215" s="24" t="n"/>
    </row>
    <row r="216" ht="15" customHeight="1">
      <c r="A216" s="63">
        <f>IF(C216="","",IFERROR(IF(SUMPRODUCT(MAX((tbl_Finance[Job Number]=C216&amp;"")*(tbl_Finance[Xero Invoice No]&lt;&gt;"")*tbl_Finance[Date]))=0,"",SUMPRODUCT(MAX((tbl_Finance[Job Number]=C216&amp;"")*(tbl_Finance[Xero Invoice No]&lt;&gt;"")*tbl_Finance[Date]))),""))</f>
        <v/>
      </c>
      <c r="B216" s="25">
        <f>IF(C216="","",IF(COUNTIFS(tbl_Finance[Job Number],C216&amp;"",tbl_Finance[Xero Invoice No],"&lt;&gt;")=0,"",IFERROR(IF(COUNTIFS(tbl_Finance[Job Number],C216&amp;"",tbl_Finance[Xero Invoice No],LOOKUP(2,1/((tbl_Finance[Job Number]=C216&amp;"")*(tbl_Finance[Xero Invoice No]&lt;&gt;"")),tbl_Finance[Xero Invoice No]))=COUNTIFS(tbl_Finance[Job Number],C216&amp;"",tbl_Finance[Xero Invoice No],"&lt;&gt;"),LOOKUP(2,1/((tbl_Finance[Job Number]=C216&amp;"")*(tbl_Finance[Xero Invoice No]&lt;&gt;"")),tbl_Finance[Xero Invoice No]),LOOKUP(2,1/((tbl_Finance[Job Number]=C216&amp;"")*(tbl_Finance[Xero Invoice No]&lt;&gt;"")),tbl_Finance[Xero Invoice No])&amp;" +more"),"")))</f>
        <v/>
      </c>
      <c r="C216" s="24" t="n"/>
      <c r="D216" s="25">
        <f>IF(C216="","",IF(COUNTIF(lst_Jobs,C216&amp;"")&gt;0,"OK","CHECK"))</f>
        <v/>
      </c>
      <c r="E216" s="25">
        <f>IF(C216="","",IFERROR(INDEX(lst_JobName,MATCH(C216&amp;"",lst_Jobs,0)),""))</f>
        <v/>
      </c>
      <c r="F216" s="25">
        <f>IF(C216="","",IFERROR(INDEX(tbl_Finance[Client],MATCH(C216&amp;"",tbl_Finance[Job Number],0)),""))</f>
        <v/>
      </c>
      <c r="G216" s="28">
        <f>IF(C216="","",COUNTIFS(tbl_Finance[Job Number],C216&amp;"",tbl_Finance[Ex GST],"&lt;&gt;"))</f>
        <v/>
      </c>
      <c r="H216" s="27">
        <f>IF(C216="","",SUMIFS(tbl_Finance[Ex GST],tbl_Finance[Job Number],C216&amp;""))</f>
        <v/>
      </c>
      <c r="I216" s="27">
        <f>IF(C216="","",SUMIFS(tbl_Finance[Ex GST],tbl_Finance[Job Number],C216&amp;"",tbl_Finance[Xero Invoice No],"&lt;&gt;"))</f>
        <v/>
      </c>
      <c r="J216" s="27">
        <f>IF(C216="","",H216-I216)</f>
        <v/>
      </c>
      <c r="K216" s="25">
        <f>IF(C216="","",IF(G216=0,"not invoiced yet",SUBSTITUTE(TRIM(IF(COUNTIFS(tbl_Finance[Job Number],C216&amp;"",tbl_Finance[Cost Centre],"ONSITE")&gt;0,"ONSITE ","")&amp;IF(COUNTIFS(tbl_Finance[Job Number],C216&amp;"",tbl_Finance[Cost Centre],"PRODUCTION")&gt;0,"PRODUCTION ","")&amp;IF(COUNTIFS(tbl_Finance[Job Number],C216&amp;"",tbl_Finance[Cost Centre],"VIDEO")&gt;0,"VIDEO ","")&amp;IF(COUNTIFS(tbl_Finance[Job Number],C216&amp;"",tbl_Finance[Cost Centre],"INTEGRATION")&gt;0,"INTEGRATION ","")&amp;IF(COUNTIFS(tbl_Finance[Job Number],C216&amp;"",tbl_Finance[Cost Centre],"CONSULTING")&gt;0,"CONSULTING ","")&amp;IF(COUNTIFS(tbl_Finance[Job Number],C216&amp;"",tbl_Finance[Cost Centre],"CTS")&gt;0,"CTS ",""))," ",", ")))</f>
        <v/>
      </c>
      <c r="L216" s="22" t="n"/>
      <c r="M216" s="24" t="n"/>
      <c r="N216" s="25">
        <f>IF(M216="","",IF(AND(LEFT(M216,4)&lt;&gt;"http",set_RMSBase=""),"",HYPERLINK(IF(LEFT(M216,4)="http",M216,set_RMSBase&amp;M216),"Open opportunity")))</f>
        <v/>
      </c>
      <c r="O216" s="25">
        <f>IF(C216="","",C216)</f>
        <v/>
      </c>
      <c r="P216" s="24" t="n"/>
      <c r="Q216" s="26" t="n"/>
      <c r="R216" s="27">
        <f>IF(C216="","",H216+N(Q216))</f>
        <v/>
      </c>
      <c r="S216" s="29">
        <f>IFERROR(Q216/R216,"")</f>
        <v/>
      </c>
      <c r="T216" s="26" t="n"/>
      <c r="U216" s="26" t="n"/>
      <c r="V216" s="27">
        <f>IF(C216="","",N(T216)+N(U216))</f>
        <v/>
      </c>
      <c r="W216" s="27">
        <f>IF(C216="","",H216-V216)</f>
        <v/>
      </c>
      <c r="X216" s="29">
        <f>IFERROR(W216/H216,"")</f>
        <v/>
      </c>
      <c r="Y216" s="64" t="n"/>
      <c r="Z216" s="64" t="n"/>
      <c r="AA216" s="64" t="n"/>
      <c r="AB216" s="64" t="n"/>
      <c r="AC216" s="64" t="n"/>
      <c r="AD216" s="24" t="n"/>
    </row>
    <row r="217" ht="15" customHeight="1">
      <c r="A217" s="63">
        <f>IF(C217="","",IFERROR(IF(SUMPRODUCT(MAX((tbl_Finance[Job Number]=C217&amp;"")*(tbl_Finance[Xero Invoice No]&lt;&gt;"")*tbl_Finance[Date]))=0,"",SUMPRODUCT(MAX((tbl_Finance[Job Number]=C217&amp;"")*(tbl_Finance[Xero Invoice No]&lt;&gt;"")*tbl_Finance[Date]))),""))</f>
        <v/>
      </c>
      <c r="B217" s="25">
        <f>IF(C217="","",IF(COUNTIFS(tbl_Finance[Job Number],C217&amp;"",tbl_Finance[Xero Invoice No],"&lt;&gt;")=0,"",IFERROR(IF(COUNTIFS(tbl_Finance[Job Number],C217&amp;"",tbl_Finance[Xero Invoice No],LOOKUP(2,1/((tbl_Finance[Job Number]=C217&amp;"")*(tbl_Finance[Xero Invoice No]&lt;&gt;"")),tbl_Finance[Xero Invoice No]))=COUNTIFS(tbl_Finance[Job Number],C217&amp;"",tbl_Finance[Xero Invoice No],"&lt;&gt;"),LOOKUP(2,1/((tbl_Finance[Job Number]=C217&amp;"")*(tbl_Finance[Xero Invoice No]&lt;&gt;"")),tbl_Finance[Xero Invoice No]),LOOKUP(2,1/((tbl_Finance[Job Number]=C217&amp;"")*(tbl_Finance[Xero Invoice No]&lt;&gt;"")),tbl_Finance[Xero Invoice No])&amp;" +more"),"")))</f>
        <v/>
      </c>
      <c r="C217" s="24" t="n"/>
      <c r="D217" s="25">
        <f>IF(C217="","",IF(COUNTIF(lst_Jobs,C217&amp;"")&gt;0,"OK","CHECK"))</f>
        <v/>
      </c>
      <c r="E217" s="25">
        <f>IF(C217="","",IFERROR(INDEX(lst_JobName,MATCH(C217&amp;"",lst_Jobs,0)),""))</f>
        <v/>
      </c>
      <c r="F217" s="25">
        <f>IF(C217="","",IFERROR(INDEX(tbl_Finance[Client],MATCH(C217&amp;"",tbl_Finance[Job Number],0)),""))</f>
        <v/>
      </c>
      <c r="G217" s="28">
        <f>IF(C217="","",COUNTIFS(tbl_Finance[Job Number],C217&amp;"",tbl_Finance[Ex GST],"&lt;&gt;"))</f>
        <v/>
      </c>
      <c r="H217" s="27">
        <f>IF(C217="","",SUMIFS(tbl_Finance[Ex GST],tbl_Finance[Job Number],C217&amp;""))</f>
        <v/>
      </c>
      <c r="I217" s="27">
        <f>IF(C217="","",SUMIFS(tbl_Finance[Ex GST],tbl_Finance[Job Number],C217&amp;"",tbl_Finance[Xero Invoice No],"&lt;&gt;"))</f>
        <v/>
      </c>
      <c r="J217" s="27">
        <f>IF(C217="","",H217-I217)</f>
        <v/>
      </c>
      <c r="K217" s="25">
        <f>IF(C217="","",IF(G217=0,"not invoiced yet",SUBSTITUTE(TRIM(IF(COUNTIFS(tbl_Finance[Job Number],C217&amp;"",tbl_Finance[Cost Centre],"ONSITE")&gt;0,"ONSITE ","")&amp;IF(COUNTIFS(tbl_Finance[Job Number],C217&amp;"",tbl_Finance[Cost Centre],"PRODUCTION")&gt;0,"PRODUCTION ","")&amp;IF(COUNTIFS(tbl_Finance[Job Number],C217&amp;"",tbl_Finance[Cost Centre],"VIDEO")&gt;0,"VIDEO ","")&amp;IF(COUNTIFS(tbl_Finance[Job Number],C217&amp;"",tbl_Finance[Cost Centre],"INTEGRATION")&gt;0,"INTEGRATION ","")&amp;IF(COUNTIFS(tbl_Finance[Job Number],C217&amp;"",tbl_Finance[Cost Centre],"CONSULTING")&gt;0,"CONSULTING ","")&amp;IF(COUNTIFS(tbl_Finance[Job Number],C217&amp;"",tbl_Finance[Cost Centre],"CTS")&gt;0,"CTS ",""))," ",", ")))</f>
        <v/>
      </c>
      <c r="L217" s="22" t="n"/>
      <c r="M217" s="24" t="n"/>
      <c r="N217" s="25">
        <f>IF(M217="","",IF(AND(LEFT(M217,4)&lt;&gt;"http",set_RMSBase=""),"",HYPERLINK(IF(LEFT(M217,4)="http",M217,set_RMSBase&amp;M217),"Open opportunity")))</f>
        <v/>
      </c>
      <c r="O217" s="25">
        <f>IF(C217="","",C217)</f>
        <v/>
      </c>
      <c r="P217" s="24" t="n"/>
      <c r="Q217" s="26" t="n"/>
      <c r="R217" s="27">
        <f>IF(C217="","",H217+N(Q217))</f>
        <v/>
      </c>
      <c r="S217" s="29">
        <f>IFERROR(Q217/R217,"")</f>
        <v/>
      </c>
      <c r="T217" s="26" t="n"/>
      <c r="U217" s="26" t="n"/>
      <c r="V217" s="27">
        <f>IF(C217="","",N(T217)+N(U217))</f>
        <v/>
      </c>
      <c r="W217" s="27">
        <f>IF(C217="","",H217-V217)</f>
        <v/>
      </c>
      <c r="X217" s="29">
        <f>IFERROR(W217/H217,"")</f>
        <v/>
      </c>
      <c r="Y217" s="64" t="n"/>
      <c r="Z217" s="64" t="n"/>
      <c r="AA217" s="64" t="n"/>
      <c r="AB217" s="64" t="n"/>
      <c r="AC217" s="64" t="n"/>
      <c r="AD217" s="24" t="n"/>
    </row>
    <row r="218" ht="15" customHeight="1">
      <c r="A218" s="63">
        <f>IF(C218="","",IFERROR(IF(SUMPRODUCT(MAX((tbl_Finance[Job Number]=C218&amp;"")*(tbl_Finance[Xero Invoice No]&lt;&gt;"")*tbl_Finance[Date]))=0,"",SUMPRODUCT(MAX((tbl_Finance[Job Number]=C218&amp;"")*(tbl_Finance[Xero Invoice No]&lt;&gt;"")*tbl_Finance[Date]))),""))</f>
        <v/>
      </c>
      <c r="B218" s="25">
        <f>IF(C218="","",IF(COUNTIFS(tbl_Finance[Job Number],C218&amp;"",tbl_Finance[Xero Invoice No],"&lt;&gt;")=0,"",IFERROR(IF(COUNTIFS(tbl_Finance[Job Number],C218&amp;"",tbl_Finance[Xero Invoice No],LOOKUP(2,1/((tbl_Finance[Job Number]=C218&amp;"")*(tbl_Finance[Xero Invoice No]&lt;&gt;"")),tbl_Finance[Xero Invoice No]))=COUNTIFS(tbl_Finance[Job Number],C218&amp;"",tbl_Finance[Xero Invoice No],"&lt;&gt;"),LOOKUP(2,1/((tbl_Finance[Job Number]=C218&amp;"")*(tbl_Finance[Xero Invoice No]&lt;&gt;"")),tbl_Finance[Xero Invoice No]),LOOKUP(2,1/((tbl_Finance[Job Number]=C218&amp;"")*(tbl_Finance[Xero Invoice No]&lt;&gt;"")),tbl_Finance[Xero Invoice No])&amp;" +more"),"")))</f>
        <v/>
      </c>
      <c r="C218" s="24" t="n"/>
      <c r="D218" s="25">
        <f>IF(C218="","",IF(COUNTIF(lst_Jobs,C218&amp;"")&gt;0,"OK","CHECK"))</f>
        <v/>
      </c>
      <c r="E218" s="25">
        <f>IF(C218="","",IFERROR(INDEX(lst_JobName,MATCH(C218&amp;"",lst_Jobs,0)),""))</f>
        <v/>
      </c>
      <c r="F218" s="25">
        <f>IF(C218="","",IFERROR(INDEX(tbl_Finance[Client],MATCH(C218&amp;"",tbl_Finance[Job Number],0)),""))</f>
        <v/>
      </c>
      <c r="G218" s="28">
        <f>IF(C218="","",COUNTIFS(tbl_Finance[Job Number],C218&amp;"",tbl_Finance[Ex GST],"&lt;&gt;"))</f>
        <v/>
      </c>
      <c r="H218" s="27">
        <f>IF(C218="","",SUMIFS(tbl_Finance[Ex GST],tbl_Finance[Job Number],C218&amp;""))</f>
        <v/>
      </c>
      <c r="I218" s="27">
        <f>IF(C218="","",SUMIFS(tbl_Finance[Ex GST],tbl_Finance[Job Number],C218&amp;"",tbl_Finance[Xero Invoice No],"&lt;&gt;"))</f>
        <v/>
      </c>
      <c r="J218" s="27">
        <f>IF(C218="","",H218-I218)</f>
        <v/>
      </c>
      <c r="K218" s="25">
        <f>IF(C218="","",IF(G218=0,"not invoiced yet",SUBSTITUTE(TRIM(IF(COUNTIFS(tbl_Finance[Job Number],C218&amp;"",tbl_Finance[Cost Centre],"ONSITE")&gt;0,"ONSITE ","")&amp;IF(COUNTIFS(tbl_Finance[Job Number],C218&amp;"",tbl_Finance[Cost Centre],"PRODUCTION")&gt;0,"PRODUCTION ","")&amp;IF(COUNTIFS(tbl_Finance[Job Number],C218&amp;"",tbl_Finance[Cost Centre],"VIDEO")&gt;0,"VIDEO ","")&amp;IF(COUNTIFS(tbl_Finance[Job Number],C218&amp;"",tbl_Finance[Cost Centre],"INTEGRATION")&gt;0,"INTEGRATION ","")&amp;IF(COUNTIFS(tbl_Finance[Job Number],C218&amp;"",tbl_Finance[Cost Centre],"CONSULTING")&gt;0,"CONSULTING ","")&amp;IF(COUNTIFS(tbl_Finance[Job Number],C218&amp;"",tbl_Finance[Cost Centre],"CTS")&gt;0,"CTS ",""))," ",", ")))</f>
        <v/>
      </c>
      <c r="L218" s="22" t="n"/>
      <c r="M218" s="24" t="n"/>
      <c r="N218" s="25">
        <f>IF(M218="","",IF(AND(LEFT(M218,4)&lt;&gt;"http",set_RMSBase=""),"",HYPERLINK(IF(LEFT(M218,4)="http",M218,set_RMSBase&amp;M218),"Open opportunity")))</f>
        <v/>
      </c>
      <c r="O218" s="25">
        <f>IF(C218="","",C218)</f>
        <v/>
      </c>
      <c r="P218" s="24" t="n"/>
      <c r="Q218" s="26" t="n"/>
      <c r="R218" s="27">
        <f>IF(C218="","",H218+N(Q218))</f>
        <v/>
      </c>
      <c r="S218" s="29">
        <f>IFERROR(Q218/R218,"")</f>
        <v/>
      </c>
      <c r="T218" s="26" t="n"/>
      <c r="U218" s="26" t="n"/>
      <c r="V218" s="27">
        <f>IF(C218="","",N(T218)+N(U218))</f>
        <v/>
      </c>
      <c r="W218" s="27">
        <f>IF(C218="","",H218-V218)</f>
        <v/>
      </c>
      <c r="X218" s="29">
        <f>IFERROR(W218/H218,"")</f>
        <v/>
      </c>
      <c r="Y218" s="64" t="n"/>
      <c r="Z218" s="64" t="n"/>
      <c r="AA218" s="64" t="n"/>
      <c r="AB218" s="64" t="n"/>
      <c r="AC218" s="64" t="n"/>
      <c r="AD218" s="24" t="n"/>
    </row>
    <row r="219" ht="15" customHeight="1">
      <c r="A219" s="63">
        <f>IF(C219="","",IFERROR(IF(SUMPRODUCT(MAX((tbl_Finance[Job Number]=C219&amp;"")*(tbl_Finance[Xero Invoice No]&lt;&gt;"")*tbl_Finance[Date]))=0,"",SUMPRODUCT(MAX((tbl_Finance[Job Number]=C219&amp;"")*(tbl_Finance[Xero Invoice No]&lt;&gt;"")*tbl_Finance[Date]))),""))</f>
        <v/>
      </c>
      <c r="B219" s="25">
        <f>IF(C219="","",IF(COUNTIFS(tbl_Finance[Job Number],C219&amp;"",tbl_Finance[Xero Invoice No],"&lt;&gt;")=0,"",IFERROR(IF(COUNTIFS(tbl_Finance[Job Number],C219&amp;"",tbl_Finance[Xero Invoice No],LOOKUP(2,1/((tbl_Finance[Job Number]=C219&amp;"")*(tbl_Finance[Xero Invoice No]&lt;&gt;"")),tbl_Finance[Xero Invoice No]))=COUNTIFS(tbl_Finance[Job Number],C219&amp;"",tbl_Finance[Xero Invoice No],"&lt;&gt;"),LOOKUP(2,1/((tbl_Finance[Job Number]=C219&amp;"")*(tbl_Finance[Xero Invoice No]&lt;&gt;"")),tbl_Finance[Xero Invoice No]),LOOKUP(2,1/((tbl_Finance[Job Number]=C219&amp;"")*(tbl_Finance[Xero Invoice No]&lt;&gt;"")),tbl_Finance[Xero Invoice No])&amp;" +more"),"")))</f>
        <v/>
      </c>
      <c r="C219" s="24" t="n"/>
      <c r="D219" s="25">
        <f>IF(C219="","",IF(COUNTIF(lst_Jobs,C219&amp;"")&gt;0,"OK","CHECK"))</f>
        <v/>
      </c>
      <c r="E219" s="25">
        <f>IF(C219="","",IFERROR(INDEX(lst_JobName,MATCH(C219&amp;"",lst_Jobs,0)),""))</f>
        <v/>
      </c>
      <c r="F219" s="25">
        <f>IF(C219="","",IFERROR(INDEX(tbl_Finance[Client],MATCH(C219&amp;"",tbl_Finance[Job Number],0)),""))</f>
        <v/>
      </c>
      <c r="G219" s="28">
        <f>IF(C219="","",COUNTIFS(tbl_Finance[Job Number],C219&amp;"",tbl_Finance[Ex GST],"&lt;&gt;"))</f>
        <v/>
      </c>
      <c r="H219" s="27">
        <f>IF(C219="","",SUMIFS(tbl_Finance[Ex GST],tbl_Finance[Job Number],C219&amp;""))</f>
        <v/>
      </c>
      <c r="I219" s="27">
        <f>IF(C219="","",SUMIFS(tbl_Finance[Ex GST],tbl_Finance[Job Number],C219&amp;"",tbl_Finance[Xero Invoice No],"&lt;&gt;"))</f>
        <v/>
      </c>
      <c r="J219" s="27">
        <f>IF(C219="","",H219-I219)</f>
        <v/>
      </c>
      <c r="K219" s="25">
        <f>IF(C219="","",IF(G219=0,"not invoiced yet",SUBSTITUTE(TRIM(IF(COUNTIFS(tbl_Finance[Job Number],C219&amp;"",tbl_Finance[Cost Centre],"ONSITE")&gt;0,"ONSITE ","")&amp;IF(COUNTIFS(tbl_Finance[Job Number],C219&amp;"",tbl_Finance[Cost Centre],"PRODUCTION")&gt;0,"PRODUCTION ","")&amp;IF(COUNTIFS(tbl_Finance[Job Number],C219&amp;"",tbl_Finance[Cost Centre],"VIDEO")&gt;0,"VIDEO ","")&amp;IF(COUNTIFS(tbl_Finance[Job Number],C219&amp;"",tbl_Finance[Cost Centre],"INTEGRATION")&gt;0,"INTEGRATION ","")&amp;IF(COUNTIFS(tbl_Finance[Job Number],C219&amp;"",tbl_Finance[Cost Centre],"CONSULTING")&gt;0,"CONSULTING ","")&amp;IF(COUNTIFS(tbl_Finance[Job Number],C219&amp;"",tbl_Finance[Cost Centre],"CTS")&gt;0,"CTS ",""))," ",", ")))</f>
        <v/>
      </c>
      <c r="L219" s="22" t="n"/>
      <c r="M219" s="24" t="n"/>
      <c r="N219" s="25">
        <f>IF(M219="","",IF(AND(LEFT(M219,4)&lt;&gt;"http",set_RMSBase=""),"",HYPERLINK(IF(LEFT(M219,4)="http",M219,set_RMSBase&amp;M219),"Open opportunity")))</f>
        <v/>
      </c>
      <c r="O219" s="25">
        <f>IF(C219="","",C219)</f>
        <v/>
      </c>
      <c r="P219" s="24" t="n"/>
      <c r="Q219" s="26" t="n"/>
      <c r="R219" s="27">
        <f>IF(C219="","",H219+N(Q219))</f>
        <v/>
      </c>
      <c r="S219" s="29">
        <f>IFERROR(Q219/R219,"")</f>
        <v/>
      </c>
      <c r="T219" s="26" t="n"/>
      <c r="U219" s="26" t="n"/>
      <c r="V219" s="27">
        <f>IF(C219="","",N(T219)+N(U219))</f>
        <v/>
      </c>
      <c r="W219" s="27">
        <f>IF(C219="","",H219-V219)</f>
        <v/>
      </c>
      <c r="X219" s="29">
        <f>IFERROR(W219/H219,"")</f>
        <v/>
      </c>
      <c r="Y219" s="64" t="n"/>
      <c r="Z219" s="64" t="n"/>
      <c r="AA219" s="64" t="n"/>
      <c r="AB219" s="64" t="n"/>
      <c r="AC219" s="64" t="n"/>
      <c r="AD219" s="24" t="n"/>
    </row>
    <row r="220" ht="15" customHeight="1">
      <c r="A220" s="63">
        <f>IF(C220="","",IFERROR(IF(SUMPRODUCT(MAX((tbl_Finance[Job Number]=C220&amp;"")*(tbl_Finance[Xero Invoice No]&lt;&gt;"")*tbl_Finance[Date]))=0,"",SUMPRODUCT(MAX((tbl_Finance[Job Number]=C220&amp;"")*(tbl_Finance[Xero Invoice No]&lt;&gt;"")*tbl_Finance[Date]))),""))</f>
        <v/>
      </c>
      <c r="B220" s="25">
        <f>IF(C220="","",IF(COUNTIFS(tbl_Finance[Job Number],C220&amp;"",tbl_Finance[Xero Invoice No],"&lt;&gt;")=0,"",IFERROR(IF(COUNTIFS(tbl_Finance[Job Number],C220&amp;"",tbl_Finance[Xero Invoice No],LOOKUP(2,1/((tbl_Finance[Job Number]=C220&amp;"")*(tbl_Finance[Xero Invoice No]&lt;&gt;"")),tbl_Finance[Xero Invoice No]))=COUNTIFS(tbl_Finance[Job Number],C220&amp;"",tbl_Finance[Xero Invoice No],"&lt;&gt;"),LOOKUP(2,1/((tbl_Finance[Job Number]=C220&amp;"")*(tbl_Finance[Xero Invoice No]&lt;&gt;"")),tbl_Finance[Xero Invoice No]),LOOKUP(2,1/((tbl_Finance[Job Number]=C220&amp;"")*(tbl_Finance[Xero Invoice No]&lt;&gt;"")),tbl_Finance[Xero Invoice No])&amp;" +more"),"")))</f>
        <v/>
      </c>
      <c r="C220" s="24" t="n"/>
      <c r="D220" s="25">
        <f>IF(C220="","",IF(COUNTIF(lst_Jobs,C220&amp;"")&gt;0,"OK","CHECK"))</f>
        <v/>
      </c>
      <c r="E220" s="25">
        <f>IF(C220="","",IFERROR(INDEX(lst_JobName,MATCH(C220&amp;"",lst_Jobs,0)),""))</f>
        <v/>
      </c>
      <c r="F220" s="25">
        <f>IF(C220="","",IFERROR(INDEX(tbl_Finance[Client],MATCH(C220&amp;"",tbl_Finance[Job Number],0)),""))</f>
        <v/>
      </c>
      <c r="G220" s="28">
        <f>IF(C220="","",COUNTIFS(tbl_Finance[Job Number],C220&amp;"",tbl_Finance[Ex GST],"&lt;&gt;"))</f>
        <v/>
      </c>
      <c r="H220" s="27">
        <f>IF(C220="","",SUMIFS(tbl_Finance[Ex GST],tbl_Finance[Job Number],C220&amp;""))</f>
        <v/>
      </c>
      <c r="I220" s="27">
        <f>IF(C220="","",SUMIFS(tbl_Finance[Ex GST],tbl_Finance[Job Number],C220&amp;"",tbl_Finance[Xero Invoice No],"&lt;&gt;"))</f>
        <v/>
      </c>
      <c r="J220" s="27">
        <f>IF(C220="","",H220-I220)</f>
        <v/>
      </c>
      <c r="K220" s="25">
        <f>IF(C220="","",IF(G220=0,"not invoiced yet",SUBSTITUTE(TRIM(IF(COUNTIFS(tbl_Finance[Job Number],C220&amp;"",tbl_Finance[Cost Centre],"ONSITE")&gt;0,"ONSITE ","")&amp;IF(COUNTIFS(tbl_Finance[Job Number],C220&amp;"",tbl_Finance[Cost Centre],"PRODUCTION")&gt;0,"PRODUCTION ","")&amp;IF(COUNTIFS(tbl_Finance[Job Number],C220&amp;"",tbl_Finance[Cost Centre],"VIDEO")&gt;0,"VIDEO ","")&amp;IF(COUNTIFS(tbl_Finance[Job Number],C220&amp;"",tbl_Finance[Cost Centre],"INTEGRATION")&gt;0,"INTEGRATION ","")&amp;IF(COUNTIFS(tbl_Finance[Job Number],C220&amp;"",tbl_Finance[Cost Centre],"CONSULTING")&gt;0,"CONSULTING ","")&amp;IF(COUNTIFS(tbl_Finance[Job Number],C220&amp;"",tbl_Finance[Cost Centre],"CTS")&gt;0,"CTS ",""))," ",", ")))</f>
        <v/>
      </c>
      <c r="L220" s="22" t="n"/>
      <c r="M220" s="24" t="n"/>
      <c r="N220" s="25">
        <f>IF(M220="","",IF(AND(LEFT(M220,4)&lt;&gt;"http",set_RMSBase=""),"",HYPERLINK(IF(LEFT(M220,4)="http",M220,set_RMSBase&amp;M220),"Open opportunity")))</f>
        <v/>
      </c>
      <c r="O220" s="25">
        <f>IF(C220="","",C220)</f>
        <v/>
      </c>
      <c r="P220" s="24" t="n"/>
      <c r="Q220" s="26" t="n"/>
      <c r="R220" s="27">
        <f>IF(C220="","",H220+N(Q220))</f>
        <v/>
      </c>
      <c r="S220" s="29">
        <f>IFERROR(Q220/R220,"")</f>
        <v/>
      </c>
      <c r="T220" s="26" t="n"/>
      <c r="U220" s="26" t="n"/>
      <c r="V220" s="27">
        <f>IF(C220="","",N(T220)+N(U220))</f>
        <v/>
      </c>
      <c r="W220" s="27">
        <f>IF(C220="","",H220-V220)</f>
        <v/>
      </c>
      <c r="X220" s="29">
        <f>IFERROR(W220/H220,"")</f>
        <v/>
      </c>
      <c r="Y220" s="64" t="n"/>
      <c r="Z220" s="64" t="n"/>
      <c r="AA220" s="64" t="n"/>
      <c r="AB220" s="64" t="n"/>
      <c r="AC220" s="64" t="n"/>
      <c r="AD220" s="24" t="n"/>
    </row>
    <row r="221" ht="15" customHeight="1">
      <c r="A221" s="63">
        <f>IF(C221="","",IFERROR(IF(SUMPRODUCT(MAX((tbl_Finance[Job Number]=C221&amp;"")*(tbl_Finance[Xero Invoice No]&lt;&gt;"")*tbl_Finance[Date]))=0,"",SUMPRODUCT(MAX((tbl_Finance[Job Number]=C221&amp;"")*(tbl_Finance[Xero Invoice No]&lt;&gt;"")*tbl_Finance[Date]))),""))</f>
        <v/>
      </c>
      <c r="B221" s="25">
        <f>IF(C221="","",IF(COUNTIFS(tbl_Finance[Job Number],C221&amp;"",tbl_Finance[Xero Invoice No],"&lt;&gt;")=0,"",IFERROR(IF(COUNTIFS(tbl_Finance[Job Number],C221&amp;"",tbl_Finance[Xero Invoice No],LOOKUP(2,1/((tbl_Finance[Job Number]=C221&amp;"")*(tbl_Finance[Xero Invoice No]&lt;&gt;"")),tbl_Finance[Xero Invoice No]))=COUNTIFS(tbl_Finance[Job Number],C221&amp;"",tbl_Finance[Xero Invoice No],"&lt;&gt;"),LOOKUP(2,1/((tbl_Finance[Job Number]=C221&amp;"")*(tbl_Finance[Xero Invoice No]&lt;&gt;"")),tbl_Finance[Xero Invoice No]),LOOKUP(2,1/((tbl_Finance[Job Number]=C221&amp;"")*(tbl_Finance[Xero Invoice No]&lt;&gt;"")),tbl_Finance[Xero Invoice No])&amp;" +more"),"")))</f>
        <v/>
      </c>
      <c r="C221" s="24" t="n"/>
      <c r="D221" s="25">
        <f>IF(C221="","",IF(COUNTIF(lst_Jobs,C221&amp;"")&gt;0,"OK","CHECK"))</f>
        <v/>
      </c>
      <c r="E221" s="25">
        <f>IF(C221="","",IFERROR(INDEX(lst_JobName,MATCH(C221&amp;"",lst_Jobs,0)),""))</f>
        <v/>
      </c>
      <c r="F221" s="25">
        <f>IF(C221="","",IFERROR(INDEX(tbl_Finance[Client],MATCH(C221&amp;"",tbl_Finance[Job Number],0)),""))</f>
        <v/>
      </c>
      <c r="G221" s="28">
        <f>IF(C221="","",COUNTIFS(tbl_Finance[Job Number],C221&amp;"",tbl_Finance[Ex GST],"&lt;&gt;"))</f>
        <v/>
      </c>
      <c r="H221" s="27">
        <f>IF(C221="","",SUMIFS(tbl_Finance[Ex GST],tbl_Finance[Job Number],C221&amp;""))</f>
        <v/>
      </c>
      <c r="I221" s="27">
        <f>IF(C221="","",SUMIFS(tbl_Finance[Ex GST],tbl_Finance[Job Number],C221&amp;"",tbl_Finance[Xero Invoice No],"&lt;&gt;"))</f>
        <v/>
      </c>
      <c r="J221" s="27">
        <f>IF(C221="","",H221-I221)</f>
        <v/>
      </c>
      <c r="K221" s="25">
        <f>IF(C221="","",IF(G221=0,"not invoiced yet",SUBSTITUTE(TRIM(IF(COUNTIFS(tbl_Finance[Job Number],C221&amp;"",tbl_Finance[Cost Centre],"ONSITE")&gt;0,"ONSITE ","")&amp;IF(COUNTIFS(tbl_Finance[Job Number],C221&amp;"",tbl_Finance[Cost Centre],"PRODUCTION")&gt;0,"PRODUCTION ","")&amp;IF(COUNTIFS(tbl_Finance[Job Number],C221&amp;"",tbl_Finance[Cost Centre],"VIDEO")&gt;0,"VIDEO ","")&amp;IF(COUNTIFS(tbl_Finance[Job Number],C221&amp;"",tbl_Finance[Cost Centre],"INTEGRATION")&gt;0,"INTEGRATION ","")&amp;IF(COUNTIFS(tbl_Finance[Job Number],C221&amp;"",tbl_Finance[Cost Centre],"CONSULTING")&gt;0,"CONSULTING ","")&amp;IF(COUNTIFS(tbl_Finance[Job Number],C221&amp;"",tbl_Finance[Cost Centre],"CTS")&gt;0,"CTS ",""))," ",", ")))</f>
        <v/>
      </c>
      <c r="L221" s="22" t="n"/>
      <c r="M221" s="24" t="n"/>
      <c r="N221" s="25">
        <f>IF(M221="","",IF(AND(LEFT(M221,4)&lt;&gt;"http",set_RMSBase=""),"",HYPERLINK(IF(LEFT(M221,4)="http",M221,set_RMSBase&amp;M221),"Open opportunity")))</f>
        <v/>
      </c>
      <c r="O221" s="25">
        <f>IF(C221="","",C221)</f>
        <v/>
      </c>
      <c r="P221" s="24" t="n"/>
      <c r="Q221" s="26" t="n"/>
      <c r="R221" s="27">
        <f>IF(C221="","",H221+N(Q221))</f>
        <v/>
      </c>
      <c r="S221" s="29">
        <f>IFERROR(Q221/R221,"")</f>
        <v/>
      </c>
      <c r="T221" s="26" t="n"/>
      <c r="U221" s="26" t="n"/>
      <c r="V221" s="27">
        <f>IF(C221="","",N(T221)+N(U221))</f>
        <v/>
      </c>
      <c r="W221" s="27">
        <f>IF(C221="","",H221-V221)</f>
        <v/>
      </c>
      <c r="X221" s="29">
        <f>IFERROR(W221/H221,"")</f>
        <v/>
      </c>
      <c r="Y221" s="64" t="n"/>
      <c r="Z221" s="64" t="n"/>
      <c r="AA221" s="64" t="n"/>
      <c r="AB221" s="64" t="n"/>
      <c r="AC221" s="64" t="n"/>
      <c r="AD221" s="24" t="n"/>
    </row>
    <row r="222" ht="15" customHeight="1">
      <c r="A222" s="63">
        <f>IF(C222="","",IFERROR(IF(SUMPRODUCT(MAX((tbl_Finance[Job Number]=C222&amp;"")*(tbl_Finance[Xero Invoice No]&lt;&gt;"")*tbl_Finance[Date]))=0,"",SUMPRODUCT(MAX((tbl_Finance[Job Number]=C222&amp;"")*(tbl_Finance[Xero Invoice No]&lt;&gt;"")*tbl_Finance[Date]))),""))</f>
        <v/>
      </c>
      <c r="B222" s="25">
        <f>IF(C222="","",IF(COUNTIFS(tbl_Finance[Job Number],C222&amp;"",tbl_Finance[Xero Invoice No],"&lt;&gt;")=0,"",IFERROR(IF(COUNTIFS(tbl_Finance[Job Number],C222&amp;"",tbl_Finance[Xero Invoice No],LOOKUP(2,1/((tbl_Finance[Job Number]=C222&amp;"")*(tbl_Finance[Xero Invoice No]&lt;&gt;"")),tbl_Finance[Xero Invoice No]))=COUNTIFS(tbl_Finance[Job Number],C222&amp;"",tbl_Finance[Xero Invoice No],"&lt;&gt;"),LOOKUP(2,1/((tbl_Finance[Job Number]=C222&amp;"")*(tbl_Finance[Xero Invoice No]&lt;&gt;"")),tbl_Finance[Xero Invoice No]),LOOKUP(2,1/((tbl_Finance[Job Number]=C222&amp;"")*(tbl_Finance[Xero Invoice No]&lt;&gt;"")),tbl_Finance[Xero Invoice No])&amp;" +more"),"")))</f>
        <v/>
      </c>
      <c r="C222" s="24" t="n"/>
      <c r="D222" s="25">
        <f>IF(C222="","",IF(COUNTIF(lst_Jobs,C222&amp;"")&gt;0,"OK","CHECK"))</f>
        <v/>
      </c>
      <c r="E222" s="25">
        <f>IF(C222="","",IFERROR(INDEX(lst_JobName,MATCH(C222&amp;"",lst_Jobs,0)),""))</f>
        <v/>
      </c>
      <c r="F222" s="25">
        <f>IF(C222="","",IFERROR(INDEX(tbl_Finance[Client],MATCH(C222&amp;"",tbl_Finance[Job Number],0)),""))</f>
        <v/>
      </c>
      <c r="G222" s="28">
        <f>IF(C222="","",COUNTIFS(tbl_Finance[Job Number],C222&amp;"",tbl_Finance[Ex GST],"&lt;&gt;"))</f>
        <v/>
      </c>
      <c r="H222" s="27">
        <f>IF(C222="","",SUMIFS(tbl_Finance[Ex GST],tbl_Finance[Job Number],C222&amp;""))</f>
        <v/>
      </c>
      <c r="I222" s="27">
        <f>IF(C222="","",SUMIFS(tbl_Finance[Ex GST],tbl_Finance[Job Number],C222&amp;"",tbl_Finance[Xero Invoice No],"&lt;&gt;"))</f>
        <v/>
      </c>
      <c r="J222" s="27">
        <f>IF(C222="","",H222-I222)</f>
        <v/>
      </c>
      <c r="K222" s="25">
        <f>IF(C222="","",IF(G222=0,"not invoiced yet",SUBSTITUTE(TRIM(IF(COUNTIFS(tbl_Finance[Job Number],C222&amp;"",tbl_Finance[Cost Centre],"ONSITE")&gt;0,"ONSITE ","")&amp;IF(COUNTIFS(tbl_Finance[Job Number],C222&amp;"",tbl_Finance[Cost Centre],"PRODUCTION")&gt;0,"PRODUCTION ","")&amp;IF(COUNTIFS(tbl_Finance[Job Number],C222&amp;"",tbl_Finance[Cost Centre],"VIDEO")&gt;0,"VIDEO ","")&amp;IF(COUNTIFS(tbl_Finance[Job Number],C222&amp;"",tbl_Finance[Cost Centre],"INTEGRATION")&gt;0,"INTEGRATION ","")&amp;IF(COUNTIFS(tbl_Finance[Job Number],C222&amp;"",tbl_Finance[Cost Centre],"CONSULTING")&gt;0,"CONSULTING ","")&amp;IF(COUNTIFS(tbl_Finance[Job Number],C222&amp;"",tbl_Finance[Cost Centre],"CTS")&gt;0,"CTS ",""))," ",", ")))</f>
        <v/>
      </c>
      <c r="L222" s="22" t="n"/>
      <c r="M222" s="24" t="n"/>
      <c r="N222" s="25">
        <f>IF(M222="","",IF(AND(LEFT(M222,4)&lt;&gt;"http",set_RMSBase=""),"",HYPERLINK(IF(LEFT(M222,4)="http",M222,set_RMSBase&amp;M222),"Open opportunity")))</f>
        <v/>
      </c>
      <c r="O222" s="25">
        <f>IF(C222="","",C222)</f>
        <v/>
      </c>
      <c r="P222" s="24" t="n"/>
      <c r="Q222" s="26" t="n"/>
      <c r="R222" s="27">
        <f>IF(C222="","",H222+N(Q222))</f>
        <v/>
      </c>
      <c r="S222" s="29">
        <f>IFERROR(Q222/R222,"")</f>
        <v/>
      </c>
      <c r="T222" s="26" t="n"/>
      <c r="U222" s="26" t="n"/>
      <c r="V222" s="27">
        <f>IF(C222="","",N(T222)+N(U222))</f>
        <v/>
      </c>
      <c r="W222" s="27">
        <f>IF(C222="","",H222-V222)</f>
        <v/>
      </c>
      <c r="X222" s="29">
        <f>IFERROR(W222/H222,"")</f>
        <v/>
      </c>
      <c r="Y222" s="64" t="n"/>
      <c r="Z222" s="64" t="n"/>
      <c r="AA222" s="64" t="n"/>
      <c r="AB222" s="64" t="n"/>
      <c r="AC222" s="64" t="n"/>
      <c r="AD222" s="24" t="n"/>
    </row>
    <row r="223" ht="15" customHeight="1">
      <c r="A223" s="63">
        <f>IF(C223="","",IFERROR(IF(SUMPRODUCT(MAX((tbl_Finance[Job Number]=C223&amp;"")*(tbl_Finance[Xero Invoice No]&lt;&gt;"")*tbl_Finance[Date]))=0,"",SUMPRODUCT(MAX((tbl_Finance[Job Number]=C223&amp;"")*(tbl_Finance[Xero Invoice No]&lt;&gt;"")*tbl_Finance[Date]))),""))</f>
        <v/>
      </c>
      <c r="B223" s="25">
        <f>IF(C223="","",IF(COUNTIFS(tbl_Finance[Job Number],C223&amp;"",tbl_Finance[Xero Invoice No],"&lt;&gt;")=0,"",IFERROR(IF(COUNTIFS(tbl_Finance[Job Number],C223&amp;"",tbl_Finance[Xero Invoice No],LOOKUP(2,1/((tbl_Finance[Job Number]=C223&amp;"")*(tbl_Finance[Xero Invoice No]&lt;&gt;"")),tbl_Finance[Xero Invoice No]))=COUNTIFS(tbl_Finance[Job Number],C223&amp;"",tbl_Finance[Xero Invoice No],"&lt;&gt;"),LOOKUP(2,1/((tbl_Finance[Job Number]=C223&amp;"")*(tbl_Finance[Xero Invoice No]&lt;&gt;"")),tbl_Finance[Xero Invoice No]),LOOKUP(2,1/((tbl_Finance[Job Number]=C223&amp;"")*(tbl_Finance[Xero Invoice No]&lt;&gt;"")),tbl_Finance[Xero Invoice No])&amp;" +more"),"")))</f>
        <v/>
      </c>
      <c r="C223" s="24" t="n"/>
      <c r="D223" s="25">
        <f>IF(C223="","",IF(COUNTIF(lst_Jobs,C223&amp;"")&gt;0,"OK","CHECK"))</f>
        <v/>
      </c>
      <c r="E223" s="25">
        <f>IF(C223="","",IFERROR(INDEX(lst_JobName,MATCH(C223&amp;"",lst_Jobs,0)),""))</f>
        <v/>
      </c>
      <c r="F223" s="25">
        <f>IF(C223="","",IFERROR(INDEX(tbl_Finance[Client],MATCH(C223&amp;"",tbl_Finance[Job Number],0)),""))</f>
        <v/>
      </c>
      <c r="G223" s="28">
        <f>IF(C223="","",COUNTIFS(tbl_Finance[Job Number],C223&amp;"",tbl_Finance[Ex GST],"&lt;&gt;"))</f>
        <v/>
      </c>
      <c r="H223" s="27">
        <f>IF(C223="","",SUMIFS(tbl_Finance[Ex GST],tbl_Finance[Job Number],C223&amp;""))</f>
        <v/>
      </c>
      <c r="I223" s="27">
        <f>IF(C223="","",SUMIFS(tbl_Finance[Ex GST],tbl_Finance[Job Number],C223&amp;"",tbl_Finance[Xero Invoice No],"&lt;&gt;"))</f>
        <v/>
      </c>
      <c r="J223" s="27">
        <f>IF(C223="","",H223-I223)</f>
        <v/>
      </c>
      <c r="K223" s="25">
        <f>IF(C223="","",IF(G223=0,"not invoiced yet",SUBSTITUTE(TRIM(IF(COUNTIFS(tbl_Finance[Job Number],C223&amp;"",tbl_Finance[Cost Centre],"ONSITE")&gt;0,"ONSITE ","")&amp;IF(COUNTIFS(tbl_Finance[Job Number],C223&amp;"",tbl_Finance[Cost Centre],"PRODUCTION")&gt;0,"PRODUCTION ","")&amp;IF(COUNTIFS(tbl_Finance[Job Number],C223&amp;"",tbl_Finance[Cost Centre],"VIDEO")&gt;0,"VIDEO ","")&amp;IF(COUNTIFS(tbl_Finance[Job Number],C223&amp;"",tbl_Finance[Cost Centre],"INTEGRATION")&gt;0,"INTEGRATION ","")&amp;IF(COUNTIFS(tbl_Finance[Job Number],C223&amp;"",tbl_Finance[Cost Centre],"CONSULTING")&gt;0,"CONSULTING ","")&amp;IF(COUNTIFS(tbl_Finance[Job Number],C223&amp;"",tbl_Finance[Cost Centre],"CTS")&gt;0,"CTS ",""))," ",", ")))</f>
        <v/>
      </c>
      <c r="L223" s="22" t="n"/>
      <c r="M223" s="24" t="n"/>
      <c r="N223" s="25">
        <f>IF(M223="","",IF(AND(LEFT(M223,4)&lt;&gt;"http",set_RMSBase=""),"",HYPERLINK(IF(LEFT(M223,4)="http",M223,set_RMSBase&amp;M223),"Open opportunity")))</f>
        <v/>
      </c>
      <c r="O223" s="25">
        <f>IF(C223="","",C223)</f>
        <v/>
      </c>
      <c r="P223" s="24" t="n"/>
      <c r="Q223" s="26" t="n"/>
      <c r="R223" s="27">
        <f>IF(C223="","",H223+N(Q223))</f>
        <v/>
      </c>
      <c r="S223" s="29">
        <f>IFERROR(Q223/R223,"")</f>
        <v/>
      </c>
      <c r="T223" s="26" t="n"/>
      <c r="U223" s="26" t="n"/>
      <c r="V223" s="27">
        <f>IF(C223="","",N(T223)+N(U223))</f>
        <v/>
      </c>
      <c r="W223" s="27">
        <f>IF(C223="","",H223-V223)</f>
        <v/>
      </c>
      <c r="X223" s="29">
        <f>IFERROR(W223/H223,"")</f>
        <v/>
      </c>
      <c r="Y223" s="64" t="n"/>
      <c r="Z223" s="64" t="n"/>
      <c r="AA223" s="64" t="n"/>
      <c r="AB223" s="64" t="n"/>
      <c r="AC223" s="64" t="n"/>
      <c r="AD223" s="24" t="n"/>
    </row>
    <row r="224" ht="15" customHeight="1">
      <c r="A224" s="63">
        <f>IF(C224="","",IFERROR(IF(SUMPRODUCT(MAX((tbl_Finance[Job Number]=C224&amp;"")*(tbl_Finance[Xero Invoice No]&lt;&gt;"")*tbl_Finance[Date]))=0,"",SUMPRODUCT(MAX((tbl_Finance[Job Number]=C224&amp;"")*(tbl_Finance[Xero Invoice No]&lt;&gt;"")*tbl_Finance[Date]))),""))</f>
        <v/>
      </c>
      <c r="B224" s="25">
        <f>IF(C224="","",IF(COUNTIFS(tbl_Finance[Job Number],C224&amp;"",tbl_Finance[Xero Invoice No],"&lt;&gt;")=0,"",IFERROR(IF(COUNTIFS(tbl_Finance[Job Number],C224&amp;"",tbl_Finance[Xero Invoice No],LOOKUP(2,1/((tbl_Finance[Job Number]=C224&amp;"")*(tbl_Finance[Xero Invoice No]&lt;&gt;"")),tbl_Finance[Xero Invoice No]))=COUNTIFS(tbl_Finance[Job Number],C224&amp;"",tbl_Finance[Xero Invoice No],"&lt;&gt;"),LOOKUP(2,1/((tbl_Finance[Job Number]=C224&amp;"")*(tbl_Finance[Xero Invoice No]&lt;&gt;"")),tbl_Finance[Xero Invoice No]),LOOKUP(2,1/((tbl_Finance[Job Number]=C224&amp;"")*(tbl_Finance[Xero Invoice No]&lt;&gt;"")),tbl_Finance[Xero Invoice No])&amp;" +more"),"")))</f>
        <v/>
      </c>
      <c r="C224" s="24" t="n"/>
      <c r="D224" s="25">
        <f>IF(C224="","",IF(COUNTIF(lst_Jobs,C224&amp;"")&gt;0,"OK","CHECK"))</f>
        <v/>
      </c>
      <c r="E224" s="25">
        <f>IF(C224="","",IFERROR(INDEX(lst_JobName,MATCH(C224&amp;"",lst_Jobs,0)),""))</f>
        <v/>
      </c>
      <c r="F224" s="25">
        <f>IF(C224="","",IFERROR(INDEX(tbl_Finance[Client],MATCH(C224&amp;"",tbl_Finance[Job Number],0)),""))</f>
        <v/>
      </c>
      <c r="G224" s="28">
        <f>IF(C224="","",COUNTIFS(tbl_Finance[Job Number],C224&amp;"",tbl_Finance[Ex GST],"&lt;&gt;"))</f>
        <v/>
      </c>
      <c r="H224" s="27">
        <f>IF(C224="","",SUMIFS(tbl_Finance[Ex GST],tbl_Finance[Job Number],C224&amp;""))</f>
        <v/>
      </c>
      <c r="I224" s="27">
        <f>IF(C224="","",SUMIFS(tbl_Finance[Ex GST],tbl_Finance[Job Number],C224&amp;"",tbl_Finance[Xero Invoice No],"&lt;&gt;"))</f>
        <v/>
      </c>
      <c r="J224" s="27">
        <f>IF(C224="","",H224-I224)</f>
        <v/>
      </c>
      <c r="K224" s="25">
        <f>IF(C224="","",IF(G224=0,"not invoiced yet",SUBSTITUTE(TRIM(IF(COUNTIFS(tbl_Finance[Job Number],C224&amp;"",tbl_Finance[Cost Centre],"ONSITE")&gt;0,"ONSITE ","")&amp;IF(COUNTIFS(tbl_Finance[Job Number],C224&amp;"",tbl_Finance[Cost Centre],"PRODUCTION")&gt;0,"PRODUCTION ","")&amp;IF(COUNTIFS(tbl_Finance[Job Number],C224&amp;"",tbl_Finance[Cost Centre],"VIDEO")&gt;0,"VIDEO ","")&amp;IF(COUNTIFS(tbl_Finance[Job Number],C224&amp;"",tbl_Finance[Cost Centre],"INTEGRATION")&gt;0,"INTEGRATION ","")&amp;IF(COUNTIFS(tbl_Finance[Job Number],C224&amp;"",tbl_Finance[Cost Centre],"CONSULTING")&gt;0,"CONSULTING ","")&amp;IF(COUNTIFS(tbl_Finance[Job Number],C224&amp;"",tbl_Finance[Cost Centre],"CTS")&gt;0,"CTS ",""))," ",", ")))</f>
        <v/>
      </c>
      <c r="L224" s="22" t="n"/>
      <c r="M224" s="24" t="n"/>
      <c r="N224" s="25">
        <f>IF(M224="","",IF(AND(LEFT(M224,4)&lt;&gt;"http",set_RMSBase=""),"",HYPERLINK(IF(LEFT(M224,4)="http",M224,set_RMSBase&amp;M224),"Open opportunity")))</f>
        <v/>
      </c>
      <c r="O224" s="25">
        <f>IF(C224="","",C224)</f>
        <v/>
      </c>
      <c r="P224" s="24" t="n"/>
      <c r="Q224" s="26" t="n"/>
      <c r="R224" s="27">
        <f>IF(C224="","",H224+N(Q224))</f>
        <v/>
      </c>
      <c r="S224" s="29">
        <f>IFERROR(Q224/R224,"")</f>
        <v/>
      </c>
      <c r="T224" s="26" t="n"/>
      <c r="U224" s="26" t="n"/>
      <c r="V224" s="27">
        <f>IF(C224="","",N(T224)+N(U224))</f>
        <v/>
      </c>
      <c r="W224" s="27">
        <f>IF(C224="","",H224-V224)</f>
        <v/>
      </c>
      <c r="X224" s="29">
        <f>IFERROR(W224/H224,"")</f>
        <v/>
      </c>
      <c r="Y224" s="64" t="n"/>
      <c r="Z224" s="64" t="n"/>
      <c r="AA224" s="64" t="n"/>
      <c r="AB224" s="64" t="n"/>
      <c r="AC224" s="64" t="n"/>
      <c r="AD224" s="24" t="n"/>
    </row>
    <row r="225" ht="15" customHeight="1">
      <c r="A225" s="63">
        <f>IF(C225="","",IFERROR(IF(SUMPRODUCT(MAX((tbl_Finance[Job Number]=C225&amp;"")*(tbl_Finance[Xero Invoice No]&lt;&gt;"")*tbl_Finance[Date]))=0,"",SUMPRODUCT(MAX((tbl_Finance[Job Number]=C225&amp;"")*(tbl_Finance[Xero Invoice No]&lt;&gt;"")*tbl_Finance[Date]))),""))</f>
        <v/>
      </c>
      <c r="B225" s="25">
        <f>IF(C225="","",IF(COUNTIFS(tbl_Finance[Job Number],C225&amp;"",tbl_Finance[Xero Invoice No],"&lt;&gt;")=0,"",IFERROR(IF(COUNTIFS(tbl_Finance[Job Number],C225&amp;"",tbl_Finance[Xero Invoice No],LOOKUP(2,1/((tbl_Finance[Job Number]=C225&amp;"")*(tbl_Finance[Xero Invoice No]&lt;&gt;"")),tbl_Finance[Xero Invoice No]))=COUNTIFS(tbl_Finance[Job Number],C225&amp;"",tbl_Finance[Xero Invoice No],"&lt;&gt;"),LOOKUP(2,1/((tbl_Finance[Job Number]=C225&amp;"")*(tbl_Finance[Xero Invoice No]&lt;&gt;"")),tbl_Finance[Xero Invoice No]),LOOKUP(2,1/((tbl_Finance[Job Number]=C225&amp;"")*(tbl_Finance[Xero Invoice No]&lt;&gt;"")),tbl_Finance[Xero Invoice No])&amp;" +more"),"")))</f>
        <v/>
      </c>
      <c r="C225" s="24" t="n"/>
      <c r="D225" s="25">
        <f>IF(C225="","",IF(COUNTIF(lst_Jobs,C225&amp;"")&gt;0,"OK","CHECK"))</f>
        <v/>
      </c>
      <c r="E225" s="25">
        <f>IF(C225="","",IFERROR(INDEX(lst_JobName,MATCH(C225&amp;"",lst_Jobs,0)),""))</f>
        <v/>
      </c>
      <c r="F225" s="25">
        <f>IF(C225="","",IFERROR(INDEX(tbl_Finance[Client],MATCH(C225&amp;"",tbl_Finance[Job Number],0)),""))</f>
        <v/>
      </c>
      <c r="G225" s="28">
        <f>IF(C225="","",COUNTIFS(tbl_Finance[Job Number],C225&amp;"",tbl_Finance[Ex GST],"&lt;&gt;"))</f>
        <v/>
      </c>
      <c r="H225" s="27">
        <f>IF(C225="","",SUMIFS(tbl_Finance[Ex GST],tbl_Finance[Job Number],C225&amp;""))</f>
        <v/>
      </c>
      <c r="I225" s="27">
        <f>IF(C225="","",SUMIFS(tbl_Finance[Ex GST],tbl_Finance[Job Number],C225&amp;"",tbl_Finance[Xero Invoice No],"&lt;&gt;"))</f>
        <v/>
      </c>
      <c r="J225" s="27">
        <f>IF(C225="","",H225-I225)</f>
        <v/>
      </c>
      <c r="K225" s="25">
        <f>IF(C225="","",IF(G225=0,"not invoiced yet",SUBSTITUTE(TRIM(IF(COUNTIFS(tbl_Finance[Job Number],C225&amp;"",tbl_Finance[Cost Centre],"ONSITE")&gt;0,"ONSITE ","")&amp;IF(COUNTIFS(tbl_Finance[Job Number],C225&amp;"",tbl_Finance[Cost Centre],"PRODUCTION")&gt;0,"PRODUCTION ","")&amp;IF(COUNTIFS(tbl_Finance[Job Number],C225&amp;"",tbl_Finance[Cost Centre],"VIDEO")&gt;0,"VIDEO ","")&amp;IF(COUNTIFS(tbl_Finance[Job Number],C225&amp;"",tbl_Finance[Cost Centre],"INTEGRATION")&gt;0,"INTEGRATION ","")&amp;IF(COUNTIFS(tbl_Finance[Job Number],C225&amp;"",tbl_Finance[Cost Centre],"CONSULTING")&gt;0,"CONSULTING ","")&amp;IF(COUNTIFS(tbl_Finance[Job Number],C225&amp;"",tbl_Finance[Cost Centre],"CTS")&gt;0,"CTS ",""))," ",", ")))</f>
        <v/>
      </c>
      <c r="L225" s="22" t="n"/>
      <c r="M225" s="24" t="n"/>
      <c r="N225" s="25">
        <f>IF(M225="","",IF(AND(LEFT(M225,4)&lt;&gt;"http",set_RMSBase=""),"",HYPERLINK(IF(LEFT(M225,4)="http",M225,set_RMSBase&amp;M225),"Open opportunity")))</f>
        <v/>
      </c>
      <c r="O225" s="25">
        <f>IF(C225="","",C225)</f>
        <v/>
      </c>
      <c r="P225" s="24" t="n"/>
      <c r="Q225" s="26" t="n"/>
      <c r="R225" s="27">
        <f>IF(C225="","",H225+N(Q225))</f>
        <v/>
      </c>
      <c r="S225" s="29">
        <f>IFERROR(Q225/R225,"")</f>
        <v/>
      </c>
      <c r="T225" s="26" t="n"/>
      <c r="U225" s="26" t="n"/>
      <c r="V225" s="27">
        <f>IF(C225="","",N(T225)+N(U225))</f>
        <v/>
      </c>
      <c r="W225" s="27">
        <f>IF(C225="","",H225-V225)</f>
        <v/>
      </c>
      <c r="X225" s="29">
        <f>IFERROR(W225/H225,"")</f>
        <v/>
      </c>
      <c r="Y225" s="64" t="n"/>
      <c r="Z225" s="64" t="n"/>
      <c r="AA225" s="64" t="n"/>
      <c r="AB225" s="64" t="n"/>
      <c r="AC225" s="64" t="n"/>
      <c r="AD225" s="24" t="n"/>
    </row>
    <row r="226" ht="15" customHeight="1">
      <c r="A226" s="63">
        <f>IF(C226="","",IFERROR(IF(SUMPRODUCT(MAX((tbl_Finance[Job Number]=C226&amp;"")*(tbl_Finance[Xero Invoice No]&lt;&gt;"")*tbl_Finance[Date]))=0,"",SUMPRODUCT(MAX((tbl_Finance[Job Number]=C226&amp;"")*(tbl_Finance[Xero Invoice No]&lt;&gt;"")*tbl_Finance[Date]))),""))</f>
        <v/>
      </c>
      <c r="B226" s="25">
        <f>IF(C226="","",IF(COUNTIFS(tbl_Finance[Job Number],C226&amp;"",tbl_Finance[Xero Invoice No],"&lt;&gt;")=0,"",IFERROR(IF(COUNTIFS(tbl_Finance[Job Number],C226&amp;"",tbl_Finance[Xero Invoice No],LOOKUP(2,1/((tbl_Finance[Job Number]=C226&amp;"")*(tbl_Finance[Xero Invoice No]&lt;&gt;"")),tbl_Finance[Xero Invoice No]))=COUNTIFS(tbl_Finance[Job Number],C226&amp;"",tbl_Finance[Xero Invoice No],"&lt;&gt;"),LOOKUP(2,1/((tbl_Finance[Job Number]=C226&amp;"")*(tbl_Finance[Xero Invoice No]&lt;&gt;"")),tbl_Finance[Xero Invoice No]),LOOKUP(2,1/((tbl_Finance[Job Number]=C226&amp;"")*(tbl_Finance[Xero Invoice No]&lt;&gt;"")),tbl_Finance[Xero Invoice No])&amp;" +more"),"")))</f>
        <v/>
      </c>
      <c r="C226" s="24" t="n"/>
      <c r="D226" s="25">
        <f>IF(C226="","",IF(COUNTIF(lst_Jobs,C226&amp;"")&gt;0,"OK","CHECK"))</f>
        <v/>
      </c>
      <c r="E226" s="25">
        <f>IF(C226="","",IFERROR(INDEX(lst_JobName,MATCH(C226&amp;"",lst_Jobs,0)),""))</f>
        <v/>
      </c>
      <c r="F226" s="25">
        <f>IF(C226="","",IFERROR(INDEX(tbl_Finance[Client],MATCH(C226&amp;"",tbl_Finance[Job Number],0)),""))</f>
        <v/>
      </c>
      <c r="G226" s="28">
        <f>IF(C226="","",COUNTIFS(tbl_Finance[Job Number],C226&amp;"",tbl_Finance[Ex GST],"&lt;&gt;"))</f>
        <v/>
      </c>
      <c r="H226" s="27">
        <f>IF(C226="","",SUMIFS(tbl_Finance[Ex GST],tbl_Finance[Job Number],C226&amp;""))</f>
        <v/>
      </c>
      <c r="I226" s="27">
        <f>IF(C226="","",SUMIFS(tbl_Finance[Ex GST],tbl_Finance[Job Number],C226&amp;"",tbl_Finance[Xero Invoice No],"&lt;&gt;"))</f>
        <v/>
      </c>
      <c r="J226" s="27">
        <f>IF(C226="","",H226-I226)</f>
        <v/>
      </c>
      <c r="K226" s="25">
        <f>IF(C226="","",IF(G226=0,"not invoiced yet",SUBSTITUTE(TRIM(IF(COUNTIFS(tbl_Finance[Job Number],C226&amp;"",tbl_Finance[Cost Centre],"ONSITE")&gt;0,"ONSITE ","")&amp;IF(COUNTIFS(tbl_Finance[Job Number],C226&amp;"",tbl_Finance[Cost Centre],"PRODUCTION")&gt;0,"PRODUCTION ","")&amp;IF(COUNTIFS(tbl_Finance[Job Number],C226&amp;"",tbl_Finance[Cost Centre],"VIDEO")&gt;0,"VIDEO ","")&amp;IF(COUNTIFS(tbl_Finance[Job Number],C226&amp;"",tbl_Finance[Cost Centre],"INTEGRATION")&gt;0,"INTEGRATION ","")&amp;IF(COUNTIFS(tbl_Finance[Job Number],C226&amp;"",tbl_Finance[Cost Centre],"CONSULTING")&gt;0,"CONSULTING ","")&amp;IF(COUNTIFS(tbl_Finance[Job Number],C226&amp;"",tbl_Finance[Cost Centre],"CTS")&gt;0,"CTS ",""))," ",", ")))</f>
        <v/>
      </c>
      <c r="L226" s="22" t="n"/>
      <c r="M226" s="24" t="n"/>
      <c r="N226" s="25">
        <f>IF(M226="","",IF(AND(LEFT(M226,4)&lt;&gt;"http",set_RMSBase=""),"",HYPERLINK(IF(LEFT(M226,4)="http",M226,set_RMSBase&amp;M226),"Open opportunity")))</f>
        <v/>
      </c>
      <c r="O226" s="25">
        <f>IF(C226="","",C226)</f>
        <v/>
      </c>
      <c r="P226" s="24" t="n"/>
      <c r="Q226" s="26" t="n"/>
      <c r="R226" s="27">
        <f>IF(C226="","",H226+N(Q226))</f>
        <v/>
      </c>
      <c r="S226" s="29">
        <f>IFERROR(Q226/R226,"")</f>
        <v/>
      </c>
      <c r="T226" s="26" t="n"/>
      <c r="U226" s="26" t="n"/>
      <c r="V226" s="27">
        <f>IF(C226="","",N(T226)+N(U226))</f>
        <v/>
      </c>
      <c r="W226" s="27">
        <f>IF(C226="","",H226-V226)</f>
        <v/>
      </c>
      <c r="X226" s="29">
        <f>IFERROR(W226/H226,"")</f>
        <v/>
      </c>
      <c r="Y226" s="64" t="n"/>
      <c r="Z226" s="64" t="n"/>
      <c r="AA226" s="64" t="n"/>
      <c r="AB226" s="64" t="n"/>
      <c r="AC226" s="64" t="n"/>
      <c r="AD226" s="24" t="n"/>
    </row>
    <row r="227" ht="15" customHeight="1">
      <c r="A227" s="63">
        <f>IF(C227="","",IFERROR(IF(SUMPRODUCT(MAX((tbl_Finance[Job Number]=C227&amp;"")*(tbl_Finance[Xero Invoice No]&lt;&gt;"")*tbl_Finance[Date]))=0,"",SUMPRODUCT(MAX((tbl_Finance[Job Number]=C227&amp;"")*(tbl_Finance[Xero Invoice No]&lt;&gt;"")*tbl_Finance[Date]))),""))</f>
        <v/>
      </c>
      <c r="B227" s="25">
        <f>IF(C227="","",IF(COUNTIFS(tbl_Finance[Job Number],C227&amp;"",tbl_Finance[Xero Invoice No],"&lt;&gt;")=0,"",IFERROR(IF(COUNTIFS(tbl_Finance[Job Number],C227&amp;"",tbl_Finance[Xero Invoice No],LOOKUP(2,1/((tbl_Finance[Job Number]=C227&amp;"")*(tbl_Finance[Xero Invoice No]&lt;&gt;"")),tbl_Finance[Xero Invoice No]))=COUNTIFS(tbl_Finance[Job Number],C227&amp;"",tbl_Finance[Xero Invoice No],"&lt;&gt;"),LOOKUP(2,1/((tbl_Finance[Job Number]=C227&amp;"")*(tbl_Finance[Xero Invoice No]&lt;&gt;"")),tbl_Finance[Xero Invoice No]),LOOKUP(2,1/((tbl_Finance[Job Number]=C227&amp;"")*(tbl_Finance[Xero Invoice No]&lt;&gt;"")),tbl_Finance[Xero Invoice No])&amp;" +more"),"")))</f>
        <v/>
      </c>
      <c r="C227" s="24" t="n"/>
      <c r="D227" s="25">
        <f>IF(C227="","",IF(COUNTIF(lst_Jobs,C227&amp;"")&gt;0,"OK","CHECK"))</f>
        <v/>
      </c>
      <c r="E227" s="25">
        <f>IF(C227="","",IFERROR(INDEX(lst_JobName,MATCH(C227&amp;"",lst_Jobs,0)),""))</f>
        <v/>
      </c>
      <c r="F227" s="25">
        <f>IF(C227="","",IFERROR(INDEX(tbl_Finance[Client],MATCH(C227&amp;"",tbl_Finance[Job Number],0)),""))</f>
        <v/>
      </c>
      <c r="G227" s="28">
        <f>IF(C227="","",COUNTIFS(tbl_Finance[Job Number],C227&amp;"",tbl_Finance[Ex GST],"&lt;&gt;"))</f>
        <v/>
      </c>
      <c r="H227" s="27">
        <f>IF(C227="","",SUMIFS(tbl_Finance[Ex GST],tbl_Finance[Job Number],C227&amp;""))</f>
        <v/>
      </c>
      <c r="I227" s="27">
        <f>IF(C227="","",SUMIFS(tbl_Finance[Ex GST],tbl_Finance[Job Number],C227&amp;"",tbl_Finance[Xero Invoice No],"&lt;&gt;"))</f>
        <v/>
      </c>
      <c r="J227" s="27">
        <f>IF(C227="","",H227-I227)</f>
        <v/>
      </c>
      <c r="K227" s="25">
        <f>IF(C227="","",IF(G227=0,"not invoiced yet",SUBSTITUTE(TRIM(IF(COUNTIFS(tbl_Finance[Job Number],C227&amp;"",tbl_Finance[Cost Centre],"ONSITE")&gt;0,"ONSITE ","")&amp;IF(COUNTIFS(tbl_Finance[Job Number],C227&amp;"",tbl_Finance[Cost Centre],"PRODUCTION")&gt;0,"PRODUCTION ","")&amp;IF(COUNTIFS(tbl_Finance[Job Number],C227&amp;"",tbl_Finance[Cost Centre],"VIDEO")&gt;0,"VIDEO ","")&amp;IF(COUNTIFS(tbl_Finance[Job Number],C227&amp;"",tbl_Finance[Cost Centre],"INTEGRATION")&gt;0,"INTEGRATION ","")&amp;IF(COUNTIFS(tbl_Finance[Job Number],C227&amp;"",tbl_Finance[Cost Centre],"CONSULTING")&gt;0,"CONSULTING ","")&amp;IF(COUNTIFS(tbl_Finance[Job Number],C227&amp;"",tbl_Finance[Cost Centre],"CTS")&gt;0,"CTS ",""))," ",", ")))</f>
        <v/>
      </c>
      <c r="L227" s="22" t="n"/>
      <c r="M227" s="24" t="n"/>
      <c r="N227" s="25">
        <f>IF(M227="","",IF(AND(LEFT(M227,4)&lt;&gt;"http",set_RMSBase=""),"",HYPERLINK(IF(LEFT(M227,4)="http",M227,set_RMSBase&amp;M227),"Open opportunity")))</f>
        <v/>
      </c>
      <c r="O227" s="25">
        <f>IF(C227="","",C227)</f>
        <v/>
      </c>
      <c r="P227" s="24" t="n"/>
      <c r="Q227" s="26" t="n"/>
      <c r="R227" s="27">
        <f>IF(C227="","",H227+N(Q227))</f>
        <v/>
      </c>
      <c r="S227" s="29">
        <f>IFERROR(Q227/R227,"")</f>
        <v/>
      </c>
      <c r="T227" s="26" t="n"/>
      <c r="U227" s="26" t="n"/>
      <c r="V227" s="27">
        <f>IF(C227="","",N(T227)+N(U227))</f>
        <v/>
      </c>
      <c r="W227" s="27">
        <f>IF(C227="","",H227-V227)</f>
        <v/>
      </c>
      <c r="X227" s="29">
        <f>IFERROR(W227/H227,"")</f>
        <v/>
      </c>
      <c r="Y227" s="64" t="n"/>
      <c r="Z227" s="64" t="n"/>
      <c r="AA227" s="64" t="n"/>
      <c r="AB227" s="64" t="n"/>
      <c r="AC227" s="64" t="n"/>
      <c r="AD227" s="24" t="n"/>
    </row>
    <row r="228" ht="15" customHeight="1">
      <c r="A228" s="63">
        <f>IF(C228="","",IFERROR(IF(SUMPRODUCT(MAX((tbl_Finance[Job Number]=C228&amp;"")*(tbl_Finance[Xero Invoice No]&lt;&gt;"")*tbl_Finance[Date]))=0,"",SUMPRODUCT(MAX((tbl_Finance[Job Number]=C228&amp;"")*(tbl_Finance[Xero Invoice No]&lt;&gt;"")*tbl_Finance[Date]))),""))</f>
        <v/>
      </c>
      <c r="B228" s="25">
        <f>IF(C228="","",IF(COUNTIFS(tbl_Finance[Job Number],C228&amp;"",tbl_Finance[Xero Invoice No],"&lt;&gt;")=0,"",IFERROR(IF(COUNTIFS(tbl_Finance[Job Number],C228&amp;"",tbl_Finance[Xero Invoice No],LOOKUP(2,1/((tbl_Finance[Job Number]=C228&amp;"")*(tbl_Finance[Xero Invoice No]&lt;&gt;"")),tbl_Finance[Xero Invoice No]))=COUNTIFS(tbl_Finance[Job Number],C228&amp;"",tbl_Finance[Xero Invoice No],"&lt;&gt;"),LOOKUP(2,1/((tbl_Finance[Job Number]=C228&amp;"")*(tbl_Finance[Xero Invoice No]&lt;&gt;"")),tbl_Finance[Xero Invoice No]),LOOKUP(2,1/((tbl_Finance[Job Number]=C228&amp;"")*(tbl_Finance[Xero Invoice No]&lt;&gt;"")),tbl_Finance[Xero Invoice No])&amp;" +more"),"")))</f>
        <v/>
      </c>
      <c r="C228" s="24" t="n"/>
      <c r="D228" s="25">
        <f>IF(C228="","",IF(COUNTIF(lst_Jobs,C228&amp;"")&gt;0,"OK","CHECK"))</f>
        <v/>
      </c>
      <c r="E228" s="25">
        <f>IF(C228="","",IFERROR(INDEX(lst_JobName,MATCH(C228&amp;"",lst_Jobs,0)),""))</f>
        <v/>
      </c>
      <c r="F228" s="25">
        <f>IF(C228="","",IFERROR(INDEX(tbl_Finance[Client],MATCH(C228&amp;"",tbl_Finance[Job Number],0)),""))</f>
        <v/>
      </c>
      <c r="G228" s="28">
        <f>IF(C228="","",COUNTIFS(tbl_Finance[Job Number],C228&amp;"",tbl_Finance[Ex GST],"&lt;&gt;"))</f>
        <v/>
      </c>
      <c r="H228" s="27">
        <f>IF(C228="","",SUMIFS(tbl_Finance[Ex GST],tbl_Finance[Job Number],C228&amp;""))</f>
        <v/>
      </c>
      <c r="I228" s="27">
        <f>IF(C228="","",SUMIFS(tbl_Finance[Ex GST],tbl_Finance[Job Number],C228&amp;"",tbl_Finance[Xero Invoice No],"&lt;&gt;"))</f>
        <v/>
      </c>
      <c r="J228" s="27">
        <f>IF(C228="","",H228-I228)</f>
        <v/>
      </c>
      <c r="K228" s="25">
        <f>IF(C228="","",IF(G228=0,"not invoiced yet",SUBSTITUTE(TRIM(IF(COUNTIFS(tbl_Finance[Job Number],C228&amp;"",tbl_Finance[Cost Centre],"ONSITE")&gt;0,"ONSITE ","")&amp;IF(COUNTIFS(tbl_Finance[Job Number],C228&amp;"",tbl_Finance[Cost Centre],"PRODUCTION")&gt;0,"PRODUCTION ","")&amp;IF(COUNTIFS(tbl_Finance[Job Number],C228&amp;"",tbl_Finance[Cost Centre],"VIDEO")&gt;0,"VIDEO ","")&amp;IF(COUNTIFS(tbl_Finance[Job Number],C228&amp;"",tbl_Finance[Cost Centre],"INTEGRATION")&gt;0,"INTEGRATION ","")&amp;IF(COUNTIFS(tbl_Finance[Job Number],C228&amp;"",tbl_Finance[Cost Centre],"CONSULTING")&gt;0,"CONSULTING ","")&amp;IF(COUNTIFS(tbl_Finance[Job Number],C228&amp;"",tbl_Finance[Cost Centre],"CTS")&gt;0,"CTS ",""))," ",", ")))</f>
        <v/>
      </c>
      <c r="L228" s="22" t="n"/>
      <c r="M228" s="24" t="n"/>
      <c r="N228" s="25">
        <f>IF(M228="","",IF(AND(LEFT(M228,4)&lt;&gt;"http",set_RMSBase=""),"",HYPERLINK(IF(LEFT(M228,4)="http",M228,set_RMSBase&amp;M228),"Open opportunity")))</f>
        <v/>
      </c>
      <c r="O228" s="25">
        <f>IF(C228="","",C228)</f>
        <v/>
      </c>
      <c r="P228" s="24" t="n"/>
      <c r="Q228" s="26" t="n"/>
      <c r="R228" s="27">
        <f>IF(C228="","",H228+N(Q228))</f>
        <v/>
      </c>
      <c r="S228" s="29">
        <f>IFERROR(Q228/R228,"")</f>
        <v/>
      </c>
      <c r="T228" s="26" t="n"/>
      <c r="U228" s="26" t="n"/>
      <c r="V228" s="27">
        <f>IF(C228="","",N(T228)+N(U228))</f>
        <v/>
      </c>
      <c r="W228" s="27">
        <f>IF(C228="","",H228-V228)</f>
        <v/>
      </c>
      <c r="X228" s="29">
        <f>IFERROR(W228/H228,"")</f>
        <v/>
      </c>
      <c r="Y228" s="64" t="n"/>
      <c r="Z228" s="64" t="n"/>
      <c r="AA228" s="64" t="n"/>
      <c r="AB228" s="64" t="n"/>
      <c r="AC228" s="64" t="n"/>
      <c r="AD228" s="24" t="n"/>
    </row>
    <row r="229" ht="15" customHeight="1">
      <c r="A229" s="63">
        <f>IF(C229="","",IFERROR(IF(SUMPRODUCT(MAX((tbl_Finance[Job Number]=C229&amp;"")*(tbl_Finance[Xero Invoice No]&lt;&gt;"")*tbl_Finance[Date]))=0,"",SUMPRODUCT(MAX((tbl_Finance[Job Number]=C229&amp;"")*(tbl_Finance[Xero Invoice No]&lt;&gt;"")*tbl_Finance[Date]))),""))</f>
        <v/>
      </c>
      <c r="B229" s="25">
        <f>IF(C229="","",IF(COUNTIFS(tbl_Finance[Job Number],C229&amp;"",tbl_Finance[Xero Invoice No],"&lt;&gt;")=0,"",IFERROR(IF(COUNTIFS(tbl_Finance[Job Number],C229&amp;"",tbl_Finance[Xero Invoice No],LOOKUP(2,1/((tbl_Finance[Job Number]=C229&amp;"")*(tbl_Finance[Xero Invoice No]&lt;&gt;"")),tbl_Finance[Xero Invoice No]))=COUNTIFS(tbl_Finance[Job Number],C229&amp;"",tbl_Finance[Xero Invoice No],"&lt;&gt;"),LOOKUP(2,1/((tbl_Finance[Job Number]=C229&amp;"")*(tbl_Finance[Xero Invoice No]&lt;&gt;"")),tbl_Finance[Xero Invoice No]),LOOKUP(2,1/((tbl_Finance[Job Number]=C229&amp;"")*(tbl_Finance[Xero Invoice No]&lt;&gt;"")),tbl_Finance[Xero Invoice No])&amp;" +more"),"")))</f>
        <v/>
      </c>
      <c r="C229" s="24" t="n"/>
      <c r="D229" s="25">
        <f>IF(C229="","",IF(COUNTIF(lst_Jobs,C229&amp;"")&gt;0,"OK","CHECK"))</f>
        <v/>
      </c>
      <c r="E229" s="25">
        <f>IF(C229="","",IFERROR(INDEX(lst_JobName,MATCH(C229&amp;"",lst_Jobs,0)),""))</f>
        <v/>
      </c>
      <c r="F229" s="25">
        <f>IF(C229="","",IFERROR(INDEX(tbl_Finance[Client],MATCH(C229&amp;"",tbl_Finance[Job Number],0)),""))</f>
        <v/>
      </c>
      <c r="G229" s="28">
        <f>IF(C229="","",COUNTIFS(tbl_Finance[Job Number],C229&amp;"",tbl_Finance[Ex GST],"&lt;&gt;"))</f>
        <v/>
      </c>
      <c r="H229" s="27">
        <f>IF(C229="","",SUMIFS(tbl_Finance[Ex GST],tbl_Finance[Job Number],C229&amp;""))</f>
        <v/>
      </c>
      <c r="I229" s="27">
        <f>IF(C229="","",SUMIFS(tbl_Finance[Ex GST],tbl_Finance[Job Number],C229&amp;"",tbl_Finance[Xero Invoice No],"&lt;&gt;"))</f>
        <v/>
      </c>
      <c r="J229" s="27">
        <f>IF(C229="","",H229-I229)</f>
        <v/>
      </c>
      <c r="K229" s="25">
        <f>IF(C229="","",IF(G229=0,"not invoiced yet",SUBSTITUTE(TRIM(IF(COUNTIFS(tbl_Finance[Job Number],C229&amp;"",tbl_Finance[Cost Centre],"ONSITE")&gt;0,"ONSITE ","")&amp;IF(COUNTIFS(tbl_Finance[Job Number],C229&amp;"",tbl_Finance[Cost Centre],"PRODUCTION")&gt;0,"PRODUCTION ","")&amp;IF(COUNTIFS(tbl_Finance[Job Number],C229&amp;"",tbl_Finance[Cost Centre],"VIDEO")&gt;0,"VIDEO ","")&amp;IF(COUNTIFS(tbl_Finance[Job Number],C229&amp;"",tbl_Finance[Cost Centre],"INTEGRATION")&gt;0,"INTEGRATION ","")&amp;IF(COUNTIFS(tbl_Finance[Job Number],C229&amp;"",tbl_Finance[Cost Centre],"CONSULTING")&gt;0,"CONSULTING ","")&amp;IF(COUNTIFS(tbl_Finance[Job Number],C229&amp;"",tbl_Finance[Cost Centre],"CTS")&gt;0,"CTS ",""))," ",", ")))</f>
        <v/>
      </c>
      <c r="L229" s="22" t="n"/>
      <c r="M229" s="24" t="n"/>
      <c r="N229" s="25">
        <f>IF(M229="","",IF(AND(LEFT(M229,4)&lt;&gt;"http",set_RMSBase=""),"",HYPERLINK(IF(LEFT(M229,4)="http",M229,set_RMSBase&amp;M229),"Open opportunity")))</f>
        <v/>
      </c>
      <c r="O229" s="25">
        <f>IF(C229="","",C229)</f>
        <v/>
      </c>
      <c r="P229" s="24" t="n"/>
      <c r="Q229" s="26" t="n"/>
      <c r="R229" s="27">
        <f>IF(C229="","",H229+N(Q229))</f>
        <v/>
      </c>
      <c r="S229" s="29">
        <f>IFERROR(Q229/R229,"")</f>
        <v/>
      </c>
      <c r="T229" s="26" t="n"/>
      <c r="U229" s="26" t="n"/>
      <c r="V229" s="27">
        <f>IF(C229="","",N(T229)+N(U229))</f>
        <v/>
      </c>
      <c r="W229" s="27">
        <f>IF(C229="","",H229-V229)</f>
        <v/>
      </c>
      <c r="X229" s="29">
        <f>IFERROR(W229/H229,"")</f>
        <v/>
      </c>
      <c r="Y229" s="64" t="n"/>
      <c r="Z229" s="64" t="n"/>
      <c r="AA229" s="64" t="n"/>
      <c r="AB229" s="64" t="n"/>
      <c r="AC229" s="64" t="n"/>
      <c r="AD229" s="24" t="n"/>
    </row>
    <row r="230" ht="15" customHeight="1">
      <c r="A230" s="63">
        <f>IF(C230="","",IFERROR(IF(SUMPRODUCT(MAX((tbl_Finance[Job Number]=C230&amp;"")*(tbl_Finance[Xero Invoice No]&lt;&gt;"")*tbl_Finance[Date]))=0,"",SUMPRODUCT(MAX((tbl_Finance[Job Number]=C230&amp;"")*(tbl_Finance[Xero Invoice No]&lt;&gt;"")*tbl_Finance[Date]))),""))</f>
        <v/>
      </c>
      <c r="B230" s="25">
        <f>IF(C230="","",IF(COUNTIFS(tbl_Finance[Job Number],C230&amp;"",tbl_Finance[Xero Invoice No],"&lt;&gt;")=0,"",IFERROR(IF(COUNTIFS(tbl_Finance[Job Number],C230&amp;"",tbl_Finance[Xero Invoice No],LOOKUP(2,1/((tbl_Finance[Job Number]=C230&amp;"")*(tbl_Finance[Xero Invoice No]&lt;&gt;"")),tbl_Finance[Xero Invoice No]))=COUNTIFS(tbl_Finance[Job Number],C230&amp;"",tbl_Finance[Xero Invoice No],"&lt;&gt;"),LOOKUP(2,1/((tbl_Finance[Job Number]=C230&amp;"")*(tbl_Finance[Xero Invoice No]&lt;&gt;"")),tbl_Finance[Xero Invoice No]),LOOKUP(2,1/((tbl_Finance[Job Number]=C230&amp;"")*(tbl_Finance[Xero Invoice No]&lt;&gt;"")),tbl_Finance[Xero Invoice No])&amp;" +more"),"")))</f>
        <v/>
      </c>
      <c r="C230" s="24" t="n"/>
      <c r="D230" s="25">
        <f>IF(C230="","",IF(COUNTIF(lst_Jobs,C230&amp;"")&gt;0,"OK","CHECK"))</f>
        <v/>
      </c>
      <c r="E230" s="25">
        <f>IF(C230="","",IFERROR(INDEX(lst_JobName,MATCH(C230&amp;"",lst_Jobs,0)),""))</f>
        <v/>
      </c>
      <c r="F230" s="25">
        <f>IF(C230="","",IFERROR(INDEX(tbl_Finance[Client],MATCH(C230&amp;"",tbl_Finance[Job Number],0)),""))</f>
        <v/>
      </c>
      <c r="G230" s="28">
        <f>IF(C230="","",COUNTIFS(tbl_Finance[Job Number],C230&amp;"",tbl_Finance[Ex GST],"&lt;&gt;"))</f>
        <v/>
      </c>
      <c r="H230" s="27">
        <f>IF(C230="","",SUMIFS(tbl_Finance[Ex GST],tbl_Finance[Job Number],C230&amp;""))</f>
        <v/>
      </c>
      <c r="I230" s="27">
        <f>IF(C230="","",SUMIFS(tbl_Finance[Ex GST],tbl_Finance[Job Number],C230&amp;"",tbl_Finance[Xero Invoice No],"&lt;&gt;"))</f>
        <v/>
      </c>
      <c r="J230" s="27">
        <f>IF(C230="","",H230-I230)</f>
        <v/>
      </c>
      <c r="K230" s="25">
        <f>IF(C230="","",IF(G230=0,"not invoiced yet",SUBSTITUTE(TRIM(IF(COUNTIFS(tbl_Finance[Job Number],C230&amp;"",tbl_Finance[Cost Centre],"ONSITE")&gt;0,"ONSITE ","")&amp;IF(COUNTIFS(tbl_Finance[Job Number],C230&amp;"",tbl_Finance[Cost Centre],"PRODUCTION")&gt;0,"PRODUCTION ","")&amp;IF(COUNTIFS(tbl_Finance[Job Number],C230&amp;"",tbl_Finance[Cost Centre],"VIDEO")&gt;0,"VIDEO ","")&amp;IF(COUNTIFS(tbl_Finance[Job Number],C230&amp;"",tbl_Finance[Cost Centre],"INTEGRATION")&gt;0,"INTEGRATION ","")&amp;IF(COUNTIFS(tbl_Finance[Job Number],C230&amp;"",tbl_Finance[Cost Centre],"CONSULTING")&gt;0,"CONSULTING ","")&amp;IF(COUNTIFS(tbl_Finance[Job Number],C230&amp;"",tbl_Finance[Cost Centre],"CTS")&gt;0,"CTS ",""))," ",", ")))</f>
        <v/>
      </c>
      <c r="L230" s="22" t="n"/>
      <c r="M230" s="24" t="n"/>
      <c r="N230" s="25">
        <f>IF(M230="","",IF(AND(LEFT(M230,4)&lt;&gt;"http",set_RMSBase=""),"",HYPERLINK(IF(LEFT(M230,4)="http",M230,set_RMSBase&amp;M230),"Open opportunity")))</f>
        <v/>
      </c>
      <c r="O230" s="25">
        <f>IF(C230="","",C230)</f>
        <v/>
      </c>
      <c r="P230" s="24" t="n"/>
      <c r="Q230" s="26" t="n"/>
      <c r="R230" s="27">
        <f>IF(C230="","",H230+N(Q230))</f>
        <v/>
      </c>
      <c r="S230" s="29">
        <f>IFERROR(Q230/R230,"")</f>
        <v/>
      </c>
      <c r="T230" s="26" t="n"/>
      <c r="U230" s="26" t="n"/>
      <c r="V230" s="27">
        <f>IF(C230="","",N(T230)+N(U230))</f>
        <v/>
      </c>
      <c r="W230" s="27">
        <f>IF(C230="","",H230-V230)</f>
        <v/>
      </c>
      <c r="X230" s="29">
        <f>IFERROR(W230/H230,"")</f>
        <v/>
      </c>
      <c r="Y230" s="64" t="n"/>
      <c r="Z230" s="64" t="n"/>
      <c r="AA230" s="64" t="n"/>
      <c r="AB230" s="64" t="n"/>
      <c r="AC230" s="64" t="n"/>
      <c r="AD230" s="24" t="n"/>
    </row>
    <row r="231" ht="15" customHeight="1">
      <c r="A231" s="63">
        <f>IF(C231="","",IFERROR(IF(SUMPRODUCT(MAX((tbl_Finance[Job Number]=C231&amp;"")*(tbl_Finance[Xero Invoice No]&lt;&gt;"")*tbl_Finance[Date]))=0,"",SUMPRODUCT(MAX((tbl_Finance[Job Number]=C231&amp;"")*(tbl_Finance[Xero Invoice No]&lt;&gt;"")*tbl_Finance[Date]))),""))</f>
        <v/>
      </c>
      <c r="B231" s="25">
        <f>IF(C231="","",IF(COUNTIFS(tbl_Finance[Job Number],C231&amp;"",tbl_Finance[Xero Invoice No],"&lt;&gt;")=0,"",IFERROR(IF(COUNTIFS(tbl_Finance[Job Number],C231&amp;"",tbl_Finance[Xero Invoice No],LOOKUP(2,1/((tbl_Finance[Job Number]=C231&amp;"")*(tbl_Finance[Xero Invoice No]&lt;&gt;"")),tbl_Finance[Xero Invoice No]))=COUNTIFS(tbl_Finance[Job Number],C231&amp;"",tbl_Finance[Xero Invoice No],"&lt;&gt;"),LOOKUP(2,1/((tbl_Finance[Job Number]=C231&amp;"")*(tbl_Finance[Xero Invoice No]&lt;&gt;"")),tbl_Finance[Xero Invoice No]),LOOKUP(2,1/((tbl_Finance[Job Number]=C231&amp;"")*(tbl_Finance[Xero Invoice No]&lt;&gt;"")),tbl_Finance[Xero Invoice No])&amp;" +more"),"")))</f>
        <v/>
      </c>
      <c r="C231" s="24" t="n"/>
      <c r="D231" s="25">
        <f>IF(C231="","",IF(COUNTIF(lst_Jobs,C231&amp;"")&gt;0,"OK","CHECK"))</f>
        <v/>
      </c>
      <c r="E231" s="25">
        <f>IF(C231="","",IFERROR(INDEX(lst_JobName,MATCH(C231&amp;"",lst_Jobs,0)),""))</f>
        <v/>
      </c>
      <c r="F231" s="25">
        <f>IF(C231="","",IFERROR(INDEX(tbl_Finance[Client],MATCH(C231&amp;"",tbl_Finance[Job Number],0)),""))</f>
        <v/>
      </c>
      <c r="G231" s="28">
        <f>IF(C231="","",COUNTIFS(tbl_Finance[Job Number],C231&amp;"",tbl_Finance[Ex GST],"&lt;&gt;"))</f>
        <v/>
      </c>
      <c r="H231" s="27">
        <f>IF(C231="","",SUMIFS(tbl_Finance[Ex GST],tbl_Finance[Job Number],C231&amp;""))</f>
        <v/>
      </c>
      <c r="I231" s="27">
        <f>IF(C231="","",SUMIFS(tbl_Finance[Ex GST],tbl_Finance[Job Number],C231&amp;"",tbl_Finance[Xero Invoice No],"&lt;&gt;"))</f>
        <v/>
      </c>
      <c r="J231" s="27">
        <f>IF(C231="","",H231-I231)</f>
        <v/>
      </c>
      <c r="K231" s="25">
        <f>IF(C231="","",IF(G231=0,"not invoiced yet",SUBSTITUTE(TRIM(IF(COUNTIFS(tbl_Finance[Job Number],C231&amp;"",tbl_Finance[Cost Centre],"ONSITE")&gt;0,"ONSITE ","")&amp;IF(COUNTIFS(tbl_Finance[Job Number],C231&amp;"",tbl_Finance[Cost Centre],"PRODUCTION")&gt;0,"PRODUCTION ","")&amp;IF(COUNTIFS(tbl_Finance[Job Number],C231&amp;"",tbl_Finance[Cost Centre],"VIDEO")&gt;0,"VIDEO ","")&amp;IF(COUNTIFS(tbl_Finance[Job Number],C231&amp;"",tbl_Finance[Cost Centre],"INTEGRATION")&gt;0,"INTEGRATION ","")&amp;IF(COUNTIFS(tbl_Finance[Job Number],C231&amp;"",tbl_Finance[Cost Centre],"CONSULTING")&gt;0,"CONSULTING ","")&amp;IF(COUNTIFS(tbl_Finance[Job Number],C231&amp;"",tbl_Finance[Cost Centre],"CTS")&gt;0,"CTS ",""))," ",", ")))</f>
        <v/>
      </c>
      <c r="L231" s="22" t="n"/>
      <c r="M231" s="24" t="n"/>
      <c r="N231" s="25">
        <f>IF(M231="","",IF(AND(LEFT(M231,4)&lt;&gt;"http",set_RMSBase=""),"",HYPERLINK(IF(LEFT(M231,4)="http",M231,set_RMSBase&amp;M231),"Open opportunity")))</f>
        <v/>
      </c>
      <c r="O231" s="25">
        <f>IF(C231="","",C231)</f>
        <v/>
      </c>
      <c r="P231" s="24" t="n"/>
      <c r="Q231" s="26" t="n"/>
      <c r="R231" s="27">
        <f>IF(C231="","",H231+N(Q231))</f>
        <v/>
      </c>
      <c r="S231" s="29">
        <f>IFERROR(Q231/R231,"")</f>
        <v/>
      </c>
      <c r="T231" s="26" t="n"/>
      <c r="U231" s="26" t="n"/>
      <c r="V231" s="27">
        <f>IF(C231="","",N(T231)+N(U231))</f>
        <v/>
      </c>
      <c r="W231" s="27">
        <f>IF(C231="","",H231-V231)</f>
        <v/>
      </c>
      <c r="X231" s="29">
        <f>IFERROR(W231/H231,"")</f>
        <v/>
      </c>
      <c r="Y231" s="64" t="n"/>
      <c r="Z231" s="64" t="n"/>
      <c r="AA231" s="64" t="n"/>
      <c r="AB231" s="64" t="n"/>
      <c r="AC231" s="64" t="n"/>
      <c r="AD231" s="24" t="n"/>
    </row>
    <row r="232" ht="15" customHeight="1">
      <c r="A232" s="63">
        <f>IF(C232="","",IFERROR(IF(SUMPRODUCT(MAX((tbl_Finance[Job Number]=C232&amp;"")*(tbl_Finance[Xero Invoice No]&lt;&gt;"")*tbl_Finance[Date]))=0,"",SUMPRODUCT(MAX((tbl_Finance[Job Number]=C232&amp;"")*(tbl_Finance[Xero Invoice No]&lt;&gt;"")*tbl_Finance[Date]))),""))</f>
        <v/>
      </c>
      <c r="B232" s="25">
        <f>IF(C232="","",IF(COUNTIFS(tbl_Finance[Job Number],C232&amp;"",tbl_Finance[Xero Invoice No],"&lt;&gt;")=0,"",IFERROR(IF(COUNTIFS(tbl_Finance[Job Number],C232&amp;"",tbl_Finance[Xero Invoice No],LOOKUP(2,1/((tbl_Finance[Job Number]=C232&amp;"")*(tbl_Finance[Xero Invoice No]&lt;&gt;"")),tbl_Finance[Xero Invoice No]))=COUNTIFS(tbl_Finance[Job Number],C232&amp;"",tbl_Finance[Xero Invoice No],"&lt;&gt;"),LOOKUP(2,1/((tbl_Finance[Job Number]=C232&amp;"")*(tbl_Finance[Xero Invoice No]&lt;&gt;"")),tbl_Finance[Xero Invoice No]),LOOKUP(2,1/((tbl_Finance[Job Number]=C232&amp;"")*(tbl_Finance[Xero Invoice No]&lt;&gt;"")),tbl_Finance[Xero Invoice No])&amp;" +more"),"")))</f>
        <v/>
      </c>
      <c r="C232" s="24" t="n"/>
      <c r="D232" s="25">
        <f>IF(C232="","",IF(COUNTIF(lst_Jobs,C232&amp;"")&gt;0,"OK","CHECK"))</f>
        <v/>
      </c>
      <c r="E232" s="25">
        <f>IF(C232="","",IFERROR(INDEX(lst_JobName,MATCH(C232&amp;"",lst_Jobs,0)),""))</f>
        <v/>
      </c>
      <c r="F232" s="25">
        <f>IF(C232="","",IFERROR(INDEX(tbl_Finance[Client],MATCH(C232&amp;"",tbl_Finance[Job Number],0)),""))</f>
        <v/>
      </c>
      <c r="G232" s="28">
        <f>IF(C232="","",COUNTIFS(tbl_Finance[Job Number],C232&amp;"",tbl_Finance[Ex GST],"&lt;&gt;"))</f>
        <v/>
      </c>
      <c r="H232" s="27">
        <f>IF(C232="","",SUMIFS(tbl_Finance[Ex GST],tbl_Finance[Job Number],C232&amp;""))</f>
        <v/>
      </c>
      <c r="I232" s="27">
        <f>IF(C232="","",SUMIFS(tbl_Finance[Ex GST],tbl_Finance[Job Number],C232&amp;"",tbl_Finance[Xero Invoice No],"&lt;&gt;"))</f>
        <v/>
      </c>
      <c r="J232" s="27">
        <f>IF(C232="","",H232-I232)</f>
        <v/>
      </c>
      <c r="K232" s="25">
        <f>IF(C232="","",IF(G232=0,"not invoiced yet",SUBSTITUTE(TRIM(IF(COUNTIFS(tbl_Finance[Job Number],C232&amp;"",tbl_Finance[Cost Centre],"ONSITE")&gt;0,"ONSITE ","")&amp;IF(COUNTIFS(tbl_Finance[Job Number],C232&amp;"",tbl_Finance[Cost Centre],"PRODUCTION")&gt;0,"PRODUCTION ","")&amp;IF(COUNTIFS(tbl_Finance[Job Number],C232&amp;"",tbl_Finance[Cost Centre],"VIDEO")&gt;0,"VIDEO ","")&amp;IF(COUNTIFS(tbl_Finance[Job Number],C232&amp;"",tbl_Finance[Cost Centre],"INTEGRATION")&gt;0,"INTEGRATION ","")&amp;IF(COUNTIFS(tbl_Finance[Job Number],C232&amp;"",tbl_Finance[Cost Centre],"CONSULTING")&gt;0,"CONSULTING ","")&amp;IF(COUNTIFS(tbl_Finance[Job Number],C232&amp;"",tbl_Finance[Cost Centre],"CTS")&gt;0,"CTS ",""))," ",", ")))</f>
        <v/>
      </c>
      <c r="L232" s="22" t="n"/>
      <c r="M232" s="24" t="n"/>
      <c r="N232" s="25">
        <f>IF(M232="","",IF(AND(LEFT(M232,4)&lt;&gt;"http",set_RMSBase=""),"",HYPERLINK(IF(LEFT(M232,4)="http",M232,set_RMSBase&amp;M232),"Open opportunity")))</f>
        <v/>
      </c>
      <c r="O232" s="25">
        <f>IF(C232="","",C232)</f>
        <v/>
      </c>
      <c r="P232" s="24" t="n"/>
      <c r="Q232" s="26" t="n"/>
      <c r="R232" s="27">
        <f>IF(C232="","",H232+N(Q232))</f>
        <v/>
      </c>
      <c r="S232" s="29">
        <f>IFERROR(Q232/R232,"")</f>
        <v/>
      </c>
      <c r="T232" s="26" t="n"/>
      <c r="U232" s="26" t="n"/>
      <c r="V232" s="27">
        <f>IF(C232="","",N(T232)+N(U232))</f>
        <v/>
      </c>
      <c r="W232" s="27">
        <f>IF(C232="","",H232-V232)</f>
        <v/>
      </c>
      <c r="X232" s="29">
        <f>IFERROR(W232/H232,"")</f>
        <v/>
      </c>
      <c r="Y232" s="64" t="n"/>
      <c r="Z232" s="64" t="n"/>
      <c r="AA232" s="64" t="n"/>
      <c r="AB232" s="64" t="n"/>
      <c r="AC232" s="64" t="n"/>
      <c r="AD232" s="24" t="n"/>
    </row>
    <row r="233" ht="15" customHeight="1">
      <c r="A233" s="63">
        <f>IF(C233="","",IFERROR(IF(SUMPRODUCT(MAX((tbl_Finance[Job Number]=C233&amp;"")*(tbl_Finance[Xero Invoice No]&lt;&gt;"")*tbl_Finance[Date]))=0,"",SUMPRODUCT(MAX((tbl_Finance[Job Number]=C233&amp;"")*(tbl_Finance[Xero Invoice No]&lt;&gt;"")*tbl_Finance[Date]))),""))</f>
        <v/>
      </c>
      <c r="B233" s="25">
        <f>IF(C233="","",IF(COUNTIFS(tbl_Finance[Job Number],C233&amp;"",tbl_Finance[Xero Invoice No],"&lt;&gt;")=0,"",IFERROR(IF(COUNTIFS(tbl_Finance[Job Number],C233&amp;"",tbl_Finance[Xero Invoice No],LOOKUP(2,1/((tbl_Finance[Job Number]=C233&amp;"")*(tbl_Finance[Xero Invoice No]&lt;&gt;"")),tbl_Finance[Xero Invoice No]))=COUNTIFS(tbl_Finance[Job Number],C233&amp;"",tbl_Finance[Xero Invoice No],"&lt;&gt;"),LOOKUP(2,1/((tbl_Finance[Job Number]=C233&amp;"")*(tbl_Finance[Xero Invoice No]&lt;&gt;"")),tbl_Finance[Xero Invoice No]),LOOKUP(2,1/((tbl_Finance[Job Number]=C233&amp;"")*(tbl_Finance[Xero Invoice No]&lt;&gt;"")),tbl_Finance[Xero Invoice No])&amp;" +more"),"")))</f>
        <v/>
      </c>
      <c r="C233" s="24" t="n"/>
      <c r="D233" s="25">
        <f>IF(C233="","",IF(COUNTIF(lst_Jobs,C233&amp;"")&gt;0,"OK","CHECK"))</f>
        <v/>
      </c>
      <c r="E233" s="25">
        <f>IF(C233="","",IFERROR(INDEX(lst_JobName,MATCH(C233&amp;"",lst_Jobs,0)),""))</f>
        <v/>
      </c>
      <c r="F233" s="25">
        <f>IF(C233="","",IFERROR(INDEX(tbl_Finance[Client],MATCH(C233&amp;"",tbl_Finance[Job Number],0)),""))</f>
        <v/>
      </c>
      <c r="G233" s="28">
        <f>IF(C233="","",COUNTIFS(tbl_Finance[Job Number],C233&amp;"",tbl_Finance[Ex GST],"&lt;&gt;"))</f>
        <v/>
      </c>
      <c r="H233" s="27">
        <f>IF(C233="","",SUMIFS(tbl_Finance[Ex GST],tbl_Finance[Job Number],C233&amp;""))</f>
        <v/>
      </c>
      <c r="I233" s="27">
        <f>IF(C233="","",SUMIFS(tbl_Finance[Ex GST],tbl_Finance[Job Number],C233&amp;"",tbl_Finance[Xero Invoice No],"&lt;&gt;"))</f>
        <v/>
      </c>
      <c r="J233" s="27">
        <f>IF(C233="","",H233-I233)</f>
        <v/>
      </c>
      <c r="K233" s="25">
        <f>IF(C233="","",IF(G233=0,"not invoiced yet",SUBSTITUTE(TRIM(IF(COUNTIFS(tbl_Finance[Job Number],C233&amp;"",tbl_Finance[Cost Centre],"ONSITE")&gt;0,"ONSITE ","")&amp;IF(COUNTIFS(tbl_Finance[Job Number],C233&amp;"",tbl_Finance[Cost Centre],"PRODUCTION")&gt;0,"PRODUCTION ","")&amp;IF(COUNTIFS(tbl_Finance[Job Number],C233&amp;"",tbl_Finance[Cost Centre],"VIDEO")&gt;0,"VIDEO ","")&amp;IF(COUNTIFS(tbl_Finance[Job Number],C233&amp;"",tbl_Finance[Cost Centre],"INTEGRATION")&gt;0,"INTEGRATION ","")&amp;IF(COUNTIFS(tbl_Finance[Job Number],C233&amp;"",tbl_Finance[Cost Centre],"CONSULTING")&gt;0,"CONSULTING ","")&amp;IF(COUNTIFS(tbl_Finance[Job Number],C233&amp;"",tbl_Finance[Cost Centre],"CTS")&gt;0,"CTS ",""))," ",", ")))</f>
        <v/>
      </c>
      <c r="L233" s="22" t="n"/>
      <c r="M233" s="24" t="n"/>
      <c r="N233" s="25">
        <f>IF(M233="","",IF(AND(LEFT(M233,4)&lt;&gt;"http",set_RMSBase=""),"",HYPERLINK(IF(LEFT(M233,4)="http",M233,set_RMSBase&amp;M233),"Open opportunity")))</f>
        <v/>
      </c>
      <c r="O233" s="25">
        <f>IF(C233="","",C233)</f>
        <v/>
      </c>
      <c r="P233" s="24" t="n"/>
      <c r="Q233" s="26" t="n"/>
      <c r="R233" s="27">
        <f>IF(C233="","",H233+N(Q233))</f>
        <v/>
      </c>
      <c r="S233" s="29">
        <f>IFERROR(Q233/R233,"")</f>
        <v/>
      </c>
      <c r="T233" s="26" t="n"/>
      <c r="U233" s="26" t="n"/>
      <c r="V233" s="27">
        <f>IF(C233="","",N(T233)+N(U233))</f>
        <v/>
      </c>
      <c r="W233" s="27">
        <f>IF(C233="","",H233-V233)</f>
        <v/>
      </c>
      <c r="X233" s="29">
        <f>IFERROR(W233/H233,"")</f>
        <v/>
      </c>
      <c r="Y233" s="64" t="n"/>
      <c r="Z233" s="64" t="n"/>
      <c r="AA233" s="64" t="n"/>
      <c r="AB233" s="64" t="n"/>
      <c r="AC233" s="64" t="n"/>
      <c r="AD233" s="24" t="n"/>
    </row>
    <row r="234" ht="15" customHeight="1">
      <c r="A234" s="63">
        <f>IF(C234="","",IFERROR(IF(SUMPRODUCT(MAX((tbl_Finance[Job Number]=C234&amp;"")*(tbl_Finance[Xero Invoice No]&lt;&gt;"")*tbl_Finance[Date]))=0,"",SUMPRODUCT(MAX((tbl_Finance[Job Number]=C234&amp;"")*(tbl_Finance[Xero Invoice No]&lt;&gt;"")*tbl_Finance[Date]))),""))</f>
        <v/>
      </c>
      <c r="B234" s="25">
        <f>IF(C234="","",IF(COUNTIFS(tbl_Finance[Job Number],C234&amp;"",tbl_Finance[Xero Invoice No],"&lt;&gt;")=0,"",IFERROR(IF(COUNTIFS(tbl_Finance[Job Number],C234&amp;"",tbl_Finance[Xero Invoice No],LOOKUP(2,1/((tbl_Finance[Job Number]=C234&amp;"")*(tbl_Finance[Xero Invoice No]&lt;&gt;"")),tbl_Finance[Xero Invoice No]))=COUNTIFS(tbl_Finance[Job Number],C234&amp;"",tbl_Finance[Xero Invoice No],"&lt;&gt;"),LOOKUP(2,1/((tbl_Finance[Job Number]=C234&amp;"")*(tbl_Finance[Xero Invoice No]&lt;&gt;"")),tbl_Finance[Xero Invoice No]),LOOKUP(2,1/((tbl_Finance[Job Number]=C234&amp;"")*(tbl_Finance[Xero Invoice No]&lt;&gt;"")),tbl_Finance[Xero Invoice No])&amp;" +more"),"")))</f>
        <v/>
      </c>
      <c r="C234" s="24" t="n"/>
      <c r="D234" s="25">
        <f>IF(C234="","",IF(COUNTIF(lst_Jobs,C234&amp;"")&gt;0,"OK","CHECK"))</f>
        <v/>
      </c>
      <c r="E234" s="25">
        <f>IF(C234="","",IFERROR(INDEX(lst_JobName,MATCH(C234&amp;"",lst_Jobs,0)),""))</f>
        <v/>
      </c>
      <c r="F234" s="25">
        <f>IF(C234="","",IFERROR(INDEX(tbl_Finance[Client],MATCH(C234&amp;"",tbl_Finance[Job Number],0)),""))</f>
        <v/>
      </c>
      <c r="G234" s="28">
        <f>IF(C234="","",COUNTIFS(tbl_Finance[Job Number],C234&amp;"",tbl_Finance[Ex GST],"&lt;&gt;"))</f>
        <v/>
      </c>
      <c r="H234" s="27">
        <f>IF(C234="","",SUMIFS(tbl_Finance[Ex GST],tbl_Finance[Job Number],C234&amp;""))</f>
        <v/>
      </c>
      <c r="I234" s="27">
        <f>IF(C234="","",SUMIFS(tbl_Finance[Ex GST],tbl_Finance[Job Number],C234&amp;"",tbl_Finance[Xero Invoice No],"&lt;&gt;"))</f>
        <v/>
      </c>
      <c r="J234" s="27">
        <f>IF(C234="","",H234-I234)</f>
        <v/>
      </c>
      <c r="K234" s="25">
        <f>IF(C234="","",IF(G234=0,"not invoiced yet",SUBSTITUTE(TRIM(IF(COUNTIFS(tbl_Finance[Job Number],C234&amp;"",tbl_Finance[Cost Centre],"ONSITE")&gt;0,"ONSITE ","")&amp;IF(COUNTIFS(tbl_Finance[Job Number],C234&amp;"",tbl_Finance[Cost Centre],"PRODUCTION")&gt;0,"PRODUCTION ","")&amp;IF(COUNTIFS(tbl_Finance[Job Number],C234&amp;"",tbl_Finance[Cost Centre],"VIDEO")&gt;0,"VIDEO ","")&amp;IF(COUNTIFS(tbl_Finance[Job Number],C234&amp;"",tbl_Finance[Cost Centre],"INTEGRATION")&gt;0,"INTEGRATION ","")&amp;IF(COUNTIFS(tbl_Finance[Job Number],C234&amp;"",tbl_Finance[Cost Centre],"CONSULTING")&gt;0,"CONSULTING ","")&amp;IF(COUNTIFS(tbl_Finance[Job Number],C234&amp;"",tbl_Finance[Cost Centre],"CTS")&gt;0,"CTS ",""))," ",", ")))</f>
        <v/>
      </c>
      <c r="L234" s="22" t="n"/>
      <c r="M234" s="24" t="n"/>
      <c r="N234" s="25">
        <f>IF(M234="","",IF(AND(LEFT(M234,4)&lt;&gt;"http",set_RMSBase=""),"",HYPERLINK(IF(LEFT(M234,4)="http",M234,set_RMSBase&amp;M234),"Open opportunity")))</f>
        <v/>
      </c>
      <c r="O234" s="25">
        <f>IF(C234="","",C234)</f>
        <v/>
      </c>
      <c r="P234" s="24" t="n"/>
      <c r="Q234" s="26" t="n"/>
      <c r="R234" s="27">
        <f>IF(C234="","",H234+N(Q234))</f>
        <v/>
      </c>
      <c r="S234" s="29">
        <f>IFERROR(Q234/R234,"")</f>
        <v/>
      </c>
      <c r="T234" s="26" t="n"/>
      <c r="U234" s="26" t="n"/>
      <c r="V234" s="27">
        <f>IF(C234="","",N(T234)+N(U234))</f>
        <v/>
      </c>
      <c r="W234" s="27">
        <f>IF(C234="","",H234-V234)</f>
        <v/>
      </c>
      <c r="X234" s="29">
        <f>IFERROR(W234/H234,"")</f>
        <v/>
      </c>
      <c r="Y234" s="64" t="n"/>
      <c r="Z234" s="64" t="n"/>
      <c r="AA234" s="64" t="n"/>
      <c r="AB234" s="64" t="n"/>
      <c r="AC234" s="64" t="n"/>
      <c r="AD234" s="24" t="n"/>
    </row>
    <row r="235" ht="15" customHeight="1">
      <c r="A235" s="63">
        <f>IF(C235="","",IFERROR(IF(SUMPRODUCT(MAX((tbl_Finance[Job Number]=C235&amp;"")*(tbl_Finance[Xero Invoice No]&lt;&gt;"")*tbl_Finance[Date]))=0,"",SUMPRODUCT(MAX((tbl_Finance[Job Number]=C235&amp;"")*(tbl_Finance[Xero Invoice No]&lt;&gt;"")*tbl_Finance[Date]))),""))</f>
        <v/>
      </c>
      <c r="B235" s="25">
        <f>IF(C235="","",IF(COUNTIFS(tbl_Finance[Job Number],C235&amp;"",tbl_Finance[Xero Invoice No],"&lt;&gt;")=0,"",IFERROR(IF(COUNTIFS(tbl_Finance[Job Number],C235&amp;"",tbl_Finance[Xero Invoice No],LOOKUP(2,1/((tbl_Finance[Job Number]=C235&amp;"")*(tbl_Finance[Xero Invoice No]&lt;&gt;"")),tbl_Finance[Xero Invoice No]))=COUNTIFS(tbl_Finance[Job Number],C235&amp;"",tbl_Finance[Xero Invoice No],"&lt;&gt;"),LOOKUP(2,1/((tbl_Finance[Job Number]=C235&amp;"")*(tbl_Finance[Xero Invoice No]&lt;&gt;"")),tbl_Finance[Xero Invoice No]),LOOKUP(2,1/((tbl_Finance[Job Number]=C235&amp;"")*(tbl_Finance[Xero Invoice No]&lt;&gt;"")),tbl_Finance[Xero Invoice No])&amp;" +more"),"")))</f>
        <v/>
      </c>
      <c r="C235" s="24" t="n"/>
      <c r="D235" s="25">
        <f>IF(C235="","",IF(COUNTIF(lst_Jobs,C235&amp;"")&gt;0,"OK","CHECK"))</f>
        <v/>
      </c>
      <c r="E235" s="25">
        <f>IF(C235="","",IFERROR(INDEX(lst_JobName,MATCH(C235&amp;"",lst_Jobs,0)),""))</f>
        <v/>
      </c>
      <c r="F235" s="25">
        <f>IF(C235="","",IFERROR(INDEX(tbl_Finance[Client],MATCH(C235&amp;"",tbl_Finance[Job Number],0)),""))</f>
        <v/>
      </c>
      <c r="G235" s="28">
        <f>IF(C235="","",COUNTIFS(tbl_Finance[Job Number],C235&amp;"",tbl_Finance[Ex GST],"&lt;&gt;"))</f>
        <v/>
      </c>
      <c r="H235" s="27">
        <f>IF(C235="","",SUMIFS(tbl_Finance[Ex GST],tbl_Finance[Job Number],C235&amp;""))</f>
        <v/>
      </c>
      <c r="I235" s="27">
        <f>IF(C235="","",SUMIFS(tbl_Finance[Ex GST],tbl_Finance[Job Number],C235&amp;"",tbl_Finance[Xero Invoice No],"&lt;&gt;"))</f>
        <v/>
      </c>
      <c r="J235" s="27">
        <f>IF(C235="","",H235-I235)</f>
        <v/>
      </c>
      <c r="K235" s="25">
        <f>IF(C235="","",IF(G235=0,"not invoiced yet",SUBSTITUTE(TRIM(IF(COUNTIFS(tbl_Finance[Job Number],C235&amp;"",tbl_Finance[Cost Centre],"ONSITE")&gt;0,"ONSITE ","")&amp;IF(COUNTIFS(tbl_Finance[Job Number],C235&amp;"",tbl_Finance[Cost Centre],"PRODUCTION")&gt;0,"PRODUCTION ","")&amp;IF(COUNTIFS(tbl_Finance[Job Number],C235&amp;"",tbl_Finance[Cost Centre],"VIDEO")&gt;0,"VIDEO ","")&amp;IF(COUNTIFS(tbl_Finance[Job Number],C235&amp;"",tbl_Finance[Cost Centre],"INTEGRATION")&gt;0,"INTEGRATION ","")&amp;IF(COUNTIFS(tbl_Finance[Job Number],C235&amp;"",tbl_Finance[Cost Centre],"CONSULTING")&gt;0,"CONSULTING ","")&amp;IF(COUNTIFS(tbl_Finance[Job Number],C235&amp;"",tbl_Finance[Cost Centre],"CTS")&gt;0,"CTS ",""))," ",", ")))</f>
        <v/>
      </c>
      <c r="L235" s="22" t="n"/>
      <c r="M235" s="24" t="n"/>
      <c r="N235" s="25">
        <f>IF(M235="","",IF(AND(LEFT(M235,4)&lt;&gt;"http",set_RMSBase=""),"",HYPERLINK(IF(LEFT(M235,4)="http",M235,set_RMSBase&amp;M235),"Open opportunity")))</f>
        <v/>
      </c>
      <c r="O235" s="25">
        <f>IF(C235="","",C235)</f>
        <v/>
      </c>
      <c r="P235" s="24" t="n"/>
      <c r="Q235" s="26" t="n"/>
      <c r="R235" s="27">
        <f>IF(C235="","",H235+N(Q235))</f>
        <v/>
      </c>
      <c r="S235" s="29">
        <f>IFERROR(Q235/R235,"")</f>
        <v/>
      </c>
      <c r="T235" s="26" t="n"/>
      <c r="U235" s="26" t="n"/>
      <c r="V235" s="27">
        <f>IF(C235="","",N(T235)+N(U235))</f>
        <v/>
      </c>
      <c r="W235" s="27">
        <f>IF(C235="","",H235-V235)</f>
        <v/>
      </c>
      <c r="X235" s="29">
        <f>IFERROR(W235/H235,"")</f>
        <v/>
      </c>
      <c r="Y235" s="64" t="n"/>
      <c r="Z235" s="64" t="n"/>
      <c r="AA235" s="64" t="n"/>
      <c r="AB235" s="64" t="n"/>
      <c r="AC235" s="64" t="n"/>
      <c r="AD235" s="24" t="n"/>
    </row>
    <row r="236" ht="15" customHeight="1">
      <c r="A236" s="63">
        <f>IF(C236="","",IFERROR(IF(SUMPRODUCT(MAX((tbl_Finance[Job Number]=C236&amp;"")*(tbl_Finance[Xero Invoice No]&lt;&gt;"")*tbl_Finance[Date]))=0,"",SUMPRODUCT(MAX((tbl_Finance[Job Number]=C236&amp;"")*(tbl_Finance[Xero Invoice No]&lt;&gt;"")*tbl_Finance[Date]))),""))</f>
        <v/>
      </c>
      <c r="B236" s="25">
        <f>IF(C236="","",IF(COUNTIFS(tbl_Finance[Job Number],C236&amp;"",tbl_Finance[Xero Invoice No],"&lt;&gt;")=0,"",IFERROR(IF(COUNTIFS(tbl_Finance[Job Number],C236&amp;"",tbl_Finance[Xero Invoice No],LOOKUP(2,1/((tbl_Finance[Job Number]=C236&amp;"")*(tbl_Finance[Xero Invoice No]&lt;&gt;"")),tbl_Finance[Xero Invoice No]))=COUNTIFS(tbl_Finance[Job Number],C236&amp;"",tbl_Finance[Xero Invoice No],"&lt;&gt;"),LOOKUP(2,1/((tbl_Finance[Job Number]=C236&amp;"")*(tbl_Finance[Xero Invoice No]&lt;&gt;"")),tbl_Finance[Xero Invoice No]),LOOKUP(2,1/((tbl_Finance[Job Number]=C236&amp;"")*(tbl_Finance[Xero Invoice No]&lt;&gt;"")),tbl_Finance[Xero Invoice No])&amp;" +more"),"")))</f>
        <v/>
      </c>
      <c r="C236" s="24" t="n"/>
      <c r="D236" s="25">
        <f>IF(C236="","",IF(COUNTIF(lst_Jobs,C236&amp;"")&gt;0,"OK","CHECK"))</f>
        <v/>
      </c>
      <c r="E236" s="25">
        <f>IF(C236="","",IFERROR(INDEX(lst_JobName,MATCH(C236&amp;"",lst_Jobs,0)),""))</f>
        <v/>
      </c>
      <c r="F236" s="25">
        <f>IF(C236="","",IFERROR(INDEX(tbl_Finance[Client],MATCH(C236&amp;"",tbl_Finance[Job Number],0)),""))</f>
        <v/>
      </c>
      <c r="G236" s="28">
        <f>IF(C236="","",COUNTIFS(tbl_Finance[Job Number],C236&amp;"",tbl_Finance[Ex GST],"&lt;&gt;"))</f>
        <v/>
      </c>
      <c r="H236" s="27">
        <f>IF(C236="","",SUMIFS(tbl_Finance[Ex GST],tbl_Finance[Job Number],C236&amp;""))</f>
        <v/>
      </c>
      <c r="I236" s="27">
        <f>IF(C236="","",SUMIFS(tbl_Finance[Ex GST],tbl_Finance[Job Number],C236&amp;"",tbl_Finance[Xero Invoice No],"&lt;&gt;"))</f>
        <v/>
      </c>
      <c r="J236" s="27">
        <f>IF(C236="","",H236-I236)</f>
        <v/>
      </c>
      <c r="K236" s="25">
        <f>IF(C236="","",IF(G236=0,"not invoiced yet",SUBSTITUTE(TRIM(IF(COUNTIFS(tbl_Finance[Job Number],C236&amp;"",tbl_Finance[Cost Centre],"ONSITE")&gt;0,"ONSITE ","")&amp;IF(COUNTIFS(tbl_Finance[Job Number],C236&amp;"",tbl_Finance[Cost Centre],"PRODUCTION")&gt;0,"PRODUCTION ","")&amp;IF(COUNTIFS(tbl_Finance[Job Number],C236&amp;"",tbl_Finance[Cost Centre],"VIDEO")&gt;0,"VIDEO ","")&amp;IF(COUNTIFS(tbl_Finance[Job Number],C236&amp;"",tbl_Finance[Cost Centre],"INTEGRATION")&gt;0,"INTEGRATION ","")&amp;IF(COUNTIFS(tbl_Finance[Job Number],C236&amp;"",tbl_Finance[Cost Centre],"CONSULTING")&gt;0,"CONSULTING ","")&amp;IF(COUNTIFS(tbl_Finance[Job Number],C236&amp;"",tbl_Finance[Cost Centre],"CTS")&gt;0,"CTS ",""))," ",", ")))</f>
        <v/>
      </c>
      <c r="L236" s="22" t="n"/>
      <c r="M236" s="24" t="n"/>
      <c r="N236" s="25">
        <f>IF(M236="","",IF(AND(LEFT(M236,4)&lt;&gt;"http",set_RMSBase=""),"",HYPERLINK(IF(LEFT(M236,4)="http",M236,set_RMSBase&amp;M236),"Open opportunity")))</f>
        <v/>
      </c>
      <c r="O236" s="25">
        <f>IF(C236="","",C236)</f>
        <v/>
      </c>
      <c r="P236" s="24" t="n"/>
      <c r="Q236" s="26" t="n"/>
      <c r="R236" s="27">
        <f>IF(C236="","",H236+N(Q236))</f>
        <v/>
      </c>
      <c r="S236" s="29">
        <f>IFERROR(Q236/R236,"")</f>
        <v/>
      </c>
      <c r="T236" s="26" t="n"/>
      <c r="U236" s="26" t="n"/>
      <c r="V236" s="27">
        <f>IF(C236="","",N(T236)+N(U236))</f>
        <v/>
      </c>
      <c r="W236" s="27">
        <f>IF(C236="","",H236-V236)</f>
        <v/>
      </c>
      <c r="X236" s="29">
        <f>IFERROR(W236/H236,"")</f>
        <v/>
      </c>
      <c r="Y236" s="64" t="n"/>
      <c r="Z236" s="64" t="n"/>
      <c r="AA236" s="64" t="n"/>
      <c r="AB236" s="64" t="n"/>
      <c r="AC236" s="64" t="n"/>
      <c r="AD236" s="24" t="n"/>
    </row>
    <row r="237" ht="15" customHeight="1">
      <c r="A237" s="63">
        <f>IF(C237="","",IFERROR(IF(SUMPRODUCT(MAX((tbl_Finance[Job Number]=C237&amp;"")*(tbl_Finance[Xero Invoice No]&lt;&gt;"")*tbl_Finance[Date]))=0,"",SUMPRODUCT(MAX((tbl_Finance[Job Number]=C237&amp;"")*(tbl_Finance[Xero Invoice No]&lt;&gt;"")*tbl_Finance[Date]))),""))</f>
        <v/>
      </c>
      <c r="B237" s="25">
        <f>IF(C237="","",IF(COUNTIFS(tbl_Finance[Job Number],C237&amp;"",tbl_Finance[Xero Invoice No],"&lt;&gt;")=0,"",IFERROR(IF(COUNTIFS(tbl_Finance[Job Number],C237&amp;"",tbl_Finance[Xero Invoice No],LOOKUP(2,1/((tbl_Finance[Job Number]=C237&amp;"")*(tbl_Finance[Xero Invoice No]&lt;&gt;"")),tbl_Finance[Xero Invoice No]))=COUNTIFS(tbl_Finance[Job Number],C237&amp;"",tbl_Finance[Xero Invoice No],"&lt;&gt;"),LOOKUP(2,1/((tbl_Finance[Job Number]=C237&amp;"")*(tbl_Finance[Xero Invoice No]&lt;&gt;"")),tbl_Finance[Xero Invoice No]),LOOKUP(2,1/((tbl_Finance[Job Number]=C237&amp;"")*(tbl_Finance[Xero Invoice No]&lt;&gt;"")),tbl_Finance[Xero Invoice No])&amp;" +more"),"")))</f>
        <v/>
      </c>
      <c r="C237" s="24" t="n"/>
      <c r="D237" s="25">
        <f>IF(C237="","",IF(COUNTIF(lst_Jobs,C237&amp;"")&gt;0,"OK","CHECK"))</f>
        <v/>
      </c>
      <c r="E237" s="25">
        <f>IF(C237="","",IFERROR(INDEX(lst_JobName,MATCH(C237&amp;"",lst_Jobs,0)),""))</f>
        <v/>
      </c>
      <c r="F237" s="25">
        <f>IF(C237="","",IFERROR(INDEX(tbl_Finance[Client],MATCH(C237&amp;"",tbl_Finance[Job Number],0)),""))</f>
        <v/>
      </c>
      <c r="G237" s="28">
        <f>IF(C237="","",COUNTIFS(tbl_Finance[Job Number],C237&amp;"",tbl_Finance[Ex GST],"&lt;&gt;"))</f>
        <v/>
      </c>
      <c r="H237" s="27">
        <f>IF(C237="","",SUMIFS(tbl_Finance[Ex GST],tbl_Finance[Job Number],C237&amp;""))</f>
        <v/>
      </c>
      <c r="I237" s="27">
        <f>IF(C237="","",SUMIFS(tbl_Finance[Ex GST],tbl_Finance[Job Number],C237&amp;"",tbl_Finance[Xero Invoice No],"&lt;&gt;"))</f>
        <v/>
      </c>
      <c r="J237" s="27">
        <f>IF(C237="","",H237-I237)</f>
        <v/>
      </c>
      <c r="K237" s="25">
        <f>IF(C237="","",IF(G237=0,"not invoiced yet",SUBSTITUTE(TRIM(IF(COUNTIFS(tbl_Finance[Job Number],C237&amp;"",tbl_Finance[Cost Centre],"ONSITE")&gt;0,"ONSITE ","")&amp;IF(COUNTIFS(tbl_Finance[Job Number],C237&amp;"",tbl_Finance[Cost Centre],"PRODUCTION")&gt;0,"PRODUCTION ","")&amp;IF(COUNTIFS(tbl_Finance[Job Number],C237&amp;"",tbl_Finance[Cost Centre],"VIDEO")&gt;0,"VIDEO ","")&amp;IF(COUNTIFS(tbl_Finance[Job Number],C237&amp;"",tbl_Finance[Cost Centre],"INTEGRATION")&gt;0,"INTEGRATION ","")&amp;IF(COUNTIFS(tbl_Finance[Job Number],C237&amp;"",tbl_Finance[Cost Centre],"CONSULTING")&gt;0,"CONSULTING ","")&amp;IF(COUNTIFS(tbl_Finance[Job Number],C237&amp;"",tbl_Finance[Cost Centre],"CTS")&gt;0,"CTS ",""))," ",", ")))</f>
        <v/>
      </c>
      <c r="L237" s="22" t="n"/>
      <c r="M237" s="24" t="n"/>
      <c r="N237" s="25">
        <f>IF(M237="","",IF(AND(LEFT(M237,4)&lt;&gt;"http",set_RMSBase=""),"",HYPERLINK(IF(LEFT(M237,4)="http",M237,set_RMSBase&amp;M237),"Open opportunity")))</f>
        <v/>
      </c>
      <c r="O237" s="25">
        <f>IF(C237="","",C237)</f>
        <v/>
      </c>
      <c r="P237" s="24" t="n"/>
      <c r="Q237" s="26" t="n"/>
      <c r="R237" s="27">
        <f>IF(C237="","",H237+N(Q237))</f>
        <v/>
      </c>
      <c r="S237" s="29">
        <f>IFERROR(Q237/R237,"")</f>
        <v/>
      </c>
      <c r="T237" s="26" t="n"/>
      <c r="U237" s="26" t="n"/>
      <c r="V237" s="27">
        <f>IF(C237="","",N(T237)+N(U237))</f>
        <v/>
      </c>
      <c r="W237" s="27">
        <f>IF(C237="","",H237-V237)</f>
        <v/>
      </c>
      <c r="X237" s="29">
        <f>IFERROR(W237/H237,"")</f>
        <v/>
      </c>
      <c r="Y237" s="64" t="n"/>
      <c r="Z237" s="64" t="n"/>
      <c r="AA237" s="64" t="n"/>
      <c r="AB237" s="64" t="n"/>
      <c r="AC237" s="64" t="n"/>
      <c r="AD237" s="24" t="n"/>
    </row>
    <row r="238" ht="15" customHeight="1">
      <c r="A238" s="63">
        <f>IF(C238="","",IFERROR(IF(SUMPRODUCT(MAX((tbl_Finance[Job Number]=C238&amp;"")*(tbl_Finance[Xero Invoice No]&lt;&gt;"")*tbl_Finance[Date]))=0,"",SUMPRODUCT(MAX((tbl_Finance[Job Number]=C238&amp;"")*(tbl_Finance[Xero Invoice No]&lt;&gt;"")*tbl_Finance[Date]))),""))</f>
        <v/>
      </c>
      <c r="B238" s="25">
        <f>IF(C238="","",IF(COUNTIFS(tbl_Finance[Job Number],C238&amp;"",tbl_Finance[Xero Invoice No],"&lt;&gt;")=0,"",IFERROR(IF(COUNTIFS(tbl_Finance[Job Number],C238&amp;"",tbl_Finance[Xero Invoice No],LOOKUP(2,1/((tbl_Finance[Job Number]=C238&amp;"")*(tbl_Finance[Xero Invoice No]&lt;&gt;"")),tbl_Finance[Xero Invoice No]))=COUNTIFS(tbl_Finance[Job Number],C238&amp;"",tbl_Finance[Xero Invoice No],"&lt;&gt;"),LOOKUP(2,1/((tbl_Finance[Job Number]=C238&amp;"")*(tbl_Finance[Xero Invoice No]&lt;&gt;"")),tbl_Finance[Xero Invoice No]),LOOKUP(2,1/((tbl_Finance[Job Number]=C238&amp;"")*(tbl_Finance[Xero Invoice No]&lt;&gt;"")),tbl_Finance[Xero Invoice No])&amp;" +more"),"")))</f>
        <v/>
      </c>
      <c r="C238" s="24" t="n"/>
      <c r="D238" s="25">
        <f>IF(C238="","",IF(COUNTIF(lst_Jobs,C238&amp;"")&gt;0,"OK","CHECK"))</f>
        <v/>
      </c>
      <c r="E238" s="25">
        <f>IF(C238="","",IFERROR(INDEX(lst_JobName,MATCH(C238&amp;"",lst_Jobs,0)),""))</f>
        <v/>
      </c>
      <c r="F238" s="25">
        <f>IF(C238="","",IFERROR(INDEX(tbl_Finance[Client],MATCH(C238&amp;"",tbl_Finance[Job Number],0)),""))</f>
        <v/>
      </c>
      <c r="G238" s="28">
        <f>IF(C238="","",COUNTIFS(tbl_Finance[Job Number],C238&amp;"",tbl_Finance[Ex GST],"&lt;&gt;"))</f>
        <v/>
      </c>
      <c r="H238" s="27">
        <f>IF(C238="","",SUMIFS(tbl_Finance[Ex GST],tbl_Finance[Job Number],C238&amp;""))</f>
        <v/>
      </c>
      <c r="I238" s="27">
        <f>IF(C238="","",SUMIFS(tbl_Finance[Ex GST],tbl_Finance[Job Number],C238&amp;"",tbl_Finance[Xero Invoice No],"&lt;&gt;"))</f>
        <v/>
      </c>
      <c r="J238" s="27">
        <f>IF(C238="","",H238-I238)</f>
        <v/>
      </c>
      <c r="K238" s="25">
        <f>IF(C238="","",IF(G238=0,"not invoiced yet",SUBSTITUTE(TRIM(IF(COUNTIFS(tbl_Finance[Job Number],C238&amp;"",tbl_Finance[Cost Centre],"ONSITE")&gt;0,"ONSITE ","")&amp;IF(COUNTIFS(tbl_Finance[Job Number],C238&amp;"",tbl_Finance[Cost Centre],"PRODUCTION")&gt;0,"PRODUCTION ","")&amp;IF(COUNTIFS(tbl_Finance[Job Number],C238&amp;"",tbl_Finance[Cost Centre],"VIDEO")&gt;0,"VIDEO ","")&amp;IF(COUNTIFS(tbl_Finance[Job Number],C238&amp;"",tbl_Finance[Cost Centre],"INTEGRATION")&gt;0,"INTEGRATION ","")&amp;IF(COUNTIFS(tbl_Finance[Job Number],C238&amp;"",tbl_Finance[Cost Centre],"CONSULTING")&gt;0,"CONSULTING ","")&amp;IF(COUNTIFS(tbl_Finance[Job Number],C238&amp;"",tbl_Finance[Cost Centre],"CTS")&gt;0,"CTS ",""))," ",", ")))</f>
        <v/>
      </c>
      <c r="L238" s="22" t="n"/>
      <c r="M238" s="24" t="n"/>
      <c r="N238" s="25">
        <f>IF(M238="","",IF(AND(LEFT(M238,4)&lt;&gt;"http",set_RMSBase=""),"",HYPERLINK(IF(LEFT(M238,4)="http",M238,set_RMSBase&amp;M238),"Open opportunity")))</f>
        <v/>
      </c>
      <c r="O238" s="25">
        <f>IF(C238="","",C238)</f>
        <v/>
      </c>
      <c r="P238" s="24" t="n"/>
      <c r="Q238" s="26" t="n"/>
      <c r="R238" s="27">
        <f>IF(C238="","",H238+N(Q238))</f>
        <v/>
      </c>
      <c r="S238" s="29">
        <f>IFERROR(Q238/R238,"")</f>
        <v/>
      </c>
      <c r="T238" s="26" t="n"/>
      <c r="U238" s="26" t="n"/>
      <c r="V238" s="27">
        <f>IF(C238="","",N(T238)+N(U238))</f>
        <v/>
      </c>
      <c r="W238" s="27">
        <f>IF(C238="","",H238-V238)</f>
        <v/>
      </c>
      <c r="X238" s="29">
        <f>IFERROR(W238/H238,"")</f>
        <v/>
      </c>
      <c r="Y238" s="64" t="n"/>
      <c r="Z238" s="64" t="n"/>
      <c r="AA238" s="64" t="n"/>
      <c r="AB238" s="64" t="n"/>
      <c r="AC238" s="64" t="n"/>
      <c r="AD238" s="24" t="n"/>
    </row>
    <row r="239" ht="15" customHeight="1">
      <c r="A239" s="63">
        <f>IF(C239="","",IFERROR(IF(SUMPRODUCT(MAX((tbl_Finance[Job Number]=C239&amp;"")*(tbl_Finance[Xero Invoice No]&lt;&gt;"")*tbl_Finance[Date]))=0,"",SUMPRODUCT(MAX((tbl_Finance[Job Number]=C239&amp;"")*(tbl_Finance[Xero Invoice No]&lt;&gt;"")*tbl_Finance[Date]))),""))</f>
        <v/>
      </c>
      <c r="B239" s="25">
        <f>IF(C239="","",IF(COUNTIFS(tbl_Finance[Job Number],C239&amp;"",tbl_Finance[Xero Invoice No],"&lt;&gt;")=0,"",IFERROR(IF(COUNTIFS(tbl_Finance[Job Number],C239&amp;"",tbl_Finance[Xero Invoice No],LOOKUP(2,1/((tbl_Finance[Job Number]=C239&amp;"")*(tbl_Finance[Xero Invoice No]&lt;&gt;"")),tbl_Finance[Xero Invoice No]))=COUNTIFS(tbl_Finance[Job Number],C239&amp;"",tbl_Finance[Xero Invoice No],"&lt;&gt;"),LOOKUP(2,1/((tbl_Finance[Job Number]=C239&amp;"")*(tbl_Finance[Xero Invoice No]&lt;&gt;"")),tbl_Finance[Xero Invoice No]),LOOKUP(2,1/((tbl_Finance[Job Number]=C239&amp;"")*(tbl_Finance[Xero Invoice No]&lt;&gt;"")),tbl_Finance[Xero Invoice No])&amp;" +more"),"")))</f>
        <v/>
      </c>
      <c r="C239" s="24" t="n"/>
      <c r="D239" s="25">
        <f>IF(C239="","",IF(COUNTIF(lst_Jobs,C239&amp;"")&gt;0,"OK","CHECK"))</f>
        <v/>
      </c>
      <c r="E239" s="25">
        <f>IF(C239="","",IFERROR(INDEX(lst_JobName,MATCH(C239&amp;"",lst_Jobs,0)),""))</f>
        <v/>
      </c>
      <c r="F239" s="25">
        <f>IF(C239="","",IFERROR(INDEX(tbl_Finance[Client],MATCH(C239&amp;"",tbl_Finance[Job Number],0)),""))</f>
        <v/>
      </c>
      <c r="G239" s="28">
        <f>IF(C239="","",COUNTIFS(tbl_Finance[Job Number],C239&amp;"",tbl_Finance[Ex GST],"&lt;&gt;"))</f>
        <v/>
      </c>
      <c r="H239" s="27">
        <f>IF(C239="","",SUMIFS(tbl_Finance[Ex GST],tbl_Finance[Job Number],C239&amp;""))</f>
        <v/>
      </c>
      <c r="I239" s="27">
        <f>IF(C239="","",SUMIFS(tbl_Finance[Ex GST],tbl_Finance[Job Number],C239&amp;"",tbl_Finance[Xero Invoice No],"&lt;&gt;"))</f>
        <v/>
      </c>
      <c r="J239" s="27">
        <f>IF(C239="","",H239-I239)</f>
        <v/>
      </c>
      <c r="K239" s="25">
        <f>IF(C239="","",IF(G239=0,"not invoiced yet",SUBSTITUTE(TRIM(IF(COUNTIFS(tbl_Finance[Job Number],C239&amp;"",tbl_Finance[Cost Centre],"ONSITE")&gt;0,"ONSITE ","")&amp;IF(COUNTIFS(tbl_Finance[Job Number],C239&amp;"",tbl_Finance[Cost Centre],"PRODUCTION")&gt;0,"PRODUCTION ","")&amp;IF(COUNTIFS(tbl_Finance[Job Number],C239&amp;"",tbl_Finance[Cost Centre],"VIDEO")&gt;0,"VIDEO ","")&amp;IF(COUNTIFS(tbl_Finance[Job Number],C239&amp;"",tbl_Finance[Cost Centre],"INTEGRATION")&gt;0,"INTEGRATION ","")&amp;IF(COUNTIFS(tbl_Finance[Job Number],C239&amp;"",tbl_Finance[Cost Centre],"CONSULTING")&gt;0,"CONSULTING ","")&amp;IF(COUNTIFS(tbl_Finance[Job Number],C239&amp;"",tbl_Finance[Cost Centre],"CTS")&gt;0,"CTS ",""))," ",", ")))</f>
        <v/>
      </c>
      <c r="L239" s="22" t="n"/>
      <c r="M239" s="24" t="n"/>
      <c r="N239" s="25">
        <f>IF(M239="","",IF(AND(LEFT(M239,4)&lt;&gt;"http",set_RMSBase=""),"",HYPERLINK(IF(LEFT(M239,4)="http",M239,set_RMSBase&amp;M239),"Open opportunity")))</f>
        <v/>
      </c>
      <c r="O239" s="25">
        <f>IF(C239="","",C239)</f>
        <v/>
      </c>
      <c r="P239" s="24" t="n"/>
      <c r="Q239" s="26" t="n"/>
      <c r="R239" s="27">
        <f>IF(C239="","",H239+N(Q239))</f>
        <v/>
      </c>
      <c r="S239" s="29">
        <f>IFERROR(Q239/R239,"")</f>
        <v/>
      </c>
      <c r="T239" s="26" t="n"/>
      <c r="U239" s="26" t="n"/>
      <c r="V239" s="27">
        <f>IF(C239="","",N(T239)+N(U239))</f>
        <v/>
      </c>
      <c r="W239" s="27">
        <f>IF(C239="","",H239-V239)</f>
        <v/>
      </c>
      <c r="X239" s="29">
        <f>IFERROR(W239/H239,"")</f>
        <v/>
      </c>
      <c r="Y239" s="64" t="n"/>
      <c r="Z239" s="64" t="n"/>
      <c r="AA239" s="64" t="n"/>
      <c r="AB239" s="64" t="n"/>
      <c r="AC239" s="64" t="n"/>
      <c r="AD239" s="24" t="n"/>
    </row>
    <row r="240" ht="15" customHeight="1">
      <c r="A240" s="63">
        <f>IF(C240="","",IFERROR(IF(SUMPRODUCT(MAX((tbl_Finance[Job Number]=C240&amp;"")*(tbl_Finance[Xero Invoice No]&lt;&gt;"")*tbl_Finance[Date]))=0,"",SUMPRODUCT(MAX((tbl_Finance[Job Number]=C240&amp;"")*(tbl_Finance[Xero Invoice No]&lt;&gt;"")*tbl_Finance[Date]))),""))</f>
        <v/>
      </c>
      <c r="B240" s="25">
        <f>IF(C240="","",IF(COUNTIFS(tbl_Finance[Job Number],C240&amp;"",tbl_Finance[Xero Invoice No],"&lt;&gt;")=0,"",IFERROR(IF(COUNTIFS(tbl_Finance[Job Number],C240&amp;"",tbl_Finance[Xero Invoice No],LOOKUP(2,1/((tbl_Finance[Job Number]=C240&amp;"")*(tbl_Finance[Xero Invoice No]&lt;&gt;"")),tbl_Finance[Xero Invoice No]))=COUNTIFS(tbl_Finance[Job Number],C240&amp;"",tbl_Finance[Xero Invoice No],"&lt;&gt;"),LOOKUP(2,1/((tbl_Finance[Job Number]=C240&amp;"")*(tbl_Finance[Xero Invoice No]&lt;&gt;"")),tbl_Finance[Xero Invoice No]),LOOKUP(2,1/((tbl_Finance[Job Number]=C240&amp;"")*(tbl_Finance[Xero Invoice No]&lt;&gt;"")),tbl_Finance[Xero Invoice No])&amp;" +more"),"")))</f>
        <v/>
      </c>
      <c r="C240" s="24" t="n"/>
      <c r="D240" s="25">
        <f>IF(C240="","",IF(COUNTIF(lst_Jobs,C240&amp;"")&gt;0,"OK","CHECK"))</f>
        <v/>
      </c>
      <c r="E240" s="25">
        <f>IF(C240="","",IFERROR(INDEX(lst_JobName,MATCH(C240&amp;"",lst_Jobs,0)),""))</f>
        <v/>
      </c>
      <c r="F240" s="25">
        <f>IF(C240="","",IFERROR(INDEX(tbl_Finance[Client],MATCH(C240&amp;"",tbl_Finance[Job Number],0)),""))</f>
        <v/>
      </c>
      <c r="G240" s="28">
        <f>IF(C240="","",COUNTIFS(tbl_Finance[Job Number],C240&amp;"",tbl_Finance[Ex GST],"&lt;&gt;"))</f>
        <v/>
      </c>
      <c r="H240" s="27">
        <f>IF(C240="","",SUMIFS(tbl_Finance[Ex GST],tbl_Finance[Job Number],C240&amp;""))</f>
        <v/>
      </c>
      <c r="I240" s="27">
        <f>IF(C240="","",SUMIFS(tbl_Finance[Ex GST],tbl_Finance[Job Number],C240&amp;"",tbl_Finance[Xero Invoice No],"&lt;&gt;"))</f>
        <v/>
      </c>
      <c r="J240" s="27">
        <f>IF(C240="","",H240-I240)</f>
        <v/>
      </c>
      <c r="K240" s="25">
        <f>IF(C240="","",IF(G240=0,"not invoiced yet",SUBSTITUTE(TRIM(IF(COUNTIFS(tbl_Finance[Job Number],C240&amp;"",tbl_Finance[Cost Centre],"ONSITE")&gt;0,"ONSITE ","")&amp;IF(COUNTIFS(tbl_Finance[Job Number],C240&amp;"",tbl_Finance[Cost Centre],"PRODUCTION")&gt;0,"PRODUCTION ","")&amp;IF(COUNTIFS(tbl_Finance[Job Number],C240&amp;"",tbl_Finance[Cost Centre],"VIDEO")&gt;0,"VIDEO ","")&amp;IF(COUNTIFS(tbl_Finance[Job Number],C240&amp;"",tbl_Finance[Cost Centre],"INTEGRATION")&gt;0,"INTEGRATION ","")&amp;IF(COUNTIFS(tbl_Finance[Job Number],C240&amp;"",tbl_Finance[Cost Centre],"CONSULTING")&gt;0,"CONSULTING ","")&amp;IF(COUNTIFS(tbl_Finance[Job Number],C240&amp;"",tbl_Finance[Cost Centre],"CTS")&gt;0,"CTS ",""))," ",", ")))</f>
        <v/>
      </c>
      <c r="L240" s="22" t="n"/>
      <c r="M240" s="24" t="n"/>
      <c r="N240" s="25">
        <f>IF(M240="","",IF(AND(LEFT(M240,4)&lt;&gt;"http",set_RMSBase=""),"",HYPERLINK(IF(LEFT(M240,4)="http",M240,set_RMSBase&amp;M240),"Open opportunity")))</f>
        <v/>
      </c>
      <c r="O240" s="25">
        <f>IF(C240="","",C240)</f>
        <v/>
      </c>
      <c r="P240" s="24" t="n"/>
      <c r="Q240" s="26" t="n"/>
      <c r="R240" s="27">
        <f>IF(C240="","",H240+N(Q240))</f>
        <v/>
      </c>
      <c r="S240" s="29">
        <f>IFERROR(Q240/R240,"")</f>
        <v/>
      </c>
      <c r="T240" s="26" t="n"/>
      <c r="U240" s="26" t="n"/>
      <c r="V240" s="27">
        <f>IF(C240="","",N(T240)+N(U240))</f>
        <v/>
      </c>
      <c r="W240" s="27">
        <f>IF(C240="","",H240-V240)</f>
        <v/>
      </c>
      <c r="X240" s="29">
        <f>IFERROR(W240/H240,"")</f>
        <v/>
      </c>
      <c r="Y240" s="64" t="n"/>
      <c r="Z240" s="64" t="n"/>
      <c r="AA240" s="64" t="n"/>
      <c r="AB240" s="64" t="n"/>
      <c r="AC240" s="64" t="n"/>
      <c r="AD240" s="24" t="n"/>
    </row>
    <row r="241" ht="15" customHeight="1">
      <c r="A241" s="63">
        <f>IF(C241="","",IFERROR(IF(SUMPRODUCT(MAX((tbl_Finance[Job Number]=C241&amp;"")*(tbl_Finance[Xero Invoice No]&lt;&gt;"")*tbl_Finance[Date]))=0,"",SUMPRODUCT(MAX((tbl_Finance[Job Number]=C241&amp;"")*(tbl_Finance[Xero Invoice No]&lt;&gt;"")*tbl_Finance[Date]))),""))</f>
        <v/>
      </c>
      <c r="B241" s="25">
        <f>IF(C241="","",IF(COUNTIFS(tbl_Finance[Job Number],C241&amp;"",tbl_Finance[Xero Invoice No],"&lt;&gt;")=0,"",IFERROR(IF(COUNTIFS(tbl_Finance[Job Number],C241&amp;"",tbl_Finance[Xero Invoice No],LOOKUP(2,1/((tbl_Finance[Job Number]=C241&amp;"")*(tbl_Finance[Xero Invoice No]&lt;&gt;"")),tbl_Finance[Xero Invoice No]))=COUNTIFS(tbl_Finance[Job Number],C241&amp;"",tbl_Finance[Xero Invoice No],"&lt;&gt;"),LOOKUP(2,1/((tbl_Finance[Job Number]=C241&amp;"")*(tbl_Finance[Xero Invoice No]&lt;&gt;"")),tbl_Finance[Xero Invoice No]),LOOKUP(2,1/((tbl_Finance[Job Number]=C241&amp;"")*(tbl_Finance[Xero Invoice No]&lt;&gt;"")),tbl_Finance[Xero Invoice No])&amp;" +more"),"")))</f>
        <v/>
      </c>
      <c r="C241" s="24" t="n"/>
      <c r="D241" s="25">
        <f>IF(C241="","",IF(COUNTIF(lst_Jobs,C241&amp;"")&gt;0,"OK","CHECK"))</f>
        <v/>
      </c>
      <c r="E241" s="25">
        <f>IF(C241="","",IFERROR(INDEX(lst_JobName,MATCH(C241&amp;"",lst_Jobs,0)),""))</f>
        <v/>
      </c>
      <c r="F241" s="25">
        <f>IF(C241="","",IFERROR(INDEX(tbl_Finance[Client],MATCH(C241&amp;"",tbl_Finance[Job Number],0)),""))</f>
        <v/>
      </c>
      <c r="G241" s="28">
        <f>IF(C241="","",COUNTIFS(tbl_Finance[Job Number],C241&amp;"",tbl_Finance[Ex GST],"&lt;&gt;"))</f>
        <v/>
      </c>
      <c r="H241" s="27">
        <f>IF(C241="","",SUMIFS(tbl_Finance[Ex GST],tbl_Finance[Job Number],C241&amp;""))</f>
        <v/>
      </c>
      <c r="I241" s="27">
        <f>IF(C241="","",SUMIFS(tbl_Finance[Ex GST],tbl_Finance[Job Number],C241&amp;"",tbl_Finance[Xero Invoice No],"&lt;&gt;"))</f>
        <v/>
      </c>
      <c r="J241" s="27">
        <f>IF(C241="","",H241-I241)</f>
        <v/>
      </c>
      <c r="K241" s="25">
        <f>IF(C241="","",IF(G241=0,"not invoiced yet",SUBSTITUTE(TRIM(IF(COUNTIFS(tbl_Finance[Job Number],C241&amp;"",tbl_Finance[Cost Centre],"ONSITE")&gt;0,"ONSITE ","")&amp;IF(COUNTIFS(tbl_Finance[Job Number],C241&amp;"",tbl_Finance[Cost Centre],"PRODUCTION")&gt;0,"PRODUCTION ","")&amp;IF(COUNTIFS(tbl_Finance[Job Number],C241&amp;"",tbl_Finance[Cost Centre],"VIDEO")&gt;0,"VIDEO ","")&amp;IF(COUNTIFS(tbl_Finance[Job Number],C241&amp;"",tbl_Finance[Cost Centre],"INTEGRATION")&gt;0,"INTEGRATION ","")&amp;IF(COUNTIFS(tbl_Finance[Job Number],C241&amp;"",tbl_Finance[Cost Centre],"CONSULTING")&gt;0,"CONSULTING ","")&amp;IF(COUNTIFS(tbl_Finance[Job Number],C241&amp;"",tbl_Finance[Cost Centre],"CTS")&gt;0,"CTS ",""))," ",", ")))</f>
        <v/>
      </c>
      <c r="L241" s="22" t="n"/>
      <c r="M241" s="24" t="n"/>
      <c r="N241" s="25">
        <f>IF(M241="","",IF(AND(LEFT(M241,4)&lt;&gt;"http",set_RMSBase=""),"",HYPERLINK(IF(LEFT(M241,4)="http",M241,set_RMSBase&amp;M241),"Open opportunity")))</f>
        <v/>
      </c>
      <c r="O241" s="25">
        <f>IF(C241="","",C241)</f>
        <v/>
      </c>
      <c r="P241" s="24" t="n"/>
      <c r="Q241" s="26" t="n"/>
      <c r="R241" s="27">
        <f>IF(C241="","",H241+N(Q241))</f>
        <v/>
      </c>
      <c r="S241" s="29">
        <f>IFERROR(Q241/R241,"")</f>
        <v/>
      </c>
      <c r="T241" s="26" t="n"/>
      <c r="U241" s="26" t="n"/>
      <c r="V241" s="27">
        <f>IF(C241="","",N(T241)+N(U241))</f>
        <v/>
      </c>
      <c r="W241" s="27">
        <f>IF(C241="","",H241-V241)</f>
        <v/>
      </c>
      <c r="X241" s="29">
        <f>IFERROR(W241/H241,"")</f>
        <v/>
      </c>
      <c r="Y241" s="64" t="n"/>
      <c r="Z241" s="64" t="n"/>
      <c r="AA241" s="64" t="n"/>
      <c r="AB241" s="64" t="n"/>
      <c r="AC241" s="64" t="n"/>
      <c r="AD241" s="24" t="n"/>
    </row>
    <row r="242" ht="15" customHeight="1">
      <c r="A242" s="63">
        <f>IF(C242="","",IFERROR(IF(SUMPRODUCT(MAX((tbl_Finance[Job Number]=C242&amp;"")*(tbl_Finance[Xero Invoice No]&lt;&gt;"")*tbl_Finance[Date]))=0,"",SUMPRODUCT(MAX((tbl_Finance[Job Number]=C242&amp;"")*(tbl_Finance[Xero Invoice No]&lt;&gt;"")*tbl_Finance[Date]))),""))</f>
        <v/>
      </c>
      <c r="B242" s="25">
        <f>IF(C242="","",IF(COUNTIFS(tbl_Finance[Job Number],C242&amp;"",tbl_Finance[Xero Invoice No],"&lt;&gt;")=0,"",IFERROR(IF(COUNTIFS(tbl_Finance[Job Number],C242&amp;"",tbl_Finance[Xero Invoice No],LOOKUP(2,1/((tbl_Finance[Job Number]=C242&amp;"")*(tbl_Finance[Xero Invoice No]&lt;&gt;"")),tbl_Finance[Xero Invoice No]))=COUNTIFS(tbl_Finance[Job Number],C242&amp;"",tbl_Finance[Xero Invoice No],"&lt;&gt;"),LOOKUP(2,1/((tbl_Finance[Job Number]=C242&amp;"")*(tbl_Finance[Xero Invoice No]&lt;&gt;"")),tbl_Finance[Xero Invoice No]),LOOKUP(2,1/((tbl_Finance[Job Number]=C242&amp;"")*(tbl_Finance[Xero Invoice No]&lt;&gt;"")),tbl_Finance[Xero Invoice No])&amp;" +more"),"")))</f>
        <v/>
      </c>
      <c r="C242" s="24" t="n"/>
      <c r="D242" s="25">
        <f>IF(C242="","",IF(COUNTIF(lst_Jobs,C242&amp;"")&gt;0,"OK","CHECK"))</f>
        <v/>
      </c>
      <c r="E242" s="25">
        <f>IF(C242="","",IFERROR(INDEX(lst_JobName,MATCH(C242&amp;"",lst_Jobs,0)),""))</f>
        <v/>
      </c>
      <c r="F242" s="25">
        <f>IF(C242="","",IFERROR(INDEX(tbl_Finance[Client],MATCH(C242&amp;"",tbl_Finance[Job Number],0)),""))</f>
        <v/>
      </c>
      <c r="G242" s="28">
        <f>IF(C242="","",COUNTIFS(tbl_Finance[Job Number],C242&amp;"",tbl_Finance[Ex GST],"&lt;&gt;"))</f>
        <v/>
      </c>
      <c r="H242" s="27">
        <f>IF(C242="","",SUMIFS(tbl_Finance[Ex GST],tbl_Finance[Job Number],C242&amp;""))</f>
        <v/>
      </c>
      <c r="I242" s="27">
        <f>IF(C242="","",SUMIFS(tbl_Finance[Ex GST],tbl_Finance[Job Number],C242&amp;"",tbl_Finance[Xero Invoice No],"&lt;&gt;"))</f>
        <v/>
      </c>
      <c r="J242" s="27">
        <f>IF(C242="","",H242-I242)</f>
        <v/>
      </c>
      <c r="K242" s="25">
        <f>IF(C242="","",IF(G242=0,"not invoiced yet",SUBSTITUTE(TRIM(IF(COUNTIFS(tbl_Finance[Job Number],C242&amp;"",tbl_Finance[Cost Centre],"ONSITE")&gt;0,"ONSITE ","")&amp;IF(COUNTIFS(tbl_Finance[Job Number],C242&amp;"",tbl_Finance[Cost Centre],"PRODUCTION")&gt;0,"PRODUCTION ","")&amp;IF(COUNTIFS(tbl_Finance[Job Number],C242&amp;"",tbl_Finance[Cost Centre],"VIDEO")&gt;0,"VIDEO ","")&amp;IF(COUNTIFS(tbl_Finance[Job Number],C242&amp;"",tbl_Finance[Cost Centre],"INTEGRATION")&gt;0,"INTEGRATION ","")&amp;IF(COUNTIFS(tbl_Finance[Job Number],C242&amp;"",tbl_Finance[Cost Centre],"CONSULTING")&gt;0,"CONSULTING ","")&amp;IF(COUNTIFS(tbl_Finance[Job Number],C242&amp;"",tbl_Finance[Cost Centre],"CTS")&gt;0,"CTS ",""))," ",", ")))</f>
        <v/>
      </c>
      <c r="L242" s="22" t="n"/>
      <c r="M242" s="24" t="n"/>
      <c r="N242" s="25">
        <f>IF(M242="","",IF(AND(LEFT(M242,4)&lt;&gt;"http",set_RMSBase=""),"",HYPERLINK(IF(LEFT(M242,4)="http",M242,set_RMSBase&amp;M242),"Open opportunity")))</f>
        <v/>
      </c>
      <c r="O242" s="25">
        <f>IF(C242="","",C242)</f>
        <v/>
      </c>
      <c r="P242" s="24" t="n"/>
      <c r="Q242" s="26" t="n"/>
      <c r="R242" s="27">
        <f>IF(C242="","",H242+N(Q242))</f>
        <v/>
      </c>
      <c r="S242" s="29">
        <f>IFERROR(Q242/R242,"")</f>
        <v/>
      </c>
      <c r="T242" s="26" t="n"/>
      <c r="U242" s="26" t="n"/>
      <c r="V242" s="27">
        <f>IF(C242="","",N(T242)+N(U242))</f>
        <v/>
      </c>
      <c r="W242" s="27">
        <f>IF(C242="","",H242-V242)</f>
        <v/>
      </c>
      <c r="X242" s="29">
        <f>IFERROR(W242/H242,"")</f>
        <v/>
      </c>
      <c r="Y242" s="64" t="n"/>
      <c r="Z242" s="64" t="n"/>
      <c r="AA242" s="64" t="n"/>
      <c r="AB242" s="64" t="n"/>
      <c r="AC242" s="64" t="n"/>
      <c r="AD242" s="24" t="n"/>
    </row>
    <row r="243" ht="15" customHeight="1">
      <c r="A243" s="63">
        <f>IF(C243="","",IFERROR(IF(SUMPRODUCT(MAX((tbl_Finance[Job Number]=C243&amp;"")*(tbl_Finance[Xero Invoice No]&lt;&gt;"")*tbl_Finance[Date]))=0,"",SUMPRODUCT(MAX((tbl_Finance[Job Number]=C243&amp;"")*(tbl_Finance[Xero Invoice No]&lt;&gt;"")*tbl_Finance[Date]))),""))</f>
        <v/>
      </c>
      <c r="B243" s="25">
        <f>IF(C243="","",IF(COUNTIFS(tbl_Finance[Job Number],C243&amp;"",tbl_Finance[Xero Invoice No],"&lt;&gt;")=0,"",IFERROR(IF(COUNTIFS(tbl_Finance[Job Number],C243&amp;"",tbl_Finance[Xero Invoice No],LOOKUP(2,1/((tbl_Finance[Job Number]=C243&amp;"")*(tbl_Finance[Xero Invoice No]&lt;&gt;"")),tbl_Finance[Xero Invoice No]))=COUNTIFS(tbl_Finance[Job Number],C243&amp;"",tbl_Finance[Xero Invoice No],"&lt;&gt;"),LOOKUP(2,1/((tbl_Finance[Job Number]=C243&amp;"")*(tbl_Finance[Xero Invoice No]&lt;&gt;"")),tbl_Finance[Xero Invoice No]),LOOKUP(2,1/((tbl_Finance[Job Number]=C243&amp;"")*(tbl_Finance[Xero Invoice No]&lt;&gt;"")),tbl_Finance[Xero Invoice No])&amp;" +more"),"")))</f>
        <v/>
      </c>
      <c r="C243" s="24" t="n"/>
      <c r="D243" s="25">
        <f>IF(C243="","",IF(COUNTIF(lst_Jobs,C243&amp;"")&gt;0,"OK","CHECK"))</f>
        <v/>
      </c>
      <c r="E243" s="25">
        <f>IF(C243="","",IFERROR(INDEX(lst_JobName,MATCH(C243&amp;"",lst_Jobs,0)),""))</f>
        <v/>
      </c>
      <c r="F243" s="25">
        <f>IF(C243="","",IFERROR(INDEX(tbl_Finance[Client],MATCH(C243&amp;"",tbl_Finance[Job Number],0)),""))</f>
        <v/>
      </c>
      <c r="G243" s="28">
        <f>IF(C243="","",COUNTIFS(tbl_Finance[Job Number],C243&amp;"",tbl_Finance[Ex GST],"&lt;&gt;"))</f>
        <v/>
      </c>
      <c r="H243" s="27">
        <f>IF(C243="","",SUMIFS(tbl_Finance[Ex GST],tbl_Finance[Job Number],C243&amp;""))</f>
        <v/>
      </c>
      <c r="I243" s="27">
        <f>IF(C243="","",SUMIFS(tbl_Finance[Ex GST],tbl_Finance[Job Number],C243&amp;"",tbl_Finance[Xero Invoice No],"&lt;&gt;"))</f>
        <v/>
      </c>
      <c r="J243" s="27">
        <f>IF(C243="","",H243-I243)</f>
        <v/>
      </c>
      <c r="K243" s="25">
        <f>IF(C243="","",IF(G243=0,"not invoiced yet",SUBSTITUTE(TRIM(IF(COUNTIFS(tbl_Finance[Job Number],C243&amp;"",tbl_Finance[Cost Centre],"ONSITE")&gt;0,"ONSITE ","")&amp;IF(COUNTIFS(tbl_Finance[Job Number],C243&amp;"",tbl_Finance[Cost Centre],"PRODUCTION")&gt;0,"PRODUCTION ","")&amp;IF(COUNTIFS(tbl_Finance[Job Number],C243&amp;"",tbl_Finance[Cost Centre],"VIDEO")&gt;0,"VIDEO ","")&amp;IF(COUNTIFS(tbl_Finance[Job Number],C243&amp;"",tbl_Finance[Cost Centre],"INTEGRATION")&gt;0,"INTEGRATION ","")&amp;IF(COUNTIFS(tbl_Finance[Job Number],C243&amp;"",tbl_Finance[Cost Centre],"CONSULTING")&gt;0,"CONSULTING ","")&amp;IF(COUNTIFS(tbl_Finance[Job Number],C243&amp;"",tbl_Finance[Cost Centre],"CTS")&gt;0,"CTS ",""))," ",", ")))</f>
        <v/>
      </c>
      <c r="L243" s="22" t="n"/>
      <c r="M243" s="24" t="n"/>
      <c r="N243" s="25">
        <f>IF(M243="","",IF(AND(LEFT(M243,4)&lt;&gt;"http",set_RMSBase=""),"",HYPERLINK(IF(LEFT(M243,4)="http",M243,set_RMSBase&amp;M243),"Open opportunity")))</f>
        <v/>
      </c>
      <c r="O243" s="25">
        <f>IF(C243="","",C243)</f>
        <v/>
      </c>
      <c r="P243" s="24" t="n"/>
      <c r="Q243" s="26" t="n"/>
      <c r="R243" s="27">
        <f>IF(C243="","",H243+N(Q243))</f>
        <v/>
      </c>
      <c r="S243" s="29">
        <f>IFERROR(Q243/R243,"")</f>
        <v/>
      </c>
      <c r="T243" s="26" t="n"/>
      <c r="U243" s="26" t="n"/>
      <c r="V243" s="27">
        <f>IF(C243="","",N(T243)+N(U243))</f>
        <v/>
      </c>
      <c r="W243" s="27">
        <f>IF(C243="","",H243-V243)</f>
        <v/>
      </c>
      <c r="X243" s="29">
        <f>IFERROR(W243/H243,"")</f>
        <v/>
      </c>
      <c r="Y243" s="64" t="n"/>
      <c r="Z243" s="64" t="n"/>
      <c r="AA243" s="64" t="n"/>
      <c r="AB243" s="64" t="n"/>
      <c r="AC243" s="64" t="n"/>
      <c r="AD243" s="24" t="n"/>
    </row>
    <row r="244" ht="15" customHeight="1">
      <c r="A244" s="63">
        <f>IF(C244="","",IFERROR(IF(SUMPRODUCT(MAX((tbl_Finance[Job Number]=C244&amp;"")*(tbl_Finance[Xero Invoice No]&lt;&gt;"")*tbl_Finance[Date]))=0,"",SUMPRODUCT(MAX((tbl_Finance[Job Number]=C244&amp;"")*(tbl_Finance[Xero Invoice No]&lt;&gt;"")*tbl_Finance[Date]))),""))</f>
        <v/>
      </c>
      <c r="B244" s="25">
        <f>IF(C244="","",IF(COUNTIFS(tbl_Finance[Job Number],C244&amp;"",tbl_Finance[Xero Invoice No],"&lt;&gt;")=0,"",IFERROR(IF(COUNTIFS(tbl_Finance[Job Number],C244&amp;"",tbl_Finance[Xero Invoice No],LOOKUP(2,1/((tbl_Finance[Job Number]=C244&amp;"")*(tbl_Finance[Xero Invoice No]&lt;&gt;"")),tbl_Finance[Xero Invoice No]))=COUNTIFS(tbl_Finance[Job Number],C244&amp;"",tbl_Finance[Xero Invoice No],"&lt;&gt;"),LOOKUP(2,1/((tbl_Finance[Job Number]=C244&amp;"")*(tbl_Finance[Xero Invoice No]&lt;&gt;"")),tbl_Finance[Xero Invoice No]),LOOKUP(2,1/((tbl_Finance[Job Number]=C244&amp;"")*(tbl_Finance[Xero Invoice No]&lt;&gt;"")),tbl_Finance[Xero Invoice No])&amp;" +more"),"")))</f>
        <v/>
      </c>
      <c r="C244" s="24" t="n"/>
      <c r="D244" s="25">
        <f>IF(C244="","",IF(COUNTIF(lst_Jobs,C244&amp;"")&gt;0,"OK","CHECK"))</f>
        <v/>
      </c>
      <c r="E244" s="25">
        <f>IF(C244="","",IFERROR(INDEX(lst_JobName,MATCH(C244&amp;"",lst_Jobs,0)),""))</f>
        <v/>
      </c>
      <c r="F244" s="25">
        <f>IF(C244="","",IFERROR(INDEX(tbl_Finance[Client],MATCH(C244&amp;"",tbl_Finance[Job Number],0)),""))</f>
        <v/>
      </c>
      <c r="G244" s="28">
        <f>IF(C244="","",COUNTIFS(tbl_Finance[Job Number],C244&amp;"",tbl_Finance[Ex GST],"&lt;&gt;"))</f>
        <v/>
      </c>
      <c r="H244" s="27">
        <f>IF(C244="","",SUMIFS(tbl_Finance[Ex GST],tbl_Finance[Job Number],C244&amp;""))</f>
        <v/>
      </c>
      <c r="I244" s="27">
        <f>IF(C244="","",SUMIFS(tbl_Finance[Ex GST],tbl_Finance[Job Number],C244&amp;"",tbl_Finance[Xero Invoice No],"&lt;&gt;"))</f>
        <v/>
      </c>
      <c r="J244" s="27">
        <f>IF(C244="","",H244-I244)</f>
        <v/>
      </c>
      <c r="K244" s="25">
        <f>IF(C244="","",IF(G244=0,"not invoiced yet",SUBSTITUTE(TRIM(IF(COUNTIFS(tbl_Finance[Job Number],C244&amp;"",tbl_Finance[Cost Centre],"ONSITE")&gt;0,"ONSITE ","")&amp;IF(COUNTIFS(tbl_Finance[Job Number],C244&amp;"",tbl_Finance[Cost Centre],"PRODUCTION")&gt;0,"PRODUCTION ","")&amp;IF(COUNTIFS(tbl_Finance[Job Number],C244&amp;"",tbl_Finance[Cost Centre],"VIDEO")&gt;0,"VIDEO ","")&amp;IF(COUNTIFS(tbl_Finance[Job Number],C244&amp;"",tbl_Finance[Cost Centre],"INTEGRATION")&gt;0,"INTEGRATION ","")&amp;IF(COUNTIFS(tbl_Finance[Job Number],C244&amp;"",tbl_Finance[Cost Centre],"CONSULTING")&gt;0,"CONSULTING ","")&amp;IF(COUNTIFS(tbl_Finance[Job Number],C244&amp;"",tbl_Finance[Cost Centre],"CTS")&gt;0,"CTS ",""))," ",", ")))</f>
        <v/>
      </c>
      <c r="L244" s="22" t="n"/>
      <c r="M244" s="24" t="n"/>
      <c r="N244" s="25">
        <f>IF(M244="","",IF(AND(LEFT(M244,4)&lt;&gt;"http",set_RMSBase=""),"",HYPERLINK(IF(LEFT(M244,4)="http",M244,set_RMSBase&amp;M244),"Open opportunity")))</f>
        <v/>
      </c>
      <c r="O244" s="25">
        <f>IF(C244="","",C244)</f>
        <v/>
      </c>
      <c r="P244" s="24" t="n"/>
      <c r="Q244" s="26" t="n"/>
      <c r="R244" s="27">
        <f>IF(C244="","",H244+N(Q244))</f>
        <v/>
      </c>
      <c r="S244" s="29">
        <f>IFERROR(Q244/R244,"")</f>
        <v/>
      </c>
      <c r="T244" s="26" t="n"/>
      <c r="U244" s="26" t="n"/>
      <c r="V244" s="27">
        <f>IF(C244="","",N(T244)+N(U244))</f>
        <v/>
      </c>
      <c r="W244" s="27">
        <f>IF(C244="","",H244-V244)</f>
        <v/>
      </c>
      <c r="X244" s="29">
        <f>IFERROR(W244/H244,"")</f>
        <v/>
      </c>
      <c r="Y244" s="64" t="n"/>
      <c r="Z244" s="64" t="n"/>
      <c r="AA244" s="64" t="n"/>
      <c r="AB244" s="64" t="n"/>
      <c r="AC244" s="64" t="n"/>
      <c r="AD244" s="24" t="n"/>
    </row>
    <row r="245" ht="15" customHeight="1">
      <c r="A245" s="63">
        <f>IF(C245="","",IFERROR(IF(SUMPRODUCT(MAX((tbl_Finance[Job Number]=C245&amp;"")*(tbl_Finance[Xero Invoice No]&lt;&gt;"")*tbl_Finance[Date]))=0,"",SUMPRODUCT(MAX((tbl_Finance[Job Number]=C245&amp;"")*(tbl_Finance[Xero Invoice No]&lt;&gt;"")*tbl_Finance[Date]))),""))</f>
        <v/>
      </c>
      <c r="B245" s="25">
        <f>IF(C245="","",IF(COUNTIFS(tbl_Finance[Job Number],C245&amp;"",tbl_Finance[Xero Invoice No],"&lt;&gt;")=0,"",IFERROR(IF(COUNTIFS(tbl_Finance[Job Number],C245&amp;"",tbl_Finance[Xero Invoice No],LOOKUP(2,1/((tbl_Finance[Job Number]=C245&amp;"")*(tbl_Finance[Xero Invoice No]&lt;&gt;"")),tbl_Finance[Xero Invoice No]))=COUNTIFS(tbl_Finance[Job Number],C245&amp;"",tbl_Finance[Xero Invoice No],"&lt;&gt;"),LOOKUP(2,1/((tbl_Finance[Job Number]=C245&amp;"")*(tbl_Finance[Xero Invoice No]&lt;&gt;"")),tbl_Finance[Xero Invoice No]),LOOKUP(2,1/((tbl_Finance[Job Number]=C245&amp;"")*(tbl_Finance[Xero Invoice No]&lt;&gt;"")),tbl_Finance[Xero Invoice No])&amp;" +more"),"")))</f>
        <v/>
      </c>
      <c r="C245" s="24" t="n"/>
      <c r="D245" s="25">
        <f>IF(C245="","",IF(COUNTIF(lst_Jobs,C245&amp;"")&gt;0,"OK","CHECK"))</f>
        <v/>
      </c>
      <c r="E245" s="25">
        <f>IF(C245="","",IFERROR(INDEX(lst_JobName,MATCH(C245&amp;"",lst_Jobs,0)),""))</f>
        <v/>
      </c>
      <c r="F245" s="25">
        <f>IF(C245="","",IFERROR(INDEX(tbl_Finance[Client],MATCH(C245&amp;"",tbl_Finance[Job Number],0)),""))</f>
        <v/>
      </c>
      <c r="G245" s="28">
        <f>IF(C245="","",COUNTIFS(tbl_Finance[Job Number],C245&amp;"",tbl_Finance[Ex GST],"&lt;&gt;"))</f>
        <v/>
      </c>
      <c r="H245" s="27">
        <f>IF(C245="","",SUMIFS(tbl_Finance[Ex GST],tbl_Finance[Job Number],C245&amp;""))</f>
        <v/>
      </c>
      <c r="I245" s="27">
        <f>IF(C245="","",SUMIFS(tbl_Finance[Ex GST],tbl_Finance[Job Number],C245&amp;"",tbl_Finance[Xero Invoice No],"&lt;&gt;"))</f>
        <v/>
      </c>
      <c r="J245" s="27">
        <f>IF(C245="","",H245-I245)</f>
        <v/>
      </c>
      <c r="K245" s="25">
        <f>IF(C245="","",IF(G245=0,"not invoiced yet",SUBSTITUTE(TRIM(IF(COUNTIFS(tbl_Finance[Job Number],C245&amp;"",tbl_Finance[Cost Centre],"ONSITE")&gt;0,"ONSITE ","")&amp;IF(COUNTIFS(tbl_Finance[Job Number],C245&amp;"",tbl_Finance[Cost Centre],"PRODUCTION")&gt;0,"PRODUCTION ","")&amp;IF(COUNTIFS(tbl_Finance[Job Number],C245&amp;"",tbl_Finance[Cost Centre],"VIDEO")&gt;0,"VIDEO ","")&amp;IF(COUNTIFS(tbl_Finance[Job Number],C245&amp;"",tbl_Finance[Cost Centre],"INTEGRATION")&gt;0,"INTEGRATION ","")&amp;IF(COUNTIFS(tbl_Finance[Job Number],C245&amp;"",tbl_Finance[Cost Centre],"CONSULTING")&gt;0,"CONSULTING ","")&amp;IF(COUNTIFS(tbl_Finance[Job Number],C245&amp;"",tbl_Finance[Cost Centre],"CTS")&gt;0,"CTS ",""))," ",", ")))</f>
        <v/>
      </c>
      <c r="L245" s="22" t="n"/>
      <c r="M245" s="24" t="n"/>
      <c r="N245" s="25">
        <f>IF(M245="","",IF(AND(LEFT(M245,4)&lt;&gt;"http",set_RMSBase=""),"",HYPERLINK(IF(LEFT(M245,4)="http",M245,set_RMSBase&amp;M245),"Open opportunity")))</f>
        <v/>
      </c>
      <c r="O245" s="25">
        <f>IF(C245="","",C245)</f>
        <v/>
      </c>
      <c r="P245" s="24" t="n"/>
      <c r="Q245" s="26" t="n"/>
      <c r="R245" s="27">
        <f>IF(C245="","",H245+N(Q245))</f>
        <v/>
      </c>
      <c r="S245" s="29">
        <f>IFERROR(Q245/R245,"")</f>
        <v/>
      </c>
      <c r="T245" s="26" t="n"/>
      <c r="U245" s="26" t="n"/>
      <c r="V245" s="27">
        <f>IF(C245="","",N(T245)+N(U245))</f>
        <v/>
      </c>
      <c r="W245" s="27">
        <f>IF(C245="","",H245-V245)</f>
        <v/>
      </c>
      <c r="X245" s="29">
        <f>IFERROR(W245/H245,"")</f>
        <v/>
      </c>
      <c r="Y245" s="64" t="n"/>
      <c r="Z245" s="64" t="n"/>
      <c r="AA245" s="64" t="n"/>
      <c r="AB245" s="64" t="n"/>
      <c r="AC245" s="64" t="n"/>
      <c r="AD245" s="24" t="n"/>
    </row>
    <row r="246" ht="15" customHeight="1">
      <c r="A246" s="63">
        <f>IF(C246="","",IFERROR(IF(SUMPRODUCT(MAX((tbl_Finance[Job Number]=C246&amp;"")*(tbl_Finance[Xero Invoice No]&lt;&gt;"")*tbl_Finance[Date]))=0,"",SUMPRODUCT(MAX((tbl_Finance[Job Number]=C246&amp;"")*(tbl_Finance[Xero Invoice No]&lt;&gt;"")*tbl_Finance[Date]))),""))</f>
        <v/>
      </c>
      <c r="B246" s="25">
        <f>IF(C246="","",IF(COUNTIFS(tbl_Finance[Job Number],C246&amp;"",tbl_Finance[Xero Invoice No],"&lt;&gt;")=0,"",IFERROR(IF(COUNTIFS(tbl_Finance[Job Number],C246&amp;"",tbl_Finance[Xero Invoice No],LOOKUP(2,1/((tbl_Finance[Job Number]=C246&amp;"")*(tbl_Finance[Xero Invoice No]&lt;&gt;"")),tbl_Finance[Xero Invoice No]))=COUNTIFS(tbl_Finance[Job Number],C246&amp;"",tbl_Finance[Xero Invoice No],"&lt;&gt;"),LOOKUP(2,1/((tbl_Finance[Job Number]=C246&amp;"")*(tbl_Finance[Xero Invoice No]&lt;&gt;"")),tbl_Finance[Xero Invoice No]),LOOKUP(2,1/((tbl_Finance[Job Number]=C246&amp;"")*(tbl_Finance[Xero Invoice No]&lt;&gt;"")),tbl_Finance[Xero Invoice No])&amp;" +more"),"")))</f>
        <v/>
      </c>
      <c r="C246" s="24" t="n"/>
      <c r="D246" s="25">
        <f>IF(C246="","",IF(COUNTIF(lst_Jobs,C246&amp;"")&gt;0,"OK","CHECK"))</f>
        <v/>
      </c>
      <c r="E246" s="25">
        <f>IF(C246="","",IFERROR(INDEX(lst_JobName,MATCH(C246&amp;"",lst_Jobs,0)),""))</f>
        <v/>
      </c>
      <c r="F246" s="25">
        <f>IF(C246="","",IFERROR(INDEX(tbl_Finance[Client],MATCH(C246&amp;"",tbl_Finance[Job Number],0)),""))</f>
        <v/>
      </c>
      <c r="G246" s="28">
        <f>IF(C246="","",COUNTIFS(tbl_Finance[Job Number],C246&amp;"",tbl_Finance[Ex GST],"&lt;&gt;"))</f>
        <v/>
      </c>
      <c r="H246" s="27">
        <f>IF(C246="","",SUMIFS(tbl_Finance[Ex GST],tbl_Finance[Job Number],C246&amp;""))</f>
        <v/>
      </c>
      <c r="I246" s="27">
        <f>IF(C246="","",SUMIFS(tbl_Finance[Ex GST],tbl_Finance[Job Number],C246&amp;"",tbl_Finance[Xero Invoice No],"&lt;&gt;"))</f>
        <v/>
      </c>
      <c r="J246" s="27">
        <f>IF(C246="","",H246-I246)</f>
        <v/>
      </c>
      <c r="K246" s="25">
        <f>IF(C246="","",IF(G246=0,"not invoiced yet",SUBSTITUTE(TRIM(IF(COUNTIFS(tbl_Finance[Job Number],C246&amp;"",tbl_Finance[Cost Centre],"ONSITE")&gt;0,"ONSITE ","")&amp;IF(COUNTIFS(tbl_Finance[Job Number],C246&amp;"",tbl_Finance[Cost Centre],"PRODUCTION")&gt;0,"PRODUCTION ","")&amp;IF(COUNTIFS(tbl_Finance[Job Number],C246&amp;"",tbl_Finance[Cost Centre],"VIDEO")&gt;0,"VIDEO ","")&amp;IF(COUNTIFS(tbl_Finance[Job Number],C246&amp;"",tbl_Finance[Cost Centre],"INTEGRATION")&gt;0,"INTEGRATION ","")&amp;IF(COUNTIFS(tbl_Finance[Job Number],C246&amp;"",tbl_Finance[Cost Centre],"CONSULTING")&gt;0,"CONSULTING ","")&amp;IF(COUNTIFS(tbl_Finance[Job Number],C246&amp;"",tbl_Finance[Cost Centre],"CTS")&gt;0,"CTS ",""))," ",", ")))</f>
        <v/>
      </c>
      <c r="L246" s="22" t="n"/>
      <c r="M246" s="24" t="n"/>
      <c r="N246" s="25">
        <f>IF(M246="","",IF(AND(LEFT(M246,4)&lt;&gt;"http",set_RMSBase=""),"",HYPERLINK(IF(LEFT(M246,4)="http",M246,set_RMSBase&amp;M246),"Open opportunity")))</f>
        <v/>
      </c>
      <c r="O246" s="25">
        <f>IF(C246="","",C246)</f>
        <v/>
      </c>
      <c r="P246" s="24" t="n"/>
      <c r="Q246" s="26" t="n"/>
      <c r="R246" s="27">
        <f>IF(C246="","",H246+N(Q246))</f>
        <v/>
      </c>
      <c r="S246" s="29">
        <f>IFERROR(Q246/R246,"")</f>
        <v/>
      </c>
      <c r="T246" s="26" t="n"/>
      <c r="U246" s="26" t="n"/>
      <c r="V246" s="27">
        <f>IF(C246="","",N(T246)+N(U246))</f>
        <v/>
      </c>
      <c r="W246" s="27">
        <f>IF(C246="","",H246-V246)</f>
        <v/>
      </c>
      <c r="X246" s="29">
        <f>IFERROR(W246/H246,"")</f>
        <v/>
      </c>
      <c r="Y246" s="64" t="n"/>
      <c r="Z246" s="64" t="n"/>
      <c r="AA246" s="64" t="n"/>
      <c r="AB246" s="64" t="n"/>
      <c r="AC246" s="64" t="n"/>
      <c r="AD246" s="24" t="n"/>
    </row>
    <row r="247" ht="15" customHeight="1">
      <c r="A247" s="63">
        <f>IF(C247="","",IFERROR(IF(SUMPRODUCT(MAX((tbl_Finance[Job Number]=C247&amp;"")*(tbl_Finance[Xero Invoice No]&lt;&gt;"")*tbl_Finance[Date]))=0,"",SUMPRODUCT(MAX((tbl_Finance[Job Number]=C247&amp;"")*(tbl_Finance[Xero Invoice No]&lt;&gt;"")*tbl_Finance[Date]))),""))</f>
        <v/>
      </c>
      <c r="B247" s="25">
        <f>IF(C247="","",IF(COUNTIFS(tbl_Finance[Job Number],C247&amp;"",tbl_Finance[Xero Invoice No],"&lt;&gt;")=0,"",IFERROR(IF(COUNTIFS(tbl_Finance[Job Number],C247&amp;"",tbl_Finance[Xero Invoice No],LOOKUP(2,1/((tbl_Finance[Job Number]=C247&amp;"")*(tbl_Finance[Xero Invoice No]&lt;&gt;"")),tbl_Finance[Xero Invoice No]))=COUNTIFS(tbl_Finance[Job Number],C247&amp;"",tbl_Finance[Xero Invoice No],"&lt;&gt;"),LOOKUP(2,1/((tbl_Finance[Job Number]=C247&amp;"")*(tbl_Finance[Xero Invoice No]&lt;&gt;"")),tbl_Finance[Xero Invoice No]),LOOKUP(2,1/((tbl_Finance[Job Number]=C247&amp;"")*(tbl_Finance[Xero Invoice No]&lt;&gt;"")),tbl_Finance[Xero Invoice No])&amp;" +more"),"")))</f>
        <v/>
      </c>
      <c r="C247" s="24" t="n"/>
      <c r="D247" s="25">
        <f>IF(C247="","",IF(COUNTIF(lst_Jobs,C247&amp;"")&gt;0,"OK","CHECK"))</f>
        <v/>
      </c>
      <c r="E247" s="25">
        <f>IF(C247="","",IFERROR(INDEX(lst_JobName,MATCH(C247&amp;"",lst_Jobs,0)),""))</f>
        <v/>
      </c>
      <c r="F247" s="25">
        <f>IF(C247="","",IFERROR(INDEX(tbl_Finance[Client],MATCH(C247&amp;"",tbl_Finance[Job Number],0)),""))</f>
        <v/>
      </c>
      <c r="G247" s="28">
        <f>IF(C247="","",COUNTIFS(tbl_Finance[Job Number],C247&amp;"",tbl_Finance[Ex GST],"&lt;&gt;"))</f>
        <v/>
      </c>
      <c r="H247" s="27">
        <f>IF(C247="","",SUMIFS(tbl_Finance[Ex GST],tbl_Finance[Job Number],C247&amp;""))</f>
        <v/>
      </c>
      <c r="I247" s="27">
        <f>IF(C247="","",SUMIFS(tbl_Finance[Ex GST],tbl_Finance[Job Number],C247&amp;"",tbl_Finance[Xero Invoice No],"&lt;&gt;"))</f>
        <v/>
      </c>
      <c r="J247" s="27">
        <f>IF(C247="","",H247-I247)</f>
        <v/>
      </c>
      <c r="K247" s="25">
        <f>IF(C247="","",IF(G247=0,"not invoiced yet",SUBSTITUTE(TRIM(IF(COUNTIFS(tbl_Finance[Job Number],C247&amp;"",tbl_Finance[Cost Centre],"ONSITE")&gt;0,"ONSITE ","")&amp;IF(COUNTIFS(tbl_Finance[Job Number],C247&amp;"",tbl_Finance[Cost Centre],"PRODUCTION")&gt;0,"PRODUCTION ","")&amp;IF(COUNTIFS(tbl_Finance[Job Number],C247&amp;"",tbl_Finance[Cost Centre],"VIDEO")&gt;0,"VIDEO ","")&amp;IF(COUNTIFS(tbl_Finance[Job Number],C247&amp;"",tbl_Finance[Cost Centre],"INTEGRATION")&gt;0,"INTEGRATION ","")&amp;IF(COUNTIFS(tbl_Finance[Job Number],C247&amp;"",tbl_Finance[Cost Centre],"CONSULTING")&gt;0,"CONSULTING ","")&amp;IF(COUNTIFS(tbl_Finance[Job Number],C247&amp;"",tbl_Finance[Cost Centre],"CTS")&gt;0,"CTS ",""))," ",", ")))</f>
        <v/>
      </c>
      <c r="L247" s="22" t="n"/>
      <c r="M247" s="24" t="n"/>
      <c r="N247" s="25">
        <f>IF(M247="","",IF(AND(LEFT(M247,4)&lt;&gt;"http",set_RMSBase=""),"",HYPERLINK(IF(LEFT(M247,4)="http",M247,set_RMSBase&amp;M247),"Open opportunity")))</f>
        <v/>
      </c>
      <c r="O247" s="25">
        <f>IF(C247="","",C247)</f>
        <v/>
      </c>
      <c r="P247" s="24" t="n"/>
      <c r="Q247" s="26" t="n"/>
      <c r="R247" s="27">
        <f>IF(C247="","",H247+N(Q247))</f>
        <v/>
      </c>
      <c r="S247" s="29">
        <f>IFERROR(Q247/R247,"")</f>
        <v/>
      </c>
      <c r="T247" s="26" t="n"/>
      <c r="U247" s="26" t="n"/>
      <c r="V247" s="27">
        <f>IF(C247="","",N(T247)+N(U247))</f>
        <v/>
      </c>
      <c r="W247" s="27">
        <f>IF(C247="","",H247-V247)</f>
        <v/>
      </c>
      <c r="X247" s="29">
        <f>IFERROR(W247/H247,"")</f>
        <v/>
      </c>
      <c r="Y247" s="64" t="n"/>
      <c r="Z247" s="64" t="n"/>
      <c r="AA247" s="64" t="n"/>
      <c r="AB247" s="64" t="n"/>
      <c r="AC247" s="64" t="n"/>
      <c r="AD247" s="24" t="n"/>
    </row>
    <row r="248" ht="15" customHeight="1">
      <c r="A248" s="63">
        <f>IF(C248="","",IFERROR(IF(SUMPRODUCT(MAX((tbl_Finance[Job Number]=C248&amp;"")*(tbl_Finance[Xero Invoice No]&lt;&gt;"")*tbl_Finance[Date]))=0,"",SUMPRODUCT(MAX((tbl_Finance[Job Number]=C248&amp;"")*(tbl_Finance[Xero Invoice No]&lt;&gt;"")*tbl_Finance[Date]))),""))</f>
        <v/>
      </c>
      <c r="B248" s="25">
        <f>IF(C248="","",IF(COUNTIFS(tbl_Finance[Job Number],C248&amp;"",tbl_Finance[Xero Invoice No],"&lt;&gt;")=0,"",IFERROR(IF(COUNTIFS(tbl_Finance[Job Number],C248&amp;"",tbl_Finance[Xero Invoice No],LOOKUP(2,1/((tbl_Finance[Job Number]=C248&amp;"")*(tbl_Finance[Xero Invoice No]&lt;&gt;"")),tbl_Finance[Xero Invoice No]))=COUNTIFS(tbl_Finance[Job Number],C248&amp;"",tbl_Finance[Xero Invoice No],"&lt;&gt;"),LOOKUP(2,1/((tbl_Finance[Job Number]=C248&amp;"")*(tbl_Finance[Xero Invoice No]&lt;&gt;"")),tbl_Finance[Xero Invoice No]),LOOKUP(2,1/((tbl_Finance[Job Number]=C248&amp;"")*(tbl_Finance[Xero Invoice No]&lt;&gt;"")),tbl_Finance[Xero Invoice No])&amp;" +more"),"")))</f>
        <v/>
      </c>
      <c r="C248" s="24" t="n"/>
      <c r="D248" s="25">
        <f>IF(C248="","",IF(COUNTIF(lst_Jobs,C248&amp;"")&gt;0,"OK","CHECK"))</f>
        <v/>
      </c>
      <c r="E248" s="25">
        <f>IF(C248="","",IFERROR(INDEX(lst_JobName,MATCH(C248&amp;"",lst_Jobs,0)),""))</f>
        <v/>
      </c>
      <c r="F248" s="25">
        <f>IF(C248="","",IFERROR(INDEX(tbl_Finance[Client],MATCH(C248&amp;"",tbl_Finance[Job Number],0)),""))</f>
        <v/>
      </c>
      <c r="G248" s="28">
        <f>IF(C248="","",COUNTIFS(tbl_Finance[Job Number],C248&amp;"",tbl_Finance[Ex GST],"&lt;&gt;"))</f>
        <v/>
      </c>
      <c r="H248" s="27">
        <f>IF(C248="","",SUMIFS(tbl_Finance[Ex GST],tbl_Finance[Job Number],C248&amp;""))</f>
        <v/>
      </c>
      <c r="I248" s="27">
        <f>IF(C248="","",SUMIFS(tbl_Finance[Ex GST],tbl_Finance[Job Number],C248&amp;"",tbl_Finance[Xero Invoice No],"&lt;&gt;"))</f>
        <v/>
      </c>
      <c r="J248" s="27">
        <f>IF(C248="","",H248-I248)</f>
        <v/>
      </c>
      <c r="K248" s="25">
        <f>IF(C248="","",IF(G248=0,"not invoiced yet",SUBSTITUTE(TRIM(IF(COUNTIFS(tbl_Finance[Job Number],C248&amp;"",tbl_Finance[Cost Centre],"ONSITE")&gt;0,"ONSITE ","")&amp;IF(COUNTIFS(tbl_Finance[Job Number],C248&amp;"",tbl_Finance[Cost Centre],"PRODUCTION")&gt;0,"PRODUCTION ","")&amp;IF(COUNTIFS(tbl_Finance[Job Number],C248&amp;"",tbl_Finance[Cost Centre],"VIDEO")&gt;0,"VIDEO ","")&amp;IF(COUNTIFS(tbl_Finance[Job Number],C248&amp;"",tbl_Finance[Cost Centre],"INTEGRATION")&gt;0,"INTEGRATION ","")&amp;IF(COUNTIFS(tbl_Finance[Job Number],C248&amp;"",tbl_Finance[Cost Centre],"CONSULTING")&gt;0,"CONSULTING ","")&amp;IF(COUNTIFS(tbl_Finance[Job Number],C248&amp;"",tbl_Finance[Cost Centre],"CTS")&gt;0,"CTS ",""))," ",", ")))</f>
        <v/>
      </c>
      <c r="L248" s="22" t="n"/>
      <c r="M248" s="24" t="n"/>
      <c r="N248" s="25">
        <f>IF(M248="","",IF(AND(LEFT(M248,4)&lt;&gt;"http",set_RMSBase=""),"",HYPERLINK(IF(LEFT(M248,4)="http",M248,set_RMSBase&amp;M248),"Open opportunity")))</f>
        <v/>
      </c>
      <c r="O248" s="25">
        <f>IF(C248="","",C248)</f>
        <v/>
      </c>
      <c r="P248" s="24" t="n"/>
      <c r="Q248" s="26" t="n"/>
      <c r="R248" s="27">
        <f>IF(C248="","",H248+N(Q248))</f>
        <v/>
      </c>
      <c r="S248" s="29">
        <f>IFERROR(Q248/R248,"")</f>
        <v/>
      </c>
      <c r="T248" s="26" t="n"/>
      <c r="U248" s="26" t="n"/>
      <c r="V248" s="27">
        <f>IF(C248="","",N(T248)+N(U248))</f>
        <v/>
      </c>
      <c r="W248" s="27">
        <f>IF(C248="","",H248-V248)</f>
        <v/>
      </c>
      <c r="X248" s="29">
        <f>IFERROR(W248/H248,"")</f>
        <v/>
      </c>
      <c r="Y248" s="64" t="n"/>
      <c r="Z248" s="64" t="n"/>
      <c r="AA248" s="64" t="n"/>
      <c r="AB248" s="64" t="n"/>
      <c r="AC248" s="64" t="n"/>
      <c r="AD248" s="24" t="n"/>
    </row>
    <row r="249" ht="15" customHeight="1">
      <c r="A249" s="63">
        <f>IF(C249="","",IFERROR(IF(SUMPRODUCT(MAX((tbl_Finance[Job Number]=C249&amp;"")*(tbl_Finance[Xero Invoice No]&lt;&gt;"")*tbl_Finance[Date]))=0,"",SUMPRODUCT(MAX((tbl_Finance[Job Number]=C249&amp;"")*(tbl_Finance[Xero Invoice No]&lt;&gt;"")*tbl_Finance[Date]))),""))</f>
        <v/>
      </c>
      <c r="B249" s="25">
        <f>IF(C249="","",IF(COUNTIFS(tbl_Finance[Job Number],C249&amp;"",tbl_Finance[Xero Invoice No],"&lt;&gt;")=0,"",IFERROR(IF(COUNTIFS(tbl_Finance[Job Number],C249&amp;"",tbl_Finance[Xero Invoice No],LOOKUP(2,1/((tbl_Finance[Job Number]=C249&amp;"")*(tbl_Finance[Xero Invoice No]&lt;&gt;"")),tbl_Finance[Xero Invoice No]))=COUNTIFS(tbl_Finance[Job Number],C249&amp;"",tbl_Finance[Xero Invoice No],"&lt;&gt;"),LOOKUP(2,1/((tbl_Finance[Job Number]=C249&amp;"")*(tbl_Finance[Xero Invoice No]&lt;&gt;"")),tbl_Finance[Xero Invoice No]),LOOKUP(2,1/((tbl_Finance[Job Number]=C249&amp;"")*(tbl_Finance[Xero Invoice No]&lt;&gt;"")),tbl_Finance[Xero Invoice No])&amp;" +more"),"")))</f>
        <v/>
      </c>
      <c r="C249" s="24" t="n"/>
      <c r="D249" s="25">
        <f>IF(C249="","",IF(COUNTIF(lst_Jobs,C249&amp;"")&gt;0,"OK","CHECK"))</f>
        <v/>
      </c>
      <c r="E249" s="25">
        <f>IF(C249="","",IFERROR(INDEX(lst_JobName,MATCH(C249&amp;"",lst_Jobs,0)),""))</f>
        <v/>
      </c>
      <c r="F249" s="25">
        <f>IF(C249="","",IFERROR(INDEX(tbl_Finance[Client],MATCH(C249&amp;"",tbl_Finance[Job Number],0)),""))</f>
        <v/>
      </c>
      <c r="G249" s="28">
        <f>IF(C249="","",COUNTIFS(tbl_Finance[Job Number],C249&amp;"",tbl_Finance[Ex GST],"&lt;&gt;"))</f>
        <v/>
      </c>
      <c r="H249" s="27">
        <f>IF(C249="","",SUMIFS(tbl_Finance[Ex GST],tbl_Finance[Job Number],C249&amp;""))</f>
        <v/>
      </c>
      <c r="I249" s="27">
        <f>IF(C249="","",SUMIFS(tbl_Finance[Ex GST],tbl_Finance[Job Number],C249&amp;"",tbl_Finance[Xero Invoice No],"&lt;&gt;"))</f>
        <v/>
      </c>
      <c r="J249" s="27">
        <f>IF(C249="","",H249-I249)</f>
        <v/>
      </c>
      <c r="K249" s="25">
        <f>IF(C249="","",IF(G249=0,"not invoiced yet",SUBSTITUTE(TRIM(IF(COUNTIFS(tbl_Finance[Job Number],C249&amp;"",tbl_Finance[Cost Centre],"ONSITE")&gt;0,"ONSITE ","")&amp;IF(COUNTIFS(tbl_Finance[Job Number],C249&amp;"",tbl_Finance[Cost Centre],"PRODUCTION")&gt;0,"PRODUCTION ","")&amp;IF(COUNTIFS(tbl_Finance[Job Number],C249&amp;"",tbl_Finance[Cost Centre],"VIDEO")&gt;0,"VIDEO ","")&amp;IF(COUNTIFS(tbl_Finance[Job Number],C249&amp;"",tbl_Finance[Cost Centre],"INTEGRATION")&gt;0,"INTEGRATION ","")&amp;IF(COUNTIFS(tbl_Finance[Job Number],C249&amp;"",tbl_Finance[Cost Centre],"CONSULTING")&gt;0,"CONSULTING ","")&amp;IF(COUNTIFS(tbl_Finance[Job Number],C249&amp;"",tbl_Finance[Cost Centre],"CTS")&gt;0,"CTS ",""))," ",", ")))</f>
        <v/>
      </c>
      <c r="L249" s="22" t="n"/>
      <c r="M249" s="24" t="n"/>
      <c r="N249" s="25">
        <f>IF(M249="","",IF(AND(LEFT(M249,4)&lt;&gt;"http",set_RMSBase=""),"",HYPERLINK(IF(LEFT(M249,4)="http",M249,set_RMSBase&amp;M249),"Open opportunity")))</f>
        <v/>
      </c>
      <c r="O249" s="25">
        <f>IF(C249="","",C249)</f>
        <v/>
      </c>
      <c r="P249" s="24" t="n"/>
      <c r="Q249" s="26" t="n"/>
      <c r="R249" s="27">
        <f>IF(C249="","",H249+N(Q249))</f>
        <v/>
      </c>
      <c r="S249" s="29">
        <f>IFERROR(Q249/R249,"")</f>
        <v/>
      </c>
      <c r="T249" s="26" t="n"/>
      <c r="U249" s="26" t="n"/>
      <c r="V249" s="27">
        <f>IF(C249="","",N(T249)+N(U249))</f>
        <v/>
      </c>
      <c r="W249" s="27">
        <f>IF(C249="","",H249-V249)</f>
        <v/>
      </c>
      <c r="X249" s="29">
        <f>IFERROR(W249/H249,"")</f>
        <v/>
      </c>
      <c r="Y249" s="64" t="n"/>
      <c r="Z249" s="64" t="n"/>
      <c r="AA249" s="64" t="n"/>
      <c r="AB249" s="64" t="n"/>
      <c r="AC249" s="64" t="n"/>
      <c r="AD249" s="24" t="n"/>
    </row>
    <row r="250" ht="15" customHeight="1">
      <c r="A250" s="63">
        <f>IF(C250="","",IFERROR(IF(SUMPRODUCT(MAX((tbl_Finance[Job Number]=C250&amp;"")*(tbl_Finance[Xero Invoice No]&lt;&gt;"")*tbl_Finance[Date]))=0,"",SUMPRODUCT(MAX((tbl_Finance[Job Number]=C250&amp;"")*(tbl_Finance[Xero Invoice No]&lt;&gt;"")*tbl_Finance[Date]))),""))</f>
        <v/>
      </c>
      <c r="B250" s="25">
        <f>IF(C250="","",IF(COUNTIFS(tbl_Finance[Job Number],C250&amp;"",tbl_Finance[Xero Invoice No],"&lt;&gt;")=0,"",IFERROR(IF(COUNTIFS(tbl_Finance[Job Number],C250&amp;"",tbl_Finance[Xero Invoice No],LOOKUP(2,1/((tbl_Finance[Job Number]=C250&amp;"")*(tbl_Finance[Xero Invoice No]&lt;&gt;"")),tbl_Finance[Xero Invoice No]))=COUNTIFS(tbl_Finance[Job Number],C250&amp;"",tbl_Finance[Xero Invoice No],"&lt;&gt;"),LOOKUP(2,1/((tbl_Finance[Job Number]=C250&amp;"")*(tbl_Finance[Xero Invoice No]&lt;&gt;"")),tbl_Finance[Xero Invoice No]),LOOKUP(2,1/((tbl_Finance[Job Number]=C250&amp;"")*(tbl_Finance[Xero Invoice No]&lt;&gt;"")),tbl_Finance[Xero Invoice No])&amp;" +more"),"")))</f>
        <v/>
      </c>
      <c r="C250" s="24" t="n"/>
      <c r="D250" s="25">
        <f>IF(C250="","",IF(COUNTIF(lst_Jobs,C250&amp;"")&gt;0,"OK","CHECK"))</f>
        <v/>
      </c>
      <c r="E250" s="25">
        <f>IF(C250="","",IFERROR(INDEX(lst_JobName,MATCH(C250&amp;"",lst_Jobs,0)),""))</f>
        <v/>
      </c>
      <c r="F250" s="25">
        <f>IF(C250="","",IFERROR(INDEX(tbl_Finance[Client],MATCH(C250&amp;"",tbl_Finance[Job Number],0)),""))</f>
        <v/>
      </c>
      <c r="G250" s="28">
        <f>IF(C250="","",COUNTIFS(tbl_Finance[Job Number],C250&amp;"",tbl_Finance[Ex GST],"&lt;&gt;"))</f>
        <v/>
      </c>
      <c r="H250" s="27">
        <f>IF(C250="","",SUMIFS(tbl_Finance[Ex GST],tbl_Finance[Job Number],C250&amp;""))</f>
        <v/>
      </c>
      <c r="I250" s="27">
        <f>IF(C250="","",SUMIFS(tbl_Finance[Ex GST],tbl_Finance[Job Number],C250&amp;"",tbl_Finance[Xero Invoice No],"&lt;&gt;"))</f>
        <v/>
      </c>
      <c r="J250" s="27">
        <f>IF(C250="","",H250-I250)</f>
        <v/>
      </c>
      <c r="K250" s="25">
        <f>IF(C250="","",IF(G250=0,"not invoiced yet",SUBSTITUTE(TRIM(IF(COUNTIFS(tbl_Finance[Job Number],C250&amp;"",tbl_Finance[Cost Centre],"ONSITE")&gt;0,"ONSITE ","")&amp;IF(COUNTIFS(tbl_Finance[Job Number],C250&amp;"",tbl_Finance[Cost Centre],"PRODUCTION")&gt;0,"PRODUCTION ","")&amp;IF(COUNTIFS(tbl_Finance[Job Number],C250&amp;"",tbl_Finance[Cost Centre],"VIDEO")&gt;0,"VIDEO ","")&amp;IF(COUNTIFS(tbl_Finance[Job Number],C250&amp;"",tbl_Finance[Cost Centre],"INTEGRATION")&gt;0,"INTEGRATION ","")&amp;IF(COUNTIFS(tbl_Finance[Job Number],C250&amp;"",tbl_Finance[Cost Centre],"CONSULTING")&gt;0,"CONSULTING ","")&amp;IF(COUNTIFS(tbl_Finance[Job Number],C250&amp;"",tbl_Finance[Cost Centre],"CTS")&gt;0,"CTS ",""))," ",", ")))</f>
        <v/>
      </c>
      <c r="L250" s="22" t="n"/>
      <c r="M250" s="24" t="n"/>
      <c r="N250" s="25">
        <f>IF(M250="","",IF(AND(LEFT(M250,4)&lt;&gt;"http",set_RMSBase=""),"",HYPERLINK(IF(LEFT(M250,4)="http",M250,set_RMSBase&amp;M250),"Open opportunity")))</f>
        <v/>
      </c>
      <c r="O250" s="25">
        <f>IF(C250="","",C250)</f>
        <v/>
      </c>
      <c r="P250" s="24" t="n"/>
      <c r="Q250" s="26" t="n"/>
      <c r="R250" s="27">
        <f>IF(C250="","",H250+N(Q250))</f>
        <v/>
      </c>
      <c r="S250" s="29">
        <f>IFERROR(Q250/R250,"")</f>
        <v/>
      </c>
      <c r="T250" s="26" t="n"/>
      <c r="U250" s="26" t="n"/>
      <c r="V250" s="27">
        <f>IF(C250="","",N(T250)+N(U250))</f>
        <v/>
      </c>
      <c r="W250" s="27">
        <f>IF(C250="","",H250-V250)</f>
        <v/>
      </c>
      <c r="X250" s="29">
        <f>IFERROR(W250/H250,"")</f>
        <v/>
      </c>
      <c r="Y250" s="64" t="n"/>
      <c r="Z250" s="64" t="n"/>
      <c r="AA250" s="64" t="n"/>
      <c r="AB250" s="64" t="n"/>
      <c r="AC250" s="64" t="n"/>
      <c r="AD250" s="24" t="n"/>
    </row>
    <row r="251" ht="15" customHeight="1">
      <c r="A251" s="63">
        <f>IF(C251="","",IFERROR(IF(SUMPRODUCT(MAX((tbl_Finance[Job Number]=C251&amp;"")*(tbl_Finance[Xero Invoice No]&lt;&gt;"")*tbl_Finance[Date]))=0,"",SUMPRODUCT(MAX((tbl_Finance[Job Number]=C251&amp;"")*(tbl_Finance[Xero Invoice No]&lt;&gt;"")*tbl_Finance[Date]))),""))</f>
        <v/>
      </c>
      <c r="B251" s="25">
        <f>IF(C251="","",IF(COUNTIFS(tbl_Finance[Job Number],C251&amp;"",tbl_Finance[Xero Invoice No],"&lt;&gt;")=0,"",IFERROR(IF(COUNTIFS(tbl_Finance[Job Number],C251&amp;"",tbl_Finance[Xero Invoice No],LOOKUP(2,1/((tbl_Finance[Job Number]=C251&amp;"")*(tbl_Finance[Xero Invoice No]&lt;&gt;"")),tbl_Finance[Xero Invoice No]))=COUNTIFS(tbl_Finance[Job Number],C251&amp;"",tbl_Finance[Xero Invoice No],"&lt;&gt;"),LOOKUP(2,1/((tbl_Finance[Job Number]=C251&amp;"")*(tbl_Finance[Xero Invoice No]&lt;&gt;"")),tbl_Finance[Xero Invoice No]),LOOKUP(2,1/((tbl_Finance[Job Number]=C251&amp;"")*(tbl_Finance[Xero Invoice No]&lt;&gt;"")),tbl_Finance[Xero Invoice No])&amp;" +more"),"")))</f>
        <v/>
      </c>
      <c r="C251" s="24" t="n"/>
      <c r="D251" s="25">
        <f>IF(C251="","",IF(COUNTIF(lst_Jobs,C251&amp;"")&gt;0,"OK","CHECK"))</f>
        <v/>
      </c>
      <c r="E251" s="25">
        <f>IF(C251="","",IFERROR(INDEX(lst_JobName,MATCH(C251&amp;"",lst_Jobs,0)),""))</f>
        <v/>
      </c>
      <c r="F251" s="25">
        <f>IF(C251="","",IFERROR(INDEX(tbl_Finance[Client],MATCH(C251&amp;"",tbl_Finance[Job Number],0)),""))</f>
        <v/>
      </c>
      <c r="G251" s="28">
        <f>IF(C251="","",COUNTIFS(tbl_Finance[Job Number],C251&amp;"",tbl_Finance[Ex GST],"&lt;&gt;"))</f>
        <v/>
      </c>
      <c r="H251" s="27">
        <f>IF(C251="","",SUMIFS(tbl_Finance[Ex GST],tbl_Finance[Job Number],C251&amp;""))</f>
        <v/>
      </c>
      <c r="I251" s="27">
        <f>IF(C251="","",SUMIFS(tbl_Finance[Ex GST],tbl_Finance[Job Number],C251&amp;"",tbl_Finance[Xero Invoice No],"&lt;&gt;"))</f>
        <v/>
      </c>
      <c r="J251" s="27">
        <f>IF(C251="","",H251-I251)</f>
        <v/>
      </c>
      <c r="K251" s="25">
        <f>IF(C251="","",IF(G251=0,"not invoiced yet",SUBSTITUTE(TRIM(IF(COUNTIFS(tbl_Finance[Job Number],C251&amp;"",tbl_Finance[Cost Centre],"ONSITE")&gt;0,"ONSITE ","")&amp;IF(COUNTIFS(tbl_Finance[Job Number],C251&amp;"",tbl_Finance[Cost Centre],"PRODUCTION")&gt;0,"PRODUCTION ","")&amp;IF(COUNTIFS(tbl_Finance[Job Number],C251&amp;"",tbl_Finance[Cost Centre],"VIDEO")&gt;0,"VIDEO ","")&amp;IF(COUNTIFS(tbl_Finance[Job Number],C251&amp;"",tbl_Finance[Cost Centre],"INTEGRATION")&gt;0,"INTEGRATION ","")&amp;IF(COUNTIFS(tbl_Finance[Job Number],C251&amp;"",tbl_Finance[Cost Centre],"CONSULTING")&gt;0,"CONSULTING ","")&amp;IF(COUNTIFS(tbl_Finance[Job Number],C251&amp;"",tbl_Finance[Cost Centre],"CTS")&gt;0,"CTS ",""))," ",", ")))</f>
        <v/>
      </c>
      <c r="L251" s="22" t="n"/>
      <c r="M251" s="24" t="n"/>
      <c r="N251" s="25">
        <f>IF(M251="","",IF(AND(LEFT(M251,4)&lt;&gt;"http",set_RMSBase=""),"",HYPERLINK(IF(LEFT(M251,4)="http",M251,set_RMSBase&amp;M251),"Open opportunity")))</f>
        <v/>
      </c>
      <c r="O251" s="25">
        <f>IF(C251="","",C251)</f>
        <v/>
      </c>
      <c r="P251" s="24" t="n"/>
      <c r="Q251" s="26" t="n"/>
      <c r="R251" s="27">
        <f>IF(C251="","",H251+N(Q251))</f>
        <v/>
      </c>
      <c r="S251" s="29">
        <f>IFERROR(Q251/R251,"")</f>
        <v/>
      </c>
      <c r="T251" s="26" t="n"/>
      <c r="U251" s="26" t="n"/>
      <c r="V251" s="27">
        <f>IF(C251="","",N(T251)+N(U251))</f>
        <v/>
      </c>
      <c r="W251" s="27">
        <f>IF(C251="","",H251-V251)</f>
        <v/>
      </c>
      <c r="X251" s="29">
        <f>IFERROR(W251/H251,"")</f>
        <v/>
      </c>
      <c r="Y251" s="64" t="n"/>
      <c r="Z251" s="64" t="n"/>
      <c r="AA251" s="64" t="n"/>
      <c r="AB251" s="64" t="n"/>
      <c r="AC251" s="64" t="n"/>
      <c r="AD251" s="24" t="n"/>
    </row>
    <row r="252" ht="15" customHeight="1">
      <c r="A252" s="63">
        <f>IF(C252="","",IFERROR(IF(SUMPRODUCT(MAX((tbl_Finance[Job Number]=C252&amp;"")*(tbl_Finance[Xero Invoice No]&lt;&gt;"")*tbl_Finance[Date]))=0,"",SUMPRODUCT(MAX((tbl_Finance[Job Number]=C252&amp;"")*(tbl_Finance[Xero Invoice No]&lt;&gt;"")*tbl_Finance[Date]))),""))</f>
        <v/>
      </c>
      <c r="B252" s="25">
        <f>IF(C252="","",IF(COUNTIFS(tbl_Finance[Job Number],C252&amp;"",tbl_Finance[Xero Invoice No],"&lt;&gt;")=0,"",IFERROR(IF(COUNTIFS(tbl_Finance[Job Number],C252&amp;"",tbl_Finance[Xero Invoice No],LOOKUP(2,1/((tbl_Finance[Job Number]=C252&amp;"")*(tbl_Finance[Xero Invoice No]&lt;&gt;"")),tbl_Finance[Xero Invoice No]))=COUNTIFS(tbl_Finance[Job Number],C252&amp;"",tbl_Finance[Xero Invoice No],"&lt;&gt;"),LOOKUP(2,1/((tbl_Finance[Job Number]=C252&amp;"")*(tbl_Finance[Xero Invoice No]&lt;&gt;"")),tbl_Finance[Xero Invoice No]),LOOKUP(2,1/((tbl_Finance[Job Number]=C252&amp;"")*(tbl_Finance[Xero Invoice No]&lt;&gt;"")),tbl_Finance[Xero Invoice No])&amp;" +more"),"")))</f>
        <v/>
      </c>
      <c r="C252" s="24" t="n"/>
      <c r="D252" s="25">
        <f>IF(C252="","",IF(COUNTIF(lst_Jobs,C252&amp;"")&gt;0,"OK","CHECK"))</f>
        <v/>
      </c>
      <c r="E252" s="25">
        <f>IF(C252="","",IFERROR(INDEX(lst_JobName,MATCH(C252&amp;"",lst_Jobs,0)),""))</f>
        <v/>
      </c>
      <c r="F252" s="25">
        <f>IF(C252="","",IFERROR(INDEX(tbl_Finance[Client],MATCH(C252&amp;"",tbl_Finance[Job Number],0)),""))</f>
        <v/>
      </c>
      <c r="G252" s="28">
        <f>IF(C252="","",COUNTIFS(tbl_Finance[Job Number],C252&amp;"",tbl_Finance[Ex GST],"&lt;&gt;"))</f>
        <v/>
      </c>
      <c r="H252" s="27">
        <f>IF(C252="","",SUMIFS(tbl_Finance[Ex GST],tbl_Finance[Job Number],C252&amp;""))</f>
        <v/>
      </c>
      <c r="I252" s="27">
        <f>IF(C252="","",SUMIFS(tbl_Finance[Ex GST],tbl_Finance[Job Number],C252&amp;"",tbl_Finance[Xero Invoice No],"&lt;&gt;"))</f>
        <v/>
      </c>
      <c r="J252" s="27">
        <f>IF(C252="","",H252-I252)</f>
        <v/>
      </c>
      <c r="K252" s="25">
        <f>IF(C252="","",IF(G252=0,"not invoiced yet",SUBSTITUTE(TRIM(IF(COUNTIFS(tbl_Finance[Job Number],C252&amp;"",tbl_Finance[Cost Centre],"ONSITE")&gt;0,"ONSITE ","")&amp;IF(COUNTIFS(tbl_Finance[Job Number],C252&amp;"",tbl_Finance[Cost Centre],"PRODUCTION")&gt;0,"PRODUCTION ","")&amp;IF(COUNTIFS(tbl_Finance[Job Number],C252&amp;"",tbl_Finance[Cost Centre],"VIDEO")&gt;0,"VIDEO ","")&amp;IF(COUNTIFS(tbl_Finance[Job Number],C252&amp;"",tbl_Finance[Cost Centre],"INTEGRATION")&gt;0,"INTEGRATION ","")&amp;IF(COUNTIFS(tbl_Finance[Job Number],C252&amp;"",tbl_Finance[Cost Centre],"CONSULTING")&gt;0,"CONSULTING ","")&amp;IF(COUNTIFS(tbl_Finance[Job Number],C252&amp;"",tbl_Finance[Cost Centre],"CTS")&gt;0,"CTS ",""))," ",", ")))</f>
        <v/>
      </c>
      <c r="L252" s="22" t="n"/>
      <c r="M252" s="24" t="n"/>
      <c r="N252" s="25">
        <f>IF(M252="","",IF(AND(LEFT(M252,4)&lt;&gt;"http",set_RMSBase=""),"",HYPERLINK(IF(LEFT(M252,4)="http",M252,set_RMSBase&amp;M252),"Open opportunity")))</f>
        <v/>
      </c>
      <c r="O252" s="25">
        <f>IF(C252="","",C252)</f>
        <v/>
      </c>
      <c r="P252" s="24" t="n"/>
      <c r="Q252" s="26" t="n"/>
      <c r="R252" s="27">
        <f>IF(C252="","",H252+N(Q252))</f>
        <v/>
      </c>
      <c r="S252" s="29">
        <f>IFERROR(Q252/R252,"")</f>
        <v/>
      </c>
      <c r="T252" s="26" t="n"/>
      <c r="U252" s="26" t="n"/>
      <c r="V252" s="27">
        <f>IF(C252="","",N(T252)+N(U252))</f>
        <v/>
      </c>
      <c r="W252" s="27">
        <f>IF(C252="","",H252-V252)</f>
        <v/>
      </c>
      <c r="X252" s="29">
        <f>IFERROR(W252/H252,"")</f>
        <v/>
      </c>
      <c r="Y252" s="64" t="n"/>
      <c r="Z252" s="64" t="n"/>
      <c r="AA252" s="64" t="n"/>
      <c r="AB252" s="64" t="n"/>
      <c r="AC252" s="64" t="n"/>
      <c r="AD252" s="24" t="n"/>
    </row>
    <row r="253" ht="15" customHeight="1">
      <c r="A253" s="63">
        <f>IF(C253="","",IFERROR(IF(SUMPRODUCT(MAX((tbl_Finance[Job Number]=C253&amp;"")*(tbl_Finance[Xero Invoice No]&lt;&gt;"")*tbl_Finance[Date]))=0,"",SUMPRODUCT(MAX((tbl_Finance[Job Number]=C253&amp;"")*(tbl_Finance[Xero Invoice No]&lt;&gt;"")*tbl_Finance[Date]))),""))</f>
        <v/>
      </c>
      <c r="B253" s="25">
        <f>IF(C253="","",IF(COUNTIFS(tbl_Finance[Job Number],C253&amp;"",tbl_Finance[Xero Invoice No],"&lt;&gt;")=0,"",IFERROR(IF(COUNTIFS(tbl_Finance[Job Number],C253&amp;"",tbl_Finance[Xero Invoice No],LOOKUP(2,1/((tbl_Finance[Job Number]=C253&amp;"")*(tbl_Finance[Xero Invoice No]&lt;&gt;"")),tbl_Finance[Xero Invoice No]))=COUNTIFS(tbl_Finance[Job Number],C253&amp;"",tbl_Finance[Xero Invoice No],"&lt;&gt;"),LOOKUP(2,1/((tbl_Finance[Job Number]=C253&amp;"")*(tbl_Finance[Xero Invoice No]&lt;&gt;"")),tbl_Finance[Xero Invoice No]),LOOKUP(2,1/((tbl_Finance[Job Number]=C253&amp;"")*(tbl_Finance[Xero Invoice No]&lt;&gt;"")),tbl_Finance[Xero Invoice No])&amp;" +more"),"")))</f>
        <v/>
      </c>
      <c r="C253" s="24" t="n"/>
      <c r="D253" s="25">
        <f>IF(C253="","",IF(COUNTIF(lst_Jobs,C253&amp;"")&gt;0,"OK","CHECK"))</f>
        <v/>
      </c>
      <c r="E253" s="25">
        <f>IF(C253="","",IFERROR(INDEX(lst_JobName,MATCH(C253&amp;"",lst_Jobs,0)),""))</f>
        <v/>
      </c>
      <c r="F253" s="25">
        <f>IF(C253="","",IFERROR(INDEX(tbl_Finance[Client],MATCH(C253&amp;"",tbl_Finance[Job Number],0)),""))</f>
        <v/>
      </c>
      <c r="G253" s="28">
        <f>IF(C253="","",COUNTIFS(tbl_Finance[Job Number],C253&amp;"",tbl_Finance[Ex GST],"&lt;&gt;"))</f>
        <v/>
      </c>
      <c r="H253" s="27">
        <f>IF(C253="","",SUMIFS(tbl_Finance[Ex GST],tbl_Finance[Job Number],C253&amp;""))</f>
        <v/>
      </c>
      <c r="I253" s="27">
        <f>IF(C253="","",SUMIFS(tbl_Finance[Ex GST],tbl_Finance[Job Number],C253&amp;"",tbl_Finance[Xero Invoice No],"&lt;&gt;"))</f>
        <v/>
      </c>
      <c r="J253" s="27">
        <f>IF(C253="","",H253-I253)</f>
        <v/>
      </c>
      <c r="K253" s="25">
        <f>IF(C253="","",IF(G253=0,"not invoiced yet",SUBSTITUTE(TRIM(IF(COUNTIFS(tbl_Finance[Job Number],C253&amp;"",tbl_Finance[Cost Centre],"ONSITE")&gt;0,"ONSITE ","")&amp;IF(COUNTIFS(tbl_Finance[Job Number],C253&amp;"",tbl_Finance[Cost Centre],"PRODUCTION")&gt;0,"PRODUCTION ","")&amp;IF(COUNTIFS(tbl_Finance[Job Number],C253&amp;"",tbl_Finance[Cost Centre],"VIDEO")&gt;0,"VIDEO ","")&amp;IF(COUNTIFS(tbl_Finance[Job Number],C253&amp;"",tbl_Finance[Cost Centre],"INTEGRATION")&gt;0,"INTEGRATION ","")&amp;IF(COUNTIFS(tbl_Finance[Job Number],C253&amp;"",tbl_Finance[Cost Centre],"CONSULTING")&gt;0,"CONSULTING ","")&amp;IF(COUNTIFS(tbl_Finance[Job Number],C253&amp;"",tbl_Finance[Cost Centre],"CTS")&gt;0,"CTS ",""))," ",", ")))</f>
        <v/>
      </c>
      <c r="L253" s="22" t="n"/>
      <c r="M253" s="24" t="n"/>
      <c r="N253" s="25">
        <f>IF(M253="","",IF(AND(LEFT(M253,4)&lt;&gt;"http",set_RMSBase=""),"",HYPERLINK(IF(LEFT(M253,4)="http",M253,set_RMSBase&amp;M253),"Open opportunity")))</f>
        <v/>
      </c>
      <c r="O253" s="25">
        <f>IF(C253="","",C253)</f>
        <v/>
      </c>
      <c r="P253" s="24" t="n"/>
      <c r="Q253" s="26" t="n"/>
      <c r="R253" s="27">
        <f>IF(C253="","",H253+N(Q253))</f>
        <v/>
      </c>
      <c r="S253" s="29">
        <f>IFERROR(Q253/R253,"")</f>
        <v/>
      </c>
      <c r="T253" s="26" t="n"/>
      <c r="U253" s="26" t="n"/>
      <c r="V253" s="27">
        <f>IF(C253="","",N(T253)+N(U253))</f>
        <v/>
      </c>
      <c r="W253" s="27">
        <f>IF(C253="","",H253-V253)</f>
        <v/>
      </c>
      <c r="X253" s="29">
        <f>IFERROR(W253/H253,"")</f>
        <v/>
      </c>
      <c r="Y253" s="64" t="n"/>
      <c r="Z253" s="64" t="n"/>
      <c r="AA253" s="64" t="n"/>
      <c r="AB253" s="64" t="n"/>
      <c r="AC253" s="64" t="n"/>
      <c r="AD253" s="24" t="n"/>
    </row>
    <row r="254" ht="15" customHeight="1">
      <c r="A254" s="63">
        <f>IF(C254="","",IFERROR(IF(SUMPRODUCT(MAX((tbl_Finance[Job Number]=C254&amp;"")*(tbl_Finance[Xero Invoice No]&lt;&gt;"")*tbl_Finance[Date]))=0,"",SUMPRODUCT(MAX((tbl_Finance[Job Number]=C254&amp;"")*(tbl_Finance[Xero Invoice No]&lt;&gt;"")*tbl_Finance[Date]))),""))</f>
        <v/>
      </c>
      <c r="B254" s="25">
        <f>IF(C254="","",IF(COUNTIFS(tbl_Finance[Job Number],C254&amp;"",tbl_Finance[Xero Invoice No],"&lt;&gt;")=0,"",IFERROR(IF(COUNTIFS(tbl_Finance[Job Number],C254&amp;"",tbl_Finance[Xero Invoice No],LOOKUP(2,1/((tbl_Finance[Job Number]=C254&amp;"")*(tbl_Finance[Xero Invoice No]&lt;&gt;"")),tbl_Finance[Xero Invoice No]))=COUNTIFS(tbl_Finance[Job Number],C254&amp;"",tbl_Finance[Xero Invoice No],"&lt;&gt;"),LOOKUP(2,1/((tbl_Finance[Job Number]=C254&amp;"")*(tbl_Finance[Xero Invoice No]&lt;&gt;"")),tbl_Finance[Xero Invoice No]),LOOKUP(2,1/((tbl_Finance[Job Number]=C254&amp;"")*(tbl_Finance[Xero Invoice No]&lt;&gt;"")),tbl_Finance[Xero Invoice No])&amp;" +more"),"")))</f>
        <v/>
      </c>
      <c r="C254" s="24" t="n"/>
      <c r="D254" s="25">
        <f>IF(C254="","",IF(COUNTIF(lst_Jobs,C254&amp;"")&gt;0,"OK","CHECK"))</f>
        <v/>
      </c>
      <c r="E254" s="25">
        <f>IF(C254="","",IFERROR(INDEX(lst_JobName,MATCH(C254&amp;"",lst_Jobs,0)),""))</f>
        <v/>
      </c>
      <c r="F254" s="25">
        <f>IF(C254="","",IFERROR(INDEX(tbl_Finance[Client],MATCH(C254&amp;"",tbl_Finance[Job Number],0)),""))</f>
        <v/>
      </c>
      <c r="G254" s="28">
        <f>IF(C254="","",COUNTIFS(tbl_Finance[Job Number],C254&amp;"",tbl_Finance[Ex GST],"&lt;&gt;"))</f>
        <v/>
      </c>
      <c r="H254" s="27">
        <f>IF(C254="","",SUMIFS(tbl_Finance[Ex GST],tbl_Finance[Job Number],C254&amp;""))</f>
        <v/>
      </c>
      <c r="I254" s="27">
        <f>IF(C254="","",SUMIFS(tbl_Finance[Ex GST],tbl_Finance[Job Number],C254&amp;"",tbl_Finance[Xero Invoice No],"&lt;&gt;"))</f>
        <v/>
      </c>
      <c r="J254" s="27">
        <f>IF(C254="","",H254-I254)</f>
        <v/>
      </c>
      <c r="K254" s="25">
        <f>IF(C254="","",IF(G254=0,"not invoiced yet",SUBSTITUTE(TRIM(IF(COUNTIFS(tbl_Finance[Job Number],C254&amp;"",tbl_Finance[Cost Centre],"ONSITE")&gt;0,"ONSITE ","")&amp;IF(COUNTIFS(tbl_Finance[Job Number],C254&amp;"",tbl_Finance[Cost Centre],"PRODUCTION")&gt;0,"PRODUCTION ","")&amp;IF(COUNTIFS(tbl_Finance[Job Number],C254&amp;"",tbl_Finance[Cost Centre],"VIDEO")&gt;0,"VIDEO ","")&amp;IF(COUNTIFS(tbl_Finance[Job Number],C254&amp;"",tbl_Finance[Cost Centre],"INTEGRATION")&gt;0,"INTEGRATION ","")&amp;IF(COUNTIFS(tbl_Finance[Job Number],C254&amp;"",tbl_Finance[Cost Centre],"CONSULTING")&gt;0,"CONSULTING ","")&amp;IF(COUNTIFS(tbl_Finance[Job Number],C254&amp;"",tbl_Finance[Cost Centre],"CTS")&gt;0,"CTS ",""))," ",", ")))</f>
        <v/>
      </c>
      <c r="L254" s="22" t="n"/>
      <c r="M254" s="24" t="n"/>
      <c r="N254" s="25">
        <f>IF(M254="","",IF(AND(LEFT(M254,4)&lt;&gt;"http",set_RMSBase=""),"",HYPERLINK(IF(LEFT(M254,4)="http",M254,set_RMSBase&amp;M254),"Open opportunity")))</f>
        <v/>
      </c>
      <c r="O254" s="25">
        <f>IF(C254="","",C254)</f>
        <v/>
      </c>
      <c r="P254" s="24" t="n"/>
      <c r="Q254" s="26" t="n"/>
      <c r="R254" s="27">
        <f>IF(C254="","",H254+N(Q254))</f>
        <v/>
      </c>
      <c r="S254" s="29">
        <f>IFERROR(Q254/R254,"")</f>
        <v/>
      </c>
      <c r="T254" s="26" t="n"/>
      <c r="U254" s="26" t="n"/>
      <c r="V254" s="27">
        <f>IF(C254="","",N(T254)+N(U254))</f>
        <v/>
      </c>
      <c r="W254" s="27">
        <f>IF(C254="","",H254-V254)</f>
        <v/>
      </c>
      <c r="X254" s="29">
        <f>IFERROR(W254/H254,"")</f>
        <v/>
      </c>
      <c r="Y254" s="64" t="n"/>
      <c r="Z254" s="64" t="n"/>
      <c r="AA254" s="64" t="n"/>
      <c r="AB254" s="64" t="n"/>
      <c r="AC254" s="64" t="n"/>
      <c r="AD254" s="24" t="n"/>
    </row>
    <row r="255" ht="15" customHeight="1">
      <c r="A255" s="63">
        <f>IF(C255="","",IFERROR(IF(SUMPRODUCT(MAX((tbl_Finance[Job Number]=C255&amp;"")*(tbl_Finance[Xero Invoice No]&lt;&gt;"")*tbl_Finance[Date]))=0,"",SUMPRODUCT(MAX((tbl_Finance[Job Number]=C255&amp;"")*(tbl_Finance[Xero Invoice No]&lt;&gt;"")*tbl_Finance[Date]))),""))</f>
        <v/>
      </c>
      <c r="B255" s="25">
        <f>IF(C255="","",IF(COUNTIFS(tbl_Finance[Job Number],C255&amp;"",tbl_Finance[Xero Invoice No],"&lt;&gt;")=0,"",IFERROR(IF(COUNTIFS(tbl_Finance[Job Number],C255&amp;"",tbl_Finance[Xero Invoice No],LOOKUP(2,1/((tbl_Finance[Job Number]=C255&amp;"")*(tbl_Finance[Xero Invoice No]&lt;&gt;"")),tbl_Finance[Xero Invoice No]))=COUNTIFS(tbl_Finance[Job Number],C255&amp;"",tbl_Finance[Xero Invoice No],"&lt;&gt;"),LOOKUP(2,1/((tbl_Finance[Job Number]=C255&amp;"")*(tbl_Finance[Xero Invoice No]&lt;&gt;"")),tbl_Finance[Xero Invoice No]),LOOKUP(2,1/((tbl_Finance[Job Number]=C255&amp;"")*(tbl_Finance[Xero Invoice No]&lt;&gt;"")),tbl_Finance[Xero Invoice No])&amp;" +more"),"")))</f>
        <v/>
      </c>
      <c r="C255" s="24" t="n"/>
      <c r="D255" s="25">
        <f>IF(C255="","",IF(COUNTIF(lst_Jobs,C255&amp;"")&gt;0,"OK","CHECK"))</f>
        <v/>
      </c>
      <c r="E255" s="25">
        <f>IF(C255="","",IFERROR(INDEX(lst_JobName,MATCH(C255&amp;"",lst_Jobs,0)),""))</f>
        <v/>
      </c>
      <c r="F255" s="25">
        <f>IF(C255="","",IFERROR(INDEX(tbl_Finance[Client],MATCH(C255&amp;"",tbl_Finance[Job Number],0)),""))</f>
        <v/>
      </c>
      <c r="G255" s="28">
        <f>IF(C255="","",COUNTIFS(tbl_Finance[Job Number],C255&amp;"",tbl_Finance[Ex GST],"&lt;&gt;"))</f>
        <v/>
      </c>
      <c r="H255" s="27">
        <f>IF(C255="","",SUMIFS(tbl_Finance[Ex GST],tbl_Finance[Job Number],C255&amp;""))</f>
        <v/>
      </c>
      <c r="I255" s="27">
        <f>IF(C255="","",SUMIFS(tbl_Finance[Ex GST],tbl_Finance[Job Number],C255&amp;"",tbl_Finance[Xero Invoice No],"&lt;&gt;"))</f>
        <v/>
      </c>
      <c r="J255" s="27">
        <f>IF(C255="","",H255-I255)</f>
        <v/>
      </c>
      <c r="K255" s="25">
        <f>IF(C255="","",IF(G255=0,"not invoiced yet",SUBSTITUTE(TRIM(IF(COUNTIFS(tbl_Finance[Job Number],C255&amp;"",tbl_Finance[Cost Centre],"ONSITE")&gt;0,"ONSITE ","")&amp;IF(COUNTIFS(tbl_Finance[Job Number],C255&amp;"",tbl_Finance[Cost Centre],"PRODUCTION")&gt;0,"PRODUCTION ","")&amp;IF(COUNTIFS(tbl_Finance[Job Number],C255&amp;"",tbl_Finance[Cost Centre],"VIDEO")&gt;0,"VIDEO ","")&amp;IF(COUNTIFS(tbl_Finance[Job Number],C255&amp;"",tbl_Finance[Cost Centre],"INTEGRATION")&gt;0,"INTEGRATION ","")&amp;IF(COUNTIFS(tbl_Finance[Job Number],C255&amp;"",tbl_Finance[Cost Centre],"CONSULTING")&gt;0,"CONSULTING ","")&amp;IF(COUNTIFS(tbl_Finance[Job Number],C255&amp;"",tbl_Finance[Cost Centre],"CTS")&gt;0,"CTS ",""))," ",", ")))</f>
        <v/>
      </c>
      <c r="L255" s="22" t="n"/>
      <c r="M255" s="24" t="n"/>
      <c r="N255" s="25">
        <f>IF(M255="","",IF(AND(LEFT(M255,4)&lt;&gt;"http",set_RMSBase=""),"",HYPERLINK(IF(LEFT(M255,4)="http",M255,set_RMSBase&amp;M255),"Open opportunity")))</f>
        <v/>
      </c>
      <c r="O255" s="25">
        <f>IF(C255="","",C255)</f>
        <v/>
      </c>
      <c r="P255" s="24" t="n"/>
      <c r="Q255" s="26" t="n"/>
      <c r="R255" s="27">
        <f>IF(C255="","",H255+N(Q255))</f>
        <v/>
      </c>
      <c r="S255" s="29">
        <f>IFERROR(Q255/R255,"")</f>
        <v/>
      </c>
      <c r="T255" s="26" t="n"/>
      <c r="U255" s="26" t="n"/>
      <c r="V255" s="27">
        <f>IF(C255="","",N(T255)+N(U255))</f>
        <v/>
      </c>
      <c r="W255" s="27">
        <f>IF(C255="","",H255-V255)</f>
        <v/>
      </c>
      <c r="X255" s="29">
        <f>IFERROR(W255/H255,"")</f>
        <v/>
      </c>
      <c r="Y255" s="64" t="n"/>
      <c r="Z255" s="64" t="n"/>
      <c r="AA255" s="64" t="n"/>
      <c r="AB255" s="64" t="n"/>
      <c r="AC255" s="64" t="n"/>
      <c r="AD255" s="24" t="n"/>
    </row>
    <row r="256" ht="15" customHeight="1">
      <c r="A256" s="63">
        <f>IF(C256="","",IFERROR(IF(SUMPRODUCT(MAX((tbl_Finance[Job Number]=C256&amp;"")*(tbl_Finance[Xero Invoice No]&lt;&gt;"")*tbl_Finance[Date]))=0,"",SUMPRODUCT(MAX((tbl_Finance[Job Number]=C256&amp;"")*(tbl_Finance[Xero Invoice No]&lt;&gt;"")*tbl_Finance[Date]))),""))</f>
        <v/>
      </c>
      <c r="B256" s="25">
        <f>IF(C256="","",IF(COUNTIFS(tbl_Finance[Job Number],C256&amp;"",tbl_Finance[Xero Invoice No],"&lt;&gt;")=0,"",IFERROR(IF(COUNTIFS(tbl_Finance[Job Number],C256&amp;"",tbl_Finance[Xero Invoice No],LOOKUP(2,1/((tbl_Finance[Job Number]=C256&amp;"")*(tbl_Finance[Xero Invoice No]&lt;&gt;"")),tbl_Finance[Xero Invoice No]))=COUNTIFS(tbl_Finance[Job Number],C256&amp;"",tbl_Finance[Xero Invoice No],"&lt;&gt;"),LOOKUP(2,1/((tbl_Finance[Job Number]=C256&amp;"")*(tbl_Finance[Xero Invoice No]&lt;&gt;"")),tbl_Finance[Xero Invoice No]),LOOKUP(2,1/((tbl_Finance[Job Number]=C256&amp;"")*(tbl_Finance[Xero Invoice No]&lt;&gt;"")),tbl_Finance[Xero Invoice No])&amp;" +more"),"")))</f>
        <v/>
      </c>
      <c r="C256" s="24" t="n"/>
      <c r="D256" s="25">
        <f>IF(C256="","",IF(COUNTIF(lst_Jobs,C256&amp;"")&gt;0,"OK","CHECK"))</f>
        <v/>
      </c>
      <c r="E256" s="25">
        <f>IF(C256="","",IFERROR(INDEX(lst_JobName,MATCH(C256&amp;"",lst_Jobs,0)),""))</f>
        <v/>
      </c>
      <c r="F256" s="25">
        <f>IF(C256="","",IFERROR(INDEX(tbl_Finance[Client],MATCH(C256&amp;"",tbl_Finance[Job Number],0)),""))</f>
        <v/>
      </c>
      <c r="G256" s="28">
        <f>IF(C256="","",COUNTIFS(tbl_Finance[Job Number],C256&amp;"",tbl_Finance[Ex GST],"&lt;&gt;"))</f>
        <v/>
      </c>
      <c r="H256" s="27">
        <f>IF(C256="","",SUMIFS(tbl_Finance[Ex GST],tbl_Finance[Job Number],C256&amp;""))</f>
        <v/>
      </c>
      <c r="I256" s="27">
        <f>IF(C256="","",SUMIFS(tbl_Finance[Ex GST],tbl_Finance[Job Number],C256&amp;"",tbl_Finance[Xero Invoice No],"&lt;&gt;"))</f>
        <v/>
      </c>
      <c r="J256" s="27">
        <f>IF(C256="","",H256-I256)</f>
        <v/>
      </c>
      <c r="K256" s="25">
        <f>IF(C256="","",IF(G256=0,"not invoiced yet",SUBSTITUTE(TRIM(IF(COUNTIFS(tbl_Finance[Job Number],C256&amp;"",tbl_Finance[Cost Centre],"ONSITE")&gt;0,"ONSITE ","")&amp;IF(COUNTIFS(tbl_Finance[Job Number],C256&amp;"",tbl_Finance[Cost Centre],"PRODUCTION")&gt;0,"PRODUCTION ","")&amp;IF(COUNTIFS(tbl_Finance[Job Number],C256&amp;"",tbl_Finance[Cost Centre],"VIDEO")&gt;0,"VIDEO ","")&amp;IF(COUNTIFS(tbl_Finance[Job Number],C256&amp;"",tbl_Finance[Cost Centre],"INTEGRATION")&gt;0,"INTEGRATION ","")&amp;IF(COUNTIFS(tbl_Finance[Job Number],C256&amp;"",tbl_Finance[Cost Centre],"CONSULTING")&gt;0,"CONSULTING ","")&amp;IF(COUNTIFS(tbl_Finance[Job Number],C256&amp;"",tbl_Finance[Cost Centre],"CTS")&gt;0,"CTS ",""))," ",", ")))</f>
        <v/>
      </c>
      <c r="L256" s="22" t="n"/>
      <c r="M256" s="24" t="n"/>
      <c r="N256" s="25">
        <f>IF(M256="","",IF(AND(LEFT(M256,4)&lt;&gt;"http",set_RMSBase=""),"",HYPERLINK(IF(LEFT(M256,4)="http",M256,set_RMSBase&amp;M256),"Open opportunity")))</f>
        <v/>
      </c>
      <c r="O256" s="25">
        <f>IF(C256="","",C256)</f>
        <v/>
      </c>
      <c r="P256" s="24" t="n"/>
      <c r="Q256" s="26" t="n"/>
      <c r="R256" s="27">
        <f>IF(C256="","",H256+N(Q256))</f>
        <v/>
      </c>
      <c r="S256" s="29">
        <f>IFERROR(Q256/R256,"")</f>
        <v/>
      </c>
      <c r="T256" s="26" t="n"/>
      <c r="U256" s="26" t="n"/>
      <c r="V256" s="27">
        <f>IF(C256="","",N(T256)+N(U256))</f>
        <v/>
      </c>
      <c r="W256" s="27">
        <f>IF(C256="","",H256-V256)</f>
        <v/>
      </c>
      <c r="X256" s="29">
        <f>IFERROR(W256/H256,"")</f>
        <v/>
      </c>
      <c r="Y256" s="64" t="n"/>
      <c r="Z256" s="64" t="n"/>
      <c r="AA256" s="64" t="n"/>
      <c r="AB256" s="64" t="n"/>
      <c r="AC256" s="64" t="n"/>
      <c r="AD256" s="24" t="n"/>
    </row>
    <row r="257" ht="15" customHeight="1">
      <c r="A257" s="63">
        <f>IF(C257="","",IFERROR(IF(SUMPRODUCT(MAX((tbl_Finance[Job Number]=C257&amp;"")*(tbl_Finance[Xero Invoice No]&lt;&gt;"")*tbl_Finance[Date]))=0,"",SUMPRODUCT(MAX((tbl_Finance[Job Number]=C257&amp;"")*(tbl_Finance[Xero Invoice No]&lt;&gt;"")*tbl_Finance[Date]))),""))</f>
        <v/>
      </c>
      <c r="B257" s="25">
        <f>IF(C257="","",IF(COUNTIFS(tbl_Finance[Job Number],C257&amp;"",tbl_Finance[Xero Invoice No],"&lt;&gt;")=0,"",IFERROR(IF(COUNTIFS(tbl_Finance[Job Number],C257&amp;"",tbl_Finance[Xero Invoice No],LOOKUP(2,1/((tbl_Finance[Job Number]=C257&amp;"")*(tbl_Finance[Xero Invoice No]&lt;&gt;"")),tbl_Finance[Xero Invoice No]))=COUNTIFS(tbl_Finance[Job Number],C257&amp;"",tbl_Finance[Xero Invoice No],"&lt;&gt;"),LOOKUP(2,1/((tbl_Finance[Job Number]=C257&amp;"")*(tbl_Finance[Xero Invoice No]&lt;&gt;"")),tbl_Finance[Xero Invoice No]),LOOKUP(2,1/((tbl_Finance[Job Number]=C257&amp;"")*(tbl_Finance[Xero Invoice No]&lt;&gt;"")),tbl_Finance[Xero Invoice No])&amp;" +more"),"")))</f>
        <v/>
      </c>
      <c r="C257" s="24" t="n"/>
      <c r="D257" s="25">
        <f>IF(C257="","",IF(COUNTIF(lst_Jobs,C257&amp;"")&gt;0,"OK","CHECK"))</f>
        <v/>
      </c>
      <c r="E257" s="25">
        <f>IF(C257="","",IFERROR(INDEX(lst_JobName,MATCH(C257&amp;"",lst_Jobs,0)),""))</f>
        <v/>
      </c>
      <c r="F257" s="25">
        <f>IF(C257="","",IFERROR(INDEX(tbl_Finance[Client],MATCH(C257&amp;"",tbl_Finance[Job Number],0)),""))</f>
        <v/>
      </c>
      <c r="G257" s="28">
        <f>IF(C257="","",COUNTIFS(tbl_Finance[Job Number],C257&amp;"",tbl_Finance[Ex GST],"&lt;&gt;"))</f>
        <v/>
      </c>
      <c r="H257" s="27">
        <f>IF(C257="","",SUMIFS(tbl_Finance[Ex GST],tbl_Finance[Job Number],C257&amp;""))</f>
        <v/>
      </c>
      <c r="I257" s="27">
        <f>IF(C257="","",SUMIFS(tbl_Finance[Ex GST],tbl_Finance[Job Number],C257&amp;"",tbl_Finance[Xero Invoice No],"&lt;&gt;"))</f>
        <v/>
      </c>
      <c r="J257" s="27">
        <f>IF(C257="","",H257-I257)</f>
        <v/>
      </c>
      <c r="K257" s="25">
        <f>IF(C257="","",IF(G257=0,"not invoiced yet",SUBSTITUTE(TRIM(IF(COUNTIFS(tbl_Finance[Job Number],C257&amp;"",tbl_Finance[Cost Centre],"ONSITE")&gt;0,"ONSITE ","")&amp;IF(COUNTIFS(tbl_Finance[Job Number],C257&amp;"",tbl_Finance[Cost Centre],"PRODUCTION")&gt;0,"PRODUCTION ","")&amp;IF(COUNTIFS(tbl_Finance[Job Number],C257&amp;"",tbl_Finance[Cost Centre],"VIDEO")&gt;0,"VIDEO ","")&amp;IF(COUNTIFS(tbl_Finance[Job Number],C257&amp;"",tbl_Finance[Cost Centre],"INTEGRATION")&gt;0,"INTEGRATION ","")&amp;IF(COUNTIFS(tbl_Finance[Job Number],C257&amp;"",tbl_Finance[Cost Centre],"CONSULTING")&gt;0,"CONSULTING ","")&amp;IF(COUNTIFS(tbl_Finance[Job Number],C257&amp;"",tbl_Finance[Cost Centre],"CTS")&gt;0,"CTS ",""))," ",", ")))</f>
        <v/>
      </c>
      <c r="L257" s="22" t="n"/>
      <c r="M257" s="24" t="n"/>
      <c r="N257" s="25">
        <f>IF(M257="","",IF(AND(LEFT(M257,4)&lt;&gt;"http",set_RMSBase=""),"",HYPERLINK(IF(LEFT(M257,4)="http",M257,set_RMSBase&amp;M257),"Open opportunity")))</f>
        <v/>
      </c>
      <c r="O257" s="25">
        <f>IF(C257="","",C257)</f>
        <v/>
      </c>
      <c r="P257" s="24" t="n"/>
      <c r="Q257" s="26" t="n"/>
      <c r="R257" s="27">
        <f>IF(C257="","",H257+N(Q257))</f>
        <v/>
      </c>
      <c r="S257" s="29">
        <f>IFERROR(Q257/R257,"")</f>
        <v/>
      </c>
      <c r="T257" s="26" t="n"/>
      <c r="U257" s="26" t="n"/>
      <c r="V257" s="27">
        <f>IF(C257="","",N(T257)+N(U257))</f>
        <v/>
      </c>
      <c r="W257" s="27">
        <f>IF(C257="","",H257-V257)</f>
        <v/>
      </c>
      <c r="X257" s="29">
        <f>IFERROR(W257/H257,"")</f>
        <v/>
      </c>
      <c r="Y257" s="64" t="n"/>
      <c r="Z257" s="64" t="n"/>
      <c r="AA257" s="64" t="n"/>
      <c r="AB257" s="64" t="n"/>
      <c r="AC257" s="64" t="n"/>
      <c r="AD257" s="24" t="n"/>
    </row>
    <row r="258" ht="15" customHeight="1">
      <c r="A258" s="63">
        <f>IF(C258="","",IFERROR(IF(SUMPRODUCT(MAX((tbl_Finance[Job Number]=C258&amp;"")*(tbl_Finance[Xero Invoice No]&lt;&gt;"")*tbl_Finance[Date]))=0,"",SUMPRODUCT(MAX((tbl_Finance[Job Number]=C258&amp;"")*(tbl_Finance[Xero Invoice No]&lt;&gt;"")*tbl_Finance[Date]))),""))</f>
        <v/>
      </c>
      <c r="B258" s="25">
        <f>IF(C258="","",IF(COUNTIFS(tbl_Finance[Job Number],C258&amp;"",tbl_Finance[Xero Invoice No],"&lt;&gt;")=0,"",IFERROR(IF(COUNTIFS(tbl_Finance[Job Number],C258&amp;"",tbl_Finance[Xero Invoice No],LOOKUP(2,1/((tbl_Finance[Job Number]=C258&amp;"")*(tbl_Finance[Xero Invoice No]&lt;&gt;"")),tbl_Finance[Xero Invoice No]))=COUNTIFS(tbl_Finance[Job Number],C258&amp;"",tbl_Finance[Xero Invoice No],"&lt;&gt;"),LOOKUP(2,1/((tbl_Finance[Job Number]=C258&amp;"")*(tbl_Finance[Xero Invoice No]&lt;&gt;"")),tbl_Finance[Xero Invoice No]),LOOKUP(2,1/((tbl_Finance[Job Number]=C258&amp;"")*(tbl_Finance[Xero Invoice No]&lt;&gt;"")),tbl_Finance[Xero Invoice No])&amp;" +more"),"")))</f>
        <v/>
      </c>
      <c r="C258" s="24" t="n"/>
      <c r="D258" s="25">
        <f>IF(C258="","",IF(COUNTIF(lst_Jobs,C258&amp;"")&gt;0,"OK","CHECK"))</f>
        <v/>
      </c>
      <c r="E258" s="25">
        <f>IF(C258="","",IFERROR(INDEX(lst_JobName,MATCH(C258&amp;"",lst_Jobs,0)),""))</f>
        <v/>
      </c>
      <c r="F258" s="25">
        <f>IF(C258="","",IFERROR(INDEX(tbl_Finance[Client],MATCH(C258&amp;"",tbl_Finance[Job Number],0)),""))</f>
        <v/>
      </c>
      <c r="G258" s="28">
        <f>IF(C258="","",COUNTIFS(tbl_Finance[Job Number],C258&amp;"",tbl_Finance[Ex GST],"&lt;&gt;"))</f>
        <v/>
      </c>
      <c r="H258" s="27">
        <f>IF(C258="","",SUMIFS(tbl_Finance[Ex GST],tbl_Finance[Job Number],C258&amp;""))</f>
        <v/>
      </c>
      <c r="I258" s="27">
        <f>IF(C258="","",SUMIFS(tbl_Finance[Ex GST],tbl_Finance[Job Number],C258&amp;"",tbl_Finance[Xero Invoice No],"&lt;&gt;"))</f>
        <v/>
      </c>
      <c r="J258" s="27">
        <f>IF(C258="","",H258-I258)</f>
        <v/>
      </c>
      <c r="K258" s="25">
        <f>IF(C258="","",IF(G258=0,"not invoiced yet",SUBSTITUTE(TRIM(IF(COUNTIFS(tbl_Finance[Job Number],C258&amp;"",tbl_Finance[Cost Centre],"ONSITE")&gt;0,"ONSITE ","")&amp;IF(COUNTIFS(tbl_Finance[Job Number],C258&amp;"",tbl_Finance[Cost Centre],"PRODUCTION")&gt;0,"PRODUCTION ","")&amp;IF(COUNTIFS(tbl_Finance[Job Number],C258&amp;"",tbl_Finance[Cost Centre],"VIDEO")&gt;0,"VIDEO ","")&amp;IF(COUNTIFS(tbl_Finance[Job Number],C258&amp;"",tbl_Finance[Cost Centre],"INTEGRATION")&gt;0,"INTEGRATION ","")&amp;IF(COUNTIFS(tbl_Finance[Job Number],C258&amp;"",tbl_Finance[Cost Centre],"CONSULTING")&gt;0,"CONSULTING ","")&amp;IF(COUNTIFS(tbl_Finance[Job Number],C258&amp;"",tbl_Finance[Cost Centre],"CTS")&gt;0,"CTS ",""))," ",", ")))</f>
        <v/>
      </c>
      <c r="L258" s="22" t="n"/>
      <c r="M258" s="24" t="n"/>
      <c r="N258" s="25">
        <f>IF(M258="","",IF(AND(LEFT(M258,4)&lt;&gt;"http",set_RMSBase=""),"",HYPERLINK(IF(LEFT(M258,4)="http",M258,set_RMSBase&amp;M258),"Open opportunity")))</f>
        <v/>
      </c>
      <c r="O258" s="25">
        <f>IF(C258="","",C258)</f>
        <v/>
      </c>
      <c r="P258" s="24" t="n"/>
      <c r="Q258" s="26" t="n"/>
      <c r="R258" s="27">
        <f>IF(C258="","",H258+N(Q258))</f>
        <v/>
      </c>
      <c r="S258" s="29">
        <f>IFERROR(Q258/R258,"")</f>
        <v/>
      </c>
      <c r="T258" s="26" t="n"/>
      <c r="U258" s="26" t="n"/>
      <c r="V258" s="27">
        <f>IF(C258="","",N(T258)+N(U258))</f>
        <v/>
      </c>
      <c r="W258" s="27">
        <f>IF(C258="","",H258-V258)</f>
        <v/>
      </c>
      <c r="X258" s="29">
        <f>IFERROR(W258/H258,"")</f>
        <v/>
      </c>
      <c r="Y258" s="64" t="n"/>
      <c r="Z258" s="64" t="n"/>
      <c r="AA258" s="64" t="n"/>
      <c r="AB258" s="64" t="n"/>
      <c r="AC258" s="64" t="n"/>
      <c r="AD258" s="24" t="n"/>
    </row>
    <row r="259" ht="15" customHeight="1">
      <c r="A259" s="63">
        <f>IF(C259="","",IFERROR(IF(SUMPRODUCT(MAX((tbl_Finance[Job Number]=C259&amp;"")*(tbl_Finance[Xero Invoice No]&lt;&gt;"")*tbl_Finance[Date]))=0,"",SUMPRODUCT(MAX((tbl_Finance[Job Number]=C259&amp;"")*(tbl_Finance[Xero Invoice No]&lt;&gt;"")*tbl_Finance[Date]))),""))</f>
        <v/>
      </c>
      <c r="B259" s="25">
        <f>IF(C259="","",IF(COUNTIFS(tbl_Finance[Job Number],C259&amp;"",tbl_Finance[Xero Invoice No],"&lt;&gt;")=0,"",IFERROR(IF(COUNTIFS(tbl_Finance[Job Number],C259&amp;"",tbl_Finance[Xero Invoice No],LOOKUP(2,1/((tbl_Finance[Job Number]=C259&amp;"")*(tbl_Finance[Xero Invoice No]&lt;&gt;"")),tbl_Finance[Xero Invoice No]))=COUNTIFS(tbl_Finance[Job Number],C259&amp;"",tbl_Finance[Xero Invoice No],"&lt;&gt;"),LOOKUP(2,1/((tbl_Finance[Job Number]=C259&amp;"")*(tbl_Finance[Xero Invoice No]&lt;&gt;"")),tbl_Finance[Xero Invoice No]),LOOKUP(2,1/((tbl_Finance[Job Number]=C259&amp;"")*(tbl_Finance[Xero Invoice No]&lt;&gt;"")),tbl_Finance[Xero Invoice No])&amp;" +more"),"")))</f>
        <v/>
      </c>
      <c r="C259" s="24" t="n"/>
      <c r="D259" s="25">
        <f>IF(C259="","",IF(COUNTIF(lst_Jobs,C259&amp;"")&gt;0,"OK","CHECK"))</f>
        <v/>
      </c>
      <c r="E259" s="25">
        <f>IF(C259="","",IFERROR(INDEX(lst_JobName,MATCH(C259&amp;"",lst_Jobs,0)),""))</f>
        <v/>
      </c>
      <c r="F259" s="25">
        <f>IF(C259="","",IFERROR(INDEX(tbl_Finance[Client],MATCH(C259&amp;"",tbl_Finance[Job Number],0)),""))</f>
        <v/>
      </c>
      <c r="G259" s="28">
        <f>IF(C259="","",COUNTIFS(tbl_Finance[Job Number],C259&amp;"",tbl_Finance[Ex GST],"&lt;&gt;"))</f>
        <v/>
      </c>
      <c r="H259" s="27">
        <f>IF(C259="","",SUMIFS(tbl_Finance[Ex GST],tbl_Finance[Job Number],C259&amp;""))</f>
        <v/>
      </c>
      <c r="I259" s="27">
        <f>IF(C259="","",SUMIFS(tbl_Finance[Ex GST],tbl_Finance[Job Number],C259&amp;"",tbl_Finance[Xero Invoice No],"&lt;&gt;"))</f>
        <v/>
      </c>
      <c r="J259" s="27">
        <f>IF(C259="","",H259-I259)</f>
        <v/>
      </c>
      <c r="K259" s="25">
        <f>IF(C259="","",IF(G259=0,"not invoiced yet",SUBSTITUTE(TRIM(IF(COUNTIFS(tbl_Finance[Job Number],C259&amp;"",tbl_Finance[Cost Centre],"ONSITE")&gt;0,"ONSITE ","")&amp;IF(COUNTIFS(tbl_Finance[Job Number],C259&amp;"",tbl_Finance[Cost Centre],"PRODUCTION")&gt;0,"PRODUCTION ","")&amp;IF(COUNTIFS(tbl_Finance[Job Number],C259&amp;"",tbl_Finance[Cost Centre],"VIDEO")&gt;0,"VIDEO ","")&amp;IF(COUNTIFS(tbl_Finance[Job Number],C259&amp;"",tbl_Finance[Cost Centre],"INTEGRATION")&gt;0,"INTEGRATION ","")&amp;IF(COUNTIFS(tbl_Finance[Job Number],C259&amp;"",tbl_Finance[Cost Centre],"CONSULTING")&gt;0,"CONSULTING ","")&amp;IF(COUNTIFS(tbl_Finance[Job Number],C259&amp;"",tbl_Finance[Cost Centre],"CTS")&gt;0,"CTS ",""))," ",", ")))</f>
        <v/>
      </c>
      <c r="L259" s="22" t="n"/>
      <c r="M259" s="24" t="n"/>
      <c r="N259" s="25">
        <f>IF(M259="","",IF(AND(LEFT(M259,4)&lt;&gt;"http",set_RMSBase=""),"",HYPERLINK(IF(LEFT(M259,4)="http",M259,set_RMSBase&amp;M259),"Open opportunity")))</f>
        <v/>
      </c>
      <c r="O259" s="25">
        <f>IF(C259="","",C259)</f>
        <v/>
      </c>
      <c r="P259" s="24" t="n"/>
      <c r="Q259" s="26" t="n"/>
      <c r="R259" s="27">
        <f>IF(C259="","",H259+N(Q259))</f>
        <v/>
      </c>
      <c r="S259" s="29">
        <f>IFERROR(Q259/R259,"")</f>
        <v/>
      </c>
      <c r="T259" s="26" t="n"/>
      <c r="U259" s="26" t="n"/>
      <c r="V259" s="27">
        <f>IF(C259="","",N(T259)+N(U259))</f>
        <v/>
      </c>
      <c r="W259" s="27">
        <f>IF(C259="","",H259-V259)</f>
        <v/>
      </c>
      <c r="X259" s="29">
        <f>IFERROR(W259/H259,"")</f>
        <v/>
      </c>
      <c r="Y259" s="64" t="n"/>
      <c r="Z259" s="64" t="n"/>
      <c r="AA259" s="64" t="n"/>
      <c r="AB259" s="64" t="n"/>
      <c r="AC259" s="64" t="n"/>
      <c r="AD259" s="24" t="n"/>
    </row>
    <row r="260" ht="15" customHeight="1">
      <c r="A260" s="63">
        <f>IF(C260="","",IFERROR(IF(SUMPRODUCT(MAX((tbl_Finance[Job Number]=C260&amp;"")*(tbl_Finance[Xero Invoice No]&lt;&gt;"")*tbl_Finance[Date]))=0,"",SUMPRODUCT(MAX((tbl_Finance[Job Number]=C260&amp;"")*(tbl_Finance[Xero Invoice No]&lt;&gt;"")*tbl_Finance[Date]))),""))</f>
        <v/>
      </c>
      <c r="B260" s="25">
        <f>IF(C260="","",IF(COUNTIFS(tbl_Finance[Job Number],C260&amp;"",tbl_Finance[Xero Invoice No],"&lt;&gt;")=0,"",IFERROR(IF(COUNTIFS(tbl_Finance[Job Number],C260&amp;"",tbl_Finance[Xero Invoice No],LOOKUP(2,1/((tbl_Finance[Job Number]=C260&amp;"")*(tbl_Finance[Xero Invoice No]&lt;&gt;"")),tbl_Finance[Xero Invoice No]))=COUNTIFS(tbl_Finance[Job Number],C260&amp;"",tbl_Finance[Xero Invoice No],"&lt;&gt;"),LOOKUP(2,1/((tbl_Finance[Job Number]=C260&amp;"")*(tbl_Finance[Xero Invoice No]&lt;&gt;"")),tbl_Finance[Xero Invoice No]),LOOKUP(2,1/((tbl_Finance[Job Number]=C260&amp;"")*(tbl_Finance[Xero Invoice No]&lt;&gt;"")),tbl_Finance[Xero Invoice No])&amp;" +more"),"")))</f>
        <v/>
      </c>
      <c r="C260" s="24" t="n"/>
      <c r="D260" s="25">
        <f>IF(C260="","",IF(COUNTIF(lst_Jobs,C260&amp;"")&gt;0,"OK","CHECK"))</f>
        <v/>
      </c>
      <c r="E260" s="25">
        <f>IF(C260="","",IFERROR(INDEX(lst_JobName,MATCH(C260&amp;"",lst_Jobs,0)),""))</f>
        <v/>
      </c>
      <c r="F260" s="25">
        <f>IF(C260="","",IFERROR(INDEX(tbl_Finance[Client],MATCH(C260&amp;"",tbl_Finance[Job Number],0)),""))</f>
        <v/>
      </c>
      <c r="G260" s="28">
        <f>IF(C260="","",COUNTIFS(tbl_Finance[Job Number],C260&amp;"",tbl_Finance[Ex GST],"&lt;&gt;"))</f>
        <v/>
      </c>
      <c r="H260" s="27">
        <f>IF(C260="","",SUMIFS(tbl_Finance[Ex GST],tbl_Finance[Job Number],C260&amp;""))</f>
        <v/>
      </c>
      <c r="I260" s="27">
        <f>IF(C260="","",SUMIFS(tbl_Finance[Ex GST],tbl_Finance[Job Number],C260&amp;"",tbl_Finance[Xero Invoice No],"&lt;&gt;"))</f>
        <v/>
      </c>
      <c r="J260" s="27">
        <f>IF(C260="","",H260-I260)</f>
        <v/>
      </c>
      <c r="K260" s="25">
        <f>IF(C260="","",IF(G260=0,"not invoiced yet",SUBSTITUTE(TRIM(IF(COUNTIFS(tbl_Finance[Job Number],C260&amp;"",tbl_Finance[Cost Centre],"ONSITE")&gt;0,"ONSITE ","")&amp;IF(COUNTIFS(tbl_Finance[Job Number],C260&amp;"",tbl_Finance[Cost Centre],"PRODUCTION")&gt;0,"PRODUCTION ","")&amp;IF(COUNTIFS(tbl_Finance[Job Number],C260&amp;"",tbl_Finance[Cost Centre],"VIDEO")&gt;0,"VIDEO ","")&amp;IF(COUNTIFS(tbl_Finance[Job Number],C260&amp;"",tbl_Finance[Cost Centre],"INTEGRATION")&gt;0,"INTEGRATION ","")&amp;IF(COUNTIFS(tbl_Finance[Job Number],C260&amp;"",tbl_Finance[Cost Centre],"CONSULTING")&gt;0,"CONSULTING ","")&amp;IF(COUNTIFS(tbl_Finance[Job Number],C260&amp;"",tbl_Finance[Cost Centre],"CTS")&gt;0,"CTS ",""))," ",", ")))</f>
        <v/>
      </c>
      <c r="L260" s="22" t="n"/>
      <c r="M260" s="24" t="n"/>
      <c r="N260" s="25">
        <f>IF(M260="","",IF(AND(LEFT(M260,4)&lt;&gt;"http",set_RMSBase=""),"",HYPERLINK(IF(LEFT(M260,4)="http",M260,set_RMSBase&amp;M260),"Open opportunity")))</f>
        <v/>
      </c>
      <c r="O260" s="25">
        <f>IF(C260="","",C260)</f>
        <v/>
      </c>
      <c r="P260" s="24" t="n"/>
      <c r="Q260" s="26" t="n"/>
      <c r="R260" s="27">
        <f>IF(C260="","",H260+N(Q260))</f>
        <v/>
      </c>
      <c r="S260" s="29">
        <f>IFERROR(Q260/R260,"")</f>
        <v/>
      </c>
      <c r="T260" s="26" t="n"/>
      <c r="U260" s="26" t="n"/>
      <c r="V260" s="27">
        <f>IF(C260="","",N(T260)+N(U260))</f>
        <v/>
      </c>
      <c r="W260" s="27">
        <f>IF(C260="","",H260-V260)</f>
        <v/>
      </c>
      <c r="X260" s="29">
        <f>IFERROR(W260/H260,"")</f>
        <v/>
      </c>
      <c r="Y260" s="64" t="n"/>
      <c r="Z260" s="64" t="n"/>
      <c r="AA260" s="64" t="n"/>
      <c r="AB260" s="64" t="n"/>
      <c r="AC260" s="64" t="n"/>
      <c r="AD260" s="24" t="n"/>
    </row>
    <row r="261" ht="15" customHeight="1">
      <c r="A261" s="63">
        <f>IF(C261="","",IFERROR(IF(SUMPRODUCT(MAX((tbl_Finance[Job Number]=C261&amp;"")*(tbl_Finance[Xero Invoice No]&lt;&gt;"")*tbl_Finance[Date]))=0,"",SUMPRODUCT(MAX((tbl_Finance[Job Number]=C261&amp;"")*(tbl_Finance[Xero Invoice No]&lt;&gt;"")*tbl_Finance[Date]))),""))</f>
        <v/>
      </c>
      <c r="B261" s="25">
        <f>IF(C261="","",IF(COUNTIFS(tbl_Finance[Job Number],C261&amp;"",tbl_Finance[Xero Invoice No],"&lt;&gt;")=0,"",IFERROR(IF(COUNTIFS(tbl_Finance[Job Number],C261&amp;"",tbl_Finance[Xero Invoice No],LOOKUP(2,1/((tbl_Finance[Job Number]=C261&amp;"")*(tbl_Finance[Xero Invoice No]&lt;&gt;"")),tbl_Finance[Xero Invoice No]))=COUNTIFS(tbl_Finance[Job Number],C261&amp;"",tbl_Finance[Xero Invoice No],"&lt;&gt;"),LOOKUP(2,1/((tbl_Finance[Job Number]=C261&amp;"")*(tbl_Finance[Xero Invoice No]&lt;&gt;"")),tbl_Finance[Xero Invoice No]),LOOKUP(2,1/((tbl_Finance[Job Number]=C261&amp;"")*(tbl_Finance[Xero Invoice No]&lt;&gt;"")),tbl_Finance[Xero Invoice No])&amp;" +more"),"")))</f>
        <v/>
      </c>
      <c r="C261" s="24" t="n"/>
      <c r="D261" s="25">
        <f>IF(C261="","",IF(COUNTIF(lst_Jobs,C261&amp;"")&gt;0,"OK","CHECK"))</f>
        <v/>
      </c>
      <c r="E261" s="25">
        <f>IF(C261="","",IFERROR(INDEX(lst_JobName,MATCH(C261&amp;"",lst_Jobs,0)),""))</f>
        <v/>
      </c>
      <c r="F261" s="25">
        <f>IF(C261="","",IFERROR(INDEX(tbl_Finance[Client],MATCH(C261&amp;"",tbl_Finance[Job Number],0)),""))</f>
        <v/>
      </c>
      <c r="G261" s="28">
        <f>IF(C261="","",COUNTIFS(tbl_Finance[Job Number],C261&amp;"",tbl_Finance[Ex GST],"&lt;&gt;"))</f>
        <v/>
      </c>
      <c r="H261" s="27">
        <f>IF(C261="","",SUMIFS(tbl_Finance[Ex GST],tbl_Finance[Job Number],C261&amp;""))</f>
        <v/>
      </c>
      <c r="I261" s="27">
        <f>IF(C261="","",SUMIFS(tbl_Finance[Ex GST],tbl_Finance[Job Number],C261&amp;"",tbl_Finance[Xero Invoice No],"&lt;&gt;"))</f>
        <v/>
      </c>
      <c r="J261" s="27">
        <f>IF(C261="","",H261-I261)</f>
        <v/>
      </c>
      <c r="K261" s="25">
        <f>IF(C261="","",IF(G261=0,"not invoiced yet",SUBSTITUTE(TRIM(IF(COUNTIFS(tbl_Finance[Job Number],C261&amp;"",tbl_Finance[Cost Centre],"ONSITE")&gt;0,"ONSITE ","")&amp;IF(COUNTIFS(tbl_Finance[Job Number],C261&amp;"",tbl_Finance[Cost Centre],"PRODUCTION")&gt;0,"PRODUCTION ","")&amp;IF(COUNTIFS(tbl_Finance[Job Number],C261&amp;"",tbl_Finance[Cost Centre],"VIDEO")&gt;0,"VIDEO ","")&amp;IF(COUNTIFS(tbl_Finance[Job Number],C261&amp;"",tbl_Finance[Cost Centre],"INTEGRATION")&gt;0,"INTEGRATION ","")&amp;IF(COUNTIFS(tbl_Finance[Job Number],C261&amp;"",tbl_Finance[Cost Centre],"CONSULTING")&gt;0,"CONSULTING ","")&amp;IF(COUNTIFS(tbl_Finance[Job Number],C261&amp;"",tbl_Finance[Cost Centre],"CTS")&gt;0,"CTS ",""))," ",", ")))</f>
        <v/>
      </c>
      <c r="L261" s="22" t="n"/>
      <c r="M261" s="24" t="n"/>
      <c r="N261" s="25">
        <f>IF(M261="","",IF(AND(LEFT(M261,4)&lt;&gt;"http",set_RMSBase=""),"",HYPERLINK(IF(LEFT(M261,4)="http",M261,set_RMSBase&amp;M261),"Open opportunity")))</f>
        <v/>
      </c>
      <c r="O261" s="25">
        <f>IF(C261="","",C261)</f>
        <v/>
      </c>
      <c r="P261" s="24" t="n"/>
      <c r="Q261" s="26" t="n"/>
      <c r="R261" s="27">
        <f>IF(C261="","",H261+N(Q261))</f>
        <v/>
      </c>
      <c r="S261" s="29">
        <f>IFERROR(Q261/R261,"")</f>
        <v/>
      </c>
      <c r="T261" s="26" t="n"/>
      <c r="U261" s="26" t="n"/>
      <c r="V261" s="27">
        <f>IF(C261="","",N(T261)+N(U261))</f>
        <v/>
      </c>
      <c r="W261" s="27">
        <f>IF(C261="","",H261-V261)</f>
        <v/>
      </c>
      <c r="X261" s="29">
        <f>IFERROR(W261/H261,"")</f>
        <v/>
      </c>
      <c r="Y261" s="64" t="n"/>
      <c r="Z261" s="64" t="n"/>
      <c r="AA261" s="64" t="n"/>
      <c r="AB261" s="64" t="n"/>
      <c r="AC261" s="64" t="n"/>
      <c r="AD261" s="24" t="n"/>
    </row>
    <row r="262" ht="15" customHeight="1">
      <c r="A262" s="63">
        <f>IF(C262="","",IFERROR(IF(SUMPRODUCT(MAX((tbl_Finance[Job Number]=C262&amp;"")*(tbl_Finance[Xero Invoice No]&lt;&gt;"")*tbl_Finance[Date]))=0,"",SUMPRODUCT(MAX((tbl_Finance[Job Number]=C262&amp;"")*(tbl_Finance[Xero Invoice No]&lt;&gt;"")*tbl_Finance[Date]))),""))</f>
        <v/>
      </c>
      <c r="B262" s="25">
        <f>IF(C262="","",IF(COUNTIFS(tbl_Finance[Job Number],C262&amp;"",tbl_Finance[Xero Invoice No],"&lt;&gt;")=0,"",IFERROR(IF(COUNTIFS(tbl_Finance[Job Number],C262&amp;"",tbl_Finance[Xero Invoice No],LOOKUP(2,1/((tbl_Finance[Job Number]=C262&amp;"")*(tbl_Finance[Xero Invoice No]&lt;&gt;"")),tbl_Finance[Xero Invoice No]))=COUNTIFS(tbl_Finance[Job Number],C262&amp;"",tbl_Finance[Xero Invoice No],"&lt;&gt;"),LOOKUP(2,1/((tbl_Finance[Job Number]=C262&amp;"")*(tbl_Finance[Xero Invoice No]&lt;&gt;"")),tbl_Finance[Xero Invoice No]),LOOKUP(2,1/((tbl_Finance[Job Number]=C262&amp;"")*(tbl_Finance[Xero Invoice No]&lt;&gt;"")),tbl_Finance[Xero Invoice No])&amp;" +more"),"")))</f>
        <v/>
      </c>
      <c r="C262" s="24" t="n"/>
      <c r="D262" s="25">
        <f>IF(C262="","",IF(COUNTIF(lst_Jobs,C262&amp;"")&gt;0,"OK","CHECK"))</f>
        <v/>
      </c>
      <c r="E262" s="25">
        <f>IF(C262="","",IFERROR(INDEX(lst_JobName,MATCH(C262&amp;"",lst_Jobs,0)),""))</f>
        <v/>
      </c>
      <c r="F262" s="25">
        <f>IF(C262="","",IFERROR(INDEX(tbl_Finance[Client],MATCH(C262&amp;"",tbl_Finance[Job Number],0)),""))</f>
        <v/>
      </c>
      <c r="G262" s="28">
        <f>IF(C262="","",COUNTIFS(tbl_Finance[Job Number],C262&amp;"",tbl_Finance[Ex GST],"&lt;&gt;"))</f>
        <v/>
      </c>
      <c r="H262" s="27">
        <f>IF(C262="","",SUMIFS(tbl_Finance[Ex GST],tbl_Finance[Job Number],C262&amp;""))</f>
        <v/>
      </c>
      <c r="I262" s="27">
        <f>IF(C262="","",SUMIFS(tbl_Finance[Ex GST],tbl_Finance[Job Number],C262&amp;"",tbl_Finance[Xero Invoice No],"&lt;&gt;"))</f>
        <v/>
      </c>
      <c r="J262" s="27">
        <f>IF(C262="","",H262-I262)</f>
        <v/>
      </c>
      <c r="K262" s="25">
        <f>IF(C262="","",IF(G262=0,"not invoiced yet",SUBSTITUTE(TRIM(IF(COUNTIFS(tbl_Finance[Job Number],C262&amp;"",tbl_Finance[Cost Centre],"ONSITE")&gt;0,"ONSITE ","")&amp;IF(COUNTIFS(tbl_Finance[Job Number],C262&amp;"",tbl_Finance[Cost Centre],"PRODUCTION")&gt;0,"PRODUCTION ","")&amp;IF(COUNTIFS(tbl_Finance[Job Number],C262&amp;"",tbl_Finance[Cost Centre],"VIDEO")&gt;0,"VIDEO ","")&amp;IF(COUNTIFS(tbl_Finance[Job Number],C262&amp;"",tbl_Finance[Cost Centre],"INTEGRATION")&gt;0,"INTEGRATION ","")&amp;IF(COUNTIFS(tbl_Finance[Job Number],C262&amp;"",tbl_Finance[Cost Centre],"CONSULTING")&gt;0,"CONSULTING ","")&amp;IF(COUNTIFS(tbl_Finance[Job Number],C262&amp;"",tbl_Finance[Cost Centre],"CTS")&gt;0,"CTS ",""))," ",", ")))</f>
        <v/>
      </c>
      <c r="L262" s="22" t="n"/>
      <c r="M262" s="24" t="n"/>
      <c r="N262" s="25">
        <f>IF(M262="","",IF(AND(LEFT(M262,4)&lt;&gt;"http",set_RMSBase=""),"",HYPERLINK(IF(LEFT(M262,4)="http",M262,set_RMSBase&amp;M262),"Open opportunity")))</f>
        <v/>
      </c>
      <c r="O262" s="25">
        <f>IF(C262="","",C262)</f>
        <v/>
      </c>
      <c r="P262" s="24" t="n"/>
      <c r="Q262" s="26" t="n"/>
      <c r="R262" s="27">
        <f>IF(C262="","",H262+N(Q262))</f>
        <v/>
      </c>
      <c r="S262" s="29">
        <f>IFERROR(Q262/R262,"")</f>
        <v/>
      </c>
      <c r="T262" s="26" t="n"/>
      <c r="U262" s="26" t="n"/>
      <c r="V262" s="27">
        <f>IF(C262="","",N(T262)+N(U262))</f>
        <v/>
      </c>
      <c r="W262" s="27">
        <f>IF(C262="","",H262-V262)</f>
        <v/>
      </c>
      <c r="X262" s="29">
        <f>IFERROR(W262/H262,"")</f>
        <v/>
      </c>
      <c r="Y262" s="64" t="n"/>
      <c r="Z262" s="64" t="n"/>
      <c r="AA262" s="64" t="n"/>
      <c r="AB262" s="64" t="n"/>
      <c r="AC262" s="64" t="n"/>
      <c r="AD262" s="24" t="n"/>
    </row>
    <row r="263" ht="15" customHeight="1">
      <c r="A263" s="63">
        <f>IF(C263="","",IFERROR(IF(SUMPRODUCT(MAX((tbl_Finance[Job Number]=C263&amp;"")*(tbl_Finance[Xero Invoice No]&lt;&gt;"")*tbl_Finance[Date]))=0,"",SUMPRODUCT(MAX((tbl_Finance[Job Number]=C263&amp;"")*(tbl_Finance[Xero Invoice No]&lt;&gt;"")*tbl_Finance[Date]))),""))</f>
        <v/>
      </c>
      <c r="B263" s="25">
        <f>IF(C263="","",IF(COUNTIFS(tbl_Finance[Job Number],C263&amp;"",tbl_Finance[Xero Invoice No],"&lt;&gt;")=0,"",IFERROR(IF(COUNTIFS(tbl_Finance[Job Number],C263&amp;"",tbl_Finance[Xero Invoice No],LOOKUP(2,1/((tbl_Finance[Job Number]=C263&amp;"")*(tbl_Finance[Xero Invoice No]&lt;&gt;"")),tbl_Finance[Xero Invoice No]))=COUNTIFS(tbl_Finance[Job Number],C263&amp;"",tbl_Finance[Xero Invoice No],"&lt;&gt;"),LOOKUP(2,1/((tbl_Finance[Job Number]=C263&amp;"")*(tbl_Finance[Xero Invoice No]&lt;&gt;"")),tbl_Finance[Xero Invoice No]),LOOKUP(2,1/((tbl_Finance[Job Number]=C263&amp;"")*(tbl_Finance[Xero Invoice No]&lt;&gt;"")),tbl_Finance[Xero Invoice No])&amp;" +more"),"")))</f>
        <v/>
      </c>
      <c r="C263" s="24" t="n"/>
      <c r="D263" s="25">
        <f>IF(C263="","",IF(COUNTIF(lst_Jobs,C263&amp;"")&gt;0,"OK","CHECK"))</f>
        <v/>
      </c>
      <c r="E263" s="25">
        <f>IF(C263="","",IFERROR(INDEX(lst_JobName,MATCH(C263&amp;"",lst_Jobs,0)),""))</f>
        <v/>
      </c>
      <c r="F263" s="25">
        <f>IF(C263="","",IFERROR(INDEX(tbl_Finance[Client],MATCH(C263&amp;"",tbl_Finance[Job Number],0)),""))</f>
        <v/>
      </c>
      <c r="G263" s="28">
        <f>IF(C263="","",COUNTIFS(tbl_Finance[Job Number],C263&amp;"",tbl_Finance[Ex GST],"&lt;&gt;"))</f>
        <v/>
      </c>
      <c r="H263" s="27">
        <f>IF(C263="","",SUMIFS(tbl_Finance[Ex GST],tbl_Finance[Job Number],C263&amp;""))</f>
        <v/>
      </c>
      <c r="I263" s="27">
        <f>IF(C263="","",SUMIFS(tbl_Finance[Ex GST],tbl_Finance[Job Number],C263&amp;"",tbl_Finance[Xero Invoice No],"&lt;&gt;"))</f>
        <v/>
      </c>
      <c r="J263" s="27">
        <f>IF(C263="","",H263-I263)</f>
        <v/>
      </c>
      <c r="K263" s="25">
        <f>IF(C263="","",IF(G263=0,"not invoiced yet",SUBSTITUTE(TRIM(IF(COUNTIFS(tbl_Finance[Job Number],C263&amp;"",tbl_Finance[Cost Centre],"ONSITE")&gt;0,"ONSITE ","")&amp;IF(COUNTIFS(tbl_Finance[Job Number],C263&amp;"",tbl_Finance[Cost Centre],"PRODUCTION")&gt;0,"PRODUCTION ","")&amp;IF(COUNTIFS(tbl_Finance[Job Number],C263&amp;"",tbl_Finance[Cost Centre],"VIDEO")&gt;0,"VIDEO ","")&amp;IF(COUNTIFS(tbl_Finance[Job Number],C263&amp;"",tbl_Finance[Cost Centre],"INTEGRATION")&gt;0,"INTEGRATION ","")&amp;IF(COUNTIFS(tbl_Finance[Job Number],C263&amp;"",tbl_Finance[Cost Centre],"CONSULTING")&gt;0,"CONSULTING ","")&amp;IF(COUNTIFS(tbl_Finance[Job Number],C263&amp;"",tbl_Finance[Cost Centre],"CTS")&gt;0,"CTS ",""))," ",", ")))</f>
        <v/>
      </c>
      <c r="L263" s="22" t="n"/>
      <c r="M263" s="24" t="n"/>
      <c r="N263" s="25">
        <f>IF(M263="","",IF(AND(LEFT(M263,4)&lt;&gt;"http",set_RMSBase=""),"",HYPERLINK(IF(LEFT(M263,4)="http",M263,set_RMSBase&amp;M263),"Open opportunity")))</f>
        <v/>
      </c>
      <c r="O263" s="25">
        <f>IF(C263="","",C263)</f>
        <v/>
      </c>
      <c r="P263" s="24" t="n"/>
      <c r="Q263" s="26" t="n"/>
      <c r="R263" s="27">
        <f>IF(C263="","",H263+N(Q263))</f>
        <v/>
      </c>
      <c r="S263" s="29">
        <f>IFERROR(Q263/R263,"")</f>
        <v/>
      </c>
      <c r="T263" s="26" t="n"/>
      <c r="U263" s="26" t="n"/>
      <c r="V263" s="27">
        <f>IF(C263="","",N(T263)+N(U263))</f>
        <v/>
      </c>
      <c r="W263" s="27">
        <f>IF(C263="","",H263-V263)</f>
        <v/>
      </c>
      <c r="X263" s="29">
        <f>IFERROR(W263/H263,"")</f>
        <v/>
      </c>
      <c r="Y263" s="64" t="n"/>
      <c r="Z263" s="64" t="n"/>
      <c r="AA263" s="64" t="n"/>
      <c r="AB263" s="64" t="n"/>
      <c r="AC263" s="64" t="n"/>
      <c r="AD263" s="24" t="n"/>
    </row>
    <row r="264" ht="15" customHeight="1">
      <c r="A264" s="63">
        <f>IF(C264="","",IFERROR(IF(SUMPRODUCT(MAX((tbl_Finance[Job Number]=C264&amp;"")*(tbl_Finance[Xero Invoice No]&lt;&gt;"")*tbl_Finance[Date]))=0,"",SUMPRODUCT(MAX((tbl_Finance[Job Number]=C264&amp;"")*(tbl_Finance[Xero Invoice No]&lt;&gt;"")*tbl_Finance[Date]))),""))</f>
        <v/>
      </c>
      <c r="B264" s="25">
        <f>IF(C264="","",IF(COUNTIFS(tbl_Finance[Job Number],C264&amp;"",tbl_Finance[Xero Invoice No],"&lt;&gt;")=0,"",IFERROR(IF(COUNTIFS(tbl_Finance[Job Number],C264&amp;"",tbl_Finance[Xero Invoice No],LOOKUP(2,1/((tbl_Finance[Job Number]=C264&amp;"")*(tbl_Finance[Xero Invoice No]&lt;&gt;"")),tbl_Finance[Xero Invoice No]))=COUNTIFS(tbl_Finance[Job Number],C264&amp;"",tbl_Finance[Xero Invoice No],"&lt;&gt;"),LOOKUP(2,1/((tbl_Finance[Job Number]=C264&amp;"")*(tbl_Finance[Xero Invoice No]&lt;&gt;"")),tbl_Finance[Xero Invoice No]),LOOKUP(2,1/((tbl_Finance[Job Number]=C264&amp;"")*(tbl_Finance[Xero Invoice No]&lt;&gt;"")),tbl_Finance[Xero Invoice No])&amp;" +more"),"")))</f>
        <v/>
      </c>
      <c r="C264" s="24" t="n"/>
      <c r="D264" s="25">
        <f>IF(C264="","",IF(COUNTIF(lst_Jobs,C264&amp;"")&gt;0,"OK","CHECK"))</f>
        <v/>
      </c>
      <c r="E264" s="25">
        <f>IF(C264="","",IFERROR(INDEX(lst_JobName,MATCH(C264&amp;"",lst_Jobs,0)),""))</f>
        <v/>
      </c>
      <c r="F264" s="25">
        <f>IF(C264="","",IFERROR(INDEX(tbl_Finance[Client],MATCH(C264&amp;"",tbl_Finance[Job Number],0)),""))</f>
        <v/>
      </c>
      <c r="G264" s="28">
        <f>IF(C264="","",COUNTIFS(tbl_Finance[Job Number],C264&amp;"",tbl_Finance[Ex GST],"&lt;&gt;"))</f>
        <v/>
      </c>
      <c r="H264" s="27">
        <f>IF(C264="","",SUMIFS(tbl_Finance[Ex GST],tbl_Finance[Job Number],C264&amp;""))</f>
        <v/>
      </c>
      <c r="I264" s="27">
        <f>IF(C264="","",SUMIFS(tbl_Finance[Ex GST],tbl_Finance[Job Number],C264&amp;"",tbl_Finance[Xero Invoice No],"&lt;&gt;"))</f>
        <v/>
      </c>
      <c r="J264" s="27">
        <f>IF(C264="","",H264-I264)</f>
        <v/>
      </c>
      <c r="K264" s="25">
        <f>IF(C264="","",IF(G264=0,"not invoiced yet",SUBSTITUTE(TRIM(IF(COUNTIFS(tbl_Finance[Job Number],C264&amp;"",tbl_Finance[Cost Centre],"ONSITE")&gt;0,"ONSITE ","")&amp;IF(COUNTIFS(tbl_Finance[Job Number],C264&amp;"",tbl_Finance[Cost Centre],"PRODUCTION")&gt;0,"PRODUCTION ","")&amp;IF(COUNTIFS(tbl_Finance[Job Number],C264&amp;"",tbl_Finance[Cost Centre],"VIDEO")&gt;0,"VIDEO ","")&amp;IF(COUNTIFS(tbl_Finance[Job Number],C264&amp;"",tbl_Finance[Cost Centre],"INTEGRATION")&gt;0,"INTEGRATION ","")&amp;IF(COUNTIFS(tbl_Finance[Job Number],C264&amp;"",tbl_Finance[Cost Centre],"CONSULTING")&gt;0,"CONSULTING ","")&amp;IF(COUNTIFS(tbl_Finance[Job Number],C264&amp;"",tbl_Finance[Cost Centre],"CTS")&gt;0,"CTS ",""))," ",", ")))</f>
        <v/>
      </c>
      <c r="L264" s="22" t="n"/>
      <c r="M264" s="24" t="n"/>
      <c r="N264" s="25">
        <f>IF(M264="","",IF(AND(LEFT(M264,4)&lt;&gt;"http",set_RMSBase=""),"",HYPERLINK(IF(LEFT(M264,4)="http",M264,set_RMSBase&amp;M264),"Open opportunity")))</f>
        <v/>
      </c>
      <c r="O264" s="25">
        <f>IF(C264="","",C264)</f>
        <v/>
      </c>
      <c r="P264" s="24" t="n"/>
      <c r="Q264" s="26" t="n"/>
      <c r="R264" s="27">
        <f>IF(C264="","",H264+N(Q264))</f>
        <v/>
      </c>
      <c r="S264" s="29">
        <f>IFERROR(Q264/R264,"")</f>
        <v/>
      </c>
      <c r="T264" s="26" t="n"/>
      <c r="U264" s="26" t="n"/>
      <c r="V264" s="27">
        <f>IF(C264="","",N(T264)+N(U264))</f>
        <v/>
      </c>
      <c r="W264" s="27">
        <f>IF(C264="","",H264-V264)</f>
        <v/>
      </c>
      <c r="X264" s="29">
        <f>IFERROR(W264/H264,"")</f>
        <v/>
      </c>
      <c r="Y264" s="64" t="n"/>
      <c r="Z264" s="64" t="n"/>
      <c r="AA264" s="64" t="n"/>
      <c r="AB264" s="64" t="n"/>
      <c r="AC264" s="64" t="n"/>
      <c r="AD264" s="24" t="n"/>
    </row>
    <row r="265" ht="15" customHeight="1">
      <c r="A265" s="63">
        <f>IF(C265="","",IFERROR(IF(SUMPRODUCT(MAX((tbl_Finance[Job Number]=C265&amp;"")*(tbl_Finance[Xero Invoice No]&lt;&gt;"")*tbl_Finance[Date]))=0,"",SUMPRODUCT(MAX((tbl_Finance[Job Number]=C265&amp;"")*(tbl_Finance[Xero Invoice No]&lt;&gt;"")*tbl_Finance[Date]))),""))</f>
        <v/>
      </c>
      <c r="B265" s="25">
        <f>IF(C265="","",IF(COUNTIFS(tbl_Finance[Job Number],C265&amp;"",tbl_Finance[Xero Invoice No],"&lt;&gt;")=0,"",IFERROR(IF(COUNTIFS(tbl_Finance[Job Number],C265&amp;"",tbl_Finance[Xero Invoice No],LOOKUP(2,1/((tbl_Finance[Job Number]=C265&amp;"")*(tbl_Finance[Xero Invoice No]&lt;&gt;"")),tbl_Finance[Xero Invoice No]))=COUNTIFS(tbl_Finance[Job Number],C265&amp;"",tbl_Finance[Xero Invoice No],"&lt;&gt;"),LOOKUP(2,1/((tbl_Finance[Job Number]=C265&amp;"")*(tbl_Finance[Xero Invoice No]&lt;&gt;"")),tbl_Finance[Xero Invoice No]),LOOKUP(2,1/((tbl_Finance[Job Number]=C265&amp;"")*(tbl_Finance[Xero Invoice No]&lt;&gt;"")),tbl_Finance[Xero Invoice No])&amp;" +more"),"")))</f>
        <v/>
      </c>
      <c r="C265" s="24" t="n"/>
      <c r="D265" s="25">
        <f>IF(C265="","",IF(COUNTIF(lst_Jobs,C265&amp;"")&gt;0,"OK","CHECK"))</f>
        <v/>
      </c>
      <c r="E265" s="25">
        <f>IF(C265="","",IFERROR(INDEX(lst_JobName,MATCH(C265&amp;"",lst_Jobs,0)),""))</f>
        <v/>
      </c>
      <c r="F265" s="25">
        <f>IF(C265="","",IFERROR(INDEX(tbl_Finance[Client],MATCH(C265&amp;"",tbl_Finance[Job Number],0)),""))</f>
        <v/>
      </c>
      <c r="G265" s="28">
        <f>IF(C265="","",COUNTIFS(tbl_Finance[Job Number],C265&amp;"",tbl_Finance[Ex GST],"&lt;&gt;"))</f>
        <v/>
      </c>
      <c r="H265" s="27">
        <f>IF(C265="","",SUMIFS(tbl_Finance[Ex GST],tbl_Finance[Job Number],C265&amp;""))</f>
        <v/>
      </c>
      <c r="I265" s="27">
        <f>IF(C265="","",SUMIFS(tbl_Finance[Ex GST],tbl_Finance[Job Number],C265&amp;"",tbl_Finance[Xero Invoice No],"&lt;&gt;"))</f>
        <v/>
      </c>
      <c r="J265" s="27">
        <f>IF(C265="","",H265-I265)</f>
        <v/>
      </c>
      <c r="K265" s="25">
        <f>IF(C265="","",IF(G265=0,"not invoiced yet",SUBSTITUTE(TRIM(IF(COUNTIFS(tbl_Finance[Job Number],C265&amp;"",tbl_Finance[Cost Centre],"ONSITE")&gt;0,"ONSITE ","")&amp;IF(COUNTIFS(tbl_Finance[Job Number],C265&amp;"",tbl_Finance[Cost Centre],"PRODUCTION")&gt;0,"PRODUCTION ","")&amp;IF(COUNTIFS(tbl_Finance[Job Number],C265&amp;"",tbl_Finance[Cost Centre],"VIDEO")&gt;0,"VIDEO ","")&amp;IF(COUNTIFS(tbl_Finance[Job Number],C265&amp;"",tbl_Finance[Cost Centre],"INTEGRATION")&gt;0,"INTEGRATION ","")&amp;IF(COUNTIFS(tbl_Finance[Job Number],C265&amp;"",tbl_Finance[Cost Centre],"CONSULTING")&gt;0,"CONSULTING ","")&amp;IF(COUNTIFS(tbl_Finance[Job Number],C265&amp;"",tbl_Finance[Cost Centre],"CTS")&gt;0,"CTS ",""))," ",", ")))</f>
        <v/>
      </c>
      <c r="L265" s="22" t="n"/>
      <c r="M265" s="24" t="n"/>
      <c r="N265" s="25">
        <f>IF(M265="","",IF(AND(LEFT(M265,4)&lt;&gt;"http",set_RMSBase=""),"",HYPERLINK(IF(LEFT(M265,4)="http",M265,set_RMSBase&amp;M265),"Open opportunity")))</f>
        <v/>
      </c>
      <c r="O265" s="25">
        <f>IF(C265="","",C265)</f>
        <v/>
      </c>
      <c r="P265" s="24" t="n"/>
      <c r="Q265" s="26" t="n"/>
      <c r="R265" s="27">
        <f>IF(C265="","",H265+N(Q265))</f>
        <v/>
      </c>
      <c r="S265" s="29">
        <f>IFERROR(Q265/R265,"")</f>
        <v/>
      </c>
      <c r="T265" s="26" t="n"/>
      <c r="U265" s="26" t="n"/>
      <c r="V265" s="27">
        <f>IF(C265="","",N(T265)+N(U265))</f>
        <v/>
      </c>
      <c r="W265" s="27">
        <f>IF(C265="","",H265-V265)</f>
        <v/>
      </c>
      <c r="X265" s="29">
        <f>IFERROR(W265/H265,"")</f>
        <v/>
      </c>
      <c r="Y265" s="64" t="n"/>
      <c r="Z265" s="64" t="n"/>
      <c r="AA265" s="64" t="n"/>
      <c r="AB265" s="64" t="n"/>
      <c r="AC265" s="64" t="n"/>
      <c r="AD265" s="24" t="n"/>
    </row>
    <row r="266" ht="15" customHeight="1">
      <c r="A266" s="63">
        <f>IF(C266="","",IFERROR(IF(SUMPRODUCT(MAX((tbl_Finance[Job Number]=C266&amp;"")*(tbl_Finance[Xero Invoice No]&lt;&gt;"")*tbl_Finance[Date]))=0,"",SUMPRODUCT(MAX((tbl_Finance[Job Number]=C266&amp;"")*(tbl_Finance[Xero Invoice No]&lt;&gt;"")*tbl_Finance[Date]))),""))</f>
        <v/>
      </c>
      <c r="B266" s="25">
        <f>IF(C266="","",IF(COUNTIFS(tbl_Finance[Job Number],C266&amp;"",tbl_Finance[Xero Invoice No],"&lt;&gt;")=0,"",IFERROR(IF(COUNTIFS(tbl_Finance[Job Number],C266&amp;"",tbl_Finance[Xero Invoice No],LOOKUP(2,1/((tbl_Finance[Job Number]=C266&amp;"")*(tbl_Finance[Xero Invoice No]&lt;&gt;"")),tbl_Finance[Xero Invoice No]))=COUNTIFS(tbl_Finance[Job Number],C266&amp;"",tbl_Finance[Xero Invoice No],"&lt;&gt;"),LOOKUP(2,1/((tbl_Finance[Job Number]=C266&amp;"")*(tbl_Finance[Xero Invoice No]&lt;&gt;"")),tbl_Finance[Xero Invoice No]),LOOKUP(2,1/((tbl_Finance[Job Number]=C266&amp;"")*(tbl_Finance[Xero Invoice No]&lt;&gt;"")),tbl_Finance[Xero Invoice No])&amp;" +more"),"")))</f>
        <v/>
      </c>
      <c r="C266" s="24" t="n"/>
      <c r="D266" s="25">
        <f>IF(C266="","",IF(COUNTIF(lst_Jobs,C266&amp;"")&gt;0,"OK","CHECK"))</f>
        <v/>
      </c>
      <c r="E266" s="25">
        <f>IF(C266="","",IFERROR(INDEX(lst_JobName,MATCH(C266&amp;"",lst_Jobs,0)),""))</f>
        <v/>
      </c>
      <c r="F266" s="25">
        <f>IF(C266="","",IFERROR(INDEX(tbl_Finance[Client],MATCH(C266&amp;"",tbl_Finance[Job Number],0)),""))</f>
        <v/>
      </c>
      <c r="G266" s="28">
        <f>IF(C266="","",COUNTIFS(tbl_Finance[Job Number],C266&amp;"",tbl_Finance[Ex GST],"&lt;&gt;"))</f>
        <v/>
      </c>
      <c r="H266" s="27">
        <f>IF(C266="","",SUMIFS(tbl_Finance[Ex GST],tbl_Finance[Job Number],C266&amp;""))</f>
        <v/>
      </c>
      <c r="I266" s="27">
        <f>IF(C266="","",SUMIFS(tbl_Finance[Ex GST],tbl_Finance[Job Number],C266&amp;"",tbl_Finance[Xero Invoice No],"&lt;&gt;"))</f>
        <v/>
      </c>
      <c r="J266" s="27">
        <f>IF(C266="","",H266-I266)</f>
        <v/>
      </c>
      <c r="K266" s="25">
        <f>IF(C266="","",IF(G266=0,"not invoiced yet",SUBSTITUTE(TRIM(IF(COUNTIFS(tbl_Finance[Job Number],C266&amp;"",tbl_Finance[Cost Centre],"ONSITE")&gt;0,"ONSITE ","")&amp;IF(COUNTIFS(tbl_Finance[Job Number],C266&amp;"",tbl_Finance[Cost Centre],"PRODUCTION")&gt;0,"PRODUCTION ","")&amp;IF(COUNTIFS(tbl_Finance[Job Number],C266&amp;"",tbl_Finance[Cost Centre],"VIDEO")&gt;0,"VIDEO ","")&amp;IF(COUNTIFS(tbl_Finance[Job Number],C266&amp;"",tbl_Finance[Cost Centre],"INTEGRATION")&gt;0,"INTEGRATION ","")&amp;IF(COUNTIFS(tbl_Finance[Job Number],C266&amp;"",tbl_Finance[Cost Centre],"CONSULTING")&gt;0,"CONSULTING ","")&amp;IF(COUNTIFS(tbl_Finance[Job Number],C266&amp;"",tbl_Finance[Cost Centre],"CTS")&gt;0,"CTS ",""))," ",", ")))</f>
        <v/>
      </c>
      <c r="L266" s="22" t="n"/>
      <c r="M266" s="24" t="n"/>
      <c r="N266" s="25">
        <f>IF(M266="","",IF(AND(LEFT(M266,4)&lt;&gt;"http",set_RMSBase=""),"",HYPERLINK(IF(LEFT(M266,4)="http",M266,set_RMSBase&amp;M266),"Open opportunity")))</f>
        <v/>
      </c>
      <c r="O266" s="25">
        <f>IF(C266="","",C266)</f>
        <v/>
      </c>
      <c r="P266" s="24" t="n"/>
      <c r="Q266" s="26" t="n"/>
      <c r="R266" s="27">
        <f>IF(C266="","",H266+N(Q266))</f>
        <v/>
      </c>
      <c r="S266" s="29">
        <f>IFERROR(Q266/R266,"")</f>
        <v/>
      </c>
      <c r="T266" s="26" t="n"/>
      <c r="U266" s="26" t="n"/>
      <c r="V266" s="27">
        <f>IF(C266="","",N(T266)+N(U266))</f>
        <v/>
      </c>
      <c r="W266" s="27">
        <f>IF(C266="","",H266-V266)</f>
        <v/>
      </c>
      <c r="X266" s="29">
        <f>IFERROR(W266/H266,"")</f>
        <v/>
      </c>
      <c r="Y266" s="64" t="n"/>
      <c r="Z266" s="64" t="n"/>
      <c r="AA266" s="64" t="n"/>
      <c r="AB266" s="64" t="n"/>
      <c r="AC266" s="64" t="n"/>
      <c r="AD266" s="24" t="n"/>
    </row>
    <row r="267" ht="15" customHeight="1">
      <c r="A267" s="63">
        <f>IF(C267="","",IFERROR(IF(SUMPRODUCT(MAX((tbl_Finance[Job Number]=C267&amp;"")*(tbl_Finance[Xero Invoice No]&lt;&gt;"")*tbl_Finance[Date]))=0,"",SUMPRODUCT(MAX((tbl_Finance[Job Number]=C267&amp;"")*(tbl_Finance[Xero Invoice No]&lt;&gt;"")*tbl_Finance[Date]))),""))</f>
        <v/>
      </c>
      <c r="B267" s="25">
        <f>IF(C267="","",IF(COUNTIFS(tbl_Finance[Job Number],C267&amp;"",tbl_Finance[Xero Invoice No],"&lt;&gt;")=0,"",IFERROR(IF(COUNTIFS(tbl_Finance[Job Number],C267&amp;"",tbl_Finance[Xero Invoice No],LOOKUP(2,1/((tbl_Finance[Job Number]=C267&amp;"")*(tbl_Finance[Xero Invoice No]&lt;&gt;"")),tbl_Finance[Xero Invoice No]))=COUNTIFS(tbl_Finance[Job Number],C267&amp;"",tbl_Finance[Xero Invoice No],"&lt;&gt;"),LOOKUP(2,1/((tbl_Finance[Job Number]=C267&amp;"")*(tbl_Finance[Xero Invoice No]&lt;&gt;"")),tbl_Finance[Xero Invoice No]),LOOKUP(2,1/((tbl_Finance[Job Number]=C267&amp;"")*(tbl_Finance[Xero Invoice No]&lt;&gt;"")),tbl_Finance[Xero Invoice No])&amp;" +more"),"")))</f>
        <v/>
      </c>
      <c r="C267" s="24" t="n"/>
      <c r="D267" s="25">
        <f>IF(C267="","",IF(COUNTIF(lst_Jobs,C267&amp;"")&gt;0,"OK","CHECK"))</f>
        <v/>
      </c>
      <c r="E267" s="25">
        <f>IF(C267="","",IFERROR(INDEX(lst_JobName,MATCH(C267&amp;"",lst_Jobs,0)),""))</f>
        <v/>
      </c>
      <c r="F267" s="25">
        <f>IF(C267="","",IFERROR(INDEX(tbl_Finance[Client],MATCH(C267&amp;"",tbl_Finance[Job Number],0)),""))</f>
        <v/>
      </c>
      <c r="G267" s="28">
        <f>IF(C267="","",COUNTIFS(tbl_Finance[Job Number],C267&amp;"",tbl_Finance[Ex GST],"&lt;&gt;"))</f>
        <v/>
      </c>
      <c r="H267" s="27">
        <f>IF(C267="","",SUMIFS(tbl_Finance[Ex GST],tbl_Finance[Job Number],C267&amp;""))</f>
        <v/>
      </c>
      <c r="I267" s="27">
        <f>IF(C267="","",SUMIFS(tbl_Finance[Ex GST],tbl_Finance[Job Number],C267&amp;"",tbl_Finance[Xero Invoice No],"&lt;&gt;"))</f>
        <v/>
      </c>
      <c r="J267" s="27">
        <f>IF(C267="","",H267-I267)</f>
        <v/>
      </c>
      <c r="K267" s="25">
        <f>IF(C267="","",IF(G267=0,"not invoiced yet",SUBSTITUTE(TRIM(IF(COUNTIFS(tbl_Finance[Job Number],C267&amp;"",tbl_Finance[Cost Centre],"ONSITE")&gt;0,"ONSITE ","")&amp;IF(COUNTIFS(tbl_Finance[Job Number],C267&amp;"",tbl_Finance[Cost Centre],"PRODUCTION")&gt;0,"PRODUCTION ","")&amp;IF(COUNTIFS(tbl_Finance[Job Number],C267&amp;"",tbl_Finance[Cost Centre],"VIDEO")&gt;0,"VIDEO ","")&amp;IF(COUNTIFS(tbl_Finance[Job Number],C267&amp;"",tbl_Finance[Cost Centre],"INTEGRATION")&gt;0,"INTEGRATION ","")&amp;IF(COUNTIFS(tbl_Finance[Job Number],C267&amp;"",tbl_Finance[Cost Centre],"CONSULTING")&gt;0,"CONSULTING ","")&amp;IF(COUNTIFS(tbl_Finance[Job Number],C267&amp;"",tbl_Finance[Cost Centre],"CTS")&gt;0,"CTS ",""))," ",", ")))</f>
        <v/>
      </c>
      <c r="L267" s="22" t="n"/>
      <c r="M267" s="24" t="n"/>
      <c r="N267" s="25">
        <f>IF(M267="","",IF(AND(LEFT(M267,4)&lt;&gt;"http",set_RMSBase=""),"",HYPERLINK(IF(LEFT(M267,4)="http",M267,set_RMSBase&amp;M267),"Open opportunity")))</f>
        <v/>
      </c>
      <c r="O267" s="25">
        <f>IF(C267="","",C267)</f>
        <v/>
      </c>
      <c r="P267" s="24" t="n"/>
      <c r="Q267" s="26" t="n"/>
      <c r="R267" s="27">
        <f>IF(C267="","",H267+N(Q267))</f>
        <v/>
      </c>
      <c r="S267" s="29">
        <f>IFERROR(Q267/R267,"")</f>
        <v/>
      </c>
      <c r="T267" s="26" t="n"/>
      <c r="U267" s="26" t="n"/>
      <c r="V267" s="27">
        <f>IF(C267="","",N(T267)+N(U267))</f>
        <v/>
      </c>
      <c r="W267" s="27">
        <f>IF(C267="","",H267-V267)</f>
        <v/>
      </c>
      <c r="X267" s="29">
        <f>IFERROR(W267/H267,"")</f>
        <v/>
      </c>
      <c r="Y267" s="64" t="n"/>
      <c r="Z267" s="64" t="n"/>
      <c r="AA267" s="64" t="n"/>
      <c r="AB267" s="64" t="n"/>
      <c r="AC267" s="64" t="n"/>
      <c r="AD267" s="24" t="n"/>
    </row>
    <row r="268" ht="15" customHeight="1">
      <c r="A268" s="63">
        <f>IF(C268="","",IFERROR(IF(SUMPRODUCT(MAX((tbl_Finance[Job Number]=C268&amp;"")*(tbl_Finance[Xero Invoice No]&lt;&gt;"")*tbl_Finance[Date]))=0,"",SUMPRODUCT(MAX((tbl_Finance[Job Number]=C268&amp;"")*(tbl_Finance[Xero Invoice No]&lt;&gt;"")*tbl_Finance[Date]))),""))</f>
        <v/>
      </c>
      <c r="B268" s="25">
        <f>IF(C268="","",IF(COUNTIFS(tbl_Finance[Job Number],C268&amp;"",tbl_Finance[Xero Invoice No],"&lt;&gt;")=0,"",IFERROR(IF(COUNTIFS(tbl_Finance[Job Number],C268&amp;"",tbl_Finance[Xero Invoice No],LOOKUP(2,1/((tbl_Finance[Job Number]=C268&amp;"")*(tbl_Finance[Xero Invoice No]&lt;&gt;"")),tbl_Finance[Xero Invoice No]))=COUNTIFS(tbl_Finance[Job Number],C268&amp;"",tbl_Finance[Xero Invoice No],"&lt;&gt;"),LOOKUP(2,1/((tbl_Finance[Job Number]=C268&amp;"")*(tbl_Finance[Xero Invoice No]&lt;&gt;"")),tbl_Finance[Xero Invoice No]),LOOKUP(2,1/((tbl_Finance[Job Number]=C268&amp;"")*(tbl_Finance[Xero Invoice No]&lt;&gt;"")),tbl_Finance[Xero Invoice No])&amp;" +more"),"")))</f>
        <v/>
      </c>
      <c r="C268" s="24" t="n"/>
      <c r="D268" s="25">
        <f>IF(C268="","",IF(COUNTIF(lst_Jobs,C268&amp;"")&gt;0,"OK","CHECK"))</f>
        <v/>
      </c>
      <c r="E268" s="25">
        <f>IF(C268="","",IFERROR(INDEX(lst_JobName,MATCH(C268&amp;"",lst_Jobs,0)),""))</f>
        <v/>
      </c>
      <c r="F268" s="25">
        <f>IF(C268="","",IFERROR(INDEX(tbl_Finance[Client],MATCH(C268&amp;"",tbl_Finance[Job Number],0)),""))</f>
        <v/>
      </c>
      <c r="G268" s="28">
        <f>IF(C268="","",COUNTIFS(tbl_Finance[Job Number],C268&amp;"",tbl_Finance[Ex GST],"&lt;&gt;"))</f>
        <v/>
      </c>
      <c r="H268" s="27">
        <f>IF(C268="","",SUMIFS(tbl_Finance[Ex GST],tbl_Finance[Job Number],C268&amp;""))</f>
        <v/>
      </c>
      <c r="I268" s="27">
        <f>IF(C268="","",SUMIFS(tbl_Finance[Ex GST],tbl_Finance[Job Number],C268&amp;"",tbl_Finance[Xero Invoice No],"&lt;&gt;"))</f>
        <v/>
      </c>
      <c r="J268" s="27">
        <f>IF(C268="","",H268-I268)</f>
        <v/>
      </c>
      <c r="K268" s="25">
        <f>IF(C268="","",IF(G268=0,"not invoiced yet",SUBSTITUTE(TRIM(IF(COUNTIFS(tbl_Finance[Job Number],C268&amp;"",tbl_Finance[Cost Centre],"ONSITE")&gt;0,"ONSITE ","")&amp;IF(COUNTIFS(tbl_Finance[Job Number],C268&amp;"",tbl_Finance[Cost Centre],"PRODUCTION")&gt;0,"PRODUCTION ","")&amp;IF(COUNTIFS(tbl_Finance[Job Number],C268&amp;"",tbl_Finance[Cost Centre],"VIDEO")&gt;0,"VIDEO ","")&amp;IF(COUNTIFS(tbl_Finance[Job Number],C268&amp;"",tbl_Finance[Cost Centre],"INTEGRATION")&gt;0,"INTEGRATION ","")&amp;IF(COUNTIFS(tbl_Finance[Job Number],C268&amp;"",tbl_Finance[Cost Centre],"CONSULTING")&gt;0,"CONSULTING ","")&amp;IF(COUNTIFS(tbl_Finance[Job Number],C268&amp;"",tbl_Finance[Cost Centre],"CTS")&gt;0,"CTS ",""))," ",", ")))</f>
        <v/>
      </c>
      <c r="L268" s="22" t="n"/>
      <c r="M268" s="24" t="n"/>
      <c r="N268" s="25">
        <f>IF(M268="","",IF(AND(LEFT(M268,4)&lt;&gt;"http",set_RMSBase=""),"",HYPERLINK(IF(LEFT(M268,4)="http",M268,set_RMSBase&amp;M268),"Open opportunity")))</f>
        <v/>
      </c>
      <c r="O268" s="25">
        <f>IF(C268="","",C268)</f>
        <v/>
      </c>
      <c r="P268" s="24" t="n"/>
      <c r="Q268" s="26" t="n"/>
      <c r="R268" s="27">
        <f>IF(C268="","",H268+N(Q268))</f>
        <v/>
      </c>
      <c r="S268" s="29">
        <f>IFERROR(Q268/R268,"")</f>
        <v/>
      </c>
      <c r="T268" s="26" t="n"/>
      <c r="U268" s="26" t="n"/>
      <c r="V268" s="27">
        <f>IF(C268="","",N(T268)+N(U268))</f>
        <v/>
      </c>
      <c r="W268" s="27">
        <f>IF(C268="","",H268-V268)</f>
        <v/>
      </c>
      <c r="X268" s="29">
        <f>IFERROR(W268/H268,"")</f>
        <v/>
      </c>
      <c r="Y268" s="64" t="n"/>
      <c r="Z268" s="64" t="n"/>
      <c r="AA268" s="64" t="n"/>
      <c r="AB268" s="64" t="n"/>
      <c r="AC268" s="64" t="n"/>
      <c r="AD268" s="24" t="n"/>
    </row>
    <row r="269" ht="15" customHeight="1">
      <c r="A269" s="63">
        <f>IF(C269="","",IFERROR(IF(SUMPRODUCT(MAX((tbl_Finance[Job Number]=C269&amp;"")*(tbl_Finance[Xero Invoice No]&lt;&gt;"")*tbl_Finance[Date]))=0,"",SUMPRODUCT(MAX((tbl_Finance[Job Number]=C269&amp;"")*(tbl_Finance[Xero Invoice No]&lt;&gt;"")*tbl_Finance[Date]))),""))</f>
        <v/>
      </c>
      <c r="B269" s="25">
        <f>IF(C269="","",IF(COUNTIFS(tbl_Finance[Job Number],C269&amp;"",tbl_Finance[Xero Invoice No],"&lt;&gt;")=0,"",IFERROR(IF(COUNTIFS(tbl_Finance[Job Number],C269&amp;"",tbl_Finance[Xero Invoice No],LOOKUP(2,1/((tbl_Finance[Job Number]=C269&amp;"")*(tbl_Finance[Xero Invoice No]&lt;&gt;"")),tbl_Finance[Xero Invoice No]))=COUNTIFS(tbl_Finance[Job Number],C269&amp;"",tbl_Finance[Xero Invoice No],"&lt;&gt;"),LOOKUP(2,1/((tbl_Finance[Job Number]=C269&amp;"")*(tbl_Finance[Xero Invoice No]&lt;&gt;"")),tbl_Finance[Xero Invoice No]),LOOKUP(2,1/((tbl_Finance[Job Number]=C269&amp;"")*(tbl_Finance[Xero Invoice No]&lt;&gt;"")),tbl_Finance[Xero Invoice No])&amp;" +more"),"")))</f>
        <v/>
      </c>
      <c r="C269" s="24" t="n"/>
      <c r="D269" s="25">
        <f>IF(C269="","",IF(COUNTIF(lst_Jobs,C269&amp;"")&gt;0,"OK","CHECK"))</f>
        <v/>
      </c>
      <c r="E269" s="25">
        <f>IF(C269="","",IFERROR(INDEX(lst_JobName,MATCH(C269&amp;"",lst_Jobs,0)),""))</f>
        <v/>
      </c>
      <c r="F269" s="25">
        <f>IF(C269="","",IFERROR(INDEX(tbl_Finance[Client],MATCH(C269&amp;"",tbl_Finance[Job Number],0)),""))</f>
        <v/>
      </c>
      <c r="G269" s="28">
        <f>IF(C269="","",COUNTIFS(tbl_Finance[Job Number],C269&amp;"",tbl_Finance[Ex GST],"&lt;&gt;"))</f>
        <v/>
      </c>
      <c r="H269" s="27">
        <f>IF(C269="","",SUMIFS(tbl_Finance[Ex GST],tbl_Finance[Job Number],C269&amp;""))</f>
        <v/>
      </c>
      <c r="I269" s="27">
        <f>IF(C269="","",SUMIFS(tbl_Finance[Ex GST],tbl_Finance[Job Number],C269&amp;"",tbl_Finance[Xero Invoice No],"&lt;&gt;"))</f>
        <v/>
      </c>
      <c r="J269" s="27">
        <f>IF(C269="","",H269-I269)</f>
        <v/>
      </c>
      <c r="K269" s="25">
        <f>IF(C269="","",IF(G269=0,"not invoiced yet",SUBSTITUTE(TRIM(IF(COUNTIFS(tbl_Finance[Job Number],C269&amp;"",tbl_Finance[Cost Centre],"ONSITE")&gt;0,"ONSITE ","")&amp;IF(COUNTIFS(tbl_Finance[Job Number],C269&amp;"",tbl_Finance[Cost Centre],"PRODUCTION")&gt;0,"PRODUCTION ","")&amp;IF(COUNTIFS(tbl_Finance[Job Number],C269&amp;"",tbl_Finance[Cost Centre],"VIDEO")&gt;0,"VIDEO ","")&amp;IF(COUNTIFS(tbl_Finance[Job Number],C269&amp;"",tbl_Finance[Cost Centre],"INTEGRATION")&gt;0,"INTEGRATION ","")&amp;IF(COUNTIFS(tbl_Finance[Job Number],C269&amp;"",tbl_Finance[Cost Centre],"CONSULTING")&gt;0,"CONSULTING ","")&amp;IF(COUNTIFS(tbl_Finance[Job Number],C269&amp;"",tbl_Finance[Cost Centre],"CTS")&gt;0,"CTS ",""))," ",", ")))</f>
        <v/>
      </c>
      <c r="L269" s="22" t="n"/>
      <c r="M269" s="24" t="n"/>
      <c r="N269" s="25">
        <f>IF(M269="","",IF(AND(LEFT(M269,4)&lt;&gt;"http",set_RMSBase=""),"",HYPERLINK(IF(LEFT(M269,4)="http",M269,set_RMSBase&amp;M269),"Open opportunity")))</f>
        <v/>
      </c>
      <c r="O269" s="25">
        <f>IF(C269="","",C269)</f>
        <v/>
      </c>
      <c r="P269" s="24" t="n"/>
      <c r="Q269" s="26" t="n"/>
      <c r="R269" s="27">
        <f>IF(C269="","",H269+N(Q269))</f>
        <v/>
      </c>
      <c r="S269" s="29">
        <f>IFERROR(Q269/R269,"")</f>
        <v/>
      </c>
      <c r="T269" s="26" t="n"/>
      <c r="U269" s="26" t="n"/>
      <c r="V269" s="27">
        <f>IF(C269="","",N(T269)+N(U269))</f>
        <v/>
      </c>
      <c r="W269" s="27">
        <f>IF(C269="","",H269-V269)</f>
        <v/>
      </c>
      <c r="X269" s="29">
        <f>IFERROR(W269/H269,"")</f>
        <v/>
      </c>
      <c r="Y269" s="64" t="n"/>
      <c r="Z269" s="64" t="n"/>
      <c r="AA269" s="64" t="n"/>
      <c r="AB269" s="64" t="n"/>
      <c r="AC269" s="64" t="n"/>
      <c r="AD269" s="24" t="n"/>
    </row>
    <row r="270" ht="15" customHeight="1">
      <c r="A270" s="63">
        <f>IF(C270="","",IFERROR(IF(SUMPRODUCT(MAX((tbl_Finance[Job Number]=C270&amp;"")*(tbl_Finance[Xero Invoice No]&lt;&gt;"")*tbl_Finance[Date]))=0,"",SUMPRODUCT(MAX((tbl_Finance[Job Number]=C270&amp;"")*(tbl_Finance[Xero Invoice No]&lt;&gt;"")*tbl_Finance[Date]))),""))</f>
        <v/>
      </c>
      <c r="B270" s="25">
        <f>IF(C270="","",IF(COUNTIFS(tbl_Finance[Job Number],C270&amp;"",tbl_Finance[Xero Invoice No],"&lt;&gt;")=0,"",IFERROR(IF(COUNTIFS(tbl_Finance[Job Number],C270&amp;"",tbl_Finance[Xero Invoice No],LOOKUP(2,1/((tbl_Finance[Job Number]=C270&amp;"")*(tbl_Finance[Xero Invoice No]&lt;&gt;"")),tbl_Finance[Xero Invoice No]))=COUNTIFS(tbl_Finance[Job Number],C270&amp;"",tbl_Finance[Xero Invoice No],"&lt;&gt;"),LOOKUP(2,1/((tbl_Finance[Job Number]=C270&amp;"")*(tbl_Finance[Xero Invoice No]&lt;&gt;"")),tbl_Finance[Xero Invoice No]),LOOKUP(2,1/((tbl_Finance[Job Number]=C270&amp;"")*(tbl_Finance[Xero Invoice No]&lt;&gt;"")),tbl_Finance[Xero Invoice No])&amp;" +more"),"")))</f>
        <v/>
      </c>
      <c r="C270" s="24" t="n"/>
      <c r="D270" s="25">
        <f>IF(C270="","",IF(COUNTIF(lst_Jobs,C270&amp;"")&gt;0,"OK","CHECK"))</f>
        <v/>
      </c>
      <c r="E270" s="25">
        <f>IF(C270="","",IFERROR(INDEX(lst_JobName,MATCH(C270&amp;"",lst_Jobs,0)),""))</f>
        <v/>
      </c>
      <c r="F270" s="25">
        <f>IF(C270="","",IFERROR(INDEX(tbl_Finance[Client],MATCH(C270&amp;"",tbl_Finance[Job Number],0)),""))</f>
        <v/>
      </c>
      <c r="G270" s="28">
        <f>IF(C270="","",COUNTIFS(tbl_Finance[Job Number],C270&amp;"",tbl_Finance[Ex GST],"&lt;&gt;"))</f>
        <v/>
      </c>
      <c r="H270" s="27">
        <f>IF(C270="","",SUMIFS(tbl_Finance[Ex GST],tbl_Finance[Job Number],C270&amp;""))</f>
        <v/>
      </c>
      <c r="I270" s="27">
        <f>IF(C270="","",SUMIFS(tbl_Finance[Ex GST],tbl_Finance[Job Number],C270&amp;"",tbl_Finance[Xero Invoice No],"&lt;&gt;"))</f>
        <v/>
      </c>
      <c r="J270" s="27">
        <f>IF(C270="","",H270-I270)</f>
        <v/>
      </c>
      <c r="K270" s="25">
        <f>IF(C270="","",IF(G270=0,"not invoiced yet",SUBSTITUTE(TRIM(IF(COUNTIFS(tbl_Finance[Job Number],C270&amp;"",tbl_Finance[Cost Centre],"ONSITE")&gt;0,"ONSITE ","")&amp;IF(COUNTIFS(tbl_Finance[Job Number],C270&amp;"",tbl_Finance[Cost Centre],"PRODUCTION")&gt;0,"PRODUCTION ","")&amp;IF(COUNTIFS(tbl_Finance[Job Number],C270&amp;"",tbl_Finance[Cost Centre],"VIDEO")&gt;0,"VIDEO ","")&amp;IF(COUNTIFS(tbl_Finance[Job Number],C270&amp;"",tbl_Finance[Cost Centre],"INTEGRATION")&gt;0,"INTEGRATION ","")&amp;IF(COUNTIFS(tbl_Finance[Job Number],C270&amp;"",tbl_Finance[Cost Centre],"CONSULTING")&gt;0,"CONSULTING ","")&amp;IF(COUNTIFS(tbl_Finance[Job Number],C270&amp;"",tbl_Finance[Cost Centre],"CTS")&gt;0,"CTS ",""))," ",", ")))</f>
        <v/>
      </c>
      <c r="L270" s="22" t="n"/>
      <c r="M270" s="24" t="n"/>
      <c r="N270" s="25">
        <f>IF(M270="","",IF(AND(LEFT(M270,4)&lt;&gt;"http",set_RMSBase=""),"",HYPERLINK(IF(LEFT(M270,4)="http",M270,set_RMSBase&amp;M270),"Open opportunity")))</f>
        <v/>
      </c>
      <c r="O270" s="25">
        <f>IF(C270="","",C270)</f>
        <v/>
      </c>
      <c r="P270" s="24" t="n"/>
      <c r="Q270" s="26" t="n"/>
      <c r="R270" s="27">
        <f>IF(C270="","",H270+N(Q270))</f>
        <v/>
      </c>
      <c r="S270" s="29">
        <f>IFERROR(Q270/R270,"")</f>
        <v/>
      </c>
      <c r="T270" s="26" t="n"/>
      <c r="U270" s="26" t="n"/>
      <c r="V270" s="27">
        <f>IF(C270="","",N(T270)+N(U270))</f>
        <v/>
      </c>
      <c r="W270" s="27">
        <f>IF(C270="","",H270-V270)</f>
        <v/>
      </c>
      <c r="X270" s="29">
        <f>IFERROR(W270/H270,"")</f>
        <v/>
      </c>
      <c r="Y270" s="64" t="n"/>
      <c r="Z270" s="64" t="n"/>
      <c r="AA270" s="64" t="n"/>
      <c r="AB270" s="64" t="n"/>
      <c r="AC270" s="64" t="n"/>
      <c r="AD270" s="24" t="n"/>
    </row>
    <row r="271" ht="15" customHeight="1">
      <c r="A271" s="63">
        <f>IF(C271="","",IFERROR(IF(SUMPRODUCT(MAX((tbl_Finance[Job Number]=C271&amp;"")*(tbl_Finance[Xero Invoice No]&lt;&gt;"")*tbl_Finance[Date]))=0,"",SUMPRODUCT(MAX((tbl_Finance[Job Number]=C271&amp;"")*(tbl_Finance[Xero Invoice No]&lt;&gt;"")*tbl_Finance[Date]))),""))</f>
        <v/>
      </c>
      <c r="B271" s="25">
        <f>IF(C271="","",IF(COUNTIFS(tbl_Finance[Job Number],C271&amp;"",tbl_Finance[Xero Invoice No],"&lt;&gt;")=0,"",IFERROR(IF(COUNTIFS(tbl_Finance[Job Number],C271&amp;"",tbl_Finance[Xero Invoice No],LOOKUP(2,1/((tbl_Finance[Job Number]=C271&amp;"")*(tbl_Finance[Xero Invoice No]&lt;&gt;"")),tbl_Finance[Xero Invoice No]))=COUNTIFS(tbl_Finance[Job Number],C271&amp;"",tbl_Finance[Xero Invoice No],"&lt;&gt;"),LOOKUP(2,1/((tbl_Finance[Job Number]=C271&amp;"")*(tbl_Finance[Xero Invoice No]&lt;&gt;"")),tbl_Finance[Xero Invoice No]),LOOKUP(2,1/((tbl_Finance[Job Number]=C271&amp;"")*(tbl_Finance[Xero Invoice No]&lt;&gt;"")),tbl_Finance[Xero Invoice No])&amp;" +more"),"")))</f>
        <v/>
      </c>
      <c r="C271" s="24" t="n"/>
      <c r="D271" s="25">
        <f>IF(C271="","",IF(COUNTIF(lst_Jobs,C271&amp;"")&gt;0,"OK","CHECK"))</f>
        <v/>
      </c>
      <c r="E271" s="25">
        <f>IF(C271="","",IFERROR(INDEX(lst_JobName,MATCH(C271&amp;"",lst_Jobs,0)),""))</f>
        <v/>
      </c>
      <c r="F271" s="25">
        <f>IF(C271="","",IFERROR(INDEX(tbl_Finance[Client],MATCH(C271&amp;"",tbl_Finance[Job Number],0)),""))</f>
        <v/>
      </c>
      <c r="G271" s="28">
        <f>IF(C271="","",COUNTIFS(tbl_Finance[Job Number],C271&amp;"",tbl_Finance[Ex GST],"&lt;&gt;"))</f>
        <v/>
      </c>
      <c r="H271" s="27">
        <f>IF(C271="","",SUMIFS(tbl_Finance[Ex GST],tbl_Finance[Job Number],C271&amp;""))</f>
        <v/>
      </c>
      <c r="I271" s="27">
        <f>IF(C271="","",SUMIFS(tbl_Finance[Ex GST],tbl_Finance[Job Number],C271&amp;"",tbl_Finance[Xero Invoice No],"&lt;&gt;"))</f>
        <v/>
      </c>
      <c r="J271" s="27">
        <f>IF(C271="","",H271-I271)</f>
        <v/>
      </c>
      <c r="K271" s="25">
        <f>IF(C271="","",IF(G271=0,"not invoiced yet",SUBSTITUTE(TRIM(IF(COUNTIFS(tbl_Finance[Job Number],C271&amp;"",tbl_Finance[Cost Centre],"ONSITE")&gt;0,"ONSITE ","")&amp;IF(COUNTIFS(tbl_Finance[Job Number],C271&amp;"",tbl_Finance[Cost Centre],"PRODUCTION")&gt;0,"PRODUCTION ","")&amp;IF(COUNTIFS(tbl_Finance[Job Number],C271&amp;"",tbl_Finance[Cost Centre],"VIDEO")&gt;0,"VIDEO ","")&amp;IF(COUNTIFS(tbl_Finance[Job Number],C271&amp;"",tbl_Finance[Cost Centre],"INTEGRATION")&gt;0,"INTEGRATION ","")&amp;IF(COUNTIFS(tbl_Finance[Job Number],C271&amp;"",tbl_Finance[Cost Centre],"CONSULTING")&gt;0,"CONSULTING ","")&amp;IF(COUNTIFS(tbl_Finance[Job Number],C271&amp;"",tbl_Finance[Cost Centre],"CTS")&gt;0,"CTS ",""))," ",", ")))</f>
        <v/>
      </c>
      <c r="L271" s="22" t="n"/>
      <c r="M271" s="24" t="n"/>
      <c r="N271" s="25">
        <f>IF(M271="","",IF(AND(LEFT(M271,4)&lt;&gt;"http",set_RMSBase=""),"",HYPERLINK(IF(LEFT(M271,4)="http",M271,set_RMSBase&amp;M271),"Open opportunity")))</f>
        <v/>
      </c>
      <c r="O271" s="25">
        <f>IF(C271="","",C271)</f>
        <v/>
      </c>
      <c r="P271" s="24" t="n"/>
      <c r="Q271" s="26" t="n"/>
      <c r="R271" s="27">
        <f>IF(C271="","",H271+N(Q271))</f>
        <v/>
      </c>
      <c r="S271" s="29">
        <f>IFERROR(Q271/R271,"")</f>
        <v/>
      </c>
      <c r="T271" s="26" t="n"/>
      <c r="U271" s="26" t="n"/>
      <c r="V271" s="27">
        <f>IF(C271="","",N(T271)+N(U271))</f>
        <v/>
      </c>
      <c r="W271" s="27">
        <f>IF(C271="","",H271-V271)</f>
        <v/>
      </c>
      <c r="X271" s="29">
        <f>IFERROR(W271/H271,"")</f>
        <v/>
      </c>
      <c r="Y271" s="64" t="n"/>
      <c r="Z271" s="64" t="n"/>
      <c r="AA271" s="64" t="n"/>
      <c r="AB271" s="64" t="n"/>
      <c r="AC271" s="64" t="n"/>
      <c r="AD271" s="24" t="n"/>
    </row>
    <row r="272" ht="15" customHeight="1">
      <c r="A272" s="63">
        <f>IF(C272="","",IFERROR(IF(SUMPRODUCT(MAX((tbl_Finance[Job Number]=C272&amp;"")*(tbl_Finance[Xero Invoice No]&lt;&gt;"")*tbl_Finance[Date]))=0,"",SUMPRODUCT(MAX((tbl_Finance[Job Number]=C272&amp;"")*(tbl_Finance[Xero Invoice No]&lt;&gt;"")*tbl_Finance[Date]))),""))</f>
        <v/>
      </c>
      <c r="B272" s="25">
        <f>IF(C272="","",IF(COUNTIFS(tbl_Finance[Job Number],C272&amp;"",tbl_Finance[Xero Invoice No],"&lt;&gt;")=0,"",IFERROR(IF(COUNTIFS(tbl_Finance[Job Number],C272&amp;"",tbl_Finance[Xero Invoice No],LOOKUP(2,1/((tbl_Finance[Job Number]=C272&amp;"")*(tbl_Finance[Xero Invoice No]&lt;&gt;"")),tbl_Finance[Xero Invoice No]))=COUNTIFS(tbl_Finance[Job Number],C272&amp;"",tbl_Finance[Xero Invoice No],"&lt;&gt;"),LOOKUP(2,1/((tbl_Finance[Job Number]=C272&amp;"")*(tbl_Finance[Xero Invoice No]&lt;&gt;"")),tbl_Finance[Xero Invoice No]),LOOKUP(2,1/((tbl_Finance[Job Number]=C272&amp;"")*(tbl_Finance[Xero Invoice No]&lt;&gt;"")),tbl_Finance[Xero Invoice No])&amp;" +more"),"")))</f>
        <v/>
      </c>
      <c r="C272" s="24" t="n"/>
      <c r="D272" s="25">
        <f>IF(C272="","",IF(COUNTIF(lst_Jobs,C272&amp;"")&gt;0,"OK","CHECK"))</f>
        <v/>
      </c>
      <c r="E272" s="25">
        <f>IF(C272="","",IFERROR(INDEX(lst_JobName,MATCH(C272&amp;"",lst_Jobs,0)),""))</f>
        <v/>
      </c>
      <c r="F272" s="25">
        <f>IF(C272="","",IFERROR(INDEX(tbl_Finance[Client],MATCH(C272&amp;"",tbl_Finance[Job Number],0)),""))</f>
        <v/>
      </c>
      <c r="G272" s="28">
        <f>IF(C272="","",COUNTIFS(tbl_Finance[Job Number],C272&amp;"",tbl_Finance[Ex GST],"&lt;&gt;"))</f>
        <v/>
      </c>
      <c r="H272" s="27">
        <f>IF(C272="","",SUMIFS(tbl_Finance[Ex GST],tbl_Finance[Job Number],C272&amp;""))</f>
        <v/>
      </c>
      <c r="I272" s="27">
        <f>IF(C272="","",SUMIFS(tbl_Finance[Ex GST],tbl_Finance[Job Number],C272&amp;"",tbl_Finance[Xero Invoice No],"&lt;&gt;"))</f>
        <v/>
      </c>
      <c r="J272" s="27">
        <f>IF(C272="","",H272-I272)</f>
        <v/>
      </c>
      <c r="K272" s="25">
        <f>IF(C272="","",IF(G272=0,"not invoiced yet",SUBSTITUTE(TRIM(IF(COUNTIFS(tbl_Finance[Job Number],C272&amp;"",tbl_Finance[Cost Centre],"ONSITE")&gt;0,"ONSITE ","")&amp;IF(COUNTIFS(tbl_Finance[Job Number],C272&amp;"",tbl_Finance[Cost Centre],"PRODUCTION")&gt;0,"PRODUCTION ","")&amp;IF(COUNTIFS(tbl_Finance[Job Number],C272&amp;"",tbl_Finance[Cost Centre],"VIDEO")&gt;0,"VIDEO ","")&amp;IF(COUNTIFS(tbl_Finance[Job Number],C272&amp;"",tbl_Finance[Cost Centre],"INTEGRATION")&gt;0,"INTEGRATION ","")&amp;IF(COUNTIFS(tbl_Finance[Job Number],C272&amp;"",tbl_Finance[Cost Centre],"CONSULTING")&gt;0,"CONSULTING ","")&amp;IF(COUNTIFS(tbl_Finance[Job Number],C272&amp;"",tbl_Finance[Cost Centre],"CTS")&gt;0,"CTS ",""))," ",", ")))</f>
        <v/>
      </c>
      <c r="L272" s="22" t="n"/>
      <c r="M272" s="24" t="n"/>
      <c r="N272" s="25">
        <f>IF(M272="","",IF(AND(LEFT(M272,4)&lt;&gt;"http",set_RMSBase=""),"",HYPERLINK(IF(LEFT(M272,4)="http",M272,set_RMSBase&amp;M272),"Open opportunity")))</f>
        <v/>
      </c>
      <c r="O272" s="25">
        <f>IF(C272="","",C272)</f>
        <v/>
      </c>
      <c r="P272" s="24" t="n"/>
      <c r="Q272" s="26" t="n"/>
      <c r="R272" s="27">
        <f>IF(C272="","",H272+N(Q272))</f>
        <v/>
      </c>
      <c r="S272" s="29">
        <f>IFERROR(Q272/R272,"")</f>
        <v/>
      </c>
      <c r="T272" s="26" t="n"/>
      <c r="U272" s="26" t="n"/>
      <c r="V272" s="27">
        <f>IF(C272="","",N(T272)+N(U272))</f>
        <v/>
      </c>
      <c r="W272" s="27">
        <f>IF(C272="","",H272-V272)</f>
        <v/>
      </c>
      <c r="X272" s="29">
        <f>IFERROR(W272/H272,"")</f>
        <v/>
      </c>
      <c r="Y272" s="64" t="n"/>
      <c r="Z272" s="64" t="n"/>
      <c r="AA272" s="64" t="n"/>
      <c r="AB272" s="64" t="n"/>
      <c r="AC272" s="64" t="n"/>
      <c r="AD272" s="24" t="n"/>
    </row>
    <row r="273" ht="15" customHeight="1">
      <c r="A273" s="63">
        <f>IF(C273="","",IFERROR(IF(SUMPRODUCT(MAX((tbl_Finance[Job Number]=C273&amp;"")*(tbl_Finance[Xero Invoice No]&lt;&gt;"")*tbl_Finance[Date]))=0,"",SUMPRODUCT(MAX((tbl_Finance[Job Number]=C273&amp;"")*(tbl_Finance[Xero Invoice No]&lt;&gt;"")*tbl_Finance[Date]))),""))</f>
        <v/>
      </c>
      <c r="B273" s="25">
        <f>IF(C273="","",IF(COUNTIFS(tbl_Finance[Job Number],C273&amp;"",tbl_Finance[Xero Invoice No],"&lt;&gt;")=0,"",IFERROR(IF(COUNTIFS(tbl_Finance[Job Number],C273&amp;"",tbl_Finance[Xero Invoice No],LOOKUP(2,1/((tbl_Finance[Job Number]=C273&amp;"")*(tbl_Finance[Xero Invoice No]&lt;&gt;"")),tbl_Finance[Xero Invoice No]))=COUNTIFS(tbl_Finance[Job Number],C273&amp;"",tbl_Finance[Xero Invoice No],"&lt;&gt;"),LOOKUP(2,1/((tbl_Finance[Job Number]=C273&amp;"")*(tbl_Finance[Xero Invoice No]&lt;&gt;"")),tbl_Finance[Xero Invoice No]),LOOKUP(2,1/((tbl_Finance[Job Number]=C273&amp;"")*(tbl_Finance[Xero Invoice No]&lt;&gt;"")),tbl_Finance[Xero Invoice No])&amp;" +more"),"")))</f>
        <v/>
      </c>
      <c r="C273" s="24" t="n"/>
      <c r="D273" s="25">
        <f>IF(C273="","",IF(COUNTIF(lst_Jobs,C273&amp;"")&gt;0,"OK","CHECK"))</f>
        <v/>
      </c>
      <c r="E273" s="25">
        <f>IF(C273="","",IFERROR(INDEX(lst_JobName,MATCH(C273&amp;"",lst_Jobs,0)),""))</f>
        <v/>
      </c>
      <c r="F273" s="25">
        <f>IF(C273="","",IFERROR(INDEX(tbl_Finance[Client],MATCH(C273&amp;"",tbl_Finance[Job Number],0)),""))</f>
        <v/>
      </c>
      <c r="G273" s="28">
        <f>IF(C273="","",COUNTIFS(tbl_Finance[Job Number],C273&amp;"",tbl_Finance[Ex GST],"&lt;&gt;"))</f>
        <v/>
      </c>
      <c r="H273" s="27">
        <f>IF(C273="","",SUMIFS(tbl_Finance[Ex GST],tbl_Finance[Job Number],C273&amp;""))</f>
        <v/>
      </c>
      <c r="I273" s="27">
        <f>IF(C273="","",SUMIFS(tbl_Finance[Ex GST],tbl_Finance[Job Number],C273&amp;"",tbl_Finance[Xero Invoice No],"&lt;&gt;"))</f>
        <v/>
      </c>
      <c r="J273" s="27">
        <f>IF(C273="","",H273-I273)</f>
        <v/>
      </c>
      <c r="K273" s="25">
        <f>IF(C273="","",IF(G273=0,"not invoiced yet",SUBSTITUTE(TRIM(IF(COUNTIFS(tbl_Finance[Job Number],C273&amp;"",tbl_Finance[Cost Centre],"ONSITE")&gt;0,"ONSITE ","")&amp;IF(COUNTIFS(tbl_Finance[Job Number],C273&amp;"",tbl_Finance[Cost Centre],"PRODUCTION")&gt;0,"PRODUCTION ","")&amp;IF(COUNTIFS(tbl_Finance[Job Number],C273&amp;"",tbl_Finance[Cost Centre],"VIDEO")&gt;0,"VIDEO ","")&amp;IF(COUNTIFS(tbl_Finance[Job Number],C273&amp;"",tbl_Finance[Cost Centre],"INTEGRATION")&gt;0,"INTEGRATION ","")&amp;IF(COUNTIFS(tbl_Finance[Job Number],C273&amp;"",tbl_Finance[Cost Centre],"CONSULTING")&gt;0,"CONSULTING ","")&amp;IF(COUNTIFS(tbl_Finance[Job Number],C273&amp;"",tbl_Finance[Cost Centre],"CTS")&gt;0,"CTS ",""))," ",", ")))</f>
        <v/>
      </c>
      <c r="L273" s="22" t="n"/>
      <c r="M273" s="24" t="n"/>
      <c r="N273" s="25">
        <f>IF(M273="","",IF(AND(LEFT(M273,4)&lt;&gt;"http",set_RMSBase=""),"",HYPERLINK(IF(LEFT(M273,4)="http",M273,set_RMSBase&amp;M273),"Open opportunity")))</f>
        <v/>
      </c>
      <c r="O273" s="25">
        <f>IF(C273="","",C273)</f>
        <v/>
      </c>
      <c r="P273" s="24" t="n"/>
      <c r="Q273" s="26" t="n"/>
      <c r="R273" s="27">
        <f>IF(C273="","",H273+N(Q273))</f>
        <v/>
      </c>
      <c r="S273" s="29">
        <f>IFERROR(Q273/R273,"")</f>
        <v/>
      </c>
      <c r="T273" s="26" t="n"/>
      <c r="U273" s="26" t="n"/>
      <c r="V273" s="27">
        <f>IF(C273="","",N(T273)+N(U273))</f>
        <v/>
      </c>
      <c r="W273" s="27">
        <f>IF(C273="","",H273-V273)</f>
        <v/>
      </c>
      <c r="X273" s="29">
        <f>IFERROR(W273/H273,"")</f>
        <v/>
      </c>
      <c r="Y273" s="64" t="n"/>
      <c r="Z273" s="64" t="n"/>
      <c r="AA273" s="64" t="n"/>
      <c r="AB273" s="64" t="n"/>
      <c r="AC273" s="64" t="n"/>
      <c r="AD273" s="24" t="n"/>
    </row>
    <row r="274" ht="15" customHeight="1">
      <c r="A274" s="63">
        <f>IF(C274="","",IFERROR(IF(SUMPRODUCT(MAX((tbl_Finance[Job Number]=C274&amp;"")*(tbl_Finance[Xero Invoice No]&lt;&gt;"")*tbl_Finance[Date]))=0,"",SUMPRODUCT(MAX((tbl_Finance[Job Number]=C274&amp;"")*(tbl_Finance[Xero Invoice No]&lt;&gt;"")*tbl_Finance[Date]))),""))</f>
        <v/>
      </c>
      <c r="B274" s="25">
        <f>IF(C274="","",IF(COUNTIFS(tbl_Finance[Job Number],C274&amp;"",tbl_Finance[Xero Invoice No],"&lt;&gt;")=0,"",IFERROR(IF(COUNTIFS(tbl_Finance[Job Number],C274&amp;"",tbl_Finance[Xero Invoice No],LOOKUP(2,1/((tbl_Finance[Job Number]=C274&amp;"")*(tbl_Finance[Xero Invoice No]&lt;&gt;"")),tbl_Finance[Xero Invoice No]))=COUNTIFS(tbl_Finance[Job Number],C274&amp;"",tbl_Finance[Xero Invoice No],"&lt;&gt;"),LOOKUP(2,1/((tbl_Finance[Job Number]=C274&amp;"")*(tbl_Finance[Xero Invoice No]&lt;&gt;"")),tbl_Finance[Xero Invoice No]),LOOKUP(2,1/((tbl_Finance[Job Number]=C274&amp;"")*(tbl_Finance[Xero Invoice No]&lt;&gt;"")),tbl_Finance[Xero Invoice No])&amp;" +more"),"")))</f>
        <v/>
      </c>
      <c r="C274" s="24" t="n"/>
      <c r="D274" s="25">
        <f>IF(C274="","",IF(COUNTIF(lst_Jobs,C274&amp;"")&gt;0,"OK","CHECK"))</f>
        <v/>
      </c>
      <c r="E274" s="25">
        <f>IF(C274="","",IFERROR(INDEX(lst_JobName,MATCH(C274&amp;"",lst_Jobs,0)),""))</f>
        <v/>
      </c>
      <c r="F274" s="25">
        <f>IF(C274="","",IFERROR(INDEX(tbl_Finance[Client],MATCH(C274&amp;"",tbl_Finance[Job Number],0)),""))</f>
        <v/>
      </c>
      <c r="G274" s="28">
        <f>IF(C274="","",COUNTIFS(tbl_Finance[Job Number],C274&amp;"",tbl_Finance[Ex GST],"&lt;&gt;"))</f>
        <v/>
      </c>
      <c r="H274" s="27">
        <f>IF(C274="","",SUMIFS(tbl_Finance[Ex GST],tbl_Finance[Job Number],C274&amp;""))</f>
        <v/>
      </c>
      <c r="I274" s="27">
        <f>IF(C274="","",SUMIFS(tbl_Finance[Ex GST],tbl_Finance[Job Number],C274&amp;"",tbl_Finance[Xero Invoice No],"&lt;&gt;"))</f>
        <v/>
      </c>
      <c r="J274" s="27">
        <f>IF(C274="","",H274-I274)</f>
        <v/>
      </c>
      <c r="K274" s="25">
        <f>IF(C274="","",IF(G274=0,"not invoiced yet",SUBSTITUTE(TRIM(IF(COUNTIFS(tbl_Finance[Job Number],C274&amp;"",tbl_Finance[Cost Centre],"ONSITE")&gt;0,"ONSITE ","")&amp;IF(COUNTIFS(tbl_Finance[Job Number],C274&amp;"",tbl_Finance[Cost Centre],"PRODUCTION")&gt;0,"PRODUCTION ","")&amp;IF(COUNTIFS(tbl_Finance[Job Number],C274&amp;"",tbl_Finance[Cost Centre],"VIDEO")&gt;0,"VIDEO ","")&amp;IF(COUNTIFS(tbl_Finance[Job Number],C274&amp;"",tbl_Finance[Cost Centre],"INTEGRATION")&gt;0,"INTEGRATION ","")&amp;IF(COUNTIFS(tbl_Finance[Job Number],C274&amp;"",tbl_Finance[Cost Centre],"CONSULTING")&gt;0,"CONSULTING ","")&amp;IF(COUNTIFS(tbl_Finance[Job Number],C274&amp;"",tbl_Finance[Cost Centre],"CTS")&gt;0,"CTS ",""))," ",", ")))</f>
        <v/>
      </c>
      <c r="L274" s="22" t="n"/>
      <c r="M274" s="24" t="n"/>
      <c r="N274" s="25">
        <f>IF(M274="","",IF(AND(LEFT(M274,4)&lt;&gt;"http",set_RMSBase=""),"",HYPERLINK(IF(LEFT(M274,4)="http",M274,set_RMSBase&amp;M274),"Open opportunity")))</f>
        <v/>
      </c>
      <c r="O274" s="25">
        <f>IF(C274="","",C274)</f>
        <v/>
      </c>
      <c r="P274" s="24" t="n"/>
      <c r="Q274" s="26" t="n"/>
      <c r="R274" s="27">
        <f>IF(C274="","",H274+N(Q274))</f>
        <v/>
      </c>
      <c r="S274" s="29">
        <f>IFERROR(Q274/R274,"")</f>
        <v/>
      </c>
      <c r="T274" s="26" t="n"/>
      <c r="U274" s="26" t="n"/>
      <c r="V274" s="27">
        <f>IF(C274="","",N(T274)+N(U274))</f>
        <v/>
      </c>
      <c r="W274" s="27">
        <f>IF(C274="","",H274-V274)</f>
        <v/>
      </c>
      <c r="X274" s="29">
        <f>IFERROR(W274/H274,"")</f>
        <v/>
      </c>
      <c r="Y274" s="64" t="n"/>
      <c r="Z274" s="64" t="n"/>
      <c r="AA274" s="64" t="n"/>
      <c r="AB274" s="64" t="n"/>
      <c r="AC274" s="64" t="n"/>
      <c r="AD274" s="24" t="n"/>
    </row>
    <row r="275" ht="15" customHeight="1">
      <c r="A275" s="63">
        <f>IF(C275="","",IFERROR(IF(SUMPRODUCT(MAX((tbl_Finance[Job Number]=C275&amp;"")*(tbl_Finance[Xero Invoice No]&lt;&gt;"")*tbl_Finance[Date]))=0,"",SUMPRODUCT(MAX((tbl_Finance[Job Number]=C275&amp;"")*(tbl_Finance[Xero Invoice No]&lt;&gt;"")*tbl_Finance[Date]))),""))</f>
        <v/>
      </c>
      <c r="B275" s="25">
        <f>IF(C275="","",IF(COUNTIFS(tbl_Finance[Job Number],C275&amp;"",tbl_Finance[Xero Invoice No],"&lt;&gt;")=0,"",IFERROR(IF(COUNTIFS(tbl_Finance[Job Number],C275&amp;"",tbl_Finance[Xero Invoice No],LOOKUP(2,1/((tbl_Finance[Job Number]=C275&amp;"")*(tbl_Finance[Xero Invoice No]&lt;&gt;"")),tbl_Finance[Xero Invoice No]))=COUNTIFS(tbl_Finance[Job Number],C275&amp;"",tbl_Finance[Xero Invoice No],"&lt;&gt;"),LOOKUP(2,1/((tbl_Finance[Job Number]=C275&amp;"")*(tbl_Finance[Xero Invoice No]&lt;&gt;"")),tbl_Finance[Xero Invoice No]),LOOKUP(2,1/((tbl_Finance[Job Number]=C275&amp;"")*(tbl_Finance[Xero Invoice No]&lt;&gt;"")),tbl_Finance[Xero Invoice No])&amp;" +more"),"")))</f>
        <v/>
      </c>
      <c r="C275" s="24" t="n"/>
      <c r="D275" s="25">
        <f>IF(C275="","",IF(COUNTIF(lst_Jobs,C275&amp;"")&gt;0,"OK","CHECK"))</f>
        <v/>
      </c>
      <c r="E275" s="25">
        <f>IF(C275="","",IFERROR(INDEX(lst_JobName,MATCH(C275&amp;"",lst_Jobs,0)),""))</f>
        <v/>
      </c>
      <c r="F275" s="25">
        <f>IF(C275="","",IFERROR(INDEX(tbl_Finance[Client],MATCH(C275&amp;"",tbl_Finance[Job Number],0)),""))</f>
        <v/>
      </c>
      <c r="G275" s="28">
        <f>IF(C275="","",COUNTIFS(tbl_Finance[Job Number],C275&amp;"",tbl_Finance[Ex GST],"&lt;&gt;"))</f>
        <v/>
      </c>
      <c r="H275" s="27">
        <f>IF(C275="","",SUMIFS(tbl_Finance[Ex GST],tbl_Finance[Job Number],C275&amp;""))</f>
        <v/>
      </c>
      <c r="I275" s="27">
        <f>IF(C275="","",SUMIFS(tbl_Finance[Ex GST],tbl_Finance[Job Number],C275&amp;"",tbl_Finance[Xero Invoice No],"&lt;&gt;"))</f>
        <v/>
      </c>
      <c r="J275" s="27">
        <f>IF(C275="","",H275-I275)</f>
        <v/>
      </c>
      <c r="K275" s="25">
        <f>IF(C275="","",IF(G275=0,"not invoiced yet",SUBSTITUTE(TRIM(IF(COUNTIFS(tbl_Finance[Job Number],C275&amp;"",tbl_Finance[Cost Centre],"ONSITE")&gt;0,"ONSITE ","")&amp;IF(COUNTIFS(tbl_Finance[Job Number],C275&amp;"",tbl_Finance[Cost Centre],"PRODUCTION")&gt;0,"PRODUCTION ","")&amp;IF(COUNTIFS(tbl_Finance[Job Number],C275&amp;"",tbl_Finance[Cost Centre],"VIDEO")&gt;0,"VIDEO ","")&amp;IF(COUNTIFS(tbl_Finance[Job Number],C275&amp;"",tbl_Finance[Cost Centre],"INTEGRATION")&gt;0,"INTEGRATION ","")&amp;IF(COUNTIFS(tbl_Finance[Job Number],C275&amp;"",tbl_Finance[Cost Centre],"CONSULTING")&gt;0,"CONSULTING ","")&amp;IF(COUNTIFS(tbl_Finance[Job Number],C275&amp;"",tbl_Finance[Cost Centre],"CTS")&gt;0,"CTS ",""))," ",", ")))</f>
        <v/>
      </c>
      <c r="L275" s="22" t="n"/>
      <c r="M275" s="24" t="n"/>
      <c r="N275" s="25">
        <f>IF(M275="","",IF(AND(LEFT(M275,4)&lt;&gt;"http",set_RMSBase=""),"",HYPERLINK(IF(LEFT(M275,4)="http",M275,set_RMSBase&amp;M275),"Open opportunity")))</f>
        <v/>
      </c>
      <c r="O275" s="25">
        <f>IF(C275="","",C275)</f>
        <v/>
      </c>
      <c r="P275" s="24" t="n"/>
      <c r="Q275" s="26" t="n"/>
      <c r="R275" s="27">
        <f>IF(C275="","",H275+N(Q275))</f>
        <v/>
      </c>
      <c r="S275" s="29">
        <f>IFERROR(Q275/R275,"")</f>
        <v/>
      </c>
      <c r="T275" s="26" t="n"/>
      <c r="U275" s="26" t="n"/>
      <c r="V275" s="27">
        <f>IF(C275="","",N(T275)+N(U275))</f>
        <v/>
      </c>
      <c r="W275" s="27">
        <f>IF(C275="","",H275-V275)</f>
        <v/>
      </c>
      <c r="X275" s="29">
        <f>IFERROR(W275/H275,"")</f>
        <v/>
      </c>
      <c r="Y275" s="64" t="n"/>
      <c r="Z275" s="64" t="n"/>
      <c r="AA275" s="64" t="n"/>
      <c r="AB275" s="64" t="n"/>
      <c r="AC275" s="64" t="n"/>
      <c r="AD275" s="24" t="n"/>
    </row>
    <row r="276" ht="15" customHeight="1">
      <c r="A276" s="63">
        <f>IF(C276="","",IFERROR(IF(SUMPRODUCT(MAX((tbl_Finance[Job Number]=C276&amp;"")*(tbl_Finance[Xero Invoice No]&lt;&gt;"")*tbl_Finance[Date]))=0,"",SUMPRODUCT(MAX((tbl_Finance[Job Number]=C276&amp;"")*(tbl_Finance[Xero Invoice No]&lt;&gt;"")*tbl_Finance[Date]))),""))</f>
        <v/>
      </c>
      <c r="B276" s="25">
        <f>IF(C276="","",IF(COUNTIFS(tbl_Finance[Job Number],C276&amp;"",tbl_Finance[Xero Invoice No],"&lt;&gt;")=0,"",IFERROR(IF(COUNTIFS(tbl_Finance[Job Number],C276&amp;"",tbl_Finance[Xero Invoice No],LOOKUP(2,1/((tbl_Finance[Job Number]=C276&amp;"")*(tbl_Finance[Xero Invoice No]&lt;&gt;"")),tbl_Finance[Xero Invoice No]))=COUNTIFS(tbl_Finance[Job Number],C276&amp;"",tbl_Finance[Xero Invoice No],"&lt;&gt;"),LOOKUP(2,1/((tbl_Finance[Job Number]=C276&amp;"")*(tbl_Finance[Xero Invoice No]&lt;&gt;"")),tbl_Finance[Xero Invoice No]),LOOKUP(2,1/((tbl_Finance[Job Number]=C276&amp;"")*(tbl_Finance[Xero Invoice No]&lt;&gt;"")),tbl_Finance[Xero Invoice No])&amp;" +more"),"")))</f>
        <v/>
      </c>
      <c r="C276" s="24" t="n"/>
      <c r="D276" s="25">
        <f>IF(C276="","",IF(COUNTIF(lst_Jobs,C276&amp;"")&gt;0,"OK","CHECK"))</f>
        <v/>
      </c>
      <c r="E276" s="25">
        <f>IF(C276="","",IFERROR(INDEX(lst_JobName,MATCH(C276&amp;"",lst_Jobs,0)),""))</f>
        <v/>
      </c>
      <c r="F276" s="25">
        <f>IF(C276="","",IFERROR(INDEX(tbl_Finance[Client],MATCH(C276&amp;"",tbl_Finance[Job Number],0)),""))</f>
        <v/>
      </c>
      <c r="G276" s="28">
        <f>IF(C276="","",COUNTIFS(tbl_Finance[Job Number],C276&amp;"",tbl_Finance[Ex GST],"&lt;&gt;"))</f>
        <v/>
      </c>
      <c r="H276" s="27">
        <f>IF(C276="","",SUMIFS(tbl_Finance[Ex GST],tbl_Finance[Job Number],C276&amp;""))</f>
        <v/>
      </c>
      <c r="I276" s="27">
        <f>IF(C276="","",SUMIFS(tbl_Finance[Ex GST],tbl_Finance[Job Number],C276&amp;"",tbl_Finance[Xero Invoice No],"&lt;&gt;"))</f>
        <v/>
      </c>
      <c r="J276" s="27">
        <f>IF(C276="","",H276-I276)</f>
        <v/>
      </c>
      <c r="K276" s="25">
        <f>IF(C276="","",IF(G276=0,"not invoiced yet",SUBSTITUTE(TRIM(IF(COUNTIFS(tbl_Finance[Job Number],C276&amp;"",tbl_Finance[Cost Centre],"ONSITE")&gt;0,"ONSITE ","")&amp;IF(COUNTIFS(tbl_Finance[Job Number],C276&amp;"",tbl_Finance[Cost Centre],"PRODUCTION")&gt;0,"PRODUCTION ","")&amp;IF(COUNTIFS(tbl_Finance[Job Number],C276&amp;"",tbl_Finance[Cost Centre],"VIDEO")&gt;0,"VIDEO ","")&amp;IF(COUNTIFS(tbl_Finance[Job Number],C276&amp;"",tbl_Finance[Cost Centre],"INTEGRATION")&gt;0,"INTEGRATION ","")&amp;IF(COUNTIFS(tbl_Finance[Job Number],C276&amp;"",tbl_Finance[Cost Centre],"CONSULTING")&gt;0,"CONSULTING ","")&amp;IF(COUNTIFS(tbl_Finance[Job Number],C276&amp;"",tbl_Finance[Cost Centre],"CTS")&gt;0,"CTS ",""))," ",", ")))</f>
        <v/>
      </c>
      <c r="L276" s="22" t="n"/>
      <c r="M276" s="24" t="n"/>
      <c r="N276" s="25">
        <f>IF(M276="","",IF(AND(LEFT(M276,4)&lt;&gt;"http",set_RMSBase=""),"",HYPERLINK(IF(LEFT(M276,4)="http",M276,set_RMSBase&amp;M276),"Open opportunity")))</f>
        <v/>
      </c>
      <c r="O276" s="25">
        <f>IF(C276="","",C276)</f>
        <v/>
      </c>
      <c r="P276" s="24" t="n"/>
      <c r="Q276" s="26" t="n"/>
      <c r="R276" s="27">
        <f>IF(C276="","",H276+N(Q276))</f>
        <v/>
      </c>
      <c r="S276" s="29">
        <f>IFERROR(Q276/R276,"")</f>
        <v/>
      </c>
      <c r="T276" s="26" t="n"/>
      <c r="U276" s="26" t="n"/>
      <c r="V276" s="27">
        <f>IF(C276="","",N(T276)+N(U276))</f>
        <v/>
      </c>
      <c r="W276" s="27">
        <f>IF(C276="","",H276-V276)</f>
        <v/>
      </c>
      <c r="X276" s="29">
        <f>IFERROR(W276/H276,"")</f>
        <v/>
      </c>
      <c r="Y276" s="64" t="n"/>
      <c r="Z276" s="64" t="n"/>
      <c r="AA276" s="64" t="n"/>
      <c r="AB276" s="64" t="n"/>
      <c r="AC276" s="64" t="n"/>
      <c r="AD276" s="24" t="n"/>
    </row>
    <row r="277" ht="15" customHeight="1">
      <c r="A277" s="63">
        <f>IF(C277="","",IFERROR(IF(SUMPRODUCT(MAX((tbl_Finance[Job Number]=C277&amp;"")*(tbl_Finance[Xero Invoice No]&lt;&gt;"")*tbl_Finance[Date]))=0,"",SUMPRODUCT(MAX((tbl_Finance[Job Number]=C277&amp;"")*(tbl_Finance[Xero Invoice No]&lt;&gt;"")*tbl_Finance[Date]))),""))</f>
        <v/>
      </c>
      <c r="B277" s="25">
        <f>IF(C277="","",IF(COUNTIFS(tbl_Finance[Job Number],C277&amp;"",tbl_Finance[Xero Invoice No],"&lt;&gt;")=0,"",IFERROR(IF(COUNTIFS(tbl_Finance[Job Number],C277&amp;"",tbl_Finance[Xero Invoice No],LOOKUP(2,1/((tbl_Finance[Job Number]=C277&amp;"")*(tbl_Finance[Xero Invoice No]&lt;&gt;"")),tbl_Finance[Xero Invoice No]))=COUNTIFS(tbl_Finance[Job Number],C277&amp;"",tbl_Finance[Xero Invoice No],"&lt;&gt;"),LOOKUP(2,1/((tbl_Finance[Job Number]=C277&amp;"")*(tbl_Finance[Xero Invoice No]&lt;&gt;"")),tbl_Finance[Xero Invoice No]),LOOKUP(2,1/((tbl_Finance[Job Number]=C277&amp;"")*(tbl_Finance[Xero Invoice No]&lt;&gt;"")),tbl_Finance[Xero Invoice No])&amp;" +more"),"")))</f>
        <v/>
      </c>
      <c r="C277" s="24" t="n"/>
      <c r="D277" s="25">
        <f>IF(C277="","",IF(COUNTIF(lst_Jobs,C277&amp;"")&gt;0,"OK","CHECK"))</f>
        <v/>
      </c>
      <c r="E277" s="25">
        <f>IF(C277="","",IFERROR(INDEX(lst_JobName,MATCH(C277&amp;"",lst_Jobs,0)),""))</f>
        <v/>
      </c>
      <c r="F277" s="25">
        <f>IF(C277="","",IFERROR(INDEX(tbl_Finance[Client],MATCH(C277&amp;"",tbl_Finance[Job Number],0)),""))</f>
        <v/>
      </c>
      <c r="G277" s="28">
        <f>IF(C277="","",COUNTIFS(tbl_Finance[Job Number],C277&amp;"",tbl_Finance[Ex GST],"&lt;&gt;"))</f>
        <v/>
      </c>
      <c r="H277" s="27">
        <f>IF(C277="","",SUMIFS(tbl_Finance[Ex GST],tbl_Finance[Job Number],C277&amp;""))</f>
        <v/>
      </c>
      <c r="I277" s="27">
        <f>IF(C277="","",SUMIFS(tbl_Finance[Ex GST],tbl_Finance[Job Number],C277&amp;"",tbl_Finance[Xero Invoice No],"&lt;&gt;"))</f>
        <v/>
      </c>
      <c r="J277" s="27">
        <f>IF(C277="","",H277-I277)</f>
        <v/>
      </c>
      <c r="K277" s="25">
        <f>IF(C277="","",IF(G277=0,"not invoiced yet",SUBSTITUTE(TRIM(IF(COUNTIFS(tbl_Finance[Job Number],C277&amp;"",tbl_Finance[Cost Centre],"ONSITE")&gt;0,"ONSITE ","")&amp;IF(COUNTIFS(tbl_Finance[Job Number],C277&amp;"",tbl_Finance[Cost Centre],"PRODUCTION")&gt;0,"PRODUCTION ","")&amp;IF(COUNTIFS(tbl_Finance[Job Number],C277&amp;"",tbl_Finance[Cost Centre],"VIDEO")&gt;0,"VIDEO ","")&amp;IF(COUNTIFS(tbl_Finance[Job Number],C277&amp;"",tbl_Finance[Cost Centre],"INTEGRATION")&gt;0,"INTEGRATION ","")&amp;IF(COUNTIFS(tbl_Finance[Job Number],C277&amp;"",tbl_Finance[Cost Centre],"CONSULTING")&gt;0,"CONSULTING ","")&amp;IF(COUNTIFS(tbl_Finance[Job Number],C277&amp;"",tbl_Finance[Cost Centre],"CTS")&gt;0,"CTS ",""))," ",", ")))</f>
        <v/>
      </c>
      <c r="L277" s="22" t="n"/>
      <c r="M277" s="24" t="n"/>
      <c r="N277" s="25">
        <f>IF(M277="","",IF(AND(LEFT(M277,4)&lt;&gt;"http",set_RMSBase=""),"",HYPERLINK(IF(LEFT(M277,4)="http",M277,set_RMSBase&amp;M277),"Open opportunity")))</f>
        <v/>
      </c>
      <c r="O277" s="25">
        <f>IF(C277="","",C277)</f>
        <v/>
      </c>
      <c r="P277" s="24" t="n"/>
      <c r="Q277" s="26" t="n"/>
      <c r="R277" s="27">
        <f>IF(C277="","",H277+N(Q277))</f>
        <v/>
      </c>
      <c r="S277" s="29">
        <f>IFERROR(Q277/R277,"")</f>
        <v/>
      </c>
      <c r="T277" s="26" t="n"/>
      <c r="U277" s="26" t="n"/>
      <c r="V277" s="27">
        <f>IF(C277="","",N(T277)+N(U277))</f>
        <v/>
      </c>
      <c r="W277" s="27">
        <f>IF(C277="","",H277-V277)</f>
        <v/>
      </c>
      <c r="X277" s="29">
        <f>IFERROR(W277/H277,"")</f>
        <v/>
      </c>
      <c r="Y277" s="64" t="n"/>
      <c r="Z277" s="64" t="n"/>
      <c r="AA277" s="64" t="n"/>
      <c r="AB277" s="64" t="n"/>
      <c r="AC277" s="64" t="n"/>
      <c r="AD277" s="24" t="n"/>
    </row>
    <row r="278" ht="15" customHeight="1">
      <c r="A278" s="63">
        <f>IF(C278="","",IFERROR(IF(SUMPRODUCT(MAX((tbl_Finance[Job Number]=C278&amp;"")*(tbl_Finance[Xero Invoice No]&lt;&gt;"")*tbl_Finance[Date]))=0,"",SUMPRODUCT(MAX((tbl_Finance[Job Number]=C278&amp;"")*(tbl_Finance[Xero Invoice No]&lt;&gt;"")*tbl_Finance[Date]))),""))</f>
        <v/>
      </c>
      <c r="B278" s="25">
        <f>IF(C278="","",IF(COUNTIFS(tbl_Finance[Job Number],C278&amp;"",tbl_Finance[Xero Invoice No],"&lt;&gt;")=0,"",IFERROR(IF(COUNTIFS(tbl_Finance[Job Number],C278&amp;"",tbl_Finance[Xero Invoice No],LOOKUP(2,1/((tbl_Finance[Job Number]=C278&amp;"")*(tbl_Finance[Xero Invoice No]&lt;&gt;"")),tbl_Finance[Xero Invoice No]))=COUNTIFS(tbl_Finance[Job Number],C278&amp;"",tbl_Finance[Xero Invoice No],"&lt;&gt;"),LOOKUP(2,1/((tbl_Finance[Job Number]=C278&amp;"")*(tbl_Finance[Xero Invoice No]&lt;&gt;"")),tbl_Finance[Xero Invoice No]),LOOKUP(2,1/((tbl_Finance[Job Number]=C278&amp;"")*(tbl_Finance[Xero Invoice No]&lt;&gt;"")),tbl_Finance[Xero Invoice No])&amp;" +more"),"")))</f>
        <v/>
      </c>
      <c r="C278" s="24" t="n"/>
      <c r="D278" s="25">
        <f>IF(C278="","",IF(COUNTIF(lst_Jobs,C278&amp;"")&gt;0,"OK","CHECK"))</f>
        <v/>
      </c>
      <c r="E278" s="25">
        <f>IF(C278="","",IFERROR(INDEX(lst_JobName,MATCH(C278&amp;"",lst_Jobs,0)),""))</f>
        <v/>
      </c>
      <c r="F278" s="25">
        <f>IF(C278="","",IFERROR(INDEX(tbl_Finance[Client],MATCH(C278&amp;"",tbl_Finance[Job Number],0)),""))</f>
        <v/>
      </c>
      <c r="G278" s="28">
        <f>IF(C278="","",COUNTIFS(tbl_Finance[Job Number],C278&amp;"",tbl_Finance[Ex GST],"&lt;&gt;"))</f>
        <v/>
      </c>
      <c r="H278" s="27">
        <f>IF(C278="","",SUMIFS(tbl_Finance[Ex GST],tbl_Finance[Job Number],C278&amp;""))</f>
        <v/>
      </c>
      <c r="I278" s="27">
        <f>IF(C278="","",SUMIFS(tbl_Finance[Ex GST],tbl_Finance[Job Number],C278&amp;"",tbl_Finance[Xero Invoice No],"&lt;&gt;"))</f>
        <v/>
      </c>
      <c r="J278" s="27">
        <f>IF(C278="","",H278-I278)</f>
        <v/>
      </c>
      <c r="K278" s="25">
        <f>IF(C278="","",IF(G278=0,"not invoiced yet",SUBSTITUTE(TRIM(IF(COUNTIFS(tbl_Finance[Job Number],C278&amp;"",tbl_Finance[Cost Centre],"ONSITE")&gt;0,"ONSITE ","")&amp;IF(COUNTIFS(tbl_Finance[Job Number],C278&amp;"",tbl_Finance[Cost Centre],"PRODUCTION")&gt;0,"PRODUCTION ","")&amp;IF(COUNTIFS(tbl_Finance[Job Number],C278&amp;"",tbl_Finance[Cost Centre],"VIDEO")&gt;0,"VIDEO ","")&amp;IF(COUNTIFS(tbl_Finance[Job Number],C278&amp;"",tbl_Finance[Cost Centre],"INTEGRATION")&gt;0,"INTEGRATION ","")&amp;IF(COUNTIFS(tbl_Finance[Job Number],C278&amp;"",tbl_Finance[Cost Centre],"CONSULTING")&gt;0,"CONSULTING ","")&amp;IF(COUNTIFS(tbl_Finance[Job Number],C278&amp;"",tbl_Finance[Cost Centre],"CTS")&gt;0,"CTS ",""))," ",", ")))</f>
        <v/>
      </c>
      <c r="L278" s="22" t="n"/>
      <c r="M278" s="24" t="n"/>
      <c r="N278" s="25">
        <f>IF(M278="","",IF(AND(LEFT(M278,4)&lt;&gt;"http",set_RMSBase=""),"",HYPERLINK(IF(LEFT(M278,4)="http",M278,set_RMSBase&amp;M278),"Open opportunity")))</f>
        <v/>
      </c>
      <c r="O278" s="25">
        <f>IF(C278="","",C278)</f>
        <v/>
      </c>
      <c r="P278" s="24" t="n"/>
      <c r="Q278" s="26" t="n"/>
      <c r="R278" s="27">
        <f>IF(C278="","",H278+N(Q278))</f>
        <v/>
      </c>
      <c r="S278" s="29">
        <f>IFERROR(Q278/R278,"")</f>
        <v/>
      </c>
      <c r="T278" s="26" t="n"/>
      <c r="U278" s="26" t="n"/>
      <c r="V278" s="27">
        <f>IF(C278="","",N(T278)+N(U278))</f>
        <v/>
      </c>
      <c r="W278" s="27">
        <f>IF(C278="","",H278-V278)</f>
        <v/>
      </c>
      <c r="X278" s="29">
        <f>IFERROR(W278/H278,"")</f>
        <v/>
      </c>
      <c r="Y278" s="64" t="n"/>
      <c r="Z278" s="64" t="n"/>
      <c r="AA278" s="64" t="n"/>
      <c r="AB278" s="64" t="n"/>
      <c r="AC278" s="64" t="n"/>
      <c r="AD278" s="24" t="n"/>
    </row>
    <row r="279" ht="15" customHeight="1">
      <c r="A279" s="63">
        <f>IF(C279="","",IFERROR(IF(SUMPRODUCT(MAX((tbl_Finance[Job Number]=C279&amp;"")*(tbl_Finance[Xero Invoice No]&lt;&gt;"")*tbl_Finance[Date]))=0,"",SUMPRODUCT(MAX((tbl_Finance[Job Number]=C279&amp;"")*(tbl_Finance[Xero Invoice No]&lt;&gt;"")*tbl_Finance[Date]))),""))</f>
        <v/>
      </c>
      <c r="B279" s="25">
        <f>IF(C279="","",IF(COUNTIFS(tbl_Finance[Job Number],C279&amp;"",tbl_Finance[Xero Invoice No],"&lt;&gt;")=0,"",IFERROR(IF(COUNTIFS(tbl_Finance[Job Number],C279&amp;"",tbl_Finance[Xero Invoice No],LOOKUP(2,1/((tbl_Finance[Job Number]=C279&amp;"")*(tbl_Finance[Xero Invoice No]&lt;&gt;"")),tbl_Finance[Xero Invoice No]))=COUNTIFS(tbl_Finance[Job Number],C279&amp;"",tbl_Finance[Xero Invoice No],"&lt;&gt;"),LOOKUP(2,1/((tbl_Finance[Job Number]=C279&amp;"")*(tbl_Finance[Xero Invoice No]&lt;&gt;"")),tbl_Finance[Xero Invoice No]),LOOKUP(2,1/((tbl_Finance[Job Number]=C279&amp;"")*(tbl_Finance[Xero Invoice No]&lt;&gt;"")),tbl_Finance[Xero Invoice No])&amp;" +more"),"")))</f>
        <v/>
      </c>
      <c r="C279" s="24" t="n"/>
      <c r="D279" s="25">
        <f>IF(C279="","",IF(COUNTIF(lst_Jobs,C279&amp;"")&gt;0,"OK","CHECK"))</f>
        <v/>
      </c>
      <c r="E279" s="25">
        <f>IF(C279="","",IFERROR(INDEX(lst_JobName,MATCH(C279&amp;"",lst_Jobs,0)),""))</f>
        <v/>
      </c>
      <c r="F279" s="25">
        <f>IF(C279="","",IFERROR(INDEX(tbl_Finance[Client],MATCH(C279&amp;"",tbl_Finance[Job Number],0)),""))</f>
        <v/>
      </c>
      <c r="G279" s="28">
        <f>IF(C279="","",COUNTIFS(tbl_Finance[Job Number],C279&amp;"",tbl_Finance[Ex GST],"&lt;&gt;"))</f>
        <v/>
      </c>
      <c r="H279" s="27">
        <f>IF(C279="","",SUMIFS(tbl_Finance[Ex GST],tbl_Finance[Job Number],C279&amp;""))</f>
        <v/>
      </c>
      <c r="I279" s="27">
        <f>IF(C279="","",SUMIFS(tbl_Finance[Ex GST],tbl_Finance[Job Number],C279&amp;"",tbl_Finance[Xero Invoice No],"&lt;&gt;"))</f>
        <v/>
      </c>
      <c r="J279" s="27">
        <f>IF(C279="","",H279-I279)</f>
        <v/>
      </c>
      <c r="K279" s="25">
        <f>IF(C279="","",IF(G279=0,"not invoiced yet",SUBSTITUTE(TRIM(IF(COUNTIFS(tbl_Finance[Job Number],C279&amp;"",tbl_Finance[Cost Centre],"ONSITE")&gt;0,"ONSITE ","")&amp;IF(COUNTIFS(tbl_Finance[Job Number],C279&amp;"",tbl_Finance[Cost Centre],"PRODUCTION")&gt;0,"PRODUCTION ","")&amp;IF(COUNTIFS(tbl_Finance[Job Number],C279&amp;"",tbl_Finance[Cost Centre],"VIDEO")&gt;0,"VIDEO ","")&amp;IF(COUNTIFS(tbl_Finance[Job Number],C279&amp;"",tbl_Finance[Cost Centre],"INTEGRATION")&gt;0,"INTEGRATION ","")&amp;IF(COUNTIFS(tbl_Finance[Job Number],C279&amp;"",tbl_Finance[Cost Centre],"CONSULTING")&gt;0,"CONSULTING ","")&amp;IF(COUNTIFS(tbl_Finance[Job Number],C279&amp;"",tbl_Finance[Cost Centre],"CTS")&gt;0,"CTS ",""))," ",", ")))</f>
        <v/>
      </c>
      <c r="L279" s="22" t="n"/>
      <c r="M279" s="24" t="n"/>
      <c r="N279" s="25">
        <f>IF(M279="","",IF(AND(LEFT(M279,4)&lt;&gt;"http",set_RMSBase=""),"",HYPERLINK(IF(LEFT(M279,4)="http",M279,set_RMSBase&amp;M279),"Open opportunity")))</f>
        <v/>
      </c>
      <c r="O279" s="25">
        <f>IF(C279="","",C279)</f>
        <v/>
      </c>
      <c r="P279" s="24" t="n"/>
      <c r="Q279" s="26" t="n"/>
      <c r="R279" s="27">
        <f>IF(C279="","",H279+N(Q279))</f>
        <v/>
      </c>
      <c r="S279" s="29">
        <f>IFERROR(Q279/R279,"")</f>
        <v/>
      </c>
      <c r="T279" s="26" t="n"/>
      <c r="U279" s="26" t="n"/>
      <c r="V279" s="27">
        <f>IF(C279="","",N(T279)+N(U279))</f>
        <v/>
      </c>
      <c r="W279" s="27">
        <f>IF(C279="","",H279-V279)</f>
        <v/>
      </c>
      <c r="X279" s="29">
        <f>IFERROR(W279/H279,"")</f>
        <v/>
      </c>
      <c r="Y279" s="64" t="n"/>
      <c r="Z279" s="64" t="n"/>
      <c r="AA279" s="64" t="n"/>
      <c r="AB279" s="64" t="n"/>
      <c r="AC279" s="64" t="n"/>
      <c r="AD279" s="24" t="n"/>
    </row>
    <row r="280" ht="15" customHeight="1">
      <c r="A280" s="63">
        <f>IF(C280="","",IFERROR(IF(SUMPRODUCT(MAX((tbl_Finance[Job Number]=C280&amp;"")*(tbl_Finance[Xero Invoice No]&lt;&gt;"")*tbl_Finance[Date]))=0,"",SUMPRODUCT(MAX((tbl_Finance[Job Number]=C280&amp;"")*(tbl_Finance[Xero Invoice No]&lt;&gt;"")*tbl_Finance[Date]))),""))</f>
        <v/>
      </c>
      <c r="B280" s="25">
        <f>IF(C280="","",IF(COUNTIFS(tbl_Finance[Job Number],C280&amp;"",tbl_Finance[Xero Invoice No],"&lt;&gt;")=0,"",IFERROR(IF(COUNTIFS(tbl_Finance[Job Number],C280&amp;"",tbl_Finance[Xero Invoice No],LOOKUP(2,1/((tbl_Finance[Job Number]=C280&amp;"")*(tbl_Finance[Xero Invoice No]&lt;&gt;"")),tbl_Finance[Xero Invoice No]))=COUNTIFS(tbl_Finance[Job Number],C280&amp;"",tbl_Finance[Xero Invoice No],"&lt;&gt;"),LOOKUP(2,1/((tbl_Finance[Job Number]=C280&amp;"")*(tbl_Finance[Xero Invoice No]&lt;&gt;"")),tbl_Finance[Xero Invoice No]),LOOKUP(2,1/((tbl_Finance[Job Number]=C280&amp;"")*(tbl_Finance[Xero Invoice No]&lt;&gt;"")),tbl_Finance[Xero Invoice No])&amp;" +more"),"")))</f>
        <v/>
      </c>
      <c r="C280" s="24" t="n"/>
      <c r="D280" s="25">
        <f>IF(C280="","",IF(COUNTIF(lst_Jobs,C280&amp;"")&gt;0,"OK","CHECK"))</f>
        <v/>
      </c>
      <c r="E280" s="25">
        <f>IF(C280="","",IFERROR(INDEX(lst_JobName,MATCH(C280&amp;"",lst_Jobs,0)),""))</f>
        <v/>
      </c>
      <c r="F280" s="25">
        <f>IF(C280="","",IFERROR(INDEX(tbl_Finance[Client],MATCH(C280&amp;"",tbl_Finance[Job Number],0)),""))</f>
        <v/>
      </c>
      <c r="G280" s="28">
        <f>IF(C280="","",COUNTIFS(tbl_Finance[Job Number],C280&amp;"",tbl_Finance[Ex GST],"&lt;&gt;"))</f>
        <v/>
      </c>
      <c r="H280" s="27">
        <f>IF(C280="","",SUMIFS(tbl_Finance[Ex GST],tbl_Finance[Job Number],C280&amp;""))</f>
        <v/>
      </c>
      <c r="I280" s="27">
        <f>IF(C280="","",SUMIFS(tbl_Finance[Ex GST],tbl_Finance[Job Number],C280&amp;"",tbl_Finance[Xero Invoice No],"&lt;&gt;"))</f>
        <v/>
      </c>
      <c r="J280" s="27">
        <f>IF(C280="","",H280-I280)</f>
        <v/>
      </c>
      <c r="K280" s="25">
        <f>IF(C280="","",IF(G280=0,"not invoiced yet",SUBSTITUTE(TRIM(IF(COUNTIFS(tbl_Finance[Job Number],C280&amp;"",tbl_Finance[Cost Centre],"ONSITE")&gt;0,"ONSITE ","")&amp;IF(COUNTIFS(tbl_Finance[Job Number],C280&amp;"",tbl_Finance[Cost Centre],"PRODUCTION")&gt;0,"PRODUCTION ","")&amp;IF(COUNTIFS(tbl_Finance[Job Number],C280&amp;"",tbl_Finance[Cost Centre],"VIDEO")&gt;0,"VIDEO ","")&amp;IF(COUNTIFS(tbl_Finance[Job Number],C280&amp;"",tbl_Finance[Cost Centre],"INTEGRATION")&gt;0,"INTEGRATION ","")&amp;IF(COUNTIFS(tbl_Finance[Job Number],C280&amp;"",tbl_Finance[Cost Centre],"CONSULTING")&gt;0,"CONSULTING ","")&amp;IF(COUNTIFS(tbl_Finance[Job Number],C280&amp;"",tbl_Finance[Cost Centre],"CTS")&gt;0,"CTS ",""))," ",", ")))</f>
        <v/>
      </c>
      <c r="L280" s="22" t="n"/>
      <c r="M280" s="24" t="n"/>
      <c r="N280" s="25">
        <f>IF(M280="","",IF(AND(LEFT(M280,4)&lt;&gt;"http",set_RMSBase=""),"",HYPERLINK(IF(LEFT(M280,4)="http",M280,set_RMSBase&amp;M280),"Open opportunity")))</f>
        <v/>
      </c>
      <c r="O280" s="25">
        <f>IF(C280="","",C280)</f>
        <v/>
      </c>
      <c r="P280" s="24" t="n"/>
      <c r="Q280" s="26" t="n"/>
      <c r="R280" s="27">
        <f>IF(C280="","",H280+N(Q280))</f>
        <v/>
      </c>
      <c r="S280" s="29">
        <f>IFERROR(Q280/R280,"")</f>
        <v/>
      </c>
      <c r="T280" s="26" t="n"/>
      <c r="U280" s="26" t="n"/>
      <c r="V280" s="27">
        <f>IF(C280="","",N(T280)+N(U280))</f>
        <v/>
      </c>
      <c r="W280" s="27">
        <f>IF(C280="","",H280-V280)</f>
        <v/>
      </c>
      <c r="X280" s="29">
        <f>IFERROR(W280/H280,"")</f>
        <v/>
      </c>
      <c r="Y280" s="64" t="n"/>
      <c r="Z280" s="64" t="n"/>
      <c r="AA280" s="64" t="n"/>
      <c r="AB280" s="64" t="n"/>
      <c r="AC280" s="64" t="n"/>
      <c r="AD280" s="24" t="n"/>
    </row>
    <row r="281" ht="15" customHeight="1">
      <c r="A281" s="63">
        <f>IF(C281="","",IFERROR(IF(SUMPRODUCT(MAX((tbl_Finance[Job Number]=C281&amp;"")*(tbl_Finance[Xero Invoice No]&lt;&gt;"")*tbl_Finance[Date]))=0,"",SUMPRODUCT(MAX((tbl_Finance[Job Number]=C281&amp;"")*(tbl_Finance[Xero Invoice No]&lt;&gt;"")*tbl_Finance[Date]))),""))</f>
        <v/>
      </c>
      <c r="B281" s="25">
        <f>IF(C281="","",IF(COUNTIFS(tbl_Finance[Job Number],C281&amp;"",tbl_Finance[Xero Invoice No],"&lt;&gt;")=0,"",IFERROR(IF(COUNTIFS(tbl_Finance[Job Number],C281&amp;"",tbl_Finance[Xero Invoice No],LOOKUP(2,1/((tbl_Finance[Job Number]=C281&amp;"")*(tbl_Finance[Xero Invoice No]&lt;&gt;"")),tbl_Finance[Xero Invoice No]))=COUNTIFS(tbl_Finance[Job Number],C281&amp;"",tbl_Finance[Xero Invoice No],"&lt;&gt;"),LOOKUP(2,1/((tbl_Finance[Job Number]=C281&amp;"")*(tbl_Finance[Xero Invoice No]&lt;&gt;"")),tbl_Finance[Xero Invoice No]),LOOKUP(2,1/((tbl_Finance[Job Number]=C281&amp;"")*(tbl_Finance[Xero Invoice No]&lt;&gt;"")),tbl_Finance[Xero Invoice No])&amp;" +more"),"")))</f>
        <v/>
      </c>
      <c r="C281" s="24" t="n"/>
      <c r="D281" s="25">
        <f>IF(C281="","",IF(COUNTIF(lst_Jobs,C281&amp;"")&gt;0,"OK","CHECK"))</f>
        <v/>
      </c>
      <c r="E281" s="25">
        <f>IF(C281="","",IFERROR(INDEX(lst_JobName,MATCH(C281&amp;"",lst_Jobs,0)),""))</f>
        <v/>
      </c>
      <c r="F281" s="25">
        <f>IF(C281="","",IFERROR(INDEX(tbl_Finance[Client],MATCH(C281&amp;"",tbl_Finance[Job Number],0)),""))</f>
        <v/>
      </c>
      <c r="G281" s="28">
        <f>IF(C281="","",COUNTIFS(tbl_Finance[Job Number],C281&amp;"",tbl_Finance[Ex GST],"&lt;&gt;"))</f>
        <v/>
      </c>
      <c r="H281" s="27">
        <f>IF(C281="","",SUMIFS(tbl_Finance[Ex GST],tbl_Finance[Job Number],C281&amp;""))</f>
        <v/>
      </c>
      <c r="I281" s="27">
        <f>IF(C281="","",SUMIFS(tbl_Finance[Ex GST],tbl_Finance[Job Number],C281&amp;"",tbl_Finance[Xero Invoice No],"&lt;&gt;"))</f>
        <v/>
      </c>
      <c r="J281" s="27">
        <f>IF(C281="","",H281-I281)</f>
        <v/>
      </c>
      <c r="K281" s="25">
        <f>IF(C281="","",IF(G281=0,"not invoiced yet",SUBSTITUTE(TRIM(IF(COUNTIFS(tbl_Finance[Job Number],C281&amp;"",tbl_Finance[Cost Centre],"ONSITE")&gt;0,"ONSITE ","")&amp;IF(COUNTIFS(tbl_Finance[Job Number],C281&amp;"",tbl_Finance[Cost Centre],"PRODUCTION")&gt;0,"PRODUCTION ","")&amp;IF(COUNTIFS(tbl_Finance[Job Number],C281&amp;"",tbl_Finance[Cost Centre],"VIDEO")&gt;0,"VIDEO ","")&amp;IF(COUNTIFS(tbl_Finance[Job Number],C281&amp;"",tbl_Finance[Cost Centre],"INTEGRATION")&gt;0,"INTEGRATION ","")&amp;IF(COUNTIFS(tbl_Finance[Job Number],C281&amp;"",tbl_Finance[Cost Centre],"CONSULTING")&gt;0,"CONSULTING ","")&amp;IF(COUNTIFS(tbl_Finance[Job Number],C281&amp;"",tbl_Finance[Cost Centre],"CTS")&gt;0,"CTS ",""))," ",", ")))</f>
        <v/>
      </c>
      <c r="L281" s="22" t="n"/>
      <c r="M281" s="24" t="n"/>
      <c r="N281" s="25">
        <f>IF(M281="","",IF(AND(LEFT(M281,4)&lt;&gt;"http",set_RMSBase=""),"",HYPERLINK(IF(LEFT(M281,4)="http",M281,set_RMSBase&amp;M281),"Open opportunity")))</f>
        <v/>
      </c>
      <c r="O281" s="25">
        <f>IF(C281="","",C281)</f>
        <v/>
      </c>
      <c r="P281" s="24" t="n"/>
      <c r="Q281" s="26" t="n"/>
      <c r="R281" s="27">
        <f>IF(C281="","",H281+N(Q281))</f>
        <v/>
      </c>
      <c r="S281" s="29">
        <f>IFERROR(Q281/R281,"")</f>
        <v/>
      </c>
      <c r="T281" s="26" t="n"/>
      <c r="U281" s="26" t="n"/>
      <c r="V281" s="27">
        <f>IF(C281="","",N(T281)+N(U281))</f>
        <v/>
      </c>
      <c r="W281" s="27">
        <f>IF(C281="","",H281-V281)</f>
        <v/>
      </c>
      <c r="X281" s="29">
        <f>IFERROR(W281/H281,"")</f>
        <v/>
      </c>
      <c r="Y281" s="64" t="n"/>
      <c r="Z281" s="64" t="n"/>
      <c r="AA281" s="64" t="n"/>
      <c r="AB281" s="64" t="n"/>
      <c r="AC281" s="64" t="n"/>
      <c r="AD281" s="24" t="n"/>
    </row>
    <row r="282" ht="15" customHeight="1">
      <c r="A282" s="63">
        <f>IF(C282="","",IFERROR(IF(SUMPRODUCT(MAX((tbl_Finance[Job Number]=C282&amp;"")*(tbl_Finance[Xero Invoice No]&lt;&gt;"")*tbl_Finance[Date]))=0,"",SUMPRODUCT(MAX((tbl_Finance[Job Number]=C282&amp;"")*(tbl_Finance[Xero Invoice No]&lt;&gt;"")*tbl_Finance[Date]))),""))</f>
        <v/>
      </c>
      <c r="B282" s="25">
        <f>IF(C282="","",IF(COUNTIFS(tbl_Finance[Job Number],C282&amp;"",tbl_Finance[Xero Invoice No],"&lt;&gt;")=0,"",IFERROR(IF(COUNTIFS(tbl_Finance[Job Number],C282&amp;"",tbl_Finance[Xero Invoice No],LOOKUP(2,1/((tbl_Finance[Job Number]=C282&amp;"")*(tbl_Finance[Xero Invoice No]&lt;&gt;"")),tbl_Finance[Xero Invoice No]))=COUNTIFS(tbl_Finance[Job Number],C282&amp;"",tbl_Finance[Xero Invoice No],"&lt;&gt;"),LOOKUP(2,1/((tbl_Finance[Job Number]=C282&amp;"")*(tbl_Finance[Xero Invoice No]&lt;&gt;"")),tbl_Finance[Xero Invoice No]),LOOKUP(2,1/((tbl_Finance[Job Number]=C282&amp;"")*(tbl_Finance[Xero Invoice No]&lt;&gt;"")),tbl_Finance[Xero Invoice No])&amp;" +more"),"")))</f>
        <v/>
      </c>
      <c r="C282" s="24" t="n"/>
      <c r="D282" s="25">
        <f>IF(C282="","",IF(COUNTIF(lst_Jobs,C282&amp;"")&gt;0,"OK","CHECK"))</f>
        <v/>
      </c>
      <c r="E282" s="25">
        <f>IF(C282="","",IFERROR(INDEX(lst_JobName,MATCH(C282&amp;"",lst_Jobs,0)),""))</f>
        <v/>
      </c>
      <c r="F282" s="25">
        <f>IF(C282="","",IFERROR(INDEX(tbl_Finance[Client],MATCH(C282&amp;"",tbl_Finance[Job Number],0)),""))</f>
        <v/>
      </c>
      <c r="G282" s="28">
        <f>IF(C282="","",COUNTIFS(tbl_Finance[Job Number],C282&amp;"",tbl_Finance[Ex GST],"&lt;&gt;"))</f>
        <v/>
      </c>
      <c r="H282" s="27">
        <f>IF(C282="","",SUMIFS(tbl_Finance[Ex GST],tbl_Finance[Job Number],C282&amp;""))</f>
        <v/>
      </c>
      <c r="I282" s="27">
        <f>IF(C282="","",SUMIFS(tbl_Finance[Ex GST],tbl_Finance[Job Number],C282&amp;"",tbl_Finance[Xero Invoice No],"&lt;&gt;"))</f>
        <v/>
      </c>
      <c r="J282" s="27">
        <f>IF(C282="","",H282-I282)</f>
        <v/>
      </c>
      <c r="K282" s="25">
        <f>IF(C282="","",IF(G282=0,"not invoiced yet",SUBSTITUTE(TRIM(IF(COUNTIFS(tbl_Finance[Job Number],C282&amp;"",tbl_Finance[Cost Centre],"ONSITE")&gt;0,"ONSITE ","")&amp;IF(COUNTIFS(tbl_Finance[Job Number],C282&amp;"",tbl_Finance[Cost Centre],"PRODUCTION")&gt;0,"PRODUCTION ","")&amp;IF(COUNTIFS(tbl_Finance[Job Number],C282&amp;"",tbl_Finance[Cost Centre],"VIDEO")&gt;0,"VIDEO ","")&amp;IF(COUNTIFS(tbl_Finance[Job Number],C282&amp;"",tbl_Finance[Cost Centre],"INTEGRATION")&gt;0,"INTEGRATION ","")&amp;IF(COUNTIFS(tbl_Finance[Job Number],C282&amp;"",tbl_Finance[Cost Centre],"CONSULTING")&gt;0,"CONSULTING ","")&amp;IF(COUNTIFS(tbl_Finance[Job Number],C282&amp;"",tbl_Finance[Cost Centre],"CTS")&gt;0,"CTS ",""))," ",", ")))</f>
        <v/>
      </c>
      <c r="L282" s="22" t="n"/>
      <c r="M282" s="24" t="n"/>
      <c r="N282" s="25">
        <f>IF(M282="","",IF(AND(LEFT(M282,4)&lt;&gt;"http",set_RMSBase=""),"",HYPERLINK(IF(LEFT(M282,4)="http",M282,set_RMSBase&amp;M282),"Open opportunity")))</f>
        <v/>
      </c>
      <c r="O282" s="25">
        <f>IF(C282="","",C282)</f>
        <v/>
      </c>
      <c r="P282" s="24" t="n"/>
      <c r="Q282" s="26" t="n"/>
      <c r="R282" s="27">
        <f>IF(C282="","",H282+N(Q282))</f>
        <v/>
      </c>
      <c r="S282" s="29">
        <f>IFERROR(Q282/R282,"")</f>
        <v/>
      </c>
      <c r="T282" s="26" t="n"/>
      <c r="U282" s="26" t="n"/>
      <c r="V282" s="27">
        <f>IF(C282="","",N(T282)+N(U282))</f>
        <v/>
      </c>
      <c r="W282" s="27">
        <f>IF(C282="","",H282-V282)</f>
        <v/>
      </c>
      <c r="X282" s="29">
        <f>IFERROR(W282/H282,"")</f>
        <v/>
      </c>
      <c r="Y282" s="64" t="n"/>
      <c r="Z282" s="64" t="n"/>
      <c r="AA282" s="64" t="n"/>
      <c r="AB282" s="64" t="n"/>
      <c r="AC282" s="64" t="n"/>
      <c r="AD282" s="24" t="n"/>
    </row>
    <row r="283" ht="15" customHeight="1">
      <c r="A283" s="63">
        <f>IF(C283="","",IFERROR(IF(SUMPRODUCT(MAX((tbl_Finance[Job Number]=C283&amp;"")*(tbl_Finance[Xero Invoice No]&lt;&gt;"")*tbl_Finance[Date]))=0,"",SUMPRODUCT(MAX((tbl_Finance[Job Number]=C283&amp;"")*(tbl_Finance[Xero Invoice No]&lt;&gt;"")*tbl_Finance[Date]))),""))</f>
        <v/>
      </c>
      <c r="B283" s="25">
        <f>IF(C283="","",IF(COUNTIFS(tbl_Finance[Job Number],C283&amp;"",tbl_Finance[Xero Invoice No],"&lt;&gt;")=0,"",IFERROR(IF(COUNTIFS(tbl_Finance[Job Number],C283&amp;"",tbl_Finance[Xero Invoice No],LOOKUP(2,1/((tbl_Finance[Job Number]=C283&amp;"")*(tbl_Finance[Xero Invoice No]&lt;&gt;"")),tbl_Finance[Xero Invoice No]))=COUNTIFS(tbl_Finance[Job Number],C283&amp;"",tbl_Finance[Xero Invoice No],"&lt;&gt;"),LOOKUP(2,1/((tbl_Finance[Job Number]=C283&amp;"")*(tbl_Finance[Xero Invoice No]&lt;&gt;"")),tbl_Finance[Xero Invoice No]),LOOKUP(2,1/((tbl_Finance[Job Number]=C283&amp;"")*(tbl_Finance[Xero Invoice No]&lt;&gt;"")),tbl_Finance[Xero Invoice No])&amp;" +more"),"")))</f>
        <v/>
      </c>
      <c r="C283" s="24" t="n"/>
      <c r="D283" s="25">
        <f>IF(C283="","",IF(COUNTIF(lst_Jobs,C283&amp;"")&gt;0,"OK","CHECK"))</f>
        <v/>
      </c>
      <c r="E283" s="25">
        <f>IF(C283="","",IFERROR(INDEX(lst_JobName,MATCH(C283&amp;"",lst_Jobs,0)),""))</f>
        <v/>
      </c>
      <c r="F283" s="25">
        <f>IF(C283="","",IFERROR(INDEX(tbl_Finance[Client],MATCH(C283&amp;"",tbl_Finance[Job Number],0)),""))</f>
        <v/>
      </c>
      <c r="G283" s="28">
        <f>IF(C283="","",COUNTIFS(tbl_Finance[Job Number],C283&amp;"",tbl_Finance[Ex GST],"&lt;&gt;"))</f>
        <v/>
      </c>
      <c r="H283" s="27">
        <f>IF(C283="","",SUMIFS(tbl_Finance[Ex GST],tbl_Finance[Job Number],C283&amp;""))</f>
        <v/>
      </c>
      <c r="I283" s="27">
        <f>IF(C283="","",SUMIFS(tbl_Finance[Ex GST],tbl_Finance[Job Number],C283&amp;"",tbl_Finance[Xero Invoice No],"&lt;&gt;"))</f>
        <v/>
      </c>
      <c r="J283" s="27">
        <f>IF(C283="","",H283-I283)</f>
        <v/>
      </c>
      <c r="K283" s="25">
        <f>IF(C283="","",IF(G283=0,"not invoiced yet",SUBSTITUTE(TRIM(IF(COUNTIFS(tbl_Finance[Job Number],C283&amp;"",tbl_Finance[Cost Centre],"ONSITE")&gt;0,"ONSITE ","")&amp;IF(COUNTIFS(tbl_Finance[Job Number],C283&amp;"",tbl_Finance[Cost Centre],"PRODUCTION")&gt;0,"PRODUCTION ","")&amp;IF(COUNTIFS(tbl_Finance[Job Number],C283&amp;"",tbl_Finance[Cost Centre],"VIDEO")&gt;0,"VIDEO ","")&amp;IF(COUNTIFS(tbl_Finance[Job Number],C283&amp;"",tbl_Finance[Cost Centre],"INTEGRATION")&gt;0,"INTEGRATION ","")&amp;IF(COUNTIFS(tbl_Finance[Job Number],C283&amp;"",tbl_Finance[Cost Centre],"CONSULTING")&gt;0,"CONSULTING ","")&amp;IF(COUNTIFS(tbl_Finance[Job Number],C283&amp;"",tbl_Finance[Cost Centre],"CTS")&gt;0,"CTS ",""))," ",", ")))</f>
        <v/>
      </c>
      <c r="L283" s="22" t="n"/>
      <c r="M283" s="24" t="n"/>
      <c r="N283" s="25">
        <f>IF(M283="","",IF(AND(LEFT(M283,4)&lt;&gt;"http",set_RMSBase=""),"",HYPERLINK(IF(LEFT(M283,4)="http",M283,set_RMSBase&amp;M283),"Open opportunity")))</f>
        <v/>
      </c>
      <c r="O283" s="25">
        <f>IF(C283="","",C283)</f>
        <v/>
      </c>
      <c r="P283" s="24" t="n"/>
      <c r="Q283" s="26" t="n"/>
      <c r="R283" s="27">
        <f>IF(C283="","",H283+N(Q283))</f>
        <v/>
      </c>
      <c r="S283" s="29">
        <f>IFERROR(Q283/R283,"")</f>
        <v/>
      </c>
      <c r="T283" s="26" t="n"/>
      <c r="U283" s="26" t="n"/>
      <c r="V283" s="27">
        <f>IF(C283="","",N(T283)+N(U283))</f>
        <v/>
      </c>
      <c r="W283" s="27">
        <f>IF(C283="","",H283-V283)</f>
        <v/>
      </c>
      <c r="X283" s="29">
        <f>IFERROR(W283/H283,"")</f>
        <v/>
      </c>
      <c r="Y283" s="64" t="n"/>
      <c r="Z283" s="64" t="n"/>
      <c r="AA283" s="64" t="n"/>
      <c r="AB283" s="64" t="n"/>
      <c r="AC283" s="64" t="n"/>
      <c r="AD283" s="24" t="n"/>
    </row>
    <row r="284" ht="15" customHeight="1">
      <c r="A284" s="63">
        <f>IF(C284="","",IFERROR(IF(SUMPRODUCT(MAX((tbl_Finance[Job Number]=C284&amp;"")*(tbl_Finance[Xero Invoice No]&lt;&gt;"")*tbl_Finance[Date]))=0,"",SUMPRODUCT(MAX((tbl_Finance[Job Number]=C284&amp;"")*(tbl_Finance[Xero Invoice No]&lt;&gt;"")*tbl_Finance[Date]))),""))</f>
        <v/>
      </c>
      <c r="B284" s="25">
        <f>IF(C284="","",IF(COUNTIFS(tbl_Finance[Job Number],C284&amp;"",tbl_Finance[Xero Invoice No],"&lt;&gt;")=0,"",IFERROR(IF(COUNTIFS(tbl_Finance[Job Number],C284&amp;"",tbl_Finance[Xero Invoice No],LOOKUP(2,1/((tbl_Finance[Job Number]=C284&amp;"")*(tbl_Finance[Xero Invoice No]&lt;&gt;"")),tbl_Finance[Xero Invoice No]))=COUNTIFS(tbl_Finance[Job Number],C284&amp;"",tbl_Finance[Xero Invoice No],"&lt;&gt;"),LOOKUP(2,1/((tbl_Finance[Job Number]=C284&amp;"")*(tbl_Finance[Xero Invoice No]&lt;&gt;"")),tbl_Finance[Xero Invoice No]),LOOKUP(2,1/((tbl_Finance[Job Number]=C284&amp;"")*(tbl_Finance[Xero Invoice No]&lt;&gt;"")),tbl_Finance[Xero Invoice No])&amp;" +more"),"")))</f>
        <v/>
      </c>
      <c r="C284" s="24" t="n"/>
      <c r="D284" s="25">
        <f>IF(C284="","",IF(COUNTIF(lst_Jobs,C284&amp;"")&gt;0,"OK","CHECK"))</f>
        <v/>
      </c>
      <c r="E284" s="25">
        <f>IF(C284="","",IFERROR(INDEX(lst_JobName,MATCH(C284&amp;"",lst_Jobs,0)),""))</f>
        <v/>
      </c>
      <c r="F284" s="25">
        <f>IF(C284="","",IFERROR(INDEX(tbl_Finance[Client],MATCH(C284&amp;"",tbl_Finance[Job Number],0)),""))</f>
        <v/>
      </c>
      <c r="G284" s="28">
        <f>IF(C284="","",COUNTIFS(tbl_Finance[Job Number],C284&amp;"",tbl_Finance[Ex GST],"&lt;&gt;"))</f>
        <v/>
      </c>
      <c r="H284" s="27">
        <f>IF(C284="","",SUMIFS(tbl_Finance[Ex GST],tbl_Finance[Job Number],C284&amp;""))</f>
        <v/>
      </c>
      <c r="I284" s="27">
        <f>IF(C284="","",SUMIFS(tbl_Finance[Ex GST],tbl_Finance[Job Number],C284&amp;"",tbl_Finance[Xero Invoice No],"&lt;&gt;"))</f>
        <v/>
      </c>
      <c r="J284" s="27">
        <f>IF(C284="","",H284-I284)</f>
        <v/>
      </c>
      <c r="K284" s="25">
        <f>IF(C284="","",IF(G284=0,"not invoiced yet",SUBSTITUTE(TRIM(IF(COUNTIFS(tbl_Finance[Job Number],C284&amp;"",tbl_Finance[Cost Centre],"ONSITE")&gt;0,"ONSITE ","")&amp;IF(COUNTIFS(tbl_Finance[Job Number],C284&amp;"",tbl_Finance[Cost Centre],"PRODUCTION")&gt;0,"PRODUCTION ","")&amp;IF(COUNTIFS(tbl_Finance[Job Number],C284&amp;"",tbl_Finance[Cost Centre],"VIDEO")&gt;0,"VIDEO ","")&amp;IF(COUNTIFS(tbl_Finance[Job Number],C284&amp;"",tbl_Finance[Cost Centre],"INTEGRATION")&gt;0,"INTEGRATION ","")&amp;IF(COUNTIFS(tbl_Finance[Job Number],C284&amp;"",tbl_Finance[Cost Centre],"CONSULTING")&gt;0,"CONSULTING ","")&amp;IF(COUNTIFS(tbl_Finance[Job Number],C284&amp;"",tbl_Finance[Cost Centre],"CTS")&gt;0,"CTS ",""))," ",", ")))</f>
        <v/>
      </c>
      <c r="L284" s="22" t="n"/>
      <c r="M284" s="24" t="n"/>
      <c r="N284" s="25">
        <f>IF(M284="","",IF(AND(LEFT(M284,4)&lt;&gt;"http",set_RMSBase=""),"",HYPERLINK(IF(LEFT(M284,4)="http",M284,set_RMSBase&amp;M284),"Open opportunity")))</f>
        <v/>
      </c>
      <c r="O284" s="25">
        <f>IF(C284="","",C284)</f>
        <v/>
      </c>
      <c r="P284" s="24" t="n"/>
      <c r="Q284" s="26" t="n"/>
      <c r="R284" s="27">
        <f>IF(C284="","",H284+N(Q284))</f>
        <v/>
      </c>
      <c r="S284" s="29">
        <f>IFERROR(Q284/R284,"")</f>
        <v/>
      </c>
      <c r="T284" s="26" t="n"/>
      <c r="U284" s="26" t="n"/>
      <c r="V284" s="27">
        <f>IF(C284="","",N(T284)+N(U284))</f>
        <v/>
      </c>
      <c r="W284" s="27">
        <f>IF(C284="","",H284-V284)</f>
        <v/>
      </c>
      <c r="X284" s="29">
        <f>IFERROR(W284/H284,"")</f>
        <v/>
      </c>
      <c r="Y284" s="64" t="n"/>
      <c r="Z284" s="64" t="n"/>
      <c r="AA284" s="64" t="n"/>
      <c r="AB284" s="64" t="n"/>
      <c r="AC284" s="64" t="n"/>
      <c r="AD284" s="24" t="n"/>
    </row>
    <row r="285" ht="15" customHeight="1">
      <c r="A285" s="63">
        <f>IF(C285="","",IFERROR(IF(SUMPRODUCT(MAX((tbl_Finance[Job Number]=C285&amp;"")*(tbl_Finance[Xero Invoice No]&lt;&gt;"")*tbl_Finance[Date]))=0,"",SUMPRODUCT(MAX((tbl_Finance[Job Number]=C285&amp;"")*(tbl_Finance[Xero Invoice No]&lt;&gt;"")*tbl_Finance[Date]))),""))</f>
        <v/>
      </c>
      <c r="B285" s="25">
        <f>IF(C285="","",IF(COUNTIFS(tbl_Finance[Job Number],C285&amp;"",tbl_Finance[Xero Invoice No],"&lt;&gt;")=0,"",IFERROR(IF(COUNTIFS(tbl_Finance[Job Number],C285&amp;"",tbl_Finance[Xero Invoice No],LOOKUP(2,1/((tbl_Finance[Job Number]=C285&amp;"")*(tbl_Finance[Xero Invoice No]&lt;&gt;"")),tbl_Finance[Xero Invoice No]))=COUNTIFS(tbl_Finance[Job Number],C285&amp;"",tbl_Finance[Xero Invoice No],"&lt;&gt;"),LOOKUP(2,1/((tbl_Finance[Job Number]=C285&amp;"")*(tbl_Finance[Xero Invoice No]&lt;&gt;"")),tbl_Finance[Xero Invoice No]),LOOKUP(2,1/((tbl_Finance[Job Number]=C285&amp;"")*(tbl_Finance[Xero Invoice No]&lt;&gt;"")),tbl_Finance[Xero Invoice No])&amp;" +more"),"")))</f>
        <v/>
      </c>
      <c r="C285" s="24" t="n"/>
      <c r="D285" s="25">
        <f>IF(C285="","",IF(COUNTIF(lst_Jobs,C285&amp;"")&gt;0,"OK","CHECK"))</f>
        <v/>
      </c>
      <c r="E285" s="25">
        <f>IF(C285="","",IFERROR(INDEX(lst_JobName,MATCH(C285&amp;"",lst_Jobs,0)),""))</f>
        <v/>
      </c>
      <c r="F285" s="25">
        <f>IF(C285="","",IFERROR(INDEX(tbl_Finance[Client],MATCH(C285&amp;"",tbl_Finance[Job Number],0)),""))</f>
        <v/>
      </c>
      <c r="G285" s="28">
        <f>IF(C285="","",COUNTIFS(tbl_Finance[Job Number],C285&amp;"",tbl_Finance[Ex GST],"&lt;&gt;"))</f>
        <v/>
      </c>
      <c r="H285" s="27">
        <f>IF(C285="","",SUMIFS(tbl_Finance[Ex GST],tbl_Finance[Job Number],C285&amp;""))</f>
        <v/>
      </c>
      <c r="I285" s="27">
        <f>IF(C285="","",SUMIFS(tbl_Finance[Ex GST],tbl_Finance[Job Number],C285&amp;"",tbl_Finance[Xero Invoice No],"&lt;&gt;"))</f>
        <v/>
      </c>
      <c r="J285" s="27">
        <f>IF(C285="","",H285-I285)</f>
        <v/>
      </c>
      <c r="K285" s="25">
        <f>IF(C285="","",IF(G285=0,"not invoiced yet",SUBSTITUTE(TRIM(IF(COUNTIFS(tbl_Finance[Job Number],C285&amp;"",tbl_Finance[Cost Centre],"ONSITE")&gt;0,"ONSITE ","")&amp;IF(COUNTIFS(tbl_Finance[Job Number],C285&amp;"",tbl_Finance[Cost Centre],"PRODUCTION")&gt;0,"PRODUCTION ","")&amp;IF(COUNTIFS(tbl_Finance[Job Number],C285&amp;"",tbl_Finance[Cost Centre],"VIDEO")&gt;0,"VIDEO ","")&amp;IF(COUNTIFS(tbl_Finance[Job Number],C285&amp;"",tbl_Finance[Cost Centre],"INTEGRATION")&gt;0,"INTEGRATION ","")&amp;IF(COUNTIFS(tbl_Finance[Job Number],C285&amp;"",tbl_Finance[Cost Centre],"CONSULTING")&gt;0,"CONSULTING ","")&amp;IF(COUNTIFS(tbl_Finance[Job Number],C285&amp;"",tbl_Finance[Cost Centre],"CTS")&gt;0,"CTS ",""))," ",", ")))</f>
        <v/>
      </c>
      <c r="L285" s="22" t="n"/>
      <c r="M285" s="24" t="n"/>
      <c r="N285" s="25">
        <f>IF(M285="","",IF(AND(LEFT(M285,4)&lt;&gt;"http",set_RMSBase=""),"",HYPERLINK(IF(LEFT(M285,4)="http",M285,set_RMSBase&amp;M285),"Open opportunity")))</f>
        <v/>
      </c>
      <c r="O285" s="25">
        <f>IF(C285="","",C285)</f>
        <v/>
      </c>
      <c r="P285" s="24" t="n"/>
      <c r="Q285" s="26" t="n"/>
      <c r="R285" s="27">
        <f>IF(C285="","",H285+N(Q285))</f>
        <v/>
      </c>
      <c r="S285" s="29">
        <f>IFERROR(Q285/R285,"")</f>
        <v/>
      </c>
      <c r="T285" s="26" t="n"/>
      <c r="U285" s="26" t="n"/>
      <c r="V285" s="27">
        <f>IF(C285="","",N(T285)+N(U285))</f>
        <v/>
      </c>
      <c r="W285" s="27">
        <f>IF(C285="","",H285-V285)</f>
        <v/>
      </c>
      <c r="X285" s="29">
        <f>IFERROR(W285/H285,"")</f>
        <v/>
      </c>
      <c r="Y285" s="64" t="n"/>
      <c r="Z285" s="64" t="n"/>
      <c r="AA285" s="64" t="n"/>
      <c r="AB285" s="64" t="n"/>
      <c r="AC285" s="64" t="n"/>
      <c r="AD285" s="24" t="n"/>
    </row>
    <row r="286" ht="15" customHeight="1">
      <c r="A286" s="63">
        <f>IF(C286="","",IFERROR(IF(SUMPRODUCT(MAX((tbl_Finance[Job Number]=C286&amp;"")*(tbl_Finance[Xero Invoice No]&lt;&gt;"")*tbl_Finance[Date]))=0,"",SUMPRODUCT(MAX((tbl_Finance[Job Number]=C286&amp;"")*(tbl_Finance[Xero Invoice No]&lt;&gt;"")*tbl_Finance[Date]))),""))</f>
        <v/>
      </c>
      <c r="B286" s="25">
        <f>IF(C286="","",IF(COUNTIFS(tbl_Finance[Job Number],C286&amp;"",tbl_Finance[Xero Invoice No],"&lt;&gt;")=0,"",IFERROR(IF(COUNTIFS(tbl_Finance[Job Number],C286&amp;"",tbl_Finance[Xero Invoice No],LOOKUP(2,1/((tbl_Finance[Job Number]=C286&amp;"")*(tbl_Finance[Xero Invoice No]&lt;&gt;"")),tbl_Finance[Xero Invoice No]))=COUNTIFS(tbl_Finance[Job Number],C286&amp;"",tbl_Finance[Xero Invoice No],"&lt;&gt;"),LOOKUP(2,1/((tbl_Finance[Job Number]=C286&amp;"")*(tbl_Finance[Xero Invoice No]&lt;&gt;"")),tbl_Finance[Xero Invoice No]),LOOKUP(2,1/((tbl_Finance[Job Number]=C286&amp;"")*(tbl_Finance[Xero Invoice No]&lt;&gt;"")),tbl_Finance[Xero Invoice No])&amp;" +more"),"")))</f>
        <v/>
      </c>
      <c r="C286" s="24" t="n"/>
      <c r="D286" s="25">
        <f>IF(C286="","",IF(COUNTIF(lst_Jobs,C286&amp;"")&gt;0,"OK","CHECK"))</f>
        <v/>
      </c>
      <c r="E286" s="25">
        <f>IF(C286="","",IFERROR(INDEX(lst_JobName,MATCH(C286&amp;"",lst_Jobs,0)),""))</f>
        <v/>
      </c>
      <c r="F286" s="25">
        <f>IF(C286="","",IFERROR(INDEX(tbl_Finance[Client],MATCH(C286&amp;"",tbl_Finance[Job Number],0)),""))</f>
        <v/>
      </c>
      <c r="G286" s="28">
        <f>IF(C286="","",COUNTIFS(tbl_Finance[Job Number],C286&amp;"",tbl_Finance[Ex GST],"&lt;&gt;"))</f>
        <v/>
      </c>
      <c r="H286" s="27">
        <f>IF(C286="","",SUMIFS(tbl_Finance[Ex GST],tbl_Finance[Job Number],C286&amp;""))</f>
        <v/>
      </c>
      <c r="I286" s="27">
        <f>IF(C286="","",SUMIFS(tbl_Finance[Ex GST],tbl_Finance[Job Number],C286&amp;"",tbl_Finance[Xero Invoice No],"&lt;&gt;"))</f>
        <v/>
      </c>
      <c r="J286" s="27">
        <f>IF(C286="","",H286-I286)</f>
        <v/>
      </c>
      <c r="K286" s="25">
        <f>IF(C286="","",IF(G286=0,"not invoiced yet",SUBSTITUTE(TRIM(IF(COUNTIFS(tbl_Finance[Job Number],C286&amp;"",tbl_Finance[Cost Centre],"ONSITE")&gt;0,"ONSITE ","")&amp;IF(COUNTIFS(tbl_Finance[Job Number],C286&amp;"",tbl_Finance[Cost Centre],"PRODUCTION")&gt;0,"PRODUCTION ","")&amp;IF(COUNTIFS(tbl_Finance[Job Number],C286&amp;"",tbl_Finance[Cost Centre],"VIDEO")&gt;0,"VIDEO ","")&amp;IF(COUNTIFS(tbl_Finance[Job Number],C286&amp;"",tbl_Finance[Cost Centre],"INTEGRATION")&gt;0,"INTEGRATION ","")&amp;IF(COUNTIFS(tbl_Finance[Job Number],C286&amp;"",tbl_Finance[Cost Centre],"CONSULTING")&gt;0,"CONSULTING ","")&amp;IF(COUNTIFS(tbl_Finance[Job Number],C286&amp;"",tbl_Finance[Cost Centre],"CTS")&gt;0,"CTS ",""))," ",", ")))</f>
        <v/>
      </c>
      <c r="L286" s="22" t="n"/>
      <c r="M286" s="24" t="n"/>
      <c r="N286" s="25">
        <f>IF(M286="","",IF(AND(LEFT(M286,4)&lt;&gt;"http",set_RMSBase=""),"",HYPERLINK(IF(LEFT(M286,4)="http",M286,set_RMSBase&amp;M286),"Open opportunity")))</f>
        <v/>
      </c>
      <c r="O286" s="25">
        <f>IF(C286="","",C286)</f>
        <v/>
      </c>
      <c r="P286" s="24" t="n"/>
      <c r="Q286" s="26" t="n"/>
      <c r="R286" s="27">
        <f>IF(C286="","",H286+N(Q286))</f>
        <v/>
      </c>
      <c r="S286" s="29">
        <f>IFERROR(Q286/R286,"")</f>
        <v/>
      </c>
      <c r="T286" s="26" t="n"/>
      <c r="U286" s="26" t="n"/>
      <c r="V286" s="27">
        <f>IF(C286="","",N(T286)+N(U286))</f>
        <v/>
      </c>
      <c r="W286" s="27">
        <f>IF(C286="","",H286-V286)</f>
        <v/>
      </c>
      <c r="X286" s="29">
        <f>IFERROR(W286/H286,"")</f>
        <v/>
      </c>
      <c r="Y286" s="64" t="n"/>
      <c r="Z286" s="64" t="n"/>
      <c r="AA286" s="64" t="n"/>
      <c r="AB286" s="64" t="n"/>
      <c r="AC286" s="64" t="n"/>
      <c r="AD286" s="24" t="n"/>
    </row>
    <row r="287" ht="15" customHeight="1">
      <c r="A287" s="63">
        <f>IF(C287="","",IFERROR(IF(SUMPRODUCT(MAX((tbl_Finance[Job Number]=C287&amp;"")*(tbl_Finance[Xero Invoice No]&lt;&gt;"")*tbl_Finance[Date]))=0,"",SUMPRODUCT(MAX((tbl_Finance[Job Number]=C287&amp;"")*(tbl_Finance[Xero Invoice No]&lt;&gt;"")*tbl_Finance[Date]))),""))</f>
        <v/>
      </c>
      <c r="B287" s="25">
        <f>IF(C287="","",IF(COUNTIFS(tbl_Finance[Job Number],C287&amp;"",tbl_Finance[Xero Invoice No],"&lt;&gt;")=0,"",IFERROR(IF(COUNTIFS(tbl_Finance[Job Number],C287&amp;"",tbl_Finance[Xero Invoice No],LOOKUP(2,1/((tbl_Finance[Job Number]=C287&amp;"")*(tbl_Finance[Xero Invoice No]&lt;&gt;"")),tbl_Finance[Xero Invoice No]))=COUNTIFS(tbl_Finance[Job Number],C287&amp;"",tbl_Finance[Xero Invoice No],"&lt;&gt;"),LOOKUP(2,1/((tbl_Finance[Job Number]=C287&amp;"")*(tbl_Finance[Xero Invoice No]&lt;&gt;"")),tbl_Finance[Xero Invoice No]),LOOKUP(2,1/((tbl_Finance[Job Number]=C287&amp;"")*(tbl_Finance[Xero Invoice No]&lt;&gt;"")),tbl_Finance[Xero Invoice No])&amp;" +more"),"")))</f>
        <v/>
      </c>
      <c r="C287" s="24" t="n"/>
      <c r="D287" s="25">
        <f>IF(C287="","",IF(COUNTIF(lst_Jobs,C287&amp;"")&gt;0,"OK","CHECK"))</f>
        <v/>
      </c>
      <c r="E287" s="25">
        <f>IF(C287="","",IFERROR(INDEX(lst_JobName,MATCH(C287&amp;"",lst_Jobs,0)),""))</f>
        <v/>
      </c>
      <c r="F287" s="25">
        <f>IF(C287="","",IFERROR(INDEX(tbl_Finance[Client],MATCH(C287&amp;"",tbl_Finance[Job Number],0)),""))</f>
        <v/>
      </c>
      <c r="G287" s="28">
        <f>IF(C287="","",COUNTIFS(tbl_Finance[Job Number],C287&amp;"",tbl_Finance[Ex GST],"&lt;&gt;"))</f>
        <v/>
      </c>
      <c r="H287" s="27">
        <f>IF(C287="","",SUMIFS(tbl_Finance[Ex GST],tbl_Finance[Job Number],C287&amp;""))</f>
        <v/>
      </c>
      <c r="I287" s="27">
        <f>IF(C287="","",SUMIFS(tbl_Finance[Ex GST],tbl_Finance[Job Number],C287&amp;"",tbl_Finance[Xero Invoice No],"&lt;&gt;"))</f>
        <v/>
      </c>
      <c r="J287" s="27">
        <f>IF(C287="","",H287-I287)</f>
        <v/>
      </c>
      <c r="K287" s="25">
        <f>IF(C287="","",IF(G287=0,"not invoiced yet",SUBSTITUTE(TRIM(IF(COUNTIFS(tbl_Finance[Job Number],C287&amp;"",tbl_Finance[Cost Centre],"ONSITE")&gt;0,"ONSITE ","")&amp;IF(COUNTIFS(tbl_Finance[Job Number],C287&amp;"",tbl_Finance[Cost Centre],"PRODUCTION")&gt;0,"PRODUCTION ","")&amp;IF(COUNTIFS(tbl_Finance[Job Number],C287&amp;"",tbl_Finance[Cost Centre],"VIDEO")&gt;0,"VIDEO ","")&amp;IF(COUNTIFS(tbl_Finance[Job Number],C287&amp;"",tbl_Finance[Cost Centre],"INTEGRATION")&gt;0,"INTEGRATION ","")&amp;IF(COUNTIFS(tbl_Finance[Job Number],C287&amp;"",tbl_Finance[Cost Centre],"CONSULTING")&gt;0,"CONSULTING ","")&amp;IF(COUNTIFS(tbl_Finance[Job Number],C287&amp;"",tbl_Finance[Cost Centre],"CTS")&gt;0,"CTS ",""))," ",", ")))</f>
        <v/>
      </c>
      <c r="L287" s="22" t="n"/>
      <c r="M287" s="24" t="n"/>
      <c r="N287" s="25">
        <f>IF(M287="","",IF(AND(LEFT(M287,4)&lt;&gt;"http",set_RMSBase=""),"",HYPERLINK(IF(LEFT(M287,4)="http",M287,set_RMSBase&amp;M287),"Open opportunity")))</f>
        <v/>
      </c>
      <c r="O287" s="25">
        <f>IF(C287="","",C287)</f>
        <v/>
      </c>
      <c r="P287" s="24" t="n"/>
      <c r="Q287" s="26" t="n"/>
      <c r="R287" s="27">
        <f>IF(C287="","",H287+N(Q287))</f>
        <v/>
      </c>
      <c r="S287" s="29">
        <f>IFERROR(Q287/R287,"")</f>
        <v/>
      </c>
      <c r="T287" s="26" t="n"/>
      <c r="U287" s="26" t="n"/>
      <c r="V287" s="27">
        <f>IF(C287="","",N(T287)+N(U287))</f>
        <v/>
      </c>
      <c r="W287" s="27">
        <f>IF(C287="","",H287-V287)</f>
        <v/>
      </c>
      <c r="X287" s="29">
        <f>IFERROR(W287/H287,"")</f>
        <v/>
      </c>
      <c r="Y287" s="64" t="n"/>
      <c r="Z287" s="64" t="n"/>
      <c r="AA287" s="64" t="n"/>
      <c r="AB287" s="64" t="n"/>
      <c r="AC287" s="64" t="n"/>
      <c r="AD287" s="24" t="n"/>
    </row>
    <row r="288" ht="15" customHeight="1">
      <c r="A288" s="63">
        <f>IF(C288="","",IFERROR(IF(SUMPRODUCT(MAX((tbl_Finance[Job Number]=C288&amp;"")*(tbl_Finance[Xero Invoice No]&lt;&gt;"")*tbl_Finance[Date]))=0,"",SUMPRODUCT(MAX((tbl_Finance[Job Number]=C288&amp;"")*(tbl_Finance[Xero Invoice No]&lt;&gt;"")*tbl_Finance[Date]))),""))</f>
        <v/>
      </c>
      <c r="B288" s="25">
        <f>IF(C288="","",IF(COUNTIFS(tbl_Finance[Job Number],C288&amp;"",tbl_Finance[Xero Invoice No],"&lt;&gt;")=0,"",IFERROR(IF(COUNTIFS(tbl_Finance[Job Number],C288&amp;"",tbl_Finance[Xero Invoice No],LOOKUP(2,1/((tbl_Finance[Job Number]=C288&amp;"")*(tbl_Finance[Xero Invoice No]&lt;&gt;"")),tbl_Finance[Xero Invoice No]))=COUNTIFS(tbl_Finance[Job Number],C288&amp;"",tbl_Finance[Xero Invoice No],"&lt;&gt;"),LOOKUP(2,1/((tbl_Finance[Job Number]=C288&amp;"")*(tbl_Finance[Xero Invoice No]&lt;&gt;"")),tbl_Finance[Xero Invoice No]),LOOKUP(2,1/((tbl_Finance[Job Number]=C288&amp;"")*(tbl_Finance[Xero Invoice No]&lt;&gt;"")),tbl_Finance[Xero Invoice No])&amp;" +more"),"")))</f>
        <v/>
      </c>
      <c r="C288" s="24" t="n"/>
      <c r="D288" s="25">
        <f>IF(C288="","",IF(COUNTIF(lst_Jobs,C288&amp;"")&gt;0,"OK","CHECK"))</f>
        <v/>
      </c>
      <c r="E288" s="25">
        <f>IF(C288="","",IFERROR(INDEX(lst_JobName,MATCH(C288&amp;"",lst_Jobs,0)),""))</f>
        <v/>
      </c>
      <c r="F288" s="25">
        <f>IF(C288="","",IFERROR(INDEX(tbl_Finance[Client],MATCH(C288&amp;"",tbl_Finance[Job Number],0)),""))</f>
        <v/>
      </c>
      <c r="G288" s="28">
        <f>IF(C288="","",COUNTIFS(tbl_Finance[Job Number],C288&amp;"",tbl_Finance[Ex GST],"&lt;&gt;"))</f>
        <v/>
      </c>
      <c r="H288" s="27">
        <f>IF(C288="","",SUMIFS(tbl_Finance[Ex GST],tbl_Finance[Job Number],C288&amp;""))</f>
        <v/>
      </c>
      <c r="I288" s="27">
        <f>IF(C288="","",SUMIFS(tbl_Finance[Ex GST],tbl_Finance[Job Number],C288&amp;"",tbl_Finance[Xero Invoice No],"&lt;&gt;"))</f>
        <v/>
      </c>
      <c r="J288" s="27">
        <f>IF(C288="","",H288-I288)</f>
        <v/>
      </c>
      <c r="K288" s="25">
        <f>IF(C288="","",IF(G288=0,"not invoiced yet",SUBSTITUTE(TRIM(IF(COUNTIFS(tbl_Finance[Job Number],C288&amp;"",tbl_Finance[Cost Centre],"ONSITE")&gt;0,"ONSITE ","")&amp;IF(COUNTIFS(tbl_Finance[Job Number],C288&amp;"",tbl_Finance[Cost Centre],"PRODUCTION")&gt;0,"PRODUCTION ","")&amp;IF(COUNTIFS(tbl_Finance[Job Number],C288&amp;"",tbl_Finance[Cost Centre],"VIDEO")&gt;0,"VIDEO ","")&amp;IF(COUNTIFS(tbl_Finance[Job Number],C288&amp;"",tbl_Finance[Cost Centre],"INTEGRATION")&gt;0,"INTEGRATION ","")&amp;IF(COUNTIFS(tbl_Finance[Job Number],C288&amp;"",tbl_Finance[Cost Centre],"CONSULTING")&gt;0,"CONSULTING ","")&amp;IF(COUNTIFS(tbl_Finance[Job Number],C288&amp;"",tbl_Finance[Cost Centre],"CTS")&gt;0,"CTS ",""))," ",", ")))</f>
        <v/>
      </c>
      <c r="L288" s="22" t="n"/>
      <c r="M288" s="24" t="n"/>
      <c r="N288" s="25">
        <f>IF(M288="","",IF(AND(LEFT(M288,4)&lt;&gt;"http",set_RMSBase=""),"",HYPERLINK(IF(LEFT(M288,4)="http",M288,set_RMSBase&amp;M288),"Open opportunity")))</f>
        <v/>
      </c>
      <c r="O288" s="25">
        <f>IF(C288="","",C288)</f>
        <v/>
      </c>
      <c r="P288" s="24" t="n"/>
      <c r="Q288" s="26" t="n"/>
      <c r="R288" s="27">
        <f>IF(C288="","",H288+N(Q288))</f>
        <v/>
      </c>
      <c r="S288" s="29">
        <f>IFERROR(Q288/R288,"")</f>
        <v/>
      </c>
      <c r="T288" s="26" t="n"/>
      <c r="U288" s="26" t="n"/>
      <c r="V288" s="27">
        <f>IF(C288="","",N(T288)+N(U288))</f>
        <v/>
      </c>
      <c r="W288" s="27">
        <f>IF(C288="","",H288-V288)</f>
        <v/>
      </c>
      <c r="X288" s="29">
        <f>IFERROR(W288/H288,"")</f>
        <v/>
      </c>
      <c r="Y288" s="64" t="n"/>
      <c r="Z288" s="64" t="n"/>
      <c r="AA288" s="64" t="n"/>
      <c r="AB288" s="64" t="n"/>
      <c r="AC288" s="64" t="n"/>
      <c r="AD288" s="24" t="n"/>
    </row>
    <row r="289" ht="15" customHeight="1">
      <c r="A289" s="63">
        <f>IF(C289="","",IFERROR(IF(SUMPRODUCT(MAX((tbl_Finance[Job Number]=C289&amp;"")*(tbl_Finance[Xero Invoice No]&lt;&gt;"")*tbl_Finance[Date]))=0,"",SUMPRODUCT(MAX((tbl_Finance[Job Number]=C289&amp;"")*(tbl_Finance[Xero Invoice No]&lt;&gt;"")*tbl_Finance[Date]))),""))</f>
        <v/>
      </c>
      <c r="B289" s="25">
        <f>IF(C289="","",IF(COUNTIFS(tbl_Finance[Job Number],C289&amp;"",tbl_Finance[Xero Invoice No],"&lt;&gt;")=0,"",IFERROR(IF(COUNTIFS(tbl_Finance[Job Number],C289&amp;"",tbl_Finance[Xero Invoice No],LOOKUP(2,1/((tbl_Finance[Job Number]=C289&amp;"")*(tbl_Finance[Xero Invoice No]&lt;&gt;"")),tbl_Finance[Xero Invoice No]))=COUNTIFS(tbl_Finance[Job Number],C289&amp;"",tbl_Finance[Xero Invoice No],"&lt;&gt;"),LOOKUP(2,1/((tbl_Finance[Job Number]=C289&amp;"")*(tbl_Finance[Xero Invoice No]&lt;&gt;"")),tbl_Finance[Xero Invoice No]),LOOKUP(2,1/((tbl_Finance[Job Number]=C289&amp;"")*(tbl_Finance[Xero Invoice No]&lt;&gt;"")),tbl_Finance[Xero Invoice No])&amp;" +more"),"")))</f>
        <v/>
      </c>
      <c r="C289" s="24" t="n"/>
      <c r="D289" s="25">
        <f>IF(C289="","",IF(COUNTIF(lst_Jobs,C289&amp;"")&gt;0,"OK","CHECK"))</f>
        <v/>
      </c>
      <c r="E289" s="25">
        <f>IF(C289="","",IFERROR(INDEX(lst_JobName,MATCH(C289&amp;"",lst_Jobs,0)),""))</f>
        <v/>
      </c>
      <c r="F289" s="25">
        <f>IF(C289="","",IFERROR(INDEX(tbl_Finance[Client],MATCH(C289&amp;"",tbl_Finance[Job Number],0)),""))</f>
        <v/>
      </c>
      <c r="G289" s="28">
        <f>IF(C289="","",COUNTIFS(tbl_Finance[Job Number],C289&amp;"",tbl_Finance[Ex GST],"&lt;&gt;"))</f>
        <v/>
      </c>
      <c r="H289" s="27">
        <f>IF(C289="","",SUMIFS(tbl_Finance[Ex GST],tbl_Finance[Job Number],C289&amp;""))</f>
        <v/>
      </c>
      <c r="I289" s="27">
        <f>IF(C289="","",SUMIFS(tbl_Finance[Ex GST],tbl_Finance[Job Number],C289&amp;"",tbl_Finance[Xero Invoice No],"&lt;&gt;"))</f>
        <v/>
      </c>
      <c r="J289" s="27">
        <f>IF(C289="","",H289-I289)</f>
        <v/>
      </c>
      <c r="K289" s="25">
        <f>IF(C289="","",IF(G289=0,"not invoiced yet",SUBSTITUTE(TRIM(IF(COUNTIFS(tbl_Finance[Job Number],C289&amp;"",tbl_Finance[Cost Centre],"ONSITE")&gt;0,"ONSITE ","")&amp;IF(COUNTIFS(tbl_Finance[Job Number],C289&amp;"",tbl_Finance[Cost Centre],"PRODUCTION")&gt;0,"PRODUCTION ","")&amp;IF(COUNTIFS(tbl_Finance[Job Number],C289&amp;"",tbl_Finance[Cost Centre],"VIDEO")&gt;0,"VIDEO ","")&amp;IF(COUNTIFS(tbl_Finance[Job Number],C289&amp;"",tbl_Finance[Cost Centre],"INTEGRATION")&gt;0,"INTEGRATION ","")&amp;IF(COUNTIFS(tbl_Finance[Job Number],C289&amp;"",tbl_Finance[Cost Centre],"CONSULTING")&gt;0,"CONSULTING ","")&amp;IF(COUNTIFS(tbl_Finance[Job Number],C289&amp;"",tbl_Finance[Cost Centre],"CTS")&gt;0,"CTS ",""))," ",", ")))</f>
        <v/>
      </c>
      <c r="L289" s="22" t="n"/>
      <c r="M289" s="24" t="n"/>
      <c r="N289" s="25">
        <f>IF(M289="","",IF(AND(LEFT(M289,4)&lt;&gt;"http",set_RMSBase=""),"",HYPERLINK(IF(LEFT(M289,4)="http",M289,set_RMSBase&amp;M289),"Open opportunity")))</f>
        <v/>
      </c>
      <c r="O289" s="25">
        <f>IF(C289="","",C289)</f>
        <v/>
      </c>
      <c r="P289" s="24" t="n"/>
      <c r="Q289" s="26" t="n"/>
      <c r="R289" s="27">
        <f>IF(C289="","",H289+N(Q289))</f>
        <v/>
      </c>
      <c r="S289" s="29">
        <f>IFERROR(Q289/R289,"")</f>
        <v/>
      </c>
      <c r="T289" s="26" t="n"/>
      <c r="U289" s="26" t="n"/>
      <c r="V289" s="27">
        <f>IF(C289="","",N(T289)+N(U289))</f>
        <v/>
      </c>
      <c r="W289" s="27">
        <f>IF(C289="","",H289-V289)</f>
        <v/>
      </c>
      <c r="X289" s="29">
        <f>IFERROR(W289/H289,"")</f>
        <v/>
      </c>
      <c r="Y289" s="64" t="n"/>
      <c r="Z289" s="64" t="n"/>
      <c r="AA289" s="64" t="n"/>
      <c r="AB289" s="64" t="n"/>
      <c r="AC289" s="64" t="n"/>
      <c r="AD289" s="24" t="n"/>
    </row>
    <row r="290" ht="15" customHeight="1">
      <c r="A290" s="63">
        <f>IF(C290="","",IFERROR(IF(SUMPRODUCT(MAX((tbl_Finance[Job Number]=C290&amp;"")*(tbl_Finance[Xero Invoice No]&lt;&gt;"")*tbl_Finance[Date]))=0,"",SUMPRODUCT(MAX((tbl_Finance[Job Number]=C290&amp;"")*(tbl_Finance[Xero Invoice No]&lt;&gt;"")*tbl_Finance[Date]))),""))</f>
        <v/>
      </c>
      <c r="B290" s="25">
        <f>IF(C290="","",IF(COUNTIFS(tbl_Finance[Job Number],C290&amp;"",tbl_Finance[Xero Invoice No],"&lt;&gt;")=0,"",IFERROR(IF(COUNTIFS(tbl_Finance[Job Number],C290&amp;"",tbl_Finance[Xero Invoice No],LOOKUP(2,1/((tbl_Finance[Job Number]=C290&amp;"")*(tbl_Finance[Xero Invoice No]&lt;&gt;"")),tbl_Finance[Xero Invoice No]))=COUNTIFS(tbl_Finance[Job Number],C290&amp;"",tbl_Finance[Xero Invoice No],"&lt;&gt;"),LOOKUP(2,1/((tbl_Finance[Job Number]=C290&amp;"")*(tbl_Finance[Xero Invoice No]&lt;&gt;"")),tbl_Finance[Xero Invoice No]),LOOKUP(2,1/((tbl_Finance[Job Number]=C290&amp;"")*(tbl_Finance[Xero Invoice No]&lt;&gt;"")),tbl_Finance[Xero Invoice No])&amp;" +more"),"")))</f>
        <v/>
      </c>
      <c r="C290" s="24" t="n"/>
      <c r="D290" s="25">
        <f>IF(C290="","",IF(COUNTIF(lst_Jobs,C290&amp;"")&gt;0,"OK","CHECK"))</f>
        <v/>
      </c>
      <c r="E290" s="25">
        <f>IF(C290="","",IFERROR(INDEX(lst_JobName,MATCH(C290&amp;"",lst_Jobs,0)),""))</f>
        <v/>
      </c>
      <c r="F290" s="25">
        <f>IF(C290="","",IFERROR(INDEX(tbl_Finance[Client],MATCH(C290&amp;"",tbl_Finance[Job Number],0)),""))</f>
        <v/>
      </c>
      <c r="G290" s="28">
        <f>IF(C290="","",COUNTIFS(tbl_Finance[Job Number],C290&amp;"",tbl_Finance[Ex GST],"&lt;&gt;"))</f>
        <v/>
      </c>
      <c r="H290" s="27">
        <f>IF(C290="","",SUMIFS(tbl_Finance[Ex GST],tbl_Finance[Job Number],C290&amp;""))</f>
        <v/>
      </c>
      <c r="I290" s="27">
        <f>IF(C290="","",SUMIFS(tbl_Finance[Ex GST],tbl_Finance[Job Number],C290&amp;"",tbl_Finance[Xero Invoice No],"&lt;&gt;"))</f>
        <v/>
      </c>
      <c r="J290" s="27">
        <f>IF(C290="","",H290-I290)</f>
        <v/>
      </c>
      <c r="K290" s="25">
        <f>IF(C290="","",IF(G290=0,"not invoiced yet",SUBSTITUTE(TRIM(IF(COUNTIFS(tbl_Finance[Job Number],C290&amp;"",tbl_Finance[Cost Centre],"ONSITE")&gt;0,"ONSITE ","")&amp;IF(COUNTIFS(tbl_Finance[Job Number],C290&amp;"",tbl_Finance[Cost Centre],"PRODUCTION")&gt;0,"PRODUCTION ","")&amp;IF(COUNTIFS(tbl_Finance[Job Number],C290&amp;"",tbl_Finance[Cost Centre],"VIDEO")&gt;0,"VIDEO ","")&amp;IF(COUNTIFS(tbl_Finance[Job Number],C290&amp;"",tbl_Finance[Cost Centre],"INTEGRATION")&gt;0,"INTEGRATION ","")&amp;IF(COUNTIFS(tbl_Finance[Job Number],C290&amp;"",tbl_Finance[Cost Centre],"CONSULTING")&gt;0,"CONSULTING ","")&amp;IF(COUNTIFS(tbl_Finance[Job Number],C290&amp;"",tbl_Finance[Cost Centre],"CTS")&gt;0,"CTS ",""))," ",", ")))</f>
        <v/>
      </c>
      <c r="L290" s="22" t="n"/>
      <c r="M290" s="24" t="n"/>
      <c r="N290" s="25">
        <f>IF(M290="","",IF(AND(LEFT(M290,4)&lt;&gt;"http",set_RMSBase=""),"",HYPERLINK(IF(LEFT(M290,4)="http",M290,set_RMSBase&amp;M290),"Open opportunity")))</f>
        <v/>
      </c>
      <c r="O290" s="25">
        <f>IF(C290="","",C290)</f>
        <v/>
      </c>
      <c r="P290" s="24" t="n"/>
      <c r="Q290" s="26" t="n"/>
      <c r="R290" s="27">
        <f>IF(C290="","",H290+N(Q290))</f>
        <v/>
      </c>
      <c r="S290" s="29">
        <f>IFERROR(Q290/R290,"")</f>
        <v/>
      </c>
      <c r="T290" s="26" t="n"/>
      <c r="U290" s="26" t="n"/>
      <c r="V290" s="27">
        <f>IF(C290="","",N(T290)+N(U290))</f>
        <v/>
      </c>
      <c r="W290" s="27">
        <f>IF(C290="","",H290-V290)</f>
        <v/>
      </c>
      <c r="X290" s="29">
        <f>IFERROR(W290/H290,"")</f>
        <v/>
      </c>
      <c r="Y290" s="64" t="n"/>
      <c r="Z290" s="64" t="n"/>
      <c r="AA290" s="64" t="n"/>
      <c r="AB290" s="64" t="n"/>
      <c r="AC290" s="64" t="n"/>
      <c r="AD290" s="24" t="n"/>
    </row>
    <row r="291" ht="15" customHeight="1">
      <c r="A291" s="63">
        <f>IF(C291="","",IFERROR(IF(SUMPRODUCT(MAX((tbl_Finance[Job Number]=C291&amp;"")*(tbl_Finance[Xero Invoice No]&lt;&gt;"")*tbl_Finance[Date]))=0,"",SUMPRODUCT(MAX((tbl_Finance[Job Number]=C291&amp;"")*(tbl_Finance[Xero Invoice No]&lt;&gt;"")*tbl_Finance[Date]))),""))</f>
        <v/>
      </c>
      <c r="B291" s="25">
        <f>IF(C291="","",IF(COUNTIFS(tbl_Finance[Job Number],C291&amp;"",tbl_Finance[Xero Invoice No],"&lt;&gt;")=0,"",IFERROR(IF(COUNTIFS(tbl_Finance[Job Number],C291&amp;"",tbl_Finance[Xero Invoice No],LOOKUP(2,1/((tbl_Finance[Job Number]=C291&amp;"")*(tbl_Finance[Xero Invoice No]&lt;&gt;"")),tbl_Finance[Xero Invoice No]))=COUNTIFS(tbl_Finance[Job Number],C291&amp;"",tbl_Finance[Xero Invoice No],"&lt;&gt;"),LOOKUP(2,1/((tbl_Finance[Job Number]=C291&amp;"")*(tbl_Finance[Xero Invoice No]&lt;&gt;"")),tbl_Finance[Xero Invoice No]),LOOKUP(2,1/((tbl_Finance[Job Number]=C291&amp;"")*(tbl_Finance[Xero Invoice No]&lt;&gt;"")),tbl_Finance[Xero Invoice No])&amp;" +more"),"")))</f>
        <v/>
      </c>
      <c r="C291" s="24" t="n"/>
      <c r="D291" s="25">
        <f>IF(C291="","",IF(COUNTIF(lst_Jobs,C291&amp;"")&gt;0,"OK","CHECK"))</f>
        <v/>
      </c>
      <c r="E291" s="25">
        <f>IF(C291="","",IFERROR(INDEX(lst_JobName,MATCH(C291&amp;"",lst_Jobs,0)),""))</f>
        <v/>
      </c>
      <c r="F291" s="25">
        <f>IF(C291="","",IFERROR(INDEX(tbl_Finance[Client],MATCH(C291&amp;"",tbl_Finance[Job Number],0)),""))</f>
        <v/>
      </c>
      <c r="G291" s="28">
        <f>IF(C291="","",COUNTIFS(tbl_Finance[Job Number],C291&amp;"",tbl_Finance[Ex GST],"&lt;&gt;"))</f>
        <v/>
      </c>
      <c r="H291" s="27">
        <f>IF(C291="","",SUMIFS(tbl_Finance[Ex GST],tbl_Finance[Job Number],C291&amp;""))</f>
        <v/>
      </c>
      <c r="I291" s="27">
        <f>IF(C291="","",SUMIFS(tbl_Finance[Ex GST],tbl_Finance[Job Number],C291&amp;"",tbl_Finance[Xero Invoice No],"&lt;&gt;"))</f>
        <v/>
      </c>
      <c r="J291" s="27">
        <f>IF(C291="","",H291-I291)</f>
        <v/>
      </c>
      <c r="K291" s="25">
        <f>IF(C291="","",IF(G291=0,"not invoiced yet",SUBSTITUTE(TRIM(IF(COUNTIFS(tbl_Finance[Job Number],C291&amp;"",tbl_Finance[Cost Centre],"ONSITE")&gt;0,"ONSITE ","")&amp;IF(COUNTIFS(tbl_Finance[Job Number],C291&amp;"",tbl_Finance[Cost Centre],"PRODUCTION")&gt;0,"PRODUCTION ","")&amp;IF(COUNTIFS(tbl_Finance[Job Number],C291&amp;"",tbl_Finance[Cost Centre],"VIDEO")&gt;0,"VIDEO ","")&amp;IF(COUNTIFS(tbl_Finance[Job Number],C291&amp;"",tbl_Finance[Cost Centre],"INTEGRATION")&gt;0,"INTEGRATION ","")&amp;IF(COUNTIFS(tbl_Finance[Job Number],C291&amp;"",tbl_Finance[Cost Centre],"CONSULTING")&gt;0,"CONSULTING ","")&amp;IF(COUNTIFS(tbl_Finance[Job Number],C291&amp;"",tbl_Finance[Cost Centre],"CTS")&gt;0,"CTS ",""))," ",", ")))</f>
        <v/>
      </c>
      <c r="L291" s="22" t="n"/>
      <c r="M291" s="24" t="n"/>
      <c r="N291" s="25">
        <f>IF(M291="","",IF(AND(LEFT(M291,4)&lt;&gt;"http",set_RMSBase=""),"",HYPERLINK(IF(LEFT(M291,4)="http",M291,set_RMSBase&amp;M291),"Open opportunity")))</f>
        <v/>
      </c>
      <c r="O291" s="25">
        <f>IF(C291="","",C291)</f>
        <v/>
      </c>
      <c r="P291" s="24" t="n"/>
      <c r="Q291" s="26" t="n"/>
      <c r="R291" s="27">
        <f>IF(C291="","",H291+N(Q291))</f>
        <v/>
      </c>
      <c r="S291" s="29">
        <f>IFERROR(Q291/R291,"")</f>
        <v/>
      </c>
      <c r="T291" s="26" t="n"/>
      <c r="U291" s="26" t="n"/>
      <c r="V291" s="27">
        <f>IF(C291="","",N(T291)+N(U291))</f>
        <v/>
      </c>
      <c r="W291" s="27">
        <f>IF(C291="","",H291-V291)</f>
        <v/>
      </c>
      <c r="X291" s="29">
        <f>IFERROR(W291/H291,"")</f>
        <v/>
      </c>
      <c r="Y291" s="64" t="n"/>
      <c r="Z291" s="64" t="n"/>
      <c r="AA291" s="64" t="n"/>
      <c r="AB291" s="64" t="n"/>
      <c r="AC291" s="64" t="n"/>
      <c r="AD291" s="24" t="n"/>
    </row>
    <row r="292" ht="15" customHeight="1">
      <c r="A292" s="63">
        <f>IF(C292="","",IFERROR(IF(SUMPRODUCT(MAX((tbl_Finance[Job Number]=C292&amp;"")*(tbl_Finance[Xero Invoice No]&lt;&gt;"")*tbl_Finance[Date]))=0,"",SUMPRODUCT(MAX((tbl_Finance[Job Number]=C292&amp;"")*(tbl_Finance[Xero Invoice No]&lt;&gt;"")*tbl_Finance[Date]))),""))</f>
        <v/>
      </c>
      <c r="B292" s="25">
        <f>IF(C292="","",IF(COUNTIFS(tbl_Finance[Job Number],C292&amp;"",tbl_Finance[Xero Invoice No],"&lt;&gt;")=0,"",IFERROR(IF(COUNTIFS(tbl_Finance[Job Number],C292&amp;"",tbl_Finance[Xero Invoice No],LOOKUP(2,1/((tbl_Finance[Job Number]=C292&amp;"")*(tbl_Finance[Xero Invoice No]&lt;&gt;"")),tbl_Finance[Xero Invoice No]))=COUNTIFS(tbl_Finance[Job Number],C292&amp;"",tbl_Finance[Xero Invoice No],"&lt;&gt;"),LOOKUP(2,1/((tbl_Finance[Job Number]=C292&amp;"")*(tbl_Finance[Xero Invoice No]&lt;&gt;"")),tbl_Finance[Xero Invoice No]),LOOKUP(2,1/((tbl_Finance[Job Number]=C292&amp;"")*(tbl_Finance[Xero Invoice No]&lt;&gt;"")),tbl_Finance[Xero Invoice No])&amp;" +more"),"")))</f>
        <v/>
      </c>
      <c r="C292" s="24" t="n"/>
      <c r="D292" s="25">
        <f>IF(C292="","",IF(COUNTIF(lst_Jobs,C292&amp;"")&gt;0,"OK","CHECK"))</f>
        <v/>
      </c>
      <c r="E292" s="25">
        <f>IF(C292="","",IFERROR(INDEX(lst_JobName,MATCH(C292&amp;"",lst_Jobs,0)),""))</f>
        <v/>
      </c>
      <c r="F292" s="25">
        <f>IF(C292="","",IFERROR(INDEX(tbl_Finance[Client],MATCH(C292&amp;"",tbl_Finance[Job Number],0)),""))</f>
        <v/>
      </c>
      <c r="G292" s="28">
        <f>IF(C292="","",COUNTIFS(tbl_Finance[Job Number],C292&amp;"",tbl_Finance[Ex GST],"&lt;&gt;"))</f>
        <v/>
      </c>
      <c r="H292" s="27">
        <f>IF(C292="","",SUMIFS(tbl_Finance[Ex GST],tbl_Finance[Job Number],C292&amp;""))</f>
        <v/>
      </c>
      <c r="I292" s="27">
        <f>IF(C292="","",SUMIFS(tbl_Finance[Ex GST],tbl_Finance[Job Number],C292&amp;"",tbl_Finance[Xero Invoice No],"&lt;&gt;"))</f>
        <v/>
      </c>
      <c r="J292" s="27">
        <f>IF(C292="","",H292-I292)</f>
        <v/>
      </c>
      <c r="K292" s="25">
        <f>IF(C292="","",IF(G292=0,"not invoiced yet",SUBSTITUTE(TRIM(IF(COUNTIFS(tbl_Finance[Job Number],C292&amp;"",tbl_Finance[Cost Centre],"ONSITE")&gt;0,"ONSITE ","")&amp;IF(COUNTIFS(tbl_Finance[Job Number],C292&amp;"",tbl_Finance[Cost Centre],"PRODUCTION")&gt;0,"PRODUCTION ","")&amp;IF(COUNTIFS(tbl_Finance[Job Number],C292&amp;"",tbl_Finance[Cost Centre],"VIDEO")&gt;0,"VIDEO ","")&amp;IF(COUNTIFS(tbl_Finance[Job Number],C292&amp;"",tbl_Finance[Cost Centre],"INTEGRATION")&gt;0,"INTEGRATION ","")&amp;IF(COUNTIFS(tbl_Finance[Job Number],C292&amp;"",tbl_Finance[Cost Centre],"CONSULTING")&gt;0,"CONSULTING ","")&amp;IF(COUNTIFS(tbl_Finance[Job Number],C292&amp;"",tbl_Finance[Cost Centre],"CTS")&gt;0,"CTS ",""))," ",", ")))</f>
        <v/>
      </c>
      <c r="L292" s="22" t="n"/>
      <c r="M292" s="24" t="n"/>
      <c r="N292" s="25">
        <f>IF(M292="","",IF(AND(LEFT(M292,4)&lt;&gt;"http",set_RMSBase=""),"",HYPERLINK(IF(LEFT(M292,4)="http",M292,set_RMSBase&amp;M292),"Open opportunity")))</f>
        <v/>
      </c>
      <c r="O292" s="25">
        <f>IF(C292="","",C292)</f>
        <v/>
      </c>
      <c r="P292" s="24" t="n"/>
      <c r="Q292" s="26" t="n"/>
      <c r="R292" s="27">
        <f>IF(C292="","",H292+N(Q292))</f>
        <v/>
      </c>
      <c r="S292" s="29">
        <f>IFERROR(Q292/R292,"")</f>
        <v/>
      </c>
      <c r="T292" s="26" t="n"/>
      <c r="U292" s="26" t="n"/>
      <c r="V292" s="27">
        <f>IF(C292="","",N(T292)+N(U292))</f>
        <v/>
      </c>
      <c r="W292" s="27">
        <f>IF(C292="","",H292-V292)</f>
        <v/>
      </c>
      <c r="X292" s="29">
        <f>IFERROR(W292/H292,"")</f>
        <v/>
      </c>
      <c r="Y292" s="64" t="n"/>
      <c r="Z292" s="64" t="n"/>
      <c r="AA292" s="64" t="n"/>
      <c r="AB292" s="64" t="n"/>
      <c r="AC292" s="64" t="n"/>
      <c r="AD292" s="24" t="n"/>
    </row>
    <row r="293" ht="15" customHeight="1">
      <c r="A293" s="63">
        <f>IF(C293="","",IFERROR(IF(SUMPRODUCT(MAX((tbl_Finance[Job Number]=C293&amp;"")*(tbl_Finance[Xero Invoice No]&lt;&gt;"")*tbl_Finance[Date]))=0,"",SUMPRODUCT(MAX((tbl_Finance[Job Number]=C293&amp;"")*(tbl_Finance[Xero Invoice No]&lt;&gt;"")*tbl_Finance[Date]))),""))</f>
        <v/>
      </c>
      <c r="B293" s="25">
        <f>IF(C293="","",IF(COUNTIFS(tbl_Finance[Job Number],C293&amp;"",tbl_Finance[Xero Invoice No],"&lt;&gt;")=0,"",IFERROR(IF(COUNTIFS(tbl_Finance[Job Number],C293&amp;"",tbl_Finance[Xero Invoice No],LOOKUP(2,1/((tbl_Finance[Job Number]=C293&amp;"")*(tbl_Finance[Xero Invoice No]&lt;&gt;"")),tbl_Finance[Xero Invoice No]))=COUNTIFS(tbl_Finance[Job Number],C293&amp;"",tbl_Finance[Xero Invoice No],"&lt;&gt;"),LOOKUP(2,1/((tbl_Finance[Job Number]=C293&amp;"")*(tbl_Finance[Xero Invoice No]&lt;&gt;"")),tbl_Finance[Xero Invoice No]),LOOKUP(2,1/((tbl_Finance[Job Number]=C293&amp;"")*(tbl_Finance[Xero Invoice No]&lt;&gt;"")),tbl_Finance[Xero Invoice No])&amp;" +more"),"")))</f>
        <v/>
      </c>
      <c r="C293" s="24" t="n"/>
      <c r="D293" s="25">
        <f>IF(C293="","",IF(COUNTIF(lst_Jobs,C293&amp;"")&gt;0,"OK","CHECK"))</f>
        <v/>
      </c>
      <c r="E293" s="25">
        <f>IF(C293="","",IFERROR(INDEX(lst_JobName,MATCH(C293&amp;"",lst_Jobs,0)),""))</f>
        <v/>
      </c>
      <c r="F293" s="25">
        <f>IF(C293="","",IFERROR(INDEX(tbl_Finance[Client],MATCH(C293&amp;"",tbl_Finance[Job Number],0)),""))</f>
        <v/>
      </c>
      <c r="G293" s="28">
        <f>IF(C293="","",COUNTIFS(tbl_Finance[Job Number],C293&amp;"",tbl_Finance[Ex GST],"&lt;&gt;"))</f>
        <v/>
      </c>
      <c r="H293" s="27">
        <f>IF(C293="","",SUMIFS(tbl_Finance[Ex GST],tbl_Finance[Job Number],C293&amp;""))</f>
        <v/>
      </c>
      <c r="I293" s="27">
        <f>IF(C293="","",SUMIFS(tbl_Finance[Ex GST],tbl_Finance[Job Number],C293&amp;"",tbl_Finance[Xero Invoice No],"&lt;&gt;"))</f>
        <v/>
      </c>
      <c r="J293" s="27">
        <f>IF(C293="","",H293-I293)</f>
        <v/>
      </c>
      <c r="K293" s="25">
        <f>IF(C293="","",IF(G293=0,"not invoiced yet",SUBSTITUTE(TRIM(IF(COUNTIFS(tbl_Finance[Job Number],C293&amp;"",tbl_Finance[Cost Centre],"ONSITE")&gt;0,"ONSITE ","")&amp;IF(COUNTIFS(tbl_Finance[Job Number],C293&amp;"",tbl_Finance[Cost Centre],"PRODUCTION")&gt;0,"PRODUCTION ","")&amp;IF(COUNTIFS(tbl_Finance[Job Number],C293&amp;"",tbl_Finance[Cost Centre],"VIDEO")&gt;0,"VIDEO ","")&amp;IF(COUNTIFS(tbl_Finance[Job Number],C293&amp;"",tbl_Finance[Cost Centre],"INTEGRATION")&gt;0,"INTEGRATION ","")&amp;IF(COUNTIFS(tbl_Finance[Job Number],C293&amp;"",tbl_Finance[Cost Centre],"CONSULTING")&gt;0,"CONSULTING ","")&amp;IF(COUNTIFS(tbl_Finance[Job Number],C293&amp;"",tbl_Finance[Cost Centre],"CTS")&gt;0,"CTS ",""))," ",", ")))</f>
        <v/>
      </c>
      <c r="L293" s="22" t="n"/>
      <c r="M293" s="24" t="n"/>
      <c r="N293" s="25">
        <f>IF(M293="","",IF(AND(LEFT(M293,4)&lt;&gt;"http",set_RMSBase=""),"",HYPERLINK(IF(LEFT(M293,4)="http",M293,set_RMSBase&amp;M293),"Open opportunity")))</f>
        <v/>
      </c>
      <c r="O293" s="25">
        <f>IF(C293="","",C293)</f>
        <v/>
      </c>
      <c r="P293" s="24" t="n"/>
      <c r="Q293" s="26" t="n"/>
      <c r="R293" s="27">
        <f>IF(C293="","",H293+N(Q293))</f>
        <v/>
      </c>
      <c r="S293" s="29">
        <f>IFERROR(Q293/R293,"")</f>
        <v/>
      </c>
      <c r="T293" s="26" t="n"/>
      <c r="U293" s="26" t="n"/>
      <c r="V293" s="27">
        <f>IF(C293="","",N(T293)+N(U293))</f>
        <v/>
      </c>
      <c r="W293" s="27">
        <f>IF(C293="","",H293-V293)</f>
        <v/>
      </c>
      <c r="X293" s="29">
        <f>IFERROR(W293/H293,"")</f>
        <v/>
      </c>
      <c r="Y293" s="64" t="n"/>
      <c r="Z293" s="64" t="n"/>
      <c r="AA293" s="64" t="n"/>
      <c r="AB293" s="64" t="n"/>
      <c r="AC293" s="64" t="n"/>
      <c r="AD293" s="24" t="n"/>
    </row>
    <row r="294" ht="15" customHeight="1">
      <c r="A294" s="63">
        <f>IF(C294="","",IFERROR(IF(SUMPRODUCT(MAX((tbl_Finance[Job Number]=C294&amp;"")*(tbl_Finance[Xero Invoice No]&lt;&gt;"")*tbl_Finance[Date]))=0,"",SUMPRODUCT(MAX((tbl_Finance[Job Number]=C294&amp;"")*(tbl_Finance[Xero Invoice No]&lt;&gt;"")*tbl_Finance[Date]))),""))</f>
        <v/>
      </c>
      <c r="B294" s="25">
        <f>IF(C294="","",IF(COUNTIFS(tbl_Finance[Job Number],C294&amp;"",tbl_Finance[Xero Invoice No],"&lt;&gt;")=0,"",IFERROR(IF(COUNTIFS(tbl_Finance[Job Number],C294&amp;"",tbl_Finance[Xero Invoice No],LOOKUP(2,1/((tbl_Finance[Job Number]=C294&amp;"")*(tbl_Finance[Xero Invoice No]&lt;&gt;"")),tbl_Finance[Xero Invoice No]))=COUNTIFS(tbl_Finance[Job Number],C294&amp;"",tbl_Finance[Xero Invoice No],"&lt;&gt;"),LOOKUP(2,1/((tbl_Finance[Job Number]=C294&amp;"")*(tbl_Finance[Xero Invoice No]&lt;&gt;"")),tbl_Finance[Xero Invoice No]),LOOKUP(2,1/((tbl_Finance[Job Number]=C294&amp;"")*(tbl_Finance[Xero Invoice No]&lt;&gt;"")),tbl_Finance[Xero Invoice No])&amp;" +more"),"")))</f>
        <v/>
      </c>
      <c r="C294" s="24" t="n"/>
      <c r="D294" s="25">
        <f>IF(C294="","",IF(COUNTIF(lst_Jobs,C294&amp;"")&gt;0,"OK","CHECK"))</f>
        <v/>
      </c>
      <c r="E294" s="25">
        <f>IF(C294="","",IFERROR(INDEX(lst_JobName,MATCH(C294&amp;"",lst_Jobs,0)),""))</f>
        <v/>
      </c>
      <c r="F294" s="25">
        <f>IF(C294="","",IFERROR(INDEX(tbl_Finance[Client],MATCH(C294&amp;"",tbl_Finance[Job Number],0)),""))</f>
        <v/>
      </c>
      <c r="G294" s="28">
        <f>IF(C294="","",COUNTIFS(tbl_Finance[Job Number],C294&amp;"",tbl_Finance[Ex GST],"&lt;&gt;"))</f>
        <v/>
      </c>
      <c r="H294" s="27">
        <f>IF(C294="","",SUMIFS(tbl_Finance[Ex GST],tbl_Finance[Job Number],C294&amp;""))</f>
        <v/>
      </c>
      <c r="I294" s="27">
        <f>IF(C294="","",SUMIFS(tbl_Finance[Ex GST],tbl_Finance[Job Number],C294&amp;"",tbl_Finance[Xero Invoice No],"&lt;&gt;"))</f>
        <v/>
      </c>
      <c r="J294" s="27">
        <f>IF(C294="","",H294-I294)</f>
        <v/>
      </c>
      <c r="K294" s="25">
        <f>IF(C294="","",IF(G294=0,"not invoiced yet",SUBSTITUTE(TRIM(IF(COUNTIFS(tbl_Finance[Job Number],C294&amp;"",tbl_Finance[Cost Centre],"ONSITE")&gt;0,"ONSITE ","")&amp;IF(COUNTIFS(tbl_Finance[Job Number],C294&amp;"",tbl_Finance[Cost Centre],"PRODUCTION")&gt;0,"PRODUCTION ","")&amp;IF(COUNTIFS(tbl_Finance[Job Number],C294&amp;"",tbl_Finance[Cost Centre],"VIDEO")&gt;0,"VIDEO ","")&amp;IF(COUNTIFS(tbl_Finance[Job Number],C294&amp;"",tbl_Finance[Cost Centre],"INTEGRATION")&gt;0,"INTEGRATION ","")&amp;IF(COUNTIFS(tbl_Finance[Job Number],C294&amp;"",tbl_Finance[Cost Centre],"CONSULTING")&gt;0,"CONSULTING ","")&amp;IF(COUNTIFS(tbl_Finance[Job Number],C294&amp;"",tbl_Finance[Cost Centre],"CTS")&gt;0,"CTS ",""))," ",", ")))</f>
        <v/>
      </c>
      <c r="L294" s="22" t="n"/>
      <c r="M294" s="24" t="n"/>
      <c r="N294" s="25">
        <f>IF(M294="","",IF(AND(LEFT(M294,4)&lt;&gt;"http",set_RMSBase=""),"",HYPERLINK(IF(LEFT(M294,4)="http",M294,set_RMSBase&amp;M294),"Open opportunity")))</f>
        <v/>
      </c>
      <c r="O294" s="25">
        <f>IF(C294="","",C294)</f>
        <v/>
      </c>
      <c r="P294" s="24" t="n"/>
      <c r="Q294" s="26" t="n"/>
      <c r="R294" s="27">
        <f>IF(C294="","",H294+N(Q294))</f>
        <v/>
      </c>
      <c r="S294" s="29">
        <f>IFERROR(Q294/R294,"")</f>
        <v/>
      </c>
      <c r="T294" s="26" t="n"/>
      <c r="U294" s="26" t="n"/>
      <c r="V294" s="27">
        <f>IF(C294="","",N(T294)+N(U294))</f>
        <v/>
      </c>
      <c r="W294" s="27">
        <f>IF(C294="","",H294-V294)</f>
        <v/>
      </c>
      <c r="X294" s="29">
        <f>IFERROR(W294/H294,"")</f>
        <v/>
      </c>
      <c r="Y294" s="64" t="n"/>
      <c r="Z294" s="64" t="n"/>
      <c r="AA294" s="64" t="n"/>
      <c r="AB294" s="64" t="n"/>
      <c r="AC294" s="64" t="n"/>
      <c r="AD294" s="24" t="n"/>
    </row>
    <row r="295" ht="15" customHeight="1">
      <c r="A295" s="63">
        <f>IF(C295="","",IFERROR(IF(SUMPRODUCT(MAX((tbl_Finance[Job Number]=C295&amp;"")*(tbl_Finance[Xero Invoice No]&lt;&gt;"")*tbl_Finance[Date]))=0,"",SUMPRODUCT(MAX((tbl_Finance[Job Number]=C295&amp;"")*(tbl_Finance[Xero Invoice No]&lt;&gt;"")*tbl_Finance[Date]))),""))</f>
        <v/>
      </c>
      <c r="B295" s="25">
        <f>IF(C295="","",IF(COUNTIFS(tbl_Finance[Job Number],C295&amp;"",tbl_Finance[Xero Invoice No],"&lt;&gt;")=0,"",IFERROR(IF(COUNTIFS(tbl_Finance[Job Number],C295&amp;"",tbl_Finance[Xero Invoice No],LOOKUP(2,1/((tbl_Finance[Job Number]=C295&amp;"")*(tbl_Finance[Xero Invoice No]&lt;&gt;"")),tbl_Finance[Xero Invoice No]))=COUNTIFS(tbl_Finance[Job Number],C295&amp;"",tbl_Finance[Xero Invoice No],"&lt;&gt;"),LOOKUP(2,1/((tbl_Finance[Job Number]=C295&amp;"")*(tbl_Finance[Xero Invoice No]&lt;&gt;"")),tbl_Finance[Xero Invoice No]),LOOKUP(2,1/((tbl_Finance[Job Number]=C295&amp;"")*(tbl_Finance[Xero Invoice No]&lt;&gt;"")),tbl_Finance[Xero Invoice No])&amp;" +more"),"")))</f>
        <v/>
      </c>
      <c r="C295" s="24" t="n"/>
      <c r="D295" s="25">
        <f>IF(C295="","",IF(COUNTIF(lst_Jobs,C295&amp;"")&gt;0,"OK","CHECK"))</f>
        <v/>
      </c>
      <c r="E295" s="25">
        <f>IF(C295="","",IFERROR(INDEX(lst_JobName,MATCH(C295&amp;"",lst_Jobs,0)),""))</f>
        <v/>
      </c>
      <c r="F295" s="25">
        <f>IF(C295="","",IFERROR(INDEX(tbl_Finance[Client],MATCH(C295&amp;"",tbl_Finance[Job Number],0)),""))</f>
        <v/>
      </c>
      <c r="G295" s="28">
        <f>IF(C295="","",COUNTIFS(tbl_Finance[Job Number],C295&amp;"",tbl_Finance[Ex GST],"&lt;&gt;"))</f>
        <v/>
      </c>
      <c r="H295" s="27">
        <f>IF(C295="","",SUMIFS(tbl_Finance[Ex GST],tbl_Finance[Job Number],C295&amp;""))</f>
        <v/>
      </c>
      <c r="I295" s="27">
        <f>IF(C295="","",SUMIFS(tbl_Finance[Ex GST],tbl_Finance[Job Number],C295&amp;"",tbl_Finance[Xero Invoice No],"&lt;&gt;"))</f>
        <v/>
      </c>
      <c r="J295" s="27">
        <f>IF(C295="","",H295-I295)</f>
        <v/>
      </c>
      <c r="K295" s="25">
        <f>IF(C295="","",IF(G295=0,"not invoiced yet",SUBSTITUTE(TRIM(IF(COUNTIFS(tbl_Finance[Job Number],C295&amp;"",tbl_Finance[Cost Centre],"ONSITE")&gt;0,"ONSITE ","")&amp;IF(COUNTIFS(tbl_Finance[Job Number],C295&amp;"",tbl_Finance[Cost Centre],"PRODUCTION")&gt;0,"PRODUCTION ","")&amp;IF(COUNTIFS(tbl_Finance[Job Number],C295&amp;"",tbl_Finance[Cost Centre],"VIDEO")&gt;0,"VIDEO ","")&amp;IF(COUNTIFS(tbl_Finance[Job Number],C295&amp;"",tbl_Finance[Cost Centre],"INTEGRATION")&gt;0,"INTEGRATION ","")&amp;IF(COUNTIFS(tbl_Finance[Job Number],C295&amp;"",tbl_Finance[Cost Centre],"CONSULTING")&gt;0,"CONSULTING ","")&amp;IF(COUNTIFS(tbl_Finance[Job Number],C295&amp;"",tbl_Finance[Cost Centre],"CTS")&gt;0,"CTS ",""))," ",", ")))</f>
        <v/>
      </c>
      <c r="L295" s="22" t="n"/>
      <c r="M295" s="24" t="n"/>
      <c r="N295" s="25">
        <f>IF(M295="","",IF(AND(LEFT(M295,4)&lt;&gt;"http",set_RMSBase=""),"",HYPERLINK(IF(LEFT(M295,4)="http",M295,set_RMSBase&amp;M295),"Open opportunity")))</f>
        <v/>
      </c>
      <c r="O295" s="25">
        <f>IF(C295="","",C295)</f>
        <v/>
      </c>
      <c r="P295" s="24" t="n"/>
      <c r="Q295" s="26" t="n"/>
      <c r="R295" s="27">
        <f>IF(C295="","",H295+N(Q295))</f>
        <v/>
      </c>
      <c r="S295" s="29">
        <f>IFERROR(Q295/R295,"")</f>
        <v/>
      </c>
      <c r="T295" s="26" t="n"/>
      <c r="U295" s="26" t="n"/>
      <c r="V295" s="27">
        <f>IF(C295="","",N(T295)+N(U295))</f>
        <v/>
      </c>
      <c r="W295" s="27">
        <f>IF(C295="","",H295-V295)</f>
        <v/>
      </c>
      <c r="X295" s="29">
        <f>IFERROR(W295/H295,"")</f>
        <v/>
      </c>
      <c r="Y295" s="64" t="n"/>
      <c r="Z295" s="64" t="n"/>
      <c r="AA295" s="64" t="n"/>
      <c r="AB295" s="64" t="n"/>
      <c r="AC295" s="64" t="n"/>
      <c r="AD295" s="24" t="n"/>
    </row>
    <row r="296" ht="15" customHeight="1">
      <c r="A296" s="63">
        <f>IF(C296="","",IFERROR(IF(SUMPRODUCT(MAX((tbl_Finance[Job Number]=C296&amp;"")*(tbl_Finance[Xero Invoice No]&lt;&gt;"")*tbl_Finance[Date]))=0,"",SUMPRODUCT(MAX((tbl_Finance[Job Number]=C296&amp;"")*(tbl_Finance[Xero Invoice No]&lt;&gt;"")*tbl_Finance[Date]))),""))</f>
        <v/>
      </c>
      <c r="B296" s="25">
        <f>IF(C296="","",IF(COUNTIFS(tbl_Finance[Job Number],C296&amp;"",tbl_Finance[Xero Invoice No],"&lt;&gt;")=0,"",IFERROR(IF(COUNTIFS(tbl_Finance[Job Number],C296&amp;"",tbl_Finance[Xero Invoice No],LOOKUP(2,1/((tbl_Finance[Job Number]=C296&amp;"")*(tbl_Finance[Xero Invoice No]&lt;&gt;"")),tbl_Finance[Xero Invoice No]))=COUNTIFS(tbl_Finance[Job Number],C296&amp;"",tbl_Finance[Xero Invoice No],"&lt;&gt;"),LOOKUP(2,1/((tbl_Finance[Job Number]=C296&amp;"")*(tbl_Finance[Xero Invoice No]&lt;&gt;"")),tbl_Finance[Xero Invoice No]),LOOKUP(2,1/((tbl_Finance[Job Number]=C296&amp;"")*(tbl_Finance[Xero Invoice No]&lt;&gt;"")),tbl_Finance[Xero Invoice No])&amp;" +more"),"")))</f>
        <v/>
      </c>
      <c r="C296" s="24" t="n"/>
      <c r="D296" s="25">
        <f>IF(C296="","",IF(COUNTIF(lst_Jobs,C296&amp;"")&gt;0,"OK","CHECK"))</f>
        <v/>
      </c>
      <c r="E296" s="25">
        <f>IF(C296="","",IFERROR(INDEX(lst_JobName,MATCH(C296&amp;"",lst_Jobs,0)),""))</f>
        <v/>
      </c>
      <c r="F296" s="25">
        <f>IF(C296="","",IFERROR(INDEX(tbl_Finance[Client],MATCH(C296&amp;"",tbl_Finance[Job Number],0)),""))</f>
        <v/>
      </c>
      <c r="G296" s="28">
        <f>IF(C296="","",COUNTIFS(tbl_Finance[Job Number],C296&amp;"",tbl_Finance[Ex GST],"&lt;&gt;"))</f>
        <v/>
      </c>
      <c r="H296" s="27">
        <f>IF(C296="","",SUMIFS(tbl_Finance[Ex GST],tbl_Finance[Job Number],C296&amp;""))</f>
        <v/>
      </c>
      <c r="I296" s="27">
        <f>IF(C296="","",SUMIFS(tbl_Finance[Ex GST],tbl_Finance[Job Number],C296&amp;"",tbl_Finance[Xero Invoice No],"&lt;&gt;"))</f>
        <v/>
      </c>
      <c r="J296" s="27">
        <f>IF(C296="","",H296-I296)</f>
        <v/>
      </c>
      <c r="K296" s="25">
        <f>IF(C296="","",IF(G296=0,"not invoiced yet",SUBSTITUTE(TRIM(IF(COUNTIFS(tbl_Finance[Job Number],C296&amp;"",tbl_Finance[Cost Centre],"ONSITE")&gt;0,"ONSITE ","")&amp;IF(COUNTIFS(tbl_Finance[Job Number],C296&amp;"",tbl_Finance[Cost Centre],"PRODUCTION")&gt;0,"PRODUCTION ","")&amp;IF(COUNTIFS(tbl_Finance[Job Number],C296&amp;"",tbl_Finance[Cost Centre],"VIDEO")&gt;0,"VIDEO ","")&amp;IF(COUNTIFS(tbl_Finance[Job Number],C296&amp;"",tbl_Finance[Cost Centre],"INTEGRATION")&gt;0,"INTEGRATION ","")&amp;IF(COUNTIFS(tbl_Finance[Job Number],C296&amp;"",tbl_Finance[Cost Centre],"CONSULTING")&gt;0,"CONSULTING ","")&amp;IF(COUNTIFS(tbl_Finance[Job Number],C296&amp;"",tbl_Finance[Cost Centre],"CTS")&gt;0,"CTS ",""))," ",", ")))</f>
        <v/>
      </c>
      <c r="L296" s="22" t="n"/>
      <c r="M296" s="24" t="n"/>
      <c r="N296" s="25">
        <f>IF(M296="","",IF(AND(LEFT(M296,4)&lt;&gt;"http",set_RMSBase=""),"",HYPERLINK(IF(LEFT(M296,4)="http",M296,set_RMSBase&amp;M296),"Open opportunity")))</f>
        <v/>
      </c>
      <c r="O296" s="25">
        <f>IF(C296="","",C296)</f>
        <v/>
      </c>
      <c r="P296" s="24" t="n"/>
      <c r="Q296" s="26" t="n"/>
      <c r="R296" s="27">
        <f>IF(C296="","",H296+N(Q296))</f>
        <v/>
      </c>
      <c r="S296" s="29">
        <f>IFERROR(Q296/R296,"")</f>
        <v/>
      </c>
      <c r="T296" s="26" t="n"/>
      <c r="U296" s="26" t="n"/>
      <c r="V296" s="27">
        <f>IF(C296="","",N(T296)+N(U296))</f>
        <v/>
      </c>
      <c r="W296" s="27">
        <f>IF(C296="","",H296-V296)</f>
        <v/>
      </c>
      <c r="X296" s="29">
        <f>IFERROR(W296/H296,"")</f>
        <v/>
      </c>
      <c r="Y296" s="64" t="n"/>
      <c r="Z296" s="64" t="n"/>
      <c r="AA296" s="64" t="n"/>
      <c r="AB296" s="64" t="n"/>
      <c r="AC296" s="64" t="n"/>
      <c r="AD296" s="24" t="n"/>
    </row>
    <row r="297" ht="15" customHeight="1">
      <c r="A297" s="63">
        <f>IF(C297="","",IFERROR(IF(SUMPRODUCT(MAX((tbl_Finance[Job Number]=C297&amp;"")*(tbl_Finance[Xero Invoice No]&lt;&gt;"")*tbl_Finance[Date]))=0,"",SUMPRODUCT(MAX((tbl_Finance[Job Number]=C297&amp;"")*(tbl_Finance[Xero Invoice No]&lt;&gt;"")*tbl_Finance[Date]))),""))</f>
        <v/>
      </c>
      <c r="B297" s="25">
        <f>IF(C297="","",IF(COUNTIFS(tbl_Finance[Job Number],C297&amp;"",tbl_Finance[Xero Invoice No],"&lt;&gt;")=0,"",IFERROR(IF(COUNTIFS(tbl_Finance[Job Number],C297&amp;"",tbl_Finance[Xero Invoice No],LOOKUP(2,1/((tbl_Finance[Job Number]=C297&amp;"")*(tbl_Finance[Xero Invoice No]&lt;&gt;"")),tbl_Finance[Xero Invoice No]))=COUNTIFS(tbl_Finance[Job Number],C297&amp;"",tbl_Finance[Xero Invoice No],"&lt;&gt;"),LOOKUP(2,1/((tbl_Finance[Job Number]=C297&amp;"")*(tbl_Finance[Xero Invoice No]&lt;&gt;"")),tbl_Finance[Xero Invoice No]),LOOKUP(2,1/((tbl_Finance[Job Number]=C297&amp;"")*(tbl_Finance[Xero Invoice No]&lt;&gt;"")),tbl_Finance[Xero Invoice No])&amp;" +more"),"")))</f>
        <v/>
      </c>
      <c r="C297" s="24" t="n"/>
      <c r="D297" s="25">
        <f>IF(C297="","",IF(COUNTIF(lst_Jobs,C297&amp;"")&gt;0,"OK","CHECK"))</f>
        <v/>
      </c>
      <c r="E297" s="25">
        <f>IF(C297="","",IFERROR(INDEX(lst_JobName,MATCH(C297&amp;"",lst_Jobs,0)),""))</f>
        <v/>
      </c>
      <c r="F297" s="25">
        <f>IF(C297="","",IFERROR(INDEX(tbl_Finance[Client],MATCH(C297&amp;"",tbl_Finance[Job Number],0)),""))</f>
        <v/>
      </c>
      <c r="G297" s="28">
        <f>IF(C297="","",COUNTIFS(tbl_Finance[Job Number],C297&amp;"",tbl_Finance[Ex GST],"&lt;&gt;"))</f>
        <v/>
      </c>
      <c r="H297" s="27">
        <f>IF(C297="","",SUMIFS(tbl_Finance[Ex GST],tbl_Finance[Job Number],C297&amp;""))</f>
        <v/>
      </c>
      <c r="I297" s="27">
        <f>IF(C297="","",SUMIFS(tbl_Finance[Ex GST],tbl_Finance[Job Number],C297&amp;"",tbl_Finance[Xero Invoice No],"&lt;&gt;"))</f>
        <v/>
      </c>
      <c r="J297" s="27">
        <f>IF(C297="","",H297-I297)</f>
        <v/>
      </c>
      <c r="K297" s="25">
        <f>IF(C297="","",IF(G297=0,"not invoiced yet",SUBSTITUTE(TRIM(IF(COUNTIFS(tbl_Finance[Job Number],C297&amp;"",tbl_Finance[Cost Centre],"ONSITE")&gt;0,"ONSITE ","")&amp;IF(COUNTIFS(tbl_Finance[Job Number],C297&amp;"",tbl_Finance[Cost Centre],"PRODUCTION")&gt;0,"PRODUCTION ","")&amp;IF(COUNTIFS(tbl_Finance[Job Number],C297&amp;"",tbl_Finance[Cost Centre],"VIDEO")&gt;0,"VIDEO ","")&amp;IF(COUNTIFS(tbl_Finance[Job Number],C297&amp;"",tbl_Finance[Cost Centre],"INTEGRATION")&gt;0,"INTEGRATION ","")&amp;IF(COUNTIFS(tbl_Finance[Job Number],C297&amp;"",tbl_Finance[Cost Centre],"CONSULTING")&gt;0,"CONSULTING ","")&amp;IF(COUNTIFS(tbl_Finance[Job Number],C297&amp;"",tbl_Finance[Cost Centre],"CTS")&gt;0,"CTS ",""))," ",", ")))</f>
        <v/>
      </c>
      <c r="L297" s="22" t="n"/>
      <c r="M297" s="24" t="n"/>
      <c r="N297" s="25">
        <f>IF(M297="","",IF(AND(LEFT(M297,4)&lt;&gt;"http",set_RMSBase=""),"",HYPERLINK(IF(LEFT(M297,4)="http",M297,set_RMSBase&amp;M297),"Open opportunity")))</f>
        <v/>
      </c>
      <c r="O297" s="25">
        <f>IF(C297="","",C297)</f>
        <v/>
      </c>
      <c r="P297" s="24" t="n"/>
      <c r="Q297" s="26" t="n"/>
      <c r="R297" s="27">
        <f>IF(C297="","",H297+N(Q297))</f>
        <v/>
      </c>
      <c r="S297" s="29">
        <f>IFERROR(Q297/R297,"")</f>
        <v/>
      </c>
      <c r="T297" s="26" t="n"/>
      <c r="U297" s="26" t="n"/>
      <c r="V297" s="27">
        <f>IF(C297="","",N(T297)+N(U297))</f>
        <v/>
      </c>
      <c r="W297" s="27">
        <f>IF(C297="","",H297-V297)</f>
        <v/>
      </c>
      <c r="X297" s="29">
        <f>IFERROR(W297/H297,"")</f>
        <v/>
      </c>
      <c r="Y297" s="64" t="n"/>
      <c r="Z297" s="64" t="n"/>
      <c r="AA297" s="64" t="n"/>
      <c r="AB297" s="64" t="n"/>
      <c r="AC297" s="64" t="n"/>
      <c r="AD297" s="24" t="n"/>
    </row>
    <row r="298" ht="15" customHeight="1">
      <c r="A298" s="63">
        <f>IF(C298="","",IFERROR(IF(SUMPRODUCT(MAX((tbl_Finance[Job Number]=C298&amp;"")*(tbl_Finance[Xero Invoice No]&lt;&gt;"")*tbl_Finance[Date]))=0,"",SUMPRODUCT(MAX((tbl_Finance[Job Number]=C298&amp;"")*(tbl_Finance[Xero Invoice No]&lt;&gt;"")*tbl_Finance[Date]))),""))</f>
        <v/>
      </c>
      <c r="B298" s="25">
        <f>IF(C298="","",IF(COUNTIFS(tbl_Finance[Job Number],C298&amp;"",tbl_Finance[Xero Invoice No],"&lt;&gt;")=0,"",IFERROR(IF(COUNTIFS(tbl_Finance[Job Number],C298&amp;"",tbl_Finance[Xero Invoice No],LOOKUP(2,1/((tbl_Finance[Job Number]=C298&amp;"")*(tbl_Finance[Xero Invoice No]&lt;&gt;"")),tbl_Finance[Xero Invoice No]))=COUNTIFS(tbl_Finance[Job Number],C298&amp;"",tbl_Finance[Xero Invoice No],"&lt;&gt;"),LOOKUP(2,1/((tbl_Finance[Job Number]=C298&amp;"")*(tbl_Finance[Xero Invoice No]&lt;&gt;"")),tbl_Finance[Xero Invoice No]),LOOKUP(2,1/((tbl_Finance[Job Number]=C298&amp;"")*(tbl_Finance[Xero Invoice No]&lt;&gt;"")),tbl_Finance[Xero Invoice No])&amp;" +more"),"")))</f>
        <v/>
      </c>
      <c r="C298" s="24" t="n"/>
      <c r="D298" s="25">
        <f>IF(C298="","",IF(COUNTIF(lst_Jobs,C298&amp;"")&gt;0,"OK","CHECK"))</f>
        <v/>
      </c>
      <c r="E298" s="25">
        <f>IF(C298="","",IFERROR(INDEX(lst_JobName,MATCH(C298&amp;"",lst_Jobs,0)),""))</f>
        <v/>
      </c>
      <c r="F298" s="25">
        <f>IF(C298="","",IFERROR(INDEX(tbl_Finance[Client],MATCH(C298&amp;"",tbl_Finance[Job Number],0)),""))</f>
        <v/>
      </c>
      <c r="G298" s="28">
        <f>IF(C298="","",COUNTIFS(tbl_Finance[Job Number],C298&amp;"",tbl_Finance[Ex GST],"&lt;&gt;"))</f>
        <v/>
      </c>
      <c r="H298" s="27">
        <f>IF(C298="","",SUMIFS(tbl_Finance[Ex GST],tbl_Finance[Job Number],C298&amp;""))</f>
        <v/>
      </c>
      <c r="I298" s="27">
        <f>IF(C298="","",SUMIFS(tbl_Finance[Ex GST],tbl_Finance[Job Number],C298&amp;"",tbl_Finance[Xero Invoice No],"&lt;&gt;"))</f>
        <v/>
      </c>
      <c r="J298" s="27">
        <f>IF(C298="","",H298-I298)</f>
        <v/>
      </c>
      <c r="K298" s="25">
        <f>IF(C298="","",IF(G298=0,"not invoiced yet",SUBSTITUTE(TRIM(IF(COUNTIFS(tbl_Finance[Job Number],C298&amp;"",tbl_Finance[Cost Centre],"ONSITE")&gt;0,"ONSITE ","")&amp;IF(COUNTIFS(tbl_Finance[Job Number],C298&amp;"",tbl_Finance[Cost Centre],"PRODUCTION")&gt;0,"PRODUCTION ","")&amp;IF(COUNTIFS(tbl_Finance[Job Number],C298&amp;"",tbl_Finance[Cost Centre],"VIDEO")&gt;0,"VIDEO ","")&amp;IF(COUNTIFS(tbl_Finance[Job Number],C298&amp;"",tbl_Finance[Cost Centre],"INTEGRATION")&gt;0,"INTEGRATION ","")&amp;IF(COUNTIFS(tbl_Finance[Job Number],C298&amp;"",tbl_Finance[Cost Centre],"CONSULTING")&gt;0,"CONSULTING ","")&amp;IF(COUNTIFS(tbl_Finance[Job Number],C298&amp;"",tbl_Finance[Cost Centre],"CTS")&gt;0,"CTS ",""))," ",", ")))</f>
        <v/>
      </c>
      <c r="L298" s="22" t="n"/>
      <c r="M298" s="24" t="n"/>
      <c r="N298" s="25">
        <f>IF(M298="","",IF(AND(LEFT(M298,4)&lt;&gt;"http",set_RMSBase=""),"",HYPERLINK(IF(LEFT(M298,4)="http",M298,set_RMSBase&amp;M298),"Open opportunity")))</f>
        <v/>
      </c>
      <c r="O298" s="25">
        <f>IF(C298="","",C298)</f>
        <v/>
      </c>
      <c r="P298" s="24" t="n"/>
      <c r="Q298" s="26" t="n"/>
      <c r="R298" s="27">
        <f>IF(C298="","",H298+N(Q298))</f>
        <v/>
      </c>
      <c r="S298" s="29">
        <f>IFERROR(Q298/R298,"")</f>
        <v/>
      </c>
      <c r="T298" s="26" t="n"/>
      <c r="U298" s="26" t="n"/>
      <c r="V298" s="27">
        <f>IF(C298="","",N(T298)+N(U298))</f>
        <v/>
      </c>
      <c r="W298" s="27">
        <f>IF(C298="","",H298-V298)</f>
        <v/>
      </c>
      <c r="X298" s="29">
        <f>IFERROR(W298/H298,"")</f>
        <v/>
      </c>
      <c r="Y298" s="64" t="n"/>
      <c r="Z298" s="64" t="n"/>
      <c r="AA298" s="64" t="n"/>
      <c r="AB298" s="64" t="n"/>
      <c r="AC298" s="64" t="n"/>
      <c r="AD298" s="24" t="n"/>
    </row>
    <row r="299" ht="15" customHeight="1">
      <c r="A299" s="63">
        <f>IF(C299="","",IFERROR(IF(SUMPRODUCT(MAX((tbl_Finance[Job Number]=C299&amp;"")*(tbl_Finance[Xero Invoice No]&lt;&gt;"")*tbl_Finance[Date]))=0,"",SUMPRODUCT(MAX((tbl_Finance[Job Number]=C299&amp;"")*(tbl_Finance[Xero Invoice No]&lt;&gt;"")*tbl_Finance[Date]))),""))</f>
        <v/>
      </c>
      <c r="B299" s="25">
        <f>IF(C299="","",IF(COUNTIFS(tbl_Finance[Job Number],C299&amp;"",tbl_Finance[Xero Invoice No],"&lt;&gt;")=0,"",IFERROR(IF(COUNTIFS(tbl_Finance[Job Number],C299&amp;"",tbl_Finance[Xero Invoice No],LOOKUP(2,1/((tbl_Finance[Job Number]=C299&amp;"")*(tbl_Finance[Xero Invoice No]&lt;&gt;"")),tbl_Finance[Xero Invoice No]))=COUNTIFS(tbl_Finance[Job Number],C299&amp;"",tbl_Finance[Xero Invoice No],"&lt;&gt;"),LOOKUP(2,1/((tbl_Finance[Job Number]=C299&amp;"")*(tbl_Finance[Xero Invoice No]&lt;&gt;"")),tbl_Finance[Xero Invoice No]),LOOKUP(2,1/((tbl_Finance[Job Number]=C299&amp;"")*(tbl_Finance[Xero Invoice No]&lt;&gt;"")),tbl_Finance[Xero Invoice No])&amp;" +more"),"")))</f>
        <v/>
      </c>
      <c r="C299" s="24" t="n"/>
      <c r="D299" s="25">
        <f>IF(C299="","",IF(COUNTIF(lst_Jobs,C299&amp;"")&gt;0,"OK","CHECK"))</f>
        <v/>
      </c>
      <c r="E299" s="25">
        <f>IF(C299="","",IFERROR(INDEX(lst_JobName,MATCH(C299&amp;"",lst_Jobs,0)),""))</f>
        <v/>
      </c>
      <c r="F299" s="25">
        <f>IF(C299="","",IFERROR(INDEX(tbl_Finance[Client],MATCH(C299&amp;"",tbl_Finance[Job Number],0)),""))</f>
        <v/>
      </c>
      <c r="G299" s="28">
        <f>IF(C299="","",COUNTIFS(tbl_Finance[Job Number],C299&amp;"",tbl_Finance[Ex GST],"&lt;&gt;"))</f>
        <v/>
      </c>
      <c r="H299" s="27">
        <f>IF(C299="","",SUMIFS(tbl_Finance[Ex GST],tbl_Finance[Job Number],C299&amp;""))</f>
        <v/>
      </c>
      <c r="I299" s="27">
        <f>IF(C299="","",SUMIFS(tbl_Finance[Ex GST],tbl_Finance[Job Number],C299&amp;"",tbl_Finance[Xero Invoice No],"&lt;&gt;"))</f>
        <v/>
      </c>
      <c r="J299" s="27">
        <f>IF(C299="","",H299-I299)</f>
        <v/>
      </c>
      <c r="K299" s="25">
        <f>IF(C299="","",IF(G299=0,"not invoiced yet",SUBSTITUTE(TRIM(IF(COUNTIFS(tbl_Finance[Job Number],C299&amp;"",tbl_Finance[Cost Centre],"ONSITE")&gt;0,"ONSITE ","")&amp;IF(COUNTIFS(tbl_Finance[Job Number],C299&amp;"",tbl_Finance[Cost Centre],"PRODUCTION")&gt;0,"PRODUCTION ","")&amp;IF(COUNTIFS(tbl_Finance[Job Number],C299&amp;"",tbl_Finance[Cost Centre],"VIDEO")&gt;0,"VIDEO ","")&amp;IF(COUNTIFS(tbl_Finance[Job Number],C299&amp;"",tbl_Finance[Cost Centre],"INTEGRATION")&gt;0,"INTEGRATION ","")&amp;IF(COUNTIFS(tbl_Finance[Job Number],C299&amp;"",tbl_Finance[Cost Centre],"CONSULTING")&gt;0,"CONSULTING ","")&amp;IF(COUNTIFS(tbl_Finance[Job Number],C299&amp;"",tbl_Finance[Cost Centre],"CTS")&gt;0,"CTS ",""))," ",", ")))</f>
        <v/>
      </c>
      <c r="L299" s="22" t="n"/>
      <c r="M299" s="24" t="n"/>
      <c r="N299" s="25">
        <f>IF(M299="","",IF(AND(LEFT(M299,4)&lt;&gt;"http",set_RMSBase=""),"",HYPERLINK(IF(LEFT(M299,4)="http",M299,set_RMSBase&amp;M299),"Open opportunity")))</f>
        <v/>
      </c>
      <c r="O299" s="25">
        <f>IF(C299="","",C299)</f>
        <v/>
      </c>
      <c r="P299" s="24" t="n"/>
      <c r="Q299" s="26" t="n"/>
      <c r="R299" s="27">
        <f>IF(C299="","",H299+N(Q299))</f>
        <v/>
      </c>
      <c r="S299" s="29">
        <f>IFERROR(Q299/R299,"")</f>
        <v/>
      </c>
      <c r="T299" s="26" t="n"/>
      <c r="U299" s="26" t="n"/>
      <c r="V299" s="27">
        <f>IF(C299="","",N(T299)+N(U299))</f>
        <v/>
      </c>
      <c r="W299" s="27">
        <f>IF(C299="","",H299-V299)</f>
        <v/>
      </c>
      <c r="X299" s="29">
        <f>IFERROR(W299/H299,"")</f>
        <v/>
      </c>
      <c r="Y299" s="64" t="n"/>
      <c r="Z299" s="64" t="n"/>
      <c r="AA299" s="64" t="n"/>
      <c r="AB299" s="64" t="n"/>
      <c r="AC299" s="64" t="n"/>
      <c r="AD299" s="24" t="n"/>
    </row>
    <row r="300" ht="15" customHeight="1">
      <c r="A300" s="63">
        <f>IF(C300="","",IFERROR(IF(SUMPRODUCT(MAX((tbl_Finance[Job Number]=C300&amp;"")*(tbl_Finance[Xero Invoice No]&lt;&gt;"")*tbl_Finance[Date]))=0,"",SUMPRODUCT(MAX((tbl_Finance[Job Number]=C300&amp;"")*(tbl_Finance[Xero Invoice No]&lt;&gt;"")*tbl_Finance[Date]))),""))</f>
        <v/>
      </c>
      <c r="B300" s="25">
        <f>IF(C300="","",IF(COUNTIFS(tbl_Finance[Job Number],C300&amp;"",tbl_Finance[Xero Invoice No],"&lt;&gt;")=0,"",IFERROR(IF(COUNTIFS(tbl_Finance[Job Number],C300&amp;"",tbl_Finance[Xero Invoice No],LOOKUP(2,1/((tbl_Finance[Job Number]=C300&amp;"")*(tbl_Finance[Xero Invoice No]&lt;&gt;"")),tbl_Finance[Xero Invoice No]))=COUNTIFS(tbl_Finance[Job Number],C300&amp;"",tbl_Finance[Xero Invoice No],"&lt;&gt;"),LOOKUP(2,1/((tbl_Finance[Job Number]=C300&amp;"")*(tbl_Finance[Xero Invoice No]&lt;&gt;"")),tbl_Finance[Xero Invoice No]),LOOKUP(2,1/((tbl_Finance[Job Number]=C300&amp;"")*(tbl_Finance[Xero Invoice No]&lt;&gt;"")),tbl_Finance[Xero Invoice No])&amp;" +more"),"")))</f>
        <v/>
      </c>
      <c r="C300" s="24" t="n"/>
      <c r="D300" s="25">
        <f>IF(C300="","",IF(COUNTIF(lst_Jobs,C300&amp;"")&gt;0,"OK","CHECK"))</f>
        <v/>
      </c>
      <c r="E300" s="25">
        <f>IF(C300="","",IFERROR(INDEX(lst_JobName,MATCH(C300&amp;"",lst_Jobs,0)),""))</f>
        <v/>
      </c>
      <c r="F300" s="25">
        <f>IF(C300="","",IFERROR(INDEX(tbl_Finance[Client],MATCH(C300&amp;"",tbl_Finance[Job Number],0)),""))</f>
        <v/>
      </c>
      <c r="G300" s="28">
        <f>IF(C300="","",COUNTIFS(tbl_Finance[Job Number],C300&amp;"",tbl_Finance[Ex GST],"&lt;&gt;"))</f>
        <v/>
      </c>
      <c r="H300" s="27">
        <f>IF(C300="","",SUMIFS(tbl_Finance[Ex GST],tbl_Finance[Job Number],C300&amp;""))</f>
        <v/>
      </c>
      <c r="I300" s="27">
        <f>IF(C300="","",SUMIFS(tbl_Finance[Ex GST],tbl_Finance[Job Number],C300&amp;"",tbl_Finance[Xero Invoice No],"&lt;&gt;"))</f>
        <v/>
      </c>
      <c r="J300" s="27">
        <f>IF(C300="","",H300-I300)</f>
        <v/>
      </c>
      <c r="K300" s="25">
        <f>IF(C300="","",IF(G300=0,"not invoiced yet",SUBSTITUTE(TRIM(IF(COUNTIFS(tbl_Finance[Job Number],C300&amp;"",tbl_Finance[Cost Centre],"ONSITE")&gt;0,"ONSITE ","")&amp;IF(COUNTIFS(tbl_Finance[Job Number],C300&amp;"",tbl_Finance[Cost Centre],"PRODUCTION")&gt;0,"PRODUCTION ","")&amp;IF(COUNTIFS(tbl_Finance[Job Number],C300&amp;"",tbl_Finance[Cost Centre],"VIDEO")&gt;0,"VIDEO ","")&amp;IF(COUNTIFS(tbl_Finance[Job Number],C300&amp;"",tbl_Finance[Cost Centre],"INTEGRATION")&gt;0,"INTEGRATION ","")&amp;IF(COUNTIFS(tbl_Finance[Job Number],C300&amp;"",tbl_Finance[Cost Centre],"CONSULTING")&gt;0,"CONSULTING ","")&amp;IF(COUNTIFS(tbl_Finance[Job Number],C300&amp;"",tbl_Finance[Cost Centre],"CTS")&gt;0,"CTS ",""))," ",", ")))</f>
        <v/>
      </c>
      <c r="L300" s="22" t="n"/>
      <c r="M300" s="24" t="n"/>
      <c r="N300" s="25">
        <f>IF(M300="","",IF(AND(LEFT(M300,4)&lt;&gt;"http",set_RMSBase=""),"",HYPERLINK(IF(LEFT(M300,4)="http",M300,set_RMSBase&amp;M300),"Open opportunity")))</f>
        <v/>
      </c>
      <c r="O300" s="25">
        <f>IF(C300="","",C300)</f>
        <v/>
      </c>
      <c r="P300" s="24" t="n"/>
      <c r="Q300" s="26" t="n"/>
      <c r="R300" s="27">
        <f>IF(C300="","",H300+N(Q300))</f>
        <v/>
      </c>
      <c r="S300" s="29">
        <f>IFERROR(Q300/R300,"")</f>
        <v/>
      </c>
      <c r="T300" s="26" t="n"/>
      <c r="U300" s="26" t="n"/>
      <c r="V300" s="27">
        <f>IF(C300="","",N(T300)+N(U300))</f>
        <v/>
      </c>
      <c r="W300" s="27">
        <f>IF(C300="","",H300-V300)</f>
        <v/>
      </c>
      <c r="X300" s="29">
        <f>IFERROR(W300/H300,"")</f>
        <v/>
      </c>
      <c r="Y300" s="64" t="n"/>
      <c r="Z300" s="64" t="n"/>
      <c r="AA300" s="64" t="n"/>
      <c r="AB300" s="64" t="n"/>
      <c r="AC300" s="64" t="n"/>
      <c r="AD300" s="24" t="n"/>
    </row>
    <row r="301" ht="15" customHeight="1">
      <c r="A301" s="63">
        <f>IF(C301="","",IFERROR(IF(SUMPRODUCT(MAX((tbl_Finance[Job Number]=C301&amp;"")*(tbl_Finance[Xero Invoice No]&lt;&gt;"")*tbl_Finance[Date]))=0,"",SUMPRODUCT(MAX((tbl_Finance[Job Number]=C301&amp;"")*(tbl_Finance[Xero Invoice No]&lt;&gt;"")*tbl_Finance[Date]))),""))</f>
        <v/>
      </c>
      <c r="B301" s="25">
        <f>IF(C301="","",IF(COUNTIFS(tbl_Finance[Job Number],C301&amp;"",tbl_Finance[Xero Invoice No],"&lt;&gt;")=0,"",IFERROR(IF(COUNTIFS(tbl_Finance[Job Number],C301&amp;"",tbl_Finance[Xero Invoice No],LOOKUP(2,1/((tbl_Finance[Job Number]=C301&amp;"")*(tbl_Finance[Xero Invoice No]&lt;&gt;"")),tbl_Finance[Xero Invoice No]))=COUNTIFS(tbl_Finance[Job Number],C301&amp;"",tbl_Finance[Xero Invoice No],"&lt;&gt;"),LOOKUP(2,1/((tbl_Finance[Job Number]=C301&amp;"")*(tbl_Finance[Xero Invoice No]&lt;&gt;"")),tbl_Finance[Xero Invoice No]),LOOKUP(2,1/((tbl_Finance[Job Number]=C301&amp;"")*(tbl_Finance[Xero Invoice No]&lt;&gt;"")),tbl_Finance[Xero Invoice No])&amp;" +more"),"")))</f>
        <v/>
      </c>
      <c r="C301" s="24" t="n"/>
      <c r="D301" s="25">
        <f>IF(C301="","",IF(COUNTIF(lst_Jobs,C301&amp;"")&gt;0,"OK","CHECK"))</f>
        <v/>
      </c>
      <c r="E301" s="25">
        <f>IF(C301="","",IFERROR(INDEX(lst_JobName,MATCH(C301&amp;"",lst_Jobs,0)),""))</f>
        <v/>
      </c>
      <c r="F301" s="25">
        <f>IF(C301="","",IFERROR(INDEX(tbl_Finance[Client],MATCH(C301&amp;"",tbl_Finance[Job Number],0)),""))</f>
        <v/>
      </c>
      <c r="G301" s="28">
        <f>IF(C301="","",COUNTIFS(tbl_Finance[Job Number],C301&amp;"",tbl_Finance[Ex GST],"&lt;&gt;"))</f>
        <v/>
      </c>
      <c r="H301" s="27">
        <f>IF(C301="","",SUMIFS(tbl_Finance[Ex GST],tbl_Finance[Job Number],C301&amp;""))</f>
        <v/>
      </c>
      <c r="I301" s="27">
        <f>IF(C301="","",SUMIFS(tbl_Finance[Ex GST],tbl_Finance[Job Number],C301&amp;"",tbl_Finance[Xero Invoice No],"&lt;&gt;"))</f>
        <v/>
      </c>
      <c r="J301" s="27">
        <f>IF(C301="","",H301-I301)</f>
        <v/>
      </c>
      <c r="K301" s="25">
        <f>IF(C301="","",IF(G301=0,"not invoiced yet",SUBSTITUTE(TRIM(IF(COUNTIFS(tbl_Finance[Job Number],C301&amp;"",tbl_Finance[Cost Centre],"ONSITE")&gt;0,"ONSITE ","")&amp;IF(COUNTIFS(tbl_Finance[Job Number],C301&amp;"",tbl_Finance[Cost Centre],"PRODUCTION")&gt;0,"PRODUCTION ","")&amp;IF(COUNTIFS(tbl_Finance[Job Number],C301&amp;"",tbl_Finance[Cost Centre],"VIDEO")&gt;0,"VIDEO ","")&amp;IF(COUNTIFS(tbl_Finance[Job Number],C301&amp;"",tbl_Finance[Cost Centre],"INTEGRATION")&gt;0,"INTEGRATION ","")&amp;IF(COUNTIFS(tbl_Finance[Job Number],C301&amp;"",tbl_Finance[Cost Centre],"CONSULTING")&gt;0,"CONSULTING ","")&amp;IF(COUNTIFS(tbl_Finance[Job Number],C301&amp;"",tbl_Finance[Cost Centre],"CTS")&gt;0,"CTS ",""))," ",", ")))</f>
        <v/>
      </c>
      <c r="L301" s="22" t="n"/>
      <c r="M301" s="24" t="n"/>
      <c r="N301" s="25">
        <f>IF(M301="","",IF(AND(LEFT(M301,4)&lt;&gt;"http",set_RMSBase=""),"",HYPERLINK(IF(LEFT(M301,4)="http",M301,set_RMSBase&amp;M301),"Open opportunity")))</f>
        <v/>
      </c>
      <c r="O301" s="25">
        <f>IF(C301="","",C301)</f>
        <v/>
      </c>
      <c r="P301" s="24" t="n"/>
      <c r="Q301" s="26" t="n"/>
      <c r="R301" s="27">
        <f>IF(C301="","",H301+N(Q301))</f>
        <v/>
      </c>
      <c r="S301" s="29">
        <f>IFERROR(Q301/R301,"")</f>
        <v/>
      </c>
      <c r="T301" s="26" t="n"/>
      <c r="U301" s="26" t="n"/>
      <c r="V301" s="27">
        <f>IF(C301="","",N(T301)+N(U301))</f>
        <v/>
      </c>
      <c r="W301" s="27">
        <f>IF(C301="","",H301-V301)</f>
        <v/>
      </c>
      <c r="X301" s="29">
        <f>IFERROR(W301/H301,"")</f>
        <v/>
      </c>
      <c r="Y301" s="64" t="n"/>
      <c r="Z301" s="64" t="n"/>
      <c r="AA301" s="64" t="n"/>
      <c r="AB301" s="64" t="n"/>
      <c r="AC301" s="64" t="n"/>
      <c r="AD301" s="24" t="n"/>
    </row>
    <row r="302" ht="15" customHeight="1">
      <c r="A302" s="63">
        <f>IF(C302="","",IFERROR(IF(SUMPRODUCT(MAX((tbl_Finance[Job Number]=C302&amp;"")*(tbl_Finance[Xero Invoice No]&lt;&gt;"")*tbl_Finance[Date]))=0,"",SUMPRODUCT(MAX((tbl_Finance[Job Number]=C302&amp;"")*(tbl_Finance[Xero Invoice No]&lt;&gt;"")*tbl_Finance[Date]))),""))</f>
        <v/>
      </c>
      <c r="B302" s="25">
        <f>IF(C302="","",IF(COUNTIFS(tbl_Finance[Job Number],C302&amp;"",tbl_Finance[Xero Invoice No],"&lt;&gt;")=0,"",IFERROR(IF(COUNTIFS(tbl_Finance[Job Number],C302&amp;"",tbl_Finance[Xero Invoice No],LOOKUP(2,1/((tbl_Finance[Job Number]=C302&amp;"")*(tbl_Finance[Xero Invoice No]&lt;&gt;"")),tbl_Finance[Xero Invoice No]))=COUNTIFS(tbl_Finance[Job Number],C302&amp;"",tbl_Finance[Xero Invoice No],"&lt;&gt;"),LOOKUP(2,1/((tbl_Finance[Job Number]=C302&amp;"")*(tbl_Finance[Xero Invoice No]&lt;&gt;"")),tbl_Finance[Xero Invoice No]),LOOKUP(2,1/((tbl_Finance[Job Number]=C302&amp;"")*(tbl_Finance[Xero Invoice No]&lt;&gt;"")),tbl_Finance[Xero Invoice No])&amp;" +more"),"")))</f>
        <v/>
      </c>
      <c r="C302" s="24" t="n"/>
      <c r="D302" s="25">
        <f>IF(C302="","",IF(COUNTIF(lst_Jobs,C302&amp;"")&gt;0,"OK","CHECK"))</f>
        <v/>
      </c>
      <c r="E302" s="25">
        <f>IF(C302="","",IFERROR(INDEX(lst_JobName,MATCH(C302&amp;"",lst_Jobs,0)),""))</f>
        <v/>
      </c>
      <c r="F302" s="25">
        <f>IF(C302="","",IFERROR(INDEX(tbl_Finance[Client],MATCH(C302&amp;"",tbl_Finance[Job Number],0)),""))</f>
        <v/>
      </c>
      <c r="G302" s="28">
        <f>IF(C302="","",COUNTIFS(tbl_Finance[Job Number],C302&amp;"",tbl_Finance[Ex GST],"&lt;&gt;"))</f>
        <v/>
      </c>
      <c r="H302" s="27">
        <f>IF(C302="","",SUMIFS(tbl_Finance[Ex GST],tbl_Finance[Job Number],C302&amp;""))</f>
        <v/>
      </c>
      <c r="I302" s="27">
        <f>IF(C302="","",SUMIFS(tbl_Finance[Ex GST],tbl_Finance[Job Number],C302&amp;"",tbl_Finance[Xero Invoice No],"&lt;&gt;"))</f>
        <v/>
      </c>
      <c r="J302" s="27">
        <f>IF(C302="","",H302-I302)</f>
        <v/>
      </c>
      <c r="K302" s="25">
        <f>IF(C302="","",IF(G302=0,"not invoiced yet",SUBSTITUTE(TRIM(IF(COUNTIFS(tbl_Finance[Job Number],C302&amp;"",tbl_Finance[Cost Centre],"ONSITE")&gt;0,"ONSITE ","")&amp;IF(COUNTIFS(tbl_Finance[Job Number],C302&amp;"",tbl_Finance[Cost Centre],"PRODUCTION")&gt;0,"PRODUCTION ","")&amp;IF(COUNTIFS(tbl_Finance[Job Number],C302&amp;"",tbl_Finance[Cost Centre],"VIDEO")&gt;0,"VIDEO ","")&amp;IF(COUNTIFS(tbl_Finance[Job Number],C302&amp;"",tbl_Finance[Cost Centre],"INTEGRATION")&gt;0,"INTEGRATION ","")&amp;IF(COUNTIFS(tbl_Finance[Job Number],C302&amp;"",tbl_Finance[Cost Centre],"CONSULTING")&gt;0,"CONSULTING ","")&amp;IF(COUNTIFS(tbl_Finance[Job Number],C302&amp;"",tbl_Finance[Cost Centre],"CTS")&gt;0,"CTS ",""))," ",", ")))</f>
        <v/>
      </c>
      <c r="L302" s="22" t="n"/>
      <c r="M302" s="24" t="n"/>
      <c r="N302" s="25">
        <f>IF(M302="","",IF(AND(LEFT(M302,4)&lt;&gt;"http",set_RMSBase=""),"",HYPERLINK(IF(LEFT(M302,4)="http",M302,set_RMSBase&amp;M302),"Open opportunity")))</f>
        <v/>
      </c>
      <c r="O302" s="25">
        <f>IF(C302="","",C302)</f>
        <v/>
      </c>
      <c r="P302" s="24" t="n"/>
      <c r="Q302" s="26" t="n"/>
      <c r="R302" s="27">
        <f>IF(C302="","",H302+N(Q302))</f>
        <v/>
      </c>
      <c r="S302" s="29">
        <f>IFERROR(Q302/R302,"")</f>
        <v/>
      </c>
      <c r="T302" s="26" t="n"/>
      <c r="U302" s="26" t="n"/>
      <c r="V302" s="27">
        <f>IF(C302="","",N(T302)+N(U302))</f>
        <v/>
      </c>
      <c r="W302" s="27">
        <f>IF(C302="","",H302-V302)</f>
        <v/>
      </c>
      <c r="X302" s="29">
        <f>IFERROR(W302/H302,"")</f>
        <v/>
      </c>
      <c r="Y302" s="64" t="n"/>
      <c r="Z302" s="64" t="n"/>
      <c r="AA302" s="64" t="n"/>
      <c r="AB302" s="64" t="n"/>
      <c r="AC302" s="64" t="n"/>
      <c r="AD302" s="24" t="n"/>
    </row>
    <row r="303" ht="15" customHeight="1">
      <c r="A303" s="63">
        <f>IF(C303="","",IFERROR(IF(SUMPRODUCT(MAX((tbl_Finance[Job Number]=C303&amp;"")*(tbl_Finance[Xero Invoice No]&lt;&gt;"")*tbl_Finance[Date]))=0,"",SUMPRODUCT(MAX((tbl_Finance[Job Number]=C303&amp;"")*(tbl_Finance[Xero Invoice No]&lt;&gt;"")*tbl_Finance[Date]))),""))</f>
        <v/>
      </c>
      <c r="B303" s="25">
        <f>IF(C303="","",IF(COUNTIFS(tbl_Finance[Job Number],C303&amp;"",tbl_Finance[Xero Invoice No],"&lt;&gt;")=0,"",IFERROR(IF(COUNTIFS(tbl_Finance[Job Number],C303&amp;"",tbl_Finance[Xero Invoice No],LOOKUP(2,1/((tbl_Finance[Job Number]=C303&amp;"")*(tbl_Finance[Xero Invoice No]&lt;&gt;"")),tbl_Finance[Xero Invoice No]))=COUNTIFS(tbl_Finance[Job Number],C303&amp;"",tbl_Finance[Xero Invoice No],"&lt;&gt;"),LOOKUP(2,1/((tbl_Finance[Job Number]=C303&amp;"")*(tbl_Finance[Xero Invoice No]&lt;&gt;"")),tbl_Finance[Xero Invoice No]),LOOKUP(2,1/((tbl_Finance[Job Number]=C303&amp;"")*(tbl_Finance[Xero Invoice No]&lt;&gt;"")),tbl_Finance[Xero Invoice No])&amp;" +more"),"")))</f>
        <v/>
      </c>
      <c r="C303" s="24" t="n"/>
      <c r="D303" s="25">
        <f>IF(C303="","",IF(COUNTIF(lst_Jobs,C303&amp;"")&gt;0,"OK","CHECK"))</f>
        <v/>
      </c>
      <c r="E303" s="25">
        <f>IF(C303="","",IFERROR(INDEX(lst_JobName,MATCH(C303&amp;"",lst_Jobs,0)),""))</f>
        <v/>
      </c>
      <c r="F303" s="25">
        <f>IF(C303="","",IFERROR(INDEX(tbl_Finance[Client],MATCH(C303&amp;"",tbl_Finance[Job Number],0)),""))</f>
        <v/>
      </c>
      <c r="G303" s="28">
        <f>IF(C303="","",COUNTIFS(tbl_Finance[Job Number],C303&amp;"",tbl_Finance[Ex GST],"&lt;&gt;"))</f>
        <v/>
      </c>
      <c r="H303" s="27">
        <f>IF(C303="","",SUMIFS(tbl_Finance[Ex GST],tbl_Finance[Job Number],C303&amp;""))</f>
        <v/>
      </c>
      <c r="I303" s="27">
        <f>IF(C303="","",SUMIFS(tbl_Finance[Ex GST],tbl_Finance[Job Number],C303&amp;"",tbl_Finance[Xero Invoice No],"&lt;&gt;"))</f>
        <v/>
      </c>
      <c r="J303" s="27">
        <f>IF(C303="","",H303-I303)</f>
        <v/>
      </c>
      <c r="K303" s="25">
        <f>IF(C303="","",IF(G303=0,"not invoiced yet",SUBSTITUTE(TRIM(IF(COUNTIFS(tbl_Finance[Job Number],C303&amp;"",tbl_Finance[Cost Centre],"ONSITE")&gt;0,"ONSITE ","")&amp;IF(COUNTIFS(tbl_Finance[Job Number],C303&amp;"",tbl_Finance[Cost Centre],"PRODUCTION")&gt;0,"PRODUCTION ","")&amp;IF(COUNTIFS(tbl_Finance[Job Number],C303&amp;"",tbl_Finance[Cost Centre],"VIDEO")&gt;0,"VIDEO ","")&amp;IF(COUNTIFS(tbl_Finance[Job Number],C303&amp;"",tbl_Finance[Cost Centre],"INTEGRATION")&gt;0,"INTEGRATION ","")&amp;IF(COUNTIFS(tbl_Finance[Job Number],C303&amp;"",tbl_Finance[Cost Centre],"CONSULTING")&gt;0,"CONSULTING ","")&amp;IF(COUNTIFS(tbl_Finance[Job Number],C303&amp;"",tbl_Finance[Cost Centre],"CTS")&gt;0,"CTS ",""))," ",", ")))</f>
        <v/>
      </c>
      <c r="L303" s="22" t="n"/>
      <c r="M303" s="24" t="n"/>
      <c r="N303" s="25">
        <f>IF(M303="","",IF(AND(LEFT(M303,4)&lt;&gt;"http",set_RMSBase=""),"",HYPERLINK(IF(LEFT(M303,4)="http",M303,set_RMSBase&amp;M303),"Open opportunity")))</f>
        <v/>
      </c>
      <c r="O303" s="25">
        <f>IF(C303="","",C303)</f>
        <v/>
      </c>
      <c r="P303" s="24" t="n"/>
      <c r="Q303" s="26" t="n"/>
      <c r="R303" s="27">
        <f>IF(C303="","",H303+N(Q303))</f>
        <v/>
      </c>
      <c r="S303" s="29">
        <f>IFERROR(Q303/R303,"")</f>
        <v/>
      </c>
      <c r="T303" s="26" t="n"/>
      <c r="U303" s="26" t="n"/>
      <c r="V303" s="27">
        <f>IF(C303="","",N(T303)+N(U303))</f>
        <v/>
      </c>
      <c r="W303" s="27">
        <f>IF(C303="","",H303-V303)</f>
        <v/>
      </c>
      <c r="X303" s="29">
        <f>IFERROR(W303/H303,"")</f>
        <v/>
      </c>
      <c r="Y303" s="64" t="n"/>
      <c r="Z303" s="64" t="n"/>
      <c r="AA303" s="64" t="n"/>
      <c r="AB303" s="64" t="n"/>
      <c r="AC303" s="64" t="n"/>
      <c r="AD303" s="24" t="n"/>
    </row>
    <row r="304" ht="15" customHeight="1">
      <c r="A304" s="63">
        <f>IF(C304="","",IFERROR(IF(SUMPRODUCT(MAX((tbl_Finance[Job Number]=C304&amp;"")*(tbl_Finance[Xero Invoice No]&lt;&gt;"")*tbl_Finance[Date]))=0,"",SUMPRODUCT(MAX((tbl_Finance[Job Number]=C304&amp;"")*(tbl_Finance[Xero Invoice No]&lt;&gt;"")*tbl_Finance[Date]))),""))</f>
        <v/>
      </c>
      <c r="B304" s="25">
        <f>IF(C304="","",IF(COUNTIFS(tbl_Finance[Job Number],C304&amp;"",tbl_Finance[Xero Invoice No],"&lt;&gt;")=0,"",IFERROR(IF(COUNTIFS(tbl_Finance[Job Number],C304&amp;"",tbl_Finance[Xero Invoice No],LOOKUP(2,1/((tbl_Finance[Job Number]=C304&amp;"")*(tbl_Finance[Xero Invoice No]&lt;&gt;"")),tbl_Finance[Xero Invoice No]))=COUNTIFS(tbl_Finance[Job Number],C304&amp;"",tbl_Finance[Xero Invoice No],"&lt;&gt;"),LOOKUP(2,1/((tbl_Finance[Job Number]=C304&amp;"")*(tbl_Finance[Xero Invoice No]&lt;&gt;"")),tbl_Finance[Xero Invoice No]),LOOKUP(2,1/((tbl_Finance[Job Number]=C304&amp;"")*(tbl_Finance[Xero Invoice No]&lt;&gt;"")),tbl_Finance[Xero Invoice No])&amp;" +more"),"")))</f>
        <v/>
      </c>
      <c r="C304" s="24" t="n"/>
      <c r="D304" s="25">
        <f>IF(C304="","",IF(COUNTIF(lst_Jobs,C304&amp;"")&gt;0,"OK","CHECK"))</f>
        <v/>
      </c>
      <c r="E304" s="25">
        <f>IF(C304="","",IFERROR(INDEX(lst_JobName,MATCH(C304&amp;"",lst_Jobs,0)),""))</f>
        <v/>
      </c>
      <c r="F304" s="25">
        <f>IF(C304="","",IFERROR(INDEX(tbl_Finance[Client],MATCH(C304&amp;"",tbl_Finance[Job Number],0)),""))</f>
        <v/>
      </c>
      <c r="G304" s="28">
        <f>IF(C304="","",COUNTIFS(tbl_Finance[Job Number],C304&amp;"",tbl_Finance[Ex GST],"&lt;&gt;"))</f>
        <v/>
      </c>
      <c r="H304" s="27">
        <f>IF(C304="","",SUMIFS(tbl_Finance[Ex GST],tbl_Finance[Job Number],C304&amp;""))</f>
        <v/>
      </c>
      <c r="I304" s="27">
        <f>IF(C304="","",SUMIFS(tbl_Finance[Ex GST],tbl_Finance[Job Number],C304&amp;"",tbl_Finance[Xero Invoice No],"&lt;&gt;"))</f>
        <v/>
      </c>
      <c r="J304" s="27">
        <f>IF(C304="","",H304-I304)</f>
        <v/>
      </c>
      <c r="K304" s="25">
        <f>IF(C304="","",IF(G304=0,"not invoiced yet",SUBSTITUTE(TRIM(IF(COUNTIFS(tbl_Finance[Job Number],C304&amp;"",tbl_Finance[Cost Centre],"ONSITE")&gt;0,"ONSITE ","")&amp;IF(COUNTIFS(tbl_Finance[Job Number],C304&amp;"",tbl_Finance[Cost Centre],"PRODUCTION")&gt;0,"PRODUCTION ","")&amp;IF(COUNTIFS(tbl_Finance[Job Number],C304&amp;"",tbl_Finance[Cost Centre],"VIDEO")&gt;0,"VIDEO ","")&amp;IF(COUNTIFS(tbl_Finance[Job Number],C304&amp;"",tbl_Finance[Cost Centre],"INTEGRATION")&gt;0,"INTEGRATION ","")&amp;IF(COUNTIFS(tbl_Finance[Job Number],C304&amp;"",tbl_Finance[Cost Centre],"CONSULTING")&gt;0,"CONSULTING ","")&amp;IF(COUNTIFS(tbl_Finance[Job Number],C304&amp;"",tbl_Finance[Cost Centre],"CTS")&gt;0,"CTS ",""))," ",", ")))</f>
        <v/>
      </c>
      <c r="L304" s="22" t="n"/>
      <c r="M304" s="24" t="n"/>
      <c r="N304" s="25">
        <f>IF(M304="","",IF(AND(LEFT(M304,4)&lt;&gt;"http",set_RMSBase=""),"",HYPERLINK(IF(LEFT(M304,4)="http",M304,set_RMSBase&amp;M304),"Open opportunity")))</f>
        <v/>
      </c>
      <c r="O304" s="25">
        <f>IF(C304="","",C304)</f>
        <v/>
      </c>
      <c r="P304" s="24" t="n"/>
      <c r="Q304" s="26" t="n"/>
      <c r="R304" s="27">
        <f>IF(C304="","",H304+N(Q304))</f>
        <v/>
      </c>
      <c r="S304" s="29">
        <f>IFERROR(Q304/R304,"")</f>
        <v/>
      </c>
      <c r="T304" s="26" t="n"/>
      <c r="U304" s="26" t="n"/>
      <c r="V304" s="27">
        <f>IF(C304="","",N(T304)+N(U304))</f>
        <v/>
      </c>
      <c r="W304" s="27">
        <f>IF(C304="","",H304-V304)</f>
        <v/>
      </c>
      <c r="X304" s="29">
        <f>IFERROR(W304/H304,"")</f>
        <v/>
      </c>
      <c r="Y304" s="64" t="n"/>
      <c r="Z304" s="64" t="n"/>
      <c r="AA304" s="64" t="n"/>
      <c r="AB304" s="64" t="n"/>
      <c r="AC304" s="64" t="n"/>
      <c r="AD304" s="24" t="n"/>
    </row>
    <row r="305" ht="15" customHeight="1">
      <c r="A305" s="63">
        <f>IF(C305="","",IFERROR(IF(SUMPRODUCT(MAX((tbl_Finance[Job Number]=C305&amp;"")*(tbl_Finance[Xero Invoice No]&lt;&gt;"")*tbl_Finance[Date]))=0,"",SUMPRODUCT(MAX((tbl_Finance[Job Number]=C305&amp;"")*(tbl_Finance[Xero Invoice No]&lt;&gt;"")*tbl_Finance[Date]))),""))</f>
        <v/>
      </c>
      <c r="B305" s="25">
        <f>IF(C305="","",IF(COUNTIFS(tbl_Finance[Job Number],C305&amp;"",tbl_Finance[Xero Invoice No],"&lt;&gt;")=0,"",IFERROR(IF(COUNTIFS(tbl_Finance[Job Number],C305&amp;"",tbl_Finance[Xero Invoice No],LOOKUP(2,1/((tbl_Finance[Job Number]=C305&amp;"")*(tbl_Finance[Xero Invoice No]&lt;&gt;"")),tbl_Finance[Xero Invoice No]))=COUNTIFS(tbl_Finance[Job Number],C305&amp;"",tbl_Finance[Xero Invoice No],"&lt;&gt;"),LOOKUP(2,1/((tbl_Finance[Job Number]=C305&amp;"")*(tbl_Finance[Xero Invoice No]&lt;&gt;"")),tbl_Finance[Xero Invoice No]),LOOKUP(2,1/((tbl_Finance[Job Number]=C305&amp;"")*(tbl_Finance[Xero Invoice No]&lt;&gt;"")),tbl_Finance[Xero Invoice No])&amp;" +more"),"")))</f>
        <v/>
      </c>
      <c r="C305" s="24" t="n"/>
      <c r="D305" s="25">
        <f>IF(C305="","",IF(COUNTIF(lst_Jobs,C305&amp;"")&gt;0,"OK","CHECK"))</f>
        <v/>
      </c>
      <c r="E305" s="25">
        <f>IF(C305="","",IFERROR(INDEX(lst_JobName,MATCH(C305&amp;"",lst_Jobs,0)),""))</f>
        <v/>
      </c>
      <c r="F305" s="25">
        <f>IF(C305="","",IFERROR(INDEX(tbl_Finance[Client],MATCH(C305&amp;"",tbl_Finance[Job Number],0)),""))</f>
        <v/>
      </c>
      <c r="G305" s="28">
        <f>IF(C305="","",COUNTIFS(tbl_Finance[Job Number],C305&amp;"",tbl_Finance[Ex GST],"&lt;&gt;"))</f>
        <v/>
      </c>
      <c r="H305" s="27">
        <f>IF(C305="","",SUMIFS(tbl_Finance[Ex GST],tbl_Finance[Job Number],C305&amp;""))</f>
        <v/>
      </c>
      <c r="I305" s="27">
        <f>IF(C305="","",SUMIFS(tbl_Finance[Ex GST],tbl_Finance[Job Number],C305&amp;"",tbl_Finance[Xero Invoice No],"&lt;&gt;"))</f>
        <v/>
      </c>
      <c r="J305" s="27">
        <f>IF(C305="","",H305-I305)</f>
        <v/>
      </c>
      <c r="K305" s="25">
        <f>IF(C305="","",IF(G305=0,"not invoiced yet",SUBSTITUTE(TRIM(IF(COUNTIFS(tbl_Finance[Job Number],C305&amp;"",tbl_Finance[Cost Centre],"ONSITE")&gt;0,"ONSITE ","")&amp;IF(COUNTIFS(tbl_Finance[Job Number],C305&amp;"",tbl_Finance[Cost Centre],"PRODUCTION")&gt;0,"PRODUCTION ","")&amp;IF(COUNTIFS(tbl_Finance[Job Number],C305&amp;"",tbl_Finance[Cost Centre],"VIDEO")&gt;0,"VIDEO ","")&amp;IF(COUNTIFS(tbl_Finance[Job Number],C305&amp;"",tbl_Finance[Cost Centre],"INTEGRATION")&gt;0,"INTEGRATION ","")&amp;IF(COUNTIFS(tbl_Finance[Job Number],C305&amp;"",tbl_Finance[Cost Centre],"CONSULTING")&gt;0,"CONSULTING ","")&amp;IF(COUNTIFS(tbl_Finance[Job Number],C305&amp;"",tbl_Finance[Cost Centre],"CTS")&gt;0,"CTS ",""))," ",", ")))</f>
        <v/>
      </c>
      <c r="L305" s="22" t="n"/>
      <c r="M305" s="24" t="n"/>
      <c r="N305" s="25">
        <f>IF(M305="","",IF(AND(LEFT(M305,4)&lt;&gt;"http",set_RMSBase=""),"",HYPERLINK(IF(LEFT(M305,4)="http",M305,set_RMSBase&amp;M305),"Open opportunity")))</f>
        <v/>
      </c>
      <c r="O305" s="25">
        <f>IF(C305="","",C305)</f>
        <v/>
      </c>
      <c r="P305" s="24" t="n"/>
      <c r="Q305" s="26" t="n"/>
      <c r="R305" s="27">
        <f>IF(C305="","",H305+N(Q305))</f>
        <v/>
      </c>
      <c r="S305" s="29">
        <f>IFERROR(Q305/R305,"")</f>
        <v/>
      </c>
      <c r="T305" s="26" t="n"/>
      <c r="U305" s="26" t="n"/>
      <c r="V305" s="27">
        <f>IF(C305="","",N(T305)+N(U305))</f>
        <v/>
      </c>
      <c r="W305" s="27">
        <f>IF(C305="","",H305-V305)</f>
        <v/>
      </c>
      <c r="X305" s="29">
        <f>IFERROR(W305/H305,"")</f>
        <v/>
      </c>
      <c r="Y305" s="64" t="n"/>
      <c r="Z305" s="64" t="n"/>
      <c r="AA305" s="64" t="n"/>
      <c r="AB305" s="64" t="n"/>
      <c r="AC305" s="64" t="n"/>
      <c r="AD305" s="24" t="n"/>
    </row>
    <row r="306" ht="15" customHeight="1">
      <c r="A306" s="63">
        <f>IF(C306="","",IFERROR(IF(SUMPRODUCT(MAX((tbl_Finance[Job Number]=C306&amp;"")*(tbl_Finance[Xero Invoice No]&lt;&gt;"")*tbl_Finance[Date]))=0,"",SUMPRODUCT(MAX((tbl_Finance[Job Number]=C306&amp;"")*(tbl_Finance[Xero Invoice No]&lt;&gt;"")*tbl_Finance[Date]))),""))</f>
        <v/>
      </c>
      <c r="B306" s="25">
        <f>IF(C306="","",IF(COUNTIFS(tbl_Finance[Job Number],C306&amp;"",tbl_Finance[Xero Invoice No],"&lt;&gt;")=0,"",IFERROR(IF(COUNTIFS(tbl_Finance[Job Number],C306&amp;"",tbl_Finance[Xero Invoice No],LOOKUP(2,1/((tbl_Finance[Job Number]=C306&amp;"")*(tbl_Finance[Xero Invoice No]&lt;&gt;"")),tbl_Finance[Xero Invoice No]))=COUNTIFS(tbl_Finance[Job Number],C306&amp;"",tbl_Finance[Xero Invoice No],"&lt;&gt;"),LOOKUP(2,1/((tbl_Finance[Job Number]=C306&amp;"")*(tbl_Finance[Xero Invoice No]&lt;&gt;"")),tbl_Finance[Xero Invoice No]),LOOKUP(2,1/((tbl_Finance[Job Number]=C306&amp;"")*(tbl_Finance[Xero Invoice No]&lt;&gt;"")),tbl_Finance[Xero Invoice No])&amp;" +more"),"")))</f>
        <v/>
      </c>
      <c r="C306" s="24" t="n"/>
      <c r="D306" s="25">
        <f>IF(C306="","",IF(COUNTIF(lst_Jobs,C306&amp;"")&gt;0,"OK","CHECK"))</f>
        <v/>
      </c>
      <c r="E306" s="25">
        <f>IF(C306="","",IFERROR(INDEX(lst_JobName,MATCH(C306&amp;"",lst_Jobs,0)),""))</f>
        <v/>
      </c>
      <c r="F306" s="25">
        <f>IF(C306="","",IFERROR(INDEX(tbl_Finance[Client],MATCH(C306&amp;"",tbl_Finance[Job Number],0)),""))</f>
        <v/>
      </c>
      <c r="G306" s="28">
        <f>IF(C306="","",COUNTIFS(tbl_Finance[Job Number],C306&amp;"",tbl_Finance[Ex GST],"&lt;&gt;"))</f>
        <v/>
      </c>
      <c r="H306" s="27">
        <f>IF(C306="","",SUMIFS(tbl_Finance[Ex GST],tbl_Finance[Job Number],C306&amp;""))</f>
        <v/>
      </c>
      <c r="I306" s="27">
        <f>IF(C306="","",SUMIFS(tbl_Finance[Ex GST],tbl_Finance[Job Number],C306&amp;"",tbl_Finance[Xero Invoice No],"&lt;&gt;"))</f>
        <v/>
      </c>
      <c r="J306" s="27">
        <f>IF(C306="","",H306-I306)</f>
        <v/>
      </c>
      <c r="K306" s="25">
        <f>IF(C306="","",IF(G306=0,"not invoiced yet",SUBSTITUTE(TRIM(IF(COUNTIFS(tbl_Finance[Job Number],C306&amp;"",tbl_Finance[Cost Centre],"ONSITE")&gt;0,"ONSITE ","")&amp;IF(COUNTIFS(tbl_Finance[Job Number],C306&amp;"",tbl_Finance[Cost Centre],"PRODUCTION")&gt;0,"PRODUCTION ","")&amp;IF(COUNTIFS(tbl_Finance[Job Number],C306&amp;"",tbl_Finance[Cost Centre],"VIDEO")&gt;0,"VIDEO ","")&amp;IF(COUNTIFS(tbl_Finance[Job Number],C306&amp;"",tbl_Finance[Cost Centre],"INTEGRATION")&gt;0,"INTEGRATION ","")&amp;IF(COUNTIFS(tbl_Finance[Job Number],C306&amp;"",tbl_Finance[Cost Centre],"CONSULTING")&gt;0,"CONSULTING ","")&amp;IF(COUNTIFS(tbl_Finance[Job Number],C306&amp;"",tbl_Finance[Cost Centre],"CTS")&gt;0,"CTS ",""))," ",", ")))</f>
        <v/>
      </c>
      <c r="L306" s="22" t="n"/>
      <c r="M306" s="24" t="n"/>
      <c r="N306" s="25">
        <f>IF(M306="","",IF(AND(LEFT(M306,4)&lt;&gt;"http",set_RMSBase=""),"",HYPERLINK(IF(LEFT(M306,4)="http",M306,set_RMSBase&amp;M306),"Open opportunity")))</f>
        <v/>
      </c>
      <c r="O306" s="25">
        <f>IF(C306="","",C306)</f>
        <v/>
      </c>
      <c r="P306" s="24" t="n"/>
      <c r="Q306" s="26" t="n"/>
      <c r="R306" s="27">
        <f>IF(C306="","",H306+N(Q306))</f>
        <v/>
      </c>
      <c r="S306" s="29">
        <f>IFERROR(Q306/R306,"")</f>
        <v/>
      </c>
      <c r="T306" s="26" t="n"/>
      <c r="U306" s="26" t="n"/>
      <c r="V306" s="27">
        <f>IF(C306="","",N(T306)+N(U306))</f>
        <v/>
      </c>
      <c r="W306" s="27">
        <f>IF(C306="","",H306-V306)</f>
        <v/>
      </c>
      <c r="X306" s="29">
        <f>IFERROR(W306/H306,"")</f>
        <v/>
      </c>
      <c r="Y306" s="64" t="n"/>
      <c r="Z306" s="64" t="n"/>
      <c r="AA306" s="64" t="n"/>
      <c r="AB306" s="64" t="n"/>
      <c r="AC306" s="64" t="n"/>
      <c r="AD306" s="24" t="n"/>
    </row>
    <row r="307" ht="15" customHeight="1">
      <c r="A307" s="63">
        <f>IF(C307="","",IFERROR(IF(SUMPRODUCT(MAX((tbl_Finance[Job Number]=C307&amp;"")*(tbl_Finance[Xero Invoice No]&lt;&gt;"")*tbl_Finance[Date]))=0,"",SUMPRODUCT(MAX((tbl_Finance[Job Number]=C307&amp;"")*(tbl_Finance[Xero Invoice No]&lt;&gt;"")*tbl_Finance[Date]))),""))</f>
        <v/>
      </c>
      <c r="B307" s="25">
        <f>IF(C307="","",IF(COUNTIFS(tbl_Finance[Job Number],C307&amp;"",tbl_Finance[Xero Invoice No],"&lt;&gt;")=0,"",IFERROR(IF(COUNTIFS(tbl_Finance[Job Number],C307&amp;"",tbl_Finance[Xero Invoice No],LOOKUP(2,1/((tbl_Finance[Job Number]=C307&amp;"")*(tbl_Finance[Xero Invoice No]&lt;&gt;"")),tbl_Finance[Xero Invoice No]))=COUNTIFS(tbl_Finance[Job Number],C307&amp;"",tbl_Finance[Xero Invoice No],"&lt;&gt;"),LOOKUP(2,1/((tbl_Finance[Job Number]=C307&amp;"")*(tbl_Finance[Xero Invoice No]&lt;&gt;"")),tbl_Finance[Xero Invoice No]),LOOKUP(2,1/((tbl_Finance[Job Number]=C307&amp;"")*(tbl_Finance[Xero Invoice No]&lt;&gt;"")),tbl_Finance[Xero Invoice No])&amp;" +more"),"")))</f>
        <v/>
      </c>
      <c r="C307" s="24" t="n"/>
      <c r="D307" s="25">
        <f>IF(C307="","",IF(COUNTIF(lst_Jobs,C307&amp;"")&gt;0,"OK","CHECK"))</f>
        <v/>
      </c>
      <c r="E307" s="25">
        <f>IF(C307="","",IFERROR(INDEX(lst_JobName,MATCH(C307&amp;"",lst_Jobs,0)),""))</f>
        <v/>
      </c>
      <c r="F307" s="25">
        <f>IF(C307="","",IFERROR(INDEX(tbl_Finance[Client],MATCH(C307&amp;"",tbl_Finance[Job Number],0)),""))</f>
        <v/>
      </c>
      <c r="G307" s="28">
        <f>IF(C307="","",COUNTIFS(tbl_Finance[Job Number],C307&amp;"",tbl_Finance[Ex GST],"&lt;&gt;"))</f>
        <v/>
      </c>
      <c r="H307" s="27">
        <f>IF(C307="","",SUMIFS(tbl_Finance[Ex GST],tbl_Finance[Job Number],C307&amp;""))</f>
        <v/>
      </c>
      <c r="I307" s="27">
        <f>IF(C307="","",SUMIFS(tbl_Finance[Ex GST],tbl_Finance[Job Number],C307&amp;"",tbl_Finance[Xero Invoice No],"&lt;&gt;"))</f>
        <v/>
      </c>
      <c r="J307" s="27">
        <f>IF(C307="","",H307-I307)</f>
        <v/>
      </c>
      <c r="K307" s="25">
        <f>IF(C307="","",IF(G307=0,"not invoiced yet",SUBSTITUTE(TRIM(IF(COUNTIFS(tbl_Finance[Job Number],C307&amp;"",tbl_Finance[Cost Centre],"ONSITE")&gt;0,"ONSITE ","")&amp;IF(COUNTIFS(tbl_Finance[Job Number],C307&amp;"",tbl_Finance[Cost Centre],"PRODUCTION")&gt;0,"PRODUCTION ","")&amp;IF(COUNTIFS(tbl_Finance[Job Number],C307&amp;"",tbl_Finance[Cost Centre],"VIDEO")&gt;0,"VIDEO ","")&amp;IF(COUNTIFS(tbl_Finance[Job Number],C307&amp;"",tbl_Finance[Cost Centre],"INTEGRATION")&gt;0,"INTEGRATION ","")&amp;IF(COUNTIFS(tbl_Finance[Job Number],C307&amp;"",tbl_Finance[Cost Centre],"CONSULTING")&gt;0,"CONSULTING ","")&amp;IF(COUNTIFS(tbl_Finance[Job Number],C307&amp;"",tbl_Finance[Cost Centre],"CTS")&gt;0,"CTS ",""))," ",", ")))</f>
        <v/>
      </c>
      <c r="L307" s="22" t="n"/>
      <c r="M307" s="24" t="n"/>
      <c r="N307" s="25">
        <f>IF(M307="","",IF(AND(LEFT(M307,4)&lt;&gt;"http",set_RMSBase=""),"",HYPERLINK(IF(LEFT(M307,4)="http",M307,set_RMSBase&amp;M307),"Open opportunity")))</f>
        <v/>
      </c>
      <c r="O307" s="25">
        <f>IF(C307="","",C307)</f>
        <v/>
      </c>
      <c r="P307" s="24" t="n"/>
      <c r="Q307" s="26" t="n"/>
      <c r="R307" s="27">
        <f>IF(C307="","",H307+N(Q307))</f>
        <v/>
      </c>
      <c r="S307" s="29">
        <f>IFERROR(Q307/R307,"")</f>
        <v/>
      </c>
      <c r="T307" s="26" t="n"/>
      <c r="U307" s="26" t="n"/>
      <c r="V307" s="27">
        <f>IF(C307="","",N(T307)+N(U307))</f>
        <v/>
      </c>
      <c r="W307" s="27">
        <f>IF(C307="","",H307-V307)</f>
        <v/>
      </c>
      <c r="X307" s="29">
        <f>IFERROR(W307/H307,"")</f>
        <v/>
      </c>
      <c r="Y307" s="64" t="n"/>
      <c r="Z307" s="64" t="n"/>
      <c r="AA307" s="64" t="n"/>
      <c r="AB307" s="64" t="n"/>
      <c r="AC307" s="64" t="n"/>
      <c r="AD307" s="24" t="n"/>
    </row>
    <row r="308" ht="15" customHeight="1">
      <c r="A308" s="63">
        <f>IF(C308="","",IFERROR(IF(SUMPRODUCT(MAX((tbl_Finance[Job Number]=C308&amp;"")*(tbl_Finance[Xero Invoice No]&lt;&gt;"")*tbl_Finance[Date]))=0,"",SUMPRODUCT(MAX((tbl_Finance[Job Number]=C308&amp;"")*(tbl_Finance[Xero Invoice No]&lt;&gt;"")*tbl_Finance[Date]))),""))</f>
        <v/>
      </c>
      <c r="B308" s="25">
        <f>IF(C308="","",IF(COUNTIFS(tbl_Finance[Job Number],C308&amp;"",tbl_Finance[Xero Invoice No],"&lt;&gt;")=0,"",IFERROR(IF(COUNTIFS(tbl_Finance[Job Number],C308&amp;"",tbl_Finance[Xero Invoice No],LOOKUP(2,1/((tbl_Finance[Job Number]=C308&amp;"")*(tbl_Finance[Xero Invoice No]&lt;&gt;"")),tbl_Finance[Xero Invoice No]))=COUNTIFS(tbl_Finance[Job Number],C308&amp;"",tbl_Finance[Xero Invoice No],"&lt;&gt;"),LOOKUP(2,1/((tbl_Finance[Job Number]=C308&amp;"")*(tbl_Finance[Xero Invoice No]&lt;&gt;"")),tbl_Finance[Xero Invoice No]),LOOKUP(2,1/((tbl_Finance[Job Number]=C308&amp;"")*(tbl_Finance[Xero Invoice No]&lt;&gt;"")),tbl_Finance[Xero Invoice No])&amp;" +more"),"")))</f>
        <v/>
      </c>
      <c r="C308" s="24" t="n"/>
      <c r="D308" s="25">
        <f>IF(C308="","",IF(COUNTIF(lst_Jobs,C308&amp;"")&gt;0,"OK","CHECK"))</f>
        <v/>
      </c>
      <c r="E308" s="25">
        <f>IF(C308="","",IFERROR(INDEX(lst_JobName,MATCH(C308&amp;"",lst_Jobs,0)),""))</f>
        <v/>
      </c>
      <c r="F308" s="25">
        <f>IF(C308="","",IFERROR(INDEX(tbl_Finance[Client],MATCH(C308&amp;"",tbl_Finance[Job Number],0)),""))</f>
        <v/>
      </c>
      <c r="G308" s="28">
        <f>IF(C308="","",COUNTIFS(tbl_Finance[Job Number],C308&amp;"",tbl_Finance[Ex GST],"&lt;&gt;"))</f>
        <v/>
      </c>
      <c r="H308" s="27">
        <f>IF(C308="","",SUMIFS(tbl_Finance[Ex GST],tbl_Finance[Job Number],C308&amp;""))</f>
        <v/>
      </c>
      <c r="I308" s="27">
        <f>IF(C308="","",SUMIFS(tbl_Finance[Ex GST],tbl_Finance[Job Number],C308&amp;"",tbl_Finance[Xero Invoice No],"&lt;&gt;"))</f>
        <v/>
      </c>
      <c r="J308" s="27">
        <f>IF(C308="","",H308-I308)</f>
        <v/>
      </c>
      <c r="K308" s="25">
        <f>IF(C308="","",IF(G308=0,"not invoiced yet",SUBSTITUTE(TRIM(IF(COUNTIFS(tbl_Finance[Job Number],C308&amp;"",tbl_Finance[Cost Centre],"ONSITE")&gt;0,"ONSITE ","")&amp;IF(COUNTIFS(tbl_Finance[Job Number],C308&amp;"",tbl_Finance[Cost Centre],"PRODUCTION")&gt;0,"PRODUCTION ","")&amp;IF(COUNTIFS(tbl_Finance[Job Number],C308&amp;"",tbl_Finance[Cost Centre],"VIDEO")&gt;0,"VIDEO ","")&amp;IF(COUNTIFS(tbl_Finance[Job Number],C308&amp;"",tbl_Finance[Cost Centre],"INTEGRATION")&gt;0,"INTEGRATION ","")&amp;IF(COUNTIFS(tbl_Finance[Job Number],C308&amp;"",tbl_Finance[Cost Centre],"CONSULTING")&gt;0,"CONSULTING ","")&amp;IF(COUNTIFS(tbl_Finance[Job Number],C308&amp;"",tbl_Finance[Cost Centre],"CTS")&gt;0,"CTS ",""))," ",", ")))</f>
        <v/>
      </c>
      <c r="L308" s="22" t="n"/>
      <c r="M308" s="24" t="n"/>
      <c r="N308" s="25">
        <f>IF(M308="","",IF(AND(LEFT(M308,4)&lt;&gt;"http",set_RMSBase=""),"",HYPERLINK(IF(LEFT(M308,4)="http",M308,set_RMSBase&amp;M308),"Open opportunity")))</f>
        <v/>
      </c>
      <c r="O308" s="25">
        <f>IF(C308="","",C308)</f>
        <v/>
      </c>
      <c r="P308" s="24" t="n"/>
      <c r="Q308" s="26" t="n"/>
      <c r="R308" s="27">
        <f>IF(C308="","",H308+N(Q308))</f>
        <v/>
      </c>
      <c r="S308" s="29">
        <f>IFERROR(Q308/R308,"")</f>
        <v/>
      </c>
      <c r="T308" s="26" t="n"/>
      <c r="U308" s="26" t="n"/>
      <c r="V308" s="27">
        <f>IF(C308="","",N(T308)+N(U308))</f>
        <v/>
      </c>
      <c r="W308" s="27">
        <f>IF(C308="","",H308-V308)</f>
        <v/>
      </c>
      <c r="X308" s="29">
        <f>IFERROR(W308/H308,"")</f>
        <v/>
      </c>
      <c r="Y308" s="64" t="n"/>
      <c r="Z308" s="64" t="n"/>
      <c r="AA308" s="64" t="n"/>
      <c r="AB308" s="64" t="n"/>
      <c r="AC308" s="64" t="n"/>
      <c r="AD308" s="24" t="n"/>
    </row>
    <row r="309" ht="15" customHeight="1">
      <c r="A309" s="63">
        <f>IF(C309="","",IFERROR(IF(SUMPRODUCT(MAX((tbl_Finance[Job Number]=C309&amp;"")*(tbl_Finance[Xero Invoice No]&lt;&gt;"")*tbl_Finance[Date]))=0,"",SUMPRODUCT(MAX((tbl_Finance[Job Number]=C309&amp;"")*(tbl_Finance[Xero Invoice No]&lt;&gt;"")*tbl_Finance[Date]))),""))</f>
        <v/>
      </c>
      <c r="B309" s="25">
        <f>IF(C309="","",IF(COUNTIFS(tbl_Finance[Job Number],C309&amp;"",tbl_Finance[Xero Invoice No],"&lt;&gt;")=0,"",IFERROR(IF(COUNTIFS(tbl_Finance[Job Number],C309&amp;"",tbl_Finance[Xero Invoice No],LOOKUP(2,1/((tbl_Finance[Job Number]=C309&amp;"")*(tbl_Finance[Xero Invoice No]&lt;&gt;"")),tbl_Finance[Xero Invoice No]))=COUNTIFS(tbl_Finance[Job Number],C309&amp;"",tbl_Finance[Xero Invoice No],"&lt;&gt;"),LOOKUP(2,1/((tbl_Finance[Job Number]=C309&amp;"")*(tbl_Finance[Xero Invoice No]&lt;&gt;"")),tbl_Finance[Xero Invoice No]),LOOKUP(2,1/((tbl_Finance[Job Number]=C309&amp;"")*(tbl_Finance[Xero Invoice No]&lt;&gt;"")),tbl_Finance[Xero Invoice No])&amp;" +more"),"")))</f>
        <v/>
      </c>
      <c r="C309" s="24" t="n"/>
      <c r="D309" s="25">
        <f>IF(C309="","",IF(COUNTIF(lst_Jobs,C309&amp;"")&gt;0,"OK","CHECK"))</f>
        <v/>
      </c>
      <c r="E309" s="25">
        <f>IF(C309="","",IFERROR(INDEX(lst_JobName,MATCH(C309&amp;"",lst_Jobs,0)),""))</f>
        <v/>
      </c>
      <c r="F309" s="25">
        <f>IF(C309="","",IFERROR(INDEX(tbl_Finance[Client],MATCH(C309&amp;"",tbl_Finance[Job Number],0)),""))</f>
        <v/>
      </c>
      <c r="G309" s="28">
        <f>IF(C309="","",COUNTIFS(tbl_Finance[Job Number],C309&amp;"",tbl_Finance[Ex GST],"&lt;&gt;"))</f>
        <v/>
      </c>
      <c r="H309" s="27">
        <f>IF(C309="","",SUMIFS(tbl_Finance[Ex GST],tbl_Finance[Job Number],C309&amp;""))</f>
        <v/>
      </c>
      <c r="I309" s="27">
        <f>IF(C309="","",SUMIFS(tbl_Finance[Ex GST],tbl_Finance[Job Number],C309&amp;"",tbl_Finance[Xero Invoice No],"&lt;&gt;"))</f>
        <v/>
      </c>
      <c r="J309" s="27">
        <f>IF(C309="","",H309-I309)</f>
        <v/>
      </c>
      <c r="K309" s="25">
        <f>IF(C309="","",IF(G309=0,"not invoiced yet",SUBSTITUTE(TRIM(IF(COUNTIFS(tbl_Finance[Job Number],C309&amp;"",tbl_Finance[Cost Centre],"ONSITE")&gt;0,"ONSITE ","")&amp;IF(COUNTIFS(tbl_Finance[Job Number],C309&amp;"",tbl_Finance[Cost Centre],"PRODUCTION")&gt;0,"PRODUCTION ","")&amp;IF(COUNTIFS(tbl_Finance[Job Number],C309&amp;"",tbl_Finance[Cost Centre],"VIDEO")&gt;0,"VIDEO ","")&amp;IF(COUNTIFS(tbl_Finance[Job Number],C309&amp;"",tbl_Finance[Cost Centre],"INTEGRATION")&gt;0,"INTEGRATION ","")&amp;IF(COUNTIFS(tbl_Finance[Job Number],C309&amp;"",tbl_Finance[Cost Centre],"CONSULTING")&gt;0,"CONSULTING ","")&amp;IF(COUNTIFS(tbl_Finance[Job Number],C309&amp;"",tbl_Finance[Cost Centre],"CTS")&gt;0,"CTS ",""))," ",", ")))</f>
        <v/>
      </c>
      <c r="L309" s="22" t="n"/>
      <c r="M309" s="24" t="n"/>
      <c r="N309" s="25">
        <f>IF(M309="","",IF(AND(LEFT(M309,4)&lt;&gt;"http",set_RMSBase=""),"",HYPERLINK(IF(LEFT(M309,4)="http",M309,set_RMSBase&amp;M309),"Open opportunity")))</f>
        <v/>
      </c>
      <c r="O309" s="25">
        <f>IF(C309="","",C309)</f>
        <v/>
      </c>
      <c r="P309" s="24" t="n"/>
      <c r="Q309" s="26" t="n"/>
      <c r="R309" s="27">
        <f>IF(C309="","",H309+N(Q309))</f>
        <v/>
      </c>
      <c r="S309" s="29">
        <f>IFERROR(Q309/R309,"")</f>
        <v/>
      </c>
      <c r="T309" s="26" t="n"/>
      <c r="U309" s="26" t="n"/>
      <c r="V309" s="27">
        <f>IF(C309="","",N(T309)+N(U309))</f>
        <v/>
      </c>
      <c r="W309" s="27">
        <f>IF(C309="","",H309-V309)</f>
        <v/>
      </c>
      <c r="X309" s="29">
        <f>IFERROR(W309/H309,"")</f>
        <v/>
      </c>
      <c r="Y309" s="64" t="n"/>
      <c r="Z309" s="64" t="n"/>
      <c r="AA309" s="64" t="n"/>
      <c r="AB309" s="64" t="n"/>
      <c r="AC309" s="64" t="n"/>
      <c r="AD309" s="24" t="n"/>
    </row>
    <row r="310" ht="15" customHeight="1">
      <c r="A310" s="63">
        <f>IF(C310="","",IFERROR(IF(SUMPRODUCT(MAX((tbl_Finance[Job Number]=C310&amp;"")*(tbl_Finance[Xero Invoice No]&lt;&gt;"")*tbl_Finance[Date]))=0,"",SUMPRODUCT(MAX((tbl_Finance[Job Number]=C310&amp;"")*(tbl_Finance[Xero Invoice No]&lt;&gt;"")*tbl_Finance[Date]))),""))</f>
        <v/>
      </c>
      <c r="B310" s="25">
        <f>IF(C310="","",IF(COUNTIFS(tbl_Finance[Job Number],C310&amp;"",tbl_Finance[Xero Invoice No],"&lt;&gt;")=0,"",IFERROR(IF(COUNTIFS(tbl_Finance[Job Number],C310&amp;"",tbl_Finance[Xero Invoice No],LOOKUP(2,1/((tbl_Finance[Job Number]=C310&amp;"")*(tbl_Finance[Xero Invoice No]&lt;&gt;"")),tbl_Finance[Xero Invoice No]))=COUNTIFS(tbl_Finance[Job Number],C310&amp;"",tbl_Finance[Xero Invoice No],"&lt;&gt;"),LOOKUP(2,1/((tbl_Finance[Job Number]=C310&amp;"")*(tbl_Finance[Xero Invoice No]&lt;&gt;"")),tbl_Finance[Xero Invoice No]),LOOKUP(2,1/((tbl_Finance[Job Number]=C310&amp;"")*(tbl_Finance[Xero Invoice No]&lt;&gt;"")),tbl_Finance[Xero Invoice No])&amp;" +more"),"")))</f>
        <v/>
      </c>
      <c r="C310" s="24" t="n"/>
      <c r="D310" s="25">
        <f>IF(C310="","",IF(COUNTIF(lst_Jobs,C310&amp;"")&gt;0,"OK","CHECK"))</f>
        <v/>
      </c>
      <c r="E310" s="25">
        <f>IF(C310="","",IFERROR(INDEX(lst_JobName,MATCH(C310&amp;"",lst_Jobs,0)),""))</f>
        <v/>
      </c>
      <c r="F310" s="25">
        <f>IF(C310="","",IFERROR(INDEX(tbl_Finance[Client],MATCH(C310&amp;"",tbl_Finance[Job Number],0)),""))</f>
        <v/>
      </c>
      <c r="G310" s="28">
        <f>IF(C310="","",COUNTIFS(tbl_Finance[Job Number],C310&amp;"",tbl_Finance[Ex GST],"&lt;&gt;"))</f>
        <v/>
      </c>
      <c r="H310" s="27">
        <f>IF(C310="","",SUMIFS(tbl_Finance[Ex GST],tbl_Finance[Job Number],C310&amp;""))</f>
        <v/>
      </c>
      <c r="I310" s="27">
        <f>IF(C310="","",SUMIFS(tbl_Finance[Ex GST],tbl_Finance[Job Number],C310&amp;"",tbl_Finance[Xero Invoice No],"&lt;&gt;"))</f>
        <v/>
      </c>
      <c r="J310" s="27">
        <f>IF(C310="","",H310-I310)</f>
        <v/>
      </c>
      <c r="K310" s="25">
        <f>IF(C310="","",IF(G310=0,"not invoiced yet",SUBSTITUTE(TRIM(IF(COUNTIFS(tbl_Finance[Job Number],C310&amp;"",tbl_Finance[Cost Centre],"ONSITE")&gt;0,"ONSITE ","")&amp;IF(COUNTIFS(tbl_Finance[Job Number],C310&amp;"",tbl_Finance[Cost Centre],"PRODUCTION")&gt;0,"PRODUCTION ","")&amp;IF(COUNTIFS(tbl_Finance[Job Number],C310&amp;"",tbl_Finance[Cost Centre],"VIDEO")&gt;0,"VIDEO ","")&amp;IF(COUNTIFS(tbl_Finance[Job Number],C310&amp;"",tbl_Finance[Cost Centre],"INTEGRATION")&gt;0,"INTEGRATION ","")&amp;IF(COUNTIFS(tbl_Finance[Job Number],C310&amp;"",tbl_Finance[Cost Centre],"CONSULTING")&gt;0,"CONSULTING ","")&amp;IF(COUNTIFS(tbl_Finance[Job Number],C310&amp;"",tbl_Finance[Cost Centre],"CTS")&gt;0,"CTS ",""))," ",", ")))</f>
        <v/>
      </c>
      <c r="L310" s="22" t="n"/>
      <c r="M310" s="24" t="n"/>
      <c r="N310" s="25">
        <f>IF(M310="","",IF(AND(LEFT(M310,4)&lt;&gt;"http",set_RMSBase=""),"",HYPERLINK(IF(LEFT(M310,4)="http",M310,set_RMSBase&amp;M310),"Open opportunity")))</f>
        <v/>
      </c>
      <c r="O310" s="25">
        <f>IF(C310="","",C310)</f>
        <v/>
      </c>
      <c r="P310" s="24" t="n"/>
      <c r="Q310" s="26" t="n"/>
      <c r="R310" s="27">
        <f>IF(C310="","",H310+N(Q310))</f>
        <v/>
      </c>
      <c r="S310" s="29">
        <f>IFERROR(Q310/R310,"")</f>
        <v/>
      </c>
      <c r="T310" s="26" t="n"/>
      <c r="U310" s="26" t="n"/>
      <c r="V310" s="27">
        <f>IF(C310="","",N(T310)+N(U310))</f>
        <v/>
      </c>
      <c r="W310" s="27">
        <f>IF(C310="","",H310-V310)</f>
        <v/>
      </c>
      <c r="X310" s="29">
        <f>IFERROR(W310/H310,"")</f>
        <v/>
      </c>
      <c r="Y310" s="64" t="n"/>
      <c r="Z310" s="64" t="n"/>
      <c r="AA310" s="64" t="n"/>
      <c r="AB310" s="64" t="n"/>
      <c r="AC310" s="64" t="n"/>
      <c r="AD310" s="24" t="n"/>
    </row>
    <row r="311" ht="15" customHeight="1">
      <c r="A311" s="63">
        <f>IF(C311="","",IFERROR(IF(SUMPRODUCT(MAX((tbl_Finance[Job Number]=C311&amp;"")*(tbl_Finance[Xero Invoice No]&lt;&gt;"")*tbl_Finance[Date]))=0,"",SUMPRODUCT(MAX((tbl_Finance[Job Number]=C311&amp;"")*(tbl_Finance[Xero Invoice No]&lt;&gt;"")*tbl_Finance[Date]))),""))</f>
        <v/>
      </c>
      <c r="B311" s="25">
        <f>IF(C311="","",IF(COUNTIFS(tbl_Finance[Job Number],C311&amp;"",tbl_Finance[Xero Invoice No],"&lt;&gt;")=0,"",IFERROR(IF(COUNTIFS(tbl_Finance[Job Number],C311&amp;"",tbl_Finance[Xero Invoice No],LOOKUP(2,1/((tbl_Finance[Job Number]=C311&amp;"")*(tbl_Finance[Xero Invoice No]&lt;&gt;"")),tbl_Finance[Xero Invoice No]))=COUNTIFS(tbl_Finance[Job Number],C311&amp;"",tbl_Finance[Xero Invoice No],"&lt;&gt;"),LOOKUP(2,1/((tbl_Finance[Job Number]=C311&amp;"")*(tbl_Finance[Xero Invoice No]&lt;&gt;"")),tbl_Finance[Xero Invoice No]),LOOKUP(2,1/((tbl_Finance[Job Number]=C311&amp;"")*(tbl_Finance[Xero Invoice No]&lt;&gt;"")),tbl_Finance[Xero Invoice No])&amp;" +more"),"")))</f>
        <v/>
      </c>
      <c r="C311" s="24" t="n"/>
      <c r="D311" s="25">
        <f>IF(C311="","",IF(COUNTIF(lst_Jobs,C311&amp;"")&gt;0,"OK","CHECK"))</f>
        <v/>
      </c>
      <c r="E311" s="25">
        <f>IF(C311="","",IFERROR(INDEX(lst_JobName,MATCH(C311&amp;"",lst_Jobs,0)),""))</f>
        <v/>
      </c>
      <c r="F311" s="25">
        <f>IF(C311="","",IFERROR(INDEX(tbl_Finance[Client],MATCH(C311&amp;"",tbl_Finance[Job Number],0)),""))</f>
        <v/>
      </c>
      <c r="G311" s="28">
        <f>IF(C311="","",COUNTIFS(tbl_Finance[Job Number],C311&amp;"",tbl_Finance[Ex GST],"&lt;&gt;"))</f>
        <v/>
      </c>
      <c r="H311" s="27">
        <f>IF(C311="","",SUMIFS(tbl_Finance[Ex GST],tbl_Finance[Job Number],C311&amp;""))</f>
        <v/>
      </c>
      <c r="I311" s="27">
        <f>IF(C311="","",SUMIFS(tbl_Finance[Ex GST],tbl_Finance[Job Number],C311&amp;"",tbl_Finance[Xero Invoice No],"&lt;&gt;"))</f>
        <v/>
      </c>
      <c r="J311" s="27">
        <f>IF(C311="","",H311-I311)</f>
        <v/>
      </c>
      <c r="K311" s="25">
        <f>IF(C311="","",IF(G311=0,"not invoiced yet",SUBSTITUTE(TRIM(IF(COUNTIFS(tbl_Finance[Job Number],C311&amp;"",tbl_Finance[Cost Centre],"ONSITE")&gt;0,"ONSITE ","")&amp;IF(COUNTIFS(tbl_Finance[Job Number],C311&amp;"",tbl_Finance[Cost Centre],"PRODUCTION")&gt;0,"PRODUCTION ","")&amp;IF(COUNTIFS(tbl_Finance[Job Number],C311&amp;"",tbl_Finance[Cost Centre],"VIDEO")&gt;0,"VIDEO ","")&amp;IF(COUNTIFS(tbl_Finance[Job Number],C311&amp;"",tbl_Finance[Cost Centre],"INTEGRATION")&gt;0,"INTEGRATION ","")&amp;IF(COUNTIFS(tbl_Finance[Job Number],C311&amp;"",tbl_Finance[Cost Centre],"CONSULTING")&gt;0,"CONSULTING ","")&amp;IF(COUNTIFS(tbl_Finance[Job Number],C311&amp;"",tbl_Finance[Cost Centre],"CTS")&gt;0,"CTS ",""))," ",", ")))</f>
        <v/>
      </c>
      <c r="L311" s="22" t="n"/>
      <c r="M311" s="24" t="n"/>
      <c r="N311" s="25">
        <f>IF(M311="","",IF(AND(LEFT(M311,4)&lt;&gt;"http",set_RMSBase=""),"",HYPERLINK(IF(LEFT(M311,4)="http",M311,set_RMSBase&amp;M311),"Open opportunity")))</f>
        <v/>
      </c>
      <c r="O311" s="25">
        <f>IF(C311="","",C311)</f>
        <v/>
      </c>
      <c r="P311" s="24" t="n"/>
      <c r="Q311" s="26" t="n"/>
      <c r="R311" s="27">
        <f>IF(C311="","",H311+N(Q311))</f>
        <v/>
      </c>
      <c r="S311" s="29">
        <f>IFERROR(Q311/R311,"")</f>
        <v/>
      </c>
      <c r="T311" s="26" t="n"/>
      <c r="U311" s="26" t="n"/>
      <c r="V311" s="27">
        <f>IF(C311="","",N(T311)+N(U311))</f>
        <v/>
      </c>
      <c r="W311" s="27">
        <f>IF(C311="","",H311-V311)</f>
        <v/>
      </c>
      <c r="X311" s="29">
        <f>IFERROR(W311/H311,"")</f>
        <v/>
      </c>
      <c r="Y311" s="64" t="n"/>
      <c r="Z311" s="64" t="n"/>
      <c r="AA311" s="64" t="n"/>
      <c r="AB311" s="64" t="n"/>
      <c r="AC311" s="64" t="n"/>
      <c r="AD311" s="24" t="n"/>
    </row>
    <row r="312" ht="15" customHeight="1">
      <c r="A312" s="63">
        <f>IF(C312="","",IFERROR(IF(SUMPRODUCT(MAX((tbl_Finance[Job Number]=C312&amp;"")*(tbl_Finance[Xero Invoice No]&lt;&gt;"")*tbl_Finance[Date]))=0,"",SUMPRODUCT(MAX((tbl_Finance[Job Number]=C312&amp;"")*(tbl_Finance[Xero Invoice No]&lt;&gt;"")*tbl_Finance[Date]))),""))</f>
        <v/>
      </c>
      <c r="B312" s="25">
        <f>IF(C312="","",IF(COUNTIFS(tbl_Finance[Job Number],C312&amp;"",tbl_Finance[Xero Invoice No],"&lt;&gt;")=0,"",IFERROR(IF(COUNTIFS(tbl_Finance[Job Number],C312&amp;"",tbl_Finance[Xero Invoice No],LOOKUP(2,1/((tbl_Finance[Job Number]=C312&amp;"")*(tbl_Finance[Xero Invoice No]&lt;&gt;"")),tbl_Finance[Xero Invoice No]))=COUNTIFS(tbl_Finance[Job Number],C312&amp;"",tbl_Finance[Xero Invoice No],"&lt;&gt;"),LOOKUP(2,1/((tbl_Finance[Job Number]=C312&amp;"")*(tbl_Finance[Xero Invoice No]&lt;&gt;"")),tbl_Finance[Xero Invoice No]),LOOKUP(2,1/((tbl_Finance[Job Number]=C312&amp;"")*(tbl_Finance[Xero Invoice No]&lt;&gt;"")),tbl_Finance[Xero Invoice No])&amp;" +more"),"")))</f>
        <v/>
      </c>
      <c r="C312" s="24" t="n"/>
      <c r="D312" s="25">
        <f>IF(C312="","",IF(COUNTIF(lst_Jobs,C312&amp;"")&gt;0,"OK","CHECK"))</f>
        <v/>
      </c>
      <c r="E312" s="25">
        <f>IF(C312="","",IFERROR(INDEX(lst_JobName,MATCH(C312&amp;"",lst_Jobs,0)),""))</f>
        <v/>
      </c>
      <c r="F312" s="25">
        <f>IF(C312="","",IFERROR(INDEX(tbl_Finance[Client],MATCH(C312&amp;"",tbl_Finance[Job Number],0)),""))</f>
        <v/>
      </c>
      <c r="G312" s="28">
        <f>IF(C312="","",COUNTIFS(tbl_Finance[Job Number],C312&amp;"",tbl_Finance[Ex GST],"&lt;&gt;"))</f>
        <v/>
      </c>
      <c r="H312" s="27">
        <f>IF(C312="","",SUMIFS(tbl_Finance[Ex GST],tbl_Finance[Job Number],C312&amp;""))</f>
        <v/>
      </c>
      <c r="I312" s="27">
        <f>IF(C312="","",SUMIFS(tbl_Finance[Ex GST],tbl_Finance[Job Number],C312&amp;"",tbl_Finance[Xero Invoice No],"&lt;&gt;"))</f>
        <v/>
      </c>
      <c r="J312" s="27">
        <f>IF(C312="","",H312-I312)</f>
        <v/>
      </c>
      <c r="K312" s="25">
        <f>IF(C312="","",IF(G312=0,"not invoiced yet",SUBSTITUTE(TRIM(IF(COUNTIFS(tbl_Finance[Job Number],C312&amp;"",tbl_Finance[Cost Centre],"ONSITE")&gt;0,"ONSITE ","")&amp;IF(COUNTIFS(tbl_Finance[Job Number],C312&amp;"",tbl_Finance[Cost Centre],"PRODUCTION")&gt;0,"PRODUCTION ","")&amp;IF(COUNTIFS(tbl_Finance[Job Number],C312&amp;"",tbl_Finance[Cost Centre],"VIDEO")&gt;0,"VIDEO ","")&amp;IF(COUNTIFS(tbl_Finance[Job Number],C312&amp;"",tbl_Finance[Cost Centre],"INTEGRATION")&gt;0,"INTEGRATION ","")&amp;IF(COUNTIFS(tbl_Finance[Job Number],C312&amp;"",tbl_Finance[Cost Centre],"CONSULTING")&gt;0,"CONSULTING ","")&amp;IF(COUNTIFS(tbl_Finance[Job Number],C312&amp;"",tbl_Finance[Cost Centre],"CTS")&gt;0,"CTS ",""))," ",", ")))</f>
        <v/>
      </c>
      <c r="L312" s="22" t="n"/>
      <c r="M312" s="24" t="n"/>
      <c r="N312" s="25">
        <f>IF(M312="","",IF(AND(LEFT(M312,4)&lt;&gt;"http",set_RMSBase=""),"",HYPERLINK(IF(LEFT(M312,4)="http",M312,set_RMSBase&amp;M312),"Open opportunity")))</f>
        <v/>
      </c>
      <c r="O312" s="25">
        <f>IF(C312="","",C312)</f>
        <v/>
      </c>
      <c r="P312" s="24" t="n"/>
      <c r="Q312" s="26" t="n"/>
      <c r="R312" s="27">
        <f>IF(C312="","",H312+N(Q312))</f>
        <v/>
      </c>
      <c r="S312" s="29">
        <f>IFERROR(Q312/R312,"")</f>
        <v/>
      </c>
      <c r="T312" s="26" t="n"/>
      <c r="U312" s="26" t="n"/>
      <c r="V312" s="27">
        <f>IF(C312="","",N(T312)+N(U312))</f>
        <v/>
      </c>
      <c r="W312" s="27">
        <f>IF(C312="","",H312-V312)</f>
        <v/>
      </c>
      <c r="X312" s="29">
        <f>IFERROR(W312/H312,"")</f>
        <v/>
      </c>
      <c r="Y312" s="64" t="n"/>
      <c r="Z312" s="64" t="n"/>
      <c r="AA312" s="64" t="n"/>
      <c r="AB312" s="64" t="n"/>
      <c r="AC312" s="64" t="n"/>
      <c r="AD312" s="24" t="n"/>
    </row>
    <row r="313" ht="15" customHeight="1">
      <c r="A313" s="63">
        <f>IF(C313="","",IFERROR(IF(SUMPRODUCT(MAX((tbl_Finance[Job Number]=C313&amp;"")*(tbl_Finance[Xero Invoice No]&lt;&gt;"")*tbl_Finance[Date]))=0,"",SUMPRODUCT(MAX((tbl_Finance[Job Number]=C313&amp;"")*(tbl_Finance[Xero Invoice No]&lt;&gt;"")*tbl_Finance[Date]))),""))</f>
        <v/>
      </c>
      <c r="B313" s="25">
        <f>IF(C313="","",IF(COUNTIFS(tbl_Finance[Job Number],C313&amp;"",tbl_Finance[Xero Invoice No],"&lt;&gt;")=0,"",IFERROR(IF(COUNTIFS(tbl_Finance[Job Number],C313&amp;"",tbl_Finance[Xero Invoice No],LOOKUP(2,1/((tbl_Finance[Job Number]=C313&amp;"")*(tbl_Finance[Xero Invoice No]&lt;&gt;"")),tbl_Finance[Xero Invoice No]))=COUNTIFS(tbl_Finance[Job Number],C313&amp;"",tbl_Finance[Xero Invoice No],"&lt;&gt;"),LOOKUP(2,1/((tbl_Finance[Job Number]=C313&amp;"")*(tbl_Finance[Xero Invoice No]&lt;&gt;"")),tbl_Finance[Xero Invoice No]),LOOKUP(2,1/((tbl_Finance[Job Number]=C313&amp;"")*(tbl_Finance[Xero Invoice No]&lt;&gt;"")),tbl_Finance[Xero Invoice No])&amp;" +more"),"")))</f>
        <v/>
      </c>
      <c r="C313" s="24" t="n"/>
      <c r="D313" s="25">
        <f>IF(C313="","",IF(COUNTIF(lst_Jobs,C313&amp;"")&gt;0,"OK","CHECK"))</f>
        <v/>
      </c>
      <c r="E313" s="25">
        <f>IF(C313="","",IFERROR(INDEX(lst_JobName,MATCH(C313&amp;"",lst_Jobs,0)),""))</f>
        <v/>
      </c>
      <c r="F313" s="25">
        <f>IF(C313="","",IFERROR(INDEX(tbl_Finance[Client],MATCH(C313&amp;"",tbl_Finance[Job Number],0)),""))</f>
        <v/>
      </c>
      <c r="G313" s="28">
        <f>IF(C313="","",COUNTIFS(tbl_Finance[Job Number],C313&amp;"",tbl_Finance[Ex GST],"&lt;&gt;"))</f>
        <v/>
      </c>
      <c r="H313" s="27">
        <f>IF(C313="","",SUMIFS(tbl_Finance[Ex GST],tbl_Finance[Job Number],C313&amp;""))</f>
        <v/>
      </c>
      <c r="I313" s="27">
        <f>IF(C313="","",SUMIFS(tbl_Finance[Ex GST],tbl_Finance[Job Number],C313&amp;"",tbl_Finance[Xero Invoice No],"&lt;&gt;"))</f>
        <v/>
      </c>
      <c r="J313" s="27">
        <f>IF(C313="","",H313-I313)</f>
        <v/>
      </c>
      <c r="K313" s="25">
        <f>IF(C313="","",IF(G313=0,"not invoiced yet",SUBSTITUTE(TRIM(IF(COUNTIFS(tbl_Finance[Job Number],C313&amp;"",tbl_Finance[Cost Centre],"ONSITE")&gt;0,"ONSITE ","")&amp;IF(COUNTIFS(tbl_Finance[Job Number],C313&amp;"",tbl_Finance[Cost Centre],"PRODUCTION")&gt;0,"PRODUCTION ","")&amp;IF(COUNTIFS(tbl_Finance[Job Number],C313&amp;"",tbl_Finance[Cost Centre],"VIDEO")&gt;0,"VIDEO ","")&amp;IF(COUNTIFS(tbl_Finance[Job Number],C313&amp;"",tbl_Finance[Cost Centre],"INTEGRATION")&gt;0,"INTEGRATION ","")&amp;IF(COUNTIFS(tbl_Finance[Job Number],C313&amp;"",tbl_Finance[Cost Centre],"CONSULTING")&gt;0,"CONSULTING ","")&amp;IF(COUNTIFS(tbl_Finance[Job Number],C313&amp;"",tbl_Finance[Cost Centre],"CTS")&gt;0,"CTS ",""))," ",", ")))</f>
        <v/>
      </c>
      <c r="L313" s="22" t="n"/>
      <c r="M313" s="24" t="n"/>
      <c r="N313" s="25">
        <f>IF(M313="","",IF(AND(LEFT(M313,4)&lt;&gt;"http",set_RMSBase=""),"",HYPERLINK(IF(LEFT(M313,4)="http",M313,set_RMSBase&amp;M313),"Open opportunity")))</f>
        <v/>
      </c>
      <c r="O313" s="25">
        <f>IF(C313="","",C313)</f>
        <v/>
      </c>
      <c r="P313" s="24" t="n"/>
      <c r="Q313" s="26" t="n"/>
      <c r="R313" s="27">
        <f>IF(C313="","",H313+N(Q313))</f>
        <v/>
      </c>
      <c r="S313" s="29">
        <f>IFERROR(Q313/R313,"")</f>
        <v/>
      </c>
      <c r="T313" s="26" t="n"/>
      <c r="U313" s="26" t="n"/>
      <c r="V313" s="27">
        <f>IF(C313="","",N(T313)+N(U313))</f>
        <v/>
      </c>
      <c r="W313" s="27">
        <f>IF(C313="","",H313-V313)</f>
        <v/>
      </c>
      <c r="X313" s="29">
        <f>IFERROR(W313/H313,"")</f>
        <v/>
      </c>
      <c r="Y313" s="64" t="n"/>
      <c r="Z313" s="64" t="n"/>
      <c r="AA313" s="64" t="n"/>
      <c r="AB313" s="64" t="n"/>
      <c r="AC313" s="64" t="n"/>
      <c r="AD313" s="24" t="n"/>
    </row>
    <row r="314" ht="15" customHeight="1">
      <c r="A314" s="63">
        <f>IF(C314="","",IFERROR(IF(SUMPRODUCT(MAX((tbl_Finance[Job Number]=C314&amp;"")*(tbl_Finance[Xero Invoice No]&lt;&gt;"")*tbl_Finance[Date]))=0,"",SUMPRODUCT(MAX((tbl_Finance[Job Number]=C314&amp;"")*(tbl_Finance[Xero Invoice No]&lt;&gt;"")*tbl_Finance[Date]))),""))</f>
        <v/>
      </c>
      <c r="B314" s="25">
        <f>IF(C314="","",IF(COUNTIFS(tbl_Finance[Job Number],C314&amp;"",tbl_Finance[Xero Invoice No],"&lt;&gt;")=0,"",IFERROR(IF(COUNTIFS(tbl_Finance[Job Number],C314&amp;"",tbl_Finance[Xero Invoice No],LOOKUP(2,1/((tbl_Finance[Job Number]=C314&amp;"")*(tbl_Finance[Xero Invoice No]&lt;&gt;"")),tbl_Finance[Xero Invoice No]))=COUNTIFS(tbl_Finance[Job Number],C314&amp;"",tbl_Finance[Xero Invoice No],"&lt;&gt;"),LOOKUP(2,1/((tbl_Finance[Job Number]=C314&amp;"")*(tbl_Finance[Xero Invoice No]&lt;&gt;"")),tbl_Finance[Xero Invoice No]),LOOKUP(2,1/((tbl_Finance[Job Number]=C314&amp;"")*(tbl_Finance[Xero Invoice No]&lt;&gt;"")),tbl_Finance[Xero Invoice No])&amp;" +more"),"")))</f>
        <v/>
      </c>
      <c r="C314" s="24" t="n"/>
      <c r="D314" s="25">
        <f>IF(C314="","",IF(COUNTIF(lst_Jobs,C314&amp;"")&gt;0,"OK","CHECK"))</f>
        <v/>
      </c>
      <c r="E314" s="25">
        <f>IF(C314="","",IFERROR(INDEX(lst_JobName,MATCH(C314&amp;"",lst_Jobs,0)),""))</f>
        <v/>
      </c>
      <c r="F314" s="25">
        <f>IF(C314="","",IFERROR(INDEX(tbl_Finance[Client],MATCH(C314&amp;"",tbl_Finance[Job Number],0)),""))</f>
        <v/>
      </c>
      <c r="G314" s="28">
        <f>IF(C314="","",COUNTIFS(tbl_Finance[Job Number],C314&amp;"",tbl_Finance[Ex GST],"&lt;&gt;"))</f>
        <v/>
      </c>
      <c r="H314" s="27">
        <f>IF(C314="","",SUMIFS(tbl_Finance[Ex GST],tbl_Finance[Job Number],C314&amp;""))</f>
        <v/>
      </c>
      <c r="I314" s="27">
        <f>IF(C314="","",SUMIFS(tbl_Finance[Ex GST],tbl_Finance[Job Number],C314&amp;"",tbl_Finance[Xero Invoice No],"&lt;&gt;"))</f>
        <v/>
      </c>
      <c r="J314" s="27">
        <f>IF(C314="","",H314-I314)</f>
        <v/>
      </c>
      <c r="K314" s="25">
        <f>IF(C314="","",IF(G314=0,"not invoiced yet",SUBSTITUTE(TRIM(IF(COUNTIFS(tbl_Finance[Job Number],C314&amp;"",tbl_Finance[Cost Centre],"ONSITE")&gt;0,"ONSITE ","")&amp;IF(COUNTIFS(tbl_Finance[Job Number],C314&amp;"",tbl_Finance[Cost Centre],"PRODUCTION")&gt;0,"PRODUCTION ","")&amp;IF(COUNTIFS(tbl_Finance[Job Number],C314&amp;"",tbl_Finance[Cost Centre],"VIDEO")&gt;0,"VIDEO ","")&amp;IF(COUNTIFS(tbl_Finance[Job Number],C314&amp;"",tbl_Finance[Cost Centre],"INTEGRATION")&gt;0,"INTEGRATION ","")&amp;IF(COUNTIFS(tbl_Finance[Job Number],C314&amp;"",tbl_Finance[Cost Centre],"CONSULTING")&gt;0,"CONSULTING ","")&amp;IF(COUNTIFS(tbl_Finance[Job Number],C314&amp;"",tbl_Finance[Cost Centre],"CTS")&gt;0,"CTS ",""))," ",", ")))</f>
        <v/>
      </c>
      <c r="L314" s="22" t="n"/>
      <c r="M314" s="24" t="n"/>
      <c r="N314" s="25">
        <f>IF(M314="","",IF(AND(LEFT(M314,4)&lt;&gt;"http",set_RMSBase=""),"",HYPERLINK(IF(LEFT(M314,4)="http",M314,set_RMSBase&amp;M314),"Open opportunity")))</f>
        <v/>
      </c>
      <c r="O314" s="25">
        <f>IF(C314="","",C314)</f>
        <v/>
      </c>
      <c r="P314" s="24" t="n"/>
      <c r="Q314" s="26" t="n"/>
      <c r="R314" s="27">
        <f>IF(C314="","",H314+N(Q314))</f>
        <v/>
      </c>
      <c r="S314" s="29">
        <f>IFERROR(Q314/R314,"")</f>
        <v/>
      </c>
      <c r="T314" s="26" t="n"/>
      <c r="U314" s="26" t="n"/>
      <c r="V314" s="27">
        <f>IF(C314="","",N(T314)+N(U314))</f>
        <v/>
      </c>
      <c r="W314" s="27">
        <f>IF(C314="","",H314-V314)</f>
        <v/>
      </c>
      <c r="X314" s="29">
        <f>IFERROR(W314/H314,"")</f>
        <v/>
      </c>
      <c r="Y314" s="64" t="n"/>
      <c r="Z314" s="64" t="n"/>
      <c r="AA314" s="64" t="n"/>
      <c r="AB314" s="64" t="n"/>
      <c r="AC314" s="64" t="n"/>
      <c r="AD314" s="24" t="n"/>
    </row>
    <row r="315" ht="15" customHeight="1">
      <c r="A315" s="63">
        <f>IF(C315="","",IFERROR(IF(SUMPRODUCT(MAX((tbl_Finance[Job Number]=C315&amp;"")*(tbl_Finance[Xero Invoice No]&lt;&gt;"")*tbl_Finance[Date]))=0,"",SUMPRODUCT(MAX((tbl_Finance[Job Number]=C315&amp;"")*(tbl_Finance[Xero Invoice No]&lt;&gt;"")*tbl_Finance[Date]))),""))</f>
        <v/>
      </c>
      <c r="B315" s="25">
        <f>IF(C315="","",IF(COUNTIFS(tbl_Finance[Job Number],C315&amp;"",tbl_Finance[Xero Invoice No],"&lt;&gt;")=0,"",IFERROR(IF(COUNTIFS(tbl_Finance[Job Number],C315&amp;"",tbl_Finance[Xero Invoice No],LOOKUP(2,1/((tbl_Finance[Job Number]=C315&amp;"")*(tbl_Finance[Xero Invoice No]&lt;&gt;"")),tbl_Finance[Xero Invoice No]))=COUNTIFS(tbl_Finance[Job Number],C315&amp;"",tbl_Finance[Xero Invoice No],"&lt;&gt;"),LOOKUP(2,1/((tbl_Finance[Job Number]=C315&amp;"")*(tbl_Finance[Xero Invoice No]&lt;&gt;"")),tbl_Finance[Xero Invoice No]),LOOKUP(2,1/((tbl_Finance[Job Number]=C315&amp;"")*(tbl_Finance[Xero Invoice No]&lt;&gt;"")),tbl_Finance[Xero Invoice No])&amp;" +more"),"")))</f>
        <v/>
      </c>
      <c r="C315" s="24" t="n"/>
      <c r="D315" s="25">
        <f>IF(C315="","",IF(COUNTIF(lst_Jobs,C315&amp;"")&gt;0,"OK","CHECK"))</f>
        <v/>
      </c>
      <c r="E315" s="25">
        <f>IF(C315="","",IFERROR(INDEX(lst_JobName,MATCH(C315&amp;"",lst_Jobs,0)),""))</f>
        <v/>
      </c>
      <c r="F315" s="25">
        <f>IF(C315="","",IFERROR(INDEX(tbl_Finance[Client],MATCH(C315&amp;"",tbl_Finance[Job Number],0)),""))</f>
        <v/>
      </c>
      <c r="G315" s="28">
        <f>IF(C315="","",COUNTIFS(tbl_Finance[Job Number],C315&amp;"",tbl_Finance[Ex GST],"&lt;&gt;"))</f>
        <v/>
      </c>
      <c r="H315" s="27">
        <f>IF(C315="","",SUMIFS(tbl_Finance[Ex GST],tbl_Finance[Job Number],C315&amp;""))</f>
        <v/>
      </c>
      <c r="I315" s="27">
        <f>IF(C315="","",SUMIFS(tbl_Finance[Ex GST],tbl_Finance[Job Number],C315&amp;"",tbl_Finance[Xero Invoice No],"&lt;&gt;"))</f>
        <v/>
      </c>
      <c r="J315" s="27">
        <f>IF(C315="","",H315-I315)</f>
        <v/>
      </c>
      <c r="K315" s="25">
        <f>IF(C315="","",IF(G315=0,"not invoiced yet",SUBSTITUTE(TRIM(IF(COUNTIFS(tbl_Finance[Job Number],C315&amp;"",tbl_Finance[Cost Centre],"ONSITE")&gt;0,"ONSITE ","")&amp;IF(COUNTIFS(tbl_Finance[Job Number],C315&amp;"",tbl_Finance[Cost Centre],"PRODUCTION")&gt;0,"PRODUCTION ","")&amp;IF(COUNTIFS(tbl_Finance[Job Number],C315&amp;"",tbl_Finance[Cost Centre],"VIDEO")&gt;0,"VIDEO ","")&amp;IF(COUNTIFS(tbl_Finance[Job Number],C315&amp;"",tbl_Finance[Cost Centre],"INTEGRATION")&gt;0,"INTEGRATION ","")&amp;IF(COUNTIFS(tbl_Finance[Job Number],C315&amp;"",tbl_Finance[Cost Centre],"CONSULTING")&gt;0,"CONSULTING ","")&amp;IF(COUNTIFS(tbl_Finance[Job Number],C315&amp;"",tbl_Finance[Cost Centre],"CTS")&gt;0,"CTS ",""))," ",", ")))</f>
        <v/>
      </c>
      <c r="L315" s="22" t="n"/>
      <c r="M315" s="24" t="n"/>
      <c r="N315" s="25">
        <f>IF(M315="","",IF(AND(LEFT(M315,4)&lt;&gt;"http",set_RMSBase=""),"",HYPERLINK(IF(LEFT(M315,4)="http",M315,set_RMSBase&amp;M315),"Open opportunity")))</f>
        <v/>
      </c>
      <c r="O315" s="25">
        <f>IF(C315="","",C315)</f>
        <v/>
      </c>
      <c r="P315" s="24" t="n"/>
      <c r="Q315" s="26" t="n"/>
      <c r="R315" s="27">
        <f>IF(C315="","",H315+N(Q315))</f>
        <v/>
      </c>
      <c r="S315" s="29">
        <f>IFERROR(Q315/R315,"")</f>
        <v/>
      </c>
      <c r="T315" s="26" t="n"/>
      <c r="U315" s="26" t="n"/>
      <c r="V315" s="27">
        <f>IF(C315="","",N(T315)+N(U315))</f>
        <v/>
      </c>
      <c r="W315" s="27">
        <f>IF(C315="","",H315-V315)</f>
        <v/>
      </c>
      <c r="X315" s="29">
        <f>IFERROR(W315/H315,"")</f>
        <v/>
      </c>
      <c r="Y315" s="64" t="n"/>
      <c r="Z315" s="64" t="n"/>
      <c r="AA315" s="64" t="n"/>
      <c r="AB315" s="64" t="n"/>
      <c r="AC315" s="64" t="n"/>
      <c r="AD315" s="24" t="n"/>
    </row>
    <row r="316" ht="15" customHeight="1">
      <c r="A316" s="63">
        <f>IF(C316="","",IFERROR(IF(SUMPRODUCT(MAX((tbl_Finance[Job Number]=C316&amp;"")*(tbl_Finance[Xero Invoice No]&lt;&gt;"")*tbl_Finance[Date]))=0,"",SUMPRODUCT(MAX((tbl_Finance[Job Number]=C316&amp;"")*(tbl_Finance[Xero Invoice No]&lt;&gt;"")*tbl_Finance[Date]))),""))</f>
        <v/>
      </c>
      <c r="B316" s="25">
        <f>IF(C316="","",IF(COUNTIFS(tbl_Finance[Job Number],C316&amp;"",tbl_Finance[Xero Invoice No],"&lt;&gt;")=0,"",IFERROR(IF(COUNTIFS(tbl_Finance[Job Number],C316&amp;"",tbl_Finance[Xero Invoice No],LOOKUP(2,1/((tbl_Finance[Job Number]=C316&amp;"")*(tbl_Finance[Xero Invoice No]&lt;&gt;"")),tbl_Finance[Xero Invoice No]))=COUNTIFS(tbl_Finance[Job Number],C316&amp;"",tbl_Finance[Xero Invoice No],"&lt;&gt;"),LOOKUP(2,1/((tbl_Finance[Job Number]=C316&amp;"")*(tbl_Finance[Xero Invoice No]&lt;&gt;"")),tbl_Finance[Xero Invoice No]),LOOKUP(2,1/((tbl_Finance[Job Number]=C316&amp;"")*(tbl_Finance[Xero Invoice No]&lt;&gt;"")),tbl_Finance[Xero Invoice No])&amp;" +more"),"")))</f>
        <v/>
      </c>
      <c r="C316" s="24" t="n"/>
      <c r="D316" s="25">
        <f>IF(C316="","",IF(COUNTIF(lst_Jobs,C316&amp;"")&gt;0,"OK","CHECK"))</f>
        <v/>
      </c>
      <c r="E316" s="25">
        <f>IF(C316="","",IFERROR(INDEX(lst_JobName,MATCH(C316&amp;"",lst_Jobs,0)),""))</f>
        <v/>
      </c>
      <c r="F316" s="25">
        <f>IF(C316="","",IFERROR(INDEX(tbl_Finance[Client],MATCH(C316&amp;"",tbl_Finance[Job Number],0)),""))</f>
        <v/>
      </c>
      <c r="G316" s="28">
        <f>IF(C316="","",COUNTIFS(tbl_Finance[Job Number],C316&amp;"",tbl_Finance[Ex GST],"&lt;&gt;"))</f>
        <v/>
      </c>
      <c r="H316" s="27">
        <f>IF(C316="","",SUMIFS(tbl_Finance[Ex GST],tbl_Finance[Job Number],C316&amp;""))</f>
        <v/>
      </c>
      <c r="I316" s="27">
        <f>IF(C316="","",SUMIFS(tbl_Finance[Ex GST],tbl_Finance[Job Number],C316&amp;"",tbl_Finance[Xero Invoice No],"&lt;&gt;"))</f>
        <v/>
      </c>
      <c r="J316" s="27">
        <f>IF(C316="","",H316-I316)</f>
        <v/>
      </c>
      <c r="K316" s="25">
        <f>IF(C316="","",IF(G316=0,"not invoiced yet",SUBSTITUTE(TRIM(IF(COUNTIFS(tbl_Finance[Job Number],C316&amp;"",tbl_Finance[Cost Centre],"ONSITE")&gt;0,"ONSITE ","")&amp;IF(COUNTIFS(tbl_Finance[Job Number],C316&amp;"",tbl_Finance[Cost Centre],"PRODUCTION")&gt;0,"PRODUCTION ","")&amp;IF(COUNTIFS(tbl_Finance[Job Number],C316&amp;"",tbl_Finance[Cost Centre],"VIDEO")&gt;0,"VIDEO ","")&amp;IF(COUNTIFS(tbl_Finance[Job Number],C316&amp;"",tbl_Finance[Cost Centre],"INTEGRATION")&gt;0,"INTEGRATION ","")&amp;IF(COUNTIFS(tbl_Finance[Job Number],C316&amp;"",tbl_Finance[Cost Centre],"CONSULTING")&gt;0,"CONSULTING ","")&amp;IF(COUNTIFS(tbl_Finance[Job Number],C316&amp;"",tbl_Finance[Cost Centre],"CTS")&gt;0,"CTS ",""))," ",", ")))</f>
        <v/>
      </c>
      <c r="L316" s="22" t="n"/>
      <c r="M316" s="24" t="n"/>
      <c r="N316" s="25">
        <f>IF(M316="","",IF(AND(LEFT(M316,4)&lt;&gt;"http",set_RMSBase=""),"",HYPERLINK(IF(LEFT(M316,4)="http",M316,set_RMSBase&amp;M316),"Open opportunity")))</f>
        <v/>
      </c>
      <c r="O316" s="25">
        <f>IF(C316="","",C316)</f>
        <v/>
      </c>
      <c r="P316" s="24" t="n"/>
      <c r="Q316" s="26" t="n"/>
      <c r="R316" s="27">
        <f>IF(C316="","",H316+N(Q316))</f>
        <v/>
      </c>
      <c r="S316" s="29">
        <f>IFERROR(Q316/R316,"")</f>
        <v/>
      </c>
      <c r="T316" s="26" t="n"/>
      <c r="U316" s="26" t="n"/>
      <c r="V316" s="27">
        <f>IF(C316="","",N(T316)+N(U316))</f>
        <v/>
      </c>
      <c r="W316" s="27">
        <f>IF(C316="","",H316-V316)</f>
        <v/>
      </c>
      <c r="X316" s="29">
        <f>IFERROR(W316/H316,"")</f>
        <v/>
      </c>
      <c r="Y316" s="64" t="n"/>
      <c r="Z316" s="64" t="n"/>
      <c r="AA316" s="64" t="n"/>
      <c r="AB316" s="64" t="n"/>
      <c r="AC316" s="64" t="n"/>
      <c r="AD316" s="24" t="n"/>
    </row>
    <row r="317" ht="15" customHeight="1">
      <c r="A317" s="63">
        <f>IF(C317="","",IFERROR(IF(SUMPRODUCT(MAX((tbl_Finance[Job Number]=C317&amp;"")*(tbl_Finance[Xero Invoice No]&lt;&gt;"")*tbl_Finance[Date]))=0,"",SUMPRODUCT(MAX((tbl_Finance[Job Number]=C317&amp;"")*(tbl_Finance[Xero Invoice No]&lt;&gt;"")*tbl_Finance[Date]))),""))</f>
        <v/>
      </c>
      <c r="B317" s="25">
        <f>IF(C317="","",IF(COUNTIFS(tbl_Finance[Job Number],C317&amp;"",tbl_Finance[Xero Invoice No],"&lt;&gt;")=0,"",IFERROR(IF(COUNTIFS(tbl_Finance[Job Number],C317&amp;"",tbl_Finance[Xero Invoice No],LOOKUP(2,1/((tbl_Finance[Job Number]=C317&amp;"")*(tbl_Finance[Xero Invoice No]&lt;&gt;"")),tbl_Finance[Xero Invoice No]))=COUNTIFS(tbl_Finance[Job Number],C317&amp;"",tbl_Finance[Xero Invoice No],"&lt;&gt;"),LOOKUP(2,1/((tbl_Finance[Job Number]=C317&amp;"")*(tbl_Finance[Xero Invoice No]&lt;&gt;"")),tbl_Finance[Xero Invoice No]),LOOKUP(2,1/((tbl_Finance[Job Number]=C317&amp;"")*(tbl_Finance[Xero Invoice No]&lt;&gt;"")),tbl_Finance[Xero Invoice No])&amp;" +more"),"")))</f>
        <v/>
      </c>
      <c r="C317" s="24" t="n"/>
      <c r="D317" s="25">
        <f>IF(C317="","",IF(COUNTIF(lst_Jobs,C317&amp;"")&gt;0,"OK","CHECK"))</f>
        <v/>
      </c>
      <c r="E317" s="25">
        <f>IF(C317="","",IFERROR(INDEX(lst_JobName,MATCH(C317&amp;"",lst_Jobs,0)),""))</f>
        <v/>
      </c>
      <c r="F317" s="25">
        <f>IF(C317="","",IFERROR(INDEX(tbl_Finance[Client],MATCH(C317&amp;"",tbl_Finance[Job Number],0)),""))</f>
        <v/>
      </c>
      <c r="G317" s="28">
        <f>IF(C317="","",COUNTIFS(tbl_Finance[Job Number],C317&amp;"",tbl_Finance[Ex GST],"&lt;&gt;"))</f>
        <v/>
      </c>
      <c r="H317" s="27">
        <f>IF(C317="","",SUMIFS(tbl_Finance[Ex GST],tbl_Finance[Job Number],C317&amp;""))</f>
        <v/>
      </c>
      <c r="I317" s="27">
        <f>IF(C317="","",SUMIFS(tbl_Finance[Ex GST],tbl_Finance[Job Number],C317&amp;"",tbl_Finance[Xero Invoice No],"&lt;&gt;"))</f>
        <v/>
      </c>
      <c r="J317" s="27">
        <f>IF(C317="","",H317-I317)</f>
        <v/>
      </c>
      <c r="K317" s="25">
        <f>IF(C317="","",IF(G317=0,"not invoiced yet",SUBSTITUTE(TRIM(IF(COUNTIFS(tbl_Finance[Job Number],C317&amp;"",tbl_Finance[Cost Centre],"ONSITE")&gt;0,"ONSITE ","")&amp;IF(COUNTIFS(tbl_Finance[Job Number],C317&amp;"",tbl_Finance[Cost Centre],"PRODUCTION")&gt;0,"PRODUCTION ","")&amp;IF(COUNTIFS(tbl_Finance[Job Number],C317&amp;"",tbl_Finance[Cost Centre],"VIDEO")&gt;0,"VIDEO ","")&amp;IF(COUNTIFS(tbl_Finance[Job Number],C317&amp;"",tbl_Finance[Cost Centre],"INTEGRATION")&gt;0,"INTEGRATION ","")&amp;IF(COUNTIFS(tbl_Finance[Job Number],C317&amp;"",tbl_Finance[Cost Centre],"CONSULTING")&gt;0,"CONSULTING ","")&amp;IF(COUNTIFS(tbl_Finance[Job Number],C317&amp;"",tbl_Finance[Cost Centre],"CTS")&gt;0,"CTS ",""))," ",", ")))</f>
        <v/>
      </c>
      <c r="L317" s="22" t="n"/>
      <c r="M317" s="24" t="n"/>
      <c r="N317" s="25">
        <f>IF(M317="","",IF(AND(LEFT(M317,4)&lt;&gt;"http",set_RMSBase=""),"",HYPERLINK(IF(LEFT(M317,4)="http",M317,set_RMSBase&amp;M317),"Open opportunity")))</f>
        <v/>
      </c>
      <c r="O317" s="25">
        <f>IF(C317="","",C317)</f>
        <v/>
      </c>
      <c r="P317" s="24" t="n"/>
      <c r="Q317" s="26" t="n"/>
      <c r="R317" s="27">
        <f>IF(C317="","",H317+N(Q317))</f>
        <v/>
      </c>
      <c r="S317" s="29">
        <f>IFERROR(Q317/R317,"")</f>
        <v/>
      </c>
      <c r="T317" s="26" t="n"/>
      <c r="U317" s="26" t="n"/>
      <c r="V317" s="27">
        <f>IF(C317="","",N(T317)+N(U317))</f>
        <v/>
      </c>
      <c r="W317" s="27">
        <f>IF(C317="","",H317-V317)</f>
        <v/>
      </c>
      <c r="X317" s="29">
        <f>IFERROR(W317/H317,"")</f>
        <v/>
      </c>
      <c r="Y317" s="64" t="n"/>
      <c r="Z317" s="64" t="n"/>
      <c r="AA317" s="64" t="n"/>
      <c r="AB317" s="64" t="n"/>
      <c r="AC317" s="64" t="n"/>
      <c r="AD317" s="24" t="n"/>
    </row>
    <row r="318" ht="15" customHeight="1">
      <c r="A318" s="63">
        <f>IF(C318="","",IFERROR(IF(SUMPRODUCT(MAX((tbl_Finance[Job Number]=C318&amp;"")*(tbl_Finance[Xero Invoice No]&lt;&gt;"")*tbl_Finance[Date]))=0,"",SUMPRODUCT(MAX((tbl_Finance[Job Number]=C318&amp;"")*(tbl_Finance[Xero Invoice No]&lt;&gt;"")*tbl_Finance[Date]))),""))</f>
        <v/>
      </c>
      <c r="B318" s="25">
        <f>IF(C318="","",IF(COUNTIFS(tbl_Finance[Job Number],C318&amp;"",tbl_Finance[Xero Invoice No],"&lt;&gt;")=0,"",IFERROR(IF(COUNTIFS(tbl_Finance[Job Number],C318&amp;"",tbl_Finance[Xero Invoice No],LOOKUP(2,1/((tbl_Finance[Job Number]=C318&amp;"")*(tbl_Finance[Xero Invoice No]&lt;&gt;"")),tbl_Finance[Xero Invoice No]))=COUNTIFS(tbl_Finance[Job Number],C318&amp;"",tbl_Finance[Xero Invoice No],"&lt;&gt;"),LOOKUP(2,1/((tbl_Finance[Job Number]=C318&amp;"")*(tbl_Finance[Xero Invoice No]&lt;&gt;"")),tbl_Finance[Xero Invoice No]),LOOKUP(2,1/((tbl_Finance[Job Number]=C318&amp;"")*(tbl_Finance[Xero Invoice No]&lt;&gt;"")),tbl_Finance[Xero Invoice No])&amp;" +more"),"")))</f>
        <v/>
      </c>
      <c r="C318" s="24" t="n"/>
      <c r="D318" s="25">
        <f>IF(C318="","",IF(COUNTIF(lst_Jobs,C318&amp;"")&gt;0,"OK","CHECK"))</f>
        <v/>
      </c>
      <c r="E318" s="25">
        <f>IF(C318="","",IFERROR(INDEX(lst_JobName,MATCH(C318&amp;"",lst_Jobs,0)),""))</f>
        <v/>
      </c>
      <c r="F318" s="25">
        <f>IF(C318="","",IFERROR(INDEX(tbl_Finance[Client],MATCH(C318&amp;"",tbl_Finance[Job Number],0)),""))</f>
        <v/>
      </c>
      <c r="G318" s="28">
        <f>IF(C318="","",COUNTIFS(tbl_Finance[Job Number],C318&amp;"",tbl_Finance[Ex GST],"&lt;&gt;"))</f>
        <v/>
      </c>
      <c r="H318" s="27">
        <f>IF(C318="","",SUMIFS(tbl_Finance[Ex GST],tbl_Finance[Job Number],C318&amp;""))</f>
        <v/>
      </c>
      <c r="I318" s="27">
        <f>IF(C318="","",SUMIFS(tbl_Finance[Ex GST],tbl_Finance[Job Number],C318&amp;"",tbl_Finance[Xero Invoice No],"&lt;&gt;"))</f>
        <v/>
      </c>
      <c r="J318" s="27">
        <f>IF(C318="","",H318-I318)</f>
        <v/>
      </c>
      <c r="K318" s="25">
        <f>IF(C318="","",IF(G318=0,"not invoiced yet",SUBSTITUTE(TRIM(IF(COUNTIFS(tbl_Finance[Job Number],C318&amp;"",tbl_Finance[Cost Centre],"ONSITE")&gt;0,"ONSITE ","")&amp;IF(COUNTIFS(tbl_Finance[Job Number],C318&amp;"",tbl_Finance[Cost Centre],"PRODUCTION")&gt;0,"PRODUCTION ","")&amp;IF(COUNTIFS(tbl_Finance[Job Number],C318&amp;"",tbl_Finance[Cost Centre],"VIDEO")&gt;0,"VIDEO ","")&amp;IF(COUNTIFS(tbl_Finance[Job Number],C318&amp;"",tbl_Finance[Cost Centre],"INTEGRATION")&gt;0,"INTEGRATION ","")&amp;IF(COUNTIFS(tbl_Finance[Job Number],C318&amp;"",tbl_Finance[Cost Centre],"CONSULTING")&gt;0,"CONSULTING ","")&amp;IF(COUNTIFS(tbl_Finance[Job Number],C318&amp;"",tbl_Finance[Cost Centre],"CTS")&gt;0,"CTS ",""))," ",", ")))</f>
        <v/>
      </c>
      <c r="L318" s="22" t="n"/>
      <c r="M318" s="24" t="n"/>
      <c r="N318" s="25">
        <f>IF(M318="","",IF(AND(LEFT(M318,4)&lt;&gt;"http",set_RMSBase=""),"",HYPERLINK(IF(LEFT(M318,4)="http",M318,set_RMSBase&amp;M318),"Open opportunity")))</f>
        <v/>
      </c>
      <c r="O318" s="25">
        <f>IF(C318="","",C318)</f>
        <v/>
      </c>
      <c r="P318" s="24" t="n"/>
      <c r="Q318" s="26" t="n"/>
      <c r="R318" s="27">
        <f>IF(C318="","",H318+N(Q318))</f>
        <v/>
      </c>
      <c r="S318" s="29">
        <f>IFERROR(Q318/R318,"")</f>
        <v/>
      </c>
      <c r="T318" s="26" t="n"/>
      <c r="U318" s="26" t="n"/>
      <c r="V318" s="27">
        <f>IF(C318="","",N(T318)+N(U318))</f>
        <v/>
      </c>
      <c r="W318" s="27">
        <f>IF(C318="","",H318-V318)</f>
        <v/>
      </c>
      <c r="X318" s="29">
        <f>IFERROR(W318/H318,"")</f>
        <v/>
      </c>
      <c r="Y318" s="64" t="n"/>
      <c r="Z318" s="64" t="n"/>
      <c r="AA318" s="64" t="n"/>
      <c r="AB318" s="64" t="n"/>
      <c r="AC318" s="64" t="n"/>
      <c r="AD318" s="24" t="n"/>
    </row>
    <row r="319" ht="15" customHeight="1">
      <c r="A319" s="63">
        <f>IF(C319="","",IFERROR(IF(SUMPRODUCT(MAX((tbl_Finance[Job Number]=C319&amp;"")*(tbl_Finance[Xero Invoice No]&lt;&gt;"")*tbl_Finance[Date]))=0,"",SUMPRODUCT(MAX((tbl_Finance[Job Number]=C319&amp;"")*(tbl_Finance[Xero Invoice No]&lt;&gt;"")*tbl_Finance[Date]))),""))</f>
        <v/>
      </c>
      <c r="B319" s="25">
        <f>IF(C319="","",IF(COUNTIFS(tbl_Finance[Job Number],C319&amp;"",tbl_Finance[Xero Invoice No],"&lt;&gt;")=0,"",IFERROR(IF(COUNTIFS(tbl_Finance[Job Number],C319&amp;"",tbl_Finance[Xero Invoice No],LOOKUP(2,1/((tbl_Finance[Job Number]=C319&amp;"")*(tbl_Finance[Xero Invoice No]&lt;&gt;"")),tbl_Finance[Xero Invoice No]))=COUNTIFS(tbl_Finance[Job Number],C319&amp;"",tbl_Finance[Xero Invoice No],"&lt;&gt;"),LOOKUP(2,1/((tbl_Finance[Job Number]=C319&amp;"")*(tbl_Finance[Xero Invoice No]&lt;&gt;"")),tbl_Finance[Xero Invoice No]),LOOKUP(2,1/((tbl_Finance[Job Number]=C319&amp;"")*(tbl_Finance[Xero Invoice No]&lt;&gt;"")),tbl_Finance[Xero Invoice No])&amp;" +more"),"")))</f>
        <v/>
      </c>
      <c r="C319" s="24" t="n"/>
      <c r="D319" s="25">
        <f>IF(C319="","",IF(COUNTIF(lst_Jobs,C319&amp;"")&gt;0,"OK","CHECK"))</f>
        <v/>
      </c>
      <c r="E319" s="25">
        <f>IF(C319="","",IFERROR(INDEX(lst_JobName,MATCH(C319&amp;"",lst_Jobs,0)),""))</f>
        <v/>
      </c>
      <c r="F319" s="25">
        <f>IF(C319="","",IFERROR(INDEX(tbl_Finance[Client],MATCH(C319&amp;"",tbl_Finance[Job Number],0)),""))</f>
        <v/>
      </c>
      <c r="G319" s="28">
        <f>IF(C319="","",COUNTIFS(tbl_Finance[Job Number],C319&amp;"",tbl_Finance[Ex GST],"&lt;&gt;"))</f>
        <v/>
      </c>
      <c r="H319" s="27">
        <f>IF(C319="","",SUMIFS(tbl_Finance[Ex GST],tbl_Finance[Job Number],C319&amp;""))</f>
        <v/>
      </c>
      <c r="I319" s="27">
        <f>IF(C319="","",SUMIFS(tbl_Finance[Ex GST],tbl_Finance[Job Number],C319&amp;"",tbl_Finance[Xero Invoice No],"&lt;&gt;"))</f>
        <v/>
      </c>
      <c r="J319" s="27">
        <f>IF(C319="","",H319-I319)</f>
        <v/>
      </c>
      <c r="K319" s="25">
        <f>IF(C319="","",IF(G319=0,"not invoiced yet",SUBSTITUTE(TRIM(IF(COUNTIFS(tbl_Finance[Job Number],C319&amp;"",tbl_Finance[Cost Centre],"ONSITE")&gt;0,"ONSITE ","")&amp;IF(COUNTIFS(tbl_Finance[Job Number],C319&amp;"",tbl_Finance[Cost Centre],"PRODUCTION")&gt;0,"PRODUCTION ","")&amp;IF(COUNTIFS(tbl_Finance[Job Number],C319&amp;"",tbl_Finance[Cost Centre],"VIDEO")&gt;0,"VIDEO ","")&amp;IF(COUNTIFS(tbl_Finance[Job Number],C319&amp;"",tbl_Finance[Cost Centre],"INTEGRATION")&gt;0,"INTEGRATION ","")&amp;IF(COUNTIFS(tbl_Finance[Job Number],C319&amp;"",tbl_Finance[Cost Centre],"CONSULTING")&gt;0,"CONSULTING ","")&amp;IF(COUNTIFS(tbl_Finance[Job Number],C319&amp;"",tbl_Finance[Cost Centre],"CTS")&gt;0,"CTS ",""))," ",", ")))</f>
        <v/>
      </c>
      <c r="L319" s="22" t="n"/>
      <c r="M319" s="24" t="n"/>
      <c r="N319" s="25">
        <f>IF(M319="","",IF(AND(LEFT(M319,4)&lt;&gt;"http",set_RMSBase=""),"",HYPERLINK(IF(LEFT(M319,4)="http",M319,set_RMSBase&amp;M319),"Open opportunity")))</f>
        <v/>
      </c>
      <c r="O319" s="25">
        <f>IF(C319="","",C319)</f>
        <v/>
      </c>
      <c r="P319" s="24" t="n"/>
      <c r="Q319" s="26" t="n"/>
      <c r="R319" s="27">
        <f>IF(C319="","",H319+N(Q319))</f>
        <v/>
      </c>
      <c r="S319" s="29">
        <f>IFERROR(Q319/R319,"")</f>
        <v/>
      </c>
      <c r="T319" s="26" t="n"/>
      <c r="U319" s="26" t="n"/>
      <c r="V319" s="27">
        <f>IF(C319="","",N(T319)+N(U319))</f>
        <v/>
      </c>
      <c r="W319" s="27">
        <f>IF(C319="","",H319-V319)</f>
        <v/>
      </c>
      <c r="X319" s="29">
        <f>IFERROR(W319/H319,"")</f>
        <v/>
      </c>
      <c r="Y319" s="64" t="n"/>
      <c r="Z319" s="64" t="n"/>
      <c r="AA319" s="64" t="n"/>
      <c r="AB319" s="64" t="n"/>
      <c r="AC319" s="64" t="n"/>
      <c r="AD319" s="24" t="n"/>
    </row>
    <row r="320" ht="15" customHeight="1">
      <c r="A320" s="63">
        <f>IF(C320="","",IFERROR(IF(SUMPRODUCT(MAX((tbl_Finance[Job Number]=C320&amp;"")*(tbl_Finance[Xero Invoice No]&lt;&gt;"")*tbl_Finance[Date]))=0,"",SUMPRODUCT(MAX((tbl_Finance[Job Number]=C320&amp;"")*(tbl_Finance[Xero Invoice No]&lt;&gt;"")*tbl_Finance[Date]))),""))</f>
        <v/>
      </c>
      <c r="B320" s="25">
        <f>IF(C320="","",IF(COUNTIFS(tbl_Finance[Job Number],C320&amp;"",tbl_Finance[Xero Invoice No],"&lt;&gt;")=0,"",IFERROR(IF(COUNTIFS(tbl_Finance[Job Number],C320&amp;"",tbl_Finance[Xero Invoice No],LOOKUP(2,1/((tbl_Finance[Job Number]=C320&amp;"")*(tbl_Finance[Xero Invoice No]&lt;&gt;"")),tbl_Finance[Xero Invoice No]))=COUNTIFS(tbl_Finance[Job Number],C320&amp;"",tbl_Finance[Xero Invoice No],"&lt;&gt;"),LOOKUP(2,1/((tbl_Finance[Job Number]=C320&amp;"")*(tbl_Finance[Xero Invoice No]&lt;&gt;"")),tbl_Finance[Xero Invoice No]),LOOKUP(2,1/((tbl_Finance[Job Number]=C320&amp;"")*(tbl_Finance[Xero Invoice No]&lt;&gt;"")),tbl_Finance[Xero Invoice No])&amp;" +more"),"")))</f>
        <v/>
      </c>
      <c r="C320" s="24" t="n"/>
      <c r="D320" s="25">
        <f>IF(C320="","",IF(COUNTIF(lst_Jobs,C320&amp;"")&gt;0,"OK","CHECK"))</f>
        <v/>
      </c>
      <c r="E320" s="25">
        <f>IF(C320="","",IFERROR(INDEX(lst_JobName,MATCH(C320&amp;"",lst_Jobs,0)),""))</f>
        <v/>
      </c>
      <c r="F320" s="25">
        <f>IF(C320="","",IFERROR(INDEX(tbl_Finance[Client],MATCH(C320&amp;"",tbl_Finance[Job Number],0)),""))</f>
        <v/>
      </c>
      <c r="G320" s="28">
        <f>IF(C320="","",COUNTIFS(tbl_Finance[Job Number],C320&amp;"",tbl_Finance[Ex GST],"&lt;&gt;"))</f>
        <v/>
      </c>
      <c r="H320" s="27">
        <f>IF(C320="","",SUMIFS(tbl_Finance[Ex GST],tbl_Finance[Job Number],C320&amp;""))</f>
        <v/>
      </c>
      <c r="I320" s="27">
        <f>IF(C320="","",SUMIFS(tbl_Finance[Ex GST],tbl_Finance[Job Number],C320&amp;"",tbl_Finance[Xero Invoice No],"&lt;&gt;"))</f>
        <v/>
      </c>
      <c r="J320" s="27">
        <f>IF(C320="","",H320-I320)</f>
        <v/>
      </c>
      <c r="K320" s="25">
        <f>IF(C320="","",IF(G320=0,"not invoiced yet",SUBSTITUTE(TRIM(IF(COUNTIFS(tbl_Finance[Job Number],C320&amp;"",tbl_Finance[Cost Centre],"ONSITE")&gt;0,"ONSITE ","")&amp;IF(COUNTIFS(tbl_Finance[Job Number],C320&amp;"",tbl_Finance[Cost Centre],"PRODUCTION")&gt;0,"PRODUCTION ","")&amp;IF(COUNTIFS(tbl_Finance[Job Number],C320&amp;"",tbl_Finance[Cost Centre],"VIDEO")&gt;0,"VIDEO ","")&amp;IF(COUNTIFS(tbl_Finance[Job Number],C320&amp;"",tbl_Finance[Cost Centre],"INTEGRATION")&gt;0,"INTEGRATION ","")&amp;IF(COUNTIFS(tbl_Finance[Job Number],C320&amp;"",tbl_Finance[Cost Centre],"CONSULTING")&gt;0,"CONSULTING ","")&amp;IF(COUNTIFS(tbl_Finance[Job Number],C320&amp;"",tbl_Finance[Cost Centre],"CTS")&gt;0,"CTS ",""))," ",", ")))</f>
        <v/>
      </c>
      <c r="L320" s="22" t="n"/>
      <c r="M320" s="24" t="n"/>
      <c r="N320" s="25">
        <f>IF(M320="","",IF(AND(LEFT(M320,4)&lt;&gt;"http",set_RMSBase=""),"",HYPERLINK(IF(LEFT(M320,4)="http",M320,set_RMSBase&amp;M320),"Open opportunity")))</f>
        <v/>
      </c>
      <c r="O320" s="25">
        <f>IF(C320="","",C320)</f>
        <v/>
      </c>
      <c r="P320" s="24" t="n"/>
      <c r="Q320" s="26" t="n"/>
      <c r="R320" s="27">
        <f>IF(C320="","",H320+N(Q320))</f>
        <v/>
      </c>
      <c r="S320" s="29">
        <f>IFERROR(Q320/R320,"")</f>
        <v/>
      </c>
      <c r="T320" s="26" t="n"/>
      <c r="U320" s="26" t="n"/>
      <c r="V320" s="27">
        <f>IF(C320="","",N(T320)+N(U320))</f>
        <v/>
      </c>
      <c r="W320" s="27">
        <f>IF(C320="","",H320-V320)</f>
        <v/>
      </c>
      <c r="X320" s="29">
        <f>IFERROR(W320/H320,"")</f>
        <v/>
      </c>
      <c r="Y320" s="64" t="n"/>
      <c r="Z320" s="64" t="n"/>
      <c r="AA320" s="64" t="n"/>
      <c r="AB320" s="64" t="n"/>
      <c r="AC320" s="64" t="n"/>
      <c r="AD320" s="24" t="n"/>
    </row>
    <row r="321" ht="15" customHeight="1">
      <c r="A321" s="63">
        <f>IF(C321="","",IFERROR(IF(SUMPRODUCT(MAX((tbl_Finance[Job Number]=C321&amp;"")*(tbl_Finance[Xero Invoice No]&lt;&gt;"")*tbl_Finance[Date]))=0,"",SUMPRODUCT(MAX((tbl_Finance[Job Number]=C321&amp;"")*(tbl_Finance[Xero Invoice No]&lt;&gt;"")*tbl_Finance[Date]))),""))</f>
        <v/>
      </c>
      <c r="B321" s="25">
        <f>IF(C321="","",IF(COUNTIFS(tbl_Finance[Job Number],C321&amp;"",tbl_Finance[Xero Invoice No],"&lt;&gt;")=0,"",IFERROR(IF(COUNTIFS(tbl_Finance[Job Number],C321&amp;"",tbl_Finance[Xero Invoice No],LOOKUP(2,1/((tbl_Finance[Job Number]=C321&amp;"")*(tbl_Finance[Xero Invoice No]&lt;&gt;"")),tbl_Finance[Xero Invoice No]))=COUNTIFS(tbl_Finance[Job Number],C321&amp;"",tbl_Finance[Xero Invoice No],"&lt;&gt;"),LOOKUP(2,1/((tbl_Finance[Job Number]=C321&amp;"")*(tbl_Finance[Xero Invoice No]&lt;&gt;"")),tbl_Finance[Xero Invoice No]),LOOKUP(2,1/((tbl_Finance[Job Number]=C321&amp;"")*(tbl_Finance[Xero Invoice No]&lt;&gt;"")),tbl_Finance[Xero Invoice No])&amp;" +more"),"")))</f>
        <v/>
      </c>
      <c r="C321" s="24" t="n"/>
      <c r="D321" s="25">
        <f>IF(C321="","",IF(COUNTIF(lst_Jobs,C321&amp;"")&gt;0,"OK","CHECK"))</f>
        <v/>
      </c>
      <c r="E321" s="25">
        <f>IF(C321="","",IFERROR(INDEX(lst_JobName,MATCH(C321&amp;"",lst_Jobs,0)),""))</f>
        <v/>
      </c>
      <c r="F321" s="25">
        <f>IF(C321="","",IFERROR(INDEX(tbl_Finance[Client],MATCH(C321&amp;"",tbl_Finance[Job Number],0)),""))</f>
        <v/>
      </c>
      <c r="G321" s="28">
        <f>IF(C321="","",COUNTIFS(tbl_Finance[Job Number],C321&amp;"",tbl_Finance[Ex GST],"&lt;&gt;"))</f>
        <v/>
      </c>
      <c r="H321" s="27">
        <f>IF(C321="","",SUMIFS(tbl_Finance[Ex GST],tbl_Finance[Job Number],C321&amp;""))</f>
        <v/>
      </c>
      <c r="I321" s="27">
        <f>IF(C321="","",SUMIFS(tbl_Finance[Ex GST],tbl_Finance[Job Number],C321&amp;"",tbl_Finance[Xero Invoice No],"&lt;&gt;"))</f>
        <v/>
      </c>
      <c r="J321" s="27">
        <f>IF(C321="","",H321-I321)</f>
        <v/>
      </c>
      <c r="K321" s="25">
        <f>IF(C321="","",IF(G321=0,"not invoiced yet",SUBSTITUTE(TRIM(IF(COUNTIFS(tbl_Finance[Job Number],C321&amp;"",tbl_Finance[Cost Centre],"ONSITE")&gt;0,"ONSITE ","")&amp;IF(COUNTIFS(tbl_Finance[Job Number],C321&amp;"",tbl_Finance[Cost Centre],"PRODUCTION")&gt;0,"PRODUCTION ","")&amp;IF(COUNTIFS(tbl_Finance[Job Number],C321&amp;"",tbl_Finance[Cost Centre],"VIDEO")&gt;0,"VIDEO ","")&amp;IF(COUNTIFS(tbl_Finance[Job Number],C321&amp;"",tbl_Finance[Cost Centre],"INTEGRATION")&gt;0,"INTEGRATION ","")&amp;IF(COUNTIFS(tbl_Finance[Job Number],C321&amp;"",tbl_Finance[Cost Centre],"CONSULTING")&gt;0,"CONSULTING ","")&amp;IF(COUNTIFS(tbl_Finance[Job Number],C321&amp;"",tbl_Finance[Cost Centre],"CTS")&gt;0,"CTS ",""))," ",", ")))</f>
        <v/>
      </c>
      <c r="L321" s="22" t="n"/>
      <c r="M321" s="24" t="n"/>
      <c r="N321" s="25">
        <f>IF(M321="","",IF(AND(LEFT(M321,4)&lt;&gt;"http",set_RMSBase=""),"",HYPERLINK(IF(LEFT(M321,4)="http",M321,set_RMSBase&amp;M321),"Open opportunity")))</f>
        <v/>
      </c>
      <c r="O321" s="25">
        <f>IF(C321="","",C321)</f>
        <v/>
      </c>
      <c r="P321" s="24" t="n"/>
      <c r="Q321" s="26" t="n"/>
      <c r="R321" s="27">
        <f>IF(C321="","",H321+N(Q321))</f>
        <v/>
      </c>
      <c r="S321" s="29">
        <f>IFERROR(Q321/R321,"")</f>
        <v/>
      </c>
      <c r="T321" s="26" t="n"/>
      <c r="U321" s="26" t="n"/>
      <c r="V321" s="27">
        <f>IF(C321="","",N(T321)+N(U321))</f>
        <v/>
      </c>
      <c r="W321" s="27">
        <f>IF(C321="","",H321-V321)</f>
        <v/>
      </c>
      <c r="X321" s="29">
        <f>IFERROR(W321/H321,"")</f>
        <v/>
      </c>
      <c r="Y321" s="64" t="n"/>
      <c r="Z321" s="64" t="n"/>
      <c r="AA321" s="64" t="n"/>
      <c r="AB321" s="64" t="n"/>
      <c r="AC321" s="64" t="n"/>
      <c r="AD321" s="24" t="n"/>
    </row>
    <row r="322" ht="15" customHeight="1">
      <c r="A322" s="63">
        <f>IF(C322="","",IFERROR(IF(SUMPRODUCT(MAX((tbl_Finance[Job Number]=C322&amp;"")*(tbl_Finance[Xero Invoice No]&lt;&gt;"")*tbl_Finance[Date]))=0,"",SUMPRODUCT(MAX((tbl_Finance[Job Number]=C322&amp;"")*(tbl_Finance[Xero Invoice No]&lt;&gt;"")*tbl_Finance[Date]))),""))</f>
        <v/>
      </c>
      <c r="B322" s="25">
        <f>IF(C322="","",IF(COUNTIFS(tbl_Finance[Job Number],C322&amp;"",tbl_Finance[Xero Invoice No],"&lt;&gt;")=0,"",IFERROR(IF(COUNTIFS(tbl_Finance[Job Number],C322&amp;"",tbl_Finance[Xero Invoice No],LOOKUP(2,1/((tbl_Finance[Job Number]=C322&amp;"")*(tbl_Finance[Xero Invoice No]&lt;&gt;"")),tbl_Finance[Xero Invoice No]))=COUNTIFS(tbl_Finance[Job Number],C322&amp;"",tbl_Finance[Xero Invoice No],"&lt;&gt;"),LOOKUP(2,1/((tbl_Finance[Job Number]=C322&amp;"")*(tbl_Finance[Xero Invoice No]&lt;&gt;"")),tbl_Finance[Xero Invoice No]),LOOKUP(2,1/((tbl_Finance[Job Number]=C322&amp;"")*(tbl_Finance[Xero Invoice No]&lt;&gt;"")),tbl_Finance[Xero Invoice No])&amp;" +more"),"")))</f>
        <v/>
      </c>
      <c r="C322" s="24" t="n"/>
      <c r="D322" s="25">
        <f>IF(C322="","",IF(COUNTIF(lst_Jobs,C322&amp;"")&gt;0,"OK","CHECK"))</f>
        <v/>
      </c>
      <c r="E322" s="25">
        <f>IF(C322="","",IFERROR(INDEX(lst_JobName,MATCH(C322&amp;"",lst_Jobs,0)),""))</f>
        <v/>
      </c>
      <c r="F322" s="25">
        <f>IF(C322="","",IFERROR(INDEX(tbl_Finance[Client],MATCH(C322&amp;"",tbl_Finance[Job Number],0)),""))</f>
        <v/>
      </c>
      <c r="G322" s="28">
        <f>IF(C322="","",COUNTIFS(tbl_Finance[Job Number],C322&amp;"",tbl_Finance[Ex GST],"&lt;&gt;"))</f>
        <v/>
      </c>
      <c r="H322" s="27">
        <f>IF(C322="","",SUMIFS(tbl_Finance[Ex GST],tbl_Finance[Job Number],C322&amp;""))</f>
        <v/>
      </c>
      <c r="I322" s="27">
        <f>IF(C322="","",SUMIFS(tbl_Finance[Ex GST],tbl_Finance[Job Number],C322&amp;"",tbl_Finance[Xero Invoice No],"&lt;&gt;"))</f>
        <v/>
      </c>
      <c r="J322" s="27">
        <f>IF(C322="","",H322-I322)</f>
        <v/>
      </c>
      <c r="K322" s="25">
        <f>IF(C322="","",IF(G322=0,"not invoiced yet",SUBSTITUTE(TRIM(IF(COUNTIFS(tbl_Finance[Job Number],C322&amp;"",tbl_Finance[Cost Centre],"ONSITE")&gt;0,"ONSITE ","")&amp;IF(COUNTIFS(tbl_Finance[Job Number],C322&amp;"",tbl_Finance[Cost Centre],"PRODUCTION")&gt;0,"PRODUCTION ","")&amp;IF(COUNTIFS(tbl_Finance[Job Number],C322&amp;"",tbl_Finance[Cost Centre],"VIDEO")&gt;0,"VIDEO ","")&amp;IF(COUNTIFS(tbl_Finance[Job Number],C322&amp;"",tbl_Finance[Cost Centre],"INTEGRATION")&gt;0,"INTEGRATION ","")&amp;IF(COUNTIFS(tbl_Finance[Job Number],C322&amp;"",tbl_Finance[Cost Centre],"CONSULTING")&gt;0,"CONSULTING ","")&amp;IF(COUNTIFS(tbl_Finance[Job Number],C322&amp;"",tbl_Finance[Cost Centre],"CTS")&gt;0,"CTS ",""))," ",", ")))</f>
        <v/>
      </c>
      <c r="L322" s="22" t="n"/>
      <c r="M322" s="24" t="n"/>
      <c r="N322" s="25">
        <f>IF(M322="","",IF(AND(LEFT(M322,4)&lt;&gt;"http",set_RMSBase=""),"",HYPERLINK(IF(LEFT(M322,4)="http",M322,set_RMSBase&amp;M322),"Open opportunity")))</f>
        <v/>
      </c>
      <c r="O322" s="25">
        <f>IF(C322="","",C322)</f>
        <v/>
      </c>
      <c r="P322" s="24" t="n"/>
      <c r="Q322" s="26" t="n"/>
      <c r="R322" s="27">
        <f>IF(C322="","",H322+N(Q322))</f>
        <v/>
      </c>
      <c r="S322" s="29">
        <f>IFERROR(Q322/R322,"")</f>
        <v/>
      </c>
      <c r="T322" s="26" t="n"/>
      <c r="U322" s="26" t="n"/>
      <c r="V322" s="27">
        <f>IF(C322="","",N(T322)+N(U322))</f>
        <v/>
      </c>
      <c r="W322" s="27">
        <f>IF(C322="","",H322-V322)</f>
        <v/>
      </c>
      <c r="X322" s="29">
        <f>IFERROR(W322/H322,"")</f>
        <v/>
      </c>
      <c r="Y322" s="64" t="n"/>
      <c r="Z322" s="64" t="n"/>
      <c r="AA322" s="64" t="n"/>
      <c r="AB322" s="64" t="n"/>
      <c r="AC322" s="64" t="n"/>
      <c r="AD322" s="24" t="n"/>
    </row>
    <row r="323" ht="15" customHeight="1">
      <c r="A323" s="63">
        <f>IF(C323="","",IFERROR(IF(SUMPRODUCT(MAX((tbl_Finance[Job Number]=C323&amp;"")*(tbl_Finance[Xero Invoice No]&lt;&gt;"")*tbl_Finance[Date]))=0,"",SUMPRODUCT(MAX((tbl_Finance[Job Number]=C323&amp;"")*(tbl_Finance[Xero Invoice No]&lt;&gt;"")*tbl_Finance[Date]))),""))</f>
        <v/>
      </c>
      <c r="B323" s="25">
        <f>IF(C323="","",IF(COUNTIFS(tbl_Finance[Job Number],C323&amp;"",tbl_Finance[Xero Invoice No],"&lt;&gt;")=0,"",IFERROR(IF(COUNTIFS(tbl_Finance[Job Number],C323&amp;"",tbl_Finance[Xero Invoice No],LOOKUP(2,1/((tbl_Finance[Job Number]=C323&amp;"")*(tbl_Finance[Xero Invoice No]&lt;&gt;"")),tbl_Finance[Xero Invoice No]))=COUNTIFS(tbl_Finance[Job Number],C323&amp;"",tbl_Finance[Xero Invoice No],"&lt;&gt;"),LOOKUP(2,1/((tbl_Finance[Job Number]=C323&amp;"")*(tbl_Finance[Xero Invoice No]&lt;&gt;"")),tbl_Finance[Xero Invoice No]),LOOKUP(2,1/((tbl_Finance[Job Number]=C323&amp;"")*(tbl_Finance[Xero Invoice No]&lt;&gt;"")),tbl_Finance[Xero Invoice No])&amp;" +more"),"")))</f>
        <v/>
      </c>
      <c r="C323" s="24" t="n"/>
      <c r="D323" s="25">
        <f>IF(C323="","",IF(COUNTIF(lst_Jobs,C323&amp;"")&gt;0,"OK","CHECK"))</f>
        <v/>
      </c>
      <c r="E323" s="25">
        <f>IF(C323="","",IFERROR(INDEX(lst_JobName,MATCH(C323&amp;"",lst_Jobs,0)),""))</f>
        <v/>
      </c>
      <c r="F323" s="25">
        <f>IF(C323="","",IFERROR(INDEX(tbl_Finance[Client],MATCH(C323&amp;"",tbl_Finance[Job Number],0)),""))</f>
        <v/>
      </c>
      <c r="G323" s="28">
        <f>IF(C323="","",COUNTIFS(tbl_Finance[Job Number],C323&amp;"",tbl_Finance[Ex GST],"&lt;&gt;"))</f>
        <v/>
      </c>
      <c r="H323" s="27">
        <f>IF(C323="","",SUMIFS(tbl_Finance[Ex GST],tbl_Finance[Job Number],C323&amp;""))</f>
        <v/>
      </c>
      <c r="I323" s="27">
        <f>IF(C323="","",SUMIFS(tbl_Finance[Ex GST],tbl_Finance[Job Number],C323&amp;"",tbl_Finance[Xero Invoice No],"&lt;&gt;"))</f>
        <v/>
      </c>
      <c r="J323" s="27">
        <f>IF(C323="","",H323-I323)</f>
        <v/>
      </c>
      <c r="K323" s="25">
        <f>IF(C323="","",IF(G323=0,"not invoiced yet",SUBSTITUTE(TRIM(IF(COUNTIFS(tbl_Finance[Job Number],C323&amp;"",tbl_Finance[Cost Centre],"ONSITE")&gt;0,"ONSITE ","")&amp;IF(COUNTIFS(tbl_Finance[Job Number],C323&amp;"",tbl_Finance[Cost Centre],"PRODUCTION")&gt;0,"PRODUCTION ","")&amp;IF(COUNTIFS(tbl_Finance[Job Number],C323&amp;"",tbl_Finance[Cost Centre],"VIDEO")&gt;0,"VIDEO ","")&amp;IF(COUNTIFS(tbl_Finance[Job Number],C323&amp;"",tbl_Finance[Cost Centre],"INTEGRATION")&gt;0,"INTEGRATION ","")&amp;IF(COUNTIFS(tbl_Finance[Job Number],C323&amp;"",tbl_Finance[Cost Centre],"CONSULTING")&gt;0,"CONSULTING ","")&amp;IF(COUNTIFS(tbl_Finance[Job Number],C323&amp;"",tbl_Finance[Cost Centre],"CTS")&gt;0,"CTS ",""))," ",", ")))</f>
        <v/>
      </c>
      <c r="L323" s="22" t="n"/>
      <c r="M323" s="24" t="n"/>
      <c r="N323" s="25">
        <f>IF(M323="","",IF(AND(LEFT(M323,4)&lt;&gt;"http",set_RMSBase=""),"",HYPERLINK(IF(LEFT(M323,4)="http",M323,set_RMSBase&amp;M323),"Open opportunity")))</f>
        <v/>
      </c>
      <c r="O323" s="25">
        <f>IF(C323="","",C323)</f>
        <v/>
      </c>
      <c r="P323" s="24" t="n"/>
      <c r="Q323" s="26" t="n"/>
      <c r="R323" s="27">
        <f>IF(C323="","",H323+N(Q323))</f>
        <v/>
      </c>
      <c r="S323" s="29">
        <f>IFERROR(Q323/R323,"")</f>
        <v/>
      </c>
      <c r="T323" s="26" t="n"/>
      <c r="U323" s="26" t="n"/>
      <c r="V323" s="27">
        <f>IF(C323="","",N(T323)+N(U323))</f>
        <v/>
      </c>
      <c r="W323" s="27">
        <f>IF(C323="","",H323-V323)</f>
        <v/>
      </c>
      <c r="X323" s="29">
        <f>IFERROR(W323/H323,"")</f>
        <v/>
      </c>
      <c r="Y323" s="64" t="n"/>
      <c r="Z323" s="64" t="n"/>
      <c r="AA323" s="64" t="n"/>
      <c r="AB323" s="64" t="n"/>
      <c r="AC323" s="64" t="n"/>
      <c r="AD323" s="24" t="n"/>
    </row>
    <row r="324" ht="15" customHeight="1">
      <c r="A324" s="63">
        <f>IF(C324="","",IFERROR(IF(SUMPRODUCT(MAX((tbl_Finance[Job Number]=C324&amp;"")*(tbl_Finance[Xero Invoice No]&lt;&gt;"")*tbl_Finance[Date]))=0,"",SUMPRODUCT(MAX((tbl_Finance[Job Number]=C324&amp;"")*(tbl_Finance[Xero Invoice No]&lt;&gt;"")*tbl_Finance[Date]))),""))</f>
        <v/>
      </c>
      <c r="B324" s="25">
        <f>IF(C324="","",IF(COUNTIFS(tbl_Finance[Job Number],C324&amp;"",tbl_Finance[Xero Invoice No],"&lt;&gt;")=0,"",IFERROR(IF(COUNTIFS(tbl_Finance[Job Number],C324&amp;"",tbl_Finance[Xero Invoice No],LOOKUP(2,1/((tbl_Finance[Job Number]=C324&amp;"")*(tbl_Finance[Xero Invoice No]&lt;&gt;"")),tbl_Finance[Xero Invoice No]))=COUNTIFS(tbl_Finance[Job Number],C324&amp;"",tbl_Finance[Xero Invoice No],"&lt;&gt;"),LOOKUP(2,1/((tbl_Finance[Job Number]=C324&amp;"")*(tbl_Finance[Xero Invoice No]&lt;&gt;"")),tbl_Finance[Xero Invoice No]),LOOKUP(2,1/((tbl_Finance[Job Number]=C324&amp;"")*(tbl_Finance[Xero Invoice No]&lt;&gt;"")),tbl_Finance[Xero Invoice No])&amp;" +more"),"")))</f>
        <v/>
      </c>
      <c r="C324" s="24" t="n"/>
      <c r="D324" s="25">
        <f>IF(C324="","",IF(COUNTIF(lst_Jobs,C324&amp;"")&gt;0,"OK","CHECK"))</f>
        <v/>
      </c>
      <c r="E324" s="25">
        <f>IF(C324="","",IFERROR(INDEX(lst_JobName,MATCH(C324&amp;"",lst_Jobs,0)),""))</f>
        <v/>
      </c>
      <c r="F324" s="25">
        <f>IF(C324="","",IFERROR(INDEX(tbl_Finance[Client],MATCH(C324&amp;"",tbl_Finance[Job Number],0)),""))</f>
        <v/>
      </c>
      <c r="G324" s="28">
        <f>IF(C324="","",COUNTIFS(tbl_Finance[Job Number],C324&amp;"",tbl_Finance[Ex GST],"&lt;&gt;"))</f>
        <v/>
      </c>
      <c r="H324" s="27">
        <f>IF(C324="","",SUMIFS(tbl_Finance[Ex GST],tbl_Finance[Job Number],C324&amp;""))</f>
        <v/>
      </c>
      <c r="I324" s="27">
        <f>IF(C324="","",SUMIFS(tbl_Finance[Ex GST],tbl_Finance[Job Number],C324&amp;"",tbl_Finance[Xero Invoice No],"&lt;&gt;"))</f>
        <v/>
      </c>
      <c r="J324" s="27">
        <f>IF(C324="","",H324-I324)</f>
        <v/>
      </c>
      <c r="K324" s="25">
        <f>IF(C324="","",IF(G324=0,"not invoiced yet",SUBSTITUTE(TRIM(IF(COUNTIFS(tbl_Finance[Job Number],C324&amp;"",tbl_Finance[Cost Centre],"ONSITE")&gt;0,"ONSITE ","")&amp;IF(COUNTIFS(tbl_Finance[Job Number],C324&amp;"",tbl_Finance[Cost Centre],"PRODUCTION")&gt;0,"PRODUCTION ","")&amp;IF(COUNTIFS(tbl_Finance[Job Number],C324&amp;"",tbl_Finance[Cost Centre],"VIDEO")&gt;0,"VIDEO ","")&amp;IF(COUNTIFS(tbl_Finance[Job Number],C324&amp;"",tbl_Finance[Cost Centre],"INTEGRATION")&gt;0,"INTEGRATION ","")&amp;IF(COUNTIFS(tbl_Finance[Job Number],C324&amp;"",tbl_Finance[Cost Centre],"CONSULTING")&gt;0,"CONSULTING ","")&amp;IF(COUNTIFS(tbl_Finance[Job Number],C324&amp;"",tbl_Finance[Cost Centre],"CTS")&gt;0,"CTS ",""))," ",", ")))</f>
        <v/>
      </c>
      <c r="L324" s="22" t="n"/>
      <c r="M324" s="24" t="n"/>
      <c r="N324" s="25">
        <f>IF(M324="","",IF(AND(LEFT(M324,4)&lt;&gt;"http",set_RMSBase=""),"",HYPERLINK(IF(LEFT(M324,4)="http",M324,set_RMSBase&amp;M324),"Open opportunity")))</f>
        <v/>
      </c>
      <c r="O324" s="25">
        <f>IF(C324="","",C324)</f>
        <v/>
      </c>
      <c r="P324" s="24" t="n"/>
      <c r="Q324" s="26" t="n"/>
      <c r="R324" s="27">
        <f>IF(C324="","",H324+N(Q324))</f>
        <v/>
      </c>
      <c r="S324" s="29">
        <f>IFERROR(Q324/R324,"")</f>
        <v/>
      </c>
      <c r="T324" s="26" t="n"/>
      <c r="U324" s="26" t="n"/>
      <c r="V324" s="27">
        <f>IF(C324="","",N(T324)+N(U324))</f>
        <v/>
      </c>
      <c r="W324" s="27">
        <f>IF(C324="","",H324-V324)</f>
        <v/>
      </c>
      <c r="X324" s="29">
        <f>IFERROR(W324/H324,"")</f>
        <v/>
      </c>
      <c r="Y324" s="64" t="n"/>
      <c r="Z324" s="64" t="n"/>
      <c r="AA324" s="64" t="n"/>
      <c r="AB324" s="64" t="n"/>
      <c r="AC324" s="64" t="n"/>
      <c r="AD324" s="24" t="n"/>
    </row>
    <row r="325" ht="15" customHeight="1">
      <c r="A325" s="63">
        <f>IF(C325="","",IFERROR(IF(SUMPRODUCT(MAX((tbl_Finance[Job Number]=C325&amp;"")*(tbl_Finance[Xero Invoice No]&lt;&gt;"")*tbl_Finance[Date]))=0,"",SUMPRODUCT(MAX((tbl_Finance[Job Number]=C325&amp;"")*(tbl_Finance[Xero Invoice No]&lt;&gt;"")*tbl_Finance[Date]))),""))</f>
        <v/>
      </c>
      <c r="B325" s="25">
        <f>IF(C325="","",IF(COUNTIFS(tbl_Finance[Job Number],C325&amp;"",tbl_Finance[Xero Invoice No],"&lt;&gt;")=0,"",IFERROR(IF(COUNTIFS(tbl_Finance[Job Number],C325&amp;"",tbl_Finance[Xero Invoice No],LOOKUP(2,1/((tbl_Finance[Job Number]=C325&amp;"")*(tbl_Finance[Xero Invoice No]&lt;&gt;"")),tbl_Finance[Xero Invoice No]))=COUNTIFS(tbl_Finance[Job Number],C325&amp;"",tbl_Finance[Xero Invoice No],"&lt;&gt;"),LOOKUP(2,1/((tbl_Finance[Job Number]=C325&amp;"")*(tbl_Finance[Xero Invoice No]&lt;&gt;"")),tbl_Finance[Xero Invoice No]),LOOKUP(2,1/((tbl_Finance[Job Number]=C325&amp;"")*(tbl_Finance[Xero Invoice No]&lt;&gt;"")),tbl_Finance[Xero Invoice No])&amp;" +more"),"")))</f>
        <v/>
      </c>
      <c r="C325" s="24" t="n"/>
      <c r="D325" s="25">
        <f>IF(C325="","",IF(COUNTIF(lst_Jobs,C325&amp;"")&gt;0,"OK","CHECK"))</f>
        <v/>
      </c>
      <c r="E325" s="25">
        <f>IF(C325="","",IFERROR(INDEX(lst_JobName,MATCH(C325&amp;"",lst_Jobs,0)),""))</f>
        <v/>
      </c>
      <c r="F325" s="25">
        <f>IF(C325="","",IFERROR(INDEX(tbl_Finance[Client],MATCH(C325&amp;"",tbl_Finance[Job Number],0)),""))</f>
        <v/>
      </c>
      <c r="G325" s="28">
        <f>IF(C325="","",COUNTIFS(tbl_Finance[Job Number],C325&amp;"",tbl_Finance[Ex GST],"&lt;&gt;"))</f>
        <v/>
      </c>
      <c r="H325" s="27">
        <f>IF(C325="","",SUMIFS(tbl_Finance[Ex GST],tbl_Finance[Job Number],C325&amp;""))</f>
        <v/>
      </c>
      <c r="I325" s="27">
        <f>IF(C325="","",SUMIFS(tbl_Finance[Ex GST],tbl_Finance[Job Number],C325&amp;"",tbl_Finance[Xero Invoice No],"&lt;&gt;"))</f>
        <v/>
      </c>
      <c r="J325" s="27">
        <f>IF(C325="","",H325-I325)</f>
        <v/>
      </c>
      <c r="K325" s="25">
        <f>IF(C325="","",IF(G325=0,"not invoiced yet",SUBSTITUTE(TRIM(IF(COUNTIFS(tbl_Finance[Job Number],C325&amp;"",tbl_Finance[Cost Centre],"ONSITE")&gt;0,"ONSITE ","")&amp;IF(COUNTIFS(tbl_Finance[Job Number],C325&amp;"",tbl_Finance[Cost Centre],"PRODUCTION")&gt;0,"PRODUCTION ","")&amp;IF(COUNTIFS(tbl_Finance[Job Number],C325&amp;"",tbl_Finance[Cost Centre],"VIDEO")&gt;0,"VIDEO ","")&amp;IF(COUNTIFS(tbl_Finance[Job Number],C325&amp;"",tbl_Finance[Cost Centre],"INTEGRATION")&gt;0,"INTEGRATION ","")&amp;IF(COUNTIFS(tbl_Finance[Job Number],C325&amp;"",tbl_Finance[Cost Centre],"CONSULTING")&gt;0,"CONSULTING ","")&amp;IF(COUNTIFS(tbl_Finance[Job Number],C325&amp;"",tbl_Finance[Cost Centre],"CTS")&gt;0,"CTS ",""))," ",", ")))</f>
        <v/>
      </c>
      <c r="L325" s="22" t="n"/>
      <c r="M325" s="24" t="n"/>
      <c r="N325" s="25">
        <f>IF(M325="","",IF(AND(LEFT(M325,4)&lt;&gt;"http",set_RMSBase=""),"",HYPERLINK(IF(LEFT(M325,4)="http",M325,set_RMSBase&amp;M325),"Open opportunity")))</f>
        <v/>
      </c>
      <c r="O325" s="25">
        <f>IF(C325="","",C325)</f>
        <v/>
      </c>
      <c r="P325" s="24" t="n"/>
      <c r="Q325" s="26" t="n"/>
      <c r="R325" s="27">
        <f>IF(C325="","",H325+N(Q325))</f>
        <v/>
      </c>
      <c r="S325" s="29">
        <f>IFERROR(Q325/R325,"")</f>
        <v/>
      </c>
      <c r="T325" s="26" t="n"/>
      <c r="U325" s="26" t="n"/>
      <c r="V325" s="27">
        <f>IF(C325="","",N(T325)+N(U325))</f>
        <v/>
      </c>
      <c r="W325" s="27">
        <f>IF(C325="","",H325-V325)</f>
        <v/>
      </c>
      <c r="X325" s="29">
        <f>IFERROR(W325/H325,"")</f>
        <v/>
      </c>
      <c r="Y325" s="64" t="n"/>
      <c r="Z325" s="64" t="n"/>
      <c r="AA325" s="64" t="n"/>
      <c r="AB325" s="64" t="n"/>
      <c r="AC325" s="64" t="n"/>
      <c r="AD325" s="24" t="n"/>
    </row>
    <row r="326" ht="15" customHeight="1">
      <c r="A326" s="63">
        <f>IF(C326="","",IFERROR(IF(SUMPRODUCT(MAX((tbl_Finance[Job Number]=C326&amp;"")*(tbl_Finance[Xero Invoice No]&lt;&gt;"")*tbl_Finance[Date]))=0,"",SUMPRODUCT(MAX((tbl_Finance[Job Number]=C326&amp;"")*(tbl_Finance[Xero Invoice No]&lt;&gt;"")*tbl_Finance[Date]))),""))</f>
        <v/>
      </c>
      <c r="B326" s="25">
        <f>IF(C326="","",IF(COUNTIFS(tbl_Finance[Job Number],C326&amp;"",tbl_Finance[Xero Invoice No],"&lt;&gt;")=0,"",IFERROR(IF(COUNTIFS(tbl_Finance[Job Number],C326&amp;"",tbl_Finance[Xero Invoice No],LOOKUP(2,1/((tbl_Finance[Job Number]=C326&amp;"")*(tbl_Finance[Xero Invoice No]&lt;&gt;"")),tbl_Finance[Xero Invoice No]))=COUNTIFS(tbl_Finance[Job Number],C326&amp;"",tbl_Finance[Xero Invoice No],"&lt;&gt;"),LOOKUP(2,1/((tbl_Finance[Job Number]=C326&amp;"")*(tbl_Finance[Xero Invoice No]&lt;&gt;"")),tbl_Finance[Xero Invoice No]),LOOKUP(2,1/((tbl_Finance[Job Number]=C326&amp;"")*(tbl_Finance[Xero Invoice No]&lt;&gt;"")),tbl_Finance[Xero Invoice No])&amp;" +more"),"")))</f>
        <v/>
      </c>
      <c r="C326" s="24" t="n"/>
      <c r="D326" s="25">
        <f>IF(C326="","",IF(COUNTIF(lst_Jobs,C326&amp;"")&gt;0,"OK","CHECK"))</f>
        <v/>
      </c>
      <c r="E326" s="25">
        <f>IF(C326="","",IFERROR(INDEX(lst_JobName,MATCH(C326&amp;"",lst_Jobs,0)),""))</f>
        <v/>
      </c>
      <c r="F326" s="25">
        <f>IF(C326="","",IFERROR(INDEX(tbl_Finance[Client],MATCH(C326&amp;"",tbl_Finance[Job Number],0)),""))</f>
        <v/>
      </c>
      <c r="G326" s="28">
        <f>IF(C326="","",COUNTIFS(tbl_Finance[Job Number],C326&amp;"",tbl_Finance[Ex GST],"&lt;&gt;"))</f>
        <v/>
      </c>
      <c r="H326" s="27">
        <f>IF(C326="","",SUMIFS(tbl_Finance[Ex GST],tbl_Finance[Job Number],C326&amp;""))</f>
        <v/>
      </c>
      <c r="I326" s="27">
        <f>IF(C326="","",SUMIFS(tbl_Finance[Ex GST],tbl_Finance[Job Number],C326&amp;"",tbl_Finance[Xero Invoice No],"&lt;&gt;"))</f>
        <v/>
      </c>
      <c r="J326" s="27">
        <f>IF(C326="","",H326-I326)</f>
        <v/>
      </c>
      <c r="K326" s="25">
        <f>IF(C326="","",IF(G326=0,"not invoiced yet",SUBSTITUTE(TRIM(IF(COUNTIFS(tbl_Finance[Job Number],C326&amp;"",tbl_Finance[Cost Centre],"ONSITE")&gt;0,"ONSITE ","")&amp;IF(COUNTIFS(tbl_Finance[Job Number],C326&amp;"",tbl_Finance[Cost Centre],"PRODUCTION")&gt;0,"PRODUCTION ","")&amp;IF(COUNTIFS(tbl_Finance[Job Number],C326&amp;"",tbl_Finance[Cost Centre],"VIDEO")&gt;0,"VIDEO ","")&amp;IF(COUNTIFS(tbl_Finance[Job Number],C326&amp;"",tbl_Finance[Cost Centre],"INTEGRATION")&gt;0,"INTEGRATION ","")&amp;IF(COUNTIFS(tbl_Finance[Job Number],C326&amp;"",tbl_Finance[Cost Centre],"CONSULTING")&gt;0,"CONSULTING ","")&amp;IF(COUNTIFS(tbl_Finance[Job Number],C326&amp;"",tbl_Finance[Cost Centre],"CTS")&gt;0,"CTS ",""))," ",", ")))</f>
        <v/>
      </c>
      <c r="L326" s="22" t="n"/>
      <c r="M326" s="24" t="n"/>
      <c r="N326" s="25">
        <f>IF(M326="","",IF(AND(LEFT(M326,4)&lt;&gt;"http",set_RMSBase=""),"",HYPERLINK(IF(LEFT(M326,4)="http",M326,set_RMSBase&amp;M326),"Open opportunity")))</f>
        <v/>
      </c>
      <c r="O326" s="25">
        <f>IF(C326="","",C326)</f>
        <v/>
      </c>
      <c r="P326" s="24" t="n"/>
      <c r="Q326" s="26" t="n"/>
      <c r="R326" s="27">
        <f>IF(C326="","",H326+N(Q326))</f>
        <v/>
      </c>
      <c r="S326" s="29">
        <f>IFERROR(Q326/R326,"")</f>
        <v/>
      </c>
      <c r="T326" s="26" t="n"/>
      <c r="U326" s="26" t="n"/>
      <c r="V326" s="27">
        <f>IF(C326="","",N(T326)+N(U326))</f>
        <v/>
      </c>
      <c r="W326" s="27">
        <f>IF(C326="","",H326-V326)</f>
        <v/>
      </c>
      <c r="X326" s="29">
        <f>IFERROR(W326/H326,"")</f>
        <v/>
      </c>
      <c r="Y326" s="64" t="n"/>
      <c r="Z326" s="64" t="n"/>
      <c r="AA326" s="64" t="n"/>
      <c r="AB326" s="64" t="n"/>
      <c r="AC326" s="64" t="n"/>
      <c r="AD326" s="24" t="n"/>
    </row>
    <row r="327" ht="15" customHeight="1">
      <c r="A327" s="63">
        <f>IF(C327="","",IFERROR(IF(SUMPRODUCT(MAX((tbl_Finance[Job Number]=C327&amp;"")*(tbl_Finance[Xero Invoice No]&lt;&gt;"")*tbl_Finance[Date]))=0,"",SUMPRODUCT(MAX((tbl_Finance[Job Number]=C327&amp;"")*(tbl_Finance[Xero Invoice No]&lt;&gt;"")*tbl_Finance[Date]))),""))</f>
        <v/>
      </c>
      <c r="B327" s="25">
        <f>IF(C327="","",IF(COUNTIFS(tbl_Finance[Job Number],C327&amp;"",tbl_Finance[Xero Invoice No],"&lt;&gt;")=0,"",IFERROR(IF(COUNTIFS(tbl_Finance[Job Number],C327&amp;"",tbl_Finance[Xero Invoice No],LOOKUP(2,1/((tbl_Finance[Job Number]=C327&amp;"")*(tbl_Finance[Xero Invoice No]&lt;&gt;"")),tbl_Finance[Xero Invoice No]))=COUNTIFS(tbl_Finance[Job Number],C327&amp;"",tbl_Finance[Xero Invoice No],"&lt;&gt;"),LOOKUP(2,1/((tbl_Finance[Job Number]=C327&amp;"")*(tbl_Finance[Xero Invoice No]&lt;&gt;"")),tbl_Finance[Xero Invoice No]),LOOKUP(2,1/((tbl_Finance[Job Number]=C327&amp;"")*(tbl_Finance[Xero Invoice No]&lt;&gt;"")),tbl_Finance[Xero Invoice No])&amp;" +more"),"")))</f>
        <v/>
      </c>
      <c r="C327" s="24" t="n"/>
      <c r="D327" s="25">
        <f>IF(C327="","",IF(COUNTIF(lst_Jobs,C327&amp;"")&gt;0,"OK","CHECK"))</f>
        <v/>
      </c>
      <c r="E327" s="25">
        <f>IF(C327="","",IFERROR(INDEX(lst_JobName,MATCH(C327&amp;"",lst_Jobs,0)),""))</f>
        <v/>
      </c>
      <c r="F327" s="25">
        <f>IF(C327="","",IFERROR(INDEX(tbl_Finance[Client],MATCH(C327&amp;"",tbl_Finance[Job Number],0)),""))</f>
        <v/>
      </c>
      <c r="G327" s="28">
        <f>IF(C327="","",COUNTIFS(tbl_Finance[Job Number],C327&amp;"",tbl_Finance[Ex GST],"&lt;&gt;"))</f>
        <v/>
      </c>
      <c r="H327" s="27">
        <f>IF(C327="","",SUMIFS(tbl_Finance[Ex GST],tbl_Finance[Job Number],C327&amp;""))</f>
        <v/>
      </c>
      <c r="I327" s="27">
        <f>IF(C327="","",SUMIFS(tbl_Finance[Ex GST],tbl_Finance[Job Number],C327&amp;"",tbl_Finance[Xero Invoice No],"&lt;&gt;"))</f>
        <v/>
      </c>
      <c r="J327" s="27">
        <f>IF(C327="","",H327-I327)</f>
        <v/>
      </c>
      <c r="K327" s="25">
        <f>IF(C327="","",IF(G327=0,"not invoiced yet",SUBSTITUTE(TRIM(IF(COUNTIFS(tbl_Finance[Job Number],C327&amp;"",tbl_Finance[Cost Centre],"ONSITE")&gt;0,"ONSITE ","")&amp;IF(COUNTIFS(tbl_Finance[Job Number],C327&amp;"",tbl_Finance[Cost Centre],"PRODUCTION")&gt;0,"PRODUCTION ","")&amp;IF(COUNTIFS(tbl_Finance[Job Number],C327&amp;"",tbl_Finance[Cost Centre],"VIDEO")&gt;0,"VIDEO ","")&amp;IF(COUNTIFS(tbl_Finance[Job Number],C327&amp;"",tbl_Finance[Cost Centre],"INTEGRATION")&gt;0,"INTEGRATION ","")&amp;IF(COUNTIFS(tbl_Finance[Job Number],C327&amp;"",tbl_Finance[Cost Centre],"CONSULTING")&gt;0,"CONSULTING ","")&amp;IF(COUNTIFS(tbl_Finance[Job Number],C327&amp;"",tbl_Finance[Cost Centre],"CTS")&gt;0,"CTS ",""))," ",", ")))</f>
        <v/>
      </c>
      <c r="L327" s="22" t="n"/>
      <c r="M327" s="24" t="n"/>
      <c r="N327" s="25">
        <f>IF(M327="","",IF(AND(LEFT(M327,4)&lt;&gt;"http",set_RMSBase=""),"",HYPERLINK(IF(LEFT(M327,4)="http",M327,set_RMSBase&amp;M327),"Open opportunity")))</f>
        <v/>
      </c>
      <c r="O327" s="25">
        <f>IF(C327="","",C327)</f>
        <v/>
      </c>
      <c r="P327" s="24" t="n"/>
      <c r="Q327" s="26" t="n"/>
      <c r="R327" s="27">
        <f>IF(C327="","",H327+N(Q327))</f>
        <v/>
      </c>
      <c r="S327" s="29">
        <f>IFERROR(Q327/R327,"")</f>
        <v/>
      </c>
      <c r="T327" s="26" t="n"/>
      <c r="U327" s="26" t="n"/>
      <c r="V327" s="27">
        <f>IF(C327="","",N(T327)+N(U327))</f>
        <v/>
      </c>
      <c r="W327" s="27">
        <f>IF(C327="","",H327-V327)</f>
        <v/>
      </c>
      <c r="X327" s="29">
        <f>IFERROR(W327/H327,"")</f>
        <v/>
      </c>
      <c r="Y327" s="64" t="n"/>
      <c r="Z327" s="64" t="n"/>
      <c r="AA327" s="64" t="n"/>
      <c r="AB327" s="64" t="n"/>
      <c r="AC327" s="64" t="n"/>
      <c r="AD327" s="24" t="n"/>
    </row>
    <row r="328" ht="15" customHeight="1">
      <c r="A328" s="63">
        <f>IF(C328="","",IFERROR(IF(SUMPRODUCT(MAX((tbl_Finance[Job Number]=C328&amp;"")*(tbl_Finance[Xero Invoice No]&lt;&gt;"")*tbl_Finance[Date]))=0,"",SUMPRODUCT(MAX((tbl_Finance[Job Number]=C328&amp;"")*(tbl_Finance[Xero Invoice No]&lt;&gt;"")*tbl_Finance[Date]))),""))</f>
        <v/>
      </c>
      <c r="B328" s="25">
        <f>IF(C328="","",IF(COUNTIFS(tbl_Finance[Job Number],C328&amp;"",tbl_Finance[Xero Invoice No],"&lt;&gt;")=0,"",IFERROR(IF(COUNTIFS(tbl_Finance[Job Number],C328&amp;"",tbl_Finance[Xero Invoice No],LOOKUP(2,1/((tbl_Finance[Job Number]=C328&amp;"")*(tbl_Finance[Xero Invoice No]&lt;&gt;"")),tbl_Finance[Xero Invoice No]))=COUNTIFS(tbl_Finance[Job Number],C328&amp;"",tbl_Finance[Xero Invoice No],"&lt;&gt;"),LOOKUP(2,1/((tbl_Finance[Job Number]=C328&amp;"")*(tbl_Finance[Xero Invoice No]&lt;&gt;"")),tbl_Finance[Xero Invoice No]),LOOKUP(2,1/((tbl_Finance[Job Number]=C328&amp;"")*(tbl_Finance[Xero Invoice No]&lt;&gt;"")),tbl_Finance[Xero Invoice No])&amp;" +more"),"")))</f>
        <v/>
      </c>
      <c r="C328" s="24" t="n"/>
      <c r="D328" s="25">
        <f>IF(C328="","",IF(COUNTIF(lst_Jobs,C328&amp;"")&gt;0,"OK","CHECK"))</f>
        <v/>
      </c>
      <c r="E328" s="25">
        <f>IF(C328="","",IFERROR(INDEX(lst_JobName,MATCH(C328&amp;"",lst_Jobs,0)),""))</f>
        <v/>
      </c>
      <c r="F328" s="25">
        <f>IF(C328="","",IFERROR(INDEX(tbl_Finance[Client],MATCH(C328&amp;"",tbl_Finance[Job Number],0)),""))</f>
        <v/>
      </c>
      <c r="G328" s="28">
        <f>IF(C328="","",COUNTIFS(tbl_Finance[Job Number],C328&amp;"",tbl_Finance[Ex GST],"&lt;&gt;"))</f>
        <v/>
      </c>
      <c r="H328" s="27">
        <f>IF(C328="","",SUMIFS(tbl_Finance[Ex GST],tbl_Finance[Job Number],C328&amp;""))</f>
        <v/>
      </c>
      <c r="I328" s="27">
        <f>IF(C328="","",SUMIFS(tbl_Finance[Ex GST],tbl_Finance[Job Number],C328&amp;"",tbl_Finance[Xero Invoice No],"&lt;&gt;"))</f>
        <v/>
      </c>
      <c r="J328" s="27">
        <f>IF(C328="","",H328-I328)</f>
        <v/>
      </c>
      <c r="K328" s="25">
        <f>IF(C328="","",IF(G328=0,"not invoiced yet",SUBSTITUTE(TRIM(IF(COUNTIFS(tbl_Finance[Job Number],C328&amp;"",tbl_Finance[Cost Centre],"ONSITE")&gt;0,"ONSITE ","")&amp;IF(COUNTIFS(tbl_Finance[Job Number],C328&amp;"",tbl_Finance[Cost Centre],"PRODUCTION")&gt;0,"PRODUCTION ","")&amp;IF(COUNTIFS(tbl_Finance[Job Number],C328&amp;"",tbl_Finance[Cost Centre],"VIDEO")&gt;0,"VIDEO ","")&amp;IF(COUNTIFS(tbl_Finance[Job Number],C328&amp;"",tbl_Finance[Cost Centre],"INTEGRATION")&gt;0,"INTEGRATION ","")&amp;IF(COUNTIFS(tbl_Finance[Job Number],C328&amp;"",tbl_Finance[Cost Centre],"CONSULTING")&gt;0,"CONSULTING ","")&amp;IF(COUNTIFS(tbl_Finance[Job Number],C328&amp;"",tbl_Finance[Cost Centre],"CTS")&gt;0,"CTS ",""))," ",", ")))</f>
        <v/>
      </c>
      <c r="L328" s="22" t="n"/>
      <c r="M328" s="24" t="n"/>
      <c r="N328" s="25">
        <f>IF(M328="","",IF(AND(LEFT(M328,4)&lt;&gt;"http",set_RMSBase=""),"",HYPERLINK(IF(LEFT(M328,4)="http",M328,set_RMSBase&amp;M328),"Open opportunity")))</f>
        <v/>
      </c>
      <c r="O328" s="25">
        <f>IF(C328="","",C328)</f>
        <v/>
      </c>
      <c r="P328" s="24" t="n"/>
      <c r="Q328" s="26" t="n"/>
      <c r="R328" s="27">
        <f>IF(C328="","",H328+N(Q328))</f>
        <v/>
      </c>
      <c r="S328" s="29">
        <f>IFERROR(Q328/R328,"")</f>
        <v/>
      </c>
      <c r="T328" s="26" t="n"/>
      <c r="U328" s="26" t="n"/>
      <c r="V328" s="27">
        <f>IF(C328="","",N(T328)+N(U328))</f>
        <v/>
      </c>
      <c r="W328" s="27">
        <f>IF(C328="","",H328-V328)</f>
        <v/>
      </c>
      <c r="X328" s="29">
        <f>IFERROR(W328/H328,"")</f>
        <v/>
      </c>
      <c r="Y328" s="64" t="n"/>
      <c r="Z328" s="64" t="n"/>
      <c r="AA328" s="64" t="n"/>
      <c r="AB328" s="64" t="n"/>
      <c r="AC328" s="64" t="n"/>
      <c r="AD328" s="24" t="n"/>
    </row>
    <row r="329" ht="15" customHeight="1">
      <c r="A329" s="63">
        <f>IF(C329="","",IFERROR(IF(SUMPRODUCT(MAX((tbl_Finance[Job Number]=C329&amp;"")*(tbl_Finance[Xero Invoice No]&lt;&gt;"")*tbl_Finance[Date]))=0,"",SUMPRODUCT(MAX((tbl_Finance[Job Number]=C329&amp;"")*(tbl_Finance[Xero Invoice No]&lt;&gt;"")*tbl_Finance[Date]))),""))</f>
        <v/>
      </c>
      <c r="B329" s="25">
        <f>IF(C329="","",IF(COUNTIFS(tbl_Finance[Job Number],C329&amp;"",tbl_Finance[Xero Invoice No],"&lt;&gt;")=0,"",IFERROR(IF(COUNTIFS(tbl_Finance[Job Number],C329&amp;"",tbl_Finance[Xero Invoice No],LOOKUP(2,1/((tbl_Finance[Job Number]=C329&amp;"")*(tbl_Finance[Xero Invoice No]&lt;&gt;"")),tbl_Finance[Xero Invoice No]))=COUNTIFS(tbl_Finance[Job Number],C329&amp;"",tbl_Finance[Xero Invoice No],"&lt;&gt;"),LOOKUP(2,1/((tbl_Finance[Job Number]=C329&amp;"")*(tbl_Finance[Xero Invoice No]&lt;&gt;"")),tbl_Finance[Xero Invoice No]),LOOKUP(2,1/((tbl_Finance[Job Number]=C329&amp;"")*(tbl_Finance[Xero Invoice No]&lt;&gt;"")),tbl_Finance[Xero Invoice No])&amp;" +more"),"")))</f>
        <v/>
      </c>
      <c r="C329" s="24" t="n"/>
      <c r="D329" s="25">
        <f>IF(C329="","",IF(COUNTIF(lst_Jobs,C329&amp;"")&gt;0,"OK","CHECK"))</f>
        <v/>
      </c>
      <c r="E329" s="25">
        <f>IF(C329="","",IFERROR(INDEX(lst_JobName,MATCH(C329&amp;"",lst_Jobs,0)),""))</f>
        <v/>
      </c>
      <c r="F329" s="25">
        <f>IF(C329="","",IFERROR(INDEX(tbl_Finance[Client],MATCH(C329&amp;"",tbl_Finance[Job Number],0)),""))</f>
        <v/>
      </c>
      <c r="G329" s="28">
        <f>IF(C329="","",COUNTIFS(tbl_Finance[Job Number],C329&amp;"",tbl_Finance[Ex GST],"&lt;&gt;"))</f>
        <v/>
      </c>
      <c r="H329" s="27">
        <f>IF(C329="","",SUMIFS(tbl_Finance[Ex GST],tbl_Finance[Job Number],C329&amp;""))</f>
        <v/>
      </c>
      <c r="I329" s="27">
        <f>IF(C329="","",SUMIFS(tbl_Finance[Ex GST],tbl_Finance[Job Number],C329&amp;"",tbl_Finance[Xero Invoice No],"&lt;&gt;"))</f>
        <v/>
      </c>
      <c r="J329" s="27">
        <f>IF(C329="","",H329-I329)</f>
        <v/>
      </c>
      <c r="K329" s="25">
        <f>IF(C329="","",IF(G329=0,"not invoiced yet",SUBSTITUTE(TRIM(IF(COUNTIFS(tbl_Finance[Job Number],C329&amp;"",tbl_Finance[Cost Centre],"ONSITE")&gt;0,"ONSITE ","")&amp;IF(COUNTIFS(tbl_Finance[Job Number],C329&amp;"",tbl_Finance[Cost Centre],"PRODUCTION")&gt;0,"PRODUCTION ","")&amp;IF(COUNTIFS(tbl_Finance[Job Number],C329&amp;"",tbl_Finance[Cost Centre],"VIDEO")&gt;0,"VIDEO ","")&amp;IF(COUNTIFS(tbl_Finance[Job Number],C329&amp;"",tbl_Finance[Cost Centre],"INTEGRATION")&gt;0,"INTEGRATION ","")&amp;IF(COUNTIFS(tbl_Finance[Job Number],C329&amp;"",tbl_Finance[Cost Centre],"CONSULTING")&gt;0,"CONSULTING ","")&amp;IF(COUNTIFS(tbl_Finance[Job Number],C329&amp;"",tbl_Finance[Cost Centre],"CTS")&gt;0,"CTS ",""))," ",", ")))</f>
        <v/>
      </c>
      <c r="L329" s="22" t="n"/>
      <c r="M329" s="24" t="n"/>
      <c r="N329" s="25">
        <f>IF(M329="","",IF(AND(LEFT(M329,4)&lt;&gt;"http",set_RMSBase=""),"",HYPERLINK(IF(LEFT(M329,4)="http",M329,set_RMSBase&amp;M329),"Open opportunity")))</f>
        <v/>
      </c>
      <c r="O329" s="25">
        <f>IF(C329="","",C329)</f>
        <v/>
      </c>
      <c r="P329" s="24" t="n"/>
      <c r="Q329" s="26" t="n"/>
      <c r="R329" s="27">
        <f>IF(C329="","",H329+N(Q329))</f>
        <v/>
      </c>
      <c r="S329" s="29">
        <f>IFERROR(Q329/R329,"")</f>
        <v/>
      </c>
      <c r="T329" s="26" t="n"/>
      <c r="U329" s="26" t="n"/>
      <c r="V329" s="27">
        <f>IF(C329="","",N(T329)+N(U329))</f>
        <v/>
      </c>
      <c r="W329" s="27">
        <f>IF(C329="","",H329-V329)</f>
        <v/>
      </c>
      <c r="X329" s="29">
        <f>IFERROR(W329/H329,"")</f>
        <v/>
      </c>
      <c r="Y329" s="64" t="n"/>
      <c r="Z329" s="64" t="n"/>
      <c r="AA329" s="64" t="n"/>
      <c r="AB329" s="64" t="n"/>
      <c r="AC329" s="64" t="n"/>
      <c r="AD329" s="24" t="n"/>
    </row>
    <row r="330" ht="15" customHeight="1">
      <c r="A330" s="63">
        <f>IF(C330="","",IFERROR(IF(SUMPRODUCT(MAX((tbl_Finance[Job Number]=C330&amp;"")*(tbl_Finance[Xero Invoice No]&lt;&gt;"")*tbl_Finance[Date]))=0,"",SUMPRODUCT(MAX((tbl_Finance[Job Number]=C330&amp;"")*(tbl_Finance[Xero Invoice No]&lt;&gt;"")*tbl_Finance[Date]))),""))</f>
        <v/>
      </c>
      <c r="B330" s="25">
        <f>IF(C330="","",IF(COUNTIFS(tbl_Finance[Job Number],C330&amp;"",tbl_Finance[Xero Invoice No],"&lt;&gt;")=0,"",IFERROR(IF(COUNTIFS(tbl_Finance[Job Number],C330&amp;"",tbl_Finance[Xero Invoice No],LOOKUP(2,1/((tbl_Finance[Job Number]=C330&amp;"")*(tbl_Finance[Xero Invoice No]&lt;&gt;"")),tbl_Finance[Xero Invoice No]))=COUNTIFS(tbl_Finance[Job Number],C330&amp;"",tbl_Finance[Xero Invoice No],"&lt;&gt;"),LOOKUP(2,1/((tbl_Finance[Job Number]=C330&amp;"")*(tbl_Finance[Xero Invoice No]&lt;&gt;"")),tbl_Finance[Xero Invoice No]),LOOKUP(2,1/((tbl_Finance[Job Number]=C330&amp;"")*(tbl_Finance[Xero Invoice No]&lt;&gt;"")),tbl_Finance[Xero Invoice No])&amp;" +more"),"")))</f>
        <v/>
      </c>
      <c r="C330" s="24" t="n"/>
      <c r="D330" s="25">
        <f>IF(C330="","",IF(COUNTIF(lst_Jobs,C330&amp;"")&gt;0,"OK","CHECK"))</f>
        <v/>
      </c>
      <c r="E330" s="25">
        <f>IF(C330="","",IFERROR(INDEX(lst_JobName,MATCH(C330&amp;"",lst_Jobs,0)),""))</f>
        <v/>
      </c>
      <c r="F330" s="25">
        <f>IF(C330="","",IFERROR(INDEX(tbl_Finance[Client],MATCH(C330&amp;"",tbl_Finance[Job Number],0)),""))</f>
        <v/>
      </c>
      <c r="G330" s="28">
        <f>IF(C330="","",COUNTIFS(tbl_Finance[Job Number],C330&amp;"",tbl_Finance[Ex GST],"&lt;&gt;"))</f>
        <v/>
      </c>
      <c r="H330" s="27">
        <f>IF(C330="","",SUMIFS(tbl_Finance[Ex GST],tbl_Finance[Job Number],C330&amp;""))</f>
        <v/>
      </c>
      <c r="I330" s="27">
        <f>IF(C330="","",SUMIFS(tbl_Finance[Ex GST],tbl_Finance[Job Number],C330&amp;"",tbl_Finance[Xero Invoice No],"&lt;&gt;"))</f>
        <v/>
      </c>
      <c r="J330" s="27">
        <f>IF(C330="","",H330-I330)</f>
        <v/>
      </c>
      <c r="K330" s="25">
        <f>IF(C330="","",IF(G330=0,"not invoiced yet",SUBSTITUTE(TRIM(IF(COUNTIFS(tbl_Finance[Job Number],C330&amp;"",tbl_Finance[Cost Centre],"ONSITE")&gt;0,"ONSITE ","")&amp;IF(COUNTIFS(tbl_Finance[Job Number],C330&amp;"",tbl_Finance[Cost Centre],"PRODUCTION")&gt;0,"PRODUCTION ","")&amp;IF(COUNTIFS(tbl_Finance[Job Number],C330&amp;"",tbl_Finance[Cost Centre],"VIDEO")&gt;0,"VIDEO ","")&amp;IF(COUNTIFS(tbl_Finance[Job Number],C330&amp;"",tbl_Finance[Cost Centre],"INTEGRATION")&gt;0,"INTEGRATION ","")&amp;IF(COUNTIFS(tbl_Finance[Job Number],C330&amp;"",tbl_Finance[Cost Centre],"CONSULTING")&gt;0,"CONSULTING ","")&amp;IF(COUNTIFS(tbl_Finance[Job Number],C330&amp;"",tbl_Finance[Cost Centre],"CTS")&gt;0,"CTS ",""))," ",", ")))</f>
        <v/>
      </c>
      <c r="L330" s="22" t="n"/>
      <c r="M330" s="24" t="n"/>
      <c r="N330" s="25">
        <f>IF(M330="","",IF(AND(LEFT(M330,4)&lt;&gt;"http",set_RMSBase=""),"",HYPERLINK(IF(LEFT(M330,4)="http",M330,set_RMSBase&amp;M330),"Open opportunity")))</f>
        <v/>
      </c>
      <c r="O330" s="25">
        <f>IF(C330="","",C330)</f>
        <v/>
      </c>
      <c r="P330" s="24" t="n"/>
      <c r="Q330" s="26" t="n"/>
      <c r="R330" s="27">
        <f>IF(C330="","",H330+N(Q330))</f>
        <v/>
      </c>
      <c r="S330" s="29">
        <f>IFERROR(Q330/R330,"")</f>
        <v/>
      </c>
      <c r="T330" s="26" t="n"/>
      <c r="U330" s="26" t="n"/>
      <c r="V330" s="27">
        <f>IF(C330="","",N(T330)+N(U330))</f>
        <v/>
      </c>
      <c r="W330" s="27">
        <f>IF(C330="","",H330-V330)</f>
        <v/>
      </c>
      <c r="X330" s="29">
        <f>IFERROR(W330/H330,"")</f>
        <v/>
      </c>
      <c r="Y330" s="64" t="n"/>
      <c r="Z330" s="64" t="n"/>
      <c r="AA330" s="64" t="n"/>
      <c r="AB330" s="64" t="n"/>
      <c r="AC330" s="64" t="n"/>
      <c r="AD330" s="24" t="n"/>
    </row>
    <row r="331" ht="15" customHeight="1">
      <c r="A331" s="63">
        <f>IF(C331="","",IFERROR(IF(SUMPRODUCT(MAX((tbl_Finance[Job Number]=C331&amp;"")*(tbl_Finance[Xero Invoice No]&lt;&gt;"")*tbl_Finance[Date]))=0,"",SUMPRODUCT(MAX((tbl_Finance[Job Number]=C331&amp;"")*(tbl_Finance[Xero Invoice No]&lt;&gt;"")*tbl_Finance[Date]))),""))</f>
        <v/>
      </c>
      <c r="B331" s="25">
        <f>IF(C331="","",IF(COUNTIFS(tbl_Finance[Job Number],C331&amp;"",tbl_Finance[Xero Invoice No],"&lt;&gt;")=0,"",IFERROR(IF(COUNTIFS(tbl_Finance[Job Number],C331&amp;"",tbl_Finance[Xero Invoice No],LOOKUP(2,1/((tbl_Finance[Job Number]=C331&amp;"")*(tbl_Finance[Xero Invoice No]&lt;&gt;"")),tbl_Finance[Xero Invoice No]))=COUNTIFS(tbl_Finance[Job Number],C331&amp;"",tbl_Finance[Xero Invoice No],"&lt;&gt;"),LOOKUP(2,1/((tbl_Finance[Job Number]=C331&amp;"")*(tbl_Finance[Xero Invoice No]&lt;&gt;"")),tbl_Finance[Xero Invoice No]),LOOKUP(2,1/((tbl_Finance[Job Number]=C331&amp;"")*(tbl_Finance[Xero Invoice No]&lt;&gt;"")),tbl_Finance[Xero Invoice No])&amp;" +more"),"")))</f>
        <v/>
      </c>
      <c r="C331" s="24" t="n"/>
      <c r="D331" s="25">
        <f>IF(C331="","",IF(COUNTIF(lst_Jobs,C331&amp;"")&gt;0,"OK","CHECK"))</f>
        <v/>
      </c>
      <c r="E331" s="25">
        <f>IF(C331="","",IFERROR(INDEX(lst_JobName,MATCH(C331&amp;"",lst_Jobs,0)),""))</f>
        <v/>
      </c>
      <c r="F331" s="25">
        <f>IF(C331="","",IFERROR(INDEX(tbl_Finance[Client],MATCH(C331&amp;"",tbl_Finance[Job Number],0)),""))</f>
        <v/>
      </c>
      <c r="G331" s="28">
        <f>IF(C331="","",COUNTIFS(tbl_Finance[Job Number],C331&amp;"",tbl_Finance[Ex GST],"&lt;&gt;"))</f>
        <v/>
      </c>
      <c r="H331" s="27">
        <f>IF(C331="","",SUMIFS(tbl_Finance[Ex GST],tbl_Finance[Job Number],C331&amp;""))</f>
        <v/>
      </c>
      <c r="I331" s="27">
        <f>IF(C331="","",SUMIFS(tbl_Finance[Ex GST],tbl_Finance[Job Number],C331&amp;"",tbl_Finance[Xero Invoice No],"&lt;&gt;"))</f>
        <v/>
      </c>
      <c r="J331" s="27">
        <f>IF(C331="","",H331-I331)</f>
        <v/>
      </c>
      <c r="K331" s="25">
        <f>IF(C331="","",IF(G331=0,"not invoiced yet",SUBSTITUTE(TRIM(IF(COUNTIFS(tbl_Finance[Job Number],C331&amp;"",tbl_Finance[Cost Centre],"ONSITE")&gt;0,"ONSITE ","")&amp;IF(COUNTIFS(tbl_Finance[Job Number],C331&amp;"",tbl_Finance[Cost Centre],"PRODUCTION")&gt;0,"PRODUCTION ","")&amp;IF(COUNTIFS(tbl_Finance[Job Number],C331&amp;"",tbl_Finance[Cost Centre],"VIDEO")&gt;0,"VIDEO ","")&amp;IF(COUNTIFS(tbl_Finance[Job Number],C331&amp;"",tbl_Finance[Cost Centre],"INTEGRATION")&gt;0,"INTEGRATION ","")&amp;IF(COUNTIFS(tbl_Finance[Job Number],C331&amp;"",tbl_Finance[Cost Centre],"CONSULTING")&gt;0,"CONSULTING ","")&amp;IF(COUNTIFS(tbl_Finance[Job Number],C331&amp;"",tbl_Finance[Cost Centre],"CTS")&gt;0,"CTS ",""))," ",", ")))</f>
        <v/>
      </c>
      <c r="L331" s="22" t="n"/>
      <c r="M331" s="24" t="n"/>
      <c r="N331" s="25">
        <f>IF(M331="","",IF(AND(LEFT(M331,4)&lt;&gt;"http",set_RMSBase=""),"",HYPERLINK(IF(LEFT(M331,4)="http",M331,set_RMSBase&amp;M331),"Open opportunity")))</f>
        <v/>
      </c>
      <c r="O331" s="25">
        <f>IF(C331="","",C331)</f>
        <v/>
      </c>
      <c r="P331" s="24" t="n"/>
      <c r="Q331" s="26" t="n"/>
      <c r="R331" s="27">
        <f>IF(C331="","",H331+N(Q331))</f>
        <v/>
      </c>
      <c r="S331" s="29">
        <f>IFERROR(Q331/R331,"")</f>
        <v/>
      </c>
      <c r="T331" s="26" t="n"/>
      <c r="U331" s="26" t="n"/>
      <c r="V331" s="27">
        <f>IF(C331="","",N(T331)+N(U331))</f>
        <v/>
      </c>
      <c r="W331" s="27">
        <f>IF(C331="","",H331-V331)</f>
        <v/>
      </c>
      <c r="X331" s="29">
        <f>IFERROR(W331/H331,"")</f>
        <v/>
      </c>
      <c r="Y331" s="64" t="n"/>
      <c r="Z331" s="64" t="n"/>
      <c r="AA331" s="64" t="n"/>
      <c r="AB331" s="64" t="n"/>
      <c r="AC331" s="64" t="n"/>
      <c r="AD331" s="24" t="n"/>
    </row>
    <row r="332" ht="15" customHeight="1">
      <c r="A332" s="63">
        <f>IF(C332="","",IFERROR(IF(SUMPRODUCT(MAX((tbl_Finance[Job Number]=C332&amp;"")*(tbl_Finance[Xero Invoice No]&lt;&gt;"")*tbl_Finance[Date]))=0,"",SUMPRODUCT(MAX((tbl_Finance[Job Number]=C332&amp;"")*(tbl_Finance[Xero Invoice No]&lt;&gt;"")*tbl_Finance[Date]))),""))</f>
        <v/>
      </c>
      <c r="B332" s="25">
        <f>IF(C332="","",IF(COUNTIFS(tbl_Finance[Job Number],C332&amp;"",tbl_Finance[Xero Invoice No],"&lt;&gt;")=0,"",IFERROR(IF(COUNTIFS(tbl_Finance[Job Number],C332&amp;"",tbl_Finance[Xero Invoice No],LOOKUP(2,1/((tbl_Finance[Job Number]=C332&amp;"")*(tbl_Finance[Xero Invoice No]&lt;&gt;"")),tbl_Finance[Xero Invoice No]))=COUNTIFS(tbl_Finance[Job Number],C332&amp;"",tbl_Finance[Xero Invoice No],"&lt;&gt;"),LOOKUP(2,1/((tbl_Finance[Job Number]=C332&amp;"")*(tbl_Finance[Xero Invoice No]&lt;&gt;"")),tbl_Finance[Xero Invoice No]),LOOKUP(2,1/((tbl_Finance[Job Number]=C332&amp;"")*(tbl_Finance[Xero Invoice No]&lt;&gt;"")),tbl_Finance[Xero Invoice No])&amp;" +more"),"")))</f>
        <v/>
      </c>
      <c r="C332" s="24" t="n"/>
      <c r="D332" s="25">
        <f>IF(C332="","",IF(COUNTIF(lst_Jobs,C332&amp;"")&gt;0,"OK","CHECK"))</f>
        <v/>
      </c>
      <c r="E332" s="25">
        <f>IF(C332="","",IFERROR(INDEX(lst_JobName,MATCH(C332&amp;"",lst_Jobs,0)),""))</f>
        <v/>
      </c>
      <c r="F332" s="25">
        <f>IF(C332="","",IFERROR(INDEX(tbl_Finance[Client],MATCH(C332&amp;"",tbl_Finance[Job Number],0)),""))</f>
        <v/>
      </c>
      <c r="G332" s="28">
        <f>IF(C332="","",COUNTIFS(tbl_Finance[Job Number],C332&amp;"",tbl_Finance[Ex GST],"&lt;&gt;"))</f>
        <v/>
      </c>
      <c r="H332" s="27">
        <f>IF(C332="","",SUMIFS(tbl_Finance[Ex GST],tbl_Finance[Job Number],C332&amp;""))</f>
        <v/>
      </c>
      <c r="I332" s="27">
        <f>IF(C332="","",SUMIFS(tbl_Finance[Ex GST],tbl_Finance[Job Number],C332&amp;"",tbl_Finance[Xero Invoice No],"&lt;&gt;"))</f>
        <v/>
      </c>
      <c r="J332" s="27">
        <f>IF(C332="","",H332-I332)</f>
        <v/>
      </c>
      <c r="K332" s="25">
        <f>IF(C332="","",IF(G332=0,"not invoiced yet",SUBSTITUTE(TRIM(IF(COUNTIFS(tbl_Finance[Job Number],C332&amp;"",tbl_Finance[Cost Centre],"ONSITE")&gt;0,"ONSITE ","")&amp;IF(COUNTIFS(tbl_Finance[Job Number],C332&amp;"",tbl_Finance[Cost Centre],"PRODUCTION")&gt;0,"PRODUCTION ","")&amp;IF(COUNTIFS(tbl_Finance[Job Number],C332&amp;"",tbl_Finance[Cost Centre],"VIDEO")&gt;0,"VIDEO ","")&amp;IF(COUNTIFS(tbl_Finance[Job Number],C332&amp;"",tbl_Finance[Cost Centre],"INTEGRATION")&gt;0,"INTEGRATION ","")&amp;IF(COUNTIFS(tbl_Finance[Job Number],C332&amp;"",tbl_Finance[Cost Centre],"CONSULTING")&gt;0,"CONSULTING ","")&amp;IF(COUNTIFS(tbl_Finance[Job Number],C332&amp;"",tbl_Finance[Cost Centre],"CTS")&gt;0,"CTS ",""))," ",", ")))</f>
        <v/>
      </c>
      <c r="L332" s="22" t="n"/>
      <c r="M332" s="24" t="n"/>
      <c r="N332" s="25">
        <f>IF(M332="","",IF(AND(LEFT(M332,4)&lt;&gt;"http",set_RMSBase=""),"",HYPERLINK(IF(LEFT(M332,4)="http",M332,set_RMSBase&amp;M332),"Open opportunity")))</f>
        <v/>
      </c>
      <c r="O332" s="25">
        <f>IF(C332="","",C332)</f>
        <v/>
      </c>
      <c r="P332" s="24" t="n"/>
      <c r="Q332" s="26" t="n"/>
      <c r="R332" s="27">
        <f>IF(C332="","",H332+N(Q332))</f>
        <v/>
      </c>
      <c r="S332" s="29">
        <f>IFERROR(Q332/R332,"")</f>
        <v/>
      </c>
      <c r="T332" s="26" t="n"/>
      <c r="U332" s="26" t="n"/>
      <c r="V332" s="27">
        <f>IF(C332="","",N(T332)+N(U332))</f>
        <v/>
      </c>
      <c r="W332" s="27">
        <f>IF(C332="","",H332-V332)</f>
        <v/>
      </c>
      <c r="X332" s="29">
        <f>IFERROR(W332/H332,"")</f>
        <v/>
      </c>
      <c r="Y332" s="64" t="n"/>
      <c r="Z332" s="64" t="n"/>
      <c r="AA332" s="64" t="n"/>
      <c r="AB332" s="64" t="n"/>
      <c r="AC332" s="64" t="n"/>
      <c r="AD332" s="24" t="n"/>
    </row>
    <row r="333" ht="15" customHeight="1">
      <c r="A333" s="63">
        <f>IF(C333="","",IFERROR(IF(SUMPRODUCT(MAX((tbl_Finance[Job Number]=C333&amp;"")*(tbl_Finance[Xero Invoice No]&lt;&gt;"")*tbl_Finance[Date]))=0,"",SUMPRODUCT(MAX((tbl_Finance[Job Number]=C333&amp;"")*(tbl_Finance[Xero Invoice No]&lt;&gt;"")*tbl_Finance[Date]))),""))</f>
        <v/>
      </c>
      <c r="B333" s="25">
        <f>IF(C333="","",IF(COUNTIFS(tbl_Finance[Job Number],C333&amp;"",tbl_Finance[Xero Invoice No],"&lt;&gt;")=0,"",IFERROR(IF(COUNTIFS(tbl_Finance[Job Number],C333&amp;"",tbl_Finance[Xero Invoice No],LOOKUP(2,1/((tbl_Finance[Job Number]=C333&amp;"")*(tbl_Finance[Xero Invoice No]&lt;&gt;"")),tbl_Finance[Xero Invoice No]))=COUNTIFS(tbl_Finance[Job Number],C333&amp;"",tbl_Finance[Xero Invoice No],"&lt;&gt;"),LOOKUP(2,1/((tbl_Finance[Job Number]=C333&amp;"")*(tbl_Finance[Xero Invoice No]&lt;&gt;"")),tbl_Finance[Xero Invoice No]),LOOKUP(2,1/((tbl_Finance[Job Number]=C333&amp;"")*(tbl_Finance[Xero Invoice No]&lt;&gt;"")),tbl_Finance[Xero Invoice No])&amp;" +more"),"")))</f>
        <v/>
      </c>
      <c r="C333" s="24" t="n"/>
      <c r="D333" s="25">
        <f>IF(C333="","",IF(COUNTIF(lst_Jobs,C333&amp;"")&gt;0,"OK","CHECK"))</f>
        <v/>
      </c>
      <c r="E333" s="25">
        <f>IF(C333="","",IFERROR(INDEX(lst_JobName,MATCH(C333&amp;"",lst_Jobs,0)),""))</f>
        <v/>
      </c>
      <c r="F333" s="25">
        <f>IF(C333="","",IFERROR(INDEX(tbl_Finance[Client],MATCH(C333&amp;"",tbl_Finance[Job Number],0)),""))</f>
        <v/>
      </c>
      <c r="G333" s="28">
        <f>IF(C333="","",COUNTIFS(tbl_Finance[Job Number],C333&amp;"",tbl_Finance[Ex GST],"&lt;&gt;"))</f>
        <v/>
      </c>
      <c r="H333" s="27">
        <f>IF(C333="","",SUMIFS(tbl_Finance[Ex GST],tbl_Finance[Job Number],C333&amp;""))</f>
        <v/>
      </c>
      <c r="I333" s="27">
        <f>IF(C333="","",SUMIFS(tbl_Finance[Ex GST],tbl_Finance[Job Number],C333&amp;"",tbl_Finance[Xero Invoice No],"&lt;&gt;"))</f>
        <v/>
      </c>
      <c r="J333" s="27">
        <f>IF(C333="","",H333-I333)</f>
        <v/>
      </c>
      <c r="K333" s="25">
        <f>IF(C333="","",IF(G333=0,"not invoiced yet",SUBSTITUTE(TRIM(IF(COUNTIFS(tbl_Finance[Job Number],C333&amp;"",tbl_Finance[Cost Centre],"ONSITE")&gt;0,"ONSITE ","")&amp;IF(COUNTIFS(tbl_Finance[Job Number],C333&amp;"",tbl_Finance[Cost Centre],"PRODUCTION")&gt;0,"PRODUCTION ","")&amp;IF(COUNTIFS(tbl_Finance[Job Number],C333&amp;"",tbl_Finance[Cost Centre],"VIDEO")&gt;0,"VIDEO ","")&amp;IF(COUNTIFS(tbl_Finance[Job Number],C333&amp;"",tbl_Finance[Cost Centre],"INTEGRATION")&gt;0,"INTEGRATION ","")&amp;IF(COUNTIFS(tbl_Finance[Job Number],C333&amp;"",tbl_Finance[Cost Centre],"CONSULTING")&gt;0,"CONSULTING ","")&amp;IF(COUNTIFS(tbl_Finance[Job Number],C333&amp;"",tbl_Finance[Cost Centre],"CTS")&gt;0,"CTS ",""))," ",", ")))</f>
        <v/>
      </c>
      <c r="L333" s="22" t="n"/>
      <c r="M333" s="24" t="n"/>
      <c r="N333" s="25">
        <f>IF(M333="","",IF(AND(LEFT(M333,4)&lt;&gt;"http",set_RMSBase=""),"",HYPERLINK(IF(LEFT(M333,4)="http",M333,set_RMSBase&amp;M333),"Open opportunity")))</f>
        <v/>
      </c>
      <c r="O333" s="25">
        <f>IF(C333="","",C333)</f>
        <v/>
      </c>
      <c r="P333" s="24" t="n"/>
      <c r="Q333" s="26" t="n"/>
      <c r="R333" s="27">
        <f>IF(C333="","",H333+N(Q333))</f>
        <v/>
      </c>
      <c r="S333" s="29">
        <f>IFERROR(Q333/R333,"")</f>
        <v/>
      </c>
      <c r="T333" s="26" t="n"/>
      <c r="U333" s="26" t="n"/>
      <c r="V333" s="27">
        <f>IF(C333="","",N(T333)+N(U333))</f>
        <v/>
      </c>
      <c r="W333" s="27">
        <f>IF(C333="","",H333-V333)</f>
        <v/>
      </c>
      <c r="X333" s="29">
        <f>IFERROR(W333/H333,"")</f>
        <v/>
      </c>
      <c r="Y333" s="64" t="n"/>
      <c r="Z333" s="64" t="n"/>
      <c r="AA333" s="64" t="n"/>
      <c r="AB333" s="64" t="n"/>
      <c r="AC333" s="64" t="n"/>
      <c r="AD333" s="24" t="n"/>
    </row>
    <row r="334" ht="15" customHeight="1">
      <c r="A334" s="63">
        <f>IF(C334="","",IFERROR(IF(SUMPRODUCT(MAX((tbl_Finance[Job Number]=C334&amp;"")*(tbl_Finance[Xero Invoice No]&lt;&gt;"")*tbl_Finance[Date]))=0,"",SUMPRODUCT(MAX((tbl_Finance[Job Number]=C334&amp;"")*(tbl_Finance[Xero Invoice No]&lt;&gt;"")*tbl_Finance[Date]))),""))</f>
        <v/>
      </c>
      <c r="B334" s="25">
        <f>IF(C334="","",IF(COUNTIFS(tbl_Finance[Job Number],C334&amp;"",tbl_Finance[Xero Invoice No],"&lt;&gt;")=0,"",IFERROR(IF(COUNTIFS(tbl_Finance[Job Number],C334&amp;"",tbl_Finance[Xero Invoice No],LOOKUP(2,1/((tbl_Finance[Job Number]=C334&amp;"")*(tbl_Finance[Xero Invoice No]&lt;&gt;"")),tbl_Finance[Xero Invoice No]))=COUNTIFS(tbl_Finance[Job Number],C334&amp;"",tbl_Finance[Xero Invoice No],"&lt;&gt;"),LOOKUP(2,1/((tbl_Finance[Job Number]=C334&amp;"")*(tbl_Finance[Xero Invoice No]&lt;&gt;"")),tbl_Finance[Xero Invoice No]),LOOKUP(2,1/((tbl_Finance[Job Number]=C334&amp;"")*(tbl_Finance[Xero Invoice No]&lt;&gt;"")),tbl_Finance[Xero Invoice No])&amp;" +more"),"")))</f>
        <v/>
      </c>
      <c r="C334" s="24" t="n"/>
      <c r="D334" s="25">
        <f>IF(C334="","",IF(COUNTIF(lst_Jobs,C334&amp;"")&gt;0,"OK","CHECK"))</f>
        <v/>
      </c>
      <c r="E334" s="25">
        <f>IF(C334="","",IFERROR(INDEX(lst_JobName,MATCH(C334&amp;"",lst_Jobs,0)),""))</f>
        <v/>
      </c>
      <c r="F334" s="25">
        <f>IF(C334="","",IFERROR(INDEX(tbl_Finance[Client],MATCH(C334&amp;"",tbl_Finance[Job Number],0)),""))</f>
        <v/>
      </c>
      <c r="G334" s="28">
        <f>IF(C334="","",COUNTIFS(tbl_Finance[Job Number],C334&amp;"",tbl_Finance[Ex GST],"&lt;&gt;"))</f>
        <v/>
      </c>
      <c r="H334" s="27">
        <f>IF(C334="","",SUMIFS(tbl_Finance[Ex GST],tbl_Finance[Job Number],C334&amp;""))</f>
        <v/>
      </c>
      <c r="I334" s="27">
        <f>IF(C334="","",SUMIFS(tbl_Finance[Ex GST],tbl_Finance[Job Number],C334&amp;"",tbl_Finance[Xero Invoice No],"&lt;&gt;"))</f>
        <v/>
      </c>
      <c r="J334" s="27">
        <f>IF(C334="","",H334-I334)</f>
        <v/>
      </c>
      <c r="K334" s="25">
        <f>IF(C334="","",IF(G334=0,"not invoiced yet",SUBSTITUTE(TRIM(IF(COUNTIFS(tbl_Finance[Job Number],C334&amp;"",tbl_Finance[Cost Centre],"ONSITE")&gt;0,"ONSITE ","")&amp;IF(COUNTIFS(tbl_Finance[Job Number],C334&amp;"",tbl_Finance[Cost Centre],"PRODUCTION")&gt;0,"PRODUCTION ","")&amp;IF(COUNTIFS(tbl_Finance[Job Number],C334&amp;"",tbl_Finance[Cost Centre],"VIDEO")&gt;0,"VIDEO ","")&amp;IF(COUNTIFS(tbl_Finance[Job Number],C334&amp;"",tbl_Finance[Cost Centre],"INTEGRATION")&gt;0,"INTEGRATION ","")&amp;IF(COUNTIFS(tbl_Finance[Job Number],C334&amp;"",tbl_Finance[Cost Centre],"CONSULTING")&gt;0,"CONSULTING ","")&amp;IF(COUNTIFS(tbl_Finance[Job Number],C334&amp;"",tbl_Finance[Cost Centre],"CTS")&gt;0,"CTS ",""))," ",", ")))</f>
        <v/>
      </c>
      <c r="L334" s="22" t="n"/>
      <c r="M334" s="24" t="n"/>
      <c r="N334" s="25">
        <f>IF(M334="","",IF(AND(LEFT(M334,4)&lt;&gt;"http",set_RMSBase=""),"",HYPERLINK(IF(LEFT(M334,4)="http",M334,set_RMSBase&amp;M334),"Open opportunity")))</f>
        <v/>
      </c>
      <c r="O334" s="25">
        <f>IF(C334="","",C334)</f>
        <v/>
      </c>
      <c r="P334" s="24" t="n"/>
      <c r="Q334" s="26" t="n"/>
      <c r="R334" s="27">
        <f>IF(C334="","",H334+N(Q334))</f>
        <v/>
      </c>
      <c r="S334" s="29">
        <f>IFERROR(Q334/R334,"")</f>
        <v/>
      </c>
      <c r="T334" s="26" t="n"/>
      <c r="U334" s="26" t="n"/>
      <c r="V334" s="27">
        <f>IF(C334="","",N(T334)+N(U334))</f>
        <v/>
      </c>
      <c r="W334" s="27">
        <f>IF(C334="","",H334-V334)</f>
        <v/>
      </c>
      <c r="X334" s="29">
        <f>IFERROR(W334/H334,"")</f>
        <v/>
      </c>
      <c r="Y334" s="64" t="n"/>
      <c r="Z334" s="64" t="n"/>
      <c r="AA334" s="64" t="n"/>
      <c r="AB334" s="64" t="n"/>
      <c r="AC334" s="64" t="n"/>
      <c r="AD334" s="24" t="n"/>
    </row>
    <row r="335" ht="15" customHeight="1">
      <c r="A335" s="63">
        <f>IF(C335="","",IFERROR(IF(SUMPRODUCT(MAX((tbl_Finance[Job Number]=C335&amp;"")*(tbl_Finance[Xero Invoice No]&lt;&gt;"")*tbl_Finance[Date]))=0,"",SUMPRODUCT(MAX((tbl_Finance[Job Number]=C335&amp;"")*(tbl_Finance[Xero Invoice No]&lt;&gt;"")*tbl_Finance[Date]))),""))</f>
        <v/>
      </c>
      <c r="B335" s="25">
        <f>IF(C335="","",IF(COUNTIFS(tbl_Finance[Job Number],C335&amp;"",tbl_Finance[Xero Invoice No],"&lt;&gt;")=0,"",IFERROR(IF(COUNTIFS(tbl_Finance[Job Number],C335&amp;"",tbl_Finance[Xero Invoice No],LOOKUP(2,1/((tbl_Finance[Job Number]=C335&amp;"")*(tbl_Finance[Xero Invoice No]&lt;&gt;"")),tbl_Finance[Xero Invoice No]))=COUNTIFS(tbl_Finance[Job Number],C335&amp;"",tbl_Finance[Xero Invoice No],"&lt;&gt;"),LOOKUP(2,1/((tbl_Finance[Job Number]=C335&amp;"")*(tbl_Finance[Xero Invoice No]&lt;&gt;"")),tbl_Finance[Xero Invoice No]),LOOKUP(2,1/((tbl_Finance[Job Number]=C335&amp;"")*(tbl_Finance[Xero Invoice No]&lt;&gt;"")),tbl_Finance[Xero Invoice No])&amp;" +more"),"")))</f>
        <v/>
      </c>
      <c r="C335" s="24" t="n"/>
      <c r="D335" s="25">
        <f>IF(C335="","",IF(COUNTIF(lst_Jobs,C335&amp;"")&gt;0,"OK","CHECK"))</f>
        <v/>
      </c>
      <c r="E335" s="25">
        <f>IF(C335="","",IFERROR(INDEX(lst_JobName,MATCH(C335&amp;"",lst_Jobs,0)),""))</f>
        <v/>
      </c>
      <c r="F335" s="25">
        <f>IF(C335="","",IFERROR(INDEX(tbl_Finance[Client],MATCH(C335&amp;"",tbl_Finance[Job Number],0)),""))</f>
        <v/>
      </c>
      <c r="G335" s="28">
        <f>IF(C335="","",COUNTIFS(tbl_Finance[Job Number],C335&amp;"",tbl_Finance[Ex GST],"&lt;&gt;"))</f>
        <v/>
      </c>
      <c r="H335" s="27">
        <f>IF(C335="","",SUMIFS(tbl_Finance[Ex GST],tbl_Finance[Job Number],C335&amp;""))</f>
        <v/>
      </c>
      <c r="I335" s="27">
        <f>IF(C335="","",SUMIFS(tbl_Finance[Ex GST],tbl_Finance[Job Number],C335&amp;"",tbl_Finance[Xero Invoice No],"&lt;&gt;"))</f>
        <v/>
      </c>
      <c r="J335" s="27">
        <f>IF(C335="","",H335-I335)</f>
        <v/>
      </c>
      <c r="K335" s="25">
        <f>IF(C335="","",IF(G335=0,"not invoiced yet",SUBSTITUTE(TRIM(IF(COUNTIFS(tbl_Finance[Job Number],C335&amp;"",tbl_Finance[Cost Centre],"ONSITE")&gt;0,"ONSITE ","")&amp;IF(COUNTIFS(tbl_Finance[Job Number],C335&amp;"",tbl_Finance[Cost Centre],"PRODUCTION")&gt;0,"PRODUCTION ","")&amp;IF(COUNTIFS(tbl_Finance[Job Number],C335&amp;"",tbl_Finance[Cost Centre],"VIDEO")&gt;0,"VIDEO ","")&amp;IF(COUNTIFS(tbl_Finance[Job Number],C335&amp;"",tbl_Finance[Cost Centre],"INTEGRATION")&gt;0,"INTEGRATION ","")&amp;IF(COUNTIFS(tbl_Finance[Job Number],C335&amp;"",tbl_Finance[Cost Centre],"CONSULTING")&gt;0,"CONSULTING ","")&amp;IF(COUNTIFS(tbl_Finance[Job Number],C335&amp;"",tbl_Finance[Cost Centre],"CTS")&gt;0,"CTS ",""))," ",", ")))</f>
        <v/>
      </c>
      <c r="L335" s="22" t="n"/>
      <c r="M335" s="24" t="n"/>
      <c r="N335" s="25">
        <f>IF(M335="","",IF(AND(LEFT(M335,4)&lt;&gt;"http",set_RMSBase=""),"",HYPERLINK(IF(LEFT(M335,4)="http",M335,set_RMSBase&amp;M335),"Open opportunity")))</f>
        <v/>
      </c>
      <c r="O335" s="25">
        <f>IF(C335="","",C335)</f>
        <v/>
      </c>
      <c r="P335" s="24" t="n"/>
      <c r="Q335" s="26" t="n"/>
      <c r="R335" s="27">
        <f>IF(C335="","",H335+N(Q335))</f>
        <v/>
      </c>
      <c r="S335" s="29">
        <f>IFERROR(Q335/R335,"")</f>
        <v/>
      </c>
      <c r="T335" s="26" t="n"/>
      <c r="U335" s="26" t="n"/>
      <c r="V335" s="27">
        <f>IF(C335="","",N(T335)+N(U335))</f>
        <v/>
      </c>
      <c r="W335" s="27">
        <f>IF(C335="","",H335-V335)</f>
        <v/>
      </c>
      <c r="X335" s="29">
        <f>IFERROR(W335/H335,"")</f>
        <v/>
      </c>
      <c r="Y335" s="64" t="n"/>
      <c r="Z335" s="64" t="n"/>
      <c r="AA335" s="64" t="n"/>
      <c r="AB335" s="64" t="n"/>
      <c r="AC335" s="64" t="n"/>
      <c r="AD335" s="24" t="n"/>
    </row>
    <row r="336" ht="15" customHeight="1">
      <c r="A336" s="63">
        <f>IF(C336="","",IFERROR(IF(SUMPRODUCT(MAX((tbl_Finance[Job Number]=C336&amp;"")*(tbl_Finance[Xero Invoice No]&lt;&gt;"")*tbl_Finance[Date]))=0,"",SUMPRODUCT(MAX((tbl_Finance[Job Number]=C336&amp;"")*(tbl_Finance[Xero Invoice No]&lt;&gt;"")*tbl_Finance[Date]))),""))</f>
        <v/>
      </c>
      <c r="B336" s="25">
        <f>IF(C336="","",IF(COUNTIFS(tbl_Finance[Job Number],C336&amp;"",tbl_Finance[Xero Invoice No],"&lt;&gt;")=0,"",IFERROR(IF(COUNTIFS(tbl_Finance[Job Number],C336&amp;"",tbl_Finance[Xero Invoice No],LOOKUP(2,1/((tbl_Finance[Job Number]=C336&amp;"")*(tbl_Finance[Xero Invoice No]&lt;&gt;"")),tbl_Finance[Xero Invoice No]))=COUNTIFS(tbl_Finance[Job Number],C336&amp;"",tbl_Finance[Xero Invoice No],"&lt;&gt;"),LOOKUP(2,1/((tbl_Finance[Job Number]=C336&amp;"")*(tbl_Finance[Xero Invoice No]&lt;&gt;"")),tbl_Finance[Xero Invoice No]),LOOKUP(2,1/((tbl_Finance[Job Number]=C336&amp;"")*(tbl_Finance[Xero Invoice No]&lt;&gt;"")),tbl_Finance[Xero Invoice No])&amp;" +more"),"")))</f>
        <v/>
      </c>
      <c r="C336" s="24" t="n"/>
      <c r="D336" s="25">
        <f>IF(C336="","",IF(COUNTIF(lst_Jobs,C336&amp;"")&gt;0,"OK","CHECK"))</f>
        <v/>
      </c>
      <c r="E336" s="25">
        <f>IF(C336="","",IFERROR(INDEX(lst_JobName,MATCH(C336&amp;"",lst_Jobs,0)),""))</f>
        <v/>
      </c>
      <c r="F336" s="25">
        <f>IF(C336="","",IFERROR(INDEX(tbl_Finance[Client],MATCH(C336&amp;"",tbl_Finance[Job Number],0)),""))</f>
        <v/>
      </c>
      <c r="G336" s="28">
        <f>IF(C336="","",COUNTIFS(tbl_Finance[Job Number],C336&amp;"",tbl_Finance[Ex GST],"&lt;&gt;"))</f>
        <v/>
      </c>
      <c r="H336" s="27">
        <f>IF(C336="","",SUMIFS(tbl_Finance[Ex GST],tbl_Finance[Job Number],C336&amp;""))</f>
        <v/>
      </c>
      <c r="I336" s="27">
        <f>IF(C336="","",SUMIFS(tbl_Finance[Ex GST],tbl_Finance[Job Number],C336&amp;"",tbl_Finance[Xero Invoice No],"&lt;&gt;"))</f>
        <v/>
      </c>
      <c r="J336" s="27">
        <f>IF(C336="","",H336-I336)</f>
        <v/>
      </c>
      <c r="K336" s="25">
        <f>IF(C336="","",IF(G336=0,"not invoiced yet",SUBSTITUTE(TRIM(IF(COUNTIFS(tbl_Finance[Job Number],C336&amp;"",tbl_Finance[Cost Centre],"ONSITE")&gt;0,"ONSITE ","")&amp;IF(COUNTIFS(tbl_Finance[Job Number],C336&amp;"",tbl_Finance[Cost Centre],"PRODUCTION")&gt;0,"PRODUCTION ","")&amp;IF(COUNTIFS(tbl_Finance[Job Number],C336&amp;"",tbl_Finance[Cost Centre],"VIDEO")&gt;0,"VIDEO ","")&amp;IF(COUNTIFS(tbl_Finance[Job Number],C336&amp;"",tbl_Finance[Cost Centre],"INTEGRATION")&gt;0,"INTEGRATION ","")&amp;IF(COUNTIFS(tbl_Finance[Job Number],C336&amp;"",tbl_Finance[Cost Centre],"CONSULTING")&gt;0,"CONSULTING ","")&amp;IF(COUNTIFS(tbl_Finance[Job Number],C336&amp;"",tbl_Finance[Cost Centre],"CTS")&gt;0,"CTS ",""))," ",", ")))</f>
        <v/>
      </c>
      <c r="L336" s="22" t="n"/>
      <c r="M336" s="24" t="n"/>
      <c r="N336" s="25">
        <f>IF(M336="","",IF(AND(LEFT(M336,4)&lt;&gt;"http",set_RMSBase=""),"",HYPERLINK(IF(LEFT(M336,4)="http",M336,set_RMSBase&amp;M336),"Open opportunity")))</f>
        <v/>
      </c>
      <c r="O336" s="25">
        <f>IF(C336="","",C336)</f>
        <v/>
      </c>
      <c r="P336" s="24" t="n"/>
      <c r="Q336" s="26" t="n"/>
      <c r="R336" s="27">
        <f>IF(C336="","",H336+N(Q336))</f>
        <v/>
      </c>
      <c r="S336" s="29">
        <f>IFERROR(Q336/R336,"")</f>
        <v/>
      </c>
      <c r="T336" s="26" t="n"/>
      <c r="U336" s="26" t="n"/>
      <c r="V336" s="27">
        <f>IF(C336="","",N(T336)+N(U336))</f>
        <v/>
      </c>
      <c r="W336" s="27">
        <f>IF(C336="","",H336-V336)</f>
        <v/>
      </c>
      <c r="X336" s="29">
        <f>IFERROR(W336/H336,"")</f>
        <v/>
      </c>
      <c r="Y336" s="64" t="n"/>
      <c r="Z336" s="64" t="n"/>
      <c r="AA336" s="64" t="n"/>
      <c r="AB336" s="64" t="n"/>
      <c r="AC336" s="64" t="n"/>
      <c r="AD336" s="24" t="n"/>
    </row>
    <row r="337" ht="15" customHeight="1">
      <c r="A337" s="63">
        <f>IF(C337="","",IFERROR(IF(SUMPRODUCT(MAX((tbl_Finance[Job Number]=C337&amp;"")*(tbl_Finance[Xero Invoice No]&lt;&gt;"")*tbl_Finance[Date]))=0,"",SUMPRODUCT(MAX((tbl_Finance[Job Number]=C337&amp;"")*(tbl_Finance[Xero Invoice No]&lt;&gt;"")*tbl_Finance[Date]))),""))</f>
        <v/>
      </c>
      <c r="B337" s="25">
        <f>IF(C337="","",IF(COUNTIFS(tbl_Finance[Job Number],C337&amp;"",tbl_Finance[Xero Invoice No],"&lt;&gt;")=0,"",IFERROR(IF(COUNTIFS(tbl_Finance[Job Number],C337&amp;"",tbl_Finance[Xero Invoice No],LOOKUP(2,1/((tbl_Finance[Job Number]=C337&amp;"")*(tbl_Finance[Xero Invoice No]&lt;&gt;"")),tbl_Finance[Xero Invoice No]))=COUNTIFS(tbl_Finance[Job Number],C337&amp;"",tbl_Finance[Xero Invoice No],"&lt;&gt;"),LOOKUP(2,1/((tbl_Finance[Job Number]=C337&amp;"")*(tbl_Finance[Xero Invoice No]&lt;&gt;"")),tbl_Finance[Xero Invoice No]),LOOKUP(2,1/((tbl_Finance[Job Number]=C337&amp;"")*(tbl_Finance[Xero Invoice No]&lt;&gt;"")),tbl_Finance[Xero Invoice No])&amp;" +more"),"")))</f>
        <v/>
      </c>
      <c r="C337" s="24" t="n"/>
      <c r="D337" s="25">
        <f>IF(C337="","",IF(COUNTIF(lst_Jobs,C337&amp;"")&gt;0,"OK","CHECK"))</f>
        <v/>
      </c>
      <c r="E337" s="25">
        <f>IF(C337="","",IFERROR(INDEX(lst_JobName,MATCH(C337&amp;"",lst_Jobs,0)),""))</f>
        <v/>
      </c>
      <c r="F337" s="25">
        <f>IF(C337="","",IFERROR(INDEX(tbl_Finance[Client],MATCH(C337&amp;"",tbl_Finance[Job Number],0)),""))</f>
        <v/>
      </c>
      <c r="G337" s="28">
        <f>IF(C337="","",COUNTIFS(tbl_Finance[Job Number],C337&amp;"",tbl_Finance[Ex GST],"&lt;&gt;"))</f>
        <v/>
      </c>
      <c r="H337" s="27">
        <f>IF(C337="","",SUMIFS(tbl_Finance[Ex GST],tbl_Finance[Job Number],C337&amp;""))</f>
        <v/>
      </c>
      <c r="I337" s="27">
        <f>IF(C337="","",SUMIFS(tbl_Finance[Ex GST],tbl_Finance[Job Number],C337&amp;"",tbl_Finance[Xero Invoice No],"&lt;&gt;"))</f>
        <v/>
      </c>
      <c r="J337" s="27">
        <f>IF(C337="","",H337-I337)</f>
        <v/>
      </c>
      <c r="K337" s="25">
        <f>IF(C337="","",IF(G337=0,"not invoiced yet",SUBSTITUTE(TRIM(IF(COUNTIFS(tbl_Finance[Job Number],C337&amp;"",tbl_Finance[Cost Centre],"ONSITE")&gt;0,"ONSITE ","")&amp;IF(COUNTIFS(tbl_Finance[Job Number],C337&amp;"",tbl_Finance[Cost Centre],"PRODUCTION")&gt;0,"PRODUCTION ","")&amp;IF(COUNTIFS(tbl_Finance[Job Number],C337&amp;"",tbl_Finance[Cost Centre],"VIDEO")&gt;0,"VIDEO ","")&amp;IF(COUNTIFS(tbl_Finance[Job Number],C337&amp;"",tbl_Finance[Cost Centre],"INTEGRATION")&gt;0,"INTEGRATION ","")&amp;IF(COUNTIFS(tbl_Finance[Job Number],C337&amp;"",tbl_Finance[Cost Centre],"CONSULTING")&gt;0,"CONSULTING ","")&amp;IF(COUNTIFS(tbl_Finance[Job Number],C337&amp;"",tbl_Finance[Cost Centre],"CTS")&gt;0,"CTS ",""))," ",", ")))</f>
        <v/>
      </c>
      <c r="L337" s="22" t="n"/>
      <c r="M337" s="24" t="n"/>
      <c r="N337" s="25">
        <f>IF(M337="","",IF(AND(LEFT(M337,4)&lt;&gt;"http",set_RMSBase=""),"",HYPERLINK(IF(LEFT(M337,4)="http",M337,set_RMSBase&amp;M337),"Open opportunity")))</f>
        <v/>
      </c>
      <c r="O337" s="25">
        <f>IF(C337="","",C337)</f>
        <v/>
      </c>
      <c r="P337" s="24" t="n"/>
      <c r="Q337" s="26" t="n"/>
      <c r="R337" s="27">
        <f>IF(C337="","",H337+N(Q337))</f>
        <v/>
      </c>
      <c r="S337" s="29">
        <f>IFERROR(Q337/R337,"")</f>
        <v/>
      </c>
      <c r="T337" s="26" t="n"/>
      <c r="U337" s="26" t="n"/>
      <c r="V337" s="27">
        <f>IF(C337="","",N(T337)+N(U337))</f>
        <v/>
      </c>
      <c r="W337" s="27">
        <f>IF(C337="","",H337-V337)</f>
        <v/>
      </c>
      <c r="X337" s="29">
        <f>IFERROR(W337/H337,"")</f>
        <v/>
      </c>
      <c r="Y337" s="64" t="n"/>
      <c r="Z337" s="64" t="n"/>
      <c r="AA337" s="64" t="n"/>
      <c r="AB337" s="64" t="n"/>
      <c r="AC337" s="64" t="n"/>
      <c r="AD337" s="24" t="n"/>
    </row>
    <row r="338" ht="15" customHeight="1">
      <c r="A338" s="63">
        <f>IF(C338="","",IFERROR(IF(SUMPRODUCT(MAX((tbl_Finance[Job Number]=C338&amp;"")*(tbl_Finance[Xero Invoice No]&lt;&gt;"")*tbl_Finance[Date]))=0,"",SUMPRODUCT(MAX((tbl_Finance[Job Number]=C338&amp;"")*(tbl_Finance[Xero Invoice No]&lt;&gt;"")*tbl_Finance[Date]))),""))</f>
        <v/>
      </c>
      <c r="B338" s="25">
        <f>IF(C338="","",IF(COUNTIFS(tbl_Finance[Job Number],C338&amp;"",tbl_Finance[Xero Invoice No],"&lt;&gt;")=0,"",IFERROR(IF(COUNTIFS(tbl_Finance[Job Number],C338&amp;"",tbl_Finance[Xero Invoice No],LOOKUP(2,1/((tbl_Finance[Job Number]=C338&amp;"")*(tbl_Finance[Xero Invoice No]&lt;&gt;"")),tbl_Finance[Xero Invoice No]))=COUNTIFS(tbl_Finance[Job Number],C338&amp;"",tbl_Finance[Xero Invoice No],"&lt;&gt;"),LOOKUP(2,1/((tbl_Finance[Job Number]=C338&amp;"")*(tbl_Finance[Xero Invoice No]&lt;&gt;"")),tbl_Finance[Xero Invoice No]),LOOKUP(2,1/((tbl_Finance[Job Number]=C338&amp;"")*(tbl_Finance[Xero Invoice No]&lt;&gt;"")),tbl_Finance[Xero Invoice No])&amp;" +more"),"")))</f>
        <v/>
      </c>
      <c r="C338" s="24" t="n"/>
      <c r="D338" s="25">
        <f>IF(C338="","",IF(COUNTIF(lst_Jobs,C338&amp;"")&gt;0,"OK","CHECK"))</f>
        <v/>
      </c>
      <c r="E338" s="25">
        <f>IF(C338="","",IFERROR(INDEX(lst_JobName,MATCH(C338&amp;"",lst_Jobs,0)),""))</f>
        <v/>
      </c>
      <c r="F338" s="25">
        <f>IF(C338="","",IFERROR(INDEX(tbl_Finance[Client],MATCH(C338&amp;"",tbl_Finance[Job Number],0)),""))</f>
        <v/>
      </c>
      <c r="G338" s="28">
        <f>IF(C338="","",COUNTIFS(tbl_Finance[Job Number],C338&amp;"",tbl_Finance[Ex GST],"&lt;&gt;"))</f>
        <v/>
      </c>
      <c r="H338" s="27">
        <f>IF(C338="","",SUMIFS(tbl_Finance[Ex GST],tbl_Finance[Job Number],C338&amp;""))</f>
        <v/>
      </c>
      <c r="I338" s="27">
        <f>IF(C338="","",SUMIFS(tbl_Finance[Ex GST],tbl_Finance[Job Number],C338&amp;"",tbl_Finance[Xero Invoice No],"&lt;&gt;"))</f>
        <v/>
      </c>
      <c r="J338" s="27">
        <f>IF(C338="","",H338-I338)</f>
        <v/>
      </c>
      <c r="K338" s="25">
        <f>IF(C338="","",IF(G338=0,"not invoiced yet",SUBSTITUTE(TRIM(IF(COUNTIFS(tbl_Finance[Job Number],C338&amp;"",tbl_Finance[Cost Centre],"ONSITE")&gt;0,"ONSITE ","")&amp;IF(COUNTIFS(tbl_Finance[Job Number],C338&amp;"",tbl_Finance[Cost Centre],"PRODUCTION")&gt;0,"PRODUCTION ","")&amp;IF(COUNTIFS(tbl_Finance[Job Number],C338&amp;"",tbl_Finance[Cost Centre],"VIDEO")&gt;0,"VIDEO ","")&amp;IF(COUNTIFS(tbl_Finance[Job Number],C338&amp;"",tbl_Finance[Cost Centre],"INTEGRATION")&gt;0,"INTEGRATION ","")&amp;IF(COUNTIFS(tbl_Finance[Job Number],C338&amp;"",tbl_Finance[Cost Centre],"CONSULTING")&gt;0,"CONSULTING ","")&amp;IF(COUNTIFS(tbl_Finance[Job Number],C338&amp;"",tbl_Finance[Cost Centre],"CTS")&gt;0,"CTS ",""))," ",", ")))</f>
        <v/>
      </c>
      <c r="L338" s="22" t="n"/>
      <c r="M338" s="24" t="n"/>
      <c r="N338" s="25">
        <f>IF(M338="","",IF(AND(LEFT(M338,4)&lt;&gt;"http",set_RMSBase=""),"",HYPERLINK(IF(LEFT(M338,4)="http",M338,set_RMSBase&amp;M338),"Open opportunity")))</f>
        <v/>
      </c>
      <c r="O338" s="25">
        <f>IF(C338="","",C338)</f>
        <v/>
      </c>
      <c r="P338" s="24" t="n"/>
      <c r="Q338" s="26" t="n"/>
      <c r="R338" s="27">
        <f>IF(C338="","",H338+N(Q338))</f>
        <v/>
      </c>
      <c r="S338" s="29">
        <f>IFERROR(Q338/R338,"")</f>
        <v/>
      </c>
      <c r="T338" s="26" t="n"/>
      <c r="U338" s="26" t="n"/>
      <c r="V338" s="27">
        <f>IF(C338="","",N(T338)+N(U338))</f>
        <v/>
      </c>
      <c r="W338" s="27">
        <f>IF(C338="","",H338-V338)</f>
        <v/>
      </c>
      <c r="X338" s="29">
        <f>IFERROR(W338/H338,"")</f>
        <v/>
      </c>
      <c r="Y338" s="64" t="n"/>
      <c r="Z338" s="64" t="n"/>
      <c r="AA338" s="64" t="n"/>
      <c r="AB338" s="64" t="n"/>
      <c r="AC338" s="64" t="n"/>
      <c r="AD338" s="24" t="n"/>
    </row>
    <row r="339" ht="15" customHeight="1">
      <c r="A339" s="63">
        <f>IF(C339="","",IFERROR(IF(SUMPRODUCT(MAX((tbl_Finance[Job Number]=C339&amp;"")*(tbl_Finance[Xero Invoice No]&lt;&gt;"")*tbl_Finance[Date]))=0,"",SUMPRODUCT(MAX((tbl_Finance[Job Number]=C339&amp;"")*(tbl_Finance[Xero Invoice No]&lt;&gt;"")*tbl_Finance[Date]))),""))</f>
        <v/>
      </c>
      <c r="B339" s="25">
        <f>IF(C339="","",IF(COUNTIFS(tbl_Finance[Job Number],C339&amp;"",tbl_Finance[Xero Invoice No],"&lt;&gt;")=0,"",IFERROR(IF(COUNTIFS(tbl_Finance[Job Number],C339&amp;"",tbl_Finance[Xero Invoice No],LOOKUP(2,1/((tbl_Finance[Job Number]=C339&amp;"")*(tbl_Finance[Xero Invoice No]&lt;&gt;"")),tbl_Finance[Xero Invoice No]))=COUNTIFS(tbl_Finance[Job Number],C339&amp;"",tbl_Finance[Xero Invoice No],"&lt;&gt;"),LOOKUP(2,1/((tbl_Finance[Job Number]=C339&amp;"")*(tbl_Finance[Xero Invoice No]&lt;&gt;"")),tbl_Finance[Xero Invoice No]),LOOKUP(2,1/((tbl_Finance[Job Number]=C339&amp;"")*(tbl_Finance[Xero Invoice No]&lt;&gt;"")),tbl_Finance[Xero Invoice No])&amp;" +more"),"")))</f>
        <v/>
      </c>
      <c r="C339" s="24" t="n"/>
      <c r="D339" s="25">
        <f>IF(C339="","",IF(COUNTIF(lst_Jobs,C339&amp;"")&gt;0,"OK","CHECK"))</f>
        <v/>
      </c>
      <c r="E339" s="25">
        <f>IF(C339="","",IFERROR(INDEX(lst_JobName,MATCH(C339&amp;"",lst_Jobs,0)),""))</f>
        <v/>
      </c>
      <c r="F339" s="25">
        <f>IF(C339="","",IFERROR(INDEX(tbl_Finance[Client],MATCH(C339&amp;"",tbl_Finance[Job Number],0)),""))</f>
        <v/>
      </c>
      <c r="G339" s="28">
        <f>IF(C339="","",COUNTIFS(tbl_Finance[Job Number],C339&amp;"",tbl_Finance[Ex GST],"&lt;&gt;"))</f>
        <v/>
      </c>
      <c r="H339" s="27">
        <f>IF(C339="","",SUMIFS(tbl_Finance[Ex GST],tbl_Finance[Job Number],C339&amp;""))</f>
        <v/>
      </c>
      <c r="I339" s="27">
        <f>IF(C339="","",SUMIFS(tbl_Finance[Ex GST],tbl_Finance[Job Number],C339&amp;"",tbl_Finance[Xero Invoice No],"&lt;&gt;"))</f>
        <v/>
      </c>
      <c r="J339" s="27">
        <f>IF(C339="","",H339-I339)</f>
        <v/>
      </c>
      <c r="K339" s="25">
        <f>IF(C339="","",IF(G339=0,"not invoiced yet",SUBSTITUTE(TRIM(IF(COUNTIFS(tbl_Finance[Job Number],C339&amp;"",tbl_Finance[Cost Centre],"ONSITE")&gt;0,"ONSITE ","")&amp;IF(COUNTIFS(tbl_Finance[Job Number],C339&amp;"",tbl_Finance[Cost Centre],"PRODUCTION")&gt;0,"PRODUCTION ","")&amp;IF(COUNTIFS(tbl_Finance[Job Number],C339&amp;"",tbl_Finance[Cost Centre],"VIDEO")&gt;0,"VIDEO ","")&amp;IF(COUNTIFS(tbl_Finance[Job Number],C339&amp;"",tbl_Finance[Cost Centre],"INTEGRATION")&gt;0,"INTEGRATION ","")&amp;IF(COUNTIFS(tbl_Finance[Job Number],C339&amp;"",tbl_Finance[Cost Centre],"CONSULTING")&gt;0,"CONSULTING ","")&amp;IF(COUNTIFS(tbl_Finance[Job Number],C339&amp;"",tbl_Finance[Cost Centre],"CTS")&gt;0,"CTS ",""))," ",", ")))</f>
        <v/>
      </c>
      <c r="L339" s="22" t="n"/>
      <c r="M339" s="24" t="n"/>
      <c r="N339" s="25">
        <f>IF(M339="","",IF(AND(LEFT(M339,4)&lt;&gt;"http",set_RMSBase=""),"",HYPERLINK(IF(LEFT(M339,4)="http",M339,set_RMSBase&amp;M339),"Open opportunity")))</f>
        <v/>
      </c>
      <c r="O339" s="25">
        <f>IF(C339="","",C339)</f>
        <v/>
      </c>
      <c r="P339" s="24" t="n"/>
      <c r="Q339" s="26" t="n"/>
      <c r="R339" s="27">
        <f>IF(C339="","",H339+N(Q339))</f>
        <v/>
      </c>
      <c r="S339" s="29">
        <f>IFERROR(Q339/R339,"")</f>
        <v/>
      </c>
      <c r="T339" s="26" t="n"/>
      <c r="U339" s="26" t="n"/>
      <c r="V339" s="27">
        <f>IF(C339="","",N(T339)+N(U339))</f>
        <v/>
      </c>
      <c r="W339" s="27">
        <f>IF(C339="","",H339-V339)</f>
        <v/>
      </c>
      <c r="X339" s="29">
        <f>IFERROR(W339/H339,"")</f>
        <v/>
      </c>
      <c r="Y339" s="64" t="n"/>
      <c r="Z339" s="64" t="n"/>
      <c r="AA339" s="64" t="n"/>
      <c r="AB339" s="64" t="n"/>
      <c r="AC339" s="64" t="n"/>
      <c r="AD339" s="24" t="n"/>
    </row>
    <row r="340" ht="15" customHeight="1">
      <c r="A340" s="63">
        <f>IF(C340="","",IFERROR(IF(SUMPRODUCT(MAX((tbl_Finance[Job Number]=C340&amp;"")*(tbl_Finance[Xero Invoice No]&lt;&gt;"")*tbl_Finance[Date]))=0,"",SUMPRODUCT(MAX((tbl_Finance[Job Number]=C340&amp;"")*(tbl_Finance[Xero Invoice No]&lt;&gt;"")*tbl_Finance[Date]))),""))</f>
        <v/>
      </c>
      <c r="B340" s="25">
        <f>IF(C340="","",IF(COUNTIFS(tbl_Finance[Job Number],C340&amp;"",tbl_Finance[Xero Invoice No],"&lt;&gt;")=0,"",IFERROR(IF(COUNTIFS(tbl_Finance[Job Number],C340&amp;"",tbl_Finance[Xero Invoice No],LOOKUP(2,1/((tbl_Finance[Job Number]=C340&amp;"")*(tbl_Finance[Xero Invoice No]&lt;&gt;"")),tbl_Finance[Xero Invoice No]))=COUNTIFS(tbl_Finance[Job Number],C340&amp;"",tbl_Finance[Xero Invoice No],"&lt;&gt;"),LOOKUP(2,1/((tbl_Finance[Job Number]=C340&amp;"")*(tbl_Finance[Xero Invoice No]&lt;&gt;"")),tbl_Finance[Xero Invoice No]),LOOKUP(2,1/((tbl_Finance[Job Number]=C340&amp;"")*(tbl_Finance[Xero Invoice No]&lt;&gt;"")),tbl_Finance[Xero Invoice No])&amp;" +more"),"")))</f>
        <v/>
      </c>
      <c r="C340" s="24" t="n"/>
      <c r="D340" s="25">
        <f>IF(C340="","",IF(COUNTIF(lst_Jobs,C340&amp;"")&gt;0,"OK","CHECK"))</f>
        <v/>
      </c>
      <c r="E340" s="25">
        <f>IF(C340="","",IFERROR(INDEX(lst_JobName,MATCH(C340&amp;"",lst_Jobs,0)),""))</f>
        <v/>
      </c>
      <c r="F340" s="25">
        <f>IF(C340="","",IFERROR(INDEX(tbl_Finance[Client],MATCH(C340&amp;"",tbl_Finance[Job Number],0)),""))</f>
        <v/>
      </c>
      <c r="G340" s="28">
        <f>IF(C340="","",COUNTIFS(tbl_Finance[Job Number],C340&amp;"",tbl_Finance[Ex GST],"&lt;&gt;"))</f>
        <v/>
      </c>
      <c r="H340" s="27">
        <f>IF(C340="","",SUMIFS(tbl_Finance[Ex GST],tbl_Finance[Job Number],C340&amp;""))</f>
        <v/>
      </c>
      <c r="I340" s="27">
        <f>IF(C340="","",SUMIFS(tbl_Finance[Ex GST],tbl_Finance[Job Number],C340&amp;"",tbl_Finance[Xero Invoice No],"&lt;&gt;"))</f>
        <v/>
      </c>
      <c r="J340" s="27">
        <f>IF(C340="","",H340-I340)</f>
        <v/>
      </c>
      <c r="K340" s="25">
        <f>IF(C340="","",IF(G340=0,"not invoiced yet",SUBSTITUTE(TRIM(IF(COUNTIFS(tbl_Finance[Job Number],C340&amp;"",tbl_Finance[Cost Centre],"ONSITE")&gt;0,"ONSITE ","")&amp;IF(COUNTIFS(tbl_Finance[Job Number],C340&amp;"",tbl_Finance[Cost Centre],"PRODUCTION")&gt;0,"PRODUCTION ","")&amp;IF(COUNTIFS(tbl_Finance[Job Number],C340&amp;"",tbl_Finance[Cost Centre],"VIDEO")&gt;0,"VIDEO ","")&amp;IF(COUNTIFS(tbl_Finance[Job Number],C340&amp;"",tbl_Finance[Cost Centre],"INTEGRATION")&gt;0,"INTEGRATION ","")&amp;IF(COUNTIFS(tbl_Finance[Job Number],C340&amp;"",tbl_Finance[Cost Centre],"CONSULTING")&gt;0,"CONSULTING ","")&amp;IF(COUNTIFS(tbl_Finance[Job Number],C340&amp;"",tbl_Finance[Cost Centre],"CTS")&gt;0,"CTS ",""))," ",", ")))</f>
        <v/>
      </c>
      <c r="L340" s="22" t="n"/>
      <c r="M340" s="24" t="n"/>
      <c r="N340" s="25">
        <f>IF(M340="","",IF(AND(LEFT(M340,4)&lt;&gt;"http",set_RMSBase=""),"",HYPERLINK(IF(LEFT(M340,4)="http",M340,set_RMSBase&amp;M340),"Open opportunity")))</f>
        <v/>
      </c>
      <c r="O340" s="25">
        <f>IF(C340="","",C340)</f>
        <v/>
      </c>
      <c r="P340" s="24" t="n"/>
      <c r="Q340" s="26" t="n"/>
      <c r="R340" s="27">
        <f>IF(C340="","",H340+N(Q340))</f>
        <v/>
      </c>
      <c r="S340" s="29">
        <f>IFERROR(Q340/R340,"")</f>
        <v/>
      </c>
      <c r="T340" s="26" t="n"/>
      <c r="U340" s="26" t="n"/>
      <c r="V340" s="27">
        <f>IF(C340="","",N(T340)+N(U340))</f>
        <v/>
      </c>
      <c r="W340" s="27">
        <f>IF(C340="","",H340-V340)</f>
        <v/>
      </c>
      <c r="X340" s="29">
        <f>IFERROR(W340/H340,"")</f>
        <v/>
      </c>
      <c r="Y340" s="64" t="n"/>
      <c r="Z340" s="64" t="n"/>
      <c r="AA340" s="64" t="n"/>
      <c r="AB340" s="64" t="n"/>
      <c r="AC340" s="64" t="n"/>
      <c r="AD340" s="24" t="n"/>
    </row>
    <row r="341" ht="15" customHeight="1">
      <c r="A341" s="63">
        <f>IF(C341="","",IFERROR(IF(SUMPRODUCT(MAX((tbl_Finance[Job Number]=C341&amp;"")*(tbl_Finance[Xero Invoice No]&lt;&gt;"")*tbl_Finance[Date]))=0,"",SUMPRODUCT(MAX((tbl_Finance[Job Number]=C341&amp;"")*(tbl_Finance[Xero Invoice No]&lt;&gt;"")*tbl_Finance[Date]))),""))</f>
        <v/>
      </c>
      <c r="B341" s="25">
        <f>IF(C341="","",IF(COUNTIFS(tbl_Finance[Job Number],C341&amp;"",tbl_Finance[Xero Invoice No],"&lt;&gt;")=0,"",IFERROR(IF(COUNTIFS(tbl_Finance[Job Number],C341&amp;"",tbl_Finance[Xero Invoice No],LOOKUP(2,1/((tbl_Finance[Job Number]=C341&amp;"")*(tbl_Finance[Xero Invoice No]&lt;&gt;"")),tbl_Finance[Xero Invoice No]))=COUNTIFS(tbl_Finance[Job Number],C341&amp;"",tbl_Finance[Xero Invoice No],"&lt;&gt;"),LOOKUP(2,1/((tbl_Finance[Job Number]=C341&amp;"")*(tbl_Finance[Xero Invoice No]&lt;&gt;"")),tbl_Finance[Xero Invoice No]),LOOKUP(2,1/((tbl_Finance[Job Number]=C341&amp;"")*(tbl_Finance[Xero Invoice No]&lt;&gt;"")),tbl_Finance[Xero Invoice No])&amp;" +more"),"")))</f>
        <v/>
      </c>
      <c r="C341" s="24" t="n"/>
      <c r="D341" s="25">
        <f>IF(C341="","",IF(COUNTIF(lst_Jobs,C341&amp;"")&gt;0,"OK","CHECK"))</f>
        <v/>
      </c>
      <c r="E341" s="25">
        <f>IF(C341="","",IFERROR(INDEX(lst_JobName,MATCH(C341&amp;"",lst_Jobs,0)),""))</f>
        <v/>
      </c>
      <c r="F341" s="25">
        <f>IF(C341="","",IFERROR(INDEX(tbl_Finance[Client],MATCH(C341&amp;"",tbl_Finance[Job Number],0)),""))</f>
        <v/>
      </c>
      <c r="G341" s="28">
        <f>IF(C341="","",COUNTIFS(tbl_Finance[Job Number],C341&amp;"",tbl_Finance[Ex GST],"&lt;&gt;"))</f>
        <v/>
      </c>
      <c r="H341" s="27">
        <f>IF(C341="","",SUMIFS(tbl_Finance[Ex GST],tbl_Finance[Job Number],C341&amp;""))</f>
        <v/>
      </c>
      <c r="I341" s="27">
        <f>IF(C341="","",SUMIFS(tbl_Finance[Ex GST],tbl_Finance[Job Number],C341&amp;"",tbl_Finance[Xero Invoice No],"&lt;&gt;"))</f>
        <v/>
      </c>
      <c r="J341" s="27">
        <f>IF(C341="","",H341-I341)</f>
        <v/>
      </c>
      <c r="K341" s="25">
        <f>IF(C341="","",IF(G341=0,"not invoiced yet",SUBSTITUTE(TRIM(IF(COUNTIFS(tbl_Finance[Job Number],C341&amp;"",tbl_Finance[Cost Centre],"ONSITE")&gt;0,"ONSITE ","")&amp;IF(COUNTIFS(tbl_Finance[Job Number],C341&amp;"",tbl_Finance[Cost Centre],"PRODUCTION")&gt;0,"PRODUCTION ","")&amp;IF(COUNTIFS(tbl_Finance[Job Number],C341&amp;"",tbl_Finance[Cost Centre],"VIDEO")&gt;0,"VIDEO ","")&amp;IF(COUNTIFS(tbl_Finance[Job Number],C341&amp;"",tbl_Finance[Cost Centre],"INTEGRATION")&gt;0,"INTEGRATION ","")&amp;IF(COUNTIFS(tbl_Finance[Job Number],C341&amp;"",tbl_Finance[Cost Centre],"CONSULTING")&gt;0,"CONSULTING ","")&amp;IF(COUNTIFS(tbl_Finance[Job Number],C341&amp;"",tbl_Finance[Cost Centre],"CTS")&gt;0,"CTS ",""))," ",", ")))</f>
        <v/>
      </c>
      <c r="L341" s="22" t="n"/>
      <c r="M341" s="24" t="n"/>
      <c r="N341" s="25">
        <f>IF(M341="","",IF(AND(LEFT(M341,4)&lt;&gt;"http",set_RMSBase=""),"",HYPERLINK(IF(LEFT(M341,4)="http",M341,set_RMSBase&amp;M341),"Open opportunity")))</f>
        <v/>
      </c>
      <c r="O341" s="25">
        <f>IF(C341="","",C341)</f>
        <v/>
      </c>
      <c r="P341" s="24" t="n"/>
      <c r="Q341" s="26" t="n"/>
      <c r="R341" s="27">
        <f>IF(C341="","",H341+N(Q341))</f>
        <v/>
      </c>
      <c r="S341" s="29">
        <f>IFERROR(Q341/R341,"")</f>
        <v/>
      </c>
      <c r="T341" s="26" t="n"/>
      <c r="U341" s="26" t="n"/>
      <c r="V341" s="27">
        <f>IF(C341="","",N(T341)+N(U341))</f>
        <v/>
      </c>
      <c r="W341" s="27">
        <f>IF(C341="","",H341-V341)</f>
        <v/>
      </c>
      <c r="X341" s="29">
        <f>IFERROR(W341/H341,"")</f>
        <v/>
      </c>
      <c r="Y341" s="64" t="n"/>
      <c r="Z341" s="64" t="n"/>
      <c r="AA341" s="64" t="n"/>
      <c r="AB341" s="64" t="n"/>
      <c r="AC341" s="64" t="n"/>
      <c r="AD341" s="24" t="n"/>
    </row>
    <row r="342" ht="15" customHeight="1">
      <c r="A342" s="63">
        <f>IF(C342="","",IFERROR(IF(SUMPRODUCT(MAX((tbl_Finance[Job Number]=C342&amp;"")*(tbl_Finance[Xero Invoice No]&lt;&gt;"")*tbl_Finance[Date]))=0,"",SUMPRODUCT(MAX((tbl_Finance[Job Number]=C342&amp;"")*(tbl_Finance[Xero Invoice No]&lt;&gt;"")*tbl_Finance[Date]))),""))</f>
        <v/>
      </c>
      <c r="B342" s="25">
        <f>IF(C342="","",IF(COUNTIFS(tbl_Finance[Job Number],C342&amp;"",tbl_Finance[Xero Invoice No],"&lt;&gt;")=0,"",IFERROR(IF(COUNTIFS(tbl_Finance[Job Number],C342&amp;"",tbl_Finance[Xero Invoice No],LOOKUP(2,1/((tbl_Finance[Job Number]=C342&amp;"")*(tbl_Finance[Xero Invoice No]&lt;&gt;"")),tbl_Finance[Xero Invoice No]))=COUNTIFS(tbl_Finance[Job Number],C342&amp;"",tbl_Finance[Xero Invoice No],"&lt;&gt;"),LOOKUP(2,1/((tbl_Finance[Job Number]=C342&amp;"")*(tbl_Finance[Xero Invoice No]&lt;&gt;"")),tbl_Finance[Xero Invoice No]),LOOKUP(2,1/((tbl_Finance[Job Number]=C342&amp;"")*(tbl_Finance[Xero Invoice No]&lt;&gt;"")),tbl_Finance[Xero Invoice No])&amp;" +more"),"")))</f>
        <v/>
      </c>
      <c r="C342" s="24" t="n"/>
      <c r="D342" s="25">
        <f>IF(C342="","",IF(COUNTIF(lst_Jobs,C342&amp;"")&gt;0,"OK","CHECK"))</f>
        <v/>
      </c>
      <c r="E342" s="25">
        <f>IF(C342="","",IFERROR(INDEX(lst_JobName,MATCH(C342&amp;"",lst_Jobs,0)),""))</f>
        <v/>
      </c>
      <c r="F342" s="25">
        <f>IF(C342="","",IFERROR(INDEX(tbl_Finance[Client],MATCH(C342&amp;"",tbl_Finance[Job Number],0)),""))</f>
        <v/>
      </c>
      <c r="G342" s="28">
        <f>IF(C342="","",COUNTIFS(tbl_Finance[Job Number],C342&amp;"",tbl_Finance[Ex GST],"&lt;&gt;"))</f>
        <v/>
      </c>
      <c r="H342" s="27">
        <f>IF(C342="","",SUMIFS(tbl_Finance[Ex GST],tbl_Finance[Job Number],C342&amp;""))</f>
        <v/>
      </c>
      <c r="I342" s="27">
        <f>IF(C342="","",SUMIFS(tbl_Finance[Ex GST],tbl_Finance[Job Number],C342&amp;"",tbl_Finance[Xero Invoice No],"&lt;&gt;"))</f>
        <v/>
      </c>
      <c r="J342" s="27">
        <f>IF(C342="","",H342-I342)</f>
        <v/>
      </c>
      <c r="K342" s="25">
        <f>IF(C342="","",IF(G342=0,"not invoiced yet",SUBSTITUTE(TRIM(IF(COUNTIFS(tbl_Finance[Job Number],C342&amp;"",tbl_Finance[Cost Centre],"ONSITE")&gt;0,"ONSITE ","")&amp;IF(COUNTIFS(tbl_Finance[Job Number],C342&amp;"",tbl_Finance[Cost Centre],"PRODUCTION")&gt;0,"PRODUCTION ","")&amp;IF(COUNTIFS(tbl_Finance[Job Number],C342&amp;"",tbl_Finance[Cost Centre],"VIDEO")&gt;0,"VIDEO ","")&amp;IF(COUNTIFS(tbl_Finance[Job Number],C342&amp;"",tbl_Finance[Cost Centre],"INTEGRATION")&gt;0,"INTEGRATION ","")&amp;IF(COUNTIFS(tbl_Finance[Job Number],C342&amp;"",tbl_Finance[Cost Centre],"CONSULTING")&gt;0,"CONSULTING ","")&amp;IF(COUNTIFS(tbl_Finance[Job Number],C342&amp;"",tbl_Finance[Cost Centre],"CTS")&gt;0,"CTS ",""))," ",", ")))</f>
        <v/>
      </c>
      <c r="L342" s="22" t="n"/>
      <c r="M342" s="24" t="n"/>
      <c r="N342" s="25">
        <f>IF(M342="","",IF(AND(LEFT(M342,4)&lt;&gt;"http",set_RMSBase=""),"",HYPERLINK(IF(LEFT(M342,4)="http",M342,set_RMSBase&amp;M342),"Open opportunity")))</f>
        <v/>
      </c>
      <c r="O342" s="25">
        <f>IF(C342="","",C342)</f>
        <v/>
      </c>
      <c r="P342" s="24" t="n"/>
      <c r="Q342" s="26" t="n"/>
      <c r="R342" s="27">
        <f>IF(C342="","",H342+N(Q342))</f>
        <v/>
      </c>
      <c r="S342" s="29">
        <f>IFERROR(Q342/R342,"")</f>
        <v/>
      </c>
      <c r="T342" s="26" t="n"/>
      <c r="U342" s="26" t="n"/>
      <c r="V342" s="27">
        <f>IF(C342="","",N(T342)+N(U342))</f>
        <v/>
      </c>
      <c r="W342" s="27">
        <f>IF(C342="","",H342-V342)</f>
        <v/>
      </c>
      <c r="X342" s="29">
        <f>IFERROR(W342/H342,"")</f>
        <v/>
      </c>
      <c r="Y342" s="64" t="n"/>
      <c r="Z342" s="64" t="n"/>
      <c r="AA342" s="64" t="n"/>
      <c r="AB342" s="64" t="n"/>
      <c r="AC342" s="64" t="n"/>
      <c r="AD342" s="24" t="n"/>
    </row>
    <row r="343" ht="15" customHeight="1">
      <c r="A343" s="63">
        <f>IF(C343="","",IFERROR(IF(SUMPRODUCT(MAX((tbl_Finance[Job Number]=C343&amp;"")*(tbl_Finance[Xero Invoice No]&lt;&gt;"")*tbl_Finance[Date]))=0,"",SUMPRODUCT(MAX((tbl_Finance[Job Number]=C343&amp;"")*(tbl_Finance[Xero Invoice No]&lt;&gt;"")*tbl_Finance[Date]))),""))</f>
        <v/>
      </c>
      <c r="B343" s="25">
        <f>IF(C343="","",IF(COUNTIFS(tbl_Finance[Job Number],C343&amp;"",tbl_Finance[Xero Invoice No],"&lt;&gt;")=0,"",IFERROR(IF(COUNTIFS(tbl_Finance[Job Number],C343&amp;"",tbl_Finance[Xero Invoice No],LOOKUP(2,1/((tbl_Finance[Job Number]=C343&amp;"")*(tbl_Finance[Xero Invoice No]&lt;&gt;"")),tbl_Finance[Xero Invoice No]))=COUNTIFS(tbl_Finance[Job Number],C343&amp;"",tbl_Finance[Xero Invoice No],"&lt;&gt;"),LOOKUP(2,1/((tbl_Finance[Job Number]=C343&amp;"")*(tbl_Finance[Xero Invoice No]&lt;&gt;"")),tbl_Finance[Xero Invoice No]),LOOKUP(2,1/((tbl_Finance[Job Number]=C343&amp;"")*(tbl_Finance[Xero Invoice No]&lt;&gt;"")),tbl_Finance[Xero Invoice No])&amp;" +more"),"")))</f>
        <v/>
      </c>
      <c r="C343" s="24" t="n"/>
      <c r="D343" s="25">
        <f>IF(C343="","",IF(COUNTIF(lst_Jobs,C343&amp;"")&gt;0,"OK","CHECK"))</f>
        <v/>
      </c>
      <c r="E343" s="25">
        <f>IF(C343="","",IFERROR(INDEX(lst_JobName,MATCH(C343&amp;"",lst_Jobs,0)),""))</f>
        <v/>
      </c>
      <c r="F343" s="25">
        <f>IF(C343="","",IFERROR(INDEX(tbl_Finance[Client],MATCH(C343&amp;"",tbl_Finance[Job Number],0)),""))</f>
        <v/>
      </c>
      <c r="G343" s="28">
        <f>IF(C343="","",COUNTIFS(tbl_Finance[Job Number],C343&amp;"",tbl_Finance[Ex GST],"&lt;&gt;"))</f>
        <v/>
      </c>
      <c r="H343" s="27">
        <f>IF(C343="","",SUMIFS(tbl_Finance[Ex GST],tbl_Finance[Job Number],C343&amp;""))</f>
        <v/>
      </c>
      <c r="I343" s="27">
        <f>IF(C343="","",SUMIFS(tbl_Finance[Ex GST],tbl_Finance[Job Number],C343&amp;"",tbl_Finance[Xero Invoice No],"&lt;&gt;"))</f>
        <v/>
      </c>
      <c r="J343" s="27">
        <f>IF(C343="","",H343-I343)</f>
        <v/>
      </c>
      <c r="K343" s="25">
        <f>IF(C343="","",IF(G343=0,"not invoiced yet",SUBSTITUTE(TRIM(IF(COUNTIFS(tbl_Finance[Job Number],C343&amp;"",tbl_Finance[Cost Centre],"ONSITE")&gt;0,"ONSITE ","")&amp;IF(COUNTIFS(tbl_Finance[Job Number],C343&amp;"",tbl_Finance[Cost Centre],"PRODUCTION")&gt;0,"PRODUCTION ","")&amp;IF(COUNTIFS(tbl_Finance[Job Number],C343&amp;"",tbl_Finance[Cost Centre],"VIDEO")&gt;0,"VIDEO ","")&amp;IF(COUNTIFS(tbl_Finance[Job Number],C343&amp;"",tbl_Finance[Cost Centre],"INTEGRATION")&gt;0,"INTEGRATION ","")&amp;IF(COUNTIFS(tbl_Finance[Job Number],C343&amp;"",tbl_Finance[Cost Centre],"CONSULTING")&gt;0,"CONSULTING ","")&amp;IF(COUNTIFS(tbl_Finance[Job Number],C343&amp;"",tbl_Finance[Cost Centre],"CTS")&gt;0,"CTS ",""))," ",", ")))</f>
        <v/>
      </c>
      <c r="L343" s="22" t="n"/>
      <c r="M343" s="24" t="n"/>
      <c r="N343" s="25">
        <f>IF(M343="","",IF(AND(LEFT(M343,4)&lt;&gt;"http",set_RMSBase=""),"",HYPERLINK(IF(LEFT(M343,4)="http",M343,set_RMSBase&amp;M343),"Open opportunity")))</f>
        <v/>
      </c>
      <c r="O343" s="25">
        <f>IF(C343="","",C343)</f>
        <v/>
      </c>
      <c r="P343" s="24" t="n"/>
      <c r="Q343" s="26" t="n"/>
      <c r="R343" s="27">
        <f>IF(C343="","",H343+N(Q343))</f>
        <v/>
      </c>
      <c r="S343" s="29">
        <f>IFERROR(Q343/R343,"")</f>
        <v/>
      </c>
      <c r="T343" s="26" t="n"/>
      <c r="U343" s="26" t="n"/>
      <c r="V343" s="27">
        <f>IF(C343="","",N(T343)+N(U343))</f>
        <v/>
      </c>
      <c r="W343" s="27">
        <f>IF(C343="","",H343-V343)</f>
        <v/>
      </c>
      <c r="X343" s="29">
        <f>IFERROR(W343/H343,"")</f>
        <v/>
      </c>
      <c r="Y343" s="64" t="n"/>
      <c r="Z343" s="64" t="n"/>
      <c r="AA343" s="64" t="n"/>
      <c r="AB343" s="64" t="n"/>
      <c r="AC343" s="64" t="n"/>
      <c r="AD343" s="24" t="n"/>
    </row>
    <row r="344" ht="15" customHeight="1">
      <c r="A344" s="63">
        <f>IF(C344="","",IFERROR(IF(SUMPRODUCT(MAX((tbl_Finance[Job Number]=C344&amp;"")*(tbl_Finance[Xero Invoice No]&lt;&gt;"")*tbl_Finance[Date]))=0,"",SUMPRODUCT(MAX((tbl_Finance[Job Number]=C344&amp;"")*(tbl_Finance[Xero Invoice No]&lt;&gt;"")*tbl_Finance[Date]))),""))</f>
        <v/>
      </c>
      <c r="B344" s="25">
        <f>IF(C344="","",IF(COUNTIFS(tbl_Finance[Job Number],C344&amp;"",tbl_Finance[Xero Invoice No],"&lt;&gt;")=0,"",IFERROR(IF(COUNTIFS(tbl_Finance[Job Number],C344&amp;"",tbl_Finance[Xero Invoice No],LOOKUP(2,1/((tbl_Finance[Job Number]=C344&amp;"")*(tbl_Finance[Xero Invoice No]&lt;&gt;"")),tbl_Finance[Xero Invoice No]))=COUNTIFS(tbl_Finance[Job Number],C344&amp;"",tbl_Finance[Xero Invoice No],"&lt;&gt;"),LOOKUP(2,1/((tbl_Finance[Job Number]=C344&amp;"")*(tbl_Finance[Xero Invoice No]&lt;&gt;"")),tbl_Finance[Xero Invoice No]),LOOKUP(2,1/((tbl_Finance[Job Number]=C344&amp;"")*(tbl_Finance[Xero Invoice No]&lt;&gt;"")),tbl_Finance[Xero Invoice No])&amp;" +more"),"")))</f>
        <v/>
      </c>
      <c r="C344" s="24" t="n"/>
      <c r="D344" s="25">
        <f>IF(C344="","",IF(COUNTIF(lst_Jobs,C344&amp;"")&gt;0,"OK","CHECK"))</f>
        <v/>
      </c>
      <c r="E344" s="25">
        <f>IF(C344="","",IFERROR(INDEX(lst_JobName,MATCH(C344&amp;"",lst_Jobs,0)),""))</f>
        <v/>
      </c>
      <c r="F344" s="25">
        <f>IF(C344="","",IFERROR(INDEX(tbl_Finance[Client],MATCH(C344&amp;"",tbl_Finance[Job Number],0)),""))</f>
        <v/>
      </c>
      <c r="G344" s="28">
        <f>IF(C344="","",COUNTIFS(tbl_Finance[Job Number],C344&amp;"",tbl_Finance[Ex GST],"&lt;&gt;"))</f>
        <v/>
      </c>
      <c r="H344" s="27">
        <f>IF(C344="","",SUMIFS(tbl_Finance[Ex GST],tbl_Finance[Job Number],C344&amp;""))</f>
        <v/>
      </c>
      <c r="I344" s="27">
        <f>IF(C344="","",SUMIFS(tbl_Finance[Ex GST],tbl_Finance[Job Number],C344&amp;"",tbl_Finance[Xero Invoice No],"&lt;&gt;"))</f>
        <v/>
      </c>
      <c r="J344" s="27">
        <f>IF(C344="","",H344-I344)</f>
        <v/>
      </c>
      <c r="K344" s="25">
        <f>IF(C344="","",IF(G344=0,"not invoiced yet",SUBSTITUTE(TRIM(IF(COUNTIFS(tbl_Finance[Job Number],C344&amp;"",tbl_Finance[Cost Centre],"ONSITE")&gt;0,"ONSITE ","")&amp;IF(COUNTIFS(tbl_Finance[Job Number],C344&amp;"",tbl_Finance[Cost Centre],"PRODUCTION")&gt;0,"PRODUCTION ","")&amp;IF(COUNTIFS(tbl_Finance[Job Number],C344&amp;"",tbl_Finance[Cost Centre],"VIDEO")&gt;0,"VIDEO ","")&amp;IF(COUNTIFS(tbl_Finance[Job Number],C344&amp;"",tbl_Finance[Cost Centre],"INTEGRATION")&gt;0,"INTEGRATION ","")&amp;IF(COUNTIFS(tbl_Finance[Job Number],C344&amp;"",tbl_Finance[Cost Centre],"CONSULTING")&gt;0,"CONSULTING ","")&amp;IF(COUNTIFS(tbl_Finance[Job Number],C344&amp;"",tbl_Finance[Cost Centre],"CTS")&gt;0,"CTS ",""))," ",", ")))</f>
        <v/>
      </c>
      <c r="L344" s="22" t="n"/>
      <c r="M344" s="24" t="n"/>
      <c r="N344" s="25">
        <f>IF(M344="","",IF(AND(LEFT(M344,4)&lt;&gt;"http",set_RMSBase=""),"",HYPERLINK(IF(LEFT(M344,4)="http",M344,set_RMSBase&amp;M344),"Open opportunity")))</f>
        <v/>
      </c>
      <c r="O344" s="25">
        <f>IF(C344="","",C344)</f>
        <v/>
      </c>
      <c r="P344" s="24" t="n"/>
      <c r="Q344" s="26" t="n"/>
      <c r="R344" s="27">
        <f>IF(C344="","",H344+N(Q344))</f>
        <v/>
      </c>
      <c r="S344" s="29">
        <f>IFERROR(Q344/R344,"")</f>
        <v/>
      </c>
      <c r="T344" s="26" t="n"/>
      <c r="U344" s="26" t="n"/>
      <c r="V344" s="27">
        <f>IF(C344="","",N(T344)+N(U344))</f>
        <v/>
      </c>
      <c r="W344" s="27">
        <f>IF(C344="","",H344-V344)</f>
        <v/>
      </c>
      <c r="X344" s="29">
        <f>IFERROR(W344/H344,"")</f>
        <v/>
      </c>
      <c r="Y344" s="64" t="n"/>
      <c r="Z344" s="64" t="n"/>
      <c r="AA344" s="64" t="n"/>
      <c r="AB344" s="64" t="n"/>
      <c r="AC344" s="64" t="n"/>
      <c r="AD344" s="24" t="n"/>
    </row>
    <row r="345" ht="15" customHeight="1">
      <c r="A345" s="63">
        <f>IF(C345="","",IFERROR(IF(SUMPRODUCT(MAX((tbl_Finance[Job Number]=C345&amp;"")*(tbl_Finance[Xero Invoice No]&lt;&gt;"")*tbl_Finance[Date]))=0,"",SUMPRODUCT(MAX((tbl_Finance[Job Number]=C345&amp;"")*(tbl_Finance[Xero Invoice No]&lt;&gt;"")*tbl_Finance[Date]))),""))</f>
        <v/>
      </c>
      <c r="B345" s="25">
        <f>IF(C345="","",IF(COUNTIFS(tbl_Finance[Job Number],C345&amp;"",tbl_Finance[Xero Invoice No],"&lt;&gt;")=0,"",IFERROR(IF(COUNTIFS(tbl_Finance[Job Number],C345&amp;"",tbl_Finance[Xero Invoice No],LOOKUP(2,1/((tbl_Finance[Job Number]=C345&amp;"")*(tbl_Finance[Xero Invoice No]&lt;&gt;"")),tbl_Finance[Xero Invoice No]))=COUNTIFS(tbl_Finance[Job Number],C345&amp;"",tbl_Finance[Xero Invoice No],"&lt;&gt;"),LOOKUP(2,1/((tbl_Finance[Job Number]=C345&amp;"")*(tbl_Finance[Xero Invoice No]&lt;&gt;"")),tbl_Finance[Xero Invoice No]),LOOKUP(2,1/((tbl_Finance[Job Number]=C345&amp;"")*(tbl_Finance[Xero Invoice No]&lt;&gt;"")),tbl_Finance[Xero Invoice No])&amp;" +more"),"")))</f>
        <v/>
      </c>
      <c r="C345" s="24" t="n"/>
      <c r="D345" s="25">
        <f>IF(C345="","",IF(COUNTIF(lst_Jobs,C345&amp;"")&gt;0,"OK","CHECK"))</f>
        <v/>
      </c>
      <c r="E345" s="25">
        <f>IF(C345="","",IFERROR(INDEX(lst_JobName,MATCH(C345&amp;"",lst_Jobs,0)),""))</f>
        <v/>
      </c>
      <c r="F345" s="25">
        <f>IF(C345="","",IFERROR(INDEX(tbl_Finance[Client],MATCH(C345&amp;"",tbl_Finance[Job Number],0)),""))</f>
        <v/>
      </c>
      <c r="G345" s="28">
        <f>IF(C345="","",COUNTIFS(tbl_Finance[Job Number],C345&amp;"",tbl_Finance[Ex GST],"&lt;&gt;"))</f>
        <v/>
      </c>
      <c r="H345" s="27">
        <f>IF(C345="","",SUMIFS(tbl_Finance[Ex GST],tbl_Finance[Job Number],C345&amp;""))</f>
        <v/>
      </c>
      <c r="I345" s="27">
        <f>IF(C345="","",SUMIFS(tbl_Finance[Ex GST],tbl_Finance[Job Number],C345&amp;"",tbl_Finance[Xero Invoice No],"&lt;&gt;"))</f>
        <v/>
      </c>
      <c r="J345" s="27">
        <f>IF(C345="","",H345-I345)</f>
        <v/>
      </c>
      <c r="K345" s="25">
        <f>IF(C345="","",IF(G345=0,"not invoiced yet",SUBSTITUTE(TRIM(IF(COUNTIFS(tbl_Finance[Job Number],C345&amp;"",tbl_Finance[Cost Centre],"ONSITE")&gt;0,"ONSITE ","")&amp;IF(COUNTIFS(tbl_Finance[Job Number],C345&amp;"",tbl_Finance[Cost Centre],"PRODUCTION")&gt;0,"PRODUCTION ","")&amp;IF(COUNTIFS(tbl_Finance[Job Number],C345&amp;"",tbl_Finance[Cost Centre],"VIDEO")&gt;0,"VIDEO ","")&amp;IF(COUNTIFS(tbl_Finance[Job Number],C345&amp;"",tbl_Finance[Cost Centre],"INTEGRATION")&gt;0,"INTEGRATION ","")&amp;IF(COUNTIFS(tbl_Finance[Job Number],C345&amp;"",tbl_Finance[Cost Centre],"CONSULTING")&gt;0,"CONSULTING ","")&amp;IF(COUNTIFS(tbl_Finance[Job Number],C345&amp;"",tbl_Finance[Cost Centre],"CTS")&gt;0,"CTS ",""))," ",", ")))</f>
        <v/>
      </c>
      <c r="L345" s="22" t="n"/>
      <c r="M345" s="24" t="n"/>
      <c r="N345" s="25">
        <f>IF(M345="","",IF(AND(LEFT(M345,4)&lt;&gt;"http",set_RMSBase=""),"",HYPERLINK(IF(LEFT(M345,4)="http",M345,set_RMSBase&amp;M345),"Open opportunity")))</f>
        <v/>
      </c>
      <c r="O345" s="25">
        <f>IF(C345="","",C345)</f>
        <v/>
      </c>
      <c r="P345" s="24" t="n"/>
      <c r="Q345" s="26" t="n"/>
      <c r="R345" s="27">
        <f>IF(C345="","",H345+N(Q345))</f>
        <v/>
      </c>
      <c r="S345" s="29">
        <f>IFERROR(Q345/R345,"")</f>
        <v/>
      </c>
      <c r="T345" s="26" t="n"/>
      <c r="U345" s="26" t="n"/>
      <c r="V345" s="27">
        <f>IF(C345="","",N(T345)+N(U345))</f>
        <v/>
      </c>
      <c r="W345" s="27">
        <f>IF(C345="","",H345-V345)</f>
        <v/>
      </c>
      <c r="X345" s="29">
        <f>IFERROR(W345/H345,"")</f>
        <v/>
      </c>
      <c r="Y345" s="64" t="n"/>
      <c r="Z345" s="64" t="n"/>
      <c r="AA345" s="64" t="n"/>
      <c r="AB345" s="64" t="n"/>
      <c r="AC345" s="64" t="n"/>
      <c r="AD345" s="24" t="n"/>
    </row>
    <row r="346" ht="15" customHeight="1">
      <c r="A346" s="63">
        <f>IF(C346="","",IFERROR(IF(SUMPRODUCT(MAX((tbl_Finance[Job Number]=C346&amp;"")*(tbl_Finance[Xero Invoice No]&lt;&gt;"")*tbl_Finance[Date]))=0,"",SUMPRODUCT(MAX((tbl_Finance[Job Number]=C346&amp;"")*(tbl_Finance[Xero Invoice No]&lt;&gt;"")*tbl_Finance[Date]))),""))</f>
        <v/>
      </c>
      <c r="B346" s="25">
        <f>IF(C346="","",IF(COUNTIFS(tbl_Finance[Job Number],C346&amp;"",tbl_Finance[Xero Invoice No],"&lt;&gt;")=0,"",IFERROR(IF(COUNTIFS(tbl_Finance[Job Number],C346&amp;"",tbl_Finance[Xero Invoice No],LOOKUP(2,1/((tbl_Finance[Job Number]=C346&amp;"")*(tbl_Finance[Xero Invoice No]&lt;&gt;"")),tbl_Finance[Xero Invoice No]))=COUNTIFS(tbl_Finance[Job Number],C346&amp;"",tbl_Finance[Xero Invoice No],"&lt;&gt;"),LOOKUP(2,1/((tbl_Finance[Job Number]=C346&amp;"")*(tbl_Finance[Xero Invoice No]&lt;&gt;"")),tbl_Finance[Xero Invoice No]),LOOKUP(2,1/((tbl_Finance[Job Number]=C346&amp;"")*(tbl_Finance[Xero Invoice No]&lt;&gt;"")),tbl_Finance[Xero Invoice No])&amp;" +more"),"")))</f>
        <v/>
      </c>
      <c r="C346" s="24" t="n"/>
      <c r="D346" s="25">
        <f>IF(C346="","",IF(COUNTIF(lst_Jobs,C346&amp;"")&gt;0,"OK","CHECK"))</f>
        <v/>
      </c>
      <c r="E346" s="25">
        <f>IF(C346="","",IFERROR(INDEX(lst_JobName,MATCH(C346&amp;"",lst_Jobs,0)),""))</f>
        <v/>
      </c>
      <c r="F346" s="25">
        <f>IF(C346="","",IFERROR(INDEX(tbl_Finance[Client],MATCH(C346&amp;"",tbl_Finance[Job Number],0)),""))</f>
        <v/>
      </c>
      <c r="G346" s="28">
        <f>IF(C346="","",COUNTIFS(tbl_Finance[Job Number],C346&amp;"",tbl_Finance[Ex GST],"&lt;&gt;"))</f>
        <v/>
      </c>
      <c r="H346" s="27">
        <f>IF(C346="","",SUMIFS(tbl_Finance[Ex GST],tbl_Finance[Job Number],C346&amp;""))</f>
        <v/>
      </c>
      <c r="I346" s="27">
        <f>IF(C346="","",SUMIFS(tbl_Finance[Ex GST],tbl_Finance[Job Number],C346&amp;"",tbl_Finance[Xero Invoice No],"&lt;&gt;"))</f>
        <v/>
      </c>
      <c r="J346" s="27">
        <f>IF(C346="","",H346-I346)</f>
        <v/>
      </c>
      <c r="K346" s="25">
        <f>IF(C346="","",IF(G346=0,"not invoiced yet",SUBSTITUTE(TRIM(IF(COUNTIFS(tbl_Finance[Job Number],C346&amp;"",tbl_Finance[Cost Centre],"ONSITE")&gt;0,"ONSITE ","")&amp;IF(COUNTIFS(tbl_Finance[Job Number],C346&amp;"",tbl_Finance[Cost Centre],"PRODUCTION")&gt;0,"PRODUCTION ","")&amp;IF(COUNTIFS(tbl_Finance[Job Number],C346&amp;"",tbl_Finance[Cost Centre],"VIDEO")&gt;0,"VIDEO ","")&amp;IF(COUNTIFS(tbl_Finance[Job Number],C346&amp;"",tbl_Finance[Cost Centre],"INTEGRATION")&gt;0,"INTEGRATION ","")&amp;IF(COUNTIFS(tbl_Finance[Job Number],C346&amp;"",tbl_Finance[Cost Centre],"CONSULTING")&gt;0,"CONSULTING ","")&amp;IF(COUNTIFS(tbl_Finance[Job Number],C346&amp;"",tbl_Finance[Cost Centre],"CTS")&gt;0,"CTS ",""))," ",", ")))</f>
        <v/>
      </c>
      <c r="L346" s="22" t="n"/>
      <c r="M346" s="24" t="n"/>
      <c r="N346" s="25">
        <f>IF(M346="","",IF(AND(LEFT(M346,4)&lt;&gt;"http",set_RMSBase=""),"",HYPERLINK(IF(LEFT(M346,4)="http",M346,set_RMSBase&amp;M346),"Open opportunity")))</f>
        <v/>
      </c>
      <c r="O346" s="25">
        <f>IF(C346="","",C346)</f>
        <v/>
      </c>
      <c r="P346" s="24" t="n"/>
      <c r="Q346" s="26" t="n"/>
      <c r="R346" s="27">
        <f>IF(C346="","",H346+N(Q346))</f>
        <v/>
      </c>
      <c r="S346" s="29">
        <f>IFERROR(Q346/R346,"")</f>
        <v/>
      </c>
      <c r="T346" s="26" t="n"/>
      <c r="U346" s="26" t="n"/>
      <c r="V346" s="27">
        <f>IF(C346="","",N(T346)+N(U346))</f>
        <v/>
      </c>
      <c r="W346" s="27">
        <f>IF(C346="","",H346-V346)</f>
        <v/>
      </c>
      <c r="X346" s="29">
        <f>IFERROR(W346/H346,"")</f>
        <v/>
      </c>
      <c r="Y346" s="64" t="n"/>
      <c r="Z346" s="64" t="n"/>
      <c r="AA346" s="64" t="n"/>
      <c r="AB346" s="64" t="n"/>
      <c r="AC346" s="64" t="n"/>
      <c r="AD346" s="24" t="n"/>
    </row>
    <row r="347" ht="15" customHeight="1">
      <c r="A347" s="63">
        <f>IF(C347="","",IFERROR(IF(SUMPRODUCT(MAX((tbl_Finance[Job Number]=C347&amp;"")*(tbl_Finance[Xero Invoice No]&lt;&gt;"")*tbl_Finance[Date]))=0,"",SUMPRODUCT(MAX((tbl_Finance[Job Number]=C347&amp;"")*(tbl_Finance[Xero Invoice No]&lt;&gt;"")*tbl_Finance[Date]))),""))</f>
        <v/>
      </c>
      <c r="B347" s="25">
        <f>IF(C347="","",IF(COUNTIFS(tbl_Finance[Job Number],C347&amp;"",tbl_Finance[Xero Invoice No],"&lt;&gt;")=0,"",IFERROR(IF(COUNTIFS(tbl_Finance[Job Number],C347&amp;"",tbl_Finance[Xero Invoice No],LOOKUP(2,1/((tbl_Finance[Job Number]=C347&amp;"")*(tbl_Finance[Xero Invoice No]&lt;&gt;"")),tbl_Finance[Xero Invoice No]))=COUNTIFS(tbl_Finance[Job Number],C347&amp;"",tbl_Finance[Xero Invoice No],"&lt;&gt;"),LOOKUP(2,1/((tbl_Finance[Job Number]=C347&amp;"")*(tbl_Finance[Xero Invoice No]&lt;&gt;"")),tbl_Finance[Xero Invoice No]),LOOKUP(2,1/((tbl_Finance[Job Number]=C347&amp;"")*(tbl_Finance[Xero Invoice No]&lt;&gt;"")),tbl_Finance[Xero Invoice No])&amp;" +more"),"")))</f>
        <v/>
      </c>
      <c r="C347" s="24" t="n"/>
      <c r="D347" s="25">
        <f>IF(C347="","",IF(COUNTIF(lst_Jobs,C347&amp;"")&gt;0,"OK","CHECK"))</f>
        <v/>
      </c>
      <c r="E347" s="25">
        <f>IF(C347="","",IFERROR(INDEX(lst_JobName,MATCH(C347&amp;"",lst_Jobs,0)),""))</f>
        <v/>
      </c>
      <c r="F347" s="25">
        <f>IF(C347="","",IFERROR(INDEX(tbl_Finance[Client],MATCH(C347&amp;"",tbl_Finance[Job Number],0)),""))</f>
        <v/>
      </c>
      <c r="G347" s="28">
        <f>IF(C347="","",COUNTIFS(tbl_Finance[Job Number],C347&amp;"",tbl_Finance[Ex GST],"&lt;&gt;"))</f>
        <v/>
      </c>
      <c r="H347" s="27">
        <f>IF(C347="","",SUMIFS(tbl_Finance[Ex GST],tbl_Finance[Job Number],C347&amp;""))</f>
        <v/>
      </c>
      <c r="I347" s="27">
        <f>IF(C347="","",SUMIFS(tbl_Finance[Ex GST],tbl_Finance[Job Number],C347&amp;"",tbl_Finance[Xero Invoice No],"&lt;&gt;"))</f>
        <v/>
      </c>
      <c r="J347" s="27">
        <f>IF(C347="","",H347-I347)</f>
        <v/>
      </c>
      <c r="K347" s="25">
        <f>IF(C347="","",IF(G347=0,"not invoiced yet",SUBSTITUTE(TRIM(IF(COUNTIFS(tbl_Finance[Job Number],C347&amp;"",tbl_Finance[Cost Centre],"ONSITE")&gt;0,"ONSITE ","")&amp;IF(COUNTIFS(tbl_Finance[Job Number],C347&amp;"",tbl_Finance[Cost Centre],"PRODUCTION")&gt;0,"PRODUCTION ","")&amp;IF(COUNTIFS(tbl_Finance[Job Number],C347&amp;"",tbl_Finance[Cost Centre],"VIDEO")&gt;0,"VIDEO ","")&amp;IF(COUNTIFS(tbl_Finance[Job Number],C347&amp;"",tbl_Finance[Cost Centre],"INTEGRATION")&gt;0,"INTEGRATION ","")&amp;IF(COUNTIFS(tbl_Finance[Job Number],C347&amp;"",tbl_Finance[Cost Centre],"CONSULTING")&gt;0,"CONSULTING ","")&amp;IF(COUNTIFS(tbl_Finance[Job Number],C347&amp;"",tbl_Finance[Cost Centre],"CTS")&gt;0,"CTS ",""))," ",", ")))</f>
        <v/>
      </c>
      <c r="L347" s="22" t="n"/>
      <c r="M347" s="24" t="n"/>
      <c r="N347" s="25">
        <f>IF(M347="","",IF(AND(LEFT(M347,4)&lt;&gt;"http",set_RMSBase=""),"",HYPERLINK(IF(LEFT(M347,4)="http",M347,set_RMSBase&amp;M347),"Open opportunity")))</f>
        <v/>
      </c>
      <c r="O347" s="25">
        <f>IF(C347="","",C347)</f>
        <v/>
      </c>
      <c r="P347" s="24" t="n"/>
      <c r="Q347" s="26" t="n"/>
      <c r="R347" s="27">
        <f>IF(C347="","",H347+N(Q347))</f>
        <v/>
      </c>
      <c r="S347" s="29">
        <f>IFERROR(Q347/R347,"")</f>
        <v/>
      </c>
      <c r="T347" s="26" t="n"/>
      <c r="U347" s="26" t="n"/>
      <c r="V347" s="27">
        <f>IF(C347="","",N(T347)+N(U347))</f>
        <v/>
      </c>
      <c r="W347" s="27">
        <f>IF(C347="","",H347-V347)</f>
        <v/>
      </c>
      <c r="X347" s="29">
        <f>IFERROR(W347/H347,"")</f>
        <v/>
      </c>
      <c r="Y347" s="64" t="n"/>
      <c r="Z347" s="64" t="n"/>
      <c r="AA347" s="64" t="n"/>
      <c r="AB347" s="64" t="n"/>
      <c r="AC347" s="64" t="n"/>
      <c r="AD347" s="24" t="n"/>
    </row>
    <row r="348" ht="15" customHeight="1">
      <c r="A348" s="63">
        <f>IF(C348="","",IFERROR(IF(SUMPRODUCT(MAX((tbl_Finance[Job Number]=C348&amp;"")*(tbl_Finance[Xero Invoice No]&lt;&gt;"")*tbl_Finance[Date]))=0,"",SUMPRODUCT(MAX((tbl_Finance[Job Number]=C348&amp;"")*(tbl_Finance[Xero Invoice No]&lt;&gt;"")*tbl_Finance[Date]))),""))</f>
        <v/>
      </c>
      <c r="B348" s="25">
        <f>IF(C348="","",IF(COUNTIFS(tbl_Finance[Job Number],C348&amp;"",tbl_Finance[Xero Invoice No],"&lt;&gt;")=0,"",IFERROR(IF(COUNTIFS(tbl_Finance[Job Number],C348&amp;"",tbl_Finance[Xero Invoice No],LOOKUP(2,1/((tbl_Finance[Job Number]=C348&amp;"")*(tbl_Finance[Xero Invoice No]&lt;&gt;"")),tbl_Finance[Xero Invoice No]))=COUNTIFS(tbl_Finance[Job Number],C348&amp;"",tbl_Finance[Xero Invoice No],"&lt;&gt;"),LOOKUP(2,1/((tbl_Finance[Job Number]=C348&amp;"")*(tbl_Finance[Xero Invoice No]&lt;&gt;"")),tbl_Finance[Xero Invoice No]),LOOKUP(2,1/((tbl_Finance[Job Number]=C348&amp;"")*(tbl_Finance[Xero Invoice No]&lt;&gt;"")),tbl_Finance[Xero Invoice No])&amp;" +more"),"")))</f>
        <v/>
      </c>
      <c r="C348" s="24" t="n"/>
      <c r="D348" s="25">
        <f>IF(C348="","",IF(COUNTIF(lst_Jobs,C348&amp;"")&gt;0,"OK","CHECK"))</f>
        <v/>
      </c>
      <c r="E348" s="25">
        <f>IF(C348="","",IFERROR(INDEX(lst_JobName,MATCH(C348&amp;"",lst_Jobs,0)),""))</f>
        <v/>
      </c>
      <c r="F348" s="25">
        <f>IF(C348="","",IFERROR(INDEX(tbl_Finance[Client],MATCH(C348&amp;"",tbl_Finance[Job Number],0)),""))</f>
        <v/>
      </c>
      <c r="G348" s="28">
        <f>IF(C348="","",COUNTIFS(tbl_Finance[Job Number],C348&amp;"",tbl_Finance[Ex GST],"&lt;&gt;"))</f>
        <v/>
      </c>
      <c r="H348" s="27">
        <f>IF(C348="","",SUMIFS(tbl_Finance[Ex GST],tbl_Finance[Job Number],C348&amp;""))</f>
        <v/>
      </c>
      <c r="I348" s="27">
        <f>IF(C348="","",SUMIFS(tbl_Finance[Ex GST],tbl_Finance[Job Number],C348&amp;"",tbl_Finance[Xero Invoice No],"&lt;&gt;"))</f>
        <v/>
      </c>
      <c r="J348" s="27">
        <f>IF(C348="","",H348-I348)</f>
        <v/>
      </c>
      <c r="K348" s="25">
        <f>IF(C348="","",IF(G348=0,"not invoiced yet",SUBSTITUTE(TRIM(IF(COUNTIFS(tbl_Finance[Job Number],C348&amp;"",tbl_Finance[Cost Centre],"ONSITE")&gt;0,"ONSITE ","")&amp;IF(COUNTIFS(tbl_Finance[Job Number],C348&amp;"",tbl_Finance[Cost Centre],"PRODUCTION")&gt;0,"PRODUCTION ","")&amp;IF(COUNTIFS(tbl_Finance[Job Number],C348&amp;"",tbl_Finance[Cost Centre],"VIDEO")&gt;0,"VIDEO ","")&amp;IF(COUNTIFS(tbl_Finance[Job Number],C348&amp;"",tbl_Finance[Cost Centre],"INTEGRATION")&gt;0,"INTEGRATION ","")&amp;IF(COUNTIFS(tbl_Finance[Job Number],C348&amp;"",tbl_Finance[Cost Centre],"CONSULTING")&gt;0,"CONSULTING ","")&amp;IF(COUNTIFS(tbl_Finance[Job Number],C348&amp;"",tbl_Finance[Cost Centre],"CTS")&gt;0,"CTS ",""))," ",", ")))</f>
        <v/>
      </c>
      <c r="L348" s="22" t="n"/>
      <c r="M348" s="24" t="n"/>
      <c r="N348" s="25">
        <f>IF(M348="","",IF(AND(LEFT(M348,4)&lt;&gt;"http",set_RMSBase=""),"",HYPERLINK(IF(LEFT(M348,4)="http",M348,set_RMSBase&amp;M348),"Open opportunity")))</f>
        <v/>
      </c>
      <c r="O348" s="25">
        <f>IF(C348="","",C348)</f>
        <v/>
      </c>
      <c r="P348" s="24" t="n"/>
      <c r="Q348" s="26" t="n"/>
      <c r="R348" s="27">
        <f>IF(C348="","",H348+N(Q348))</f>
        <v/>
      </c>
      <c r="S348" s="29">
        <f>IFERROR(Q348/R348,"")</f>
        <v/>
      </c>
      <c r="T348" s="26" t="n"/>
      <c r="U348" s="26" t="n"/>
      <c r="V348" s="27">
        <f>IF(C348="","",N(T348)+N(U348))</f>
        <v/>
      </c>
      <c r="W348" s="27">
        <f>IF(C348="","",H348-V348)</f>
        <v/>
      </c>
      <c r="X348" s="29">
        <f>IFERROR(W348/H348,"")</f>
        <v/>
      </c>
      <c r="Y348" s="64" t="n"/>
      <c r="Z348" s="64" t="n"/>
      <c r="AA348" s="64" t="n"/>
      <c r="AB348" s="64" t="n"/>
      <c r="AC348" s="64" t="n"/>
      <c r="AD348" s="24" t="n"/>
    </row>
    <row r="349" ht="15" customHeight="1">
      <c r="A349" s="63">
        <f>IF(C349="","",IFERROR(IF(SUMPRODUCT(MAX((tbl_Finance[Job Number]=C349&amp;"")*(tbl_Finance[Xero Invoice No]&lt;&gt;"")*tbl_Finance[Date]))=0,"",SUMPRODUCT(MAX((tbl_Finance[Job Number]=C349&amp;"")*(tbl_Finance[Xero Invoice No]&lt;&gt;"")*tbl_Finance[Date]))),""))</f>
        <v/>
      </c>
      <c r="B349" s="25">
        <f>IF(C349="","",IF(COUNTIFS(tbl_Finance[Job Number],C349&amp;"",tbl_Finance[Xero Invoice No],"&lt;&gt;")=0,"",IFERROR(IF(COUNTIFS(tbl_Finance[Job Number],C349&amp;"",tbl_Finance[Xero Invoice No],LOOKUP(2,1/((tbl_Finance[Job Number]=C349&amp;"")*(tbl_Finance[Xero Invoice No]&lt;&gt;"")),tbl_Finance[Xero Invoice No]))=COUNTIFS(tbl_Finance[Job Number],C349&amp;"",tbl_Finance[Xero Invoice No],"&lt;&gt;"),LOOKUP(2,1/((tbl_Finance[Job Number]=C349&amp;"")*(tbl_Finance[Xero Invoice No]&lt;&gt;"")),tbl_Finance[Xero Invoice No]),LOOKUP(2,1/((tbl_Finance[Job Number]=C349&amp;"")*(tbl_Finance[Xero Invoice No]&lt;&gt;"")),tbl_Finance[Xero Invoice No])&amp;" +more"),"")))</f>
        <v/>
      </c>
      <c r="C349" s="24" t="n"/>
      <c r="D349" s="25">
        <f>IF(C349="","",IF(COUNTIF(lst_Jobs,C349&amp;"")&gt;0,"OK","CHECK"))</f>
        <v/>
      </c>
      <c r="E349" s="25">
        <f>IF(C349="","",IFERROR(INDEX(lst_JobName,MATCH(C349&amp;"",lst_Jobs,0)),""))</f>
        <v/>
      </c>
      <c r="F349" s="25">
        <f>IF(C349="","",IFERROR(INDEX(tbl_Finance[Client],MATCH(C349&amp;"",tbl_Finance[Job Number],0)),""))</f>
        <v/>
      </c>
      <c r="G349" s="28">
        <f>IF(C349="","",COUNTIFS(tbl_Finance[Job Number],C349&amp;"",tbl_Finance[Ex GST],"&lt;&gt;"))</f>
        <v/>
      </c>
      <c r="H349" s="27">
        <f>IF(C349="","",SUMIFS(tbl_Finance[Ex GST],tbl_Finance[Job Number],C349&amp;""))</f>
        <v/>
      </c>
      <c r="I349" s="27">
        <f>IF(C349="","",SUMIFS(tbl_Finance[Ex GST],tbl_Finance[Job Number],C349&amp;"",tbl_Finance[Xero Invoice No],"&lt;&gt;"))</f>
        <v/>
      </c>
      <c r="J349" s="27">
        <f>IF(C349="","",H349-I349)</f>
        <v/>
      </c>
      <c r="K349" s="25">
        <f>IF(C349="","",IF(G349=0,"not invoiced yet",SUBSTITUTE(TRIM(IF(COUNTIFS(tbl_Finance[Job Number],C349&amp;"",tbl_Finance[Cost Centre],"ONSITE")&gt;0,"ONSITE ","")&amp;IF(COUNTIFS(tbl_Finance[Job Number],C349&amp;"",tbl_Finance[Cost Centre],"PRODUCTION")&gt;0,"PRODUCTION ","")&amp;IF(COUNTIFS(tbl_Finance[Job Number],C349&amp;"",tbl_Finance[Cost Centre],"VIDEO")&gt;0,"VIDEO ","")&amp;IF(COUNTIFS(tbl_Finance[Job Number],C349&amp;"",tbl_Finance[Cost Centre],"INTEGRATION")&gt;0,"INTEGRATION ","")&amp;IF(COUNTIFS(tbl_Finance[Job Number],C349&amp;"",tbl_Finance[Cost Centre],"CONSULTING")&gt;0,"CONSULTING ","")&amp;IF(COUNTIFS(tbl_Finance[Job Number],C349&amp;"",tbl_Finance[Cost Centre],"CTS")&gt;0,"CTS ",""))," ",", ")))</f>
        <v/>
      </c>
      <c r="L349" s="22" t="n"/>
      <c r="M349" s="24" t="n"/>
      <c r="N349" s="25">
        <f>IF(M349="","",IF(AND(LEFT(M349,4)&lt;&gt;"http",set_RMSBase=""),"",HYPERLINK(IF(LEFT(M349,4)="http",M349,set_RMSBase&amp;M349),"Open opportunity")))</f>
        <v/>
      </c>
      <c r="O349" s="25">
        <f>IF(C349="","",C349)</f>
        <v/>
      </c>
      <c r="P349" s="24" t="n"/>
      <c r="Q349" s="26" t="n"/>
      <c r="R349" s="27">
        <f>IF(C349="","",H349+N(Q349))</f>
        <v/>
      </c>
      <c r="S349" s="29">
        <f>IFERROR(Q349/R349,"")</f>
        <v/>
      </c>
      <c r="T349" s="26" t="n"/>
      <c r="U349" s="26" t="n"/>
      <c r="V349" s="27">
        <f>IF(C349="","",N(T349)+N(U349))</f>
        <v/>
      </c>
      <c r="W349" s="27">
        <f>IF(C349="","",H349-V349)</f>
        <v/>
      </c>
      <c r="X349" s="29">
        <f>IFERROR(W349/H349,"")</f>
        <v/>
      </c>
      <c r="Y349" s="64" t="n"/>
      <c r="Z349" s="64" t="n"/>
      <c r="AA349" s="64" t="n"/>
      <c r="AB349" s="64" t="n"/>
      <c r="AC349" s="64" t="n"/>
      <c r="AD349" s="24" t="n"/>
    </row>
    <row r="350" ht="15" customHeight="1">
      <c r="A350" s="63">
        <f>IF(C350="","",IFERROR(IF(SUMPRODUCT(MAX((tbl_Finance[Job Number]=C350&amp;"")*(tbl_Finance[Xero Invoice No]&lt;&gt;"")*tbl_Finance[Date]))=0,"",SUMPRODUCT(MAX((tbl_Finance[Job Number]=C350&amp;"")*(tbl_Finance[Xero Invoice No]&lt;&gt;"")*tbl_Finance[Date]))),""))</f>
        <v/>
      </c>
      <c r="B350" s="25">
        <f>IF(C350="","",IF(COUNTIFS(tbl_Finance[Job Number],C350&amp;"",tbl_Finance[Xero Invoice No],"&lt;&gt;")=0,"",IFERROR(IF(COUNTIFS(tbl_Finance[Job Number],C350&amp;"",tbl_Finance[Xero Invoice No],LOOKUP(2,1/((tbl_Finance[Job Number]=C350&amp;"")*(tbl_Finance[Xero Invoice No]&lt;&gt;"")),tbl_Finance[Xero Invoice No]))=COUNTIFS(tbl_Finance[Job Number],C350&amp;"",tbl_Finance[Xero Invoice No],"&lt;&gt;"),LOOKUP(2,1/((tbl_Finance[Job Number]=C350&amp;"")*(tbl_Finance[Xero Invoice No]&lt;&gt;"")),tbl_Finance[Xero Invoice No]),LOOKUP(2,1/((tbl_Finance[Job Number]=C350&amp;"")*(tbl_Finance[Xero Invoice No]&lt;&gt;"")),tbl_Finance[Xero Invoice No])&amp;" +more"),"")))</f>
        <v/>
      </c>
      <c r="C350" s="24" t="n"/>
      <c r="D350" s="25">
        <f>IF(C350="","",IF(COUNTIF(lst_Jobs,C350&amp;"")&gt;0,"OK","CHECK"))</f>
        <v/>
      </c>
      <c r="E350" s="25">
        <f>IF(C350="","",IFERROR(INDEX(lst_JobName,MATCH(C350&amp;"",lst_Jobs,0)),""))</f>
        <v/>
      </c>
      <c r="F350" s="25">
        <f>IF(C350="","",IFERROR(INDEX(tbl_Finance[Client],MATCH(C350&amp;"",tbl_Finance[Job Number],0)),""))</f>
        <v/>
      </c>
      <c r="G350" s="28">
        <f>IF(C350="","",COUNTIFS(tbl_Finance[Job Number],C350&amp;"",tbl_Finance[Ex GST],"&lt;&gt;"))</f>
        <v/>
      </c>
      <c r="H350" s="27">
        <f>IF(C350="","",SUMIFS(tbl_Finance[Ex GST],tbl_Finance[Job Number],C350&amp;""))</f>
        <v/>
      </c>
      <c r="I350" s="27">
        <f>IF(C350="","",SUMIFS(tbl_Finance[Ex GST],tbl_Finance[Job Number],C350&amp;"",tbl_Finance[Xero Invoice No],"&lt;&gt;"))</f>
        <v/>
      </c>
      <c r="J350" s="27">
        <f>IF(C350="","",H350-I350)</f>
        <v/>
      </c>
      <c r="K350" s="25">
        <f>IF(C350="","",IF(G350=0,"not invoiced yet",SUBSTITUTE(TRIM(IF(COUNTIFS(tbl_Finance[Job Number],C350&amp;"",tbl_Finance[Cost Centre],"ONSITE")&gt;0,"ONSITE ","")&amp;IF(COUNTIFS(tbl_Finance[Job Number],C350&amp;"",tbl_Finance[Cost Centre],"PRODUCTION")&gt;0,"PRODUCTION ","")&amp;IF(COUNTIFS(tbl_Finance[Job Number],C350&amp;"",tbl_Finance[Cost Centre],"VIDEO")&gt;0,"VIDEO ","")&amp;IF(COUNTIFS(tbl_Finance[Job Number],C350&amp;"",tbl_Finance[Cost Centre],"INTEGRATION")&gt;0,"INTEGRATION ","")&amp;IF(COUNTIFS(tbl_Finance[Job Number],C350&amp;"",tbl_Finance[Cost Centre],"CONSULTING")&gt;0,"CONSULTING ","")&amp;IF(COUNTIFS(tbl_Finance[Job Number],C350&amp;"",tbl_Finance[Cost Centre],"CTS")&gt;0,"CTS ",""))," ",", ")))</f>
        <v/>
      </c>
      <c r="L350" s="22" t="n"/>
      <c r="M350" s="24" t="n"/>
      <c r="N350" s="25">
        <f>IF(M350="","",IF(AND(LEFT(M350,4)&lt;&gt;"http",set_RMSBase=""),"",HYPERLINK(IF(LEFT(M350,4)="http",M350,set_RMSBase&amp;M350),"Open opportunity")))</f>
        <v/>
      </c>
      <c r="O350" s="25">
        <f>IF(C350="","",C350)</f>
        <v/>
      </c>
      <c r="P350" s="24" t="n"/>
      <c r="Q350" s="26" t="n"/>
      <c r="R350" s="27">
        <f>IF(C350="","",H350+N(Q350))</f>
        <v/>
      </c>
      <c r="S350" s="29">
        <f>IFERROR(Q350/R350,"")</f>
        <v/>
      </c>
      <c r="T350" s="26" t="n"/>
      <c r="U350" s="26" t="n"/>
      <c r="V350" s="27">
        <f>IF(C350="","",N(T350)+N(U350))</f>
        <v/>
      </c>
      <c r="W350" s="27">
        <f>IF(C350="","",H350-V350)</f>
        <v/>
      </c>
      <c r="X350" s="29">
        <f>IFERROR(W350/H350,"")</f>
        <v/>
      </c>
      <c r="Y350" s="64" t="n"/>
      <c r="Z350" s="64" t="n"/>
      <c r="AA350" s="64" t="n"/>
      <c r="AB350" s="64" t="n"/>
      <c r="AC350" s="64" t="n"/>
      <c r="AD350" s="24" t="n"/>
    </row>
    <row r="351" ht="15" customHeight="1">
      <c r="A351" s="63">
        <f>IF(C351="","",IFERROR(IF(SUMPRODUCT(MAX((tbl_Finance[Job Number]=C351&amp;"")*(tbl_Finance[Xero Invoice No]&lt;&gt;"")*tbl_Finance[Date]))=0,"",SUMPRODUCT(MAX((tbl_Finance[Job Number]=C351&amp;"")*(tbl_Finance[Xero Invoice No]&lt;&gt;"")*tbl_Finance[Date]))),""))</f>
        <v/>
      </c>
      <c r="B351" s="25">
        <f>IF(C351="","",IF(COUNTIFS(tbl_Finance[Job Number],C351&amp;"",tbl_Finance[Xero Invoice No],"&lt;&gt;")=0,"",IFERROR(IF(COUNTIFS(tbl_Finance[Job Number],C351&amp;"",tbl_Finance[Xero Invoice No],LOOKUP(2,1/((tbl_Finance[Job Number]=C351&amp;"")*(tbl_Finance[Xero Invoice No]&lt;&gt;"")),tbl_Finance[Xero Invoice No]))=COUNTIFS(tbl_Finance[Job Number],C351&amp;"",tbl_Finance[Xero Invoice No],"&lt;&gt;"),LOOKUP(2,1/((tbl_Finance[Job Number]=C351&amp;"")*(tbl_Finance[Xero Invoice No]&lt;&gt;"")),tbl_Finance[Xero Invoice No]),LOOKUP(2,1/((tbl_Finance[Job Number]=C351&amp;"")*(tbl_Finance[Xero Invoice No]&lt;&gt;"")),tbl_Finance[Xero Invoice No])&amp;" +more"),"")))</f>
        <v/>
      </c>
      <c r="C351" s="24" t="n"/>
      <c r="D351" s="25">
        <f>IF(C351="","",IF(COUNTIF(lst_Jobs,C351&amp;"")&gt;0,"OK","CHECK"))</f>
        <v/>
      </c>
      <c r="E351" s="25">
        <f>IF(C351="","",IFERROR(INDEX(lst_JobName,MATCH(C351&amp;"",lst_Jobs,0)),""))</f>
        <v/>
      </c>
      <c r="F351" s="25">
        <f>IF(C351="","",IFERROR(INDEX(tbl_Finance[Client],MATCH(C351&amp;"",tbl_Finance[Job Number],0)),""))</f>
        <v/>
      </c>
      <c r="G351" s="28">
        <f>IF(C351="","",COUNTIFS(tbl_Finance[Job Number],C351&amp;"",tbl_Finance[Ex GST],"&lt;&gt;"))</f>
        <v/>
      </c>
      <c r="H351" s="27">
        <f>IF(C351="","",SUMIFS(tbl_Finance[Ex GST],tbl_Finance[Job Number],C351&amp;""))</f>
        <v/>
      </c>
      <c r="I351" s="27">
        <f>IF(C351="","",SUMIFS(tbl_Finance[Ex GST],tbl_Finance[Job Number],C351&amp;"",tbl_Finance[Xero Invoice No],"&lt;&gt;"))</f>
        <v/>
      </c>
      <c r="J351" s="27">
        <f>IF(C351="","",H351-I351)</f>
        <v/>
      </c>
      <c r="K351" s="25">
        <f>IF(C351="","",IF(G351=0,"not invoiced yet",SUBSTITUTE(TRIM(IF(COUNTIFS(tbl_Finance[Job Number],C351&amp;"",tbl_Finance[Cost Centre],"ONSITE")&gt;0,"ONSITE ","")&amp;IF(COUNTIFS(tbl_Finance[Job Number],C351&amp;"",tbl_Finance[Cost Centre],"PRODUCTION")&gt;0,"PRODUCTION ","")&amp;IF(COUNTIFS(tbl_Finance[Job Number],C351&amp;"",tbl_Finance[Cost Centre],"VIDEO")&gt;0,"VIDEO ","")&amp;IF(COUNTIFS(tbl_Finance[Job Number],C351&amp;"",tbl_Finance[Cost Centre],"INTEGRATION")&gt;0,"INTEGRATION ","")&amp;IF(COUNTIFS(tbl_Finance[Job Number],C351&amp;"",tbl_Finance[Cost Centre],"CONSULTING")&gt;0,"CONSULTING ","")&amp;IF(COUNTIFS(tbl_Finance[Job Number],C351&amp;"",tbl_Finance[Cost Centre],"CTS")&gt;0,"CTS ",""))," ",", ")))</f>
        <v/>
      </c>
      <c r="L351" s="22" t="n"/>
      <c r="M351" s="24" t="n"/>
      <c r="N351" s="25">
        <f>IF(M351="","",IF(AND(LEFT(M351,4)&lt;&gt;"http",set_RMSBase=""),"",HYPERLINK(IF(LEFT(M351,4)="http",M351,set_RMSBase&amp;M351),"Open opportunity")))</f>
        <v/>
      </c>
      <c r="O351" s="25">
        <f>IF(C351="","",C351)</f>
        <v/>
      </c>
      <c r="P351" s="24" t="n"/>
      <c r="Q351" s="26" t="n"/>
      <c r="R351" s="27">
        <f>IF(C351="","",H351+N(Q351))</f>
        <v/>
      </c>
      <c r="S351" s="29">
        <f>IFERROR(Q351/R351,"")</f>
        <v/>
      </c>
      <c r="T351" s="26" t="n"/>
      <c r="U351" s="26" t="n"/>
      <c r="V351" s="27">
        <f>IF(C351="","",N(T351)+N(U351))</f>
        <v/>
      </c>
      <c r="W351" s="27">
        <f>IF(C351="","",H351-V351)</f>
        <v/>
      </c>
      <c r="X351" s="29">
        <f>IFERROR(W351/H351,"")</f>
        <v/>
      </c>
      <c r="Y351" s="64" t="n"/>
      <c r="Z351" s="64" t="n"/>
      <c r="AA351" s="64" t="n"/>
      <c r="AB351" s="64" t="n"/>
      <c r="AC351" s="64" t="n"/>
      <c r="AD351" s="24" t="n"/>
    </row>
    <row r="352" ht="15" customHeight="1">
      <c r="A352" s="63">
        <f>IF(C352="","",IFERROR(IF(SUMPRODUCT(MAX((tbl_Finance[Job Number]=C352&amp;"")*(tbl_Finance[Xero Invoice No]&lt;&gt;"")*tbl_Finance[Date]))=0,"",SUMPRODUCT(MAX((tbl_Finance[Job Number]=C352&amp;"")*(tbl_Finance[Xero Invoice No]&lt;&gt;"")*tbl_Finance[Date]))),""))</f>
        <v/>
      </c>
      <c r="B352" s="25">
        <f>IF(C352="","",IF(COUNTIFS(tbl_Finance[Job Number],C352&amp;"",tbl_Finance[Xero Invoice No],"&lt;&gt;")=0,"",IFERROR(IF(COUNTIFS(tbl_Finance[Job Number],C352&amp;"",tbl_Finance[Xero Invoice No],LOOKUP(2,1/((tbl_Finance[Job Number]=C352&amp;"")*(tbl_Finance[Xero Invoice No]&lt;&gt;"")),tbl_Finance[Xero Invoice No]))=COUNTIFS(tbl_Finance[Job Number],C352&amp;"",tbl_Finance[Xero Invoice No],"&lt;&gt;"),LOOKUP(2,1/((tbl_Finance[Job Number]=C352&amp;"")*(tbl_Finance[Xero Invoice No]&lt;&gt;"")),tbl_Finance[Xero Invoice No]),LOOKUP(2,1/((tbl_Finance[Job Number]=C352&amp;"")*(tbl_Finance[Xero Invoice No]&lt;&gt;"")),tbl_Finance[Xero Invoice No])&amp;" +more"),"")))</f>
        <v/>
      </c>
      <c r="C352" s="24" t="n"/>
      <c r="D352" s="25">
        <f>IF(C352="","",IF(COUNTIF(lst_Jobs,C352&amp;"")&gt;0,"OK","CHECK"))</f>
        <v/>
      </c>
      <c r="E352" s="25">
        <f>IF(C352="","",IFERROR(INDEX(lst_JobName,MATCH(C352&amp;"",lst_Jobs,0)),""))</f>
        <v/>
      </c>
      <c r="F352" s="25">
        <f>IF(C352="","",IFERROR(INDEX(tbl_Finance[Client],MATCH(C352&amp;"",tbl_Finance[Job Number],0)),""))</f>
        <v/>
      </c>
      <c r="G352" s="28">
        <f>IF(C352="","",COUNTIFS(tbl_Finance[Job Number],C352&amp;"",tbl_Finance[Ex GST],"&lt;&gt;"))</f>
        <v/>
      </c>
      <c r="H352" s="27">
        <f>IF(C352="","",SUMIFS(tbl_Finance[Ex GST],tbl_Finance[Job Number],C352&amp;""))</f>
        <v/>
      </c>
      <c r="I352" s="27">
        <f>IF(C352="","",SUMIFS(tbl_Finance[Ex GST],tbl_Finance[Job Number],C352&amp;"",tbl_Finance[Xero Invoice No],"&lt;&gt;"))</f>
        <v/>
      </c>
      <c r="J352" s="27">
        <f>IF(C352="","",H352-I352)</f>
        <v/>
      </c>
      <c r="K352" s="25">
        <f>IF(C352="","",IF(G352=0,"not invoiced yet",SUBSTITUTE(TRIM(IF(COUNTIFS(tbl_Finance[Job Number],C352&amp;"",tbl_Finance[Cost Centre],"ONSITE")&gt;0,"ONSITE ","")&amp;IF(COUNTIFS(tbl_Finance[Job Number],C352&amp;"",tbl_Finance[Cost Centre],"PRODUCTION")&gt;0,"PRODUCTION ","")&amp;IF(COUNTIFS(tbl_Finance[Job Number],C352&amp;"",tbl_Finance[Cost Centre],"VIDEO")&gt;0,"VIDEO ","")&amp;IF(COUNTIFS(tbl_Finance[Job Number],C352&amp;"",tbl_Finance[Cost Centre],"INTEGRATION")&gt;0,"INTEGRATION ","")&amp;IF(COUNTIFS(tbl_Finance[Job Number],C352&amp;"",tbl_Finance[Cost Centre],"CONSULTING")&gt;0,"CONSULTING ","")&amp;IF(COUNTIFS(tbl_Finance[Job Number],C352&amp;"",tbl_Finance[Cost Centre],"CTS")&gt;0,"CTS ",""))," ",", ")))</f>
        <v/>
      </c>
      <c r="L352" s="22" t="n"/>
      <c r="M352" s="24" t="n"/>
      <c r="N352" s="25">
        <f>IF(M352="","",IF(AND(LEFT(M352,4)&lt;&gt;"http",set_RMSBase=""),"",HYPERLINK(IF(LEFT(M352,4)="http",M352,set_RMSBase&amp;M352),"Open opportunity")))</f>
        <v/>
      </c>
      <c r="O352" s="25">
        <f>IF(C352="","",C352)</f>
        <v/>
      </c>
      <c r="P352" s="24" t="n"/>
      <c r="Q352" s="26" t="n"/>
      <c r="R352" s="27">
        <f>IF(C352="","",H352+N(Q352))</f>
        <v/>
      </c>
      <c r="S352" s="29">
        <f>IFERROR(Q352/R352,"")</f>
        <v/>
      </c>
      <c r="T352" s="26" t="n"/>
      <c r="U352" s="26" t="n"/>
      <c r="V352" s="27">
        <f>IF(C352="","",N(T352)+N(U352))</f>
        <v/>
      </c>
      <c r="W352" s="27">
        <f>IF(C352="","",H352-V352)</f>
        <v/>
      </c>
      <c r="X352" s="29">
        <f>IFERROR(W352/H352,"")</f>
        <v/>
      </c>
      <c r="Y352" s="64" t="n"/>
      <c r="Z352" s="64" t="n"/>
      <c r="AA352" s="64" t="n"/>
      <c r="AB352" s="64" t="n"/>
      <c r="AC352" s="64" t="n"/>
      <c r="AD352" s="24" t="n"/>
    </row>
    <row r="353" ht="15" customHeight="1">
      <c r="A353" s="63">
        <f>IF(C353="","",IFERROR(IF(SUMPRODUCT(MAX((tbl_Finance[Job Number]=C353&amp;"")*(tbl_Finance[Xero Invoice No]&lt;&gt;"")*tbl_Finance[Date]))=0,"",SUMPRODUCT(MAX((tbl_Finance[Job Number]=C353&amp;"")*(tbl_Finance[Xero Invoice No]&lt;&gt;"")*tbl_Finance[Date]))),""))</f>
        <v/>
      </c>
      <c r="B353" s="25">
        <f>IF(C353="","",IF(COUNTIFS(tbl_Finance[Job Number],C353&amp;"",tbl_Finance[Xero Invoice No],"&lt;&gt;")=0,"",IFERROR(IF(COUNTIFS(tbl_Finance[Job Number],C353&amp;"",tbl_Finance[Xero Invoice No],LOOKUP(2,1/((tbl_Finance[Job Number]=C353&amp;"")*(tbl_Finance[Xero Invoice No]&lt;&gt;"")),tbl_Finance[Xero Invoice No]))=COUNTIFS(tbl_Finance[Job Number],C353&amp;"",tbl_Finance[Xero Invoice No],"&lt;&gt;"),LOOKUP(2,1/((tbl_Finance[Job Number]=C353&amp;"")*(tbl_Finance[Xero Invoice No]&lt;&gt;"")),tbl_Finance[Xero Invoice No]),LOOKUP(2,1/((tbl_Finance[Job Number]=C353&amp;"")*(tbl_Finance[Xero Invoice No]&lt;&gt;"")),tbl_Finance[Xero Invoice No])&amp;" +more"),"")))</f>
        <v/>
      </c>
      <c r="C353" s="24" t="n"/>
      <c r="D353" s="25">
        <f>IF(C353="","",IF(COUNTIF(lst_Jobs,C353&amp;"")&gt;0,"OK","CHECK"))</f>
        <v/>
      </c>
      <c r="E353" s="25">
        <f>IF(C353="","",IFERROR(INDEX(lst_JobName,MATCH(C353&amp;"",lst_Jobs,0)),""))</f>
        <v/>
      </c>
      <c r="F353" s="25">
        <f>IF(C353="","",IFERROR(INDEX(tbl_Finance[Client],MATCH(C353&amp;"",tbl_Finance[Job Number],0)),""))</f>
        <v/>
      </c>
      <c r="G353" s="28">
        <f>IF(C353="","",COUNTIFS(tbl_Finance[Job Number],C353&amp;"",tbl_Finance[Ex GST],"&lt;&gt;"))</f>
        <v/>
      </c>
      <c r="H353" s="27">
        <f>IF(C353="","",SUMIFS(tbl_Finance[Ex GST],tbl_Finance[Job Number],C353&amp;""))</f>
        <v/>
      </c>
      <c r="I353" s="27">
        <f>IF(C353="","",SUMIFS(tbl_Finance[Ex GST],tbl_Finance[Job Number],C353&amp;"",tbl_Finance[Xero Invoice No],"&lt;&gt;"))</f>
        <v/>
      </c>
      <c r="J353" s="27">
        <f>IF(C353="","",H353-I353)</f>
        <v/>
      </c>
      <c r="K353" s="25">
        <f>IF(C353="","",IF(G353=0,"not invoiced yet",SUBSTITUTE(TRIM(IF(COUNTIFS(tbl_Finance[Job Number],C353&amp;"",tbl_Finance[Cost Centre],"ONSITE")&gt;0,"ONSITE ","")&amp;IF(COUNTIFS(tbl_Finance[Job Number],C353&amp;"",tbl_Finance[Cost Centre],"PRODUCTION")&gt;0,"PRODUCTION ","")&amp;IF(COUNTIFS(tbl_Finance[Job Number],C353&amp;"",tbl_Finance[Cost Centre],"VIDEO")&gt;0,"VIDEO ","")&amp;IF(COUNTIFS(tbl_Finance[Job Number],C353&amp;"",tbl_Finance[Cost Centre],"INTEGRATION")&gt;0,"INTEGRATION ","")&amp;IF(COUNTIFS(tbl_Finance[Job Number],C353&amp;"",tbl_Finance[Cost Centre],"CONSULTING")&gt;0,"CONSULTING ","")&amp;IF(COUNTIFS(tbl_Finance[Job Number],C353&amp;"",tbl_Finance[Cost Centre],"CTS")&gt;0,"CTS ",""))," ",", ")))</f>
        <v/>
      </c>
      <c r="L353" s="22" t="n"/>
      <c r="M353" s="24" t="n"/>
      <c r="N353" s="25">
        <f>IF(M353="","",IF(AND(LEFT(M353,4)&lt;&gt;"http",set_RMSBase=""),"",HYPERLINK(IF(LEFT(M353,4)="http",M353,set_RMSBase&amp;M353),"Open opportunity")))</f>
        <v/>
      </c>
      <c r="O353" s="25">
        <f>IF(C353="","",C353)</f>
        <v/>
      </c>
      <c r="P353" s="24" t="n"/>
      <c r="Q353" s="26" t="n"/>
      <c r="R353" s="27">
        <f>IF(C353="","",H353+N(Q353))</f>
        <v/>
      </c>
      <c r="S353" s="29">
        <f>IFERROR(Q353/R353,"")</f>
        <v/>
      </c>
      <c r="T353" s="26" t="n"/>
      <c r="U353" s="26" t="n"/>
      <c r="V353" s="27">
        <f>IF(C353="","",N(T353)+N(U353))</f>
        <v/>
      </c>
      <c r="W353" s="27">
        <f>IF(C353="","",H353-V353)</f>
        <v/>
      </c>
      <c r="X353" s="29">
        <f>IFERROR(W353/H353,"")</f>
        <v/>
      </c>
      <c r="Y353" s="64" t="n"/>
      <c r="Z353" s="64" t="n"/>
      <c r="AA353" s="64" t="n"/>
      <c r="AB353" s="64" t="n"/>
      <c r="AC353" s="64" t="n"/>
      <c r="AD353" s="24" t="n"/>
    </row>
    <row r="354" ht="15" customHeight="1">
      <c r="A354" s="63">
        <f>IF(C354="","",IFERROR(IF(SUMPRODUCT(MAX((tbl_Finance[Job Number]=C354&amp;"")*(tbl_Finance[Xero Invoice No]&lt;&gt;"")*tbl_Finance[Date]))=0,"",SUMPRODUCT(MAX((tbl_Finance[Job Number]=C354&amp;"")*(tbl_Finance[Xero Invoice No]&lt;&gt;"")*tbl_Finance[Date]))),""))</f>
        <v/>
      </c>
      <c r="B354" s="25">
        <f>IF(C354="","",IF(COUNTIFS(tbl_Finance[Job Number],C354&amp;"",tbl_Finance[Xero Invoice No],"&lt;&gt;")=0,"",IFERROR(IF(COUNTIFS(tbl_Finance[Job Number],C354&amp;"",tbl_Finance[Xero Invoice No],LOOKUP(2,1/((tbl_Finance[Job Number]=C354&amp;"")*(tbl_Finance[Xero Invoice No]&lt;&gt;"")),tbl_Finance[Xero Invoice No]))=COUNTIFS(tbl_Finance[Job Number],C354&amp;"",tbl_Finance[Xero Invoice No],"&lt;&gt;"),LOOKUP(2,1/((tbl_Finance[Job Number]=C354&amp;"")*(tbl_Finance[Xero Invoice No]&lt;&gt;"")),tbl_Finance[Xero Invoice No]),LOOKUP(2,1/((tbl_Finance[Job Number]=C354&amp;"")*(tbl_Finance[Xero Invoice No]&lt;&gt;"")),tbl_Finance[Xero Invoice No])&amp;" +more"),"")))</f>
        <v/>
      </c>
      <c r="C354" s="24" t="n"/>
      <c r="D354" s="25">
        <f>IF(C354="","",IF(COUNTIF(lst_Jobs,C354&amp;"")&gt;0,"OK","CHECK"))</f>
        <v/>
      </c>
      <c r="E354" s="25">
        <f>IF(C354="","",IFERROR(INDEX(lst_JobName,MATCH(C354&amp;"",lst_Jobs,0)),""))</f>
        <v/>
      </c>
      <c r="F354" s="25">
        <f>IF(C354="","",IFERROR(INDEX(tbl_Finance[Client],MATCH(C354&amp;"",tbl_Finance[Job Number],0)),""))</f>
        <v/>
      </c>
      <c r="G354" s="28">
        <f>IF(C354="","",COUNTIFS(tbl_Finance[Job Number],C354&amp;"",tbl_Finance[Ex GST],"&lt;&gt;"))</f>
        <v/>
      </c>
      <c r="H354" s="27">
        <f>IF(C354="","",SUMIFS(tbl_Finance[Ex GST],tbl_Finance[Job Number],C354&amp;""))</f>
        <v/>
      </c>
      <c r="I354" s="27">
        <f>IF(C354="","",SUMIFS(tbl_Finance[Ex GST],tbl_Finance[Job Number],C354&amp;"",tbl_Finance[Xero Invoice No],"&lt;&gt;"))</f>
        <v/>
      </c>
      <c r="J354" s="27">
        <f>IF(C354="","",H354-I354)</f>
        <v/>
      </c>
      <c r="K354" s="25">
        <f>IF(C354="","",IF(G354=0,"not invoiced yet",SUBSTITUTE(TRIM(IF(COUNTIFS(tbl_Finance[Job Number],C354&amp;"",tbl_Finance[Cost Centre],"ONSITE")&gt;0,"ONSITE ","")&amp;IF(COUNTIFS(tbl_Finance[Job Number],C354&amp;"",tbl_Finance[Cost Centre],"PRODUCTION")&gt;0,"PRODUCTION ","")&amp;IF(COUNTIFS(tbl_Finance[Job Number],C354&amp;"",tbl_Finance[Cost Centre],"VIDEO")&gt;0,"VIDEO ","")&amp;IF(COUNTIFS(tbl_Finance[Job Number],C354&amp;"",tbl_Finance[Cost Centre],"INTEGRATION")&gt;0,"INTEGRATION ","")&amp;IF(COUNTIFS(tbl_Finance[Job Number],C354&amp;"",tbl_Finance[Cost Centre],"CONSULTING")&gt;0,"CONSULTING ","")&amp;IF(COUNTIFS(tbl_Finance[Job Number],C354&amp;"",tbl_Finance[Cost Centre],"CTS")&gt;0,"CTS ",""))," ",", ")))</f>
        <v/>
      </c>
      <c r="L354" s="22" t="n"/>
      <c r="M354" s="24" t="n"/>
      <c r="N354" s="25">
        <f>IF(M354="","",IF(AND(LEFT(M354,4)&lt;&gt;"http",set_RMSBase=""),"",HYPERLINK(IF(LEFT(M354,4)="http",M354,set_RMSBase&amp;M354),"Open opportunity")))</f>
        <v/>
      </c>
      <c r="O354" s="25">
        <f>IF(C354="","",C354)</f>
        <v/>
      </c>
      <c r="P354" s="24" t="n"/>
      <c r="Q354" s="26" t="n"/>
      <c r="R354" s="27">
        <f>IF(C354="","",H354+N(Q354))</f>
        <v/>
      </c>
      <c r="S354" s="29">
        <f>IFERROR(Q354/R354,"")</f>
        <v/>
      </c>
      <c r="T354" s="26" t="n"/>
      <c r="U354" s="26" t="n"/>
      <c r="V354" s="27">
        <f>IF(C354="","",N(T354)+N(U354))</f>
        <v/>
      </c>
      <c r="W354" s="27">
        <f>IF(C354="","",H354-V354)</f>
        <v/>
      </c>
      <c r="X354" s="29">
        <f>IFERROR(W354/H354,"")</f>
        <v/>
      </c>
      <c r="Y354" s="64" t="n"/>
      <c r="Z354" s="64" t="n"/>
      <c r="AA354" s="64" t="n"/>
      <c r="AB354" s="64" t="n"/>
      <c r="AC354" s="64" t="n"/>
      <c r="AD354" s="24" t="n"/>
    </row>
    <row r="355" ht="15" customHeight="1">
      <c r="A355" s="63">
        <f>IF(C355="","",IFERROR(IF(SUMPRODUCT(MAX((tbl_Finance[Job Number]=C355&amp;"")*(tbl_Finance[Xero Invoice No]&lt;&gt;"")*tbl_Finance[Date]))=0,"",SUMPRODUCT(MAX((tbl_Finance[Job Number]=C355&amp;"")*(tbl_Finance[Xero Invoice No]&lt;&gt;"")*tbl_Finance[Date]))),""))</f>
        <v/>
      </c>
      <c r="B355" s="25">
        <f>IF(C355="","",IF(COUNTIFS(tbl_Finance[Job Number],C355&amp;"",tbl_Finance[Xero Invoice No],"&lt;&gt;")=0,"",IFERROR(IF(COUNTIFS(tbl_Finance[Job Number],C355&amp;"",tbl_Finance[Xero Invoice No],LOOKUP(2,1/((tbl_Finance[Job Number]=C355&amp;"")*(tbl_Finance[Xero Invoice No]&lt;&gt;"")),tbl_Finance[Xero Invoice No]))=COUNTIFS(tbl_Finance[Job Number],C355&amp;"",tbl_Finance[Xero Invoice No],"&lt;&gt;"),LOOKUP(2,1/((tbl_Finance[Job Number]=C355&amp;"")*(tbl_Finance[Xero Invoice No]&lt;&gt;"")),tbl_Finance[Xero Invoice No]),LOOKUP(2,1/((tbl_Finance[Job Number]=C355&amp;"")*(tbl_Finance[Xero Invoice No]&lt;&gt;"")),tbl_Finance[Xero Invoice No])&amp;" +more"),"")))</f>
        <v/>
      </c>
      <c r="C355" s="24" t="n"/>
      <c r="D355" s="25">
        <f>IF(C355="","",IF(COUNTIF(lst_Jobs,C355&amp;"")&gt;0,"OK","CHECK"))</f>
        <v/>
      </c>
      <c r="E355" s="25">
        <f>IF(C355="","",IFERROR(INDEX(lst_JobName,MATCH(C355&amp;"",lst_Jobs,0)),""))</f>
        <v/>
      </c>
      <c r="F355" s="25">
        <f>IF(C355="","",IFERROR(INDEX(tbl_Finance[Client],MATCH(C355&amp;"",tbl_Finance[Job Number],0)),""))</f>
        <v/>
      </c>
      <c r="G355" s="28">
        <f>IF(C355="","",COUNTIFS(tbl_Finance[Job Number],C355&amp;"",tbl_Finance[Ex GST],"&lt;&gt;"))</f>
        <v/>
      </c>
      <c r="H355" s="27">
        <f>IF(C355="","",SUMIFS(tbl_Finance[Ex GST],tbl_Finance[Job Number],C355&amp;""))</f>
        <v/>
      </c>
      <c r="I355" s="27">
        <f>IF(C355="","",SUMIFS(tbl_Finance[Ex GST],tbl_Finance[Job Number],C355&amp;"",tbl_Finance[Xero Invoice No],"&lt;&gt;"))</f>
        <v/>
      </c>
      <c r="J355" s="27">
        <f>IF(C355="","",H355-I355)</f>
        <v/>
      </c>
      <c r="K355" s="25">
        <f>IF(C355="","",IF(G355=0,"not invoiced yet",SUBSTITUTE(TRIM(IF(COUNTIFS(tbl_Finance[Job Number],C355&amp;"",tbl_Finance[Cost Centre],"ONSITE")&gt;0,"ONSITE ","")&amp;IF(COUNTIFS(tbl_Finance[Job Number],C355&amp;"",tbl_Finance[Cost Centre],"PRODUCTION")&gt;0,"PRODUCTION ","")&amp;IF(COUNTIFS(tbl_Finance[Job Number],C355&amp;"",tbl_Finance[Cost Centre],"VIDEO")&gt;0,"VIDEO ","")&amp;IF(COUNTIFS(tbl_Finance[Job Number],C355&amp;"",tbl_Finance[Cost Centre],"INTEGRATION")&gt;0,"INTEGRATION ","")&amp;IF(COUNTIFS(tbl_Finance[Job Number],C355&amp;"",tbl_Finance[Cost Centre],"CONSULTING")&gt;0,"CONSULTING ","")&amp;IF(COUNTIFS(tbl_Finance[Job Number],C355&amp;"",tbl_Finance[Cost Centre],"CTS")&gt;0,"CTS ",""))," ",", ")))</f>
        <v/>
      </c>
      <c r="L355" s="22" t="n"/>
      <c r="M355" s="24" t="n"/>
      <c r="N355" s="25">
        <f>IF(M355="","",IF(AND(LEFT(M355,4)&lt;&gt;"http",set_RMSBase=""),"",HYPERLINK(IF(LEFT(M355,4)="http",M355,set_RMSBase&amp;M355),"Open opportunity")))</f>
        <v/>
      </c>
      <c r="O355" s="25">
        <f>IF(C355="","",C355)</f>
        <v/>
      </c>
      <c r="P355" s="24" t="n"/>
      <c r="Q355" s="26" t="n"/>
      <c r="R355" s="27">
        <f>IF(C355="","",H355+N(Q355))</f>
        <v/>
      </c>
      <c r="S355" s="29">
        <f>IFERROR(Q355/R355,"")</f>
        <v/>
      </c>
      <c r="T355" s="26" t="n"/>
      <c r="U355" s="26" t="n"/>
      <c r="V355" s="27">
        <f>IF(C355="","",N(T355)+N(U355))</f>
        <v/>
      </c>
      <c r="W355" s="27">
        <f>IF(C355="","",H355-V355)</f>
        <v/>
      </c>
      <c r="X355" s="29">
        <f>IFERROR(W355/H355,"")</f>
        <v/>
      </c>
      <c r="Y355" s="64" t="n"/>
      <c r="Z355" s="64" t="n"/>
      <c r="AA355" s="64" t="n"/>
      <c r="AB355" s="64" t="n"/>
      <c r="AC355" s="64" t="n"/>
      <c r="AD355" s="24" t="n"/>
    </row>
    <row r="356" ht="15" customHeight="1">
      <c r="A356" s="63">
        <f>IF(C356="","",IFERROR(IF(SUMPRODUCT(MAX((tbl_Finance[Job Number]=C356&amp;"")*(tbl_Finance[Xero Invoice No]&lt;&gt;"")*tbl_Finance[Date]))=0,"",SUMPRODUCT(MAX((tbl_Finance[Job Number]=C356&amp;"")*(tbl_Finance[Xero Invoice No]&lt;&gt;"")*tbl_Finance[Date]))),""))</f>
        <v/>
      </c>
      <c r="B356" s="25">
        <f>IF(C356="","",IF(COUNTIFS(tbl_Finance[Job Number],C356&amp;"",tbl_Finance[Xero Invoice No],"&lt;&gt;")=0,"",IFERROR(IF(COUNTIFS(tbl_Finance[Job Number],C356&amp;"",tbl_Finance[Xero Invoice No],LOOKUP(2,1/((tbl_Finance[Job Number]=C356&amp;"")*(tbl_Finance[Xero Invoice No]&lt;&gt;"")),tbl_Finance[Xero Invoice No]))=COUNTIFS(tbl_Finance[Job Number],C356&amp;"",tbl_Finance[Xero Invoice No],"&lt;&gt;"),LOOKUP(2,1/((tbl_Finance[Job Number]=C356&amp;"")*(tbl_Finance[Xero Invoice No]&lt;&gt;"")),tbl_Finance[Xero Invoice No]),LOOKUP(2,1/((tbl_Finance[Job Number]=C356&amp;"")*(tbl_Finance[Xero Invoice No]&lt;&gt;"")),tbl_Finance[Xero Invoice No])&amp;" +more"),"")))</f>
        <v/>
      </c>
      <c r="C356" s="24" t="n"/>
      <c r="D356" s="25">
        <f>IF(C356="","",IF(COUNTIF(lst_Jobs,C356&amp;"")&gt;0,"OK","CHECK"))</f>
        <v/>
      </c>
      <c r="E356" s="25">
        <f>IF(C356="","",IFERROR(INDEX(lst_JobName,MATCH(C356&amp;"",lst_Jobs,0)),""))</f>
        <v/>
      </c>
      <c r="F356" s="25">
        <f>IF(C356="","",IFERROR(INDEX(tbl_Finance[Client],MATCH(C356&amp;"",tbl_Finance[Job Number],0)),""))</f>
        <v/>
      </c>
      <c r="G356" s="28">
        <f>IF(C356="","",COUNTIFS(tbl_Finance[Job Number],C356&amp;"",tbl_Finance[Ex GST],"&lt;&gt;"))</f>
        <v/>
      </c>
      <c r="H356" s="27">
        <f>IF(C356="","",SUMIFS(tbl_Finance[Ex GST],tbl_Finance[Job Number],C356&amp;""))</f>
        <v/>
      </c>
      <c r="I356" s="27">
        <f>IF(C356="","",SUMIFS(tbl_Finance[Ex GST],tbl_Finance[Job Number],C356&amp;"",tbl_Finance[Xero Invoice No],"&lt;&gt;"))</f>
        <v/>
      </c>
      <c r="J356" s="27">
        <f>IF(C356="","",H356-I356)</f>
        <v/>
      </c>
      <c r="K356" s="25">
        <f>IF(C356="","",IF(G356=0,"not invoiced yet",SUBSTITUTE(TRIM(IF(COUNTIFS(tbl_Finance[Job Number],C356&amp;"",tbl_Finance[Cost Centre],"ONSITE")&gt;0,"ONSITE ","")&amp;IF(COUNTIFS(tbl_Finance[Job Number],C356&amp;"",tbl_Finance[Cost Centre],"PRODUCTION")&gt;0,"PRODUCTION ","")&amp;IF(COUNTIFS(tbl_Finance[Job Number],C356&amp;"",tbl_Finance[Cost Centre],"VIDEO")&gt;0,"VIDEO ","")&amp;IF(COUNTIFS(tbl_Finance[Job Number],C356&amp;"",tbl_Finance[Cost Centre],"INTEGRATION")&gt;0,"INTEGRATION ","")&amp;IF(COUNTIFS(tbl_Finance[Job Number],C356&amp;"",tbl_Finance[Cost Centre],"CONSULTING")&gt;0,"CONSULTING ","")&amp;IF(COUNTIFS(tbl_Finance[Job Number],C356&amp;"",tbl_Finance[Cost Centre],"CTS")&gt;0,"CTS ",""))," ",", ")))</f>
        <v/>
      </c>
      <c r="L356" s="22" t="n"/>
      <c r="M356" s="24" t="n"/>
      <c r="N356" s="25">
        <f>IF(M356="","",IF(AND(LEFT(M356,4)&lt;&gt;"http",set_RMSBase=""),"",HYPERLINK(IF(LEFT(M356,4)="http",M356,set_RMSBase&amp;M356),"Open opportunity")))</f>
        <v/>
      </c>
      <c r="O356" s="25">
        <f>IF(C356="","",C356)</f>
        <v/>
      </c>
      <c r="P356" s="24" t="n"/>
      <c r="Q356" s="26" t="n"/>
      <c r="R356" s="27">
        <f>IF(C356="","",H356+N(Q356))</f>
        <v/>
      </c>
      <c r="S356" s="29">
        <f>IFERROR(Q356/R356,"")</f>
        <v/>
      </c>
      <c r="T356" s="26" t="n"/>
      <c r="U356" s="26" t="n"/>
      <c r="V356" s="27">
        <f>IF(C356="","",N(T356)+N(U356))</f>
        <v/>
      </c>
      <c r="W356" s="27">
        <f>IF(C356="","",H356-V356)</f>
        <v/>
      </c>
      <c r="X356" s="29">
        <f>IFERROR(W356/H356,"")</f>
        <v/>
      </c>
      <c r="Y356" s="64" t="n"/>
      <c r="Z356" s="64" t="n"/>
      <c r="AA356" s="64" t="n"/>
      <c r="AB356" s="64" t="n"/>
      <c r="AC356" s="64" t="n"/>
      <c r="AD356" s="24" t="n"/>
    </row>
    <row r="357" ht="15" customHeight="1">
      <c r="A357" s="63">
        <f>IF(C357="","",IFERROR(IF(SUMPRODUCT(MAX((tbl_Finance[Job Number]=C357&amp;"")*(tbl_Finance[Xero Invoice No]&lt;&gt;"")*tbl_Finance[Date]))=0,"",SUMPRODUCT(MAX((tbl_Finance[Job Number]=C357&amp;"")*(tbl_Finance[Xero Invoice No]&lt;&gt;"")*tbl_Finance[Date]))),""))</f>
        <v/>
      </c>
      <c r="B357" s="25">
        <f>IF(C357="","",IF(COUNTIFS(tbl_Finance[Job Number],C357&amp;"",tbl_Finance[Xero Invoice No],"&lt;&gt;")=0,"",IFERROR(IF(COUNTIFS(tbl_Finance[Job Number],C357&amp;"",tbl_Finance[Xero Invoice No],LOOKUP(2,1/((tbl_Finance[Job Number]=C357&amp;"")*(tbl_Finance[Xero Invoice No]&lt;&gt;"")),tbl_Finance[Xero Invoice No]))=COUNTIFS(tbl_Finance[Job Number],C357&amp;"",tbl_Finance[Xero Invoice No],"&lt;&gt;"),LOOKUP(2,1/((tbl_Finance[Job Number]=C357&amp;"")*(tbl_Finance[Xero Invoice No]&lt;&gt;"")),tbl_Finance[Xero Invoice No]),LOOKUP(2,1/((tbl_Finance[Job Number]=C357&amp;"")*(tbl_Finance[Xero Invoice No]&lt;&gt;"")),tbl_Finance[Xero Invoice No])&amp;" +more"),"")))</f>
        <v/>
      </c>
      <c r="C357" s="24" t="n"/>
      <c r="D357" s="25">
        <f>IF(C357="","",IF(COUNTIF(lst_Jobs,C357&amp;"")&gt;0,"OK","CHECK"))</f>
        <v/>
      </c>
      <c r="E357" s="25">
        <f>IF(C357="","",IFERROR(INDEX(lst_JobName,MATCH(C357&amp;"",lst_Jobs,0)),""))</f>
        <v/>
      </c>
      <c r="F357" s="25">
        <f>IF(C357="","",IFERROR(INDEX(tbl_Finance[Client],MATCH(C357&amp;"",tbl_Finance[Job Number],0)),""))</f>
        <v/>
      </c>
      <c r="G357" s="28">
        <f>IF(C357="","",COUNTIFS(tbl_Finance[Job Number],C357&amp;"",tbl_Finance[Ex GST],"&lt;&gt;"))</f>
        <v/>
      </c>
      <c r="H357" s="27">
        <f>IF(C357="","",SUMIFS(tbl_Finance[Ex GST],tbl_Finance[Job Number],C357&amp;""))</f>
        <v/>
      </c>
      <c r="I357" s="27">
        <f>IF(C357="","",SUMIFS(tbl_Finance[Ex GST],tbl_Finance[Job Number],C357&amp;"",tbl_Finance[Xero Invoice No],"&lt;&gt;"))</f>
        <v/>
      </c>
      <c r="J357" s="27">
        <f>IF(C357="","",H357-I357)</f>
        <v/>
      </c>
      <c r="K357" s="25">
        <f>IF(C357="","",IF(G357=0,"not invoiced yet",SUBSTITUTE(TRIM(IF(COUNTIFS(tbl_Finance[Job Number],C357&amp;"",tbl_Finance[Cost Centre],"ONSITE")&gt;0,"ONSITE ","")&amp;IF(COUNTIFS(tbl_Finance[Job Number],C357&amp;"",tbl_Finance[Cost Centre],"PRODUCTION")&gt;0,"PRODUCTION ","")&amp;IF(COUNTIFS(tbl_Finance[Job Number],C357&amp;"",tbl_Finance[Cost Centre],"VIDEO")&gt;0,"VIDEO ","")&amp;IF(COUNTIFS(tbl_Finance[Job Number],C357&amp;"",tbl_Finance[Cost Centre],"INTEGRATION")&gt;0,"INTEGRATION ","")&amp;IF(COUNTIFS(tbl_Finance[Job Number],C357&amp;"",tbl_Finance[Cost Centre],"CONSULTING")&gt;0,"CONSULTING ","")&amp;IF(COUNTIFS(tbl_Finance[Job Number],C357&amp;"",tbl_Finance[Cost Centre],"CTS")&gt;0,"CTS ",""))," ",", ")))</f>
        <v/>
      </c>
      <c r="L357" s="22" t="n"/>
      <c r="M357" s="24" t="n"/>
      <c r="N357" s="25">
        <f>IF(M357="","",IF(AND(LEFT(M357,4)&lt;&gt;"http",set_RMSBase=""),"",HYPERLINK(IF(LEFT(M357,4)="http",M357,set_RMSBase&amp;M357),"Open opportunity")))</f>
        <v/>
      </c>
      <c r="O357" s="25">
        <f>IF(C357="","",C357)</f>
        <v/>
      </c>
      <c r="P357" s="24" t="n"/>
      <c r="Q357" s="26" t="n"/>
      <c r="R357" s="27">
        <f>IF(C357="","",H357+N(Q357))</f>
        <v/>
      </c>
      <c r="S357" s="29">
        <f>IFERROR(Q357/R357,"")</f>
        <v/>
      </c>
      <c r="T357" s="26" t="n"/>
      <c r="U357" s="26" t="n"/>
      <c r="V357" s="27">
        <f>IF(C357="","",N(T357)+N(U357))</f>
        <v/>
      </c>
      <c r="W357" s="27">
        <f>IF(C357="","",H357-V357)</f>
        <v/>
      </c>
      <c r="X357" s="29">
        <f>IFERROR(W357/H357,"")</f>
        <v/>
      </c>
      <c r="Y357" s="64" t="n"/>
      <c r="Z357" s="64" t="n"/>
      <c r="AA357" s="64" t="n"/>
      <c r="AB357" s="64" t="n"/>
      <c r="AC357" s="64" t="n"/>
      <c r="AD357" s="24" t="n"/>
    </row>
    <row r="358" ht="15" customHeight="1">
      <c r="A358" s="63">
        <f>IF(C358="","",IFERROR(IF(SUMPRODUCT(MAX((tbl_Finance[Job Number]=C358&amp;"")*(tbl_Finance[Xero Invoice No]&lt;&gt;"")*tbl_Finance[Date]))=0,"",SUMPRODUCT(MAX((tbl_Finance[Job Number]=C358&amp;"")*(tbl_Finance[Xero Invoice No]&lt;&gt;"")*tbl_Finance[Date]))),""))</f>
        <v/>
      </c>
      <c r="B358" s="25">
        <f>IF(C358="","",IF(COUNTIFS(tbl_Finance[Job Number],C358&amp;"",tbl_Finance[Xero Invoice No],"&lt;&gt;")=0,"",IFERROR(IF(COUNTIFS(tbl_Finance[Job Number],C358&amp;"",tbl_Finance[Xero Invoice No],LOOKUP(2,1/((tbl_Finance[Job Number]=C358&amp;"")*(tbl_Finance[Xero Invoice No]&lt;&gt;"")),tbl_Finance[Xero Invoice No]))=COUNTIFS(tbl_Finance[Job Number],C358&amp;"",tbl_Finance[Xero Invoice No],"&lt;&gt;"),LOOKUP(2,1/((tbl_Finance[Job Number]=C358&amp;"")*(tbl_Finance[Xero Invoice No]&lt;&gt;"")),tbl_Finance[Xero Invoice No]),LOOKUP(2,1/((tbl_Finance[Job Number]=C358&amp;"")*(tbl_Finance[Xero Invoice No]&lt;&gt;"")),tbl_Finance[Xero Invoice No])&amp;" +more"),"")))</f>
        <v/>
      </c>
      <c r="C358" s="24" t="n"/>
      <c r="D358" s="25">
        <f>IF(C358="","",IF(COUNTIF(lst_Jobs,C358&amp;"")&gt;0,"OK","CHECK"))</f>
        <v/>
      </c>
      <c r="E358" s="25">
        <f>IF(C358="","",IFERROR(INDEX(lst_JobName,MATCH(C358&amp;"",lst_Jobs,0)),""))</f>
        <v/>
      </c>
      <c r="F358" s="25">
        <f>IF(C358="","",IFERROR(INDEX(tbl_Finance[Client],MATCH(C358&amp;"",tbl_Finance[Job Number],0)),""))</f>
        <v/>
      </c>
      <c r="G358" s="28">
        <f>IF(C358="","",COUNTIFS(tbl_Finance[Job Number],C358&amp;"",tbl_Finance[Ex GST],"&lt;&gt;"))</f>
        <v/>
      </c>
      <c r="H358" s="27">
        <f>IF(C358="","",SUMIFS(tbl_Finance[Ex GST],tbl_Finance[Job Number],C358&amp;""))</f>
        <v/>
      </c>
      <c r="I358" s="27">
        <f>IF(C358="","",SUMIFS(tbl_Finance[Ex GST],tbl_Finance[Job Number],C358&amp;"",tbl_Finance[Xero Invoice No],"&lt;&gt;"))</f>
        <v/>
      </c>
      <c r="J358" s="27">
        <f>IF(C358="","",H358-I358)</f>
        <v/>
      </c>
      <c r="K358" s="25">
        <f>IF(C358="","",IF(G358=0,"not invoiced yet",SUBSTITUTE(TRIM(IF(COUNTIFS(tbl_Finance[Job Number],C358&amp;"",tbl_Finance[Cost Centre],"ONSITE")&gt;0,"ONSITE ","")&amp;IF(COUNTIFS(tbl_Finance[Job Number],C358&amp;"",tbl_Finance[Cost Centre],"PRODUCTION")&gt;0,"PRODUCTION ","")&amp;IF(COUNTIFS(tbl_Finance[Job Number],C358&amp;"",tbl_Finance[Cost Centre],"VIDEO")&gt;0,"VIDEO ","")&amp;IF(COUNTIFS(tbl_Finance[Job Number],C358&amp;"",tbl_Finance[Cost Centre],"INTEGRATION")&gt;0,"INTEGRATION ","")&amp;IF(COUNTIFS(tbl_Finance[Job Number],C358&amp;"",tbl_Finance[Cost Centre],"CONSULTING")&gt;0,"CONSULTING ","")&amp;IF(COUNTIFS(tbl_Finance[Job Number],C358&amp;"",tbl_Finance[Cost Centre],"CTS")&gt;0,"CTS ",""))," ",", ")))</f>
        <v/>
      </c>
      <c r="L358" s="22" t="n"/>
      <c r="M358" s="24" t="n"/>
      <c r="N358" s="25">
        <f>IF(M358="","",IF(AND(LEFT(M358,4)&lt;&gt;"http",set_RMSBase=""),"",HYPERLINK(IF(LEFT(M358,4)="http",M358,set_RMSBase&amp;M358),"Open opportunity")))</f>
        <v/>
      </c>
      <c r="O358" s="25">
        <f>IF(C358="","",C358)</f>
        <v/>
      </c>
      <c r="P358" s="24" t="n"/>
      <c r="Q358" s="26" t="n"/>
      <c r="R358" s="27">
        <f>IF(C358="","",H358+N(Q358))</f>
        <v/>
      </c>
      <c r="S358" s="29">
        <f>IFERROR(Q358/R358,"")</f>
        <v/>
      </c>
      <c r="T358" s="26" t="n"/>
      <c r="U358" s="26" t="n"/>
      <c r="V358" s="27">
        <f>IF(C358="","",N(T358)+N(U358))</f>
        <v/>
      </c>
      <c r="W358" s="27">
        <f>IF(C358="","",H358-V358)</f>
        <v/>
      </c>
      <c r="X358" s="29">
        <f>IFERROR(W358/H358,"")</f>
        <v/>
      </c>
      <c r="Y358" s="64" t="n"/>
      <c r="Z358" s="64" t="n"/>
      <c r="AA358" s="64" t="n"/>
      <c r="AB358" s="64" t="n"/>
      <c r="AC358" s="64" t="n"/>
      <c r="AD358" s="24" t="n"/>
    </row>
    <row r="359" ht="15" customHeight="1">
      <c r="A359" s="63">
        <f>IF(C359="","",IFERROR(IF(SUMPRODUCT(MAX((tbl_Finance[Job Number]=C359&amp;"")*(tbl_Finance[Xero Invoice No]&lt;&gt;"")*tbl_Finance[Date]))=0,"",SUMPRODUCT(MAX((tbl_Finance[Job Number]=C359&amp;"")*(tbl_Finance[Xero Invoice No]&lt;&gt;"")*tbl_Finance[Date]))),""))</f>
        <v/>
      </c>
      <c r="B359" s="25">
        <f>IF(C359="","",IF(COUNTIFS(tbl_Finance[Job Number],C359&amp;"",tbl_Finance[Xero Invoice No],"&lt;&gt;")=0,"",IFERROR(IF(COUNTIFS(tbl_Finance[Job Number],C359&amp;"",tbl_Finance[Xero Invoice No],LOOKUP(2,1/((tbl_Finance[Job Number]=C359&amp;"")*(tbl_Finance[Xero Invoice No]&lt;&gt;"")),tbl_Finance[Xero Invoice No]))=COUNTIFS(tbl_Finance[Job Number],C359&amp;"",tbl_Finance[Xero Invoice No],"&lt;&gt;"),LOOKUP(2,1/((tbl_Finance[Job Number]=C359&amp;"")*(tbl_Finance[Xero Invoice No]&lt;&gt;"")),tbl_Finance[Xero Invoice No]),LOOKUP(2,1/((tbl_Finance[Job Number]=C359&amp;"")*(tbl_Finance[Xero Invoice No]&lt;&gt;"")),tbl_Finance[Xero Invoice No])&amp;" +more"),"")))</f>
        <v/>
      </c>
      <c r="C359" s="24" t="n"/>
      <c r="D359" s="25">
        <f>IF(C359="","",IF(COUNTIF(lst_Jobs,C359&amp;"")&gt;0,"OK","CHECK"))</f>
        <v/>
      </c>
      <c r="E359" s="25">
        <f>IF(C359="","",IFERROR(INDEX(lst_JobName,MATCH(C359&amp;"",lst_Jobs,0)),""))</f>
        <v/>
      </c>
      <c r="F359" s="25">
        <f>IF(C359="","",IFERROR(INDEX(tbl_Finance[Client],MATCH(C359&amp;"",tbl_Finance[Job Number],0)),""))</f>
        <v/>
      </c>
      <c r="G359" s="28">
        <f>IF(C359="","",COUNTIFS(tbl_Finance[Job Number],C359&amp;"",tbl_Finance[Ex GST],"&lt;&gt;"))</f>
        <v/>
      </c>
      <c r="H359" s="27">
        <f>IF(C359="","",SUMIFS(tbl_Finance[Ex GST],tbl_Finance[Job Number],C359&amp;""))</f>
        <v/>
      </c>
      <c r="I359" s="27">
        <f>IF(C359="","",SUMIFS(tbl_Finance[Ex GST],tbl_Finance[Job Number],C359&amp;"",tbl_Finance[Xero Invoice No],"&lt;&gt;"))</f>
        <v/>
      </c>
      <c r="J359" s="27">
        <f>IF(C359="","",H359-I359)</f>
        <v/>
      </c>
      <c r="K359" s="25">
        <f>IF(C359="","",IF(G359=0,"not invoiced yet",SUBSTITUTE(TRIM(IF(COUNTIFS(tbl_Finance[Job Number],C359&amp;"",tbl_Finance[Cost Centre],"ONSITE")&gt;0,"ONSITE ","")&amp;IF(COUNTIFS(tbl_Finance[Job Number],C359&amp;"",tbl_Finance[Cost Centre],"PRODUCTION")&gt;0,"PRODUCTION ","")&amp;IF(COUNTIFS(tbl_Finance[Job Number],C359&amp;"",tbl_Finance[Cost Centre],"VIDEO")&gt;0,"VIDEO ","")&amp;IF(COUNTIFS(tbl_Finance[Job Number],C359&amp;"",tbl_Finance[Cost Centre],"INTEGRATION")&gt;0,"INTEGRATION ","")&amp;IF(COUNTIFS(tbl_Finance[Job Number],C359&amp;"",tbl_Finance[Cost Centre],"CONSULTING")&gt;0,"CONSULTING ","")&amp;IF(COUNTIFS(tbl_Finance[Job Number],C359&amp;"",tbl_Finance[Cost Centre],"CTS")&gt;0,"CTS ",""))," ",", ")))</f>
        <v/>
      </c>
      <c r="L359" s="22" t="n"/>
      <c r="M359" s="24" t="n"/>
      <c r="N359" s="25">
        <f>IF(M359="","",IF(AND(LEFT(M359,4)&lt;&gt;"http",set_RMSBase=""),"",HYPERLINK(IF(LEFT(M359,4)="http",M359,set_RMSBase&amp;M359),"Open opportunity")))</f>
        <v/>
      </c>
      <c r="O359" s="25">
        <f>IF(C359="","",C359)</f>
        <v/>
      </c>
      <c r="P359" s="24" t="n"/>
      <c r="Q359" s="26" t="n"/>
      <c r="R359" s="27">
        <f>IF(C359="","",H359+N(Q359))</f>
        <v/>
      </c>
      <c r="S359" s="29">
        <f>IFERROR(Q359/R359,"")</f>
        <v/>
      </c>
      <c r="T359" s="26" t="n"/>
      <c r="U359" s="26" t="n"/>
      <c r="V359" s="27">
        <f>IF(C359="","",N(T359)+N(U359))</f>
        <v/>
      </c>
      <c r="W359" s="27">
        <f>IF(C359="","",H359-V359)</f>
        <v/>
      </c>
      <c r="X359" s="29">
        <f>IFERROR(W359/H359,"")</f>
        <v/>
      </c>
      <c r="Y359" s="64" t="n"/>
      <c r="Z359" s="64" t="n"/>
      <c r="AA359" s="64" t="n"/>
      <c r="AB359" s="64" t="n"/>
      <c r="AC359" s="64" t="n"/>
      <c r="AD359" s="24" t="n"/>
    </row>
    <row r="360" ht="15" customHeight="1">
      <c r="A360" s="63">
        <f>IF(C360="","",IFERROR(IF(SUMPRODUCT(MAX((tbl_Finance[Job Number]=C360&amp;"")*(tbl_Finance[Xero Invoice No]&lt;&gt;"")*tbl_Finance[Date]))=0,"",SUMPRODUCT(MAX((tbl_Finance[Job Number]=C360&amp;"")*(tbl_Finance[Xero Invoice No]&lt;&gt;"")*tbl_Finance[Date]))),""))</f>
        <v/>
      </c>
      <c r="B360" s="25">
        <f>IF(C360="","",IF(COUNTIFS(tbl_Finance[Job Number],C360&amp;"",tbl_Finance[Xero Invoice No],"&lt;&gt;")=0,"",IFERROR(IF(COUNTIFS(tbl_Finance[Job Number],C360&amp;"",tbl_Finance[Xero Invoice No],LOOKUP(2,1/((tbl_Finance[Job Number]=C360&amp;"")*(tbl_Finance[Xero Invoice No]&lt;&gt;"")),tbl_Finance[Xero Invoice No]))=COUNTIFS(tbl_Finance[Job Number],C360&amp;"",tbl_Finance[Xero Invoice No],"&lt;&gt;"),LOOKUP(2,1/((tbl_Finance[Job Number]=C360&amp;"")*(tbl_Finance[Xero Invoice No]&lt;&gt;"")),tbl_Finance[Xero Invoice No]),LOOKUP(2,1/((tbl_Finance[Job Number]=C360&amp;"")*(tbl_Finance[Xero Invoice No]&lt;&gt;"")),tbl_Finance[Xero Invoice No])&amp;" +more"),"")))</f>
        <v/>
      </c>
      <c r="C360" s="24" t="n"/>
      <c r="D360" s="25">
        <f>IF(C360="","",IF(COUNTIF(lst_Jobs,C360&amp;"")&gt;0,"OK","CHECK"))</f>
        <v/>
      </c>
      <c r="E360" s="25">
        <f>IF(C360="","",IFERROR(INDEX(lst_JobName,MATCH(C360&amp;"",lst_Jobs,0)),""))</f>
        <v/>
      </c>
      <c r="F360" s="25">
        <f>IF(C360="","",IFERROR(INDEX(tbl_Finance[Client],MATCH(C360&amp;"",tbl_Finance[Job Number],0)),""))</f>
        <v/>
      </c>
      <c r="G360" s="28">
        <f>IF(C360="","",COUNTIFS(tbl_Finance[Job Number],C360&amp;"",tbl_Finance[Ex GST],"&lt;&gt;"))</f>
        <v/>
      </c>
      <c r="H360" s="27">
        <f>IF(C360="","",SUMIFS(tbl_Finance[Ex GST],tbl_Finance[Job Number],C360&amp;""))</f>
        <v/>
      </c>
      <c r="I360" s="27">
        <f>IF(C360="","",SUMIFS(tbl_Finance[Ex GST],tbl_Finance[Job Number],C360&amp;"",tbl_Finance[Xero Invoice No],"&lt;&gt;"))</f>
        <v/>
      </c>
      <c r="J360" s="27">
        <f>IF(C360="","",H360-I360)</f>
        <v/>
      </c>
      <c r="K360" s="25">
        <f>IF(C360="","",IF(G360=0,"not invoiced yet",SUBSTITUTE(TRIM(IF(COUNTIFS(tbl_Finance[Job Number],C360&amp;"",tbl_Finance[Cost Centre],"ONSITE")&gt;0,"ONSITE ","")&amp;IF(COUNTIFS(tbl_Finance[Job Number],C360&amp;"",tbl_Finance[Cost Centre],"PRODUCTION")&gt;0,"PRODUCTION ","")&amp;IF(COUNTIFS(tbl_Finance[Job Number],C360&amp;"",tbl_Finance[Cost Centre],"VIDEO")&gt;0,"VIDEO ","")&amp;IF(COUNTIFS(tbl_Finance[Job Number],C360&amp;"",tbl_Finance[Cost Centre],"INTEGRATION")&gt;0,"INTEGRATION ","")&amp;IF(COUNTIFS(tbl_Finance[Job Number],C360&amp;"",tbl_Finance[Cost Centre],"CONSULTING")&gt;0,"CONSULTING ","")&amp;IF(COUNTIFS(tbl_Finance[Job Number],C360&amp;"",tbl_Finance[Cost Centre],"CTS")&gt;0,"CTS ",""))," ",", ")))</f>
        <v/>
      </c>
      <c r="L360" s="22" t="n"/>
      <c r="M360" s="24" t="n"/>
      <c r="N360" s="25">
        <f>IF(M360="","",IF(AND(LEFT(M360,4)&lt;&gt;"http",set_RMSBase=""),"",HYPERLINK(IF(LEFT(M360,4)="http",M360,set_RMSBase&amp;M360),"Open opportunity")))</f>
        <v/>
      </c>
      <c r="O360" s="25">
        <f>IF(C360="","",C360)</f>
        <v/>
      </c>
      <c r="P360" s="24" t="n"/>
      <c r="Q360" s="26" t="n"/>
      <c r="R360" s="27">
        <f>IF(C360="","",H360+N(Q360))</f>
        <v/>
      </c>
      <c r="S360" s="29">
        <f>IFERROR(Q360/R360,"")</f>
        <v/>
      </c>
      <c r="T360" s="26" t="n"/>
      <c r="U360" s="26" t="n"/>
      <c r="V360" s="27">
        <f>IF(C360="","",N(T360)+N(U360))</f>
        <v/>
      </c>
      <c r="W360" s="27">
        <f>IF(C360="","",H360-V360)</f>
        <v/>
      </c>
      <c r="X360" s="29">
        <f>IFERROR(W360/H360,"")</f>
        <v/>
      </c>
      <c r="Y360" s="64" t="n"/>
      <c r="Z360" s="64" t="n"/>
      <c r="AA360" s="64" t="n"/>
      <c r="AB360" s="64" t="n"/>
      <c r="AC360" s="64" t="n"/>
      <c r="AD360" s="24" t="n"/>
    </row>
    <row r="361" ht="15" customHeight="1">
      <c r="A361" s="63">
        <f>IF(C361="","",IFERROR(IF(SUMPRODUCT(MAX((tbl_Finance[Job Number]=C361&amp;"")*(tbl_Finance[Xero Invoice No]&lt;&gt;"")*tbl_Finance[Date]))=0,"",SUMPRODUCT(MAX((tbl_Finance[Job Number]=C361&amp;"")*(tbl_Finance[Xero Invoice No]&lt;&gt;"")*tbl_Finance[Date]))),""))</f>
        <v/>
      </c>
      <c r="B361" s="25">
        <f>IF(C361="","",IF(COUNTIFS(tbl_Finance[Job Number],C361&amp;"",tbl_Finance[Xero Invoice No],"&lt;&gt;")=0,"",IFERROR(IF(COUNTIFS(tbl_Finance[Job Number],C361&amp;"",tbl_Finance[Xero Invoice No],LOOKUP(2,1/((tbl_Finance[Job Number]=C361&amp;"")*(tbl_Finance[Xero Invoice No]&lt;&gt;"")),tbl_Finance[Xero Invoice No]))=COUNTIFS(tbl_Finance[Job Number],C361&amp;"",tbl_Finance[Xero Invoice No],"&lt;&gt;"),LOOKUP(2,1/((tbl_Finance[Job Number]=C361&amp;"")*(tbl_Finance[Xero Invoice No]&lt;&gt;"")),tbl_Finance[Xero Invoice No]),LOOKUP(2,1/((tbl_Finance[Job Number]=C361&amp;"")*(tbl_Finance[Xero Invoice No]&lt;&gt;"")),tbl_Finance[Xero Invoice No])&amp;" +more"),"")))</f>
        <v/>
      </c>
      <c r="C361" s="24" t="n"/>
      <c r="D361" s="25">
        <f>IF(C361="","",IF(COUNTIF(lst_Jobs,C361&amp;"")&gt;0,"OK","CHECK"))</f>
        <v/>
      </c>
      <c r="E361" s="25">
        <f>IF(C361="","",IFERROR(INDEX(lst_JobName,MATCH(C361&amp;"",lst_Jobs,0)),""))</f>
        <v/>
      </c>
      <c r="F361" s="25">
        <f>IF(C361="","",IFERROR(INDEX(tbl_Finance[Client],MATCH(C361&amp;"",tbl_Finance[Job Number],0)),""))</f>
        <v/>
      </c>
      <c r="G361" s="28">
        <f>IF(C361="","",COUNTIFS(tbl_Finance[Job Number],C361&amp;"",tbl_Finance[Ex GST],"&lt;&gt;"))</f>
        <v/>
      </c>
      <c r="H361" s="27">
        <f>IF(C361="","",SUMIFS(tbl_Finance[Ex GST],tbl_Finance[Job Number],C361&amp;""))</f>
        <v/>
      </c>
      <c r="I361" s="27">
        <f>IF(C361="","",SUMIFS(tbl_Finance[Ex GST],tbl_Finance[Job Number],C361&amp;"",tbl_Finance[Xero Invoice No],"&lt;&gt;"))</f>
        <v/>
      </c>
      <c r="J361" s="27">
        <f>IF(C361="","",H361-I361)</f>
        <v/>
      </c>
      <c r="K361" s="25">
        <f>IF(C361="","",IF(G361=0,"not invoiced yet",SUBSTITUTE(TRIM(IF(COUNTIFS(tbl_Finance[Job Number],C361&amp;"",tbl_Finance[Cost Centre],"ONSITE")&gt;0,"ONSITE ","")&amp;IF(COUNTIFS(tbl_Finance[Job Number],C361&amp;"",tbl_Finance[Cost Centre],"PRODUCTION")&gt;0,"PRODUCTION ","")&amp;IF(COUNTIFS(tbl_Finance[Job Number],C361&amp;"",tbl_Finance[Cost Centre],"VIDEO")&gt;0,"VIDEO ","")&amp;IF(COUNTIFS(tbl_Finance[Job Number],C361&amp;"",tbl_Finance[Cost Centre],"INTEGRATION")&gt;0,"INTEGRATION ","")&amp;IF(COUNTIFS(tbl_Finance[Job Number],C361&amp;"",tbl_Finance[Cost Centre],"CONSULTING")&gt;0,"CONSULTING ","")&amp;IF(COUNTIFS(tbl_Finance[Job Number],C361&amp;"",tbl_Finance[Cost Centre],"CTS")&gt;0,"CTS ",""))," ",", ")))</f>
        <v/>
      </c>
      <c r="L361" s="22" t="n"/>
      <c r="M361" s="24" t="n"/>
      <c r="N361" s="25">
        <f>IF(M361="","",IF(AND(LEFT(M361,4)&lt;&gt;"http",set_RMSBase=""),"",HYPERLINK(IF(LEFT(M361,4)="http",M361,set_RMSBase&amp;M361),"Open opportunity")))</f>
        <v/>
      </c>
      <c r="O361" s="25">
        <f>IF(C361="","",C361)</f>
        <v/>
      </c>
      <c r="P361" s="24" t="n"/>
      <c r="Q361" s="26" t="n"/>
      <c r="R361" s="27">
        <f>IF(C361="","",H361+N(Q361))</f>
        <v/>
      </c>
      <c r="S361" s="29">
        <f>IFERROR(Q361/R361,"")</f>
        <v/>
      </c>
      <c r="T361" s="26" t="n"/>
      <c r="U361" s="26" t="n"/>
      <c r="V361" s="27">
        <f>IF(C361="","",N(T361)+N(U361))</f>
        <v/>
      </c>
      <c r="W361" s="27">
        <f>IF(C361="","",H361-V361)</f>
        <v/>
      </c>
      <c r="X361" s="29">
        <f>IFERROR(W361/H361,"")</f>
        <v/>
      </c>
      <c r="Y361" s="64" t="n"/>
      <c r="Z361" s="64" t="n"/>
      <c r="AA361" s="64" t="n"/>
      <c r="AB361" s="64" t="n"/>
      <c r="AC361" s="64" t="n"/>
      <c r="AD361" s="24" t="n"/>
    </row>
    <row r="362" ht="15" customHeight="1">
      <c r="A362" s="63">
        <f>IF(C362="","",IFERROR(IF(SUMPRODUCT(MAX((tbl_Finance[Job Number]=C362&amp;"")*(tbl_Finance[Xero Invoice No]&lt;&gt;"")*tbl_Finance[Date]))=0,"",SUMPRODUCT(MAX((tbl_Finance[Job Number]=C362&amp;"")*(tbl_Finance[Xero Invoice No]&lt;&gt;"")*tbl_Finance[Date]))),""))</f>
        <v/>
      </c>
      <c r="B362" s="25">
        <f>IF(C362="","",IF(COUNTIFS(tbl_Finance[Job Number],C362&amp;"",tbl_Finance[Xero Invoice No],"&lt;&gt;")=0,"",IFERROR(IF(COUNTIFS(tbl_Finance[Job Number],C362&amp;"",tbl_Finance[Xero Invoice No],LOOKUP(2,1/((tbl_Finance[Job Number]=C362&amp;"")*(tbl_Finance[Xero Invoice No]&lt;&gt;"")),tbl_Finance[Xero Invoice No]))=COUNTIFS(tbl_Finance[Job Number],C362&amp;"",tbl_Finance[Xero Invoice No],"&lt;&gt;"),LOOKUP(2,1/((tbl_Finance[Job Number]=C362&amp;"")*(tbl_Finance[Xero Invoice No]&lt;&gt;"")),tbl_Finance[Xero Invoice No]),LOOKUP(2,1/((tbl_Finance[Job Number]=C362&amp;"")*(tbl_Finance[Xero Invoice No]&lt;&gt;"")),tbl_Finance[Xero Invoice No])&amp;" +more"),"")))</f>
        <v/>
      </c>
      <c r="C362" s="24" t="n"/>
      <c r="D362" s="25">
        <f>IF(C362="","",IF(COUNTIF(lst_Jobs,C362&amp;"")&gt;0,"OK","CHECK"))</f>
        <v/>
      </c>
      <c r="E362" s="25">
        <f>IF(C362="","",IFERROR(INDEX(lst_JobName,MATCH(C362&amp;"",lst_Jobs,0)),""))</f>
        <v/>
      </c>
      <c r="F362" s="25">
        <f>IF(C362="","",IFERROR(INDEX(tbl_Finance[Client],MATCH(C362&amp;"",tbl_Finance[Job Number],0)),""))</f>
        <v/>
      </c>
      <c r="G362" s="28">
        <f>IF(C362="","",COUNTIFS(tbl_Finance[Job Number],C362&amp;"",tbl_Finance[Ex GST],"&lt;&gt;"))</f>
        <v/>
      </c>
      <c r="H362" s="27">
        <f>IF(C362="","",SUMIFS(tbl_Finance[Ex GST],tbl_Finance[Job Number],C362&amp;""))</f>
        <v/>
      </c>
      <c r="I362" s="27">
        <f>IF(C362="","",SUMIFS(tbl_Finance[Ex GST],tbl_Finance[Job Number],C362&amp;"",tbl_Finance[Xero Invoice No],"&lt;&gt;"))</f>
        <v/>
      </c>
      <c r="J362" s="27">
        <f>IF(C362="","",H362-I362)</f>
        <v/>
      </c>
      <c r="K362" s="25">
        <f>IF(C362="","",IF(G362=0,"not invoiced yet",SUBSTITUTE(TRIM(IF(COUNTIFS(tbl_Finance[Job Number],C362&amp;"",tbl_Finance[Cost Centre],"ONSITE")&gt;0,"ONSITE ","")&amp;IF(COUNTIFS(tbl_Finance[Job Number],C362&amp;"",tbl_Finance[Cost Centre],"PRODUCTION")&gt;0,"PRODUCTION ","")&amp;IF(COUNTIFS(tbl_Finance[Job Number],C362&amp;"",tbl_Finance[Cost Centre],"VIDEO")&gt;0,"VIDEO ","")&amp;IF(COUNTIFS(tbl_Finance[Job Number],C362&amp;"",tbl_Finance[Cost Centre],"INTEGRATION")&gt;0,"INTEGRATION ","")&amp;IF(COUNTIFS(tbl_Finance[Job Number],C362&amp;"",tbl_Finance[Cost Centre],"CONSULTING")&gt;0,"CONSULTING ","")&amp;IF(COUNTIFS(tbl_Finance[Job Number],C362&amp;"",tbl_Finance[Cost Centre],"CTS")&gt;0,"CTS ",""))," ",", ")))</f>
        <v/>
      </c>
      <c r="L362" s="22" t="n"/>
      <c r="M362" s="24" t="n"/>
      <c r="N362" s="25">
        <f>IF(M362="","",IF(AND(LEFT(M362,4)&lt;&gt;"http",set_RMSBase=""),"",HYPERLINK(IF(LEFT(M362,4)="http",M362,set_RMSBase&amp;M362),"Open opportunity")))</f>
        <v/>
      </c>
      <c r="O362" s="25">
        <f>IF(C362="","",C362)</f>
        <v/>
      </c>
      <c r="P362" s="24" t="n"/>
      <c r="Q362" s="26" t="n"/>
      <c r="R362" s="27">
        <f>IF(C362="","",H362+N(Q362))</f>
        <v/>
      </c>
      <c r="S362" s="29">
        <f>IFERROR(Q362/R362,"")</f>
        <v/>
      </c>
      <c r="T362" s="26" t="n"/>
      <c r="U362" s="26" t="n"/>
      <c r="V362" s="27">
        <f>IF(C362="","",N(T362)+N(U362))</f>
        <v/>
      </c>
      <c r="W362" s="27">
        <f>IF(C362="","",H362-V362)</f>
        <v/>
      </c>
      <c r="X362" s="29">
        <f>IFERROR(W362/H362,"")</f>
        <v/>
      </c>
      <c r="Y362" s="64" t="n"/>
      <c r="Z362" s="64" t="n"/>
      <c r="AA362" s="64" t="n"/>
      <c r="AB362" s="64" t="n"/>
      <c r="AC362" s="64" t="n"/>
      <c r="AD362" s="24" t="n"/>
    </row>
    <row r="363" ht="15" customHeight="1">
      <c r="A363" s="63">
        <f>IF(C363="","",IFERROR(IF(SUMPRODUCT(MAX((tbl_Finance[Job Number]=C363&amp;"")*(tbl_Finance[Xero Invoice No]&lt;&gt;"")*tbl_Finance[Date]))=0,"",SUMPRODUCT(MAX((tbl_Finance[Job Number]=C363&amp;"")*(tbl_Finance[Xero Invoice No]&lt;&gt;"")*tbl_Finance[Date]))),""))</f>
        <v/>
      </c>
      <c r="B363" s="25">
        <f>IF(C363="","",IF(COUNTIFS(tbl_Finance[Job Number],C363&amp;"",tbl_Finance[Xero Invoice No],"&lt;&gt;")=0,"",IFERROR(IF(COUNTIFS(tbl_Finance[Job Number],C363&amp;"",tbl_Finance[Xero Invoice No],LOOKUP(2,1/((tbl_Finance[Job Number]=C363&amp;"")*(tbl_Finance[Xero Invoice No]&lt;&gt;"")),tbl_Finance[Xero Invoice No]))=COUNTIFS(tbl_Finance[Job Number],C363&amp;"",tbl_Finance[Xero Invoice No],"&lt;&gt;"),LOOKUP(2,1/((tbl_Finance[Job Number]=C363&amp;"")*(tbl_Finance[Xero Invoice No]&lt;&gt;"")),tbl_Finance[Xero Invoice No]),LOOKUP(2,1/((tbl_Finance[Job Number]=C363&amp;"")*(tbl_Finance[Xero Invoice No]&lt;&gt;"")),tbl_Finance[Xero Invoice No])&amp;" +more"),"")))</f>
        <v/>
      </c>
      <c r="C363" s="24" t="n"/>
      <c r="D363" s="25">
        <f>IF(C363="","",IF(COUNTIF(lst_Jobs,C363&amp;"")&gt;0,"OK","CHECK"))</f>
        <v/>
      </c>
      <c r="E363" s="25">
        <f>IF(C363="","",IFERROR(INDEX(lst_JobName,MATCH(C363&amp;"",lst_Jobs,0)),""))</f>
        <v/>
      </c>
      <c r="F363" s="25">
        <f>IF(C363="","",IFERROR(INDEX(tbl_Finance[Client],MATCH(C363&amp;"",tbl_Finance[Job Number],0)),""))</f>
        <v/>
      </c>
      <c r="G363" s="28">
        <f>IF(C363="","",COUNTIFS(tbl_Finance[Job Number],C363&amp;"",tbl_Finance[Ex GST],"&lt;&gt;"))</f>
        <v/>
      </c>
      <c r="H363" s="27">
        <f>IF(C363="","",SUMIFS(tbl_Finance[Ex GST],tbl_Finance[Job Number],C363&amp;""))</f>
        <v/>
      </c>
      <c r="I363" s="27">
        <f>IF(C363="","",SUMIFS(tbl_Finance[Ex GST],tbl_Finance[Job Number],C363&amp;"",tbl_Finance[Xero Invoice No],"&lt;&gt;"))</f>
        <v/>
      </c>
      <c r="J363" s="27">
        <f>IF(C363="","",H363-I363)</f>
        <v/>
      </c>
      <c r="K363" s="25">
        <f>IF(C363="","",IF(G363=0,"not invoiced yet",SUBSTITUTE(TRIM(IF(COUNTIFS(tbl_Finance[Job Number],C363&amp;"",tbl_Finance[Cost Centre],"ONSITE")&gt;0,"ONSITE ","")&amp;IF(COUNTIFS(tbl_Finance[Job Number],C363&amp;"",tbl_Finance[Cost Centre],"PRODUCTION")&gt;0,"PRODUCTION ","")&amp;IF(COUNTIFS(tbl_Finance[Job Number],C363&amp;"",tbl_Finance[Cost Centre],"VIDEO")&gt;0,"VIDEO ","")&amp;IF(COUNTIFS(tbl_Finance[Job Number],C363&amp;"",tbl_Finance[Cost Centre],"INTEGRATION")&gt;0,"INTEGRATION ","")&amp;IF(COUNTIFS(tbl_Finance[Job Number],C363&amp;"",tbl_Finance[Cost Centre],"CONSULTING")&gt;0,"CONSULTING ","")&amp;IF(COUNTIFS(tbl_Finance[Job Number],C363&amp;"",tbl_Finance[Cost Centre],"CTS")&gt;0,"CTS ",""))," ",", ")))</f>
        <v/>
      </c>
      <c r="L363" s="22" t="n"/>
      <c r="M363" s="24" t="n"/>
      <c r="N363" s="25">
        <f>IF(M363="","",IF(AND(LEFT(M363,4)&lt;&gt;"http",set_RMSBase=""),"",HYPERLINK(IF(LEFT(M363,4)="http",M363,set_RMSBase&amp;M363),"Open opportunity")))</f>
        <v/>
      </c>
      <c r="O363" s="25">
        <f>IF(C363="","",C363)</f>
        <v/>
      </c>
      <c r="P363" s="24" t="n"/>
      <c r="Q363" s="26" t="n"/>
      <c r="R363" s="27">
        <f>IF(C363="","",H363+N(Q363))</f>
        <v/>
      </c>
      <c r="S363" s="29">
        <f>IFERROR(Q363/R363,"")</f>
        <v/>
      </c>
      <c r="T363" s="26" t="n"/>
      <c r="U363" s="26" t="n"/>
      <c r="V363" s="27">
        <f>IF(C363="","",N(T363)+N(U363))</f>
        <v/>
      </c>
      <c r="W363" s="27">
        <f>IF(C363="","",H363-V363)</f>
        <v/>
      </c>
      <c r="X363" s="29">
        <f>IFERROR(W363/H363,"")</f>
        <v/>
      </c>
      <c r="Y363" s="64" t="n"/>
      <c r="Z363" s="64" t="n"/>
      <c r="AA363" s="64" t="n"/>
      <c r="AB363" s="64" t="n"/>
      <c r="AC363" s="64" t="n"/>
      <c r="AD363" s="24" t="n"/>
    </row>
    <row r="364" ht="15" customHeight="1">
      <c r="A364" s="63">
        <f>IF(C364="","",IFERROR(IF(SUMPRODUCT(MAX((tbl_Finance[Job Number]=C364&amp;"")*(tbl_Finance[Xero Invoice No]&lt;&gt;"")*tbl_Finance[Date]))=0,"",SUMPRODUCT(MAX((tbl_Finance[Job Number]=C364&amp;"")*(tbl_Finance[Xero Invoice No]&lt;&gt;"")*tbl_Finance[Date]))),""))</f>
        <v/>
      </c>
      <c r="B364" s="25">
        <f>IF(C364="","",IF(COUNTIFS(tbl_Finance[Job Number],C364&amp;"",tbl_Finance[Xero Invoice No],"&lt;&gt;")=0,"",IFERROR(IF(COUNTIFS(tbl_Finance[Job Number],C364&amp;"",tbl_Finance[Xero Invoice No],LOOKUP(2,1/((tbl_Finance[Job Number]=C364&amp;"")*(tbl_Finance[Xero Invoice No]&lt;&gt;"")),tbl_Finance[Xero Invoice No]))=COUNTIFS(tbl_Finance[Job Number],C364&amp;"",tbl_Finance[Xero Invoice No],"&lt;&gt;"),LOOKUP(2,1/((tbl_Finance[Job Number]=C364&amp;"")*(tbl_Finance[Xero Invoice No]&lt;&gt;"")),tbl_Finance[Xero Invoice No]),LOOKUP(2,1/((tbl_Finance[Job Number]=C364&amp;"")*(tbl_Finance[Xero Invoice No]&lt;&gt;"")),tbl_Finance[Xero Invoice No])&amp;" +more"),"")))</f>
        <v/>
      </c>
      <c r="C364" s="24" t="n"/>
      <c r="D364" s="25">
        <f>IF(C364="","",IF(COUNTIF(lst_Jobs,C364&amp;"")&gt;0,"OK","CHECK"))</f>
        <v/>
      </c>
      <c r="E364" s="25">
        <f>IF(C364="","",IFERROR(INDEX(lst_JobName,MATCH(C364&amp;"",lst_Jobs,0)),""))</f>
        <v/>
      </c>
      <c r="F364" s="25">
        <f>IF(C364="","",IFERROR(INDEX(tbl_Finance[Client],MATCH(C364&amp;"",tbl_Finance[Job Number],0)),""))</f>
        <v/>
      </c>
      <c r="G364" s="28">
        <f>IF(C364="","",COUNTIFS(tbl_Finance[Job Number],C364&amp;"",tbl_Finance[Ex GST],"&lt;&gt;"))</f>
        <v/>
      </c>
      <c r="H364" s="27">
        <f>IF(C364="","",SUMIFS(tbl_Finance[Ex GST],tbl_Finance[Job Number],C364&amp;""))</f>
        <v/>
      </c>
      <c r="I364" s="27">
        <f>IF(C364="","",SUMIFS(tbl_Finance[Ex GST],tbl_Finance[Job Number],C364&amp;"",tbl_Finance[Xero Invoice No],"&lt;&gt;"))</f>
        <v/>
      </c>
      <c r="J364" s="27">
        <f>IF(C364="","",H364-I364)</f>
        <v/>
      </c>
      <c r="K364" s="25">
        <f>IF(C364="","",IF(G364=0,"not invoiced yet",SUBSTITUTE(TRIM(IF(COUNTIFS(tbl_Finance[Job Number],C364&amp;"",tbl_Finance[Cost Centre],"ONSITE")&gt;0,"ONSITE ","")&amp;IF(COUNTIFS(tbl_Finance[Job Number],C364&amp;"",tbl_Finance[Cost Centre],"PRODUCTION")&gt;0,"PRODUCTION ","")&amp;IF(COUNTIFS(tbl_Finance[Job Number],C364&amp;"",tbl_Finance[Cost Centre],"VIDEO")&gt;0,"VIDEO ","")&amp;IF(COUNTIFS(tbl_Finance[Job Number],C364&amp;"",tbl_Finance[Cost Centre],"INTEGRATION")&gt;0,"INTEGRATION ","")&amp;IF(COUNTIFS(tbl_Finance[Job Number],C364&amp;"",tbl_Finance[Cost Centre],"CONSULTING")&gt;0,"CONSULTING ","")&amp;IF(COUNTIFS(tbl_Finance[Job Number],C364&amp;"",tbl_Finance[Cost Centre],"CTS")&gt;0,"CTS ",""))," ",", ")))</f>
        <v/>
      </c>
      <c r="L364" s="22" t="n"/>
      <c r="M364" s="24" t="n"/>
      <c r="N364" s="25">
        <f>IF(M364="","",IF(AND(LEFT(M364,4)&lt;&gt;"http",set_RMSBase=""),"",HYPERLINK(IF(LEFT(M364,4)="http",M364,set_RMSBase&amp;M364),"Open opportunity")))</f>
        <v/>
      </c>
      <c r="O364" s="25">
        <f>IF(C364="","",C364)</f>
        <v/>
      </c>
      <c r="P364" s="24" t="n"/>
      <c r="Q364" s="26" t="n"/>
      <c r="R364" s="27">
        <f>IF(C364="","",H364+N(Q364))</f>
        <v/>
      </c>
      <c r="S364" s="29">
        <f>IFERROR(Q364/R364,"")</f>
        <v/>
      </c>
      <c r="T364" s="26" t="n"/>
      <c r="U364" s="26" t="n"/>
      <c r="V364" s="27">
        <f>IF(C364="","",N(T364)+N(U364))</f>
        <v/>
      </c>
      <c r="W364" s="27">
        <f>IF(C364="","",H364-V364)</f>
        <v/>
      </c>
      <c r="X364" s="29">
        <f>IFERROR(W364/H364,"")</f>
        <v/>
      </c>
      <c r="Y364" s="64" t="n"/>
      <c r="Z364" s="64" t="n"/>
      <c r="AA364" s="64" t="n"/>
      <c r="AB364" s="64" t="n"/>
      <c r="AC364" s="64" t="n"/>
      <c r="AD364" s="24" t="n"/>
    </row>
    <row r="365" ht="15" customHeight="1">
      <c r="A365" s="63">
        <f>IF(C365="","",IFERROR(IF(SUMPRODUCT(MAX((tbl_Finance[Job Number]=C365&amp;"")*(tbl_Finance[Xero Invoice No]&lt;&gt;"")*tbl_Finance[Date]))=0,"",SUMPRODUCT(MAX((tbl_Finance[Job Number]=C365&amp;"")*(tbl_Finance[Xero Invoice No]&lt;&gt;"")*tbl_Finance[Date]))),""))</f>
        <v/>
      </c>
      <c r="B365" s="25">
        <f>IF(C365="","",IF(COUNTIFS(tbl_Finance[Job Number],C365&amp;"",tbl_Finance[Xero Invoice No],"&lt;&gt;")=0,"",IFERROR(IF(COUNTIFS(tbl_Finance[Job Number],C365&amp;"",tbl_Finance[Xero Invoice No],LOOKUP(2,1/((tbl_Finance[Job Number]=C365&amp;"")*(tbl_Finance[Xero Invoice No]&lt;&gt;"")),tbl_Finance[Xero Invoice No]))=COUNTIFS(tbl_Finance[Job Number],C365&amp;"",tbl_Finance[Xero Invoice No],"&lt;&gt;"),LOOKUP(2,1/((tbl_Finance[Job Number]=C365&amp;"")*(tbl_Finance[Xero Invoice No]&lt;&gt;"")),tbl_Finance[Xero Invoice No]),LOOKUP(2,1/((tbl_Finance[Job Number]=C365&amp;"")*(tbl_Finance[Xero Invoice No]&lt;&gt;"")),tbl_Finance[Xero Invoice No])&amp;" +more"),"")))</f>
        <v/>
      </c>
      <c r="C365" s="24" t="n"/>
      <c r="D365" s="25">
        <f>IF(C365="","",IF(COUNTIF(lst_Jobs,C365&amp;"")&gt;0,"OK","CHECK"))</f>
        <v/>
      </c>
      <c r="E365" s="25">
        <f>IF(C365="","",IFERROR(INDEX(lst_JobName,MATCH(C365&amp;"",lst_Jobs,0)),""))</f>
        <v/>
      </c>
      <c r="F365" s="25">
        <f>IF(C365="","",IFERROR(INDEX(tbl_Finance[Client],MATCH(C365&amp;"",tbl_Finance[Job Number],0)),""))</f>
        <v/>
      </c>
      <c r="G365" s="28">
        <f>IF(C365="","",COUNTIFS(tbl_Finance[Job Number],C365&amp;"",tbl_Finance[Ex GST],"&lt;&gt;"))</f>
        <v/>
      </c>
      <c r="H365" s="27">
        <f>IF(C365="","",SUMIFS(tbl_Finance[Ex GST],tbl_Finance[Job Number],C365&amp;""))</f>
        <v/>
      </c>
      <c r="I365" s="27">
        <f>IF(C365="","",SUMIFS(tbl_Finance[Ex GST],tbl_Finance[Job Number],C365&amp;"",tbl_Finance[Xero Invoice No],"&lt;&gt;"))</f>
        <v/>
      </c>
      <c r="J365" s="27">
        <f>IF(C365="","",H365-I365)</f>
        <v/>
      </c>
      <c r="K365" s="25">
        <f>IF(C365="","",IF(G365=0,"not invoiced yet",SUBSTITUTE(TRIM(IF(COUNTIFS(tbl_Finance[Job Number],C365&amp;"",tbl_Finance[Cost Centre],"ONSITE")&gt;0,"ONSITE ","")&amp;IF(COUNTIFS(tbl_Finance[Job Number],C365&amp;"",tbl_Finance[Cost Centre],"PRODUCTION")&gt;0,"PRODUCTION ","")&amp;IF(COUNTIFS(tbl_Finance[Job Number],C365&amp;"",tbl_Finance[Cost Centre],"VIDEO")&gt;0,"VIDEO ","")&amp;IF(COUNTIFS(tbl_Finance[Job Number],C365&amp;"",tbl_Finance[Cost Centre],"INTEGRATION")&gt;0,"INTEGRATION ","")&amp;IF(COUNTIFS(tbl_Finance[Job Number],C365&amp;"",tbl_Finance[Cost Centre],"CONSULTING")&gt;0,"CONSULTING ","")&amp;IF(COUNTIFS(tbl_Finance[Job Number],C365&amp;"",tbl_Finance[Cost Centre],"CTS")&gt;0,"CTS ",""))," ",", ")))</f>
        <v/>
      </c>
      <c r="L365" s="22" t="n"/>
      <c r="M365" s="24" t="n"/>
      <c r="N365" s="25">
        <f>IF(M365="","",IF(AND(LEFT(M365,4)&lt;&gt;"http",set_RMSBase=""),"",HYPERLINK(IF(LEFT(M365,4)="http",M365,set_RMSBase&amp;M365),"Open opportunity")))</f>
        <v/>
      </c>
      <c r="O365" s="25">
        <f>IF(C365="","",C365)</f>
        <v/>
      </c>
      <c r="P365" s="24" t="n"/>
      <c r="Q365" s="26" t="n"/>
      <c r="R365" s="27">
        <f>IF(C365="","",H365+N(Q365))</f>
        <v/>
      </c>
      <c r="S365" s="29">
        <f>IFERROR(Q365/R365,"")</f>
        <v/>
      </c>
      <c r="T365" s="26" t="n"/>
      <c r="U365" s="26" t="n"/>
      <c r="V365" s="27">
        <f>IF(C365="","",N(T365)+N(U365))</f>
        <v/>
      </c>
      <c r="W365" s="27">
        <f>IF(C365="","",H365-V365)</f>
        <v/>
      </c>
      <c r="X365" s="29">
        <f>IFERROR(W365/H365,"")</f>
        <v/>
      </c>
      <c r="Y365" s="64" t="n"/>
      <c r="Z365" s="64" t="n"/>
      <c r="AA365" s="64" t="n"/>
      <c r="AB365" s="64" t="n"/>
      <c r="AC365" s="64" t="n"/>
      <c r="AD365" s="24" t="n"/>
    </row>
    <row r="366" ht="15" customHeight="1">
      <c r="A366" s="63">
        <f>IF(C366="","",IFERROR(IF(SUMPRODUCT(MAX((tbl_Finance[Job Number]=C366&amp;"")*(tbl_Finance[Xero Invoice No]&lt;&gt;"")*tbl_Finance[Date]))=0,"",SUMPRODUCT(MAX((tbl_Finance[Job Number]=C366&amp;"")*(tbl_Finance[Xero Invoice No]&lt;&gt;"")*tbl_Finance[Date]))),""))</f>
        <v/>
      </c>
      <c r="B366" s="25">
        <f>IF(C366="","",IF(COUNTIFS(tbl_Finance[Job Number],C366&amp;"",tbl_Finance[Xero Invoice No],"&lt;&gt;")=0,"",IFERROR(IF(COUNTIFS(tbl_Finance[Job Number],C366&amp;"",tbl_Finance[Xero Invoice No],LOOKUP(2,1/((tbl_Finance[Job Number]=C366&amp;"")*(tbl_Finance[Xero Invoice No]&lt;&gt;"")),tbl_Finance[Xero Invoice No]))=COUNTIFS(tbl_Finance[Job Number],C366&amp;"",tbl_Finance[Xero Invoice No],"&lt;&gt;"),LOOKUP(2,1/((tbl_Finance[Job Number]=C366&amp;"")*(tbl_Finance[Xero Invoice No]&lt;&gt;"")),tbl_Finance[Xero Invoice No]),LOOKUP(2,1/((tbl_Finance[Job Number]=C366&amp;"")*(tbl_Finance[Xero Invoice No]&lt;&gt;"")),tbl_Finance[Xero Invoice No])&amp;" +more"),"")))</f>
        <v/>
      </c>
      <c r="C366" s="24" t="n"/>
      <c r="D366" s="25">
        <f>IF(C366="","",IF(COUNTIF(lst_Jobs,C366&amp;"")&gt;0,"OK","CHECK"))</f>
        <v/>
      </c>
      <c r="E366" s="25">
        <f>IF(C366="","",IFERROR(INDEX(lst_JobName,MATCH(C366&amp;"",lst_Jobs,0)),""))</f>
        <v/>
      </c>
      <c r="F366" s="25">
        <f>IF(C366="","",IFERROR(INDEX(tbl_Finance[Client],MATCH(C366&amp;"",tbl_Finance[Job Number],0)),""))</f>
        <v/>
      </c>
      <c r="G366" s="28">
        <f>IF(C366="","",COUNTIFS(tbl_Finance[Job Number],C366&amp;"",tbl_Finance[Ex GST],"&lt;&gt;"))</f>
        <v/>
      </c>
      <c r="H366" s="27">
        <f>IF(C366="","",SUMIFS(tbl_Finance[Ex GST],tbl_Finance[Job Number],C366&amp;""))</f>
        <v/>
      </c>
      <c r="I366" s="27">
        <f>IF(C366="","",SUMIFS(tbl_Finance[Ex GST],tbl_Finance[Job Number],C366&amp;"",tbl_Finance[Xero Invoice No],"&lt;&gt;"))</f>
        <v/>
      </c>
      <c r="J366" s="27">
        <f>IF(C366="","",H366-I366)</f>
        <v/>
      </c>
      <c r="K366" s="25">
        <f>IF(C366="","",IF(G366=0,"not invoiced yet",SUBSTITUTE(TRIM(IF(COUNTIFS(tbl_Finance[Job Number],C366&amp;"",tbl_Finance[Cost Centre],"ONSITE")&gt;0,"ONSITE ","")&amp;IF(COUNTIFS(tbl_Finance[Job Number],C366&amp;"",tbl_Finance[Cost Centre],"PRODUCTION")&gt;0,"PRODUCTION ","")&amp;IF(COUNTIFS(tbl_Finance[Job Number],C366&amp;"",tbl_Finance[Cost Centre],"VIDEO")&gt;0,"VIDEO ","")&amp;IF(COUNTIFS(tbl_Finance[Job Number],C366&amp;"",tbl_Finance[Cost Centre],"INTEGRATION")&gt;0,"INTEGRATION ","")&amp;IF(COUNTIFS(tbl_Finance[Job Number],C366&amp;"",tbl_Finance[Cost Centre],"CONSULTING")&gt;0,"CONSULTING ","")&amp;IF(COUNTIFS(tbl_Finance[Job Number],C366&amp;"",tbl_Finance[Cost Centre],"CTS")&gt;0,"CTS ",""))," ",", ")))</f>
        <v/>
      </c>
      <c r="L366" s="22" t="n"/>
      <c r="M366" s="24" t="n"/>
      <c r="N366" s="25">
        <f>IF(M366="","",IF(AND(LEFT(M366,4)&lt;&gt;"http",set_RMSBase=""),"",HYPERLINK(IF(LEFT(M366,4)="http",M366,set_RMSBase&amp;M366),"Open opportunity")))</f>
        <v/>
      </c>
      <c r="O366" s="25">
        <f>IF(C366="","",C366)</f>
        <v/>
      </c>
      <c r="P366" s="24" t="n"/>
      <c r="Q366" s="26" t="n"/>
      <c r="R366" s="27">
        <f>IF(C366="","",H366+N(Q366))</f>
        <v/>
      </c>
      <c r="S366" s="29">
        <f>IFERROR(Q366/R366,"")</f>
        <v/>
      </c>
      <c r="T366" s="26" t="n"/>
      <c r="U366" s="26" t="n"/>
      <c r="V366" s="27">
        <f>IF(C366="","",N(T366)+N(U366))</f>
        <v/>
      </c>
      <c r="W366" s="27">
        <f>IF(C366="","",H366-V366)</f>
        <v/>
      </c>
      <c r="X366" s="29">
        <f>IFERROR(W366/H366,"")</f>
        <v/>
      </c>
      <c r="Y366" s="64" t="n"/>
      <c r="Z366" s="64" t="n"/>
      <c r="AA366" s="64" t="n"/>
      <c r="AB366" s="64" t="n"/>
      <c r="AC366" s="64" t="n"/>
      <c r="AD366" s="24" t="n"/>
    </row>
    <row r="367" ht="15" customHeight="1">
      <c r="A367" s="63">
        <f>IF(C367="","",IFERROR(IF(SUMPRODUCT(MAX((tbl_Finance[Job Number]=C367&amp;"")*(tbl_Finance[Xero Invoice No]&lt;&gt;"")*tbl_Finance[Date]))=0,"",SUMPRODUCT(MAX((tbl_Finance[Job Number]=C367&amp;"")*(tbl_Finance[Xero Invoice No]&lt;&gt;"")*tbl_Finance[Date]))),""))</f>
        <v/>
      </c>
      <c r="B367" s="25">
        <f>IF(C367="","",IF(COUNTIFS(tbl_Finance[Job Number],C367&amp;"",tbl_Finance[Xero Invoice No],"&lt;&gt;")=0,"",IFERROR(IF(COUNTIFS(tbl_Finance[Job Number],C367&amp;"",tbl_Finance[Xero Invoice No],LOOKUP(2,1/((tbl_Finance[Job Number]=C367&amp;"")*(tbl_Finance[Xero Invoice No]&lt;&gt;"")),tbl_Finance[Xero Invoice No]))=COUNTIFS(tbl_Finance[Job Number],C367&amp;"",tbl_Finance[Xero Invoice No],"&lt;&gt;"),LOOKUP(2,1/((tbl_Finance[Job Number]=C367&amp;"")*(tbl_Finance[Xero Invoice No]&lt;&gt;"")),tbl_Finance[Xero Invoice No]),LOOKUP(2,1/((tbl_Finance[Job Number]=C367&amp;"")*(tbl_Finance[Xero Invoice No]&lt;&gt;"")),tbl_Finance[Xero Invoice No])&amp;" +more"),"")))</f>
        <v/>
      </c>
      <c r="C367" s="24" t="n"/>
      <c r="D367" s="25">
        <f>IF(C367="","",IF(COUNTIF(lst_Jobs,C367&amp;"")&gt;0,"OK","CHECK"))</f>
        <v/>
      </c>
      <c r="E367" s="25">
        <f>IF(C367="","",IFERROR(INDEX(lst_JobName,MATCH(C367&amp;"",lst_Jobs,0)),""))</f>
        <v/>
      </c>
      <c r="F367" s="25">
        <f>IF(C367="","",IFERROR(INDEX(tbl_Finance[Client],MATCH(C367&amp;"",tbl_Finance[Job Number],0)),""))</f>
        <v/>
      </c>
      <c r="G367" s="28">
        <f>IF(C367="","",COUNTIFS(tbl_Finance[Job Number],C367&amp;"",tbl_Finance[Ex GST],"&lt;&gt;"))</f>
        <v/>
      </c>
      <c r="H367" s="27">
        <f>IF(C367="","",SUMIFS(tbl_Finance[Ex GST],tbl_Finance[Job Number],C367&amp;""))</f>
        <v/>
      </c>
      <c r="I367" s="27">
        <f>IF(C367="","",SUMIFS(tbl_Finance[Ex GST],tbl_Finance[Job Number],C367&amp;"",tbl_Finance[Xero Invoice No],"&lt;&gt;"))</f>
        <v/>
      </c>
      <c r="J367" s="27">
        <f>IF(C367="","",H367-I367)</f>
        <v/>
      </c>
      <c r="K367" s="25">
        <f>IF(C367="","",IF(G367=0,"not invoiced yet",SUBSTITUTE(TRIM(IF(COUNTIFS(tbl_Finance[Job Number],C367&amp;"",tbl_Finance[Cost Centre],"ONSITE")&gt;0,"ONSITE ","")&amp;IF(COUNTIFS(tbl_Finance[Job Number],C367&amp;"",tbl_Finance[Cost Centre],"PRODUCTION")&gt;0,"PRODUCTION ","")&amp;IF(COUNTIFS(tbl_Finance[Job Number],C367&amp;"",tbl_Finance[Cost Centre],"VIDEO")&gt;0,"VIDEO ","")&amp;IF(COUNTIFS(tbl_Finance[Job Number],C367&amp;"",tbl_Finance[Cost Centre],"INTEGRATION")&gt;0,"INTEGRATION ","")&amp;IF(COUNTIFS(tbl_Finance[Job Number],C367&amp;"",tbl_Finance[Cost Centre],"CONSULTING")&gt;0,"CONSULTING ","")&amp;IF(COUNTIFS(tbl_Finance[Job Number],C367&amp;"",tbl_Finance[Cost Centre],"CTS")&gt;0,"CTS ",""))," ",", ")))</f>
        <v/>
      </c>
      <c r="L367" s="22" t="n"/>
      <c r="M367" s="24" t="n"/>
      <c r="N367" s="25">
        <f>IF(M367="","",IF(AND(LEFT(M367,4)&lt;&gt;"http",set_RMSBase=""),"",HYPERLINK(IF(LEFT(M367,4)="http",M367,set_RMSBase&amp;M367),"Open opportunity")))</f>
        <v/>
      </c>
      <c r="O367" s="25">
        <f>IF(C367="","",C367)</f>
        <v/>
      </c>
      <c r="P367" s="24" t="n"/>
      <c r="Q367" s="26" t="n"/>
      <c r="R367" s="27">
        <f>IF(C367="","",H367+N(Q367))</f>
        <v/>
      </c>
      <c r="S367" s="29">
        <f>IFERROR(Q367/R367,"")</f>
        <v/>
      </c>
      <c r="T367" s="26" t="n"/>
      <c r="U367" s="26" t="n"/>
      <c r="V367" s="27">
        <f>IF(C367="","",N(T367)+N(U367))</f>
        <v/>
      </c>
      <c r="W367" s="27">
        <f>IF(C367="","",H367-V367)</f>
        <v/>
      </c>
      <c r="X367" s="29">
        <f>IFERROR(W367/H367,"")</f>
        <v/>
      </c>
      <c r="Y367" s="64" t="n"/>
      <c r="Z367" s="64" t="n"/>
      <c r="AA367" s="64" t="n"/>
      <c r="AB367" s="64" t="n"/>
      <c r="AC367" s="64" t="n"/>
      <c r="AD367" s="24" t="n"/>
    </row>
    <row r="368" ht="15" customHeight="1">
      <c r="A368" s="63">
        <f>IF(C368="","",IFERROR(IF(SUMPRODUCT(MAX((tbl_Finance[Job Number]=C368&amp;"")*(tbl_Finance[Xero Invoice No]&lt;&gt;"")*tbl_Finance[Date]))=0,"",SUMPRODUCT(MAX((tbl_Finance[Job Number]=C368&amp;"")*(tbl_Finance[Xero Invoice No]&lt;&gt;"")*tbl_Finance[Date]))),""))</f>
        <v/>
      </c>
      <c r="B368" s="25">
        <f>IF(C368="","",IF(COUNTIFS(tbl_Finance[Job Number],C368&amp;"",tbl_Finance[Xero Invoice No],"&lt;&gt;")=0,"",IFERROR(IF(COUNTIFS(tbl_Finance[Job Number],C368&amp;"",tbl_Finance[Xero Invoice No],LOOKUP(2,1/((tbl_Finance[Job Number]=C368&amp;"")*(tbl_Finance[Xero Invoice No]&lt;&gt;"")),tbl_Finance[Xero Invoice No]))=COUNTIFS(tbl_Finance[Job Number],C368&amp;"",tbl_Finance[Xero Invoice No],"&lt;&gt;"),LOOKUP(2,1/((tbl_Finance[Job Number]=C368&amp;"")*(tbl_Finance[Xero Invoice No]&lt;&gt;"")),tbl_Finance[Xero Invoice No]),LOOKUP(2,1/((tbl_Finance[Job Number]=C368&amp;"")*(tbl_Finance[Xero Invoice No]&lt;&gt;"")),tbl_Finance[Xero Invoice No])&amp;" +more"),"")))</f>
        <v/>
      </c>
      <c r="C368" s="24" t="n"/>
      <c r="D368" s="25">
        <f>IF(C368="","",IF(COUNTIF(lst_Jobs,C368&amp;"")&gt;0,"OK","CHECK"))</f>
        <v/>
      </c>
      <c r="E368" s="25">
        <f>IF(C368="","",IFERROR(INDEX(lst_JobName,MATCH(C368&amp;"",lst_Jobs,0)),""))</f>
        <v/>
      </c>
      <c r="F368" s="25">
        <f>IF(C368="","",IFERROR(INDEX(tbl_Finance[Client],MATCH(C368&amp;"",tbl_Finance[Job Number],0)),""))</f>
        <v/>
      </c>
      <c r="G368" s="28">
        <f>IF(C368="","",COUNTIFS(tbl_Finance[Job Number],C368&amp;"",tbl_Finance[Ex GST],"&lt;&gt;"))</f>
        <v/>
      </c>
      <c r="H368" s="27">
        <f>IF(C368="","",SUMIFS(tbl_Finance[Ex GST],tbl_Finance[Job Number],C368&amp;""))</f>
        <v/>
      </c>
      <c r="I368" s="27">
        <f>IF(C368="","",SUMIFS(tbl_Finance[Ex GST],tbl_Finance[Job Number],C368&amp;"",tbl_Finance[Xero Invoice No],"&lt;&gt;"))</f>
        <v/>
      </c>
      <c r="J368" s="27">
        <f>IF(C368="","",H368-I368)</f>
        <v/>
      </c>
      <c r="K368" s="25">
        <f>IF(C368="","",IF(G368=0,"not invoiced yet",SUBSTITUTE(TRIM(IF(COUNTIFS(tbl_Finance[Job Number],C368&amp;"",tbl_Finance[Cost Centre],"ONSITE")&gt;0,"ONSITE ","")&amp;IF(COUNTIFS(tbl_Finance[Job Number],C368&amp;"",tbl_Finance[Cost Centre],"PRODUCTION")&gt;0,"PRODUCTION ","")&amp;IF(COUNTIFS(tbl_Finance[Job Number],C368&amp;"",tbl_Finance[Cost Centre],"VIDEO")&gt;0,"VIDEO ","")&amp;IF(COUNTIFS(tbl_Finance[Job Number],C368&amp;"",tbl_Finance[Cost Centre],"INTEGRATION")&gt;0,"INTEGRATION ","")&amp;IF(COUNTIFS(tbl_Finance[Job Number],C368&amp;"",tbl_Finance[Cost Centre],"CONSULTING")&gt;0,"CONSULTING ","")&amp;IF(COUNTIFS(tbl_Finance[Job Number],C368&amp;"",tbl_Finance[Cost Centre],"CTS")&gt;0,"CTS ",""))," ",", ")))</f>
        <v/>
      </c>
      <c r="L368" s="22" t="n"/>
      <c r="M368" s="24" t="n"/>
      <c r="N368" s="25">
        <f>IF(M368="","",IF(AND(LEFT(M368,4)&lt;&gt;"http",set_RMSBase=""),"",HYPERLINK(IF(LEFT(M368,4)="http",M368,set_RMSBase&amp;M368),"Open opportunity")))</f>
        <v/>
      </c>
      <c r="O368" s="25">
        <f>IF(C368="","",C368)</f>
        <v/>
      </c>
      <c r="P368" s="24" t="n"/>
      <c r="Q368" s="26" t="n"/>
      <c r="R368" s="27">
        <f>IF(C368="","",H368+N(Q368))</f>
        <v/>
      </c>
      <c r="S368" s="29">
        <f>IFERROR(Q368/R368,"")</f>
        <v/>
      </c>
      <c r="T368" s="26" t="n"/>
      <c r="U368" s="26" t="n"/>
      <c r="V368" s="27">
        <f>IF(C368="","",N(T368)+N(U368))</f>
        <v/>
      </c>
      <c r="W368" s="27">
        <f>IF(C368="","",H368-V368)</f>
        <v/>
      </c>
      <c r="X368" s="29">
        <f>IFERROR(W368/H368,"")</f>
        <v/>
      </c>
      <c r="Y368" s="64" t="n"/>
      <c r="Z368" s="64" t="n"/>
      <c r="AA368" s="64" t="n"/>
      <c r="AB368" s="64" t="n"/>
      <c r="AC368" s="64" t="n"/>
      <c r="AD368" s="24" t="n"/>
    </row>
    <row r="369" ht="15" customHeight="1">
      <c r="A369" s="63">
        <f>IF(C369="","",IFERROR(IF(SUMPRODUCT(MAX((tbl_Finance[Job Number]=C369&amp;"")*(tbl_Finance[Xero Invoice No]&lt;&gt;"")*tbl_Finance[Date]))=0,"",SUMPRODUCT(MAX((tbl_Finance[Job Number]=C369&amp;"")*(tbl_Finance[Xero Invoice No]&lt;&gt;"")*tbl_Finance[Date]))),""))</f>
        <v/>
      </c>
      <c r="B369" s="25">
        <f>IF(C369="","",IF(COUNTIFS(tbl_Finance[Job Number],C369&amp;"",tbl_Finance[Xero Invoice No],"&lt;&gt;")=0,"",IFERROR(IF(COUNTIFS(tbl_Finance[Job Number],C369&amp;"",tbl_Finance[Xero Invoice No],LOOKUP(2,1/((tbl_Finance[Job Number]=C369&amp;"")*(tbl_Finance[Xero Invoice No]&lt;&gt;"")),tbl_Finance[Xero Invoice No]))=COUNTIFS(tbl_Finance[Job Number],C369&amp;"",tbl_Finance[Xero Invoice No],"&lt;&gt;"),LOOKUP(2,1/((tbl_Finance[Job Number]=C369&amp;"")*(tbl_Finance[Xero Invoice No]&lt;&gt;"")),tbl_Finance[Xero Invoice No]),LOOKUP(2,1/((tbl_Finance[Job Number]=C369&amp;"")*(tbl_Finance[Xero Invoice No]&lt;&gt;"")),tbl_Finance[Xero Invoice No])&amp;" +more"),"")))</f>
        <v/>
      </c>
      <c r="C369" s="24" t="n"/>
      <c r="D369" s="25">
        <f>IF(C369="","",IF(COUNTIF(lst_Jobs,C369&amp;"")&gt;0,"OK","CHECK"))</f>
        <v/>
      </c>
      <c r="E369" s="25">
        <f>IF(C369="","",IFERROR(INDEX(lst_JobName,MATCH(C369&amp;"",lst_Jobs,0)),""))</f>
        <v/>
      </c>
      <c r="F369" s="25">
        <f>IF(C369="","",IFERROR(INDEX(tbl_Finance[Client],MATCH(C369&amp;"",tbl_Finance[Job Number],0)),""))</f>
        <v/>
      </c>
      <c r="G369" s="28">
        <f>IF(C369="","",COUNTIFS(tbl_Finance[Job Number],C369&amp;"",tbl_Finance[Ex GST],"&lt;&gt;"))</f>
        <v/>
      </c>
      <c r="H369" s="27">
        <f>IF(C369="","",SUMIFS(tbl_Finance[Ex GST],tbl_Finance[Job Number],C369&amp;""))</f>
        <v/>
      </c>
      <c r="I369" s="27">
        <f>IF(C369="","",SUMIFS(tbl_Finance[Ex GST],tbl_Finance[Job Number],C369&amp;"",tbl_Finance[Xero Invoice No],"&lt;&gt;"))</f>
        <v/>
      </c>
      <c r="J369" s="27">
        <f>IF(C369="","",H369-I369)</f>
        <v/>
      </c>
      <c r="K369" s="25">
        <f>IF(C369="","",IF(G369=0,"not invoiced yet",SUBSTITUTE(TRIM(IF(COUNTIFS(tbl_Finance[Job Number],C369&amp;"",tbl_Finance[Cost Centre],"ONSITE")&gt;0,"ONSITE ","")&amp;IF(COUNTIFS(tbl_Finance[Job Number],C369&amp;"",tbl_Finance[Cost Centre],"PRODUCTION")&gt;0,"PRODUCTION ","")&amp;IF(COUNTIFS(tbl_Finance[Job Number],C369&amp;"",tbl_Finance[Cost Centre],"VIDEO")&gt;0,"VIDEO ","")&amp;IF(COUNTIFS(tbl_Finance[Job Number],C369&amp;"",tbl_Finance[Cost Centre],"INTEGRATION")&gt;0,"INTEGRATION ","")&amp;IF(COUNTIFS(tbl_Finance[Job Number],C369&amp;"",tbl_Finance[Cost Centre],"CONSULTING")&gt;0,"CONSULTING ","")&amp;IF(COUNTIFS(tbl_Finance[Job Number],C369&amp;"",tbl_Finance[Cost Centre],"CTS")&gt;0,"CTS ",""))," ",", ")))</f>
        <v/>
      </c>
      <c r="L369" s="22" t="n"/>
      <c r="M369" s="24" t="n"/>
      <c r="N369" s="25">
        <f>IF(M369="","",IF(AND(LEFT(M369,4)&lt;&gt;"http",set_RMSBase=""),"",HYPERLINK(IF(LEFT(M369,4)="http",M369,set_RMSBase&amp;M369),"Open opportunity")))</f>
        <v/>
      </c>
      <c r="O369" s="25">
        <f>IF(C369="","",C369)</f>
        <v/>
      </c>
      <c r="P369" s="24" t="n"/>
      <c r="Q369" s="26" t="n"/>
      <c r="R369" s="27">
        <f>IF(C369="","",H369+N(Q369))</f>
        <v/>
      </c>
      <c r="S369" s="29">
        <f>IFERROR(Q369/R369,"")</f>
        <v/>
      </c>
      <c r="T369" s="26" t="n"/>
      <c r="U369" s="26" t="n"/>
      <c r="V369" s="27">
        <f>IF(C369="","",N(T369)+N(U369))</f>
        <v/>
      </c>
      <c r="W369" s="27">
        <f>IF(C369="","",H369-V369)</f>
        <v/>
      </c>
      <c r="X369" s="29">
        <f>IFERROR(W369/H369,"")</f>
        <v/>
      </c>
      <c r="Y369" s="64" t="n"/>
      <c r="Z369" s="64" t="n"/>
      <c r="AA369" s="64" t="n"/>
      <c r="AB369" s="64" t="n"/>
      <c r="AC369" s="64" t="n"/>
      <c r="AD369" s="24" t="n"/>
    </row>
    <row r="370" ht="15" customHeight="1">
      <c r="A370" s="63">
        <f>IF(C370="","",IFERROR(IF(SUMPRODUCT(MAX((tbl_Finance[Job Number]=C370&amp;"")*(tbl_Finance[Xero Invoice No]&lt;&gt;"")*tbl_Finance[Date]))=0,"",SUMPRODUCT(MAX((tbl_Finance[Job Number]=C370&amp;"")*(tbl_Finance[Xero Invoice No]&lt;&gt;"")*tbl_Finance[Date]))),""))</f>
        <v/>
      </c>
      <c r="B370" s="25">
        <f>IF(C370="","",IF(COUNTIFS(tbl_Finance[Job Number],C370&amp;"",tbl_Finance[Xero Invoice No],"&lt;&gt;")=0,"",IFERROR(IF(COUNTIFS(tbl_Finance[Job Number],C370&amp;"",tbl_Finance[Xero Invoice No],LOOKUP(2,1/((tbl_Finance[Job Number]=C370&amp;"")*(tbl_Finance[Xero Invoice No]&lt;&gt;"")),tbl_Finance[Xero Invoice No]))=COUNTIFS(tbl_Finance[Job Number],C370&amp;"",tbl_Finance[Xero Invoice No],"&lt;&gt;"),LOOKUP(2,1/((tbl_Finance[Job Number]=C370&amp;"")*(tbl_Finance[Xero Invoice No]&lt;&gt;"")),tbl_Finance[Xero Invoice No]),LOOKUP(2,1/((tbl_Finance[Job Number]=C370&amp;"")*(tbl_Finance[Xero Invoice No]&lt;&gt;"")),tbl_Finance[Xero Invoice No])&amp;" +more"),"")))</f>
        <v/>
      </c>
      <c r="C370" s="24" t="n"/>
      <c r="D370" s="25">
        <f>IF(C370="","",IF(COUNTIF(lst_Jobs,C370&amp;"")&gt;0,"OK","CHECK"))</f>
        <v/>
      </c>
      <c r="E370" s="25">
        <f>IF(C370="","",IFERROR(INDEX(lst_JobName,MATCH(C370&amp;"",lst_Jobs,0)),""))</f>
        <v/>
      </c>
      <c r="F370" s="25">
        <f>IF(C370="","",IFERROR(INDEX(tbl_Finance[Client],MATCH(C370&amp;"",tbl_Finance[Job Number],0)),""))</f>
        <v/>
      </c>
      <c r="G370" s="28">
        <f>IF(C370="","",COUNTIFS(tbl_Finance[Job Number],C370&amp;"",tbl_Finance[Ex GST],"&lt;&gt;"))</f>
        <v/>
      </c>
      <c r="H370" s="27">
        <f>IF(C370="","",SUMIFS(tbl_Finance[Ex GST],tbl_Finance[Job Number],C370&amp;""))</f>
        <v/>
      </c>
      <c r="I370" s="27">
        <f>IF(C370="","",SUMIFS(tbl_Finance[Ex GST],tbl_Finance[Job Number],C370&amp;"",tbl_Finance[Xero Invoice No],"&lt;&gt;"))</f>
        <v/>
      </c>
      <c r="J370" s="27">
        <f>IF(C370="","",H370-I370)</f>
        <v/>
      </c>
      <c r="K370" s="25">
        <f>IF(C370="","",IF(G370=0,"not invoiced yet",SUBSTITUTE(TRIM(IF(COUNTIFS(tbl_Finance[Job Number],C370&amp;"",tbl_Finance[Cost Centre],"ONSITE")&gt;0,"ONSITE ","")&amp;IF(COUNTIFS(tbl_Finance[Job Number],C370&amp;"",tbl_Finance[Cost Centre],"PRODUCTION")&gt;0,"PRODUCTION ","")&amp;IF(COUNTIFS(tbl_Finance[Job Number],C370&amp;"",tbl_Finance[Cost Centre],"VIDEO")&gt;0,"VIDEO ","")&amp;IF(COUNTIFS(tbl_Finance[Job Number],C370&amp;"",tbl_Finance[Cost Centre],"INTEGRATION")&gt;0,"INTEGRATION ","")&amp;IF(COUNTIFS(tbl_Finance[Job Number],C370&amp;"",tbl_Finance[Cost Centre],"CONSULTING")&gt;0,"CONSULTING ","")&amp;IF(COUNTIFS(tbl_Finance[Job Number],C370&amp;"",tbl_Finance[Cost Centre],"CTS")&gt;0,"CTS ",""))," ",", ")))</f>
        <v/>
      </c>
      <c r="L370" s="22" t="n"/>
      <c r="M370" s="24" t="n"/>
      <c r="N370" s="25">
        <f>IF(M370="","",IF(AND(LEFT(M370,4)&lt;&gt;"http",set_RMSBase=""),"",HYPERLINK(IF(LEFT(M370,4)="http",M370,set_RMSBase&amp;M370),"Open opportunity")))</f>
        <v/>
      </c>
      <c r="O370" s="25">
        <f>IF(C370="","",C370)</f>
        <v/>
      </c>
      <c r="P370" s="24" t="n"/>
      <c r="Q370" s="26" t="n"/>
      <c r="R370" s="27">
        <f>IF(C370="","",H370+N(Q370))</f>
        <v/>
      </c>
      <c r="S370" s="29">
        <f>IFERROR(Q370/R370,"")</f>
        <v/>
      </c>
      <c r="T370" s="26" t="n"/>
      <c r="U370" s="26" t="n"/>
      <c r="V370" s="27">
        <f>IF(C370="","",N(T370)+N(U370))</f>
        <v/>
      </c>
      <c r="W370" s="27">
        <f>IF(C370="","",H370-V370)</f>
        <v/>
      </c>
      <c r="X370" s="29">
        <f>IFERROR(W370/H370,"")</f>
        <v/>
      </c>
      <c r="Y370" s="64" t="n"/>
      <c r="Z370" s="64" t="n"/>
      <c r="AA370" s="64" t="n"/>
      <c r="AB370" s="64" t="n"/>
      <c r="AC370" s="64" t="n"/>
      <c r="AD370" s="24" t="n"/>
    </row>
    <row r="371" ht="15" customHeight="1">
      <c r="A371" s="63">
        <f>IF(C371="","",IFERROR(IF(SUMPRODUCT(MAX((tbl_Finance[Job Number]=C371&amp;"")*(tbl_Finance[Xero Invoice No]&lt;&gt;"")*tbl_Finance[Date]))=0,"",SUMPRODUCT(MAX((tbl_Finance[Job Number]=C371&amp;"")*(tbl_Finance[Xero Invoice No]&lt;&gt;"")*tbl_Finance[Date]))),""))</f>
        <v/>
      </c>
      <c r="B371" s="25">
        <f>IF(C371="","",IF(COUNTIFS(tbl_Finance[Job Number],C371&amp;"",tbl_Finance[Xero Invoice No],"&lt;&gt;")=0,"",IFERROR(IF(COUNTIFS(tbl_Finance[Job Number],C371&amp;"",tbl_Finance[Xero Invoice No],LOOKUP(2,1/((tbl_Finance[Job Number]=C371&amp;"")*(tbl_Finance[Xero Invoice No]&lt;&gt;"")),tbl_Finance[Xero Invoice No]))=COUNTIFS(tbl_Finance[Job Number],C371&amp;"",tbl_Finance[Xero Invoice No],"&lt;&gt;"),LOOKUP(2,1/((tbl_Finance[Job Number]=C371&amp;"")*(tbl_Finance[Xero Invoice No]&lt;&gt;"")),tbl_Finance[Xero Invoice No]),LOOKUP(2,1/((tbl_Finance[Job Number]=C371&amp;"")*(tbl_Finance[Xero Invoice No]&lt;&gt;"")),tbl_Finance[Xero Invoice No])&amp;" +more"),"")))</f>
        <v/>
      </c>
      <c r="C371" s="24" t="n"/>
      <c r="D371" s="25">
        <f>IF(C371="","",IF(COUNTIF(lst_Jobs,C371&amp;"")&gt;0,"OK","CHECK"))</f>
        <v/>
      </c>
      <c r="E371" s="25">
        <f>IF(C371="","",IFERROR(INDEX(lst_JobName,MATCH(C371&amp;"",lst_Jobs,0)),""))</f>
        <v/>
      </c>
      <c r="F371" s="25">
        <f>IF(C371="","",IFERROR(INDEX(tbl_Finance[Client],MATCH(C371&amp;"",tbl_Finance[Job Number],0)),""))</f>
        <v/>
      </c>
      <c r="G371" s="28">
        <f>IF(C371="","",COUNTIFS(tbl_Finance[Job Number],C371&amp;"",tbl_Finance[Ex GST],"&lt;&gt;"))</f>
        <v/>
      </c>
      <c r="H371" s="27">
        <f>IF(C371="","",SUMIFS(tbl_Finance[Ex GST],tbl_Finance[Job Number],C371&amp;""))</f>
        <v/>
      </c>
      <c r="I371" s="27">
        <f>IF(C371="","",SUMIFS(tbl_Finance[Ex GST],tbl_Finance[Job Number],C371&amp;"",tbl_Finance[Xero Invoice No],"&lt;&gt;"))</f>
        <v/>
      </c>
      <c r="J371" s="27">
        <f>IF(C371="","",H371-I371)</f>
        <v/>
      </c>
      <c r="K371" s="25">
        <f>IF(C371="","",IF(G371=0,"not invoiced yet",SUBSTITUTE(TRIM(IF(COUNTIFS(tbl_Finance[Job Number],C371&amp;"",tbl_Finance[Cost Centre],"ONSITE")&gt;0,"ONSITE ","")&amp;IF(COUNTIFS(tbl_Finance[Job Number],C371&amp;"",tbl_Finance[Cost Centre],"PRODUCTION")&gt;0,"PRODUCTION ","")&amp;IF(COUNTIFS(tbl_Finance[Job Number],C371&amp;"",tbl_Finance[Cost Centre],"VIDEO")&gt;0,"VIDEO ","")&amp;IF(COUNTIFS(tbl_Finance[Job Number],C371&amp;"",tbl_Finance[Cost Centre],"INTEGRATION")&gt;0,"INTEGRATION ","")&amp;IF(COUNTIFS(tbl_Finance[Job Number],C371&amp;"",tbl_Finance[Cost Centre],"CONSULTING")&gt;0,"CONSULTING ","")&amp;IF(COUNTIFS(tbl_Finance[Job Number],C371&amp;"",tbl_Finance[Cost Centre],"CTS")&gt;0,"CTS ",""))," ",", ")))</f>
        <v/>
      </c>
      <c r="L371" s="22" t="n"/>
      <c r="M371" s="24" t="n"/>
      <c r="N371" s="25">
        <f>IF(M371="","",IF(AND(LEFT(M371,4)&lt;&gt;"http",set_RMSBase=""),"",HYPERLINK(IF(LEFT(M371,4)="http",M371,set_RMSBase&amp;M371),"Open opportunity")))</f>
        <v/>
      </c>
      <c r="O371" s="25">
        <f>IF(C371="","",C371)</f>
        <v/>
      </c>
      <c r="P371" s="24" t="n"/>
      <c r="Q371" s="26" t="n"/>
      <c r="R371" s="27">
        <f>IF(C371="","",H371+N(Q371))</f>
        <v/>
      </c>
      <c r="S371" s="29">
        <f>IFERROR(Q371/R371,"")</f>
        <v/>
      </c>
      <c r="T371" s="26" t="n"/>
      <c r="U371" s="26" t="n"/>
      <c r="V371" s="27">
        <f>IF(C371="","",N(T371)+N(U371))</f>
        <v/>
      </c>
      <c r="W371" s="27">
        <f>IF(C371="","",H371-V371)</f>
        <v/>
      </c>
      <c r="X371" s="29">
        <f>IFERROR(W371/H371,"")</f>
        <v/>
      </c>
      <c r="Y371" s="64" t="n"/>
      <c r="Z371" s="64" t="n"/>
      <c r="AA371" s="64" t="n"/>
      <c r="AB371" s="64" t="n"/>
      <c r="AC371" s="64" t="n"/>
      <c r="AD371" s="24" t="n"/>
    </row>
    <row r="372" ht="15" customHeight="1">
      <c r="A372" s="63">
        <f>IF(C372="","",IFERROR(IF(SUMPRODUCT(MAX((tbl_Finance[Job Number]=C372&amp;"")*(tbl_Finance[Xero Invoice No]&lt;&gt;"")*tbl_Finance[Date]))=0,"",SUMPRODUCT(MAX((tbl_Finance[Job Number]=C372&amp;"")*(tbl_Finance[Xero Invoice No]&lt;&gt;"")*tbl_Finance[Date]))),""))</f>
        <v/>
      </c>
      <c r="B372" s="25">
        <f>IF(C372="","",IF(COUNTIFS(tbl_Finance[Job Number],C372&amp;"",tbl_Finance[Xero Invoice No],"&lt;&gt;")=0,"",IFERROR(IF(COUNTIFS(tbl_Finance[Job Number],C372&amp;"",tbl_Finance[Xero Invoice No],LOOKUP(2,1/((tbl_Finance[Job Number]=C372&amp;"")*(tbl_Finance[Xero Invoice No]&lt;&gt;"")),tbl_Finance[Xero Invoice No]))=COUNTIFS(tbl_Finance[Job Number],C372&amp;"",tbl_Finance[Xero Invoice No],"&lt;&gt;"),LOOKUP(2,1/((tbl_Finance[Job Number]=C372&amp;"")*(tbl_Finance[Xero Invoice No]&lt;&gt;"")),tbl_Finance[Xero Invoice No]),LOOKUP(2,1/((tbl_Finance[Job Number]=C372&amp;"")*(tbl_Finance[Xero Invoice No]&lt;&gt;"")),tbl_Finance[Xero Invoice No])&amp;" +more"),"")))</f>
        <v/>
      </c>
      <c r="C372" s="24" t="n"/>
      <c r="D372" s="25">
        <f>IF(C372="","",IF(COUNTIF(lst_Jobs,C372&amp;"")&gt;0,"OK","CHECK"))</f>
        <v/>
      </c>
      <c r="E372" s="25">
        <f>IF(C372="","",IFERROR(INDEX(lst_JobName,MATCH(C372&amp;"",lst_Jobs,0)),""))</f>
        <v/>
      </c>
      <c r="F372" s="25">
        <f>IF(C372="","",IFERROR(INDEX(tbl_Finance[Client],MATCH(C372&amp;"",tbl_Finance[Job Number],0)),""))</f>
        <v/>
      </c>
      <c r="G372" s="28">
        <f>IF(C372="","",COUNTIFS(tbl_Finance[Job Number],C372&amp;"",tbl_Finance[Ex GST],"&lt;&gt;"))</f>
        <v/>
      </c>
      <c r="H372" s="27">
        <f>IF(C372="","",SUMIFS(tbl_Finance[Ex GST],tbl_Finance[Job Number],C372&amp;""))</f>
        <v/>
      </c>
      <c r="I372" s="27">
        <f>IF(C372="","",SUMIFS(tbl_Finance[Ex GST],tbl_Finance[Job Number],C372&amp;"",tbl_Finance[Xero Invoice No],"&lt;&gt;"))</f>
        <v/>
      </c>
      <c r="J372" s="27">
        <f>IF(C372="","",H372-I372)</f>
        <v/>
      </c>
      <c r="K372" s="25">
        <f>IF(C372="","",IF(G372=0,"not invoiced yet",SUBSTITUTE(TRIM(IF(COUNTIFS(tbl_Finance[Job Number],C372&amp;"",tbl_Finance[Cost Centre],"ONSITE")&gt;0,"ONSITE ","")&amp;IF(COUNTIFS(tbl_Finance[Job Number],C372&amp;"",tbl_Finance[Cost Centre],"PRODUCTION")&gt;0,"PRODUCTION ","")&amp;IF(COUNTIFS(tbl_Finance[Job Number],C372&amp;"",tbl_Finance[Cost Centre],"VIDEO")&gt;0,"VIDEO ","")&amp;IF(COUNTIFS(tbl_Finance[Job Number],C372&amp;"",tbl_Finance[Cost Centre],"INTEGRATION")&gt;0,"INTEGRATION ","")&amp;IF(COUNTIFS(tbl_Finance[Job Number],C372&amp;"",tbl_Finance[Cost Centre],"CONSULTING")&gt;0,"CONSULTING ","")&amp;IF(COUNTIFS(tbl_Finance[Job Number],C372&amp;"",tbl_Finance[Cost Centre],"CTS")&gt;0,"CTS ",""))," ",", ")))</f>
        <v/>
      </c>
      <c r="L372" s="22" t="n"/>
      <c r="M372" s="24" t="n"/>
      <c r="N372" s="25">
        <f>IF(M372="","",IF(AND(LEFT(M372,4)&lt;&gt;"http",set_RMSBase=""),"",HYPERLINK(IF(LEFT(M372,4)="http",M372,set_RMSBase&amp;M372),"Open opportunity")))</f>
        <v/>
      </c>
      <c r="O372" s="25">
        <f>IF(C372="","",C372)</f>
        <v/>
      </c>
      <c r="P372" s="24" t="n"/>
      <c r="Q372" s="26" t="n"/>
      <c r="R372" s="27">
        <f>IF(C372="","",H372+N(Q372))</f>
        <v/>
      </c>
      <c r="S372" s="29">
        <f>IFERROR(Q372/R372,"")</f>
        <v/>
      </c>
      <c r="T372" s="26" t="n"/>
      <c r="U372" s="26" t="n"/>
      <c r="V372" s="27">
        <f>IF(C372="","",N(T372)+N(U372))</f>
        <v/>
      </c>
      <c r="W372" s="27">
        <f>IF(C372="","",H372-V372)</f>
        <v/>
      </c>
      <c r="X372" s="29">
        <f>IFERROR(W372/H372,"")</f>
        <v/>
      </c>
      <c r="Y372" s="64" t="n"/>
      <c r="Z372" s="64" t="n"/>
      <c r="AA372" s="64" t="n"/>
      <c r="AB372" s="64" t="n"/>
      <c r="AC372" s="64" t="n"/>
      <c r="AD372" s="24" t="n"/>
    </row>
    <row r="373" ht="15" customHeight="1">
      <c r="A373" s="63">
        <f>IF(C373="","",IFERROR(IF(SUMPRODUCT(MAX((tbl_Finance[Job Number]=C373&amp;"")*(tbl_Finance[Xero Invoice No]&lt;&gt;"")*tbl_Finance[Date]))=0,"",SUMPRODUCT(MAX((tbl_Finance[Job Number]=C373&amp;"")*(tbl_Finance[Xero Invoice No]&lt;&gt;"")*tbl_Finance[Date]))),""))</f>
        <v/>
      </c>
      <c r="B373" s="25">
        <f>IF(C373="","",IF(COUNTIFS(tbl_Finance[Job Number],C373&amp;"",tbl_Finance[Xero Invoice No],"&lt;&gt;")=0,"",IFERROR(IF(COUNTIFS(tbl_Finance[Job Number],C373&amp;"",tbl_Finance[Xero Invoice No],LOOKUP(2,1/((tbl_Finance[Job Number]=C373&amp;"")*(tbl_Finance[Xero Invoice No]&lt;&gt;"")),tbl_Finance[Xero Invoice No]))=COUNTIFS(tbl_Finance[Job Number],C373&amp;"",tbl_Finance[Xero Invoice No],"&lt;&gt;"),LOOKUP(2,1/((tbl_Finance[Job Number]=C373&amp;"")*(tbl_Finance[Xero Invoice No]&lt;&gt;"")),tbl_Finance[Xero Invoice No]),LOOKUP(2,1/((tbl_Finance[Job Number]=C373&amp;"")*(tbl_Finance[Xero Invoice No]&lt;&gt;"")),tbl_Finance[Xero Invoice No])&amp;" +more"),"")))</f>
        <v/>
      </c>
      <c r="C373" s="24" t="n"/>
      <c r="D373" s="25">
        <f>IF(C373="","",IF(COUNTIF(lst_Jobs,C373&amp;"")&gt;0,"OK","CHECK"))</f>
        <v/>
      </c>
      <c r="E373" s="25">
        <f>IF(C373="","",IFERROR(INDEX(lst_JobName,MATCH(C373&amp;"",lst_Jobs,0)),""))</f>
        <v/>
      </c>
      <c r="F373" s="25">
        <f>IF(C373="","",IFERROR(INDEX(tbl_Finance[Client],MATCH(C373&amp;"",tbl_Finance[Job Number],0)),""))</f>
        <v/>
      </c>
      <c r="G373" s="28">
        <f>IF(C373="","",COUNTIFS(tbl_Finance[Job Number],C373&amp;"",tbl_Finance[Ex GST],"&lt;&gt;"))</f>
        <v/>
      </c>
      <c r="H373" s="27">
        <f>IF(C373="","",SUMIFS(tbl_Finance[Ex GST],tbl_Finance[Job Number],C373&amp;""))</f>
        <v/>
      </c>
      <c r="I373" s="27">
        <f>IF(C373="","",SUMIFS(tbl_Finance[Ex GST],tbl_Finance[Job Number],C373&amp;"",tbl_Finance[Xero Invoice No],"&lt;&gt;"))</f>
        <v/>
      </c>
      <c r="J373" s="27">
        <f>IF(C373="","",H373-I373)</f>
        <v/>
      </c>
      <c r="K373" s="25">
        <f>IF(C373="","",IF(G373=0,"not invoiced yet",SUBSTITUTE(TRIM(IF(COUNTIFS(tbl_Finance[Job Number],C373&amp;"",tbl_Finance[Cost Centre],"ONSITE")&gt;0,"ONSITE ","")&amp;IF(COUNTIFS(tbl_Finance[Job Number],C373&amp;"",tbl_Finance[Cost Centre],"PRODUCTION")&gt;0,"PRODUCTION ","")&amp;IF(COUNTIFS(tbl_Finance[Job Number],C373&amp;"",tbl_Finance[Cost Centre],"VIDEO")&gt;0,"VIDEO ","")&amp;IF(COUNTIFS(tbl_Finance[Job Number],C373&amp;"",tbl_Finance[Cost Centre],"INTEGRATION")&gt;0,"INTEGRATION ","")&amp;IF(COUNTIFS(tbl_Finance[Job Number],C373&amp;"",tbl_Finance[Cost Centre],"CONSULTING")&gt;0,"CONSULTING ","")&amp;IF(COUNTIFS(tbl_Finance[Job Number],C373&amp;"",tbl_Finance[Cost Centre],"CTS")&gt;0,"CTS ",""))," ",", ")))</f>
        <v/>
      </c>
      <c r="L373" s="22" t="n"/>
      <c r="M373" s="24" t="n"/>
      <c r="N373" s="25">
        <f>IF(M373="","",IF(AND(LEFT(M373,4)&lt;&gt;"http",set_RMSBase=""),"",HYPERLINK(IF(LEFT(M373,4)="http",M373,set_RMSBase&amp;M373),"Open opportunity")))</f>
        <v/>
      </c>
      <c r="O373" s="25">
        <f>IF(C373="","",C373)</f>
        <v/>
      </c>
      <c r="P373" s="24" t="n"/>
      <c r="Q373" s="26" t="n"/>
      <c r="R373" s="27">
        <f>IF(C373="","",H373+N(Q373))</f>
        <v/>
      </c>
      <c r="S373" s="29">
        <f>IFERROR(Q373/R373,"")</f>
        <v/>
      </c>
      <c r="T373" s="26" t="n"/>
      <c r="U373" s="26" t="n"/>
      <c r="V373" s="27">
        <f>IF(C373="","",N(T373)+N(U373))</f>
        <v/>
      </c>
      <c r="W373" s="27">
        <f>IF(C373="","",H373-V373)</f>
        <v/>
      </c>
      <c r="X373" s="29">
        <f>IFERROR(W373/H373,"")</f>
        <v/>
      </c>
      <c r="Y373" s="64" t="n"/>
      <c r="Z373" s="64" t="n"/>
      <c r="AA373" s="64" t="n"/>
      <c r="AB373" s="64" t="n"/>
      <c r="AC373" s="64" t="n"/>
      <c r="AD373" s="24" t="n"/>
    </row>
    <row r="374" ht="15" customHeight="1">
      <c r="A374" s="63">
        <f>IF(C374="","",IFERROR(IF(SUMPRODUCT(MAX((tbl_Finance[Job Number]=C374&amp;"")*(tbl_Finance[Xero Invoice No]&lt;&gt;"")*tbl_Finance[Date]))=0,"",SUMPRODUCT(MAX((tbl_Finance[Job Number]=C374&amp;"")*(tbl_Finance[Xero Invoice No]&lt;&gt;"")*tbl_Finance[Date]))),""))</f>
        <v/>
      </c>
      <c r="B374" s="25">
        <f>IF(C374="","",IF(COUNTIFS(tbl_Finance[Job Number],C374&amp;"",tbl_Finance[Xero Invoice No],"&lt;&gt;")=0,"",IFERROR(IF(COUNTIFS(tbl_Finance[Job Number],C374&amp;"",tbl_Finance[Xero Invoice No],LOOKUP(2,1/((tbl_Finance[Job Number]=C374&amp;"")*(tbl_Finance[Xero Invoice No]&lt;&gt;"")),tbl_Finance[Xero Invoice No]))=COUNTIFS(tbl_Finance[Job Number],C374&amp;"",tbl_Finance[Xero Invoice No],"&lt;&gt;"),LOOKUP(2,1/((tbl_Finance[Job Number]=C374&amp;"")*(tbl_Finance[Xero Invoice No]&lt;&gt;"")),tbl_Finance[Xero Invoice No]),LOOKUP(2,1/((tbl_Finance[Job Number]=C374&amp;"")*(tbl_Finance[Xero Invoice No]&lt;&gt;"")),tbl_Finance[Xero Invoice No])&amp;" +more"),"")))</f>
        <v/>
      </c>
      <c r="C374" s="24" t="n"/>
      <c r="D374" s="25">
        <f>IF(C374="","",IF(COUNTIF(lst_Jobs,C374&amp;"")&gt;0,"OK","CHECK"))</f>
        <v/>
      </c>
      <c r="E374" s="25">
        <f>IF(C374="","",IFERROR(INDEX(lst_JobName,MATCH(C374&amp;"",lst_Jobs,0)),""))</f>
        <v/>
      </c>
      <c r="F374" s="25">
        <f>IF(C374="","",IFERROR(INDEX(tbl_Finance[Client],MATCH(C374&amp;"",tbl_Finance[Job Number],0)),""))</f>
        <v/>
      </c>
      <c r="G374" s="28">
        <f>IF(C374="","",COUNTIFS(tbl_Finance[Job Number],C374&amp;"",tbl_Finance[Ex GST],"&lt;&gt;"))</f>
        <v/>
      </c>
      <c r="H374" s="27">
        <f>IF(C374="","",SUMIFS(tbl_Finance[Ex GST],tbl_Finance[Job Number],C374&amp;""))</f>
        <v/>
      </c>
      <c r="I374" s="27">
        <f>IF(C374="","",SUMIFS(tbl_Finance[Ex GST],tbl_Finance[Job Number],C374&amp;"",tbl_Finance[Xero Invoice No],"&lt;&gt;"))</f>
        <v/>
      </c>
      <c r="J374" s="27">
        <f>IF(C374="","",H374-I374)</f>
        <v/>
      </c>
      <c r="K374" s="25">
        <f>IF(C374="","",IF(G374=0,"not invoiced yet",SUBSTITUTE(TRIM(IF(COUNTIFS(tbl_Finance[Job Number],C374&amp;"",tbl_Finance[Cost Centre],"ONSITE")&gt;0,"ONSITE ","")&amp;IF(COUNTIFS(tbl_Finance[Job Number],C374&amp;"",tbl_Finance[Cost Centre],"PRODUCTION")&gt;0,"PRODUCTION ","")&amp;IF(COUNTIFS(tbl_Finance[Job Number],C374&amp;"",tbl_Finance[Cost Centre],"VIDEO")&gt;0,"VIDEO ","")&amp;IF(COUNTIFS(tbl_Finance[Job Number],C374&amp;"",tbl_Finance[Cost Centre],"INTEGRATION")&gt;0,"INTEGRATION ","")&amp;IF(COUNTIFS(tbl_Finance[Job Number],C374&amp;"",tbl_Finance[Cost Centre],"CONSULTING")&gt;0,"CONSULTING ","")&amp;IF(COUNTIFS(tbl_Finance[Job Number],C374&amp;"",tbl_Finance[Cost Centre],"CTS")&gt;0,"CTS ",""))," ",", ")))</f>
        <v/>
      </c>
      <c r="L374" s="22" t="n"/>
      <c r="M374" s="24" t="n"/>
      <c r="N374" s="25">
        <f>IF(M374="","",IF(AND(LEFT(M374,4)&lt;&gt;"http",set_RMSBase=""),"",HYPERLINK(IF(LEFT(M374,4)="http",M374,set_RMSBase&amp;M374),"Open opportunity")))</f>
        <v/>
      </c>
      <c r="O374" s="25">
        <f>IF(C374="","",C374)</f>
        <v/>
      </c>
      <c r="P374" s="24" t="n"/>
      <c r="Q374" s="26" t="n"/>
      <c r="R374" s="27">
        <f>IF(C374="","",H374+N(Q374))</f>
        <v/>
      </c>
      <c r="S374" s="29">
        <f>IFERROR(Q374/R374,"")</f>
        <v/>
      </c>
      <c r="T374" s="26" t="n"/>
      <c r="U374" s="26" t="n"/>
      <c r="V374" s="27">
        <f>IF(C374="","",N(T374)+N(U374))</f>
        <v/>
      </c>
      <c r="W374" s="27">
        <f>IF(C374="","",H374-V374)</f>
        <v/>
      </c>
      <c r="X374" s="29">
        <f>IFERROR(W374/H374,"")</f>
        <v/>
      </c>
      <c r="Y374" s="64" t="n"/>
      <c r="Z374" s="64" t="n"/>
      <c r="AA374" s="64" t="n"/>
      <c r="AB374" s="64" t="n"/>
      <c r="AC374" s="64" t="n"/>
      <c r="AD374" s="24" t="n"/>
    </row>
    <row r="375" ht="15" customHeight="1">
      <c r="A375" s="63">
        <f>IF(C375="","",IFERROR(IF(SUMPRODUCT(MAX((tbl_Finance[Job Number]=C375&amp;"")*(tbl_Finance[Xero Invoice No]&lt;&gt;"")*tbl_Finance[Date]))=0,"",SUMPRODUCT(MAX((tbl_Finance[Job Number]=C375&amp;"")*(tbl_Finance[Xero Invoice No]&lt;&gt;"")*tbl_Finance[Date]))),""))</f>
        <v/>
      </c>
      <c r="B375" s="25">
        <f>IF(C375="","",IF(COUNTIFS(tbl_Finance[Job Number],C375&amp;"",tbl_Finance[Xero Invoice No],"&lt;&gt;")=0,"",IFERROR(IF(COUNTIFS(tbl_Finance[Job Number],C375&amp;"",tbl_Finance[Xero Invoice No],LOOKUP(2,1/((tbl_Finance[Job Number]=C375&amp;"")*(tbl_Finance[Xero Invoice No]&lt;&gt;"")),tbl_Finance[Xero Invoice No]))=COUNTIFS(tbl_Finance[Job Number],C375&amp;"",tbl_Finance[Xero Invoice No],"&lt;&gt;"),LOOKUP(2,1/((tbl_Finance[Job Number]=C375&amp;"")*(tbl_Finance[Xero Invoice No]&lt;&gt;"")),tbl_Finance[Xero Invoice No]),LOOKUP(2,1/((tbl_Finance[Job Number]=C375&amp;"")*(tbl_Finance[Xero Invoice No]&lt;&gt;"")),tbl_Finance[Xero Invoice No])&amp;" +more"),"")))</f>
        <v/>
      </c>
      <c r="C375" s="24" t="n"/>
      <c r="D375" s="25">
        <f>IF(C375="","",IF(COUNTIF(lst_Jobs,C375&amp;"")&gt;0,"OK","CHECK"))</f>
        <v/>
      </c>
      <c r="E375" s="25">
        <f>IF(C375="","",IFERROR(INDEX(lst_JobName,MATCH(C375&amp;"",lst_Jobs,0)),""))</f>
        <v/>
      </c>
      <c r="F375" s="25">
        <f>IF(C375="","",IFERROR(INDEX(tbl_Finance[Client],MATCH(C375&amp;"",tbl_Finance[Job Number],0)),""))</f>
        <v/>
      </c>
      <c r="G375" s="28">
        <f>IF(C375="","",COUNTIFS(tbl_Finance[Job Number],C375&amp;"",tbl_Finance[Ex GST],"&lt;&gt;"))</f>
        <v/>
      </c>
      <c r="H375" s="27">
        <f>IF(C375="","",SUMIFS(tbl_Finance[Ex GST],tbl_Finance[Job Number],C375&amp;""))</f>
        <v/>
      </c>
      <c r="I375" s="27">
        <f>IF(C375="","",SUMIFS(tbl_Finance[Ex GST],tbl_Finance[Job Number],C375&amp;"",tbl_Finance[Xero Invoice No],"&lt;&gt;"))</f>
        <v/>
      </c>
      <c r="J375" s="27">
        <f>IF(C375="","",H375-I375)</f>
        <v/>
      </c>
      <c r="K375" s="25">
        <f>IF(C375="","",IF(G375=0,"not invoiced yet",SUBSTITUTE(TRIM(IF(COUNTIFS(tbl_Finance[Job Number],C375&amp;"",tbl_Finance[Cost Centre],"ONSITE")&gt;0,"ONSITE ","")&amp;IF(COUNTIFS(tbl_Finance[Job Number],C375&amp;"",tbl_Finance[Cost Centre],"PRODUCTION")&gt;0,"PRODUCTION ","")&amp;IF(COUNTIFS(tbl_Finance[Job Number],C375&amp;"",tbl_Finance[Cost Centre],"VIDEO")&gt;0,"VIDEO ","")&amp;IF(COUNTIFS(tbl_Finance[Job Number],C375&amp;"",tbl_Finance[Cost Centre],"INTEGRATION")&gt;0,"INTEGRATION ","")&amp;IF(COUNTIFS(tbl_Finance[Job Number],C375&amp;"",tbl_Finance[Cost Centre],"CONSULTING")&gt;0,"CONSULTING ","")&amp;IF(COUNTIFS(tbl_Finance[Job Number],C375&amp;"",tbl_Finance[Cost Centre],"CTS")&gt;0,"CTS ",""))," ",", ")))</f>
        <v/>
      </c>
      <c r="L375" s="22" t="n"/>
      <c r="M375" s="24" t="n"/>
      <c r="N375" s="25">
        <f>IF(M375="","",IF(AND(LEFT(M375,4)&lt;&gt;"http",set_RMSBase=""),"",HYPERLINK(IF(LEFT(M375,4)="http",M375,set_RMSBase&amp;M375),"Open opportunity")))</f>
        <v/>
      </c>
      <c r="O375" s="25">
        <f>IF(C375="","",C375)</f>
        <v/>
      </c>
      <c r="P375" s="24" t="n"/>
      <c r="Q375" s="26" t="n"/>
      <c r="R375" s="27">
        <f>IF(C375="","",H375+N(Q375))</f>
        <v/>
      </c>
      <c r="S375" s="29">
        <f>IFERROR(Q375/R375,"")</f>
        <v/>
      </c>
      <c r="T375" s="26" t="n"/>
      <c r="U375" s="26" t="n"/>
      <c r="V375" s="27">
        <f>IF(C375="","",N(T375)+N(U375))</f>
        <v/>
      </c>
      <c r="W375" s="27">
        <f>IF(C375="","",H375-V375)</f>
        <v/>
      </c>
      <c r="X375" s="29">
        <f>IFERROR(W375/H375,"")</f>
        <v/>
      </c>
      <c r="Y375" s="64" t="n"/>
      <c r="Z375" s="64" t="n"/>
      <c r="AA375" s="64" t="n"/>
      <c r="AB375" s="64" t="n"/>
      <c r="AC375" s="64" t="n"/>
      <c r="AD375" s="24" t="n"/>
    </row>
    <row r="376" ht="15" customHeight="1">
      <c r="A376" s="63">
        <f>IF(C376="","",IFERROR(IF(SUMPRODUCT(MAX((tbl_Finance[Job Number]=C376&amp;"")*(tbl_Finance[Xero Invoice No]&lt;&gt;"")*tbl_Finance[Date]))=0,"",SUMPRODUCT(MAX((tbl_Finance[Job Number]=C376&amp;"")*(tbl_Finance[Xero Invoice No]&lt;&gt;"")*tbl_Finance[Date]))),""))</f>
        <v/>
      </c>
      <c r="B376" s="25">
        <f>IF(C376="","",IF(COUNTIFS(tbl_Finance[Job Number],C376&amp;"",tbl_Finance[Xero Invoice No],"&lt;&gt;")=0,"",IFERROR(IF(COUNTIFS(tbl_Finance[Job Number],C376&amp;"",tbl_Finance[Xero Invoice No],LOOKUP(2,1/((tbl_Finance[Job Number]=C376&amp;"")*(tbl_Finance[Xero Invoice No]&lt;&gt;"")),tbl_Finance[Xero Invoice No]))=COUNTIFS(tbl_Finance[Job Number],C376&amp;"",tbl_Finance[Xero Invoice No],"&lt;&gt;"),LOOKUP(2,1/((tbl_Finance[Job Number]=C376&amp;"")*(tbl_Finance[Xero Invoice No]&lt;&gt;"")),tbl_Finance[Xero Invoice No]),LOOKUP(2,1/((tbl_Finance[Job Number]=C376&amp;"")*(tbl_Finance[Xero Invoice No]&lt;&gt;"")),tbl_Finance[Xero Invoice No])&amp;" +more"),"")))</f>
        <v/>
      </c>
      <c r="C376" s="24" t="n"/>
      <c r="D376" s="25">
        <f>IF(C376="","",IF(COUNTIF(lst_Jobs,C376&amp;"")&gt;0,"OK","CHECK"))</f>
        <v/>
      </c>
      <c r="E376" s="25">
        <f>IF(C376="","",IFERROR(INDEX(lst_JobName,MATCH(C376&amp;"",lst_Jobs,0)),""))</f>
        <v/>
      </c>
      <c r="F376" s="25">
        <f>IF(C376="","",IFERROR(INDEX(tbl_Finance[Client],MATCH(C376&amp;"",tbl_Finance[Job Number],0)),""))</f>
        <v/>
      </c>
      <c r="G376" s="28">
        <f>IF(C376="","",COUNTIFS(tbl_Finance[Job Number],C376&amp;"",tbl_Finance[Ex GST],"&lt;&gt;"))</f>
        <v/>
      </c>
      <c r="H376" s="27">
        <f>IF(C376="","",SUMIFS(tbl_Finance[Ex GST],tbl_Finance[Job Number],C376&amp;""))</f>
        <v/>
      </c>
      <c r="I376" s="27">
        <f>IF(C376="","",SUMIFS(tbl_Finance[Ex GST],tbl_Finance[Job Number],C376&amp;"",tbl_Finance[Xero Invoice No],"&lt;&gt;"))</f>
        <v/>
      </c>
      <c r="J376" s="27">
        <f>IF(C376="","",H376-I376)</f>
        <v/>
      </c>
      <c r="K376" s="25">
        <f>IF(C376="","",IF(G376=0,"not invoiced yet",SUBSTITUTE(TRIM(IF(COUNTIFS(tbl_Finance[Job Number],C376&amp;"",tbl_Finance[Cost Centre],"ONSITE")&gt;0,"ONSITE ","")&amp;IF(COUNTIFS(tbl_Finance[Job Number],C376&amp;"",tbl_Finance[Cost Centre],"PRODUCTION")&gt;0,"PRODUCTION ","")&amp;IF(COUNTIFS(tbl_Finance[Job Number],C376&amp;"",tbl_Finance[Cost Centre],"VIDEO")&gt;0,"VIDEO ","")&amp;IF(COUNTIFS(tbl_Finance[Job Number],C376&amp;"",tbl_Finance[Cost Centre],"INTEGRATION")&gt;0,"INTEGRATION ","")&amp;IF(COUNTIFS(tbl_Finance[Job Number],C376&amp;"",tbl_Finance[Cost Centre],"CONSULTING")&gt;0,"CONSULTING ","")&amp;IF(COUNTIFS(tbl_Finance[Job Number],C376&amp;"",tbl_Finance[Cost Centre],"CTS")&gt;0,"CTS ",""))," ",", ")))</f>
        <v/>
      </c>
      <c r="L376" s="22" t="n"/>
      <c r="M376" s="24" t="n"/>
      <c r="N376" s="25">
        <f>IF(M376="","",IF(AND(LEFT(M376,4)&lt;&gt;"http",set_RMSBase=""),"",HYPERLINK(IF(LEFT(M376,4)="http",M376,set_RMSBase&amp;M376),"Open opportunity")))</f>
        <v/>
      </c>
      <c r="O376" s="25">
        <f>IF(C376="","",C376)</f>
        <v/>
      </c>
      <c r="P376" s="24" t="n"/>
      <c r="Q376" s="26" t="n"/>
      <c r="R376" s="27">
        <f>IF(C376="","",H376+N(Q376))</f>
        <v/>
      </c>
      <c r="S376" s="29">
        <f>IFERROR(Q376/R376,"")</f>
        <v/>
      </c>
      <c r="T376" s="26" t="n"/>
      <c r="U376" s="26" t="n"/>
      <c r="V376" s="27">
        <f>IF(C376="","",N(T376)+N(U376))</f>
        <v/>
      </c>
      <c r="W376" s="27">
        <f>IF(C376="","",H376-V376)</f>
        <v/>
      </c>
      <c r="X376" s="29">
        <f>IFERROR(W376/H376,"")</f>
        <v/>
      </c>
      <c r="Y376" s="64" t="n"/>
      <c r="Z376" s="64" t="n"/>
      <c r="AA376" s="64" t="n"/>
      <c r="AB376" s="64" t="n"/>
      <c r="AC376" s="64" t="n"/>
      <c r="AD376" s="24" t="n"/>
    </row>
    <row r="377" ht="15" customHeight="1">
      <c r="A377" s="63">
        <f>IF(C377="","",IFERROR(IF(SUMPRODUCT(MAX((tbl_Finance[Job Number]=C377&amp;"")*(tbl_Finance[Xero Invoice No]&lt;&gt;"")*tbl_Finance[Date]))=0,"",SUMPRODUCT(MAX((tbl_Finance[Job Number]=C377&amp;"")*(tbl_Finance[Xero Invoice No]&lt;&gt;"")*tbl_Finance[Date]))),""))</f>
        <v/>
      </c>
      <c r="B377" s="25">
        <f>IF(C377="","",IF(COUNTIFS(tbl_Finance[Job Number],C377&amp;"",tbl_Finance[Xero Invoice No],"&lt;&gt;")=0,"",IFERROR(IF(COUNTIFS(tbl_Finance[Job Number],C377&amp;"",tbl_Finance[Xero Invoice No],LOOKUP(2,1/((tbl_Finance[Job Number]=C377&amp;"")*(tbl_Finance[Xero Invoice No]&lt;&gt;"")),tbl_Finance[Xero Invoice No]))=COUNTIFS(tbl_Finance[Job Number],C377&amp;"",tbl_Finance[Xero Invoice No],"&lt;&gt;"),LOOKUP(2,1/((tbl_Finance[Job Number]=C377&amp;"")*(tbl_Finance[Xero Invoice No]&lt;&gt;"")),tbl_Finance[Xero Invoice No]),LOOKUP(2,1/((tbl_Finance[Job Number]=C377&amp;"")*(tbl_Finance[Xero Invoice No]&lt;&gt;"")),tbl_Finance[Xero Invoice No])&amp;" +more"),"")))</f>
        <v/>
      </c>
      <c r="C377" s="24" t="n"/>
      <c r="D377" s="25">
        <f>IF(C377="","",IF(COUNTIF(lst_Jobs,C377&amp;"")&gt;0,"OK","CHECK"))</f>
        <v/>
      </c>
      <c r="E377" s="25">
        <f>IF(C377="","",IFERROR(INDEX(lst_JobName,MATCH(C377&amp;"",lst_Jobs,0)),""))</f>
        <v/>
      </c>
      <c r="F377" s="25">
        <f>IF(C377="","",IFERROR(INDEX(tbl_Finance[Client],MATCH(C377&amp;"",tbl_Finance[Job Number],0)),""))</f>
        <v/>
      </c>
      <c r="G377" s="28">
        <f>IF(C377="","",COUNTIFS(tbl_Finance[Job Number],C377&amp;"",tbl_Finance[Ex GST],"&lt;&gt;"))</f>
        <v/>
      </c>
      <c r="H377" s="27">
        <f>IF(C377="","",SUMIFS(tbl_Finance[Ex GST],tbl_Finance[Job Number],C377&amp;""))</f>
        <v/>
      </c>
      <c r="I377" s="27">
        <f>IF(C377="","",SUMIFS(tbl_Finance[Ex GST],tbl_Finance[Job Number],C377&amp;"",tbl_Finance[Xero Invoice No],"&lt;&gt;"))</f>
        <v/>
      </c>
      <c r="J377" s="27">
        <f>IF(C377="","",H377-I377)</f>
        <v/>
      </c>
      <c r="K377" s="25">
        <f>IF(C377="","",IF(G377=0,"not invoiced yet",SUBSTITUTE(TRIM(IF(COUNTIFS(tbl_Finance[Job Number],C377&amp;"",tbl_Finance[Cost Centre],"ONSITE")&gt;0,"ONSITE ","")&amp;IF(COUNTIFS(tbl_Finance[Job Number],C377&amp;"",tbl_Finance[Cost Centre],"PRODUCTION")&gt;0,"PRODUCTION ","")&amp;IF(COUNTIFS(tbl_Finance[Job Number],C377&amp;"",tbl_Finance[Cost Centre],"VIDEO")&gt;0,"VIDEO ","")&amp;IF(COUNTIFS(tbl_Finance[Job Number],C377&amp;"",tbl_Finance[Cost Centre],"INTEGRATION")&gt;0,"INTEGRATION ","")&amp;IF(COUNTIFS(tbl_Finance[Job Number],C377&amp;"",tbl_Finance[Cost Centre],"CONSULTING")&gt;0,"CONSULTING ","")&amp;IF(COUNTIFS(tbl_Finance[Job Number],C377&amp;"",tbl_Finance[Cost Centre],"CTS")&gt;0,"CTS ",""))," ",", ")))</f>
        <v/>
      </c>
      <c r="L377" s="22" t="n"/>
      <c r="M377" s="24" t="n"/>
      <c r="N377" s="25">
        <f>IF(M377="","",IF(AND(LEFT(M377,4)&lt;&gt;"http",set_RMSBase=""),"",HYPERLINK(IF(LEFT(M377,4)="http",M377,set_RMSBase&amp;M377),"Open opportunity")))</f>
        <v/>
      </c>
      <c r="O377" s="25">
        <f>IF(C377="","",C377)</f>
        <v/>
      </c>
      <c r="P377" s="24" t="n"/>
      <c r="Q377" s="26" t="n"/>
      <c r="R377" s="27">
        <f>IF(C377="","",H377+N(Q377))</f>
        <v/>
      </c>
      <c r="S377" s="29">
        <f>IFERROR(Q377/R377,"")</f>
        <v/>
      </c>
      <c r="T377" s="26" t="n"/>
      <c r="U377" s="26" t="n"/>
      <c r="V377" s="27">
        <f>IF(C377="","",N(T377)+N(U377))</f>
        <v/>
      </c>
      <c r="W377" s="27">
        <f>IF(C377="","",H377-V377)</f>
        <v/>
      </c>
      <c r="X377" s="29">
        <f>IFERROR(W377/H377,"")</f>
        <v/>
      </c>
      <c r="Y377" s="64" t="n"/>
      <c r="Z377" s="64" t="n"/>
      <c r="AA377" s="64" t="n"/>
      <c r="AB377" s="64" t="n"/>
      <c r="AC377" s="64" t="n"/>
      <c r="AD377" s="24" t="n"/>
    </row>
    <row r="378" ht="15" customHeight="1">
      <c r="A378" s="63">
        <f>IF(C378="","",IFERROR(IF(SUMPRODUCT(MAX((tbl_Finance[Job Number]=C378&amp;"")*(tbl_Finance[Xero Invoice No]&lt;&gt;"")*tbl_Finance[Date]))=0,"",SUMPRODUCT(MAX((tbl_Finance[Job Number]=C378&amp;"")*(tbl_Finance[Xero Invoice No]&lt;&gt;"")*tbl_Finance[Date]))),""))</f>
        <v/>
      </c>
      <c r="B378" s="25">
        <f>IF(C378="","",IF(COUNTIFS(tbl_Finance[Job Number],C378&amp;"",tbl_Finance[Xero Invoice No],"&lt;&gt;")=0,"",IFERROR(IF(COUNTIFS(tbl_Finance[Job Number],C378&amp;"",tbl_Finance[Xero Invoice No],LOOKUP(2,1/((tbl_Finance[Job Number]=C378&amp;"")*(tbl_Finance[Xero Invoice No]&lt;&gt;"")),tbl_Finance[Xero Invoice No]))=COUNTIFS(tbl_Finance[Job Number],C378&amp;"",tbl_Finance[Xero Invoice No],"&lt;&gt;"),LOOKUP(2,1/((tbl_Finance[Job Number]=C378&amp;"")*(tbl_Finance[Xero Invoice No]&lt;&gt;"")),tbl_Finance[Xero Invoice No]),LOOKUP(2,1/((tbl_Finance[Job Number]=C378&amp;"")*(tbl_Finance[Xero Invoice No]&lt;&gt;"")),tbl_Finance[Xero Invoice No])&amp;" +more"),"")))</f>
        <v/>
      </c>
      <c r="C378" s="24" t="n"/>
      <c r="D378" s="25">
        <f>IF(C378="","",IF(COUNTIF(lst_Jobs,C378&amp;"")&gt;0,"OK","CHECK"))</f>
        <v/>
      </c>
      <c r="E378" s="25">
        <f>IF(C378="","",IFERROR(INDEX(lst_JobName,MATCH(C378&amp;"",lst_Jobs,0)),""))</f>
        <v/>
      </c>
      <c r="F378" s="25">
        <f>IF(C378="","",IFERROR(INDEX(tbl_Finance[Client],MATCH(C378&amp;"",tbl_Finance[Job Number],0)),""))</f>
        <v/>
      </c>
      <c r="G378" s="28">
        <f>IF(C378="","",COUNTIFS(tbl_Finance[Job Number],C378&amp;"",tbl_Finance[Ex GST],"&lt;&gt;"))</f>
        <v/>
      </c>
      <c r="H378" s="27">
        <f>IF(C378="","",SUMIFS(tbl_Finance[Ex GST],tbl_Finance[Job Number],C378&amp;""))</f>
        <v/>
      </c>
      <c r="I378" s="27">
        <f>IF(C378="","",SUMIFS(tbl_Finance[Ex GST],tbl_Finance[Job Number],C378&amp;"",tbl_Finance[Xero Invoice No],"&lt;&gt;"))</f>
        <v/>
      </c>
      <c r="J378" s="27">
        <f>IF(C378="","",H378-I378)</f>
        <v/>
      </c>
      <c r="K378" s="25">
        <f>IF(C378="","",IF(G378=0,"not invoiced yet",SUBSTITUTE(TRIM(IF(COUNTIFS(tbl_Finance[Job Number],C378&amp;"",tbl_Finance[Cost Centre],"ONSITE")&gt;0,"ONSITE ","")&amp;IF(COUNTIFS(tbl_Finance[Job Number],C378&amp;"",tbl_Finance[Cost Centre],"PRODUCTION")&gt;0,"PRODUCTION ","")&amp;IF(COUNTIFS(tbl_Finance[Job Number],C378&amp;"",tbl_Finance[Cost Centre],"VIDEO")&gt;0,"VIDEO ","")&amp;IF(COUNTIFS(tbl_Finance[Job Number],C378&amp;"",tbl_Finance[Cost Centre],"INTEGRATION")&gt;0,"INTEGRATION ","")&amp;IF(COUNTIFS(tbl_Finance[Job Number],C378&amp;"",tbl_Finance[Cost Centre],"CONSULTING")&gt;0,"CONSULTING ","")&amp;IF(COUNTIFS(tbl_Finance[Job Number],C378&amp;"",tbl_Finance[Cost Centre],"CTS")&gt;0,"CTS ",""))," ",", ")))</f>
        <v/>
      </c>
      <c r="L378" s="22" t="n"/>
      <c r="M378" s="24" t="n"/>
      <c r="N378" s="25">
        <f>IF(M378="","",IF(AND(LEFT(M378,4)&lt;&gt;"http",set_RMSBase=""),"",HYPERLINK(IF(LEFT(M378,4)="http",M378,set_RMSBase&amp;M378),"Open opportunity")))</f>
        <v/>
      </c>
      <c r="O378" s="25">
        <f>IF(C378="","",C378)</f>
        <v/>
      </c>
      <c r="P378" s="24" t="n"/>
      <c r="Q378" s="26" t="n"/>
      <c r="R378" s="27">
        <f>IF(C378="","",H378+N(Q378))</f>
        <v/>
      </c>
      <c r="S378" s="29">
        <f>IFERROR(Q378/R378,"")</f>
        <v/>
      </c>
      <c r="T378" s="26" t="n"/>
      <c r="U378" s="26" t="n"/>
      <c r="V378" s="27">
        <f>IF(C378="","",N(T378)+N(U378))</f>
        <v/>
      </c>
      <c r="W378" s="27">
        <f>IF(C378="","",H378-V378)</f>
        <v/>
      </c>
      <c r="X378" s="29">
        <f>IFERROR(W378/H378,"")</f>
        <v/>
      </c>
      <c r="Y378" s="64" t="n"/>
      <c r="Z378" s="64" t="n"/>
      <c r="AA378" s="64" t="n"/>
      <c r="AB378" s="64" t="n"/>
      <c r="AC378" s="64" t="n"/>
      <c r="AD378" s="24" t="n"/>
    </row>
    <row r="379" ht="15" customHeight="1">
      <c r="A379" s="63">
        <f>IF(C379="","",IFERROR(IF(SUMPRODUCT(MAX((tbl_Finance[Job Number]=C379&amp;"")*(tbl_Finance[Xero Invoice No]&lt;&gt;"")*tbl_Finance[Date]))=0,"",SUMPRODUCT(MAX((tbl_Finance[Job Number]=C379&amp;"")*(tbl_Finance[Xero Invoice No]&lt;&gt;"")*tbl_Finance[Date]))),""))</f>
        <v/>
      </c>
      <c r="B379" s="25">
        <f>IF(C379="","",IF(COUNTIFS(tbl_Finance[Job Number],C379&amp;"",tbl_Finance[Xero Invoice No],"&lt;&gt;")=0,"",IFERROR(IF(COUNTIFS(tbl_Finance[Job Number],C379&amp;"",tbl_Finance[Xero Invoice No],LOOKUP(2,1/((tbl_Finance[Job Number]=C379&amp;"")*(tbl_Finance[Xero Invoice No]&lt;&gt;"")),tbl_Finance[Xero Invoice No]))=COUNTIFS(tbl_Finance[Job Number],C379&amp;"",tbl_Finance[Xero Invoice No],"&lt;&gt;"),LOOKUP(2,1/((tbl_Finance[Job Number]=C379&amp;"")*(tbl_Finance[Xero Invoice No]&lt;&gt;"")),tbl_Finance[Xero Invoice No]),LOOKUP(2,1/((tbl_Finance[Job Number]=C379&amp;"")*(tbl_Finance[Xero Invoice No]&lt;&gt;"")),tbl_Finance[Xero Invoice No])&amp;" +more"),"")))</f>
        <v/>
      </c>
      <c r="C379" s="24" t="n"/>
      <c r="D379" s="25">
        <f>IF(C379="","",IF(COUNTIF(lst_Jobs,C379&amp;"")&gt;0,"OK","CHECK"))</f>
        <v/>
      </c>
      <c r="E379" s="25">
        <f>IF(C379="","",IFERROR(INDEX(lst_JobName,MATCH(C379&amp;"",lst_Jobs,0)),""))</f>
        <v/>
      </c>
      <c r="F379" s="25">
        <f>IF(C379="","",IFERROR(INDEX(tbl_Finance[Client],MATCH(C379&amp;"",tbl_Finance[Job Number],0)),""))</f>
        <v/>
      </c>
      <c r="G379" s="28">
        <f>IF(C379="","",COUNTIFS(tbl_Finance[Job Number],C379&amp;"",tbl_Finance[Ex GST],"&lt;&gt;"))</f>
        <v/>
      </c>
      <c r="H379" s="27">
        <f>IF(C379="","",SUMIFS(tbl_Finance[Ex GST],tbl_Finance[Job Number],C379&amp;""))</f>
        <v/>
      </c>
      <c r="I379" s="27">
        <f>IF(C379="","",SUMIFS(tbl_Finance[Ex GST],tbl_Finance[Job Number],C379&amp;"",tbl_Finance[Xero Invoice No],"&lt;&gt;"))</f>
        <v/>
      </c>
      <c r="J379" s="27">
        <f>IF(C379="","",H379-I379)</f>
        <v/>
      </c>
      <c r="K379" s="25">
        <f>IF(C379="","",IF(G379=0,"not invoiced yet",SUBSTITUTE(TRIM(IF(COUNTIFS(tbl_Finance[Job Number],C379&amp;"",tbl_Finance[Cost Centre],"ONSITE")&gt;0,"ONSITE ","")&amp;IF(COUNTIFS(tbl_Finance[Job Number],C379&amp;"",tbl_Finance[Cost Centre],"PRODUCTION")&gt;0,"PRODUCTION ","")&amp;IF(COUNTIFS(tbl_Finance[Job Number],C379&amp;"",tbl_Finance[Cost Centre],"VIDEO")&gt;0,"VIDEO ","")&amp;IF(COUNTIFS(tbl_Finance[Job Number],C379&amp;"",tbl_Finance[Cost Centre],"INTEGRATION")&gt;0,"INTEGRATION ","")&amp;IF(COUNTIFS(tbl_Finance[Job Number],C379&amp;"",tbl_Finance[Cost Centre],"CONSULTING")&gt;0,"CONSULTING ","")&amp;IF(COUNTIFS(tbl_Finance[Job Number],C379&amp;"",tbl_Finance[Cost Centre],"CTS")&gt;0,"CTS ",""))," ",", ")))</f>
        <v/>
      </c>
      <c r="L379" s="22" t="n"/>
      <c r="M379" s="24" t="n"/>
      <c r="N379" s="25">
        <f>IF(M379="","",IF(AND(LEFT(M379,4)&lt;&gt;"http",set_RMSBase=""),"",HYPERLINK(IF(LEFT(M379,4)="http",M379,set_RMSBase&amp;M379),"Open opportunity")))</f>
        <v/>
      </c>
      <c r="O379" s="25">
        <f>IF(C379="","",C379)</f>
        <v/>
      </c>
      <c r="P379" s="24" t="n"/>
      <c r="Q379" s="26" t="n"/>
      <c r="R379" s="27">
        <f>IF(C379="","",H379+N(Q379))</f>
        <v/>
      </c>
      <c r="S379" s="29">
        <f>IFERROR(Q379/R379,"")</f>
        <v/>
      </c>
      <c r="T379" s="26" t="n"/>
      <c r="U379" s="26" t="n"/>
      <c r="V379" s="27">
        <f>IF(C379="","",N(T379)+N(U379))</f>
        <v/>
      </c>
      <c r="W379" s="27">
        <f>IF(C379="","",H379-V379)</f>
        <v/>
      </c>
      <c r="X379" s="29">
        <f>IFERROR(W379/H379,"")</f>
        <v/>
      </c>
      <c r="Y379" s="64" t="n"/>
      <c r="Z379" s="64" t="n"/>
      <c r="AA379" s="64" t="n"/>
      <c r="AB379" s="64" t="n"/>
      <c r="AC379" s="64" t="n"/>
      <c r="AD379" s="24" t="n"/>
    </row>
    <row r="380" ht="15" customHeight="1">
      <c r="A380" s="63">
        <f>IF(C380="","",IFERROR(IF(SUMPRODUCT(MAX((tbl_Finance[Job Number]=C380&amp;"")*(tbl_Finance[Xero Invoice No]&lt;&gt;"")*tbl_Finance[Date]))=0,"",SUMPRODUCT(MAX((tbl_Finance[Job Number]=C380&amp;"")*(tbl_Finance[Xero Invoice No]&lt;&gt;"")*tbl_Finance[Date]))),""))</f>
        <v/>
      </c>
      <c r="B380" s="25">
        <f>IF(C380="","",IF(COUNTIFS(tbl_Finance[Job Number],C380&amp;"",tbl_Finance[Xero Invoice No],"&lt;&gt;")=0,"",IFERROR(IF(COUNTIFS(tbl_Finance[Job Number],C380&amp;"",tbl_Finance[Xero Invoice No],LOOKUP(2,1/((tbl_Finance[Job Number]=C380&amp;"")*(tbl_Finance[Xero Invoice No]&lt;&gt;"")),tbl_Finance[Xero Invoice No]))=COUNTIFS(tbl_Finance[Job Number],C380&amp;"",tbl_Finance[Xero Invoice No],"&lt;&gt;"),LOOKUP(2,1/((tbl_Finance[Job Number]=C380&amp;"")*(tbl_Finance[Xero Invoice No]&lt;&gt;"")),tbl_Finance[Xero Invoice No]),LOOKUP(2,1/((tbl_Finance[Job Number]=C380&amp;"")*(tbl_Finance[Xero Invoice No]&lt;&gt;"")),tbl_Finance[Xero Invoice No])&amp;" +more"),"")))</f>
        <v/>
      </c>
      <c r="C380" s="24" t="n"/>
      <c r="D380" s="25">
        <f>IF(C380="","",IF(COUNTIF(lst_Jobs,C380&amp;"")&gt;0,"OK","CHECK"))</f>
        <v/>
      </c>
      <c r="E380" s="25">
        <f>IF(C380="","",IFERROR(INDEX(lst_JobName,MATCH(C380&amp;"",lst_Jobs,0)),""))</f>
        <v/>
      </c>
      <c r="F380" s="25">
        <f>IF(C380="","",IFERROR(INDEX(tbl_Finance[Client],MATCH(C380&amp;"",tbl_Finance[Job Number],0)),""))</f>
        <v/>
      </c>
      <c r="G380" s="28">
        <f>IF(C380="","",COUNTIFS(tbl_Finance[Job Number],C380&amp;"",tbl_Finance[Ex GST],"&lt;&gt;"))</f>
        <v/>
      </c>
      <c r="H380" s="27">
        <f>IF(C380="","",SUMIFS(tbl_Finance[Ex GST],tbl_Finance[Job Number],C380&amp;""))</f>
        <v/>
      </c>
      <c r="I380" s="27">
        <f>IF(C380="","",SUMIFS(tbl_Finance[Ex GST],tbl_Finance[Job Number],C380&amp;"",tbl_Finance[Xero Invoice No],"&lt;&gt;"))</f>
        <v/>
      </c>
      <c r="J380" s="27">
        <f>IF(C380="","",H380-I380)</f>
        <v/>
      </c>
      <c r="K380" s="25">
        <f>IF(C380="","",IF(G380=0,"not invoiced yet",SUBSTITUTE(TRIM(IF(COUNTIFS(tbl_Finance[Job Number],C380&amp;"",tbl_Finance[Cost Centre],"ONSITE")&gt;0,"ONSITE ","")&amp;IF(COUNTIFS(tbl_Finance[Job Number],C380&amp;"",tbl_Finance[Cost Centre],"PRODUCTION")&gt;0,"PRODUCTION ","")&amp;IF(COUNTIFS(tbl_Finance[Job Number],C380&amp;"",tbl_Finance[Cost Centre],"VIDEO")&gt;0,"VIDEO ","")&amp;IF(COUNTIFS(tbl_Finance[Job Number],C380&amp;"",tbl_Finance[Cost Centre],"INTEGRATION")&gt;0,"INTEGRATION ","")&amp;IF(COUNTIFS(tbl_Finance[Job Number],C380&amp;"",tbl_Finance[Cost Centre],"CONSULTING")&gt;0,"CONSULTING ","")&amp;IF(COUNTIFS(tbl_Finance[Job Number],C380&amp;"",tbl_Finance[Cost Centre],"CTS")&gt;0,"CTS ",""))," ",", ")))</f>
        <v/>
      </c>
      <c r="L380" s="22" t="n"/>
      <c r="M380" s="24" t="n"/>
      <c r="N380" s="25">
        <f>IF(M380="","",IF(AND(LEFT(M380,4)&lt;&gt;"http",set_RMSBase=""),"",HYPERLINK(IF(LEFT(M380,4)="http",M380,set_RMSBase&amp;M380),"Open opportunity")))</f>
        <v/>
      </c>
      <c r="O380" s="25">
        <f>IF(C380="","",C380)</f>
        <v/>
      </c>
      <c r="P380" s="24" t="n"/>
      <c r="Q380" s="26" t="n"/>
      <c r="R380" s="27">
        <f>IF(C380="","",H380+N(Q380))</f>
        <v/>
      </c>
      <c r="S380" s="29">
        <f>IFERROR(Q380/R380,"")</f>
        <v/>
      </c>
      <c r="T380" s="26" t="n"/>
      <c r="U380" s="26" t="n"/>
      <c r="V380" s="27">
        <f>IF(C380="","",N(T380)+N(U380))</f>
        <v/>
      </c>
      <c r="W380" s="27">
        <f>IF(C380="","",H380-V380)</f>
        <v/>
      </c>
      <c r="X380" s="29">
        <f>IFERROR(W380/H380,"")</f>
        <v/>
      </c>
      <c r="Y380" s="64" t="n"/>
      <c r="Z380" s="64" t="n"/>
      <c r="AA380" s="64" t="n"/>
      <c r="AB380" s="64" t="n"/>
      <c r="AC380" s="64" t="n"/>
      <c r="AD380" s="24" t="n"/>
    </row>
    <row r="381" ht="15" customHeight="1">
      <c r="A381" s="63">
        <f>IF(C381="","",IFERROR(IF(SUMPRODUCT(MAX((tbl_Finance[Job Number]=C381&amp;"")*(tbl_Finance[Xero Invoice No]&lt;&gt;"")*tbl_Finance[Date]))=0,"",SUMPRODUCT(MAX((tbl_Finance[Job Number]=C381&amp;"")*(tbl_Finance[Xero Invoice No]&lt;&gt;"")*tbl_Finance[Date]))),""))</f>
        <v/>
      </c>
      <c r="B381" s="25">
        <f>IF(C381="","",IF(COUNTIFS(tbl_Finance[Job Number],C381&amp;"",tbl_Finance[Xero Invoice No],"&lt;&gt;")=0,"",IFERROR(IF(COUNTIFS(tbl_Finance[Job Number],C381&amp;"",tbl_Finance[Xero Invoice No],LOOKUP(2,1/((tbl_Finance[Job Number]=C381&amp;"")*(tbl_Finance[Xero Invoice No]&lt;&gt;"")),tbl_Finance[Xero Invoice No]))=COUNTIFS(tbl_Finance[Job Number],C381&amp;"",tbl_Finance[Xero Invoice No],"&lt;&gt;"),LOOKUP(2,1/((tbl_Finance[Job Number]=C381&amp;"")*(tbl_Finance[Xero Invoice No]&lt;&gt;"")),tbl_Finance[Xero Invoice No]),LOOKUP(2,1/((tbl_Finance[Job Number]=C381&amp;"")*(tbl_Finance[Xero Invoice No]&lt;&gt;"")),tbl_Finance[Xero Invoice No])&amp;" +more"),"")))</f>
        <v/>
      </c>
      <c r="C381" s="24" t="n"/>
      <c r="D381" s="25">
        <f>IF(C381="","",IF(COUNTIF(lst_Jobs,C381&amp;"")&gt;0,"OK","CHECK"))</f>
        <v/>
      </c>
      <c r="E381" s="25">
        <f>IF(C381="","",IFERROR(INDEX(lst_JobName,MATCH(C381&amp;"",lst_Jobs,0)),""))</f>
        <v/>
      </c>
      <c r="F381" s="25">
        <f>IF(C381="","",IFERROR(INDEX(tbl_Finance[Client],MATCH(C381&amp;"",tbl_Finance[Job Number],0)),""))</f>
        <v/>
      </c>
      <c r="G381" s="28">
        <f>IF(C381="","",COUNTIFS(tbl_Finance[Job Number],C381&amp;"",tbl_Finance[Ex GST],"&lt;&gt;"))</f>
        <v/>
      </c>
      <c r="H381" s="27">
        <f>IF(C381="","",SUMIFS(tbl_Finance[Ex GST],tbl_Finance[Job Number],C381&amp;""))</f>
        <v/>
      </c>
      <c r="I381" s="27">
        <f>IF(C381="","",SUMIFS(tbl_Finance[Ex GST],tbl_Finance[Job Number],C381&amp;"",tbl_Finance[Xero Invoice No],"&lt;&gt;"))</f>
        <v/>
      </c>
      <c r="J381" s="27">
        <f>IF(C381="","",H381-I381)</f>
        <v/>
      </c>
      <c r="K381" s="25">
        <f>IF(C381="","",IF(G381=0,"not invoiced yet",SUBSTITUTE(TRIM(IF(COUNTIFS(tbl_Finance[Job Number],C381&amp;"",tbl_Finance[Cost Centre],"ONSITE")&gt;0,"ONSITE ","")&amp;IF(COUNTIFS(tbl_Finance[Job Number],C381&amp;"",tbl_Finance[Cost Centre],"PRODUCTION")&gt;0,"PRODUCTION ","")&amp;IF(COUNTIFS(tbl_Finance[Job Number],C381&amp;"",tbl_Finance[Cost Centre],"VIDEO")&gt;0,"VIDEO ","")&amp;IF(COUNTIFS(tbl_Finance[Job Number],C381&amp;"",tbl_Finance[Cost Centre],"INTEGRATION")&gt;0,"INTEGRATION ","")&amp;IF(COUNTIFS(tbl_Finance[Job Number],C381&amp;"",tbl_Finance[Cost Centre],"CONSULTING")&gt;0,"CONSULTING ","")&amp;IF(COUNTIFS(tbl_Finance[Job Number],C381&amp;"",tbl_Finance[Cost Centre],"CTS")&gt;0,"CTS ",""))," ",", ")))</f>
        <v/>
      </c>
      <c r="L381" s="22" t="n"/>
      <c r="M381" s="24" t="n"/>
      <c r="N381" s="25">
        <f>IF(M381="","",IF(AND(LEFT(M381,4)&lt;&gt;"http",set_RMSBase=""),"",HYPERLINK(IF(LEFT(M381,4)="http",M381,set_RMSBase&amp;M381),"Open opportunity")))</f>
        <v/>
      </c>
      <c r="O381" s="25">
        <f>IF(C381="","",C381)</f>
        <v/>
      </c>
      <c r="P381" s="24" t="n"/>
      <c r="Q381" s="26" t="n"/>
      <c r="R381" s="27">
        <f>IF(C381="","",H381+N(Q381))</f>
        <v/>
      </c>
      <c r="S381" s="29">
        <f>IFERROR(Q381/R381,"")</f>
        <v/>
      </c>
      <c r="T381" s="26" t="n"/>
      <c r="U381" s="26" t="n"/>
      <c r="V381" s="27">
        <f>IF(C381="","",N(T381)+N(U381))</f>
        <v/>
      </c>
      <c r="W381" s="27">
        <f>IF(C381="","",H381-V381)</f>
        <v/>
      </c>
      <c r="X381" s="29">
        <f>IFERROR(W381/H381,"")</f>
        <v/>
      </c>
      <c r="Y381" s="64" t="n"/>
      <c r="Z381" s="64" t="n"/>
      <c r="AA381" s="64" t="n"/>
      <c r="AB381" s="64" t="n"/>
      <c r="AC381" s="64" t="n"/>
      <c r="AD381" s="24" t="n"/>
    </row>
    <row r="382" ht="15" customHeight="1">
      <c r="A382" s="63">
        <f>IF(C382="","",IFERROR(IF(SUMPRODUCT(MAX((tbl_Finance[Job Number]=C382&amp;"")*(tbl_Finance[Xero Invoice No]&lt;&gt;"")*tbl_Finance[Date]))=0,"",SUMPRODUCT(MAX((tbl_Finance[Job Number]=C382&amp;"")*(tbl_Finance[Xero Invoice No]&lt;&gt;"")*tbl_Finance[Date]))),""))</f>
        <v/>
      </c>
      <c r="B382" s="25">
        <f>IF(C382="","",IF(COUNTIFS(tbl_Finance[Job Number],C382&amp;"",tbl_Finance[Xero Invoice No],"&lt;&gt;")=0,"",IFERROR(IF(COUNTIFS(tbl_Finance[Job Number],C382&amp;"",tbl_Finance[Xero Invoice No],LOOKUP(2,1/((tbl_Finance[Job Number]=C382&amp;"")*(tbl_Finance[Xero Invoice No]&lt;&gt;"")),tbl_Finance[Xero Invoice No]))=COUNTIFS(tbl_Finance[Job Number],C382&amp;"",tbl_Finance[Xero Invoice No],"&lt;&gt;"),LOOKUP(2,1/((tbl_Finance[Job Number]=C382&amp;"")*(tbl_Finance[Xero Invoice No]&lt;&gt;"")),tbl_Finance[Xero Invoice No]),LOOKUP(2,1/((tbl_Finance[Job Number]=C382&amp;"")*(tbl_Finance[Xero Invoice No]&lt;&gt;"")),tbl_Finance[Xero Invoice No])&amp;" +more"),"")))</f>
        <v/>
      </c>
      <c r="C382" s="24" t="n"/>
      <c r="D382" s="25">
        <f>IF(C382="","",IF(COUNTIF(lst_Jobs,C382&amp;"")&gt;0,"OK","CHECK"))</f>
        <v/>
      </c>
      <c r="E382" s="25">
        <f>IF(C382="","",IFERROR(INDEX(lst_JobName,MATCH(C382&amp;"",lst_Jobs,0)),""))</f>
        <v/>
      </c>
      <c r="F382" s="25">
        <f>IF(C382="","",IFERROR(INDEX(tbl_Finance[Client],MATCH(C382&amp;"",tbl_Finance[Job Number],0)),""))</f>
        <v/>
      </c>
      <c r="G382" s="28">
        <f>IF(C382="","",COUNTIFS(tbl_Finance[Job Number],C382&amp;"",tbl_Finance[Ex GST],"&lt;&gt;"))</f>
        <v/>
      </c>
      <c r="H382" s="27">
        <f>IF(C382="","",SUMIFS(tbl_Finance[Ex GST],tbl_Finance[Job Number],C382&amp;""))</f>
        <v/>
      </c>
      <c r="I382" s="27">
        <f>IF(C382="","",SUMIFS(tbl_Finance[Ex GST],tbl_Finance[Job Number],C382&amp;"",tbl_Finance[Xero Invoice No],"&lt;&gt;"))</f>
        <v/>
      </c>
      <c r="J382" s="27">
        <f>IF(C382="","",H382-I382)</f>
        <v/>
      </c>
      <c r="K382" s="25">
        <f>IF(C382="","",IF(G382=0,"not invoiced yet",SUBSTITUTE(TRIM(IF(COUNTIFS(tbl_Finance[Job Number],C382&amp;"",tbl_Finance[Cost Centre],"ONSITE")&gt;0,"ONSITE ","")&amp;IF(COUNTIFS(tbl_Finance[Job Number],C382&amp;"",tbl_Finance[Cost Centre],"PRODUCTION")&gt;0,"PRODUCTION ","")&amp;IF(COUNTIFS(tbl_Finance[Job Number],C382&amp;"",tbl_Finance[Cost Centre],"VIDEO")&gt;0,"VIDEO ","")&amp;IF(COUNTIFS(tbl_Finance[Job Number],C382&amp;"",tbl_Finance[Cost Centre],"INTEGRATION")&gt;0,"INTEGRATION ","")&amp;IF(COUNTIFS(tbl_Finance[Job Number],C382&amp;"",tbl_Finance[Cost Centre],"CONSULTING")&gt;0,"CONSULTING ","")&amp;IF(COUNTIFS(tbl_Finance[Job Number],C382&amp;"",tbl_Finance[Cost Centre],"CTS")&gt;0,"CTS ",""))," ",", ")))</f>
        <v/>
      </c>
      <c r="L382" s="22" t="n"/>
      <c r="M382" s="24" t="n"/>
      <c r="N382" s="25">
        <f>IF(M382="","",IF(AND(LEFT(M382,4)&lt;&gt;"http",set_RMSBase=""),"",HYPERLINK(IF(LEFT(M382,4)="http",M382,set_RMSBase&amp;M382),"Open opportunity")))</f>
        <v/>
      </c>
      <c r="O382" s="25">
        <f>IF(C382="","",C382)</f>
        <v/>
      </c>
      <c r="P382" s="24" t="n"/>
      <c r="Q382" s="26" t="n"/>
      <c r="R382" s="27">
        <f>IF(C382="","",H382+N(Q382))</f>
        <v/>
      </c>
      <c r="S382" s="29">
        <f>IFERROR(Q382/R382,"")</f>
        <v/>
      </c>
      <c r="T382" s="26" t="n"/>
      <c r="U382" s="26" t="n"/>
      <c r="V382" s="27">
        <f>IF(C382="","",N(T382)+N(U382))</f>
        <v/>
      </c>
      <c r="W382" s="27">
        <f>IF(C382="","",H382-V382)</f>
        <v/>
      </c>
      <c r="X382" s="29">
        <f>IFERROR(W382/H382,"")</f>
        <v/>
      </c>
      <c r="Y382" s="64" t="n"/>
      <c r="Z382" s="64" t="n"/>
      <c r="AA382" s="64" t="n"/>
      <c r="AB382" s="64" t="n"/>
      <c r="AC382" s="64" t="n"/>
      <c r="AD382" s="24" t="n"/>
    </row>
    <row r="383" ht="15" customHeight="1">
      <c r="A383" s="63">
        <f>IF(C383="","",IFERROR(IF(SUMPRODUCT(MAX((tbl_Finance[Job Number]=C383&amp;"")*(tbl_Finance[Xero Invoice No]&lt;&gt;"")*tbl_Finance[Date]))=0,"",SUMPRODUCT(MAX((tbl_Finance[Job Number]=C383&amp;"")*(tbl_Finance[Xero Invoice No]&lt;&gt;"")*tbl_Finance[Date]))),""))</f>
        <v/>
      </c>
      <c r="B383" s="25">
        <f>IF(C383="","",IF(COUNTIFS(tbl_Finance[Job Number],C383&amp;"",tbl_Finance[Xero Invoice No],"&lt;&gt;")=0,"",IFERROR(IF(COUNTIFS(tbl_Finance[Job Number],C383&amp;"",tbl_Finance[Xero Invoice No],LOOKUP(2,1/((tbl_Finance[Job Number]=C383&amp;"")*(tbl_Finance[Xero Invoice No]&lt;&gt;"")),tbl_Finance[Xero Invoice No]))=COUNTIFS(tbl_Finance[Job Number],C383&amp;"",tbl_Finance[Xero Invoice No],"&lt;&gt;"),LOOKUP(2,1/((tbl_Finance[Job Number]=C383&amp;"")*(tbl_Finance[Xero Invoice No]&lt;&gt;"")),tbl_Finance[Xero Invoice No]),LOOKUP(2,1/((tbl_Finance[Job Number]=C383&amp;"")*(tbl_Finance[Xero Invoice No]&lt;&gt;"")),tbl_Finance[Xero Invoice No])&amp;" +more"),"")))</f>
        <v/>
      </c>
      <c r="C383" s="24" t="n"/>
      <c r="D383" s="25">
        <f>IF(C383="","",IF(COUNTIF(lst_Jobs,C383&amp;"")&gt;0,"OK","CHECK"))</f>
        <v/>
      </c>
      <c r="E383" s="25">
        <f>IF(C383="","",IFERROR(INDEX(lst_JobName,MATCH(C383&amp;"",lst_Jobs,0)),""))</f>
        <v/>
      </c>
      <c r="F383" s="25">
        <f>IF(C383="","",IFERROR(INDEX(tbl_Finance[Client],MATCH(C383&amp;"",tbl_Finance[Job Number],0)),""))</f>
        <v/>
      </c>
      <c r="G383" s="28">
        <f>IF(C383="","",COUNTIFS(tbl_Finance[Job Number],C383&amp;"",tbl_Finance[Ex GST],"&lt;&gt;"))</f>
        <v/>
      </c>
      <c r="H383" s="27">
        <f>IF(C383="","",SUMIFS(tbl_Finance[Ex GST],tbl_Finance[Job Number],C383&amp;""))</f>
        <v/>
      </c>
      <c r="I383" s="27">
        <f>IF(C383="","",SUMIFS(tbl_Finance[Ex GST],tbl_Finance[Job Number],C383&amp;"",tbl_Finance[Xero Invoice No],"&lt;&gt;"))</f>
        <v/>
      </c>
      <c r="J383" s="27">
        <f>IF(C383="","",H383-I383)</f>
        <v/>
      </c>
      <c r="K383" s="25">
        <f>IF(C383="","",IF(G383=0,"not invoiced yet",SUBSTITUTE(TRIM(IF(COUNTIFS(tbl_Finance[Job Number],C383&amp;"",tbl_Finance[Cost Centre],"ONSITE")&gt;0,"ONSITE ","")&amp;IF(COUNTIFS(tbl_Finance[Job Number],C383&amp;"",tbl_Finance[Cost Centre],"PRODUCTION")&gt;0,"PRODUCTION ","")&amp;IF(COUNTIFS(tbl_Finance[Job Number],C383&amp;"",tbl_Finance[Cost Centre],"VIDEO")&gt;0,"VIDEO ","")&amp;IF(COUNTIFS(tbl_Finance[Job Number],C383&amp;"",tbl_Finance[Cost Centre],"INTEGRATION")&gt;0,"INTEGRATION ","")&amp;IF(COUNTIFS(tbl_Finance[Job Number],C383&amp;"",tbl_Finance[Cost Centre],"CONSULTING")&gt;0,"CONSULTING ","")&amp;IF(COUNTIFS(tbl_Finance[Job Number],C383&amp;"",tbl_Finance[Cost Centre],"CTS")&gt;0,"CTS ",""))," ",", ")))</f>
        <v/>
      </c>
      <c r="L383" s="22" t="n"/>
      <c r="M383" s="24" t="n"/>
      <c r="N383" s="25">
        <f>IF(M383="","",IF(AND(LEFT(M383,4)&lt;&gt;"http",set_RMSBase=""),"",HYPERLINK(IF(LEFT(M383,4)="http",M383,set_RMSBase&amp;M383),"Open opportunity")))</f>
        <v/>
      </c>
      <c r="O383" s="25">
        <f>IF(C383="","",C383)</f>
        <v/>
      </c>
      <c r="P383" s="24" t="n"/>
      <c r="Q383" s="26" t="n"/>
      <c r="R383" s="27">
        <f>IF(C383="","",H383+N(Q383))</f>
        <v/>
      </c>
      <c r="S383" s="29">
        <f>IFERROR(Q383/R383,"")</f>
        <v/>
      </c>
      <c r="T383" s="26" t="n"/>
      <c r="U383" s="26" t="n"/>
      <c r="V383" s="27">
        <f>IF(C383="","",N(T383)+N(U383))</f>
        <v/>
      </c>
      <c r="W383" s="27">
        <f>IF(C383="","",H383-V383)</f>
        <v/>
      </c>
      <c r="X383" s="29">
        <f>IFERROR(W383/H383,"")</f>
        <v/>
      </c>
      <c r="Y383" s="64" t="n"/>
      <c r="Z383" s="64" t="n"/>
      <c r="AA383" s="64" t="n"/>
      <c r="AB383" s="64" t="n"/>
      <c r="AC383" s="64" t="n"/>
      <c r="AD383" s="24" t="n"/>
    </row>
    <row r="384" ht="15" customHeight="1">
      <c r="A384" s="63">
        <f>IF(C384="","",IFERROR(IF(SUMPRODUCT(MAX((tbl_Finance[Job Number]=C384&amp;"")*(tbl_Finance[Xero Invoice No]&lt;&gt;"")*tbl_Finance[Date]))=0,"",SUMPRODUCT(MAX((tbl_Finance[Job Number]=C384&amp;"")*(tbl_Finance[Xero Invoice No]&lt;&gt;"")*tbl_Finance[Date]))),""))</f>
        <v/>
      </c>
      <c r="B384" s="25">
        <f>IF(C384="","",IF(COUNTIFS(tbl_Finance[Job Number],C384&amp;"",tbl_Finance[Xero Invoice No],"&lt;&gt;")=0,"",IFERROR(IF(COUNTIFS(tbl_Finance[Job Number],C384&amp;"",tbl_Finance[Xero Invoice No],LOOKUP(2,1/((tbl_Finance[Job Number]=C384&amp;"")*(tbl_Finance[Xero Invoice No]&lt;&gt;"")),tbl_Finance[Xero Invoice No]))=COUNTIFS(tbl_Finance[Job Number],C384&amp;"",tbl_Finance[Xero Invoice No],"&lt;&gt;"),LOOKUP(2,1/((tbl_Finance[Job Number]=C384&amp;"")*(tbl_Finance[Xero Invoice No]&lt;&gt;"")),tbl_Finance[Xero Invoice No]),LOOKUP(2,1/((tbl_Finance[Job Number]=C384&amp;"")*(tbl_Finance[Xero Invoice No]&lt;&gt;"")),tbl_Finance[Xero Invoice No])&amp;" +more"),"")))</f>
        <v/>
      </c>
      <c r="C384" s="24" t="n"/>
      <c r="D384" s="25">
        <f>IF(C384="","",IF(COUNTIF(lst_Jobs,C384&amp;"")&gt;0,"OK","CHECK"))</f>
        <v/>
      </c>
      <c r="E384" s="25">
        <f>IF(C384="","",IFERROR(INDEX(lst_JobName,MATCH(C384&amp;"",lst_Jobs,0)),""))</f>
        <v/>
      </c>
      <c r="F384" s="25">
        <f>IF(C384="","",IFERROR(INDEX(tbl_Finance[Client],MATCH(C384&amp;"",tbl_Finance[Job Number],0)),""))</f>
        <v/>
      </c>
      <c r="G384" s="28">
        <f>IF(C384="","",COUNTIFS(tbl_Finance[Job Number],C384&amp;"",tbl_Finance[Ex GST],"&lt;&gt;"))</f>
        <v/>
      </c>
      <c r="H384" s="27">
        <f>IF(C384="","",SUMIFS(tbl_Finance[Ex GST],tbl_Finance[Job Number],C384&amp;""))</f>
        <v/>
      </c>
      <c r="I384" s="27">
        <f>IF(C384="","",SUMIFS(tbl_Finance[Ex GST],tbl_Finance[Job Number],C384&amp;"",tbl_Finance[Xero Invoice No],"&lt;&gt;"))</f>
        <v/>
      </c>
      <c r="J384" s="27">
        <f>IF(C384="","",H384-I384)</f>
        <v/>
      </c>
      <c r="K384" s="25">
        <f>IF(C384="","",IF(G384=0,"not invoiced yet",SUBSTITUTE(TRIM(IF(COUNTIFS(tbl_Finance[Job Number],C384&amp;"",tbl_Finance[Cost Centre],"ONSITE")&gt;0,"ONSITE ","")&amp;IF(COUNTIFS(tbl_Finance[Job Number],C384&amp;"",tbl_Finance[Cost Centre],"PRODUCTION")&gt;0,"PRODUCTION ","")&amp;IF(COUNTIFS(tbl_Finance[Job Number],C384&amp;"",tbl_Finance[Cost Centre],"VIDEO")&gt;0,"VIDEO ","")&amp;IF(COUNTIFS(tbl_Finance[Job Number],C384&amp;"",tbl_Finance[Cost Centre],"INTEGRATION")&gt;0,"INTEGRATION ","")&amp;IF(COUNTIFS(tbl_Finance[Job Number],C384&amp;"",tbl_Finance[Cost Centre],"CONSULTING")&gt;0,"CONSULTING ","")&amp;IF(COUNTIFS(tbl_Finance[Job Number],C384&amp;"",tbl_Finance[Cost Centre],"CTS")&gt;0,"CTS ",""))," ",", ")))</f>
        <v/>
      </c>
      <c r="L384" s="22" t="n"/>
      <c r="M384" s="24" t="n"/>
      <c r="N384" s="25">
        <f>IF(M384="","",IF(AND(LEFT(M384,4)&lt;&gt;"http",set_RMSBase=""),"",HYPERLINK(IF(LEFT(M384,4)="http",M384,set_RMSBase&amp;M384),"Open opportunity")))</f>
        <v/>
      </c>
      <c r="O384" s="25">
        <f>IF(C384="","",C384)</f>
        <v/>
      </c>
      <c r="P384" s="24" t="n"/>
      <c r="Q384" s="26" t="n"/>
      <c r="R384" s="27">
        <f>IF(C384="","",H384+N(Q384))</f>
        <v/>
      </c>
      <c r="S384" s="29">
        <f>IFERROR(Q384/R384,"")</f>
        <v/>
      </c>
      <c r="T384" s="26" t="n"/>
      <c r="U384" s="26" t="n"/>
      <c r="V384" s="27">
        <f>IF(C384="","",N(T384)+N(U384))</f>
        <v/>
      </c>
      <c r="W384" s="27">
        <f>IF(C384="","",H384-V384)</f>
        <v/>
      </c>
      <c r="X384" s="29">
        <f>IFERROR(W384/H384,"")</f>
        <v/>
      </c>
      <c r="Y384" s="64" t="n"/>
      <c r="Z384" s="64" t="n"/>
      <c r="AA384" s="64" t="n"/>
      <c r="AB384" s="64" t="n"/>
      <c r="AC384" s="64" t="n"/>
      <c r="AD384" s="24" t="n"/>
    </row>
    <row r="385" ht="15" customHeight="1">
      <c r="A385" s="63">
        <f>IF(C385="","",IFERROR(IF(SUMPRODUCT(MAX((tbl_Finance[Job Number]=C385&amp;"")*(tbl_Finance[Xero Invoice No]&lt;&gt;"")*tbl_Finance[Date]))=0,"",SUMPRODUCT(MAX((tbl_Finance[Job Number]=C385&amp;"")*(tbl_Finance[Xero Invoice No]&lt;&gt;"")*tbl_Finance[Date]))),""))</f>
        <v/>
      </c>
      <c r="B385" s="25">
        <f>IF(C385="","",IF(COUNTIFS(tbl_Finance[Job Number],C385&amp;"",tbl_Finance[Xero Invoice No],"&lt;&gt;")=0,"",IFERROR(IF(COUNTIFS(tbl_Finance[Job Number],C385&amp;"",tbl_Finance[Xero Invoice No],LOOKUP(2,1/((tbl_Finance[Job Number]=C385&amp;"")*(tbl_Finance[Xero Invoice No]&lt;&gt;"")),tbl_Finance[Xero Invoice No]))=COUNTIFS(tbl_Finance[Job Number],C385&amp;"",tbl_Finance[Xero Invoice No],"&lt;&gt;"),LOOKUP(2,1/((tbl_Finance[Job Number]=C385&amp;"")*(tbl_Finance[Xero Invoice No]&lt;&gt;"")),tbl_Finance[Xero Invoice No]),LOOKUP(2,1/((tbl_Finance[Job Number]=C385&amp;"")*(tbl_Finance[Xero Invoice No]&lt;&gt;"")),tbl_Finance[Xero Invoice No])&amp;" +more"),"")))</f>
        <v/>
      </c>
      <c r="C385" s="24" t="n"/>
      <c r="D385" s="25">
        <f>IF(C385="","",IF(COUNTIF(lst_Jobs,C385&amp;"")&gt;0,"OK","CHECK"))</f>
        <v/>
      </c>
      <c r="E385" s="25">
        <f>IF(C385="","",IFERROR(INDEX(lst_JobName,MATCH(C385&amp;"",lst_Jobs,0)),""))</f>
        <v/>
      </c>
      <c r="F385" s="25">
        <f>IF(C385="","",IFERROR(INDEX(tbl_Finance[Client],MATCH(C385&amp;"",tbl_Finance[Job Number],0)),""))</f>
        <v/>
      </c>
      <c r="G385" s="28">
        <f>IF(C385="","",COUNTIFS(tbl_Finance[Job Number],C385&amp;"",tbl_Finance[Ex GST],"&lt;&gt;"))</f>
        <v/>
      </c>
      <c r="H385" s="27">
        <f>IF(C385="","",SUMIFS(tbl_Finance[Ex GST],tbl_Finance[Job Number],C385&amp;""))</f>
        <v/>
      </c>
      <c r="I385" s="27">
        <f>IF(C385="","",SUMIFS(tbl_Finance[Ex GST],tbl_Finance[Job Number],C385&amp;"",tbl_Finance[Xero Invoice No],"&lt;&gt;"))</f>
        <v/>
      </c>
      <c r="J385" s="27">
        <f>IF(C385="","",H385-I385)</f>
        <v/>
      </c>
      <c r="K385" s="25">
        <f>IF(C385="","",IF(G385=0,"not invoiced yet",SUBSTITUTE(TRIM(IF(COUNTIFS(tbl_Finance[Job Number],C385&amp;"",tbl_Finance[Cost Centre],"ONSITE")&gt;0,"ONSITE ","")&amp;IF(COUNTIFS(tbl_Finance[Job Number],C385&amp;"",tbl_Finance[Cost Centre],"PRODUCTION")&gt;0,"PRODUCTION ","")&amp;IF(COUNTIFS(tbl_Finance[Job Number],C385&amp;"",tbl_Finance[Cost Centre],"VIDEO")&gt;0,"VIDEO ","")&amp;IF(COUNTIFS(tbl_Finance[Job Number],C385&amp;"",tbl_Finance[Cost Centre],"INTEGRATION")&gt;0,"INTEGRATION ","")&amp;IF(COUNTIFS(tbl_Finance[Job Number],C385&amp;"",tbl_Finance[Cost Centre],"CONSULTING")&gt;0,"CONSULTING ","")&amp;IF(COUNTIFS(tbl_Finance[Job Number],C385&amp;"",tbl_Finance[Cost Centre],"CTS")&gt;0,"CTS ",""))," ",", ")))</f>
        <v/>
      </c>
      <c r="L385" s="22" t="n"/>
      <c r="M385" s="24" t="n"/>
      <c r="N385" s="25">
        <f>IF(M385="","",IF(AND(LEFT(M385,4)&lt;&gt;"http",set_RMSBase=""),"",HYPERLINK(IF(LEFT(M385,4)="http",M385,set_RMSBase&amp;M385),"Open opportunity")))</f>
        <v/>
      </c>
      <c r="O385" s="25">
        <f>IF(C385="","",C385)</f>
        <v/>
      </c>
      <c r="P385" s="24" t="n"/>
      <c r="Q385" s="26" t="n"/>
      <c r="R385" s="27">
        <f>IF(C385="","",H385+N(Q385))</f>
        <v/>
      </c>
      <c r="S385" s="29">
        <f>IFERROR(Q385/R385,"")</f>
        <v/>
      </c>
      <c r="T385" s="26" t="n"/>
      <c r="U385" s="26" t="n"/>
      <c r="V385" s="27">
        <f>IF(C385="","",N(T385)+N(U385))</f>
        <v/>
      </c>
      <c r="W385" s="27">
        <f>IF(C385="","",H385-V385)</f>
        <v/>
      </c>
      <c r="X385" s="29">
        <f>IFERROR(W385/H385,"")</f>
        <v/>
      </c>
      <c r="Y385" s="64" t="n"/>
      <c r="Z385" s="64" t="n"/>
      <c r="AA385" s="64" t="n"/>
      <c r="AB385" s="64" t="n"/>
      <c r="AC385" s="64" t="n"/>
      <c r="AD385" s="24" t="n"/>
    </row>
    <row r="386" ht="15" customHeight="1">
      <c r="A386" s="63">
        <f>IF(C386="","",IFERROR(IF(SUMPRODUCT(MAX((tbl_Finance[Job Number]=C386&amp;"")*(tbl_Finance[Xero Invoice No]&lt;&gt;"")*tbl_Finance[Date]))=0,"",SUMPRODUCT(MAX((tbl_Finance[Job Number]=C386&amp;"")*(tbl_Finance[Xero Invoice No]&lt;&gt;"")*tbl_Finance[Date]))),""))</f>
        <v/>
      </c>
      <c r="B386" s="25">
        <f>IF(C386="","",IF(COUNTIFS(tbl_Finance[Job Number],C386&amp;"",tbl_Finance[Xero Invoice No],"&lt;&gt;")=0,"",IFERROR(IF(COUNTIFS(tbl_Finance[Job Number],C386&amp;"",tbl_Finance[Xero Invoice No],LOOKUP(2,1/((tbl_Finance[Job Number]=C386&amp;"")*(tbl_Finance[Xero Invoice No]&lt;&gt;"")),tbl_Finance[Xero Invoice No]))=COUNTIFS(tbl_Finance[Job Number],C386&amp;"",tbl_Finance[Xero Invoice No],"&lt;&gt;"),LOOKUP(2,1/((tbl_Finance[Job Number]=C386&amp;"")*(tbl_Finance[Xero Invoice No]&lt;&gt;"")),tbl_Finance[Xero Invoice No]),LOOKUP(2,1/((tbl_Finance[Job Number]=C386&amp;"")*(tbl_Finance[Xero Invoice No]&lt;&gt;"")),tbl_Finance[Xero Invoice No])&amp;" +more"),"")))</f>
        <v/>
      </c>
      <c r="C386" s="24" t="n"/>
      <c r="D386" s="25">
        <f>IF(C386="","",IF(COUNTIF(lst_Jobs,C386&amp;"")&gt;0,"OK","CHECK"))</f>
        <v/>
      </c>
      <c r="E386" s="25">
        <f>IF(C386="","",IFERROR(INDEX(lst_JobName,MATCH(C386&amp;"",lst_Jobs,0)),""))</f>
        <v/>
      </c>
      <c r="F386" s="25">
        <f>IF(C386="","",IFERROR(INDEX(tbl_Finance[Client],MATCH(C386&amp;"",tbl_Finance[Job Number],0)),""))</f>
        <v/>
      </c>
      <c r="G386" s="28">
        <f>IF(C386="","",COUNTIFS(tbl_Finance[Job Number],C386&amp;"",tbl_Finance[Ex GST],"&lt;&gt;"))</f>
        <v/>
      </c>
      <c r="H386" s="27">
        <f>IF(C386="","",SUMIFS(tbl_Finance[Ex GST],tbl_Finance[Job Number],C386&amp;""))</f>
        <v/>
      </c>
      <c r="I386" s="27">
        <f>IF(C386="","",SUMIFS(tbl_Finance[Ex GST],tbl_Finance[Job Number],C386&amp;"",tbl_Finance[Xero Invoice No],"&lt;&gt;"))</f>
        <v/>
      </c>
      <c r="J386" s="27">
        <f>IF(C386="","",H386-I386)</f>
        <v/>
      </c>
      <c r="K386" s="25">
        <f>IF(C386="","",IF(G386=0,"not invoiced yet",SUBSTITUTE(TRIM(IF(COUNTIFS(tbl_Finance[Job Number],C386&amp;"",tbl_Finance[Cost Centre],"ONSITE")&gt;0,"ONSITE ","")&amp;IF(COUNTIFS(tbl_Finance[Job Number],C386&amp;"",tbl_Finance[Cost Centre],"PRODUCTION")&gt;0,"PRODUCTION ","")&amp;IF(COUNTIFS(tbl_Finance[Job Number],C386&amp;"",tbl_Finance[Cost Centre],"VIDEO")&gt;0,"VIDEO ","")&amp;IF(COUNTIFS(tbl_Finance[Job Number],C386&amp;"",tbl_Finance[Cost Centre],"INTEGRATION")&gt;0,"INTEGRATION ","")&amp;IF(COUNTIFS(tbl_Finance[Job Number],C386&amp;"",tbl_Finance[Cost Centre],"CONSULTING")&gt;0,"CONSULTING ","")&amp;IF(COUNTIFS(tbl_Finance[Job Number],C386&amp;"",tbl_Finance[Cost Centre],"CTS")&gt;0,"CTS ",""))," ",", ")))</f>
        <v/>
      </c>
      <c r="L386" s="22" t="n"/>
      <c r="M386" s="24" t="n"/>
      <c r="N386" s="25">
        <f>IF(M386="","",IF(AND(LEFT(M386,4)&lt;&gt;"http",set_RMSBase=""),"",HYPERLINK(IF(LEFT(M386,4)="http",M386,set_RMSBase&amp;M386),"Open opportunity")))</f>
        <v/>
      </c>
      <c r="O386" s="25">
        <f>IF(C386="","",C386)</f>
        <v/>
      </c>
      <c r="P386" s="24" t="n"/>
      <c r="Q386" s="26" t="n"/>
      <c r="R386" s="27">
        <f>IF(C386="","",H386+N(Q386))</f>
        <v/>
      </c>
      <c r="S386" s="29">
        <f>IFERROR(Q386/R386,"")</f>
        <v/>
      </c>
      <c r="T386" s="26" t="n"/>
      <c r="U386" s="26" t="n"/>
      <c r="V386" s="27">
        <f>IF(C386="","",N(T386)+N(U386))</f>
        <v/>
      </c>
      <c r="W386" s="27">
        <f>IF(C386="","",H386-V386)</f>
        <v/>
      </c>
      <c r="X386" s="29">
        <f>IFERROR(W386/H386,"")</f>
        <v/>
      </c>
      <c r="Y386" s="64" t="n"/>
      <c r="Z386" s="64" t="n"/>
      <c r="AA386" s="64" t="n"/>
      <c r="AB386" s="64" t="n"/>
      <c r="AC386" s="64" t="n"/>
      <c r="AD386" s="24" t="n"/>
    </row>
    <row r="387" ht="15" customHeight="1">
      <c r="A387" s="63">
        <f>IF(C387="","",IFERROR(IF(SUMPRODUCT(MAX((tbl_Finance[Job Number]=C387&amp;"")*(tbl_Finance[Xero Invoice No]&lt;&gt;"")*tbl_Finance[Date]))=0,"",SUMPRODUCT(MAX((tbl_Finance[Job Number]=C387&amp;"")*(tbl_Finance[Xero Invoice No]&lt;&gt;"")*tbl_Finance[Date]))),""))</f>
        <v/>
      </c>
      <c r="B387" s="25">
        <f>IF(C387="","",IF(COUNTIFS(tbl_Finance[Job Number],C387&amp;"",tbl_Finance[Xero Invoice No],"&lt;&gt;")=0,"",IFERROR(IF(COUNTIFS(tbl_Finance[Job Number],C387&amp;"",tbl_Finance[Xero Invoice No],LOOKUP(2,1/((tbl_Finance[Job Number]=C387&amp;"")*(tbl_Finance[Xero Invoice No]&lt;&gt;"")),tbl_Finance[Xero Invoice No]))=COUNTIFS(tbl_Finance[Job Number],C387&amp;"",tbl_Finance[Xero Invoice No],"&lt;&gt;"),LOOKUP(2,1/((tbl_Finance[Job Number]=C387&amp;"")*(tbl_Finance[Xero Invoice No]&lt;&gt;"")),tbl_Finance[Xero Invoice No]),LOOKUP(2,1/((tbl_Finance[Job Number]=C387&amp;"")*(tbl_Finance[Xero Invoice No]&lt;&gt;"")),tbl_Finance[Xero Invoice No])&amp;" +more"),"")))</f>
        <v/>
      </c>
      <c r="C387" s="24" t="n"/>
      <c r="D387" s="25">
        <f>IF(C387="","",IF(COUNTIF(lst_Jobs,C387&amp;"")&gt;0,"OK","CHECK"))</f>
        <v/>
      </c>
      <c r="E387" s="25">
        <f>IF(C387="","",IFERROR(INDEX(lst_JobName,MATCH(C387&amp;"",lst_Jobs,0)),""))</f>
        <v/>
      </c>
      <c r="F387" s="25">
        <f>IF(C387="","",IFERROR(INDEX(tbl_Finance[Client],MATCH(C387&amp;"",tbl_Finance[Job Number],0)),""))</f>
        <v/>
      </c>
      <c r="G387" s="28">
        <f>IF(C387="","",COUNTIFS(tbl_Finance[Job Number],C387&amp;"",tbl_Finance[Ex GST],"&lt;&gt;"))</f>
        <v/>
      </c>
      <c r="H387" s="27">
        <f>IF(C387="","",SUMIFS(tbl_Finance[Ex GST],tbl_Finance[Job Number],C387&amp;""))</f>
        <v/>
      </c>
      <c r="I387" s="27">
        <f>IF(C387="","",SUMIFS(tbl_Finance[Ex GST],tbl_Finance[Job Number],C387&amp;"",tbl_Finance[Xero Invoice No],"&lt;&gt;"))</f>
        <v/>
      </c>
      <c r="J387" s="27">
        <f>IF(C387="","",H387-I387)</f>
        <v/>
      </c>
      <c r="K387" s="25">
        <f>IF(C387="","",IF(G387=0,"not invoiced yet",SUBSTITUTE(TRIM(IF(COUNTIFS(tbl_Finance[Job Number],C387&amp;"",tbl_Finance[Cost Centre],"ONSITE")&gt;0,"ONSITE ","")&amp;IF(COUNTIFS(tbl_Finance[Job Number],C387&amp;"",tbl_Finance[Cost Centre],"PRODUCTION")&gt;0,"PRODUCTION ","")&amp;IF(COUNTIFS(tbl_Finance[Job Number],C387&amp;"",tbl_Finance[Cost Centre],"VIDEO")&gt;0,"VIDEO ","")&amp;IF(COUNTIFS(tbl_Finance[Job Number],C387&amp;"",tbl_Finance[Cost Centre],"INTEGRATION")&gt;0,"INTEGRATION ","")&amp;IF(COUNTIFS(tbl_Finance[Job Number],C387&amp;"",tbl_Finance[Cost Centre],"CONSULTING")&gt;0,"CONSULTING ","")&amp;IF(COUNTIFS(tbl_Finance[Job Number],C387&amp;"",tbl_Finance[Cost Centre],"CTS")&gt;0,"CTS ",""))," ",", ")))</f>
        <v/>
      </c>
      <c r="L387" s="22" t="n"/>
      <c r="M387" s="24" t="n"/>
      <c r="N387" s="25">
        <f>IF(M387="","",IF(AND(LEFT(M387,4)&lt;&gt;"http",set_RMSBase=""),"",HYPERLINK(IF(LEFT(M387,4)="http",M387,set_RMSBase&amp;M387),"Open opportunity")))</f>
        <v/>
      </c>
      <c r="O387" s="25">
        <f>IF(C387="","",C387)</f>
        <v/>
      </c>
      <c r="P387" s="24" t="n"/>
      <c r="Q387" s="26" t="n"/>
      <c r="R387" s="27">
        <f>IF(C387="","",H387+N(Q387))</f>
        <v/>
      </c>
      <c r="S387" s="29">
        <f>IFERROR(Q387/R387,"")</f>
        <v/>
      </c>
      <c r="T387" s="26" t="n"/>
      <c r="U387" s="26" t="n"/>
      <c r="V387" s="27">
        <f>IF(C387="","",N(T387)+N(U387))</f>
        <v/>
      </c>
      <c r="W387" s="27">
        <f>IF(C387="","",H387-V387)</f>
        <v/>
      </c>
      <c r="X387" s="29">
        <f>IFERROR(W387/H387,"")</f>
        <v/>
      </c>
      <c r="Y387" s="64" t="n"/>
      <c r="Z387" s="64" t="n"/>
      <c r="AA387" s="64" t="n"/>
      <c r="AB387" s="64" t="n"/>
      <c r="AC387" s="64" t="n"/>
      <c r="AD387" s="24" t="n"/>
    </row>
    <row r="388" ht="15" customHeight="1">
      <c r="A388" s="63">
        <f>IF(C388="","",IFERROR(IF(SUMPRODUCT(MAX((tbl_Finance[Job Number]=C388&amp;"")*(tbl_Finance[Xero Invoice No]&lt;&gt;"")*tbl_Finance[Date]))=0,"",SUMPRODUCT(MAX((tbl_Finance[Job Number]=C388&amp;"")*(tbl_Finance[Xero Invoice No]&lt;&gt;"")*tbl_Finance[Date]))),""))</f>
        <v/>
      </c>
      <c r="B388" s="25">
        <f>IF(C388="","",IF(COUNTIFS(tbl_Finance[Job Number],C388&amp;"",tbl_Finance[Xero Invoice No],"&lt;&gt;")=0,"",IFERROR(IF(COUNTIFS(tbl_Finance[Job Number],C388&amp;"",tbl_Finance[Xero Invoice No],LOOKUP(2,1/((tbl_Finance[Job Number]=C388&amp;"")*(tbl_Finance[Xero Invoice No]&lt;&gt;"")),tbl_Finance[Xero Invoice No]))=COUNTIFS(tbl_Finance[Job Number],C388&amp;"",tbl_Finance[Xero Invoice No],"&lt;&gt;"),LOOKUP(2,1/((tbl_Finance[Job Number]=C388&amp;"")*(tbl_Finance[Xero Invoice No]&lt;&gt;"")),tbl_Finance[Xero Invoice No]),LOOKUP(2,1/((tbl_Finance[Job Number]=C388&amp;"")*(tbl_Finance[Xero Invoice No]&lt;&gt;"")),tbl_Finance[Xero Invoice No])&amp;" +more"),"")))</f>
        <v/>
      </c>
      <c r="C388" s="24" t="n"/>
      <c r="D388" s="25">
        <f>IF(C388="","",IF(COUNTIF(lst_Jobs,C388&amp;"")&gt;0,"OK","CHECK"))</f>
        <v/>
      </c>
      <c r="E388" s="25">
        <f>IF(C388="","",IFERROR(INDEX(lst_JobName,MATCH(C388&amp;"",lst_Jobs,0)),""))</f>
        <v/>
      </c>
      <c r="F388" s="25">
        <f>IF(C388="","",IFERROR(INDEX(tbl_Finance[Client],MATCH(C388&amp;"",tbl_Finance[Job Number],0)),""))</f>
        <v/>
      </c>
      <c r="G388" s="28">
        <f>IF(C388="","",COUNTIFS(tbl_Finance[Job Number],C388&amp;"",tbl_Finance[Ex GST],"&lt;&gt;"))</f>
        <v/>
      </c>
      <c r="H388" s="27">
        <f>IF(C388="","",SUMIFS(tbl_Finance[Ex GST],tbl_Finance[Job Number],C388&amp;""))</f>
        <v/>
      </c>
      <c r="I388" s="27">
        <f>IF(C388="","",SUMIFS(tbl_Finance[Ex GST],tbl_Finance[Job Number],C388&amp;"",tbl_Finance[Xero Invoice No],"&lt;&gt;"))</f>
        <v/>
      </c>
      <c r="J388" s="27">
        <f>IF(C388="","",H388-I388)</f>
        <v/>
      </c>
      <c r="K388" s="25">
        <f>IF(C388="","",IF(G388=0,"not invoiced yet",SUBSTITUTE(TRIM(IF(COUNTIFS(tbl_Finance[Job Number],C388&amp;"",tbl_Finance[Cost Centre],"ONSITE")&gt;0,"ONSITE ","")&amp;IF(COUNTIFS(tbl_Finance[Job Number],C388&amp;"",tbl_Finance[Cost Centre],"PRODUCTION")&gt;0,"PRODUCTION ","")&amp;IF(COUNTIFS(tbl_Finance[Job Number],C388&amp;"",tbl_Finance[Cost Centre],"VIDEO")&gt;0,"VIDEO ","")&amp;IF(COUNTIFS(tbl_Finance[Job Number],C388&amp;"",tbl_Finance[Cost Centre],"INTEGRATION")&gt;0,"INTEGRATION ","")&amp;IF(COUNTIFS(tbl_Finance[Job Number],C388&amp;"",tbl_Finance[Cost Centre],"CONSULTING")&gt;0,"CONSULTING ","")&amp;IF(COUNTIFS(tbl_Finance[Job Number],C388&amp;"",tbl_Finance[Cost Centre],"CTS")&gt;0,"CTS ",""))," ",", ")))</f>
        <v/>
      </c>
      <c r="L388" s="22" t="n"/>
      <c r="M388" s="24" t="n"/>
      <c r="N388" s="25">
        <f>IF(M388="","",IF(AND(LEFT(M388,4)&lt;&gt;"http",set_RMSBase=""),"",HYPERLINK(IF(LEFT(M388,4)="http",M388,set_RMSBase&amp;M388),"Open opportunity")))</f>
        <v/>
      </c>
      <c r="O388" s="25">
        <f>IF(C388="","",C388)</f>
        <v/>
      </c>
      <c r="P388" s="24" t="n"/>
      <c r="Q388" s="26" t="n"/>
      <c r="R388" s="27">
        <f>IF(C388="","",H388+N(Q388))</f>
        <v/>
      </c>
      <c r="S388" s="29">
        <f>IFERROR(Q388/R388,"")</f>
        <v/>
      </c>
      <c r="T388" s="26" t="n"/>
      <c r="U388" s="26" t="n"/>
      <c r="V388" s="27">
        <f>IF(C388="","",N(T388)+N(U388))</f>
        <v/>
      </c>
      <c r="W388" s="27">
        <f>IF(C388="","",H388-V388)</f>
        <v/>
      </c>
      <c r="X388" s="29">
        <f>IFERROR(W388/H388,"")</f>
        <v/>
      </c>
      <c r="Y388" s="64" t="n"/>
      <c r="Z388" s="64" t="n"/>
      <c r="AA388" s="64" t="n"/>
      <c r="AB388" s="64" t="n"/>
      <c r="AC388" s="64" t="n"/>
      <c r="AD388" s="24" t="n"/>
    </row>
    <row r="389" ht="15" customHeight="1">
      <c r="A389" s="63">
        <f>IF(C389="","",IFERROR(IF(SUMPRODUCT(MAX((tbl_Finance[Job Number]=C389&amp;"")*(tbl_Finance[Xero Invoice No]&lt;&gt;"")*tbl_Finance[Date]))=0,"",SUMPRODUCT(MAX((tbl_Finance[Job Number]=C389&amp;"")*(tbl_Finance[Xero Invoice No]&lt;&gt;"")*tbl_Finance[Date]))),""))</f>
        <v/>
      </c>
      <c r="B389" s="25">
        <f>IF(C389="","",IF(COUNTIFS(tbl_Finance[Job Number],C389&amp;"",tbl_Finance[Xero Invoice No],"&lt;&gt;")=0,"",IFERROR(IF(COUNTIFS(tbl_Finance[Job Number],C389&amp;"",tbl_Finance[Xero Invoice No],LOOKUP(2,1/((tbl_Finance[Job Number]=C389&amp;"")*(tbl_Finance[Xero Invoice No]&lt;&gt;"")),tbl_Finance[Xero Invoice No]))=COUNTIFS(tbl_Finance[Job Number],C389&amp;"",tbl_Finance[Xero Invoice No],"&lt;&gt;"),LOOKUP(2,1/((tbl_Finance[Job Number]=C389&amp;"")*(tbl_Finance[Xero Invoice No]&lt;&gt;"")),tbl_Finance[Xero Invoice No]),LOOKUP(2,1/((tbl_Finance[Job Number]=C389&amp;"")*(tbl_Finance[Xero Invoice No]&lt;&gt;"")),tbl_Finance[Xero Invoice No])&amp;" +more"),"")))</f>
        <v/>
      </c>
      <c r="C389" s="24" t="n"/>
      <c r="D389" s="25">
        <f>IF(C389="","",IF(COUNTIF(lst_Jobs,C389&amp;"")&gt;0,"OK","CHECK"))</f>
        <v/>
      </c>
      <c r="E389" s="25">
        <f>IF(C389="","",IFERROR(INDEX(lst_JobName,MATCH(C389&amp;"",lst_Jobs,0)),""))</f>
        <v/>
      </c>
      <c r="F389" s="25">
        <f>IF(C389="","",IFERROR(INDEX(tbl_Finance[Client],MATCH(C389&amp;"",tbl_Finance[Job Number],0)),""))</f>
        <v/>
      </c>
      <c r="G389" s="28">
        <f>IF(C389="","",COUNTIFS(tbl_Finance[Job Number],C389&amp;"",tbl_Finance[Ex GST],"&lt;&gt;"))</f>
        <v/>
      </c>
      <c r="H389" s="27">
        <f>IF(C389="","",SUMIFS(tbl_Finance[Ex GST],tbl_Finance[Job Number],C389&amp;""))</f>
        <v/>
      </c>
      <c r="I389" s="27">
        <f>IF(C389="","",SUMIFS(tbl_Finance[Ex GST],tbl_Finance[Job Number],C389&amp;"",tbl_Finance[Xero Invoice No],"&lt;&gt;"))</f>
        <v/>
      </c>
      <c r="J389" s="27">
        <f>IF(C389="","",H389-I389)</f>
        <v/>
      </c>
      <c r="K389" s="25">
        <f>IF(C389="","",IF(G389=0,"not invoiced yet",SUBSTITUTE(TRIM(IF(COUNTIFS(tbl_Finance[Job Number],C389&amp;"",tbl_Finance[Cost Centre],"ONSITE")&gt;0,"ONSITE ","")&amp;IF(COUNTIFS(tbl_Finance[Job Number],C389&amp;"",tbl_Finance[Cost Centre],"PRODUCTION")&gt;0,"PRODUCTION ","")&amp;IF(COUNTIFS(tbl_Finance[Job Number],C389&amp;"",tbl_Finance[Cost Centre],"VIDEO")&gt;0,"VIDEO ","")&amp;IF(COUNTIFS(tbl_Finance[Job Number],C389&amp;"",tbl_Finance[Cost Centre],"INTEGRATION")&gt;0,"INTEGRATION ","")&amp;IF(COUNTIFS(tbl_Finance[Job Number],C389&amp;"",tbl_Finance[Cost Centre],"CONSULTING")&gt;0,"CONSULTING ","")&amp;IF(COUNTIFS(tbl_Finance[Job Number],C389&amp;"",tbl_Finance[Cost Centre],"CTS")&gt;0,"CTS ",""))," ",", ")))</f>
        <v/>
      </c>
      <c r="L389" s="22" t="n"/>
      <c r="M389" s="24" t="n"/>
      <c r="N389" s="25">
        <f>IF(M389="","",IF(AND(LEFT(M389,4)&lt;&gt;"http",set_RMSBase=""),"",HYPERLINK(IF(LEFT(M389,4)="http",M389,set_RMSBase&amp;M389),"Open opportunity")))</f>
        <v/>
      </c>
      <c r="O389" s="25">
        <f>IF(C389="","",C389)</f>
        <v/>
      </c>
      <c r="P389" s="24" t="n"/>
      <c r="Q389" s="26" t="n"/>
      <c r="R389" s="27">
        <f>IF(C389="","",H389+N(Q389))</f>
        <v/>
      </c>
      <c r="S389" s="29">
        <f>IFERROR(Q389/R389,"")</f>
        <v/>
      </c>
      <c r="T389" s="26" t="n"/>
      <c r="U389" s="26" t="n"/>
      <c r="V389" s="27">
        <f>IF(C389="","",N(T389)+N(U389))</f>
        <v/>
      </c>
      <c r="W389" s="27">
        <f>IF(C389="","",H389-V389)</f>
        <v/>
      </c>
      <c r="X389" s="29">
        <f>IFERROR(W389/H389,"")</f>
        <v/>
      </c>
      <c r="Y389" s="64" t="n"/>
      <c r="Z389" s="64" t="n"/>
      <c r="AA389" s="64" t="n"/>
      <c r="AB389" s="64" t="n"/>
      <c r="AC389" s="64" t="n"/>
      <c r="AD389" s="24" t="n"/>
    </row>
    <row r="390" ht="15" customHeight="1">
      <c r="A390" s="63">
        <f>IF(C390="","",IFERROR(IF(SUMPRODUCT(MAX((tbl_Finance[Job Number]=C390&amp;"")*(tbl_Finance[Xero Invoice No]&lt;&gt;"")*tbl_Finance[Date]))=0,"",SUMPRODUCT(MAX((tbl_Finance[Job Number]=C390&amp;"")*(tbl_Finance[Xero Invoice No]&lt;&gt;"")*tbl_Finance[Date]))),""))</f>
        <v/>
      </c>
      <c r="B390" s="25">
        <f>IF(C390="","",IF(COUNTIFS(tbl_Finance[Job Number],C390&amp;"",tbl_Finance[Xero Invoice No],"&lt;&gt;")=0,"",IFERROR(IF(COUNTIFS(tbl_Finance[Job Number],C390&amp;"",tbl_Finance[Xero Invoice No],LOOKUP(2,1/((tbl_Finance[Job Number]=C390&amp;"")*(tbl_Finance[Xero Invoice No]&lt;&gt;"")),tbl_Finance[Xero Invoice No]))=COUNTIFS(tbl_Finance[Job Number],C390&amp;"",tbl_Finance[Xero Invoice No],"&lt;&gt;"),LOOKUP(2,1/((tbl_Finance[Job Number]=C390&amp;"")*(tbl_Finance[Xero Invoice No]&lt;&gt;"")),tbl_Finance[Xero Invoice No]),LOOKUP(2,1/((tbl_Finance[Job Number]=C390&amp;"")*(tbl_Finance[Xero Invoice No]&lt;&gt;"")),tbl_Finance[Xero Invoice No])&amp;" +more"),"")))</f>
        <v/>
      </c>
      <c r="C390" s="24" t="n"/>
      <c r="D390" s="25">
        <f>IF(C390="","",IF(COUNTIF(lst_Jobs,C390&amp;"")&gt;0,"OK","CHECK"))</f>
        <v/>
      </c>
      <c r="E390" s="25">
        <f>IF(C390="","",IFERROR(INDEX(lst_JobName,MATCH(C390&amp;"",lst_Jobs,0)),""))</f>
        <v/>
      </c>
      <c r="F390" s="25">
        <f>IF(C390="","",IFERROR(INDEX(tbl_Finance[Client],MATCH(C390&amp;"",tbl_Finance[Job Number],0)),""))</f>
        <v/>
      </c>
      <c r="G390" s="28">
        <f>IF(C390="","",COUNTIFS(tbl_Finance[Job Number],C390&amp;"",tbl_Finance[Ex GST],"&lt;&gt;"))</f>
        <v/>
      </c>
      <c r="H390" s="27">
        <f>IF(C390="","",SUMIFS(tbl_Finance[Ex GST],tbl_Finance[Job Number],C390&amp;""))</f>
        <v/>
      </c>
      <c r="I390" s="27">
        <f>IF(C390="","",SUMIFS(tbl_Finance[Ex GST],tbl_Finance[Job Number],C390&amp;"",tbl_Finance[Xero Invoice No],"&lt;&gt;"))</f>
        <v/>
      </c>
      <c r="J390" s="27">
        <f>IF(C390="","",H390-I390)</f>
        <v/>
      </c>
      <c r="K390" s="25">
        <f>IF(C390="","",IF(G390=0,"not invoiced yet",SUBSTITUTE(TRIM(IF(COUNTIFS(tbl_Finance[Job Number],C390&amp;"",tbl_Finance[Cost Centre],"ONSITE")&gt;0,"ONSITE ","")&amp;IF(COUNTIFS(tbl_Finance[Job Number],C390&amp;"",tbl_Finance[Cost Centre],"PRODUCTION")&gt;0,"PRODUCTION ","")&amp;IF(COUNTIFS(tbl_Finance[Job Number],C390&amp;"",tbl_Finance[Cost Centre],"VIDEO")&gt;0,"VIDEO ","")&amp;IF(COUNTIFS(tbl_Finance[Job Number],C390&amp;"",tbl_Finance[Cost Centre],"INTEGRATION")&gt;0,"INTEGRATION ","")&amp;IF(COUNTIFS(tbl_Finance[Job Number],C390&amp;"",tbl_Finance[Cost Centre],"CONSULTING")&gt;0,"CONSULTING ","")&amp;IF(COUNTIFS(tbl_Finance[Job Number],C390&amp;"",tbl_Finance[Cost Centre],"CTS")&gt;0,"CTS ",""))," ",", ")))</f>
        <v/>
      </c>
      <c r="L390" s="22" t="n"/>
      <c r="M390" s="24" t="n"/>
      <c r="N390" s="25">
        <f>IF(M390="","",IF(AND(LEFT(M390,4)&lt;&gt;"http",set_RMSBase=""),"",HYPERLINK(IF(LEFT(M390,4)="http",M390,set_RMSBase&amp;M390),"Open opportunity")))</f>
        <v/>
      </c>
      <c r="O390" s="25">
        <f>IF(C390="","",C390)</f>
        <v/>
      </c>
      <c r="P390" s="24" t="n"/>
      <c r="Q390" s="26" t="n"/>
      <c r="R390" s="27">
        <f>IF(C390="","",H390+N(Q390))</f>
        <v/>
      </c>
      <c r="S390" s="29">
        <f>IFERROR(Q390/R390,"")</f>
        <v/>
      </c>
      <c r="T390" s="26" t="n"/>
      <c r="U390" s="26" t="n"/>
      <c r="V390" s="27">
        <f>IF(C390="","",N(T390)+N(U390))</f>
        <v/>
      </c>
      <c r="W390" s="27">
        <f>IF(C390="","",H390-V390)</f>
        <v/>
      </c>
      <c r="X390" s="29">
        <f>IFERROR(W390/H390,"")</f>
        <v/>
      </c>
      <c r="Y390" s="64" t="n"/>
      <c r="Z390" s="64" t="n"/>
      <c r="AA390" s="64" t="n"/>
      <c r="AB390" s="64" t="n"/>
      <c r="AC390" s="64" t="n"/>
      <c r="AD390" s="24" t="n"/>
    </row>
    <row r="391" ht="15" customHeight="1">
      <c r="A391" s="63">
        <f>IF(C391="","",IFERROR(IF(SUMPRODUCT(MAX((tbl_Finance[Job Number]=C391&amp;"")*(tbl_Finance[Xero Invoice No]&lt;&gt;"")*tbl_Finance[Date]))=0,"",SUMPRODUCT(MAX((tbl_Finance[Job Number]=C391&amp;"")*(tbl_Finance[Xero Invoice No]&lt;&gt;"")*tbl_Finance[Date]))),""))</f>
        <v/>
      </c>
      <c r="B391" s="25">
        <f>IF(C391="","",IF(COUNTIFS(tbl_Finance[Job Number],C391&amp;"",tbl_Finance[Xero Invoice No],"&lt;&gt;")=0,"",IFERROR(IF(COUNTIFS(tbl_Finance[Job Number],C391&amp;"",tbl_Finance[Xero Invoice No],LOOKUP(2,1/((tbl_Finance[Job Number]=C391&amp;"")*(tbl_Finance[Xero Invoice No]&lt;&gt;"")),tbl_Finance[Xero Invoice No]))=COUNTIFS(tbl_Finance[Job Number],C391&amp;"",tbl_Finance[Xero Invoice No],"&lt;&gt;"),LOOKUP(2,1/((tbl_Finance[Job Number]=C391&amp;"")*(tbl_Finance[Xero Invoice No]&lt;&gt;"")),tbl_Finance[Xero Invoice No]),LOOKUP(2,1/((tbl_Finance[Job Number]=C391&amp;"")*(tbl_Finance[Xero Invoice No]&lt;&gt;"")),tbl_Finance[Xero Invoice No])&amp;" +more"),"")))</f>
        <v/>
      </c>
      <c r="C391" s="24" t="n"/>
      <c r="D391" s="25">
        <f>IF(C391="","",IF(COUNTIF(lst_Jobs,C391&amp;"")&gt;0,"OK","CHECK"))</f>
        <v/>
      </c>
      <c r="E391" s="25">
        <f>IF(C391="","",IFERROR(INDEX(lst_JobName,MATCH(C391&amp;"",lst_Jobs,0)),""))</f>
        <v/>
      </c>
      <c r="F391" s="25">
        <f>IF(C391="","",IFERROR(INDEX(tbl_Finance[Client],MATCH(C391&amp;"",tbl_Finance[Job Number],0)),""))</f>
        <v/>
      </c>
      <c r="G391" s="28">
        <f>IF(C391="","",COUNTIFS(tbl_Finance[Job Number],C391&amp;"",tbl_Finance[Ex GST],"&lt;&gt;"))</f>
        <v/>
      </c>
      <c r="H391" s="27">
        <f>IF(C391="","",SUMIFS(tbl_Finance[Ex GST],tbl_Finance[Job Number],C391&amp;""))</f>
        <v/>
      </c>
      <c r="I391" s="27">
        <f>IF(C391="","",SUMIFS(tbl_Finance[Ex GST],tbl_Finance[Job Number],C391&amp;"",tbl_Finance[Xero Invoice No],"&lt;&gt;"))</f>
        <v/>
      </c>
      <c r="J391" s="27">
        <f>IF(C391="","",H391-I391)</f>
        <v/>
      </c>
      <c r="K391" s="25">
        <f>IF(C391="","",IF(G391=0,"not invoiced yet",SUBSTITUTE(TRIM(IF(COUNTIFS(tbl_Finance[Job Number],C391&amp;"",tbl_Finance[Cost Centre],"ONSITE")&gt;0,"ONSITE ","")&amp;IF(COUNTIFS(tbl_Finance[Job Number],C391&amp;"",tbl_Finance[Cost Centre],"PRODUCTION")&gt;0,"PRODUCTION ","")&amp;IF(COUNTIFS(tbl_Finance[Job Number],C391&amp;"",tbl_Finance[Cost Centre],"VIDEO")&gt;0,"VIDEO ","")&amp;IF(COUNTIFS(tbl_Finance[Job Number],C391&amp;"",tbl_Finance[Cost Centre],"INTEGRATION")&gt;0,"INTEGRATION ","")&amp;IF(COUNTIFS(tbl_Finance[Job Number],C391&amp;"",tbl_Finance[Cost Centre],"CONSULTING")&gt;0,"CONSULTING ","")&amp;IF(COUNTIFS(tbl_Finance[Job Number],C391&amp;"",tbl_Finance[Cost Centre],"CTS")&gt;0,"CTS ",""))," ",", ")))</f>
        <v/>
      </c>
      <c r="L391" s="22" t="n"/>
      <c r="M391" s="24" t="n"/>
      <c r="N391" s="25">
        <f>IF(M391="","",IF(AND(LEFT(M391,4)&lt;&gt;"http",set_RMSBase=""),"",HYPERLINK(IF(LEFT(M391,4)="http",M391,set_RMSBase&amp;M391),"Open opportunity")))</f>
        <v/>
      </c>
      <c r="O391" s="25">
        <f>IF(C391="","",C391)</f>
        <v/>
      </c>
      <c r="P391" s="24" t="n"/>
      <c r="Q391" s="26" t="n"/>
      <c r="R391" s="27">
        <f>IF(C391="","",H391+N(Q391))</f>
        <v/>
      </c>
      <c r="S391" s="29">
        <f>IFERROR(Q391/R391,"")</f>
        <v/>
      </c>
      <c r="T391" s="26" t="n"/>
      <c r="U391" s="26" t="n"/>
      <c r="V391" s="27">
        <f>IF(C391="","",N(T391)+N(U391))</f>
        <v/>
      </c>
      <c r="W391" s="27">
        <f>IF(C391="","",H391-V391)</f>
        <v/>
      </c>
      <c r="X391" s="29">
        <f>IFERROR(W391/H391,"")</f>
        <v/>
      </c>
      <c r="Y391" s="64" t="n"/>
      <c r="Z391" s="64" t="n"/>
      <c r="AA391" s="64" t="n"/>
      <c r="AB391" s="64" t="n"/>
      <c r="AC391" s="64" t="n"/>
      <c r="AD391" s="24" t="n"/>
    </row>
    <row r="392" ht="15" customHeight="1">
      <c r="A392" s="63">
        <f>IF(C392="","",IFERROR(IF(SUMPRODUCT(MAX((tbl_Finance[Job Number]=C392&amp;"")*(tbl_Finance[Xero Invoice No]&lt;&gt;"")*tbl_Finance[Date]))=0,"",SUMPRODUCT(MAX((tbl_Finance[Job Number]=C392&amp;"")*(tbl_Finance[Xero Invoice No]&lt;&gt;"")*tbl_Finance[Date]))),""))</f>
        <v/>
      </c>
      <c r="B392" s="25">
        <f>IF(C392="","",IF(COUNTIFS(tbl_Finance[Job Number],C392&amp;"",tbl_Finance[Xero Invoice No],"&lt;&gt;")=0,"",IFERROR(IF(COUNTIFS(tbl_Finance[Job Number],C392&amp;"",tbl_Finance[Xero Invoice No],LOOKUP(2,1/((tbl_Finance[Job Number]=C392&amp;"")*(tbl_Finance[Xero Invoice No]&lt;&gt;"")),tbl_Finance[Xero Invoice No]))=COUNTIFS(tbl_Finance[Job Number],C392&amp;"",tbl_Finance[Xero Invoice No],"&lt;&gt;"),LOOKUP(2,1/((tbl_Finance[Job Number]=C392&amp;"")*(tbl_Finance[Xero Invoice No]&lt;&gt;"")),tbl_Finance[Xero Invoice No]),LOOKUP(2,1/((tbl_Finance[Job Number]=C392&amp;"")*(tbl_Finance[Xero Invoice No]&lt;&gt;"")),tbl_Finance[Xero Invoice No])&amp;" +more"),"")))</f>
        <v/>
      </c>
      <c r="C392" s="24" t="n"/>
      <c r="D392" s="25">
        <f>IF(C392="","",IF(COUNTIF(lst_Jobs,C392&amp;"")&gt;0,"OK","CHECK"))</f>
        <v/>
      </c>
      <c r="E392" s="25">
        <f>IF(C392="","",IFERROR(INDEX(lst_JobName,MATCH(C392&amp;"",lst_Jobs,0)),""))</f>
        <v/>
      </c>
      <c r="F392" s="25">
        <f>IF(C392="","",IFERROR(INDEX(tbl_Finance[Client],MATCH(C392&amp;"",tbl_Finance[Job Number],0)),""))</f>
        <v/>
      </c>
      <c r="G392" s="28">
        <f>IF(C392="","",COUNTIFS(tbl_Finance[Job Number],C392&amp;"",tbl_Finance[Ex GST],"&lt;&gt;"))</f>
        <v/>
      </c>
      <c r="H392" s="27">
        <f>IF(C392="","",SUMIFS(tbl_Finance[Ex GST],tbl_Finance[Job Number],C392&amp;""))</f>
        <v/>
      </c>
      <c r="I392" s="27">
        <f>IF(C392="","",SUMIFS(tbl_Finance[Ex GST],tbl_Finance[Job Number],C392&amp;"",tbl_Finance[Xero Invoice No],"&lt;&gt;"))</f>
        <v/>
      </c>
      <c r="J392" s="27">
        <f>IF(C392="","",H392-I392)</f>
        <v/>
      </c>
      <c r="K392" s="25">
        <f>IF(C392="","",IF(G392=0,"not invoiced yet",SUBSTITUTE(TRIM(IF(COUNTIFS(tbl_Finance[Job Number],C392&amp;"",tbl_Finance[Cost Centre],"ONSITE")&gt;0,"ONSITE ","")&amp;IF(COUNTIFS(tbl_Finance[Job Number],C392&amp;"",tbl_Finance[Cost Centre],"PRODUCTION")&gt;0,"PRODUCTION ","")&amp;IF(COUNTIFS(tbl_Finance[Job Number],C392&amp;"",tbl_Finance[Cost Centre],"VIDEO")&gt;0,"VIDEO ","")&amp;IF(COUNTIFS(tbl_Finance[Job Number],C392&amp;"",tbl_Finance[Cost Centre],"INTEGRATION")&gt;0,"INTEGRATION ","")&amp;IF(COUNTIFS(tbl_Finance[Job Number],C392&amp;"",tbl_Finance[Cost Centre],"CONSULTING")&gt;0,"CONSULTING ","")&amp;IF(COUNTIFS(tbl_Finance[Job Number],C392&amp;"",tbl_Finance[Cost Centre],"CTS")&gt;0,"CTS ",""))," ",", ")))</f>
        <v/>
      </c>
      <c r="L392" s="22" t="n"/>
      <c r="M392" s="24" t="n"/>
      <c r="N392" s="25">
        <f>IF(M392="","",IF(AND(LEFT(M392,4)&lt;&gt;"http",set_RMSBase=""),"",HYPERLINK(IF(LEFT(M392,4)="http",M392,set_RMSBase&amp;M392),"Open opportunity")))</f>
        <v/>
      </c>
      <c r="O392" s="25">
        <f>IF(C392="","",C392)</f>
        <v/>
      </c>
      <c r="P392" s="24" t="n"/>
      <c r="Q392" s="26" t="n"/>
      <c r="R392" s="27">
        <f>IF(C392="","",H392+N(Q392))</f>
        <v/>
      </c>
      <c r="S392" s="29">
        <f>IFERROR(Q392/R392,"")</f>
        <v/>
      </c>
      <c r="T392" s="26" t="n"/>
      <c r="U392" s="26" t="n"/>
      <c r="V392" s="27">
        <f>IF(C392="","",N(T392)+N(U392))</f>
        <v/>
      </c>
      <c r="W392" s="27">
        <f>IF(C392="","",H392-V392)</f>
        <v/>
      </c>
      <c r="X392" s="29">
        <f>IFERROR(W392/H392,"")</f>
        <v/>
      </c>
      <c r="Y392" s="64" t="n"/>
      <c r="Z392" s="64" t="n"/>
      <c r="AA392" s="64" t="n"/>
      <c r="AB392" s="64" t="n"/>
      <c r="AC392" s="64" t="n"/>
      <c r="AD392" s="24" t="n"/>
    </row>
    <row r="393" ht="15" customHeight="1">
      <c r="A393" s="63">
        <f>IF(C393="","",IFERROR(IF(SUMPRODUCT(MAX((tbl_Finance[Job Number]=C393&amp;"")*(tbl_Finance[Xero Invoice No]&lt;&gt;"")*tbl_Finance[Date]))=0,"",SUMPRODUCT(MAX((tbl_Finance[Job Number]=C393&amp;"")*(tbl_Finance[Xero Invoice No]&lt;&gt;"")*tbl_Finance[Date]))),""))</f>
        <v/>
      </c>
      <c r="B393" s="25">
        <f>IF(C393="","",IF(COUNTIFS(tbl_Finance[Job Number],C393&amp;"",tbl_Finance[Xero Invoice No],"&lt;&gt;")=0,"",IFERROR(IF(COUNTIFS(tbl_Finance[Job Number],C393&amp;"",tbl_Finance[Xero Invoice No],LOOKUP(2,1/((tbl_Finance[Job Number]=C393&amp;"")*(tbl_Finance[Xero Invoice No]&lt;&gt;"")),tbl_Finance[Xero Invoice No]))=COUNTIFS(tbl_Finance[Job Number],C393&amp;"",tbl_Finance[Xero Invoice No],"&lt;&gt;"),LOOKUP(2,1/((tbl_Finance[Job Number]=C393&amp;"")*(tbl_Finance[Xero Invoice No]&lt;&gt;"")),tbl_Finance[Xero Invoice No]),LOOKUP(2,1/((tbl_Finance[Job Number]=C393&amp;"")*(tbl_Finance[Xero Invoice No]&lt;&gt;"")),tbl_Finance[Xero Invoice No])&amp;" +more"),"")))</f>
        <v/>
      </c>
      <c r="C393" s="24" t="n"/>
      <c r="D393" s="25">
        <f>IF(C393="","",IF(COUNTIF(lst_Jobs,C393&amp;"")&gt;0,"OK","CHECK"))</f>
        <v/>
      </c>
      <c r="E393" s="25">
        <f>IF(C393="","",IFERROR(INDEX(lst_JobName,MATCH(C393&amp;"",lst_Jobs,0)),""))</f>
        <v/>
      </c>
      <c r="F393" s="25">
        <f>IF(C393="","",IFERROR(INDEX(tbl_Finance[Client],MATCH(C393&amp;"",tbl_Finance[Job Number],0)),""))</f>
        <v/>
      </c>
      <c r="G393" s="28">
        <f>IF(C393="","",COUNTIFS(tbl_Finance[Job Number],C393&amp;"",tbl_Finance[Ex GST],"&lt;&gt;"))</f>
        <v/>
      </c>
      <c r="H393" s="27">
        <f>IF(C393="","",SUMIFS(tbl_Finance[Ex GST],tbl_Finance[Job Number],C393&amp;""))</f>
        <v/>
      </c>
      <c r="I393" s="27">
        <f>IF(C393="","",SUMIFS(tbl_Finance[Ex GST],tbl_Finance[Job Number],C393&amp;"",tbl_Finance[Xero Invoice No],"&lt;&gt;"))</f>
        <v/>
      </c>
      <c r="J393" s="27">
        <f>IF(C393="","",H393-I393)</f>
        <v/>
      </c>
      <c r="K393" s="25">
        <f>IF(C393="","",IF(G393=0,"not invoiced yet",SUBSTITUTE(TRIM(IF(COUNTIFS(tbl_Finance[Job Number],C393&amp;"",tbl_Finance[Cost Centre],"ONSITE")&gt;0,"ONSITE ","")&amp;IF(COUNTIFS(tbl_Finance[Job Number],C393&amp;"",tbl_Finance[Cost Centre],"PRODUCTION")&gt;0,"PRODUCTION ","")&amp;IF(COUNTIFS(tbl_Finance[Job Number],C393&amp;"",tbl_Finance[Cost Centre],"VIDEO")&gt;0,"VIDEO ","")&amp;IF(COUNTIFS(tbl_Finance[Job Number],C393&amp;"",tbl_Finance[Cost Centre],"INTEGRATION")&gt;0,"INTEGRATION ","")&amp;IF(COUNTIFS(tbl_Finance[Job Number],C393&amp;"",tbl_Finance[Cost Centre],"CONSULTING")&gt;0,"CONSULTING ","")&amp;IF(COUNTIFS(tbl_Finance[Job Number],C393&amp;"",tbl_Finance[Cost Centre],"CTS")&gt;0,"CTS ",""))," ",", ")))</f>
        <v/>
      </c>
      <c r="L393" s="22" t="n"/>
      <c r="M393" s="24" t="n"/>
      <c r="N393" s="25">
        <f>IF(M393="","",IF(AND(LEFT(M393,4)&lt;&gt;"http",set_RMSBase=""),"",HYPERLINK(IF(LEFT(M393,4)="http",M393,set_RMSBase&amp;M393),"Open opportunity")))</f>
        <v/>
      </c>
      <c r="O393" s="25">
        <f>IF(C393="","",C393)</f>
        <v/>
      </c>
      <c r="P393" s="24" t="n"/>
      <c r="Q393" s="26" t="n"/>
      <c r="R393" s="27">
        <f>IF(C393="","",H393+N(Q393))</f>
        <v/>
      </c>
      <c r="S393" s="29">
        <f>IFERROR(Q393/R393,"")</f>
        <v/>
      </c>
      <c r="T393" s="26" t="n"/>
      <c r="U393" s="26" t="n"/>
      <c r="V393" s="27">
        <f>IF(C393="","",N(T393)+N(U393))</f>
        <v/>
      </c>
      <c r="W393" s="27">
        <f>IF(C393="","",H393-V393)</f>
        <v/>
      </c>
      <c r="X393" s="29">
        <f>IFERROR(W393/H393,"")</f>
        <v/>
      </c>
      <c r="Y393" s="64" t="n"/>
      <c r="Z393" s="64" t="n"/>
      <c r="AA393" s="64" t="n"/>
      <c r="AB393" s="64" t="n"/>
      <c r="AC393" s="64" t="n"/>
      <c r="AD393" s="24" t="n"/>
    </row>
    <row r="394" ht="15" customHeight="1">
      <c r="A394" s="63">
        <f>IF(C394="","",IFERROR(IF(SUMPRODUCT(MAX((tbl_Finance[Job Number]=C394&amp;"")*(tbl_Finance[Xero Invoice No]&lt;&gt;"")*tbl_Finance[Date]))=0,"",SUMPRODUCT(MAX((tbl_Finance[Job Number]=C394&amp;"")*(tbl_Finance[Xero Invoice No]&lt;&gt;"")*tbl_Finance[Date]))),""))</f>
        <v/>
      </c>
      <c r="B394" s="25">
        <f>IF(C394="","",IF(COUNTIFS(tbl_Finance[Job Number],C394&amp;"",tbl_Finance[Xero Invoice No],"&lt;&gt;")=0,"",IFERROR(IF(COUNTIFS(tbl_Finance[Job Number],C394&amp;"",tbl_Finance[Xero Invoice No],LOOKUP(2,1/((tbl_Finance[Job Number]=C394&amp;"")*(tbl_Finance[Xero Invoice No]&lt;&gt;"")),tbl_Finance[Xero Invoice No]))=COUNTIFS(tbl_Finance[Job Number],C394&amp;"",tbl_Finance[Xero Invoice No],"&lt;&gt;"),LOOKUP(2,1/((tbl_Finance[Job Number]=C394&amp;"")*(tbl_Finance[Xero Invoice No]&lt;&gt;"")),tbl_Finance[Xero Invoice No]),LOOKUP(2,1/((tbl_Finance[Job Number]=C394&amp;"")*(tbl_Finance[Xero Invoice No]&lt;&gt;"")),tbl_Finance[Xero Invoice No])&amp;" +more"),"")))</f>
        <v/>
      </c>
      <c r="C394" s="24" t="n"/>
      <c r="D394" s="25">
        <f>IF(C394="","",IF(COUNTIF(lst_Jobs,C394&amp;"")&gt;0,"OK","CHECK"))</f>
        <v/>
      </c>
      <c r="E394" s="25">
        <f>IF(C394="","",IFERROR(INDEX(lst_JobName,MATCH(C394&amp;"",lst_Jobs,0)),""))</f>
        <v/>
      </c>
      <c r="F394" s="25">
        <f>IF(C394="","",IFERROR(INDEX(tbl_Finance[Client],MATCH(C394&amp;"",tbl_Finance[Job Number],0)),""))</f>
        <v/>
      </c>
      <c r="G394" s="28">
        <f>IF(C394="","",COUNTIFS(tbl_Finance[Job Number],C394&amp;"",tbl_Finance[Ex GST],"&lt;&gt;"))</f>
        <v/>
      </c>
      <c r="H394" s="27">
        <f>IF(C394="","",SUMIFS(tbl_Finance[Ex GST],tbl_Finance[Job Number],C394&amp;""))</f>
        <v/>
      </c>
      <c r="I394" s="27">
        <f>IF(C394="","",SUMIFS(tbl_Finance[Ex GST],tbl_Finance[Job Number],C394&amp;"",tbl_Finance[Xero Invoice No],"&lt;&gt;"))</f>
        <v/>
      </c>
      <c r="J394" s="27">
        <f>IF(C394="","",H394-I394)</f>
        <v/>
      </c>
      <c r="K394" s="25">
        <f>IF(C394="","",IF(G394=0,"not invoiced yet",SUBSTITUTE(TRIM(IF(COUNTIFS(tbl_Finance[Job Number],C394&amp;"",tbl_Finance[Cost Centre],"ONSITE")&gt;0,"ONSITE ","")&amp;IF(COUNTIFS(tbl_Finance[Job Number],C394&amp;"",tbl_Finance[Cost Centre],"PRODUCTION")&gt;0,"PRODUCTION ","")&amp;IF(COUNTIFS(tbl_Finance[Job Number],C394&amp;"",tbl_Finance[Cost Centre],"VIDEO")&gt;0,"VIDEO ","")&amp;IF(COUNTIFS(tbl_Finance[Job Number],C394&amp;"",tbl_Finance[Cost Centre],"INTEGRATION")&gt;0,"INTEGRATION ","")&amp;IF(COUNTIFS(tbl_Finance[Job Number],C394&amp;"",tbl_Finance[Cost Centre],"CONSULTING")&gt;0,"CONSULTING ","")&amp;IF(COUNTIFS(tbl_Finance[Job Number],C394&amp;"",tbl_Finance[Cost Centre],"CTS")&gt;0,"CTS ",""))," ",", ")))</f>
        <v/>
      </c>
      <c r="L394" s="22" t="n"/>
      <c r="M394" s="24" t="n"/>
      <c r="N394" s="25">
        <f>IF(M394="","",IF(AND(LEFT(M394,4)&lt;&gt;"http",set_RMSBase=""),"",HYPERLINK(IF(LEFT(M394,4)="http",M394,set_RMSBase&amp;M394),"Open opportunity")))</f>
        <v/>
      </c>
      <c r="O394" s="25">
        <f>IF(C394="","",C394)</f>
        <v/>
      </c>
      <c r="P394" s="24" t="n"/>
      <c r="Q394" s="26" t="n"/>
      <c r="R394" s="27">
        <f>IF(C394="","",H394+N(Q394))</f>
        <v/>
      </c>
      <c r="S394" s="29">
        <f>IFERROR(Q394/R394,"")</f>
        <v/>
      </c>
      <c r="T394" s="26" t="n"/>
      <c r="U394" s="26" t="n"/>
      <c r="V394" s="27">
        <f>IF(C394="","",N(T394)+N(U394))</f>
        <v/>
      </c>
      <c r="W394" s="27">
        <f>IF(C394="","",H394-V394)</f>
        <v/>
      </c>
      <c r="X394" s="29">
        <f>IFERROR(W394/H394,"")</f>
        <v/>
      </c>
      <c r="Y394" s="64" t="n"/>
      <c r="Z394" s="64" t="n"/>
      <c r="AA394" s="64" t="n"/>
      <c r="AB394" s="64" t="n"/>
      <c r="AC394" s="64" t="n"/>
      <c r="AD394" s="24" t="n"/>
    </row>
    <row r="395" ht="15" customHeight="1">
      <c r="A395" s="63">
        <f>IF(C395="","",IFERROR(IF(SUMPRODUCT(MAX((tbl_Finance[Job Number]=C395&amp;"")*(tbl_Finance[Xero Invoice No]&lt;&gt;"")*tbl_Finance[Date]))=0,"",SUMPRODUCT(MAX((tbl_Finance[Job Number]=C395&amp;"")*(tbl_Finance[Xero Invoice No]&lt;&gt;"")*tbl_Finance[Date]))),""))</f>
        <v/>
      </c>
      <c r="B395" s="25">
        <f>IF(C395="","",IF(COUNTIFS(tbl_Finance[Job Number],C395&amp;"",tbl_Finance[Xero Invoice No],"&lt;&gt;")=0,"",IFERROR(IF(COUNTIFS(tbl_Finance[Job Number],C395&amp;"",tbl_Finance[Xero Invoice No],LOOKUP(2,1/((tbl_Finance[Job Number]=C395&amp;"")*(tbl_Finance[Xero Invoice No]&lt;&gt;"")),tbl_Finance[Xero Invoice No]))=COUNTIFS(tbl_Finance[Job Number],C395&amp;"",tbl_Finance[Xero Invoice No],"&lt;&gt;"),LOOKUP(2,1/((tbl_Finance[Job Number]=C395&amp;"")*(tbl_Finance[Xero Invoice No]&lt;&gt;"")),tbl_Finance[Xero Invoice No]),LOOKUP(2,1/((tbl_Finance[Job Number]=C395&amp;"")*(tbl_Finance[Xero Invoice No]&lt;&gt;"")),tbl_Finance[Xero Invoice No])&amp;" +more"),"")))</f>
        <v/>
      </c>
      <c r="C395" s="24" t="n"/>
      <c r="D395" s="25">
        <f>IF(C395="","",IF(COUNTIF(lst_Jobs,C395&amp;"")&gt;0,"OK","CHECK"))</f>
        <v/>
      </c>
      <c r="E395" s="25">
        <f>IF(C395="","",IFERROR(INDEX(lst_JobName,MATCH(C395&amp;"",lst_Jobs,0)),""))</f>
        <v/>
      </c>
      <c r="F395" s="25">
        <f>IF(C395="","",IFERROR(INDEX(tbl_Finance[Client],MATCH(C395&amp;"",tbl_Finance[Job Number],0)),""))</f>
        <v/>
      </c>
      <c r="G395" s="28">
        <f>IF(C395="","",COUNTIFS(tbl_Finance[Job Number],C395&amp;"",tbl_Finance[Ex GST],"&lt;&gt;"))</f>
        <v/>
      </c>
      <c r="H395" s="27">
        <f>IF(C395="","",SUMIFS(tbl_Finance[Ex GST],tbl_Finance[Job Number],C395&amp;""))</f>
        <v/>
      </c>
      <c r="I395" s="27">
        <f>IF(C395="","",SUMIFS(tbl_Finance[Ex GST],tbl_Finance[Job Number],C395&amp;"",tbl_Finance[Xero Invoice No],"&lt;&gt;"))</f>
        <v/>
      </c>
      <c r="J395" s="27">
        <f>IF(C395="","",H395-I395)</f>
        <v/>
      </c>
      <c r="K395" s="25">
        <f>IF(C395="","",IF(G395=0,"not invoiced yet",SUBSTITUTE(TRIM(IF(COUNTIFS(tbl_Finance[Job Number],C395&amp;"",tbl_Finance[Cost Centre],"ONSITE")&gt;0,"ONSITE ","")&amp;IF(COUNTIFS(tbl_Finance[Job Number],C395&amp;"",tbl_Finance[Cost Centre],"PRODUCTION")&gt;0,"PRODUCTION ","")&amp;IF(COUNTIFS(tbl_Finance[Job Number],C395&amp;"",tbl_Finance[Cost Centre],"VIDEO")&gt;0,"VIDEO ","")&amp;IF(COUNTIFS(tbl_Finance[Job Number],C395&amp;"",tbl_Finance[Cost Centre],"INTEGRATION")&gt;0,"INTEGRATION ","")&amp;IF(COUNTIFS(tbl_Finance[Job Number],C395&amp;"",tbl_Finance[Cost Centre],"CONSULTING")&gt;0,"CONSULTING ","")&amp;IF(COUNTIFS(tbl_Finance[Job Number],C395&amp;"",tbl_Finance[Cost Centre],"CTS")&gt;0,"CTS ",""))," ",", ")))</f>
        <v/>
      </c>
      <c r="L395" s="22" t="n"/>
      <c r="M395" s="24" t="n"/>
      <c r="N395" s="25">
        <f>IF(M395="","",IF(AND(LEFT(M395,4)&lt;&gt;"http",set_RMSBase=""),"",HYPERLINK(IF(LEFT(M395,4)="http",M395,set_RMSBase&amp;M395),"Open opportunity")))</f>
        <v/>
      </c>
      <c r="O395" s="25">
        <f>IF(C395="","",C395)</f>
        <v/>
      </c>
      <c r="P395" s="24" t="n"/>
      <c r="Q395" s="26" t="n"/>
      <c r="R395" s="27">
        <f>IF(C395="","",H395+N(Q395))</f>
        <v/>
      </c>
      <c r="S395" s="29">
        <f>IFERROR(Q395/R395,"")</f>
        <v/>
      </c>
      <c r="T395" s="26" t="n"/>
      <c r="U395" s="26" t="n"/>
      <c r="V395" s="27">
        <f>IF(C395="","",N(T395)+N(U395))</f>
        <v/>
      </c>
      <c r="W395" s="27">
        <f>IF(C395="","",H395-V395)</f>
        <v/>
      </c>
      <c r="X395" s="29">
        <f>IFERROR(W395/H395,"")</f>
        <v/>
      </c>
      <c r="Y395" s="64" t="n"/>
      <c r="Z395" s="64" t="n"/>
      <c r="AA395" s="64" t="n"/>
      <c r="AB395" s="64" t="n"/>
      <c r="AC395" s="64" t="n"/>
      <c r="AD395" s="24" t="n"/>
    </row>
    <row r="396" ht="15" customHeight="1">
      <c r="A396" s="63">
        <f>IF(C396="","",IFERROR(IF(SUMPRODUCT(MAX((tbl_Finance[Job Number]=C396&amp;"")*(tbl_Finance[Xero Invoice No]&lt;&gt;"")*tbl_Finance[Date]))=0,"",SUMPRODUCT(MAX((tbl_Finance[Job Number]=C396&amp;"")*(tbl_Finance[Xero Invoice No]&lt;&gt;"")*tbl_Finance[Date]))),""))</f>
        <v/>
      </c>
      <c r="B396" s="25">
        <f>IF(C396="","",IF(COUNTIFS(tbl_Finance[Job Number],C396&amp;"",tbl_Finance[Xero Invoice No],"&lt;&gt;")=0,"",IFERROR(IF(COUNTIFS(tbl_Finance[Job Number],C396&amp;"",tbl_Finance[Xero Invoice No],LOOKUP(2,1/((tbl_Finance[Job Number]=C396&amp;"")*(tbl_Finance[Xero Invoice No]&lt;&gt;"")),tbl_Finance[Xero Invoice No]))=COUNTIFS(tbl_Finance[Job Number],C396&amp;"",tbl_Finance[Xero Invoice No],"&lt;&gt;"),LOOKUP(2,1/((tbl_Finance[Job Number]=C396&amp;"")*(tbl_Finance[Xero Invoice No]&lt;&gt;"")),tbl_Finance[Xero Invoice No]),LOOKUP(2,1/((tbl_Finance[Job Number]=C396&amp;"")*(tbl_Finance[Xero Invoice No]&lt;&gt;"")),tbl_Finance[Xero Invoice No])&amp;" +more"),"")))</f>
        <v/>
      </c>
      <c r="C396" s="24" t="n"/>
      <c r="D396" s="25">
        <f>IF(C396="","",IF(COUNTIF(lst_Jobs,C396&amp;"")&gt;0,"OK","CHECK"))</f>
        <v/>
      </c>
      <c r="E396" s="25">
        <f>IF(C396="","",IFERROR(INDEX(lst_JobName,MATCH(C396&amp;"",lst_Jobs,0)),""))</f>
        <v/>
      </c>
      <c r="F396" s="25">
        <f>IF(C396="","",IFERROR(INDEX(tbl_Finance[Client],MATCH(C396&amp;"",tbl_Finance[Job Number],0)),""))</f>
        <v/>
      </c>
      <c r="G396" s="28">
        <f>IF(C396="","",COUNTIFS(tbl_Finance[Job Number],C396&amp;"",tbl_Finance[Ex GST],"&lt;&gt;"))</f>
        <v/>
      </c>
      <c r="H396" s="27">
        <f>IF(C396="","",SUMIFS(tbl_Finance[Ex GST],tbl_Finance[Job Number],C396&amp;""))</f>
        <v/>
      </c>
      <c r="I396" s="27">
        <f>IF(C396="","",SUMIFS(tbl_Finance[Ex GST],tbl_Finance[Job Number],C396&amp;"",tbl_Finance[Xero Invoice No],"&lt;&gt;"))</f>
        <v/>
      </c>
      <c r="J396" s="27">
        <f>IF(C396="","",H396-I396)</f>
        <v/>
      </c>
      <c r="K396" s="25">
        <f>IF(C396="","",IF(G396=0,"not invoiced yet",SUBSTITUTE(TRIM(IF(COUNTIFS(tbl_Finance[Job Number],C396&amp;"",tbl_Finance[Cost Centre],"ONSITE")&gt;0,"ONSITE ","")&amp;IF(COUNTIFS(tbl_Finance[Job Number],C396&amp;"",tbl_Finance[Cost Centre],"PRODUCTION")&gt;0,"PRODUCTION ","")&amp;IF(COUNTIFS(tbl_Finance[Job Number],C396&amp;"",tbl_Finance[Cost Centre],"VIDEO")&gt;0,"VIDEO ","")&amp;IF(COUNTIFS(tbl_Finance[Job Number],C396&amp;"",tbl_Finance[Cost Centre],"INTEGRATION")&gt;0,"INTEGRATION ","")&amp;IF(COUNTIFS(tbl_Finance[Job Number],C396&amp;"",tbl_Finance[Cost Centre],"CONSULTING")&gt;0,"CONSULTING ","")&amp;IF(COUNTIFS(tbl_Finance[Job Number],C396&amp;"",tbl_Finance[Cost Centre],"CTS")&gt;0,"CTS ",""))," ",", ")))</f>
        <v/>
      </c>
      <c r="L396" s="22" t="n"/>
      <c r="M396" s="24" t="n"/>
      <c r="N396" s="25">
        <f>IF(M396="","",IF(AND(LEFT(M396,4)&lt;&gt;"http",set_RMSBase=""),"",HYPERLINK(IF(LEFT(M396,4)="http",M396,set_RMSBase&amp;M396),"Open opportunity")))</f>
        <v/>
      </c>
      <c r="O396" s="25">
        <f>IF(C396="","",C396)</f>
        <v/>
      </c>
      <c r="P396" s="24" t="n"/>
      <c r="Q396" s="26" t="n"/>
      <c r="R396" s="27">
        <f>IF(C396="","",H396+N(Q396))</f>
        <v/>
      </c>
      <c r="S396" s="29">
        <f>IFERROR(Q396/R396,"")</f>
        <v/>
      </c>
      <c r="T396" s="26" t="n"/>
      <c r="U396" s="26" t="n"/>
      <c r="V396" s="27">
        <f>IF(C396="","",N(T396)+N(U396))</f>
        <v/>
      </c>
      <c r="W396" s="27">
        <f>IF(C396="","",H396-V396)</f>
        <v/>
      </c>
      <c r="X396" s="29">
        <f>IFERROR(W396/H396,"")</f>
        <v/>
      </c>
      <c r="Y396" s="64" t="n"/>
      <c r="Z396" s="64" t="n"/>
      <c r="AA396" s="64" t="n"/>
      <c r="AB396" s="64" t="n"/>
      <c r="AC396" s="64" t="n"/>
      <c r="AD396" s="24" t="n"/>
    </row>
    <row r="397" ht="15" customHeight="1">
      <c r="A397" s="63">
        <f>IF(C397="","",IFERROR(IF(SUMPRODUCT(MAX((tbl_Finance[Job Number]=C397&amp;"")*(tbl_Finance[Xero Invoice No]&lt;&gt;"")*tbl_Finance[Date]))=0,"",SUMPRODUCT(MAX((tbl_Finance[Job Number]=C397&amp;"")*(tbl_Finance[Xero Invoice No]&lt;&gt;"")*tbl_Finance[Date]))),""))</f>
        <v/>
      </c>
      <c r="B397" s="25">
        <f>IF(C397="","",IF(COUNTIFS(tbl_Finance[Job Number],C397&amp;"",tbl_Finance[Xero Invoice No],"&lt;&gt;")=0,"",IFERROR(IF(COUNTIFS(tbl_Finance[Job Number],C397&amp;"",tbl_Finance[Xero Invoice No],LOOKUP(2,1/((tbl_Finance[Job Number]=C397&amp;"")*(tbl_Finance[Xero Invoice No]&lt;&gt;"")),tbl_Finance[Xero Invoice No]))=COUNTIFS(tbl_Finance[Job Number],C397&amp;"",tbl_Finance[Xero Invoice No],"&lt;&gt;"),LOOKUP(2,1/((tbl_Finance[Job Number]=C397&amp;"")*(tbl_Finance[Xero Invoice No]&lt;&gt;"")),tbl_Finance[Xero Invoice No]),LOOKUP(2,1/((tbl_Finance[Job Number]=C397&amp;"")*(tbl_Finance[Xero Invoice No]&lt;&gt;"")),tbl_Finance[Xero Invoice No])&amp;" +more"),"")))</f>
        <v/>
      </c>
      <c r="C397" s="24" t="n"/>
      <c r="D397" s="25">
        <f>IF(C397="","",IF(COUNTIF(lst_Jobs,C397&amp;"")&gt;0,"OK","CHECK"))</f>
        <v/>
      </c>
      <c r="E397" s="25">
        <f>IF(C397="","",IFERROR(INDEX(lst_JobName,MATCH(C397&amp;"",lst_Jobs,0)),""))</f>
        <v/>
      </c>
      <c r="F397" s="25">
        <f>IF(C397="","",IFERROR(INDEX(tbl_Finance[Client],MATCH(C397&amp;"",tbl_Finance[Job Number],0)),""))</f>
        <v/>
      </c>
      <c r="G397" s="28">
        <f>IF(C397="","",COUNTIFS(tbl_Finance[Job Number],C397&amp;"",tbl_Finance[Ex GST],"&lt;&gt;"))</f>
        <v/>
      </c>
      <c r="H397" s="27">
        <f>IF(C397="","",SUMIFS(tbl_Finance[Ex GST],tbl_Finance[Job Number],C397&amp;""))</f>
        <v/>
      </c>
      <c r="I397" s="27">
        <f>IF(C397="","",SUMIFS(tbl_Finance[Ex GST],tbl_Finance[Job Number],C397&amp;"",tbl_Finance[Xero Invoice No],"&lt;&gt;"))</f>
        <v/>
      </c>
      <c r="J397" s="27">
        <f>IF(C397="","",H397-I397)</f>
        <v/>
      </c>
      <c r="K397" s="25">
        <f>IF(C397="","",IF(G397=0,"not invoiced yet",SUBSTITUTE(TRIM(IF(COUNTIFS(tbl_Finance[Job Number],C397&amp;"",tbl_Finance[Cost Centre],"ONSITE")&gt;0,"ONSITE ","")&amp;IF(COUNTIFS(tbl_Finance[Job Number],C397&amp;"",tbl_Finance[Cost Centre],"PRODUCTION")&gt;0,"PRODUCTION ","")&amp;IF(COUNTIFS(tbl_Finance[Job Number],C397&amp;"",tbl_Finance[Cost Centre],"VIDEO")&gt;0,"VIDEO ","")&amp;IF(COUNTIFS(tbl_Finance[Job Number],C397&amp;"",tbl_Finance[Cost Centre],"INTEGRATION")&gt;0,"INTEGRATION ","")&amp;IF(COUNTIFS(tbl_Finance[Job Number],C397&amp;"",tbl_Finance[Cost Centre],"CONSULTING")&gt;0,"CONSULTING ","")&amp;IF(COUNTIFS(tbl_Finance[Job Number],C397&amp;"",tbl_Finance[Cost Centre],"CTS")&gt;0,"CTS ",""))," ",", ")))</f>
        <v/>
      </c>
      <c r="L397" s="22" t="n"/>
      <c r="M397" s="24" t="n"/>
      <c r="N397" s="25">
        <f>IF(M397="","",IF(AND(LEFT(M397,4)&lt;&gt;"http",set_RMSBase=""),"",HYPERLINK(IF(LEFT(M397,4)="http",M397,set_RMSBase&amp;M397),"Open opportunity")))</f>
        <v/>
      </c>
      <c r="O397" s="25">
        <f>IF(C397="","",C397)</f>
        <v/>
      </c>
      <c r="P397" s="24" t="n"/>
      <c r="Q397" s="26" t="n"/>
      <c r="R397" s="27">
        <f>IF(C397="","",H397+N(Q397))</f>
        <v/>
      </c>
      <c r="S397" s="29">
        <f>IFERROR(Q397/R397,"")</f>
        <v/>
      </c>
      <c r="T397" s="26" t="n"/>
      <c r="U397" s="26" t="n"/>
      <c r="V397" s="27">
        <f>IF(C397="","",N(T397)+N(U397))</f>
        <v/>
      </c>
      <c r="W397" s="27">
        <f>IF(C397="","",H397-V397)</f>
        <v/>
      </c>
      <c r="X397" s="29">
        <f>IFERROR(W397/H397,"")</f>
        <v/>
      </c>
      <c r="Y397" s="64" t="n"/>
      <c r="Z397" s="64" t="n"/>
      <c r="AA397" s="64" t="n"/>
      <c r="AB397" s="64" t="n"/>
      <c r="AC397" s="64" t="n"/>
      <c r="AD397" s="24" t="n"/>
    </row>
    <row r="398" ht="15" customHeight="1">
      <c r="A398" s="63">
        <f>IF(C398="","",IFERROR(IF(SUMPRODUCT(MAX((tbl_Finance[Job Number]=C398&amp;"")*(tbl_Finance[Xero Invoice No]&lt;&gt;"")*tbl_Finance[Date]))=0,"",SUMPRODUCT(MAX((tbl_Finance[Job Number]=C398&amp;"")*(tbl_Finance[Xero Invoice No]&lt;&gt;"")*tbl_Finance[Date]))),""))</f>
        <v/>
      </c>
      <c r="B398" s="25">
        <f>IF(C398="","",IF(COUNTIFS(tbl_Finance[Job Number],C398&amp;"",tbl_Finance[Xero Invoice No],"&lt;&gt;")=0,"",IFERROR(IF(COUNTIFS(tbl_Finance[Job Number],C398&amp;"",tbl_Finance[Xero Invoice No],LOOKUP(2,1/((tbl_Finance[Job Number]=C398&amp;"")*(tbl_Finance[Xero Invoice No]&lt;&gt;"")),tbl_Finance[Xero Invoice No]))=COUNTIFS(tbl_Finance[Job Number],C398&amp;"",tbl_Finance[Xero Invoice No],"&lt;&gt;"),LOOKUP(2,1/((tbl_Finance[Job Number]=C398&amp;"")*(tbl_Finance[Xero Invoice No]&lt;&gt;"")),tbl_Finance[Xero Invoice No]),LOOKUP(2,1/((tbl_Finance[Job Number]=C398&amp;"")*(tbl_Finance[Xero Invoice No]&lt;&gt;"")),tbl_Finance[Xero Invoice No])&amp;" +more"),"")))</f>
        <v/>
      </c>
      <c r="C398" s="24" t="n"/>
      <c r="D398" s="25">
        <f>IF(C398="","",IF(COUNTIF(lst_Jobs,C398&amp;"")&gt;0,"OK","CHECK"))</f>
        <v/>
      </c>
      <c r="E398" s="25">
        <f>IF(C398="","",IFERROR(INDEX(lst_JobName,MATCH(C398&amp;"",lst_Jobs,0)),""))</f>
        <v/>
      </c>
      <c r="F398" s="25">
        <f>IF(C398="","",IFERROR(INDEX(tbl_Finance[Client],MATCH(C398&amp;"",tbl_Finance[Job Number],0)),""))</f>
        <v/>
      </c>
      <c r="G398" s="28">
        <f>IF(C398="","",COUNTIFS(tbl_Finance[Job Number],C398&amp;"",tbl_Finance[Ex GST],"&lt;&gt;"))</f>
        <v/>
      </c>
      <c r="H398" s="27">
        <f>IF(C398="","",SUMIFS(tbl_Finance[Ex GST],tbl_Finance[Job Number],C398&amp;""))</f>
        <v/>
      </c>
      <c r="I398" s="27">
        <f>IF(C398="","",SUMIFS(tbl_Finance[Ex GST],tbl_Finance[Job Number],C398&amp;"",tbl_Finance[Xero Invoice No],"&lt;&gt;"))</f>
        <v/>
      </c>
      <c r="J398" s="27">
        <f>IF(C398="","",H398-I398)</f>
        <v/>
      </c>
      <c r="K398" s="25">
        <f>IF(C398="","",IF(G398=0,"not invoiced yet",SUBSTITUTE(TRIM(IF(COUNTIFS(tbl_Finance[Job Number],C398&amp;"",tbl_Finance[Cost Centre],"ONSITE")&gt;0,"ONSITE ","")&amp;IF(COUNTIFS(tbl_Finance[Job Number],C398&amp;"",tbl_Finance[Cost Centre],"PRODUCTION")&gt;0,"PRODUCTION ","")&amp;IF(COUNTIFS(tbl_Finance[Job Number],C398&amp;"",tbl_Finance[Cost Centre],"VIDEO")&gt;0,"VIDEO ","")&amp;IF(COUNTIFS(tbl_Finance[Job Number],C398&amp;"",tbl_Finance[Cost Centre],"INTEGRATION")&gt;0,"INTEGRATION ","")&amp;IF(COUNTIFS(tbl_Finance[Job Number],C398&amp;"",tbl_Finance[Cost Centre],"CONSULTING")&gt;0,"CONSULTING ","")&amp;IF(COUNTIFS(tbl_Finance[Job Number],C398&amp;"",tbl_Finance[Cost Centre],"CTS")&gt;0,"CTS ",""))," ",", ")))</f>
        <v/>
      </c>
      <c r="L398" s="22" t="n"/>
      <c r="M398" s="24" t="n"/>
      <c r="N398" s="25">
        <f>IF(M398="","",IF(AND(LEFT(M398,4)&lt;&gt;"http",set_RMSBase=""),"",HYPERLINK(IF(LEFT(M398,4)="http",M398,set_RMSBase&amp;M398),"Open opportunity")))</f>
        <v/>
      </c>
      <c r="O398" s="25">
        <f>IF(C398="","",C398)</f>
        <v/>
      </c>
      <c r="P398" s="24" t="n"/>
      <c r="Q398" s="26" t="n"/>
      <c r="R398" s="27">
        <f>IF(C398="","",H398+N(Q398))</f>
        <v/>
      </c>
      <c r="S398" s="29">
        <f>IFERROR(Q398/R398,"")</f>
        <v/>
      </c>
      <c r="T398" s="26" t="n"/>
      <c r="U398" s="26" t="n"/>
      <c r="V398" s="27">
        <f>IF(C398="","",N(T398)+N(U398))</f>
        <v/>
      </c>
      <c r="W398" s="27">
        <f>IF(C398="","",H398-V398)</f>
        <v/>
      </c>
      <c r="X398" s="29">
        <f>IFERROR(W398/H398,"")</f>
        <v/>
      </c>
      <c r="Y398" s="64" t="n"/>
      <c r="Z398" s="64" t="n"/>
      <c r="AA398" s="64" t="n"/>
      <c r="AB398" s="64" t="n"/>
      <c r="AC398" s="64" t="n"/>
      <c r="AD398" s="24" t="n"/>
    </row>
    <row r="399" ht="15" customHeight="1">
      <c r="A399" s="63">
        <f>IF(C399="","",IFERROR(IF(SUMPRODUCT(MAX((tbl_Finance[Job Number]=C399&amp;"")*(tbl_Finance[Xero Invoice No]&lt;&gt;"")*tbl_Finance[Date]))=0,"",SUMPRODUCT(MAX((tbl_Finance[Job Number]=C399&amp;"")*(tbl_Finance[Xero Invoice No]&lt;&gt;"")*tbl_Finance[Date]))),""))</f>
        <v/>
      </c>
      <c r="B399" s="25">
        <f>IF(C399="","",IF(COUNTIFS(tbl_Finance[Job Number],C399&amp;"",tbl_Finance[Xero Invoice No],"&lt;&gt;")=0,"",IFERROR(IF(COUNTIFS(tbl_Finance[Job Number],C399&amp;"",tbl_Finance[Xero Invoice No],LOOKUP(2,1/((tbl_Finance[Job Number]=C399&amp;"")*(tbl_Finance[Xero Invoice No]&lt;&gt;"")),tbl_Finance[Xero Invoice No]))=COUNTIFS(tbl_Finance[Job Number],C399&amp;"",tbl_Finance[Xero Invoice No],"&lt;&gt;"),LOOKUP(2,1/((tbl_Finance[Job Number]=C399&amp;"")*(tbl_Finance[Xero Invoice No]&lt;&gt;"")),tbl_Finance[Xero Invoice No]),LOOKUP(2,1/((tbl_Finance[Job Number]=C399&amp;"")*(tbl_Finance[Xero Invoice No]&lt;&gt;"")),tbl_Finance[Xero Invoice No])&amp;" +more"),"")))</f>
        <v/>
      </c>
      <c r="C399" s="24" t="n"/>
      <c r="D399" s="25">
        <f>IF(C399="","",IF(COUNTIF(lst_Jobs,C399&amp;"")&gt;0,"OK","CHECK"))</f>
        <v/>
      </c>
      <c r="E399" s="25">
        <f>IF(C399="","",IFERROR(INDEX(lst_JobName,MATCH(C399&amp;"",lst_Jobs,0)),""))</f>
        <v/>
      </c>
      <c r="F399" s="25">
        <f>IF(C399="","",IFERROR(INDEX(tbl_Finance[Client],MATCH(C399&amp;"",tbl_Finance[Job Number],0)),""))</f>
        <v/>
      </c>
      <c r="G399" s="28">
        <f>IF(C399="","",COUNTIFS(tbl_Finance[Job Number],C399&amp;"",tbl_Finance[Ex GST],"&lt;&gt;"))</f>
        <v/>
      </c>
      <c r="H399" s="27">
        <f>IF(C399="","",SUMIFS(tbl_Finance[Ex GST],tbl_Finance[Job Number],C399&amp;""))</f>
        <v/>
      </c>
      <c r="I399" s="27">
        <f>IF(C399="","",SUMIFS(tbl_Finance[Ex GST],tbl_Finance[Job Number],C399&amp;"",tbl_Finance[Xero Invoice No],"&lt;&gt;"))</f>
        <v/>
      </c>
      <c r="J399" s="27">
        <f>IF(C399="","",H399-I399)</f>
        <v/>
      </c>
      <c r="K399" s="25">
        <f>IF(C399="","",IF(G399=0,"not invoiced yet",SUBSTITUTE(TRIM(IF(COUNTIFS(tbl_Finance[Job Number],C399&amp;"",tbl_Finance[Cost Centre],"ONSITE")&gt;0,"ONSITE ","")&amp;IF(COUNTIFS(tbl_Finance[Job Number],C399&amp;"",tbl_Finance[Cost Centre],"PRODUCTION")&gt;0,"PRODUCTION ","")&amp;IF(COUNTIFS(tbl_Finance[Job Number],C399&amp;"",tbl_Finance[Cost Centre],"VIDEO")&gt;0,"VIDEO ","")&amp;IF(COUNTIFS(tbl_Finance[Job Number],C399&amp;"",tbl_Finance[Cost Centre],"INTEGRATION")&gt;0,"INTEGRATION ","")&amp;IF(COUNTIFS(tbl_Finance[Job Number],C399&amp;"",tbl_Finance[Cost Centre],"CONSULTING")&gt;0,"CONSULTING ","")&amp;IF(COUNTIFS(tbl_Finance[Job Number],C399&amp;"",tbl_Finance[Cost Centre],"CTS")&gt;0,"CTS ",""))," ",", ")))</f>
        <v/>
      </c>
      <c r="L399" s="22" t="n"/>
      <c r="M399" s="24" t="n"/>
      <c r="N399" s="25">
        <f>IF(M399="","",IF(AND(LEFT(M399,4)&lt;&gt;"http",set_RMSBase=""),"",HYPERLINK(IF(LEFT(M399,4)="http",M399,set_RMSBase&amp;M399),"Open opportunity")))</f>
        <v/>
      </c>
      <c r="O399" s="25">
        <f>IF(C399="","",C399)</f>
        <v/>
      </c>
      <c r="P399" s="24" t="n"/>
      <c r="Q399" s="26" t="n"/>
      <c r="R399" s="27">
        <f>IF(C399="","",H399+N(Q399))</f>
        <v/>
      </c>
      <c r="S399" s="29">
        <f>IFERROR(Q399/R399,"")</f>
        <v/>
      </c>
      <c r="T399" s="26" t="n"/>
      <c r="U399" s="26" t="n"/>
      <c r="V399" s="27">
        <f>IF(C399="","",N(T399)+N(U399))</f>
        <v/>
      </c>
      <c r="W399" s="27">
        <f>IF(C399="","",H399-V399)</f>
        <v/>
      </c>
      <c r="X399" s="29">
        <f>IFERROR(W399/H399,"")</f>
        <v/>
      </c>
      <c r="Y399" s="64" t="n"/>
      <c r="Z399" s="64" t="n"/>
      <c r="AA399" s="64" t="n"/>
      <c r="AB399" s="64" t="n"/>
      <c r="AC399" s="64" t="n"/>
      <c r="AD399" s="24" t="n"/>
    </row>
    <row r="400" ht="15" customHeight="1">
      <c r="A400" s="63">
        <f>IF(C400="","",IFERROR(IF(SUMPRODUCT(MAX((tbl_Finance[Job Number]=C400&amp;"")*(tbl_Finance[Xero Invoice No]&lt;&gt;"")*tbl_Finance[Date]))=0,"",SUMPRODUCT(MAX((tbl_Finance[Job Number]=C400&amp;"")*(tbl_Finance[Xero Invoice No]&lt;&gt;"")*tbl_Finance[Date]))),""))</f>
        <v/>
      </c>
      <c r="B400" s="25">
        <f>IF(C400="","",IF(COUNTIFS(tbl_Finance[Job Number],C400&amp;"",tbl_Finance[Xero Invoice No],"&lt;&gt;")=0,"",IFERROR(IF(COUNTIFS(tbl_Finance[Job Number],C400&amp;"",tbl_Finance[Xero Invoice No],LOOKUP(2,1/((tbl_Finance[Job Number]=C400&amp;"")*(tbl_Finance[Xero Invoice No]&lt;&gt;"")),tbl_Finance[Xero Invoice No]))=COUNTIFS(tbl_Finance[Job Number],C400&amp;"",tbl_Finance[Xero Invoice No],"&lt;&gt;"),LOOKUP(2,1/((tbl_Finance[Job Number]=C400&amp;"")*(tbl_Finance[Xero Invoice No]&lt;&gt;"")),tbl_Finance[Xero Invoice No]),LOOKUP(2,1/((tbl_Finance[Job Number]=C400&amp;"")*(tbl_Finance[Xero Invoice No]&lt;&gt;"")),tbl_Finance[Xero Invoice No])&amp;" +more"),"")))</f>
        <v/>
      </c>
      <c r="C400" s="24" t="n"/>
      <c r="D400" s="25">
        <f>IF(C400="","",IF(COUNTIF(lst_Jobs,C400&amp;"")&gt;0,"OK","CHECK"))</f>
        <v/>
      </c>
      <c r="E400" s="25">
        <f>IF(C400="","",IFERROR(INDEX(lst_JobName,MATCH(C400&amp;"",lst_Jobs,0)),""))</f>
        <v/>
      </c>
      <c r="F400" s="25">
        <f>IF(C400="","",IFERROR(INDEX(tbl_Finance[Client],MATCH(C400&amp;"",tbl_Finance[Job Number],0)),""))</f>
        <v/>
      </c>
      <c r="G400" s="28">
        <f>IF(C400="","",COUNTIFS(tbl_Finance[Job Number],C400&amp;"",tbl_Finance[Ex GST],"&lt;&gt;"))</f>
        <v/>
      </c>
      <c r="H400" s="27">
        <f>IF(C400="","",SUMIFS(tbl_Finance[Ex GST],tbl_Finance[Job Number],C400&amp;""))</f>
        <v/>
      </c>
      <c r="I400" s="27">
        <f>IF(C400="","",SUMIFS(tbl_Finance[Ex GST],tbl_Finance[Job Number],C400&amp;"",tbl_Finance[Xero Invoice No],"&lt;&gt;"))</f>
        <v/>
      </c>
      <c r="J400" s="27">
        <f>IF(C400="","",H400-I400)</f>
        <v/>
      </c>
      <c r="K400" s="25">
        <f>IF(C400="","",IF(G400=0,"not invoiced yet",SUBSTITUTE(TRIM(IF(COUNTIFS(tbl_Finance[Job Number],C400&amp;"",tbl_Finance[Cost Centre],"ONSITE")&gt;0,"ONSITE ","")&amp;IF(COUNTIFS(tbl_Finance[Job Number],C400&amp;"",tbl_Finance[Cost Centre],"PRODUCTION")&gt;0,"PRODUCTION ","")&amp;IF(COUNTIFS(tbl_Finance[Job Number],C400&amp;"",tbl_Finance[Cost Centre],"VIDEO")&gt;0,"VIDEO ","")&amp;IF(COUNTIFS(tbl_Finance[Job Number],C400&amp;"",tbl_Finance[Cost Centre],"INTEGRATION")&gt;0,"INTEGRATION ","")&amp;IF(COUNTIFS(tbl_Finance[Job Number],C400&amp;"",tbl_Finance[Cost Centre],"CONSULTING")&gt;0,"CONSULTING ","")&amp;IF(COUNTIFS(tbl_Finance[Job Number],C400&amp;"",tbl_Finance[Cost Centre],"CTS")&gt;0,"CTS ",""))," ",", ")))</f>
        <v/>
      </c>
      <c r="L400" s="22" t="n"/>
      <c r="M400" s="24" t="n"/>
      <c r="N400" s="25">
        <f>IF(M400="","",IF(AND(LEFT(M400,4)&lt;&gt;"http",set_RMSBase=""),"",HYPERLINK(IF(LEFT(M400,4)="http",M400,set_RMSBase&amp;M400),"Open opportunity")))</f>
        <v/>
      </c>
      <c r="O400" s="25">
        <f>IF(C400="","",C400)</f>
        <v/>
      </c>
      <c r="P400" s="24" t="n"/>
      <c r="Q400" s="26" t="n"/>
      <c r="R400" s="27">
        <f>IF(C400="","",H400+N(Q400))</f>
        <v/>
      </c>
      <c r="S400" s="29">
        <f>IFERROR(Q400/R400,"")</f>
        <v/>
      </c>
      <c r="T400" s="26" t="n"/>
      <c r="U400" s="26" t="n"/>
      <c r="V400" s="27">
        <f>IF(C400="","",N(T400)+N(U400))</f>
        <v/>
      </c>
      <c r="W400" s="27">
        <f>IF(C400="","",H400-V400)</f>
        <v/>
      </c>
      <c r="X400" s="29">
        <f>IFERROR(W400/H400,"")</f>
        <v/>
      </c>
      <c r="Y400" s="64" t="n"/>
      <c r="Z400" s="64" t="n"/>
      <c r="AA400" s="64" t="n"/>
      <c r="AB400" s="64" t="n"/>
      <c r="AC400" s="64" t="n"/>
      <c r="AD400" s="24" t="n"/>
    </row>
    <row r="401" ht="15" customHeight="1">
      <c r="A401" s="63">
        <f>IF(C401="","",IFERROR(IF(SUMPRODUCT(MAX((tbl_Finance[Job Number]=C401&amp;"")*(tbl_Finance[Xero Invoice No]&lt;&gt;"")*tbl_Finance[Date]))=0,"",SUMPRODUCT(MAX((tbl_Finance[Job Number]=C401&amp;"")*(tbl_Finance[Xero Invoice No]&lt;&gt;"")*tbl_Finance[Date]))),""))</f>
        <v/>
      </c>
      <c r="B401" s="25">
        <f>IF(C401="","",IF(COUNTIFS(tbl_Finance[Job Number],C401&amp;"",tbl_Finance[Xero Invoice No],"&lt;&gt;")=0,"",IFERROR(IF(COUNTIFS(tbl_Finance[Job Number],C401&amp;"",tbl_Finance[Xero Invoice No],LOOKUP(2,1/((tbl_Finance[Job Number]=C401&amp;"")*(tbl_Finance[Xero Invoice No]&lt;&gt;"")),tbl_Finance[Xero Invoice No]))=COUNTIFS(tbl_Finance[Job Number],C401&amp;"",tbl_Finance[Xero Invoice No],"&lt;&gt;"),LOOKUP(2,1/((tbl_Finance[Job Number]=C401&amp;"")*(tbl_Finance[Xero Invoice No]&lt;&gt;"")),tbl_Finance[Xero Invoice No]),LOOKUP(2,1/((tbl_Finance[Job Number]=C401&amp;"")*(tbl_Finance[Xero Invoice No]&lt;&gt;"")),tbl_Finance[Xero Invoice No])&amp;" +more"),"")))</f>
        <v/>
      </c>
      <c r="C401" s="24" t="n"/>
      <c r="D401" s="25">
        <f>IF(C401="","",IF(COUNTIF(lst_Jobs,C401&amp;"")&gt;0,"OK","CHECK"))</f>
        <v/>
      </c>
      <c r="E401" s="25">
        <f>IF(C401="","",IFERROR(INDEX(lst_JobName,MATCH(C401&amp;"",lst_Jobs,0)),""))</f>
        <v/>
      </c>
      <c r="F401" s="25">
        <f>IF(C401="","",IFERROR(INDEX(tbl_Finance[Client],MATCH(C401&amp;"",tbl_Finance[Job Number],0)),""))</f>
        <v/>
      </c>
      <c r="G401" s="28">
        <f>IF(C401="","",COUNTIFS(tbl_Finance[Job Number],C401&amp;"",tbl_Finance[Ex GST],"&lt;&gt;"))</f>
        <v/>
      </c>
      <c r="H401" s="27">
        <f>IF(C401="","",SUMIFS(tbl_Finance[Ex GST],tbl_Finance[Job Number],C401&amp;""))</f>
        <v/>
      </c>
      <c r="I401" s="27">
        <f>IF(C401="","",SUMIFS(tbl_Finance[Ex GST],tbl_Finance[Job Number],C401&amp;"",tbl_Finance[Xero Invoice No],"&lt;&gt;"))</f>
        <v/>
      </c>
      <c r="J401" s="27">
        <f>IF(C401="","",H401-I401)</f>
        <v/>
      </c>
      <c r="K401" s="25">
        <f>IF(C401="","",IF(G401=0,"not invoiced yet",SUBSTITUTE(TRIM(IF(COUNTIFS(tbl_Finance[Job Number],C401&amp;"",tbl_Finance[Cost Centre],"ONSITE")&gt;0,"ONSITE ","")&amp;IF(COUNTIFS(tbl_Finance[Job Number],C401&amp;"",tbl_Finance[Cost Centre],"PRODUCTION")&gt;0,"PRODUCTION ","")&amp;IF(COUNTIFS(tbl_Finance[Job Number],C401&amp;"",tbl_Finance[Cost Centre],"VIDEO")&gt;0,"VIDEO ","")&amp;IF(COUNTIFS(tbl_Finance[Job Number],C401&amp;"",tbl_Finance[Cost Centre],"INTEGRATION")&gt;0,"INTEGRATION ","")&amp;IF(COUNTIFS(tbl_Finance[Job Number],C401&amp;"",tbl_Finance[Cost Centre],"CONSULTING")&gt;0,"CONSULTING ","")&amp;IF(COUNTIFS(tbl_Finance[Job Number],C401&amp;"",tbl_Finance[Cost Centre],"CTS")&gt;0,"CTS ",""))," ",", ")))</f>
        <v/>
      </c>
      <c r="L401" s="22" t="n"/>
      <c r="M401" s="24" t="n"/>
      <c r="N401" s="25">
        <f>IF(M401="","",IF(AND(LEFT(M401,4)&lt;&gt;"http",set_RMSBase=""),"",HYPERLINK(IF(LEFT(M401,4)="http",M401,set_RMSBase&amp;M401),"Open opportunity")))</f>
        <v/>
      </c>
      <c r="O401" s="25">
        <f>IF(C401="","",C401)</f>
        <v/>
      </c>
      <c r="P401" s="24" t="n"/>
      <c r="Q401" s="26" t="n"/>
      <c r="R401" s="27">
        <f>IF(C401="","",H401+N(Q401))</f>
        <v/>
      </c>
      <c r="S401" s="29">
        <f>IFERROR(Q401/R401,"")</f>
        <v/>
      </c>
      <c r="T401" s="26" t="n"/>
      <c r="U401" s="26" t="n"/>
      <c r="V401" s="27">
        <f>IF(C401="","",N(T401)+N(U401))</f>
        <v/>
      </c>
      <c r="W401" s="27">
        <f>IF(C401="","",H401-V401)</f>
        <v/>
      </c>
      <c r="X401" s="29">
        <f>IFERROR(W401/H401,"")</f>
        <v/>
      </c>
      <c r="Y401" s="64" t="n"/>
      <c r="Z401" s="64" t="n"/>
      <c r="AA401" s="64" t="n"/>
      <c r="AB401" s="64" t="n"/>
      <c r="AC401" s="64" t="n"/>
      <c r="AD401" s="24" t="n"/>
    </row>
    <row r="402" ht="15" customHeight="1">
      <c r="A402" s="63">
        <f>IF(C402="","",IFERROR(IF(SUMPRODUCT(MAX((tbl_Finance[Job Number]=C402&amp;"")*(tbl_Finance[Xero Invoice No]&lt;&gt;"")*tbl_Finance[Date]))=0,"",SUMPRODUCT(MAX((tbl_Finance[Job Number]=C402&amp;"")*(tbl_Finance[Xero Invoice No]&lt;&gt;"")*tbl_Finance[Date]))),""))</f>
        <v/>
      </c>
      <c r="B402" s="25">
        <f>IF(C402="","",IF(COUNTIFS(tbl_Finance[Job Number],C402&amp;"",tbl_Finance[Xero Invoice No],"&lt;&gt;")=0,"",IFERROR(IF(COUNTIFS(tbl_Finance[Job Number],C402&amp;"",tbl_Finance[Xero Invoice No],LOOKUP(2,1/((tbl_Finance[Job Number]=C402&amp;"")*(tbl_Finance[Xero Invoice No]&lt;&gt;"")),tbl_Finance[Xero Invoice No]))=COUNTIFS(tbl_Finance[Job Number],C402&amp;"",tbl_Finance[Xero Invoice No],"&lt;&gt;"),LOOKUP(2,1/((tbl_Finance[Job Number]=C402&amp;"")*(tbl_Finance[Xero Invoice No]&lt;&gt;"")),tbl_Finance[Xero Invoice No]),LOOKUP(2,1/((tbl_Finance[Job Number]=C402&amp;"")*(tbl_Finance[Xero Invoice No]&lt;&gt;"")),tbl_Finance[Xero Invoice No])&amp;" +more"),"")))</f>
        <v/>
      </c>
      <c r="C402" s="24" t="n"/>
      <c r="D402" s="25">
        <f>IF(C402="","",IF(COUNTIF(lst_Jobs,C402&amp;"")&gt;0,"OK","CHECK"))</f>
        <v/>
      </c>
      <c r="E402" s="25">
        <f>IF(C402="","",IFERROR(INDEX(lst_JobName,MATCH(C402&amp;"",lst_Jobs,0)),""))</f>
        <v/>
      </c>
      <c r="F402" s="25">
        <f>IF(C402="","",IFERROR(INDEX(tbl_Finance[Client],MATCH(C402&amp;"",tbl_Finance[Job Number],0)),""))</f>
        <v/>
      </c>
      <c r="G402" s="28">
        <f>IF(C402="","",COUNTIFS(tbl_Finance[Job Number],C402&amp;"",tbl_Finance[Ex GST],"&lt;&gt;"))</f>
        <v/>
      </c>
      <c r="H402" s="27">
        <f>IF(C402="","",SUMIFS(tbl_Finance[Ex GST],tbl_Finance[Job Number],C402&amp;""))</f>
        <v/>
      </c>
      <c r="I402" s="27">
        <f>IF(C402="","",SUMIFS(tbl_Finance[Ex GST],tbl_Finance[Job Number],C402&amp;"",tbl_Finance[Xero Invoice No],"&lt;&gt;"))</f>
        <v/>
      </c>
      <c r="J402" s="27">
        <f>IF(C402="","",H402-I402)</f>
        <v/>
      </c>
      <c r="K402" s="25">
        <f>IF(C402="","",IF(G402=0,"not invoiced yet",SUBSTITUTE(TRIM(IF(COUNTIFS(tbl_Finance[Job Number],C402&amp;"",tbl_Finance[Cost Centre],"ONSITE")&gt;0,"ONSITE ","")&amp;IF(COUNTIFS(tbl_Finance[Job Number],C402&amp;"",tbl_Finance[Cost Centre],"PRODUCTION")&gt;0,"PRODUCTION ","")&amp;IF(COUNTIFS(tbl_Finance[Job Number],C402&amp;"",tbl_Finance[Cost Centre],"VIDEO")&gt;0,"VIDEO ","")&amp;IF(COUNTIFS(tbl_Finance[Job Number],C402&amp;"",tbl_Finance[Cost Centre],"INTEGRATION")&gt;0,"INTEGRATION ","")&amp;IF(COUNTIFS(tbl_Finance[Job Number],C402&amp;"",tbl_Finance[Cost Centre],"CONSULTING")&gt;0,"CONSULTING ","")&amp;IF(COUNTIFS(tbl_Finance[Job Number],C402&amp;"",tbl_Finance[Cost Centre],"CTS")&gt;0,"CTS ",""))," ",", ")))</f>
        <v/>
      </c>
      <c r="L402" s="22" t="n"/>
      <c r="M402" s="24" t="n"/>
      <c r="N402" s="25">
        <f>IF(M402="","",IF(AND(LEFT(M402,4)&lt;&gt;"http",set_RMSBase=""),"",HYPERLINK(IF(LEFT(M402,4)="http",M402,set_RMSBase&amp;M402),"Open opportunity")))</f>
        <v/>
      </c>
      <c r="O402" s="25">
        <f>IF(C402="","",C402)</f>
        <v/>
      </c>
      <c r="P402" s="24" t="n"/>
      <c r="Q402" s="26" t="n"/>
      <c r="R402" s="27">
        <f>IF(C402="","",H402+N(Q402))</f>
        <v/>
      </c>
      <c r="S402" s="29">
        <f>IFERROR(Q402/R402,"")</f>
        <v/>
      </c>
      <c r="T402" s="26" t="n"/>
      <c r="U402" s="26" t="n"/>
      <c r="V402" s="27">
        <f>IF(C402="","",N(T402)+N(U402))</f>
        <v/>
      </c>
      <c r="W402" s="27">
        <f>IF(C402="","",H402-V402)</f>
        <v/>
      </c>
      <c r="X402" s="29">
        <f>IFERROR(W402/H402,"")</f>
        <v/>
      </c>
      <c r="Y402" s="64" t="n"/>
      <c r="Z402" s="64" t="n"/>
      <c r="AA402" s="64" t="n"/>
      <c r="AB402" s="64" t="n"/>
      <c r="AC402" s="64" t="n"/>
      <c r="AD402" s="24" t="n"/>
    </row>
    <row r="403" ht="15" customHeight="1">
      <c r="A403" s="63">
        <f>IF(C403="","",IFERROR(IF(SUMPRODUCT(MAX((tbl_Finance[Job Number]=C403&amp;"")*(tbl_Finance[Xero Invoice No]&lt;&gt;"")*tbl_Finance[Date]))=0,"",SUMPRODUCT(MAX((tbl_Finance[Job Number]=C403&amp;"")*(tbl_Finance[Xero Invoice No]&lt;&gt;"")*tbl_Finance[Date]))),""))</f>
        <v/>
      </c>
      <c r="B403" s="25">
        <f>IF(C403="","",IF(COUNTIFS(tbl_Finance[Job Number],C403&amp;"",tbl_Finance[Xero Invoice No],"&lt;&gt;")=0,"",IFERROR(IF(COUNTIFS(tbl_Finance[Job Number],C403&amp;"",tbl_Finance[Xero Invoice No],LOOKUP(2,1/((tbl_Finance[Job Number]=C403&amp;"")*(tbl_Finance[Xero Invoice No]&lt;&gt;"")),tbl_Finance[Xero Invoice No]))=COUNTIFS(tbl_Finance[Job Number],C403&amp;"",tbl_Finance[Xero Invoice No],"&lt;&gt;"),LOOKUP(2,1/((tbl_Finance[Job Number]=C403&amp;"")*(tbl_Finance[Xero Invoice No]&lt;&gt;"")),tbl_Finance[Xero Invoice No]),LOOKUP(2,1/((tbl_Finance[Job Number]=C403&amp;"")*(tbl_Finance[Xero Invoice No]&lt;&gt;"")),tbl_Finance[Xero Invoice No])&amp;" +more"),"")))</f>
        <v/>
      </c>
      <c r="C403" s="24" t="n"/>
      <c r="D403" s="25">
        <f>IF(C403="","",IF(COUNTIF(lst_Jobs,C403&amp;"")&gt;0,"OK","CHECK"))</f>
        <v/>
      </c>
      <c r="E403" s="25">
        <f>IF(C403="","",IFERROR(INDEX(lst_JobName,MATCH(C403&amp;"",lst_Jobs,0)),""))</f>
        <v/>
      </c>
      <c r="F403" s="25">
        <f>IF(C403="","",IFERROR(INDEX(tbl_Finance[Client],MATCH(C403&amp;"",tbl_Finance[Job Number],0)),""))</f>
        <v/>
      </c>
      <c r="G403" s="28">
        <f>IF(C403="","",COUNTIFS(tbl_Finance[Job Number],C403&amp;"",tbl_Finance[Ex GST],"&lt;&gt;"))</f>
        <v/>
      </c>
      <c r="H403" s="27">
        <f>IF(C403="","",SUMIFS(tbl_Finance[Ex GST],tbl_Finance[Job Number],C403&amp;""))</f>
        <v/>
      </c>
      <c r="I403" s="27">
        <f>IF(C403="","",SUMIFS(tbl_Finance[Ex GST],tbl_Finance[Job Number],C403&amp;"",tbl_Finance[Xero Invoice No],"&lt;&gt;"))</f>
        <v/>
      </c>
      <c r="J403" s="27">
        <f>IF(C403="","",H403-I403)</f>
        <v/>
      </c>
      <c r="K403" s="25">
        <f>IF(C403="","",IF(G403=0,"not invoiced yet",SUBSTITUTE(TRIM(IF(COUNTIFS(tbl_Finance[Job Number],C403&amp;"",tbl_Finance[Cost Centre],"ONSITE")&gt;0,"ONSITE ","")&amp;IF(COUNTIFS(tbl_Finance[Job Number],C403&amp;"",tbl_Finance[Cost Centre],"PRODUCTION")&gt;0,"PRODUCTION ","")&amp;IF(COUNTIFS(tbl_Finance[Job Number],C403&amp;"",tbl_Finance[Cost Centre],"VIDEO")&gt;0,"VIDEO ","")&amp;IF(COUNTIFS(tbl_Finance[Job Number],C403&amp;"",tbl_Finance[Cost Centre],"INTEGRATION")&gt;0,"INTEGRATION ","")&amp;IF(COUNTIFS(tbl_Finance[Job Number],C403&amp;"",tbl_Finance[Cost Centre],"CONSULTING")&gt;0,"CONSULTING ","")&amp;IF(COUNTIFS(tbl_Finance[Job Number],C403&amp;"",tbl_Finance[Cost Centre],"CTS")&gt;0,"CTS ",""))," ",", ")))</f>
        <v/>
      </c>
      <c r="L403" s="22" t="n"/>
      <c r="M403" s="24" t="n"/>
      <c r="N403" s="25">
        <f>IF(M403="","",IF(AND(LEFT(M403,4)&lt;&gt;"http",set_RMSBase=""),"",HYPERLINK(IF(LEFT(M403,4)="http",M403,set_RMSBase&amp;M403),"Open opportunity")))</f>
        <v/>
      </c>
      <c r="O403" s="25">
        <f>IF(C403="","",C403)</f>
        <v/>
      </c>
      <c r="P403" s="24" t="n"/>
      <c r="Q403" s="26" t="n"/>
      <c r="R403" s="27">
        <f>IF(C403="","",H403+N(Q403))</f>
        <v/>
      </c>
      <c r="S403" s="29">
        <f>IFERROR(Q403/R403,"")</f>
        <v/>
      </c>
      <c r="T403" s="26" t="n"/>
      <c r="U403" s="26" t="n"/>
      <c r="V403" s="27">
        <f>IF(C403="","",N(T403)+N(U403))</f>
        <v/>
      </c>
      <c r="W403" s="27">
        <f>IF(C403="","",H403-V403)</f>
        <v/>
      </c>
      <c r="X403" s="29">
        <f>IFERROR(W403/H403,"")</f>
        <v/>
      </c>
      <c r="Y403" s="64" t="n"/>
      <c r="Z403" s="64" t="n"/>
      <c r="AA403" s="64" t="n"/>
      <c r="AB403" s="64" t="n"/>
      <c r="AC403" s="64" t="n"/>
      <c r="AD403" s="24" t="n"/>
    </row>
    <row r="404" ht="15" customHeight="1">
      <c r="A404" s="63">
        <f>IF(C404="","",IFERROR(IF(SUMPRODUCT(MAX((tbl_Finance[Job Number]=C404&amp;"")*(tbl_Finance[Xero Invoice No]&lt;&gt;"")*tbl_Finance[Date]))=0,"",SUMPRODUCT(MAX((tbl_Finance[Job Number]=C404&amp;"")*(tbl_Finance[Xero Invoice No]&lt;&gt;"")*tbl_Finance[Date]))),""))</f>
        <v/>
      </c>
      <c r="B404" s="25">
        <f>IF(C404="","",IF(COUNTIFS(tbl_Finance[Job Number],C404&amp;"",tbl_Finance[Xero Invoice No],"&lt;&gt;")=0,"",IFERROR(IF(COUNTIFS(tbl_Finance[Job Number],C404&amp;"",tbl_Finance[Xero Invoice No],LOOKUP(2,1/((tbl_Finance[Job Number]=C404&amp;"")*(tbl_Finance[Xero Invoice No]&lt;&gt;"")),tbl_Finance[Xero Invoice No]))=COUNTIFS(tbl_Finance[Job Number],C404&amp;"",tbl_Finance[Xero Invoice No],"&lt;&gt;"),LOOKUP(2,1/((tbl_Finance[Job Number]=C404&amp;"")*(tbl_Finance[Xero Invoice No]&lt;&gt;"")),tbl_Finance[Xero Invoice No]),LOOKUP(2,1/((tbl_Finance[Job Number]=C404&amp;"")*(tbl_Finance[Xero Invoice No]&lt;&gt;"")),tbl_Finance[Xero Invoice No])&amp;" +more"),"")))</f>
        <v/>
      </c>
      <c r="C404" s="24" t="n"/>
      <c r="D404" s="25">
        <f>IF(C404="","",IF(COUNTIF(lst_Jobs,C404&amp;"")&gt;0,"OK","CHECK"))</f>
        <v/>
      </c>
      <c r="E404" s="25">
        <f>IF(C404="","",IFERROR(INDEX(lst_JobName,MATCH(C404&amp;"",lst_Jobs,0)),""))</f>
        <v/>
      </c>
      <c r="F404" s="25">
        <f>IF(C404="","",IFERROR(INDEX(tbl_Finance[Client],MATCH(C404&amp;"",tbl_Finance[Job Number],0)),""))</f>
        <v/>
      </c>
      <c r="G404" s="28">
        <f>IF(C404="","",COUNTIFS(tbl_Finance[Job Number],C404&amp;"",tbl_Finance[Ex GST],"&lt;&gt;"))</f>
        <v/>
      </c>
      <c r="H404" s="27">
        <f>IF(C404="","",SUMIFS(tbl_Finance[Ex GST],tbl_Finance[Job Number],C404&amp;""))</f>
        <v/>
      </c>
      <c r="I404" s="27">
        <f>IF(C404="","",SUMIFS(tbl_Finance[Ex GST],tbl_Finance[Job Number],C404&amp;"",tbl_Finance[Xero Invoice No],"&lt;&gt;"))</f>
        <v/>
      </c>
      <c r="J404" s="27">
        <f>IF(C404="","",H404-I404)</f>
        <v/>
      </c>
      <c r="K404" s="25">
        <f>IF(C404="","",IF(G404=0,"not invoiced yet",SUBSTITUTE(TRIM(IF(COUNTIFS(tbl_Finance[Job Number],C404&amp;"",tbl_Finance[Cost Centre],"ONSITE")&gt;0,"ONSITE ","")&amp;IF(COUNTIFS(tbl_Finance[Job Number],C404&amp;"",tbl_Finance[Cost Centre],"PRODUCTION")&gt;0,"PRODUCTION ","")&amp;IF(COUNTIFS(tbl_Finance[Job Number],C404&amp;"",tbl_Finance[Cost Centre],"VIDEO")&gt;0,"VIDEO ","")&amp;IF(COUNTIFS(tbl_Finance[Job Number],C404&amp;"",tbl_Finance[Cost Centre],"INTEGRATION")&gt;0,"INTEGRATION ","")&amp;IF(COUNTIFS(tbl_Finance[Job Number],C404&amp;"",tbl_Finance[Cost Centre],"CONSULTING")&gt;0,"CONSULTING ","")&amp;IF(COUNTIFS(tbl_Finance[Job Number],C404&amp;"",tbl_Finance[Cost Centre],"CTS")&gt;0,"CTS ",""))," ",", ")))</f>
        <v/>
      </c>
      <c r="L404" s="22" t="n"/>
      <c r="M404" s="24" t="n"/>
      <c r="N404" s="25">
        <f>IF(M404="","",IF(AND(LEFT(M404,4)&lt;&gt;"http",set_RMSBase=""),"",HYPERLINK(IF(LEFT(M404,4)="http",M404,set_RMSBase&amp;M404),"Open opportunity")))</f>
        <v/>
      </c>
      <c r="O404" s="25">
        <f>IF(C404="","",C404)</f>
        <v/>
      </c>
      <c r="P404" s="24" t="n"/>
      <c r="Q404" s="26" t="n"/>
      <c r="R404" s="27">
        <f>IF(C404="","",H404+N(Q404))</f>
        <v/>
      </c>
      <c r="S404" s="29">
        <f>IFERROR(Q404/R404,"")</f>
        <v/>
      </c>
      <c r="T404" s="26" t="n"/>
      <c r="U404" s="26" t="n"/>
      <c r="V404" s="27">
        <f>IF(C404="","",N(T404)+N(U404))</f>
        <v/>
      </c>
      <c r="W404" s="27">
        <f>IF(C404="","",H404-V404)</f>
        <v/>
      </c>
      <c r="X404" s="29">
        <f>IFERROR(W404/H404,"")</f>
        <v/>
      </c>
      <c r="Y404" s="64" t="n"/>
      <c r="Z404" s="64" t="n"/>
      <c r="AA404" s="64" t="n"/>
      <c r="AB404" s="64" t="n"/>
      <c r="AC404" s="64" t="n"/>
      <c r="AD404" s="24" t="n"/>
    </row>
    <row r="405" ht="15" customHeight="1">
      <c r="A405" s="63">
        <f>IF(C405="","",IFERROR(IF(SUMPRODUCT(MAX((tbl_Finance[Job Number]=C405&amp;"")*(tbl_Finance[Xero Invoice No]&lt;&gt;"")*tbl_Finance[Date]))=0,"",SUMPRODUCT(MAX((tbl_Finance[Job Number]=C405&amp;"")*(tbl_Finance[Xero Invoice No]&lt;&gt;"")*tbl_Finance[Date]))),""))</f>
        <v/>
      </c>
      <c r="B405" s="25">
        <f>IF(C405="","",IF(COUNTIFS(tbl_Finance[Job Number],C405&amp;"",tbl_Finance[Xero Invoice No],"&lt;&gt;")=0,"",IFERROR(IF(COUNTIFS(tbl_Finance[Job Number],C405&amp;"",tbl_Finance[Xero Invoice No],LOOKUP(2,1/((tbl_Finance[Job Number]=C405&amp;"")*(tbl_Finance[Xero Invoice No]&lt;&gt;"")),tbl_Finance[Xero Invoice No]))=COUNTIFS(tbl_Finance[Job Number],C405&amp;"",tbl_Finance[Xero Invoice No],"&lt;&gt;"),LOOKUP(2,1/((tbl_Finance[Job Number]=C405&amp;"")*(tbl_Finance[Xero Invoice No]&lt;&gt;"")),tbl_Finance[Xero Invoice No]),LOOKUP(2,1/((tbl_Finance[Job Number]=C405&amp;"")*(tbl_Finance[Xero Invoice No]&lt;&gt;"")),tbl_Finance[Xero Invoice No])&amp;" +more"),"")))</f>
        <v/>
      </c>
      <c r="C405" s="24" t="n"/>
      <c r="D405" s="25">
        <f>IF(C405="","",IF(COUNTIF(lst_Jobs,C405&amp;"")&gt;0,"OK","CHECK"))</f>
        <v/>
      </c>
      <c r="E405" s="25">
        <f>IF(C405="","",IFERROR(INDEX(lst_JobName,MATCH(C405&amp;"",lst_Jobs,0)),""))</f>
        <v/>
      </c>
      <c r="F405" s="25">
        <f>IF(C405="","",IFERROR(INDEX(tbl_Finance[Client],MATCH(C405&amp;"",tbl_Finance[Job Number],0)),""))</f>
        <v/>
      </c>
      <c r="G405" s="28">
        <f>IF(C405="","",COUNTIFS(tbl_Finance[Job Number],C405&amp;"",tbl_Finance[Ex GST],"&lt;&gt;"))</f>
        <v/>
      </c>
      <c r="H405" s="27">
        <f>IF(C405="","",SUMIFS(tbl_Finance[Ex GST],tbl_Finance[Job Number],C405&amp;""))</f>
        <v/>
      </c>
      <c r="I405" s="27">
        <f>IF(C405="","",SUMIFS(tbl_Finance[Ex GST],tbl_Finance[Job Number],C405&amp;"",tbl_Finance[Xero Invoice No],"&lt;&gt;"))</f>
        <v/>
      </c>
      <c r="J405" s="27">
        <f>IF(C405="","",H405-I405)</f>
        <v/>
      </c>
      <c r="K405" s="25">
        <f>IF(C405="","",IF(G405=0,"not invoiced yet",SUBSTITUTE(TRIM(IF(COUNTIFS(tbl_Finance[Job Number],C405&amp;"",tbl_Finance[Cost Centre],"ONSITE")&gt;0,"ONSITE ","")&amp;IF(COUNTIFS(tbl_Finance[Job Number],C405&amp;"",tbl_Finance[Cost Centre],"PRODUCTION")&gt;0,"PRODUCTION ","")&amp;IF(COUNTIFS(tbl_Finance[Job Number],C405&amp;"",tbl_Finance[Cost Centre],"VIDEO")&gt;0,"VIDEO ","")&amp;IF(COUNTIFS(tbl_Finance[Job Number],C405&amp;"",tbl_Finance[Cost Centre],"INTEGRATION")&gt;0,"INTEGRATION ","")&amp;IF(COUNTIFS(tbl_Finance[Job Number],C405&amp;"",tbl_Finance[Cost Centre],"CONSULTING")&gt;0,"CONSULTING ","")&amp;IF(COUNTIFS(tbl_Finance[Job Number],C405&amp;"",tbl_Finance[Cost Centre],"CTS")&gt;0,"CTS ",""))," ",", ")))</f>
        <v/>
      </c>
      <c r="L405" s="22" t="n"/>
      <c r="M405" s="24" t="n"/>
      <c r="N405" s="25">
        <f>IF(M405="","",IF(AND(LEFT(M405,4)&lt;&gt;"http",set_RMSBase=""),"",HYPERLINK(IF(LEFT(M405,4)="http",M405,set_RMSBase&amp;M405),"Open opportunity")))</f>
        <v/>
      </c>
      <c r="O405" s="25">
        <f>IF(C405="","",C405)</f>
        <v/>
      </c>
      <c r="P405" s="24" t="n"/>
      <c r="Q405" s="26" t="n"/>
      <c r="R405" s="27">
        <f>IF(C405="","",H405+N(Q405))</f>
        <v/>
      </c>
      <c r="S405" s="29">
        <f>IFERROR(Q405/R405,"")</f>
        <v/>
      </c>
      <c r="T405" s="26" t="n"/>
      <c r="U405" s="26" t="n"/>
      <c r="V405" s="27">
        <f>IF(C405="","",N(T405)+N(U405))</f>
        <v/>
      </c>
      <c r="W405" s="27">
        <f>IF(C405="","",H405-V405)</f>
        <v/>
      </c>
      <c r="X405" s="29">
        <f>IFERROR(W405/H405,"")</f>
        <v/>
      </c>
      <c r="Y405" s="64" t="n"/>
      <c r="Z405" s="64" t="n"/>
      <c r="AA405" s="64" t="n"/>
      <c r="AB405" s="64" t="n"/>
      <c r="AC405" s="64" t="n"/>
      <c r="AD405" s="24" t="n"/>
    </row>
    <row r="406" ht="15" customHeight="1">
      <c r="A406" s="63">
        <f>IF(C406="","",IFERROR(IF(SUMPRODUCT(MAX((tbl_Finance[Job Number]=C406&amp;"")*(tbl_Finance[Xero Invoice No]&lt;&gt;"")*tbl_Finance[Date]))=0,"",SUMPRODUCT(MAX((tbl_Finance[Job Number]=C406&amp;"")*(tbl_Finance[Xero Invoice No]&lt;&gt;"")*tbl_Finance[Date]))),""))</f>
        <v/>
      </c>
      <c r="B406" s="25">
        <f>IF(C406="","",IF(COUNTIFS(tbl_Finance[Job Number],C406&amp;"",tbl_Finance[Xero Invoice No],"&lt;&gt;")=0,"",IFERROR(IF(COUNTIFS(tbl_Finance[Job Number],C406&amp;"",tbl_Finance[Xero Invoice No],LOOKUP(2,1/((tbl_Finance[Job Number]=C406&amp;"")*(tbl_Finance[Xero Invoice No]&lt;&gt;"")),tbl_Finance[Xero Invoice No]))=COUNTIFS(tbl_Finance[Job Number],C406&amp;"",tbl_Finance[Xero Invoice No],"&lt;&gt;"),LOOKUP(2,1/((tbl_Finance[Job Number]=C406&amp;"")*(tbl_Finance[Xero Invoice No]&lt;&gt;"")),tbl_Finance[Xero Invoice No]),LOOKUP(2,1/((tbl_Finance[Job Number]=C406&amp;"")*(tbl_Finance[Xero Invoice No]&lt;&gt;"")),tbl_Finance[Xero Invoice No])&amp;" +more"),"")))</f>
        <v/>
      </c>
      <c r="C406" s="24" t="n"/>
      <c r="D406" s="25">
        <f>IF(C406="","",IF(COUNTIF(lst_Jobs,C406&amp;"")&gt;0,"OK","CHECK"))</f>
        <v/>
      </c>
      <c r="E406" s="25">
        <f>IF(C406="","",IFERROR(INDEX(lst_JobName,MATCH(C406&amp;"",lst_Jobs,0)),""))</f>
        <v/>
      </c>
      <c r="F406" s="25">
        <f>IF(C406="","",IFERROR(INDEX(tbl_Finance[Client],MATCH(C406&amp;"",tbl_Finance[Job Number],0)),""))</f>
        <v/>
      </c>
      <c r="G406" s="28">
        <f>IF(C406="","",COUNTIFS(tbl_Finance[Job Number],C406&amp;"",tbl_Finance[Ex GST],"&lt;&gt;"))</f>
        <v/>
      </c>
      <c r="H406" s="27">
        <f>IF(C406="","",SUMIFS(tbl_Finance[Ex GST],tbl_Finance[Job Number],C406&amp;""))</f>
        <v/>
      </c>
      <c r="I406" s="27">
        <f>IF(C406="","",SUMIFS(tbl_Finance[Ex GST],tbl_Finance[Job Number],C406&amp;"",tbl_Finance[Xero Invoice No],"&lt;&gt;"))</f>
        <v/>
      </c>
      <c r="J406" s="27">
        <f>IF(C406="","",H406-I406)</f>
        <v/>
      </c>
      <c r="K406" s="25">
        <f>IF(C406="","",IF(G406=0,"not invoiced yet",SUBSTITUTE(TRIM(IF(COUNTIFS(tbl_Finance[Job Number],C406&amp;"",tbl_Finance[Cost Centre],"ONSITE")&gt;0,"ONSITE ","")&amp;IF(COUNTIFS(tbl_Finance[Job Number],C406&amp;"",tbl_Finance[Cost Centre],"PRODUCTION")&gt;0,"PRODUCTION ","")&amp;IF(COUNTIFS(tbl_Finance[Job Number],C406&amp;"",tbl_Finance[Cost Centre],"VIDEO")&gt;0,"VIDEO ","")&amp;IF(COUNTIFS(tbl_Finance[Job Number],C406&amp;"",tbl_Finance[Cost Centre],"INTEGRATION")&gt;0,"INTEGRATION ","")&amp;IF(COUNTIFS(tbl_Finance[Job Number],C406&amp;"",tbl_Finance[Cost Centre],"CONSULTING")&gt;0,"CONSULTING ","")&amp;IF(COUNTIFS(tbl_Finance[Job Number],C406&amp;"",tbl_Finance[Cost Centre],"CTS")&gt;0,"CTS ",""))," ",", ")))</f>
        <v/>
      </c>
      <c r="L406" s="22" t="n"/>
      <c r="M406" s="24" t="n"/>
      <c r="N406" s="25">
        <f>IF(M406="","",IF(AND(LEFT(M406,4)&lt;&gt;"http",set_RMSBase=""),"",HYPERLINK(IF(LEFT(M406,4)="http",M406,set_RMSBase&amp;M406),"Open opportunity")))</f>
        <v/>
      </c>
      <c r="O406" s="25">
        <f>IF(C406="","",C406)</f>
        <v/>
      </c>
      <c r="P406" s="24" t="n"/>
      <c r="Q406" s="26" t="n"/>
      <c r="R406" s="27">
        <f>IF(C406="","",H406+N(Q406))</f>
        <v/>
      </c>
      <c r="S406" s="29">
        <f>IFERROR(Q406/R406,"")</f>
        <v/>
      </c>
      <c r="T406" s="26" t="n"/>
      <c r="U406" s="26" t="n"/>
      <c r="V406" s="27">
        <f>IF(C406="","",N(T406)+N(U406))</f>
        <v/>
      </c>
      <c r="W406" s="27">
        <f>IF(C406="","",H406-V406)</f>
        <v/>
      </c>
      <c r="X406" s="29">
        <f>IFERROR(W406/H406,"")</f>
        <v/>
      </c>
      <c r="Y406" s="64" t="n"/>
      <c r="Z406" s="64" t="n"/>
      <c r="AA406" s="64" t="n"/>
      <c r="AB406" s="64" t="n"/>
      <c r="AC406" s="64" t="n"/>
      <c r="AD406" s="24" t="n"/>
    </row>
    <row r="407" ht="15" customHeight="1">
      <c r="A407" s="63">
        <f>IF(C407="","",IFERROR(IF(SUMPRODUCT(MAX((tbl_Finance[Job Number]=C407&amp;"")*(tbl_Finance[Xero Invoice No]&lt;&gt;"")*tbl_Finance[Date]))=0,"",SUMPRODUCT(MAX((tbl_Finance[Job Number]=C407&amp;"")*(tbl_Finance[Xero Invoice No]&lt;&gt;"")*tbl_Finance[Date]))),""))</f>
        <v/>
      </c>
      <c r="B407" s="25">
        <f>IF(C407="","",IF(COUNTIFS(tbl_Finance[Job Number],C407&amp;"",tbl_Finance[Xero Invoice No],"&lt;&gt;")=0,"",IFERROR(IF(COUNTIFS(tbl_Finance[Job Number],C407&amp;"",tbl_Finance[Xero Invoice No],LOOKUP(2,1/((tbl_Finance[Job Number]=C407&amp;"")*(tbl_Finance[Xero Invoice No]&lt;&gt;"")),tbl_Finance[Xero Invoice No]))=COUNTIFS(tbl_Finance[Job Number],C407&amp;"",tbl_Finance[Xero Invoice No],"&lt;&gt;"),LOOKUP(2,1/((tbl_Finance[Job Number]=C407&amp;"")*(tbl_Finance[Xero Invoice No]&lt;&gt;"")),tbl_Finance[Xero Invoice No]),LOOKUP(2,1/((tbl_Finance[Job Number]=C407&amp;"")*(tbl_Finance[Xero Invoice No]&lt;&gt;"")),tbl_Finance[Xero Invoice No])&amp;" +more"),"")))</f>
        <v/>
      </c>
      <c r="C407" s="24" t="n"/>
      <c r="D407" s="25">
        <f>IF(C407="","",IF(COUNTIF(lst_Jobs,C407&amp;"")&gt;0,"OK","CHECK"))</f>
        <v/>
      </c>
      <c r="E407" s="25">
        <f>IF(C407="","",IFERROR(INDEX(lst_JobName,MATCH(C407&amp;"",lst_Jobs,0)),""))</f>
        <v/>
      </c>
      <c r="F407" s="25">
        <f>IF(C407="","",IFERROR(INDEX(tbl_Finance[Client],MATCH(C407&amp;"",tbl_Finance[Job Number],0)),""))</f>
        <v/>
      </c>
      <c r="G407" s="28">
        <f>IF(C407="","",COUNTIFS(tbl_Finance[Job Number],C407&amp;"",tbl_Finance[Ex GST],"&lt;&gt;"))</f>
        <v/>
      </c>
      <c r="H407" s="27">
        <f>IF(C407="","",SUMIFS(tbl_Finance[Ex GST],tbl_Finance[Job Number],C407&amp;""))</f>
        <v/>
      </c>
      <c r="I407" s="27">
        <f>IF(C407="","",SUMIFS(tbl_Finance[Ex GST],tbl_Finance[Job Number],C407&amp;"",tbl_Finance[Xero Invoice No],"&lt;&gt;"))</f>
        <v/>
      </c>
      <c r="J407" s="27">
        <f>IF(C407="","",H407-I407)</f>
        <v/>
      </c>
      <c r="K407" s="25">
        <f>IF(C407="","",IF(G407=0,"not invoiced yet",SUBSTITUTE(TRIM(IF(COUNTIFS(tbl_Finance[Job Number],C407&amp;"",tbl_Finance[Cost Centre],"ONSITE")&gt;0,"ONSITE ","")&amp;IF(COUNTIFS(tbl_Finance[Job Number],C407&amp;"",tbl_Finance[Cost Centre],"PRODUCTION")&gt;0,"PRODUCTION ","")&amp;IF(COUNTIFS(tbl_Finance[Job Number],C407&amp;"",tbl_Finance[Cost Centre],"VIDEO")&gt;0,"VIDEO ","")&amp;IF(COUNTIFS(tbl_Finance[Job Number],C407&amp;"",tbl_Finance[Cost Centre],"INTEGRATION")&gt;0,"INTEGRATION ","")&amp;IF(COUNTIFS(tbl_Finance[Job Number],C407&amp;"",tbl_Finance[Cost Centre],"CONSULTING")&gt;0,"CONSULTING ","")&amp;IF(COUNTIFS(tbl_Finance[Job Number],C407&amp;"",tbl_Finance[Cost Centre],"CTS")&gt;0,"CTS ",""))," ",", ")))</f>
        <v/>
      </c>
      <c r="L407" s="22" t="n"/>
      <c r="M407" s="24" t="n"/>
      <c r="N407" s="25">
        <f>IF(M407="","",IF(AND(LEFT(M407,4)&lt;&gt;"http",set_RMSBase=""),"",HYPERLINK(IF(LEFT(M407,4)="http",M407,set_RMSBase&amp;M407),"Open opportunity")))</f>
        <v/>
      </c>
      <c r="O407" s="25">
        <f>IF(C407="","",C407)</f>
        <v/>
      </c>
      <c r="P407" s="24" t="n"/>
      <c r="Q407" s="26" t="n"/>
      <c r="R407" s="27">
        <f>IF(C407="","",H407+N(Q407))</f>
        <v/>
      </c>
      <c r="S407" s="29">
        <f>IFERROR(Q407/R407,"")</f>
        <v/>
      </c>
      <c r="T407" s="26" t="n"/>
      <c r="U407" s="26" t="n"/>
      <c r="V407" s="27">
        <f>IF(C407="","",N(T407)+N(U407))</f>
        <v/>
      </c>
      <c r="W407" s="27">
        <f>IF(C407="","",H407-V407)</f>
        <v/>
      </c>
      <c r="X407" s="29">
        <f>IFERROR(W407/H407,"")</f>
        <v/>
      </c>
      <c r="Y407" s="64" t="n"/>
      <c r="Z407" s="64" t="n"/>
      <c r="AA407" s="64" t="n"/>
      <c r="AB407" s="64" t="n"/>
      <c r="AC407" s="64" t="n"/>
      <c r="AD407" s="24" t="n"/>
    </row>
    <row r="408" ht="15" customHeight="1">
      <c r="A408" s="63">
        <f>IF(C408="","",IFERROR(IF(SUMPRODUCT(MAX((tbl_Finance[Job Number]=C408&amp;"")*(tbl_Finance[Xero Invoice No]&lt;&gt;"")*tbl_Finance[Date]))=0,"",SUMPRODUCT(MAX((tbl_Finance[Job Number]=C408&amp;"")*(tbl_Finance[Xero Invoice No]&lt;&gt;"")*tbl_Finance[Date]))),""))</f>
        <v/>
      </c>
      <c r="B408" s="25">
        <f>IF(C408="","",IF(COUNTIFS(tbl_Finance[Job Number],C408&amp;"",tbl_Finance[Xero Invoice No],"&lt;&gt;")=0,"",IFERROR(IF(COUNTIFS(tbl_Finance[Job Number],C408&amp;"",tbl_Finance[Xero Invoice No],LOOKUP(2,1/((tbl_Finance[Job Number]=C408&amp;"")*(tbl_Finance[Xero Invoice No]&lt;&gt;"")),tbl_Finance[Xero Invoice No]))=COUNTIFS(tbl_Finance[Job Number],C408&amp;"",tbl_Finance[Xero Invoice No],"&lt;&gt;"),LOOKUP(2,1/((tbl_Finance[Job Number]=C408&amp;"")*(tbl_Finance[Xero Invoice No]&lt;&gt;"")),tbl_Finance[Xero Invoice No]),LOOKUP(2,1/((tbl_Finance[Job Number]=C408&amp;"")*(tbl_Finance[Xero Invoice No]&lt;&gt;"")),tbl_Finance[Xero Invoice No])&amp;" +more"),"")))</f>
        <v/>
      </c>
      <c r="C408" s="24" t="n"/>
      <c r="D408" s="25">
        <f>IF(C408="","",IF(COUNTIF(lst_Jobs,C408&amp;"")&gt;0,"OK","CHECK"))</f>
        <v/>
      </c>
      <c r="E408" s="25">
        <f>IF(C408="","",IFERROR(INDEX(lst_JobName,MATCH(C408&amp;"",lst_Jobs,0)),""))</f>
        <v/>
      </c>
      <c r="F408" s="25">
        <f>IF(C408="","",IFERROR(INDEX(tbl_Finance[Client],MATCH(C408&amp;"",tbl_Finance[Job Number],0)),""))</f>
        <v/>
      </c>
      <c r="G408" s="28">
        <f>IF(C408="","",COUNTIFS(tbl_Finance[Job Number],C408&amp;"",tbl_Finance[Ex GST],"&lt;&gt;"))</f>
        <v/>
      </c>
      <c r="H408" s="27">
        <f>IF(C408="","",SUMIFS(tbl_Finance[Ex GST],tbl_Finance[Job Number],C408&amp;""))</f>
        <v/>
      </c>
      <c r="I408" s="27">
        <f>IF(C408="","",SUMIFS(tbl_Finance[Ex GST],tbl_Finance[Job Number],C408&amp;"",tbl_Finance[Xero Invoice No],"&lt;&gt;"))</f>
        <v/>
      </c>
      <c r="J408" s="27">
        <f>IF(C408="","",H408-I408)</f>
        <v/>
      </c>
      <c r="K408" s="25">
        <f>IF(C408="","",IF(G408=0,"not invoiced yet",SUBSTITUTE(TRIM(IF(COUNTIFS(tbl_Finance[Job Number],C408&amp;"",tbl_Finance[Cost Centre],"ONSITE")&gt;0,"ONSITE ","")&amp;IF(COUNTIFS(tbl_Finance[Job Number],C408&amp;"",tbl_Finance[Cost Centre],"PRODUCTION")&gt;0,"PRODUCTION ","")&amp;IF(COUNTIFS(tbl_Finance[Job Number],C408&amp;"",tbl_Finance[Cost Centre],"VIDEO")&gt;0,"VIDEO ","")&amp;IF(COUNTIFS(tbl_Finance[Job Number],C408&amp;"",tbl_Finance[Cost Centre],"INTEGRATION")&gt;0,"INTEGRATION ","")&amp;IF(COUNTIFS(tbl_Finance[Job Number],C408&amp;"",tbl_Finance[Cost Centre],"CONSULTING")&gt;0,"CONSULTING ","")&amp;IF(COUNTIFS(tbl_Finance[Job Number],C408&amp;"",tbl_Finance[Cost Centre],"CTS")&gt;0,"CTS ",""))," ",", ")))</f>
        <v/>
      </c>
      <c r="L408" s="22" t="n"/>
      <c r="M408" s="24" t="n"/>
      <c r="N408" s="25">
        <f>IF(M408="","",IF(AND(LEFT(M408,4)&lt;&gt;"http",set_RMSBase=""),"",HYPERLINK(IF(LEFT(M408,4)="http",M408,set_RMSBase&amp;M408),"Open opportunity")))</f>
        <v/>
      </c>
      <c r="O408" s="25">
        <f>IF(C408="","",C408)</f>
        <v/>
      </c>
      <c r="P408" s="24" t="n"/>
      <c r="Q408" s="26" t="n"/>
      <c r="R408" s="27">
        <f>IF(C408="","",H408+N(Q408))</f>
        <v/>
      </c>
      <c r="S408" s="29">
        <f>IFERROR(Q408/R408,"")</f>
        <v/>
      </c>
      <c r="T408" s="26" t="n"/>
      <c r="U408" s="26" t="n"/>
      <c r="V408" s="27">
        <f>IF(C408="","",N(T408)+N(U408))</f>
        <v/>
      </c>
      <c r="W408" s="27">
        <f>IF(C408="","",H408-V408)</f>
        <v/>
      </c>
      <c r="X408" s="29">
        <f>IFERROR(W408/H408,"")</f>
        <v/>
      </c>
      <c r="Y408" s="64" t="n"/>
      <c r="Z408" s="64" t="n"/>
      <c r="AA408" s="64" t="n"/>
      <c r="AB408" s="64" t="n"/>
      <c r="AC408" s="64" t="n"/>
      <c r="AD408" s="24" t="n"/>
    </row>
    <row r="409" ht="15" customHeight="1">
      <c r="A409" s="63">
        <f>IF(C409="","",IFERROR(IF(SUMPRODUCT(MAX((tbl_Finance[Job Number]=C409&amp;"")*(tbl_Finance[Xero Invoice No]&lt;&gt;"")*tbl_Finance[Date]))=0,"",SUMPRODUCT(MAX((tbl_Finance[Job Number]=C409&amp;"")*(tbl_Finance[Xero Invoice No]&lt;&gt;"")*tbl_Finance[Date]))),""))</f>
        <v/>
      </c>
      <c r="B409" s="25">
        <f>IF(C409="","",IF(COUNTIFS(tbl_Finance[Job Number],C409&amp;"",tbl_Finance[Xero Invoice No],"&lt;&gt;")=0,"",IFERROR(IF(COUNTIFS(tbl_Finance[Job Number],C409&amp;"",tbl_Finance[Xero Invoice No],LOOKUP(2,1/((tbl_Finance[Job Number]=C409&amp;"")*(tbl_Finance[Xero Invoice No]&lt;&gt;"")),tbl_Finance[Xero Invoice No]))=COUNTIFS(tbl_Finance[Job Number],C409&amp;"",tbl_Finance[Xero Invoice No],"&lt;&gt;"),LOOKUP(2,1/((tbl_Finance[Job Number]=C409&amp;"")*(tbl_Finance[Xero Invoice No]&lt;&gt;"")),tbl_Finance[Xero Invoice No]),LOOKUP(2,1/((tbl_Finance[Job Number]=C409&amp;"")*(tbl_Finance[Xero Invoice No]&lt;&gt;"")),tbl_Finance[Xero Invoice No])&amp;" +more"),"")))</f>
        <v/>
      </c>
      <c r="C409" s="24" t="n"/>
      <c r="D409" s="25">
        <f>IF(C409="","",IF(COUNTIF(lst_Jobs,C409&amp;"")&gt;0,"OK","CHECK"))</f>
        <v/>
      </c>
      <c r="E409" s="25">
        <f>IF(C409="","",IFERROR(INDEX(lst_JobName,MATCH(C409&amp;"",lst_Jobs,0)),""))</f>
        <v/>
      </c>
      <c r="F409" s="25">
        <f>IF(C409="","",IFERROR(INDEX(tbl_Finance[Client],MATCH(C409&amp;"",tbl_Finance[Job Number],0)),""))</f>
        <v/>
      </c>
      <c r="G409" s="28">
        <f>IF(C409="","",COUNTIFS(tbl_Finance[Job Number],C409&amp;"",tbl_Finance[Ex GST],"&lt;&gt;"))</f>
        <v/>
      </c>
      <c r="H409" s="27">
        <f>IF(C409="","",SUMIFS(tbl_Finance[Ex GST],tbl_Finance[Job Number],C409&amp;""))</f>
        <v/>
      </c>
      <c r="I409" s="27">
        <f>IF(C409="","",SUMIFS(tbl_Finance[Ex GST],tbl_Finance[Job Number],C409&amp;"",tbl_Finance[Xero Invoice No],"&lt;&gt;"))</f>
        <v/>
      </c>
      <c r="J409" s="27">
        <f>IF(C409="","",H409-I409)</f>
        <v/>
      </c>
      <c r="K409" s="25">
        <f>IF(C409="","",IF(G409=0,"not invoiced yet",SUBSTITUTE(TRIM(IF(COUNTIFS(tbl_Finance[Job Number],C409&amp;"",tbl_Finance[Cost Centre],"ONSITE")&gt;0,"ONSITE ","")&amp;IF(COUNTIFS(tbl_Finance[Job Number],C409&amp;"",tbl_Finance[Cost Centre],"PRODUCTION")&gt;0,"PRODUCTION ","")&amp;IF(COUNTIFS(tbl_Finance[Job Number],C409&amp;"",tbl_Finance[Cost Centre],"VIDEO")&gt;0,"VIDEO ","")&amp;IF(COUNTIFS(tbl_Finance[Job Number],C409&amp;"",tbl_Finance[Cost Centre],"INTEGRATION")&gt;0,"INTEGRATION ","")&amp;IF(COUNTIFS(tbl_Finance[Job Number],C409&amp;"",tbl_Finance[Cost Centre],"CONSULTING")&gt;0,"CONSULTING ","")&amp;IF(COUNTIFS(tbl_Finance[Job Number],C409&amp;"",tbl_Finance[Cost Centre],"CTS")&gt;0,"CTS ",""))," ",", ")))</f>
        <v/>
      </c>
      <c r="L409" s="22" t="n"/>
      <c r="M409" s="24" t="n"/>
      <c r="N409" s="25">
        <f>IF(M409="","",IF(AND(LEFT(M409,4)&lt;&gt;"http",set_RMSBase=""),"",HYPERLINK(IF(LEFT(M409,4)="http",M409,set_RMSBase&amp;M409),"Open opportunity")))</f>
        <v/>
      </c>
      <c r="O409" s="25">
        <f>IF(C409="","",C409)</f>
        <v/>
      </c>
      <c r="P409" s="24" t="n"/>
      <c r="Q409" s="26" t="n"/>
      <c r="R409" s="27">
        <f>IF(C409="","",H409+N(Q409))</f>
        <v/>
      </c>
      <c r="S409" s="29">
        <f>IFERROR(Q409/R409,"")</f>
        <v/>
      </c>
      <c r="T409" s="26" t="n"/>
      <c r="U409" s="26" t="n"/>
      <c r="V409" s="27">
        <f>IF(C409="","",N(T409)+N(U409))</f>
        <v/>
      </c>
      <c r="W409" s="27">
        <f>IF(C409="","",H409-V409)</f>
        <v/>
      </c>
      <c r="X409" s="29">
        <f>IFERROR(W409/H409,"")</f>
        <v/>
      </c>
      <c r="Y409" s="64" t="n"/>
      <c r="Z409" s="64" t="n"/>
      <c r="AA409" s="64" t="n"/>
      <c r="AB409" s="64" t="n"/>
      <c r="AC409" s="64" t="n"/>
      <c r="AD409" s="24" t="n"/>
    </row>
    <row r="410" ht="15" customHeight="1">
      <c r="A410" s="63">
        <f>IF(C410="","",IFERROR(IF(SUMPRODUCT(MAX((tbl_Finance[Job Number]=C410&amp;"")*(tbl_Finance[Xero Invoice No]&lt;&gt;"")*tbl_Finance[Date]))=0,"",SUMPRODUCT(MAX((tbl_Finance[Job Number]=C410&amp;"")*(tbl_Finance[Xero Invoice No]&lt;&gt;"")*tbl_Finance[Date]))),""))</f>
        <v/>
      </c>
      <c r="B410" s="25">
        <f>IF(C410="","",IF(COUNTIFS(tbl_Finance[Job Number],C410&amp;"",tbl_Finance[Xero Invoice No],"&lt;&gt;")=0,"",IFERROR(IF(COUNTIFS(tbl_Finance[Job Number],C410&amp;"",tbl_Finance[Xero Invoice No],LOOKUP(2,1/((tbl_Finance[Job Number]=C410&amp;"")*(tbl_Finance[Xero Invoice No]&lt;&gt;"")),tbl_Finance[Xero Invoice No]))=COUNTIFS(tbl_Finance[Job Number],C410&amp;"",tbl_Finance[Xero Invoice No],"&lt;&gt;"),LOOKUP(2,1/((tbl_Finance[Job Number]=C410&amp;"")*(tbl_Finance[Xero Invoice No]&lt;&gt;"")),tbl_Finance[Xero Invoice No]),LOOKUP(2,1/((tbl_Finance[Job Number]=C410&amp;"")*(tbl_Finance[Xero Invoice No]&lt;&gt;"")),tbl_Finance[Xero Invoice No])&amp;" +more"),"")))</f>
        <v/>
      </c>
      <c r="C410" s="24" t="n"/>
      <c r="D410" s="25">
        <f>IF(C410="","",IF(COUNTIF(lst_Jobs,C410&amp;"")&gt;0,"OK","CHECK"))</f>
        <v/>
      </c>
      <c r="E410" s="25">
        <f>IF(C410="","",IFERROR(INDEX(lst_JobName,MATCH(C410&amp;"",lst_Jobs,0)),""))</f>
        <v/>
      </c>
      <c r="F410" s="25">
        <f>IF(C410="","",IFERROR(INDEX(tbl_Finance[Client],MATCH(C410&amp;"",tbl_Finance[Job Number],0)),""))</f>
        <v/>
      </c>
      <c r="G410" s="28">
        <f>IF(C410="","",COUNTIFS(tbl_Finance[Job Number],C410&amp;"",tbl_Finance[Ex GST],"&lt;&gt;"))</f>
        <v/>
      </c>
      <c r="H410" s="27">
        <f>IF(C410="","",SUMIFS(tbl_Finance[Ex GST],tbl_Finance[Job Number],C410&amp;""))</f>
        <v/>
      </c>
      <c r="I410" s="27">
        <f>IF(C410="","",SUMIFS(tbl_Finance[Ex GST],tbl_Finance[Job Number],C410&amp;"",tbl_Finance[Xero Invoice No],"&lt;&gt;"))</f>
        <v/>
      </c>
      <c r="J410" s="27">
        <f>IF(C410="","",H410-I410)</f>
        <v/>
      </c>
      <c r="K410" s="25">
        <f>IF(C410="","",IF(G410=0,"not invoiced yet",SUBSTITUTE(TRIM(IF(COUNTIFS(tbl_Finance[Job Number],C410&amp;"",tbl_Finance[Cost Centre],"ONSITE")&gt;0,"ONSITE ","")&amp;IF(COUNTIFS(tbl_Finance[Job Number],C410&amp;"",tbl_Finance[Cost Centre],"PRODUCTION")&gt;0,"PRODUCTION ","")&amp;IF(COUNTIFS(tbl_Finance[Job Number],C410&amp;"",tbl_Finance[Cost Centre],"VIDEO")&gt;0,"VIDEO ","")&amp;IF(COUNTIFS(tbl_Finance[Job Number],C410&amp;"",tbl_Finance[Cost Centre],"INTEGRATION")&gt;0,"INTEGRATION ","")&amp;IF(COUNTIFS(tbl_Finance[Job Number],C410&amp;"",tbl_Finance[Cost Centre],"CONSULTING")&gt;0,"CONSULTING ","")&amp;IF(COUNTIFS(tbl_Finance[Job Number],C410&amp;"",tbl_Finance[Cost Centre],"CTS")&gt;0,"CTS ",""))," ",", ")))</f>
        <v/>
      </c>
      <c r="L410" s="22" t="n"/>
      <c r="M410" s="24" t="n"/>
      <c r="N410" s="25">
        <f>IF(M410="","",IF(AND(LEFT(M410,4)&lt;&gt;"http",set_RMSBase=""),"",HYPERLINK(IF(LEFT(M410,4)="http",M410,set_RMSBase&amp;M410),"Open opportunity")))</f>
        <v/>
      </c>
      <c r="O410" s="25">
        <f>IF(C410="","",C410)</f>
        <v/>
      </c>
      <c r="P410" s="24" t="n"/>
      <c r="Q410" s="26" t="n"/>
      <c r="R410" s="27">
        <f>IF(C410="","",H410+N(Q410))</f>
        <v/>
      </c>
      <c r="S410" s="29">
        <f>IFERROR(Q410/R410,"")</f>
        <v/>
      </c>
      <c r="T410" s="26" t="n"/>
      <c r="U410" s="26" t="n"/>
      <c r="V410" s="27">
        <f>IF(C410="","",N(T410)+N(U410))</f>
        <v/>
      </c>
      <c r="W410" s="27">
        <f>IF(C410="","",H410-V410)</f>
        <v/>
      </c>
      <c r="X410" s="29">
        <f>IFERROR(W410/H410,"")</f>
        <v/>
      </c>
      <c r="Y410" s="64" t="n"/>
      <c r="Z410" s="64" t="n"/>
      <c r="AA410" s="64" t="n"/>
      <c r="AB410" s="64" t="n"/>
      <c r="AC410" s="64" t="n"/>
      <c r="AD410" s="24" t="n"/>
    </row>
    <row r="411" ht="15" customHeight="1">
      <c r="A411" s="63">
        <f>IF(C411="","",IFERROR(IF(SUMPRODUCT(MAX((tbl_Finance[Job Number]=C411&amp;"")*(tbl_Finance[Xero Invoice No]&lt;&gt;"")*tbl_Finance[Date]))=0,"",SUMPRODUCT(MAX((tbl_Finance[Job Number]=C411&amp;"")*(tbl_Finance[Xero Invoice No]&lt;&gt;"")*tbl_Finance[Date]))),""))</f>
        <v/>
      </c>
      <c r="B411" s="25">
        <f>IF(C411="","",IF(COUNTIFS(tbl_Finance[Job Number],C411&amp;"",tbl_Finance[Xero Invoice No],"&lt;&gt;")=0,"",IFERROR(IF(COUNTIFS(tbl_Finance[Job Number],C411&amp;"",tbl_Finance[Xero Invoice No],LOOKUP(2,1/((tbl_Finance[Job Number]=C411&amp;"")*(tbl_Finance[Xero Invoice No]&lt;&gt;"")),tbl_Finance[Xero Invoice No]))=COUNTIFS(tbl_Finance[Job Number],C411&amp;"",tbl_Finance[Xero Invoice No],"&lt;&gt;"),LOOKUP(2,1/((tbl_Finance[Job Number]=C411&amp;"")*(tbl_Finance[Xero Invoice No]&lt;&gt;"")),tbl_Finance[Xero Invoice No]),LOOKUP(2,1/((tbl_Finance[Job Number]=C411&amp;"")*(tbl_Finance[Xero Invoice No]&lt;&gt;"")),tbl_Finance[Xero Invoice No])&amp;" +more"),"")))</f>
        <v/>
      </c>
      <c r="C411" s="24" t="n"/>
      <c r="D411" s="25">
        <f>IF(C411="","",IF(COUNTIF(lst_Jobs,C411&amp;"")&gt;0,"OK","CHECK"))</f>
        <v/>
      </c>
      <c r="E411" s="25">
        <f>IF(C411="","",IFERROR(INDEX(lst_JobName,MATCH(C411&amp;"",lst_Jobs,0)),""))</f>
        <v/>
      </c>
      <c r="F411" s="25">
        <f>IF(C411="","",IFERROR(INDEX(tbl_Finance[Client],MATCH(C411&amp;"",tbl_Finance[Job Number],0)),""))</f>
        <v/>
      </c>
      <c r="G411" s="28">
        <f>IF(C411="","",COUNTIFS(tbl_Finance[Job Number],C411&amp;"",tbl_Finance[Ex GST],"&lt;&gt;"))</f>
        <v/>
      </c>
      <c r="H411" s="27">
        <f>IF(C411="","",SUMIFS(tbl_Finance[Ex GST],tbl_Finance[Job Number],C411&amp;""))</f>
        <v/>
      </c>
      <c r="I411" s="27">
        <f>IF(C411="","",SUMIFS(tbl_Finance[Ex GST],tbl_Finance[Job Number],C411&amp;"",tbl_Finance[Xero Invoice No],"&lt;&gt;"))</f>
        <v/>
      </c>
      <c r="J411" s="27">
        <f>IF(C411="","",H411-I411)</f>
        <v/>
      </c>
      <c r="K411" s="25">
        <f>IF(C411="","",IF(G411=0,"not invoiced yet",SUBSTITUTE(TRIM(IF(COUNTIFS(tbl_Finance[Job Number],C411&amp;"",tbl_Finance[Cost Centre],"ONSITE")&gt;0,"ONSITE ","")&amp;IF(COUNTIFS(tbl_Finance[Job Number],C411&amp;"",tbl_Finance[Cost Centre],"PRODUCTION")&gt;0,"PRODUCTION ","")&amp;IF(COUNTIFS(tbl_Finance[Job Number],C411&amp;"",tbl_Finance[Cost Centre],"VIDEO")&gt;0,"VIDEO ","")&amp;IF(COUNTIFS(tbl_Finance[Job Number],C411&amp;"",tbl_Finance[Cost Centre],"INTEGRATION")&gt;0,"INTEGRATION ","")&amp;IF(COUNTIFS(tbl_Finance[Job Number],C411&amp;"",tbl_Finance[Cost Centre],"CONSULTING")&gt;0,"CONSULTING ","")&amp;IF(COUNTIFS(tbl_Finance[Job Number],C411&amp;"",tbl_Finance[Cost Centre],"CTS")&gt;0,"CTS ",""))," ",", ")))</f>
        <v/>
      </c>
      <c r="L411" s="22" t="n"/>
      <c r="M411" s="24" t="n"/>
      <c r="N411" s="25">
        <f>IF(M411="","",IF(AND(LEFT(M411,4)&lt;&gt;"http",set_RMSBase=""),"",HYPERLINK(IF(LEFT(M411,4)="http",M411,set_RMSBase&amp;M411),"Open opportunity")))</f>
        <v/>
      </c>
      <c r="O411" s="25">
        <f>IF(C411="","",C411)</f>
        <v/>
      </c>
      <c r="P411" s="24" t="n"/>
      <c r="Q411" s="26" t="n"/>
      <c r="R411" s="27">
        <f>IF(C411="","",H411+N(Q411))</f>
        <v/>
      </c>
      <c r="S411" s="29">
        <f>IFERROR(Q411/R411,"")</f>
        <v/>
      </c>
      <c r="T411" s="26" t="n"/>
      <c r="U411" s="26" t="n"/>
      <c r="V411" s="27">
        <f>IF(C411="","",N(T411)+N(U411))</f>
        <v/>
      </c>
      <c r="W411" s="27">
        <f>IF(C411="","",H411-V411)</f>
        <v/>
      </c>
      <c r="X411" s="29">
        <f>IFERROR(W411/H411,"")</f>
        <v/>
      </c>
      <c r="Y411" s="64" t="n"/>
      <c r="Z411" s="64" t="n"/>
      <c r="AA411" s="64" t="n"/>
      <c r="AB411" s="64" t="n"/>
      <c r="AC411" s="64" t="n"/>
      <c r="AD411" s="24" t="n"/>
    </row>
    <row r="412" ht="15" customHeight="1">
      <c r="A412" s="63">
        <f>IF(C412="","",IFERROR(IF(SUMPRODUCT(MAX((tbl_Finance[Job Number]=C412&amp;"")*(tbl_Finance[Xero Invoice No]&lt;&gt;"")*tbl_Finance[Date]))=0,"",SUMPRODUCT(MAX((tbl_Finance[Job Number]=C412&amp;"")*(tbl_Finance[Xero Invoice No]&lt;&gt;"")*tbl_Finance[Date]))),""))</f>
        <v/>
      </c>
      <c r="B412" s="25">
        <f>IF(C412="","",IF(COUNTIFS(tbl_Finance[Job Number],C412&amp;"",tbl_Finance[Xero Invoice No],"&lt;&gt;")=0,"",IFERROR(IF(COUNTIFS(tbl_Finance[Job Number],C412&amp;"",tbl_Finance[Xero Invoice No],LOOKUP(2,1/((tbl_Finance[Job Number]=C412&amp;"")*(tbl_Finance[Xero Invoice No]&lt;&gt;"")),tbl_Finance[Xero Invoice No]))=COUNTIFS(tbl_Finance[Job Number],C412&amp;"",tbl_Finance[Xero Invoice No],"&lt;&gt;"),LOOKUP(2,1/((tbl_Finance[Job Number]=C412&amp;"")*(tbl_Finance[Xero Invoice No]&lt;&gt;"")),tbl_Finance[Xero Invoice No]),LOOKUP(2,1/((tbl_Finance[Job Number]=C412&amp;"")*(tbl_Finance[Xero Invoice No]&lt;&gt;"")),tbl_Finance[Xero Invoice No])&amp;" +more"),"")))</f>
        <v/>
      </c>
      <c r="C412" s="24" t="n"/>
      <c r="D412" s="25">
        <f>IF(C412="","",IF(COUNTIF(lst_Jobs,C412&amp;"")&gt;0,"OK","CHECK"))</f>
        <v/>
      </c>
      <c r="E412" s="25">
        <f>IF(C412="","",IFERROR(INDEX(lst_JobName,MATCH(C412&amp;"",lst_Jobs,0)),""))</f>
        <v/>
      </c>
      <c r="F412" s="25">
        <f>IF(C412="","",IFERROR(INDEX(tbl_Finance[Client],MATCH(C412&amp;"",tbl_Finance[Job Number],0)),""))</f>
        <v/>
      </c>
      <c r="G412" s="28">
        <f>IF(C412="","",COUNTIFS(tbl_Finance[Job Number],C412&amp;"",tbl_Finance[Ex GST],"&lt;&gt;"))</f>
        <v/>
      </c>
      <c r="H412" s="27">
        <f>IF(C412="","",SUMIFS(tbl_Finance[Ex GST],tbl_Finance[Job Number],C412&amp;""))</f>
        <v/>
      </c>
      <c r="I412" s="27">
        <f>IF(C412="","",SUMIFS(tbl_Finance[Ex GST],tbl_Finance[Job Number],C412&amp;"",tbl_Finance[Xero Invoice No],"&lt;&gt;"))</f>
        <v/>
      </c>
      <c r="J412" s="27">
        <f>IF(C412="","",H412-I412)</f>
        <v/>
      </c>
      <c r="K412" s="25">
        <f>IF(C412="","",IF(G412=0,"not invoiced yet",SUBSTITUTE(TRIM(IF(COUNTIFS(tbl_Finance[Job Number],C412&amp;"",tbl_Finance[Cost Centre],"ONSITE")&gt;0,"ONSITE ","")&amp;IF(COUNTIFS(tbl_Finance[Job Number],C412&amp;"",tbl_Finance[Cost Centre],"PRODUCTION")&gt;0,"PRODUCTION ","")&amp;IF(COUNTIFS(tbl_Finance[Job Number],C412&amp;"",tbl_Finance[Cost Centre],"VIDEO")&gt;0,"VIDEO ","")&amp;IF(COUNTIFS(tbl_Finance[Job Number],C412&amp;"",tbl_Finance[Cost Centre],"INTEGRATION")&gt;0,"INTEGRATION ","")&amp;IF(COUNTIFS(tbl_Finance[Job Number],C412&amp;"",tbl_Finance[Cost Centre],"CONSULTING")&gt;0,"CONSULTING ","")&amp;IF(COUNTIFS(tbl_Finance[Job Number],C412&amp;"",tbl_Finance[Cost Centre],"CTS")&gt;0,"CTS ",""))," ",", ")))</f>
        <v/>
      </c>
      <c r="L412" s="22" t="n"/>
      <c r="M412" s="24" t="n"/>
      <c r="N412" s="25">
        <f>IF(M412="","",IF(AND(LEFT(M412,4)&lt;&gt;"http",set_RMSBase=""),"",HYPERLINK(IF(LEFT(M412,4)="http",M412,set_RMSBase&amp;M412),"Open opportunity")))</f>
        <v/>
      </c>
      <c r="O412" s="25">
        <f>IF(C412="","",C412)</f>
        <v/>
      </c>
      <c r="P412" s="24" t="n"/>
      <c r="Q412" s="26" t="n"/>
      <c r="R412" s="27">
        <f>IF(C412="","",H412+N(Q412))</f>
        <v/>
      </c>
      <c r="S412" s="29">
        <f>IFERROR(Q412/R412,"")</f>
        <v/>
      </c>
      <c r="T412" s="26" t="n"/>
      <c r="U412" s="26" t="n"/>
      <c r="V412" s="27">
        <f>IF(C412="","",N(T412)+N(U412))</f>
        <v/>
      </c>
      <c r="W412" s="27">
        <f>IF(C412="","",H412-V412)</f>
        <v/>
      </c>
      <c r="X412" s="29">
        <f>IFERROR(W412/H412,"")</f>
        <v/>
      </c>
      <c r="Y412" s="64" t="n"/>
      <c r="Z412" s="64" t="n"/>
      <c r="AA412" s="64" t="n"/>
      <c r="AB412" s="64" t="n"/>
      <c r="AC412" s="64" t="n"/>
      <c r="AD412" s="24" t="n"/>
    </row>
    <row r="413" ht="15" customHeight="1">
      <c r="A413" s="63">
        <f>IF(C413="","",IFERROR(IF(SUMPRODUCT(MAX((tbl_Finance[Job Number]=C413&amp;"")*(tbl_Finance[Xero Invoice No]&lt;&gt;"")*tbl_Finance[Date]))=0,"",SUMPRODUCT(MAX((tbl_Finance[Job Number]=C413&amp;"")*(tbl_Finance[Xero Invoice No]&lt;&gt;"")*tbl_Finance[Date]))),""))</f>
        <v/>
      </c>
      <c r="B413" s="25">
        <f>IF(C413="","",IF(COUNTIFS(tbl_Finance[Job Number],C413&amp;"",tbl_Finance[Xero Invoice No],"&lt;&gt;")=0,"",IFERROR(IF(COUNTIFS(tbl_Finance[Job Number],C413&amp;"",tbl_Finance[Xero Invoice No],LOOKUP(2,1/((tbl_Finance[Job Number]=C413&amp;"")*(tbl_Finance[Xero Invoice No]&lt;&gt;"")),tbl_Finance[Xero Invoice No]))=COUNTIFS(tbl_Finance[Job Number],C413&amp;"",tbl_Finance[Xero Invoice No],"&lt;&gt;"),LOOKUP(2,1/((tbl_Finance[Job Number]=C413&amp;"")*(tbl_Finance[Xero Invoice No]&lt;&gt;"")),tbl_Finance[Xero Invoice No]),LOOKUP(2,1/((tbl_Finance[Job Number]=C413&amp;"")*(tbl_Finance[Xero Invoice No]&lt;&gt;"")),tbl_Finance[Xero Invoice No])&amp;" +more"),"")))</f>
        <v/>
      </c>
      <c r="C413" s="24" t="n"/>
      <c r="D413" s="25">
        <f>IF(C413="","",IF(COUNTIF(lst_Jobs,C413&amp;"")&gt;0,"OK","CHECK"))</f>
        <v/>
      </c>
      <c r="E413" s="25">
        <f>IF(C413="","",IFERROR(INDEX(lst_JobName,MATCH(C413&amp;"",lst_Jobs,0)),""))</f>
        <v/>
      </c>
      <c r="F413" s="25">
        <f>IF(C413="","",IFERROR(INDEX(tbl_Finance[Client],MATCH(C413&amp;"",tbl_Finance[Job Number],0)),""))</f>
        <v/>
      </c>
      <c r="G413" s="28">
        <f>IF(C413="","",COUNTIFS(tbl_Finance[Job Number],C413&amp;"",tbl_Finance[Ex GST],"&lt;&gt;"))</f>
        <v/>
      </c>
      <c r="H413" s="27">
        <f>IF(C413="","",SUMIFS(tbl_Finance[Ex GST],tbl_Finance[Job Number],C413&amp;""))</f>
        <v/>
      </c>
      <c r="I413" s="27">
        <f>IF(C413="","",SUMIFS(tbl_Finance[Ex GST],tbl_Finance[Job Number],C413&amp;"",tbl_Finance[Xero Invoice No],"&lt;&gt;"))</f>
        <v/>
      </c>
      <c r="J413" s="27">
        <f>IF(C413="","",H413-I413)</f>
        <v/>
      </c>
      <c r="K413" s="25">
        <f>IF(C413="","",IF(G413=0,"not invoiced yet",SUBSTITUTE(TRIM(IF(COUNTIFS(tbl_Finance[Job Number],C413&amp;"",tbl_Finance[Cost Centre],"ONSITE")&gt;0,"ONSITE ","")&amp;IF(COUNTIFS(tbl_Finance[Job Number],C413&amp;"",tbl_Finance[Cost Centre],"PRODUCTION")&gt;0,"PRODUCTION ","")&amp;IF(COUNTIFS(tbl_Finance[Job Number],C413&amp;"",tbl_Finance[Cost Centre],"VIDEO")&gt;0,"VIDEO ","")&amp;IF(COUNTIFS(tbl_Finance[Job Number],C413&amp;"",tbl_Finance[Cost Centre],"INTEGRATION")&gt;0,"INTEGRATION ","")&amp;IF(COUNTIFS(tbl_Finance[Job Number],C413&amp;"",tbl_Finance[Cost Centre],"CONSULTING")&gt;0,"CONSULTING ","")&amp;IF(COUNTIFS(tbl_Finance[Job Number],C413&amp;"",tbl_Finance[Cost Centre],"CTS")&gt;0,"CTS ",""))," ",", ")))</f>
        <v/>
      </c>
      <c r="L413" s="22" t="n"/>
      <c r="M413" s="24" t="n"/>
      <c r="N413" s="25">
        <f>IF(M413="","",IF(AND(LEFT(M413,4)&lt;&gt;"http",set_RMSBase=""),"",HYPERLINK(IF(LEFT(M413,4)="http",M413,set_RMSBase&amp;M413),"Open opportunity")))</f>
        <v/>
      </c>
      <c r="O413" s="25">
        <f>IF(C413="","",C413)</f>
        <v/>
      </c>
      <c r="P413" s="24" t="n"/>
      <c r="Q413" s="26" t="n"/>
      <c r="R413" s="27">
        <f>IF(C413="","",H413+N(Q413))</f>
        <v/>
      </c>
      <c r="S413" s="29">
        <f>IFERROR(Q413/R413,"")</f>
        <v/>
      </c>
      <c r="T413" s="26" t="n"/>
      <c r="U413" s="26" t="n"/>
      <c r="V413" s="27">
        <f>IF(C413="","",N(T413)+N(U413))</f>
        <v/>
      </c>
      <c r="W413" s="27">
        <f>IF(C413="","",H413-V413)</f>
        <v/>
      </c>
      <c r="X413" s="29">
        <f>IFERROR(W413/H413,"")</f>
        <v/>
      </c>
      <c r="Y413" s="64" t="n"/>
      <c r="Z413" s="64" t="n"/>
      <c r="AA413" s="64" t="n"/>
      <c r="AB413" s="64" t="n"/>
      <c r="AC413" s="64" t="n"/>
      <c r="AD413" s="24" t="n"/>
    </row>
    <row r="414" ht="15" customHeight="1">
      <c r="A414" s="63">
        <f>IF(C414="","",IFERROR(IF(SUMPRODUCT(MAX((tbl_Finance[Job Number]=C414&amp;"")*(tbl_Finance[Xero Invoice No]&lt;&gt;"")*tbl_Finance[Date]))=0,"",SUMPRODUCT(MAX((tbl_Finance[Job Number]=C414&amp;"")*(tbl_Finance[Xero Invoice No]&lt;&gt;"")*tbl_Finance[Date]))),""))</f>
        <v/>
      </c>
      <c r="B414" s="25">
        <f>IF(C414="","",IF(COUNTIFS(tbl_Finance[Job Number],C414&amp;"",tbl_Finance[Xero Invoice No],"&lt;&gt;")=0,"",IFERROR(IF(COUNTIFS(tbl_Finance[Job Number],C414&amp;"",tbl_Finance[Xero Invoice No],LOOKUP(2,1/((tbl_Finance[Job Number]=C414&amp;"")*(tbl_Finance[Xero Invoice No]&lt;&gt;"")),tbl_Finance[Xero Invoice No]))=COUNTIFS(tbl_Finance[Job Number],C414&amp;"",tbl_Finance[Xero Invoice No],"&lt;&gt;"),LOOKUP(2,1/((tbl_Finance[Job Number]=C414&amp;"")*(tbl_Finance[Xero Invoice No]&lt;&gt;"")),tbl_Finance[Xero Invoice No]),LOOKUP(2,1/((tbl_Finance[Job Number]=C414&amp;"")*(tbl_Finance[Xero Invoice No]&lt;&gt;"")),tbl_Finance[Xero Invoice No])&amp;" +more"),"")))</f>
        <v/>
      </c>
      <c r="C414" s="24" t="n"/>
      <c r="D414" s="25">
        <f>IF(C414="","",IF(COUNTIF(lst_Jobs,C414&amp;"")&gt;0,"OK","CHECK"))</f>
        <v/>
      </c>
      <c r="E414" s="25">
        <f>IF(C414="","",IFERROR(INDEX(lst_JobName,MATCH(C414&amp;"",lst_Jobs,0)),""))</f>
        <v/>
      </c>
      <c r="F414" s="25">
        <f>IF(C414="","",IFERROR(INDEX(tbl_Finance[Client],MATCH(C414&amp;"",tbl_Finance[Job Number],0)),""))</f>
        <v/>
      </c>
      <c r="G414" s="28">
        <f>IF(C414="","",COUNTIFS(tbl_Finance[Job Number],C414&amp;"",tbl_Finance[Ex GST],"&lt;&gt;"))</f>
        <v/>
      </c>
      <c r="H414" s="27">
        <f>IF(C414="","",SUMIFS(tbl_Finance[Ex GST],tbl_Finance[Job Number],C414&amp;""))</f>
        <v/>
      </c>
      <c r="I414" s="27">
        <f>IF(C414="","",SUMIFS(tbl_Finance[Ex GST],tbl_Finance[Job Number],C414&amp;"",tbl_Finance[Xero Invoice No],"&lt;&gt;"))</f>
        <v/>
      </c>
      <c r="J414" s="27">
        <f>IF(C414="","",H414-I414)</f>
        <v/>
      </c>
      <c r="K414" s="25">
        <f>IF(C414="","",IF(G414=0,"not invoiced yet",SUBSTITUTE(TRIM(IF(COUNTIFS(tbl_Finance[Job Number],C414&amp;"",tbl_Finance[Cost Centre],"ONSITE")&gt;0,"ONSITE ","")&amp;IF(COUNTIFS(tbl_Finance[Job Number],C414&amp;"",tbl_Finance[Cost Centre],"PRODUCTION")&gt;0,"PRODUCTION ","")&amp;IF(COUNTIFS(tbl_Finance[Job Number],C414&amp;"",tbl_Finance[Cost Centre],"VIDEO")&gt;0,"VIDEO ","")&amp;IF(COUNTIFS(tbl_Finance[Job Number],C414&amp;"",tbl_Finance[Cost Centre],"INTEGRATION")&gt;0,"INTEGRATION ","")&amp;IF(COUNTIFS(tbl_Finance[Job Number],C414&amp;"",tbl_Finance[Cost Centre],"CONSULTING")&gt;0,"CONSULTING ","")&amp;IF(COUNTIFS(tbl_Finance[Job Number],C414&amp;"",tbl_Finance[Cost Centre],"CTS")&gt;0,"CTS ",""))," ",", ")))</f>
        <v/>
      </c>
      <c r="L414" s="22" t="n"/>
      <c r="M414" s="24" t="n"/>
      <c r="N414" s="25">
        <f>IF(M414="","",IF(AND(LEFT(M414,4)&lt;&gt;"http",set_RMSBase=""),"",HYPERLINK(IF(LEFT(M414,4)="http",M414,set_RMSBase&amp;M414),"Open opportunity")))</f>
        <v/>
      </c>
      <c r="O414" s="25">
        <f>IF(C414="","",C414)</f>
        <v/>
      </c>
      <c r="P414" s="24" t="n"/>
      <c r="Q414" s="26" t="n"/>
      <c r="R414" s="27">
        <f>IF(C414="","",H414+N(Q414))</f>
        <v/>
      </c>
      <c r="S414" s="29">
        <f>IFERROR(Q414/R414,"")</f>
        <v/>
      </c>
      <c r="T414" s="26" t="n"/>
      <c r="U414" s="26" t="n"/>
      <c r="V414" s="27">
        <f>IF(C414="","",N(T414)+N(U414))</f>
        <v/>
      </c>
      <c r="W414" s="27">
        <f>IF(C414="","",H414-V414)</f>
        <v/>
      </c>
      <c r="X414" s="29">
        <f>IFERROR(W414/H414,"")</f>
        <v/>
      </c>
      <c r="Y414" s="64" t="n"/>
      <c r="Z414" s="64" t="n"/>
      <c r="AA414" s="64" t="n"/>
      <c r="AB414" s="64" t="n"/>
      <c r="AC414" s="64" t="n"/>
      <c r="AD414" s="24" t="n"/>
    </row>
    <row r="415" ht="15" customHeight="1">
      <c r="A415" s="63">
        <f>IF(C415="","",IFERROR(IF(SUMPRODUCT(MAX((tbl_Finance[Job Number]=C415&amp;"")*(tbl_Finance[Xero Invoice No]&lt;&gt;"")*tbl_Finance[Date]))=0,"",SUMPRODUCT(MAX((tbl_Finance[Job Number]=C415&amp;"")*(tbl_Finance[Xero Invoice No]&lt;&gt;"")*tbl_Finance[Date]))),""))</f>
        <v/>
      </c>
      <c r="B415" s="25">
        <f>IF(C415="","",IF(COUNTIFS(tbl_Finance[Job Number],C415&amp;"",tbl_Finance[Xero Invoice No],"&lt;&gt;")=0,"",IFERROR(IF(COUNTIFS(tbl_Finance[Job Number],C415&amp;"",tbl_Finance[Xero Invoice No],LOOKUP(2,1/((tbl_Finance[Job Number]=C415&amp;"")*(tbl_Finance[Xero Invoice No]&lt;&gt;"")),tbl_Finance[Xero Invoice No]))=COUNTIFS(tbl_Finance[Job Number],C415&amp;"",tbl_Finance[Xero Invoice No],"&lt;&gt;"),LOOKUP(2,1/((tbl_Finance[Job Number]=C415&amp;"")*(tbl_Finance[Xero Invoice No]&lt;&gt;"")),tbl_Finance[Xero Invoice No]),LOOKUP(2,1/((tbl_Finance[Job Number]=C415&amp;"")*(tbl_Finance[Xero Invoice No]&lt;&gt;"")),tbl_Finance[Xero Invoice No])&amp;" +more"),"")))</f>
        <v/>
      </c>
      <c r="C415" s="24" t="n"/>
      <c r="D415" s="25">
        <f>IF(C415="","",IF(COUNTIF(lst_Jobs,C415&amp;"")&gt;0,"OK","CHECK"))</f>
        <v/>
      </c>
      <c r="E415" s="25">
        <f>IF(C415="","",IFERROR(INDEX(lst_JobName,MATCH(C415&amp;"",lst_Jobs,0)),""))</f>
        <v/>
      </c>
      <c r="F415" s="25">
        <f>IF(C415="","",IFERROR(INDEX(tbl_Finance[Client],MATCH(C415&amp;"",tbl_Finance[Job Number],0)),""))</f>
        <v/>
      </c>
      <c r="G415" s="28">
        <f>IF(C415="","",COUNTIFS(tbl_Finance[Job Number],C415&amp;"",tbl_Finance[Ex GST],"&lt;&gt;"))</f>
        <v/>
      </c>
      <c r="H415" s="27">
        <f>IF(C415="","",SUMIFS(tbl_Finance[Ex GST],tbl_Finance[Job Number],C415&amp;""))</f>
        <v/>
      </c>
      <c r="I415" s="27">
        <f>IF(C415="","",SUMIFS(tbl_Finance[Ex GST],tbl_Finance[Job Number],C415&amp;"",tbl_Finance[Xero Invoice No],"&lt;&gt;"))</f>
        <v/>
      </c>
      <c r="J415" s="27">
        <f>IF(C415="","",H415-I415)</f>
        <v/>
      </c>
      <c r="K415" s="25">
        <f>IF(C415="","",IF(G415=0,"not invoiced yet",SUBSTITUTE(TRIM(IF(COUNTIFS(tbl_Finance[Job Number],C415&amp;"",tbl_Finance[Cost Centre],"ONSITE")&gt;0,"ONSITE ","")&amp;IF(COUNTIFS(tbl_Finance[Job Number],C415&amp;"",tbl_Finance[Cost Centre],"PRODUCTION")&gt;0,"PRODUCTION ","")&amp;IF(COUNTIFS(tbl_Finance[Job Number],C415&amp;"",tbl_Finance[Cost Centre],"VIDEO")&gt;0,"VIDEO ","")&amp;IF(COUNTIFS(tbl_Finance[Job Number],C415&amp;"",tbl_Finance[Cost Centre],"INTEGRATION")&gt;0,"INTEGRATION ","")&amp;IF(COUNTIFS(tbl_Finance[Job Number],C415&amp;"",tbl_Finance[Cost Centre],"CONSULTING")&gt;0,"CONSULTING ","")&amp;IF(COUNTIFS(tbl_Finance[Job Number],C415&amp;"",tbl_Finance[Cost Centre],"CTS")&gt;0,"CTS ",""))," ",", ")))</f>
        <v/>
      </c>
      <c r="L415" s="22" t="n"/>
      <c r="M415" s="24" t="n"/>
      <c r="N415" s="25">
        <f>IF(M415="","",IF(AND(LEFT(M415,4)&lt;&gt;"http",set_RMSBase=""),"",HYPERLINK(IF(LEFT(M415,4)="http",M415,set_RMSBase&amp;M415),"Open opportunity")))</f>
        <v/>
      </c>
      <c r="O415" s="25">
        <f>IF(C415="","",C415)</f>
        <v/>
      </c>
      <c r="P415" s="24" t="n"/>
      <c r="Q415" s="26" t="n"/>
      <c r="R415" s="27">
        <f>IF(C415="","",H415+N(Q415))</f>
        <v/>
      </c>
      <c r="S415" s="29">
        <f>IFERROR(Q415/R415,"")</f>
        <v/>
      </c>
      <c r="T415" s="26" t="n"/>
      <c r="U415" s="26" t="n"/>
      <c r="V415" s="27">
        <f>IF(C415="","",N(T415)+N(U415))</f>
        <v/>
      </c>
      <c r="W415" s="27">
        <f>IF(C415="","",H415-V415)</f>
        <v/>
      </c>
      <c r="X415" s="29">
        <f>IFERROR(W415/H415,"")</f>
        <v/>
      </c>
      <c r="Y415" s="64" t="n"/>
      <c r="Z415" s="64" t="n"/>
      <c r="AA415" s="64" t="n"/>
      <c r="AB415" s="64" t="n"/>
      <c r="AC415" s="64" t="n"/>
      <c r="AD415" s="24" t="n"/>
    </row>
    <row r="416" ht="15" customHeight="1">
      <c r="A416" s="63">
        <f>IF(C416="","",IFERROR(IF(SUMPRODUCT(MAX((tbl_Finance[Job Number]=C416&amp;"")*(tbl_Finance[Xero Invoice No]&lt;&gt;"")*tbl_Finance[Date]))=0,"",SUMPRODUCT(MAX((tbl_Finance[Job Number]=C416&amp;"")*(tbl_Finance[Xero Invoice No]&lt;&gt;"")*tbl_Finance[Date]))),""))</f>
        <v/>
      </c>
      <c r="B416" s="25">
        <f>IF(C416="","",IF(COUNTIFS(tbl_Finance[Job Number],C416&amp;"",tbl_Finance[Xero Invoice No],"&lt;&gt;")=0,"",IFERROR(IF(COUNTIFS(tbl_Finance[Job Number],C416&amp;"",tbl_Finance[Xero Invoice No],LOOKUP(2,1/((tbl_Finance[Job Number]=C416&amp;"")*(tbl_Finance[Xero Invoice No]&lt;&gt;"")),tbl_Finance[Xero Invoice No]))=COUNTIFS(tbl_Finance[Job Number],C416&amp;"",tbl_Finance[Xero Invoice No],"&lt;&gt;"),LOOKUP(2,1/((tbl_Finance[Job Number]=C416&amp;"")*(tbl_Finance[Xero Invoice No]&lt;&gt;"")),tbl_Finance[Xero Invoice No]),LOOKUP(2,1/((tbl_Finance[Job Number]=C416&amp;"")*(tbl_Finance[Xero Invoice No]&lt;&gt;"")),tbl_Finance[Xero Invoice No])&amp;" +more"),"")))</f>
        <v/>
      </c>
      <c r="C416" s="24" t="n"/>
      <c r="D416" s="25">
        <f>IF(C416="","",IF(COUNTIF(lst_Jobs,C416&amp;"")&gt;0,"OK","CHECK"))</f>
        <v/>
      </c>
      <c r="E416" s="25">
        <f>IF(C416="","",IFERROR(INDEX(lst_JobName,MATCH(C416&amp;"",lst_Jobs,0)),""))</f>
        <v/>
      </c>
      <c r="F416" s="25">
        <f>IF(C416="","",IFERROR(INDEX(tbl_Finance[Client],MATCH(C416&amp;"",tbl_Finance[Job Number],0)),""))</f>
        <v/>
      </c>
      <c r="G416" s="28">
        <f>IF(C416="","",COUNTIFS(tbl_Finance[Job Number],C416&amp;"",tbl_Finance[Ex GST],"&lt;&gt;"))</f>
        <v/>
      </c>
      <c r="H416" s="27">
        <f>IF(C416="","",SUMIFS(tbl_Finance[Ex GST],tbl_Finance[Job Number],C416&amp;""))</f>
        <v/>
      </c>
      <c r="I416" s="27">
        <f>IF(C416="","",SUMIFS(tbl_Finance[Ex GST],tbl_Finance[Job Number],C416&amp;"",tbl_Finance[Xero Invoice No],"&lt;&gt;"))</f>
        <v/>
      </c>
      <c r="J416" s="27">
        <f>IF(C416="","",H416-I416)</f>
        <v/>
      </c>
      <c r="K416" s="25">
        <f>IF(C416="","",IF(G416=0,"not invoiced yet",SUBSTITUTE(TRIM(IF(COUNTIFS(tbl_Finance[Job Number],C416&amp;"",tbl_Finance[Cost Centre],"ONSITE")&gt;0,"ONSITE ","")&amp;IF(COUNTIFS(tbl_Finance[Job Number],C416&amp;"",tbl_Finance[Cost Centre],"PRODUCTION")&gt;0,"PRODUCTION ","")&amp;IF(COUNTIFS(tbl_Finance[Job Number],C416&amp;"",tbl_Finance[Cost Centre],"VIDEO")&gt;0,"VIDEO ","")&amp;IF(COUNTIFS(tbl_Finance[Job Number],C416&amp;"",tbl_Finance[Cost Centre],"INTEGRATION")&gt;0,"INTEGRATION ","")&amp;IF(COUNTIFS(tbl_Finance[Job Number],C416&amp;"",tbl_Finance[Cost Centre],"CONSULTING")&gt;0,"CONSULTING ","")&amp;IF(COUNTIFS(tbl_Finance[Job Number],C416&amp;"",tbl_Finance[Cost Centre],"CTS")&gt;0,"CTS ",""))," ",", ")))</f>
        <v/>
      </c>
      <c r="L416" s="22" t="n"/>
      <c r="M416" s="24" t="n"/>
      <c r="N416" s="25">
        <f>IF(M416="","",IF(AND(LEFT(M416,4)&lt;&gt;"http",set_RMSBase=""),"",HYPERLINK(IF(LEFT(M416,4)="http",M416,set_RMSBase&amp;M416),"Open opportunity")))</f>
        <v/>
      </c>
      <c r="O416" s="25">
        <f>IF(C416="","",C416)</f>
        <v/>
      </c>
      <c r="P416" s="24" t="n"/>
      <c r="Q416" s="26" t="n"/>
      <c r="R416" s="27">
        <f>IF(C416="","",H416+N(Q416))</f>
        <v/>
      </c>
      <c r="S416" s="29">
        <f>IFERROR(Q416/R416,"")</f>
        <v/>
      </c>
      <c r="T416" s="26" t="n"/>
      <c r="U416" s="26" t="n"/>
      <c r="V416" s="27">
        <f>IF(C416="","",N(T416)+N(U416))</f>
        <v/>
      </c>
      <c r="W416" s="27">
        <f>IF(C416="","",H416-V416)</f>
        <v/>
      </c>
      <c r="X416" s="29">
        <f>IFERROR(W416/H416,"")</f>
        <v/>
      </c>
      <c r="Y416" s="64" t="n"/>
      <c r="Z416" s="64" t="n"/>
      <c r="AA416" s="64" t="n"/>
      <c r="AB416" s="64" t="n"/>
      <c r="AC416" s="64" t="n"/>
      <c r="AD416" s="24" t="n"/>
    </row>
    <row r="417" ht="15" customHeight="1">
      <c r="A417" s="63">
        <f>IF(C417="","",IFERROR(IF(SUMPRODUCT(MAX((tbl_Finance[Job Number]=C417&amp;"")*(tbl_Finance[Xero Invoice No]&lt;&gt;"")*tbl_Finance[Date]))=0,"",SUMPRODUCT(MAX((tbl_Finance[Job Number]=C417&amp;"")*(tbl_Finance[Xero Invoice No]&lt;&gt;"")*tbl_Finance[Date]))),""))</f>
        <v/>
      </c>
      <c r="B417" s="25">
        <f>IF(C417="","",IF(COUNTIFS(tbl_Finance[Job Number],C417&amp;"",tbl_Finance[Xero Invoice No],"&lt;&gt;")=0,"",IFERROR(IF(COUNTIFS(tbl_Finance[Job Number],C417&amp;"",tbl_Finance[Xero Invoice No],LOOKUP(2,1/((tbl_Finance[Job Number]=C417&amp;"")*(tbl_Finance[Xero Invoice No]&lt;&gt;"")),tbl_Finance[Xero Invoice No]))=COUNTIFS(tbl_Finance[Job Number],C417&amp;"",tbl_Finance[Xero Invoice No],"&lt;&gt;"),LOOKUP(2,1/((tbl_Finance[Job Number]=C417&amp;"")*(tbl_Finance[Xero Invoice No]&lt;&gt;"")),tbl_Finance[Xero Invoice No]),LOOKUP(2,1/((tbl_Finance[Job Number]=C417&amp;"")*(tbl_Finance[Xero Invoice No]&lt;&gt;"")),tbl_Finance[Xero Invoice No])&amp;" +more"),"")))</f>
        <v/>
      </c>
      <c r="C417" s="24" t="n"/>
      <c r="D417" s="25">
        <f>IF(C417="","",IF(COUNTIF(lst_Jobs,C417&amp;"")&gt;0,"OK","CHECK"))</f>
        <v/>
      </c>
      <c r="E417" s="25">
        <f>IF(C417="","",IFERROR(INDEX(lst_JobName,MATCH(C417&amp;"",lst_Jobs,0)),""))</f>
        <v/>
      </c>
      <c r="F417" s="25">
        <f>IF(C417="","",IFERROR(INDEX(tbl_Finance[Client],MATCH(C417&amp;"",tbl_Finance[Job Number],0)),""))</f>
        <v/>
      </c>
      <c r="G417" s="28">
        <f>IF(C417="","",COUNTIFS(tbl_Finance[Job Number],C417&amp;"",tbl_Finance[Ex GST],"&lt;&gt;"))</f>
        <v/>
      </c>
      <c r="H417" s="27">
        <f>IF(C417="","",SUMIFS(tbl_Finance[Ex GST],tbl_Finance[Job Number],C417&amp;""))</f>
        <v/>
      </c>
      <c r="I417" s="27">
        <f>IF(C417="","",SUMIFS(tbl_Finance[Ex GST],tbl_Finance[Job Number],C417&amp;"",tbl_Finance[Xero Invoice No],"&lt;&gt;"))</f>
        <v/>
      </c>
      <c r="J417" s="27">
        <f>IF(C417="","",H417-I417)</f>
        <v/>
      </c>
      <c r="K417" s="25">
        <f>IF(C417="","",IF(G417=0,"not invoiced yet",SUBSTITUTE(TRIM(IF(COUNTIFS(tbl_Finance[Job Number],C417&amp;"",tbl_Finance[Cost Centre],"ONSITE")&gt;0,"ONSITE ","")&amp;IF(COUNTIFS(tbl_Finance[Job Number],C417&amp;"",tbl_Finance[Cost Centre],"PRODUCTION")&gt;0,"PRODUCTION ","")&amp;IF(COUNTIFS(tbl_Finance[Job Number],C417&amp;"",tbl_Finance[Cost Centre],"VIDEO")&gt;0,"VIDEO ","")&amp;IF(COUNTIFS(tbl_Finance[Job Number],C417&amp;"",tbl_Finance[Cost Centre],"INTEGRATION")&gt;0,"INTEGRATION ","")&amp;IF(COUNTIFS(tbl_Finance[Job Number],C417&amp;"",tbl_Finance[Cost Centre],"CONSULTING")&gt;0,"CONSULTING ","")&amp;IF(COUNTIFS(tbl_Finance[Job Number],C417&amp;"",tbl_Finance[Cost Centre],"CTS")&gt;0,"CTS ",""))," ",", ")))</f>
        <v/>
      </c>
      <c r="L417" s="22" t="n"/>
      <c r="M417" s="24" t="n"/>
      <c r="N417" s="25">
        <f>IF(M417="","",IF(AND(LEFT(M417,4)&lt;&gt;"http",set_RMSBase=""),"",HYPERLINK(IF(LEFT(M417,4)="http",M417,set_RMSBase&amp;M417),"Open opportunity")))</f>
        <v/>
      </c>
      <c r="O417" s="25">
        <f>IF(C417="","",C417)</f>
        <v/>
      </c>
      <c r="P417" s="24" t="n"/>
      <c r="Q417" s="26" t="n"/>
      <c r="R417" s="27">
        <f>IF(C417="","",H417+N(Q417))</f>
        <v/>
      </c>
      <c r="S417" s="29">
        <f>IFERROR(Q417/R417,"")</f>
        <v/>
      </c>
      <c r="T417" s="26" t="n"/>
      <c r="U417" s="26" t="n"/>
      <c r="V417" s="27">
        <f>IF(C417="","",N(T417)+N(U417))</f>
        <v/>
      </c>
      <c r="W417" s="27">
        <f>IF(C417="","",H417-V417)</f>
        <v/>
      </c>
      <c r="X417" s="29">
        <f>IFERROR(W417/H417,"")</f>
        <v/>
      </c>
      <c r="Y417" s="64" t="n"/>
      <c r="Z417" s="64" t="n"/>
      <c r="AA417" s="64" t="n"/>
      <c r="AB417" s="64" t="n"/>
      <c r="AC417" s="64" t="n"/>
      <c r="AD417" s="24" t="n"/>
    </row>
    <row r="418" ht="15" customHeight="1">
      <c r="A418" s="63">
        <f>IF(C418="","",IFERROR(IF(SUMPRODUCT(MAX((tbl_Finance[Job Number]=C418&amp;"")*(tbl_Finance[Xero Invoice No]&lt;&gt;"")*tbl_Finance[Date]))=0,"",SUMPRODUCT(MAX((tbl_Finance[Job Number]=C418&amp;"")*(tbl_Finance[Xero Invoice No]&lt;&gt;"")*tbl_Finance[Date]))),""))</f>
        <v/>
      </c>
      <c r="B418" s="25">
        <f>IF(C418="","",IF(COUNTIFS(tbl_Finance[Job Number],C418&amp;"",tbl_Finance[Xero Invoice No],"&lt;&gt;")=0,"",IFERROR(IF(COUNTIFS(tbl_Finance[Job Number],C418&amp;"",tbl_Finance[Xero Invoice No],LOOKUP(2,1/((tbl_Finance[Job Number]=C418&amp;"")*(tbl_Finance[Xero Invoice No]&lt;&gt;"")),tbl_Finance[Xero Invoice No]))=COUNTIFS(tbl_Finance[Job Number],C418&amp;"",tbl_Finance[Xero Invoice No],"&lt;&gt;"),LOOKUP(2,1/((tbl_Finance[Job Number]=C418&amp;"")*(tbl_Finance[Xero Invoice No]&lt;&gt;"")),tbl_Finance[Xero Invoice No]),LOOKUP(2,1/((tbl_Finance[Job Number]=C418&amp;"")*(tbl_Finance[Xero Invoice No]&lt;&gt;"")),tbl_Finance[Xero Invoice No])&amp;" +more"),"")))</f>
        <v/>
      </c>
      <c r="C418" s="24" t="n"/>
      <c r="D418" s="25">
        <f>IF(C418="","",IF(COUNTIF(lst_Jobs,C418&amp;"")&gt;0,"OK","CHECK"))</f>
        <v/>
      </c>
      <c r="E418" s="25">
        <f>IF(C418="","",IFERROR(INDEX(lst_JobName,MATCH(C418&amp;"",lst_Jobs,0)),""))</f>
        <v/>
      </c>
      <c r="F418" s="25">
        <f>IF(C418="","",IFERROR(INDEX(tbl_Finance[Client],MATCH(C418&amp;"",tbl_Finance[Job Number],0)),""))</f>
        <v/>
      </c>
      <c r="G418" s="28">
        <f>IF(C418="","",COUNTIFS(tbl_Finance[Job Number],C418&amp;"",tbl_Finance[Ex GST],"&lt;&gt;"))</f>
        <v/>
      </c>
      <c r="H418" s="27">
        <f>IF(C418="","",SUMIFS(tbl_Finance[Ex GST],tbl_Finance[Job Number],C418&amp;""))</f>
        <v/>
      </c>
      <c r="I418" s="27">
        <f>IF(C418="","",SUMIFS(tbl_Finance[Ex GST],tbl_Finance[Job Number],C418&amp;"",tbl_Finance[Xero Invoice No],"&lt;&gt;"))</f>
        <v/>
      </c>
      <c r="J418" s="27">
        <f>IF(C418="","",H418-I418)</f>
        <v/>
      </c>
      <c r="K418" s="25">
        <f>IF(C418="","",IF(G418=0,"not invoiced yet",SUBSTITUTE(TRIM(IF(COUNTIFS(tbl_Finance[Job Number],C418&amp;"",tbl_Finance[Cost Centre],"ONSITE")&gt;0,"ONSITE ","")&amp;IF(COUNTIFS(tbl_Finance[Job Number],C418&amp;"",tbl_Finance[Cost Centre],"PRODUCTION")&gt;0,"PRODUCTION ","")&amp;IF(COUNTIFS(tbl_Finance[Job Number],C418&amp;"",tbl_Finance[Cost Centre],"VIDEO")&gt;0,"VIDEO ","")&amp;IF(COUNTIFS(tbl_Finance[Job Number],C418&amp;"",tbl_Finance[Cost Centre],"INTEGRATION")&gt;0,"INTEGRATION ","")&amp;IF(COUNTIFS(tbl_Finance[Job Number],C418&amp;"",tbl_Finance[Cost Centre],"CONSULTING")&gt;0,"CONSULTING ","")&amp;IF(COUNTIFS(tbl_Finance[Job Number],C418&amp;"",tbl_Finance[Cost Centre],"CTS")&gt;0,"CTS ",""))," ",", ")))</f>
        <v/>
      </c>
      <c r="L418" s="22" t="n"/>
      <c r="M418" s="24" t="n"/>
      <c r="N418" s="25">
        <f>IF(M418="","",IF(AND(LEFT(M418,4)&lt;&gt;"http",set_RMSBase=""),"",HYPERLINK(IF(LEFT(M418,4)="http",M418,set_RMSBase&amp;M418),"Open opportunity")))</f>
        <v/>
      </c>
      <c r="O418" s="25">
        <f>IF(C418="","",C418)</f>
        <v/>
      </c>
      <c r="P418" s="24" t="n"/>
      <c r="Q418" s="26" t="n"/>
      <c r="R418" s="27">
        <f>IF(C418="","",H418+N(Q418))</f>
        <v/>
      </c>
      <c r="S418" s="29">
        <f>IFERROR(Q418/R418,"")</f>
        <v/>
      </c>
      <c r="T418" s="26" t="n"/>
      <c r="U418" s="26" t="n"/>
      <c r="V418" s="27">
        <f>IF(C418="","",N(T418)+N(U418))</f>
        <v/>
      </c>
      <c r="W418" s="27">
        <f>IF(C418="","",H418-V418)</f>
        <v/>
      </c>
      <c r="X418" s="29">
        <f>IFERROR(W418/H418,"")</f>
        <v/>
      </c>
      <c r="Y418" s="64" t="n"/>
      <c r="Z418" s="64" t="n"/>
      <c r="AA418" s="64" t="n"/>
      <c r="AB418" s="64" t="n"/>
      <c r="AC418" s="64" t="n"/>
      <c r="AD418" s="24" t="n"/>
    </row>
    <row r="419" ht="15" customHeight="1">
      <c r="A419" s="63">
        <f>IF(C419="","",IFERROR(IF(SUMPRODUCT(MAX((tbl_Finance[Job Number]=C419&amp;"")*(tbl_Finance[Xero Invoice No]&lt;&gt;"")*tbl_Finance[Date]))=0,"",SUMPRODUCT(MAX((tbl_Finance[Job Number]=C419&amp;"")*(tbl_Finance[Xero Invoice No]&lt;&gt;"")*tbl_Finance[Date]))),""))</f>
        <v/>
      </c>
      <c r="B419" s="25">
        <f>IF(C419="","",IF(COUNTIFS(tbl_Finance[Job Number],C419&amp;"",tbl_Finance[Xero Invoice No],"&lt;&gt;")=0,"",IFERROR(IF(COUNTIFS(tbl_Finance[Job Number],C419&amp;"",tbl_Finance[Xero Invoice No],LOOKUP(2,1/((tbl_Finance[Job Number]=C419&amp;"")*(tbl_Finance[Xero Invoice No]&lt;&gt;"")),tbl_Finance[Xero Invoice No]))=COUNTIFS(tbl_Finance[Job Number],C419&amp;"",tbl_Finance[Xero Invoice No],"&lt;&gt;"),LOOKUP(2,1/((tbl_Finance[Job Number]=C419&amp;"")*(tbl_Finance[Xero Invoice No]&lt;&gt;"")),tbl_Finance[Xero Invoice No]),LOOKUP(2,1/((tbl_Finance[Job Number]=C419&amp;"")*(tbl_Finance[Xero Invoice No]&lt;&gt;"")),tbl_Finance[Xero Invoice No])&amp;" +more"),"")))</f>
        <v/>
      </c>
      <c r="C419" s="24" t="n"/>
      <c r="D419" s="25">
        <f>IF(C419="","",IF(COUNTIF(lst_Jobs,C419&amp;"")&gt;0,"OK","CHECK"))</f>
        <v/>
      </c>
      <c r="E419" s="25">
        <f>IF(C419="","",IFERROR(INDEX(lst_JobName,MATCH(C419&amp;"",lst_Jobs,0)),""))</f>
        <v/>
      </c>
      <c r="F419" s="25">
        <f>IF(C419="","",IFERROR(INDEX(tbl_Finance[Client],MATCH(C419&amp;"",tbl_Finance[Job Number],0)),""))</f>
        <v/>
      </c>
      <c r="G419" s="28">
        <f>IF(C419="","",COUNTIFS(tbl_Finance[Job Number],C419&amp;"",tbl_Finance[Ex GST],"&lt;&gt;"))</f>
        <v/>
      </c>
      <c r="H419" s="27">
        <f>IF(C419="","",SUMIFS(tbl_Finance[Ex GST],tbl_Finance[Job Number],C419&amp;""))</f>
        <v/>
      </c>
      <c r="I419" s="27">
        <f>IF(C419="","",SUMIFS(tbl_Finance[Ex GST],tbl_Finance[Job Number],C419&amp;"",tbl_Finance[Xero Invoice No],"&lt;&gt;"))</f>
        <v/>
      </c>
      <c r="J419" s="27">
        <f>IF(C419="","",H419-I419)</f>
        <v/>
      </c>
      <c r="K419" s="25">
        <f>IF(C419="","",IF(G419=0,"not invoiced yet",SUBSTITUTE(TRIM(IF(COUNTIFS(tbl_Finance[Job Number],C419&amp;"",tbl_Finance[Cost Centre],"ONSITE")&gt;0,"ONSITE ","")&amp;IF(COUNTIFS(tbl_Finance[Job Number],C419&amp;"",tbl_Finance[Cost Centre],"PRODUCTION")&gt;0,"PRODUCTION ","")&amp;IF(COUNTIFS(tbl_Finance[Job Number],C419&amp;"",tbl_Finance[Cost Centre],"VIDEO")&gt;0,"VIDEO ","")&amp;IF(COUNTIFS(tbl_Finance[Job Number],C419&amp;"",tbl_Finance[Cost Centre],"INTEGRATION")&gt;0,"INTEGRATION ","")&amp;IF(COUNTIFS(tbl_Finance[Job Number],C419&amp;"",tbl_Finance[Cost Centre],"CONSULTING")&gt;0,"CONSULTING ","")&amp;IF(COUNTIFS(tbl_Finance[Job Number],C419&amp;"",tbl_Finance[Cost Centre],"CTS")&gt;0,"CTS ",""))," ",", ")))</f>
        <v/>
      </c>
      <c r="L419" s="22" t="n"/>
      <c r="M419" s="24" t="n"/>
      <c r="N419" s="25">
        <f>IF(M419="","",IF(AND(LEFT(M419,4)&lt;&gt;"http",set_RMSBase=""),"",HYPERLINK(IF(LEFT(M419,4)="http",M419,set_RMSBase&amp;M419),"Open opportunity")))</f>
        <v/>
      </c>
      <c r="O419" s="25">
        <f>IF(C419="","",C419)</f>
        <v/>
      </c>
      <c r="P419" s="24" t="n"/>
      <c r="Q419" s="26" t="n"/>
      <c r="R419" s="27">
        <f>IF(C419="","",H419+N(Q419))</f>
        <v/>
      </c>
      <c r="S419" s="29">
        <f>IFERROR(Q419/R419,"")</f>
        <v/>
      </c>
      <c r="T419" s="26" t="n"/>
      <c r="U419" s="26" t="n"/>
      <c r="V419" s="27">
        <f>IF(C419="","",N(T419)+N(U419))</f>
        <v/>
      </c>
      <c r="W419" s="27">
        <f>IF(C419="","",H419-V419)</f>
        <v/>
      </c>
      <c r="X419" s="29">
        <f>IFERROR(W419/H419,"")</f>
        <v/>
      </c>
      <c r="Y419" s="64" t="n"/>
      <c r="Z419" s="64" t="n"/>
      <c r="AA419" s="64" t="n"/>
      <c r="AB419" s="64" t="n"/>
      <c r="AC419" s="64" t="n"/>
      <c r="AD419" s="24" t="n"/>
    </row>
    <row r="420" ht="15" customHeight="1">
      <c r="A420" s="63">
        <f>IF(C420="","",IFERROR(IF(SUMPRODUCT(MAX((tbl_Finance[Job Number]=C420&amp;"")*(tbl_Finance[Xero Invoice No]&lt;&gt;"")*tbl_Finance[Date]))=0,"",SUMPRODUCT(MAX((tbl_Finance[Job Number]=C420&amp;"")*(tbl_Finance[Xero Invoice No]&lt;&gt;"")*tbl_Finance[Date]))),""))</f>
        <v/>
      </c>
      <c r="B420" s="25">
        <f>IF(C420="","",IF(COUNTIFS(tbl_Finance[Job Number],C420&amp;"",tbl_Finance[Xero Invoice No],"&lt;&gt;")=0,"",IFERROR(IF(COUNTIFS(tbl_Finance[Job Number],C420&amp;"",tbl_Finance[Xero Invoice No],LOOKUP(2,1/((tbl_Finance[Job Number]=C420&amp;"")*(tbl_Finance[Xero Invoice No]&lt;&gt;"")),tbl_Finance[Xero Invoice No]))=COUNTIFS(tbl_Finance[Job Number],C420&amp;"",tbl_Finance[Xero Invoice No],"&lt;&gt;"),LOOKUP(2,1/((tbl_Finance[Job Number]=C420&amp;"")*(tbl_Finance[Xero Invoice No]&lt;&gt;"")),tbl_Finance[Xero Invoice No]),LOOKUP(2,1/((tbl_Finance[Job Number]=C420&amp;"")*(tbl_Finance[Xero Invoice No]&lt;&gt;"")),tbl_Finance[Xero Invoice No])&amp;" +more"),"")))</f>
        <v/>
      </c>
      <c r="C420" s="24" t="n"/>
      <c r="D420" s="25">
        <f>IF(C420="","",IF(COUNTIF(lst_Jobs,C420&amp;"")&gt;0,"OK","CHECK"))</f>
        <v/>
      </c>
      <c r="E420" s="25">
        <f>IF(C420="","",IFERROR(INDEX(lst_JobName,MATCH(C420&amp;"",lst_Jobs,0)),""))</f>
        <v/>
      </c>
      <c r="F420" s="25">
        <f>IF(C420="","",IFERROR(INDEX(tbl_Finance[Client],MATCH(C420&amp;"",tbl_Finance[Job Number],0)),""))</f>
        <v/>
      </c>
      <c r="G420" s="28">
        <f>IF(C420="","",COUNTIFS(tbl_Finance[Job Number],C420&amp;"",tbl_Finance[Ex GST],"&lt;&gt;"))</f>
        <v/>
      </c>
      <c r="H420" s="27">
        <f>IF(C420="","",SUMIFS(tbl_Finance[Ex GST],tbl_Finance[Job Number],C420&amp;""))</f>
        <v/>
      </c>
      <c r="I420" s="27">
        <f>IF(C420="","",SUMIFS(tbl_Finance[Ex GST],tbl_Finance[Job Number],C420&amp;"",tbl_Finance[Xero Invoice No],"&lt;&gt;"))</f>
        <v/>
      </c>
      <c r="J420" s="27">
        <f>IF(C420="","",H420-I420)</f>
        <v/>
      </c>
      <c r="K420" s="25">
        <f>IF(C420="","",IF(G420=0,"not invoiced yet",SUBSTITUTE(TRIM(IF(COUNTIFS(tbl_Finance[Job Number],C420&amp;"",tbl_Finance[Cost Centre],"ONSITE")&gt;0,"ONSITE ","")&amp;IF(COUNTIFS(tbl_Finance[Job Number],C420&amp;"",tbl_Finance[Cost Centre],"PRODUCTION")&gt;0,"PRODUCTION ","")&amp;IF(COUNTIFS(tbl_Finance[Job Number],C420&amp;"",tbl_Finance[Cost Centre],"VIDEO")&gt;0,"VIDEO ","")&amp;IF(COUNTIFS(tbl_Finance[Job Number],C420&amp;"",tbl_Finance[Cost Centre],"INTEGRATION")&gt;0,"INTEGRATION ","")&amp;IF(COUNTIFS(tbl_Finance[Job Number],C420&amp;"",tbl_Finance[Cost Centre],"CONSULTING")&gt;0,"CONSULTING ","")&amp;IF(COUNTIFS(tbl_Finance[Job Number],C420&amp;"",tbl_Finance[Cost Centre],"CTS")&gt;0,"CTS ",""))," ",", ")))</f>
        <v/>
      </c>
      <c r="L420" s="22" t="n"/>
      <c r="M420" s="24" t="n"/>
      <c r="N420" s="25">
        <f>IF(M420="","",IF(AND(LEFT(M420,4)&lt;&gt;"http",set_RMSBase=""),"",HYPERLINK(IF(LEFT(M420,4)="http",M420,set_RMSBase&amp;M420),"Open opportunity")))</f>
        <v/>
      </c>
      <c r="O420" s="25">
        <f>IF(C420="","",C420)</f>
        <v/>
      </c>
      <c r="P420" s="24" t="n"/>
      <c r="Q420" s="26" t="n"/>
      <c r="R420" s="27">
        <f>IF(C420="","",H420+N(Q420))</f>
        <v/>
      </c>
      <c r="S420" s="29">
        <f>IFERROR(Q420/R420,"")</f>
        <v/>
      </c>
      <c r="T420" s="26" t="n"/>
      <c r="U420" s="26" t="n"/>
      <c r="V420" s="27">
        <f>IF(C420="","",N(T420)+N(U420))</f>
        <v/>
      </c>
      <c r="W420" s="27">
        <f>IF(C420="","",H420-V420)</f>
        <v/>
      </c>
      <c r="X420" s="29">
        <f>IFERROR(W420/H420,"")</f>
        <v/>
      </c>
      <c r="Y420" s="64" t="n"/>
      <c r="Z420" s="64" t="n"/>
      <c r="AA420" s="64" t="n"/>
      <c r="AB420" s="64" t="n"/>
      <c r="AC420" s="64" t="n"/>
      <c r="AD420" s="24" t="n"/>
    </row>
    <row r="421" ht="15" customHeight="1">
      <c r="A421" s="63">
        <f>IF(C421="","",IFERROR(IF(SUMPRODUCT(MAX((tbl_Finance[Job Number]=C421&amp;"")*(tbl_Finance[Xero Invoice No]&lt;&gt;"")*tbl_Finance[Date]))=0,"",SUMPRODUCT(MAX((tbl_Finance[Job Number]=C421&amp;"")*(tbl_Finance[Xero Invoice No]&lt;&gt;"")*tbl_Finance[Date]))),""))</f>
        <v/>
      </c>
      <c r="B421" s="25">
        <f>IF(C421="","",IF(COUNTIFS(tbl_Finance[Job Number],C421&amp;"",tbl_Finance[Xero Invoice No],"&lt;&gt;")=0,"",IFERROR(IF(COUNTIFS(tbl_Finance[Job Number],C421&amp;"",tbl_Finance[Xero Invoice No],LOOKUP(2,1/((tbl_Finance[Job Number]=C421&amp;"")*(tbl_Finance[Xero Invoice No]&lt;&gt;"")),tbl_Finance[Xero Invoice No]))=COUNTIFS(tbl_Finance[Job Number],C421&amp;"",tbl_Finance[Xero Invoice No],"&lt;&gt;"),LOOKUP(2,1/((tbl_Finance[Job Number]=C421&amp;"")*(tbl_Finance[Xero Invoice No]&lt;&gt;"")),tbl_Finance[Xero Invoice No]),LOOKUP(2,1/((tbl_Finance[Job Number]=C421&amp;"")*(tbl_Finance[Xero Invoice No]&lt;&gt;"")),tbl_Finance[Xero Invoice No])&amp;" +more"),"")))</f>
        <v/>
      </c>
      <c r="C421" s="24" t="n"/>
      <c r="D421" s="25">
        <f>IF(C421="","",IF(COUNTIF(lst_Jobs,C421&amp;"")&gt;0,"OK","CHECK"))</f>
        <v/>
      </c>
      <c r="E421" s="25">
        <f>IF(C421="","",IFERROR(INDEX(lst_JobName,MATCH(C421&amp;"",lst_Jobs,0)),""))</f>
        <v/>
      </c>
      <c r="F421" s="25">
        <f>IF(C421="","",IFERROR(INDEX(tbl_Finance[Client],MATCH(C421&amp;"",tbl_Finance[Job Number],0)),""))</f>
        <v/>
      </c>
      <c r="G421" s="28">
        <f>IF(C421="","",COUNTIFS(tbl_Finance[Job Number],C421&amp;"",tbl_Finance[Ex GST],"&lt;&gt;"))</f>
        <v/>
      </c>
      <c r="H421" s="27">
        <f>IF(C421="","",SUMIFS(tbl_Finance[Ex GST],tbl_Finance[Job Number],C421&amp;""))</f>
        <v/>
      </c>
      <c r="I421" s="27">
        <f>IF(C421="","",SUMIFS(tbl_Finance[Ex GST],tbl_Finance[Job Number],C421&amp;"",tbl_Finance[Xero Invoice No],"&lt;&gt;"))</f>
        <v/>
      </c>
      <c r="J421" s="27">
        <f>IF(C421="","",H421-I421)</f>
        <v/>
      </c>
      <c r="K421" s="25">
        <f>IF(C421="","",IF(G421=0,"not invoiced yet",SUBSTITUTE(TRIM(IF(COUNTIFS(tbl_Finance[Job Number],C421&amp;"",tbl_Finance[Cost Centre],"ONSITE")&gt;0,"ONSITE ","")&amp;IF(COUNTIFS(tbl_Finance[Job Number],C421&amp;"",tbl_Finance[Cost Centre],"PRODUCTION")&gt;0,"PRODUCTION ","")&amp;IF(COUNTIFS(tbl_Finance[Job Number],C421&amp;"",tbl_Finance[Cost Centre],"VIDEO")&gt;0,"VIDEO ","")&amp;IF(COUNTIFS(tbl_Finance[Job Number],C421&amp;"",tbl_Finance[Cost Centre],"INTEGRATION")&gt;0,"INTEGRATION ","")&amp;IF(COUNTIFS(tbl_Finance[Job Number],C421&amp;"",tbl_Finance[Cost Centre],"CONSULTING")&gt;0,"CONSULTING ","")&amp;IF(COUNTIFS(tbl_Finance[Job Number],C421&amp;"",tbl_Finance[Cost Centre],"CTS")&gt;0,"CTS ",""))," ",", ")))</f>
        <v/>
      </c>
      <c r="L421" s="22" t="n"/>
      <c r="M421" s="24" t="n"/>
      <c r="N421" s="25">
        <f>IF(M421="","",IF(AND(LEFT(M421,4)&lt;&gt;"http",set_RMSBase=""),"",HYPERLINK(IF(LEFT(M421,4)="http",M421,set_RMSBase&amp;M421),"Open opportunity")))</f>
        <v/>
      </c>
      <c r="O421" s="25">
        <f>IF(C421="","",C421)</f>
        <v/>
      </c>
      <c r="P421" s="24" t="n"/>
      <c r="Q421" s="26" t="n"/>
      <c r="R421" s="27">
        <f>IF(C421="","",H421+N(Q421))</f>
        <v/>
      </c>
      <c r="S421" s="29">
        <f>IFERROR(Q421/R421,"")</f>
        <v/>
      </c>
      <c r="T421" s="26" t="n"/>
      <c r="U421" s="26" t="n"/>
      <c r="V421" s="27">
        <f>IF(C421="","",N(T421)+N(U421))</f>
        <v/>
      </c>
      <c r="W421" s="27">
        <f>IF(C421="","",H421-V421)</f>
        <v/>
      </c>
      <c r="X421" s="29">
        <f>IFERROR(W421/H421,"")</f>
        <v/>
      </c>
      <c r="Y421" s="64" t="n"/>
      <c r="Z421" s="64" t="n"/>
      <c r="AA421" s="64" t="n"/>
      <c r="AB421" s="64" t="n"/>
      <c r="AC421" s="64" t="n"/>
      <c r="AD421" s="24" t="n"/>
    </row>
    <row r="422" ht="15" customHeight="1">
      <c r="A422" s="63">
        <f>IF(C422="","",IFERROR(IF(SUMPRODUCT(MAX((tbl_Finance[Job Number]=C422&amp;"")*(tbl_Finance[Xero Invoice No]&lt;&gt;"")*tbl_Finance[Date]))=0,"",SUMPRODUCT(MAX((tbl_Finance[Job Number]=C422&amp;"")*(tbl_Finance[Xero Invoice No]&lt;&gt;"")*tbl_Finance[Date]))),""))</f>
        <v/>
      </c>
      <c r="B422" s="25">
        <f>IF(C422="","",IF(COUNTIFS(tbl_Finance[Job Number],C422&amp;"",tbl_Finance[Xero Invoice No],"&lt;&gt;")=0,"",IFERROR(IF(COUNTIFS(tbl_Finance[Job Number],C422&amp;"",tbl_Finance[Xero Invoice No],LOOKUP(2,1/((tbl_Finance[Job Number]=C422&amp;"")*(tbl_Finance[Xero Invoice No]&lt;&gt;"")),tbl_Finance[Xero Invoice No]))=COUNTIFS(tbl_Finance[Job Number],C422&amp;"",tbl_Finance[Xero Invoice No],"&lt;&gt;"),LOOKUP(2,1/((tbl_Finance[Job Number]=C422&amp;"")*(tbl_Finance[Xero Invoice No]&lt;&gt;"")),tbl_Finance[Xero Invoice No]),LOOKUP(2,1/((tbl_Finance[Job Number]=C422&amp;"")*(tbl_Finance[Xero Invoice No]&lt;&gt;"")),tbl_Finance[Xero Invoice No])&amp;" +more"),"")))</f>
        <v/>
      </c>
      <c r="C422" s="24" t="n"/>
      <c r="D422" s="25">
        <f>IF(C422="","",IF(COUNTIF(lst_Jobs,C422&amp;"")&gt;0,"OK","CHECK"))</f>
        <v/>
      </c>
      <c r="E422" s="25">
        <f>IF(C422="","",IFERROR(INDEX(lst_JobName,MATCH(C422&amp;"",lst_Jobs,0)),""))</f>
        <v/>
      </c>
      <c r="F422" s="25">
        <f>IF(C422="","",IFERROR(INDEX(tbl_Finance[Client],MATCH(C422&amp;"",tbl_Finance[Job Number],0)),""))</f>
        <v/>
      </c>
      <c r="G422" s="28">
        <f>IF(C422="","",COUNTIFS(tbl_Finance[Job Number],C422&amp;"",tbl_Finance[Ex GST],"&lt;&gt;"))</f>
        <v/>
      </c>
      <c r="H422" s="27">
        <f>IF(C422="","",SUMIFS(tbl_Finance[Ex GST],tbl_Finance[Job Number],C422&amp;""))</f>
        <v/>
      </c>
      <c r="I422" s="27">
        <f>IF(C422="","",SUMIFS(tbl_Finance[Ex GST],tbl_Finance[Job Number],C422&amp;"",tbl_Finance[Xero Invoice No],"&lt;&gt;"))</f>
        <v/>
      </c>
      <c r="J422" s="27">
        <f>IF(C422="","",H422-I422)</f>
        <v/>
      </c>
      <c r="K422" s="25">
        <f>IF(C422="","",IF(G422=0,"not invoiced yet",SUBSTITUTE(TRIM(IF(COUNTIFS(tbl_Finance[Job Number],C422&amp;"",tbl_Finance[Cost Centre],"ONSITE")&gt;0,"ONSITE ","")&amp;IF(COUNTIFS(tbl_Finance[Job Number],C422&amp;"",tbl_Finance[Cost Centre],"PRODUCTION")&gt;0,"PRODUCTION ","")&amp;IF(COUNTIFS(tbl_Finance[Job Number],C422&amp;"",tbl_Finance[Cost Centre],"VIDEO")&gt;0,"VIDEO ","")&amp;IF(COUNTIFS(tbl_Finance[Job Number],C422&amp;"",tbl_Finance[Cost Centre],"INTEGRATION")&gt;0,"INTEGRATION ","")&amp;IF(COUNTIFS(tbl_Finance[Job Number],C422&amp;"",tbl_Finance[Cost Centre],"CONSULTING")&gt;0,"CONSULTING ","")&amp;IF(COUNTIFS(tbl_Finance[Job Number],C422&amp;"",tbl_Finance[Cost Centre],"CTS")&gt;0,"CTS ",""))," ",", ")))</f>
        <v/>
      </c>
      <c r="L422" s="22" t="n"/>
      <c r="M422" s="24" t="n"/>
      <c r="N422" s="25">
        <f>IF(M422="","",IF(AND(LEFT(M422,4)&lt;&gt;"http",set_RMSBase=""),"",HYPERLINK(IF(LEFT(M422,4)="http",M422,set_RMSBase&amp;M422),"Open opportunity")))</f>
        <v/>
      </c>
      <c r="O422" s="25">
        <f>IF(C422="","",C422)</f>
        <v/>
      </c>
      <c r="P422" s="24" t="n"/>
      <c r="Q422" s="26" t="n"/>
      <c r="R422" s="27">
        <f>IF(C422="","",H422+N(Q422))</f>
        <v/>
      </c>
      <c r="S422" s="29">
        <f>IFERROR(Q422/R422,"")</f>
        <v/>
      </c>
      <c r="T422" s="26" t="n"/>
      <c r="U422" s="26" t="n"/>
      <c r="V422" s="27">
        <f>IF(C422="","",N(T422)+N(U422))</f>
        <v/>
      </c>
      <c r="W422" s="27">
        <f>IF(C422="","",H422-V422)</f>
        <v/>
      </c>
      <c r="X422" s="29">
        <f>IFERROR(W422/H422,"")</f>
        <v/>
      </c>
      <c r="Y422" s="64" t="n"/>
      <c r="Z422" s="64" t="n"/>
      <c r="AA422" s="64" t="n"/>
      <c r="AB422" s="64" t="n"/>
      <c r="AC422" s="64" t="n"/>
      <c r="AD422" s="24" t="n"/>
    </row>
    <row r="423" ht="15" customHeight="1">
      <c r="A423" s="63">
        <f>IF(C423="","",IFERROR(IF(SUMPRODUCT(MAX((tbl_Finance[Job Number]=C423&amp;"")*(tbl_Finance[Xero Invoice No]&lt;&gt;"")*tbl_Finance[Date]))=0,"",SUMPRODUCT(MAX((tbl_Finance[Job Number]=C423&amp;"")*(tbl_Finance[Xero Invoice No]&lt;&gt;"")*tbl_Finance[Date]))),""))</f>
        <v/>
      </c>
      <c r="B423" s="25">
        <f>IF(C423="","",IF(COUNTIFS(tbl_Finance[Job Number],C423&amp;"",tbl_Finance[Xero Invoice No],"&lt;&gt;")=0,"",IFERROR(IF(COUNTIFS(tbl_Finance[Job Number],C423&amp;"",tbl_Finance[Xero Invoice No],LOOKUP(2,1/((tbl_Finance[Job Number]=C423&amp;"")*(tbl_Finance[Xero Invoice No]&lt;&gt;"")),tbl_Finance[Xero Invoice No]))=COUNTIFS(tbl_Finance[Job Number],C423&amp;"",tbl_Finance[Xero Invoice No],"&lt;&gt;"),LOOKUP(2,1/((tbl_Finance[Job Number]=C423&amp;"")*(tbl_Finance[Xero Invoice No]&lt;&gt;"")),tbl_Finance[Xero Invoice No]),LOOKUP(2,1/((tbl_Finance[Job Number]=C423&amp;"")*(tbl_Finance[Xero Invoice No]&lt;&gt;"")),tbl_Finance[Xero Invoice No])&amp;" +more"),"")))</f>
        <v/>
      </c>
      <c r="C423" s="24" t="n"/>
      <c r="D423" s="25">
        <f>IF(C423="","",IF(COUNTIF(lst_Jobs,C423&amp;"")&gt;0,"OK","CHECK"))</f>
        <v/>
      </c>
      <c r="E423" s="25">
        <f>IF(C423="","",IFERROR(INDEX(lst_JobName,MATCH(C423&amp;"",lst_Jobs,0)),""))</f>
        <v/>
      </c>
      <c r="F423" s="25">
        <f>IF(C423="","",IFERROR(INDEX(tbl_Finance[Client],MATCH(C423&amp;"",tbl_Finance[Job Number],0)),""))</f>
        <v/>
      </c>
      <c r="G423" s="28">
        <f>IF(C423="","",COUNTIFS(tbl_Finance[Job Number],C423&amp;"",tbl_Finance[Ex GST],"&lt;&gt;"))</f>
        <v/>
      </c>
      <c r="H423" s="27">
        <f>IF(C423="","",SUMIFS(tbl_Finance[Ex GST],tbl_Finance[Job Number],C423&amp;""))</f>
        <v/>
      </c>
      <c r="I423" s="27">
        <f>IF(C423="","",SUMIFS(tbl_Finance[Ex GST],tbl_Finance[Job Number],C423&amp;"",tbl_Finance[Xero Invoice No],"&lt;&gt;"))</f>
        <v/>
      </c>
      <c r="J423" s="27">
        <f>IF(C423="","",H423-I423)</f>
        <v/>
      </c>
      <c r="K423" s="25">
        <f>IF(C423="","",IF(G423=0,"not invoiced yet",SUBSTITUTE(TRIM(IF(COUNTIFS(tbl_Finance[Job Number],C423&amp;"",tbl_Finance[Cost Centre],"ONSITE")&gt;0,"ONSITE ","")&amp;IF(COUNTIFS(tbl_Finance[Job Number],C423&amp;"",tbl_Finance[Cost Centre],"PRODUCTION")&gt;0,"PRODUCTION ","")&amp;IF(COUNTIFS(tbl_Finance[Job Number],C423&amp;"",tbl_Finance[Cost Centre],"VIDEO")&gt;0,"VIDEO ","")&amp;IF(COUNTIFS(tbl_Finance[Job Number],C423&amp;"",tbl_Finance[Cost Centre],"INTEGRATION")&gt;0,"INTEGRATION ","")&amp;IF(COUNTIFS(tbl_Finance[Job Number],C423&amp;"",tbl_Finance[Cost Centre],"CONSULTING")&gt;0,"CONSULTING ","")&amp;IF(COUNTIFS(tbl_Finance[Job Number],C423&amp;"",tbl_Finance[Cost Centre],"CTS")&gt;0,"CTS ",""))," ",", ")))</f>
        <v/>
      </c>
      <c r="L423" s="22" t="n"/>
      <c r="M423" s="24" t="n"/>
      <c r="N423" s="25">
        <f>IF(M423="","",IF(AND(LEFT(M423,4)&lt;&gt;"http",set_RMSBase=""),"",HYPERLINK(IF(LEFT(M423,4)="http",M423,set_RMSBase&amp;M423),"Open opportunity")))</f>
        <v/>
      </c>
      <c r="O423" s="25">
        <f>IF(C423="","",C423)</f>
        <v/>
      </c>
      <c r="P423" s="24" t="n"/>
      <c r="Q423" s="26" t="n"/>
      <c r="R423" s="27">
        <f>IF(C423="","",H423+N(Q423))</f>
        <v/>
      </c>
      <c r="S423" s="29">
        <f>IFERROR(Q423/R423,"")</f>
        <v/>
      </c>
      <c r="T423" s="26" t="n"/>
      <c r="U423" s="26" t="n"/>
      <c r="V423" s="27">
        <f>IF(C423="","",N(T423)+N(U423))</f>
        <v/>
      </c>
      <c r="W423" s="27">
        <f>IF(C423="","",H423-V423)</f>
        <v/>
      </c>
      <c r="X423" s="29">
        <f>IFERROR(W423/H423,"")</f>
        <v/>
      </c>
      <c r="Y423" s="64" t="n"/>
      <c r="Z423" s="64" t="n"/>
      <c r="AA423" s="64" t="n"/>
      <c r="AB423" s="64" t="n"/>
      <c r="AC423" s="64" t="n"/>
      <c r="AD423" s="24" t="n"/>
    </row>
    <row r="424" ht="15" customHeight="1">
      <c r="A424" s="63">
        <f>IF(C424="","",IFERROR(IF(SUMPRODUCT(MAX((tbl_Finance[Job Number]=C424&amp;"")*(tbl_Finance[Xero Invoice No]&lt;&gt;"")*tbl_Finance[Date]))=0,"",SUMPRODUCT(MAX((tbl_Finance[Job Number]=C424&amp;"")*(tbl_Finance[Xero Invoice No]&lt;&gt;"")*tbl_Finance[Date]))),""))</f>
        <v/>
      </c>
      <c r="B424" s="25">
        <f>IF(C424="","",IF(COUNTIFS(tbl_Finance[Job Number],C424&amp;"",tbl_Finance[Xero Invoice No],"&lt;&gt;")=0,"",IFERROR(IF(COUNTIFS(tbl_Finance[Job Number],C424&amp;"",tbl_Finance[Xero Invoice No],LOOKUP(2,1/((tbl_Finance[Job Number]=C424&amp;"")*(tbl_Finance[Xero Invoice No]&lt;&gt;"")),tbl_Finance[Xero Invoice No]))=COUNTIFS(tbl_Finance[Job Number],C424&amp;"",tbl_Finance[Xero Invoice No],"&lt;&gt;"),LOOKUP(2,1/((tbl_Finance[Job Number]=C424&amp;"")*(tbl_Finance[Xero Invoice No]&lt;&gt;"")),tbl_Finance[Xero Invoice No]),LOOKUP(2,1/((tbl_Finance[Job Number]=C424&amp;"")*(tbl_Finance[Xero Invoice No]&lt;&gt;"")),tbl_Finance[Xero Invoice No])&amp;" +more"),"")))</f>
        <v/>
      </c>
      <c r="C424" s="24" t="n"/>
      <c r="D424" s="25">
        <f>IF(C424="","",IF(COUNTIF(lst_Jobs,C424&amp;"")&gt;0,"OK","CHECK"))</f>
        <v/>
      </c>
      <c r="E424" s="25">
        <f>IF(C424="","",IFERROR(INDEX(lst_JobName,MATCH(C424&amp;"",lst_Jobs,0)),""))</f>
        <v/>
      </c>
      <c r="F424" s="25">
        <f>IF(C424="","",IFERROR(INDEX(tbl_Finance[Client],MATCH(C424&amp;"",tbl_Finance[Job Number],0)),""))</f>
        <v/>
      </c>
      <c r="G424" s="28">
        <f>IF(C424="","",COUNTIFS(tbl_Finance[Job Number],C424&amp;"",tbl_Finance[Ex GST],"&lt;&gt;"))</f>
        <v/>
      </c>
      <c r="H424" s="27">
        <f>IF(C424="","",SUMIFS(tbl_Finance[Ex GST],tbl_Finance[Job Number],C424&amp;""))</f>
        <v/>
      </c>
      <c r="I424" s="27">
        <f>IF(C424="","",SUMIFS(tbl_Finance[Ex GST],tbl_Finance[Job Number],C424&amp;"",tbl_Finance[Xero Invoice No],"&lt;&gt;"))</f>
        <v/>
      </c>
      <c r="J424" s="27">
        <f>IF(C424="","",H424-I424)</f>
        <v/>
      </c>
      <c r="K424" s="25">
        <f>IF(C424="","",IF(G424=0,"not invoiced yet",SUBSTITUTE(TRIM(IF(COUNTIFS(tbl_Finance[Job Number],C424&amp;"",tbl_Finance[Cost Centre],"ONSITE")&gt;0,"ONSITE ","")&amp;IF(COUNTIFS(tbl_Finance[Job Number],C424&amp;"",tbl_Finance[Cost Centre],"PRODUCTION")&gt;0,"PRODUCTION ","")&amp;IF(COUNTIFS(tbl_Finance[Job Number],C424&amp;"",tbl_Finance[Cost Centre],"VIDEO")&gt;0,"VIDEO ","")&amp;IF(COUNTIFS(tbl_Finance[Job Number],C424&amp;"",tbl_Finance[Cost Centre],"INTEGRATION")&gt;0,"INTEGRATION ","")&amp;IF(COUNTIFS(tbl_Finance[Job Number],C424&amp;"",tbl_Finance[Cost Centre],"CONSULTING")&gt;0,"CONSULTING ","")&amp;IF(COUNTIFS(tbl_Finance[Job Number],C424&amp;"",tbl_Finance[Cost Centre],"CTS")&gt;0,"CTS ",""))," ",", ")))</f>
        <v/>
      </c>
      <c r="L424" s="22" t="n"/>
      <c r="M424" s="24" t="n"/>
      <c r="N424" s="25">
        <f>IF(M424="","",IF(AND(LEFT(M424,4)&lt;&gt;"http",set_RMSBase=""),"",HYPERLINK(IF(LEFT(M424,4)="http",M424,set_RMSBase&amp;M424),"Open opportunity")))</f>
        <v/>
      </c>
      <c r="O424" s="25">
        <f>IF(C424="","",C424)</f>
        <v/>
      </c>
      <c r="P424" s="24" t="n"/>
      <c r="Q424" s="26" t="n"/>
      <c r="R424" s="27">
        <f>IF(C424="","",H424+N(Q424))</f>
        <v/>
      </c>
      <c r="S424" s="29">
        <f>IFERROR(Q424/R424,"")</f>
        <v/>
      </c>
      <c r="T424" s="26" t="n"/>
      <c r="U424" s="26" t="n"/>
      <c r="V424" s="27">
        <f>IF(C424="","",N(T424)+N(U424))</f>
        <v/>
      </c>
      <c r="W424" s="27">
        <f>IF(C424="","",H424-V424)</f>
        <v/>
      </c>
      <c r="X424" s="29">
        <f>IFERROR(W424/H424,"")</f>
        <v/>
      </c>
      <c r="Y424" s="64" t="n"/>
      <c r="Z424" s="64" t="n"/>
      <c r="AA424" s="64" t="n"/>
      <c r="AB424" s="64" t="n"/>
      <c r="AC424" s="64" t="n"/>
      <c r="AD424" s="24" t="n"/>
    </row>
    <row r="425" ht="15" customHeight="1">
      <c r="A425" s="63">
        <f>IF(C425="","",IFERROR(IF(SUMPRODUCT(MAX((tbl_Finance[Job Number]=C425&amp;"")*(tbl_Finance[Xero Invoice No]&lt;&gt;"")*tbl_Finance[Date]))=0,"",SUMPRODUCT(MAX((tbl_Finance[Job Number]=C425&amp;"")*(tbl_Finance[Xero Invoice No]&lt;&gt;"")*tbl_Finance[Date]))),""))</f>
        <v/>
      </c>
      <c r="B425" s="25">
        <f>IF(C425="","",IF(COUNTIFS(tbl_Finance[Job Number],C425&amp;"",tbl_Finance[Xero Invoice No],"&lt;&gt;")=0,"",IFERROR(IF(COUNTIFS(tbl_Finance[Job Number],C425&amp;"",tbl_Finance[Xero Invoice No],LOOKUP(2,1/((tbl_Finance[Job Number]=C425&amp;"")*(tbl_Finance[Xero Invoice No]&lt;&gt;"")),tbl_Finance[Xero Invoice No]))=COUNTIFS(tbl_Finance[Job Number],C425&amp;"",tbl_Finance[Xero Invoice No],"&lt;&gt;"),LOOKUP(2,1/((tbl_Finance[Job Number]=C425&amp;"")*(tbl_Finance[Xero Invoice No]&lt;&gt;"")),tbl_Finance[Xero Invoice No]),LOOKUP(2,1/((tbl_Finance[Job Number]=C425&amp;"")*(tbl_Finance[Xero Invoice No]&lt;&gt;"")),tbl_Finance[Xero Invoice No])&amp;" +more"),"")))</f>
        <v/>
      </c>
      <c r="C425" s="24" t="n"/>
      <c r="D425" s="25">
        <f>IF(C425="","",IF(COUNTIF(lst_Jobs,C425&amp;"")&gt;0,"OK","CHECK"))</f>
        <v/>
      </c>
      <c r="E425" s="25">
        <f>IF(C425="","",IFERROR(INDEX(lst_JobName,MATCH(C425&amp;"",lst_Jobs,0)),""))</f>
        <v/>
      </c>
      <c r="F425" s="25">
        <f>IF(C425="","",IFERROR(INDEX(tbl_Finance[Client],MATCH(C425&amp;"",tbl_Finance[Job Number],0)),""))</f>
        <v/>
      </c>
      <c r="G425" s="28">
        <f>IF(C425="","",COUNTIFS(tbl_Finance[Job Number],C425&amp;"",tbl_Finance[Ex GST],"&lt;&gt;"))</f>
        <v/>
      </c>
      <c r="H425" s="27">
        <f>IF(C425="","",SUMIFS(tbl_Finance[Ex GST],tbl_Finance[Job Number],C425&amp;""))</f>
        <v/>
      </c>
      <c r="I425" s="27">
        <f>IF(C425="","",SUMIFS(tbl_Finance[Ex GST],tbl_Finance[Job Number],C425&amp;"",tbl_Finance[Xero Invoice No],"&lt;&gt;"))</f>
        <v/>
      </c>
      <c r="J425" s="27">
        <f>IF(C425="","",H425-I425)</f>
        <v/>
      </c>
      <c r="K425" s="25">
        <f>IF(C425="","",IF(G425=0,"not invoiced yet",SUBSTITUTE(TRIM(IF(COUNTIFS(tbl_Finance[Job Number],C425&amp;"",tbl_Finance[Cost Centre],"ONSITE")&gt;0,"ONSITE ","")&amp;IF(COUNTIFS(tbl_Finance[Job Number],C425&amp;"",tbl_Finance[Cost Centre],"PRODUCTION")&gt;0,"PRODUCTION ","")&amp;IF(COUNTIFS(tbl_Finance[Job Number],C425&amp;"",tbl_Finance[Cost Centre],"VIDEO")&gt;0,"VIDEO ","")&amp;IF(COUNTIFS(tbl_Finance[Job Number],C425&amp;"",tbl_Finance[Cost Centre],"INTEGRATION")&gt;0,"INTEGRATION ","")&amp;IF(COUNTIFS(tbl_Finance[Job Number],C425&amp;"",tbl_Finance[Cost Centre],"CONSULTING")&gt;0,"CONSULTING ","")&amp;IF(COUNTIFS(tbl_Finance[Job Number],C425&amp;"",tbl_Finance[Cost Centre],"CTS")&gt;0,"CTS ",""))," ",", ")))</f>
        <v/>
      </c>
      <c r="L425" s="22" t="n"/>
      <c r="M425" s="24" t="n"/>
      <c r="N425" s="25">
        <f>IF(M425="","",IF(AND(LEFT(M425,4)&lt;&gt;"http",set_RMSBase=""),"",HYPERLINK(IF(LEFT(M425,4)="http",M425,set_RMSBase&amp;M425),"Open opportunity")))</f>
        <v/>
      </c>
      <c r="O425" s="25">
        <f>IF(C425="","",C425)</f>
        <v/>
      </c>
      <c r="P425" s="24" t="n"/>
      <c r="Q425" s="26" t="n"/>
      <c r="R425" s="27">
        <f>IF(C425="","",H425+N(Q425))</f>
        <v/>
      </c>
      <c r="S425" s="29">
        <f>IFERROR(Q425/R425,"")</f>
        <v/>
      </c>
      <c r="T425" s="26" t="n"/>
      <c r="U425" s="26" t="n"/>
      <c r="V425" s="27">
        <f>IF(C425="","",N(T425)+N(U425))</f>
        <v/>
      </c>
      <c r="W425" s="27">
        <f>IF(C425="","",H425-V425)</f>
        <v/>
      </c>
      <c r="X425" s="29">
        <f>IFERROR(W425/H425,"")</f>
        <v/>
      </c>
      <c r="Y425" s="64" t="n"/>
      <c r="Z425" s="64" t="n"/>
      <c r="AA425" s="64" t="n"/>
      <c r="AB425" s="64" t="n"/>
      <c r="AC425" s="64" t="n"/>
      <c r="AD425" s="24" t="n"/>
    </row>
    <row r="426" ht="15" customHeight="1">
      <c r="A426" s="63">
        <f>IF(C426="","",IFERROR(IF(SUMPRODUCT(MAX((tbl_Finance[Job Number]=C426&amp;"")*(tbl_Finance[Xero Invoice No]&lt;&gt;"")*tbl_Finance[Date]))=0,"",SUMPRODUCT(MAX((tbl_Finance[Job Number]=C426&amp;"")*(tbl_Finance[Xero Invoice No]&lt;&gt;"")*tbl_Finance[Date]))),""))</f>
        <v/>
      </c>
      <c r="B426" s="25">
        <f>IF(C426="","",IF(COUNTIFS(tbl_Finance[Job Number],C426&amp;"",tbl_Finance[Xero Invoice No],"&lt;&gt;")=0,"",IFERROR(IF(COUNTIFS(tbl_Finance[Job Number],C426&amp;"",tbl_Finance[Xero Invoice No],LOOKUP(2,1/((tbl_Finance[Job Number]=C426&amp;"")*(tbl_Finance[Xero Invoice No]&lt;&gt;"")),tbl_Finance[Xero Invoice No]))=COUNTIFS(tbl_Finance[Job Number],C426&amp;"",tbl_Finance[Xero Invoice No],"&lt;&gt;"),LOOKUP(2,1/((tbl_Finance[Job Number]=C426&amp;"")*(tbl_Finance[Xero Invoice No]&lt;&gt;"")),tbl_Finance[Xero Invoice No]),LOOKUP(2,1/((tbl_Finance[Job Number]=C426&amp;"")*(tbl_Finance[Xero Invoice No]&lt;&gt;"")),tbl_Finance[Xero Invoice No])&amp;" +more"),"")))</f>
        <v/>
      </c>
      <c r="C426" s="24" t="n"/>
      <c r="D426" s="25">
        <f>IF(C426="","",IF(COUNTIF(lst_Jobs,C426&amp;"")&gt;0,"OK","CHECK"))</f>
        <v/>
      </c>
      <c r="E426" s="25">
        <f>IF(C426="","",IFERROR(INDEX(lst_JobName,MATCH(C426&amp;"",lst_Jobs,0)),""))</f>
        <v/>
      </c>
      <c r="F426" s="25">
        <f>IF(C426="","",IFERROR(INDEX(tbl_Finance[Client],MATCH(C426&amp;"",tbl_Finance[Job Number],0)),""))</f>
        <v/>
      </c>
      <c r="G426" s="28">
        <f>IF(C426="","",COUNTIFS(tbl_Finance[Job Number],C426&amp;"",tbl_Finance[Ex GST],"&lt;&gt;"))</f>
        <v/>
      </c>
      <c r="H426" s="27">
        <f>IF(C426="","",SUMIFS(tbl_Finance[Ex GST],tbl_Finance[Job Number],C426&amp;""))</f>
        <v/>
      </c>
      <c r="I426" s="27">
        <f>IF(C426="","",SUMIFS(tbl_Finance[Ex GST],tbl_Finance[Job Number],C426&amp;"",tbl_Finance[Xero Invoice No],"&lt;&gt;"))</f>
        <v/>
      </c>
      <c r="J426" s="27">
        <f>IF(C426="","",H426-I426)</f>
        <v/>
      </c>
      <c r="K426" s="25">
        <f>IF(C426="","",IF(G426=0,"not invoiced yet",SUBSTITUTE(TRIM(IF(COUNTIFS(tbl_Finance[Job Number],C426&amp;"",tbl_Finance[Cost Centre],"ONSITE")&gt;0,"ONSITE ","")&amp;IF(COUNTIFS(tbl_Finance[Job Number],C426&amp;"",tbl_Finance[Cost Centre],"PRODUCTION")&gt;0,"PRODUCTION ","")&amp;IF(COUNTIFS(tbl_Finance[Job Number],C426&amp;"",tbl_Finance[Cost Centre],"VIDEO")&gt;0,"VIDEO ","")&amp;IF(COUNTIFS(tbl_Finance[Job Number],C426&amp;"",tbl_Finance[Cost Centre],"INTEGRATION")&gt;0,"INTEGRATION ","")&amp;IF(COUNTIFS(tbl_Finance[Job Number],C426&amp;"",tbl_Finance[Cost Centre],"CONSULTING")&gt;0,"CONSULTING ","")&amp;IF(COUNTIFS(tbl_Finance[Job Number],C426&amp;"",tbl_Finance[Cost Centre],"CTS")&gt;0,"CTS ",""))," ",", ")))</f>
        <v/>
      </c>
      <c r="L426" s="22" t="n"/>
      <c r="M426" s="24" t="n"/>
      <c r="N426" s="25">
        <f>IF(M426="","",IF(AND(LEFT(M426,4)&lt;&gt;"http",set_RMSBase=""),"",HYPERLINK(IF(LEFT(M426,4)="http",M426,set_RMSBase&amp;M426),"Open opportunity")))</f>
        <v/>
      </c>
      <c r="O426" s="25">
        <f>IF(C426="","",C426)</f>
        <v/>
      </c>
      <c r="P426" s="24" t="n"/>
      <c r="Q426" s="26" t="n"/>
      <c r="R426" s="27">
        <f>IF(C426="","",H426+N(Q426))</f>
        <v/>
      </c>
      <c r="S426" s="29">
        <f>IFERROR(Q426/R426,"")</f>
        <v/>
      </c>
      <c r="T426" s="26" t="n"/>
      <c r="U426" s="26" t="n"/>
      <c r="V426" s="27">
        <f>IF(C426="","",N(T426)+N(U426))</f>
        <v/>
      </c>
      <c r="W426" s="27">
        <f>IF(C426="","",H426-V426)</f>
        <v/>
      </c>
      <c r="X426" s="29">
        <f>IFERROR(W426/H426,"")</f>
        <v/>
      </c>
      <c r="Y426" s="64" t="n"/>
      <c r="Z426" s="64" t="n"/>
      <c r="AA426" s="64" t="n"/>
      <c r="AB426" s="64" t="n"/>
      <c r="AC426" s="64" t="n"/>
      <c r="AD426" s="24" t="n"/>
    </row>
    <row r="427" ht="15" customHeight="1">
      <c r="A427" s="63">
        <f>IF(C427="","",IFERROR(IF(SUMPRODUCT(MAX((tbl_Finance[Job Number]=C427&amp;"")*(tbl_Finance[Xero Invoice No]&lt;&gt;"")*tbl_Finance[Date]))=0,"",SUMPRODUCT(MAX((tbl_Finance[Job Number]=C427&amp;"")*(tbl_Finance[Xero Invoice No]&lt;&gt;"")*tbl_Finance[Date]))),""))</f>
        <v/>
      </c>
      <c r="B427" s="25">
        <f>IF(C427="","",IF(COUNTIFS(tbl_Finance[Job Number],C427&amp;"",tbl_Finance[Xero Invoice No],"&lt;&gt;")=0,"",IFERROR(IF(COUNTIFS(tbl_Finance[Job Number],C427&amp;"",tbl_Finance[Xero Invoice No],LOOKUP(2,1/((tbl_Finance[Job Number]=C427&amp;"")*(tbl_Finance[Xero Invoice No]&lt;&gt;"")),tbl_Finance[Xero Invoice No]))=COUNTIFS(tbl_Finance[Job Number],C427&amp;"",tbl_Finance[Xero Invoice No],"&lt;&gt;"),LOOKUP(2,1/((tbl_Finance[Job Number]=C427&amp;"")*(tbl_Finance[Xero Invoice No]&lt;&gt;"")),tbl_Finance[Xero Invoice No]),LOOKUP(2,1/((tbl_Finance[Job Number]=C427&amp;"")*(tbl_Finance[Xero Invoice No]&lt;&gt;"")),tbl_Finance[Xero Invoice No])&amp;" +more"),"")))</f>
        <v/>
      </c>
      <c r="C427" s="24" t="n"/>
      <c r="D427" s="25">
        <f>IF(C427="","",IF(COUNTIF(lst_Jobs,C427&amp;"")&gt;0,"OK","CHECK"))</f>
        <v/>
      </c>
      <c r="E427" s="25">
        <f>IF(C427="","",IFERROR(INDEX(lst_JobName,MATCH(C427&amp;"",lst_Jobs,0)),""))</f>
        <v/>
      </c>
      <c r="F427" s="25">
        <f>IF(C427="","",IFERROR(INDEX(tbl_Finance[Client],MATCH(C427&amp;"",tbl_Finance[Job Number],0)),""))</f>
        <v/>
      </c>
      <c r="G427" s="28">
        <f>IF(C427="","",COUNTIFS(tbl_Finance[Job Number],C427&amp;"",tbl_Finance[Ex GST],"&lt;&gt;"))</f>
        <v/>
      </c>
      <c r="H427" s="27">
        <f>IF(C427="","",SUMIFS(tbl_Finance[Ex GST],tbl_Finance[Job Number],C427&amp;""))</f>
        <v/>
      </c>
      <c r="I427" s="27">
        <f>IF(C427="","",SUMIFS(tbl_Finance[Ex GST],tbl_Finance[Job Number],C427&amp;"",tbl_Finance[Xero Invoice No],"&lt;&gt;"))</f>
        <v/>
      </c>
      <c r="J427" s="27">
        <f>IF(C427="","",H427-I427)</f>
        <v/>
      </c>
      <c r="K427" s="25">
        <f>IF(C427="","",IF(G427=0,"not invoiced yet",SUBSTITUTE(TRIM(IF(COUNTIFS(tbl_Finance[Job Number],C427&amp;"",tbl_Finance[Cost Centre],"ONSITE")&gt;0,"ONSITE ","")&amp;IF(COUNTIFS(tbl_Finance[Job Number],C427&amp;"",tbl_Finance[Cost Centre],"PRODUCTION")&gt;0,"PRODUCTION ","")&amp;IF(COUNTIFS(tbl_Finance[Job Number],C427&amp;"",tbl_Finance[Cost Centre],"VIDEO")&gt;0,"VIDEO ","")&amp;IF(COUNTIFS(tbl_Finance[Job Number],C427&amp;"",tbl_Finance[Cost Centre],"INTEGRATION")&gt;0,"INTEGRATION ","")&amp;IF(COUNTIFS(tbl_Finance[Job Number],C427&amp;"",tbl_Finance[Cost Centre],"CONSULTING")&gt;0,"CONSULTING ","")&amp;IF(COUNTIFS(tbl_Finance[Job Number],C427&amp;"",tbl_Finance[Cost Centre],"CTS")&gt;0,"CTS ",""))," ",", ")))</f>
        <v/>
      </c>
      <c r="L427" s="22" t="n"/>
      <c r="M427" s="24" t="n"/>
      <c r="N427" s="25">
        <f>IF(M427="","",IF(AND(LEFT(M427,4)&lt;&gt;"http",set_RMSBase=""),"",HYPERLINK(IF(LEFT(M427,4)="http",M427,set_RMSBase&amp;M427),"Open opportunity")))</f>
        <v/>
      </c>
      <c r="O427" s="25">
        <f>IF(C427="","",C427)</f>
        <v/>
      </c>
      <c r="P427" s="24" t="n"/>
      <c r="Q427" s="26" t="n"/>
      <c r="R427" s="27">
        <f>IF(C427="","",H427+N(Q427))</f>
        <v/>
      </c>
      <c r="S427" s="29">
        <f>IFERROR(Q427/R427,"")</f>
        <v/>
      </c>
      <c r="T427" s="26" t="n"/>
      <c r="U427" s="26" t="n"/>
      <c r="V427" s="27">
        <f>IF(C427="","",N(T427)+N(U427))</f>
        <v/>
      </c>
      <c r="W427" s="27">
        <f>IF(C427="","",H427-V427)</f>
        <v/>
      </c>
      <c r="X427" s="29">
        <f>IFERROR(W427/H427,"")</f>
        <v/>
      </c>
      <c r="Y427" s="64" t="n"/>
      <c r="Z427" s="64" t="n"/>
      <c r="AA427" s="64" t="n"/>
      <c r="AB427" s="64" t="n"/>
      <c r="AC427" s="64" t="n"/>
      <c r="AD427" s="24" t="n"/>
    </row>
    <row r="428" ht="15" customHeight="1">
      <c r="A428" s="63">
        <f>IF(C428="","",IFERROR(IF(SUMPRODUCT(MAX((tbl_Finance[Job Number]=C428&amp;"")*(tbl_Finance[Xero Invoice No]&lt;&gt;"")*tbl_Finance[Date]))=0,"",SUMPRODUCT(MAX((tbl_Finance[Job Number]=C428&amp;"")*(tbl_Finance[Xero Invoice No]&lt;&gt;"")*tbl_Finance[Date]))),""))</f>
        <v/>
      </c>
      <c r="B428" s="25">
        <f>IF(C428="","",IF(COUNTIFS(tbl_Finance[Job Number],C428&amp;"",tbl_Finance[Xero Invoice No],"&lt;&gt;")=0,"",IFERROR(IF(COUNTIFS(tbl_Finance[Job Number],C428&amp;"",tbl_Finance[Xero Invoice No],LOOKUP(2,1/((tbl_Finance[Job Number]=C428&amp;"")*(tbl_Finance[Xero Invoice No]&lt;&gt;"")),tbl_Finance[Xero Invoice No]))=COUNTIFS(tbl_Finance[Job Number],C428&amp;"",tbl_Finance[Xero Invoice No],"&lt;&gt;"),LOOKUP(2,1/((tbl_Finance[Job Number]=C428&amp;"")*(tbl_Finance[Xero Invoice No]&lt;&gt;"")),tbl_Finance[Xero Invoice No]),LOOKUP(2,1/((tbl_Finance[Job Number]=C428&amp;"")*(tbl_Finance[Xero Invoice No]&lt;&gt;"")),tbl_Finance[Xero Invoice No])&amp;" +more"),"")))</f>
        <v/>
      </c>
      <c r="C428" s="24" t="n"/>
      <c r="D428" s="25">
        <f>IF(C428="","",IF(COUNTIF(lst_Jobs,C428&amp;"")&gt;0,"OK","CHECK"))</f>
        <v/>
      </c>
      <c r="E428" s="25">
        <f>IF(C428="","",IFERROR(INDEX(lst_JobName,MATCH(C428&amp;"",lst_Jobs,0)),""))</f>
        <v/>
      </c>
      <c r="F428" s="25">
        <f>IF(C428="","",IFERROR(INDEX(tbl_Finance[Client],MATCH(C428&amp;"",tbl_Finance[Job Number],0)),""))</f>
        <v/>
      </c>
      <c r="G428" s="28">
        <f>IF(C428="","",COUNTIFS(tbl_Finance[Job Number],C428&amp;"",tbl_Finance[Ex GST],"&lt;&gt;"))</f>
        <v/>
      </c>
      <c r="H428" s="27">
        <f>IF(C428="","",SUMIFS(tbl_Finance[Ex GST],tbl_Finance[Job Number],C428&amp;""))</f>
        <v/>
      </c>
      <c r="I428" s="27">
        <f>IF(C428="","",SUMIFS(tbl_Finance[Ex GST],tbl_Finance[Job Number],C428&amp;"",tbl_Finance[Xero Invoice No],"&lt;&gt;"))</f>
        <v/>
      </c>
      <c r="J428" s="27">
        <f>IF(C428="","",H428-I428)</f>
        <v/>
      </c>
      <c r="K428" s="25">
        <f>IF(C428="","",IF(G428=0,"not invoiced yet",SUBSTITUTE(TRIM(IF(COUNTIFS(tbl_Finance[Job Number],C428&amp;"",tbl_Finance[Cost Centre],"ONSITE")&gt;0,"ONSITE ","")&amp;IF(COUNTIFS(tbl_Finance[Job Number],C428&amp;"",tbl_Finance[Cost Centre],"PRODUCTION")&gt;0,"PRODUCTION ","")&amp;IF(COUNTIFS(tbl_Finance[Job Number],C428&amp;"",tbl_Finance[Cost Centre],"VIDEO")&gt;0,"VIDEO ","")&amp;IF(COUNTIFS(tbl_Finance[Job Number],C428&amp;"",tbl_Finance[Cost Centre],"INTEGRATION")&gt;0,"INTEGRATION ","")&amp;IF(COUNTIFS(tbl_Finance[Job Number],C428&amp;"",tbl_Finance[Cost Centre],"CONSULTING")&gt;0,"CONSULTING ","")&amp;IF(COUNTIFS(tbl_Finance[Job Number],C428&amp;"",tbl_Finance[Cost Centre],"CTS")&gt;0,"CTS ",""))," ",", ")))</f>
        <v/>
      </c>
      <c r="L428" s="22" t="n"/>
      <c r="M428" s="24" t="n"/>
      <c r="N428" s="25">
        <f>IF(M428="","",IF(AND(LEFT(M428,4)&lt;&gt;"http",set_RMSBase=""),"",HYPERLINK(IF(LEFT(M428,4)="http",M428,set_RMSBase&amp;M428),"Open opportunity")))</f>
        <v/>
      </c>
      <c r="O428" s="25">
        <f>IF(C428="","",C428)</f>
        <v/>
      </c>
      <c r="P428" s="24" t="n"/>
      <c r="Q428" s="26" t="n"/>
      <c r="R428" s="27">
        <f>IF(C428="","",H428+N(Q428))</f>
        <v/>
      </c>
      <c r="S428" s="29">
        <f>IFERROR(Q428/R428,"")</f>
        <v/>
      </c>
      <c r="T428" s="26" t="n"/>
      <c r="U428" s="26" t="n"/>
      <c r="V428" s="27">
        <f>IF(C428="","",N(T428)+N(U428))</f>
        <v/>
      </c>
      <c r="W428" s="27">
        <f>IF(C428="","",H428-V428)</f>
        <v/>
      </c>
      <c r="X428" s="29">
        <f>IFERROR(W428/H428,"")</f>
        <v/>
      </c>
      <c r="Y428" s="64" t="n"/>
      <c r="Z428" s="64" t="n"/>
      <c r="AA428" s="64" t="n"/>
      <c r="AB428" s="64" t="n"/>
      <c r="AC428" s="64" t="n"/>
      <c r="AD428" s="24" t="n"/>
    </row>
    <row r="429" ht="15" customHeight="1">
      <c r="A429" s="63">
        <f>IF(C429="","",IFERROR(IF(SUMPRODUCT(MAX((tbl_Finance[Job Number]=C429&amp;"")*(tbl_Finance[Xero Invoice No]&lt;&gt;"")*tbl_Finance[Date]))=0,"",SUMPRODUCT(MAX((tbl_Finance[Job Number]=C429&amp;"")*(tbl_Finance[Xero Invoice No]&lt;&gt;"")*tbl_Finance[Date]))),""))</f>
        <v/>
      </c>
      <c r="B429" s="25">
        <f>IF(C429="","",IF(COUNTIFS(tbl_Finance[Job Number],C429&amp;"",tbl_Finance[Xero Invoice No],"&lt;&gt;")=0,"",IFERROR(IF(COUNTIFS(tbl_Finance[Job Number],C429&amp;"",tbl_Finance[Xero Invoice No],LOOKUP(2,1/((tbl_Finance[Job Number]=C429&amp;"")*(tbl_Finance[Xero Invoice No]&lt;&gt;"")),tbl_Finance[Xero Invoice No]))=COUNTIFS(tbl_Finance[Job Number],C429&amp;"",tbl_Finance[Xero Invoice No],"&lt;&gt;"),LOOKUP(2,1/((tbl_Finance[Job Number]=C429&amp;"")*(tbl_Finance[Xero Invoice No]&lt;&gt;"")),tbl_Finance[Xero Invoice No]),LOOKUP(2,1/((tbl_Finance[Job Number]=C429&amp;"")*(tbl_Finance[Xero Invoice No]&lt;&gt;"")),tbl_Finance[Xero Invoice No])&amp;" +more"),"")))</f>
        <v/>
      </c>
      <c r="C429" s="24" t="n"/>
      <c r="D429" s="25">
        <f>IF(C429="","",IF(COUNTIF(lst_Jobs,C429&amp;"")&gt;0,"OK","CHECK"))</f>
        <v/>
      </c>
      <c r="E429" s="25">
        <f>IF(C429="","",IFERROR(INDEX(lst_JobName,MATCH(C429&amp;"",lst_Jobs,0)),""))</f>
        <v/>
      </c>
      <c r="F429" s="25">
        <f>IF(C429="","",IFERROR(INDEX(tbl_Finance[Client],MATCH(C429&amp;"",tbl_Finance[Job Number],0)),""))</f>
        <v/>
      </c>
      <c r="G429" s="28">
        <f>IF(C429="","",COUNTIFS(tbl_Finance[Job Number],C429&amp;"",tbl_Finance[Ex GST],"&lt;&gt;"))</f>
        <v/>
      </c>
      <c r="H429" s="27">
        <f>IF(C429="","",SUMIFS(tbl_Finance[Ex GST],tbl_Finance[Job Number],C429&amp;""))</f>
        <v/>
      </c>
      <c r="I429" s="27">
        <f>IF(C429="","",SUMIFS(tbl_Finance[Ex GST],tbl_Finance[Job Number],C429&amp;"",tbl_Finance[Xero Invoice No],"&lt;&gt;"))</f>
        <v/>
      </c>
      <c r="J429" s="27">
        <f>IF(C429="","",H429-I429)</f>
        <v/>
      </c>
      <c r="K429" s="25">
        <f>IF(C429="","",IF(G429=0,"not invoiced yet",SUBSTITUTE(TRIM(IF(COUNTIFS(tbl_Finance[Job Number],C429&amp;"",tbl_Finance[Cost Centre],"ONSITE")&gt;0,"ONSITE ","")&amp;IF(COUNTIFS(tbl_Finance[Job Number],C429&amp;"",tbl_Finance[Cost Centre],"PRODUCTION")&gt;0,"PRODUCTION ","")&amp;IF(COUNTIFS(tbl_Finance[Job Number],C429&amp;"",tbl_Finance[Cost Centre],"VIDEO")&gt;0,"VIDEO ","")&amp;IF(COUNTIFS(tbl_Finance[Job Number],C429&amp;"",tbl_Finance[Cost Centre],"INTEGRATION")&gt;0,"INTEGRATION ","")&amp;IF(COUNTIFS(tbl_Finance[Job Number],C429&amp;"",tbl_Finance[Cost Centre],"CONSULTING")&gt;0,"CONSULTING ","")&amp;IF(COUNTIFS(tbl_Finance[Job Number],C429&amp;"",tbl_Finance[Cost Centre],"CTS")&gt;0,"CTS ",""))," ",", ")))</f>
        <v/>
      </c>
      <c r="L429" s="22" t="n"/>
      <c r="M429" s="24" t="n"/>
      <c r="N429" s="25">
        <f>IF(M429="","",IF(AND(LEFT(M429,4)&lt;&gt;"http",set_RMSBase=""),"",HYPERLINK(IF(LEFT(M429,4)="http",M429,set_RMSBase&amp;M429),"Open opportunity")))</f>
        <v/>
      </c>
      <c r="O429" s="25">
        <f>IF(C429="","",C429)</f>
        <v/>
      </c>
      <c r="P429" s="24" t="n"/>
      <c r="Q429" s="26" t="n"/>
      <c r="R429" s="27">
        <f>IF(C429="","",H429+N(Q429))</f>
        <v/>
      </c>
      <c r="S429" s="29">
        <f>IFERROR(Q429/R429,"")</f>
        <v/>
      </c>
      <c r="T429" s="26" t="n"/>
      <c r="U429" s="26" t="n"/>
      <c r="V429" s="27">
        <f>IF(C429="","",N(T429)+N(U429))</f>
        <v/>
      </c>
      <c r="W429" s="27">
        <f>IF(C429="","",H429-V429)</f>
        <v/>
      </c>
      <c r="X429" s="29">
        <f>IFERROR(W429/H429,"")</f>
        <v/>
      </c>
      <c r="Y429" s="64" t="n"/>
      <c r="Z429" s="64" t="n"/>
      <c r="AA429" s="64" t="n"/>
      <c r="AB429" s="64" t="n"/>
      <c r="AC429" s="64" t="n"/>
      <c r="AD429" s="24" t="n"/>
    </row>
    <row r="430" ht="15" customHeight="1">
      <c r="A430" s="63">
        <f>IF(C430="","",IFERROR(IF(SUMPRODUCT(MAX((tbl_Finance[Job Number]=C430&amp;"")*(tbl_Finance[Xero Invoice No]&lt;&gt;"")*tbl_Finance[Date]))=0,"",SUMPRODUCT(MAX((tbl_Finance[Job Number]=C430&amp;"")*(tbl_Finance[Xero Invoice No]&lt;&gt;"")*tbl_Finance[Date]))),""))</f>
        <v/>
      </c>
      <c r="B430" s="25">
        <f>IF(C430="","",IF(COUNTIFS(tbl_Finance[Job Number],C430&amp;"",tbl_Finance[Xero Invoice No],"&lt;&gt;")=0,"",IFERROR(IF(COUNTIFS(tbl_Finance[Job Number],C430&amp;"",tbl_Finance[Xero Invoice No],LOOKUP(2,1/((tbl_Finance[Job Number]=C430&amp;"")*(tbl_Finance[Xero Invoice No]&lt;&gt;"")),tbl_Finance[Xero Invoice No]))=COUNTIFS(tbl_Finance[Job Number],C430&amp;"",tbl_Finance[Xero Invoice No],"&lt;&gt;"),LOOKUP(2,1/((tbl_Finance[Job Number]=C430&amp;"")*(tbl_Finance[Xero Invoice No]&lt;&gt;"")),tbl_Finance[Xero Invoice No]),LOOKUP(2,1/((tbl_Finance[Job Number]=C430&amp;"")*(tbl_Finance[Xero Invoice No]&lt;&gt;"")),tbl_Finance[Xero Invoice No])&amp;" +more"),"")))</f>
        <v/>
      </c>
      <c r="C430" s="24" t="n"/>
      <c r="D430" s="25">
        <f>IF(C430="","",IF(COUNTIF(lst_Jobs,C430&amp;"")&gt;0,"OK","CHECK"))</f>
        <v/>
      </c>
      <c r="E430" s="25">
        <f>IF(C430="","",IFERROR(INDEX(lst_JobName,MATCH(C430&amp;"",lst_Jobs,0)),""))</f>
        <v/>
      </c>
      <c r="F430" s="25">
        <f>IF(C430="","",IFERROR(INDEX(tbl_Finance[Client],MATCH(C430&amp;"",tbl_Finance[Job Number],0)),""))</f>
        <v/>
      </c>
      <c r="G430" s="28">
        <f>IF(C430="","",COUNTIFS(tbl_Finance[Job Number],C430&amp;"",tbl_Finance[Ex GST],"&lt;&gt;"))</f>
        <v/>
      </c>
      <c r="H430" s="27">
        <f>IF(C430="","",SUMIFS(tbl_Finance[Ex GST],tbl_Finance[Job Number],C430&amp;""))</f>
        <v/>
      </c>
      <c r="I430" s="27">
        <f>IF(C430="","",SUMIFS(tbl_Finance[Ex GST],tbl_Finance[Job Number],C430&amp;"",tbl_Finance[Xero Invoice No],"&lt;&gt;"))</f>
        <v/>
      </c>
      <c r="J430" s="27">
        <f>IF(C430="","",H430-I430)</f>
        <v/>
      </c>
      <c r="K430" s="25">
        <f>IF(C430="","",IF(G430=0,"not invoiced yet",SUBSTITUTE(TRIM(IF(COUNTIFS(tbl_Finance[Job Number],C430&amp;"",tbl_Finance[Cost Centre],"ONSITE")&gt;0,"ONSITE ","")&amp;IF(COUNTIFS(tbl_Finance[Job Number],C430&amp;"",tbl_Finance[Cost Centre],"PRODUCTION")&gt;0,"PRODUCTION ","")&amp;IF(COUNTIFS(tbl_Finance[Job Number],C430&amp;"",tbl_Finance[Cost Centre],"VIDEO")&gt;0,"VIDEO ","")&amp;IF(COUNTIFS(tbl_Finance[Job Number],C430&amp;"",tbl_Finance[Cost Centre],"INTEGRATION")&gt;0,"INTEGRATION ","")&amp;IF(COUNTIFS(tbl_Finance[Job Number],C430&amp;"",tbl_Finance[Cost Centre],"CONSULTING")&gt;0,"CONSULTING ","")&amp;IF(COUNTIFS(tbl_Finance[Job Number],C430&amp;"",tbl_Finance[Cost Centre],"CTS")&gt;0,"CTS ",""))," ",", ")))</f>
        <v/>
      </c>
      <c r="L430" s="22" t="n"/>
      <c r="M430" s="24" t="n"/>
      <c r="N430" s="25">
        <f>IF(M430="","",IF(AND(LEFT(M430,4)&lt;&gt;"http",set_RMSBase=""),"",HYPERLINK(IF(LEFT(M430,4)="http",M430,set_RMSBase&amp;M430),"Open opportunity")))</f>
        <v/>
      </c>
      <c r="O430" s="25">
        <f>IF(C430="","",C430)</f>
        <v/>
      </c>
      <c r="P430" s="24" t="n"/>
      <c r="Q430" s="26" t="n"/>
      <c r="R430" s="27">
        <f>IF(C430="","",H430+N(Q430))</f>
        <v/>
      </c>
      <c r="S430" s="29">
        <f>IFERROR(Q430/R430,"")</f>
        <v/>
      </c>
      <c r="T430" s="26" t="n"/>
      <c r="U430" s="26" t="n"/>
      <c r="V430" s="27">
        <f>IF(C430="","",N(T430)+N(U430))</f>
        <v/>
      </c>
      <c r="W430" s="27">
        <f>IF(C430="","",H430-V430)</f>
        <v/>
      </c>
      <c r="X430" s="29">
        <f>IFERROR(W430/H430,"")</f>
        <v/>
      </c>
      <c r="Y430" s="64" t="n"/>
      <c r="Z430" s="64" t="n"/>
      <c r="AA430" s="64" t="n"/>
      <c r="AB430" s="64" t="n"/>
      <c r="AC430" s="64" t="n"/>
      <c r="AD430" s="24" t="n"/>
    </row>
    <row r="431" ht="15" customHeight="1">
      <c r="A431" s="63">
        <f>IF(C431="","",IFERROR(IF(SUMPRODUCT(MAX((tbl_Finance[Job Number]=C431&amp;"")*(tbl_Finance[Xero Invoice No]&lt;&gt;"")*tbl_Finance[Date]))=0,"",SUMPRODUCT(MAX((tbl_Finance[Job Number]=C431&amp;"")*(tbl_Finance[Xero Invoice No]&lt;&gt;"")*tbl_Finance[Date]))),""))</f>
        <v/>
      </c>
      <c r="B431" s="25">
        <f>IF(C431="","",IF(COUNTIFS(tbl_Finance[Job Number],C431&amp;"",tbl_Finance[Xero Invoice No],"&lt;&gt;")=0,"",IFERROR(IF(COUNTIFS(tbl_Finance[Job Number],C431&amp;"",tbl_Finance[Xero Invoice No],LOOKUP(2,1/((tbl_Finance[Job Number]=C431&amp;"")*(tbl_Finance[Xero Invoice No]&lt;&gt;"")),tbl_Finance[Xero Invoice No]))=COUNTIFS(tbl_Finance[Job Number],C431&amp;"",tbl_Finance[Xero Invoice No],"&lt;&gt;"),LOOKUP(2,1/((tbl_Finance[Job Number]=C431&amp;"")*(tbl_Finance[Xero Invoice No]&lt;&gt;"")),tbl_Finance[Xero Invoice No]),LOOKUP(2,1/((tbl_Finance[Job Number]=C431&amp;"")*(tbl_Finance[Xero Invoice No]&lt;&gt;"")),tbl_Finance[Xero Invoice No])&amp;" +more"),"")))</f>
        <v/>
      </c>
      <c r="C431" s="24" t="n"/>
      <c r="D431" s="25">
        <f>IF(C431="","",IF(COUNTIF(lst_Jobs,C431&amp;"")&gt;0,"OK","CHECK"))</f>
        <v/>
      </c>
      <c r="E431" s="25">
        <f>IF(C431="","",IFERROR(INDEX(lst_JobName,MATCH(C431&amp;"",lst_Jobs,0)),""))</f>
        <v/>
      </c>
      <c r="F431" s="25">
        <f>IF(C431="","",IFERROR(INDEX(tbl_Finance[Client],MATCH(C431&amp;"",tbl_Finance[Job Number],0)),""))</f>
        <v/>
      </c>
      <c r="G431" s="28">
        <f>IF(C431="","",COUNTIFS(tbl_Finance[Job Number],C431&amp;"",tbl_Finance[Ex GST],"&lt;&gt;"))</f>
        <v/>
      </c>
      <c r="H431" s="27">
        <f>IF(C431="","",SUMIFS(tbl_Finance[Ex GST],tbl_Finance[Job Number],C431&amp;""))</f>
        <v/>
      </c>
      <c r="I431" s="27">
        <f>IF(C431="","",SUMIFS(tbl_Finance[Ex GST],tbl_Finance[Job Number],C431&amp;"",tbl_Finance[Xero Invoice No],"&lt;&gt;"))</f>
        <v/>
      </c>
      <c r="J431" s="27">
        <f>IF(C431="","",H431-I431)</f>
        <v/>
      </c>
      <c r="K431" s="25">
        <f>IF(C431="","",IF(G431=0,"not invoiced yet",SUBSTITUTE(TRIM(IF(COUNTIFS(tbl_Finance[Job Number],C431&amp;"",tbl_Finance[Cost Centre],"ONSITE")&gt;0,"ONSITE ","")&amp;IF(COUNTIFS(tbl_Finance[Job Number],C431&amp;"",tbl_Finance[Cost Centre],"PRODUCTION")&gt;0,"PRODUCTION ","")&amp;IF(COUNTIFS(tbl_Finance[Job Number],C431&amp;"",tbl_Finance[Cost Centre],"VIDEO")&gt;0,"VIDEO ","")&amp;IF(COUNTIFS(tbl_Finance[Job Number],C431&amp;"",tbl_Finance[Cost Centre],"INTEGRATION")&gt;0,"INTEGRATION ","")&amp;IF(COUNTIFS(tbl_Finance[Job Number],C431&amp;"",tbl_Finance[Cost Centre],"CONSULTING")&gt;0,"CONSULTING ","")&amp;IF(COUNTIFS(tbl_Finance[Job Number],C431&amp;"",tbl_Finance[Cost Centre],"CTS")&gt;0,"CTS ",""))," ",", ")))</f>
        <v/>
      </c>
      <c r="L431" s="22" t="n"/>
      <c r="M431" s="24" t="n"/>
      <c r="N431" s="25">
        <f>IF(M431="","",IF(AND(LEFT(M431,4)&lt;&gt;"http",set_RMSBase=""),"",HYPERLINK(IF(LEFT(M431,4)="http",M431,set_RMSBase&amp;M431),"Open opportunity")))</f>
        <v/>
      </c>
      <c r="O431" s="25">
        <f>IF(C431="","",C431)</f>
        <v/>
      </c>
      <c r="P431" s="24" t="n"/>
      <c r="Q431" s="26" t="n"/>
      <c r="R431" s="27">
        <f>IF(C431="","",H431+N(Q431))</f>
        <v/>
      </c>
      <c r="S431" s="29">
        <f>IFERROR(Q431/R431,"")</f>
        <v/>
      </c>
      <c r="T431" s="26" t="n"/>
      <c r="U431" s="26" t="n"/>
      <c r="V431" s="27">
        <f>IF(C431="","",N(T431)+N(U431))</f>
        <v/>
      </c>
      <c r="W431" s="27">
        <f>IF(C431="","",H431-V431)</f>
        <v/>
      </c>
      <c r="X431" s="29">
        <f>IFERROR(W431/H431,"")</f>
        <v/>
      </c>
      <c r="Y431" s="64" t="n"/>
      <c r="Z431" s="64" t="n"/>
      <c r="AA431" s="64" t="n"/>
      <c r="AB431" s="64" t="n"/>
      <c r="AC431" s="64" t="n"/>
      <c r="AD431" s="24" t="n"/>
    </row>
    <row r="432" ht="15" customHeight="1">
      <c r="A432" s="63">
        <f>IF(C432="","",IFERROR(IF(SUMPRODUCT(MAX((tbl_Finance[Job Number]=C432&amp;"")*(tbl_Finance[Xero Invoice No]&lt;&gt;"")*tbl_Finance[Date]))=0,"",SUMPRODUCT(MAX((tbl_Finance[Job Number]=C432&amp;"")*(tbl_Finance[Xero Invoice No]&lt;&gt;"")*tbl_Finance[Date]))),""))</f>
        <v/>
      </c>
      <c r="B432" s="25">
        <f>IF(C432="","",IF(COUNTIFS(tbl_Finance[Job Number],C432&amp;"",tbl_Finance[Xero Invoice No],"&lt;&gt;")=0,"",IFERROR(IF(COUNTIFS(tbl_Finance[Job Number],C432&amp;"",tbl_Finance[Xero Invoice No],LOOKUP(2,1/((tbl_Finance[Job Number]=C432&amp;"")*(tbl_Finance[Xero Invoice No]&lt;&gt;"")),tbl_Finance[Xero Invoice No]))=COUNTIFS(tbl_Finance[Job Number],C432&amp;"",tbl_Finance[Xero Invoice No],"&lt;&gt;"),LOOKUP(2,1/((tbl_Finance[Job Number]=C432&amp;"")*(tbl_Finance[Xero Invoice No]&lt;&gt;"")),tbl_Finance[Xero Invoice No]),LOOKUP(2,1/((tbl_Finance[Job Number]=C432&amp;"")*(tbl_Finance[Xero Invoice No]&lt;&gt;"")),tbl_Finance[Xero Invoice No])&amp;" +more"),"")))</f>
        <v/>
      </c>
      <c r="C432" s="24" t="n"/>
      <c r="D432" s="25">
        <f>IF(C432="","",IF(COUNTIF(lst_Jobs,C432&amp;"")&gt;0,"OK","CHECK"))</f>
        <v/>
      </c>
      <c r="E432" s="25">
        <f>IF(C432="","",IFERROR(INDEX(lst_JobName,MATCH(C432&amp;"",lst_Jobs,0)),""))</f>
        <v/>
      </c>
      <c r="F432" s="25">
        <f>IF(C432="","",IFERROR(INDEX(tbl_Finance[Client],MATCH(C432&amp;"",tbl_Finance[Job Number],0)),""))</f>
        <v/>
      </c>
      <c r="G432" s="28">
        <f>IF(C432="","",COUNTIFS(tbl_Finance[Job Number],C432&amp;"",tbl_Finance[Ex GST],"&lt;&gt;"))</f>
        <v/>
      </c>
      <c r="H432" s="27">
        <f>IF(C432="","",SUMIFS(tbl_Finance[Ex GST],tbl_Finance[Job Number],C432&amp;""))</f>
        <v/>
      </c>
      <c r="I432" s="27">
        <f>IF(C432="","",SUMIFS(tbl_Finance[Ex GST],tbl_Finance[Job Number],C432&amp;"",tbl_Finance[Xero Invoice No],"&lt;&gt;"))</f>
        <v/>
      </c>
      <c r="J432" s="27">
        <f>IF(C432="","",H432-I432)</f>
        <v/>
      </c>
      <c r="K432" s="25">
        <f>IF(C432="","",IF(G432=0,"not invoiced yet",SUBSTITUTE(TRIM(IF(COUNTIFS(tbl_Finance[Job Number],C432&amp;"",tbl_Finance[Cost Centre],"ONSITE")&gt;0,"ONSITE ","")&amp;IF(COUNTIFS(tbl_Finance[Job Number],C432&amp;"",tbl_Finance[Cost Centre],"PRODUCTION")&gt;0,"PRODUCTION ","")&amp;IF(COUNTIFS(tbl_Finance[Job Number],C432&amp;"",tbl_Finance[Cost Centre],"VIDEO")&gt;0,"VIDEO ","")&amp;IF(COUNTIFS(tbl_Finance[Job Number],C432&amp;"",tbl_Finance[Cost Centre],"INTEGRATION")&gt;0,"INTEGRATION ","")&amp;IF(COUNTIFS(tbl_Finance[Job Number],C432&amp;"",tbl_Finance[Cost Centre],"CONSULTING")&gt;0,"CONSULTING ","")&amp;IF(COUNTIFS(tbl_Finance[Job Number],C432&amp;"",tbl_Finance[Cost Centre],"CTS")&gt;0,"CTS ",""))," ",", ")))</f>
        <v/>
      </c>
      <c r="L432" s="22" t="n"/>
      <c r="M432" s="24" t="n"/>
      <c r="N432" s="25">
        <f>IF(M432="","",IF(AND(LEFT(M432,4)&lt;&gt;"http",set_RMSBase=""),"",HYPERLINK(IF(LEFT(M432,4)="http",M432,set_RMSBase&amp;M432),"Open opportunity")))</f>
        <v/>
      </c>
      <c r="O432" s="25">
        <f>IF(C432="","",C432)</f>
        <v/>
      </c>
      <c r="P432" s="24" t="n"/>
      <c r="Q432" s="26" t="n"/>
      <c r="R432" s="27">
        <f>IF(C432="","",H432+N(Q432))</f>
        <v/>
      </c>
      <c r="S432" s="29">
        <f>IFERROR(Q432/R432,"")</f>
        <v/>
      </c>
      <c r="T432" s="26" t="n"/>
      <c r="U432" s="26" t="n"/>
      <c r="V432" s="27">
        <f>IF(C432="","",N(T432)+N(U432))</f>
        <v/>
      </c>
      <c r="W432" s="27">
        <f>IF(C432="","",H432-V432)</f>
        <v/>
      </c>
      <c r="X432" s="29">
        <f>IFERROR(W432/H432,"")</f>
        <v/>
      </c>
      <c r="Y432" s="64" t="n"/>
      <c r="Z432" s="64" t="n"/>
      <c r="AA432" s="64" t="n"/>
      <c r="AB432" s="64" t="n"/>
      <c r="AC432" s="64" t="n"/>
      <c r="AD432" s="24" t="n"/>
    </row>
    <row r="433" ht="15" customHeight="1">
      <c r="A433" s="63">
        <f>IF(C433="","",IFERROR(IF(SUMPRODUCT(MAX((tbl_Finance[Job Number]=C433&amp;"")*(tbl_Finance[Xero Invoice No]&lt;&gt;"")*tbl_Finance[Date]))=0,"",SUMPRODUCT(MAX((tbl_Finance[Job Number]=C433&amp;"")*(tbl_Finance[Xero Invoice No]&lt;&gt;"")*tbl_Finance[Date]))),""))</f>
        <v/>
      </c>
      <c r="B433" s="25">
        <f>IF(C433="","",IF(COUNTIFS(tbl_Finance[Job Number],C433&amp;"",tbl_Finance[Xero Invoice No],"&lt;&gt;")=0,"",IFERROR(IF(COUNTIFS(tbl_Finance[Job Number],C433&amp;"",tbl_Finance[Xero Invoice No],LOOKUP(2,1/((tbl_Finance[Job Number]=C433&amp;"")*(tbl_Finance[Xero Invoice No]&lt;&gt;"")),tbl_Finance[Xero Invoice No]))=COUNTIFS(tbl_Finance[Job Number],C433&amp;"",tbl_Finance[Xero Invoice No],"&lt;&gt;"),LOOKUP(2,1/((tbl_Finance[Job Number]=C433&amp;"")*(tbl_Finance[Xero Invoice No]&lt;&gt;"")),tbl_Finance[Xero Invoice No]),LOOKUP(2,1/((tbl_Finance[Job Number]=C433&amp;"")*(tbl_Finance[Xero Invoice No]&lt;&gt;"")),tbl_Finance[Xero Invoice No])&amp;" +more"),"")))</f>
        <v/>
      </c>
      <c r="C433" s="24" t="n"/>
      <c r="D433" s="25">
        <f>IF(C433="","",IF(COUNTIF(lst_Jobs,C433&amp;"")&gt;0,"OK","CHECK"))</f>
        <v/>
      </c>
      <c r="E433" s="25">
        <f>IF(C433="","",IFERROR(INDEX(lst_JobName,MATCH(C433&amp;"",lst_Jobs,0)),""))</f>
        <v/>
      </c>
      <c r="F433" s="25">
        <f>IF(C433="","",IFERROR(INDEX(tbl_Finance[Client],MATCH(C433&amp;"",tbl_Finance[Job Number],0)),""))</f>
        <v/>
      </c>
      <c r="G433" s="28">
        <f>IF(C433="","",COUNTIFS(tbl_Finance[Job Number],C433&amp;"",tbl_Finance[Ex GST],"&lt;&gt;"))</f>
        <v/>
      </c>
      <c r="H433" s="27">
        <f>IF(C433="","",SUMIFS(tbl_Finance[Ex GST],tbl_Finance[Job Number],C433&amp;""))</f>
        <v/>
      </c>
      <c r="I433" s="27">
        <f>IF(C433="","",SUMIFS(tbl_Finance[Ex GST],tbl_Finance[Job Number],C433&amp;"",tbl_Finance[Xero Invoice No],"&lt;&gt;"))</f>
        <v/>
      </c>
      <c r="J433" s="27">
        <f>IF(C433="","",H433-I433)</f>
        <v/>
      </c>
      <c r="K433" s="25">
        <f>IF(C433="","",IF(G433=0,"not invoiced yet",SUBSTITUTE(TRIM(IF(COUNTIFS(tbl_Finance[Job Number],C433&amp;"",tbl_Finance[Cost Centre],"ONSITE")&gt;0,"ONSITE ","")&amp;IF(COUNTIFS(tbl_Finance[Job Number],C433&amp;"",tbl_Finance[Cost Centre],"PRODUCTION")&gt;0,"PRODUCTION ","")&amp;IF(COUNTIFS(tbl_Finance[Job Number],C433&amp;"",tbl_Finance[Cost Centre],"VIDEO")&gt;0,"VIDEO ","")&amp;IF(COUNTIFS(tbl_Finance[Job Number],C433&amp;"",tbl_Finance[Cost Centre],"INTEGRATION")&gt;0,"INTEGRATION ","")&amp;IF(COUNTIFS(tbl_Finance[Job Number],C433&amp;"",tbl_Finance[Cost Centre],"CONSULTING")&gt;0,"CONSULTING ","")&amp;IF(COUNTIFS(tbl_Finance[Job Number],C433&amp;"",tbl_Finance[Cost Centre],"CTS")&gt;0,"CTS ",""))," ",", ")))</f>
        <v/>
      </c>
      <c r="L433" s="22" t="n"/>
      <c r="M433" s="24" t="n"/>
      <c r="N433" s="25">
        <f>IF(M433="","",IF(AND(LEFT(M433,4)&lt;&gt;"http",set_RMSBase=""),"",HYPERLINK(IF(LEFT(M433,4)="http",M433,set_RMSBase&amp;M433),"Open opportunity")))</f>
        <v/>
      </c>
      <c r="O433" s="25">
        <f>IF(C433="","",C433)</f>
        <v/>
      </c>
      <c r="P433" s="24" t="n"/>
      <c r="Q433" s="26" t="n"/>
      <c r="R433" s="27">
        <f>IF(C433="","",H433+N(Q433))</f>
        <v/>
      </c>
      <c r="S433" s="29">
        <f>IFERROR(Q433/R433,"")</f>
        <v/>
      </c>
      <c r="T433" s="26" t="n"/>
      <c r="U433" s="26" t="n"/>
      <c r="V433" s="27">
        <f>IF(C433="","",N(T433)+N(U433))</f>
        <v/>
      </c>
      <c r="W433" s="27">
        <f>IF(C433="","",H433-V433)</f>
        <v/>
      </c>
      <c r="X433" s="29">
        <f>IFERROR(W433/H433,"")</f>
        <v/>
      </c>
      <c r="Y433" s="64" t="n"/>
      <c r="Z433" s="64" t="n"/>
      <c r="AA433" s="64" t="n"/>
      <c r="AB433" s="64" t="n"/>
      <c r="AC433" s="64" t="n"/>
      <c r="AD433" s="24" t="n"/>
    </row>
    <row r="434" ht="15" customHeight="1">
      <c r="A434" s="63">
        <f>IF(C434="","",IFERROR(IF(SUMPRODUCT(MAX((tbl_Finance[Job Number]=C434&amp;"")*(tbl_Finance[Xero Invoice No]&lt;&gt;"")*tbl_Finance[Date]))=0,"",SUMPRODUCT(MAX((tbl_Finance[Job Number]=C434&amp;"")*(tbl_Finance[Xero Invoice No]&lt;&gt;"")*tbl_Finance[Date]))),""))</f>
        <v/>
      </c>
      <c r="B434" s="25">
        <f>IF(C434="","",IF(COUNTIFS(tbl_Finance[Job Number],C434&amp;"",tbl_Finance[Xero Invoice No],"&lt;&gt;")=0,"",IFERROR(IF(COUNTIFS(tbl_Finance[Job Number],C434&amp;"",tbl_Finance[Xero Invoice No],LOOKUP(2,1/((tbl_Finance[Job Number]=C434&amp;"")*(tbl_Finance[Xero Invoice No]&lt;&gt;"")),tbl_Finance[Xero Invoice No]))=COUNTIFS(tbl_Finance[Job Number],C434&amp;"",tbl_Finance[Xero Invoice No],"&lt;&gt;"),LOOKUP(2,1/((tbl_Finance[Job Number]=C434&amp;"")*(tbl_Finance[Xero Invoice No]&lt;&gt;"")),tbl_Finance[Xero Invoice No]),LOOKUP(2,1/((tbl_Finance[Job Number]=C434&amp;"")*(tbl_Finance[Xero Invoice No]&lt;&gt;"")),tbl_Finance[Xero Invoice No])&amp;" +more"),"")))</f>
        <v/>
      </c>
      <c r="C434" s="24" t="n"/>
      <c r="D434" s="25">
        <f>IF(C434="","",IF(COUNTIF(lst_Jobs,C434&amp;"")&gt;0,"OK","CHECK"))</f>
        <v/>
      </c>
      <c r="E434" s="25">
        <f>IF(C434="","",IFERROR(INDEX(lst_JobName,MATCH(C434&amp;"",lst_Jobs,0)),""))</f>
        <v/>
      </c>
      <c r="F434" s="25">
        <f>IF(C434="","",IFERROR(INDEX(tbl_Finance[Client],MATCH(C434&amp;"",tbl_Finance[Job Number],0)),""))</f>
        <v/>
      </c>
      <c r="G434" s="28">
        <f>IF(C434="","",COUNTIFS(tbl_Finance[Job Number],C434&amp;"",tbl_Finance[Ex GST],"&lt;&gt;"))</f>
        <v/>
      </c>
      <c r="H434" s="27">
        <f>IF(C434="","",SUMIFS(tbl_Finance[Ex GST],tbl_Finance[Job Number],C434&amp;""))</f>
        <v/>
      </c>
      <c r="I434" s="27">
        <f>IF(C434="","",SUMIFS(tbl_Finance[Ex GST],tbl_Finance[Job Number],C434&amp;"",tbl_Finance[Xero Invoice No],"&lt;&gt;"))</f>
        <v/>
      </c>
      <c r="J434" s="27">
        <f>IF(C434="","",H434-I434)</f>
        <v/>
      </c>
      <c r="K434" s="25">
        <f>IF(C434="","",IF(G434=0,"not invoiced yet",SUBSTITUTE(TRIM(IF(COUNTIFS(tbl_Finance[Job Number],C434&amp;"",tbl_Finance[Cost Centre],"ONSITE")&gt;0,"ONSITE ","")&amp;IF(COUNTIFS(tbl_Finance[Job Number],C434&amp;"",tbl_Finance[Cost Centre],"PRODUCTION")&gt;0,"PRODUCTION ","")&amp;IF(COUNTIFS(tbl_Finance[Job Number],C434&amp;"",tbl_Finance[Cost Centre],"VIDEO")&gt;0,"VIDEO ","")&amp;IF(COUNTIFS(tbl_Finance[Job Number],C434&amp;"",tbl_Finance[Cost Centre],"INTEGRATION")&gt;0,"INTEGRATION ","")&amp;IF(COUNTIFS(tbl_Finance[Job Number],C434&amp;"",tbl_Finance[Cost Centre],"CONSULTING")&gt;0,"CONSULTING ","")&amp;IF(COUNTIFS(tbl_Finance[Job Number],C434&amp;"",tbl_Finance[Cost Centre],"CTS")&gt;0,"CTS ",""))," ",", ")))</f>
        <v/>
      </c>
      <c r="L434" s="22" t="n"/>
      <c r="M434" s="24" t="n"/>
      <c r="N434" s="25">
        <f>IF(M434="","",IF(AND(LEFT(M434,4)&lt;&gt;"http",set_RMSBase=""),"",HYPERLINK(IF(LEFT(M434,4)="http",M434,set_RMSBase&amp;M434),"Open opportunity")))</f>
        <v/>
      </c>
      <c r="O434" s="25">
        <f>IF(C434="","",C434)</f>
        <v/>
      </c>
      <c r="P434" s="24" t="n"/>
      <c r="Q434" s="26" t="n"/>
      <c r="R434" s="27">
        <f>IF(C434="","",H434+N(Q434))</f>
        <v/>
      </c>
      <c r="S434" s="29">
        <f>IFERROR(Q434/R434,"")</f>
        <v/>
      </c>
      <c r="T434" s="26" t="n"/>
      <c r="U434" s="26" t="n"/>
      <c r="V434" s="27">
        <f>IF(C434="","",N(T434)+N(U434))</f>
        <v/>
      </c>
      <c r="W434" s="27">
        <f>IF(C434="","",H434-V434)</f>
        <v/>
      </c>
      <c r="X434" s="29">
        <f>IFERROR(W434/H434,"")</f>
        <v/>
      </c>
      <c r="Y434" s="64" t="n"/>
      <c r="Z434" s="64" t="n"/>
      <c r="AA434" s="64" t="n"/>
      <c r="AB434" s="64" t="n"/>
      <c r="AC434" s="64" t="n"/>
      <c r="AD434" s="24" t="n"/>
    </row>
    <row r="435" ht="15" customHeight="1">
      <c r="A435" s="63">
        <f>IF(C435="","",IFERROR(IF(SUMPRODUCT(MAX((tbl_Finance[Job Number]=C435&amp;"")*(tbl_Finance[Xero Invoice No]&lt;&gt;"")*tbl_Finance[Date]))=0,"",SUMPRODUCT(MAX((tbl_Finance[Job Number]=C435&amp;"")*(tbl_Finance[Xero Invoice No]&lt;&gt;"")*tbl_Finance[Date]))),""))</f>
        <v/>
      </c>
      <c r="B435" s="25">
        <f>IF(C435="","",IF(COUNTIFS(tbl_Finance[Job Number],C435&amp;"",tbl_Finance[Xero Invoice No],"&lt;&gt;")=0,"",IFERROR(IF(COUNTIFS(tbl_Finance[Job Number],C435&amp;"",tbl_Finance[Xero Invoice No],LOOKUP(2,1/((tbl_Finance[Job Number]=C435&amp;"")*(tbl_Finance[Xero Invoice No]&lt;&gt;"")),tbl_Finance[Xero Invoice No]))=COUNTIFS(tbl_Finance[Job Number],C435&amp;"",tbl_Finance[Xero Invoice No],"&lt;&gt;"),LOOKUP(2,1/((tbl_Finance[Job Number]=C435&amp;"")*(tbl_Finance[Xero Invoice No]&lt;&gt;"")),tbl_Finance[Xero Invoice No]),LOOKUP(2,1/((tbl_Finance[Job Number]=C435&amp;"")*(tbl_Finance[Xero Invoice No]&lt;&gt;"")),tbl_Finance[Xero Invoice No])&amp;" +more"),"")))</f>
        <v/>
      </c>
      <c r="C435" s="24" t="n"/>
      <c r="D435" s="25">
        <f>IF(C435="","",IF(COUNTIF(lst_Jobs,C435&amp;"")&gt;0,"OK","CHECK"))</f>
        <v/>
      </c>
      <c r="E435" s="25">
        <f>IF(C435="","",IFERROR(INDEX(lst_JobName,MATCH(C435&amp;"",lst_Jobs,0)),""))</f>
        <v/>
      </c>
      <c r="F435" s="25">
        <f>IF(C435="","",IFERROR(INDEX(tbl_Finance[Client],MATCH(C435&amp;"",tbl_Finance[Job Number],0)),""))</f>
        <v/>
      </c>
      <c r="G435" s="28">
        <f>IF(C435="","",COUNTIFS(tbl_Finance[Job Number],C435&amp;"",tbl_Finance[Ex GST],"&lt;&gt;"))</f>
        <v/>
      </c>
      <c r="H435" s="27">
        <f>IF(C435="","",SUMIFS(tbl_Finance[Ex GST],tbl_Finance[Job Number],C435&amp;""))</f>
        <v/>
      </c>
      <c r="I435" s="27">
        <f>IF(C435="","",SUMIFS(tbl_Finance[Ex GST],tbl_Finance[Job Number],C435&amp;"",tbl_Finance[Xero Invoice No],"&lt;&gt;"))</f>
        <v/>
      </c>
      <c r="J435" s="27">
        <f>IF(C435="","",H435-I435)</f>
        <v/>
      </c>
      <c r="K435" s="25">
        <f>IF(C435="","",IF(G435=0,"not invoiced yet",SUBSTITUTE(TRIM(IF(COUNTIFS(tbl_Finance[Job Number],C435&amp;"",tbl_Finance[Cost Centre],"ONSITE")&gt;0,"ONSITE ","")&amp;IF(COUNTIFS(tbl_Finance[Job Number],C435&amp;"",tbl_Finance[Cost Centre],"PRODUCTION")&gt;0,"PRODUCTION ","")&amp;IF(COUNTIFS(tbl_Finance[Job Number],C435&amp;"",tbl_Finance[Cost Centre],"VIDEO")&gt;0,"VIDEO ","")&amp;IF(COUNTIFS(tbl_Finance[Job Number],C435&amp;"",tbl_Finance[Cost Centre],"INTEGRATION")&gt;0,"INTEGRATION ","")&amp;IF(COUNTIFS(tbl_Finance[Job Number],C435&amp;"",tbl_Finance[Cost Centre],"CONSULTING")&gt;0,"CONSULTING ","")&amp;IF(COUNTIFS(tbl_Finance[Job Number],C435&amp;"",tbl_Finance[Cost Centre],"CTS")&gt;0,"CTS ",""))," ",", ")))</f>
        <v/>
      </c>
      <c r="L435" s="22" t="n"/>
      <c r="M435" s="24" t="n"/>
      <c r="N435" s="25">
        <f>IF(M435="","",IF(AND(LEFT(M435,4)&lt;&gt;"http",set_RMSBase=""),"",HYPERLINK(IF(LEFT(M435,4)="http",M435,set_RMSBase&amp;M435),"Open opportunity")))</f>
        <v/>
      </c>
      <c r="O435" s="25">
        <f>IF(C435="","",C435)</f>
        <v/>
      </c>
      <c r="P435" s="24" t="n"/>
      <c r="Q435" s="26" t="n"/>
      <c r="R435" s="27">
        <f>IF(C435="","",H435+N(Q435))</f>
        <v/>
      </c>
      <c r="S435" s="29">
        <f>IFERROR(Q435/R435,"")</f>
        <v/>
      </c>
      <c r="T435" s="26" t="n"/>
      <c r="U435" s="26" t="n"/>
      <c r="V435" s="27">
        <f>IF(C435="","",N(T435)+N(U435))</f>
        <v/>
      </c>
      <c r="W435" s="27">
        <f>IF(C435="","",H435-V435)</f>
        <v/>
      </c>
      <c r="X435" s="29">
        <f>IFERROR(W435/H435,"")</f>
        <v/>
      </c>
      <c r="Y435" s="64" t="n"/>
      <c r="Z435" s="64" t="n"/>
      <c r="AA435" s="64" t="n"/>
      <c r="AB435" s="64" t="n"/>
      <c r="AC435" s="64" t="n"/>
      <c r="AD435" s="24" t="n"/>
    </row>
    <row r="436" ht="15" customHeight="1">
      <c r="A436" s="63">
        <f>IF(C436="","",IFERROR(IF(SUMPRODUCT(MAX((tbl_Finance[Job Number]=C436&amp;"")*(tbl_Finance[Xero Invoice No]&lt;&gt;"")*tbl_Finance[Date]))=0,"",SUMPRODUCT(MAX((tbl_Finance[Job Number]=C436&amp;"")*(tbl_Finance[Xero Invoice No]&lt;&gt;"")*tbl_Finance[Date]))),""))</f>
        <v/>
      </c>
      <c r="B436" s="25">
        <f>IF(C436="","",IF(COUNTIFS(tbl_Finance[Job Number],C436&amp;"",tbl_Finance[Xero Invoice No],"&lt;&gt;")=0,"",IFERROR(IF(COUNTIFS(tbl_Finance[Job Number],C436&amp;"",tbl_Finance[Xero Invoice No],LOOKUP(2,1/((tbl_Finance[Job Number]=C436&amp;"")*(tbl_Finance[Xero Invoice No]&lt;&gt;"")),tbl_Finance[Xero Invoice No]))=COUNTIFS(tbl_Finance[Job Number],C436&amp;"",tbl_Finance[Xero Invoice No],"&lt;&gt;"),LOOKUP(2,1/((tbl_Finance[Job Number]=C436&amp;"")*(tbl_Finance[Xero Invoice No]&lt;&gt;"")),tbl_Finance[Xero Invoice No]),LOOKUP(2,1/((tbl_Finance[Job Number]=C436&amp;"")*(tbl_Finance[Xero Invoice No]&lt;&gt;"")),tbl_Finance[Xero Invoice No])&amp;" +more"),"")))</f>
        <v/>
      </c>
      <c r="C436" s="24" t="n"/>
      <c r="D436" s="25">
        <f>IF(C436="","",IF(COUNTIF(lst_Jobs,C436&amp;"")&gt;0,"OK","CHECK"))</f>
        <v/>
      </c>
      <c r="E436" s="25">
        <f>IF(C436="","",IFERROR(INDEX(lst_JobName,MATCH(C436&amp;"",lst_Jobs,0)),""))</f>
        <v/>
      </c>
      <c r="F436" s="25">
        <f>IF(C436="","",IFERROR(INDEX(tbl_Finance[Client],MATCH(C436&amp;"",tbl_Finance[Job Number],0)),""))</f>
        <v/>
      </c>
      <c r="G436" s="28">
        <f>IF(C436="","",COUNTIFS(tbl_Finance[Job Number],C436&amp;"",tbl_Finance[Ex GST],"&lt;&gt;"))</f>
        <v/>
      </c>
      <c r="H436" s="27">
        <f>IF(C436="","",SUMIFS(tbl_Finance[Ex GST],tbl_Finance[Job Number],C436&amp;""))</f>
        <v/>
      </c>
      <c r="I436" s="27">
        <f>IF(C436="","",SUMIFS(tbl_Finance[Ex GST],tbl_Finance[Job Number],C436&amp;"",tbl_Finance[Xero Invoice No],"&lt;&gt;"))</f>
        <v/>
      </c>
      <c r="J436" s="27">
        <f>IF(C436="","",H436-I436)</f>
        <v/>
      </c>
      <c r="K436" s="25">
        <f>IF(C436="","",IF(G436=0,"not invoiced yet",SUBSTITUTE(TRIM(IF(COUNTIFS(tbl_Finance[Job Number],C436&amp;"",tbl_Finance[Cost Centre],"ONSITE")&gt;0,"ONSITE ","")&amp;IF(COUNTIFS(tbl_Finance[Job Number],C436&amp;"",tbl_Finance[Cost Centre],"PRODUCTION")&gt;0,"PRODUCTION ","")&amp;IF(COUNTIFS(tbl_Finance[Job Number],C436&amp;"",tbl_Finance[Cost Centre],"VIDEO")&gt;0,"VIDEO ","")&amp;IF(COUNTIFS(tbl_Finance[Job Number],C436&amp;"",tbl_Finance[Cost Centre],"INTEGRATION")&gt;0,"INTEGRATION ","")&amp;IF(COUNTIFS(tbl_Finance[Job Number],C436&amp;"",tbl_Finance[Cost Centre],"CONSULTING")&gt;0,"CONSULTING ","")&amp;IF(COUNTIFS(tbl_Finance[Job Number],C436&amp;"",tbl_Finance[Cost Centre],"CTS")&gt;0,"CTS ",""))," ",", ")))</f>
        <v/>
      </c>
      <c r="L436" s="22" t="n"/>
      <c r="M436" s="24" t="n"/>
      <c r="N436" s="25">
        <f>IF(M436="","",IF(AND(LEFT(M436,4)&lt;&gt;"http",set_RMSBase=""),"",HYPERLINK(IF(LEFT(M436,4)="http",M436,set_RMSBase&amp;M436),"Open opportunity")))</f>
        <v/>
      </c>
      <c r="O436" s="25">
        <f>IF(C436="","",C436)</f>
        <v/>
      </c>
      <c r="P436" s="24" t="n"/>
      <c r="Q436" s="26" t="n"/>
      <c r="R436" s="27">
        <f>IF(C436="","",H436+N(Q436))</f>
        <v/>
      </c>
      <c r="S436" s="29">
        <f>IFERROR(Q436/R436,"")</f>
        <v/>
      </c>
      <c r="T436" s="26" t="n"/>
      <c r="U436" s="26" t="n"/>
      <c r="V436" s="27">
        <f>IF(C436="","",N(T436)+N(U436))</f>
        <v/>
      </c>
      <c r="W436" s="27">
        <f>IF(C436="","",H436-V436)</f>
        <v/>
      </c>
      <c r="X436" s="29">
        <f>IFERROR(W436/H436,"")</f>
        <v/>
      </c>
      <c r="Y436" s="64" t="n"/>
      <c r="Z436" s="64" t="n"/>
      <c r="AA436" s="64" t="n"/>
      <c r="AB436" s="64" t="n"/>
      <c r="AC436" s="64" t="n"/>
      <c r="AD436" s="24" t="n"/>
    </row>
    <row r="437" ht="15" customHeight="1">
      <c r="A437" s="63">
        <f>IF(C437="","",IFERROR(IF(SUMPRODUCT(MAX((tbl_Finance[Job Number]=C437&amp;"")*(tbl_Finance[Xero Invoice No]&lt;&gt;"")*tbl_Finance[Date]))=0,"",SUMPRODUCT(MAX((tbl_Finance[Job Number]=C437&amp;"")*(tbl_Finance[Xero Invoice No]&lt;&gt;"")*tbl_Finance[Date]))),""))</f>
        <v/>
      </c>
      <c r="B437" s="25">
        <f>IF(C437="","",IF(COUNTIFS(tbl_Finance[Job Number],C437&amp;"",tbl_Finance[Xero Invoice No],"&lt;&gt;")=0,"",IFERROR(IF(COUNTIFS(tbl_Finance[Job Number],C437&amp;"",tbl_Finance[Xero Invoice No],LOOKUP(2,1/((tbl_Finance[Job Number]=C437&amp;"")*(tbl_Finance[Xero Invoice No]&lt;&gt;"")),tbl_Finance[Xero Invoice No]))=COUNTIFS(tbl_Finance[Job Number],C437&amp;"",tbl_Finance[Xero Invoice No],"&lt;&gt;"),LOOKUP(2,1/((tbl_Finance[Job Number]=C437&amp;"")*(tbl_Finance[Xero Invoice No]&lt;&gt;"")),tbl_Finance[Xero Invoice No]),LOOKUP(2,1/((tbl_Finance[Job Number]=C437&amp;"")*(tbl_Finance[Xero Invoice No]&lt;&gt;"")),tbl_Finance[Xero Invoice No])&amp;" +more"),"")))</f>
        <v/>
      </c>
      <c r="C437" s="24" t="n"/>
      <c r="D437" s="25">
        <f>IF(C437="","",IF(COUNTIF(lst_Jobs,C437&amp;"")&gt;0,"OK","CHECK"))</f>
        <v/>
      </c>
      <c r="E437" s="25">
        <f>IF(C437="","",IFERROR(INDEX(lst_JobName,MATCH(C437&amp;"",lst_Jobs,0)),""))</f>
        <v/>
      </c>
      <c r="F437" s="25">
        <f>IF(C437="","",IFERROR(INDEX(tbl_Finance[Client],MATCH(C437&amp;"",tbl_Finance[Job Number],0)),""))</f>
        <v/>
      </c>
      <c r="G437" s="28">
        <f>IF(C437="","",COUNTIFS(tbl_Finance[Job Number],C437&amp;"",tbl_Finance[Ex GST],"&lt;&gt;"))</f>
        <v/>
      </c>
      <c r="H437" s="27">
        <f>IF(C437="","",SUMIFS(tbl_Finance[Ex GST],tbl_Finance[Job Number],C437&amp;""))</f>
        <v/>
      </c>
      <c r="I437" s="27">
        <f>IF(C437="","",SUMIFS(tbl_Finance[Ex GST],tbl_Finance[Job Number],C437&amp;"",tbl_Finance[Xero Invoice No],"&lt;&gt;"))</f>
        <v/>
      </c>
      <c r="J437" s="27">
        <f>IF(C437="","",H437-I437)</f>
        <v/>
      </c>
      <c r="K437" s="25">
        <f>IF(C437="","",IF(G437=0,"not invoiced yet",SUBSTITUTE(TRIM(IF(COUNTIFS(tbl_Finance[Job Number],C437&amp;"",tbl_Finance[Cost Centre],"ONSITE")&gt;0,"ONSITE ","")&amp;IF(COUNTIFS(tbl_Finance[Job Number],C437&amp;"",tbl_Finance[Cost Centre],"PRODUCTION")&gt;0,"PRODUCTION ","")&amp;IF(COUNTIFS(tbl_Finance[Job Number],C437&amp;"",tbl_Finance[Cost Centre],"VIDEO")&gt;0,"VIDEO ","")&amp;IF(COUNTIFS(tbl_Finance[Job Number],C437&amp;"",tbl_Finance[Cost Centre],"INTEGRATION")&gt;0,"INTEGRATION ","")&amp;IF(COUNTIFS(tbl_Finance[Job Number],C437&amp;"",tbl_Finance[Cost Centre],"CONSULTING")&gt;0,"CONSULTING ","")&amp;IF(COUNTIFS(tbl_Finance[Job Number],C437&amp;"",tbl_Finance[Cost Centre],"CTS")&gt;0,"CTS ",""))," ",", ")))</f>
        <v/>
      </c>
      <c r="L437" s="22" t="n"/>
      <c r="M437" s="24" t="n"/>
      <c r="N437" s="25">
        <f>IF(M437="","",IF(AND(LEFT(M437,4)&lt;&gt;"http",set_RMSBase=""),"",HYPERLINK(IF(LEFT(M437,4)="http",M437,set_RMSBase&amp;M437),"Open opportunity")))</f>
        <v/>
      </c>
      <c r="O437" s="25">
        <f>IF(C437="","",C437)</f>
        <v/>
      </c>
      <c r="P437" s="24" t="n"/>
      <c r="Q437" s="26" t="n"/>
      <c r="R437" s="27">
        <f>IF(C437="","",H437+N(Q437))</f>
        <v/>
      </c>
      <c r="S437" s="29">
        <f>IFERROR(Q437/R437,"")</f>
        <v/>
      </c>
      <c r="T437" s="26" t="n"/>
      <c r="U437" s="26" t="n"/>
      <c r="V437" s="27">
        <f>IF(C437="","",N(T437)+N(U437))</f>
        <v/>
      </c>
      <c r="W437" s="27">
        <f>IF(C437="","",H437-V437)</f>
        <v/>
      </c>
      <c r="X437" s="29">
        <f>IFERROR(W437/H437,"")</f>
        <v/>
      </c>
      <c r="Y437" s="64" t="n"/>
      <c r="Z437" s="64" t="n"/>
      <c r="AA437" s="64" t="n"/>
      <c r="AB437" s="64" t="n"/>
      <c r="AC437" s="64" t="n"/>
      <c r="AD437" s="24" t="n"/>
    </row>
    <row r="438" ht="15" customHeight="1">
      <c r="A438" s="63">
        <f>IF(C438="","",IFERROR(IF(SUMPRODUCT(MAX((tbl_Finance[Job Number]=C438&amp;"")*(tbl_Finance[Xero Invoice No]&lt;&gt;"")*tbl_Finance[Date]))=0,"",SUMPRODUCT(MAX((tbl_Finance[Job Number]=C438&amp;"")*(tbl_Finance[Xero Invoice No]&lt;&gt;"")*tbl_Finance[Date]))),""))</f>
        <v/>
      </c>
      <c r="B438" s="25">
        <f>IF(C438="","",IF(COUNTIFS(tbl_Finance[Job Number],C438&amp;"",tbl_Finance[Xero Invoice No],"&lt;&gt;")=0,"",IFERROR(IF(COUNTIFS(tbl_Finance[Job Number],C438&amp;"",tbl_Finance[Xero Invoice No],LOOKUP(2,1/((tbl_Finance[Job Number]=C438&amp;"")*(tbl_Finance[Xero Invoice No]&lt;&gt;"")),tbl_Finance[Xero Invoice No]))=COUNTIFS(tbl_Finance[Job Number],C438&amp;"",tbl_Finance[Xero Invoice No],"&lt;&gt;"),LOOKUP(2,1/((tbl_Finance[Job Number]=C438&amp;"")*(tbl_Finance[Xero Invoice No]&lt;&gt;"")),tbl_Finance[Xero Invoice No]),LOOKUP(2,1/((tbl_Finance[Job Number]=C438&amp;"")*(tbl_Finance[Xero Invoice No]&lt;&gt;"")),tbl_Finance[Xero Invoice No])&amp;" +more"),"")))</f>
        <v/>
      </c>
      <c r="C438" s="24" t="n"/>
      <c r="D438" s="25">
        <f>IF(C438="","",IF(COUNTIF(lst_Jobs,C438&amp;"")&gt;0,"OK","CHECK"))</f>
        <v/>
      </c>
      <c r="E438" s="25">
        <f>IF(C438="","",IFERROR(INDEX(lst_JobName,MATCH(C438&amp;"",lst_Jobs,0)),""))</f>
        <v/>
      </c>
      <c r="F438" s="25">
        <f>IF(C438="","",IFERROR(INDEX(tbl_Finance[Client],MATCH(C438&amp;"",tbl_Finance[Job Number],0)),""))</f>
        <v/>
      </c>
      <c r="G438" s="28">
        <f>IF(C438="","",COUNTIFS(tbl_Finance[Job Number],C438&amp;"",tbl_Finance[Ex GST],"&lt;&gt;"))</f>
        <v/>
      </c>
      <c r="H438" s="27">
        <f>IF(C438="","",SUMIFS(tbl_Finance[Ex GST],tbl_Finance[Job Number],C438&amp;""))</f>
        <v/>
      </c>
      <c r="I438" s="27">
        <f>IF(C438="","",SUMIFS(tbl_Finance[Ex GST],tbl_Finance[Job Number],C438&amp;"",tbl_Finance[Xero Invoice No],"&lt;&gt;"))</f>
        <v/>
      </c>
      <c r="J438" s="27">
        <f>IF(C438="","",H438-I438)</f>
        <v/>
      </c>
      <c r="K438" s="25">
        <f>IF(C438="","",IF(G438=0,"not invoiced yet",SUBSTITUTE(TRIM(IF(COUNTIFS(tbl_Finance[Job Number],C438&amp;"",tbl_Finance[Cost Centre],"ONSITE")&gt;0,"ONSITE ","")&amp;IF(COUNTIFS(tbl_Finance[Job Number],C438&amp;"",tbl_Finance[Cost Centre],"PRODUCTION")&gt;0,"PRODUCTION ","")&amp;IF(COUNTIFS(tbl_Finance[Job Number],C438&amp;"",tbl_Finance[Cost Centre],"VIDEO")&gt;0,"VIDEO ","")&amp;IF(COUNTIFS(tbl_Finance[Job Number],C438&amp;"",tbl_Finance[Cost Centre],"INTEGRATION")&gt;0,"INTEGRATION ","")&amp;IF(COUNTIFS(tbl_Finance[Job Number],C438&amp;"",tbl_Finance[Cost Centre],"CONSULTING")&gt;0,"CONSULTING ","")&amp;IF(COUNTIFS(tbl_Finance[Job Number],C438&amp;"",tbl_Finance[Cost Centre],"CTS")&gt;0,"CTS ",""))," ",", ")))</f>
        <v/>
      </c>
      <c r="L438" s="22" t="n"/>
      <c r="M438" s="24" t="n"/>
      <c r="N438" s="25">
        <f>IF(M438="","",IF(AND(LEFT(M438,4)&lt;&gt;"http",set_RMSBase=""),"",HYPERLINK(IF(LEFT(M438,4)="http",M438,set_RMSBase&amp;M438),"Open opportunity")))</f>
        <v/>
      </c>
      <c r="O438" s="25">
        <f>IF(C438="","",C438)</f>
        <v/>
      </c>
      <c r="P438" s="24" t="n"/>
      <c r="Q438" s="26" t="n"/>
      <c r="R438" s="27">
        <f>IF(C438="","",H438+N(Q438))</f>
        <v/>
      </c>
      <c r="S438" s="29">
        <f>IFERROR(Q438/R438,"")</f>
        <v/>
      </c>
      <c r="T438" s="26" t="n"/>
      <c r="U438" s="26" t="n"/>
      <c r="V438" s="27">
        <f>IF(C438="","",N(T438)+N(U438))</f>
        <v/>
      </c>
      <c r="W438" s="27">
        <f>IF(C438="","",H438-V438)</f>
        <v/>
      </c>
      <c r="X438" s="29">
        <f>IFERROR(W438/H438,"")</f>
        <v/>
      </c>
      <c r="Y438" s="64" t="n"/>
      <c r="Z438" s="64" t="n"/>
      <c r="AA438" s="64" t="n"/>
      <c r="AB438" s="64" t="n"/>
      <c r="AC438" s="64" t="n"/>
      <c r="AD438" s="24" t="n"/>
    </row>
    <row r="439" ht="15" customHeight="1">
      <c r="A439" s="63">
        <f>IF(C439="","",IFERROR(IF(SUMPRODUCT(MAX((tbl_Finance[Job Number]=C439&amp;"")*(tbl_Finance[Xero Invoice No]&lt;&gt;"")*tbl_Finance[Date]))=0,"",SUMPRODUCT(MAX((tbl_Finance[Job Number]=C439&amp;"")*(tbl_Finance[Xero Invoice No]&lt;&gt;"")*tbl_Finance[Date]))),""))</f>
        <v/>
      </c>
      <c r="B439" s="25">
        <f>IF(C439="","",IF(COUNTIFS(tbl_Finance[Job Number],C439&amp;"",tbl_Finance[Xero Invoice No],"&lt;&gt;")=0,"",IFERROR(IF(COUNTIFS(tbl_Finance[Job Number],C439&amp;"",tbl_Finance[Xero Invoice No],LOOKUP(2,1/((tbl_Finance[Job Number]=C439&amp;"")*(tbl_Finance[Xero Invoice No]&lt;&gt;"")),tbl_Finance[Xero Invoice No]))=COUNTIFS(tbl_Finance[Job Number],C439&amp;"",tbl_Finance[Xero Invoice No],"&lt;&gt;"),LOOKUP(2,1/((tbl_Finance[Job Number]=C439&amp;"")*(tbl_Finance[Xero Invoice No]&lt;&gt;"")),tbl_Finance[Xero Invoice No]),LOOKUP(2,1/((tbl_Finance[Job Number]=C439&amp;"")*(tbl_Finance[Xero Invoice No]&lt;&gt;"")),tbl_Finance[Xero Invoice No])&amp;" +more"),"")))</f>
        <v/>
      </c>
      <c r="C439" s="24" t="n"/>
      <c r="D439" s="25">
        <f>IF(C439="","",IF(COUNTIF(lst_Jobs,C439&amp;"")&gt;0,"OK","CHECK"))</f>
        <v/>
      </c>
      <c r="E439" s="25">
        <f>IF(C439="","",IFERROR(INDEX(lst_JobName,MATCH(C439&amp;"",lst_Jobs,0)),""))</f>
        <v/>
      </c>
      <c r="F439" s="25">
        <f>IF(C439="","",IFERROR(INDEX(tbl_Finance[Client],MATCH(C439&amp;"",tbl_Finance[Job Number],0)),""))</f>
        <v/>
      </c>
      <c r="G439" s="28">
        <f>IF(C439="","",COUNTIFS(tbl_Finance[Job Number],C439&amp;"",tbl_Finance[Ex GST],"&lt;&gt;"))</f>
        <v/>
      </c>
      <c r="H439" s="27">
        <f>IF(C439="","",SUMIFS(tbl_Finance[Ex GST],tbl_Finance[Job Number],C439&amp;""))</f>
        <v/>
      </c>
      <c r="I439" s="27">
        <f>IF(C439="","",SUMIFS(tbl_Finance[Ex GST],tbl_Finance[Job Number],C439&amp;"",tbl_Finance[Xero Invoice No],"&lt;&gt;"))</f>
        <v/>
      </c>
      <c r="J439" s="27">
        <f>IF(C439="","",H439-I439)</f>
        <v/>
      </c>
      <c r="K439" s="25">
        <f>IF(C439="","",IF(G439=0,"not invoiced yet",SUBSTITUTE(TRIM(IF(COUNTIFS(tbl_Finance[Job Number],C439&amp;"",tbl_Finance[Cost Centre],"ONSITE")&gt;0,"ONSITE ","")&amp;IF(COUNTIFS(tbl_Finance[Job Number],C439&amp;"",tbl_Finance[Cost Centre],"PRODUCTION")&gt;0,"PRODUCTION ","")&amp;IF(COUNTIFS(tbl_Finance[Job Number],C439&amp;"",tbl_Finance[Cost Centre],"VIDEO")&gt;0,"VIDEO ","")&amp;IF(COUNTIFS(tbl_Finance[Job Number],C439&amp;"",tbl_Finance[Cost Centre],"INTEGRATION")&gt;0,"INTEGRATION ","")&amp;IF(COUNTIFS(tbl_Finance[Job Number],C439&amp;"",tbl_Finance[Cost Centre],"CONSULTING")&gt;0,"CONSULTING ","")&amp;IF(COUNTIFS(tbl_Finance[Job Number],C439&amp;"",tbl_Finance[Cost Centre],"CTS")&gt;0,"CTS ",""))," ",", ")))</f>
        <v/>
      </c>
      <c r="L439" s="22" t="n"/>
      <c r="M439" s="24" t="n"/>
      <c r="N439" s="25">
        <f>IF(M439="","",IF(AND(LEFT(M439,4)&lt;&gt;"http",set_RMSBase=""),"",HYPERLINK(IF(LEFT(M439,4)="http",M439,set_RMSBase&amp;M439),"Open opportunity")))</f>
        <v/>
      </c>
      <c r="O439" s="25">
        <f>IF(C439="","",C439)</f>
        <v/>
      </c>
      <c r="P439" s="24" t="n"/>
      <c r="Q439" s="26" t="n"/>
      <c r="R439" s="27">
        <f>IF(C439="","",H439+N(Q439))</f>
        <v/>
      </c>
      <c r="S439" s="29">
        <f>IFERROR(Q439/R439,"")</f>
        <v/>
      </c>
      <c r="T439" s="26" t="n"/>
      <c r="U439" s="26" t="n"/>
      <c r="V439" s="27">
        <f>IF(C439="","",N(T439)+N(U439))</f>
        <v/>
      </c>
      <c r="W439" s="27">
        <f>IF(C439="","",H439-V439)</f>
        <v/>
      </c>
      <c r="X439" s="29">
        <f>IFERROR(W439/H439,"")</f>
        <v/>
      </c>
      <c r="Y439" s="64" t="n"/>
      <c r="Z439" s="64" t="n"/>
      <c r="AA439" s="64" t="n"/>
      <c r="AB439" s="64" t="n"/>
      <c r="AC439" s="64" t="n"/>
      <c r="AD439" s="24" t="n"/>
    </row>
    <row r="440" ht="15" customHeight="1">
      <c r="A440" s="63">
        <f>IF(C440="","",IFERROR(IF(SUMPRODUCT(MAX((tbl_Finance[Job Number]=C440&amp;"")*(tbl_Finance[Xero Invoice No]&lt;&gt;"")*tbl_Finance[Date]))=0,"",SUMPRODUCT(MAX((tbl_Finance[Job Number]=C440&amp;"")*(tbl_Finance[Xero Invoice No]&lt;&gt;"")*tbl_Finance[Date]))),""))</f>
        <v/>
      </c>
      <c r="B440" s="25">
        <f>IF(C440="","",IF(COUNTIFS(tbl_Finance[Job Number],C440&amp;"",tbl_Finance[Xero Invoice No],"&lt;&gt;")=0,"",IFERROR(IF(COUNTIFS(tbl_Finance[Job Number],C440&amp;"",tbl_Finance[Xero Invoice No],LOOKUP(2,1/((tbl_Finance[Job Number]=C440&amp;"")*(tbl_Finance[Xero Invoice No]&lt;&gt;"")),tbl_Finance[Xero Invoice No]))=COUNTIFS(tbl_Finance[Job Number],C440&amp;"",tbl_Finance[Xero Invoice No],"&lt;&gt;"),LOOKUP(2,1/((tbl_Finance[Job Number]=C440&amp;"")*(tbl_Finance[Xero Invoice No]&lt;&gt;"")),tbl_Finance[Xero Invoice No]),LOOKUP(2,1/((tbl_Finance[Job Number]=C440&amp;"")*(tbl_Finance[Xero Invoice No]&lt;&gt;"")),tbl_Finance[Xero Invoice No])&amp;" +more"),"")))</f>
        <v/>
      </c>
      <c r="C440" s="24" t="n"/>
      <c r="D440" s="25">
        <f>IF(C440="","",IF(COUNTIF(lst_Jobs,C440&amp;"")&gt;0,"OK","CHECK"))</f>
        <v/>
      </c>
      <c r="E440" s="25">
        <f>IF(C440="","",IFERROR(INDEX(lst_JobName,MATCH(C440&amp;"",lst_Jobs,0)),""))</f>
        <v/>
      </c>
      <c r="F440" s="25">
        <f>IF(C440="","",IFERROR(INDEX(tbl_Finance[Client],MATCH(C440&amp;"",tbl_Finance[Job Number],0)),""))</f>
        <v/>
      </c>
      <c r="G440" s="28">
        <f>IF(C440="","",COUNTIFS(tbl_Finance[Job Number],C440&amp;"",tbl_Finance[Ex GST],"&lt;&gt;"))</f>
        <v/>
      </c>
      <c r="H440" s="27">
        <f>IF(C440="","",SUMIFS(tbl_Finance[Ex GST],tbl_Finance[Job Number],C440&amp;""))</f>
        <v/>
      </c>
      <c r="I440" s="27">
        <f>IF(C440="","",SUMIFS(tbl_Finance[Ex GST],tbl_Finance[Job Number],C440&amp;"",tbl_Finance[Xero Invoice No],"&lt;&gt;"))</f>
        <v/>
      </c>
      <c r="J440" s="27">
        <f>IF(C440="","",H440-I440)</f>
        <v/>
      </c>
      <c r="K440" s="25">
        <f>IF(C440="","",IF(G440=0,"not invoiced yet",SUBSTITUTE(TRIM(IF(COUNTIFS(tbl_Finance[Job Number],C440&amp;"",tbl_Finance[Cost Centre],"ONSITE")&gt;0,"ONSITE ","")&amp;IF(COUNTIFS(tbl_Finance[Job Number],C440&amp;"",tbl_Finance[Cost Centre],"PRODUCTION")&gt;0,"PRODUCTION ","")&amp;IF(COUNTIFS(tbl_Finance[Job Number],C440&amp;"",tbl_Finance[Cost Centre],"VIDEO")&gt;0,"VIDEO ","")&amp;IF(COUNTIFS(tbl_Finance[Job Number],C440&amp;"",tbl_Finance[Cost Centre],"INTEGRATION")&gt;0,"INTEGRATION ","")&amp;IF(COUNTIFS(tbl_Finance[Job Number],C440&amp;"",tbl_Finance[Cost Centre],"CONSULTING")&gt;0,"CONSULTING ","")&amp;IF(COUNTIFS(tbl_Finance[Job Number],C440&amp;"",tbl_Finance[Cost Centre],"CTS")&gt;0,"CTS ",""))," ",", ")))</f>
        <v/>
      </c>
      <c r="L440" s="22" t="n"/>
      <c r="M440" s="24" t="n"/>
      <c r="N440" s="25">
        <f>IF(M440="","",IF(AND(LEFT(M440,4)&lt;&gt;"http",set_RMSBase=""),"",HYPERLINK(IF(LEFT(M440,4)="http",M440,set_RMSBase&amp;M440),"Open opportunity")))</f>
        <v/>
      </c>
      <c r="O440" s="25">
        <f>IF(C440="","",C440)</f>
        <v/>
      </c>
      <c r="P440" s="24" t="n"/>
      <c r="Q440" s="26" t="n"/>
      <c r="R440" s="27">
        <f>IF(C440="","",H440+N(Q440))</f>
        <v/>
      </c>
      <c r="S440" s="29">
        <f>IFERROR(Q440/R440,"")</f>
        <v/>
      </c>
      <c r="T440" s="26" t="n"/>
      <c r="U440" s="26" t="n"/>
      <c r="V440" s="27">
        <f>IF(C440="","",N(T440)+N(U440))</f>
        <v/>
      </c>
      <c r="W440" s="27">
        <f>IF(C440="","",H440-V440)</f>
        <v/>
      </c>
      <c r="X440" s="29">
        <f>IFERROR(W440/H440,"")</f>
        <v/>
      </c>
      <c r="Y440" s="64" t="n"/>
      <c r="Z440" s="64" t="n"/>
      <c r="AA440" s="64" t="n"/>
      <c r="AB440" s="64" t="n"/>
      <c r="AC440" s="64" t="n"/>
      <c r="AD440" s="24" t="n"/>
    </row>
    <row r="441" ht="15" customHeight="1">
      <c r="A441" s="63">
        <f>IF(C441="","",IFERROR(IF(SUMPRODUCT(MAX((tbl_Finance[Job Number]=C441&amp;"")*(tbl_Finance[Xero Invoice No]&lt;&gt;"")*tbl_Finance[Date]))=0,"",SUMPRODUCT(MAX((tbl_Finance[Job Number]=C441&amp;"")*(tbl_Finance[Xero Invoice No]&lt;&gt;"")*tbl_Finance[Date]))),""))</f>
        <v/>
      </c>
      <c r="B441" s="25">
        <f>IF(C441="","",IF(COUNTIFS(tbl_Finance[Job Number],C441&amp;"",tbl_Finance[Xero Invoice No],"&lt;&gt;")=0,"",IFERROR(IF(COUNTIFS(tbl_Finance[Job Number],C441&amp;"",tbl_Finance[Xero Invoice No],LOOKUP(2,1/((tbl_Finance[Job Number]=C441&amp;"")*(tbl_Finance[Xero Invoice No]&lt;&gt;"")),tbl_Finance[Xero Invoice No]))=COUNTIFS(tbl_Finance[Job Number],C441&amp;"",tbl_Finance[Xero Invoice No],"&lt;&gt;"),LOOKUP(2,1/((tbl_Finance[Job Number]=C441&amp;"")*(tbl_Finance[Xero Invoice No]&lt;&gt;"")),tbl_Finance[Xero Invoice No]),LOOKUP(2,1/((tbl_Finance[Job Number]=C441&amp;"")*(tbl_Finance[Xero Invoice No]&lt;&gt;"")),tbl_Finance[Xero Invoice No])&amp;" +more"),"")))</f>
        <v/>
      </c>
      <c r="C441" s="24" t="n"/>
      <c r="D441" s="25">
        <f>IF(C441="","",IF(COUNTIF(lst_Jobs,C441&amp;"")&gt;0,"OK","CHECK"))</f>
        <v/>
      </c>
      <c r="E441" s="25">
        <f>IF(C441="","",IFERROR(INDEX(lst_JobName,MATCH(C441&amp;"",lst_Jobs,0)),""))</f>
        <v/>
      </c>
      <c r="F441" s="25">
        <f>IF(C441="","",IFERROR(INDEX(tbl_Finance[Client],MATCH(C441&amp;"",tbl_Finance[Job Number],0)),""))</f>
        <v/>
      </c>
      <c r="G441" s="28">
        <f>IF(C441="","",COUNTIFS(tbl_Finance[Job Number],C441&amp;"",tbl_Finance[Ex GST],"&lt;&gt;"))</f>
        <v/>
      </c>
      <c r="H441" s="27">
        <f>IF(C441="","",SUMIFS(tbl_Finance[Ex GST],tbl_Finance[Job Number],C441&amp;""))</f>
        <v/>
      </c>
      <c r="I441" s="27">
        <f>IF(C441="","",SUMIFS(tbl_Finance[Ex GST],tbl_Finance[Job Number],C441&amp;"",tbl_Finance[Xero Invoice No],"&lt;&gt;"))</f>
        <v/>
      </c>
      <c r="J441" s="27">
        <f>IF(C441="","",H441-I441)</f>
        <v/>
      </c>
      <c r="K441" s="25">
        <f>IF(C441="","",IF(G441=0,"not invoiced yet",SUBSTITUTE(TRIM(IF(COUNTIFS(tbl_Finance[Job Number],C441&amp;"",tbl_Finance[Cost Centre],"ONSITE")&gt;0,"ONSITE ","")&amp;IF(COUNTIFS(tbl_Finance[Job Number],C441&amp;"",tbl_Finance[Cost Centre],"PRODUCTION")&gt;0,"PRODUCTION ","")&amp;IF(COUNTIFS(tbl_Finance[Job Number],C441&amp;"",tbl_Finance[Cost Centre],"VIDEO")&gt;0,"VIDEO ","")&amp;IF(COUNTIFS(tbl_Finance[Job Number],C441&amp;"",tbl_Finance[Cost Centre],"INTEGRATION")&gt;0,"INTEGRATION ","")&amp;IF(COUNTIFS(tbl_Finance[Job Number],C441&amp;"",tbl_Finance[Cost Centre],"CONSULTING")&gt;0,"CONSULTING ","")&amp;IF(COUNTIFS(tbl_Finance[Job Number],C441&amp;"",tbl_Finance[Cost Centre],"CTS")&gt;0,"CTS ",""))," ",", ")))</f>
        <v/>
      </c>
      <c r="L441" s="22" t="n"/>
      <c r="M441" s="24" t="n"/>
      <c r="N441" s="25">
        <f>IF(M441="","",IF(AND(LEFT(M441,4)&lt;&gt;"http",set_RMSBase=""),"",HYPERLINK(IF(LEFT(M441,4)="http",M441,set_RMSBase&amp;M441),"Open opportunity")))</f>
        <v/>
      </c>
      <c r="O441" s="25">
        <f>IF(C441="","",C441)</f>
        <v/>
      </c>
      <c r="P441" s="24" t="n"/>
      <c r="Q441" s="26" t="n"/>
      <c r="R441" s="27">
        <f>IF(C441="","",H441+N(Q441))</f>
        <v/>
      </c>
      <c r="S441" s="29">
        <f>IFERROR(Q441/R441,"")</f>
        <v/>
      </c>
      <c r="T441" s="26" t="n"/>
      <c r="U441" s="26" t="n"/>
      <c r="V441" s="27">
        <f>IF(C441="","",N(T441)+N(U441))</f>
        <v/>
      </c>
      <c r="W441" s="27">
        <f>IF(C441="","",H441-V441)</f>
        <v/>
      </c>
      <c r="X441" s="29">
        <f>IFERROR(W441/H441,"")</f>
        <v/>
      </c>
      <c r="Y441" s="64" t="n"/>
      <c r="Z441" s="64" t="n"/>
      <c r="AA441" s="64" t="n"/>
      <c r="AB441" s="64" t="n"/>
      <c r="AC441" s="64" t="n"/>
      <c r="AD441" s="24" t="n"/>
    </row>
    <row r="442" ht="15" customHeight="1">
      <c r="A442" s="63">
        <f>IF(C442="","",IFERROR(IF(SUMPRODUCT(MAX((tbl_Finance[Job Number]=C442&amp;"")*(tbl_Finance[Xero Invoice No]&lt;&gt;"")*tbl_Finance[Date]))=0,"",SUMPRODUCT(MAX((tbl_Finance[Job Number]=C442&amp;"")*(tbl_Finance[Xero Invoice No]&lt;&gt;"")*tbl_Finance[Date]))),""))</f>
        <v/>
      </c>
      <c r="B442" s="25">
        <f>IF(C442="","",IF(COUNTIFS(tbl_Finance[Job Number],C442&amp;"",tbl_Finance[Xero Invoice No],"&lt;&gt;")=0,"",IFERROR(IF(COUNTIFS(tbl_Finance[Job Number],C442&amp;"",tbl_Finance[Xero Invoice No],LOOKUP(2,1/((tbl_Finance[Job Number]=C442&amp;"")*(tbl_Finance[Xero Invoice No]&lt;&gt;"")),tbl_Finance[Xero Invoice No]))=COUNTIFS(tbl_Finance[Job Number],C442&amp;"",tbl_Finance[Xero Invoice No],"&lt;&gt;"),LOOKUP(2,1/((tbl_Finance[Job Number]=C442&amp;"")*(tbl_Finance[Xero Invoice No]&lt;&gt;"")),tbl_Finance[Xero Invoice No]),LOOKUP(2,1/((tbl_Finance[Job Number]=C442&amp;"")*(tbl_Finance[Xero Invoice No]&lt;&gt;"")),tbl_Finance[Xero Invoice No])&amp;" +more"),"")))</f>
        <v/>
      </c>
      <c r="C442" s="24" t="n"/>
      <c r="D442" s="25">
        <f>IF(C442="","",IF(COUNTIF(lst_Jobs,C442&amp;"")&gt;0,"OK","CHECK"))</f>
        <v/>
      </c>
      <c r="E442" s="25">
        <f>IF(C442="","",IFERROR(INDEX(lst_JobName,MATCH(C442&amp;"",lst_Jobs,0)),""))</f>
        <v/>
      </c>
      <c r="F442" s="25">
        <f>IF(C442="","",IFERROR(INDEX(tbl_Finance[Client],MATCH(C442&amp;"",tbl_Finance[Job Number],0)),""))</f>
        <v/>
      </c>
      <c r="G442" s="28">
        <f>IF(C442="","",COUNTIFS(tbl_Finance[Job Number],C442&amp;"",tbl_Finance[Ex GST],"&lt;&gt;"))</f>
        <v/>
      </c>
      <c r="H442" s="27">
        <f>IF(C442="","",SUMIFS(tbl_Finance[Ex GST],tbl_Finance[Job Number],C442&amp;""))</f>
        <v/>
      </c>
      <c r="I442" s="27">
        <f>IF(C442="","",SUMIFS(tbl_Finance[Ex GST],tbl_Finance[Job Number],C442&amp;"",tbl_Finance[Xero Invoice No],"&lt;&gt;"))</f>
        <v/>
      </c>
      <c r="J442" s="27">
        <f>IF(C442="","",H442-I442)</f>
        <v/>
      </c>
      <c r="K442" s="25">
        <f>IF(C442="","",IF(G442=0,"not invoiced yet",SUBSTITUTE(TRIM(IF(COUNTIFS(tbl_Finance[Job Number],C442&amp;"",tbl_Finance[Cost Centre],"ONSITE")&gt;0,"ONSITE ","")&amp;IF(COUNTIFS(tbl_Finance[Job Number],C442&amp;"",tbl_Finance[Cost Centre],"PRODUCTION")&gt;0,"PRODUCTION ","")&amp;IF(COUNTIFS(tbl_Finance[Job Number],C442&amp;"",tbl_Finance[Cost Centre],"VIDEO")&gt;0,"VIDEO ","")&amp;IF(COUNTIFS(tbl_Finance[Job Number],C442&amp;"",tbl_Finance[Cost Centre],"INTEGRATION")&gt;0,"INTEGRATION ","")&amp;IF(COUNTIFS(tbl_Finance[Job Number],C442&amp;"",tbl_Finance[Cost Centre],"CONSULTING")&gt;0,"CONSULTING ","")&amp;IF(COUNTIFS(tbl_Finance[Job Number],C442&amp;"",tbl_Finance[Cost Centre],"CTS")&gt;0,"CTS ",""))," ",", ")))</f>
        <v/>
      </c>
      <c r="L442" s="22" t="n"/>
      <c r="M442" s="24" t="n"/>
      <c r="N442" s="25">
        <f>IF(M442="","",IF(AND(LEFT(M442,4)&lt;&gt;"http",set_RMSBase=""),"",HYPERLINK(IF(LEFT(M442,4)="http",M442,set_RMSBase&amp;M442),"Open opportunity")))</f>
        <v/>
      </c>
      <c r="O442" s="25">
        <f>IF(C442="","",C442)</f>
        <v/>
      </c>
      <c r="P442" s="24" t="n"/>
      <c r="Q442" s="26" t="n"/>
      <c r="R442" s="27">
        <f>IF(C442="","",H442+N(Q442))</f>
        <v/>
      </c>
      <c r="S442" s="29">
        <f>IFERROR(Q442/R442,"")</f>
        <v/>
      </c>
      <c r="T442" s="26" t="n"/>
      <c r="U442" s="26" t="n"/>
      <c r="V442" s="27">
        <f>IF(C442="","",N(T442)+N(U442))</f>
        <v/>
      </c>
      <c r="W442" s="27">
        <f>IF(C442="","",H442-V442)</f>
        <v/>
      </c>
      <c r="X442" s="29">
        <f>IFERROR(W442/H442,"")</f>
        <v/>
      </c>
      <c r="Y442" s="64" t="n"/>
      <c r="Z442" s="64" t="n"/>
      <c r="AA442" s="64" t="n"/>
      <c r="AB442" s="64" t="n"/>
      <c r="AC442" s="64" t="n"/>
      <c r="AD442" s="24" t="n"/>
    </row>
    <row r="443" ht="15" customHeight="1">
      <c r="A443" s="63">
        <f>IF(C443="","",IFERROR(IF(SUMPRODUCT(MAX((tbl_Finance[Job Number]=C443&amp;"")*(tbl_Finance[Xero Invoice No]&lt;&gt;"")*tbl_Finance[Date]))=0,"",SUMPRODUCT(MAX((tbl_Finance[Job Number]=C443&amp;"")*(tbl_Finance[Xero Invoice No]&lt;&gt;"")*tbl_Finance[Date]))),""))</f>
        <v/>
      </c>
      <c r="B443" s="25">
        <f>IF(C443="","",IF(COUNTIFS(tbl_Finance[Job Number],C443&amp;"",tbl_Finance[Xero Invoice No],"&lt;&gt;")=0,"",IFERROR(IF(COUNTIFS(tbl_Finance[Job Number],C443&amp;"",tbl_Finance[Xero Invoice No],LOOKUP(2,1/((tbl_Finance[Job Number]=C443&amp;"")*(tbl_Finance[Xero Invoice No]&lt;&gt;"")),tbl_Finance[Xero Invoice No]))=COUNTIFS(tbl_Finance[Job Number],C443&amp;"",tbl_Finance[Xero Invoice No],"&lt;&gt;"),LOOKUP(2,1/((tbl_Finance[Job Number]=C443&amp;"")*(tbl_Finance[Xero Invoice No]&lt;&gt;"")),tbl_Finance[Xero Invoice No]),LOOKUP(2,1/((tbl_Finance[Job Number]=C443&amp;"")*(tbl_Finance[Xero Invoice No]&lt;&gt;"")),tbl_Finance[Xero Invoice No])&amp;" +more"),"")))</f>
        <v/>
      </c>
      <c r="C443" s="24" t="n"/>
      <c r="D443" s="25">
        <f>IF(C443="","",IF(COUNTIF(lst_Jobs,C443&amp;"")&gt;0,"OK","CHECK"))</f>
        <v/>
      </c>
      <c r="E443" s="25">
        <f>IF(C443="","",IFERROR(INDEX(lst_JobName,MATCH(C443&amp;"",lst_Jobs,0)),""))</f>
        <v/>
      </c>
      <c r="F443" s="25">
        <f>IF(C443="","",IFERROR(INDEX(tbl_Finance[Client],MATCH(C443&amp;"",tbl_Finance[Job Number],0)),""))</f>
        <v/>
      </c>
      <c r="G443" s="28">
        <f>IF(C443="","",COUNTIFS(tbl_Finance[Job Number],C443&amp;"",tbl_Finance[Ex GST],"&lt;&gt;"))</f>
        <v/>
      </c>
      <c r="H443" s="27">
        <f>IF(C443="","",SUMIFS(tbl_Finance[Ex GST],tbl_Finance[Job Number],C443&amp;""))</f>
        <v/>
      </c>
      <c r="I443" s="27">
        <f>IF(C443="","",SUMIFS(tbl_Finance[Ex GST],tbl_Finance[Job Number],C443&amp;"",tbl_Finance[Xero Invoice No],"&lt;&gt;"))</f>
        <v/>
      </c>
      <c r="J443" s="27">
        <f>IF(C443="","",H443-I443)</f>
        <v/>
      </c>
      <c r="K443" s="25">
        <f>IF(C443="","",IF(G443=0,"not invoiced yet",SUBSTITUTE(TRIM(IF(COUNTIFS(tbl_Finance[Job Number],C443&amp;"",tbl_Finance[Cost Centre],"ONSITE")&gt;0,"ONSITE ","")&amp;IF(COUNTIFS(tbl_Finance[Job Number],C443&amp;"",tbl_Finance[Cost Centre],"PRODUCTION")&gt;0,"PRODUCTION ","")&amp;IF(COUNTIFS(tbl_Finance[Job Number],C443&amp;"",tbl_Finance[Cost Centre],"VIDEO")&gt;0,"VIDEO ","")&amp;IF(COUNTIFS(tbl_Finance[Job Number],C443&amp;"",tbl_Finance[Cost Centre],"INTEGRATION")&gt;0,"INTEGRATION ","")&amp;IF(COUNTIFS(tbl_Finance[Job Number],C443&amp;"",tbl_Finance[Cost Centre],"CONSULTING")&gt;0,"CONSULTING ","")&amp;IF(COUNTIFS(tbl_Finance[Job Number],C443&amp;"",tbl_Finance[Cost Centre],"CTS")&gt;0,"CTS ",""))," ",", ")))</f>
        <v/>
      </c>
      <c r="L443" s="22" t="n"/>
      <c r="M443" s="24" t="n"/>
      <c r="N443" s="25">
        <f>IF(M443="","",IF(AND(LEFT(M443,4)&lt;&gt;"http",set_RMSBase=""),"",HYPERLINK(IF(LEFT(M443,4)="http",M443,set_RMSBase&amp;M443),"Open opportunity")))</f>
        <v/>
      </c>
      <c r="O443" s="25">
        <f>IF(C443="","",C443)</f>
        <v/>
      </c>
      <c r="P443" s="24" t="n"/>
      <c r="Q443" s="26" t="n"/>
      <c r="R443" s="27">
        <f>IF(C443="","",H443+N(Q443))</f>
        <v/>
      </c>
      <c r="S443" s="29">
        <f>IFERROR(Q443/R443,"")</f>
        <v/>
      </c>
      <c r="T443" s="26" t="n"/>
      <c r="U443" s="26" t="n"/>
      <c r="V443" s="27">
        <f>IF(C443="","",N(T443)+N(U443))</f>
        <v/>
      </c>
      <c r="W443" s="27">
        <f>IF(C443="","",H443-V443)</f>
        <v/>
      </c>
      <c r="X443" s="29">
        <f>IFERROR(W443/H443,"")</f>
        <v/>
      </c>
      <c r="Y443" s="64" t="n"/>
      <c r="Z443" s="64" t="n"/>
      <c r="AA443" s="64" t="n"/>
      <c r="AB443" s="64" t="n"/>
      <c r="AC443" s="64" t="n"/>
      <c r="AD443" s="24" t="n"/>
    </row>
    <row r="444" ht="15" customHeight="1">
      <c r="A444" s="63">
        <f>IF(C444="","",IFERROR(IF(SUMPRODUCT(MAX((tbl_Finance[Job Number]=C444&amp;"")*(tbl_Finance[Xero Invoice No]&lt;&gt;"")*tbl_Finance[Date]))=0,"",SUMPRODUCT(MAX((tbl_Finance[Job Number]=C444&amp;"")*(tbl_Finance[Xero Invoice No]&lt;&gt;"")*tbl_Finance[Date]))),""))</f>
        <v/>
      </c>
      <c r="B444" s="25">
        <f>IF(C444="","",IF(COUNTIFS(tbl_Finance[Job Number],C444&amp;"",tbl_Finance[Xero Invoice No],"&lt;&gt;")=0,"",IFERROR(IF(COUNTIFS(tbl_Finance[Job Number],C444&amp;"",tbl_Finance[Xero Invoice No],LOOKUP(2,1/((tbl_Finance[Job Number]=C444&amp;"")*(tbl_Finance[Xero Invoice No]&lt;&gt;"")),tbl_Finance[Xero Invoice No]))=COUNTIFS(tbl_Finance[Job Number],C444&amp;"",tbl_Finance[Xero Invoice No],"&lt;&gt;"),LOOKUP(2,1/((tbl_Finance[Job Number]=C444&amp;"")*(tbl_Finance[Xero Invoice No]&lt;&gt;"")),tbl_Finance[Xero Invoice No]),LOOKUP(2,1/((tbl_Finance[Job Number]=C444&amp;"")*(tbl_Finance[Xero Invoice No]&lt;&gt;"")),tbl_Finance[Xero Invoice No])&amp;" +more"),"")))</f>
        <v/>
      </c>
      <c r="C444" s="24" t="n"/>
      <c r="D444" s="25">
        <f>IF(C444="","",IF(COUNTIF(lst_Jobs,C444&amp;"")&gt;0,"OK","CHECK"))</f>
        <v/>
      </c>
      <c r="E444" s="25">
        <f>IF(C444="","",IFERROR(INDEX(lst_JobName,MATCH(C444&amp;"",lst_Jobs,0)),""))</f>
        <v/>
      </c>
      <c r="F444" s="25">
        <f>IF(C444="","",IFERROR(INDEX(tbl_Finance[Client],MATCH(C444&amp;"",tbl_Finance[Job Number],0)),""))</f>
        <v/>
      </c>
      <c r="G444" s="28">
        <f>IF(C444="","",COUNTIFS(tbl_Finance[Job Number],C444&amp;"",tbl_Finance[Ex GST],"&lt;&gt;"))</f>
        <v/>
      </c>
      <c r="H444" s="27">
        <f>IF(C444="","",SUMIFS(tbl_Finance[Ex GST],tbl_Finance[Job Number],C444&amp;""))</f>
        <v/>
      </c>
      <c r="I444" s="27">
        <f>IF(C444="","",SUMIFS(tbl_Finance[Ex GST],tbl_Finance[Job Number],C444&amp;"",tbl_Finance[Xero Invoice No],"&lt;&gt;"))</f>
        <v/>
      </c>
      <c r="J444" s="27">
        <f>IF(C444="","",H444-I444)</f>
        <v/>
      </c>
      <c r="K444" s="25">
        <f>IF(C444="","",IF(G444=0,"not invoiced yet",SUBSTITUTE(TRIM(IF(COUNTIFS(tbl_Finance[Job Number],C444&amp;"",tbl_Finance[Cost Centre],"ONSITE")&gt;0,"ONSITE ","")&amp;IF(COUNTIFS(tbl_Finance[Job Number],C444&amp;"",tbl_Finance[Cost Centre],"PRODUCTION")&gt;0,"PRODUCTION ","")&amp;IF(COUNTIFS(tbl_Finance[Job Number],C444&amp;"",tbl_Finance[Cost Centre],"VIDEO")&gt;0,"VIDEO ","")&amp;IF(COUNTIFS(tbl_Finance[Job Number],C444&amp;"",tbl_Finance[Cost Centre],"INTEGRATION")&gt;0,"INTEGRATION ","")&amp;IF(COUNTIFS(tbl_Finance[Job Number],C444&amp;"",tbl_Finance[Cost Centre],"CONSULTING")&gt;0,"CONSULTING ","")&amp;IF(COUNTIFS(tbl_Finance[Job Number],C444&amp;"",tbl_Finance[Cost Centre],"CTS")&gt;0,"CTS ",""))," ",", ")))</f>
        <v/>
      </c>
      <c r="L444" s="22" t="n"/>
      <c r="M444" s="24" t="n"/>
      <c r="N444" s="25">
        <f>IF(M444="","",IF(AND(LEFT(M444,4)&lt;&gt;"http",set_RMSBase=""),"",HYPERLINK(IF(LEFT(M444,4)="http",M444,set_RMSBase&amp;M444),"Open opportunity")))</f>
        <v/>
      </c>
      <c r="O444" s="25">
        <f>IF(C444="","",C444)</f>
        <v/>
      </c>
      <c r="P444" s="24" t="n"/>
      <c r="Q444" s="26" t="n"/>
      <c r="R444" s="27">
        <f>IF(C444="","",H444+N(Q444))</f>
        <v/>
      </c>
      <c r="S444" s="29">
        <f>IFERROR(Q444/R444,"")</f>
        <v/>
      </c>
      <c r="T444" s="26" t="n"/>
      <c r="U444" s="26" t="n"/>
      <c r="V444" s="27">
        <f>IF(C444="","",N(T444)+N(U444))</f>
        <v/>
      </c>
      <c r="W444" s="27">
        <f>IF(C444="","",H444-V444)</f>
        <v/>
      </c>
      <c r="X444" s="29">
        <f>IFERROR(W444/H444,"")</f>
        <v/>
      </c>
      <c r="Y444" s="64" t="n"/>
      <c r="Z444" s="64" t="n"/>
      <c r="AA444" s="64" t="n"/>
      <c r="AB444" s="64" t="n"/>
      <c r="AC444" s="64" t="n"/>
      <c r="AD444" s="24" t="n"/>
    </row>
    <row r="445" ht="15" customHeight="1">
      <c r="A445" s="63">
        <f>IF(C445="","",IFERROR(IF(SUMPRODUCT(MAX((tbl_Finance[Job Number]=C445&amp;"")*(tbl_Finance[Xero Invoice No]&lt;&gt;"")*tbl_Finance[Date]))=0,"",SUMPRODUCT(MAX((tbl_Finance[Job Number]=C445&amp;"")*(tbl_Finance[Xero Invoice No]&lt;&gt;"")*tbl_Finance[Date]))),""))</f>
        <v/>
      </c>
      <c r="B445" s="25">
        <f>IF(C445="","",IF(COUNTIFS(tbl_Finance[Job Number],C445&amp;"",tbl_Finance[Xero Invoice No],"&lt;&gt;")=0,"",IFERROR(IF(COUNTIFS(tbl_Finance[Job Number],C445&amp;"",tbl_Finance[Xero Invoice No],LOOKUP(2,1/((tbl_Finance[Job Number]=C445&amp;"")*(tbl_Finance[Xero Invoice No]&lt;&gt;"")),tbl_Finance[Xero Invoice No]))=COUNTIFS(tbl_Finance[Job Number],C445&amp;"",tbl_Finance[Xero Invoice No],"&lt;&gt;"),LOOKUP(2,1/((tbl_Finance[Job Number]=C445&amp;"")*(tbl_Finance[Xero Invoice No]&lt;&gt;"")),tbl_Finance[Xero Invoice No]),LOOKUP(2,1/((tbl_Finance[Job Number]=C445&amp;"")*(tbl_Finance[Xero Invoice No]&lt;&gt;"")),tbl_Finance[Xero Invoice No])&amp;" +more"),"")))</f>
        <v/>
      </c>
      <c r="C445" s="24" t="n"/>
      <c r="D445" s="25">
        <f>IF(C445="","",IF(COUNTIF(lst_Jobs,C445&amp;"")&gt;0,"OK","CHECK"))</f>
        <v/>
      </c>
      <c r="E445" s="25">
        <f>IF(C445="","",IFERROR(INDEX(lst_JobName,MATCH(C445&amp;"",lst_Jobs,0)),""))</f>
        <v/>
      </c>
      <c r="F445" s="25">
        <f>IF(C445="","",IFERROR(INDEX(tbl_Finance[Client],MATCH(C445&amp;"",tbl_Finance[Job Number],0)),""))</f>
        <v/>
      </c>
      <c r="G445" s="28">
        <f>IF(C445="","",COUNTIFS(tbl_Finance[Job Number],C445&amp;"",tbl_Finance[Ex GST],"&lt;&gt;"))</f>
        <v/>
      </c>
      <c r="H445" s="27">
        <f>IF(C445="","",SUMIFS(tbl_Finance[Ex GST],tbl_Finance[Job Number],C445&amp;""))</f>
        <v/>
      </c>
      <c r="I445" s="27">
        <f>IF(C445="","",SUMIFS(tbl_Finance[Ex GST],tbl_Finance[Job Number],C445&amp;"",tbl_Finance[Xero Invoice No],"&lt;&gt;"))</f>
        <v/>
      </c>
      <c r="J445" s="27">
        <f>IF(C445="","",H445-I445)</f>
        <v/>
      </c>
      <c r="K445" s="25">
        <f>IF(C445="","",IF(G445=0,"not invoiced yet",SUBSTITUTE(TRIM(IF(COUNTIFS(tbl_Finance[Job Number],C445&amp;"",tbl_Finance[Cost Centre],"ONSITE")&gt;0,"ONSITE ","")&amp;IF(COUNTIFS(tbl_Finance[Job Number],C445&amp;"",tbl_Finance[Cost Centre],"PRODUCTION")&gt;0,"PRODUCTION ","")&amp;IF(COUNTIFS(tbl_Finance[Job Number],C445&amp;"",tbl_Finance[Cost Centre],"VIDEO")&gt;0,"VIDEO ","")&amp;IF(COUNTIFS(tbl_Finance[Job Number],C445&amp;"",tbl_Finance[Cost Centre],"INTEGRATION")&gt;0,"INTEGRATION ","")&amp;IF(COUNTIFS(tbl_Finance[Job Number],C445&amp;"",tbl_Finance[Cost Centre],"CONSULTING")&gt;0,"CONSULTING ","")&amp;IF(COUNTIFS(tbl_Finance[Job Number],C445&amp;"",tbl_Finance[Cost Centre],"CTS")&gt;0,"CTS ",""))," ",", ")))</f>
        <v/>
      </c>
      <c r="L445" s="22" t="n"/>
      <c r="M445" s="24" t="n"/>
      <c r="N445" s="25">
        <f>IF(M445="","",IF(AND(LEFT(M445,4)&lt;&gt;"http",set_RMSBase=""),"",HYPERLINK(IF(LEFT(M445,4)="http",M445,set_RMSBase&amp;M445),"Open opportunity")))</f>
        <v/>
      </c>
      <c r="O445" s="25">
        <f>IF(C445="","",C445)</f>
        <v/>
      </c>
      <c r="P445" s="24" t="n"/>
      <c r="Q445" s="26" t="n"/>
      <c r="R445" s="27">
        <f>IF(C445="","",H445+N(Q445))</f>
        <v/>
      </c>
      <c r="S445" s="29">
        <f>IFERROR(Q445/R445,"")</f>
        <v/>
      </c>
      <c r="T445" s="26" t="n"/>
      <c r="U445" s="26" t="n"/>
      <c r="V445" s="27">
        <f>IF(C445="","",N(T445)+N(U445))</f>
        <v/>
      </c>
      <c r="W445" s="27">
        <f>IF(C445="","",H445-V445)</f>
        <v/>
      </c>
      <c r="X445" s="29">
        <f>IFERROR(W445/H445,"")</f>
        <v/>
      </c>
      <c r="Y445" s="64" t="n"/>
      <c r="Z445" s="64" t="n"/>
      <c r="AA445" s="64" t="n"/>
      <c r="AB445" s="64" t="n"/>
      <c r="AC445" s="64" t="n"/>
      <c r="AD445" s="24" t="n"/>
    </row>
    <row r="446" ht="15" customHeight="1">
      <c r="A446" s="63">
        <f>IF(C446="","",IFERROR(IF(SUMPRODUCT(MAX((tbl_Finance[Job Number]=C446&amp;"")*(tbl_Finance[Xero Invoice No]&lt;&gt;"")*tbl_Finance[Date]))=0,"",SUMPRODUCT(MAX((tbl_Finance[Job Number]=C446&amp;"")*(tbl_Finance[Xero Invoice No]&lt;&gt;"")*tbl_Finance[Date]))),""))</f>
        <v/>
      </c>
      <c r="B446" s="25">
        <f>IF(C446="","",IF(COUNTIFS(tbl_Finance[Job Number],C446&amp;"",tbl_Finance[Xero Invoice No],"&lt;&gt;")=0,"",IFERROR(IF(COUNTIFS(tbl_Finance[Job Number],C446&amp;"",tbl_Finance[Xero Invoice No],LOOKUP(2,1/((tbl_Finance[Job Number]=C446&amp;"")*(tbl_Finance[Xero Invoice No]&lt;&gt;"")),tbl_Finance[Xero Invoice No]))=COUNTIFS(tbl_Finance[Job Number],C446&amp;"",tbl_Finance[Xero Invoice No],"&lt;&gt;"),LOOKUP(2,1/((tbl_Finance[Job Number]=C446&amp;"")*(tbl_Finance[Xero Invoice No]&lt;&gt;"")),tbl_Finance[Xero Invoice No]),LOOKUP(2,1/((tbl_Finance[Job Number]=C446&amp;"")*(tbl_Finance[Xero Invoice No]&lt;&gt;"")),tbl_Finance[Xero Invoice No])&amp;" +more"),"")))</f>
        <v/>
      </c>
      <c r="C446" s="24" t="n"/>
      <c r="D446" s="25">
        <f>IF(C446="","",IF(COUNTIF(lst_Jobs,C446&amp;"")&gt;0,"OK","CHECK"))</f>
        <v/>
      </c>
      <c r="E446" s="25">
        <f>IF(C446="","",IFERROR(INDEX(lst_JobName,MATCH(C446&amp;"",lst_Jobs,0)),""))</f>
        <v/>
      </c>
      <c r="F446" s="25">
        <f>IF(C446="","",IFERROR(INDEX(tbl_Finance[Client],MATCH(C446&amp;"",tbl_Finance[Job Number],0)),""))</f>
        <v/>
      </c>
      <c r="G446" s="28">
        <f>IF(C446="","",COUNTIFS(tbl_Finance[Job Number],C446&amp;"",tbl_Finance[Ex GST],"&lt;&gt;"))</f>
        <v/>
      </c>
      <c r="H446" s="27">
        <f>IF(C446="","",SUMIFS(tbl_Finance[Ex GST],tbl_Finance[Job Number],C446&amp;""))</f>
        <v/>
      </c>
      <c r="I446" s="27">
        <f>IF(C446="","",SUMIFS(tbl_Finance[Ex GST],tbl_Finance[Job Number],C446&amp;"",tbl_Finance[Xero Invoice No],"&lt;&gt;"))</f>
        <v/>
      </c>
      <c r="J446" s="27">
        <f>IF(C446="","",H446-I446)</f>
        <v/>
      </c>
      <c r="K446" s="25">
        <f>IF(C446="","",IF(G446=0,"not invoiced yet",SUBSTITUTE(TRIM(IF(COUNTIFS(tbl_Finance[Job Number],C446&amp;"",tbl_Finance[Cost Centre],"ONSITE")&gt;0,"ONSITE ","")&amp;IF(COUNTIFS(tbl_Finance[Job Number],C446&amp;"",tbl_Finance[Cost Centre],"PRODUCTION")&gt;0,"PRODUCTION ","")&amp;IF(COUNTIFS(tbl_Finance[Job Number],C446&amp;"",tbl_Finance[Cost Centre],"VIDEO")&gt;0,"VIDEO ","")&amp;IF(COUNTIFS(tbl_Finance[Job Number],C446&amp;"",tbl_Finance[Cost Centre],"INTEGRATION")&gt;0,"INTEGRATION ","")&amp;IF(COUNTIFS(tbl_Finance[Job Number],C446&amp;"",tbl_Finance[Cost Centre],"CONSULTING")&gt;0,"CONSULTING ","")&amp;IF(COUNTIFS(tbl_Finance[Job Number],C446&amp;"",tbl_Finance[Cost Centre],"CTS")&gt;0,"CTS ",""))," ",", ")))</f>
        <v/>
      </c>
      <c r="L446" s="22" t="n"/>
      <c r="M446" s="24" t="n"/>
      <c r="N446" s="25">
        <f>IF(M446="","",IF(AND(LEFT(M446,4)&lt;&gt;"http",set_RMSBase=""),"",HYPERLINK(IF(LEFT(M446,4)="http",M446,set_RMSBase&amp;M446),"Open opportunity")))</f>
        <v/>
      </c>
      <c r="O446" s="25">
        <f>IF(C446="","",C446)</f>
        <v/>
      </c>
      <c r="P446" s="24" t="n"/>
      <c r="Q446" s="26" t="n"/>
      <c r="R446" s="27">
        <f>IF(C446="","",H446+N(Q446))</f>
        <v/>
      </c>
      <c r="S446" s="29">
        <f>IFERROR(Q446/R446,"")</f>
        <v/>
      </c>
      <c r="T446" s="26" t="n"/>
      <c r="U446" s="26" t="n"/>
      <c r="V446" s="27">
        <f>IF(C446="","",N(T446)+N(U446))</f>
        <v/>
      </c>
      <c r="W446" s="27">
        <f>IF(C446="","",H446-V446)</f>
        <v/>
      </c>
      <c r="X446" s="29">
        <f>IFERROR(W446/H446,"")</f>
        <v/>
      </c>
      <c r="Y446" s="64" t="n"/>
      <c r="Z446" s="64" t="n"/>
      <c r="AA446" s="64" t="n"/>
      <c r="AB446" s="64" t="n"/>
      <c r="AC446" s="64" t="n"/>
      <c r="AD446" s="24" t="n"/>
    </row>
    <row r="447" ht="15" customHeight="1">
      <c r="A447" s="63">
        <f>IF(C447="","",IFERROR(IF(SUMPRODUCT(MAX((tbl_Finance[Job Number]=C447&amp;"")*(tbl_Finance[Xero Invoice No]&lt;&gt;"")*tbl_Finance[Date]))=0,"",SUMPRODUCT(MAX((tbl_Finance[Job Number]=C447&amp;"")*(tbl_Finance[Xero Invoice No]&lt;&gt;"")*tbl_Finance[Date]))),""))</f>
        <v/>
      </c>
      <c r="B447" s="25">
        <f>IF(C447="","",IF(COUNTIFS(tbl_Finance[Job Number],C447&amp;"",tbl_Finance[Xero Invoice No],"&lt;&gt;")=0,"",IFERROR(IF(COUNTIFS(tbl_Finance[Job Number],C447&amp;"",tbl_Finance[Xero Invoice No],LOOKUP(2,1/((tbl_Finance[Job Number]=C447&amp;"")*(tbl_Finance[Xero Invoice No]&lt;&gt;"")),tbl_Finance[Xero Invoice No]))=COUNTIFS(tbl_Finance[Job Number],C447&amp;"",tbl_Finance[Xero Invoice No],"&lt;&gt;"),LOOKUP(2,1/((tbl_Finance[Job Number]=C447&amp;"")*(tbl_Finance[Xero Invoice No]&lt;&gt;"")),tbl_Finance[Xero Invoice No]),LOOKUP(2,1/((tbl_Finance[Job Number]=C447&amp;"")*(tbl_Finance[Xero Invoice No]&lt;&gt;"")),tbl_Finance[Xero Invoice No])&amp;" +more"),"")))</f>
        <v/>
      </c>
      <c r="C447" s="24" t="n"/>
      <c r="D447" s="25">
        <f>IF(C447="","",IF(COUNTIF(lst_Jobs,C447&amp;"")&gt;0,"OK","CHECK"))</f>
        <v/>
      </c>
      <c r="E447" s="25">
        <f>IF(C447="","",IFERROR(INDEX(lst_JobName,MATCH(C447&amp;"",lst_Jobs,0)),""))</f>
        <v/>
      </c>
      <c r="F447" s="25">
        <f>IF(C447="","",IFERROR(INDEX(tbl_Finance[Client],MATCH(C447&amp;"",tbl_Finance[Job Number],0)),""))</f>
        <v/>
      </c>
      <c r="G447" s="28">
        <f>IF(C447="","",COUNTIFS(tbl_Finance[Job Number],C447&amp;"",tbl_Finance[Ex GST],"&lt;&gt;"))</f>
        <v/>
      </c>
      <c r="H447" s="27">
        <f>IF(C447="","",SUMIFS(tbl_Finance[Ex GST],tbl_Finance[Job Number],C447&amp;""))</f>
        <v/>
      </c>
      <c r="I447" s="27">
        <f>IF(C447="","",SUMIFS(tbl_Finance[Ex GST],tbl_Finance[Job Number],C447&amp;"",tbl_Finance[Xero Invoice No],"&lt;&gt;"))</f>
        <v/>
      </c>
      <c r="J447" s="27">
        <f>IF(C447="","",H447-I447)</f>
        <v/>
      </c>
      <c r="K447" s="25">
        <f>IF(C447="","",IF(G447=0,"not invoiced yet",SUBSTITUTE(TRIM(IF(COUNTIFS(tbl_Finance[Job Number],C447&amp;"",tbl_Finance[Cost Centre],"ONSITE")&gt;0,"ONSITE ","")&amp;IF(COUNTIFS(tbl_Finance[Job Number],C447&amp;"",tbl_Finance[Cost Centre],"PRODUCTION")&gt;0,"PRODUCTION ","")&amp;IF(COUNTIFS(tbl_Finance[Job Number],C447&amp;"",tbl_Finance[Cost Centre],"VIDEO")&gt;0,"VIDEO ","")&amp;IF(COUNTIFS(tbl_Finance[Job Number],C447&amp;"",tbl_Finance[Cost Centre],"INTEGRATION")&gt;0,"INTEGRATION ","")&amp;IF(COUNTIFS(tbl_Finance[Job Number],C447&amp;"",tbl_Finance[Cost Centre],"CONSULTING")&gt;0,"CONSULTING ","")&amp;IF(COUNTIFS(tbl_Finance[Job Number],C447&amp;"",tbl_Finance[Cost Centre],"CTS")&gt;0,"CTS ",""))," ",", ")))</f>
        <v/>
      </c>
      <c r="L447" s="22" t="n"/>
      <c r="M447" s="24" t="n"/>
      <c r="N447" s="25">
        <f>IF(M447="","",IF(AND(LEFT(M447,4)&lt;&gt;"http",set_RMSBase=""),"",HYPERLINK(IF(LEFT(M447,4)="http",M447,set_RMSBase&amp;M447),"Open opportunity")))</f>
        <v/>
      </c>
      <c r="O447" s="25">
        <f>IF(C447="","",C447)</f>
        <v/>
      </c>
      <c r="P447" s="24" t="n"/>
      <c r="Q447" s="26" t="n"/>
      <c r="R447" s="27">
        <f>IF(C447="","",H447+N(Q447))</f>
        <v/>
      </c>
      <c r="S447" s="29">
        <f>IFERROR(Q447/R447,"")</f>
        <v/>
      </c>
      <c r="T447" s="26" t="n"/>
      <c r="U447" s="26" t="n"/>
      <c r="V447" s="27">
        <f>IF(C447="","",N(T447)+N(U447))</f>
        <v/>
      </c>
      <c r="W447" s="27">
        <f>IF(C447="","",H447-V447)</f>
        <v/>
      </c>
      <c r="X447" s="29">
        <f>IFERROR(W447/H447,"")</f>
        <v/>
      </c>
      <c r="Y447" s="64" t="n"/>
      <c r="Z447" s="64" t="n"/>
      <c r="AA447" s="64" t="n"/>
      <c r="AB447" s="64" t="n"/>
      <c r="AC447" s="64" t="n"/>
      <c r="AD447" s="24" t="n"/>
    </row>
    <row r="448" ht="15" customHeight="1">
      <c r="A448" s="63">
        <f>IF(C448="","",IFERROR(IF(SUMPRODUCT(MAX((tbl_Finance[Job Number]=C448&amp;"")*(tbl_Finance[Xero Invoice No]&lt;&gt;"")*tbl_Finance[Date]))=0,"",SUMPRODUCT(MAX((tbl_Finance[Job Number]=C448&amp;"")*(tbl_Finance[Xero Invoice No]&lt;&gt;"")*tbl_Finance[Date]))),""))</f>
        <v/>
      </c>
      <c r="B448" s="25">
        <f>IF(C448="","",IF(COUNTIFS(tbl_Finance[Job Number],C448&amp;"",tbl_Finance[Xero Invoice No],"&lt;&gt;")=0,"",IFERROR(IF(COUNTIFS(tbl_Finance[Job Number],C448&amp;"",tbl_Finance[Xero Invoice No],LOOKUP(2,1/((tbl_Finance[Job Number]=C448&amp;"")*(tbl_Finance[Xero Invoice No]&lt;&gt;"")),tbl_Finance[Xero Invoice No]))=COUNTIFS(tbl_Finance[Job Number],C448&amp;"",tbl_Finance[Xero Invoice No],"&lt;&gt;"),LOOKUP(2,1/((tbl_Finance[Job Number]=C448&amp;"")*(tbl_Finance[Xero Invoice No]&lt;&gt;"")),tbl_Finance[Xero Invoice No]),LOOKUP(2,1/((tbl_Finance[Job Number]=C448&amp;"")*(tbl_Finance[Xero Invoice No]&lt;&gt;"")),tbl_Finance[Xero Invoice No])&amp;" +more"),"")))</f>
        <v/>
      </c>
      <c r="C448" s="24" t="n"/>
      <c r="D448" s="25">
        <f>IF(C448="","",IF(COUNTIF(lst_Jobs,C448&amp;"")&gt;0,"OK","CHECK"))</f>
        <v/>
      </c>
      <c r="E448" s="25">
        <f>IF(C448="","",IFERROR(INDEX(lst_JobName,MATCH(C448&amp;"",lst_Jobs,0)),""))</f>
        <v/>
      </c>
      <c r="F448" s="25">
        <f>IF(C448="","",IFERROR(INDEX(tbl_Finance[Client],MATCH(C448&amp;"",tbl_Finance[Job Number],0)),""))</f>
        <v/>
      </c>
      <c r="G448" s="28">
        <f>IF(C448="","",COUNTIFS(tbl_Finance[Job Number],C448&amp;"",tbl_Finance[Ex GST],"&lt;&gt;"))</f>
        <v/>
      </c>
      <c r="H448" s="27">
        <f>IF(C448="","",SUMIFS(tbl_Finance[Ex GST],tbl_Finance[Job Number],C448&amp;""))</f>
        <v/>
      </c>
      <c r="I448" s="27">
        <f>IF(C448="","",SUMIFS(tbl_Finance[Ex GST],tbl_Finance[Job Number],C448&amp;"",tbl_Finance[Xero Invoice No],"&lt;&gt;"))</f>
        <v/>
      </c>
      <c r="J448" s="27">
        <f>IF(C448="","",H448-I448)</f>
        <v/>
      </c>
      <c r="K448" s="25">
        <f>IF(C448="","",IF(G448=0,"not invoiced yet",SUBSTITUTE(TRIM(IF(COUNTIFS(tbl_Finance[Job Number],C448&amp;"",tbl_Finance[Cost Centre],"ONSITE")&gt;0,"ONSITE ","")&amp;IF(COUNTIFS(tbl_Finance[Job Number],C448&amp;"",tbl_Finance[Cost Centre],"PRODUCTION")&gt;0,"PRODUCTION ","")&amp;IF(COUNTIFS(tbl_Finance[Job Number],C448&amp;"",tbl_Finance[Cost Centre],"VIDEO")&gt;0,"VIDEO ","")&amp;IF(COUNTIFS(tbl_Finance[Job Number],C448&amp;"",tbl_Finance[Cost Centre],"INTEGRATION")&gt;0,"INTEGRATION ","")&amp;IF(COUNTIFS(tbl_Finance[Job Number],C448&amp;"",tbl_Finance[Cost Centre],"CONSULTING")&gt;0,"CONSULTING ","")&amp;IF(COUNTIFS(tbl_Finance[Job Number],C448&amp;"",tbl_Finance[Cost Centre],"CTS")&gt;0,"CTS ",""))," ",", ")))</f>
        <v/>
      </c>
      <c r="L448" s="22" t="n"/>
      <c r="M448" s="24" t="n"/>
      <c r="N448" s="25">
        <f>IF(M448="","",IF(AND(LEFT(M448,4)&lt;&gt;"http",set_RMSBase=""),"",HYPERLINK(IF(LEFT(M448,4)="http",M448,set_RMSBase&amp;M448),"Open opportunity")))</f>
        <v/>
      </c>
      <c r="O448" s="25">
        <f>IF(C448="","",C448)</f>
        <v/>
      </c>
      <c r="P448" s="24" t="n"/>
      <c r="Q448" s="26" t="n"/>
      <c r="R448" s="27">
        <f>IF(C448="","",H448+N(Q448))</f>
        <v/>
      </c>
      <c r="S448" s="29">
        <f>IFERROR(Q448/R448,"")</f>
        <v/>
      </c>
      <c r="T448" s="26" t="n"/>
      <c r="U448" s="26" t="n"/>
      <c r="V448" s="27">
        <f>IF(C448="","",N(T448)+N(U448))</f>
        <v/>
      </c>
      <c r="W448" s="27">
        <f>IF(C448="","",H448-V448)</f>
        <v/>
      </c>
      <c r="X448" s="29">
        <f>IFERROR(W448/H448,"")</f>
        <v/>
      </c>
      <c r="Y448" s="64" t="n"/>
      <c r="Z448" s="64" t="n"/>
      <c r="AA448" s="64" t="n"/>
      <c r="AB448" s="64" t="n"/>
      <c r="AC448" s="64" t="n"/>
      <c r="AD448" s="24" t="n"/>
    </row>
    <row r="449" ht="15" customHeight="1">
      <c r="A449" s="63">
        <f>IF(C449="","",IFERROR(IF(SUMPRODUCT(MAX((tbl_Finance[Job Number]=C449&amp;"")*(tbl_Finance[Xero Invoice No]&lt;&gt;"")*tbl_Finance[Date]))=0,"",SUMPRODUCT(MAX((tbl_Finance[Job Number]=C449&amp;"")*(tbl_Finance[Xero Invoice No]&lt;&gt;"")*tbl_Finance[Date]))),""))</f>
        <v/>
      </c>
      <c r="B449" s="25">
        <f>IF(C449="","",IF(COUNTIFS(tbl_Finance[Job Number],C449&amp;"",tbl_Finance[Xero Invoice No],"&lt;&gt;")=0,"",IFERROR(IF(COUNTIFS(tbl_Finance[Job Number],C449&amp;"",tbl_Finance[Xero Invoice No],LOOKUP(2,1/((tbl_Finance[Job Number]=C449&amp;"")*(tbl_Finance[Xero Invoice No]&lt;&gt;"")),tbl_Finance[Xero Invoice No]))=COUNTIFS(tbl_Finance[Job Number],C449&amp;"",tbl_Finance[Xero Invoice No],"&lt;&gt;"),LOOKUP(2,1/((tbl_Finance[Job Number]=C449&amp;"")*(tbl_Finance[Xero Invoice No]&lt;&gt;"")),tbl_Finance[Xero Invoice No]),LOOKUP(2,1/((tbl_Finance[Job Number]=C449&amp;"")*(tbl_Finance[Xero Invoice No]&lt;&gt;"")),tbl_Finance[Xero Invoice No])&amp;" +more"),"")))</f>
        <v/>
      </c>
      <c r="C449" s="24" t="n"/>
      <c r="D449" s="25">
        <f>IF(C449="","",IF(COUNTIF(lst_Jobs,C449&amp;"")&gt;0,"OK","CHECK"))</f>
        <v/>
      </c>
      <c r="E449" s="25">
        <f>IF(C449="","",IFERROR(INDEX(lst_JobName,MATCH(C449&amp;"",lst_Jobs,0)),""))</f>
        <v/>
      </c>
      <c r="F449" s="25">
        <f>IF(C449="","",IFERROR(INDEX(tbl_Finance[Client],MATCH(C449&amp;"",tbl_Finance[Job Number],0)),""))</f>
        <v/>
      </c>
      <c r="G449" s="28">
        <f>IF(C449="","",COUNTIFS(tbl_Finance[Job Number],C449&amp;"",tbl_Finance[Ex GST],"&lt;&gt;"))</f>
        <v/>
      </c>
      <c r="H449" s="27">
        <f>IF(C449="","",SUMIFS(tbl_Finance[Ex GST],tbl_Finance[Job Number],C449&amp;""))</f>
        <v/>
      </c>
      <c r="I449" s="27">
        <f>IF(C449="","",SUMIFS(tbl_Finance[Ex GST],tbl_Finance[Job Number],C449&amp;"",tbl_Finance[Xero Invoice No],"&lt;&gt;"))</f>
        <v/>
      </c>
      <c r="J449" s="27">
        <f>IF(C449="","",H449-I449)</f>
        <v/>
      </c>
      <c r="K449" s="25">
        <f>IF(C449="","",IF(G449=0,"not invoiced yet",SUBSTITUTE(TRIM(IF(COUNTIFS(tbl_Finance[Job Number],C449&amp;"",tbl_Finance[Cost Centre],"ONSITE")&gt;0,"ONSITE ","")&amp;IF(COUNTIFS(tbl_Finance[Job Number],C449&amp;"",tbl_Finance[Cost Centre],"PRODUCTION")&gt;0,"PRODUCTION ","")&amp;IF(COUNTIFS(tbl_Finance[Job Number],C449&amp;"",tbl_Finance[Cost Centre],"VIDEO")&gt;0,"VIDEO ","")&amp;IF(COUNTIFS(tbl_Finance[Job Number],C449&amp;"",tbl_Finance[Cost Centre],"INTEGRATION")&gt;0,"INTEGRATION ","")&amp;IF(COUNTIFS(tbl_Finance[Job Number],C449&amp;"",tbl_Finance[Cost Centre],"CONSULTING")&gt;0,"CONSULTING ","")&amp;IF(COUNTIFS(tbl_Finance[Job Number],C449&amp;"",tbl_Finance[Cost Centre],"CTS")&gt;0,"CTS ",""))," ",", ")))</f>
        <v/>
      </c>
      <c r="L449" s="22" t="n"/>
      <c r="M449" s="24" t="n"/>
      <c r="N449" s="25">
        <f>IF(M449="","",IF(AND(LEFT(M449,4)&lt;&gt;"http",set_RMSBase=""),"",HYPERLINK(IF(LEFT(M449,4)="http",M449,set_RMSBase&amp;M449),"Open opportunity")))</f>
        <v/>
      </c>
      <c r="O449" s="25">
        <f>IF(C449="","",C449)</f>
        <v/>
      </c>
      <c r="P449" s="24" t="n"/>
      <c r="Q449" s="26" t="n"/>
      <c r="R449" s="27">
        <f>IF(C449="","",H449+N(Q449))</f>
        <v/>
      </c>
      <c r="S449" s="29">
        <f>IFERROR(Q449/R449,"")</f>
        <v/>
      </c>
      <c r="T449" s="26" t="n"/>
      <c r="U449" s="26" t="n"/>
      <c r="V449" s="27">
        <f>IF(C449="","",N(T449)+N(U449))</f>
        <v/>
      </c>
      <c r="W449" s="27">
        <f>IF(C449="","",H449-V449)</f>
        <v/>
      </c>
      <c r="X449" s="29">
        <f>IFERROR(W449/H449,"")</f>
        <v/>
      </c>
      <c r="Y449" s="64" t="n"/>
      <c r="Z449" s="64" t="n"/>
      <c r="AA449" s="64" t="n"/>
      <c r="AB449" s="64" t="n"/>
      <c r="AC449" s="64" t="n"/>
      <c r="AD449" s="24" t="n"/>
    </row>
    <row r="450" ht="15" customHeight="1">
      <c r="A450" s="63">
        <f>IF(C450="","",IFERROR(IF(SUMPRODUCT(MAX((tbl_Finance[Job Number]=C450&amp;"")*(tbl_Finance[Xero Invoice No]&lt;&gt;"")*tbl_Finance[Date]))=0,"",SUMPRODUCT(MAX((tbl_Finance[Job Number]=C450&amp;"")*(tbl_Finance[Xero Invoice No]&lt;&gt;"")*tbl_Finance[Date]))),""))</f>
        <v/>
      </c>
      <c r="B450" s="25">
        <f>IF(C450="","",IF(COUNTIFS(tbl_Finance[Job Number],C450&amp;"",tbl_Finance[Xero Invoice No],"&lt;&gt;")=0,"",IFERROR(IF(COUNTIFS(tbl_Finance[Job Number],C450&amp;"",tbl_Finance[Xero Invoice No],LOOKUP(2,1/((tbl_Finance[Job Number]=C450&amp;"")*(tbl_Finance[Xero Invoice No]&lt;&gt;"")),tbl_Finance[Xero Invoice No]))=COUNTIFS(tbl_Finance[Job Number],C450&amp;"",tbl_Finance[Xero Invoice No],"&lt;&gt;"),LOOKUP(2,1/((tbl_Finance[Job Number]=C450&amp;"")*(tbl_Finance[Xero Invoice No]&lt;&gt;"")),tbl_Finance[Xero Invoice No]),LOOKUP(2,1/((tbl_Finance[Job Number]=C450&amp;"")*(tbl_Finance[Xero Invoice No]&lt;&gt;"")),tbl_Finance[Xero Invoice No])&amp;" +more"),"")))</f>
        <v/>
      </c>
      <c r="C450" s="24" t="n"/>
      <c r="D450" s="25">
        <f>IF(C450="","",IF(COUNTIF(lst_Jobs,C450&amp;"")&gt;0,"OK","CHECK"))</f>
        <v/>
      </c>
      <c r="E450" s="25">
        <f>IF(C450="","",IFERROR(INDEX(lst_JobName,MATCH(C450&amp;"",lst_Jobs,0)),""))</f>
        <v/>
      </c>
      <c r="F450" s="25">
        <f>IF(C450="","",IFERROR(INDEX(tbl_Finance[Client],MATCH(C450&amp;"",tbl_Finance[Job Number],0)),""))</f>
        <v/>
      </c>
      <c r="G450" s="28">
        <f>IF(C450="","",COUNTIFS(tbl_Finance[Job Number],C450&amp;"",tbl_Finance[Ex GST],"&lt;&gt;"))</f>
        <v/>
      </c>
      <c r="H450" s="27">
        <f>IF(C450="","",SUMIFS(tbl_Finance[Ex GST],tbl_Finance[Job Number],C450&amp;""))</f>
        <v/>
      </c>
      <c r="I450" s="27">
        <f>IF(C450="","",SUMIFS(tbl_Finance[Ex GST],tbl_Finance[Job Number],C450&amp;"",tbl_Finance[Xero Invoice No],"&lt;&gt;"))</f>
        <v/>
      </c>
      <c r="J450" s="27">
        <f>IF(C450="","",H450-I450)</f>
        <v/>
      </c>
      <c r="K450" s="25">
        <f>IF(C450="","",IF(G450=0,"not invoiced yet",SUBSTITUTE(TRIM(IF(COUNTIFS(tbl_Finance[Job Number],C450&amp;"",tbl_Finance[Cost Centre],"ONSITE")&gt;0,"ONSITE ","")&amp;IF(COUNTIFS(tbl_Finance[Job Number],C450&amp;"",tbl_Finance[Cost Centre],"PRODUCTION")&gt;0,"PRODUCTION ","")&amp;IF(COUNTIFS(tbl_Finance[Job Number],C450&amp;"",tbl_Finance[Cost Centre],"VIDEO")&gt;0,"VIDEO ","")&amp;IF(COUNTIFS(tbl_Finance[Job Number],C450&amp;"",tbl_Finance[Cost Centre],"INTEGRATION")&gt;0,"INTEGRATION ","")&amp;IF(COUNTIFS(tbl_Finance[Job Number],C450&amp;"",tbl_Finance[Cost Centre],"CONSULTING")&gt;0,"CONSULTING ","")&amp;IF(COUNTIFS(tbl_Finance[Job Number],C450&amp;"",tbl_Finance[Cost Centre],"CTS")&gt;0,"CTS ",""))," ",", ")))</f>
        <v/>
      </c>
      <c r="L450" s="22" t="n"/>
      <c r="M450" s="24" t="n"/>
      <c r="N450" s="25">
        <f>IF(M450="","",IF(AND(LEFT(M450,4)&lt;&gt;"http",set_RMSBase=""),"",HYPERLINK(IF(LEFT(M450,4)="http",M450,set_RMSBase&amp;M450),"Open opportunity")))</f>
        <v/>
      </c>
      <c r="O450" s="25">
        <f>IF(C450="","",C450)</f>
        <v/>
      </c>
      <c r="P450" s="24" t="n"/>
      <c r="Q450" s="26" t="n"/>
      <c r="R450" s="27">
        <f>IF(C450="","",H450+N(Q450))</f>
        <v/>
      </c>
      <c r="S450" s="29">
        <f>IFERROR(Q450/R450,"")</f>
        <v/>
      </c>
      <c r="T450" s="26" t="n"/>
      <c r="U450" s="26" t="n"/>
      <c r="V450" s="27">
        <f>IF(C450="","",N(T450)+N(U450))</f>
        <v/>
      </c>
      <c r="W450" s="27">
        <f>IF(C450="","",H450-V450)</f>
        <v/>
      </c>
      <c r="X450" s="29">
        <f>IFERROR(W450/H450,"")</f>
        <v/>
      </c>
      <c r="Y450" s="64" t="n"/>
      <c r="Z450" s="64" t="n"/>
      <c r="AA450" s="64" t="n"/>
      <c r="AB450" s="64" t="n"/>
      <c r="AC450" s="64" t="n"/>
      <c r="AD450" s="24" t="n"/>
    </row>
    <row r="451" ht="15" customHeight="1">
      <c r="A451" s="63">
        <f>IF(C451="","",IFERROR(IF(SUMPRODUCT(MAX((tbl_Finance[Job Number]=C451&amp;"")*(tbl_Finance[Xero Invoice No]&lt;&gt;"")*tbl_Finance[Date]))=0,"",SUMPRODUCT(MAX((tbl_Finance[Job Number]=C451&amp;"")*(tbl_Finance[Xero Invoice No]&lt;&gt;"")*tbl_Finance[Date]))),""))</f>
        <v/>
      </c>
      <c r="B451" s="25">
        <f>IF(C451="","",IF(COUNTIFS(tbl_Finance[Job Number],C451&amp;"",tbl_Finance[Xero Invoice No],"&lt;&gt;")=0,"",IFERROR(IF(COUNTIFS(tbl_Finance[Job Number],C451&amp;"",tbl_Finance[Xero Invoice No],LOOKUP(2,1/((tbl_Finance[Job Number]=C451&amp;"")*(tbl_Finance[Xero Invoice No]&lt;&gt;"")),tbl_Finance[Xero Invoice No]))=COUNTIFS(tbl_Finance[Job Number],C451&amp;"",tbl_Finance[Xero Invoice No],"&lt;&gt;"),LOOKUP(2,1/((tbl_Finance[Job Number]=C451&amp;"")*(tbl_Finance[Xero Invoice No]&lt;&gt;"")),tbl_Finance[Xero Invoice No]),LOOKUP(2,1/((tbl_Finance[Job Number]=C451&amp;"")*(tbl_Finance[Xero Invoice No]&lt;&gt;"")),tbl_Finance[Xero Invoice No])&amp;" +more"),"")))</f>
        <v/>
      </c>
      <c r="C451" s="24" t="n"/>
      <c r="D451" s="25">
        <f>IF(C451="","",IF(COUNTIF(lst_Jobs,C451&amp;"")&gt;0,"OK","CHECK"))</f>
        <v/>
      </c>
      <c r="E451" s="25">
        <f>IF(C451="","",IFERROR(INDEX(lst_JobName,MATCH(C451&amp;"",lst_Jobs,0)),""))</f>
        <v/>
      </c>
      <c r="F451" s="25">
        <f>IF(C451="","",IFERROR(INDEX(tbl_Finance[Client],MATCH(C451&amp;"",tbl_Finance[Job Number],0)),""))</f>
        <v/>
      </c>
      <c r="G451" s="28">
        <f>IF(C451="","",COUNTIFS(tbl_Finance[Job Number],C451&amp;"",tbl_Finance[Ex GST],"&lt;&gt;"))</f>
        <v/>
      </c>
      <c r="H451" s="27">
        <f>IF(C451="","",SUMIFS(tbl_Finance[Ex GST],tbl_Finance[Job Number],C451&amp;""))</f>
        <v/>
      </c>
      <c r="I451" s="27">
        <f>IF(C451="","",SUMIFS(tbl_Finance[Ex GST],tbl_Finance[Job Number],C451&amp;"",tbl_Finance[Xero Invoice No],"&lt;&gt;"))</f>
        <v/>
      </c>
      <c r="J451" s="27">
        <f>IF(C451="","",H451-I451)</f>
        <v/>
      </c>
      <c r="K451" s="25">
        <f>IF(C451="","",IF(G451=0,"not invoiced yet",SUBSTITUTE(TRIM(IF(COUNTIFS(tbl_Finance[Job Number],C451&amp;"",tbl_Finance[Cost Centre],"ONSITE")&gt;0,"ONSITE ","")&amp;IF(COUNTIFS(tbl_Finance[Job Number],C451&amp;"",tbl_Finance[Cost Centre],"PRODUCTION")&gt;0,"PRODUCTION ","")&amp;IF(COUNTIFS(tbl_Finance[Job Number],C451&amp;"",tbl_Finance[Cost Centre],"VIDEO")&gt;0,"VIDEO ","")&amp;IF(COUNTIFS(tbl_Finance[Job Number],C451&amp;"",tbl_Finance[Cost Centre],"INTEGRATION")&gt;0,"INTEGRATION ","")&amp;IF(COUNTIFS(tbl_Finance[Job Number],C451&amp;"",tbl_Finance[Cost Centre],"CONSULTING")&gt;0,"CONSULTING ","")&amp;IF(COUNTIFS(tbl_Finance[Job Number],C451&amp;"",tbl_Finance[Cost Centre],"CTS")&gt;0,"CTS ",""))," ",", ")))</f>
        <v/>
      </c>
      <c r="L451" s="22" t="n"/>
      <c r="M451" s="24" t="n"/>
      <c r="N451" s="25">
        <f>IF(M451="","",IF(AND(LEFT(M451,4)&lt;&gt;"http",set_RMSBase=""),"",HYPERLINK(IF(LEFT(M451,4)="http",M451,set_RMSBase&amp;M451),"Open opportunity")))</f>
        <v/>
      </c>
      <c r="O451" s="25">
        <f>IF(C451="","",C451)</f>
        <v/>
      </c>
      <c r="P451" s="24" t="n"/>
      <c r="Q451" s="26" t="n"/>
      <c r="R451" s="27">
        <f>IF(C451="","",H451+N(Q451))</f>
        <v/>
      </c>
      <c r="S451" s="29">
        <f>IFERROR(Q451/R451,"")</f>
        <v/>
      </c>
      <c r="T451" s="26" t="n"/>
      <c r="U451" s="26" t="n"/>
      <c r="V451" s="27">
        <f>IF(C451="","",N(T451)+N(U451))</f>
        <v/>
      </c>
      <c r="W451" s="27">
        <f>IF(C451="","",H451-V451)</f>
        <v/>
      </c>
      <c r="X451" s="29">
        <f>IFERROR(W451/H451,"")</f>
        <v/>
      </c>
      <c r="Y451" s="64" t="n"/>
      <c r="Z451" s="64" t="n"/>
      <c r="AA451" s="64" t="n"/>
      <c r="AB451" s="64" t="n"/>
      <c r="AC451" s="64" t="n"/>
      <c r="AD451" s="24" t="n"/>
    </row>
    <row r="452" ht="15" customHeight="1">
      <c r="A452" s="63">
        <f>IF(C452="","",IFERROR(IF(SUMPRODUCT(MAX((tbl_Finance[Job Number]=C452&amp;"")*(tbl_Finance[Xero Invoice No]&lt;&gt;"")*tbl_Finance[Date]))=0,"",SUMPRODUCT(MAX((tbl_Finance[Job Number]=C452&amp;"")*(tbl_Finance[Xero Invoice No]&lt;&gt;"")*tbl_Finance[Date]))),""))</f>
        <v/>
      </c>
      <c r="B452" s="25">
        <f>IF(C452="","",IF(COUNTIFS(tbl_Finance[Job Number],C452&amp;"",tbl_Finance[Xero Invoice No],"&lt;&gt;")=0,"",IFERROR(IF(COUNTIFS(tbl_Finance[Job Number],C452&amp;"",tbl_Finance[Xero Invoice No],LOOKUP(2,1/((tbl_Finance[Job Number]=C452&amp;"")*(tbl_Finance[Xero Invoice No]&lt;&gt;"")),tbl_Finance[Xero Invoice No]))=COUNTIFS(tbl_Finance[Job Number],C452&amp;"",tbl_Finance[Xero Invoice No],"&lt;&gt;"),LOOKUP(2,1/((tbl_Finance[Job Number]=C452&amp;"")*(tbl_Finance[Xero Invoice No]&lt;&gt;"")),tbl_Finance[Xero Invoice No]),LOOKUP(2,1/((tbl_Finance[Job Number]=C452&amp;"")*(tbl_Finance[Xero Invoice No]&lt;&gt;"")),tbl_Finance[Xero Invoice No])&amp;" +more"),"")))</f>
        <v/>
      </c>
      <c r="C452" s="24" t="n"/>
      <c r="D452" s="25">
        <f>IF(C452="","",IF(COUNTIF(lst_Jobs,C452&amp;"")&gt;0,"OK","CHECK"))</f>
        <v/>
      </c>
      <c r="E452" s="25">
        <f>IF(C452="","",IFERROR(INDEX(lst_JobName,MATCH(C452&amp;"",lst_Jobs,0)),""))</f>
        <v/>
      </c>
      <c r="F452" s="25">
        <f>IF(C452="","",IFERROR(INDEX(tbl_Finance[Client],MATCH(C452&amp;"",tbl_Finance[Job Number],0)),""))</f>
        <v/>
      </c>
      <c r="G452" s="28">
        <f>IF(C452="","",COUNTIFS(tbl_Finance[Job Number],C452&amp;"",tbl_Finance[Ex GST],"&lt;&gt;"))</f>
        <v/>
      </c>
      <c r="H452" s="27">
        <f>IF(C452="","",SUMIFS(tbl_Finance[Ex GST],tbl_Finance[Job Number],C452&amp;""))</f>
        <v/>
      </c>
      <c r="I452" s="27">
        <f>IF(C452="","",SUMIFS(tbl_Finance[Ex GST],tbl_Finance[Job Number],C452&amp;"",tbl_Finance[Xero Invoice No],"&lt;&gt;"))</f>
        <v/>
      </c>
      <c r="J452" s="27">
        <f>IF(C452="","",H452-I452)</f>
        <v/>
      </c>
      <c r="K452" s="25">
        <f>IF(C452="","",IF(G452=0,"not invoiced yet",SUBSTITUTE(TRIM(IF(COUNTIFS(tbl_Finance[Job Number],C452&amp;"",tbl_Finance[Cost Centre],"ONSITE")&gt;0,"ONSITE ","")&amp;IF(COUNTIFS(tbl_Finance[Job Number],C452&amp;"",tbl_Finance[Cost Centre],"PRODUCTION")&gt;0,"PRODUCTION ","")&amp;IF(COUNTIFS(tbl_Finance[Job Number],C452&amp;"",tbl_Finance[Cost Centre],"VIDEO")&gt;0,"VIDEO ","")&amp;IF(COUNTIFS(tbl_Finance[Job Number],C452&amp;"",tbl_Finance[Cost Centre],"INTEGRATION")&gt;0,"INTEGRATION ","")&amp;IF(COUNTIFS(tbl_Finance[Job Number],C452&amp;"",tbl_Finance[Cost Centre],"CONSULTING")&gt;0,"CONSULTING ","")&amp;IF(COUNTIFS(tbl_Finance[Job Number],C452&amp;"",tbl_Finance[Cost Centre],"CTS")&gt;0,"CTS ",""))," ",", ")))</f>
        <v/>
      </c>
      <c r="L452" s="22" t="n"/>
      <c r="M452" s="24" t="n"/>
      <c r="N452" s="25">
        <f>IF(M452="","",IF(AND(LEFT(M452,4)&lt;&gt;"http",set_RMSBase=""),"",HYPERLINK(IF(LEFT(M452,4)="http",M452,set_RMSBase&amp;M452),"Open opportunity")))</f>
        <v/>
      </c>
      <c r="O452" s="25">
        <f>IF(C452="","",C452)</f>
        <v/>
      </c>
      <c r="P452" s="24" t="n"/>
      <c r="Q452" s="26" t="n"/>
      <c r="R452" s="27">
        <f>IF(C452="","",H452+N(Q452))</f>
        <v/>
      </c>
      <c r="S452" s="29">
        <f>IFERROR(Q452/R452,"")</f>
        <v/>
      </c>
      <c r="T452" s="26" t="n"/>
      <c r="U452" s="26" t="n"/>
      <c r="V452" s="27">
        <f>IF(C452="","",N(T452)+N(U452))</f>
        <v/>
      </c>
      <c r="W452" s="27">
        <f>IF(C452="","",H452-V452)</f>
        <v/>
      </c>
      <c r="X452" s="29">
        <f>IFERROR(W452/H452,"")</f>
        <v/>
      </c>
      <c r="Y452" s="64" t="n"/>
      <c r="Z452" s="64" t="n"/>
      <c r="AA452" s="64" t="n"/>
      <c r="AB452" s="64" t="n"/>
      <c r="AC452" s="64" t="n"/>
      <c r="AD452" s="24" t="n"/>
    </row>
    <row r="453" ht="15" customHeight="1">
      <c r="A453" s="63">
        <f>IF(C453="","",IFERROR(IF(SUMPRODUCT(MAX((tbl_Finance[Job Number]=C453&amp;"")*(tbl_Finance[Xero Invoice No]&lt;&gt;"")*tbl_Finance[Date]))=0,"",SUMPRODUCT(MAX((tbl_Finance[Job Number]=C453&amp;"")*(tbl_Finance[Xero Invoice No]&lt;&gt;"")*tbl_Finance[Date]))),""))</f>
        <v/>
      </c>
      <c r="B453" s="25">
        <f>IF(C453="","",IF(COUNTIFS(tbl_Finance[Job Number],C453&amp;"",tbl_Finance[Xero Invoice No],"&lt;&gt;")=0,"",IFERROR(IF(COUNTIFS(tbl_Finance[Job Number],C453&amp;"",tbl_Finance[Xero Invoice No],LOOKUP(2,1/((tbl_Finance[Job Number]=C453&amp;"")*(tbl_Finance[Xero Invoice No]&lt;&gt;"")),tbl_Finance[Xero Invoice No]))=COUNTIFS(tbl_Finance[Job Number],C453&amp;"",tbl_Finance[Xero Invoice No],"&lt;&gt;"),LOOKUP(2,1/((tbl_Finance[Job Number]=C453&amp;"")*(tbl_Finance[Xero Invoice No]&lt;&gt;"")),tbl_Finance[Xero Invoice No]),LOOKUP(2,1/((tbl_Finance[Job Number]=C453&amp;"")*(tbl_Finance[Xero Invoice No]&lt;&gt;"")),tbl_Finance[Xero Invoice No])&amp;" +more"),"")))</f>
        <v/>
      </c>
      <c r="C453" s="24" t="n"/>
      <c r="D453" s="25">
        <f>IF(C453="","",IF(COUNTIF(lst_Jobs,C453&amp;"")&gt;0,"OK","CHECK"))</f>
        <v/>
      </c>
      <c r="E453" s="25">
        <f>IF(C453="","",IFERROR(INDEX(lst_JobName,MATCH(C453&amp;"",lst_Jobs,0)),""))</f>
        <v/>
      </c>
      <c r="F453" s="25">
        <f>IF(C453="","",IFERROR(INDEX(tbl_Finance[Client],MATCH(C453&amp;"",tbl_Finance[Job Number],0)),""))</f>
        <v/>
      </c>
      <c r="G453" s="28">
        <f>IF(C453="","",COUNTIFS(tbl_Finance[Job Number],C453&amp;"",tbl_Finance[Ex GST],"&lt;&gt;"))</f>
        <v/>
      </c>
      <c r="H453" s="27">
        <f>IF(C453="","",SUMIFS(tbl_Finance[Ex GST],tbl_Finance[Job Number],C453&amp;""))</f>
        <v/>
      </c>
      <c r="I453" s="27">
        <f>IF(C453="","",SUMIFS(tbl_Finance[Ex GST],tbl_Finance[Job Number],C453&amp;"",tbl_Finance[Xero Invoice No],"&lt;&gt;"))</f>
        <v/>
      </c>
      <c r="J453" s="27">
        <f>IF(C453="","",H453-I453)</f>
        <v/>
      </c>
      <c r="K453" s="25">
        <f>IF(C453="","",IF(G453=0,"not invoiced yet",SUBSTITUTE(TRIM(IF(COUNTIFS(tbl_Finance[Job Number],C453&amp;"",tbl_Finance[Cost Centre],"ONSITE")&gt;0,"ONSITE ","")&amp;IF(COUNTIFS(tbl_Finance[Job Number],C453&amp;"",tbl_Finance[Cost Centre],"PRODUCTION")&gt;0,"PRODUCTION ","")&amp;IF(COUNTIFS(tbl_Finance[Job Number],C453&amp;"",tbl_Finance[Cost Centre],"VIDEO")&gt;0,"VIDEO ","")&amp;IF(COUNTIFS(tbl_Finance[Job Number],C453&amp;"",tbl_Finance[Cost Centre],"INTEGRATION")&gt;0,"INTEGRATION ","")&amp;IF(COUNTIFS(tbl_Finance[Job Number],C453&amp;"",tbl_Finance[Cost Centre],"CONSULTING")&gt;0,"CONSULTING ","")&amp;IF(COUNTIFS(tbl_Finance[Job Number],C453&amp;"",tbl_Finance[Cost Centre],"CTS")&gt;0,"CTS ",""))," ",", ")))</f>
        <v/>
      </c>
      <c r="L453" s="22" t="n"/>
      <c r="M453" s="24" t="n"/>
      <c r="N453" s="25">
        <f>IF(M453="","",IF(AND(LEFT(M453,4)&lt;&gt;"http",set_RMSBase=""),"",HYPERLINK(IF(LEFT(M453,4)="http",M453,set_RMSBase&amp;M453),"Open opportunity")))</f>
        <v/>
      </c>
      <c r="O453" s="25">
        <f>IF(C453="","",C453)</f>
        <v/>
      </c>
      <c r="P453" s="24" t="n"/>
      <c r="Q453" s="26" t="n"/>
      <c r="R453" s="27">
        <f>IF(C453="","",H453+N(Q453))</f>
        <v/>
      </c>
      <c r="S453" s="29">
        <f>IFERROR(Q453/R453,"")</f>
        <v/>
      </c>
      <c r="T453" s="26" t="n"/>
      <c r="U453" s="26" t="n"/>
      <c r="V453" s="27">
        <f>IF(C453="","",N(T453)+N(U453))</f>
        <v/>
      </c>
      <c r="W453" s="27">
        <f>IF(C453="","",H453-V453)</f>
        <v/>
      </c>
      <c r="X453" s="29">
        <f>IFERROR(W453/H453,"")</f>
        <v/>
      </c>
      <c r="Y453" s="64" t="n"/>
      <c r="Z453" s="64" t="n"/>
      <c r="AA453" s="64" t="n"/>
      <c r="AB453" s="64" t="n"/>
      <c r="AC453" s="64" t="n"/>
      <c r="AD453" s="24" t="n"/>
    </row>
    <row r="454" ht="15" customHeight="1">
      <c r="A454" s="63">
        <f>IF(C454="","",IFERROR(IF(SUMPRODUCT(MAX((tbl_Finance[Job Number]=C454&amp;"")*(tbl_Finance[Xero Invoice No]&lt;&gt;"")*tbl_Finance[Date]))=0,"",SUMPRODUCT(MAX((tbl_Finance[Job Number]=C454&amp;"")*(tbl_Finance[Xero Invoice No]&lt;&gt;"")*tbl_Finance[Date]))),""))</f>
        <v/>
      </c>
      <c r="B454" s="25">
        <f>IF(C454="","",IF(COUNTIFS(tbl_Finance[Job Number],C454&amp;"",tbl_Finance[Xero Invoice No],"&lt;&gt;")=0,"",IFERROR(IF(COUNTIFS(tbl_Finance[Job Number],C454&amp;"",tbl_Finance[Xero Invoice No],LOOKUP(2,1/((tbl_Finance[Job Number]=C454&amp;"")*(tbl_Finance[Xero Invoice No]&lt;&gt;"")),tbl_Finance[Xero Invoice No]))=COUNTIFS(tbl_Finance[Job Number],C454&amp;"",tbl_Finance[Xero Invoice No],"&lt;&gt;"),LOOKUP(2,1/((tbl_Finance[Job Number]=C454&amp;"")*(tbl_Finance[Xero Invoice No]&lt;&gt;"")),tbl_Finance[Xero Invoice No]),LOOKUP(2,1/((tbl_Finance[Job Number]=C454&amp;"")*(tbl_Finance[Xero Invoice No]&lt;&gt;"")),tbl_Finance[Xero Invoice No])&amp;" +more"),"")))</f>
        <v/>
      </c>
      <c r="C454" s="24" t="n"/>
      <c r="D454" s="25">
        <f>IF(C454="","",IF(COUNTIF(lst_Jobs,C454&amp;"")&gt;0,"OK","CHECK"))</f>
        <v/>
      </c>
      <c r="E454" s="25">
        <f>IF(C454="","",IFERROR(INDEX(lst_JobName,MATCH(C454&amp;"",lst_Jobs,0)),""))</f>
        <v/>
      </c>
      <c r="F454" s="25">
        <f>IF(C454="","",IFERROR(INDEX(tbl_Finance[Client],MATCH(C454&amp;"",tbl_Finance[Job Number],0)),""))</f>
        <v/>
      </c>
      <c r="G454" s="28">
        <f>IF(C454="","",COUNTIFS(tbl_Finance[Job Number],C454&amp;"",tbl_Finance[Ex GST],"&lt;&gt;"))</f>
        <v/>
      </c>
      <c r="H454" s="27">
        <f>IF(C454="","",SUMIFS(tbl_Finance[Ex GST],tbl_Finance[Job Number],C454&amp;""))</f>
        <v/>
      </c>
      <c r="I454" s="27">
        <f>IF(C454="","",SUMIFS(tbl_Finance[Ex GST],tbl_Finance[Job Number],C454&amp;"",tbl_Finance[Xero Invoice No],"&lt;&gt;"))</f>
        <v/>
      </c>
      <c r="J454" s="27">
        <f>IF(C454="","",H454-I454)</f>
        <v/>
      </c>
      <c r="K454" s="25">
        <f>IF(C454="","",IF(G454=0,"not invoiced yet",SUBSTITUTE(TRIM(IF(COUNTIFS(tbl_Finance[Job Number],C454&amp;"",tbl_Finance[Cost Centre],"ONSITE")&gt;0,"ONSITE ","")&amp;IF(COUNTIFS(tbl_Finance[Job Number],C454&amp;"",tbl_Finance[Cost Centre],"PRODUCTION")&gt;0,"PRODUCTION ","")&amp;IF(COUNTIFS(tbl_Finance[Job Number],C454&amp;"",tbl_Finance[Cost Centre],"VIDEO")&gt;0,"VIDEO ","")&amp;IF(COUNTIFS(tbl_Finance[Job Number],C454&amp;"",tbl_Finance[Cost Centre],"INTEGRATION")&gt;0,"INTEGRATION ","")&amp;IF(COUNTIFS(tbl_Finance[Job Number],C454&amp;"",tbl_Finance[Cost Centre],"CONSULTING")&gt;0,"CONSULTING ","")&amp;IF(COUNTIFS(tbl_Finance[Job Number],C454&amp;"",tbl_Finance[Cost Centre],"CTS")&gt;0,"CTS ",""))," ",", ")))</f>
        <v/>
      </c>
      <c r="L454" s="22" t="n"/>
      <c r="M454" s="24" t="n"/>
      <c r="N454" s="25">
        <f>IF(M454="","",IF(AND(LEFT(M454,4)&lt;&gt;"http",set_RMSBase=""),"",HYPERLINK(IF(LEFT(M454,4)="http",M454,set_RMSBase&amp;M454),"Open opportunity")))</f>
        <v/>
      </c>
      <c r="O454" s="25">
        <f>IF(C454="","",C454)</f>
        <v/>
      </c>
      <c r="P454" s="24" t="n"/>
      <c r="Q454" s="26" t="n"/>
      <c r="R454" s="27">
        <f>IF(C454="","",H454+N(Q454))</f>
        <v/>
      </c>
      <c r="S454" s="29">
        <f>IFERROR(Q454/R454,"")</f>
        <v/>
      </c>
      <c r="T454" s="26" t="n"/>
      <c r="U454" s="26" t="n"/>
      <c r="V454" s="27">
        <f>IF(C454="","",N(T454)+N(U454))</f>
        <v/>
      </c>
      <c r="W454" s="27">
        <f>IF(C454="","",H454-V454)</f>
        <v/>
      </c>
      <c r="X454" s="29">
        <f>IFERROR(W454/H454,"")</f>
        <v/>
      </c>
      <c r="Y454" s="64" t="n"/>
      <c r="Z454" s="64" t="n"/>
      <c r="AA454" s="64" t="n"/>
      <c r="AB454" s="64" t="n"/>
      <c r="AC454" s="64" t="n"/>
      <c r="AD454" s="24" t="n"/>
    </row>
    <row r="455" ht="15" customHeight="1">
      <c r="A455" s="63">
        <f>IF(C455="","",IFERROR(IF(SUMPRODUCT(MAX((tbl_Finance[Job Number]=C455&amp;"")*(tbl_Finance[Xero Invoice No]&lt;&gt;"")*tbl_Finance[Date]))=0,"",SUMPRODUCT(MAX((tbl_Finance[Job Number]=C455&amp;"")*(tbl_Finance[Xero Invoice No]&lt;&gt;"")*tbl_Finance[Date]))),""))</f>
        <v/>
      </c>
      <c r="B455" s="25">
        <f>IF(C455="","",IF(COUNTIFS(tbl_Finance[Job Number],C455&amp;"",tbl_Finance[Xero Invoice No],"&lt;&gt;")=0,"",IFERROR(IF(COUNTIFS(tbl_Finance[Job Number],C455&amp;"",tbl_Finance[Xero Invoice No],LOOKUP(2,1/((tbl_Finance[Job Number]=C455&amp;"")*(tbl_Finance[Xero Invoice No]&lt;&gt;"")),tbl_Finance[Xero Invoice No]))=COUNTIFS(tbl_Finance[Job Number],C455&amp;"",tbl_Finance[Xero Invoice No],"&lt;&gt;"),LOOKUP(2,1/((tbl_Finance[Job Number]=C455&amp;"")*(tbl_Finance[Xero Invoice No]&lt;&gt;"")),tbl_Finance[Xero Invoice No]),LOOKUP(2,1/((tbl_Finance[Job Number]=C455&amp;"")*(tbl_Finance[Xero Invoice No]&lt;&gt;"")),tbl_Finance[Xero Invoice No])&amp;" +more"),"")))</f>
        <v/>
      </c>
      <c r="C455" s="24" t="n"/>
      <c r="D455" s="25">
        <f>IF(C455="","",IF(COUNTIF(lst_Jobs,C455&amp;"")&gt;0,"OK","CHECK"))</f>
        <v/>
      </c>
      <c r="E455" s="25">
        <f>IF(C455="","",IFERROR(INDEX(lst_JobName,MATCH(C455&amp;"",lst_Jobs,0)),""))</f>
        <v/>
      </c>
      <c r="F455" s="25">
        <f>IF(C455="","",IFERROR(INDEX(tbl_Finance[Client],MATCH(C455&amp;"",tbl_Finance[Job Number],0)),""))</f>
        <v/>
      </c>
      <c r="G455" s="28">
        <f>IF(C455="","",COUNTIFS(tbl_Finance[Job Number],C455&amp;"",tbl_Finance[Ex GST],"&lt;&gt;"))</f>
        <v/>
      </c>
      <c r="H455" s="27">
        <f>IF(C455="","",SUMIFS(tbl_Finance[Ex GST],tbl_Finance[Job Number],C455&amp;""))</f>
        <v/>
      </c>
      <c r="I455" s="27">
        <f>IF(C455="","",SUMIFS(tbl_Finance[Ex GST],tbl_Finance[Job Number],C455&amp;"",tbl_Finance[Xero Invoice No],"&lt;&gt;"))</f>
        <v/>
      </c>
      <c r="J455" s="27">
        <f>IF(C455="","",H455-I455)</f>
        <v/>
      </c>
      <c r="K455" s="25">
        <f>IF(C455="","",IF(G455=0,"not invoiced yet",SUBSTITUTE(TRIM(IF(COUNTIFS(tbl_Finance[Job Number],C455&amp;"",tbl_Finance[Cost Centre],"ONSITE")&gt;0,"ONSITE ","")&amp;IF(COUNTIFS(tbl_Finance[Job Number],C455&amp;"",tbl_Finance[Cost Centre],"PRODUCTION")&gt;0,"PRODUCTION ","")&amp;IF(COUNTIFS(tbl_Finance[Job Number],C455&amp;"",tbl_Finance[Cost Centre],"VIDEO")&gt;0,"VIDEO ","")&amp;IF(COUNTIFS(tbl_Finance[Job Number],C455&amp;"",tbl_Finance[Cost Centre],"INTEGRATION")&gt;0,"INTEGRATION ","")&amp;IF(COUNTIFS(tbl_Finance[Job Number],C455&amp;"",tbl_Finance[Cost Centre],"CONSULTING")&gt;0,"CONSULTING ","")&amp;IF(COUNTIFS(tbl_Finance[Job Number],C455&amp;"",tbl_Finance[Cost Centre],"CTS")&gt;0,"CTS ",""))," ",", ")))</f>
        <v/>
      </c>
      <c r="L455" s="22" t="n"/>
      <c r="M455" s="24" t="n"/>
      <c r="N455" s="25">
        <f>IF(M455="","",IF(AND(LEFT(M455,4)&lt;&gt;"http",set_RMSBase=""),"",HYPERLINK(IF(LEFT(M455,4)="http",M455,set_RMSBase&amp;M455),"Open opportunity")))</f>
        <v/>
      </c>
      <c r="O455" s="25">
        <f>IF(C455="","",C455)</f>
        <v/>
      </c>
      <c r="P455" s="24" t="n"/>
      <c r="Q455" s="26" t="n"/>
      <c r="R455" s="27">
        <f>IF(C455="","",H455+N(Q455))</f>
        <v/>
      </c>
      <c r="S455" s="29">
        <f>IFERROR(Q455/R455,"")</f>
        <v/>
      </c>
      <c r="T455" s="26" t="n"/>
      <c r="U455" s="26" t="n"/>
      <c r="V455" s="27">
        <f>IF(C455="","",N(T455)+N(U455))</f>
        <v/>
      </c>
      <c r="W455" s="27">
        <f>IF(C455="","",H455-V455)</f>
        <v/>
      </c>
      <c r="X455" s="29">
        <f>IFERROR(W455/H455,"")</f>
        <v/>
      </c>
      <c r="Y455" s="64" t="n"/>
      <c r="Z455" s="64" t="n"/>
      <c r="AA455" s="64" t="n"/>
      <c r="AB455" s="64" t="n"/>
      <c r="AC455" s="64" t="n"/>
      <c r="AD455" s="24" t="n"/>
    </row>
    <row r="456" ht="15" customHeight="1">
      <c r="A456" s="63">
        <f>IF(C456="","",IFERROR(IF(SUMPRODUCT(MAX((tbl_Finance[Job Number]=C456&amp;"")*(tbl_Finance[Xero Invoice No]&lt;&gt;"")*tbl_Finance[Date]))=0,"",SUMPRODUCT(MAX((tbl_Finance[Job Number]=C456&amp;"")*(tbl_Finance[Xero Invoice No]&lt;&gt;"")*tbl_Finance[Date]))),""))</f>
        <v/>
      </c>
      <c r="B456" s="25">
        <f>IF(C456="","",IF(COUNTIFS(tbl_Finance[Job Number],C456&amp;"",tbl_Finance[Xero Invoice No],"&lt;&gt;")=0,"",IFERROR(IF(COUNTIFS(tbl_Finance[Job Number],C456&amp;"",tbl_Finance[Xero Invoice No],LOOKUP(2,1/((tbl_Finance[Job Number]=C456&amp;"")*(tbl_Finance[Xero Invoice No]&lt;&gt;"")),tbl_Finance[Xero Invoice No]))=COUNTIFS(tbl_Finance[Job Number],C456&amp;"",tbl_Finance[Xero Invoice No],"&lt;&gt;"),LOOKUP(2,1/((tbl_Finance[Job Number]=C456&amp;"")*(tbl_Finance[Xero Invoice No]&lt;&gt;"")),tbl_Finance[Xero Invoice No]),LOOKUP(2,1/((tbl_Finance[Job Number]=C456&amp;"")*(tbl_Finance[Xero Invoice No]&lt;&gt;"")),tbl_Finance[Xero Invoice No])&amp;" +more"),"")))</f>
        <v/>
      </c>
      <c r="C456" s="24" t="n"/>
      <c r="D456" s="25">
        <f>IF(C456="","",IF(COUNTIF(lst_Jobs,C456&amp;"")&gt;0,"OK","CHECK"))</f>
        <v/>
      </c>
      <c r="E456" s="25">
        <f>IF(C456="","",IFERROR(INDEX(lst_JobName,MATCH(C456&amp;"",lst_Jobs,0)),""))</f>
        <v/>
      </c>
      <c r="F456" s="25">
        <f>IF(C456="","",IFERROR(INDEX(tbl_Finance[Client],MATCH(C456&amp;"",tbl_Finance[Job Number],0)),""))</f>
        <v/>
      </c>
      <c r="G456" s="28">
        <f>IF(C456="","",COUNTIFS(tbl_Finance[Job Number],C456&amp;"",tbl_Finance[Ex GST],"&lt;&gt;"))</f>
        <v/>
      </c>
      <c r="H456" s="27">
        <f>IF(C456="","",SUMIFS(tbl_Finance[Ex GST],tbl_Finance[Job Number],C456&amp;""))</f>
        <v/>
      </c>
      <c r="I456" s="27">
        <f>IF(C456="","",SUMIFS(tbl_Finance[Ex GST],tbl_Finance[Job Number],C456&amp;"",tbl_Finance[Xero Invoice No],"&lt;&gt;"))</f>
        <v/>
      </c>
      <c r="J456" s="27">
        <f>IF(C456="","",H456-I456)</f>
        <v/>
      </c>
      <c r="K456" s="25">
        <f>IF(C456="","",IF(G456=0,"not invoiced yet",SUBSTITUTE(TRIM(IF(COUNTIFS(tbl_Finance[Job Number],C456&amp;"",tbl_Finance[Cost Centre],"ONSITE")&gt;0,"ONSITE ","")&amp;IF(COUNTIFS(tbl_Finance[Job Number],C456&amp;"",tbl_Finance[Cost Centre],"PRODUCTION")&gt;0,"PRODUCTION ","")&amp;IF(COUNTIFS(tbl_Finance[Job Number],C456&amp;"",tbl_Finance[Cost Centre],"VIDEO")&gt;0,"VIDEO ","")&amp;IF(COUNTIFS(tbl_Finance[Job Number],C456&amp;"",tbl_Finance[Cost Centre],"INTEGRATION")&gt;0,"INTEGRATION ","")&amp;IF(COUNTIFS(tbl_Finance[Job Number],C456&amp;"",tbl_Finance[Cost Centre],"CONSULTING")&gt;0,"CONSULTING ","")&amp;IF(COUNTIFS(tbl_Finance[Job Number],C456&amp;"",tbl_Finance[Cost Centre],"CTS")&gt;0,"CTS ",""))," ",", ")))</f>
        <v/>
      </c>
      <c r="L456" s="22" t="n"/>
      <c r="M456" s="24" t="n"/>
      <c r="N456" s="25">
        <f>IF(M456="","",IF(AND(LEFT(M456,4)&lt;&gt;"http",set_RMSBase=""),"",HYPERLINK(IF(LEFT(M456,4)="http",M456,set_RMSBase&amp;M456),"Open opportunity")))</f>
        <v/>
      </c>
      <c r="O456" s="25">
        <f>IF(C456="","",C456)</f>
        <v/>
      </c>
      <c r="P456" s="24" t="n"/>
      <c r="Q456" s="26" t="n"/>
      <c r="R456" s="27">
        <f>IF(C456="","",H456+N(Q456))</f>
        <v/>
      </c>
      <c r="S456" s="29">
        <f>IFERROR(Q456/R456,"")</f>
        <v/>
      </c>
      <c r="T456" s="26" t="n"/>
      <c r="U456" s="26" t="n"/>
      <c r="V456" s="27">
        <f>IF(C456="","",N(T456)+N(U456))</f>
        <v/>
      </c>
      <c r="W456" s="27">
        <f>IF(C456="","",H456-V456)</f>
        <v/>
      </c>
      <c r="X456" s="29">
        <f>IFERROR(W456/H456,"")</f>
        <v/>
      </c>
      <c r="Y456" s="64" t="n"/>
      <c r="Z456" s="64" t="n"/>
      <c r="AA456" s="64" t="n"/>
      <c r="AB456" s="64" t="n"/>
      <c r="AC456" s="64" t="n"/>
      <c r="AD456" s="24" t="n"/>
    </row>
    <row r="457" ht="15" customHeight="1">
      <c r="A457" s="63">
        <f>IF(C457="","",IFERROR(IF(SUMPRODUCT(MAX((tbl_Finance[Job Number]=C457&amp;"")*(tbl_Finance[Xero Invoice No]&lt;&gt;"")*tbl_Finance[Date]))=0,"",SUMPRODUCT(MAX((tbl_Finance[Job Number]=C457&amp;"")*(tbl_Finance[Xero Invoice No]&lt;&gt;"")*tbl_Finance[Date]))),""))</f>
        <v/>
      </c>
      <c r="B457" s="25">
        <f>IF(C457="","",IF(COUNTIFS(tbl_Finance[Job Number],C457&amp;"",tbl_Finance[Xero Invoice No],"&lt;&gt;")=0,"",IFERROR(IF(COUNTIFS(tbl_Finance[Job Number],C457&amp;"",tbl_Finance[Xero Invoice No],LOOKUP(2,1/((tbl_Finance[Job Number]=C457&amp;"")*(tbl_Finance[Xero Invoice No]&lt;&gt;"")),tbl_Finance[Xero Invoice No]))=COUNTIFS(tbl_Finance[Job Number],C457&amp;"",tbl_Finance[Xero Invoice No],"&lt;&gt;"),LOOKUP(2,1/((tbl_Finance[Job Number]=C457&amp;"")*(tbl_Finance[Xero Invoice No]&lt;&gt;"")),tbl_Finance[Xero Invoice No]),LOOKUP(2,1/((tbl_Finance[Job Number]=C457&amp;"")*(tbl_Finance[Xero Invoice No]&lt;&gt;"")),tbl_Finance[Xero Invoice No])&amp;" +more"),"")))</f>
        <v/>
      </c>
      <c r="C457" s="24" t="n"/>
      <c r="D457" s="25">
        <f>IF(C457="","",IF(COUNTIF(lst_Jobs,C457&amp;"")&gt;0,"OK","CHECK"))</f>
        <v/>
      </c>
      <c r="E457" s="25">
        <f>IF(C457="","",IFERROR(INDEX(lst_JobName,MATCH(C457&amp;"",lst_Jobs,0)),""))</f>
        <v/>
      </c>
      <c r="F457" s="25">
        <f>IF(C457="","",IFERROR(INDEX(tbl_Finance[Client],MATCH(C457&amp;"",tbl_Finance[Job Number],0)),""))</f>
        <v/>
      </c>
      <c r="G457" s="28">
        <f>IF(C457="","",COUNTIFS(tbl_Finance[Job Number],C457&amp;"",tbl_Finance[Ex GST],"&lt;&gt;"))</f>
        <v/>
      </c>
      <c r="H457" s="27">
        <f>IF(C457="","",SUMIFS(tbl_Finance[Ex GST],tbl_Finance[Job Number],C457&amp;""))</f>
        <v/>
      </c>
      <c r="I457" s="27">
        <f>IF(C457="","",SUMIFS(tbl_Finance[Ex GST],tbl_Finance[Job Number],C457&amp;"",tbl_Finance[Xero Invoice No],"&lt;&gt;"))</f>
        <v/>
      </c>
      <c r="J457" s="27">
        <f>IF(C457="","",H457-I457)</f>
        <v/>
      </c>
      <c r="K457" s="25">
        <f>IF(C457="","",IF(G457=0,"not invoiced yet",SUBSTITUTE(TRIM(IF(COUNTIFS(tbl_Finance[Job Number],C457&amp;"",tbl_Finance[Cost Centre],"ONSITE")&gt;0,"ONSITE ","")&amp;IF(COUNTIFS(tbl_Finance[Job Number],C457&amp;"",tbl_Finance[Cost Centre],"PRODUCTION")&gt;0,"PRODUCTION ","")&amp;IF(COUNTIFS(tbl_Finance[Job Number],C457&amp;"",tbl_Finance[Cost Centre],"VIDEO")&gt;0,"VIDEO ","")&amp;IF(COUNTIFS(tbl_Finance[Job Number],C457&amp;"",tbl_Finance[Cost Centre],"INTEGRATION")&gt;0,"INTEGRATION ","")&amp;IF(COUNTIFS(tbl_Finance[Job Number],C457&amp;"",tbl_Finance[Cost Centre],"CONSULTING")&gt;0,"CONSULTING ","")&amp;IF(COUNTIFS(tbl_Finance[Job Number],C457&amp;"",tbl_Finance[Cost Centre],"CTS")&gt;0,"CTS ",""))," ",", ")))</f>
        <v/>
      </c>
      <c r="L457" s="22" t="n"/>
      <c r="M457" s="24" t="n"/>
      <c r="N457" s="25">
        <f>IF(M457="","",IF(AND(LEFT(M457,4)&lt;&gt;"http",set_RMSBase=""),"",HYPERLINK(IF(LEFT(M457,4)="http",M457,set_RMSBase&amp;M457),"Open opportunity")))</f>
        <v/>
      </c>
      <c r="O457" s="25">
        <f>IF(C457="","",C457)</f>
        <v/>
      </c>
      <c r="P457" s="24" t="n"/>
      <c r="Q457" s="26" t="n"/>
      <c r="R457" s="27">
        <f>IF(C457="","",H457+N(Q457))</f>
        <v/>
      </c>
      <c r="S457" s="29">
        <f>IFERROR(Q457/R457,"")</f>
        <v/>
      </c>
      <c r="T457" s="26" t="n"/>
      <c r="U457" s="26" t="n"/>
      <c r="V457" s="27">
        <f>IF(C457="","",N(T457)+N(U457))</f>
        <v/>
      </c>
      <c r="W457" s="27">
        <f>IF(C457="","",H457-V457)</f>
        <v/>
      </c>
      <c r="X457" s="29">
        <f>IFERROR(W457/H457,"")</f>
        <v/>
      </c>
      <c r="Y457" s="64" t="n"/>
      <c r="Z457" s="64" t="n"/>
      <c r="AA457" s="64" t="n"/>
      <c r="AB457" s="64" t="n"/>
      <c r="AC457" s="64" t="n"/>
      <c r="AD457" s="24" t="n"/>
    </row>
    <row r="458" ht="15" customHeight="1">
      <c r="A458" s="63">
        <f>IF(C458="","",IFERROR(IF(SUMPRODUCT(MAX((tbl_Finance[Job Number]=C458&amp;"")*(tbl_Finance[Xero Invoice No]&lt;&gt;"")*tbl_Finance[Date]))=0,"",SUMPRODUCT(MAX((tbl_Finance[Job Number]=C458&amp;"")*(tbl_Finance[Xero Invoice No]&lt;&gt;"")*tbl_Finance[Date]))),""))</f>
        <v/>
      </c>
      <c r="B458" s="25">
        <f>IF(C458="","",IF(COUNTIFS(tbl_Finance[Job Number],C458&amp;"",tbl_Finance[Xero Invoice No],"&lt;&gt;")=0,"",IFERROR(IF(COUNTIFS(tbl_Finance[Job Number],C458&amp;"",tbl_Finance[Xero Invoice No],LOOKUP(2,1/((tbl_Finance[Job Number]=C458&amp;"")*(tbl_Finance[Xero Invoice No]&lt;&gt;"")),tbl_Finance[Xero Invoice No]))=COUNTIFS(tbl_Finance[Job Number],C458&amp;"",tbl_Finance[Xero Invoice No],"&lt;&gt;"),LOOKUP(2,1/((tbl_Finance[Job Number]=C458&amp;"")*(tbl_Finance[Xero Invoice No]&lt;&gt;"")),tbl_Finance[Xero Invoice No]),LOOKUP(2,1/((tbl_Finance[Job Number]=C458&amp;"")*(tbl_Finance[Xero Invoice No]&lt;&gt;"")),tbl_Finance[Xero Invoice No])&amp;" +more"),"")))</f>
        <v/>
      </c>
      <c r="C458" s="24" t="n"/>
      <c r="D458" s="25">
        <f>IF(C458="","",IF(COUNTIF(lst_Jobs,C458&amp;"")&gt;0,"OK","CHECK"))</f>
        <v/>
      </c>
      <c r="E458" s="25">
        <f>IF(C458="","",IFERROR(INDEX(lst_JobName,MATCH(C458&amp;"",lst_Jobs,0)),""))</f>
        <v/>
      </c>
      <c r="F458" s="25">
        <f>IF(C458="","",IFERROR(INDEX(tbl_Finance[Client],MATCH(C458&amp;"",tbl_Finance[Job Number],0)),""))</f>
        <v/>
      </c>
      <c r="G458" s="28">
        <f>IF(C458="","",COUNTIFS(tbl_Finance[Job Number],C458&amp;"",tbl_Finance[Ex GST],"&lt;&gt;"))</f>
        <v/>
      </c>
      <c r="H458" s="27">
        <f>IF(C458="","",SUMIFS(tbl_Finance[Ex GST],tbl_Finance[Job Number],C458&amp;""))</f>
        <v/>
      </c>
      <c r="I458" s="27">
        <f>IF(C458="","",SUMIFS(tbl_Finance[Ex GST],tbl_Finance[Job Number],C458&amp;"",tbl_Finance[Xero Invoice No],"&lt;&gt;"))</f>
        <v/>
      </c>
      <c r="J458" s="27">
        <f>IF(C458="","",H458-I458)</f>
        <v/>
      </c>
      <c r="K458" s="25">
        <f>IF(C458="","",IF(G458=0,"not invoiced yet",SUBSTITUTE(TRIM(IF(COUNTIFS(tbl_Finance[Job Number],C458&amp;"",tbl_Finance[Cost Centre],"ONSITE")&gt;0,"ONSITE ","")&amp;IF(COUNTIFS(tbl_Finance[Job Number],C458&amp;"",tbl_Finance[Cost Centre],"PRODUCTION")&gt;0,"PRODUCTION ","")&amp;IF(COUNTIFS(tbl_Finance[Job Number],C458&amp;"",tbl_Finance[Cost Centre],"VIDEO")&gt;0,"VIDEO ","")&amp;IF(COUNTIFS(tbl_Finance[Job Number],C458&amp;"",tbl_Finance[Cost Centre],"INTEGRATION")&gt;0,"INTEGRATION ","")&amp;IF(COUNTIFS(tbl_Finance[Job Number],C458&amp;"",tbl_Finance[Cost Centre],"CONSULTING")&gt;0,"CONSULTING ","")&amp;IF(COUNTIFS(tbl_Finance[Job Number],C458&amp;"",tbl_Finance[Cost Centre],"CTS")&gt;0,"CTS ",""))," ",", ")))</f>
        <v/>
      </c>
      <c r="L458" s="22" t="n"/>
      <c r="M458" s="24" t="n"/>
      <c r="N458" s="25">
        <f>IF(M458="","",IF(AND(LEFT(M458,4)&lt;&gt;"http",set_RMSBase=""),"",HYPERLINK(IF(LEFT(M458,4)="http",M458,set_RMSBase&amp;M458),"Open opportunity")))</f>
        <v/>
      </c>
      <c r="O458" s="25">
        <f>IF(C458="","",C458)</f>
        <v/>
      </c>
      <c r="P458" s="24" t="n"/>
      <c r="Q458" s="26" t="n"/>
      <c r="R458" s="27">
        <f>IF(C458="","",H458+N(Q458))</f>
        <v/>
      </c>
      <c r="S458" s="29">
        <f>IFERROR(Q458/R458,"")</f>
        <v/>
      </c>
      <c r="T458" s="26" t="n"/>
      <c r="U458" s="26" t="n"/>
      <c r="V458" s="27">
        <f>IF(C458="","",N(T458)+N(U458))</f>
        <v/>
      </c>
      <c r="W458" s="27">
        <f>IF(C458="","",H458-V458)</f>
        <v/>
      </c>
      <c r="X458" s="29">
        <f>IFERROR(W458/H458,"")</f>
        <v/>
      </c>
      <c r="Y458" s="64" t="n"/>
      <c r="Z458" s="64" t="n"/>
      <c r="AA458" s="64" t="n"/>
      <c r="AB458" s="64" t="n"/>
      <c r="AC458" s="64" t="n"/>
      <c r="AD458" s="24" t="n"/>
    </row>
    <row r="459" ht="15" customHeight="1">
      <c r="A459" s="63">
        <f>IF(C459="","",IFERROR(IF(SUMPRODUCT(MAX((tbl_Finance[Job Number]=C459&amp;"")*(tbl_Finance[Xero Invoice No]&lt;&gt;"")*tbl_Finance[Date]))=0,"",SUMPRODUCT(MAX((tbl_Finance[Job Number]=C459&amp;"")*(tbl_Finance[Xero Invoice No]&lt;&gt;"")*tbl_Finance[Date]))),""))</f>
        <v/>
      </c>
      <c r="B459" s="25">
        <f>IF(C459="","",IF(COUNTIFS(tbl_Finance[Job Number],C459&amp;"",tbl_Finance[Xero Invoice No],"&lt;&gt;")=0,"",IFERROR(IF(COUNTIFS(tbl_Finance[Job Number],C459&amp;"",tbl_Finance[Xero Invoice No],LOOKUP(2,1/((tbl_Finance[Job Number]=C459&amp;"")*(tbl_Finance[Xero Invoice No]&lt;&gt;"")),tbl_Finance[Xero Invoice No]))=COUNTIFS(tbl_Finance[Job Number],C459&amp;"",tbl_Finance[Xero Invoice No],"&lt;&gt;"),LOOKUP(2,1/((tbl_Finance[Job Number]=C459&amp;"")*(tbl_Finance[Xero Invoice No]&lt;&gt;"")),tbl_Finance[Xero Invoice No]),LOOKUP(2,1/((tbl_Finance[Job Number]=C459&amp;"")*(tbl_Finance[Xero Invoice No]&lt;&gt;"")),tbl_Finance[Xero Invoice No])&amp;" +more"),"")))</f>
        <v/>
      </c>
      <c r="C459" s="24" t="n"/>
      <c r="D459" s="25">
        <f>IF(C459="","",IF(COUNTIF(lst_Jobs,C459&amp;"")&gt;0,"OK","CHECK"))</f>
        <v/>
      </c>
      <c r="E459" s="25">
        <f>IF(C459="","",IFERROR(INDEX(lst_JobName,MATCH(C459&amp;"",lst_Jobs,0)),""))</f>
        <v/>
      </c>
      <c r="F459" s="25">
        <f>IF(C459="","",IFERROR(INDEX(tbl_Finance[Client],MATCH(C459&amp;"",tbl_Finance[Job Number],0)),""))</f>
        <v/>
      </c>
      <c r="G459" s="28">
        <f>IF(C459="","",COUNTIFS(tbl_Finance[Job Number],C459&amp;"",tbl_Finance[Ex GST],"&lt;&gt;"))</f>
        <v/>
      </c>
      <c r="H459" s="27">
        <f>IF(C459="","",SUMIFS(tbl_Finance[Ex GST],tbl_Finance[Job Number],C459&amp;""))</f>
        <v/>
      </c>
      <c r="I459" s="27">
        <f>IF(C459="","",SUMIFS(tbl_Finance[Ex GST],tbl_Finance[Job Number],C459&amp;"",tbl_Finance[Xero Invoice No],"&lt;&gt;"))</f>
        <v/>
      </c>
      <c r="J459" s="27">
        <f>IF(C459="","",H459-I459)</f>
        <v/>
      </c>
      <c r="K459" s="25">
        <f>IF(C459="","",IF(G459=0,"not invoiced yet",SUBSTITUTE(TRIM(IF(COUNTIFS(tbl_Finance[Job Number],C459&amp;"",tbl_Finance[Cost Centre],"ONSITE")&gt;0,"ONSITE ","")&amp;IF(COUNTIFS(tbl_Finance[Job Number],C459&amp;"",tbl_Finance[Cost Centre],"PRODUCTION")&gt;0,"PRODUCTION ","")&amp;IF(COUNTIFS(tbl_Finance[Job Number],C459&amp;"",tbl_Finance[Cost Centre],"VIDEO")&gt;0,"VIDEO ","")&amp;IF(COUNTIFS(tbl_Finance[Job Number],C459&amp;"",tbl_Finance[Cost Centre],"INTEGRATION")&gt;0,"INTEGRATION ","")&amp;IF(COUNTIFS(tbl_Finance[Job Number],C459&amp;"",tbl_Finance[Cost Centre],"CONSULTING")&gt;0,"CONSULTING ","")&amp;IF(COUNTIFS(tbl_Finance[Job Number],C459&amp;"",tbl_Finance[Cost Centre],"CTS")&gt;0,"CTS ",""))," ",", ")))</f>
        <v/>
      </c>
      <c r="L459" s="22" t="n"/>
      <c r="M459" s="24" t="n"/>
      <c r="N459" s="25">
        <f>IF(M459="","",IF(AND(LEFT(M459,4)&lt;&gt;"http",set_RMSBase=""),"",HYPERLINK(IF(LEFT(M459,4)="http",M459,set_RMSBase&amp;M459),"Open opportunity")))</f>
        <v/>
      </c>
      <c r="O459" s="25">
        <f>IF(C459="","",C459)</f>
        <v/>
      </c>
      <c r="P459" s="24" t="n"/>
      <c r="Q459" s="26" t="n"/>
      <c r="R459" s="27">
        <f>IF(C459="","",H459+N(Q459))</f>
        <v/>
      </c>
      <c r="S459" s="29">
        <f>IFERROR(Q459/R459,"")</f>
        <v/>
      </c>
      <c r="T459" s="26" t="n"/>
      <c r="U459" s="26" t="n"/>
      <c r="V459" s="27">
        <f>IF(C459="","",N(T459)+N(U459))</f>
        <v/>
      </c>
      <c r="W459" s="27">
        <f>IF(C459="","",H459-V459)</f>
        <v/>
      </c>
      <c r="X459" s="29">
        <f>IFERROR(W459/H459,"")</f>
        <v/>
      </c>
      <c r="Y459" s="64" t="n"/>
      <c r="Z459" s="64" t="n"/>
      <c r="AA459" s="64" t="n"/>
      <c r="AB459" s="64" t="n"/>
      <c r="AC459" s="64" t="n"/>
      <c r="AD459" s="24" t="n"/>
    </row>
    <row r="460" ht="15" customHeight="1">
      <c r="A460" s="63">
        <f>IF(C460="","",IFERROR(IF(SUMPRODUCT(MAX((tbl_Finance[Job Number]=C460&amp;"")*(tbl_Finance[Xero Invoice No]&lt;&gt;"")*tbl_Finance[Date]))=0,"",SUMPRODUCT(MAX((tbl_Finance[Job Number]=C460&amp;"")*(tbl_Finance[Xero Invoice No]&lt;&gt;"")*tbl_Finance[Date]))),""))</f>
        <v/>
      </c>
      <c r="B460" s="25">
        <f>IF(C460="","",IF(COUNTIFS(tbl_Finance[Job Number],C460&amp;"",tbl_Finance[Xero Invoice No],"&lt;&gt;")=0,"",IFERROR(IF(COUNTIFS(tbl_Finance[Job Number],C460&amp;"",tbl_Finance[Xero Invoice No],LOOKUP(2,1/((tbl_Finance[Job Number]=C460&amp;"")*(tbl_Finance[Xero Invoice No]&lt;&gt;"")),tbl_Finance[Xero Invoice No]))=COUNTIFS(tbl_Finance[Job Number],C460&amp;"",tbl_Finance[Xero Invoice No],"&lt;&gt;"),LOOKUP(2,1/((tbl_Finance[Job Number]=C460&amp;"")*(tbl_Finance[Xero Invoice No]&lt;&gt;"")),tbl_Finance[Xero Invoice No]),LOOKUP(2,1/((tbl_Finance[Job Number]=C460&amp;"")*(tbl_Finance[Xero Invoice No]&lt;&gt;"")),tbl_Finance[Xero Invoice No])&amp;" +more"),"")))</f>
        <v/>
      </c>
      <c r="C460" s="24" t="n"/>
      <c r="D460" s="25">
        <f>IF(C460="","",IF(COUNTIF(lst_Jobs,C460&amp;"")&gt;0,"OK","CHECK"))</f>
        <v/>
      </c>
      <c r="E460" s="25">
        <f>IF(C460="","",IFERROR(INDEX(lst_JobName,MATCH(C460&amp;"",lst_Jobs,0)),""))</f>
        <v/>
      </c>
      <c r="F460" s="25">
        <f>IF(C460="","",IFERROR(INDEX(tbl_Finance[Client],MATCH(C460&amp;"",tbl_Finance[Job Number],0)),""))</f>
        <v/>
      </c>
      <c r="G460" s="28">
        <f>IF(C460="","",COUNTIFS(tbl_Finance[Job Number],C460&amp;"",tbl_Finance[Ex GST],"&lt;&gt;"))</f>
        <v/>
      </c>
      <c r="H460" s="27">
        <f>IF(C460="","",SUMIFS(tbl_Finance[Ex GST],tbl_Finance[Job Number],C460&amp;""))</f>
        <v/>
      </c>
      <c r="I460" s="27">
        <f>IF(C460="","",SUMIFS(tbl_Finance[Ex GST],tbl_Finance[Job Number],C460&amp;"",tbl_Finance[Xero Invoice No],"&lt;&gt;"))</f>
        <v/>
      </c>
      <c r="J460" s="27">
        <f>IF(C460="","",H460-I460)</f>
        <v/>
      </c>
      <c r="K460" s="25">
        <f>IF(C460="","",IF(G460=0,"not invoiced yet",SUBSTITUTE(TRIM(IF(COUNTIFS(tbl_Finance[Job Number],C460&amp;"",tbl_Finance[Cost Centre],"ONSITE")&gt;0,"ONSITE ","")&amp;IF(COUNTIFS(tbl_Finance[Job Number],C460&amp;"",tbl_Finance[Cost Centre],"PRODUCTION")&gt;0,"PRODUCTION ","")&amp;IF(COUNTIFS(tbl_Finance[Job Number],C460&amp;"",tbl_Finance[Cost Centre],"VIDEO")&gt;0,"VIDEO ","")&amp;IF(COUNTIFS(tbl_Finance[Job Number],C460&amp;"",tbl_Finance[Cost Centre],"INTEGRATION")&gt;0,"INTEGRATION ","")&amp;IF(COUNTIFS(tbl_Finance[Job Number],C460&amp;"",tbl_Finance[Cost Centre],"CONSULTING")&gt;0,"CONSULTING ","")&amp;IF(COUNTIFS(tbl_Finance[Job Number],C460&amp;"",tbl_Finance[Cost Centre],"CTS")&gt;0,"CTS ",""))," ",", ")))</f>
        <v/>
      </c>
      <c r="L460" s="22" t="n"/>
      <c r="M460" s="24" t="n"/>
      <c r="N460" s="25">
        <f>IF(M460="","",IF(AND(LEFT(M460,4)&lt;&gt;"http",set_RMSBase=""),"",HYPERLINK(IF(LEFT(M460,4)="http",M460,set_RMSBase&amp;M460),"Open opportunity")))</f>
        <v/>
      </c>
      <c r="O460" s="25">
        <f>IF(C460="","",C460)</f>
        <v/>
      </c>
      <c r="P460" s="24" t="n"/>
      <c r="Q460" s="26" t="n"/>
      <c r="R460" s="27">
        <f>IF(C460="","",H460+N(Q460))</f>
        <v/>
      </c>
      <c r="S460" s="29">
        <f>IFERROR(Q460/R460,"")</f>
        <v/>
      </c>
      <c r="T460" s="26" t="n"/>
      <c r="U460" s="26" t="n"/>
      <c r="V460" s="27">
        <f>IF(C460="","",N(T460)+N(U460))</f>
        <v/>
      </c>
      <c r="W460" s="27">
        <f>IF(C460="","",H460-V460)</f>
        <v/>
      </c>
      <c r="X460" s="29">
        <f>IFERROR(W460/H460,"")</f>
        <v/>
      </c>
      <c r="Y460" s="64" t="n"/>
      <c r="Z460" s="64" t="n"/>
      <c r="AA460" s="64" t="n"/>
      <c r="AB460" s="64" t="n"/>
      <c r="AC460" s="64" t="n"/>
      <c r="AD460" s="24" t="n"/>
    </row>
    <row r="461" ht="15" customHeight="1">
      <c r="A461" s="63">
        <f>IF(C461="","",IFERROR(IF(SUMPRODUCT(MAX((tbl_Finance[Job Number]=C461&amp;"")*(tbl_Finance[Xero Invoice No]&lt;&gt;"")*tbl_Finance[Date]))=0,"",SUMPRODUCT(MAX((tbl_Finance[Job Number]=C461&amp;"")*(tbl_Finance[Xero Invoice No]&lt;&gt;"")*tbl_Finance[Date]))),""))</f>
        <v/>
      </c>
      <c r="B461" s="25">
        <f>IF(C461="","",IF(COUNTIFS(tbl_Finance[Job Number],C461&amp;"",tbl_Finance[Xero Invoice No],"&lt;&gt;")=0,"",IFERROR(IF(COUNTIFS(tbl_Finance[Job Number],C461&amp;"",tbl_Finance[Xero Invoice No],LOOKUP(2,1/((tbl_Finance[Job Number]=C461&amp;"")*(tbl_Finance[Xero Invoice No]&lt;&gt;"")),tbl_Finance[Xero Invoice No]))=COUNTIFS(tbl_Finance[Job Number],C461&amp;"",tbl_Finance[Xero Invoice No],"&lt;&gt;"),LOOKUP(2,1/((tbl_Finance[Job Number]=C461&amp;"")*(tbl_Finance[Xero Invoice No]&lt;&gt;"")),tbl_Finance[Xero Invoice No]),LOOKUP(2,1/((tbl_Finance[Job Number]=C461&amp;"")*(tbl_Finance[Xero Invoice No]&lt;&gt;"")),tbl_Finance[Xero Invoice No])&amp;" +more"),"")))</f>
        <v/>
      </c>
      <c r="C461" s="24" t="n"/>
      <c r="D461" s="25">
        <f>IF(C461="","",IF(COUNTIF(lst_Jobs,C461&amp;"")&gt;0,"OK","CHECK"))</f>
        <v/>
      </c>
      <c r="E461" s="25">
        <f>IF(C461="","",IFERROR(INDEX(lst_JobName,MATCH(C461&amp;"",lst_Jobs,0)),""))</f>
        <v/>
      </c>
      <c r="F461" s="25">
        <f>IF(C461="","",IFERROR(INDEX(tbl_Finance[Client],MATCH(C461&amp;"",tbl_Finance[Job Number],0)),""))</f>
        <v/>
      </c>
      <c r="G461" s="28">
        <f>IF(C461="","",COUNTIFS(tbl_Finance[Job Number],C461&amp;"",tbl_Finance[Ex GST],"&lt;&gt;"))</f>
        <v/>
      </c>
      <c r="H461" s="27">
        <f>IF(C461="","",SUMIFS(tbl_Finance[Ex GST],tbl_Finance[Job Number],C461&amp;""))</f>
        <v/>
      </c>
      <c r="I461" s="27">
        <f>IF(C461="","",SUMIFS(tbl_Finance[Ex GST],tbl_Finance[Job Number],C461&amp;"",tbl_Finance[Xero Invoice No],"&lt;&gt;"))</f>
        <v/>
      </c>
      <c r="J461" s="27">
        <f>IF(C461="","",H461-I461)</f>
        <v/>
      </c>
      <c r="K461" s="25">
        <f>IF(C461="","",IF(G461=0,"not invoiced yet",SUBSTITUTE(TRIM(IF(COUNTIFS(tbl_Finance[Job Number],C461&amp;"",tbl_Finance[Cost Centre],"ONSITE")&gt;0,"ONSITE ","")&amp;IF(COUNTIFS(tbl_Finance[Job Number],C461&amp;"",tbl_Finance[Cost Centre],"PRODUCTION")&gt;0,"PRODUCTION ","")&amp;IF(COUNTIFS(tbl_Finance[Job Number],C461&amp;"",tbl_Finance[Cost Centre],"VIDEO")&gt;0,"VIDEO ","")&amp;IF(COUNTIFS(tbl_Finance[Job Number],C461&amp;"",tbl_Finance[Cost Centre],"INTEGRATION")&gt;0,"INTEGRATION ","")&amp;IF(COUNTIFS(tbl_Finance[Job Number],C461&amp;"",tbl_Finance[Cost Centre],"CONSULTING")&gt;0,"CONSULTING ","")&amp;IF(COUNTIFS(tbl_Finance[Job Number],C461&amp;"",tbl_Finance[Cost Centre],"CTS")&gt;0,"CTS ",""))," ",", ")))</f>
        <v/>
      </c>
      <c r="L461" s="22" t="n"/>
      <c r="M461" s="24" t="n"/>
      <c r="N461" s="25">
        <f>IF(M461="","",IF(AND(LEFT(M461,4)&lt;&gt;"http",set_RMSBase=""),"",HYPERLINK(IF(LEFT(M461,4)="http",M461,set_RMSBase&amp;M461),"Open opportunity")))</f>
        <v/>
      </c>
      <c r="O461" s="25">
        <f>IF(C461="","",C461)</f>
        <v/>
      </c>
      <c r="P461" s="24" t="n"/>
      <c r="Q461" s="26" t="n"/>
      <c r="R461" s="27">
        <f>IF(C461="","",H461+N(Q461))</f>
        <v/>
      </c>
      <c r="S461" s="29">
        <f>IFERROR(Q461/R461,"")</f>
        <v/>
      </c>
      <c r="T461" s="26" t="n"/>
      <c r="U461" s="26" t="n"/>
      <c r="V461" s="27">
        <f>IF(C461="","",N(T461)+N(U461))</f>
        <v/>
      </c>
      <c r="W461" s="27">
        <f>IF(C461="","",H461-V461)</f>
        <v/>
      </c>
      <c r="X461" s="29">
        <f>IFERROR(W461/H461,"")</f>
        <v/>
      </c>
      <c r="Y461" s="64" t="n"/>
      <c r="Z461" s="64" t="n"/>
      <c r="AA461" s="64" t="n"/>
      <c r="AB461" s="64" t="n"/>
      <c r="AC461" s="64" t="n"/>
      <c r="AD461" s="24" t="n"/>
    </row>
    <row r="462" ht="15" customHeight="1">
      <c r="A462" s="63">
        <f>IF(C462="","",IFERROR(IF(SUMPRODUCT(MAX((tbl_Finance[Job Number]=C462&amp;"")*(tbl_Finance[Xero Invoice No]&lt;&gt;"")*tbl_Finance[Date]))=0,"",SUMPRODUCT(MAX((tbl_Finance[Job Number]=C462&amp;"")*(tbl_Finance[Xero Invoice No]&lt;&gt;"")*tbl_Finance[Date]))),""))</f>
        <v/>
      </c>
      <c r="B462" s="25">
        <f>IF(C462="","",IF(COUNTIFS(tbl_Finance[Job Number],C462&amp;"",tbl_Finance[Xero Invoice No],"&lt;&gt;")=0,"",IFERROR(IF(COUNTIFS(tbl_Finance[Job Number],C462&amp;"",tbl_Finance[Xero Invoice No],LOOKUP(2,1/((tbl_Finance[Job Number]=C462&amp;"")*(tbl_Finance[Xero Invoice No]&lt;&gt;"")),tbl_Finance[Xero Invoice No]))=COUNTIFS(tbl_Finance[Job Number],C462&amp;"",tbl_Finance[Xero Invoice No],"&lt;&gt;"),LOOKUP(2,1/((tbl_Finance[Job Number]=C462&amp;"")*(tbl_Finance[Xero Invoice No]&lt;&gt;"")),tbl_Finance[Xero Invoice No]),LOOKUP(2,1/((tbl_Finance[Job Number]=C462&amp;"")*(tbl_Finance[Xero Invoice No]&lt;&gt;"")),tbl_Finance[Xero Invoice No])&amp;" +more"),"")))</f>
        <v/>
      </c>
      <c r="C462" s="24" t="n"/>
      <c r="D462" s="25">
        <f>IF(C462="","",IF(COUNTIF(lst_Jobs,C462&amp;"")&gt;0,"OK","CHECK"))</f>
        <v/>
      </c>
      <c r="E462" s="25">
        <f>IF(C462="","",IFERROR(INDEX(lst_JobName,MATCH(C462&amp;"",lst_Jobs,0)),""))</f>
        <v/>
      </c>
      <c r="F462" s="25">
        <f>IF(C462="","",IFERROR(INDEX(tbl_Finance[Client],MATCH(C462&amp;"",tbl_Finance[Job Number],0)),""))</f>
        <v/>
      </c>
      <c r="G462" s="28">
        <f>IF(C462="","",COUNTIFS(tbl_Finance[Job Number],C462&amp;"",tbl_Finance[Ex GST],"&lt;&gt;"))</f>
        <v/>
      </c>
      <c r="H462" s="27">
        <f>IF(C462="","",SUMIFS(tbl_Finance[Ex GST],tbl_Finance[Job Number],C462&amp;""))</f>
        <v/>
      </c>
      <c r="I462" s="27">
        <f>IF(C462="","",SUMIFS(tbl_Finance[Ex GST],tbl_Finance[Job Number],C462&amp;"",tbl_Finance[Xero Invoice No],"&lt;&gt;"))</f>
        <v/>
      </c>
      <c r="J462" s="27">
        <f>IF(C462="","",H462-I462)</f>
        <v/>
      </c>
      <c r="K462" s="25">
        <f>IF(C462="","",IF(G462=0,"not invoiced yet",SUBSTITUTE(TRIM(IF(COUNTIFS(tbl_Finance[Job Number],C462&amp;"",tbl_Finance[Cost Centre],"ONSITE")&gt;0,"ONSITE ","")&amp;IF(COUNTIFS(tbl_Finance[Job Number],C462&amp;"",tbl_Finance[Cost Centre],"PRODUCTION")&gt;0,"PRODUCTION ","")&amp;IF(COUNTIFS(tbl_Finance[Job Number],C462&amp;"",tbl_Finance[Cost Centre],"VIDEO")&gt;0,"VIDEO ","")&amp;IF(COUNTIFS(tbl_Finance[Job Number],C462&amp;"",tbl_Finance[Cost Centre],"INTEGRATION")&gt;0,"INTEGRATION ","")&amp;IF(COUNTIFS(tbl_Finance[Job Number],C462&amp;"",tbl_Finance[Cost Centre],"CONSULTING")&gt;0,"CONSULTING ","")&amp;IF(COUNTIFS(tbl_Finance[Job Number],C462&amp;"",tbl_Finance[Cost Centre],"CTS")&gt;0,"CTS ",""))," ",", ")))</f>
        <v/>
      </c>
      <c r="L462" s="22" t="n"/>
      <c r="M462" s="24" t="n"/>
      <c r="N462" s="25">
        <f>IF(M462="","",IF(AND(LEFT(M462,4)&lt;&gt;"http",set_RMSBase=""),"",HYPERLINK(IF(LEFT(M462,4)="http",M462,set_RMSBase&amp;M462),"Open opportunity")))</f>
        <v/>
      </c>
      <c r="O462" s="25">
        <f>IF(C462="","",C462)</f>
        <v/>
      </c>
      <c r="P462" s="24" t="n"/>
      <c r="Q462" s="26" t="n"/>
      <c r="R462" s="27">
        <f>IF(C462="","",H462+N(Q462))</f>
        <v/>
      </c>
      <c r="S462" s="29">
        <f>IFERROR(Q462/R462,"")</f>
        <v/>
      </c>
      <c r="T462" s="26" t="n"/>
      <c r="U462" s="26" t="n"/>
      <c r="V462" s="27">
        <f>IF(C462="","",N(T462)+N(U462))</f>
        <v/>
      </c>
      <c r="W462" s="27">
        <f>IF(C462="","",H462-V462)</f>
        <v/>
      </c>
      <c r="X462" s="29">
        <f>IFERROR(W462/H462,"")</f>
        <v/>
      </c>
      <c r="Y462" s="64" t="n"/>
      <c r="Z462" s="64" t="n"/>
      <c r="AA462" s="64" t="n"/>
      <c r="AB462" s="64" t="n"/>
      <c r="AC462" s="64" t="n"/>
      <c r="AD462" s="24" t="n"/>
    </row>
  </sheetData>
  <sheetProtection selectLockedCells="0" selectUnlockedCells="0" sheet="1" objects="0" insertRows="0" insertHyperlinks="1" autoFilter="0" scenarios="0" formatColumns="0" deleteColumns="1" insertColumns="1" pivotTables="1" deleteRows="1" formatCells="0" formatRows="0" sort="0"/>
  <mergeCells count="1">
    <mergeCell ref="A3:K3"/>
  </mergeCells>
  <conditionalFormatting sqref="D5:D5000">
    <cfRule type="expression" priority="1" dxfId="0" stopIfTrue="0">
      <formula>D5="CHECK"</formula>
    </cfRule>
  </conditionalFormatting>
  <dataValidations count="1">
    <dataValidation sqref="P5:P20000" showDropDown="0" showInputMessage="0" showErrorMessage="1" allowBlank="1" errorTitle="Not on the list" error="&quot;Job Closed&quot; is not on the list in the Lists sheet. Add it there if it is genuinely new." type="list" errorStyle="warning">
      <formula1>lst_YN</formula1>
    </dataValidation>
  </dataValidations>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5B708A"/>
    <outlinePr summaryBelow="1" summaryRight="1"/>
    <pageSetUpPr/>
  </sheetPr>
  <dimension ref="A1:X432"/>
  <sheetViews>
    <sheetView showGridLines="0" tabSelected="0" zoomScale="9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5" customWidth="1" min="3" max="3"/>
    <col width="12" customWidth="1" min="4" max="4"/>
    <col width="38" customWidth="1" min="5" max="5"/>
    <col width="24" customWidth="1" min="6" max="6"/>
    <col width="11" customWidth="1" min="7" max="7"/>
    <col width="16" customWidth="1" min="8" max="8"/>
    <col width="14" customWidth="1" min="9" max="9"/>
    <col width="14" customWidth="1" min="10" max="10"/>
    <col width="16" customWidth="1" min="11" max="11"/>
    <col width="40" customWidth="1" min="12" max="12"/>
    <col width="14" customWidth="1" min="13" max="13"/>
    <col width="15" customWidth="1" min="14" max="14"/>
    <col width="17" customWidth="1" min="15" max="15"/>
    <col width="19" customWidth="1" min="16" max="16"/>
    <col width="18" customWidth="1" min="17" max="17"/>
    <col width="22" customWidth="1" min="18" max="18"/>
    <col width="26" customWidth="1" min="19" max="19"/>
    <col width="28" customWidth="1" min="20" max="20"/>
    <col width="14" customWidth="1" min="21" max="21"/>
    <col width="14" customWidth="1" min="22" max="22"/>
    <col width="10" customWidth="1" min="23" max="23"/>
    <col width="38" customWidth="1" min="24" max="24"/>
  </cols>
  <sheetData>
    <row r="1" ht="24" customHeight="1">
      <c r="A1" s="18" t="inlineStr">
        <is>
          <t>Consulting - Job Detail</t>
        </is>
      </c>
    </row>
    <row r="2" ht="16" customHeight="1">
      <c r="A2" s="2" t="inlineStr">
        <is>
          <t>Consulting and Integration jobs. One row per job number. Revenue comes from the Finance sheet; split it across Labour / Equipment / Subscription and the check column flags any mismatch.</t>
        </is>
      </c>
    </row>
    <row r="3" ht="22" customHeight="1">
      <c r="A3" s="19">
        <f>"Revenue Ex GST  "&amp;TEXT(SUBTOTAL(109,tbl_Consulting[Revenue Ex GST]),"$#,##0.00")</f>
        <v/>
      </c>
    </row>
    <row r="4" ht="34" customHeight="1">
      <c r="A4" s="21" t="inlineStr">
        <is>
          <t>Invoice Date</t>
        </is>
      </c>
      <c r="B4" s="21" t="inlineStr">
        <is>
          <t>Invoice No</t>
        </is>
      </c>
      <c r="C4" s="20" t="inlineStr">
        <is>
          <t>Job Number</t>
        </is>
      </c>
      <c r="D4" s="21" t="inlineStr">
        <is>
          <t>Job in Xero?</t>
        </is>
      </c>
      <c r="E4" s="21" t="inlineStr">
        <is>
          <t>Job Name (Xero)</t>
        </is>
      </c>
      <c r="F4" s="21" t="inlineStr">
        <is>
          <t>Client</t>
        </is>
      </c>
      <c r="G4" s="21" t="inlineStr">
        <is>
          <t>Lines on Job</t>
        </is>
      </c>
      <c r="H4" s="21" t="inlineStr">
        <is>
          <t>Revenue Ex GST</t>
        </is>
      </c>
      <c r="I4" s="21" t="inlineStr">
        <is>
          <t>Invoiced</t>
        </is>
      </c>
      <c r="J4" s="21" t="inlineStr">
        <is>
          <t>To Invoice</t>
        </is>
      </c>
      <c r="K4" s="21" t="inlineStr">
        <is>
          <t>Cost Centres</t>
        </is>
      </c>
      <c r="L4" s="20" t="inlineStr">
        <is>
          <t>Qwilr Quote</t>
        </is>
      </c>
      <c r="M4" s="21" t="inlineStr">
        <is>
          <t>Open Qwilr</t>
        </is>
      </c>
      <c r="N4" s="20" t="inlineStr">
        <is>
          <t>Labour Revenue</t>
        </is>
      </c>
      <c r="O4" s="20" t="inlineStr">
        <is>
          <t>Equipment Revenue</t>
        </is>
      </c>
      <c r="P4" s="20" t="inlineStr">
        <is>
          <t>Subscription Revenue</t>
        </is>
      </c>
      <c r="Q4" s="21" t="inlineStr">
        <is>
          <t>Revenue Split Check</t>
        </is>
      </c>
      <c r="R4" s="20" t="inlineStr">
        <is>
          <t>Labour Expense (External)</t>
        </is>
      </c>
      <c r="S4" s="20" t="inlineStr">
        <is>
          <t>Equipment Expense (Internal)</t>
        </is>
      </c>
      <c r="T4" s="20" t="inlineStr">
        <is>
          <t>Subscription &amp; Licences Expense</t>
        </is>
      </c>
      <c r="U4" s="21" t="inlineStr">
        <is>
          <t>Total Expense</t>
        </is>
      </c>
      <c r="V4" s="21" t="inlineStr">
        <is>
          <t>Margin</t>
        </is>
      </c>
      <c r="W4" s="21" t="inlineStr">
        <is>
          <t>Margin %</t>
        </is>
      </c>
      <c r="X4" s="20" t="inlineStr">
        <is>
          <t>Notes</t>
        </is>
      </c>
    </row>
    <row r="5" ht="15" customHeight="1">
      <c r="A5" s="63">
        <f>IF(C5="","",IFERROR(IF(SUMPRODUCT(MAX((tbl_Finance[Job Number]=C5&amp;"")*(tbl_Finance[Xero Invoice No]&lt;&gt;"")*tbl_Finance[Date]))=0,"",SUMPRODUCT(MAX((tbl_Finance[Job Number]=C5&amp;"")*(tbl_Finance[Xero Invoice No]&lt;&gt;"")*tbl_Finance[Date]))),""))</f>
        <v/>
      </c>
      <c r="B5" s="25">
        <f>IF(C5="","",IF(COUNTIFS(tbl_Finance[Job Number],C5&amp;"",tbl_Finance[Xero Invoice No],"&lt;&gt;")=0,"",IFERROR(IF(COUNTIFS(tbl_Finance[Job Number],C5&amp;"",tbl_Finance[Xero Invoice No],LOOKUP(2,1/((tbl_Finance[Job Number]=C5&amp;"")*(tbl_Finance[Xero Invoice No]&lt;&gt;"")),tbl_Finance[Xero Invoice No]))=COUNTIFS(tbl_Finance[Job Number],C5&amp;"",tbl_Finance[Xero Invoice No],"&lt;&gt;"),LOOKUP(2,1/((tbl_Finance[Job Number]=C5&amp;"")*(tbl_Finance[Xero Invoice No]&lt;&gt;"")),tbl_Finance[Xero Invoice No]),LOOKUP(2,1/((tbl_Finance[Job Number]=C5&amp;"")*(tbl_Finance[Xero Invoice No]&lt;&gt;"")),tbl_Finance[Xero Invoice No])&amp;" +more"),"")))</f>
        <v/>
      </c>
      <c r="C5" s="24" t="inlineStr">
        <is>
          <t>25021901</t>
        </is>
      </c>
      <c r="D5" s="25">
        <f>IF(C5="","",IF(COUNTIF(lst_Jobs,C5&amp;"")&gt;0,"OK","CHECK"))</f>
        <v/>
      </c>
      <c r="E5" s="25">
        <f>IF(C5="","",IFERROR(INDEX(lst_JobName,MATCH(C5&amp;"",lst_Jobs,0)),""))</f>
        <v/>
      </c>
      <c r="F5" s="25">
        <f>IF(C5="","",IFERROR(INDEX(tbl_Finance[Client],MATCH(C5&amp;"",tbl_Finance[Job Number],0)),""))</f>
        <v/>
      </c>
      <c r="G5" s="28">
        <f>IF(C5="","",COUNTIFS(tbl_Finance[Job Number],C5&amp;"",tbl_Finance[Ex GST],"&lt;&gt;"))</f>
        <v/>
      </c>
      <c r="H5" s="27">
        <f>IF(C5="","",SUMIFS(tbl_Finance[Ex GST],tbl_Finance[Job Number],C5&amp;""))</f>
        <v/>
      </c>
      <c r="I5" s="27">
        <f>IF(C5="","",SUMIFS(tbl_Finance[Ex GST],tbl_Finance[Job Number],C5&amp;"",tbl_Finance[Xero Invoice No],"&lt;&gt;"))</f>
        <v/>
      </c>
      <c r="J5" s="27">
        <f>IF(C5="","",H5-I5)</f>
        <v/>
      </c>
      <c r="K5" s="25">
        <f>IF(C5="","",IF(G5=0,"not invoiced yet",SUBSTITUTE(TRIM(IF(COUNTIFS(tbl_Finance[Job Number],C5&amp;"",tbl_Finance[Cost Centre],"ONSITE")&gt;0,"ONSITE ","")&amp;IF(COUNTIFS(tbl_Finance[Job Number],C5&amp;"",tbl_Finance[Cost Centre],"PRODUCTION")&gt;0,"PRODUCTION ","")&amp;IF(COUNTIFS(tbl_Finance[Job Number],C5&amp;"",tbl_Finance[Cost Centre],"VIDEO")&gt;0,"VIDEO ","")&amp;IF(COUNTIFS(tbl_Finance[Job Number],C5&amp;"",tbl_Finance[Cost Centre],"INTEGRATION")&gt;0,"INTEGRATION ","")&amp;IF(COUNTIFS(tbl_Finance[Job Number],C5&amp;"",tbl_Finance[Cost Centre],"CONSULTING")&gt;0,"CONSULTING ","")&amp;IF(COUNTIFS(tbl_Finance[Job Number],C5&amp;"",tbl_Finance[Cost Centre],"CTS")&gt;0,"CTS ",""))," ",", ")))</f>
        <v/>
      </c>
      <c r="L5" s="24" t="inlineStr">
        <is>
          <t>https://cts.qwilr.com/25021901-DAFF-Technology-Standards-Evaluation-A7PRmNNwQ5Wn</t>
        </is>
      </c>
      <c r="M5" s="25">
        <f>IF(L5="","",HYPERLINK(IF(LEFT(L5,4)="http",L5,set_QwilrBase&amp;L5),"Open quote"))</f>
        <v/>
      </c>
      <c r="N5" s="26" t="n">
        <v>9875</v>
      </c>
      <c r="O5" s="26" t="n"/>
      <c r="P5" s="26" t="n"/>
      <c r="Q5" s="25">
        <f>IF(C5="","",IF(N(N5)+N(O5)+N(P5)=0,"Not split",IF(ROUND(N(N5)+N(O5)+N(P5),2)=ROUND(H5,2),"OK","MISMATCH")))</f>
        <v/>
      </c>
      <c r="R5" s="26" t="n"/>
      <c r="S5" s="26" t="n"/>
      <c r="T5" s="26" t="n"/>
      <c r="U5" s="27">
        <f>IF(C5="","",N(R5)+N(S5)+N(T5))</f>
        <v/>
      </c>
      <c r="V5" s="27">
        <f>IF(C5="","",H5-U5)</f>
        <v/>
      </c>
      <c r="W5" s="29">
        <f>IFERROR(V5/H5,"")</f>
        <v/>
      </c>
      <c r="X5" s="24" t="inlineStr">
        <is>
          <t>Revenue still in WIP</t>
        </is>
      </c>
    </row>
    <row r="6" ht="15" customHeight="1">
      <c r="A6" s="63">
        <f>IF(C6="","",IFERROR(IF(SUMPRODUCT(MAX((tbl_Finance[Job Number]=C6&amp;"")*(tbl_Finance[Xero Invoice No]&lt;&gt;"")*tbl_Finance[Date]))=0,"",SUMPRODUCT(MAX((tbl_Finance[Job Number]=C6&amp;"")*(tbl_Finance[Xero Invoice No]&lt;&gt;"")*tbl_Finance[Date]))),""))</f>
        <v/>
      </c>
      <c r="B6" s="25">
        <f>IF(C6="","",IF(COUNTIFS(tbl_Finance[Job Number],C6&amp;"",tbl_Finance[Xero Invoice No],"&lt;&gt;")=0,"",IFERROR(IF(COUNTIFS(tbl_Finance[Job Number],C6&amp;"",tbl_Finance[Xero Invoice No],LOOKUP(2,1/((tbl_Finance[Job Number]=C6&amp;"")*(tbl_Finance[Xero Invoice No]&lt;&gt;"")),tbl_Finance[Xero Invoice No]))=COUNTIFS(tbl_Finance[Job Number],C6&amp;"",tbl_Finance[Xero Invoice No],"&lt;&gt;"),LOOKUP(2,1/((tbl_Finance[Job Number]=C6&amp;"")*(tbl_Finance[Xero Invoice No]&lt;&gt;"")),tbl_Finance[Xero Invoice No]),LOOKUP(2,1/((tbl_Finance[Job Number]=C6&amp;"")*(tbl_Finance[Xero Invoice No]&lt;&gt;"")),tbl_Finance[Xero Invoice No])&amp;" +more"),"")))</f>
        <v/>
      </c>
      <c r="C6" s="24" t="inlineStr">
        <is>
          <t>25102701</t>
        </is>
      </c>
      <c r="D6" s="25">
        <f>IF(C6="","",IF(COUNTIF(lst_Jobs,C6&amp;"")&gt;0,"OK","CHECK"))</f>
        <v/>
      </c>
      <c r="E6" s="25">
        <f>IF(C6="","",IFERROR(INDEX(lst_JobName,MATCH(C6&amp;"",lst_Jobs,0)),""))</f>
        <v/>
      </c>
      <c r="F6" s="25">
        <f>IF(C6="","",IFERROR(INDEX(tbl_Finance[Client],MATCH(C6&amp;"",tbl_Finance[Job Number],0)),""))</f>
        <v/>
      </c>
      <c r="G6" s="28">
        <f>IF(C6="","",COUNTIFS(tbl_Finance[Job Number],C6&amp;"",tbl_Finance[Ex GST],"&lt;&gt;"))</f>
        <v/>
      </c>
      <c r="H6" s="27">
        <f>IF(C6="","",SUMIFS(tbl_Finance[Ex GST],tbl_Finance[Job Number],C6&amp;""))</f>
        <v/>
      </c>
      <c r="I6" s="27">
        <f>IF(C6="","",SUMIFS(tbl_Finance[Ex GST],tbl_Finance[Job Number],C6&amp;"",tbl_Finance[Xero Invoice No],"&lt;&gt;"))</f>
        <v/>
      </c>
      <c r="J6" s="27">
        <f>IF(C6="","",H6-I6)</f>
        <v/>
      </c>
      <c r="K6" s="25">
        <f>IF(C6="","",IF(G6=0,"not invoiced yet",SUBSTITUTE(TRIM(IF(COUNTIFS(tbl_Finance[Job Number],C6&amp;"",tbl_Finance[Cost Centre],"ONSITE")&gt;0,"ONSITE ","")&amp;IF(COUNTIFS(tbl_Finance[Job Number],C6&amp;"",tbl_Finance[Cost Centre],"PRODUCTION")&gt;0,"PRODUCTION ","")&amp;IF(COUNTIFS(tbl_Finance[Job Number],C6&amp;"",tbl_Finance[Cost Centre],"VIDEO")&gt;0,"VIDEO ","")&amp;IF(COUNTIFS(tbl_Finance[Job Number],C6&amp;"",tbl_Finance[Cost Centre],"INTEGRATION")&gt;0,"INTEGRATION ","")&amp;IF(COUNTIFS(tbl_Finance[Job Number],C6&amp;"",tbl_Finance[Cost Centre],"CONSULTING")&gt;0,"CONSULTING ","")&amp;IF(COUNTIFS(tbl_Finance[Job Number],C6&amp;"",tbl_Finance[Cost Centre],"CTS")&gt;0,"CTS ",""))," ",", ")))</f>
        <v/>
      </c>
      <c r="L6" s="24" t="inlineStr">
        <is>
          <t>https://cts.qwilr.com/25102701-DEWR-Studio-Upgrade-ESE25-143997-Rev-4-KTqWXx2QQz6f</t>
        </is>
      </c>
      <c r="M6" s="25">
        <f>IF(L6="","",HYPERLINK(IF(LEFT(L6,4)="http",L6,set_QwilrBase&amp;L6),"Open quote"))</f>
        <v/>
      </c>
      <c r="N6" s="26" t="n">
        <v>68273</v>
      </c>
      <c r="O6" s="26" t="n"/>
      <c r="P6" s="26" t="n"/>
      <c r="Q6" s="25">
        <f>IF(C6="","",IF(N(N6)+N(O6)+N(P6)=0,"Not split",IF(ROUND(N(N6)+N(O6)+N(P6),2)=ROUND(H6,2),"OK","MISMATCH")))</f>
        <v/>
      </c>
      <c r="R6" s="26" t="n"/>
      <c r="S6" s="26" t="n">
        <v>149604.26</v>
      </c>
      <c r="T6" s="26" t="n"/>
      <c r="U6" s="27">
        <f>IF(C6="","",N(R6)+N(S6)+N(T6))</f>
        <v/>
      </c>
      <c r="V6" s="27">
        <f>IF(C6="","",H6-U6)</f>
        <v/>
      </c>
      <c r="W6" s="29">
        <f>IFERROR(V6/H6,"")</f>
        <v/>
      </c>
      <c r="X6" s="24" t="inlineStr">
        <is>
          <t>Progress Claim 01</t>
        </is>
      </c>
    </row>
    <row r="7" ht="15" customHeight="1">
      <c r="A7" s="63">
        <f>IF(C7="","",IFERROR(IF(SUMPRODUCT(MAX((tbl_Finance[Job Number]=C7&amp;"")*(tbl_Finance[Xero Invoice No]&lt;&gt;"")*tbl_Finance[Date]))=0,"",SUMPRODUCT(MAX((tbl_Finance[Job Number]=C7&amp;"")*(tbl_Finance[Xero Invoice No]&lt;&gt;"")*tbl_Finance[Date]))),""))</f>
        <v/>
      </c>
      <c r="B7" s="25">
        <f>IF(C7="","",IF(COUNTIFS(tbl_Finance[Job Number],C7&amp;"",tbl_Finance[Xero Invoice No],"&lt;&gt;")=0,"",IFERROR(IF(COUNTIFS(tbl_Finance[Job Number],C7&amp;"",tbl_Finance[Xero Invoice No],LOOKUP(2,1/((tbl_Finance[Job Number]=C7&amp;"")*(tbl_Finance[Xero Invoice No]&lt;&gt;"")),tbl_Finance[Xero Invoice No]))=COUNTIFS(tbl_Finance[Job Number],C7&amp;"",tbl_Finance[Xero Invoice No],"&lt;&gt;"),LOOKUP(2,1/((tbl_Finance[Job Number]=C7&amp;"")*(tbl_Finance[Xero Invoice No]&lt;&gt;"")),tbl_Finance[Xero Invoice No]),LOOKUP(2,1/((tbl_Finance[Job Number]=C7&amp;"")*(tbl_Finance[Xero Invoice No]&lt;&gt;"")),tbl_Finance[Xero Invoice No])&amp;" +more"),"")))</f>
        <v/>
      </c>
      <c r="C7" s="24" t="inlineStr">
        <is>
          <t>26052002</t>
        </is>
      </c>
      <c r="D7" s="25">
        <f>IF(C7="","",IF(COUNTIF(lst_Jobs,C7&amp;"")&gt;0,"OK","CHECK"))</f>
        <v/>
      </c>
      <c r="E7" s="25">
        <f>IF(C7="","",IFERROR(INDEX(lst_JobName,MATCH(C7&amp;"",lst_Jobs,0)),""))</f>
        <v/>
      </c>
      <c r="F7" s="25">
        <f>IF(C7="","",IFERROR(INDEX(tbl_Finance[Client],MATCH(C7&amp;"",tbl_Finance[Job Number],0)),""))</f>
        <v/>
      </c>
      <c r="G7" s="28">
        <f>IF(C7="","",COUNTIFS(tbl_Finance[Job Number],C7&amp;"",tbl_Finance[Ex GST],"&lt;&gt;"))</f>
        <v/>
      </c>
      <c r="H7" s="27">
        <f>IF(C7="","",SUMIFS(tbl_Finance[Ex GST],tbl_Finance[Job Number],C7&amp;""))</f>
        <v/>
      </c>
      <c r="I7" s="27">
        <f>IF(C7="","",SUMIFS(tbl_Finance[Ex GST],tbl_Finance[Job Number],C7&amp;"",tbl_Finance[Xero Invoice No],"&lt;&gt;"))</f>
        <v/>
      </c>
      <c r="J7" s="27">
        <f>IF(C7="","",H7-I7)</f>
        <v/>
      </c>
      <c r="K7" s="25">
        <f>IF(C7="","",IF(G7=0,"not invoiced yet",SUBSTITUTE(TRIM(IF(COUNTIFS(tbl_Finance[Job Number],C7&amp;"",tbl_Finance[Cost Centre],"ONSITE")&gt;0,"ONSITE ","")&amp;IF(COUNTIFS(tbl_Finance[Job Number],C7&amp;"",tbl_Finance[Cost Centre],"PRODUCTION")&gt;0,"PRODUCTION ","")&amp;IF(COUNTIFS(tbl_Finance[Job Number],C7&amp;"",tbl_Finance[Cost Centre],"VIDEO")&gt;0,"VIDEO ","")&amp;IF(COUNTIFS(tbl_Finance[Job Number],C7&amp;"",tbl_Finance[Cost Centre],"INTEGRATION")&gt;0,"INTEGRATION ","")&amp;IF(COUNTIFS(tbl_Finance[Job Number],C7&amp;"",tbl_Finance[Cost Centre],"CONSULTING")&gt;0,"CONSULTING ","")&amp;IF(COUNTIFS(tbl_Finance[Job Number],C7&amp;"",tbl_Finance[Cost Centre],"CTS")&gt;0,"CTS ",""))," ",", ")))</f>
        <v/>
      </c>
      <c r="L7" s="24" t="inlineStr">
        <is>
          <t>https://cts.qwilr.com/26052002-DeloitteBNE-Proposal-v1-0-Agx8wV5qTcax</t>
        </is>
      </c>
      <c r="M7" s="25">
        <f>IF(L7="","",HYPERLINK(IF(LEFT(L7,4)="http",L7,set_QwilrBase&amp;L7),"Open quote"))</f>
        <v/>
      </c>
      <c r="N7" s="26" t="n">
        <v>18262</v>
      </c>
      <c r="O7" s="26" t="n">
        <v>39444</v>
      </c>
      <c r="P7" s="26" t="n"/>
      <c r="Q7" s="25">
        <f>IF(C7="","",IF(N(N7)+N(O7)+N(P7)=0,"Not split",IF(ROUND(N(N7)+N(O7)+N(P7),2)=ROUND(H7,2),"OK","MISMATCH")))</f>
        <v/>
      </c>
      <c r="R7" s="26" t="n">
        <v>15600</v>
      </c>
      <c r="S7" s="26" t="n">
        <v>36400</v>
      </c>
      <c r="T7" s="26" t="n"/>
      <c r="U7" s="27">
        <f>IF(C7="","",N(R7)+N(S7)+N(T7))</f>
        <v/>
      </c>
      <c r="V7" s="27">
        <f>IF(C7="","",H7-U7)</f>
        <v/>
      </c>
      <c r="W7" s="29">
        <f>IFERROR(V7/H7,"")</f>
        <v/>
      </c>
      <c r="X7" s="24" t="n"/>
    </row>
    <row r="8" ht="15" customHeight="1">
      <c r="A8" s="63">
        <f>IF(C8="","",IFERROR(IF(SUMPRODUCT(MAX((tbl_Finance[Job Number]=C8&amp;"")*(tbl_Finance[Xero Invoice No]&lt;&gt;"")*tbl_Finance[Date]))=0,"",SUMPRODUCT(MAX((tbl_Finance[Job Number]=C8&amp;"")*(tbl_Finance[Xero Invoice No]&lt;&gt;"")*tbl_Finance[Date]))),""))</f>
        <v/>
      </c>
      <c r="B8" s="25">
        <f>IF(C8="","",IF(COUNTIFS(tbl_Finance[Job Number],C8&amp;"",tbl_Finance[Xero Invoice No],"&lt;&gt;")=0,"",IFERROR(IF(COUNTIFS(tbl_Finance[Job Number],C8&amp;"",tbl_Finance[Xero Invoice No],LOOKUP(2,1/((tbl_Finance[Job Number]=C8&amp;"")*(tbl_Finance[Xero Invoice No]&lt;&gt;"")),tbl_Finance[Xero Invoice No]))=COUNTIFS(tbl_Finance[Job Number],C8&amp;"",tbl_Finance[Xero Invoice No],"&lt;&gt;"),LOOKUP(2,1/((tbl_Finance[Job Number]=C8&amp;"")*(tbl_Finance[Xero Invoice No]&lt;&gt;"")),tbl_Finance[Xero Invoice No]),LOOKUP(2,1/((tbl_Finance[Job Number]=C8&amp;"")*(tbl_Finance[Xero Invoice No]&lt;&gt;"")),tbl_Finance[Xero Invoice No])&amp;" +more"),"")))</f>
        <v/>
      </c>
      <c r="C8" s="24" t="inlineStr">
        <is>
          <t>26052003</t>
        </is>
      </c>
      <c r="D8" s="25">
        <f>IF(C8="","",IF(COUNTIF(lst_Jobs,C8&amp;"")&gt;0,"OK","CHECK"))</f>
        <v/>
      </c>
      <c r="E8" s="25">
        <f>IF(C8="","",IFERROR(INDEX(lst_JobName,MATCH(C8&amp;"",lst_Jobs,0)),""))</f>
        <v/>
      </c>
      <c r="F8" s="25">
        <f>IF(C8="","",IFERROR(INDEX(tbl_Finance[Client],MATCH(C8&amp;"",tbl_Finance[Job Number],0)),""))</f>
        <v/>
      </c>
      <c r="G8" s="28">
        <f>IF(C8="","",COUNTIFS(tbl_Finance[Job Number],C8&amp;"",tbl_Finance[Ex GST],"&lt;&gt;"))</f>
        <v/>
      </c>
      <c r="H8" s="27">
        <f>IF(C8="","",SUMIFS(tbl_Finance[Ex GST],tbl_Finance[Job Number],C8&amp;""))</f>
        <v/>
      </c>
      <c r="I8" s="27">
        <f>IF(C8="","",SUMIFS(tbl_Finance[Ex GST],tbl_Finance[Job Number],C8&amp;"",tbl_Finance[Xero Invoice No],"&lt;&gt;"))</f>
        <v/>
      </c>
      <c r="J8" s="27">
        <f>IF(C8="","",H8-I8)</f>
        <v/>
      </c>
      <c r="K8" s="25">
        <f>IF(C8="","",IF(G8=0,"not invoiced yet",SUBSTITUTE(TRIM(IF(COUNTIFS(tbl_Finance[Job Number],C8&amp;"",tbl_Finance[Cost Centre],"ONSITE")&gt;0,"ONSITE ","")&amp;IF(COUNTIFS(tbl_Finance[Job Number],C8&amp;"",tbl_Finance[Cost Centre],"PRODUCTION")&gt;0,"PRODUCTION ","")&amp;IF(COUNTIFS(tbl_Finance[Job Number],C8&amp;"",tbl_Finance[Cost Centre],"VIDEO")&gt;0,"VIDEO ","")&amp;IF(COUNTIFS(tbl_Finance[Job Number],C8&amp;"",tbl_Finance[Cost Centre],"INTEGRATION")&gt;0,"INTEGRATION ","")&amp;IF(COUNTIFS(tbl_Finance[Job Number],C8&amp;"",tbl_Finance[Cost Centre],"CONSULTING")&gt;0,"CONSULTING ","")&amp;IF(COUNTIFS(tbl_Finance[Job Number],C8&amp;"",tbl_Finance[Cost Centre],"CTS")&gt;0,"CTS ",""))," ",", ")))</f>
        <v/>
      </c>
      <c r="L8" s="24" t="inlineStr">
        <is>
          <t>https://cts.qwilr.com/26052003-DTTL-Costing-v1-0-0mJlWQroQJWo</t>
        </is>
      </c>
      <c r="M8" s="25">
        <f>IF(L8="","",HYPERLINK(IF(LEFT(L8,4)="http",L8,set_QwilrBase&amp;L8),"Open quote"))</f>
        <v/>
      </c>
      <c r="N8" s="26" t="n">
        <v>3054</v>
      </c>
      <c r="O8" s="26" t="n">
        <v>30885</v>
      </c>
      <c r="P8" s="26" t="n"/>
      <c r="Q8" s="25">
        <f>IF(C8="","",IF(N(N8)+N(O8)+N(P8)=0,"Not split",IF(ROUND(N(N8)+N(O8)+N(P8),2)=ROUND(H8,2),"OK","MISMATCH")))</f>
        <v/>
      </c>
      <c r="R8" s="26" t="n">
        <v>659.27</v>
      </c>
      <c r="S8" s="26" t="n">
        <v>24821.31</v>
      </c>
      <c r="T8" s="26" t="n"/>
      <c r="U8" s="27">
        <f>IF(C8="","",N(R8)+N(S8)+N(T8))</f>
        <v/>
      </c>
      <c r="V8" s="27">
        <f>IF(C8="","",H8-U8)</f>
        <v/>
      </c>
      <c r="W8" s="29">
        <f>IFERROR(V8/H8,"")</f>
        <v/>
      </c>
      <c r="X8" s="24" t="inlineStr">
        <is>
          <t>Variation for slot in PC's</t>
        </is>
      </c>
    </row>
    <row r="9" ht="15" customHeight="1">
      <c r="A9" s="63">
        <f>IF(C9="","",IFERROR(IF(SUMPRODUCT(MAX((tbl_Finance[Job Number]=C9&amp;"")*(tbl_Finance[Xero Invoice No]&lt;&gt;"")*tbl_Finance[Date]))=0,"",SUMPRODUCT(MAX((tbl_Finance[Job Number]=C9&amp;"")*(tbl_Finance[Xero Invoice No]&lt;&gt;"")*tbl_Finance[Date]))),""))</f>
        <v/>
      </c>
      <c r="B9" s="25">
        <f>IF(C9="","",IF(COUNTIFS(tbl_Finance[Job Number],C9&amp;"",tbl_Finance[Xero Invoice No],"&lt;&gt;")=0,"",IFERROR(IF(COUNTIFS(tbl_Finance[Job Number],C9&amp;"",tbl_Finance[Xero Invoice No],LOOKUP(2,1/((tbl_Finance[Job Number]=C9&amp;"")*(tbl_Finance[Xero Invoice No]&lt;&gt;"")),tbl_Finance[Xero Invoice No]))=COUNTIFS(tbl_Finance[Job Number],C9&amp;"",tbl_Finance[Xero Invoice No],"&lt;&gt;"),LOOKUP(2,1/((tbl_Finance[Job Number]=C9&amp;"")*(tbl_Finance[Xero Invoice No]&lt;&gt;"")),tbl_Finance[Xero Invoice No]),LOOKUP(2,1/((tbl_Finance[Job Number]=C9&amp;"")*(tbl_Finance[Xero Invoice No]&lt;&gt;"")),tbl_Finance[Xero Invoice No])&amp;" +more"),"")))</f>
        <v/>
      </c>
      <c r="C9" s="24" t="inlineStr">
        <is>
          <t>26051801</t>
        </is>
      </c>
      <c r="D9" s="25">
        <f>IF(C9="","",IF(COUNTIF(lst_Jobs,C9&amp;"")&gt;0,"OK","CHECK"))</f>
        <v/>
      </c>
      <c r="E9" s="25">
        <f>IF(C9="","",IFERROR(INDEX(lst_JobName,MATCH(C9&amp;"",lst_Jobs,0)),""))</f>
        <v/>
      </c>
      <c r="F9" s="25">
        <f>IF(C9="","",IFERROR(INDEX(tbl_Finance[Client],MATCH(C9&amp;"",tbl_Finance[Job Number],0)),""))</f>
        <v/>
      </c>
      <c r="G9" s="28">
        <f>IF(C9="","",COUNTIFS(tbl_Finance[Job Number],C9&amp;"",tbl_Finance[Ex GST],"&lt;&gt;"))</f>
        <v/>
      </c>
      <c r="H9" s="27">
        <f>IF(C9="","",SUMIFS(tbl_Finance[Ex GST],tbl_Finance[Job Number],C9&amp;""))</f>
        <v/>
      </c>
      <c r="I9" s="27">
        <f>IF(C9="","",SUMIFS(tbl_Finance[Ex GST],tbl_Finance[Job Number],C9&amp;"",tbl_Finance[Xero Invoice No],"&lt;&gt;"))</f>
        <v/>
      </c>
      <c r="J9" s="27">
        <f>IF(C9="","",H9-I9)</f>
        <v/>
      </c>
      <c r="K9" s="25">
        <f>IF(C9="","",IF(G9=0,"not invoiced yet",SUBSTITUTE(TRIM(IF(COUNTIFS(tbl_Finance[Job Number],C9&amp;"",tbl_Finance[Cost Centre],"ONSITE")&gt;0,"ONSITE ","")&amp;IF(COUNTIFS(tbl_Finance[Job Number],C9&amp;"",tbl_Finance[Cost Centre],"PRODUCTION")&gt;0,"PRODUCTION ","")&amp;IF(COUNTIFS(tbl_Finance[Job Number],C9&amp;"",tbl_Finance[Cost Centre],"VIDEO")&gt;0,"VIDEO ","")&amp;IF(COUNTIFS(tbl_Finance[Job Number],C9&amp;"",tbl_Finance[Cost Centre],"INTEGRATION")&gt;0,"INTEGRATION ","")&amp;IF(COUNTIFS(tbl_Finance[Job Number],C9&amp;"",tbl_Finance[Cost Centre],"CONSULTING")&gt;0,"CONSULTING ","")&amp;IF(COUNTIFS(tbl_Finance[Job Number],C9&amp;"",tbl_Finance[Cost Centre],"CTS")&gt;0,"CTS ",""))," ",", ")))</f>
        <v/>
      </c>
      <c r="L9" s="24" t="inlineStr">
        <is>
          <t>https://cts.qwilr.com/26051801-PwC-Costing-v3-0-HUL2JaYQCO39</t>
        </is>
      </c>
      <c r="M9" s="25">
        <f>IF(L9="","",HYPERLINK(IF(LEFT(L9,4)="http",L9,set_QwilrBase&amp;L9),"Open quote"))</f>
        <v/>
      </c>
      <c r="N9" s="26" t="n">
        <v>289</v>
      </c>
      <c r="O9" s="26" t="n">
        <v>11750</v>
      </c>
      <c r="P9" s="26" t="n"/>
      <c r="Q9" s="25">
        <f>IF(C9="","",IF(N(N9)+N(O9)+N(P9)=0,"Not split",IF(ROUND(N(N9)+N(O9)+N(P9),2)=ROUND(H9,2),"OK","MISMATCH")))</f>
        <v/>
      </c>
      <c r="R9" s="26" t="n">
        <v>237</v>
      </c>
      <c r="S9" s="26" t="n">
        <v>8810</v>
      </c>
      <c r="T9" s="26" t="n"/>
      <c r="U9" s="27">
        <f>IF(C9="","",N(R9)+N(S9)+N(T9))</f>
        <v/>
      </c>
      <c r="V9" s="27">
        <f>IF(C9="","",H9-U9)</f>
        <v/>
      </c>
      <c r="W9" s="29">
        <f>IFERROR(V9/H9,"")</f>
        <v/>
      </c>
      <c r="X9" s="24" t="n"/>
    </row>
    <row r="10" ht="15" customHeight="1">
      <c r="A10" s="63">
        <f>IF(C10="","",IFERROR(IF(SUMPRODUCT(MAX((tbl_Finance[Job Number]=C10&amp;"")*(tbl_Finance[Xero Invoice No]&lt;&gt;"")*tbl_Finance[Date]))=0,"",SUMPRODUCT(MAX((tbl_Finance[Job Number]=C10&amp;"")*(tbl_Finance[Xero Invoice No]&lt;&gt;"")*tbl_Finance[Date]))),""))</f>
        <v/>
      </c>
      <c r="B10" s="25">
        <f>IF(C10="","",IF(COUNTIFS(tbl_Finance[Job Number],C10&amp;"",tbl_Finance[Xero Invoice No],"&lt;&gt;")=0,"",IFERROR(IF(COUNTIFS(tbl_Finance[Job Number],C10&amp;"",tbl_Finance[Xero Invoice No],LOOKUP(2,1/((tbl_Finance[Job Number]=C10&amp;"")*(tbl_Finance[Xero Invoice No]&lt;&gt;"")),tbl_Finance[Xero Invoice No]))=COUNTIFS(tbl_Finance[Job Number],C10&amp;"",tbl_Finance[Xero Invoice No],"&lt;&gt;"),LOOKUP(2,1/((tbl_Finance[Job Number]=C10&amp;"")*(tbl_Finance[Xero Invoice No]&lt;&gt;"")),tbl_Finance[Xero Invoice No]),LOOKUP(2,1/((tbl_Finance[Job Number]=C10&amp;"")*(tbl_Finance[Xero Invoice No]&lt;&gt;"")),tbl_Finance[Xero Invoice No])&amp;" +more"),"")))</f>
        <v/>
      </c>
      <c r="C10" s="24" t="inlineStr">
        <is>
          <t>26043003</t>
        </is>
      </c>
      <c r="D10" s="25">
        <f>IF(C10="","",IF(COUNTIF(lst_Jobs,C10&amp;"")&gt;0,"OK","CHECK"))</f>
        <v/>
      </c>
      <c r="E10" s="25">
        <f>IF(C10="","",IFERROR(INDEX(lst_JobName,MATCH(C10&amp;"",lst_Jobs,0)),""))</f>
        <v/>
      </c>
      <c r="F10" s="25">
        <f>IF(C10="","",IFERROR(INDEX(tbl_Finance[Client],MATCH(C10&amp;"",tbl_Finance[Job Number],0)),""))</f>
        <v/>
      </c>
      <c r="G10" s="28">
        <f>IF(C10="","",COUNTIFS(tbl_Finance[Job Number],C10&amp;"",tbl_Finance[Ex GST],"&lt;&gt;"))</f>
        <v/>
      </c>
      <c r="H10" s="27">
        <f>IF(C10="","",SUMIFS(tbl_Finance[Ex GST],tbl_Finance[Job Number],C10&amp;""))</f>
        <v/>
      </c>
      <c r="I10" s="27">
        <f>IF(C10="","",SUMIFS(tbl_Finance[Ex GST],tbl_Finance[Job Number],C10&amp;"",tbl_Finance[Xero Invoice No],"&lt;&gt;"))</f>
        <v/>
      </c>
      <c r="J10" s="27">
        <f>IF(C10="","",H10-I10)</f>
        <v/>
      </c>
      <c r="K10" s="25">
        <f>IF(C10="","",IF(G10=0,"not invoiced yet",SUBSTITUTE(TRIM(IF(COUNTIFS(tbl_Finance[Job Number],C10&amp;"",tbl_Finance[Cost Centre],"ONSITE")&gt;0,"ONSITE ","")&amp;IF(COUNTIFS(tbl_Finance[Job Number],C10&amp;"",tbl_Finance[Cost Centre],"PRODUCTION")&gt;0,"PRODUCTION ","")&amp;IF(COUNTIFS(tbl_Finance[Job Number],C10&amp;"",tbl_Finance[Cost Centre],"VIDEO")&gt;0,"VIDEO ","")&amp;IF(COUNTIFS(tbl_Finance[Job Number],C10&amp;"",tbl_Finance[Cost Centre],"INTEGRATION")&gt;0,"INTEGRATION ","")&amp;IF(COUNTIFS(tbl_Finance[Job Number],C10&amp;"",tbl_Finance[Cost Centre],"CONSULTING")&gt;0,"CONSULTING ","")&amp;IF(COUNTIFS(tbl_Finance[Job Number],C10&amp;"",tbl_Finance[Cost Centre],"CTS")&gt;0,"CTS ",""))," ",", ")))</f>
        <v/>
      </c>
      <c r="L10" s="24" t="inlineStr">
        <is>
          <t>https://cts.qwilr.com/26043003-PwC-Costing-v1-0-LoPgcYilSIWh</t>
        </is>
      </c>
      <c r="M10" s="25">
        <f>IF(L10="","",HYPERLINK(IF(LEFT(L10,4)="http",L10,set_QwilrBase&amp;L10),"Open quote"))</f>
        <v/>
      </c>
      <c r="N10" s="26" t="n">
        <v>17766</v>
      </c>
      <c r="O10" s="26" t="n">
        <v>78301</v>
      </c>
      <c r="P10" s="26" t="n"/>
      <c r="Q10" s="25">
        <f>IF(C10="","",IF(N(N10)+N(O10)+N(P10)=0,"Not split",IF(ROUND(N(N10)+N(O10)+N(P10),2)=ROUND(H10,2),"OK","MISMATCH")))</f>
        <v/>
      </c>
      <c r="R10" s="26" t="n">
        <v>13439</v>
      </c>
      <c r="S10" s="26" t="n">
        <v>74537</v>
      </c>
      <c r="T10" s="26" t="n"/>
      <c r="U10" s="27">
        <f>IF(C10="","",N(R10)+N(S10)+N(T10))</f>
        <v/>
      </c>
      <c r="V10" s="27">
        <f>IF(C10="","",H10-U10)</f>
        <v/>
      </c>
      <c r="W10" s="29">
        <f>IFERROR(V10/H10,"")</f>
        <v/>
      </c>
      <c r="X10" s="24" t="n"/>
    </row>
    <row r="11" ht="15" customHeight="1">
      <c r="A11" s="63">
        <f>IF(C11="","",IFERROR(IF(SUMPRODUCT(MAX((tbl_Finance[Job Number]=C11&amp;"")*(tbl_Finance[Xero Invoice No]&lt;&gt;"")*tbl_Finance[Date]))=0,"",SUMPRODUCT(MAX((tbl_Finance[Job Number]=C11&amp;"")*(tbl_Finance[Xero Invoice No]&lt;&gt;"")*tbl_Finance[Date]))),""))</f>
        <v/>
      </c>
      <c r="B11" s="25">
        <f>IF(C11="","",IF(COUNTIFS(tbl_Finance[Job Number],C11&amp;"",tbl_Finance[Xero Invoice No],"&lt;&gt;")=0,"",IFERROR(IF(COUNTIFS(tbl_Finance[Job Number],C11&amp;"",tbl_Finance[Xero Invoice No],LOOKUP(2,1/((tbl_Finance[Job Number]=C11&amp;"")*(tbl_Finance[Xero Invoice No]&lt;&gt;"")),tbl_Finance[Xero Invoice No]))=COUNTIFS(tbl_Finance[Job Number],C11&amp;"",tbl_Finance[Xero Invoice No],"&lt;&gt;"),LOOKUP(2,1/((tbl_Finance[Job Number]=C11&amp;"")*(tbl_Finance[Xero Invoice No]&lt;&gt;"")),tbl_Finance[Xero Invoice No]),LOOKUP(2,1/((tbl_Finance[Job Number]=C11&amp;"")*(tbl_Finance[Xero Invoice No]&lt;&gt;"")),tbl_Finance[Xero Invoice No])&amp;" +more"),"")))</f>
        <v/>
      </c>
      <c r="C11" s="24" t="inlineStr">
        <is>
          <t>2606901</t>
        </is>
      </c>
      <c r="D11" s="25">
        <f>IF(C11="","",IF(COUNTIF(lst_Jobs,C11&amp;"")&gt;0,"OK","CHECK"))</f>
        <v/>
      </c>
      <c r="E11" s="25">
        <f>IF(C11="","",IFERROR(INDEX(lst_JobName,MATCH(C11&amp;"",lst_Jobs,0)),""))</f>
        <v/>
      </c>
      <c r="F11" s="25">
        <f>IF(C11="","",IFERROR(INDEX(tbl_Finance[Client],MATCH(C11&amp;"",tbl_Finance[Job Number],0)),""))</f>
        <v/>
      </c>
      <c r="G11" s="28">
        <f>IF(C11="","",COUNTIFS(tbl_Finance[Job Number],C11&amp;"",tbl_Finance[Ex GST],"&lt;&gt;"))</f>
        <v/>
      </c>
      <c r="H11" s="27">
        <f>IF(C11="","",SUMIFS(tbl_Finance[Ex GST],tbl_Finance[Job Number],C11&amp;""))</f>
        <v/>
      </c>
      <c r="I11" s="27">
        <f>IF(C11="","",SUMIFS(tbl_Finance[Ex GST],tbl_Finance[Job Number],C11&amp;"",tbl_Finance[Xero Invoice No],"&lt;&gt;"))</f>
        <v/>
      </c>
      <c r="J11" s="27">
        <f>IF(C11="","",H11-I11)</f>
        <v/>
      </c>
      <c r="K11" s="25">
        <f>IF(C11="","",IF(G11=0,"not invoiced yet",SUBSTITUTE(TRIM(IF(COUNTIFS(tbl_Finance[Job Number],C11&amp;"",tbl_Finance[Cost Centre],"ONSITE")&gt;0,"ONSITE ","")&amp;IF(COUNTIFS(tbl_Finance[Job Number],C11&amp;"",tbl_Finance[Cost Centre],"PRODUCTION")&gt;0,"PRODUCTION ","")&amp;IF(COUNTIFS(tbl_Finance[Job Number],C11&amp;"",tbl_Finance[Cost Centre],"VIDEO")&gt;0,"VIDEO ","")&amp;IF(COUNTIFS(tbl_Finance[Job Number],C11&amp;"",tbl_Finance[Cost Centre],"INTEGRATION")&gt;0,"INTEGRATION ","")&amp;IF(COUNTIFS(tbl_Finance[Job Number],C11&amp;"",tbl_Finance[Cost Centre],"CONSULTING")&gt;0,"CONSULTING ","")&amp;IF(COUNTIFS(tbl_Finance[Job Number],C11&amp;"",tbl_Finance[Cost Centre],"CTS")&gt;0,"CTS ",""))," ",", ")))</f>
        <v/>
      </c>
      <c r="L11" s="24" t="inlineStr">
        <is>
          <t>https://app.qwilr.com/#/page-view/6a336995d5bfec1e1c7a08ed</t>
        </is>
      </c>
      <c r="M11" s="25">
        <f>IF(L11="","",HYPERLINK(IF(LEFT(L11,4)="http",L11,set_QwilrBase&amp;L11),"Open quote"))</f>
        <v/>
      </c>
      <c r="N11" s="26" t="n">
        <v>41</v>
      </c>
      <c r="O11" s="26" t="n">
        <v>520</v>
      </c>
      <c r="P11" s="26" t="n"/>
      <c r="Q11" s="25">
        <f>IF(C11="","",IF(N(N11)+N(O11)+N(P11)=0,"Not split",IF(ROUND(N(N11)+N(O11)+N(P11),2)=ROUND(H11,2),"OK","MISMATCH")))</f>
        <v/>
      </c>
      <c r="R11" s="26" t="n">
        <v>30.98</v>
      </c>
      <c r="S11" s="26" t="n">
        <v>389</v>
      </c>
      <c r="T11" s="26" t="n"/>
      <c r="U11" s="27">
        <f>IF(C11="","",N(R11)+N(S11)+N(T11))</f>
        <v/>
      </c>
      <c r="V11" s="27">
        <f>IF(C11="","",H11-U11)</f>
        <v/>
      </c>
      <c r="W11" s="29">
        <f>IFERROR(V11/H11,"")</f>
        <v/>
      </c>
      <c r="X11" s="24" t="n"/>
    </row>
    <row r="12" ht="15" customHeight="1">
      <c r="A12" s="63">
        <f>IF(C12="","",IFERROR(IF(SUMPRODUCT(MAX((tbl_Finance[Job Number]=C12&amp;"")*(tbl_Finance[Xero Invoice No]&lt;&gt;"")*tbl_Finance[Date]))=0,"",SUMPRODUCT(MAX((tbl_Finance[Job Number]=C12&amp;"")*(tbl_Finance[Xero Invoice No]&lt;&gt;"")*tbl_Finance[Date]))),""))</f>
        <v/>
      </c>
      <c r="B12" s="25">
        <f>IF(C12="","",IF(COUNTIFS(tbl_Finance[Job Number],C12&amp;"",tbl_Finance[Xero Invoice No],"&lt;&gt;")=0,"",IFERROR(IF(COUNTIFS(tbl_Finance[Job Number],C12&amp;"",tbl_Finance[Xero Invoice No],LOOKUP(2,1/((tbl_Finance[Job Number]=C12&amp;"")*(tbl_Finance[Xero Invoice No]&lt;&gt;"")),tbl_Finance[Xero Invoice No]))=COUNTIFS(tbl_Finance[Job Number],C12&amp;"",tbl_Finance[Xero Invoice No],"&lt;&gt;"),LOOKUP(2,1/((tbl_Finance[Job Number]=C12&amp;"")*(tbl_Finance[Xero Invoice No]&lt;&gt;"")),tbl_Finance[Xero Invoice No]),LOOKUP(2,1/((tbl_Finance[Job Number]=C12&amp;"")*(tbl_Finance[Xero Invoice No]&lt;&gt;"")),tbl_Finance[Xero Invoice No])&amp;" +more"),"")))</f>
        <v/>
      </c>
      <c r="C12" s="24" t="inlineStr">
        <is>
          <t>2602203</t>
        </is>
      </c>
      <c r="D12" s="25">
        <f>IF(C12="","",IF(COUNTIF(lst_Jobs,C12&amp;"")&gt;0,"OK","CHECK"))</f>
        <v/>
      </c>
      <c r="E12" s="25">
        <f>IF(C12="","",IFERROR(INDEX(lst_JobName,MATCH(C12&amp;"",lst_Jobs,0)),""))</f>
        <v/>
      </c>
      <c r="F12" s="25">
        <f>IF(C12="","",IFERROR(INDEX(tbl_Finance[Client],MATCH(C12&amp;"",tbl_Finance[Job Number],0)),""))</f>
        <v/>
      </c>
      <c r="G12" s="28">
        <f>IF(C12="","",COUNTIFS(tbl_Finance[Job Number],C12&amp;"",tbl_Finance[Ex GST],"&lt;&gt;"))</f>
        <v/>
      </c>
      <c r="H12" s="27">
        <f>IF(C12="","",SUMIFS(tbl_Finance[Ex GST],tbl_Finance[Job Number],C12&amp;""))</f>
        <v/>
      </c>
      <c r="I12" s="27">
        <f>IF(C12="","",SUMIFS(tbl_Finance[Ex GST],tbl_Finance[Job Number],C12&amp;"",tbl_Finance[Xero Invoice No],"&lt;&gt;"))</f>
        <v/>
      </c>
      <c r="J12" s="27">
        <f>IF(C12="","",H12-I12)</f>
        <v/>
      </c>
      <c r="K12" s="25">
        <f>IF(C12="","",IF(G12=0,"not invoiced yet",SUBSTITUTE(TRIM(IF(COUNTIFS(tbl_Finance[Job Number],C12&amp;"",tbl_Finance[Cost Centre],"ONSITE")&gt;0,"ONSITE ","")&amp;IF(COUNTIFS(tbl_Finance[Job Number],C12&amp;"",tbl_Finance[Cost Centre],"PRODUCTION")&gt;0,"PRODUCTION ","")&amp;IF(COUNTIFS(tbl_Finance[Job Number],C12&amp;"",tbl_Finance[Cost Centre],"VIDEO")&gt;0,"VIDEO ","")&amp;IF(COUNTIFS(tbl_Finance[Job Number],C12&amp;"",tbl_Finance[Cost Centre],"INTEGRATION")&gt;0,"INTEGRATION ","")&amp;IF(COUNTIFS(tbl_Finance[Job Number],C12&amp;"",tbl_Finance[Cost Centre],"CONSULTING")&gt;0,"CONSULTING ","")&amp;IF(COUNTIFS(tbl_Finance[Job Number],C12&amp;"",tbl_Finance[Cost Centre],"CTS")&gt;0,"CTS ",""))," ",", ")))</f>
        <v/>
      </c>
      <c r="L12" s="24" t="inlineStr">
        <is>
          <t>https://cts.qwilr.com/2602203-YSGStudio-Proposal-A-Yw8447MlTUK7</t>
        </is>
      </c>
      <c r="M12" s="25">
        <f>IF(L12="","",HYPERLINK(IF(LEFT(L12,4)="http",L12,set_QwilrBase&amp;L12),"Open quote"))</f>
        <v/>
      </c>
      <c r="N12" s="26" t="n">
        <v>2247.5</v>
      </c>
      <c r="O12" s="26" t="n"/>
      <c r="P12" s="26" t="n"/>
      <c r="Q12" s="25">
        <f>IF(C12="","",IF(N(N12)+N(O12)+N(P12)=0,"Not split",IF(ROUND(N(N12)+N(O12)+N(P12),2)=ROUND(H12,2),"OK","MISMATCH")))</f>
        <v/>
      </c>
      <c r="R12" s="26" t="n">
        <v>4840.96</v>
      </c>
      <c r="S12" s="26" t="n">
        <v>17621.33</v>
      </c>
      <c r="T12" s="26" t="n"/>
      <c r="U12" s="27">
        <f>IF(C12="","",N(R12)+N(S12)+N(T12))</f>
        <v/>
      </c>
      <c r="V12" s="27">
        <f>IF(C12="","",H12-U12)</f>
        <v/>
      </c>
      <c r="W12" s="29">
        <f>IFERROR(V12/H12,"")</f>
        <v/>
      </c>
      <c r="X12" s="24" t="inlineStr">
        <is>
          <t>Progress Claim 03</t>
        </is>
      </c>
    </row>
    <row r="13" ht="15" customHeight="1">
      <c r="A13" s="63">
        <f>IF(C13="","",IFERROR(IF(SUMPRODUCT(MAX((tbl_Finance[Job Number]=C13&amp;"")*(tbl_Finance[Xero Invoice No]&lt;&gt;"")*tbl_Finance[Date]))=0,"",SUMPRODUCT(MAX((tbl_Finance[Job Number]=C13&amp;"")*(tbl_Finance[Xero Invoice No]&lt;&gt;"")*tbl_Finance[Date]))),""))</f>
        <v/>
      </c>
      <c r="B13" s="25">
        <f>IF(C13="","",IF(COUNTIFS(tbl_Finance[Job Number],C13&amp;"",tbl_Finance[Xero Invoice No],"&lt;&gt;")=0,"",IFERROR(IF(COUNTIFS(tbl_Finance[Job Number],C13&amp;"",tbl_Finance[Xero Invoice No],LOOKUP(2,1/((tbl_Finance[Job Number]=C13&amp;"")*(tbl_Finance[Xero Invoice No]&lt;&gt;"")),tbl_Finance[Xero Invoice No]))=COUNTIFS(tbl_Finance[Job Number],C13&amp;"",tbl_Finance[Xero Invoice No],"&lt;&gt;"),LOOKUP(2,1/((tbl_Finance[Job Number]=C13&amp;"")*(tbl_Finance[Xero Invoice No]&lt;&gt;"")),tbl_Finance[Xero Invoice No]),LOOKUP(2,1/((tbl_Finance[Job Number]=C13&amp;"")*(tbl_Finance[Xero Invoice No]&lt;&gt;"")),tbl_Finance[Xero Invoice No])&amp;" +more"),"")))</f>
        <v/>
      </c>
      <c r="C13" s="24" t="inlineStr">
        <is>
          <t>25111203</t>
        </is>
      </c>
      <c r="D13" s="25">
        <f>IF(C13="","",IF(COUNTIF(lst_Jobs,C13&amp;"")&gt;0,"OK","CHECK"))</f>
        <v/>
      </c>
      <c r="E13" s="25">
        <f>IF(C13="","",IFERROR(INDEX(lst_JobName,MATCH(C13&amp;"",lst_Jobs,0)),""))</f>
        <v/>
      </c>
      <c r="F13" s="25">
        <f>IF(C13="","",IFERROR(INDEX(tbl_Finance[Client],MATCH(C13&amp;"",tbl_Finance[Job Number],0)),""))</f>
        <v/>
      </c>
      <c r="G13" s="28">
        <f>IF(C13="","",COUNTIFS(tbl_Finance[Job Number],C13&amp;"",tbl_Finance[Ex GST],"&lt;&gt;"))</f>
        <v/>
      </c>
      <c r="H13" s="27">
        <f>IF(C13="","",SUMIFS(tbl_Finance[Ex GST],tbl_Finance[Job Number],C13&amp;""))</f>
        <v/>
      </c>
      <c r="I13" s="27">
        <f>IF(C13="","",SUMIFS(tbl_Finance[Ex GST],tbl_Finance[Job Number],C13&amp;"",tbl_Finance[Xero Invoice No],"&lt;&gt;"))</f>
        <v/>
      </c>
      <c r="J13" s="27">
        <f>IF(C13="","",H13-I13)</f>
        <v/>
      </c>
      <c r="K13" s="25">
        <f>IF(C13="","",IF(G13=0,"not invoiced yet",SUBSTITUTE(TRIM(IF(COUNTIFS(tbl_Finance[Job Number],C13&amp;"",tbl_Finance[Cost Centre],"ONSITE")&gt;0,"ONSITE ","")&amp;IF(COUNTIFS(tbl_Finance[Job Number],C13&amp;"",tbl_Finance[Cost Centre],"PRODUCTION")&gt;0,"PRODUCTION ","")&amp;IF(COUNTIFS(tbl_Finance[Job Number],C13&amp;"",tbl_Finance[Cost Centre],"VIDEO")&gt;0,"VIDEO ","")&amp;IF(COUNTIFS(tbl_Finance[Job Number],C13&amp;"",tbl_Finance[Cost Centre],"INTEGRATION")&gt;0,"INTEGRATION ","")&amp;IF(COUNTIFS(tbl_Finance[Job Number],C13&amp;"",tbl_Finance[Cost Centre],"CONSULTING")&gt;0,"CONSULTING ","")&amp;IF(COUNTIFS(tbl_Finance[Job Number],C13&amp;"",tbl_Finance[Cost Centre],"CTS")&gt;0,"CTS ",""))," ",", ")))</f>
        <v/>
      </c>
      <c r="L13" s="24" t="inlineStr">
        <is>
          <t>https://cts.qwilr.com/25111203-CoS-Proposal-v3-0-SyP1MwQ2TcKi</t>
        </is>
      </c>
      <c r="M13" s="25">
        <f>IF(L13="","",HYPERLINK(IF(LEFT(L13,4)="http",L13,set_QwilrBase&amp;L13),"Open quote"))</f>
        <v/>
      </c>
      <c r="N13" s="26" t="n"/>
      <c r="O13" s="26" t="n">
        <v>159150</v>
      </c>
      <c r="P13" s="26" t="n"/>
      <c r="Q13" s="25">
        <f>IF(C13="","",IF(N(N13)+N(O13)+N(P13)=0,"Not split",IF(ROUND(N(N13)+N(O13)+N(P13),2)=ROUND(H13,2),"OK","MISMATCH")))</f>
        <v/>
      </c>
      <c r="R13" s="26" t="n"/>
      <c r="S13" s="26" t="n">
        <v>149604.26</v>
      </c>
      <c r="T13" s="26" t="n"/>
      <c r="U13" s="27">
        <f>IF(C13="","",N(R13)+N(S13)+N(T13))</f>
        <v/>
      </c>
      <c r="V13" s="27">
        <f>IF(C13="","",H13-U13)</f>
        <v/>
      </c>
      <c r="W13" s="29">
        <f>IFERROR(V13/H13,"")</f>
        <v/>
      </c>
      <c r="X13" s="24" t="n"/>
    </row>
    <row r="14" ht="15" customHeight="1">
      <c r="A14" s="63">
        <f>IF(C14="","",IFERROR(IF(SUMPRODUCT(MAX((tbl_Finance[Job Number]=C14&amp;"")*(tbl_Finance[Xero Invoice No]&lt;&gt;"")*tbl_Finance[Date]))=0,"",SUMPRODUCT(MAX((tbl_Finance[Job Number]=C14&amp;"")*(tbl_Finance[Xero Invoice No]&lt;&gt;"")*tbl_Finance[Date]))),""))</f>
        <v/>
      </c>
      <c r="B14" s="25">
        <f>IF(C14="","",IF(COUNTIFS(tbl_Finance[Job Number],C14&amp;"",tbl_Finance[Xero Invoice No],"&lt;&gt;")=0,"",IFERROR(IF(COUNTIFS(tbl_Finance[Job Number],C14&amp;"",tbl_Finance[Xero Invoice No],LOOKUP(2,1/((tbl_Finance[Job Number]=C14&amp;"")*(tbl_Finance[Xero Invoice No]&lt;&gt;"")),tbl_Finance[Xero Invoice No]))=COUNTIFS(tbl_Finance[Job Number],C14&amp;"",tbl_Finance[Xero Invoice No],"&lt;&gt;"),LOOKUP(2,1/((tbl_Finance[Job Number]=C14&amp;"")*(tbl_Finance[Xero Invoice No]&lt;&gt;"")),tbl_Finance[Xero Invoice No]),LOOKUP(2,1/((tbl_Finance[Job Number]=C14&amp;"")*(tbl_Finance[Xero Invoice No]&lt;&gt;"")),tbl_Finance[Xero Invoice No])&amp;" +more"),"")))</f>
        <v/>
      </c>
      <c r="C14" s="24" t="inlineStr">
        <is>
          <t>26033003</t>
        </is>
      </c>
      <c r="D14" s="25">
        <f>IF(C14="","",IF(COUNTIF(lst_Jobs,C14&amp;"")&gt;0,"OK","CHECK"))</f>
        <v/>
      </c>
      <c r="E14" s="25">
        <f>IF(C14="","",IFERROR(INDEX(lst_JobName,MATCH(C14&amp;"",lst_Jobs,0)),""))</f>
        <v/>
      </c>
      <c r="F14" s="25">
        <f>IF(C14="","",IFERROR(INDEX(tbl_Finance[Client],MATCH(C14&amp;"",tbl_Finance[Job Number],0)),""))</f>
        <v/>
      </c>
      <c r="G14" s="28">
        <f>IF(C14="","",COUNTIFS(tbl_Finance[Job Number],C14&amp;"",tbl_Finance[Ex GST],"&lt;&gt;"))</f>
        <v/>
      </c>
      <c r="H14" s="27">
        <f>IF(C14="","",SUMIFS(tbl_Finance[Ex GST],tbl_Finance[Job Number],C14&amp;""))</f>
        <v/>
      </c>
      <c r="I14" s="27">
        <f>IF(C14="","",SUMIFS(tbl_Finance[Ex GST],tbl_Finance[Job Number],C14&amp;"",tbl_Finance[Xero Invoice No],"&lt;&gt;"))</f>
        <v/>
      </c>
      <c r="J14" s="27">
        <f>IF(C14="","",H14-I14)</f>
        <v/>
      </c>
      <c r="K14" s="25">
        <f>IF(C14="","",IF(G14=0,"not invoiced yet",SUBSTITUTE(TRIM(IF(COUNTIFS(tbl_Finance[Job Number],C14&amp;"",tbl_Finance[Cost Centre],"ONSITE")&gt;0,"ONSITE ","")&amp;IF(COUNTIFS(tbl_Finance[Job Number],C14&amp;"",tbl_Finance[Cost Centre],"PRODUCTION")&gt;0,"PRODUCTION ","")&amp;IF(COUNTIFS(tbl_Finance[Job Number],C14&amp;"",tbl_Finance[Cost Centre],"VIDEO")&gt;0,"VIDEO ","")&amp;IF(COUNTIFS(tbl_Finance[Job Number],C14&amp;"",tbl_Finance[Cost Centre],"INTEGRATION")&gt;0,"INTEGRATION ","")&amp;IF(COUNTIFS(tbl_Finance[Job Number],C14&amp;"",tbl_Finance[Cost Centre],"CONSULTING")&gt;0,"CONSULTING ","")&amp;IF(COUNTIFS(tbl_Finance[Job Number],C14&amp;"",tbl_Finance[Cost Centre],"CTS")&gt;0,"CTS ",""))," ",", ")))</f>
        <v/>
      </c>
      <c r="L14" s="24" t="inlineStr">
        <is>
          <t>26033003-Deloitte-8PSQ-Dream-Big-Microphones-v1-0-E9jd4w9T62Y1</t>
        </is>
      </c>
      <c r="M14" s="25">
        <f>IF(L14="","",HYPERLINK(IF(LEFT(L14,4)="http",L14,set_QwilrBase&amp;L14),"Open quote"))</f>
        <v/>
      </c>
      <c r="N14" s="26" t="n">
        <v>5904</v>
      </c>
      <c r="O14" s="26" t="n">
        <v>21504</v>
      </c>
      <c r="P14" s="26" t="n"/>
      <c r="Q14" s="25">
        <f>IF(C14="","",IF(N(N14)+N(O14)+N(P14)=0,"Not split",IF(ROUND(N(N14)+N(O14)+N(P14),2)=ROUND(H14,2),"OK","MISMATCH")))</f>
        <v/>
      </c>
      <c r="R14" s="26" t="n">
        <v>4840.8</v>
      </c>
      <c r="S14" s="26" t="n">
        <v>17621.2</v>
      </c>
      <c r="T14" s="26" t="n"/>
      <c r="U14" s="27">
        <f>IF(C14="","",N(R14)+N(S14)+N(T14))</f>
        <v/>
      </c>
      <c r="V14" s="27">
        <f>IF(C14="","",H14-U14)</f>
        <v/>
      </c>
      <c r="W14" s="29">
        <f>IFERROR(V14/H14,"")</f>
        <v/>
      </c>
      <c r="X14" s="24" t="inlineStr">
        <is>
          <t>Invoiced in DTTL Additionals</t>
        </is>
      </c>
    </row>
    <row r="15" ht="15" customHeight="1">
      <c r="A15" s="63">
        <f>IF(C15="","",IFERROR(IF(SUMPRODUCT(MAX((tbl_Finance[Job Number]=C15&amp;"")*(tbl_Finance[Xero Invoice No]&lt;&gt;"")*tbl_Finance[Date]))=0,"",SUMPRODUCT(MAX((tbl_Finance[Job Number]=C15&amp;"")*(tbl_Finance[Xero Invoice No]&lt;&gt;"")*tbl_Finance[Date]))),""))</f>
        <v/>
      </c>
      <c r="B15" s="25">
        <f>IF(C15="","",IF(COUNTIFS(tbl_Finance[Job Number],C15&amp;"",tbl_Finance[Xero Invoice No],"&lt;&gt;")=0,"",IFERROR(IF(COUNTIFS(tbl_Finance[Job Number],C15&amp;"",tbl_Finance[Xero Invoice No],LOOKUP(2,1/((tbl_Finance[Job Number]=C15&amp;"")*(tbl_Finance[Xero Invoice No]&lt;&gt;"")),tbl_Finance[Xero Invoice No]))=COUNTIFS(tbl_Finance[Job Number],C15&amp;"",tbl_Finance[Xero Invoice No],"&lt;&gt;"),LOOKUP(2,1/((tbl_Finance[Job Number]=C15&amp;"")*(tbl_Finance[Xero Invoice No]&lt;&gt;"")),tbl_Finance[Xero Invoice No]),LOOKUP(2,1/((tbl_Finance[Job Number]=C15&amp;"")*(tbl_Finance[Xero Invoice No]&lt;&gt;"")),tbl_Finance[Xero Invoice No])&amp;" +more"),"")))</f>
        <v/>
      </c>
      <c r="C15" s="24" t="inlineStr">
        <is>
          <t>26033005</t>
        </is>
      </c>
      <c r="D15" s="25">
        <f>IF(C15="","",IF(COUNTIF(lst_Jobs,C15&amp;"")&gt;0,"OK","CHECK"))</f>
        <v/>
      </c>
      <c r="E15" s="25">
        <f>IF(C15="","",IFERROR(INDEX(lst_JobName,MATCH(C15&amp;"",lst_Jobs,0)),""))</f>
        <v/>
      </c>
      <c r="F15" s="25">
        <f>IF(C15="","",IFERROR(INDEX(tbl_Finance[Client],MATCH(C15&amp;"",tbl_Finance[Job Number],0)),""))</f>
        <v/>
      </c>
      <c r="G15" s="28">
        <f>IF(C15="","",COUNTIFS(tbl_Finance[Job Number],C15&amp;"",tbl_Finance[Ex GST],"&lt;&gt;"))</f>
        <v/>
      </c>
      <c r="H15" s="27">
        <f>IF(C15="","",SUMIFS(tbl_Finance[Ex GST],tbl_Finance[Job Number],C15&amp;""))</f>
        <v/>
      </c>
      <c r="I15" s="27">
        <f>IF(C15="","",SUMIFS(tbl_Finance[Ex GST],tbl_Finance[Job Number],C15&amp;"",tbl_Finance[Xero Invoice No],"&lt;&gt;"))</f>
        <v/>
      </c>
      <c r="J15" s="27">
        <f>IF(C15="","",H15-I15)</f>
        <v/>
      </c>
      <c r="K15" s="25">
        <f>IF(C15="","",IF(G15=0,"not invoiced yet",SUBSTITUTE(TRIM(IF(COUNTIFS(tbl_Finance[Job Number],C15&amp;"",tbl_Finance[Cost Centre],"ONSITE")&gt;0,"ONSITE ","")&amp;IF(COUNTIFS(tbl_Finance[Job Number],C15&amp;"",tbl_Finance[Cost Centre],"PRODUCTION")&gt;0,"PRODUCTION ","")&amp;IF(COUNTIFS(tbl_Finance[Job Number],C15&amp;"",tbl_Finance[Cost Centre],"VIDEO")&gt;0,"VIDEO ","")&amp;IF(COUNTIFS(tbl_Finance[Job Number],C15&amp;"",tbl_Finance[Cost Centre],"INTEGRATION")&gt;0,"INTEGRATION ","")&amp;IF(COUNTIFS(tbl_Finance[Job Number],C15&amp;"",tbl_Finance[Cost Centre],"CONSULTING")&gt;0,"CONSULTING ","")&amp;IF(COUNTIFS(tbl_Finance[Job Number],C15&amp;"",tbl_Finance[Cost Centre],"CTS")&gt;0,"CTS ",""))," ",", ")))</f>
        <v/>
      </c>
      <c r="L15" s="24" t="inlineStr">
        <is>
          <t>26033005_Deloitte QQT &amp; 8PSQ_Crestron Connect Adaptor_v1.0</t>
        </is>
      </c>
      <c r="M15" s="25">
        <f>IF(L15="","",HYPERLINK(IF(LEFT(L15,4)="http",L15,set_QwilrBase&amp;L15),"Open quote"))</f>
        <v/>
      </c>
      <c r="N15" s="26" t="n">
        <v>4105</v>
      </c>
      <c r="O15" s="26" t="n">
        <v>16023</v>
      </c>
      <c r="P15" s="26" t="n"/>
      <c r="Q15" s="25">
        <f>IF(C15="","",IF(N(N15)+N(O15)+N(P15)=0,"Not split",IF(ROUND(N(N15)+N(O15)+N(P15),2)=ROUND(H15,2),"OK","MISMATCH")))</f>
        <v/>
      </c>
      <c r="R15" s="26" t="n">
        <v>3013.72</v>
      </c>
      <c r="S15" s="26" t="n">
        <v>13493.15</v>
      </c>
      <c r="T15" s="26" t="n"/>
      <c r="U15" s="27">
        <f>IF(C15="","",N(R15)+N(S15)+N(T15))</f>
        <v/>
      </c>
      <c r="V15" s="27">
        <f>IF(C15="","",H15-U15)</f>
        <v/>
      </c>
      <c r="W15" s="29">
        <f>IFERROR(V15/H15,"")</f>
        <v/>
      </c>
      <c r="X15" s="24" t="n"/>
    </row>
    <row r="16" ht="15" customHeight="1">
      <c r="A16" s="63">
        <f>IF(C16="","",IFERROR(IF(SUMPRODUCT(MAX((tbl_Finance[Job Number]=C16&amp;"")*(tbl_Finance[Xero Invoice No]&lt;&gt;"")*tbl_Finance[Date]))=0,"",SUMPRODUCT(MAX((tbl_Finance[Job Number]=C16&amp;"")*(tbl_Finance[Xero Invoice No]&lt;&gt;"")*tbl_Finance[Date]))),""))</f>
        <v/>
      </c>
      <c r="B16" s="25">
        <f>IF(C16="","",IF(COUNTIFS(tbl_Finance[Job Number],C16&amp;"",tbl_Finance[Xero Invoice No],"&lt;&gt;")=0,"",IFERROR(IF(COUNTIFS(tbl_Finance[Job Number],C16&amp;"",tbl_Finance[Xero Invoice No],LOOKUP(2,1/((tbl_Finance[Job Number]=C16&amp;"")*(tbl_Finance[Xero Invoice No]&lt;&gt;"")),tbl_Finance[Xero Invoice No]))=COUNTIFS(tbl_Finance[Job Number],C16&amp;"",tbl_Finance[Xero Invoice No],"&lt;&gt;"),LOOKUP(2,1/((tbl_Finance[Job Number]=C16&amp;"")*(tbl_Finance[Xero Invoice No]&lt;&gt;"")),tbl_Finance[Xero Invoice No]),LOOKUP(2,1/((tbl_Finance[Job Number]=C16&amp;"")*(tbl_Finance[Xero Invoice No]&lt;&gt;"")),tbl_Finance[Xero Invoice No])&amp;" +more"),"")))</f>
        <v/>
      </c>
      <c r="C16" s="24" t="inlineStr">
        <is>
          <t>26033006</t>
        </is>
      </c>
      <c r="D16" s="25">
        <f>IF(C16="","",IF(COUNTIF(lst_Jobs,C16&amp;"")&gt;0,"OK","CHECK"))</f>
        <v/>
      </c>
      <c r="E16" s="25">
        <f>IF(C16="","",IFERROR(INDEX(lst_JobName,MATCH(C16&amp;"",lst_Jobs,0)),""))</f>
        <v/>
      </c>
      <c r="F16" s="25">
        <f>IF(C16="","",IFERROR(INDEX(tbl_Finance[Client],MATCH(C16&amp;"",tbl_Finance[Job Number],0)),""))</f>
        <v/>
      </c>
      <c r="G16" s="28">
        <f>IF(C16="","",COUNTIFS(tbl_Finance[Job Number],C16&amp;"",tbl_Finance[Ex GST],"&lt;&gt;"))</f>
        <v/>
      </c>
      <c r="H16" s="27">
        <f>IF(C16="","",SUMIFS(tbl_Finance[Ex GST],tbl_Finance[Job Number],C16&amp;""))</f>
        <v/>
      </c>
      <c r="I16" s="27">
        <f>IF(C16="","",SUMIFS(tbl_Finance[Ex GST],tbl_Finance[Job Number],C16&amp;"",tbl_Finance[Xero Invoice No],"&lt;&gt;"))</f>
        <v/>
      </c>
      <c r="J16" s="27">
        <f>IF(C16="","",H16-I16)</f>
        <v/>
      </c>
      <c r="K16" s="25">
        <f>IF(C16="","",IF(G16=0,"not invoiced yet",SUBSTITUTE(TRIM(IF(COUNTIFS(tbl_Finance[Job Number],C16&amp;"",tbl_Finance[Cost Centre],"ONSITE")&gt;0,"ONSITE ","")&amp;IF(COUNTIFS(tbl_Finance[Job Number],C16&amp;"",tbl_Finance[Cost Centre],"PRODUCTION")&gt;0,"PRODUCTION ","")&amp;IF(COUNTIFS(tbl_Finance[Job Number],C16&amp;"",tbl_Finance[Cost Centre],"VIDEO")&gt;0,"VIDEO ","")&amp;IF(COUNTIFS(tbl_Finance[Job Number],C16&amp;"",tbl_Finance[Cost Centre],"INTEGRATION")&gt;0,"INTEGRATION ","")&amp;IF(COUNTIFS(tbl_Finance[Job Number],C16&amp;"",tbl_Finance[Cost Centre],"CONSULTING")&gt;0,"CONSULTING ","")&amp;IF(COUNTIFS(tbl_Finance[Job Number],C16&amp;"",tbl_Finance[Cost Centre],"CTS")&gt;0,"CTS ",""))," ",", ")))</f>
        <v/>
      </c>
      <c r="L16" s="24" t="inlineStr">
        <is>
          <t>26033006_Deloitte 8PSQ_Bluetooth Audio_v1.0</t>
        </is>
      </c>
      <c r="M16" s="25">
        <f>IF(L16="","",HYPERLINK(IF(LEFT(L16,4)="http",L16,set_QwilrBase&amp;L16),"Open quote"))</f>
        <v/>
      </c>
      <c r="N16" s="26" t="n">
        <v>2578</v>
      </c>
      <c r="O16" s="26" t="n">
        <v>2487</v>
      </c>
      <c r="P16" s="26" t="n"/>
      <c r="Q16" s="25">
        <f>IF(C16="","",IF(N(N16)+N(O16)+N(P16)=0,"Not split",IF(ROUND(N(N16)+N(O16)+N(P16),2)=ROUND(H16,2),"OK","MISMATCH")))</f>
        <v/>
      </c>
      <c r="R16" s="26" t="n">
        <v>2114</v>
      </c>
      <c r="S16" s="26" t="n">
        <v>2110</v>
      </c>
      <c r="T16" s="26" t="n"/>
      <c r="U16" s="27">
        <f>IF(C16="","",N(R16)+N(S16)+N(T16))</f>
        <v/>
      </c>
      <c r="V16" s="27">
        <f>IF(C16="","",H16-U16)</f>
        <v/>
      </c>
      <c r="W16" s="29">
        <f>IFERROR(V16/H16,"")</f>
        <v/>
      </c>
      <c r="X16" s="24" t="n"/>
    </row>
    <row r="17" ht="15" customHeight="1">
      <c r="A17" s="63">
        <f>IF(C17="","",IFERROR(IF(SUMPRODUCT(MAX((tbl_Finance[Job Number]=C17&amp;"")*(tbl_Finance[Xero Invoice No]&lt;&gt;"")*tbl_Finance[Date]))=0,"",SUMPRODUCT(MAX((tbl_Finance[Job Number]=C17&amp;"")*(tbl_Finance[Xero Invoice No]&lt;&gt;"")*tbl_Finance[Date]))),""))</f>
        <v/>
      </c>
      <c r="B17" s="25">
        <f>IF(C17="","",IF(COUNTIFS(tbl_Finance[Job Number],C17&amp;"",tbl_Finance[Xero Invoice No],"&lt;&gt;")=0,"",IFERROR(IF(COUNTIFS(tbl_Finance[Job Number],C17&amp;"",tbl_Finance[Xero Invoice No],LOOKUP(2,1/((tbl_Finance[Job Number]=C17&amp;"")*(tbl_Finance[Xero Invoice No]&lt;&gt;"")),tbl_Finance[Xero Invoice No]))=COUNTIFS(tbl_Finance[Job Number],C17&amp;"",tbl_Finance[Xero Invoice No],"&lt;&gt;"),LOOKUP(2,1/((tbl_Finance[Job Number]=C17&amp;"")*(tbl_Finance[Xero Invoice No]&lt;&gt;"")),tbl_Finance[Xero Invoice No]),LOOKUP(2,1/((tbl_Finance[Job Number]=C17&amp;"")*(tbl_Finance[Xero Invoice No]&lt;&gt;"")),tbl_Finance[Xero Invoice No])&amp;" +more"),"")))</f>
        <v/>
      </c>
      <c r="C17" s="24" t="inlineStr">
        <is>
          <t>26033007</t>
        </is>
      </c>
      <c r="D17" s="25">
        <f>IF(C17="","",IF(COUNTIF(lst_Jobs,C17&amp;"")&gt;0,"OK","CHECK"))</f>
        <v/>
      </c>
      <c r="E17" s="25">
        <f>IF(C17="","",IFERROR(INDEX(lst_JobName,MATCH(C17&amp;"",lst_Jobs,0)),""))</f>
        <v/>
      </c>
      <c r="F17" s="25">
        <f>IF(C17="","",IFERROR(INDEX(tbl_Finance[Client],MATCH(C17&amp;"",tbl_Finance[Job Number],0)),""))</f>
        <v/>
      </c>
      <c r="G17" s="28">
        <f>IF(C17="","",COUNTIFS(tbl_Finance[Job Number],C17&amp;"",tbl_Finance[Ex GST],"&lt;&gt;"))</f>
        <v/>
      </c>
      <c r="H17" s="27">
        <f>IF(C17="","",SUMIFS(tbl_Finance[Ex GST],tbl_Finance[Job Number],C17&amp;""))</f>
        <v/>
      </c>
      <c r="I17" s="27">
        <f>IF(C17="","",SUMIFS(tbl_Finance[Ex GST],tbl_Finance[Job Number],C17&amp;"",tbl_Finance[Xero Invoice No],"&lt;&gt;"))</f>
        <v/>
      </c>
      <c r="J17" s="27">
        <f>IF(C17="","",H17-I17)</f>
        <v/>
      </c>
      <c r="K17" s="25">
        <f>IF(C17="","",IF(G17=0,"not invoiced yet",SUBSTITUTE(TRIM(IF(COUNTIFS(tbl_Finance[Job Number],C17&amp;"",tbl_Finance[Cost Centre],"ONSITE")&gt;0,"ONSITE ","")&amp;IF(COUNTIFS(tbl_Finance[Job Number],C17&amp;"",tbl_Finance[Cost Centre],"PRODUCTION")&gt;0,"PRODUCTION ","")&amp;IF(COUNTIFS(tbl_Finance[Job Number],C17&amp;"",tbl_Finance[Cost Centre],"VIDEO")&gt;0,"VIDEO ","")&amp;IF(COUNTIFS(tbl_Finance[Job Number],C17&amp;"",tbl_Finance[Cost Centre],"INTEGRATION")&gt;0,"INTEGRATION ","")&amp;IF(COUNTIFS(tbl_Finance[Job Number],C17&amp;"",tbl_Finance[Cost Centre],"CONSULTING")&gt;0,"CONSULTING ","")&amp;IF(COUNTIFS(tbl_Finance[Job Number],C17&amp;"",tbl_Finance[Cost Centre],"CTS")&gt;0,"CTS ",""))," ",", ")))</f>
        <v/>
      </c>
      <c r="L17" s="24" t="inlineStr">
        <is>
          <t>26033007_Deloitte QQT_Lv45 Seminar-Wheels repair_v1.0</t>
        </is>
      </c>
      <c r="M17" s="25">
        <f>IF(L17="","",HYPERLINK(IF(LEFT(L17,4)="http",L17,set_QwilrBase&amp;L17),"Open quote"))</f>
        <v/>
      </c>
      <c r="N17" s="26" t="n"/>
      <c r="O17" s="26" t="n">
        <v>354</v>
      </c>
      <c r="P17" s="26" t="n"/>
      <c r="Q17" s="25">
        <f>IF(C17="","",IF(N(N17)+N(O17)+N(P17)=0,"Not split",IF(ROUND(N(N17)+N(O17)+N(P17),2)=ROUND(H17,2),"OK","MISMATCH")))</f>
        <v/>
      </c>
      <c r="R17" s="26" t="n"/>
      <c r="S17" s="26" t="n">
        <v>289.42</v>
      </c>
      <c r="T17" s="26" t="n"/>
      <c r="U17" s="27">
        <f>IF(C17="","",N(R17)+N(S17)+N(T17))</f>
        <v/>
      </c>
      <c r="V17" s="27">
        <f>IF(C17="","",H17-U17)</f>
        <v/>
      </c>
      <c r="W17" s="29">
        <f>IFERROR(V17/H17,"")</f>
        <v/>
      </c>
      <c r="X17" s="24" t="n"/>
    </row>
    <row r="18" ht="15" customHeight="1">
      <c r="A18" s="63">
        <f>IF(C18="","",IFERROR(IF(SUMPRODUCT(MAX((tbl_Finance[Job Number]=C18&amp;"")*(tbl_Finance[Xero Invoice No]&lt;&gt;"")*tbl_Finance[Date]))=0,"",SUMPRODUCT(MAX((tbl_Finance[Job Number]=C18&amp;"")*(tbl_Finance[Xero Invoice No]&lt;&gt;"")*tbl_Finance[Date]))),""))</f>
        <v/>
      </c>
      <c r="B18" s="25">
        <f>IF(C18="","",IF(COUNTIFS(tbl_Finance[Job Number],C18&amp;"",tbl_Finance[Xero Invoice No],"&lt;&gt;")=0,"",IFERROR(IF(COUNTIFS(tbl_Finance[Job Number],C18&amp;"",tbl_Finance[Xero Invoice No],LOOKUP(2,1/((tbl_Finance[Job Number]=C18&amp;"")*(tbl_Finance[Xero Invoice No]&lt;&gt;"")),tbl_Finance[Xero Invoice No]))=COUNTIFS(tbl_Finance[Job Number],C18&amp;"",tbl_Finance[Xero Invoice No],"&lt;&gt;"),LOOKUP(2,1/((tbl_Finance[Job Number]=C18&amp;"")*(tbl_Finance[Xero Invoice No]&lt;&gt;"")),tbl_Finance[Xero Invoice No]),LOOKUP(2,1/((tbl_Finance[Job Number]=C18&amp;"")*(tbl_Finance[Xero Invoice No]&lt;&gt;"")),tbl_Finance[Xero Invoice No])&amp;" +more"),"")))</f>
        <v/>
      </c>
      <c r="C18" s="24" t="inlineStr">
        <is>
          <t>26051301</t>
        </is>
      </c>
      <c r="D18" s="25">
        <f>IF(C18="","",IF(COUNTIF(lst_Jobs,C18&amp;"")&gt;0,"OK","CHECK"))</f>
        <v/>
      </c>
      <c r="E18" s="25">
        <f>IF(C18="","",IFERROR(INDEX(lst_JobName,MATCH(C18&amp;"",lst_Jobs,0)),""))</f>
        <v/>
      </c>
      <c r="F18" s="25">
        <f>IF(C18="","",IFERROR(INDEX(tbl_Finance[Client],MATCH(C18&amp;"",tbl_Finance[Job Number],0)),""))</f>
        <v/>
      </c>
      <c r="G18" s="28">
        <f>IF(C18="","",COUNTIFS(tbl_Finance[Job Number],C18&amp;"",tbl_Finance[Ex GST],"&lt;&gt;"))</f>
        <v/>
      </c>
      <c r="H18" s="27">
        <f>IF(C18="","",SUMIFS(tbl_Finance[Ex GST],tbl_Finance[Job Number],C18&amp;""))</f>
        <v/>
      </c>
      <c r="I18" s="27">
        <f>IF(C18="","",SUMIFS(tbl_Finance[Ex GST],tbl_Finance[Job Number],C18&amp;"",tbl_Finance[Xero Invoice No],"&lt;&gt;"))</f>
        <v/>
      </c>
      <c r="J18" s="27">
        <f>IF(C18="","",H18-I18)</f>
        <v/>
      </c>
      <c r="K18" s="25">
        <f>IF(C18="","",IF(G18=0,"not invoiced yet",SUBSTITUTE(TRIM(IF(COUNTIFS(tbl_Finance[Job Number],C18&amp;"",tbl_Finance[Cost Centre],"ONSITE")&gt;0,"ONSITE ","")&amp;IF(COUNTIFS(tbl_Finance[Job Number],C18&amp;"",tbl_Finance[Cost Centre],"PRODUCTION")&gt;0,"PRODUCTION ","")&amp;IF(COUNTIFS(tbl_Finance[Job Number],C18&amp;"",tbl_Finance[Cost Centre],"VIDEO")&gt;0,"VIDEO ","")&amp;IF(COUNTIFS(tbl_Finance[Job Number],C18&amp;"",tbl_Finance[Cost Centre],"INTEGRATION")&gt;0,"INTEGRATION ","")&amp;IF(COUNTIFS(tbl_Finance[Job Number],C18&amp;"",tbl_Finance[Cost Centre],"CONSULTING")&gt;0,"CONSULTING ","")&amp;IF(COUNTIFS(tbl_Finance[Job Number],C18&amp;"",tbl_Finance[Cost Centre],"CTS")&gt;0,"CTS ",""))," ",", ")))</f>
        <v/>
      </c>
      <c r="L18" s="24" t="inlineStr">
        <is>
          <t>https://cts.qwilr.com/26051301-HP-BAE-PhoneMod-v1-0-nL48O1eQt25h</t>
        </is>
      </c>
      <c r="M18" s="25">
        <f>IF(L18="","",HYPERLINK(IF(LEFT(L18,4)="http",L18,set_QwilrBase&amp;L18),"Open quote"))</f>
        <v/>
      </c>
      <c r="N18" s="26" t="n">
        <v>552</v>
      </c>
      <c r="O18" s="26" t="n">
        <v>609</v>
      </c>
      <c r="P18" s="26" t="n"/>
      <c r="Q18" s="25">
        <f>IF(C18="","",IF(N(N18)+N(O18)+N(P18)=0,"Not split",IF(ROUND(N(N18)+N(O18)+N(P18),2)=ROUND(H18,2),"OK","MISMATCH")))</f>
        <v/>
      </c>
      <c r="R18" s="26" t="n">
        <v>486</v>
      </c>
      <c r="S18" s="26" t="n">
        <v>402</v>
      </c>
      <c r="T18" s="26" t="n"/>
      <c r="U18" s="27">
        <f>IF(C18="","",N(R18)+N(S18)+N(T18))</f>
        <v/>
      </c>
      <c r="V18" s="27">
        <f>IF(C18="","",H18-U18)</f>
        <v/>
      </c>
      <c r="W18" s="29">
        <f>IFERROR(V18/H18,"")</f>
        <v/>
      </c>
      <c r="X18" s="24" t="n"/>
    </row>
    <row r="19" ht="15" customHeight="1">
      <c r="A19" s="63">
        <f>IF(C19="","",IFERROR(IF(SUMPRODUCT(MAX((tbl_Finance[Job Number]=C19&amp;"")*(tbl_Finance[Xero Invoice No]&lt;&gt;"")*tbl_Finance[Date]))=0,"",SUMPRODUCT(MAX((tbl_Finance[Job Number]=C19&amp;"")*(tbl_Finance[Xero Invoice No]&lt;&gt;"")*tbl_Finance[Date]))),""))</f>
        <v/>
      </c>
      <c r="B19" s="25">
        <f>IF(C19="","",IF(COUNTIFS(tbl_Finance[Job Number],C19&amp;"",tbl_Finance[Xero Invoice No],"&lt;&gt;")=0,"",IFERROR(IF(COUNTIFS(tbl_Finance[Job Number],C19&amp;"",tbl_Finance[Xero Invoice No],LOOKUP(2,1/((tbl_Finance[Job Number]=C19&amp;"")*(tbl_Finance[Xero Invoice No]&lt;&gt;"")),tbl_Finance[Xero Invoice No]))=COUNTIFS(tbl_Finance[Job Number],C19&amp;"",tbl_Finance[Xero Invoice No],"&lt;&gt;"),LOOKUP(2,1/((tbl_Finance[Job Number]=C19&amp;"")*(tbl_Finance[Xero Invoice No]&lt;&gt;"")),tbl_Finance[Xero Invoice No]),LOOKUP(2,1/((tbl_Finance[Job Number]=C19&amp;"")*(tbl_Finance[Xero Invoice No]&lt;&gt;"")),tbl_Finance[Xero Invoice No])&amp;" +more"),"")))</f>
        <v/>
      </c>
      <c r="C19" s="24" t="inlineStr">
        <is>
          <t>26061501</t>
        </is>
      </c>
      <c r="D19" s="25">
        <f>IF(C19="","",IF(COUNTIF(lst_Jobs,C19&amp;"")&gt;0,"OK","CHECK"))</f>
        <v/>
      </c>
      <c r="E19" s="25">
        <f>IF(C19="","",IFERROR(INDEX(lst_JobName,MATCH(C19&amp;"",lst_Jobs,0)),""))</f>
        <v/>
      </c>
      <c r="F19" s="25">
        <f>IF(C19="","",IFERROR(INDEX(tbl_Finance[Client],MATCH(C19&amp;"",tbl_Finance[Job Number],0)),""))</f>
        <v/>
      </c>
      <c r="G19" s="28">
        <f>IF(C19="","",COUNTIFS(tbl_Finance[Job Number],C19&amp;"",tbl_Finance[Ex GST],"&lt;&gt;"))</f>
        <v/>
      </c>
      <c r="H19" s="27">
        <f>IF(C19="","",SUMIFS(tbl_Finance[Ex GST],tbl_Finance[Job Number],C19&amp;""))</f>
        <v/>
      </c>
      <c r="I19" s="27">
        <f>IF(C19="","",SUMIFS(tbl_Finance[Ex GST],tbl_Finance[Job Number],C19&amp;"",tbl_Finance[Xero Invoice No],"&lt;&gt;"))</f>
        <v/>
      </c>
      <c r="J19" s="27">
        <f>IF(C19="","",H19-I19)</f>
        <v/>
      </c>
      <c r="K19" s="25">
        <f>IF(C19="","",IF(G19=0,"not invoiced yet",SUBSTITUTE(TRIM(IF(COUNTIFS(tbl_Finance[Job Number],C19&amp;"",tbl_Finance[Cost Centre],"ONSITE")&gt;0,"ONSITE ","")&amp;IF(COUNTIFS(tbl_Finance[Job Number],C19&amp;"",tbl_Finance[Cost Centre],"PRODUCTION")&gt;0,"PRODUCTION ","")&amp;IF(COUNTIFS(tbl_Finance[Job Number],C19&amp;"",tbl_Finance[Cost Centre],"VIDEO")&gt;0,"VIDEO ","")&amp;IF(COUNTIFS(tbl_Finance[Job Number],C19&amp;"",tbl_Finance[Cost Centre],"INTEGRATION")&gt;0,"INTEGRATION ","")&amp;IF(COUNTIFS(tbl_Finance[Job Number],C19&amp;"",tbl_Finance[Cost Centre],"CONSULTING")&gt;0,"CONSULTING ","")&amp;IF(COUNTIFS(tbl_Finance[Job Number],C19&amp;"",tbl_Finance[Cost Centre],"CTS")&gt;0,"CTS ",""))," ",", ")))</f>
        <v/>
      </c>
      <c r="L19" s="24" t="inlineStr">
        <is>
          <t>https://cts.qwilr.com/26061501-DTTL-Costing-v1-0-3HdQMOES9eDo</t>
        </is>
      </c>
      <c r="M19" s="25">
        <f>IF(L19="","",HYPERLINK(IF(LEFT(L19,4)="http",L19,set_QwilrBase&amp;L19),"Open quote"))</f>
        <v/>
      </c>
      <c r="N19" s="26" t="n">
        <v>1639</v>
      </c>
      <c r="O19" s="26" t="n">
        <v>2251</v>
      </c>
      <c r="P19" s="26" t="n"/>
      <c r="Q19" s="25">
        <f>IF(C19="","",IF(N(N19)+N(O19)+N(P19)=0,"Not split",IF(ROUND(N(N19)+N(O19)+N(P19),2)=ROUND(H19,2),"OK","MISMATCH")))</f>
        <v/>
      </c>
      <c r="R19" s="26" t="n">
        <v>1344.2</v>
      </c>
      <c r="S19" s="26" t="n">
        <v>1688.07</v>
      </c>
      <c r="T19" s="26" t="n"/>
      <c r="U19" s="27">
        <f>IF(C19="","",N(R19)+N(S19)+N(T19))</f>
        <v/>
      </c>
      <c r="V19" s="27">
        <f>IF(C19="","",H19-U19)</f>
        <v/>
      </c>
      <c r="W19" s="29">
        <f>IFERROR(V19/H19,"")</f>
        <v/>
      </c>
      <c r="X19" s="24" t="n"/>
    </row>
    <row r="20" ht="15" customHeight="1">
      <c r="A20" s="63">
        <f>IF(C20="","",IFERROR(IF(SUMPRODUCT(MAX((tbl_Finance[Job Number]=C20&amp;"")*(tbl_Finance[Xero Invoice No]&lt;&gt;"")*tbl_Finance[Date]))=0,"",SUMPRODUCT(MAX((tbl_Finance[Job Number]=C20&amp;"")*(tbl_Finance[Xero Invoice No]&lt;&gt;"")*tbl_Finance[Date]))),""))</f>
        <v/>
      </c>
      <c r="B20" s="25">
        <f>IF(C20="","",IF(COUNTIFS(tbl_Finance[Job Number],C20&amp;"",tbl_Finance[Xero Invoice No],"&lt;&gt;")=0,"",IFERROR(IF(COUNTIFS(tbl_Finance[Job Number],C20&amp;"",tbl_Finance[Xero Invoice No],LOOKUP(2,1/((tbl_Finance[Job Number]=C20&amp;"")*(tbl_Finance[Xero Invoice No]&lt;&gt;"")),tbl_Finance[Xero Invoice No]))=COUNTIFS(tbl_Finance[Job Number],C20&amp;"",tbl_Finance[Xero Invoice No],"&lt;&gt;"),LOOKUP(2,1/((tbl_Finance[Job Number]=C20&amp;"")*(tbl_Finance[Xero Invoice No]&lt;&gt;"")),tbl_Finance[Xero Invoice No]),LOOKUP(2,1/((tbl_Finance[Job Number]=C20&amp;"")*(tbl_Finance[Xero Invoice No]&lt;&gt;"")),tbl_Finance[Xero Invoice No])&amp;" +more"),"")))</f>
        <v/>
      </c>
      <c r="C20" s="24" t="inlineStr">
        <is>
          <t>2605605</t>
        </is>
      </c>
      <c r="D20" s="25">
        <f>IF(C20="","",IF(COUNTIF(lst_Jobs,C20&amp;"")&gt;0,"OK","CHECK"))</f>
        <v/>
      </c>
      <c r="E20" s="25">
        <f>IF(C20="","",IFERROR(INDEX(lst_JobName,MATCH(C20&amp;"",lst_Jobs,0)),""))</f>
        <v/>
      </c>
      <c r="F20" s="25">
        <f>IF(C20="","",IFERROR(INDEX(tbl_Finance[Client],MATCH(C20&amp;"",tbl_Finance[Job Number],0)),""))</f>
        <v/>
      </c>
      <c r="G20" s="28">
        <f>IF(C20="","",COUNTIFS(tbl_Finance[Job Number],C20&amp;"",tbl_Finance[Ex GST],"&lt;&gt;"))</f>
        <v/>
      </c>
      <c r="H20" s="27">
        <f>IF(C20="","",SUMIFS(tbl_Finance[Ex GST],tbl_Finance[Job Number],C20&amp;""))</f>
        <v/>
      </c>
      <c r="I20" s="27">
        <f>IF(C20="","",SUMIFS(tbl_Finance[Ex GST],tbl_Finance[Job Number],C20&amp;"",tbl_Finance[Xero Invoice No],"&lt;&gt;"))</f>
        <v/>
      </c>
      <c r="J20" s="27">
        <f>IF(C20="","",H20-I20)</f>
        <v/>
      </c>
      <c r="K20" s="25">
        <f>IF(C20="","",IF(G20=0,"not invoiced yet",SUBSTITUTE(TRIM(IF(COUNTIFS(tbl_Finance[Job Number],C20&amp;"",tbl_Finance[Cost Centre],"ONSITE")&gt;0,"ONSITE ","")&amp;IF(COUNTIFS(tbl_Finance[Job Number],C20&amp;"",tbl_Finance[Cost Centre],"PRODUCTION")&gt;0,"PRODUCTION ","")&amp;IF(COUNTIFS(tbl_Finance[Job Number],C20&amp;"",tbl_Finance[Cost Centre],"VIDEO")&gt;0,"VIDEO ","")&amp;IF(COUNTIFS(tbl_Finance[Job Number],C20&amp;"",tbl_Finance[Cost Centre],"INTEGRATION")&gt;0,"INTEGRATION ","")&amp;IF(COUNTIFS(tbl_Finance[Job Number],C20&amp;"",tbl_Finance[Cost Centre],"CONSULTING")&gt;0,"CONSULTING ","")&amp;IF(COUNTIFS(tbl_Finance[Job Number],C20&amp;"",tbl_Finance[Cost Centre],"CTS")&gt;0,"CTS ",""))," ",", ")))</f>
        <v/>
      </c>
      <c r="L20" s="24" t="inlineStr">
        <is>
          <t>https://cts.qwilr.com/2605605-DTTL-Hobart-v3-2-6eP2dgISRMec</t>
        </is>
      </c>
      <c r="M20" s="25">
        <f>IF(L20="","",HYPERLINK(IF(LEFT(L20,4)="http",L20,set_QwilrBase&amp;L20),"Open quote"))</f>
        <v/>
      </c>
      <c r="N20" s="26" t="n">
        <v>12985</v>
      </c>
      <c r="O20" s="26" t="n">
        <v>47362</v>
      </c>
      <c r="P20" s="26" t="n"/>
      <c r="Q20" s="25">
        <f>IF(C20="","",IF(N(N20)+N(O20)+N(P20)=0,"Not split",IF(ROUND(N(N20)+N(O20)+N(P20),2)=ROUND(H20,2),"OK","MISMATCH")))</f>
        <v/>
      </c>
      <c r="R20" s="26" t="n">
        <v>10485</v>
      </c>
      <c r="S20" s="26" t="n">
        <v>25392</v>
      </c>
      <c r="T20" s="26" t="n"/>
      <c r="U20" s="27">
        <f>IF(C20="","",N(R20)+N(S20)+N(T20))</f>
        <v/>
      </c>
      <c r="V20" s="27">
        <f>IF(C20="","",H20-U20)</f>
        <v/>
      </c>
      <c r="W20" s="29">
        <f>IFERROR(V20/H20,"")</f>
        <v/>
      </c>
      <c r="X20" s="24" t="n"/>
    </row>
    <row r="21" ht="15" customHeight="1">
      <c r="A21" s="63">
        <f>IF(C21="","",IFERROR(IF(SUMPRODUCT(MAX((tbl_Finance[Job Number]=C21&amp;"")*(tbl_Finance[Xero Invoice No]&lt;&gt;"")*tbl_Finance[Date]))=0,"",SUMPRODUCT(MAX((tbl_Finance[Job Number]=C21&amp;"")*(tbl_Finance[Xero Invoice No]&lt;&gt;"")*tbl_Finance[Date]))),""))</f>
        <v/>
      </c>
      <c r="B21" s="25">
        <f>IF(C21="","",IF(COUNTIFS(tbl_Finance[Job Number],C21&amp;"",tbl_Finance[Xero Invoice No],"&lt;&gt;")=0,"",IFERROR(IF(COUNTIFS(tbl_Finance[Job Number],C21&amp;"",tbl_Finance[Xero Invoice No],LOOKUP(2,1/((tbl_Finance[Job Number]=C21&amp;"")*(tbl_Finance[Xero Invoice No]&lt;&gt;"")),tbl_Finance[Xero Invoice No]))=COUNTIFS(tbl_Finance[Job Number],C21&amp;"",tbl_Finance[Xero Invoice No],"&lt;&gt;"),LOOKUP(2,1/((tbl_Finance[Job Number]=C21&amp;"")*(tbl_Finance[Xero Invoice No]&lt;&gt;"")),tbl_Finance[Xero Invoice No]),LOOKUP(2,1/((tbl_Finance[Job Number]=C21&amp;"")*(tbl_Finance[Xero Invoice No]&lt;&gt;"")),tbl_Finance[Xero Invoice No])&amp;" +more"),"")))</f>
        <v/>
      </c>
      <c r="C21" s="24" t="inlineStr">
        <is>
          <t>26072101</t>
        </is>
      </c>
      <c r="D21" s="25">
        <f>IF(C21="","",IF(COUNTIF(lst_Jobs,C21&amp;"")&gt;0,"OK","CHECK"))</f>
        <v/>
      </c>
      <c r="E21" s="25">
        <f>IF(C21="","",IFERROR(INDEX(lst_JobName,MATCH(C21&amp;"",lst_Jobs,0)),""))</f>
        <v/>
      </c>
      <c r="F21" s="25">
        <f>IF(C21="","",IFERROR(INDEX(tbl_Finance[Client],MATCH(C21&amp;"",tbl_Finance[Job Number],0)),""))</f>
        <v/>
      </c>
      <c r="G21" s="28">
        <f>IF(C21="","",COUNTIFS(tbl_Finance[Job Number],C21&amp;"",tbl_Finance[Ex GST],"&lt;&gt;"))</f>
        <v/>
      </c>
      <c r="H21" s="27">
        <f>IF(C21="","",SUMIFS(tbl_Finance[Ex GST],tbl_Finance[Job Number],C21&amp;""))</f>
        <v/>
      </c>
      <c r="I21" s="27">
        <f>IF(C21="","",SUMIFS(tbl_Finance[Ex GST],tbl_Finance[Job Number],C21&amp;"",tbl_Finance[Xero Invoice No],"&lt;&gt;"))</f>
        <v/>
      </c>
      <c r="J21" s="27">
        <f>IF(C21="","",H21-I21)</f>
        <v/>
      </c>
      <c r="K21" s="25">
        <f>IF(C21="","",IF(G21=0,"not invoiced yet",SUBSTITUTE(TRIM(IF(COUNTIFS(tbl_Finance[Job Number],C21&amp;"",tbl_Finance[Cost Centre],"ONSITE")&gt;0,"ONSITE ","")&amp;IF(COUNTIFS(tbl_Finance[Job Number],C21&amp;"",tbl_Finance[Cost Centre],"PRODUCTION")&gt;0,"PRODUCTION ","")&amp;IF(COUNTIFS(tbl_Finance[Job Number],C21&amp;"",tbl_Finance[Cost Centre],"VIDEO")&gt;0,"VIDEO ","")&amp;IF(COUNTIFS(tbl_Finance[Job Number],C21&amp;"",tbl_Finance[Cost Centre],"INTEGRATION")&gt;0,"INTEGRATION ","")&amp;IF(COUNTIFS(tbl_Finance[Job Number],C21&amp;"",tbl_Finance[Cost Centre],"CONSULTING")&gt;0,"CONSULTING ","")&amp;IF(COUNTIFS(tbl_Finance[Job Number],C21&amp;"",tbl_Finance[Cost Centre],"CTS")&gt;0,"CTS ",""))," ",", ")))</f>
        <v/>
      </c>
      <c r="L21" s="24" t="inlineStr">
        <is>
          <t>https://corptechservices.sharepoint.com/:b:/s/TeamIntegration/IQBagqp7IMy9QaQ1UUIv4eRPASus3A84m0lYjrSHFwHEyt0?e=9PLTPA</t>
        </is>
      </c>
      <c r="M21" s="25">
        <f>IF(L21="","",HYPERLINK(IF(LEFT(L21,4)="http",L21,set_QwilrBase&amp;L21),"Open quote"))</f>
        <v/>
      </c>
      <c r="N21" s="26" t="n">
        <v>920</v>
      </c>
      <c r="O21" s="26" t="n">
        <v>5217</v>
      </c>
      <c r="P21" s="26" t="n"/>
      <c r="Q21" s="25">
        <f>IF(C21="","",IF(N(N21)+N(O21)+N(P21)=0,"Not split",IF(ROUND(N(N21)+N(O21)+N(P21),2)=ROUND(H21,2),"OK","MISMATCH")))</f>
        <v/>
      </c>
      <c r="R21" s="26" t="n">
        <v>549</v>
      </c>
      <c r="S21" s="26" t="n">
        <v>3913</v>
      </c>
      <c r="T21" s="26" t="n"/>
      <c r="U21" s="27">
        <f>IF(C21="","",N(R21)+N(S21)+N(T21))</f>
        <v/>
      </c>
      <c r="V21" s="27">
        <f>IF(C21="","",H21-U21)</f>
        <v/>
      </c>
      <c r="W21" s="29">
        <f>IFERROR(V21/H21,"")</f>
        <v/>
      </c>
      <c r="X21" s="24" t="n"/>
    </row>
    <row r="22" ht="15" customHeight="1">
      <c r="A22" s="63">
        <f>IF(C22="","",IFERROR(IF(SUMPRODUCT(MAX((tbl_Finance[Job Number]=C22&amp;"")*(tbl_Finance[Xero Invoice No]&lt;&gt;"")*tbl_Finance[Date]))=0,"",SUMPRODUCT(MAX((tbl_Finance[Job Number]=C22&amp;"")*(tbl_Finance[Xero Invoice No]&lt;&gt;"")*tbl_Finance[Date]))),""))</f>
        <v/>
      </c>
      <c r="B22" s="25">
        <f>IF(C22="","",IF(COUNTIFS(tbl_Finance[Job Number],C22&amp;"",tbl_Finance[Xero Invoice No],"&lt;&gt;")=0,"",IFERROR(IF(COUNTIFS(tbl_Finance[Job Number],C22&amp;"",tbl_Finance[Xero Invoice No],LOOKUP(2,1/((tbl_Finance[Job Number]=C22&amp;"")*(tbl_Finance[Xero Invoice No]&lt;&gt;"")),tbl_Finance[Xero Invoice No]))=COUNTIFS(tbl_Finance[Job Number],C22&amp;"",tbl_Finance[Xero Invoice No],"&lt;&gt;"),LOOKUP(2,1/((tbl_Finance[Job Number]=C22&amp;"")*(tbl_Finance[Xero Invoice No]&lt;&gt;"")),tbl_Finance[Xero Invoice No]),LOOKUP(2,1/((tbl_Finance[Job Number]=C22&amp;"")*(tbl_Finance[Xero Invoice No]&lt;&gt;"")),tbl_Finance[Xero Invoice No])&amp;" +more"),"")))</f>
        <v/>
      </c>
      <c r="C22" s="24" t="inlineStr">
        <is>
          <t>2606101</t>
        </is>
      </c>
      <c r="D22" s="25">
        <f>IF(C22="","",IF(COUNTIF(lst_Jobs,C22&amp;"")&gt;0,"OK","CHECK"))</f>
        <v/>
      </c>
      <c r="E22" s="25">
        <f>IF(C22="","",IFERROR(INDEX(lst_JobName,MATCH(C22&amp;"",lst_Jobs,0)),""))</f>
        <v/>
      </c>
      <c r="F22" s="25">
        <f>IF(C22="","",IFERROR(INDEX(tbl_Finance[Client],MATCH(C22&amp;"",tbl_Finance[Job Number],0)),""))</f>
        <v/>
      </c>
      <c r="G22" s="28">
        <f>IF(C22="","",COUNTIFS(tbl_Finance[Job Number],C22&amp;"",tbl_Finance[Ex GST],"&lt;&gt;"))</f>
        <v/>
      </c>
      <c r="H22" s="27">
        <f>IF(C22="","",SUMIFS(tbl_Finance[Ex GST],tbl_Finance[Job Number],C22&amp;""))</f>
        <v/>
      </c>
      <c r="I22" s="27">
        <f>IF(C22="","",SUMIFS(tbl_Finance[Ex GST],tbl_Finance[Job Number],C22&amp;"",tbl_Finance[Xero Invoice No],"&lt;&gt;"))</f>
        <v/>
      </c>
      <c r="J22" s="27">
        <f>IF(C22="","",H22-I22)</f>
        <v/>
      </c>
      <c r="K22" s="25">
        <f>IF(C22="","",IF(G22=0,"not invoiced yet",SUBSTITUTE(TRIM(IF(COUNTIFS(tbl_Finance[Job Number],C22&amp;"",tbl_Finance[Cost Centre],"ONSITE")&gt;0,"ONSITE ","")&amp;IF(COUNTIFS(tbl_Finance[Job Number],C22&amp;"",tbl_Finance[Cost Centre],"PRODUCTION")&gt;0,"PRODUCTION ","")&amp;IF(COUNTIFS(tbl_Finance[Job Number],C22&amp;"",tbl_Finance[Cost Centre],"VIDEO")&gt;0,"VIDEO ","")&amp;IF(COUNTIFS(tbl_Finance[Job Number],C22&amp;"",tbl_Finance[Cost Centre],"INTEGRATION")&gt;0,"INTEGRATION ","")&amp;IF(COUNTIFS(tbl_Finance[Job Number],C22&amp;"",tbl_Finance[Cost Centre],"CONSULTING")&gt;0,"CONSULTING ","")&amp;IF(COUNTIFS(tbl_Finance[Job Number],C22&amp;"",tbl_Finance[Cost Centre],"CTS")&gt;0,"CTS ",""))," ",", ")))</f>
        <v/>
      </c>
      <c r="L22" s="24" t="inlineStr">
        <is>
          <t>https://cts.qwilr.com/2606101-APA-Quotation-v1-0-QyyRipuR5uzy</t>
        </is>
      </c>
      <c r="M22" s="25">
        <f>IF(L22="","",HYPERLINK(IF(LEFT(L22,4)="http",L22,set_QwilrBase&amp;L22),"Open quote"))</f>
        <v/>
      </c>
      <c r="N22" s="26" t="n"/>
      <c r="O22" s="26" t="n"/>
      <c r="P22" s="26" t="n">
        <v>4205</v>
      </c>
      <c r="Q22" s="25">
        <f>IF(C22="","",IF(N(N22)+N(O22)+N(P22)=0,"Not split",IF(ROUND(N(N22)+N(O22)+N(P22),2)=ROUND(H22,2),"OK","MISMATCH")))</f>
        <v/>
      </c>
      <c r="R22" s="26" t="n"/>
      <c r="S22" s="26" t="n"/>
      <c r="T22" s="26" t="n">
        <v>3364</v>
      </c>
      <c r="U22" s="27">
        <f>IF(C22="","",N(R22)+N(S22)+N(T22))</f>
        <v/>
      </c>
      <c r="V22" s="27">
        <f>IF(C22="","",H22-U22)</f>
        <v/>
      </c>
      <c r="W22" s="29">
        <f>IFERROR(V22/H22,"")</f>
        <v/>
      </c>
      <c r="X22" s="24" t="inlineStr">
        <is>
          <t>01/03/2027 to 29/02/2028</t>
        </is>
      </c>
    </row>
    <row r="23" ht="15" customHeight="1">
      <c r="A23" s="63">
        <f>IF(C23="","",IFERROR(IF(SUMPRODUCT(MAX((tbl_Finance[Job Number]=C23&amp;"")*(tbl_Finance[Xero Invoice No]&lt;&gt;"")*tbl_Finance[Date]))=0,"",SUMPRODUCT(MAX((tbl_Finance[Job Number]=C23&amp;"")*(tbl_Finance[Xero Invoice No]&lt;&gt;"")*tbl_Finance[Date]))),""))</f>
        <v/>
      </c>
      <c r="B23" s="25">
        <f>IF(C23="","",IF(COUNTIFS(tbl_Finance[Job Number],C23&amp;"",tbl_Finance[Xero Invoice No],"&lt;&gt;")=0,"",IFERROR(IF(COUNTIFS(tbl_Finance[Job Number],C23&amp;"",tbl_Finance[Xero Invoice No],LOOKUP(2,1/((tbl_Finance[Job Number]=C23&amp;"")*(tbl_Finance[Xero Invoice No]&lt;&gt;"")),tbl_Finance[Xero Invoice No]))=COUNTIFS(tbl_Finance[Job Number],C23&amp;"",tbl_Finance[Xero Invoice No],"&lt;&gt;"),LOOKUP(2,1/((tbl_Finance[Job Number]=C23&amp;"")*(tbl_Finance[Xero Invoice No]&lt;&gt;"")),tbl_Finance[Xero Invoice No]),LOOKUP(2,1/((tbl_Finance[Job Number]=C23&amp;"")*(tbl_Finance[Xero Invoice No]&lt;&gt;"")),tbl_Finance[Xero Invoice No])&amp;" +more"),"")))</f>
        <v/>
      </c>
      <c r="C23" s="24" t="inlineStr">
        <is>
          <t>26071304</t>
        </is>
      </c>
      <c r="D23" s="25">
        <f>IF(C23="","",IF(COUNTIF(lst_Jobs,C23&amp;"")&gt;0,"OK","CHECK"))</f>
        <v/>
      </c>
      <c r="E23" s="25">
        <f>IF(C23="","",IFERROR(INDEX(lst_JobName,MATCH(C23&amp;"",lst_Jobs,0)),""))</f>
        <v/>
      </c>
      <c r="F23" s="25">
        <f>IF(C23="","",IFERROR(INDEX(tbl_Finance[Client],MATCH(C23&amp;"",tbl_Finance[Job Number],0)),""))</f>
        <v/>
      </c>
      <c r="G23" s="28">
        <f>IF(C23="","",COUNTIFS(tbl_Finance[Job Number],C23&amp;"",tbl_Finance[Ex GST],"&lt;&gt;"))</f>
        <v/>
      </c>
      <c r="H23" s="27">
        <f>IF(C23="","",SUMIFS(tbl_Finance[Ex GST],tbl_Finance[Job Number],C23&amp;""))</f>
        <v/>
      </c>
      <c r="I23" s="27">
        <f>IF(C23="","",SUMIFS(tbl_Finance[Ex GST],tbl_Finance[Job Number],C23&amp;"",tbl_Finance[Xero Invoice No],"&lt;&gt;"))</f>
        <v/>
      </c>
      <c r="J23" s="27">
        <f>IF(C23="","",H23-I23)</f>
        <v/>
      </c>
      <c r="K23" s="25">
        <f>IF(C23="","",IF(G23=0,"not invoiced yet",SUBSTITUTE(TRIM(IF(COUNTIFS(tbl_Finance[Job Number],C23&amp;"",tbl_Finance[Cost Centre],"ONSITE")&gt;0,"ONSITE ","")&amp;IF(COUNTIFS(tbl_Finance[Job Number],C23&amp;"",tbl_Finance[Cost Centre],"PRODUCTION")&gt;0,"PRODUCTION ","")&amp;IF(COUNTIFS(tbl_Finance[Job Number],C23&amp;"",tbl_Finance[Cost Centre],"VIDEO")&gt;0,"VIDEO ","")&amp;IF(COUNTIFS(tbl_Finance[Job Number],C23&amp;"",tbl_Finance[Cost Centre],"INTEGRATION")&gt;0,"INTEGRATION ","")&amp;IF(COUNTIFS(tbl_Finance[Job Number],C23&amp;"",tbl_Finance[Cost Centre],"CONSULTING")&gt;0,"CONSULTING ","")&amp;IF(COUNTIFS(tbl_Finance[Job Number],C23&amp;"",tbl_Finance[Cost Centre],"CTS")&gt;0,"CTS ",""))," ",", ")))</f>
        <v/>
      </c>
      <c r="L23" s="24" t="inlineStr">
        <is>
          <t>https://cts.qwilr.com/26071304-YSG-Costing-v1-0-FTAgpF5RoWQK</t>
        </is>
      </c>
      <c r="M23" s="25">
        <f>IF(L23="","",HYPERLINK(IF(LEFT(L23,4)="http",L23,set_QwilrBase&amp;L23),"Open quote"))</f>
        <v/>
      </c>
      <c r="N23" s="26" t="n">
        <v>4462</v>
      </c>
      <c r="O23" s="26" t="n">
        <v>4702</v>
      </c>
      <c r="P23" s="26" t="n"/>
      <c r="Q23" s="25">
        <f>IF(C23="","",IF(N(N23)+N(O23)+N(P23)=0,"Not split",IF(ROUND(N(N23)+N(O23)+N(P23),2)=ROUND(H23,2),"OK","MISMATCH")))</f>
        <v/>
      </c>
      <c r="R23" s="26" t="n">
        <v>3659</v>
      </c>
      <c r="S23" s="26" t="n">
        <v>3327.49</v>
      </c>
      <c r="T23" s="26" t="n"/>
      <c r="U23" s="27">
        <f>IF(C23="","",N(R23)+N(S23)+N(T23))</f>
        <v/>
      </c>
      <c r="V23" s="27">
        <f>IF(C23="","",H23-U23)</f>
        <v/>
      </c>
      <c r="W23" s="29">
        <f>IFERROR(V23/H23,"")</f>
        <v/>
      </c>
      <c r="X23" s="24" t="inlineStr">
        <is>
          <t>Invoice 1/2 Equipment only</t>
        </is>
      </c>
    </row>
    <row r="24" ht="15" customHeight="1">
      <c r="A24" s="63">
        <f>IF(C24="","",IFERROR(IF(SUMPRODUCT(MAX((tbl_Finance[Job Number]=C24&amp;"")*(tbl_Finance[Xero Invoice No]&lt;&gt;"")*tbl_Finance[Date]))=0,"",SUMPRODUCT(MAX((tbl_Finance[Job Number]=C24&amp;"")*(tbl_Finance[Xero Invoice No]&lt;&gt;"")*tbl_Finance[Date]))),""))</f>
        <v/>
      </c>
      <c r="B24" s="25">
        <f>IF(C24="","",IF(COUNTIFS(tbl_Finance[Job Number],C24&amp;"",tbl_Finance[Xero Invoice No],"&lt;&gt;")=0,"",IFERROR(IF(COUNTIFS(tbl_Finance[Job Number],C24&amp;"",tbl_Finance[Xero Invoice No],LOOKUP(2,1/((tbl_Finance[Job Number]=C24&amp;"")*(tbl_Finance[Xero Invoice No]&lt;&gt;"")),tbl_Finance[Xero Invoice No]))=COUNTIFS(tbl_Finance[Job Number],C24&amp;"",tbl_Finance[Xero Invoice No],"&lt;&gt;"),LOOKUP(2,1/((tbl_Finance[Job Number]=C24&amp;"")*(tbl_Finance[Xero Invoice No]&lt;&gt;"")),tbl_Finance[Xero Invoice No]),LOOKUP(2,1/((tbl_Finance[Job Number]=C24&amp;"")*(tbl_Finance[Xero Invoice No]&lt;&gt;"")),tbl_Finance[Xero Invoice No])&amp;" +more"),"")))</f>
        <v/>
      </c>
      <c r="C24" s="24" t="inlineStr">
        <is>
          <t>2604704</t>
        </is>
      </c>
      <c r="D24" s="25">
        <f>IF(C24="","",IF(COUNTIF(lst_Jobs,C24&amp;"")&gt;0,"OK","CHECK"))</f>
        <v/>
      </c>
      <c r="E24" s="25">
        <f>IF(C24="","",IFERROR(INDEX(lst_JobName,MATCH(C24&amp;"",lst_Jobs,0)),""))</f>
        <v/>
      </c>
      <c r="F24" s="25">
        <f>IF(C24="","",IFERROR(INDEX(tbl_Finance[Client],MATCH(C24&amp;"",tbl_Finance[Job Number],0)),""))</f>
        <v/>
      </c>
      <c r="G24" s="28">
        <f>IF(C24="","",COUNTIFS(tbl_Finance[Job Number],C24&amp;"",tbl_Finance[Ex GST],"&lt;&gt;"))</f>
        <v/>
      </c>
      <c r="H24" s="27">
        <f>IF(C24="","",SUMIFS(tbl_Finance[Ex GST],tbl_Finance[Job Number],C24&amp;""))</f>
        <v/>
      </c>
      <c r="I24" s="27">
        <f>IF(C24="","",SUMIFS(tbl_Finance[Ex GST],tbl_Finance[Job Number],C24&amp;"",tbl_Finance[Xero Invoice No],"&lt;&gt;"))</f>
        <v/>
      </c>
      <c r="J24" s="27">
        <f>IF(C24="","",H24-I24)</f>
        <v/>
      </c>
      <c r="K24" s="25">
        <f>IF(C24="","",IF(G24=0,"not invoiced yet",SUBSTITUTE(TRIM(IF(COUNTIFS(tbl_Finance[Job Number],C24&amp;"",tbl_Finance[Cost Centre],"ONSITE")&gt;0,"ONSITE ","")&amp;IF(COUNTIFS(tbl_Finance[Job Number],C24&amp;"",tbl_Finance[Cost Centre],"PRODUCTION")&gt;0,"PRODUCTION ","")&amp;IF(COUNTIFS(tbl_Finance[Job Number],C24&amp;"",tbl_Finance[Cost Centre],"VIDEO")&gt;0,"VIDEO ","")&amp;IF(COUNTIFS(tbl_Finance[Job Number],C24&amp;"",tbl_Finance[Cost Centre],"INTEGRATION")&gt;0,"INTEGRATION ","")&amp;IF(COUNTIFS(tbl_Finance[Job Number],C24&amp;"",tbl_Finance[Cost Centre],"CONSULTING")&gt;0,"CONSULTING ","")&amp;IF(COUNTIFS(tbl_Finance[Job Number],C24&amp;"",tbl_Finance[Cost Centre],"CTS")&gt;0,"CTS ",""))," ",", ")))</f>
        <v/>
      </c>
      <c r="L24" s="24" t="inlineStr">
        <is>
          <t>https://cts.qwilr.com/2604704-AwareSuper-Proposal-v4-0-ilNUnNxKQIui</t>
        </is>
      </c>
      <c r="M24" s="25">
        <f>IF(L24="","",HYPERLINK(IF(LEFT(L24,4)="http",L24,set_QwilrBase&amp;L24),"Open quote"))</f>
        <v/>
      </c>
      <c r="N24" s="26" t="n"/>
      <c r="O24" s="26" t="n"/>
      <c r="P24" s="26" t="n"/>
      <c r="Q24" s="25">
        <f>IF(C24="","",IF(N(N24)+N(O24)+N(P24)=0,"Not split",IF(ROUND(N(N24)+N(O24)+N(P24),2)=ROUND(H24,2),"OK","MISMATCH")))</f>
        <v/>
      </c>
      <c r="R24" s="26" t="n"/>
      <c r="S24" s="26" t="n">
        <v>177457.98</v>
      </c>
      <c r="T24" s="26" t="n"/>
      <c r="U24" s="27">
        <f>IF(C24="","",N(R24)+N(S24)+N(T24))</f>
        <v/>
      </c>
      <c r="V24" s="27">
        <f>IF(C24="","",H24-U24)</f>
        <v/>
      </c>
      <c r="W24" s="29">
        <f>IFERROR(V24/H24,"")</f>
        <v/>
      </c>
      <c r="X24" s="24" t="n"/>
    </row>
    <row r="25" ht="15" customHeight="1">
      <c r="A25" s="63">
        <f>IF(C25="","",IFERROR(IF(SUMPRODUCT(MAX((tbl_Finance[Job Number]=C25&amp;"")*(tbl_Finance[Xero Invoice No]&lt;&gt;"")*tbl_Finance[Date]))=0,"",SUMPRODUCT(MAX((tbl_Finance[Job Number]=C25&amp;"")*(tbl_Finance[Xero Invoice No]&lt;&gt;"")*tbl_Finance[Date]))),""))</f>
        <v/>
      </c>
      <c r="B25" s="25">
        <f>IF(C25="","",IF(COUNTIFS(tbl_Finance[Job Number],C25&amp;"",tbl_Finance[Xero Invoice No],"&lt;&gt;")=0,"",IFERROR(IF(COUNTIFS(tbl_Finance[Job Number],C25&amp;"",tbl_Finance[Xero Invoice No],LOOKUP(2,1/((tbl_Finance[Job Number]=C25&amp;"")*(tbl_Finance[Xero Invoice No]&lt;&gt;"")),tbl_Finance[Xero Invoice No]))=COUNTIFS(tbl_Finance[Job Number],C25&amp;"",tbl_Finance[Xero Invoice No],"&lt;&gt;"),LOOKUP(2,1/((tbl_Finance[Job Number]=C25&amp;"")*(tbl_Finance[Xero Invoice No]&lt;&gt;"")),tbl_Finance[Xero Invoice No]),LOOKUP(2,1/((tbl_Finance[Job Number]=C25&amp;"")*(tbl_Finance[Xero Invoice No]&lt;&gt;"")),tbl_Finance[Xero Invoice No])&amp;" +more"),"")))</f>
        <v/>
      </c>
      <c r="C25" s="24" t="inlineStr">
        <is>
          <t>26052102</t>
        </is>
      </c>
      <c r="D25" s="25">
        <f>IF(C25="","",IF(COUNTIF(lst_Jobs,C25&amp;"")&gt;0,"OK","CHECK"))</f>
        <v/>
      </c>
      <c r="E25" s="25">
        <f>IF(C25="","",IFERROR(INDEX(lst_JobName,MATCH(C25&amp;"",lst_Jobs,0)),""))</f>
        <v/>
      </c>
      <c r="F25" s="25">
        <f>IF(C25="","",IFERROR(INDEX(tbl_Finance[Client],MATCH(C25&amp;"",tbl_Finance[Job Number],0)),""))</f>
        <v/>
      </c>
      <c r="G25" s="28">
        <f>IF(C25="","",COUNTIFS(tbl_Finance[Job Number],C25&amp;"",tbl_Finance[Ex GST],"&lt;&gt;"))</f>
        <v/>
      </c>
      <c r="H25" s="27">
        <f>IF(C25="","",SUMIFS(tbl_Finance[Ex GST],tbl_Finance[Job Number],C25&amp;""))</f>
        <v/>
      </c>
      <c r="I25" s="27">
        <f>IF(C25="","",SUMIFS(tbl_Finance[Ex GST],tbl_Finance[Job Number],C25&amp;"",tbl_Finance[Xero Invoice No],"&lt;&gt;"))</f>
        <v/>
      </c>
      <c r="J25" s="27">
        <f>IF(C25="","",H25-I25)</f>
        <v/>
      </c>
      <c r="K25" s="25">
        <f>IF(C25="","",IF(G25=0,"not invoiced yet",SUBSTITUTE(TRIM(IF(COUNTIFS(tbl_Finance[Job Number],C25&amp;"",tbl_Finance[Cost Centre],"ONSITE")&gt;0,"ONSITE ","")&amp;IF(COUNTIFS(tbl_Finance[Job Number],C25&amp;"",tbl_Finance[Cost Centre],"PRODUCTION")&gt;0,"PRODUCTION ","")&amp;IF(COUNTIFS(tbl_Finance[Job Number],C25&amp;"",tbl_Finance[Cost Centre],"VIDEO")&gt;0,"VIDEO ","")&amp;IF(COUNTIFS(tbl_Finance[Job Number],C25&amp;"",tbl_Finance[Cost Centre],"INTEGRATION")&gt;0,"INTEGRATION ","")&amp;IF(COUNTIFS(tbl_Finance[Job Number],C25&amp;"",tbl_Finance[Cost Centre],"CONSULTING")&gt;0,"CONSULTING ","")&amp;IF(COUNTIFS(tbl_Finance[Job Number],C25&amp;"",tbl_Finance[Cost Centre],"CTS")&gt;0,"CTS ",""))," ",", ")))</f>
        <v/>
      </c>
      <c r="L25" s="24" t="inlineStr">
        <is>
          <t>https://cts.qwilr.com/26052102-HP-D3-AustracPhoneMod-v3-0-PO-Received-4b9uvVwXSiqQ</t>
        </is>
      </c>
      <c r="M25" s="25">
        <f>IF(L25="","",HYPERLINK(IF(LEFT(L25,4)="http",L25,set_QwilrBase&amp;L25),"Open quote"))</f>
        <v/>
      </c>
      <c r="N25" s="26" t="n">
        <v>8009</v>
      </c>
      <c r="O25" s="26" t="n">
        <v>37900</v>
      </c>
      <c r="P25" s="26" t="n"/>
      <c r="Q25" s="25">
        <f>IF(C25="","",IF(N(N25)+N(O25)+N(P25)=0,"Not split",IF(ROUND(N(N25)+N(O25)+N(P25),2)=ROUND(H25,2),"OK","MISMATCH")))</f>
        <v/>
      </c>
      <c r="R25" s="26" t="n">
        <v>6567</v>
      </c>
      <c r="S25" s="26" t="n">
        <v>28409</v>
      </c>
      <c r="T25" s="26" t="n"/>
      <c r="U25" s="27">
        <f>IF(C25="","",N(R25)+N(S25)+N(T25))</f>
        <v/>
      </c>
      <c r="V25" s="27">
        <f>IF(C25="","",H25-U25)</f>
        <v/>
      </c>
      <c r="W25" s="29">
        <f>IFERROR(V25/H25,"")</f>
        <v/>
      </c>
      <c r="X25" s="24" t="n"/>
    </row>
    <row r="26" ht="15" customHeight="1">
      <c r="A26" s="63">
        <f>IF(C26="","",IFERROR(IF(SUMPRODUCT(MAX((tbl_Finance[Job Number]=C26&amp;"")*(tbl_Finance[Xero Invoice No]&lt;&gt;"")*tbl_Finance[Date]))=0,"",SUMPRODUCT(MAX((tbl_Finance[Job Number]=C26&amp;"")*(tbl_Finance[Xero Invoice No]&lt;&gt;"")*tbl_Finance[Date]))),""))</f>
        <v/>
      </c>
      <c r="B26" s="25">
        <f>IF(C26="","",IF(COUNTIFS(tbl_Finance[Job Number],C26&amp;"",tbl_Finance[Xero Invoice No],"&lt;&gt;")=0,"",IFERROR(IF(COUNTIFS(tbl_Finance[Job Number],C26&amp;"",tbl_Finance[Xero Invoice No],LOOKUP(2,1/((tbl_Finance[Job Number]=C26&amp;"")*(tbl_Finance[Xero Invoice No]&lt;&gt;"")),tbl_Finance[Xero Invoice No]))=COUNTIFS(tbl_Finance[Job Number],C26&amp;"",tbl_Finance[Xero Invoice No],"&lt;&gt;"),LOOKUP(2,1/((tbl_Finance[Job Number]=C26&amp;"")*(tbl_Finance[Xero Invoice No]&lt;&gt;"")),tbl_Finance[Xero Invoice No]),LOOKUP(2,1/((tbl_Finance[Job Number]=C26&amp;"")*(tbl_Finance[Xero Invoice No]&lt;&gt;"")),tbl_Finance[Xero Invoice No])&amp;" +more"),"")))</f>
        <v/>
      </c>
      <c r="C26" s="24" t="inlineStr">
        <is>
          <t>26052701</t>
        </is>
      </c>
      <c r="D26" s="25">
        <f>IF(C26="","",IF(COUNTIF(lst_Jobs,C26&amp;"")&gt;0,"OK","CHECK"))</f>
        <v/>
      </c>
      <c r="E26" s="25">
        <f>IF(C26="","",IFERROR(INDEX(lst_JobName,MATCH(C26&amp;"",lst_Jobs,0)),""))</f>
        <v/>
      </c>
      <c r="F26" s="25">
        <f>IF(C26="","",IFERROR(INDEX(tbl_Finance[Client],MATCH(C26&amp;"",tbl_Finance[Job Number],0)),""))</f>
        <v/>
      </c>
      <c r="G26" s="28">
        <f>IF(C26="","",COUNTIFS(tbl_Finance[Job Number],C26&amp;"",tbl_Finance[Ex GST],"&lt;&gt;"))</f>
        <v/>
      </c>
      <c r="H26" s="27">
        <f>IF(C26="","",SUMIFS(tbl_Finance[Ex GST],tbl_Finance[Job Number],C26&amp;""))</f>
        <v/>
      </c>
      <c r="I26" s="27">
        <f>IF(C26="","",SUMIFS(tbl_Finance[Ex GST],tbl_Finance[Job Number],C26&amp;"",tbl_Finance[Xero Invoice No],"&lt;&gt;"))</f>
        <v/>
      </c>
      <c r="J26" s="27">
        <f>IF(C26="","",H26-I26)</f>
        <v/>
      </c>
      <c r="K26" s="25">
        <f>IF(C26="","",IF(G26=0,"not invoiced yet",SUBSTITUTE(TRIM(IF(COUNTIFS(tbl_Finance[Job Number],C26&amp;"",tbl_Finance[Cost Centre],"ONSITE")&gt;0,"ONSITE ","")&amp;IF(COUNTIFS(tbl_Finance[Job Number],C26&amp;"",tbl_Finance[Cost Centre],"PRODUCTION")&gt;0,"PRODUCTION ","")&amp;IF(COUNTIFS(tbl_Finance[Job Number],C26&amp;"",tbl_Finance[Cost Centre],"VIDEO")&gt;0,"VIDEO ","")&amp;IF(COUNTIFS(tbl_Finance[Job Number],C26&amp;"",tbl_Finance[Cost Centre],"INTEGRATION")&gt;0,"INTEGRATION ","")&amp;IF(COUNTIFS(tbl_Finance[Job Number],C26&amp;"",tbl_Finance[Cost Centre],"CONSULTING")&gt;0,"CONSULTING ","")&amp;IF(COUNTIFS(tbl_Finance[Job Number],C26&amp;"",tbl_Finance[Cost Centre],"CTS")&gt;0,"CTS ",""))," ",", ")))</f>
        <v/>
      </c>
      <c r="L26" s="24" t="inlineStr">
        <is>
          <t>https://cts.qwilr.com/26052701-Aware-Costing-v5-0-CGHaKT8iSxmf</t>
        </is>
      </c>
      <c r="M26" s="25">
        <f>IF(L26="","",HYPERLINK(IF(LEFT(L26,4)="http",L26,set_QwilrBase&amp;L26),"Open quote"))</f>
        <v/>
      </c>
      <c r="N26" s="26" t="n"/>
      <c r="O26" s="26" t="n"/>
      <c r="P26" s="26" t="n"/>
      <c r="Q26" s="25">
        <f>IF(C26="","",IF(N(N26)+N(O26)+N(P26)=0,"Not split",IF(ROUND(N(N26)+N(O26)+N(P26),2)=ROUND(H26,2),"OK","MISMATCH")))</f>
        <v/>
      </c>
      <c r="R26" s="26" t="n"/>
      <c r="S26" s="26" t="n">
        <v>8184.26</v>
      </c>
      <c r="T26" s="26" t="n"/>
      <c r="U26" s="27">
        <f>IF(C26="","",N(R26)+N(S26)+N(T26))</f>
        <v/>
      </c>
      <c r="V26" s="27">
        <f>IF(C26="","",H26-U26)</f>
        <v/>
      </c>
      <c r="W26" s="29">
        <f>IFERROR(V26/H26,"")</f>
        <v/>
      </c>
      <c r="X26" s="24" t="n"/>
    </row>
    <row r="27" ht="15" customHeight="1">
      <c r="A27" s="63">
        <f>IF(C27="","",IFERROR(IF(SUMPRODUCT(MAX((tbl_Finance[Job Number]=C27&amp;"")*(tbl_Finance[Xero Invoice No]&lt;&gt;"")*tbl_Finance[Date]))=0,"",SUMPRODUCT(MAX((tbl_Finance[Job Number]=C27&amp;"")*(tbl_Finance[Xero Invoice No]&lt;&gt;"")*tbl_Finance[Date]))),""))</f>
        <v/>
      </c>
      <c r="B27" s="25">
        <f>IF(C27="","",IF(COUNTIFS(tbl_Finance[Job Number],C27&amp;"",tbl_Finance[Xero Invoice No],"&lt;&gt;")=0,"",IFERROR(IF(COUNTIFS(tbl_Finance[Job Number],C27&amp;"",tbl_Finance[Xero Invoice No],LOOKUP(2,1/((tbl_Finance[Job Number]=C27&amp;"")*(tbl_Finance[Xero Invoice No]&lt;&gt;"")),tbl_Finance[Xero Invoice No]))=COUNTIFS(tbl_Finance[Job Number],C27&amp;"",tbl_Finance[Xero Invoice No],"&lt;&gt;"),LOOKUP(2,1/((tbl_Finance[Job Number]=C27&amp;"")*(tbl_Finance[Xero Invoice No]&lt;&gt;"")),tbl_Finance[Xero Invoice No]),LOOKUP(2,1/((tbl_Finance[Job Number]=C27&amp;"")*(tbl_Finance[Xero Invoice No]&lt;&gt;"")),tbl_Finance[Xero Invoice No])&amp;" +more"),"")))</f>
        <v/>
      </c>
      <c r="C27" s="24" t="inlineStr">
        <is>
          <t>26062902</t>
        </is>
      </c>
      <c r="D27" s="25">
        <f>IF(C27="","",IF(COUNTIF(lst_Jobs,C27&amp;"")&gt;0,"OK","CHECK"))</f>
        <v/>
      </c>
      <c r="E27" s="25">
        <f>IF(C27="","",IFERROR(INDEX(lst_JobName,MATCH(C27&amp;"",lst_Jobs,0)),""))</f>
        <v/>
      </c>
      <c r="F27" s="25">
        <f>IF(C27="","",IFERROR(INDEX(tbl_Finance[Client],MATCH(C27&amp;"",tbl_Finance[Job Number],0)),""))</f>
        <v/>
      </c>
      <c r="G27" s="28">
        <f>IF(C27="","",COUNTIFS(tbl_Finance[Job Number],C27&amp;"",tbl_Finance[Ex GST],"&lt;&gt;"))</f>
        <v/>
      </c>
      <c r="H27" s="27">
        <f>IF(C27="","",SUMIFS(tbl_Finance[Ex GST],tbl_Finance[Job Number],C27&amp;""))</f>
        <v/>
      </c>
      <c r="I27" s="27">
        <f>IF(C27="","",SUMIFS(tbl_Finance[Ex GST],tbl_Finance[Job Number],C27&amp;"",tbl_Finance[Xero Invoice No],"&lt;&gt;"))</f>
        <v/>
      </c>
      <c r="J27" s="27">
        <f>IF(C27="","",H27-I27)</f>
        <v/>
      </c>
      <c r="K27" s="25">
        <f>IF(C27="","",IF(G27=0,"not invoiced yet",SUBSTITUTE(TRIM(IF(COUNTIFS(tbl_Finance[Job Number],C27&amp;"",tbl_Finance[Cost Centre],"ONSITE")&gt;0,"ONSITE ","")&amp;IF(COUNTIFS(tbl_Finance[Job Number],C27&amp;"",tbl_Finance[Cost Centre],"PRODUCTION")&gt;0,"PRODUCTION ","")&amp;IF(COUNTIFS(tbl_Finance[Job Number],C27&amp;"",tbl_Finance[Cost Centre],"VIDEO")&gt;0,"VIDEO ","")&amp;IF(COUNTIFS(tbl_Finance[Job Number],C27&amp;"",tbl_Finance[Cost Centre],"INTEGRATION")&gt;0,"INTEGRATION ","")&amp;IF(COUNTIFS(tbl_Finance[Job Number],C27&amp;"",tbl_Finance[Cost Centre],"CONSULTING")&gt;0,"CONSULTING ","")&amp;IF(COUNTIFS(tbl_Finance[Job Number],C27&amp;"",tbl_Finance[Cost Centre],"CTS")&gt;0,"CTS ",""))," ",", ")))</f>
        <v/>
      </c>
      <c r="L27" s="24" t="inlineStr">
        <is>
          <t>https://cts.qwilr.com/26062902-Aware-Costing-v2-0-Accepted-PDF-wrF7KzoUT8OK</t>
        </is>
      </c>
      <c r="M27" s="25">
        <f>IF(L27="","",HYPERLINK(IF(LEFT(L27,4)="http",L27,set_QwilrBase&amp;L27),"Open quote"))</f>
        <v/>
      </c>
      <c r="N27" s="26" t="n">
        <v>2707</v>
      </c>
      <c r="O27" s="26" t="n">
        <v>3489</v>
      </c>
      <c r="P27" s="26" t="n"/>
      <c r="Q27" s="25">
        <f>IF(C27="","",IF(N(N27)+N(O27)+N(P27)=0,"Not split",IF(ROUND(N(N27)+N(O27)+N(P27),2)=ROUND(H27,2),"OK","MISMATCH")))</f>
        <v/>
      </c>
      <c r="R27" s="26" t="n">
        <v>2140</v>
      </c>
      <c r="S27" s="26" t="n">
        <v>2604.9</v>
      </c>
      <c r="T27" s="26" t="n"/>
      <c r="U27" s="27">
        <f>IF(C27="","",N(R27)+N(S27)+N(T27))</f>
        <v/>
      </c>
      <c r="V27" s="27">
        <f>IF(C27="","",H27-U27)</f>
        <v/>
      </c>
      <c r="W27" s="29">
        <f>IFERROR(V27/H27,"")</f>
        <v/>
      </c>
      <c r="X27" s="24" t="inlineStr">
        <is>
          <t>Invoice 1/2 Equipment only</t>
        </is>
      </c>
    </row>
    <row r="28" ht="15" customHeight="1">
      <c r="A28" s="63">
        <f>IF(C28="","",IFERROR(IF(SUMPRODUCT(MAX((tbl_Finance[Job Number]=C28&amp;"")*(tbl_Finance[Xero Invoice No]&lt;&gt;"")*tbl_Finance[Date]))=0,"",SUMPRODUCT(MAX((tbl_Finance[Job Number]=C28&amp;"")*(tbl_Finance[Xero Invoice No]&lt;&gt;"")*tbl_Finance[Date]))),""))</f>
        <v/>
      </c>
      <c r="B28" s="25">
        <f>IF(C28="","",IF(COUNTIFS(tbl_Finance[Job Number],C28&amp;"",tbl_Finance[Xero Invoice No],"&lt;&gt;")=0,"",IFERROR(IF(COUNTIFS(tbl_Finance[Job Number],C28&amp;"",tbl_Finance[Xero Invoice No],LOOKUP(2,1/((tbl_Finance[Job Number]=C28&amp;"")*(tbl_Finance[Xero Invoice No]&lt;&gt;"")),tbl_Finance[Xero Invoice No]))=COUNTIFS(tbl_Finance[Job Number],C28&amp;"",tbl_Finance[Xero Invoice No],"&lt;&gt;"),LOOKUP(2,1/((tbl_Finance[Job Number]=C28&amp;"")*(tbl_Finance[Xero Invoice No]&lt;&gt;"")),tbl_Finance[Xero Invoice No]),LOOKUP(2,1/((tbl_Finance[Job Number]=C28&amp;"")*(tbl_Finance[Xero Invoice No]&lt;&gt;"")),tbl_Finance[Xero Invoice No])&amp;" +more"),"")))</f>
        <v/>
      </c>
      <c r="C28" s="24" t="inlineStr">
        <is>
          <t>26062901</t>
        </is>
      </c>
      <c r="D28" s="25">
        <f>IF(C28="","",IF(COUNTIF(lst_Jobs,C28&amp;"")&gt;0,"OK","CHECK"))</f>
        <v/>
      </c>
      <c r="E28" s="25">
        <f>IF(C28="","",IFERROR(INDEX(lst_JobName,MATCH(C28&amp;"",lst_Jobs,0)),""))</f>
        <v/>
      </c>
      <c r="F28" s="25">
        <f>IF(C28="","",IFERROR(INDEX(tbl_Finance[Client],MATCH(C28&amp;"",tbl_Finance[Job Number],0)),""))</f>
        <v/>
      </c>
      <c r="G28" s="28">
        <f>IF(C28="","",COUNTIFS(tbl_Finance[Job Number],C28&amp;"",tbl_Finance[Ex GST],"&lt;&gt;"))</f>
        <v/>
      </c>
      <c r="H28" s="27">
        <f>IF(C28="","",SUMIFS(tbl_Finance[Ex GST],tbl_Finance[Job Number],C28&amp;""))</f>
        <v/>
      </c>
      <c r="I28" s="27">
        <f>IF(C28="","",SUMIFS(tbl_Finance[Ex GST],tbl_Finance[Job Number],C28&amp;"",tbl_Finance[Xero Invoice No],"&lt;&gt;"))</f>
        <v/>
      </c>
      <c r="J28" s="27">
        <f>IF(C28="","",H28-I28)</f>
        <v/>
      </c>
      <c r="K28" s="25">
        <f>IF(C28="","",IF(G28=0,"not invoiced yet",SUBSTITUTE(TRIM(IF(COUNTIFS(tbl_Finance[Job Number],C28&amp;"",tbl_Finance[Cost Centre],"ONSITE")&gt;0,"ONSITE ","")&amp;IF(COUNTIFS(tbl_Finance[Job Number],C28&amp;"",tbl_Finance[Cost Centre],"PRODUCTION")&gt;0,"PRODUCTION ","")&amp;IF(COUNTIFS(tbl_Finance[Job Number],C28&amp;"",tbl_Finance[Cost Centre],"VIDEO")&gt;0,"VIDEO ","")&amp;IF(COUNTIFS(tbl_Finance[Job Number],C28&amp;"",tbl_Finance[Cost Centre],"INTEGRATION")&gt;0,"INTEGRATION ","")&amp;IF(COUNTIFS(tbl_Finance[Job Number],C28&amp;"",tbl_Finance[Cost Centre],"CONSULTING")&gt;0,"CONSULTING ","")&amp;IF(COUNTIFS(tbl_Finance[Job Number],C28&amp;"",tbl_Finance[Cost Centre],"CTS")&gt;0,"CTS ",""))," ",", ")))</f>
        <v/>
      </c>
      <c r="L28" s="24" t="inlineStr">
        <is>
          <t>https://corptechservices.sharepoint.com/:b:/s/TeamIntegration/IQAz4MvaxJkBRIexJJi1p2LTAVDk9PznGqnT-q1tS0i5o00?e=BH3DeT</t>
        </is>
      </c>
      <c r="M28" s="25">
        <f>IF(L28="","",HYPERLINK(IF(LEFT(L28,4)="http",L28,set_QwilrBase&amp;L28),"Open quote"))</f>
        <v/>
      </c>
      <c r="N28" s="26" t="n">
        <v>4631</v>
      </c>
      <c r="O28" s="26" t="n"/>
      <c r="P28" s="26" t="n"/>
      <c r="Q28" s="25">
        <f>IF(C28="","",IF(N(N28)+N(O28)+N(P28)=0,"Not split",IF(ROUND(N(N28)+N(O28)+N(P28),2)=ROUND(H28,2),"OK","MISMATCH")))</f>
        <v/>
      </c>
      <c r="R28" s="26" t="n">
        <v>3775.2</v>
      </c>
      <c r="S28" s="26" t="n"/>
      <c r="T28" s="26" t="n"/>
      <c r="U28" s="27">
        <f>IF(C28="","",N(R28)+N(S28)+N(T28))</f>
        <v/>
      </c>
      <c r="V28" s="27">
        <f>IF(C28="","",H28-U28)</f>
        <v/>
      </c>
      <c r="W28" s="29">
        <f>IFERROR(V28/H28,"")</f>
        <v/>
      </c>
      <c r="X28" s="24" t="n"/>
    </row>
    <row r="29" ht="15" customHeight="1">
      <c r="A29" s="63">
        <f>IF(C29="","",IFERROR(IF(SUMPRODUCT(MAX((tbl_Finance[Job Number]=C29&amp;"")*(tbl_Finance[Xero Invoice No]&lt;&gt;"")*tbl_Finance[Date]))=0,"",SUMPRODUCT(MAX((tbl_Finance[Job Number]=C29&amp;"")*(tbl_Finance[Xero Invoice No]&lt;&gt;"")*tbl_Finance[Date]))),""))</f>
        <v/>
      </c>
      <c r="B29" s="25">
        <f>IF(C29="","",IF(COUNTIFS(tbl_Finance[Job Number],C29&amp;"",tbl_Finance[Xero Invoice No],"&lt;&gt;")=0,"",IFERROR(IF(COUNTIFS(tbl_Finance[Job Number],C29&amp;"",tbl_Finance[Xero Invoice No],LOOKUP(2,1/((tbl_Finance[Job Number]=C29&amp;"")*(tbl_Finance[Xero Invoice No]&lt;&gt;"")),tbl_Finance[Xero Invoice No]))=COUNTIFS(tbl_Finance[Job Number],C29&amp;"",tbl_Finance[Xero Invoice No],"&lt;&gt;"),LOOKUP(2,1/((tbl_Finance[Job Number]=C29&amp;"")*(tbl_Finance[Xero Invoice No]&lt;&gt;"")),tbl_Finance[Xero Invoice No]),LOOKUP(2,1/((tbl_Finance[Job Number]=C29&amp;"")*(tbl_Finance[Xero Invoice No]&lt;&gt;"")),tbl_Finance[Xero Invoice No])&amp;" +more"),"")))</f>
        <v/>
      </c>
      <c r="C29" s="24" t="inlineStr">
        <is>
          <t>26081901</t>
        </is>
      </c>
      <c r="D29" s="25">
        <f>IF(C29="","",IF(COUNTIF(lst_Jobs,C29&amp;"")&gt;0,"OK","CHECK"))</f>
        <v/>
      </c>
      <c r="E29" s="25">
        <f>IF(C29="","",IFERROR(INDEX(lst_JobName,MATCH(C29&amp;"",lst_Jobs,0)),""))</f>
        <v/>
      </c>
      <c r="F29" s="25">
        <f>IF(C29="","",IFERROR(INDEX(tbl_Finance[Client],MATCH(C29&amp;"",tbl_Finance[Job Number],0)),""))</f>
        <v/>
      </c>
      <c r="G29" s="28">
        <f>IF(C29="","",COUNTIFS(tbl_Finance[Job Number],C29&amp;"",tbl_Finance[Ex GST],"&lt;&gt;"))</f>
        <v/>
      </c>
      <c r="H29" s="27">
        <f>IF(C29="","",SUMIFS(tbl_Finance[Ex GST],tbl_Finance[Job Number],C29&amp;""))</f>
        <v/>
      </c>
      <c r="I29" s="27">
        <f>IF(C29="","",SUMIFS(tbl_Finance[Ex GST],tbl_Finance[Job Number],C29&amp;"",tbl_Finance[Xero Invoice No],"&lt;&gt;"))</f>
        <v/>
      </c>
      <c r="J29" s="27">
        <f>IF(C29="","",H29-I29)</f>
        <v/>
      </c>
      <c r="K29" s="25">
        <f>IF(C29="","",IF(G29=0,"not invoiced yet",SUBSTITUTE(TRIM(IF(COUNTIFS(tbl_Finance[Job Number],C29&amp;"",tbl_Finance[Cost Centre],"ONSITE")&gt;0,"ONSITE ","")&amp;IF(COUNTIFS(tbl_Finance[Job Number],C29&amp;"",tbl_Finance[Cost Centre],"PRODUCTION")&gt;0,"PRODUCTION ","")&amp;IF(COUNTIFS(tbl_Finance[Job Number],C29&amp;"",tbl_Finance[Cost Centre],"VIDEO")&gt;0,"VIDEO ","")&amp;IF(COUNTIFS(tbl_Finance[Job Number],C29&amp;"",tbl_Finance[Cost Centre],"INTEGRATION")&gt;0,"INTEGRATION ","")&amp;IF(COUNTIFS(tbl_Finance[Job Number],C29&amp;"",tbl_Finance[Cost Centre],"CONSULTING")&gt;0,"CONSULTING ","")&amp;IF(COUNTIFS(tbl_Finance[Job Number],C29&amp;"",tbl_Finance[Cost Centre],"CTS")&gt;0,"CTS ",""))," ",", ")))</f>
        <v/>
      </c>
      <c r="L29" s="24" t="inlineStr">
        <is>
          <t>https://cts.qwilr.com/26081901-AusPayNet-Quotation-v1-0-3RSgmysoSnit</t>
        </is>
      </c>
      <c r="M29" s="25">
        <f>IF(L29="","",HYPERLINK(IF(LEFT(L29,4)="http",L29,set_QwilrBase&amp;L29),"Open quote"))</f>
        <v/>
      </c>
      <c r="N29" s="26" t="n"/>
      <c r="O29" s="26" t="n"/>
      <c r="P29" s="26" t="n">
        <v>993</v>
      </c>
      <c r="Q29" s="25">
        <f>IF(C29="","",IF(N(N29)+N(O29)+N(P29)=0,"Not split",IF(ROUND(N(N29)+N(O29)+N(P29),2)=ROUND(H29,2),"OK","MISMATCH")))</f>
        <v/>
      </c>
      <c r="R29" s="26" t="n"/>
      <c r="S29" s="26" t="n">
        <v>745</v>
      </c>
      <c r="T29" s="26" t="n"/>
      <c r="U29" s="27">
        <f>IF(C29="","",N(R29)+N(S29)+N(T29))</f>
        <v/>
      </c>
      <c r="V29" s="27">
        <f>IF(C29="","",H29-U29)</f>
        <v/>
      </c>
      <c r="W29" s="29">
        <f>IFERROR(V29/H29,"")</f>
        <v/>
      </c>
      <c r="X29" s="24" t="n"/>
    </row>
    <row r="30" ht="15" customHeight="1">
      <c r="A30" s="63">
        <f>IF(C30="","",IFERROR(IF(SUMPRODUCT(MAX((tbl_Finance[Job Number]=C30&amp;"")*(tbl_Finance[Xero Invoice No]&lt;&gt;"")*tbl_Finance[Date]))=0,"",SUMPRODUCT(MAX((tbl_Finance[Job Number]=C30&amp;"")*(tbl_Finance[Xero Invoice No]&lt;&gt;"")*tbl_Finance[Date]))),""))</f>
        <v/>
      </c>
      <c r="B30" s="25">
        <f>IF(C30="","",IF(COUNTIFS(tbl_Finance[Job Number],C30&amp;"",tbl_Finance[Xero Invoice No],"&lt;&gt;")=0,"",IFERROR(IF(COUNTIFS(tbl_Finance[Job Number],C30&amp;"",tbl_Finance[Xero Invoice No],LOOKUP(2,1/((tbl_Finance[Job Number]=C30&amp;"")*(tbl_Finance[Xero Invoice No]&lt;&gt;"")),tbl_Finance[Xero Invoice No]))=COUNTIFS(tbl_Finance[Job Number],C30&amp;"",tbl_Finance[Xero Invoice No],"&lt;&gt;"),LOOKUP(2,1/((tbl_Finance[Job Number]=C30&amp;"")*(tbl_Finance[Xero Invoice No]&lt;&gt;"")),tbl_Finance[Xero Invoice No]),LOOKUP(2,1/((tbl_Finance[Job Number]=C30&amp;"")*(tbl_Finance[Xero Invoice No]&lt;&gt;"")),tbl_Finance[Xero Invoice No])&amp;" +more"),"")))</f>
        <v/>
      </c>
      <c r="C30" s="24" t="inlineStr">
        <is>
          <t>26071601</t>
        </is>
      </c>
      <c r="D30" s="25">
        <f>IF(C30="","",IF(COUNTIF(lst_Jobs,C30&amp;"")&gt;0,"OK","CHECK"))</f>
        <v/>
      </c>
      <c r="E30" s="25">
        <f>IF(C30="","",IFERROR(INDEX(lst_JobName,MATCH(C30&amp;"",lst_Jobs,0)),""))</f>
        <v/>
      </c>
      <c r="F30" s="25">
        <f>IF(C30="","",IFERROR(INDEX(tbl_Finance[Client],MATCH(C30&amp;"",tbl_Finance[Job Number],0)),""))</f>
        <v/>
      </c>
      <c r="G30" s="28">
        <f>IF(C30="","",COUNTIFS(tbl_Finance[Job Number],C30&amp;"",tbl_Finance[Ex GST],"&lt;&gt;"))</f>
        <v/>
      </c>
      <c r="H30" s="27">
        <f>IF(C30="","",SUMIFS(tbl_Finance[Ex GST],tbl_Finance[Job Number],C30&amp;""))</f>
        <v/>
      </c>
      <c r="I30" s="27">
        <f>IF(C30="","",SUMIFS(tbl_Finance[Ex GST],tbl_Finance[Job Number],C30&amp;"",tbl_Finance[Xero Invoice No],"&lt;&gt;"))</f>
        <v/>
      </c>
      <c r="J30" s="27">
        <f>IF(C30="","",H30-I30)</f>
        <v/>
      </c>
      <c r="K30" s="25">
        <f>IF(C30="","",IF(G30=0,"not invoiced yet",SUBSTITUTE(TRIM(IF(COUNTIFS(tbl_Finance[Job Number],C30&amp;"",tbl_Finance[Cost Centre],"ONSITE")&gt;0,"ONSITE ","")&amp;IF(COUNTIFS(tbl_Finance[Job Number],C30&amp;"",tbl_Finance[Cost Centre],"PRODUCTION")&gt;0,"PRODUCTION ","")&amp;IF(COUNTIFS(tbl_Finance[Job Number],C30&amp;"",tbl_Finance[Cost Centre],"VIDEO")&gt;0,"VIDEO ","")&amp;IF(COUNTIFS(tbl_Finance[Job Number],C30&amp;"",tbl_Finance[Cost Centre],"INTEGRATION")&gt;0,"INTEGRATION ","")&amp;IF(COUNTIFS(tbl_Finance[Job Number],C30&amp;"",tbl_Finance[Cost Centre],"CONSULTING")&gt;0,"CONSULTING ","")&amp;IF(COUNTIFS(tbl_Finance[Job Number],C30&amp;"",tbl_Finance[Cost Centre],"CTS")&gt;0,"CTS ",""))," ",", ")))</f>
        <v/>
      </c>
      <c r="L30" s="24" t="inlineStr">
        <is>
          <t>https://cts.qwilr.com/26071601-Aware-Costing-v1-0-bOvhpPx4TTut</t>
        </is>
      </c>
      <c r="M30" s="25">
        <f>IF(L30="","",HYPERLINK(IF(LEFT(L30,4)="http",L30,set_QwilrBase&amp;L30),"Open quote"))</f>
        <v/>
      </c>
      <c r="N30" s="26" t="n">
        <v>903</v>
      </c>
      <c r="O30" s="26" t="n">
        <v>2054</v>
      </c>
      <c r="P30" s="26" t="n"/>
      <c r="Q30" s="25">
        <f>IF(C30="","",IF(N(N30)+N(O30)+N(P30)=0,"Not split",IF(ROUND(N(N30)+N(O30)+N(P30),2)=ROUND(H30,2),"OK","MISMATCH")))</f>
        <v/>
      </c>
      <c r="R30" s="26" t="n">
        <v>740</v>
      </c>
      <c r="S30" s="26" t="n">
        <v>1540</v>
      </c>
      <c r="T30" s="26" t="n"/>
      <c r="U30" s="27">
        <f>IF(C30="","",N(R30)+N(S30)+N(T30))</f>
        <v/>
      </c>
      <c r="V30" s="27">
        <f>IF(C30="","",H30-U30)</f>
        <v/>
      </c>
      <c r="W30" s="29">
        <f>IFERROR(V30/H30,"")</f>
        <v/>
      </c>
      <c r="X30" s="24" t="n"/>
    </row>
    <row r="31" ht="15" customHeight="1">
      <c r="A31" s="63">
        <f>IF(C31="","",IFERROR(IF(SUMPRODUCT(MAX((tbl_Finance[Job Number]=C31&amp;"")*(tbl_Finance[Xero Invoice No]&lt;&gt;"")*tbl_Finance[Date]))=0,"",SUMPRODUCT(MAX((tbl_Finance[Job Number]=C31&amp;"")*(tbl_Finance[Xero Invoice No]&lt;&gt;"")*tbl_Finance[Date]))),""))</f>
        <v/>
      </c>
      <c r="B31" s="25">
        <f>IF(C31="","",IF(COUNTIFS(tbl_Finance[Job Number],C31&amp;"",tbl_Finance[Xero Invoice No],"&lt;&gt;")=0,"",IFERROR(IF(COUNTIFS(tbl_Finance[Job Number],C31&amp;"",tbl_Finance[Xero Invoice No],LOOKUP(2,1/((tbl_Finance[Job Number]=C31&amp;"")*(tbl_Finance[Xero Invoice No]&lt;&gt;"")),tbl_Finance[Xero Invoice No]))=COUNTIFS(tbl_Finance[Job Number],C31&amp;"",tbl_Finance[Xero Invoice No],"&lt;&gt;"),LOOKUP(2,1/((tbl_Finance[Job Number]=C31&amp;"")*(tbl_Finance[Xero Invoice No]&lt;&gt;"")),tbl_Finance[Xero Invoice No]),LOOKUP(2,1/((tbl_Finance[Job Number]=C31&amp;"")*(tbl_Finance[Xero Invoice No]&lt;&gt;"")),tbl_Finance[Xero Invoice No])&amp;" +more"),"")))</f>
        <v/>
      </c>
      <c r="C31" s="24" t="inlineStr">
        <is>
          <t>26062503</t>
        </is>
      </c>
      <c r="D31" s="25">
        <f>IF(C31="","",IF(COUNTIF(lst_Jobs,C31&amp;"")&gt;0,"OK","CHECK"))</f>
        <v/>
      </c>
      <c r="E31" s="25">
        <f>IF(C31="","",IFERROR(INDEX(lst_JobName,MATCH(C31&amp;"",lst_Jobs,0)),""))</f>
        <v/>
      </c>
      <c r="F31" s="25">
        <f>IF(C31="","",IFERROR(INDEX(tbl_Finance[Client],MATCH(C31&amp;"",tbl_Finance[Job Number],0)),""))</f>
        <v/>
      </c>
      <c r="G31" s="28">
        <f>IF(C31="","",COUNTIFS(tbl_Finance[Job Number],C31&amp;"",tbl_Finance[Ex GST],"&lt;&gt;"))</f>
        <v/>
      </c>
      <c r="H31" s="27">
        <f>IF(C31="","",SUMIFS(tbl_Finance[Ex GST],tbl_Finance[Job Number],C31&amp;""))</f>
        <v/>
      </c>
      <c r="I31" s="27">
        <f>IF(C31="","",SUMIFS(tbl_Finance[Ex GST],tbl_Finance[Job Number],C31&amp;"",tbl_Finance[Xero Invoice No],"&lt;&gt;"))</f>
        <v/>
      </c>
      <c r="J31" s="27">
        <f>IF(C31="","",H31-I31)</f>
        <v/>
      </c>
      <c r="K31" s="25">
        <f>IF(C31="","",IF(G31=0,"not invoiced yet",SUBSTITUTE(TRIM(IF(COUNTIFS(tbl_Finance[Job Number],C31&amp;"",tbl_Finance[Cost Centre],"ONSITE")&gt;0,"ONSITE ","")&amp;IF(COUNTIFS(tbl_Finance[Job Number],C31&amp;"",tbl_Finance[Cost Centre],"PRODUCTION")&gt;0,"PRODUCTION ","")&amp;IF(COUNTIFS(tbl_Finance[Job Number],C31&amp;"",tbl_Finance[Cost Centre],"VIDEO")&gt;0,"VIDEO ","")&amp;IF(COUNTIFS(tbl_Finance[Job Number],C31&amp;"",tbl_Finance[Cost Centre],"INTEGRATION")&gt;0,"INTEGRATION ","")&amp;IF(COUNTIFS(tbl_Finance[Job Number],C31&amp;"",tbl_Finance[Cost Centre],"CONSULTING")&gt;0,"CONSULTING ","")&amp;IF(COUNTIFS(tbl_Finance[Job Number],C31&amp;"",tbl_Finance[Cost Centre],"CTS")&gt;0,"CTS ",""))," ",", ")))</f>
        <v/>
      </c>
      <c r="L31" s="24" t="inlineStr">
        <is>
          <t>CTS order form - 24.16 UC Engine Reimaging</t>
        </is>
      </c>
      <c r="M31" s="25">
        <f>IF(L31="","",HYPERLINK(IF(LEFT(L31,4)="http",L31,set_QwilrBase&amp;L31),"Open quote"))</f>
        <v/>
      </c>
      <c r="N31" s="26" t="n">
        <v>500</v>
      </c>
      <c r="O31" s="26" t="n"/>
      <c r="P31" s="26" t="n"/>
      <c r="Q31" s="25">
        <f>IF(C31="","",IF(N(N31)+N(O31)+N(P31)=0,"Not split",IF(ROUND(N(N31)+N(O31)+N(P31),2)=ROUND(H31,2),"OK","MISMATCH")))</f>
        <v/>
      </c>
      <c r="R31" s="26" t="n"/>
      <c r="S31" s="26" t="n"/>
      <c r="T31" s="26" t="n"/>
      <c r="U31" s="27">
        <f>IF(C31="","",N(R31)+N(S31)+N(T31))</f>
        <v/>
      </c>
      <c r="V31" s="27">
        <f>IF(C31="","",H31-U31)</f>
        <v/>
      </c>
      <c r="W31" s="29">
        <f>IFERROR(V31/H31,"")</f>
        <v/>
      </c>
      <c r="X31" s="24" t="n"/>
    </row>
    <row r="32" ht="15" customHeight="1">
      <c r="A32" s="63">
        <f>IF(C32="","",IFERROR(IF(SUMPRODUCT(MAX((tbl_Finance[Job Number]=C32&amp;"")*(tbl_Finance[Xero Invoice No]&lt;&gt;"")*tbl_Finance[Date]))=0,"",SUMPRODUCT(MAX((tbl_Finance[Job Number]=C32&amp;"")*(tbl_Finance[Xero Invoice No]&lt;&gt;"")*tbl_Finance[Date]))),""))</f>
        <v/>
      </c>
      <c r="B32" s="25">
        <f>IF(C32="","",IF(COUNTIFS(tbl_Finance[Job Number],C32&amp;"",tbl_Finance[Xero Invoice No],"&lt;&gt;")=0,"",IFERROR(IF(COUNTIFS(tbl_Finance[Job Number],C32&amp;"",tbl_Finance[Xero Invoice No],LOOKUP(2,1/((tbl_Finance[Job Number]=C32&amp;"")*(tbl_Finance[Xero Invoice No]&lt;&gt;"")),tbl_Finance[Xero Invoice No]))=COUNTIFS(tbl_Finance[Job Number],C32&amp;"",tbl_Finance[Xero Invoice No],"&lt;&gt;"),LOOKUP(2,1/((tbl_Finance[Job Number]=C32&amp;"")*(tbl_Finance[Xero Invoice No]&lt;&gt;"")),tbl_Finance[Xero Invoice No]),LOOKUP(2,1/((tbl_Finance[Job Number]=C32&amp;"")*(tbl_Finance[Xero Invoice No]&lt;&gt;"")),tbl_Finance[Xero Invoice No])&amp;" +more"),"")))</f>
        <v/>
      </c>
      <c r="C32" s="24" t="inlineStr">
        <is>
          <t>25070702</t>
        </is>
      </c>
      <c r="D32" s="25">
        <f>IF(C32="","",IF(COUNTIF(lst_Jobs,C32&amp;"")&gt;0,"OK","CHECK"))</f>
        <v/>
      </c>
      <c r="E32" s="25">
        <f>IF(C32="","",IFERROR(INDEX(lst_JobName,MATCH(C32&amp;"",lst_Jobs,0)),""))</f>
        <v/>
      </c>
      <c r="F32" s="25">
        <f>IF(C32="","",IFERROR(INDEX(tbl_Finance[Client],MATCH(C32&amp;"",tbl_Finance[Job Number],0)),""))</f>
        <v/>
      </c>
      <c r="G32" s="28">
        <f>IF(C32="","",COUNTIFS(tbl_Finance[Job Number],C32&amp;"",tbl_Finance[Ex GST],"&lt;&gt;"))</f>
        <v/>
      </c>
      <c r="H32" s="27">
        <f>IF(C32="","",SUMIFS(tbl_Finance[Ex GST],tbl_Finance[Job Number],C32&amp;""))</f>
        <v/>
      </c>
      <c r="I32" s="27">
        <f>IF(C32="","",SUMIFS(tbl_Finance[Ex GST],tbl_Finance[Job Number],C32&amp;"",tbl_Finance[Xero Invoice No],"&lt;&gt;"))</f>
        <v/>
      </c>
      <c r="J32" s="27">
        <f>IF(C32="","",H32-I32)</f>
        <v/>
      </c>
      <c r="K32" s="25">
        <f>IF(C32="","",IF(G32=0,"not invoiced yet",SUBSTITUTE(TRIM(IF(COUNTIFS(tbl_Finance[Job Number],C32&amp;"",tbl_Finance[Cost Centre],"ONSITE")&gt;0,"ONSITE ","")&amp;IF(COUNTIFS(tbl_Finance[Job Number],C32&amp;"",tbl_Finance[Cost Centre],"PRODUCTION")&gt;0,"PRODUCTION ","")&amp;IF(COUNTIFS(tbl_Finance[Job Number],C32&amp;"",tbl_Finance[Cost Centre],"VIDEO")&gt;0,"VIDEO ","")&amp;IF(COUNTIFS(tbl_Finance[Job Number],C32&amp;"",tbl_Finance[Cost Centre],"INTEGRATION")&gt;0,"INTEGRATION ","")&amp;IF(COUNTIFS(tbl_Finance[Job Number],C32&amp;"",tbl_Finance[Cost Centre],"CONSULTING")&gt;0,"CONSULTING ","")&amp;IF(COUNTIFS(tbl_Finance[Job Number],C32&amp;"",tbl_Finance[Cost Centre],"CTS")&gt;0,"CTS ",""))," ",", ")))</f>
        <v/>
      </c>
      <c r="L32" s="24" t="inlineStr">
        <is>
          <t>https://corptechservices.sharepoint.com/sites/TeamIntegration/Shared%20Documents/Forms/AllItems.aspx?id=%2Fsites%2FTeamIntegration%2FShared%20Documents%2FBox%20Migration%2F%23Projects%2F%232025%20Projects%2F25070702%20APA%20Proxyclick%20VMS%20Renewal%20%2D%20Brisbane%20and%20Darwin%2FIN%2FQwilrAcceptedQuote%2F25070702%2DAPA%2DProxyclick%2DVMS%2DRenewal%2D%2D%2DBrisbane%2Dand%2DDarwin%2Epdf&amp;parent=%2Fsites%2FTeamIntegration%2FShared%20Documents%2FBox%20Migration%2F%23Projects%2F%232025%20Projects%2F25070702%20APA%20Proxyclick%20VMS%20Renewal%20%2D%20Brisbane%20and%20Darwin%2FIN%2FQwilrAcceptedQuote&amp;p=true&amp;ct=1789522581237&amp;or=Teams%2DHL&amp;ga=1&amp;LOF=1</t>
        </is>
      </c>
      <c r="M32" s="25">
        <f>IF(L32="","",HYPERLINK(IF(LEFT(L32,4)="http",L32,set_QwilrBase&amp;L32),"Open quote"))</f>
        <v/>
      </c>
      <c r="N32" s="26" t="n"/>
      <c r="O32" s="26" t="n"/>
      <c r="P32" s="26" t="n"/>
      <c r="Q32" s="25">
        <f>IF(C32="","",IF(N(N32)+N(O32)+N(P32)=0,"Not split",IF(ROUND(N(N32)+N(O32)+N(P32),2)=ROUND(H32,2),"OK","MISMATCH")))</f>
        <v/>
      </c>
      <c r="R32" s="26" t="n"/>
      <c r="S32" s="26" t="n">
        <v>3297.31</v>
      </c>
      <c r="T32" s="26" t="n"/>
      <c r="U32" s="27">
        <f>IF(C32="","",N(R32)+N(S32)+N(T32))</f>
        <v/>
      </c>
      <c r="V32" s="27">
        <f>IF(C32="","",H32-U32)</f>
        <v/>
      </c>
      <c r="W32" s="29">
        <f>IFERROR(V32/H32,"")</f>
        <v/>
      </c>
      <c r="X32" s="24" t="n"/>
    </row>
    <row r="33" ht="15" customHeight="1">
      <c r="A33" s="63">
        <f>IF(C33="","",IFERROR(IF(SUMPRODUCT(MAX((tbl_Finance[Job Number]=C33&amp;"")*(tbl_Finance[Xero Invoice No]&lt;&gt;"")*tbl_Finance[Date]))=0,"",SUMPRODUCT(MAX((tbl_Finance[Job Number]=C33&amp;"")*(tbl_Finance[Xero Invoice No]&lt;&gt;"")*tbl_Finance[Date]))),""))</f>
        <v/>
      </c>
      <c r="B33" s="25">
        <f>IF(C33="","",IF(COUNTIFS(tbl_Finance[Job Number],C33&amp;"",tbl_Finance[Xero Invoice No],"&lt;&gt;")=0,"",IFERROR(IF(COUNTIFS(tbl_Finance[Job Number],C33&amp;"",tbl_Finance[Xero Invoice No],LOOKUP(2,1/((tbl_Finance[Job Number]=C33&amp;"")*(tbl_Finance[Xero Invoice No]&lt;&gt;"")),tbl_Finance[Xero Invoice No]))=COUNTIFS(tbl_Finance[Job Number],C33&amp;"",tbl_Finance[Xero Invoice No],"&lt;&gt;"),LOOKUP(2,1/((tbl_Finance[Job Number]=C33&amp;"")*(tbl_Finance[Xero Invoice No]&lt;&gt;"")),tbl_Finance[Xero Invoice No]),LOOKUP(2,1/((tbl_Finance[Job Number]=C33&amp;"")*(tbl_Finance[Xero Invoice No]&lt;&gt;"")),tbl_Finance[Xero Invoice No])&amp;" +more"),"")))</f>
        <v/>
      </c>
      <c r="C33" s="24" t="n"/>
      <c r="D33" s="25">
        <f>IF(C33="","",IF(COUNTIF(lst_Jobs,C33&amp;"")&gt;0,"OK","CHECK"))</f>
        <v/>
      </c>
      <c r="E33" s="25">
        <f>IF(C33="","",IFERROR(INDEX(lst_JobName,MATCH(C33&amp;"",lst_Jobs,0)),""))</f>
        <v/>
      </c>
      <c r="F33" s="25">
        <f>IF(C33="","",IFERROR(INDEX(tbl_Finance[Client],MATCH(C33&amp;"",tbl_Finance[Job Number],0)),""))</f>
        <v/>
      </c>
      <c r="G33" s="28">
        <f>IF(C33="","",COUNTIFS(tbl_Finance[Job Number],C33&amp;"",tbl_Finance[Ex GST],"&lt;&gt;"))</f>
        <v/>
      </c>
      <c r="H33" s="27">
        <f>IF(C33="","",SUMIFS(tbl_Finance[Ex GST],tbl_Finance[Job Number],C33&amp;""))</f>
        <v/>
      </c>
      <c r="I33" s="27">
        <f>IF(C33="","",SUMIFS(tbl_Finance[Ex GST],tbl_Finance[Job Number],C33&amp;"",tbl_Finance[Xero Invoice No],"&lt;&gt;"))</f>
        <v/>
      </c>
      <c r="J33" s="27">
        <f>IF(C33="","",H33-I33)</f>
        <v/>
      </c>
      <c r="K33" s="25">
        <f>IF(C33="","",IF(G33=0,"not invoiced yet",SUBSTITUTE(TRIM(IF(COUNTIFS(tbl_Finance[Job Number],C33&amp;"",tbl_Finance[Cost Centre],"ONSITE")&gt;0,"ONSITE ","")&amp;IF(COUNTIFS(tbl_Finance[Job Number],C33&amp;"",tbl_Finance[Cost Centre],"PRODUCTION")&gt;0,"PRODUCTION ","")&amp;IF(COUNTIFS(tbl_Finance[Job Number],C33&amp;"",tbl_Finance[Cost Centre],"VIDEO")&gt;0,"VIDEO ","")&amp;IF(COUNTIFS(tbl_Finance[Job Number],C33&amp;"",tbl_Finance[Cost Centre],"INTEGRATION")&gt;0,"INTEGRATION ","")&amp;IF(COUNTIFS(tbl_Finance[Job Number],C33&amp;"",tbl_Finance[Cost Centre],"CONSULTING")&gt;0,"CONSULTING ","")&amp;IF(COUNTIFS(tbl_Finance[Job Number],C33&amp;"",tbl_Finance[Cost Centre],"CTS")&gt;0,"CTS ",""))," ",", ")))</f>
        <v/>
      </c>
      <c r="L33" s="24" t="n"/>
      <c r="M33" s="25">
        <f>IF(L33="","",HYPERLINK(IF(LEFT(L33,4)="http",L33,set_QwilrBase&amp;L33),"Open quote"))</f>
        <v/>
      </c>
      <c r="N33" s="26" t="n"/>
      <c r="O33" s="26" t="n"/>
      <c r="P33" s="26" t="n"/>
      <c r="Q33" s="25">
        <f>IF(C33="","",IF(N(N33)+N(O33)+N(P33)=0,"Not split",IF(ROUND(N(N33)+N(O33)+N(P33),2)=ROUND(H33,2),"OK","MISMATCH")))</f>
        <v/>
      </c>
      <c r="R33" s="26" t="n"/>
      <c r="S33" s="26" t="n"/>
      <c r="T33" s="26" t="n"/>
      <c r="U33" s="27">
        <f>IF(C33="","",N(R33)+N(S33)+N(T33))</f>
        <v/>
      </c>
      <c r="V33" s="27">
        <f>IF(C33="","",H33-U33)</f>
        <v/>
      </c>
      <c r="W33" s="29">
        <f>IFERROR(V33/H33,"")</f>
        <v/>
      </c>
      <c r="X33" s="24" t="n"/>
    </row>
    <row r="34" ht="15" customHeight="1">
      <c r="A34" s="63">
        <f>IF(C34="","",IFERROR(IF(SUMPRODUCT(MAX((tbl_Finance[Job Number]=C34&amp;"")*(tbl_Finance[Xero Invoice No]&lt;&gt;"")*tbl_Finance[Date]))=0,"",SUMPRODUCT(MAX((tbl_Finance[Job Number]=C34&amp;"")*(tbl_Finance[Xero Invoice No]&lt;&gt;"")*tbl_Finance[Date]))),""))</f>
        <v/>
      </c>
      <c r="B34" s="25">
        <f>IF(C34="","",IF(COUNTIFS(tbl_Finance[Job Number],C34&amp;"",tbl_Finance[Xero Invoice No],"&lt;&gt;")=0,"",IFERROR(IF(COUNTIFS(tbl_Finance[Job Number],C34&amp;"",tbl_Finance[Xero Invoice No],LOOKUP(2,1/((tbl_Finance[Job Number]=C34&amp;"")*(tbl_Finance[Xero Invoice No]&lt;&gt;"")),tbl_Finance[Xero Invoice No]))=COUNTIFS(tbl_Finance[Job Number],C34&amp;"",tbl_Finance[Xero Invoice No],"&lt;&gt;"),LOOKUP(2,1/((tbl_Finance[Job Number]=C34&amp;"")*(tbl_Finance[Xero Invoice No]&lt;&gt;"")),tbl_Finance[Xero Invoice No]),LOOKUP(2,1/((tbl_Finance[Job Number]=C34&amp;"")*(tbl_Finance[Xero Invoice No]&lt;&gt;"")),tbl_Finance[Xero Invoice No])&amp;" +more"),"")))</f>
        <v/>
      </c>
      <c r="C34" s="24" t="n"/>
      <c r="D34" s="25">
        <f>IF(C34="","",IF(COUNTIF(lst_Jobs,C34&amp;"")&gt;0,"OK","CHECK"))</f>
        <v/>
      </c>
      <c r="E34" s="25">
        <f>IF(C34="","",IFERROR(INDEX(lst_JobName,MATCH(C34&amp;"",lst_Jobs,0)),""))</f>
        <v/>
      </c>
      <c r="F34" s="25">
        <f>IF(C34="","",IFERROR(INDEX(tbl_Finance[Client],MATCH(C34&amp;"",tbl_Finance[Job Number],0)),""))</f>
        <v/>
      </c>
      <c r="G34" s="28">
        <f>IF(C34="","",COUNTIFS(tbl_Finance[Job Number],C34&amp;"",tbl_Finance[Ex GST],"&lt;&gt;"))</f>
        <v/>
      </c>
      <c r="H34" s="27">
        <f>IF(C34="","",SUMIFS(tbl_Finance[Ex GST],tbl_Finance[Job Number],C34&amp;""))</f>
        <v/>
      </c>
      <c r="I34" s="27">
        <f>IF(C34="","",SUMIFS(tbl_Finance[Ex GST],tbl_Finance[Job Number],C34&amp;"",tbl_Finance[Xero Invoice No],"&lt;&gt;"))</f>
        <v/>
      </c>
      <c r="J34" s="27">
        <f>IF(C34="","",H34-I34)</f>
        <v/>
      </c>
      <c r="K34" s="25">
        <f>IF(C34="","",IF(G34=0,"not invoiced yet",SUBSTITUTE(TRIM(IF(COUNTIFS(tbl_Finance[Job Number],C34&amp;"",tbl_Finance[Cost Centre],"ONSITE")&gt;0,"ONSITE ","")&amp;IF(COUNTIFS(tbl_Finance[Job Number],C34&amp;"",tbl_Finance[Cost Centre],"PRODUCTION")&gt;0,"PRODUCTION ","")&amp;IF(COUNTIFS(tbl_Finance[Job Number],C34&amp;"",tbl_Finance[Cost Centre],"VIDEO")&gt;0,"VIDEO ","")&amp;IF(COUNTIFS(tbl_Finance[Job Number],C34&amp;"",tbl_Finance[Cost Centre],"INTEGRATION")&gt;0,"INTEGRATION ","")&amp;IF(COUNTIFS(tbl_Finance[Job Number],C34&amp;"",tbl_Finance[Cost Centre],"CONSULTING")&gt;0,"CONSULTING ","")&amp;IF(COUNTIFS(tbl_Finance[Job Number],C34&amp;"",tbl_Finance[Cost Centre],"CTS")&gt;0,"CTS ",""))," ",", ")))</f>
        <v/>
      </c>
      <c r="L34" s="24" t="n"/>
      <c r="M34" s="25">
        <f>IF(L34="","",HYPERLINK(IF(LEFT(L34,4)="http",L34,set_QwilrBase&amp;L34),"Open quote"))</f>
        <v/>
      </c>
      <c r="N34" s="26" t="n"/>
      <c r="O34" s="26" t="n"/>
      <c r="P34" s="26" t="n"/>
      <c r="Q34" s="25">
        <f>IF(C34="","",IF(N(N34)+N(O34)+N(P34)=0,"Not split",IF(ROUND(N(N34)+N(O34)+N(P34),2)=ROUND(H34,2),"OK","MISMATCH")))</f>
        <v/>
      </c>
      <c r="R34" s="26" t="n"/>
      <c r="S34" s="26" t="n"/>
      <c r="T34" s="26" t="n"/>
      <c r="U34" s="27">
        <f>IF(C34="","",N(R34)+N(S34)+N(T34))</f>
        <v/>
      </c>
      <c r="V34" s="27">
        <f>IF(C34="","",H34-U34)</f>
        <v/>
      </c>
      <c r="W34" s="29">
        <f>IFERROR(V34/H34,"")</f>
        <v/>
      </c>
      <c r="X34" s="24" t="n"/>
    </row>
    <row r="35" ht="15" customHeight="1">
      <c r="A35" s="63">
        <f>IF(C35="","",IFERROR(IF(SUMPRODUCT(MAX((tbl_Finance[Job Number]=C35&amp;"")*(tbl_Finance[Xero Invoice No]&lt;&gt;"")*tbl_Finance[Date]))=0,"",SUMPRODUCT(MAX((tbl_Finance[Job Number]=C35&amp;"")*(tbl_Finance[Xero Invoice No]&lt;&gt;"")*tbl_Finance[Date]))),""))</f>
        <v/>
      </c>
      <c r="B35" s="25">
        <f>IF(C35="","",IF(COUNTIFS(tbl_Finance[Job Number],C35&amp;"",tbl_Finance[Xero Invoice No],"&lt;&gt;")=0,"",IFERROR(IF(COUNTIFS(tbl_Finance[Job Number],C35&amp;"",tbl_Finance[Xero Invoice No],LOOKUP(2,1/((tbl_Finance[Job Number]=C35&amp;"")*(tbl_Finance[Xero Invoice No]&lt;&gt;"")),tbl_Finance[Xero Invoice No]))=COUNTIFS(tbl_Finance[Job Number],C35&amp;"",tbl_Finance[Xero Invoice No],"&lt;&gt;"),LOOKUP(2,1/((tbl_Finance[Job Number]=C35&amp;"")*(tbl_Finance[Xero Invoice No]&lt;&gt;"")),tbl_Finance[Xero Invoice No]),LOOKUP(2,1/((tbl_Finance[Job Number]=C35&amp;"")*(tbl_Finance[Xero Invoice No]&lt;&gt;"")),tbl_Finance[Xero Invoice No])&amp;" +more"),"")))</f>
        <v/>
      </c>
      <c r="C35" s="24" t="n"/>
      <c r="D35" s="25">
        <f>IF(C35="","",IF(COUNTIF(lst_Jobs,C35&amp;"")&gt;0,"OK","CHECK"))</f>
        <v/>
      </c>
      <c r="E35" s="25">
        <f>IF(C35="","",IFERROR(INDEX(lst_JobName,MATCH(C35&amp;"",lst_Jobs,0)),""))</f>
        <v/>
      </c>
      <c r="F35" s="25">
        <f>IF(C35="","",IFERROR(INDEX(tbl_Finance[Client],MATCH(C35&amp;"",tbl_Finance[Job Number],0)),""))</f>
        <v/>
      </c>
      <c r="G35" s="28">
        <f>IF(C35="","",COUNTIFS(tbl_Finance[Job Number],C35&amp;"",tbl_Finance[Ex GST],"&lt;&gt;"))</f>
        <v/>
      </c>
      <c r="H35" s="27">
        <f>IF(C35="","",SUMIFS(tbl_Finance[Ex GST],tbl_Finance[Job Number],C35&amp;""))</f>
        <v/>
      </c>
      <c r="I35" s="27">
        <f>IF(C35="","",SUMIFS(tbl_Finance[Ex GST],tbl_Finance[Job Number],C35&amp;"",tbl_Finance[Xero Invoice No],"&lt;&gt;"))</f>
        <v/>
      </c>
      <c r="J35" s="27">
        <f>IF(C35="","",H35-I35)</f>
        <v/>
      </c>
      <c r="K35" s="25">
        <f>IF(C35="","",IF(G35=0,"not invoiced yet",SUBSTITUTE(TRIM(IF(COUNTIFS(tbl_Finance[Job Number],C35&amp;"",tbl_Finance[Cost Centre],"ONSITE")&gt;0,"ONSITE ","")&amp;IF(COUNTIFS(tbl_Finance[Job Number],C35&amp;"",tbl_Finance[Cost Centre],"PRODUCTION")&gt;0,"PRODUCTION ","")&amp;IF(COUNTIFS(tbl_Finance[Job Number],C35&amp;"",tbl_Finance[Cost Centre],"VIDEO")&gt;0,"VIDEO ","")&amp;IF(COUNTIFS(tbl_Finance[Job Number],C35&amp;"",tbl_Finance[Cost Centre],"INTEGRATION")&gt;0,"INTEGRATION ","")&amp;IF(COUNTIFS(tbl_Finance[Job Number],C35&amp;"",tbl_Finance[Cost Centre],"CONSULTING")&gt;0,"CONSULTING ","")&amp;IF(COUNTIFS(tbl_Finance[Job Number],C35&amp;"",tbl_Finance[Cost Centre],"CTS")&gt;0,"CTS ",""))," ",", ")))</f>
        <v/>
      </c>
      <c r="L35" s="24" t="n"/>
      <c r="M35" s="25">
        <f>IF(L35="","",HYPERLINK(IF(LEFT(L35,4)="http",L35,set_QwilrBase&amp;L35),"Open quote"))</f>
        <v/>
      </c>
      <c r="N35" s="26" t="n"/>
      <c r="O35" s="26" t="n"/>
      <c r="P35" s="26" t="n"/>
      <c r="Q35" s="25">
        <f>IF(C35="","",IF(N(N35)+N(O35)+N(P35)=0,"Not split",IF(ROUND(N(N35)+N(O35)+N(P35),2)=ROUND(H35,2),"OK","MISMATCH")))</f>
        <v/>
      </c>
      <c r="R35" s="26" t="n"/>
      <c r="S35" s="26" t="n"/>
      <c r="T35" s="26" t="n"/>
      <c r="U35" s="27">
        <f>IF(C35="","",N(R35)+N(S35)+N(T35))</f>
        <v/>
      </c>
      <c r="V35" s="27">
        <f>IF(C35="","",H35-U35)</f>
        <v/>
      </c>
      <c r="W35" s="29">
        <f>IFERROR(V35/H35,"")</f>
        <v/>
      </c>
      <c r="X35" s="24" t="n"/>
    </row>
    <row r="36" ht="15" customHeight="1">
      <c r="A36" s="63">
        <f>IF(C36="","",IFERROR(IF(SUMPRODUCT(MAX((tbl_Finance[Job Number]=C36&amp;"")*(tbl_Finance[Xero Invoice No]&lt;&gt;"")*tbl_Finance[Date]))=0,"",SUMPRODUCT(MAX((tbl_Finance[Job Number]=C36&amp;"")*(tbl_Finance[Xero Invoice No]&lt;&gt;"")*tbl_Finance[Date]))),""))</f>
        <v/>
      </c>
      <c r="B36" s="25">
        <f>IF(C36="","",IF(COUNTIFS(tbl_Finance[Job Number],C36&amp;"",tbl_Finance[Xero Invoice No],"&lt;&gt;")=0,"",IFERROR(IF(COUNTIFS(tbl_Finance[Job Number],C36&amp;"",tbl_Finance[Xero Invoice No],LOOKUP(2,1/((tbl_Finance[Job Number]=C36&amp;"")*(tbl_Finance[Xero Invoice No]&lt;&gt;"")),tbl_Finance[Xero Invoice No]))=COUNTIFS(tbl_Finance[Job Number],C36&amp;"",tbl_Finance[Xero Invoice No],"&lt;&gt;"),LOOKUP(2,1/((tbl_Finance[Job Number]=C36&amp;"")*(tbl_Finance[Xero Invoice No]&lt;&gt;"")),tbl_Finance[Xero Invoice No]),LOOKUP(2,1/((tbl_Finance[Job Number]=C36&amp;"")*(tbl_Finance[Xero Invoice No]&lt;&gt;"")),tbl_Finance[Xero Invoice No])&amp;" +more"),"")))</f>
        <v/>
      </c>
      <c r="C36" s="24" t="n"/>
      <c r="D36" s="25">
        <f>IF(C36="","",IF(COUNTIF(lst_Jobs,C36&amp;"")&gt;0,"OK","CHECK"))</f>
        <v/>
      </c>
      <c r="E36" s="25">
        <f>IF(C36="","",IFERROR(INDEX(lst_JobName,MATCH(C36&amp;"",lst_Jobs,0)),""))</f>
        <v/>
      </c>
      <c r="F36" s="25">
        <f>IF(C36="","",IFERROR(INDEX(tbl_Finance[Client],MATCH(C36&amp;"",tbl_Finance[Job Number],0)),""))</f>
        <v/>
      </c>
      <c r="G36" s="28">
        <f>IF(C36="","",COUNTIFS(tbl_Finance[Job Number],C36&amp;"",tbl_Finance[Ex GST],"&lt;&gt;"))</f>
        <v/>
      </c>
      <c r="H36" s="27">
        <f>IF(C36="","",SUMIFS(tbl_Finance[Ex GST],tbl_Finance[Job Number],C36&amp;""))</f>
        <v/>
      </c>
      <c r="I36" s="27">
        <f>IF(C36="","",SUMIFS(tbl_Finance[Ex GST],tbl_Finance[Job Number],C36&amp;"",tbl_Finance[Xero Invoice No],"&lt;&gt;"))</f>
        <v/>
      </c>
      <c r="J36" s="27">
        <f>IF(C36="","",H36-I36)</f>
        <v/>
      </c>
      <c r="K36" s="25">
        <f>IF(C36="","",IF(G36=0,"not invoiced yet",SUBSTITUTE(TRIM(IF(COUNTIFS(tbl_Finance[Job Number],C36&amp;"",tbl_Finance[Cost Centre],"ONSITE")&gt;0,"ONSITE ","")&amp;IF(COUNTIFS(tbl_Finance[Job Number],C36&amp;"",tbl_Finance[Cost Centre],"PRODUCTION")&gt;0,"PRODUCTION ","")&amp;IF(COUNTIFS(tbl_Finance[Job Number],C36&amp;"",tbl_Finance[Cost Centre],"VIDEO")&gt;0,"VIDEO ","")&amp;IF(COUNTIFS(tbl_Finance[Job Number],C36&amp;"",tbl_Finance[Cost Centre],"INTEGRATION")&gt;0,"INTEGRATION ","")&amp;IF(COUNTIFS(tbl_Finance[Job Number],C36&amp;"",tbl_Finance[Cost Centre],"CONSULTING")&gt;0,"CONSULTING ","")&amp;IF(COUNTIFS(tbl_Finance[Job Number],C36&amp;"",tbl_Finance[Cost Centre],"CTS")&gt;0,"CTS ",""))," ",", ")))</f>
        <v/>
      </c>
      <c r="L36" s="24" t="n"/>
      <c r="M36" s="25">
        <f>IF(L36="","",HYPERLINK(IF(LEFT(L36,4)="http",L36,set_QwilrBase&amp;L36),"Open quote"))</f>
        <v/>
      </c>
      <c r="N36" s="26" t="n"/>
      <c r="O36" s="26" t="n"/>
      <c r="P36" s="26" t="n"/>
      <c r="Q36" s="25">
        <f>IF(C36="","",IF(N(N36)+N(O36)+N(P36)=0,"Not split",IF(ROUND(N(N36)+N(O36)+N(P36),2)=ROUND(H36,2),"OK","MISMATCH")))</f>
        <v/>
      </c>
      <c r="R36" s="26" t="n"/>
      <c r="S36" s="26" t="n"/>
      <c r="T36" s="26" t="n"/>
      <c r="U36" s="27">
        <f>IF(C36="","",N(R36)+N(S36)+N(T36))</f>
        <v/>
      </c>
      <c r="V36" s="27">
        <f>IF(C36="","",H36-U36)</f>
        <v/>
      </c>
      <c r="W36" s="29">
        <f>IFERROR(V36/H36,"")</f>
        <v/>
      </c>
      <c r="X36" s="24" t="n"/>
    </row>
    <row r="37" ht="15" customHeight="1">
      <c r="A37" s="63">
        <f>IF(C37="","",IFERROR(IF(SUMPRODUCT(MAX((tbl_Finance[Job Number]=C37&amp;"")*(tbl_Finance[Xero Invoice No]&lt;&gt;"")*tbl_Finance[Date]))=0,"",SUMPRODUCT(MAX((tbl_Finance[Job Number]=C37&amp;"")*(tbl_Finance[Xero Invoice No]&lt;&gt;"")*tbl_Finance[Date]))),""))</f>
        <v/>
      </c>
      <c r="B37" s="25">
        <f>IF(C37="","",IF(COUNTIFS(tbl_Finance[Job Number],C37&amp;"",tbl_Finance[Xero Invoice No],"&lt;&gt;")=0,"",IFERROR(IF(COUNTIFS(tbl_Finance[Job Number],C37&amp;"",tbl_Finance[Xero Invoice No],LOOKUP(2,1/((tbl_Finance[Job Number]=C37&amp;"")*(tbl_Finance[Xero Invoice No]&lt;&gt;"")),tbl_Finance[Xero Invoice No]))=COUNTIFS(tbl_Finance[Job Number],C37&amp;"",tbl_Finance[Xero Invoice No],"&lt;&gt;"),LOOKUP(2,1/((tbl_Finance[Job Number]=C37&amp;"")*(tbl_Finance[Xero Invoice No]&lt;&gt;"")),tbl_Finance[Xero Invoice No]),LOOKUP(2,1/((tbl_Finance[Job Number]=C37&amp;"")*(tbl_Finance[Xero Invoice No]&lt;&gt;"")),tbl_Finance[Xero Invoice No])&amp;" +more"),"")))</f>
        <v/>
      </c>
      <c r="C37" s="24" t="n"/>
      <c r="D37" s="25">
        <f>IF(C37="","",IF(COUNTIF(lst_Jobs,C37&amp;"")&gt;0,"OK","CHECK"))</f>
        <v/>
      </c>
      <c r="E37" s="25">
        <f>IF(C37="","",IFERROR(INDEX(lst_JobName,MATCH(C37&amp;"",lst_Jobs,0)),""))</f>
        <v/>
      </c>
      <c r="F37" s="25">
        <f>IF(C37="","",IFERROR(INDEX(tbl_Finance[Client],MATCH(C37&amp;"",tbl_Finance[Job Number],0)),""))</f>
        <v/>
      </c>
      <c r="G37" s="28">
        <f>IF(C37="","",COUNTIFS(tbl_Finance[Job Number],C37&amp;"",tbl_Finance[Ex GST],"&lt;&gt;"))</f>
        <v/>
      </c>
      <c r="H37" s="27">
        <f>IF(C37="","",SUMIFS(tbl_Finance[Ex GST],tbl_Finance[Job Number],C37&amp;""))</f>
        <v/>
      </c>
      <c r="I37" s="27">
        <f>IF(C37="","",SUMIFS(tbl_Finance[Ex GST],tbl_Finance[Job Number],C37&amp;"",tbl_Finance[Xero Invoice No],"&lt;&gt;"))</f>
        <v/>
      </c>
      <c r="J37" s="27">
        <f>IF(C37="","",H37-I37)</f>
        <v/>
      </c>
      <c r="K37" s="25">
        <f>IF(C37="","",IF(G37=0,"not invoiced yet",SUBSTITUTE(TRIM(IF(COUNTIFS(tbl_Finance[Job Number],C37&amp;"",tbl_Finance[Cost Centre],"ONSITE")&gt;0,"ONSITE ","")&amp;IF(COUNTIFS(tbl_Finance[Job Number],C37&amp;"",tbl_Finance[Cost Centre],"PRODUCTION")&gt;0,"PRODUCTION ","")&amp;IF(COUNTIFS(tbl_Finance[Job Number],C37&amp;"",tbl_Finance[Cost Centre],"VIDEO")&gt;0,"VIDEO ","")&amp;IF(COUNTIFS(tbl_Finance[Job Number],C37&amp;"",tbl_Finance[Cost Centre],"INTEGRATION")&gt;0,"INTEGRATION ","")&amp;IF(COUNTIFS(tbl_Finance[Job Number],C37&amp;"",tbl_Finance[Cost Centre],"CONSULTING")&gt;0,"CONSULTING ","")&amp;IF(COUNTIFS(tbl_Finance[Job Number],C37&amp;"",tbl_Finance[Cost Centre],"CTS")&gt;0,"CTS ",""))," ",", ")))</f>
        <v/>
      </c>
      <c r="L37" s="24" t="n"/>
      <c r="M37" s="25">
        <f>IF(L37="","",HYPERLINK(IF(LEFT(L37,4)="http",L37,set_QwilrBase&amp;L37),"Open quote"))</f>
        <v/>
      </c>
      <c r="N37" s="26" t="n"/>
      <c r="O37" s="26" t="n"/>
      <c r="P37" s="26" t="n"/>
      <c r="Q37" s="25">
        <f>IF(C37="","",IF(N(N37)+N(O37)+N(P37)=0,"Not split",IF(ROUND(N(N37)+N(O37)+N(P37),2)=ROUND(H37,2),"OK","MISMATCH")))</f>
        <v/>
      </c>
      <c r="R37" s="26" t="n"/>
      <c r="S37" s="26" t="n"/>
      <c r="T37" s="26" t="n"/>
      <c r="U37" s="27">
        <f>IF(C37="","",N(R37)+N(S37)+N(T37))</f>
        <v/>
      </c>
      <c r="V37" s="27">
        <f>IF(C37="","",H37-U37)</f>
        <v/>
      </c>
      <c r="W37" s="29">
        <f>IFERROR(V37/H37,"")</f>
        <v/>
      </c>
      <c r="X37" s="24" t="n"/>
    </row>
    <row r="38" ht="15" customHeight="1">
      <c r="A38" s="63">
        <f>IF(C38="","",IFERROR(IF(SUMPRODUCT(MAX((tbl_Finance[Job Number]=C38&amp;"")*(tbl_Finance[Xero Invoice No]&lt;&gt;"")*tbl_Finance[Date]))=0,"",SUMPRODUCT(MAX((tbl_Finance[Job Number]=C38&amp;"")*(tbl_Finance[Xero Invoice No]&lt;&gt;"")*tbl_Finance[Date]))),""))</f>
        <v/>
      </c>
      <c r="B38" s="25">
        <f>IF(C38="","",IF(COUNTIFS(tbl_Finance[Job Number],C38&amp;"",tbl_Finance[Xero Invoice No],"&lt;&gt;")=0,"",IFERROR(IF(COUNTIFS(tbl_Finance[Job Number],C38&amp;"",tbl_Finance[Xero Invoice No],LOOKUP(2,1/((tbl_Finance[Job Number]=C38&amp;"")*(tbl_Finance[Xero Invoice No]&lt;&gt;"")),tbl_Finance[Xero Invoice No]))=COUNTIFS(tbl_Finance[Job Number],C38&amp;"",tbl_Finance[Xero Invoice No],"&lt;&gt;"),LOOKUP(2,1/((tbl_Finance[Job Number]=C38&amp;"")*(tbl_Finance[Xero Invoice No]&lt;&gt;"")),tbl_Finance[Xero Invoice No]),LOOKUP(2,1/((tbl_Finance[Job Number]=C38&amp;"")*(tbl_Finance[Xero Invoice No]&lt;&gt;"")),tbl_Finance[Xero Invoice No])&amp;" +more"),"")))</f>
        <v/>
      </c>
      <c r="C38" s="24" t="n"/>
      <c r="D38" s="25">
        <f>IF(C38="","",IF(COUNTIF(lst_Jobs,C38&amp;"")&gt;0,"OK","CHECK"))</f>
        <v/>
      </c>
      <c r="E38" s="25">
        <f>IF(C38="","",IFERROR(INDEX(lst_JobName,MATCH(C38&amp;"",lst_Jobs,0)),""))</f>
        <v/>
      </c>
      <c r="F38" s="25">
        <f>IF(C38="","",IFERROR(INDEX(tbl_Finance[Client],MATCH(C38&amp;"",tbl_Finance[Job Number],0)),""))</f>
        <v/>
      </c>
      <c r="G38" s="28">
        <f>IF(C38="","",COUNTIFS(tbl_Finance[Job Number],C38&amp;"",tbl_Finance[Ex GST],"&lt;&gt;"))</f>
        <v/>
      </c>
      <c r="H38" s="27">
        <f>IF(C38="","",SUMIFS(tbl_Finance[Ex GST],tbl_Finance[Job Number],C38&amp;""))</f>
        <v/>
      </c>
      <c r="I38" s="27">
        <f>IF(C38="","",SUMIFS(tbl_Finance[Ex GST],tbl_Finance[Job Number],C38&amp;"",tbl_Finance[Xero Invoice No],"&lt;&gt;"))</f>
        <v/>
      </c>
      <c r="J38" s="27">
        <f>IF(C38="","",H38-I38)</f>
        <v/>
      </c>
      <c r="K38" s="25">
        <f>IF(C38="","",IF(G38=0,"not invoiced yet",SUBSTITUTE(TRIM(IF(COUNTIFS(tbl_Finance[Job Number],C38&amp;"",tbl_Finance[Cost Centre],"ONSITE")&gt;0,"ONSITE ","")&amp;IF(COUNTIFS(tbl_Finance[Job Number],C38&amp;"",tbl_Finance[Cost Centre],"PRODUCTION")&gt;0,"PRODUCTION ","")&amp;IF(COUNTIFS(tbl_Finance[Job Number],C38&amp;"",tbl_Finance[Cost Centre],"VIDEO")&gt;0,"VIDEO ","")&amp;IF(COUNTIFS(tbl_Finance[Job Number],C38&amp;"",tbl_Finance[Cost Centre],"INTEGRATION")&gt;0,"INTEGRATION ","")&amp;IF(COUNTIFS(tbl_Finance[Job Number],C38&amp;"",tbl_Finance[Cost Centre],"CONSULTING")&gt;0,"CONSULTING ","")&amp;IF(COUNTIFS(tbl_Finance[Job Number],C38&amp;"",tbl_Finance[Cost Centre],"CTS")&gt;0,"CTS ",""))," ",", ")))</f>
        <v/>
      </c>
      <c r="L38" s="24" t="n"/>
      <c r="M38" s="25">
        <f>IF(L38="","",HYPERLINK(IF(LEFT(L38,4)="http",L38,set_QwilrBase&amp;L38),"Open quote"))</f>
        <v/>
      </c>
      <c r="N38" s="26" t="n"/>
      <c r="O38" s="26" t="n"/>
      <c r="P38" s="26" t="n"/>
      <c r="Q38" s="25">
        <f>IF(C38="","",IF(N(N38)+N(O38)+N(P38)=0,"Not split",IF(ROUND(N(N38)+N(O38)+N(P38),2)=ROUND(H38,2),"OK","MISMATCH")))</f>
        <v/>
      </c>
      <c r="R38" s="26" t="n"/>
      <c r="S38" s="26" t="n"/>
      <c r="T38" s="26" t="n"/>
      <c r="U38" s="27">
        <f>IF(C38="","",N(R38)+N(S38)+N(T38))</f>
        <v/>
      </c>
      <c r="V38" s="27">
        <f>IF(C38="","",H38-U38)</f>
        <v/>
      </c>
      <c r="W38" s="29">
        <f>IFERROR(V38/H38,"")</f>
        <v/>
      </c>
      <c r="X38" s="24" t="n"/>
    </row>
    <row r="39" ht="15" customHeight="1">
      <c r="A39" s="63">
        <f>IF(C39="","",IFERROR(IF(SUMPRODUCT(MAX((tbl_Finance[Job Number]=C39&amp;"")*(tbl_Finance[Xero Invoice No]&lt;&gt;"")*tbl_Finance[Date]))=0,"",SUMPRODUCT(MAX((tbl_Finance[Job Number]=C39&amp;"")*(tbl_Finance[Xero Invoice No]&lt;&gt;"")*tbl_Finance[Date]))),""))</f>
        <v/>
      </c>
      <c r="B39" s="25">
        <f>IF(C39="","",IF(COUNTIFS(tbl_Finance[Job Number],C39&amp;"",tbl_Finance[Xero Invoice No],"&lt;&gt;")=0,"",IFERROR(IF(COUNTIFS(tbl_Finance[Job Number],C39&amp;"",tbl_Finance[Xero Invoice No],LOOKUP(2,1/((tbl_Finance[Job Number]=C39&amp;"")*(tbl_Finance[Xero Invoice No]&lt;&gt;"")),tbl_Finance[Xero Invoice No]))=COUNTIFS(tbl_Finance[Job Number],C39&amp;"",tbl_Finance[Xero Invoice No],"&lt;&gt;"),LOOKUP(2,1/((tbl_Finance[Job Number]=C39&amp;"")*(tbl_Finance[Xero Invoice No]&lt;&gt;"")),tbl_Finance[Xero Invoice No]),LOOKUP(2,1/((tbl_Finance[Job Number]=C39&amp;"")*(tbl_Finance[Xero Invoice No]&lt;&gt;"")),tbl_Finance[Xero Invoice No])&amp;" +more"),"")))</f>
        <v/>
      </c>
      <c r="C39" s="24" t="n"/>
      <c r="D39" s="25">
        <f>IF(C39="","",IF(COUNTIF(lst_Jobs,C39&amp;"")&gt;0,"OK","CHECK"))</f>
        <v/>
      </c>
      <c r="E39" s="25">
        <f>IF(C39="","",IFERROR(INDEX(lst_JobName,MATCH(C39&amp;"",lst_Jobs,0)),""))</f>
        <v/>
      </c>
      <c r="F39" s="25">
        <f>IF(C39="","",IFERROR(INDEX(tbl_Finance[Client],MATCH(C39&amp;"",tbl_Finance[Job Number],0)),""))</f>
        <v/>
      </c>
      <c r="G39" s="28">
        <f>IF(C39="","",COUNTIFS(tbl_Finance[Job Number],C39&amp;"",tbl_Finance[Ex GST],"&lt;&gt;"))</f>
        <v/>
      </c>
      <c r="H39" s="27">
        <f>IF(C39="","",SUMIFS(tbl_Finance[Ex GST],tbl_Finance[Job Number],C39&amp;""))</f>
        <v/>
      </c>
      <c r="I39" s="27">
        <f>IF(C39="","",SUMIFS(tbl_Finance[Ex GST],tbl_Finance[Job Number],C39&amp;"",tbl_Finance[Xero Invoice No],"&lt;&gt;"))</f>
        <v/>
      </c>
      <c r="J39" s="27">
        <f>IF(C39="","",H39-I39)</f>
        <v/>
      </c>
      <c r="K39" s="25">
        <f>IF(C39="","",IF(G39=0,"not invoiced yet",SUBSTITUTE(TRIM(IF(COUNTIFS(tbl_Finance[Job Number],C39&amp;"",tbl_Finance[Cost Centre],"ONSITE")&gt;0,"ONSITE ","")&amp;IF(COUNTIFS(tbl_Finance[Job Number],C39&amp;"",tbl_Finance[Cost Centre],"PRODUCTION")&gt;0,"PRODUCTION ","")&amp;IF(COUNTIFS(tbl_Finance[Job Number],C39&amp;"",tbl_Finance[Cost Centre],"VIDEO")&gt;0,"VIDEO ","")&amp;IF(COUNTIFS(tbl_Finance[Job Number],C39&amp;"",tbl_Finance[Cost Centre],"INTEGRATION")&gt;0,"INTEGRATION ","")&amp;IF(COUNTIFS(tbl_Finance[Job Number],C39&amp;"",tbl_Finance[Cost Centre],"CONSULTING")&gt;0,"CONSULTING ","")&amp;IF(COUNTIFS(tbl_Finance[Job Number],C39&amp;"",tbl_Finance[Cost Centre],"CTS")&gt;0,"CTS ",""))," ",", ")))</f>
        <v/>
      </c>
      <c r="L39" s="24" t="n"/>
      <c r="M39" s="25">
        <f>IF(L39="","",HYPERLINK(IF(LEFT(L39,4)="http",L39,set_QwilrBase&amp;L39),"Open quote"))</f>
        <v/>
      </c>
      <c r="N39" s="26" t="n"/>
      <c r="O39" s="26" t="n"/>
      <c r="P39" s="26" t="n"/>
      <c r="Q39" s="25">
        <f>IF(C39="","",IF(N(N39)+N(O39)+N(P39)=0,"Not split",IF(ROUND(N(N39)+N(O39)+N(P39),2)=ROUND(H39,2),"OK","MISMATCH")))</f>
        <v/>
      </c>
      <c r="R39" s="26" t="n"/>
      <c r="S39" s="26" t="n"/>
      <c r="T39" s="26" t="n"/>
      <c r="U39" s="27">
        <f>IF(C39="","",N(R39)+N(S39)+N(T39))</f>
        <v/>
      </c>
      <c r="V39" s="27">
        <f>IF(C39="","",H39-U39)</f>
        <v/>
      </c>
      <c r="W39" s="29">
        <f>IFERROR(V39/H39,"")</f>
        <v/>
      </c>
      <c r="X39" s="24" t="n"/>
    </row>
    <row r="40" ht="15" customHeight="1">
      <c r="A40" s="63">
        <f>IF(C40="","",IFERROR(IF(SUMPRODUCT(MAX((tbl_Finance[Job Number]=C40&amp;"")*(tbl_Finance[Xero Invoice No]&lt;&gt;"")*tbl_Finance[Date]))=0,"",SUMPRODUCT(MAX((tbl_Finance[Job Number]=C40&amp;"")*(tbl_Finance[Xero Invoice No]&lt;&gt;"")*tbl_Finance[Date]))),""))</f>
        <v/>
      </c>
      <c r="B40" s="25">
        <f>IF(C40="","",IF(COUNTIFS(tbl_Finance[Job Number],C40&amp;"",tbl_Finance[Xero Invoice No],"&lt;&gt;")=0,"",IFERROR(IF(COUNTIFS(tbl_Finance[Job Number],C40&amp;"",tbl_Finance[Xero Invoice No],LOOKUP(2,1/((tbl_Finance[Job Number]=C40&amp;"")*(tbl_Finance[Xero Invoice No]&lt;&gt;"")),tbl_Finance[Xero Invoice No]))=COUNTIFS(tbl_Finance[Job Number],C40&amp;"",tbl_Finance[Xero Invoice No],"&lt;&gt;"),LOOKUP(2,1/((tbl_Finance[Job Number]=C40&amp;"")*(tbl_Finance[Xero Invoice No]&lt;&gt;"")),tbl_Finance[Xero Invoice No]),LOOKUP(2,1/((tbl_Finance[Job Number]=C40&amp;"")*(tbl_Finance[Xero Invoice No]&lt;&gt;"")),tbl_Finance[Xero Invoice No])&amp;" +more"),"")))</f>
        <v/>
      </c>
      <c r="C40" s="24" t="n"/>
      <c r="D40" s="25">
        <f>IF(C40="","",IF(COUNTIF(lst_Jobs,C40&amp;"")&gt;0,"OK","CHECK"))</f>
        <v/>
      </c>
      <c r="E40" s="25">
        <f>IF(C40="","",IFERROR(INDEX(lst_JobName,MATCH(C40&amp;"",lst_Jobs,0)),""))</f>
        <v/>
      </c>
      <c r="F40" s="25">
        <f>IF(C40="","",IFERROR(INDEX(tbl_Finance[Client],MATCH(C40&amp;"",tbl_Finance[Job Number],0)),""))</f>
        <v/>
      </c>
      <c r="G40" s="28">
        <f>IF(C40="","",COUNTIFS(tbl_Finance[Job Number],C40&amp;"",tbl_Finance[Ex GST],"&lt;&gt;"))</f>
        <v/>
      </c>
      <c r="H40" s="27">
        <f>IF(C40="","",SUMIFS(tbl_Finance[Ex GST],tbl_Finance[Job Number],C40&amp;""))</f>
        <v/>
      </c>
      <c r="I40" s="27">
        <f>IF(C40="","",SUMIFS(tbl_Finance[Ex GST],tbl_Finance[Job Number],C40&amp;"",tbl_Finance[Xero Invoice No],"&lt;&gt;"))</f>
        <v/>
      </c>
      <c r="J40" s="27">
        <f>IF(C40="","",H40-I40)</f>
        <v/>
      </c>
      <c r="K40" s="25">
        <f>IF(C40="","",IF(G40=0,"not invoiced yet",SUBSTITUTE(TRIM(IF(COUNTIFS(tbl_Finance[Job Number],C40&amp;"",tbl_Finance[Cost Centre],"ONSITE")&gt;0,"ONSITE ","")&amp;IF(COUNTIFS(tbl_Finance[Job Number],C40&amp;"",tbl_Finance[Cost Centre],"PRODUCTION")&gt;0,"PRODUCTION ","")&amp;IF(COUNTIFS(tbl_Finance[Job Number],C40&amp;"",tbl_Finance[Cost Centre],"VIDEO")&gt;0,"VIDEO ","")&amp;IF(COUNTIFS(tbl_Finance[Job Number],C40&amp;"",tbl_Finance[Cost Centre],"INTEGRATION")&gt;0,"INTEGRATION ","")&amp;IF(COUNTIFS(tbl_Finance[Job Number],C40&amp;"",tbl_Finance[Cost Centre],"CONSULTING")&gt;0,"CONSULTING ","")&amp;IF(COUNTIFS(tbl_Finance[Job Number],C40&amp;"",tbl_Finance[Cost Centre],"CTS")&gt;0,"CTS ",""))," ",", ")))</f>
        <v/>
      </c>
      <c r="L40" s="24" t="n"/>
      <c r="M40" s="25">
        <f>IF(L40="","",HYPERLINK(IF(LEFT(L40,4)="http",L40,set_QwilrBase&amp;L40),"Open quote"))</f>
        <v/>
      </c>
      <c r="N40" s="26" t="n"/>
      <c r="O40" s="26" t="n"/>
      <c r="P40" s="26" t="n"/>
      <c r="Q40" s="25">
        <f>IF(C40="","",IF(N(N40)+N(O40)+N(P40)=0,"Not split",IF(ROUND(N(N40)+N(O40)+N(P40),2)=ROUND(H40,2),"OK","MISMATCH")))</f>
        <v/>
      </c>
      <c r="R40" s="26" t="n"/>
      <c r="S40" s="26" t="n"/>
      <c r="T40" s="26" t="n"/>
      <c r="U40" s="27">
        <f>IF(C40="","",N(R40)+N(S40)+N(T40))</f>
        <v/>
      </c>
      <c r="V40" s="27">
        <f>IF(C40="","",H40-U40)</f>
        <v/>
      </c>
      <c r="W40" s="29">
        <f>IFERROR(V40/H40,"")</f>
        <v/>
      </c>
      <c r="X40" s="24" t="n"/>
    </row>
    <row r="41" ht="15" customHeight="1">
      <c r="A41" s="63">
        <f>IF(C41="","",IFERROR(IF(SUMPRODUCT(MAX((tbl_Finance[Job Number]=C41&amp;"")*(tbl_Finance[Xero Invoice No]&lt;&gt;"")*tbl_Finance[Date]))=0,"",SUMPRODUCT(MAX((tbl_Finance[Job Number]=C41&amp;"")*(tbl_Finance[Xero Invoice No]&lt;&gt;"")*tbl_Finance[Date]))),""))</f>
        <v/>
      </c>
      <c r="B41" s="25">
        <f>IF(C41="","",IF(COUNTIFS(tbl_Finance[Job Number],C41&amp;"",tbl_Finance[Xero Invoice No],"&lt;&gt;")=0,"",IFERROR(IF(COUNTIFS(tbl_Finance[Job Number],C41&amp;"",tbl_Finance[Xero Invoice No],LOOKUP(2,1/((tbl_Finance[Job Number]=C41&amp;"")*(tbl_Finance[Xero Invoice No]&lt;&gt;"")),tbl_Finance[Xero Invoice No]))=COUNTIFS(tbl_Finance[Job Number],C41&amp;"",tbl_Finance[Xero Invoice No],"&lt;&gt;"),LOOKUP(2,1/((tbl_Finance[Job Number]=C41&amp;"")*(tbl_Finance[Xero Invoice No]&lt;&gt;"")),tbl_Finance[Xero Invoice No]),LOOKUP(2,1/((tbl_Finance[Job Number]=C41&amp;"")*(tbl_Finance[Xero Invoice No]&lt;&gt;"")),tbl_Finance[Xero Invoice No])&amp;" +more"),"")))</f>
        <v/>
      </c>
      <c r="C41" s="24" t="n"/>
      <c r="D41" s="25">
        <f>IF(C41="","",IF(COUNTIF(lst_Jobs,C41&amp;"")&gt;0,"OK","CHECK"))</f>
        <v/>
      </c>
      <c r="E41" s="25">
        <f>IF(C41="","",IFERROR(INDEX(lst_JobName,MATCH(C41&amp;"",lst_Jobs,0)),""))</f>
        <v/>
      </c>
      <c r="F41" s="25">
        <f>IF(C41="","",IFERROR(INDEX(tbl_Finance[Client],MATCH(C41&amp;"",tbl_Finance[Job Number],0)),""))</f>
        <v/>
      </c>
      <c r="G41" s="28">
        <f>IF(C41="","",COUNTIFS(tbl_Finance[Job Number],C41&amp;"",tbl_Finance[Ex GST],"&lt;&gt;"))</f>
        <v/>
      </c>
      <c r="H41" s="27">
        <f>IF(C41="","",SUMIFS(tbl_Finance[Ex GST],tbl_Finance[Job Number],C41&amp;""))</f>
        <v/>
      </c>
      <c r="I41" s="27">
        <f>IF(C41="","",SUMIFS(tbl_Finance[Ex GST],tbl_Finance[Job Number],C41&amp;"",tbl_Finance[Xero Invoice No],"&lt;&gt;"))</f>
        <v/>
      </c>
      <c r="J41" s="27">
        <f>IF(C41="","",H41-I41)</f>
        <v/>
      </c>
      <c r="K41" s="25">
        <f>IF(C41="","",IF(G41=0,"not invoiced yet",SUBSTITUTE(TRIM(IF(COUNTIFS(tbl_Finance[Job Number],C41&amp;"",tbl_Finance[Cost Centre],"ONSITE")&gt;0,"ONSITE ","")&amp;IF(COUNTIFS(tbl_Finance[Job Number],C41&amp;"",tbl_Finance[Cost Centre],"PRODUCTION")&gt;0,"PRODUCTION ","")&amp;IF(COUNTIFS(tbl_Finance[Job Number],C41&amp;"",tbl_Finance[Cost Centre],"VIDEO")&gt;0,"VIDEO ","")&amp;IF(COUNTIFS(tbl_Finance[Job Number],C41&amp;"",tbl_Finance[Cost Centre],"INTEGRATION")&gt;0,"INTEGRATION ","")&amp;IF(COUNTIFS(tbl_Finance[Job Number],C41&amp;"",tbl_Finance[Cost Centre],"CONSULTING")&gt;0,"CONSULTING ","")&amp;IF(COUNTIFS(tbl_Finance[Job Number],C41&amp;"",tbl_Finance[Cost Centre],"CTS")&gt;0,"CTS ",""))," ",", ")))</f>
        <v/>
      </c>
      <c r="L41" s="24" t="n"/>
      <c r="M41" s="25">
        <f>IF(L41="","",HYPERLINK(IF(LEFT(L41,4)="http",L41,set_QwilrBase&amp;L41),"Open quote"))</f>
        <v/>
      </c>
      <c r="N41" s="26" t="n"/>
      <c r="O41" s="26" t="n"/>
      <c r="P41" s="26" t="n"/>
      <c r="Q41" s="25">
        <f>IF(C41="","",IF(N(N41)+N(O41)+N(P41)=0,"Not split",IF(ROUND(N(N41)+N(O41)+N(P41),2)=ROUND(H41,2),"OK","MISMATCH")))</f>
        <v/>
      </c>
      <c r="R41" s="26" t="n"/>
      <c r="S41" s="26" t="n"/>
      <c r="T41" s="26" t="n"/>
      <c r="U41" s="27">
        <f>IF(C41="","",N(R41)+N(S41)+N(T41))</f>
        <v/>
      </c>
      <c r="V41" s="27">
        <f>IF(C41="","",H41-U41)</f>
        <v/>
      </c>
      <c r="W41" s="29">
        <f>IFERROR(V41/H41,"")</f>
        <v/>
      </c>
      <c r="X41" s="24" t="n"/>
    </row>
    <row r="42" ht="15" customHeight="1">
      <c r="A42" s="63">
        <f>IF(C42="","",IFERROR(IF(SUMPRODUCT(MAX((tbl_Finance[Job Number]=C42&amp;"")*(tbl_Finance[Xero Invoice No]&lt;&gt;"")*tbl_Finance[Date]))=0,"",SUMPRODUCT(MAX((tbl_Finance[Job Number]=C42&amp;"")*(tbl_Finance[Xero Invoice No]&lt;&gt;"")*tbl_Finance[Date]))),""))</f>
        <v/>
      </c>
      <c r="B42" s="25">
        <f>IF(C42="","",IF(COUNTIFS(tbl_Finance[Job Number],C42&amp;"",tbl_Finance[Xero Invoice No],"&lt;&gt;")=0,"",IFERROR(IF(COUNTIFS(tbl_Finance[Job Number],C42&amp;"",tbl_Finance[Xero Invoice No],LOOKUP(2,1/((tbl_Finance[Job Number]=C42&amp;"")*(tbl_Finance[Xero Invoice No]&lt;&gt;"")),tbl_Finance[Xero Invoice No]))=COUNTIFS(tbl_Finance[Job Number],C42&amp;"",tbl_Finance[Xero Invoice No],"&lt;&gt;"),LOOKUP(2,1/((tbl_Finance[Job Number]=C42&amp;"")*(tbl_Finance[Xero Invoice No]&lt;&gt;"")),tbl_Finance[Xero Invoice No]),LOOKUP(2,1/((tbl_Finance[Job Number]=C42&amp;"")*(tbl_Finance[Xero Invoice No]&lt;&gt;"")),tbl_Finance[Xero Invoice No])&amp;" +more"),"")))</f>
        <v/>
      </c>
      <c r="C42" s="24" t="n"/>
      <c r="D42" s="25">
        <f>IF(C42="","",IF(COUNTIF(lst_Jobs,C42&amp;"")&gt;0,"OK","CHECK"))</f>
        <v/>
      </c>
      <c r="E42" s="25">
        <f>IF(C42="","",IFERROR(INDEX(lst_JobName,MATCH(C42&amp;"",lst_Jobs,0)),""))</f>
        <v/>
      </c>
      <c r="F42" s="25">
        <f>IF(C42="","",IFERROR(INDEX(tbl_Finance[Client],MATCH(C42&amp;"",tbl_Finance[Job Number],0)),""))</f>
        <v/>
      </c>
      <c r="G42" s="28">
        <f>IF(C42="","",COUNTIFS(tbl_Finance[Job Number],C42&amp;"",tbl_Finance[Ex GST],"&lt;&gt;"))</f>
        <v/>
      </c>
      <c r="H42" s="27">
        <f>IF(C42="","",SUMIFS(tbl_Finance[Ex GST],tbl_Finance[Job Number],C42&amp;""))</f>
        <v/>
      </c>
      <c r="I42" s="27">
        <f>IF(C42="","",SUMIFS(tbl_Finance[Ex GST],tbl_Finance[Job Number],C42&amp;"",tbl_Finance[Xero Invoice No],"&lt;&gt;"))</f>
        <v/>
      </c>
      <c r="J42" s="27">
        <f>IF(C42="","",H42-I42)</f>
        <v/>
      </c>
      <c r="K42" s="25">
        <f>IF(C42="","",IF(G42=0,"not invoiced yet",SUBSTITUTE(TRIM(IF(COUNTIFS(tbl_Finance[Job Number],C42&amp;"",tbl_Finance[Cost Centre],"ONSITE")&gt;0,"ONSITE ","")&amp;IF(COUNTIFS(tbl_Finance[Job Number],C42&amp;"",tbl_Finance[Cost Centre],"PRODUCTION")&gt;0,"PRODUCTION ","")&amp;IF(COUNTIFS(tbl_Finance[Job Number],C42&amp;"",tbl_Finance[Cost Centre],"VIDEO")&gt;0,"VIDEO ","")&amp;IF(COUNTIFS(tbl_Finance[Job Number],C42&amp;"",tbl_Finance[Cost Centre],"INTEGRATION")&gt;0,"INTEGRATION ","")&amp;IF(COUNTIFS(tbl_Finance[Job Number],C42&amp;"",tbl_Finance[Cost Centre],"CONSULTING")&gt;0,"CONSULTING ","")&amp;IF(COUNTIFS(tbl_Finance[Job Number],C42&amp;"",tbl_Finance[Cost Centre],"CTS")&gt;0,"CTS ",""))," ",", ")))</f>
        <v/>
      </c>
      <c r="L42" s="24" t="n"/>
      <c r="M42" s="25">
        <f>IF(L42="","",HYPERLINK(IF(LEFT(L42,4)="http",L42,set_QwilrBase&amp;L42),"Open quote"))</f>
        <v/>
      </c>
      <c r="N42" s="26" t="n"/>
      <c r="O42" s="26" t="n"/>
      <c r="P42" s="26" t="n"/>
      <c r="Q42" s="25">
        <f>IF(C42="","",IF(N(N42)+N(O42)+N(P42)=0,"Not split",IF(ROUND(N(N42)+N(O42)+N(P42),2)=ROUND(H42,2),"OK","MISMATCH")))</f>
        <v/>
      </c>
      <c r="R42" s="26" t="n"/>
      <c r="S42" s="26" t="n"/>
      <c r="T42" s="26" t="n"/>
      <c r="U42" s="27">
        <f>IF(C42="","",N(R42)+N(S42)+N(T42))</f>
        <v/>
      </c>
      <c r="V42" s="27">
        <f>IF(C42="","",H42-U42)</f>
        <v/>
      </c>
      <c r="W42" s="29">
        <f>IFERROR(V42/H42,"")</f>
        <v/>
      </c>
      <c r="X42" s="24" t="n"/>
    </row>
    <row r="43" ht="15" customHeight="1">
      <c r="A43" s="63">
        <f>IF(C43="","",IFERROR(IF(SUMPRODUCT(MAX((tbl_Finance[Job Number]=C43&amp;"")*(tbl_Finance[Xero Invoice No]&lt;&gt;"")*tbl_Finance[Date]))=0,"",SUMPRODUCT(MAX((tbl_Finance[Job Number]=C43&amp;"")*(tbl_Finance[Xero Invoice No]&lt;&gt;"")*tbl_Finance[Date]))),""))</f>
        <v/>
      </c>
      <c r="B43" s="25">
        <f>IF(C43="","",IF(COUNTIFS(tbl_Finance[Job Number],C43&amp;"",tbl_Finance[Xero Invoice No],"&lt;&gt;")=0,"",IFERROR(IF(COUNTIFS(tbl_Finance[Job Number],C43&amp;"",tbl_Finance[Xero Invoice No],LOOKUP(2,1/((tbl_Finance[Job Number]=C43&amp;"")*(tbl_Finance[Xero Invoice No]&lt;&gt;"")),tbl_Finance[Xero Invoice No]))=COUNTIFS(tbl_Finance[Job Number],C43&amp;"",tbl_Finance[Xero Invoice No],"&lt;&gt;"),LOOKUP(2,1/((tbl_Finance[Job Number]=C43&amp;"")*(tbl_Finance[Xero Invoice No]&lt;&gt;"")),tbl_Finance[Xero Invoice No]),LOOKUP(2,1/((tbl_Finance[Job Number]=C43&amp;"")*(tbl_Finance[Xero Invoice No]&lt;&gt;"")),tbl_Finance[Xero Invoice No])&amp;" +more"),"")))</f>
        <v/>
      </c>
      <c r="C43" s="24" t="n"/>
      <c r="D43" s="25">
        <f>IF(C43="","",IF(COUNTIF(lst_Jobs,C43&amp;"")&gt;0,"OK","CHECK"))</f>
        <v/>
      </c>
      <c r="E43" s="25">
        <f>IF(C43="","",IFERROR(INDEX(lst_JobName,MATCH(C43&amp;"",lst_Jobs,0)),""))</f>
        <v/>
      </c>
      <c r="F43" s="25">
        <f>IF(C43="","",IFERROR(INDEX(tbl_Finance[Client],MATCH(C43&amp;"",tbl_Finance[Job Number],0)),""))</f>
        <v/>
      </c>
      <c r="G43" s="28">
        <f>IF(C43="","",COUNTIFS(tbl_Finance[Job Number],C43&amp;"",tbl_Finance[Ex GST],"&lt;&gt;"))</f>
        <v/>
      </c>
      <c r="H43" s="27">
        <f>IF(C43="","",SUMIFS(tbl_Finance[Ex GST],tbl_Finance[Job Number],C43&amp;""))</f>
        <v/>
      </c>
      <c r="I43" s="27">
        <f>IF(C43="","",SUMIFS(tbl_Finance[Ex GST],tbl_Finance[Job Number],C43&amp;"",tbl_Finance[Xero Invoice No],"&lt;&gt;"))</f>
        <v/>
      </c>
      <c r="J43" s="27">
        <f>IF(C43="","",H43-I43)</f>
        <v/>
      </c>
      <c r="K43" s="25">
        <f>IF(C43="","",IF(G43=0,"not invoiced yet",SUBSTITUTE(TRIM(IF(COUNTIFS(tbl_Finance[Job Number],C43&amp;"",tbl_Finance[Cost Centre],"ONSITE")&gt;0,"ONSITE ","")&amp;IF(COUNTIFS(tbl_Finance[Job Number],C43&amp;"",tbl_Finance[Cost Centre],"PRODUCTION")&gt;0,"PRODUCTION ","")&amp;IF(COUNTIFS(tbl_Finance[Job Number],C43&amp;"",tbl_Finance[Cost Centre],"VIDEO")&gt;0,"VIDEO ","")&amp;IF(COUNTIFS(tbl_Finance[Job Number],C43&amp;"",tbl_Finance[Cost Centre],"INTEGRATION")&gt;0,"INTEGRATION ","")&amp;IF(COUNTIFS(tbl_Finance[Job Number],C43&amp;"",tbl_Finance[Cost Centre],"CONSULTING")&gt;0,"CONSULTING ","")&amp;IF(COUNTIFS(tbl_Finance[Job Number],C43&amp;"",tbl_Finance[Cost Centre],"CTS")&gt;0,"CTS ",""))," ",", ")))</f>
        <v/>
      </c>
      <c r="L43" s="24" t="n"/>
      <c r="M43" s="25">
        <f>IF(L43="","",HYPERLINK(IF(LEFT(L43,4)="http",L43,set_QwilrBase&amp;L43),"Open quote"))</f>
        <v/>
      </c>
      <c r="N43" s="26" t="n"/>
      <c r="O43" s="26" t="n"/>
      <c r="P43" s="26" t="n"/>
      <c r="Q43" s="25">
        <f>IF(C43="","",IF(N(N43)+N(O43)+N(P43)=0,"Not split",IF(ROUND(N(N43)+N(O43)+N(P43),2)=ROUND(H43,2),"OK","MISMATCH")))</f>
        <v/>
      </c>
      <c r="R43" s="26" t="n"/>
      <c r="S43" s="26" t="n"/>
      <c r="T43" s="26" t="n"/>
      <c r="U43" s="27">
        <f>IF(C43="","",N(R43)+N(S43)+N(T43))</f>
        <v/>
      </c>
      <c r="V43" s="27">
        <f>IF(C43="","",H43-U43)</f>
        <v/>
      </c>
      <c r="W43" s="29">
        <f>IFERROR(V43/H43,"")</f>
        <v/>
      </c>
      <c r="X43" s="24" t="n"/>
    </row>
    <row r="44" ht="15" customHeight="1">
      <c r="A44" s="63">
        <f>IF(C44="","",IFERROR(IF(SUMPRODUCT(MAX((tbl_Finance[Job Number]=C44&amp;"")*(tbl_Finance[Xero Invoice No]&lt;&gt;"")*tbl_Finance[Date]))=0,"",SUMPRODUCT(MAX((tbl_Finance[Job Number]=C44&amp;"")*(tbl_Finance[Xero Invoice No]&lt;&gt;"")*tbl_Finance[Date]))),""))</f>
        <v/>
      </c>
      <c r="B44" s="25">
        <f>IF(C44="","",IF(COUNTIFS(tbl_Finance[Job Number],C44&amp;"",tbl_Finance[Xero Invoice No],"&lt;&gt;")=0,"",IFERROR(IF(COUNTIFS(tbl_Finance[Job Number],C44&amp;"",tbl_Finance[Xero Invoice No],LOOKUP(2,1/((tbl_Finance[Job Number]=C44&amp;"")*(tbl_Finance[Xero Invoice No]&lt;&gt;"")),tbl_Finance[Xero Invoice No]))=COUNTIFS(tbl_Finance[Job Number],C44&amp;"",tbl_Finance[Xero Invoice No],"&lt;&gt;"),LOOKUP(2,1/((tbl_Finance[Job Number]=C44&amp;"")*(tbl_Finance[Xero Invoice No]&lt;&gt;"")),tbl_Finance[Xero Invoice No]),LOOKUP(2,1/((tbl_Finance[Job Number]=C44&amp;"")*(tbl_Finance[Xero Invoice No]&lt;&gt;"")),tbl_Finance[Xero Invoice No])&amp;" +more"),"")))</f>
        <v/>
      </c>
      <c r="C44" s="24" t="n"/>
      <c r="D44" s="25">
        <f>IF(C44="","",IF(COUNTIF(lst_Jobs,C44&amp;"")&gt;0,"OK","CHECK"))</f>
        <v/>
      </c>
      <c r="E44" s="25">
        <f>IF(C44="","",IFERROR(INDEX(lst_JobName,MATCH(C44&amp;"",lst_Jobs,0)),""))</f>
        <v/>
      </c>
      <c r="F44" s="25">
        <f>IF(C44="","",IFERROR(INDEX(tbl_Finance[Client],MATCH(C44&amp;"",tbl_Finance[Job Number],0)),""))</f>
        <v/>
      </c>
      <c r="G44" s="28">
        <f>IF(C44="","",COUNTIFS(tbl_Finance[Job Number],C44&amp;"",tbl_Finance[Ex GST],"&lt;&gt;"))</f>
        <v/>
      </c>
      <c r="H44" s="27">
        <f>IF(C44="","",SUMIFS(tbl_Finance[Ex GST],tbl_Finance[Job Number],C44&amp;""))</f>
        <v/>
      </c>
      <c r="I44" s="27">
        <f>IF(C44="","",SUMIFS(tbl_Finance[Ex GST],tbl_Finance[Job Number],C44&amp;"",tbl_Finance[Xero Invoice No],"&lt;&gt;"))</f>
        <v/>
      </c>
      <c r="J44" s="27">
        <f>IF(C44="","",H44-I44)</f>
        <v/>
      </c>
      <c r="K44" s="25">
        <f>IF(C44="","",IF(G44=0,"not invoiced yet",SUBSTITUTE(TRIM(IF(COUNTIFS(tbl_Finance[Job Number],C44&amp;"",tbl_Finance[Cost Centre],"ONSITE")&gt;0,"ONSITE ","")&amp;IF(COUNTIFS(tbl_Finance[Job Number],C44&amp;"",tbl_Finance[Cost Centre],"PRODUCTION")&gt;0,"PRODUCTION ","")&amp;IF(COUNTIFS(tbl_Finance[Job Number],C44&amp;"",tbl_Finance[Cost Centre],"VIDEO")&gt;0,"VIDEO ","")&amp;IF(COUNTIFS(tbl_Finance[Job Number],C44&amp;"",tbl_Finance[Cost Centre],"INTEGRATION")&gt;0,"INTEGRATION ","")&amp;IF(COUNTIFS(tbl_Finance[Job Number],C44&amp;"",tbl_Finance[Cost Centre],"CONSULTING")&gt;0,"CONSULTING ","")&amp;IF(COUNTIFS(tbl_Finance[Job Number],C44&amp;"",tbl_Finance[Cost Centre],"CTS")&gt;0,"CTS ",""))," ",", ")))</f>
        <v/>
      </c>
      <c r="L44" s="24" t="n"/>
      <c r="M44" s="25">
        <f>IF(L44="","",HYPERLINK(IF(LEFT(L44,4)="http",L44,set_QwilrBase&amp;L44),"Open quote"))</f>
        <v/>
      </c>
      <c r="N44" s="26" t="n"/>
      <c r="O44" s="26" t="n"/>
      <c r="P44" s="26" t="n"/>
      <c r="Q44" s="25">
        <f>IF(C44="","",IF(N(N44)+N(O44)+N(P44)=0,"Not split",IF(ROUND(N(N44)+N(O44)+N(P44),2)=ROUND(H44,2),"OK","MISMATCH")))</f>
        <v/>
      </c>
      <c r="R44" s="26" t="n"/>
      <c r="S44" s="26" t="n"/>
      <c r="T44" s="26" t="n"/>
      <c r="U44" s="27">
        <f>IF(C44="","",N(R44)+N(S44)+N(T44))</f>
        <v/>
      </c>
      <c r="V44" s="27">
        <f>IF(C44="","",H44-U44)</f>
        <v/>
      </c>
      <c r="W44" s="29">
        <f>IFERROR(V44/H44,"")</f>
        <v/>
      </c>
      <c r="X44" s="24" t="n"/>
    </row>
    <row r="45" ht="15" customHeight="1">
      <c r="A45" s="63">
        <f>IF(C45="","",IFERROR(IF(SUMPRODUCT(MAX((tbl_Finance[Job Number]=C45&amp;"")*(tbl_Finance[Xero Invoice No]&lt;&gt;"")*tbl_Finance[Date]))=0,"",SUMPRODUCT(MAX((tbl_Finance[Job Number]=C45&amp;"")*(tbl_Finance[Xero Invoice No]&lt;&gt;"")*tbl_Finance[Date]))),""))</f>
        <v/>
      </c>
      <c r="B45" s="25">
        <f>IF(C45="","",IF(COUNTIFS(tbl_Finance[Job Number],C45&amp;"",tbl_Finance[Xero Invoice No],"&lt;&gt;")=0,"",IFERROR(IF(COUNTIFS(tbl_Finance[Job Number],C45&amp;"",tbl_Finance[Xero Invoice No],LOOKUP(2,1/((tbl_Finance[Job Number]=C45&amp;"")*(tbl_Finance[Xero Invoice No]&lt;&gt;"")),tbl_Finance[Xero Invoice No]))=COUNTIFS(tbl_Finance[Job Number],C45&amp;"",tbl_Finance[Xero Invoice No],"&lt;&gt;"),LOOKUP(2,1/((tbl_Finance[Job Number]=C45&amp;"")*(tbl_Finance[Xero Invoice No]&lt;&gt;"")),tbl_Finance[Xero Invoice No]),LOOKUP(2,1/((tbl_Finance[Job Number]=C45&amp;"")*(tbl_Finance[Xero Invoice No]&lt;&gt;"")),tbl_Finance[Xero Invoice No])&amp;" +more"),"")))</f>
        <v/>
      </c>
      <c r="C45" s="24" t="n"/>
      <c r="D45" s="25">
        <f>IF(C45="","",IF(COUNTIF(lst_Jobs,C45&amp;"")&gt;0,"OK","CHECK"))</f>
        <v/>
      </c>
      <c r="E45" s="25">
        <f>IF(C45="","",IFERROR(INDEX(lst_JobName,MATCH(C45&amp;"",lst_Jobs,0)),""))</f>
        <v/>
      </c>
      <c r="F45" s="25">
        <f>IF(C45="","",IFERROR(INDEX(tbl_Finance[Client],MATCH(C45&amp;"",tbl_Finance[Job Number],0)),""))</f>
        <v/>
      </c>
      <c r="G45" s="28">
        <f>IF(C45="","",COUNTIFS(tbl_Finance[Job Number],C45&amp;"",tbl_Finance[Ex GST],"&lt;&gt;"))</f>
        <v/>
      </c>
      <c r="H45" s="27">
        <f>IF(C45="","",SUMIFS(tbl_Finance[Ex GST],tbl_Finance[Job Number],C45&amp;""))</f>
        <v/>
      </c>
      <c r="I45" s="27">
        <f>IF(C45="","",SUMIFS(tbl_Finance[Ex GST],tbl_Finance[Job Number],C45&amp;"",tbl_Finance[Xero Invoice No],"&lt;&gt;"))</f>
        <v/>
      </c>
      <c r="J45" s="27">
        <f>IF(C45="","",H45-I45)</f>
        <v/>
      </c>
      <c r="K45" s="25">
        <f>IF(C45="","",IF(G45=0,"not invoiced yet",SUBSTITUTE(TRIM(IF(COUNTIFS(tbl_Finance[Job Number],C45&amp;"",tbl_Finance[Cost Centre],"ONSITE")&gt;0,"ONSITE ","")&amp;IF(COUNTIFS(tbl_Finance[Job Number],C45&amp;"",tbl_Finance[Cost Centre],"PRODUCTION")&gt;0,"PRODUCTION ","")&amp;IF(COUNTIFS(tbl_Finance[Job Number],C45&amp;"",tbl_Finance[Cost Centre],"VIDEO")&gt;0,"VIDEO ","")&amp;IF(COUNTIFS(tbl_Finance[Job Number],C45&amp;"",tbl_Finance[Cost Centre],"INTEGRATION")&gt;0,"INTEGRATION ","")&amp;IF(COUNTIFS(tbl_Finance[Job Number],C45&amp;"",tbl_Finance[Cost Centre],"CONSULTING")&gt;0,"CONSULTING ","")&amp;IF(COUNTIFS(tbl_Finance[Job Number],C45&amp;"",tbl_Finance[Cost Centre],"CTS")&gt;0,"CTS ",""))," ",", ")))</f>
        <v/>
      </c>
      <c r="L45" s="24" t="n"/>
      <c r="M45" s="25">
        <f>IF(L45="","",HYPERLINK(IF(LEFT(L45,4)="http",L45,set_QwilrBase&amp;L45),"Open quote"))</f>
        <v/>
      </c>
      <c r="N45" s="26" t="n"/>
      <c r="O45" s="26" t="n"/>
      <c r="P45" s="26" t="n"/>
      <c r="Q45" s="25">
        <f>IF(C45="","",IF(N(N45)+N(O45)+N(P45)=0,"Not split",IF(ROUND(N(N45)+N(O45)+N(P45),2)=ROUND(H45,2),"OK","MISMATCH")))</f>
        <v/>
      </c>
      <c r="R45" s="26" t="n"/>
      <c r="S45" s="26" t="n"/>
      <c r="T45" s="26" t="n"/>
      <c r="U45" s="27">
        <f>IF(C45="","",N(R45)+N(S45)+N(T45))</f>
        <v/>
      </c>
      <c r="V45" s="27">
        <f>IF(C45="","",H45-U45)</f>
        <v/>
      </c>
      <c r="W45" s="29">
        <f>IFERROR(V45/H45,"")</f>
        <v/>
      </c>
      <c r="X45" s="24" t="n"/>
    </row>
    <row r="46" ht="15" customHeight="1">
      <c r="A46" s="63">
        <f>IF(C46="","",IFERROR(IF(SUMPRODUCT(MAX((tbl_Finance[Job Number]=C46&amp;"")*(tbl_Finance[Xero Invoice No]&lt;&gt;"")*tbl_Finance[Date]))=0,"",SUMPRODUCT(MAX((tbl_Finance[Job Number]=C46&amp;"")*(tbl_Finance[Xero Invoice No]&lt;&gt;"")*tbl_Finance[Date]))),""))</f>
        <v/>
      </c>
      <c r="B46" s="25">
        <f>IF(C46="","",IF(COUNTIFS(tbl_Finance[Job Number],C46&amp;"",tbl_Finance[Xero Invoice No],"&lt;&gt;")=0,"",IFERROR(IF(COUNTIFS(tbl_Finance[Job Number],C46&amp;"",tbl_Finance[Xero Invoice No],LOOKUP(2,1/((tbl_Finance[Job Number]=C46&amp;"")*(tbl_Finance[Xero Invoice No]&lt;&gt;"")),tbl_Finance[Xero Invoice No]))=COUNTIFS(tbl_Finance[Job Number],C46&amp;"",tbl_Finance[Xero Invoice No],"&lt;&gt;"),LOOKUP(2,1/((tbl_Finance[Job Number]=C46&amp;"")*(tbl_Finance[Xero Invoice No]&lt;&gt;"")),tbl_Finance[Xero Invoice No]),LOOKUP(2,1/((tbl_Finance[Job Number]=C46&amp;"")*(tbl_Finance[Xero Invoice No]&lt;&gt;"")),tbl_Finance[Xero Invoice No])&amp;" +more"),"")))</f>
        <v/>
      </c>
      <c r="C46" s="24" t="n"/>
      <c r="D46" s="25">
        <f>IF(C46="","",IF(COUNTIF(lst_Jobs,C46&amp;"")&gt;0,"OK","CHECK"))</f>
        <v/>
      </c>
      <c r="E46" s="25">
        <f>IF(C46="","",IFERROR(INDEX(lst_JobName,MATCH(C46&amp;"",lst_Jobs,0)),""))</f>
        <v/>
      </c>
      <c r="F46" s="25">
        <f>IF(C46="","",IFERROR(INDEX(tbl_Finance[Client],MATCH(C46&amp;"",tbl_Finance[Job Number],0)),""))</f>
        <v/>
      </c>
      <c r="G46" s="28">
        <f>IF(C46="","",COUNTIFS(tbl_Finance[Job Number],C46&amp;"",tbl_Finance[Ex GST],"&lt;&gt;"))</f>
        <v/>
      </c>
      <c r="H46" s="27">
        <f>IF(C46="","",SUMIFS(tbl_Finance[Ex GST],tbl_Finance[Job Number],C46&amp;""))</f>
        <v/>
      </c>
      <c r="I46" s="27">
        <f>IF(C46="","",SUMIFS(tbl_Finance[Ex GST],tbl_Finance[Job Number],C46&amp;"",tbl_Finance[Xero Invoice No],"&lt;&gt;"))</f>
        <v/>
      </c>
      <c r="J46" s="27">
        <f>IF(C46="","",H46-I46)</f>
        <v/>
      </c>
      <c r="K46" s="25">
        <f>IF(C46="","",IF(G46=0,"not invoiced yet",SUBSTITUTE(TRIM(IF(COUNTIFS(tbl_Finance[Job Number],C46&amp;"",tbl_Finance[Cost Centre],"ONSITE")&gt;0,"ONSITE ","")&amp;IF(COUNTIFS(tbl_Finance[Job Number],C46&amp;"",tbl_Finance[Cost Centre],"PRODUCTION")&gt;0,"PRODUCTION ","")&amp;IF(COUNTIFS(tbl_Finance[Job Number],C46&amp;"",tbl_Finance[Cost Centre],"VIDEO")&gt;0,"VIDEO ","")&amp;IF(COUNTIFS(tbl_Finance[Job Number],C46&amp;"",tbl_Finance[Cost Centre],"INTEGRATION")&gt;0,"INTEGRATION ","")&amp;IF(COUNTIFS(tbl_Finance[Job Number],C46&amp;"",tbl_Finance[Cost Centre],"CONSULTING")&gt;0,"CONSULTING ","")&amp;IF(COUNTIFS(tbl_Finance[Job Number],C46&amp;"",tbl_Finance[Cost Centre],"CTS")&gt;0,"CTS ",""))," ",", ")))</f>
        <v/>
      </c>
      <c r="L46" s="24" t="n"/>
      <c r="M46" s="25">
        <f>IF(L46="","",HYPERLINK(IF(LEFT(L46,4)="http",L46,set_QwilrBase&amp;L46),"Open quote"))</f>
        <v/>
      </c>
      <c r="N46" s="26" t="n"/>
      <c r="O46" s="26" t="n"/>
      <c r="P46" s="26" t="n"/>
      <c r="Q46" s="25">
        <f>IF(C46="","",IF(N(N46)+N(O46)+N(P46)=0,"Not split",IF(ROUND(N(N46)+N(O46)+N(P46),2)=ROUND(H46,2),"OK","MISMATCH")))</f>
        <v/>
      </c>
      <c r="R46" s="26" t="n"/>
      <c r="S46" s="26" t="n"/>
      <c r="T46" s="26" t="n"/>
      <c r="U46" s="27">
        <f>IF(C46="","",N(R46)+N(S46)+N(T46))</f>
        <v/>
      </c>
      <c r="V46" s="27">
        <f>IF(C46="","",H46-U46)</f>
        <v/>
      </c>
      <c r="W46" s="29">
        <f>IFERROR(V46/H46,"")</f>
        <v/>
      </c>
      <c r="X46" s="24" t="n"/>
    </row>
    <row r="47" ht="15" customHeight="1">
      <c r="A47" s="63">
        <f>IF(C47="","",IFERROR(IF(SUMPRODUCT(MAX((tbl_Finance[Job Number]=C47&amp;"")*(tbl_Finance[Xero Invoice No]&lt;&gt;"")*tbl_Finance[Date]))=0,"",SUMPRODUCT(MAX((tbl_Finance[Job Number]=C47&amp;"")*(tbl_Finance[Xero Invoice No]&lt;&gt;"")*tbl_Finance[Date]))),""))</f>
        <v/>
      </c>
      <c r="B47" s="25">
        <f>IF(C47="","",IF(COUNTIFS(tbl_Finance[Job Number],C47&amp;"",tbl_Finance[Xero Invoice No],"&lt;&gt;")=0,"",IFERROR(IF(COUNTIFS(tbl_Finance[Job Number],C47&amp;"",tbl_Finance[Xero Invoice No],LOOKUP(2,1/((tbl_Finance[Job Number]=C47&amp;"")*(tbl_Finance[Xero Invoice No]&lt;&gt;"")),tbl_Finance[Xero Invoice No]))=COUNTIFS(tbl_Finance[Job Number],C47&amp;"",tbl_Finance[Xero Invoice No],"&lt;&gt;"),LOOKUP(2,1/((tbl_Finance[Job Number]=C47&amp;"")*(tbl_Finance[Xero Invoice No]&lt;&gt;"")),tbl_Finance[Xero Invoice No]),LOOKUP(2,1/((tbl_Finance[Job Number]=C47&amp;"")*(tbl_Finance[Xero Invoice No]&lt;&gt;"")),tbl_Finance[Xero Invoice No])&amp;" +more"),"")))</f>
        <v/>
      </c>
      <c r="C47" s="24" t="n"/>
      <c r="D47" s="25">
        <f>IF(C47="","",IF(COUNTIF(lst_Jobs,C47&amp;"")&gt;0,"OK","CHECK"))</f>
        <v/>
      </c>
      <c r="E47" s="25">
        <f>IF(C47="","",IFERROR(INDEX(lst_JobName,MATCH(C47&amp;"",lst_Jobs,0)),""))</f>
        <v/>
      </c>
      <c r="F47" s="25">
        <f>IF(C47="","",IFERROR(INDEX(tbl_Finance[Client],MATCH(C47&amp;"",tbl_Finance[Job Number],0)),""))</f>
        <v/>
      </c>
      <c r="G47" s="28">
        <f>IF(C47="","",COUNTIFS(tbl_Finance[Job Number],C47&amp;"",tbl_Finance[Ex GST],"&lt;&gt;"))</f>
        <v/>
      </c>
      <c r="H47" s="27">
        <f>IF(C47="","",SUMIFS(tbl_Finance[Ex GST],tbl_Finance[Job Number],C47&amp;""))</f>
        <v/>
      </c>
      <c r="I47" s="27">
        <f>IF(C47="","",SUMIFS(tbl_Finance[Ex GST],tbl_Finance[Job Number],C47&amp;"",tbl_Finance[Xero Invoice No],"&lt;&gt;"))</f>
        <v/>
      </c>
      <c r="J47" s="27">
        <f>IF(C47="","",H47-I47)</f>
        <v/>
      </c>
      <c r="K47" s="25">
        <f>IF(C47="","",IF(G47=0,"not invoiced yet",SUBSTITUTE(TRIM(IF(COUNTIFS(tbl_Finance[Job Number],C47&amp;"",tbl_Finance[Cost Centre],"ONSITE")&gt;0,"ONSITE ","")&amp;IF(COUNTIFS(tbl_Finance[Job Number],C47&amp;"",tbl_Finance[Cost Centre],"PRODUCTION")&gt;0,"PRODUCTION ","")&amp;IF(COUNTIFS(tbl_Finance[Job Number],C47&amp;"",tbl_Finance[Cost Centre],"VIDEO")&gt;0,"VIDEO ","")&amp;IF(COUNTIFS(tbl_Finance[Job Number],C47&amp;"",tbl_Finance[Cost Centre],"INTEGRATION")&gt;0,"INTEGRATION ","")&amp;IF(COUNTIFS(tbl_Finance[Job Number],C47&amp;"",tbl_Finance[Cost Centre],"CONSULTING")&gt;0,"CONSULTING ","")&amp;IF(COUNTIFS(tbl_Finance[Job Number],C47&amp;"",tbl_Finance[Cost Centre],"CTS")&gt;0,"CTS ",""))," ",", ")))</f>
        <v/>
      </c>
      <c r="L47" s="24" t="n"/>
      <c r="M47" s="25">
        <f>IF(L47="","",HYPERLINK(IF(LEFT(L47,4)="http",L47,set_QwilrBase&amp;L47),"Open quote"))</f>
        <v/>
      </c>
      <c r="N47" s="26" t="n"/>
      <c r="O47" s="26" t="n"/>
      <c r="P47" s="26" t="n"/>
      <c r="Q47" s="25">
        <f>IF(C47="","",IF(N(N47)+N(O47)+N(P47)=0,"Not split",IF(ROUND(N(N47)+N(O47)+N(P47),2)=ROUND(H47,2),"OK","MISMATCH")))</f>
        <v/>
      </c>
      <c r="R47" s="26" t="n"/>
      <c r="S47" s="26" t="n"/>
      <c r="T47" s="26" t="n"/>
      <c r="U47" s="27">
        <f>IF(C47="","",N(R47)+N(S47)+N(T47))</f>
        <v/>
      </c>
      <c r="V47" s="27">
        <f>IF(C47="","",H47-U47)</f>
        <v/>
      </c>
      <c r="W47" s="29">
        <f>IFERROR(V47/H47,"")</f>
        <v/>
      </c>
      <c r="X47" s="24" t="n"/>
    </row>
    <row r="48" ht="15" customHeight="1">
      <c r="A48" s="63">
        <f>IF(C48="","",IFERROR(IF(SUMPRODUCT(MAX((tbl_Finance[Job Number]=C48&amp;"")*(tbl_Finance[Xero Invoice No]&lt;&gt;"")*tbl_Finance[Date]))=0,"",SUMPRODUCT(MAX((tbl_Finance[Job Number]=C48&amp;"")*(tbl_Finance[Xero Invoice No]&lt;&gt;"")*tbl_Finance[Date]))),""))</f>
        <v/>
      </c>
      <c r="B48" s="25">
        <f>IF(C48="","",IF(COUNTIFS(tbl_Finance[Job Number],C48&amp;"",tbl_Finance[Xero Invoice No],"&lt;&gt;")=0,"",IFERROR(IF(COUNTIFS(tbl_Finance[Job Number],C48&amp;"",tbl_Finance[Xero Invoice No],LOOKUP(2,1/((tbl_Finance[Job Number]=C48&amp;"")*(tbl_Finance[Xero Invoice No]&lt;&gt;"")),tbl_Finance[Xero Invoice No]))=COUNTIFS(tbl_Finance[Job Number],C48&amp;"",tbl_Finance[Xero Invoice No],"&lt;&gt;"),LOOKUP(2,1/((tbl_Finance[Job Number]=C48&amp;"")*(tbl_Finance[Xero Invoice No]&lt;&gt;"")),tbl_Finance[Xero Invoice No]),LOOKUP(2,1/((tbl_Finance[Job Number]=C48&amp;"")*(tbl_Finance[Xero Invoice No]&lt;&gt;"")),tbl_Finance[Xero Invoice No])&amp;" +more"),"")))</f>
        <v/>
      </c>
      <c r="C48" s="24" t="n"/>
      <c r="D48" s="25">
        <f>IF(C48="","",IF(COUNTIF(lst_Jobs,C48&amp;"")&gt;0,"OK","CHECK"))</f>
        <v/>
      </c>
      <c r="E48" s="25">
        <f>IF(C48="","",IFERROR(INDEX(lst_JobName,MATCH(C48&amp;"",lst_Jobs,0)),""))</f>
        <v/>
      </c>
      <c r="F48" s="25">
        <f>IF(C48="","",IFERROR(INDEX(tbl_Finance[Client],MATCH(C48&amp;"",tbl_Finance[Job Number],0)),""))</f>
        <v/>
      </c>
      <c r="G48" s="28">
        <f>IF(C48="","",COUNTIFS(tbl_Finance[Job Number],C48&amp;"",tbl_Finance[Ex GST],"&lt;&gt;"))</f>
        <v/>
      </c>
      <c r="H48" s="27">
        <f>IF(C48="","",SUMIFS(tbl_Finance[Ex GST],tbl_Finance[Job Number],C48&amp;""))</f>
        <v/>
      </c>
      <c r="I48" s="27">
        <f>IF(C48="","",SUMIFS(tbl_Finance[Ex GST],tbl_Finance[Job Number],C48&amp;"",tbl_Finance[Xero Invoice No],"&lt;&gt;"))</f>
        <v/>
      </c>
      <c r="J48" s="27">
        <f>IF(C48="","",H48-I48)</f>
        <v/>
      </c>
      <c r="K48" s="25">
        <f>IF(C48="","",IF(G48=0,"not invoiced yet",SUBSTITUTE(TRIM(IF(COUNTIFS(tbl_Finance[Job Number],C48&amp;"",tbl_Finance[Cost Centre],"ONSITE")&gt;0,"ONSITE ","")&amp;IF(COUNTIFS(tbl_Finance[Job Number],C48&amp;"",tbl_Finance[Cost Centre],"PRODUCTION")&gt;0,"PRODUCTION ","")&amp;IF(COUNTIFS(tbl_Finance[Job Number],C48&amp;"",tbl_Finance[Cost Centre],"VIDEO")&gt;0,"VIDEO ","")&amp;IF(COUNTIFS(tbl_Finance[Job Number],C48&amp;"",tbl_Finance[Cost Centre],"INTEGRATION")&gt;0,"INTEGRATION ","")&amp;IF(COUNTIFS(tbl_Finance[Job Number],C48&amp;"",tbl_Finance[Cost Centre],"CONSULTING")&gt;0,"CONSULTING ","")&amp;IF(COUNTIFS(tbl_Finance[Job Number],C48&amp;"",tbl_Finance[Cost Centre],"CTS")&gt;0,"CTS ",""))," ",", ")))</f>
        <v/>
      </c>
      <c r="L48" s="24" t="n"/>
      <c r="M48" s="25">
        <f>IF(L48="","",HYPERLINK(IF(LEFT(L48,4)="http",L48,set_QwilrBase&amp;L48),"Open quote"))</f>
        <v/>
      </c>
      <c r="N48" s="26" t="n"/>
      <c r="O48" s="26" t="n"/>
      <c r="P48" s="26" t="n"/>
      <c r="Q48" s="25">
        <f>IF(C48="","",IF(N(N48)+N(O48)+N(P48)=0,"Not split",IF(ROUND(N(N48)+N(O48)+N(P48),2)=ROUND(H48,2),"OK","MISMATCH")))</f>
        <v/>
      </c>
      <c r="R48" s="26" t="n"/>
      <c r="S48" s="26" t="n"/>
      <c r="T48" s="26" t="n"/>
      <c r="U48" s="27">
        <f>IF(C48="","",N(R48)+N(S48)+N(T48))</f>
        <v/>
      </c>
      <c r="V48" s="27">
        <f>IF(C48="","",H48-U48)</f>
        <v/>
      </c>
      <c r="W48" s="29">
        <f>IFERROR(V48/H48,"")</f>
        <v/>
      </c>
      <c r="X48" s="24" t="n"/>
    </row>
    <row r="49" ht="15" customHeight="1">
      <c r="A49" s="63">
        <f>IF(C49="","",IFERROR(IF(SUMPRODUCT(MAX((tbl_Finance[Job Number]=C49&amp;"")*(tbl_Finance[Xero Invoice No]&lt;&gt;"")*tbl_Finance[Date]))=0,"",SUMPRODUCT(MAX((tbl_Finance[Job Number]=C49&amp;"")*(tbl_Finance[Xero Invoice No]&lt;&gt;"")*tbl_Finance[Date]))),""))</f>
        <v/>
      </c>
      <c r="B49" s="25">
        <f>IF(C49="","",IF(COUNTIFS(tbl_Finance[Job Number],C49&amp;"",tbl_Finance[Xero Invoice No],"&lt;&gt;")=0,"",IFERROR(IF(COUNTIFS(tbl_Finance[Job Number],C49&amp;"",tbl_Finance[Xero Invoice No],LOOKUP(2,1/((tbl_Finance[Job Number]=C49&amp;"")*(tbl_Finance[Xero Invoice No]&lt;&gt;"")),tbl_Finance[Xero Invoice No]))=COUNTIFS(tbl_Finance[Job Number],C49&amp;"",tbl_Finance[Xero Invoice No],"&lt;&gt;"),LOOKUP(2,1/((tbl_Finance[Job Number]=C49&amp;"")*(tbl_Finance[Xero Invoice No]&lt;&gt;"")),tbl_Finance[Xero Invoice No]),LOOKUP(2,1/((tbl_Finance[Job Number]=C49&amp;"")*(tbl_Finance[Xero Invoice No]&lt;&gt;"")),tbl_Finance[Xero Invoice No])&amp;" +more"),"")))</f>
        <v/>
      </c>
      <c r="C49" s="24" t="n"/>
      <c r="D49" s="25">
        <f>IF(C49="","",IF(COUNTIF(lst_Jobs,C49&amp;"")&gt;0,"OK","CHECK"))</f>
        <v/>
      </c>
      <c r="E49" s="25">
        <f>IF(C49="","",IFERROR(INDEX(lst_JobName,MATCH(C49&amp;"",lst_Jobs,0)),""))</f>
        <v/>
      </c>
      <c r="F49" s="25">
        <f>IF(C49="","",IFERROR(INDEX(tbl_Finance[Client],MATCH(C49&amp;"",tbl_Finance[Job Number],0)),""))</f>
        <v/>
      </c>
      <c r="G49" s="28">
        <f>IF(C49="","",COUNTIFS(tbl_Finance[Job Number],C49&amp;"",tbl_Finance[Ex GST],"&lt;&gt;"))</f>
        <v/>
      </c>
      <c r="H49" s="27">
        <f>IF(C49="","",SUMIFS(tbl_Finance[Ex GST],tbl_Finance[Job Number],C49&amp;""))</f>
        <v/>
      </c>
      <c r="I49" s="27">
        <f>IF(C49="","",SUMIFS(tbl_Finance[Ex GST],tbl_Finance[Job Number],C49&amp;"",tbl_Finance[Xero Invoice No],"&lt;&gt;"))</f>
        <v/>
      </c>
      <c r="J49" s="27">
        <f>IF(C49="","",H49-I49)</f>
        <v/>
      </c>
      <c r="K49" s="25">
        <f>IF(C49="","",IF(G49=0,"not invoiced yet",SUBSTITUTE(TRIM(IF(COUNTIFS(tbl_Finance[Job Number],C49&amp;"",tbl_Finance[Cost Centre],"ONSITE")&gt;0,"ONSITE ","")&amp;IF(COUNTIFS(tbl_Finance[Job Number],C49&amp;"",tbl_Finance[Cost Centre],"PRODUCTION")&gt;0,"PRODUCTION ","")&amp;IF(COUNTIFS(tbl_Finance[Job Number],C49&amp;"",tbl_Finance[Cost Centre],"VIDEO")&gt;0,"VIDEO ","")&amp;IF(COUNTIFS(tbl_Finance[Job Number],C49&amp;"",tbl_Finance[Cost Centre],"INTEGRATION")&gt;0,"INTEGRATION ","")&amp;IF(COUNTIFS(tbl_Finance[Job Number],C49&amp;"",tbl_Finance[Cost Centre],"CONSULTING")&gt;0,"CONSULTING ","")&amp;IF(COUNTIFS(tbl_Finance[Job Number],C49&amp;"",tbl_Finance[Cost Centre],"CTS")&gt;0,"CTS ",""))," ",", ")))</f>
        <v/>
      </c>
      <c r="L49" s="24" t="n"/>
      <c r="M49" s="25">
        <f>IF(L49="","",HYPERLINK(IF(LEFT(L49,4)="http",L49,set_QwilrBase&amp;L49),"Open quote"))</f>
        <v/>
      </c>
      <c r="N49" s="26" t="n"/>
      <c r="O49" s="26" t="n"/>
      <c r="P49" s="26" t="n"/>
      <c r="Q49" s="25">
        <f>IF(C49="","",IF(N(N49)+N(O49)+N(P49)=0,"Not split",IF(ROUND(N(N49)+N(O49)+N(P49),2)=ROUND(H49,2),"OK","MISMATCH")))</f>
        <v/>
      </c>
      <c r="R49" s="26" t="n"/>
      <c r="S49" s="26" t="n"/>
      <c r="T49" s="26" t="n"/>
      <c r="U49" s="27">
        <f>IF(C49="","",N(R49)+N(S49)+N(T49))</f>
        <v/>
      </c>
      <c r="V49" s="27">
        <f>IF(C49="","",H49-U49)</f>
        <v/>
      </c>
      <c r="W49" s="29">
        <f>IFERROR(V49/H49,"")</f>
        <v/>
      </c>
      <c r="X49" s="24" t="n"/>
    </row>
    <row r="50" ht="15" customHeight="1">
      <c r="A50" s="63">
        <f>IF(C50="","",IFERROR(IF(SUMPRODUCT(MAX((tbl_Finance[Job Number]=C50&amp;"")*(tbl_Finance[Xero Invoice No]&lt;&gt;"")*tbl_Finance[Date]))=0,"",SUMPRODUCT(MAX((tbl_Finance[Job Number]=C50&amp;"")*(tbl_Finance[Xero Invoice No]&lt;&gt;"")*tbl_Finance[Date]))),""))</f>
        <v/>
      </c>
      <c r="B50" s="25">
        <f>IF(C50="","",IF(COUNTIFS(tbl_Finance[Job Number],C50&amp;"",tbl_Finance[Xero Invoice No],"&lt;&gt;")=0,"",IFERROR(IF(COUNTIFS(tbl_Finance[Job Number],C50&amp;"",tbl_Finance[Xero Invoice No],LOOKUP(2,1/((tbl_Finance[Job Number]=C50&amp;"")*(tbl_Finance[Xero Invoice No]&lt;&gt;"")),tbl_Finance[Xero Invoice No]))=COUNTIFS(tbl_Finance[Job Number],C50&amp;"",tbl_Finance[Xero Invoice No],"&lt;&gt;"),LOOKUP(2,1/((tbl_Finance[Job Number]=C50&amp;"")*(tbl_Finance[Xero Invoice No]&lt;&gt;"")),tbl_Finance[Xero Invoice No]),LOOKUP(2,1/((tbl_Finance[Job Number]=C50&amp;"")*(tbl_Finance[Xero Invoice No]&lt;&gt;"")),tbl_Finance[Xero Invoice No])&amp;" +more"),"")))</f>
        <v/>
      </c>
      <c r="C50" s="24" t="n"/>
      <c r="D50" s="25">
        <f>IF(C50="","",IF(COUNTIF(lst_Jobs,C50&amp;"")&gt;0,"OK","CHECK"))</f>
        <v/>
      </c>
      <c r="E50" s="25">
        <f>IF(C50="","",IFERROR(INDEX(lst_JobName,MATCH(C50&amp;"",lst_Jobs,0)),""))</f>
        <v/>
      </c>
      <c r="F50" s="25">
        <f>IF(C50="","",IFERROR(INDEX(tbl_Finance[Client],MATCH(C50&amp;"",tbl_Finance[Job Number],0)),""))</f>
        <v/>
      </c>
      <c r="G50" s="28">
        <f>IF(C50="","",COUNTIFS(tbl_Finance[Job Number],C50&amp;"",tbl_Finance[Ex GST],"&lt;&gt;"))</f>
        <v/>
      </c>
      <c r="H50" s="27">
        <f>IF(C50="","",SUMIFS(tbl_Finance[Ex GST],tbl_Finance[Job Number],C50&amp;""))</f>
        <v/>
      </c>
      <c r="I50" s="27">
        <f>IF(C50="","",SUMIFS(tbl_Finance[Ex GST],tbl_Finance[Job Number],C50&amp;"",tbl_Finance[Xero Invoice No],"&lt;&gt;"))</f>
        <v/>
      </c>
      <c r="J50" s="27">
        <f>IF(C50="","",H50-I50)</f>
        <v/>
      </c>
      <c r="K50" s="25">
        <f>IF(C50="","",IF(G50=0,"not invoiced yet",SUBSTITUTE(TRIM(IF(COUNTIFS(tbl_Finance[Job Number],C50&amp;"",tbl_Finance[Cost Centre],"ONSITE")&gt;0,"ONSITE ","")&amp;IF(COUNTIFS(tbl_Finance[Job Number],C50&amp;"",tbl_Finance[Cost Centre],"PRODUCTION")&gt;0,"PRODUCTION ","")&amp;IF(COUNTIFS(tbl_Finance[Job Number],C50&amp;"",tbl_Finance[Cost Centre],"VIDEO")&gt;0,"VIDEO ","")&amp;IF(COUNTIFS(tbl_Finance[Job Number],C50&amp;"",tbl_Finance[Cost Centre],"INTEGRATION")&gt;0,"INTEGRATION ","")&amp;IF(COUNTIFS(tbl_Finance[Job Number],C50&amp;"",tbl_Finance[Cost Centre],"CONSULTING")&gt;0,"CONSULTING ","")&amp;IF(COUNTIFS(tbl_Finance[Job Number],C50&amp;"",tbl_Finance[Cost Centre],"CTS")&gt;0,"CTS ",""))," ",", ")))</f>
        <v/>
      </c>
      <c r="L50" s="24" t="n"/>
      <c r="M50" s="25">
        <f>IF(L50="","",HYPERLINK(IF(LEFT(L50,4)="http",L50,set_QwilrBase&amp;L50),"Open quote"))</f>
        <v/>
      </c>
      <c r="N50" s="26" t="n"/>
      <c r="O50" s="26" t="n"/>
      <c r="P50" s="26" t="n"/>
      <c r="Q50" s="25">
        <f>IF(C50="","",IF(N(N50)+N(O50)+N(P50)=0,"Not split",IF(ROUND(N(N50)+N(O50)+N(P50),2)=ROUND(H50,2),"OK","MISMATCH")))</f>
        <v/>
      </c>
      <c r="R50" s="26" t="n"/>
      <c r="S50" s="26" t="n"/>
      <c r="T50" s="26" t="n"/>
      <c r="U50" s="27">
        <f>IF(C50="","",N(R50)+N(S50)+N(T50))</f>
        <v/>
      </c>
      <c r="V50" s="27">
        <f>IF(C50="","",H50-U50)</f>
        <v/>
      </c>
      <c r="W50" s="29">
        <f>IFERROR(V50/H50,"")</f>
        <v/>
      </c>
      <c r="X50" s="24" t="n"/>
    </row>
    <row r="51" ht="15" customHeight="1">
      <c r="A51" s="63">
        <f>IF(C51="","",IFERROR(IF(SUMPRODUCT(MAX((tbl_Finance[Job Number]=C51&amp;"")*(tbl_Finance[Xero Invoice No]&lt;&gt;"")*tbl_Finance[Date]))=0,"",SUMPRODUCT(MAX((tbl_Finance[Job Number]=C51&amp;"")*(tbl_Finance[Xero Invoice No]&lt;&gt;"")*tbl_Finance[Date]))),""))</f>
        <v/>
      </c>
      <c r="B51" s="25">
        <f>IF(C51="","",IF(COUNTIFS(tbl_Finance[Job Number],C51&amp;"",tbl_Finance[Xero Invoice No],"&lt;&gt;")=0,"",IFERROR(IF(COUNTIFS(tbl_Finance[Job Number],C51&amp;"",tbl_Finance[Xero Invoice No],LOOKUP(2,1/((tbl_Finance[Job Number]=C51&amp;"")*(tbl_Finance[Xero Invoice No]&lt;&gt;"")),tbl_Finance[Xero Invoice No]))=COUNTIFS(tbl_Finance[Job Number],C51&amp;"",tbl_Finance[Xero Invoice No],"&lt;&gt;"),LOOKUP(2,1/((tbl_Finance[Job Number]=C51&amp;"")*(tbl_Finance[Xero Invoice No]&lt;&gt;"")),tbl_Finance[Xero Invoice No]),LOOKUP(2,1/((tbl_Finance[Job Number]=C51&amp;"")*(tbl_Finance[Xero Invoice No]&lt;&gt;"")),tbl_Finance[Xero Invoice No])&amp;" +more"),"")))</f>
        <v/>
      </c>
      <c r="C51" s="24" t="n"/>
      <c r="D51" s="25">
        <f>IF(C51="","",IF(COUNTIF(lst_Jobs,C51&amp;"")&gt;0,"OK","CHECK"))</f>
        <v/>
      </c>
      <c r="E51" s="25">
        <f>IF(C51="","",IFERROR(INDEX(lst_JobName,MATCH(C51&amp;"",lst_Jobs,0)),""))</f>
        <v/>
      </c>
      <c r="F51" s="25">
        <f>IF(C51="","",IFERROR(INDEX(tbl_Finance[Client],MATCH(C51&amp;"",tbl_Finance[Job Number],0)),""))</f>
        <v/>
      </c>
      <c r="G51" s="28">
        <f>IF(C51="","",COUNTIFS(tbl_Finance[Job Number],C51&amp;"",tbl_Finance[Ex GST],"&lt;&gt;"))</f>
        <v/>
      </c>
      <c r="H51" s="27">
        <f>IF(C51="","",SUMIFS(tbl_Finance[Ex GST],tbl_Finance[Job Number],C51&amp;""))</f>
        <v/>
      </c>
      <c r="I51" s="27">
        <f>IF(C51="","",SUMIFS(tbl_Finance[Ex GST],tbl_Finance[Job Number],C51&amp;"",tbl_Finance[Xero Invoice No],"&lt;&gt;"))</f>
        <v/>
      </c>
      <c r="J51" s="27">
        <f>IF(C51="","",H51-I51)</f>
        <v/>
      </c>
      <c r="K51" s="25">
        <f>IF(C51="","",IF(G51=0,"not invoiced yet",SUBSTITUTE(TRIM(IF(COUNTIFS(tbl_Finance[Job Number],C51&amp;"",tbl_Finance[Cost Centre],"ONSITE")&gt;0,"ONSITE ","")&amp;IF(COUNTIFS(tbl_Finance[Job Number],C51&amp;"",tbl_Finance[Cost Centre],"PRODUCTION")&gt;0,"PRODUCTION ","")&amp;IF(COUNTIFS(tbl_Finance[Job Number],C51&amp;"",tbl_Finance[Cost Centre],"VIDEO")&gt;0,"VIDEO ","")&amp;IF(COUNTIFS(tbl_Finance[Job Number],C51&amp;"",tbl_Finance[Cost Centre],"INTEGRATION")&gt;0,"INTEGRATION ","")&amp;IF(COUNTIFS(tbl_Finance[Job Number],C51&amp;"",tbl_Finance[Cost Centre],"CONSULTING")&gt;0,"CONSULTING ","")&amp;IF(COUNTIFS(tbl_Finance[Job Number],C51&amp;"",tbl_Finance[Cost Centre],"CTS")&gt;0,"CTS ",""))," ",", ")))</f>
        <v/>
      </c>
      <c r="L51" s="24" t="n"/>
      <c r="M51" s="25">
        <f>IF(L51="","",HYPERLINK(IF(LEFT(L51,4)="http",L51,set_QwilrBase&amp;L51),"Open quote"))</f>
        <v/>
      </c>
      <c r="N51" s="26" t="n"/>
      <c r="O51" s="26" t="n"/>
      <c r="P51" s="26" t="n"/>
      <c r="Q51" s="25">
        <f>IF(C51="","",IF(N(N51)+N(O51)+N(P51)=0,"Not split",IF(ROUND(N(N51)+N(O51)+N(P51),2)=ROUND(H51,2),"OK","MISMATCH")))</f>
        <v/>
      </c>
      <c r="R51" s="26" t="n"/>
      <c r="S51" s="26" t="n"/>
      <c r="T51" s="26" t="n"/>
      <c r="U51" s="27">
        <f>IF(C51="","",N(R51)+N(S51)+N(T51))</f>
        <v/>
      </c>
      <c r="V51" s="27">
        <f>IF(C51="","",H51-U51)</f>
        <v/>
      </c>
      <c r="W51" s="29">
        <f>IFERROR(V51/H51,"")</f>
        <v/>
      </c>
      <c r="X51" s="24" t="n"/>
    </row>
    <row r="52" ht="15" customHeight="1">
      <c r="A52" s="63">
        <f>IF(C52="","",IFERROR(IF(SUMPRODUCT(MAX((tbl_Finance[Job Number]=C52&amp;"")*(tbl_Finance[Xero Invoice No]&lt;&gt;"")*tbl_Finance[Date]))=0,"",SUMPRODUCT(MAX((tbl_Finance[Job Number]=C52&amp;"")*(tbl_Finance[Xero Invoice No]&lt;&gt;"")*tbl_Finance[Date]))),""))</f>
        <v/>
      </c>
      <c r="B52" s="25">
        <f>IF(C52="","",IF(COUNTIFS(tbl_Finance[Job Number],C52&amp;"",tbl_Finance[Xero Invoice No],"&lt;&gt;")=0,"",IFERROR(IF(COUNTIFS(tbl_Finance[Job Number],C52&amp;"",tbl_Finance[Xero Invoice No],LOOKUP(2,1/((tbl_Finance[Job Number]=C52&amp;"")*(tbl_Finance[Xero Invoice No]&lt;&gt;"")),tbl_Finance[Xero Invoice No]))=COUNTIFS(tbl_Finance[Job Number],C52&amp;"",tbl_Finance[Xero Invoice No],"&lt;&gt;"),LOOKUP(2,1/((tbl_Finance[Job Number]=C52&amp;"")*(tbl_Finance[Xero Invoice No]&lt;&gt;"")),tbl_Finance[Xero Invoice No]),LOOKUP(2,1/((tbl_Finance[Job Number]=C52&amp;"")*(tbl_Finance[Xero Invoice No]&lt;&gt;"")),tbl_Finance[Xero Invoice No])&amp;" +more"),"")))</f>
        <v/>
      </c>
      <c r="C52" s="24" t="n"/>
      <c r="D52" s="25">
        <f>IF(C52="","",IF(COUNTIF(lst_Jobs,C52&amp;"")&gt;0,"OK","CHECK"))</f>
        <v/>
      </c>
      <c r="E52" s="25">
        <f>IF(C52="","",IFERROR(INDEX(lst_JobName,MATCH(C52&amp;"",lst_Jobs,0)),""))</f>
        <v/>
      </c>
      <c r="F52" s="25">
        <f>IF(C52="","",IFERROR(INDEX(tbl_Finance[Client],MATCH(C52&amp;"",tbl_Finance[Job Number],0)),""))</f>
        <v/>
      </c>
      <c r="G52" s="28">
        <f>IF(C52="","",COUNTIFS(tbl_Finance[Job Number],C52&amp;"",tbl_Finance[Ex GST],"&lt;&gt;"))</f>
        <v/>
      </c>
      <c r="H52" s="27">
        <f>IF(C52="","",SUMIFS(tbl_Finance[Ex GST],tbl_Finance[Job Number],C52&amp;""))</f>
        <v/>
      </c>
      <c r="I52" s="27">
        <f>IF(C52="","",SUMIFS(tbl_Finance[Ex GST],tbl_Finance[Job Number],C52&amp;"",tbl_Finance[Xero Invoice No],"&lt;&gt;"))</f>
        <v/>
      </c>
      <c r="J52" s="27">
        <f>IF(C52="","",H52-I52)</f>
        <v/>
      </c>
      <c r="K52" s="25">
        <f>IF(C52="","",IF(G52=0,"not invoiced yet",SUBSTITUTE(TRIM(IF(COUNTIFS(tbl_Finance[Job Number],C52&amp;"",tbl_Finance[Cost Centre],"ONSITE")&gt;0,"ONSITE ","")&amp;IF(COUNTIFS(tbl_Finance[Job Number],C52&amp;"",tbl_Finance[Cost Centre],"PRODUCTION")&gt;0,"PRODUCTION ","")&amp;IF(COUNTIFS(tbl_Finance[Job Number],C52&amp;"",tbl_Finance[Cost Centre],"VIDEO")&gt;0,"VIDEO ","")&amp;IF(COUNTIFS(tbl_Finance[Job Number],C52&amp;"",tbl_Finance[Cost Centre],"INTEGRATION")&gt;0,"INTEGRATION ","")&amp;IF(COUNTIFS(tbl_Finance[Job Number],C52&amp;"",tbl_Finance[Cost Centre],"CONSULTING")&gt;0,"CONSULTING ","")&amp;IF(COUNTIFS(tbl_Finance[Job Number],C52&amp;"",tbl_Finance[Cost Centre],"CTS")&gt;0,"CTS ",""))," ",", ")))</f>
        <v/>
      </c>
      <c r="L52" s="24" t="n"/>
      <c r="M52" s="25">
        <f>IF(L52="","",HYPERLINK(IF(LEFT(L52,4)="http",L52,set_QwilrBase&amp;L52),"Open quote"))</f>
        <v/>
      </c>
      <c r="N52" s="26" t="n"/>
      <c r="O52" s="26" t="n"/>
      <c r="P52" s="26" t="n"/>
      <c r="Q52" s="25">
        <f>IF(C52="","",IF(N(N52)+N(O52)+N(P52)=0,"Not split",IF(ROUND(N(N52)+N(O52)+N(P52),2)=ROUND(H52,2),"OK","MISMATCH")))</f>
        <v/>
      </c>
      <c r="R52" s="26" t="n"/>
      <c r="S52" s="26" t="n"/>
      <c r="T52" s="26" t="n"/>
      <c r="U52" s="27">
        <f>IF(C52="","",N(R52)+N(S52)+N(T52))</f>
        <v/>
      </c>
      <c r="V52" s="27">
        <f>IF(C52="","",H52-U52)</f>
        <v/>
      </c>
      <c r="W52" s="29">
        <f>IFERROR(V52/H52,"")</f>
        <v/>
      </c>
      <c r="X52" s="24" t="n"/>
    </row>
    <row r="53" ht="15" customHeight="1">
      <c r="A53" s="63">
        <f>IF(C53="","",IFERROR(IF(SUMPRODUCT(MAX((tbl_Finance[Job Number]=C53&amp;"")*(tbl_Finance[Xero Invoice No]&lt;&gt;"")*tbl_Finance[Date]))=0,"",SUMPRODUCT(MAX((tbl_Finance[Job Number]=C53&amp;"")*(tbl_Finance[Xero Invoice No]&lt;&gt;"")*tbl_Finance[Date]))),""))</f>
        <v/>
      </c>
      <c r="B53" s="25">
        <f>IF(C53="","",IF(COUNTIFS(tbl_Finance[Job Number],C53&amp;"",tbl_Finance[Xero Invoice No],"&lt;&gt;")=0,"",IFERROR(IF(COUNTIFS(tbl_Finance[Job Number],C53&amp;"",tbl_Finance[Xero Invoice No],LOOKUP(2,1/((tbl_Finance[Job Number]=C53&amp;"")*(tbl_Finance[Xero Invoice No]&lt;&gt;"")),tbl_Finance[Xero Invoice No]))=COUNTIFS(tbl_Finance[Job Number],C53&amp;"",tbl_Finance[Xero Invoice No],"&lt;&gt;"),LOOKUP(2,1/((tbl_Finance[Job Number]=C53&amp;"")*(tbl_Finance[Xero Invoice No]&lt;&gt;"")),tbl_Finance[Xero Invoice No]),LOOKUP(2,1/((tbl_Finance[Job Number]=C53&amp;"")*(tbl_Finance[Xero Invoice No]&lt;&gt;"")),tbl_Finance[Xero Invoice No])&amp;" +more"),"")))</f>
        <v/>
      </c>
      <c r="C53" s="24" t="n"/>
      <c r="D53" s="25">
        <f>IF(C53="","",IF(COUNTIF(lst_Jobs,C53&amp;"")&gt;0,"OK","CHECK"))</f>
        <v/>
      </c>
      <c r="E53" s="25">
        <f>IF(C53="","",IFERROR(INDEX(lst_JobName,MATCH(C53&amp;"",lst_Jobs,0)),""))</f>
        <v/>
      </c>
      <c r="F53" s="25">
        <f>IF(C53="","",IFERROR(INDEX(tbl_Finance[Client],MATCH(C53&amp;"",tbl_Finance[Job Number],0)),""))</f>
        <v/>
      </c>
      <c r="G53" s="28">
        <f>IF(C53="","",COUNTIFS(tbl_Finance[Job Number],C53&amp;"",tbl_Finance[Ex GST],"&lt;&gt;"))</f>
        <v/>
      </c>
      <c r="H53" s="27">
        <f>IF(C53="","",SUMIFS(tbl_Finance[Ex GST],tbl_Finance[Job Number],C53&amp;""))</f>
        <v/>
      </c>
      <c r="I53" s="27">
        <f>IF(C53="","",SUMIFS(tbl_Finance[Ex GST],tbl_Finance[Job Number],C53&amp;"",tbl_Finance[Xero Invoice No],"&lt;&gt;"))</f>
        <v/>
      </c>
      <c r="J53" s="27">
        <f>IF(C53="","",H53-I53)</f>
        <v/>
      </c>
      <c r="K53" s="25">
        <f>IF(C53="","",IF(G53=0,"not invoiced yet",SUBSTITUTE(TRIM(IF(COUNTIFS(tbl_Finance[Job Number],C53&amp;"",tbl_Finance[Cost Centre],"ONSITE")&gt;0,"ONSITE ","")&amp;IF(COUNTIFS(tbl_Finance[Job Number],C53&amp;"",tbl_Finance[Cost Centre],"PRODUCTION")&gt;0,"PRODUCTION ","")&amp;IF(COUNTIFS(tbl_Finance[Job Number],C53&amp;"",tbl_Finance[Cost Centre],"VIDEO")&gt;0,"VIDEO ","")&amp;IF(COUNTIFS(tbl_Finance[Job Number],C53&amp;"",tbl_Finance[Cost Centre],"INTEGRATION")&gt;0,"INTEGRATION ","")&amp;IF(COUNTIFS(tbl_Finance[Job Number],C53&amp;"",tbl_Finance[Cost Centre],"CONSULTING")&gt;0,"CONSULTING ","")&amp;IF(COUNTIFS(tbl_Finance[Job Number],C53&amp;"",tbl_Finance[Cost Centre],"CTS")&gt;0,"CTS ",""))," ",", ")))</f>
        <v/>
      </c>
      <c r="L53" s="24" t="n"/>
      <c r="M53" s="25">
        <f>IF(L53="","",HYPERLINK(IF(LEFT(L53,4)="http",L53,set_QwilrBase&amp;L53),"Open quote"))</f>
        <v/>
      </c>
      <c r="N53" s="26" t="n"/>
      <c r="O53" s="26" t="n"/>
      <c r="P53" s="26" t="n"/>
      <c r="Q53" s="25">
        <f>IF(C53="","",IF(N(N53)+N(O53)+N(P53)=0,"Not split",IF(ROUND(N(N53)+N(O53)+N(P53),2)=ROUND(H53,2),"OK","MISMATCH")))</f>
        <v/>
      </c>
      <c r="R53" s="26" t="n"/>
      <c r="S53" s="26" t="n"/>
      <c r="T53" s="26" t="n"/>
      <c r="U53" s="27">
        <f>IF(C53="","",N(R53)+N(S53)+N(T53))</f>
        <v/>
      </c>
      <c r="V53" s="27">
        <f>IF(C53="","",H53-U53)</f>
        <v/>
      </c>
      <c r="W53" s="29">
        <f>IFERROR(V53/H53,"")</f>
        <v/>
      </c>
      <c r="X53" s="24" t="n"/>
    </row>
    <row r="54" ht="15" customHeight="1">
      <c r="A54" s="63">
        <f>IF(C54="","",IFERROR(IF(SUMPRODUCT(MAX((tbl_Finance[Job Number]=C54&amp;"")*(tbl_Finance[Xero Invoice No]&lt;&gt;"")*tbl_Finance[Date]))=0,"",SUMPRODUCT(MAX((tbl_Finance[Job Number]=C54&amp;"")*(tbl_Finance[Xero Invoice No]&lt;&gt;"")*tbl_Finance[Date]))),""))</f>
        <v/>
      </c>
      <c r="B54" s="25">
        <f>IF(C54="","",IF(COUNTIFS(tbl_Finance[Job Number],C54&amp;"",tbl_Finance[Xero Invoice No],"&lt;&gt;")=0,"",IFERROR(IF(COUNTIFS(tbl_Finance[Job Number],C54&amp;"",tbl_Finance[Xero Invoice No],LOOKUP(2,1/((tbl_Finance[Job Number]=C54&amp;"")*(tbl_Finance[Xero Invoice No]&lt;&gt;"")),tbl_Finance[Xero Invoice No]))=COUNTIFS(tbl_Finance[Job Number],C54&amp;"",tbl_Finance[Xero Invoice No],"&lt;&gt;"),LOOKUP(2,1/((tbl_Finance[Job Number]=C54&amp;"")*(tbl_Finance[Xero Invoice No]&lt;&gt;"")),tbl_Finance[Xero Invoice No]),LOOKUP(2,1/((tbl_Finance[Job Number]=C54&amp;"")*(tbl_Finance[Xero Invoice No]&lt;&gt;"")),tbl_Finance[Xero Invoice No])&amp;" +more"),"")))</f>
        <v/>
      </c>
      <c r="C54" s="24" t="n"/>
      <c r="D54" s="25">
        <f>IF(C54="","",IF(COUNTIF(lst_Jobs,C54&amp;"")&gt;0,"OK","CHECK"))</f>
        <v/>
      </c>
      <c r="E54" s="25">
        <f>IF(C54="","",IFERROR(INDEX(lst_JobName,MATCH(C54&amp;"",lst_Jobs,0)),""))</f>
        <v/>
      </c>
      <c r="F54" s="25">
        <f>IF(C54="","",IFERROR(INDEX(tbl_Finance[Client],MATCH(C54&amp;"",tbl_Finance[Job Number],0)),""))</f>
        <v/>
      </c>
      <c r="G54" s="28">
        <f>IF(C54="","",COUNTIFS(tbl_Finance[Job Number],C54&amp;"",tbl_Finance[Ex GST],"&lt;&gt;"))</f>
        <v/>
      </c>
      <c r="H54" s="27">
        <f>IF(C54="","",SUMIFS(tbl_Finance[Ex GST],tbl_Finance[Job Number],C54&amp;""))</f>
        <v/>
      </c>
      <c r="I54" s="27">
        <f>IF(C54="","",SUMIFS(tbl_Finance[Ex GST],tbl_Finance[Job Number],C54&amp;"",tbl_Finance[Xero Invoice No],"&lt;&gt;"))</f>
        <v/>
      </c>
      <c r="J54" s="27">
        <f>IF(C54="","",H54-I54)</f>
        <v/>
      </c>
      <c r="K54" s="25">
        <f>IF(C54="","",IF(G54=0,"not invoiced yet",SUBSTITUTE(TRIM(IF(COUNTIFS(tbl_Finance[Job Number],C54&amp;"",tbl_Finance[Cost Centre],"ONSITE")&gt;0,"ONSITE ","")&amp;IF(COUNTIFS(tbl_Finance[Job Number],C54&amp;"",tbl_Finance[Cost Centre],"PRODUCTION")&gt;0,"PRODUCTION ","")&amp;IF(COUNTIFS(tbl_Finance[Job Number],C54&amp;"",tbl_Finance[Cost Centre],"VIDEO")&gt;0,"VIDEO ","")&amp;IF(COUNTIFS(tbl_Finance[Job Number],C54&amp;"",tbl_Finance[Cost Centre],"INTEGRATION")&gt;0,"INTEGRATION ","")&amp;IF(COUNTIFS(tbl_Finance[Job Number],C54&amp;"",tbl_Finance[Cost Centre],"CONSULTING")&gt;0,"CONSULTING ","")&amp;IF(COUNTIFS(tbl_Finance[Job Number],C54&amp;"",tbl_Finance[Cost Centre],"CTS")&gt;0,"CTS ",""))," ",", ")))</f>
        <v/>
      </c>
      <c r="L54" s="24" t="n"/>
      <c r="M54" s="25">
        <f>IF(L54="","",HYPERLINK(IF(LEFT(L54,4)="http",L54,set_QwilrBase&amp;L54),"Open quote"))</f>
        <v/>
      </c>
      <c r="N54" s="26" t="n"/>
      <c r="O54" s="26" t="n"/>
      <c r="P54" s="26" t="n"/>
      <c r="Q54" s="25">
        <f>IF(C54="","",IF(N(N54)+N(O54)+N(P54)=0,"Not split",IF(ROUND(N(N54)+N(O54)+N(P54),2)=ROUND(H54,2),"OK","MISMATCH")))</f>
        <v/>
      </c>
      <c r="R54" s="26" t="n"/>
      <c r="S54" s="26" t="n"/>
      <c r="T54" s="26" t="n"/>
      <c r="U54" s="27">
        <f>IF(C54="","",N(R54)+N(S54)+N(T54))</f>
        <v/>
      </c>
      <c r="V54" s="27">
        <f>IF(C54="","",H54-U54)</f>
        <v/>
      </c>
      <c r="W54" s="29">
        <f>IFERROR(V54/H54,"")</f>
        <v/>
      </c>
      <c r="X54" s="24" t="n"/>
    </row>
    <row r="55" ht="15" customHeight="1">
      <c r="A55" s="63">
        <f>IF(C55="","",IFERROR(IF(SUMPRODUCT(MAX((tbl_Finance[Job Number]=C55&amp;"")*(tbl_Finance[Xero Invoice No]&lt;&gt;"")*tbl_Finance[Date]))=0,"",SUMPRODUCT(MAX((tbl_Finance[Job Number]=C55&amp;"")*(tbl_Finance[Xero Invoice No]&lt;&gt;"")*tbl_Finance[Date]))),""))</f>
        <v/>
      </c>
      <c r="B55" s="25">
        <f>IF(C55="","",IF(COUNTIFS(tbl_Finance[Job Number],C55&amp;"",tbl_Finance[Xero Invoice No],"&lt;&gt;")=0,"",IFERROR(IF(COUNTIFS(tbl_Finance[Job Number],C55&amp;"",tbl_Finance[Xero Invoice No],LOOKUP(2,1/((tbl_Finance[Job Number]=C55&amp;"")*(tbl_Finance[Xero Invoice No]&lt;&gt;"")),tbl_Finance[Xero Invoice No]))=COUNTIFS(tbl_Finance[Job Number],C55&amp;"",tbl_Finance[Xero Invoice No],"&lt;&gt;"),LOOKUP(2,1/((tbl_Finance[Job Number]=C55&amp;"")*(tbl_Finance[Xero Invoice No]&lt;&gt;"")),tbl_Finance[Xero Invoice No]),LOOKUP(2,1/((tbl_Finance[Job Number]=C55&amp;"")*(tbl_Finance[Xero Invoice No]&lt;&gt;"")),tbl_Finance[Xero Invoice No])&amp;" +more"),"")))</f>
        <v/>
      </c>
      <c r="C55" s="24" t="n"/>
      <c r="D55" s="25">
        <f>IF(C55="","",IF(COUNTIF(lst_Jobs,C55&amp;"")&gt;0,"OK","CHECK"))</f>
        <v/>
      </c>
      <c r="E55" s="25">
        <f>IF(C55="","",IFERROR(INDEX(lst_JobName,MATCH(C55&amp;"",lst_Jobs,0)),""))</f>
        <v/>
      </c>
      <c r="F55" s="25">
        <f>IF(C55="","",IFERROR(INDEX(tbl_Finance[Client],MATCH(C55&amp;"",tbl_Finance[Job Number],0)),""))</f>
        <v/>
      </c>
      <c r="G55" s="28">
        <f>IF(C55="","",COUNTIFS(tbl_Finance[Job Number],C55&amp;"",tbl_Finance[Ex GST],"&lt;&gt;"))</f>
        <v/>
      </c>
      <c r="H55" s="27">
        <f>IF(C55="","",SUMIFS(tbl_Finance[Ex GST],tbl_Finance[Job Number],C55&amp;""))</f>
        <v/>
      </c>
      <c r="I55" s="27">
        <f>IF(C55="","",SUMIFS(tbl_Finance[Ex GST],tbl_Finance[Job Number],C55&amp;"",tbl_Finance[Xero Invoice No],"&lt;&gt;"))</f>
        <v/>
      </c>
      <c r="J55" s="27">
        <f>IF(C55="","",H55-I55)</f>
        <v/>
      </c>
      <c r="K55" s="25">
        <f>IF(C55="","",IF(G55=0,"not invoiced yet",SUBSTITUTE(TRIM(IF(COUNTIFS(tbl_Finance[Job Number],C55&amp;"",tbl_Finance[Cost Centre],"ONSITE")&gt;0,"ONSITE ","")&amp;IF(COUNTIFS(tbl_Finance[Job Number],C55&amp;"",tbl_Finance[Cost Centre],"PRODUCTION")&gt;0,"PRODUCTION ","")&amp;IF(COUNTIFS(tbl_Finance[Job Number],C55&amp;"",tbl_Finance[Cost Centre],"VIDEO")&gt;0,"VIDEO ","")&amp;IF(COUNTIFS(tbl_Finance[Job Number],C55&amp;"",tbl_Finance[Cost Centre],"INTEGRATION")&gt;0,"INTEGRATION ","")&amp;IF(COUNTIFS(tbl_Finance[Job Number],C55&amp;"",tbl_Finance[Cost Centre],"CONSULTING")&gt;0,"CONSULTING ","")&amp;IF(COUNTIFS(tbl_Finance[Job Number],C55&amp;"",tbl_Finance[Cost Centre],"CTS")&gt;0,"CTS ",""))," ",", ")))</f>
        <v/>
      </c>
      <c r="L55" s="24" t="n"/>
      <c r="M55" s="25">
        <f>IF(L55="","",HYPERLINK(IF(LEFT(L55,4)="http",L55,set_QwilrBase&amp;L55),"Open quote"))</f>
        <v/>
      </c>
      <c r="N55" s="26" t="n"/>
      <c r="O55" s="26" t="n"/>
      <c r="P55" s="26" t="n"/>
      <c r="Q55" s="25">
        <f>IF(C55="","",IF(N(N55)+N(O55)+N(P55)=0,"Not split",IF(ROUND(N(N55)+N(O55)+N(P55),2)=ROUND(H55,2),"OK","MISMATCH")))</f>
        <v/>
      </c>
      <c r="R55" s="26" t="n"/>
      <c r="S55" s="26" t="n"/>
      <c r="T55" s="26" t="n"/>
      <c r="U55" s="27">
        <f>IF(C55="","",N(R55)+N(S55)+N(T55))</f>
        <v/>
      </c>
      <c r="V55" s="27">
        <f>IF(C55="","",H55-U55)</f>
        <v/>
      </c>
      <c r="W55" s="29">
        <f>IFERROR(V55/H55,"")</f>
        <v/>
      </c>
      <c r="X55" s="24" t="n"/>
    </row>
    <row r="56" ht="15" customHeight="1">
      <c r="A56" s="63">
        <f>IF(C56="","",IFERROR(IF(SUMPRODUCT(MAX((tbl_Finance[Job Number]=C56&amp;"")*(tbl_Finance[Xero Invoice No]&lt;&gt;"")*tbl_Finance[Date]))=0,"",SUMPRODUCT(MAX((tbl_Finance[Job Number]=C56&amp;"")*(tbl_Finance[Xero Invoice No]&lt;&gt;"")*tbl_Finance[Date]))),""))</f>
        <v/>
      </c>
      <c r="B56" s="25">
        <f>IF(C56="","",IF(COUNTIFS(tbl_Finance[Job Number],C56&amp;"",tbl_Finance[Xero Invoice No],"&lt;&gt;")=0,"",IFERROR(IF(COUNTIFS(tbl_Finance[Job Number],C56&amp;"",tbl_Finance[Xero Invoice No],LOOKUP(2,1/((tbl_Finance[Job Number]=C56&amp;"")*(tbl_Finance[Xero Invoice No]&lt;&gt;"")),tbl_Finance[Xero Invoice No]))=COUNTIFS(tbl_Finance[Job Number],C56&amp;"",tbl_Finance[Xero Invoice No],"&lt;&gt;"),LOOKUP(2,1/((tbl_Finance[Job Number]=C56&amp;"")*(tbl_Finance[Xero Invoice No]&lt;&gt;"")),tbl_Finance[Xero Invoice No]),LOOKUP(2,1/((tbl_Finance[Job Number]=C56&amp;"")*(tbl_Finance[Xero Invoice No]&lt;&gt;"")),tbl_Finance[Xero Invoice No])&amp;" +more"),"")))</f>
        <v/>
      </c>
      <c r="C56" s="24" t="n"/>
      <c r="D56" s="25">
        <f>IF(C56="","",IF(COUNTIF(lst_Jobs,C56&amp;"")&gt;0,"OK","CHECK"))</f>
        <v/>
      </c>
      <c r="E56" s="25">
        <f>IF(C56="","",IFERROR(INDEX(lst_JobName,MATCH(C56&amp;"",lst_Jobs,0)),""))</f>
        <v/>
      </c>
      <c r="F56" s="25">
        <f>IF(C56="","",IFERROR(INDEX(tbl_Finance[Client],MATCH(C56&amp;"",tbl_Finance[Job Number],0)),""))</f>
        <v/>
      </c>
      <c r="G56" s="28">
        <f>IF(C56="","",COUNTIFS(tbl_Finance[Job Number],C56&amp;"",tbl_Finance[Ex GST],"&lt;&gt;"))</f>
        <v/>
      </c>
      <c r="H56" s="27">
        <f>IF(C56="","",SUMIFS(tbl_Finance[Ex GST],tbl_Finance[Job Number],C56&amp;""))</f>
        <v/>
      </c>
      <c r="I56" s="27">
        <f>IF(C56="","",SUMIFS(tbl_Finance[Ex GST],tbl_Finance[Job Number],C56&amp;"",tbl_Finance[Xero Invoice No],"&lt;&gt;"))</f>
        <v/>
      </c>
      <c r="J56" s="27">
        <f>IF(C56="","",H56-I56)</f>
        <v/>
      </c>
      <c r="K56" s="25">
        <f>IF(C56="","",IF(G56=0,"not invoiced yet",SUBSTITUTE(TRIM(IF(COUNTIFS(tbl_Finance[Job Number],C56&amp;"",tbl_Finance[Cost Centre],"ONSITE")&gt;0,"ONSITE ","")&amp;IF(COUNTIFS(tbl_Finance[Job Number],C56&amp;"",tbl_Finance[Cost Centre],"PRODUCTION")&gt;0,"PRODUCTION ","")&amp;IF(COUNTIFS(tbl_Finance[Job Number],C56&amp;"",tbl_Finance[Cost Centre],"VIDEO")&gt;0,"VIDEO ","")&amp;IF(COUNTIFS(tbl_Finance[Job Number],C56&amp;"",tbl_Finance[Cost Centre],"INTEGRATION")&gt;0,"INTEGRATION ","")&amp;IF(COUNTIFS(tbl_Finance[Job Number],C56&amp;"",tbl_Finance[Cost Centre],"CONSULTING")&gt;0,"CONSULTING ","")&amp;IF(COUNTIFS(tbl_Finance[Job Number],C56&amp;"",tbl_Finance[Cost Centre],"CTS")&gt;0,"CTS ",""))," ",", ")))</f>
        <v/>
      </c>
      <c r="L56" s="24" t="n"/>
      <c r="M56" s="25">
        <f>IF(L56="","",HYPERLINK(IF(LEFT(L56,4)="http",L56,set_QwilrBase&amp;L56),"Open quote"))</f>
        <v/>
      </c>
      <c r="N56" s="26" t="n"/>
      <c r="O56" s="26" t="n"/>
      <c r="P56" s="26" t="n"/>
      <c r="Q56" s="25">
        <f>IF(C56="","",IF(N(N56)+N(O56)+N(P56)=0,"Not split",IF(ROUND(N(N56)+N(O56)+N(P56),2)=ROUND(H56,2),"OK","MISMATCH")))</f>
        <v/>
      </c>
      <c r="R56" s="26" t="n"/>
      <c r="S56" s="26" t="n"/>
      <c r="T56" s="26" t="n"/>
      <c r="U56" s="27">
        <f>IF(C56="","",N(R56)+N(S56)+N(T56))</f>
        <v/>
      </c>
      <c r="V56" s="27">
        <f>IF(C56="","",H56-U56)</f>
        <v/>
      </c>
      <c r="W56" s="29">
        <f>IFERROR(V56/H56,"")</f>
        <v/>
      </c>
      <c r="X56" s="24" t="n"/>
    </row>
    <row r="57" ht="15" customHeight="1">
      <c r="A57" s="63">
        <f>IF(C57="","",IFERROR(IF(SUMPRODUCT(MAX((tbl_Finance[Job Number]=C57&amp;"")*(tbl_Finance[Xero Invoice No]&lt;&gt;"")*tbl_Finance[Date]))=0,"",SUMPRODUCT(MAX((tbl_Finance[Job Number]=C57&amp;"")*(tbl_Finance[Xero Invoice No]&lt;&gt;"")*tbl_Finance[Date]))),""))</f>
        <v/>
      </c>
      <c r="B57" s="25">
        <f>IF(C57="","",IF(COUNTIFS(tbl_Finance[Job Number],C57&amp;"",tbl_Finance[Xero Invoice No],"&lt;&gt;")=0,"",IFERROR(IF(COUNTIFS(tbl_Finance[Job Number],C57&amp;"",tbl_Finance[Xero Invoice No],LOOKUP(2,1/((tbl_Finance[Job Number]=C57&amp;"")*(tbl_Finance[Xero Invoice No]&lt;&gt;"")),tbl_Finance[Xero Invoice No]))=COUNTIFS(tbl_Finance[Job Number],C57&amp;"",tbl_Finance[Xero Invoice No],"&lt;&gt;"),LOOKUP(2,1/((tbl_Finance[Job Number]=C57&amp;"")*(tbl_Finance[Xero Invoice No]&lt;&gt;"")),tbl_Finance[Xero Invoice No]),LOOKUP(2,1/((tbl_Finance[Job Number]=C57&amp;"")*(tbl_Finance[Xero Invoice No]&lt;&gt;"")),tbl_Finance[Xero Invoice No])&amp;" +more"),"")))</f>
        <v/>
      </c>
      <c r="C57" s="24" t="n"/>
      <c r="D57" s="25">
        <f>IF(C57="","",IF(COUNTIF(lst_Jobs,C57&amp;"")&gt;0,"OK","CHECK"))</f>
        <v/>
      </c>
      <c r="E57" s="25">
        <f>IF(C57="","",IFERROR(INDEX(lst_JobName,MATCH(C57&amp;"",lst_Jobs,0)),""))</f>
        <v/>
      </c>
      <c r="F57" s="25">
        <f>IF(C57="","",IFERROR(INDEX(tbl_Finance[Client],MATCH(C57&amp;"",tbl_Finance[Job Number],0)),""))</f>
        <v/>
      </c>
      <c r="G57" s="28">
        <f>IF(C57="","",COUNTIFS(tbl_Finance[Job Number],C57&amp;"",tbl_Finance[Ex GST],"&lt;&gt;"))</f>
        <v/>
      </c>
      <c r="H57" s="27">
        <f>IF(C57="","",SUMIFS(tbl_Finance[Ex GST],tbl_Finance[Job Number],C57&amp;""))</f>
        <v/>
      </c>
      <c r="I57" s="27">
        <f>IF(C57="","",SUMIFS(tbl_Finance[Ex GST],tbl_Finance[Job Number],C57&amp;"",tbl_Finance[Xero Invoice No],"&lt;&gt;"))</f>
        <v/>
      </c>
      <c r="J57" s="27">
        <f>IF(C57="","",H57-I57)</f>
        <v/>
      </c>
      <c r="K57" s="25">
        <f>IF(C57="","",IF(G57=0,"not invoiced yet",SUBSTITUTE(TRIM(IF(COUNTIFS(tbl_Finance[Job Number],C57&amp;"",tbl_Finance[Cost Centre],"ONSITE")&gt;0,"ONSITE ","")&amp;IF(COUNTIFS(tbl_Finance[Job Number],C57&amp;"",tbl_Finance[Cost Centre],"PRODUCTION")&gt;0,"PRODUCTION ","")&amp;IF(COUNTIFS(tbl_Finance[Job Number],C57&amp;"",tbl_Finance[Cost Centre],"VIDEO")&gt;0,"VIDEO ","")&amp;IF(COUNTIFS(tbl_Finance[Job Number],C57&amp;"",tbl_Finance[Cost Centre],"INTEGRATION")&gt;0,"INTEGRATION ","")&amp;IF(COUNTIFS(tbl_Finance[Job Number],C57&amp;"",tbl_Finance[Cost Centre],"CONSULTING")&gt;0,"CONSULTING ","")&amp;IF(COUNTIFS(tbl_Finance[Job Number],C57&amp;"",tbl_Finance[Cost Centre],"CTS")&gt;0,"CTS ",""))," ",", ")))</f>
        <v/>
      </c>
      <c r="L57" s="24" t="n"/>
      <c r="M57" s="25">
        <f>IF(L57="","",HYPERLINK(IF(LEFT(L57,4)="http",L57,set_QwilrBase&amp;L57),"Open quote"))</f>
        <v/>
      </c>
      <c r="N57" s="26" t="n"/>
      <c r="O57" s="26" t="n"/>
      <c r="P57" s="26" t="n"/>
      <c r="Q57" s="25">
        <f>IF(C57="","",IF(N(N57)+N(O57)+N(P57)=0,"Not split",IF(ROUND(N(N57)+N(O57)+N(P57),2)=ROUND(H57,2),"OK","MISMATCH")))</f>
        <v/>
      </c>
      <c r="R57" s="26" t="n"/>
      <c r="S57" s="26" t="n"/>
      <c r="T57" s="26" t="n"/>
      <c r="U57" s="27">
        <f>IF(C57="","",N(R57)+N(S57)+N(T57))</f>
        <v/>
      </c>
      <c r="V57" s="27">
        <f>IF(C57="","",H57-U57)</f>
        <v/>
      </c>
      <c r="W57" s="29">
        <f>IFERROR(V57/H57,"")</f>
        <v/>
      </c>
      <c r="X57" s="24" t="n"/>
    </row>
    <row r="58" ht="15" customHeight="1">
      <c r="A58" s="63">
        <f>IF(C58="","",IFERROR(IF(SUMPRODUCT(MAX((tbl_Finance[Job Number]=C58&amp;"")*(tbl_Finance[Xero Invoice No]&lt;&gt;"")*tbl_Finance[Date]))=0,"",SUMPRODUCT(MAX((tbl_Finance[Job Number]=C58&amp;"")*(tbl_Finance[Xero Invoice No]&lt;&gt;"")*tbl_Finance[Date]))),""))</f>
        <v/>
      </c>
      <c r="B58" s="25">
        <f>IF(C58="","",IF(COUNTIFS(tbl_Finance[Job Number],C58&amp;"",tbl_Finance[Xero Invoice No],"&lt;&gt;")=0,"",IFERROR(IF(COUNTIFS(tbl_Finance[Job Number],C58&amp;"",tbl_Finance[Xero Invoice No],LOOKUP(2,1/((tbl_Finance[Job Number]=C58&amp;"")*(tbl_Finance[Xero Invoice No]&lt;&gt;"")),tbl_Finance[Xero Invoice No]))=COUNTIFS(tbl_Finance[Job Number],C58&amp;"",tbl_Finance[Xero Invoice No],"&lt;&gt;"),LOOKUP(2,1/((tbl_Finance[Job Number]=C58&amp;"")*(tbl_Finance[Xero Invoice No]&lt;&gt;"")),tbl_Finance[Xero Invoice No]),LOOKUP(2,1/((tbl_Finance[Job Number]=C58&amp;"")*(tbl_Finance[Xero Invoice No]&lt;&gt;"")),tbl_Finance[Xero Invoice No])&amp;" +more"),"")))</f>
        <v/>
      </c>
      <c r="C58" s="24" t="n"/>
      <c r="D58" s="25">
        <f>IF(C58="","",IF(COUNTIF(lst_Jobs,C58&amp;"")&gt;0,"OK","CHECK"))</f>
        <v/>
      </c>
      <c r="E58" s="25">
        <f>IF(C58="","",IFERROR(INDEX(lst_JobName,MATCH(C58&amp;"",lst_Jobs,0)),""))</f>
        <v/>
      </c>
      <c r="F58" s="25">
        <f>IF(C58="","",IFERROR(INDEX(tbl_Finance[Client],MATCH(C58&amp;"",tbl_Finance[Job Number],0)),""))</f>
        <v/>
      </c>
      <c r="G58" s="28">
        <f>IF(C58="","",COUNTIFS(tbl_Finance[Job Number],C58&amp;"",tbl_Finance[Ex GST],"&lt;&gt;"))</f>
        <v/>
      </c>
      <c r="H58" s="27">
        <f>IF(C58="","",SUMIFS(tbl_Finance[Ex GST],tbl_Finance[Job Number],C58&amp;""))</f>
        <v/>
      </c>
      <c r="I58" s="27">
        <f>IF(C58="","",SUMIFS(tbl_Finance[Ex GST],tbl_Finance[Job Number],C58&amp;"",tbl_Finance[Xero Invoice No],"&lt;&gt;"))</f>
        <v/>
      </c>
      <c r="J58" s="27">
        <f>IF(C58="","",H58-I58)</f>
        <v/>
      </c>
      <c r="K58" s="25">
        <f>IF(C58="","",IF(G58=0,"not invoiced yet",SUBSTITUTE(TRIM(IF(COUNTIFS(tbl_Finance[Job Number],C58&amp;"",tbl_Finance[Cost Centre],"ONSITE")&gt;0,"ONSITE ","")&amp;IF(COUNTIFS(tbl_Finance[Job Number],C58&amp;"",tbl_Finance[Cost Centre],"PRODUCTION")&gt;0,"PRODUCTION ","")&amp;IF(COUNTIFS(tbl_Finance[Job Number],C58&amp;"",tbl_Finance[Cost Centre],"VIDEO")&gt;0,"VIDEO ","")&amp;IF(COUNTIFS(tbl_Finance[Job Number],C58&amp;"",tbl_Finance[Cost Centre],"INTEGRATION")&gt;0,"INTEGRATION ","")&amp;IF(COUNTIFS(tbl_Finance[Job Number],C58&amp;"",tbl_Finance[Cost Centre],"CONSULTING")&gt;0,"CONSULTING ","")&amp;IF(COUNTIFS(tbl_Finance[Job Number],C58&amp;"",tbl_Finance[Cost Centre],"CTS")&gt;0,"CTS ",""))," ",", ")))</f>
        <v/>
      </c>
      <c r="L58" s="24" t="n"/>
      <c r="M58" s="25">
        <f>IF(L58="","",HYPERLINK(IF(LEFT(L58,4)="http",L58,set_QwilrBase&amp;L58),"Open quote"))</f>
        <v/>
      </c>
      <c r="N58" s="26" t="n"/>
      <c r="O58" s="26" t="n"/>
      <c r="P58" s="26" t="n"/>
      <c r="Q58" s="25">
        <f>IF(C58="","",IF(N(N58)+N(O58)+N(P58)=0,"Not split",IF(ROUND(N(N58)+N(O58)+N(P58),2)=ROUND(H58,2),"OK","MISMATCH")))</f>
        <v/>
      </c>
      <c r="R58" s="26" t="n"/>
      <c r="S58" s="26" t="n"/>
      <c r="T58" s="26" t="n"/>
      <c r="U58" s="27">
        <f>IF(C58="","",N(R58)+N(S58)+N(T58))</f>
        <v/>
      </c>
      <c r="V58" s="27">
        <f>IF(C58="","",H58-U58)</f>
        <v/>
      </c>
      <c r="W58" s="29">
        <f>IFERROR(V58/H58,"")</f>
        <v/>
      </c>
      <c r="X58" s="24" t="n"/>
    </row>
    <row r="59" ht="15" customHeight="1">
      <c r="A59" s="63">
        <f>IF(C59="","",IFERROR(IF(SUMPRODUCT(MAX((tbl_Finance[Job Number]=C59&amp;"")*(tbl_Finance[Xero Invoice No]&lt;&gt;"")*tbl_Finance[Date]))=0,"",SUMPRODUCT(MAX((tbl_Finance[Job Number]=C59&amp;"")*(tbl_Finance[Xero Invoice No]&lt;&gt;"")*tbl_Finance[Date]))),""))</f>
        <v/>
      </c>
      <c r="B59" s="25">
        <f>IF(C59="","",IF(COUNTIFS(tbl_Finance[Job Number],C59&amp;"",tbl_Finance[Xero Invoice No],"&lt;&gt;")=0,"",IFERROR(IF(COUNTIFS(tbl_Finance[Job Number],C59&amp;"",tbl_Finance[Xero Invoice No],LOOKUP(2,1/((tbl_Finance[Job Number]=C59&amp;"")*(tbl_Finance[Xero Invoice No]&lt;&gt;"")),tbl_Finance[Xero Invoice No]))=COUNTIFS(tbl_Finance[Job Number],C59&amp;"",tbl_Finance[Xero Invoice No],"&lt;&gt;"),LOOKUP(2,1/((tbl_Finance[Job Number]=C59&amp;"")*(tbl_Finance[Xero Invoice No]&lt;&gt;"")),tbl_Finance[Xero Invoice No]),LOOKUP(2,1/((tbl_Finance[Job Number]=C59&amp;"")*(tbl_Finance[Xero Invoice No]&lt;&gt;"")),tbl_Finance[Xero Invoice No])&amp;" +more"),"")))</f>
        <v/>
      </c>
      <c r="C59" s="24" t="n"/>
      <c r="D59" s="25">
        <f>IF(C59="","",IF(COUNTIF(lst_Jobs,C59&amp;"")&gt;0,"OK","CHECK"))</f>
        <v/>
      </c>
      <c r="E59" s="25">
        <f>IF(C59="","",IFERROR(INDEX(lst_JobName,MATCH(C59&amp;"",lst_Jobs,0)),""))</f>
        <v/>
      </c>
      <c r="F59" s="25">
        <f>IF(C59="","",IFERROR(INDEX(tbl_Finance[Client],MATCH(C59&amp;"",tbl_Finance[Job Number],0)),""))</f>
        <v/>
      </c>
      <c r="G59" s="28">
        <f>IF(C59="","",COUNTIFS(tbl_Finance[Job Number],C59&amp;"",tbl_Finance[Ex GST],"&lt;&gt;"))</f>
        <v/>
      </c>
      <c r="H59" s="27">
        <f>IF(C59="","",SUMIFS(tbl_Finance[Ex GST],tbl_Finance[Job Number],C59&amp;""))</f>
        <v/>
      </c>
      <c r="I59" s="27">
        <f>IF(C59="","",SUMIFS(tbl_Finance[Ex GST],tbl_Finance[Job Number],C59&amp;"",tbl_Finance[Xero Invoice No],"&lt;&gt;"))</f>
        <v/>
      </c>
      <c r="J59" s="27">
        <f>IF(C59="","",H59-I59)</f>
        <v/>
      </c>
      <c r="K59" s="25">
        <f>IF(C59="","",IF(G59=0,"not invoiced yet",SUBSTITUTE(TRIM(IF(COUNTIFS(tbl_Finance[Job Number],C59&amp;"",tbl_Finance[Cost Centre],"ONSITE")&gt;0,"ONSITE ","")&amp;IF(COUNTIFS(tbl_Finance[Job Number],C59&amp;"",tbl_Finance[Cost Centre],"PRODUCTION")&gt;0,"PRODUCTION ","")&amp;IF(COUNTIFS(tbl_Finance[Job Number],C59&amp;"",tbl_Finance[Cost Centre],"VIDEO")&gt;0,"VIDEO ","")&amp;IF(COUNTIFS(tbl_Finance[Job Number],C59&amp;"",tbl_Finance[Cost Centre],"INTEGRATION")&gt;0,"INTEGRATION ","")&amp;IF(COUNTIFS(tbl_Finance[Job Number],C59&amp;"",tbl_Finance[Cost Centre],"CONSULTING")&gt;0,"CONSULTING ","")&amp;IF(COUNTIFS(tbl_Finance[Job Number],C59&amp;"",tbl_Finance[Cost Centre],"CTS")&gt;0,"CTS ",""))," ",", ")))</f>
        <v/>
      </c>
      <c r="L59" s="24" t="n"/>
      <c r="M59" s="25">
        <f>IF(L59="","",HYPERLINK(IF(LEFT(L59,4)="http",L59,set_QwilrBase&amp;L59),"Open quote"))</f>
        <v/>
      </c>
      <c r="N59" s="26" t="n"/>
      <c r="O59" s="26" t="n"/>
      <c r="P59" s="26" t="n"/>
      <c r="Q59" s="25">
        <f>IF(C59="","",IF(N(N59)+N(O59)+N(P59)=0,"Not split",IF(ROUND(N(N59)+N(O59)+N(P59),2)=ROUND(H59,2),"OK","MISMATCH")))</f>
        <v/>
      </c>
      <c r="R59" s="26" t="n"/>
      <c r="S59" s="26" t="n"/>
      <c r="T59" s="26" t="n"/>
      <c r="U59" s="27">
        <f>IF(C59="","",N(R59)+N(S59)+N(T59))</f>
        <v/>
      </c>
      <c r="V59" s="27">
        <f>IF(C59="","",H59-U59)</f>
        <v/>
      </c>
      <c r="W59" s="29">
        <f>IFERROR(V59/H59,"")</f>
        <v/>
      </c>
      <c r="X59" s="24" t="n"/>
    </row>
    <row r="60" ht="15" customHeight="1">
      <c r="A60" s="63">
        <f>IF(C60="","",IFERROR(IF(SUMPRODUCT(MAX((tbl_Finance[Job Number]=C60&amp;"")*(tbl_Finance[Xero Invoice No]&lt;&gt;"")*tbl_Finance[Date]))=0,"",SUMPRODUCT(MAX((tbl_Finance[Job Number]=C60&amp;"")*(tbl_Finance[Xero Invoice No]&lt;&gt;"")*tbl_Finance[Date]))),""))</f>
        <v/>
      </c>
      <c r="B60" s="25">
        <f>IF(C60="","",IF(COUNTIFS(tbl_Finance[Job Number],C60&amp;"",tbl_Finance[Xero Invoice No],"&lt;&gt;")=0,"",IFERROR(IF(COUNTIFS(tbl_Finance[Job Number],C60&amp;"",tbl_Finance[Xero Invoice No],LOOKUP(2,1/((tbl_Finance[Job Number]=C60&amp;"")*(tbl_Finance[Xero Invoice No]&lt;&gt;"")),tbl_Finance[Xero Invoice No]))=COUNTIFS(tbl_Finance[Job Number],C60&amp;"",tbl_Finance[Xero Invoice No],"&lt;&gt;"),LOOKUP(2,1/((tbl_Finance[Job Number]=C60&amp;"")*(tbl_Finance[Xero Invoice No]&lt;&gt;"")),tbl_Finance[Xero Invoice No]),LOOKUP(2,1/((tbl_Finance[Job Number]=C60&amp;"")*(tbl_Finance[Xero Invoice No]&lt;&gt;"")),tbl_Finance[Xero Invoice No])&amp;" +more"),"")))</f>
        <v/>
      </c>
      <c r="C60" s="24" t="n"/>
      <c r="D60" s="25">
        <f>IF(C60="","",IF(COUNTIF(lst_Jobs,C60&amp;"")&gt;0,"OK","CHECK"))</f>
        <v/>
      </c>
      <c r="E60" s="25">
        <f>IF(C60="","",IFERROR(INDEX(lst_JobName,MATCH(C60&amp;"",lst_Jobs,0)),""))</f>
        <v/>
      </c>
      <c r="F60" s="25">
        <f>IF(C60="","",IFERROR(INDEX(tbl_Finance[Client],MATCH(C60&amp;"",tbl_Finance[Job Number],0)),""))</f>
        <v/>
      </c>
      <c r="G60" s="28">
        <f>IF(C60="","",COUNTIFS(tbl_Finance[Job Number],C60&amp;"",tbl_Finance[Ex GST],"&lt;&gt;"))</f>
        <v/>
      </c>
      <c r="H60" s="27">
        <f>IF(C60="","",SUMIFS(tbl_Finance[Ex GST],tbl_Finance[Job Number],C60&amp;""))</f>
        <v/>
      </c>
      <c r="I60" s="27">
        <f>IF(C60="","",SUMIFS(tbl_Finance[Ex GST],tbl_Finance[Job Number],C60&amp;"",tbl_Finance[Xero Invoice No],"&lt;&gt;"))</f>
        <v/>
      </c>
      <c r="J60" s="27">
        <f>IF(C60="","",H60-I60)</f>
        <v/>
      </c>
      <c r="K60" s="25">
        <f>IF(C60="","",IF(G60=0,"not invoiced yet",SUBSTITUTE(TRIM(IF(COUNTIFS(tbl_Finance[Job Number],C60&amp;"",tbl_Finance[Cost Centre],"ONSITE")&gt;0,"ONSITE ","")&amp;IF(COUNTIFS(tbl_Finance[Job Number],C60&amp;"",tbl_Finance[Cost Centre],"PRODUCTION")&gt;0,"PRODUCTION ","")&amp;IF(COUNTIFS(tbl_Finance[Job Number],C60&amp;"",tbl_Finance[Cost Centre],"VIDEO")&gt;0,"VIDEO ","")&amp;IF(COUNTIFS(tbl_Finance[Job Number],C60&amp;"",tbl_Finance[Cost Centre],"INTEGRATION")&gt;0,"INTEGRATION ","")&amp;IF(COUNTIFS(tbl_Finance[Job Number],C60&amp;"",tbl_Finance[Cost Centre],"CONSULTING")&gt;0,"CONSULTING ","")&amp;IF(COUNTIFS(tbl_Finance[Job Number],C60&amp;"",tbl_Finance[Cost Centre],"CTS")&gt;0,"CTS ",""))," ",", ")))</f>
        <v/>
      </c>
      <c r="L60" s="24" t="n"/>
      <c r="M60" s="25">
        <f>IF(L60="","",HYPERLINK(IF(LEFT(L60,4)="http",L60,set_QwilrBase&amp;L60),"Open quote"))</f>
        <v/>
      </c>
      <c r="N60" s="26" t="n"/>
      <c r="O60" s="26" t="n"/>
      <c r="P60" s="26" t="n"/>
      <c r="Q60" s="25">
        <f>IF(C60="","",IF(N(N60)+N(O60)+N(P60)=0,"Not split",IF(ROUND(N(N60)+N(O60)+N(P60),2)=ROUND(H60,2),"OK","MISMATCH")))</f>
        <v/>
      </c>
      <c r="R60" s="26" t="n"/>
      <c r="S60" s="26" t="n"/>
      <c r="T60" s="26" t="n"/>
      <c r="U60" s="27">
        <f>IF(C60="","",N(R60)+N(S60)+N(T60))</f>
        <v/>
      </c>
      <c r="V60" s="27">
        <f>IF(C60="","",H60-U60)</f>
        <v/>
      </c>
      <c r="W60" s="29">
        <f>IFERROR(V60/H60,"")</f>
        <v/>
      </c>
      <c r="X60" s="24" t="n"/>
    </row>
    <row r="61" ht="15" customHeight="1">
      <c r="A61" s="63">
        <f>IF(C61="","",IFERROR(IF(SUMPRODUCT(MAX((tbl_Finance[Job Number]=C61&amp;"")*(tbl_Finance[Xero Invoice No]&lt;&gt;"")*tbl_Finance[Date]))=0,"",SUMPRODUCT(MAX((tbl_Finance[Job Number]=C61&amp;"")*(tbl_Finance[Xero Invoice No]&lt;&gt;"")*tbl_Finance[Date]))),""))</f>
        <v/>
      </c>
      <c r="B61" s="25">
        <f>IF(C61="","",IF(COUNTIFS(tbl_Finance[Job Number],C61&amp;"",tbl_Finance[Xero Invoice No],"&lt;&gt;")=0,"",IFERROR(IF(COUNTIFS(tbl_Finance[Job Number],C61&amp;"",tbl_Finance[Xero Invoice No],LOOKUP(2,1/((tbl_Finance[Job Number]=C61&amp;"")*(tbl_Finance[Xero Invoice No]&lt;&gt;"")),tbl_Finance[Xero Invoice No]))=COUNTIFS(tbl_Finance[Job Number],C61&amp;"",tbl_Finance[Xero Invoice No],"&lt;&gt;"),LOOKUP(2,1/((tbl_Finance[Job Number]=C61&amp;"")*(tbl_Finance[Xero Invoice No]&lt;&gt;"")),tbl_Finance[Xero Invoice No]),LOOKUP(2,1/((tbl_Finance[Job Number]=C61&amp;"")*(tbl_Finance[Xero Invoice No]&lt;&gt;"")),tbl_Finance[Xero Invoice No])&amp;" +more"),"")))</f>
        <v/>
      </c>
      <c r="C61" s="24" t="n"/>
      <c r="D61" s="25">
        <f>IF(C61="","",IF(COUNTIF(lst_Jobs,C61&amp;"")&gt;0,"OK","CHECK"))</f>
        <v/>
      </c>
      <c r="E61" s="25">
        <f>IF(C61="","",IFERROR(INDEX(lst_JobName,MATCH(C61&amp;"",lst_Jobs,0)),""))</f>
        <v/>
      </c>
      <c r="F61" s="25">
        <f>IF(C61="","",IFERROR(INDEX(tbl_Finance[Client],MATCH(C61&amp;"",tbl_Finance[Job Number],0)),""))</f>
        <v/>
      </c>
      <c r="G61" s="28">
        <f>IF(C61="","",COUNTIFS(tbl_Finance[Job Number],C61&amp;"",tbl_Finance[Ex GST],"&lt;&gt;"))</f>
        <v/>
      </c>
      <c r="H61" s="27">
        <f>IF(C61="","",SUMIFS(tbl_Finance[Ex GST],tbl_Finance[Job Number],C61&amp;""))</f>
        <v/>
      </c>
      <c r="I61" s="27">
        <f>IF(C61="","",SUMIFS(tbl_Finance[Ex GST],tbl_Finance[Job Number],C61&amp;"",tbl_Finance[Xero Invoice No],"&lt;&gt;"))</f>
        <v/>
      </c>
      <c r="J61" s="27">
        <f>IF(C61="","",H61-I61)</f>
        <v/>
      </c>
      <c r="K61" s="25">
        <f>IF(C61="","",IF(G61=0,"not invoiced yet",SUBSTITUTE(TRIM(IF(COUNTIFS(tbl_Finance[Job Number],C61&amp;"",tbl_Finance[Cost Centre],"ONSITE")&gt;0,"ONSITE ","")&amp;IF(COUNTIFS(tbl_Finance[Job Number],C61&amp;"",tbl_Finance[Cost Centre],"PRODUCTION")&gt;0,"PRODUCTION ","")&amp;IF(COUNTIFS(tbl_Finance[Job Number],C61&amp;"",tbl_Finance[Cost Centre],"VIDEO")&gt;0,"VIDEO ","")&amp;IF(COUNTIFS(tbl_Finance[Job Number],C61&amp;"",tbl_Finance[Cost Centre],"INTEGRATION")&gt;0,"INTEGRATION ","")&amp;IF(COUNTIFS(tbl_Finance[Job Number],C61&amp;"",tbl_Finance[Cost Centre],"CONSULTING")&gt;0,"CONSULTING ","")&amp;IF(COUNTIFS(tbl_Finance[Job Number],C61&amp;"",tbl_Finance[Cost Centre],"CTS")&gt;0,"CTS ",""))," ",", ")))</f>
        <v/>
      </c>
      <c r="L61" s="24" t="n"/>
      <c r="M61" s="25">
        <f>IF(L61="","",HYPERLINK(IF(LEFT(L61,4)="http",L61,set_QwilrBase&amp;L61),"Open quote"))</f>
        <v/>
      </c>
      <c r="N61" s="26" t="n"/>
      <c r="O61" s="26" t="n"/>
      <c r="P61" s="26" t="n"/>
      <c r="Q61" s="25">
        <f>IF(C61="","",IF(N(N61)+N(O61)+N(P61)=0,"Not split",IF(ROUND(N(N61)+N(O61)+N(P61),2)=ROUND(H61,2),"OK","MISMATCH")))</f>
        <v/>
      </c>
      <c r="R61" s="26" t="n"/>
      <c r="S61" s="26" t="n"/>
      <c r="T61" s="26" t="n"/>
      <c r="U61" s="27">
        <f>IF(C61="","",N(R61)+N(S61)+N(T61))</f>
        <v/>
      </c>
      <c r="V61" s="27">
        <f>IF(C61="","",H61-U61)</f>
        <v/>
      </c>
      <c r="W61" s="29">
        <f>IFERROR(V61/H61,"")</f>
        <v/>
      </c>
      <c r="X61" s="24" t="n"/>
    </row>
    <row r="62" ht="15" customHeight="1">
      <c r="A62" s="63">
        <f>IF(C62="","",IFERROR(IF(SUMPRODUCT(MAX((tbl_Finance[Job Number]=C62&amp;"")*(tbl_Finance[Xero Invoice No]&lt;&gt;"")*tbl_Finance[Date]))=0,"",SUMPRODUCT(MAX((tbl_Finance[Job Number]=C62&amp;"")*(tbl_Finance[Xero Invoice No]&lt;&gt;"")*tbl_Finance[Date]))),""))</f>
        <v/>
      </c>
      <c r="B62" s="25">
        <f>IF(C62="","",IF(COUNTIFS(tbl_Finance[Job Number],C62&amp;"",tbl_Finance[Xero Invoice No],"&lt;&gt;")=0,"",IFERROR(IF(COUNTIFS(tbl_Finance[Job Number],C62&amp;"",tbl_Finance[Xero Invoice No],LOOKUP(2,1/((tbl_Finance[Job Number]=C62&amp;"")*(tbl_Finance[Xero Invoice No]&lt;&gt;"")),tbl_Finance[Xero Invoice No]))=COUNTIFS(tbl_Finance[Job Number],C62&amp;"",tbl_Finance[Xero Invoice No],"&lt;&gt;"),LOOKUP(2,1/((tbl_Finance[Job Number]=C62&amp;"")*(tbl_Finance[Xero Invoice No]&lt;&gt;"")),tbl_Finance[Xero Invoice No]),LOOKUP(2,1/((tbl_Finance[Job Number]=C62&amp;"")*(tbl_Finance[Xero Invoice No]&lt;&gt;"")),tbl_Finance[Xero Invoice No])&amp;" +more"),"")))</f>
        <v/>
      </c>
      <c r="C62" s="24" t="n"/>
      <c r="D62" s="25">
        <f>IF(C62="","",IF(COUNTIF(lst_Jobs,C62&amp;"")&gt;0,"OK","CHECK"))</f>
        <v/>
      </c>
      <c r="E62" s="25">
        <f>IF(C62="","",IFERROR(INDEX(lst_JobName,MATCH(C62&amp;"",lst_Jobs,0)),""))</f>
        <v/>
      </c>
      <c r="F62" s="25">
        <f>IF(C62="","",IFERROR(INDEX(tbl_Finance[Client],MATCH(C62&amp;"",tbl_Finance[Job Number],0)),""))</f>
        <v/>
      </c>
      <c r="G62" s="28">
        <f>IF(C62="","",COUNTIFS(tbl_Finance[Job Number],C62&amp;"",tbl_Finance[Ex GST],"&lt;&gt;"))</f>
        <v/>
      </c>
      <c r="H62" s="27">
        <f>IF(C62="","",SUMIFS(tbl_Finance[Ex GST],tbl_Finance[Job Number],C62&amp;""))</f>
        <v/>
      </c>
      <c r="I62" s="27">
        <f>IF(C62="","",SUMIFS(tbl_Finance[Ex GST],tbl_Finance[Job Number],C62&amp;"",tbl_Finance[Xero Invoice No],"&lt;&gt;"))</f>
        <v/>
      </c>
      <c r="J62" s="27">
        <f>IF(C62="","",H62-I62)</f>
        <v/>
      </c>
      <c r="K62" s="25">
        <f>IF(C62="","",IF(G62=0,"not invoiced yet",SUBSTITUTE(TRIM(IF(COUNTIFS(tbl_Finance[Job Number],C62&amp;"",tbl_Finance[Cost Centre],"ONSITE")&gt;0,"ONSITE ","")&amp;IF(COUNTIFS(tbl_Finance[Job Number],C62&amp;"",tbl_Finance[Cost Centre],"PRODUCTION")&gt;0,"PRODUCTION ","")&amp;IF(COUNTIFS(tbl_Finance[Job Number],C62&amp;"",tbl_Finance[Cost Centre],"VIDEO")&gt;0,"VIDEO ","")&amp;IF(COUNTIFS(tbl_Finance[Job Number],C62&amp;"",tbl_Finance[Cost Centre],"INTEGRATION")&gt;0,"INTEGRATION ","")&amp;IF(COUNTIFS(tbl_Finance[Job Number],C62&amp;"",tbl_Finance[Cost Centre],"CONSULTING")&gt;0,"CONSULTING ","")&amp;IF(COUNTIFS(tbl_Finance[Job Number],C62&amp;"",tbl_Finance[Cost Centre],"CTS")&gt;0,"CTS ",""))," ",", ")))</f>
        <v/>
      </c>
      <c r="L62" s="24" t="n"/>
      <c r="M62" s="25">
        <f>IF(L62="","",HYPERLINK(IF(LEFT(L62,4)="http",L62,set_QwilrBase&amp;L62),"Open quote"))</f>
        <v/>
      </c>
      <c r="N62" s="26" t="n"/>
      <c r="O62" s="26" t="n"/>
      <c r="P62" s="26" t="n"/>
      <c r="Q62" s="25">
        <f>IF(C62="","",IF(N(N62)+N(O62)+N(P62)=0,"Not split",IF(ROUND(N(N62)+N(O62)+N(P62),2)=ROUND(H62,2),"OK","MISMATCH")))</f>
        <v/>
      </c>
      <c r="R62" s="26" t="n"/>
      <c r="S62" s="26" t="n"/>
      <c r="T62" s="26" t="n"/>
      <c r="U62" s="27">
        <f>IF(C62="","",N(R62)+N(S62)+N(T62))</f>
        <v/>
      </c>
      <c r="V62" s="27">
        <f>IF(C62="","",H62-U62)</f>
        <v/>
      </c>
      <c r="W62" s="29">
        <f>IFERROR(V62/H62,"")</f>
        <v/>
      </c>
      <c r="X62" s="24" t="n"/>
    </row>
    <row r="63" ht="15" customHeight="1">
      <c r="A63" s="63">
        <f>IF(C63="","",IFERROR(IF(SUMPRODUCT(MAX((tbl_Finance[Job Number]=C63&amp;"")*(tbl_Finance[Xero Invoice No]&lt;&gt;"")*tbl_Finance[Date]))=0,"",SUMPRODUCT(MAX((tbl_Finance[Job Number]=C63&amp;"")*(tbl_Finance[Xero Invoice No]&lt;&gt;"")*tbl_Finance[Date]))),""))</f>
        <v/>
      </c>
      <c r="B63" s="25">
        <f>IF(C63="","",IF(COUNTIFS(tbl_Finance[Job Number],C63&amp;"",tbl_Finance[Xero Invoice No],"&lt;&gt;")=0,"",IFERROR(IF(COUNTIFS(tbl_Finance[Job Number],C63&amp;"",tbl_Finance[Xero Invoice No],LOOKUP(2,1/((tbl_Finance[Job Number]=C63&amp;"")*(tbl_Finance[Xero Invoice No]&lt;&gt;"")),tbl_Finance[Xero Invoice No]))=COUNTIFS(tbl_Finance[Job Number],C63&amp;"",tbl_Finance[Xero Invoice No],"&lt;&gt;"),LOOKUP(2,1/((tbl_Finance[Job Number]=C63&amp;"")*(tbl_Finance[Xero Invoice No]&lt;&gt;"")),tbl_Finance[Xero Invoice No]),LOOKUP(2,1/((tbl_Finance[Job Number]=C63&amp;"")*(tbl_Finance[Xero Invoice No]&lt;&gt;"")),tbl_Finance[Xero Invoice No])&amp;" +more"),"")))</f>
        <v/>
      </c>
      <c r="C63" s="24" t="n"/>
      <c r="D63" s="25">
        <f>IF(C63="","",IF(COUNTIF(lst_Jobs,C63&amp;"")&gt;0,"OK","CHECK"))</f>
        <v/>
      </c>
      <c r="E63" s="25">
        <f>IF(C63="","",IFERROR(INDEX(lst_JobName,MATCH(C63&amp;"",lst_Jobs,0)),""))</f>
        <v/>
      </c>
      <c r="F63" s="25">
        <f>IF(C63="","",IFERROR(INDEX(tbl_Finance[Client],MATCH(C63&amp;"",tbl_Finance[Job Number],0)),""))</f>
        <v/>
      </c>
      <c r="G63" s="28">
        <f>IF(C63="","",COUNTIFS(tbl_Finance[Job Number],C63&amp;"",tbl_Finance[Ex GST],"&lt;&gt;"))</f>
        <v/>
      </c>
      <c r="H63" s="27">
        <f>IF(C63="","",SUMIFS(tbl_Finance[Ex GST],tbl_Finance[Job Number],C63&amp;""))</f>
        <v/>
      </c>
      <c r="I63" s="27">
        <f>IF(C63="","",SUMIFS(tbl_Finance[Ex GST],tbl_Finance[Job Number],C63&amp;"",tbl_Finance[Xero Invoice No],"&lt;&gt;"))</f>
        <v/>
      </c>
      <c r="J63" s="27">
        <f>IF(C63="","",H63-I63)</f>
        <v/>
      </c>
      <c r="K63" s="25">
        <f>IF(C63="","",IF(G63=0,"not invoiced yet",SUBSTITUTE(TRIM(IF(COUNTIFS(tbl_Finance[Job Number],C63&amp;"",tbl_Finance[Cost Centre],"ONSITE")&gt;0,"ONSITE ","")&amp;IF(COUNTIFS(tbl_Finance[Job Number],C63&amp;"",tbl_Finance[Cost Centre],"PRODUCTION")&gt;0,"PRODUCTION ","")&amp;IF(COUNTIFS(tbl_Finance[Job Number],C63&amp;"",tbl_Finance[Cost Centre],"VIDEO")&gt;0,"VIDEO ","")&amp;IF(COUNTIFS(tbl_Finance[Job Number],C63&amp;"",tbl_Finance[Cost Centre],"INTEGRATION")&gt;0,"INTEGRATION ","")&amp;IF(COUNTIFS(tbl_Finance[Job Number],C63&amp;"",tbl_Finance[Cost Centre],"CONSULTING")&gt;0,"CONSULTING ","")&amp;IF(COUNTIFS(tbl_Finance[Job Number],C63&amp;"",tbl_Finance[Cost Centre],"CTS")&gt;0,"CTS ",""))," ",", ")))</f>
        <v/>
      </c>
      <c r="L63" s="24" t="n"/>
      <c r="M63" s="25">
        <f>IF(L63="","",HYPERLINK(IF(LEFT(L63,4)="http",L63,set_QwilrBase&amp;L63),"Open quote"))</f>
        <v/>
      </c>
      <c r="N63" s="26" t="n"/>
      <c r="O63" s="26" t="n"/>
      <c r="P63" s="26" t="n"/>
      <c r="Q63" s="25">
        <f>IF(C63="","",IF(N(N63)+N(O63)+N(P63)=0,"Not split",IF(ROUND(N(N63)+N(O63)+N(P63),2)=ROUND(H63,2),"OK","MISMATCH")))</f>
        <v/>
      </c>
      <c r="R63" s="26" t="n"/>
      <c r="S63" s="26" t="n"/>
      <c r="T63" s="26" t="n"/>
      <c r="U63" s="27">
        <f>IF(C63="","",N(R63)+N(S63)+N(T63))</f>
        <v/>
      </c>
      <c r="V63" s="27">
        <f>IF(C63="","",H63-U63)</f>
        <v/>
      </c>
      <c r="W63" s="29">
        <f>IFERROR(V63/H63,"")</f>
        <v/>
      </c>
      <c r="X63" s="24" t="n"/>
    </row>
    <row r="64" ht="15" customHeight="1">
      <c r="A64" s="63">
        <f>IF(C64="","",IFERROR(IF(SUMPRODUCT(MAX((tbl_Finance[Job Number]=C64&amp;"")*(tbl_Finance[Xero Invoice No]&lt;&gt;"")*tbl_Finance[Date]))=0,"",SUMPRODUCT(MAX((tbl_Finance[Job Number]=C64&amp;"")*(tbl_Finance[Xero Invoice No]&lt;&gt;"")*tbl_Finance[Date]))),""))</f>
        <v/>
      </c>
      <c r="B64" s="25">
        <f>IF(C64="","",IF(COUNTIFS(tbl_Finance[Job Number],C64&amp;"",tbl_Finance[Xero Invoice No],"&lt;&gt;")=0,"",IFERROR(IF(COUNTIFS(tbl_Finance[Job Number],C64&amp;"",tbl_Finance[Xero Invoice No],LOOKUP(2,1/((tbl_Finance[Job Number]=C64&amp;"")*(tbl_Finance[Xero Invoice No]&lt;&gt;"")),tbl_Finance[Xero Invoice No]))=COUNTIFS(tbl_Finance[Job Number],C64&amp;"",tbl_Finance[Xero Invoice No],"&lt;&gt;"),LOOKUP(2,1/((tbl_Finance[Job Number]=C64&amp;"")*(tbl_Finance[Xero Invoice No]&lt;&gt;"")),tbl_Finance[Xero Invoice No]),LOOKUP(2,1/((tbl_Finance[Job Number]=C64&amp;"")*(tbl_Finance[Xero Invoice No]&lt;&gt;"")),tbl_Finance[Xero Invoice No])&amp;" +more"),"")))</f>
        <v/>
      </c>
      <c r="C64" s="24" t="n"/>
      <c r="D64" s="25">
        <f>IF(C64="","",IF(COUNTIF(lst_Jobs,C64&amp;"")&gt;0,"OK","CHECK"))</f>
        <v/>
      </c>
      <c r="E64" s="25">
        <f>IF(C64="","",IFERROR(INDEX(lst_JobName,MATCH(C64&amp;"",lst_Jobs,0)),""))</f>
        <v/>
      </c>
      <c r="F64" s="25">
        <f>IF(C64="","",IFERROR(INDEX(tbl_Finance[Client],MATCH(C64&amp;"",tbl_Finance[Job Number],0)),""))</f>
        <v/>
      </c>
      <c r="G64" s="28">
        <f>IF(C64="","",COUNTIFS(tbl_Finance[Job Number],C64&amp;"",tbl_Finance[Ex GST],"&lt;&gt;"))</f>
        <v/>
      </c>
      <c r="H64" s="27">
        <f>IF(C64="","",SUMIFS(tbl_Finance[Ex GST],tbl_Finance[Job Number],C64&amp;""))</f>
        <v/>
      </c>
      <c r="I64" s="27">
        <f>IF(C64="","",SUMIFS(tbl_Finance[Ex GST],tbl_Finance[Job Number],C64&amp;"",tbl_Finance[Xero Invoice No],"&lt;&gt;"))</f>
        <v/>
      </c>
      <c r="J64" s="27">
        <f>IF(C64="","",H64-I64)</f>
        <v/>
      </c>
      <c r="K64" s="25">
        <f>IF(C64="","",IF(G64=0,"not invoiced yet",SUBSTITUTE(TRIM(IF(COUNTIFS(tbl_Finance[Job Number],C64&amp;"",tbl_Finance[Cost Centre],"ONSITE")&gt;0,"ONSITE ","")&amp;IF(COUNTIFS(tbl_Finance[Job Number],C64&amp;"",tbl_Finance[Cost Centre],"PRODUCTION")&gt;0,"PRODUCTION ","")&amp;IF(COUNTIFS(tbl_Finance[Job Number],C64&amp;"",tbl_Finance[Cost Centre],"VIDEO")&gt;0,"VIDEO ","")&amp;IF(COUNTIFS(tbl_Finance[Job Number],C64&amp;"",tbl_Finance[Cost Centre],"INTEGRATION")&gt;0,"INTEGRATION ","")&amp;IF(COUNTIFS(tbl_Finance[Job Number],C64&amp;"",tbl_Finance[Cost Centre],"CONSULTING")&gt;0,"CONSULTING ","")&amp;IF(COUNTIFS(tbl_Finance[Job Number],C64&amp;"",tbl_Finance[Cost Centre],"CTS")&gt;0,"CTS ",""))," ",", ")))</f>
        <v/>
      </c>
      <c r="L64" s="24" t="n"/>
      <c r="M64" s="25">
        <f>IF(L64="","",HYPERLINK(IF(LEFT(L64,4)="http",L64,set_QwilrBase&amp;L64),"Open quote"))</f>
        <v/>
      </c>
      <c r="N64" s="26" t="n"/>
      <c r="O64" s="26" t="n"/>
      <c r="P64" s="26" t="n"/>
      <c r="Q64" s="25">
        <f>IF(C64="","",IF(N(N64)+N(O64)+N(P64)=0,"Not split",IF(ROUND(N(N64)+N(O64)+N(P64),2)=ROUND(H64,2),"OK","MISMATCH")))</f>
        <v/>
      </c>
      <c r="R64" s="26" t="n"/>
      <c r="S64" s="26" t="n"/>
      <c r="T64" s="26" t="n"/>
      <c r="U64" s="27">
        <f>IF(C64="","",N(R64)+N(S64)+N(T64))</f>
        <v/>
      </c>
      <c r="V64" s="27">
        <f>IF(C64="","",H64-U64)</f>
        <v/>
      </c>
      <c r="W64" s="29">
        <f>IFERROR(V64/H64,"")</f>
        <v/>
      </c>
      <c r="X64" s="24" t="n"/>
    </row>
    <row r="65" ht="15" customHeight="1">
      <c r="A65" s="63">
        <f>IF(C65="","",IFERROR(IF(SUMPRODUCT(MAX((tbl_Finance[Job Number]=C65&amp;"")*(tbl_Finance[Xero Invoice No]&lt;&gt;"")*tbl_Finance[Date]))=0,"",SUMPRODUCT(MAX((tbl_Finance[Job Number]=C65&amp;"")*(tbl_Finance[Xero Invoice No]&lt;&gt;"")*tbl_Finance[Date]))),""))</f>
        <v/>
      </c>
      <c r="B65" s="25">
        <f>IF(C65="","",IF(COUNTIFS(tbl_Finance[Job Number],C65&amp;"",tbl_Finance[Xero Invoice No],"&lt;&gt;")=0,"",IFERROR(IF(COUNTIFS(tbl_Finance[Job Number],C65&amp;"",tbl_Finance[Xero Invoice No],LOOKUP(2,1/((tbl_Finance[Job Number]=C65&amp;"")*(tbl_Finance[Xero Invoice No]&lt;&gt;"")),tbl_Finance[Xero Invoice No]))=COUNTIFS(tbl_Finance[Job Number],C65&amp;"",tbl_Finance[Xero Invoice No],"&lt;&gt;"),LOOKUP(2,1/((tbl_Finance[Job Number]=C65&amp;"")*(tbl_Finance[Xero Invoice No]&lt;&gt;"")),tbl_Finance[Xero Invoice No]),LOOKUP(2,1/((tbl_Finance[Job Number]=C65&amp;"")*(tbl_Finance[Xero Invoice No]&lt;&gt;"")),tbl_Finance[Xero Invoice No])&amp;" +more"),"")))</f>
        <v/>
      </c>
      <c r="C65" s="24" t="n"/>
      <c r="D65" s="25">
        <f>IF(C65="","",IF(COUNTIF(lst_Jobs,C65&amp;"")&gt;0,"OK","CHECK"))</f>
        <v/>
      </c>
      <c r="E65" s="25">
        <f>IF(C65="","",IFERROR(INDEX(lst_JobName,MATCH(C65&amp;"",lst_Jobs,0)),""))</f>
        <v/>
      </c>
      <c r="F65" s="25">
        <f>IF(C65="","",IFERROR(INDEX(tbl_Finance[Client],MATCH(C65&amp;"",tbl_Finance[Job Number],0)),""))</f>
        <v/>
      </c>
      <c r="G65" s="28">
        <f>IF(C65="","",COUNTIFS(tbl_Finance[Job Number],C65&amp;"",tbl_Finance[Ex GST],"&lt;&gt;"))</f>
        <v/>
      </c>
      <c r="H65" s="27">
        <f>IF(C65="","",SUMIFS(tbl_Finance[Ex GST],tbl_Finance[Job Number],C65&amp;""))</f>
        <v/>
      </c>
      <c r="I65" s="27">
        <f>IF(C65="","",SUMIFS(tbl_Finance[Ex GST],tbl_Finance[Job Number],C65&amp;"",tbl_Finance[Xero Invoice No],"&lt;&gt;"))</f>
        <v/>
      </c>
      <c r="J65" s="27">
        <f>IF(C65="","",H65-I65)</f>
        <v/>
      </c>
      <c r="K65" s="25">
        <f>IF(C65="","",IF(G65=0,"not invoiced yet",SUBSTITUTE(TRIM(IF(COUNTIFS(tbl_Finance[Job Number],C65&amp;"",tbl_Finance[Cost Centre],"ONSITE")&gt;0,"ONSITE ","")&amp;IF(COUNTIFS(tbl_Finance[Job Number],C65&amp;"",tbl_Finance[Cost Centre],"PRODUCTION")&gt;0,"PRODUCTION ","")&amp;IF(COUNTIFS(tbl_Finance[Job Number],C65&amp;"",tbl_Finance[Cost Centre],"VIDEO")&gt;0,"VIDEO ","")&amp;IF(COUNTIFS(tbl_Finance[Job Number],C65&amp;"",tbl_Finance[Cost Centre],"INTEGRATION")&gt;0,"INTEGRATION ","")&amp;IF(COUNTIFS(tbl_Finance[Job Number],C65&amp;"",tbl_Finance[Cost Centre],"CONSULTING")&gt;0,"CONSULTING ","")&amp;IF(COUNTIFS(tbl_Finance[Job Number],C65&amp;"",tbl_Finance[Cost Centre],"CTS")&gt;0,"CTS ",""))," ",", ")))</f>
        <v/>
      </c>
      <c r="L65" s="24" t="n"/>
      <c r="M65" s="25">
        <f>IF(L65="","",HYPERLINK(IF(LEFT(L65,4)="http",L65,set_QwilrBase&amp;L65),"Open quote"))</f>
        <v/>
      </c>
      <c r="N65" s="26" t="n"/>
      <c r="O65" s="26" t="n"/>
      <c r="P65" s="26" t="n"/>
      <c r="Q65" s="25">
        <f>IF(C65="","",IF(N(N65)+N(O65)+N(P65)=0,"Not split",IF(ROUND(N(N65)+N(O65)+N(P65),2)=ROUND(H65,2),"OK","MISMATCH")))</f>
        <v/>
      </c>
      <c r="R65" s="26" t="n"/>
      <c r="S65" s="26" t="n"/>
      <c r="T65" s="26" t="n"/>
      <c r="U65" s="27">
        <f>IF(C65="","",N(R65)+N(S65)+N(T65))</f>
        <v/>
      </c>
      <c r="V65" s="27">
        <f>IF(C65="","",H65-U65)</f>
        <v/>
      </c>
      <c r="W65" s="29">
        <f>IFERROR(V65/H65,"")</f>
        <v/>
      </c>
      <c r="X65" s="24" t="n"/>
    </row>
    <row r="66" ht="15" customHeight="1">
      <c r="A66" s="63">
        <f>IF(C66="","",IFERROR(IF(SUMPRODUCT(MAX((tbl_Finance[Job Number]=C66&amp;"")*(tbl_Finance[Xero Invoice No]&lt;&gt;"")*tbl_Finance[Date]))=0,"",SUMPRODUCT(MAX((tbl_Finance[Job Number]=C66&amp;"")*(tbl_Finance[Xero Invoice No]&lt;&gt;"")*tbl_Finance[Date]))),""))</f>
        <v/>
      </c>
      <c r="B66" s="25">
        <f>IF(C66="","",IF(COUNTIFS(tbl_Finance[Job Number],C66&amp;"",tbl_Finance[Xero Invoice No],"&lt;&gt;")=0,"",IFERROR(IF(COUNTIFS(tbl_Finance[Job Number],C66&amp;"",tbl_Finance[Xero Invoice No],LOOKUP(2,1/((tbl_Finance[Job Number]=C66&amp;"")*(tbl_Finance[Xero Invoice No]&lt;&gt;"")),tbl_Finance[Xero Invoice No]))=COUNTIFS(tbl_Finance[Job Number],C66&amp;"",tbl_Finance[Xero Invoice No],"&lt;&gt;"),LOOKUP(2,1/((tbl_Finance[Job Number]=C66&amp;"")*(tbl_Finance[Xero Invoice No]&lt;&gt;"")),tbl_Finance[Xero Invoice No]),LOOKUP(2,1/((tbl_Finance[Job Number]=C66&amp;"")*(tbl_Finance[Xero Invoice No]&lt;&gt;"")),tbl_Finance[Xero Invoice No])&amp;" +more"),"")))</f>
        <v/>
      </c>
      <c r="C66" s="24" t="n"/>
      <c r="D66" s="25">
        <f>IF(C66="","",IF(COUNTIF(lst_Jobs,C66&amp;"")&gt;0,"OK","CHECK"))</f>
        <v/>
      </c>
      <c r="E66" s="25">
        <f>IF(C66="","",IFERROR(INDEX(lst_JobName,MATCH(C66&amp;"",lst_Jobs,0)),""))</f>
        <v/>
      </c>
      <c r="F66" s="25">
        <f>IF(C66="","",IFERROR(INDEX(tbl_Finance[Client],MATCH(C66&amp;"",tbl_Finance[Job Number],0)),""))</f>
        <v/>
      </c>
      <c r="G66" s="28">
        <f>IF(C66="","",COUNTIFS(tbl_Finance[Job Number],C66&amp;"",tbl_Finance[Ex GST],"&lt;&gt;"))</f>
        <v/>
      </c>
      <c r="H66" s="27">
        <f>IF(C66="","",SUMIFS(tbl_Finance[Ex GST],tbl_Finance[Job Number],C66&amp;""))</f>
        <v/>
      </c>
      <c r="I66" s="27">
        <f>IF(C66="","",SUMIFS(tbl_Finance[Ex GST],tbl_Finance[Job Number],C66&amp;"",tbl_Finance[Xero Invoice No],"&lt;&gt;"))</f>
        <v/>
      </c>
      <c r="J66" s="27">
        <f>IF(C66="","",H66-I66)</f>
        <v/>
      </c>
      <c r="K66" s="25">
        <f>IF(C66="","",IF(G66=0,"not invoiced yet",SUBSTITUTE(TRIM(IF(COUNTIFS(tbl_Finance[Job Number],C66&amp;"",tbl_Finance[Cost Centre],"ONSITE")&gt;0,"ONSITE ","")&amp;IF(COUNTIFS(tbl_Finance[Job Number],C66&amp;"",tbl_Finance[Cost Centre],"PRODUCTION")&gt;0,"PRODUCTION ","")&amp;IF(COUNTIFS(tbl_Finance[Job Number],C66&amp;"",tbl_Finance[Cost Centre],"VIDEO")&gt;0,"VIDEO ","")&amp;IF(COUNTIFS(tbl_Finance[Job Number],C66&amp;"",tbl_Finance[Cost Centre],"INTEGRATION")&gt;0,"INTEGRATION ","")&amp;IF(COUNTIFS(tbl_Finance[Job Number],C66&amp;"",tbl_Finance[Cost Centre],"CONSULTING")&gt;0,"CONSULTING ","")&amp;IF(COUNTIFS(tbl_Finance[Job Number],C66&amp;"",tbl_Finance[Cost Centre],"CTS")&gt;0,"CTS ",""))," ",", ")))</f>
        <v/>
      </c>
      <c r="L66" s="24" t="n"/>
      <c r="M66" s="25">
        <f>IF(L66="","",HYPERLINK(IF(LEFT(L66,4)="http",L66,set_QwilrBase&amp;L66),"Open quote"))</f>
        <v/>
      </c>
      <c r="N66" s="26" t="n"/>
      <c r="O66" s="26" t="n"/>
      <c r="P66" s="26" t="n"/>
      <c r="Q66" s="25">
        <f>IF(C66="","",IF(N(N66)+N(O66)+N(P66)=0,"Not split",IF(ROUND(N(N66)+N(O66)+N(P66),2)=ROUND(H66,2),"OK","MISMATCH")))</f>
        <v/>
      </c>
      <c r="R66" s="26" t="n"/>
      <c r="S66" s="26" t="n"/>
      <c r="T66" s="26" t="n"/>
      <c r="U66" s="27">
        <f>IF(C66="","",N(R66)+N(S66)+N(T66))</f>
        <v/>
      </c>
      <c r="V66" s="27">
        <f>IF(C66="","",H66-U66)</f>
        <v/>
      </c>
      <c r="W66" s="29">
        <f>IFERROR(V66/H66,"")</f>
        <v/>
      </c>
      <c r="X66" s="24" t="n"/>
    </row>
    <row r="67" ht="15" customHeight="1">
      <c r="A67" s="63">
        <f>IF(C67="","",IFERROR(IF(SUMPRODUCT(MAX((tbl_Finance[Job Number]=C67&amp;"")*(tbl_Finance[Xero Invoice No]&lt;&gt;"")*tbl_Finance[Date]))=0,"",SUMPRODUCT(MAX((tbl_Finance[Job Number]=C67&amp;"")*(tbl_Finance[Xero Invoice No]&lt;&gt;"")*tbl_Finance[Date]))),""))</f>
        <v/>
      </c>
      <c r="B67" s="25">
        <f>IF(C67="","",IF(COUNTIFS(tbl_Finance[Job Number],C67&amp;"",tbl_Finance[Xero Invoice No],"&lt;&gt;")=0,"",IFERROR(IF(COUNTIFS(tbl_Finance[Job Number],C67&amp;"",tbl_Finance[Xero Invoice No],LOOKUP(2,1/((tbl_Finance[Job Number]=C67&amp;"")*(tbl_Finance[Xero Invoice No]&lt;&gt;"")),tbl_Finance[Xero Invoice No]))=COUNTIFS(tbl_Finance[Job Number],C67&amp;"",tbl_Finance[Xero Invoice No],"&lt;&gt;"),LOOKUP(2,1/((tbl_Finance[Job Number]=C67&amp;"")*(tbl_Finance[Xero Invoice No]&lt;&gt;"")),tbl_Finance[Xero Invoice No]),LOOKUP(2,1/((tbl_Finance[Job Number]=C67&amp;"")*(tbl_Finance[Xero Invoice No]&lt;&gt;"")),tbl_Finance[Xero Invoice No])&amp;" +more"),"")))</f>
        <v/>
      </c>
      <c r="C67" s="24" t="n"/>
      <c r="D67" s="25">
        <f>IF(C67="","",IF(COUNTIF(lst_Jobs,C67&amp;"")&gt;0,"OK","CHECK"))</f>
        <v/>
      </c>
      <c r="E67" s="25">
        <f>IF(C67="","",IFERROR(INDEX(lst_JobName,MATCH(C67&amp;"",lst_Jobs,0)),""))</f>
        <v/>
      </c>
      <c r="F67" s="25">
        <f>IF(C67="","",IFERROR(INDEX(tbl_Finance[Client],MATCH(C67&amp;"",tbl_Finance[Job Number],0)),""))</f>
        <v/>
      </c>
      <c r="G67" s="28">
        <f>IF(C67="","",COUNTIFS(tbl_Finance[Job Number],C67&amp;"",tbl_Finance[Ex GST],"&lt;&gt;"))</f>
        <v/>
      </c>
      <c r="H67" s="27">
        <f>IF(C67="","",SUMIFS(tbl_Finance[Ex GST],tbl_Finance[Job Number],C67&amp;""))</f>
        <v/>
      </c>
      <c r="I67" s="27">
        <f>IF(C67="","",SUMIFS(tbl_Finance[Ex GST],tbl_Finance[Job Number],C67&amp;"",tbl_Finance[Xero Invoice No],"&lt;&gt;"))</f>
        <v/>
      </c>
      <c r="J67" s="27">
        <f>IF(C67="","",H67-I67)</f>
        <v/>
      </c>
      <c r="K67" s="25">
        <f>IF(C67="","",IF(G67=0,"not invoiced yet",SUBSTITUTE(TRIM(IF(COUNTIFS(tbl_Finance[Job Number],C67&amp;"",tbl_Finance[Cost Centre],"ONSITE")&gt;0,"ONSITE ","")&amp;IF(COUNTIFS(tbl_Finance[Job Number],C67&amp;"",tbl_Finance[Cost Centre],"PRODUCTION")&gt;0,"PRODUCTION ","")&amp;IF(COUNTIFS(tbl_Finance[Job Number],C67&amp;"",tbl_Finance[Cost Centre],"VIDEO")&gt;0,"VIDEO ","")&amp;IF(COUNTIFS(tbl_Finance[Job Number],C67&amp;"",tbl_Finance[Cost Centre],"INTEGRATION")&gt;0,"INTEGRATION ","")&amp;IF(COUNTIFS(tbl_Finance[Job Number],C67&amp;"",tbl_Finance[Cost Centre],"CONSULTING")&gt;0,"CONSULTING ","")&amp;IF(COUNTIFS(tbl_Finance[Job Number],C67&amp;"",tbl_Finance[Cost Centre],"CTS")&gt;0,"CTS ",""))," ",", ")))</f>
        <v/>
      </c>
      <c r="L67" s="24" t="n"/>
      <c r="M67" s="25">
        <f>IF(L67="","",HYPERLINK(IF(LEFT(L67,4)="http",L67,set_QwilrBase&amp;L67),"Open quote"))</f>
        <v/>
      </c>
      <c r="N67" s="26" t="n"/>
      <c r="O67" s="26" t="n"/>
      <c r="P67" s="26" t="n"/>
      <c r="Q67" s="25">
        <f>IF(C67="","",IF(N(N67)+N(O67)+N(P67)=0,"Not split",IF(ROUND(N(N67)+N(O67)+N(P67),2)=ROUND(H67,2),"OK","MISMATCH")))</f>
        <v/>
      </c>
      <c r="R67" s="26" t="n"/>
      <c r="S67" s="26" t="n"/>
      <c r="T67" s="26" t="n"/>
      <c r="U67" s="27">
        <f>IF(C67="","",N(R67)+N(S67)+N(T67))</f>
        <v/>
      </c>
      <c r="V67" s="27">
        <f>IF(C67="","",H67-U67)</f>
        <v/>
      </c>
      <c r="W67" s="29">
        <f>IFERROR(V67/H67,"")</f>
        <v/>
      </c>
      <c r="X67" s="24" t="n"/>
    </row>
    <row r="68" ht="15" customHeight="1">
      <c r="A68" s="63">
        <f>IF(C68="","",IFERROR(IF(SUMPRODUCT(MAX((tbl_Finance[Job Number]=C68&amp;"")*(tbl_Finance[Xero Invoice No]&lt;&gt;"")*tbl_Finance[Date]))=0,"",SUMPRODUCT(MAX((tbl_Finance[Job Number]=C68&amp;"")*(tbl_Finance[Xero Invoice No]&lt;&gt;"")*tbl_Finance[Date]))),""))</f>
        <v/>
      </c>
      <c r="B68" s="25">
        <f>IF(C68="","",IF(COUNTIFS(tbl_Finance[Job Number],C68&amp;"",tbl_Finance[Xero Invoice No],"&lt;&gt;")=0,"",IFERROR(IF(COUNTIFS(tbl_Finance[Job Number],C68&amp;"",tbl_Finance[Xero Invoice No],LOOKUP(2,1/((tbl_Finance[Job Number]=C68&amp;"")*(tbl_Finance[Xero Invoice No]&lt;&gt;"")),tbl_Finance[Xero Invoice No]))=COUNTIFS(tbl_Finance[Job Number],C68&amp;"",tbl_Finance[Xero Invoice No],"&lt;&gt;"),LOOKUP(2,1/((tbl_Finance[Job Number]=C68&amp;"")*(tbl_Finance[Xero Invoice No]&lt;&gt;"")),tbl_Finance[Xero Invoice No]),LOOKUP(2,1/((tbl_Finance[Job Number]=C68&amp;"")*(tbl_Finance[Xero Invoice No]&lt;&gt;"")),tbl_Finance[Xero Invoice No])&amp;" +more"),"")))</f>
        <v/>
      </c>
      <c r="C68" s="24" t="n"/>
      <c r="D68" s="25">
        <f>IF(C68="","",IF(COUNTIF(lst_Jobs,C68&amp;"")&gt;0,"OK","CHECK"))</f>
        <v/>
      </c>
      <c r="E68" s="25">
        <f>IF(C68="","",IFERROR(INDEX(lst_JobName,MATCH(C68&amp;"",lst_Jobs,0)),""))</f>
        <v/>
      </c>
      <c r="F68" s="25">
        <f>IF(C68="","",IFERROR(INDEX(tbl_Finance[Client],MATCH(C68&amp;"",tbl_Finance[Job Number],0)),""))</f>
        <v/>
      </c>
      <c r="G68" s="28">
        <f>IF(C68="","",COUNTIFS(tbl_Finance[Job Number],C68&amp;"",tbl_Finance[Ex GST],"&lt;&gt;"))</f>
        <v/>
      </c>
      <c r="H68" s="27">
        <f>IF(C68="","",SUMIFS(tbl_Finance[Ex GST],tbl_Finance[Job Number],C68&amp;""))</f>
        <v/>
      </c>
      <c r="I68" s="27">
        <f>IF(C68="","",SUMIFS(tbl_Finance[Ex GST],tbl_Finance[Job Number],C68&amp;"",tbl_Finance[Xero Invoice No],"&lt;&gt;"))</f>
        <v/>
      </c>
      <c r="J68" s="27">
        <f>IF(C68="","",H68-I68)</f>
        <v/>
      </c>
      <c r="K68" s="25">
        <f>IF(C68="","",IF(G68=0,"not invoiced yet",SUBSTITUTE(TRIM(IF(COUNTIFS(tbl_Finance[Job Number],C68&amp;"",tbl_Finance[Cost Centre],"ONSITE")&gt;0,"ONSITE ","")&amp;IF(COUNTIFS(tbl_Finance[Job Number],C68&amp;"",tbl_Finance[Cost Centre],"PRODUCTION")&gt;0,"PRODUCTION ","")&amp;IF(COUNTIFS(tbl_Finance[Job Number],C68&amp;"",tbl_Finance[Cost Centre],"VIDEO")&gt;0,"VIDEO ","")&amp;IF(COUNTIFS(tbl_Finance[Job Number],C68&amp;"",tbl_Finance[Cost Centre],"INTEGRATION")&gt;0,"INTEGRATION ","")&amp;IF(COUNTIFS(tbl_Finance[Job Number],C68&amp;"",tbl_Finance[Cost Centre],"CONSULTING")&gt;0,"CONSULTING ","")&amp;IF(COUNTIFS(tbl_Finance[Job Number],C68&amp;"",tbl_Finance[Cost Centre],"CTS")&gt;0,"CTS ",""))," ",", ")))</f>
        <v/>
      </c>
      <c r="L68" s="24" t="n"/>
      <c r="M68" s="25">
        <f>IF(L68="","",HYPERLINK(IF(LEFT(L68,4)="http",L68,set_QwilrBase&amp;L68),"Open quote"))</f>
        <v/>
      </c>
      <c r="N68" s="26" t="n"/>
      <c r="O68" s="26" t="n"/>
      <c r="P68" s="26" t="n"/>
      <c r="Q68" s="25">
        <f>IF(C68="","",IF(N(N68)+N(O68)+N(P68)=0,"Not split",IF(ROUND(N(N68)+N(O68)+N(P68),2)=ROUND(H68,2),"OK","MISMATCH")))</f>
        <v/>
      </c>
      <c r="R68" s="26" t="n"/>
      <c r="S68" s="26" t="n"/>
      <c r="T68" s="26" t="n"/>
      <c r="U68" s="27">
        <f>IF(C68="","",N(R68)+N(S68)+N(T68))</f>
        <v/>
      </c>
      <c r="V68" s="27">
        <f>IF(C68="","",H68-U68)</f>
        <v/>
      </c>
      <c r="W68" s="29">
        <f>IFERROR(V68/H68,"")</f>
        <v/>
      </c>
      <c r="X68" s="24" t="n"/>
    </row>
    <row r="69" ht="15" customHeight="1">
      <c r="A69" s="63">
        <f>IF(C69="","",IFERROR(IF(SUMPRODUCT(MAX((tbl_Finance[Job Number]=C69&amp;"")*(tbl_Finance[Xero Invoice No]&lt;&gt;"")*tbl_Finance[Date]))=0,"",SUMPRODUCT(MAX((tbl_Finance[Job Number]=C69&amp;"")*(tbl_Finance[Xero Invoice No]&lt;&gt;"")*tbl_Finance[Date]))),""))</f>
        <v/>
      </c>
      <c r="B69" s="25">
        <f>IF(C69="","",IF(COUNTIFS(tbl_Finance[Job Number],C69&amp;"",tbl_Finance[Xero Invoice No],"&lt;&gt;")=0,"",IFERROR(IF(COUNTIFS(tbl_Finance[Job Number],C69&amp;"",tbl_Finance[Xero Invoice No],LOOKUP(2,1/((tbl_Finance[Job Number]=C69&amp;"")*(tbl_Finance[Xero Invoice No]&lt;&gt;"")),tbl_Finance[Xero Invoice No]))=COUNTIFS(tbl_Finance[Job Number],C69&amp;"",tbl_Finance[Xero Invoice No],"&lt;&gt;"),LOOKUP(2,1/((tbl_Finance[Job Number]=C69&amp;"")*(tbl_Finance[Xero Invoice No]&lt;&gt;"")),tbl_Finance[Xero Invoice No]),LOOKUP(2,1/((tbl_Finance[Job Number]=C69&amp;"")*(tbl_Finance[Xero Invoice No]&lt;&gt;"")),tbl_Finance[Xero Invoice No])&amp;" +more"),"")))</f>
        <v/>
      </c>
      <c r="C69" s="24" t="n"/>
      <c r="D69" s="25">
        <f>IF(C69="","",IF(COUNTIF(lst_Jobs,C69&amp;"")&gt;0,"OK","CHECK"))</f>
        <v/>
      </c>
      <c r="E69" s="25">
        <f>IF(C69="","",IFERROR(INDEX(lst_JobName,MATCH(C69&amp;"",lst_Jobs,0)),""))</f>
        <v/>
      </c>
      <c r="F69" s="25">
        <f>IF(C69="","",IFERROR(INDEX(tbl_Finance[Client],MATCH(C69&amp;"",tbl_Finance[Job Number],0)),""))</f>
        <v/>
      </c>
      <c r="G69" s="28">
        <f>IF(C69="","",COUNTIFS(tbl_Finance[Job Number],C69&amp;"",tbl_Finance[Ex GST],"&lt;&gt;"))</f>
        <v/>
      </c>
      <c r="H69" s="27">
        <f>IF(C69="","",SUMIFS(tbl_Finance[Ex GST],tbl_Finance[Job Number],C69&amp;""))</f>
        <v/>
      </c>
      <c r="I69" s="27">
        <f>IF(C69="","",SUMIFS(tbl_Finance[Ex GST],tbl_Finance[Job Number],C69&amp;"",tbl_Finance[Xero Invoice No],"&lt;&gt;"))</f>
        <v/>
      </c>
      <c r="J69" s="27">
        <f>IF(C69="","",H69-I69)</f>
        <v/>
      </c>
      <c r="K69" s="25">
        <f>IF(C69="","",IF(G69=0,"not invoiced yet",SUBSTITUTE(TRIM(IF(COUNTIFS(tbl_Finance[Job Number],C69&amp;"",tbl_Finance[Cost Centre],"ONSITE")&gt;0,"ONSITE ","")&amp;IF(COUNTIFS(tbl_Finance[Job Number],C69&amp;"",tbl_Finance[Cost Centre],"PRODUCTION")&gt;0,"PRODUCTION ","")&amp;IF(COUNTIFS(tbl_Finance[Job Number],C69&amp;"",tbl_Finance[Cost Centre],"VIDEO")&gt;0,"VIDEO ","")&amp;IF(COUNTIFS(tbl_Finance[Job Number],C69&amp;"",tbl_Finance[Cost Centre],"INTEGRATION")&gt;0,"INTEGRATION ","")&amp;IF(COUNTIFS(tbl_Finance[Job Number],C69&amp;"",tbl_Finance[Cost Centre],"CONSULTING")&gt;0,"CONSULTING ","")&amp;IF(COUNTIFS(tbl_Finance[Job Number],C69&amp;"",tbl_Finance[Cost Centre],"CTS")&gt;0,"CTS ",""))," ",", ")))</f>
        <v/>
      </c>
      <c r="L69" s="24" t="n"/>
      <c r="M69" s="25">
        <f>IF(L69="","",HYPERLINK(IF(LEFT(L69,4)="http",L69,set_QwilrBase&amp;L69),"Open quote"))</f>
        <v/>
      </c>
      <c r="N69" s="26" t="n"/>
      <c r="O69" s="26" t="n"/>
      <c r="P69" s="26" t="n"/>
      <c r="Q69" s="25">
        <f>IF(C69="","",IF(N(N69)+N(O69)+N(P69)=0,"Not split",IF(ROUND(N(N69)+N(O69)+N(P69),2)=ROUND(H69,2),"OK","MISMATCH")))</f>
        <v/>
      </c>
      <c r="R69" s="26" t="n"/>
      <c r="S69" s="26" t="n"/>
      <c r="T69" s="26" t="n"/>
      <c r="U69" s="27">
        <f>IF(C69="","",N(R69)+N(S69)+N(T69))</f>
        <v/>
      </c>
      <c r="V69" s="27">
        <f>IF(C69="","",H69-U69)</f>
        <v/>
      </c>
      <c r="W69" s="29">
        <f>IFERROR(V69/H69,"")</f>
        <v/>
      </c>
      <c r="X69" s="24" t="n"/>
    </row>
    <row r="70" ht="15" customHeight="1">
      <c r="A70" s="63">
        <f>IF(C70="","",IFERROR(IF(SUMPRODUCT(MAX((tbl_Finance[Job Number]=C70&amp;"")*(tbl_Finance[Xero Invoice No]&lt;&gt;"")*tbl_Finance[Date]))=0,"",SUMPRODUCT(MAX((tbl_Finance[Job Number]=C70&amp;"")*(tbl_Finance[Xero Invoice No]&lt;&gt;"")*tbl_Finance[Date]))),""))</f>
        <v/>
      </c>
      <c r="B70" s="25">
        <f>IF(C70="","",IF(COUNTIFS(tbl_Finance[Job Number],C70&amp;"",tbl_Finance[Xero Invoice No],"&lt;&gt;")=0,"",IFERROR(IF(COUNTIFS(tbl_Finance[Job Number],C70&amp;"",tbl_Finance[Xero Invoice No],LOOKUP(2,1/((tbl_Finance[Job Number]=C70&amp;"")*(tbl_Finance[Xero Invoice No]&lt;&gt;"")),tbl_Finance[Xero Invoice No]))=COUNTIFS(tbl_Finance[Job Number],C70&amp;"",tbl_Finance[Xero Invoice No],"&lt;&gt;"),LOOKUP(2,1/((tbl_Finance[Job Number]=C70&amp;"")*(tbl_Finance[Xero Invoice No]&lt;&gt;"")),tbl_Finance[Xero Invoice No]),LOOKUP(2,1/((tbl_Finance[Job Number]=C70&amp;"")*(tbl_Finance[Xero Invoice No]&lt;&gt;"")),tbl_Finance[Xero Invoice No])&amp;" +more"),"")))</f>
        <v/>
      </c>
      <c r="C70" s="24" t="n"/>
      <c r="D70" s="25">
        <f>IF(C70="","",IF(COUNTIF(lst_Jobs,C70&amp;"")&gt;0,"OK","CHECK"))</f>
        <v/>
      </c>
      <c r="E70" s="25">
        <f>IF(C70="","",IFERROR(INDEX(lst_JobName,MATCH(C70&amp;"",lst_Jobs,0)),""))</f>
        <v/>
      </c>
      <c r="F70" s="25">
        <f>IF(C70="","",IFERROR(INDEX(tbl_Finance[Client],MATCH(C70&amp;"",tbl_Finance[Job Number],0)),""))</f>
        <v/>
      </c>
      <c r="G70" s="28">
        <f>IF(C70="","",COUNTIFS(tbl_Finance[Job Number],C70&amp;"",tbl_Finance[Ex GST],"&lt;&gt;"))</f>
        <v/>
      </c>
      <c r="H70" s="27">
        <f>IF(C70="","",SUMIFS(tbl_Finance[Ex GST],tbl_Finance[Job Number],C70&amp;""))</f>
        <v/>
      </c>
      <c r="I70" s="27">
        <f>IF(C70="","",SUMIFS(tbl_Finance[Ex GST],tbl_Finance[Job Number],C70&amp;"",tbl_Finance[Xero Invoice No],"&lt;&gt;"))</f>
        <v/>
      </c>
      <c r="J70" s="27">
        <f>IF(C70="","",H70-I70)</f>
        <v/>
      </c>
      <c r="K70" s="25">
        <f>IF(C70="","",IF(G70=0,"not invoiced yet",SUBSTITUTE(TRIM(IF(COUNTIFS(tbl_Finance[Job Number],C70&amp;"",tbl_Finance[Cost Centre],"ONSITE")&gt;0,"ONSITE ","")&amp;IF(COUNTIFS(tbl_Finance[Job Number],C70&amp;"",tbl_Finance[Cost Centre],"PRODUCTION")&gt;0,"PRODUCTION ","")&amp;IF(COUNTIFS(tbl_Finance[Job Number],C70&amp;"",tbl_Finance[Cost Centre],"VIDEO")&gt;0,"VIDEO ","")&amp;IF(COUNTIFS(tbl_Finance[Job Number],C70&amp;"",tbl_Finance[Cost Centre],"INTEGRATION")&gt;0,"INTEGRATION ","")&amp;IF(COUNTIFS(tbl_Finance[Job Number],C70&amp;"",tbl_Finance[Cost Centre],"CONSULTING")&gt;0,"CONSULTING ","")&amp;IF(COUNTIFS(tbl_Finance[Job Number],C70&amp;"",tbl_Finance[Cost Centre],"CTS")&gt;0,"CTS ",""))," ",", ")))</f>
        <v/>
      </c>
      <c r="L70" s="24" t="n"/>
      <c r="M70" s="25">
        <f>IF(L70="","",HYPERLINK(IF(LEFT(L70,4)="http",L70,set_QwilrBase&amp;L70),"Open quote"))</f>
        <v/>
      </c>
      <c r="N70" s="26" t="n"/>
      <c r="O70" s="26" t="n"/>
      <c r="P70" s="26" t="n"/>
      <c r="Q70" s="25">
        <f>IF(C70="","",IF(N(N70)+N(O70)+N(P70)=0,"Not split",IF(ROUND(N(N70)+N(O70)+N(P70),2)=ROUND(H70,2),"OK","MISMATCH")))</f>
        <v/>
      </c>
      <c r="R70" s="26" t="n"/>
      <c r="S70" s="26" t="n"/>
      <c r="T70" s="26" t="n"/>
      <c r="U70" s="27">
        <f>IF(C70="","",N(R70)+N(S70)+N(T70))</f>
        <v/>
      </c>
      <c r="V70" s="27">
        <f>IF(C70="","",H70-U70)</f>
        <v/>
      </c>
      <c r="W70" s="29">
        <f>IFERROR(V70/H70,"")</f>
        <v/>
      </c>
      <c r="X70" s="24" t="n"/>
    </row>
    <row r="71" ht="15" customHeight="1">
      <c r="A71" s="63">
        <f>IF(C71="","",IFERROR(IF(SUMPRODUCT(MAX((tbl_Finance[Job Number]=C71&amp;"")*(tbl_Finance[Xero Invoice No]&lt;&gt;"")*tbl_Finance[Date]))=0,"",SUMPRODUCT(MAX((tbl_Finance[Job Number]=C71&amp;"")*(tbl_Finance[Xero Invoice No]&lt;&gt;"")*tbl_Finance[Date]))),""))</f>
        <v/>
      </c>
      <c r="B71" s="25">
        <f>IF(C71="","",IF(COUNTIFS(tbl_Finance[Job Number],C71&amp;"",tbl_Finance[Xero Invoice No],"&lt;&gt;")=0,"",IFERROR(IF(COUNTIFS(tbl_Finance[Job Number],C71&amp;"",tbl_Finance[Xero Invoice No],LOOKUP(2,1/((tbl_Finance[Job Number]=C71&amp;"")*(tbl_Finance[Xero Invoice No]&lt;&gt;"")),tbl_Finance[Xero Invoice No]))=COUNTIFS(tbl_Finance[Job Number],C71&amp;"",tbl_Finance[Xero Invoice No],"&lt;&gt;"),LOOKUP(2,1/((tbl_Finance[Job Number]=C71&amp;"")*(tbl_Finance[Xero Invoice No]&lt;&gt;"")),tbl_Finance[Xero Invoice No]),LOOKUP(2,1/((tbl_Finance[Job Number]=C71&amp;"")*(tbl_Finance[Xero Invoice No]&lt;&gt;"")),tbl_Finance[Xero Invoice No])&amp;" +more"),"")))</f>
        <v/>
      </c>
      <c r="C71" s="24" t="n"/>
      <c r="D71" s="25">
        <f>IF(C71="","",IF(COUNTIF(lst_Jobs,C71&amp;"")&gt;0,"OK","CHECK"))</f>
        <v/>
      </c>
      <c r="E71" s="25">
        <f>IF(C71="","",IFERROR(INDEX(lst_JobName,MATCH(C71&amp;"",lst_Jobs,0)),""))</f>
        <v/>
      </c>
      <c r="F71" s="25">
        <f>IF(C71="","",IFERROR(INDEX(tbl_Finance[Client],MATCH(C71&amp;"",tbl_Finance[Job Number],0)),""))</f>
        <v/>
      </c>
      <c r="G71" s="28">
        <f>IF(C71="","",COUNTIFS(tbl_Finance[Job Number],C71&amp;"",tbl_Finance[Ex GST],"&lt;&gt;"))</f>
        <v/>
      </c>
      <c r="H71" s="27">
        <f>IF(C71="","",SUMIFS(tbl_Finance[Ex GST],tbl_Finance[Job Number],C71&amp;""))</f>
        <v/>
      </c>
      <c r="I71" s="27">
        <f>IF(C71="","",SUMIFS(tbl_Finance[Ex GST],tbl_Finance[Job Number],C71&amp;"",tbl_Finance[Xero Invoice No],"&lt;&gt;"))</f>
        <v/>
      </c>
      <c r="J71" s="27">
        <f>IF(C71="","",H71-I71)</f>
        <v/>
      </c>
      <c r="K71" s="25">
        <f>IF(C71="","",IF(G71=0,"not invoiced yet",SUBSTITUTE(TRIM(IF(COUNTIFS(tbl_Finance[Job Number],C71&amp;"",tbl_Finance[Cost Centre],"ONSITE")&gt;0,"ONSITE ","")&amp;IF(COUNTIFS(tbl_Finance[Job Number],C71&amp;"",tbl_Finance[Cost Centre],"PRODUCTION")&gt;0,"PRODUCTION ","")&amp;IF(COUNTIFS(tbl_Finance[Job Number],C71&amp;"",tbl_Finance[Cost Centre],"VIDEO")&gt;0,"VIDEO ","")&amp;IF(COUNTIFS(tbl_Finance[Job Number],C71&amp;"",tbl_Finance[Cost Centre],"INTEGRATION")&gt;0,"INTEGRATION ","")&amp;IF(COUNTIFS(tbl_Finance[Job Number],C71&amp;"",tbl_Finance[Cost Centre],"CONSULTING")&gt;0,"CONSULTING ","")&amp;IF(COUNTIFS(tbl_Finance[Job Number],C71&amp;"",tbl_Finance[Cost Centre],"CTS")&gt;0,"CTS ",""))," ",", ")))</f>
        <v/>
      </c>
      <c r="L71" s="24" t="n"/>
      <c r="M71" s="25">
        <f>IF(L71="","",HYPERLINK(IF(LEFT(L71,4)="http",L71,set_QwilrBase&amp;L71),"Open quote"))</f>
        <v/>
      </c>
      <c r="N71" s="26" t="n"/>
      <c r="O71" s="26" t="n"/>
      <c r="P71" s="26" t="n"/>
      <c r="Q71" s="25">
        <f>IF(C71="","",IF(N(N71)+N(O71)+N(P71)=0,"Not split",IF(ROUND(N(N71)+N(O71)+N(P71),2)=ROUND(H71,2),"OK","MISMATCH")))</f>
        <v/>
      </c>
      <c r="R71" s="26" t="n"/>
      <c r="S71" s="26" t="n"/>
      <c r="T71" s="26" t="n"/>
      <c r="U71" s="27">
        <f>IF(C71="","",N(R71)+N(S71)+N(T71))</f>
        <v/>
      </c>
      <c r="V71" s="27">
        <f>IF(C71="","",H71-U71)</f>
        <v/>
      </c>
      <c r="W71" s="29">
        <f>IFERROR(V71/H71,"")</f>
        <v/>
      </c>
      <c r="X71" s="24" t="n"/>
    </row>
    <row r="72" ht="15" customHeight="1">
      <c r="A72" s="63">
        <f>IF(C72="","",IFERROR(IF(SUMPRODUCT(MAX((tbl_Finance[Job Number]=C72&amp;"")*(tbl_Finance[Xero Invoice No]&lt;&gt;"")*tbl_Finance[Date]))=0,"",SUMPRODUCT(MAX((tbl_Finance[Job Number]=C72&amp;"")*(tbl_Finance[Xero Invoice No]&lt;&gt;"")*tbl_Finance[Date]))),""))</f>
        <v/>
      </c>
      <c r="B72" s="25">
        <f>IF(C72="","",IF(COUNTIFS(tbl_Finance[Job Number],C72&amp;"",tbl_Finance[Xero Invoice No],"&lt;&gt;")=0,"",IFERROR(IF(COUNTIFS(tbl_Finance[Job Number],C72&amp;"",tbl_Finance[Xero Invoice No],LOOKUP(2,1/((tbl_Finance[Job Number]=C72&amp;"")*(tbl_Finance[Xero Invoice No]&lt;&gt;"")),tbl_Finance[Xero Invoice No]))=COUNTIFS(tbl_Finance[Job Number],C72&amp;"",tbl_Finance[Xero Invoice No],"&lt;&gt;"),LOOKUP(2,1/((tbl_Finance[Job Number]=C72&amp;"")*(tbl_Finance[Xero Invoice No]&lt;&gt;"")),tbl_Finance[Xero Invoice No]),LOOKUP(2,1/((tbl_Finance[Job Number]=C72&amp;"")*(tbl_Finance[Xero Invoice No]&lt;&gt;"")),tbl_Finance[Xero Invoice No])&amp;" +more"),"")))</f>
        <v/>
      </c>
      <c r="C72" s="24" t="n"/>
      <c r="D72" s="25">
        <f>IF(C72="","",IF(COUNTIF(lst_Jobs,C72&amp;"")&gt;0,"OK","CHECK"))</f>
        <v/>
      </c>
      <c r="E72" s="25">
        <f>IF(C72="","",IFERROR(INDEX(lst_JobName,MATCH(C72&amp;"",lst_Jobs,0)),""))</f>
        <v/>
      </c>
      <c r="F72" s="25">
        <f>IF(C72="","",IFERROR(INDEX(tbl_Finance[Client],MATCH(C72&amp;"",tbl_Finance[Job Number],0)),""))</f>
        <v/>
      </c>
      <c r="G72" s="28">
        <f>IF(C72="","",COUNTIFS(tbl_Finance[Job Number],C72&amp;"",tbl_Finance[Ex GST],"&lt;&gt;"))</f>
        <v/>
      </c>
      <c r="H72" s="27">
        <f>IF(C72="","",SUMIFS(tbl_Finance[Ex GST],tbl_Finance[Job Number],C72&amp;""))</f>
        <v/>
      </c>
      <c r="I72" s="27">
        <f>IF(C72="","",SUMIFS(tbl_Finance[Ex GST],tbl_Finance[Job Number],C72&amp;"",tbl_Finance[Xero Invoice No],"&lt;&gt;"))</f>
        <v/>
      </c>
      <c r="J72" s="27">
        <f>IF(C72="","",H72-I72)</f>
        <v/>
      </c>
      <c r="K72" s="25">
        <f>IF(C72="","",IF(G72=0,"not invoiced yet",SUBSTITUTE(TRIM(IF(COUNTIFS(tbl_Finance[Job Number],C72&amp;"",tbl_Finance[Cost Centre],"ONSITE")&gt;0,"ONSITE ","")&amp;IF(COUNTIFS(tbl_Finance[Job Number],C72&amp;"",tbl_Finance[Cost Centre],"PRODUCTION")&gt;0,"PRODUCTION ","")&amp;IF(COUNTIFS(tbl_Finance[Job Number],C72&amp;"",tbl_Finance[Cost Centre],"VIDEO")&gt;0,"VIDEO ","")&amp;IF(COUNTIFS(tbl_Finance[Job Number],C72&amp;"",tbl_Finance[Cost Centre],"INTEGRATION")&gt;0,"INTEGRATION ","")&amp;IF(COUNTIFS(tbl_Finance[Job Number],C72&amp;"",tbl_Finance[Cost Centre],"CONSULTING")&gt;0,"CONSULTING ","")&amp;IF(COUNTIFS(tbl_Finance[Job Number],C72&amp;"",tbl_Finance[Cost Centre],"CTS")&gt;0,"CTS ",""))," ",", ")))</f>
        <v/>
      </c>
      <c r="L72" s="24" t="n"/>
      <c r="M72" s="25">
        <f>IF(L72="","",HYPERLINK(IF(LEFT(L72,4)="http",L72,set_QwilrBase&amp;L72),"Open quote"))</f>
        <v/>
      </c>
      <c r="N72" s="26" t="n"/>
      <c r="O72" s="26" t="n"/>
      <c r="P72" s="26" t="n"/>
      <c r="Q72" s="25">
        <f>IF(C72="","",IF(N(N72)+N(O72)+N(P72)=0,"Not split",IF(ROUND(N(N72)+N(O72)+N(P72),2)=ROUND(H72,2),"OK","MISMATCH")))</f>
        <v/>
      </c>
      <c r="R72" s="26" t="n"/>
      <c r="S72" s="26" t="n"/>
      <c r="T72" s="26" t="n"/>
      <c r="U72" s="27">
        <f>IF(C72="","",N(R72)+N(S72)+N(T72))</f>
        <v/>
      </c>
      <c r="V72" s="27">
        <f>IF(C72="","",H72-U72)</f>
        <v/>
      </c>
      <c r="W72" s="29">
        <f>IFERROR(V72/H72,"")</f>
        <v/>
      </c>
      <c r="X72" s="24" t="n"/>
    </row>
    <row r="73" ht="15" customHeight="1">
      <c r="A73" s="63">
        <f>IF(C73="","",IFERROR(IF(SUMPRODUCT(MAX((tbl_Finance[Job Number]=C73&amp;"")*(tbl_Finance[Xero Invoice No]&lt;&gt;"")*tbl_Finance[Date]))=0,"",SUMPRODUCT(MAX((tbl_Finance[Job Number]=C73&amp;"")*(tbl_Finance[Xero Invoice No]&lt;&gt;"")*tbl_Finance[Date]))),""))</f>
        <v/>
      </c>
      <c r="B73" s="25">
        <f>IF(C73="","",IF(COUNTIFS(tbl_Finance[Job Number],C73&amp;"",tbl_Finance[Xero Invoice No],"&lt;&gt;")=0,"",IFERROR(IF(COUNTIFS(tbl_Finance[Job Number],C73&amp;"",tbl_Finance[Xero Invoice No],LOOKUP(2,1/((tbl_Finance[Job Number]=C73&amp;"")*(tbl_Finance[Xero Invoice No]&lt;&gt;"")),tbl_Finance[Xero Invoice No]))=COUNTIFS(tbl_Finance[Job Number],C73&amp;"",tbl_Finance[Xero Invoice No],"&lt;&gt;"),LOOKUP(2,1/((tbl_Finance[Job Number]=C73&amp;"")*(tbl_Finance[Xero Invoice No]&lt;&gt;"")),tbl_Finance[Xero Invoice No]),LOOKUP(2,1/((tbl_Finance[Job Number]=C73&amp;"")*(tbl_Finance[Xero Invoice No]&lt;&gt;"")),tbl_Finance[Xero Invoice No])&amp;" +more"),"")))</f>
        <v/>
      </c>
      <c r="C73" s="24" t="n"/>
      <c r="D73" s="25">
        <f>IF(C73="","",IF(COUNTIF(lst_Jobs,C73&amp;"")&gt;0,"OK","CHECK"))</f>
        <v/>
      </c>
      <c r="E73" s="25">
        <f>IF(C73="","",IFERROR(INDEX(lst_JobName,MATCH(C73&amp;"",lst_Jobs,0)),""))</f>
        <v/>
      </c>
      <c r="F73" s="25">
        <f>IF(C73="","",IFERROR(INDEX(tbl_Finance[Client],MATCH(C73&amp;"",tbl_Finance[Job Number],0)),""))</f>
        <v/>
      </c>
      <c r="G73" s="28">
        <f>IF(C73="","",COUNTIFS(tbl_Finance[Job Number],C73&amp;"",tbl_Finance[Ex GST],"&lt;&gt;"))</f>
        <v/>
      </c>
      <c r="H73" s="27">
        <f>IF(C73="","",SUMIFS(tbl_Finance[Ex GST],tbl_Finance[Job Number],C73&amp;""))</f>
        <v/>
      </c>
      <c r="I73" s="27">
        <f>IF(C73="","",SUMIFS(tbl_Finance[Ex GST],tbl_Finance[Job Number],C73&amp;"",tbl_Finance[Xero Invoice No],"&lt;&gt;"))</f>
        <v/>
      </c>
      <c r="J73" s="27">
        <f>IF(C73="","",H73-I73)</f>
        <v/>
      </c>
      <c r="K73" s="25">
        <f>IF(C73="","",IF(G73=0,"not invoiced yet",SUBSTITUTE(TRIM(IF(COUNTIFS(tbl_Finance[Job Number],C73&amp;"",tbl_Finance[Cost Centre],"ONSITE")&gt;0,"ONSITE ","")&amp;IF(COUNTIFS(tbl_Finance[Job Number],C73&amp;"",tbl_Finance[Cost Centre],"PRODUCTION")&gt;0,"PRODUCTION ","")&amp;IF(COUNTIFS(tbl_Finance[Job Number],C73&amp;"",tbl_Finance[Cost Centre],"VIDEO")&gt;0,"VIDEO ","")&amp;IF(COUNTIFS(tbl_Finance[Job Number],C73&amp;"",tbl_Finance[Cost Centre],"INTEGRATION")&gt;0,"INTEGRATION ","")&amp;IF(COUNTIFS(tbl_Finance[Job Number],C73&amp;"",tbl_Finance[Cost Centre],"CONSULTING")&gt;0,"CONSULTING ","")&amp;IF(COUNTIFS(tbl_Finance[Job Number],C73&amp;"",tbl_Finance[Cost Centre],"CTS")&gt;0,"CTS ",""))," ",", ")))</f>
        <v/>
      </c>
      <c r="L73" s="24" t="n"/>
      <c r="M73" s="25">
        <f>IF(L73="","",HYPERLINK(IF(LEFT(L73,4)="http",L73,set_QwilrBase&amp;L73),"Open quote"))</f>
        <v/>
      </c>
      <c r="N73" s="26" t="n"/>
      <c r="O73" s="26" t="n"/>
      <c r="P73" s="26" t="n"/>
      <c r="Q73" s="25">
        <f>IF(C73="","",IF(N(N73)+N(O73)+N(P73)=0,"Not split",IF(ROUND(N(N73)+N(O73)+N(P73),2)=ROUND(H73,2),"OK","MISMATCH")))</f>
        <v/>
      </c>
      <c r="R73" s="26" t="n"/>
      <c r="S73" s="26" t="n"/>
      <c r="T73" s="26" t="n"/>
      <c r="U73" s="27">
        <f>IF(C73="","",N(R73)+N(S73)+N(T73))</f>
        <v/>
      </c>
      <c r="V73" s="27">
        <f>IF(C73="","",H73-U73)</f>
        <v/>
      </c>
      <c r="W73" s="29">
        <f>IFERROR(V73/H73,"")</f>
        <v/>
      </c>
      <c r="X73" s="24" t="n"/>
    </row>
    <row r="74" ht="15" customHeight="1">
      <c r="A74" s="63">
        <f>IF(C74="","",IFERROR(IF(SUMPRODUCT(MAX((tbl_Finance[Job Number]=C74&amp;"")*(tbl_Finance[Xero Invoice No]&lt;&gt;"")*tbl_Finance[Date]))=0,"",SUMPRODUCT(MAX((tbl_Finance[Job Number]=C74&amp;"")*(tbl_Finance[Xero Invoice No]&lt;&gt;"")*tbl_Finance[Date]))),""))</f>
        <v/>
      </c>
      <c r="B74" s="25">
        <f>IF(C74="","",IF(COUNTIFS(tbl_Finance[Job Number],C74&amp;"",tbl_Finance[Xero Invoice No],"&lt;&gt;")=0,"",IFERROR(IF(COUNTIFS(tbl_Finance[Job Number],C74&amp;"",tbl_Finance[Xero Invoice No],LOOKUP(2,1/((tbl_Finance[Job Number]=C74&amp;"")*(tbl_Finance[Xero Invoice No]&lt;&gt;"")),tbl_Finance[Xero Invoice No]))=COUNTIFS(tbl_Finance[Job Number],C74&amp;"",tbl_Finance[Xero Invoice No],"&lt;&gt;"),LOOKUP(2,1/((tbl_Finance[Job Number]=C74&amp;"")*(tbl_Finance[Xero Invoice No]&lt;&gt;"")),tbl_Finance[Xero Invoice No]),LOOKUP(2,1/((tbl_Finance[Job Number]=C74&amp;"")*(tbl_Finance[Xero Invoice No]&lt;&gt;"")),tbl_Finance[Xero Invoice No])&amp;" +more"),"")))</f>
        <v/>
      </c>
      <c r="C74" s="24" t="n"/>
      <c r="D74" s="25">
        <f>IF(C74="","",IF(COUNTIF(lst_Jobs,C74&amp;"")&gt;0,"OK","CHECK"))</f>
        <v/>
      </c>
      <c r="E74" s="25">
        <f>IF(C74="","",IFERROR(INDEX(lst_JobName,MATCH(C74&amp;"",lst_Jobs,0)),""))</f>
        <v/>
      </c>
      <c r="F74" s="25">
        <f>IF(C74="","",IFERROR(INDEX(tbl_Finance[Client],MATCH(C74&amp;"",tbl_Finance[Job Number],0)),""))</f>
        <v/>
      </c>
      <c r="G74" s="28">
        <f>IF(C74="","",COUNTIFS(tbl_Finance[Job Number],C74&amp;"",tbl_Finance[Ex GST],"&lt;&gt;"))</f>
        <v/>
      </c>
      <c r="H74" s="27">
        <f>IF(C74="","",SUMIFS(tbl_Finance[Ex GST],tbl_Finance[Job Number],C74&amp;""))</f>
        <v/>
      </c>
      <c r="I74" s="27">
        <f>IF(C74="","",SUMIFS(tbl_Finance[Ex GST],tbl_Finance[Job Number],C74&amp;"",tbl_Finance[Xero Invoice No],"&lt;&gt;"))</f>
        <v/>
      </c>
      <c r="J74" s="27">
        <f>IF(C74="","",H74-I74)</f>
        <v/>
      </c>
      <c r="K74" s="25">
        <f>IF(C74="","",IF(G74=0,"not invoiced yet",SUBSTITUTE(TRIM(IF(COUNTIFS(tbl_Finance[Job Number],C74&amp;"",tbl_Finance[Cost Centre],"ONSITE")&gt;0,"ONSITE ","")&amp;IF(COUNTIFS(tbl_Finance[Job Number],C74&amp;"",tbl_Finance[Cost Centre],"PRODUCTION")&gt;0,"PRODUCTION ","")&amp;IF(COUNTIFS(tbl_Finance[Job Number],C74&amp;"",tbl_Finance[Cost Centre],"VIDEO")&gt;0,"VIDEO ","")&amp;IF(COUNTIFS(tbl_Finance[Job Number],C74&amp;"",tbl_Finance[Cost Centre],"INTEGRATION")&gt;0,"INTEGRATION ","")&amp;IF(COUNTIFS(tbl_Finance[Job Number],C74&amp;"",tbl_Finance[Cost Centre],"CONSULTING")&gt;0,"CONSULTING ","")&amp;IF(COUNTIFS(tbl_Finance[Job Number],C74&amp;"",tbl_Finance[Cost Centre],"CTS")&gt;0,"CTS ",""))," ",", ")))</f>
        <v/>
      </c>
      <c r="L74" s="24" t="n"/>
      <c r="M74" s="25">
        <f>IF(L74="","",HYPERLINK(IF(LEFT(L74,4)="http",L74,set_QwilrBase&amp;L74),"Open quote"))</f>
        <v/>
      </c>
      <c r="N74" s="26" t="n"/>
      <c r="O74" s="26" t="n"/>
      <c r="P74" s="26" t="n"/>
      <c r="Q74" s="25">
        <f>IF(C74="","",IF(N(N74)+N(O74)+N(P74)=0,"Not split",IF(ROUND(N(N74)+N(O74)+N(P74),2)=ROUND(H74,2),"OK","MISMATCH")))</f>
        <v/>
      </c>
      <c r="R74" s="26" t="n"/>
      <c r="S74" s="26" t="n"/>
      <c r="T74" s="26" t="n"/>
      <c r="U74" s="27">
        <f>IF(C74="","",N(R74)+N(S74)+N(T74))</f>
        <v/>
      </c>
      <c r="V74" s="27">
        <f>IF(C74="","",H74-U74)</f>
        <v/>
      </c>
      <c r="W74" s="29">
        <f>IFERROR(V74/H74,"")</f>
        <v/>
      </c>
      <c r="X74" s="24" t="n"/>
    </row>
    <row r="75" ht="15" customHeight="1">
      <c r="A75" s="63">
        <f>IF(C75="","",IFERROR(IF(SUMPRODUCT(MAX((tbl_Finance[Job Number]=C75&amp;"")*(tbl_Finance[Xero Invoice No]&lt;&gt;"")*tbl_Finance[Date]))=0,"",SUMPRODUCT(MAX((tbl_Finance[Job Number]=C75&amp;"")*(tbl_Finance[Xero Invoice No]&lt;&gt;"")*tbl_Finance[Date]))),""))</f>
        <v/>
      </c>
      <c r="B75" s="25">
        <f>IF(C75="","",IF(COUNTIFS(tbl_Finance[Job Number],C75&amp;"",tbl_Finance[Xero Invoice No],"&lt;&gt;")=0,"",IFERROR(IF(COUNTIFS(tbl_Finance[Job Number],C75&amp;"",tbl_Finance[Xero Invoice No],LOOKUP(2,1/((tbl_Finance[Job Number]=C75&amp;"")*(tbl_Finance[Xero Invoice No]&lt;&gt;"")),tbl_Finance[Xero Invoice No]))=COUNTIFS(tbl_Finance[Job Number],C75&amp;"",tbl_Finance[Xero Invoice No],"&lt;&gt;"),LOOKUP(2,1/((tbl_Finance[Job Number]=C75&amp;"")*(tbl_Finance[Xero Invoice No]&lt;&gt;"")),tbl_Finance[Xero Invoice No]),LOOKUP(2,1/((tbl_Finance[Job Number]=C75&amp;"")*(tbl_Finance[Xero Invoice No]&lt;&gt;"")),tbl_Finance[Xero Invoice No])&amp;" +more"),"")))</f>
        <v/>
      </c>
      <c r="C75" s="24" t="n"/>
      <c r="D75" s="25">
        <f>IF(C75="","",IF(COUNTIF(lst_Jobs,C75&amp;"")&gt;0,"OK","CHECK"))</f>
        <v/>
      </c>
      <c r="E75" s="25">
        <f>IF(C75="","",IFERROR(INDEX(lst_JobName,MATCH(C75&amp;"",lst_Jobs,0)),""))</f>
        <v/>
      </c>
      <c r="F75" s="25">
        <f>IF(C75="","",IFERROR(INDEX(tbl_Finance[Client],MATCH(C75&amp;"",tbl_Finance[Job Number],0)),""))</f>
        <v/>
      </c>
      <c r="G75" s="28">
        <f>IF(C75="","",COUNTIFS(tbl_Finance[Job Number],C75&amp;"",tbl_Finance[Ex GST],"&lt;&gt;"))</f>
        <v/>
      </c>
      <c r="H75" s="27">
        <f>IF(C75="","",SUMIFS(tbl_Finance[Ex GST],tbl_Finance[Job Number],C75&amp;""))</f>
        <v/>
      </c>
      <c r="I75" s="27">
        <f>IF(C75="","",SUMIFS(tbl_Finance[Ex GST],tbl_Finance[Job Number],C75&amp;"",tbl_Finance[Xero Invoice No],"&lt;&gt;"))</f>
        <v/>
      </c>
      <c r="J75" s="27">
        <f>IF(C75="","",H75-I75)</f>
        <v/>
      </c>
      <c r="K75" s="25">
        <f>IF(C75="","",IF(G75=0,"not invoiced yet",SUBSTITUTE(TRIM(IF(COUNTIFS(tbl_Finance[Job Number],C75&amp;"",tbl_Finance[Cost Centre],"ONSITE")&gt;0,"ONSITE ","")&amp;IF(COUNTIFS(tbl_Finance[Job Number],C75&amp;"",tbl_Finance[Cost Centre],"PRODUCTION")&gt;0,"PRODUCTION ","")&amp;IF(COUNTIFS(tbl_Finance[Job Number],C75&amp;"",tbl_Finance[Cost Centre],"VIDEO")&gt;0,"VIDEO ","")&amp;IF(COUNTIFS(tbl_Finance[Job Number],C75&amp;"",tbl_Finance[Cost Centre],"INTEGRATION")&gt;0,"INTEGRATION ","")&amp;IF(COUNTIFS(tbl_Finance[Job Number],C75&amp;"",tbl_Finance[Cost Centre],"CONSULTING")&gt;0,"CONSULTING ","")&amp;IF(COUNTIFS(tbl_Finance[Job Number],C75&amp;"",tbl_Finance[Cost Centre],"CTS")&gt;0,"CTS ",""))," ",", ")))</f>
        <v/>
      </c>
      <c r="L75" s="24" t="n"/>
      <c r="M75" s="25">
        <f>IF(L75="","",HYPERLINK(IF(LEFT(L75,4)="http",L75,set_QwilrBase&amp;L75),"Open quote"))</f>
        <v/>
      </c>
      <c r="N75" s="26" t="n"/>
      <c r="O75" s="26" t="n"/>
      <c r="P75" s="26" t="n"/>
      <c r="Q75" s="25">
        <f>IF(C75="","",IF(N(N75)+N(O75)+N(P75)=0,"Not split",IF(ROUND(N(N75)+N(O75)+N(P75),2)=ROUND(H75,2),"OK","MISMATCH")))</f>
        <v/>
      </c>
      <c r="R75" s="26" t="n"/>
      <c r="S75" s="26" t="n"/>
      <c r="T75" s="26" t="n"/>
      <c r="U75" s="27">
        <f>IF(C75="","",N(R75)+N(S75)+N(T75))</f>
        <v/>
      </c>
      <c r="V75" s="27">
        <f>IF(C75="","",H75-U75)</f>
        <v/>
      </c>
      <c r="W75" s="29">
        <f>IFERROR(V75/H75,"")</f>
        <v/>
      </c>
      <c r="X75" s="24" t="n"/>
    </row>
    <row r="76" ht="15" customHeight="1">
      <c r="A76" s="63">
        <f>IF(C76="","",IFERROR(IF(SUMPRODUCT(MAX((tbl_Finance[Job Number]=C76&amp;"")*(tbl_Finance[Xero Invoice No]&lt;&gt;"")*tbl_Finance[Date]))=0,"",SUMPRODUCT(MAX((tbl_Finance[Job Number]=C76&amp;"")*(tbl_Finance[Xero Invoice No]&lt;&gt;"")*tbl_Finance[Date]))),""))</f>
        <v/>
      </c>
      <c r="B76" s="25">
        <f>IF(C76="","",IF(COUNTIFS(tbl_Finance[Job Number],C76&amp;"",tbl_Finance[Xero Invoice No],"&lt;&gt;")=0,"",IFERROR(IF(COUNTIFS(tbl_Finance[Job Number],C76&amp;"",tbl_Finance[Xero Invoice No],LOOKUP(2,1/((tbl_Finance[Job Number]=C76&amp;"")*(tbl_Finance[Xero Invoice No]&lt;&gt;"")),tbl_Finance[Xero Invoice No]))=COUNTIFS(tbl_Finance[Job Number],C76&amp;"",tbl_Finance[Xero Invoice No],"&lt;&gt;"),LOOKUP(2,1/((tbl_Finance[Job Number]=C76&amp;"")*(tbl_Finance[Xero Invoice No]&lt;&gt;"")),tbl_Finance[Xero Invoice No]),LOOKUP(2,1/((tbl_Finance[Job Number]=C76&amp;"")*(tbl_Finance[Xero Invoice No]&lt;&gt;"")),tbl_Finance[Xero Invoice No])&amp;" +more"),"")))</f>
        <v/>
      </c>
      <c r="C76" s="24" t="n"/>
      <c r="D76" s="25">
        <f>IF(C76="","",IF(COUNTIF(lst_Jobs,C76&amp;"")&gt;0,"OK","CHECK"))</f>
        <v/>
      </c>
      <c r="E76" s="25">
        <f>IF(C76="","",IFERROR(INDEX(lst_JobName,MATCH(C76&amp;"",lst_Jobs,0)),""))</f>
        <v/>
      </c>
      <c r="F76" s="25">
        <f>IF(C76="","",IFERROR(INDEX(tbl_Finance[Client],MATCH(C76&amp;"",tbl_Finance[Job Number],0)),""))</f>
        <v/>
      </c>
      <c r="G76" s="28">
        <f>IF(C76="","",COUNTIFS(tbl_Finance[Job Number],C76&amp;"",tbl_Finance[Ex GST],"&lt;&gt;"))</f>
        <v/>
      </c>
      <c r="H76" s="27">
        <f>IF(C76="","",SUMIFS(tbl_Finance[Ex GST],tbl_Finance[Job Number],C76&amp;""))</f>
        <v/>
      </c>
      <c r="I76" s="27">
        <f>IF(C76="","",SUMIFS(tbl_Finance[Ex GST],tbl_Finance[Job Number],C76&amp;"",tbl_Finance[Xero Invoice No],"&lt;&gt;"))</f>
        <v/>
      </c>
      <c r="J76" s="27">
        <f>IF(C76="","",H76-I76)</f>
        <v/>
      </c>
      <c r="K76" s="25">
        <f>IF(C76="","",IF(G76=0,"not invoiced yet",SUBSTITUTE(TRIM(IF(COUNTIFS(tbl_Finance[Job Number],C76&amp;"",tbl_Finance[Cost Centre],"ONSITE")&gt;0,"ONSITE ","")&amp;IF(COUNTIFS(tbl_Finance[Job Number],C76&amp;"",tbl_Finance[Cost Centre],"PRODUCTION")&gt;0,"PRODUCTION ","")&amp;IF(COUNTIFS(tbl_Finance[Job Number],C76&amp;"",tbl_Finance[Cost Centre],"VIDEO")&gt;0,"VIDEO ","")&amp;IF(COUNTIFS(tbl_Finance[Job Number],C76&amp;"",tbl_Finance[Cost Centre],"INTEGRATION")&gt;0,"INTEGRATION ","")&amp;IF(COUNTIFS(tbl_Finance[Job Number],C76&amp;"",tbl_Finance[Cost Centre],"CONSULTING")&gt;0,"CONSULTING ","")&amp;IF(COUNTIFS(tbl_Finance[Job Number],C76&amp;"",tbl_Finance[Cost Centre],"CTS")&gt;0,"CTS ",""))," ",", ")))</f>
        <v/>
      </c>
      <c r="L76" s="24" t="n"/>
      <c r="M76" s="25">
        <f>IF(L76="","",HYPERLINK(IF(LEFT(L76,4)="http",L76,set_QwilrBase&amp;L76),"Open quote"))</f>
        <v/>
      </c>
      <c r="N76" s="26" t="n"/>
      <c r="O76" s="26" t="n"/>
      <c r="P76" s="26" t="n"/>
      <c r="Q76" s="25">
        <f>IF(C76="","",IF(N(N76)+N(O76)+N(P76)=0,"Not split",IF(ROUND(N(N76)+N(O76)+N(P76),2)=ROUND(H76,2),"OK","MISMATCH")))</f>
        <v/>
      </c>
      <c r="R76" s="26" t="n"/>
      <c r="S76" s="26" t="n"/>
      <c r="T76" s="26" t="n"/>
      <c r="U76" s="27">
        <f>IF(C76="","",N(R76)+N(S76)+N(T76))</f>
        <v/>
      </c>
      <c r="V76" s="27">
        <f>IF(C76="","",H76-U76)</f>
        <v/>
      </c>
      <c r="W76" s="29">
        <f>IFERROR(V76/H76,"")</f>
        <v/>
      </c>
      <c r="X76" s="24" t="n"/>
    </row>
    <row r="77" ht="15" customHeight="1">
      <c r="A77" s="63">
        <f>IF(C77="","",IFERROR(IF(SUMPRODUCT(MAX((tbl_Finance[Job Number]=C77&amp;"")*(tbl_Finance[Xero Invoice No]&lt;&gt;"")*tbl_Finance[Date]))=0,"",SUMPRODUCT(MAX((tbl_Finance[Job Number]=C77&amp;"")*(tbl_Finance[Xero Invoice No]&lt;&gt;"")*tbl_Finance[Date]))),""))</f>
        <v/>
      </c>
      <c r="B77" s="25">
        <f>IF(C77="","",IF(COUNTIFS(tbl_Finance[Job Number],C77&amp;"",tbl_Finance[Xero Invoice No],"&lt;&gt;")=0,"",IFERROR(IF(COUNTIFS(tbl_Finance[Job Number],C77&amp;"",tbl_Finance[Xero Invoice No],LOOKUP(2,1/((tbl_Finance[Job Number]=C77&amp;"")*(tbl_Finance[Xero Invoice No]&lt;&gt;"")),tbl_Finance[Xero Invoice No]))=COUNTIFS(tbl_Finance[Job Number],C77&amp;"",tbl_Finance[Xero Invoice No],"&lt;&gt;"),LOOKUP(2,1/((tbl_Finance[Job Number]=C77&amp;"")*(tbl_Finance[Xero Invoice No]&lt;&gt;"")),tbl_Finance[Xero Invoice No]),LOOKUP(2,1/((tbl_Finance[Job Number]=C77&amp;"")*(tbl_Finance[Xero Invoice No]&lt;&gt;"")),tbl_Finance[Xero Invoice No])&amp;" +more"),"")))</f>
        <v/>
      </c>
      <c r="C77" s="24" t="n"/>
      <c r="D77" s="25">
        <f>IF(C77="","",IF(COUNTIF(lst_Jobs,C77&amp;"")&gt;0,"OK","CHECK"))</f>
        <v/>
      </c>
      <c r="E77" s="25">
        <f>IF(C77="","",IFERROR(INDEX(lst_JobName,MATCH(C77&amp;"",lst_Jobs,0)),""))</f>
        <v/>
      </c>
      <c r="F77" s="25">
        <f>IF(C77="","",IFERROR(INDEX(tbl_Finance[Client],MATCH(C77&amp;"",tbl_Finance[Job Number],0)),""))</f>
        <v/>
      </c>
      <c r="G77" s="28">
        <f>IF(C77="","",COUNTIFS(tbl_Finance[Job Number],C77&amp;"",tbl_Finance[Ex GST],"&lt;&gt;"))</f>
        <v/>
      </c>
      <c r="H77" s="27">
        <f>IF(C77="","",SUMIFS(tbl_Finance[Ex GST],tbl_Finance[Job Number],C77&amp;""))</f>
        <v/>
      </c>
      <c r="I77" s="27">
        <f>IF(C77="","",SUMIFS(tbl_Finance[Ex GST],tbl_Finance[Job Number],C77&amp;"",tbl_Finance[Xero Invoice No],"&lt;&gt;"))</f>
        <v/>
      </c>
      <c r="J77" s="27">
        <f>IF(C77="","",H77-I77)</f>
        <v/>
      </c>
      <c r="K77" s="25">
        <f>IF(C77="","",IF(G77=0,"not invoiced yet",SUBSTITUTE(TRIM(IF(COUNTIFS(tbl_Finance[Job Number],C77&amp;"",tbl_Finance[Cost Centre],"ONSITE")&gt;0,"ONSITE ","")&amp;IF(COUNTIFS(tbl_Finance[Job Number],C77&amp;"",tbl_Finance[Cost Centre],"PRODUCTION")&gt;0,"PRODUCTION ","")&amp;IF(COUNTIFS(tbl_Finance[Job Number],C77&amp;"",tbl_Finance[Cost Centre],"VIDEO")&gt;0,"VIDEO ","")&amp;IF(COUNTIFS(tbl_Finance[Job Number],C77&amp;"",tbl_Finance[Cost Centre],"INTEGRATION")&gt;0,"INTEGRATION ","")&amp;IF(COUNTIFS(tbl_Finance[Job Number],C77&amp;"",tbl_Finance[Cost Centre],"CONSULTING")&gt;0,"CONSULTING ","")&amp;IF(COUNTIFS(tbl_Finance[Job Number],C77&amp;"",tbl_Finance[Cost Centre],"CTS")&gt;0,"CTS ",""))," ",", ")))</f>
        <v/>
      </c>
      <c r="L77" s="24" t="n"/>
      <c r="M77" s="25">
        <f>IF(L77="","",HYPERLINK(IF(LEFT(L77,4)="http",L77,set_QwilrBase&amp;L77),"Open quote"))</f>
        <v/>
      </c>
      <c r="N77" s="26" t="n"/>
      <c r="O77" s="26" t="n"/>
      <c r="P77" s="26" t="n"/>
      <c r="Q77" s="25">
        <f>IF(C77="","",IF(N(N77)+N(O77)+N(P77)=0,"Not split",IF(ROUND(N(N77)+N(O77)+N(P77),2)=ROUND(H77,2),"OK","MISMATCH")))</f>
        <v/>
      </c>
      <c r="R77" s="26" t="n"/>
      <c r="S77" s="26" t="n"/>
      <c r="T77" s="26" t="n"/>
      <c r="U77" s="27">
        <f>IF(C77="","",N(R77)+N(S77)+N(T77))</f>
        <v/>
      </c>
      <c r="V77" s="27">
        <f>IF(C77="","",H77-U77)</f>
        <v/>
      </c>
      <c r="W77" s="29">
        <f>IFERROR(V77/H77,"")</f>
        <v/>
      </c>
      <c r="X77" s="24" t="n"/>
    </row>
    <row r="78" ht="15" customHeight="1">
      <c r="A78" s="63">
        <f>IF(C78="","",IFERROR(IF(SUMPRODUCT(MAX((tbl_Finance[Job Number]=C78&amp;"")*(tbl_Finance[Xero Invoice No]&lt;&gt;"")*tbl_Finance[Date]))=0,"",SUMPRODUCT(MAX((tbl_Finance[Job Number]=C78&amp;"")*(tbl_Finance[Xero Invoice No]&lt;&gt;"")*tbl_Finance[Date]))),""))</f>
        <v/>
      </c>
      <c r="B78" s="25">
        <f>IF(C78="","",IF(COUNTIFS(tbl_Finance[Job Number],C78&amp;"",tbl_Finance[Xero Invoice No],"&lt;&gt;")=0,"",IFERROR(IF(COUNTIFS(tbl_Finance[Job Number],C78&amp;"",tbl_Finance[Xero Invoice No],LOOKUP(2,1/((tbl_Finance[Job Number]=C78&amp;"")*(tbl_Finance[Xero Invoice No]&lt;&gt;"")),tbl_Finance[Xero Invoice No]))=COUNTIFS(tbl_Finance[Job Number],C78&amp;"",tbl_Finance[Xero Invoice No],"&lt;&gt;"),LOOKUP(2,1/((tbl_Finance[Job Number]=C78&amp;"")*(tbl_Finance[Xero Invoice No]&lt;&gt;"")),tbl_Finance[Xero Invoice No]),LOOKUP(2,1/((tbl_Finance[Job Number]=C78&amp;"")*(tbl_Finance[Xero Invoice No]&lt;&gt;"")),tbl_Finance[Xero Invoice No])&amp;" +more"),"")))</f>
        <v/>
      </c>
      <c r="C78" s="24" t="n"/>
      <c r="D78" s="25">
        <f>IF(C78="","",IF(COUNTIF(lst_Jobs,C78&amp;"")&gt;0,"OK","CHECK"))</f>
        <v/>
      </c>
      <c r="E78" s="25">
        <f>IF(C78="","",IFERROR(INDEX(lst_JobName,MATCH(C78&amp;"",lst_Jobs,0)),""))</f>
        <v/>
      </c>
      <c r="F78" s="25">
        <f>IF(C78="","",IFERROR(INDEX(tbl_Finance[Client],MATCH(C78&amp;"",tbl_Finance[Job Number],0)),""))</f>
        <v/>
      </c>
      <c r="G78" s="28">
        <f>IF(C78="","",COUNTIFS(tbl_Finance[Job Number],C78&amp;"",tbl_Finance[Ex GST],"&lt;&gt;"))</f>
        <v/>
      </c>
      <c r="H78" s="27">
        <f>IF(C78="","",SUMIFS(tbl_Finance[Ex GST],tbl_Finance[Job Number],C78&amp;""))</f>
        <v/>
      </c>
      <c r="I78" s="27">
        <f>IF(C78="","",SUMIFS(tbl_Finance[Ex GST],tbl_Finance[Job Number],C78&amp;"",tbl_Finance[Xero Invoice No],"&lt;&gt;"))</f>
        <v/>
      </c>
      <c r="J78" s="27">
        <f>IF(C78="","",H78-I78)</f>
        <v/>
      </c>
      <c r="K78" s="25">
        <f>IF(C78="","",IF(G78=0,"not invoiced yet",SUBSTITUTE(TRIM(IF(COUNTIFS(tbl_Finance[Job Number],C78&amp;"",tbl_Finance[Cost Centre],"ONSITE")&gt;0,"ONSITE ","")&amp;IF(COUNTIFS(tbl_Finance[Job Number],C78&amp;"",tbl_Finance[Cost Centre],"PRODUCTION")&gt;0,"PRODUCTION ","")&amp;IF(COUNTIFS(tbl_Finance[Job Number],C78&amp;"",tbl_Finance[Cost Centre],"VIDEO")&gt;0,"VIDEO ","")&amp;IF(COUNTIFS(tbl_Finance[Job Number],C78&amp;"",tbl_Finance[Cost Centre],"INTEGRATION")&gt;0,"INTEGRATION ","")&amp;IF(COUNTIFS(tbl_Finance[Job Number],C78&amp;"",tbl_Finance[Cost Centre],"CONSULTING")&gt;0,"CONSULTING ","")&amp;IF(COUNTIFS(tbl_Finance[Job Number],C78&amp;"",tbl_Finance[Cost Centre],"CTS")&gt;0,"CTS ",""))," ",", ")))</f>
        <v/>
      </c>
      <c r="L78" s="24" t="n"/>
      <c r="M78" s="25">
        <f>IF(L78="","",HYPERLINK(IF(LEFT(L78,4)="http",L78,set_QwilrBase&amp;L78),"Open quote"))</f>
        <v/>
      </c>
      <c r="N78" s="26" t="n"/>
      <c r="O78" s="26" t="n"/>
      <c r="P78" s="26" t="n"/>
      <c r="Q78" s="25">
        <f>IF(C78="","",IF(N(N78)+N(O78)+N(P78)=0,"Not split",IF(ROUND(N(N78)+N(O78)+N(P78),2)=ROUND(H78,2),"OK","MISMATCH")))</f>
        <v/>
      </c>
      <c r="R78" s="26" t="n"/>
      <c r="S78" s="26" t="n"/>
      <c r="T78" s="26" t="n"/>
      <c r="U78" s="27">
        <f>IF(C78="","",N(R78)+N(S78)+N(T78))</f>
        <v/>
      </c>
      <c r="V78" s="27">
        <f>IF(C78="","",H78-U78)</f>
        <v/>
      </c>
      <c r="W78" s="29">
        <f>IFERROR(V78/H78,"")</f>
        <v/>
      </c>
      <c r="X78" s="24" t="n"/>
    </row>
    <row r="79" ht="15" customHeight="1">
      <c r="A79" s="63">
        <f>IF(C79="","",IFERROR(IF(SUMPRODUCT(MAX((tbl_Finance[Job Number]=C79&amp;"")*(tbl_Finance[Xero Invoice No]&lt;&gt;"")*tbl_Finance[Date]))=0,"",SUMPRODUCT(MAX((tbl_Finance[Job Number]=C79&amp;"")*(tbl_Finance[Xero Invoice No]&lt;&gt;"")*tbl_Finance[Date]))),""))</f>
        <v/>
      </c>
      <c r="B79" s="25">
        <f>IF(C79="","",IF(COUNTIFS(tbl_Finance[Job Number],C79&amp;"",tbl_Finance[Xero Invoice No],"&lt;&gt;")=0,"",IFERROR(IF(COUNTIFS(tbl_Finance[Job Number],C79&amp;"",tbl_Finance[Xero Invoice No],LOOKUP(2,1/((tbl_Finance[Job Number]=C79&amp;"")*(tbl_Finance[Xero Invoice No]&lt;&gt;"")),tbl_Finance[Xero Invoice No]))=COUNTIFS(tbl_Finance[Job Number],C79&amp;"",tbl_Finance[Xero Invoice No],"&lt;&gt;"),LOOKUP(2,1/((tbl_Finance[Job Number]=C79&amp;"")*(tbl_Finance[Xero Invoice No]&lt;&gt;"")),tbl_Finance[Xero Invoice No]),LOOKUP(2,1/((tbl_Finance[Job Number]=C79&amp;"")*(tbl_Finance[Xero Invoice No]&lt;&gt;"")),tbl_Finance[Xero Invoice No])&amp;" +more"),"")))</f>
        <v/>
      </c>
      <c r="C79" s="24" t="n"/>
      <c r="D79" s="25">
        <f>IF(C79="","",IF(COUNTIF(lst_Jobs,C79&amp;"")&gt;0,"OK","CHECK"))</f>
        <v/>
      </c>
      <c r="E79" s="25">
        <f>IF(C79="","",IFERROR(INDEX(lst_JobName,MATCH(C79&amp;"",lst_Jobs,0)),""))</f>
        <v/>
      </c>
      <c r="F79" s="25">
        <f>IF(C79="","",IFERROR(INDEX(tbl_Finance[Client],MATCH(C79&amp;"",tbl_Finance[Job Number],0)),""))</f>
        <v/>
      </c>
      <c r="G79" s="28">
        <f>IF(C79="","",COUNTIFS(tbl_Finance[Job Number],C79&amp;"",tbl_Finance[Ex GST],"&lt;&gt;"))</f>
        <v/>
      </c>
      <c r="H79" s="27">
        <f>IF(C79="","",SUMIFS(tbl_Finance[Ex GST],tbl_Finance[Job Number],C79&amp;""))</f>
        <v/>
      </c>
      <c r="I79" s="27">
        <f>IF(C79="","",SUMIFS(tbl_Finance[Ex GST],tbl_Finance[Job Number],C79&amp;"",tbl_Finance[Xero Invoice No],"&lt;&gt;"))</f>
        <v/>
      </c>
      <c r="J79" s="27">
        <f>IF(C79="","",H79-I79)</f>
        <v/>
      </c>
      <c r="K79" s="25">
        <f>IF(C79="","",IF(G79=0,"not invoiced yet",SUBSTITUTE(TRIM(IF(COUNTIFS(tbl_Finance[Job Number],C79&amp;"",tbl_Finance[Cost Centre],"ONSITE")&gt;0,"ONSITE ","")&amp;IF(COUNTIFS(tbl_Finance[Job Number],C79&amp;"",tbl_Finance[Cost Centre],"PRODUCTION")&gt;0,"PRODUCTION ","")&amp;IF(COUNTIFS(tbl_Finance[Job Number],C79&amp;"",tbl_Finance[Cost Centre],"VIDEO")&gt;0,"VIDEO ","")&amp;IF(COUNTIFS(tbl_Finance[Job Number],C79&amp;"",tbl_Finance[Cost Centre],"INTEGRATION")&gt;0,"INTEGRATION ","")&amp;IF(COUNTIFS(tbl_Finance[Job Number],C79&amp;"",tbl_Finance[Cost Centre],"CONSULTING")&gt;0,"CONSULTING ","")&amp;IF(COUNTIFS(tbl_Finance[Job Number],C79&amp;"",tbl_Finance[Cost Centre],"CTS")&gt;0,"CTS ",""))," ",", ")))</f>
        <v/>
      </c>
      <c r="L79" s="24" t="n"/>
      <c r="M79" s="25">
        <f>IF(L79="","",HYPERLINK(IF(LEFT(L79,4)="http",L79,set_QwilrBase&amp;L79),"Open quote"))</f>
        <v/>
      </c>
      <c r="N79" s="26" t="n"/>
      <c r="O79" s="26" t="n"/>
      <c r="P79" s="26" t="n"/>
      <c r="Q79" s="25">
        <f>IF(C79="","",IF(N(N79)+N(O79)+N(P79)=0,"Not split",IF(ROUND(N(N79)+N(O79)+N(P79),2)=ROUND(H79,2),"OK","MISMATCH")))</f>
        <v/>
      </c>
      <c r="R79" s="26" t="n"/>
      <c r="S79" s="26" t="n"/>
      <c r="T79" s="26" t="n"/>
      <c r="U79" s="27">
        <f>IF(C79="","",N(R79)+N(S79)+N(T79))</f>
        <v/>
      </c>
      <c r="V79" s="27">
        <f>IF(C79="","",H79-U79)</f>
        <v/>
      </c>
      <c r="W79" s="29">
        <f>IFERROR(V79/H79,"")</f>
        <v/>
      </c>
      <c r="X79" s="24" t="n"/>
    </row>
    <row r="80" ht="15" customHeight="1">
      <c r="A80" s="63">
        <f>IF(C80="","",IFERROR(IF(SUMPRODUCT(MAX((tbl_Finance[Job Number]=C80&amp;"")*(tbl_Finance[Xero Invoice No]&lt;&gt;"")*tbl_Finance[Date]))=0,"",SUMPRODUCT(MAX((tbl_Finance[Job Number]=C80&amp;"")*(tbl_Finance[Xero Invoice No]&lt;&gt;"")*tbl_Finance[Date]))),""))</f>
        <v/>
      </c>
      <c r="B80" s="25">
        <f>IF(C80="","",IF(COUNTIFS(tbl_Finance[Job Number],C80&amp;"",tbl_Finance[Xero Invoice No],"&lt;&gt;")=0,"",IFERROR(IF(COUNTIFS(tbl_Finance[Job Number],C80&amp;"",tbl_Finance[Xero Invoice No],LOOKUP(2,1/((tbl_Finance[Job Number]=C80&amp;"")*(tbl_Finance[Xero Invoice No]&lt;&gt;"")),tbl_Finance[Xero Invoice No]))=COUNTIFS(tbl_Finance[Job Number],C80&amp;"",tbl_Finance[Xero Invoice No],"&lt;&gt;"),LOOKUP(2,1/((tbl_Finance[Job Number]=C80&amp;"")*(tbl_Finance[Xero Invoice No]&lt;&gt;"")),tbl_Finance[Xero Invoice No]),LOOKUP(2,1/((tbl_Finance[Job Number]=C80&amp;"")*(tbl_Finance[Xero Invoice No]&lt;&gt;"")),tbl_Finance[Xero Invoice No])&amp;" +more"),"")))</f>
        <v/>
      </c>
      <c r="C80" s="24" t="n"/>
      <c r="D80" s="25">
        <f>IF(C80="","",IF(COUNTIF(lst_Jobs,C80&amp;"")&gt;0,"OK","CHECK"))</f>
        <v/>
      </c>
      <c r="E80" s="25">
        <f>IF(C80="","",IFERROR(INDEX(lst_JobName,MATCH(C80&amp;"",lst_Jobs,0)),""))</f>
        <v/>
      </c>
      <c r="F80" s="25">
        <f>IF(C80="","",IFERROR(INDEX(tbl_Finance[Client],MATCH(C80&amp;"",tbl_Finance[Job Number],0)),""))</f>
        <v/>
      </c>
      <c r="G80" s="28">
        <f>IF(C80="","",COUNTIFS(tbl_Finance[Job Number],C80&amp;"",tbl_Finance[Ex GST],"&lt;&gt;"))</f>
        <v/>
      </c>
      <c r="H80" s="27">
        <f>IF(C80="","",SUMIFS(tbl_Finance[Ex GST],tbl_Finance[Job Number],C80&amp;""))</f>
        <v/>
      </c>
      <c r="I80" s="27">
        <f>IF(C80="","",SUMIFS(tbl_Finance[Ex GST],tbl_Finance[Job Number],C80&amp;"",tbl_Finance[Xero Invoice No],"&lt;&gt;"))</f>
        <v/>
      </c>
      <c r="J80" s="27">
        <f>IF(C80="","",H80-I80)</f>
        <v/>
      </c>
      <c r="K80" s="25">
        <f>IF(C80="","",IF(G80=0,"not invoiced yet",SUBSTITUTE(TRIM(IF(COUNTIFS(tbl_Finance[Job Number],C80&amp;"",tbl_Finance[Cost Centre],"ONSITE")&gt;0,"ONSITE ","")&amp;IF(COUNTIFS(tbl_Finance[Job Number],C80&amp;"",tbl_Finance[Cost Centre],"PRODUCTION")&gt;0,"PRODUCTION ","")&amp;IF(COUNTIFS(tbl_Finance[Job Number],C80&amp;"",tbl_Finance[Cost Centre],"VIDEO")&gt;0,"VIDEO ","")&amp;IF(COUNTIFS(tbl_Finance[Job Number],C80&amp;"",tbl_Finance[Cost Centre],"INTEGRATION")&gt;0,"INTEGRATION ","")&amp;IF(COUNTIFS(tbl_Finance[Job Number],C80&amp;"",tbl_Finance[Cost Centre],"CONSULTING")&gt;0,"CONSULTING ","")&amp;IF(COUNTIFS(tbl_Finance[Job Number],C80&amp;"",tbl_Finance[Cost Centre],"CTS")&gt;0,"CTS ",""))," ",", ")))</f>
        <v/>
      </c>
      <c r="L80" s="24" t="n"/>
      <c r="M80" s="25">
        <f>IF(L80="","",HYPERLINK(IF(LEFT(L80,4)="http",L80,set_QwilrBase&amp;L80),"Open quote"))</f>
        <v/>
      </c>
      <c r="N80" s="26" t="n"/>
      <c r="O80" s="26" t="n"/>
      <c r="P80" s="26" t="n"/>
      <c r="Q80" s="25">
        <f>IF(C80="","",IF(N(N80)+N(O80)+N(P80)=0,"Not split",IF(ROUND(N(N80)+N(O80)+N(P80),2)=ROUND(H80,2),"OK","MISMATCH")))</f>
        <v/>
      </c>
      <c r="R80" s="26" t="n"/>
      <c r="S80" s="26" t="n"/>
      <c r="T80" s="26" t="n"/>
      <c r="U80" s="27">
        <f>IF(C80="","",N(R80)+N(S80)+N(T80))</f>
        <v/>
      </c>
      <c r="V80" s="27">
        <f>IF(C80="","",H80-U80)</f>
        <v/>
      </c>
      <c r="W80" s="29">
        <f>IFERROR(V80/H80,"")</f>
        <v/>
      </c>
      <c r="X80" s="24" t="n"/>
    </row>
    <row r="81" ht="15" customHeight="1">
      <c r="A81" s="63">
        <f>IF(C81="","",IFERROR(IF(SUMPRODUCT(MAX((tbl_Finance[Job Number]=C81&amp;"")*(tbl_Finance[Xero Invoice No]&lt;&gt;"")*tbl_Finance[Date]))=0,"",SUMPRODUCT(MAX((tbl_Finance[Job Number]=C81&amp;"")*(tbl_Finance[Xero Invoice No]&lt;&gt;"")*tbl_Finance[Date]))),""))</f>
        <v/>
      </c>
      <c r="B81" s="25">
        <f>IF(C81="","",IF(COUNTIFS(tbl_Finance[Job Number],C81&amp;"",tbl_Finance[Xero Invoice No],"&lt;&gt;")=0,"",IFERROR(IF(COUNTIFS(tbl_Finance[Job Number],C81&amp;"",tbl_Finance[Xero Invoice No],LOOKUP(2,1/((tbl_Finance[Job Number]=C81&amp;"")*(tbl_Finance[Xero Invoice No]&lt;&gt;"")),tbl_Finance[Xero Invoice No]))=COUNTIFS(tbl_Finance[Job Number],C81&amp;"",tbl_Finance[Xero Invoice No],"&lt;&gt;"),LOOKUP(2,1/((tbl_Finance[Job Number]=C81&amp;"")*(tbl_Finance[Xero Invoice No]&lt;&gt;"")),tbl_Finance[Xero Invoice No]),LOOKUP(2,1/((tbl_Finance[Job Number]=C81&amp;"")*(tbl_Finance[Xero Invoice No]&lt;&gt;"")),tbl_Finance[Xero Invoice No])&amp;" +more"),"")))</f>
        <v/>
      </c>
      <c r="C81" s="24" t="n"/>
      <c r="D81" s="25">
        <f>IF(C81="","",IF(COUNTIF(lst_Jobs,C81&amp;"")&gt;0,"OK","CHECK"))</f>
        <v/>
      </c>
      <c r="E81" s="25">
        <f>IF(C81="","",IFERROR(INDEX(lst_JobName,MATCH(C81&amp;"",lst_Jobs,0)),""))</f>
        <v/>
      </c>
      <c r="F81" s="25">
        <f>IF(C81="","",IFERROR(INDEX(tbl_Finance[Client],MATCH(C81&amp;"",tbl_Finance[Job Number],0)),""))</f>
        <v/>
      </c>
      <c r="G81" s="28">
        <f>IF(C81="","",COUNTIFS(tbl_Finance[Job Number],C81&amp;"",tbl_Finance[Ex GST],"&lt;&gt;"))</f>
        <v/>
      </c>
      <c r="H81" s="27">
        <f>IF(C81="","",SUMIFS(tbl_Finance[Ex GST],tbl_Finance[Job Number],C81&amp;""))</f>
        <v/>
      </c>
      <c r="I81" s="27">
        <f>IF(C81="","",SUMIFS(tbl_Finance[Ex GST],tbl_Finance[Job Number],C81&amp;"",tbl_Finance[Xero Invoice No],"&lt;&gt;"))</f>
        <v/>
      </c>
      <c r="J81" s="27">
        <f>IF(C81="","",H81-I81)</f>
        <v/>
      </c>
      <c r="K81" s="25">
        <f>IF(C81="","",IF(G81=0,"not invoiced yet",SUBSTITUTE(TRIM(IF(COUNTIFS(tbl_Finance[Job Number],C81&amp;"",tbl_Finance[Cost Centre],"ONSITE")&gt;0,"ONSITE ","")&amp;IF(COUNTIFS(tbl_Finance[Job Number],C81&amp;"",tbl_Finance[Cost Centre],"PRODUCTION")&gt;0,"PRODUCTION ","")&amp;IF(COUNTIFS(tbl_Finance[Job Number],C81&amp;"",tbl_Finance[Cost Centre],"VIDEO")&gt;0,"VIDEO ","")&amp;IF(COUNTIFS(tbl_Finance[Job Number],C81&amp;"",tbl_Finance[Cost Centre],"INTEGRATION")&gt;0,"INTEGRATION ","")&amp;IF(COUNTIFS(tbl_Finance[Job Number],C81&amp;"",tbl_Finance[Cost Centre],"CONSULTING")&gt;0,"CONSULTING ","")&amp;IF(COUNTIFS(tbl_Finance[Job Number],C81&amp;"",tbl_Finance[Cost Centre],"CTS")&gt;0,"CTS ",""))," ",", ")))</f>
        <v/>
      </c>
      <c r="L81" s="24" t="n"/>
      <c r="M81" s="25">
        <f>IF(L81="","",HYPERLINK(IF(LEFT(L81,4)="http",L81,set_QwilrBase&amp;L81),"Open quote"))</f>
        <v/>
      </c>
      <c r="N81" s="26" t="n"/>
      <c r="O81" s="26" t="n"/>
      <c r="P81" s="26" t="n"/>
      <c r="Q81" s="25">
        <f>IF(C81="","",IF(N(N81)+N(O81)+N(P81)=0,"Not split",IF(ROUND(N(N81)+N(O81)+N(P81),2)=ROUND(H81,2),"OK","MISMATCH")))</f>
        <v/>
      </c>
      <c r="R81" s="26" t="n"/>
      <c r="S81" s="26" t="n"/>
      <c r="T81" s="26" t="n"/>
      <c r="U81" s="27">
        <f>IF(C81="","",N(R81)+N(S81)+N(T81))</f>
        <v/>
      </c>
      <c r="V81" s="27">
        <f>IF(C81="","",H81-U81)</f>
        <v/>
      </c>
      <c r="W81" s="29">
        <f>IFERROR(V81/H81,"")</f>
        <v/>
      </c>
      <c r="X81" s="24" t="n"/>
    </row>
    <row r="82" ht="15" customHeight="1">
      <c r="A82" s="63">
        <f>IF(C82="","",IFERROR(IF(SUMPRODUCT(MAX((tbl_Finance[Job Number]=C82&amp;"")*(tbl_Finance[Xero Invoice No]&lt;&gt;"")*tbl_Finance[Date]))=0,"",SUMPRODUCT(MAX((tbl_Finance[Job Number]=C82&amp;"")*(tbl_Finance[Xero Invoice No]&lt;&gt;"")*tbl_Finance[Date]))),""))</f>
        <v/>
      </c>
      <c r="B82" s="25">
        <f>IF(C82="","",IF(COUNTIFS(tbl_Finance[Job Number],C82&amp;"",tbl_Finance[Xero Invoice No],"&lt;&gt;")=0,"",IFERROR(IF(COUNTIFS(tbl_Finance[Job Number],C82&amp;"",tbl_Finance[Xero Invoice No],LOOKUP(2,1/((tbl_Finance[Job Number]=C82&amp;"")*(tbl_Finance[Xero Invoice No]&lt;&gt;"")),tbl_Finance[Xero Invoice No]))=COUNTIFS(tbl_Finance[Job Number],C82&amp;"",tbl_Finance[Xero Invoice No],"&lt;&gt;"),LOOKUP(2,1/((tbl_Finance[Job Number]=C82&amp;"")*(tbl_Finance[Xero Invoice No]&lt;&gt;"")),tbl_Finance[Xero Invoice No]),LOOKUP(2,1/((tbl_Finance[Job Number]=C82&amp;"")*(tbl_Finance[Xero Invoice No]&lt;&gt;"")),tbl_Finance[Xero Invoice No])&amp;" +more"),"")))</f>
        <v/>
      </c>
      <c r="C82" s="24" t="n"/>
      <c r="D82" s="25">
        <f>IF(C82="","",IF(COUNTIF(lst_Jobs,C82&amp;"")&gt;0,"OK","CHECK"))</f>
        <v/>
      </c>
      <c r="E82" s="25">
        <f>IF(C82="","",IFERROR(INDEX(lst_JobName,MATCH(C82&amp;"",lst_Jobs,0)),""))</f>
        <v/>
      </c>
      <c r="F82" s="25">
        <f>IF(C82="","",IFERROR(INDEX(tbl_Finance[Client],MATCH(C82&amp;"",tbl_Finance[Job Number],0)),""))</f>
        <v/>
      </c>
      <c r="G82" s="28">
        <f>IF(C82="","",COUNTIFS(tbl_Finance[Job Number],C82&amp;"",tbl_Finance[Ex GST],"&lt;&gt;"))</f>
        <v/>
      </c>
      <c r="H82" s="27">
        <f>IF(C82="","",SUMIFS(tbl_Finance[Ex GST],tbl_Finance[Job Number],C82&amp;""))</f>
        <v/>
      </c>
      <c r="I82" s="27">
        <f>IF(C82="","",SUMIFS(tbl_Finance[Ex GST],tbl_Finance[Job Number],C82&amp;"",tbl_Finance[Xero Invoice No],"&lt;&gt;"))</f>
        <v/>
      </c>
      <c r="J82" s="27">
        <f>IF(C82="","",H82-I82)</f>
        <v/>
      </c>
      <c r="K82" s="25">
        <f>IF(C82="","",IF(G82=0,"not invoiced yet",SUBSTITUTE(TRIM(IF(COUNTIFS(tbl_Finance[Job Number],C82&amp;"",tbl_Finance[Cost Centre],"ONSITE")&gt;0,"ONSITE ","")&amp;IF(COUNTIFS(tbl_Finance[Job Number],C82&amp;"",tbl_Finance[Cost Centre],"PRODUCTION")&gt;0,"PRODUCTION ","")&amp;IF(COUNTIFS(tbl_Finance[Job Number],C82&amp;"",tbl_Finance[Cost Centre],"VIDEO")&gt;0,"VIDEO ","")&amp;IF(COUNTIFS(tbl_Finance[Job Number],C82&amp;"",tbl_Finance[Cost Centre],"INTEGRATION")&gt;0,"INTEGRATION ","")&amp;IF(COUNTIFS(tbl_Finance[Job Number],C82&amp;"",tbl_Finance[Cost Centre],"CONSULTING")&gt;0,"CONSULTING ","")&amp;IF(COUNTIFS(tbl_Finance[Job Number],C82&amp;"",tbl_Finance[Cost Centre],"CTS")&gt;0,"CTS ",""))," ",", ")))</f>
        <v/>
      </c>
      <c r="L82" s="24" t="n"/>
      <c r="M82" s="25">
        <f>IF(L82="","",HYPERLINK(IF(LEFT(L82,4)="http",L82,set_QwilrBase&amp;L82),"Open quote"))</f>
        <v/>
      </c>
      <c r="N82" s="26" t="n"/>
      <c r="O82" s="26" t="n"/>
      <c r="P82" s="26" t="n"/>
      <c r="Q82" s="25">
        <f>IF(C82="","",IF(N(N82)+N(O82)+N(P82)=0,"Not split",IF(ROUND(N(N82)+N(O82)+N(P82),2)=ROUND(H82,2),"OK","MISMATCH")))</f>
        <v/>
      </c>
      <c r="R82" s="26" t="n"/>
      <c r="S82" s="26" t="n"/>
      <c r="T82" s="26" t="n"/>
      <c r="U82" s="27">
        <f>IF(C82="","",N(R82)+N(S82)+N(T82))</f>
        <v/>
      </c>
      <c r="V82" s="27">
        <f>IF(C82="","",H82-U82)</f>
        <v/>
      </c>
      <c r="W82" s="29">
        <f>IFERROR(V82/H82,"")</f>
        <v/>
      </c>
      <c r="X82" s="24" t="n"/>
    </row>
    <row r="83" ht="15" customHeight="1">
      <c r="A83" s="63">
        <f>IF(C83="","",IFERROR(IF(SUMPRODUCT(MAX((tbl_Finance[Job Number]=C83&amp;"")*(tbl_Finance[Xero Invoice No]&lt;&gt;"")*tbl_Finance[Date]))=0,"",SUMPRODUCT(MAX((tbl_Finance[Job Number]=C83&amp;"")*(tbl_Finance[Xero Invoice No]&lt;&gt;"")*tbl_Finance[Date]))),""))</f>
        <v/>
      </c>
      <c r="B83" s="25">
        <f>IF(C83="","",IF(COUNTIFS(tbl_Finance[Job Number],C83&amp;"",tbl_Finance[Xero Invoice No],"&lt;&gt;")=0,"",IFERROR(IF(COUNTIFS(tbl_Finance[Job Number],C83&amp;"",tbl_Finance[Xero Invoice No],LOOKUP(2,1/((tbl_Finance[Job Number]=C83&amp;"")*(tbl_Finance[Xero Invoice No]&lt;&gt;"")),tbl_Finance[Xero Invoice No]))=COUNTIFS(tbl_Finance[Job Number],C83&amp;"",tbl_Finance[Xero Invoice No],"&lt;&gt;"),LOOKUP(2,1/((tbl_Finance[Job Number]=C83&amp;"")*(tbl_Finance[Xero Invoice No]&lt;&gt;"")),tbl_Finance[Xero Invoice No]),LOOKUP(2,1/((tbl_Finance[Job Number]=C83&amp;"")*(tbl_Finance[Xero Invoice No]&lt;&gt;"")),tbl_Finance[Xero Invoice No])&amp;" +more"),"")))</f>
        <v/>
      </c>
      <c r="C83" s="24" t="n"/>
      <c r="D83" s="25">
        <f>IF(C83="","",IF(COUNTIF(lst_Jobs,C83&amp;"")&gt;0,"OK","CHECK"))</f>
        <v/>
      </c>
      <c r="E83" s="25">
        <f>IF(C83="","",IFERROR(INDEX(lst_JobName,MATCH(C83&amp;"",lst_Jobs,0)),""))</f>
        <v/>
      </c>
      <c r="F83" s="25">
        <f>IF(C83="","",IFERROR(INDEX(tbl_Finance[Client],MATCH(C83&amp;"",tbl_Finance[Job Number],0)),""))</f>
        <v/>
      </c>
      <c r="G83" s="28">
        <f>IF(C83="","",COUNTIFS(tbl_Finance[Job Number],C83&amp;"",tbl_Finance[Ex GST],"&lt;&gt;"))</f>
        <v/>
      </c>
      <c r="H83" s="27">
        <f>IF(C83="","",SUMIFS(tbl_Finance[Ex GST],tbl_Finance[Job Number],C83&amp;""))</f>
        <v/>
      </c>
      <c r="I83" s="27">
        <f>IF(C83="","",SUMIFS(tbl_Finance[Ex GST],tbl_Finance[Job Number],C83&amp;"",tbl_Finance[Xero Invoice No],"&lt;&gt;"))</f>
        <v/>
      </c>
      <c r="J83" s="27">
        <f>IF(C83="","",H83-I83)</f>
        <v/>
      </c>
      <c r="K83" s="25">
        <f>IF(C83="","",IF(G83=0,"not invoiced yet",SUBSTITUTE(TRIM(IF(COUNTIFS(tbl_Finance[Job Number],C83&amp;"",tbl_Finance[Cost Centre],"ONSITE")&gt;0,"ONSITE ","")&amp;IF(COUNTIFS(tbl_Finance[Job Number],C83&amp;"",tbl_Finance[Cost Centre],"PRODUCTION")&gt;0,"PRODUCTION ","")&amp;IF(COUNTIFS(tbl_Finance[Job Number],C83&amp;"",tbl_Finance[Cost Centre],"VIDEO")&gt;0,"VIDEO ","")&amp;IF(COUNTIFS(tbl_Finance[Job Number],C83&amp;"",tbl_Finance[Cost Centre],"INTEGRATION")&gt;0,"INTEGRATION ","")&amp;IF(COUNTIFS(tbl_Finance[Job Number],C83&amp;"",tbl_Finance[Cost Centre],"CONSULTING")&gt;0,"CONSULTING ","")&amp;IF(COUNTIFS(tbl_Finance[Job Number],C83&amp;"",tbl_Finance[Cost Centre],"CTS")&gt;0,"CTS ",""))," ",", ")))</f>
        <v/>
      </c>
      <c r="L83" s="24" t="n"/>
      <c r="M83" s="25">
        <f>IF(L83="","",HYPERLINK(IF(LEFT(L83,4)="http",L83,set_QwilrBase&amp;L83),"Open quote"))</f>
        <v/>
      </c>
      <c r="N83" s="26" t="n"/>
      <c r="O83" s="26" t="n"/>
      <c r="P83" s="26" t="n"/>
      <c r="Q83" s="25">
        <f>IF(C83="","",IF(N(N83)+N(O83)+N(P83)=0,"Not split",IF(ROUND(N(N83)+N(O83)+N(P83),2)=ROUND(H83,2),"OK","MISMATCH")))</f>
        <v/>
      </c>
      <c r="R83" s="26" t="n"/>
      <c r="S83" s="26" t="n"/>
      <c r="T83" s="26" t="n"/>
      <c r="U83" s="27">
        <f>IF(C83="","",N(R83)+N(S83)+N(T83))</f>
        <v/>
      </c>
      <c r="V83" s="27">
        <f>IF(C83="","",H83-U83)</f>
        <v/>
      </c>
      <c r="W83" s="29">
        <f>IFERROR(V83/H83,"")</f>
        <v/>
      </c>
      <c r="X83" s="24" t="n"/>
    </row>
    <row r="84" ht="15" customHeight="1">
      <c r="A84" s="63">
        <f>IF(C84="","",IFERROR(IF(SUMPRODUCT(MAX((tbl_Finance[Job Number]=C84&amp;"")*(tbl_Finance[Xero Invoice No]&lt;&gt;"")*tbl_Finance[Date]))=0,"",SUMPRODUCT(MAX((tbl_Finance[Job Number]=C84&amp;"")*(tbl_Finance[Xero Invoice No]&lt;&gt;"")*tbl_Finance[Date]))),""))</f>
        <v/>
      </c>
      <c r="B84" s="25">
        <f>IF(C84="","",IF(COUNTIFS(tbl_Finance[Job Number],C84&amp;"",tbl_Finance[Xero Invoice No],"&lt;&gt;")=0,"",IFERROR(IF(COUNTIFS(tbl_Finance[Job Number],C84&amp;"",tbl_Finance[Xero Invoice No],LOOKUP(2,1/((tbl_Finance[Job Number]=C84&amp;"")*(tbl_Finance[Xero Invoice No]&lt;&gt;"")),tbl_Finance[Xero Invoice No]))=COUNTIFS(tbl_Finance[Job Number],C84&amp;"",tbl_Finance[Xero Invoice No],"&lt;&gt;"),LOOKUP(2,1/((tbl_Finance[Job Number]=C84&amp;"")*(tbl_Finance[Xero Invoice No]&lt;&gt;"")),tbl_Finance[Xero Invoice No]),LOOKUP(2,1/((tbl_Finance[Job Number]=C84&amp;"")*(tbl_Finance[Xero Invoice No]&lt;&gt;"")),tbl_Finance[Xero Invoice No])&amp;" +more"),"")))</f>
        <v/>
      </c>
      <c r="C84" s="24" t="n"/>
      <c r="D84" s="25">
        <f>IF(C84="","",IF(COUNTIF(lst_Jobs,C84&amp;"")&gt;0,"OK","CHECK"))</f>
        <v/>
      </c>
      <c r="E84" s="25">
        <f>IF(C84="","",IFERROR(INDEX(lst_JobName,MATCH(C84&amp;"",lst_Jobs,0)),""))</f>
        <v/>
      </c>
      <c r="F84" s="25">
        <f>IF(C84="","",IFERROR(INDEX(tbl_Finance[Client],MATCH(C84&amp;"",tbl_Finance[Job Number],0)),""))</f>
        <v/>
      </c>
      <c r="G84" s="28">
        <f>IF(C84="","",COUNTIFS(tbl_Finance[Job Number],C84&amp;"",tbl_Finance[Ex GST],"&lt;&gt;"))</f>
        <v/>
      </c>
      <c r="H84" s="27">
        <f>IF(C84="","",SUMIFS(tbl_Finance[Ex GST],tbl_Finance[Job Number],C84&amp;""))</f>
        <v/>
      </c>
      <c r="I84" s="27">
        <f>IF(C84="","",SUMIFS(tbl_Finance[Ex GST],tbl_Finance[Job Number],C84&amp;"",tbl_Finance[Xero Invoice No],"&lt;&gt;"))</f>
        <v/>
      </c>
      <c r="J84" s="27">
        <f>IF(C84="","",H84-I84)</f>
        <v/>
      </c>
      <c r="K84" s="25">
        <f>IF(C84="","",IF(G84=0,"not invoiced yet",SUBSTITUTE(TRIM(IF(COUNTIFS(tbl_Finance[Job Number],C84&amp;"",tbl_Finance[Cost Centre],"ONSITE")&gt;0,"ONSITE ","")&amp;IF(COUNTIFS(tbl_Finance[Job Number],C84&amp;"",tbl_Finance[Cost Centre],"PRODUCTION")&gt;0,"PRODUCTION ","")&amp;IF(COUNTIFS(tbl_Finance[Job Number],C84&amp;"",tbl_Finance[Cost Centre],"VIDEO")&gt;0,"VIDEO ","")&amp;IF(COUNTIFS(tbl_Finance[Job Number],C84&amp;"",tbl_Finance[Cost Centre],"INTEGRATION")&gt;0,"INTEGRATION ","")&amp;IF(COUNTIFS(tbl_Finance[Job Number],C84&amp;"",tbl_Finance[Cost Centre],"CONSULTING")&gt;0,"CONSULTING ","")&amp;IF(COUNTIFS(tbl_Finance[Job Number],C84&amp;"",tbl_Finance[Cost Centre],"CTS")&gt;0,"CTS ",""))," ",", ")))</f>
        <v/>
      </c>
      <c r="L84" s="24" t="n"/>
      <c r="M84" s="25">
        <f>IF(L84="","",HYPERLINK(IF(LEFT(L84,4)="http",L84,set_QwilrBase&amp;L84),"Open quote"))</f>
        <v/>
      </c>
      <c r="N84" s="26" t="n"/>
      <c r="O84" s="26" t="n"/>
      <c r="P84" s="26" t="n"/>
      <c r="Q84" s="25">
        <f>IF(C84="","",IF(N(N84)+N(O84)+N(P84)=0,"Not split",IF(ROUND(N(N84)+N(O84)+N(P84),2)=ROUND(H84,2),"OK","MISMATCH")))</f>
        <v/>
      </c>
      <c r="R84" s="26" t="n"/>
      <c r="S84" s="26" t="n"/>
      <c r="T84" s="26" t="n"/>
      <c r="U84" s="27">
        <f>IF(C84="","",N(R84)+N(S84)+N(T84))</f>
        <v/>
      </c>
      <c r="V84" s="27">
        <f>IF(C84="","",H84-U84)</f>
        <v/>
      </c>
      <c r="W84" s="29">
        <f>IFERROR(V84/H84,"")</f>
        <v/>
      </c>
      <c r="X84" s="24" t="n"/>
    </row>
    <row r="85" ht="15" customHeight="1">
      <c r="A85" s="63">
        <f>IF(C85="","",IFERROR(IF(SUMPRODUCT(MAX((tbl_Finance[Job Number]=C85&amp;"")*(tbl_Finance[Xero Invoice No]&lt;&gt;"")*tbl_Finance[Date]))=0,"",SUMPRODUCT(MAX((tbl_Finance[Job Number]=C85&amp;"")*(tbl_Finance[Xero Invoice No]&lt;&gt;"")*tbl_Finance[Date]))),""))</f>
        <v/>
      </c>
      <c r="B85" s="25">
        <f>IF(C85="","",IF(COUNTIFS(tbl_Finance[Job Number],C85&amp;"",tbl_Finance[Xero Invoice No],"&lt;&gt;")=0,"",IFERROR(IF(COUNTIFS(tbl_Finance[Job Number],C85&amp;"",tbl_Finance[Xero Invoice No],LOOKUP(2,1/((tbl_Finance[Job Number]=C85&amp;"")*(tbl_Finance[Xero Invoice No]&lt;&gt;"")),tbl_Finance[Xero Invoice No]))=COUNTIFS(tbl_Finance[Job Number],C85&amp;"",tbl_Finance[Xero Invoice No],"&lt;&gt;"),LOOKUP(2,1/((tbl_Finance[Job Number]=C85&amp;"")*(tbl_Finance[Xero Invoice No]&lt;&gt;"")),tbl_Finance[Xero Invoice No]),LOOKUP(2,1/((tbl_Finance[Job Number]=C85&amp;"")*(tbl_Finance[Xero Invoice No]&lt;&gt;"")),tbl_Finance[Xero Invoice No])&amp;" +more"),"")))</f>
        <v/>
      </c>
      <c r="C85" s="24" t="n"/>
      <c r="D85" s="25">
        <f>IF(C85="","",IF(COUNTIF(lst_Jobs,C85&amp;"")&gt;0,"OK","CHECK"))</f>
        <v/>
      </c>
      <c r="E85" s="25">
        <f>IF(C85="","",IFERROR(INDEX(lst_JobName,MATCH(C85&amp;"",lst_Jobs,0)),""))</f>
        <v/>
      </c>
      <c r="F85" s="25">
        <f>IF(C85="","",IFERROR(INDEX(tbl_Finance[Client],MATCH(C85&amp;"",tbl_Finance[Job Number],0)),""))</f>
        <v/>
      </c>
      <c r="G85" s="28">
        <f>IF(C85="","",COUNTIFS(tbl_Finance[Job Number],C85&amp;"",tbl_Finance[Ex GST],"&lt;&gt;"))</f>
        <v/>
      </c>
      <c r="H85" s="27">
        <f>IF(C85="","",SUMIFS(tbl_Finance[Ex GST],tbl_Finance[Job Number],C85&amp;""))</f>
        <v/>
      </c>
      <c r="I85" s="27">
        <f>IF(C85="","",SUMIFS(tbl_Finance[Ex GST],tbl_Finance[Job Number],C85&amp;"",tbl_Finance[Xero Invoice No],"&lt;&gt;"))</f>
        <v/>
      </c>
      <c r="J85" s="27">
        <f>IF(C85="","",H85-I85)</f>
        <v/>
      </c>
      <c r="K85" s="25">
        <f>IF(C85="","",IF(G85=0,"not invoiced yet",SUBSTITUTE(TRIM(IF(COUNTIFS(tbl_Finance[Job Number],C85&amp;"",tbl_Finance[Cost Centre],"ONSITE")&gt;0,"ONSITE ","")&amp;IF(COUNTIFS(tbl_Finance[Job Number],C85&amp;"",tbl_Finance[Cost Centre],"PRODUCTION")&gt;0,"PRODUCTION ","")&amp;IF(COUNTIFS(tbl_Finance[Job Number],C85&amp;"",tbl_Finance[Cost Centre],"VIDEO")&gt;0,"VIDEO ","")&amp;IF(COUNTIFS(tbl_Finance[Job Number],C85&amp;"",tbl_Finance[Cost Centre],"INTEGRATION")&gt;0,"INTEGRATION ","")&amp;IF(COUNTIFS(tbl_Finance[Job Number],C85&amp;"",tbl_Finance[Cost Centre],"CONSULTING")&gt;0,"CONSULTING ","")&amp;IF(COUNTIFS(tbl_Finance[Job Number],C85&amp;"",tbl_Finance[Cost Centre],"CTS")&gt;0,"CTS ",""))," ",", ")))</f>
        <v/>
      </c>
      <c r="L85" s="24" t="n"/>
      <c r="M85" s="25">
        <f>IF(L85="","",HYPERLINK(IF(LEFT(L85,4)="http",L85,set_QwilrBase&amp;L85),"Open quote"))</f>
        <v/>
      </c>
      <c r="N85" s="26" t="n"/>
      <c r="O85" s="26" t="n"/>
      <c r="P85" s="26" t="n"/>
      <c r="Q85" s="25">
        <f>IF(C85="","",IF(N(N85)+N(O85)+N(P85)=0,"Not split",IF(ROUND(N(N85)+N(O85)+N(P85),2)=ROUND(H85,2),"OK","MISMATCH")))</f>
        <v/>
      </c>
      <c r="R85" s="26" t="n"/>
      <c r="S85" s="26" t="n"/>
      <c r="T85" s="26" t="n"/>
      <c r="U85" s="27">
        <f>IF(C85="","",N(R85)+N(S85)+N(T85))</f>
        <v/>
      </c>
      <c r="V85" s="27">
        <f>IF(C85="","",H85-U85)</f>
        <v/>
      </c>
      <c r="W85" s="29">
        <f>IFERROR(V85/H85,"")</f>
        <v/>
      </c>
      <c r="X85" s="24" t="n"/>
    </row>
    <row r="86" ht="15" customHeight="1">
      <c r="A86" s="63">
        <f>IF(C86="","",IFERROR(IF(SUMPRODUCT(MAX((tbl_Finance[Job Number]=C86&amp;"")*(tbl_Finance[Xero Invoice No]&lt;&gt;"")*tbl_Finance[Date]))=0,"",SUMPRODUCT(MAX((tbl_Finance[Job Number]=C86&amp;"")*(tbl_Finance[Xero Invoice No]&lt;&gt;"")*tbl_Finance[Date]))),""))</f>
        <v/>
      </c>
      <c r="B86" s="25">
        <f>IF(C86="","",IF(COUNTIFS(tbl_Finance[Job Number],C86&amp;"",tbl_Finance[Xero Invoice No],"&lt;&gt;")=0,"",IFERROR(IF(COUNTIFS(tbl_Finance[Job Number],C86&amp;"",tbl_Finance[Xero Invoice No],LOOKUP(2,1/((tbl_Finance[Job Number]=C86&amp;"")*(tbl_Finance[Xero Invoice No]&lt;&gt;"")),tbl_Finance[Xero Invoice No]))=COUNTIFS(tbl_Finance[Job Number],C86&amp;"",tbl_Finance[Xero Invoice No],"&lt;&gt;"),LOOKUP(2,1/((tbl_Finance[Job Number]=C86&amp;"")*(tbl_Finance[Xero Invoice No]&lt;&gt;"")),tbl_Finance[Xero Invoice No]),LOOKUP(2,1/((tbl_Finance[Job Number]=C86&amp;"")*(tbl_Finance[Xero Invoice No]&lt;&gt;"")),tbl_Finance[Xero Invoice No])&amp;" +more"),"")))</f>
        <v/>
      </c>
      <c r="C86" s="24" t="n"/>
      <c r="D86" s="25">
        <f>IF(C86="","",IF(COUNTIF(lst_Jobs,C86&amp;"")&gt;0,"OK","CHECK"))</f>
        <v/>
      </c>
      <c r="E86" s="25">
        <f>IF(C86="","",IFERROR(INDEX(lst_JobName,MATCH(C86&amp;"",lst_Jobs,0)),""))</f>
        <v/>
      </c>
      <c r="F86" s="25">
        <f>IF(C86="","",IFERROR(INDEX(tbl_Finance[Client],MATCH(C86&amp;"",tbl_Finance[Job Number],0)),""))</f>
        <v/>
      </c>
      <c r="G86" s="28">
        <f>IF(C86="","",COUNTIFS(tbl_Finance[Job Number],C86&amp;"",tbl_Finance[Ex GST],"&lt;&gt;"))</f>
        <v/>
      </c>
      <c r="H86" s="27">
        <f>IF(C86="","",SUMIFS(tbl_Finance[Ex GST],tbl_Finance[Job Number],C86&amp;""))</f>
        <v/>
      </c>
      <c r="I86" s="27">
        <f>IF(C86="","",SUMIFS(tbl_Finance[Ex GST],tbl_Finance[Job Number],C86&amp;"",tbl_Finance[Xero Invoice No],"&lt;&gt;"))</f>
        <v/>
      </c>
      <c r="J86" s="27">
        <f>IF(C86="","",H86-I86)</f>
        <v/>
      </c>
      <c r="K86" s="25">
        <f>IF(C86="","",IF(G86=0,"not invoiced yet",SUBSTITUTE(TRIM(IF(COUNTIFS(tbl_Finance[Job Number],C86&amp;"",tbl_Finance[Cost Centre],"ONSITE")&gt;0,"ONSITE ","")&amp;IF(COUNTIFS(tbl_Finance[Job Number],C86&amp;"",tbl_Finance[Cost Centre],"PRODUCTION")&gt;0,"PRODUCTION ","")&amp;IF(COUNTIFS(tbl_Finance[Job Number],C86&amp;"",tbl_Finance[Cost Centre],"VIDEO")&gt;0,"VIDEO ","")&amp;IF(COUNTIFS(tbl_Finance[Job Number],C86&amp;"",tbl_Finance[Cost Centre],"INTEGRATION")&gt;0,"INTEGRATION ","")&amp;IF(COUNTIFS(tbl_Finance[Job Number],C86&amp;"",tbl_Finance[Cost Centre],"CONSULTING")&gt;0,"CONSULTING ","")&amp;IF(COUNTIFS(tbl_Finance[Job Number],C86&amp;"",tbl_Finance[Cost Centre],"CTS")&gt;0,"CTS ",""))," ",", ")))</f>
        <v/>
      </c>
      <c r="L86" s="24" t="n"/>
      <c r="M86" s="25">
        <f>IF(L86="","",HYPERLINK(IF(LEFT(L86,4)="http",L86,set_QwilrBase&amp;L86),"Open quote"))</f>
        <v/>
      </c>
      <c r="N86" s="26" t="n"/>
      <c r="O86" s="26" t="n"/>
      <c r="P86" s="26" t="n"/>
      <c r="Q86" s="25">
        <f>IF(C86="","",IF(N(N86)+N(O86)+N(P86)=0,"Not split",IF(ROUND(N(N86)+N(O86)+N(P86),2)=ROUND(H86,2),"OK","MISMATCH")))</f>
        <v/>
      </c>
      <c r="R86" s="26" t="n"/>
      <c r="S86" s="26" t="n"/>
      <c r="T86" s="26" t="n"/>
      <c r="U86" s="27">
        <f>IF(C86="","",N(R86)+N(S86)+N(T86))</f>
        <v/>
      </c>
      <c r="V86" s="27">
        <f>IF(C86="","",H86-U86)</f>
        <v/>
      </c>
      <c r="W86" s="29">
        <f>IFERROR(V86/H86,"")</f>
        <v/>
      </c>
      <c r="X86" s="24" t="n"/>
    </row>
    <row r="87" ht="15" customHeight="1">
      <c r="A87" s="63">
        <f>IF(C87="","",IFERROR(IF(SUMPRODUCT(MAX((tbl_Finance[Job Number]=C87&amp;"")*(tbl_Finance[Xero Invoice No]&lt;&gt;"")*tbl_Finance[Date]))=0,"",SUMPRODUCT(MAX((tbl_Finance[Job Number]=C87&amp;"")*(tbl_Finance[Xero Invoice No]&lt;&gt;"")*tbl_Finance[Date]))),""))</f>
        <v/>
      </c>
      <c r="B87" s="25">
        <f>IF(C87="","",IF(COUNTIFS(tbl_Finance[Job Number],C87&amp;"",tbl_Finance[Xero Invoice No],"&lt;&gt;")=0,"",IFERROR(IF(COUNTIFS(tbl_Finance[Job Number],C87&amp;"",tbl_Finance[Xero Invoice No],LOOKUP(2,1/((tbl_Finance[Job Number]=C87&amp;"")*(tbl_Finance[Xero Invoice No]&lt;&gt;"")),tbl_Finance[Xero Invoice No]))=COUNTIFS(tbl_Finance[Job Number],C87&amp;"",tbl_Finance[Xero Invoice No],"&lt;&gt;"),LOOKUP(2,1/((tbl_Finance[Job Number]=C87&amp;"")*(tbl_Finance[Xero Invoice No]&lt;&gt;"")),tbl_Finance[Xero Invoice No]),LOOKUP(2,1/((tbl_Finance[Job Number]=C87&amp;"")*(tbl_Finance[Xero Invoice No]&lt;&gt;"")),tbl_Finance[Xero Invoice No])&amp;" +more"),"")))</f>
        <v/>
      </c>
      <c r="C87" s="24" t="n"/>
      <c r="D87" s="25">
        <f>IF(C87="","",IF(COUNTIF(lst_Jobs,C87&amp;"")&gt;0,"OK","CHECK"))</f>
        <v/>
      </c>
      <c r="E87" s="25">
        <f>IF(C87="","",IFERROR(INDEX(lst_JobName,MATCH(C87&amp;"",lst_Jobs,0)),""))</f>
        <v/>
      </c>
      <c r="F87" s="25">
        <f>IF(C87="","",IFERROR(INDEX(tbl_Finance[Client],MATCH(C87&amp;"",tbl_Finance[Job Number],0)),""))</f>
        <v/>
      </c>
      <c r="G87" s="28">
        <f>IF(C87="","",COUNTIFS(tbl_Finance[Job Number],C87&amp;"",tbl_Finance[Ex GST],"&lt;&gt;"))</f>
        <v/>
      </c>
      <c r="H87" s="27">
        <f>IF(C87="","",SUMIFS(tbl_Finance[Ex GST],tbl_Finance[Job Number],C87&amp;""))</f>
        <v/>
      </c>
      <c r="I87" s="27">
        <f>IF(C87="","",SUMIFS(tbl_Finance[Ex GST],tbl_Finance[Job Number],C87&amp;"",tbl_Finance[Xero Invoice No],"&lt;&gt;"))</f>
        <v/>
      </c>
      <c r="J87" s="27">
        <f>IF(C87="","",H87-I87)</f>
        <v/>
      </c>
      <c r="K87" s="25">
        <f>IF(C87="","",IF(G87=0,"not invoiced yet",SUBSTITUTE(TRIM(IF(COUNTIFS(tbl_Finance[Job Number],C87&amp;"",tbl_Finance[Cost Centre],"ONSITE")&gt;0,"ONSITE ","")&amp;IF(COUNTIFS(tbl_Finance[Job Number],C87&amp;"",tbl_Finance[Cost Centre],"PRODUCTION")&gt;0,"PRODUCTION ","")&amp;IF(COUNTIFS(tbl_Finance[Job Number],C87&amp;"",tbl_Finance[Cost Centre],"VIDEO")&gt;0,"VIDEO ","")&amp;IF(COUNTIFS(tbl_Finance[Job Number],C87&amp;"",tbl_Finance[Cost Centre],"INTEGRATION")&gt;0,"INTEGRATION ","")&amp;IF(COUNTIFS(tbl_Finance[Job Number],C87&amp;"",tbl_Finance[Cost Centre],"CONSULTING")&gt;0,"CONSULTING ","")&amp;IF(COUNTIFS(tbl_Finance[Job Number],C87&amp;"",tbl_Finance[Cost Centre],"CTS")&gt;0,"CTS ",""))," ",", ")))</f>
        <v/>
      </c>
      <c r="L87" s="24" t="n"/>
      <c r="M87" s="25">
        <f>IF(L87="","",HYPERLINK(IF(LEFT(L87,4)="http",L87,set_QwilrBase&amp;L87),"Open quote"))</f>
        <v/>
      </c>
      <c r="N87" s="26" t="n"/>
      <c r="O87" s="26" t="n"/>
      <c r="P87" s="26" t="n"/>
      <c r="Q87" s="25">
        <f>IF(C87="","",IF(N(N87)+N(O87)+N(P87)=0,"Not split",IF(ROUND(N(N87)+N(O87)+N(P87),2)=ROUND(H87,2),"OK","MISMATCH")))</f>
        <v/>
      </c>
      <c r="R87" s="26" t="n"/>
      <c r="S87" s="26" t="n"/>
      <c r="T87" s="26" t="n"/>
      <c r="U87" s="27">
        <f>IF(C87="","",N(R87)+N(S87)+N(T87))</f>
        <v/>
      </c>
      <c r="V87" s="27">
        <f>IF(C87="","",H87-U87)</f>
        <v/>
      </c>
      <c r="W87" s="29">
        <f>IFERROR(V87/H87,"")</f>
        <v/>
      </c>
      <c r="X87" s="24" t="n"/>
    </row>
    <row r="88" ht="15" customHeight="1">
      <c r="A88" s="63">
        <f>IF(C88="","",IFERROR(IF(SUMPRODUCT(MAX((tbl_Finance[Job Number]=C88&amp;"")*(tbl_Finance[Xero Invoice No]&lt;&gt;"")*tbl_Finance[Date]))=0,"",SUMPRODUCT(MAX((tbl_Finance[Job Number]=C88&amp;"")*(tbl_Finance[Xero Invoice No]&lt;&gt;"")*tbl_Finance[Date]))),""))</f>
        <v/>
      </c>
      <c r="B88" s="25">
        <f>IF(C88="","",IF(COUNTIFS(tbl_Finance[Job Number],C88&amp;"",tbl_Finance[Xero Invoice No],"&lt;&gt;")=0,"",IFERROR(IF(COUNTIFS(tbl_Finance[Job Number],C88&amp;"",tbl_Finance[Xero Invoice No],LOOKUP(2,1/((tbl_Finance[Job Number]=C88&amp;"")*(tbl_Finance[Xero Invoice No]&lt;&gt;"")),tbl_Finance[Xero Invoice No]))=COUNTIFS(tbl_Finance[Job Number],C88&amp;"",tbl_Finance[Xero Invoice No],"&lt;&gt;"),LOOKUP(2,1/((tbl_Finance[Job Number]=C88&amp;"")*(tbl_Finance[Xero Invoice No]&lt;&gt;"")),tbl_Finance[Xero Invoice No]),LOOKUP(2,1/((tbl_Finance[Job Number]=C88&amp;"")*(tbl_Finance[Xero Invoice No]&lt;&gt;"")),tbl_Finance[Xero Invoice No])&amp;" +more"),"")))</f>
        <v/>
      </c>
      <c r="C88" s="24" t="n"/>
      <c r="D88" s="25">
        <f>IF(C88="","",IF(COUNTIF(lst_Jobs,C88&amp;"")&gt;0,"OK","CHECK"))</f>
        <v/>
      </c>
      <c r="E88" s="25">
        <f>IF(C88="","",IFERROR(INDEX(lst_JobName,MATCH(C88&amp;"",lst_Jobs,0)),""))</f>
        <v/>
      </c>
      <c r="F88" s="25">
        <f>IF(C88="","",IFERROR(INDEX(tbl_Finance[Client],MATCH(C88&amp;"",tbl_Finance[Job Number],0)),""))</f>
        <v/>
      </c>
      <c r="G88" s="28">
        <f>IF(C88="","",COUNTIFS(tbl_Finance[Job Number],C88&amp;"",tbl_Finance[Ex GST],"&lt;&gt;"))</f>
        <v/>
      </c>
      <c r="H88" s="27">
        <f>IF(C88="","",SUMIFS(tbl_Finance[Ex GST],tbl_Finance[Job Number],C88&amp;""))</f>
        <v/>
      </c>
      <c r="I88" s="27">
        <f>IF(C88="","",SUMIFS(tbl_Finance[Ex GST],tbl_Finance[Job Number],C88&amp;"",tbl_Finance[Xero Invoice No],"&lt;&gt;"))</f>
        <v/>
      </c>
      <c r="J88" s="27">
        <f>IF(C88="","",H88-I88)</f>
        <v/>
      </c>
      <c r="K88" s="25">
        <f>IF(C88="","",IF(G88=0,"not invoiced yet",SUBSTITUTE(TRIM(IF(COUNTIFS(tbl_Finance[Job Number],C88&amp;"",tbl_Finance[Cost Centre],"ONSITE")&gt;0,"ONSITE ","")&amp;IF(COUNTIFS(tbl_Finance[Job Number],C88&amp;"",tbl_Finance[Cost Centre],"PRODUCTION")&gt;0,"PRODUCTION ","")&amp;IF(COUNTIFS(tbl_Finance[Job Number],C88&amp;"",tbl_Finance[Cost Centre],"VIDEO")&gt;0,"VIDEO ","")&amp;IF(COUNTIFS(tbl_Finance[Job Number],C88&amp;"",tbl_Finance[Cost Centre],"INTEGRATION")&gt;0,"INTEGRATION ","")&amp;IF(COUNTIFS(tbl_Finance[Job Number],C88&amp;"",tbl_Finance[Cost Centre],"CONSULTING")&gt;0,"CONSULTING ","")&amp;IF(COUNTIFS(tbl_Finance[Job Number],C88&amp;"",tbl_Finance[Cost Centre],"CTS")&gt;0,"CTS ",""))," ",", ")))</f>
        <v/>
      </c>
      <c r="L88" s="24" t="n"/>
      <c r="M88" s="25">
        <f>IF(L88="","",HYPERLINK(IF(LEFT(L88,4)="http",L88,set_QwilrBase&amp;L88),"Open quote"))</f>
        <v/>
      </c>
      <c r="N88" s="26" t="n"/>
      <c r="O88" s="26" t="n"/>
      <c r="P88" s="26" t="n"/>
      <c r="Q88" s="25">
        <f>IF(C88="","",IF(N(N88)+N(O88)+N(P88)=0,"Not split",IF(ROUND(N(N88)+N(O88)+N(P88),2)=ROUND(H88,2),"OK","MISMATCH")))</f>
        <v/>
      </c>
      <c r="R88" s="26" t="n"/>
      <c r="S88" s="26" t="n"/>
      <c r="T88" s="26" t="n"/>
      <c r="U88" s="27">
        <f>IF(C88="","",N(R88)+N(S88)+N(T88))</f>
        <v/>
      </c>
      <c r="V88" s="27">
        <f>IF(C88="","",H88-U88)</f>
        <v/>
      </c>
      <c r="W88" s="29">
        <f>IFERROR(V88/H88,"")</f>
        <v/>
      </c>
      <c r="X88" s="24" t="n"/>
    </row>
    <row r="89" ht="15" customHeight="1">
      <c r="A89" s="63">
        <f>IF(C89="","",IFERROR(IF(SUMPRODUCT(MAX((tbl_Finance[Job Number]=C89&amp;"")*(tbl_Finance[Xero Invoice No]&lt;&gt;"")*tbl_Finance[Date]))=0,"",SUMPRODUCT(MAX((tbl_Finance[Job Number]=C89&amp;"")*(tbl_Finance[Xero Invoice No]&lt;&gt;"")*tbl_Finance[Date]))),""))</f>
        <v/>
      </c>
      <c r="B89" s="25">
        <f>IF(C89="","",IF(COUNTIFS(tbl_Finance[Job Number],C89&amp;"",tbl_Finance[Xero Invoice No],"&lt;&gt;")=0,"",IFERROR(IF(COUNTIFS(tbl_Finance[Job Number],C89&amp;"",tbl_Finance[Xero Invoice No],LOOKUP(2,1/((tbl_Finance[Job Number]=C89&amp;"")*(tbl_Finance[Xero Invoice No]&lt;&gt;"")),tbl_Finance[Xero Invoice No]))=COUNTIFS(tbl_Finance[Job Number],C89&amp;"",tbl_Finance[Xero Invoice No],"&lt;&gt;"),LOOKUP(2,1/((tbl_Finance[Job Number]=C89&amp;"")*(tbl_Finance[Xero Invoice No]&lt;&gt;"")),tbl_Finance[Xero Invoice No]),LOOKUP(2,1/((tbl_Finance[Job Number]=C89&amp;"")*(tbl_Finance[Xero Invoice No]&lt;&gt;"")),tbl_Finance[Xero Invoice No])&amp;" +more"),"")))</f>
        <v/>
      </c>
      <c r="C89" s="24" t="n"/>
      <c r="D89" s="25">
        <f>IF(C89="","",IF(COUNTIF(lst_Jobs,C89&amp;"")&gt;0,"OK","CHECK"))</f>
        <v/>
      </c>
      <c r="E89" s="25">
        <f>IF(C89="","",IFERROR(INDEX(lst_JobName,MATCH(C89&amp;"",lst_Jobs,0)),""))</f>
        <v/>
      </c>
      <c r="F89" s="25">
        <f>IF(C89="","",IFERROR(INDEX(tbl_Finance[Client],MATCH(C89&amp;"",tbl_Finance[Job Number],0)),""))</f>
        <v/>
      </c>
      <c r="G89" s="28">
        <f>IF(C89="","",COUNTIFS(tbl_Finance[Job Number],C89&amp;"",tbl_Finance[Ex GST],"&lt;&gt;"))</f>
        <v/>
      </c>
      <c r="H89" s="27">
        <f>IF(C89="","",SUMIFS(tbl_Finance[Ex GST],tbl_Finance[Job Number],C89&amp;""))</f>
        <v/>
      </c>
      <c r="I89" s="27">
        <f>IF(C89="","",SUMIFS(tbl_Finance[Ex GST],tbl_Finance[Job Number],C89&amp;"",tbl_Finance[Xero Invoice No],"&lt;&gt;"))</f>
        <v/>
      </c>
      <c r="J89" s="27">
        <f>IF(C89="","",H89-I89)</f>
        <v/>
      </c>
      <c r="K89" s="25">
        <f>IF(C89="","",IF(G89=0,"not invoiced yet",SUBSTITUTE(TRIM(IF(COUNTIFS(tbl_Finance[Job Number],C89&amp;"",tbl_Finance[Cost Centre],"ONSITE")&gt;0,"ONSITE ","")&amp;IF(COUNTIFS(tbl_Finance[Job Number],C89&amp;"",tbl_Finance[Cost Centre],"PRODUCTION")&gt;0,"PRODUCTION ","")&amp;IF(COUNTIFS(tbl_Finance[Job Number],C89&amp;"",tbl_Finance[Cost Centre],"VIDEO")&gt;0,"VIDEO ","")&amp;IF(COUNTIFS(tbl_Finance[Job Number],C89&amp;"",tbl_Finance[Cost Centre],"INTEGRATION")&gt;0,"INTEGRATION ","")&amp;IF(COUNTIFS(tbl_Finance[Job Number],C89&amp;"",tbl_Finance[Cost Centre],"CONSULTING")&gt;0,"CONSULTING ","")&amp;IF(COUNTIFS(tbl_Finance[Job Number],C89&amp;"",tbl_Finance[Cost Centre],"CTS")&gt;0,"CTS ",""))," ",", ")))</f>
        <v/>
      </c>
      <c r="L89" s="24" t="n"/>
      <c r="M89" s="25">
        <f>IF(L89="","",HYPERLINK(IF(LEFT(L89,4)="http",L89,set_QwilrBase&amp;L89),"Open quote"))</f>
        <v/>
      </c>
      <c r="N89" s="26" t="n"/>
      <c r="O89" s="26" t="n"/>
      <c r="P89" s="26" t="n"/>
      <c r="Q89" s="25">
        <f>IF(C89="","",IF(N(N89)+N(O89)+N(P89)=0,"Not split",IF(ROUND(N(N89)+N(O89)+N(P89),2)=ROUND(H89,2),"OK","MISMATCH")))</f>
        <v/>
      </c>
      <c r="R89" s="26" t="n"/>
      <c r="S89" s="26" t="n"/>
      <c r="T89" s="26" t="n"/>
      <c r="U89" s="27">
        <f>IF(C89="","",N(R89)+N(S89)+N(T89))</f>
        <v/>
      </c>
      <c r="V89" s="27">
        <f>IF(C89="","",H89-U89)</f>
        <v/>
      </c>
      <c r="W89" s="29">
        <f>IFERROR(V89/H89,"")</f>
        <v/>
      </c>
      <c r="X89" s="24" t="n"/>
    </row>
    <row r="90" ht="15" customHeight="1">
      <c r="A90" s="63">
        <f>IF(C90="","",IFERROR(IF(SUMPRODUCT(MAX((tbl_Finance[Job Number]=C90&amp;"")*(tbl_Finance[Xero Invoice No]&lt;&gt;"")*tbl_Finance[Date]))=0,"",SUMPRODUCT(MAX((tbl_Finance[Job Number]=C90&amp;"")*(tbl_Finance[Xero Invoice No]&lt;&gt;"")*tbl_Finance[Date]))),""))</f>
        <v/>
      </c>
      <c r="B90" s="25">
        <f>IF(C90="","",IF(COUNTIFS(tbl_Finance[Job Number],C90&amp;"",tbl_Finance[Xero Invoice No],"&lt;&gt;")=0,"",IFERROR(IF(COUNTIFS(tbl_Finance[Job Number],C90&amp;"",tbl_Finance[Xero Invoice No],LOOKUP(2,1/((tbl_Finance[Job Number]=C90&amp;"")*(tbl_Finance[Xero Invoice No]&lt;&gt;"")),tbl_Finance[Xero Invoice No]))=COUNTIFS(tbl_Finance[Job Number],C90&amp;"",tbl_Finance[Xero Invoice No],"&lt;&gt;"),LOOKUP(2,1/((tbl_Finance[Job Number]=C90&amp;"")*(tbl_Finance[Xero Invoice No]&lt;&gt;"")),tbl_Finance[Xero Invoice No]),LOOKUP(2,1/((tbl_Finance[Job Number]=C90&amp;"")*(tbl_Finance[Xero Invoice No]&lt;&gt;"")),tbl_Finance[Xero Invoice No])&amp;" +more"),"")))</f>
        <v/>
      </c>
      <c r="C90" s="24" t="n"/>
      <c r="D90" s="25">
        <f>IF(C90="","",IF(COUNTIF(lst_Jobs,C90&amp;"")&gt;0,"OK","CHECK"))</f>
        <v/>
      </c>
      <c r="E90" s="25">
        <f>IF(C90="","",IFERROR(INDEX(lst_JobName,MATCH(C90&amp;"",lst_Jobs,0)),""))</f>
        <v/>
      </c>
      <c r="F90" s="25">
        <f>IF(C90="","",IFERROR(INDEX(tbl_Finance[Client],MATCH(C90&amp;"",tbl_Finance[Job Number],0)),""))</f>
        <v/>
      </c>
      <c r="G90" s="28">
        <f>IF(C90="","",COUNTIFS(tbl_Finance[Job Number],C90&amp;"",tbl_Finance[Ex GST],"&lt;&gt;"))</f>
        <v/>
      </c>
      <c r="H90" s="27">
        <f>IF(C90="","",SUMIFS(tbl_Finance[Ex GST],tbl_Finance[Job Number],C90&amp;""))</f>
        <v/>
      </c>
      <c r="I90" s="27">
        <f>IF(C90="","",SUMIFS(tbl_Finance[Ex GST],tbl_Finance[Job Number],C90&amp;"",tbl_Finance[Xero Invoice No],"&lt;&gt;"))</f>
        <v/>
      </c>
      <c r="J90" s="27">
        <f>IF(C90="","",H90-I90)</f>
        <v/>
      </c>
      <c r="K90" s="25">
        <f>IF(C90="","",IF(G90=0,"not invoiced yet",SUBSTITUTE(TRIM(IF(COUNTIFS(tbl_Finance[Job Number],C90&amp;"",tbl_Finance[Cost Centre],"ONSITE")&gt;0,"ONSITE ","")&amp;IF(COUNTIFS(tbl_Finance[Job Number],C90&amp;"",tbl_Finance[Cost Centre],"PRODUCTION")&gt;0,"PRODUCTION ","")&amp;IF(COUNTIFS(tbl_Finance[Job Number],C90&amp;"",tbl_Finance[Cost Centre],"VIDEO")&gt;0,"VIDEO ","")&amp;IF(COUNTIFS(tbl_Finance[Job Number],C90&amp;"",tbl_Finance[Cost Centre],"INTEGRATION")&gt;0,"INTEGRATION ","")&amp;IF(COUNTIFS(tbl_Finance[Job Number],C90&amp;"",tbl_Finance[Cost Centre],"CONSULTING")&gt;0,"CONSULTING ","")&amp;IF(COUNTIFS(tbl_Finance[Job Number],C90&amp;"",tbl_Finance[Cost Centre],"CTS")&gt;0,"CTS ",""))," ",", ")))</f>
        <v/>
      </c>
      <c r="L90" s="24" t="n"/>
      <c r="M90" s="25">
        <f>IF(L90="","",HYPERLINK(IF(LEFT(L90,4)="http",L90,set_QwilrBase&amp;L90),"Open quote"))</f>
        <v/>
      </c>
      <c r="N90" s="26" t="n"/>
      <c r="O90" s="26" t="n"/>
      <c r="P90" s="26" t="n"/>
      <c r="Q90" s="25">
        <f>IF(C90="","",IF(N(N90)+N(O90)+N(P90)=0,"Not split",IF(ROUND(N(N90)+N(O90)+N(P90),2)=ROUND(H90,2),"OK","MISMATCH")))</f>
        <v/>
      </c>
      <c r="R90" s="26" t="n"/>
      <c r="S90" s="26" t="n"/>
      <c r="T90" s="26" t="n"/>
      <c r="U90" s="27">
        <f>IF(C90="","",N(R90)+N(S90)+N(T90))</f>
        <v/>
      </c>
      <c r="V90" s="27">
        <f>IF(C90="","",H90-U90)</f>
        <v/>
      </c>
      <c r="W90" s="29">
        <f>IFERROR(V90/H90,"")</f>
        <v/>
      </c>
      <c r="X90" s="24" t="n"/>
    </row>
    <row r="91" ht="15" customHeight="1">
      <c r="A91" s="63">
        <f>IF(C91="","",IFERROR(IF(SUMPRODUCT(MAX((tbl_Finance[Job Number]=C91&amp;"")*(tbl_Finance[Xero Invoice No]&lt;&gt;"")*tbl_Finance[Date]))=0,"",SUMPRODUCT(MAX((tbl_Finance[Job Number]=C91&amp;"")*(tbl_Finance[Xero Invoice No]&lt;&gt;"")*tbl_Finance[Date]))),""))</f>
        <v/>
      </c>
      <c r="B91" s="25">
        <f>IF(C91="","",IF(COUNTIFS(tbl_Finance[Job Number],C91&amp;"",tbl_Finance[Xero Invoice No],"&lt;&gt;")=0,"",IFERROR(IF(COUNTIFS(tbl_Finance[Job Number],C91&amp;"",tbl_Finance[Xero Invoice No],LOOKUP(2,1/((tbl_Finance[Job Number]=C91&amp;"")*(tbl_Finance[Xero Invoice No]&lt;&gt;"")),tbl_Finance[Xero Invoice No]))=COUNTIFS(tbl_Finance[Job Number],C91&amp;"",tbl_Finance[Xero Invoice No],"&lt;&gt;"),LOOKUP(2,1/((tbl_Finance[Job Number]=C91&amp;"")*(tbl_Finance[Xero Invoice No]&lt;&gt;"")),tbl_Finance[Xero Invoice No]),LOOKUP(2,1/((tbl_Finance[Job Number]=C91&amp;"")*(tbl_Finance[Xero Invoice No]&lt;&gt;"")),tbl_Finance[Xero Invoice No])&amp;" +more"),"")))</f>
        <v/>
      </c>
      <c r="C91" s="24" t="n"/>
      <c r="D91" s="25">
        <f>IF(C91="","",IF(COUNTIF(lst_Jobs,C91&amp;"")&gt;0,"OK","CHECK"))</f>
        <v/>
      </c>
      <c r="E91" s="25">
        <f>IF(C91="","",IFERROR(INDEX(lst_JobName,MATCH(C91&amp;"",lst_Jobs,0)),""))</f>
        <v/>
      </c>
      <c r="F91" s="25">
        <f>IF(C91="","",IFERROR(INDEX(tbl_Finance[Client],MATCH(C91&amp;"",tbl_Finance[Job Number],0)),""))</f>
        <v/>
      </c>
      <c r="G91" s="28">
        <f>IF(C91="","",COUNTIFS(tbl_Finance[Job Number],C91&amp;"",tbl_Finance[Ex GST],"&lt;&gt;"))</f>
        <v/>
      </c>
      <c r="H91" s="27">
        <f>IF(C91="","",SUMIFS(tbl_Finance[Ex GST],tbl_Finance[Job Number],C91&amp;""))</f>
        <v/>
      </c>
      <c r="I91" s="27">
        <f>IF(C91="","",SUMIFS(tbl_Finance[Ex GST],tbl_Finance[Job Number],C91&amp;"",tbl_Finance[Xero Invoice No],"&lt;&gt;"))</f>
        <v/>
      </c>
      <c r="J91" s="27">
        <f>IF(C91="","",H91-I91)</f>
        <v/>
      </c>
      <c r="K91" s="25">
        <f>IF(C91="","",IF(G91=0,"not invoiced yet",SUBSTITUTE(TRIM(IF(COUNTIFS(tbl_Finance[Job Number],C91&amp;"",tbl_Finance[Cost Centre],"ONSITE")&gt;0,"ONSITE ","")&amp;IF(COUNTIFS(tbl_Finance[Job Number],C91&amp;"",tbl_Finance[Cost Centre],"PRODUCTION")&gt;0,"PRODUCTION ","")&amp;IF(COUNTIFS(tbl_Finance[Job Number],C91&amp;"",tbl_Finance[Cost Centre],"VIDEO")&gt;0,"VIDEO ","")&amp;IF(COUNTIFS(tbl_Finance[Job Number],C91&amp;"",tbl_Finance[Cost Centre],"INTEGRATION")&gt;0,"INTEGRATION ","")&amp;IF(COUNTIFS(tbl_Finance[Job Number],C91&amp;"",tbl_Finance[Cost Centre],"CONSULTING")&gt;0,"CONSULTING ","")&amp;IF(COUNTIFS(tbl_Finance[Job Number],C91&amp;"",tbl_Finance[Cost Centre],"CTS")&gt;0,"CTS ",""))," ",", ")))</f>
        <v/>
      </c>
      <c r="L91" s="24" t="n"/>
      <c r="M91" s="25">
        <f>IF(L91="","",HYPERLINK(IF(LEFT(L91,4)="http",L91,set_QwilrBase&amp;L91),"Open quote"))</f>
        <v/>
      </c>
      <c r="N91" s="26" t="n"/>
      <c r="O91" s="26" t="n"/>
      <c r="P91" s="26" t="n"/>
      <c r="Q91" s="25">
        <f>IF(C91="","",IF(N(N91)+N(O91)+N(P91)=0,"Not split",IF(ROUND(N(N91)+N(O91)+N(P91),2)=ROUND(H91,2),"OK","MISMATCH")))</f>
        <v/>
      </c>
      <c r="R91" s="26" t="n"/>
      <c r="S91" s="26" t="n"/>
      <c r="T91" s="26" t="n"/>
      <c r="U91" s="27">
        <f>IF(C91="","",N(R91)+N(S91)+N(T91))</f>
        <v/>
      </c>
      <c r="V91" s="27">
        <f>IF(C91="","",H91-U91)</f>
        <v/>
      </c>
      <c r="W91" s="29">
        <f>IFERROR(V91/H91,"")</f>
        <v/>
      </c>
      <c r="X91" s="24" t="n"/>
    </row>
    <row r="92" ht="15" customHeight="1">
      <c r="A92" s="63">
        <f>IF(C92="","",IFERROR(IF(SUMPRODUCT(MAX((tbl_Finance[Job Number]=C92&amp;"")*(tbl_Finance[Xero Invoice No]&lt;&gt;"")*tbl_Finance[Date]))=0,"",SUMPRODUCT(MAX((tbl_Finance[Job Number]=C92&amp;"")*(tbl_Finance[Xero Invoice No]&lt;&gt;"")*tbl_Finance[Date]))),""))</f>
        <v/>
      </c>
      <c r="B92" s="25">
        <f>IF(C92="","",IF(COUNTIFS(tbl_Finance[Job Number],C92&amp;"",tbl_Finance[Xero Invoice No],"&lt;&gt;")=0,"",IFERROR(IF(COUNTIFS(tbl_Finance[Job Number],C92&amp;"",tbl_Finance[Xero Invoice No],LOOKUP(2,1/((tbl_Finance[Job Number]=C92&amp;"")*(tbl_Finance[Xero Invoice No]&lt;&gt;"")),tbl_Finance[Xero Invoice No]))=COUNTIFS(tbl_Finance[Job Number],C92&amp;"",tbl_Finance[Xero Invoice No],"&lt;&gt;"),LOOKUP(2,1/((tbl_Finance[Job Number]=C92&amp;"")*(tbl_Finance[Xero Invoice No]&lt;&gt;"")),tbl_Finance[Xero Invoice No]),LOOKUP(2,1/((tbl_Finance[Job Number]=C92&amp;"")*(tbl_Finance[Xero Invoice No]&lt;&gt;"")),tbl_Finance[Xero Invoice No])&amp;" +more"),"")))</f>
        <v/>
      </c>
      <c r="C92" s="24" t="n"/>
      <c r="D92" s="25">
        <f>IF(C92="","",IF(COUNTIF(lst_Jobs,C92&amp;"")&gt;0,"OK","CHECK"))</f>
        <v/>
      </c>
      <c r="E92" s="25">
        <f>IF(C92="","",IFERROR(INDEX(lst_JobName,MATCH(C92&amp;"",lst_Jobs,0)),""))</f>
        <v/>
      </c>
      <c r="F92" s="25">
        <f>IF(C92="","",IFERROR(INDEX(tbl_Finance[Client],MATCH(C92&amp;"",tbl_Finance[Job Number],0)),""))</f>
        <v/>
      </c>
      <c r="G92" s="28">
        <f>IF(C92="","",COUNTIFS(tbl_Finance[Job Number],C92&amp;"",tbl_Finance[Ex GST],"&lt;&gt;"))</f>
        <v/>
      </c>
      <c r="H92" s="27">
        <f>IF(C92="","",SUMIFS(tbl_Finance[Ex GST],tbl_Finance[Job Number],C92&amp;""))</f>
        <v/>
      </c>
      <c r="I92" s="27">
        <f>IF(C92="","",SUMIFS(tbl_Finance[Ex GST],tbl_Finance[Job Number],C92&amp;"",tbl_Finance[Xero Invoice No],"&lt;&gt;"))</f>
        <v/>
      </c>
      <c r="J92" s="27">
        <f>IF(C92="","",H92-I92)</f>
        <v/>
      </c>
      <c r="K92" s="25">
        <f>IF(C92="","",IF(G92=0,"not invoiced yet",SUBSTITUTE(TRIM(IF(COUNTIFS(tbl_Finance[Job Number],C92&amp;"",tbl_Finance[Cost Centre],"ONSITE")&gt;0,"ONSITE ","")&amp;IF(COUNTIFS(tbl_Finance[Job Number],C92&amp;"",tbl_Finance[Cost Centre],"PRODUCTION")&gt;0,"PRODUCTION ","")&amp;IF(COUNTIFS(tbl_Finance[Job Number],C92&amp;"",tbl_Finance[Cost Centre],"VIDEO")&gt;0,"VIDEO ","")&amp;IF(COUNTIFS(tbl_Finance[Job Number],C92&amp;"",tbl_Finance[Cost Centre],"INTEGRATION")&gt;0,"INTEGRATION ","")&amp;IF(COUNTIFS(tbl_Finance[Job Number],C92&amp;"",tbl_Finance[Cost Centre],"CONSULTING")&gt;0,"CONSULTING ","")&amp;IF(COUNTIFS(tbl_Finance[Job Number],C92&amp;"",tbl_Finance[Cost Centre],"CTS")&gt;0,"CTS ",""))," ",", ")))</f>
        <v/>
      </c>
      <c r="L92" s="24" t="n"/>
      <c r="M92" s="25">
        <f>IF(L92="","",HYPERLINK(IF(LEFT(L92,4)="http",L92,set_QwilrBase&amp;L92),"Open quote"))</f>
        <v/>
      </c>
      <c r="N92" s="26" t="n"/>
      <c r="O92" s="26" t="n"/>
      <c r="P92" s="26" t="n"/>
      <c r="Q92" s="25">
        <f>IF(C92="","",IF(N(N92)+N(O92)+N(P92)=0,"Not split",IF(ROUND(N(N92)+N(O92)+N(P92),2)=ROUND(H92,2),"OK","MISMATCH")))</f>
        <v/>
      </c>
      <c r="R92" s="26" t="n"/>
      <c r="S92" s="26" t="n"/>
      <c r="T92" s="26" t="n"/>
      <c r="U92" s="27">
        <f>IF(C92="","",N(R92)+N(S92)+N(T92))</f>
        <v/>
      </c>
      <c r="V92" s="27">
        <f>IF(C92="","",H92-U92)</f>
        <v/>
      </c>
      <c r="W92" s="29">
        <f>IFERROR(V92/H92,"")</f>
        <v/>
      </c>
      <c r="X92" s="24" t="n"/>
    </row>
    <row r="93" ht="15" customHeight="1">
      <c r="A93" s="63">
        <f>IF(C93="","",IFERROR(IF(SUMPRODUCT(MAX((tbl_Finance[Job Number]=C93&amp;"")*(tbl_Finance[Xero Invoice No]&lt;&gt;"")*tbl_Finance[Date]))=0,"",SUMPRODUCT(MAX((tbl_Finance[Job Number]=C93&amp;"")*(tbl_Finance[Xero Invoice No]&lt;&gt;"")*tbl_Finance[Date]))),""))</f>
        <v/>
      </c>
      <c r="B93" s="25">
        <f>IF(C93="","",IF(COUNTIFS(tbl_Finance[Job Number],C93&amp;"",tbl_Finance[Xero Invoice No],"&lt;&gt;")=0,"",IFERROR(IF(COUNTIFS(tbl_Finance[Job Number],C93&amp;"",tbl_Finance[Xero Invoice No],LOOKUP(2,1/((tbl_Finance[Job Number]=C93&amp;"")*(tbl_Finance[Xero Invoice No]&lt;&gt;"")),tbl_Finance[Xero Invoice No]))=COUNTIFS(tbl_Finance[Job Number],C93&amp;"",tbl_Finance[Xero Invoice No],"&lt;&gt;"),LOOKUP(2,1/((tbl_Finance[Job Number]=C93&amp;"")*(tbl_Finance[Xero Invoice No]&lt;&gt;"")),tbl_Finance[Xero Invoice No]),LOOKUP(2,1/((tbl_Finance[Job Number]=C93&amp;"")*(tbl_Finance[Xero Invoice No]&lt;&gt;"")),tbl_Finance[Xero Invoice No])&amp;" +more"),"")))</f>
        <v/>
      </c>
      <c r="C93" s="24" t="n"/>
      <c r="D93" s="25">
        <f>IF(C93="","",IF(COUNTIF(lst_Jobs,C93&amp;"")&gt;0,"OK","CHECK"))</f>
        <v/>
      </c>
      <c r="E93" s="25">
        <f>IF(C93="","",IFERROR(INDEX(lst_JobName,MATCH(C93&amp;"",lst_Jobs,0)),""))</f>
        <v/>
      </c>
      <c r="F93" s="25">
        <f>IF(C93="","",IFERROR(INDEX(tbl_Finance[Client],MATCH(C93&amp;"",tbl_Finance[Job Number],0)),""))</f>
        <v/>
      </c>
      <c r="G93" s="28">
        <f>IF(C93="","",COUNTIFS(tbl_Finance[Job Number],C93&amp;"",tbl_Finance[Ex GST],"&lt;&gt;"))</f>
        <v/>
      </c>
      <c r="H93" s="27">
        <f>IF(C93="","",SUMIFS(tbl_Finance[Ex GST],tbl_Finance[Job Number],C93&amp;""))</f>
        <v/>
      </c>
      <c r="I93" s="27">
        <f>IF(C93="","",SUMIFS(tbl_Finance[Ex GST],tbl_Finance[Job Number],C93&amp;"",tbl_Finance[Xero Invoice No],"&lt;&gt;"))</f>
        <v/>
      </c>
      <c r="J93" s="27">
        <f>IF(C93="","",H93-I93)</f>
        <v/>
      </c>
      <c r="K93" s="25">
        <f>IF(C93="","",IF(G93=0,"not invoiced yet",SUBSTITUTE(TRIM(IF(COUNTIFS(tbl_Finance[Job Number],C93&amp;"",tbl_Finance[Cost Centre],"ONSITE")&gt;0,"ONSITE ","")&amp;IF(COUNTIFS(tbl_Finance[Job Number],C93&amp;"",tbl_Finance[Cost Centre],"PRODUCTION")&gt;0,"PRODUCTION ","")&amp;IF(COUNTIFS(tbl_Finance[Job Number],C93&amp;"",tbl_Finance[Cost Centre],"VIDEO")&gt;0,"VIDEO ","")&amp;IF(COUNTIFS(tbl_Finance[Job Number],C93&amp;"",tbl_Finance[Cost Centre],"INTEGRATION")&gt;0,"INTEGRATION ","")&amp;IF(COUNTIFS(tbl_Finance[Job Number],C93&amp;"",tbl_Finance[Cost Centre],"CONSULTING")&gt;0,"CONSULTING ","")&amp;IF(COUNTIFS(tbl_Finance[Job Number],C93&amp;"",tbl_Finance[Cost Centre],"CTS")&gt;0,"CTS ",""))," ",", ")))</f>
        <v/>
      </c>
      <c r="L93" s="24" t="n"/>
      <c r="M93" s="25">
        <f>IF(L93="","",HYPERLINK(IF(LEFT(L93,4)="http",L93,set_QwilrBase&amp;L93),"Open quote"))</f>
        <v/>
      </c>
      <c r="N93" s="26" t="n"/>
      <c r="O93" s="26" t="n"/>
      <c r="P93" s="26" t="n"/>
      <c r="Q93" s="25">
        <f>IF(C93="","",IF(N(N93)+N(O93)+N(P93)=0,"Not split",IF(ROUND(N(N93)+N(O93)+N(P93),2)=ROUND(H93,2),"OK","MISMATCH")))</f>
        <v/>
      </c>
      <c r="R93" s="26" t="n"/>
      <c r="S93" s="26" t="n"/>
      <c r="T93" s="26" t="n"/>
      <c r="U93" s="27">
        <f>IF(C93="","",N(R93)+N(S93)+N(T93))</f>
        <v/>
      </c>
      <c r="V93" s="27">
        <f>IF(C93="","",H93-U93)</f>
        <v/>
      </c>
      <c r="W93" s="29">
        <f>IFERROR(V93/H93,"")</f>
        <v/>
      </c>
      <c r="X93" s="24" t="n"/>
    </row>
    <row r="94" ht="15" customHeight="1">
      <c r="A94" s="63">
        <f>IF(C94="","",IFERROR(IF(SUMPRODUCT(MAX((tbl_Finance[Job Number]=C94&amp;"")*(tbl_Finance[Xero Invoice No]&lt;&gt;"")*tbl_Finance[Date]))=0,"",SUMPRODUCT(MAX((tbl_Finance[Job Number]=C94&amp;"")*(tbl_Finance[Xero Invoice No]&lt;&gt;"")*tbl_Finance[Date]))),""))</f>
        <v/>
      </c>
      <c r="B94" s="25">
        <f>IF(C94="","",IF(COUNTIFS(tbl_Finance[Job Number],C94&amp;"",tbl_Finance[Xero Invoice No],"&lt;&gt;")=0,"",IFERROR(IF(COUNTIFS(tbl_Finance[Job Number],C94&amp;"",tbl_Finance[Xero Invoice No],LOOKUP(2,1/((tbl_Finance[Job Number]=C94&amp;"")*(tbl_Finance[Xero Invoice No]&lt;&gt;"")),tbl_Finance[Xero Invoice No]))=COUNTIFS(tbl_Finance[Job Number],C94&amp;"",tbl_Finance[Xero Invoice No],"&lt;&gt;"),LOOKUP(2,1/((tbl_Finance[Job Number]=C94&amp;"")*(tbl_Finance[Xero Invoice No]&lt;&gt;"")),tbl_Finance[Xero Invoice No]),LOOKUP(2,1/((tbl_Finance[Job Number]=C94&amp;"")*(tbl_Finance[Xero Invoice No]&lt;&gt;"")),tbl_Finance[Xero Invoice No])&amp;" +more"),"")))</f>
        <v/>
      </c>
      <c r="C94" s="24" t="n"/>
      <c r="D94" s="25">
        <f>IF(C94="","",IF(COUNTIF(lst_Jobs,C94&amp;"")&gt;0,"OK","CHECK"))</f>
        <v/>
      </c>
      <c r="E94" s="25">
        <f>IF(C94="","",IFERROR(INDEX(lst_JobName,MATCH(C94&amp;"",lst_Jobs,0)),""))</f>
        <v/>
      </c>
      <c r="F94" s="25">
        <f>IF(C94="","",IFERROR(INDEX(tbl_Finance[Client],MATCH(C94&amp;"",tbl_Finance[Job Number],0)),""))</f>
        <v/>
      </c>
      <c r="G94" s="28">
        <f>IF(C94="","",COUNTIFS(tbl_Finance[Job Number],C94&amp;"",tbl_Finance[Ex GST],"&lt;&gt;"))</f>
        <v/>
      </c>
      <c r="H94" s="27">
        <f>IF(C94="","",SUMIFS(tbl_Finance[Ex GST],tbl_Finance[Job Number],C94&amp;""))</f>
        <v/>
      </c>
      <c r="I94" s="27">
        <f>IF(C94="","",SUMIFS(tbl_Finance[Ex GST],tbl_Finance[Job Number],C94&amp;"",tbl_Finance[Xero Invoice No],"&lt;&gt;"))</f>
        <v/>
      </c>
      <c r="J94" s="27">
        <f>IF(C94="","",H94-I94)</f>
        <v/>
      </c>
      <c r="K94" s="25">
        <f>IF(C94="","",IF(G94=0,"not invoiced yet",SUBSTITUTE(TRIM(IF(COUNTIFS(tbl_Finance[Job Number],C94&amp;"",tbl_Finance[Cost Centre],"ONSITE")&gt;0,"ONSITE ","")&amp;IF(COUNTIFS(tbl_Finance[Job Number],C94&amp;"",tbl_Finance[Cost Centre],"PRODUCTION")&gt;0,"PRODUCTION ","")&amp;IF(COUNTIFS(tbl_Finance[Job Number],C94&amp;"",tbl_Finance[Cost Centre],"VIDEO")&gt;0,"VIDEO ","")&amp;IF(COUNTIFS(tbl_Finance[Job Number],C94&amp;"",tbl_Finance[Cost Centre],"INTEGRATION")&gt;0,"INTEGRATION ","")&amp;IF(COUNTIFS(tbl_Finance[Job Number],C94&amp;"",tbl_Finance[Cost Centre],"CONSULTING")&gt;0,"CONSULTING ","")&amp;IF(COUNTIFS(tbl_Finance[Job Number],C94&amp;"",tbl_Finance[Cost Centre],"CTS")&gt;0,"CTS ",""))," ",", ")))</f>
        <v/>
      </c>
      <c r="L94" s="24" t="n"/>
      <c r="M94" s="25">
        <f>IF(L94="","",HYPERLINK(IF(LEFT(L94,4)="http",L94,set_QwilrBase&amp;L94),"Open quote"))</f>
        <v/>
      </c>
      <c r="N94" s="26" t="n"/>
      <c r="O94" s="26" t="n"/>
      <c r="P94" s="26" t="n"/>
      <c r="Q94" s="25">
        <f>IF(C94="","",IF(N(N94)+N(O94)+N(P94)=0,"Not split",IF(ROUND(N(N94)+N(O94)+N(P94),2)=ROUND(H94,2),"OK","MISMATCH")))</f>
        <v/>
      </c>
      <c r="R94" s="26" t="n"/>
      <c r="S94" s="26" t="n"/>
      <c r="T94" s="26" t="n"/>
      <c r="U94" s="27">
        <f>IF(C94="","",N(R94)+N(S94)+N(T94))</f>
        <v/>
      </c>
      <c r="V94" s="27">
        <f>IF(C94="","",H94-U94)</f>
        <v/>
      </c>
      <c r="W94" s="29">
        <f>IFERROR(V94/H94,"")</f>
        <v/>
      </c>
      <c r="X94" s="24" t="n"/>
    </row>
    <row r="95" ht="15" customHeight="1">
      <c r="A95" s="63">
        <f>IF(C95="","",IFERROR(IF(SUMPRODUCT(MAX((tbl_Finance[Job Number]=C95&amp;"")*(tbl_Finance[Xero Invoice No]&lt;&gt;"")*tbl_Finance[Date]))=0,"",SUMPRODUCT(MAX((tbl_Finance[Job Number]=C95&amp;"")*(tbl_Finance[Xero Invoice No]&lt;&gt;"")*tbl_Finance[Date]))),""))</f>
        <v/>
      </c>
      <c r="B95" s="25">
        <f>IF(C95="","",IF(COUNTIFS(tbl_Finance[Job Number],C95&amp;"",tbl_Finance[Xero Invoice No],"&lt;&gt;")=0,"",IFERROR(IF(COUNTIFS(tbl_Finance[Job Number],C95&amp;"",tbl_Finance[Xero Invoice No],LOOKUP(2,1/((tbl_Finance[Job Number]=C95&amp;"")*(tbl_Finance[Xero Invoice No]&lt;&gt;"")),tbl_Finance[Xero Invoice No]))=COUNTIFS(tbl_Finance[Job Number],C95&amp;"",tbl_Finance[Xero Invoice No],"&lt;&gt;"),LOOKUP(2,1/((tbl_Finance[Job Number]=C95&amp;"")*(tbl_Finance[Xero Invoice No]&lt;&gt;"")),tbl_Finance[Xero Invoice No]),LOOKUP(2,1/((tbl_Finance[Job Number]=C95&amp;"")*(tbl_Finance[Xero Invoice No]&lt;&gt;"")),tbl_Finance[Xero Invoice No])&amp;" +more"),"")))</f>
        <v/>
      </c>
      <c r="C95" s="24" t="n"/>
      <c r="D95" s="25">
        <f>IF(C95="","",IF(COUNTIF(lst_Jobs,C95&amp;"")&gt;0,"OK","CHECK"))</f>
        <v/>
      </c>
      <c r="E95" s="25">
        <f>IF(C95="","",IFERROR(INDEX(lst_JobName,MATCH(C95&amp;"",lst_Jobs,0)),""))</f>
        <v/>
      </c>
      <c r="F95" s="25">
        <f>IF(C95="","",IFERROR(INDEX(tbl_Finance[Client],MATCH(C95&amp;"",tbl_Finance[Job Number],0)),""))</f>
        <v/>
      </c>
      <c r="G95" s="28">
        <f>IF(C95="","",COUNTIFS(tbl_Finance[Job Number],C95&amp;"",tbl_Finance[Ex GST],"&lt;&gt;"))</f>
        <v/>
      </c>
      <c r="H95" s="27">
        <f>IF(C95="","",SUMIFS(tbl_Finance[Ex GST],tbl_Finance[Job Number],C95&amp;""))</f>
        <v/>
      </c>
      <c r="I95" s="27">
        <f>IF(C95="","",SUMIFS(tbl_Finance[Ex GST],tbl_Finance[Job Number],C95&amp;"",tbl_Finance[Xero Invoice No],"&lt;&gt;"))</f>
        <v/>
      </c>
      <c r="J95" s="27">
        <f>IF(C95="","",H95-I95)</f>
        <v/>
      </c>
      <c r="K95" s="25">
        <f>IF(C95="","",IF(G95=0,"not invoiced yet",SUBSTITUTE(TRIM(IF(COUNTIFS(tbl_Finance[Job Number],C95&amp;"",tbl_Finance[Cost Centre],"ONSITE")&gt;0,"ONSITE ","")&amp;IF(COUNTIFS(tbl_Finance[Job Number],C95&amp;"",tbl_Finance[Cost Centre],"PRODUCTION")&gt;0,"PRODUCTION ","")&amp;IF(COUNTIFS(tbl_Finance[Job Number],C95&amp;"",tbl_Finance[Cost Centre],"VIDEO")&gt;0,"VIDEO ","")&amp;IF(COUNTIFS(tbl_Finance[Job Number],C95&amp;"",tbl_Finance[Cost Centre],"INTEGRATION")&gt;0,"INTEGRATION ","")&amp;IF(COUNTIFS(tbl_Finance[Job Number],C95&amp;"",tbl_Finance[Cost Centre],"CONSULTING")&gt;0,"CONSULTING ","")&amp;IF(COUNTIFS(tbl_Finance[Job Number],C95&amp;"",tbl_Finance[Cost Centre],"CTS")&gt;0,"CTS ",""))," ",", ")))</f>
        <v/>
      </c>
      <c r="L95" s="24" t="n"/>
      <c r="M95" s="25">
        <f>IF(L95="","",HYPERLINK(IF(LEFT(L95,4)="http",L95,set_QwilrBase&amp;L95),"Open quote"))</f>
        <v/>
      </c>
      <c r="N95" s="26" t="n"/>
      <c r="O95" s="26" t="n"/>
      <c r="P95" s="26" t="n"/>
      <c r="Q95" s="25">
        <f>IF(C95="","",IF(N(N95)+N(O95)+N(P95)=0,"Not split",IF(ROUND(N(N95)+N(O95)+N(P95),2)=ROUND(H95,2),"OK","MISMATCH")))</f>
        <v/>
      </c>
      <c r="R95" s="26" t="n"/>
      <c r="S95" s="26" t="n"/>
      <c r="T95" s="26" t="n"/>
      <c r="U95" s="27">
        <f>IF(C95="","",N(R95)+N(S95)+N(T95))</f>
        <v/>
      </c>
      <c r="V95" s="27">
        <f>IF(C95="","",H95-U95)</f>
        <v/>
      </c>
      <c r="W95" s="29">
        <f>IFERROR(V95/H95,"")</f>
        <v/>
      </c>
      <c r="X95" s="24" t="n"/>
    </row>
    <row r="96" ht="15" customHeight="1">
      <c r="A96" s="63">
        <f>IF(C96="","",IFERROR(IF(SUMPRODUCT(MAX((tbl_Finance[Job Number]=C96&amp;"")*(tbl_Finance[Xero Invoice No]&lt;&gt;"")*tbl_Finance[Date]))=0,"",SUMPRODUCT(MAX((tbl_Finance[Job Number]=C96&amp;"")*(tbl_Finance[Xero Invoice No]&lt;&gt;"")*tbl_Finance[Date]))),""))</f>
        <v/>
      </c>
      <c r="B96" s="25">
        <f>IF(C96="","",IF(COUNTIFS(tbl_Finance[Job Number],C96&amp;"",tbl_Finance[Xero Invoice No],"&lt;&gt;")=0,"",IFERROR(IF(COUNTIFS(tbl_Finance[Job Number],C96&amp;"",tbl_Finance[Xero Invoice No],LOOKUP(2,1/((tbl_Finance[Job Number]=C96&amp;"")*(tbl_Finance[Xero Invoice No]&lt;&gt;"")),tbl_Finance[Xero Invoice No]))=COUNTIFS(tbl_Finance[Job Number],C96&amp;"",tbl_Finance[Xero Invoice No],"&lt;&gt;"),LOOKUP(2,1/((tbl_Finance[Job Number]=C96&amp;"")*(tbl_Finance[Xero Invoice No]&lt;&gt;"")),tbl_Finance[Xero Invoice No]),LOOKUP(2,1/((tbl_Finance[Job Number]=C96&amp;"")*(tbl_Finance[Xero Invoice No]&lt;&gt;"")),tbl_Finance[Xero Invoice No])&amp;" +more"),"")))</f>
        <v/>
      </c>
      <c r="C96" s="24" t="n"/>
      <c r="D96" s="25">
        <f>IF(C96="","",IF(COUNTIF(lst_Jobs,C96&amp;"")&gt;0,"OK","CHECK"))</f>
        <v/>
      </c>
      <c r="E96" s="25">
        <f>IF(C96="","",IFERROR(INDEX(lst_JobName,MATCH(C96&amp;"",lst_Jobs,0)),""))</f>
        <v/>
      </c>
      <c r="F96" s="25">
        <f>IF(C96="","",IFERROR(INDEX(tbl_Finance[Client],MATCH(C96&amp;"",tbl_Finance[Job Number],0)),""))</f>
        <v/>
      </c>
      <c r="G96" s="28">
        <f>IF(C96="","",COUNTIFS(tbl_Finance[Job Number],C96&amp;"",tbl_Finance[Ex GST],"&lt;&gt;"))</f>
        <v/>
      </c>
      <c r="H96" s="27">
        <f>IF(C96="","",SUMIFS(tbl_Finance[Ex GST],tbl_Finance[Job Number],C96&amp;""))</f>
        <v/>
      </c>
      <c r="I96" s="27">
        <f>IF(C96="","",SUMIFS(tbl_Finance[Ex GST],tbl_Finance[Job Number],C96&amp;"",tbl_Finance[Xero Invoice No],"&lt;&gt;"))</f>
        <v/>
      </c>
      <c r="J96" s="27">
        <f>IF(C96="","",H96-I96)</f>
        <v/>
      </c>
      <c r="K96" s="25">
        <f>IF(C96="","",IF(G96=0,"not invoiced yet",SUBSTITUTE(TRIM(IF(COUNTIFS(tbl_Finance[Job Number],C96&amp;"",tbl_Finance[Cost Centre],"ONSITE")&gt;0,"ONSITE ","")&amp;IF(COUNTIFS(tbl_Finance[Job Number],C96&amp;"",tbl_Finance[Cost Centre],"PRODUCTION")&gt;0,"PRODUCTION ","")&amp;IF(COUNTIFS(tbl_Finance[Job Number],C96&amp;"",tbl_Finance[Cost Centre],"VIDEO")&gt;0,"VIDEO ","")&amp;IF(COUNTIFS(tbl_Finance[Job Number],C96&amp;"",tbl_Finance[Cost Centre],"INTEGRATION")&gt;0,"INTEGRATION ","")&amp;IF(COUNTIFS(tbl_Finance[Job Number],C96&amp;"",tbl_Finance[Cost Centre],"CONSULTING")&gt;0,"CONSULTING ","")&amp;IF(COUNTIFS(tbl_Finance[Job Number],C96&amp;"",tbl_Finance[Cost Centre],"CTS")&gt;0,"CTS ",""))," ",", ")))</f>
        <v/>
      </c>
      <c r="L96" s="24" t="n"/>
      <c r="M96" s="25">
        <f>IF(L96="","",HYPERLINK(IF(LEFT(L96,4)="http",L96,set_QwilrBase&amp;L96),"Open quote"))</f>
        <v/>
      </c>
      <c r="N96" s="26" t="n"/>
      <c r="O96" s="26" t="n"/>
      <c r="P96" s="26" t="n"/>
      <c r="Q96" s="25">
        <f>IF(C96="","",IF(N(N96)+N(O96)+N(P96)=0,"Not split",IF(ROUND(N(N96)+N(O96)+N(P96),2)=ROUND(H96,2),"OK","MISMATCH")))</f>
        <v/>
      </c>
      <c r="R96" s="26" t="n"/>
      <c r="S96" s="26" t="n"/>
      <c r="T96" s="26" t="n"/>
      <c r="U96" s="27">
        <f>IF(C96="","",N(R96)+N(S96)+N(T96))</f>
        <v/>
      </c>
      <c r="V96" s="27">
        <f>IF(C96="","",H96-U96)</f>
        <v/>
      </c>
      <c r="W96" s="29">
        <f>IFERROR(V96/H96,"")</f>
        <v/>
      </c>
      <c r="X96" s="24" t="n"/>
    </row>
    <row r="97" ht="15" customHeight="1">
      <c r="A97" s="63">
        <f>IF(C97="","",IFERROR(IF(SUMPRODUCT(MAX((tbl_Finance[Job Number]=C97&amp;"")*(tbl_Finance[Xero Invoice No]&lt;&gt;"")*tbl_Finance[Date]))=0,"",SUMPRODUCT(MAX((tbl_Finance[Job Number]=C97&amp;"")*(tbl_Finance[Xero Invoice No]&lt;&gt;"")*tbl_Finance[Date]))),""))</f>
        <v/>
      </c>
      <c r="B97" s="25">
        <f>IF(C97="","",IF(COUNTIFS(tbl_Finance[Job Number],C97&amp;"",tbl_Finance[Xero Invoice No],"&lt;&gt;")=0,"",IFERROR(IF(COUNTIFS(tbl_Finance[Job Number],C97&amp;"",tbl_Finance[Xero Invoice No],LOOKUP(2,1/((tbl_Finance[Job Number]=C97&amp;"")*(tbl_Finance[Xero Invoice No]&lt;&gt;"")),tbl_Finance[Xero Invoice No]))=COUNTIFS(tbl_Finance[Job Number],C97&amp;"",tbl_Finance[Xero Invoice No],"&lt;&gt;"),LOOKUP(2,1/((tbl_Finance[Job Number]=C97&amp;"")*(tbl_Finance[Xero Invoice No]&lt;&gt;"")),tbl_Finance[Xero Invoice No]),LOOKUP(2,1/((tbl_Finance[Job Number]=C97&amp;"")*(tbl_Finance[Xero Invoice No]&lt;&gt;"")),tbl_Finance[Xero Invoice No])&amp;" +more"),"")))</f>
        <v/>
      </c>
      <c r="C97" s="24" t="n"/>
      <c r="D97" s="25">
        <f>IF(C97="","",IF(COUNTIF(lst_Jobs,C97&amp;"")&gt;0,"OK","CHECK"))</f>
        <v/>
      </c>
      <c r="E97" s="25">
        <f>IF(C97="","",IFERROR(INDEX(lst_JobName,MATCH(C97&amp;"",lst_Jobs,0)),""))</f>
        <v/>
      </c>
      <c r="F97" s="25">
        <f>IF(C97="","",IFERROR(INDEX(tbl_Finance[Client],MATCH(C97&amp;"",tbl_Finance[Job Number],0)),""))</f>
        <v/>
      </c>
      <c r="G97" s="28">
        <f>IF(C97="","",COUNTIFS(tbl_Finance[Job Number],C97&amp;"",tbl_Finance[Ex GST],"&lt;&gt;"))</f>
        <v/>
      </c>
      <c r="H97" s="27">
        <f>IF(C97="","",SUMIFS(tbl_Finance[Ex GST],tbl_Finance[Job Number],C97&amp;""))</f>
        <v/>
      </c>
      <c r="I97" s="27">
        <f>IF(C97="","",SUMIFS(tbl_Finance[Ex GST],tbl_Finance[Job Number],C97&amp;"",tbl_Finance[Xero Invoice No],"&lt;&gt;"))</f>
        <v/>
      </c>
      <c r="J97" s="27">
        <f>IF(C97="","",H97-I97)</f>
        <v/>
      </c>
      <c r="K97" s="25">
        <f>IF(C97="","",IF(G97=0,"not invoiced yet",SUBSTITUTE(TRIM(IF(COUNTIFS(tbl_Finance[Job Number],C97&amp;"",tbl_Finance[Cost Centre],"ONSITE")&gt;0,"ONSITE ","")&amp;IF(COUNTIFS(tbl_Finance[Job Number],C97&amp;"",tbl_Finance[Cost Centre],"PRODUCTION")&gt;0,"PRODUCTION ","")&amp;IF(COUNTIFS(tbl_Finance[Job Number],C97&amp;"",tbl_Finance[Cost Centre],"VIDEO")&gt;0,"VIDEO ","")&amp;IF(COUNTIFS(tbl_Finance[Job Number],C97&amp;"",tbl_Finance[Cost Centre],"INTEGRATION")&gt;0,"INTEGRATION ","")&amp;IF(COUNTIFS(tbl_Finance[Job Number],C97&amp;"",tbl_Finance[Cost Centre],"CONSULTING")&gt;0,"CONSULTING ","")&amp;IF(COUNTIFS(tbl_Finance[Job Number],C97&amp;"",tbl_Finance[Cost Centre],"CTS")&gt;0,"CTS ",""))," ",", ")))</f>
        <v/>
      </c>
      <c r="L97" s="24" t="n"/>
      <c r="M97" s="25">
        <f>IF(L97="","",HYPERLINK(IF(LEFT(L97,4)="http",L97,set_QwilrBase&amp;L97),"Open quote"))</f>
        <v/>
      </c>
      <c r="N97" s="26" t="n"/>
      <c r="O97" s="26" t="n"/>
      <c r="P97" s="26" t="n"/>
      <c r="Q97" s="25">
        <f>IF(C97="","",IF(N(N97)+N(O97)+N(P97)=0,"Not split",IF(ROUND(N(N97)+N(O97)+N(P97),2)=ROUND(H97,2),"OK","MISMATCH")))</f>
        <v/>
      </c>
      <c r="R97" s="26" t="n"/>
      <c r="S97" s="26" t="n"/>
      <c r="T97" s="26" t="n"/>
      <c r="U97" s="27">
        <f>IF(C97="","",N(R97)+N(S97)+N(T97))</f>
        <v/>
      </c>
      <c r="V97" s="27">
        <f>IF(C97="","",H97-U97)</f>
        <v/>
      </c>
      <c r="W97" s="29">
        <f>IFERROR(V97/H97,"")</f>
        <v/>
      </c>
      <c r="X97" s="24" t="n"/>
    </row>
    <row r="98" ht="15" customHeight="1">
      <c r="A98" s="63">
        <f>IF(C98="","",IFERROR(IF(SUMPRODUCT(MAX((tbl_Finance[Job Number]=C98&amp;"")*(tbl_Finance[Xero Invoice No]&lt;&gt;"")*tbl_Finance[Date]))=0,"",SUMPRODUCT(MAX((tbl_Finance[Job Number]=C98&amp;"")*(tbl_Finance[Xero Invoice No]&lt;&gt;"")*tbl_Finance[Date]))),""))</f>
        <v/>
      </c>
      <c r="B98" s="25">
        <f>IF(C98="","",IF(COUNTIFS(tbl_Finance[Job Number],C98&amp;"",tbl_Finance[Xero Invoice No],"&lt;&gt;")=0,"",IFERROR(IF(COUNTIFS(tbl_Finance[Job Number],C98&amp;"",tbl_Finance[Xero Invoice No],LOOKUP(2,1/((tbl_Finance[Job Number]=C98&amp;"")*(tbl_Finance[Xero Invoice No]&lt;&gt;"")),tbl_Finance[Xero Invoice No]))=COUNTIFS(tbl_Finance[Job Number],C98&amp;"",tbl_Finance[Xero Invoice No],"&lt;&gt;"),LOOKUP(2,1/((tbl_Finance[Job Number]=C98&amp;"")*(tbl_Finance[Xero Invoice No]&lt;&gt;"")),tbl_Finance[Xero Invoice No]),LOOKUP(2,1/((tbl_Finance[Job Number]=C98&amp;"")*(tbl_Finance[Xero Invoice No]&lt;&gt;"")),tbl_Finance[Xero Invoice No])&amp;" +more"),"")))</f>
        <v/>
      </c>
      <c r="C98" s="24" t="n"/>
      <c r="D98" s="25">
        <f>IF(C98="","",IF(COUNTIF(lst_Jobs,C98&amp;"")&gt;0,"OK","CHECK"))</f>
        <v/>
      </c>
      <c r="E98" s="25">
        <f>IF(C98="","",IFERROR(INDEX(lst_JobName,MATCH(C98&amp;"",lst_Jobs,0)),""))</f>
        <v/>
      </c>
      <c r="F98" s="25">
        <f>IF(C98="","",IFERROR(INDEX(tbl_Finance[Client],MATCH(C98&amp;"",tbl_Finance[Job Number],0)),""))</f>
        <v/>
      </c>
      <c r="G98" s="28">
        <f>IF(C98="","",COUNTIFS(tbl_Finance[Job Number],C98&amp;"",tbl_Finance[Ex GST],"&lt;&gt;"))</f>
        <v/>
      </c>
      <c r="H98" s="27">
        <f>IF(C98="","",SUMIFS(tbl_Finance[Ex GST],tbl_Finance[Job Number],C98&amp;""))</f>
        <v/>
      </c>
      <c r="I98" s="27">
        <f>IF(C98="","",SUMIFS(tbl_Finance[Ex GST],tbl_Finance[Job Number],C98&amp;"",tbl_Finance[Xero Invoice No],"&lt;&gt;"))</f>
        <v/>
      </c>
      <c r="J98" s="27">
        <f>IF(C98="","",H98-I98)</f>
        <v/>
      </c>
      <c r="K98" s="25">
        <f>IF(C98="","",IF(G98=0,"not invoiced yet",SUBSTITUTE(TRIM(IF(COUNTIFS(tbl_Finance[Job Number],C98&amp;"",tbl_Finance[Cost Centre],"ONSITE")&gt;0,"ONSITE ","")&amp;IF(COUNTIFS(tbl_Finance[Job Number],C98&amp;"",tbl_Finance[Cost Centre],"PRODUCTION")&gt;0,"PRODUCTION ","")&amp;IF(COUNTIFS(tbl_Finance[Job Number],C98&amp;"",tbl_Finance[Cost Centre],"VIDEO")&gt;0,"VIDEO ","")&amp;IF(COUNTIFS(tbl_Finance[Job Number],C98&amp;"",tbl_Finance[Cost Centre],"INTEGRATION")&gt;0,"INTEGRATION ","")&amp;IF(COUNTIFS(tbl_Finance[Job Number],C98&amp;"",tbl_Finance[Cost Centre],"CONSULTING")&gt;0,"CONSULTING ","")&amp;IF(COUNTIFS(tbl_Finance[Job Number],C98&amp;"",tbl_Finance[Cost Centre],"CTS")&gt;0,"CTS ",""))," ",", ")))</f>
        <v/>
      </c>
      <c r="L98" s="24" t="n"/>
      <c r="M98" s="25">
        <f>IF(L98="","",HYPERLINK(IF(LEFT(L98,4)="http",L98,set_QwilrBase&amp;L98),"Open quote"))</f>
        <v/>
      </c>
      <c r="N98" s="26" t="n"/>
      <c r="O98" s="26" t="n"/>
      <c r="P98" s="26" t="n"/>
      <c r="Q98" s="25">
        <f>IF(C98="","",IF(N(N98)+N(O98)+N(P98)=0,"Not split",IF(ROUND(N(N98)+N(O98)+N(P98),2)=ROUND(H98,2),"OK","MISMATCH")))</f>
        <v/>
      </c>
      <c r="R98" s="26" t="n"/>
      <c r="S98" s="26" t="n"/>
      <c r="T98" s="26" t="n"/>
      <c r="U98" s="27">
        <f>IF(C98="","",N(R98)+N(S98)+N(T98))</f>
        <v/>
      </c>
      <c r="V98" s="27">
        <f>IF(C98="","",H98-U98)</f>
        <v/>
      </c>
      <c r="W98" s="29">
        <f>IFERROR(V98/H98,"")</f>
        <v/>
      </c>
      <c r="X98" s="24" t="n"/>
    </row>
    <row r="99" ht="15" customHeight="1">
      <c r="A99" s="63">
        <f>IF(C99="","",IFERROR(IF(SUMPRODUCT(MAX((tbl_Finance[Job Number]=C99&amp;"")*(tbl_Finance[Xero Invoice No]&lt;&gt;"")*tbl_Finance[Date]))=0,"",SUMPRODUCT(MAX((tbl_Finance[Job Number]=C99&amp;"")*(tbl_Finance[Xero Invoice No]&lt;&gt;"")*tbl_Finance[Date]))),""))</f>
        <v/>
      </c>
      <c r="B99" s="25">
        <f>IF(C99="","",IF(COUNTIFS(tbl_Finance[Job Number],C99&amp;"",tbl_Finance[Xero Invoice No],"&lt;&gt;")=0,"",IFERROR(IF(COUNTIFS(tbl_Finance[Job Number],C99&amp;"",tbl_Finance[Xero Invoice No],LOOKUP(2,1/((tbl_Finance[Job Number]=C99&amp;"")*(tbl_Finance[Xero Invoice No]&lt;&gt;"")),tbl_Finance[Xero Invoice No]))=COUNTIFS(tbl_Finance[Job Number],C99&amp;"",tbl_Finance[Xero Invoice No],"&lt;&gt;"),LOOKUP(2,1/((tbl_Finance[Job Number]=C99&amp;"")*(tbl_Finance[Xero Invoice No]&lt;&gt;"")),tbl_Finance[Xero Invoice No]),LOOKUP(2,1/((tbl_Finance[Job Number]=C99&amp;"")*(tbl_Finance[Xero Invoice No]&lt;&gt;"")),tbl_Finance[Xero Invoice No])&amp;" +more"),"")))</f>
        <v/>
      </c>
      <c r="C99" s="24" t="n"/>
      <c r="D99" s="25">
        <f>IF(C99="","",IF(COUNTIF(lst_Jobs,C99&amp;"")&gt;0,"OK","CHECK"))</f>
        <v/>
      </c>
      <c r="E99" s="25">
        <f>IF(C99="","",IFERROR(INDEX(lst_JobName,MATCH(C99&amp;"",lst_Jobs,0)),""))</f>
        <v/>
      </c>
      <c r="F99" s="25">
        <f>IF(C99="","",IFERROR(INDEX(tbl_Finance[Client],MATCH(C99&amp;"",tbl_Finance[Job Number],0)),""))</f>
        <v/>
      </c>
      <c r="G99" s="28">
        <f>IF(C99="","",COUNTIFS(tbl_Finance[Job Number],C99&amp;"",tbl_Finance[Ex GST],"&lt;&gt;"))</f>
        <v/>
      </c>
      <c r="H99" s="27">
        <f>IF(C99="","",SUMIFS(tbl_Finance[Ex GST],tbl_Finance[Job Number],C99&amp;""))</f>
        <v/>
      </c>
      <c r="I99" s="27">
        <f>IF(C99="","",SUMIFS(tbl_Finance[Ex GST],tbl_Finance[Job Number],C99&amp;"",tbl_Finance[Xero Invoice No],"&lt;&gt;"))</f>
        <v/>
      </c>
      <c r="J99" s="27">
        <f>IF(C99="","",H99-I99)</f>
        <v/>
      </c>
      <c r="K99" s="25">
        <f>IF(C99="","",IF(G99=0,"not invoiced yet",SUBSTITUTE(TRIM(IF(COUNTIFS(tbl_Finance[Job Number],C99&amp;"",tbl_Finance[Cost Centre],"ONSITE")&gt;0,"ONSITE ","")&amp;IF(COUNTIFS(tbl_Finance[Job Number],C99&amp;"",tbl_Finance[Cost Centre],"PRODUCTION")&gt;0,"PRODUCTION ","")&amp;IF(COUNTIFS(tbl_Finance[Job Number],C99&amp;"",tbl_Finance[Cost Centre],"VIDEO")&gt;0,"VIDEO ","")&amp;IF(COUNTIFS(tbl_Finance[Job Number],C99&amp;"",tbl_Finance[Cost Centre],"INTEGRATION")&gt;0,"INTEGRATION ","")&amp;IF(COUNTIFS(tbl_Finance[Job Number],C99&amp;"",tbl_Finance[Cost Centre],"CONSULTING")&gt;0,"CONSULTING ","")&amp;IF(COUNTIFS(tbl_Finance[Job Number],C99&amp;"",tbl_Finance[Cost Centre],"CTS")&gt;0,"CTS ",""))," ",", ")))</f>
        <v/>
      </c>
      <c r="L99" s="24" t="n"/>
      <c r="M99" s="25">
        <f>IF(L99="","",HYPERLINK(IF(LEFT(L99,4)="http",L99,set_QwilrBase&amp;L99),"Open quote"))</f>
        <v/>
      </c>
      <c r="N99" s="26" t="n"/>
      <c r="O99" s="26" t="n"/>
      <c r="P99" s="26" t="n"/>
      <c r="Q99" s="25">
        <f>IF(C99="","",IF(N(N99)+N(O99)+N(P99)=0,"Not split",IF(ROUND(N(N99)+N(O99)+N(P99),2)=ROUND(H99,2),"OK","MISMATCH")))</f>
        <v/>
      </c>
      <c r="R99" s="26" t="n"/>
      <c r="S99" s="26" t="n"/>
      <c r="T99" s="26" t="n"/>
      <c r="U99" s="27">
        <f>IF(C99="","",N(R99)+N(S99)+N(T99))</f>
        <v/>
      </c>
      <c r="V99" s="27">
        <f>IF(C99="","",H99-U99)</f>
        <v/>
      </c>
      <c r="W99" s="29">
        <f>IFERROR(V99/H99,"")</f>
        <v/>
      </c>
      <c r="X99" s="24" t="n"/>
    </row>
    <row r="100" ht="15" customHeight="1">
      <c r="A100" s="63">
        <f>IF(C100="","",IFERROR(IF(SUMPRODUCT(MAX((tbl_Finance[Job Number]=C100&amp;"")*(tbl_Finance[Xero Invoice No]&lt;&gt;"")*tbl_Finance[Date]))=0,"",SUMPRODUCT(MAX((tbl_Finance[Job Number]=C100&amp;"")*(tbl_Finance[Xero Invoice No]&lt;&gt;"")*tbl_Finance[Date]))),""))</f>
        <v/>
      </c>
      <c r="B100" s="25">
        <f>IF(C100="","",IF(COUNTIFS(tbl_Finance[Job Number],C100&amp;"",tbl_Finance[Xero Invoice No],"&lt;&gt;")=0,"",IFERROR(IF(COUNTIFS(tbl_Finance[Job Number],C100&amp;"",tbl_Finance[Xero Invoice No],LOOKUP(2,1/((tbl_Finance[Job Number]=C100&amp;"")*(tbl_Finance[Xero Invoice No]&lt;&gt;"")),tbl_Finance[Xero Invoice No]))=COUNTIFS(tbl_Finance[Job Number],C100&amp;"",tbl_Finance[Xero Invoice No],"&lt;&gt;"),LOOKUP(2,1/((tbl_Finance[Job Number]=C100&amp;"")*(tbl_Finance[Xero Invoice No]&lt;&gt;"")),tbl_Finance[Xero Invoice No]),LOOKUP(2,1/((tbl_Finance[Job Number]=C100&amp;"")*(tbl_Finance[Xero Invoice No]&lt;&gt;"")),tbl_Finance[Xero Invoice No])&amp;" +more"),"")))</f>
        <v/>
      </c>
      <c r="C100" s="24" t="n"/>
      <c r="D100" s="25">
        <f>IF(C100="","",IF(COUNTIF(lst_Jobs,C100&amp;"")&gt;0,"OK","CHECK"))</f>
        <v/>
      </c>
      <c r="E100" s="25">
        <f>IF(C100="","",IFERROR(INDEX(lst_JobName,MATCH(C100&amp;"",lst_Jobs,0)),""))</f>
        <v/>
      </c>
      <c r="F100" s="25">
        <f>IF(C100="","",IFERROR(INDEX(tbl_Finance[Client],MATCH(C100&amp;"",tbl_Finance[Job Number],0)),""))</f>
        <v/>
      </c>
      <c r="G100" s="28">
        <f>IF(C100="","",COUNTIFS(tbl_Finance[Job Number],C100&amp;"",tbl_Finance[Ex GST],"&lt;&gt;"))</f>
        <v/>
      </c>
      <c r="H100" s="27">
        <f>IF(C100="","",SUMIFS(tbl_Finance[Ex GST],tbl_Finance[Job Number],C100&amp;""))</f>
        <v/>
      </c>
      <c r="I100" s="27">
        <f>IF(C100="","",SUMIFS(tbl_Finance[Ex GST],tbl_Finance[Job Number],C100&amp;"",tbl_Finance[Xero Invoice No],"&lt;&gt;"))</f>
        <v/>
      </c>
      <c r="J100" s="27">
        <f>IF(C100="","",H100-I100)</f>
        <v/>
      </c>
      <c r="K100" s="25">
        <f>IF(C100="","",IF(G100=0,"not invoiced yet",SUBSTITUTE(TRIM(IF(COUNTIFS(tbl_Finance[Job Number],C100&amp;"",tbl_Finance[Cost Centre],"ONSITE")&gt;0,"ONSITE ","")&amp;IF(COUNTIFS(tbl_Finance[Job Number],C100&amp;"",tbl_Finance[Cost Centre],"PRODUCTION")&gt;0,"PRODUCTION ","")&amp;IF(COUNTIFS(tbl_Finance[Job Number],C100&amp;"",tbl_Finance[Cost Centre],"VIDEO")&gt;0,"VIDEO ","")&amp;IF(COUNTIFS(tbl_Finance[Job Number],C100&amp;"",tbl_Finance[Cost Centre],"INTEGRATION")&gt;0,"INTEGRATION ","")&amp;IF(COUNTIFS(tbl_Finance[Job Number],C100&amp;"",tbl_Finance[Cost Centre],"CONSULTING")&gt;0,"CONSULTING ","")&amp;IF(COUNTIFS(tbl_Finance[Job Number],C100&amp;"",tbl_Finance[Cost Centre],"CTS")&gt;0,"CTS ",""))," ",", ")))</f>
        <v/>
      </c>
      <c r="L100" s="24" t="n"/>
      <c r="M100" s="25">
        <f>IF(L100="","",HYPERLINK(IF(LEFT(L100,4)="http",L100,set_QwilrBase&amp;L100),"Open quote"))</f>
        <v/>
      </c>
      <c r="N100" s="26" t="n"/>
      <c r="O100" s="26" t="n"/>
      <c r="P100" s="26" t="n"/>
      <c r="Q100" s="25">
        <f>IF(C100="","",IF(N(N100)+N(O100)+N(P100)=0,"Not split",IF(ROUND(N(N100)+N(O100)+N(P100),2)=ROUND(H100,2),"OK","MISMATCH")))</f>
        <v/>
      </c>
      <c r="R100" s="26" t="n"/>
      <c r="S100" s="26" t="n"/>
      <c r="T100" s="26" t="n"/>
      <c r="U100" s="27">
        <f>IF(C100="","",N(R100)+N(S100)+N(T100))</f>
        <v/>
      </c>
      <c r="V100" s="27">
        <f>IF(C100="","",H100-U100)</f>
        <v/>
      </c>
      <c r="W100" s="29">
        <f>IFERROR(V100/H100,"")</f>
        <v/>
      </c>
      <c r="X100" s="24" t="n"/>
    </row>
    <row r="101" ht="15" customHeight="1">
      <c r="A101" s="63">
        <f>IF(C101="","",IFERROR(IF(SUMPRODUCT(MAX((tbl_Finance[Job Number]=C101&amp;"")*(tbl_Finance[Xero Invoice No]&lt;&gt;"")*tbl_Finance[Date]))=0,"",SUMPRODUCT(MAX((tbl_Finance[Job Number]=C101&amp;"")*(tbl_Finance[Xero Invoice No]&lt;&gt;"")*tbl_Finance[Date]))),""))</f>
        <v/>
      </c>
      <c r="B101" s="25">
        <f>IF(C101="","",IF(COUNTIFS(tbl_Finance[Job Number],C101&amp;"",tbl_Finance[Xero Invoice No],"&lt;&gt;")=0,"",IFERROR(IF(COUNTIFS(tbl_Finance[Job Number],C101&amp;"",tbl_Finance[Xero Invoice No],LOOKUP(2,1/((tbl_Finance[Job Number]=C101&amp;"")*(tbl_Finance[Xero Invoice No]&lt;&gt;"")),tbl_Finance[Xero Invoice No]))=COUNTIFS(tbl_Finance[Job Number],C101&amp;"",tbl_Finance[Xero Invoice No],"&lt;&gt;"),LOOKUP(2,1/((tbl_Finance[Job Number]=C101&amp;"")*(tbl_Finance[Xero Invoice No]&lt;&gt;"")),tbl_Finance[Xero Invoice No]),LOOKUP(2,1/((tbl_Finance[Job Number]=C101&amp;"")*(tbl_Finance[Xero Invoice No]&lt;&gt;"")),tbl_Finance[Xero Invoice No])&amp;" +more"),"")))</f>
        <v/>
      </c>
      <c r="C101" s="24" t="n"/>
      <c r="D101" s="25">
        <f>IF(C101="","",IF(COUNTIF(lst_Jobs,C101&amp;"")&gt;0,"OK","CHECK"))</f>
        <v/>
      </c>
      <c r="E101" s="25">
        <f>IF(C101="","",IFERROR(INDEX(lst_JobName,MATCH(C101&amp;"",lst_Jobs,0)),""))</f>
        <v/>
      </c>
      <c r="F101" s="25">
        <f>IF(C101="","",IFERROR(INDEX(tbl_Finance[Client],MATCH(C101&amp;"",tbl_Finance[Job Number],0)),""))</f>
        <v/>
      </c>
      <c r="G101" s="28">
        <f>IF(C101="","",COUNTIFS(tbl_Finance[Job Number],C101&amp;"",tbl_Finance[Ex GST],"&lt;&gt;"))</f>
        <v/>
      </c>
      <c r="H101" s="27">
        <f>IF(C101="","",SUMIFS(tbl_Finance[Ex GST],tbl_Finance[Job Number],C101&amp;""))</f>
        <v/>
      </c>
      <c r="I101" s="27">
        <f>IF(C101="","",SUMIFS(tbl_Finance[Ex GST],tbl_Finance[Job Number],C101&amp;"",tbl_Finance[Xero Invoice No],"&lt;&gt;"))</f>
        <v/>
      </c>
      <c r="J101" s="27">
        <f>IF(C101="","",H101-I101)</f>
        <v/>
      </c>
      <c r="K101" s="25">
        <f>IF(C101="","",IF(G101=0,"not invoiced yet",SUBSTITUTE(TRIM(IF(COUNTIFS(tbl_Finance[Job Number],C101&amp;"",tbl_Finance[Cost Centre],"ONSITE")&gt;0,"ONSITE ","")&amp;IF(COUNTIFS(tbl_Finance[Job Number],C101&amp;"",tbl_Finance[Cost Centre],"PRODUCTION")&gt;0,"PRODUCTION ","")&amp;IF(COUNTIFS(tbl_Finance[Job Number],C101&amp;"",tbl_Finance[Cost Centre],"VIDEO")&gt;0,"VIDEO ","")&amp;IF(COUNTIFS(tbl_Finance[Job Number],C101&amp;"",tbl_Finance[Cost Centre],"INTEGRATION")&gt;0,"INTEGRATION ","")&amp;IF(COUNTIFS(tbl_Finance[Job Number],C101&amp;"",tbl_Finance[Cost Centre],"CONSULTING")&gt;0,"CONSULTING ","")&amp;IF(COUNTIFS(tbl_Finance[Job Number],C101&amp;"",tbl_Finance[Cost Centre],"CTS")&gt;0,"CTS ",""))," ",", ")))</f>
        <v/>
      </c>
      <c r="L101" s="24" t="n"/>
      <c r="M101" s="25">
        <f>IF(L101="","",HYPERLINK(IF(LEFT(L101,4)="http",L101,set_QwilrBase&amp;L101),"Open quote"))</f>
        <v/>
      </c>
      <c r="N101" s="26" t="n"/>
      <c r="O101" s="26" t="n"/>
      <c r="P101" s="26" t="n"/>
      <c r="Q101" s="25">
        <f>IF(C101="","",IF(N(N101)+N(O101)+N(P101)=0,"Not split",IF(ROUND(N(N101)+N(O101)+N(P101),2)=ROUND(H101,2),"OK","MISMATCH")))</f>
        <v/>
      </c>
      <c r="R101" s="26" t="n"/>
      <c r="S101" s="26" t="n"/>
      <c r="T101" s="26" t="n"/>
      <c r="U101" s="27">
        <f>IF(C101="","",N(R101)+N(S101)+N(T101))</f>
        <v/>
      </c>
      <c r="V101" s="27">
        <f>IF(C101="","",H101-U101)</f>
        <v/>
      </c>
      <c r="W101" s="29">
        <f>IFERROR(V101/H101,"")</f>
        <v/>
      </c>
      <c r="X101" s="24" t="n"/>
    </row>
    <row r="102" ht="15" customHeight="1">
      <c r="A102" s="63">
        <f>IF(C102="","",IFERROR(IF(SUMPRODUCT(MAX((tbl_Finance[Job Number]=C102&amp;"")*(tbl_Finance[Xero Invoice No]&lt;&gt;"")*tbl_Finance[Date]))=0,"",SUMPRODUCT(MAX((tbl_Finance[Job Number]=C102&amp;"")*(tbl_Finance[Xero Invoice No]&lt;&gt;"")*tbl_Finance[Date]))),""))</f>
        <v/>
      </c>
      <c r="B102" s="25">
        <f>IF(C102="","",IF(COUNTIFS(tbl_Finance[Job Number],C102&amp;"",tbl_Finance[Xero Invoice No],"&lt;&gt;")=0,"",IFERROR(IF(COUNTIFS(tbl_Finance[Job Number],C102&amp;"",tbl_Finance[Xero Invoice No],LOOKUP(2,1/((tbl_Finance[Job Number]=C102&amp;"")*(tbl_Finance[Xero Invoice No]&lt;&gt;"")),tbl_Finance[Xero Invoice No]))=COUNTIFS(tbl_Finance[Job Number],C102&amp;"",tbl_Finance[Xero Invoice No],"&lt;&gt;"),LOOKUP(2,1/((tbl_Finance[Job Number]=C102&amp;"")*(tbl_Finance[Xero Invoice No]&lt;&gt;"")),tbl_Finance[Xero Invoice No]),LOOKUP(2,1/((tbl_Finance[Job Number]=C102&amp;"")*(tbl_Finance[Xero Invoice No]&lt;&gt;"")),tbl_Finance[Xero Invoice No])&amp;" +more"),"")))</f>
        <v/>
      </c>
      <c r="C102" s="24" t="n"/>
      <c r="D102" s="25">
        <f>IF(C102="","",IF(COUNTIF(lst_Jobs,C102&amp;"")&gt;0,"OK","CHECK"))</f>
        <v/>
      </c>
      <c r="E102" s="25">
        <f>IF(C102="","",IFERROR(INDEX(lst_JobName,MATCH(C102&amp;"",lst_Jobs,0)),""))</f>
        <v/>
      </c>
      <c r="F102" s="25">
        <f>IF(C102="","",IFERROR(INDEX(tbl_Finance[Client],MATCH(C102&amp;"",tbl_Finance[Job Number],0)),""))</f>
        <v/>
      </c>
      <c r="G102" s="28">
        <f>IF(C102="","",COUNTIFS(tbl_Finance[Job Number],C102&amp;"",tbl_Finance[Ex GST],"&lt;&gt;"))</f>
        <v/>
      </c>
      <c r="H102" s="27">
        <f>IF(C102="","",SUMIFS(tbl_Finance[Ex GST],tbl_Finance[Job Number],C102&amp;""))</f>
        <v/>
      </c>
      <c r="I102" s="27">
        <f>IF(C102="","",SUMIFS(tbl_Finance[Ex GST],tbl_Finance[Job Number],C102&amp;"",tbl_Finance[Xero Invoice No],"&lt;&gt;"))</f>
        <v/>
      </c>
      <c r="J102" s="27">
        <f>IF(C102="","",H102-I102)</f>
        <v/>
      </c>
      <c r="K102" s="25">
        <f>IF(C102="","",IF(G102=0,"not invoiced yet",SUBSTITUTE(TRIM(IF(COUNTIFS(tbl_Finance[Job Number],C102&amp;"",tbl_Finance[Cost Centre],"ONSITE")&gt;0,"ONSITE ","")&amp;IF(COUNTIFS(tbl_Finance[Job Number],C102&amp;"",tbl_Finance[Cost Centre],"PRODUCTION")&gt;0,"PRODUCTION ","")&amp;IF(COUNTIFS(tbl_Finance[Job Number],C102&amp;"",tbl_Finance[Cost Centre],"VIDEO")&gt;0,"VIDEO ","")&amp;IF(COUNTIFS(tbl_Finance[Job Number],C102&amp;"",tbl_Finance[Cost Centre],"INTEGRATION")&gt;0,"INTEGRATION ","")&amp;IF(COUNTIFS(tbl_Finance[Job Number],C102&amp;"",tbl_Finance[Cost Centre],"CONSULTING")&gt;0,"CONSULTING ","")&amp;IF(COUNTIFS(tbl_Finance[Job Number],C102&amp;"",tbl_Finance[Cost Centre],"CTS")&gt;0,"CTS ",""))," ",", ")))</f>
        <v/>
      </c>
      <c r="L102" s="24" t="n"/>
      <c r="M102" s="25">
        <f>IF(L102="","",HYPERLINK(IF(LEFT(L102,4)="http",L102,set_QwilrBase&amp;L102),"Open quote"))</f>
        <v/>
      </c>
      <c r="N102" s="26" t="n"/>
      <c r="O102" s="26" t="n"/>
      <c r="P102" s="26" t="n"/>
      <c r="Q102" s="25">
        <f>IF(C102="","",IF(N(N102)+N(O102)+N(P102)=0,"Not split",IF(ROUND(N(N102)+N(O102)+N(P102),2)=ROUND(H102,2),"OK","MISMATCH")))</f>
        <v/>
      </c>
      <c r="R102" s="26" t="n"/>
      <c r="S102" s="26" t="n"/>
      <c r="T102" s="26" t="n"/>
      <c r="U102" s="27">
        <f>IF(C102="","",N(R102)+N(S102)+N(T102))</f>
        <v/>
      </c>
      <c r="V102" s="27">
        <f>IF(C102="","",H102-U102)</f>
        <v/>
      </c>
      <c r="W102" s="29">
        <f>IFERROR(V102/H102,"")</f>
        <v/>
      </c>
      <c r="X102" s="24" t="n"/>
    </row>
    <row r="103" ht="15" customHeight="1">
      <c r="A103" s="63">
        <f>IF(C103="","",IFERROR(IF(SUMPRODUCT(MAX((tbl_Finance[Job Number]=C103&amp;"")*(tbl_Finance[Xero Invoice No]&lt;&gt;"")*tbl_Finance[Date]))=0,"",SUMPRODUCT(MAX((tbl_Finance[Job Number]=C103&amp;"")*(tbl_Finance[Xero Invoice No]&lt;&gt;"")*tbl_Finance[Date]))),""))</f>
        <v/>
      </c>
      <c r="B103" s="25">
        <f>IF(C103="","",IF(COUNTIFS(tbl_Finance[Job Number],C103&amp;"",tbl_Finance[Xero Invoice No],"&lt;&gt;")=0,"",IFERROR(IF(COUNTIFS(tbl_Finance[Job Number],C103&amp;"",tbl_Finance[Xero Invoice No],LOOKUP(2,1/((tbl_Finance[Job Number]=C103&amp;"")*(tbl_Finance[Xero Invoice No]&lt;&gt;"")),tbl_Finance[Xero Invoice No]))=COUNTIFS(tbl_Finance[Job Number],C103&amp;"",tbl_Finance[Xero Invoice No],"&lt;&gt;"),LOOKUP(2,1/((tbl_Finance[Job Number]=C103&amp;"")*(tbl_Finance[Xero Invoice No]&lt;&gt;"")),tbl_Finance[Xero Invoice No]),LOOKUP(2,1/((tbl_Finance[Job Number]=C103&amp;"")*(tbl_Finance[Xero Invoice No]&lt;&gt;"")),tbl_Finance[Xero Invoice No])&amp;" +more"),"")))</f>
        <v/>
      </c>
      <c r="C103" s="24" t="n"/>
      <c r="D103" s="25">
        <f>IF(C103="","",IF(COUNTIF(lst_Jobs,C103&amp;"")&gt;0,"OK","CHECK"))</f>
        <v/>
      </c>
      <c r="E103" s="25">
        <f>IF(C103="","",IFERROR(INDEX(lst_JobName,MATCH(C103&amp;"",lst_Jobs,0)),""))</f>
        <v/>
      </c>
      <c r="F103" s="25">
        <f>IF(C103="","",IFERROR(INDEX(tbl_Finance[Client],MATCH(C103&amp;"",tbl_Finance[Job Number],0)),""))</f>
        <v/>
      </c>
      <c r="G103" s="28">
        <f>IF(C103="","",COUNTIFS(tbl_Finance[Job Number],C103&amp;"",tbl_Finance[Ex GST],"&lt;&gt;"))</f>
        <v/>
      </c>
      <c r="H103" s="27">
        <f>IF(C103="","",SUMIFS(tbl_Finance[Ex GST],tbl_Finance[Job Number],C103&amp;""))</f>
        <v/>
      </c>
      <c r="I103" s="27">
        <f>IF(C103="","",SUMIFS(tbl_Finance[Ex GST],tbl_Finance[Job Number],C103&amp;"",tbl_Finance[Xero Invoice No],"&lt;&gt;"))</f>
        <v/>
      </c>
      <c r="J103" s="27">
        <f>IF(C103="","",H103-I103)</f>
        <v/>
      </c>
      <c r="K103" s="25">
        <f>IF(C103="","",IF(G103=0,"not invoiced yet",SUBSTITUTE(TRIM(IF(COUNTIFS(tbl_Finance[Job Number],C103&amp;"",tbl_Finance[Cost Centre],"ONSITE")&gt;0,"ONSITE ","")&amp;IF(COUNTIFS(tbl_Finance[Job Number],C103&amp;"",tbl_Finance[Cost Centre],"PRODUCTION")&gt;0,"PRODUCTION ","")&amp;IF(COUNTIFS(tbl_Finance[Job Number],C103&amp;"",tbl_Finance[Cost Centre],"VIDEO")&gt;0,"VIDEO ","")&amp;IF(COUNTIFS(tbl_Finance[Job Number],C103&amp;"",tbl_Finance[Cost Centre],"INTEGRATION")&gt;0,"INTEGRATION ","")&amp;IF(COUNTIFS(tbl_Finance[Job Number],C103&amp;"",tbl_Finance[Cost Centre],"CONSULTING")&gt;0,"CONSULTING ","")&amp;IF(COUNTIFS(tbl_Finance[Job Number],C103&amp;"",tbl_Finance[Cost Centre],"CTS")&gt;0,"CTS ",""))," ",", ")))</f>
        <v/>
      </c>
      <c r="L103" s="24" t="n"/>
      <c r="M103" s="25">
        <f>IF(L103="","",HYPERLINK(IF(LEFT(L103,4)="http",L103,set_QwilrBase&amp;L103),"Open quote"))</f>
        <v/>
      </c>
      <c r="N103" s="26" t="n"/>
      <c r="O103" s="26" t="n"/>
      <c r="P103" s="26" t="n"/>
      <c r="Q103" s="25">
        <f>IF(C103="","",IF(N(N103)+N(O103)+N(P103)=0,"Not split",IF(ROUND(N(N103)+N(O103)+N(P103),2)=ROUND(H103,2),"OK","MISMATCH")))</f>
        <v/>
      </c>
      <c r="R103" s="26" t="n"/>
      <c r="S103" s="26" t="n"/>
      <c r="T103" s="26" t="n"/>
      <c r="U103" s="27">
        <f>IF(C103="","",N(R103)+N(S103)+N(T103))</f>
        <v/>
      </c>
      <c r="V103" s="27">
        <f>IF(C103="","",H103-U103)</f>
        <v/>
      </c>
      <c r="W103" s="29">
        <f>IFERROR(V103/H103,"")</f>
        <v/>
      </c>
      <c r="X103" s="24" t="n"/>
    </row>
    <row r="104" ht="15" customHeight="1">
      <c r="A104" s="63">
        <f>IF(C104="","",IFERROR(IF(SUMPRODUCT(MAX((tbl_Finance[Job Number]=C104&amp;"")*(tbl_Finance[Xero Invoice No]&lt;&gt;"")*tbl_Finance[Date]))=0,"",SUMPRODUCT(MAX((tbl_Finance[Job Number]=C104&amp;"")*(tbl_Finance[Xero Invoice No]&lt;&gt;"")*tbl_Finance[Date]))),""))</f>
        <v/>
      </c>
      <c r="B104" s="25">
        <f>IF(C104="","",IF(COUNTIFS(tbl_Finance[Job Number],C104&amp;"",tbl_Finance[Xero Invoice No],"&lt;&gt;")=0,"",IFERROR(IF(COUNTIFS(tbl_Finance[Job Number],C104&amp;"",tbl_Finance[Xero Invoice No],LOOKUP(2,1/((tbl_Finance[Job Number]=C104&amp;"")*(tbl_Finance[Xero Invoice No]&lt;&gt;"")),tbl_Finance[Xero Invoice No]))=COUNTIFS(tbl_Finance[Job Number],C104&amp;"",tbl_Finance[Xero Invoice No],"&lt;&gt;"),LOOKUP(2,1/((tbl_Finance[Job Number]=C104&amp;"")*(tbl_Finance[Xero Invoice No]&lt;&gt;"")),tbl_Finance[Xero Invoice No]),LOOKUP(2,1/((tbl_Finance[Job Number]=C104&amp;"")*(tbl_Finance[Xero Invoice No]&lt;&gt;"")),tbl_Finance[Xero Invoice No])&amp;" +more"),"")))</f>
        <v/>
      </c>
      <c r="C104" s="24" t="n"/>
      <c r="D104" s="25">
        <f>IF(C104="","",IF(COUNTIF(lst_Jobs,C104&amp;"")&gt;0,"OK","CHECK"))</f>
        <v/>
      </c>
      <c r="E104" s="25">
        <f>IF(C104="","",IFERROR(INDEX(lst_JobName,MATCH(C104&amp;"",lst_Jobs,0)),""))</f>
        <v/>
      </c>
      <c r="F104" s="25">
        <f>IF(C104="","",IFERROR(INDEX(tbl_Finance[Client],MATCH(C104&amp;"",tbl_Finance[Job Number],0)),""))</f>
        <v/>
      </c>
      <c r="G104" s="28">
        <f>IF(C104="","",COUNTIFS(tbl_Finance[Job Number],C104&amp;"",tbl_Finance[Ex GST],"&lt;&gt;"))</f>
        <v/>
      </c>
      <c r="H104" s="27">
        <f>IF(C104="","",SUMIFS(tbl_Finance[Ex GST],tbl_Finance[Job Number],C104&amp;""))</f>
        <v/>
      </c>
      <c r="I104" s="27">
        <f>IF(C104="","",SUMIFS(tbl_Finance[Ex GST],tbl_Finance[Job Number],C104&amp;"",tbl_Finance[Xero Invoice No],"&lt;&gt;"))</f>
        <v/>
      </c>
      <c r="J104" s="27">
        <f>IF(C104="","",H104-I104)</f>
        <v/>
      </c>
      <c r="K104" s="25">
        <f>IF(C104="","",IF(G104=0,"not invoiced yet",SUBSTITUTE(TRIM(IF(COUNTIFS(tbl_Finance[Job Number],C104&amp;"",tbl_Finance[Cost Centre],"ONSITE")&gt;0,"ONSITE ","")&amp;IF(COUNTIFS(tbl_Finance[Job Number],C104&amp;"",tbl_Finance[Cost Centre],"PRODUCTION")&gt;0,"PRODUCTION ","")&amp;IF(COUNTIFS(tbl_Finance[Job Number],C104&amp;"",tbl_Finance[Cost Centre],"VIDEO")&gt;0,"VIDEO ","")&amp;IF(COUNTIFS(tbl_Finance[Job Number],C104&amp;"",tbl_Finance[Cost Centre],"INTEGRATION")&gt;0,"INTEGRATION ","")&amp;IF(COUNTIFS(tbl_Finance[Job Number],C104&amp;"",tbl_Finance[Cost Centre],"CONSULTING")&gt;0,"CONSULTING ","")&amp;IF(COUNTIFS(tbl_Finance[Job Number],C104&amp;"",tbl_Finance[Cost Centre],"CTS")&gt;0,"CTS ",""))," ",", ")))</f>
        <v/>
      </c>
      <c r="L104" s="24" t="n"/>
      <c r="M104" s="25">
        <f>IF(L104="","",HYPERLINK(IF(LEFT(L104,4)="http",L104,set_QwilrBase&amp;L104),"Open quote"))</f>
        <v/>
      </c>
      <c r="N104" s="26" t="n"/>
      <c r="O104" s="26" t="n"/>
      <c r="P104" s="26" t="n"/>
      <c r="Q104" s="25">
        <f>IF(C104="","",IF(N(N104)+N(O104)+N(P104)=0,"Not split",IF(ROUND(N(N104)+N(O104)+N(P104),2)=ROUND(H104,2),"OK","MISMATCH")))</f>
        <v/>
      </c>
      <c r="R104" s="26" t="n"/>
      <c r="S104" s="26" t="n"/>
      <c r="T104" s="26" t="n"/>
      <c r="U104" s="27">
        <f>IF(C104="","",N(R104)+N(S104)+N(T104))</f>
        <v/>
      </c>
      <c r="V104" s="27">
        <f>IF(C104="","",H104-U104)</f>
        <v/>
      </c>
      <c r="W104" s="29">
        <f>IFERROR(V104/H104,"")</f>
        <v/>
      </c>
      <c r="X104" s="24" t="n"/>
    </row>
    <row r="105" ht="15" customHeight="1">
      <c r="A105" s="63">
        <f>IF(C105="","",IFERROR(IF(SUMPRODUCT(MAX((tbl_Finance[Job Number]=C105&amp;"")*(tbl_Finance[Xero Invoice No]&lt;&gt;"")*tbl_Finance[Date]))=0,"",SUMPRODUCT(MAX((tbl_Finance[Job Number]=C105&amp;"")*(tbl_Finance[Xero Invoice No]&lt;&gt;"")*tbl_Finance[Date]))),""))</f>
        <v/>
      </c>
      <c r="B105" s="25">
        <f>IF(C105="","",IF(COUNTIFS(tbl_Finance[Job Number],C105&amp;"",tbl_Finance[Xero Invoice No],"&lt;&gt;")=0,"",IFERROR(IF(COUNTIFS(tbl_Finance[Job Number],C105&amp;"",tbl_Finance[Xero Invoice No],LOOKUP(2,1/((tbl_Finance[Job Number]=C105&amp;"")*(tbl_Finance[Xero Invoice No]&lt;&gt;"")),tbl_Finance[Xero Invoice No]))=COUNTIFS(tbl_Finance[Job Number],C105&amp;"",tbl_Finance[Xero Invoice No],"&lt;&gt;"),LOOKUP(2,1/((tbl_Finance[Job Number]=C105&amp;"")*(tbl_Finance[Xero Invoice No]&lt;&gt;"")),tbl_Finance[Xero Invoice No]),LOOKUP(2,1/((tbl_Finance[Job Number]=C105&amp;"")*(tbl_Finance[Xero Invoice No]&lt;&gt;"")),tbl_Finance[Xero Invoice No])&amp;" +more"),"")))</f>
        <v/>
      </c>
      <c r="C105" s="24" t="n"/>
      <c r="D105" s="25">
        <f>IF(C105="","",IF(COUNTIF(lst_Jobs,C105&amp;"")&gt;0,"OK","CHECK"))</f>
        <v/>
      </c>
      <c r="E105" s="25">
        <f>IF(C105="","",IFERROR(INDEX(lst_JobName,MATCH(C105&amp;"",lst_Jobs,0)),""))</f>
        <v/>
      </c>
      <c r="F105" s="25">
        <f>IF(C105="","",IFERROR(INDEX(tbl_Finance[Client],MATCH(C105&amp;"",tbl_Finance[Job Number],0)),""))</f>
        <v/>
      </c>
      <c r="G105" s="28">
        <f>IF(C105="","",COUNTIFS(tbl_Finance[Job Number],C105&amp;"",tbl_Finance[Ex GST],"&lt;&gt;"))</f>
        <v/>
      </c>
      <c r="H105" s="27">
        <f>IF(C105="","",SUMIFS(tbl_Finance[Ex GST],tbl_Finance[Job Number],C105&amp;""))</f>
        <v/>
      </c>
      <c r="I105" s="27">
        <f>IF(C105="","",SUMIFS(tbl_Finance[Ex GST],tbl_Finance[Job Number],C105&amp;"",tbl_Finance[Xero Invoice No],"&lt;&gt;"))</f>
        <v/>
      </c>
      <c r="J105" s="27">
        <f>IF(C105="","",H105-I105)</f>
        <v/>
      </c>
      <c r="K105" s="25">
        <f>IF(C105="","",IF(G105=0,"not invoiced yet",SUBSTITUTE(TRIM(IF(COUNTIFS(tbl_Finance[Job Number],C105&amp;"",tbl_Finance[Cost Centre],"ONSITE")&gt;0,"ONSITE ","")&amp;IF(COUNTIFS(tbl_Finance[Job Number],C105&amp;"",tbl_Finance[Cost Centre],"PRODUCTION")&gt;0,"PRODUCTION ","")&amp;IF(COUNTIFS(tbl_Finance[Job Number],C105&amp;"",tbl_Finance[Cost Centre],"VIDEO")&gt;0,"VIDEO ","")&amp;IF(COUNTIFS(tbl_Finance[Job Number],C105&amp;"",tbl_Finance[Cost Centre],"INTEGRATION")&gt;0,"INTEGRATION ","")&amp;IF(COUNTIFS(tbl_Finance[Job Number],C105&amp;"",tbl_Finance[Cost Centre],"CONSULTING")&gt;0,"CONSULTING ","")&amp;IF(COUNTIFS(tbl_Finance[Job Number],C105&amp;"",tbl_Finance[Cost Centre],"CTS")&gt;0,"CTS ",""))," ",", ")))</f>
        <v/>
      </c>
      <c r="L105" s="24" t="n"/>
      <c r="M105" s="25">
        <f>IF(L105="","",HYPERLINK(IF(LEFT(L105,4)="http",L105,set_QwilrBase&amp;L105),"Open quote"))</f>
        <v/>
      </c>
      <c r="N105" s="26" t="n"/>
      <c r="O105" s="26" t="n"/>
      <c r="P105" s="26" t="n"/>
      <c r="Q105" s="25">
        <f>IF(C105="","",IF(N(N105)+N(O105)+N(P105)=0,"Not split",IF(ROUND(N(N105)+N(O105)+N(P105),2)=ROUND(H105,2),"OK","MISMATCH")))</f>
        <v/>
      </c>
      <c r="R105" s="26" t="n"/>
      <c r="S105" s="26" t="n"/>
      <c r="T105" s="26" t="n"/>
      <c r="U105" s="27">
        <f>IF(C105="","",N(R105)+N(S105)+N(T105))</f>
        <v/>
      </c>
      <c r="V105" s="27">
        <f>IF(C105="","",H105-U105)</f>
        <v/>
      </c>
      <c r="W105" s="29">
        <f>IFERROR(V105/H105,"")</f>
        <v/>
      </c>
      <c r="X105" s="24" t="n"/>
    </row>
    <row r="106" ht="15" customHeight="1">
      <c r="A106" s="63">
        <f>IF(C106="","",IFERROR(IF(SUMPRODUCT(MAX((tbl_Finance[Job Number]=C106&amp;"")*(tbl_Finance[Xero Invoice No]&lt;&gt;"")*tbl_Finance[Date]))=0,"",SUMPRODUCT(MAX((tbl_Finance[Job Number]=C106&amp;"")*(tbl_Finance[Xero Invoice No]&lt;&gt;"")*tbl_Finance[Date]))),""))</f>
        <v/>
      </c>
      <c r="B106" s="25">
        <f>IF(C106="","",IF(COUNTIFS(tbl_Finance[Job Number],C106&amp;"",tbl_Finance[Xero Invoice No],"&lt;&gt;")=0,"",IFERROR(IF(COUNTIFS(tbl_Finance[Job Number],C106&amp;"",tbl_Finance[Xero Invoice No],LOOKUP(2,1/((tbl_Finance[Job Number]=C106&amp;"")*(tbl_Finance[Xero Invoice No]&lt;&gt;"")),tbl_Finance[Xero Invoice No]))=COUNTIFS(tbl_Finance[Job Number],C106&amp;"",tbl_Finance[Xero Invoice No],"&lt;&gt;"),LOOKUP(2,1/((tbl_Finance[Job Number]=C106&amp;"")*(tbl_Finance[Xero Invoice No]&lt;&gt;"")),tbl_Finance[Xero Invoice No]),LOOKUP(2,1/((tbl_Finance[Job Number]=C106&amp;"")*(tbl_Finance[Xero Invoice No]&lt;&gt;"")),tbl_Finance[Xero Invoice No])&amp;" +more"),"")))</f>
        <v/>
      </c>
      <c r="C106" s="24" t="n"/>
      <c r="D106" s="25">
        <f>IF(C106="","",IF(COUNTIF(lst_Jobs,C106&amp;"")&gt;0,"OK","CHECK"))</f>
        <v/>
      </c>
      <c r="E106" s="25">
        <f>IF(C106="","",IFERROR(INDEX(lst_JobName,MATCH(C106&amp;"",lst_Jobs,0)),""))</f>
        <v/>
      </c>
      <c r="F106" s="25">
        <f>IF(C106="","",IFERROR(INDEX(tbl_Finance[Client],MATCH(C106&amp;"",tbl_Finance[Job Number],0)),""))</f>
        <v/>
      </c>
      <c r="G106" s="28">
        <f>IF(C106="","",COUNTIFS(tbl_Finance[Job Number],C106&amp;"",tbl_Finance[Ex GST],"&lt;&gt;"))</f>
        <v/>
      </c>
      <c r="H106" s="27">
        <f>IF(C106="","",SUMIFS(tbl_Finance[Ex GST],tbl_Finance[Job Number],C106&amp;""))</f>
        <v/>
      </c>
      <c r="I106" s="27">
        <f>IF(C106="","",SUMIFS(tbl_Finance[Ex GST],tbl_Finance[Job Number],C106&amp;"",tbl_Finance[Xero Invoice No],"&lt;&gt;"))</f>
        <v/>
      </c>
      <c r="J106" s="27">
        <f>IF(C106="","",H106-I106)</f>
        <v/>
      </c>
      <c r="K106" s="25">
        <f>IF(C106="","",IF(G106=0,"not invoiced yet",SUBSTITUTE(TRIM(IF(COUNTIFS(tbl_Finance[Job Number],C106&amp;"",tbl_Finance[Cost Centre],"ONSITE")&gt;0,"ONSITE ","")&amp;IF(COUNTIFS(tbl_Finance[Job Number],C106&amp;"",tbl_Finance[Cost Centre],"PRODUCTION")&gt;0,"PRODUCTION ","")&amp;IF(COUNTIFS(tbl_Finance[Job Number],C106&amp;"",tbl_Finance[Cost Centre],"VIDEO")&gt;0,"VIDEO ","")&amp;IF(COUNTIFS(tbl_Finance[Job Number],C106&amp;"",tbl_Finance[Cost Centre],"INTEGRATION")&gt;0,"INTEGRATION ","")&amp;IF(COUNTIFS(tbl_Finance[Job Number],C106&amp;"",tbl_Finance[Cost Centre],"CONSULTING")&gt;0,"CONSULTING ","")&amp;IF(COUNTIFS(tbl_Finance[Job Number],C106&amp;"",tbl_Finance[Cost Centre],"CTS")&gt;0,"CTS ",""))," ",", ")))</f>
        <v/>
      </c>
      <c r="L106" s="24" t="n"/>
      <c r="M106" s="25">
        <f>IF(L106="","",HYPERLINK(IF(LEFT(L106,4)="http",L106,set_QwilrBase&amp;L106),"Open quote"))</f>
        <v/>
      </c>
      <c r="N106" s="26" t="n"/>
      <c r="O106" s="26" t="n"/>
      <c r="P106" s="26" t="n"/>
      <c r="Q106" s="25">
        <f>IF(C106="","",IF(N(N106)+N(O106)+N(P106)=0,"Not split",IF(ROUND(N(N106)+N(O106)+N(P106),2)=ROUND(H106,2),"OK","MISMATCH")))</f>
        <v/>
      </c>
      <c r="R106" s="26" t="n"/>
      <c r="S106" s="26" t="n"/>
      <c r="T106" s="26" t="n"/>
      <c r="U106" s="27">
        <f>IF(C106="","",N(R106)+N(S106)+N(T106))</f>
        <v/>
      </c>
      <c r="V106" s="27">
        <f>IF(C106="","",H106-U106)</f>
        <v/>
      </c>
      <c r="W106" s="29">
        <f>IFERROR(V106/H106,"")</f>
        <v/>
      </c>
      <c r="X106" s="24" t="n"/>
    </row>
    <row r="107" ht="15" customHeight="1">
      <c r="A107" s="63">
        <f>IF(C107="","",IFERROR(IF(SUMPRODUCT(MAX((tbl_Finance[Job Number]=C107&amp;"")*(tbl_Finance[Xero Invoice No]&lt;&gt;"")*tbl_Finance[Date]))=0,"",SUMPRODUCT(MAX((tbl_Finance[Job Number]=C107&amp;"")*(tbl_Finance[Xero Invoice No]&lt;&gt;"")*tbl_Finance[Date]))),""))</f>
        <v/>
      </c>
      <c r="B107" s="25">
        <f>IF(C107="","",IF(COUNTIFS(tbl_Finance[Job Number],C107&amp;"",tbl_Finance[Xero Invoice No],"&lt;&gt;")=0,"",IFERROR(IF(COUNTIFS(tbl_Finance[Job Number],C107&amp;"",tbl_Finance[Xero Invoice No],LOOKUP(2,1/((tbl_Finance[Job Number]=C107&amp;"")*(tbl_Finance[Xero Invoice No]&lt;&gt;"")),tbl_Finance[Xero Invoice No]))=COUNTIFS(tbl_Finance[Job Number],C107&amp;"",tbl_Finance[Xero Invoice No],"&lt;&gt;"),LOOKUP(2,1/((tbl_Finance[Job Number]=C107&amp;"")*(tbl_Finance[Xero Invoice No]&lt;&gt;"")),tbl_Finance[Xero Invoice No]),LOOKUP(2,1/((tbl_Finance[Job Number]=C107&amp;"")*(tbl_Finance[Xero Invoice No]&lt;&gt;"")),tbl_Finance[Xero Invoice No])&amp;" +more"),"")))</f>
        <v/>
      </c>
      <c r="C107" s="24" t="n"/>
      <c r="D107" s="25">
        <f>IF(C107="","",IF(COUNTIF(lst_Jobs,C107&amp;"")&gt;0,"OK","CHECK"))</f>
        <v/>
      </c>
      <c r="E107" s="25">
        <f>IF(C107="","",IFERROR(INDEX(lst_JobName,MATCH(C107&amp;"",lst_Jobs,0)),""))</f>
        <v/>
      </c>
      <c r="F107" s="25">
        <f>IF(C107="","",IFERROR(INDEX(tbl_Finance[Client],MATCH(C107&amp;"",tbl_Finance[Job Number],0)),""))</f>
        <v/>
      </c>
      <c r="G107" s="28">
        <f>IF(C107="","",COUNTIFS(tbl_Finance[Job Number],C107&amp;"",tbl_Finance[Ex GST],"&lt;&gt;"))</f>
        <v/>
      </c>
      <c r="H107" s="27">
        <f>IF(C107="","",SUMIFS(tbl_Finance[Ex GST],tbl_Finance[Job Number],C107&amp;""))</f>
        <v/>
      </c>
      <c r="I107" s="27">
        <f>IF(C107="","",SUMIFS(tbl_Finance[Ex GST],tbl_Finance[Job Number],C107&amp;"",tbl_Finance[Xero Invoice No],"&lt;&gt;"))</f>
        <v/>
      </c>
      <c r="J107" s="27">
        <f>IF(C107="","",H107-I107)</f>
        <v/>
      </c>
      <c r="K107" s="25">
        <f>IF(C107="","",IF(G107=0,"not invoiced yet",SUBSTITUTE(TRIM(IF(COUNTIFS(tbl_Finance[Job Number],C107&amp;"",tbl_Finance[Cost Centre],"ONSITE")&gt;0,"ONSITE ","")&amp;IF(COUNTIFS(tbl_Finance[Job Number],C107&amp;"",tbl_Finance[Cost Centre],"PRODUCTION")&gt;0,"PRODUCTION ","")&amp;IF(COUNTIFS(tbl_Finance[Job Number],C107&amp;"",tbl_Finance[Cost Centre],"VIDEO")&gt;0,"VIDEO ","")&amp;IF(COUNTIFS(tbl_Finance[Job Number],C107&amp;"",tbl_Finance[Cost Centre],"INTEGRATION")&gt;0,"INTEGRATION ","")&amp;IF(COUNTIFS(tbl_Finance[Job Number],C107&amp;"",tbl_Finance[Cost Centre],"CONSULTING")&gt;0,"CONSULTING ","")&amp;IF(COUNTIFS(tbl_Finance[Job Number],C107&amp;"",tbl_Finance[Cost Centre],"CTS")&gt;0,"CTS ",""))," ",", ")))</f>
        <v/>
      </c>
      <c r="L107" s="24" t="n"/>
      <c r="M107" s="25">
        <f>IF(L107="","",HYPERLINK(IF(LEFT(L107,4)="http",L107,set_QwilrBase&amp;L107),"Open quote"))</f>
        <v/>
      </c>
      <c r="N107" s="26" t="n"/>
      <c r="O107" s="26" t="n"/>
      <c r="P107" s="26" t="n"/>
      <c r="Q107" s="25">
        <f>IF(C107="","",IF(N(N107)+N(O107)+N(P107)=0,"Not split",IF(ROUND(N(N107)+N(O107)+N(P107),2)=ROUND(H107,2),"OK","MISMATCH")))</f>
        <v/>
      </c>
      <c r="R107" s="26" t="n"/>
      <c r="S107" s="26" t="n"/>
      <c r="T107" s="26" t="n"/>
      <c r="U107" s="27">
        <f>IF(C107="","",N(R107)+N(S107)+N(T107))</f>
        <v/>
      </c>
      <c r="V107" s="27">
        <f>IF(C107="","",H107-U107)</f>
        <v/>
      </c>
      <c r="W107" s="29">
        <f>IFERROR(V107/H107,"")</f>
        <v/>
      </c>
      <c r="X107" s="24" t="n"/>
    </row>
    <row r="108" ht="15" customHeight="1">
      <c r="A108" s="63">
        <f>IF(C108="","",IFERROR(IF(SUMPRODUCT(MAX((tbl_Finance[Job Number]=C108&amp;"")*(tbl_Finance[Xero Invoice No]&lt;&gt;"")*tbl_Finance[Date]))=0,"",SUMPRODUCT(MAX((tbl_Finance[Job Number]=C108&amp;"")*(tbl_Finance[Xero Invoice No]&lt;&gt;"")*tbl_Finance[Date]))),""))</f>
        <v/>
      </c>
      <c r="B108" s="25">
        <f>IF(C108="","",IF(COUNTIFS(tbl_Finance[Job Number],C108&amp;"",tbl_Finance[Xero Invoice No],"&lt;&gt;")=0,"",IFERROR(IF(COUNTIFS(tbl_Finance[Job Number],C108&amp;"",tbl_Finance[Xero Invoice No],LOOKUP(2,1/((tbl_Finance[Job Number]=C108&amp;"")*(tbl_Finance[Xero Invoice No]&lt;&gt;"")),tbl_Finance[Xero Invoice No]))=COUNTIFS(tbl_Finance[Job Number],C108&amp;"",tbl_Finance[Xero Invoice No],"&lt;&gt;"),LOOKUP(2,1/((tbl_Finance[Job Number]=C108&amp;"")*(tbl_Finance[Xero Invoice No]&lt;&gt;"")),tbl_Finance[Xero Invoice No]),LOOKUP(2,1/((tbl_Finance[Job Number]=C108&amp;"")*(tbl_Finance[Xero Invoice No]&lt;&gt;"")),tbl_Finance[Xero Invoice No])&amp;" +more"),"")))</f>
        <v/>
      </c>
      <c r="C108" s="24" t="n"/>
      <c r="D108" s="25">
        <f>IF(C108="","",IF(COUNTIF(lst_Jobs,C108&amp;"")&gt;0,"OK","CHECK"))</f>
        <v/>
      </c>
      <c r="E108" s="25">
        <f>IF(C108="","",IFERROR(INDEX(lst_JobName,MATCH(C108&amp;"",lst_Jobs,0)),""))</f>
        <v/>
      </c>
      <c r="F108" s="25">
        <f>IF(C108="","",IFERROR(INDEX(tbl_Finance[Client],MATCH(C108&amp;"",tbl_Finance[Job Number],0)),""))</f>
        <v/>
      </c>
      <c r="G108" s="28">
        <f>IF(C108="","",COUNTIFS(tbl_Finance[Job Number],C108&amp;"",tbl_Finance[Ex GST],"&lt;&gt;"))</f>
        <v/>
      </c>
      <c r="H108" s="27">
        <f>IF(C108="","",SUMIFS(tbl_Finance[Ex GST],tbl_Finance[Job Number],C108&amp;""))</f>
        <v/>
      </c>
      <c r="I108" s="27">
        <f>IF(C108="","",SUMIFS(tbl_Finance[Ex GST],tbl_Finance[Job Number],C108&amp;"",tbl_Finance[Xero Invoice No],"&lt;&gt;"))</f>
        <v/>
      </c>
      <c r="J108" s="27">
        <f>IF(C108="","",H108-I108)</f>
        <v/>
      </c>
      <c r="K108" s="25">
        <f>IF(C108="","",IF(G108=0,"not invoiced yet",SUBSTITUTE(TRIM(IF(COUNTIFS(tbl_Finance[Job Number],C108&amp;"",tbl_Finance[Cost Centre],"ONSITE")&gt;0,"ONSITE ","")&amp;IF(COUNTIFS(tbl_Finance[Job Number],C108&amp;"",tbl_Finance[Cost Centre],"PRODUCTION")&gt;0,"PRODUCTION ","")&amp;IF(COUNTIFS(tbl_Finance[Job Number],C108&amp;"",tbl_Finance[Cost Centre],"VIDEO")&gt;0,"VIDEO ","")&amp;IF(COUNTIFS(tbl_Finance[Job Number],C108&amp;"",tbl_Finance[Cost Centre],"INTEGRATION")&gt;0,"INTEGRATION ","")&amp;IF(COUNTIFS(tbl_Finance[Job Number],C108&amp;"",tbl_Finance[Cost Centre],"CONSULTING")&gt;0,"CONSULTING ","")&amp;IF(COUNTIFS(tbl_Finance[Job Number],C108&amp;"",tbl_Finance[Cost Centre],"CTS")&gt;0,"CTS ",""))," ",", ")))</f>
        <v/>
      </c>
      <c r="L108" s="24" t="n"/>
      <c r="M108" s="25">
        <f>IF(L108="","",HYPERLINK(IF(LEFT(L108,4)="http",L108,set_QwilrBase&amp;L108),"Open quote"))</f>
        <v/>
      </c>
      <c r="N108" s="26" t="n"/>
      <c r="O108" s="26" t="n"/>
      <c r="P108" s="26" t="n"/>
      <c r="Q108" s="25">
        <f>IF(C108="","",IF(N(N108)+N(O108)+N(P108)=0,"Not split",IF(ROUND(N(N108)+N(O108)+N(P108),2)=ROUND(H108,2),"OK","MISMATCH")))</f>
        <v/>
      </c>
      <c r="R108" s="26" t="n"/>
      <c r="S108" s="26" t="n"/>
      <c r="T108" s="26" t="n"/>
      <c r="U108" s="27">
        <f>IF(C108="","",N(R108)+N(S108)+N(T108))</f>
        <v/>
      </c>
      <c r="V108" s="27">
        <f>IF(C108="","",H108-U108)</f>
        <v/>
      </c>
      <c r="W108" s="29">
        <f>IFERROR(V108/H108,"")</f>
        <v/>
      </c>
      <c r="X108" s="24" t="n"/>
    </row>
    <row r="109" ht="15" customHeight="1">
      <c r="A109" s="63">
        <f>IF(C109="","",IFERROR(IF(SUMPRODUCT(MAX((tbl_Finance[Job Number]=C109&amp;"")*(tbl_Finance[Xero Invoice No]&lt;&gt;"")*tbl_Finance[Date]))=0,"",SUMPRODUCT(MAX((tbl_Finance[Job Number]=C109&amp;"")*(tbl_Finance[Xero Invoice No]&lt;&gt;"")*tbl_Finance[Date]))),""))</f>
        <v/>
      </c>
      <c r="B109" s="25">
        <f>IF(C109="","",IF(COUNTIFS(tbl_Finance[Job Number],C109&amp;"",tbl_Finance[Xero Invoice No],"&lt;&gt;")=0,"",IFERROR(IF(COUNTIFS(tbl_Finance[Job Number],C109&amp;"",tbl_Finance[Xero Invoice No],LOOKUP(2,1/((tbl_Finance[Job Number]=C109&amp;"")*(tbl_Finance[Xero Invoice No]&lt;&gt;"")),tbl_Finance[Xero Invoice No]))=COUNTIFS(tbl_Finance[Job Number],C109&amp;"",tbl_Finance[Xero Invoice No],"&lt;&gt;"),LOOKUP(2,1/((tbl_Finance[Job Number]=C109&amp;"")*(tbl_Finance[Xero Invoice No]&lt;&gt;"")),tbl_Finance[Xero Invoice No]),LOOKUP(2,1/((tbl_Finance[Job Number]=C109&amp;"")*(tbl_Finance[Xero Invoice No]&lt;&gt;"")),tbl_Finance[Xero Invoice No])&amp;" +more"),"")))</f>
        <v/>
      </c>
      <c r="C109" s="24" t="n"/>
      <c r="D109" s="25">
        <f>IF(C109="","",IF(COUNTIF(lst_Jobs,C109&amp;"")&gt;0,"OK","CHECK"))</f>
        <v/>
      </c>
      <c r="E109" s="25">
        <f>IF(C109="","",IFERROR(INDEX(lst_JobName,MATCH(C109&amp;"",lst_Jobs,0)),""))</f>
        <v/>
      </c>
      <c r="F109" s="25">
        <f>IF(C109="","",IFERROR(INDEX(tbl_Finance[Client],MATCH(C109&amp;"",tbl_Finance[Job Number],0)),""))</f>
        <v/>
      </c>
      <c r="G109" s="28">
        <f>IF(C109="","",COUNTIFS(tbl_Finance[Job Number],C109&amp;"",tbl_Finance[Ex GST],"&lt;&gt;"))</f>
        <v/>
      </c>
      <c r="H109" s="27">
        <f>IF(C109="","",SUMIFS(tbl_Finance[Ex GST],tbl_Finance[Job Number],C109&amp;""))</f>
        <v/>
      </c>
      <c r="I109" s="27">
        <f>IF(C109="","",SUMIFS(tbl_Finance[Ex GST],tbl_Finance[Job Number],C109&amp;"",tbl_Finance[Xero Invoice No],"&lt;&gt;"))</f>
        <v/>
      </c>
      <c r="J109" s="27">
        <f>IF(C109="","",H109-I109)</f>
        <v/>
      </c>
      <c r="K109" s="25">
        <f>IF(C109="","",IF(G109=0,"not invoiced yet",SUBSTITUTE(TRIM(IF(COUNTIFS(tbl_Finance[Job Number],C109&amp;"",tbl_Finance[Cost Centre],"ONSITE")&gt;0,"ONSITE ","")&amp;IF(COUNTIFS(tbl_Finance[Job Number],C109&amp;"",tbl_Finance[Cost Centre],"PRODUCTION")&gt;0,"PRODUCTION ","")&amp;IF(COUNTIFS(tbl_Finance[Job Number],C109&amp;"",tbl_Finance[Cost Centre],"VIDEO")&gt;0,"VIDEO ","")&amp;IF(COUNTIFS(tbl_Finance[Job Number],C109&amp;"",tbl_Finance[Cost Centre],"INTEGRATION")&gt;0,"INTEGRATION ","")&amp;IF(COUNTIFS(tbl_Finance[Job Number],C109&amp;"",tbl_Finance[Cost Centre],"CONSULTING")&gt;0,"CONSULTING ","")&amp;IF(COUNTIFS(tbl_Finance[Job Number],C109&amp;"",tbl_Finance[Cost Centre],"CTS")&gt;0,"CTS ",""))," ",", ")))</f>
        <v/>
      </c>
      <c r="L109" s="24" t="n"/>
      <c r="M109" s="25">
        <f>IF(L109="","",HYPERLINK(IF(LEFT(L109,4)="http",L109,set_QwilrBase&amp;L109),"Open quote"))</f>
        <v/>
      </c>
      <c r="N109" s="26" t="n"/>
      <c r="O109" s="26" t="n"/>
      <c r="P109" s="26" t="n"/>
      <c r="Q109" s="25">
        <f>IF(C109="","",IF(N(N109)+N(O109)+N(P109)=0,"Not split",IF(ROUND(N(N109)+N(O109)+N(P109),2)=ROUND(H109,2),"OK","MISMATCH")))</f>
        <v/>
      </c>
      <c r="R109" s="26" t="n"/>
      <c r="S109" s="26" t="n"/>
      <c r="T109" s="26" t="n"/>
      <c r="U109" s="27">
        <f>IF(C109="","",N(R109)+N(S109)+N(T109))</f>
        <v/>
      </c>
      <c r="V109" s="27">
        <f>IF(C109="","",H109-U109)</f>
        <v/>
      </c>
      <c r="W109" s="29">
        <f>IFERROR(V109/H109,"")</f>
        <v/>
      </c>
      <c r="X109" s="24" t="n"/>
    </row>
    <row r="110" ht="15" customHeight="1">
      <c r="A110" s="63">
        <f>IF(C110="","",IFERROR(IF(SUMPRODUCT(MAX((tbl_Finance[Job Number]=C110&amp;"")*(tbl_Finance[Xero Invoice No]&lt;&gt;"")*tbl_Finance[Date]))=0,"",SUMPRODUCT(MAX((tbl_Finance[Job Number]=C110&amp;"")*(tbl_Finance[Xero Invoice No]&lt;&gt;"")*tbl_Finance[Date]))),""))</f>
        <v/>
      </c>
      <c r="B110" s="25">
        <f>IF(C110="","",IF(COUNTIFS(tbl_Finance[Job Number],C110&amp;"",tbl_Finance[Xero Invoice No],"&lt;&gt;")=0,"",IFERROR(IF(COUNTIFS(tbl_Finance[Job Number],C110&amp;"",tbl_Finance[Xero Invoice No],LOOKUP(2,1/((tbl_Finance[Job Number]=C110&amp;"")*(tbl_Finance[Xero Invoice No]&lt;&gt;"")),tbl_Finance[Xero Invoice No]))=COUNTIFS(tbl_Finance[Job Number],C110&amp;"",tbl_Finance[Xero Invoice No],"&lt;&gt;"),LOOKUP(2,1/((tbl_Finance[Job Number]=C110&amp;"")*(tbl_Finance[Xero Invoice No]&lt;&gt;"")),tbl_Finance[Xero Invoice No]),LOOKUP(2,1/((tbl_Finance[Job Number]=C110&amp;"")*(tbl_Finance[Xero Invoice No]&lt;&gt;"")),tbl_Finance[Xero Invoice No])&amp;" +more"),"")))</f>
        <v/>
      </c>
      <c r="C110" s="24" t="n"/>
      <c r="D110" s="25">
        <f>IF(C110="","",IF(COUNTIF(lst_Jobs,C110&amp;"")&gt;0,"OK","CHECK"))</f>
        <v/>
      </c>
      <c r="E110" s="25">
        <f>IF(C110="","",IFERROR(INDEX(lst_JobName,MATCH(C110&amp;"",lst_Jobs,0)),""))</f>
        <v/>
      </c>
      <c r="F110" s="25">
        <f>IF(C110="","",IFERROR(INDEX(tbl_Finance[Client],MATCH(C110&amp;"",tbl_Finance[Job Number],0)),""))</f>
        <v/>
      </c>
      <c r="G110" s="28">
        <f>IF(C110="","",COUNTIFS(tbl_Finance[Job Number],C110&amp;"",tbl_Finance[Ex GST],"&lt;&gt;"))</f>
        <v/>
      </c>
      <c r="H110" s="27">
        <f>IF(C110="","",SUMIFS(tbl_Finance[Ex GST],tbl_Finance[Job Number],C110&amp;""))</f>
        <v/>
      </c>
      <c r="I110" s="27">
        <f>IF(C110="","",SUMIFS(tbl_Finance[Ex GST],tbl_Finance[Job Number],C110&amp;"",tbl_Finance[Xero Invoice No],"&lt;&gt;"))</f>
        <v/>
      </c>
      <c r="J110" s="27">
        <f>IF(C110="","",H110-I110)</f>
        <v/>
      </c>
      <c r="K110" s="25">
        <f>IF(C110="","",IF(G110=0,"not invoiced yet",SUBSTITUTE(TRIM(IF(COUNTIFS(tbl_Finance[Job Number],C110&amp;"",tbl_Finance[Cost Centre],"ONSITE")&gt;0,"ONSITE ","")&amp;IF(COUNTIFS(tbl_Finance[Job Number],C110&amp;"",tbl_Finance[Cost Centre],"PRODUCTION")&gt;0,"PRODUCTION ","")&amp;IF(COUNTIFS(tbl_Finance[Job Number],C110&amp;"",tbl_Finance[Cost Centre],"VIDEO")&gt;0,"VIDEO ","")&amp;IF(COUNTIFS(tbl_Finance[Job Number],C110&amp;"",tbl_Finance[Cost Centre],"INTEGRATION")&gt;0,"INTEGRATION ","")&amp;IF(COUNTIFS(tbl_Finance[Job Number],C110&amp;"",tbl_Finance[Cost Centre],"CONSULTING")&gt;0,"CONSULTING ","")&amp;IF(COUNTIFS(tbl_Finance[Job Number],C110&amp;"",tbl_Finance[Cost Centre],"CTS")&gt;0,"CTS ",""))," ",", ")))</f>
        <v/>
      </c>
      <c r="L110" s="24" t="n"/>
      <c r="M110" s="25">
        <f>IF(L110="","",HYPERLINK(IF(LEFT(L110,4)="http",L110,set_QwilrBase&amp;L110),"Open quote"))</f>
        <v/>
      </c>
      <c r="N110" s="26" t="n"/>
      <c r="O110" s="26" t="n"/>
      <c r="P110" s="26" t="n"/>
      <c r="Q110" s="25">
        <f>IF(C110="","",IF(N(N110)+N(O110)+N(P110)=0,"Not split",IF(ROUND(N(N110)+N(O110)+N(P110),2)=ROUND(H110,2),"OK","MISMATCH")))</f>
        <v/>
      </c>
      <c r="R110" s="26" t="n"/>
      <c r="S110" s="26" t="n"/>
      <c r="T110" s="26" t="n"/>
      <c r="U110" s="27">
        <f>IF(C110="","",N(R110)+N(S110)+N(T110))</f>
        <v/>
      </c>
      <c r="V110" s="27">
        <f>IF(C110="","",H110-U110)</f>
        <v/>
      </c>
      <c r="W110" s="29">
        <f>IFERROR(V110/H110,"")</f>
        <v/>
      </c>
      <c r="X110" s="24" t="n"/>
    </row>
    <row r="111" ht="15" customHeight="1">
      <c r="A111" s="63">
        <f>IF(C111="","",IFERROR(IF(SUMPRODUCT(MAX((tbl_Finance[Job Number]=C111&amp;"")*(tbl_Finance[Xero Invoice No]&lt;&gt;"")*tbl_Finance[Date]))=0,"",SUMPRODUCT(MAX((tbl_Finance[Job Number]=C111&amp;"")*(tbl_Finance[Xero Invoice No]&lt;&gt;"")*tbl_Finance[Date]))),""))</f>
        <v/>
      </c>
      <c r="B111" s="25">
        <f>IF(C111="","",IF(COUNTIFS(tbl_Finance[Job Number],C111&amp;"",tbl_Finance[Xero Invoice No],"&lt;&gt;")=0,"",IFERROR(IF(COUNTIFS(tbl_Finance[Job Number],C111&amp;"",tbl_Finance[Xero Invoice No],LOOKUP(2,1/((tbl_Finance[Job Number]=C111&amp;"")*(tbl_Finance[Xero Invoice No]&lt;&gt;"")),tbl_Finance[Xero Invoice No]))=COUNTIFS(tbl_Finance[Job Number],C111&amp;"",tbl_Finance[Xero Invoice No],"&lt;&gt;"),LOOKUP(2,1/((tbl_Finance[Job Number]=C111&amp;"")*(tbl_Finance[Xero Invoice No]&lt;&gt;"")),tbl_Finance[Xero Invoice No]),LOOKUP(2,1/((tbl_Finance[Job Number]=C111&amp;"")*(tbl_Finance[Xero Invoice No]&lt;&gt;"")),tbl_Finance[Xero Invoice No])&amp;" +more"),"")))</f>
        <v/>
      </c>
      <c r="C111" s="24" t="n"/>
      <c r="D111" s="25">
        <f>IF(C111="","",IF(COUNTIF(lst_Jobs,C111&amp;"")&gt;0,"OK","CHECK"))</f>
        <v/>
      </c>
      <c r="E111" s="25">
        <f>IF(C111="","",IFERROR(INDEX(lst_JobName,MATCH(C111&amp;"",lst_Jobs,0)),""))</f>
        <v/>
      </c>
      <c r="F111" s="25">
        <f>IF(C111="","",IFERROR(INDEX(tbl_Finance[Client],MATCH(C111&amp;"",tbl_Finance[Job Number],0)),""))</f>
        <v/>
      </c>
      <c r="G111" s="28">
        <f>IF(C111="","",COUNTIFS(tbl_Finance[Job Number],C111&amp;"",tbl_Finance[Ex GST],"&lt;&gt;"))</f>
        <v/>
      </c>
      <c r="H111" s="27">
        <f>IF(C111="","",SUMIFS(tbl_Finance[Ex GST],tbl_Finance[Job Number],C111&amp;""))</f>
        <v/>
      </c>
      <c r="I111" s="27">
        <f>IF(C111="","",SUMIFS(tbl_Finance[Ex GST],tbl_Finance[Job Number],C111&amp;"",tbl_Finance[Xero Invoice No],"&lt;&gt;"))</f>
        <v/>
      </c>
      <c r="J111" s="27">
        <f>IF(C111="","",H111-I111)</f>
        <v/>
      </c>
      <c r="K111" s="25">
        <f>IF(C111="","",IF(G111=0,"not invoiced yet",SUBSTITUTE(TRIM(IF(COUNTIFS(tbl_Finance[Job Number],C111&amp;"",tbl_Finance[Cost Centre],"ONSITE")&gt;0,"ONSITE ","")&amp;IF(COUNTIFS(tbl_Finance[Job Number],C111&amp;"",tbl_Finance[Cost Centre],"PRODUCTION")&gt;0,"PRODUCTION ","")&amp;IF(COUNTIFS(tbl_Finance[Job Number],C111&amp;"",tbl_Finance[Cost Centre],"VIDEO")&gt;0,"VIDEO ","")&amp;IF(COUNTIFS(tbl_Finance[Job Number],C111&amp;"",tbl_Finance[Cost Centre],"INTEGRATION")&gt;0,"INTEGRATION ","")&amp;IF(COUNTIFS(tbl_Finance[Job Number],C111&amp;"",tbl_Finance[Cost Centre],"CONSULTING")&gt;0,"CONSULTING ","")&amp;IF(COUNTIFS(tbl_Finance[Job Number],C111&amp;"",tbl_Finance[Cost Centre],"CTS")&gt;0,"CTS ",""))," ",", ")))</f>
        <v/>
      </c>
      <c r="L111" s="24" t="n"/>
      <c r="M111" s="25">
        <f>IF(L111="","",HYPERLINK(IF(LEFT(L111,4)="http",L111,set_QwilrBase&amp;L111),"Open quote"))</f>
        <v/>
      </c>
      <c r="N111" s="26" t="n"/>
      <c r="O111" s="26" t="n"/>
      <c r="P111" s="26" t="n"/>
      <c r="Q111" s="25">
        <f>IF(C111="","",IF(N(N111)+N(O111)+N(P111)=0,"Not split",IF(ROUND(N(N111)+N(O111)+N(P111),2)=ROUND(H111,2),"OK","MISMATCH")))</f>
        <v/>
      </c>
      <c r="R111" s="26" t="n"/>
      <c r="S111" s="26" t="n"/>
      <c r="T111" s="26" t="n"/>
      <c r="U111" s="27">
        <f>IF(C111="","",N(R111)+N(S111)+N(T111))</f>
        <v/>
      </c>
      <c r="V111" s="27">
        <f>IF(C111="","",H111-U111)</f>
        <v/>
      </c>
      <c r="W111" s="29">
        <f>IFERROR(V111/H111,"")</f>
        <v/>
      </c>
      <c r="X111" s="24" t="n"/>
    </row>
    <row r="112" ht="15" customHeight="1">
      <c r="A112" s="63">
        <f>IF(C112="","",IFERROR(IF(SUMPRODUCT(MAX((tbl_Finance[Job Number]=C112&amp;"")*(tbl_Finance[Xero Invoice No]&lt;&gt;"")*tbl_Finance[Date]))=0,"",SUMPRODUCT(MAX((tbl_Finance[Job Number]=C112&amp;"")*(tbl_Finance[Xero Invoice No]&lt;&gt;"")*tbl_Finance[Date]))),""))</f>
        <v/>
      </c>
      <c r="B112" s="25">
        <f>IF(C112="","",IF(COUNTIFS(tbl_Finance[Job Number],C112&amp;"",tbl_Finance[Xero Invoice No],"&lt;&gt;")=0,"",IFERROR(IF(COUNTIFS(tbl_Finance[Job Number],C112&amp;"",tbl_Finance[Xero Invoice No],LOOKUP(2,1/((tbl_Finance[Job Number]=C112&amp;"")*(tbl_Finance[Xero Invoice No]&lt;&gt;"")),tbl_Finance[Xero Invoice No]))=COUNTIFS(tbl_Finance[Job Number],C112&amp;"",tbl_Finance[Xero Invoice No],"&lt;&gt;"),LOOKUP(2,1/((tbl_Finance[Job Number]=C112&amp;"")*(tbl_Finance[Xero Invoice No]&lt;&gt;"")),tbl_Finance[Xero Invoice No]),LOOKUP(2,1/((tbl_Finance[Job Number]=C112&amp;"")*(tbl_Finance[Xero Invoice No]&lt;&gt;"")),tbl_Finance[Xero Invoice No])&amp;" +more"),"")))</f>
        <v/>
      </c>
      <c r="C112" s="24" t="n"/>
      <c r="D112" s="25">
        <f>IF(C112="","",IF(COUNTIF(lst_Jobs,C112&amp;"")&gt;0,"OK","CHECK"))</f>
        <v/>
      </c>
      <c r="E112" s="25">
        <f>IF(C112="","",IFERROR(INDEX(lst_JobName,MATCH(C112&amp;"",lst_Jobs,0)),""))</f>
        <v/>
      </c>
      <c r="F112" s="25">
        <f>IF(C112="","",IFERROR(INDEX(tbl_Finance[Client],MATCH(C112&amp;"",tbl_Finance[Job Number],0)),""))</f>
        <v/>
      </c>
      <c r="G112" s="28">
        <f>IF(C112="","",COUNTIFS(tbl_Finance[Job Number],C112&amp;"",tbl_Finance[Ex GST],"&lt;&gt;"))</f>
        <v/>
      </c>
      <c r="H112" s="27">
        <f>IF(C112="","",SUMIFS(tbl_Finance[Ex GST],tbl_Finance[Job Number],C112&amp;""))</f>
        <v/>
      </c>
      <c r="I112" s="27">
        <f>IF(C112="","",SUMIFS(tbl_Finance[Ex GST],tbl_Finance[Job Number],C112&amp;"",tbl_Finance[Xero Invoice No],"&lt;&gt;"))</f>
        <v/>
      </c>
      <c r="J112" s="27">
        <f>IF(C112="","",H112-I112)</f>
        <v/>
      </c>
      <c r="K112" s="25">
        <f>IF(C112="","",IF(G112=0,"not invoiced yet",SUBSTITUTE(TRIM(IF(COUNTIFS(tbl_Finance[Job Number],C112&amp;"",tbl_Finance[Cost Centre],"ONSITE")&gt;0,"ONSITE ","")&amp;IF(COUNTIFS(tbl_Finance[Job Number],C112&amp;"",tbl_Finance[Cost Centre],"PRODUCTION")&gt;0,"PRODUCTION ","")&amp;IF(COUNTIFS(tbl_Finance[Job Number],C112&amp;"",tbl_Finance[Cost Centre],"VIDEO")&gt;0,"VIDEO ","")&amp;IF(COUNTIFS(tbl_Finance[Job Number],C112&amp;"",tbl_Finance[Cost Centre],"INTEGRATION")&gt;0,"INTEGRATION ","")&amp;IF(COUNTIFS(tbl_Finance[Job Number],C112&amp;"",tbl_Finance[Cost Centre],"CONSULTING")&gt;0,"CONSULTING ","")&amp;IF(COUNTIFS(tbl_Finance[Job Number],C112&amp;"",tbl_Finance[Cost Centre],"CTS")&gt;0,"CTS ",""))," ",", ")))</f>
        <v/>
      </c>
      <c r="L112" s="24" t="n"/>
      <c r="M112" s="25">
        <f>IF(L112="","",HYPERLINK(IF(LEFT(L112,4)="http",L112,set_QwilrBase&amp;L112),"Open quote"))</f>
        <v/>
      </c>
      <c r="N112" s="26" t="n"/>
      <c r="O112" s="26" t="n"/>
      <c r="P112" s="26" t="n"/>
      <c r="Q112" s="25">
        <f>IF(C112="","",IF(N(N112)+N(O112)+N(P112)=0,"Not split",IF(ROUND(N(N112)+N(O112)+N(P112),2)=ROUND(H112,2),"OK","MISMATCH")))</f>
        <v/>
      </c>
      <c r="R112" s="26" t="n"/>
      <c r="S112" s="26" t="n"/>
      <c r="T112" s="26" t="n"/>
      <c r="U112" s="27">
        <f>IF(C112="","",N(R112)+N(S112)+N(T112))</f>
        <v/>
      </c>
      <c r="V112" s="27">
        <f>IF(C112="","",H112-U112)</f>
        <v/>
      </c>
      <c r="W112" s="29">
        <f>IFERROR(V112/H112,"")</f>
        <v/>
      </c>
      <c r="X112" s="24" t="n"/>
    </row>
    <row r="113" ht="15" customHeight="1">
      <c r="A113" s="63">
        <f>IF(C113="","",IFERROR(IF(SUMPRODUCT(MAX((tbl_Finance[Job Number]=C113&amp;"")*(tbl_Finance[Xero Invoice No]&lt;&gt;"")*tbl_Finance[Date]))=0,"",SUMPRODUCT(MAX((tbl_Finance[Job Number]=C113&amp;"")*(tbl_Finance[Xero Invoice No]&lt;&gt;"")*tbl_Finance[Date]))),""))</f>
        <v/>
      </c>
      <c r="B113" s="25">
        <f>IF(C113="","",IF(COUNTIFS(tbl_Finance[Job Number],C113&amp;"",tbl_Finance[Xero Invoice No],"&lt;&gt;")=0,"",IFERROR(IF(COUNTIFS(tbl_Finance[Job Number],C113&amp;"",tbl_Finance[Xero Invoice No],LOOKUP(2,1/((tbl_Finance[Job Number]=C113&amp;"")*(tbl_Finance[Xero Invoice No]&lt;&gt;"")),tbl_Finance[Xero Invoice No]))=COUNTIFS(tbl_Finance[Job Number],C113&amp;"",tbl_Finance[Xero Invoice No],"&lt;&gt;"),LOOKUP(2,1/((tbl_Finance[Job Number]=C113&amp;"")*(tbl_Finance[Xero Invoice No]&lt;&gt;"")),tbl_Finance[Xero Invoice No]),LOOKUP(2,1/((tbl_Finance[Job Number]=C113&amp;"")*(tbl_Finance[Xero Invoice No]&lt;&gt;"")),tbl_Finance[Xero Invoice No])&amp;" +more"),"")))</f>
        <v/>
      </c>
      <c r="C113" s="24" t="n"/>
      <c r="D113" s="25">
        <f>IF(C113="","",IF(COUNTIF(lst_Jobs,C113&amp;"")&gt;0,"OK","CHECK"))</f>
        <v/>
      </c>
      <c r="E113" s="25">
        <f>IF(C113="","",IFERROR(INDEX(lst_JobName,MATCH(C113&amp;"",lst_Jobs,0)),""))</f>
        <v/>
      </c>
      <c r="F113" s="25">
        <f>IF(C113="","",IFERROR(INDEX(tbl_Finance[Client],MATCH(C113&amp;"",tbl_Finance[Job Number],0)),""))</f>
        <v/>
      </c>
      <c r="G113" s="28">
        <f>IF(C113="","",COUNTIFS(tbl_Finance[Job Number],C113&amp;"",tbl_Finance[Ex GST],"&lt;&gt;"))</f>
        <v/>
      </c>
      <c r="H113" s="27">
        <f>IF(C113="","",SUMIFS(tbl_Finance[Ex GST],tbl_Finance[Job Number],C113&amp;""))</f>
        <v/>
      </c>
      <c r="I113" s="27">
        <f>IF(C113="","",SUMIFS(tbl_Finance[Ex GST],tbl_Finance[Job Number],C113&amp;"",tbl_Finance[Xero Invoice No],"&lt;&gt;"))</f>
        <v/>
      </c>
      <c r="J113" s="27">
        <f>IF(C113="","",H113-I113)</f>
        <v/>
      </c>
      <c r="K113" s="25">
        <f>IF(C113="","",IF(G113=0,"not invoiced yet",SUBSTITUTE(TRIM(IF(COUNTIFS(tbl_Finance[Job Number],C113&amp;"",tbl_Finance[Cost Centre],"ONSITE")&gt;0,"ONSITE ","")&amp;IF(COUNTIFS(tbl_Finance[Job Number],C113&amp;"",tbl_Finance[Cost Centre],"PRODUCTION")&gt;0,"PRODUCTION ","")&amp;IF(COUNTIFS(tbl_Finance[Job Number],C113&amp;"",tbl_Finance[Cost Centre],"VIDEO")&gt;0,"VIDEO ","")&amp;IF(COUNTIFS(tbl_Finance[Job Number],C113&amp;"",tbl_Finance[Cost Centre],"INTEGRATION")&gt;0,"INTEGRATION ","")&amp;IF(COUNTIFS(tbl_Finance[Job Number],C113&amp;"",tbl_Finance[Cost Centre],"CONSULTING")&gt;0,"CONSULTING ","")&amp;IF(COUNTIFS(tbl_Finance[Job Number],C113&amp;"",tbl_Finance[Cost Centre],"CTS")&gt;0,"CTS ",""))," ",", ")))</f>
        <v/>
      </c>
      <c r="L113" s="24" t="n"/>
      <c r="M113" s="25">
        <f>IF(L113="","",HYPERLINK(IF(LEFT(L113,4)="http",L113,set_QwilrBase&amp;L113),"Open quote"))</f>
        <v/>
      </c>
      <c r="N113" s="26" t="n"/>
      <c r="O113" s="26" t="n"/>
      <c r="P113" s="26" t="n"/>
      <c r="Q113" s="25">
        <f>IF(C113="","",IF(N(N113)+N(O113)+N(P113)=0,"Not split",IF(ROUND(N(N113)+N(O113)+N(P113),2)=ROUND(H113,2),"OK","MISMATCH")))</f>
        <v/>
      </c>
      <c r="R113" s="26" t="n"/>
      <c r="S113" s="26" t="n"/>
      <c r="T113" s="26" t="n"/>
      <c r="U113" s="27">
        <f>IF(C113="","",N(R113)+N(S113)+N(T113))</f>
        <v/>
      </c>
      <c r="V113" s="27">
        <f>IF(C113="","",H113-U113)</f>
        <v/>
      </c>
      <c r="W113" s="29">
        <f>IFERROR(V113/H113,"")</f>
        <v/>
      </c>
      <c r="X113" s="24" t="n"/>
    </row>
    <row r="114" ht="15" customHeight="1">
      <c r="A114" s="63">
        <f>IF(C114="","",IFERROR(IF(SUMPRODUCT(MAX((tbl_Finance[Job Number]=C114&amp;"")*(tbl_Finance[Xero Invoice No]&lt;&gt;"")*tbl_Finance[Date]))=0,"",SUMPRODUCT(MAX((tbl_Finance[Job Number]=C114&amp;"")*(tbl_Finance[Xero Invoice No]&lt;&gt;"")*tbl_Finance[Date]))),""))</f>
        <v/>
      </c>
      <c r="B114" s="25">
        <f>IF(C114="","",IF(COUNTIFS(tbl_Finance[Job Number],C114&amp;"",tbl_Finance[Xero Invoice No],"&lt;&gt;")=0,"",IFERROR(IF(COUNTIFS(tbl_Finance[Job Number],C114&amp;"",tbl_Finance[Xero Invoice No],LOOKUP(2,1/((tbl_Finance[Job Number]=C114&amp;"")*(tbl_Finance[Xero Invoice No]&lt;&gt;"")),tbl_Finance[Xero Invoice No]))=COUNTIFS(tbl_Finance[Job Number],C114&amp;"",tbl_Finance[Xero Invoice No],"&lt;&gt;"),LOOKUP(2,1/((tbl_Finance[Job Number]=C114&amp;"")*(tbl_Finance[Xero Invoice No]&lt;&gt;"")),tbl_Finance[Xero Invoice No]),LOOKUP(2,1/((tbl_Finance[Job Number]=C114&amp;"")*(tbl_Finance[Xero Invoice No]&lt;&gt;"")),tbl_Finance[Xero Invoice No])&amp;" +more"),"")))</f>
        <v/>
      </c>
      <c r="C114" s="24" t="n"/>
      <c r="D114" s="25">
        <f>IF(C114="","",IF(COUNTIF(lst_Jobs,C114&amp;"")&gt;0,"OK","CHECK"))</f>
        <v/>
      </c>
      <c r="E114" s="25">
        <f>IF(C114="","",IFERROR(INDEX(lst_JobName,MATCH(C114&amp;"",lst_Jobs,0)),""))</f>
        <v/>
      </c>
      <c r="F114" s="25">
        <f>IF(C114="","",IFERROR(INDEX(tbl_Finance[Client],MATCH(C114&amp;"",tbl_Finance[Job Number],0)),""))</f>
        <v/>
      </c>
      <c r="G114" s="28">
        <f>IF(C114="","",COUNTIFS(tbl_Finance[Job Number],C114&amp;"",tbl_Finance[Ex GST],"&lt;&gt;"))</f>
        <v/>
      </c>
      <c r="H114" s="27">
        <f>IF(C114="","",SUMIFS(tbl_Finance[Ex GST],tbl_Finance[Job Number],C114&amp;""))</f>
        <v/>
      </c>
      <c r="I114" s="27">
        <f>IF(C114="","",SUMIFS(tbl_Finance[Ex GST],tbl_Finance[Job Number],C114&amp;"",tbl_Finance[Xero Invoice No],"&lt;&gt;"))</f>
        <v/>
      </c>
      <c r="J114" s="27">
        <f>IF(C114="","",H114-I114)</f>
        <v/>
      </c>
      <c r="K114" s="25">
        <f>IF(C114="","",IF(G114=0,"not invoiced yet",SUBSTITUTE(TRIM(IF(COUNTIFS(tbl_Finance[Job Number],C114&amp;"",tbl_Finance[Cost Centre],"ONSITE")&gt;0,"ONSITE ","")&amp;IF(COUNTIFS(tbl_Finance[Job Number],C114&amp;"",tbl_Finance[Cost Centre],"PRODUCTION")&gt;0,"PRODUCTION ","")&amp;IF(COUNTIFS(tbl_Finance[Job Number],C114&amp;"",tbl_Finance[Cost Centre],"VIDEO")&gt;0,"VIDEO ","")&amp;IF(COUNTIFS(tbl_Finance[Job Number],C114&amp;"",tbl_Finance[Cost Centre],"INTEGRATION")&gt;0,"INTEGRATION ","")&amp;IF(COUNTIFS(tbl_Finance[Job Number],C114&amp;"",tbl_Finance[Cost Centre],"CONSULTING")&gt;0,"CONSULTING ","")&amp;IF(COUNTIFS(tbl_Finance[Job Number],C114&amp;"",tbl_Finance[Cost Centre],"CTS")&gt;0,"CTS ",""))," ",", ")))</f>
        <v/>
      </c>
      <c r="L114" s="24" t="n"/>
      <c r="M114" s="25">
        <f>IF(L114="","",HYPERLINK(IF(LEFT(L114,4)="http",L114,set_QwilrBase&amp;L114),"Open quote"))</f>
        <v/>
      </c>
      <c r="N114" s="26" t="n"/>
      <c r="O114" s="26" t="n"/>
      <c r="P114" s="26" t="n"/>
      <c r="Q114" s="25">
        <f>IF(C114="","",IF(N(N114)+N(O114)+N(P114)=0,"Not split",IF(ROUND(N(N114)+N(O114)+N(P114),2)=ROUND(H114,2),"OK","MISMATCH")))</f>
        <v/>
      </c>
      <c r="R114" s="26" t="n"/>
      <c r="S114" s="26" t="n"/>
      <c r="T114" s="26" t="n"/>
      <c r="U114" s="27">
        <f>IF(C114="","",N(R114)+N(S114)+N(T114))</f>
        <v/>
      </c>
      <c r="V114" s="27">
        <f>IF(C114="","",H114-U114)</f>
        <v/>
      </c>
      <c r="W114" s="29">
        <f>IFERROR(V114/H114,"")</f>
        <v/>
      </c>
      <c r="X114" s="24" t="n"/>
    </row>
    <row r="115" ht="15" customHeight="1">
      <c r="A115" s="63">
        <f>IF(C115="","",IFERROR(IF(SUMPRODUCT(MAX((tbl_Finance[Job Number]=C115&amp;"")*(tbl_Finance[Xero Invoice No]&lt;&gt;"")*tbl_Finance[Date]))=0,"",SUMPRODUCT(MAX((tbl_Finance[Job Number]=C115&amp;"")*(tbl_Finance[Xero Invoice No]&lt;&gt;"")*tbl_Finance[Date]))),""))</f>
        <v/>
      </c>
      <c r="B115" s="25">
        <f>IF(C115="","",IF(COUNTIFS(tbl_Finance[Job Number],C115&amp;"",tbl_Finance[Xero Invoice No],"&lt;&gt;")=0,"",IFERROR(IF(COUNTIFS(tbl_Finance[Job Number],C115&amp;"",tbl_Finance[Xero Invoice No],LOOKUP(2,1/((tbl_Finance[Job Number]=C115&amp;"")*(tbl_Finance[Xero Invoice No]&lt;&gt;"")),tbl_Finance[Xero Invoice No]))=COUNTIFS(tbl_Finance[Job Number],C115&amp;"",tbl_Finance[Xero Invoice No],"&lt;&gt;"),LOOKUP(2,1/((tbl_Finance[Job Number]=C115&amp;"")*(tbl_Finance[Xero Invoice No]&lt;&gt;"")),tbl_Finance[Xero Invoice No]),LOOKUP(2,1/((tbl_Finance[Job Number]=C115&amp;"")*(tbl_Finance[Xero Invoice No]&lt;&gt;"")),tbl_Finance[Xero Invoice No])&amp;" +more"),"")))</f>
        <v/>
      </c>
      <c r="C115" s="24" t="n"/>
      <c r="D115" s="25">
        <f>IF(C115="","",IF(COUNTIF(lst_Jobs,C115&amp;"")&gt;0,"OK","CHECK"))</f>
        <v/>
      </c>
      <c r="E115" s="25">
        <f>IF(C115="","",IFERROR(INDEX(lst_JobName,MATCH(C115&amp;"",lst_Jobs,0)),""))</f>
        <v/>
      </c>
      <c r="F115" s="25">
        <f>IF(C115="","",IFERROR(INDEX(tbl_Finance[Client],MATCH(C115&amp;"",tbl_Finance[Job Number],0)),""))</f>
        <v/>
      </c>
      <c r="G115" s="28">
        <f>IF(C115="","",COUNTIFS(tbl_Finance[Job Number],C115&amp;"",tbl_Finance[Ex GST],"&lt;&gt;"))</f>
        <v/>
      </c>
      <c r="H115" s="27">
        <f>IF(C115="","",SUMIFS(tbl_Finance[Ex GST],tbl_Finance[Job Number],C115&amp;""))</f>
        <v/>
      </c>
      <c r="I115" s="27">
        <f>IF(C115="","",SUMIFS(tbl_Finance[Ex GST],tbl_Finance[Job Number],C115&amp;"",tbl_Finance[Xero Invoice No],"&lt;&gt;"))</f>
        <v/>
      </c>
      <c r="J115" s="27">
        <f>IF(C115="","",H115-I115)</f>
        <v/>
      </c>
      <c r="K115" s="25">
        <f>IF(C115="","",IF(G115=0,"not invoiced yet",SUBSTITUTE(TRIM(IF(COUNTIFS(tbl_Finance[Job Number],C115&amp;"",tbl_Finance[Cost Centre],"ONSITE")&gt;0,"ONSITE ","")&amp;IF(COUNTIFS(tbl_Finance[Job Number],C115&amp;"",tbl_Finance[Cost Centre],"PRODUCTION")&gt;0,"PRODUCTION ","")&amp;IF(COUNTIFS(tbl_Finance[Job Number],C115&amp;"",tbl_Finance[Cost Centre],"VIDEO")&gt;0,"VIDEO ","")&amp;IF(COUNTIFS(tbl_Finance[Job Number],C115&amp;"",tbl_Finance[Cost Centre],"INTEGRATION")&gt;0,"INTEGRATION ","")&amp;IF(COUNTIFS(tbl_Finance[Job Number],C115&amp;"",tbl_Finance[Cost Centre],"CONSULTING")&gt;0,"CONSULTING ","")&amp;IF(COUNTIFS(tbl_Finance[Job Number],C115&amp;"",tbl_Finance[Cost Centre],"CTS")&gt;0,"CTS ",""))," ",", ")))</f>
        <v/>
      </c>
      <c r="L115" s="24" t="n"/>
      <c r="M115" s="25">
        <f>IF(L115="","",HYPERLINK(IF(LEFT(L115,4)="http",L115,set_QwilrBase&amp;L115),"Open quote"))</f>
        <v/>
      </c>
      <c r="N115" s="26" t="n"/>
      <c r="O115" s="26" t="n"/>
      <c r="P115" s="26" t="n"/>
      <c r="Q115" s="25">
        <f>IF(C115="","",IF(N(N115)+N(O115)+N(P115)=0,"Not split",IF(ROUND(N(N115)+N(O115)+N(P115),2)=ROUND(H115,2),"OK","MISMATCH")))</f>
        <v/>
      </c>
      <c r="R115" s="26" t="n"/>
      <c r="S115" s="26" t="n"/>
      <c r="T115" s="26" t="n"/>
      <c r="U115" s="27">
        <f>IF(C115="","",N(R115)+N(S115)+N(T115))</f>
        <v/>
      </c>
      <c r="V115" s="27">
        <f>IF(C115="","",H115-U115)</f>
        <v/>
      </c>
      <c r="W115" s="29">
        <f>IFERROR(V115/H115,"")</f>
        <v/>
      </c>
      <c r="X115" s="24" t="n"/>
    </row>
    <row r="116" ht="15" customHeight="1">
      <c r="A116" s="63">
        <f>IF(C116="","",IFERROR(IF(SUMPRODUCT(MAX((tbl_Finance[Job Number]=C116&amp;"")*(tbl_Finance[Xero Invoice No]&lt;&gt;"")*tbl_Finance[Date]))=0,"",SUMPRODUCT(MAX((tbl_Finance[Job Number]=C116&amp;"")*(tbl_Finance[Xero Invoice No]&lt;&gt;"")*tbl_Finance[Date]))),""))</f>
        <v/>
      </c>
      <c r="B116" s="25">
        <f>IF(C116="","",IF(COUNTIFS(tbl_Finance[Job Number],C116&amp;"",tbl_Finance[Xero Invoice No],"&lt;&gt;")=0,"",IFERROR(IF(COUNTIFS(tbl_Finance[Job Number],C116&amp;"",tbl_Finance[Xero Invoice No],LOOKUP(2,1/((tbl_Finance[Job Number]=C116&amp;"")*(tbl_Finance[Xero Invoice No]&lt;&gt;"")),tbl_Finance[Xero Invoice No]))=COUNTIFS(tbl_Finance[Job Number],C116&amp;"",tbl_Finance[Xero Invoice No],"&lt;&gt;"),LOOKUP(2,1/((tbl_Finance[Job Number]=C116&amp;"")*(tbl_Finance[Xero Invoice No]&lt;&gt;"")),tbl_Finance[Xero Invoice No]),LOOKUP(2,1/((tbl_Finance[Job Number]=C116&amp;"")*(tbl_Finance[Xero Invoice No]&lt;&gt;"")),tbl_Finance[Xero Invoice No])&amp;" +more"),"")))</f>
        <v/>
      </c>
      <c r="C116" s="24" t="n"/>
      <c r="D116" s="25">
        <f>IF(C116="","",IF(COUNTIF(lst_Jobs,C116&amp;"")&gt;0,"OK","CHECK"))</f>
        <v/>
      </c>
      <c r="E116" s="25">
        <f>IF(C116="","",IFERROR(INDEX(lst_JobName,MATCH(C116&amp;"",lst_Jobs,0)),""))</f>
        <v/>
      </c>
      <c r="F116" s="25">
        <f>IF(C116="","",IFERROR(INDEX(tbl_Finance[Client],MATCH(C116&amp;"",tbl_Finance[Job Number],0)),""))</f>
        <v/>
      </c>
      <c r="G116" s="28">
        <f>IF(C116="","",COUNTIFS(tbl_Finance[Job Number],C116&amp;"",tbl_Finance[Ex GST],"&lt;&gt;"))</f>
        <v/>
      </c>
      <c r="H116" s="27">
        <f>IF(C116="","",SUMIFS(tbl_Finance[Ex GST],tbl_Finance[Job Number],C116&amp;""))</f>
        <v/>
      </c>
      <c r="I116" s="27">
        <f>IF(C116="","",SUMIFS(tbl_Finance[Ex GST],tbl_Finance[Job Number],C116&amp;"",tbl_Finance[Xero Invoice No],"&lt;&gt;"))</f>
        <v/>
      </c>
      <c r="J116" s="27">
        <f>IF(C116="","",H116-I116)</f>
        <v/>
      </c>
      <c r="K116" s="25">
        <f>IF(C116="","",IF(G116=0,"not invoiced yet",SUBSTITUTE(TRIM(IF(COUNTIFS(tbl_Finance[Job Number],C116&amp;"",tbl_Finance[Cost Centre],"ONSITE")&gt;0,"ONSITE ","")&amp;IF(COUNTIFS(tbl_Finance[Job Number],C116&amp;"",tbl_Finance[Cost Centre],"PRODUCTION")&gt;0,"PRODUCTION ","")&amp;IF(COUNTIFS(tbl_Finance[Job Number],C116&amp;"",tbl_Finance[Cost Centre],"VIDEO")&gt;0,"VIDEO ","")&amp;IF(COUNTIFS(tbl_Finance[Job Number],C116&amp;"",tbl_Finance[Cost Centre],"INTEGRATION")&gt;0,"INTEGRATION ","")&amp;IF(COUNTIFS(tbl_Finance[Job Number],C116&amp;"",tbl_Finance[Cost Centre],"CONSULTING")&gt;0,"CONSULTING ","")&amp;IF(COUNTIFS(tbl_Finance[Job Number],C116&amp;"",tbl_Finance[Cost Centre],"CTS")&gt;0,"CTS ",""))," ",", ")))</f>
        <v/>
      </c>
      <c r="L116" s="24" t="n"/>
      <c r="M116" s="25">
        <f>IF(L116="","",HYPERLINK(IF(LEFT(L116,4)="http",L116,set_QwilrBase&amp;L116),"Open quote"))</f>
        <v/>
      </c>
      <c r="N116" s="26" t="n"/>
      <c r="O116" s="26" t="n"/>
      <c r="P116" s="26" t="n"/>
      <c r="Q116" s="25">
        <f>IF(C116="","",IF(N(N116)+N(O116)+N(P116)=0,"Not split",IF(ROUND(N(N116)+N(O116)+N(P116),2)=ROUND(H116,2),"OK","MISMATCH")))</f>
        <v/>
      </c>
      <c r="R116" s="26" t="n"/>
      <c r="S116" s="26" t="n"/>
      <c r="T116" s="26" t="n"/>
      <c r="U116" s="27">
        <f>IF(C116="","",N(R116)+N(S116)+N(T116))</f>
        <v/>
      </c>
      <c r="V116" s="27">
        <f>IF(C116="","",H116-U116)</f>
        <v/>
      </c>
      <c r="W116" s="29">
        <f>IFERROR(V116/H116,"")</f>
        <v/>
      </c>
      <c r="X116" s="24" t="n"/>
    </row>
    <row r="117" ht="15" customHeight="1">
      <c r="A117" s="63">
        <f>IF(C117="","",IFERROR(IF(SUMPRODUCT(MAX((tbl_Finance[Job Number]=C117&amp;"")*(tbl_Finance[Xero Invoice No]&lt;&gt;"")*tbl_Finance[Date]))=0,"",SUMPRODUCT(MAX((tbl_Finance[Job Number]=C117&amp;"")*(tbl_Finance[Xero Invoice No]&lt;&gt;"")*tbl_Finance[Date]))),""))</f>
        <v/>
      </c>
      <c r="B117" s="25">
        <f>IF(C117="","",IF(COUNTIFS(tbl_Finance[Job Number],C117&amp;"",tbl_Finance[Xero Invoice No],"&lt;&gt;")=0,"",IFERROR(IF(COUNTIFS(tbl_Finance[Job Number],C117&amp;"",tbl_Finance[Xero Invoice No],LOOKUP(2,1/((tbl_Finance[Job Number]=C117&amp;"")*(tbl_Finance[Xero Invoice No]&lt;&gt;"")),tbl_Finance[Xero Invoice No]))=COUNTIFS(tbl_Finance[Job Number],C117&amp;"",tbl_Finance[Xero Invoice No],"&lt;&gt;"),LOOKUP(2,1/((tbl_Finance[Job Number]=C117&amp;"")*(tbl_Finance[Xero Invoice No]&lt;&gt;"")),tbl_Finance[Xero Invoice No]),LOOKUP(2,1/((tbl_Finance[Job Number]=C117&amp;"")*(tbl_Finance[Xero Invoice No]&lt;&gt;"")),tbl_Finance[Xero Invoice No])&amp;" +more"),"")))</f>
        <v/>
      </c>
      <c r="C117" s="24" t="n"/>
      <c r="D117" s="25">
        <f>IF(C117="","",IF(COUNTIF(lst_Jobs,C117&amp;"")&gt;0,"OK","CHECK"))</f>
        <v/>
      </c>
      <c r="E117" s="25">
        <f>IF(C117="","",IFERROR(INDEX(lst_JobName,MATCH(C117&amp;"",lst_Jobs,0)),""))</f>
        <v/>
      </c>
      <c r="F117" s="25">
        <f>IF(C117="","",IFERROR(INDEX(tbl_Finance[Client],MATCH(C117&amp;"",tbl_Finance[Job Number],0)),""))</f>
        <v/>
      </c>
      <c r="G117" s="28">
        <f>IF(C117="","",COUNTIFS(tbl_Finance[Job Number],C117&amp;"",tbl_Finance[Ex GST],"&lt;&gt;"))</f>
        <v/>
      </c>
      <c r="H117" s="27">
        <f>IF(C117="","",SUMIFS(tbl_Finance[Ex GST],tbl_Finance[Job Number],C117&amp;""))</f>
        <v/>
      </c>
      <c r="I117" s="27">
        <f>IF(C117="","",SUMIFS(tbl_Finance[Ex GST],tbl_Finance[Job Number],C117&amp;"",tbl_Finance[Xero Invoice No],"&lt;&gt;"))</f>
        <v/>
      </c>
      <c r="J117" s="27">
        <f>IF(C117="","",H117-I117)</f>
        <v/>
      </c>
      <c r="K117" s="25">
        <f>IF(C117="","",IF(G117=0,"not invoiced yet",SUBSTITUTE(TRIM(IF(COUNTIFS(tbl_Finance[Job Number],C117&amp;"",tbl_Finance[Cost Centre],"ONSITE")&gt;0,"ONSITE ","")&amp;IF(COUNTIFS(tbl_Finance[Job Number],C117&amp;"",tbl_Finance[Cost Centre],"PRODUCTION")&gt;0,"PRODUCTION ","")&amp;IF(COUNTIFS(tbl_Finance[Job Number],C117&amp;"",tbl_Finance[Cost Centre],"VIDEO")&gt;0,"VIDEO ","")&amp;IF(COUNTIFS(tbl_Finance[Job Number],C117&amp;"",tbl_Finance[Cost Centre],"INTEGRATION")&gt;0,"INTEGRATION ","")&amp;IF(COUNTIFS(tbl_Finance[Job Number],C117&amp;"",tbl_Finance[Cost Centre],"CONSULTING")&gt;0,"CONSULTING ","")&amp;IF(COUNTIFS(tbl_Finance[Job Number],C117&amp;"",tbl_Finance[Cost Centre],"CTS")&gt;0,"CTS ",""))," ",", ")))</f>
        <v/>
      </c>
      <c r="L117" s="24" t="n"/>
      <c r="M117" s="25">
        <f>IF(L117="","",HYPERLINK(IF(LEFT(L117,4)="http",L117,set_QwilrBase&amp;L117),"Open quote"))</f>
        <v/>
      </c>
      <c r="N117" s="26" t="n"/>
      <c r="O117" s="26" t="n"/>
      <c r="P117" s="26" t="n"/>
      <c r="Q117" s="25">
        <f>IF(C117="","",IF(N(N117)+N(O117)+N(P117)=0,"Not split",IF(ROUND(N(N117)+N(O117)+N(P117),2)=ROUND(H117,2),"OK","MISMATCH")))</f>
        <v/>
      </c>
      <c r="R117" s="26" t="n"/>
      <c r="S117" s="26" t="n"/>
      <c r="T117" s="26" t="n"/>
      <c r="U117" s="27">
        <f>IF(C117="","",N(R117)+N(S117)+N(T117))</f>
        <v/>
      </c>
      <c r="V117" s="27">
        <f>IF(C117="","",H117-U117)</f>
        <v/>
      </c>
      <c r="W117" s="29">
        <f>IFERROR(V117/H117,"")</f>
        <v/>
      </c>
      <c r="X117" s="24" t="n"/>
    </row>
    <row r="118" ht="15" customHeight="1">
      <c r="A118" s="63">
        <f>IF(C118="","",IFERROR(IF(SUMPRODUCT(MAX((tbl_Finance[Job Number]=C118&amp;"")*(tbl_Finance[Xero Invoice No]&lt;&gt;"")*tbl_Finance[Date]))=0,"",SUMPRODUCT(MAX((tbl_Finance[Job Number]=C118&amp;"")*(tbl_Finance[Xero Invoice No]&lt;&gt;"")*tbl_Finance[Date]))),""))</f>
        <v/>
      </c>
      <c r="B118" s="25">
        <f>IF(C118="","",IF(COUNTIFS(tbl_Finance[Job Number],C118&amp;"",tbl_Finance[Xero Invoice No],"&lt;&gt;")=0,"",IFERROR(IF(COUNTIFS(tbl_Finance[Job Number],C118&amp;"",tbl_Finance[Xero Invoice No],LOOKUP(2,1/((tbl_Finance[Job Number]=C118&amp;"")*(tbl_Finance[Xero Invoice No]&lt;&gt;"")),tbl_Finance[Xero Invoice No]))=COUNTIFS(tbl_Finance[Job Number],C118&amp;"",tbl_Finance[Xero Invoice No],"&lt;&gt;"),LOOKUP(2,1/((tbl_Finance[Job Number]=C118&amp;"")*(tbl_Finance[Xero Invoice No]&lt;&gt;"")),tbl_Finance[Xero Invoice No]),LOOKUP(2,1/((tbl_Finance[Job Number]=C118&amp;"")*(tbl_Finance[Xero Invoice No]&lt;&gt;"")),tbl_Finance[Xero Invoice No])&amp;" +more"),"")))</f>
        <v/>
      </c>
      <c r="C118" s="24" t="n"/>
      <c r="D118" s="25">
        <f>IF(C118="","",IF(COUNTIF(lst_Jobs,C118&amp;"")&gt;0,"OK","CHECK"))</f>
        <v/>
      </c>
      <c r="E118" s="25">
        <f>IF(C118="","",IFERROR(INDEX(lst_JobName,MATCH(C118&amp;"",lst_Jobs,0)),""))</f>
        <v/>
      </c>
      <c r="F118" s="25">
        <f>IF(C118="","",IFERROR(INDEX(tbl_Finance[Client],MATCH(C118&amp;"",tbl_Finance[Job Number],0)),""))</f>
        <v/>
      </c>
      <c r="G118" s="28">
        <f>IF(C118="","",COUNTIFS(tbl_Finance[Job Number],C118&amp;"",tbl_Finance[Ex GST],"&lt;&gt;"))</f>
        <v/>
      </c>
      <c r="H118" s="27">
        <f>IF(C118="","",SUMIFS(tbl_Finance[Ex GST],tbl_Finance[Job Number],C118&amp;""))</f>
        <v/>
      </c>
      <c r="I118" s="27">
        <f>IF(C118="","",SUMIFS(tbl_Finance[Ex GST],tbl_Finance[Job Number],C118&amp;"",tbl_Finance[Xero Invoice No],"&lt;&gt;"))</f>
        <v/>
      </c>
      <c r="J118" s="27">
        <f>IF(C118="","",H118-I118)</f>
        <v/>
      </c>
      <c r="K118" s="25">
        <f>IF(C118="","",IF(G118=0,"not invoiced yet",SUBSTITUTE(TRIM(IF(COUNTIFS(tbl_Finance[Job Number],C118&amp;"",tbl_Finance[Cost Centre],"ONSITE")&gt;0,"ONSITE ","")&amp;IF(COUNTIFS(tbl_Finance[Job Number],C118&amp;"",tbl_Finance[Cost Centre],"PRODUCTION")&gt;0,"PRODUCTION ","")&amp;IF(COUNTIFS(tbl_Finance[Job Number],C118&amp;"",tbl_Finance[Cost Centre],"VIDEO")&gt;0,"VIDEO ","")&amp;IF(COUNTIFS(tbl_Finance[Job Number],C118&amp;"",tbl_Finance[Cost Centre],"INTEGRATION")&gt;0,"INTEGRATION ","")&amp;IF(COUNTIFS(tbl_Finance[Job Number],C118&amp;"",tbl_Finance[Cost Centre],"CONSULTING")&gt;0,"CONSULTING ","")&amp;IF(COUNTIFS(tbl_Finance[Job Number],C118&amp;"",tbl_Finance[Cost Centre],"CTS")&gt;0,"CTS ",""))," ",", ")))</f>
        <v/>
      </c>
      <c r="L118" s="24" t="n"/>
      <c r="M118" s="25">
        <f>IF(L118="","",HYPERLINK(IF(LEFT(L118,4)="http",L118,set_QwilrBase&amp;L118),"Open quote"))</f>
        <v/>
      </c>
      <c r="N118" s="26" t="n"/>
      <c r="O118" s="26" t="n"/>
      <c r="P118" s="26" t="n"/>
      <c r="Q118" s="25">
        <f>IF(C118="","",IF(N(N118)+N(O118)+N(P118)=0,"Not split",IF(ROUND(N(N118)+N(O118)+N(P118),2)=ROUND(H118,2),"OK","MISMATCH")))</f>
        <v/>
      </c>
      <c r="R118" s="26" t="n"/>
      <c r="S118" s="26" t="n"/>
      <c r="T118" s="26" t="n"/>
      <c r="U118" s="27">
        <f>IF(C118="","",N(R118)+N(S118)+N(T118))</f>
        <v/>
      </c>
      <c r="V118" s="27">
        <f>IF(C118="","",H118-U118)</f>
        <v/>
      </c>
      <c r="W118" s="29">
        <f>IFERROR(V118/H118,"")</f>
        <v/>
      </c>
      <c r="X118" s="24" t="n"/>
    </row>
    <row r="119" ht="15" customHeight="1">
      <c r="A119" s="63">
        <f>IF(C119="","",IFERROR(IF(SUMPRODUCT(MAX((tbl_Finance[Job Number]=C119&amp;"")*(tbl_Finance[Xero Invoice No]&lt;&gt;"")*tbl_Finance[Date]))=0,"",SUMPRODUCT(MAX((tbl_Finance[Job Number]=C119&amp;"")*(tbl_Finance[Xero Invoice No]&lt;&gt;"")*tbl_Finance[Date]))),""))</f>
        <v/>
      </c>
      <c r="B119" s="25">
        <f>IF(C119="","",IF(COUNTIFS(tbl_Finance[Job Number],C119&amp;"",tbl_Finance[Xero Invoice No],"&lt;&gt;")=0,"",IFERROR(IF(COUNTIFS(tbl_Finance[Job Number],C119&amp;"",tbl_Finance[Xero Invoice No],LOOKUP(2,1/((tbl_Finance[Job Number]=C119&amp;"")*(tbl_Finance[Xero Invoice No]&lt;&gt;"")),tbl_Finance[Xero Invoice No]))=COUNTIFS(tbl_Finance[Job Number],C119&amp;"",tbl_Finance[Xero Invoice No],"&lt;&gt;"),LOOKUP(2,1/((tbl_Finance[Job Number]=C119&amp;"")*(tbl_Finance[Xero Invoice No]&lt;&gt;"")),tbl_Finance[Xero Invoice No]),LOOKUP(2,1/((tbl_Finance[Job Number]=C119&amp;"")*(tbl_Finance[Xero Invoice No]&lt;&gt;"")),tbl_Finance[Xero Invoice No])&amp;" +more"),"")))</f>
        <v/>
      </c>
      <c r="C119" s="24" t="n"/>
      <c r="D119" s="25">
        <f>IF(C119="","",IF(COUNTIF(lst_Jobs,C119&amp;"")&gt;0,"OK","CHECK"))</f>
        <v/>
      </c>
      <c r="E119" s="25">
        <f>IF(C119="","",IFERROR(INDEX(lst_JobName,MATCH(C119&amp;"",lst_Jobs,0)),""))</f>
        <v/>
      </c>
      <c r="F119" s="25">
        <f>IF(C119="","",IFERROR(INDEX(tbl_Finance[Client],MATCH(C119&amp;"",tbl_Finance[Job Number],0)),""))</f>
        <v/>
      </c>
      <c r="G119" s="28">
        <f>IF(C119="","",COUNTIFS(tbl_Finance[Job Number],C119&amp;"",tbl_Finance[Ex GST],"&lt;&gt;"))</f>
        <v/>
      </c>
      <c r="H119" s="27">
        <f>IF(C119="","",SUMIFS(tbl_Finance[Ex GST],tbl_Finance[Job Number],C119&amp;""))</f>
        <v/>
      </c>
      <c r="I119" s="27">
        <f>IF(C119="","",SUMIFS(tbl_Finance[Ex GST],tbl_Finance[Job Number],C119&amp;"",tbl_Finance[Xero Invoice No],"&lt;&gt;"))</f>
        <v/>
      </c>
      <c r="J119" s="27">
        <f>IF(C119="","",H119-I119)</f>
        <v/>
      </c>
      <c r="K119" s="25">
        <f>IF(C119="","",IF(G119=0,"not invoiced yet",SUBSTITUTE(TRIM(IF(COUNTIFS(tbl_Finance[Job Number],C119&amp;"",tbl_Finance[Cost Centre],"ONSITE")&gt;0,"ONSITE ","")&amp;IF(COUNTIFS(tbl_Finance[Job Number],C119&amp;"",tbl_Finance[Cost Centre],"PRODUCTION")&gt;0,"PRODUCTION ","")&amp;IF(COUNTIFS(tbl_Finance[Job Number],C119&amp;"",tbl_Finance[Cost Centre],"VIDEO")&gt;0,"VIDEO ","")&amp;IF(COUNTIFS(tbl_Finance[Job Number],C119&amp;"",tbl_Finance[Cost Centre],"INTEGRATION")&gt;0,"INTEGRATION ","")&amp;IF(COUNTIFS(tbl_Finance[Job Number],C119&amp;"",tbl_Finance[Cost Centre],"CONSULTING")&gt;0,"CONSULTING ","")&amp;IF(COUNTIFS(tbl_Finance[Job Number],C119&amp;"",tbl_Finance[Cost Centre],"CTS")&gt;0,"CTS ",""))," ",", ")))</f>
        <v/>
      </c>
      <c r="L119" s="24" t="n"/>
      <c r="M119" s="25">
        <f>IF(L119="","",HYPERLINK(IF(LEFT(L119,4)="http",L119,set_QwilrBase&amp;L119),"Open quote"))</f>
        <v/>
      </c>
      <c r="N119" s="26" t="n"/>
      <c r="O119" s="26" t="n"/>
      <c r="P119" s="26" t="n"/>
      <c r="Q119" s="25">
        <f>IF(C119="","",IF(N(N119)+N(O119)+N(P119)=0,"Not split",IF(ROUND(N(N119)+N(O119)+N(P119),2)=ROUND(H119,2),"OK","MISMATCH")))</f>
        <v/>
      </c>
      <c r="R119" s="26" t="n"/>
      <c r="S119" s="26" t="n"/>
      <c r="T119" s="26" t="n"/>
      <c r="U119" s="27">
        <f>IF(C119="","",N(R119)+N(S119)+N(T119))</f>
        <v/>
      </c>
      <c r="V119" s="27">
        <f>IF(C119="","",H119-U119)</f>
        <v/>
      </c>
      <c r="W119" s="29">
        <f>IFERROR(V119/H119,"")</f>
        <v/>
      </c>
      <c r="X119" s="24" t="n"/>
    </row>
    <row r="120" ht="15" customHeight="1">
      <c r="A120" s="63">
        <f>IF(C120="","",IFERROR(IF(SUMPRODUCT(MAX((tbl_Finance[Job Number]=C120&amp;"")*(tbl_Finance[Xero Invoice No]&lt;&gt;"")*tbl_Finance[Date]))=0,"",SUMPRODUCT(MAX((tbl_Finance[Job Number]=C120&amp;"")*(tbl_Finance[Xero Invoice No]&lt;&gt;"")*tbl_Finance[Date]))),""))</f>
        <v/>
      </c>
      <c r="B120" s="25">
        <f>IF(C120="","",IF(COUNTIFS(tbl_Finance[Job Number],C120&amp;"",tbl_Finance[Xero Invoice No],"&lt;&gt;")=0,"",IFERROR(IF(COUNTIFS(tbl_Finance[Job Number],C120&amp;"",tbl_Finance[Xero Invoice No],LOOKUP(2,1/((tbl_Finance[Job Number]=C120&amp;"")*(tbl_Finance[Xero Invoice No]&lt;&gt;"")),tbl_Finance[Xero Invoice No]))=COUNTIFS(tbl_Finance[Job Number],C120&amp;"",tbl_Finance[Xero Invoice No],"&lt;&gt;"),LOOKUP(2,1/((tbl_Finance[Job Number]=C120&amp;"")*(tbl_Finance[Xero Invoice No]&lt;&gt;"")),tbl_Finance[Xero Invoice No]),LOOKUP(2,1/((tbl_Finance[Job Number]=C120&amp;"")*(tbl_Finance[Xero Invoice No]&lt;&gt;"")),tbl_Finance[Xero Invoice No])&amp;" +more"),"")))</f>
        <v/>
      </c>
      <c r="C120" s="24" t="n"/>
      <c r="D120" s="25">
        <f>IF(C120="","",IF(COUNTIF(lst_Jobs,C120&amp;"")&gt;0,"OK","CHECK"))</f>
        <v/>
      </c>
      <c r="E120" s="25">
        <f>IF(C120="","",IFERROR(INDEX(lst_JobName,MATCH(C120&amp;"",lst_Jobs,0)),""))</f>
        <v/>
      </c>
      <c r="F120" s="25">
        <f>IF(C120="","",IFERROR(INDEX(tbl_Finance[Client],MATCH(C120&amp;"",tbl_Finance[Job Number],0)),""))</f>
        <v/>
      </c>
      <c r="G120" s="28">
        <f>IF(C120="","",COUNTIFS(tbl_Finance[Job Number],C120&amp;"",tbl_Finance[Ex GST],"&lt;&gt;"))</f>
        <v/>
      </c>
      <c r="H120" s="27">
        <f>IF(C120="","",SUMIFS(tbl_Finance[Ex GST],tbl_Finance[Job Number],C120&amp;""))</f>
        <v/>
      </c>
      <c r="I120" s="27">
        <f>IF(C120="","",SUMIFS(tbl_Finance[Ex GST],tbl_Finance[Job Number],C120&amp;"",tbl_Finance[Xero Invoice No],"&lt;&gt;"))</f>
        <v/>
      </c>
      <c r="J120" s="27">
        <f>IF(C120="","",H120-I120)</f>
        <v/>
      </c>
      <c r="K120" s="25">
        <f>IF(C120="","",IF(G120=0,"not invoiced yet",SUBSTITUTE(TRIM(IF(COUNTIFS(tbl_Finance[Job Number],C120&amp;"",tbl_Finance[Cost Centre],"ONSITE")&gt;0,"ONSITE ","")&amp;IF(COUNTIFS(tbl_Finance[Job Number],C120&amp;"",tbl_Finance[Cost Centre],"PRODUCTION")&gt;0,"PRODUCTION ","")&amp;IF(COUNTIFS(tbl_Finance[Job Number],C120&amp;"",tbl_Finance[Cost Centre],"VIDEO")&gt;0,"VIDEO ","")&amp;IF(COUNTIFS(tbl_Finance[Job Number],C120&amp;"",tbl_Finance[Cost Centre],"INTEGRATION")&gt;0,"INTEGRATION ","")&amp;IF(COUNTIFS(tbl_Finance[Job Number],C120&amp;"",tbl_Finance[Cost Centre],"CONSULTING")&gt;0,"CONSULTING ","")&amp;IF(COUNTIFS(tbl_Finance[Job Number],C120&amp;"",tbl_Finance[Cost Centre],"CTS")&gt;0,"CTS ",""))," ",", ")))</f>
        <v/>
      </c>
      <c r="L120" s="24" t="n"/>
      <c r="M120" s="25">
        <f>IF(L120="","",HYPERLINK(IF(LEFT(L120,4)="http",L120,set_QwilrBase&amp;L120),"Open quote"))</f>
        <v/>
      </c>
      <c r="N120" s="26" t="n"/>
      <c r="O120" s="26" t="n"/>
      <c r="P120" s="26" t="n"/>
      <c r="Q120" s="25">
        <f>IF(C120="","",IF(N(N120)+N(O120)+N(P120)=0,"Not split",IF(ROUND(N(N120)+N(O120)+N(P120),2)=ROUND(H120,2),"OK","MISMATCH")))</f>
        <v/>
      </c>
      <c r="R120" s="26" t="n"/>
      <c r="S120" s="26" t="n"/>
      <c r="T120" s="26" t="n"/>
      <c r="U120" s="27">
        <f>IF(C120="","",N(R120)+N(S120)+N(T120))</f>
        <v/>
      </c>
      <c r="V120" s="27">
        <f>IF(C120="","",H120-U120)</f>
        <v/>
      </c>
      <c r="W120" s="29">
        <f>IFERROR(V120/H120,"")</f>
        <v/>
      </c>
      <c r="X120" s="24" t="n"/>
    </row>
    <row r="121" ht="15" customHeight="1">
      <c r="A121" s="63">
        <f>IF(C121="","",IFERROR(IF(SUMPRODUCT(MAX((tbl_Finance[Job Number]=C121&amp;"")*(tbl_Finance[Xero Invoice No]&lt;&gt;"")*tbl_Finance[Date]))=0,"",SUMPRODUCT(MAX((tbl_Finance[Job Number]=C121&amp;"")*(tbl_Finance[Xero Invoice No]&lt;&gt;"")*tbl_Finance[Date]))),""))</f>
        <v/>
      </c>
      <c r="B121" s="25">
        <f>IF(C121="","",IF(COUNTIFS(tbl_Finance[Job Number],C121&amp;"",tbl_Finance[Xero Invoice No],"&lt;&gt;")=0,"",IFERROR(IF(COUNTIFS(tbl_Finance[Job Number],C121&amp;"",tbl_Finance[Xero Invoice No],LOOKUP(2,1/((tbl_Finance[Job Number]=C121&amp;"")*(tbl_Finance[Xero Invoice No]&lt;&gt;"")),tbl_Finance[Xero Invoice No]))=COUNTIFS(tbl_Finance[Job Number],C121&amp;"",tbl_Finance[Xero Invoice No],"&lt;&gt;"),LOOKUP(2,1/((tbl_Finance[Job Number]=C121&amp;"")*(tbl_Finance[Xero Invoice No]&lt;&gt;"")),tbl_Finance[Xero Invoice No]),LOOKUP(2,1/((tbl_Finance[Job Number]=C121&amp;"")*(tbl_Finance[Xero Invoice No]&lt;&gt;"")),tbl_Finance[Xero Invoice No])&amp;" +more"),"")))</f>
        <v/>
      </c>
      <c r="C121" s="24" t="n"/>
      <c r="D121" s="25">
        <f>IF(C121="","",IF(COUNTIF(lst_Jobs,C121&amp;"")&gt;0,"OK","CHECK"))</f>
        <v/>
      </c>
      <c r="E121" s="25">
        <f>IF(C121="","",IFERROR(INDEX(lst_JobName,MATCH(C121&amp;"",lst_Jobs,0)),""))</f>
        <v/>
      </c>
      <c r="F121" s="25">
        <f>IF(C121="","",IFERROR(INDEX(tbl_Finance[Client],MATCH(C121&amp;"",tbl_Finance[Job Number],0)),""))</f>
        <v/>
      </c>
      <c r="G121" s="28">
        <f>IF(C121="","",COUNTIFS(tbl_Finance[Job Number],C121&amp;"",tbl_Finance[Ex GST],"&lt;&gt;"))</f>
        <v/>
      </c>
      <c r="H121" s="27">
        <f>IF(C121="","",SUMIFS(tbl_Finance[Ex GST],tbl_Finance[Job Number],C121&amp;""))</f>
        <v/>
      </c>
      <c r="I121" s="27">
        <f>IF(C121="","",SUMIFS(tbl_Finance[Ex GST],tbl_Finance[Job Number],C121&amp;"",tbl_Finance[Xero Invoice No],"&lt;&gt;"))</f>
        <v/>
      </c>
      <c r="J121" s="27">
        <f>IF(C121="","",H121-I121)</f>
        <v/>
      </c>
      <c r="K121" s="25">
        <f>IF(C121="","",IF(G121=0,"not invoiced yet",SUBSTITUTE(TRIM(IF(COUNTIFS(tbl_Finance[Job Number],C121&amp;"",tbl_Finance[Cost Centre],"ONSITE")&gt;0,"ONSITE ","")&amp;IF(COUNTIFS(tbl_Finance[Job Number],C121&amp;"",tbl_Finance[Cost Centre],"PRODUCTION")&gt;0,"PRODUCTION ","")&amp;IF(COUNTIFS(tbl_Finance[Job Number],C121&amp;"",tbl_Finance[Cost Centre],"VIDEO")&gt;0,"VIDEO ","")&amp;IF(COUNTIFS(tbl_Finance[Job Number],C121&amp;"",tbl_Finance[Cost Centre],"INTEGRATION")&gt;0,"INTEGRATION ","")&amp;IF(COUNTIFS(tbl_Finance[Job Number],C121&amp;"",tbl_Finance[Cost Centre],"CONSULTING")&gt;0,"CONSULTING ","")&amp;IF(COUNTIFS(tbl_Finance[Job Number],C121&amp;"",tbl_Finance[Cost Centre],"CTS")&gt;0,"CTS ",""))," ",", ")))</f>
        <v/>
      </c>
      <c r="L121" s="24" t="n"/>
      <c r="M121" s="25">
        <f>IF(L121="","",HYPERLINK(IF(LEFT(L121,4)="http",L121,set_QwilrBase&amp;L121),"Open quote"))</f>
        <v/>
      </c>
      <c r="N121" s="26" t="n"/>
      <c r="O121" s="26" t="n"/>
      <c r="P121" s="26" t="n"/>
      <c r="Q121" s="25">
        <f>IF(C121="","",IF(N(N121)+N(O121)+N(P121)=0,"Not split",IF(ROUND(N(N121)+N(O121)+N(P121),2)=ROUND(H121,2),"OK","MISMATCH")))</f>
        <v/>
      </c>
      <c r="R121" s="26" t="n"/>
      <c r="S121" s="26" t="n"/>
      <c r="T121" s="26" t="n"/>
      <c r="U121" s="27">
        <f>IF(C121="","",N(R121)+N(S121)+N(T121))</f>
        <v/>
      </c>
      <c r="V121" s="27">
        <f>IF(C121="","",H121-U121)</f>
        <v/>
      </c>
      <c r="W121" s="29">
        <f>IFERROR(V121/H121,"")</f>
        <v/>
      </c>
      <c r="X121" s="24" t="n"/>
    </row>
    <row r="122" ht="15" customHeight="1">
      <c r="A122" s="63">
        <f>IF(C122="","",IFERROR(IF(SUMPRODUCT(MAX((tbl_Finance[Job Number]=C122&amp;"")*(tbl_Finance[Xero Invoice No]&lt;&gt;"")*tbl_Finance[Date]))=0,"",SUMPRODUCT(MAX((tbl_Finance[Job Number]=C122&amp;"")*(tbl_Finance[Xero Invoice No]&lt;&gt;"")*tbl_Finance[Date]))),""))</f>
        <v/>
      </c>
      <c r="B122" s="25">
        <f>IF(C122="","",IF(COUNTIFS(tbl_Finance[Job Number],C122&amp;"",tbl_Finance[Xero Invoice No],"&lt;&gt;")=0,"",IFERROR(IF(COUNTIFS(tbl_Finance[Job Number],C122&amp;"",tbl_Finance[Xero Invoice No],LOOKUP(2,1/((tbl_Finance[Job Number]=C122&amp;"")*(tbl_Finance[Xero Invoice No]&lt;&gt;"")),tbl_Finance[Xero Invoice No]))=COUNTIFS(tbl_Finance[Job Number],C122&amp;"",tbl_Finance[Xero Invoice No],"&lt;&gt;"),LOOKUP(2,1/((tbl_Finance[Job Number]=C122&amp;"")*(tbl_Finance[Xero Invoice No]&lt;&gt;"")),tbl_Finance[Xero Invoice No]),LOOKUP(2,1/((tbl_Finance[Job Number]=C122&amp;"")*(tbl_Finance[Xero Invoice No]&lt;&gt;"")),tbl_Finance[Xero Invoice No])&amp;" +more"),"")))</f>
        <v/>
      </c>
      <c r="C122" s="24" t="n"/>
      <c r="D122" s="25">
        <f>IF(C122="","",IF(COUNTIF(lst_Jobs,C122&amp;"")&gt;0,"OK","CHECK"))</f>
        <v/>
      </c>
      <c r="E122" s="25">
        <f>IF(C122="","",IFERROR(INDEX(lst_JobName,MATCH(C122&amp;"",lst_Jobs,0)),""))</f>
        <v/>
      </c>
      <c r="F122" s="25">
        <f>IF(C122="","",IFERROR(INDEX(tbl_Finance[Client],MATCH(C122&amp;"",tbl_Finance[Job Number],0)),""))</f>
        <v/>
      </c>
      <c r="G122" s="28">
        <f>IF(C122="","",COUNTIFS(tbl_Finance[Job Number],C122&amp;"",tbl_Finance[Ex GST],"&lt;&gt;"))</f>
        <v/>
      </c>
      <c r="H122" s="27">
        <f>IF(C122="","",SUMIFS(tbl_Finance[Ex GST],tbl_Finance[Job Number],C122&amp;""))</f>
        <v/>
      </c>
      <c r="I122" s="27">
        <f>IF(C122="","",SUMIFS(tbl_Finance[Ex GST],tbl_Finance[Job Number],C122&amp;"",tbl_Finance[Xero Invoice No],"&lt;&gt;"))</f>
        <v/>
      </c>
      <c r="J122" s="27">
        <f>IF(C122="","",H122-I122)</f>
        <v/>
      </c>
      <c r="K122" s="25">
        <f>IF(C122="","",IF(G122=0,"not invoiced yet",SUBSTITUTE(TRIM(IF(COUNTIFS(tbl_Finance[Job Number],C122&amp;"",tbl_Finance[Cost Centre],"ONSITE")&gt;0,"ONSITE ","")&amp;IF(COUNTIFS(tbl_Finance[Job Number],C122&amp;"",tbl_Finance[Cost Centre],"PRODUCTION")&gt;0,"PRODUCTION ","")&amp;IF(COUNTIFS(tbl_Finance[Job Number],C122&amp;"",tbl_Finance[Cost Centre],"VIDEO")&gt;0,"VIDEO ","")&amp;IF(COUNTIFS(tbl_Finance[Job Number],C122&amp;"",tbl_Finance[Cost Centre],"INTEGRATION")&gt;0,"INTEGRATION ","")&amp;IF(COUNTIFS(tbl_Finance[Job Number],C122&amp;"",tbl_Finance[Cost Centre],"CONSULTING")&gt;0,"CONSULTING ","")&amp;IF(COUNTIFS(tbl_Finance[Job Number],C122&amp;"",tbl_Finance[Cost Centre],"CTS")&gt;0,"CTS ",""))," ",", ")))</f>
        <v/>
      </c>
      <c r="L122" s="24" t="n"/>
      <c r="M122" s="25">
        <f>IF(L122="","",HYPERLINK(IF(LEFT(L122,4)="http",L122,set_QwilrBase&amp;L122),"Open quote"))</f>
        <v/>
      </c>
      <c r="N122" s="26" t="n"/>
      <c r="O122" s="26" t="n"/>
      <c r="P122" s="26" t="n"/>
      <c r="Q122" s="25">
        <f>IF(C122="","",IF(N(N122)+N(O122)+N(P122)=0,"Not split",IF(ROUND(N(N122)+N(O122)+N(P122),2)=ROUND(H122,2),"OK","MISMATCH")))</f>
        <v/>
      </c>
      <c r="R122" s="26" t="n"/>
      <c r="S122" s="26" t="n"/>
      <c r="T122" s="26" t="n"/>
      <c r="U122" s="27">
        <f>IF(C122="","",N(R122)+N(S122)+N(T122))</f>
        <v/>
      </c>
      <c r="V122" s="27">
        <f>IF(C122="","",H122-U122)</f>
        <v/>
      </c>
      <c r="W122" s="29">
        <f>IFERROR(V122/H122,"")</f>
        <v/>
      </c>
      <c r="X122" s="24" t="n"/>
    </row>
    <row r="123" ht="15" customHeight="1">
      <c r="A123" s="63">
        <f>IF(C123="","",IFERROR(IF(SUMPRODUCT(MAX((tbl_Finance[Job Number]=C123&amp;"")*(tbl_Finance[Xero Invoice No]&lt;&gt;"")*tbl_Finance[Date]))=0,"",SUMPRODUCT(MAX((tbl_Finance[Job Number]=C123&amp;"")*(tbl_Finance[Xero Invoice No]&lt;&gt;"")*tbl_Finance[Date]))),""))</f>
        <v/>
      </c>
      <c r="B123" s="25">
        <f>IF(C123="","",IF(COUNTIFS(tbl_Finance[Job Number],C123&amp;"",tbl_Finance[Xero Invoice No],"&lt;&gt;")=0,"",IFERROR(IF(COUNTIFS(tbl_Finance[Job Number],C123&amp;"",tbl_Finance[Xero Invoice No],LOOKUP(2,1/((tbl_Finance[Job Number]=C123&amp;"")*(tbl_Finance[Xero Invoice No]&lt;&gt;"")),tbl_Finance[Xero Invoice No]))=COUNTIFS(tbl_Finance[Job Number],C123&amp;"",tbl_Finance[Xero Invoice No],"&lt;&gt;"),LOOKUP(2,1/((tbl_Finance[Job Number]=C123&amp;"")*(tbl_Finance[Xero Invoice No]&lt;&gt;"")),tbl_Finance[Xero Invoice No]),LOOKUP(2,1/((tbl_Finance[Job Number]=C123&amp;"")*(tbl_Finance[Xero Invoice No]&lt;&gt;"")),tbl_Finance[Xero Invoice No])&amp;" +more"),"")))</f>
        <v/>
      </c>
      <c r="C123" s="24" t="n"/>
      <c r="D123" s="25">
        <f>IF(C123="","",IF(COUNTIF(lst_Jobs,C123&amp;"")&gt;0,"OK","CHECK"))</f>
        <v/>
      </c>
      <c r="E123" s="25">
        <f>IF(C123="","",IFERROR(INDEX(lst_JobName,MATCH(C123&amp;"",lst_Jobs,0)),""))</f>
        <v/>
      </c>
      <c r="F123" s="25">
        <f>IF(C123="","",IFERROR(INDEX(tbl_Finance[Client],MATCH(C123&amp;"",tbl_Finance[Job Number],0)),""))</f>
        <v/>
      </c>
      <c r="G123" s="28">
        <f>IF(C123="","",COUNTIFS(tbl_Finance[Job Number],C123&amp;"",tbl_Finance[Ex GST],"&lt;&gt;"))</f>
        <v/>
      </c>
      <c r="H123" s="27">
        <f>IF(C123="","",SUMIFS(tbl_Finance[Ex GST],tbl_Finance[Job Number],C123&amp;""))</f>
        <v/>
      </c>
      <c r="I123" s="27">
        <f>IF(C123="","",SUMIFS(tbl_Finance[Ex GST],tbl_Finance[Job Number],C123&amp;"",tbl_Finance[Xero Invoice No],"&lt;&gt;"))</f>
        <v/>
      </c>
      <c r="J123" s="27">
        <f>IF(C123="","",H123-I123)</f>
        <v/>
      </c>
      <c r="K123" s="25">
        <f>IF(C123="","",IF(G123=0,"not invoiced yet",SUBSTITUTE(TRIM(IF(COUNTIFS(tbl_Finance[Job Number],C123&amp;"",tbl_Finance[Cost Centre],"ONSITE")&gt;0,"ONSITE ","")&amp;IF(COUNTIFS(tbl_Finance[Job Number],C123&amp;"",tbl_Finance[Cost Centre],"PRODUCTION")&gt;0,"PRODUCTION ","")&amp;IF(COUNTIFS(tbl_Finance[Job Number],C123&amp;"",tbl_Finance[Cost Centre],"VIDEO")&gt;0,"VIDEO ","")&amp;IF(COUNTIFS(tbl_Finance[Job Number],C123&amp;"",tbl_Finance[Cost Centre],"INTEGRATION")&gt;0,"INTEGRATION ","")&amp;IF(COUNTIFS(tbl_Finance[Job Number],C123&amp;"",tbl_Finance[Cost Centre],"CONSULTING")&gt;0,"CONSULTING ","")&amp;IF(COUNTIFS(tbl_Finance[Job Number],C123&amp;"",tbl_Finance[Cost Centre],"CTS")&gt;0,"CTS ",""))," ",", ")))</f>
        <v/>
      </c>
      <c r="L123" s="24" t="n"/>
      <c r="M123" s="25">
        <f>IF(L123="","",HYPERLINK(IF(LEFT(L123,4)="http",L123,set_QwilrBase&amp;L123),"Open quote"))</f>
        <v/>
      </c>
      <c r="N123" s="26" t="n"/>
      <c r="O123" s="26" t="n"/>
      <c r="P123" s="26" t="n"/>
      <c r="Q123" s="25">
        <f>IF(C123="","",IF(N(N123)+N(O123)+N(P123)=0,"Not split",IF(ROUND(N(N123)+N(O123)+N(P123),2)=ROUND(H123,2),"OK","MISMATCH")))</f>
        <v/>
      </c>
      <c r="R123" s="26" t="n"/>
      <c r="S123" s="26" t="n"/>
      <c r="T123" s="26" t="n"/>
      <c r="U123" s="27">
        <f>IF(C123="","",N(R123)+N(S123)+N(T123))</f>
        <v/>
      </c>
      <c r="V123" s="27">
        <f>IF(C123="","",H123-U123)</f>
        <v/>
      </c>
      <c r="W123" s="29">
        <f>IFERROR(V123/H123,"")</f>
        <v/>
      </c>
      <c r="X123" s="24" t="n"/>
    </row>
    <row r="124" ht="15" customHeight="1">
      <c r="A124" s="63">
        <f>IF(C124="","",IFERROR(IF(SUMPRODUCT(MAX((tbl_Finance[Job Number]=C124&amp;"")*(tbl_Finance[Xero Invoice No]&lt;&gt;"")*tbl_Finance[Date]))=0,"",SUMPRODUCT(MAX((tbl_Finance[Job Number]=C124&amp;"")*(tbl_Finance[Xero Invoice No]&lt;&gt;"")*tbl_Finance[Date]))),""))</f>
        <v/>
      </c>
      <c r="B124" s="25">
        <f>IF(C124="","",IF(COUNTIFS(tbl_Finance[Job Number],C124&amp;"",tbl_Finance[Xero Invoice No],"&lt;&gt;")=0,"",IFERROR(IF(COUNTIFS(tbl_Finance[Job Number],C124&amp;"",tbl_Finance[Xero Invoice No],LOOKUP(2,1/((tbl_Finance[Job Number]=C124&amp;"")*(tbl_Finance[Xero Invoice No]&lt;&gt;"")),tbl_Finance[Xero Invoice No]))=COUNTIFS(tbl_Finance[Job Number],C124&amp;"",tbl_Finance[Xero Invoice No],"&lt;&gt;"),LOOKUP(2,1/((tbl_Finance[Job Number]=C124&amp;"")*(tbl_Finance[Xero Invoice No]&lt;&gt;"")),tbl_Finance[Xero Invoice No]),LOOKUP(2,1/((tbl_Finance[Job Number]=C124&amp;"")*(tbl_Finance[Xero Invoice No]&lt;&gt;"")),tbl_Finance[Xero Invoice No])&amp;" +more"),"")))</f>
        <v/>
      </c>
      <c r="C124" s="24" t="n"/>
      <c r="D124" s="25">
        <f>IF(C124="","",IF(COUNTIF(lst_Jobs,C124&amp;"")&gt;0,"OK","CHECK"))</f>
        <v/>
      </c>
      <c r="E124" s="25">
        <f>IF(C124="","",IFERROR(INDEX(lst_JobName,MATCH(C124&amp;"",lst_Jobs,0)),""))</f>
        <v/>
      </c>
      <c r="F124" s="25">
        <f>IF(C124="","",IFERROR(INDEX(tbl_Finance[Client],MATCH(C124&amp;"",tbl_Finance[Job Number],0)),""))</f>
        <v/>
      </c>
      <c r="G124" s="28">
        <f>IF(C124="","",COUNTIFS(tbl_Finance[Job Number],C124&amp;"",tbl_Finance[Ex GST],"&lt;&gt;"))</f>
        <v/>
      </c>
      <c r="H124" s="27">
        <f>IF(C124="","",SUMIFS(tbl_Finance[Ex GST],tbl_Finance[Job Number],C124&amp;""))</f>
        <v/>
      </c>
      <c r="I124" s="27">
        <f>IF(C124="","",SUMIFS(tbl_Finance[Ex GST],tbl_Finance[Job Number],C124&amp;"",tbl_Finance[Xero Invoice No],"&lt;&gt;"))</f>
        <v/>
      </c>
      <c r="J124" s="27">
        <f>IF(C124="","",H124-I124)</f>
        <v/>
      </c>
      <c r="K124" s="25">
        <f>IF(C124="","",IF(G124=0,"not invoiced yet",SUBSTITUTE(TRIM(IF(COUNTIFS(tbl_Finance[Job Number],C124&amp;"",tbl_Finance[Cost Centre],"ONSITE")&gt;0,"ONSITE ","")&amp;IF(COUNTIFS(tbl_Finance[Job Number],C124&amp;"",tbl_Finance[Cost Centre],"PRODUCTION")&gt;0,"PRODUCTION ","")&amp;IF(COUNTIFS(tbl_Finance[Job Number],C124&amp;"",tbl_Finance[Cost Centre],"VIDEO")&gt;0,"VIDEO ","")&amp;IF(COUNTIFS(tbl_Finance[Job Number],C124&amp;"",tbl_Finance[Cost Centre],"INTEGRATION")&gt;0,"INTEGRATION ","")&amp;IF(COUNTIFS(tbl_Finance[Job Number],C124&amp;"",tbl_Finance[Cost Centre],"CONSULTING")&gt;0,"CONSULTING ","")&amp;IF(COUNTIFS(tbl_Finance[Job Number],C124&amp;"",tbl_Finance[Cost Centre],"CTS")&gt;0,"CTS ",""))," ",", ")))</f>
        <v/>
      </c>
      <c r="L124" s="24" t="n"/>
      <c r="M124" s="25">
        <f>IF(L124="","",HYPERLINK(IF(LEFT(L124,4)="http",L124,set_QwilrBase&amp;L124),"Open quote"))</f>
        <v/>
      </c>
      <c r="N124" s="26" t="n"/>
      <c r="O124" s="26" t="n"/>
      <c r="P124" s="26" t="n"/>
      <c r="Q124" s="25">
        <f>IF(C124="","",IF(N(N124)+N(O124)+N(P124)=0,"Not split",IF(ROUND(N(N124)+N(O124)+N(P124),2)=ROUND(H124,2),"OK","MISMATCH")))</f>
        <v/>
      </c>
      <c r="R124" s="26" t="n"/>
      <c r="S124" s="26" t="n"/>
      <c r="T124" s="26" t="n"/>
      <c r="U124" s="27">
        <f>IF(C124="","",N(R124)+N(S124)+N(T124))</f>
        <v/>
      </c>
      <c r="V124" s="27">
        <f>IF(C124="","",H124-U124)</f>
        <v/>
      </c>
      <c r="W124" s="29">
        <f>IFERROR(V124/H124,"")</f>
        <v/>
      </c>
      <c r="X124" s="24" t="n"/>
    </row>
    <row r="125" ht="15" customHeight="1">
      <c r="A125" s="63">
        <f>IF(C125="","",IFERROR(IF(SUMPRODUCT(MAX((tbl_Finance[Job Number]=C125&amp;"")*(tbl_Finance[Xero Invoice No]&lt;&gt;"")*tbl_Finance[Date]))=0,"",SUMPRODUCT(MAX((tbl_Finance[Job Number]=C125&amp;"")*(tbl_Finance[Xero Invoice No]&lt;&gt;"")*tbl_Finance[Date]))),""))</f>
        <v/>
      </c>
      <c r="B125" s="25">
        <f>IF(C125="","",IF(COUNTIFS(tbl_Finance[Job Number],C125&amp;"",tbl_Finance[Xero Invoice No],"&lt;&gt;")=0,"",IFERROR(IF(COUNTIFS(tbl_Finance[Job Number],C125&amp;"",tbl_Finance[Xero Invoice No],LOOKUP(2,1/((tbl_Finance[Job Number]=C125&amp;"")*(tbl_Finance[Xero Invoice No]&lt;&gt;"")),tbl_Finance[Xero Invoice No]))=COUNTIFS(tbl_Finance[Job Number],C125&amp;"",tbl_Finance[Xero Invoice No],"&lt;&gt;"),LOOKUP(2,1/((tbl_Finance[Job Number]=C125&amp;"")*(tbl_Finance[Xero Invoice No]&lt;&gt;"")),tbl_Finance[Xero Invoice No]),LOOKUP(2,1/((tbl_Finance[Job Number]=C125&amp;"")*(tbl_Finance[Xero Invoice No]&lt;&gt;"")),tbl_Finance[Xero Invoice No])&amp;" +more"),"")))</f>
        <v/>
      </c>
      <c r="C125" s="24" t="n"/>
      <c r="D125" s="25">
        <f>IF(C125="","",IF(COUNTIF(lst_Jobs,C125&amp;"")&gt;0,"OK","CHECK"))</f>
        <v/>
      </c>
      <c r="E125" s="25">
        <f>IF(C125="","",IFERROR(INDEX(lst_JobName,MATCH(C125&amp;"",lst_Jobs,0)),""))</f>
        <v/>
      </c>
      <c r="F125" s="25">
        <f>IF(C125="","",IFERROR(INDEX(tbl_Finance[Client],MATCH(C125&amp;"",tbl_Finance[Job Number],0)),""))</f>
        <v/>
      </c>
      <c r="G125" s="28">
        <f>IF(C125="","",COUNTIFS(tbl_Finance[Job Number],C125&amp;"",tbl_Finance[Ex GST],"&lt;&gt;"))</f>
        <v/>
      </c>
      <c r="H125" s="27">
        <f>IF(C125="","",SUMIFS(tbl_Finance[Ex GST],tbl_Finance[Job Number],C125&amp;""))</f>
        <v/>
      </c>
      <c r="I125" s="27">
        <f>IF(C125="","",SUMIFS(tbl_Finance[Ex GST],tbl_Finance[Job Number],C125&amp;"",tbl_Finance[Xero Invoice No],"&lt;&gt;"))</f>
        <v/>
      </c>
      <c r="J125" s="27">
        <f>IF(C125="","",H125-I125)</f>
        <v/>
      </c>
      <c r="K125" s="25">
        <f>IF(C125="","",IF(G125=0,"not invoiced yet",SUBSTITUTE(TRIM(IF(COUNTIFS(tbl_Finance[Job Number],C125&amp;"",tbl_Finance[Cost Centre],"ONSITE")&gt;0,"ONSITE ","")&amp;IF(COUNTIFS(tbl_Finance[Job Number],C125&amp;"",tbl_Finance[Cost Centre],"PRODUCTION")&gt;0,"PRODUCTION ","")&amp;IF(COUNTIFS(tbl_Finance[Job Number],C125&amp;"",tbl_Finance[Cost Centre],"VIDEO")&gt;0,"VIDEO ","")&amp;IF(COUNTIFS(tbl_Finance[Job Number],C125&amp;"",tbl_Finance[Cost Centre],"INTEGRATION")&gt;0,"INTEGRATION ","")&amp;IF(COUNTIFS(tbl_Finance[Job Number],C125&amp;"",tbl_Finance[Cost Centre],"CONSULTING")&gt;0,"CONSULTING ","")&amp;IF(COUNTIFS(tbl_Finance[Job Number],C125&amp;"",tbl_Finance[Cost Centre],"CTS")&gt;0,"CTS ",""))," ",", ")))</f>
        <v/>
      </c>
      <c r="L125" s="24" t="n"/>
      <c r="M125" s="25">
        <f>IF(L125="","",HYPERLINK(IF(LEFT(L125,4)="http",L125,set_QwilrBase&amp;L125),"Open quote"))</f>
        <v/>
      </c>
      <c r="N125" s="26" t="n"/>
      <c r="O125" s="26" t="n"/>
      <c r="P125" s="26" t="n"/>
      <c r="Q125" s="25">
        <f>IF(C125="","",IF(N(N125)+N(O125)+N(P125)=0,"Not split",IF(ROUND(N(N125)+N(O125)+N(P125),2)=ROUND(H125,2),"OK","MISMATCH")))</f>
        <v/>
      </c>
      <c r="R125" s="26" t="n"/>
      <c r="S125" s="26" t="n"/>
      <c r="T125" s="26" t="n"/>
      <c r="U125" s="27">
        <f>IF(C125="","",N(R125)+N(S125)+N(T125))</f>
        <v/>
      </c>
      <c r="V125" s="27">
        <f>IF(C125="","",H125-U125)</f>
        <v/>
      </c>
      <c r="W125" s="29">
        <f>IFERROR(V125/H125,"")</f>
        <v/>
      </c>
      <c r="X125" s="24" t="n"/>
    </row>
    <row r="126" ht="15" customHeight="1">
      <c r="A126" s="63">
        <f>IF(C126="","",IFERROR(IF(SUMPRODUCT(MAX((tbl_Finance[Job Number]=C126&amp;"")*(tbl_Finance[Xero Invoice No]&lt;&gt;"")*tbl_Finance[Date]))=0,"",SUMPRODUCT(MAX((tbl_Finance[Job Number]=C126&amp;"")*(tbl_Finance[Xero Invoice No]&lt;&gt;"")*tbl_Finance[Date]))),""))</f>
        <v/>
      </c>
      <c r="B126" s="25">
        <f>IF(C126="","",IF(COUNTIFS(tbl_Finance[Job Number],C126&amp;"",tbl_Finance[Xero Invoice No],"&lt;&gt;")=0,"",IFERROR(IF(COUNTIFS(tbl_Finance[Job Number],C126&amp;"",tbl_Finance[Xero Invoice No],LOOKUP(2,1/((tbl_Finance[Job Number]=C126&amp;"")*(tbl_Finance[Xero Invoice No]&lt;&gt;"")),tbl_Finance[Xero Invoice No]))=COUNTIFS(tbl_Finance[Job Number],C126&amp;"",tbl_Finance[Xero Invoice No],"&lt;&gt;"),LOOKUP(2,1/((tbl_Finance[Job Number]=C126&amp;"")*(tbl_Finance[Xero Invoice No]&lt;&gt;"")),tbl_Finance[Xero Invoice No]),LOOKUP(2,1/((tbl_Finance[Job Number]=C126&amp;"")*(tbl_Finance[Xero Invoice No]&lt;&gt;"")),tbl_Finance[Xero Invoice No])&amp;" +more"),"")))</f>
        <v/>
      </c>
      <c r="C126" s="24" t="n"/>
      <c r="D126" s="25">
        <f>IF(C126="","",IF(COUNTIF(lst_Jobs,C126&amp;"")&gt;0,"OK","CHECK"))</f>
        <v/>
      </c>
      <c r="E126" s="25">
        <f>IF(C126="","",IFERROR(INDEX(lst_JobName,MATCH(C126&amp;"",lst_Jobs,0)),""))</f>
        <v/>
      </c>
      <c r="F126" s="25">
        <f>IF(C126="","",IFERROR(INDEX(tbl_Finance[Client],MATCH(C126&amp;"",tbl_Finance[Job Number],0)),""))</f>
        <v/>
      </c>
      <c r="G126" s="28">
        <f>IF(C126="","",COUNTIFS(tbl_Finance[Job Number],C126&amp;"",tbl_Finance[Ex GST],"&lt;&gt;"))</f>
        <v/>
      </c>
      <c r="H126" s="27">
        <f>IF(C126="","",SUMIFS(tbl_Finance[Ex GST],tbl_Finance[Job Number],C126&amp;""))</f>
        <v/>
      </c>
      <c r="I126" s="27">
        <f>IF(C126="","",SUMIFS(tbl_Finance[Ex GST],tbl_Finance[Job Number],C126&amp;"",tbl_Finance[Xero Invoice No],"&lt;&gt;"))</f>
        <v/>
      </c>
      <c r="J126" s="27">
        <f>IF(C126="","",H126-I126)</f>
        <v/>
      </c>
      <c r="K126" s="25">
        <f>IF(C126="","",IF(G126=0,"not invoiced yet",SUBSTITUTE(TRIM(IF(COUNTIFS(tbl_Finance[Job Number],C126&amp;"",tbl_Finance[Cost Centre],"ONSITE")&gt;0,"ONSITE ","")&amp;IF(COUNTIFS(tbl_Finance[Job Number],C126&amp;"",tbl_Finance[Cost Centre],"PRODUCTION")&gt;0,"PRODUCTION ","")&amp;IF(COUNTIFS(tbl_Finance[Job Number],C126&amp;"",tbl_Finance[Cost Centre],"VIDEO")&gt;0,"VIDEO ","")&amp;IF(COUNTIFS(tbl_Finance[Job Number],C126&amp;"",tbl_Finance[Cost Centre],"INTEGRATION")&gt;0,"INTEGRATION ","")&amp;IF(COUNTIFS(tbl_Finance[Job Number],C126&amp;"",tbl_Finance[Cost Centre],"CONSULTING")&gt;0,"CONSULTING ","")&amp;IF(COUNTIFS(tbl_Finance[Job Number],C126&amp;"",tbl_Finance[Cost Centre],"CTS")&gt;0,"CTS ",""))," ",", ")))</f>
        <v/>
      </c>
      <c r="L126" s="24" t="n"/>
      <c r="M126" s="25">
        <f>IF(L126="","",HYPERLINK(IF(LEFT(L126,4)="http",L126,set_QwilrBase&amp;L126),"Open quote"))</f>
        <v/>
      </c>
      <c r="N126" s="26" t="n"/>
      <c r="O126" s="26" t="n"/>
      <c r="P126" s="26" t="n"/>
      <c r="Q126" s="25">
        <f>IF(C126="","",IF(N(N126)+N(O126)+N(P126)=0,"Not split",IF(ROUND(N(N126)+N(O126)+N(P126),2)=ROUND(H126,2),"OK","MISMATCH")))</f>
        <v/>
      </c>
      <c r="R126" s="26" t="n"/>
      <c r="S126" s="26" t="n"/>
      <c r="T126" s="26" t="n"/>
      <c r="U126" s="27">
        <f>IF(C126="","",N(R126)+N(S126)+N(T126))</f>
        <v/>
      </c>
      <c r="V126" s="27">
        <f>IF(C126="","",H126-U126)</f>
        <v/>
      </c>
      <c r="W126" s="29">
        <f>IFERROR(V126/H126,"")</f>
        <v/>
      </c>
      <c r="X126" s="24" t="n"/>
    </row>
    <row r="127" ht="15" customHeight="1">
      <c r="A127" s="63">
        <f>IF(C127="","",IFERROR(IF(SUMPRODUCT(MAX((tbl_Finance[Job Number]=C127&amp;"")*(tbl_Finance[Xero Invoice No]&lt;&gt;"")*tbl_Finance[Date]))=0,"",SUMPRODUCT(MAX((tbl_Finance[Job Number]=C127&amp;"")*(tbl_Finance[Xero Invoice No]&lt;&gt;"")*tbl_Finance[Date]))),""))</f>
        <v/>
      </c>
      <c r="B127" s="25">
        <f>IF(C127="","",IF(COUNTIFS(tbl_Finance[Job Number],C127&amp;"",tbl_Finance[Xero Invoice No],"&lt;&gt;")=0,"",IFERROR(IF(COUNTIFS(tbl_Finance[Job Number],C127&amp;"",tbl_Finance[Xero Invoice No],LOOKUP(2,1/((tbl_Finance[Job Number]=C127&amp;"")*(tbl_Finance[Xero Invoice No]&lt;&gt;"")),tbl_Finance[Xero Invoice No]))=COUNTIFS(tbl_Finance[Job Number],C127&amp;"",tbl_Finance[Xero Invoice No],"&lt;&gt;"),LOOKUP(2,1/((tbl_Finance[Job Number]=C127&amp;"")*(tbl_Finance[Xero Invoice No]&lt;&gt;"")),tbl_Finance[Xero Invoice No]),LOOKUP(2,1/((tbl_Finance[Job Number]=C127&amp;"")*(tbl_Finance[Xero Invoice No]&lt;&gt;"")),tbl_Finance[Xero Invoice No])&amp;" +more"),"")))</f>
        <v/>
      </c>
      <c r="C127" s="24" t="n"/>
      <c r="D127" s="25">
        <f>IF(C127="","",IF(COUNTIF(lst_Jobs,C127&amp;"")&gt;0,"OK","CHECK"))</f>
        <v/>
      </c>
      <c r="E127" s="25">
        <f>IF(C127="","",IFERROR(INDEX(lst_JobName,MATCH(C127&amp;"",lst_Jobs,0)),""))</f>
        <v/>
      </c>
      <c r="F127" s="25">
        <f>IF(C127="","",IFERROR(INDEX(tbl_Finance[Client],MATCH(C127&amp;"",tbl_Finance[Job Number],0)),""))</f>
        <v/>
      </c>
      <c r="G127" s="28">
        <f>IF(C127="","",COUNTIFS(tbl_Finance[Job Number],C127&amp;"",tbl_Finance[Ex GST],"&lt;&gt;"))</f>
        <v/>
      </c>
      <c r="H127" s="27">
        <f>IF(C127="","",SUMIFS(tbl_Finance[Ex GST],tbl_Finance[Job Number],C127&amp;""))</f>
        <v/>
      </c>
      <c r="I127" s="27">
        <f>IF(C127="","",SUMIFS(tbl_Finance[Ex GST],tbl_Finance[Job Number],C127&amp;"",tbl_Finance[Xero Invoice No],"&lt;&gt;"))</f>
        <v/>
      </c>
      <c r="J127" s="27">
        <f>IF(C127="","",H127-I127)</f>
        <v/>
      </c>
      <c r="K127" s="25">
        <f>IF(C127="","",IF(G127=0,"not invoiced yet",SUBSTITUTE(TRIM(IF(COUNTIFS(tbl_Finance[Job Number],C127&amp;"",tbl_Finance[Cost Centre],"ONSITE")&gt;0,"ONSITE ","")&amp;IF(COUNTIFS(tbl_Finance[Job Number],C127&amp;"",tbl_Finance[Cost Centre],"PRODUCTION")&gt;0,"PRODUCTION ","")&amp;IF(COUNTIFS(tbl_Finance[Job Number],C127&amp;"",tbl_Finance[Cost Centre],"VIDEO")&gt;0,"VIDEO ","")&amp;IF(COUNTIFS(tbl_Finance[Job Number],C127&amp;"",tbl_Finance[Cost Centre],"INTEGRATION")&gt;0,"INTEGRATION ","")&amp;IF(COUNTIFS(tbl_Finance[Job Number],C127&amp;"",tbl_Finance[Cost Centre],"CONSULTING")&gt;0,"CONSULTING ","")&amp;IF(COUNTIFS(tbl_Finance[Job Number],C127&amp;"",tbl_Finance[Cost Centre],"CTS")&gt;0,"CTS ",""))," ",", ")))</f>
        <v/>
      </c>
      <c r="L127" s="24" t="n"/>
      <c r="M127" s="25">
        <f>IF(L127="","",HYPERLINK(IF(LEFT(L127,4)="http",L127,set_QwilrBase&amp;L127),"Open quote"))</f>
        <v/>
      </c>
      <c r="N127" s="26" t="n"/>
      <c r="O127" s="26" t="n"/>
      <c r="P127" s="26" t="n"/>
      <c r="Q127" s="25">
        <f>IF(C127="","",IF(N(N127)+N(O127)+N(P127)=0,"Not split",IF(ROUND(N(N127)+N(O127)+N(P127),2)=ROUND(H127,2),"OK","MISMATCH")))</f>
        <v/>
      </c>
      <c r="R127" s="26" t="n"/>
      <c r="S127" s="26" t="n"/>
      <c r="T127" s="26" t="n"/>
      <c r="U127" s="27">
        <f>IF(C127="","",N(R127)+N(S127)+N(T127))</f>
        <v/>
      </c>
      <c r="V127" s="27">
        <f>IF(C127="","",H127-U127)</f>
        <v/>
      </c>
      <c r="W127" s="29">
        <f>IFERROR(V127/H127,"")</f>
        <v/>
      </c>
      <c r="X127" s="24" t="n"/>
    </row>
    <row r="128" ht="15" customHeight="1">
      <c r="A128" s="63">
        <f>IF(C128="","",IFERROR(IF(SUMPRODUCT(MAX((tbl_Finance[Job Number]=C128&amp;"")*(tbl_Finance[Xero Invoice No]&lt;&gt;"")*tbl_Finance[Date]))=0,"",SUMPRODUCT(MAX((tbl_Finance[Job Number]=C128&amp;"")*(tbl_Finance[Xero Invoice No]&lt;&gt;"")*tbl_Finance[Date]))),""))</f>
        <v/>
      </c>
      <c r="B128" s="25">
        <f>IF(C128="","",IF(COUNTIFS(tbl_Finance[Job Number],C128&amp;"",tbl_Finance[Xero Invoice No],"&lt;&gt;")=0,"",IFERROR(IF(COUNTIFS(tbl_Finance[Job Number],C128&amp;"",tbl_Finance[Xero Invoice No],LOOKUP(2,1/((tbl_Finance[Job Number]=C128&amp;"")*(tbl_Finance[Xero Invoice No]&lt;&gt;"")),tbl_Finance[Xero Invoice No]))=COUNTIFS(tbl_Finance[Job Number],C128&amp;"",tbl_Finance[Xero Invoice No],"&lt;&gt;"),LOOKUP(2,1/((tbl_Finance[Job Number]=C128&amp;"")*(tbl_Finance[Xero Invoice No]&lt;&gt;"")),tbl_Finance[Xero Invoice No]),LOOKUP(2,1/((tbl_Finance[Job Number]=C128&amp;"")*(tbl_Finance[Xero Invoice No]&lt;&gt;"")),tbl_Finance[Xero Invoice No])&amp;" +more"),"")))</f>
        <v/>
      </c>
      <c r="C128" s="24" t="n"/>
      <c r="D128" s="25">
        <f>IF(C128="","",IF(COUNTIF(lst_Jobs,C128&amp;"")&gt;0,"OK","CHECK"))</f>
        <v/>
      </c>
      <c r="E128" s="25">
        <f>IF(C128="","",IFERROR(INDEX(lst_JobName,MATCH(C128&amp;"",lst_Jobs,0)),""))</f>
        <v/>
      </c>
      <c r="F128" s="25">
        <f>IF(C128="","",IFERROR(INDEX(tbl_Finance[Client],MATCH(C128&amp;"",tbl_Finance[Job Number],0)),""))</f>
        <v/>
      </c>
      <c r="G128" s="28">
        <f>IF(C128="","",COUNTIFS(tbl_Finance[Job Number],C128&amp;"",tbl_Finance[Ex GST],"&lt;&gt;"))</f>
        <v/>
      </c>
      <c r="H128" s="27">
        <f>IF(C128="","",SUMIFS(tbl_Finance[Ex GST],tbl_Finance[Job Number],C128&amp;""))</f>
        <v/>
      </c>
      <c r="I128" s="27">
        <f>IF(C128="","",SUMIFS(tbl_Finance[Ex GST],tbl_Finance[Job Number],C128&amp;"",tbl_Finance[Xero Invoice No],"&lt;&gt;"))</f>
        <v/>
      </c>
      <c r="J128" s="27">
        <f>IF(C128="","",H128-I128)</f>
        <v/>
      </c>
      <c r="K128" s="25">
        <f>IF(C128="","",IF(G128=0,"not invoiced yet",SUBSTITUTE(TRIM(IF(COUNTIFS(tbl_Finance[Job Number],C128&amp;"",tbl_Finance[Cost Centre],"ONSITE")&gt;0,"ONSITE ","")&amp;IF(COUNTIFS(tbl_Finance[Job Number],C128&amp;"",tbl_Finance[Cost Centre],"PRODUCTION")&gt;0,"PRODUCTION ","")&amp;IF(COUNTIFS(tbl_Finance[Job Number],C128&amp;"",tbl_Finance[Cost Centre],"VIDEO")&gt;0,"VIDEO ","")&amp;IF(COUNTIFS(tbl_Finance[Job Number],C128&amp;"",tbl_Finance[Cost Centre],"INTEGRATION")&gt;0,"INTEGRATION ","")&amp;IF(COUNTIFS(tbl_Finance[Job Number],C128&amp;"",tbl_Finance[Cost Centre],"CONSULTING")&gt;0,"CONSULTING ","")&amp;IF(COUNTIFS(tbl_Finance[Job Number],C128&amp;"",tbl_Finance[Cost Centre],"CTS")&gt;0,"CTS ",""))," ",", ")))</f>
        <v/>
      </c>
      <c r="L128" s="24" t="n"/>
      <c r="M128" s="25">
        <f>IF(L128="","",HYPERLINK(IF(LEFT(L128,4)="http",L128,set_QwilrBase&amp;L128),"Open quote"))</f>
        <v/>
      </c>
      <c r="N128" s="26" t="n"/>
      <c r="O128" s="26" t="n"/>
      <c r="P128" s="26" t="n"/>
      <c r="Q128" s="25">
        <f>IF(C128="","",IF(N(N128)+N(O128)+N(P128)=0,"Not split",IF(ROUND(N(N128)+N(O128)+N(P128),2)=ROUND(H128,2),"OK","MISMATCH")))</f>
        <v/>
      </c>
      <c r="R128" s="26" t="n"/>
      <c r="S128" s="26" t="n"/>
      <c r="T128" s="26" t="n"/>
      <c r="U128" s="27">
        <f>IF(C128="","",N(R128)+N(S128)+N(T128))</f>
        <v/>
      </c>
      <c r="V128" s="27">
        <f>IF(C128="","",H128-U128)</f>
        <v/>
      </c>
      <c r="W128" s="29">
        <f>IFERROR(V128/H128,"")</f>
        <v/>
      </c>
      <c r="X128" s="24" t="n"/>
    </row>
    <row r="129" ht="15" customHeight="1">
      <c r="A129" s="63">
        <f>IF(C129="","",IFERROR(IF(SUMPRODUCT(MAX((tbl_Finance[Job Number]=C129&amp;"")*(tbl_Finance[Xero Invoice No]&lt;&gt;"")*tbl_Finance[Date]))=0,"",SUMPRODUCT(MAX((tbl_Finance[Job Number]=C129&amp;"")*(tbl_Finance[Xero Invoice No]&lt;&gt;"")*tbl_Finance[Date]))),""))</f>
        <v/>
      </c>
      <c r="B129" s="25">
        <f>IF(C129="","",IF(COUNTIFS(tbl_Finance[Job Number],C129&amp;"",tbl_Finance[Xero Invoice No],"&lt;&gt;")=0,"",IFERROR(IF(COUNTIFS(tbl_Finance[Job Number],C129&amp;"",tbl_Finance[Xero Invoice No],LOOKUP(2,1/((tbl_Finance[Job Number]=C129&amp;"")*(tbl_Finance[Xero Invoice No]&lt;&gt;"")),tbl_Finance[Xero Invoice No]))=COUNTIFS(tbl_Finance[Job Number],C129&amp;"",tbl_Finance[Xero Invoice No],"&lt;&gt;"),LOOKUP(2,1/((tbl_Finance[Job Number]=C129&amp;"")*(tbl_Finance[Xero Invoice No]&lt;&gt;"")),tbl_Finance[Xero Invoice No]),LOOKUP(2,1/((tbl_Finance[Job Number]=C129&amp;"")*(tbl_Finance[Xero Invoice No]&lt;&gt;"")),tbl_Finance[Xero Invoice No])&amp;" +more"),"")))</f>
        <v/>
      </c>
      <c r="C129" s="24" t="n"/>
      <c r="D129" s="25">
        <f>IF(C129="","",IF(COUNTIF(lst_Jobs,C129&amp;"")&gt;0,"OK","CHECK"))</f>
        <v/>
      </c>
      <c r="E129" s="25">
        <f>IF(C129="","",IFERROR(INDEX(lst_JobName,MATCH(C129&amp;"",lst_Jobs,0)),""))</f>
        <v/>
      </c>
      <c r="F129" s="25">
        <f>IF(C129="","",IFERROR(INDEX(tbl_Finance[Client],MATCH(C129&amp;"",tbl_Finance[Job Number],0)),""))</f>
        <v/>
      </c>
      <c r="G129" s="28">
        <f>IF(C129="","",COUNTIFS(tbl_Finance[Job Number],C129&amp;"",tbl_Finance[Ex GST],"&lt;&gt;"))</f>
        <v/>
      </c>
      <c r="H129" s="27">
        <f>IF(C129="","",SUMIFS(tbl_Finance[Ex GST],tbl_Finance[Job Number],C129&amp;""))</f>
        <v/>
      </c>
      <c r="I129" s="27">
        <f>IF(C129="","",SUMIFS(tbl_Finance[Ex GST],tbl_Finance[Job Number],C129&amp;"",tbl_Finance[Xero Invoice No],"&lt;&gt;"))</f>
        <v/>
      </c>
      <c r="J129" s="27">
        <f>IF(C129="","",H129-I129)</f>
        <v/>
      </c>
      <c r="K129" s="25">
        <f>IF(C129="","",IF(G129=0,"not invoiced yet",SUBSTITUTE(TRIM(IF(COUNTIFS(tbl_Finance[Job Number],C129&amp;"",tbl_Finance[Cost Centre],"ONSITE")&gt;0,"ONSITE ","")&amp;IF(COUNTIFS(tbl_Finance[Job Number],C129&amp;"",tbl_Finance[Cost Centre],"PRODUCTION")&gt;0,"PRODUCTION ","")&amp;IF(COUNTIFS(tbl_Finance[Job Number],C129&amp;"",tbl_Finance[Cost Centre],"VIDEO")&gt;0,"VIDEO ","")&amp;IF(COUNTIFS(tbl_Finance[Job Number],C129&amp;"",tbl_Finance[Cost Centre],"INTEGRATION")&gt;0,"INTEGRATION ","")&amp;IF(COUNTIFS(tbl_Finance[Job Number],C129&amp;"",tbl_Finance[Cost Centre],"CONSULTING")&gt;0,"CONSULTING ","")&amp;IF(COUNTIFS(tbl_Finance[Job Number],C129&amp;"",tbl_Finance[Cost Centre],"CTS")&gt;0,"CTS ",""))," ",", ")))</f>
        <v/>
      </c>
      <c r="L129" s="24" t="n"/>
      <c r="M129" s="25">
        <f>IF(L129="","",HYPERLINK(IF(LEFT(L129,4)="http",L129,set_QwilrBase&amp;L129),"Open quote"))</f>
        <v/>
      </c>
      <c r="N129" s="26" t="n"/>
      <c r="O129" s="26" t="n"/>
      <c r="P129" s="26" t="n"/>
      <c r="Q129" s="25">
        <f>IF(C129="","",IF(N(N129)+N(O129)+N(P129)=0,"Not split",IF(ROUND(N(N129)+N(O129)+N(P129),2)=ROUND(H129,2),"OK","MISMATCH")))</f>
        <v/>
      </c>
      <c r="R129" s="26" t="n"/>
      <c r="S129" s="26" t="n"/>
      <c r="T129" s="26" t="n"/>
      <c r="U129" s="27">
        <f>IF(C129="","",N(R129)+N(S129)+N(T129))</f>
        <v/>
      </c>
      <c r="V129" s="27">
        <f>IF(C129="","",H129-U129)</f>
        <v/>
      </c>
      <c r="W129" s="29">
        <f>IFERROR(V129/H129,"")</f>
        <v/>
      </c>
      <c r="X129" s="24" t="n"/>
    </row>
    <row r="130" ht="15" customHeight="1">
      <c r="A130" s="63">
        <f>IF(C130="","",IFERROR(IF(SUMPRODUCT(MAX((tbl_Finance[Job Number]=C130&amp;"")*(tbl_Finance[Xero Invoice No]&lt;&gt;"")*tbl_Finance[Date]))=0,"",SUMPRODUCT(MAX((tbl_Finance[Job Number]=C130&amp;"")*(tbl_Finance[Xero Invoice No]&lt;&gt;"")*tbl_Finance[Date]))),""))</f>
        <v/>
      </c>
      <c r="B130" s="25">
        <f>IF(C130="","",IF(COUNTIFS(tbl_Finance[Job Number],C130&amp;"",tbl_Finance[Xero Invoice No],"&lt;&gt;")=0,"",IFERROR(IF(COUNTIFS(tbl_Finance[Job Number],C130&amp;"",tbl_Finance[Xero Invoice No],LOOKUP(2,1/((tbl_Finance[Job Number]=C130&amp;"")*(tbl_Finance[Xero Invoice No]&lt;&gt;"")),tbl_Finance[Xero Invoice No]))=COUNTIFS(tbl_Finance[Job Number],C130&amp;"",tbl_Finance[Xero Invoice No],"&lt;&gt;"),LOOKUP(2,1/((tbl_Finance[Job Number]=C130&amp;"")*(tbl_Finance[Xero Invoice No]&lt;&gt;"")),tbl_Finance[Xero Invoice No]),LOOKUP(2,1/((tbl_Finance[Job Number]=C130&amp;"")*(tbl_Finance[Xero Invoice No]&lt;&gt;"")),tbl_Finance[Xero Invoice No])&amp;" +more"),"")))</f>
        <v/>
      </c>
      <c r="C130" s="24" t="n"/>
      <c r="D130" s="25">
        <f>IF(C130="","",IF(COUNTIF(lst_Jobs,C130&amp;"")&gt;0,"OK","CHECK"))</f>
        <v/>
      </c>
      <c r="E130" s="25">
        <f>IF(C130="","",IFERROR(INDEX(lst_JobName,MATCH(C130&amp;"",lst_Jobs,0)),""))</f>
        <v/>
      </c>
      <c r="F130" s="25">
        <f>IF(C130="","",IFERROR(INDEX(tbl_Finance[Client],MATCH(C130&amp;"",tbl_Finance[Job Number],0)),""))</f>
        <v/>
      </c>
      <c r="G130" s="28">
        <f>IF(C130="","",COUNTIFS(tbl_Finance[Job Number],C130&amp;"",tbl_Finance[Ex GST],"&lt;&gt;"))</f>
        <v/>
      </c>
      <c r="H130" s="27">
        <f>IF(C130="","",SUMIFS(tbl_Finance[Ex GST],tbl_Finance[Job Number],C130&amp;""))</f>
        <v/>
      </c>
      <c r="I130" s="27">
        <f>IF(C130="","",SUMIFS(tbl_Finance[Ex GST],tbl_Finance[Job Number],C130&amp;"",tbl_Finance[Xero Invoice No],"&lt;&gt;"))</f>
        <v/>
      </c>
      <c r="J130" s="27">
        <f>IF(C130="","",H130-I130)</f>
        <v/>
      </c>
      <c r="K130" s="25">
        <f>IF(C130="","",IF(G130=0,"not invoiced yet",SUBSTITUTE(TRIM(IF(COUNTIFS(tbl_Finance[Job Number],C130&amp;"",tbl_Finance[Cost Centre],"ONSITE")&gt;0,"ONSITE ","")&amp;IF(COUNTIFS(tbl_Finance[Job Number],C130&amp;"",tbl_Finance[Cost Centre],"PRODUCTION")&gt;0,"PRODUCTION ","")&amp;IF(COUNTIFS(tbl_Finance[Job Number],C130&amp;"",tbl_Finance[Cost Centre],"VIDEO")&gt;0,"VIDEO ","")&amp;IF(COUNTIFS(tbl_Finance[Job Number],C130&amp;"",tbl_Finance[Cost Centre],"INTEGRATION")&gt;0,"INTEGRATION ","")&amp;IF(COUNTIFS(tbl_Finance[Job Number],C130&amp;"",tbl_Finance[Cost Centre],"CONSULTING")&gt;0,"CONSULTING ","")&amp;IF(COUNTIFS(tbl_Finance[Job Number],C130&amp;"",tbl_Finance[Cost Centre],"CTS")&gt;0,"CTS ",""))," ",", ")))</f>
        <v/>
      </c>
      <c r="L130" s="24" t="n"/>
      <c r="M130" s="25">
        <f>IF(L130="","",HYPERLINK(IF(LEFT(L130,4)="http",L130,set_QwilrBase&amp;L130),"Open quote"))</f>
        <v/>
      </c>
      <c r="N130" s="26" t="n"/>
      <c r="O130" s="26" t="n"/>
      <c r="P130" s="26" t="n"/>
      <c r="Q130" s="25">
        <f>IF(C130="","",IF(N(N130)+N(O130)+N(P130)=0,"Not split",IF(ROUND(N(N130)+N(O130)+N(P130),2)=ROUND(H130,2),"OK","MISMATCH")))</f>
        <v/>
      </c>
      <c r="R130" s="26" t="n"/>
      <c r="S130" s="26" t="n"/>
      <c r="T130" s="26" t="n"/>
      <c r="U130" s="27">
        <f>IF(C130="","",N(R130)+N(S130)+N(T130))</f>
        <v/>
      </c>
      <c r="V130" s="27">
        <f>IF(C130="","",H130-U130)</f>
        <v/>
      </c>
      <c r="W130" s="29">
        <f>IFERROR(V130/H130,"")</f>
        <v/>
      </c>
      <c r="X130" s="24" t="n"/>
    </row>
    <row r="131" ht="15" customHeight="1">
      <c r="A131" s="63">
        <f>IF(C131="","",IFERROR(IF(SUMPRODUCT(MAX((tbl_Finance[Job Number]=C131&amp;"")*(tbl_Finance[Xero Invoice No]&lt;&gt;"")*tbl_Finance[Date]))=0,"",SUMPRODUCT(MAX((tbl_Finance[Job Number]=C131&amp;"")*(tbl_Finance[Xero Invoice No]&lt;&gt;"")*tbl_Finance[Date]))),""))</f>
        <v/>
      </c>
      <c r="B131" s="25">
        <f>IF(C131="","",IF(COUNTIFS(tbl_Finance[Job Number],C131&amp;"",tbl_Finance[Xero Invoice No],"&lt;&gt;")=0,"",IFERROR(IF(COUNTIFS(tbl_Finance[Job Number],C131&amp;"",tbl_Finance[Xero Invoice No],LOOKUP(2,1/((tbl_Finance[Job Number]=C131&amp;"")*(tbl_Finance[Xero Invoice No]&lt;&gt;"")),tbl_Finance[Xero Invoice No]))=COUNTIFS(tbl_Finance[Job Number],C131&amp;"",tbl_Finance[Xero Invoice No],"&lt;&gt;"),LOOKUP(2,1/((tbl_Finance[Job Number]=C131&amp;"")*(tbl_Finance[Xero Invoice No]&lt;&gt;"")),tbl_Finance[Xero Invoice No]),LOOKUP(2,1/((tbl_Finance[Job Number]=C131&amp;"")*(tbl_Finance[Xero Invoice No]&lt;&gt;"")),tbl_Finance[Xero Invoice No])&amp;" +more"),"")))</f>
        <v/>
      </c>
      <c r="C131" s="24" t="n"/>
      <c r="D131" s="25">
        <f>IF(C131="","",IF(COUNTIF(lst_Jobs,C131&amp;"")&gt;0,"OK","CHECK"))</f>
        <v/>
      </c>
      <c r="E131" s="25">
        <f>IF(C131="","",IFERROR(INDEX(lst_JobName,MATCH(C131&amp;"",lst_Jobs,0)),""))</f>
        <v/>
      </c>
      <c r="F131" s="25">
        <f>IF(C131="","",IFERROR(INDEX(tbl_Finance[Client],MATCH(C131&amp;"",tbl_Finance[Job Number],0)),""))</f>
        <v/>
      </c>
      <c r="G131" s="28">
        <f>IF(C131="","",COUNTIFS(tbl_Finance[Job Number],C131&amp;"",tbl_Finance[Ex GST],"&lt;&gt;"))</f>
        <v/>
      </c>
      <c r="H131" s="27">
        <f>IF(C131="","",SUMIFS(tbl_Finance[Ex GST],tbl_Finance[Job Number],C131&amp;""))</f>
        <v/>
      </c>
      <c r="I131" s="27">
        <f>IF(C131="","",SUMIFS(tbl_Finance[Ex GST],tbl_Finance[Job Number],C131&amp;"",tbl_Finance[Xero Invoice No],"&lt;&gt;"))</f>
        <v/>
      </c>
      <c r="J131" s="27">
        <f>IF(C131="","",H131-I131)</f>
        <v/>
      </c>
      <c r="K131" s="25">
        <f>IF(C131="","",IF(G131=0,"not invoiced yet",SUBSTITUTE(TRIM(IF(COUNTIFS(tbl_Finance[Job Number],C131&amp;"",tbl_Finance[Cost Centre],"ONSITE")&gt;0,"ONSITE ","")&amp;IF(COUNTIFS(tbl_Finance[Job Number],C131&amp;"",tbl_Finance[Cost Centre],"PRODUCTION")&gt;0,"PRODUCTION ","")&amp;IF(COUNTIFS(tbl_Finance[Job Number],C131&amp;"",tbl_Finance[Cost Centre],"VIDEO")&gt;0,"VIDEO ","")&amp;IF(COUNTIFS(tbl_Finance[Job Number],C131&amp;"",tbl_Finance[Cost Centre],"INTEGRATION")&gt;0,"INTEGRATION ","")&amp;IF(COUNTIFS(tbl_Finance[Job Number],C131&amp;"",tbl_Finance[Cost Centre],"CONSULTING")&gt;0,"CONSULTING ","")&amp;IF(COUNTIFS(tbl_Finance[Job Number],C131&amp;"",tbl_Finance[Cost Centre],"CTS")&gt;0,"CTS ",""))," ",", ")))</f>
        <v/>
      </c>
      <c r="L131" s="24" t="n"/>
      <c r="M131" s="25">
        <f>IF(L131="","",HYPERLINK(IF(LEFT(L131,4)="http",L131,set_QwilrBase&amp;L131),"Open quote"))</f>
        <v/>
      </c>
      <c r="N131" s="26" t="n"/>
      <c r="O131" s="26" t="n"/>
      <c r="P131" s="26" t="n"/>
      <c r="Q131" s="25">
        <f>IF(C131="","",IF(N(N131)+N(O131)+N(P131)=0,"Not split",IF(ROUND(N(N131)+N(O131)+N(P131),2)=ROUND(H131,2),"OK","MISMATCH")))</f>
        <v/>
      </c>
      <c r="R131" s="26" t="n"/>
      <c r="S131" s="26" t="n"/>
      <c r="T131" s="26" t="n"/>
      <c r="U131" s="27">
        <f>IF(C131="","",N(R131)+N(S131)+N(T131))</f>
        <v/>
      </c>
      <c r="V131" s="27">
        <f>IF(C131="","",H131-U131)</f>
        <v/>
      </c>
      <c r="W131" s="29">
        <f>IFERROR(V131/H131,"")</f>
        <v/>
      </c>
      <c r="X131" s="24" t="n"/>
    </row>
    <row r="132" ht="15" customHeight="1">
      <c r="A132" s="63">
        <f>IF(C132="","",IFERROR(IF(SUMPRODUCT(MAX((tbl_Finance[Job Number]=C132&amp;"")*(tbl_Finance[Xero Invoice No]&lt;&gt;"")*tbl_Finance[Date]))=0,"",SUMPRODUCT(MAX((tbl_Finance[Job Number]=C132&amp;"")*(tbl_Finance[Xero Invoice No]&lt;&gt;"")*tbl_Finance[Date]))),""))</f>
        <v/>
      </c>
      <c r="B132" s="25">
        <f>IF(C132="","",IF(COUNTIFS(tbl_Finance[Job Number],C132&amp;"",tbl_Finance[Xero Invoice No],"&lt;&gt;")=0,"",IFERROR(IF(COUNTIFS(tbl_Finance[Job Number],C132&amp;"",tbl_Finance[Xero Invoice No],LOOKUP(2,1/((tbl_Finance[Job Number]=C132&amp;"")*(tbl_Finance[Xero Invoice No]&lt;&gt;"")),tbl_Finance[Xero Invoice No]))=COUNTIFS(tbl_Finance[Job Number],C132&amp;"",tbl_Finance[Xero Invoice No],"&lt;&gt;"),LOOKUP(2,1/((tbl_Finance[Job Number]=C132&amp;"")*(tbl_Finance[Xero Invoice No]&lt;&gt;"")),tbl_Finance[Xero Invoice No]),LOOKUP(2,1/((tbl_Finance[Job Number]=C132&amp;"")*(tbl_Finance[Xero Invoice No]&lt;&gt;"")),tbl_Finance[Xero Invoice No])&amp;" +more"),"")))</f>
        <v/>
      </c>
      <c r="C132" s="24" t="n"/>
      <c r="D132" s="25">
        <f>IF(C132="","",IF(COUNTIF(lst_Jobs,C132&amp;"")&gt;0,"OK","CHECK"))</f>
        <v/>
      </c>
      <c r="E132" s="25">
        <f>IF(C132="","",IFERROR(INDEX(lst_JobName,MATCH(C132&amp;"",lst_Jobs,0)),""))</f>
        <v/>
      </c>
      <c r="F132" s="25">
        <f>IF(C132="","",IFERROR(INDEX(tbl_Finance[Client],MATCH(C132&amp;"",tbl_Finance[Job Number],0)),""))</f>
        <v/>
      </c>
      <c r="G132" s="28">
        <f>IF(C132="","",COUNTIFS(tbl_Finance[Job Number],C132&amp;"",tbl_Finance[Ex GST],"&lt;&gt;"))</f>
        <v/>
      </c>
      <c r="H132" s="27">
        <f>IF(C132="","",SUMIFS(tbl_Finance[Ex GST],tbl_Finance[Job Number],C132&amp;""))</f>
        <v/>
      </c>
      <c r="I132" s="27">
        <f>IF(C132="","",SUMIFS(tbl_Finance[Ex GST],tbl_Finance[Job Number],C132&amp;"",tbl_Finance[Xero Invoice No],"&lt;&gt;"))</f>
        <v/>
      </c>
      <c r="J132" s="27">
        <f>IF(C132="","",H132-I132)</f>
        <v/>
      </c>
      <c r="K132" s="25">
        <f>IF(C132="","",IF(G132=0,"not invoiced yet",SUBSTITUTE(TRIM(IF(COUNTIFS(tbl_Finance[Job Number],C132&amp;"",tbl_Finance[Cost Centre],"ONSITE")&gt;0,"ONSITE ","")&amp;IF(COUNTIFS(tbl_Finance[Job Number],C132&amp;"",tbl_Finance[Cost Centre],"PRODUCTION")&gt;0,"PRODUCTION ","")&amp;IF(COUNTIFS(tbl_Finance[Job Number],C132&amp;"",tbl_Finance[Cost Centre],"VIDEO")&gt;0,"VIDEO ","")&amp;IF(COUNTIFS(tbl_Finance[Job Number],C132&amp;"",tbl_Finance[Cost Centre],"INTEGRATION")&gt;0,"INTEGRATION ","")&amp;IF(COUNTIFS(tbl_Finance[Job Number],C132&amp;"",tbl_Finance[Cost Centre],"CONSULTING")&gt;0,"CONSULTING ","")&amp;IF(COUNTIFS(tbl_Finance[Job Number],C132&amp;"",tbl_Finance[Cost Centre],"CTS")&gt;0,"CTS ",""))," ",", ")))</f>
        <v/>
      </c>
      <c r="L132" s="24" t="n"/>
      <c r="M132" s="25">
        <f>IF(L132="","",HYPERLINK(IF(LEFT(L132,4)="http",L132,set_QwilrBase&amp;L132),"Open quote"))</f>
        <v/>
      </c>
      <c r="N132" s="26" t="n"/>
      <c r="O132" s="26" t="n"/>
      <c r="P132" s="26" t="n"/>
      <c r="Q132" s="25">
        <f>IF(C132="","",IF(N(N132)+N(O132)+N(P132)=0,"Not split",IF(ROUND(N(N132)+N(O132)+N(P132),2)=ROUND(H132,2),"OK","MISMATCH")))</f>
        <v/>
      </c>
      <c r="R132" s="26" t="n"/>
      <c r="S132" s="26" t="n"/>
      <c r="T132" s="26" t="n"/>
      <c r="U132" s="27">
        <f>IF(C132="","",N(R132)+N(S132)+N(T132))</f>
        <v/>
      </c>
      <c r="V132" s="27">
        <f>IF(C132="","",H132-U132)</f>
        <v/>
      </c>
      <c r="W132" s="29">
        <f>IFERROR(V132/H132,"")</f>
        <v/>
      </c>
      <c r="X132" s="24" t="n"/>
    </row>
    <row r="133" ht="15" customHeight="1">
      <c r="A133" s="63">
        <f>IF(C133="","",IFERROR(IF(SUMPRODUCT(MAX((tbl_Finance[Job Number]=C133&amp;"")*(tbl_Finance[Xero Invoice No]&lt;&gt;"")*tbl_Finance[Date]))=0,"",SUMPRODUCT(MAX((tbl_Finance[Job Number]=C133&amp;"")*(tbl_Finance[Xero Invoice No]&lt;&gt;"")*tbl_Finance[Date]))),""))</f>
        <v/>
      </c>
      <c r="B133" s="25">
        <f>IF(C133="","",IF(COUNTIFS(tbl_Finance[Job Number],C133&amp;"",tbl_Finance[Xero Invoice No],"&lt;&gt;")=0,"",IFERROR(IF(COUNTIFS(tbl_Finance[Job Number],C133&amp;"",tbl_Finance[Xero Invoice No],LOOKUP(2,1/((tbl_Finance[Job Number]=C133&amp;"")*(tbl_Finance[Xero Invoice No]&lt;&gt;"")),tbl_Finance[Xero Invoice No]))=COUNTIFS(tbl_Finance[Job Number],C133&amp;"",tbl_Finance[Xero Invoice No],"&lt;&gt;"),LOOKUP(2,1/((tbl_Finance[Job Number]=C133&amp;"")*(tbl_Finance[Xero Invoice No]&lt;&gt;"")),tbl_Finance[Xero Invoice No]),LOOKUP(2,1/((tbl_Finance[Job Number]=C133&amp;"")*(tbl_Finance[Xero Invoice No]&lt;&gt;"")),tbl_Finance[Xero Invoice No])&amp;" +more"),"")))</f>
        <v/>
      </c>
      <c r="C133" s="24" t="n"/>
      <c r="D133" s="25">
        <f>IF(C133="","",IF(COUNTIF(lst_Jobs,C133&amp;"")&gt;0,"OK","CHECK"))</f>
        <v/>
      </c>
      <c r="E133" s="25">
        <f>IF(C133="","",IFERROR(INDEX(lst_JobName,MATCH(C133&amp;"",lst_Jobs,0)),""))</f>
        <v/>
      </c>
      <c r="F133" s="25">
        <f>IF(C133="","",IFERROR(INDEX(tbl_Finance[Client],MATCH(C133&amp;"",tbl_Finance[Job Number],0)),""))</f>
        <v/>
      </c>
      <c r="G133" s="28">
        <f>IF(C133="","",COUNTIFS(tbl_Finance[Job Number],C133&amp;"",tbl_Finance[Ex GST],"&lt;&gt;"))</f>
        <v/>
      </c>
      <c r="H133" s="27">
        <f>IF(C133="","",SUMIFS(tbl_Finance[Ex GST],tbl_Finance[Job Number],C133&amp;""))</f>
        <v/>
      </c>
      <c r="I133" s="27">
        <f>IF(C133="","",SUMIFS(tbl_Finance[Ex GST],tbl_Finance[Job Number],C133&amp;"",tbl_Finance[Xero Invoice No],"&lt;&gt;"))</f>
        <v/>
      </c>
      <c r="J133" s="27">
        <f>IF(C133="","",H133-I133)</f>
        <v/>
      </c>
      <c r="K133" s="25">
        <f>IF(C133="","",IF(G133=0,"not invoiced yet",SUBSTITUTE(TRIM(IF(COUNTIFS(tbl_Finance[Job Number],C133&amp;"",tbl_Finance[Cost Centre],"ONSITE")&gt;0,"ONSITE ","")&amp;IF(COUNTIFS(tbl_Finance[Job Number],C133&amp;"",tbl_Finance[Cost Centre],"PRODUCTION")&gt;0,"PRODUCTION ","")&amp;IF(COUNTIFS(tbl_Finance[Job Number],C133&amp;"",tbl_Finance[Cost Centre],"VIDEO")&gt;0,"VIDEO ","")&amp;IF(COUNTIFS(tbl_Finance[Job Number],C133&amp;"",tbl_Finance[Cost Centre],"INTEGRATION")&gt;0,"INTEGRATION ","")&amp;IF(COUNTIFS(tbl_Finance[Job Number],C133&amp;"",tbl_Finance[Cost Centre],"CONSULTING")&gt;0,"CONSULTING ","")&amp;IF(COUNTIFS(tbl_Finance[Job Number],C133&amp;"",tbl_Finance[Cost Centre],"CTS")&gt;0,"CTS ",""))," ",", ")))</f>
        <v/>
      </c>
      <c r="L133" s="24" t="n"/>
      <c r="M133" s="25">
        <f>IF(L133="","",HYPERLINK(IF(LEFT(L133,4)="http",L133,set_QwilrBase&amp;L133),"Open quote"))</f>
        <v/>
      </c>
      <c r="N133" s="26" t="n"/>
      <c r="O133" s="26" t="n"/>
      <c r="P133" s="26" t="n"/>
      <c r="Q133" s="25">
        <f>IF(C133="","",IF(N(N133)+N(O133)+N(P133)=0,"Not split",IF(ROUND(N(N133)+N(O133)+N(P133),2)=ROUND(H133,2),"OK","MISMATCH")))</f>
        <v/>
      </c>
      <c r="R133" s="26" t="n"/>
      <c r="S133" s="26" t="n"/>
      <c r="T133" s="26" t="n"/>
      <c r="U133" s="27">
        <f>IF(C133="","",N(R133)+N(S133)+N(T133))</f>
        <v/>
      </c>
      <c r="V133" s="27">
        <f>IF(C133="","",H133-U133)</f>
        <v/>
      </c>
      <c r="W133" s="29">
        <f>IFERROR(V133/H133,"")</f>
        <v/>
      </c>
      <c r="X133" s="24" t="n"/>
    </row>
    <row r="134" ht="15" customHeight="1">
      <c r="A134" s="63">
        <f>IF(C134="","",IFERROR(IF(SUMPRODUCT(MAX((tbl_Finance[Job Number]=C134&amp;"")*(tbl_Finance[Xero Invoice No]&lt;&gt;"")*tbl_Finance[Date]))=0,"",SUMPRODUCT(MAX((tbl_Finance[Job Number]=C134&amp;"")*(tbl_Finance[Xero Invoice No]&lt;&gt;"")*tbl_Finance[Date]))),""))</f>
        <v/>
      </c>
      <c r="B134" s="25">
        <f>IF(C134="","",IF(COUNTIFS(tbl_Finance[Job Number],C134&amp;"",tbl_Finance[Xero Invoice No],"&lt;&gt;")=0,"",IFERROR(IF(COUNTIFS(tbl_Finance[Job Number],C134&amp;"",tbl_Finance[Xero Invoice No],LOOKUP(2,1/((tbl_Finance[Job Number]=C134&amp;"")*(tbl_Finance[Xero Invoice No]&lt;&gt;"")),tbl_Finance[Xero Invoice No]))=COUNTIFS(tbl_Finance[Job Number],C134&amp;"",tbl_Finance[Xero Invoice No],"&lt;&gt;"),LOOKUP(2,1/((tbl_Finance[Job Number]=C134&amp;"")*(tbl_Finance[Xero Invoice No]&lt;&gt;"")),tbl_Finance[Xero Invoice No]),LOOKUP(2,1/((tbl_Finance[Job Number]=C134&amp;"")*(tbl_Finance[Xero Invoice No]&lt;&gt;"")),tbl_Finance[Xero Invoice No])&amp;" +more"),"")))</f>
        <v/>
      </c>
      <c r="C134" s="24" t="n"/>
      <c r="D134" s="25">
        <f>IF(C134="","",IF(COUNTIF(lst_Jobs,C134&amp;"")&gt;0,"OK","CHECK"))</f>
        <v/>
      </c>
      <c r="E134" s="25">
        <f>IF(C134="","",IFERROR(INDEX(lst_JobName,MATCH(C134&amp;"",lst_Jobs,0)),""))</f>
        <v/>
      </c>
      <c r="F134" s="25">
        <f>IF(C134="","",IFERROR(INDEX(tbl_Finance[Client],MATCH(C134&amp;"",tbl_Finance[Job Number],0)),""))</f>
        <v/>
      </c>
      <c r="G134" s="28">
        <f>IF(C134="","",COUNTIFS(tbl_Finance[Job Number],C134&amp;"",tbl_Finance[Ex GST],"&lt;&gt;"))</f>
        <v/>
      </c>
      <c r="H134" s="27">
        <f>IF(C134="","",SUMIFS(tbl_Finance[Ex GST],tbl_Finance[Job Number],C134&amp;""))</f>
        <v/>
      </c>
      <c r="I134" s="27">
        <f>IF(C134="","",SUMIFS(tbl_Finance[Ex GST],tbl_Finance[Job Number],C134&amp;"",tbl_Finance[Xero Invoice No],"&lt;&gt;"))</f>
        <v/>
      </c>
      <c r="J134" s="27">
        <f>IF(C134="","",H134-I134)</f>
        <v/>
      </c>
      <c r="K134" s="25">
        <f>IF(C134="","",IF(G134=0,"not invoiced yet",SUBSTITUTE(TRIM(IF(COUNTIFS(tbl_Finance[Job Number],C134&amp;"",tbl_Finance[Cost Centre],"ONSITE")&gt;0,"ONSITE ","")&amp;IF(COUNTIFS(tbl_Finance[Job Number],C134&amp;"",tbl_Finance[Cost Centre],"PRODUCTION")&gt;0,"PRODUCTION ","")&amp;IF(COUNTIFS(tbl_Finance[Job Number],C134&amp;"",tbl_Finance[Cost Centre],"VIDEO")&gt;0,"VIDEO ","")&amp;IF(COUNTIFS(tbl_Finance[Job Number],C134&amp;"",tbl_Finance[Cost Centre],"INTEGRATION")&gt;0,"INTEGRATION ","")&amp;IF(COUNTIFS(tbl_Finance[Job Number],C134&amp;"",tbl_Finance[Cost Centre],"CONSULTING")&gt;0,"CONSULTING ","")&amp;IF(COUNTIFS(tbl_Finance[Job Number],C134&amp;"",tbl_Finance[Cost Centre],"CTS")&gt;0,"CTS ",""))," ",", ")))</f>
        <v/>
      </c>
      <c r="L134" s="24" t="n"/>
      <c r="M134" s="25">
        <f>IF(L134="","",HYPERLINK(IF(LEFT(L134,4)="http",L134,set_QwilrBase&amp;L134),"Open quote"))</f>
        <v/>
      </c>
      <c r="N134" s="26" t="n"/>
      <c r="O134" s="26" t="n"/>
      <c r="P134" s="26" t="n"/>
      <c r="Q134" s="25">
        <f>IF(C134="","",IF(N(N134)+N(O134)+N(P134)=0,"Not split",IF(ROUND(N(N134)+N(O134)+N(P134),2)=ROUND(H134,2),"OK","MISMATCH")))</f>
        <v/>
      </c>
      <c r="R134" s="26" t="n"/>
      <c r="S134" s="26" t="n"/>
      <c r="T134" s="26" t="n"/>
      <c r="U134" s="27">
        <f>IF(C134="","",N(R134)+N(S134)+N(T134))</f>
        <v/>
      </c>
      <c r="V134" s="27">
        <f>IF(C134="","",H134-U134)</f>
        <v/>
      </c>
      <c r="W134" s="29">
        <f>IFERROR(V134/H134,"")</f>
        <v/>
      </c>
      <c r="X134" s="24" t="n"/>
    </row>
    <row r="135" ht="15" customHeight="1">
      <c r="A135" s="63">
        <f>IF(C135="","",IFERROR(IF(SUMPRODUCT(MAX((tbl_Finance[Job Number]=C135&amp;"")*(tbl_Finance[Xero Invoice No]&lt;&gt;"")*tbl_Finance[Date]))=0,"",SUMPRODUCT(MAX((tbl_Finance[Job Number]=C135&amp;"")*(tbl_Finance[Xero Invoice No]&lt;&gt;"")*tbl_Finance[Date]))),""))</f>
        <v/>
      </c>
      <c r="B135" s="25">
        <f>IF(C135="","",IF(COUNTIFS(tbl_Finance[Job Number],C135&amp;"",tbl_Finance[Xero Invoice No],"&lt;&gt;")=0,"",IFERROR(IF(COUNTIFS(tbl_Finance[Job Number],C135&amp;"",tbl_Finance[Xero Invoice No],LOOKUP(2,1/((tbl_Finance[Job Number]=C135&amp;"")*(tbl_Finance[Xero Invoice No]&lt;&gt;"")),tbl_Finance[Xero Invoice No]))=COUNTIFS(tbl_Finance[Job Number],C135&amp;"",tbl_Finance[Xero Invoice No],"&lt;&gt;"),LOOKUP(2,1/((tbl_Finance[Job Number]=C135&amp;"")*(tbl_Finance[Xero Invoice No]&lt;&gt;"")),tbl_Finance[Xero Invoice No]),LOOKUP(2,1/((tbl_Finance[Job Number]=C135&amp;"")*(tbl_Finance[Xero Invoice No]&lt;&gt;"")),tbl_Finance[Xero Invoice No])&amp;" +more"),"")))</f>
        <v/>
      </c>
      <c r="C135" s="24" t="n"/>
      <c r="D135" s="25">
        <f>IF(C135="","",IF(COUNTIF(lst_Jobs,C135&amp;"")&gt;0,"OK","CHECK"))</f>
        <v/>
      </c>
      <c r="E135" s="25">
        <f>IF(C135="","",IFERROR(INDEX(lst_JobName,MATCH(C135&amp;"",lst_Jobs,0)),""))</f>
        <v/>
      </c>
      <c r="F135" s="25">
        <f>IF(C135="","",IFERROR(INDEX(tbl_Finance[Client],MATCH(C135&amp;"",tbl_Finance[Job Number],0)),""))</f>
        <v/>
      </c>
      <c r="G135" s="28">
        <f>IF(C135="","",COUNTIFS(tbl_Finance[Job Number],C135&amp;"",tbl_Finance[Ex GST],"&lt;&gt;"))</f>
        <v/>
      </c>
      <c r="H135" s="27">
        <f>IF(C135="","",SUMIFS(tbl_Finance[Ex GST],tbl_Finance[Job Number],C135&amp;""))</f>
        <v/>
      </c>
      <c r="I135" s="27">
        <f>IF(C135="","",SUMIFS(tbl_Finance[Ex GST],tbl_Finance[Job Number],C135&amp;"",tbl_Finance[Xero Invoice No],"&lt;&gt;"))</f>
        <v/>
      </c>
      <c r="J135" s="27">
        <f>IF(C135="","",H135-I135)</f>
        <v/>
      </c>
      <c r="K135" s="25">
        <f>IF(C135="","",IF(G135=0,"not invoiced yet",SUBSTITUTE(TRIM(IF(COUNTIFS(tbl_Finance[Job Number],C135&amp;"",tbl_Finance[Cost Centre],"ONSITE")&gt;0,"ONSITE ","")&amp;IF(COUNTIFS(tbl_Finance[Job Number],C135&amp;"",tbl_Finance[Cost Centre],"PRODUCTION")&gt;0,"PRODUCTION ","")&amp;IF(COUNTIFS(tbl_Finance[Job Number],C135&amp;"",tbl_Finance[Cost Centre],"VIDEO")&gt;0,"VIDEO ","")&amp;IF(COUNTIFS(tbl_Finance[Job Number],C135&amp;"",tbl_Finance[Cost Centre],"INTEGRATION")&gt;0,"INTEGRATION ","")&amp;IF(COUNTIFS(tbl_Finance[Job Number],C135&amp;"",tbl_Finance[Cost Centre],"CONSULTING")&gt;0,"CONSULTING ","")&amp;IF(COUNTIFS(tbl_Finance[Job Number],C135&amp;"",tbl_Finance[Cost Centre],"CTS")&gt;0,"CTS ",""))," ",", ")))</f>
        <v/>
      </c>
      <c r="L135" s="24" t="n"/>
      <c r="M135" s="25">
        <f>IF(L135="","",HYPERLINK(IF(LEFT(L135,4)="http",L135,set_QwilrBase&amp;L135),"Open quote"))</f>
        <v/>
      </c>
      <c r="N135" s="26" t="n"/>
      <c r="O135" s="26" t="n"/>
      <c r="P135" s="26" t="n"/>
      <c r="Q135" s="25">
        <f>IF(C135="","",IF(N(N135)+N(O135)+N(P135)=0,"Not split",IF(ROUND(N(N135)+N(O135)+N(P135),2)=ROUND(H135,2),"OK","MISMATCH")))</f>
        <v/>
      </c>
      <c r="R135" s="26" t="n"/>
      <c r="S135" s="26" t="n"/>
      <c r="T135" s="26" t="n"/>
      <c r="U135" s="27">
        <f>IF(C135="","",N(R135)+N(S135)+N(T135))</f>
        <v/>
      </c>
      <c r="V135" s="27">
        <f>IF(C135="","",H135-U135)</f>
        <v/>
      </c>
      <c r="W135" s="29">
        <f>IFERROR(V135/H135,"")</f>
        <v/>
      </c>
      <c r="X135" s="24" t="n"/>
    </row>
    <row r="136" ht="15" customHeight="1">
      <c r="A136" s="63">
        <f>IF(C136="","",IFERROR(IF(SUMPRODUCT(MAX((tbl_Finance[Job Number]=C136&amp;"")*(tbl_Finance[Xero Invoice No]&lt;&gt;"")*tbl_Finance[Date]))=0,"",SUMPRODUCT(MAX((tbl_Finance[Job Number]=C136&amp;"")*(tbl_Finance[Xero Invoice No]&lt;&gt;"")*tbl_Finance[Date]))),""))</f>
        <v/>
      </c>
      <c r="B136" s="25">
        <f>IF(C136="","",IF(COUNTIFS(tbl_Finance[Job Number],C136&amp;"",tbl_Finance[Xero Invoice No],"&lt;&gt;")=0,"",IFERROR(IF(COUNTIFS(tbl_Finance[Job Number],C136&amp;"",tbl_Finance[Xero Invoice No],LOOKUP(2,1/((tbl_Finance[Job Number]=C136&amp;"")*(tbl_Finance[Xero Invoice No]&lt;&gt;"")),tbl_Finance[Xero Invoice No]))=COUNTIFS(tbl_Finance[Job Number],C136&amp;"",tbl_Finance[Xero Invoice No],"&lt;&gt;"),LOOKUP(2,1/((tbl_Finance[Job Number]=C136&amp;"")*(tbl_Finance[Xero Invoice No]&lt;&gt;"")),tbl_Finance[Xero Invoice No]),LOOKUP(2,1/((tbl_Finance[Job Number]=C136&amp;"")*(tbl_Finance[Xero Invoice No]&lt;&gt;"")),tbl_Finance[Xero Invoice No])&amp;" +more"),"")))</f>
        <v/>
      </c>
      <c r="C136" s="24" t="n"/>
      <c r="D136" s="25">
        <f>IF(C136="","",IF(COUNTIF(lst_Jobs,C136&amp;"")&gt;0,"OK","CHECK"))</f>
        <v/>
      </c>
      <c r="E136" s="25">
        <f>IF(C136="","",IFERROR(INDEX(lst_JobName,MATCH(C136&amp;"",lst_Jobs,0)),""))</f>
        <v/>
      </c>
      <c r="F136" s="25">
        <f>IF(C136="","",IFERROR(INDEX(tbl_Finance[Client],MATCH(C136&amp;"",tbl_Finance[Job Number],0)),""))</f>
        <v/>
      </c>
      <c r="G136" s="28">
        <f>IF(C136="","",COUNTIFS(tbl_Finance[Job Number],C136&amp;"",tbl_Finance[Ex GST],"&lt;&gt;"))</f>
        <v/>
      </c>
      <c r="H136" s="27">
        <f>IF(C136="","",SUMIFS(tbl_Finance[Ex GST],tbl_Finance[Job Number],C136&amp;""))</f>
        <v/>
      </c>
      <c r="I136" s="27">
        <f>IF(C136="","",SUMIFS(tbl_Finance[Ex GST],tbl_Finance[Job Number],C136&amp;"",tbl_Finance[Xero Invoice No],"&lt;&gt;"))</f>
        <v/>
      </c>
      <c r="J136" s="27">
        <f>IF(C136="","",H136-I136)</f>
        <v/>
      </c>
      <c r="K136" s="25">
        <f>IF(C136="","",IF(G136=0,"not invoiced yet",SUBSTITUTE(TRIM(IF(COUNTIFS(tbl_Finance[Job Number],C136&amp;"",tbl_Finance[Cost Centre],"ONSITE")&gt;0,"ONSITE ","")&amp;IF(COUNTIFS(tbl_Finance[Job Number],C136&amp;"",tbl_Finance[Cost Centre],"PRODUCTION")&gt;0,"PRODUCTION ","")&amp;IF(COUNTIFS(tbl_Finance[Job Number],C136&amp;"",tbl_Finance[Cost Centre],"VIDEO")&gt;0,"VIDEO ","")&amp;IF(COUNTIFS(tbl_Finance[Job Number],C136&amp;"",tbl_Finance[Cost Centre],"INTEGRATION")&gt;0,"INTEGRATION ","")&amp;IF(COUNTIFS(tbl_Finance[Job Number],C136&amp;"",tbl_Finance[Cost Centre],"CONSULTING")&gt;0,"CONSULTING ","")&amp;IF(COUNTIFS(tbl_Finance[Job Number],C136&amp;"",tbl_Finance[Cost Centre],"CTS")&gt;0,"CTS ",""))," ",", ")))</f>
        <v/>
      </c>
      <c r="L136" s="24" t="n"/>
      <c r="M136" s="25">
        <f>IF(L136="","",HYPERLINK(IF(LEFT(L136,4)="http",L136,set_QwilrBase&amp;L136),"Open quote"))</f>
        <v/>
      </c>
      <c r="N136" s="26" t="n"/>
      <c r="O136" s="26" t="n"/>
      <c r="P136" s="26" t="n"/>
      <c r="Q136" s="25">
        <f>IF(C136="","",IF(N(N136)+N(O136)+N(P136)=0,"Not split",IF(ROUND(N(N136)+N(O136)+N(P136),2)=ROUND(H136,2),"OK","MISMATCH")))</f>
        <v/>
      </c>
      <c r="R136" s="26" t="n"/>
      <c r="S136" s="26" t="n"/>
      <c r="T136" s="26" t="n"/>
      <c r="U136" s="27">
        <f>IF(C136="","",N(R136)+N(S136)+N(T136))</f>
        <v/>
      </c>
      <c r="V136" s="27">
        <f>IF(C136="","",H136-U136)</f>
        <v/>
      </c>
      <c r="W136" s="29">
        <f>IFERROR(V136/H136,"")</f>
        <v/>
      </c>
      <c r="X136" s="24" t="n"/>
    </row>
    <row r="137" ht="15" customHeight="1">
      <c r="A137" s="63">
        <f>IF(C137="","",IFERROR(IF(SUMPRODUCT(MAX((tbl_Finance[Job Number]=C137&amp;"")*(tbl_Finance[Xero Invoice No]&lt;&gt;"")*tbl_Finance[Date]))=0,"",SUMPRODUCT(MAX((tbl_Finance[Job Number]=C137&amp;"")*(tbl_Finance[Xero Invoice No]&lt;&gt;"")*tbl_Finance[Date]))),""))</f>
        <v/>
      </c>
      <c r="B137" s="25">
        <f>IF(C137="","",IF(COUNTIFS(tbl_Finance[Job Number],C137&amp;"",tbl_Finance[Xero Invoice No],"&lt;&gt;")=0,"",IFERROR(IF(COUNTIFS(tbl_Finance[Job Number],C137&amp;"",tbl_Finance[Xero Invoice No],LOOKUP(2,1/((tbl_Finance[Job Number]=C137&amp;"")*(tbl_Finance[Xero Invoice No]&lt;&gt;"")),tbl_Finance[Xero Invoice No]))=COUNTIFS(tbl_Finance[Job Number],C137&amp;"",tbl_Finance[Xero Invoice No],"&lt;&gt;"),LOOKUP(2,1/((tbl_Finance[Job Number]=C137&amp;"")*(tbl_Finance[Xero Invoice No]&lt;&gt;"")),tbl_Finance[Xero Invoice No]),LOOKUP(2,1/((tbl_Finance[Job Number]=C137&amp;"")*(tbl_Finance[Xero Invoice No]&lt;&gt;"")),tbl_Finance[Xero Invoice No])&amp;" +more"),"")))</f>
        <v/>
      </c>
      <c r="C137" s="24" t="n"/>
      <c r="D137" s="25">
        <f>IF(C137="","",IF(COUNTIF(lst_Jobs,C137&amp;"")&gt;0,"OK","CHECK"))</f>
        <v/>
      </c>
      <c r="E137" s="25">
        <f>IF(C137="","",IFERROR(INDEX(lst_JobName,MATCH(C137&amp;"",lst_Jobs,0)),""))</f>
        <v/>
      </c>
      <c r="F137" s="25">
        <f>IF(C137="","",IFERROR(INDEX(tbl_Finance[Client],MATCH(C137&amp;"",tbl_Finance[Job Number],0)),""))</f>
        <v/>
      </c>
      <c r="G137" s="28">
        <f>IF(C137="","",COUNTIFS(tbl_Finance[Job Number],C137&amp;"",tbl_Finance[Ex GST],"&lt;&gt;"))</f>
        <v/>
      </c>
      <c r="H137" s="27">
        <f>IF(C137="","",SUMIFS(tbl_Finance[Ex GST],tbl_Finance[Job Number],C137&amp;""))</f>
        <v/>
      </c>
      <c r="I137" s="27">
        <f>IF(C137="","",SUMIFS(tbl_Finance[Ex GST],tbl_Finance[Job Number],C137&amp;"",tbl_Finance[Xero Invoice No],"&lt;&gt;"))</f>
        <v/>
      </c>
      <c r="J137" s="27">
        <f>IF(C137="","",H137-I137)</f>
        <v/>
      </c>
      <c r="K137" s="25">
        <f>IF(C137="","",IF(G137=0,"not invoiced yet",SUBSTITUTE(TRIM(IF(COUNTIFS(tbl_Finance[Job Number],C137&amp;"",tbl_Finance[Cost Centre],"ONSITE")&gt;0,"ONSITE ","")&amp;IF(COUNTIFS(tbl_Finance[Job Number],C137&amp;"",tbl_Finance[Cost Centre],"PRODUCTION")&gt;0,"PRODUCTION ","")&amp;IF(COUNTIFS(tbl_Finance[Job Number],C137&amp;"",tbl_Finance[Cost Centre],"VIDEO")&gt;0,"VIDEO ","")&amp;IF(COUNTIFS(tbl_Finance[Job Number],C137&amp;"",tbl_Finance[Cost Centre],"INTEGRATION")&gt;0,"INTEGRATION ","")&amp;IF(COUNTIFS(tbl_Finance[Job Number],C137&amp;"",tbl_Finance[Cost Centre],"CONSULTING")&gt;0,"CONSULTING ","")&amp;IF(COUNTIFS(tbl_Finance[Job Number],C137&amp;"",tbl_Finance[Cost Centre],"CTS")&gt;0,"CTS ",""))," ",", ")))</f>
        <v/>
      </c>
      <c r="L137" s="24" t="n"/>
      <c r="M137" s="25">
        <f>IF(L137="","",HYPERLINK(IF(LEFT(L137,4)="http",L137,set_QwilrBase&amp;L137),"Open quote"))</f>
        <v/>
      </c>
      <c r="N137" s="26" t="n"/>
      <c r="O137" s="26" t="n"/>
      <c r="P137" s="26" t="n"/>
      <c r="Q137" s="25">
        <f>IF(C137="","",IF(N(N137)+N(O137)+N(P137)=0,"Not split",IF(ROUND(N(N137)+N(O137)+N(P137),2)=ROUND(H137,2),"OK","MISMATCH")))</f>
        <v/>
      </c>
      <c r="R137" s="26" t="n"/>
      <c r="S137" s="26" t="n"/>
      <c r="T137" s="26" t="n"/>
      <c r="U137" s="27">
        <f>IF(C137="","",N(R137)+N(S137)+N(T137))</f>
        <v/>
      </c>
      <c r="V137" s="27">
        <f>IF(C137="","",H137-U137)</f>
        <v/>
      </c>
      <c r="W137" s="29">
        <f>IFERROR(V137/H137,"")</f>
        <v/>
      </c>
      <c r="X137" s="24" t="n"/>
    </row>
    <row r="138" ht="15" customHeight="1">
      <c r="A138" s="63">
        <f>IF(C138="","",IFERROR(IF(SUMPRODUCT(MAX((tbl_Finance[Job Number]=C138&amp;"")*(tbl_Finance[Xero Invoice No]&lt;&gt;"")*tbl_Finance[Date]))=0,"",SUMPRODUCT(MAX((tbl_Finance[Job Number]=C138&amp;"")*(tbl_Finance[Xero Invoice No]&lt;&gt;"")*tbl_Finance[Date]))),""))</f>
        <v/>
      </c>
      <c r="B138" s="25">
        <f>IF(C138="","",IF(COUNTIFS(tbl_Finance[Job Number],C138&amp;"",tbl_Finance[Xero Invoice No],"&lt;&gt;")=0,"",IFERROR(IF(COUNTIFS(tbl_Finance[Job Number],C138&amp;"",tbl_Finance[Xero Invoice No],LOOKUP(2,1/((tbl_Finance[Job Number]=C138&amp;"")*(tbl_Finance[Xero Invoice No]&lt;&gt;"")),tbl_Finance[Xero Invoice No]))=COUNTIFS(tbl_Finance[Job Number],C138&amp;"",tbl_Finance[Xero Invoice No],"&lt;&gt;"),LOOKUP(2,1/((tbl_Finance[Job Number]=C138&amp;"")*(tbl_Finance[Xero Invoice No]&lt;&gt;"")),tbl_Finance[Xero Invoice No]),LOOKUP(2,1/((tbl_Finance[Job Number]=C138&amp;"")*(tbl_Finance[Xero Invoice No]&lt;&gt;"")),tbl_Finance[Xero Invoice No])&amp;" +more"),"")))</f>
        <v/>
      </c>
      <c r="C138" s="24" t="n"/>
      <c r="D138" s="25">
        <f>IF(C138="","",IF(COUNTIF(lst_Jobs,C138&amp;"")&gt;0,"OK","CHECK"))</f>
        <v/>
      </c>
      <c r="E138" s="25">
        <f>IF(C138="","",IFERROR(INDEX(lst_JobName,MATCH(C138&amp;"",lst_Jobs,0)),""))</f>
        <v/>
      </c>
      <c r="F138" s="25">
        <f>IF(C138="","",IFERROR(INDEX(tbl_Finance[Client],MATCH(C138&amp;"",tbl_Finance[Job Number],0)),""))</f>
        <v/>
      </c>
      <c r="G138" s="28">
        <f>IF(C138="","",COUNTIFS(tbl_Finance[Job Number],C138&amp;"",tbl_Finance[Ex GST],"&lt;&gt;"))</f>
        <v/>
      </c>
      <c r="H138" s="27">
        <f>IF(C138="","",SUMIFS(tbl_Finance[Ex GST],tbl_Finance[Job Number],C138&amp;""))</f>
        <v/>
      </c>
      <c r="I138" s="27">
        <f>IF(C138="","",SUMIFS(tbl_Finance[Ex GST],tbl_Finance[Job Number],C138&amp;"",tbl_Finance[Xero Invoice No],"&lt;&gt;"))</f>
        <v/>
      </c>
      <c r="J138" s="27">
        <f>IF(C138="","",H138-I138)</f>
        <v/>
      </c>
      <c r="K138" s="25">
        <f>IF(C138="","",IF(G138=0,"not invoiced yet",SUBSTITUTE(TRIM(IF(COUNTIFS(tbl_Finance[Job Number],C138&amp;"",tbl_Finance[Cost Centre],"ONSITE")&gt;0,"ONSITE ","")&amp;IF(COUNTIFS(tbl_Finance[Job Number],C138&amp;"",tbl_Finance[Cost Centre],"PRODUCTION")&gt;0,"PRODUCTION ","")&amp;IF(COUNTIFS(tbl_Finance[Job Number],C138&amp;"",tbl_Finance[Cost Centre],"VIDEO")&gt;0,"VIDEO ","")&amp;IF(COUNTIFS(tbl_Finance[Job Number],C138&amp;"",tbl_Finance[Cost Centre],"INTEGRATION")&gt;0,"INTEGRATION ","")&amp;IF(COUNTIFS(tbl_Finance[Job Number],C138&amp;"",tbl_Finance[Cost Centre],"CONSULTING")&gt;0,"CONSULTING ","")&amp;IF(COUNTIFS(tbl_Finance[Job Number],C138&amp;"",tbl_Finance[Cost Centre],"CTS")&gt;0,"CTS ",""))," ",", ")))</f>
        <v/>
      </c>
      <c r="L138" s="24" t="n"/>
      <c r="M138" s="25">
        <f>IF(L138="","",HYPERLINK(IF(LEFT(L138,4)="http",L138,set_QwilrBase&amp;L138),"Open quote"))</f>
        <v/>
      </c>
      <c r="N138" s="26" t="n"/>
      <c r="O138" s="26" t="n"/>
      <c r="P138" s="26" t="n"/>
      <c r="Q138" s="25">
        <f>IF(C138="","",IF(N(N138)+N(O138)+N(P138)=0,"Not split",IF(ROUND(N(N138)+N(O138)+N(P138),2)=ROUND(H138,2),"OK","MISMATCH")))</f>
        <v/>
      </c>
      <c r="R138" s="26" t="n"/>
      <c r="S138" s="26" t="n"/>
      <c r="T138" s="26" t="n"/>
      <c r="U138" s="27">
        <f>IF(C138="","",N(R138)+N(S138)+N(T138))</f>
        <v/>
      </c>
      <c r="V138" s="27">
        <f>IF(C138="","",H138-U138)</f>
        <v/>
      </c>
      <c r="W138" s="29">
        <f>IFERROR(V138/H138,"")</f>
        <v/>
      </c>
      <c r="X138" s="24" t="n"/>
    </row>
    <row r="139" ht="15" customHeight="1">
      <c r="A139" s="63">
        <f>IF(C139="","",IFERROR(IF(SUMPRODUCT(MAX((tbl_Finance[Job Number]=C139&amp;"")*(tbl_Finance[Xero Invoice No]&lt;&gt;"")*tbl_Finance[Date]))=0,"",SUMPRODUCT(MAX((tbl_Finance[Job Number]=C139&amp;"")*(tbl_Finance[Xero Invoice No]&lt;&gt;"")*tbl_Finance[Date]))),""))</f>
        <v/>
      </c>
      <c r="B139" s="25">
        <f>IF(C139="","",IF(COUNTIFS(tbl_Finance[Job Number],C139&amp;"",tbl_Finance[Xero Invoice No],"&lt;&gt;")=0,"",IFERROR(IF(COUNTIFS(tbl_Finance[Job Number],C139&amp;"",tbl_Finance[Xero Invoice No],LOOKUP(2,1/((tbl_Finance[Job Number]=C139&amp;"")*(tbl_Finance[Xero Invoice No]&lt;&gt;"")),tbl_Finance[Xero Invoice No]))=COUNTIFS(tbl_Finance[Job Number],C139&amp;"",tbl_Finance[Xero Invoice No],"&lt;&gt;"),LOOKUP(2,1/((tbl_Finance[Job Number]=C139&amp;"")*(tbl_Finance[Xero Invoice No]&lt;&gt;"")),tbl_Finance[Xero Invoice No]),LOOKUP(2,1/((tbl_Finance[Job Number]=C139&amp;"")*(tbl_Finance[Xero Invoice No]&lt;&gt;"")),tbl_Finance[Xero Invoice No])&amp;" +more"),"")))</f>
        <v/>
      </c>
      <c r="C139" s="24" t="n"/>
      <c r="D139" s="25">
        <f>IF(C139="","",IF(COUNTIF(lst_Jobs,C139&amp;"")&gt;0,"OK","CHECK"))</f>
        <v/>
      </c>
      <c r="E139" s="25">
        <f>IF(C139="","",IFERROR(INDEX(lst_JobName,MATCH(C139&amp;"",lst_Jobs,0)),""))</f>
        <v/>
      </c>
      <c r="F139" s="25">
        <f>IF(C139="","",IFERROR(INDEX(tbl_Finance[Client],MATCH(C139&amp;"",tbl_Finance[Job Number],0)),""))</f>
        <v/>
      </c>
      <c r="G139" s="28">
        <f>IF(C139="","",COUNTIFS(tbl_Finance[Job Number],C139&amp;"",tbl_Finance[Ex GST],"&lt;&gt;"))</f>
        <v/>
      </c>
      <c r="H139" s="27">
        <f>IF(C139="","",SUMIFS(tbl_Finance[Ex GST],tbl_Finance[Job Number],C139&amp;""))</f>
        <v/>
      </c>
      <c r="I139" s="27">
        <f>IF(C139="","",SUMIFS(tbl_Finance[Ex GST],tbl_Finance[Job Number],C139&amp;"",tbl_Finance[Xero Invoice No],"&lt;&gt;"))</f>
        <v/>
      </c>
      <c r="J139" s="27">
        <f>IF(C139="","",H139-I139)</f>
        <v/>
      </c>
      <c r="K139" s="25">
        <f>IF(C139="","",IF(G139=0,"not invoiced yet",SUBSTITUTE(TRIM(IF(COUNTIFS(tbl_Finance[Job Number],C139&amp;"",tbl_Finance[Cost Centre],"ONSITE")&gt;0,"ONSITE ","")&amp;IF(COUNTIFS(tbl_Finance[Job Number],C139&amp;"",tbl_Finance[Cost Centre],"PRODUCTION")&gt;0,"PRODUCTION ","")&amp;IF(COUNTIFS(tbl_Finance[Job Number],C139&amp;"",tbl_Finance[Cost Centre],"VIDEO")&gt;0,"VIDEO ","")&amp;IF(COUNTIFS(tbl_Finance[Job Number],C139&amp;"",tbl_Finance[Cost Centre],"INTEGRATION")&gt;0,"INTEGRATION ","")&amp;IF(COUNTIFS(tbl_Finance[Job Number],C139&amp;"",tbl_Finance[Cost Centre],"CONSULTING")&gt;0,"CONSULTING ","")&amp;IF(COUNTIFS(tbl_Finance[Job Number],C139&amp;"",tbl_Finance[Cost Centre],"CTS")&gt;0,"CTS ",""))," ",", ")))</f>
        <v/>
      </c>
      <c r="L139" s="24" t="n"/>
      <c r="M139" s="25">
        <f>IF(L139="","",HYPERLINK(IF(LEFT(L139,4)="http",L139,set_QwilrBase&amp;L139),"Open quote"))</f>
        <v/>
      </c>
      <c r="N139" s="26" t="n"/>
      <c r="O139" s="26" t="n"/>
      <c r="P139" s="26" t="n"/>
      <c r="Q139" s="25">
        <f>IF(C139="","",IF(N(N139)+N(O139)+N(P139)=0,"Not split",IF(ROUND(N(N139)+N(O139)+N(P139),2)=ROUND(H139,2),"OK","MISMATCH")))</f>
        <v/>
      </c>
      <c r="R139" s="26" t="n"/>
      <c r="S139" s="26" t="n"/>
      <c r="T139" s="26" t="n"/>
      <c r="U139" s="27">
        <f>IF(C139="","",N(R139)+N(S139)+N(T139))</f>
        <v/>
      </c>
      <c r="V139" s="27">
        <f>IF(C139="","",H139-U139)</f>
        <v/>
      </c>
      <c r="W139" s="29">
        <f>IFERROR(V139/H139,"")</f>
        <v/>
      </c>
      <c r="X139" s="24" t="n"/>
    </row>
    <row r="140" ht="15" customHeight="1">
      <c r="A140" s="63">
        <f>IF(C140="","",IFERROR(IF(SUMPRODUCT(MAX((tbl_Finance[Job Number]=C140&amp;"")*(tbl_Finance[Xero Invoice No]&lt;&gt;"")*tbl_Finance[Date]))=0,"",SUMPRODUCT(MAX((tbl_Finance[Job Number]=C140&amp;"")*(tbl_Finance[Xero Invoice No]&lt;&gt;"")*tbl_Finance[Date]))),""))</f>
        <v/>
      </c>
      <c r="B140" s="25">
        <f>IF(C140="","",IF(COUNTIFS(tbl_Finance[Job Number],C140&amp;"",tbl_Finance[Xero Invoice No],"&lt;&gt;")=0,"",IFERROR(IF(COUNTIFS(tbl_Finance[Job Number],C140&amp;"",tbl_Finance[Xero Invoice No],LOOKUP(2,1/((tbl_Finance[Job Number]=C140&amp;"")*(tbl_Finance[Xero Invoice No]&lt;&gt;"")),tbl_Finance[Xero Invoice No]))=COUNTIFS(tbl_Finance[Job Number],C140&amp;"",tbl_Finance[Xero Invoice No],"&lt;&gt;"),LOOKUP(2,1/((tbl_Finance[Job Number]=C140&amp;"")*(tbl_Finance[Xero Invoice No]&lt;&gt;"")),tbl_Finance[Xero Invoice No]),LOOKUP(2,1/((tbl_Finance[Job Number]=C140&amp;"")*(tbl_Finance[Xero Invoice No]&lt;&gt;"")),tbl_Finance[Xero Invoice No])&amp;" +more"),"")))</f>
        <v/>
      </c>
      <c r="C140" s="24" t="n"/>
      <c r="D140" s="25">
        <f>IF(C140="","",IF(COUNTIF(lst_Jobs,C140&amp;"")&gt;0,"OK","CHECK"))</f>
        <v/>
      </c>
      <c r="E140" s="25">
        <f>IF(C140="","",IFERROR(INDEX(lst_JobName,MATCH(C140&amp;"",lst_Jobs,0)),""))</f>
        <v/>
      </c>
      <c r="F140" s="25">
        <f>IF(C140="","",IFERROR(INDEX(tbl_Finance[Client],MATCH(C140&amp;"",tbl_Finance[Job Number],0)),""))</f>
        <v/>
      </c>
      <c r="G140" s="28">
        <f>IF(C140="","",COUNTIFS(tbl_Finance[Job Number],C140&amp;"",tbl_Finance[Ex GST],"&lt;&gt;"))</f>
        <v/>
      </c>
      <c r="H140" s="27">
        <f>IF(C140="","",SUMIFS(tbl_Finance[Ex GST],tbl_Finance[Job Number],C140&amp;""))</f>
        <v/>
      </c>
      <c r="I140" s="27">
        <f>IF(C140="","",SUMIFS(tbl_Finance[Ex GST],tbl_Finance[Job Number],C140&amp;"",tbl_Finance[Xero Invoice No],"&lt;&gt;"))</f>
        <v/>
      </c>
      <c r="J140" s="27">
        <f>IF(C140="","",H140-I140)</f>
        <v/>
      </c>
      <c r="K140" s="25">
        <f>IF(C140="","",IF(G140=0,"not invoiced yet",SUBSTITUTE(TRIM(IF(COUNTIFS(tbl_Finance[Job Number],C140&amp;"",tbl_Finance[Cost Centre],"ONSITE")&gt;0,"ONSITE ","")&amp;IF(COUNTIFS(tbl_Finance[Job Number],C140&amp;"",tbl_Finance[Cost Centre],"PRODUCTION")&gt;0,"PRODUCTION ","")&amp;IF(COUNTIFS(tbl_Finance[Job Number],C140&amp;"",tbl_Finance[Cost Centre],"VIDEO")&gt;0,"VIDEO ","")&amp;IF(COUNTIFS(tbl_Finance[Job Number],C140&amp;"",tbl_Finance[Cost Centre],"INTEGRATION")&gt;0,"INTEGRATION ","")&amp;IF(COUNTIFS(tbl_Finance[Job Number],C140&amp;"",tbl_Finance[Cost Centre],"CONSULTING")&gt;0,"CONSULTING ","")&amp;IF(COUNTIFS(tbl_Finance[Job Number],C140&amp;"",tbl_Finance[Cost Centre],"CTS")&gt;0,"CTS ",""))," ",", ")))</f>
        <v/>
      </c>
      <c r="L140" s="24" t="n"/>
      <c r="M140" s="25">
        <f>IF(L140="","",HYPERLINK(IF(LEFT(L140,4)="http",L140,set_QwilrBase&amp;L140),"Open quote"))</f>
        <v/>
      </c>
      <c r="N140" s="26" t="n"/>
      <c r="O140" s="26" t="n"/>
      <c r="P140" s="26" t="n"/>
      <c r="Q140" s="25">
        <f>IF(C140="","",IF(N(N140)+N(O140)+N(P140)=0,"Not split",IF(ROUND(N(N140)+N(O140)+N(P140),2)=ROUND(H140,2),"OK","MISMATCH")))</f>
        <v/>
      </c>
      <c r="R140" s="26" t="n"/>
      <c r="S140" s="26" t="n"/>
      <c r="T140" s="26" t="n"/>
      <c r="U140" s="27">
        <f>IF(C140="","",N(R140)+N(S140)+N(T140))</f>
        <v/>
      </c>
      <c r="V140" s="27">
        <f>IF(C140="","",H140-U140)</f>
        <v/>
      </c>
      <c r="W140" s="29">
        <f>IFERROR(V140/H140,"")</f>
        <v/>
      </c>
      <c r="X140" s="24" t="n"/>
    </row>
    <row r="141" ht="15" customHeight="1">
      <c r="A141" s="63">
        <f>IF(C141="","",IFERROR(IF(SUMPRODUCT(MAX((tbl_Finance[Job Number]=C141&amp;"")*(tbl_Finance[Xero Invoice No]&lt;&gt;"")*tbl_Finance[Date]))=0,"",SUMPRODUCT(MAX((tbl_Finance[Job Number]=C141&amp;"")*(tbl_Finance[Xero Invoice No]&lt;&gt;"")*tbl_Finance[Date]))),""))</f>
        <v/>
      </c>
      <c r="B141" s="25">
        <f>IF(C141="","",IF(COUNTIFS(tbl_Finance[Job Number],C141&amp;"",tbl_Finance[Xero Invoice No],"&lt;&gt;")=0,"",IFERROR(IF(COUNTIFS(tbl_Finance[Job Number],C141&amp;"",tbl_Finance[Xero Invoice No],LOOKUP(2,1/((tbl_Finance[Job Number]=C141&amp;"")*(tbl_Finance[Xero Invoice No]&lt;&gt;"")),tbl_Finance[Xero Invoice No]))=COUNTIFS(tbl_Finance[Job Number],C141&amp;"",tbl_Finance[Xero Invoice No],"&lt;&gt;"),LOOKUP(2,1/((tbl_Finance[Job Number]=C141&amp;"")*(tbl_Finance[Xero Invoice No]&lt;&gt;"")),tbl_Finance[Xero Invoice No]),LOOKUP(2,1/((tbl_Finance[Job Number]=C141&amp;"")*(tbl_Finance[Xero Invoice No]&lt;&gt;"")),tbl_Finance[Xero Invoice No])&amp;" +more"),"")))</f>
        <v/>
      </c>
      <c r="C141" s="24" t="n"/>
      <c r="D141" s="25">
        <f>IF(C141="","",IF(COUNTIF(lst_Jobs,C141&amp;"")&gt;0,"OK","CHECK"))</f>
        <v/>
      </c>
      <c r="E141" s="25">
        <f>IF(C141="","",IFERROR(INDEX(lst_JobName,MATCH(C141&amp;"",lst_Jobs,0)),""))</f>
        <v/>
      </c>
      <c r="F141" s="25">
        <f>IF(C141="","",IFERROR(INDEX(tbl_Finance[Client],MATCH(C141&amp;"",tbl_Finance[Job Number],0)),""))</f>
        <v/>
      </c>
      <c r="G141" s="28">
        <f>IF(C141="","",COUNTIFS(tbl_Finance[Job Number],C141&amp;"",tbl_Finance[Ex GST],"&lt;&gt;"))</f>
        <v/>
      </c>
      <c r="H141" s="27">
        <f>IF(C141="","",SUMIFS(tbl_Finance[Ex GST],tbl_Finance[Job Number],C141&amp;""))</f>
        <v/>
      </c>
      <c r="I141" s="27">
        <f>IF(C141="","",SUMIFS(tbl_Finance[Ex GST],tbl_Finance[Job Number],C141&amp;"",tbl_Finance[Xero Invoice No],"&lt;&gt;"))</f>
        <v/>
      </c>
      <c r="J141" s="27">
        <f>IF(C141="","",H141-I141)</f>
        <v/>
      </c>
      <c r="K141" s="25">
        <f>IF(C141="","",IF(G141=0,"not invoiced yet",SUBSTITUTE(TRIM(IF(COUNTIFS(tbl_Finance[Job Number],C141&amp;"",tbl_Finance[Cost Centre],"ONSITE")&gt;0,"ONSITE ","")&amp;IF(COUNTIFS(tbl_Finance[Job Number],C141&amp;"",tbl_Finance[Cost Centre],"PRODUCTION")&gt;0,"PRODUCTION ","")&amp;IF(COUNTIFS(tbl_Finance[Job Number],C141&amp;"",tbl_Finance[Cost Centre],"VIDEO")&gt;0,"VIDEO ","")&amp;IF(COUNTIFS(tbl_Finance[Job Number],C141&amp;"",tbl_Finance[Cost Centre],"INTEGRATION")&gt;0,"INTEGRATION ","")&amp;IF(COUNTIFS(tbl_Finance[Job Number],C141&amp;"",tbl_Finance[Cost Centre],"CONSULTING")&gt;0,"CONSULTING ","")&amp;IF(COUNTIFS(tbl_Finance[Job Number],C141&amp;"",tbl_Finance[Cost Centre],"CTS")&gt;0,"CTS ",""))," ",", ")))</f>
        <v/>
      </c>
      <c r="L141" s="24" t="n"/>
      <c r="M141" s="25">
        <f>IF(L141="","",HYPERLINK(IF(LEFT(L141,4)="http",L141,set_QwilrBase&amp;L141),"Open quote"))</f>
        <v/>
      </c>
      <c r="N141" s="26" t="n"/>
      <c r="O141" s="26" t="n"/>
      <c r="P141" s="26" t="n"/>
      <c r="Q141" s="25">
        <f>IF(C141="","",IF(N(N141)+N(O141)+N(P141)=0,"Not split",IF(ROUND(N(N141)+N(O141)+N(P141),2)=ROUND(H141,2),"OK","MISMATCH")))</f>
        <v/>
      </c>
      <c r="R141" s="26" t="n"/>
      <c r="S141" s="26" t="n"/>
      <c r="T141" s="26" t="n"/>
      <c r="U141" s="27">
        <f>IF(C141="","",N(R141)+N(S141)+N(T141))</f>
        <v/>
      </c>
      <c r="V141" s="27">
        <f>IF(C141="","",H141-U141)</f>
        <v/>
      </c>
      <c r="W141" s="29">
        <f>IFERROR(V141/H141,"")</f>
        <v/>
      </c>
      <c r="X141" s="24" t="n"/>
    </row>
    <row r="142" ht="15" customHeight="1">
      <c r="A142" s="63">
        <f>IF(C142="","",IFERROR(IF(SUMPRODUCT(MAX((tbl_Finance[Job Number]=C142&amp;"")*(tbl_Finance[Xero Invoice No]&lt;&gt;"")*tbl_Finance[Date]))=0,"",SUMPRODUCT(MAX((tbl_Finance[Job Number]=C142&amp;"")*(tbl_Finance[Xero Invoice No]&lt;&gt;"")*tbl_Finance[Date]))),""))</f>
        <v/>
      </c>
      <c r="B142" s="25">
        <f>IF(C142="","",IF(COUNTIFS(tbl_Finance[Job Number],C142&amp;"",tbl_Finance[Xero Invoice No],"&lt;&gt;")=0,"",IFERROR(IF(COUNTIFS(tbl_Finance[Job Number],C142&amp;"",tbl_Finance[Xero Invoice No],LOOKUP(2,1/((tbl_Finance[Job Number]=C142&amp;"")*(tbl_Finance[Xero Invoice No]&lt;&gt;"")),tbl_Finance[Xero Invoice No]))=COUNTIFS(tbl_Finance[Job Number],C142&amp;"",tbl_Finance[Xero Invoice No],"&lt;&gt;"),LOOKUP(2,1/((tbl_Finance[Job Number]=C142&amp;"")*(tbl_Finance[Xero Invoice No]&lt;&gt;"")),tbl_Finance[Xero Invoice No]),LOOKUP(2,1/((tbl_Finance[Job Number]=C142&amp;"")*(tbl_Finance[Xero Invoice No]&lt;&gt;"")),tbl_Finance[Xero Invoice No])&amp;" +more"),"")))</f>
        <v/>
      </c>
      <c r="C142" s="24" t="n"/>
      <c r="D142" s="25">
        <f>IF(C142="","",IF(COUNTIF(lst_Jobs,C142&amp;"")&gt;0,"OK","CHECK"))</f>
        <v/>
      </c>
      <c r="E142" s="25">
        <f>IF(C142="","",IFERROR(INDEX(lst_JobName,MATCH(C142&amp;"",lst_Jobs,0)),""))</f>
        <v/>
      </c>
      <c r="F142" s="25">
        <f>IF(C142="","",IFERROR(INDEX(tbl_Finance[Client],MATCH(C142&amp;"",tbl_Finance[Job Number],0)),""))</f>
        <v/>
      </c>
      <c r="G142" s="28">
        <f>IF(C142="","",COUNTIFS(tbl_Finance[Job Number],C142&amp;"",tbl_Finance[Ex GST],"&lt;&gt;"))</f>
        <v/>
      </c>
      <c r="H142" s="27">
        <f>IF(C142="","",SUMIFS(tbl_Finance[Ex GST],tbl_Finance[Job Number],C142&amp;""))</f>
        <v/>
      </c>
      <c r="I142" s="27">
        <f>IF(C142="","",SUMIFS(tbl_Finance[Ex GST],tbl_Finance[Job Number],C142&amp;"",tbl_Finance[Xero Invoice No],"&lt;&gt;"))</f>
        <v/>
      </c>
      <c r="J142" s="27">
        <f>IF(C142="","",H142-I142)</f>
        <v/>
      </c>
      <c r="K142" s="25">
        <f>IF(C142="","",IF(G142=0,"not invoiced yet",SUBSTITUTE(TRIM(IF(COUNTIFS(tbl_Finance[Job Number],C142&amp;"",tbl_Finance[Cost Centre],"ONSITE")&gt;0,"ONSITE ","")&amp;IF(COUNTIFS(tbl_Finance[Job Number],C142&amp;"",tbl_Finance[Cost Centre],"PRODUCTION")&gt;0,"PRODUCTION ","")&amp;IF(COUNTIFS(tbl_Finance[Job Number],C142&amp;"",tbl_Finance[Cost Centre],"VIDEO")&gt;0,"VIDEO ","")&amp;IF(COUNTIFS(tbl_Finance[Job Number],C142&amp;"",tbl_Finance[Cost Centre],"INTEGRATION")&gt;0,"INTEGRATION ","")&amp;IF(COUNTIFS(tbl_Finance[Job Number],C142&amp;"",tbl_Finance[Cost Centre],"CONSULTING")&gt;0,"CONSULTING ","")&amp;IF(COUNTIFS(tbl_Finance[Job Number],C142&amp;"",tbl_Finance[Cost Centre],"CTS")&gt;0,"CTS ",""))," ",", ")))</f>
        <v/>
      </c>
      <c r="L142" s="24" t="n"/>
      <c r="M142" s="25">
        <f>IF(L142="","",HYPERLINK(IF(LEFT(L142,4)="http",L142,set_QwilrBase&amp;L142),"Open quote"))</f>
        <v/>
      </c>
      <c r="N142" s="26" t="n"/>
      <c r="O142" s="26" t="n"/>
      <c r="P142" s="26" t="n"/>
      <c r="Q142" s="25">
        <f>IF(C142="","",IF(N(N142)+N(O142)+N(P142)=0,"Not split",IF(ROUND(N(N142)+N(O142)+N(P142),2)=ROUND(H142,2),"OK","MISMATCH")))</f>
        <v/>
      </c>
      <c r="R142" s="26" t="n"/>
      <c r="S142" s="26" t="n"/>
      <c r="T142" s="26" t="n"/>
      <c r="U142" s="27">
        <f>IF(C142="","",N(R142)+N(S142)+N(T142))</f>
        <v/>
      </c>
      <c r="V142" s="27">
        <f>IF(C142="","",H142-U142)</f>
        <v/>
      </c>
      <c r="W142" s="29">
        <f>IFERROR(V142/H142,"")</f>
        <v/>
      </c>
      <c r="X142" s="24" t="n"/>
    </row>
    <row r="143" ht="15" customHeight="1">
      <c r="A143" s="63">
        <f>IF(C143="","",IFERROR(IF(SUMPRODUCT(MAX((tbl_Finance[Job Number]=C143&amp;"")*(tbl_Finance[Xero Invoice No]&lt;&gt;"")*tbl_Finance[Date]))=0,"",SUMPRODUCT(MAX((tbl_Finance[Job Number]=C143&amp;"")*(tbl_Finance[Xero Invoice No]&lt;&gt;"")*tbl_Finance[Date]))),""))</f>
        <v/>
      </c>
      <c r="B143" s="25">
        <f>IF(C143="","",IF(COUNTIFS(tbl_Finance[Job Number],C143&amp;"",tbl_Finance[Xero Invoice No],"&lt;&gt;")=0,"",IFERROR(IF(COUNTIFS(tbl_Finance[Job Number],C143&amp;"",tbl_Finance[Xero Invoice No],LOOKUP(2,1/((tbl_Finance[Job Number]=C143&amp;"")*(tbl_Finance[Xero Invoice No]&lt;&gt;"")),tbl_Finance[Xero Invoice No]))=COUNTIFS(tbl_Finance[Job Number],C143&amp;"",tbl_Finance[Xero Invoice No],"&lt;&gt;"),LOOKUP(2,1/((tbl_Finance[Job Number]=C143&amp;"")*(tbl_Finance[Xero Invoice No]&lt;&gt;"")),tbl_Finance[Xero Invoice No]),LOOKUP(2,1/((tbl_Finance[Job Number]=C143&amp;"")*(tbl_Finance[Xero Invoice No]&lt;&gt;"")),tbl_Finance[Xero Invoice No])&amp;" +more"),"")))</f>
        <v/>
      </c>
      <c r="C143" s="24" t="n"/>
      <c r="D143" s="25">
        <f>IF(C143="","",IF(COUNTIF(lst_Jobs,C143&amp;"")&gt;0,"OK","CHECK"))</f>
        <v/>
      </c>
      <c r="E143" s="25">
        <f>IF(C143="","",IFERROR(INDEX(lst_JobName,MATCH(C143&amp;"",lst_Jobs,0)),""))</f>
        <v/>
      </c>
      <c r="F143" s="25">
        <f>IF(C143="","",IFERROR(INDEX(tbl_Finance[Client],MATCH(C143&amp;"",tbl_Finance[Job Number],0)),""))</f>
        <v/>
      </c>
      <c r="G143" s="28">
        <f>IF(C143="","",COUNTIFS(tbl_Finance[Job Number],C143&amp;"",tbl_Finance[Ex GST],"&lt;&gt;"))</f>
        <v/>
      </c>
      <c r="H143" s="27">
        <f>IF(C143="","",SUMIFS(tbl_Finance[Ex GST],tbl_Finance[Job Number],C143&amp;""))</f>
        <v/>
      </c>
      <c r="I143" s="27">
        <f>IF(C143="","",SUMIFS(tbl_Finance[Ex GST],tbl_Finance[Job Number],C143&amp;"",tbl_Finance[Xero Invoice No],"&lt;&gt;"))</f>
        <v/>
      </c>
      <c r="J143" s="27">
        <f>IF(C143="","",H143-I143)</f>
        <v/>
      </c>
      <c r="K143" s="25">
        <f>IF(C143="","",IF(G143=0,"not invoiced yet",SUBSTITUTE(TRIM(IF(COUNTIFS(tbl_Finance[Job Number],C143&amp;"",tbl_Finance[Cost Centre],"ONSITE")&gt;0,"ONSITE ","")&amp;IF(COUNTIFS(tbl_Finance[Job Number],C143&amp;"",tbl_Finance[Cost Centre],"PRODUCTION")&gt;0,"PRODUCTION ","")&amp;IF(COUNTIFS(tbl_Finance[Job Number],C143&amp;"",tbl_Finance[Cost Centre],"VIDEO")&gt;0,"VIDEO ","")&amp;IF(COUNTIFS(tbl_Finance[Job Number],C143&amp;"",tbl_Finance[Cost Centre],"INTEGRATION")&gt;0,"INTEGRATION ","")&amp;IF(COUNTIFS(tbl_Finance[Job Number],C143&amp;"",tbl_Finance[Cost Centre],"CONSULTING")&gt;0,"CONSULTING ","")&amp;IF(COUNTIFS(tbl_Finance[Job Number],C143&amp;"",tbl_Finance[Cost Centre],"CTS")&gt;0,"CTS ",""))," ",", ")))</f>
        <v/>
      </c>
      <c r="L143" s="24" t="n"/>
      <c r="M143" s="25">
        <f>IF(L143="","",HYPERLINK(IF(LEFT(L143,4)="http",L143,set_QwilrBase&amp;L143),"Open quote"))</f>
        <v/>
      </c>
      <c r="N143" s="26" t="n"/>
      <c r="O143" s="26" t="n"/>
      <c r="P143" s="26" t="n"/>
      <c r="Q143" s="25">
        <f>IF(C143="","",IF(N(N143)+N(O143)+N(P143)=0,"Not split",IF(ROUND(N(N143)+N(O143)+N(P143),2)=ROUND(H143,2),"OK","MISMATCH")))</f>
        <v/>
      </c>
      <c r="R143" s="26" t="n"/>
      <c r="S143" s="26" t="n"/>
      <c r="T143" s="26" t="n"/>
      <c r="U143" s="27">
        <f>IF(C143="","",N(R143)+N(S143)+N(T143))</f>
        <v/>
      </c>
      <c r="V143" s="27">
        <f>IF(C143="","",H143-U143)</f>
        <v/>
      </c>
      <c r="W143" s="29">
        <f>IFERROR(V143/H143,"")</f>
        <v/>
      </c>
      <c r="X143" s="24" t="n"/>
    </row>
    <row r="144" ht="15" customHeight="1">
      <c r="A144" s="63">
        <f>IF(C144="","",IFERROR(IF(SUMPRODUCT(MAX((tbl_Finance[Job Number]=C144&amp;"")*(tbl_Finance[Xero Invoice No]&lt;&gt;"")*tbl_Finance[Date]))=0,"",SUMPRODUCT(MAX((tbl_Finance[Job Number]=C144&amp;"")*(tbl_Finance[Xero Invoice No]&lt;&gt;"")*tbl_Finance[Date]))),""))</f>
        <v/>
      </c>
      <c r="B144" s="25">
        <f>IF(C144="","",IF(COUNTIFS(tbl_Finance[Job Number],C144&amp;"",tbl_Finance[Xero Invoice No],"&lt;&gt;")=0,"",IFERROR(IF(COUNTIFS(tbl_Finance[Job Number],C144&amp;"",tbl_Finance[Xero Invoice No],LOOKUP(2,1/((tbl_Finance[Job Number]=C144&amp;"")*(tbl_Finance[Xero Invoice No]&lt;&gt;"")),tbl_Finance[Xero Invoice No]))=COUNTIFS(tbl_Finance[Job Number],C144&amp;"",tbl_Finance[Xero Invoice No],"&lt;&gt;"),LOOKUP(2,1/((tbl_Finance[Job Number]=C144&amp;"")*(tbl_Finance[Xero Invoice No]&lt;&gt;"")),tbl_Finance[Xero Invoice No]),LOOKUP(2,1/((tbl_Finance[Job Number]=C144&amp;"")*(tbl_Finance[Xero Invoice No]&lt;&gt;"")),tbl_Finance[Xero Invoice No])&amp;" +more"),"")))</f>
        <v/>
      </c>
      <c r="C144" s="24" t="n"/>
      <c r="D144" s="25">
        <f>IF(C144="","",IF(COUNTIF(lst_Jobs,C144&amp;"")&gt;0,"OK","CHECK"))</f>
        <v/>
      </c>
      <c r="E144" s="25">
        <f>IF(C144="","",IFERROR(INDEX(lst_JobName,MATCH(C144&amp;"",lst_Jobs,0)),""))</f>
        <v/>
      </c>
      <c r="F144" s="25">
        <f>IF(C144="","",IFERROR(INDEX(tbl_Finance[Client],MATCH(C144&amp;"",tbl_Finance[Job Number],0)),""))</f>
        <v/>
      </c>
      <c r="G144" s="28">
        <f>IF(C144="","",COUNTIFS(tbl_Finance[Job Number],C144&amp;"",tbl_Finance[Ex GST],"&lt;&gt;"))</f>
        <v/>
      </c>
      <c r="H144" s="27">
        <f>IF(C144="","",SUMIFS(tbl_Finance[Ex GST],tbl_Finance[Job Number],C144&amp;""))</f>
        <v/>
      </c>
      <c r="I144" s="27">
        <f>IF(C144="","",SUMIFS(tbl_Finance[Ex GST],tbl_Finance[Job Number],C144&amp;"",tbl_Finance[Xero Invoice No],"&lt;&gt;"))</f>
        <v/>
      </c>
      <c r="J144" s="27">
        <f>IF(C144="","",H144-I144)</f>
        <v/>
      </c>
      <c r="K144" s="25">
        <f>IF(C144="","",IF(G144=0,"not invoiced yet",SUBSTITUTE(TRIM(IF(COUNTIFS(tbl_Finance[Job Number],C144&amp;"",tbl_Finance[Cost Centre],"ONSITE")&gt;0,"ONSITE ","")&amp;IF(COUNTIFS(tbl_Finance[Job Number],C144&amp;"",tbl_Finance[Cost Centre],"PRODUCTION")&gt;0,"PRODUCTION ","")&amp;IF(COUNTIFS(tbl_Finance[Job Number],C144&amp;"",tbl_Finance[Cost Centre],"VIDEO")&gt;0,"VIDEO ","")&amp;IF(COUNTIFS(tbl_Finance[Job Number],C144&amp;"",tbl_Finance[Cost Centre],"INTEGRATION")&gt;0,"INTEGRATION ","")&amp;IF(COUNTIFS(tbl_Finance[Job Number],C144&amp;"",tbl_Finance[Cost Centre],"CONSULTING")&gt;0,"CONSULTING ","")&amp;IF(COUNTIFS(tbl_Finance[Job Number],C144&amp;"",tbl_Finance[Cost Centre],"CTS")&gt;0,"CTS ",""))," ",", ")))</f>
        <v/>
      </c>
      <c r="L144" s="24" t="n"/>
      <c r="M144" s="25">
        <f>IF(L144="","",HYPERLINK(IF(LEFT(L144,4)="http",L144,set_QwilrBase&amp;L144),"Open quote"))</f>
        <v/>
      </c>
      <c r="N144" s="26" t="n"/>
      <c r="O144" s="26" t="n"/>
      <c r="P144" s="26" t="n"/>
      <c r="Q144" s="25">
        <f>IF(C144="","",IF(N(N144)+N(O144)+N(P144)=0,"Not split",IF(ROUND(N(N144)+N(O144)+N(P144),2)=ROUND(H144,2),"OK","MISMATCH")))</f>
        <v/>
      </c>
      <c r="R144" s="26" t="n"/>
      <c r="S144" s="26" t="n"/>
      <c r="T144" s="26" t="n"/>
      <c r="U144" s="27">
        <f>IF(C144="","",N(R144)+N(S144)+N(T144))</f>
        <v/>
      </c>
      <c r="V144" s="27">
        <f>IF(C144="","",H144-U144)</f>
        <v/>
      </c>
      <c r="W144" s="29">
        <f>IFERROR(V144/H144,"")</f>
        <v/>
      </c>
      <c r="X144" s="24" t="n"/>
    </row>
    <row r="145" ht="15" customHeight="1">
      <c r="A145" s="63">
        <f>IF(C145="","",IFERROR(IF(SUMPRODUCT(MAX((tbl_Finance[Job Number]=C145&amp;"")*(tbl_Finance[Xero Invoice No]&lt;&gt;"")*tbl_Finance[Date]))=0,"",SUMPRODUCT(MAX((tbl_Finance[Job Number]=C145&amp;"")*(tbl_Finance[Xero Invoice No]&lt;&gt;"")*tbl_Finance[Date]))),""))</f>
        <v/>
      </c>
      <c r="B145" s="25">
        <f>IF(C145="","",IF(COUNTIFS(tbl_Finance[Job Number],C145&amp;"",tbl_Finance[Xero Invoice No],"&lt;&gt;")=0,"",IFERROR(IF(COUNTIFS(tbl_Finance[Job Number],C145&amp;"",tbl_Finance[Xero Invoice No],LOOKUP(2,1/((tbl_Finance[Job Number]=C145&amp;"")*(tbl_Finance[Xero Invoice No]&lt;&gt;"")),tbl_Finance[Xero Invoice No]))=COUNTIFS(tbl_Finance[Job Number],C145&amp;"",tbl_Finance[Xero Invoice No],"&lt;&gt;"),LOOKUP(2,1/((tbl_Finance[Job Number]=C145&amp;"")*(tbl_Finance[Xero Invoice No]&lt;&gt;"")),tbl_Finance[Xero Invoice No]),LOOKUP(2,1/((tbl_Finance[Job Number]=C145&amp;"")*(tbl_Finance[Xero Invoice No]&lt;&gt;"")),tbl_Finance[Xero Invoice No])&amp;" +more"),"")))</f>
        <v/>
      </c>
      <c r="C145" s="24" t="n"/>
      <c r="D145" s="25">
        <f>IF(C145="","",IF(COUNTIF(lst_Jobs,C145&amp;"")&gt;0,"OK","CHECK"))</f>
        <v/>
      </c>
      <c r="E145" s="25">
        <f>IF(C145="","",IFERROR(INDEX(lst_JobName,MATCH(C145&amp;"",lst_Jobs,0)),""))</f>
        <v/>
      </c>
      <c r="F145" s="25">
        <f>IF(C145="","",IFERROR(INDEX(tbl_Finance[Client],MATCH(C145&amp;"",tbl_Finance[Job Number],0)),""))</f>
        <v/>
      </c>
      <c r="G145" s="28">
        <f>IF(C145="","",COUNTIFS(tbl_Finance[Job Number],C145&amp;"",tbl_Finance[Ex GST],"&lt;&gt;"))</f>
        <v/>
      </c>
      <c r="H145" s="27">
        <f>IF(C145="","",SUMIFS(tbl_Finance[Ex GST],tbl_Finance[Job Number],C145&amp;""))</f>
        <v/>
      </c>
      <c r="I145" s="27">
        <f>IF(C145="","",SUMIFS(tbl_Finance[Ex GST],tbl_Finance[Job Number],C145&amp;"",tbl_Finance[Xero Invoice No],"&lt;&gt;"))</f>
        <v/>
      </c>
      <c r="J145" s="27">
        <f>IF(C145="","",H145-I145)</f>
        <v/>
      </c>
      <c r="K145" s="25">
        <f>IF(C145="","",IF(G145=0,"not invoiced yet",SUBSTITUTE(TRIM(IF(COUNTIFS(tbl_Finance[Job Number],C145&amp;"",tbl_Finance[Cost Centre],"ONSITE")&gt;0,"ONSITE ","")&amp;IF(COUNTIFS(tbl_Finance[Job Number],C145&amp;"",tbl_Finance[Cost Centre],"PRODUCTION")&gt;0,"PRODUCTION ","")&amp;IF(COUNTIFS(tbl_Finance[Job Number],C145&amp;"",tbl_Finance[Cost Centre],"VIDEO")&gt;0,"VIDEO ","")&amp;IF(COUNTIFS(tbl_Finance[Job Number],C145&amp;"",tbl_Finance[Cost Centre],"INTEGRATION")&gt;0,"INTEGRATION ","")&amp;IF(COUNTIFS(tbl_Finance[Job Number],C145&amp;"",tbl_Finance[Cost Centre],"CONSULTING")&gt;0,"CONSULTING ","")&amp;IF(COUNTIFS(tbl_Finance[Job Number],C145&amp;"",tbl_Finance[Cost Centre],"CTS")&gt;0,"CTS ",""))," ",", ")))</f>
        <v/>
      </c>
      <c r="L145" s="24" t="n"/>
      <c r="M145" s="25">
        <f>IF(L145="","",HYPERLINK(IF(LEFT(L145,4)="http",L145,set_QwilrBase&amp;L145),"Open quote"))</f>
        <v/>
      </c>
      <c r="N145" s="26" t="n"/>
      <c r="O145" s="26" t="n"/>
      <c r="P145" s="26" t="n"/>
      <c r="Q145" s="25">
        <f>IF(C145="","",IF(N(N145)+N(O145)+N(P145)=0,"Not split",IF(ROUND(N(N145)+N(O145)+N(P145),2)=ROUND(H145,2),"OK","MISMATCH")))</f>
        <v/>
      </c>
      <c r="R145" s="26" t="n"/>
      <c r="S145" s="26" t="n"/>
      <c r="T145" s="26" t="n"/>
      <c r="U145" s="27">
        <f>IF(C145="","",N(R145)+N(S145)+N(T145))</f>
        <v/>
      </c>
      <c r="V145" s="27">
        <f>IF(C145="","",H145-U145)</f>
        <v/>
      </c>
      <c r="W145" s="29">
        <f>IFERROR(V145/H145,"")</f>
        <v/>
      </c>
      <c r="X145" s="24" t="n"/>
    </row>
    <row r="146" ht="15" customHeight="1">
      <c r="A146" s="63">
        <f>IF(C146="","",IFERROR(IF(SUMPRODUCT(MAX((tbl_Finance[Job Number]=C146&amp;"")*(tbl_Finance[Xero Invoice No]&lt;&gt;"")*tbl_Finance[Date]))=0,"",SUMPRODUCT(MAX((tbl_Finance[Job Number]=C146&amp;"")*(tbl_Finance[Xero Invoice No]&lt;&gt;"")*tbl_Finance[Date]))),""))</f>
        <v/>
      </c>
      <c r="B146" s="25">
        <f>IF(C146="","",IF(COUNTIFS(tbl_Finance[Job Number],C146&amp;"",tbl_Finance[Xero Invoice No],"&lt;&gt;")=0,"",IFERROR(IF(COUNTIFS(tbl_Finance[Job Number],C146&amp;"",tbl_Finance[Xero Invoice No],LOOKUP(2,1/((tbl_Finance[Job Number]=C146&amp;"")*(tbl_Finance[Xero Invoice No]&lt;&gt;"")),tbl_Finance[Xero Invoice No]))=COUNTIFS(tbl_Finance[Job Number],C146&amp;"",tbl_Finance[Xero Invoice No],"&lt;&gt;"),LOOKUP(2,1/((tbl_Finance[Job Number]=C146&amp;"")*(tbl_Finance[Xero Invoice No]&lt;&gt;"")),tbl_Finance[Xero Invoice No]),LOOKUP(2,1/((tbl_Finance[Job Number]=C146&amp;"")*(tbl_Finance[Xero Invoice No]&lt;&gt;"")),tbl_Finance[Xero Invoice No])&amp;" +more"),"")))</f>
        <v/>
      </c>
      <c r="C146" s="24" t="n"/>
      <c r="D146" s="25">
        <f>IF(C146="","",IF(COUNTIF(lst_Jobs,C146&amp;"")&gt;0,"OK","CHECK"))</f>
        <v/>
      </c>
      <c r="E146" s="25">
        <f>IF(C146="","",IFERROR(INDEX(lst_JobName,MATCH(C146&amp;"",lst_Jobs,0)),""))</f>
        <v/>
      </c>
      <c r="F146" s="25">
        <f>IF(C146="","",IFERROR(INDEX(tbl_Finance[Client],MATCH(C146&amp;"",tbl_Finance[Job Number],0)),""))</f>
        <v/>
      </c>
      <c r="G146" s="28">
        <f>IF(C146="","",COUNTIFS(tbl_Finance[Job Number],C146&amp;"",tbl_Finance[Ex GST],"&lt;&gt;"))</f>
        <v/>
      </c>
      <c r="H146" s="27">
        <f>IF(C146="","",SUMIFS(tbl_Finance[Ex GST],tbl_Finance[Job Number],C146&amp;""))</f>
        <v/>
      </c>
      <c r="I146" s="27">
        <f>IF(C146="","",SUMIFS(tbl_Finance[Ex GST],tbl_Finance[Job Number],C146&amp;"",tbl_Finance[Xero Invoice No],"&lt;&gt;"))</f>
        <v/>
      </c>
      <c r="J146" s="27">
        <f>IF(C146="","",H146-I146)</f>
        <v/>
      </c>
      <c r="K146" s="25">
        <f>IF(C146="","",IF(G146=0,"not invoiced yet",SUBSTITUTE(TRIM(IF(COUNTIFS(tbl_Finance[Job Number],C146&amp;"",tbl_Finance[Cost Centre],"ONSITE")&gt;0,"ONSITE ","")&amp;IF(COUNTIFS(tbl_Finance[Job Number],C146&amp;"",tbl_Finance[Cost Centre],"PRODUCTION")&gt;0,"PRODUCTION ","")&amp;IF(COUNTIFS(tbl_Finance[Job Number],C146&amp;"",tbl_Finance[Cost Centre],"VIDEO")&gt;0,"VIDEO ","")&amp;IF(COUNTIFS(tbl_Finance[Job Number],C146&amp;"",tbl_Finance[Cost Centre],"INTEGRATION")&gt;0,"INTEGRATION ","")&amp;IF(COUNTIFS(tbl_Finance[Job Number],C146&amp;"",tbl_Finance[Cost Centre],"CONSULTING")&gt;0,"CONSULTING ","")&amp;IF(COUNTIFS(tbl_Finance[Job Number],C146&amp;"",tbl_Finance[Cost Centre],"CTS")&gt;0,"CTS ",""))," ",", ")))</f>
        <v/>
      </c>
      <c r="L146" s="24" t="n"/>
      <c r="M146" s="25">
        <f>IF(L146="","",HYPERLINK(IF(LEFT(L146,4)="http",L146,set_QwilrBase&amp;L146),"Open quote"))</f>
        <v/>
      </c>
      <c r="N146" s="26" t="n"/>
      <c r="O146" s="26" t="n"/>
      <c r="P146" s="26" t="n"/>
      <c r="Q146" s="25">
        <f>IF(C146="","",IF(N(N146)+N(O146)+N(P146)=0,"Not split",IF(ROUND(N(N146)+N(O146)+N(P146),2)=ROUND(H146,2),"OK","MISMATCH")))</f>
        <v/>
      </c>
      <c r="R146" s="26" t="n"/>
      <c r="S146" s="26" t="n"/>
      <c r="T146" s="26" t="n"/>
      <c r="U146" s="27">
        <f>IF(C146="","",N(R146)+N(S146)+N(T146))</f>
        <v/>
      </c>
      <c r="V146" s="27">
        <f>IF(C146="","",H146-U146)</f>
        <v/>
      </c>
      <c r="W146" s="29">
        <f>IFERROR(V146/H146,"")</f>
        <v/>
      </c>
      <c r="X146" s="24" t="n"/>
    </row>
    <row r="147" ht="15" customHeight="1">
      <c r="A147" s="63">
        <f>IF(C147="","",IFERROR(IF(SUMPRODUCT(MAX((tbl_Finance[Job Number]=C147&amp;"")*(tbl_Finance[Xero Invoice No]&lt;&gt;"")*tbl_Finance[Date]))=0,"",SUMPRODUCT(MAX((tbl_Finance[Job Number]=C147&amp;"")*(tbl_Finance[Xero Invoice No]&lt;&gt;"")*tbl_Finance[Date]))),""))</f>
        <v/>
      </c>
      <c r="B147" s="25">
        <f>IF(C147="","",IF(COUNTIFS(tbl_Finance[Job Number],C147&amp;"",tbl_Finance[Xero Invoice No],"&lt;&gt;")=0,"",IFERROR(IF(COUNTIFS(tbl_Finance[Job Number],C147&amp;"",tbl_Finance[Xero Invoice No],LOOKUP(2,1/((tbl_Finance[Job Number]=C147&amp;"")*(tbl_Finance[Xero Invoice No]&lt;&gt;"")),tbl_Finance[Xero Invoice No]))=COUNTIFS(tbl_Finance[Job Number],C147&amp;"",tbl_Finance[Xero Invoice No],"&lt;&gt;"),LOOKUP(2,1/((tbl_Finance[Job Number]=C147&amp;"")*(tbl_Finance[Xero Invoice No]&lt;&gt;"")),tbl_Finance[Xero Invoice No]),LOOKUP(2,1/((tbl_Finance[Job Number]=C147&amp;"")*(tbl_Finance[Xero Invoice No]&lt;&gt;"")),tbl_Finance[Xero Invoice No])&amp;" +more"),"")))</f>
        <v/>
      </c>
      <c r="C147" s="24" t="n"/>
      <c r="D147" s="25">
        <f>IF(C147="","",IF(COUNTIF(lst_Jobs,C147&amp;"")&gt;0,"OK","CHECK"))</f>
        <v/>
      </c>
      <c r="E147" s="25">
        <f>IF(C147="","",IFERROR(INDEX(lst_JobName,MATCH(C147&amp;"",lst_Jobs,0)),""))</f>
        <v/>
      </c>
      <c r="F147" s="25">
        <f>IF(C147="","",IFERROR(INDEX(tbl_Finance[Client],MATCH(C147&amp;"",tbl_Finance[Job Number],0)),""))</f>
        <v/>
      </c>
      <c r="G147" s="28">
        <f>IF(C147="","",COUNTIFS(tbl_Finance[Job Number],C147&amp;"",tbl_Finance[Ex GST],"&lt;&gt;"))</f>
        <v/>
      </c>
      <c r="H147" s="27">
        <f>IF(C147="","",SUMIFS(tbl_Finance[Ex GST],tbl_Finance[Job Number],C147&amp;""))</f>
        <v/>
      </c>
      <c r="I147" s="27">
        <f>IF(C147="","",SUMIFS(tbl_Finance[Ex GST],tbl_Finance[Job Number],C147&amp;"",tbl_Finance[Xero Invoice No],"&lt;&gt;"))</f>
        <v/>
      </c>
      <c r="J147" s="27">
        <f>IF(C147="","",H147-I147)</f>
        <v/>
      </c>
      <c r="K147" s="25">
        <f>IF(C147="","",IF(G147=0,"not invoiced yet",SUBSTITUTE(TRIM(IF(COUNTIFS(tbl_Finance[Job Number],C147&amp;"",tbl_Finance[Cost Centre],"ONSITE")&gt;0,"ONSITE ","")&amp;IF(COUNTIFS(tbl_Finance[Job Number],C147&amp;"",tbl_Finance[Cost Centre],"PRODUCTION")&gt;0,"PRODUCTION ","")&amp;IF(COUNTIFS(tbl_Finance[Job Number],C147&amp;"",tbl_Finance[Cost Centre],"VIDEO")&gt;0,"VIDEO ","")&amp;IF(COUNTIFS(tbl_Finance[Job Number],C147&amp;"",tbl_Finance[Cost Centre],"INTEGRATION")&gt;0,"INTEGRATION ","")&amp;IF(COUNTIFS(tbl_Finance[Job Number],C147&amp;"",tbl_Finance[Cost Centre],"CONSULTING")&gt;0,"CONSULTING ","")&amp;IF(COUNTIFS(tbl_Finance[Job Number],C147&amp;"",tbl_Finance[Cost Centre],"CTS")&gt;0,"CTS ",""))," ",", ")))</f>
        <v/>
      </c>
      <c r="L147" s="24" t="n"/>
      <c r="M147" s="25">
        <f>IF(L147="","",HYPERLINK(IF(LEFT(L147,4)="http",L147,set_QwilrBase&amp;L147),"Open quote"))</f>
        <v/>
      </c>
      <c r="N147" s="26" t="n"/>
      <c r="O147" s="26" t="n"/>
      <c r="P147" s="26" t="n"/>
      <c r="Q147" s="25">
        <f>IF(C147="","",IF(N(N147)+N(O147)+N(P147)=0,"Not split",IF(ROUND(N(N147)+N(O147)+N(P147),2)=ROUND(H147,2),"OK","MISMATCH")))</f>
        <v/>
      </c>
      <c r="R147" s="26" t="n"/>
      <c r="S147" s="26" t="n"/>
      <c r="T147" s="26" t="n"/>
      <c r="U147" s="27">
        <f>IF(C147="","",N(R147)+N(S147)+N(T147))</f>
        <v/>
      </c>
      <c r="V147" s="27">
        <f>IF(C147="","",H147-U147)</f>
        <v/>
      </c>
      <c r="W147" s="29">
        <f>IFERROR(V147/H147,"")</f>
        <v/>
      </c>
      <c r="X147" s="24" t="n"/>
    </row>
    <row r="148" ht="15" customHeight="1">
      <c r="A148" s="63">
        <f>IF(C148="","",IFERROR(IF(SUMPRODUCT(MAX((tbl_Finance[Job Number]=C148&amp;"")*(tbl_Finance[Xero Invoice No]&lt;&gt;"")*tbl_Finance[Date]))=0,"",SUMPRODUCT(MAX((tbl_Finance[Job Number]=C148&amp;"")*(tbl_Finance[Xero Invoice No]&lt;&gt;"")*tbl_Finance[Date]))),""))</f>
        <v/>
      </c>
      <c r="B148" s="25">
        <f>IF(C148="","",IF(COUNTIFS(tbl_Finance[Job Number],C148&amp;"",tbl_Finance[Xero Invoice No],"&lt;&gt;")=0,"",IFERROR(IF(COUNTIFS(tbl_Finance[Job Number],C148&amp;"",tbl_Finance[Xero Invoice No],LOOKUP(2,1/((tbl_Finance[Job Number]=C148&amp;"")*(tbl_Finance[Xero Invoice No]&lt;&gt;"")),tbl_Finance[Xero Invoice No]))=COUNTIFS(tbl_Finance[Job Number],C148&amp;"",tbl_Finance[Xero Invoice No],"&lt;&gt;"),LOOKUP(2,1/((tbl_Finance[Job Number]=C148&amp;"")*(tbl_Finance[Xero Invoice No]&lt;&gt;"")),tbl_Finance[Xero Invoice No]),LOOKUP(2,1/((tbl_Finance[Job Number]=C148&amp;"")*(tbl_Finance[Xero Invoice No]&lt;&gt;"")),tbl_Finance[Xero Invoice No])&amp;" +more"),"")))</f>
        <v/>
      </c>
      <c r="C148" s="24" t="n"/>
      <c r="D148" s="25">
        <f>IF(C148="","",IF(COUNTIF(lst_Jobs,C148&amp;"")&gt;0,"OK","CHECK"))</f>
        <v/>
      </c>
      <c r="E148" s="25">
        <f>IF(C148="","",IFERROR(INDEX(lst_JobName,MATCH(C148&amp;"",lst_Jobs,0)),""))</f>
        <v/>
      </c>
      <c r="F148" s="25">
        <f>IF(C148="","",IFERROR(INDEX(tbl_Finance[Client],MATCH(C148&amp;"",tbl_Finance[Job Number],0)),""))</f>
        <v/>
      </c>
      <c r="G148" s="28">
        <f>IF(C148="","",COUNTIFS(tbl_Finance[Job Number],C148&amp;"",tbl_Finance[Ex GST],"&lt;&gt;"))</f>
        <v/>
      </c>
      <c r="H148" s="27">
        <f>IF(C148="","",SUMIFS(tbl_Finance[Ex GST],tbl_Finance[Job Number],C148&amp;""))</f>
        <v/>
      </c>
      <c r="I148" s="27">
        <f>IF(C148="","",SUMIFS(tbl_Finance[Ex GST],tbl_Finance[Job Number],C148&amp;"",tbl_Finance[Xero Invoice No],"&lt;&gt;"))</f>
        <v/>
      </c>
      <c r="J148" s="27">
        <f>IF(C148="","",H148-I148)</f>
        <v/>
      </c>
      <c r="K148" s="25">
        <f>IF(C148="","",IF(G148=0,"not invoiced yet",SUBSTITUTE(TRIM(IF(COUNTIFS(tbl_Finance[Job Number],C148&amp;"",tbl_Finance[Cost Centre],"ONSITE")&gt;0,"ONSITE ","")&amp;IF(COUNTIFS(tbl_Finance[Job Number],C148&amp;"",tbl_Finance[Cost Centre],"PRODUCTION")&gt;0,"PRODUCTION ","")&amp;IF(COUNTIFS(tbl_Finance[Job Number],C148&amp;"",tbl_Finance[Cost Centre],"VIDEO")&gt;0,"VIDEO ","")&amp;IF(COUNTIFS(tbl_Finance[Job Number],C148&amp;"",tbl_Finance[Cost Centre],"INTEGRATION")&gt;0,"INTEGRATION ","")&amp;IF(COUNTIFS(tbl_Finance[Job Number],C148&amp;"",tbl_Finance[Cost Centre],"CONSULTING")&gt;0,"CONSULTING ","")&amp;IF(COUNTIFS(tbl_Finance[Job Number],C148&amp;"",tbl_Finance[Cost Centre],"CTS")&gt;0,"CTS ",""))," ",", ")))</f>
        <v/>
      </c>
      <c r="L148" s="24" t="n"/>
      <c r="M148" s="25">
        <f>IF(L148="","",HYPERLINK(IF(LEFT(L148,4)="http",L148,set_QwilrBase&amp;L148),"Open quote"))</f>
        <v/>
      </c>
      <c r="N148" s="26" t="n"/>
      <c r="O148" s="26" t="n"/>
      <c r="P148" s="26" t="n"/>
      <c r="Q148" s="25">
        <f>IF(C148="","",IF(N(N148)+N(O148)+N(P148)=0,"Not split",IF(ROUND(N(N148)+N(O148)+N(P148),2)=ROUND(H148,2),"OK","MISMATCH")))</f>
        <v/>
      </c>
      <c r="R148" s="26" t="n"/>
      <c r="S148" s="26" t="n"/>
      <c r="T148" s="26" t="n"/>
      <c r="U148" s="27">
        <f>IF(C148="","",N(R148)+N(S148)+N(T148))</f>
        <v/>
      </c>
      <c r="V148" s="27">
        <f>IF(C148="","",H148-U148)</f>
        <v/>
      </c>
      <c r="W148" s="29">
        <f>IFERROR(V148/H148,"")</f>
        <v/>
      </c>
      <c r="X148" s="24" t="n"/>
    </row>
    <row r="149" ht="15" customHeight="1">
      <c r="A149" s="63">
        <f>IF(C149="","",IFERROR(IF(SUMPRODUCT(MAX((tbl_Finance[Job Number]=C149&amp;"")*(tbl_Finance[Xero Invoice No]&lt;&gt;"")*tbl_Finance[Date]))=0,"",SUMPRODUCT(MAX((tbl_Finance[Job Number]=C149&amp;"")*(tbl_Finance[Xero Invoice No]&lt;&gt;"")*tbl_Finance[Date]))),""))</f>
        <v/>
      </c>
      <c r="B149" s="25">
        <f>IF(C149="","",IF(COUNTIFS(tbl_Finance[Job Number],C149&amp;"",tbl_Finance[Xero Invoice No],"&lt;&gt;")=0,"",IFERROR(IF(COUNTIFS(tbl_Finance[Job Number],C149&amp;"",tbl_Finance[Xero Invoice No],LOOKUP(2,1/((tbl_Finance[Job Number]=C149&amp;"")*(tbl_Finance[Xero Invoice No]&lt;&gt;"")),tbl_Finance[Xero Invoice No]))=COUNTIFS(tbl_Finance[Job Number],C149&amp;"",tbl_Finance[Xero Invoice No],"&lt;&gt;"),LOOKUP(2,1/((tbl_Finance[Job Number]=C149&amp;"")*(tbl_Finance[Xero Invoice No]&lt;&gt;"")),tbl_Finance[Xero Invoice No]),LOOKUP(2,1/((tbl_Finance[Job Number]=C149&amp;"")*(tbl_Finance[Xero Invoice No]&lt;&gt;"")),tbl_Finance[Xero Invoice No])&amp;" +more"),"")))</f>
        <v/>
      </c>
      <c r="C149" s="24" t="n"/>
      <c r="D149" s="25">
        <f>IF(C149="","",IF(COUNTIF(lst_Jobs,C149&amp;"")&gt;0,"OK","CHECK"))</f>
        <v/>
      </c>
      <c r="E149" s="25">
        <f>IF(C149="","",IFERROR(INDEX(lst_JobName,MATCH(C149&amp;"",lst_Jobs,0)),""))</f>
        <v/>
      </c>
      <c r="F149" s="25">
        <f>IF(C149="","",IFERROR(INDEX(tbl_Finance[Client],MATCH(C149&amp;"",tbl_Finance[Job Number],0)),""))</f>
        <v/>
      </c>
      <c r="G149" s="28">
        <f>IF(C149="","",COUNTIFS(tbl_Finance[Job Number],C149&amp;"",tbl_Finance[Ex GST],"&lt;&gt;"))</f>
        <v/>
      </c>
      <c r="H149" s="27">
        <f>IF(C149="","",SUMIFS(tbl_Finance[Ex GST],tbl_Finance[Job Number],C149&amp;""))</f>
        <v/>
      </c>
      <c r="I149" s="27">
        <f>IF(C149="","",SUMIFS(tbl_Finance[Ex GST],tbl_Finance[Job Number],C149&amp;"",tbl_Finance[Xero Invoice No],"&lt;&gt;"))</f>
        <v/>
      </c>
      <c r="J149" s="27">
        <f>IF(C149="","",H149-I149)</f>
        <v/>
      </c>
      <c r="K149" s="25">
        <f>IF(C149="","",IF(G149=0,"not invoiced yet",SUBSTITUTE(TRIM(IF(COUNTIFS(tbl_Finance[Job Number],C149&amp;"",tbl_Finance[Cost Centre],"ONSITE")&gt;0,"ONSITE ","")&amp;IF(COUNTIFS(tbl_Finance[Job Number],C149&amp;"",tbl_Finance[Cost Centre],"PRODUCTION")&gt;0,"PRODUCTION ","")&amp;IF(COUNTIFS(tbl_Finance[Job Number],C149&amp;"",tbl_Finance[Cost Centre],"VIDEO")&gt;0,"VIDEO ","")&amp;IF(COUNTIFS(tbl_Finance[Job Number],C149&amp;"",tbl_Finance[Cost Centre],"INTEGRATION")&gt;0,"INTEGRATION ","")&amp;IF(COUNTIFS(tbl_Finance[Job Number],C149&amp;"",tbl_Finance[Cost Centre],"CONSULTING")&gt;0,"CONSULTING ","")&amp;IF(COUNTIFS(tbl_Finance[Job Number],C149&amp;"",tbl_Finance[Cost Centre],"CTS")&gt;0,"CTS ",""))," ",", ")))</f>
        <v/>
      </c>
      <c r="L149" s="24" t="n"/>
      <c r="M149" s="25">
        <f>IF(L149="","",HYPERLINK(IF(LEFT(L149,4)="http",L149,set_QwilrBase&amp;L149),"Open quote"))</f>
        <v/>
      </c>
      <c r="N149" s="26" t="n"/>
      <c r="O149" s="26" t="n"/>
      <c r="P149" s="26" t="n"/>
      <c r="Q149" s="25">
        <f>IF(C149="","",IF(N(N149)+N(O149)+N(P149)=0,"Not split",IF(ROUND(N(N149)+N(O149)+N(P149),2)=ROUND(H149,2),"OK","MISMATCH")))</f>
        <v/>
      </c>
      <c r="R149" s="26" t="n"/>
      <c r="S149" s="26" t="n"/>
      <c r="T149" s="26" t="n"/>
      <c r="U149" s="27">
        <f>IF(C149="","",N(R149)+N(S149)+N(T149))</f>
        <v/>
      </c>
      <c r="V149" s="27">
        <f>IF(C149="","",H149-U149)</f>
        <v/>
      </c>
      <c r="W149" s="29">
        <f>IFERROR(V149/H149,"")</f>
        <v/>
      </c>
      <c r="X149" s="24" t="n"/>
    </row>
    <row r="150" ht="15" customHeight="1">
      <c r="A150" s="63">
        <f>IF(C150="","",IFERROR(IF(SUMPRODUCT(MAX((tbl_Finance[Job Number]=C150&amp;"")*(tbl_Finance[Xero Invoice No]&lt;&gt;"")*tbl_Finance[Date]))=0,"",SUMPRODUCT(MAX((tbl_Finance[Job Number]=C150&amp;"")*(tbl_Finance[Xero Invoice No]&lt;&gt;"")*tbl_Finance[Date]))),""))</f>
        <v/>
      </c>
      <c r="B150" s="25">
        <f>IF(C150="","",IF(COUNTIFS(tbl_Finance[Job Number],C150&amp;"",tbl_Finance[Xero Invoice No],"&lt;&gt;")=0,"",IFERROR(IF(COUNTIFS(tbl_Finance[Job Number],C150&amp;"",tbl_Finance[Xero Invoice No],LOOKUP(2,1/((tbl_Finance[Job Number]=C150&amp;"")*(tbl_Finance[Xero Invoice No]&lt;&gt;"")),tbl_Finance[Xero Invoice No]))=COUNTIFS(tbl_Finance[Job Number],C150&amp;"",tbl_Finance[Xero Invoice No],"&lt;&gt;"),LOOKUP(2,1/((tbl_Finance[Job Number]=C150&amp;"")*(tbl_Finance[Xero Invoice No]&lt;&gt;"")),tbl_Finance[Xero Invoice No]),LOOKUP(2,1/((tbl_Finance[Job Number]=C150&amp;"")*(tbl_Finance[Xero Invoice No]&lt;&gt;"")),tbl_Finance[Xero Invoice No])&amp;" +more"),"")))</f>
        <v/>
      </c>
      <c r="C150" s="24" t="n"/>
      <c r="D150" s="25">
        <f>IF(C150="","",IF(COUNTIF(lst_Jobs,C150&amp;"")&gt;0,"OK","CHECK"))</f>
        <v/>
      </c>
      <c r="E150" s="25">
        <f>IF(C150="","",IFERROR(INDEX(lst_JobName,MATCH(C150&amp;"",lst_Jobs,0)),""))</f>
        <v/>
      </c>
      <c r="F150" s="25">
        <f>IF(C150="","",IFERROR(INDEX(tbl_Finance[Client],MATCH(C150&amp;"",tbl_Finance[Job Number],0)),""))</f>
        <v/>
      </c>
      <c r="G150" s="28">
        <f>IF(C150="","",COUNTIFS(tbl_Finance[Job Number],C150&amp;"",tbl_Finance[Ex GST],"&lt;&gt;"))</f>
        <v/>
      </c>
      <c r="H150" s="27">
        <f>IF(C150="","",SUMIFS(tbl_Finance[Ex GST],tbl_Finance[Job Number],C150&amp;""))</f>
        <v/>
      </c>
      <c r="I150" s="27">
        <f>IF(C150="","",SUMIFS(tbl_Finance[Ex GST],tbl_Finance[Job Number],C150&amp;"",tbl_Finance[Xero Invoice No],"&lt;&gt;"))</f>
        <v/>
      </c>
      <c r="J150" s="27">
        <f>IF(C150="","",H150-I150)</f>
        <v/>
      </c>
      <c r="K150" s="25">
        <f>IF(C150="","",IF(G150=0,"not invoiced yet",SUBSTITUTE(TRIM(IF(COUNTIFS(tbl_Finance[Job Number],C150&amp;"",tbl_Finance[Cost Centre],"ONSITE")&gt;0,"ONSITE ","")&amp;IF(COUNTIFS(tbl_Finance[Job Number],C150&amp;"",tbl_Finance[Cost Centre],"PRODUCTION")&gt;0,"PRODUCTION ","")&amp;IF(COUNTIFS(tbl_Finance[Job Number],C150&amp;"",tbl_Finance[Cost Centre],"VIDEO")&gt;0,"VIDEO ","")&amp;IF(COUNTIFS(tbl_Finance[Job Number],C150&amp;"",tbl_Finance[Cost Centre],"INTEGRATION")&gt;0,"INTEGRATION ","")&amp;IF(COUNTIFS(tbl_Finance[Job Number],C150&amp;"",tbl_Finance[Cost Centre],"CONSULTING")&gt;0,"CONSULTING ","")&amp;IF(COUNTIFS(tbl_Finance[Job Number],C150&amp;"",tbl_Finance[Cost Centre],"CTS")&gt;0,"CTS ",""))," ",", ")))</f>
        <v/>
      </c>
      <c r="L150" s="24" t="n"/>
      <c r="M150" s="25">
        <f>IF(L150="","",HYPERLINK(IF(LEFT(L150,4)="http",L150,set_QwilrBase&amp;L150),"Open quote"))</f>
        <v/>
      </c>
      <c r="N150" s="26" t="n"/>
      <c r="O150" s="26" t="n"/>
      <c r="P150" s="26" t="n"/>
      <c r="Q150" s="25">
        <f>IF(C150="","",IF(N(N150)+N(O150)+N(P150)=0,"Not split",IF(ROUND(N(N150)+N(O150)+N(P150),2)=ROUND(H150,2),"OK","MISMATCH")))</f>
        <v/>
      </c>
      <c r="R150" s="26" t="n"/>
      <c r="S150" s="26" t="n"/>
      <c r="T150" s="26" t="n"/>
      <c r="U150" s="27">
        <f>IF(C150="","",N(R150)+N(S150)+N(T150))</f>
        <v/>
      </c>
      <c r="V150" s="27">
        <f>IF(C150="","",H150-U150)</f>
        <v/>
      </c>
      <c r="W150" s="29">
        <f>IFERROR(V150/H150,"")</f>
        <v/>
      </c>
      <c r="X150" s="24" t="n"/>
    </row>
    <row r="151" ht="15" customHeight="1">
      <c r="A151" s="63">
        <f>IF(C151="","",IFERROR(IF(SUMPRODUCT(MAX((tbl_Finance[Job Number]=C151&amp;"")*(tbl_Finance[Xero Invoice No]&lt;&gt;"")*tbl_Finance[Date]))=0,"",SUMPRODUCT(MAX((tbl_Finance[Job Number]=C151&amp;"")*(tbl_Finance[Xero Invoice No]&lt;&gt;"")*tbl_Finance[Date]))),""))</f>
        <v/>
      </c>
      <c r="B151" s="25">
        <f>IF(C151="","",IF(COUNTIFS(tbl_Finance[Job Number],C151&amp;"",tbl_Finance[Xero Invoice No],"&lt;&gt;")=0,"",IFERROR(IF(COUNTIFS(tbl_Finance[Job Number],C151&amp;"",tbl_Finance[Xero Invoice No],LOOKUP(2,1/((tbl_Finance[Job Number]=C151&amp;"")*(tbl_Finance[Xero Invoice No]&lt;&gt;"")),tbl_Finance[Xero Invoice No]))=COUNTIFS(tbl_Finance[Job Number],C151&amp;"",tbl_Finance[Xero Invoice No],"&lt;&gt;"),LOOKUP(2,1/((tbl_Finance[Job Number]=C151&amp;"")*(tbl_Finance[Xero Invoice No]&lt;&gt;"")),tbl_Finance[Xero Invoice No]),LOOKUP(2,1/((tbl_Finance[Job Number]=C151&amp;"")*(tbl_Finance[Xero Invoice No]&lt;&gt;"")),tbl_Finance[Xero Invoice No])&amp;" +more"),"")))</f>
        <v/>
      </c>
      <c r="C151" s="24" t="n"/>
      <c r="D151" s="25">
        <f>IF(C151="","",IF(COUNTIF(lst_Jobs,C151&amp;"")&gt;0,"OK","CHECK"))</f>
        <v/>
      </c>
      <c r="E151" s="25">
        <f>IF(C151="","",IFERROR(INDEX(lst_JobName,MATCH(C151&amp;"",lst_Jobs,0)),""))</f>
        <v/>
      </c>
      <c r="F151" s="25">
        <f>IF(C151="","",IFERROR(INDEX(tbl_Finance[Client],MATCH(C151&amp;"",tbl_Finance[Job Number],0)),""))</f>
        <v/>
      </c>
      <c r="G151" s="28">
        <f>IF(C151="","",COUNTIFS(tbl_Finance[Job Number],C151&amp;"",tbl_Finance[Ex GST],"&lt;&gt;"))</f>
        <v/>
      </c>
      <c r="H151" s="27">
        <f>IF(C151="","",SUMIFS(tbl_Finance[Ex GST],tbl_Finance[Job Number],C151&amp;""))</f>
        <v/>
      </c>
      <c r="I151" s="27">
        <f>IF(C151="","",SUMIFS(tbl_Finance[Ex GST],tbl_Finance[Job Number],C151&amp;"",tbl_Finance[Xero Invoice No],"&lt;&gt;"))</f>
        <v/>
      </c>
      <c r="J151" s="27">
        <f>IF(C151="","",H151-I151)</f>
        <v/>
      </c>
      <c r="K151" s="25">
        <f>IF(C151="","",IF(G151=0,"not invoiced yet",SUBSTITUTE(TRIM(IF(COUNTIFS(tbl_Finance[Job Number],C151&amp;"",tbl_Finance[Cost Centre],"ONSITE")&gt;0,"ONSITE ","")&amp;IF(COUNTIFS(tbl_Finance[Job Number],C151&amp;"",tbl_Finance[Cost Centre],"PRODUCTION")&gt;0,"PRODUCTION ","")&amp;IF(COUNTIFS(tbl_Finance[Job Number],C151&amp;"",tbl_Finance[Cost Centre],"VIDEO")&gt;0,"VIDEO ","")&amp;IF(COUNTIFS(tbl_Finance[Job Number],C151&amp;"",tbl_Finance[Cost Centre],"INTEGRATION")&gt;0,"INTEGRATION ","")&amp;IF(COUNTIFS(tbl_Finance[Job Number],C151&amp;"",tbl_Finance[Cost Centre],"CONSULTING")&gt;0,"CONSULTING ","")&amp;IF(COUNTIFS(tbl_Finance[Job Number],C151&amp;"",tbl_Finance[Cost Centre],"CTS")&gt;0,"CTS ",""))," ",", ")))</f>
        <v/>
      </c>
      <c r="L151" s="24" t="n"/>
      <c r="M151" s="25">
        <f>IF(L151="","",HYPERLINK(IF(LEFT(L151,4)="http",L151,set_QwilrBase&amp;L151),"Open quote"))</f>
        <v/>
      </c>
      <c r="N151" s="26" t="n"/>
      <c r="O151" s="26" t="n"/>
      <c r="P151" s="26" t="n"/>
      <c r="Q151" s="25">
        <f>IF(C151="","",IF(N(N151)+N(O151)+N(P151)=0,"Not split",IF(ROUND(N(N151)+N(O151)+N(P151),2)=ROUND(H151,2),"OK","MISMATCH")))</f>
        <v/>
      </c>
      <c r="R151" s="26" t="n"/>
      <c r="S151" s="26" t="n"/>
      <c r="T151" s="26" t="n"/>
      <c r="U151" s="27">
        <f>IF(C151="","",N(R151)+N(S151)+N(T151))</f>
        <v/>
      </c>
      <c r="V151" s="27">
        <f>IF(C151="","",H151-U151)</f>
        <v/>
      </c>
      <c r="W151" s="29">
        <f>IFERROR(V151/H151,"")</f>
        <v/>
      </c>
      <c r="X151" s="24" t="n"/>
    </row>
    <row r="152" ht="15" customHeight="1">
      <c r="A152" s="63">
        <f>IF(C152="","",IFERROR(IF(SUMPRODUCT(MAX((tbl_Finance[Job Number]=C152&amp;"")*(tbl_Finance[Xero Invoice No]&lt;&gt;"")*tbl_Finance[Date]))=0,"",SUMPRODUCT(MAX((tbl_Finance[Job Number]=C152&amp;"")*(tbl_Finance[Xero Invoice No]&lt;&gt;"")*tbl_Finance[Date]))),""))</f>
        <v/>
      </c>
      <c r="B152" s="25">
        <f>IF(C152="","",IF(COUNTIFS(tbl_Finance[Job Number],C152&amp;"",tbl_Finance[Xero Invoice No],"&lt;&gt;")=0,"",IFERROR(IF(COUNTIFS(tbl_Finance[Job Number],C152&amp;"",tbl_Finance[Xero Invoice No],LOOKUP(2,1/((tbl_Finance[Job Number]=C152&amp;"")*(tbl_Finance[Xero Invoice No]&lt;&gt;"")),tbl_Finance[Xero Invoice No]))=COUNTIFS(tbl_Finance[Job Number],C152&amp;"",tbl_Finance[Xero Invoice No],"&lt;&gt;"),LOOKUP(2,1/((tbl_Finance[Job Number]=C152&amp;"")*(tbl_Finance[Xero Invoice No]&lt;&gt;"")),tbl_Finance[Xero Invoice No]),LOOKUP(2,1/((tbl_Finance[Job Number]=C152&amp;"")*(tbl_Finance[Xero Invoice No]&lt;&gt;"")),tbl_Finance[Xero Invoice No])&amp;" +more"),"")))</f>
        <v/>
      </c>
      <c r="C152" s="24" t="n"/>
      <c r="D152" s="25">
        <f>IF(C152="","",IF(COUNTIF(lst_Jobs,C152&amp;"")&gt;0,"OK","CHECK"))</f>
        <v/>
      </c>
      <c r="E152" s="25">
        <f>IF(C152="","",IFERROR(INDEX(lst_JobName,MATCH(C152&amp;"",lst_Jobs,0)),""))</f>
        <v/>
      </c>
      <c r="F152" s="25">
        <f>IF(C152="","",IFERROR(INDEX(tbl_Finance[Client],MATCH(C152&amp;"",tbl_Finance[Job Number],0)),""))</f>
        <v/>
      </c>
      <c r="G152" s="28">
        <f>IF(C152="","",COUNTIFS(tbl_Finance[Job Number],C152&amp;"",tbl_Finance[Ex GST],"&lt;&gt;"))</f>
        <v/>
      </c>
      <c r="H152" s="27">
        <f>IF(C152="","",SUMIFS(tbl_Finance[Ex GST],tbl_Finance[Job Number],C152&amp;""))</f>
        <v/>
      </c>
      <c r="I152" s="27">
        <f>IF(C152="","",SUMIFS(tbl_Finance[Ex GST],tbl_Finance[Job Number],C152&amp;"",tbl_Finance[Xero Invoice No],"&lt;&gt;"))</f>
        <v/>
      </c>
      <c r="J152" s="27">
        <f>IF(C152="","",H152-I152)</f>
        <v/>
      </c>
      <c r="K152" s="25">
        <f>IF(C152="","",IF(G152=0,"not invoiced yet",SUBSTITUTE(TRIM(IF(COUNTIFS(tbl_Finance[Job Number],C152&amp;"",tbl_Finance[Cost Centre],"ONSITE")&gt;0,"ONSITE ","")&amp;IF(COUNTIFS(tbl_Finance[Job Number],C152&amp;"",tbl_Finance[Cost Centre],"PRODUCTION")&gt;0,"PRODUCTION ","")&amp;IF(COUNTIFS(tbl_Finance[Job Number],C152&amp;"",tbl_Finance[Cost Centre],"VIDEO")&gt;0,"VIDEO ","")&amp;IF(COUNTIFS(tbl_Finance[Job Number],C152&amp;"",tbl_Finance[Cost Centre],"INTEGRATION")&gt;0,"INTEGRATION ","")&amp;IF(COUNTIFS(tbl_Finance[Job Number],C152&amp;"",tbl_Finance[Cost Centre],"CONSULTING")&gt;0,"CONSULTING ","")&amp;IF(COUNTIFS(tbl_Finance[Job Number],C152&amp;"",tbl_Finance[Cost Centre],"CTS")&gt;0,"CTS ",""))," ",", ")))</f>
        <v/>
      </c>
      <c r="L152" s="24" t="n"/>
      <c r="M152" s="25">
        <f>IF(L152="","",HYPERLINK(IF(LEFT(L152,4)="http",L152,set_QwilrBase&amp;L152),"Open quote"))</f>
        <v/>
      </c>
      <c r="N152" s="26" t="n"/>
      <c r="O152" s="26" t="n"/>
      <c r="P152" s="26" t="n"/>
      <c r="Q152" s="25">
        <f>IF(C152="","",IF(N(N152)+N(O152)+N(P152)=0,"Not split",IF(ROUND(N(N152)+N(O152)+N(P152),2)=ROUND(H152,2),"OK","MISMATCH")))</f>
        <v/>
      </c>
      <c r="R152" s="26" t="n"/>
      <c r="S152" s="26" t="n"/>
      <c r="T152" s="26" t="n"/>
      <c r="U152" s="27">
        <f>IF(C152="","",N(R152)+N(S152)+N(T152))</f>
        <v/>
      </c>
      <c r="V152" s="27">
        <f>IF(C152="","",H152-U152)</f>
        <v/>
      </c>
      <c r="W152" s="29">
        <f>IFERROR(V152/H152,"")</f>
        <v/>
      </c>
      <c r="X152" s="24" t="n"/>
    </row>
    <row r="153" ht="15" customHeight="1">
      <c r="A153" s="63">
        <f>IF(C153="","",IFERROR(IF(SUMPRODUCT(MAX((tbl_Finance[Job Number]=C153&amp;"")*(tbl_Finance[Xero Invoice No]&lt;&gt;"")*tbl_Finance[Date]))=0,"",SUMPRODUCT(MAX((tbl_Finance[Job Number]=C153&amp;"")*(tbl_Finance[Xero Invoice No]&lt;&gt;"")*tbl_Finance[Date]))),""))</f>
        <v/>
      </c>
      <c r="B153" s="25">
        <f>IF(C153="","",IF(COUNTIFS(tbl_Finance[Job Number],C153&amp;"",tbl_Finance[Xero Invoice No],"&lt;&gt;")=0,"",IFERROR(IF(COUNTIFS(tbl_Finance[Job Number],C153&amp;"",tbl_Finance[Xero Invoice No],LOOKUP(2,1/((tbl_Finance[Job Number]=C153&amp;"")*(tbl_Finance[Xero Invoice No]&lt;&gt;"")),tbl_Finance[Xero Invoice No]))=COUNTIFS(tbl_Finance[Job Number],C153&amp;"",tbl_Finance[Xero Invoice No],"&lt;&gt;"),LOOKUP(2,1/((tbl_Finance[Job Number]=C153&amp;"")*(tbl_Finance[Xero Invoice No]&lt;&gt;"")),tbl_Finance[Xero Invoice No]),LOOKUP(2,1/((tbl_Finance[Job Number]=C153&amp;"")*(tbl_Finance[Xero Invoice No]&lt;&gt;"")),tbl_Finance[Xero Invoice No])&amp;" +more"),"")))</f>
        <v/>
      </c>
      <c r="C153" s="24" t="n"/>
      <c r="D153" s="25">
        <f>IF(C153="","",IF(COUNTIF(lst_Jobs,C153&amp;"")&gt;0,"OK","CHECK"))</f>
        <v/>
      </c>
      <c r="E153" s="25">
        <f>IF(C153="","",IFERROR(INDEX(lst_JobName,MATCH(C153&amp;"",lst_Jobs,0)),""))</f>
        <v/>
      </c>
      <c r="F153" s="25">
        <f>IF(C153="","",IFERROR(INDEX(tbl_Finance[Client],MATCH(C153&amp;"",tbl_Finance[Job Number],0)),""))</f>
        <v/>
      </c>
      <c r="G153" s="28">
        <f>IF(C153="","",COUNTIFS(tbl_Finance[Job Number],C153&amp;"",tbl_Finance[Ex GST],"&lt;&gt;"))</f>
        <v/>
      </c>
      <c r="H153" s="27">
        <f>IF(C153="","",SUMIFS(tbl_Finance[Ex GST],tbl_Finance[Job Number],C153&amp;""))</f>
        <v/>
      </c>
      <c r="I153" s="27">
        <f>IF(C153="","",SUMIFS(tbl_Finance[Ex GST],tbl_Finance[Job Number],C153&amp;"",tbl_Finance[Xero Invoice No],"&lt;&gt;"))</f>
        <v/>
      </c>
      <c r="J153" s="27">
        <f>IF(C153="","",H153-I153)</f>
        <v/>
      </c>
      <c r="K153" s="25">
        <f>IF(C153="","",IF(G153=0,"not invoiced yet",SUBSTITUTE(TRIM(IF(COUNTIFS(tbl_Finance[Job Number],C153&amp;"",tbl_Finance[Cost Centre],"ONSITE")&gt;0,"ONSITE ","")&amp;IF(COUNTIFS(tbl_Finance[Job Number],C153&amp;"",tbl_Finance[Cost Centre],"PRODUCTION")&gt;0,"PRODUCTION ","")&amp;IF(COUNTIFS(tbl_Finance[Job Number],C153&amp;"",tbl_Finance[Cost Centre],"VIDEO")&gt;0,"VIDEO ","")&amp;IF(COUNTIFS(tbl_Finance[Job Number],C153&amp;"",tbl_Finance[Cost Centre],"INTEGRATION")&gt;0,"INTEGRATION ","")&amp;IF(COUNTIFS(tbl_Finance[Job Number],C153&amp;"",tbl_Finance[Cost Centre],"CONSULTING")&gt;0,"CONSULTING ","")&amp;IF(COUNTIFS(tbl_Finance[Job Number],C153&amp;"",tbl_Finance[Cost Centre],"CTS")&gt;0,"CTS ",""))," ",", ")))</f>
        <v/>
      </c>
      <c r="L153" s="24" t="n"/>
      <c r="M153" s="25">
        <f>IF(L153="","",HYPERLINK(IF(LEFT(L153,4)="http",L153,set_QwilrBase&amp;L153),"Open quote"))</f>
        <v/>
      </c>
      <c r="N153" s="26" t="n"/>
      <c r="O153" s="26" t="n"/>
      <c r="P153" s="26" t="n"/>
      <c r="Q153" s="25">
        <f>IF(C153="","",IF(N(N153)+N(O153)+N(P153)=0,"Not split",IF(ROUND(N(N153)+N(O153)+N(P153),2)=ROUND(H153,2),"OK","MISMATCH")))</f>
        <v/>
      </c>
      <c r="R153" s="26" t="n"/>
      <c r="S153" s="26" t="n"/>
      <c r="T153" s="26" t="n"/>
      <c r="U153" s="27">
        <f>IF(C153="","",N(R153)+N(S153)+N(T153))</f>
        <v/>
      </c>
      <c r="V153" s="27">
        <f>IF(C153="","",H153-U153)</f>
        <v/>
      </c>
      <c r="W153" s="29">
        <f>IFERROR(V153/H153,"")</f>
        <v/>
      </c>
      <c r="X153" s="24" t="n"/>
    </row>
    <row r="154" ht="15" customHeight="1">
      <c r="A154" s="63">
        <f>IF(C154="","",IFERROR(IF(SUMPRODUCT(MAX((tbl_Finance[Job Number]=C154&amp;"")*(tbl_Finance[Xero Invoice No]&lt;&gt;"")*tbl_Finance[Date]))=0,"",SUMPRODUCT(MAX((tbl_Finance[Job Number]=C154&amp;"")*(tbl_Finance[Xero Invoice No]&lt;&gt;"")*tbl_Finance[Date]))),""))</f>
        <v/>
      </c>
      <c r="B154" s="25">
        <f>IF(C154="","",IF(COUNTIFS(tbl_Finance[Job Number],C154&amp;"",tbl_Finance[Xero Invoice No],"&lt;&gt;")=0,"",IFERROR(IF(COUNTIFS(tbl_Finance[Job Number],C154&amp;"",tbl_Finance[Xero Invoice No],LOOKUP(2,1/((tbl_Finance[Job Number]=C154&amp;"")*(tbl_Finance[Xero Invoice No]&lt;&gt;"")),tbl_Finance[Xero Invoice No]))=COUNTIFS(tbl_Finance[Job Number],C154&amp;"",tbl_Finance[Xero Invoice No],"&lt;&gt;"),LOOKUP(2,1/((tbl_Finance[Job Number]=C154&amp;"")*(tbl_Finance[Xero Invoice No]&lt;&gt;"")),tbl_Finance[Xero Invoice No]),LOOKUP(2,1/((tbl_Finance[Job Number]=C154&amp;"")*(tbl_Finance[Xero Invoice No]&lt;&gt;"")),tbl_Finance[Xero Invoice No])&amp;" +more"),"")))</f>
        <v/>
      </c>
      <c r="C154" s="24" t="n"/>
      <c r="D154" s="25">
        <f>IF(C154="","",IF(COUNTIF(lst_Jobs,C154&amp;"")&gt;0,"OK","CHECK"))</f>
        <v/>
      </c>
      <c r="E154" s="25">
        <f>IF(C154="","",IFERROR(INDEX(lst_JobName,MATCH(C154&amp;"",lst_Jobs,0)),""))</f>
        <v/>
      </c>
      <c r="F154" s="25">
        <f>IF(C154="","",IFERROR(INDEX(tbl_Finance[Client],MATCH(C154&amp;"",tbl_Finance[Job Number],0)),""))</f>
        <v/>
      </c>
      <c r="G154" s="28">
        <f>IF(C154="","",COUNTIFS(tbl_Finance[Job Number],C154&amp;"",tbl_Finance[Ex GST],"&lt;&gt;"))</f>
        <v/>
      </c>
      <c r="H154" s="27">
        <f>IF(C154="","",SUMIFS(tbl_Finance[Ex GST],tbl_Finance[Job Number],C154&amp;""))</f>
        <v/>
      </c>
      <c r="I154" s="27">
        <f>IF(C154="","",SUMIFS(tbl_Finance[Ex GST],tbl_Finance[Job Number],C154&amp;"",tbl_Finance[Xero Invoice No],"&lt;&gt;"))</f>
        <v/>
      </c>
      <c r="J154" s="27">
        <f>IF(C154="","",H154-I154)</f>
        <v/>
      </c>
      <c r="K154" s="25">
        <f>IF(C154="","",IF(G154=0,"not invoiced yet",SUBSTITUTE(TRIM(IF(COUNTIFS(tbl_Finance[Job Number],C154&amp;"",tbl_Finance[Cost Centre],"ONSITE")&gt;0,"ONSITE ","")&amp;IF(COUNTIFS(tbl_Finance[Job Number],C154&amp;"",tbl_Finance[Cost Centre],"PRODUCTION")&gt;0,"PRODUCTION ","")&amp;IF(COUNTIFS(tbl_Finance[Job Number],C154&amp;"",tbl_Finance[Cost Centre],"VIDEO")&gt;0,"VIDEO ","")&amp;IF(COUNTIFS(tbl_Finance[Job Number],C154&amp;"",tbl_Finance[Cost Centre],"INTEGRATION")&gt;0,"INTEGRATION ","")&amp;IF(COUNTIFS(tbl_Finance[Job Number],C154&amp;"",tbl_Finance[Cost Centre],"CONSULTING")&gt;0,"CONSULTING ","")&amp;IF(COUNTIFS(tbl_Finance[Job Number],C154&amp;"",tbl_Finance[Cost Centre],"CTS")&gt;0,"CTS ",""))," ",", ")))</f>
        <v/>
      </c>
      <c r="L154" s="24" t="n"/>
      <c r="M154" s="25">
        <f>IF(L154="","",HYPERLINK(IF(LEFT(L154,4)="http",L154,set_QwilrBase&amp;L154),"Open quote"))</f>
        <v/>
      </c>
      <c r="N154" s="26" t="n"/>
      <c r="O154" s="26" t="n"/>
      <c r="P154" s="26" t="n"/>
      <c r="Q154" s="25">
        <f>IF(C154="","",IF(N(N154)+N(O154)+N(P154)=0,"Not split",IF(ROUND(N(N154)+N(O154)+N(P154),2)=ROUND(H154,2),"OK","MISMATCH")))</f>
        <v/>
      </c>
      <c r="R154" s="26" t="n"/>
      <c r="S154" s="26" t="n"/>
      <c r="T154" s="26" t="n"/>
      <c r="U154" s="27">
        <f>IF(C154="","",N(R154)+N(S154)+N(T154))</f>
        <v/>
      </c>
      <c r="V154" s="27">
        <f>IF(C154="","",H154-U154)</f>
        <v/>
      </c>
      <c r="W154" s="29">
        <f>IFERROR(V154/H154,"")</f>
        <v/>
      </c>
      <c r="X154" s="24" t="n"/>
    </row>
    <row r="155" ht="15" customHeight="1">
      <c r="A155" s="63">
        <f>IF(C155="","",IFERROR(IF(SUMPRODUCT(MAX((tbl_Finance[Job Number]=C155&amp;"")*(tbl_Finance[Xero Invoice No]&lt;&gt;"")*tbl_Finance[Date]))=0,"",SUMPRODUCT(MAX((tbl_Finance[Job Number]=C155&amp;"")*(tbl_Finance[Xero Invoice No]&lt;&gt;"")*tbl_Finance[Date]))),""))</f>
        <v/>
      </c>
      <c r="B155" s="25">
        <f>IF(C155="","",IF(COUNTIFS(tbl_Finance[Job Number],C155&amp;"",tbl_Finance[Xero Invoice No],"&lt;&gt;")=0,"",IFERROR(IF(COUNTIFS(tbl_Finance[Job Number],C155&amp;"",tbl_Finance[Xero Invoice No],LOOKUP(2,1/((tbl_Finance[Job Number]=C155&amp;"")*(tbl_Finance[Xero Invoice No]&lt;&gt;"")),tbl_Finance[Xero Invoice No]))=COUNTIFS(tbl_Finance[Job Number],C155&amp;"",tbl_Finance[Xero Invoice No],"&lt;&gt;"),LOOKUP(2,1/((tbl_Finance[Job Number]=C155&amp;"")*(tbl_Finance[Xero Invoice No]&lt;&gt;"")),tbl_Finance[Xero Invoice No]),LOOKUP(2,1/((tbl_Finance[Job Number]=C155&amp;"")*(tbl_Finance[Xero Invoice No]&lt;&gt;"")),tbl_Finance[Xero Invoice No])&amp;" +more"),"")))</f>
        <v/>
      </c>
      <c r="C155" s="24" t="n"/>
      <c r="D155" s="25">
        <f>IF(C155="","",IF(COUNTIF(lst_Jobs,C155&amp;"")&gt;0,"OK","CHECK"))</f>
        <v/>
      </c>
      <c r="E155" s="25">
        <f>IF(C155="","",IFERROR(INDEX(lst_JobName,MATCH(C155&amp;"",lst_Jobs,0)),""))</f>
        <v/>
      </c>
      <c r="F155" s="25">
        <f>IF(C155="","",IFERROR(INDEX(tbl_Finance[Client],MATCH(C155&amp;"",tbl_Finance[Job Number],0)),""))</f>
        <v/>
      </c>
      <c r="G155" s="28">
        <f>IF(C155="","",COUNTIFS(tbl_Finance[Job Number],C155&amp;"",tbl_Finance[Ex GST],"&lt;&gt;"))</f>
        <v/>
      </c>
      <c r="H155" s="27">
        <f>IF(C155="","",SUMIFS(tbl_Finance[Ex GST],tbl_Finance[Job Number],C155&amp;""))</f>
        <v/>
      </c>
      <c r="I155" s="27">
        <f>IF(C155="","",SUMIFS(tbl_Finance[Ex GST],tbl_Finance[Job Number],C155&amp;"",tbl_Finance[Xero Invoice No],"&lt;&gt;"))</f>
        <v/>
      </c>
      <c r="J155" s="27">
        <f>IF(C155="","",H155-I155)</f>
        <v/>
      </c>
      <c r="K155" s="25">
        <f>IF(C155="","",IF(G155=0,"not invoiced yet",SUBSTITUTE(TRIM(IF(COUNTIFS(tbl_Finance[Job Number],C155&amp;"",tbl_Finance[Cost Centre],"ONSITE")&gt;0,"ONSITE ","")&amp;IF(COUNTIFS(tbl_Finance[Job Number],C155&amp;"",tbl_Finance[Cost Centre],"PRODUCTION")&gt;0,"PRODUCTION ","")&amp;IF(COUNTIFS(tbl_Finance[Job Number],C155&amp;"",tbl_Finance[Cost Centre],"VIDEO")&gt;0,"VIDEO ","")&amp;IF(COUNTIFS(tbl_Finance[Job Number],C155&amp;"",tbl_Finance[Cost Centre],"INTEGRATION")&gt;0,"INTEGRATION ","")&amp;IF(COUNTIFS(tbl_Finance[Job Number],C155&amp;"",tbl_Finance[Cost Centre],"CONSULTING")&gt;0,"CONSULTING ","")&amp;IF(COUNTIFS(tbl_Finance[Job Number],C155&amp;"",tbl_Finance[Cost Centre],"CTS")&gt;0,"CTS ",""))," ",", ")))</f>
        <v/>
      </c>
      <c r="L155" s="24" t="n"/>
      <c r="M155" s="25">
        <f>IF(L155="","",HYPERLINK(IF(LEFT(L155,4)="http",L155,set_QwilrBase&amp;L155),"Open quote"))</f>
        <v/>
      </c>
      <c r="N155" s="26" t="n"/>
      <c r="O155" s="26" t="n"/>
      <c r="P155" s="26" t="n"/>
      <c r="Q155" s="25">
        <f>IF(C155="","",IF(N(N155)+N(O155)+N(P155)=0,"Not split",IF(ROUND(N(N155)+N(O155)+N(P155),2)=ROUND(H155,2),"OK","MISMATCH")))</f>
        <v/>
      </c>
      <c r="R155" s="26" t="n"/>
      <c r="S155" s="26" t="n"/>
      <c r="T155" s="26" t="n"/>
      <c r="U155" s="27">
        <f>IF(C155="","",N(R155)+N(S155)+N(T155))</f>
        <v/>
      </c>
      <c r="V155" s="27">
        <f>IF(C155="","",H155-U155)</f>
        <v/>
      </c>
      <c r="W155" s="29">
        <f>IFERROR(V155/H155,"")</f>
        <v/>
      </c>
      <c r="X155" s="24" t="n"/>
    </row>
    <row r="156" ht="15" customHeight="1">
      <c r="A156" s="63">
        <f>IF(C156="","",IFERROR(IF(SUMPRODUCT(MAX((tbl_Finance[Job Number]=C156&amp;"")*(tbl_Finance[Xero Invoice No]&lt;&gt;"")*tbl_Finance[Date]))=0,"",SUMPRODUCT(MAX((tbl_Finance[Job Number]=C156&amp;"")*(tbl_Finance[Xero Invoice No]&lt;&gt;"")*tbl_Finance[Date]))),""))</f>
        <v/>
      </c>
      <c r="B156" s="25">
        <f>IF(C156="","",IF(COUNTIFS(tbl_Finance[Job Number],C156&amp;"",tbl_Finance[Xero Invoice No],"&lt;&gt;")=0,"",IFERROR(IF(COUNTIFS(tbl_Finance[Job Number],C156&amp;"",tbl_Finance[Xero Invoice No],LOOKUP(2,1/((tbl_Finance[Job Number]=C156&amp;"")*(tbl_Finance[Xero Invoice No]&lt;&gt;"")),tbl_Finance[Xero Invoice No]))=COUNTIFS(tbl_Finance[Job Number],C156&amp;"",tbl_Finance[Xero Invoice No],"&lt;&gt;"),LOOKUP(2,1/((tbl_Finance[Job Number]=C156&amp;"")*(tbl_Finance[Xero Invoice No]&lt;&gt;"")),tbl_Finance[Xero Invoice No]),LOOKUP(2,1/((tbl_Finance[Job Number]=C156&amp;"")*(tbl_Finance[Xero Invoice No]&lt;&gt;"")),tbl_Finance[Xero Invoice No])&amp;" +more"),"")))</f>
        <v/>
      </c>
      <c r="C156" s="24" t="n"/>
      <c r="D156" s="25">
        <f>IF(C156="","",IF(COUNTIF(lst_Jobs,C156&amp;"")&gt;0,"OK","CHECK"))</f>
        <v/>
      </c>
      <c r="E156" s="25">
        <f>IF(C156="","",IFERROR(INDEX(lst_JobName,MATCH(C156&amp;"",lst_Jobs,0)),""))</f>
        <v/>
      </c>
      <c r="F156" s="25">
        <f>IF(C156="","",IFERROR(INDEX(tbl_Finance[Client],MATCH(C156&amp;"",tbl_Finance[Job Number],0)),""))</f>
        <v/>
      </c>
      <c r="G156" s="28">
        <f>IF(C156="","",COUNTIFS(tbl_Finance[Job Number],C156&amp;"",tbl_Finance[Ex GST],"&lt;&gt;"))</f>
        <v/>
      </c>
      <c r="H156" s="27">
        <f>IF(C156="","",SUMIFS(tbl_Finance[Ex GST],tbl_Finance[Job Number],C156&amp;""))</f>
        <v/>
      </c>
      <c r="I156" s="27">
        <f>IF(C156="","",SUMIFS(tbl_Finance[Ex GST],tbl_Finance[Job Number],C156&amp;"",tbl_Finance[Xero Invoice No],"&lt;&gt;"))</f>
        <v/>
      </c>
      <c r="J156" s="27">
        <f>IF(C156="","",H156-I156)</f>
        <v/>
      </c>
      <c r="K156" s="25">
        <f>IF(C156="","",IF(G156=0,"not invoiced yet",SUBSTITUTE(TRIM(IF(COUNTIFS(tbl_Finance[Job Number],C156&amp;"",tbl_Finance[Cost Centre],"ONSITE")&gt;0,"ONSITE ","")&amp;IF(COUNTIFS(tbl_Finance[Job Number],C156&amp;"",tbl_Finance[Cost Centre],"PRODUCTION")&gt;0,"PRODUCTION ","")&amp;IF(COUNTIFS(tbl_Finance[Job Number],C156&amp;"",tbl_Finance[Cost Centre],"VIDEO")&gt;0,"VIDEO ","")&amp;IF(COUNTIFS(tbl_Finance[Job Number],C156&amp;"",tbl_Finance[Cost Centre],"INTEGRATION")&gt;0,"INTEGRATION ","")&amp;IF(COUNTIFS(tbl_Finance[Job Number],C156&amp;"",tbl_Finance[Cost Centre],"CONSULTING")&gt;0,"CONSULTING ","")&amp;IF(COUNTIFS(tbl_Finance[Job Number],C156&amp;"",tbl_Finance[Cost Centre],"CTS")&gt;0,"CTS ",""))," ",", ")))</f>
        <v/>
      </c>
      <c r="L156" s="24" t="n"/>
      <c r="M156" s="25">
        <f>IF(L156="","",HYPERLINK(IF(LEFT(L156,4)="http",L156,set_QwilrBase&amp;L156),"Open quote"))</f>
        <v/>
      </c>
      <c r="N156" s="26" t="n"/>
      <c r="O156" s="26" t="n"/>
      <c r="P156" s="26" t="n"/>
      <c r="Q156" s="25">
        <f>IF(C156="","",IF(N(N156)+N(O156)+N(P156)=0,"Not split",IF(ROUND(N(N156)+N(O156)+N(P156),2)=ROUND(H156,2),"OK","MISMATCH")))</f>
        <v/>
      </c>
      <c r="R156" s="26" t="n"/>
      <c r="S156" s="26" t="n"/>
      <c r="T156" s="26" t="n"/>
      <c r="U156" s="27">
        <f>IF(C156="","",N(R156)+N(S156)+N(T156))</f>
        <v/>
      </c>
      <c r="V156" s="27">
        <f>IF(C156="","",H156-U156)</f>
        <v/>
      </c>
      <c r="W156" s="29">
        <f>IFERROR(V156/H156,"")</f>
        <v/>
      </c>
      <c r="X156" s="24" t="n"/>
    </row>
    <row r="157" ht="15" customHeight="1">
      <c r="A157" s="63">
        <f>IF(C157="","",IFERROR(IF(SUMPRODUCT(MAX((tbl_Finance[Job Number]=C157&amp;"")*(tbl_Finance[Xero Invoice No]&lt;&gt;"")*tbl_Finance[Date]))=0,"",SUMPRODUCT(MAX((tbl_Finance[Job Number]=C157&amp;"")*(tbl_Finance[Xero Invoice No]&lt;&gt;"")*tbl_Finance[Date]))),""))</f>
        <v/>
      </c>
      <c r="B157" s="25">
        <f>IF(C157="","",IF(COUNTIFS(tbl_Finance[Job Number],C157&amp;"",tbl_Finance[Xero Invoice No],"&lt;&gt;")=0,"",IFERROR(IF(COUNTIFS(tbl_Finance[Job Number],C157&amp;"",tbl_Finance[Xero Invoice No],LOOKUP(2,1/((tbl_Finance[Job Number]=C157&amp;"")*(tbl_Finance[Xero Invoice No]&lt;&gt;"")),tbl_Finance[Xero Invoice No]))=COUNTIFS(tbl_Finance[Job Number],C157&amp;"",tbl_Finance[Xero Invoice No],"&lt;&gt;"),LOOKUP(2,1/((tbl_Finance[Job Number]=C157&amp;"")*(tbl_Finance[Xero Invoice No]&lt;&gt;"")),tbl_Finance[Xero Invoice No]),LOOKUP(2,1/((tbl_Finance[Job Number]=C157&amp;"")*(tbl_Finance[Xero Invoice No]&lt;&gt;"")),tbl_Finance[Xero Invoice No])&amp;" +more"),"")))</f>
        <v/>
      </c>
      <c r="C157" s="24" t="n"/>
      <c r="D157" s="25">
        <f>IF(C157="","",IF(COUNTIF(lst_Jobs,C157&amp;"")&gt;0,"OK","CHECK"))</f>
        <v/>
      </c>
      <c r="E157" s="25">
        <f>IF(C157="","",IFERROR(INDEX(lst_JobName,MATCH(C157&amp;"",lst_Jobs,0)),""))</f>
        <v/>
      </c>
      <c r="F157" s="25">
        <f>IF(C157="","",IFERROR(INDEX(tbl_Finance[Client],MATCH(C157&amp;"",tbl_Finance[Job Number],0)),""))</f>
        <v/>
      </c>
      <c r="G157" s="28">
        <f>IF(C157="","",COUNTIFS(tbl_Finance[Job Number],C157&amp;"",tbl_Finance[Ex GST],"&lt;&gt;"))</f>
        <v/>
      </c>
      <c r="H157" s="27">
        <f>IF(C157="","",SUMIFS(tbl_Finance[Ex GST],tbl_Finance[Job Number],C157&amp;""))</f>
        <v/>
      </c>
      <c r="I157" s="27">
        <f>IF(C157="","",SUMIFS(tbl_Finance[Ex GST],tbl_Finance[Job Number],C157&amp;"",tbl_Finance[Xero Invoice No],"&lt;&gt;"))</f>
        <v/>
      </c>
      <c r="J157" s="27">
        <f>IF(C157="","",H157-I157)</f>
        <v/>
      </c>
      <c r="K157" s="25">
        <f>IF(C157="","",IF(G157=0,"not invoiced yet",SUBSTITUTE(TRIM(IF(COUNTIFS(tbl_Finance[Job Number],C157&amp;"",tbl_Finance[Cost Centre],"ONSITE")&gt;0,"ONSITE ","")&amp;IF(COUNTIFS(tbl_Finance[Job Number],C157&amp;"",tbl_Finance[Cost Centre],"PRODUCTION")&gt;0,"PRODUCTION ","")&amp;IF(COUNTIFS(tbl_Finance[Job Number],C157&amp;"",tbl_Finance[Cost Centre],"VIDEO")&gt;0,"VIDEO ","")&amp;IF(COUNTIFS(tbl_Finance[Job Number],C157&amp;"",tbl_Finance[Cost Centre],"INTEGRATION")&gt;0,"INTEGRATION ","")&amp;IF(COUNTIFS(tbl_Finance[Job Number],C157&amp;"",tbl_Finance[Cost Centre],"CONSULTING")&gt;0,"CONSULTING ","")&amp;IF(COUNTIFS(tbl_Finance[Job Number],C157&amp;"",tbl_Finance[Cost Centre],"CTS")&gt;0,"CTS ",""))," ",", ")))</f>
        <v/>
      </c>
      <c r="L157" s="24" t="n"/>
      <c r="M157" s="25">
        <f>IF(L157="","",HYPERLINK(IF(LEFT(L157,4)="http",L157,set_QwilrBase&amp;L157),"Open quote"))</f>
        <v/>
      </c>
      <c r="N157" s="26" t="n"/>
      <c r="O157" s="26" t="n"/>
      <c r="P157" s="26" t="n"/>
      <c r="Q157" s="25">
        <f>IF(C157="","",IF(N(N157)+N(O157)+N(P157)=0,"Not split",IF(ROUND(N(N157)+N(O157)+N(P157),2)=ROUND(H157,2),"OK","MISMATCH")))</f>
        <v/>
      </c>
      <c r="R157" s="26" t="n"/>
      <c r="S157" s="26" t="n"/>
      <c r="T157" s="26" t="n"/>
      <c r="U157" s="27">
        <f>IF(C157="","",N(R157)+N(S157)+N(T157))</f>
        <v/>
      </c>
      <c r="V157" s="27">
        <f>IF(C157="","",H157-U157)</f>
        <v/>
      </c>
      <c r="W157" s="29">
        <f>IFERROR(V157/H157,"")</f>
        <v/>
      </c>
      <c r="X157" s="24" t="n"/>
    </row>
    <row r="158" ht="15" customHeight="1">
      <c r="A158" s="63">
        <f>IF(C158="","",IFERROR(IF(SUMPRODUCT(MAX((tbl_Finance[Job Number]=C158&amp;"")*(tbl_Finance[Xero Invoice No]&lt;&gt;"")*tbl_Finance[Date]))=0,"",SUMPRODUCT(MAX((tbl_Finance[Job Number]=C158&amp;"")*(tbl_Finance[Xero Invoice No]&lt;&gt;"")*tbl_Finance[Date]))),""))</f>
        <v/>
      </c>
      <c r="B158" s="25">
        <f>IF(C158="","",IF(COUNTIFS(tbl_Finance[Job Number],C158&amp;"",tbl_Finance[Xero Invoice No],"&lt;&gt;")=0,"",IFERROR(IF(COUNTIFS(tbl_Finance[Job Number],C158&amp;"",tbl_Finance[Xero Invoice No],LOOKUP(2,1/((tbl_Finance[Job Number]=C158&amp;"")*(tbl_Finance[Xero Invoice No]&lt;&gt;"")),tbl_Finance[Xero Invoice No]))=COUNTIFS(tbl_Finance[Job Number],C158&amp;"",tbl_Finance[Xero Invoice No],"&lt;&gt;"),LOOKUP(2,1/((tbl_Finance[Job Number]=C158&amp;"")*(tbl_Finance[Xero Invoice No]&lt;&gt;"")),tbl_Finance[Xero Invoice No]),LOOKUP(2,1/((tbl_Finance[Job Number]=C158&amp;"")*(tbl_Finance[Xero Invoice No]&lt;&gt;"")),tbl_Finance[Xero Invoice No])&amp;" +more"),"")))</f>
        <v/>
      </c>
      <c r="C158" s="24" t="n"/>
      <c r="D158" s="25">
        <f>IF(C158="","",IF(COUNTIF(lst_Jobs,C158&amp;"")&gt;0,"OK","CHECK"))</f>
        <v/>
      </c>
      <c r="E158" s="25">
        <f>IF(C158="","",IFERROR(INDEX(lst_JobName,MATCH(C158&amp;"",lst_Jobs,0)),""))</f>
        <v/>
      </c>
      <c r="F158" s="25">
        <f>IF(C158="","",IFERROR(INDEX(tbl_Finance[Client],MATCH(C158&amp;"",tbl_Finance[Job Number],0)),""))</f>
        <v/>
      </c>
      <c r="G158" s="28">
        <f>IF(C158="","",COUNTIFS(tbl_Finance[Job Number],C158&amp;"",tbl_Finance[Ex GST],"&lt;&gt;"))</f>
        <v/>
      </c>
      <c r="H158" s="27">
        <f>IF(C158="","",SUMIFS(tbl_Finance[Ex GST],tbl_Finance[Job Number],C158&amp;""))</f>
        <v/>
      </c>
      <c r="I158" s="27">
        <f>IF(C158="","",SUMIFS(tbl_Finance[Ex GST],tbl_Finance[Job Number],C158&amp;"",tbl_Finance[Xero Invoice No],"&lt;&gt;"))</f>
        <v/>
      </c>
      <c r="J158" s="27">
        <f>IF(C158="","",H158-I158)</f>
        <v/>
      </c>
      <c r="K158" s="25">
        <f>IF(C158="","",IF(G158=0,"not invoiced yet",SUBSTITUTE(TRIM(IF(COUNTIFS(tbl_Finance[Job Number],C158&amp;"",tbl_Finance[Cost Centre],"ONSITE")&gt;0,"ONSITE ","")&amp;IF(COUNTIFS(tbl_Finance[Job Number],C158&amp;"",tbl_Finance[Cost Centre],"PRODUCTION")&gt;0,"PRODUCTION ","")&amp;IF(COUNTIFS(tbl_Finance[Job Number],C158&amp;"",tbl_Finance[Cost Centre],"VIDEO")&gt;0,"VIDEO ","")&amp;IF(COUNTIFS(tbl_Finance[Job Number],C158&amp;"",tbl_Finance[Cost Centre],"INTEGRATION")&gt;0,"INTEGRATION ","")&amp;IF(COUNTIFS(tbl_Finance[Job Number],C158&amp;"",tbl_Finance[Cost Centre],"CONSULTING")&gt;0,"CONSULTING ","")&amp;IF(COUNTIFS(tbl_Finance[Job Number],C158&amp;"",tbl_Finance[Cost Centre],"CTS")&gt;0,"CTS ",""))," ",", ")))</f>
        <v/>
      </c>
      <c r="L158" s="24" t="n"/>
      <c r="M158" s="25">
        <f>IF(L158="","",HYPERLINK(IF(LEFT(L158,4)="http",L158,set_QwilrBase&amp;L158),"Open quote"))</f>
        <v/>
      </c>
      <c r="N158" s="26" t="n"/>
      <c r="O158" s="26" t="n"/>
      <c r="P158" s="26" t="n"/>
      <c r="Q158" s="25">
        <f>IF(C158="","",IF(N(N158)+N(O158)+N(P158)=0,"Not split",IF(ROUND(N(N158)+N(O158)+N(P158),2)=ROUND(H158,2),"OK","MISMATCH")))</f>
        <v/>
      </c>
      <c r="R158" s="26" t="n"/>
      <c r="S158" s="26" t="n"/>
      <c r="T158" s="26" t="n"/>
      <c r="U158" s="27">
        <f>IF(C158="","",N(R158)+N(S158)+N(T158))</f>
        <v/>
      </c>
      <c r="V158" s="27">
        <f>IF(C158="","",H158-U158)</f>
        <v/>
      </c>
      <c r="W158" s="29">
        <f>IFERROR(V158/H158,"")</f>
        <v/>
      </c>
      <c r="X158" s="24" t="n"/>
    </row>
    <row r="159" ht="15" customHeight="1">
      <c r="A159" s="63">
        <f>IF(C159="","",IFERROR(IF(SUMPRODUCT(MAX((tbl_Finance[Job Number]=C159&amp;"")*(tbl_Finance[Xero Invoice No]&lt;&gt;"")*tbl_Finance[Date]))=0,"",SUMPRODUCT(MAX((tbl_Finance[Job Number]=C159&amp;"")*(tbl_Finance[Xero Invoice No]&lt;&gt;"")*tbl_Finance[Date]))),""))</f>
        <v/>
      </c>
      <c r="B159" s="25">
        <f>IF(C159="","",IF(COUNTIFS(tbl_Finance[Job Number],C159&amp;"",tbl_Finance[Xero Invoice No],"&lt;&gt;")=0,"",IFERROR(IF(COUNTIFS(tbl_Finance[Job Number],C159&amp;"",tbl_Finance[Xero Invoice No],LOOKUP(2,1/((tbl_Finance[Job Number]=C159&amp;"")*(tbl_Finance[Xero Invoice No]&lt;&gt;"")),tbl_Finance[Xero Invoice No]))=COUNTIFS(tbl_Finance[Job Number],C159&amp;"",tbl_Finance[Xero Invoice No],"&lt;&gt;"),LOOKUP(2,1/((tbl_Finance[Job Number]=C159&amp;"")*(tbl_Finance[Xero Invoice No]&lt;&gt;"")),tbl_Finance[Xero Invoice No]),LOOKUP(2,1/((tbl_Finance[Job Number]=C159&amp;"")*(tbl_Finance[Xero Invoice No]&lt;&gt;"")),tbl_Finance[Xero Invoice No])&amp;" +more"),"")))</f>
        <v/>
      </c>
      <c r="C159" s="24" t="n"/>
      <c r="D159" s="25">
        <f>IF(C159="","",IF(COUNTIF(lst_Jobs,C159&amp;"")&gt;0,"OK","CHECK"))</f>
        <v/>
      </c>
      <c r="E159" s="25">
        <f>IF(C159="","",IFERROR(INDEX(lst_JobName,MATCH(C159&amp;"",lst_Jobs,0)),""))</f>
        <v/>
      </c>
      <c r="F159" s="25">
        <f>IF(C159="","",IFERROR(INDEX(tbl_Finance[Client],MATCH(C159&amp;"",tbl_Finance[Job Number],0)),""))</f>
        <v/>
      </c>
      <c r="G159" s="28">
        <f>IF(C159="","",COUNTIFS(tbl_Finance[Job Number],C159&amp;"",tbl_Finance[Ex GST],"&lt;&gt;"))</f>
        <v/>
      </c>
      <c r="H159" s="27">
        <f>IF(C159="","",SUMIFS(tbl_Finance[Ex GST],tbl_Finance[Job Number],C159&amp;""))</f>
        <v/>
      </c>
      <c r="I159" s="27">
        <f>IF(C159="","",SUMIFS(tbl_Finance[Ex GST],tbl_Finance[Job Number],C159&amp;"",tbl_Finance[Xero Invoice No],"&lt;&gt;"))</f>
        <v/>
      </c>
      <c r="J159" s="27">
        <f>IF(C159="","",H159-I159)</f>
        <v/>
      </c>
      <c r="K159" s="25">
        <f>IF(C159="","",IF(G159=0,"not invoiced yet",SUBSTITUTE(TRIM(IF(COUNTIFS(tbl_Finance[Job Number],C159&amp;"",tbl_Finance[Cost Centre],"ONSITE")&gt;0,"ONSITE ","")&amp;IF(COUNTIFS(tbl_Finance[Job Number],C159&amp;"",tbl_Finance[Cost Centre],"PRODUCTION")&gt;0,"PRODUCTION ","")&amp;IF(COUNTIFS(tbl_Finance[Job Number],C159&amp;"",tbl_Finance[Cost Centre],"VIDEO")&gt;0,"VIDEO ","")&amp;IF(COUNTIFS(tbl_Finance[Job Number],C159&amp;"",tbl_Finance[Cost Centre],"INTEGRATION")&gt;0,"INTEGRATION ","")&amp;IF(COUNTIFS(tbl_Finance[Job Number],C159&amp;"",tbl_Finance[Cost Centre],"CONSULTING")&gt;0,"CONSULTING ","")&amp;IF(COUNTIFS(tbl_Finance[Job Number],C159&amp;"",tbl_Finance[Cost Centre],"CTS")&gt;0,"CTS ",""))," ",", ")))</f>
        <v/>
      </c>
      <c r="L159" s="24" t="n"/>
      <c r="M159" s="25">
        <f>IF(L159="","",HYPERLINK(IF(LEFT(L159,4)="http",L159,set_QwilrBase&amp;L159),"Open quote"))</f>
        <v/>
      </c>
      <c r="N159" s="26" t="n"/>
      <c r="O159" s="26" t="n"/>
      <c r="P159" s="26" t="n"/>
      <c r="Q159" s="25">
        <f>IF(C159="","",IF(N(N159)+N(O159)+N(P159)=0,"Not split",IF(ROUND(N(N159)+N(O159)+N(P159),2)=ROUND(H159,2),"OK","MISMATCH")))</f>
        <v/>
      </c>
      <c r="R159" s="26" t="n"/>
      <c r="S159" s="26" t="n"/>
      <c r="T159" s="26" t="n"/>
      <c r="U159" s="27">
        <f>IF(C159="","",N(R159)+N(S159)+N(T159))</f>
        <v/>
      </c>
      <c r="V159" s="27">
        <f>IF(C159="","",H159-U159)</f>
        <v/>
      </c>
      <c r="W159" s="29">
        <f>IFERROR(V159/H159,"")</f>
        <v/>
      </c>
      <c r="X159" s="24" t="n"/>
    </row>
    <row r="160" ht="15" customHeight="1">
      <c r="A160" s="63">
        <f>IF(C160="","",IFERROR(IF(SUMPRODUCT(MAX((tbl_Finance[Job Number]=C160&amp;"")*(tbl_Finance[Xero Invoice No]&lt;&gt;"")*tbl_Finance[Date]))=0,"",SUMPRODUCT(MAX((tbl_Finance[Job Number]=C160&amp;"")*(tbl_Finance[Xero Invoice No]&lt;&gt;"")*tbl_Finance[Date]))),""))</f>
        <v/>
      </c>
      <c r="B160" s="25">
        <f>IF(C160="","",IF(COUNTIFS(tbl_Finance[Job Number],C160&amp;"",tbl_Finance[Xero Invoice No],"&lt;&gt;")=0,"",IFERROR(IF(COUNTIFS(tbl_Finance[Job Number],C160&amp;"",tbl_Finance[Xero Invoice No],LOOKUP(2,1/((tbl_Finance[Job Number]=C160&amp;"")*(tbl_Finance[Xero Invoice No]&lt;&gt;"")),tbl_Finance[Xero Invoice No]))=COUNTIFS(tbl_Finance[Job Number],C160&amp;"",tbl_Finance[Xero Invoice No],"&lt;&gt;"),LOOKUP(2,1/((tbl_Finance[Job Number]=C160&amp;"")*(tbl_Finance[Xero Invoice No]&lt;&gt;"")),tbl_Finance[Xero Invoice No]),LOOKUP(2,1/((tbl_Finance[Job Number]=C160&amp;"")*(tbl_Finance[Xero Invoice No]&lt;&gt;"")),tbl_Finance[Xero Invoice No])&amp;" +more"),"")))</f>
        <v/>
      </c>
      <c r="C160" s="24" t="n"/>
      <c r="D160" s="25">
        <f>IF(C160="","",IF(COUNTIF(lst_Jobs,C160&amp;"")&gt;0,"OK","CHECK"))</f>
        <v/>
      </c>
      <c r="E160" s="25">
        <f>IF(C160="","",IFERROR(INDEX(lst_JobName,MATCH(C160&amp;"",lst_Jobs,0)),""))</f>
        <v/>
      </c>
      <c r="F160" s="25">
        <f>IF(C160="","",IFERROR(INDEX(tbl_Finance[Client],MATCH(C160&amp;"",tbl_Finance[Job Number],0)),""))</f>
        <v/>
      </c>
      <c r="G160" s="28">
        <f>IF(C160="","",COUNTIFS(tbl_Finance[Job Number],C160&amp;"",tbl_Finance[Ex GST],"&lt;&gt;"))</f>
        <v/>
      </c>
      <c r="H160" s="27">
        <f>IF(C160="","",SUMIFS(tbl_Finance[Ex GST],tbl_Finance[Job Number],C160&amp;""))</f>
        <v/>
      </c>
      <c r="I160" s="27">
        <f>IF(C160="","",SUMIFS(tbl_Finance[Ex GST],tbl_Finance[Job Number],C160&amp;"",tbl_Finance[Xero Invoice No],"&lt;&gt;"))</f>
        <v/>
      </c>
      <c r="J160" s="27">
        <f>IF(C160="","",H160-I160)</f>
        <v/>
      </c>
      <c r="K160" s="25">
        <f>IF(C160="","",IF(G160=0,"not invoiced yet",SUBSTITUTE(TRIM(IF(COUNTIFS(tbl_Finance[Job Number],C160&amp;"",tbl_Finance[Cost Centre],"ONSITE")&gt;0,"ONSITE ","")&amp;IF(COUNTIFS(tbl_Finance[Job Number],C160&amp;"",tbl_Finance[Cost Centre],"PRODUCTION")&gt;0,"PRODUCTION ","")&amp;IF(COUNTIFS(tbl_Finance[Job Number],C160&amp;"",tbl_Finance[Cost Centre],"VIDEO")&gt;0,"VIDEO ","")&amp;IF(COUNTIFS(tbl_Finance[Job Number],C160&amp;"",tbl_Finance[Cost Centre],"INTEGRATION")&gt;0,"INTEGRATION ","")&amp;IF(COUNTIFS(tbl_Finance[Job Number],C160&amp;"",tbl_Finance[Cost Centre],"CONSULTING")&gt;0,"CONSULTING ","")&amp;IF(COUNTIFS(tbl_Finance[Job Number],C160&amp;"",tbl_Finance[Cost Centre],"CTS")&gt;0,"CTS ",""))," ",", ")))</f>
        <v/>
      </c>
      <c r="L160" s="24" t="n"/>
      <c r="M160" s="25">
        <f>IF(L160="","",HYPERLINK(IF(LEFT(L160,4)="http",L160,set_QwilrBase&amp;L160),"Open quote"))</f>
        <v/>
      </c>
      <c r="N160" s="26" t="n"/>
      <c r="O160" s="26" t="n"/>
      <c r="P160" s="26" t="n"/>
      <c r="Q160" s="25">
        <f>IF(C160="","",IF(N(N160)+N(O160)+N(P160)=0,"Not split",IF(ROUND(N(N160)+N(O160)+N(P160),2)=ROUND(H160,2),"OK","MISMATCH")))</f>
        <v/>
      </c>
      <c r="R160" s="26" t="n"/>
      <c r="S160" s="26" t="n"/>
      <c r="T160" s="26" t="n"/>
      <c r="U160" s="27">
        <f>IF(C160="","",N(R160)+N(S160)+N(T160))</f>
        <v/>
      </c>
      <c r="V160" s="27">
        <f>IF(C160="","",H160-U160)</f>
        <v/>
      </c>
      <c r="W160" s="29">
        <f>IFERROR(V160/H160,"")</f>
        <v/>
      </c>
      <c r="X160" s="24" t="n"/>
    </row>
    <row r="161" ht="15" customHeight="1">
      <c r="A161" s="63">
        <f>IF(C161="","",IFERROR(IF(SUMPRODUCT(MAX((tbl_Finance[Job Number]=C161&amp;"")*(tbl_Finance[Xero Invoice No]&lt;&gt;"")*tbl_Finance[Date]))=0,"",SUMPRODUCT(MAX((tbl_Finance[Job Number]=C161&amp;"")*(tbl_Finance[Xero Invoice No]&lt;&gt;"")*tbl_Finance[Date]))),""))</f>
        <v/>
      </c>
      <c r="B161" s="25">
        <f>IF(C161="","",IF(COUNTIFS(tbl_Finance[Job Number],C161&amp;"",tbl_Finance[Xero Invoice No],"&lt;&gt;")=0,"",IFERROR(IF(COUNTIFS(tbl_Finance[Job Number],C161&amp;"",tbl_Finance[Xero Invoice No],LOOKUP(2,1/((tbl_Finance[Job Number]=C161&amp;"")*(tbl_Finance[Xero Invoice No]&lt;&gt;"")),tbl_Finance[Xero Invoice No]))=COUNTIFS(tbl_Finance[Job Number],C161&amp;"",tbl_Finance[Xero Invoice No],"&lt;&gt;"),LOOKUP(2,1/((tbl_Finance[Job Number]=C161&amp;"")*(tbl_Finance[Xero Invoice No]&lt;&gt;"")),tbl_Finance[Xero Invoice No]),LOOKUP(2,1/((tbl_Finance[Job Number]=C161&amp;"")*(tbl_Finance[Xero Invoice No]&lt;&gt;"")),tbl_Finance[Xero Invoice No])&amp;" +more"),"")))</f>
        <v/>
      </c>
      <c r="C161" s="24" t="n"/>
      <c r="D161" s="25">
        <f>IF(C161="","",IF(COUNTIF(lst_Jobs,C161&amp;"")&gt;0,"OK","CHECK"))</f>
        <v/>
      </c>
      <c r="E161" s="25">
        <f>IF(C161="","",IFERROR(INDEX(lst_JobName,MATCH(C161&amp;"",lst_Jobs,0)),""))</f>
        <v/>
      </c>
      <c r="F161" s="25">
        <f>IF(C161="","",IFERROR(INDEX(tbl_Finance[Client],MATCH(C161&amp;"",tbl_Finance[Job Number],0)),""))</f>
        <v/>
      </c>
      <c r="G161" s="28">
        <f>IF(C161="","",COUNTIFS(tbl_Finance[Job Number],C161&amp;"",tbl_Finance[Ex GST],"&lt;&gt;"))</f>
        <v/>
      </c>
      <c r="H161" s="27">
        <f>IF(C161="","",SUMIFS(tbl_Finance[Ex GST],tbl_Finance[Job Number],C161&amp;""))</f>
        <v/>
      </c>
      <c r="I161" s="27">
        <f>IF(C161="","",SUMIFS(tbl_Finance[Ex GST],tbl_Finance[Job Number],C161&amp;"",tbl_Finance[Xero Invoice No],"&lt;&gt;"))</f>
        <v/>
      </c>
      <c r="J161" s="27">
        <f>IF(C161="","",H161-I161)</f>
        <v/>
      </c>
      <c r="K161" s="25">
        <f>IF(C161="","",IF(G161=0,"not invoiced yet",SUBSTITUTE(TRIM(IF(COUNTIFS(tbl_Finance[Job Number],C161&amp;"",tbl_Finance[Cost Centre],"ONSITE")&gt;0,"ONSITE ","")&amp;IF(COUNTIFS(tbl_Finance[Job Number],C161&amp;"",tbl_Finance[Cost Centre],"PRODUCTION")&gt;0,"PRODUCTION ","")&amp;IF(COUNTIFS(tbl_Finance[Job Number],C161&amp;"",tbl_Finance[Cost Centre],"VIDEO")&gt;0,"VIDEO ","")&amp;IF(COUNTIFS(tbl_Finance[Job Number],C161&amp;"",tbl_Finance[Cost Centre],"INTEGRATION")&gt;0,"INTEGRATION ","")&amp;IF(COUNTIFS(tbl_Finance[Job Number],C161&amp;"",tbl_Finance[Cost Centre],"CONSULTING")&gt;0,"CONSULTING ","")&amp;IF(COUNTIFS(tbl_Finance[Job Number],C161&amp;"",tbl_Finance[Cost Centre],"CTS")&gt;0,"CTS ",""))," ",", ")))</f>
        <v/>
      </c>
      <c r="L161" s="24" t="n"/>
      <c r="M161" s="25">
        <f>IF(L161="","",HYPERLINK(IF(LEFT(L161,4)="http",L161,set_QwilrBase&amp;L161),"Open quote"))</f>
        <v/>
      </c>
      <c r="N161" s="26" t="n"/>
      <c r="O161" s="26" t="n"/>
      <c r="P161" s="26" t="n"/>
      <c r="Q161" s="25">
        <f>IF(C161="","",IF(N(N161)+N(O161)+N(P161)=0,"Not split",IF(ROUND(N(N161)+N(O161)+N(P161),2)=ROUND(H161,2),"OK","MISMATCH")))</f>
        <v/>
      </c>
      <c r="R161" s="26" t="n"/>
      <c r="S161" s="26" t="n"/>
      <c r="T161" s="26" t="n"/>
      <c r="U161" s="27">
        <f>IF(C161="","",N(R161)+N(S161)+N(T161))</f>
        <v/>
      </c>
      <c r="V161" s="27">
        <f>IF(C161="","",H161-U161)</f>
        <v/>
      </c>
      <c r="W161" s="29">
        <f>IFERROR(V161/H161,"")</f>
        <v/>
      </c>
      <c r="X161" s="24" t="n"/>
    </row>
    <row r="162" ht="15" customHeight="1">
      <c r="A162" s="63">
        <f>IF(C162="","",IFERROR(IF(SUMPRODUCT(MAX((tbl_Finance[Job Number]=C162&amp;"")*(tbl_Finance[Xero Invoice No]&lt;&gt;"")*tbl_Finance[Date]))=0,"",SUMPRODUCT(MAX((tbl_Finance[Job Number]=C162&amp;"")*(tbl_Finance[Xero Invoice No]&lt;&gt;"")*tbl_Finance[Date]))),""))</f>
        <v/>
      </c>
      <c r="B162" s="25">
        <f>IF(C162="","",IF(COUNTIFS(tbl_Finance[Job Number],C162&amp;"",tbl_Finance[Xero Invoice No],"&lt;&gt;")=0,"",IFERROR(IF(COUNTIFS(tbl_Finance[Job Number],C162&amp;"",tbl_Finance[Xero Invoice No],LOOKUP(2,1/((tbl_Finance[Job Number]=C162&amp;"")*(tbl_Finance[Xero Invoice No]&lt;&gt;"")),tbl_Finance[Xero Invoice No]))=COUNTIFS(tbl_Finance[Job Number],C162&amp;"",tbl_Finance[Xero Invoice No],"&lt;&gt;"),LOOKUP(2,1/((tbl_Finance[Job Number]=C162&amp;"")*(tbl_Finance[Xero Invoice No]&lt;&gt;"")),tbl_Finance[Xero Invoice No]),LOOKUP(2,1/((tbl_Finance[Job Number]=C162&amp;"")*(tbl_Finance[Xero Invoice No]&lt;&gt;"")),tbl_Finance[Xero Invoice No])&amp;" +more"),"")))</f>
        <v/>
      </c>
      <c r="C162" s="24" t="n"/>
      <c r="D162" s="25">
        <f>IF(C162="","",IF(COUNTIF(lst_Jobs,C162&amp;"")&gt;0,"OK","CHECK"))</f>
        <v/>
      </c>
      <c r="E162" s="25">
        <f>IF(C162="","",IFERROR(INDEX(lst_JobName,MATCH(C162&amp;"",lst_Jobs,0)),""))</f>
        <v/>
      </c>
      <c r="F162" s="25">
        <f>IF(C162="","",IFERROR(INDEX(tbl_Finance[Client],MATCH(C162&amp;"",tbl_Finance[Job Number],0)),""))</f>
        <v/>
      </c>
      <c r="G162" s="28">
        <f>IF(C162="","",COUNTIFS(tbl_Finance[Job Number],C162&amp;"",tbl_Finance[Ex GST],"&lt;&gt;"))</f>
        <v/>
      </c>
      <c r="H162" s="27">
        <f>IF(C162="","",SUMIFS(tbl_Finance[Ex GST],tbl_Finance[Job Number],C162&amp;""))</f>
        <v/>
      </c>
      <c r="I162" s="27">
        <f>IF(C162="","",SUMIFS(tbl_Finance[Ex GST],tbl_Finance[Job Number],C162&amp;"",tbl_Finance[Xero Invoice No],"&lt;&gt;"))</f>
        <v/>
      </c>
      <c r="J162" s="27">
        <f>IF(C162="","",H162-I162)</f>
        <v/>
      </c>
      <c r="K162" s="25">
        <f>IF(C162="","",IF(G162=0,"not invoiced yet",SUBSTITUTE(TRIM(IF(COUNTIFS(tbl_Finance[Job Number],C162&amp;"",tbl_Finance[Cost Centre],"ONSITE")&gt;0,"ONSITE ","")&amp;IF(COUNTIFS(tbl_Finance[Job Number],C162&amp;"",tbl_Finance[Cost Centre],"PRODUCTION")&gt;0,"PRODUCTION ","")&amp;IF(COUNTIFS(tbl_Finance[Job Number],C162&amp;"",tbl_Finance[Cost Centre],"VIDEO")&gt;0,"VIDEO ","")&amp;IF(COUNTIFS(tbl_Finance[Job Number],C162&amp;"",tbl_Finance[Cost Centre],"INTEGRATION")&gt;0,"INTEGRATION ","")&amp;IF(COUNTIFS(tbl_Finance[Job Number],C162&amp;"",tbl_Finance[Cost Centre],"CONSULTING")&gt;0,"CONSULTING ","")&amp;IF(COUNTIFS(tbl_Finance[Job Number],C162&amp;"",tbl_Finance[Cost Centre],"CTS")&gt;0,"CTS ",""))," ",", ")))</f>
        <v/>
      </c>
      <c r="L162" s="24" t="n"/>
      <c r="M162" s="25">
        <f>IF(L162="","",HYPERLINK(IF(LEFT(L162,4)="http",L162,set_QwilrBase&amp;L162),"Open quote"))</f>
        <v/>
      </c>
      <c r="N162" s="26" t="n"/>
      <c r="O162" s="26" t="n"/>
      <c r="P162" s="26" t="n"/>
      <c r="Q162" s="25">
        <f>IF(C162="","",IF(N(N162)+N(O162)+N(P162)=0,"Not split",IF(ROUND(N(N162)+N(O162)+N(P162),2)=ROUND(H162,2),"OK","MISMATCH")))</f>
        <v/>
      </c>
      <c r="R162" s="26" t="n"/>
      <c r="S162" s="26" t="n"/>
      <c r="T162" s="26" t="n"/>
      <c r="U162" s="27">
        <f>IF(C162="","",N(R162)+N(S162)+N(T162))</f>
        <v/>
      </c>
      <c r="V162" s="27">
        <f>IF(C162="","",H162-U162)</f>
        <v/>
      </c>
      <c r="W162" s="29">
        <f>IFERROR(V162/H162,"")</f>
        <v/>
      </c>
      <c r="X162" s="24" t="n"/>
    </row>
    <row r="163" ht="15" customHeight="1">
      <c r="A163" s="63">
        <f>IF(C163="","",IFERROR(IF(SUMPRODUCT(MAX((tbl_Finance[Job Number]=C163&amp;"")*(tbl_Finance[Xero Invoice No]&lt;&gt;"")*tbl_Finance[Date]))=0,"",SUMPRODUCT(MAX((tbl_Finance[Job Number]=C163&amp;"")*(tbl_Finance[Xero Invoice No]&lt;&gt;"")*tbl_Finance[Date]))),""))</f>
        <v/>
      </c>
      <c r="B163" s="25">
        <f>IF(C163="","",IF(COUNTIFS(tbl_Finance[Job Number],C163&amp;"",tbl_Finance[Xero Invoice No],"&lt;&gt;")=0,"",IFERROR(IF(COUNTIFS(tbl_Finance[Job Number],C163&amp;"",tbl_Finance[Xero Invoice No],LOOKUP(2,1/((tbl_Finance[Job Number]=C163&amp;"")*(tbl_Finance[Xero Invoice No]&lt;&gt;"")),tbl_Finance[Xero Invoice No]))=COUNTIFS(tbl_Finance[Job Number],C163&amp;"",tbl_Finance[Xero Invoice No],"&lt;&gt;"),LOOKUP(2,1/((tbl_Finance[Job Number]=C163&amp;"")*(tbl_Finance[Xero Invoice No]&lt;&gt;"")),tbl_Finance[Xero Invoice No]),LOOKUP(2,1/((tbl_Finance[Job Number]=C163&amp;"")*(tbl_Finance[Xero Invoice No]&lt;&gt;"")),tbl_Finance[Xero Invoice No])&amp;" +more"),"")))</f>
        <v/>
      </c>
      <c r="C163" s="24" t="n"/>
      <c r="D163" s="25">
        <f>IF(C163="","",IF(COUNTIF(lst_Jobs,C163&amp;"")&gt;0,"OK","CHECK"))</f>
        <v/>
      </c>
      <c r="E163" s="25">
        <f>IF(C163="","",IFERROR(INDEX(lst_JobName,MATCH(C163&amp;"",lst_Jobs,0)),""))</f>
        <v/>
      </c>
      <c r="F163" s="25">
        <f>IF(C163="","",IFERROR(INDEX(tbl_Finance[Client],MATCH(C163&amp;"",tbl_Finance[Job Number],0)),""))</f>
        <v/>
      </c>
      <c r="G163" s="28">
        <f>IF(C163="","",COUNTIFS(tbl_Finance[Job Number],C163&amp;"",tbl_Finance[Ex GST],"&lt;&gt;"))</f>
        <v/>
      </c>
      <c r="H163" s="27">
        <f>IF(C163="","",SUMIFS(tbl_Finance[Ex GST],tbl_Finance[Job Number],C163&amp;""))</f>
        <v/>
      </c>
      <c r="I163" s="27">
        <f>IF(C163="","",SUMIFS(tbl_Finance[Ex GST],tbl_Finance[Job Number],C163&amp;"",tbl_Finance[Xero Invoice No],"&lt;&gt;"))</f>
        <v/>
      </c>
      <c r="J163" s="27">
        <f>IF(C163="","",H163-I163)</f>
        <v/>
      </c>
      <c r="K163" s="25">
        <f>IF(C163="","",IF(G163=0,"not invoiced yet",SUBSTITUTE(TRIM(IF(COUNTIFS(tbl_Finance[Job Number],C163&amp;"",tbl_Finance[Cost Centre],"ONSITE")&gt;0,"ONSITE ","")&amp;IF(COUNTIFS(tbl_Finance[Job Number],C163&amp;"",tbl_Finance[Cost Centre],"PRODUCTION")&gt;0,"PRODUCTION ","")&amp;IF(COUNTIFS(tbl_Finance[Job Number],C163&amp;"",tbl_Finance[Cost Centre],"VIDEO")&gt;0,"VIDEO ","")&amp;IF(COUNTIFS(tbl_Finance[Job Number],C163&amp;"",tbl_Finance[Cost Centre],"INTEGRATION")&gt;0,"INTEGRATION ","")&amp;IF(COUNTIFS(tbl_Finance[Job Number],C163&amp;"",tbl_Finance[Cost Centre],"CONSULTING")&gt;0,"CONSULTING ","")&amp;IF(COUNTIFS(tbl_Finance[Job Number],C163&amp;"",tbl_Finance[Cost Centre],"CTS")&gt;0,"CTS ",""))," ",", ")))</f>
        <v/>
      </c>
      <c r="L163" s="24" t="n"/>
      <c r="M163" s="25">
        <f>IF(L163="","",HYPERLINK(IF(LEFT(L163,4)="http",L163,set_QwilrBase&amp;L163),"Open quote"))</f>
        <v/>
      </c>
      <c r="N163" s="26" t="n"/>
      <c r="O163" s="26" t="n"/>
      <c r="P163" s="26" t="n"/>
      <c r="Q163" s="25">
        <f>IF(C163="","",IF(N(N163)+N(O163)+N(P163)=0,"Not split",IF(ROUND(N(N163)+N(O163)+N(P163),2)=ROUND(H163,2),"OK","MISMATCH")))</f>
        <v/>
      </c>
      <c r="R163" s="26" t="n"/>
      <c r="S163" s="26" t="n"/>
      <c r="T163" s="26" t="n"/>
      <c r="U163" s="27">
        <f>IF(C163="","",N(R163)+N(S163)+N(T163))</f>
        <v/>
      </c>
      <c r="V163" s="27">
        <f>IF(C163="","",H163-U163)</f>
        <v/>
      </c>
      <c r="W163" s="29">
        <f>IFERROR(V163/H163,"")</f>
        <v/>
      </c>
      <c r="X163" s="24" t="n"/>
    </row>
    <row r="164" ht="15" customHeight="1">
      <c r="A164" s="63">
        <f>IF(C164="","",IFERROR(IF(SUMPRODUCT(MAX((tbl_Finance[Job Number]=C164&amp;"")*(tbl_Finance[Xero Invoice No]&lt;&gt;"")*tbl_Finance[Date]))=0,"",SUMPRODUCT(MAX((tbl_Finance[Job Number]=C164&amp;"")*(tbl_Finance[Xero Invoice No]&lt;&gt;"")*tbl_Finance[Date]))),""))</f>
        <v/>
      </c>
      <c r="B164" s="25">
        <f>IF(C164="","",IF(COUNTIFS(tbl_Finance[Job Number],C164&amp;"",tbl_Finance[Xero Invoice No],"&lt;&gt;")=0,"",IFERROR(IF(COUNTIFS(tbl_Finance[Job Number],C164&amp;"",tbl_Finance[Xero Invoice No],LOOKUP(2,1/((tbl_Finance[Job Number]=C164&amp;"")*(tbl_Finance[Xero Invoice No]&lt;&gt;"")),tbl_Finance[Xero Invoice No]))=COUNTIFS(tbl_Finance[Job Number],C164&amp;"",tbl_Finance[Xero Invoice No],"&lt;&gt;"),LOOKUP(2,1/((tbl_Finance[Job Number]=C164&amp;"")*(tbl_Finance[Xero Invoice No]&lt;&gt;"")),tbl_Finance[Xero Invoice No]),LOOKUP(2,1/((tbl_Finance[Job Number]=C164&amp;"")*(tbl_Finance[Xero Invoice No]&lt;&gt;"")),tbl_Finance[Xero Invoice No])&amp;" +more"),"")))</f>
        <v/>
      </c>
      <c r="C164" s="24" t="n"/>
      <c r="D164" s="25">
        <f>IF(C164="","",IF(COUNTIF(lst_Jobs,C164&amp;"")&gt;0,"OK","CHECK"))</f>
        <v/>
      </c>
      <c r="E164" s="25">
        <f>IF(C164="","",IFERROR(INDEX(lst_JobName,MATCH(C164&amp;"",lst_Jobs,0)),""))</f>
        <v/>
      </c>
      <c r="F164" s="25">
        <f>IF(C164="","",IFERROR(INDEX(tbl_Finance[Client],MATCH(C164&amp;"",tbl_Finance[Job Number],0)),""))</f>
        <v/>
      </c>
      <c r="G164" s="28">
        <f>IF(C164="","",COUNTIFS(tbl_Finance[Job Number],C164&amp;"",tbl_Finance[Ex GST],"&lt;&gt;"))</f>
        <v/>
      </c>
      <c r="H164" s="27">
        <f>IF(C164="","",SUMIFS(tbl_Finance[Ex GST],tbl_Finance[Job Number],C164&amp;""))</f>
        <v/>
      </c>
      <c r="I164" s="27">
        <f>IF(C164="","",SUMIFS(tbl_Finance[Ex GST],tbl_Finance[Job Number],C164&amp;"",tbl_Finance[Xero Invoice No],"&lt;&gt;"))</f>
        <v/>
      </c>
      <c r="J164" s="27">
        <f>IF(C164="","",H164-I164)</f>
        <v/>
      </c>
      <c r="K164" s="25">
        <f>IF(C164="","",IF(G164=0,"not invoiced yet",SUBSTITUTE(TRIM(IF(COUNTIFS(tbl_Finance[Job Number],C164&amp;"",tbl_Finance[Cost Centre],"ONSITE")&gt;0,"ONSITE ","")&amp;IF(COUNTIFS(tbl_Finance[Job Number],C164&amp;"",tbl_Finance[Cost Centre],"PRODUCTION")&gt;0,"PRODUCTION ","")&amp;IF(COUNTIFS(tbl_Finance[Job Number],C164&amp;"",tbl_Finance[Cost Centre],"VIDEO")&gt;0,"VIDEO ","")&amp;IF(COUNTIFS(tbl_Finance[Job Number],C164&amp;"",tbl_Finance[Cost Centre],"INTEGRATION")&gt;0,"INTEGRATION ","")&amp;IF(COUNTIFS(tbl_Finance[Job Number],C164&amp;"",tbl_Finance[Cost Centre],"CONSULTING")&gt;0,"CONSULTING ","")&amp;IF(COUNTIFS(tbl_Finance[Job Number],C164&amp;"",tbl_Finance[Cost Centre],"CTS")&gt;0,"CTS ",""))," ",", ")))</f>
        <v/>
      </c>
      <c r="L164" s="24" t="n"/>
      <c r="M164" s="25">
        <f>IF(L164="","",HYPERLINK(IF(LEFT(L164,4)="http",L164,set_QwilrBase&amp;L164),"Open quote"))</f>
        <v/>
      </c>
      <c r="N164" s="26" t="n"/>
      <c r="O164" s="26" t="n"/>
      <c r="P164" s="26" t="n"/>
      <c r="Q164" s="25">
        <f>IF(C164="","",IF(N(N164)+N(O164)+N(P164)=0,"Not split",IF(ROUND(N(N164)+N(O164)+N(P164),2)=ROUND(H164,2),"OK","MISMATCH")))</f>
        <v/>
      </c>
      <c r="R164" s="26" t="n"/>
      <c r="S164" s="26" t="n"/>
      <c r="T164" s="26" t="n"/>
      <c r="U164" s="27">
        <f>IF(C164="","",N(R164)+N(S164)+N(T164))</f>
        <v/>
      </c>
      <c r="V164" s="27">
        <f>IF(C164="","",H164-U164)</f>
        <v/>
      </c>
      <c r="W164" s="29">
        <f>IFERROR(V164/H164,"")</f>
        <v/>
      </c>
      <c r="X164" s="24" t="n"/>
    </row>
    <row r="165" ht="15" customHeight="1">
      <c r="A165" s="63">
        <f>IF(C165="","",IFERROR(IF(SUMPRODUCT(MAX((tbl_Finance[Job Number]=C165&amp;"")*(tbl_Finance[Xero Invoice No]&lt;&gt;"")*tbl_Finance[Date]))=0,"",SUMPRODUCT(MAX((tbl_Finance[Job Number]=C165&amp;"")*(tbl_Finance[Xero Invoice No]&lt;&gt;"")*tbl_Finance[Date]))),""))</f>
        <v/>
      </c>
      <c r="B165" s="25">
        <f>IF(C165="","",IF(COUNTIFS(tbl_Finance[Job Number],C165&amp;"",tbl_Finance[Xero Invoice No],"&lt;&gt;")=0,"",IFERROR(IF(COUNTIFS(tbl_Finance[Job Number],C165&amp;"",tbl_Finance[Xero Invoice No],LOOKUP(2,1/((tbl_Finance[Job Number]=C165&amp;"")*(tbl_Finance[Xero Invoice No]&lt;&gt;"")),tbl_Finance[Xero Invoice No]))=COUNTIFS(tbl_Finance[Job Number],C165&amp;"",tbl_Finance[Xero Invoice No],"&lt;&gt;"),LOOKUP(2,1/((tbl_Finance[Job Number]=C165&amp;"")*(tbl_Finance[Xero Invoice No]&lt;&gt;"")),tbl_Finance[Xero Invoice No]),LOOKUP(2,1/((tbl_Finance[Job Number]=C165&amp;"")*(tbl_Finance[Xero Invoice No]&lt;&gt;"")),tbl_Finance[Xero Invoice No])&amp;" +more"),"")))</f>
        <v/>
      </c>
      <c r="C165" s="24" t="n"/>
      <c r="D165" s="25">
        <f>IF(C165="","",IF(COUNTIF(lst_Jobs,C165&amp;"")&gt;0,"OK","CHECK"))</f>
        <v/>
      </c>
      <c r="E165" s="25">
        <f>IF(C165="","",IFERROR(INDEX(lst_JobName,MATCH(C165&amp;"",lst_Jobs,0)),""))</f>
        <v/>
      </c>
      <c r="F165" s="25">
        <f>IF(C165="","",IFERROR(INDEX(tbl_Finance[Client],MATCH(C165&amp;"",tbl_Finance[Job Number],0)),""))</f>
        <v/>
      </c>
      <c r="G165" s="28">
        <f>IF(C165="","",COUNTIFS(tbl_Finance[Job Number],C165&amp;"",tbl_Finance[Ex GST],"&lt;&gt;"))</f>
        <v/>
      </c>
      <c r="H165" s="27">
        <f>IF(C165="","",SUMIFS(tbl_Finance[Ex GST],tbl_Finance[Job Number],C165&amp;""))</f>
        <v/>
      </c>
      <c r="I165" s="27">
        <f>IF(C165="","",SUMIFS(tbl_Finance[Ex GST],tbl_Finance[Job Number],C165&amp;"",tbl_Finance[Xero Invoice No],"&lt;&gt;"))</f>
        <v/>
      </c>
      <c r="J165" s="27">
        <f>IF(C165="","",H165-I165)</f>
        <v/>
      </c>
      <c r="K165" s="25">
        <f>IF(C165="","",IF(G165=0,"not invoiced yet",SUBSTITUTE(TRIM(IF(COUNTIFS(tbl_Finance[Job Number],C165&amp;"",tbl_Finance[Cost Centre],"ONSITE")&gt;0,"ONSITE ","")&amp;IF(COUNTIFS(tbl_Finance[Job Number],C165&amp;"",tbl_Finance[Cost Centre],"PRODUCTION")&gt;0,"PRODUCTION ","")&amp;IF(COUNTIFS(tbl_Finance[Job Number],C165&amp;"",tbl_Finance[Cost Centre],"VIDEO")&gt;0,"VIDEO ","")&amp;IF(COUNTIFS(tbl_Finance[Job Number],C165&amp;"",tbl_Finance[Cost Centre],"INTEGRATION")&gt;0,"INTEGRATION ","")&amp;IF(COUNTIFS(tbl_Finance[Job Number],C165&amp;"",tbl_Finance[Cost Centre],"CONSULTING")&gt;0,"CONSULTING ","")&amp;IF(COUNTIFS(tbl_Finance[Job Number],C165&amp;"",tbl_Finance[Cost Centre],"CTS")&gt;0,"CTS ",""))," ",", ")))</f>
        <v/>
      </c>
      <c r="L165" s="24" t="n"/>
      <c r="M165" s="25">
        <f>IF(L165="","",HYPERLINK(IF(LEFT(L165,4)="http",L165,set_QwilrBase&amp;L165),"Open quote"))</f>
        <v/>
      </c>
      <c r="N165" s="26" t="n"/>
      <c r="O165" s="26" t="n"/>
      <c r="P165" s="26" t="n"/>
      <c r="Q165" s="25">
        <f>IF(C165="","",IF(N(N165)+N(O165)+N(P165)=0,"Not split",IF(ROUND(N(N165)+N(O165)+N(P165),2)=ROUND(H165,2),"OK","MISMATCH")))</f>
        <v/>
      </c>
      <c r="R165" s="26" t="n"/>
      <c r="S165" s="26" t="n"/>
      <c r="T165" s="26" t="n"/>
      <c r="U165" s="27">
        <f>IF(C165="","",N(R165)+N(S165)+N(T165))</f>
        <v/>
      </c>
      <c r="V165" s="27">
        <f>IF(C165="","",H165-U165)</f>
        <v/>
      </c>
      <c r="W165" s="29">
        <f>IFERROR(V165/H165,"")</f>
        <v/>
      </c>
      <c r="X165" s="24" t="n"/>
    </row>
    <row r="166" ht="15" customHeight="1">
      <c r="A166" s="63">
        <f>IF(C166="","",IFERROR(IF(SUMPRODUCT(MAX((tbl_Finance[Job Number]=C166&amp;"")*(tbl_Finance[Xero Invoice No]&lt;&gt;"")*tbl_Finance[Date]))=0,"",SUMPRODUCT(MAX((tbl_Finance[Job Number]=C166&amp;"")*(tbl_Finance[Xero Invoice No]&lt;&gt;"")*tbl_Finance[Date]))),""))</f>
        <v/>
      </c>
      <c r="B166" s="25">
        <f>IF(C166="","",IF(COUNTIFS(tbl_Finance[Job Number],C166&amp;"",tbl_Finance[Xero Invoice No],"&lt;&gt;")=0,"",IFERROR(IF(COUNTIFS(tbl_Finance[Job Number],C166&amp;"",tbl_Finance[Xero Invoice No],LOOKUP(2,1/((tbl_Finance[Job Number]=C166&amp;"")*(tbl_Finance[Xero Invoice No]&lt;&gt;"")),tbl_Finance[Xero Invoice No]))=COUNTIFS(tbl_Finance[Job Number],C166&amp;"",tbl_Finance[Xero Invoice No],"&lt;&gt;"),LOOKUP(2,1/((tbl_Finance[Job Number]=C166&amp;"")*(tbl_Finance[Xero Invoice No]&lt;&gt;"")),tbl_Finance[Xero Invoice No]),LOOKUP(2,1/((tbl_Finance[Job Number]=C166&amp;"")*(tbl_Finance[Xero Invoice No]&lt;&gt;"")),tbl_Finance[Xero Invoice No])&amp;" +more"),"")))</f>
        <v/>
      </c>
      <c r="C166" s="24" t="n"/>
      <c r="D166" s="25">
        <f>IF(C166="","",IF(COUNTIF(lst_Jobs,C166&amp;"")&gt;0,"OK","CHECK"))</f>
        <v/>
      </c>
      <c r="E166" s="25">
        <f>IF(C166="","",IFERROR(INDEX(lst_JobName,MATCH(C166&amp;"",lst_Jobs,0)),""))</f>
        <v/>
      </c>
      <c r="F166" s="25">
        <f>IF(C166="","",IFERROR(INDEX(tbl_Finance[Client],MATCH(C166&amp;"",tbl_Finance[Job Number],0)),""))</f>
        <v/>
      </c>
      <c r="G166" s="28">
        <f>IF(C166="","",COUNTIFS(tbl_Finance[Job Number],C166&amp;"",tbl_Finance[Ex GST],"&lt;&gt;"))</f>
        <v/>
      </c>
      <c r="H166" s="27">
        <f>IF(C166="","",SUMIFS(tbl_Finance[Ex GST],tbl_Finance[Job Number],C166&amp;""))</f>
        <v/>
      </c>
      <c r="I166" s="27">
        <f>IF(C166="","",SUMIFS(tbl_Finance[Ex GST],tbl_Finance[Job Number],C166&amp;"",tbl_Finance[Xero Invoice No],"&lt;&gt;"))</f>
        <v/>
      </c>
      <c r="J166" s="27">
        <f>IF(C166="","",H166-I166)</f>
        <v/>
      </c>
      <c r="K166" s="25">
        <f>IF(C166="","",IF(G166=0,"not invoiced yet",SUBSTITUTE(TRIM(IF(COUNTIFS(tbl_Finance[Job Number],C166&amp;"",tbl_Finance[Cost Centre],"ONSITE")&gt;0,"ONSITE ","")&amp;IF(COUNTIFS(tbl_Finance[Job Number],C166&amp;"",tbl_Finance[Cost Centre],"PRODUCTION")&gt;0,"PRODUCTION ","")&amp;IF(COUNTIFS(tbl_Finance[Job Number],C166&amp;"",tbl_Finance[Cost Centre],"VIDEO")&gt;0,"VIDEO ","")&amp;IF(COUNTIFS(tbl_Finance[Job Number],C166&amp;"",tbl_Finance[Cost Centre],"INTEGRATION")&gt;0,"INTEGRATION ","")&amp;IF(COUNTIFS(tbl_Finance[Job Number],C166&amp;"",tbl_Finance[Cost Centre],"CONSULTING")&gt;0,"CONSULTING ","")&amp;IF(COUNTIFS(tbl_Finance[Job Number],C166&amp;"",tbl_Finance[Cost Centre],"CTS")&gt;0,"CTS ",""))," ",", ")))</f>
        <v/>
      </c>
      <c r="L166" s="24" t="n"/>
      <c r="M166" s="25">
        <f>IF(L166="","",HYPERLINK(IF(LEFT(L166,4)="http",L166,set_QwilrBase&amp;L166),"Open quote"))</f>
        <v/>
      </c>
      <c r="N166" s="26" t="n"/>
      <c r="O166" s="26" t="n"/>
      <c r="P166" s="26" t="n"/>
      <c r="Q166" s="25">
        <f>IF(C166="","",IF(N(N166)+N(O166)+N(P166)=0,"Not split",IF(ROUND(N(N166)+N(O166)+N(P166),2)=ROUND(H166,2),"OK","MISMATCH")))</f>
        <v/>
      </c>
      <c r="R166" s="26" t="n"/>
      <c r="S166" s="26" t="n"/>
      <c r="T166" s="26" t="n"/>
      <c r="U166" s="27">
        <f>IF(C166="","",N(R166)+N(S166)+N(T166))</f>
        <v/>
      </c>
      <c r="V166" s="27">
        <f>IF(C166="","",H166-U166)</f>
        <v/>
      </c>
      <c r="W166" s="29">
        <f>IFERROR(V166/H166,"")</f>
        <v/>
      </c>
      <c r="X166" s="24" t="n"/>
    </row>
    <row r="167" ht="15" customHeight="1">
      <c r="A167" s="63">
        <f>IF(C167="","",IFERROR(IF(SUMPRODUCT(MAX((tbl_Finance[Job Number]=C167&amp;"")*(tbl_Finance[Xero Invoice No]&lt;&gt;"")*tbl_Finance[Date]))=0,"",SUMPRODUCT(MAX((tbl_Finance[Job Number]=C167&amp;"")*(tbl_Finance[Xero Invoice No]&lt;&gt;"")*tbl_Finance[Date]))),""))</f>
        <v/>
      </c>
      <c r="B167" s="25">
        <f>IF(C167="","",IF(COUNTIFS(tbl_Finance[Job Number],C167&amp;"",tbl_Finance[Xero Invoice No],"&lt;&gt;")=0,"",IFERROR(IF(COUNTIFS(tbl_Finance[Job Number],C167&amp;"",tbl_Finance[Xero Invoice No],LOOKUP(2,1/((tbl_Finance[Job Number]=C167&amp;"")*(tbl_Finance[Xero Invoice No]&lt;&gt;"")),tbl_Finance[Xero Invoice No]))=COUNTIFS(tbl_Finance[Job Number],C167&amp;"",tbl_Finance[Xero Invoice No],"&lt;&gt;"),LOOKUP(2,1/((tbl_Finance[Job Number]=C167&amp;"")*(tbl_Finance[Xero Invoice No]&lt;&gt;"")),tbl_Finance[Xero Invoice No]),LOOKUP(2,1/((tbl_Finance[Job Number]=C167&amp;"")*(tbl_Finance[Xero Invoice No]&lt;&gt;"")),tbl_Finance[Xero Invoice No])&amp;" +more"),"")))</f>
        <v/>
      </c>
      <c r="C167" s="24" t="n"/>
      <c r="D167" s="25">
        <f>IF(C167="","",IF(COUNTIF(lst_Jobs,C167&amp;"")&gt;0,"OK","CHECK"))</f>
        <v/>
      </c>
      <c r="E167" s="25">
        <f>IF(C167="","",IFERROR(INDEX(lst_JobName,MATCH(C167&amp;"",lst_Jobs,0)),""))</f>
        <v/>
      </c>
      <c r="F167" s="25">
        <f>IF(C167="","",IFERROR(INDEX(tbl_Finance[Client],MATCH(C167&amp;"",tbl_Finance[Job Number],0)),""))</f>
        <v/>
      </c>
      <c r="G167" s="28">
        <f>IF(C167="","",COUNTIFS(tbl_Finance[Job Number],C167&amp;"",tbl_Finance[Ex GST],"&lt;&gt;"))</f>
        <v/>
      </c>
      <c r="H167" s="27">
        <f>IF(C167="","",SUMIFS(tbl_Finance[Ex GST],tbl_Finance[Job Number],C167&amp;""))</f>
        <v/>
      </c>
      <c r="I167" s="27">
        <f>IF(C167="","",SUMIFS(tbl_Finance[Ex GST],tbl_Finance[Job Number],C167&amp;"",tbl_Finance[Xero Invoice No],"&lt;&gt;"))</f>
        <v/>
      </c>
      <c r="J167" s="27">
        <f>IF(C167="","",H167-I167)</f>
        <v/>
      </c>
      <c r="K167" s="25">
        <f>IF(C167="","",IF(G167=0,"not invoiced yet",SUBSTITUTE(TRIM(IF(COUNTIFS(tbl_Finance[Job Number],C167&amp;"",tbl_Finance[Cost Centre],"ONSITE")&gt;0,"ONSITE ","")&amp;IF(COUNTIFS(tbl_Finance[Job Number],C167&amp;"",tbl_Finance[Cost Centre],"PRODUCTION")&gt;0,"PRODUCTION ","")&amp;IF(COUNTIFS(tbl_Finance[Job Number],C167&amp;"",tbl_Finance[Cost Centre],"VIDEO")&gt;0,"VIDEO ","")&amp;IF(COUNTIFS(tbl_Finance[Job Number],C167&amp;"",tbl_Finance[Cost Centre],"INTEGRATION")&gt;0,"INTEGRATION ","")&amp;IF(COUNTIFS(tbl_Finance[Job Number],C167&amp;"",tbl_Finance[Cost Centre],"CONSULTING")&gt;0,"CONSULTING ","")&amp;IF(COUNTIFS(tbl_Finance[Job Number],C167&amp;"",tbl_Finance[Cost Centre],"CTS")&gt;0,"CTS ",""))," ",", ")))</f>
        <v/>
      </c>
      <c r="L167" s="24" t="n"/>
      <c r="M167" s="25">
        <f>IF(L167="","",HYPERLINK(IF(LEFT(L167,4)="http",L167,set_QwilrBase&amp;L167),"Open quote"))</f>
        <v/>
      </c>
      <c r="N167" s="26" t="n"/>
      <c r="O167" s="26" t="n"/>
      <c r="P167" s="26" t="n"/>
      <c r="Q167" s="25">
        <f>IF(C167="","",IF(N(N167)+N(O167)+N(P167)=0,"Not split",IF(ROUND(N(N167)+N(O167)+N(P167),2)=ROUND(H167,2),"OK","MISMATCH")))</f>
        <v/>
      </c>
      <c r="R167" s="26" t="n"/>
      <c r="S167" s="26" t="n"/>
      <c r="T167" s="26" t="n"/>
      <c r="U167" s="27">
        <f>IF(C167="","",N(R167)+N(S167)+N(T167))</f>
        <v/>
      </c>
      <c r="V167" s="27">
        <f>IF(C167="","",H167-U167)</f>
        <v/>
      </c>
      <c r="W167" s="29">
        <f>IFERROR(V167/H167,"")</f>
        <v/>
      </c>
      <c r="X167" s="24" t="n"/>
    </row>
    <row r="168" ht="15" customHeight="1">
      <c r="A168" s="63">
        <f>IF(C168="","",IFERROR(IF(SUMPRODUCT(MAX((tbl_Finance[Job Number]=C168&amp;"")*(tbl_Finance[Xero Invoice No]&lt;&gt;"")*tbl_Finance[Date]))=0,"",SUMPRODUCT(MAX((tbl_Finance[Job Number]=C168&amp;"")*(tbl_Finance[Xero Invoice No]&lt;&gt;"")*tbl_Finance[Date]))),""))</f>
        <v/>
      </c>
      <c r="B168" s="25">
        <f>IF(C168="","",IF(COUNTIFS(tbl_Finance[Job Number],C168&amp;"",tbl_Finance[Xero Invoice No],"&lt;&gt;")=0,"",IFERROR(IF(COUNTIFS(tbl_Finance[Job Number],C168&amp;"",tbl_Finance[Xero Invoice No],LOOKUP(2,1/((tbl_Finance[Job Number]=C168&amp;"")*(tbl_Finance[Xero Invoice No]&lt;&gt;"")),tbl_Finance[Xero Invoice No]))=COUNTIFS(tbl_Finance[Job Number],C168&amp;"",tbl_Finance[Xero Invoice No],"&lt;&gt;"),LOOKUP(2,1/((tbl_Finance[Job Number]=C168&amp;"")*(tbl_Finance[Xero Invoice No]&lt;&gt;"")),tbl_Finance[Xero Invoice No]),LOOKUP(2,1/((tbl_Finance[Job Number]=C168&amp;"")*(tbl_Finance[Xero Invoice No]&lt;&gt;"")),tbl_Finance[Xero Invoice No])&amp;" +more"),"")))</f>
        <v/>
      </c>
      <c r="C168" s="24" t="n"/>
      <c r="D168" s="25">
        <f>IF(C168="","",IF(COUNTIF(lst_Jobs,C168&amp;"")&gt;0,"OK","CHECK"))</f>
        <v/>
      </c>
      <c r="E168" s="25">
        <f>IF(C168="","",IFERROR(INDEX(lst_JobName,MATCH(C168&amp;"",lst_Jobs,0)),""))</f>
        <v/>
      </c>
      <c r="F168" s="25">
        <f>IF(C168="","",IFERROR(INDEX(tbl_Finance[Client],MATCH(C168&amp;"",tbl_Finance[Job Number],0)),""))</f>
        <v/>
      </c>
      <c r="G168" s="28">
        <f>IF(C168="","",COUNTIFS(tbl_Finance[Job Number],C168&amp;"",tbl_Finance[Ex GST],"&lt;&gt;"))</f>
        <v/>
      </c>
      <c r="H168" s="27">
        <f>IF(C168="","",SUMIFS(tbl_Finance[Ex GST],tbl_Finance[Job Number],C168&amp;""))</f>
        <v/>
      </c>
      <c r="I168" s="27">
        <f>IF(C168="","",SUMIFS(tbl_Finance[Ex GST],tbl_Finance[Job Number],C168&amp;"",tbl_Finance[Xero Invoice No],"&lt;&gt;"))</f>
        <v/>
      </c>
      <c r="J168" s="27">
        <f>IF(C168="","",H168-I168)</f>
        <v/>
      </c>
      <c r="K168" s="25">
        <f>IF(C168="","",IF(G168=0,"not invoiced yet",SUBSTITUTE(TRIM(IF(COUNTIFS(tbl_Finance[Job Number],C168&amp;"",tbl_Finance[Cost Centre],"ONSITE")&gt;0,"ONSITE ","")&amp;IF(COUNTIFS(tbl_Finance[Job Number],C168&amp;"",tbl_Finance[Cost Centre],"PRODUCTION")&gt;0,"PRODUCTION ","")&amp;IF(COUNTIFS(tbl_Finance[Job Number],C168&amp;"",tbl_Finance[Cost Centre],"VIDEO")&gt;0,"VIDEO ","")&amp;IF(COUNTIFS(tbl_Finance[Job Number],C168&amp;"",tbl_Finance[Cost Centre],"INTEGRATION")&gt;0,"INTEGRATION ","")&amp;IF(COUNTIFS(tbl_Finance[Job Number],C168&amp;"",tbl_Finance[Cost Centre],"CONSULTING")&gt;0,"CONSULTING ","")&amp;IF(COUNTIFS(tbl_Finance[Job Number],C168&amp;"",tbl_Finance[Cost Centre],"CTS")&gt;0,"CTS ",""))," ",", ")))</f>
        <v/>
      </c>
      <c r="L168" s="24" t="n"/>
      <c r="M168" s="25">
        <f>IF(L168="","",HYPERLINK(IF(LEFT(L168,4)="http",L168,set_QwilrBase&amp;L168),"Open quote"))</f>
        <v/>
      </c>
      <c r="N168" s="26" t="n"/>
      <c r="O168" s="26" t="n"/>
      <c r="P168" s="26" t="n"/>
      <c r="Q168" s="25">
        <f>IF(C168="","",IF(N(N168)+N(O168)+N(P168)=0,"Not split",IF(ROUND(N(N168)+N(O168)+N(P168),2)=ROUND(H168,2),"OK","MISMATCH")))</f>
        <v/>
      </c>
      <c r="R168" s="26" t="n"/>
      <c r="S168" s="26" t="n"/>
      <c r="T168" s="26" t="n"/>
      <c r="U168" s="27">
        <f>IF(C168="","",N(R168)+N(S168)+N(T168))</f>
        <v/>
      </c>
      <c r="V168" s="27">
        <f>IF(C168="","",H168-U168)</f>
        <v/>
      </c>
      <c r="W168" s="29">
        <f>IFERROR(V168/H168,"")</f>
        <v/>
      </c>
      <c r="X168" s="24" t="n"/>
    </row>
    <row r="169" ht="15" customHeight="1">
      <c r="A169" s="63">
        <f>IF(C169="","",IFERROR(IF(SUMPRODUCT(MAX((tbl_Finance[Job Number]=C169&amp;"")*(tbl_Finance[Xero Invoice No]&lt;&gt;"")*tbl_Finance[Date]))=0,"",SUMPRODUCT(MAX((tbl_Finance[Job Number]=C169&amp;"")*(tbl_Finance[Xero Invoice No]&lt;&gt;"")*tbl_Finance[Date]))),""))</f>
        <v/>
      </c>
      <c r="B169" s="25">
        <f>IF(C169="","",IF(COUNTIFS(tbl_Finance[Job Number],C169&amp;"",tbl_Finance[Xero Invoice No],"&lt;&gt;")=0,"",IFERROR(IF(COUNTIFS(tbl_Finance[Job Number],C169&amp;"",tbl_Finance[Xero Invoice No],LOOKUP(2,1/((tbl_Finance[Job Number]=C169&amp;"")*(tbl_Finance[Xero Invoice No]&lt;&gt;"")),tbl_Finance[Xero Invoice No]))=COUNTIFS(tbl_Finance[Job Number],C169&amp;"",tbl_Finance[Xero Invoice No],"&lt;&gt;"),LOOKUP(2,1/((tbl_Finance[Job Number]=C169&amp;"")*(tbl_Finance[Xero Invoice No]&lt;&gt;"")),tbl_Finance[Xero Invoice No]),LOOKUP(2,1/((tbl_Finance[Job Number]=C169&amp;"")*(tbl_Finance[Xero Invoice No]&lt;&gt;"")),tbl_Finance[Xero Invoice No])&amp;" +more"),"")))</f>
        <v/>
      </c>
      <c r="C169" s="24" t="n"/>
      <c r="D169" s="25">
        <f>IF(C169="","",IF(COUNTIF(lst_Jobs,C169&amp;"")&gt;0,"OK","CHECK"))</f>
        <v/>
      </c>
      <c r="E169" s="25">
        <f>IF(C169="","",IFERROR(INDEX(lst_JobName,MATCH(C169&amp;"",lst_Jobs,0)),""))</f>
        <v/>
      </c>
      <c r="F169" s="25">
        <f>IF(C169="","",IFERROR(INDEX(tbl_Finance[Client],MATCH(C169&amp;"",tbl_Finance[Job Number],0)),""))</f>
        <v/>
      </c>
      <c r="G169" s="28">
        <f>IF(C169="","",COUNTIFS(tbl_Finance[Job Number],C169&amp;"",tbl_Finance[Ex GST],"&lt;&gt;"))</f>
        <v/>
      </c>
      <c r="H169" s="27">
        <f>IF(C169="","",SUMIFS(tbl_Finance[Ex GST],tbl_Finance[Job Number],C169&amp;""))</f>
        <v/>
      </c>
      <c r="I169" s="27">
        <f>IF(C169="","",SUMIFS(tbl_Finance[Ex GST],tbl_Finance[Job Number],C169&amp;"",tbl_Finance[Xero Invoice No],"&lt;&gt;"))</f>
        <v/>
      </c>
      <c r="J169" s="27">
        <f>IF(C169="","",H169-I169)</f>
        <v/>
      </c>
      <c r="K169" s="25">
        <f>IF(C169="","",IF(G169=0,"not invoiced yet",SUBSTITUTE(TRIM(IF(COUNTIFS(tbl_Finance[Job Number],C169&amp;"",tbl_Finance[Cost Centre],"ONSITE")&gt;0,"ONSITE ","")&amp;IF(COUNTIFS(tbl_Finance[Job Number],C169&amp;"",tbl_Finance[Cost Centre],"PRODUCTION")&gt;0,"PRODUCTION ","")&amp;IF(COUNTIFS(tbl_Finance[Job Number],C169&amp;"",tbl_Finance[Cost Centre],"VIDEO")&gt;0,"VIDEO ","")&amp;IF(COUNTIFS(tbl_Finance[Job Number],C169&amp;"",tbl_Finance[Cost Centre],"INTEGRATION")&gt;0,"INTEGRATION ","")&amp;IF(COUNTIFS(tbl_Finance[Job Number],C169&amp;"",tbl_Finance[Cost Centre],"CONSULTING")&gt;0,"CONSULTING ","")&amp;IF(COUNTIFS(tbl_Finance[Job Number],C169&amp;"",tbl_Finance[Cost Centre],"CTS")&gt;0,"CTS ",""))," ",", ")))</f>
        <v/>
      </c>
      <c r="L169" s="24" t="n"/>
      <c r="M169" s="25">
        <f>IF(L169="","",HYPERLINK(IF(LEFT(L169,4)="http",L169,set_QwilrBase&amp;L169),"Open quote"))</f>
        <v/>
      </c>
      <c r="N169" s="26" t="n"/>
      <c r="O169" s="26" t="n"/>
      <c r="P169" s="26" t="n"/>
      <c r="Q169" s="25">
        <f>IF(C169="","",IF(N(N169)+N(O169)+N(P169)=0,"Not split",IF(ROUND(N(N169)+N(O169)+N(P169),2)=ROUND(H169,2),"OK","MISMATCH")))</f>
        <v/>
      </c>
      <c r="R169" s="26" t="n"/>
      <c r="S169" s="26" t="n"/>
      <c r="T169" s="26" t="n"/>
      <c r="U169" s="27">
        <f>IF(C169="","",N(R169)+N(S169)+N(T169))</f>
        <v/>
      </c>
      <c r="V169" s="27">
        <f>IF(C169="","",H169-U169)</f>
        <v/>
      </c>
      <c r="W169" s="29">
        <f>IFERROR(V169/H169,"")</f>
        <v/>
      </c>
      <c r="X169" s="24" t="n"/>
    </row>
    <row r="170" ht="15" customHeight="1">
      <c r="A170" s="63">
        <f>IF(C170="","",IFERROR(IF(SUMPRODUCT(MAX((tbl_Finance[Job Number]=C170&amp;"")*(tbl_Finance[Xero Invoice No]&lt;&gt;"")*tbl_Finance[Date]))=0,"",SUMPRODUCT(MAX((tbl_Finance[Job Number]=C170&amp;"")*(tbl_Finance[Xero Invoice No]&lt;&gt;"")*tbl_Finance[Date]))),""))</f>
        <v/>
      </c>
      <c r="B170" s="25">
        <f>IF(C170="","",IF(COUNTIFS(tbl_Finance[Job Number],C170&amp;"",tbl_Finance[Xero Invoice No],"&lt;&gt;")=0,"",IFERROR(IF(COUNTIFS(tbl_Finance[Job Number],C170&amp;"",tbl_Finance[Xero Invoice No],LOOKUP(2,1/((tbl_Finance[Job Number]=C170&amp;"")*(tbl_Finance[Xero Invoice No]&lt;&gt;"")),tbl_Finance[Xero Invoice No]))=COUNTIFS(tbl_Finance[Job Number],C170&amp;"",tbl_Finance[Xero Invoice No],"&lt;&gt;"),LOOKUP(2,1/((tbl_Finance[Job Number]=C170&amp;"")*(tbl_Finance[Xero Invoice No]&lt;&gt;"")),tbl_Finance[Xero Invoice No]),LOOKUP(2,1/((tbl_Finance[Job Number]=C170&amp;"")*(tbl_Finance[Xero Invoice No]&lt;&gt;"")),tbl_Finance[Xero Invoice No])&amp;" +more"),"")))</f>
        <v/>
      </c>
      <c r="C170" s="24" t="n"/>
      <c r="D170" s="25">
        <f>IF(C170="","",IF(COUNTIF(lst_Jobs,C170&amp;"")&gt;0,"OK","CHECK"))</f>
        <v/>
      </c>
      <c r="E170" s="25">
        <f>IF(C170="","",IFERROR(INDEX(lst_JobName,MATCH(C170&amp;"",lst_Jobs,0)),""))</f>
        <v/>
      </c>
      <c r="F170" s="25">
        <f>IF(C170="","",IFERROR(INDEX(tbl_Finance[Client],MATCH(C170&amp;"",tbl_Finance[Job Number],0)),""))</f>
        <v/>
      </c>
      <c r="G170" s="28">
        <f>IF(C170="","",COUNTIFS(tbl_Finance[Job Number],C170&amp;"",tbl_Finance[Ex GST],"&lt;&gt;"))</f>
        <v/>
      </c>
      <c r="H170" s="27">
        <f>IF(C170="","",SUMIFS(tbl_Finance[Ex GST],tbl_Finance[Job Number],C170&amp;""))</f>
        <v/>
      </c>
      <c r="I170" s="27">
        <f>IF(C170="","",SUMIFS(tbl_Finance[Ex GST],tbl_Finance[Job Number],C170&amp;"",tbl_Finance[Xero Invoice No],"&lt;&gt;"))</f>
        <v/>
      </c>
      <c r="J170" s="27">
        <f>IF(C170="","",H170-I170)</f>
        <v/>
      </c>
      <c r="K170" s="25">
        <f>IF(C170="","",IF(G170=0,"not invoiced yet",SUBSTITUTE(TRIM(IF(COUNTIFS(tbl_Finance[Job Number],C170&amp;"",tbl_Finance[Cost Centre],"ONSITE")&gt;0,"ONSITE ","")&amp;IF(COUNTIFS(tbl_Finance[Job Number],C170&amp;"",tbl_Finance[Cost Centre],"PRODUCTION")&gt;0,"PRODUCTION ","")&amp;IF(COUNTIFS(tbl_Finance[Job Number],C170&amp;"",tbl_Finance[Cost Centre],"VIDEO")&gt;0,"VIDEO ","")&amp;IF(COUNTIFS(tbl_Finance[Job Number],C170&amp;"",tbl_Finance[Cost Centre],"INTEGRATION")&gt;0,"INTEGRATION ","")&amp;IF(COUNTIFS(tbl_Finance[Job Number],C170&amp;"",tbl_Finance[Cost Centre],"CONSULTING")&gt;0,"CONSULTING ","")&amp;IF(COUNTIFS(tbl_Finance[Job Number],C170&amp;"",tbl_Finance[Cost Centre],"CTS")&gt;0,"CTS ",""))," ",", ")))</f>
        <v/>
      </c>
      <c r="L170" s="24" t="n"/>
      <c r="M170" s="25">
        <f>IF(L170="","",HYPERLINK(IF(LEFT(L170,4)="http",L170,set_QwilrBase&amp;L170),"Open quote"))</f>
        <v/>
      </c>
      <c r="N170" s="26" t="n"/>
      <c r="O170" s="26" t="n"/>
      <c r="P170" s="26" t="n"/>
      <c r="Q170" s="25">
        <f>IF(C170="","",IF(N(N170)+N(O170)+N(P170)=0,"Not split",IF(ROUND(N(N170)+N(O170)+N(P170),2)=ROUND(H170,2),"OK","MISMATCH")))</f>
        <v/>
      </c>
      <c r="R170" s="26" t="n"/>
      <c r="S170" s="26" t="n"/>
      <c r="T170" s="26" t="n"/>
      <c r="U170" s="27">
        <f>IF(C170="","",N(R170)+N(S170)+N(T170))</f>
        <v/>
      </c>
      <c r="V170" s="27">
        <f>IF(C170="","",H170-U170)</f>
        <v/>
      </c>
      <c r="W170" s="29">
        <f>IFERROR(V170/H170,"")</f>
        <v/>
      </c>
      <c r="X170" s="24" t="n"/>
    </row>
    <row r="171" ht="15" customHeight="1">
      <c r="A171" s="63">
        <f>IF(C171="","",IFERROR(IF(SUMPRODUCT(MAX((tbl_Finance[Job Number]=C171&amp;"")*(tbl_Finance[Xero Invoice No]&lt;&gt;"")*tbl_Finance[Date]))=0,"",SUMPRODUCT(MAX((tbl_Finance[Job Number]=C171&amp;"")*(tbl_Finance[Xero Invoice No]&lt;&gt;"")*tbl_Finance[Date]))),""))</f>
        <v/>
      </c>
      <c r="B171" s="25">
        <f>IF(C171="","",IF(COUNTIFS(tbl_Finance[Job Number],C171&amp;"",tbl_Finance[Xero Invoice No],"&lt;&gt;")=0,"",IFERROR(IF(COUNTIFS(tbl_Finance[Job Number],C171&amp;"",tbl_Finance[Xero Invoice No],LOOKUP(2,1/((tbl_Finance[Job Number]=C171&amp;"")*(tbl_Finance[Xero Invoice No]&lt;&gt;"")),tbl_Finance[Xero Invoice No]))=COUNTIFS(tbl_Finance[Job Number],C171&amp;"",tbl_Finance[Xero Invoice No],"&lt;&gt;"),LOOKUP(2,1/((tbl_Finance[Job Number]=C171&amp;"")*(tbl_Finance[Xero Invoice No]&lt;&gt;"")),tbl_Finance[Xero Invoice No]),LOOKUP(2,1/((tbl_Finance[Job Number]=C171&amp;"")*(tbl_Finance[Xero Invoice No]&lt;&gt;"")),tbl_Finance[Xero Invoice No])&amp;" +more"),"")))</f>
        <v/>
      </c>
      <c r="C171" s="24" t="n"/>
      <c r="D171" s="25">
        <f>IF(C171="","",IF(COUNTIF(lst_Jobs,C171&amp;"")&gt;0,"OK","CHECK"))</f>
        <v/>
      </c>
      <c r="E171" s="25">
        <f>IF(C171="","",IFERROR(INDEX(lst_JobName,MATCH(C171&amp;"",lst_Jobs,0)),""))</f>
        <v/>
      </c>
      <c r="F171" s="25">
        <f>IF(C171="","",IFERROR(INDEX(tbl_Finance[Client],MATCH(C171&amp;"",tbl_Finance[Job Number],0)),""))</f>
        <v/>
      </c>
      <c r="G171" s="28">
        <f>IF(C171="","",COUNTIFS(tbl_Finance[Job Number],C171&amp;"",tbl_Finance[Ex GST],"&lt;&gt;"))</f>
        <v/>
      </c>
      <c r="H171" s="27">
        <f>IF(C171="","",SUMIFS(tbl_Finance[Ex GST],tbl_Finance[Job Number],C171&amp;""))</f>
        <v/>
      </c>
      <c r="I171" s="27">
        <f>IF(C171="","",SUMIFS(tbl_Finance[Ex GST],tbl_Finance[Job Number],C171&amp;"",tbl_Finance[Xero Invoice No],"&lt;&gt;"))</f>
        <v/>
      </c>
      <c r="J171" s="27">
        <f>IF(C171="","",H171-I171)</f>
        <v/>
      </c>
      <c r="K171" s="25">
        <f>IF(C171="","",IF(G171=0,"not invoiced yet",SUBSTITUTE(TRIM(IF(COUNTIFS(tbl_Finance[Job Number],C171&amp;"",tbl_Finance[Cost Centre],"ONSITE")&gt;0,"ONSITE ","")&amp;IF(COUNTIFS(tbl_Finance[Job Number],C171&amp;"",tbl_Finance[Cost Centre],"PRODUCTION")&gt;0,"PRODUCTION ","")&amp;IF(COUNTIFS(tbl_Finance[Job Number],C171&amp;"",tbl_Finance[Cost Centre],"VIDEO")&gt;0,"VIDEO ","")&amp;IF(COUNTIFS(tbl_Finance[Job Number],C171&amp;"",tbl_Finance[Cost Centre],"INTEGRATION")&gt;0,"INTEGRATION ","")&amp;IF(COUNTIFS(tbl_Finance[Job Number],C171&amp;"",tbl_Finance[Cost Centre],"CONSULTING")&gt;0,"CONSULTING ","")&amp;IF(COUNTIFS(tbl_Finance[Job Number],C171&amp;"",tbl_Finance[Cost Centre],"CTS")&gt;0,"CTS ",""))," ",", ")))</f>
        <v/>
      </c>
      <c r="L171" s="24" t="n"/>
      <c r="M171" s="25">
        <f>IF(L171="","",HYPERLINK(IF(LEFT(L171,4)="http",L171,set_QwilrBase&amp;L171),"Open quote"))</f>
        <v/>
      </c>
      <c r="N171" s="26" t="n"/>
      <c r="O171" s="26" t="n"/>
      <c r="P171" s="26" t="n"/>
      <c r="Q171" s="25">
        <f>IF(C171="","",IF(N(N171)+N(O171)+N(P171)=0,"Not split",IF(ROUND(N(N171)+N(O171)+N(P171),2)=ROUND(H171,2),"OK","MISMATCH")))</f>
        <v/>
      </c>
      <c r="R171" s="26" t="n"/>
      <c r="S171" s="26" t="n"/>
      <c r="T171" s="26" t="n"/>
      <c r="U171" s="27">
        <f>IF(C171="","",N(R171)+N(S171)+N(T171))</f>
        <v/>
      </c>
      <c r="V171" s="27">
        <f>IF(C171="","",H171-U171)</f>
        <v/>
      </c>
      <c r="W171" s="29">
        <f>IFERROR(V171/H171,"")</f>
        <v/>
      </c>
      <c r="X171" s="24" t="n"/>
    </row>
    <row r="172" ht="15" customHeight="1">
      <c r="A172" s="63">
        <f>IF(C172="","",IFERROR(IF(SUMPRODUCT(MAX((tbl_Finance[Job Number]=C172&amp;"")*(tbl_Finance[Xero Invoice No]&lt;&gt;"")*tbl_Finance[Date]))=0,"",SUMPRODUCT(MAX((tbl_Finance[Job Number]=C172&amp;"")*(tbl_Finance[Xero Invoice No]&lt;&gt;"")*tbl_Finance[Date]))),""))</f>
        <v/>
      </c>
      <c r="B172" s="25">
        <f>IF(C172="","",IF(COUNTIFS(tbl_Finance[Job Number],C172&amp;"",tbl_Finance[Xero Invoice No],"&lt;&gt;")=0,"",IFERROR(IF(COUNTIFS(tbl_Finance[Job Number],C172&amp;"",tbl_Finance[Xero Invoice No],LOOKUP(2,1/((tbl_Finance[Job Number]=C172&amp;"")*(tbl_Finance[Xero Invoice No]&lt;&gt;"")),tbl_Finance[Xero Invoice No]))=COUNTIFS(tbl_Finance[Job Number],C172&amp;"",tbl_Finance[Xero Invoice No],"&lt;&gt;"),LOOKUP(2,1/((tbl_Finance[Job Number]=C172&amp;"")*(tbl_Finance[Xero Invoice No]&lt;&gt;"")),tbl_Finance[Xero Invoice No]),LOOKUP(2,1/((tbl_Finance[Job Number]=C172&amp;"")*(tbl_Finance[Xero Invoice No]&lt;&gt;"")),tbl_Finance[Xero Invoice No])&amp;" +more"),"")))</f>
        <v/>
      </c>
      <c r="C172" s="24" t="n"/>
      <c r="D172" s="25">
        <f>IF(C172="","",IF(COUNTIF(lst_Jobs,C172&amp;"")&gt;0,"OK","CHECK"))</f>
        <v/>
      </c>
      <c r="E172" s="25">
        <f>IF(C172="","",IFERROR(INDEX(lst_JobName,MATCH(C172&amp;"",lst_Jobs,0)),""))</f>
        <v/>
      </c>
      <c r="F172" s="25">
        <f>IF(C172="","",IFERROR(INDEX(tbl_Finance[Client],MATCH(C172&amp;"",tbl_Finance[Job Number],0)),""))</f>
        <v/>
      </c>
      <c r="G172" s="28">
        <f>IF(C172="","",COUNTIFS(tbl_Finance[Job Number],C172&amp;"",tbl_Finance[Ex GST],"&lt;&gt;"))</f>
        <v/>
      </c>
      <c r="H172" s="27">
        <f>IF(C172="","",SUMIFS(tbl_Finance[Ex GST],tbl_Finance[Job Number],C172&amp;""))</f>
        <v/>
      </c>
      <c r="I172" s="27">
        <f>IF(C172="","",SUMIFS(tbl_Finance[Ex GST],tbl_Finance[Job Number],C172&amp;"",tbl_Finance[Xero Invoice No],"&lt;&gt;"))</f>
        <v/>
      </c>
      <c r="J172" s="27">
        <f>IF(C172="","",H172-I172)</f>
        <v/>
      </c>
      <c r="K172" s="25">
        <f>IF(C172="","",IF(G172=0,"not invoiced yet",SUBSTITUTE(TRIM(IF(COUNTIFS(tbl_Finance[Job Number],C172&amp;"",tbl_Finance[Cost Centre],"ONSITE")&gt;0,"ONSITE ","")&amp;IF(COUNTIFS(tbl_Finance[Job Number],C172&amp;"",tbl_Finance[Cost Centre],"PRODUCTION")&gt;0,"PRODUCTION ","")&amp;IF(COUNTIFS(tbl_Finance[Job Number],C172&amp;"",tbl_Finance[Cost Centre],"VIDEO")&gt;0,"VIDEO ","")&amp;IF(COUNTIFS(tbl_Finance[Job Number],C172&amp;"",tbl_Finance[Cost Centre],"INTEGRATION")&gt;0,"INTEGRATION ","")&amp;IF(COUNTIFS(tbl_Finance[Job Number],C172&amp;"",tbl_Finance[Cost Centre],"CONSULTING")&gt;0,"CONSULTING ","")&amp;IF(COUNTIFS(tbl_Finance[Job Number],C172&amp;"",tbl_Finance[Cost Centre],"CTS")&gt;0,"CTS ",""))," ",", ")))</f>
        <v/>
      </c>
      <c r="L172" s="24" t="n"/>
      <c r="M172" s="25">
        <f>IF(L172="","",HYPERLINK(IF(LEFT(L172,4)="http",L172,set_QwilrBase&amp;L172),"Open quote"))</f>
        <v/>
      </c>
      <c r="N172" s="26" t="n"/>
      <c r="O172" s="26" t="n"/>
      <c r="P172" s="26" t="n"/>
      <c r="Q172" s="25">
        <f>IF(C172="","",IF(N(N172)+N(O172)+N(P172)=0,"Not split",IF(ROUND(N(N172)+N(O172)+N(P172),2)=ROUND(H172,2),"OK","MISMATCH")))</f>
        <v/>
      </c>
      <c r="R172" s="26" t="n"/>
      <c r="S172" s="26" t="n"/>
      <c r="T172" s="26" t="n"/>
      <c r="U172" s="27">
        <f>IF(C172="","",N(R172)+N(S172)+N(T172))</f>
        <v/>
      </c>
      <c r="V172" s="27">
        <f>IF(C172="","",H172-U172)</f>
        <v/>
      </c>
      <c r="W172" s="29">
        <f>IFERROR(V172/H172,"")</f>
        <v/>
      </c>
      <c r="X172" s="24" t="n"/>
    </row>
    <row r="173" ht="15" customHeight="1">
      <c r="A173" s="63">
        <f>IF(C173="","",IFERROR(IF(SUMPRODUCT(MAX((tbl_Finance[Job Number]=C173&amp;"")*(tbl_Finance[Xero Invoice No]&lt;&gt;"")*tbl_Finance[Date]))=0,"",SUMPRODUCT(MAX((tbl_Finance[Job Number]=C173&amp;"")*(tbl_Finance[Xero Invoice No]&lt;&gt;"")*tbl_Finance[Date]))),""))</f>
        <v/>
      </c>
      <c r="B173" s="25">
        <f>IF(C173="","",IF(COUNTIFS(tbl_Finance[Job Number],C173&amp;"",tbl_Finance[Xero Invoice No],"&lt;&gt;")=0,"",IFERROR(IF(COUNTIFS(tbl_Finance[Job Number],C173&amp;"",tbl_Finance[Xero Invoice No],LOOKUP(2,1/((tbl_Finance[Job Number]=C173&amp;"")*(tbl_Finance[Xero Invoice No]&lt;&gt;"")),tbl_Finance[Xero Invoice No]))=COUNTIFS(tbl_Finance[Job Number],C173&amp;"",tbl_Finance[Xero Invoice No],"&lt;&gt;"),LOOKUP(2,1/((tbl_Finance[Job Number]=C173&amp;"")*(tbl_Finance[Xero Invoice No]&lt;&gt;"")),tbl_Finance[Xero Invoice No]),LOOKUP(2,1/((tbl_Finance[Job Number]=C173&amp;"")*(tbl_Finance[Xero Invoice No]&lt;&gt;"")),tbl_Finance[Xero Invoice No])&amp;" +more"),"")))</f>
        <v/>
      </c>
      <c r="C173" s="24" t="n"/>
      <c r="D173" s="25">
        <f>IF(C173="","",IF(COUNTIF(lst_Jobs,C173&amp;"")&gt;0,"OK","CHECK"))</f>
        <v/>
      </c>
      <c r="E173" s="25">
        <f>IF(C173="","",IFERROR(INDEX(lst_JobName,MATCH(C173&amp;"",lst_Jobs,0)),""))</f>
        <v/>
      </c>
      <c r="F173" s="25">
        <f>IF(C173="","",IFERROR(INDEX(tbl_Finance[Client],MATCH(C173&amp;"",tbl_Finance[Job Number],0)),""))</f>
        <v/>
      </c>
      <c r="G173" s="28">
        <f>IF(C173="","",COUNTIFS(tbl_Finance[Job Number],C173&amp;"",tbl_Finance[Ex GST],"&lt;&gt;"))</f>
        <v/>
      </c>
      <c r="H173" s="27">
        <f>IF(C173="","",SUMIFS(tbl_Finance[Ex GST],tbl_Finance[Job Number],C173&amp;""))</f>
        <v/>
      </c>
      <c r="I173" s="27">
        <f>IF(C173="","",SUMIFS(tbl_Finance[Ex GST],tbl_Finance[Job Number],C173&amp;"",tbl_Finance[Xero Invoice No],"&lt;&gt;"))</f>
        <v/>
      </c>
      <c r="J173" s="27">
        <f>IF(C173="","",H173-I173)</f>
        <v/>
      </c>
      <c r="K173" s="25">
        <f>IF(C173="","",IF(G173=0,"not invoiced yet",SUBSTITUTE(TRIM(IF(COUNTIFS(tbl_Finance[Job Number],C173&amp;"",tbl_Finance[Cost Centre],"ONSITE")&gt;0,"ONSITE ","")&amp;IF(COUNTIFS(tbl_Finance[Job Number],C173&amp;"",tbl_Finance[Cost Centre],"PRODUCTION")&gt;0,"PRODUCTION ","")&amp;IF(COUNTIFS(tbl_Finance[Job Number],C173&amp;"",tbl_Finance[Cost Centre],"VIDEO")&gt;0,"VIDEO ","")&amp;IF(COUNTIFS(tbl_Finance[Job Number],C173&amp;"",tbl_Finance[Cost Centre],"INTEGRATION")&gt;0,"INTEGRATION ","")&amp;IF(COUNTIFS(tbl_Finance[Job Number],C173&amp;"",tbl_Finance[Cost Centre],"CONSULTING")&gt;0,"CONSULTING ","")&amp;IF(COUNTIFS(tbl_Finance[Job Number],C173&amp;"",tbl_Finance[Cost Centre],"CTS")&gt;0,"CTS ",""))," ",", ")))</f>
        <v/>
      </c>
      <c r="L173" s="24" t="n"/>
      <c r="M173" s="25">
        <f>IF(L173="","",HYPERLINK(IF(LEFT(L173,4)="http",L173,set_QwilrBase&amp;L173),"Open quote"))</f>
        <v/>
      </c>
      <c r="N173" s="26" t="n"/>
      <c r="O173" s="26" t="n"/>
      <c r="P173" s="26" t="n"/>
      <c r="Q173" s="25">
        <f>IF(C173="","",IF(N(N173)+N(O173)+N(P173)=0,"Not split",IF(ROUND(N(N173)+N(O173)+N(P173),2)=ROUND(H173,2),"OK","MISMATCH")))</f>
        <v/>
      </c>
      <c r="R173" s="26" t="n"/>
      <c r="S173" s="26" t="n"/>
      <c r="T173" s="26" t="n"/>
      <c r="U173" s="27">
        <f>IF(C173="","",N(R173)+N(S173)+N(T173))</f>
        <v/>
      </c>
      <c r="V173" s="27">
        <f>IF(C173="","",H173-U173)</f>
        <v/>
      </c>
      <c r="W173" s="29">
        <f>IFERROR(V173/H173,"")</f>
        <v/>
      </c>
      <c r="X173" s="24" t="n"/>
    </row>
    <row r="174" ht="15" customHeight="1">
      <c r="A174" s="63">
        <f>IF(C174="","",IFERROR(IF(SUMPRODUCT(MAX((tbl_Finance[Job Number]=C174&amp;"")*(tbl_Finance[Xero Invoice No]&lt;&gt;"")*tbl_Finance[Date]))=0,"",SUMPRODUCT(MAX((tbl_Finance[Job Number]=C174&amp;"")*(tbl_Finance[Xero Invoice No]&lt;&gt;"")*tbl_Finance[Date]))),""))</f>
        <v/>
      </c>
      <c r="B174" s="25">
        <f>IF(C174="","",IF(COUNTIFS(tbl_Finance[Job Number],C174&amp;"",tbl_Finance[Xero Invoice No],"&lt;&gt;")=0,"",IFERROR(IF(COUNTIFS(tbl_Finance[Job Number],C174&amp;"",tbl_Finance[Xero Invoice No],LOOKUP(2,1/((tbl_Finance[Job Number]=C174&amp;"")*(tbl_Finance[Xero Invoice No]&lt;&gt;"")),tbl_Finance[Xero Invoice No]))=COUNTIFS(tbl_Finance[Job Number],C174&amp;"",tbl_Finance[Xero Invoice No],"&lt;&gt;"),LOOKUP(2,1/((tbl_Finance[Job Number]=C174&amp;"")*(tbl_Finance[Xero Invoice No]&lt;&gt;"")),tbl_Finance[Xero Invoice No]),LOOKUP(2,1/((tbl_Finance[Job Number]=C174&amp;"")*(tbl_Finance[Xero Invoice No]&lt;&gt;"")),tbl_Finance[Xero Invoice No])&amp;" +more"),"")))</f>
        <v/>
      </c>
      <c r="C174" s="24" t="n"/>
      <c r="D174" s="25">
        <f>IF(C174="","",IF(COUNTIF(lst_Jobs,C174&amp;"")&gt;0,"OK","CHECK"))</f>
        <v/>
      </c>
      <c r="E174" s="25">
        <f>IF(C174="","",IFERROR(INDEX(lst_JobName,MATCH(C174&amp;"",lst_Jobs,0)),""))</f>
        <v/>
      </c>
      <c r="F174" s="25">
        <f>IF(C174="","",IFERROR(INDEX(tbl_Finance[Client],MATCH(C174&amp;"",tbl_Finance[Job Number],0)),""))</f>
        <v/>
      </c>
      <c r="G174" s="28">
        <f>IF(C174="","",COUNTIFS(tbl_Finance[Job Number],C174&amp;"",tbl_Finance[Ex GST],"&lt;&gt;"))</f>
        <v/>
      </c>
      <c r="H174" s="27">
        <f>IF(C174="","",SUMIFS(tbl_Finance[Ex GST],tbl_Finance[Job Number],C174&amp;""))</f>
        <v/>
      </c>
      <c r="I174" s="27">
        <f>IF(C174="","",SUMIFS(tbl_Finance[Ex GST],tbl_Finance[Job Number],C174&amp;"",tbl_Finance[Xero Invoice No],"&lt;&gt;"))</f>
        <v/>
      </c>
      <c r="J174" s="27">
        <f>IF(C174="","",H174-I174)</f>
        <v/>
      </c>
      <c r="K174" s="25">
        <f>IF(C174="","",IF(G174=0,"not invoiced yet",SUBSTITUTE(TRIM(IF(COUNTIFS(tbl_Finance[Job Number],C174&amp;"",tbl_Finance[Cost Centre],"ONSITE")&gt;0,"ONSITE ","")&amp;IF(COUNTIFS(tbl_Finance[Job Number],C174&amp;"",tbl_Finance[Cost Centre],"PRODUCTION")&gt;0,"PRODUCTION ","")&amp;IF(COUNTIFS(tbl_Finance[Job Number],C174&amp;"",tbl_Finance[Cost Centre],"VIDEO")&gt;0,"VIDEO ","")&amp;IF(COUNTIFS(tbl_Finance[Job Number],C174&amp;"",tbl_Finance[Cost Centre],"INTEGRATION")&gt;0,"INTEGRATION ","")&amp;IF(COUNTIFS(tbl_Finance[Job Number],C174&amp;"",tbl_Finance[Cost Centre],"CONSULTING")&gt;0,"CONSULTING ","")&amp;IF(COUNTIFS(tbl_Finance[Job Number],C174&amp;"",tbl_Finance[Cost Centre],"CTS")&gt;0,"CTS ",""))," ",", ")))</f>
        <v/>
      </c>
      <c r="L174" s="24" t="n"/>
      <c r="M174" s="25">
        <f>IF(L174="","",HYPERLINK(IF(LEFT(L174,4)="http",L174,set_QwilrBase&amp;L174),"Open quote"))</f>
        <v/>
      </c>
      <c r="N174" s="26" t="n"/>
      <c r="O174" s="26" t="n"/>
      <c r="P174" s="26" t="n"/>
      <c r="Q174" s="25">
        <f>IF(C174="","",IF(N(N174)+N(O174)+N(P174)=0,"Not split",IF(ROUND(N(N174)+N(O174)+N(P174),2)=ROUND(H174,2),"OK","MISMATCH")))</f>
        <v/>
      </c>
      <c r="R174" s="26" t="n"/>
      <c r="S174" s="26" t="n"/>
      <c r="T174" s="26" t="n"/>
      <c r="U174" s="27">
        <f>IF(C174="","",N(R174)+N(S174)+N(T174))</f>
        <v/>
      </c>
      <c r="V174" s="27">
        <f>IF(C174="","",H174-U174)</f>
        <v/>
      </c>
      <c r="W174" s="29">
        <f>IFERROR(V174/H174,"")</f>
        <v/>
      </c>
      <c r="X174" s="24" t="n"/>
    </row>
    <row r="175" ht="15" customHeight="1">
      <c r="A175" s="63">
        <f>IF(C175="","",IFERROR(IF(SUMPRODUCT(MAX((tbl_Finance[Job Number]=C175&amp;"")*(tbl_Finance[Xero Invoice No]&lt;&gt;"")*tbl_Finance[Date]))=0,"",SUMPRODUCT(MAX((tbl_Finance[Job Number]=C175&amp;"")*(tbl_Finance[Xero Invoice No]&lt;&gt;"")*tbl_Finance[Date]))),""))</f>
        <v/>
      </c>
      <c r="B175" s="25">
        <f>IF(C175="","",IF(COUNTIFS(tbl_Finance[Job Number],C175&amp;"",tbl_Finance[Xero Invoice No],"&lt;&gt;")=0,"",IFERROR(IF(COUNTIFS(tbl_Finance[Job Number],C175&amp;"",tbl_Finance[Xero Invoice No],LOOKUP(2,1/((tbl_Finance[Job Number]=C175&amp;"")*(tbl_Finance[Xero Invoice No]&lt;&gt;"")),tbl_Finance[Xero Invoice No]))=COUNTIFS(tbl_Finance[Job Number],C175&amp;"",tbl_Finance[Xero Invoice No],"&lt;&gt;"),LOOKUP(2,1/((tbl_Finance[Job Number]=C175&amp;"")*(tbl_Finance[Xero Invoice No]&lt;&gt;"")),tbl_Finance[Xero Invoice No]),LOOKUP(2,1/((tbl_Finance[Job Number]=C175&amp;"")*(tbl_Finance[Xero Invoice No]&lt;&gt;"")),tbl_Finance[Xero Invoice No])&amp;" +more"),"")))</f>
        <v/>
      </c>
      <c r="C175" s="24" t="n"/>
      <c r="D175" s="25">
        <f>IF(C175="","",IF(COUNTIF(lst_Jobs,C175&amp;"")&gt;0,"OK","CHECK"))</f>
        <v/>
      </c>
      <c r="E175" s="25">
        <f>IF(C175="","",IFERROR(INDEX(lst_JobName,MATCH(C175&amp;"",lst_Jobs,0)),""))</f>
        <v/>
      </c>
      <c r="F175" s="25">
        <f>IF(C175="","",IFERROR(INDEX(tbl_Finance[Client],MATCH(C175&amp;"",tbl_Finance[Job Number],0)),""))</f>
        <v/>
      </c>
      <c r="G175" s="28">
        <f>IF(C175="","",COUNTIFS(tbl_Finance[Job Number],C175&amp;"",tbl_Finance[Ex GST],"&lt;&gt;"))</f>
        <v/>
      </c>
      <c r="H175" s="27">
        <f>IF(C175="","",SUMIFS(tbl_Finance[Ex GST],tbl_Finance[Job Number],C175&amp;""))</f>
        <v/>
      </c>
      <c r="I175" s="27">
        <f>IF(C175="","",SUMIFS(tbl_Finance[Ex GST],tbl_Finance[Job Number],C175&amp;"",tbl_Finance[Xero Invoice No],"&lt;&gt;"))</f>
        <v/>
      </c>
      <c r="J175" s="27">
        <f>IF(C175="","",H175-I175)</f>
        <v/>
      </c>
      <c r="K175" s="25">
        <f>IF(C175="","",IF(G175=0,"not invoiced yet",SUBSTITUTE(TRIM(IF(COUNTIFS(tbl_Finance[Job Number],C175&amp;"",tbl_Finance[Cost Centre],"ONSITE")&gt;0,"ONSITE ","")&amp;IF(COUNTIFS(tbl_Finance[Job Number],C175&amp;"",tbl_Finance[Cost Centre],"PRODUCTION")&gt;0,"PRODUCTION ","")&amp;IF(COUNTIFS(tbl_Finance[Job Number],C175&amp;"",tbl_Finance[Cost Centre],"VIDEO")&gt;0,"VIDEO ","")&amp;IF(COUNTIFS(tbl_Finance[Job Number],C175&amp;"",tbl_Finance[Cost Centre],"INTEGRATION")&gt;0,"INTEGRATION ","")&amp;IF(COUNTIFS(tbl_Finance[Job Number],C175&amp;"",tbl_Finance[Cost Centre],"CONSULTING")&gt;0,"CONSULTING ","")&amp;IF(COUNTIFS(tbl_Finance[Job Number],C175&amp;"",tbl_Finance[Cost Centre],"CTS")&gt;0,"CTS ",""))," ",", ")))</f>
        <v/>
      </c>
      <c r="L175" s="24" t="n"/>
      <c r="M175" s="25">
        <f>IF(L175="","",HYPERLINK(IF(LEFT(L175,4)="http",L175,set_QwilrBase&amp;L175),"Open quote"))</f>
        <v/>
      </c>
      <c r="N175" s="26" t="n"/>
      <c r="O175" s="26" t="n"/>
      <c r="P175" s="26" t="n"/>
      <c r="Q175" s="25">
        <f>IF(C175="","",IF(N(N175)+N(O175)+N(P175)=0,"Not split",IF(ROUND(N(N175)+N(O175)+N(P175),2)=ROUND(H175,2),"OK","MISMATCH")))</f>
        <v/>
      </c>
      <c r="R175" s="26" t="n"/>
      <c r="S175" s="26" t="n"/>
      <c r="T175" s="26" t="n"/>
      <c r="U175" s="27">
        <f>IF(C175="","",N(R175)+N(S175)+N(T175))</f>
        <v/>
      </c>
      <c r="V175" s="27">
        <f>IF(C175="","",H175-U175)</f>
        <v/>
      </c>
      <c r="W175" s="29">
        <f>IFERROR(V175/H175,"")</f>
        <v/>
      </c>
      <c r="X175" s="24" t="n"/>
    </row>
    <row r="176" ht="15" customHeight="1">
      <c r="A176" s="63">
        <f>IF(C176="","",IFERROR(IF(SUMPRODUCT(MAX((tbl_Finance[Job Number]=C176&amp;"")*(tbl_Finance[Xero Invoice No]&lt;&gt;"")*tbl_Finance[Date]))=0,"",SUMPRODUCT(MAX((tbl_Finance[Job Number]=C176&amp;"")*(tbl_Finance[Xero Invoice No]&lt;&gt;"")*tbl_Finance[Date]))),""))</f>
        <v/>
      </c>
      <c r="B176" s="25">
        <f>IF(C176="","",IF(COUNTIFS(tbl_Finance[Job Number],C176&amp;"",tbl_Finance[Xero Invoice No],"&lt;&gt;")=0,"",IFERROR(IF(COUNTIFS(tbl_Finance[Job Number],C176&amp;"",tbl_Finance[Xero Invoice No],LOOKUP(2,1/((tbl_Finance[Job Number]=C176&amp;"")*(tbl_Finance[Xero Invoice No]&lt;&gt;"")),tbl_Finance[Xero Invoice No]))=COUNTIFS(tbl_Finance[Job Number],C176&amp;"",tbl_Finance[Xero Invoice No],"&lt;&gt;"),LOOKUP(2,1/((tbl_Finance[Job Number]=C176&amp;"")*(tbl_Finance[Xero Invoice No]&lt;&gt;"")),tbl_Finance[Xero Invoice No]),LOOKUP(2,1/((tbl_Finance[Job Number]=C176&amp;"")*(tbl_Finance[Xero Invoice No]&lt;&gt;"")),tbl_Finance[Xero Invoice No])&amp;" +more"),"")))</f>
        <v/>
      </c>
      <c r="C176" s="24" t="n"/>
      <c r="D176" s="25">
        <f>IF(C176="","",IF(COUNTIF(lst_Jobs,C176&amp;"")&gt;0,"OK","CHECK"))</f>
        <v/>
      </c>
      <c r="E176" s="25">
        <f>IF(C176="","",IFERROR(INDEX(lst_JobName,MATCH(C176&amp;"",lst_Jobs,0)),""))</f>
        <v/>
      </c>
      <c r="F176" s="25">
        <f>IF(C176="","",IFERROR(INDEX(tbl_Finance[Client],MATCH(C176&amp;"",tbl_Finance[Job Number],0)),""))</f>
        <v/>
      </c>
      <c r="G176" s="28">
        <f>IF(C176="","",COUNTIFS(tbl_Finance[Job Number],C176&amp;"",tbl_Finance[Ex GST],"&lt;&gt;"))</f>
        <v/>
      </c>
      <c r="H176" s="27">
        <f>IF(C176="","",SUMIFS(tbl_Finance[Ex GST],tbl_Finance[Job Number],C176&amp;""))</f>
        <v/>
      </c>
      <c r="I176" s="27">
        <f>IF(C176="","",SUMIFS(tbl_Finance[Ex GST],tbl_Finance[Job Number],C176&amp;"",tbl_Finance[Xero Invoice No],"&lt;&gt;"))</f>
        <v/>
      </c>
      <c r="J176" s="27">
        <f>IF(C176="","",H176-I176)</f>
        <v/>
      </c>
      <c r="K176" s="25">
        <f>IF(C176="","",IF(G176=0,"not invoiced yet",SUBSTITUTE(TRIM(IF(COUNTIFS(tbl_Finance[Job Number],C176&amp;"",tbl_Finance[Cost Centre],"ONSITE")&gt;0,"ONSITE ","")&amp;IF(COUNTIFS(tbl_Finance[Job Number],C176&amp;"",tbl_Finance[Cost Centre],"PRODUCTION")&gt;0,"PRODUCTION ","")&amp;IF(COUNTIFS(tbl_Finance[Job Number],C176&amp;"",tbl_Finance[Cost Centre],"VIDEO")&gt;0,"VIDEO ","")&amp;IF(COUNTIFS(tbl_Finance[Job Number],C176&amp;"",tbl_Finance[Cost Centre],"INTEGRATION")&gt;0,"INTEGRATION ","")&amp;IF(COUNTIFS(tbl_Finance[Job Number],C176&amp;"",tbl_Finance[Cost Centre],"CONSULTING")&gt;0,"CONSULTING ","")&amp;IF(COUNTIFS(tbl_Finance[Job Number],C176&amp;"",tbl_Finance[Cost Centre],"CTS")&gt;0,"CTS ",""))," ",", ")))</f>
        <v/>
      </c>
      <c r="L176" s="24" t="n"/>
      <c r="M176" s="25">
        <f>IF(L176="","",HYPERLINK(IF(LEFT(L176,4)="http",L176,set_QwilrBase&amp;L176),"Open quote"))</f>
        <v/>
      </c>
      <c r="N176" s="26" t="n"/>
      <c r="O176" s="26" t="n"/>
      <c r="P176" s="26" t="n"/>
      <c r="Q176" s="25">
        <f>IF(C176="","",IF(N(N176)+N(O176)+N(P176)=0,"Not split",IF(ROUND(N(N176)+N(O176)+N(P176),2)=ROUND(H176,2),"OK","MISMATCH")))</f>
        <v/>
      </c>
      <c r="R176" s="26" t="n"/>
      <c r="S176" s="26" t="n"/>
      <c r="T176" s="26" t="n"/>
      <c r="U176" s="27">
        <f>IF(C176="","",N(R176)+N(S176)+N(T176))</f>
        <v/>
      </c>
      <c r="V176" s="27">
        <f>IF(C176="","",H176-U176)</f>
        <v/>
      </c>
      <c r="W176" s="29">
        <f>IFERROR(V176/H176,"")</f>
        <v/>
      </c>
      <c r="X176" s="24" t="n"/>
    </row>
    <row r="177" ht="15" customHeight="1">
      <c r="A177" s="63">
        <f>IF(C177="","",IFERROR(IF(SUMPRODUCT(MAX((tbl_Finance[Job Number]=C177&amp;"")*(tbl_Finance[Xero Invoice No]&lt;&gt;"")*tbl_Finance[Date]))=0,"",SUMPRODUCT(MAX((tbl_Finance[Job Number]=C177&amp;"")*(tbl_Finance[Xero Invoice No]&lt;&gt;"")*tbl_Finance[Date]))),""))</f>
        <v/>
      </c>
      <c r="B177" s="25">
        <f>IF(C177="","",IF(COUNTIFS(tbl_Finance[Job Number],C177&amp;"",tbl_Finance[Xero Invoice No],"&lt;&gt;")=0,"",IFERROR(IF(COUNTIFS(tbl_Finance[Job Number],C177&amp;"",tbl_Finance[Xero Invoice No],LOOKUP(2,1/((tbl_Finance[Job Number]=C177&amp;"")*(tbl_Finance[Xero Invoice No]&lt;&gt;"")),tbl_Finance[Xero Invoice No]))=COUNTIFS(tbl_Finance[Job Number],C177&amp;"",tbl_Finance[Xero Invoice No],"&lt;&gt;"),LOOKUP(2,1/((tbl_Finance[Job Number]=C177&amp;"")*(tbl_Finance[Xero Invoice No]&lt;&gt;"")),tbl_Finance[Xero Invoice No]),LOOKUP(2,1/((tbl_Finance[Job Number]=C177&amp;"")*(tbl_Finance[Xero Invoice No]&lt;&gt;"")),tbl_Finance[Xero Invoice No])&amp;" +more"),"")))</f>
        <v/>
      </c>
      <c r="C177" s="24" t="n"/>
      <c r="D177" s="25">
        <f>IF(C177="","",IF(COUNTIF(lst_Jobs,C177&amp;"")&gt;0,"OK","CHECK"))</f>
        <v/>
      </c>
      <c r="E177" s="25">
        <f>IF(C177="","",IFERROR(INDEX(lst_JobName,MATCH(C177&amp;"",lst_Jobs,0)),""))</f>
        <v/>
      </c>
      <c r="F177" s="25">
        <f>IF(C177="","",IFERROR(INDEX(tbl_Finance[Client],MATCH(C177&amp;"",tbl_Finance[Job Number],0)),""))</f>
        <v/>
      </c>
      <c r="G177" s="28">
        <f>IF(C177="","",COUNTIFS(tbl_Finance[Job Number],C177&amp;"",tbl_Finance[Ex GST],"&lt;&gt;"))</f>
        <v/>
      </c>
      <c r="H177" s="27">
        <f>IF(C177="","",SUMIFS(tbl_Finance[Ex GST],tbl_Finance[Job Number],C177&amp;""))</f>
        <v/>
      </c>
      <c r="I177" s="27">
        <f>IF(C177="","",SUMIFS(tbl_Finance[Ex GST],tbl_Finance[Job Number],C177&amp;"",tbl_Finance[Xero Invoice No],"&lt;&gt;"))</f>
        <v/>
      </c>
      <c r="J177" s="27">
        <f>IF(C177="","",H177-I177)</f>
        <v/>
      </c>
      <c r="K177" s="25">
        <f>IF(C177="","",IF(G177=0,"not invoiced yet",SUBSTITUTE(TRIM(IF(COUNTIFS(tbl_Finance[Job Number],C177&amp;"",tbl_Finance[Cost Centre],"ONSITE")&gt;0,"ONSITE ","")&amp;IF(COUNTIFS(tbl_Finance[Job Number],C177&amp;"",tbl_Finance[Cost Centre],"PRODUCTION")&gt;0,"PRODUCTION ","")&amp;IF(COUNTIFS(tbl_Finance[Job Number],C177&amp;"",tbl_Finance[Cost Centre],"VIDEO")&gt;0,"VIDEO ","")&amp;IF(COUNTIFS(tbl_Finance[Job Number],C177&amp;"",tbl_Finance[Cost Centre],"INTEGRATION")&gt;0,"INTEGRATION ","")&amp;IF(COUNTIFS(tbl_Finance[Job Number],C177&amp;"",tbl_Finance[Cost Centre],"CONSULTING")&gt;0,"CONSULTING ","")&amp;IF(COUNTIFS(tbl_Finance[Job Number],C177&amp;"",tbl_Finance[Cost Centre],"CTS")&gt;0,"CTS ",""))," ",", ")))</f>
        <v/>
      </c>
      <c r="L177" s="24" t="n"/>
      <c r="M177" s="25">
        <f>IF(L177="","",HYPERLINK(IF(LEFT(L177,4)="http",L177,set_QwilrBase&amp;L177),"Open quote"))</f>
        <v/>
      </c>
      <c r="N177" s="26" t="n"/>
      <c r="O177" s="26" t="n"/>
      <c r="P177" s="26" t="n"/>
      <c r="Q177" s="25">
        <f>IF(C177="","",IF(N(N177)+N(O177)+N(P177)=0,"Not split",IF(ROUND(N(N177)+N(O177)+N(P177),2)=ROUND(H177,2),"OK","MISMATCH")))</f>
        <v/>
      </c>
      <c r="R177" s="26" t="n"/>
      <c r="S177" s="26" t="n"/>
      <c r="T177" s="26" t="n"/>
      <c r="U177" s="27">
        <f>IF(C177="","",N(R177)+N(S177)+N(T177))</f>
        <v/>
      </c>
      <c r="V177" s="27">
        <f>IF(C177="","",H177-U177)</f>
        <v/>
      </c>
      <c r="W177" s="29">
        <f>IFERROR(V177/H177,"")</f>
        <v/>
      </c>
      <c r="X177" s="24" t="n"/>
    </row>
    <row r="178" ht="15" customHeight="1">
      <c r="A178" s="63">
        <f>IF(C178="","",IFERROR(IF(SUMPRODUCT(MAX((tbl_Finance[Job Number]=C178&amp;"")*(tbl_Finance[Xero Invoice No]&lt;&gt;"")*tbl_Finance[Date]))=0,"",SUMPRODUCT(MAX((tbl_Finance[Job Number]=C178&amp;"")*(tbl_Finance[Xero Invoice No]&lt;&gt;"")*tbl_Finance[Date]))),""))</f>
        <v/>
      </c>
      <c r="B178" s="25">
        <f>IF(C178="","",IF(COUNTIFS(tbl_Finance[Job Number],C178&amp;"",tbl_Finance[Xero Invoice No],"&lt;&gt;")=0,"",IFERROR(IF(COUNTIFS(tbl_Finance[Job Number],C178&amp;"",tbl_Finance[Xero Invoice No],LOOKUP(2,1/((tbl_Finance[Job Number]=C178&amp;"")*(tbl_Finance[Xero Invoice No]&lt;&gt;"")),tbl_Finance[Xero Invoice No]))=COUNTIFS(tbl_Finance[Job Number],C178&amp;"",tbl_Finance[Xero Invoice No],"&lt;&gt;"),LOOKUP(2,1/((tbl_Finance[Job Number]=C178&amp;"")*(tbl_Finance[Xero Invoice No]&lt;&gt;"")),tbl_Finance[Xero Invoice No]),LOOKUP(2,1/((tbl_Finance[Job Number]=C178&amp;"")*(tbl_Finance[Xero Invoice No]&lt;&gt;"")),tbl_Finance[Xero Invoice No])&amp;" +more"),"")))</f>
        <v/>
      </c>
      <c r="C178" s="24" t="n"/>
      <c r="D178" s="25">
        <f>IF(C178="","",IF(COUNTIF(lst_Jobs,C178&amp;"")&gt;0,"OK","CHECK"))</f>
        <v/>
      </c>
      <c r="E178" s="25">
        <f>IF(C178="","",IFERROR(INDEX(lst_JobName,MATCH(C178&amp;"",lst_Jobs,0)),""))</f>
        <v/>
      </c>
      <c r="F178" s="25">
        <f>IF(C178="","",IFERROR(INDEX(tbl_Finance[Client],MATCH(C178&amp;"",tbl_Finance[Job Number],0)),""))</f>
        <v/>
      </c>
      <c r="G178" s="28">
        <f>IF(C178="","",COUNTIFS(tbl_Finance[Job Number],C178&amp;"",tbl_Finance[Ex GST],"&lt;&gt;"))</f>
        <v/>
      </c>
      <c r="H178" s="27">
        <f>IF(C178="","",SUMIFS(tbl_Finance[Ex GST],tbl_Finance[Job Number],C178&amp;""))</f>
        <v/>
      </c>
      <c r="I178" s="27">
        <f>IF(C178="","",SUMIFS(tbl_Finance[Ex GST],tbl_Finance[Job Number],C178&amp;"",tbl_Finance[Xero Invoice No],"&lt;&gt;"))</f>
        <v/>
      </c>
      <c r="J178" s="27">
        <f>IF(C178="","",H178-I178)</f>
        <v/>
      </c>
      <c r="K178" s="25">
        <f>IF(C178="","",IF(G178=0,"not invoiced yet",SUBSTITUTE(TRIM(IF(COUNTIFS(tbl_Finance[Job Number],C178&amp;"",tbl_Finance[Cost Centre],"ONSITE")&gt;0,"ONSITE ","")&amp;IF(COUNTIFS(tbl_Finance[Job Number],C178&amp;"",tbl_Finance[Cost Centre],"PRODUCTION")&gt;0,"PRODUCTION ","")&amp;IF(COUNTIFS(tbl_Finance[Job Number],C178&amp;"",tbl_Finance[Cost Centre],"VIDEO")&gt;0,"VIDEO ","")&amp;IF(COUNTIFS(tbl_Finance[Job Number],C178&amp;"",tbl_Finance[Cost Centre],"INTEGRATION")&gt;0,"INTEGRATION ","")&amp;IF(COUNTIFS(tbl_Finance[Job Number],C178&amp;"",tbl_Finance[Cost Centre],"CONSULTING")&gt;0,"CONSULTING ","")&amp;IF(COUNTIFS(tbl_Finance[Job Number],C178&amp;"",tbl_Finance[Cost Centre],"CTS")&gt;0,"CTS ",""))," ",", ")))</f>
        <v/>
      </c>
      <c r="L178" s="24" t="n"/>
      <c r="M178" s="25">
        <f>IF(L178="","",HYPERLINK(IF(LEFT(L178,4)="http",L178,set_QwilrBase&amp;L178),"Open quote"))</f>
        <v/>
      </c>
      <c r="N178" s="26" t="n"/>
      <c r="O178" s="26" t="n"/>
      <c r="P178" s="26" t="n"/>
      <c r="Q178" s="25">
        <f>IF(C178="","",IF(N(N178)+N(O178)+N(P178)=0,"Not split",IF(ROUND(N(N178)+N(O178)+N(P178),2)=ROUND(H178,2),"OK","MISMATCH")))</f>
        <v/>
      </c>
      <c r="R178" s="26" t="n"/>
      <c r="S178" s="26" t="n"/>
      <c r="T178" s="26" t="n"/>
      <c r="U178" s="27">
        <f>IF(C178="","",N(R178)+N(S178)+N(T178))</f>
        <v/>
      </c>
      <c r="V178" s="27">
        <f>IF(C178="","",H178-U178)</f>
        <v/>
      </c>
      <c r="W178" s="29">
        <f>IFERROR(V178/H178,"")</f>
        <v/>
      </c>
      <c r="X178" s="24" t="n"/>
    </row>
    <row r="179" ht="15" customHeight="1">
      <c r="A179" s="63">
        <f>IF(C179="","",IFERROR(IF(SUMPRODUCT(MAX((tbl_Finance[Job Number]=C179&amp;"")*(tbl_Finance[Xero Invoice No]&lt;&gt;"")*tbl_Finance[Date]))=0,"",SUMPRODUCT(MAX((tbl_Finance[Job Number]=C179&amp;"")*(tbl_Finance[Xero Invoice No]&lt;&gt;"")*tbl_Finance[Date]))),""))</f>
        <v/>
      </c>
      <c r="B179" s="25">
        <f>IF(C179="","",IF(COUNTIFS(tbl_Finance[Job Number],C179&amp;"",tbl_Finance[Xero Invoice No],"&lt;&gt;")=0,"",IFERROR(IF(COUNTIFS(tbl_Finance[Job Number],C179&amp;"",tbl_Finance[Xero Invoice No],LOOKUP(2,1/((tbl_Finance[Job Number]=C179&amp;"")*(tbl_Finance[Xero Invoice No]&lt;&gt;"")),tbl_Finance[Xero Invoice No]))=COUNTIFS(tbl_Finance[Job Number],C179&amp;"",tbl_Finance[Xero Invoice No],"&lt;&gt;"),LOOKUP(2,1/((tbl_Finance[Job Number]=C179&amp;"")*(tbl_Finance[Xero Invoice No]&lt;&gt;"")),tbl_Finance[Xero Invoice No]),LOOKUP(2,1/((tbl_Finance[Job Number]=C179&amp;"")*(tbl_Finance[Xero Invoice No]&lt;&gt;"")),tbl_Finance[Xero Invoice No])&amp;" +more"),"")))</f>
        <v/>
      </c>
      <c r="C179" s="24" t="n"/>
      <c r="D179" s="25">
        <f>IF(C179="","",IF(COUNTIF(lst_Jobs,C179&amp;"")&gt;0,"OK","CHECK"))</f>
        <v/>
      </c>
      <c r="E179" s="25">
        <f>IF(C179="","",IFERROR(INDEX(lst_JobName,MATCH(C179&amp;"",lst_Jobs,0)),""))</f>
        <v/>
      </c>
      <c r="F179" s="25">
        <f>IF(C179="","",IFERROR(INDEX(tbl_Finance[Client],MATCH(C179&amp;"",tbl_Finance[Job Number],0)),""))</f>
        <v/>
      </c>
      <c r="G179" s="28">
        <f>IF(C179="","",COUNTIFS(tbl_Finance[Job Number],C179&amp;"",tbl_Finance[Ex GST],"&lt;&gt;"))</f>
        <v/>
      </c>
      <c r="H179" s="27">
        <f>IF(C179="","",SUMIFS(tbl_Finance[Ex GST],tbl_Finance[Job Number],C179&amp;""))</f>
        <v/>
      </c>
      <c r="I179" s="27">
        <f>IF(C179="","",SUMIFS(tbl_Finance[Ex GST],tbl_Finance[Job Number],C179&amp;"",tbl_Finance[Xero Invoice No],"&lt;&gt;"))</f>
        <v/>
      </c>
      <c r="J179" s="27">
        <f>IF(C179="","",H179-I179)</f>
        <v/>
      </c>
      <c r="K179" s="25">
        <f>IF(C179="","",IF(G179=0,"not invoiced yet",SUBSTITUTE(TRIM(IF(COUNTIFS(tbl_Finance[Job Number],C179&amp;"",tbl_Finance[Cost Centre],"ONSITE")&gt;0,"ONSITE ","")&amp;IF(COUNTIFS(tbl_Finance[Job Number],C179&amp;"",tbl_Finance[Cost Centre],"PRODUCTION")&gt;0,"PRODUCTION ","")&amp;IF(COUNTIFS(tbl_Finance[Job Number],C179&amp;"",tbl_Finance[Cost Centre],"VIDEO")&gt;0,"VIDEO ","")&amp;IF(COUNTIFS(tbl_Finance[Job Number],C179&amp;"",tbl_Finance[Cost Centre],"INTEGRATION")&gt;0,"INTEGRATION ","")&amp;IF(COUNTIFS(tbl_Finance[Job Number],C179&amp;"",tbl_Finance[Cost Centre],"CONSULTING")&gt;0,"CONSULTING ","")&amp;IF(COUNTIFS(tbl_Finance[Job Number],C179&amp;"",tbl_Finance[Cost Centre],"CTS")&gt;0,"CTS ",""))," ",", ")))</f>
        <v/>
      </c>
      <c r="L179" s="24" t="n"/>
      <c r="M179" s="25">
        <f>IF(L179="","",HYPERLINK(IF(LEFT(L179,4)="http",L179,set_QwilrBase&amp;L179),"Open quote"))</f>
        <v/>
      </c>
      <c r="N179" s="26" t="n"/>
      <c r="O179" s="26" t="n"/>
      <c r="P179" s="26" t="n"/>
      <c r="Q179" s="25">
        <f>IF(C179="","",IF(N(N179)+N(O179)+N(P179)=0,"Not split",IF(ROUND(N(N179)+N(O179)+N(P179),2)=ROUND(H179,2),"OK","MISMATCH")))</f>
        <v/>
      </c>
      <c r="R179" s="26" t="n"/>
      <c r="S179" s="26" t="n"/>
      <c r="T179" s="26" t="n"/>
      <c r="U179" s="27">
        <f>IF(C179="","",N(R179)+N(S179)+N(T179))</f>
        <v/>
      </c>
      <c r="V179" s="27">
        <f>IF(C179="","",H179-U179)</f>
        <v/>
      </c>
      <c r="W179" s="29">
        <f>IFERROR(V179/H179,"")</f>
        <v/>
      </c>
      <c r="X179" s="24" t="n"/>
    </row>
    <row r="180" ht="15" customHeight="1">
      <c r="A180" s="63">
        <f>IF(C180="","",IFERROR(IF(SUMPRODUCT(MAX((tbl_Finance[Job Number]=C180&amp;"")*(tbl_Finance[Xero Invoice No]&lt;&gt;"")*tbl_Finance[Date]))=0,"",SUMPRODUCT(MAX((tbl_Finance[Job Number]=C180&amp;"")*(tbl_Finance[Xero Invoice No]&lt;&gt;"")*tbl_Finance[Date]))),""))</f>
        <v/>
      </c>
      <c r="B180" s="25">
        <f>IF(C180="","",IF(COUNTIFS(tbl_Finance[Job Number],C180&amp;"",tbl_Finance[Xero Invoice No],"&lt;&gt;")=0,"",IFERROR(IF(COUNTIFS(tbl_Finance[Job Number],C180&amp;"",tbl_Finance[Xero Invoice No],LOOKUP(2,1/((tbl_Finance[Job Number]=C180&amp;"")*(tbl_Finance[Xero Invoice No]&lt;&gt;"")),tbl_Finance[Xero Invoice No]))=COUNTIFS(tbl_Finance[Job Number],C180&amp;"",tbl_Finance[Xero Invoice No],"&lt;&gt;"),LOOKUP(2,1/((tbl_Finance[Job Number]=C180&amp;"")*(tbl_Finance[Xero Invoice No]&lt;&gt;"")),tbl_Finance[Xero Invoice No]),LOOKUP(2,1/((tbl_Finance[Job Number]=C180&amp;"")*(tbl_Finance[Xero Invoice No]&lt;&gt;"")),tbl_Finance[Xero Invoice No])&amp;" +more"),"")))</f>
        <v/>
      </c>
      <c r="C180" s="24" t="n"/>
      <c r="D180" s="25">
        <f>IF(C180="","",IF(COUNTIF(lst_Jobs,C180&amp;"")&gt;0,"OK","CHECK"))</f>
        <v/>
      </c>
      <c r="E180" s="25">
        <f>IF(C180="","",IFERROR(INDEX(lst_JobName,MATCH(C180&amp;"",lst_Jobs,0)),""))</f>
        <v/>
      </c>
      <c r="F180" s="25">
        <f>IF(C180="","",IFERROR(INDEX(tbl_Finance[Client],MATCH(C180&amp;"",tbl_Finance[Job Number],0)),""))</f>
        <v/>
      </c>
      <c r="G180" s="28">
        <f>IF(C180="","",COUNTIFS(tbl_Finance[Job Number],C180&amp;"",tbl_Finance[Ex GST],"&lt;&gt;"))</f>
        <v/>
      </c>
      <c r="H180" s="27">
        <f>IF(C180="","",SUMIFS(tbl_Finance[Ex GST],tbl_Finance[Job Number],C180&amp;""))</f>
        <v/>
      </c>
      <c r="I180" s="27">
        <f>IF(C180="","",SUMIFS(tbl_Finance[Ex GST],tbl_Finance[Job Number],C180&amp;"",tbl_Finance[Xero Invoice No],"&lt;&gt;"))</f>
        <v/>
      </c>
      <c r="J180" s="27">
        <f>IF(C180="","",H180-I180)</f>
        <v/>
      </c>
      <c r="K180" s="25">
        <f>IF(C180="","",IF(G180=0,"not invoiced yet",SUBSTITUTE(TRIM(IF(COUNTIFS(tbl_Finance[Job Number],C180&amp;"",tbl_Finance[Cost Centre],"ONSITE")&gt;0,"ONSITE ","")&amp;IF(COUNTIFS(tbl_Finance[Job Number],C180&amp;"",tbl_Finance[Cost Centre],"PRODUCTION")&gt;0,"PRODUCTION ","")&amp;IF(COUNTIFS(tbl_Finance[Job Number],C180&amp;"",tbl_Finance[Cost Centre],"VIDEO")&gt;0,"VIDEO ","")&amp;IF(COUNTIFS(tbl_Finance[Job Number],C180&amp;"",tbl_Finance[Cost Centre],"INTEGRATION")&gt;0,"INTEGRATION ","")&amp;IF(COUNTIFS(tbl_Finance[Job Number],C180&amp;"",tbl_Finance[Cost Centre],"CONSULTING")&gt;0,"CONSULTING ","")&amp;IF(COUNTIFS(tbl_Finance[Job Number],C180&amp;"",tbl_Finance[Cost Centre],"CTS")&gt;0,"CTS ",""))," ",", ")))</f>
        <v/>
      </c>
      <c r="L180" s="24" t="n"/>
      <c r="M180" s="25">
        <f>IF(L180="","",HYPERLINK(IF(LEFT(L180,4)="http",L180,set_QwilrBase&amp;L180),"Open quote"))</f>
        <v/>
      </c>
      <c r="N180" s="26" t="n"/>
      <c r="O180" s="26" t="n"/>
      <c r="P180" s="26" t="n"/>
      <c r="Q180" s="25">
        <f>IF(C180="","",IF(N(N180)+N(O180)+N(P180)=0,"Not split",IF(ROUND(N(N180)+N(O180)+N(P180),2)=ROUND(H180,2),"OK","MISMATCH")))</f>
        <v/>
      </c>
      <c r="R180" s="26" t="n"/>
      <c r="S180" s="26" t="n"/>
      <c r="T180" s="26" t="n"/>
      <c r="U180" s="27">
        <f>IF(C180="","",N(R180)+N(S180)+N(T180))</f>
        <v/>
      </c>
      <c r="V180" s="27">
        <f>IF(C180="","",H180-U180)</f>
        <v/>
      </c>
      <c r="W180" s="29">
        <f>IFERROR(V180/H180,"")</f>
        <v/>
      </c>
      <c r="X180" s="24" t="n"/>
    </row>
    <row r="181" ht="15" customHeight="1">
      <c r="A181" s="63">
        <f>IF(C181="","",IFERROR(IF(SUMPRODUCT(MAX((tbl_Finance[Job Number]=C181&amp;"")*(tbl_Finance[Xero Invoice No]&lt;&gt;"")*tbl_Finance[Date]))=0,"",SUMPRODUCT(MAX((tbl_Finance[Job Number]=C181&amp;"")*(tbl_Finance[Xero Invoice No]&lt;&gt;"")*tbl_Finance[Date]))),""))</f>
        <v/>
      </c>
      <c r="B181" s="25">
        <f>IF(C181="","",IF(COUNTIFS(tbl_Finance[Job Number],C181&amp;"",tbl_Finance[Xero Invoice No],"&lt;&gt;")=0,"",IFERROR(IF(COUNTIFS(tbl_Finance[Job Number],C181&amp;"",tbl_Finance[Xero Invoice No],LOOKUP(2,1/((tbl_Finance[Job Number]=C181&amp;"")*(tbl_Finance[Xero Invoice No]&lt;&gt;"")),tbl_Finance[Xero Invoice No]))=COUNTIFS(tbl_Finance[Job Number],C181&amp;"",tbl_Finance[Xero Invoice No],"&lt;&gt;"),LOOKUP(2,1/((tbl_Finance[Job Number]=C181&amp;"")*(tbl_Finance[Xero Invoice No]&lt;&gt;"")),tbl_Finance[Xero Invoice No]),LOOKUP(2,1/((tbl_Finance[Job Number]=C181&amp;"")*(tbl_Finance[Xero Invoice No]&lt;&gt;"")),tbl_Finance[Xero Invoice No])&amp;" +more"),"")))</f>
        <v/>
      </c>
      <c r="C181" s="24" t="n"/>
      <c r="D181" s="25">
        <f>IF(C181="","",IF(COUNTIF(lst_Jobs,C181&amp;"")&gt;0,"OK","CHECK"))</f>
        <v/>
      </c>
      <c r="E181" s="25">
        <f>IF(C181="","",IFERROR(INDEX(lst_JobName,MATCH(C181&amp;"",lst_Jobs,0)),""))</f>
        <v/>
      </c>
      <c r="F181" s="25">
        <f>IF(C181="","",IFERROR(INDEX(tbl_Finance[Client],MATCH(C181&amp;"",tbl_Finance[Job Number],0)),""))</f>
        <v/>
      </c>
      <c r="G181" s="28">
        <f>IF(C181="","",COUNTIFS(tbl_Finance[Job Number],C181&amp;"",tbl_Finance[Ex GST],"&lt;&gt;"))</f>
        <v/>
      </c>
      <c r="H181" s="27">
        <f>IF(C181="","",SUMIFS(tbl_Finance[Ex GST],tbl_Finance[Job Number],C181&amp;""))</f>
        <v/>
      </c>
      <c r="I181" s="27">
        <f>IF(C181="","",SUMIFS(tbl_Finance[Ex GST],tbl_Finance[Job Number],C181&amp;"",tbl_Finance[Xero Invoice No],"&lt;&gt;"))</f>
        <v/>
      </c>
      <c r="J181" s="27">
        <f>IF(C181="","",H181-I181)</f>
        <v/>
      </c>
      <c r="K181" s="25">
        <f>IF(C181="","",IF(G181=0,"not invoiced yet",SUBSTITUTE(TRIM(IF(COUNTIFS(tbl_Finance[Job Number],C181&amp;"",tbl_Finance[Cost Centre],"ONSITE")&gt;0,"ONSITE ","")&amp;IF(COUNTIFS(tbl_Finance[Job Number],C181&amp;"",tbl_Finance[Cost Centre],"PRODUCTION")&gt;0,"PRODUCTION ","")&amp;IF(COUNTIFS(tbl_Finance[Job Number],C181&amp;"",tbl_Finance[Cost Centre],"VIDEO")&gt;0,"VIDEO ","")&amp;IF(COUNTIFS(tbl_Finance[Job Number],C181&amp;"",tbl_Finance[Cost Centre],"INTEGRATION")&gt;0,"INTEGRATION ","")&amp;IF(COUNTIFS(tbl_Finance[Job Number],C181&amp;"",tbl_Finance[Cost Centre],"CONSULTING")&gt;0,"CONSULTING ","")&amp;IF(COUNTIFS(tbl_Finance[Job Number],C181&amp;"",tbl_Finance[Cost Centre],"CTS")&gt;0,"CTS ",""))," ",", ")))</f>
        <v/>
      </c>
      <c r="L181" s="24" t="n"/>
      <c r="M181" s="25">
        <f>IF(L181="","",HYPERLINK(IF(LEFT(L181,4)="http",L181,set_QwilrBase&amp;L181),"Open quote"))</f>
        <v/>
      </c>
      <c r="N181" s="26" t="n"/>
      <c r="O181" s="26" t="n"/>
      <c r="P181" s="26" t="n"/>
      <c r="Q181" s="25">
        <f>IF(C181="","",IF(N(N181)+N(O181)+N(P181)=0,"Not split",IF(ROUND(N(N181)+N(O181)+N(P181),2)=ROUND(H181,2),"OK","MISMATCH")))</f>
        <v/>
      </c>
      <c r="R181" s="26" t="n"/>
      <c r="S181" s="26" t="n"/>
      <c r="T181" s="26" t="n"/>
      <c r="U181" s="27">
        <f>IF(C181="","",N(R181)+N(S181)+N(T181))</f>
        <v/>
      </c>
      <c r="V181" s="27">
        <f>IF(C181="","",H181-U181)</f>
        <v/>
      </c>
      <c r="W181" s="29">
        <f>IFERROR(V181/H181,"")</f>
        <v/>
      </c>
      <c r="X181" s="24" t="n"/>
    </row>
    <row r="182" ht="15" customHeight="1">
      <c r="A182" s="63">
        <f>IF(C182="","",IFERROR(IF(SUMPRODUCT(MAX((tbl_Finance[Job Number]=C182&amp;"")*(tbl_Finance[Xero Invoice No]&lt;&gt;"")*tbl_Finance[Date]))=0,"",SUMPRODUCT(MAX((tbl_Finance[Job Number]=C182&amp;"")*(tbl_Finance[Xero Invoice No]&lt;&gt;"")*tbl_Finance[Date]))),""))</f>
        <v/>
      </c>
      <c r="B182" s="25">
        <f>IF(C182="","",IF(COUNTIFS(tbl_Finance[Job Number],C182&amp;"",tbl_Finance[Xero Invoice No],"&lt;&gt;")=0,"",IFERROR(IF(COUNTIFS(tbl_Finance[Job Number],C182&amp;"",tbl_Finance[Xero Invoice No],LOOKUP(2,1/((tbl_Finance[Job Number]=C182&amp;"")*(tbl_Finance[Xero Invoice No]&lt;&gt;"")),tbl_Finance[Xero Invoice No]))=COUNTIFS(tbl_Finance[Job Number],C182&amp;"",tbl_Finance[Xero Invoice No],"&lt;&gt;"),LOOKUP(2,1/((tbl_Finance[Job Number]=C182&amp;"")*(tbl_Finance[Xero Invoice No]&lt;&gt;"")),tbl_Finance[Xero Invoice No]),LOOKUP(2,1/((tbl_Finance[Job Number]=C182&amp;"")*(tbl_Finance[Xero Invoice No]&lt;&gt;"")),tbl_Finance[Xero Invoice No])&amp;" +more"),"")))</f>
        <v/>
      </c>
      <c r="C182" s="24" t="n"/>
      <c r="D182" s="25">
        <f>IF(C182="","",IF(COUNTIF(lst_Jobs,C182&amp;"")&gt;0,"OK","CHECK"))</f>
        <v/>
      </c>
      <c r="E182" s="25">
        <f>IF(C182="","",IFERROR(INDEX(lst_JobName,MATCH(C182&amp;"",lst_Jobs,0)),""))</f>
        <v/>
      </c>
      <c r="F182" s="25">
        <f>IF(C182="","",IFERROR(INDEX(tbl_Finance[Client],MATCH(C182&amp;"",tbl_Finance[Job Number],0)),""))</f>
        <v/>
      </c>
      <c r="G182" s="28">
        <f>IF(C182="","",COUNTIFS(tbl_Finance[Job Number],C182&amp;"",tbl_Finance[Ex GST],"&lt;&gt;"))</f>
        <v/>
      </c>
      <c r="H182" s="27">
        <f>IF(C182="","",SUMIFS(tbl_Finance[Ex GST],tbl_Finance[Job Number],C182&amp;""))</f>
        <v/>
      </c>
      <c r="I182" s="27">
        <f>IF(C182="","",SUMIFS(tbl_Finance[Ex GST],tbl_Finance[Job Number],C182&amp;"",tbl_Finance[Xero Invoice No],"&lt;&gt;"))</f>
        <v/>
      </c>
      <c r="J182" s="27">
        <f>IF(C182="","",H182-I182)</f>
        <v/>
      </c>
      <c r="K182" s="25">
        <f>IF(C182="","",IF(G182=0,"not invoiced yet",SUBSTITUTE(TRIM(IF(COUNTIFS(tbl_Finance[Job Number],C182&amp;"",tbl_Finance[Cost Centre],"ONSITE")&gt;0,"ONSITE ","")&amp;IF(COUNTIFS(tbl_Finance[Job Number],C182&amp;"",tbl_Finance[Cost Centre],"PRODUCTION")&gt;0,"PRODUCTION ","")&amp;IF(COUNTIFS(tbl_Finance[Job Number],C182&amp;"",tbl_Finance[Cost Centre],"VIDEO")&gt;0,"VIDEO ","")&amp;IF(COUNTIFS(tbl_Finance[Job Number],C182&amp;"",tbl_Finance[Cost Centre],"INTEGRATION")&gt;0,"INTEGRATION ","")&amp;IF(COUNTIFS(tbl_Finance[Job Number],C182&amp;"",tbl_Finance[Cost Centre],"CONSULTING")&gt;0,"CONSULTING ","")&amp;IF(COUNTIFS(tbl_Finance[Job Number],C182&amp;"",tbl_Finance[Cost Centre],"CTS")&gt;0,"CTS ",""))," ",", ")))</f>
        <v/>
      </c>
      <c r="L182" s="24" t="n"/>
      <c r="M182" s="25">
        <f>IF(L182="","",HYPERLINK(IF(LEFT(L182,4)="http",L182,set_QwilrBase&amp;L182),"Open quote"))</f>
        <v/>
      </c>
      <c r="N182" s="26" t="n"/>
      <c r="O182" s="26" t="n"/>
      <c r="P182" s="26" t="n"/>
      <c r="Q182" s="25">
        <f>IF(C182="","",IF(N(N182)+N(O182)+N(P182)=0,"Not split",IF(ROUND(N(N182)+N(O182)+N(P182),2)=ROUND(H182,2),"OK","MISMATCH")))</f>
        <v/>
      </c>
      <c r="R182" s="26" t="n"/>
      <c r="S182" s="26" t="n"/>
      <c r="T182" s="26" t="n"/>
      <c r="U182" s="27">
        <f>IF(C182="","",N(R182)+N(S182)+N(T182))</f>
        <v/>
      </c>
      <c r="V182" s="27">
        <f>IF(C182="","",H182-U182)</f>
        <v/>
      </c>
      <c r="W182" s="29">
        <f>IFERROR(V182/H182,"")</f>
        <v/>
      </c>
      <c r="X182" s="24" t="n"/>
    </row>
    <row r="183" ht="15" customHeight="1">
      <c r="A183" s="63">
        <f>IF(C183="","",IFERROR(IF(SUMPRODUCT(MAX((tbl_Finance[Job Number]=C183&amp;"")*(tbl_Finance[Xero Invoice No]&lt;&gt;"")*tbl_Finance[Date]))=0,"",SUMPRODUCT(MAX((tbl_Finance[Job Number]=C183&amp;"")*(tbl_Finance[Xero Invoice No]&lt;&gt;"")*tbl_Finance[Date]))),""))</f>
        <v/>
      </c>
      <c r="B183" s="25">
        <f>IF(C183="","",IF(COUNTIFS(tbl_Finance[Job Number],C183&amp;"",tbl_Finance[Xero Invoice No],"&lt;&gt;")=0,"",IFERROR(IF(COUNTIFS(tbl_Finance[Job Number],C183&amp;"",tbl_Finance[Xero Invoice No],LOOKUP(2,1/((tbl_Finance[Job Number]=C183&amp;"")*(tbl_Finance[Xero Invoice No]&lt;&gt;"")),tbl_Finance[Xero Invoice No]))=COUNTIFS(tbl_Finance[Job Number],C183&amp;"",tbl_Finance[Xero Invoice No],"&lt;&gt;"),LOOKUP(2,1/((tbl_Finance[Job Number]=C183&amp;"")*(tbl_Finance[Xero Invoice No]&lt;&gt;"")),tbl_Finance[Xero Invoice No]),LOOKUP(2,1/((tbl_Finance[Job Number]=C183&amp;"")*(tbl_Finance[Xero Invoice No]&lt;&gt;"")),tbl_Finance[Xero Invoice No])&amp;" +more"),"")))</f>
        <v/>
      </c>
      <c r="C183" s="24" t="n"/>
      <c r="D183" s="25">
        <f>IF(C183="","",IF(COUNTIF(lst_Jobs,C183&amp;"")&gt;0,"OK","CHECK"))</f>
        <v/>
      </c>
      <c r="E183" s="25">
        <f>IF(C183="","",IFERROR(INDEX(lst_JobName,MATCH(C183&amp;"",lst_Jobs,0)),""))</f>
        <v/>
      </c>
      <c r="F183" s="25">
        <f>IF(C183="","",IFERROR(INDEX(tbl_Finance[Client],MATCH(C183&amp;"",tbl_Finance[Job Number],0)),""))</f>
        <v/>
      </c>
      <c r="G183" s="28">
        <f>IF(C183="","",COUNTIFS(tbl_Finance[Job Number],C183&amp;"",tbl_Finance[Ex GST],"&lt;&gt;"))</f>
        <v/>
      </c>
      <c r="H183" s="27">
        <f>IF(C183="","",SUMIFS(tbl_Finance[Ex GST],tbl_Finance[Job Number],C183&amp;""))</f>
        <v/>
      </c>
      <c r="I183" s="27">
        <f>IF(C183="","",SUMIFS(tbl_Finance[Ex GST],tbl_Finance[Job Number],C183&amp;"",tbl_Finance[Xero Invoice No],"&lt;&gt;"))</f>
        <v/>
      </c>
      <c r="J183" s="27">
        <f>IF(C183="","",H183-I183)</f>
        <v/>
      </c>
      <c r="K183" s="25">
        <f>IF(C183="","",IF(G183=0,"not invoiced yet",SUBSTITUTE(TRIM(IF(COUNTIFS(tbl_Finance[Job Number],C183&amp;"",tbl_Finance[Cost Centre],"ONSITE")&gt;0,"ONSITE ","")&amp;IF(COUNTIFS(tbl_Finance[Job Number],C183&amp;"",tbl_Finance[Cost Centre],"PRODUCTION")&gt;0,"PRODUCTION ","")&amp;IF(COUNTIFS(tbl_Finance[Job Number],C183&amp;"",tbl_Finance[Cost Centre],"VIDEO")&gt;0,"VIDEO ","")&amp;IF(COUNTIFS(tbl_Finance[Job Number],C183&amp;"",tbl_Finance[Cost Centre],"INTEGRATION")&gt;0,"INTEGRATION ","")&amp;IF(COUNTIFS(tbl_Finance[Job Number],C183&amp;"",tbl_Finance[Cost Centre],"CONSULTING")&gt;0,"CONSULTING ","")&amp;IF(COUNTIFS(tbl_Finance[Job Number],C183&amp;"",tbl_Finance[Cost Centre],"CTS")&gt;0,"CTS ",""))," ",", ")))</f>
        <v/>
      </c>
      <c r="L183" s="24" t="n"/>
      <c r="M183" s="25">
        <f>IF(L183="","",HYPERLINK(IF(LEFT(L183,4)="http",L183,set_QwilrBase&amp;L183),"Open quote"))</f>
        <v/>
      </c>
      <c r="N183" s="26" t="n"/>
      <c r="O183" s="26" t="n"/>
      <c r="P183" s="26" t="n"/>
      <c r="Q183" s="25">
        <f>IF(C183="","",IF(N(N183)+N(O183)+N(P183)=0,"Not split",IF(ROUND(N(N183)+N(O183)+N(P183),2)=ROUND(H183,2),"OK","MISMATCH")))</f>
        <v/>
      </c>
      <c r="R183" s="26" t="n"/>
      <c r="S183" s="26" t="n"/>
      <c r="T183" s="26" t="n"/>
      <c r="U183" s="27">
        <f>IF(C183="","",N(R183)+N(S183)+N(T183))</f>
        <v/>
      </c>
      <c r="V183" s="27">
        <f>IF(C183="","",H183-U183)</f>
        <v/>
      </c>
      <c r="W183" s="29">
        <f>IFERROR(V183/H183,"")</f>
        <v/>
      </c>
      <c r="X183" s="24" t="n"/>
    </row>
    <row r="184" ht="15" customHeight="1">
      <c r="A184" s="63">
        <f>IF(C184="","",IFERROR(IF(SUMPRODUCT(MAX((tbl_Finance[Job Number]=C184&amp;"")*(tbl_Finance[Xero Invoice No]&lt;&gt;"")*tbl_Finance[Date]))=0,"",SUMPRODUCT(MAX((tbl_Finance[Job Number]=C184&amp;"")*(tbl_Finance[Xero Invoice No]&lt;&gt;"")*tbl_Finance[Date]))),""))</f>
        <v/>
      </c>
      <c r="B184" s="25">
        <f>IF(C184="","",IF(COUNTIFS(tbl_Finance[Job Number],C184&amp;"",tbl_Finance[Xero Invoice No],"&lt;&gt;")=0,"",IFERROR(IF(COUNTIFS(tbl_Finance[Job Number],C184&amp;"",tbl_Finance[Xero Invoice No],LOOKUP(2,1/((tbl_Finance[Job Number]=C184&amp;"")*(tbl_Finance[Xero Invoice No]&lt;&gt;"")),tbl_Finance[Xero Invoice No]))=COUNTIFS(tbl_Finance[Job Number],C184&amp;"",tbl_Finance[Xero Invoice No],"&lt;&gt;"),LOOKUP(2,1/((tbl_Finance[Job Number]=C184&amp;"")*(tbl_Finance[Xero Invoice No]&lt;&gt;"")),tbl_Finance[Xero Invoice No]),LOOKUP(2,1/((tbl_Finance[Job Number]=C184&amp;"")*(tbl_Finance[Xero Invoice No]&lt;&gt;"")),tbl_Finance[Xero Invoice No])&amp;" +more"),"")))</f>
        <v/>
      </c>
      <c r="C184" s="24" t="n"/>
      <c r="D184" s="25">
        <f>IF(C184="","",IF(COUNTIF(lst_Jobs,C184&amp;"")&gt;0,"OK","CHECK"))</f>
        <v/>
      </c>
      <c r="E184" s="25">
        <f>IF(C184="","",IFERROR(INDEX(lst_JobName,MATCH(C184&amp;"",lst_Jobs,0)),""))</f>
        <v/>
      </c>
      <c r="F184" s="25">
        <f>IF(C184="","",IFERROR(INDEX(tbl_Finance[Client],MATCH(C184&amp;"",tbl_Finance[Job Number],0)),""))</f>
        <v/>
      </c>
      <c r="G184" s="28">
        <f>IF(C184="","",COUNTIFS(tbl_Finance[Job Number],C184&amp;"",tbl_Finance[Ex GST],"&lt;&gt;"))</f>
        <v/>
      </c>
      <c r="H184" s="27">
        <f>IF(C184="","",SUMIFS(tbl_Finance[Ex GST],tbl_Finance[Job Number],C184&amp;""))</f>
        <v/>
      </c>
      <c r="I184" s="27">
        <f>IF(C184="","",SUMIFS(tbl_Finance[Ex GST],tbl_Finance[Job Number],C184&amp;"",tbl_Finance[Xero Invoice No],"&lt;&gt;"))</f>
        <v/>
      </c>
      <c r="J184" s="27">
        <f>IF(C184="","",H184-I184)</f>
        <v/>
      </c>
      <c r="K184" s="25">
        <f>IF(C184="","",IF(G184=0,"not invoiced yet",SUBSTITUTE(TRIM(IF(COUNTIFS(tbl_Finance[Job Number],C184&amp;"",tbl_Finance[Cost Centre],"ONSITE")&gt;0,"ONSITE ","")&amp;IF(COUNTIFS(tbl_Finance[Job Number],C184&amp;"",tbl_Finance[Cost Centre],"PRODUCTION")&gt;0,"PRODUCTION ","")&amp;IF(COUNTIFS(tbl_Finance[Job Number],C184&amp;"",tbl_Finance[Cost Centre],"VIDEO")&gt;0,"VIDEO ","")&amp;IF(COUNTIFS(tbl_Finance[Job Number],C184&amp;"",tbl_Finance[Cost Centre],"INTEGRATION")&gt;0,"INTEGRATION ","")&amp;IF(COUNTIFS(tbl_Finance[Job Number],C184&amp;"",tbl_Finance[Cost Centre],"CONSULTING")&gt;0,"CONSULTING ","")&amp;IF(COUNTIFS(tbl_Finance[Job Number],C184&amp;"",tbl_Finance[Cost Centre],"CTS")&gt;0,"CTS ",""))," ",", ")))</f>
        <v/>
      </c>
      <c r="L184" s="24" t="n"/>
      <c r="M184" s="25">
        <f>IF(L184="","",HYPERLINK(IF(LEFT(L184,4)="http",L184,set_QwilrBase&amp;L184),"Open quote"))</f>
        <v/>
      </c>
      <c r="N184" s="26" t="n"/>
      <c r="O184" s="26" t="n"/>
      <c r="P184" s="26" t="n"/>
      <c r="Q184" s="25">
        <f>IF(C184="","",IF(N(N184)+N(O184)+N(P184)=0,"Not split",IF(ROUND(N(N184)+N(O184)+N(P184),2)=ROUND(H184,2),"OK","MISMATCH")))</f>
        <v/>
      </c>
      <c r="R184" s="26" t="n"/>
      <c r="S184" s="26" t="n"/>
      <c r="T184" s="26" t="n"/>
      <c r="U184" s="27">
        <f>IF(C184="","",N(R184)+N(S184)+N(T184))</f>
        <v/>
      </c>
      <c r="V184" s="27">
        <f>IF(C184="","",H184-U184)</f>
        <v/>
      </c>
      <c r="W184" s="29">
        <f>IFERROR(V184/H184,"")</f>
        <v/>
      </c>
      <c r="X184" s="24" t="n"/>
    </row>
    <row r="185" ht="15" customHeight="1">
      <c r="A185" s="63">
        <f>IF(C185="","",IFERROR(IF(SUMPRODUCT(MAX((tbl_Finance[Job Number]=C185&amp;"")*(tbl_Finance[Xero Invoice No]&lt;&gt;"")*tbl_Finance[Date]))=0,"",SUMPRODUCT(MAX((tbl_Finance[Job Number]=C185&amp;"")*(tbl_Finance[Xero Invoice No]&lt;&gt;"")*tbl_Finance[Date]))),""))</f>
        <v/>
      </c>
      <c r="B185" s="25">
        <f>IF(C185="","",IF(COUNTIFS(tbl_Finance[Job Number],C185&amp;"",tbl_Finance[Xero Invoice No],"&lt;&gt;")=0,"",IFERROR(IF(COUNTIFS(tbl_Finance[Job Number],C185&amp;"",tbl_Finance[Xero Invoice No],LOOKUP(2,1/((tbl_Finance[Job Number]=C185&amp;"")*(tbl_Finance[Xero Invoice No]&lt;&gt;"")),tbl_Finance[Xero Invoice No]))=COUNTIFS(tbl_Finance[Job Number],C185&amp;"",tbl_Finance[Xero Invoice No],"&lt;&gt;"),LOOKUP(2,1/((tbl_Finance[Job Number]=C185&amp;"")*(tbl_Finance[Xero Invoice No]&lt;&gt;"")),tbl_Finance[Xero Invoice No]),LOOKUP(2,1/((tbl_Finance[Job Number]=C185&amp;"")*(tbl_Finance[Xero Invoice No]&lt;&gt;"")),tbl_Finance[Xero Invoice No])&amp;" +more"),"")))</f>
        <v/>
      </c>
      <c r="C185" s="24" t="n"/>
      <c r="D185" s="25">
        <f>IF(C185="","",IF(COUNTIF(lst_Jobs,C185&amp;"")&gt;0,"OK","CHECK"))</f>
        <v/>
      </c>
      <c r="E185" s="25">
        <f>IF(C185="","",IFERROR(INDEX(lst_JobName,MATCH(C185&amp;"",lst_Jobs,0)),""))</f>
        <v/>
      </c>
      <c r="F185" s="25">
        <f>IF(C185="","",IFERROR(INDEX(tbl_Finance[Client],MATCH(C185&amp;"",tbl_Finance[Job Number],0)),""))</f>
        <v/>
      </c>
      <c r="G185" s="28">
        <f>IF(C185="","",COUNTIFS(tbl_Finance[Job Number],C185&amp;"",tbl_Finance[Ex GST],"&lt;&gt;"))</f>
        <v/>
      </c>
      <c r="H185" s="27">
        <f>IF(C185="","",SUMIFS(tbl_Finance[Ex GST],tbl_Finance[Job Number],C185&amp;""))</f>
        <v/>
      </c>
      <c r="I185" s="27">
        <f>IF(C185="","",SUMIFS(tbl_Finance[Ex GST],tbl_Finance[Job Number],C185&amp;"",tbl_Finance[Xero Invoice No],"&lt;&gt;"))</f>
        <v/>
      </c>
      <c r="J185" s="27">
        <f>IF(C185="","",H185-I185)</f>
        <v/>
      </c>
      <c r="K185" s="25">
        <f>IF(C185="","",IF(G185=0,"not invoiced yet",SUBSTITUTE(TRIM(IF(COUNTIFS(tbl_Finance[Job Number],C185&amp;"",tbl_Finance[Cost Centre],"ONSITE")&gt;0,"ONSITE ","")&amp;IF(COUNTIFS(tbl_Finance[Job Number],C185&amp;"",tbl_Finance[Cost Centre],"PRODUCTION")&gt;0,"PRODUCTION ","")&amp;IF(COUNTIFS(tbl_Finance[Job Number],C185&amp;"",tbl_Finance[Cost Centre],"VIDEO")&gt;0,"VIDEO ","")&amp;IF(COUNTIFS(tbl_Finance[Job Number],C185&amp;"",tbl_Finance[Cost Centre],"INTEGRATION")&gt;0,"INTEGRATION ","")&amp;IF(COUNTIFS(tbl_Finance[Job Number],C185&amp;"",tbl_Finance[Cost Centre],"CONSULTING")&gt;0,"CONSULTING ","")&amp;IF(COUNTIFS(tbl_Finance[Job Number],C185&amp;"",tbl_Finance[Cost Centre],"CTS")&gt;0,"CTS ",""))," ",", ")))</f>
        <v/>
      </c>
      <c r="L185" s="24" t="n"/>
      <c r="M185" s="25">
        <f>IF(L185="","",HYPERLINK(IF(LEFT(L185,4)="http",L185,set_QwilrBase&amp;L185),"Open quote"))</f>
        <v/>
      </c>
      <c r="N185" s="26" t="n"/>
      <c r="O185" s="26" t="n"/>
      <c r="P185" s="26" t="n"/>
      <c r="Q185" s="25">
        <f>IF(C185="","",IF(N(N185)+N(O185)+N(P185)=0,"Not split",IF(ROUND(N(N185)+N(O185)+N(P185),2)=ROUND(H185,2),"OK","MISMATCH")))</f>
        <v/>
      </c>
      <c r="R185" s="26" t="n"/>
      <c r="S185" s="26" t="n"/>
      <c r="T185" s="26" t="n"/>
      <c r="U185" s="27">
        <f>IF(C185="","",N(R185)+N(S185)+N(T185))</f>
        <v/>
      </c>
      <c r="V185" s="27">
        <f>IF(C185="","",H185-U185)</f>
        <v/>
      </c>
      <c r="W185" s="29">
        <f>IFERROR(V185/H185,"")</f>
        <v/>
      </c>
      <c r="X185" s="24" t="n"/>
    </row>
    <row r="186" ht="15" customHeight="1">
      <c r="A186" s="63">
        <f>IF(C186="","",IFERROR(IF(SUMPRODUCT(MAX((tbl_Finance[Job Number]=C186&amp;"")*(tbl_Finance[Xero Invoice No]&lt;&gt;"")*tbl_Finance[Date]))=0,"",SUMPRODUCT(MAX((tbl_Finance[Job Number]=C186&amp;"")*(tbl_Finance[Xero Invoice No]&lt;&gt;"")*tbl_Finance[Date]))),""))</f>
        <v/>
      </c>
      <c r="B186" s="25">
        <f>IF(C186="","",IF(COUNTIFS(tbl_Finance[Job Number],C186&amp;"",tbl_Finance[Xero Invoice No],"&lt;&gt;")=0,"",IFERROR(IF(COUNTIFS(tbl_Finance[Job Number],C186&amp;"",tbl_Finance[Xero Invoice No],LOOKUP(2,1/((tbl_Finance[Job Number]=C186&amp;"")*(tbl_Finance[Xero Invoice No]&lt;&gt;"")),tbl_Finance[Xero Invoice No]))=COUNTIFS(tbl_Finance[Job Number],C186&amp;"",tbl_Finance[Xero Invoice No],"&lt;&gt;"),LOOKUP(2,1/((tbl_Finance[Job Number]=C186&amp;"")*(tbl_Finance[Xero Invoice No]&lt;&gt;"")),tbl_Finance[Xero Invoice No]),LOOKUP(2,1/((tbl_Finance[Job Number]=C186&amp;"")*(tbl_Finance[Xero Invoice No]&lt;&gt;"")),tbl_Finance[Xero Invoice No])&amp;" +more"),"")))</f>
        <v/>
      </c>
      <c r="C186" s="24" t="n"/>
      <c r="D186" s="25">
        <f>IF(C186="","",IF(COUNTIF(lst_Jobs,C186&amp;"")&gt;0,"OK","CHECK"))</f>
        <v/>
      </c>
      <c r="E186" s="25">
        <f>IF(C186="","",IFERROR(INDEX(lst_JobName,MATCH(C186&amp;"",lst_Jobs,0)),""))</f>
        <v/>
      </c>
      <c r="F186" s="25">
        <f>IF(C186="","",IFERROR(INDEX(tbl_Finance[Client],MATCH(C186&amp;"",tbl_Finance[Job Number],0)),""))</f>
        <v/>
      </c>
      <c r="G186" s="28">
        <f>IF(C186="","",COUNTIFS(tbl_Finance[Job Number],C186&amp;"",tbl_Finance[Ex GST],"&lt;&gt;"))</f>
        <v/>
      </c>
      <c r="H186" s="27">
        <f>IF(C186="","",SUMIFS(tbl_Finance[Ex GST],tbl_Finance[Job Number],C186&amp;""))</f>
        <v/>
      </c>
      <c r="I186" s="27">
        <f>IF(C186="","",SUMIFS(tbl_Finance[Ex GST],tbl_Finance[Job Number],C186&amp;"",tbl_Finance[Xero Invoice No],"&lt;&gt;"))</f>
        <v/>
      </c>
      <c r="J186" s="27">
        <f>IF(C186="","",H186-I186)</f>
        <v/>
      </c>
      <c r="K186" s="25">
        <f>IF(C186="","",IF(G186=0,"not invoiced yet",SUBSTITUTE(TRIM(IF(COUNTIFS(tbl_Finance[Job Number],C186&amp;"",tbl_Finance[Cost Centre],"ONSITE")&gt;0,"ONSITE ","")&amp;IF(COUNTIFS(tbl_Finance[Job Number],C186&amp;"",tbl_Finance[Cost Centre],"PRODUCTION")&gt;0,"PRODUCTION ","")&amp;IF(COUNTIFS(tbl_Finance[Job Number],C186&amp;"",tbl_Finance[Cost Centre],"VIDEO")&gt;0,"VIDEO ","")&amp;IF(COUNTIFS(tbl_Finance[Job Number],C186&amp;"",tbl_Finance[Cost Centre],"INTEGRATION")&gt;0,"INTEGRATION ","")&amp;IF(COUNTIFS(tbl_Finance[Job Number],C186&amp;"",tbl_Finance[Cost Centre],"CONSULTING")&gt;0,"CONSULTING ","")&amp;IF(COUNTIFS(tbl_Finance[Job Number],C186&amp;"",tbl_Finance[Cost Centre],"CTS")&gt;0,"CTS ",""))," ",", ")))</f>
        <v/>
      </c>
      <c r="L186" s="24" t="n"/>
      <c r="M186" s="25">
        <f>IF(L186="","",HYPERLINK(IF(LEFT(L186,4)="http",L186,set_QwilrBase&amp;L186),"Open quote"))</f>
        <v/>
      </c>
      <c r="N186" s="26" t="n"/>
      <c r="O186" s="26" t="n"/>
      <c r="P186" s="26" t="n"/>
      <c r="Q186" s="25">
        <f>IF(C186="","",IF(N(N186)+N(O186)+N(P186)=0,"Not split",IF(ROUND(N(N186)+N(O186)+N(P186),2)=ROUND(H186,2),"OK","MISMATCH")))</f>
        <v/>
      </c>
      <c r="R186" s="26" t="n"/>
      <c r="S186" s="26" t="n"/>
      <c r="T186" s="26" t="n"/>
      <c r="U186" s="27">
        <f>IF(C186="","",N(R186)+N(S186)+N(T186))</f>
        <v/>
      </c>
      <c r="V186" s="27">
        <f>IF(C186="","",H186-U186)</f>
        <v/>
      </c>
      <c r="W186" s="29">
        <f>IFERROR(V186/H186,"")</f>
        <v/>
      </c>
      <c r="X186" s="24" t="n"/>
    </row>
    <row r="187" ht="15" customHeight="1">
      <c r="A187" s="63">
        <f>IF(C187="","",IFERROR(IF(SUMPRODUCT(MAX((tbl_Finance[Job Number]=C187&amp;"")*(tbl_Finance[Xero Invoice No]&lt;&gt;"")*tbl_Finance[Date]))=0,"",SUMPRODUCT(MAX((tbl_Finance[Job Number]=C187&amp;"")*(tbl_Finance[Xero Invoice No]&lt;&gt;"")*tbl_Finance[Date]))),""))</f>
        <v/>
      </c>
      <c r="B187" s="25">
        <f>IF(C187="","",IF(COUNTIFS(tbl_Finance[Job Number],C187&amp;"",tbl_Finance[Xero Invoice No],"&lt;&gt;")=0,"",IFERROR(IF(COUNTIFS(tbl_Finance[Job Number],C187&amp;"",tbl_Finance[Xero Invoice No],LOOKUP(2,1/((tbl_Finance[Job Number]=C187&amp;"")*(tbl_Finance[Xero Invoice No]&lt;&gt;"")),tbl_Finance[Xero Invoice No]))=COUNTIFS(tbl_Finance[Job Number],C187&amp;"",tbl_Finance[Xero Invoice No],"&lt;&gt;"),LOOKUP(2,1/((tbl_Finance[Job Number]=C187&amp;"")*(tbl_Finance[Xero Invoice No]&lt;&gt;"")),tbl_Finance[Xero Invoice No]),LOOKUP(2,1/((tbl_Finance[Job Number]=C187&amp;"")*(tbl_Finance[Xero Invoice No]&lt;&gt;"")),tbl_Finance[Xero Invoice No])&amp;" +more"),"")))</f>
        <v/>
      </c>
      <c r="C187" s="24" t="n"/>
      <c r="D187" s="25">
        <f>IF(C187="","",IF(COUNTIF(lst_Jobs,C187&amp;"")&gt;0,"OK","CHECK"))</f>
        <v/>
      </c>
      <c r="E187" s="25">
        <f>IF(C187="","",IFERROR(INDEX(lst_JobName,MATCH(C187&amp;"",lst_Jobs,0)),""))</f>
        <v/>
      </c>
      <c r="F187" s="25">
        <f>IF(C187="","",IFERROR(INDEX(tbl_Finance[Client],MATCH(C187&amp;"",tbl_Finance[Job Number],0)),""))</f>
        <v/>
      </c>
      <c r="G187" s="28">
        <f>IF(C187="","",COUNTIFS(tbl_Finance[Job Number],C187&amp;"",tbl_Finance[Ex GST],"&lt;&gt;"))</f>
        <v/>
      </c>
      <c r="H187" s="27">
        <f>IF(C187="","",SUMIFS(tbl_Finance[Ex GST],tbl_Finance[Job Number],C187&amp;""))</f>
        <v/>
      </c>
      <c r="I187" s="27">
        <f>IF(C187="","",SUMIFS(tbl_Finance[Ex GST],tbl_Finance[Job Number],C187&amp;"",tbl_Finance[Xero Invoice No],"&lt;&gt;"))</f>
        <v/>
      </c>
      <c r="J187" s="27">
        <f>IF(C187="","",H187-I187)</f>
        <v/>
      </c>
      <c r="K187" s="25">
        <f>IF(C187="","",IF(G187=0,"not invoiced yet",SUBSTITUTE(TRIM(IF(COUNTIFS(tbl_Finance[Job Number],C187&amp;"",tbl_Finance[Cost Centre],"ONSITE")&gt;0,"ONSITE ","")&amp;IF(COUNTIFS(tbl_Finance[Job Number],C187&amp;"",tbl_Finance[Cost Centre],"PRODUCTION")&gt;0,"PRODUCTION ","")&amp;IF(COUNTIFS(tbl_Finance[Job Number],C187&amp;"",tbl_Finance[Cost Centre],"VIDEO")&gt;0,"VIDEO ","")&amp;IF(COUNTIFS(tbl_Finance[Job Number],C187&amp;"",tbl_Finance[Cost Centre],"INTEGRATION")&gt;0,"INTEGRATION ","")&amp;IF(COUNTIFS(tbl_Finance[Job Number],C187&amp;"",tbl_Finance[Cost Centre],"CONSULTING")&gt;0,"CONSULTING ","")&amp;IF(COUNTIFS(tbl_Finance[Job Number],C187&amp;"",tbl_Finance[Cost Centre],"CTS")&gt;0,"CTS ",""))," ",", ")))</f>
        <v/>
      </c>
      <c r="L187" s="24" t="n"/>
      <c r="M187" s="25">
        <f>IF(L187="","",HYPERLINK(IF(LEFT(L187,4)="http",L187,set_QwilrBase&amp;L187),"Open quote"))</f>
        <v/>
      </c>
      <c r="N187" s="26" t="n"/>
      <c r="O187" s="26" t="n"/>
      <c r="P187" s="26" t="n"/>
      <c r="Q187" s="25">
        <f>IF(C187="","",IF(N(N187)+N(O187)+N(P187)=0,"Not split",IF(ROUND(N(N187)+N(O187)+N(P187),2)=ROUND(H187,2),"OK","MISMATCH")))</f>
        <v/>
      </c>
      <c r="R187" s="26" t="n"/>
      <c r="S187" s="26" t="n"/>
      <c r="T187" s="26" t="n"/>
      <c r="U187" s="27">
        <f>IF(C187="","",N(R187)+N(S187)+N(T187))</f>
        <v/>
      </c>
      <c r="V187" s="27">
        <f>IF(C187="","",H187-U187)</f>
        <v/>
      </c>
      <c r="W187" s="29">
        <f>IFERROR(V187/H187,"")</f>
        <v/>
      </c>
      <c r="X187" s="24" t="n"/>
    </row>
    <row r="188" ht="15" customHeight="1">
      <c r="A188" s="63">
        <f>IF(C188="","",IFERROR(IF(SUMPRODUCT(MAX((tbl_Finance[Job Number]=C188&amp;"")*(tbl_Finance[Xero Invoice No]&lt;&gt;"")*tbl_Finance[Date]))=0,"",SUMPRODUCT(MAX((tbl_Finance[Job Number]=C188&amp;"")*(tbl_Finance[Xero Invoice No]&lt;&gt;"")*tbl_Finance[Date]))),""))</f>
        <v/>
      </c>
      <c r="B188" s="25">
        <f>IF(C188="","",IF(COUNTIFS(tbl_Finance[Job Number],C188&amp;"",tbl_Finance[Xero Invoice No],"&lt;&gt;")=0,"",IFERROR(IF(COUNTIFS(tbl_Finance[Job Number],C188&amp;"",tbl_Finance[Xero Invoice No],LOOKUP(2,1/((tbl_Finance[Job Number]=C188&amp;"")*(tbl_Finance[Xero Invoice No]&lt;&gt;"")),tbl_Finance[Xero Invoice No]))=COUNTIFS(tbl_Finance[Job Number],C188&amp;"",tbl_Finance[Xero Invoice No],"&lt;&gt;"),LOOKUP(2,1/((tbl_Finance[Job Number]=C188&amp;"")*(tbl_Finance[Xero Invoice No]&lt;&gt;"")),tbl_Finance[Xero Invoice No]),LOOKUP(2,1/((tbl_Finance[Job Number]=C188&amp;"")*(tbl_Finance[Xero Invoice No]&lt;&gt;"")),tbl_Finance[Xero Invoice No])&amp;" +more"),"")))</f>
        <v/>
      </c>
      <c r="C188" s="24" t="n"/>
      <c r="D188" s="25">
        <f>IF(C188="","",IF(COUNTIF(lst_Jobs,C188&amp;"")&gt;0,"OK","CHECK"))</f>
        <v/>
      </c>
      <c r="E188" s="25">
        <f>IF(C188="","",IFERROR(INDEX(lst_JobName,MATCH(C188&amp;"",lst_Jobs,0)),""))</f>
        <v/>
      </c>
      <c r="F188" s="25">
        <f>IF(C188="","",IFERROR(INDEX(tbl_Finance[Client],MATCH(C188&amp;"",tbl_Finance[Job Number],0)),""))</f>
        <v/>
      </c>
      <c r="G188" s="28">
        <f>IF(C188="","",COUNTIFS(tbl_Finance[Job Number],C188&amp;"",tbl_Finance[Ex GST],"&lt;&gt;"))</f>
        <v/>
      </c>
      <c r="H188" s="27">
        <f>IF(C188="","",SUMIFS(tbl_Finance[Ex GST],tbl_Finance[Job Number],C188&amp;""))</f>
        <v/>
      </c>
      <c r="I188" s="27">
        <f>IF(C188="","",SUMIFS(tbl_Finance[Ex GST],tbl_Finance[Job Number],C188&amp;"",tbl_Finance[Xero Invoice No],"&lt;&gt;"))</f>
        <v/>
      </c>
      <c r="J188" s="27">
        <f>IF(C188="","",H188-I188)</f>
        <v/>
      </c>
      <c r="K188" s="25">
        <f>IF(C188="","",IF(G188=0,"not invoiced yet",SUBSTITUTE(TRIM(IF(COUNTIFS(tbl_Finance[Job Number],C188&amp;"",tbl_Finance[Cost Centre],"ONSITE")&gt;0,"ONSITE ","")&amp;IF(COUNTIFS(tbl_Finance[Job Number],C188&amp;"",tbl_Finance[Cost Centre],"PRODUCTION")&gt;0,"PRODUCTION ","")&amp;IF(COUNTIFS(tbl_Finance[Job Number],C188&amp;"",tbl_Finance[Cost Centre],"VIDEO")&gt;0,"VIDEO ","")&amp;IF(COUNTIFS(tbl_Finance[Job Number],C188&amp;"",tbl_Finance[Cost Centre],"INTEGRATION")&gt;0,"INTEGRATION ","")&amp;IF(COUNTIFS(tbl_Finance[Job Number],C188&amp;"",tbl_Finance[Cost Centre],"CONSULTING")&gt;0,"CONSULTING ","")&amp;IF(COUNTIFS(tbl_Finance[Job Number],C188&amp;"",tbl_Finance[Cost Centre],"CTS")&gt;0,"CTS ",""))," ",", ")))</f>
        <v/>
      </c>
      <c r="L188" s="24" t="n"/>
      <c r="M188" s="25">
        <f>IF(L188="","",HYPERLINK(IF(LEFT(L188,4)="http",L188,set_QwilrBase&amp;L188),"Open quote"))</f>
        <v/>
      </c>
      <c r="N188" s="26" t="n"/>
      <c r="O188" s="26" t="n"/>
      <c r="P188" s="26" t="n"/>
      <c r="Q188" s="25">
        <f>IF(C188="","",IF(N(N188)+N(O188)+N(P188)=0,"Not split",IF(ROUND(N(N188)+N(O188)+N(P188),2)=ROUND(H188,2),"OK","MISMATCH")))</f>
        <v/>
      </c>
      <c r="R188" s="26" t="n"/>
      <c r="S188" s="26" t="n"/>
      <c r="T188" s="26" t="n"/>
      <c r="U188" s="27">
        <f>IF(C188="","",N(R188)+N(S188)+N(T188))</f>
        <v/>
      </c>
      <c r="V188" s="27">
        <f>IF(C188="","",H188-U188)</f>
        <v/>
      </c>
      <c r="W188" s="29">
        <f>IFERROR(V188/H188,"")</f>
        <v/>
      </c>
      <c r="X188" s="24" t="n"/>
    </row>
    <row r="189" ht="15" customHeight="1">
      <c r="A189" s="63">
        <f>IF(C189="","",IFERROR(IF(SUMPRODUCT(MAX((tbl_Finance[Job Number]=C189&amp;"")*(tbl_Finance[Xero Invoice No]&lt;&gt;"")*tbl_Finance[Date]))=0,"",SUMPRODUCT(MAX((tbl_Finance[Job Number]=C189&amp;"")*(tbl_Finance[Xero Invoice No]&lt;&gt;"")*tbl_Finance[Date]))),""))</f>
        <v/>
      </c>
      <c r="B189" s="25">
        <f>IF(C189="","",IF(COUNTIFS(tbl_Finance[Job Number],C189&amp;"",tbl_Finance[Xero Invoice No],"&lt;&gt;")=0,"",IFERROR(IF(COUNTIFS(tbl_Finance[Job Number],C189&amp;"",tbl_Finance[Xero Invoice No],LOOKUP(2,1/((tbl_Finance[Job Number]=C189&amp;"")*(tbl_Finance[Xero Invoice No]&lt;&gt;"")),tbl_Finance[Xero Invoice No]))=COUNTIFS(tbl_Finance[Job Number],C189&amp;"",tbl_Finance[Xero Invoice No],"&lt;&gt;"),LOOKUP(2,1/((tbl_Finance[Job Number]=C189&amp;"")*(tbl_Finance[Xero Invoice No]&lt;&gt;"")),tbl_Finance[Xero Invoice No]),LOOKUP(2,1/((tbl_Finance[Job Number]=C189&amp;"")*(tbl_Finance[Xero Invoice No]&lt;&gt;"")),tbl_Finance[Xero Invoice No])&amp;" +more"),"")))</f>
        <v/>
      </c>
      <c r="C189" s="24" t="n"/>
      <c r="D189" s="25">
        <f>IF(C189="","",IF(COUNTIF(lst_Jobs,C189&amp;"")&gt;0,"OK","CHECK"))</f>
        <v/>
      </c>
      <c r="E189" s="25">
        <f>IF(C189="","",IFERROR(INDEX(lst_JobName,MATCH(C189&amp;"",lst_Jobs,0)),""))</f>
        <v/>
      </c>
      <c r="F189" s="25">
        <f>IF(C189="","",IFERROR(INDEX(tbl_Finance[Client],MATCH(C189&amp;"",tbl_Finance[Job Number],0)),""))</f>
        <v/>
      </c>
      <c r="G189" s="28">
        <f>IF(C189="","",COUNTIFS(tbl_Finance[Job Number],C189&amp;"",tbl_Finance[Ex GST],"&lt;&gt;"))</f>
        <v/>
      </c>
      <c r="H189" s="27">
        <f>IF(C189="","",SUMIFS(tbl_Finance[Ex GST],tbl_Finance[Job Number],C189&amp;""))</f>
        <v/>
      </c>
      <c r="I189" s="27">
        <f>IF(C189="","",SUMIFS(tbl_Finance[Ex GST],tbl_Finance[Job Number],C189&amp;"",tbl_Finance[Xero Invoice No],"&lt;&gt;"))</f>
        <v/>
      </c>
      <c r="J189" s="27">
        <f>IF(C189="","",H189-I189)</f>
        <v/>
      </c>
      <c r="K189" s="25">
        <f>IF(C189="","",IF(G189=0,"not invoiced yet",SUBSTITUTE(TRIM(IF(COUNTIFS(tbl_Finance[Job Number],C189&amp;"",tbl_Finance[Cost Centre],"ONSITE")&gt;0,"ONSITE ","")&amp;IF(COUNTIFS(tbl_Finance[Job Number],C189&amp;"",tbl_Finance[Cost Centre],"PRODUCTION")&gt;0,"PRODUCTION ","")&amp;IF(COUNTIFS(tbl_Finance[Job Number],C189&amp;"",tbl_Finance[Cost Centre],"VIDEO")&gt;0,"VIDEO ","")&amp;IF(COUNTIFS(tbl_Finance[Job Number],C189&amp;"",tbl_Finance[Cost Centre],"INTEGRATION")&gt;0,"INTEGRATION ","")&amp;IF(COUNTIFS(tbl_Finance[Job Number],C189&amp;"",tbl_Finance[Cost Centre],"CONSULTING")&gt;0,"CONSULTING ","")&amp;IF(COUNTIFS(tbl_Finance[Job Number],C189&amp;"",tbl_Finance[Cost Centre],"CTS")&gt;0,"CTS ",""))," ",", ")))</f>
        <v/>
      </c>
      <c r="L189" s="24" t="n"/>
      <c r="M189" s="25">
        <f>IF(L189="","",HYPERLINK(IF(LEFT(L189,4)="http",L189,set_QwilrBase&amp;L189),"Open quote"))</f>
        <v/>
      </c>
      <c r="N189" s="26" t="n"/>
      <c r="O189" s="26" t="n"/>
      <c r="P189" s="26" t="n"/>
      <c r="Q189" s="25">
        <f>IF(C189="","",IF(N(N189)+N(O189)+N(P189)=0,"Not split",IF(ROUND(N(N189)+N(O189)+N(P189),2)=ROUND(H189,2),"OK","MISMATCH")))</f>
        <v/>
      </c>
      <c r="R189" s="26" t="n"/>
      <c r="S189" s="26" t="n"/>
      <c r="T189" s="26" t="n"/>
      <c r="U189" s="27">
        <f>IF(C189="","",N(R189)+N(S189)+N(T189))</f>
        <v/>
      </c>
      <c r="V189" s="27">
        <f>IF(C189="","",H189-U189)</f>
        <v/>
      </c>
      <c r="W189" s="29">
        <f>IFERROR(V189/H189,"")</f>
        <v/>
      </c>
      <c r="X189" s="24" t="n"/>
    </row>
    <row r="190" ht="15" customHeight="1">
      <c r="A190" s="63">
        <f>IF(C190="","",IFERROR(IF(SUMPRODUCT(MAX((tbl_Finance[Job Number]=C190&amp;"")*(tbl_Finance[Xero Invoice No]&lt;&gt;"")*tbl_Finance[Date]))=0,"",SUMPRODUCT(MAX((tbl_Finance[Job Number]=C190&amp;"")*(tbl_Finance[Xero Invoice No]&lt;&gt;"")*tbl_Finance[Date]))),""))</f>
        <v/>
      </c>
      <c r="B190" s="25">
        <f>IF(C190="","",IF(COUNTIFS(tbl_Finance[Job Number],C190&amp;"",tbl_Finance[Xero Invoice No],"&lt;&gt;")=0,"",IFERROR(IF(COUNTIFS(tbl_Finance[Job Number],C190&amp;"",tbl_Finance[Xero Invoice No],LOOKUP(2,1/((tbl_Finance[Job Number]=C190&amp;"")*(tbl_Finance[Xero Invoice No]&lt;&gt;"")),tbl_Finance[Xero Invoice No]))=COUNTIFS(tbl_Finance[Job Number],C190&amp;"",tbl_Finance[Xero Invoice No],"&lt;&gt;"),LOOKUP(2,1/((tbl_Finance[Job Number]=C190&amp;"")*(tbl_Finance[Xero Invoice No]&lt;&gt;"")),tbl_Finance[Xero Invoice No]),LOOKUP(2,1/((tbl_Finance[Job Number]=C190&amp;"")*(tbl_Finance[Xero Invoice No]&lt;&gt;"")),tbl_Finance[Xero Invoice No])&amp;" +more"),"")))</f>
        <v/>
      </c>
      <c r="C190" s="24" t="n"/>
      <c r="D190" s="25">
        <f>IF(C190="","",IF(COUNTIF(lst_Jobs,C190&amp;"")&gt;0,"OK","CHECK"))</f>
        <v/>
      </c>
      <c r="E190" s="25">
        <f>IF(C190="","",IFERROR(INDEX(lst_JobName,MATCH(C190&amp;"",lst_Jobs,0)),""))</f>
        <v/>
      </c>
      <c r="F190" s="25">
        <f>IF(C190="","",IFERROR(INDEX(tbl_Finance[Client],MATCH(C190&amp;"",tbl_Finance[Job Number],0)),""))</f>
        <v/>
      </c>
      <c r="G190" s="28">
        <f>IF(C190="","",COUNTIFS(tbl_Finance[Job Number],C190&amp;"",tbl_Finance[Ex GST],"&lt;&gt;"))</f>
        <v/>
      </c>
      <c r="H190" s="27">
        <f>IF(C190="","",SUMIFS(tbl_Finance[Ex GST],tbl_Finance[Job Number],C190&amp;""))</f>
        <v/>
      </c>
      <c r="I190" s="27">
        <f>IF(C190="","",SUMIFS(tbl_Finance[Ex GST],tbl_Finance[Job Number],C190&amp;"",tbl_Finance[Xero Invoice No],"&lt;&gt;"))</f>
        <v/>
      </c>
      <c r="J190" s="27">
        <f>IF(C190="","",H190-I190)</f>
        <v/>
      </c>
      <c r="K190" s="25">
        <f>IF(C190="","",IF(G190=0,"not invoiced yet",SUBSTITUTE(TRIM(IF(COUNTIFS(tbl_Finance[Job Number],C190&amp;"",tbl_Finance[Cost Centre],"ONSITE")&gt;0,"ONSITE ","")&amp;IF(COUNTIFS(tbl_Finance[Job Number],C190&amp;"",tbl_Finance[Cost Centre],"PRODUCTION")&gt;0,"PRODUCTION ","")&amp;IF(COUNTIFS(tbl_Finance[Job Number],C190&amp;"",tbl_Finance[Cost Centre],"VIDEO")&gt;0,"VIDEO ","")&amp;IF(COUNTIFS(tbl_Finance[Job Number],C190&amp;"",tbl_Finance[Cost Centre],"INTEGRATION")&gt;0,"INTEGRATION ","")&amp;IF(COUNTIFS(tbl_Finance[Job Number],C190&amp;"",tbl_Finance[Cost Centre],"CONSULTING")&gt;0,"CONSULTING ","")&amp;IF(COUNTIFS(tbl_Finance[Job Number],C190&amp;"",tbl_Finance[Cost Centre],"CTS")&gt;0,"CTS ",""))," ",", ")))</f>
        <v/>
      </c>
      <c r="L190" s="24" t="n"/>
      <c r="M190" s="25">
        <f>IF(L190="","",HYPERLINK(IF(LEFT(L190,4)="http",L190,set_QwilrBase&amp;L190),"Open quote"))</f>
        <v/>
      </c>
      <c r="N190" s="26" t="n"/>
      <c r="O190" s="26" t="n"/>
      <c r="P190" s="26" t="n"/>
      <c r="Q190" s="25">
        <f>IF(C190="","",IF(N(N190)+N(O190)+N(P190)=0,"Not split",IF(ROUND(N(N190)+N(O190)+N(P190),2)=ROUND(H190,2),"OK","MISMATCH")))</f>
        <v/>
      </c>
      <c r="R190" s="26" t="n"/>
      <c r="S190" s="26" t="n"/>
      <c r="T190" s="26" t="n"/>
      <c r="U190" s="27">
        <f>IF(C190="","",N(R190)+N(S190)+N(T190))</f>
        <v/>
      </c>
      <c r="V190" s="27">
        <f>IF(C190="","",H190-U190)</f>
        <v/>
      </c>
      <c r="W190" s="29">
        <f>IFERROR(V190/H190,"")</f>
        <v/>
      </c>
      <c r="X190" s="24" t="n"/>
    </row>
    <row r="191" ht="15" customHeight="1">
      <c r="A191" s="63">
        <f>IF(C191="","",IFERROR(IF(SUMPRODUCT(MAX((tbl_Finance[Job Number]=C191&amp;"")*(tbl_Finance[Xero Invoice No]&lt;&gt;"")*tbl_Finance[Date]))=0,"",SUMPRODUCT(MAX((tbl_Finance[Job Number]=C191&amp;"")*(tbl_Finance[Xero Invoice No]&lt;&gt;"")*tbl_Finance[Date]))),""))</f>
        <v/>
      </c>
      <c r="B191" s="25">
        <f>IF(C191="","",IF(COUNTIFS(tbl_Finance[Job Number],C191&amp;"",tbl_Finance[Xero Invoice No],"&lt;&gt;")=0,"",IFERROR(IF(COUNTIFS(tbl_Finance[Job Number],C191&amp;"",tbl_Finance[Xero Invoice No],LOOKUP(2,1/((tbl_Finance[Job Number]=C191&amp;"")*(tbl_Finance[Xero Invoice No]&lt;&gt;"")),tbl_Finance[Xero Invoice No]))=COUNTIFS(tbl_Finance[Job Number],C191&amp;"",tbl_Finance[Xero Invoice No],"&lt;&gt;"),LOOKUP(2,1/((tbl_Finance[Job Number]=C191&amp;"")*(tbl_Finance[Xero Invoice No]&lt;&gt;"")),tbl_Finance[Xero Invoice No]),LOOKUP(2,1/((tbl_Finance[Job Number]=C191&amp;"")*(tbl_Finance[Xero Invoice No]&lt;&gt;"")),tbl_Finance[Xero Invoice No])&amp;" +more"),"")))</f>
        <v/>
      </c>
      <c r="C191" s="24" t="n"/>
      <c r="D191" s="25">
        <f>IF(C191="","",IF(COUNTIF(lst_Jobs,C191&amp;"")&gt;0,"OK","CHECK"))</f>
        <v/>
      </c>
      <c r="E191" s="25">
        <f>IF(C191="","",IFERROR(INDEX(lst_JobName,MATCH(C191&amp;"",lst_Jobs,0)),""))</f>
        <v/>
      </c>
      <c r="F191" s="25">
        <f>IF(C191="","",IFERROR(INDEX(tbl_Finance[Client],MATCH(C191&amp;"",tbl_Finance[Job Number],0)),""))</f>
        <v/>
      </c>
      <c r="G191" s="28">
        <f>IF(C191="","",COUNTIFS(tbl_Finance[Job Number],C191&amp;"",tbl_Finance[Ex GST],"&lt;&gt;"))</f>
        <v/>
      </c>
      <c r="H191" s="27">
        <f>IF(C191="","",SUMIFS(tbl_Finance[Ex GST],tbl_Finance[Job Number],C191&amp;""))</f>
        <v/>
      </c>
      <c r="I191" s="27">
        <f>IF(C191="","",SUMIFS(tbl_Finance[Ex GST],tbl_Finance[Job Number],C191&amp;"",tbl_Finance[Xero Invoice No],"&lt;&gt;"))</f>
        <v/>
      </c>
      <c r="J191" s="27">
        <f>IF(C191="","",H191-I191)</f>
        <v/>
      </c>
      <c r="K191" s="25">
        <f>IF(C191="","",IF(G191=0,"not invoiced yet",SUBSTITUTE(TRIM(IF(COUNTIFS(tbl_Finance[Job Number],C191&amp;"",tbl_Finance[Cost Centre],"ONSITE")&gt;0,"ONSITE ","")&amp;IF(COUNTIFS(tbl_Finance[Job Number],C191&amp;"",tbl_Finance[Cost Centre],"PRODUCTION")&gt;0,"PRODUCTION ","")&amp;IF(COUNTIFS(tbl_Finance[Job Number],C191&amp;"",tbl_Finance[Cost Centre],"VIDEO")&gt;0,"VIDEO ","")&amp;IF(COUNTIFS(tbl_Finance[Job Number],C191&amp;"",tbl_Finance[Cost Centre],"INTEGRATION")&gt;0,"INTEGRATION ","")&amp;IF(COUNTIFS(tbl_Finance[Job Number],C191&amp;"",tbl_Finance[Cost Centre],"CONSULTING")&gt;0,"CONSULTING ","")&amp;IF(COUNTIFS(tbl_Finance[Job Number],C191&amp;"",tbl_Finance[Cost Centre],"CTS")&gt;0,"CTS ",""))," ",", ")))</f>
        <v/>
      </c>
      <c r="L191" s="24" t="n"/>
      <c r="M191" s="25">
        <f>IF(L191="","",HYPERLINK(IF(LEFT(L191,4)="http",L191,set_QwilrBase&amp;L191),"Open quote"))</f>
        <v/>
      </c>
      <c r="N191" s="26" t="n"/>
      <c r="O191" s="26" t="n"/>
      <c r="P191" s="26" t="n"/>
      <c r="Q191" s="25">
        <f>IF(C191="","",IF(N(N191)+N(O191)+N(P191)=0,"Not split",IF(ROUND(N(N191)+N(O191)+N(P191),2)=ROUND(H191,2),"OK","MISMATCH")))</f>
        <v/>
      </c>
      <c r="R191" s="26" t="n"/>
      <c r="S191" s="26" t="n"/>
      <c r="T191" s="26" t="n"/>
      <c r="U191" s="27">
        <f>IF(C191="","",N(R191)+N(S191)+N(T191))</f>
        <v/>
      </c>
      <c r="V191" s="27">
        <f>IF(C191="","",H191-U191)</f>
        <v/>
      </c>
      <c r="W191" s="29">
        <f>IFERROR(V191/H191,"")</f>
        <v/>
      </c>
      <c r="X191" s="24" t="n"/>
    </row>
    <row r="192" ht="15" customHeight="1">
      <c r="A192" s="63">
        <f>IF(C192="","",IFERROR(IF(SUMPRODUCT(MAX((tbl_Finance[Job Number]=C192&amp;"")*(tbl_Finance[Xero Invoice No]&lt;&gt;"")*tbl_Finance[Date]))=0,"",SUMPRODUCT(MAX((tbl_Finance[Job Number]=C192&amp;"")*(tbl_Finance[Xero Invoice No]&lt;&gt;"")*tbl_Finance[Date]))),""))</f>
        <v/>
      </c>
      <c r="B192" s="25">
        <f>IF(C192="","",IF(COUNTIFS(tbl_Finance[Job Number],C192&amp;"",tbl_Finance[Xero Invoice No],"&lt;&gt;")=0,"",IFERROR(IF(COUNTIFS(tbl_Finance[Job Number],C192&amp;"",tbl_Finance[Xero Invoice No],LOOKUP(2,1/((tbl_Finance[Job Number]=C192&amp;"")*(tbl_Finance[Xero Invoice No]&lt;&gt;"")),tbl_Finance[Xero Invoice No]))=COUNTIFS(tbl_Finance[Job Number],C192&amp;"",tbl_Finance[Xero Invoice No],"&lt;&gt;"),LOOKUP(2,1/((tbl_Finance[Job Number]=C192&amp;"")*(tbl_Finance[Xero Invoice No]&lt;&gt;"")),tbl_Finance[Xero Invoice No]),LOOKUP(2,1/((tbl_Finance[Job Number]=C192&amp;"")*(tbl_Finance[Xero Invoice No]&lt;&gt;"")),tbl_Finance[Xero Invoice No])&amp;" +more"),"")))</f>
        <v/>
      </c>
      <c r="C192" s="24" t="n"/>
      <c r="D192" s="25">
        <f>IF(C192="","",IF(COUNTIF(lst_Jobs,C192&amp;"")&gt;0,"OK","CHECK"))</f>
        <v/>
      </c>
      <c r="E192" s="25">
        <f>IF(C192="","",IFERROR(INDEX(lst_JobName,MATCH(C192&amp;"",lst_Jobs,0)),""))</f>
        <v/>
      </c>
      <c r="F192" s="25">
        <f>IF(C192="","",IFERROR(INDEX(tbl_Finance[Client],MATCH(C192&amp;"",tbl_Finance[Job Number],0)),""))</f>
        <v/>
      </c>
      <c r="G192" s="28">
        <f>IF(C192="","",COUNTIFS(tbl_Finance[Job Number],C192&amp;"",tbl_Finance[Ex GST],"&lt;&gt;"))</f>
        <v/>
      </c>
      <c r="H192" s="27">
        <f>IF(C192="","",SUMIFS(tbl_Finance[Ex GST],tbl_Finance[Job Number],C192&amp;""))</f>
        <v/>
      </c>
      <c r="I192" s="27">
        <f>IF(C192="","",SUMIFS(tbl_Finance[Ex GST],tbl_Finance[Job Number],C192&amp;"",tbl_Finance[Xero Invoice No],"&lt;&gt;"))</f>
        <v/>
      </c>
      <c r="J192" s="27">
        <f>IF(C192="","",H192-I192)</f>
        <v/>
      </c>
      <c r="K192" s="25">
        <f>IF(C192="","",IF(G192=0,"not invoiced yet",SUBSTITUTE(TRIM(IF(COUNTIFS(tbl_Finance[Job Number],C192&amp;"",tbl_Finance[Cost Centre],"ONSITE")&gt;0,"ONSITE ","")&amp;IF(COUNTIFS(tbl_Finance[Job Number],C192&amp;"",tbl_Finance[Cost Centre],"PRODUCTION")&gt;0,"PRODUCTION ","")&amp;IF(COUNTIFS(tbl_Finance[Job Number],C192&amp;"",tbl_Finance[Cost Centre],"VIDEO")&gt;0,"VIDEO ","")&amp;IF(COUNTIFS(tbl_Finance[Job Number],C192&amp;"",tbl_Finance[Cost Centre],"INTEGRATION")&gt;0,"INTEGRATION ","")&amp;IF(COUNTIFS(tbl_Finance[Job Number],C192&amp;"",tbl_Finance[Cost Centre],"CONSULTING")&gt;0,"CONSULTING ","")&amp;IF(COUNTIFS(tbl_Finance[Job Number],C192&amp;"",tbl_Finance[Cost Centre],"CTS")&gt;0,"CTS ",""))," ",", ")))</f>
        <v/>
      </c>
      <c r="L192" s="24" t="n"/>
      <c r="M192" s="25">
        <f>IF(L192="","",HYPERLINK(IF(LEFT(L192,4)="http",L192,set_QwilrBase&amp;L192),"Open quote"))</f>
        <v/>
      </c>
      <c r="N192" s="26" t="n"/>
      <c r="O192" s="26" t="n"/>
      <c r="P192" s="26" t="n"/>
      <c r="Q192" s="25">
        <f>IF(C192="","",IF(N(N192)+N(O192)+N(P192)=0,"Not split",IF(ROUND(N(N192)+N(O192)+N(P192),2)=ROUND(H192,2),"OK","MISMATCH")))</f>
        <v/>
      </c>
      <c r="R192" s="26" t="n"/>
      <c r="S192" s="26" t="n"/>
      <c r="T192" s="26" t="n"/>
      <c r="U192" s="27">
        <f>IF(C192="","",N(R192)+N(S192)+N(T192))</f>
        <v/>
      </c>
      <c r="V192" s="27">
        <f>IF(C192="","",H192-U192)</f>
        <v/>
      </c>
      <c r="W192" s="29">
        <f>IFERROR(V192/H192,"")</f>
        <v/>
      </c>
      <c r="X192" s="24" t="n"/>
    </row>
    <row r="193" ht="15" customHeight="1">
      <c r="A193" s="63">
        <f>IF(C193="","",IFERROR(IF(SUMPRODUCT(MAX((tbl_Finance[Job Number]=C193&amp;"")*(tbl_Finance[Xero Invoice No]&lt;&gt;"")*tbl_Finance[Date]))=0,"",SUMPRODUCT(MAX((tbl_Finance[Job Number]=C193&amp;"")*(tbl_Finance[Xero Invoice No]&lt;&gt;"")*tbl_Finance[Date]))),""))</f>
        <v/>
      </c>
      <c r="B193" s="25">
        <f>IF(C193="","",IF(COUNTIFS(tbl_Finance[Job Number],C193&amp;"",tbl_Finance[Xero Invoice No],"&lt;&gt;")=0,"",IFERROR(IF(COUNTIFS(tbl_Finance[Job Number],C193&amp;"",tbl_Finance[Xero Invoice No],LOOKUP(2,1/((tbl_Finance[Job Number]=C193&amp;"")*(tbl_Finance[Xero Invoice No]&lt;&gt;"")),tbl_Finance[Xero Invoice No]))=COUNTIFS(tbl_Finance[Job Number],C193&amp;"",tbl_Finance[Xero Invoice No],"&lt;&gt;"),LOOKUP(2,1/((tbl_Finance[Job Number]=C193&amp;"")*(tbl_Finance[Xero Invoice No]&lt;&gt;"")),tbl_Finance[Xero Invoice No]),LOOKUP(2,1/((tbl_Finance[Job Number]=C193&amp;"")*(tbl_Finance[Xero Invoice No]&lt;&gt;"")),tbl_Finance[Xero Invoice No])&amp;" +more"),"")))</f>
        <v/>
      </c>
      <c r="C193" s="24" t="n"/>
      <c r="D193" s="25">
        <f>IF(C193="","",IF(COUNTIF(lst_Jobs,C193&amp;"")&gt;0,"OK","CHECK"))</f>
        <v/>
      </c>
      <c r="E193" s="25">
        <f>IF(C193="","",IFERROR(INDEX(lst_JobName,MATCH(C193&amp;"",lst_Jobs,0)),""))</f>
        <v/>
      </c>
      <c r="F193" s="25">
        <f>IF(C193="","",IFERROR(INDEX(tbl_Finance[Client],MATCH(C193&amp;"",tbl_Finance[Job Number],0)),""))</f>
        <v/>
      </c>
      <c r="G193" s="28">
        <f>IF(C193="","",COUNTIFS(tbl_Finance[Job Number],C193&amp;"",tbl_Finance[Ex GST],"&lt;&gt;"))</f>
        <v/>
      </c>
      <c r="H193" s="27">
        <f>IF(C193="","",SUMIFS(tbl_Finance[Ex GST],tbl_Finance[Job Number],C193&amp;""))</f>
        <v/>
      </c>
      <c r="I193" s="27">
        <f>IF(C193="","",SUMIFS(tbl_Finance[Ex GST],tbl_Finance[Job Number],C193&amp;"",tbl_Finance[Xero Invoice No],"&lt;&gt;"))</f>
        <v/>
      </c>
      <c r="J193" s="27">
        <f>IF(C193="","",H193-I193)</f>
        <v/>
      </c>
      <c r="K193" s="25">
        <f>IF(C193="","",IF(G193=0,"not invoiced yet",SUBSTITUTE(TRIM(IF(COUNTIFS(tbl_Finance[Job Number],C193&amp;"",tbl_Finance[Cost Centre],"ONSITE")&gt;0,"ONSITE ","")&amp;IF(COUNTIFS(tbl_Finance[Job Number],C193&amp;"",tbl_Finance[Cost Centre],"PRODUCTION")&gt;0,"PRODUCTION ","")&amp;IF(COUNTIFS(tbl_Finance[Job Number],C193&amp;"",tbl_Finance[Cost Centre],"VIDEO")&gt;0,"VIDEO ","")&amp;IF(COUNTIFS(tbl_Finance[Job Number],C193&amp;"",tbl_Finance[Cost Centre],"INTEGRATION")&gt;0,"INTEGRATION ","")&amp;IF(COUNTIFS(tbl_Finance[Job Number],C193&amp;"",tbl_Finance[Cost Centre],"CONSULTING")&gt;0,"CONSULTING ","")&amp;IF(COUNTIFS(tbl_Finance[Job Number],C193&amp;"",tbl_Finance[Cost Centre],"CTS")&gt;0,"CTS ",""))," ",", ")))</f>
        <v/>
      </c>
      <c r="L193" s="24" t="n"/>
      <c r="M193" s="25">
        <f>IF(L193="","",HYPERLINK(IF(LEFT(L193,4)="http",L193,set_QwilrBase&amp;L193),"Open quote"))</f>
        <v/>
      </c>
      <c r="N193" s="26" t="n"/>
      <c r="O193" s="26" t="n"/>
      <c r="P193" s="26" t="n"/>
      <c r="Q193" s="25">
        <f>IF(C193="","",IF(N(N193)+N(O193)+N(P193)=0,"Not split",IF(ROUND(N(N193)+N(O193)+N(P193),2)=ROUND(H193,2),"OK","MISMATCH")))</f>
        <v/>
      </c>
      <c r="R193" s="26" t="n"/>
      <c r="S193" s="26" t="n"/>
      <c r="T193" s="26" t="n"/>
      <c r="U193" s="27">
        <f>IF(C193="","",N(R193)+N(S193)+N(T193))</f>
        <v/>
      </c>
      <c r="V193" s="27">
        <f>IF(C193="","",H193-U193)</f>
        <v/>
      </c>
      <c r="W193" s="29">
        <f>IFERROR(V193/H193,"")</f>
        <v/>
      </c>
      <c r="X193" s="24" t="n"/>
    </row>
    <row r="194" ht="15" customHeight="1">
      <c r="A194" s="63">
        <f>IF(C194="","",IFERROR(IF(SUMPRODUCT(MAX((tbl_Finance[Job Number]=C194&amp;"")*(tbl_Finance[Xero Invoice No]&lt;&gt;"")*tbl_Finance[Date]))=0,"",SUMPRODUCT(MAX((tbl_Finance[Job Number]=C194&amp;"")*(tbl_Finance[Xero Invoice No]&lt;&gt;"")*tbl_Finance[Date]))),""))</f>
        <v/>
      </c>
      <c r="B194" s="25">
        <f>IF(C194="","",IF(COUNTIFS(tbl_Finance[Job Number],C194&amp;"",tbl_Finance[Xero Invoice No],"&lt;&gt;")=0,"",IFERROR(IF(COUNTIFS(tbl_Finance[Job Number],C194&amp;"",tbl_Finance[Xero Invoice No],LOOKUP(2,1/((tbl_Finance[Job Number]=C194&amp;"")*(tbl_Finance[Xero Invoice No]&lt;&gt;"")),tbl_Finance[Xero Invoice No]))=COUNTIFS(tbl_Finance[Job Number],C194&amp;"",tbl_Finance[Xero Invoice No],"&lt;&gt;"),LOOKUP(2,1/((tbl_Finance[Job Number]=C194&amp;"")*(tbl_Finance[Xero Invoice No]&lt;&gt;"")),tbl_Finance[Xero Invoice No]),LOOKUP(2,1/((tbl_Finance[Job Number]=C194&amp;"")*(tbl_Finance[Xero Invoice No]&lt;&gt;"")),tbl_Finance[Xero Invoice No])&amp;" +more"),"")))</f>
        <v/>
      </c>
      <c r="C194" s="24" t="n"/>
      <c r="D194" s="25">
        <f>IF(C194="","",IF(COUNTIF(lst_Jobs,C194&amp;"")&gt;0,"OK","CHECK"))</f>
        <v/>
      </c>
      <c r="E194" s="25">
        <f>IF(C194="","",IFERROR(INDEX(lst_JobName,MATCH(C194&amp;"",lst_Jobs,0)),""))</f>
        <v/>
      </c>
      <c r="F194" s="25">
        <f>IF(C194="","",IFERROR(INDEX(tbl_Finance[Client],MATCH(C194&amp;"",tbl_Finance[Job Number],0)),""))</f>
        <v/>
      </c>
      <c r="G194" s="28">
        <f>IF(C194="","",COUNTIFS(tbl_Finance[Job Number],C194&amp;"",tbl_Finance[Ex GST],"&lt;&gt;"))</f>
        <v/>
      </c>
      <c r="H194" s="27">
        <f>IF(C194="","",SUMIFS(tbl_Finance[Ex GST],tbl_Finance[Job Number],C194&amp;""))</f>
        <v/>
      </c>
      <c r="I194" s="27">
        <f>IF(C194="","",SUMIFS(tbl_Finance[Ex GST],tbl_Finance[Job Number],C194&amp;"",tbl_Finance[Xero Invoice No],"&lt;&gt;"))</f>
        <v/>
      </c>
      <c r="J194" s="27">
        <f>IF(C194="","",H194-I194)</f>
        <v/>
      </c>
      <c r="K194" s="25">
        <f>IF(C194="","",IF(G194=0,"not invoiced yet",SUBSTITUTE(TRIM(IF(COUNTIFS(tbl_Finance[Job Number],C194&amp;"",tbl_Finance[Cost Centre],"ONSITE")&gt;0,"ONSITE ","")&amp;IF(COUNTIFS(tbl_Finance[Job Number],C194&amp;"",tbl_Finance[Cost Centre],"PRODUCTION")&gt;0,"PRODUCTION ","")&amp;IF(COUNTIFS(tbl_Finance[Job Number],C194&amp;"",tbl_Finance[Cost Centre],"VIDEO")&gt;0,"VIDEO ","")&amp;IF(COUNTIFS(tbl_Finance[Job Number],C194&amp;"",tbl_Finance[Cost Centre],"INTEGRATION")&gt;0,"INTEGRATION ","")&amp;IF(COUNTIFS(tbl_Finance[Job Number],C194&amp;"",tbl_Finance[Cost Centre],"CONSULTING")&gt;0,"CONSULTING ","")&amp;IF(COUNTIFS(tbl_Finance[Job Number],C194&amp;"",tbl_Finance[Cost Centre],"CTS")&gt;0,"CTS ",""))," ",", ")))</f>
        <v/>
      </c>
      <c r="L194" s="24" t="n"/>
      <c r="M194" s="25">
        <f>IF(L194="","",HYPERLINK(IF(LEFT(L194,4)="http",L194,set_QwilrBase&amp;L194),"Open quote"))</f>
        <v/>
      </c>
      <c r="N194" s="26" t="n"/>
      <c r="O194" s="26" t="n"/>
      <c r="P194" s="26" t="n"/>
      <c r="Q194" s="25">
        <f>IF(C194="","",IF(N(N194)+N(O194)+N(P194)=0,"Not split",IF(ROUND(N(N194)+N(O194)+N(P194),2)=ROUND(H194,2),"OK","MISMATCH")))</f>
        <v/>
      </c>
      <c r="R194" s="26" t="n"/>
      <c r="S194" s="26" t="n"/>
      <c r="T194" s="26" t="n"/>
      <c r="U194" s="27">
        <f>IF(C194="","",N(R194)+N(S194)+N(T194))</f>
        <v/>
      </c>
      <c r="V194" s="27">
        <f>IF(C194="","",H194-U194)</f>
        <v/>
      </c>
      <c r="W194" s="29">
        <f>IFERROR(V194/H194,"")</f>
        <v/>
      </c>
      <c r="X194" s="24" t="n"/>
    </row>
    <row r="195" ht="15" customHeight="1">
      <c r="A195" s="63">
        <f>IF(C195="","",IFERROR(IF(SUMPRODUCT(MAX((tbl_Finance[Job Number]=C195&amp;"")*(tbl_Finance[Xero Invoice No]&lt;&gt;"")*tbl_Finance[Date]))=0,"",SUMPRODUCT(MAX((tbl_Finance[Job Number]=C195&amp;"")*(tbl_Finance[Xero Invoice No]&lt;&gt;"")*tbl_Finance[Date]))),""))</f>
        <v/>
      </c>
      <c r="B195" s="25">
        <f>IF(C195="","",IF(COUNTIFS(tbl_Finance[Job Number],C195&amp;"",tbl_Finance[Xero Invoice No],"&lt;&gt;")=0,"",IFERROR(IF(COUNTIFS(tbl_Finance[Job Number],C195&amp;"",tbl_Finance[Xero Invoice No],LOOKUP(2,1/((tbl_Finance[Job Number]=C195&amp;"")*(tbl_Finance[Xero Invoice No]&lt;&gt;"")),tbl_Finance[Xero Invoice No]))=COUNTIFS(tbl_Finance[Job Number],C195&amp;"",tbl_Finance[Xero Invoice No],"&lt;&gt;"),LOOKUP(2,1/((tbl_Finance[Job Number]=C195&amp;"")*(tbl_Finance[Xero Invoice No]&lt;&gt;"")),tbl_Finance[Xero Invoice No]),LOOKUP(2,1/((tbl_Finance[Job Number]=C195&amp;"")*(tbl_Finance[Xero Invoice No]&lt;&gt;"")),tbl_Finance[Xero Invoice No])&amp;" +more"),"")))</f>
        <v/>
      </c>
      <c r="C195" s="24" t="n"/>
      <c r="D195" s="25">
        <f>IF(C195="","",IF(COUNTIF(lst_Jobs,C195&amp;"")&gt;0,"OK","CHECK"))</f>
        <v/>
      </c>
      <c r="E195" s="25">
        <f>IF(C195="","",IFERROR(INDEX(lst_JobName,MATCH(C195&amp;"",lst_Jobs,0)),""))</f>
        <v/>
      </c>
      <c r="F195" s="25">
        <f>IF(C195="","",IFERROR(INDEX(tbl_Finance[Client],MATCH(C195&amp;"",tbl_Finance[Job Number],0)),""))</f>
        <v/>
      </c>
      <c r="G195" s="28">
        <f>IF(C195="","",COUNTIFS(tbl_Finance[Job Number],C195&amp;"",tbl_Finance[Ex GST],"&lt;&gt;"))</f>
        <v/>
      </c>
      <c r="H195" s="27">
        <f>IF(C195="","",SUMIFS(tbl_Finance[Ex GST],tbl_Finance[Job Number],C195&amp;""))</f>
        <v/>
      </c>
      <c r="I195" s="27">
        <f>IF(C195="","",SUMIFS(tbl_Finance[Ex GST],tbl_Finance[Job Number],C195&amp;"",tbl_Finance[Xero Invoice No],"&lt;&gt;"))</f>
        <v/>
      </c>
      <c r="J195" s="27">
        <f>IF(C195="","",H195-I195)</f>
        <v/>
      </c>
      <c r="K195" s="25">
        <f>IF(C195="","",IF(G195=0,"not invoiced yet",SUBSTITUTE(TRIM(IF(COUNTIFS(tbl_Finance[Job Number],C195&amp;"",tbl_Finance[Cost Centre],"ONSITE")&gt;0,"ONSITE ","")&amp;IF(COUNTIFS(tbl_Finance[Job Number],C195&amp;"",tbl_Finance[Cost Centre],"PRODUCTION")&gt;0,"PRODUCTION ","")&amp;IF(COUNTIFS(tbl_Finance[Job Number],C195&amp;"",tbl_Finance[Cost Centre],"VIDEO")&gt;0,"VIDEO ","")&amp;IF(COUNTIFS(tbl_Finance[Job Number],C195&amp;"",tbl_Finance[Cost Centre],"INTEGRATION")&gt;0,"INTEGRATION ","")&amp;IF(COUNTIFS(tbl_Finance[Job Number],C195&amp;"",tbl_Finance[Cost Centre],"CONSULTING")&gt;0,"CONSULTING ","")&amp;IF(COUNTIFS(tbl_Finance[Job Number],C195&amp;"",tbl_Finance[Cost Centre],"CTS")&gt;0,"CTS ",""))," ",", ")))</f>
        <v/>
      </c>
      <c r="L195" s="24" t="n"/>
      <c r="M195" s="25">
        <f>IF(L195="","",HYPERLINK(IF(LEFT(L195,4)="http",L195,set_QwilrBase&amp;L195),"Open quote"))</f>
        <v/>
      </c>
      <c r="N195" s="26" t="n"/>
      <c r="O195" s="26" t="n"/>
      <c r="P195" s="26" t="n"/>
      <c r="Q195" s="25">
        <f>IF(C195="","",IF(N(N195)+N(O195)+N(P195)=0,"Not split",IF(ROUND(N(N195)+N(O195)+N(P195),2)=ROUND(H195,2),"OK","MISMATCH")))</f>
        <v/>
      </c>
      <c r="R195" s="26" t="n"/>
      <c r="S195" s="26" t="n"/>
      <c r="T195" s="26" t="n"/>
      <c r="U195" s="27">
        <f>IF(C195="","",N(R195)+N(S195)+N(T195))</f>
        <v/>
      </c>
      <c r="V195" s="27">
        <f>IF(C195="","",H195-U195)</f>
        <v/>
      </c>
      <c r="W195" s="29">
        <f>IFERROR(V195/H195,"")</f>
        <v/>
      </c>
      <c r="X195" s="24" t="n"/>
    </row>
    <row r="196" ht="15" customHeight="1">
      <c r="A196" s="63">
        <f>IF(C196="","",IFERROR(IF(SUMPRODUCT(MAX((tbl_Finance[Job Number]=C196&amp;"")*(tbl_Finance[Xero Invoice No]&lt;&gt;"")*tbl_Finance[Date]))=0,"",SUMPRODUCT(MAX((tbl_Finance[Job Number]=C196&amp;"")*(tbl_Finance[Xero Invoice No]&lt;&gt;"")*tbl_Finance[Date]))),""))</f>
        <v/>
      </c>
      <c r="B196" s="25">
        <f>IF(C196="","",IF(COUNTIFS(tbl_Finance[Job Number],C196&amp;"",tbl_Finance[Xero Invoice No],"&lt;&gt;")=0,"",IFERROR(IF(COUNTIFS(tbl_Finance[Job Number],C196&amp;"",tbl_Finance[Xero Invoice No],LOOKUP(2,1/((tbl_Finance[Job Number]=C196&amp;"")*(tbl_Finance[Xero Invoice No]&lt;&gt;"")),tbl_Finance[Xero Invoice No]))=COUNTIFS(tbl_Finance[Job Number],C196&amp;"",tbl_Finance[Xero Invoice No],"&lt;&gt;"),LOOKUP(2,1/((tbl_Finance[Job Number]=C196&amp;"")*(tbl_Finance[Xero Invoice No]&lt;&gt;"")),tbl_Finance[Xero Invoice No]),LOOKUP(2,1/((tbl_Finance[Job Number]=C196&amp;"")*(tbl_Finance[Xero Invoice No]&lt;&gt;"")),tbl_Finance[Xero Invoice No])&amp;" +more"),"")))</f>
        <v/>
      </c>
      <c r="C196" s="24" t="n"/>
      <c r="D196" s="25">
        <f>IF(C196="","",IF(COUNTIF(lst_Jobs,C196&amp;"")&gt;0,"OK","CHECK"))</f>
        <v/>
      </c>
      <c r="E196" s="25">
        <f>IF(C196="","",IFERROR(INDEX(lst_JobName,MATCH(C196&amp;"",lst_Jobs,0)),""))</f>
        <v/>
      </c>
      <c r="F196" s="25">
        <f>IF(C196="","",IFERROR(INDEX(tbl_Finance[Client],MATCH(C196&amp;"",tbl_Finance[Job Number],0)),""))</f>
        <v/>
      </c>
      <c r="G196" s="28">
        <f>IF(C196="","",COUNTIFS(tbl_Finance[Job Number],C196&amp;"",tbl_Finance[Ex GST],"&lt;&gt;"))</f>
        <v/>
      </c>
      <c r="H196" s="27">
        <f>IF(C196="","",SUMIFS(tbl_Finance[Ex GST],tbl_Finance[Job Number],C196&amp;""))</f>
        <v/>
      </c>
      <c r="I196" s="27">
        <f>IF(C196="","",SUMIFS(tbl_Finance[Ex GST],tbl_Finance[Job Number],C196&amp;"",tbl_Finance[Xero Invoice No],"&lt;&gt;"))</f>
        <v/>
      </c>
      <c r="J196" s="27">
        <f>IF(C196="","",H196-I196)</f>
        <v/>
      </c>
      <c r="K196" s="25">
        <f>IF(C196="","",IF(G196=0,"not invoiced yet",SUBSTITUTE(TRIM(IF(COUNTIFS(tbl_Finance[Job Number],C196&amp;"",tbl_Finance[Cost Centre],"ONSITE")&gt;0,"ONSITE ","")&amp;IF(COUNTIFS(tbl_Finance[Job Number],C196&amp;"",tbl_Finance[Cost Centre],"PRODUCTION")&gt;0,"PRODUCTION ","")&amp;IF(COUNTIFS(tbl_Finance[Job Number],C196&amp;"",tbl_Finance[Cost Centre],"VIDEO")&gt;0,"VIDEO ","")&amp;IF(COUNTIFS(tbl_Finance[Job Number],C196&amp;"",tbl_Finance[Cost Centre],"INTEGRATION")&gt;0,"INTEGRATION ","")&amp;IF(COUNTIFS(tbl_Finance[Job Number],C196&amp;"",tbl_Finance[Cost Centre],"CONSULTING")&gt;0,"CONSULTING ","")&amp;IF(COUNTIFS(tbl_Finance[Job Number],C196&amp;"",tbl_Finance[Cost Centre],"CTS")&gt;0,"CTS ",""))," ",", ")))</f>
        <v/>
      </c>
      <c r="L196" s="24" t="n"/>
      <c r="M196" s="25">
        <f>IF(L196="","",HYPERLINK(IF(LEFT(L196,4)="http",L196,set_QwilrBase&amp;L196),"Open quote"))</f>
        <v/>
      </c>
      <c r="N196" s="26" t="n"/>
      <c r="O196" s="26" t="n"/>
      <c r="P196" s="26" t="n"/>
      <c r="Q196" s="25">
        <f>IF(C196="","",IF(N(N196)+N(O196)+N(P196)=0,"Not split",IF(ROUND(N(N196)+N(O196)+N(P196),2)=ROUND(H196,2),"OK","MISMATCH")))</f>
        <v/>
      </c>
      <c r="R196" s="26" t="n"/>
      <c r="S196" s="26" t="n"/>
      <c r="T196" s="26" t="n"/>
      <c r="U196" s="27">
        <f>IF(C196="","",N(R196)+N(S196)+N(T196))</f>
        <v/>
      </c>
      <c r="V196" s="27">
        <f>IF(C196="","",H196-U196)</f>
        <v/>
      </c>
      <c r="W196" s="29">
        <f>IFERROR(V196/H196,"")</f>
        <v/>
      </c>
      <c r="X196" s="24" t="n"/>
    </row>
    <row r="197" ht="15" customHeight="1">
      <c r="A197" s="63">
        <f>IF(C197="","",IFERROR(IF(SUMPRODUCT(MAX((tbl_Finance[Job Number]=C197&amp;"")*(tbl_Finance[Xero Invoice No]&lt;&gt;"")*tbl_Finance[Date]))=0,"",SUMPRODUCT(MAX((tbl_Finance[Job Number]=C197&amp;"")*(tbl_Finance[Xero Invoice No]&lt;&gt;"")*tbl_Finance[Date]))),""))</f>
        <v/>
      </c>
      <c r="B197" s="25">
        <f>IF(C197="","",IF(COUNTIFS(tbl_Finance[Job Number],C197&amp;"",tbl_Finance[Xero Invoice No],"&lt;&gt;")=0,"",IFERROR(IF(COUNTIFS(tbl_Finance[Job Number],C197&amp;"",tbl_Finance[Xero Invoice No],LOOKUP(2,1/((tbl_Finance[Job Number]=C197&amp;"")*(tbl_Finance[Xero Invoice No]&lt;&gt;"")),tbl_Finance[Xero Invoice No]))=COUNTIFS(tbl_Finance[Job Number],C197&amp;"",tbl_Finance[Xero Invoice No],"&lt;&gt;"),LOOKUP(2,1/((tbl_Finance[Job Number]=C197&amp;"")*(tbl_Finance[Xero Invoice No]&lt;&gt;"")),tbl_Finance[Xero Invoice No]),LOOKUP(2,1/((tbl_Finance[Job Number]=C197&amp;"")*(tbl_Finance[Xero Invoice No]&lt;&gt;"")),tbl_Finance[Xero Invoice No])&amp;" +more"),"")))</f>
        <v/>
      </c>
      <c r="C197" s="24" t="n"/>
      <c r="D197" s="25">
        <f>IF(C197="","",IF(COUNTIF(lst_Jobs,C197&amp;"")&gt;0,"OK","CHECK"))</f>
        <v/>
      </c>
      <c r="E197" s="25">
        <f>IF(C197="","",IFERROR(INDEX(lst_JobName,MATCH(C197&amp;"",lst_Jobs,0)),""))</f>
        <v/>
      </c>
      <c r="F197" s="25">
        <f>IF(C197="","",IFERROR(INDEX(tbl_Finance[Client],MATCH(C197&amp;"",tbl_Finance[Job Number],0)),""))</f>
        <v/>
      </c>
      <c r="G197" s="28">
        <f>IF(C197="","",COUNTIFS(tbl_Finance[Job Number],C197&amp;"",tbl_Finance[Ex GST],"&lt;&gt;"))</f>
        <v/>
      </c>
      <c r="H197" s="27">
        <f>IF(C197="","",SUMIFS(tbl_Finance[Ex GST],tbl_Finance[Job Number],C197&amp;""))</f>
        <v/>
      </c>
      <c r="I197" s="27">
        <f>IF(C197="","",SUMIFS(tbl_Finance[Ex GST],tbl_Finance[Job Number],C197&amp;"",tbl_Finance[Xero Invoice No],"&lt;&gt;"))</f>
        <v/>
      </c>
      <c r="J197" s="27">
        <f>IF(C197="","",H197-I197)</f>
        <v/>
      </c>
      <c r="K197" s="25">
        <f>IF(C197="","",IF(G197=0,"not invoiced yet",SUBSTITUTE(TRIM(IF(COUNTIFS(tbl_Finance[Job Number],C197&amp;"",tbl_Finance[Cost Centre],"ONSITE")&gt;0,"ONSITE ","")&amp;IF(COUNTIFS(tbl_Finance[Job Number],C197&amp;"",tbl_Finance[Cost Centre],"PRODUCTION")&gt;0,"PRODUCTION ","")&amp;IF(COUNTIFS(tbl_Finance[Job Number],C197&amp;"",tbl_Finance[Cost Centre],"VIDEO")&gt;0,"VIDEO ","")&amp;IF(COUNTIFS(tbl_Finance[Job Number],C197&amp;"",tbl_Finance[Cost Centre],"INTEGRATION")&gt;0,"INTEGRATION ","")&amp;IF(COUNTIFS(tbl_Finance[Job Number],C197&amp;"",tbl_Finance[Cost Centre],"CONSULTING")&gt;0,"CONSULTING ","")&amp;IF(COUNTIFS(tbl_Finance[Job Number],C197&amp;"",tbl_Finance[Cost Centre],"CTS")&gt;0,"CTS ",""))," ",", ")))</f>
        <v/>
      </c>
      <c r="L197" s="24" t="n"/>
      <c r="M197" s="25">
        <f>IF(L197="","",HYPERLINK(IF(LEFT(L197,4)="http",L197,set_QwilrBase&amp;L197),"Open quote"))</f>
        <v/>
      </c>
      <c r="N197" s="26" t="n"/>
      <c r="O197" s="26" t="n"/>
      <c r="P197" s="26" t="n"/>
      <c r="Q197" s="25">
        <f>IF(C197="","",IF(N(N197)+N(O197)+N(P197)=0,"Not split",IF(ROUND(N(N197)+N(O197)+N(P197),2)=ROUND(H197,2),"OK","MISMATCH")))</f>
        <v/>
      </c>
      <c r="R197" s="26" t="n"/>
      <c r="S197" s="26" t="n"/>
      <c r="T197" s="26" t="n"/>
      <c r="U197" s="27">
        <f>IF(C197="","",N(R197)+N(S197)+N(T197))</f>
        <v/>
      </c>
      <c r="V197" s="27">
        <f>IF(C197="","",H197-U197)</f>
        <v/>
      </c>
      <c r="W197" s="29">
        <f>IFERROR(V197/H197,"")</f>
        <v/>
      </c>
      <c r="X197" s="24" t="n"/>
    </row>
    <row r="198" ht="15" customHeight="1">
      <c r="A198" s="63">
        <f>IF(C198="","",IFERROR(IF(SUMPRODUCT(MAX((tbl_Finance[Job Number]=C198&amp;"")*(tbl_Finance[Xero Invoice No]&lt;&gt;"")*tbl_Finance[Date]))=0,"",SUMPRODUCT(MAX((tbl_Finance[Job Number]=C198&amp;"")*(tbl_Finance[Xero Invoice No]&lt;&gt;"")*tbl_Finance[Date]))),""))</f>
        <v/>
      </c>
      <c r="B198" s="25">
        <f>IF(C198="","",IF(COUNTIFS(tbl_Finance[Job Number],C198&amp;"",tbl_Finance[Xero Invoice No],"&lt;&gt;")=0,"",IFERROR(IF(COUNTIFS(tbl_Finance[Job Number],C198&amp;"",tbl_Finance[Xero Invoice No],LOOKUP(2,1/((tbl_Finance[Job Number]=C198&amp;"")*(tbl_Finance[Xero Invoice No]&lt;&gt;"")),tbl_Finance[Xero Invoice No]))=COUNTIFS(tbl_Finance[Job Number],C198&amp;"",tbl_Finance[Xero Invoice No],"&lt;&gt;"),LOOKUP(2,1/((tbl_Finance[Job Number]=C198&amp;"")*(tbl_Finance[Xero Invoice No]&lt;&gt;"")),tbl_Finance[Xero Invoice No]),LOOKUP(2,1/((tbl_Finance[Job Number]=C198&amp;"")*(tbl_Finance[Xero Invoice No]&lt;&gt;"")),tbl_Finance[Xero Invoice No])&amp;" +more"),"")))</f>
        <v/>
      </c>
      <c r="C198" s="24" t="n"/>
      <c r="D198" s="25">
        <f>IF(C198="","",IF(COUNTIF(lst_Jobs,C198&amp;"")&gt;0,"OK","CHECK"))</f>
        <v/>
      </c>
      <c r="E198" s="25">
        <f>IF(C198="","",IFERROR(INDEX(lst_JobName,MATCH(C198&amp;"",lst_Jobs,0)),""))</f>
        <v/>
      </c>
      <c r="F198" s="25">
        <f>IF(C198="","",IFERROR(INDEX(tbl_Finance[Client],MATCH(C198&amp;"",tbl_Finance[Job Number],0)),""))</f>
        <v/>
      </c>
      <c r="G198" s="28">
        <f>IF(C198="","",COUNTIFS(tbl_Finance[Job Number],C198&amp;"",tbl_Finance[Ex GST],"&lt;&gt;"))</f>
        <v/>
      </c>
      <c r="H198" s="27">
        <f>IF(C198="","",SUMIFS(tbl_Finance[Ex GST],tbl_Finance[Job Number],C198&amp;""))</f>
        <v/>
      </c>
      <c r="I198" s="27">
        <f>IF(C198="","",SUMIFS(tbl_Finance[Ex GST],tbl_Finance[Job Number],C198&amp;"",tbl_Finance[Xero Invoice No],"&lt;&gt;"))</f>
        <v/>
      </c>
      <c r="J198" s="27">
        <f>IF(C198="","",H198-I198)</f>
        <v/>
      </c>
      <c r="K198" s="25">
        <f>IF(C198="","",IF(G198=0,"not invoiced yet",SUBSTITUTE(TRIM(IF(COUNTIFS(tbl_Finance[Job Number],C198&amp;"",tbl_Finance[Cost Centre],"ONSITE")&gt;0,"ONSITE ","")&amp;IF(COUNTIFS(tbl_Finance[Job Number],C198&amp;"",tbl_Finance[Cost Centre],"PRODUCTION")&gt;0,"PRODUCTION ","")&amp;IF(COUNTIFS(tbl_Finance[Job Number],C198&amp;"",tbl_Finance[Cost Centre],"VIDEO")&gt;0,"VIDEO ","")&amp;IF(COUNTIFS(tbl_Finance[Job Number],C198&amp;"",tbl_Finance[Cost Centre],"INTEGRATION")&gt;0,"INTEGRATION ","")&amp;IF(COUNTIFS(tbl_Finance[Job Number],C198&amp;"",tbl_Finance[Cost Centre],"CONSULTING")&gt;0,"CONSULTING ","")&amp;IF(COUNTIFS(tbl_Finance[Job Number],C198&amp;"",tbl_Finance[Cost Centre],"CTS")&gt;0,"CTS ",""))," ",", ")))</f>
        <v/>
      </c>
      <c r="L198" s="24" t="n"/>
      <c r="M198" s="25">
        <f>IF(L198="","",HYPERLINK(IF(LEFT(L198,4)="http",L198,set_QwilrBase&amp;L198),"Open quote"))</f>
        <v/>
      </c>
      <c r="N198" s="26" t="n"/>
      <c r="O198" s="26" t="n"/>
      <c r="P198" s="26" t="n"/>
      <c r="Q198" s="25">
        <f>IF(C198="","",IF(N(N198)+N(O198)+N(P198)=0,"Not split",IF(ROUND(N(N198)+N(O198)+N(P198),2)=ROUND(H198,2),"OK","MISMATCH")))</f>
        <v/>
      </c>
      <c r="R198" s="26" t="n"/>
      <c r="S198" s="26" t="n"/>
      <c r="T198" s="26" t="n"/>
      <c r="U198" s="27">
        <f>IF(C198="","",N(R198)+N(S198)+N(T198))</f>
        <v/>
      </c>
      <c r="V198" s="27">
        <f>IF(C198="","",H198-U198)</f>
        <v/>
      </c>
      <c r="W198" s="29">
        <f>IFERROR(V198/H198,"")</f>
        <v/>
      </c>
      <c r="X198" s="24" t="n"/>
    </row>
    <row r="199" ht="15" customHeight="1">
      <c r="A199" s="63">
        <f>IF(C199="","",IFERROR(IF(SUMPRODUCT(MAX((tbl_Finance[Job Number]=C199&amp;"")*(tbl_Finance[Xero Invoice No]&lt;&gt;"")*tbl_Finance[Date]))=0,"",SUMPRODUCT(MAX((tbl_Finance[Job Number]=C199&amp;"")*(tbl_Finance[Xero Invoice No]&lt;&gt;"")*tbl_Finance[Date]))),""))</f>
        <v/>
      </c>
      <c r="B199" s="25">
        <f>IF(C199="","",IF(COUNTIFS(tbl_Finance[Job Number],C199&amp;"",tbl_Finance[Xero Invoice No],"&lt;&gt;")=0,"",IFERROR(IF(COUNTIFS(tbl_Finance[Job Number],C199&amp;"",tbl_Finance[Xero Invoice No],LOOKUP(2,1/((tbl_Finance[Job Number]=C199&amp;"")*(tbl_Finance[Xero Invoice No]&lt;&gt;"")),tbl_Finance[Xero Invoice No]))=COUNTIFS(tbl_Finance[Job Number],C199&amp;"",tbl_Finance[Xero Invoice No],"&lt;&gt;"),LOOKUP(2,1/((tbl_Finance[Job Number]=C199&amp;"")*(tbl_Finance[Xero Invoice No]&lt;&gt;"")),tbl_Finance[Xero Invoice No]),LOOKUP(2,1/((tbl_Finance[Job Number]=C199&amp;"")*(tbl_Finance[Xero Invoice No]&lt;&gt;"")),tbl_Finance[Xero Invoice No])&amp;" +more"),"")))</f>
        <v/>
      </c>
      <c r="C199" s="24" t="n"/>
      <c r="D199" s="25">
        <f>IF(C199="","",IF(COUNTIF(lst_Jobs,C199&amp;"")&gt;0,"OK","CHECK"))</f>
        <v/>
      </c>
      <c r="E199" s="25">
        <f>IF(C199="","",IFERROR(INDEX(lst_JobName,MATCH(C199&amp;"",lst_Jobs,0)),""))</f>
        <v/>
      </c>
      <c r="F199" s="25">
        <f>IF(C199="","",IFERROR(INDEX(tbl_Finance[Client],MATCH(C199&amp;"",tbl_Finance[Job Number],0)),""))</f>
        <v/>
      </c>
      <c r="G199" s="28">
        <f>IF(C199="","",COUNTIFS(tbl_Finance[Job Number],C199&amp;"",tbl_Finance[Ex GST],"&lt;&gt;"))</f>
        <v/>
      </c>
      <c r="H199" s="27">
        <f>IF(C199="","",SUMIFS(tbl_Finance[Ex GST],tbl_Finance[Job Number],C199&amp;""))</f>
        <v/>
      </c>
      <c r="I199" s="27">
        <f>IF(C199="","",SUMIFS(tbl_Finance[Ex GST],tbl_Finance[Job Number],C199&amp;"",tbl_Finance[Xero Invoice No],"&lt;&gt;"))</f>
        <v/>
      </c>
      <c r="J199" s="27">
        <f>IF(C199="","",H199-I199)</f>
        <v/>
      </c>
      <c r="K199" s="25">
        <f>IF(C199="","",IF(G199=0,"not invoiced yet",SUBSTITUTE(TRIM(IF(COUNTIFS(tbl_Finance[Job Number],C199&amp;"",tbl_Finance[Cost Centre],"ONSITE")&gt;0,"ONSITE ","")&amp;IF(COUNTIFS(tbl_Finance[Job Number],C199&amp;"",tbl_Finance[Cost Centre],"PRODUCTION")&gt;0,"PRODUCTION ","")&amp;IF(COUNTIFS(tbl_Finance[Job Number],C199&amp;"",tbl_Finance[Cost Centre],"VIDEO")&gt;0,"VIDEO ","")&amp;IF(COUNTIFS(tbl_Finance[Job Number],C199&amp;"",tbl_Finance[Cost Centre],"INTEGRATION")&gt;0,"INTEGRATION ","")&amp;IF(COUNTIFS(tbl_Finance[Job Number],C199&amp;"",tbl_Finance[Cost Centre],"CONSULTING")&gt;0,"CONSULTING ","")&amp;IF(COUNTIFS(tbl_Finance[Job Number],C199&amp;"",tbl_Finance[Cost Centre],"CTS")&gt;0,"CTS ",""))," ",", ")))</f>
        <v/>
      </c>
      <c r="L199" s="24" t="n"/>
      <c r="M199" s="25">
        <f>IF(L199="","",HYPERLINK(IF(LEFT(L199,4)="http",L199,set_QwilrBase&amp;L199),"Open quote"))</f>
        <v/>
      </c>
      <c r="N199" s="26" t="n"/>
      <c r="O199" s="26" t="n"/>
      <c r="P199" s="26" t="n"/>
      <c r="Q199" s="25">
        <f>IF(C199="","",IF(N(N199)+N(O199)+N(P199)=0,"Not split",IF(ROUND(N(N199)+N(O199)+N(P199),2)=ROUND(H199,2),"OK","MISMATCH")))</f>
        <v/>
      </c>
      <c r="R199" s="26" t="n"/>
      <c r="S199" s="26" t="n"/>
      <c r="T199" s="26" t="n"/>
      <c r="U199" s="27">
        <f>IF(C199="","",N(R199)+N(S199)+N(T199))</f>
        <v/>
      </c>
      <c r="V199" s="27">
        <f>IF(C199="","",H199-U199)</f>
        <v/>
      </c>
      <c r="W199" s="29">
        <f>IFERROR(V199/H199,"")</f>
        <v/>
      </c>
      <c r="X199" s="24" t="n"/>
    </row>
    <row r="200" ht="15" customHeight="1">
      <c r="A200" s="63">
        <f>IF(C200="","",IFERROR(IF(SUMPRODUCT(MAX((tbl_Finance[Job Number]=C200&amp;"")*(tbl_Finance[Xero Invoice No]&lt;&gt;"")*tbl_Finance[Date]))=0,"",SUMPRODUCT(MAX((tbl_Finance[Job Number]=C200&amp;"")*(tbl_Finance[Xero Invoice No]&lt;&gt;"")*tbl_Finance[Date]))),""))</f>
        <v/>
      </c>
      <c r="B200" s="25">
        <f>IF(C200="","",IF(COUNTIFS(tbl_Finance[Job Number],C200&amp;"",tbl_Finance[Xero Invoice No],"&lt;&gt;")=0,"",IFERROR(IF(COUNTIFS(tbl_Finance[Job Number],C200&amp;"",tbl_Finance[Xero Invoice No],LOOKUP(2,1/((tbl_Finance[Job Number]=C200&amp;"")*(tbl_Finance[Xero Invoice No]&lt;&gt;"")),tbl_Finance[Xero Invoice No]))=COUNTIFS(tbl_Finance[Job Number],C200&amp;"",tbl_Finance[Xero Invoice No],"&lt;&gt;"),LOOKUP(2,1/((tbl_Finance[Job Number]=C200&amp;"")*(tbl_Finance[Xero Invoice No]&lt;&gt;"")),tbl_Finance[Xero Invoice No]),LOOKUP(2,1/((tbl_Finance[Job Number]=C200&amp;"")*(tbl_Finance[Xero Invoice No]&lt;&gt;"")),tbl_Finance[Xero Invoice No])&amp;" +more"),"")))</f>
        <v/>
      </c>
      <c r="C200" s="24" t="n"/>
      <c r="D200" s="25">
        <f>IF(C200="","",IF(COUNTIF(lst_Jobs,C200&amp;"")&gt;0,"OK","CHECK"))</f>
        <v/>
      </c>
      <c r="E200" s="25">
        <f>IF(C200="","",IFERROR(INDEX(lst_JobName,MATCH(C200&amp;"",lst_Jobs,0)),""))</f>
        <v/>
      </c>
      <c r="F200" s="25">
        <f>IF(C200="","",IFERROR(INDEX(tbl_Finance[Client],MATCH(C200&amp;"",tbl_Finance[Job Number],0)),""))</f>
        <v/>
      </c>
      <c r="G200" s="28">
        <f>IF(C200="","",COUNTIFS(tbl_Finance[Job Number],C200&amp;"",tbl_Finance[Ex GST],"&lt;&gt;"))</f>
        <v/>
      </c>
      <c r="H200" s="27">
        <f>IF(C200="","",SUMIFS(tbl_Finance[Ex GST],tbl_Finance[Job Number],C200&amp;""))</f>
        <v/>
      </c>
      <c r="I200" s="27">
        <f>IF(C200="","",SUMIFS(tbl_Finance[Ex GST],tbl_Finance[Job Number],C200&amp;"",tbl_Finance[Xero Invoice No],"&lt;&gt;"))</f>
        <v/>
      </c>
      <c r="J200" s="27">
        <f>IF(C200="","",H200-I200)</f>
        <v/>
      </c>
      <c r="K200" s="25">
        <f>IF(C200="","",IF(G200=0,"not invoiced yet",SUBSTITUTE(TRIM(IF(COUNTIFS(tbl_Finance[Job Number],C200&amp;"",tbl_Finance[Cost Centre],"ONSITE")&gt;0,"ONSITE ","")&amp;IF(COUNTIFS(tbl_Finance[Job Number],C200&amp;"",tbl_Finance[Cost Centre],"PRODUCTION")&gt;0,"PRODUCTION ","")&amp;IF(COUNTIFS(tbl_Finance[Job Number],C200&amp;"",tbl_Finance[Cost Centre],"VIDEO")&gt;0,"VIDEO ","")&amp;IF(COUNTIFS(tbl_Finance[Job Number],C200&amp;"",tbl_Finance[Cost Centre],"INTEGRATION")&gt;0,"INTEGRATION ","")&amp;IF(COUNTIFS(tbl_Finance[Job Number],C200&amp;"",tbl_Finance[Cost Centre],"CONSULTING")&gt;0,"CONSULTING ","")&amp;IF(COUNTIFS(tbl_Finance[Job Number],C200&amp;"",tbl_Finance[Cost Centre],"CTS")&gt;0,"CTS ",""))," ",", ")))</f>
        <v/>
      </c>
      <c r="L200" s="24" t="n"/>
      <c r="M200" s="25">
        <f>IF(L200="","",HYPERLINK(IF(LEFT(L200,4)="http",L200,set_QwilrBase&amp;L200),"Open quote"))</f>
        <v/>
      </c>
      <c r="N200" s="26" t="n"/>
      <c r="O200" s="26" t="n"/>
      <c r="P200" s="26" t="n"/>
      <c r="Q200" s="25">
        <f>IF(C200="","",IF(N(N200)+N(O200)+N(P200)=0,"Not split",IF(ROUND(N(N200)+N(O200)+N(P200),2)=ROUND(H200,2),"OK","MISMATCH")))</f>
        <v/>
      </c>
      <c r="R200" s="26" t="n"/>
      <c r="S200" s="26" t="n"/>
      <c r="T200" s="26" t="n"/>
      <c r="U200" s="27">
        <f>IF(C200="","",N(R200)+N(S200)+N(T200))</f>
        <v/>
      </c>
      <c r="V200" s="27">
        <f>IF(C200="","",H200-U200)</f>
        <v/>
      </c>
      <c r="W200" s="29">
        <f>IFERROR(V200/H200,"")</f>
        <v/>
      </c>
      <c r="X200" s="24" t="n"/>
    </row>
    <row r="201" ht="15" customHeight="1">
      <c r="A201" s="63">
        <f>IF(C201="","",IFERROR(IF(SUMPRODUCT(MAX((tbl_Finance[Job Number]=C201&amp;"")*(tbl_Finance[Xero Invoice No]&lt;&gt;"")*tbl_Finance[Date]))=0,"",SUMPRODUCT(MAX((tbl_Finance[Job Number]=C201&amp;"")*(tbl_Finance[Xero Invoice No]&lt;&gt;"")*tbl_Finance[Date]))),""))</f>
        <v/>
      </c>
      <c r="B201" s="25">
        <f>IF(C201="","",IF(COUNTIFS(tbl_Finance[Job Number],C201&amp;"",tbl_Finance[Xero Invoice No],"&lt;&gt;")=0,"",IFERROR(IF(COUNTIFS(tbl_Finance[Job Number],C201&amp;"",tbl_Finance[Xero Invoice No],LOOKUP(2,1/((tbl_Finance[Job Number]=C201&amp;"")*(tbl_Finance[Xero Invoice No]&lt;&gt;"")),tbl_Finance[Xero Invoice No]))=COUNTIFS(tbl_Finance[Job Number],C201&amp;"",tbl_Finance[Xero Invoice No],"&lt;&gt;"),LOOKUP(2,1/((tbl_Finance[Job Number]=C201&amp;"")*(tbl_Finance[Xero Invoice No]&lt;&gt;"")),tbl_Finance[Xero Invoice No]),LOOKUP(2,1/((tbl_Finance[Job Number]=C201&amp;"")*(tbl_Finance[Xero Invoice No]&lt;&gt;"")),tbl_Finance[Xero Invoice No])&amp;" +more"),"")))</f>
        <v/>
      </c>
      <c r="C201" s="24" t="n"/>
      <c r="D201" s="25">
        <f>IF(C201="","",IF(COUNTIF(lst_Jobs,C201&amp;"")&gt;0,"OK","CHECK"))</f>
        <v/>
      </c>
      <c r="E201" s="25">
        <f>IF(C201="","",IFERROR(INDEX(lst_JobName,MATCH(C201&amp;"",lst_Jobs,0)),""))</f>
        <v/>
      </c>
      <c r="F201" s="25">
        <f>IF(C201="","",IFERROR(INDEX(tbl_Finance[Client],MATCH(C201&amp;"",tbl_Finance[Job Number],0)),""))</f>
        <v/>
      </c>
      <c r="G201" s="28">
        <f>IF(C201="","",COUNTIFS(tbl_Finance[Job Number],C201&amp;"",tbl_Finance[Ex GST],"&lt;&gt;"))</f>
        <v/>
      </c>
      <c r="H201" s="27">
        <f>IF(C201="","",SUMIFS(tbl_Finance[Ex GST],tbl_Finance[Job Number],C201&amp;""))</f>
        <v/>
      </c>
      <c r="I201" s="27">
        <f>IF(C201="","",SUMIFS(tbl_Finance[Ex GST],tbl_Finance[Job Number],C201&amp;"",tbl_Finance[Xero Invoice No],"&lt;&gt;"))</f>
        <v/>
      </c>
      <c r="J201" s="27">
        <f>IF(C201="","",H201-I201)</f>
        <v/>
      </c>
      <c r="K201" s="25">
        <f>IF(C201="","",IF(G201=0,"not invoiced yet",SUBSTITUTE(TRIM(IF(COUNTIFS(tbl_Finance[Job Number],C201&amp;"",tbl_Finance[Cost Centre],"ONSITE")&gt;0,"ONSITE ","")&amp;IF(COUNTIFS(tbl_Finance[Job Number],C201&amp;"",tbl_Finance[Cost Centre],"PRODUCTION")&gt;0,"PRODUCTION ","")&amp;IF(COUNTIFS(tbl_Finance[Job Number],C201&amp;"",tbl_Finance[Cost Centre],"VIDEO")&gt;0,"VIDEO ","")&amp;IF(COUNTIFS(tbl_Finance[Job Number],C201&amp;"",tbl_Finance[Cost Centre],"INTEGRATION")&gt;0,"INTEGRATION ","")&amp;IF(COUNTIFS(tbl_Finance[Job Number],C201&amp;"",tbl_Finance[Cost Centre],"CONSULTING")&gt;0,"CONSULTING ","")&amp;IF(COUNTIFS(tbl_Finance[Job Number],C201&amp;"",tbl_Finance[Cost Centre],"CTS")&gt;0,"CTS ",""))," ",", ")))</f>
        <v/>
      </c>
      <c r="L201" s="24" t="n"/>
      <c r="M201" s="25">
        <f>IF(L201="","",HYPERLINK(IF(LEFT(L201,4)="http",L201,set_QwilrBase&amp;L201),"Open quote"))</f>
        <v/>
      </c>
      <c r="N201" s="26" t="n"/>
      <c r="O201" s="26" t="n"/>
      <c r="P201" s="26" t="n"/>
      <c r="Q201" s="25">
        <f>IF(C201="","",IF(N(N201)+N(O201)+N(P201)=0,"Not split",IF(ROUND(N(N201)+N(O201)+N(P201),2)=ROUND(H201,2),"OK","MISMATCH")))</f>
        <v/>
      </c>
      <c r="R201" s="26" t="n"/>
      <c r="S201" s="26" t="n"/>
      <c r="T201" s="26" t="n"/>
      <c r="U201" s="27">
        <f>IF(C201="","",N(R201)+N(S201)+N(T201))</f>
        <v/>
      </c>
      <c r="V201" s="27">
        <f>IF(C201="","",H201-U201)</f>
        <v/>
      </c>
      <c r="W201" s="29">
        <f>IFERROR(V201/H201,"")</f>
        <v/>
      </c>
      <c r="X201" s="24" t="n"/>
    </row>
    <row r="202" ht="15" customHeight="1">
      <c r="A202" s="63">
        <f>IF(C202="","",IFERROR(IF(SUMPRODUCT(MAX((tbl_Finance[Job Number]=C202&amp;"")*(tbl_Finance[Xero Invoice No]&lt;&gt;"")*tbl_Finance[Date]))=0,"",SUMPRODUCT(MAX((tbl_Finance[Job Number]=C202&amp;"")*(tbl_Finance[Xero Invoice No]&lt;&gt;"")*tbl_Finance[Date]))),""))</f>
        <v/>
      </c>
      <c r="B202" s="25">
        <f>IF(C202="","",IF(COUNTIFS(tbl_Finance[Job Number],C202&amp;"",tbl_Finance[Xero Invoice No],"&lt;&gt;")=0,"",IFERROR(IF(COUNTIFS(tbl_Finance[Job Number],C202&amp;"",tbl_Finance[Xero Invoice No],LOOKUP(2,1/((tbl_Finance[Job Number]=C202&amp;"")*(tbl_Finance[Xero Invoice No]&lt;&gt;"")),tbl_Finance[Xero Invoice No]))=COUNTIFS(tbl_Finance[Job Number],C202&amp;"",tbl_Finance[Xero Invoice No],"&lt;&gt;"),LOOKUP(2,1/((tbl_Finance[Job Number]=C202&amp;"")*(tbl_Finance[Xero Invoice No]&lt;&gt;"")),tbl_Finance[Xero Invoice No]),LOOKUP(2,1/((tbl_Finance[Job Number]=C202&amp;"")*(tbl_Finance[Xero Invoice No]&lt;&gt;"")),tbl_Finance[Xero Invoice No])&amp;" +more"),"")))</f>
        <v/>
      </c>
      <c r="C202" s="24" t="n"/>
      <c r="D202" s="25">
        <f>IF(C202="","",IF(COUNTIF(lst_Jobs,C202&amp;"")&gt;0,"OK","CHECK"))</f>
        <v/>
      </c>
      <c r="E202" s="25">
        <f>IF(C202="","",IFERROR(INDEX(lst_JobName,MATCH(C202&amp;"",lst_Jobs,0)),""))</f>
        <v/>
      </c>
      <c r="F202" s="25">
        <f>IF(C202="","",IFERROR(INDEX(tbl_Finance[Client],MATCH(C202&amp;"",tbl_Finance[Job Number],0)),""))</f>
        <v/>
      </c>
      <c r="G202" s="28">
        <f>IF(C202="","",COUNTIFS(tbl_Finance[Job Number],C202&amp;"",tbl_Finance[Ex GST],"&lt;&gt;"))</f>
        <v/>
      </c>
      <c r="H202" s="27">
        <f>IF(C202="","",SUMIFS(tbl_Finance[Ex GST],tbl_Finance[Job Number],C202&amp;""))</f>
        <v/>
      </c>
      <c r="I202" s="27">
        <f>IF(C202="","",SUMIFS(tbl_Finance[Ex GST],tbl_Finance[Job Number],C202&amp;"",tbl_Finance[Xero Invoice No],"&lt;&gt;"))</f>
        <v/>
      </c>
      <c r="J202" s="27">
        <f>IF(C202="","",H202-I202)</f>
        <v/>
      </c>
      <c r="K202" s="25">
        <f>IF(C202="","",IF(G202=0,"not invoiced yet",SUBSTITUTE(TRIM(IF(COUNTIFS(tbl_Finance[Job Number],C202&amp;"",tbl_Finance[Cost Centre],"ONSITE")&gt;0,"ONSITE ","")&amp;IF(COUNTIFS(tbl_Finance[Job Number],C202&amp;"",tbl_Finance[Cost Centre],"PRODUCTION")&gt;0,"PRODUCTION ","")&amp;IF(COUNTIFS(tbl_Finance[Job Number],C202&amp;"",tbl_Finance[Cost Centre],"VIDEO")&gt;0,"VIDEO ","")&amp;IF(COUNTIFS(tbl_Finance[Job Number],C202&amp;"",tbl_Finance[Cost Centre],"INTEGRATION")&gt;0,"INTEGRATION ","")&amp;IF(COUNTIFS(tbl_Finance[Job Number],C202&amp;"",tbl_Finance[Cost Centre],"CONSULTING")&gt;0,"CONSULTING ","")&amp;IF(COUNTIFS(tbl_Finance[Job Number],C202&amp;"",tbl_Finance[Cost Centre],"CTS")&gt;0,"CTS ",""))," ",", ")))</f>
        <v/>
      </c>
      <c r="L202" s="24" t="n"/>
      <c r="M202" s="25">
        <f>IF(L202="","",HYPERLINK(IF(LEFT(L202,4)="http",L202,set_QwilrBase&amp;L202),"Open quote"))</f>
        <v/>
      </c>
      <c r="N202" s="26" t="n"/>
      <c r="O202" s="26" t="n"/>
      <c r="P202" s="26" t="n"/>
      <c r="Q202" s="25">
        <f>IF(C202="","",IF(N(N202)+N(O202)+N(P202)=0,"Not split",IF(ROUND(N(N202)+N(O202)+N(P202),2)=ROUND(H202,2),"OK","MISMATCH")))</f>
        <v/>
      </c>
      <c r="R202" s="26" t="n"/>
      <c r="S202" s="26" t="n"/>
      <c r="T202" s="26" t="n"/>
      <c r="U202" s="27">
        <f>IF(C202="","",N(R202)+N(S202)+N(T202))</f>
        <v/>
      </c>
      <c r="V202" s="27">
        <f>IF(C202="","",H202-U202)</f>
        <v/>
      </c>
      <c r="W202" s="29">
        <f>IFERROR(V202/H202,"")</f>
        <v/>
      </c>
      <c r="X202" s="24" t="n"/>
    </row>
    <row r="203" ht="15" customHeight="1">
      <c r="A203" s="63">
        <f>IF(C203="","",IFERROR(IF(SUMPRODUCT(MAX((tbl_Finance[Job Number]=C203&amp;"")*(tbl_Finance[Xero Invoice No]&lt;&gt;"")*tbl_Finance[Date]))=0,"",SUMPRODUCT(MAX((tbl_Finance[Job Number]=C203&amp;"")*(tbl_Finance[Xero Invoice No]&lt;&gt;"")*tbl_Finance[Date]))),""))</f>
        <v/>
      </c>
      <c r="B203" s="25">
        <f>IF(C203="","",IF(COUNTIFS(tbl_Finance[Job Number],C203&amp;"",tbl_Finance[Xero Invoice No],"&lt;&gt;")=0,"",IFERROR(IF(COUNTIFS(tbl_Finance[Job Number],C203&amp;"",tbl_Finance[Xero Invoice No],LOOKUP(2,1/((tbl_Finance[Job Number]=C203&amp;"")*(tbl_Finance[Xero Invoice No]&lt;&gt;"")),tbl_Finance[Xero Invoice No]))=COUNTIFS(tbl_Finance[Job Number],C203&amp;"",tbl_Finance[Xero Invoice No],"&lt;&gt;"),LOOKUP(2,1/((tbl_Finance[Job Number]=C203&amp;"")*(tbl_Finance[Xero Invoice No]&lt;&gt;"")),tbl_Finance[Xero Invoice No]),LOOKUP(2,1/((tbl_Finance[Job Number]=C203&amp;"")*(tbl_Finance[Xero Invoice No]&lt;&gt;"")),tbl_Finance[Xero Invoice No])&amp;" +more"),"")))</f>
        <v/>
      </c>
      <c r="C203" s="24" t="n"/>
      <c r="D203" s="25">
        <f>IF(C203="","",IF(COUNTIF(lst_Jobs,C203&amp;"")&gt;0,"OK","CHECK"))</f>
        <v/>
      </c>
      <c r="E203" s="25">
        <f>IF(C203="","",IFERROR(INDEX(lst_JobName,MATCH(C203&amp;"",lst_Jobs,0)),""))</f>
        <v/>
      </c>
      <c r="F203" s="25">
        <f>IF(C203="","",IFERROR(INDEX(tbl_Finance[Client],MATCH(C203&amp;"",tbl_Finance[Job Number],0)),""))</f>
        <v/>
      </c>
      <c r="G203" s="28">
        <f>IF(C203="","",COUNTIFS(tbl_Finance[Job Number],C203&amp;"",tbl_Finance[Ex GST],"&lt;&gt;"))</f>
        <v/>
      </c>
      <c r="H203" s="27">
        <f>IF(C203="","",SUMIFS(tbl_Finance[Ex GST],tbl_Finance[Job Number],C203&amp;""))</f>
        <v/>
      </c>
      <c r="I203" s="27">
        <f>IF(C203="","",SUMIFS(tbl_Finance[Ex GST],tbl_Finance[Job Number],C203&amp;"",tbl_Finance[Xero Invoice No],"&lt;&gt;"))</f>
        <v/>
      </c>
      <c r="J203" s="27">
        <f>IF(C203="","",H203-I203)</f>
        <v/>
      </c>
      <c r="K203" s="25">
        <f>IF(C203="","",IF(G203=0,"not invoiced yet",SUBSTITUTE(TRIM(IF(COUNTIFS(tbl_Finance[Job Number],C203&amp;"",tbl_Finance[Cost Centre],"ONSITE")&gt;0,"ONSITE ","")&amp;IF(COUNTIFS(tbl_Finance[Job Number],C203&amp;"",tbl_Finance[Cost Centre],"PRODUCTION")&gt;0,"PRODUCTION ","")&amp;IF(COUNTIFS(tbl_Finance[Job Number],C203&amp;"",tbl_Finance[Cost Centre],"VIDEO")&gt;0,"VIDEO ","")&amp;IF(COUNTIFS(tbl_Finance[Job Number],C203&amp;"",tbl_Finance[Cost Centre],"INTEGRATION")&gt;0,"INTEGRATION ","")&amp;IF(COUNTIFS(tbl_Finance[Job Number],C203&amp;"",tbl_Finance[Cost Centre],"CONSULTING")&gt;0,"CONSULTING ","")&amp;IF(COUNTIFS(tbl_Finance[Job Number],C203&amp;"",tbl_Finance[Cost Centre],"CTS")&gt;0,"CTS ",""))," ",", ")))</f>
        <v/>
      </c>
      <c r="L203" s="24" t="n"/>
      <c r="M203" s="25">
        <f>IF(L203="","",HYPERLINK(IF(LEFT(L203,4)="http",L203,set_QwilrBase&amp;L203),"Open quote"))</f>
        <v/>
      </c>
      <c r="N203" s="26" t="n"/>
      <c r="O203" s="26" t="n"/>
      <c r="P203" s="26" t="n"/>
      <c r="Q203" s="25">
        <f>IF(C203="","",IF(N(N203)+N(O203)+N(P203)=0,"Not split",IF(ROUND(N(N203)+N(O203)+N(P203),2)=ROUND(H203,2),"OK","MISMATCH")))</f>
        <v/>
      </c>
      <c r="R203" s="26" t="n"/>
      <c r="S203" s="26" t="n"/>
      <c r="T203" s="26" t="n"/>
      <c r="U203" s="27">
        <f>IF(C203="","",N(R203)+N(S203)+N(T203))</f>
        <v/>
      </c>
      <c r="V203" s="27">
        <f>IF(C203="","",H203-U203)</f>
        <v/>
      </c>
      <c r="W203" s="29">
        <f>IFERROR(V203/H203,"")</f>
        <v/>
      </c>
      <c r="X203" s="24" t="n"/>
    </row>
    <row r="204" ht="15" customHeight="1">
      <c r="A204" s="63">
        <f>IF(C204="","",IFERROR(IF(SUMPRODUCT(MAX((tbl_Finance[Job Number]=C204&amp;"")*(tbl_Finance[Xero Invoice No]&lt;&gt;"")*tbl_Finance[Date]))=0,"",SUMPRODUCT(MAX((tbl_Finance[Job Number]=C204&amp;"")*(tbl_Finance[Xero Invoice No]&lt;&gt;"")*tbl_Finance[Date]))),""))</f>
        <v/>
      </c>
      <c r="B204" s="25">
        <f>IF(C204="","",IF(COUNTIFS(tbl_Finance[Job Number],C204&amp;"",tbl_Finance[Xero Invoice No],"&lt;&gt;")=0,"",IFERROR(IF(COUNTIFS(tbl_Finance[Job Number],C204&amp;"",tbl_Finance[Xero Invoice No],LOOKUP(2,1/((tbl_Finance[Job Number]=C204&amp;"")*(tbl_Finance[Xero Invoice No]&lt;&gt;"")),tbl_Finance[Xero Invoice No]))=COUNTIFS(tbl_Finance[Job Number],C204&amp;"",tbl_Finance[Xero Invoice No],"&lt;&gt;"),LOOKUP(2,1/((tbl_Finance[Job Number]=C204&amp;"")*(tbl_Finance[Xero Invoice No]&lt;&gt;"")),tbl_Finance[Xero Invoice No]),LOOKUP(2,1/((tbl_Finance[Job Number]=C204&amp;"")*(tbl_Finance[Xero Invoice No]&lt;&gt;"")),tbl_Finance[Xero Invoice No])&amp;" +more"),"")))</f>
        <v/>
      </c>
      <c r="C204" s="24" t="n"/>
      <c r="D204" s="25">
        <f>IF(C204="","",IF(COUNTIF(lst_Jobs,C204&amp;"")&gt;0,"OK","CHECK"))</f>
        <v/>
      </c>
      <c r="E204" s="25">
        <f>IF(C204="","",IFERROR(INDEX(lst_JobName,MATCH(C204&amp;"",lst_Jobs,0)),""))</f>
        <v/>
      </c>
      <c r="F204" s="25">
        <f>IF(C204="","",IFERROR(INDEX(tbl_Finance[Client],MATCH(C204&amp;"",tbl_Finance[Job Number],0)),""))</f>
        <v/>
      </c>
      <c r="G204" s="28">
        <f>IF(C204="","",COUNTIFS(tbl_Finance[Job Number],C204&amp;"",tbl_Finance[Ex GST],"&lt;&gt;"))</f>
        <v/>
      </c>
      <c r="H204" s="27">
        <f>IF(C204="","",SUMIFS(tbl_Finance[Ex GST],tbl_Finance[Job Number],C204&amp;""))</f>
        <v/>
      </c>
      <c r="I204" s="27">
        <f>IF(C204="","",SUMIFS(tbl_Finance[Ex GST],tbl_Finance[Job Number],C204&amp;"",tbl_Finance[Xero Invoice No],"&lt;&gt;"))</f>
        <v/>
      </c>
      <c r="J204" s="27">
        <f>IF(C204="","",H204-I204)</f>
        <v/>
      </c>
      <c r="K204" s="25">
        <f>IF(C204="","",IF(G204=0,"not invoiced yet",SUBSTITUTE(TRIM(IF(COUNTIFS(tbl_Finance[Job Number],C204&amp;"",tbl_Finance[Cost Centre],"ONSITE")&gt;0,"ONSITE ","")&amp;IF(COUNTIFS(tbl_Finance[Job Number],C204&amp;"",tbl_Finance[Cost Centre],"PRODUCTION")&gt;0,"PRODUCTION ","")&amp;IF(COUNTIFS(tbl_Finance[Job Number],C204&amp;"",tbl_Finance[Cost Centre],"VIDEO")&gt;0,"VIDEO ","")&amp;IF(COUNTIFS(tbl_Finance[Job Number],C204&amp;"",tbl_Finance[Cost Centre],"INTEGRATION")&gt;0,"INTEGRATION ","")&amp;IF(COUNTIFS(tbl_Finance[Job Number],C204&amp;"",tbl_Finance[Cost Centre],"CONSULTING")&gt;0,"CONSULTING ","")&amp;IF(COUNTIFS(tbl_Finance[Job Number],C204&amp;"",tbl_Finance[Cost Centre],"CTS")&gt;0,"CTS ",""))," ",", ")))</f>
        <v/>
      </c>
      <c r="L204" s="24" t="n"/>
      <c r="M204" s="25">
        <f>IF(L204="","",HYPERLINK(IF(LEFT(L204,4)="http",L204,set_QwilrBase&amp;L204),"Open quote"))</f>
        <v/>
      </c>
      <c r="N204" s="26" t="n"/>
      <c r="O204" s="26" t="n"/>
      <c r="P204" s="26" t="n"/>
      <c r="Q204" s="25">
        <f>IF(C204="","",IF(N(N204)+N(O204)+N(P204)=0,"Not split",IF(ROUND(N(N204)+N(O204)+N(P204),2)=ROUND(H204,2),"OK","MISMATCH")))</f>
        <v/>
      </c>
      <c r="R204" s="26" t="n"/>
      <c r="S204" s="26" t="n"/>
      <c r="T204" s="26" t="n"/>
      <c r="U204" s="27">
        <f>IF(C204="","",N(R204)+N(S204)+N(T204))</f>
        <v/>
      </c>
      <c r="V204" s="27">
        <f>IF(C204="","",H204-U204)</f>
        <v/>
      </c>
      <c r="W204" s="29">
        <f>IFERROR(V204/H204,"")</f>
        <v/>
      </c>
      <c r="X204" s="24" t="n"/>
    </row>
    <row r="205" ht="15" customHeight="1">
      <c r="A205" s="63">
        <f>IF(C205="","",IFERROR(IF(SUMPRODUCT(MAX((tbl_Finance[Job Number]=C205&amp;"")*(tbl_Finance[Xero Invoice No]&lt;&gt;"")*tbl_Finance[Date]))=0,"",SUMPRODUCT(MAX((tbl_Finance[Job Number]=C205&amp;"")*(tbl_Finance[Xero Invoice No]&lt;&gt;"")*tbl_Finance[Date]))),""))</f>
        <v/>
      </c>
      <c r="B205" s="25">
        <f>IF(C205="","",IF(COUNTIFS(tbl_Finance[Job Number],C205&amp;"",tbl_Finance[Xero Invoice No],"&lt;&gt;")=0,"",IFERROR(IF(COUNTIFS(tbl_Finance[Job Number],C205&amp;"",tbl_Finance[Xero Invoice No],LOOKUP(2,1/((tbl_Finance[Job Number]=C205&amp;"")*(tbl_Finance[Xero Invoice No]&lt;&gt;"")),tbl_Finance[Xero Invoice No]))=COUNTIFS(tbl_Finance[Job Number],C205&amp;"",tbl_Finance[Xero Invoice No],"&lt;&gt;"),LOOKUP(2,1/((tbl_Finance[Job Number]=C205&amp;"")*(tbl_Finance[Xero Invoice No]&lt;&gt;"")),tbl_Finance[Xero Invoice No]),LOOKUP(2,1/((tbl_Finance[Job Number]=C205&amp;"")*(tbl_Finance[Xero Invoice No]&lt;&gt;"")),tbl_Finance[Xero Invoice No])&amp;" +more"),"")))</f>
        <v/>
      </c>
      <c r="C205" s="24" t="n"/>
      <c r="D205" s="25">
        <f>IF(C205="","",IF(COUNTIF(lst_Jobs,C205&amp;"")&gt;0,"OK","CHECK"))</f>
        <v/>
      </c>
      <c r="E205" s="25">
        <f>IF(C205="","",IFERROR(INDEX(lst_JobName,MATCH(C205&amp;"",lst_Jobs,0)),""))</f>
        <v/>
      </c>
      <c r="F205" s="25">
        <f>IF(C205="","",IFERROR(INDEX(tbl_Finance[Client],MATCH(C205&amp;"",tbl_Finance[Job Number],0)),""))</f>
        <v/>
      </c>
      <c r="G205" s="28">
        <f>IF(C205="","",COUNTIFS(tbl_Finance[Job Number],C205&amp;"",tbl_Finance[Ex GST],"&lt;&gt;"))</f>
        <v/>
      </c>
      <c r="H205" s="27">
        <f>IF(C205="","",SUMIFS(tbl_Finance[Ex GST],tbl_Finance[Job Number],C205&amp;""))</f>
        <v/>
      </c>
      <c r="I205" s="27">
        <f>IF(C205="","",SUMIFS(tbl_Finance[Ex GST],tbl_Finance[Job Number],C205&amp;"",tbl_Finance[Xero Invoice No],"&lt;&gt;"))</f>
        <v/>
      </c>
      <c r="J205" s="27">
        <f>IF(C205="","",H205-I205)</f>
        <v/>
      </c>
      <c r="K205" s="25">
        <f>IF(C205="","",IF(G205=0,"not invoiced yet",SUBSTITUTE(TRIM(IF(COUNTIFS(tbl_Finance[Job Number],C205&amp;"",tbl_Finance[Cost Centre],"ONSITE")&gt;0,"ONSITE ","")&amp;IF(COUNTIFS(tbl_Finance[Job Number],C205&amp;"",tbl_Finance[Cost Centre],"PRODUCTION")&gt;0,"PRODUCTION ","")&amp;IF(COUNTIFS(tbl_Finance[Job Number],C205&amp;"",tbl_Finance[Cost Centre],"VIDEO")&gt;0,"VIDEO ","")&amp;IF(COUNTIFS(tbl_Finance[Job Number],C205&amp;"",tbl_Finance[Cost Centre],"INTEGRATION")&gt;0,"INTEGRATION ","")&amp;IF(COUNTIFS(tbl_Finance[Job Number],C205&amp;"",tbl_Finance[Cost Centre],"CONSULTING")&gt;0,"CONSULTING ","")&amp;IF(COUNTIFS(tbl_Finance[Job Number],C205&amp;"",tbl_Finance[Cost Centre],"CTS")&gt;0,"CTS ",""))," ",", ")))</f>
        <v/>
      </c>
      <c r="L205" s="24" t="n"/>
      <c r="M205" s="25">
        <f>IF(L205="","",HYPERLINK(IF(LEFT(L205,4)="http",L205,set_QwilrBase&amp;L205),"Open quote"))</f>
        <v/>
      </c>
      <c r="N205" s="26" t="n"/>
      <c r="O205" s="26" t="n"/>
      <c r="P205" s="26" t="n"/>
      <c r="Q205" s="25">
        <f>IF(C205="","",IF(N(N205)+N(O205)+N(P205)=0,"Not split",IF(ROUND(N(N205)+N(O205)+N(P205),2)=ROUND(H205,2),"OK","MISMATCH")))</f>
        <v/>
      </c>
      <c r="R205" s="26" t="n"/>
      <c r="S205" s="26" t="n"/>
      <c r="T205" s="26" t="n"/>
      <c r="U205" s="27">
        <f>IF(C205="","",N(R205)+N(S205)+N(T205))</f>
        <v/>
      </c>
      <c r="V205" s="27">
        <f>IF(C205="","",H205-U205)</f>
        <v/>
      </c>
      <c r="W205" s="29">
        <f>IFERROR(V205/H205,"")</f>
        <v/>
      </c>
      <c r="X205" s="24" t="n"/>
    </row>
    <row r="206" ht="15" customHeight="1">
      <c r="A206" s="63">
        <f>IF(C206="","",IFERROR(IF(SUMPRODUCT(MAX((tbl_Finance[Job Number]=C206&amp;"")*(tbl_Finance[Xero Invoice No]&lt;&gt;"")*tbl_Finance[Date]))=0,"",SUMPRODUCT(MAX((tbl_Finance[Job Number]=C206&amp;"")*(tbl_Finance[Xero Invoice No]&lt;&gt;"")*tbl_Finance[Date]))),""))</f>
        <v/>
      </c>
      <c r="B206" s="25">
        <f>IF(C206="","",IF(COUNTIFS(tbl_Finance[Job Number],C206&amp;"",tbl_Finance[Xero Invoice No],"&lt;&gt;")=0,"",IFERROR(IF(COUNTIFS(tbl_Finance[Job Number],C206&amp;"",tbl_Finance[Xero Invoice No],LOOKUP(2,1/((tbl_Finance[Job Number]=C206&amp;"")*(tbl_Finance[Xero Invoice No]&lt;&gt;"")),tbl_Finance[Xero Invoice No]))=COUNTIFS(tbl_Finance[Job Number],C206&amp;"",tbl_Finance[Xero Invoice No],"&lt;&gt;"),LOOKUP(2,1/((tbl_Finance[Job Number]=C206&amp;"")*(tbl_Finance[Xero Invoice No]&lt;&gt;"")),tbl_Finance[Xero Invoice No]),LOOKUP(2,1/((tbl_Finance[Job Number]=C206&amp;"")*(tbl_Finance[Xero Invoice No]&lt;&gt;"")),tbl_Finance[Xero Invoice No])&amp;" +more"),"")))</f>
        <v/>
      </c>
      <c r="C206" s="24" t="n"/>
      <c r="D206" s="25">
        <f>IF(C206="","",IF(COUNTIF(lst_Jobs,C206&amp;"")&gt;0,"OK","CHECK"))</f>
        <v/>
      </c>
      <c r="E206" s="25">
        <f>IF(C206="","",IFERROR(INDEX(lst_JobName,MATCH(C206&amp;"",lst_Jobs,0)),""))</f>
        <v/>
      </c>
      <c r="F206" s="25">
        <f>IF(C206="","",IFERROR(INDEX(tbl_Finance[Client],MATCH(C206&amp;"",tbl_Finance[Job Number],0)),""))</f>
        <v/>
      </c>
      <c r="G206" s="28">
        <f>IF(C206="","",COUNTIFS(tbl_Finance[Job Number],C206&amp;"",tbl_Finance[Ex GST],"&lt;&gt;"))</f>
        <v/>
      </c>
      <c r="H206" s="27">
        <f>IF(C206="","",SUMIFS(tbl_Finance[Ex GST],tbl_Finance[Job Number],C206&amp;""))</f>
        <v/>
      </c>
      <c r="I206" s="27">
        <f>IF(C206="","",SUMIFS(tbl_Finance[Ex GST],tbl_Finance[Job Number],C206&amp;"",tbl_Finance[Xero Invoice No],"&lt;&gt;"))</f>
        <v/>
      </c>
      <c r="J206" s="27">
        <f>IF(C206="","",H206-I206)</f>
        <v/>
      </c>
      <c r="K206" s="25">
        <f>IF(C206="","",IF(G206=0,"not invoiced yet",SUBSTITUTE(TRIM(IF(COUNTIFS(tbl_Finance[Job Number],C206&amp;"",tbl_Finance[Cost Centre],"ONSITE")&gt;0,"ONSITE ","")&amp;IF(COUNTIFS(tbl_Finance[Job Number],C206&amp;"",tbl_Finance[Cost Centre],"PRODUCTION")&gt;0,"PRODUCTION ","")&amp;IF(COUNTIFS(tbl_Finance[Job Number],C206&amp;"",tbl_Finance[Cost Centre],"VIDEO")&gt;0,"VIDEO ","")&amp;IF(COUNTIFS(tbl_Finance[Job Number],C206&amp;"",tbl_Finance[Cost Centre],"INTEGRATION")&gt;0,"INTEGRATION ","")&amp;IF(COUNTIFS(tbl_Finance[Job Number],C206&amp;"",tbl_Finance[Cost Centre],"CONSULTING")&gt;0,"CONSULTING ","")&amp;IF(COUNTIFS(tbl_Finance[Job Number],C206&amp;"",tbl_Finance[Cost Centre],"CTS")&gt;0,"CTS ",""))," ",", ")))</f>
        <v/>
      </c>
      <c r="L206" s="24" t="n"/>
      <c r="M206" s="25">
        <f>IF(L206="","",HYPERLINK(IF(LEFT(L206,4)="http",L206,set_QwilrBase&amp;L206),"Open quote"))</f>
        <v/>
      </c>
      <c r="N206" s="26" t="n"/>
      <c r="O206" s="26" t="n"/>
      <c r="P206" s="26" t="n"/>
      <c r="Q206" s="25">
        <f>IF(C206="","",IF(N(N206)+N(O206)+N(P206)=0,"Not split",IF(ROUND(N(N206)+N(O206)+N(P206),2)=ROUND(H206,2),"OK","MISMATCH")))</f>
        <v/>
      </c>
      <c r="R206" s="26" t="n"/>
      <c r="S206" s="26" t="n"/>
      <c r="T206" s="26" t="n"/>
      <c r="U206" s="27">
        <f>IF(C206="","",N(R206)+N(S206)+N(T206))</f>
        <v/>
      </c>
      <c r="V206" s="27">
        <f>IF(C206="","",H206-U206)</f>
        <v/>
      </c>
      <c r="W206" s="29">
        <f>IFERROR(V206/H206,"")</f>
        <v/>
      </c>
      <c r="X206" s="24" t="n"/>
    </row>
    <row r="207" ht="15" customHeight="1">
      <c r="A207" s="63">
        <f>IF(C207="","",IFERROR(IF(SUMPRODUCT(MAX((tbl_Finance[Job Number]=C207&amp;"")*(tbl_Finance[Xero Invoice No]&lt;&gt;"")*tbl_Finance[Date]))=0,"",SUMPRODUCT(MAX((tbl_Finance[Job Number]=C207&amp;"")*(tbl_Finance[Xero Invoice No]&lt;&gt;"")*tbl_Finance[Date]))),""))</f>
        <v/>
      </c>
      <c r="B207" s="25">
        <f>IF(C207="","",IF(COUNTIFS(tbl_Finance[Job Number],C207&amp;"",tbl_Finance[Xero Invoice No],"&lt;&gt;")=0,"",IFERROR(IF(COUNTIFS(tbl_Finance[Job Number],C207&amp;"",tbl_Finance[Xero Invoice No],LOOKUP(2,1/((tbl_Finance[Job Number]=C207&amp;"")*(tbl_Finance[Xero Invoice No]&lt;&gt;"")),tbl_Finance[Xero Invoice No]))=COUNTIFS(tbl_Finance[Job Number],C207&amp;"",tbl_Finance[Xero Invoice No],"&lt;&gt;"),LOOKUP(2,1/((tbl_Finance[Job Number]=C207&amp;"")*(tbl_Finance[Xero Invoice No]&lt;&gt;"")),tbl_Finance[Xero Invoice No]),LOOKUP(2,1/((tbl_Finance[Job Number]=C207&amp;"")*(tbl_Finance[Xero Invoice No]&lt;&gt;"")),tbl_Finance[Xero Invoice No])&amp;" +more"),"")))</f>
        <v/>
      </c>
      <c r="C207" s="24" t="n"/>
      <c r="D207" s="25">
        <f>IF(C207="","",IF(COUNTIF(lst_Jobs,C207&amp;"")&gt;0,"OK","CHECK"))</f>
        <v/>
      </c>
      <c r="E207" s="25">
        <f>IF(C207="","",IFERROR(INDEX(lst_JobName,MATCH(C207&amp;"",lst_Jobs,0)),""))</f>
        <v/>
      </c>
      <c r="F207" s="25">
        <f>IF(C207="","",IFERROR(INDEX(tbl_Finance[Client],MATCH(C207&amp;"",tbl_Finance[Job Number],0)),""))</f>
        <v/>
      </c>
      <c r="G207" s="28">
        <f>IF(C207="","",COUNTIFS(tbl_Finance[Job Number],C207&amp;"",tbl_Finance[Ex GST],"&lt;&gt;"))</f>
        <v/>
      </c>
      <c r="H207" s="27">
        <f>IF(C207="","",SUMIFS(tbl_Finance[Ex GST],tbl_Finance[Job Number],C207&amp;""))</f>
        <v/>
      </c>
      <c r="I207" s="27">
        <f>IF(C207="","",SUMIFS(tbl_Finance[Ex GST],tbl_Finance[Job Number],C207&amp;"",tbl_Finance[Xero Invoice No],"&lt;&gt;"))</f>
        <v/>
      </c>
      <c r="J207" s="27">
        <f>IF(C207="","",H207-I207)</f>
        <v/>
      </c>
      <c r="K207" s="25">
        <f>IF(C207="","",IF(G207=0,"not invoiced yet",SUBSTITUTE(TRIM(IF(COUNTIFS(tbl_Finance[Job Number],C207&amp;"",tbl_Finance[Cost Centre],"ONSITE")&gt;0,"ONSITE ","")&amp;IF(COUNTIFS(tbl_Finance[Job Number],C207&amp;"",tbl_Finance[Cost Centre],"PRODUCTION")&gt;0,"PRODUCTION ","")&amp;IF(COUNTIFS(tbl_Finance[Job Number],C207&amp;"",tbl_Finance[Cost Centre],"VIDEO")&gt;0,"VIDEO ","")&amp;IF(COUNTIFS(tbl_Finance[Job Number],C207&amp;"",tbl_Finance[Cost Centre],"INTEGRATION")&gt;0,"INTEGRATION ","")&amp;IF(COUNTIFS(tbl_Finance[Job Number],C207&amp;"",tbl_Finance[Cost Centre],"CONSULTING")&gt;0,"CONSULTING ","")&amp;IF(COUNTIFS(tbl_Finance[Job Number],C207&amp;"",tbl_Finance[Cost Centre],"CTS")&gt;0,"CTS ",""))," ",", ")))</f>
        <v/>
      </c>
      <c r="L207" s="24" t="n"/>
      <c r="M207" s="25">
        <f>IF(L207="","",HYPERLINK(IF(LEFT(L207,4)="http",L207,set_QwilrBase&amp;L207),"Open quote"))</f>
        <v/>
      </c>
      <c r="N207" s="26" t="n"/>
      <c r="O207" s="26" t="n"/>
      <c r="P207" s="26" t="n"/>
      <c r="Q207" s="25">
        <f>IF(C207="","",IF(N(N207)+N(O207)+N(P207)=0,"Not split",IF(ROUND(N(N207)+N(O207)+N(P207),2)=ROUND(H207,2),"OK","MISMATCH")))</f>
        <v/>
      </c>
      <c r="R207" s="26" t="n"/>
      <c r="S207" s="26" t="n"/>
      <c r="T207" s="26" t="n"/>
      <c r="U207" s="27">
        <f>IF(C207="","",N(R207)+N(S207)+N(T207))</f>
        <v/>
      </c>
      <c r="V207" s="27">
        <f>IF(C207="","",H207-U207)</f>
        <v/>
      </c>
      <c r="W207" s="29">
        <f>IFERROR(V207/H207,"")</f>
        <v/>
      </c>
      <c r="X207" s="24" t="n"/>
    </row>
    <row r="208" ht="15" customHeight="1">
      <c r="A208" s="63">
        <f>IF(C208="","",IFERROR(IF(SUMPRODUCT(MAX((tbl_Finance[Job Number]=C208&amp;"")*(tbl_Finance[Xero Invoice No]&lt;&gt;"")*tbl_Finance[Date]))=0,"",SUMPRODUCT(MAX((tbl_Finance[Job Number]=C208&amp;"")*(tbl_Finance[Xero Invoice No]&lt;&gt;"")*tbl_Finance[Date]))),""))</f>
        <v/>
      </c>
      <c r="B208" s="25">
        <f>IF(C208="","",IF(COUNTIFS(tbl_Finance[Job Number],C208&amp;"",tbl_Finance[Xero Invoice No],"&lt;&gt;")=0,"",IFERROR(IF(COUNTIFS(tbl_Finance[Job Number],C208&amp;"",tbl_Finance[Xero Invoice No],LOOKUP(2,1/((tbl_Finance[Job Number]=C208&amp;"")*(tbl_Finance[Xero Invoice No]&lt;&gt;"")),tbl_Finance[Xero Invoice No]))=COUNTIFS(tbl_Finance[Job Number],C208&amp;"",tbl_Finance[Xero Invoice No],"&lt;&gt;"),LOOKUP(2,1/((tbl_Finance[Job Number]=C208&amp;"")*(tbl_Finance[Xero Invoice No]&lt;&gt;"")),tbl_Finance[Xero Invoice No]),LOOKUP(2,1/((tbl_Finance[Job Number]=C208&amp;"")*(tbl_Finance[Xero Invoice No]&lt;&gt;"")),tbl_Finance[Xero Invoice No])&amp;" +more"),"")))</f>
        <v/>
      </c>
      <c r="C208" s="24" t="n"/>
      <c r="D208" s="25">
        <f>IF(C208="","",IF(COUNTIF(lst_Jobs,C208&amp;"")&gt;0,"OK","CHECK"))</f>
        <v/>
      </c>
      <c r="E208" s="25">
        <f>IF(C208="","",IFERROR(INDEX(lst_JobName,MATCH(C208&amp;"",lst_Jobs,0)),""))</f>
        <v/>
      </c>
      <c r="F208" s="25">
        <f>IF(C208="","",IFERROR(INDEX(tbl_Finance[Client],MATCH(C208&amp;"",tbl_Finance[Job Number],0)),""))</f>
        <v/>
      </c>
      <c r="G208" s="28">
        <f>IF(C208="","",COUNTIFS(tbl_Finance[Job Number],C208&amp;"",tbl_Finance[Ex GST],"&lt;&gt;"))</f>
        <v/>
      </c>
      <c r="H208" s="27">
        <f>IF(C208="","",SUMIFS(tbl_Finance[Ex GST],tbl_Finance[Job Number],C208&amp;""))</f>
        <v/>
      </c>
      <c r="I208" s="27">
        <f>IF(C208="","",SUMIFS(tbl_Finance[Ex GST],tbl_Finance[Job Number],C208&amp;"",tbl_Finance[Xero Invoice No],"&lt;&gt;"))</f>
        <v/>
      </c>
      <c r="J208" s="27">
        <f>IF(C208="","",H208-I208)</f>
        <v/>
      </c>
      <c r="K208" s="25">
        <f>IF(C208="","",IF(G208=0,"not invoiced yet",SUBSTITUTE(TRIM(IF(COUNTIFS(tbl_Finance[Job Number],C208&amp;"",tbl_Finance[Cost Centre],"ONSITE")&gt;0,"ONSITE ","")&amp;IF(COUNTIFS(tbl_Finance[Job Number],C208&amp;"",tbl_Finance[Cost Centre],"PRODUCTION")&gt;0,"PRODUCTION ","")&amp;IF(COUNTIFS(tbl_Finance[Job Number],C208&amp;"",tbl_Finance[Cost Centre],"VIDEO")&gt;0,"VIDEO ","")&amp;IF(COUNTIFS(tbl_Finance[Job Number],C208&amp;"",tbl_Finance[Cost Centre],"INTEGRATION")&gt;0,"INTEGRATION ","")&amp;IF(COUNTIFS(tbl_Finance[Job Number],C208&amp;"",tbl_Finance[Cost Centre],"CONSULTING")&gt;0,"CONSULTING ","")&amp;IF(COUNTIFS(tbl_Finance[Job Number],C208&amp;"",tbl_Finance[Cost Centre],"CTS")&gt;0,"CTS ",""))," ",", ")))</f>
        <v/>
      </c>
      <c r="L208" s="24" t="n"/>
      <c r="M208" s="25">
        <f>IF(L208="","",HYPERLINK(IF(LEFT(L208,4)="http",L208,set_QwilrBase&amp;L208),"Open quote"))</f>
        <v/>
      </c>
      <c r="N208" s="26" t="n"/>
      <c r="O208" s="26" t="n"/>
      <c r="P208" s="26" t="n"/>
      <c r="Q208" s="25">
        <f>IF(C208="","",IF(N(N208)+N(O208)+N(P208)=0,"Not split",IF(ROUND(N(N208)+N(O208)+N(P208),2)=ROUND(H208,2),"OK","MISMATCH")))</f>
        <v/>
      </c>
      <c r="R208" s="26" t="n"/>
      <c r="S208" s="26" t="n"/>
      <c r="T208" s="26" t="n"/>
      <c r="U208" s="27">
        <f>IF(C208="","",N(R208)+N(S208)+N(T208))</f>
        <v/>
      </c>
      <c r="V208" s="27">
        <f>IF(C208="","",H208-U208)</f>
        <v/>
      </c>
      <c r="W208" s="29">
        <f>IFERROR(V208/H208,"")</f>
        <v/>
      </c>
      <c r="X208" s="24" t="n"/>
    </row>
    <row r="209" ht="15" customHeight="1">
      <c r="A209" s="63">
        <f>IF(C209="","",IFERROR(IF(SUMPRODUCT(MAX((tbl_Finance[Job Number]=C209&amp;"")*(tbl_Finance[Xero Invoice No]&lt;&gt;"")*tbl_Finance[Date]))=0,"",SUMPRODUCT(MAX((tbl_Finance[Job Number]=C209&amp;"")*(tbl_Finance[Xero Invoice No]&lt;&gt;"")*tbl_Finance[Date]))),""))</f>
        <v/>
      </c>
      <c r="B209" s="25">
        <f>IF(C209="","",IF(COUNTIFS(tbl_Finance[Job Number],C209&amp;"",tbl_Finance[Xero Invoice No],"&lt;&gt;")=0,"",IFERROR(IF(COUNTIFS(tbl_Finance[Job Number],C209&amp;"",tbl_Finance[Xero Invoice No],LOOKUP(2,1/((tbl_Finance[Job Number]=C209&amp;"")*(tbl_Finance[Xero Invoice No]&lt;&gt;"")),tbl_Finance[Xero Invoice No]))=COUNTIFS(tbl_Finance[Job Number],C209&amp;"",tbl_Finance[Xero Invoice No],"&lt;&gt;"),LOOKUP(2,1/((tbl_Finance[Job Number]=C209&amp;"")*(tbl_Finance[Xero Invoice No]&lt;&gt;"")),tbl_Finance[Xero Invoice No]),LOOKUP(2,1/((tbl_Finance[Job Number]=C209&amp;"")*(tbl_Finance[Xero Invoice No]&lt;&gt;"")),tbl_Finance[Xero Invoice No])&amp;" +more"),"")))</f>
        <v/>
      </c>
      <c r="C209" s="24" t="n"/>
      <c r="D209" s="25">
        <f>IF(C209="","",IF(COUNTIF(lst_Jobs,C209&amp;"")&gt;0,"OK","CHECK"))</f>
        <v/>
      </c>
      <c r="E209" s="25">
        <f>IF(C209="","",IFERROR(INDEX(lst_JobName,MATCH(C209&amp;"",lst_Jobs,0)),""))</f>
        <v/>
      </c>
      <c r="F209" s="25">
        <f>IF(C209="","",IFERROR(INDEX(tbl_Finance[Client],MATCH(C209&amp;"",tbl_Finance[Job Number],0)),""))</f>
        <v/>
      </c>
      <c r="G209" s="28">
        <f>IF(C209="","",COUNTIFS(tbl_Finance[Job Number],C209&amp;"",tbl_Finance[Ex GST],"&lt;&gt;"))</f>
        <v/>
      </c>
      <c r="H209" s="27">
        <f>IF(C209="","",SUMIFS(tbl_Finance[Ex GST],tbl_Finance[Job Number],C209&amp;""))</f>
        <v/>
      </c>
      <c r="I209" s="27">
        <f>IF(C209="","",SUMIFS(tbl_Finance[Ex GST],tbl_Finance[Job Number],C209&amp;"",tbl_Finance[Xero Invoice No],"&lt;&gt;"))</f>
        <v/>
      </c>
      <c r="J209" s="27">
        <f>IF(C209="","",H209-I209)</f>
        <v/>
      </c>
      <c r="K209" s="25">
        <f>IF(C209="","",IF(G209=0,"not invoiced yet",SUBSTITUTE(TRIM(IF(COUNTIFS(tbl_Finance[Job Number],C209&amp;"",tbl_Finance[Cost Centre],"ONSITE")&gt;0,"ONSITE ","")&amp;IF(COUNTIFS(tbl_Finance[Job Number],C209&amp;"",tbl_Finance[Cost Centre],"PRODUCTION")&gt;0,"PRODUCTION ","")&amp;IF(COUNTIFS(tbl_Finance[Job Number],C209&amp;"",tbl_Finance[Cost Centre],"VIDEO")&gt;0,"VIDEO ","")&amp;IF(COUNTIFS(tbl_Finance[Job Number],C209&amp;"",tbl_Finance[Cost Centre],"INTEGRATION")&gt;0,"INTEGRATION ","")&amp;IF(COUNTIFS(tbl_Finance[Job Number],C209&amp;"",tbl_Finance[Cost Centre],"CONSULTING")&gt;0,"CONSULTING ","")&amp;IF(COUNTIFS(tbl_Finance[Job Number],C209&amp;"",tbl_Finance[Cost Centre],"CTS")&gt;0,"CTS ",""))," ",", ")))</f>
        <v/>
      </c>
      <c r="L209" s="24" t="n"/>
      <c r="M209" s="25">
        <f>IF(L209="","",HYPERLINK(IF(LEFT(L209,4)="http",L209,set_QwilrBase&amp;L209),"Open quote"))</f>
        <v/>
      </c>
      <c r="N209" s="26" t="n"/>
      <c r="O209" s="26" t="n"/>
      <c r="P209" s="26" t="n"/>
      <c r="Q209" s="25">
        <f>IF(C209="","",IF(N(N209)+N(O209)+N(P209)=0,"Not split",IF(ROUND(N(N209)+N(O209)+N(P209),2)=ROUND(H209,2),"OK","MISMATCH")))</f>
        <v/>
      </c>
      <c r="R209" s="26" t="n"/>
      <c r="S209" s="26" t="n"/>
      <c r="T209" s="26" t="n"/>
      <c r="U209" s="27">
        <f>IF(C209="","",N(R209)+N(S209)+N(T209))</f>
        <v/>
      </c>
      <c r="V209" s="27">
        <f>IF(C209="","",H209-U209)</f>
        <v/>
      </c>
      <c r="W209" s="29">
        <f>IFERROR(V209/H209,"")</f>
        <v/>
      </c>
      <c r="X209" s="24" t="n"/>
    </row>
    <row r="210" ht="15" customHeight="1">
      <c r="A210" s="63">
        <f>IF(C210="","",IFERROR(IF(SUMPRODUCT(MAX((tbl_Finance[Job Number]=C210&amp;"")*(tbl_Finance[Xero Invoice No]&lt;&gt;"")*tbl_Finance[Date]))=0,"",SUMPRODUCT(MAX((tbl_Finance[Job Number]=C210&amp;"")*(tbl_Finance[Xero Invoice No]&lt;&gt;"")*tbl_Finance[Date]))),""))</f>
        <v/>
      </c>
      <c r="B210" s="25">
        <f>IF(C210="","",IF(COUNTIFS(tbl_Finance[Job Number],C210&amp;"",tbl_Finance[Xero Invoice No],"&lt;&gt;")=0,"",IFERROR(IF(COUNTIFS(tbl_Finance[Job Number],C210&amp;"",tbl_Finance[Xero Invoice No],LOOKUP(2,1/((tbl_Finance[Job Number]=C210&amp;"")*(tbl_Finance[Xero Invoice No]&lt;&gt;"")),tbl_Finance[Xero Invoice No]))=COUNTIFS(tbl_Finance[Job Number],C210&amp;"",tbl_Finance[Xero Invoice No],"&lt;&gt;"),LOOKUP(2,1/((tbl_Finance[Job Number]=C210&amp;"")*(tbl_Finance[Xero Invoice No]&lt;&gt;"")),tbl_Finance[Xero Invoice No]),LOOKUP(2,1/((tbl_Finance[Job Number]=C210&amp;"")*(tbl_Finance[Xero Invoice No]&lt;&gt;"")),tbl_Finance[Xero Invoice No])&amp;" +more"),"")))</f>
        <v/>
      </c>
      <c r="C210" s="24" t="n"/>
      <c r="D210" s="25">
        <f>IF(C210="","",IF(COUNTIF(lst_Jobs,C210&amp;"")&gt;0,"OK","CHECK"))</f>
        <v/>
      </c>
      <c r="E210" s="25">
        <f>IF(C210="","",IFERROR(INDEX(lst_JobName,MATCH(C210&amp;"",lst_Jobs,0)),""))</f>
        <v/>
      </c>
      <c r="F210" s="25">
        <f>IF(C210="","",IFERROR(INDEX(tbl_Finance[Client],MATCH(C210&amp;"",tbl_Finance[Job Number],0)),""))</f>
        <v/>
      </c>
      <c r="G210" s="28">
        <f>IF(C210="","",COUNTIFS(tbl_Finance[Job Number],C210&amp;"",tbl_Finance[Ex GST],"&lt;&gt;"))</f>
        <v/>
      </c>
      <c r="H210" s="27">
        <f>IF(C210="","",SUMIFS(tbl_Finance[Ex GST],tbl_Finance[Job Number],C210&amp;""))</f>
        <v/>
      </c>
      <c r="I210" s="27">
        <f>IF(C210="","",SUMIFS(tbl_Finance[Ex GST],tbl_Finance[Job Number],C210&amp;"",tbl_Finance[Xero Invoice No],"&lt;&gt;"))</f>
        <v/>
      </c>
      <c r="J210" s="27">
        <f>IF(C210="","",H210-I210)</f>
        <v/>
      </c>
      <c r="K210" s="25">
        <f>IF(C210="","",IF(G210=0,"not invoiced yet",SUBSTITUTE(TRIM(IF(COUNTIFS(tbl_Finance[Job Number],C210&amp;"",tbl_Finance[Cost Centre],"ONSITE")&gt;0,"ONSITE ","")&amp;IF(COUNTIFS(tbl_Finance[Job Number],C210&amp;"",tbl_Finance[Cost Centre],"PRODUCTION")&gt;0,"PRODUCTION ","")&amp;IF(COUNTIFS(tbl_Finance[Job Number],C210&amp;"",tbl_Finance[Cost Centre],"VIDEO")&gt;0,"VIDEO ","")&amp;IF(COUNTIFS(tbl_Finance[Job Number],C210&amp;"",tbl_Finance[Cost Centre],"INTEGRATION")&gt;0,"INTEGRATION ","")&amp;IF(COUNTIFS(tbl_Finance[Job Number],C210&amp;"",tbl_Finance[Cost Centre],"CONSULTING")&gt;0,"CONSULTING ","")&amp;IF(COUNTIFS(tbl_Finance[Job Number],C210&amp;"",tbl_Finance[Cost Centre],"CTS")&gt;0,"CTS ",""))," ",", ")))</f>
        <v/>
      </c>
      <c r="L210" s="24" t="n"/>
      <c r="M210" s="25">
        <f>IF(L210="","",HYPERLINK(IF(LEFT(L210,4)="http",L210,set_QwilrBase&amp;L210),"Open quote"))</f>
        <v/>
      </c>
      <c r="N210" s="26" t="n"/>
      <c r="O210" s="26" t="n"/>
      <c r="P210" s="26" t="n"/>
      <c r="Q210" s="25">
        <f>IF(C210="","",IF(N(N210)+N(O210)+N(P210)=0,"Not split",IF(ROUND(N(N210)+N(O210)+N(P210),2)=ROUND(H210,2),"OK","MISMATCH")))</f>
        <v/>
      </c>
      <c r="R210" s="26" t="n"/>
      <c r="S210" s="26" t="n"/>
      <c r="T210" s="26" t="n"/>
      <c r="U210" s="27">
        <f>IF(C210="","",N(R210)+N(S210)+N(T210))</f>
        <v/>
      </c>
      <c r="V210" s="27">
        <f>IF(C210="","",H210-U210)</f>
        <v/>
      </c>
      <c r="W210" s="29">
        <f>IFERROR(V210/H210,"")</f>
        <v/>
      </c>
      <c r="X210" s="24" t="n"/>
    </row>
    <row r="211" ht="15" customHeight="1">
      <c r="A211" s="63">
        <f>IF(C211="","",IFERROR(IF(SUMPRODUCT(MAX((tbl_Finance[Job Number]=C211&amp;"")*(tbl_Finance[Xero Invoice No]&lt;&gt;"")*tbl_Finance[Date]))=0,"",SUMPRODUCT(MAX((tbl_Finance[Job Number]=C211&amp;"")*(tbl_Finance[Xero Invoice No]&lt;&gt;"")*tbl_Finance[Date]))),""))</f>
        <v/>
      </c>
      <c r="B211" s="25">
        <f>IF(C211="","",IF(COUNTIFS(tbl_Finance[Job Number],C211&amp;"",tbl_Finance[Xero Invoice No],"&lt;&gt;")=0,"",IFERROR(IF(COUNTIFS(tbl_Finance[Job Number],C211&amp;"",tbl_Finance[Xero Invoice No],LOOKUP(2,1/((tbl_Finance[Job Number]=C211&amp;"")*(tbl_Finance[Xero Invoice No]&lt;&gt;"")),tbl_Finance[Xero Invoice No]))=COUNTIFS(tbl_Finance[Job Number],C211&amp;"",tbl_Finance[Xero Invoice No],"&lt;&gt;"),LOOKUP(2,1/((tbl_Finance[Job Number]=C211&amp;"")*(tbl_Finance[Xero Invoice No]&lt;&gt;"")),tbl_Finance[Xero Invoice No]),LOOKUP(2,1/((tbl_Finance[Job Number]=C211&amp;"")*(tbl_Finance[Xero Invoice No]&lt;&gt;"")),tbl_Finance[Xero Invoice No])&amp;" +more"),"")))</f>
        <v/>
      </c>
      <c r="C211" s="24" t="n"/>
      <c r="D211" s="25">
        <f>IF(C211="","",IF(COUNTIF(lst_Jobs,C211&amp;"")&gt;0,"OK","CHECK"))</f>
        <v/>
      </c>
      <c r="E211" s="25">
        <f>IF(C211="","",IFERROR(INDEX(lst_JobName,MATCH(C211&amp;"",lst_Jobs,0)),""))</f>
        <v/>
      </c>
      <c r="F211" s="25">
        <f>IF(C211="","",IFERROR(INDEX(tbl_Finance[Client],MATCH(C211&amp;"",tbl_Finance[Job Number],0)),""))</f>
        <v/>
      </c>
      <c r="G211" s="28">
        <f>IF(C211="","",COUNTIFS(tbl_Finance[Job Number],C211&amp;"",tbl_Finance[Ex GST],"&lt;&gt;"))</f>
        <v/>
      </c>
      <c r="H211" s="27">
        <f>IF(C211="","",SUMIFS(tbl_Finance[Ex GST],tbl_Finance[Job Number],C211&amp;""))</f>
        <v/>
      </c>
      <c r="I211" s="27">
        <f>IF(C211="","",SUMIFS(tbl_Finance[Ex GST],tbl_Finance[Job Number],C211&amp;"",tbl_Finance[Xero Invoice No],"&lt;&gt;"))</f>
        <v/>
      </c>
      <c r="J211" s="27">
        <f>IF(C211="","",H211-I211)</f>
        <v/>
      </c>
      <c r="K211" s="25">
        <f>IF(C211="","",IF(G211=0,"not invoiced yet",SUBSTITUTE(TRIM(IF(COUNTIFS(tbl_Finance[Job Number],C211&amp;"",tbl_Finance[Cost Centre],"ONSITE")&gt;0,"ONSITE ","")&amp;IF(COUNTIFS(tbl_Finance[Job Number],C211&amp;"",tbl_Finance[Cost Centre],"PRODUCTION")&gt;0,"PRODUCTION ","")&amp;IF(COUNTIFS(tbl_Finance[Job Number],C211&amp;"",tbl_Finance[Cost Centre],"VIDEO")&gt;0,"VIDEO ","")&amp;IF(COUNTIFS(tbl_Finance[Job Number],C211&amp;"",tbl_Finance[Cost Centre],"INTEGRATION")&gt;0,"INTEGRATION ","")&amp;IF(COUNTIFS(tbl_Finance[Job Number],C211&amp;"",tbl_Finance[Cost Centre],"CONSULTING")&gt;0,"CONSULTING ","")&amp;IF(COUNTIFS(tbl_Finance[Job Number],C211&amp;"",tbl_Finance[Cost Centre],"CTS")&gt;0,"CTS ",""))," ",", ")))</f>
        <v/>
      </c>
      <c r="L211" s="24" t="n"/>
      <c r="M211" s="25">
        <f>IF(L211="","",HYPERLINK(IF(LEFT(L211,4)="http",L211,set_QwilrBase&amp;L211),"Open quote"))</f>
        <v/>
      </c>
      <c r="N211" s="26" t="n"/>
      <c r="O211" s="26" t="n"/>
      <c r="P211" s="26" t="n"/>
      <c r="Q211" s="25">
        <f>IF(C211="","",IF(N(N211)+N(O211)+N(P211)=0,"Not split",IF(ROUND(N(N211)+N(O211)+N(P211),2)=ROUND(H211,2),"OK","MISMATCH")))</f>
        <v/>
      </c>
      <c r="R211" s="26" t="n"/>
      <c r="S211" s="26" t="n"/>
      <c r="T211" s="26" t="n"/>
      <c r="U211" s="27">
        <f>IF(C211="","",N(R211)+N(S211)+N(T211))</f>
        <v/>
      </c>
      <c r="V211" s="27">
        <f>IF(C211="","",H211-U211)</f>
        <v/>
      </c>
      <c r="W211" s="29">
        <f>IFERROR(V211/H211,"")</f>
        <v/>
      </c>
      <c r="X211" s="24" t="n"/>
    </row>
    <row r="212" ht="15" customHeight="1">
      <c r="A212" s="63">
        <f>IF(C212="","",IFERROR(IF(SUMPRODUCT(MAX((tbl_Finance[Job Number]=C212&amp;"")*(tbl_Finance[Xero Invoice No]&lt;&gt;"")*tbl_Finance[Date]))=0,"",SUMPRODUCT(MAX((tbl_Finance[Job Number]=C212&amp;"")*(tbl_Finance[Xero Invoice No]&lt;&gt;"")*tbl_Finance[Date]))),""))</f>
        <v/>
      </c>
      <c r="B212" s="25">
        <f>IF(C212="","",IF(COUNTIFS(tbl_Finance[Job Number],C212&amp;"",tbl_Finance[Xero Invoice No],"&lt;&gt;")=0,"",IFERROR(IF(COUNTIFS(tbl_Finance[Job Number],C212&amp;"",tbl_Finance[Xero Invoice No],LOOKUP(2,1/((tbl_Finance[Job Number]=C212&amp;"")*(tbl_Finance[Xero Invoice No]&lt;&gt;"")),tbl_Finance[Xero Invoice No]))=COUNTIFS(tbl_Finance[Job Number],C212&amp;"",tbl_Finance[Xero Invoice No],"&lt;&gt;"),LOOKUP(2,1/((tbl_Finance[Job Number]=C212&amp;"")*(tbl_Finance[Xero Invoice No]&lt;&gt;"")),tbl_Finance[Xero Invoice No]),LOOKUP(2,1/((tbl_Finance[Job Number]=C212&amp;"")*(tbl_Finance[Xero Invoice No]&lt;&gt;"")),tbl_Finance[Xero Invoice No])&amp;" +more"),"")))</f>
        <v/>
      </c>
      <c r="C212" s="24" t="n"/>
      <c r="D212" s="25">
        <f>IF(C212="","",IF(COUNTIF(lst_Jobs,C212&amp;"")&gt;0,"OK","CHECK"))</f>
        <v/>
      </c>
      <c r="E212" s="25">
        <f>IF(C212="","",IFERROR(INDEX(lst_JobName,MATCH(C212&amp;"",lst_Jobs,0)),""))</f>
        <v/>
      </c>
      <c r="F212" s="25">
        <f>IF(C212="","",IFERROR(INDEX(tbl_Finance[Client],MATCH(C212&amp;"",tbl_Finance[Job Number],0)),""))</f>
        <v/>
      </c>
      <c r="G212" s="28">
        <f>IF(C212="","",COUNTIFS(tbl_Finance[Job Number],C212&amp;"",tbl_Finance[Ex GST],"&lt;&gt;"))</f>
        <v/>
      </c>
      <c r="H212" s="27">
        <f>IF(C212="","",SUMIFS(tbl_Finance[Ex GST],tbl_Finance[Job Number],C212&amp;""))</f>
        <v/>
      </c>
      <c r="I212" s="27">
        <f>IF(C212="","",SUMIFS(tbl_Finance[Ex GST],tbl_Finance[Job Number],C212&amp;"",tbl_Finance[Xero Invoice No],"&lt;&gt;"))</f>
        <v/>
      </c>
      <c r="J212" s="27">
        <f>IF(C212="","",H212-I212)</f>
        <v/>
      </c>
      <c r="K212" s="25">
        <f>IF(C212="","",IF(G212=0,"not invoiced yet",SUBSTITUTE(TRIM(IF(COUNTIFS(tbl_Finance[Job Number],C212&amp;"",tbl_Finance[Cost Centre],"ONSITE")&gt;0,"ONSITE ","")&amp;IF(COUNTIFS(tbl_Finance[Job Number],C212&amp;"",tbl_Finance[Cost Centre],"PRODUCTION")&gt;0,"PRODUCTION ","")&amp;IF(COUNTIFS(tbl_Finance[Job Number],C212&amp;"",tbl_Finance[Cost Centre],"VIDEO")&gt;0,"VIDEO ","")&amp;IF(COUNTIFS(tbl_Finance[Job Number],C212&amp;"",tbl_Finance[Cost Centre],"INTEGRATION")&gt;0,"INTEGRATION ","")&amp;IF(COUNTIFS(tbl_Finance[Job Number],C212&amp;"",tbl_Finance[Cost Centre],"CONSULTING")&gt;0,"CONSULTING ","")&amp;IF(COUNTIFS(tbl_Finance[Job Number],C212&amp;"",tbl_Finance[Cost Centre],"CTS")&gt;0,"CTS ",""))," ",", ")))</f>
        <v/>
      </c>
      <c r="L212" s="24" t="n"/>
      <c r="M212" s="25">
        <f>IF(L212="","",HYPERLINK(IF(LEFT(L212,4)="http",L212,set_QwilrBase&amp;L212),"Open quote"))</f>
        <v/>
      </c>
      <c r="N212" s="26" t="n"/>
      <c r="O212" s="26" t="n"/>
      <c r="P212" s="26" t="n"/>
      <c r="Q212" s="25">
        <f>IF(C212="","",IF(N(N212)+N(O212)+N(P212)=0,"Not split",IF(ROUND(N(N212)+N(O212)+N(P212),2)=ROUND(H212,2),"OK","MISMATCH")))</f>
        <v/>
      </c>
      <c r="R212" s="26" t="n"/>
      <c r="S212" s="26" t="n"/>
      <c r="T212" s="26" t="n"/>
      <c r="U212" s="27">
        <f>IF(C212="","",N(R212)+N(S212)+N(T212))</f>
        <v/>
      </c>
      <c r="V212" s="27">
        <f>IF(C212="","",H212-U212)</f>
        <v/>
      </c>
      <c r="W212" s="29">
        <f>IFERROR(V212/H212,"")</f>
        <v/>
      </c>
      <c r="X212" s="24" t="n"/>
    </row>
    <row r="213" ht="15" customHeight="1">
      <c r="A213" s="63">
        <f>IF(C213="","",IFERROR(IF(SUMPRODUCT(MAX((tbl_Finance[Job Number]=C213&amp;"")*(tbl_Finance[Xero Invoice No]&lt;&gt;"")*tbl_Finance[Date]))=0,"",SUMPRODUCT(MAX((tbl_Finance[Job Number]=C213&amp;"")*(tbl_Finance[Xero Invoice No]&lt;&gt;"")*tbl_Finance[Date]))),""))</f>
        <v/>
      </c>
      <c r="B213" s="25">
        <f>IF(C213="","",IF(COUNTIFS(tbl_Finance[Job Number],C213&amp;"",tbl_Finance[Xero Invoice No],"&lt;&gt;")=0,"",IFERROR(IF(COUNTIFS(tbl_Finance[Job Number],C213&amp;"",tbl_Finance[Xero Invoice No],LOOKUP(2,1/((tbl_Finance[Job Number]=C213&amp;"")*(tbl_Finance[Xero Invoice No]&lt;&gt;"")),tbl_Finance[Xero Invoice No]))=COUNTIFS(tbl_Finance[Job Number],C213&amp;"",tbl_Finance[Xero Invoice No],"&lt;&gt;"),LOOKUP(2,1/((tbl_Finance[Job Number]=C213&amp;"")*(tbl_Finance[Xero Invoice No]&lt;&gt;"")),tbl_Finance[Xero Invoice No]),LOOKUP(2,1/((tbl_Finance[Job Number]=C213&amp;"")*(tbl_Finance[Xero Invoice No]&lt;&gt;"")),tbl_Finance[Xero Invoice No])&amp;" +more"),"")))</f>
        <v/>
      </c>
      <c r="C213" s="24" t="n"/>
      <c r="D213" s="25">
        <f>IF(C213="","",IF(COUNTIF(lst_Jobs,C213&amp;"")&gt;0,"OK","CHECK"))</f>
        <v/>
      </c>
      <c r="E213" s="25">
        <f>IF(C213="","",IFERROR(INDEX(lst_JobName,MATCH(C213&amp;"",lst_Jobs,0)),""))</f>
        <v/>
      </c>
      <c r="F213" s="25">
        <f>IF(C213="","",IFERROR(INDEX(tbl_Finance[Client],MATCH(C213&amp;"",tbl_Finance[Job Number],0)),""))</f>
        <v/>
      </c>
      <c r="G213" s="28">
        <f>IF(C213="","",COUNTIFS(tbl_Finance[Job Number],C213&amp;"",tbl_Finance[Ex GST],"&lt;&gt;"))</f>
        <v/>
      </c>
      <c r="H213" s="27">
        <f>IF(C213="","",SUMIFS(tbl_Finance[Ex GST],tbl_Finance[Job Number],C213&amp;""))</f>
        <v/>
      </c>
      <c r="I213" s="27">
        <f>IF(C213="","",SUMIFS(tbl_Finance[Ex GST],tbl_Finance[Job Number],C213&amp;"",tbl_Finance[Xero Invoice No],"&lt;&gt;"))</f>
        <v/>
      </c>
      <c r="J213" s="27">
        <f>IF(C213="","",H213-I213)</f>
        <v/>
      </c>
      <c r="K213" s="25">
        <f>IF(C213="","",IF(G213=0,"not invoiced yet",SUBSTITUTE(TRIM(IF(COUNTIFS(tbl_Finance[Job Number],C213&amp;"",tbl_Finance[Cost Centre],"ONSITE")&gt;0,"ONSITE ","")&amp;IF(COUNTIFS(tbl_Finance[Job Number],C213&amp;"",tbl_Finance[Cost Centre],"PRODUCTION")&gt;0,"PRODUCTION ","")&amp;IF(COUNTIFS(tbl_Finance[Job Number],C213&amp;"",tbl_Finance[Cost Centre],"VIDEO")&gt;0,"VIDEO ","")&amp;IF(COUNTIFS(tbl_Finance[Job Number],C213&amp;"",tbl_Finance[Cost Centre],"INTEGRATION")&gt;0,"INTEGRATION ","")&amp;IF(COUNTIFS(tbl_Finance[Job Number],C213&amp;"",tbl_Finance[Cost Centre],"CONSULTING")&gt;0,"CONSULTING ","")&amp;IF(COUNTIFS(tbl_Finance[Job Number],C213&amp;"",tbl_Finance[Cost Centre],"CTS")&gt;0,"CTS ",""))," ",", ")))</f>
        <v/>
      </c>
      <c r="L213" s="24" t="n"/>
      <c r="M213" s="25">
        <f>IF(L213="","",HYPERLINK(IF(LEFT(L213,4)="http",L213,set_QwilrBase&amp;L213),"Open quote"))</f>
        <v/>
      </c>
      <c r="N213" s="26" t="n"/>
      <c r="O213" s="26" t="n"/>
      <c r="P213" s="26" t="n"/>
      <c r="Q213" s="25">
        <f>IF(C213="","",IF(N(N213)+N(O213)+N(P213)=0,"Not split",IF(ROUND(N(N213)+N(O213)+N(P213),2)=ROUND(H213,2),"OK","MISMATCH")))</f>
        <v/>
      </c>
      <c r="R213" s="26" t="n"/>
      <c r="S213" s="26" t="n"/>
      <c r="T213" s="26" t="n"/>
      <c r="U213" s="27">
        <f>IF(C213="","",N(R213)+N(S213)+N(T213))</f>
        <v/>
      </c>
      <c r="V213" s="27">
        <f>IF(C213="","",H213-U213)</f>
        <v/>
      </c>
      <c r="W213" s="29">
        <f>IFERROR(V213/H213,"")</f>
        <v/>
      </c>
      <c r="X213" s="24" t="n"/>
    </row>
    <row r="214" ht="15" customHeight="1">
      <c r="A214" s="63">
        <f>IF(C214="","",IFERROR(IF(SUMPRODUCT(MAX((tbl_Finance[Job Number]=C214&amp;"")*(tbl_Finance[Xero Invoice No]&lt;&gt;"")*tbl_Finance[Date]))=0,"",SUMPRODUCT(MAX((tbl_Finance[Job Number]=C214&amp;"")*(tbl_Finance[Xero Invoice No]&lt;&gt;"")*tbl_Finance[Date]))),""))</f>
        <v/>
      </c>
      <c r="B214" s="25">
        <f>IF(C214="","",IF(COUNTIFS(tbl_Finance[Job Number],C214&amp;"",tbl_Finance[Xero Invoice No],"&lt;&gt;")=0,"",IFERROR(IF(COUNTIFS(tbl_Finance[Job Number],C214&amp;"",tbl_Finance[Xero Invoice No],LOOKUP(2,1/((tbl_Finance[Job Number]=C214&amp;"")*(tbl_Finance[Xero Invoice No]&lt;&gt;"")),tbl_Finance[Xero Invoice No]))=COUNTIFS(tbl_Finance[Job Number],C214&amp;"",tbl_Finance[Xero Invoice No],"&lt;&gt;"),LOOKUP(2,1/((tbl_Finance[Job Number]=C214&amp;"")*(tbl_Finance[Xero Invoice No]&lt;&gt;"")),tbl_Finance[Xero Invoice No]),LOOKUP(2,1/((tbl_Finance[Job Number]=C214&amp;"")*(tbl_Finance[Xero Invoice No]&lt;&gt;"")),tbl_Finance[Xero Invoice No])&amp;" +more"),"")))</f>
        <v/>
      </c>
      <c r="C214" s="24" t="n"/>
      <c r="D214" s="25">
        <f>IF(C214="","",IF(COUNTIF(lst_Jobs,C214&amp;"")&gt;0,"OK","CHECK"))</f>
        <v/>
      </c>
      <c r="E214" s="25">
        <f>IF(C214="","",IFERROR(INDEX(lst_JobName,MATCH(C214&amp;"",lst_Jobs,0)),""))</f>
        <v/>
      </c>
      <c r="F214" s="25">
        <f>IF(C214="","",IFERROR(INDEX(tbl_Finance[Client],MATCH(C214&amp;"",tbl_Finance[Job Number],0)),""))</f>
        <v/>
      </c>
      <c r="G214" s="28">
        <f>IF(C214="","",COUNTIFS(tbl_Finance[Job Number],C214&amp;"",tbl_Finance[Ex GST],"&lt;&gt;"))</f>
        <v/>
      </c>
      <c r="H214" s="27">
        <f>IF(C214="","",SUMIFS(tbl_Finance[Ex GST],tbl_Finance[Job Number],C214&amp;""))</f>
        <v/>
      </c>
      <c r="I214" s="27">
        <f>IF(C214="","",SUMIFS(tbl_Finance[Ex GST],tbl_Finance[Job Number],C214&amp;"",tbl_Finance[Xero Invoice No],"&lt;&gt;"))</f>
        <v/>
      </c>
      <c r="J214" s="27">
        <f>IF(C214="","",H214-I214)</f>
        <v/>
      </c>
      <c r="K214" s="25">
        <f>IF(C214="","",IF(G214=0,"not invoiced yet",SUBSTITUTE(TRIM(IF(COUNTIFS(tbl_Finance[Job Number],C214&amp;"",tbl_Finance[Cost Centre],"ONSITE")&gt;0,"ONSITE ","")&amp;IF(COUNTIFS(tbl_Finance[Job Number],C214&amp;"",tbl_Finance[Cost Centre],"PRODUCTION")&gt;0,"PRODUCTION ","")&amp;IF(COUNTIFS(tbl_Finance[Job Number],C214&amp;"",tbl_Finance[Cost Centre],"VIDEO")&gt;0,"VIDEO ","")&amp;IF(COUNTIFS(tbl_Finance[Job Number],C214&amp;"",tbl_Finance[Cost Centre],"INTEGRATION")&gt;0,"INTEGRATION ","")&amp;IF(COUNTIFS(tbl_Finance[Job Number],C214&amp;"",tbl_Finance[Cost Centre],"CONSULTING")&gt;0,"CONSULTING ","")&amp;IF(COUNTIFS(tbl_Finance[Job Number],C214&amp;"",tbl_Finance[Cost Centre],"CTS")&gt;0,"CTS ",""))," ",", ")))</f>
        <v/>
      </c>
      <c r="L214" s="24" t="n"/>
      <c r="M214" s="25">
        <f>IF(L214="","",HYPERLINK(IF(LEFT(L214,4)="http",L214,set_QwilrBase&amp;L214),"Open quote"))</f>
        <v/>
      </c>
      <c r="N214" s="26" t="n"/>
      <c r="O214" s="26" t="n"/>
      <c r="P214" s="26" t="n"/>
      <c r="Q214" s="25">
        <f>IF(C214="","",IF(N(N214)+N(O214)+N(P214)=0,"Not split",IF(ROUND(N(N214)+N(O214)+N(P214),2)=ROUND(H214,2),"OK","MISMATCH")))</f>
        <v/>
      </c>
      <c r="R214" s="26" t="n"/>
      <c r="S214" s="26" t="n"/>
      <c r="T214" s="26" t="n"/>
      <c r="U214" s="27">
        <f>IF(C214="","",N(R214)+N(S214)+N(T214))</f>
        <v/>
      </c>
      <c r="V214" s="27">
        <f>IF(C214="","",H214-U214)</f>
        <v/>
      </c>
      <c r="W214" s="29">
        <f>IFERROR(V214/H214,"")</f>
        <v/>
      </c>
      <c r="X214" s="24" t="n"/>
    </row>
    <row r="215" ht="15" customHeight="1">
      <c r="A215" s="63">
        <f>IF(C215="","",IFERROR(IF(SUMPRODUCT(MAX((tbl_Finance[Job Number]=C215&amp;"")*(tbl_Finance[Xero Invoice No]&lt;&gt;"")*tbl_Finance[Date]))=0,"",SUMPRODUCT(MAX((tbl_Finance[Job Number]=C215&amp;"")*(tbl_Finance[Xero Invoice No]&lt;&gt;"")*tbl_Finance[Date]))),""))</f>
        <v/>
      </c>
      <c r="B215" s="25">
        <f>IF(C215="","",IF(COUNTIFS(tbl_Finance[Job Number],C215&amp;"",tbl_Finance[Xero Invoice No],"&lt;&gt;")=0,"",IFERROR(IF(COUNTIFS(tbl_Finance[Job Number],C215&amp;"",tbl_Finance[Xero Invoice No],LOOKUP(2,1/((tbl_Finance[Job Number]=C215&amp;"")*(tbl_Finance[Xero Invoice No]&lt;&gt;"")),tbl_Finance[Xero Invoice No]))=COUNTIFS(tbl_Finance[Job Number],C215&amp;"",tbl_Finance[Xero Invoice No],"&lt;&gt;"),LOOKUP(2,1/((tbl_Finance[Job Number]=C215&amp;"")*(tbl_Finance[Xero Invoice No]&lt;&gt;"")),tbl_Finance[Xero Invoice No]),LOOKUP(2,1/((tbl_Finance[Job Number]=C215&amp;"")*(tbl_Finance[Xero Invoice No]&lt;&gt;"")),tbl_Finance[Xero Invoice No])&amp;" +more"),"")))</f>
        <v/>
      </c>
      <c r="C215" s="24" t="n"/>
      <c r="D215" s="25">
        <f>IF(C215="","",IF(COUNTIF(lst_Jobs,C215&amp;"")&gt;0,"OK","CHECK"))</f>
        <v/>
      </c>
      <c r="E215" s="25">
        <f>IF(C215="","",IFERROR(INDEX(lst_JobName,MATCH(C215&amp;"",lst_Jobs,0)),""))</f>
        <v/>
      </c>
      <c r="F215" s="25">
        <f>IF(C215="","",IFERROR(INDEX(tbl_Finance[Client],MATCH(C215&amp;"",tbl_Finance[Job Number],0)),""))</f>
        <v/>
      </c>
      <c r="G215" s="28">
        <f>IF(C215="","",COUNTIFS(tbl_Finance[Job Number],C215&amp;"",tbl_Finance[Ex GST],"&lt;&gt;"))</f>
        <v/>
      </c>
      <c r="H215" s="27">
        <f>IF(C215="","",SUMIFS(tbl_Finance[Ex GST],tbl_Finance[Job Number],C215&amp;""))</f>
        <v/>
      </c>
      <c r="I215" s="27">
        <f>IF(C215="","",SUMIFS(tbl_Finance[Ex GST],tbl_Finance[Job Number],C215&amp;"",tbl_Finance[Xero Invoice No],"&lt;&gt;"))</f>
        <v/>
      </c>
      <c r="J215" s="27">
        <f>IF(C215="","",H215-I215)</f>
        <v/>
      </c>
      <c r="K215" s="25">
        <f>IF(C215="","",IF(G215=0,"not invoiced yet",SUBSTITUTE(TRIM(IF(COUNTIFS(tbl_Finance[Job Number],C215&amp;"",tbl_Finance[Cost Centre],"ONSITE")&gt;0,"ONSITE ","")&amp;IF(COUNTIFS(tbl_Finance[Job Number],C215&amp;"",tbl_Finance[Cost Centre],"PRODUCTION")&gt;0,"PRODUCTION ","")&amp;IF(COUNTIFS(tbl_Finance[Job Number],C215&amp;"",tbl_Finance[Cost Centre],"VIDEO")&gt;0,"VIDEO ","")&amp;IF(COUNTIFS(tbl_Finance[Job Number],C215&amp;"",tbl_Finance[Cost Centre],"INTEGRATION")&gt;0,"INTEGRATION ","")&amp;IF(COUNTIFS(tbl_Finance[Job Number],C215&amp;"",tbl_Finance[Cost Centre],"CONSULTING")&gt;0,"CONSULTING ","")&amp;IF(COUNTIFS(tbl_Finance[Job Number],C215&amp;"",tbl_Finance[Cost Centre],"CTS")&gt;0,"CTS ",""))," ",", ")))</f>
        <v/>
      </c>
      <c r="L215" s="24" t="n"/>
      <c r="M215" s="25">
        <f>IF(L215="","",HYPERLINK(IF(LEFT(L215,4)="http",L215,set_QwilrBase&amp;L215),"Open quote"))</f>
        <v/>
      </c>
      <c r="N215" s="26" t="n"/>
      <c r="O215" s="26" t="n"/>
      <c r="P215" s="26" t="n"/>
      <c r="Q215" s="25">
        <f>IF(C215="","",IF(N(N215)+N(O215)+N(P215)=0,"Not split",IF(ROUND(N(N215)+N(O215)+N(P215),2)=ROUND(H215,2),"OK","MISMATCH")))</f>
        <v/>
      </c>
      <c r="R215" s="26" t="n"/>
      <c r="S215" s="26" t="n"/>
      <c r="T215" s="26" t="n"/>
      <c r="U215" s="27">
        <f>IF(C215="","",N(R215)+N(S215)+N(T215))</f>
        <v/>
      </c>
      <c r="V215" s="27">
        <f>IF(C215="","",H215-U215)</f>
        <v/>
      </c>
      <c r="W215" s="29">
        <f>IFERROR(V215/H215,"")</f>
        <v/>
      </c>
      <c r="X215" s="24" t="n"/>
    </row>
    <row r="216" ht="15" customHeight="1">
      <c r="A216" s="63">
        <f>IF(C216="","",IFERROR(IF(SUMPRODUCT(MAX((tbl_Finance[Job Number]=C216&amp;"")*(tbl_Finance[Xero Invoice No]&lt;&gt;"")*tbl_Finance[Date]))=0,"",SUMPRODUCT(MAX((tbl_Finance[Job Number]=C216&amp;"")*(tbl_Finance[Xero Invoice No]&lt;&gt;"")*tbl_Finance[Date]))),""))</f>
        <v/>
      </c>
      <c r="B216" s="25">
        <f>IF(C216="","",IF(COUNTIFS(tbl_Finance[Job Number],C216&amp;"",tbl_Finance[Xero Invoice No],"&lt;&gt;")=0,"",IFERROR(IF(COUNTIFS(tbl_Finance[Job Number],C216&amp;"",tbl_Finance[Xero Invoice No],LOOKUP(2,1/((tbl_Finance[Job Number]=C216&amp;"")*(tbl_Finance[Xero Invoice No]&lt;&gt;"")),tbl_Finance[Xero Invoice No]))=COUNTIFS(tbl_Finance[Job Number],C216&amp;"",tbl_Finance[Xero Invoice No],"&lt;&gt;"),LOOKUP(2,1/((tbl_Finance[Job Number]=C216&amp;"")*(tbl_Finance[Xero Invoice No]&lt;&gt;"")),tbl_Finance[Xero Invoice No]),LOOKUP(2,1/((tbl_Finance[Job Number]=C216&amp;"")*(tbl_Finance[Xero Invoice No]&lt;&gt;"")),tbl_Finance[Xero Invoice No])&amp;" +more"),"")))</f>
        <v/>
      </c>
      <c r="C216" s="24" t="n"/>
      <c r="D216" s="25">
        <f>IF(C216="","",IF(COUNTIF(lst_Jobs,C216&amp;"")&gt;0,"OK","CHECK"))</f>
        <v/>
      </c>
      <c r="E216" s="25">
        <f>IF(C216="","",IFERROR(INDEX(lst_JobName,MATCH(C216&amp;"",lst_Jobs,0)),""))</f>
        <v/>
      </c>
      <c r="F216" s="25">
        <f>IF(C216="","",IFERROR(INDEX(tbl_Finance[Client],MATCH(C216&amp;"",tbl_Finance[Job Number],0)),""))</f>
        <v/>
      </c>
      <c r="G216" s="28">
        <f>IF(C216="","",COUNTIFS(tbl_Finance[Job Number],C216&amp;"",tbl_Finance[Ex GST],"&lt;&gt;"))</f>
        <v/>
      </c>
      <c r="H216" s="27">
        <f>IF(C216="","",SUMIFS(tbl_Finance[Ex GST],tbl_Finance[Job Number],C216&amp;""))</f>
        <v/>
      </c>
      <c r="I216" s="27">
        <f>IF(C216="","",SUMIFS(tbl_Finance[Ex GST],tbl_Finance[Job Number],C216&amp;"",tbl_Finance[Xero Invoice No],"&lt;&gt;"))</f>
        <v/>
      </c>
      <c r="J216" s="27">
        <f>IF(C216="","",H216-I216)</f>
        <v/>
      </c>
      <c r="K216" s="25">
        <f>IF(C216="","",IF(G216=0,"not invoiced yet",SUBSTITUTE(TRIM(IF(COUNTIFS(tbl_Finance[Job Number],C216&amp;"",tbl_Finance[Cost Centre],"ONSITE")&gt;0,"ONSITE ","")&amp;IF(COUNTIFS(tbl_Finance[Job Number],C216&amp;"",tbl_Finance[Cost Centre],"PRODUCTION")&gt;0,"PRODUCTION ","")&amp;IF(COUNTIFS(tbl_Finance[Job Number],C216&amp;"",tbl_Finance[Cost Centre],"VIDEO")&gt;0,"VIDEO ","")&amp;IF(COUNTIFS(tbl_Finance[Job Number],C216&amp;"",tbl_Finance[Cost Centre],"INTEGRATION")&gt;0,"INTEGRATION ","")&amp;IF(COUNTIFS(tbl_Finance[Job Number],C216&amp;"",tbl_Finance[Cost Centre],"CONSULTING")&gt;0,"CONSULTING ","")&amp;IF(COUNTIFS(tbl_Finance[Job Number],C216&amp;"",tbl_Finance[Cost Centre],"CTS")&gt;0,"CTS ",""))," ",", ")))</f>
        <v/>
      </c>
      <c r="L216" s="24" t="n"/>
      <c r="M216" s="25">
        <f>IF(L216="","",HYPERLINK(IF(LEFT(L216,4)="http",L216,set_QwilrBase&amp;L216),"Open quote"))</f>
        <v/>
      </c>
      <c r="N216" s="26" t="n"/>
      <c r="O216" s="26" t="n"/>
      <c r="P216" s="26" t="n"/>
      <c r="Q216" s="25">
        <f>IF(C216="","",IF(N(N216)+N(O216)+N(P216)=0,"Not split",IF(ROUND(N(N216)+N(O216)+N(P216),2)=ROUND(H216,2),"OK","MISMATCH")))</f>
        <v/>
      </c>
      <c r="R216" s="26" t="n"/>
      <c r="S216" s="26" t="n"/>
      <c r="T216" s="26" t="n"/>
      <c r="U216" s="27">
        <f>IF(C216="","",N(R216)+N(S216)+N(T216))</f>
        <v/>
      </c>
      <c r="V216" s="27">
        <f>IF(C216="","",H216-U216)</f>
        <v/>
      </c>
      <c r="W216" s="29">
        <f>IFERROR(V216/H216,"")</f>
        <v/>
      </c>
      <c r="X216" s="24" t="n"/>
    </row>
    <row r="217" ht="15" customHeight="1">
      <c r="A217" s="63">
        <f>IF(C217="","",IFERROR(IF(SUMPRODUCT(MAX((tbl_Finance[Job Number]=C217&amp;"")*(tbl_Finance[Xero Invoice No]&lt;&gt;"")*tbl_Finance[Date]))=0,"",SUMPRODUCT(MAX((tbl_Finance[Job Number]=C217&amp;"")*(tbl_Finance[Xero Invoice No]&lt;&gt;"")*tbl_Finance[Date]))),""))</f>
        <v/>
      </c>
      <c r="B217" s="25">
        <f>IF(C217="","",IF(COUNTIFS(tbl_Finance[Job Number],C217&amp;"",tbl_Finance[Xero Invoice No],"&lt;&gt;")=0,"",IFERROR(IF(COUNTIFS(tbl_Finance[Job Number],C217&amp;"",tbl_Finance[Xero Invoice No],LOOKUP(2,1/((tbl_Finance[Job Number]=C217&amp;"")*(tbl_Finance[Xero Invoice No]&lt;&gt;"")),tbl_Finance[Xero Invoice No]))=COUNTIFS(tbl_Finance[Job Number],C217&amp;"",tbl_Finance[Xero Invoice No],"&lt;&gt;"),LOOKUP(2,1/((tbl_Finance[Job Number]=C217&amp;"")*(tbl_Finance[Xero Invoice No]&lt;&gt;"")),tbl_Finance[Xero Invoice No]),LOOKUP(2,1/((tbl_Finance[Job Number]=C217&amp;"")*(tbl_Finance[Xero Invoice No]&lt;&gt;"")),tbl_Finance[Xero Invoice No])&amp;" +more"),"")))</f>
        <v/>
      </c>
      <c r="C217" s="24" t="n"/>
      <c r="D217" s="25">
        <f>IF(C217="","",IF(COUNTIF(lst_Jobs,C217&amp;"")&gt;0,"OK","CHECK"))</f>
        <v/>
      </c>
      <c r="E217" s="25">
        <f>IF(C217="","",IFERROR(INDEX(lst_JobName,MATCH(C217&amp;"",lst_Jobs,0)),""))</f>
        <v/>
      </c>
      <c r="F217" s="25">
        <f>IF(C217="","",IFERROR(INDEX(tbl_Finance[Client],MATCH(C217&amp;"",tbl_Finance[Job Number],0)),""))</f>
        <v/>
      </c>
      <c r="G217" s="28">
        <f>IF(C217="","",COUNTIFS(tbl_Finance[Job Number],C217&amp;"",tbl_Finance[Ex GST],"&lt;&gt;"))</f>
        <v/>
      </c>
      <c r="H217" s="27">
        <f>IF(C217="","",SUMIFS(tbl_Finance[Ex GST],tbl_Finance[Job Number],C217&amp;""))</f>
        <v/>
      </c>
      <c r="I217" s="27">
        <f>IF(C217="","",SUMIFS(tbl_Finance[Ex GST],tbl_Finance[Job Number],C217&amp;"",tbl_Finance[Xero Invoice No],"&lt;&gt;"))</f>
        <v/>
      </c>
      <c r="J217" s="27">
        <f>IF(C217="","",H217-I217)</f>
        <v/>
      </c>
      <c r="K217" s="25">
        <f>IF(C217="","",IF(G217=0,"not invoiced yet",SUBSTITUTE(TRIM(IF(COUNTIFS(tbl_Finance[Job Number],C217&amp;"",tbl_Finance[Cost Centre],"ONSITE")&gt;0,"ONSITE ","")&amp;IF(COUNTIFS(tbl_Finance[Job Number],C217&amp;"",tbl_Finance[Cost Centre],"PRODUCTION")&gt;0,"PRODUCTION ","")&amp;IF(COUNTIFS(tbl_Finance[Job Number],C217&amp;"",tbl_Finance[Cost Centre],"VIDEO")&gt;0,"VIDEO ","")&amp;IF(COUNTIFS(tbl_Finance[Job Number],C217&amp;"",tbl_Finance[Cost Centre],"INTEGRATION")&gt;0,"INTEGRATION ","")&amp;IF(COUNTIFS(tbl_Finance[Job Number],C217&amp;"",tbl_Finance[Cost Centre],"CONSULTING")&gt;0,"CONSULTING ","")&amp;IF(COUNTIFS(tbl_Finance[Job Number],C217&amp;"",tbl_Finance[Cost Centre],"CTS")&gt;0,"CTS ",""))," ",", ")))</f>
        <v/>
      </c>
      <c r="L217" s="24" t="n"/>
      <c r="M217" s="25">
        <f>IF(L217="","",HYPERLINK(IF(LEFT(L217,4)="http",L217,set_QwilrBase&amp;L217),"Open quote"))</f>
        <v/>
      </c>
      <c r="N217" s="26" t="n"/>
      <c r="O217" s="26" t="n"/>
      <c r="P217" s="26" t="n"/>
      <c r="Q217" s="25">
        <f>IF(C217="","",IF(N(N217)+N(O217)+N(P217)=0,"Not split",IF(ROUND(N(N217)+N(O217)+N(P217),2)=ROUND(H217,2),"OK","MISMATCH")))</f>
        <v/>
      </c>
      <c r="R217" s="26" t="n"/>
      <c r="S217" s="26" t="n"/>
      <c r="T217" s="26" t="n"/>
      <c r="U217" s="27">
        <f>IF(C217="","",N(R217)+N(S217)+N(T217))</f>
        <v/>
      </c>
      <c r="V217" s="27">
        <f>IF(C217="","",H217-U217)</f>
        <v/>
      </c>
      <c r="W217" s="29">
        <f>IFERROR(V217/H217,"")</f>
        <v/>
      </c>
      <c r="X217" s="24" t="n"/>
    </row>
    <row r="218" ht="15" customHeight="1">
      <c r="A218" s="63">
        <f>IF(C218="","",IFERROR(IF(SUMPRODUCT(MAX((tbl_Finance[Job Number]=C218&amp;"")*(tbl_Finance[Xero Invoice No]&lt;&gt;"")*tbl_Finance[Date]))=0,"",SUMPRODUCT(MAX((tbl_Finance[Job Number]=C218&amp;"")*(tbl_Finance[Xero Invoice No]&lt;&gt;"")*tbl_Finance[Date]))),""))</f>
        <v/>
      </c>
      <c r="B218" s="25">
        <f>IF(C218="","",IF(COUNTIFS(tbl_Finance[Job Number],C218&amp;"",tbl_Finance[Xero Invoice No],"&lt;&gt;")=0,"",IFERROR(IF(COUNTIFS(tbl_Finance[Job Number],C218&amp;"",tbl_Finance[Xero Invoice No],LOOKUP(2,1/((tbl_Finance[Job Number]=C218&amp;"")*(tbl_Finance[Xero Invoice No]&lt;&gt;"")),tbl_Finance[Xero Invoice No]))=COUNTIFS(tbl_Finance[Job Number],C218&amp;"",tbl_Finance[Xero Invoice No],"&lt;&gt;"),LOOKUP(2,1/((tbl_Finance[Job Number]=C218&amp;"")*(tbl_Finance[Xero Invoice No]&lt;&gt;"")),tbl_Finance[Xero Invoice No]),LOOKUP(2,1/((tbl_Finance[Job Number]=C218&amp;"")*(tbl_Finance[Xero Invoice No]&lt;&gt;"")),tbl_Finance[Xero Invoice No])&amp;" +more"),"")))</f>
        <v/>
      </c>
      <c r="C218" s="24" t="n"/>
      <c r="D218" s="25">
        <f>IF(C218="","",IF(COUNTIF(lst_Jobs,C218&amp;"")&gt;0,"OK","CHECK"))</f>
        <v/>
      </c>
      <c r="E218" s="25">
        <f>IF(C218="","",IFERROR(INDEX(lst_JobName,MATCH(C218&amp;"",lst_Jobs,0)),""))</f>
        <v/>
      </c>
      <c r="F218" s="25">
        <f>IF(C218="","",IFERROR(INDEX(tbl_Finance[Client],MATCH(C218&amp;"",tbl_Finance[Job Number],0)),""))</f>
        <v/>
      </c>
      <c r="G218" s="28">
        <f>IF(C218="","",COUNTIFS(tbl_Finance[Job Number],C218&amp;"",tbl_Finance[Ex GST],"&lt;&gt;"))</f>
        <v/>
      </c>
      <c r="H218" s="27">
        <f>IF(C218="","",SUMIFS(tbl_Finance[Ex GST],tbl_Finance[Job Number],C218&amp;""))</f>
        <v/>
      </c>
      <c r="I218" s="27">
        <f>IF(C218="","",SUMIFS(tbl_Finance[Ex GST],tbl_Finance[Job Number],C218&amp;"",tbl_Finance[Xero Invoice No],"&lt;&gt;"))</f>
        <v/>
      </c>
      <c r="J218" s="27">
        <f>IF(C218="","",H218-I218)</f>
        <v/>
      </c>
      <c r="K218" s="25">
        <f>IF(C218="","",IF(G218=0,"not invoiced yet",SUBSTITUTE(TRIM(IF(COUNTIFS(tbl_Finance[Job Number],C218&amp;"",tbl_Finance[Cost Centre],"ONSITE")&gt;0,"ONSITE ","")&amp;IF(COUNTIFS(tbl_Finance[Job Number],C218&amp;"",tbl_Finance[Cost Centre],"PRODUCTION")&gt;0,"PRODUCTION ","")&amp;IF(COUNTIFS(tbl_Finance[Job Number],C218&amp;"",tbl_Finance[Cost Centre],"VIDEO")&gt;0,"VIDEO ","")&amp;IF(COUNTIFS(tbl_Finance[Job Number],C218&amp;"",tbl_Finance[Cost Centre],"INTEGRATION")&gt;0,"INTEGRATION ","")&amp;IF(COUNTIFS(tbl_Finance[Job Number],C218&amp;"",tbl_Finance[Cost Centre],"CONSULTING")&gt;0,"CONSULTING ","")&amp;IF(COUNTIFS(tbl_Finance[Job Number],C218&amp;"",tbl_Finance[Cost Centre],"CTS")&gt;0,"CTS ",""))," ",", ")))</f>
        <v/>
      </c>
      <c r="L218" s="24" t="n"/>
      <c r="M218" s="25">
        <f>IF(L218="","",HYPERLINK(IF(LEFT(L218,4)="http",L218,set_QwilrBase&amp;L218),"Open quote"))</f>
        <v/>
      </c>
      <c r="N218" s="26" t="n"/>
      <c r="O218" s="26" t="n"/>
      <c r="P218" s="26" t="n"/>
      <c r="Q218" s="25">
        <f>IF(C218="","",IF(N(N218)+N(O218)+N(P218)=0,"Not split",IF(ROUND(N(N218)+N(O218)+N(P218),2)=ROUND(H218,2),"OK","MISMATCH")))</f>
        <v/>
      </c>
      <c r="R218" s="26" t="n"/>
      <c r="S218" s="26" t="n"/>
      <c r="T218" s="26" t="n"/>
      <c r="U218" s="27">
        <f>IF(C218="","",N(R218)+N(S218)+N(T218))</f>
        <v/>
      </c>
      <c r="V218" s="27">
        <f>IF(C218="","",H218-U218)</f>
        <v/>
      </c>
      <c r="W218" s="29">
        <f>IFERROR(V218/H218,"")</f>
        <v/>
      </c>
      <c r="X218" s="24" t="n"/>
    </row>
    <row r="219" ht="15" customHeight="1">
      <c r="A219" s="63">
        <f>IF(C219="","",IFERROR(IF(SUMPRODUCT(MAX((tbl_Finance[Job Number]=C219&amp;"")*(tbl_Finance[Xero Invoice No]&lt;&gt;"")*tbl_Finance[Date]))=0,"",SUMPRODUCT(MAX((tbl_Finance[Job Number]=C219&amp;"")*(tbl_Finance[Xero Invoice No]&lt;&gt;"")*tbl_Finance[Date]))),""))</f>
        <v/>
      </c>
      <c r="B219" s="25">
        <f>IF(C219="","",IF(COUNTIFS(tbl_Finance[Job Number],C219&amp;"",tbl_Finance[Xero Invoice No],"&lt;&gt;")=0,"",IFERROR(IF(COUNTIFS(tbl_Finance[Job Number],C219&amp;"",tbl_Finance[Xero Invoice No],LOOKUP(2,1/((tbl_Finance[Job Number]=C219&amp;"")*(tbl_Finance[Xero Invoice No]&lt;&gt;"")),tbl_Finance[Xero Invoice No]))=COUNTIFS(tbl_Finance[Job Number],C219&amp;"",tbl_Finance[Xero Invoice No],"&lt;&gt;"),LOOKUP(2,1/((tbl_Finance[Job Number]=C219&amp;"")*(tbl_Finance[Xero Invoice No]&lt;&gt;"")),tbl_Finance[Xero Invoice No]),LOOKUP(2,1/((tbl_Finance[Job Number]=C219&amp;"")*(tbl_Finance[Xero Invoice No]&lt;&gt;"")),tbl_Finance[Xero Invoice No])&amp;" +more"),"")))</f>
        <v/>
      </c>
      <c r="C219" s="24" t="n"/>
      <c r="D219" s="25">
        <f>IF(C219="","",IF(COUNTIF(lst_Jobs,C219&amp;"")&gt;0,"OK","CHECK"))</f>
        <v/>
      </c>
      <c r="E219" s="25">
        <f>IF(C219="","",IFERROR(INDEX(lst_JobName,MATCH(C219&amp;"",lst_Jobs,0)),""))</f>
        <v/>
      </c>
      <c r="F219" s="25">
        <f>IF(C219="","",IFERROR(INDEX(tbl_Finance[Client],MATCH(C219&amp;"",tbl_Finance[Job Number],0)),""))</f>
        <v/>
      </c>
      <c r="G219" s="28">
        <f>IF(C219="","",COUNTIFS(tbl_Finance[Job Number],C219&amp;"",tbl_Finance[Ex GST],"&lt;&gt;"))</f>
        <v/>
      </c>
      <c r="H219" s="27">
        <f>IF(C219="","",SUMIFS(tbl_Finance[Ex GST],tbl_Finance[Job Number],C219&amp;""))</f>
        <v/>
      </c>
      <c r="I219" s="27">
        <f>IF(C219="","",SUMIFS(tbl_Finance[Ex GST],tbl_Finance[Job Number],C219&amp;"",tbl_Finance[Xero Invoice No],"&lt;&gt;"))</f>
        <v/>
      </c>
      <c r="J219" s="27">
        <f>IF(C219="","",H219-I219)</f>
        <v/>
      </c>
      <c r="K219" s="25">
        <f>IF(C219="","",IF(G219=0,"not invoiced yet",SUBSTITUTE(TRIM(IF(COUNTIFS(tbl_Finance[Job Number],C219&amp;"",tbl_Finance[Cost Centre],"ONSITE")&gt;0,"ONSITE ","")&amp;IF(COUNTIFS(tbl_Finance[Job Number],C219&amp;"",tbl_Finance[Cost Centre],"PRODUCTION")&gt;0,"PRODUCTION ","")&amp;IF(COUNTIFS(tbl_Finance[Job Number],C219&amp;"",tbl_Finance[Cost Centre],"VIDEO")&gt;0,"VIDEO ","")&amp;IF(COUNTIFS(tbl_Finance[Job Number],C219&amp;"",tbl_Finance[Cost Centre],"INTEGRATION")&gt;0,"INTEGRATION ","")&amp;IF(COUNTIFS(tbl_Finance[Job Number],C219&amp;"",tbl_Finance[Cost Centre],"CONSULTING")&gt;0,"CONSULTING ","")&amp;IF(COUNTIFS(tbl_Finance[Job Number],C219&amp;"",tbl_Finance[Cost Centre],"CTS")&gt;0,"CTS ",""))," ",", ")))</f>
        <v/>
      </c>
      <c r="L219" s="24" t="n"/>
      <c r="M219" s="25">
        <f>IF(L219="","",HYPERLINK(IF(LEFT(L219,4)="http",L219,set_QwilrBase&amp;L219),"Open quote"))</f>
        <v/>
      </c>
      <c r="N219" s="26" t="n"/>
      <c r="O219" s="26" t="n"/>
      <c r="P219" s="26" t="n"/>
      <c r="Q219" s="25">
        <f>IF(C219="","",IF(N(N219)+N(O219)+N(P219)=0,"Not split",IF(ROUND(N(N219)+N(O219)+N(P219),2)=ROUND(H219,2),"OK","MISMATCH")))</f>
        <v/>
      </c>
      <c r="R219" s="26" t="n"/>
      <c r="S219" s="26" t="n"/>
      <c r="T219" s="26" t="n"/>
      <c r="U219" s="27">
        <f>IF(C219="","",N(R219)+N(S219)+N(T219))</f>
        <v/>
      </c>
      <c r="V219" s="27">
        <f>IF(C219="","",H219-U219)</f>
        <v/>
      </c>
      <c r="W219" s="29">
        <f>IFERROR(V219/H219,"")</f>
        <v/>
      </c>
      <c r="X219" s="24" t="n"/>
    </row>
    <row r="220" ht="15" customHeight="1">
      <c r="A220" s="63">
        <f>IF(C220="","",IFERROR(IF(SUMPRODUCT(MAX((tbl_Finance[Job Number]=C220&amp;"")*(tbl_Finance[Xero Invoice No]&lt;&gt;"")*tbl_Finance[Date]))=0,"",SUMPRODUCT(MAX((tbl_Finance[Job Number]=C220&amp;"")*(tbl_Finance[Xero Invoice No]&lt;&gt;"")*tbl_Finance[Date]))),""))</f>
        <v/>
      </c>
      <c r="B220" s="25">
        <f>IF(C220="","",IF(COUNTIFS(tbl_Finance[Job Number],C220&amp;"",tbl_Finance[Xero Invoice No],"&lt;&gt;")=0,"",IFERROR(IF(COUNTIFS(tbl_Finance[Job Number],C220&amp;"",tbl_Finance[Xero Invoice No],LOOKUP(2,1/((tbl_Finance[Job Number]=C220&amp;"")*(tbl_Finance[Xero Invoice No]&lt;&gt;"")),tbl_Finance[Xero Invoice No]))=COUNTIFS(tbl_Finance[Job Number],C220&amp;"",tbl_Finance[Xero Invoice No],"&lt;&gt;"),LOOKUP(2,1/((tbl_Finance[Job Number]=C220&amp;"")*(tbl_Finance[Xero Invoice No]&lt;&gt;"")),tbl_Finance[Xero Invoice No]),LOOKUP(2,1/((tbl_Finance[Job Number]=C220&amp;"")*(tbl_Finance[Xero Invoice No]&lt;&gt;"")),tbl_Finance[Xero Invoice No])&amp;" +more"),"")))</f>
        <v/>
      </c>
      <c r="C220" s="24" t="n"/>
      <c r="D220" s="25">
        <f>IF(C220="","",IF(COUNTIF(lst_Jobs,C220&amp;"")&gt;0,"OK","CHECK"))</f>
        <v/>
      </c>
      <c r="E220" s="25">
        <f>IF(C220="","",IFERROR(INDEX(lst_JobName,MATCH(C220&amp;"",lst_Jobs,0)),""))</f>
        <v/>
      </c>
      <c r="F220" s="25">
        <f>IF(C220="","",IFERROR(INDEX(tbl_Finance[Client],MATCH(C220&amp;"",tbl_Finance[Job Number],0)),""))</f>
        <v/>
      </c>
      <c r="G220" s="28">
        <f>IF(C220="","",COUNTIFS(tbl_Finance[Job Number],C220&amp;"",tbl_Finance[Ex GST],"&lt;&gt;"))</f>
        <v/>
      </c>
      <c r="H220" s="27">
        <f>IF(C220="","",SUMIFS(tbl_Finance[Ex GST],tbl_Finance[Job Number],C220&amp;""))</f>
        <v/>
      </c>
      <c r="I220" s="27">
        <f>IF(C220="","",SUMIFS(tbl_Finance[Ex GST],tbl_Finance[Job Number],C220&amp;"",tbl_Finance[Xero Invoice No],"&lt;&gt;"))</f>
        <v/>
      </c>
      <c r="J220" s="27">
        <f>IF(C220="","",H220-I220)</f>
        <v/>
      </c>
      <c r="K220" s="25">
        <f>IF(C220="","",IF(G220=0,"not invoiced yet",SUBSTITUTE(TRIM(IF(COUNTIFS(tbl_Finance[Job Number],C220&amp;"",tbl_Finance[Cost Centre],"ONSITE")&gt;0,"ONSITE ","")&amp;IF(COUNTIFS(tbl_Finance[Job Number],C220&amp;"",tbl_Finance[Cost Centre],"PRODUCTION")&gt;0,"PRODUCTION ","")&amp;IF(COUNTIFS(tbl_Finance[Job Number],C220&amp;"",tbl_Finance[Cost Centre],"VIDEO")&gt;0,"VIDEO ","")&amp;IF(COUNTIFS(tbl_Finance[Job Number],C220&amp;"",tbl_Finance[Cost Centre],"INTEGRATION")&gt;0,"INTEGRATION ","")&amp;IF(COUNTIFS(tbl_Finance[Job Number],C220&amp;"",tbl_Finance[Cost Centre],"CONSULTING")&gt;0,"CONSULTING ","")&amp;IF(COUNTIFS(tbl_Finance[Job Number],C220&amp;"",tbl_Finance[Cost Centre],"CTS")&gt;0,"CTS ",""))," ",", ")))</f>
        <v/>
      </c>
      <c r="L220" s="24" t="n"/>
      <c r="M220" s="25">
        <f>IF(L220="","",HYPERLINK(IF(LEFT(L220,4)="http",L220,set_QwilrBase&amp;L220),"Open quote"))</f>
        <v/>
      </c>
      <c r="N220" s="26" t="n"/>
      <c r="O220" s="26" t="n"/>
      <c r="P220" s="26" t="n"/>
      <c r="Q220" s="25">
        <f>IF(C220="","",IF(N(N220)+N(O220)+N(P220)=0,"Not split",IF(ROUND(N(N220)+N(O220)+N(P220),2)=ROUND(H220,2),"OK","MISMATCH")))</f>
        <v/>
      </c>
      <c r="R220" s="26" t="n"/>
      <c r="S220" s="26" t="n"/>
      <c r="T220" s="26" t="n"/>
      <c r="U220" s="27">
        <f>IF(C220="","",N(R220)+N(S220)+N(T220))</f>
        <v/>
      </c>
      <c r="V220" s="27">
        <f>IF(C220="","",H220-U220)</f>
        <v/>
      </c>
      <c r="W220" s="29">
        <f>IFERROR(V220/H220,"")</f>
        <v/>
      </c>
      <c r="X220" s="24" t="n"/>
    </row>
    <row r="221" ht="15" customHeight="1">
      <c r="A221" s="63">
        <f>IF(C221="","",IFERROR(IF(SUMPRODUCT(MAX((tbl_Finance[Job Number]=C221&amp;"")*(tbl_Finance[Xero Invoice No]&lt;&gt;"")*tbl_Finance[Date]))=0,"",SUMPRODUCT(MAX((tbl_Finance[Job Number]=C221&amp;"")*(tbl_Finance[Xero Invoice No]&lt;&gt;"")*tbl_Finance[Date]))),""))</f>
        <v/>
      </c>
      <c r="B221" s="25">
        <f>IF(C221="","",IF(COUNTIFS(tbl_Finance[Job Number],C221&amp;"",tbl_Finance[Xero Invoice No],"&lt;&gt;")=0,"",IFERROR(IF(COUNTIFS(tbl_Finance[Job Number],C221&amp;"",tbl_Finance[Xero Invoice No],LOOKUP(2,1/((tbl_Finance[Job Number]=C221&amp;"")*(tbl_Finance[Xero Invoice No]&lt;&gt;"")),tbl_Finance[Xero Invoice No]))=COUNTIFS(tbl_Finance[Job Number],C221&amp;"",tbl_Finance[Xero Invoice No],"&lt;&gt;"),LOOKUP(2,1/((tbl_Finance[Job Number]=C221&amp;"")*(tbl_Finance[Xero Invoice No]&lt;&gt;"")),tbl_Finance[Xero Invoice No]),LOOKUP(2,1/((tbl_Finance[Job Number]=C221&amp;"")*(tbl_Finance[Xero Invoice No]&lt;&gt;"")),tbl_Finance[Xero Invoice No])&amp;" +more"),"")))</f>
        <v/>
      </c>
      <c r="C221" s="24" t="n"/>
      <c r="D221" s="25">
        <f>IF(C221="","",IF(COUNTIF(lst_Jobs,C221&amp;"")&gt;0,"OK","CHECK"))</f>
        <v/>
      </c>
      <c r="E221" s="25">
        <f>IF(C221="","",IFERROR(INDEX(lst_JobName,MATCH(C221&amp;"",lst_Jobs,0)),""))</f>
        <v/>
      </c>
      <c r="F221" s="25">
        <f>IF(C221="","",IFERROR(INDEX(tbl_Finance[Client],MATCH(C221&amp;"",tbl_Finance[Job Number],0)),""))</f>
        <v/>
      </c>
      <c r="G221" s="28">
        <f>IF(C221="","",COUNTIFS(tbl_Finance[Job Number],C221&amp;"",tbl_Finance[Ex GST],"&lt;&gt;"))</f>
        <v/>
      </c>
      <c r="H221" s="27">
        <f>IF(C221="","",SUMIFS(tbl_Finance[Ex GST],tbl_Finance[Job Number],C221&amp;""))</f>
        <v/>
      </c>
      <c r="I221" s="27">
        <f>IF(C221="","",SUMIFS(tbl_Finance[Ex GST],tbl_Finance[Job Number],C221&amp;"",tbl_Finance[Xero Invoice No],"&lt;&gt;"))</f>
        <v/>
      </c>
      <c r="J221" s="27">
        <f>IF(C221="","",H221-I221)</f>
        <v/>
      </c>
      <c r="K221" s="25">
        <f>IF(C221="","",IF(G221=0,"not invoiced yet",SUBSTITUTE(TRIM(IF(COUNTIFS(tbl_Finance[Job Number],C221&amp;"",tbl_Finance[Cost Centre],"ONSITE")&gt;0,"ONSITE ","")&amp;IF(COUNTIFS(tbl_Finance[Job Number],C221&amp;"",tbl_Finance[Cost Centre],"PRODUCTION")&gt;0,"PRODUCTION ","")&amp;IF(COUNTIFS(tbl_Finance[Job Number],C221&amp;"",tbl_Finance[Cost Centre],"VIDEO")&gt;0,"VIDEO ","")&amp;IF(COUNTIFS(tbl_Finance[Job Number],C221&amp;"",tbl_Finance[Cost Centre],"INTEGRATION")&gt;0,"INTEGRATION ","")&amp;IF(COUNTIFS(tbl_Finance[Job Number],C221&amp;"",tbl_Finance[Cost Centre],"CONSULTING")&gt;0,"CONSULTING ","")&amp;IF(COUNTIFS(tbl_Finance[Job Number],C221&amp;"",tbl_Finance[Cost Centre],"CTS")&gt;0,"CTS ",""))," ",", ")))</f>
        <v/>
      </c>
      <c r="L221" s="24" t="n"/>
      <c r="M221" s="25">
        <f>IF(L221="","",HYPERLINK(IF(LEFT(L221,4)="http",L221,set_QwilrBase&amp;L221),"Open quote"))</f>
        <v/>
      </c>
      <c r="N221" s="26" t="n"/>
      <c r="O221" s="26" t="n"/>
      <c r="P221" s="26" t="n"/>
      <c r="Q221" s="25">
        <f>IF(C221="","",IF(N(N221)+N(O221)+N(P221)=0,"Not split",IF(ROUND(N(N221)+N(O221)+N(P221),2)=ROUND(H221,2),"OK","MISMATCH")))</f>
        <v/>
      </c>
      <c r="R221" s="26" t="n"/>
      <c r="S221" s="26" t="n"/>
      <c r="T221" s="26" t="n"/>
      <c r="U221" s="27">
        <f>IF(C221="","",N(R221)+N(S221)+N(T221))</f>
        <v/>
      </c>
      <c r="V221" s="27">
        <f>IF(C221="","",H221-U221)</f>
        <v/>
      </c>
      <c r="W221" s="29">
        <f>IFERROR(V221/H221,"")</f>
        <v/>
      </c>
      <c r="X221" s="24" t="n"/>
    </row>
    <row r="222" ht="15" customHeight="1">
      <c r="A222" s="63">
        <f>IF(C222="","",IFERROR(IF(SUMPRODUCT(MAX((tbl_Finance[Job Number]=C222&amp;"")*(tbl_Finance[Xero Invoice No]&lt;&gt;"")*tbl_Finance[Date]))=0,"",SUMPRODUCT(MAX((tbl_Finance[Job Number]=C222&amp;"")*(tbl_Finance[Xero Invoice No]&lt;&gt;"")*tbl_Finance[Date]))),""))</f>
        <v/>
      </c>
      <c r="B222" s="25">
        <f>IF(C222="","",IF(COUNTIFS(tbl_Finance[Job Number],C222&amp;"",tbl_Finance[Xero Invoice No],"&lt;&gt;")=0,"",IFERROR(IF(COUNTIFS(tbl_Finance[Job Number],C222&amp;"",tbl_Finance[Xero Invoice No],LOOKUP(2,1/((tbl_Finance[Job Number]=C222&amp;"")*(tbl_Finance[Xero Invoice No]&lt;&gt;"")),tbl_Finance[Xero Invoice No]))=COUNTIFS(tbl_Finance[Job Number],C222&amp;"",tbl_Finance[Xero Invoice No],"&lt;&gt;"),LOOKUP(2,1/((tbl_Finance[Job Number]=C222&amp;"")*(tbl_Finance[Xero Invoice No]&lt;&gt;"")),tbl_Finance[Xero Invoice No]),LOOKUP(2,1/((tbl_Finance[Job Number]=C222&amp;"")*(tbl_Finance[Xero Invoice No]&lt;&gt;"")),tbl_Finance[Xero Invoice No])&amp;" +more"),"")))</f>
        <v/>
      </c>
      <c r="C222" s="24" t="n"/>
      <c r="D222" s="25">
        <f>IF(C222="","",IF(COUNTIF(lst_Jobs,C222&amp;"")&gt;0,"OK","CHECK"))</f>
        <v/>
      </c>
      <c r="E222" s="25">
        <f>IF(C222="","",IFERROR(INDEX(lst_JobName,MATCH(C222&amp;"",lst_Jobs,0)),""))</f>
        <v/>
      </c>
      <c r="F222" s="25">
        <f>IF(C222="","",IFERROR(INDEX(tbl_Finance[Client],MATCH(C222&amp;"",tbl_Finance[Job Number],0)),""))</f>
        <v/>
      </c>
      <c r="G222" s="28">
        <f>IF(C222="","",COUNTIFS(tbl_Finance[Job Number],C222&amp;"",tbl_Finance[Ex GST],"&lt;&gt;"))</f>
        <v/>
      </c>
      <c r="H222" s="27">
        <f>IF(C222="","",SUMIFS(tbl_Finance[Ex GST],tbl_Finance[Job Number],C222&amp;""))</f>
        <v/>
      </c>
      <c r="I222" s="27">
        <f>IF(C222="","",SUMIFS(tbl_Finance[Ex GST],tbl_Finance[Job Number],C222&amp;"",tbl_Finance[Xero Invoice No],"&lt;&gt;"))</f>
        <v/>
      </c>
      <c r="J222" s="27">
        <f>IF(C222="","",H222-I222)</f>
        <v/>
      </c>
      <c r="K222" s="25">
        <f>IF(C222="","",IF(G222=0,"not invoiced yet",SUBSTITUTE(TRIM(IF(COUNTIFS(tbl_Finance[Job Number],C222&amp;"",tbl_Finance[Cost Centre],"ONSITE")&gt;0,"ONSITE ","")&amp;IF(COUNTIFS(tbl_Finance[Job Number],C222&amp;"",tbl_Finance[Cost Centre],"PRODUCTION")&gt;0,"PRODUCTION ","")&amp;IF(COUNTIFS(tbl_Finance[Job Number],C222&amp;"",tbl_Finance[Cost Centre],"VIDEO")&gt;0,"VIDEO ","")&amp;IF(COUNTIFS(tbl_Finance[Job Number],C222&amp;"",tbl_Finance[Cost Centre],"INTEGRATION")&gt;0,"INTEGRATION ","")&amp;IF(COUNTIFS(tbl_Finance[Job Number],C222&amp;"",tbl_Finance[Cost Centre],"CONSULTING")&gt;0,"CONSULTING ","")&amp;IF(COUNTIFS(tbl_Finance[Job Number],C222&amp;"",tbl_Finance[Cost Centre],"CTS")&gt;0,"CTS ",""))," ",", ")))</f>
        <v/>
      </c>
      <c r="L222" s="24" t="n"/>
      <c r="M222" s="25">
        <f>IF(L222="","",HYPERLINK(IF(LEFT(L222,4)="http",L222,set_QwilrBase&amp;L222),"Open quote"))</f>
        <v/>
      </c>
      <c r="N222" s="26" t="n"/>
      <c r="O222" s="26" t="n"/>
      <c r="P222" s="26" t="n"/>
      <c r="Q222" s="25">
        <f>IF(C222="","",IF(N(N222)+N(O222)+N(P222)=0,"Not split",IF(ROUND(N(N222)+N(O222)+N(P222),2)=ROUND(H222,2),"OK","MISMATCH")))</f>
        <v/>
      </c>
      <c r="R222" s="26" t="n"/>
      <c r="S222" s="26" t="n"/>
      <c r="T222" s="26" t="n"/>
      <c r="U222" s="27">
        <f>IF(C222="","",N(R222)+N(S222)+N(T222))</f>
        <v/>
      </c>
      <c r="V222" s="27">
        <f>IF(C222="","",H222-U222)</f>
        <v/>
      </c>
      <c r="W222" s="29">
        <f>IFERROR(V222/H222,"")</f>
        <v/>
      </c>
      <c r="X222" s="24" t="n"/>
    </row>
    <row r="223" ht="15" customHeight="1">
      <c r="A223" s="63">
        <f>IF(C223="","",IFERROR(IF(SUMPRODUCT(MAX((tbl_Finance[Job Number]=C223&amp;"")*(tbl_Finance[Xero Invoice No]&lt;&gt;"")*tbl_Finance[Date]))=0,"",SUMPRODUCT(MAX((tbl_Finance[Job Number]=C223&amp;"")*(tbl_Finance[Xero Invoice No]&lt;&gt;"")*tbl_Finance[Date]))),""))</f>
        <v/>
      </c>
      <c r="B223" s="25">
        <f>IF(C223="","",IF(COUNTIFS(tbl_Finance[Job Number],C223&amp;"",tbl_Finance[Xero Invoice No],"&lt;&gt;")=0,"",IFERROR(IF(COUNTIFS(tbl_Finance[Job Number],C223&amp;"",tbl_Finance[Xero Invoice No],LOOKUP(2,1/((tbl_Finance[Job Number]=C223&amp;"")*(tbl_Finance[Xero Invoice No]&lt;&gt;"")),tbl_Finance[Xero Invoice No]))=COUNTIFS(tbl_Finance[Job Number],C223&amp;"",tbl_Finance[Xero Invoice No],"&lt;&gt;"),LOOKUP(2,1/((tbl_Finance[Job Number]=C223&amp;"")*(tbl_Finance[Xero Invoice No]&lt;&gt;"")),tbl_Finance[Xero Invoice No]),LOOKUP(2,1/((tbl_Finance[Job Number]=C223&amp;"")*(tbl_Finance[Xero Invoice No]&lt;&gt;"")),tbl_Finance[Xero Invoice No])&amp;" +more"),"")))</f>
        <v/>
      </c>
      <c r="C223" s="24" t="n"/>
      <c r="D223" s="25">
        <f>IF(C223="","",IF(COUNTIF(lst_Jobs,C223&amp;"")&gt;0,"OK","CHECK"))</f>
        <v/>
      </c>
      <c r="E223" s="25">
        <f>IF(C223="","",IFERROR(INDEX(lst_JobName,MATCH(C223&amp;"",lst_Jobs,0)),""))</f>
        <v/>
      </c>
      <c r="F223" s="25">
        <f>IF(C223="","",IFERROR(INDEX(tbl_Finance[Client],MATCH(C223&amp;"",tbl_Finance[Job Number],0)),""))</f>
        <v/>
      </c>
      <c r="G223" s="28">
        <f>IF(C223="","",COUNTIFS(tbl_Finance[Job Number],C223&amp;"",tbl_Finance[Ex GST],"&lt;&gt;"))</f>
        <v/>
      </c>
      <c r="H223" s="27">
        <f>IF(C223="","",SUMIFS(tbl_Finance[Ex GST],tbl_Finance[Job Number],C223&amp;""))</f>
        <v/>
      </c>
      <c r="I223" s="27">
        <f>IF(C223="","",SUMIFS(tbl_Finance[Ex GST],tbl_Finance[Job Number],C223&amp;"",tbl_Finance[Xero Invoice No],"&lt;&gt;"))</f>
        <v/>
      </c>
      <c r="J223" s="27">
        <f>IF(C223="","",H223-I223)</f>
        <v/>
      </c>
      <c r="K223" s="25">
        <f>IF(C223="","",IF(G223=0,"not invoiced yet",SUBSTITUTE(TRIM(IF(COUNTIFS(tbl_Finance[Job Number],C223&amp;"",tbl_Finance[Cost Centre],"ONSITE")&gt;0,"ONSITE ","")&amp;IF(COUNTIFS(tbl_Finance[Job Number],C223&amp;"",tbl_Finance[Cost Centre],"PRODUCTION")&gt;0,"PRODUCTION ","")&amp;IF(COUNTIFS(tbl_Finance[Job Number],C223&amp;"",tbl_Finance[Cost Centre],"VIDEO")&gt;0,"VIDEO ","")&amp;IF(COUNTIFS(tbl_Finance[Job Number],C223&amp;"",tbl_Finance[Cost Centre],"INTEGRATION")&gt;0,"INTEGRATION ","")&amp;IF(COUNTIFS(tbl_Finance[Job Number],C223&amp;"",tbl_Finance[Cost Centre],"CONSULTING")&gt;0,"CONSULTING ","")&amp;IF(COUNTIFS(tbl_Finance[Job Number],C223&amp;"",tbl_Finance[Cost Centre],"CTS")&gt;0,"CTS ",""))," ",", ")))</f>
        <v/>
      </c>
      <c r="L223" s="24" t="n"/>
      <c r="M223" s="25">
        <f>IF(L223="","",HYPERLINK(IF(LEFT(L223,4)="http",L223,set_QwilrBase&amp;L223),"Open quote"))</f>
        <v/>
      </c>
      <c r="N223" s="26" t="n"/>
      <c r="O223" s="26" t="n"/>
      <c r="P223" s="26" t="n"/>
      <c r="Q223" s="25">
        <f>IF(C223="","",IF(N(N223)+N(O223)+N(P223)=0,"Not split",IF(ROUND(N(N223)+N(O223)+N(P223),2)=ROUND(H223,2),"OK","MISMATCH")))</f>
        <v/>
      </c>
      <c r="R223" s="26" t="n"/>
      <c r="S223" s="26" t="n"/>
      <c r="T223" s="26" t="n"/>
      <c r="U223" s="27">
        <f>IF(C223="","",N(R223)+N(S223)+N(T223))</f>
        <v/>
      </c>
      <c r="V223" s="27">
        <f>IF(C223="","",H223-U223)</f>
        <v/>
      </c>
      <c r="W223" s="29">
        <f>IFERROR(V223/H223,"")</f>
        <v/>
      </c>
      <c r="X223" s="24" t="n"/>
    </row>
    <row r="224" ht="15" customHeight="1">
      <c r="A224" s="63">
        <f>IF(C224="","",IFERROR(IF(SUMPRODUCT(MAX((tbl_Finance[Job Number]=C224&amp;"")*(tbl_Finance[Xero Invoice No]&lt;&gt;"")*tbl_Finance[Date]))=0,"",SUMPRODUCT(MAX((tbl_Finance[Job Number]=C224&amp;"")*(tbl_Finance[Xero Invoice No]&lt;&gt;"")*tbl_Finance[Date]))),""))</f>
        <v/>
      </c>
      <c r="B224" s="25">
        <f>IF(C224="","",IF(COUNTIFS(tbl_Finance[Job Number],C224&amp;"",tbl_Finance[Xero Invoice No],"&lt;&gt;")=0,"",IFERROR(IF(COUNTIFS(tbl_Finance[Job Number],C224&amp;"",tbl_Finance[Xero Invoice No],LOOKUP(2,1/((tbl_Finance[Job Number]=C224&amp;"")*(tbl_Finance[Xero Invoice No]&lt;&gt;"")),tbl_Finance[Xero Invoice No]))=COUNTIFS(tbl_Finance[Job Number],C224&amp;"",tbl_Finance[Xero Invoice No],"&lt;&gt;"),LOOKUP(2,1/((tbl_Finance[Job Number]=C224&amp;"")*(tbl_Finance[Xero Invoice No]&lt;&gt;"")),tbl_Finance[Xero Invoice No]),LOOKUP(2,1/((tbl_Finance[Job Number]=C224&amp;"")*(tbl_Finance[Xero Invoice No]&lt;&gt;"")),tbl_Finance[Xero Invoice No])&amp;" +more"),"")))</f>
        <v/>
      </c>
      <c r="C224" s="24" t="n"/>
      <c r="D224" s="25">
        <f>IF(C224="","",IF(COUNTIF(lst_Jobs,C224&amp;"")&gt;0,"OK","CHECK"))</f>
        <v/>
      </c>
      <c r="E224" s="25">
        <f>IF(C224="","",IFERROR(INDEX(lst_JobName,MATCH(C224&amp;"",lst_Jobs,0)),""))</f>
        <v/>
      </c>
      <c r="F224" s="25">
        <f>IF(C224="","",IFERROR(INDEX(tbl_Finance[Client],MATCH(C224&amp;"",tbl_Finance[Job Number],0)),""))</f>
        <v/>
      </c>
      <c r="G224" s="28">
        <f>IF(C224="","",COUNTIFS(tbl_Finance[Job Number],C224&amp;"",tbl_Finance[Ex GST],"&lt;&gt;"))</f>
        <v/>
      </c>
      <c r="H224" s="27">
        <f>IF(C224="","",SUMIFS(tbl_Finance[Ex GST],tbl_Finance[Job Number],C224&amp;""))</f>
        <v/>
      </c>
      <c r="I224" s="27">
        <f>IF(C224="","",SUMIFS(tbl_Finance[Ex GST],tbl_Finance[Job Number],C224&amp;"",tbl_Finance[Xero Invoice No],"&lt;&gt;"))</f>
        <v/>
      </c>
      <c r="J224" s="27">
        <f>IF(C224="","",H224-I224)</f>
        <v/>
      </c>
      <c r="K224" s="25">
        <f>IF(C224="","",IF(G224=0,"not invoiced yet",SUBSTITUTE(TRIM(IF(COUNTIFS(tbl_Finance[Job Number],C224&amp;"",tbl_Finance[Cost Centre],"ONSITE")&gt;0,"ONSITE ","")&amp;IF(COUNTIFS(tbl_Finance[Job Number],C224&amp;"",tbl_Finance[Cost Centre],"PRODUCTION")&gt;0,"PRODUCTION ","")&amp;IF(COUNTIFS(tbl_Finance[Job Number],C224&amp;"",tbl_Finance[Cost Centre],"VIDEO")&gt;0,"VIDEO ","")&amp;IF(COUNTIFS(tbl_Finance[Job Number],C224&amp;"",tbl_Finance[Cost Centre],"INTEGRATION")&gt;0,"INTEGRATION ","")&amp;IF(COUNTIFS(tbl_Finance[Job Number],C224&amp;"",tbl_Finance[Cost Centre],"CONSULTING")&gt;0,"CONSULTING ","")&amp;IF(COUNTIFS(tbl_Finance[Job Number],C224&amp;"",tbl_Finance[Cost Centre],"CTS")&gt;0,"CTS ",""))," ",", ")))</f>
        <v/>
      </c>
      <c r="L224" s="24" t="n"/>
      <c r="M224" s="25">
        <f>IF(L224="","",HYPERLINK(IF(LEFT(L224,4)="http",L224,set_QwilrBase&amp;L224),"Open quote"))</f>
        <v/>
      </c>
      <c r="N224" s="26" t="n"/>
      <c r="O224" s="26" t="n"/>
      <c r="P224" s="26" t="n"/>
      <c r="Q224" s="25">
        <f>IF(C224="","",IF(N(N224)+N(O224)+N(P224)=0,"Not split",IF(ROUND(N(N224)+N(O224)+N(P224),2)=ROUND(H224,2),"OK","MISMATCH")))</f>
        <v/>
      </c>
      <c r="R224" s="26" t="n"/>
      <c r="S224" s="26" t="n"/>
      <c r="T224" s="26" t="n"/>
      <c r="U224" s="27">
        <f>IF(C224="","",N(R224)+N(S224)+N(T224))</f>
        <v/>
      </c>
      <c r="V224" s="27">
        <f>IF(C224="","",H224-U224)</f>
        <v/>
      </c>
      <c r="W224" s="29">
        <f>IFERROR(V224/H224,"")</f>
        <v/>
      </c>
      <c r="X224" s="24" t="n"/>
    </row>
    <row r="225" ht="15" customHeight="1">
      <c r="A225" s="63">
        <f>IF(C225="","",IFERROR(IF(SUMPRODUCT(MAX((tbl_Finance[Job Number]=C225&amp;"")*(tbl_Finance[Xero Invoice No]&lt;&gt;"")*tbl_Finance[Date]))=0,"",SUMPRODUCT(MAX((tbl_Finance[Job Number]=C225&amp;"")*(tbl_Finance[Xero Invoice No]&lt;&gt;"")*tbl_Finance[Date]))),""))</f>
        <v/>
      </c>
      <c r="B225" s="25">
        <f>IF(C225="","",IF(COUNTIFS(tbl_Finance[Job Number],C225&amp;"",tbl_Finance[Xero Invoice No],"&lt;&gt;")=0,"",IFERROR(IF(COUNTIFS(tbl_Finance[Job Number],C225&amp;"",tbl_Finance[Xero Invoice No],LOOKUP(2,1/((tbl_Finance[Job Number]=C225&amp;"")*(tbl_Finance[Xero Invoice No]&lt;&gt;"")),tbl_Finance[Xero Invoice No]))=COUNTIFS(tbl_Finance[Job Number],C225&amp;"",tbl_Finance[Xero Invoice No],"&lt;&gt;"),LOOKUP(2,1/((tbl_Finance[Job Number]=C225&amp;"")*(tbl_Finance[Xero Invoice No]&lt;&gt;"")),tbl_Finance[Xero Invoice No]),LOOKUP(2,1/((tbl_Finance[Job Number]=C225&amp;"")*(tbl_Finance[Xero Invoice No]&lt;&gt;"")),tbl_Finance[Xero Invoice No])&amp;" +more"),"")))</f>
        <v/>
      </c>
      <c r="C225" s="24" t="n"/>
      <c r="D225" s="25">
        <f>IF(C225="","",IF(COUNTIF(lst_Jobs,C225&amp;"")&gt;0,"OK","CHECK"))</f>
        <v/>
      </c>
      <c r="E225" s="25">
        <f>IF(C225="","",IFERROR(INDEX(lst_JobName,MATCH(C225&amp;"",lst_Jobs,0)),""))</f>
        <v/>
      </c>
      <c r="F225" s="25">
        <f>IF(C225="","",IFERROR(INDEX(tbl_Finance[Client],MATCH(C225&amp;"",tbl_Finance[Job Number],0)),""))</f>
        <v/>
      </c>
      <c r="G225" s="28">
        <f>IF(C225="","",COUNTIFS(tbl_Finance[Job Number],C225&amp;"",tbl_Finance[Ex GST],"&lt;&gt;"))</f>
        <v/>
      </c>
      <c r="H225" s="27">
        <f>IF(C225="","",SUMIFS(tbl_Finance[Ex GST],tbl_Finance[Job Number],C225&amp;""))</f>
        <v/>
      </c>
      <c r="I225" s="27">
        <f>IF(C225="","",SUMIFS(tbl_Finance[Ex GST],tbl_Finance[Job Number],C225&amp;"",tbl_Finance[Xero Invoice No],"&lt;&gt;"))</f>
        <v/>
      </c>
      <c r="J225" s="27">
        <f>IF(C225="","",H225-I225)</f>
        <v/>
      </c>
      <c r="K225" s="25">
        <f>IF(C225="","",IF(G225=0,"not invoiced yet",SUBSTITUTE(TRIM(IF(COUNTIFS(tbl_Finance[Job Number],C225&amp;"",tbl_Finance[Cost Centre],"ONSITE")&gt;0,"ONSITE ","")&amp;IF(COUNTIFS(tbl_Finance[Job Number],C225&amp;"",tbl_Finance[Cost Centre],"PRODUCTION")&gt;0,"PRODUCTION ","")&amp;IF(COUNTIFS(tbl_Finance[Job Number],C225&amp;"",tbl_Finance[Cost Centre],"VIDEO")&gt;0,"VIDEO ","")&amp;IF(COUNTIFS(tbl_Finance[Job Number],C225&amp;"",tbl_Finance[Cost Centre],"INTEGRATION")&gt;0,"INTEGRATION ","")&amp;IF(COUNTIFS(tbl_Finance[Job Number],C225&amp;"",tbl_Finance[Cost Centre],"CONSULTING")&gt;0,"CONSULTING ","")&amp;IF(COUNTIFS(tbl_Finance[Job Number],C225&amp;"",tbl_Finance[Cost Centre],"CTS")&gt;0,"CTS ",""))," ",", ")))</f>
        <v/>
      </c>
      <c r="L225" s="24" t="n"/>
      <c r="M225" s="25">
        <f>IF(L225="","",HYPERLINK(IF(LEFT(L225,4)="http",L225,set_QwilrBase&amp;L225),"Open quote"))</f>
        <v/>
      </c>
      <c r="N225" s="26" t="n"/>
      <c r="O225" s="26" t="n"/>
      <c r="P225" s="26" t="n"/>
      <c r="Q225" s="25">
        <f>IF(C225="","",IF(N(N225)+N(O225)+N(P225)=0,"Not split",IF(ROUND(N(N225)+N(O225)+N(P225),2)=ROUND(H225,2),"OK","MISMATCH")))</f>
        <v/>
      </c>
      <c r="R225" s="26" t="n"/>
      <c r="S225" s="26" t="n"/>
      <c r="T225" s="26" t="n"/>
      <c r="U225" s="27">
        <f>IF(C225="","",N(R225)+N(S225)+N(T225))</f>
        <v/>
      </c>
      <c r="V225" s="27">
        <f>IF(C225="","",H225-U225)</f>
        <v/>
      </c>
      <c r="W225" s="29">
        <f>IFERROR(V225/H225,"")</f>
        <v/>
      </c>
      <c r="X225" s="24" t="n"/>
    </row>
    <row r="226" ht="15" customHeight="1">
      <c r="A226" s="63">
        <f>IF(C226="","",IFERROR(IF(SUMPRODUCT(MAX((tbl_Finance[Job Number]=C226&amp;"")*(tbl_Finance[Xero Invoice No]&lt;&gt;"")*tbl_Finance[Date]))=0,"",SUMPRODUCT(MAX((tbl_Finance[Job Number]=C226&amp;"")*(tbl_Finance[Xero Invoice No]&lt;&gt;"")*tbl_Finance[Date]))),""))</f>
        <v/>
      </c>
      <c r="B226" s="25">
        <f>IF(C226="","",IF(COUNTIFS(tbl_Finance[Job Number],C226&amp;"",tbl_Finance[Xero Invoice No],"&lt;&gt;")=0,"",IFERROR(IF(COUNTIFS(tbl_Finance[Job Number],C226&amp;"",tbl_Finance[Xero Invoice No],LOOKUP(2,1/((tbl_Finance[Job Number]=C226&amp;"")*(tbl_Finance[Xero Invoice No]&lt;&gt;"")),tbl_Finance[Xero Invoice No]))=COUNTIFS(tbl_Finance[Job Number],C226&amp;"",tbl_Finance[Xero Invoice No],"&lt;&gt;"),LOOKUP(2,1/((tbl_Finance[Job Number]=C226&amp;"")*(tbl_Finance[Xero Invoice No]&lt;&gt;"")),tbl_Finance[Xero Invoice No]),LOOKUP(2,1/((tbl_Finance[Job Number]=C226&amp;"")*(tbl_Finance[Xero Invoice No]&lt;&gt;"")),tbl_Finance[Xero Invoice No])&amp;" +more"),"")))</f>
        <v/>
      </c>
      <c r="C226" s="24" t="n"/>
      <c r="D226" s="25">
        <f>IF(C226="","",IF(COUNTIF(lst_Jobs,C226&amp;"")&gt;0,"OK","CHECK"))</f>
        <v/>
      </c>
      <c r="E226" s="25">
        <f>IF(C226="","",IFERROR(INDEX(lst_JobName,MATCH(C226&amp;"",lst_Jobs,0)),""))</f>
        <v/>
      </c>
      <c r="F226" s="25">
        <f>IF(C226="","",IFERROR(INDEX(tbl_Finance[Client],MATCH(C226&amp;"",tbl_Finance[Job Number],0)),""))</f>
        <v/>
      </c>
      <c r="G226" s="28">
        <f>IF(C226="","",COUNTIFS(tbl_Finance[Job Number],C226&amp;"",tbl_Finance[Ex GST],"&lt;&gt;"))</f>
        <v/>
      </c>
      <c r="H226" s="27">
        <f>IF(C226="","",SUMIFS(tbl_Finance[Ex GST],tbl_Finance[Job Number],C226&amp;""))</f>
        <v/>
      </c>
      <c r="I226" s="27">
        <f>IF(C226="","",SUMIFS(tbl_Finance[Ex GST],tbl_Finance[Job Number],C226&amp;"",tbl_Finance[Xero Invoice No],"&lt;&gt;"))</f>
        <v/>
      </c>
      <c r="J226" s="27">
        <f>IF(C226="","",H226-I226)</f>
        <v/>
      </c>
      <c r="K226" s="25">
        <f>IF(C226="","",IF(G226=0,"not invoiced yet",SUBSTITUTE(TRIM(IF(COUNTIFS(tbl_Finance[Job Number],C226&amp;"",tbl_Finance[Cost Centre],"ONSITE")&gt;0,"ONSITE ","")&amp;IF(COUNTIFS(tbl_Finance[Job Number],C226&amp;"",tbl_Finance[Cost Centre],"PRODUCTION")&gt;0,"PRODUCTION ","")&amp;IF(COUNTIFS(tbl_Finance[Job Number],C226&amp;"",tbl_Finance[Cost Centre],"VIDEO")&gt;0,"VIDEO ","")&amp;IF(COUNTIFS(tbl_Finance[Job Number],C226&amp;"",tbl_Finance[Cost Centre],"INTEGRATION")&gt;0,"INTEGRATION ","")&amp;IF(COUNTIFS(tbl_Finance[Job Number],C226&amp;"",tbl_Finance[Cost Centre],"CONSULTING")&gt;0,"CONSULTING ","")&amp;IF(COUNTIFS(tbl_Finance[Job Number],C226&amp;"",tbl_Finance[Cost Centre],"CTS")&gt;0,"CTS ",""))," ",", ")))</f>
        <v/>
      </c>
      <c r="L226" s="24" t="n"/>
      <c r="M226" s="25">
        <f>IF(L226="","",HYPERLINK(IF(LEFT(L226,4)="http",L226,set_QwilrBase&amp;L226),"Open quote"))</f>
        <v/>
      </c>
      <c r="N226" s="26" t="n"/>
      <c r="O226" s="26" t="n"/>
      <c r="P226" s="26" t="n"/>
      <c r="Q226" s="25">
        <f>IF(C226="","",IF(N(N226)+N(O226)+N(P226)=0,"Not split",IF(ROUND(N(N226)+N(O226)+N(P226),2)=ROUND(H226,2),"OK","MISMATCH")))</f>
        <v/>
      </c>
      <c r="R226" s="26" t="n"/>
      <c r="S226" s="26" t="n"/>
      <c r="T226" s="26" t="n"/>
      <c r="U226" s="27">
        <f>IF(C226="","",N(R226)+N(S226)+N(T226))</f>
        <v/>
      </c>
      <c r="V226" s="27">
        <f>IF(C226="","",H226-U226)</f>
        <v/>
      </c>
      <c r="W226" s="29">
        <f>IFERROR(V226/H226,"")</f>
        <v/>
      </c>
      <c r="X226" s="24" t="n"/>
    </row>
    <row r="227" ht="15" customHeight="1">
      <c r="A227" s="63">
        <f>IF(C227="","",IFERROR(IF(SUMPRODUCT(MAX((tbl_Finance[Job Number]=C227&amp;"")*(tbl_Finance[Xero Invoice No]&lt;&gt;"")*tbl_Finance[Date]))=0,"",SUMPRODUCT(MAX((tbl_Finance[Job Number]=C227&amp;"")*(tbl_Finance[Xero Invoice No]&lt;&gt;"")*tbl_Finance[Date]))),""))</f>
        <v/>
      </c>
      <c r="B227" s="25">
        <f>IF(C227="","",IF(COUNTIFS(tbl_Finance[Job Number],C227&amp;"",tbl_Finance[Xero Invoice No],"&lt;&gt;")=0,"",IFERROR(IF(COUNTIFS(tbl_Finance[Job Number],C227&amp;"",tbl_Finance[Xero Invoice No],LOOKUP(2,1/((tbl_Finance[Job Number]=C227&amp;"")*(tbl_Finance[Xero Invoice No]&lt;&gt;"")),tbl_Finance[Xero Invoice No]))=COUNTIFS(tbl_Finance[Job Number],C227&amp;"",tbl_Finance[Xero Invoice No],"&lt;&gt;"),LOOKUP(2,1/((tbl_Finance[Job Number]=C227&amp;"")*(tbl_Finance[Xero Invoice No]&lt;&gt;"")),tbl_Finance[Xero Invoice No]),LOOKUP(2,1/((tbl_Finance[Job Number]=C227&amp;"")*(tbl_Finance[Xero Invoice No]&lt;&gt;"")),tbl_Finance[Xero Invoice No])&amp;" +more"),"")))</f>
        <v/>
      </c>
      <c r="C227" s="24" t="n"/>
      <c r="D227" s="25">
        <f>IF(C227="","",IF(COUNTIF(lst_Jobs,C227&amp;"")&gt;0,"OK","CHECK"))</f>
        <v/>
      </c>
      <c r="E227" s="25">
        <f>IF(C227="","",IFERROR(INDEX(lst_JobName,MATCH(C227&amp;"",lst_Jobs,0)),""))</f>
        <v/>
      </c>
      <c r="F227" s="25">
        <f>IF(C227="","",IFERROR(INDEX(tbl_Finance[Client],MATCH(C227&amp;"",tbl_Finance[Job Number],0)),""))</f>
        <v/>
      </c>
      <c r="G227" s="28">
        <f>IF(C227="","",COUNTIFS(tbl_Finance[Job Number],C227&amp;"",tbl_Finance[Ex GST],"&lt;&gt;"))</f>
        <v/>
      </c>
      <c r="H227" s="27">
        <f>IF(C227="","",SUMIFS(tbl_Finance[Ex GST],tbl_Finance[Job Number],C227&amp;""))</f>
        <v/>
      </c>
      <c r="I227" s="27">
        <f>IF(C227="","",SUMIFS(tbl_Finance[Ex GST],tbl_Finance[Job Number],C227&amp;"",tbl_Finance[Xero Invoice No],"&lt;&gt;"))</f>
        <v/>
      </c>
      <c r="J227" s="27">
        <f>IF(C227="","",H227-I227)</f>
        <v/>
      </c>
      <c r="K227" s="25">
        <f>IF(C227="","",IF(G227=0,"not invoiced yet",SUBSTITUTE(TRIM(IF(COUNTIFS(tbl_Finance[Job Number],C227&amp;"",tbl_Finance[Cost Centre],"ONSITE")&gt;0,"ONSITE ","")&amp;IF(COUNTIFS(tbl_Finance[Job Number],C227&amp;"",tbl_Finance[Cost Centre],"PRODUCTION")&gt;0,"PRODUCTION ","")&amp;IF(COUNTIFS(tbl_Finance[Job Number],C227&amp;"",tbl_Finance[Cost Centre],"VIDEO")&gt;0,"VIDEO ","")&amp;IF(COUNTIFS(tbl_Finance[Job Number],C227&amp;"",tbl_Finance[Cost Centre],"INTEGRATION")&gt;0,"INTEGRATION ","")&amp;IF(COUNTIFS(tbl_Finance[Job Number],C227&amp;"",tbl_Finance[Cost Centre],"CONSULTING")&gt;0,"CONSULTING ","")&amp;IF(COUNTIFS(tbl_Finance[Job Number],C227&amp;"",tbl_Finance[Cost Centre],"CTS")&gt;0,"CTS ",""))," ",", ")))</f>
        <v/>
      </c>
      <c r="L227" s="24" t="n"/>
      <c r="M227" s="25">
        <f>IF(L227="","",HYPERLINK(IF(LEFT(L227,4)="http",L227,set_QwilrBase&amp;L227),"Open quote"))</f>
        <v/>
      </c>
      <c r="N227" s="26" t="n"/>
      <c r="O227" s="26" t="n"/>
      <c r="P227" s="26" t="n"/>
      <c r="Q227" s="25">
        <f>IF(C227="","",IF(N(N227)+N(O227)+N(P227)=0,"Not split",IF(ROUND(N(N227)+N(O227)+N(P227),2)=ROUND(H227,2),"OK","MISMATCH")))</f>
        <v/>
      </c>
      <c r="R227" s="26" t="n"/>
      <c r="S227" s="26" t="n"/>
      <c r="T227" s="26" t="n"/>
      <c r="U227" s="27">
        <f>IF(C227="","",N(R227)+N(S227)+N(T227))</f>
        <v/>
      </c>
      <c r="V227" s="27">
        <f>IF(C227="","",H227-U227)</f>
        <v/>
      </c>
      <c r="W227" s="29">
        <f>IFERROR(V227/H227,"")</f>
        <v/>
      </c>
      <c r="X227" s="24" t="n"/>
    </row>
    <row r="228" ht="15" customHeight="1">
      <c r="A228" s="63">
        <f>IF(C228="","",IFERROR(IF(SUMPRODUCT(MAX((tbl_Finance[Job Number]=C228&amp;"")*(tbl_Finance[Xero Invoice No]&lt;&gt;"")*tbl_Finance[Date]))=0,"",SUMPRODUCT(MAX((tbl_Finance[Job Number]=C228&amp;"")*(tbl_Finance[Xero Invoice No]&lt;&gt;"")*tbl_Finance[Date]))),""))</f>
        <v/>
      </c>
      <c r="B228" s="25">
        <f>IF(C228="","",IF(COUNTIFS(tbl_Finance[Job Number],C228&amp;"",tbl_Finance[Xero Invoice No],"&lt;&gt;")=0,"",IFERROR(IF(COUNTIFS(tbl_Finance[Job Number],C228&amp;"",tbl_Finance[Xero Invoice No],LOOKUP(2,1/((tbl_Finance[Job Number]=C228&amp;"")*(tbl_Finance[Xero Invoice No]&lt;&gt;"")),tbl_Finance[Xero Invoice No]))=COUNTIFS(tbl_Finance[Job Number],C228&amp;"",tbl_Finance[Xero Invoice No],"&lt;&gt;"),LOOKUP(2,1/((tbl_Finance[Job Number]=C228&amp;"")*(tbl_Finance[Xero Invoice No]&lt;&gt;"")),tbl_Finance[Xero Invoice No]),LOOKUP(2,1/((tbl_Finance[Job Number]=C228&amp;"")*(tbl_Finance[Xero Invoice No]&lt;&gt;"")),tbl_Finance[Xero Invoice No])&amp;" +more"),"")))</f>
        <v/>
      </c>
      <c r="C228" s="24" t="n"/>
      <c r="D228" s="25">
        <f>IF(C228="","",IF(COUNTIF(lst_Jobs,C228&amp;"")&gt;0,"OK","CHECK"))</f>
        <v/>
      </c>
      <c r="E228" s="25">
        <f>IF(C228="","",IFERROR(INDEX(lst_JobName,MATCH(C228&amp;"",lst_Jobs,0)),""))</f>
        <v/>
      </c>
      <c r="F228" s="25">
        <f>IF(C228="","",IFERROR(INDEX(tbl_Finance[Client],MATCH(C228&amp;"",tbl_Finance[Job Number],0)),""))</f>
        <v/>
      </c>
      <c r="G228" s="28">
        <f>IF(C228="","",COUNTIFS(tbl_Finance[Job Number],C228&amp;"",tbl_Finance[Ex GST],"&lt;&gt;"))</f>
        <v/>
      </c>
      <c r="H228" s="27">
        <f>IF(C228="","",SUMIFS(tbl_Finance[Ex GST],tbl_Finance[Job Number],C228&amp;""))</f>
        <v/>
      </c>
      <c r="I228" s="27">
        <f>IF(C228="","",SUMIFS(tbl_Finance[Ex GST],tbl_Finance[Job Number],C228&amp;"",tbl_Finance[Xero Invoice No],"&lt;&gt;"))</f>
        <v/>
      </c>
      <c r="J228" s="27">
        <f>IF(C228="","",H228-I228)</f>
        <v/>
      </c>
      <c r="K228" s="25">
        <f>IF(C228="","",IF(G228=0,"not invoiced yet",SUBSTITUTE(TRIM(IF(COUNTIFS(tbl_Finance[Job Number],C228&amp;"",tbl_Finance[Cost Centre],"ONSITE")&gt;0,"ONSITE ","")&amp;IF(COUNTIFS(tbl_Finance[Job Number],C228&amp;"",tbl_Finance[Cost Centre],"PRODUCTION")&gt;0,"PRODUCTION ","")&amp;IF(COUNTIFS(tbl_Finance[Job Number],C228&amp;"",tbl_Finance[Cost Centre],"VIDEO")&gt;0,"VIDEO ","")&amp;IF(COUNTIFS(tbl_Finance[Job Number],C228&amp;"",tbl_Finance[Cost Centre],"INTEGRATION")&gt;0,"INTEGRATION ","")&amp;IF(COUNTIFS(tbl_Finance[Job Number],C228&amp;"",tbl_Finance[Cost Centre],"CONSULTING")&gt;0,"CONSULTING ","")&amp;IF(COUNTIFS(tbl_Finance[Job Number],C228&amp;"",tbl_Finance[Cost Centre],"CTS")&gt;0,"CTS ",""))," ",", ")))</f>
        <v/>
      </c>
      <c r="L228" s="24" t="n"/>
      <c r="M228" s="25">
        <f>IF(L228="","",HYPERLINK(IF(LEFT(L228,4)="http",L228,set_QwilrBase&amp;L228),"Open quote"))</f>
        <v/>
      </c>
      <c r="N228" s="26" t="n"/>
      <c r="O228" s="26" t="n"/>
      <c r="P228" s="26" t="n"/>
      <c r="Q228" s="25">
        <f>IF(C228="","",IF(N(N228)+N(O228)+N(P228)=0,"Not split",IF(ROUND(N(N228)+N(O228)+N(P228),2)=ROUND(H228,2),"OK","MISMATCH")))</f>
        <v/>
      </c>
      <c r="R228" s="26" t="n"/>
      <c r="S228" s="26" t="n"/>
      <c r="T228" s="26" t="n"/>
      <c r="U228" s="27">
        <f>IF(C228="","",N(R228)+N(S228)+N(T228))</f>
        <v/>
      </c>
      <c r="V228" s="27">
        <f>IF(C228="","",H228-U228)</f>
        <v/>
      </c>
      <c r="W228" s="29">
        <f>IFERROR(V228/H228,"")</f>
        <v/>
      </c>
      <c r="X228" s="24" t="n"/>
    </row>
    <row r="229" ht="15" customHeight="1">
      <c r="A229" s="63">
        <f>IF(C229="","",IFERROR(IF(SUMPRODUCT(MAX((tbl_Finance[Job Number]=C229&amp;"")*(tbl_Finance[Xero Invoice No]&lt;&gt;"")*tbl_Finance[Date]))=0,"",SUMPRODUCT(MAX((tbl_Finance[Job Number]=C229&amp;"")*(tbl_Finance[Xero Invoice No]&lt;&gt;"")*tbl_Finance[Date]))),""))</f>
        <v/>
      </c>
      <c r="B229" s="25">
        <f>IF(C229="","",IF(COUNTIFS(tbl_Finance[Job Number],C229&amp;"",tbl_Finance[Xero Invoice No],"&lt;&gt;")=0,"",IFERROR(IF(COUNTIFS(tbl_Finance[Job Number],C229&amp;"",tbl_Finance[Xero Invoice No],LOOKUP(2,1/((tbl_Finance[Job Number]=C229&amp;"")*(tbl_Finance[Xero Invoice No]&lt;&gt;"")),tbl_Finance[Xero Invoice No]))=COUNTIFS(tbl_Finance[Job Number],C229&amp;"",tbl_Finance[Xero Invoice No],"&lt;&gt;"),LOOKUP(2,1/((tbl_Finance[Job Number]=C229&amp;"")*(tbl_Finance[Xero Invoice No]&lt;&gt;"")),tbl_Finance[Xero Invoice No]),LOOKUP(2,1/((tbl_Finance[Job Number]=C229&amp;"")*(tbl_Finance[Xero Invoice No]&lt;&gt;"")),tbl_Finance[Xero Invoice No])&amp;" +more"),"")))</f>
        <v/>
      </c>
      <c r="C229" s="24" t="n"/>
      <c r="D229" s="25">
        <f>IF(C229="","",IF(COUNTIF(lst_Jobs,C229&amp;"")&gt;0,"OK","CHECK"))</f>
        <v/>
      </c>
      <c r="E229" s="25">
        <f>IF(C229="","",IFERROR(INDEX(lst_JobName,MATCH(C229&amp;"",lst_Jobs,0)),""))</f>
        <v/>
      </c>
      <c r="F229" s="25">
        <f>IF(C229="","",IFERROR(INDEX(tbl_Finance[Client],MATCH(C229&amp;"",tbl_Finance[Job Number],0)),""))</f>
        <v/>
      </c>
      <c r="G229" s="28">
        <f>IF(C229="","",COUNTIFS(tbl_Finance[Job Number],C229&amp;"",tbl_Finance[Ex GST],"&lt;&gt;"))</f>
        <v/>
      </c>
      <c r="H229" s="27">
        <f>IF(C229="","",SUMIFS(tbl_Finance[Ex GST],tbl_Finance[Job Number],C229&amp;""))</f>
        <v/>
      </c>
      <c r="I229" s="27">
        <f>IF(C229="","",SUMIFS(tbl_Finance[Ex GST],tbl_Finance[Job Number],C229&amp;"",tbl_Finance[Xero Invoice No],"&lt;&gt;"))</f>
        <v/>
      </c>
      <c r="J229" s="27">
        <f>IF(C229="","",H229-I229)</f>
        <v/>
      </c>
      <c r="K229" s="25">
        <f>IF(C229="","",IF(G229=0,"not invoiced yet",SUBSTITUTE(TRIM(IF(COUNTIFS(tbl_Finance[Job Number],C229&amp;"",tbl_Finance[Cost Centre],"ONSITE")&gt;0,"ONSITE ","")&amp;IF(COUNTIFS(tbl_Finance[Job Number],C229&amp;"",tbl_Finance[Cost Centre],"PRODUCTION")&gt;0,"PRODUCTION ","")&amp;IF(COUNTIFS(tbl_Finance[Job Number],C229&amp;"",tbl_Finance[Cost Centre],"VIDEO")&gt;0,"VIDEO ","")&amp;IF(COUNTIFS(tbl_Finance[Job Number],C229&amp;"",tbl_Finance[Cost Centre],"INTEGRATION")&gt;0,"INTEGRATION ","")&amp;IF(COUNTIFS(tbl_Finance[Job Number],C229&amp;"",tbl_Finance[Cost Centre],"CONSULTING")&gt;0,"CONSULTING ","")&amp;IF(COUNTIFS(tbl_Finance[Job Number],C229&amp;"",tbl_Finance[Cost Centre],"CTS")&gt;0,"CTS ",""))," ",", ")))</f>
        <v/>
      </c>
      <c r="L229" s="24" t="n"/>
      <c r="M229" s="25">
        <f>IF(L229="","",HYPERLINK(IF(LEFT(L229,4)="http",L229,set_QwilrBase&amp;L229),"Open quote"))</f>
        <v/>
      </c>
      <c r="N229" s="26" t="n"/>
      <c r="O229" s="26" t="n"/>
      <c r="P229" s="26" t="n"/>
      <c r="Q229" s="25">
        <f>IF(C229="","",IF(N(N229)+N(O229)+N(P229)=0,"Not split",IF(ROUND(N(N229)+N(O229)+N(P229),2)=ROUND(H229,2),"OK","MISMATCH")))</f>
        <v/>
      </c>
      <c r="R229" s="26" t="n"/>
      <c r="S229" s="26" t="n"/>
      <c r="T229" s="26" t="n"/>
      <c r="U229" s="27">
        <f>IF(C229="","",N(R229)+N(S229)+N(T229))</f>
        <v/>
      </c>
      <c r="V229" s="27">
        <f>IF(C229="","",H229-U229)</f>
        <v/>
      </c>
      <c r="W229" s="29">
        <f>IFERROR(V229/H229,"")</f>
        <v/>
      </c>
      <c r="X229" s="24" t="n"/>
    </row>
    <row r="230" ht="15" customHeight="1">
      <c r="A230" s="63">
        <f>IF(C230="","",IFERROR(IF(SUMPRODUCT(MAX((tbl_Finance[Job Number]=C230&amp;"")*(tbl_Finance[Xero Invoice No]&lt;&gt;"")*tbl_Finance[Date]))=0,"",SUMPRODUCT(MAX((tbl_Finance[Job Number]=C230&amp;"")*(tbl_Finance[Xero Invoice No]&lt;&gt;"")*tbl_Finance[Date]))),""))</f>
        <v/>
      </c>
      <c r="B230" s="25">
        <f>IF(C230="","",IF(COUNTIFS(tbl_Finance[Job Number],C230&amp;"",tbl_Finance[Xero Invoice No],"&lt;&gt;")=0,"",IFERROR(IF(COUNTIFS(tbl_Finance[Job Number],C230&amp;"",tbl_Finance[Xero Invoice No],LOOKUP(2,1/((tbl_Finance[Job Number]=C230&amp;"")*(tbl_Finance[Xero Invoice No]&lt;&gt;"")),tbl_Finance[Xero Invoice No]))=COUNTIFS(tbl_Finance[Job Number],C230&amp;"",tbl_Finance[Xero Invoice No],"&lt;&gt;"),LOOKUP(2,1/((tbl_Finance[Job Number]=C230&amp;"")*(tbl_Finance[Xero Invoice No]&lt;&gt;"")),tbl_Finance[Xero Invoice No]),LOOKUP(2,1/((tbl_Finance[Job Number]=C230&amp;"")*(tbl_Finance[Xero Invoice No]&lt;&gt;"")),tbl_Finance[Xero Invoice No])&amp;" +more"),"")))</f>
        <v/>
      </c>
      <c r="C230" s="24" t="n"/>
      <c r="D230" s="25">
        <f>IF(C230="","",IF(COUNTIF(lst_Jobs,C230&amp;"")&gt;0,"OK","CHECK"))</f>
        <v/>
      </c>
      <c r="E230" s="25">
        <f>IF(C230="","",IFERROR(INDEX(lst_JobName,MATCH(C230&amp;"",lst_Jobs,0)),""))</f>
        <v/>
      </c>
      <c r="F230" s="25">
        <f>IF(C230="","",IFERROR(INDEX(tbl_Finance[Client],MATCH(C230&amp;"",tbl_Finance[Job Number],0)),""))</f>
        <v/>
      </c>
      <c r="G230" s="28">
        <f>IF(C230="","",COUNTIFS(tbl_Finance[Job Number],C230&amp;"",tbl_Finance[Ex GST],"&lt;&gt;"))</f>
        <v/>
      </c>
      <c r="H230" s="27">
        <f>IF(C230="","",SUMIFS(tbl_Finance[Ex GST],tbl_Finance[Job Number],C230&amp;""))</f>
        <v/>
      </c>
      <c r="I230" s="27">
        <f>IF(C230="","",SUMIFS(tbl_Finance[Ex GST],tbl_Finance[Job Number],C230&amp;"",tbl_Finance[Xero Invoice No],"&lt;&gt;"))</f>
        <v/>
      </c>
      <c r="J230" s="27">
        <f>IF(C230="","",H230-I230)</f>
        <v/>
      </c>
      <c r="K230" s="25">
        <f>IF(C230="","",IF(G230=0,"not invoiced yet",SUBSTITUTE(TRIM(IF(COUNTIFS(tbl_Finance[Job Number],C230&amp;"",tbl_Finance[Cost Centre],"ONSITE")&gt;0,"ONSITE ","")&amp;IF(COUNTIFS(tbl_Finance[Job Number],C230&amp;"",tbl_Finance[Cost Centre],"PRODUCTION")&gt;0,"PRODUCTION ","")&amp;IF(COUNTIFS(tbl_Finance[Job Number],C230&amp;"",tbl_Finance[Cost Centre],"VIDEO")&gt;0,"VIDEO ","")&amp;IF(COUNTIFS(tbl_Finance[Job Number],C230&amp;"",tbl_Finance[Cost Centre],"INTEGRATION")&gt;0,"INTEGRATION ","")&amp;IF(COUNTIFS(tbl_Finance[Job Number],C230&amp;"",tbl_Finance[Cost Centre],"CONSULTING")&gt;0,"CONSULTING ","")&amp;IF(COUNTIFS(tbl_Finance[Job Number],C230&amp;"",tbl_Finance[Cost Centre],"CTS")&gt;0,"CTS ",""))," ",", ")))</f>
        <v/>
      </c>
      <c r="L230" s="24" t="n"/>
      <c r="M230" s="25">
        <f>IF(L230="","",HYPERLINK(IF(LEFT(L230,4)="http",L230,set_QwilrBase&amp;L230),"Open quote"))</f>
        <v/>
      </c>
      <c r="N230" s="26" t="n"/>
      <c r="O230" s="26" t="n"/>
      <c r="P230" s="26" t="n"/>
      <c r="Q230" s="25">
        <f>IF(C230="","",IF(N(N230)+N(O230)+N(P230)=0,"Not split",IF(ROUND(N(N230)+N(O230)+N(P230),2)=ROUND(H230,2),"OK","MISMATCH")))</f>
        <v/>
      </c>
      <c r="R230" s="26" t="n"/>
      <c r="S230" s="26" t="n"/>
      <c r="T230" s="26" t="n"/>
      <c r="U230" s="27">
        <f>IF(C230="","",N(R230)+N(S230)+N(T230))</f>
        <v/>
      </c>
      <c r="V230" s="27">
        <f>IF(C230="","",H230-U230)</f>
        <v/>
      </c>
      <c r="W230" s="29">
        <f>IFERROR(V230/H230,"")</f>
        <v/>
      </c>
      <c r="X230" s="24" t="n"/>
    </row>
    <row r="231" ht="15" customHeight="1">
      <c r="A231" s="63">
        <f>IF(C231="","",IFERROR(IF(SUMPRODUCT(MAX((tbl_Finance[Job Number]=C231&amp;"")*(tbl_Finance[Xero Invoice No]&lt;&gt;"")*tbl_Finance[Date]))=0,"",SUMPRODUCT(MAX((tbl_Finance[Job Number]=C231&amp;"")*(tbl_Finance[Xero Invoice No]&lt;&gt;"")*tbl_Finance[Date]))),""))</f>
        <v/>
      </c>
      <c r="B231" s="25">
        <f>IF(C231="","",IF(COUNTIFS(tbl_Finance[Job Number],C231&amp;"",tbl_Finance[Xero Invoice No],"&lt;&gt;")=0,"",IFERROR(IF(COUNTIFS(tbl_Finance[Job Number],C231&amp;"",tbl_Finance[Xero Invoice No],LOOKUP(2,1/((tbl_Finance[Job Number]=C231&amp;"")*(tbl_Finance[Xero Invoice No]&lt;&gt;"")),tbl_Finance[Xero Invoice No]))=COUNTIFS(tbl_Finance[Job Number],C231&amp;"",tbl_Finance[Xero Invoice No],"&lt;&gt;"),LOOKUP(2,1/((tbl_Finance[Job Number]=C231&amp;"")*(tbl_Finance[Xero Invoice No]&lt;&gt;"")),tbl_Finance[Xero Invoice No]),LOOKUP(2,1/((tbl_Finance[Job Number]=C231&amp;"")*(tbl_Finance[Xero Invoice No]&lt;&gt;"")),tbl_Finance[Xero Invoice No])&amp;" +more"),"")))</f>
        <v/>
      </c>
      <c r="C231" s="24" t="n"/>
      <c r="D231" s="25">
        <f>IF(C231="","",IF(COUNTIF(lst_Jobs,C231&amp;"")&gt;0,"OK","CHECK"))</f>
        <v/>
      </c>
      <c r="E231" s="25">
        <f>IF(C231="","",IFERROR(INDEX(lst_JobName,MATCH(C231&amp;"",lst_Jobs,0)),""))</f>
        <v/>
      </c>
      <c r="F231" s="25">
        <f>IF(C231="","",IFERROR(INDEX(tbl_Finance[Client],MATCH(C231&amp;"",tbl_Finance[Job Number],0)),""))</f>
        <v/>
      </c>
      <c r="G231" s="28">
        <f>IF(C231="","",COUNTIFS(tbl_Finance[Job Number],C231&amp;"",tbl_Finance[Ex GST],"&lt;&gt;"))</f>
        <v/>
      </c>
      <c r="H231" s="27">
        <f>IF(C231="","",SUMIFS(tbl_Finance[Ex GST],tbl_Finance[Job Number],C231&amp;""))</f>
        <v/>
      </c>
      <c r="I231" s="27">
        <f>IF(C231="","",SUMIFS(tbl_Finance[Ex GST],tbl_Finance[Job Number],C231&amp;"",tbl_Finance[Xero Invoice No],"&lt;&gt;"))</f>
        <v/>
      </c>
      <c r="J231" s="27">
        <f>IF(C231="","",H231-I231)</f>
        <v/>
      </c>
      <c r="K231" s="25">
        <f>IF(C231="","",IF(G231=0,"not invoiced yet",SUBSTITUTE(TRIM(IF(COUNTIFS(tbl_Finance[Job Number],C231&amp;"",tbl_Finance[Cost Centre],"ONSITE")&gt;0,"ONSITE ","")&amp;IF(COUNTIFS(tbl_Finance[Job Number],C231&amp;"",tbl_Finance[Cost Centre],"PRODUCTION")&gt;0,"PRODUCTION ","")&amp;IF(COUNTIFS(tbl_Finance[Job Number],C231&amp;"",tbl_Finance[Cost Centre],"VIDEO")&gt;0,"VIDEO ","")&amp;IF(COUNTIFS(tbl_Finance[Job Number],C231&amp;"",tbl_Finance[Cost Centre],"INTEGRATION")&gt;0,"INTEGRATION ","")&amp;IF(COUNTIFS(tbl_Finance[Job Number],C231&amp;"",tbl_Finance[Cost Centre],"CONSULTING")&gt;0,"CONSULTING ","")&amp;IF(COUNTIFS(tbl_Finance[Job Number],C231&amp;"",tbl_Finance[Cost Centre],"CTS")&gt;0,"CTS ",""))," ",", ")))</f>
        <v/>
      </c>
      <c r="L231" s="24" t="n"/>
      <c r="M231" s="25">
        <f>IF(L231="","",HYPERLINK(IF(LEFT(L231,4)="http",L231,set_QwilrBase&amp;L231),"Open quote"))</f>
        <v/>
      </c>
      <c r="N231" s="26" t="n"/>
      <c r="O231" s="26" t="n"/>
      <c r="P231" s="26" t="n"/>
      <c r="Q231" s="25">
        <f>IF(C231="","",IF(N(N231)+N(O231)+N(P231)=0,"Not split",IF(ROUND(N(N231)+N(O231)+N(P231),2)=ROUND(H231,2),"OK","MISMATCH")))</f>
        <v/>
      </c>
      <c r="R231" s="26" t="n"/>
      <c r="S231" s="26" t="n"/>
      <c r="T231" s="26" t="n"/>
      <c r="U231" s="27">
        <f>IF(C231="","",N(R231)+N(S231)+N(T231))</f>
        <v/>
      </c>
      <c r="V231" s="27">
        <f>IF(C231="","",H231-U231)</f>
        <v/>
      </c>
      <c r="W231" s="29">
        <f>IFERROR(V231/H231,"")</f>
        <v/>
      </c>
      <c r="X231" s="24" t="n"/>
    </row>
    <row r="232" ht="15" customHeight="1">
      <c r="A232" s="63">
        <f>IF(C232="","",IFERROR(IF(SUMPRODUCT(MAX((tbl_Finance[Job Number]=C232&amp;"")*(tbl_Finance[Xero Invoice No]&lt;&gt;"")*tbl_Finance[Date]))=0,"",SUMPRODUCT(MAX((tbl_Finance[Job Number]=C232&amp;"")*(tbl_Finance[Xero Invoice No]&lt;&gt;"")*tbl_Finance[Date]))),""))</f>
        <v/>
      </c>
      <c r="B232" s="25">
        <f>IF(C232="","",IF(COUNTIFS(tbl_Finance[Job Number],C232&amp;"",tbl_Finance[Xero Invoice No],"&lt;&gt;")=0,"",IFERROR(IF(COUNTIFS(tbl_Finance[Job Number],C232&amp;"",tbl_Finance[Xero Invoice No],LOOKUP(2,1/((tbl_Finance[Job Number]=C232&amp;"")*(tbl_Finance[Xero Invoice No]&lt;&gt;"")),tbl_Finance[Xero Invoice No]))=COUNTIFS(tbl_Finance[Job Number],C232&amp;"",tbl_Finance[Xero Invoice No],"&lt;&gt;"),LOOKUP(2,1/((tbl_Finance[Job Number]=C232&amp;"")*(tbl_Finance[Xero Invoice No]&lt;&gt;"")),tbl_Finance[Xero Invoice No]),LOOKUP(2,1/((tbl_Finance[Job Number]=C232&amp;"")*(tbl_Finance[Xero Invoice No]&lt;&gt;"")),tbl_Finance[Xero Invoice No])&amp;" +more"),"")))</f>
        <v/>
      </c>
      <c r="C232" s="24" t="n"/>
      <c r="D232" s="25">
        <f>IF(C232="","",IF(COUNTIF(lst_Jobs,C232&amp;"")&gt;0,"OK","CHECK"))</f>
        <v/>
      </c>
      <c r="E232" s="25">
        <f>IF(C232="","",IFERROR(INDEX(lst_JobName,MATCH(C232&amp;"",lst_Jobs,0)),""))</f>
        <v/>
      </c>
      <c r="F232" s="25">
        <f>IF(C232="","",IFERROR(INDEX(tbl_Finance[Client],MATCH(C232&amp;"",tbl_Finance[Job Number],0)),""))</f>
        <v/>
      </c>
      <c r="G232" s="28">
        <f>IF(C232="","",COUNTIFS(tbl_Finance[Job Number],C232&amp;"",tbl_Finance[Ex GST],"&lt;&gt;"))</f>
        <v/>
      </c>
      <c r="H232" s="27">
        <f>IF(C232="","",SUMIFS(tbl_Finance[Ex GST],tbl_Finance[Job Number],C232&amp;""))</f>
        <v/>
      </c>
      <c r="I232" s="27">
        <f>IF(C232="","",SUMIFS(tbl_Finance[Ex GST],tbl_Finance[Job Number],C232&amp;"",tbl_Finance[Xero Invoice No],"&lt;&gt;"))</f>
        <v/>
      </c>
      <c r="J232" s="27">
        <f>IF(C232="","",H232-I232)</f>
        <v/>
      </c>
      <c r="K232" s="25">
        <f>IF(C232="","",IF(G232=0,"not invoiced yet",SUBSTITUTE(TRIM(IF(COUNTIFS(tbl_Finance[Job Number],C232&amp;"",tbl_Finance[Cost Centre],"ONSITE")&gt;0,"ONSITE ","")&amp;IF(COUNTIFS(tbl_Finance[Job Number],C232&amp;"",tbl_Finance[Cost Centre],"PRODUCTION")&gt;0,"PRODUCTION ","")&amp;IF(COUNTIFS(tbl_Finance[Job Number],C232&amp;"",tbl_Finance[Cost Centre],"VIDEO")&gt;0,"VIDEO ","")&amp;IF(COUNTIFS(tbl_Finance[Job Number],C232&amp;"",tbl_Finance[Cost Centre],"INTEGRATION")&gt;0,"INTEGRATION ","")&amp;IF(COUNTIFS(tbl_Finance[Job Number],C232&amp;"",tbl_Finance[Cost Centre],"CONSULTING")&gt;0,"CONSULTING ","")&amp;IF(COUNTIFS(tbl_Finance[Job Number],C232&amp;"",tbl_Finance[Cost Centre],"CTS")&gt;0,"CTS ",""))," ",", ")))</f>
        <v/>
      </c>
      <c r="L232" s="24" t="n"/>
      <c r="M232" s="25">
        <f>IF(L232="","",HYPERLINK(IF(LEFT(L232,4)="http",L232,set_QwilrBase&amp;L232),"Open quote"))</f>
        <v/>
      </c>
      <c r="N232" s="26" t="n"/>
      <c r="O232" s="26" t="n"/>
      <c r="P232" s="26" t="n"/>
      <c r="Q232" s="25">
        <f>IF(C232="","",IF(N(N232)+N(O232)+N(P232)=0,"Not split",IF(ROUND(N(N232)+N(O232)+N(P232),2)=ROUND(H232,2),"OK","MISMATCH")))</f>
        <v/>
      </c>
      <c r="R232" s="26" t="n"/>
      <c r="S232" s="26" t="n"/>
      <c r="T232" s="26" t="n"/>
      <c r="U232" s="27">
        <f>IF(C232="","",N(R232)+N(S232)+N(T232))</f>
        <v/>
      </c>
      <c r="V232" s="27">
        <f>IF(C232="","",H232-U232)</f>
        <v/>
      </c>
      <c r="W232" s="29">
        <f>IFERROR(V232/H232,"")</f>
        <v/>
      </c>
      <c r="X232" s="24" t="n"/>
    </row>
    <row r="233" ht="15" customHeight="1">
      <c r="A233" s="63">
        <f>IF(C233="","",IFERROR(IF(SUMPRODUCT(MAX((tbl_Finance[Job Number]=C233&amp;"")*(tbl_Finance[Xero Invoice No]&lt;&gt;"")*tbl_Finance[Date]))=0,"",SUMPRODUCT(MAX((tbl_Finance[Job Number]=C233&amp;"")*(tbl_Finance[Xero Invoice No]&lt;&gt;"")*tbl_Finance[Date]))),""))</f>
        <v/>
      </c>
      <c r="B233" s="25">
        <f>IF(C233="","",IF(COUNTIFS(tbl_Finance[Job Number],C233&amp;"",tbl_Finance[Xero Invoice No],"&lt;&gt;")=0,"",IFERROR(IF(COUNTIFS(tbl_Finance[Job Number],C233&amp;"",tbl_Finance[Xero Invoice No],LOOKUP(2,1/((tbl_Finance[Job Number]=C233&amp;"")*(tbl_Finance[Xero Invoice No]&lt;&gt;"")),tbl_Finance[Xero Invoice No]))=COUNTIFS(tbl_Finance[Job Number],C233&amp;"",tbl_Finance[Xero Invoice No],"&lt;&gt;"),LOOKUP(2,1/((tbl_Finance[Job Number]=C233&amp;"")*(tbl_Finance[Xero Invoice No]&lt;&gt;"")),tbl_Finance[Xero Invoice No]),LOOKUP(2,1/((tbl_Finance[Job Number]=C233&amp;"")*(tbl_Finance[Xero Invoice No]&lt;&gt;"")),tbl_Finance[Xero Invoice No])&amp;" +more"),"")))</f>
        <v/>
      </c>
      <c r="C233" s="24" t="n"/>
      <c r="D233" s="25">
        <f>IF(C233="","",IF(COUNTIF(lst_Jobs,C233&amp;"")&gt;0,"OK","CHECK"))</f>
        <v/>
      </c>
      <c r="E233" s="25">
        <f>IF(C233="","",IFERROR(INDEX(lst_JobName,MATCH(C233&amp;"",lst_Jobs,0)),""))</f>
        <v/>
      </c>
      <c r="F233" s="25">
        <f>IF(C233="","",IFERROR(INDEX(tbl_Finance[Client],MATCH(C233&amp;"",tbl_Finance[Job Number],0)),""))</f>
        <v/>
      </c>
      <c r="G233" s="28">
        <f>IF(C233="","",COUNTIFS(tbl_Finance[Job Number],C233&amp;"",tbl_Finance[Ex GST],"&lt;&gt;"))</f>
        <v/>
      </c>
      <c r="H233" s="27">
        <f>IF(C233="","",SUMIFS(tbl_Finance[Ex GST],tbl_Finance[Job Number],C233&amp;""))</f>
        <v/>
      </c>
      <c r="I233" s="27">
        <f>IF(C233="","",SUMIFS(tbl_Finance[Ex GST],tbl_Finance[Job Number],C233&amp;"",tbl_Finance[Xero Invoice No],"&lt;&gt;"))</f>
        <v/>
      </c>
      <c r="J233" s="27">
        <f>IF(C233="","",H233-I233)</f>
        <v/>
      </c>
      <c r="K233" s="25">
        <f>IF(C233="","",IF(G233=0,"not invoiced yet",SUBSTITUTE(TRIM(IF(COUNTIFS(tbl_Finance[Job Number],C233&amp;"",tbl_Finance[Cost Centre],"ONSITE")&gt;0,"ONSITE ","")&amp;IF(COUNTIFS(tbl_Finance[Job Number],C233&amp;"",tbl_Finance[Cost Centre],"PRODUCTION")&gt;0,"PRODUCTION ","")&amp;IF(COUNTIFS(tbl_Finance[Job Number],C233&amp;"",tbl_Finance[Cost Centre],"VIDEO")&gt;0,"VIDEO ","")&amp;IF(COUNTIFS(tbl_Finance[Job Number],C233&amp;"",tbl_Finance[Cost Centre],"INTEGRATION")&gt;0,"INTEGRATION ","")&amp;IF(COUNTIFS(tbl_Finance[Job Number],C233&amp;"",tbl_Finance[Cost Centre],"CONSULTING")&gt;0,"CONSULTING ","")&amp;IF(COUNTIFS(tbl_Finance[Job Number],C233&amp;"",tbl_Finance[Cost Centre],"CTS")&gt;0,"CTS ",""))," ",", ")))</f>
        <v/>
      </c>
      <c r="L233" s="24" t="n"/>
      <c r="M233" s="25">
        <f>IF(L233="","",HYPERLINK(IF(LEFT(L233,4)="http",L233,set_QwilrBase&amp;L233),"Open quote"))</f>
        <v/>
      </c>
      <c r="N233" s="26" t="n"/>
      <c r="O233" s="26" t="n"/>
      <c r="P233" s="26" t="n"/>
      <c r="Q233" s="25">
        <f>IF(C233="","",IF(N(N233)+N(O233)+N(P233)=0,"Not split",IF(ROUND(N(N233)+N(O233)+N(P233),2)=ROUND(H233,2),"OK","MISMATCH")))</f>
        <v/>
      </c>
      <c r="R233" s="26" t="n"/>
      <c r="S233" s="26" t="n"/>
      <c r="T233" s="26" t="n"/>
      <c r="U233" s="27">
        <f>IF(C233="","",N(R233)+N(S233)+N(T233))</f>
        <v/>
      </c>
      <c r="V233" s="27">
        <f>IF(C233="","",H233-U233)</f>
        <v/>
      </c>
      <c r="W233" s="29">
        <f>IFERROR(V233/H233,"")</f>
        <v/>
      </c>
      <c r="X233" s="24" t="n"/>
    </row>
    <row r="234" ht="15" customHeight="1">
      <c r="A234" s="63">
        <f>IF(C234="","",IFERROR(IF(SUMPRODUCT(MAX((tbl_Finance[Job Number]=C234&amp;"")*(tbl_Finance[Xero Invoice No]&lt;&gt;"")*tbl_Finance[Date]))=0,"",SUMPRODUCT(MAX((tbl_Finance[Job Number]=C234&amp;"")*(tbl_Finance[Xero Invoice No]&lt;&gt;"")*tbl_Finance[Date]))),""))</f>
        <v/>
      </c>
      <c r="B234" s="25">
        <f>IF(C234="","",IF(COUNTIFS(tbl_Finance[Job Number],C234&amp;"",tbl_Finance[Xero Invoice No],"&lt;&gt;")=0,"",IFERROR(IF(COUNTIFS(tbl_Finance[Job Number],C234&amp;"",tbl_Finance[Xero Invoice No],LOOKUP(2,1/((tbl_Finance[Job Number]=C234&amp;"")*(tbl_Finance[Xero Invoice No]&lt;&gt;"")),tbl_Finance[Xero Invoice No]))=COUNTIFS(tbl_Finance[Job Number],C234&amp;"",tbl_Finance[Xero Invoice No],"&lt;&gt;"),LOOKUP(2,1/((tbl_Finance[Job Number]=C234&amp;"")*(tbl_Finance[Xero Invoice No]&lt;&gt;"")),tbl_Finance[Xero Invoice No]),LOOKUP(2,1/((tbl_Finance[Job Number]=C234&amp;"")*(tbl_Finance[Xero Invoice No]&lt;&gt;"")),tbl_Finance[Xero Invoice No])&amp;" +more"),"")))</f>
        <v/>
      </c>
      <c r="C234" s="24" t="n"/>
      <c r="D234" s="25">
        <f>IF(C234="","",IF(COUNTIF(lst_Jobs,C234&amp;"")&gt;0,"OK","CHECK"))</f>
        <v/>
      </c>
      <c r="E234" s="25">
        <f>IF(C234="","",IFERROR(INDEX(lst_JobName,MATCH(C234&amp;"",lst_Jobs,0)),""))</f>
        <v/>
      </c>
      <c r="F234" s="25">
        <f>IF(C234="","",IFERROR(INDEX(tbl_Finance[Client],MATCH(C234&amp;"",tbl_Finance[Job Number],0)),""))</f>
        <v/>
      </c>
      <c r="G234" s="28">
        <f>IF(C234="","",COUNTIFS(tbl_Finance[Job Number],C234&amp;"",tbl_Finance[Ex GST],"&lt;&gt;"))</f>
        <v/>
      </c>
      <c r="H234" s="27">
        <f>IF(C234="","",SUMIFS(tbl_Finance[Ex GST],tbl_Finance[Job Number],C234&amp;""))</f>
        <v/>
      </c>
      <c r="I234" s="27">
        <f>IF(C234="","",SUMIFS(tbl_Finance[Ex GST],tbl_Finance[Job Number],C234&amp;"",tbl_Finance[Xero Invoice No],"&lt;&gt;"))</f>
        <v/>
      </c>
      <c r="J234" s="27">
        <f>IF(C234="","",H234-I234)</f>
        <v/>
      </c>
      <c r="K234" s="25">
        <f>IF(C234="","",IF(G234=0,"not invoiced yet",SUBSTITUTE(TRIM(IF(COUNTIFS(tbl_Finance[Job Number],C234&amp;"",tbl_Finance[Cost Centre],"ONSITE")&gt;0,"ONSITE ","")&amp;IF(COUNTIFS(tbl_Finance[Job Number],C234&amp;"",tbl_Finance[Cost Centre],"PRODUCTION")&gt;0,"PRODUCTION ","")&amp;IF(COUNTIFS(tbl_Finance[Job Number],C234&amp;"",tbl_Finance[Cost Centre],"VIDEO")&gt;0,"VIDEO ","")&amp;IF(COUNTIFS(tbl_Finance[Job Number],C234&amp;"",tbl_Finance[Cost Centre],"INTEGRATION")&gt;0,"INTEGRATION ","")&amp;IF(COUNTIFS(tbl_Finance[Job Number],C234&amp;"",tbl_Finance[Cost Centre],"CONSULTING")&gt;0,"CONSULTING ","")&amp;IF(COUNTIFS(tbl_Finance[Job Number],C234&amp;"",tbl_Finance[Cost Centre],"CTS")&gt;0,"CTS ",""))," ",", ")))</f>
        <v/>
      </c>
      <c r="L234" s="24" t="n"/>
      <c r="M234" s="25">
        <f>IF(L234="","",HYPERLINK(IF(LEFT(L234,4)="http",L234,set_QwilrBase&amp;L234),"Open quote"))</f>
        <v/>
      </c>
      <c r="N234" s="26" t="n"/>
      <c r="O234" s="26" t="n"/>
      <c r="P234" s="26" t="n"/>
      <c r="Q234" s="25">
        <f>IF(C234="","",IF(N(N234)+N(O234)+N(P234)=0,"Not split",IF(ROUND(N(N234)+N(O234)+N(P234),2)=ROUND(H234,2),"OK","MISMATCH")))</f>
        <v/>
      </c>
      <c r="R234" s="26" t="n"/>
      <c r="S234" s="26" t="n"/>
      <c r="T234" s="26" t="n"/>
      <c r="U234" s="27">
        <f>IF(C234="","",N(R234)+N(S234)+N(T234))</f>
        <v/>
      </c>
      <c r="V234" s="27">
        <f>IF(C234="","",H234-U234)</f>
        <v/>
      </c>
      <c r="W234" s="29">
        <f>IFERROR(V234/H234,"")</f>
        <v/>
      </c>
      <c r="X234" s="24" t="n"/>
    </row>
    <row r="235" ht="15" customHeight="1">
      <c r="A235" s="63">
        <f>IF(C235="","",IFERROR(IF(SUMPRODUCT(MAX((tbl_Finance[Job Number]=C235&amp;"")*(tbl_Finance[Xero Invoice No]&lt;&gt;"")*tbl_Finance[Date]))=0,"",SUMPRODUCT(MAX((tbl_Finance[Job Number]=C235&amp;"")*(tbl_Finance[Xero Invoice No]&lt;&gt;"")*tbl_Finance[Date]))),""))</f>
        <v/>
      </c>
      <c r="B235" s="25">
        <f>IF(C235="","",IF(COUNTIFS(tbl_Finance[Job Number],C235&amp;"",tbl_Finance[Xero Invoice No],"&lt;&gt;")=0,"",IFERROR(IF(COUNTIFS(tbl_Finance[Job Number],C235&amp;"",tbl_Finance[Xero Invoice No],LOOKUP(2,1/((tbl_Finance[Job Number]=C235&amp;"")*(tbl_Finance[Xero Invoice No]&lt;&gt;"")),tbl_Finance[Xero Invoice No]))=COUNTIFS(tbl_Finance[Job Number],C235&amp;"",tbl_Finance[Xero Invoice No],"&lt;&gt;"),LOOKUP(2,1/((tbl_Finance[Job Number]=C235&amp;"")*(tbl_Finance[Xero Invoice No]&lt;&gt;"")),tbl_Finance[Xero Invoice No]),LOOKUP(2,1/((tbl_Finance[Job Number]=C235&amp;"")*(tbl_Finance[Xero Invoice No]&lt;&gt;"")),tbl_Finance[Xero Invoice No])&amp;" +more"),"")))</f>
        <v/>
      </c>
      <c r="C235" s="24" t="n"/>
      <c r="D235" s="25">
        <f>IF(C235="","",IF(COUNTIF(lst_Jobs,C235&amp;"")&gt;0,"OK","CHECK"))</f>
        <v/>
      </c>
      <c r="E235" s="25">
        <f>IF(C235="","",IFERROR(INDEX(lst_JobName,MATCH(C235&amp;"",lst_Jobs,0)),""))</f>
        <v/>
      </c>
      <c r="F235" s="25">
        <f>IF(C235="","",IFERROR(INDEX(tbl_Finance[Client],MATCH(C235&amp;"",tbl_Finance[Job Number],0)),""))</f>
        <v/>
      </c>
      <c r="G235" s="28">
        <f>IF(C235="","",COUNTIFS(tbl_Finance[Job Number],C235&amp;"",tbl_Finance[Ex GST],"&lt;&gt;"))</f>
        <v/>
      </c>
      <c r="H235" s="27">
        <f>IF(C235="","",SUMIFS(tbl_Finance[Ex GST],tbl_Finance[Job Number],C235&amp;""))</f>
        <v/>
      </c>
      <c r="I235" s="27">
        <f>IF(C235="","",SUMIFS(tbl_Finance[Ex GST],tbl_Finance[Job Number],C235&amp;"",tbl_Finance[Xero Invoice No],"&lt;&gt;"))</f>
        <v/>
      </c>
      <c r="J235" s="27">
        <f>IF(C235="","",H235-I235)</f>
        <v/>
      </c>
      <c r="K235" s="25">
        <f>IF(C235="","",IF(G235=0,"not invoiced yet",SUBSTITUTE(TRIM(IF(COUNTIFS(tbl_Finance[Job Number],C235&amp;"",tbl_Finance[Cost Centre],"ONSITE")&gt;0,"ONSITE ","")&amp;IF(COUNTIFS(tbl_Finance[Job Number],C235&amp;"",tbl_Finance[Cost Centre],"PRODUCTION")&gt;0,"PRODUCTION ","")&amp;IF(COUNTIFS(tbl_Finance[Job Number],C235&amp;"",tbl_Finance[Cost Centre],"VIDEO")&gt;0,"VIDEO ","")&amp;IF(COUNTIFS(tbl_Finance[Job Number],C235&amp;"",tbl_Finance[Cost Centre],"INTEGRATION")&gt;0,"INTEGRATION ","")&amp;IF(COUNTIFS(tbl_Finance[Job Number],C235&amp;"",tbl_Finance[Cost Centre],"CONSULTING")&gt;0,"CONSULTING ","")&amp;IF(COUNTIFS(tbl_Finance[Job Number],C235&amp;"",tbl_Finance[Cost Centre],"CTS")&gt;0,"CTS ",""))," ",", ")))</f>
        <v/>
      </c>
      <c r="L235" s="24" t="n"/>
      <c r="M235" s="25">
        <f>IF(L235="","",HYPERLINK(IF(LEFT(L235,4)="http",L235,set_QwilrBase&amp;L235),"Open quote"))</f>
        <v/>
      </c>
      <c r="N235" s="26" t="n"/>
      <c r="O235" s="26" t="n"/>
      <c r="P235" s="26" t="n"/>
      <c r="Q235" s="25">
        <f>IF(C235="","",IF(N(N235)+N(O235)+N(P235)=0,"Not split",IF(ROUND(N(N235)+N(O235)+N(P235),2)=ROUND(H235,2),"OK","MISMATCH")))</f>
        <v/>
      </c>
      <c r="R235" s="26" t="n"/>
      <c r="S235" s="26" t="n"/>
      <c r="T235" s="26" t="n"/>
      <c r="U235" s="27">
        <f>IF(C235="","",N(R235)+N(S235)+N(T235))</f>
        <v/>
      </c>
      <c r="V235" s="27">
        <f>IF(C235="","",H235-U235)</f>
        <v/>
      </c>
      <c r="W235" s="29">
        <f>IFERROR(V235/H235,"")</f>
        <v/>
      </c>
      <c r="X235" s="24" t="n"/>
    </row>
    <row r="236" ht="15" customHeight="1">
      <c r="A236" s="63">
        <f>IF(C236="","",IFERROR(IF(SUMPRODUCT(MAX((tbl_Finance[Job Number]=C236&amp;"")*(tbl_Finance[Xero Invoice No]&lt;&gt;"")*tbl_Finance[Date]))=0,"",SUMPRODUCT(MAX((tbl_Finance[Job Number]=C236&amp;"")*(tbl_Finance[Xero Invoice No]&lt;&gt;"")*tbl_Finance[Date]))),""))</f>
        <v/>
      </c>
      <c r="B236" s="25">
        <f>IF(C236="","",IF(COUNTIFS(tbl_Finance[Job Number],C236&amp;"",tbl_Finance[Xero Invoice No],"&lt;&gt;")=0,"",IFERROR(IF(COUNTIFS(tbl_Finance[Job Number],C236&amp;"",tbl_Finance[Xero Invoice No],LOOKUP(2,1/((tbl_Finance[Job Number]=C236&amp;"")*(tbl_Finance[Xero Invoice No]&lt;&gt;"")),tbl_Finance[Xero Invoice No]))=COUNTIFS(tbl_Finance[Job Number],C236&amp;"",tbl_Finance[Xero Invoice No],"&lt;&gt;"),LOOKUP(2,1/((tbl_Finance[Job Number]=C236&amp;"")*(tbl_Finance[Xero Invoice No]&lt;&gt;"")),tbl_Finance[Xero Invoice No]),LOOKUP(2,1/((tbl_Finance[Job Number]=C236&amp;"")*(tbl_Finance[Xero Invoice No]&lt;&gt;"")),tbl_Finance[Xero Invoice No])&amp;" +more"),"")))</f>
        <v/>
      </c>
      <c r="C236" s="24" t="n"/>
      <c r="D236" s="25">
        <f>IF(C236="","",IF(COUNTIF(lst_Jobs,C236&amp;"")&gt;0,"OK","CHECK"))</f>
        <v/>
      </c>
      <c r="E236" s="25">
        <f>IF(C236="","",IFERROR(INDEX(lst_JobName,MATCH(C236&amp;"",lst_Jobs,0)),""))</f>
        <v/>
      </c>
      <c r="F236" s="25">
        <f>IF(C236="","",IFERROR(INDEX(tbl_Finance[Client],MATCH(C236&amp;"",tbl_Finance[Job Number],0)),""))</f>
        <v/>
      </c>
      <c r="G236" s="28">
        <f>IF(C236="","",COUNTIFS(tbl_Finance[Job Number],C236&amp;"",tbl_Finance[Ex GST],"&lt;&gt;"))</f>
        <v/>
      </c>
      <c r="H236" s="27">
        <f>IF(C236="","",SUMIFS(tbl_Finance[Ex GST],tbl_Finance[Job Number],C236&amp;""))</f>
        <v/>
      </c>
      <c r="I236" s="27">
        <f>IF(C236="","",SUMIFS(tbl_Finance[Ex GST],tbl_Finance[Job Number],C236&amp;"",tbl_Finance[Xero Invoice No],"&lt;&gt;"))</f>
        <v/>
      </c>
      <c r="J236" s="27">
        <f>IF(C236="","",H236-I236)</f>
        <v/>
      </c>
      <c r="K236" s="25">
        <f>IF(C236="","",IF(G236=0,"not invoiced yet",SUBSTITUTE(TRIM(IF(COUNTIFS(tbl_Finance[Job Number],C236&amp;"",tbl_Finance[Cost Centre],"ONSITE")&gt;0,"ONSITE ","")&amp;IF(COUNTIFS(tbl_Finance[Job Number],C236&amp;"",tbl_Finance[Cost Centre],"PRODUCTION")&gt;0,"PRODUCTION ","")&amp;IF(COUNTIFS(tbl_Finance[Job Number],C236&amp;"",tbl_Finance[Cost Centre],"VIDEO")&gt;0,"VIDEO ","")&amp;IF(COUNTIFS(tbl_Finance[Job Number],C236&amp;"",tbl_Finance[Cost Centre],"INTEGRATION")&gt;0,"INTEGRATION ","")&amp;IF(COUNTIFS(tbl_Finance[Job Number],C236&amp;"",tbl_Finance[Cost Centre],"CONSULTING")&gt;0,"CONSULTING ","")&amp;IF(COUNTIFS(tbl_Finance[Job Number],C236&amp;"",tbl_Finance[Cost Centre],"CTS")&gt;0,"CTS ",""))," ",", ")))</f>
        <v/>
      </c>
      <c r="L236" s="24" t="n"/>
      <c r="M236" s="25">
        <f>IF(L236="","",HYPERLINK(IF(LEFT(L236,4)="http",L236,set_QwilrBase&amp;L236),"Open quote"))</f>
        <v/>
      </c>
      <c r="N236" s="26" t="n"/>
      <c r="O236" s="26" t="n"/>
      <c r="P236" s="26" t="n"/>
      <c r="Q236" s="25">
        <f>IF(C236="","",IF(N(N236)+N(O236)+N(P236)=0,"Not split",IF(ROUND(N(N236)+N(O236)+N(P236),2)=ROUND(H236,2),"OK","MISMATCH")))</f>
        <v/>
      </c>
      <c r="R236" s="26" t="n"/>
      <c r="S236" s="26" t="n"/>
      <c r="T236" s="26" t="n"/>
      <c r="U236" s="27">
        <f>IF(C236="","",N(R236)+N(S236)+N(T236))</f>
        <v/>
      </c>
      <c r="V236" s="27">
        <f>IF(C236="","",H236-U236)</f>
        <v/>
      </c>
      <c r="W236" s="29">
        <f>IFERROR(V236/H236,"")</f>
        <v/>
      </c>
      <c r="X236" s="24" t="n"/>
    </row>
    <row r="237" ht="15" customHeight="1">
      <c r="A237" s="63">
        <f>IF(C237="","",IFERROR(IF(SUMPRODUCT(MAX((tbl_Finance[Job Number]=C237&amp;"")*(tbl_Finance[Xero Invoice No]&lt;&gt;"")*tbl_Finance[Date]))=0,"",SUMPRODUCT(MAX((tbl_Finance[Job Number]=C237&amp;"")*(tbl_Finance[Xero Invoice No]&lt;&gt;"")*tbl_Finance[Date]))),""))</f>
        <v/>
      </c>
      <c r="B237" s="25">
        <f>IF(C237="","",IF(COUNTIFS(tbl_Finance[Job Number],C237&amp;"",tbl_Finance[Xero Invoice No],"&lt;&gt;")=0,"",IFERROR(IF(COUNTIFS(tbl_Finance[Job Number],C237&amp;"",tbl_Finance[Xero Invoice No],LOOKUP(2,1/((tbl_Finance[Job Number]=C237&amp;"")*(tbl_Finance[Xero Invoice No]&lt;&gt;"")),tbl_Finance[Xero Invoice No]))=COUNTIFS(tbl_Finance[Job Number],C237&amp;"",tbl_Finance[Xero Invoice No],"&lt;&gt;"),LOOKUP(2,1/((tbl_Finance[Job Number]=C237&amp;"")*(tbl_Finance[Xero Invoice No]&lt;&gt;"")),tbl_Finance[Xero Invoice No]),LOOKUP(2,1/((tbl_Finance[Job Number]=C237&amp;"")*(tbl_Finance[Xero Invoice No]&lt;&gt;"")),tbl_Finance[Xero Invoice No])&amp;" +more"),"")))</f>
        <v/>
      </c>
      <c r="C237" s="24" t="n"/>
      <c r="D237" s="25">
        <f>IF(C237="","",IF(COUNTIF(lst_Jobs,C237&amp;"")&gt;0,"OK","CHECK"))</f>
        <v/>
      </c>
      <c r="E237" s="25">
        <f>IF(C237="","",IFERROR(INDEX(lst_JobName,MATCH(C237&amp;"",lst_Jobs,0)),""))</f>
        <v/>
      </c>
      <c r="F237" s="25">
        <f>IF(C237="","",IFERROR(INDEX(tbl_Finance[Client],MATCH(C237&amp;"",tbl_Finance[Job Number],0)),""))</f>
        <v/>
      </c>
      <c r="G237" s="28">
        <f>IF(C237="","",COUNTIFS(tbl_Finance[Job Number],C237&amp;"",tbl_Finance[Ex GST],"&lt;&gt;"))</f>
        <v/>
      </c>
      <c r="H237" s="27">
        <f>IF(C237="","",SUMIFS(tbl_Finance[Ex GST],tbl_Finance[Job Number],C237&amp;""))</f>
        <v/>
      </c>
      <c r="I237" s="27">
        <f>IF(C237="","",SUMIFS(tbl_Finance[Ex GST],tbl_Finance[Job Number],C237&amp;"",tbl_Finance[Xero Invoice No],"&lt;&gt;"))</f>
        <v/>
      </c>
      <c r="J237" s="27">
        <f>IF(C237="","",H237-I237)</f>
        <v/>
      </c>
      <c r="K237" s="25">
        <f>IF(C237="","",IF(G237=0,"not invoiced yet",SUBSTITUTE(TRIM(IF(COUNTIFS(tbl_Finance[Job Number],C237&amp;"",tbl_Finance[Cost Centre],"ONSITE")&gt;0,"ONSITE ","")&amp;IF(COUNTIFS(tbl_Finance[Job Number],C237&amp;"",tbl_Finance[Cost Centre],"PRODUCTION")&gt;0,"PRODUCTION ","")&amp;IF(COUNTIFS(tbl_Finance[Job Number],C237&amp;"",tbl_Finance[Cost Centre],"VIDEO")&gt;0,"VIDEO ","")&amp;IF(COUNTIFS(tbl_Finance[Job Number],C237&amp;"",tbl_Finance[Cost Centre],"INTEGRATION")&gt;0,"INTEGRATION ","")&amp;IF(COUNTIFS(tbl_Finance[Job Number],C237&amp;"",tbl_Finance[Cost Centre],"CONSULTING")&gt;0,"CONSULTING ","")&amp;IF(COUNTIFS(tbl_Finance[Job Number],C237&amp;"",tbl_Finance[Cost Centre],"CTS")&gt;0,"CTS ",""))," ",", ")))</f>
        <v/>
      </c>
      <c r="L237" s="24" t="n"/>
      <c r="M237" s="25">
        <f>IF(L237="","",HYPERLINK(IF(LEFT(L237,4)="http",L237,set_QwilrBase&amp;L237),"Open quote"))</f>
        <v/>
      </c>
      <c r="N237" s="26" t="n"/>
      <c r="O237" s="26" t="n"/>
      <c r="P237" s="26" t="n"/>
      <c r="Q237" s="25">
        <f>IF(C237="","",IF(N(N237)+N(O237)+N(P237)=0,"Not split",IF(ROUND(N(N237)+N(O237)+N(P237),2)=ROUND(H237,2),"OK","MISMATCH")))</f>
        <v/>
      </c>
      <c r="R237" s="26" t="n"/>
      <c r="S237" s="26" t="n"/>
      <c r="T237" s="26" t="n"/>
      <c r="U237" s="27">
        <f>IF(C237="","",N(R237)+N(S237)+N(T237))</f>
        <v/>
      </c>
      <c r="V237" s="27">
        <f>IF(C237="","",H237-U237)</f>
        <v/>
      </c>
      <c r="W237" s="29">
        <f>IFERROR(V237/H237,"")</f>
        <v/>
      </c>
      <c r="X237" s="24" t="n"/>
    </row>
    <row r="238" ht="15" customHeight="1">
      <c r="A238" s="63">
        <f>IF(C238="","",IFERROR(IF(SUMPRODUCT(MAX((tbl_Finance[Job Number]=C238&amp;"")*(tbl_Finance[Xero Invoice No]&lt;&gt;"")*tbl_Finance[Date]))=0,"",SUMPRODUCT(MAX((tbl_Finance[Job Number]=C238&amp;"")*(tbl_Finance[Xero Invoice No]&lt;&gt;"")*tbl_Finance[Date]))),""))</f>
        <v/>
      </c>
      <c r="B238" s="25">
        <f>IF(C238="","",IF(COUNTIFS(tbl_Finance[Job Number],C238&amp;"",tbl_Finance[Xero Invoice No],"&lt;&gt;")=0,"",IFERROR(IF(COUNTIFS(tbl_Finance[Job Number],C238&amp;"",tbl_Finance[Xero Invoice No],LOOKUP(2,1/((tbl_Finance[Job Number]=C238&amp;"")*(tbl_Finance[Xero Invoice No]&lt;&gt;"")),tbl_Finance[Xero Invoice No]))=COUNTIFS(tbl_Finance[Job Number],C238&amp;"",tbl_Finance[Xero Invoice No],"&lt;&gt;"),LOOKUP(2,1/((tbl_Finance[Job Number]=C238&amp;"")*(tbl_Finance[Xero Invoice No]&lt;&gt;"")),tbl_Finance[Xero Invoice No]),LOOKUP(2,1/((tbl_Finance[Job Number]=C238&amp;"")*(tbl_Finance[Xero Invoice No]&lt;&gt;"")),tbl_Finance[Xero Invoice No])&amp;" +more"),"")))</f>
        <v/>
      </c>
      <c r="C238" s="24" t="n"/>
      <c r="D238" s="25">
        <f>IF(C238="","",IF(COUNTIF(lst_Jobs,C238&amp;"")&gt;0,"OK","CHECK"))</f>
        <v/>
      </c>
      <c r="E238" s="25">
        <f>IF(C238="","",IFERROR(INDEX(lst_JobName,MATCH(C238&amp;"",lst_Jobs,0)),""))</f>
        <v/>
      </c>
      <c r="F238" s="25">
        <f>IF(C238="","",IFERROR(INDEX(tbl_Finance[Client],MATCH(C238&amp;"",tbl_Finance[Job Number],0)),""))</f>
        <v/>
      </c>
      <c r="G238" s="28">
        <f>IF(C238="","",COUNTIFS(tbl_Finance[Job Number],C238&amp;"",tbl_Finance[Ex GST],"&lt;&gt;"))</f>
        <v/>
      </c>
      <c r="H238" s="27">
        <f>IF(C238="","",SUMIFS(tbl_Finance[Ex GST],tbl_Finance[Job Number],C238&amp;""))</f>
        <v/>
      </c>
      <c r="I238" s="27">
        <f>IF(C238="","",SUMIFS(tbl_Finance[Ex GST],tbl_Finance[Job Number],C238&amp;"",tbl_Finance[Xero Invoice No],"&lt;&gt;"))</f>
        <v/>
      </c>
      <c r="J238" s="27">
        <f>IF(C238="","",H238-I238)</f>
        <v/>
      </c>
      <c r="K238" s="25">
        <f>IF(C238="","",IF(G238=0,"not invoiced yet",SUBSTITUTE(TRIM(IF(COUNTIFS(tbl_Finance[Job Number],C238&amp;"",tbl_Finance[Cost Centre],"ONSITE")&gt;0,"ONSITE ","")&amp;IF(COUNTIFS(tbl_Finance[Job Number],C238&amp;"",tbl_Finance[Cost Centre],"PRODUCTION")&gt;0,"PRODUCTION ","")&amp;IF(COUNTIFS(tbl_Finance[Job Number],C238&amp;"",tbl_Finance[Cost Centre],"VIDEO")&gt;0,"VIDEO ","")&amp;IF(COUNTIFS(tbl_Finance[Job Number],C238&amp;"",tbl_Finance[Cost Centre],"INTEGRATION")&gt;0,"INTEGRATION ","")&amp;IF(COUNTIFS(tbl_Finance[Job Number],C238&amp;"",tbl_Finance[Cost Centre],"CONSULTING")&gt;0,"CONSULTING ","")&amp;IF(COUNTIFS(tbl_Finance[Job Number],C238&amp;"",tbl_Finance[Cost Centre],"CTS")&gt;0,"CTS ",""))," ",", ")))</f>
        <v/>
      </c>
      <c r="L238" s="24" t="n"/>
      <c r="M238" s="25">
        <f>IF(L238="","",HYPERLINK(IF(LEFT(L238,4)="http",L238,set_QwilrBase&amp;L238),"Open quote"))</f>
        <v/>
      </c>
      <c r="N238" s="26" t="n"/>
      <c r="O238" s="26" t="n"/>
      <c r="P238" s="26" t="n"/>
      <c r="Q238" s="25">
        <f>IF(C238="","",IF(N(N238)+N(O238)+N(P238)=0,"Not split",IF(ROUND(N(N238)+N(O238)+N(P238),2)=ROUND(H238,2),"OK","MISMATCH")))</f>
        <v/>
      </c>
      <c r="R238" s="26" t="n"/>
      <c r="S238" s="26" t="n"/>
      <c r="T238" s="26" t="n"/>
      <c r="U238" s="27">
        <f>IF(C238="","",N(R238)+N(S238)+N(T238))</f>
        <v/>
      </c>
      <c r="V238" s="27">
        <f>IF(C238="","",H238-U238)</f>
        <v/>
      </c>
      <c r="W238" s="29">
        <f>IFERROR(V238/H238,"")</f>
        <v/>
      </c>
      <c r="X238" s="24" t="n"/>
    </row>
    <row r="239" ht="15" customHeight="1">
      <c r="A239" s="63">
        <f>IF(C239="","",IFERROR(IF(SUMPRODUCT(MAX((tbl_Finance[Job Number]=C239&amp;"")*(tbl_Finance[Xero Invoice No]&lt;&gt;"")*tbl_Finance[Date]))=0,"",SUMPRODUCT(MAX((tbl_Finance[Job Number]=C239&amp;"")*(tbl_Finance[Xero Invoice No]&lt;&gt;"")*tbl_Finance[Date]))),""))</f>
        <v/>
      </c>
      <c r="B239" s="25">
        <f>IF(C239="","",IF(COUNTIFS(tbl_Finance[Job Number],C239&amp;"",tbl_Finance[Xero Invoice No],"&lt;&gt;")=0,"",IFERROR(IF(COUNTIFS(tbl_Finance[Job Number],C239&amp;"",tbl_Finance[Xero Invoice No],LOOKUP(2,1/((tbl_Finance[Job Number]=C239&amp;"")*(tbl_Finance[Xero Invoice No]&lt;&gt;"")),tbl_Finance[Xero Invoice No]))=COUNTIFS(tbl_Finance[Job Number],C239&amp;"",tbl_Finance[Xero Invoice No],"&lt;&gt;"),LOOKUP(2,1/((tbl_Finance[Job Number]=C239&amp;"")*(tbl_Finance[Xero Invoice No]&lt;&gt;"")),tbl_Finance[Xero Invoice No]),LOOKUP(2,1/((tbl_Finance[Job Number]=C239&amp;"")*(tbl_Finance[Xero Invoice No]&lt;&gt;"")),tbl_Finance[Xero Invoice No])&amp;" +more"),"")))</f>
        <v/>
      </c>
      <c r="C239" s="24" t="n"/>
      <c r="D239" s="25">
        <f>IF(C239="","",IF(COUNTIF(lst_Jobs,C239&amp;"")&gt;0,"OK","CHECK"))</f>
        <v/>
      </c>
      <c r="E239" s="25">
        <f>IF(C239="","",IFERROR(INDEX(lst_JobName,MATCH(C239&amp;"",lst_Jobs,0)),""))</f>
        <v/>
      </c>
      <c r="F239" s="25">
        <f>IF(C239="","",IFERROR(INDEX(tbl_Finance[Client],MATCH(C239&amp;"",tbl_Finance[Job Number],0)),""))</f>
        <v/>
      </c>
      <c r="G239" s="28">
        <f>IF(C239="","",COUNTIFS(tbl_Finance[Job Number],C239&amp;"",tbl_Finance[Ex GST],"&lt;&gt;"))</f>
        <v/>
      </c>
      <c r="H239" s="27">
        <f>IF(C239="","",SUMIFS(tbl_Finance[Ex GST],tbl_Finance[Job Number],C239&amp;""))</f>
        <v/>
      </c>
      <c r="I239" s="27">
        <f>IF(C239="","",SUMIFS(tbl_Finance[Ex GST],tbl_Finance[Job Number],C239&amp;"",tbl_Finance[Xero Invoice No],"&lt;&gt;"))</f>
        <v/>
      </c>
      <c r="J239" s="27">
        <f>IF(C239="","",H239-I239)</f>
        <v/>
      </c>
      <c r="K239" s="25">
        <f>IF(C239="","",IF(G239=0,"not invoiced yet",SUBSTITUTE(TRIM(IF(COUNTIFS(tbl_Finance[Job Number],C239&amp;"",tbl_Finance[Cost Centre],"ONSITE")&gt;0,"ONSITE ","")&amp;IF(COUNTIFS(tbl_Finance[Job Number],C239&amp;"",tbl_Finance[Cost Centre],"PRODUCTION")&gt;0,"PRODUCTION ","")&amp;IF(COUNTIFS(tbl_Finance[Job Number],C239&amp;"",tbl_Finance[Cost Centre],"VIDEO")&gt;0,"VIDEO ","")&amp;IF(COUNTIFS(tbl_Finance[Job Number],C239&amp;"",tbl_Finance[Cost Centre],"INTEGRATION")&gt;0,"INTEGRATION ","")&amp;IF(COUNTIFS(tbl_Finance[Job Number],C239&amp;"",tbl_Finance[Cost Centre],"CONSULTING")&gt;0,"CONSULTING ","")&amp;IF(COUNTIFS(tbl_Finance[Job Number],C239&amp;"",tbl_Finance[Cost Centre],"CTS")&gt;0,"CTS ",""))," ",", ")))</f>
        <v/>
      </c>
      <c r="L239" s="24" t="n"/>
      <c r="M239" s="25">
        <f>IF(L239="","",HYPERLINK(IF(LEFT(L239,4)="http",L239,set_QwilrBase&amp;L239),"Open quote"))</f>
        <v/>
      </c>
      <c r="N239" s="26" t="n"/>
      <c r="O239" s="26" t="n"/>
      <c r="P239" s="26" t="n"/>
      <c r="Q239" s="25">
        <f>IF(C239="","",IF(N(N239)+N(O239)+N(P239)=0,"Not split",IF(ROUND(N(N239)+N(O239)+N(P239),2)=ROUND(H239,2),"OK","MISMATCH")))</f>
        <v/>
      </c>
      <c r="R239" s="26" t="n"/>
      <c r="S239" s="26" t="n"/>
      <c r="T239" s="26" t="n"/>
      <c r="U239" s="27">
        <f>IF(C239="","",N(R239)+N(S239)+N(T239))</f>
        <v/>
      </c>
      <c r="V239" s="27">
        <f>IF(C239="","",H239-U239)</f>
        <v/>
      </c>
      <c r="W239" s="29">
        <f>IFERROR(V239/H239,"")</f>
        <v/>
      </c>
      <c r="X239" s="24" t="n"/>
    </row>
    <row r="240" ht="15" customHeight="1">
      <c r="A240" s="63">
        <f>IF(C240="","",IFERROR(IF(SUMPRODUCT(MAX((tbl_Finance[Job Number]=C240&amp;"")*(tbl_Finance[Xero Invoice No]&lt;&gt;"")*tbl_Finance[Date]))=0,"",SUMPRODUCT(MAX((tbl_Finance[Job Number]=C240&amp;"")*(tbl_Finance[Xero Invoice No]&lt;&gt;"")*tbl_Finance[Date]))),""))</f>
        <v/>
      </c>
      <c r="B240" s="25">
        <f>IF(C240="","",IF(COUNTIFS(tbl_Finance[Job Number],C240&amp;"",tbl_Finance[Xero Invoice No],"&lt;&gt;")=0,"",IFERROR(IF(COUNTIFS(tbl_Finance[Job Number],C240&amp;"",tbl_Finance[Xero Invoice No],LOOKUP(2,1/((tbl_Finance[Job Number]=C240&amp;"")*(tbl_Finance[Xero Invoice No]&lt;&gt;"")),tbl_Finance[Xero Invoice No]))=COUNTIFS(tbl_Finance[Job Number],C240&amp;"",tbl_Finance[Xero Invoice No],"&lt;&gt;"),LOOKUP(2,1/((tbl_Finance[Job Number]=C240&amp;"")*(tbl_Finance[Xero Invoice No]&lt;&gt;"")),tbl_Finance[Xero Invoice No]),LOOKUP(2,1/((tbl_Finance[Job Number]=C240&amp;"")*(tbl_Finance[Xero Invoice No]&lt;&gt;"")),tbl_Finance[Xero Invoice No])&amp;" +more"),"")))</f>
        <v/>
      </c>
      <c r="C240" s="24" t="n"/>
      <c r="D240" s="25">
        <f>IF(C240="","",IF(COUNTIF(lst_Jobs,C240&amp;"")&gt;0,"OK","CHECK"))</f>
        <v/>
      </c>
      <c r="E240" s="25">
        <f>IF(C240="","",IFERROR(INDEX(lst_JobName,MATCH(C240&amp;"",lst_Jobs,0)),""))</f>
        <v/>
      </c>
      <c r="F240" s="25">
        <f>IF(C240="","",IFERROR(INDEX(tbl_Finance[Client],MATCH(C240&amp;"",tbl_Finance[Job Number],0)),""))</f>
        <v/>
      </c>
      <c r="G240" s="28">
        <f>IF(C240="","",COUNTIFS(tbl_Finance[Job Number],C240&amp;"",tbl_Finance[Ex GST],"&lt;&gt;"))</f>
        <v/>
      </c>
      <c r="H240" s="27">
        <f>IF(C240="","",SUMIFS(tbl_Finance[Ex GST],tbl_Finance[Job Number],C240&amp;""))</f>
        <v/>
      </c>
      <c r="I240" s="27">
        <f>IF(C240="","",SUMIFS(tbl_Finance[Ex GST],tbl_Finance[Job Number],C240&amp;"",tbl_Finance[Xero Invoice No],"&lt;&gt;"))</f>
        <v/>
      </c>
      <c r="J240" s="27">
        <f>IF(C240="","",H240-I240)</f>
        <v/>
      </c>
      <c r="K240" s="25">
        <f>IF(C240="","",IF(G240=0,"not invoiced yet",SUBSTITUTE(TRIM(IF(COUNTIFS(tbl_Finance[Job Number],C240&amp;"",tbl_Finance[Cost Centre],"ONSITE")&gt;0,"ONSITE ","")&amp;IF(COUNTIFS(tbl_Finance[Job Number],C240&amp;"",tbl_Finance[Cost Centre],"PRODUCTION")&gt;0,"PRODUCTION ","")&amp;IF(COUNTIFS(tbl_Finance[Job Number],C240&amp;"",tbl_Finance[Cost Centre],"VIDEO")&gt;0,"VIDEO ","")&amp;IF(COUNTIFS(tbl_Finance[Job Number],C240&amp;"",tbl_Finance[Cost Centre],"INTEGRATION")&gt;0,"INTEGRATION ","")&amp;IF(COUNTIFS(tbl_Finance[Job Number],C240&amp;"",tbl_Finance[Cost Centre],"CONSULTING")&gt;0,"CONSULTING ","")&amp;IF(COUNTIFS(tbl_Finance[Job Number],C240&amp;"",tbl_Finance[Cost Centre],"CTS")&gt;0,"CTS ",""))," ",", ")))</f>
        <v/>
      </c>
      <c r="L240" s="24" t="n"/>
      <c r="M240" s="25">
        <f>IF(L240="","",HYPERLINK(IF(LEFT(L240,4)="http",L240,set_QwilrBase&amp;L240),"Open quote"))</f>
        <v/>
      </c>
      <c r="N240" s="26" t="n"/>
      <c r="O240" s="26" t="n"/>
      <c r="P240" s="26" t="n"/>
      <c r="Q240" s="25">
        <f>IF(C240="","",IF(N(N240)+N(O240)+N(P240)=0,"Not split",IF(ROUND(N(N240)+N(O240)+N(P240),2)=ROUND(H240,2),"OK","MISMATCH")))</f>
        <v/>
      </c>
      <c r="R240" s="26" t="n"/>
      <c r="S240" s="26" t="n"/>
      <c r="T240" s="26" t="n"/>
      <c r="U240" s="27">
        <f>IF(C240="","",N(R240)+N(S240)+N(T240))</f>
        <v/>
      </c>
      <c r="V240" s="27">
        <f>IF(C240="","",H240-U240)</f>
        <v/>
      </c>
      <c r="W240" s="29">
        <f>IFERROR(V240/H240,"")</f>
        <v/>
      </c>
      <c r="X240" s="24" t="n"/>
    </row>
    <row r="241" ht="15" customHeight="1">
      <c r="A241" s="63">
        <f>IF(C241="","",IFERROR(IF(SUMPRODUCT(MAX((tbl_Finance[Job Number]=C241&amp;"")*(tbl_Finance[Xero Invoice No]&lt;&gt;"")*tbl_Finance[Date]))=0,"",SUMPRODUCT(MAX((tbl_Finance[Job Number]=C241&amp;"")*(tbl_Finance[Xero Invoice No]&lt;&gt;"")*tbl_Finance[Date]))),""))</f>
        <v/>
      </c>
      <c r="B241" s="25">
        <f>IF(C241="","",IF(COUNTIFS(tbl_Finance[Job Number],C241&amp;"",tbl_Finance[Xero Invoice No],"&lt;&gt;")=0,"",IFERROR(IF(COUNTIFS(tbl_Finance[Job Number],C241&amp;"",tbl_Finance[Xero Invoice No],LOOKUP(2,1/((tbl_Finance[Job Number]=C241&amp;"")*(tbl_Finance[Xero Invoice No]&lt;&gt;"")),tbl_Finance[Xero Invoice No]))=COUNTIFS(tbl_Finance[Job Number],C241&amp;"",tbl_Finance[Xero Invoice No],"&lt;&gt;"),LOOKUP(2,1/((tbl_Finance[Job Number]=C241&amp;"")*(tbl_Finance[Xero Invoice No]&lt;&gt;"")),tbl_Finance[Xero Invoice No]),LOOKUP(2,1/((tbl_Finance[Job Number]=C241&amp;"")*(tbl_Finance[Xero Invoice No]&lt;&gt;"")),tbl_Finance[Xero Invoice No])&amp;" +more"),"")))</f>
        <v/>
      </c>
      <c r="C241" s="24" t="n"/>
      <c r="D241" s="25">
        <f>IF(C241="","",IF(COUNTIF(lst_Jobs,C241&amp;"")&gt;0,"OK","CHECK"))</f>
        <v/>
      </c>
      <c r="E241" s="25">
        <f>IF(C241="","",IFERROR(INDEX(lst_JobName,MATCH(C241&amp;"",lst_Jobs,0)),""))</f>
        <v/>
      </c>
      <c r="F241" s="25">
        <f>IF(C241="","",IFERROR(INDEX(tbl_Finance[Client],MATCH(C241&amp;"",tbl_Finance[Job Number],0)),""))</f>
        <v/>
      </c>
      <c r="G241" s="28">
        <f>IF(C241="","",COUNTIFS(tbl_Finance[Job Number],C241&amp;"",tbl_Finance[Ex GST],"&lt;&gt;"))</f>
        <v/>
      </c>
      <c r="H241" s="27">
        <f>IF(C241="","",SUMIFS(tbl_Finance[Ex GST],tbl_Finance[Job Number],C241&amp;""))</f>
        <v/>
      </c>
      <c r="I241" s="27">
        <f>IF(C241="","",SUMIFS(tbl_Finance[Ex GST],tbl_Finance[Job Number],C241&amp;"",tbl_Finance[Xero Invoice No],"&lt;&gt;"))</f>
        <v/>
      </c>
      <c r="J241" s="27">
        <f>IF(C241="","",H241-I241)</f>
        <v/>
      </c>
      <c r="K241" s="25">
        <f>IF(C241="","",IF(G241=0,"not invoiced yet",SUBSTITUTE(TRIM(IF(COUNTIFS(tbl_Finance[Job Number],C241&amp;"",tbl_Finance[Cost Centre],"ONSITE")&gt;0,"ONSITE ","")&amp;IF(COUNTIFS(tbl_Finance[Job Number],C241&amp;"",tbl_Finance[Cost Centre],"PRODUCTION")&gt;0,"PRODUCTION ","")&amp;IF(COUNTIFS(tbl_Finance[Job Number],C241&amp;"",tbl_Finance[Cost Centre],"VIDEO")&gt;0,"VIDEO ","")&amp;IF(COUNTIFS(tbl_Finance[Job Number],C241&amp;"",tbl_Finance[Cost Centre],"INTEGRATION")&gt;0,"INTEGRATION ","")&amp;IF(COUNTIFS(tbl_Finance[Job Number],C241&amp;"",tbl_Finance[Cost Centre],"CONSULTING")&gt;0,"CONSULTING ","")&amp;IF(COUNTIFS(tbl_Finance[Job Number],C241&amp;"",tbl_Finance[Cost Centre],"CTS")&gt;0,"CTS ",""))," ",", ")))</f>
        <v/>
      </c>
      <c r="L241" s="24" t="n"/>
      <c r="M241" s="25">
        <f>IF(L241="","",HYPERLINK(IF(LEFT(L241,4)="http",L241,set_QwilrBase&amp;L241),"Open quote"))</f>
        <v/>
      </c>
      <c r="N241" s="26" t="n"/>
      <c r="O241" s="26" t="n"/>
      <c r="P241" s="26" t="n"/>
      <c r="Q241" s="25">
        <f>IF(C241="","",IF(N(N241)+N(O241)+N(P241)=0,"Not split",IF(ROUND(N(N241)+N(O241)+N(P241),2)=ROUND(H241,2),"OK","MISMATCH")))</f>
        <v/>
      </c>
      <c r="R241" s="26" t="n"/>
      <c r="S241" s="26" t="n"/>
      <c r="T241" s="26" t="n"/>
      <c r="U241" s="27">
        <f>IF(C241="","",N(R241)+N(S241)+N(T241))</f>
        <v/>
      </c>
      <c r="V241" s="27">
        <f>IF(C241="","",H241-U241)</f>
        <v/>
      </c>
      <c r="W241" s="29">
        <f>IFERROR(V241/H241,"")</f>
        <v/>
      </c>
      <c r="X241" s="24" t="n"/>
    </row>
    <row r="242" ht="15" customHeight="1">
      <c r="A242" s="63">
        <f>IF(C242="","",IFERROR(IF(SUMPRODUCT(MAX((tbl_Finance[Job Number]=C242&amp;"")*(tbl_Finance[Xero Invoice No]&lt;&gt;"")*tbl_Finance[Date]))=0,"",SUMPRODUCT(MAX((tbl_Finance[Job Number]=C242&amp;"")*(tbl_Finance[Xero Invoice No]&lt;&gt;"")*tbl_Finance[Date]))),""))</f>
        <v/>
      </c>
      <c r="B242" s="25">
        <f>IF(C242="","",IF(COUNTIFS(tbl_Finance[Job Number],C242&amp;"",tbl_Finance[Xero Invoice No],"&lt;&gt;")=0,"",IFERROR(IF(COUNTIFS(tbl_Finance[Job Number],C242&amp;"",tbl_Finance[Xero Invoice No],LOOKUP(2,1/((tbl_Finance[Job Number]=C242&amp;"")*(tbl_Finance[Xero Invoice No]&lt;&gt;"")),tbl_Finance[Xero Invoice No]))=COUNTIFS(tbl_Finance[Job Number],C242&amp;"",tbl_Finance[Xero Invoice No],"&lt;&gt;"),LOOKUP(2,1/((tbl_Finance[Job Number]=C242&amp;"")*(tbl_Finance[Xero Invoice No]&lt;&gt;"")),tbl_Finance[Xero Invoice No]),LOOKUP(2,1/((tbl_Finance[Job Number]=C242&amp;"")*(tbl_Finance[Xero Invoice No]&lt;&gt;"")),tbl_Finance[Xero Invoice No])&amp;" +more"),"")))</f>
        <v/>
      </c>
      <c r="C242" s="24" t="n"/>
      <c r="D242" s="25">
        <f>IF(C242="","",IF(COUNTIF(lst_Jobs,C242&amp;"")&gt;0,"OK","CHECK"))</f>
        <v/>
      </c>
      <c r="E242" s="25">
        <f>IF(C242="","",IFERROR(INDEX(lst_JobName,MATCH(C242&amp;"",lst_Jobs,0)),""))</f>
        <v/>
      </c>
      <c r="F242" s="25">
        <f>IF(C242="","",IFERROR(INDEX(tbl_Finance[Client],MATCH(C242&amp;"",tbl_Finance[Job Number],0)),""))</f>
        <v/>
      </c>
      <c r="G242" s="28">
        <f>IF(C242="","",COUNTIFS(tbl_Finance[Job Number],C242&amp;"",tbl_Finance[Ex GST],"&lt;&gt;"))</f>
        <v/>
      </c>
      <c r="H242" s="27">
        <f>IF(C242="","",SUMIFS(tbl_Finance[Ex GST],tbl_Finance[Job Number],C242&amp;""))</f>
        <v/>
      </c>
      <c r="I242" s="27">
        <f>IF(C242="","",SUMIFS(tbl_Finance[Ex GST],tbl_Finance[Job Number],C242&amp;"",tbl_Finance[Xero Invoice No],"&lt;&gt;"))</f>
        <v/>
      </c>
      <c r="J242" s="27">
        <f>IF(C242="","",H242-I242)</f>
        <v/>
      </c>
      <c r="K242" s="25">
        <f>IF(C242="","",IF(G242=0,"not invoiced yet",SUBSTITUTE(TRIM(IF(COUNTIFS(tbl_Finance[Job Number],C242&amp;"",tbl_Finance[Cost Centre],"ONSITE")&gt;0,"ONSITE ","")&amp;IF(COUNTIFS(tbl_Finance[Job Number],C242&amp;"",tbl_Finance[Cost Centre],"PRODUCTION")&gt;0,"PRODUCTION ","")&amp;IF(COUNTIFS(tbl_Finance[Job Number],C242&amp;"",tbl_Finance[Cost Centre],"VIDEO")&gt;0,"VIDEO ","")&amp;IF(COUNTIFS(tbl_Finance[Job Number],C242&amp;"",tbl_Finance[Cost Centre],"INTEGRATION")&gt;0,"INTEGRATION ","")&amp;IF(COUNTIFS(tbl_Finance[Job Number],C242&amp;"",tbl_Finance[Cost Centre],"CONSULTING")&gt;0,"CONSULTING ","")&amp;IF(COUNTIFS(tbl_Finance[Job Number],C242&amp;"",tbl_Finance[Cost Centre],"CTS")&gt;0,"CTS ",""))," ",", ")))</f>
        <v/>
      </c>
      <c r="L242" s="24" t="n"/>
      <c r="M242" s="25">
        <f>IF(L242="","",HYPERLINK(IF(LEFT(L242,4)="http",L242,set_QwilrBase&amp;L242),"Open quote"))</f>
        <v/>
      </c>
      <c r="N242" s="26" t="n"/>
      <c r="O242" s="26" t="n"/>
      <c r="P242" s="26" t="n"/>
      <c r="Q242" s="25">
        <f>IF(C242="","",IF(N(N242)+N(O242)+N(P242)=0,"Not split",IF(ROUND(N(N242)+N(O242)+N(P242),2)=ROUND(H242,2),"OK","MISMATCH")))</f>
        <v/>
      </c>
      <c r="R242" s="26" t="n"/>
      <c r="S242" s="26" t="n"/>
      <c r="T242" s="26" t="n"/>
      <c r="U242" s="27">
        <f>IF(C242="","",N(R242)+N(S242)+N(T242))</f>
        <v/>
      </c>
      <c r="V242" s="27">
        <f>IF(C242="","",H242-U242)</f>
        <v/>
      </c>
      <c r="W242" s="29">
        <f>IFERROR(V242/H242,"")</f>
        <v/>
      </c>
      <c r="X242" s="24" t="n"/>
    </row>
    <row r="243" ht="15" customHeight="1">
      <c r="A243" s="63">
        <f>IF(C243="","",IFERROR(IF(SUMPRODUCT(MAX((tbl_Finance[Job Number]=C243&amp;"")*(tbl_Finance[Xero Invoice No]&lt;&gt;"")*tbl_Finance[Date]))=0,"",SUMPRODUCT(MAX((tbl_Finance[Job Number]=C243&amp;"")*(tbl_Finance[Xero Invoice No]&lt;&gt;"")*tbl_Finance[Date]))),""))</f>
        <v/>
      </c>
      <c r="B243" s="25">
        <f>IF(C243="","",IF(COUNTIFS(tbl_Finance[Job Number],C243&amp;"",tbl_Finance[Xero Invoice No],"&lt;&gt;")=0,"",IFERROR(IF(COUNTIFS(tbl_Finance[Job Number],C243&amp;"",tbl_Finance[Xero Invoice No],LOOKUP(2,1/((tbl_Finance[Job Number]=C243&amp;"")*(tbl_Finance[Xero Invoice No]&lt;&gt;"")),tbl_Finance[Xero Invoice No]))=COUNTIFS(tbl_Finance[Job Number],C243&amp;"",tbl_Finance[Xero Invoice No],"&lt;&gt;"),LOOKUP(2,1/((tbl_Finance[Job Number]=C243&amp;"")*(tbl_Finance[Xero Invoice No]&lt;&gt;"")),tbl_Finance[Xero Invoice No]),LOOKUP(2,1/((tbl_Finance[Job Number]=C243&amp;"")*(tbl_Finance[Xero Invoice No]&lt;&gt;"")),tbl_Finance[Xero Invoice No])&amp;" +more"),"")))</f>
        <v/>
      </c>
      <c r="C243" s="24" t="n"/>
      <c r="D243" s="25">
        <f>IF(C243="","",IF(COUNTIF(lst_Jobs,C243&amp;"")&gt;0,"OK","CHECK"))</f>
        <v/>
      </c>
      <c r="E243" s="25">
        <f>IF(C243="","",IFERROR(INDEX(lst_JobName,MATCH(C243&amp;"",lst_Jobs,0)),""))</f>
        <v/>
      </c>
      <c r="F243" s="25">
        <f>IF(C243="","",IFERROR(INDEX(tbl_Finance[Client],MATCH(C243&amp;"",tbl_Finance[Job Number],0)),""))</f>
        <v/>
      </c>
      <c r="G243" s="28">
        <f>IF(C243="","",COUNTIFS(tbl_Finance[Job Number],C243&amp;"",tbl_Finance[Ex GST],"&lt;&gt;"))</f>
        <v/>
      </c>
      <c r="H243" s="27">
        <f>IF(C243="","",SUMIFS(tbl_Finance[Ex GST],tbl_Finance[Job Number],C243&amp;""))</f>
        <v/>
      </c>
      <c r="I243" s="27">
        <f>IF(C243="","",SUMIFS(tbl_Finance[Ex GST],tbl_Finance[Job Number],C243&amp;"",tbl_Finance[Xero Invoice No],"&lt;&gt;"))</f>
        <v/>
      </c>
      <c r="J243" s="27">
        <f>IF(C243="","",H243-I243)</f>
        <v/>
      </c>
      <c r="K243" s="25">
        <f>IF(C243="","",IF(G243=0,"not invoiced yet",SUBSTITUTE(TRIM(IF(COUNTIFS(tbl_Finance[Job Number],C243&amp;"",tbl_Finance[Cost Centre],"ONSITE")&gt;0,"ONSITE ","")&amp;IF(COUNTIFS(tbl_Finance[Job Number],C243&amp;"",tbl_Finance[Cost Centre],"PRODUCTION")&gt;0,"PRODUCTION ","")&amp;IF(COUNTIFS(tbl_Finance[Job Number],C243&amp;"",tbl_Finance[Cost Centre],"VIDEO")&gt;0,"VIDEO ","")&amp;IF(COUNTIFS(tbl_Finance[Job Number],C243&amp;"",tbl_Finance[Cost Centre],"INTEGRATION")&gt;0,"INTEGRATION ","")&amp;IF(COUNTIFS(tbl_Finance[Job Number],C243&amp;"",tbl_Finance[Cost Centre],"CONSULTING")&gt;0,"CONSULTING ","")&amp;IF(COUNTIFS(tbl_Finance[Job Number],C243&amp;"",tbl_Finance[Cost Centre],"CTS")&gt;0,"CTS ",""))," ",", ")))</f>
        <v/>
      </c>
      <c r="L243" s="24" t="n"/>
      <c r="M243" s="25">
        <f>IF(L243="","",HYPERLINK(IF(LEFT(L243,4)="http",L243,set_QwilrBase&amp;L243),"Open quote"))</f>
        <v/>
      </c>
      <c r="N243" s="26" t="n"/>
      <c r="O243" s="26" t="n"/>
      <c r="P243" s="26" t="n"/>
      <c r="Q243" s="25">
        <f>IF(C243="","",IF(N(N243)+N(O243)+N(P243)=0,"Not split",IF(ROUND(N(N243)+N(O243)+N(P243),2)=ROUND(H243,2),"OK","MISMATCH")))</f>
        <v/>
      </c>
      <c r="R243" s="26" t="n"/>
      <c r="S243" s="26" t="n"/>
      <c r="T243" s="26" t="n"/>
      <c r="U243" s="27">
        <f>IF(C243="","",N(R243)+N(S243)+N(T243))</f>
        <v/>
      </c>
      <c r="V243" s="27">
        <f>IF(C243="","",H243-U243)</f>
        <v/>
      </c>
      <c r="W243" s="29">
        <f>IFERROR(V243/H243,"")</f>
        <v/>
      </c>
      <c r="X243" s="24" t="n"/>
    </row>
    <row r="244" ht="15" customHeight="1">
      <c r="A244" s="63">
        <f>IF(C244="","",IFERROR(IF(SUMPRODUCT(MAX((tbl_Finance[Job Number]=C244&amp;"")*(tbl_Finance[Xero Invoice No]&lt;&gt;"")*tbl_Finance[Date]))=0,"",SUMPRODUCT(MAX((tbl_Finance[Job Number]=C244&amp;"")*(tbl_Finance[Xero Invoice No]&lt;&gt;"")*tbl_Finance[Date]))),""))</f>
        <v/>
      </c>
      <c r="B244" s="25">
        <f>IF(C244="","",IF(COUNTIFS(tbl_Finance[Job Number],C244&amp;"",tbl_Finance[Xero Invoice No],"&lt;&gt;")=0,"",IFERROR(IF(COUNTIFS(tbl_Finance[Job Number],C244&amp;"",tbl_Finance[Xero Invoice No],LOOKUP(2,1/((tbl_Finance[Job Number]=C244&amp;"")*(tbl_Finance[Xero Invoice No]&lt;&gt;"")),tbl_Finance[Xero Invoice No]))=COUNTIFS(tbl_Finance[Job Number],C244&amp;"",tbl_Finance[Xero Invoice No],"&lt;&gt;"),LOOKUP(2,1/((tbl_Finance[Job Number]=C244&amp;"")*(tbl_Finance[Xero Invoice No]&lt;&gt;"")),tbl_Finance[Xero Invoice No]),LOOKUP(2,1/((tbl_Finance[Job Number]=C244&amp;"")*(tbl_Finance[Xero Invoice No]&lt;&gt;"")),tbl_Finance[Xero Invoice No])&amp;" +more"),"")))</f>
        <v/>
      </c>
      <c r="C244" s="24" t="n"/>
      <c r="D244" s="25">
        <f>IF(C244="","",IF(COUNTIF(lst_Jobs,C244&amp;"")&gt;0,"OK","CHECK"))</f>
        <v/>
      </c>
      <c r="E244" s="25">
        <f>IF(C244="","",IFERROR(INDEX(lst_JobName,MATCH(C244&amp;"",lst_Jobs,0)),""))</f>
        <v/>
      </c>
      <c r="F244" s="25">
        <f>IF(C244="","",IFERROR(INDEX(tbl_Finance[Client],MATCH(C244&amp;"",tbl_Finance[Job Number],0)),""))</f>
        <v/>
      </c>
      <c r="G244" s="28">
        <f>IF(C244="","",COUNTIFS(tbl_Finance[Job Number],C244&amp;"",tbl_Finance[Ex GST],"&lt;&gt;"))</f>
        <v/>
      </c>
      <c r="H244" s="27">
        <f>IF(C244="","",SUMIFS(tbl_Finance[Ex GST],tbl_Finance[Job Number],C244&amp;""))</f>
        <v/>
      </c>
      <c r="I244" s="27">
        <f>IF(C244="","",SUMIFS(tbl_Finance[Ex GST],tbl_Finance[Job Number],C244&amp;"",tbl_Finance[Xero Invoice No],"&lt;&gt;"))</f>
        <v/>
      </c>
      <c r="J244" s="27">
        <f>IF(C244="","",H244-I244)</f>
        <v/>
      </c>
      <c r="K244" s="25">
        <f>IF(C244="","",IF(G244=0,"not invoiced yet",SUBSTITUTE(TRIM(IF(COUNTIFS(tbl_Finance[Job Number],C244&amp;"",tbl_Finance[Cost Centre],"ONSITE")&gt;0,"ONSITE ","")&amp;IF(COUNTIFS(tbl_Finance[Job Number],C244&amp;"",tbl_Finance[Cost Centre],"PRODUCTION")&gt;0,"PRODUCTION ","")&amp;IF(COUNTIFS(tbl_Finance[Job Number],C244&amp;"",tbl_Finance[Cost Centre],"VIDEO")&gt;0,"VIDEO ","")&amp;IF(COUNTIFS(tbl_Finance[Job Number],C244&amp;"",tbl_Finance[Cost Centre],"INTEGRATION")&gt;0,"INTEGRATION ","")&amp;IF(COUNTIFS(tbl_Finance[Job Number],C244&amp;"",tbl_Finance[Cost Centre],"CONSULTING")&gt;0,"CONSULTING ","")&amp;IF(COUNTIFS(tbl_Finance[Job Number],C244&amp;"",tbl_Finance[Cost Centre],"CTS")&gt;0,"CTS ",""))," ",", ")))</f>
        <v/>
      </c>
      <c r="L244" s="24" t="n"/>
      <c r="M244" s="25">
        <f>IF(L244="","",HYPERLINK(IF(LEFT(L244,4)="http",L244,set_QwilrBase&amp;L244),"Open quote"))</f>
        <v/>
      </c>
      <c r="N244" s="26" t="n"/>
      <c r="O244" s="26" t="n"/>
      <c r="P244" s="26" t="n"/>
      <c r="Q244" s="25">
        <f>IF(C244="","",IF(N(N244)+N(O244)+N(P244)=0,"Not split",IF(ROUND(N(N244)+N(O244)+N(P244),2)=ROUND(H244,2),"OK","MISMATCH")))</f>
        <v/>
      </c>
      <c r="R244" s="26" t="n"/>
      <c r="S244" s="26" t="n"/>
      <c r="T244" s="26" t="n"/>
      <c r="U244" s="27">
        <f>IF(C244="","",N(R244)+N(S244)+N(T244))</f>
        <v/>
      </c>
      <c r="V244" s="27">
        <f>IF(C244="","",H244-U244)</f>
        <v/>
      </c>
      <c r="W244" s="29">
        <f>IFERROR(V244/H244,"")</f>
        <v/>
      </c>
      <c r="X244" s="24" t="n"/>
    </row>
    <row r="245" ht="15" customHeight="1">
      <c r="A245" s="63">
        <f>IF(C245="","",IFERROR(IF(SUMPRODUCT(MAX((tbl_Finance[Job Number]=C245&amp;"")*(tbl_Finance[Xero Invoice No]&lt;&gt;"")*tbl_Finance[Date]))=0,"",SUMPRODUCT(MAX((tbl_Finance[Job Number]=C245&amp;"")*(tbl_Finance[Xero Invoice No]&lt;&gt;"")*tbl_Finance[Date]))),""))</f>
        <v/>
      </c>
      <c r="B245" s="25">
        <f>IF(C245="","",IF(COUNTIFS(tbl_Finance[Job Number],C245&amp;"",tbl_Finance[Xero Invoice No],"&lt;&gt;")=0,"",IFERROR(IF(COUNTIFS(tbl_Finance[Job Number],C245&amp;"",tbl_Finance[Xero Invoice No],LOOKUP(2,1/((tbl_Finance[Job Number]=C245&amp;"")*(tbl_Finance[Xero Invoice No]&lt;&gt;"")),tbl_Finance[Xero Invoice No]))=COUNTIFS(tbl_Finance[Job Number],C245&amp;"",tbl_Finance[Xero Invoice No],"&lt;&gt;"),LOOKUP(2,1/((tbl_Finance[Job Number]=C245&amp;"")*(tbl_Finance[Xero Invoice No]&lt;&gt;"")),tbl_Finance[Xero Invoice No]),LOOKUP(2,1/((tbl_Finance[Job Number]=C245&amp;"")*(tbl_Finance[Xero Invoice No]&lt;&gt;"")),tbl_Finance[Xero Invoice No])&amp;" +more"),"")))</f>
        <v/>
      </c>
      <c r="C245" s="24" t="n"/>
      <c r="D245" s="25">
        <f>IF(C245="","",IF(COUNTIF(lst_Jobs,C245&amp;"")&gt;0,"OK","CHECK"))</f>
        <v/>
      </c>
      <c r="E245" s="25">
        <f>IF(C245="","",IFERROR(INDEX(lst_JobName,MATCH(C245&amp;"",lst_Jobs,0)),""))</f>
        <v/>
      </c>
      <c r="F245" s="25">
        <f>IF(C245="","",IFERROR(INDEX(tbl_Finance[Client],MATCH(C245&amp;"",tbl_Finance[Job Number],0)),""))</f>
        <v/>
      </c>
      <c r="G245" s="28">
        <f>IF(C245="","",COUNTIFS(tbl_Finance[Job Number],C245&amp;"",tbl_Finance[Ex GST],"&lt;&gt;"))</f>
        <v/>
      </c>
      <c r="H245" s="27">
        <f>IF(C245="","",SUMIFS(tbl_Finance[Ex GST],tbl_Finance[Job Number],C245&amp;""))</f>
        <v/>
      </c>
      <c r="I245" s="27">
        <f>IF(C245="","",SUMIFS(tbl_Finance[Ex GST],tbl_Finance[Job Number],C245&amp;"",tbl_Finance[Xero Invoice No],"&lt;&gt;"))</f>
        <v/>
      </c>
      <c r="J245" s="27">
        <f>IF(C245="","",H245-I245)</f>
        <v/>
      </c>
      <c r="K245" s="25">
        <f>IF(C245="","",IF(G245=0,"not invoiced yet",SUBSTITUTE(TRIM(IF(COUNTIFS(tbl_Finance[Job Number],C245&amp;"",tbl_Finance[Cost Centre],"ONSITE")&gt;0,"ONSITE ","")&amp;IF(COUNTIFS(tbl_Finance[Job Number],C245&amp;"",tbl_Finance[Cost Centre],"PRODUCTION")&gt;0,"PRODUCTION ","")&amp;IF(COUNTIFS(tbl_Finance[Job Number],C245&amp;"",tbl_Finance[Cost Centre],"VIDEO")&gt;0,"VIDEO ","")&amp;IF(COUNTIFS(tbl_Finance[Job Number],C245&amp;"",tbl_Finance[Cost Centre],"INTEGRATION")&gt;0,"INTEGRATION ","")&amp;IF(COUNTIFS(tbl_Finance[Job Number],C245&amp;"",tbl_Finance[Cost Centre],"CONSULTING")&gt;0,"CONSULTING ","")&amp;IF(COUNTIFS(tbl_Finance[Job Number],C245&amp;"",tbl_Finance[Cost Centre],"CTS")&gt;0,"CTS ",""))," ",", ")))</f>
        <v/>
      </c>
      <c r="L245" s="24" t="n"/>
      <c r="M245" s="25">
        <f>IF(L245="","",HYPERLINK(IF(LEFT(L245,4)="http",L245,set_QwilrBase&amp;L245),"Open quote"))</f>
        <v/>
      </c>
      <c r="N245" s="26" t="n"/>
      <c r="O245" s="26" t="n"/>
      <c r="P245" s="26" t="n"/>
      <c r="Q245" s="25">
        <f>IF(C245="","",IF(N(N245)+N(O245)+N(P245)=0,"Not split",IF(ROUND(N(N245)+N(O245)+N(P245),2)=ROUND(H245,2),"OK","MISMATCH")))</f>
        <v/>
      </c>
      <c r="R245" s="26" t="n"/>
      <c r="S245" s="26" t="n"/>
      <c r="T245" s="26" t="n"/>
      <c r="U245" s="27">
        <f>IF(C245="","",N(R245)+N(S245)+N(T245))</f>
        <v/>
      </c>
      <c r="V245" s="27">
        <f>IF(C245="","",H245-U245)</f>
        <v/>
      </c>
      <c r="W245" s="29">
        <f>IFERROR(V245/H245,"")</f>
        <v/>
      </c>
      <c r="X245" s="24" t="n"/>
    </row>
    <row r="246" ht="15" customHeight="1">
      <c r="A246" s="63">
        <f>IF(C246="","",IFERROR(IF(SUMPRODUCT(MAX((tbl_Finance[Job Number]=C246&amp;"")*(tbl_Finance[Xero Invoice No]&lt;&gt;"")*tbl_Finance[Date]))=0,"",SUMPRODUCT(MAX((tbl_Finance[Job Number]=C246&amp;"")*(tbl_Finance[Xero Invoice No]&lt;&gt;"")*tbl_Finance[Date]))),""))</f>
        <v/>
      </c>
      <c r="B246" s="25">
        <f>IF(C246="","",IF(COUNTIFS(tbl_Finance[Job Number],C246&amp;"",tbl_Finance[Xero Invoice No],"&lt;&gt;")=0,"",IFERROR(IF(COUNTIFS(tbl_Finance[Job Number],C246&amp;"",tbl_Finance[Xero Invoice No],LOOKUP(2,1/((tbl_Finance[Job Number]=C246&amp;"")*(tbl_Finance[Xero Invoice No]&lt;&gt;"")),tbl_Finance[Xero Invoice No]))=COUNTIFS(tbl_Finance[Job Number],C246&amp;"",tbl_Finance[Xero Invoice No],"&lt;&gt;"),LOOKUP(2,1/((tbl_Finance[Job Number]=C246&amp;"")*(tbl_Finance[Xero Invoice No]&lt;&gt;"")),tbl_Finance[Xero Invoice No]),LOOKUP(2,1/((tbl_Finance[Job Number]=C246&amp;"")*(tbl_Finance[Xero Invoice No]&lt;&gt;"")),tbl_Finance[Xero Invoice No])&amp;" +more"),"")))</f>
        <v/>
      </c>
      <c r="C246" s="24" t="n"/>
      <c r="D246" s="25">
        <f>IF(C246="","",IF(COUNTIF(lst_Jobs,C246&amp;"")&gt;0,"OK","CHECK"))</f>
        <v/>
      </c>
      <c r="E246" s="25">
        <f>IF(C246="","",IFERROR(INDEX(lst_JobName,MATCH(C246&amp;"",lst_Jobs,0)),""))</f>
        <v/>
      </c>
      <c r="F246" s="25">
        <f>IF(C246="","",IFERROR(INDEX(tbl_Finance[Client],MATCH(C246&amp;"",tbl_Finance[Job Number],0)),""))</f>
        <v/>
      </c>
      <c r="G246" s="28">
        <f>IF(C246="","",COUNTIFS(tbl_Finance[Job Number],C246&amp;"",tbl_Finance[Ex GST],"&lt;&gt;"))</f>
        <v/>
      </c>
      <c r="H246" s="27">
        <f>IF(C246="","",SUMIFS(tbl_Finance[Ex GST],tbl_Finance[Job Number],C246&amp;""))</f>
        <v/>
      </c>
      <c r="I246" s="27">
        <f>IF(C246="","",SUMIFS(tbl_Finance[Ex GST],tbl_Finance[Job Number],C246&amp;"",tbl_Finance[Xero Invoice No],"&lt;&gt;"))</f>
        <v/>
      </c>
      <c r="J246" s="27">
        <f>IF(C246="","",H246-I246)</f>
        <v/>
      </c>
      <c r="K246" s="25">
        <f>IF(C246="","",IF(G246=0,"not invoiced yet",SUBSTITUTE(TRIM(IF(COUNTIFS(tbl_Finance[Job Number],C246&amp;"",tbl_Finance[Cost Centre],"ONSITE")&gt;0,"ONSITE ","")&amp;IF(COUNTIFS(tbl_Finance[Job Number],C246&amp;"",tbl_Finance[Cost Centre],"PRODUCTION")&gt;0,"PRODUCTION ","")&amp;IF(COUNTIFS(tbl_Finance[Job Number],C246&amp;"",tbl_Finance[Cost Centre],"VIDEO")&gt;0,"VIDEO ","")&amp;IF(COUNTIFS(tbl_Finance[Job Number],C246&amp;"",tbl_Finance[Cost Centre],"INTEGRATION")&gt;0,"INTEGRATION ","")&amp;IF(COUNTIFS(tbl_Finance[Job Number],C246&amp;"",tbl_Finance[Cost Centre],"CONSULTING")&gt;0,"CONSULTING ","")&amp;IF(COUNTIFS(tbl_Finance[Job Number],C246&amp;"",tbl_Finance[Cost Centre],"CTS")&gt;0,"CTS ",""))," ",", ")))</f>
        <v/>
      </c>
      <c r="L246" s="24" t="n"/>
      <c r="M246" s="25">
        <f>IF(L246="","",HYPERLINK(IF(LEFT(L246,4)="http",L246,set_QwilrBase&amp;L246),"Open quote"))</f>
        <v/>
      </c>
      <c r="N246" s="26" t="n"/>
      <c r="O246" s="26" t="n"/>
      <c r="P246" s="26" t="n"/>
      <c r="Q246" s="25">
        <f>IF(C246="","",IF(N(N246)+N(O246)+N(P246)=0,"Not split",IF(ROUND(N(N246)+N(O246)+N(P246),2)=ROUND(H246,2),"OK","MISMATCH")))</f>
        <v/>
      </c>
      <c r="R246" s="26" t="n"/>
      <c r="S246" s="26" t="n"/>
      <c r="T246" s="26" t="n"/>
      <c r="U246" s="27">
        <f>IF(C246="","",N(R246)+N(S246)+N(T246))</f>
        <v/>
      </c>
      <c r="V246" s="27">
        <f>IF(C246="","",H246-U246)</f>
        <v/>
      </c>
      <c r="W246" s="29">
        <f>IFERROR(V246/H246,"")</f>
        <v/>
      </c>
      <c r="X246" s="24" t="n"/>
    </row>
    <row r="247" ht="15" customHeight="1">
      <c r="A247" s="63">
        <f>IF(C247="","",IFERROR(IF(SUMPRODUCT(MAX((tbl_Finance[Job Number]=C247&amp;"")*(tbl_Finance[Xero Invoice No]&lt;&gt;"")*tbl_Finance[Date]))=0,"",SUMPRODUCT(MAX((tbl_Finance[Job Number]=C247&amp;"")*(tbl_Finance[Xero Invoice No]&lt;&gt;"")*tbl_Finance[Date]))),""))</f>
        <v/>
      </c>
      <c r="B247" s="25">
        <f>IF(C247="","",IF(COUNTIFS(tbl_Finance[Job Number],C247&amp;"",tbl_Finance[Xero Invoice No],"&lt;&gt;")=0,"",IFERROR(IF(COUNTIFS(tbl_Finance[Job Number],C247&amp;"",tbl_Finance[Xero Invoice No],LOOKUP(2,1/((tbl_Finance[Job Number]=C247&amp;"")*(tbl_Finance[Xero Invoice No]&lt;&gt;"")),tbl_Finance[Xero Invoice No]))=COUNTIFS(tbl_Finance[Job Number],C247&amp;"",tbl_Finance[Xero Invoice No],"&lt;&gt;"),LOOKUP(2,1/((tbl_Finance[Job Number]=C247&amp;"")*(tbl_Finance[Xero Invoice No]&lt;&gt;"")),tbl_Finance[Xero Invoice No]),LOOKUP(2,1/((tbl_Finance[Job Number]=C247&amp;"")*(tbl_Finance[Xero Invoice No]&lt;&gt;"")),tbl_Finance[Xero Invoice No])&amp;" +more"),"")))</f>
        <v/>
      </c>
      <c r="C247" s="24" t="n"/>
      <c r="D247" s="25">
        <f>IF(C247="","",IF(COUNTIF(lst_Jobs,C247&amp;"")&gt;0,"OK","CHECK"))</f>
        <v/>
      </c>
      <c r="E247" s="25">
        <f>IF(C247="","",IFERROR(INDEX(lst_JobName,MATCH(C247&amp;"",lst_Jobs,0)),""))</f>
        <v/>
      </c>
      <c r="F247" s="25">
        <f>IF(C247="","",IFERROR(INDEX(tbl_Finance[Client],MATCH(C247&amp;"",tbl_Finance[Job Number],0)),""))</f>
        <v/>
      </c>
      <c r="G247" s="28">
        <f>IF(C247="","",COUNTIFS(tbl_Finance[Job Number],C247&amp;"",tbl_Finance[Ex GST],"&lt;&gt;"))</f>
        <v/>
      </c>
      <c r="H247" s="27">
        <f>IF(C247="","",SUMIFS(tbl_Finance[Ex GST],tbl_Finance[Job Number],C247&amp;""))</f>
        <v/>
      </c>
      <c r="I247" s="27">
        <f>IF(C247="","",SUMIFS(tbl_Finance[Ex GST],tbl_Finance[Job Number],C247&amp;"",tbl_Finance[Xero Invoice No],"&lt;&gt;"))</f>
        <v/>
      </c>
      <c r="J247" s="27">
        <f>IF(C247="","",H247-I247)</f>
        <v/>
      </c>
      <c r="K247" s="25">
        <f>IF(C247="","",IF(G247=0,"not invoiced yet",SUBSTITUTE(TRIM(IF(COUNTIFS(tbl_Finance[Job Number],C247&amp;"",tbl_Finance[Cost Centre],"ONSITE")&gt;0,"ONSITE ","")&amp;IF(COUNTIFS(tbl_Finance[Job Number],C247&amp;"",tbl_Finance[Cost Centre],"PRODUCTION")&gt;0,"PRODUCTION ","")&amp;IF(COUNTIFS(tbl_Finance[Job Number],C247&amp;"",tbl_Finance[Cost Centre],"VIDEO")&gt;0,"VIDEO ","")&amp;IF(COUNTIFS(tbl_Finance[Job Number],C247&amp;"",tbl_Finance[Cost Centre],"INTEGRATION")&gt;0,"INTEGRATION ","")&amp;IF(COUNTIFS(tbl_Finance[Job Number],C247&amp;"",tbl_Finance[Cost Centre],"CONSULTING")&gt;0,"CONSULTING ","")&amp;IF(COUNTIFS(tbl_Finance[Job Number],C247&amp;"",tbl_Finance[Cost Centre],"CTS")&gt;0,"CTS ",""))," ",", ")))</f>
        <v/>
      </c>
      <c r="L247" s="24" t="n"/>
      <c r="M247" s="25">
        <f>IF(L247="","",HYPERLINK(IF(LEFT(L247,4)="http",L247,set_QwilrBase&amp;L247),"Open quote"))</f>
        <v/>
      </c>
      <c r="N247" s="26" t="n"/>
      <c r="O247" s="26" t="n"/>
      <c r="P247" s="26" t="n"/>
      <c r="Q247" s="25">
        <f>IF(C247="","",IF(N(N247)+N(O247)+N(P247)=0,"Not split",IF(ROUND(N(N247)+N(O247)+N(P247),2)=ROUND(H247,2),"OK","MISMATCH")))</f>
        <v/>
      </c>
      <c r="R247" s="26" t="n"/>
      <c r="S247" s="26" t="n"/>
      <c r="T247" s="26" t="n"/>
      <c r="U247" s="27">
        <f>IF(C247="","",N(R247)+N(S247)+N(T247))</f>
        <v/>
      </c>
      <c r="V247" s="27">
        <f>IF(C247="","",H247-U247)</f>
        <v/>
      </c>
      <c r="W247" s="29">
        <f>IFERROR(V247/H247,"")</f>
        <v/>
      </c>
      <c r="X247" s="24" t="n"/>
    </row>
    <row r="248" ht="15" customHeight="1">
      <c r="A248" s="63">
        <f>IF(C248="","",IFERROR(IF(SUMPRODUCT(MAX((tbl_Finance[Job Number]=C248&amp;"")*(tbl_Finance[Xero Invoice No]&lt;&gt;"")*tbl_Finance[Date]))=0,"",SUMPRODUCT(MAX((tbl_Finance[Job Number]=C248&amp;"")*(tbl_Finance[Xero Invoice No]&lt;&gt;"")*tbl_Finance[Date]))),""))</f>
        <v/>
      </c>
      <c r="B248" s="25">
        <f>IF(C248="","",IF(COUNTIFS(tbl_Finance[Job Number],C248&amp;"",tbl_Finance[Xero Invoice No],"&lt;&gt;")=0,"",IFERROR(IF(COUNTIFS(tbl_Finance[Job Number],C248&amp;"",tbl_Finance[Xero Invoice No],LOOKUP(2,1/((tbl_Finance[Job Number]=C248&amp;"")*(tbl_Finance[Xero Invoice No]&lt;&gt;"")),tbl_Finance[Xero Invoice No]))=COUNTIFS(tbl_Finance[Job Number],C248&amp;"",tbl_Finance[Xero Invoice No],"&lt;&gt;"),LOOKUP(2,1/((tbl_Finance[Job Number]=C248&amp;"")*(tbl_Finance[Xero Invoice No]&lt;&gt;"")),tbl_Finance[Xero Invoice No]),LOOKUP(2,1/((tbl_Finance[Job Number]=C248&amp;"")*(tbl_Finance[Xero Invoice No]&lt;&gt;"")),tbl_Finance[Xero Invoice No])&amp;" +more"),"")))</f>
        <v/>
      </c>
      <c r="C248" s="24" t="n"/>
      <c r="D248" s="25">
        <f>IF(C248="","",IF(COUNTIF(lst_Jobs,C248&amp;"")&gt;0,"OK","CHECK"))</f>
        <v/>
      </c>
      <c r="E248" s="25">
        <f>IF(C248="","",IFERROR(INDEX(lst_JobName,MATCH(C248&amp;"",lst_Jobs,0)),""))</f>
        <v/>
      </c>
      <c r="F248" s="25">
        <f>IF(C248="","",IFERROR(INDEX(tbl_Finance[Client],MATCH(C248&amp;"",tbl_Finance[Job Number],0)),""))</f>
        <v/>
      </c>
      <c r="G248" s="28">
        <f>IF(C248="","",COUNTIFS(tbl_Finance[Job Number],C248&amp;"",tbl_Finance[Ex GST],"&lt;&gt;"))</f>
        <v/>
      </c>
      <c r="H248" s="27">
        <f>IF(C248="","",SUMIFS(tbl_Finance[Ex GST],tbl_Finance[Job Number],C248&amp;""))</f>
        <v/>
      </c>
      <c r="I248" s="27">
        <f>IF(C248="","",SUMIFS(tbl_Finance[Ex GST],tbl_Finance[Job Number],C248&amp;"",tbl_Finance[Xero Invoice No],"&lt;&gt;"))</f>
        <v/>
      </c>
      <c r="J248" s="27">
        <f>IF(C248="","",H248-I248)</f>
        <v/>
      </c>
      <c r="K248" s="25">
        <f>IF(C248="","",IF(G248=0,"not invoiced yet",SUBSTITUTE(TRIM(IF(COUNTIFS(tbl_Finance[Job Number],C248&amp;"",tbl_Finance[Cost Centre],"ONSITE")&gt;0,"ONSITE ","")&amp;IF(COUNTIFS(tbl_Finance[Job Number],C248&amp;"",tbl_Finance[Cost Centre],"PRODUCTION")&gt;0,"PRODUCTION ","")&amp;IF(COUNTIFS(tbl_Finance[Job Number],C248&amp;"",tbl_Finance[Cost Centre],"VIDEO")&gt;0,"VIDEO ","")&amp;IF(COUNTIFS(tbl_Finance[Job Number],C248&amp;"",tbl_Finance[Cost Centre],"INTEGRATION")&gt;0,"INTEGRATION ","")&amp;IF(COUNTIFS(tbl_Finance[Job Number],C248&amp;"",tbl_Finance[Cost Centre],"CONSULTING")&gt;0,"CONSULTING ","")&amp;IF(COUNTIFS(tbl_Finance[Job Number],C248&amp;"",tbl_Finance[Cost Centre],"CTS")&gt;0,"CTS ",""))," ",", ")))</f>
        <v/>
      </c>
      <c r="L248" s="24" t="n"/>
      <c r="M248" s="25">
        <f>IF(L248="","",HYPERLINK(IF(LEFT(L248,4)="http",L248,set_QwilrBase&amp;L248),"Open quote"))</f>
        <v/>
      </c>
      <c r="N248" s="26" t="n"/>
      <c r="O248" s="26" t="n"/>
      <c r="P248" s="26" t="n"/>
      <c r="Q248" s="25">
        <f>IF(C248="","",IF(N(N248)+N(O248)+N(P248)=0,"Not split",IF(ROUND(N(N248)+N(O248)+N(P248),2)=ROUND(H248,2),"OK","MISMATCH")))</f>
        <v/>
      </c>
      <c r="R248" s="26" t="n"/>
      <c r="S248" s="26" t="n"/>
      <c r="T248" s="26" t="n"/>
      <c r="U248" s="27">
        <f>IF(C248="","",N(R248)+N(S248)+N(T248))</f>
        <v/>
      </c>
      <c r="V248" s="27">
        <f>IF(C248="","",H248-U248)</f>
        <v/>
      </c>
      <c r="W248" s="29">
        <f>IFERROR(V248/H248,"")</f>
        <v/>
      </c>
      <c r="X248" s="24" t="n"/>
    </row>
    <row r="249" ht="15" customHeight="1">
      <c r="A249" s="63">
        <f>IF(C249="","",IFERROR(IF(SUMPRODUCT(MAX((tbl_Finance[Job Number]=C249&amp;"")*(tbl_Finance[Xero Invoice No]&lt;&gt;"")*tbl_Finance[Date]))=0,"",SUMPRODUCT(MAX((tbl_Finance[Job Number]=C249&amp;"")*(tbl_Finance[Xero Invoice No]&lt;&gt;"")*tbl_Finance[Date]))),""))</f>
        <v/>
      </c>
      <c r="B249" s="25">
        <f>IF(C249="","",IF(COUNTIFS(tbl_Finance[Job Number],C249&amp;"",tbl_Finance[Xero Invoice No],"&lt;&gt;")=0,"",IFERROR(IF(COUNTIFS(tbl_Finance[Job Number],C249&amp;"",tbl_Finance[Xero Invoice No],LOOKUP(2,1/((tbl_Finance[Job Number]=C249&amp;"")*(tbl_Finance[Xero Invoice No]&lt;&gt;"")),tbl_Finance[Xero Invoice No]))=COUNTIFS(tbl_Finance[Job Number],C249&amp;"",tbl_Finance[Xero Invoice No],"&lt;&gt;"),LOOKUP(2,1/((tbl_Finance[Job Number]=C249&amp;"")*(tbl_Finance[Xero Invoice No]&lt;&gt;"")),tbl_Finance[Xero Invoice No]),LOOKUP(2,1/((tbl_Finance[Job Number]=C249&amp;"")*(tbl_Finance[Xero Invoice No]&lt;&gt;"")),tbl_Finance[Xero Invoice No])&amp;" +more"),"")))</f>
        <v/>
      </c>
      <c r="C249" s="24" t="n"/>
      <c r="D249" s="25">
        <f>IF(C249="","",IF(COUNTIF(lst_Jobs,C249&amp;"")&gt;0,"OK","CHECK"))</f>
        <v/>
      </c>
      <c r="E249" s="25">
        <f>IF(C249="","",IFERROR(INDEX(lst_JobName,MATCH(C249&amp;"",lst_Jobs,0)),""))</f>
        <v/>
      </c>
      <c r="F249" s="25">
        <f>IF(C249="","",IFERROR(INDEX(tbl_Finance[Client],MATCH(C249&amp;"",tbl_Finance[Job Number],0)),""))</f>
        <v/>
      </c>
      <c r="G249" s="28">
        <f>IF(C249="","",COUNTIFS(tbl_Finance[Job Number],C249&amp;"",tbl_Finance[Ex GST],"&lt;&gt;"))</f>
        <v/>
      </c>
      <c r="H249" s="27">
        <f>IF(C249="","",SUMIFS(tbl_Finance[Ex GST],tbl_Finance[Job Number],C249&amp;""))</f>
        <v/>
      </c>
      <c r="I249" s="27">
        <f>IF(C249="","",SUMIFS(tbl_Finance[Ex GST],tbl_Finance[Job Number],C249&amp;"",tbl_Finance[Xero Invoice No],"&lt;&gt;"))</f>
        <v/>
      </c>
      <c r="J249" s="27">
        <f>IF(C249="","",H249-I249)</f>
        <v/>
      </c>
      <c r="K249" s="25">
        <f>IF(C249="","",IF(G249=0,"not invoiced yet",SUBSTITUTE(TRIM(IF(COUNTIFS(tbl_Finance[Job Number],C249&amp;"",tbl_Finance[Cost Centre],"ONSITE")&gt;0,"ONSITE ","")&amp;IF(COUNTIFS(tbl_Finance[Job Number],C249&amp;"",tbl_Finance[Cost Centre],"PRODUCTION")&gt;0,"PRODUCTION ","")&amp;IF(COUNTIFS(tbl_Finance[Job Number],C249&amp;"",tbl_Finance[Cost Centre],"VIDEO")&gt;0,"VIDEO ","")&amp;IF(COUNTIFS(tbl_Finance[Job Number],C249&amp;"",tbl_Finance[Cost Centre],"INTEGRATION")&gt;0,"INTEGRATION ","")&amp;IF(COUNTIFS(tbl_Finance[Job Number],C249&amp;"",tbl_Finance[Cost Centre],"CONSULTING")&gt;0,"CONSULTING ","")&amp;IF(COUNTIFS(tbl_Finance[Job Number],C249&amp;"",tbl_Finance[Cost Centre],"CTS")&gt;0,"CTS ",""))," ",", ")))</f>
        <v/>
      </c>
      <c r="L249" s="24" t="n"/>
      <c r="M249" s="25">
        <f>IF(L249="","",HYPERLINK(IF(LEFT(L249,4)="http",L249,set_QwilrBase&amp;L249),"Open quote"))</f>
        <v/>
      </c>
      <c r="N249" s="26" t="n"/>
      <c r="O249" s="26" t="n"/>
      <c r="P249" s="26" t="n"/>
      <c r="Q249" s="25">
        <f>IF(C249="","",IF(N(N249)+N(O249)+N(P249)=0,"Not split",IF(ROUND(N(N249)+N(O249)+N(P249),2)=ROUND(H249,2),"OK","MISMATCH")))</f>
        <v/>
      </c>
      <c r="R249" s="26" t="n"/>
      <c r="S249" s="26" t="n"/>
      <c r="T249" s="26" t="n"/>
      <c r="U249" s="27">
        <f>IF(C249="","",N(R249)+N(S249)+N(T249))</f>
        <v/>
      </c>
      <c r="V249" s="27">
        <f>IF(C249="","",H249-U249)</f>
        <v/>
      </c>
      <c r="W249" s="29">
        <f>IFERROR(V249/H249,"")</f>
        <v/>
      </c>
      <c r="X249" s="24" t="n"/>
    </row>
    <row r="250" ht="15" customHeight="1">
      <c r="A250" s="63">
        <f>IF(C250="","",IFERROR(IF(SUMPRODUCT(MAX((tbl_Finance[Job Number]=C250&amp;"")*(tbl_Finance[Xero Invoice No]&lt;&gt;"")*tbl_Finance[Date]))=0,"",SUMPRODUCT(MAX((tbl_Finance[Job Number]=C250&amp;"")*(tbl_Finance[Xero Invoice No]&lt;&gt;"")*tbl_Finance[Date]))),""))</f>
        <v/>
      </c>
      <c r="B250" s="25">
        <f>IF(C250="","",IF(COUNTIFS(tbl_Finance[Job Number],C250&amp;"",tbl_Finance[Xero Invoice No],"&lt;&gt;")=0,"",IFERROR(IF(COUNTIFS(tbl_Finance[Job Number],C250&amp;"",tbl_Finance[Xero Invoice No],LOOKUP(2,1/((tbl_Finance[Job Number]=C250&amp;"")*(tbl_Finance[Xero Invoice No]&lt;&gt;"")),tbl_Finance[Xero Invoice No]))=COUNTIFS(tbl_Finance[Job Number],C250&amp;"",tbl_Finance[Xero Invoice No],"&lt;&gt;"),LOOKUP(2,1/((tbl_Finance[Job Number]=C250&amp;"")*(tbl_Finance[Xero Invoice No]&lt;&gt;"")),tbl_Finance[Xero Invoice No]),LOOKUP(2,1/((tbl_Finance[Job Number]=C250&amp;"")*(tbl_Finance[Xero Invoice No]&lt;&gt;"")),tbl_Finance[Xero Invoice No])&amp;" +more"),"")))</f>
        <v/>
      </c>
      <c r="C250" s="24" t="n"/>
      <c r="D250" s="25">
        <f>IF(C250="","",IF(COUNTIF(lst_Jobs,C250&amp;"")&gt;0,"OK","CHECK"))</f>
        <v/>
      </c>
      <c r="E250" s="25">
        <f>IF(C250="","",IFERROR(INDEX(lst_JobName,MATCH(C250&amp;"",lst_Jobs,0)),""))</f>
        <v/>
      </c>
      <c r="F250" s="25">
        <f>IF(C250="","",IFERROR(INDEX(tbl_Finance[Client],MATCH(C250&amp;"",tbl_Finance[Job Number],0)),""))</f>
        <v/>
      </c>
      <c r="G250" s="28">
        <f>IF(C250="","",COUNTIFS(tbl_Finance[Job Number],C250&amp;"",tbl_Finance[Ex GST],"&lt;&gt;"))</f>
        <v/>
      </c>
      <c r="H250" s="27">
        <f>IF(C250="","",SUMIFS(tbl_Finance[Ex GST],tbl_Finance[Job Number],C250&amp;""))</f>
        <v/>
      </c>
      <c r="I250" s="27">
        <f>IF(C250="","",SUMIFS(tbl_Finance[Ex GST],tbl_Finance[Job Number],C250&amp;"",tbl_Finance[Xero Invoice No],"&lt;&gt;"))</f>
        <v/>
      </c>
      <c r="J250" s="27">
        <f>IF(C250="","",H250-I250)</f>
        <v/>
      </c>
      <c r="K250" s="25">
        <f>IF(C250="","",IF(G250=0,"not invoiced yet",SUBSTITUTE(TRIM(IF(COUNTIFS(tbl_Finance[Job Number],C250&amp;"",tbl_Finance[Cost Centre],"ONSITE")&gt;0,"ONSITE ","")&amp;IF(COUNTIFS(tbl_Finance[Job Number],C250&amp;"",tbl_Finance[Cost Centre],"PRODUCTION")&gt;0,"PRODUCTION ","")&amp;IF(COUNTIFS(tbl_Finance[Job Number],C250&amp;"",tbl_Finance[Cost Centre],"VIDEO")&gt;0,"VIDEO ","")&amp;IF(COUNTIFS(tbl_Finance[Job Number],C250&amp;"",tbl_Finance[Cost Centre],"INTEGRATION")&gt;0,"INTEGRATION ","")&amp;IF(COUNTIFS(tbl_Finance[Job Number],C250&amp;"",tbl_Finance[Cost Centre],"CONSULTING")&gt;0,"CONSULTING ","")&amp;IF(COUNTIFS(tbl_Finance[Job Number],C250&amp;"",tbl_Finance[Cost Centre],"CTS")&gt;0,"CTS ",""))," ",", ")))</f>
        <v/>
      </c>
      <c r="L250" s="24" t="n"/>
      <c r="M250" s="25">
        <f>IF(L250="","",HYPERLINK(IF(LEFT(L250,4)="http",L250,set_QwilrBase&amp;L250),"Open quote"))</f>
        <v/>
      </c>
      <c r="N250" s="26" t="n"/>
      <c r="O250" s="26" t="n"/>
      <c r="P250" s="26" t="n"/>
      <c r="Q250" s="25">
        <f>IF(C250="","",IF(N(N250)+N(O250)+N(P250)=0,"Not split",IF(ROUND(N(N250)+N(O250)+N(P250),2)=ROUND(H250,2),"OK","MISMATCH")))</f>
        <v/>
      </c>
      <c r="R250" s="26" t="n"/>
      <c r="S250" s="26" t="n"/>
      <c r="T250" s="26" t="n"/>
      <c r="U250" s="27">
        <f>IF(C250="","",N(R250)+N(S250)+N(T250))</f>
        <v/>
      </c>
      <c r="V250" s="27">
        <f>IF(C250="","",H250-U250)</f>
        <v/>
      </c>
      <c r="W250" s="29">
        <f>IFERROR(V250/H250,"")</f>
        <v/>
      </c>
      <c r="X250" s="24" t="n"/>
    </row>
    <row r="251" ht="15" customHeight="1">
      <c r="A251" s="63">
        <f>IF(C251="","",IFERROR(IF(SUMPRODUCT(MAX((tbl_Finance[Job Number]=C251&amp;"")*(tbl_Finance[Xero Invoice No]&lt;&gt;"")*tbl_Finance[Date]))=0,"",SUMPRODUCT(MAX((tbl_Finance[Job Number]=C251&amp;"")*(tbl_Finance[Xero Invoice No]&lt;&gt;"")*tbl_Finance[Date]))),""))</f>
        <v/>
      </c>
      <c r="B251" s="25">
        <f>IF(C251="","",IF(COUNTIFS(tbl_Finance[Job Number],C251&amp;"",tbl_Finance[Xero Invoice No],"&lt;&gt;")=0,"",IFERROR(IF(COUNTIFS(tbl_Finance[Job Number],C251&amp;"",tbl_Finance[Xero Invoice No],LOOKUP(2,1/((tbl_Finance[Job Number]=C251&amp;"")*(tbl_Finance[Xero Invoice No]&lt;&gt;"")),tbl_Finance[Xero Invoice No]))=COUNTIFS(tbl_Finance[Job Number],C251&amp;"",tbl_Finance[Xero Invoice No],"&lt;&gt;"),LOOKUP(2,1/((tbl_Finance[Job Number]=C251&amp;"")*(tbl_Finance[Xero Invoice No]&lt;&gt;"")),tbl_Finance[Xero Invoice No]),LOOKUP(2,1/((tbl_Finance[Job Number]=C251&amp;"")*(tbl_Finance[Xero Invoice No]&lt;&gt;"")),tbl_Finance[Xero Invoice No])&amp;" +more"),"")))</f>
        <v/>
      </c>
      <c r="C251" s="24" t="n"/>
      <c r="D251" s="25">
        <f>IF(C251="","",IF(COUNTIF(lst_Jobs,C251&amp;"")&gt;0,"OK","CHECK"))</f>
        <v/>
      </c>
      <c r="E251" s="25">
        <f>IF(C251="","",IFERROR(INDEX(lst_JobName,MATCH(C251&amp;"",lst_Jobs,0)),""))</f>
        <v/>
      </c>
      <c r="F251" s="25">
        <f>IF(C251="","",IFERROR(INDEX(tbl_Finance[Client],MATCH(C251&amp;"",tbl_Finance[Job Number],0)),""))</f>
        <v/>
      </c>
      <c r="G251" s="28">
        <f>IF(C251="","",COUNTIFS(tbl_Finance[Job Number],C251&amp;"",tbl_Finance[Ex GST],"&lt;&gt;"))</f>
        <v/>
      </c>
      <c r="H251" s="27">
        <f>IF(C251="","",SUMIFS(tbl_Finance[Ex GST],tbl_Finance[Job Number],C251&amp;""))</f>
        <v/>
      </c>
      <c r="I251" s="27">
        <f>IF(C251="","",SUMIFS(tbl_Finance[Ex GST],tbl_Finance[Job Number],C251&amp;"",tbl_Finance[Xero Invoice No],"&lt;&gt;"))</f>
        <v/>
      </c>
      <c r="J251" s="27">
        <f>IF(C251="","",H251-I251)</f>
        <v/>
      </c>
      <c r="K251" s="25">
        <f>IF(C251="","",IF(G251=0,"not invoiced yet",SUBSTITUTE(TRIM(IF(COUNTIFS(tbl_Finance[Job Number],C251&amp;"",tbl_Finance[Cost Centre],"ONSITE")&gt;0,"ONSITE ","")&amp;IF(COUNTIFS(tbl_Finance[Job Number],C251&amp;"",tbl_Finance[Cost Centre],"PRODUCTION")&gt;0,"PRODUCTION ","")&amp;IF(COUNTIFS(tbl_Finance[Job Number],C251&amp;"",tbl_Finance[Cost Centre],"VIDEO")&gt;0,"VIDEO ","")&amp;IF(COUNTIFS(tbl_Finance[Job Number],C251&amp;"",tbl_Finance[Cost Centre],"INTEGRATION")&gt;0,"INTEGRATION ","")&amp;IF(COUNTIFS(tbl_Finance[Job Number],C251&amp;"",tbl_Finance[Cost Centre],"CONSULTING")&gt;0,"CONSULTING ","")&amp;IF(COUNTIFS(tbl_Finance[Job Number],C251&amp;"",tbl_Finance[Cost Centre],"CTS")&gt;0,"CTS ",""))," ",", ")))</f>
        <v/>
      </c>
      <c r="L251" s="24" t="n"/>
      <c r="M251" s="25">
        <f>IF(L251="","",HYPERLINK(IF(LEFT(L251,4)="http",L251,set_QwilrBase&amp;L251),"Open quote"))</f>
        <v/>
      </c>
      <c r="N251" s="26" t="n"/>
      <c r="O251" s="26" t="n"/>
      <c r="P251" s="26" t="n"/>
      <c r="Q251" s="25">
        <f>IF(C251="","",IF(N(N251)+N(O251)+N(P251)=0,"Not split",IF(ROUND(N(N251)+N(O251)+N(P251),2)=ROUND(H251,2),"OK","MISMATCH")))</f>
        <v/>
      </c>
      <c r="R251" s="26" t="n"/>
      <c r="S251" s="26" t="n"/>
      <c r="T251" s="26" t="n"/>
      <c r="U251" s="27">
        <f>IF(C251="","",N(R251)+N(S251)+N(T251))</f>
        <v/>
      </c>
      <c r="V251" s="27">
        <f>IF(C251="","",H251-U251)</f>
        <v/>
      </c>
      <c r="W251" s="29">
        <f>IFERROR(V251/H251,"")</f>
        <v/>
      </c>
      <c r="X251" s="24" t="n"/>
    </row>
    <row r="252" ht="15" customHeight="1">
      <c r="A252" s="63">
        <f>IF(C252="","",IFERROR(IF(SUMPRODUCT(MAX((tbl_Finance[Job Number]=C252&amp;"")*(tbl_Finance[Xero Invoice No]&lt;&gt;"")*tbl_Finance[Date]))=0,"",SUMPRODUCT(MAX((tbl_Finance[Job Number]=C252&amp;"")*(tbl_Finance[Xero Invoice No]&lt;&gt;"")*tbl_Finance[Date]))),""))</f>
        <v/>
      </c>
      <c r="B252" s="25">
        <f>IF(C252="","",IF(COUNTIFS(tbl_Finance[Job Number],C252&amp;"",tbl_Finance[Xero Invoice No],"&lt;&gt;")=0,"",IFERROR(IF(COUNTIFS(tbl_Finance[Job Number],C252&amp;"",tbl_Finance[Xero Invoice No],LOOKUP(2,1/((tbl_Finance[Job Number]=C252&amp;"")*(tbl_Finance[Xero Invoice No]&lt;&gt;"")),tbl_Finance[Xero Invoice No]))=COUNTIFS(tbl_Finance[Job Number],C252&amp;"",tbl_Finance[Xero Invoice No],"&lt;&gt;"),LOOKUP(2,1/((tbl_Finance[Job Number]=C252&amp;"")*(tbl_Finance[Xero Invoice No]&lt;&gt;"")),tbl_Finance[Xero Invoice No]),LOOKUP(2,1/((tbl_Finance[Job Number]=C252&amp;"")*(tbl_Finance[Xero Invoice No]&lt;&gt;"")),tbl_Finance[Xero Invoice No])&amp;" +more"),"")))</f>
        <v/>
      </c>
      <c r="C252" s="24" t="n"/>
      <c r="D252" s="25">
        <f>IF(C252="","",IF(COUNTIF(lst_Jobs,C252&amp;"")&gt;0,"OK","CHECK"))</f>
        <v/>
      </c>
      <c r="E252" s="25">
        <f>IF(C252="","",IFERROR(INDEX(lst_JobName,MATCH(C252&amp;"",lst_Jobs,0)),""))</f>
        <v/>
      </c>
      <c r="F252" s="25">
        <f>IF(C252="","",IFERROR(INDEX(tbl_Finance[Client],MATCH(C252&amp;"",tbl_Finance[Job Number],0)),""))</f>
        <v/>
      </c>
      <c r="G252" s="28">
        <f>IF(C252="","",COUNTIFS(tbl_Finance[Job Number],C252&amp;"",tbl_Finance[Ex GST],"&lt;&gt;"))</f>
        <v/>
      </c>
      <c r="H252" s="27">
        <f>IF(C252="","",SUMIFS(tbl_Finance[Ex GST],tbl_Finance[Job Number],C252&amp;""))</f>
        <v/>
      </c>
      <c r="I252" s="27">
        <f>IF(C252="","",SUMIFS(tbl_Finance[Ex GST],tbl_Finance[Job Number],C252&amp;"",tbl_Finance[Xero Invoice No],"&lt;&gt;"))</f>
        <v/>
      </c>
      <c r="J252" s="27">
        <f>IF(C252="","",H252-I252)</f>
        <v/>
      </c>
      <c r="K252" s="25">
        <f>IF(C252="","",IF(G252=0,"not invoiced yet",SUBSTITUTE(TRIM(IF(COUNTIFS(tbl_Finance[Job Number],C252&amp;"",tbl_Finance[Cost Centre],"ONSITE")&gt;0,"ONSITE ","")&amp;IF(COUNTIFS(tbl_Finance[Job Number],C252&amp;"",tbl_Finance[Cost Centre],"PRODUCTION")&gt;0,"PRODUCTION ","")&amp;IF(COUNTIFS(tbl_Finance[Job Number],C252&amp;"",tbl_Finance[Cost Centre],"VIDEO")&gt;0,"VIDEO ","")&amp;IF(COUNTIFS(tbl_Finance[Job Number],C252&amp;"",tbl_Finance[Cost Centre],"INTEGRATION")&gt;0,"INTEGRATION ","")&amp;IF(COUNTIFS(tbl_Finance[Job Number],C252&amp;"",tbl_Finance[Cost Centre],"CONSULTING")&gt;0,"CONSULTING ","")&amp;IF(COUNTIFS(tbl_Finance[Job Number],C252&amp;"",tbl_Finance[Cost Centre],"CTS")&gt;0,"CTS ",""))," ",", ")))</f>
        <v/>
      </c>
      <c r="L252" s="24" t="n"/>
      <c r="M252" s="25">
        <f>IF(L252="","",HYPERLINK(IF(LEFT(L252,4)="http",L252,set_QwilrBase&amp;L252),"Open quote"))</f>
        <v/>
      </c>
      <c r="N252" s="26" t="n"/>
      <c r="O252" s="26" t="n"/>
      <c r="P252" s="26" t="n"/>
      <c r="Q252" s="25">
        <f>IF(C252="","",IF(N(N252)+N(O252)+N(P252)=0,"Not split",IF(ROUND(N(N252)+N(O252)+N(P252),2)=ROUND(H252,2),"OK","MISMATCH")))</f>
        <v/>
      </c>
      <c r="R252" s="26" t="n"/>
      <c r="S252" s="26" t="n"/>
      <c r="T252" s="26" t="n"/>
      <c r="U252" s="27">
        <f>IF(C252="","",N(R252)+N(S252)+N(T252))</f>
        <v/>
      </c>
      <c r="V252" s="27">
        <f>IF(C252="","",H252-U252)</f>
        <v/>
      </c>
      <c r="W252" s="29">
        <f>IFERROR(V252/H252,"")</f>
        <v/>
      </c>
      <c r="X252" s="24" t="n"/>
    </row>
    <row r="253" ht="15" customHeight="1">
      <c r="A253" s="63">
        <f>IF(C253="","",IFERROR(IF(SUMPRODUCT(MAX((tbl_Finance[Job Number]=C253&amp;"")*(tbl_Finance[Xero Invoice No]&lt;&gt;"")*tbl_Finance[Date]))=0,"",SUMPRODUCT(MAX((tbl_Finance[Job Number]=C253&amp;"")*(tbl_Finance[Xero Invoice No]&lt;&gt;"")*tbl_Finance[Date]))),""))</f>
        <v/>
      </c>
      <c r="B253" s="25">
        <f>IF(C253="","",IF(COUNTIFS(tbl_Finance[Job Number],C253&amp;"",tbl_Finance[Xero Invoice No],"&lt;&gt;")=0,"",IFERROR(IF(COUNTIFS(tbl_Finance[Job Number],C253&amp;"",tbl_Finance[Xero Invoice No],LOOKUP(2,1/((tbl_Finance[Job Number]=C253&amp;"")*(tbl_Finance[Xero Invoice No]&lt;&gt;"")),tbl_Finance[Xero Invoice No]))=COUNTIFS(tbl_Finance[Job Number],C253&amp;"",tbl_Finance[Xero Invoice No],"&lt;&gt;"),LOOKUP(2,1/((tbl_Finance[Job Number]=C253&amp;"")*(tbl_Finance[Xero Invoice No]&lt;&gt;"")),tbl_Finance[Xero Invoice No]),LOOKUP(2,1/((tbl_Finance[Job Number]=C253&amp;"")*(tbl_Finance[Xero Invoice No]&lt;&gt;"")),tbl_Finance[Xero Invoice No])&amp;" +more"),"")))</f>
        <v/>
      </c>
      <c r="C253" s="24" t="n"/>
      <c r="D253" s="25">
        <f>IF(C253="","",IF(COUNTIF(lst_Jobs,C253&amp;"")&gt;0,"OK","CHECK"))</f>
        <v/>
      </c>
      <c r="E253" s="25">
        <f>IF(C253="","",IFERROR(INDEX(lst_JobName,MATCH(C253&amp;"",lst_Jobs,0)),""))</f>
        <v/>
      </c>
      <c r="F253" s="25">
        <f>IF(C253="","",IFERROR(INDEX(tbl_Finance[Client],MATCH(C253&amp;"",tbl_Finance[Job Number],0)),""))</f>
        <v/>
      </c>
      <c r="G253" s="28">
        <f>IF(C253="","",COUNTIFS(tbl_Finance[Job Number],C253&amp;"",tbl_Finance[Ex GST],"&lt;&gt;"))</f>
        <v/>
      </c>
      <c r="H253" s="27">
        <f>IF(C253="","",SUMIFS(tbl_Finance[Ex GST],tbl_Finance[Job Number],C253&amp;""))</f>
        <v/>
      </c>
      <c r="I253" s="27">
        <f>IF(C253="","",SUMIFS(tbl_Finance[Ex GST],tbl_Finance[Job Number],C253&amp;"",tbl_Finance[Xero Invoice No],"&lt;&gt;"))</f>
        <v/>
      </c>
      <c r="J253" s="27">
        <f>IF(C253="","",H253-I253)</f>
        <v/>
      </c>
      <c r="K253" s="25">
        <f>IF(C253="","",IF(G253=0,"not invoiced yet",SUBSTITUTE(TRIM(IF(COUNTIFS(tbl_Finance[Job Number],C253&amp;"",tbl_Finance[Cost Centre],"ONSITE")&gt;0,"ONSITE ","")&amp;IF(COUNTIFS(tbl_Finance[Job Number],C253&amp;"",tbl_Finance[Cost Centre],"PRODUCTION")&gt;0,"PRODUCTION ","")&amp;IF(COUNTIFS(tbl_Finance[Job Number],C253&amp;"",tbl_Finance[Cost Centre],"VIDEO")&gt;0,"VIDEO ","")&amp;IF(COUNTIFS(tbl_Finance[Job Number],C253&amp;"",tbl_Finance[Cost Centre],"INTEGRATION")&gt;0,"INTEGRATION ","")&amp;IF(COUNTIFS(tbl_Finance[Job Number],C253&amp;"",tbl_Finance[Cost Centre],"CONSULTING")&gt;0,"CONSULTING ","")&amp;IF(COUNTIFS(tbl_Finance[Job Number],C253&amp;"",tbl_Finance[Cost Centre],"CTS")&gt;0,"CTS ",""))," ",", ")))</f>
        <v/>
      </c>
      <c r="L253" s="24" t="n"/>
      <c r="M253" s="25">
        <f>IF(L253="","",HYPERLINK(IF(LEFT(L253,4)="http",L253,set_QwilrBase&amp;L253),"Open quote"))</f>
        <v/>
      </c>
      <c r="N253" s="26" t="n"/>
      <c r="O253" s="26" t="n"/>
      <c r="P253" s="26" t="n"/>
      <c r="Q253" s="25">
        <f>IF(C253="","",IF(N(N253)+N(O253)+N(P253)=0,"Not split",IF(ROUND(N(N253)+N(O253)+N(P253),2)=ROUND(H253,2),"OK","MISMATCH")))</f>
        <v/>
      </c>
      <c r="R253" s="26" t="n"/>
      <c r="S253" s="26" t="n"/>
      <c r="T253" s="26" t="n"/>
      <c r="U253" s="27">
        <f>IF(C253="","",N(R253)+N(S253)+N(T253))</f>
        <v/>
      </c>
      <c r="V253" s="27">
        <f>IF(C253="","",H253-U253)</f>
        <v/>
      </c>
      <c r="W253" s="29">
        <f>IFERROR(V253/H253,"")</f>
        <v/>
      </c>
      <c r="X253" s="24" t="n"/>
    </row>
    <row r="254" ht="15" customHeight="1">
      <c r="A254" s="63">
        <f>IF(C254="","",IFERROR(IF(SUMPRODUCT(MAX((tbl_Finance[Job Number]=C254&amp;"")*(tbl_Finance[Xero Invoice No]&lt;&gt;"")*tbl_Finance[Date]))=0,"",SUMPRODUCT(MAX((tbl_Finance[Job Number]=C254&amp;"")*(tbl_Finance[Xero Invoice No]&lt;&gt;"")*tbl_Finance[Date]))),""))</f>
        <v/>
      </c>
      <c r="B254" s="25">
        <f>IF(C254="","",IF(COUNTIFS(tbl_Finance[Job Number],C254&amp;"",tbl_Finance[Xero Invoice No],"&lt;&gt;")=0,"",IFERROR(IF(COUNTIFS(tbl_Finance[Job Number],C254&amp;"",tbl_Finance[Xero Invoice No],LOOKUP(2,1/((tbl_Finance[Job Number]=C254&amp;"")*(tbl_Finance[Xero Invoice No]&lt;&gt;"")),tbl_Finance[Xero Invoice No]))=COUNTIFS(tbl_Finance[Job Number],C254&amp;"",tbl_Finance[Xero Invoice No],"&lt;&gt;"),LOOKUP(2,1/((tbl_Finance[Job Number]=C254&amp;"")*(tbl_Finance[Xero Invoice No]&lt;&gt;"")),tbl_Finance[Xero Invoice No]),LOOKUP(2,1/((tbl_Finance[Job Number]=C254&amp;"")*(tbl_Finance[Xero Invoice No]&lt;&gt;"")),tbl_Finance[Xero Invoice No])&amp;" +more"),"")))</f>
        <v/>
      </c>
      <c r="C254" s="24" t="n"/>
      <c r="D254" s="25">
        <f>IF(C254="","",IF(COUNTIF(lst_Jobs,C254&amp;"")&gt;0,"OK","CHECK"))</f>
        <v/>
      </c>
      <c r="E254" s="25">
        <f>IF(C254="","",IFERROR(INDEX(lst_JobName,MATCH(C254&amp;"",lst_Jobs,0)),""))</f>
        <v/>
      </c>
      <c r="F254" s="25">
        <f>IF(C254="","",IFERROR(INDEX(tbl_Finance[Client],MATCH(C254&amp;"",tbl_Finance[Job Number],0)),""))</f>
        <v/>
      </c>
      <c r="G254" s="28">
        <f>IF(C254="","",COUNTIFS(tbl_Finance[Job Number],C254&amp;"",tbl_Finance[Ex GST],"&lt;&gt;"))</f>
        <v/>
      </c>
      <c r="H254" s="27">
        <f>IF(C254="","",SUMIFS(tbl_Finance[Ex GST],tbl_Finance[Job Number],C254&amp;""))</f>
        <v/>
      </c>
      <c r="I254" s="27">
        <f>IF(C254="","",SUMIFS(tbl_Finance[Ex GST],tbl_Finance[Job Number],C254&amp;"",tbl_Finance[Xero Invoice No],"&lt;&gt;"))</f>
        <v/>
      </c>
      <c r="J254" s="27">
        <f>IF(C254="","",H254-I254)</f>
        <v/>
      </c>
      <c r="K254" s="25">
        <f>IF(C254="","",IF(G254=0,"not invoiced yet",SUBSTITUTE(TRIM(IF(COUNTIFS(tbl_Finance[Job Number],C254&amp;"",tbl_Finance[Cost Centre],"ONSITE")&gt;0,"ONSITE ","")&amp;IF(COUNTIFS(tbl_Finance[Job Number],C254&amp;"",tbl_Finance[Cost Centre],"PRODUCTION")&gt;0,"PRODUCTION ","")&amp;IF(COUNTIFS(tbl_Finance[Job Number],C254&amp;"",tbl_Finance[Cost Centre],"VIDEO")&gt;0,"VIDEO ","")&amp;IF(COUNTIFS(tbl_Finance[Job Number],C254&amp;"",tbl_Finance[Cost Centre],"INTEGRATION")&gt;0,"INTEGRATION ","")&amp;IF(COUNTIFS(tbl_Finance[Job Number],C254&amp;"",tbl_Finance[Cost Centre],"CONSULTING")&gt;0,"CONSULTING ","")&amp;IF(COUNTIFS(tbl_Finance[Job Number],C254&amp;"",tbl_Finance[Cost Centre],"CTS")&gt;0,"CTS ",""))," ",", ")))</f>
        <v/>
      </c>
      <c r="L254" s="24" t="n"/>
      <c r="M254" s="25">
        <f>IF(L254="","",HYPERLINK(IF(LEFT(L254,4)="http",L254,set_QwilrBase&amp;L254),"Open quote"))</f>
        <v/>
      </c>
      <c r="N254" s="26" t="n"/>
      <c r="O254" s="26" t="n"/>
      <c r="P254" s="26" t="n"/>
      <c r="Q254" s="25">
        <f>IF(C254="","",IF(N(N254)+N(O254)+N(P254)=0,"Not split",IF(ROUND(N(N254)+N(O254)+N(P254),2)=ROUND(H254,2),"OK","MISMATCH")))</f>
        <v/>
      </c>
      <c r="R254" s="26" t="n"/>
      <c r="S254" s="26" t="n"/>
      <c r="T254" s="26" t="n"/>
      <c r="U254" s="27">
        <f>IF(C254="","",N(R254)+N(S254)+N(T254))</f>
        <v/>
      </c>
      <c r="V254" s="27">
        <f>IF(C254="","",H254-U254)</f>
        <v/>
      </c>
      <c r="W254" s="29">
        <f>IFERROR(V254/H254,"")</f>
        <v/>
      </c>
      <c r="X254" s="24" t="n"/>
    </row>
    <row r="255" ht="15" customHeight="1">
      <c r="A255" s="63">
        <f>IF(C255="","",IFERROR(IF(SUMPRODUCT(MAX((tbl_Finance[Job Number]=C255&amp;"")*(tbl_Finance[Xero Invoice No]&lt;&gt;"")*tbl_Finance[Date]))=0,"",SUMPRODUCT(MAX((tbl_Finance[Job Number]=C255&amp;"")*(tbl_Finance[Xero Invoice No]&lt;&gt;"")*tbl_Finance[Date]))),""))</f>
        <v/>
      </c>
      <c r="B255" s="25">
        <f>IF(C255="","",IF(COUNTIFS(tbl_Finance[Job Number],C255&amp;"",tbl_Finance[Xero Invoice No],"&lt;&gt;")=0,"",IFERROR(IF(COUNTIFS(tbl_Finance[Job Number],C255&amp;"",tbl_Finance[Xero Invoice No],LOOKUP(2,1/((tbl_Finance[Job Number]=C255&amp;"")*(tbl_Finance[Xero Invoice No]&lt;&gt;"")),tbl_Finance[Xero Invoice No]))=COUNTIFS(tbl_Finance[Job Number],C255&amp;"",tbl_Finance[Xero Invoice No],"&lt;&gt;"),LOOKUP(2,1/((tbl_Finance[Job Number]=C255&amp;"")*(tbl_Finance[Xero Invoice No]&lt;&gt;"")),tbl_Finance[Xero Invoice No]),LOOKUP(2,1/((tbl_Finance[Job Number]=C255&amp;"")*(tbl_Finance[Xero Invoice No]&lt;&gt;"")),tbl_Finance[Xero Invoice No])&amp;" +more"),"")))</f>
        <v/>
      </c>
      <c r="C255" s="24" t="n"/>
      <c r="D255" s="25">
        <f>IF(C255="","",IF(COUNTIF(lst_Jobs,C255&amp;"")&gt;0,"OK","CHECK"))</f>
        <v/>
      </c>
      <c r="E255" s="25">
        <f>IF(C255="","",IFERROR(INDEX(lst_JobName,MATCH(C255&amp;"",lst_Jobs,0)),""))</f>
        <v/>
      </c>
      <c r="F255" s="25">
        <f>IF(C255="","",IFERROR(INDEX(tbl_Finance[Client],MATCH(C255&amp;"",tbl_Finance[Job Number],0)),""))</f>
        <v/>
      </c>
      <c r="G255" s="28">
        <f>IF(C255="","",COUNTIFS(tbl_Finance[Job Number],C255&amp;"",tbl_Finance[Ex GST],"&lt;&gt;"))</f>
        <v/>
      </c>
      <c r="H255" s="27">
        <f>IF(C255="","",SUMIFS(tbl_Finance[Ex GST],tbl_Finance[Job Number],C255&amp;""))</f>
        <v/>
      </c>
      <c r="I255" s="27">
        <f>IF(C255="","",SUMIFS(tbl_Finance[Ex GST],tbl_Finance[Job Number],C255&amp;"",tbl_Finance[Xero Invoice No],"&lt;&gt;"))</f>
        <v/>
      </c>
      <c r="J255" s="27">
        <f>IF(C255="","",H255-I255)</f>
        <v/>
      </c>
      <c r="K255" s="25">
        <f>IF(C255="","",IF(G255=0,"not invoiced yet",SUBSTITUTE(TRIM(IF(COUNTIFS(tbl_Finance[Job Number],C255&amp;"",tbl_Finance[Cost Centre],"ONSITE")&gt;0,"ONSITE ","")&amp;IF(COUNTIFS(tbl_Finance[Job Number],C255&amp;"",tbl_Finance[Cost Centre],"PRODUCTION")&gt;0,"PRODUCTION ","")&amp;IF(COUNTIFS(tbl_Finance[Job Number],C255&amp;"",tbl_Finance[Cost Centre],"VIDEO")&gt;0,"VIDEO ","")&amp;IF(COUNTIFS(tbl_Finance[Job Number],C255&amp;"",tbl_Finance[Cost Centre],"INTEGRATION")&gt;0,"INTEGRATION ","")&amp;IF(COUNTIFS(tbl_Finance[Job Number],C255&amp;"",tbl_Finance[Cost Centre],"CONSULTING")&gt;0,"CONSULTING ","")&amp;IF(COUNTIFS(tbl_Finance[Job Number],C255&amp;"",tbl_Finance[Cost Centre],"CTS")&gt;0,"CTS ",""))," ",", ")))</f>
        <v/>
      </c>
      <c r="L255" s="24" t="n"/>
      <c r="M255" s="25">
        <f>IF(L255="","",HYPERLINK(IF(LEFT(L255,4)="http",L255,set_QwilrBase&amp;L255),"Open quote"))</f>
        <v/>
      </c>
      <c r="N255" s="26" t="n"/>
      <c r="O255" s="26" t="n"/>
      <c r="P255" s="26" t="n"/>
      <c r="Q255" s="25">
        <f>IF(C255="","",IF(N(N255)+N(O255)+N(P255)=0,"Not split",IF(ROUND(N(N255)+N(O255)+N(P255),2)=ROUND(H255,2),"OK","MISMATCH")))</f>
        <v/>
      </c>
      <c r="R255" s="26" t="n"/>
      <c r="S255" s="26" t="n"/>
      <c r="T255" s="26" t="n"/>
      <c r="U255" s="27">
        <f>IF(C255="","",N(R255)+N(S255)+N(T255))</f>
        <v/>
      </c>
      <c r="V255" s="27">
        <f>IF(C255="","",H255-U255)</f>
        <v/>
      </c>
      <c r="W255" s="29">
        <f>IFERROR(V255/H255,"")</f>
        <v/>
      </c>
      <c r="X255" s="24" t="n"/>
    </row>
    <row r="256" ht="15" customHeight="1">
      <c r="A256" s="63">
        <f>IF(C256="","",IFERROR(IF(SUMPRODUCT(MAX((tbl_Finance[Job Number]=C256&amp;"")*(tbl_Finance[Xero Invoice No]&lt;&gt;"")*tbl_Finance[Date]))=0,"",SUMPRODUCT(MAX((tbl_Finance[Job Number]=C256&amp;"")*(tbl_Finance[Xero Invoice No]&lt;&gt;"")*tbl_Finance[Date]))),""))</f>
        <v/>
      </c>
      <c r="B256" s="25">
        <f>IF(C256="","",IF(COUNTIFS(tbl_Finance[Job Number],C256&amp;"",tbl_Finance[Xero Invoice No],"&lt;&gt;")=0,"",IFERROR(IF(COUNTIFS(tbl_Finance[Job Number],C256&amp;"",tbl_Finance[Xero Invoice No],LOOKUP(2,1/((tbl_Finance[Job Number]=C256&amp;"")*(tbl_Finance[Xero Invoice No]&lt;&gt;"")),tbl_Finance[Xero Invoice No]))=COUNTIFS(tbl_Finance[Job Number],C256&amp;"",tbl_Finance[Xero Invoice No],"&lt;&gt;"),LOOKUP(2,1/((tbl_Finance[Job Number]=C256&amp;"")*(tbl_Finance[Xero Invoice No]&lt;&gt;"")),tbl_Finance[Xero Invoice No]),LOOKUP(2,1/((tbl_Finance[Job Number]=C256&amp;"")*(tbl_Finance[Xero Invoice No]&lt;&gt;"")),tbl_Finance[Xero Invoice No])&amp;" +more"),"")))</f>
        <v/>
      </c>
      <c r="C256" s="24" t="n"/>
      <c r="D256" s="25">
        <f>IF(C256="","",IF(COUNTIF(lst_Jobs,C256&amp;"")&gt;0,"OK","CHECK"))</f>
        <v/>
      </c>
      <c r="E256" s="25">
        <f>IF(C256="","",IFERROR(INDEX(lst_JobName,MATCH(C256&amp;"",lst_Jobs,0)),""))</f>
        <v/>
      </c>
      <c r="F256" s="25">
        <f>IF(C256="","",IFERROR(INDEX(tbl_Finance[Client],MATCH(C256&amp;"",tbl_Finance[Job Number],0)),""))</f>
        <v/>
      </c>
      <c r="G256" s="28">
        <f>IF(C256="","",COUNTIFS(tbl_Finance[Job Number],C256&amp;"",tbl_Finance[Ex GST],"&lt;&gt;"))</f>
        <v/>
      </c>
      <c r="H256" s="27">
        <f>IF(C256="","",SUMIFS(tbl_Finance[Ex GST],tbl_Finance[Job Number],C256&amp;""))</f>
        <v/>
      </c>
      <c r="I256" s="27">
        <f>IF(C256="","",SUMIFS(tbl_Finance[Ex GST],tbl_Finance[Job Number],C256&amp;"",tbl_Finance[Xero Invoice No],"&lt;&gt;"))</f>
        <v/>
      </c>
      <c r="J256" s="27">
        <f>IF(C256="","",H256-I256)</f>
        <v/>
      </c>
      <c r="K256" s="25">
        <f>IF(C256="","",IF(G256=0,"not invoiced yet",SUBSTITUTE(TRIM(IF(COUNTIFS(tbl_Finance[Job Number],C256&amp;"",tbl_Finance[Cost Centre],"ONSITE")&gt;0,"ONSITE ","")&amp;IF(COUNTIFS(tbl_Finance[Job Number],C256&amp;"",tbl_Finance[Cost Centre],"PRODUCTION")&gt;0,"PRODUCTION ","")&amp;IF(COUNTIFS(tbl_Finance[Job Number],C256&amp;"",tbl_Finance[Cost Centre],"VIDEO")&gt;0,"VIDEO ","")&amp;IF(COUNTIFS(tbl_Finance[Job Number],C256&amp;"",tbl_Finance[Cost Centre],"INTEGRATION")&gt;0,"INTEGRATION ","")&amp;IF(COUNTIFS(tbl_Finance[Job Number],C256&amp;"",tbl_Finance[Cost Centre],"CONSULTING")&gt;0,"CONSULTING ","")&amp;IF(COUNTIFS(tbl_Finance[Job Number],C256&amp;"",tbl_Finance[Cost Centre],"CTS")&gt;0,"CTS ",""))," ",", ")))</f>
        <v/>
      </c>
      <c r="L256" s="24" t="n"/>
      <c r="M256" s="25">
        <f>IF(L256="","",HYPERLINK(IF(LEFT(L256,4)="http",L256,set_QwilrBase&amp;L256),"Open quote"))</f>
        <v/>
      </c>
      <c r="N256" s="26" t="n"/>
      <c r="O256" s="26" t="n"/>
      <c r="P256" s="26" t="n"/>
      <c r="Q256" s="25">
        <f>IF(C256="","",IF(N(N256)+N(O256)+N(P256)=0,"Not split",IF(ROUND(N(N256)+N(O256)+N(P256),2)=ROUND(H256,2),"OK","MISMATCH")))</f>
        <v/>
      </c>
      <c r="R256" s="26" t="n"/>
      <c r="S256" s="26" t="n"/>
      <c r="T256" s="26" t="n"/>
      <c r="U256" s="27">
        <f>IF(C256="","",N(R256)+N(S256)+N(T256))</f>
        <v/>
      </c>
      <c r="V256" s="27">
        <f>IF(C256="","",H256-U256)</f>
        <v/>
      </c>
      <c r="W256" s="29">
        <f>IFERROR(V256/H256,"")</f>
        <v/>
      </c>
      <c r="X256" s="24" t="n"/>
    </row>
    <row r="257" ht="15" customHeight="1">
      <c r="A257" s="63">
        <f>IF(C257="","",IFERROR(IF(SUMPRODUCT(MAX((tbl_Finance[Job Number]=C257&amp;"")*(tbl_Finance[Xero Invoice No]&lt;&gt;"")*tbl_Finance[Date]))=0,"",SUMPRODUCT(MAX((tbl_Finance[Job Number]=C257&amp;"")*(tbl_Finance[Xero Invoice No]&lt;&gt;"")*tbl_Finance[Date]))),""))</f>
        <v/>
      </c>
      <c r="B257" s="25">
        <f>IF(C257="","",IF(COUNTIFS(tbl_Finance[Job Number],C257&amp;"",tbl_Finance[Xero Invoice No],"&lt;&gt;")=0,"",IFERROR(IF(COUNTIFS(tbl_Finance[Job Number],C257&amp;"",tbl_Finance[Xero Invoice No],LOOKUP(2,1/((tbl_Finance[Job Number]=C257&amp;"")*(tbl_Finance[Xero Invoice No]&lt;&gt;"")),tbl_Finance[Xero Invoice No]))=COUNTIFS(tbl_Finance[Job Number],C257&amp;"",tbl_Finance[Xero Invoice No],"&lt;&gt;"),LOOKUP(2,1/((tbl_Finance[Job Number]=C257&amp;"")*(tbl_Finance[Xero Invoice No]&lt;&gt;"")),tbl_Finance[Xero Invoice No]),LOOKUP(2,1/((tbl_Finance[Job Number]=C257&amp;"")*(tbl_Finance[Xero Invoice No]&lt;&gt;"")),tbl_Finance[Xero Invoice No])&amp;" +more"),"")))</f>
        <v/>
      </c>
      <c r="C257" s="24" t="n"/>
      <c r="D257" s="25">
        <f>IF(C257="","",IF(COUNTIF(lst_Jobs,C257&amp;"")&gt;0,"OK","CHECK"))</f>
        <v/>
      </c>
      <c r="E257" s="25">
        <f>IF(C257="","",IFERROR(INDEX(lst_JobName,MATCH(C257&amp;"",lst_Jobs,0)),""))</f>
        <v/>
      </c>
      <c r="F257" s="25">
        <f>IF(C257="","",IFERROR(INDEX(tbl_Finance[Client],MATCH(C257&amp;"",tbl_Finance[Job Number],0)),""))</f>
        <v/>
      </c>
      <c r="G257" s="28">
        <f>IF(C257="","",COUNTIFS(tbl_Finance[Job Number],C257&amp;"",tbl_Finance[Ex GST],"&lt;&gt;"))</f>
        <v/>
      </c>
      <c r="H257" s="27">
        <f>IF(C257="","",SUMIFS(tbl_Finance[Ex GST],tbl_Finance[Job Number],C257&amp;""))</f>
        <v/>
      </c>
      <c r="I257" s="27">
        <f>IF(C257="","",SUMIFS(tbl_Finance[Ex GST],tbl_Finance[Job Number],C257&amp;"",tbl_Finance[Xero Invoice No],"&lt;&gt;"))</f>
        <v/>
      </c>
      <c r="J257" s="27">
        <f>IF(C257="","",H257-I257)</f>
        <v/>
      </c>
      <c r="K257" s="25">
        <f>IF(C257="","",IF(G257=0,"not invoiced yet",SUBSTITUTE(TRIM(IF(COUNTIFS(tbl_Finance[Job Number],C257&amp;"",tbl_Finance[Cost Centre],"ONSITE")&gt;0,"ONSITE ","")&amp;IF(COUNTIFS(tbl_Finance[Job Number],C257&amp;"",tbl_Finance[Cost Centre],"PRODUCTION")&gt;0,"PRODUCTION ","")&amp;IF(COUNTIFS(tbl_Finance[Job Number],C257&amp;"",tbl_Finance[Cost Centre],"VIDEO")&gt;0,"VIDEO ","")&amp;IF(COUNTIFS(tbl_Finance[Job Number],C257&amp;"",tbl_Finance[Cost Centre],"INTEGRATION")&gt;0,"INTEGRATION ","")&amp;IF(COUNTIFS(tbl_Finance[Job Number],C257&amp;"",tbl_Finance[Cost Centre],"CONSULTING")&gt;0,"CONSULTING ","")&amp;IF(COUNTIFS(tbl_Finance[Job Number],C257&amp;"",tbl_Finance[Cost Centre],"CTS")&gt;0,"CTS ",""))," ",", ")))</f>
        <v/>
      </c>
      <c r="L257" s="24" t="n"/>
      <c r="M257" s="25">
        <f>IF(L257="","",HYPERLINK(IF(LEFT(L257,4)="http",L257,set_QwilrBase&amp;L257),"Open quote"))</f>
        <v/>
      </c>
      <c r="N257" s="26" t="n"/>
      <c r="O257" s="26" t="n"/>
      <c r="P257" s="26" t="n"/>
      <c r="Q257" s="25">
        <f>IF(C257="","",IF(N(N257)+N(O257)+N(P257)=0,"Not split",IF(ROUND(N(N257)+N(O257)+N(P257),2)=ROUND(H257,2),"OK","MISMATCH")))</f>
        <v/>
      </c>
      <c r="R257" s="26" t="n"/>
      <c r="S257" s="26" t="n"/>
      <c r="T257" s="26" t="n"/>
      <c r="U257" s="27">
        <f>IF(C257="","",N(R257)+N(S257)+N(T257))</f>
        <v/>
      </c>
      <c r="V257" s="27">
        <f>IF(C257="","",H257-U257)</f>
        <v/>
      </c>
      <c r="W257" s="29">
        <f>IFERROR(V257/H257,"")</f>
        <v/>
      </c>
      <c r="X257" s="24" t="n"/>
    </row>
    <row r="258" ht="15" customHeight="1">
      <c r="A258" s="63">
        <f>IF(C258="","",IFERROR(IF(SUMPRODUCT(MAX((tbl_Finance[Job Number]=C258&amp;"")*(tbl_Finance[Xero Invoice No]&lt;&gt;"")*tbl_Finance[Date]))=0,"",SUMPRODUCT(MAX((tbl_Finance[Job Number]=C258&amp;"")*(tbl_Finance[Xero Invoice No]&lt;&gt;"")*tbl_Finance[Date]))),""))</f>
        <v/>
      </c>
      <c r="B258" s="25">
        <f>IF(C258="","",IF(COUNTIFS(tbl_Finance[Job Number],C258&amp;"",tbl_Finance[Xero Invoice No],"&lt;&gt;")=0,"",IFERROR(IF(COUNTIFS(tbl_Finance[Job Number],C258&amp;"",tbl_Finance[Xero Invoice No],LOOKUP(2,1/((tbl_Finance[Job Number]=C258&amp;"")*(tbl_Finance[Xero Invoice No]&lt;&gt;"")),tbl_Finance[Xero Invoice No]))=COUNTIFS(tbl_Finance[Job Number],C258&amp;"",tbl_Finance[Xero Invoice No],"&lt;&gt;"),LOOKUP(2,1/((tbl_Finance[Job Number]=C258&amp;"")*(tbl_Finance[Xero Invoice No]&lt;&gt;"")),tbl_Finance[Xero Invoice No]),LOOKUP(2,1/((tbl_Finance[Job Number]=C258&amp;"")*(tbl_Finance[Xero Invoice No]&lt;&gt;"")),tbl_Finance[Xero Invoice No])&amp;" +more"),"")))</f>
        <v/>
      </c>
      <c r="C258" s="24" t="n"/>
      <c r="D258" s="25">
        <f>IF(C258="","",IF(COUNTIF(lst_Jobs,C258&amp;"")&gt;0,"OK","CHECK"))</f>
        <v/>
      </c>
      <c r="E258" s="25">
        <f>IF(C258="","",IFERROR(INDEX(lst_JobName,MATCH(C258&amp;"",lst_Jobs,0)),""))</f>
        <v/>
      </c>
      <c r="F258" s="25">
        <f>IF(C258="","",IFERROR(INDEX(tbl_Finance[Client],MATCH(C258&amp;"",tbl_Finance[Job Number],0)),""))</f>
        <v/>
      </c>
      <c r="G258" s="28">
        <f>IF(C258="","",COUNTIFS(tbl_Finance[Job Number],C258&amp;"",tbl_Finance[Ex GST],"&lt;&gt;"))</f>
        <v/>
      </c>
      <c r="H258" s="27">
        <f>IF(C258="","",SUMIFS(tbl_Finance[Ex GST],tbl_Finance[Job Number],C258&amp;""))</f>
        <v/>
      </c>
      <c r="I258" s="27">
        <f>IF(C258="","",SUMIFS(tbl_Finance[Ex GST],tbl_Finance[Job Number],C258&amp;"",tbl_Finance[Xero Invoice No],"&lt;&gt;"))</f>
        <v/>
      </c>
      <c r="J258" s="27">
        <f>IF(C258="","",H258-I258)</f>
        <v/>
      </c>
      <c r="K258" s="25">
        <f>IF(C258="","",IF(G258=0,"not invoiced yet",SUBSTITUTE(TRIM(IF(COUNTIFS(tbl_Finance[Job Number],C258&amp;"",tbl_Finance[Cost Centre],"ONSITE")&gt;0,"ONSITE ","")&amp;IF(COUNTIFS(tbl_Finance[Job Number],C258&amp;"",tbl_Finance[Cost Centre],"PRODUCTION")&gt;0,"PRODUCTION ","")&amp;IF(COUNTIFS(tbl_Finance[Job Number],C258&amp;"",tbl_Finance[Cost Centre],"VIDEO")&gt;0,"VIDEO ","")&amp;IF(COUNTIFS(tbl_Finance[Job Number],C258&amp;"",tbl_Finance[Cost Centre],"INTEGRATION")&gt;0,"INTEGRATION ","")&amp;IF(COUNTIFS(tbl_Finance[Job Number],C258&amp;"",tbl_Finance[Cost Centre],"CONSULTING")&gt;0,"CONSULTING ","")&amp;IF(COUNTIFS(tbl_Finance[Job Number],C258&amp;"",tbl_Finance[Cost Centre],"CTS")&gt;0,"CTS ",""))," ",", ")))</f>
        <v/>
      </c>
      <c r="L258" s="24" t="n"/>
      <c r="M258" s="25">
        <f>IF(L258="","",HYPERLINK(IF(LEFT(L258,4)="http",L258,set_QwilrBase&amp;L258),"Open quote"))</f>
        <v/>
      </c>
      <c r="N258" s="26" t="n"/>
      <c r="O258" s="26" t="n"/>
      <c r="P258" s="26" t="n"/>
      <c r="Q258" s="25">
        <f>IF(C258="","",IF(N(N258)+N(O258)+N(P258)=0,"Not split",IF(ROUND(N(N258)+N(O258)+N(P258),2)=ROUND(H258,2),"OK","MISMATCH")))</f>
        <v/>
      </c>
      <c r="R258" s="26" t="n"/>
      <c r="S258" s="26" t="n"/>
      <c r="T258" s="26" t="n"/>
      <c r="U258" s="27">
        <f>IF(C258="","",N(R258)+N(S258)+N(T258))</f>
        <v/>
      </c>
      <c r="V258" s="27">
        <f>IF(C258="","",H258-U258)</f>
        <v/>
      </c>
      <c r="W258" s="29">
        <f>IFERROR(V258/H258,"")</f>
        <v/>
      </c>
      <c r="X258" s="24" t="n"/>
    </row>
    <row r="259" ht="15" customHeight="1">
      <c r="A259" s="63">
        <f>IF(C259="","",IFERROR(IF(SUMPRODUCT(MAX((tbl_Finance[Job Number]=C259&amp;"")*(tbl_Finance[Xero Invoice No]&lt;&gt;"")*tbl_Finance[Date]))=0,"",SUMPRODUCT(MAX((tbl_Finance[Job Number]=C259&amp;"")*(tbl_Finance[Xero Invoice No]&lt;&gt;"")*tbl_Finance[Date]))),""))</f>
        <v/>
      </c>
      <c r="B259" s="25">
        <f>IF(C259="","",IF(COUNTIFS(tbl_Finance[Job Number],C259&amp;"",tbl_Finance[Xero Invoice No],"&lt;&gt;")=0,"",IFERROR(IF(COUNTIFS(tbl_Finance[Job Number],C259&amp;"",tbl_Finance[Xero Invoice No],LOOKUP(2,1/((tbl_Finance[Job Number]=C259&amp;"")*(tbl_Finance[Xero Invoice No]&lt;&gt;"")),tbl_Finance[Xero Invoice No]))=COUNTIFS(tbl_Finance[Job Number],C259&amp;"",tbl_Finance[Xero Invoice No],"&lt;&gt;"),LOOKUP(2,1/((tbl_Finance[Job Number]=C259&amp;"")*(tbl_Finance[Xero Invoice No]&lt;&gt;"")),tbl_Finance[Xero Invoice No]),LOOKUP(2,1/((tbl_Finance[Job Number]=C259&amp;"")*(tbl_Finance[Xero Invoice No]&lt;&gt;"")),tbl_Finance[Xero Invoice No])&amp;" +more"),"")))</f>
        <v/>
      </c>
      <c r="C259" s="24" t="n"/>
      <c r="D259" s="25">
        <f>IF(C259="","",IF(COUNTIF(lst_Jobs,C259&amp;"")&gt;0,"OK","CHECK"))</f>
        <v/>
      </c>
      <c r="E259" s="25">
        <f>IF(C259="","",IFERROR(INDEX(lst_JobName,MATCH(C259&amp;"",lst_Jobs,0)),""))</f>
        <v/>
      </c>
      <c r="F259" s="25">
        <f>IF(C259="","",IFERROR(INDEX(tbl_Finance[Client],MATCH(C259&amp;"",tbl_Finance[Job Number],0)),""))</f>
        <v/>
      </c>
      <c r="G259" s="28">
        <f>IF(C259="","",COUNTIFS(tbl_Finance[Job Number],C259&amp;"",tbl_Finance[Ex GST],"&lt;&gt;"))</f>
        <v/>
      </c>
      <c r="H259" s="27">
        <f>IF(C259="","",SUMIFS(tbl_Finance[Ex GST],tbl_Finance[Job Number],C259&amp;""))</f>
        <v/>
      </c>
      <c r="I259" s="27">
        <f>IF(C259="","",SUMIFS(tbl_Finance[Ex GST],tbl_Finance[Job Number],C259&amp;"",tbl_Finance[Xero Invoice No],"&lt;&gt;"))</f>
        <v/>
      </c>
      <c r="J259" s="27">
        <f>IF(C259="","",H259-I259)</f>
        <v/>
      </c>
      <c r="K259" s="25">
        <f>IF(C259="","",IF(G259=0,"not invoiced yet",SUBSTITUTE(TRIM(IF(COUNTIFS(tbl_Finance[Job Number],C259&amp;"",tbl_Finance[Cost Centre],"ONSITE")&gt;0,"ONSITE ","")&amp;IF(COUNTIFS(tbl_Finance[Job Number],C259&amp;"",tbl_Finance[Cost Centre],"PRODUCTION")&gt;0,"PRODUCTION ","")&amp;IF(COUNTIFS(tbl_Finance[Job Number],C259&amp;"",tbl_Finance[Cost Centre],"VIDEO")&gt;0,"VIDEO ","")&amp;IF(COUNTIFS(tbl_Finance[Job Number],C259&amp;"",tbl_Finance[Cost Centre],"INTEGRATION")&gt;0,"INTEGRATION ","")&amp;IF(COUNTIFS(tbl_Finance[Job Number],C259&amp;"",tbl_Finance[Cost Centre],"CONSULTING")&gt;0,"CONSULTING ","")&amp;IF(COUNTIFS(tbl_Finance[Job Number],C259&amp;"",tbl_Finance[Cost Centre],"CTS")&gt;0,"CTS ",""))," ",", ")))</f>
        <v/>
      </c>
      <c r="L259" s="24" t="n"/>
      <c r="M259" s="25">
        <f>IF(L259="","",HYPERLINK(IF(LEFT(L259,4)="http",L259,set_QwilrBase&amp;L259),"Open quote"))</f>
        <v/>
      </c>
      <c r="N259" s="26" t="n"/>
      <c r="O259" s="26" t="n"/>
      <c r="P259" s="26" t="n"/>
      <c r="Q259" s="25">
        <f>IF(C259="","",IF(N(N259)+N(O259)+N(P259)=0,"Not split",IF(ROUND(N(N259)+N(O259)+N(P259),2)=ROUND(H259,2),"OK","MISMATCH")))</f>
        <v/>
      </c>
      <c r="R259" s="26" t="n"/>
      <c r="S259" s="26" t="n"/>
      <c r="T259" s="26" t="n"/>
      <c r="U259" s="27">
        <f>IF(C259="","",N(R259)+N(S259)+N(T259))</f>
        <v/>
      </c>
      <c r="V259" s="27">
        <f>IF(C259="","",H259-U259)</f>
        <v/>
      </c>
      <c r="W259" s="29">
        <f>IFERROR(V259/H259,"")</f>
        <v/>
      </c>
      <c r="X259" s="24" t="n"/>
    </row>
    <row r="260" ht="15" customHeight="1">
      <c r="A260" s="63">
        <f>IF(C260="","",IFERROR(IF(SUMPRODUCT(MAX((tbl_Finance[Job Number]=C260&amp;"")*(tbl_Finance[Xero Invoice No]&lt;&gt;"")*tbl_Finance[Date]))=0,"",SUMPRODUCT(MAX((tbl_Finance[Job Number]=C260&amp;"")*(tbl_Finance[Xero Invoice No]&lt;&gt;"")*tbl_Finance[Date]))),""))</f>
        <v/>
      </c>
      <c r="B260" s="25">
        <f>IF(C260="","",IF(COUNTIFS(tbl_Finance[Job Number],C260&amp;"",tbl_Finance[Xero Invoice No],"&lt;&gt;")=0,"",IFERROR(IF(COUNTIFS(tbl_Finance[Job Number],C260&amp;"",tbl_Finance[Xero Invoice No],LOOKUP(2,1/((tbl_Finance[Job Number]=C260&amp;"")*(tbl_Finance[Xero Invoice No]&lt;&gt;"")),tbl_Finance[Xero Invoice No]))=COUNTIFS(tbl_Finance[Job Number],C260&amp;"",tbl_Finance[Xero Invoice No],"&lt;&gt;"),LOOKUP(2,1/((tbl_Finance[Job Number]=C260&amp;"")*(tbl_Finance[Xero Invoice No]&lt;&gt;"")),tbl_Finance[Xero Invoice No]),LOOKUP(2,1/((tbl_Finance[Job Number]=C260&amp;"")*(tbl_Finance[Xero Invoice No]&lt;&gt;"")),tbl_Finance[Xero Invoice No])&amp;" +more"),"")))</f>
        <v/>
      </c>
      <c r="C260" s="24" t="n"/>
      <c r="D260" s="25">
        <f>IF(C260="","",IF(COUNTIF(lst_Jobs,C260&amp;"")&gt;0,"OK","CHECK"))</f>
        <v/>
      </c>
      <c r="E260" s="25">
        <f>IF(C260="","",IFERROR(INDEX(lst_JobName,MATCH(C260&amp;"",lst_Jobs,0)),""))</f>
        <v/>
      </c>
      <c r="F260" s="25">
        <f>IF(C260="","",IFERROR(INDEX(tbl_Finance[Client],MATCH(C260&amp;"",tbl_Finance[Job Number],0)),""))</f>
        <v/>
      </c>
      <c r="G260" s="28">
        <f>IF(C260="","",COUNTIFS(tbl_Finance[Job Number],C260&amp;"",tbl_Finance[Ex GST],"&lt;&gt;"))</f>
        <v/>
      </c>
      <c r="H260" s="27">
        <f>IF(C260="","",SUMIFS(tbl_Finance[Ex GST],tbl_Finance[Job Number],C260&amp;""))</f>
        <v/>
      </c>
      <c r="I260" s="27">
        <f>IF(C260="","",SUMIFS(tbl_Finance[Ex GST],tbl_Finance[Job Number],C260&amp;"",tbl_Finance[Xero Invoice No],"&lt;&gt;"))</f>
        <v/>
      </c>
      <c r="J260" s="27">
        <f>IF(C260="","",H260-I260)</f>
        <v/>
      </c>
      <c r="K260" s="25">
        <f>IF(C260="","",IF(G260=0,"not invoiced yet",SUBSTITUTE(TRIM(IF(COUNTIFS(tbl_Finance[Job Number],C260&amp;"",tbl_Finance[Cost Centre],"ONSITE")&gt;0,"ONSITE ","")&amp;IF(COUNTIFS(tbl_Finance[Job Number],C260&amp;"",tbl_Finance[Cost Centre],"PRODUCTION")&gt;0,"PRODUCTION ","")&amp;IF(COUNTIFS(tbl_Finance[Job Number],C260&amp;"",tbl_Finance[Cost Centre],"VIDEO")&gt;0,"VIDEO ","")&amp;IF(COUNTIFS(tbl_Finance[Job Number],C260&amp;"",tbl_Finance[Cost Centre],"INTEGRATION")&gt;0,"INTEGRATION ","")&amp;IF(COUNTIFS(tbl_Finance[Job Number],C260&amp;"",tbl_Finance[Cost Centre],"CONSULTING")&gt;0,"CONSULTING ","")&amp;IF(COUNTIFS(tbl_Finance[Job Number],C260&amp;"",tbl_Finance[Cost Centre],"CTS")&gt;0,"CTS ",""))," ",", ")))</f>
        <v/>
      </c>
      <c r="L260" s="24" t="n"/>
      <c r="M260" s="25">
        <f>IF(L260="","",HYPERLINK(IF(LEFT(L260,4)="http",L260,set_QwilrBase&amp;L260),"Open quote"))</f>
        <v/>
      </c>
      <c r="N260" s="26" t="n"/>
      <c r="O260" s="26" t="n"/>
      <c r="P260" s="26" t="n"/>
      <c r="Q260" s="25">
        <f>IF(C260="","",IF(N(N260)+N(O260)+N(P260)=0,"Not split",IF(ROUND(N(N260)+N(O260)+N(P260),2)=ROUND(H260,2),"OK","MISMATCH")))</f>
        <v/>
      </c>
      <c r="R260" s="26" t="n"/>
      <c r="S260" s="26" t="n"/>
      <c r="T260" s="26" t="n"/>
      <c r="U260" s="27">
        <f>IF(C260="","",N(R260)+N(S260)+N(T260))</f>
        <v/>
      </c>
      <c r="V260" s="27">
        <f>IF(C260="","",H260-U260)</f>
        <v/>
      </c>
      <c r="W260" s="29">
        <f>IFERROR(V260/H260,"")</f>
        <v/>
      </c>
      <c r="X260" s="24" t="n"/>
    </row>
    <row r="261" ht="15" customHeight="1">
      <c r="A261" s="63">
        <f>IF(C261="","",IFERROR(IF(SUMPRODUCT(MAX((tbl_Finance[Job Number]=C261&amp;"")*(tbl_Finance[Xero Invoice No]&lt;&gt;"")*tbl_Finance[Date]))=0,"",SUMPRODUCT(MAX((tbl_Finance[Job Number]=C261&amp;"")*(tbl_Finance[Xero Invoice No]&lt;&gt;"")*tbl_Finance[Date]))),""))</f>
        <v/>
      </c>
      <c r="B261" s="25">
        <f>IF(C261="","",IF(COUNTIFS(tbl_Finance[Job Number],C261&amp;"",tbl_Finance[Xero Invoice No],"&lt;&gt;")=0,"",IFERROR(IF(COUNTIFS(tbl_Finance[Job Number],C261&amp;"",tbl_Finance[Xero Invoice No],LOOKUP(2,1/((tbl_Finance[Job Number]=C261&amp;"")*(tbl_Finance[Xero Invoice No]&lt;&gt;"")),tbl_Finance[Xero Invoice No]))=COUNTIFS(tbl_Finance[Job Number],C261&amp;"",tbl_Finance[Xero Invoice No],"&lt;&gt;"),LOOKUP(2,1/((tbl_Finance[Job Number]=C261&amp;"")*(tbl_Finance[Xero Invoice No]&lt;&gt;"")),tbl_Finance[Xero Invoice No]),LOOKUP(2,1/((tbl_Finance[Job Number]=C261&amp;"")*(tbl_Finance[Xero Invoice No]&lt;&gt;"")),tbl_Finance[Xero Invoice No])&amp;" +more"),"")))</f>
        <v/>
      </c>
      <c r="C261" s="24" t="n"/>
      <c r="D261" s="25">
        <f>IF(C261="","",IF(COUNTIF(lst_Jobs,C261&amp;"")&gt;0,"OK","CHECK"))</f>
        <v/>
      </c>
      <c r="E261" s="25">
        <f>IF(C261="","",IFERROR(INDEX(lst_JobName,MATCH(C261&amp;"",lst_Jobs,0)),""))</f>
        <v/>
      </c>
      <c r="F261" s="25">
        <f>IF(C261="","",IFERROR(INDEX(tbl_Finance[Client],MATCH(C261&amp;"",tbl_Finance[Job Number],0)),""))</f>
        <v/>
      </c>
      <c r="G261" s="28">
        <f>IF(C261="","",COUNTIFS(tbl_Finance[Job Number],C261&amp;"",tbl_Finance[Ex GST],"&lt;&gt;"))</f>
        <v/>
      </c>
      <c r="H261" s="27">
        <f>IF(C261="","",SUMIFS(tbl_Finance[Ex GST],tbl_Finance[Job Number],C261&amp;""))</f>
        <v/>
      </c>
      <c r="I261" s="27">
        <f>IF(C261="","",SUMIFS(tbl_Finance[Ex GST],tbl_Finance[Job Number],C261&amp;"",tbl_Finance[Xero Invoice No],"&lt;&gt;"))</f>
        <v/>
      </c>
      <c r="J261" s="27">
        <f>IF(C261="","",H261-I261)</f>
        <v/>
      </c>
      <c r="K261" s="25">
        <f>IF(C261="","",IF(G261=0,"not invoiced yet",SUBSTITUTE(TRIM(IF(COUNTIFS(tbl_Finance[Job Number],C261&amp;"",tbl_Finance[Cost Centre],"ONSITE")&gt;0,"ONSITE ","")&amp;IF(COUNTIFS(tbl_Finance[Job Number],C261&amp;"",tbl_Finance[Cost Centre],"PRODUCTION")&gt;0,"PRODUCTION ","")&amp;IF(COUNTIFS(tbl_Finance[Job Number],C261&amp;"",tbl_Finance[Cost Centre],"VIDEO")&gt;0,"VIDEO ","")&amp;IF(COUNTIFS(tbl_Finance[Job Number],C261&amp;"",tbl_Finance[Cost Centre],"INTEGRATION")&gt;0,"INTEGRATION ","")&amp;IF(COUNTIFS(tbl_Finance[Job Number],C261&amp;"",tbl_Finance[Cost Centre],"CONSULTING")&gt;0,"CONSULTING ","")&amp;IF(COUNTIFS(tbl_Finance[Job Number],C261&amp;"",tbl_Finance[Cost Centre],"CTS")&gt;0,"CTS ",""))," ",", ")))</f>
        <v/>
      </c>
      <c r="L261" s="24" t="n"/>
      <c r="M261" s="25">
        <f>IF(L261="","",HYPERLINK(IF(LEFT(L261,4)="http",L261,set_QwilrBase&amp;L261),"Open quote"))</f>
        <v/>
      </c>
      <c r="N261" s="26" t="n"/>
      <c r="O261" s="26" t="n"/>
      <c r="P261" s="26" t="n"/>
      <c r="Q261" s="25">
        <f>IF(C261="","",IF(N(N261)+N(O261)+N(P261)=0,"Not split",IF(ROUND(N(N261)+N(O261)+N(P261),2)=ROUND(H261,2),"OK","MISMATCH")))</f>
        <v/>
      </c>
      <c r="R261" s="26" t="n"/>
      <c r="S261" s="26" t="n"/>
      <c r="T261" s="26" t="n"/>
      <c r="U261" s="27">
        <f>IF(C261="","",N(R261)+N(S261)+N(T261))</f>
        <v/>
      </c>
      <c r="V261" s="27">
        <f>IF(C261="","",H261-U261)</f>
        <v/>
      </c>
      <c r="W261" s="29">
        <f>IFERROR(V261/H261,"")</f>
        <v/>
      </c>
      <c r="X261" s="24" t="n"/>
    </row>
    <row r="262" ht="15" customHeight="1">
      <c r="A262" s="63">
        <f>IF(C262="","",IFERROR(IF(SUMPRODUCT(MAX((tbl_Finance[Job Number]=C262&amp;"")*(tbl_Finance[Xero Invoice No]&lt;&gt;"")*tbl_Finance[Date]))=0,"",SUMPRODUCT(MAX((tbl_Finance[Job Number]=C262&amp;"")*(tbl_Finance[Xero Invoice No]&lt;&gt;"")*tbl_Finance[Date]))),""))</f>
        <v/>
      </c>
      <c r="B262" s="25">
        <f>IF(C262="","",IF(COUNTIFS(tbl_Finance[Job Number],C262&amp;"",tbl_Finance[Xero Invoice No],"&lt;&gt;")=0,"",IFERROR(IF(COUNTIFS(tbl_Finance[Job Number],C262&amp;"",tbl_Finance[Xero Invoice No],LOOKUP(2,1/((tbl_Finance[Job Number]=C262&amp;"")*(tbl_Finance[Xero Invoice No]&lt;&gt;"")),tbl_Finance[Xero Invoice No]))=COUNTIFS(tbl_Finance[Job Number],C262&amp;"",tbl_Finance[Xero Invoice No],"&lt;&gt;"),LOOKUP(2,1/((tbl_Finance[Job Number]=C262&amp;"")*(tbl_Finance[Xero Invoice No]&lt;&gt;"")),tbl_Finance[Xero Invoice No]),LOOKUP(2,1/((tbl_Finance[Job Number]=C262&amp;"")*(tbl_Finance[Xero Invoice No]&lt;&gt;"")),tbl_Finance[Xero Invoice No])&amp;" +more"),"")))</f>
        <v/>
      </c>
      <c r="C262" s="24" t="n"/>
      <c r="D262" s="25">
        <f>IF(C262="","",IF(COUNTIF(lst_Jobs,C262&amp;"")&gt;0,"OK","CHECK"))</f>
        <v/>
      </c>
      <c r="E262" s="25">
        <f>IF(C262="","",IFERROR(INDEX(lst_JobName,MATCH(C262&amp;"",lst_Jobs,0)),""))</f>
        <v/>
      </c>
      <c r="F262" s="25">
        <f>IF(C262="","",IFERROR(INDEX(tbl_Finance[Client],MATCH(C262&amp;"",tbl_Finance[Job Number],0)),""))</f>
        <v/>
      </c>
      <c r="G262" s="28">
        <f>IF(C262="","",COUNTIFS(tbl_Finance[Job Number],C262&amp;"",tbl_Finance[Ex GST],"&lt;&gt;"))</f>
        <v/>
      </c>
      <c r="H262" s="27">
        <f>IF(C262="","",SUMIFS(tbl_Finance[Ex GST],tbl_Finance[Job Number],C262&amp;""))</f>
        <v/>
      </c>
      <c r="I262" s="27">
        <f>IF(C262="","",SUMIFS(tbl_Finance[Ex GST],tbl_Finance[Job Number],C262&amp;"",tbl_Finance[Xero Invoice No],"&lt;&gt;"))</f>
        <v/>
      </c>
      <c r="J262" s="27">
        <f>IF(C262="","",H262-I262)</f>
        <v/>
      </c>
      <c r="K262" s="25">
        <f>IF(C262="","",IF(G262=0,"not invoiced yet",SUBSTITUTE(TRIM(IF(COUNTIFS(tbl_Finance[Job Number],C262&amp;"",tbl_Finance[Cost Centre],"ONSITE")&gt;0,"ONSITE ","")&amp;IF(COUNTIFS(tbl_Finance[Job Number],C262&amp;"",tbl_Finance[Cost Centre],"PRODUCTION")&gt;0,"PRODUCTION ","")&amp;IF(COUNTIFS(tbl_Finance[Job Number],C262&amp;"",tbl_Finance[Cost Centre],"VIDEO")&gt;0,"VIDEO ","")&amp;IF(COUNTIFS(tbl_Finance[Job Number],C262&amp;"",tbl_Finance[Cost Centre],"INTEGRATION")&gt;0,"INTEGRATION ","")&amp;IF(COUNTIFS(tbl_Finance[Job Number],C262&amp;"",tbl_Finance[Cost Centre],"CONSULTING")&gt;0,"CONSULTING ","")&amp;IF(COUNTIFS(tbl_Finance[Job Number],C262&amp;"",tbl_Finance[Cost Centre],"CTS")&gt;0,"CTS ",""))," ",", ")))</f>
        <v/>
      </c>
      <c r="L262" s="24" t="n"/>
      <c r="M262" s="25">
        <f>IF(L262="","",HYPERLINK(IF(LEFT(L262,4)="http",L262,set_QwilrBase&amp;L262),"Open quote"))</f>
        <v/>
      </c>
      <c r="N262" s="26" t="n"/>
      <c r="O262" s="26" t="n"/>
      <c r="P262" s="26" t="n"/>
      <c r="Q262" s="25">
        <f>IF(C262="","",IF(N(N262)+N(O262)+N(P262)=0,"Not split",IF(ROUND(N(N262)+N(O262)+N(P262),2)=ROUND(H262,2),"OK","MISMATCH")))</f>
        <v/>
      </c>
      <c r="R262" s="26" t="n"/>
      <c r="S262" s="26" t="n"/>
      <c r="T262" s="26" t="n"/>
      <c r="U262" s="27">
        <f>IF(C262="","",N(R262)+N(S262)+N(T262))</f>
        <v/>
      </c>
      <c r="V262" s="27">
        <f>IF(C262="","",H262-U262)</f>
        <v/>
      </c>
      <c r="W262" s="29">
        <f>IFERROR(V262/H262,"")</f>
        <v/>
      </c>
      <c r="X262" s="24" t="n"/>
    </row>
    <row r="263" ht="15" customHeight="1">
      <c r="A263" s="63">
        <f>IF(C263="","",IFERROR(IF(SUMPRODUCT(MAX((tbl_Finance[Job Number]=C263&amp;"")*(tbl_Finance[Xero Invoice No]&lt;&gt;"")*tbl_Finance[Date]))=0,"",SUMPRODUCT(MAX((tbl_Finance[Job Number]=C263&amp;"")*(tbl_Finance[Xero Invoice No]&lt;&gt;"")*tbl_Finance[Date]))),""))</f>
        <v/>
      </c>
      <c r="B263" s="25">
        <f>IF(C263="","",IF(COUNTIFS(tbl_Finance[Job Number],C263&amp;"",tbl_Finance[Xero Invoice No],"&lt;&gt;")=0,"",IFERROR(IF(COUNTIFS(tbl_Finance[Job Number],C263&amp;"",tbl_Finance[Xero Invoice No],LOOKUP(2,1/((tbl_Finance[Job Number]=C263&amp;"")*(tbl_Finance[Xero Invoice No]&lt;&gt;"")),tbl_Finance[Xero Invoice No]))=COUNTIFS(tbl_Finance[Job Number],C263&amp;"",tbl_Finance[Xero Invoice No],"&lt;&gt;"),LOOKUP(2,1/((tbl_Finance[Job Number]=C263&amp;"")*(tbl_Finance[Xero Invoice No]&lt;&gt;"")),tbl_Finance[Xero Invoice No]),LOOKUP(2,1/((tbl_Finance[Job Number]=C263&amp;"")*(tbl_Finance[Xero Invoice No]&lt;&gt;"")),tbl_Finance[Xero Invoice No])&amp;" +more"),"")))</f>
        <v/>
      </c>
      <c r="C263" s="24" t="n"/>
      <c r="D263" s="25">
        <f>IF(C263="","",IF(COUNTIF(lst_Jobs,C263&amp;"")&gt;0,"OK","CHECK"))</f>
        <v/>
      </c>
      <c r="E263" s="25">
        <f>IF(C263="","",IFERROR(INDEX(lst_JobName,MATCH(C263&amp;"",lst_Jobs,0)),""))</f>
        <v/>
      </c>
      <c r="F263" s="25">
        <f>IF(C263="","",IFERROR(INDEX(tbl_Finance[Client],MATCH(C263&amp;"",tbl_Finance[Job Number],0)),""))</f>
        <v/>
      </c>
      <c r="G263" s="28">
        <f>IF(C263="","",COUNTIFS(tbl_Finance[Job Number],C263&amp;"",tbl_Finance[Ex GST],"&lt;&gt;"))</f>
        <v/>
      </c>
      <c r="H263" s="27">
        <f>IF(C263="","",SUMIFS(tbl_Finance[Ex GST],tbl_Finance[Job Number],C263&amp;""))</f>
        <v/>
      </c>
      <c r="I263" s="27">
        <f>IF(C263="","",SUMIFS(tbl_Finance[Ex GST],tbl_Finance[Job Number],C263&amp;"",tbl_Finance[Xero Invoice No],"&lt;&gt;"))</f>
        <v/>
      </c>
      <c r="J263" s="27">
        <f>IF(C263="","",H263-I263)</f>
        <v/>
      </c>
      <c r="K263" s="25">
        <f>IF(C263="","",IF(G263=0,"not invoiced yet",SUBSTITUTE(TRIM(IF(COUNTIFS(tbl_Finance[Job Number],C263&amp;"",tbl_Finance[Cost Centre],"ONSITE")&gt;0,"ONSITE ","")&amp;IF(COUNTIFS(tbl_Finance[Job Number],C263&amp;"",tbl_Finance[Cost Centre],"PRODUCTION")&gt;0,"PRODUCTION ","")&amp;IF(COUNTIFS(tbl_Finance[Job Number],C263&amp;"",tbl_Finance[Cost Centre],"VIDEO")&gt;0,"VIDEO ","")&amp;IF(COUNTIFS(tbl_Finance[Job Number],C263&amp;"",tbl_Finance[Cost Centre],"INTEGRATION")&gt;0,"INTEGRATION ","")&amp;IF(COUNTIFS(tbl_Finance[Job Number],C263&amp;"",tbl_Finance[Cost Centre],"CONSULTING")&gt;0,"CONSULTING ","")&amp;IF(COUNTIFS(tbl_Finance[Job Number],C263&amp;"",tbl_Finance[Cost Centre],"CTS")&gt;0,"CTS ",""))," ",", ")))</f>
        <v/>
      </c>
      <c r="L263" s="24" t="n"/>
      <c r="M263" s="25">
        <f>IF(L263="","",HYPERLINK(IF(LEFT(L263,4)="http",L263,set_QwilrBase&amp;L263),"Open quote"))</f>
        <v/>
      </c>
      <c r="N263" s="26" t="n"/>
      <c r="O263" s="26" t="n"/>
      <c r="P263" s="26" t="n"/>
      <c r="Q263" s="25">
        <f>IF(C263="","",IF(N(N263)+N(O263)+N(P263)=0,"Not split",IF(ROUND(N(N263)+N(O263)+N(P263),2)=ROUND(H263,2),"OK","MISMATCH")))</f>
        <v/>
      </c>
      <c r="R263" s="26" t="n"/>
      <c r="S263" s="26" t="n"/>
      <c r="T263" s="26" t="n"/>
      <c r="U263" s="27">
        <f>IF(C263="","",N(R263)+N(S263)+N(T263))</f>
        <v/>
      </c>
      <c r="V263" s="27">
        <f>IF(C263="","",H263-U263)</f>
        <v/>
      </c>
      <c r="W263" s="29">
        <f>IFERROR(V263/H263,"")</f>
        <v/>
      </c>
      <c r="X263" s="24" t="n"/>
    </row>
    <row r="264" ht="15" customHeight="1">
      <c r="A264" s="63">
        <f>IF(C264="","",IFERROR(IF(SUMPRODUCT(MAX((tbl_Finance[Job Number]=C264&amp;"")*(tbl_Finance[Xero Invoice No]&lt;&gt;"")*tbl_Finance[Date]))=0,"",SUMPRODUCT(MAX((tbl_Finance[Job Number]=C264&amp;"")*(tbl_Finance[Xero Invoice No]&lt;&gt;"")*tbl_Finance[Date]))),""))</f>
        <v/>
      </c>
      <c r="B264" s="25">
        <f>IF(C264="","",IF(COUNTIFS(tbl_Finance[Job Number],C264&amp;"",tbl_Finance[Xero Invoice No],"&lt;&gt;")=0,"",IFERROR(IF(COUNTIFS(tbl_Finance[Job Number],C264&amp;"",tbl_Finance[Xero Invoice No],LOOKUP(2,1/((tbl_Finance[Job Number]=C264&amp;"")*(tbl_Finance[Xero Invoice No]&lt;&gt;"")),tbl_Finance[Xero Invoice No]))=COUNTIFS(tbl_Finance[Job Number],C264&amp;"",tbl_Finance[Xero Invoice No],"&lt;&gt;"),LOOKUP(2,1/((tbl_Finance[Job Number]=C264&amp;"")*(tbl_Finance[Xero Invoice No]&lt;&gt;"")),tbl_Finance[Xero Invoice No]),LOOKUP(2,1/((tbl_Finance[Job Number]=C264&amp;"")*(tbl_Finance[Xero Invoice No]&lt;&gt;"")),tbl_Finance[Xero Invoice No])&amp;" +more"),"")))</f>
        <v/>
      </c>
      <c r="C264" s="24" t="n"/>
      <c r="D264" s="25">
        <f>IF(C264="","",IF(COUNTIF(lst_Jobs,C264&amp;"")&gt;0,"OK","CHECK"))</f>
        <v/>
      </c>
      <c r="E264" s="25">
        <f>IF(C264="","",IFERROR(INDEX(lst_JobName,MATCH(C264&amp;"",lst_Jobs,0)),""))</f>
        <v/>
      </c>
      <c r="F264" s="25">
        <f>IF(C264="","",IFERROR(INDEX(tbl_Finance[Client],MATCH(C264&amp;"",tbl_Finance[Job Number],0)),""))</f>
        <v/>
      </c>
      <c r="G264" s="28">
        <f>IF(C264="","",COUNTIFS(tbl_Finance[Job Number],C264&amp;"",tbl_Finance[Ex GST],"&lt;&gt;"))</f>
        <v/>
      </c>
      <c r="H264" s="27">
        <f>IF(C264="","",SUMIFS(tbl_Finance[Ex GST],tbl_Finance[Job Number],C264&amp;""))</f>
        <v/>
      </c>
      <c r="I264" s="27">
        <f>IF(C264="","",SUMIFS(tbl_Finance[Ex GST],tbl_Finance[Job Number],C264&amp;"",tbl_Finance[Xero Invoice No],"&lt;&gt;"))</f>
        <v/>
      </c>
      <c r="J264" s="27">
        <f>IF(C264="","",H264-I264)</f>
        <v/>
      </c>
      <c r="K264" s="25">
        <f>IF(C264="","",IF(G264=0,"not invoiced yet",SUBSTITUTE(TRIM(IF(COUNTIFS(tbl_Finance[Job Number],C264&amp;"",tbl_Finance[Cost Centre],"ONSITE")&gt;0,"ONSITE ","")&amp;IF(COUNTIFS(tbl_Finance[Job Number],C264&amp;"",tbl_Finance[Cost Centre],"PRODUCTION")&gt;0,"PRODUCTION ","")&amp;IF(COUNTIFS(tbl_Finance[Job Number],C264&amp;"",tbl_Finance[Cost Centre],"VIDEO")&gt;0,"VIDEO ","")&amp;IF(COUNTIFS(tbl_Finance[Job Number],C264&amp;"",tbl_Finance[Cost Centre],"INTEGRATION")&gt;0,"INTEGRATION ","")&amp;IF(COUNTIFS(tbl_Finance[Job Number],C264&amp;"",tbl_Finance[Cost Centre],"CONSULTING")&gt;0,"CONSULTING ","")&amp;IF(COUNTIFS(tbl_Finance[Job Number],C264&amp;"",tbl_Finance[Cost Centre],"CTS")&gt;0,"CTS ",""))," ",", ")))</f>
        <v/>
      </c>
      <c r="L264" s="24" t="n"/>
      <c r="M264" s="25">
        <f>IF(L264="","",HYPERLINK(IF(LEFT(L264,4)="http",L264,set_QwilrBase&amp;L264),"Open quote"))</f>
        <v/>
      </c>
      <c r="N264" s="26" t="n"/>
      <c r="O264" s="26" t="n"/>
      <c r="P264" s="26" t="n"/>
      <c r="Q264" s="25">
        <f>IF(C264="","",IF(N(N264)+N(O264)+N(P264)=0,"Not split",IF(ROUND(N(N264)+N(O264)+N(P264),2)=ROUND(H264,2),"OK","MISMATCH")))</f>
        <v/>
      </c>
      <c r="R264" s="26" t="n"/>
      <c r="S264" s="26" t="n"/>
      <c r="T264" s="26" t="n"/>
      <c r="U264" s="27">
        <f>IF(C264="","",N(R264)+N(S264)+N(T264))</f>
        <v/>
      </c>
      <c r="V264" s="27">
        <f>IF(C264="","",H264-U264)</f>
        <v/>
      </c>
      <c r="W264" s="29">
        <f>IFERROR(V264/H264,"")</f>
        <v/>
      </c>
      <c r="X264" s="24" t="n"/>
    </row>
    <row r="265" ht="15" customHeight="1">
      <c r="A265" s="63">
        <f>IF(C265="","",IFERROR(IF(SUMPRODUCT(MAX((tbl_Finance[Job Number]=C265&amp;"")*(tbl_Finance[Xero Invoice No]&lt;&gt;"")*tbl_Finance[Date]))=0,"",SUMPRODUCT(MAX((tbl_Finance[Job Number]=C265&amp;"")*(tbl_Finance[Xero Invoice No]&lt;&gt;"")*tbl_Finance[Date]))),""))</f>
        <v/>
      </c>
      <c r="B265" s="25">
        <f>IF(C265="","",IF(COUNTIFS(tbl_Finance[Job Number],C265&amp;"",tbl_Finance[Xero Invoice No],"&lt;&gt;")=0,"",IFERROR(IF(COUNTIFS(tbl_Finance[Job Number],C265&amp;"",tbl_Finance[Xero Invoice No],LOOKUP(2,1/((tbl_Finance[Job Number]=C265&amp;"")*(tbl_Finance[Xero Invoice No]&lt;&gt;"")),tbl_Finance[Xero Invoice No]))=COUNTIFS(tbl_Finance[Job Number],C265&amp;"",tbl_Finance[Xero Invoice No],"&lt;&gt;"),LOOKUP(2,1/((tbl_Finance[Job Number]=C265&amp;"")*(tbl_Finance[Xero Invoice No]&lt;&gt;"")),tbl_Finance[Xero Invoice No]),LOOKUP(2,1/((tbl_Finance[Job Number]=C265&amp;"")*(tbl_Finance[Xero Invoice No]&lt;&gt;"")),tbl_Finance[Xero Invoice No])&amp;" +more"),"")))</f>
        <v/>
      </c>
      <c r="C265" s="24" t="n"/>
      <c r="D265" s="25">
        <f>IF(C265="","",IF(COUNTIF(lst_Jobs,C265&amp;"")&gt;0,"OK","CHECK"))</f>
        <v/>
      </c>
      <c r="E265" s="25">
        <f>IF(C265="","",IFERROR(INDEX(lst_JobName,MATCH(C265&amp;"",lst_Jobs,0)),""))</f>
        <v/>
      </c>
      <c r="F265" s="25">
        <f>IF(C265="","",IFERROR(INDEX(tbl_Finance[Client],MATCH(C265&amp;"",tbl_Finance[Job Number],0)),""))</f>
        <v/>
      </c>
      <c r="G265" s="28">
        <f>IF(C265="","",COUNTIFS(tbl_Finance[Job Number],C265&amp;"",tbl_Finance[Ex GST],"&lt;&gt;"))</f>
        <v/>
      </c>
      <c r="H265" s="27">
        <f>IF(C265="","",SUMIFS(tbl_Finance[Ex GST],tbl_Finance[Job Number],C265&amp;""))</f>
        <v/>
      </c>
      <c r="I265" s="27">
        <f>IF(C265="","",SUMIFS(tbl_Finance[Ex GST],tbl_Finance[Job Number],C265&amp;"",tbl_Finance[Xero Invoice No],"&lt;&gt;"))</f>
        <v/>
      </c>
      <c r="J265" s="27">
        <f>IF(C265="","",H265-I265)</f>
        <v/>
      </c>
      <c r="K265" s="25">
        <f>IF(C265="","",IF(G265=0,"not invoiced yet",SUBSTITUTE(TRIM(IF(COUNTIFS(tbl_Finance[Job Number],C265&amp;"",tbl_Finance[Cost Centre],"ONSITE")&gt;0,"ONSITE ","")&amp;IF(COUNTIFS(tbl_Finance[Job Number],C265&amp;"",tbl_Finance[Cost Centre],"PRODUCTION")&gt;0,"PRODUCTION ","")&amp;IF(COUNTIFS(tbl_Finance[Job Number],C265&amp;"",tbl_Finance[Cost Centre],"VIDEO")&gt;0,"VIDEO ","")&amp;IF(COUNTIFS(tbl_Finance[Job Number],C265&amp;"",tbl_Finance[Cost Centre],"INTEGRATION")&gt;0,"INTEGRATION ","")&amp;IF(COUNTIFS(tbl_Finance[Job Number],C265&amp;"",tbl_Finance[Cost Centre],"CONSULTING")&gt;0,"CONSULTING ","")&amp;IF(COUNTIFS(tbl_Finance[Job Number],C265&amp;"",tbl_Finance[Cost Centre],"CTS")&gt;0,"CTS ",""))," ",", ")))</f>
        <v/>
      </c>
      <c r="L265" s="24" t="n"/>
      <c r="M265" s="25">
        <f>IF(L265="","",HYPERLINK(IF(LEFT(L265,4)="http",L265,set_QwilrBase&amp;L265),"Open quote"))</f>
        <v/>
      </c>
      <c r="N265" s="26" t="n"/>
      <c r="O265" s="26" t="n"/>
      <c r="P265" s="26" t="n"/>
      <c r="Q265" s="25">
        <f>IF(C265="","",IF(N(N265)+N(O265)+N(P265)=0,"Not split",IF(ROUND(N(N265)+N(O265)+N(P265),2)=ROUND(H265,2),"OK","MISMATCH")))</f>
        <v/>
      </c>
      <c r="R265" s="26" t="n"/>
      <c r="S265" s="26" t="n"/>
      <c r="T265" s="26" t="n"/>
      <c r="U265" s="27">
        <f>IF(C265="","",N(R265)+N(S265)+N(T265))</f>
        <v/>
      </c>
      <c r="V265" s="27">
        <f>IF(C265="","",H265-U265)</f>
        <v/>
      </c>
      <c r="W265" s="29">
        <f>IFERROR(V265/H265,"")</f>
        <v/>
      </c>
      <c r="X265" s="24" t="n"/>
    </row>
    <row r="266" ht="15" customHeight="1">
      <c r="A266" s="63">
        <f>IF(C266="","",IFERROR(IF(SUMPRODUCT(MAX((tbl_Finance[Job Number]=C266&amp;"")*(tbl_Finance[Xero Invoice No]&lt;&gt;"")*tbl_Finance[Date]))=0,"",SUMPRODUCT(MAX((tbl_Finance[Job Number]=C266&amp;"")*(tbl_Finance[Xero Invoice No]&lt;&gt;"")*tbl_Finance[Date]))),""))</f>
        <v/>
      </c>
      <c r="B266" s="25">
        <f>IF(C266="","",IF(COUNTIFS(tbl_Finance[Job Number],C266&amp;"",tbl_Finance[Xero Invoice No],"&lt;&gt;")=0,"",IFERROR(IF(COUNTIFS(tbl_Finance[Job Number],C266&amp;"",tbl_Finance[Xero Invoice No],LOOKUP(2,1/((tbl_Finance[Job Number]=C266&amp;"")*(tbl_Finance[Xero Invoice No]&lt;&gt;"")),tbl_Finance[Xero Invoice No]))=COUNTIFS(tbl_Finance[Job Number],C266&amp;"",tbl_Finance[Xero Invoice No],"&lt;&gt;"),LOOKUP(2,1/((tbl_Finance[Job Number]=C266&amp;"")*(tbl_Finance[Xero Invoice No]&lt;&gt;"")),tbl_Finance[Xero Invoice No]),LOOKUP(2,1/((tbl_Finance[Job Number]=C266&amp;"")*(tbl_Finance[Xero Invoice No]&lt;&gt;"")),tbl_Finance[Xero Invoice No])&amp;" +more"),"")))</f>
        <v/>
      </c>
      <c r="C266" s="24" t="n"/>
      <c r="D266" s="25">
        <f>IF(C266="","",IF(COUNTIF(lst_Jobs,C266&amp;"")&gt;0,"OK","CHECK"))</f>
        <v/>
      </c>
      <c r="E266" s="25">
        <f>IF(C266="","",IFERROR(INDEX(lst_JobName,MATCH(C266&amp;"",lst_Jobs,0)),""))</f>
        <v/>
      </c>
      <c r="F266" s="25">
        <f>IF(C266="","",IFERROR(INDEX(tbl_Finance[Client],MATCH(C266&amp;"",tbl_Finance[Job Number],0)),""))</f>
        <v/>
      </c>
      <c r="G266" s="28">
        <f>IF(C266="","",COUNTIFS(tbl_Finance[Job Number],C266&amp;"",tbl_Finance[Ex GST],"&lt;&gt;"))</f>
        <v/>
      </c>
      <c r="H266" s="27">
        <f>IF(C266="","",SUMIFS(tbl_Finance[Ex GST],tbl_Finance[Job Number],C266&amp;""))</f>
        <v/>
      </c>
      <c r="I266" s="27">
        <f>IF(C266="","",SUMIFS(tbl_Finance[Ex GST],tbl_Finance[Job Number],C266&amp;"",tbl_Finance[Xero Invoice No],"&lt;&gt;"))</f>
        <v/>
      </c>
      <c r="J266" s="27">
        <f>IF(C266="","",H266-I266)</f>
        <v/>
      </c>
      <c r="K266" s="25">
        <f>IF(C266="","",IF(G266=0,"not invoiced yet",SUBSTITUTE(TRIM(IF(COUNTIFS(tbl_Finance[Job Number],C266&amp;"",tbl_Finance[Cost Centre],"ONSITE")&gt;0,"ONSITE ","")&amp;IF(COUNTIFS(tbl_Finance[Job Number],C266&amp;"",tbl_Finance[Cost Centre],"PRODUCTION")&gt;0,"PRODUCTION ","")&amp;IF(COUNTIFS(tbl_Finance[Job Number],C266&amp;"",tbl_Finance[Cost Centre],"VIDEO")&gt;0,"VIDEO ","")&amp;IF(COUNTIFS(tbl_Finance[Job Number],C266&amp;"",tbl_Finance[Cost Centre],"INTEGRATION")&gt;0,"INTEGRATION ","")&amp;IF(COUNTIFS(tbl_Finance[Job Number],C266&amp;"",tbl_Finance[Cost Centre],"CONSULTING")&gt;0,"CONSULTING ","")&amp;IF(COUNTIFS(tbl_Finance[Job Number],C266&amp;"",tbl_Finance[Cost Centre],"CTS")&gt;0,"CTS ",""))," ",", ")))</f>
        <v/>
      </c>
      <c r="L266" s="24" t="n"/>
      <c r="M266" s="25">
        <f>IF(L266="","",HYPERLINK(IF(LEFT(L266,4)="http",L266,set_QwilrBase&amp;L266),"Open quote"))</f>
        <v/>
      </c>
      <c r="N266" s="26" t="n"/>
      <c r="O266" s="26" t="n"/>
      <c r="P266" s="26" t="n"/>
      <c r="Q266" s="25">
        <f>IF(C266="","",IF(N(N266)+N(O266)+N(P266)=0,"Not split",IF(ROUND(N(N266)+N(O266)+N(P266),2)=ROUND(H266,2),"OK","MISMATCH")))</f>
        <v/>
      </c>
      <c r="R266" s="26" t="n"/>
      <c r="S266" s="26" t="n"/>
      <c r="T266" s="26" t="n"/>
      <c r="U266" s="27">
        <f>IF(C266="","",N(R266)+N(S266)+N(T266))</f>
        <v/>
      </c>
      <c r="V266" s="27">
        <f>IF(C266="","",H266-U266)</f>
        <v/>
      </c>
      <c r="W266" s="29">
        <f>IFERROR(V266/H266,"")</f>
        <v/>
      </c>
      <c r="X266" s="24" t="n"/>
    </row>
    <row r="267" ht="15" customHeight="1">
      <c r="A267" s="63">
        <f>IF(C267="","",IFERROR(IF(SUMPRODUCT(MAX((tbl_Finance[Job Number]=C267&amp;"")*(tbl_Finance[Xero Invoice No]&lt;&gt;"")*tbl_Finance[Date]))=0,"",SUMPRODUCT(MAX((tbl_Finance[Job Number]=C267&amp;"")*(tbl_Finance[Xero Invoice No]&lt;&gt;"")*tbl_Finance[Date]))),""))</f>
        <v/>
      </c>
      <c r="B267" s="25">
        <f>IF(C267="","",IF(COUNTIFS(tbl_Finance[Job Number],C267&amp;"",tbl_Finance[Xero Invoice No],"&lt;&gt;")=0,"",IFERROR(IF(COUNTIFS(tbl_Finance[Job Number],C267&amp;"",tbl_Finance[Xero Invoice No],LOOKUP(2,1/((tbl_Finance[Job Number]=C267&amp;"")*(tbl_Finance[Xero Invoice No]&lt;&gt;"")),tbl_Finance[Xero Invoice No]))=COUNTIFS(tbl_Finance[Job Number],C267&amp;"",tbl_Finance[Xero Invoice No],"&lt;&gt;"),LOOKUP(2,1/((tbl_Finance[Job Number]=C267&amp;"")*(tbl_Finance[Xero Invoice No]&lt;&gt;"")),tbl_Finance[Xero Invoice No]),LOOKUP(2,1/((tbl_Finance[Job Number]=C267&amp;"")*(tbl_Finance[Xero Invoice No]&lt;&gt;"")),tbl_Finance[Xero Invoice No])&amp;" +more"),"")))</f>
        <v/>
      </c>
      <c r="C267" s="24" t="n"/>
      <c r="D267" s="25">
        <f>IF(C267="","",IF(COUNTIF(lst_Jobs,C267&amp;"")&gt;0,"OK","CHECK"))</f>
        <v/>
      </c>
      <c r="E267" s="25">
        <f>IF(C267="","",IFERROR(INDEX(lst_JobName,MATCH(C267&amp;"",lst_Jobs,0)),""))</f>
        <v/>
      </c>
      <c r="F267" s="25">
        <f>IF(C267="","",IFERROR(INDEX(tbl_Finance[Client],MATCH(C267&amp;"",tbl_Finance[Job Number],0)),""))</f>
        <v/>
      </c>
      <c r="G267" s="28">
        <f>IF(C267="","",COUNTIFS(tbl_Finance[Job Number],C267&amp;"",tbl_Finance[Ex GST],"&lt;&gt;"))</f>
        <v/>
      </c>
      <c r="H267" s="27">
        <f>IF(C267="","",SUMIFS(tbl_Finance[Ex GST],tbl_Finance[Job Number],C267&amp;""))</f>
        <v/>
      </c>
      <c r="I267" s="27">
        <f>IF(C267="","",SUMIFS(tbl_Finance[Ex GST],tbl_Finance[Job Number],C267&amp;"",tbl_Finance[Xero Invoice No],"&lt;&gt;"))</f>
        <v/>
      </c>
      <c r="J267" s="27">
        <f>IF(C267="","",H267-I267)</f>
        <v/>
      </c>
      <c r="K267" s="25">
        <f>IF(C267="","",IF(G267=0,"not invoiced yet",SUBSTITUTE(TRIM(IF(COUNTIFS(tbl_Finance[Job Number],C267&amp;"",tbl_Finance[Cost Centre],"ONSITE")&gt;0,"ONSITE ","")&amp;IF(COUNTIFS(tbl_Finance[Job Number],C267&amp;"",tbl_Finance[Cost Centre],"PRODUCTION")&gt;0,"PRODUCTION ","")&amp;IF(COUNTIFS(tbl_Finance[Job Number],C267&amp;"",tbl_Finance[Cost Centre],"VIDEO")&gt;0,"VIDEO ","")&amp;IF(COUNTIFS(tbl_Finance[Job Number],C267&amp;"",tbl_Finance[Cost Centre],"INTEGRATION")&gt;0,"INTEGRATION ","")&amp;IF(COUNTIFS(tbl_Finance[Job Number],C267&amp;"",tbl_Finance[Cost Centre],"CONSULTING")&gt;0,"CONSULTING ","")&amp;IF(COUNTIFS(tbl_Finance[Job Number],C267&amp;"",tbl_Finance[Cost Centre],"CTS")&gt;0,"CTS ",""))," ",", ")))</f>
        <v/>
      </c>
      <c r="L267" s="24" t="n"/>
      <c r="M267" s="25">
        <f>IF(L267="","",HYPERLINK(IF(LEFT(L267,4)="http",L267,set_QwilrBase&amp;L267),"Open quote"))</f>
        <v/>
      </c>
      <c r="N267" s="26" t="n"/>
      <c r="O267" s="26" t="n"/>
      <c r="P267" s="26" t="n"/>
      <c r="Q267" s="25">
        <f>IF(C267="","",IF(N(N267)+N(O267)+N(P267)=0,"Not split",IF(ROUND(N(N267)+N(O267)+N(P267),2)=ROUND(H267,2),"OK","MISMATCH")))</f>
        <v/>
      </c>
      <c r="R267" s="26" t="n"/>
      <c r="S267" s="26" t="n"/>
      <c r="T267" s="26" t="n"/>
      <c r="U267" s="27">
        <f>IF(C267="","",N(R267)+N(S267)+N(T267))</f>
        <v/>
      </c>
      <c r="V267" s="27">
        <f>IF(C267="","",H267-U267)</f>
        <v/>
      </c>
      <c r="W267" s="29">
        <f>IFERROR(V267/H267,"")</f>
        <v/>
      </c>
      <c r="X267" s="24" t="n"/>
    </row>
    <row r="268" ht="15" customHeight="1">
      <c r="A268" s="63">
        <f>IF(C268="","",IFERROR(IF(SUMPRODUCT(MAX((tbl_Finance[Job Number]=C268&amp;"")*(tbl_Finance[Xero Invoice No]&lt;&gt;"")*tbl_Finance[Date]))=0,"",SUMPRODUCT(MAX((tbl_Finance[Job Number]=C268&amp;"")*(tbl_Finance[Xero Invoice No]&lt;&gt;"")*tbl_Finance[Date]))),""))</f>
        <v/>
      </c>
      <c r="B268" s="25">
        <f>IF(C268="","",IF(COUNTIFS(tbl_Finance[Job Number],C268&amp;"",tbl_Finance[Xero Invoice No],"&lt;&gt;")=0,"",IFERROR(IF(COUNTIFS(tbl_Finance[Job Number],C268&amp;"",tbl_Finance[Xero Invoice No],LOOKUP(2,1/((tbl_Finance[Job Number]=C268&amp;"")*(tbl_Finance[Xero Invoice No]&lt;&gt;"")),tbl_Finance[Xero Invoice No]))=COUNTIFS(tbl_Finance[Job Number],C268&amp;"",tbl_Finance[Xero Invoice No],"&lt;&gt;"),LOOKUP(2,1/((tbl_Finance[Job Number]=C268&amp;"")*(tbl_Finance[Xero Invoice No]&lt;&gt;"")),tbl_Finance[Xero Invoice No]),LOOKUP(2,1/((tbl_Finance[Job Number]=C268&amp;"")*(tbl_Finance[Xero Invoice No]&lt;&gt;"")),tbl_Finance[Xero Invoice No])&amp;" +more"),"")))</f>
        <v/>
      </c>
      <c r="C268" s="24" t="n"/>
      <c r="D268" s="25">
        <f>IF(C268="","",IF(COUNTIF(lst_Jobs,C268&amp;"")&gt;0,"OK","CHECK"))</f>
        <v/>
      </c>
      <c r="E268" s="25">
        <f>IF(C268="","",IFERROR(INDEX(lst_JobName,MATCH(C268&amp;"",lst_Jobs,0)),""))</f>
        <v/>
      </c>
      <c r="F268" s="25">
        <f>IF(C268="","",IFERROR(INDEX(tbl_Finance[Client],MATCH(C268&amp;"",tbl_Finance[Job Number],0)),""))</f>
        <v/>
      </c>
      <c r="G268" s="28">
        <f>IF(C268="","",COUNTIFS(tbl_Finance[Job Number],C268&amp;"",tbl_Finance[Ex GST],"&lt;&gt;"))</f>
        <v/>
      </c>
      <c r="H268" s="27">
        <f>IF(C268="","",SUMIFS(tbl_Finance[Ex GST],tbl_Finance[Job Number],C268&amp;""))</f>
        <v/>
      </c>
      <c r="I268" s="27">
        <f>IF(C268="","",SUMIFS(tbl_Finance[Ex GST],tbl_Finance[Job Number],C268&amp;"",tbl_Finance[Xero Invoice No],"&lt;&gt;"))</f>
        <v/>
      </c>
      <c r="J268" s="27">
        <f>IF(C268="","",H268-I268)</f>
        <v/>
      </c>
      <c r="K268" s="25">
        <f>IF(C268="","",IF(G268=0,"not invoiced yet",SUBSTITUTE(TRIM(IF(COUNTIFS(tbl_Finance[Job Number],C268&amp;"",tbl_Finance[Cost Centre],"ONSITE")&gt;0,"ONSITE ","")&amp;IF(COUNTIFS(tbl_Finance[Job Number],C268&amp;"",tbl_Finance[Cost Centre],"PRODUCTION")&gt;0,"PRODUCTION ","")&amp;IF(COUNTIFS(tbl_Finance[Job Number],C268&amp;"",tbl_Finance[Cost Centre],"VIDEO")&gt;0,"VIDEO ","")&amp;IF(COUNTIFS(tbl_Finance[Job Number],C268&amp;"",tbl_Finance[Cost Centre],"INTEGRATION")&gt;0,"INTEGRATION ","")&amp;IF(COUNTIFS(tbl_Finance[Job Number],C268&amp;"",tbl_Finance[Cost Centre],"CONSULTING")&gt;0,"CONSULTING ","")&amp;IF(COUNTIFS(tbl_Finance[Job Number],C268&amp;"",tbl_Finance[Cost Centre],"CTS")&gt;0,"CTS ",""))," ",", ")))</f>
        <v/>
      </c>
      <c r="L268" s="24" t="n"/>
      <c r="M268" s="25">
        <f>IF(L268="","",HYPERLINK(IF(LEFT(L268,4)="http",L268,set_QwilrBase&amp;L268),"Open quote"))</f>
        <v/>
      </c>
      <c r="N268" s="26" t="n"/>
      <c r="O268" s="26" t="n"/>
      <c r="P268" s="26" t="n"/>
      <c r="Q268" s="25">
        <f>IF(C268="","",IF(N(N268)+N(O268)+N(P268)=0,"Not split",IF(ROUND(N(N268)+N(O268)+N(P268),2)=ROUND(H268,2),"OK","MISMATCH")))</f>
        <v/>
      </c>
      <c r="R268" s="26" t="n"/>
      <c r="S268" s="26" t="n"/>
      <c r="T268" s="26" t="n"/>
      <c r="U268" s="27">
        <f>IF(C268="","",N(R268)+N(S268)+N(T268))</f>
        <v/>
      </c>
      <c r="V268" s="27">
        <f>IF(C268="","",H268-U268)</f>
        <v/>
      </c>
      <c r="W268" s="29">
        <f>IFERROR(V268/H268,"")</f>
        <v/>
      </c>
      <c r="X268" s="24" t="n"/>
    </row>
    <row r="269" ht="15" customHeight="1">
      <c r="A269" s="63">
        <f>IF(C269="","",IFERROR(IF(SUMPRODUCT(MAX((tbl_Finance[Job Number]=C269&amp;"")*(tbl_Finance[Xero Invoice No]&lt;&gt;"")*tbl_Finance[Date]))=0,"",SUMPRODUCT(MAX((tbl_Finance[Job Number]=C269&amp;"")*(tbl_Finance[Xero Invoice No]&lt;&gt;"")*tbl_Finance[Date]))),""))</f>
        <v/>
      </c>
      <c r="B269" s="25">
        <f>IF(C269="","",IF(COUNTIFS(tbl_Finance[Job Number],C269&amp;"",tbl_Finance[Xero Invoice No],"&lt;&gt;")=0,"",IFERROR(IF(COUNTIFS(tbl_Finance[Job Number],C269&amp;"",tbl_Finance[Xero Invoice No],LOOKUP(2,1/((tbl_Finance[Job Number]=C269&amp;"")*(tbl_Finance[Xero Invoice No]&lt;&gt;"")),tbl_Finance[Xero Invoice No]))=COUNTIFS(tbl_Finance[Job Number],C269&amp;"",tbl_Finance[Xero Invoice No],"&lt;&gt;"),LOOKUP(2,1/((tbl_Finance[Job Number]=C269&amp;"")*(tbl_Finance[Xero Invoice No]&lt;&gt;"")),tbl_Finance[Xero Invoice No]),LOOKUP(2,1/((tbl_Finance[Job Number]=C269&amp;"")*(tbl_Finance[Xero Invoice No]&lt;&gt;"")),tbl_Finance[Xero Invoice No])&amp;" +more"),"")))</f>
        <v/>
      </c>
      <c r="C269" s="24" t="n"/>
      <c r="D269" s="25">
        <f>IF(C269="","",IF(COUNTIF(lst_Jobs,C269&amp;"")&gt;0,"OK","CHECK"))</f>
        <v/>
      </c>
      <c r="E269" s="25">
        <f>IF(C269="","",IFERROR(INDEX(lst_JobName,MATCH(C269&amp;"",lst_Jobs,0)),""))</f>
        <v/>
      </c>
      <c r="F269" s="25">
        <f>IF(C269="","",IFERROR(INDEX(tbl_Finance[Client],MATCH(C269&amp;"",tbl_Finance[Job Number],0)),""))</f>
        <v/>
      </c>
      <c r="G269" s="28">
        <f>IF(C269="","",COUNTIFS(tbl_Finance[Job Number],C269&amp;"",tbl_Finance[Ex GST],"&lt;&gt;"))</f>
        <v/>
      </c>
      <c r="H269" s="27">
        <f>IF(C269="","",SUMIFS(tbl_Finance[Ex GST],tbl_Finance[Job Number],C269&amp;""))</f>
        <v/>
      </c>
      <c r="I269" s="27">
        <f>IF(C269="","",SUMIFS(tbl_Finance[Ex GST],tbl_Finance[Job Number],C269&amp;"",tbl_Finance[Xero Invoice No],"&lt;&gt;"))</f>
        <v/>
      </c>
      <c r="J269" s="27">
        <f>IF(C269="","",H269-I269)</f>
        <v/>
      </c>
      <c r="K269" s="25">
        <f>IF(C269="","",IF(G269=0,"not invoiced yet",SUBSTITUTE(TRIM(IF(COUNTIFS(tbl_Finance[Job Number],C269&amp;"",tbl_Finance[Cost Centre],"ONSITE")&gt;0,"ONSITE ","")&amp;IF(COUNTIFS(tbl_Finance[Job Number],C269&amp;"",tbl_Finance[Cost Centre],"PRODUCTION")&gt;0,"PRODUCTION ","")&amp;IF(COUNTIFS(tbl_Finance[Job Number],C269&amp;"",tbl_Finance[Cost Centre],"VIDEO")&gt;0,"VIDEO ","")&amp;IF(COUNTIFS(tbl_Finance[Job Number],C269&amp;"",tbl_Finance[Cost Centre],"INTEGRATION")&gt;0,"INTEGRATION ","")&amp;IF(COUNTIFS(tbl_Finance[Job Number],C269&amp;"",tbl_Finance[Cost Centre],"CONSULTING")&gt;0,"CONSULTING ","")&amp;IF(COUNTIFS(tbl_Finance[Job Number],C269&amp;"",tbl_Finance[Cost Centre],"CTS")&gt;0,"CTS ",""))," ",", ")))</f>
        <v/>
      </c>
      <c r="L269" s="24" t="n"/>
      <c r="M269" s="25">
        <f>IF(L269="","",HYPERLINK(IF(LEFT(L269,4)="http",L269,set_QwilrBase&amp;L269),"Open quote"))</f>
        <v/>
      </c>
      <c r="N269" s="26" t="n"/>
      <c r="O269" s="26" t="n"/>
      <c r="P269" s="26" t="n"/>
      <c r="Q269" s="25">
        <f>IF(C269="","",IF(N(N269)+N(O269)+N(P269)=0,"Not split",IF(ROUND(N(N269)+N(O269)+N(P269),2)=ROUND(H269,2),"OK","MISMATCH")))</f>
        <v/>
      </c>
      <c r="R269" s="26" t="n"/>
      <c r="S269" s="26" t="n"/>
      <c r="T269" s="26" t="n"/>
      <c r="U269" s="27">
        <f>IF(C269="","",N(R269)+N(S269)+N(T269))</f>
        <v/>
      </c>
      <c r="V269" s="27">
        <f>IF(C269="","",H269-U269)</f>
        <v/>
      </c>
      <c r="W269" s="29">
        <f>IFERROR(V269/H269,"")</f>
        <v/>
      </c>
      <c r="X269" s="24" t="n"/>
    </row>
    <row r="270" ht="15" customHeight="1">
      <c r="A270" s="63">
        <f>IF(C270="","",IFERROR(IF(SUMPRODUCT(MAX((tbl_Finance[Job Number]=C270&amp;"")*(tbl_Finance[Xero Invoice No]&lt;&gt;"")*tbl_Finance[Date]))=0,"",SUMPRODUCT(MAX((tbl_Finance[Job Number]=C270&amp;"")*(tbl_Finance[Xero Invoice No]&lt;&gt;"")*tbl_Finance[Date]))),""))</f>
        <v/>
      </c>
      <c r="B270" s="25">
        <f>IF(C270="","",IF(COUNTIFS(tbl_Finance[Job Number],C270&amp;"",tbl_Finance[Xero Invoice No],"&lt;&gt;")=0,"",IFERROR(IF(COUNTIFS(tbl_Finance[Job Number],C270&amp;"",tbl_Finance[Xero Invoice No],LOOKUP(2,1/((tbl_Finance[Job Number]=C270&amp;"")*(tbl_Finance[Xero Invoice No]&lt;&gt;"")),tbl_Finance[Xero Invoice No]))=COUNTIFS(tbl_Finance[Job Number],C270&amp;"",tbl_Finance[Xero Invoice No],"&lt;&gt;"),LOOKUP(2,1/((tbl_Finance[Job Number]=C270&amp;"")*(tbl_Finance[Xero Invoice No]&lt;&gt;"")),tbl_Finance[Xero Invoice No]),LOOKUP(2,1/((tbl_Finance[Job Number]=C270&amp;"")*(tbl_Finance[Xero Invoice No]&lt;&gt;"")),tbl_Finance[Xero Invoice No])&amp;" +more"),"")))</f>
        <v/>
      </c>
      <c r="C270" s="24" t="n"/>
      <c r="D270" s="25">
        <f>IF(C270="","",IF(COUNTIF(lst_Jobs,C270&amp;"")&gt;0,"OK","CHECK"))</f>
        <v/>
      </c>
      <c r="E270" s="25">
        <f>IF(C270="","",IFERROR(INDEX(lst_JobName,MATCH(C270&amp;"",lst_Jobs,0)),""))</f>
        <v/>
      </c>
      <c r="F270" s="25">
        <f>IF(C270="","",IFERROR(INDEX(tbl_Finance[Client],MATCH(C270&amp;"",tbl_Finance[Job Number],0)),""))</f>
        <v/>
      </c>
      <c r="G270" s="28">
        <f>IF(C270="","",COUNTIFS(tbl_Finance[Job Number],C270&amp;"",tbl_Finance[Ex GST],"&lt;&gt;"))</f>
        <v/>
      </c>
      <c r="H270" s="27">
        <f>IF(C270="","",SUMIFS(tbl_Finance[Ex GST],tbl_Finance[Job Number],C270&amp;""))</f>
        <v/>
      </c>
      <c r="I270" s="27">
        <f>IF(C270="","",SUMIFS(tbl_Finance[Ex GST],tbl_Finance[Job Number],C270&amp;"",tbl_Finance[Xero Invoice No],"&lt;&gt;"))</f>
        <v/>
      </c>
      <c r="J270" s="27">
        <f>IF(C270="","",H270-I270)</f>
        <v/>
      </c>
      <c r="K270" s="25">
        <f>IF(C270="","",IF(G270=0,"not invoiced yet",SUBSTITUTE(TRIM(IF(COUNTIFS(tbl_Finance[Job Number],C270&amp;"",tbl_Finance[Cost Centre],"ONSITE")&gt;0,"ONSITE ","")&amp;IF(COUNTIFS(tbl_Finance[Job Number],C270&amp;"",tbl_Finance[Cost Centre],"PRODUCTION")&gt;0,"PRODUCTION ","")&amp;IF(COUNTIFS(tbl_Finance[Job Number],C270&amp;"",tbl_Finance[Cost Centre],"VIDEO")&gt;0,"VIDEO ","")&amp;IF(COUNTIFS(tbl_Finance[Job Number],C270&amp;"",tbl_Finance[Cost Centre],"INTEGRATION")&gt;0,"INTEGRATION ","")&amp;IF(COUNTIFS(tbl_Finance[Job Number],C270&amp;"",tbl_Finance[Cost Centre],"CONSULTING")&gt;0,"CONSULTING ","")&amp;IF(COUNTIFS(tbl_Finance[Job Number],C270&amp;"",tbl_Finance[Cost Centre],"CTS")&gt;0,"CTS ",""))," ",", ")))</f>
        <v/>
      </c>
      <c r="L270" s="24" t="n"/>
      <c r="M270" s="25">
        <f>IF(L270="","",HYPERLINK(IF(LEFT(L270,4)="http",L270,set_QwilrBase&amp;L270),"Open quote"))</f>
        <v/>
      </c>
      <c r="N270" s="26" t="n"/>
      <c r="O270" s="26" t="n"/>
      <c r="P270" s="26" t="n"/>
      <c r="Q270" s="25">
        <f>IF(C270="","",IF(N(N270)+N(O270)+N(P270)=0,"Not split",IF(ROUND(N(N270)+N(O270)+N(P270),2)=ROUND(H270,2),"OK","MISMATCH")))</f>
        <v/>
      </c>
      <c r="R270" s="26" t="n"/>
      <c r="S270" s="26" t="n"/>
      <c r="T270" s="26" t="n"/>
      <c r="U270" s="27">
        <f>IF(C270="","",N(R270)+N(S270)+N(T270))</f>
        <v/>
      </c>
      <c r="V270" s="27">
        <f>IF(C270="","",H270-U270)</f>
        <v/>
      </c>
      <c r="W270" s="29">
        <f>IFERROR(V270/H270,"")</f>
        <v/>
      </c>
      <c r="X270" s="24" t="n"/>
    </row>
    <row r="271" ht="15" customHeight="1">
      <c r="A271" s="63">
        <f>IF(C271="","",IFERROR(IF(SUMPRODUCT(MAX((tbl_Finance[Job Number]=C271&amp;"")*(tbl_Finance[Xero Invoice No]&lt;&gt;"")*tbl_Finance[Date]))=0,"",SUMPRODUCT(MAX((tbl_Finance[Job Number]=C271&amp;"")*(tbl_Finance[Xero Invoice No]&lt;&gt;"")*tbl_Finance[Date]))),""))</f>
        <v/>
      </c>
      <c r="B271" s="25">
        <f>IF(C271="","",IF(COUNTIFS(tbl_Finance[Job Number],C271&amp;"",tbl_Finance[Xero Invoice No],"&lt;&gt;")=0,"",IFERROR(IF(COUNTIFS(tbl_Finance[Job Number],C271&amp;"",tbl_Finance[Xero Invoice No],LOOKUP(2,1/((tbl_Finance[Job Number]=C271&amp;"")*(tbl_Finance[Xero Invoice No]&lt;&gt;"")),tbl_Finance[Xero Invoice No]))=COUNTIFS(tbl_Finance[Job Number],C271&amp;"",tbl_Finance[Xero Invoice No],"&lt;&gt;"),LOOKUP(2,1/((tbl_Finance[Job Number]=C271&amp;"")*(tbl_Finance[Xero Invoice No]&lt;&gt;"")),tbl_Finance[Xero Invoice No]),LOOKUP(2,1/((tbl_Finance[Job Number]=C271&amp;"")*(tbl_Finance[Xero Invoice No]&lt;&gt;"")),tbl_Finance[Xero Invoice No])&amp;" +more"),"")))</f>
        <v/>
      </c>
      <c r="C271" s="24" t="n"/>
      <c r="D271" s="25">
        <f>IF(C271="","",IF(COUNTIF(lst_Jobs,C271&amp;"")&gt;0,"OK","CHECK"))</f>
        <v/>
      </c>
      <c r="E271" s="25">
        <f>IF(C271="","",IFERROR(INDEX(lst_JobName,MATCH(C271&amp;"",lst_Jobs,0)),""))</f>
        <v/>
      </c>
      <c r="F271" s="25">
        <f>IF(C271="","",IFERROR(INDEX(tbl_Finance[Client],MATCH(C271&amp;"",tbl_Finance[Job Number],0)),""))</f>
        <v/>
      </c>
      <c r="G271" s="28">
        <f>IF(C271="","",COUNTIFS(tbl_Finance[Job Number],C271&amp;"",tbl_Finance[Ex GST],"&lt;&gt;"))</f>
        <v/>
      </c>
      <c r="H271" s="27">
        <f>IF(C271="","",SUMIFS(tbl_Finance[Ex GST],tbl_Finance[Job Number],C271&amp;""))</f>
        <v/>
      </c>
      <c r="I271" s="27">
        <f>IF(C271="","",SUMIFS(tbl_Finance[Ex GST],tbl_Finance[Job Number],C271&amp;"",tbl_Finance[Xero Invoice No],"&lt;&gt;"))</f>
        <v/>
      </c>
      <c r="J271" s="27">
        <f>IF(C271="","",H271-I271)</f>
        <v/>
      </c>
      <c r="K271" s="25">
        <f>IF(C271="","",IF(G271=0,"not invoiced yet",SUBSTITUTE(TRIM(IF(COUNTIFS(tbl_Finance[Job Number],C271&amp;"",tbl_Finance[Cost Centre],"ONSITE")&gt;0,"ONSITE ","")&amp;IF(COUNTIFS(tbl_Finance[Job Number],C271&amp;"",tbl_Finance[Cost Centre],"PRODUCTION")&gt;0,"PRODUCTION ","")&amp;IF(COUNTIFS(tbl_Finance[Job Number],C271&amp;"",tbl_Finance[Cost Centre],"VIDEO")&gt;0,"VIDEO ","")&amp;IF(COUNTIFS(tbl_Finance[Job Number],C271&amp;"",tbl_Finance[Cost Centre],"INTEGRATION")&gt;0,"INTEGRATION ","")&amp;IF(COUNTIFS(tbl_Finance[Job Number],C271&amp;"",tbl_Finance[Cost Centre],"CONSULTING")&gt;0,"CONSULTING ","")&amp;IF(COUNTIFS(tbl_Finance[Job Number],C271&amp;"",tbl_Finance[Cost Centre],"CTS")&gt;0,"CTS ",""))," ",", ")))</f>
        <v/>
      </c>
      <c r="L271" s="24" t="n"/>
      <c r="M271" s="25">
        <f>IF(L271="","",HYPERLINK(IF(LEFT(L271,4)="http",L271,set_QwilrBase&amp;L271),"Open quote"))</f>
        <v/>
      </c>
      <c r="N271" s="26" t="n"/>
      <c r="O271" s="26" t="n"/>
      <c r="P271" s="26" t="n"/>
      <c r="Q271" s="25">
        <f>IF(C271="","",IF(N(N271)+N(O271)+N(P271)=0,"Not split",IF(ROUND(N(N271)+N(O271)+N(P271),2)=ROUND(H271,2),"OK","MISMATCH")))</f>
        <v/>
      </c>
      <c r="R271" s="26" t="n"/>
      <c r="S271" s="26" t="n"/>
      <c r="T271" s="26" t="n"/>
      <c r="U271" s="27">
        <f>IF(C271="","",N(R271)+N(S271)+N(T271))</f>
        <v/>
      </c>
      <c r="V271" s="27">
        <f>IF(C271="","",H271-U271)</f>
        <v/>
      </c>
      <c r="W271" s="29">
        <f>IFERROR(V271/H271,"")</f>
        <v/>
      </c>
      <c r="X271" s="24" t="n"/>
    </row>
    <row r="272" ht="15" customHeight="1">
      <c r="A272" s="63">
        <f>IF(C272="","",IFERROR(IF(SUMPRODUCT(MAX((tbl_Finance[Job Number]=C272&amp;"")*(tbl_Finance[Xero Invoice No]&lt;&gt;"")*tbl_Finance[Date]))=0,"",SUMPRODUCT(MAX((tbl_Finance[Job Number]=C272&amp;"")*(tbl_Finance[Xero Invoice No]&lt;&gt;"")*tbl_Finance[Date]))),""))</f>
        <v/>
      </c>
      <c r="B272" s="25">
        <f>IF(C272="","",IF(COUNTIFS(tbl_Finance[Job Number],C272&amp;"",tbl_Finance[Xero Invoice No],"&lt;&gt;")=0,"",IFERROR(IF(COUNTIFS(tbl_Finance[Job Number],C272&amp;"",tbl_Finance[Xero Invoice No],LOOKUP(2,1/((tbl_Finance[Job Number]=C272&amp;"")*(tbl_Finance[Xero Invoice No]&lt;&gt;"")),tbl_Finance[Xero Invoice No]))=COUNTIFS(tbl_Finance[Job Number],C272&amp;"",tbl_Finance[Xero Invoice No],"&lt;&gt;"),LOOKUP(2,1/((tbl_Finance[Job Number]=C272&amp;"")*(tbl_Finance[Xero Invoice No]&lt;&gt;"")),tbl_Finance[Xero Invoice No]),LOOKUP(2,1/((tbl_Finance[Job Number]=C272&amp;"")*(tbl_Finance[Xero Invoice No]&lt;&gt;"")),tbl_Finance[Xero Invoice No])&amp;" +more"),"")))</f>
        <v/>
      </c>
      <c r="C272" s="24" t="n"/>
      <c r="D272" s="25">
        <f>IF(C272="","",IF(COUNTIF(lst_Jobs,C272&amp;"")&gt;0,"OK","CHECK"))</f>
        <v/>
      </c>
      <c r="E272" s="25">
        <f>IF(C272="","",IFERROR(INDEX(lst_JobName,MATCH(C272&amp;"",lst_Jobs,0)),""))</f>
        <v/>
      </c>
      <c r="F272" s="25">
        <f>IF(C272="","",IFERROR(INDEX(tbl_Finance[Client],MATCH(C272&amp;"",tbl_Finance[Job Number],0)),""))</f>
        <v/>
      </c>
      <c r="G272" s="28">
        <f>IF(C272="","",COUNTIFS(tbl_Finance[Job Number],C272&amp;"",tbl_Finance[Ex GST],"&lt;&gt;"))</f>
        <v/>
      </c>
      <c r="H272" s="27">
        <f>IF(C272="","",SUMIFS(tbl_Finance[Ex GST],tbl_Finance[Job Number],C272&amp;""))</f>
        <v/>
      </c>
      <c r="I272" s="27">
        <f>IF(C272="","",SUMIFS(tbl_Finance[Ex GST],tbl_Finance[Job Number],C272&amp;"",tbl_Finance[Xero Invoice No],"&lt;&gt;"))</f>
        <v/>
      </c>
      <c r="J272" s="27">
        <f>IF(C272="","",H272-I272)</f>
        <v/>
      </c>
      <c r="K272" s="25">
        <f>IF(C272="","",IF(G272=0,"not invoiced yet",SUBSTITUTE(TRIM(IF(COUNTIFS(tbl_Finance[Job Number],C272&amp;"",tbl_Finance[Cost Centre],"ONSITE")&gt;0,"ONSITE ","")&amp;IF(COUNTIFS(tbl_Finance[Job Number],C272&amp;"",tbl_Finance[Cost Centre],"PRODUCTION")&gt;0,"PRODUCTION ","")&amp;IF(COUNTIFS(tbl_Finance[Job Number],C272&amp;"",tbl_Finance[Cost Centre],"VIDEO")&gt;0,"VIDEO ","")&amp;IF(COUNTIFS(tbl_Finance[Job Number],C272&amp;"",tbl_Finance[Cost Centre],"INTEGRATION")&gt;0,"INTEGRATION ","")&amp;IF(COUNTIFS(tbl_Finance[Job Number],C272&amp;"",tbl_Finance[Cost Centre],"CONSULTING")&gt;0,"CONSULTING ","")&amp;IF(COUNTIFS(tbl_Finance[Job Number],C272&amp;"",tbl_Finance[Cost Centre],"CTS")&gt;0,"CTS ",""))," ",", ")))</f>
        <v/>
      </c>
      <c r="L272" s="24" t="n"/>
      <c r="M272" s="25">
        <f>IF(L272="","",HYPERLINK(IF(LEFT(L272,4)="http",L272,set_QwilrBase&amp;L272),"Open quote"))</f>
        <v/>
      </c>
      <c r="N272" s="26" t="n"/>
      <c r="O272" s="26" t="n"/>
      <c r="P272" s="26" t="n"/>
      <c r="Q272" s="25">
        <f>IF(C272="","",IF(N(N272)+N(O272)+N(P272)=0,"Not split",IF(ROUND(N(N272)+N(O272)+N(P272),2)=ROUND(H272,2),"OK","MISMATCH")))</f>
        <v/>
      </c>
      <c r="R272" s="26" t="n"/>
      <c r="S272" s="26" t="n"/>
      <c r="T272" s="26" t="n"/>
      <c r="U272" s="27">
        <f>IF(C272="","",N(R272)+N(S272)+N(T272))</f>
        <v/>
      </c>
      <c r="V272" s="27">
        <f>IF(C272="","",H272-U272)</f>
        <v/>
      </c>
      <c r="W272" s="29">
        <f>IFERROR(V272/H272,"")</f>
        <v/>
      </c>
      <c r="X272" s="24" t="n"/>
    </row>
    <row r="273" ht="15" customHeight="1">
      <c r="A273" s="63">
        <f>IF(C273="","",IFERROR(IF(SUMPRODUCT(MAX((tbl_Finance[Job Number]=C273&amp;"")*(tbl_Finance[Xero Invoice No]&lt;&gt;"")*tbl_Finance[Date]))=0,"",SUMPRODUCT(MAX((tbl_Finance[Job Number]=C273&amp;"")*(tbl_Finance[Xero Invoice No]&lt;&gt;"")*tbl_Finance[Date]))),""))</f>
        <v/>
      </c>
      <c r="B273" s="25">
        <f>IF(C273="","",IF(COUNTIFS(tbl_Finance[Job Number],C273&amp;"",tbl_Finance[Xero Invoice No],"&lt;&gt;")=0,"",IFERROR(IF(COUNTIFS(tbl_Finance[Job Number],C273&amp;"",tbl_Finance[Xero Invoice No],LOOKUP(2,1/((tbl_Finance[Job Number]=C273&amp;"")*(tbl_Finance[Xero Invoice No]&lt;&gt;"")),tbl_Finance[Xero Invoice No]))=COUNTIFS(tbl_Finance[Job Number],C273&amp;"",tbl_Finance[Xero Invoice No],"&lt;&gt;"),LOOKUP(2,1/((tbl_Finance[Job Number]=C273&amp;"")*(tbl_Finance[Xero Invoice No]&lt;&gt;"")),tbl_Finance[Xero Invoice No]),LOOKUP(2,1/((tbl_Finance[Job Number]=C273&amp;"")*(tbl_Finance[Xero Invoice No]&lt;&gt;"")),tbl_Finance[Xero Invoice No])&amp;" +more"),"")))</f>
        <v/>
      </c>
      <c r="C273" s="24" t="n"/>
      <c r="D273" s="25">
        <f>IF(C273="","",IF(COUNTIF(lst_Jobs,C273&amp;"")&gt;0,"OK","CHECK"))</f>
        <v/>
      </c>
      <c r="E273" s="25">
        <f>IF(C273="","",IFERROR(INDEX(lst_JobName,MATCH(C273&amp;"",lst_Jobs,0)),""))</f>
        <v/>
      </c>
      <c r="F273" s="25">
        <f>IF(C273="","",IFERROR(INDEX(tbl_Finance[Client],MATCH(C273&amp;"",tbl_Finance[Job Number],0)),""))</f>
        <v/>
      </c>
      <c r="G273" s="28">
        <f>IF(C273="","",COUNTIFS(tbl_Finance[Job Number],C273&amp;"",tbl_Finance[Ex GST],"&lt;&gt;"))</f>
        <v/>
      </c>
      <c r="H273" s="27">
        <f>IF(C273="","",SUMIFS(tbl_Finance[Ex GST],tbl_Finance[Job Number],C273&amp;""))</f>
        <v/>
      </c>
      <c r="I273" s="27">
        <f>IF(C273="","",SUMIFS(tbl_Finance[Ex GST],tbl_Finance[Job Number],C273&amp;"",tbl_Finance[Xero Invoice No],"&lt;&gt;"))</f>
        <v/>
      </c>
      <c r="J273" s="27">
        <f>IF(C273="","",H273-I273)</f>
        <v/>
      </c>
      <c r="K273" s="25">
        <f>IF(C273="","",IF(G273=0,"not invoiced yet",SUBSTITUTE(TRIM(IF(COUNTIFS(tbl_Finance[Job Number],C273&amp;"",tbl_Finance[Cost Centre],"ONSITE")&gt;0,"ONSITE ","")&amp;IF(COUNTIFS(tbl_Finance[Job Number],C273&amp;"",tbl_Finance[Cost Centre],"PRODUCTION")&gt;0,"PRODUCTION ","")&amp;IF(COUNTIFS(tbl_Finance[Job Number],C273&amp;"",tbl_Finance[Cost Centre],"VIDEO")&gt;0,"VIDEO ","")&amp;IF(COUNTIFS(tbl_Finance[Job Number],C273&amp;"",tbl_Finance[Cost Centre],"INTEGRATION")&gt;0,"INTEGRATION ","")&amp;IF(COUNTIFS(tbl_Finance[Job Number],C273&amp;"",tbl_Finance[Cost Centre],"CONSULTING")&gt;0,"CONSULTING ","")&amp;IF(COUNTIFS(tbl_Finance[Job Number],C273&amp;"",tbl_Finance[Cost Centre],"CTS")&gt;0,"CTS ",""))," ",", ")))</f>
        <v/>
      </c>
      <c r="L273" s="24" t="n"/>
      <c r="M273" s="25">
        <f>IF(L273="","",HYPERLINK(IF(LEFT(L273,4)="http",L273,set_QwilrBase&amp;L273),"Open quote"))</f>
        <v/>
      </c>
      <c r="N273" s="26" t="n"/>
      <c r="O273" s="26" t="n"/>
      <c r="P273" s="26" t="n"/>
      <c r="Q273" s="25">
        <f>IF(C273="","",IF(N(N273)+N(O273)+N(P273)=0,"Not split",IF(ROUND(N(N273)+N(O273)+N(P273),2)=ROUND(H273,2),"OK","MISMATCH")))</f>
        <v/>
      </c>
      <c r="R273" s="26" t="n"/>
      <c r="S273" s="26" t="n"/>
      <c r="T273" s="26" t="n"/>
      <c r="U273" s="27">
        <f>IF(C273="","",N(R273)+N(S273)+N(T273))</f>
        <v/>
      </c>
      <c r="V273" s="27">
        <f>IF(C273="","",H273-U273)</f>
        <v/>
      </c>
      <c r="W273" s="29">
        <f>IFERROR(V273/H273,"")</f>
        <v/>
      </c>
      <c r="X273" s="24" t="n"/>
    </row>
    <row r="274" ht="15" customHeight="1">
      <c r="A274" s="63">
        <f>IF(C274="","",IFERROR(IF(SUMPRODUCT(MAX((tbl_Finance[Job Number]=C274&amp;"")*(tbl_Finance[Xero Invoice No]&lt;&gt;"")*tbl_Finance[Date]))=0,"",SUMPRODUCT(MAX((tbl_Finance[Job Number]=C274&amp;"")*(tbl_Finance[Xero Invoice No]&lt;&gt;"")*tbl_Finance[Date]))),""))</f>
        <v/>
      </c>
      <c r="B274" s="25">
        <f>IF(C274="","",IF(COUNTIFS(tbl_Finance[Job Number],C274&amp;"",tbl_Finance[Xero Invoice No],"&lt;&gt;")=0,"",IFERROR(IF(COUNTIFS(tbl_Finance[Job Number],C274&amp;"",tbl_Finance[Xero Invoice No],LOOKUP(2,1/((tbl_Finance[Job Number]=C274&amp;"")*(tbl_Finance[Xero Invoice No]&lt;&gt;"")),tbl_Finance[Xero Invoice No]))=COUNTIFS(tbl_Finance[Job Number],C274&amp;"",tbl_Finance[Xero Invoice No],"&lt;&gt;"),LOOKUP(2,1/((tbl_Finance[Job Number]=C274&amp;"")*(tbl_Finance[Xero Invoice No]&lt;&gt;"")),tbl_Finance[Xero Invoice No]),LOOKUP(2,1/((tbl_Finance[Job Number]=C274&amp;"")*(tbl_Finance[Xero Invoice No]&lt;&gt;"")),tbl_Finance[Xero Invoice No])&amp;" +more"),"")))</f>
        <v/>
      </c>
      <c r="C274" s="24" t="n"/>
      <c r="D274" s="25">
        <f>IF(C274="","",IF(COUNTIF(lst_Jobs,C274&amp;"")&gt;0,"OK","CHECK"))</f>
        <v/>
      </c>
      <c r="E274" s="25">
        <f>IF(C274="","",IFERROR(INDEX(lst_JobName,MATCH(C274&amp;"",lst_Jobs,0)),""))</f>
        <v/>
      </c>
      <c r="F274" s="25">
        <f>IF(C274="","",IFERROR(INDEX(tbl_Finance[Client],MATCH(C274&amp;"",tbl_Finance[Job Number],0)),""))</f>
        <v/>
      </c>
      <c r="G274" s="28">
        <f>IF(C274="","",COUNTIFS(tbl_Finance[Job Number],C274&amp;"",tbl_Finance[Ex GST],"&lt;&gt;"))</f>
        <v/>
      </c>
      <c r="H274" s="27">
        <f>IF(C274="","",SUMIFS(tbl_Finance[Ex GST],tbl_Finance[Job Number],C274&amp;""))</f>
        <v/>
      </c>
      <c r="I274" s="27">
        <f>IF(C274="","",SUMIFS(tbl_Finance[Ex GST],tbl_Finance[Job Number],C274&amp;"",tbl_Finance[Xero Invoice No],"&lt;&gt;"))</f>
        <v/>
      </c>
      <c r="J274" s="27">
        <f>IF(C274="","",H274-I274)</f>
        <v/>
      </c>
      <c r="K274" s="25">
        <f>IF(C274="","",IF(G274=0,"not invoiced yet",SUBSTITUTE(TRIM(IF(COUNTIFS(tbl_Finance[Job Number],C274&amp;"",tbl_Finance[Cost Centre],"ONSITE")&gt;0,"ONSITE ","")&amp;IF(COUNTIFS(tbl_Finance[Job Number],C274&amp;"",tbl_Finance[Cost Centre],"PRODUCTION")&gt;0,"PRODUCTION ","")&amp;IF(COUNTIFS(tbl_Finance[Job Number],C274&amp;"",tbl_Finance[Cost Centre],"VIDEO")&gt;0,"VIDEO ","")&amp;IF(COUNTIFS(tbl_Finance[Job Number],C274&amp;"",tbl_Finance[Cost Centre],"INTEGRATION")&gt;0,"INTEGRATION ","")&amp;IF(COUNTIFS(tbl_Finance[Job Number],C274&amp;"",tbl_Finance[Cost Centre],"CONSULTING")&gt;0,"CONSULTING ","")&amp;IF(COUNTIFS(tbl_Finance[Job Number],C274&amp;"",tbl_Finance[Cost Centre],"CTS")&gt;0,"CTS ",""))," ",", ")))</f>
        <v/>
      </c>
      <c r="L274" s="24" t="n"/>
      <c r="M274" s="25">
        <f>IF(L274="","",HYPERLINK(IF(LEFT(L274,4)="http",L274,set_QwilrBase&amp;L274),"Open quote"))</f>
        <v/>
      </c>
      <c r="N274" s="26" t="n"/>
      <c r="O274" s="26" t="n"/>
      <c r="P274" s="26" t="n"/>
      <c r="Q274" s="25">
        <f>IF(C274="","",IF(N(N274)+N(O274)+N(P274)=0,"Not split",IF(ROUND(N(N274)+N(O274)+N(P274),2)=ROUND(H274,2),"OK","MISMATCH")))</f>
        <v/>
      </c>
      <c r="R274" s="26" t="n"/>
      <c r="S274" s="26" t="n"/>
      <c r="T274" s="26" t="n"/>
      <c r="U274" s="27">
        <f>IF(C274="","",N(R274)+N(S274)+N(T274))</f>
        <v/>
      </c>
      <c r="V274" s="27">
        <f>IF(C274="","",H274-U274)</f>
        <v/>
      </c>
      <c r="W274" s="29">
        <f>IFERROR(V274/H274,"")</f>
        <v/>
      </c>
      <c r="X274" s="24" t="n"/>
    </row>
    <row r="275" ht="15" customHeight="1">
      <c r="A275" s="63">
        <f>IF(C275="","",IFERROR(IF(SUMPRODUCT(MAX((tbl_Finance[Job Number]=C275&amp;"")*(tbl_Finance[Xero Invoice No]&lt;&gt;"")*tbl_Finance[Date]))=0,"",SUMPRODUCT(MAX((tbl_Finance[Job Number]=C275&amp;"")*(tbl_Finance[Xero Invoice No]&lt;&gt;"")*tbl_Finance[Date]))),""))</f>
        <v/>
      </c>
      <c r="B275" s="25">
        <f>IF(C275="","",IF(COUNTIFS(tbl_Finance[Job Number],C275&amp;"",tbl_Finance[Xero Invoice No],"&lt;&gt;")=0,"",IFERROR(IF(COUNTIFS(tbl_Finance[Job Number],C275&amp;"",tbl_Finance[Xero Invoice No],LOOKUP(2,1/((tbl_Finance[Job Number]=C275&amp;"")*(tbl_Finance[Xero Invoice No]&lt;&gt;"")),tbl_Finance[Xero Invoice No]))=COUNTIFS(tbl_Finance[Job Number],C275&amp;"",tbl_Finance[Xero Invoice No],"&lt;&gt;"),LOOKUP(2,1/((tbl_Finance[Job Number]=C275&amp;"")*(tbl_Finance[Xero Invoice No]&lt;&gt;"")),tbl_Finance[Xero Invoice No]),LOOKUP(2,1/((tbl_Finance[Job Number]=C275&amp;"")*(tbl_Finance[Xero Invoice No]&lt;&gt;"")),tbl_Finance[Xero Invoice No])&amp;" +more"),"")))</f>
        <v/>
      </c>
      <c r="C275" s="24" t="n"/>
      <c r="D275" s="25">
        <f>IF(C275="","",IF(COUNTIF(lst_Jobs,C275&amp;"")&gt;0,"OK","CHECK"))</f>
        <v/>
      </c>
      <c r="E275" s="25">
        <f>IF(C275="","",IFERROR(INDEX(lst_JobName,MATCH(C275&amp;"",lst_Jobs,0)),""))</f>
        <v/>
      </c>
      <c r="F275" s="25">
        <f>IF(C275="","",IFERROR(INDEX(tbl_Finance[Client],MATCH(C275&amp;"",tbl_Finance[Job Number],0)),""))</f>
        <v/>
      </c>
      <c r="G275" s="28">
        <f>IF(C275="","",COUNTIFS(tbl_Finance[Job Number],C275&amp;"",tbl_Finance[Ex GST],"&lt;&gt;"))</f>
        <v/>
      </c>
      <c r="H275" s="27">
        <f>IF(C275="","",SUMIFS(tbl_Finance[Ex GST],tbl_Finance[Job Number],C275&amp;""))</f>
        <v/>
      </c>
      <c r="I275" s="27">
        <f>IF(C275="","",SUMIFS(tbl_Finance[Ex GST],tbl_Finance[Job Number],C275&amp;"",tbl_Finance[Xero Invoice No],"&lt;&gt;"))</f>
        <v/>
      </c>
      <c r="J275" s="27">
        <f>IF(C275="","",H275-I275)</f>
        <v/>
      </c>
      <c r="K275" s="25">
        <f>IF(C275="","",IF(G275=0,"not invoiced yet",SUBSTITUTE(TRIM(IF(COUNTIFS(tbl_Finance[Job Number],C275&amp;"",tbl_Finance[Cost Centre],"ONSITE")&gt;0,"ONSITE ","")&amp;IF(COUNTIFS(tbl_Finance[Job Number],C275&amp;"",tbl_Finance[Cost Centre],"PRODUCTION")&gt;0,"PRODUCTION ","")&amp;IF(COUNTIFS(tbl_Finance[Job Number],C275&amp;"",tbl_Finance[Cost Centre],"VIDEO")&gt;0,"VIDEO ","")&amp;IF(COUNTIFS(tbl_Finance[Job Number],C275&amp;"",tbl_Finance[Cost Centre],"INTEGRATION")&gt;0,"INTEGRATION ","")&amp;IF(COUNTIFS(tbl_Finance[Job Number],C275&amp;"",tbl_Finance[Cost Centre],"CONSULTING")&gt;0,"CONSULTING ","")&amp;IF(COUNTIFS(tbl_Finance[Job Number],C275&amp;"",tbl_Finance[Cost Centre],"CTS")&gt;0,"CTS ",""))," ",", ")))</f>
        <v/>
      </c>
      <c r="L275" s="24" t="n"/>
      <c r="M275" s="25">
        <f>IF(L275="","",HYPERLINK(IF(LEFT(L275,4)="http",L275,set_QwilrBase&amp;L275),"Open quote"))</f>
        <v/>
      </c>
      <c r="N275" s="26" t="n"/>
      <c r="O275" s="26" t="n"/>
      <c r="P275" s="26" t="n"/>
      <c r="Q275" s="25">
        <f>IF(C275="","",IF(N(N275)+N(O275)+N(P275)=0,"Not split",IF(ROUND(N(N275)+N(O275)+N(P275),2)=ROUND(H275,2),"OK","MISMATCH")))</f>
        <v/>
      </c>
      <c r="R275" s="26" t="n"/>
      <c r="S275" s="26" t="n"/>
      <c r="T275" s="26" t="n"/>
      <c r="U275" s="27">
        <f>IF(C275="","",N(R275)+N(S275)+N(T275))</f>
        <v/>
      </c>
      <c r="V275" s="27">
        <f>IF(C275="","",H275-U275)</f>
        <v/>
      </c>
      <c r="W275" s="29">
        <f>IFERROR(V275/H275,"")</f>
        <v/>
      </c>
      <c r="X275" s="24" t="n"/>
    </row>
    <row r="276" ht="15" customHeight="1">
      <c r="A276" s="63">
        <f>IF(C276="","",IFERROR(IF(SUMPRODUCT(MAX((tbl_Finance[Job Number]=C276&amp;"")*(tbl_Finance[Xero Invoice No]&lt;&gt;"")*tbl_Finance[Date]))=0,"",SUMPRODUCT(MAX((tbl_Finance[Job Number]=C276&amp;"")*(tbl_Finance[Xero Invoice No]&lt;&gt;"")*tbl_Finance[Date]))),""))</f>
        <v/>
      </c>
      <c r="B276" s="25">
        <f>IF(C276="","",IF(COUNTIFS(tbl_Finance[Job Number],C276&amp;"",tbl_Finance[Xero Invoice No],"&lt;&gt;")=0,"",IFERROR(IF(COUNTIFS(tbl_Finance[Job Number],C276&amp;"",tbl_Finance[Xero Invoice No],LOOKUP(2,1/((tbl_Finance[Job Number]=C276&amp;"")*(tbl_Finance[Xero Invoice No]&lt;&gt;"")),tbl_Finance[Xero Invoice No]))=COUNTIFS(tbl_Finance[Job Number],C276&amp;"",tbl_Finance[Xero Invoice No],"&lt;&gt;"),LOOKUP(2,1/((tbl_Finance[Job Number]=C276&amp;"")*(tbl_Finance[Xero Invoice No]&lt;&gt;"")),tbl_Finance[Xero Invoice No]),LOOKUP(2,1/((tbl_Finance[Job Number]=C276&amp;"")*(tbl_Finance[Xero Invoice No]&lt;&gt;"")),tbl_Finance[Xero Invoice No])&amp;" +more"),"")))</f>
        <v/>
      </c>
      <c r="C276" s="24" t="n"/>
      <c r="D276" s="25">
        <f>IF(C276="","",IF(COUNTIF(lst_Jobs,C276&amp;"")&gt;0,"OK","CHECK"))</f>
        <v/>
      </c>
      <c r="E276" s="25">
        <f>IF(C276="","",IFERROR(INDEX(lst_JobName,MATCH(C276&amp;"",lst_Jobs,0)),""))</f>
        <v/>
      </c>
      <c r="F276" s="25">
        <f>IF(C276="","",IFERROR(INDEX(tbl_Finance[Client],MATCH(C276&amp;"",tbl_Finance[Job Number],0)),""))</f>
        <v/>
      </c>
      <c r="G276" s="28">
        <f>IF(C276="","",COUNTIFS(tbl_Finance[Job Number],C276&amp;"",tbl_Finance[Ex GST],"&lt;&gt;"))</f>
        <v/>
      </c>
      <c r="H276" s="27">
        <f>IF(C276="","",SUMIFS(tbl_Finance[Ex GST],tbl_Finance[Job Number],C276&amp;""))</f>
        <v/>
      </c>
      <c r="I276" s="27">
        <f>IF(C276="","",SUMIFS(tbl_Finance[Ex GST],tbl_Finance[Job Number],C276&amp;"",tbl_Finance[Xero Invoice No],"&lt;&gt;"))</f>
        <v/>
      </c>
      <c r="J276" s="27">
        <f>IF(C276="","",H276-I276)</f>
        <v/>
      </c>
      <c r="K276" s="25">
        <f>IF(C276="","",IF(G276=0,"not invoiced yet",SUBSTITUTE(TRIM(IF(COUNTIFS(tbl_Finance[Job Number],C276&amp;"",tbl_Finance[Cost Centre],"ONSITE")&gt;0,"ONSITE ","")&amp;IF(COUNTIFS(tbl_Finance[Job Number],C276&amp;"",tbl_Finance[Cost Centre],"PRODUCTION")&gt;0,"PRODUCTION ","")&amp;IF(COUNTIFS(tbl_Finance[Job Number],C276&amp;"",tbl_Finance[Cost Centre],"VIDEO")&gt;0,"VIDEO ","")&amp;IF(COUNTIFS(tbl_Finance[Job Number],C276&amp;"",tbl_Finance[Cost Centre],"INTEGRATION")&gt;0,"INTEGRATION ","")&amp;IF(COUNTIFS(tbl_Finance[Job Number],C276&amp;"",tbl_Finance[Cost Centre],"CONSULTING")&gt;0,"CONSULTING ","")&amp;IF(COUNTIFS(tbl_Finance[Job Number],C276&amp;"",tbl_Finance[Cost Centre],"CTS")&gt;0,"CTS ",""))," ",", ")))</f>
        <v/>
      </c>
      <c r="L276" s="24" t="n"/>
      <c r="M276" s="25">
        <f>IF(L276="","",HYPERLINK(IF(LEFT(L276,4)="http",L276,set_QwilrBase&amp;L276),"Open quote"))</f>
        <v/>
      </c>
      <c r="N276" s="26" t="n"/>
      <c r="O276" s="26" t="n"/>
      <c r="P276" s="26" t="n"/>
      <c r="Q276" s="25">
        <f>IF(C276="","",IF(N(N276)+N(O276)+N(P276)=0,"Not split",IF(ROUND(N(N276)+N(O276)+N(P276),2)=ROUND(H276,2),"OK","MISMATCH")))</f>
        <v/>
      </c>
      <c r="R276" s="26" t="n"/>
      <c r="S276" s="26" t="n"/>
      <c r="T276" s="26" t="n"/>
      <c r="U276" s="27">
        <f>IF(C276="","",N(R276)+N(S276)+N(T276))</f>
        <v/>
      </c>
      <c r="V276" s="27">
        <f>IF(C276="","",H276-U276)</f>
        <v/>
      </c>
      <c r="W276" s="29">
        <f>IFERROR(V276/H276,"")</f>
        <v/>
      </c>
      <c r="X276" s="24" t="n"/>
    </row>
    <row r="277" ht="15" customHeight="1">
      <c r="A277" s="63">
        <f>IF(C277="","",IFERROR(IF(SUMPRODUCT(MAX((tbl_Finance[Job Number]=C277&amp;"")*(tbl_Finance[Xero Invoice No]&lt;&gt;"")*tbl_Finance[Date]))=0,"",SUMPRODUCT(MAX((tbl_Finance[Job Number]=C277&amp;"")*(tbl_Finance[Xero Invoice No]&lt;&gt;"")*tbl_Finance[Date]))),""))</f>
        <v/>
      </c>
      <c r="B277" s="25">
        <f>IF(C277="","",IF(COUNTIFS(tbl_Finance[Job Number],C277&amp;"",tbl_Finance[Xero Invoice No],"&lt;&gt;")=0,"",IFERROR(IF(COUNTIFS(tbl_Finance[Job Number],C277&amp;"",tbl_Finance[Xero Invoice No],LOOKUP(2,1/((tbl_Finance[Job Number]=C277&amp;"")*(tbl_Finance[Xero Invoice No]&lt;&gt;"")),tbl_Finance[Xero Invoice No]))=COUNTIFS(tbl_Finance[Job Number],C277&amp;"",tbl_Finance[Xero Invoice No],"&lt;&gt;"),LOOKUP(2,1/((tbl_Finance[Job Number]=C277&amp;"")*(tbl_Finance[Xero Invoice No]&lt;&gt;"")),tbl_Finance[Xero Invoice No]),LOOKUP(2,1/((tbl_Finance[Job Number]=C277&amp;"")*(tbl_Finance[Xero Invoice No]&lt;&gt;"")),tbl_Finance[Xero Invoice No])&amp;" +more"),"")))</f>
        <v/>
      </c>
      <c r="C277" s="24" t="n"/>
      <c r="D277" s="25">
        <f>IF(C277="","",IF(COUNTIF(lst_Jobs,C277&amp;"")&gt;0,"OK","CHECK"))</f>
        <v/>
      </c>
      <c r="E277" s="25">
        <f>IF(C277="","",IFERROR(INDEX(lst_JobName,MATCH(C277&amp;"",lst_Jobs,0)),""))</f>
        <v/>
      </c>
      <c r="F277" s="25">
        <f>IF(C277="","",IFERROR(INDEX(tbl_Finance[Client],MATCH(C277&amp;"",tbl_Finance[Job Number],0)),""))</f>
        <v/>
      </c>
      <c r="G277" s="28">
        <f>IF(C277="","",COUNTIFS(tbl_Finance[Job Number],C277&amp;"",tbl_Finance[Ex GST],"&lt;&gt;"))</f>
        <v/>
      </c>
      <c r="H277" s="27">
        <f>IF(C277="","",SUMIFS(tbl_Finance[Ex GST],tbl_Finance[Job Number],C277&amp;""))</f>
        <v/>
      </c>
      <c r="I277" s="27">
        <f>IF(C277="","",SUMIFS(tbl_Finance[Ex GST],tbl_Finance[Job Number],C277&amp;"",tbl_Finance[Xero Invoice No],"&lt;&gt;"))</f>
        <v/>
      </c>
      <c r="J277" s="27">
        <f>IF(C277="","",H277-I277)</f>
        <v/>
      </c>
      <c r="K277" s="25">
        <f>IF(C277="","",IF(G277=0,"not invoiced yet",SUBSTITUTE(TRIM(IF(COUNTIFS(tbl_Finance[Job Number],C277&amp;"",tbl_Finance[Cost Centre],"ONSITE")&gt;0,"ONSITE ","")&amp;IF(COUNTIFS(tbl_Finance[Job Number],C277&amp;"",tbl_Finance[Cost Centre],"PRODUCTION")&gt;0,"PRODUCTION ","")&amp;IF(COUNTIFS(tbl_Finance[Job Number],C277&amp;"",tbl_Finance[Cost Centre],"VIDEO")&gt;0,"VIDEO ","")&amp;IF(COUNTIFS(tbl_Finance[Job Number],C277&amp;"",tbl_Finance[Cost Centre],"INTEGRATION")&gt;0,"INTEGRATION ","")&amp;IF(COUNTIFS(tbl_Finance[Job Number],C277&amp;"",tbl_Finance[Cost Centre],"CONSULTING")&gt;0,"CONSULTING ","")&amp;IF(COUNTIFS(tbl_Finance[Job Number],C277&amp;"",tbl_Finance[Cost Centre],"CTS")&gt;0,"CTS ",""))," ",", ")))</f>
        <v/>
      </c>
      <c r="L277" s="24" t="n"/>
      <c r="M277" s="25">
        <f>IF(L277="","",HYPERLINK(IF(LEFT(L277,4)="http",L277,set_QwilrBase&amp;L277),"Open quote"))</f>
        <v/>
      </c>
      <c r="N277" s="26" t="n"/>
      <c r="O277" s="26" t="n"/>
      <c r="P277" s="26" t="n"/>
      <c r="Q277" s="25">
        <f>IF(C277="","",IF(N(N277)+N(O277)+N(P277)=0,"Not split",IF(ROUND(N(N277)+N(O277)+N(P277),2)=ROUND(H277,2),"OK","MISMATCH")))</f>
        <v/>
      </c>
      <c r="R277" s="26" t="n"/>
      <c r="S277" s="26" t="n"/>
      <c r="T277" s="26" t="n"/>
      <c r="U277" s="27">
        <f>IF(C277="","",N(R277)+N(S277)+N(T277))</f>
        <v/>
      </c>
      <c r="V277" s="27">
        <f>IF(C277="","",H277-U277)</f>
        <v/>
      </c>
      <c r="W277" s="29">
        <f>IFERROR(V277/H277,"")</f>
        <v/>
      </c>
      <c r="X277" s="24" t="n"/>
    </row>
    <row r="278" ht="15" customHeight="1">
      <c r="A278" s="63">
        <f>IF(C278="","",IFERROR(IF(SUMPRODUCT(MAX((tbl_Finance[Job Number]=C278&amp;"")*(tbl_Finance[Xero Invoice No]&lt;&gt;"")*tbl_Finance[Date]))=0,"",SUMPRODUCT(MAX((tbl_Finance[Job Number]=C278&amp;"")*(tbl_Finance[Xero Invoice No]&lt;&gt;"")*tbl_Finance[Date]))),""))</f>
        <v/>
      </c>
      <c r="B278" s="25">
        <f>IF(C278="","",IF(COUNTIFS(tbl_Finance[Job Number],C278&amp;"",tbl_Finance[Xero Invoice No],"&lt;&gt;")=0,"",IFERROR(IF(COUNTIFS(tbl_Finance[Job Number],C278&amp;"",tbl_Finance[Xero Invoice No],LOOKUP(2,1/((tbl_Finance[Job Number]=C278&amp;"")*(tbl_Finance[Xero Invoice No]&lt;&gt;"")),tbl_Finance[Xero Invoice No]))=COUNTIFS(tbl_Finance[Job Number],C278&amp;"",tbl_Finance[Xero Invoice No],"&lt;&gt;"),LOOKUP(2,1/((tbl_Finance[Job Number]=C278&amp;"")*(tbl_Finance[Xero Invoice No]&lt;&gt;"")),tbl_Finance[Xero Invoice No]),LOOKUP(2,1/((tbl_Finance[Job Number]=C278&amp;"")*(tbl_Finance[Xero Invoice No]&lt;&gt;"")),tbl_Finance[Xero Invoice No])&amp;" +more"),"")))</f>
        <v/>
      </c>
      <c r="C278" s="24" t="n"/>
      <c r="D278" s="25">
        <f>IF(C278="","",IF(COUNTIF(lst_Jobs,C278&amp;"")&gt;0,"OK","CHECK"))</f>
        <v/>
      </c>
      <c r="E278" s="25">
        <f>IF(C278="","",IFERROR(INDEX(lst_JobName,MATCH(C278&amp;"",lst_Jobs,0)),""))</f>
        <v/>
      </c>
      <c r="F278" s="25">
        <f>IF(C278="","",IFERROR(INDEX(tbl_Finance[Client],MATCH(C278&amp;"",tbl_Finance[Job Number],0)),""))</f>
        <v/>
      </c>
      <c r="G278" s="28">
        <f>IF(C278="","",COUNTIFS(tbl_Finance[Job Number],C278&amp;"",tbl_Finance[Ex GST],"&lt;&gt;"))</f>
        <v/>
      </c>
      <c r="H278" s="27">
        <f>IF(C278="","",SUMIFS(tbl_Finance[Ex GST],tbl_Finance[Job Number],C278&amp;""))</f>
        <v/>
      </c>
      <c r="I278" s="27">
        <f>IF(C278="","",SUMIFS(tbl_Finance[Ex GST],tbl_Finance[Job Number],C278&amp;"",tbl_Finance[Xero Invoice No],"&lt;&gt;"))</f>
        <v/>
      </c>
      <c r="J278" s="27">
        <f>IF(C278="","",H278-I278)</f>
        <v/>
      </c>
      <c r="K278" s="25">
        <f>IF(C278="","",IF(G278=0,"not invoiced yet",SUBSTITUTE(TRIM(IF(COUNTIFS(tbl_Finance[Job Number],C278&amp;"",tbl_Finance[Cost Centre],"ONSITE")&gt;0,"ONSITE ","")&amp;IF(COUNTIFS(tbl_Finance[Job Number],C278&amp;"",tbl_Finance[Cost Centre],"PRODUCTION")&gt;0,"PRODUCTION ","")&amp;IF(COUNTIFS(tbl_Finance[Job Number],C278&amp;"",tbl_Finance[Cost Centre],"VIDEO")&gt;0,"VIDEO ","")&amp;IF(COUNTIFS(tbl_Finance[Job Number],C278&amp;"",tbl_Finance[Cost Centre],"INTEGRATION")&gt;0,"INTEGRATION ","")&amp;IF(COUNTIFS(tbl_Finance[Job Number],C278&amp;"",tbl_Finance[Cost Centre],"CONSULTING")&gt;0,"CONSULTING ","")&amp;IF(COUNTIFS(tbl_Finance[Job Number],C278&amp;"",tbl_Finance[Cost Centre],"CTS")&gt;0,"CTS ",""))," ",", ")))</f>
        <v/>
      </c>
      <c r="L278" s="24" t="n"/>
      <c r="M278" s="25">
        <f>IF(L278="","",HYPERLINK(IF(LEFT(L278,4)="http",L278,set_QwilrBase&amp;L278),"Open quote"))</f>
        <v/>
      </c>
      <c r="N278" s="26" t="n"/>
      <c r="O278" s="26" t="n"/>
      <c r="P278" s="26" t="n"/>
      <c r="Q278" s="25">
        <f>IF(C278="","",IF(N(N278)+N(O278)+N(P278)=0,"Not split",IF(ROUND(N(N278)+N(O278)+N(P278),2)=ROUND(H278,2),"OK","MISMATCH")))</f>
        <v/>
      </c>
      <c r="R278" s="26" t="n"/>
      <c r="S278" s="26" t="n"/>
      <c r="T278" s="26" t="n"/>
      <c r="U278" s="27">
        <f>IF(C278="","",N(R278)+N(S278)+N(T278))</f>
        <v/>
      </c>
      <c r="V278" s="27">
        <f>IF(C278="","",H278-U278)</f>
        <v/>
      </c>
      <c r="W278" s="29">
        <f>IFERROR(V278/H278,"")</f>
        <v/>
      </c>
      <c r="X278" s="24" t="n"/>
    </row>
    <row r="279" ht="15" customHeight="1">
      <c r="A279" s="63">
        <f>IF(C279="","",IFERROR(IF(SUMPRODUCT(MAX((tbl_Finance[Job Number]=C279&amp;"")*(tbl_Finance[Xero Invoice No]&lt;&gt;"")*tbl_Finance[Date]))=0,"",SUMPRODUCT(MAX((tbl_Finance[Job Number]=C279&amp;"")*(tbl_Finance[Xero Invoice No]&lt;&gt;"")*tbl_Finance[Date]))),""))</f>
        <v/>
      </c>
      <c r="B279" s="25">
        <f>IF(C279="","",IF(COUNTIFS(tbl_Finance[Job Number],C279&amp;"",tbl_Finance[Xero Invoice No],"&lt;&gt;")=0,"",IFERROR(IF(COUNTIFS(tbl_Finance[Job Number],C279&amp;"",tbl_Finance[Xero Invoice No],LOOKUP(2,1/((tbl_Finance[Job Number]=C279&amp;"")*(tbl_Finance[Xero Invoice No]&lt;&gt;"")),tbl_Finance[Xero Invoice No]))=COUNTIFS(tbl_Finance[Job Number],C279&amp;"",tbl_Finance[Xero Invoice No],"&lt;&gt;"),LOOKUP(2,1/((tbl_Finance[Job Number]=C279&amp;"")*(tbl_Finance[Xero Invoice No]&lt;&gt;"")),tbl_Finance[Xero Invoice No]),LOOKUP(2,1/((tbl_Finance[Job Number]=C279&amp;"")*(tbl_Finance[Xero Invoice No]&lt;&gt;"")),tbl_Finance[Xero Invoice No])&amp;" +more"),"")))</f>
        <v/>
      </c>
      <c r="C279" s="24" t="n"/>
      <c r="D279" s="25">
        <f>IF(C279="","",IF(COUNTIF(lst_Jobs,C279&amp;"")&gt;0,"OK","CHECK"))</f>
        <v/>
      </c>
      <c r="E279" s="25">
        <f>IF(C279="","",IFERROR(INDEX(lst_JobName,MATCH(C279&amp;"",lst_Jobs,0)),""))</f>
        <v/>
      </c>
      <c r="F279" s="25">
        <f>IF(C279="","",IFERROR(INDEX(tbl_Finance[Client],MATCH(C279&amp;"",tbl_Finance[Job Number],0)),""))</f>
        <v/>
      </c>
      <c r="G279" s="28">
        <f>IF(C279="","",COUNTIFS(tbl_Finance[Job Number],C279&amp;"",tbl_Finance[Ex GST],"&lt;&gt;"))</f>
        <v/>
      </c>
      <c r="H279" s="27">
        <f>IF(C279="","",SUMIFS(tbl_Finance[Ex GST],tbl_Finance[Job Number],C279&amp;""))</f>
        <v/>
      </c>
      <c r="I279" s="27">
        <f>IF(C279="","",SUMIFS(tbl_Finance[Ex GST],tbl_Finance[Job Number],C279&amp;"",tbl_Finance[Xero Invoice No],"&lt;&gt;"))</f>
        <v/>
      </c>
      <c r="J279" s="27">
        <f>IF(C279="","",H279-I279)</f>
        <v/>
      </c>
      <c r="K279" s="25">
        <f>IF(C279="","",IF(G279=0,"not invoiced yet",SUBSTITUTE(TRIM(IF(COUNTIFS(tbl_Finance[Job Number],C279&amp;"",tbl_Finance[Cost Centre],"ONSITE")&gt;0,"ONSITE ","")&amp;IF(COUNTIFS(tbl_Finance[Job Number],C279&amp;"",tbl_Finance[Cost Centre],"PRODUCTION")&gt;0,"PRODUCTION ","")&amp;IF(COUNTIFS(tbl_Finance[Job Number],C279&amp;"",tbl_Finance[Cost Centre],"VIDEO")&gt;0,"VIDEO ","")&amp;IF(COUNTIFS(tbl_Finance[Job Number],C279&amp;"",tbl_Finance[Cost Centre],"INTEGRATION")&gt;0,"INTEGRATION ","")&amp;IF(COUNTIFS(tbl_Finance[Job Number],C279&amp;"",tbl_Finance[Cost Centre],"CONSULTING")&gt;0,"CONSULTING ","")&amp;IF(COUNTIFS(tbl_Finance[Job Number],C279&amp;"",tbl_Finance[Cost Centre],"CTS")&gt;0,"CTS ",""))," ",", ")))</f>
        <v/>
      </c>
      <c r="L279" s="24" t="n"/>
      <c r="M279" s="25">
        <f>IF(L279="","",HYPERLINK(IF(LEFT(L279,4)="http",L279,set_QwilrBase&amp;L279),"Open quote"))</f>
        <v/>
      </c>
      <c r="N279" s="26" t="n"/>
      <c r="O279" s="26" t="n"/>
      <c r="P279" s="26" t="n"/>
      <c r="Q279" s="25">
        <f>IF(C279="","",IF(N(N279)+N(O279)+N(P279)=0,"Not split",IF(ROUND(N(N279)+N(O279)+N(P279),2)=ROUND(H279,2),"OK","MISMATCH")))</f>
        <v/>
      </c>
      <c r="R279" s="26" t="n"/>
      <c r="S279" s="26" t="n"/>
      <c r="T279" s="26" t="n"/>
      <c r="U279" s="27">
        <f>IF(C279="","",N(R279)+N(S279)+N(T279))</f>
        <v/>
      </c>
      <c r="V279" s="27">
        <f>IF(C279="","",H279-U279)</f>
        <v/>
      </c>
      <c r="W279" s="29">
        <f>IFERROR(V279/H279,"")</f>
        <v/>
      </c>
      <c r="X279" s="24" t="n"/>
    </row>
    <row r="280" ht="15" customHeight="1">
      <c r="A280" s="63">
        <f>IF(C280="","",IFERROR(IF(SUMPRODUCT(MAX((tbl_Finance[Job Number]=C280&amp;"")*(tbl_Finance[Xero Invoice No]&lt;&gt;"")*tbl_Finance[Date]))=0,"",SUMPRODUCT(MAX((tbl_Finance[Job Number]=C280&amp;"")*(tbl_Finance[Xero Invoice No]&lt;&gt;"")*tbl_Finance[Date]))),""))</f>
        <v/>
      </c>
      <c r="B280" s="25">
        <f>IF(C280="","",IF(COUNTIFS(tbl_Finance[Job Number],C280&amp;"",tbl_Finance[Xero Invoice No],"&lt;&gt;")=0,"",IFERROR(IF(COUNTIFS(tbl_Finance[Job Number],C280&amp;"",tbl_Finance[Xero Invoice No],LOOKUP(2,1/((tbl_Finance[Job Number]=C280&amp;"")*(tbl_Finance[Xero Invoice No]&lt;&gt;"")),tbl_Finance[Xero Invoice No]))=COUNTIFS(tbl_Finance[Job Number],C280&amp;"",tbl_Finance[Xero Invoice No],"&lt;&gt;"),LOOKUP(2,1/((tbl_Finance[Job Number]=C280&amp;"")*(tbl_Finance[Xero Invoice No]&lt;&gt;"")),tbl_Finance[Xero Invoice No]),LOOKUP(2,1/((tbl_Finance[Job Number]=C280&amp;"")*(tbl_Finance[Xero Invoice No]&lt;&gt;"")),tbl_Finance[Xero Invoice No])&amp;" +more"),"")))</f>
        <v/>
      </c>
      <c r="C280" s="24" t="n"/>
      <c r="D280" s="25">
        <f>IF(C280="","",IF(COUNTIF(lst_Jobs,C280&amp;"")&gt;0,"OK","CHECK"))</f>
        <v/>
      </c>
      <c r="E280" s="25">
        <f>IF(C280="","",IFERROR(INDEX(lst_JobName,MATCH(C280&amp;"",lst_Jobs,0)),""))</f>
        <v/>
      </c>
      <c r="F280" s="25">
        <f>IF(C280="","",IFERROR(INDEX(tbl_Finance[Client],MATCH(C280&amp;"",tbl_Finance[Job Number],0)),""))</f>
        <v/>
      </c>
      <c r="G280" s="28">
        <f>IF(C280="","",COUNTIFS(tbl_Finance[Job Number],C280&amp;"",tbl_Finance[Ex GST],"&lt;&gt;"))</f>
        <v/>
      </c>
      <c r="H280" s="27">
        <f>IF(C280="","",SUMIFS(tbl_Finance[Ex GST],tbl_Finance[Job Number],C280&amp;""))</f>
        <v/>
      </c>
      <c r="I280" s="27">
        <f>IF(C280="","",SUMIFS(tbl_Finance[Ex GST],tbl_Finance[Job Number],C280&amp;"",tbl_Finance[Xero Invoice No],"&lt;&gt;"))</f>
        <v/>
      </c>
      <c r="J280" s="27">
        <f>IF(C280="","",H280-I280)</f>
        <v/>
      </c>
      <c r="K280" s="25">
        <f>IF(C280="","",IF(G280=0,"not invoiced yet",SUBSTITUTE(TRIM(IF(COUNTIFS(tbl_Finance[Job Number],C280&amp;"",tbl_Finance[Cost Centre],"ONSITE")&gt;0,"ONSITE ","")&amp;IF(COUNTIFS(tbl_Finance[Job Number],C280&amp;"",tbl_Finance[Cost Centre],"PRODUCTION")&gt;0,"PRODUCTION ","")&amp;IF(COUNTIFS(tbl_Finance[Job Number],C280&amp;"",tbl_Finance[Cost Centre],"VIDEO")&gt;0,"VIDEO ","")&amp;IF(COUNTIFS(tbl_Finance[Job Number],C280&amp;"",tbl_Finance[Cost Centre],"INTEGRATION")&gt;0,"INTEGRATION ","")&amp;IF(COUNTIFS(tbl_Finance[Job Number],C280&amp;"",tbl_Finance[Cost Centre],"CONSULTING")&gt;0,"CONSULTING ","")&amp;IF(COUNTIFS(tbl_Finance[Job Number],C280&amp;"",tbl_Finance[Cost Centre],"CTS")&gt;0,"CTS ",""))," ",", ")))</f>
        <v/>
      </c>
      <c r="L280" s="24" t="n"/>
      <c r="M280" s="25">
        <f>IF(L280="","",HYPERLINK(IF(LEFT(L280,4)="http",L280,set_QwilrBase&amp;L280),"Open quote"))</f>
        <v/>
      </c>
      <c r="N280" s="26" t="n"/>
      <c r="O280" s="26" t="n"/>
      <c r="P280" s="26" t="n"/>
      <c r="Q280" s="25">
        <f>IF(C280="","",IF(N(N280)+N(O280)+N(P280)=0,"Not split",IF(ROUND(N(N280)+N(O280)+N(P280),2)=ROUND(H280,2),"OK","MISMATCH")))</f>
        <v/>
      </c>
      <c r="R280" s="26" t="n"/>
      <c r="S280" s="26" t="n"/>
      <c r="T280" s="26" t="n"/>
      <c r="U280" s="27">
        <f>IF(C280="","",N(R280)+N(S280)+N(T280))</f>
        <v/>
      </c>
      <c r="V280" s="27">
        <f>IF(C280="","",H280-U280)</f>
        <v/>
      </c>
      <c r="W280" s="29">
        <f>IFERROR(V280/H280,"")</f>
        <v/>
      </c>
      <c r="X280" s="24" t="n"/>
    </row>
    <row r="281" ht="15" customHeight="1">
      <c r="A281" s="63">
        <f>IF(C281="","",IFERROR(IF(SUMPRODUCT(MAX((tbl_Finance[Job Number]=C281&amp;"")*(tbl_Finance[Xero Invoice No]&lt;&gt;"")*tbl_Finance[Date]))=0,"",SUMPRODUCT(MAX((tbl_Finance[Job Number]=C281&amp;"")*(tbl_Finance[Xero Invoice No]&lt;&gt;"")*tbl_Finance[Date]))),""))</f>
        <v/>
      </c>
      <c r="B281" s="25">
        <f>IF(C281="","",IF(COUNTIFS(tbl_Finance[Job Number],C281&amp;"",tbl_Finance[Xero Invoice No],"&lt;&gt;")=0,"",IFERROR(IF(COUNTIFS(tbl_Finance[Job Number],C281&amp;"",tbl_Finance[Xero Invoice No],LOOKUP(2,1/((tbl_Finance[Job Number]=C281&amp;"")*(tbl_Finance[Xero Invoice No]&lt;&gt;"")),tbl_Finance[Xero Invoice No]))=COUNTIFS(tbl_Finance[Job Number],C281&amp;"",tbl_Finance[Xero Invoice No],"&lt;&gt;"),LOOKUP(2,1/((tbl_Finance[Job Number]=C281&amp;"")*(tbl_Finance[Xero Invoice No]&lt;&gt;"")),tbl_Finance[Xero Invoice No]),LOOKUP(2,1/((tbl_Finance[Job Number]=C281&amp;"")*(tbl_Finance[Xero Invoice No]&lt;&gt;"")),tbl_Finance[Xero Invoice No])&amp;" +more"),"")))</f>
        <v/>
      </c>
      <c r="C281" s="24" t="n"/>
      <c r="D281" s="25">
        <f>IF(C281="","",IF(COUNTIF(lst_Jobs,C281&amp;"")&gt;0,"OK","CHECK"))</f>
        <v/>
      </c>
      <c r="E281" s="25">
        <f>IF(C281="","",IFERROR(INDEX(lst_JobName,MATCH(C281&amp;"",lst_Jobs,0)),""))</f>
        <v/>
      </c>
      <c r="F281" s="25">
        <f>IF(C281="","",IFERROR(INDEX(tbl_Finance[Client],MATCH(C281&amp;"",tbl_Finance[Job Number],0)),""))</f>
        <v/>
      </c>
      <c r="G281" s="28">
        <f>IF(C281="","",COUNTIFS(tbl_Finance[Job Number],C281&amp;"",tbl_Finance[Ex GST],"&lt;&gt;"))</f>
        <v/>
      </c>
      <c r="H281" s="27">
        <f>IF(C281="","",SUMIFS(tbl_Finance[Ex GST],tbl_Finance[Job Number],C281&amp;""))</f>
        <v/>
      </c>
      <c r="I281" s="27">
        <f>IF(C281="","",SUMIFS(tbl_Finance[Ex GST],tbl_Finance[Job Number],C281&amp;"",tbl_Finance[Xero Invoice No],"&lt;&gt;"))</f>
        <v/>
      </c>
      <c r="J281" s="27">
        <f>IF(C281="","",H281-I281)</f>
        <v/>
      </c>
      <c r="K281" s="25">
        <f>IF(C281="","",IF(G281=0,"not invoiced yet",SUBSTITUTE(TRIM(IF(COUNTIFS(tbl_Finance[Job Number],C281&amp;"",tbl_Finance[Cost Centre],"ONSITE")&gt;0,"ONSITE ","")&amp;IF(COUNTIFS(tbl_Finance[Job Number],C281&amp;"",tbl_Finance[Cost Centre],"PRODUCTION")&gt;0,"PRODUCTION ","")&amp;IF(COUNTIFS(tbl_Finance[Job Number],C281&amp;"",tbl_Finance[Cost Centre],"VIDEO")&gt;0,"VIDEO ","")&amp;IF(COUNTIFS(tbl_Finance[Job Number],C281&amp;"",tbl_Finance[Cost Centre],"INTEGRATION")&gt;0,"INTEGRATION ","")&amp;IF(COUNTIFS(tbl_Finance[Job Number],C281&amp;"",tbl_Finance[Cost Centre],"CONSULTING")&gt;0,"CONSULTING ","")&amp;IF(COUNTIFS(tbl_Finance[Job Number],C281&amp;"",tbl_Finance[Cost Centre],"CTS")&gt;0,"CTS ",""))," ",", ")))</f>
        <v/>
      </c>
      <c r="L281" s="24" t="n"/>
      <c r="M281" s="25">
        <f>IF(L281="","",HYPERLINK(IF(LEFT(L281,4)="http",L281,set_QwilrBase&amp;L281),"Open quote"))</f>
        <v/>
      </c>
      <c r="N281" s="26" t="n"/>
      <c r="O281" s="26" t="n"/>
      <c r="P281" s="26" t="n"/>
      <c r="Q281" s="25">
        <f>IF(C281="","",IF(N(N281)+N(O281)+N(P281)=0,"Not split",IF(ROUND(N(N281)+N(O281)+N(P281),2)=ROUND(H281,2),"OK","MISMATCH")))</f>
        <v/>
      </c>
      <c r="R281" s="26" t="n"/>
      <c r="S281" s="26" t="n"/>
      <c r="T281" s="26" t="n"/>
      <c r="U281" s="27">
        <f>IF(C281="","",N(R281)+N(S281)+N(T281))</f>
        <v/>
      </c>
      <c r="V281" s="27">
        <f>IF(C281="","",H281-U281)</f>
        <v/>
      </c>
      <c r="W281" s="29">
        <f>IFERROR(V281/H281,"")</f>
        <v/>
      </c>
      <c r="X281" s="24" t="n"/>
    </row>
    <row r="282" ht="15" customHeight="1">
      <c r="A282" s="63">
        <f>IF(C282="","",IFERROR(IF(SUMPRODUCT(MAX((tbl_Finance[Job Number]=C282&amp;"")*(tbl_Finance[Xero Invoice No]&lt;&gt;"")*tbl_Finance[Date]))=0,"",SUMPRODUCT(MAX((tbl_Finance[Job Number]=C282&amp;"")*(tbl_Finance[Xero Invoice No]&lt;&gt;"")*tbl_Finance[Date]))),""))</f>
        <v/>
      </c>
      <c r="B282" s="25">
        <f>IF(C282="","",IF(COUNTIFS(tbl_Finance[Job Number],C282&amp;"",tbl_Finance[Xero Invoice No],"&lt;&gt;")=0,"",IFERROR(IF(COUNTIFS(tbl_Finance[Job Number],C282&amp;"",tbl_Finance[Xero Invoice No],LOOKUP(2,1/((tbl_Finance[Job Number]=C282&amp;"")*(tbl_Finance[Xero Invoice No]&lt;&gt;"")),tbl_Finance[Xero Invoice No]))=COUNTIFS(tbl_Finance[Job Number],C282&amp;"",tbl_Finance[Xero Invoice No],"&lt;&gt;"),LOOKUP(2,1/((tbl_Finance[Job Number]=C282&amp;"")*(tbl_Finance[Xero Invoice No]&lt;&gt;"")),tbl_Finance[Xero Invoice No]),LOOKUP(2,1/((tbl_Finance[Job Number]=C282&amp;"")*(tbl_Finance[Xero Invoice No]&lt;&gt;"")),tbl_Finance[Xero Invoice No])&amp;" +more"),"")))</f>
        <v/>
      </c>
      <c r="C282" s="24" t="n"/>
      <c r="D282" s="25">
        <f>IF(C282="","",IF(COUNTIF(lst_Jobs,C282&amp;"")&gt;0,"OK","CHECK"))</f>
        <v/>
      </c>
      <c r="E282" s="25">
        <f>IF(C282="","",IFERROR(INDEX(lst_JobName,MATCH(C282&amp;"",lst_Jobs,0)),""))</f>
        <v/>
      </c>
      <c r="F282" s="25">
        <f>IF(C282="","",IFERROR(INDEX(tbl_Finance[Client],MATCH(C282&amp;"",tbl_Finance[Job Number],0)),""))</f>
        <v/>
      </c>
      <c r="G282" s="28">
        <f>IF(C282="","",COUNTIFS(tbl_Finance[Job Number],C282&amp;"",tbl_Finance[Ex GST],"&lt;&gt;"))</f>
        <v/>
      </c>
      <c r="H282" s="27">
        <f>IF(C282="","",SUMIFS(tbl_Finance[Ex GST],tbl_Finance[Job Number],C282&amp;""))</f>
        <v/>
      </c>
      <c r="I282" s="27">
        <f>IF(C282="","",SUMIFS(tbl_Finance[Ex GST],tbl_Finance[Job Number],C282&amp;"",tbl_Finance[Xero Invoice No],"&lt;&gt;"))</f>
        <v/>
      </c>
      <c r="J282" s="27">
        <f>IF(C282="","",H282-I282)</f>
        <v/>
      </c>
      <c r="K282" s="25">
        <f>IF(C282="","",IF(G282=0,"not invoiced yet",SUBSTITUTE(TRIM(IF(COUNTIFS(tbl_Finance[Job Number],C282&amp;"",tbl_Finance[Cost Centre],"ONSITE")&gt;0,"ONSITE ","")&amp;IF(COUNTIFS(tbl_Finance[Job Number],C282&amp;"",tbl_Finance[Cost Centre],"PRODUCTION")&gt;0,"PRODUCTION ","")&amp;IF(COUNTIFS(tbl_Finance[Job Number],C282&amp;"",tbl_Finance[Cost Centre],"VIDEO")&gt;0,"VIDEO ","")&amp;IF(COUNTIFS(tbl_Finance[Job Number],C282&amp;"",tbl_Finance[Cost Centre],"INTEGRATION")&gt;0,"INTEGRATION ","")&amp;IF(COUNTIFS(tbl_Finance[Job Number],C282&amp;"",tbl_Finance[Cost Centre],"CONSULTING")&gt;0,"CONSULTING ","")&amp;IF(COUNTIFS(tbl_Finance[Job Number],C282&amp;"",tbl_Finance[Cost Centre],"CTS")&gt;0,"CTS ",""))," ",", ")))</f>
        <v/>
      </c>
      <c r="L282" s="24" t="n"/>
      <c r="M282" s="25">
        <f>IF(L282="","",HYPERLINK(IF(LEFT(L282,4)="http",L282,set_QwilrBase&amp;L282),"Open quote"))</f>
        <v/>
      </c>
      <c r="N282" s="26" t="n"/>
      <c r="O282" s="26" t="n"/>
      <c r="P282" s="26" t="n"/>
      <c r="Q282" s="25">
        <f>IF(C282="","",IF(N(N282)+N(O282)+N(P282)=0,"Not split",IF(ROUND(N(N282)+N(O282)+N(P282),2)=ROUND(H282,2),"OK","MISMATCH")))</f>
        <v/>
      </c>
      <c r="R282" s="26" t="n"/>
      <c r="S282" s="26" t="n"/>
      <c r="T282" s="26" t="n"/>
      <c r="U282" s="27">
        <f>IF(C282="","",N(R282)+N(S282)+N(T282))</f>
        <v/>
      </c>
      <c r="V282" s="27">
        <f>IF(C282="","",H282-U282)</f>
        <v/>
      </c>
      <c r="W282" s="29">
        <f>IFERROR(V282/H282,"")</f>
        <v/>
      </c>
      <c r="X282" s="24" t="n"/>
    </row>
    <row r="283" ht="15" customHeight="1">
      <c r="A283" s="63">
        <f>IF(C283="","",IFERROR(IF(SUMPRODUCT(MAX((tbl_Finance[Job Number]=C283&amp;"")*(tbl_Finance[Xero Invoice No]&lt;&gt;"")*tbl_Finance[Date]))=0,"",SUMPRODUCT(MAX((tbl_Finance[Job Number]=C283&amp;"")*(tbl_Finance[Xero Invoice No]&lt;&gt;"")*tbl_Finance[Date]))),""))</f>
        <v/>
      </c>
      <c r="B283" s="25">
        <f>IF(C283="","",IF(COUNTIFS(tbl_Finance[Job Number],C283&amp;"",tbl_Finance[Xero Invoice No],"&lt;&gt;")=0,"",IFERROR(IF(COUNTIFS(tbl_Finance[Job Number],C283&amp;"",tbl_Finance[Xero Invoice No],LOOKUP(2,1/((tbl_Finance[Job Number]=C283&amp;"")*(tbl_Finance[Xero Invoice No]&lt;&gt;"")),tbl_Finance[Xero Invoice No]))=COUNTIFS(tbl_Finance[Job Number],C283&amp;"",tbl_Finance[Xero Invoice No],"&lt;&gt;"),LOOKUP(2,1/((tbl_Finance[Job Number]=C283&amp;"")*(tbl_Finance[Xero Invoice No]&lt;&gt;"")),tbl_Finance[Xero Invoice No]),LOOKUP(2,1/((tbl_Finance[Job Number]=C283&amp;"")*(tbl_Finance[Xero Invoice No]&lt;&gt;"")),tbl_Finance[Xero Invoice No])&amp;" +more"),"")))</f>
        <v/>
      </c>
      <c r="C283" s="24" t="n"/>
      <c r="D283" s="25">
        <f>IF(C283="","",IF(COUNTIF(lst_Jobs,C283&amp;"")&gt;0,"OK","CHECK"))</f>
        <v/>
      </c>
      <c r="E283" s="25">
        <f>IF(C283="","",IFERROR(INDEX(lst_JobName,MATCH(C283&amp;"",lst_Jobs,0)),""))</f>
        <v/>
      </c>
      <c r="F283" s="25">
        <f>IF(C283="","",IFERROR(INDEX(tbl_Finance[Client],MATCH(C283&amp;"",tbl_Finance[Job Number],0)),""))</f>
        <v/>
      </c>
      <c r="G283" s="28">
        <f>IF(C283="","",COUNTIFS(tbl_Finance[Job Number],C283&amp;"",tbl_Finance[Ex GST],"&lt;&gt;"))</f>
        <v/>
      </c>
      <c r="H283" s="27">
        <f>IF(C283="","",SUMIFS(tbl_Finance[Ex GST],tbl_Finance[Job Number],C283&amp;""))</f>
        <v/>
      </c>
      <c r="I283" s="27">
        <f>IF(C283="","",SUMIFS(tbl_Finance[Ex GST],tbl_Finance[Job Number],C283&amp;"",tbl_Finance[Xero Invoice No],"&lt;&gt;"))</f>
        <v/>
      </c>
      <c r="J283" s="27">
        <f>IF(C283="","",H283-I283)</f>
        <v/>
      </c>
      <c r="K283" s="25">
        <f>IF(C283="","",IF(G283=0,"not invoiced yet",SUBSTITUTE(TRIM(IF(COUNTIFS(tbl_Finance[Job Number],C283&amp;"",tbl_Finance[Cost Centre],"ONSITE")&gt;0,"ONSITE ","")&amp;IF(COUNTIFS(tbl_Finance[Job Number],C283&amp;"",tbl_Finance[Cost Centre],"PRODUCTION")&gt;0,"PRODUCTION ","")&amp;IF(COUNTIFS(tbl_Finance[Job Number],C283&amp;"",tbl_Finance[Cost Centre],"VIDEO")&gt;0,"VIDEO ","")&amp;IF(COUNTIFS(tbl_Finance[Job Number],C283&amp;"",tbl_Finance[Cost Centre],"INTEGRATION")&gt;0,"INTEGRATION ","")&amp;IF(COUNTIFS(tbl_Finance[Job Number],C283&amp;"",tbl_Finance[Cost Centre],"CONSULTING")&gt;0,"CONSULTING ","")&amp;IF(COUNTIFS(tbl_Finance[Job Number],C283&amp;"",tbl_Finance[Cost Centre],"CTS")&gt;0,"CTS ",""))," ",", ")))</f>
        <v/>
      </c>
      <c r="L283" s="24" t="n"/>
      <c r="M283" s="25">
        <f>IF(L283="","",HYPERLINK(IF(LEFT(L283,4)="http",L283,set_QwilrBase&amp;L283),"Open quote"))</f>
        <v/>
      </c>
      <c r="N283" s="26" t="n"/>
      <c r="O283" s="26" t="n"/>
      <c r="P283" s="26" t="n"/>
      <c r="Q283" s="25">
        <f>IF(C283="","",IF(N(N283)+N(O283)+N(P283)=0,"Not split",IF(ROUND(N(N283)+N(O283)+N(P283),2)=ROUND(H283,2),"OK","MISMATCH")))</f>
        <v/>
      </c>
      <c r="R283" s="26" t="n"/>
      <c r="S283" s="26" t="n"/>
      <c r="T283" s="26" t="n"/>
      <c r="U283" s="27">
        <f>IF(C283="","",N(R283)+N(S283)+N(T283))</f>
        <v/>
      </c>
      <c r="V283" s="27">
        <f>IF(C283="","",H283-U283)</f>
        <v/>
      </c>
      <c r="W283" s="29">
        <f>IFERROR(V283/H283,"")</f>
        <v/>
      </c>
      <c r="X283" s="24" t="n"/>
    </row>
    <row r="284" ht="15" customHeight="1">
      <c r="A284" s="63">
        <f>IF(C284="","",IFERROR(IF(SUMPRODUCT(MAX((tbl_Finance[Job Number]=C284&amp;"")*(tbl_Finance[Xero Invoice No]&lt;&gt;"")*tbl_Finance[Date]))=0,"",SUMPRODUCT(MAX((tbl_Finance[Job Number]=C284&amp;"")*(tbl_Finance[Xero Invoice No]&lt;&gt;"")*tbl_Finance[Date]))),""))</f>
        <v/>
      </c>
      <c r="B284" s="25">
        <f>IF(C284="","",IF(COUNTIFS(tbl_Finance[Job Number],C284&amp;"",tbl_Finance[Xero Invoice No],"&lt;&gt;")=0,"",IFERROR(IF(COUNTIFS(tbl_Finance[Job Number],C284&amp;"",tbl_Finance[Xero Invoice No],LOOKUP(2,1/((tbl_Finance[Job Number]=C284&amp;"")*(tbl_Finance[Xero Invoice No]&lt;&gt;"")),tbl_Finance[Xero Invoice No]))=COUNTIFS(tbl_Finance[Job Number],C284&amp;"",tbl_Finance[Xero Invoice No],"&lt;&gt;"),LOOKUP(2,1/((tbl_Finance[Job Number]=C284&amp;"")*(tbl_Finance[Xero Invoice No]&lt;&gt;"")),tbl_Finance[Xero Invoice No]),LOOKUP(2,1/((tbl_Finance[Job Number]=C284&amp;"")*(tbl_Finance[Xero Invoice No]&lt;&gt;"")),tbl_Finance[Xero Invoice No])&amp;" +more"),"")))</f>
        <v/>
      </c>
      <c r="C284" s="24" t="n"/>
      <c r="D284" s="25">
        <f>IF(C284="","",IF(COUNTIF(lst_Jobs,C284&amp;"")&gt;0,"OK","CHECK"))</f>
        <v/>
      </c>
      <c r="E284" s="25">
        <f>IF(C284="","",IFERROR(INDEX(lst_JobName,MATCH(C284&amp;"",lst_Jobs,0)),""))</f>
        <v/>
      </c>
      <c r="F284" s="25">
        <f>IF(C284="","",IFERROR(INDEX(tbl_Finance[Client],MATCH(C284&amp;"",tbl_Finance[Job Number],0)),""))</f>
        <v/>
      </c>
      <c r="G284" s="28">
        <f>IF(C284="","",COUNTIFS(tbl_Finance[Job Number],C284&amp;"",tbl_Finance[Ex GST],"&lt;&gt;"))</f>
        <v/>
      </c>
      <c r="H284" s="27">
        <f>IF(C284="","",SUMIFS(tbl_Finance[Ex GST],tbl_Finance[Job Number],C284&amp;""))</f>
        <v/>
      </c>
      <c r="I284" s="27">
        <f>IF(C284="","",SUMIFS(tbl_Finance[Ex GST],tbl_Finance[Job Number],C284&amp;"",tbl_Finance[Xero Invoice No],"&lt;&gt;"))</f>
        <v/>
      </c>
      <c r="J284" s="27">
        <f>IF(C284="","",H284-I284)</f>
        <v/>
      </c>
      <c r="K284" s="25">
        <f>IF(C284="","",IF(G284=0,"not invoiced yet",SUBSTITUTE(TRIM(IF(COUNTIFS(tbl_Finance[Job Number],C284&amp;"",tbl_Finance[Cost Centre],"ONSITE")&gt;0,"ONSITE ","")&amp;IF(COUNTIFS(tbl_Finance[Job Number],C284&amp;"",tbl_Finance[Cost Centre],"PRODUCTION")&gt;0,"PRODUCTION ","")&amp;IF(COUNTIFS(tbl_Finance[Job Number],C284&amp;"",tbl_Finance[Cost Centre],"VIDEO")&gt;0,"VIDEO ","")&amp;IF(COUNTIFS(tbl_Finance[Job Number],C284&amp;"",tbl_Finance[Cost Centre],"INTEGRATION")&gt;0,"INTEGRATION ","")&amp;IF(COUNTIFS(tbl_Finance[Job Number],C284&amp;"",tbl_Finance[Cost Centre],"CONSULTING")&gt;0,"CONSULTING ","")&amp;IF(COUNTIFS(tbl_Finance[Job Number],C284&amp;"",tbl_Finance[Cost Centre],"CTS")&gt;0,"CTS ",""))," ",", ")))</f>
        <v/>
      </c>
      <c r="L284" s="24" t="n"/>
      <c r="M284" s="25">
        <f>IF(L284="","",HYPERLINK(IF(LEFT(L284,4)="http",L284,set_QwilrBase&amp;L284),"Open quote"))</f>
        <v/>
      </c>
      <c r="N284" s="26" t="n"/>
      <c r="O284" s="26" t="n"/>
      <c r="P284" s="26" t="n"/>
      <c r="Q284" s="25">
        <f>IF(C284="","",IF(N(N284)+N(O284)+N(P284)=0,"Not split",IF(ROUND(N(N284)+N(O284)+N(P284),2)=ROUND(H284,2),"OK","MISMATCH")))</f>
        <v/>
      </c>
      <c r="R284" s="26" t="n"/>
      <c r="S284" s="26" t="n"/>
      <c r="T284" s="26" t="n"/>
      <c r="U284" s="27">
        <f>IF(C284="","",N(R284)+N(S284)+N(T284))</f>
        <v/>
      </c>
      <c r="V284" s="27">
        <f>IF(C284="","",H284-U284)</f>
        <v/>
      </c>
      <c r="W284" s="29">
        <f>IFERROR(V284/H284,"")</f>
        <v/>
      </c>
      <c r="X284" s="24" t="n"/>
    </row>
    <row r="285" ht="15" customHeight="1">
      <c r="A285" s="63">
        <f>IF(C285="","",IFERROR(IF(SUMPRODUCT(MAX((tbl_Finance[Job Number]=C285&amp;"")*(tbl_Finance[Xero Invoice No]&lt;&gt;"")*tbl_Finance[Date]))=0,"",SUMPRODUCT(MAX((tbl_Finance[Job Number]=C285&amp;"")*(tbl_Finance[Xero Invoice No]&lt;&gt;"")*tbl_Finance[Date]))),""))</f>
        <v/>
      </c>
      <c r="B285" s="25">
        <f>IF(C285="","",IF(COUNTIFS(tbl_Finance[Job Number],C285&amp;"",tbl_Finance[Xero Invoice No],"&lt;&gt;")=0,"",IFERROR(IF(COUNTIFS(tbl_Finance[Job Number],C285&amp;"",tbl_Finance[Xero Invoice No],LOOKUP(2,1/((tbl_Finance[Job Number]=C285&amp;"")*(tbl_Finance[Xero Invoice No]&lt;&gt;"")),tbl_Finance[Xero Invoice No]))=COUNTIFS(tbl_Finance[Job Number],C285&amp;"",tbl_Finance[Xero Invoice No],"&lt;&gt;"),LOOKUP(2,1/((tbl_Finance[Job Number]=C285&amp;"")*(tbl_Finance[Xero Invoice No]&lt;&gt;"")),tbl_Finance[Xero Invoice No]),LOOKUP(2,1/((tbl_Finance[Job Number]=C285&amp;"")*(tbl_Finance[Xero Invoice No]&lt;&gt;"")),tbl_Finance[Xero Invoice No])&amp;" +more"),"")))</f>
        <v/>
      </c>
      <c r="C285" s="24" t="n"/>
      <c r="D285" s="25">
        <f>IF(C285="","",IF(COUNTIF(lst_Jobs,C285&amp;"")&gt;0,"OK","CHECK"))</f>
        <v/>
      </c>
      <c r="E285" s="25">
        <f>IF(C285="","",IFERROR(INDEX(lst_JobName,MATCH(C285&amp;"",lst_Jobs,0)),""))</f>
        <v/>
      </c>
      <c r="F285" s="25">
        <f>IF(C285="","",IFERROR(INDEX(tbl_Finance[Client],MATCH(C285&amp;"",tbl_Finance[Job Number],0)),""))</f>
        <v/>
      </c>
      <c r="G285" s="28">
        <f>IF(C285="","",COUNTIFS(tbl_Finance[Job Number],C285&amp;"",tbl_Finance[Ex GST],"&lt;&gt;"))</f>
        <v/>
      </c>
      <c r="H285" s="27">
        <f>IF(C285="","",SUMIFS(tbl_Finance[Ex GST],tbl_Finance[Job Number],C285&amp;""))</f>
        <v/>
      </c>
      <c r="I285" s="27">
        <f>IF(C285="","",SUMIFS(tbl_Finance[Ex GST],tbl_Finance[Job Number],C285&amp;"",tbl_Finance[Xero Invoice No],"&lt;&gt;"))</f>
        <v/>
      </c>
      <c r="J285" s="27">
        <f>IF(C285="","",H285-I285)</f>
        <v/>
      </c>
      <c r="K285" s="25">
        <f>IF(C285="","",IF(G285=0,"not invoiced yet",SUBSTITUTE(TRIM(IF(COUNTIFS(tbl_Finance[Job Number],C285&amp;"",tbl_Finance[Cost Centre],"ONSITE")&gt;0,"ONSITE ","")&amp;IF(COUNTIFS(tbl_Finance[Job Number],C285&amp;"",tbl_Finance[Cost Centre],"PRODUCTION")&gt;0,"PRODUCTION ","")&amp;IF(COUNTIFS(tbl_Finance[Job Number],C285&amp;"",tbl_Finance[Cost Centre],"VIDEO")&gt;0,"VIDEO ","")&amp;IF(COUNTIFS(tbl_Finance[Job Number],C285&amp;"",tbl_Finance[Cost Centre],"INTEGRATION")&gt;0,"INTEGRATION ","")&amp;IF(COUNTIFS(tbl_Finance[Job Number],C285&amp;"",tbl_Finance[Cost Centre],"CONSULTING")&gt;0,"CONSULTING ","")&amp;IF(COUNTIFS(tbl_Finance[Job Number],C285&amp;"",tbl_Finance[Cost Centre],"CTS")&gt;0,"CTS ",""))," ",", ")))</f>
        <v/>
      </c>
      <c r="L285" s="24" t="n"/>
      <c r="M285" s="25">
        <f>IF(L285="","",HYPERLINK(IF(LEFT(L285,4)="http",L285,set_QwilrBase&amp;L285),"Open quote"))</f>
        <v/>
      </c>
      <c r="N285" s="26" t="n"/>
      <c r="O285" s="26" t="n"/>
      <c r="P285" s="26" t="n"/>
      <c r="Q285" s="25">
        <f>IF(C285="","",IF(N(N285)+N(O285)+N(P285)=0,"Not split",IF(ROUND(N(N285)+N(O285)+N(P285),2)=ROUND(H285,2),"OK","MISMATCH")))</f>
        <v/>
      </c>
      <c r="R285" s="26" t="n"/>
      <c r="S285" s="26" t="n"/>
      <c r="T285" s="26" t="n"/>
      <c r="U285" s="27">
        <f>IF(C285="","",N(R285)+N(S285)+N(T285))</f>
        <v/>
      </c>
      <c r="V285" s="27">
        <f>IF(C285="","",H285-U285)</f>
        <v/>
      </c>
      <c r="W285" s="29">
        <f>IFERROR(V285/H285,"")</f>
        <v/>
      </c>
      <c r="X285" s="24" t="n"/>
    </row>
    <row r="286" ht="15" customHeight="1">
      <c r="A286" s="63">
        <f>IF(C286="","",IFERROR(IF(SUMPRODUCT(MAX((tbl_Finance[Job Number]=C286&amp;"")*(tbl_Finance[Xero Invoice No]&lt;&gt;"")*tbl_Finance[Date]))=0,"",SUMPRODUCT(MAX((tbl_Finance[Job Number]=C286&amp;"")*(tbl_Finance[Xero Invoice No]&lt;&gt;"")*tbl_Finance[Date]))),""))</f>
        <v/>
      </c>
      <c r="B286" s="25">
        <f>IF(C286="","",IF(COUNTIFS(tbl_Finance[Job Number],C286&amp;"",tbl_Finance[Xero Invoice No],"&lt;&gt;")=0,"",IFERROR(IF(COUNTIFS(tbl_Finance[Job Number],C286&amp;"",tbl_Finance[Xero Invoice No],LOOKUP(2,1/((tbl_Finance[Job Number]=C286&amp;"")*(tbl_Finance[Xero Invoice No]&lt;&gt;"")),tbl_Finance[Xero Invoice No]))=COUNTIFS(tbl_Finance[Job Number],C286&amp;"",tbl_Finance[Xero Invoice No],"&lt;&gt;"),LOOKUP(2,1/((tbl_Finance[Job Number]=C286&amp;"")*(tbl_Finance[Xero Invoice No]&lt;&gt;"")),tbl_Finance[Xero Invoice No]),LOOKUP(2,1/((tbl_Finance[Job Number]=C286&amp;"")*(tbl_Finance[Xero Invoice No]&lt;&gt;"")),tbl_Finance[Xero Invoice No])&amp;" +more"),"")))</f>
        <v/>
      </c>
      <c r="C286" s="24" t="n"/>
      <c r="D286" s="25">
        <f>IF(C286="","",IF(COUNTIF(lst_Jobs,C286&amp;"")&gt;0,"OK","CHECK"))</f>
        <v/>
      </c>
      <c r="E286" s="25">
        <f>IF(C286="","",IFERROR(INDEX(lst_JobName,MATCH(C286&amp;"",lst_Jobs,0)),""))</f>
        <v/>
      </c>
      <c r="F286" s="25">
        <f>IF(C286="","",IFERROR(INDEX(tbl_Finance[Client],MATCH(C286&amp;"",tbl_Finance[Job Number],0)),""))</f>
        <v/>
      </c>
      <c r="G286" s="28">
        <f>IF(C286="","",COUNTIFS(tbl_Finance[Job Number],C286&amp;"",tbl_Finance[Ex GST],"&lt;&gt;"))</f>
        <v/>
      </c>
      <c r="H286" s="27">
        <f>IF(C286="","",SUMIFS(tbl_Finance[Ex GST],tbl_Finance[Job Number],C286&amp;""))</f>
        <v/>
      </c>
      <c r="I286" s="27">
        <f>IF(C286="","",SUMIFS(tbl_Finance[Ex GST],tbl_Finance[Job Number],C286&amp;"",tbl_Finance[Xero Invoice No],"&lt;&gt;"))</f>
        <v/>
      </c>
      <c r="J286" s="27">
        <f>IF(C286="","",H286-I286)</f>
        <v/>
      </c>
      <c r="K286" s="25">
        <f>IF(C286="","",IF(G286=0,"not invoiced yet",SUBSTITUTE(TRIM(IF(COUNTIFS(tbl_Finance[Job Number],C286&amp;"",tbl_Finance[Cost Centre],"ONSITE")&gt;0,"ONSITE ","")&amp;IF(COUNTIFS(tbl_Finance[Job Number],C286&amp;"",tbl_Finance[Cost Centre],"PRODUCTION")&gt;0,"PRODUCTION ","")&amp;IF(COUNTIFS(tbl_Finance[Job Number],C286&amp;"",tbl_Finance[Cost Centre],"VIDEO")&gt;0,"VIDEO ","")&amp;IF(COUNTIFS(tbl_Finance[Job Number],C286&amp;"",tbl_Finance[Cost Centre],"INTEGRATION")&gt;0,"INTEGRATION ","")&amp;IF(COUNTIFS(tbl_Finance[Job Number],C286&amp;"",tbl_Finance[Cost Centre],"CONSULTING")&gt;0,"CONSULTING ","")&amp;IF(COUNTIFS(tbl_Finance[Job Number],C286&amp;"",tbl_Finance[Cost Centre],"CTS")&gt;0,"CTS ",""))," ",", ")))</f>
        <v/>
      </c>
      <c r="L286" s="24" t="n"/>
      <c r="M286" s="25">
        <f>IF(L286="","",HYPERLINK(IF(LEFT(L286,4)="http",L286,set_QwilrBase&amp;L286),"Open quote"))</f>
        <v/>
      </c>
      <c r="N286" s="26" t="n"/>
      <c r="O286" s="26" t="n"/>
      <c r="P286" s="26" t="n"/>
      <c r="Q286" s="25">
        <f>IF(C286="","",IF(N(N286)+N(O286)+N(P286)=0,"Not split",IF(ROUND(N(N286)+N(O286)+N(P286),2)=ROUND(H286,2),"OK","MISMATCH")))</f>
        <v/>
      </c>
      <c r="R286" s="26" t="n"/>
      <c r="S286" s="26" t="n"/>
      <c r="T286" s="26" t="n"/>
      <c r="U286" s="27">
        <f>IF(C286="","",N(R286)+N(S286)+N(T286))</f>
        <v/>
      </c>
      <c r="V286" s="27">
        <f>IF(C286="","",H286-U286)</f>
        <v/>
      </c>
      <c r="W286" s="29">
        <f>IFERROR(V286/H286,"")</f>
        <v/>
      </c>
      <c r="X286" s="24" t="n"/>
    </row>
    <row r="287" ht="15" customHeight="1">
      <c r="A287" s="63">
        <f>IF(C287="","",IFERROR(IF(SUMPRODUCT(MAX((tbl_Finance[Job Number]=C287&amp;"")*(tbl_Finance[Xero Invoice No]&lt;&gt;"")*tbl_Finance[Date]))=0,"",SUMPRODUCT(MAX((tbl_Finance[Job Number]=C287&amp;"")*(tbl_Finance[Xero Invoice No]&lt;&gt;"")*tbl_Finance[Date]))),""))</f>
        <v/>
      </c>
      <c r="B287" s="25">
        <f>IF(C287="","",IF(COUNTIFS(tbl_Finance[Job Number],C287&amp;"",tbl_Finance[Xero Invoice No],"&lt;&gt;")=0,"",IFERROR(IF(COUNTIFS(tbl_Finance[Job Number],C287&amp;"",tbl_Finance[Xero Invoice No],LOOKUP(2,1/((tbl_Finance[Job Number]=C287&amp;"")*(tbl_Finance[Xero Invoice No]&lt;&gt;"")),tbl_Finance[Xero Invoice No]))=COUNTIFS(tbl_Finance[Job Number],C287&amp;"",tbl_Finance[Xero Invoice No],"&lt;&gt;"),LOOKUP(2,1/((tbl_Finance[Job Number]=C287&amp;"")*(tbl_Finance[Xero Invoice No]&lt;&gt;"")),tbl_Finance[Xero Invoice No]),LOOKUP(2,1/((tbl_Finance[Job Number]=C287&amp;"")*(tbl_Finance[Xero Invoice No]&lt;&gt;"")),tbl_Finance[Xero Invoice No])&amp;" +more"),"")))</f>
        <v/>
      </c>
      <c r="C287" s="24" t="n"/>
      <c r="D287" s="25">
        <f>IF(C287="","",IF(COUNTIF(lst_Jobs,C287&amp;"")&gt;0,"OK","CHECK"))</f>
        <v/>
      </c>
      <c r="E287" s="25">
        <f>IF(C287="","",IFERROR(INDEX(lst_JobName,MATCH(C287&amp;"",lst_Jobs,0)),""))</f>
        <v/>
      </c>
      <c r="F287" s="25">
        <f>IF(C287="","",IFERROR(INDEX(tbl_Finance[Client],MATCH(C287&amp;"",tbl_Finance[Job Number],0)),""))</f>
        <v/>
      </c>
      <c r="G287" s="28">
        <f>IF(C287="","",COUNTIFS(tbl_Finance[Job Number],C287&amp;"",tbl_Finance[Ex GST],"&lt;&gt;"))</f>
        <v/>
      </c>
      <c r="H287" s="27">
        <f>IF(C287="","",SUMIFS(tbl_Finance[Ex GST],tbl_Finance[Job Number],C287&amp;""))</f>
        <v/>
      </c>
      <c r="I287" s="27">
        <f>IF(C287="","",SUMIFS(tbl_Finance[Ex GST],tbl_Finance[Job Number],C287&amp;"",tbl_Finance[Xero Invoice No],"&lt;&gt;"))</f>
        <v/>
      </c>
      <c r="J287" s="27">
        <f>IF(C287="","",H287-I287)</f>
        <v/>
      </c>
      <c r="K287" s="25">
        <f>IF(C287="","",IF(G287=0,"not invoiced yet",SUBSTITUTE(TRIM(IF(COUNTIFS(tbl_Finance[Job Number],C287&amp;"",tbl_Finance[Cost Centre],"ONSITE")&gt;0,"ONSITE ","")&amp;IF(COUNTIFS(tbl_Finance[Job Number],C287&amp;"",tbl_Finance[Cost Centre],"PRODUCTION")&gt;0,"PRODUCTION ","")&amp;IF(COUNTIFS(tbl_Finance[Job Number],C287&amp;"",tbl_Finance[Cost Centre],"VIDEO")&gt;0,"VIDEO ","")&amp;IF(COUNTIFS(tbl_Finance[Job Number],C287&amp;"",tbl_Finance[Cost Centre],"INTEGRATION")&gt;0,"INTEGRATION ","")&amp;IF(COUNTIFS(tbl_Finance[Job Number],C287&amp;"",tbl_Finance[Cost Centre],"CONSULTING")&gt;0,"CONSULTING ","")&amp;IF(COUNTIFS(tbl_Finance[Job Number],C287&amp;"",tbl_Finance[Cost Centre],"CTS")&gt;0,"CTS ",""))," ",", ")))</f>
        <v/>
      </c>
      <c r="L287" s="24" t="n"/>
      <c r="M287" s="25">
        <f>IF(L287="","",HYPERLINK(IF(LEFT(L287,4)="http",L287,set_QwilrBase&amp;L287),"Open quote"))</f>
        <v/>
      </c>
      <c r="N287" s="26" t="n"/>
      <c r="O287" s="26" t="n"/>
      <c r="P287" s="26" t="n"/>
      <c r="Q287" s="25">
        <f>IF(C287="","",IF(N(N287)+N(O287)+N(P287)=0,"Not split",IF(ROUND(N(N287)+N(O287)+N(P287),2)=ROUND(H287,2),"OK","MISMATCH")))</f>
        <v/>
      </c>
      <c r="R287" s="26" t="n"/>
      <c r="S287" s="26" t="n"/>
      <c r="T287" s="26" t="n"/>
      <c r="U287" s="27">
        <f>IF(C287="","",N(R287)+N(S287)+N(T287))</f>
        <v/>
      </c>
      <c r="V287" s="27">
        <f>IF(C287="","",H287-U287)</f>
        <v/>
      </c>
      <c r="W287" s="29">
        <f>IFERROR(V287/H287,"")</f>
        <v/>
      </c>
      <c r="X287" s="24" t="n"/>
    </row>
    <row r="288" ht="15" customHeight="1">
      <c r="A288" s="63">
        <f>IF(C288="","",IFERROR(IF(SUMPRODUCT(MAX((tbl_Finance[Job Number]=C288&amp;"")*(tbl_Finance[Xero Invoice No]&lt;&gt;"")*tbl_Finance[Date]))=0,"",SUMPRODUCT(MAX((tbl_Finance[Job Number]=C288&amp;"")*(tbl_Finance[Xero Invoice No]&lt;&gt;"")*tbl_Finance[Date]))),""))</f>
        <v/>
      </c>
      <c r="B288" s="25">
        <f>IF(C288="","",IF(COUNTIFS(tbl_Finance[Job Number],C288&amp;"",tbl_Finance[Xero Invoice No],"&lt;&gt;")=0,"",IFERROR(IF(COUNTIFS(tbl_Finance[Job Number],C288&amp;"",tbl_Finance[Xero Invoice No],LOOKUP(2,1/((tbl_Finance[Job Number]=C288&amp;"")*(tbl_Finance[Xero Invoice No]&lt;&gt;"")),tbl_Finance[Xero Invoice No]))=COUNTIFS(tbl_Finance[Job Number],C288&amp;"",tbl_Finance[Xero Invoice No],"&lt;&gt;"),LOOKUP(2,1/((tbl_Finance[Job Number]=C288&amp;"")*(tbl_Finance[Xero Invoice No]&lt;&gt;"")),tbl_Finance[Xero Invoice No]),LOOKUP(2,1/((tbl_Finance[Job Number]=C288&amp;"")*(tbl_Finance[Xero Invoice No]&lt;&gt;"")),tbl_Finance[Xero Invoice No])&amp;" +more"),"")))</f>
        <v/>
      </c>
      <c r="C288" s="24" t="n"/>
      <c r="D288" s="25">
        <f>IF(C288="","",IF(COUNTIF(lst_Jobs,C288&amp;"")&gt;0,"OK","CHECK"))</f>
        <v/>
      </c>
      <c r="E288" s="25">
        <f>IF(C288="","",IFERROR(INDEX(lst_JobName,MATCH(C288&amp;"",lst_Jobs,0)),""))</f>
        <v/>
      </c>
      <c r="F288" s="25">
        <f>IF(C288="","",IFERROR(INDEX(tbl_Finance[Client],MATCH(C288&amp;"",tbl_Finance[Job Number],0)),""))</f>
        <v/>
      </c>
      <c r="G288" s="28">
        <f>IF(C288="","",COUNTIFS(tbl_Finance[Job Number],C288&amp;"",tbl_Finance[Ex GST],"&lt;&gt;"))</f>
        <v/>
      </c>
      <c r="H288" s="27">
        <f>IF(C288="","",SUMIFS(tbl_Finance[Ex GST],tbl_Finance[Job Number],C288&amp;""))</f>
        <v/>
      </c>
      <c r="I288" s="27">
        <f>IF(C288="","",SUMIFS(tbl_Finance[Ex GST],tbl_Finance[Job Number],C288&amp;"",tbl_Finance[Xero Invoice No],"&lt;&gt;"))</f>
        <v/>
      </c>
      <c r="J288" s="27">
        <f>IF(C288="","",H288-I288)</f>
        <v/>
      </c>
      <c r="K288" s="25">
        <f>IF(C288="","",IF(G288=0,"not invoiced yet",SUBSTITUTE(TRIM(IF(COUNTIFS(tbl_Finance[Job Number],C288&amp;"",tbl_Finance[Cost Centre],"ONSITE")&gt;0,"ONSITE ","")&amp;IF(COUNTIFS(tbl_Finance[Job Number],C288&amp;"",tbl_Finance[Cost Centre],"PRODUCTION")&gt;0,"PRODUCTION ","")&amp;IF(COUNTIFS(tbl_Finance[Job Number],C288&amp;"",tbl_Finance[Cost Centre],"VIDEO")&gt;0,"VIDEO ","")&amp;IF(COUNTIFS(tbl_Finance[Job Number],C288&amp;"",tbl_Finance[Cost Centre],"INTEGRATION")&gt;0,"INTEGRATION ","")&amp;IF(COUNTIFS(tbl_Finance[Job Number],C288&amp;"",tbl_Finance[Cost Centre],"CONSULTING")&gt;0,"CONSULTING ","")&amp;IF(COUNTIFS(tbl_Finance[Job Number],C288&amp;"",tbl_Finance[Cost Centre],"CTS")&gt;0,"CTS ",""))," ",", ")))</f>
        <v/>
      </c>
      <c r="L288" s="24" t="n"/>
      <c r="M288" s="25">
        <f>IF(L288="","",HYPERLINK(IF(LEFT(L288,4)="http",L288,set_QwilrBase&amp;L288),"Open quote"))</f>
        <v/>
      </c>
      <c r="N288" s="26" t="n"/>
      <c r="O288" s="26" t="n"/>
      <c r="P288" s="26" t="n"/>
      <c r="Q288" s="25">
        <f>IF(C288="","",IF(N(N288)+N(O288)+N(P288)=0,"Not split",IF(ROUND(N(N288)+N(O288)+N(P288),2)=ROUND(H288,2),"OK","MISMATCH")))</f>
        <v/>
      </c>
      <c r="R288" s="26" t="n"/>
      <c r="S288" s="26" t="n"/>
      <c r="T288" s="26" t="n"/>
      <c r="U288" s="27">
        <f>IF(C288="","",N(R288)+N(S288)+N(T288))</f>
        <v/>
      </c>
      <c r="V288" s="27">
        <f>IF(C288="","",H288-U288)</f>
        <v/>
      </c>
      <c r="W288" s="29">
        <f>IFERROR(V288/H288,"")</f>
        <v/>
      </c>
      <c r="X288" s="24" t="n"/>
    </row>
    <row r="289" ht="15" customHeight="1">
      <c r="A289" s="63">
        <f>IF(C289="","",IFERROR(IF(SUMPRODUCT(MAX((tbl_Finance[Job Number]=C289&amp;"")*(tbl_Finance[Xero Invoice No]&lt;&gt;"")*tbl_Finance[Date]))=0,"",SUMPRODUCT(MAX((tbl_Finance[Job Number]=C289&amp;"")*(tbl_Finance[Xero Invoice No]&lt;&gt;"")*tbl_Finance[Date]))),""))</f>
        <v/>
      </c>
      <c r="B289" s="25">
        <f>IF(C289="","",IF(COUNTIFS(tbl_Finance[Job Number],C289&amp;"",tbl_Finance[Xero Invoice No],"&lt;&gt;")=0,"",IFERROR(IF(COUNTIFS(tbl_Finance[Job Number],C289&amp;"",tbl_Finance[Xero Invoice No],LOOKUP(2,1/((tbl_Finance[Job Number]=C289&amp;"")*(tbl_Finance[Xero Invoice No]&lt;&gt;"")),tbl_Finance[Xero Invoice No]))=COUNTIFS(tbl_Finance[Job Number],C289&amp;"",tbl_Finance[Xero Invoice No],"&lt;&gt;"),LOOKUP(2,1/((tbl_Finance[Job Number]=C289&amp;"")*(tbl_Finance[Xero Invoice No]&lt;&gt;"")),tbl_Finance[Xero Invoice No]),LOOKUP(2,1/((tbl_Finance[Job Number]=C289&amp;"")*(tbl_Finance[Xero Invoice No]&lt;&gt;"")),tbl_Finance[Xero Invoice No])&amp;" +more"),"")))</f>
        <v/>
      </c>
      <c r="C289" s="24" t="n"/>
      <c r="D289" s="25">
        <f>IF(C289="","",IF(COUNTIF(lst_Jobs,C289&amp;"")&gt;0,"OK","CHECK"))</f>
        <v/>
      </c>
      <c r="E289" s="25">
        <f>IF(C289="","",IFERROR(INDEX(lst_JobName,MATCH(C289&amp;"",lst_Jobs,0)),""))</f>
        <v/>
      </c>
      <c r="F289" s="25">
        <f>IF(C289="","",IFERROR(INDEX(tbl_Finance[Client],MATCH(C289&amp;"",tbl_Finance[Job Number],0)),""))</f>
        <v/>
      </c>
      <c r="G289" s="28">
        <f>IF(C289="","",COUNTIFS(tbl_Finance[Job Number],C289&amp;"",tbl_Finance[Ex GST],"&lt;&gt;"))</f>
        <v/>
      </c>
      <c r="H289" s="27">
        <f>IF(C289="","",SUMIFS(tbl_Finance[Ex GST],tbl_Finance[Job Number],C289&amp;""))</f>
        <v/>
      </c>
      <c r="I289" s="27">
        <f>IF(C289="","",SUMIFS(tbl_Finance[Ex GST],tbl_Finance[Job Number],C289&amp;"",tbl_Finance[Xero Invoice No],"&lt;&gt;"))</f>
        <v/>
      </c>
      <c r="J289" s="27">
        <f>IF(C289="","",H289-I289)</f>
        <v/>
      </c>
      <c r="K289" s="25">
        <f>IF(C289="","",IF(G289=0,"not invoiced yet",SUBSTITUTE(TRIM(IF(COUNTIFS(tbl_Finance[Job Number],C289&amp;"",tbl_Finance[Cost Centre],"ONSITE")&gt;0,"ONSITE ","")&amp;IF(COUNTIFS(tbl_Finance[Job Number],C289&amp;"",tbl_Finance[Cost Centre],"PRODUCTION")&gt;0,"PRODUCTION ","")&amp;IF(COUNTIFS(tbl_Finance[Job Number],C289&amp;"",tbl_Finance[Cost Centre],"VIDEO")&gt;0,"VIDEO ","")&amp;IF(COUNTIFS(tbl_Finance[Job Number],C289&amp;"",tbl_Finance[Cost Centre],"INTEGRATION")&gt;0,"INTEGRATION ","")&amp;IF(COUNTIFS(tbl_Finance[Job Number],C289&amp;"",tbl_Finance[Cost Centre],"CONSULTING")&gt;0,"CONSULTING ","")&amp;IF(COUNTIFS(tbl_Finance[Job Number],C289&amp;"",tbl_Finance[Cost Centre],"CTS")&gt;0,"CTS ",""))," ",", ")))</f>
        <v/>
      </c>
      <c r="L289" s="24" t="n"/>
      <c r="M289" s="25">
        <f>IF(L289="","",HYPERLINK(IF(LEFT(L289,4)="http",L289,set_QwilrBase&amp;L289),"Open quote"))</f>
        <v/>
      </c>
      <c r="N289" s="26" t="n"/>
      <c r="O289" s="26" t="n"/>
      <c r="P289" s="26" t="n"/>
      <c r="Q289" s="25">
        <f>IF(C289="","",IF(N(N289)+N(O289)+N(P289)=0,"Not split",IF(ROUND(N(N289)+N(O289)+N(P289),2)=ROUND(H289,2),"OK","MISMATCH")))</f>
        <v/>
      </c>
      <c r="R289" s="26" t="n"/>
      <c r="S289" s="26" t="n"/>
      <c r="T289" s="26" t="n"/>
      <c r="U289" s="27">
        <f>IF(C289="","",N(R289)+N(S289)+N(T289))</f>
        <v/>
      </c>
      <c r="V289" s="27">
        <f>IF(C289="","",H289-U289)</f>
        <v/>
      </c>
      <c r="W289" s="29">
        <f>IFERROR(V289/H289,"")</f>
        <v/>
      </c>
      <c r="X289" s="24" t="n"/>
    </row>
    <row r="290" ht="15" customHeight="1">
      <c r="A290" s="63">
        <f>IF(C290="","",IFERROR(IF(SUMPRODUCT(MAX((tbl_Finance[Job Number]=C290&amp;"")*(tbl_Finance[Xero Invoice No]&lt;&gt;"")*tbl_Finance[Date]))=0,"",SUMPRODUCT(MAX((tbl_Finance[Job Number]=C290&amp;"")*(tbl_Finance[Xero Invoice No]&lt;&gt;"")*tbl_Finance[Date]))),""))</f>
        <v/>
      </c>
      <c r="B290" s="25">
        <f>IF(C290="","",IF(COUNTIFS(tbl_Finance[Job Number],C290&amp;"",tbl_Finance[Xero Invoice No],"&lt;&gt;")=0,"",IFERROR(IF(COUNTIFS(tbl_Finance[Job Number],C290&amp;"",tbl_Finance[Xero Invoice No],LOOKUP(2,1/((tbl_Finance[Job Number]=C290&amp;"")*(tbl_Finance[Xero Invoice No]&lt;&gt;"")),tbl_Finance[Xero Invoice No]))=COUNTIFS(tbl_Finance[Job Number],C290&amp;"",tbl_Finance[Xero Invoice No],"&lt;&gt;"),LOOKUP(2,1/((tbl_Finance[Job Number]=C290&amp;"")*(tbl_Finance[Xero Invoice No]&lt;&gt;"")),tbl_Finance[Xero Invoice No]),LOOKUP(2,1/((tbl_Finance[Job Number]=C290&amp;"")*(tbl_Finance[Xero Invoice No]&lt;&gt;"")),tbl_Finance[Xero Invoice No])&amp;" +more"),"")))</f>
        <v/>
      </c>
      <c r="C290" s="24" t="n"/>
      <c r="D290" s="25">
        <f>IF(C290="","",IF(COUNTIF(lst_Jobs,C290&amp;"")&gt;0,"OK","CHECK"))</f>
        <v/>
      </c>
      <c r="E290" s="25">
        <f>IF(C290="","",IFERROR(INDEX(lst_JobName,MATCH(C290&amp;"",lst_Jobs,0)),""))</f>
        <v/>
      </c>
      <c r="F290" s="25">
        <f>IF(C290="","",IFERROR(INDEX(tbl_Finance[Client],MATCH(C290&amp;"",tbl_Finance[Job Number],0)),""))</f>
        <v/>
      </c>
      <c r="G290" s="28">
        <f>IF(C290="","",COUNTIFS(tbl_Finance[Job Number],C290&amp;"",tbl_Finance[Ex GST],"&lt;&gt;"))</f>
        <v/>
      </c>
      <c r="H290" s="27">
        <f>IF(C290="","",SUMIFS(tbl_Finance[Ex GST],tbl_Finance[Job Number],C290&amp;""))</f>
        <v/>
      </c>
      <c r="I290" s="27">
        <f>IF(C290="","",SUMIFS(tbl_Finance[Ex GST],tbl_Finance[Job Number],C290&amp;"",tbl_Finance[Xero Invoice No],"&lt;&gt;"))</f>
        <v/>
      </c>
      <c r="J290" s="27">
        <f>IF(C290="","",H290-I290)</f>
        <v/>
      </c>
      <c r="K290" s="25">
        <f>IF(C290="","",IF(G290=0,"not invoiced yet",SUBSTITUTE(TRIM(IF(COUNTIFS(tbl_Finance[Job Number],C290&amp;"",tbl_Finance[Cost Centre],"ONSITE")&gt;0,"ONSITE ","")&amp;IF(COUNTIFS(tbl_Finance[Job Number],C290&amp;"",tbl_Finance[Cost Centre],"PRODUCTION")&gt;0,"PRODUCTION ","")&amp;IF(COUNTIFS(tbl_Finance[Job Number],C290&amp;"",tbl_Finance[Cost Centre],"VIDEO")&gt;0,"VIDEO ","")&amp;IF(COUNTIFS(tbl_Finance[Job Number],C290&amp;"",tbl_Finance[Cost Centre],"INTEGRATION")&gt;0,"INTEGRATION ","")&amp;IF(COUNTIFS(tbl_Finance[Job Number],C290&amp;"",tbl_Finance[Cost Centre],"CONSULTING")&gt;0,"CONSULTING ","")&amp;IF(COUNTIFS(tbl_Finance[Job Number],C290&amp;"",tbl_Finance[Cost Centre],"CTS")&gt;0,"CTS ",""))," ",", ")))</f>
        <v/>
      </c>
      <c r="L290" s="24" t="n"/>
      <c r="M290" s="25">
        <f>IF(L290="","",HYPERLINK(IF(LEFT(L290,4)="http",L290,set_QwilrBase&amp;L290),"Open quote"))</f>
        <v/>
      </c>
      <c r="N290" s="26" t="n"/>
      <c r="O290" s="26" t="n"/>
      <c r="P290" s="26" t="n"/>
      <c r="Q290" s="25">
        <f>IF(C290="","",IF(N(N290)+N(O290)+N(P290)=0,"Not split",IF(ROUND(N(N290)+N(O290)+N(P290),2)=ROUND(H290,2),"OK","MISMATCH")))</f>
        <v/>
      </c>
      <c r="R290" s="26" t="n"/>
      <c r="S290" s="26" t="n"/>
      <c r="T290" s="26" t="n"/>
      <c r="U290" s="27">
        <f>IF(C290="","",N(R290)+N(S290)+N(T290))</f>
        <v/>
      </c>
      <c r="V290" s="27">
        <f>IF(C290="","",H290-U290)</f>
        <v/>
      </c>
      <c r="W290" s="29">
        <f>IFERROR(V290/H290,"")</f>
        <v/>
      </c>
      <c r="X290" s="24" t="n"/>
    </row>
    <row r="291" ht="15" customHeight="1">
      <c r="A291" s="63">
        <f>IF(C291="","",IFERROR(IF(SUMPRODUCT(MAX((tbl_Finance[Job Number]=C291&amp;"")*(tbl_Finance[Xero Invoice No]&lt;&gt;"")*tbl_Finance[Date]))=0,"",SUMPRODUCT(MAX((tbl_Finance[Job Number]=C291&amp;"")*(tbl_Finance[Xero Invoice No]&lt;&gt;"")*tbl_Finance[Date]))),""))</f>
        <v/>
      </c>
      <c r="B291" s="25">
        <f>IF(C291="","",IF(COUNTIFS(tbl_Finance[Job Number],C291&amp;"",tbl_Finance[Xero Invoice No],"&lt;&gt;")=0,"",IFERROR(IF(COUNTIFS(tbl_Finance[Job Number],C291&amp;"",tbl_Finance[Xero Invoice No],LOOKUP(2,1/((tbl_Finance[Job Number]=C291&amp;"")*(tbl_Finance[Xero Invoice No]&lt;&gt;"")),tbl_Finance[Xero Invoice No]))=COUNTIFS(tbl_Finance[Job Number],C291&amp;"",tbl_Finance[Xero Invoice No],"&lt;&gt;"),LOOKUP(2,1/((tbl_Finance[Job Number]=C291&amp;"")*(tbl_Finance[Xero Invoice No]&lt;&gt;"")),tbl_Finance[Xero Invoice No]),LOOKUP(2,1/((tbl_Finance[Job Number]=C291&amp;"")*(tbl_Finance[Xero Invoice No]&lt;&gt;"")),tbl_Finance[Xero Invoice No])&amp;" +more"),"")))</f>
        <v/>
      </c>
      <c r="C291" s="24" t="n"/>
      <c r="D291" s="25">
        <f>IF(C291="","",IF(COUNTIF(lst_Jobs,C291&amp;"")&gt;0,"OK","CHECK"))</f>
        <v/>
      </c>
      <c r="E291" s="25">
        <f>IF(C291="","",IFERROR(INDEX(lst_JobName,MATCH(C291&amp;"",lst_Jobs,0)),""))</f>
        <v/>
      </c>
      <c r="F291" s="25">
        <f>IF(C291="","",IFERROR(INDEX(tbl_Finance[Client],MATCH(C291&amp;"",tbl_Finance[Job Number],0)),""))</f>
        <v/>
      </c>
      <c r="G291" s="28">
        <f>IF(C291="","",COUNTIFS(tbl_Finance[Job Number],C291&amp;"",tbl_Finance[Ex GST],"&lt;&gt;"))</f>
        <v/>
      </c>
      <c r="H291" s="27">
        <f>IF(C291="","",SUMIFS(tbl_Finance[Ex GST],tbl_Finance[Job Number],C291&amp;""))</f>
        <v/>
      </c>
      <c r="I291" s="27">
        <f>IF(C291="","",SUMIFS(tbl_Finance[Ex GST],tbl_Finance[Job Number],C291&amp;"",tbl_Finance[Xero Invoice No],"&lt;&gt;"))</f>
        <v/>
      </c>
      <c r="J291" s="27">
        <f>IF(C291="","",H291-I291)</f>
        <v/>
      </c>
      <c r="K291" s="25">
        <f>IF(C291="","",IF(G291=0,"not invoiced yet",SUBSTITUTE(TRIM(IF(COUNTIFS(tbl_Finance[Job Number],C291&amp;"",tbl_Finance[Cost Centre],"ONSITE")&gt;0,"ONSITE ","")&amp;IF(COUNTIFS(tbl_Finance[Job Number],C291&amp;"",tbl_Finance[Cost Centre],"PRODUCTION")&gt;0,"PRODUCTION ","")&amp;IF(COUNTIFS(tbl_Finance[Job Number],C291&amp;"",tbl_Finance[Cost Centre],"VIDEO")&gt;0,"VIDEO ","")&amp;IF(COUNTIFS(tbl_Finance[Job Number],C291&amp;"",tbl_Finance[Cost Centre],"INTEGRATION")&gt;0,"INTEGRATION ","")&amp;IF(COUNTIFS(tbl_Finance[Job Number],C291&amp;"",tbl_Finance[Cost Centre],"CONSULTING")&gt;0,"CONSULTING ","")&amp;IF(COUNTIFS(tbl_Finance[Job Number],C291&amp;"",tbl_Finance[Cost Centre],"CTS")&gt;0,"CTS ",""))," ",", ")))</f>
        <v/>
      </c>
      <c r="L291" s="24" t="n"/>
      <c r="M291" s="25">
        <f>IF(L291="","",HYPERLINK(IF(LEFT(L291,4)="http",L291,set_QwilrBase&amp;L291),"Open quote"))</f>
        <v/>
      </c>
      <c r="N291" s="26" t="n"/>
      <c r="O291" s="26" t="n"/>
      <c r="P291" s="26" t="n"/>
      <c r="Q291" s="25">
        <f>IF(C291="","",IF(N(N291)+N(O291)+N(P291)=0,"Not split",IF(ROUND(N(N291)+N(O291)+N(P291),2)=ROUND(H291,2),"OK","MISMATCH")))</f>
        <v/>
      </c>
      <c r="R291" s="26" t="n"/>
      <c r="S291" s="26" t="n"/>
      <c r="T291" s="26" t="n"/>
      <c r="U291" s="27">
        <f>IF(C291="","",N(R291)+N(S291)+N(T291))</f>
        <v/>
      </c>
      <c r="V291" s="27">
        <f>IF(C291="","",H291-U291)</f>
        <v/>
      </c>
      <c r="W291" s="29">
        <f>IFERROR(V291/H291,"")</f>
        <v/>
      </c>
      <c r="X291" s="24" t="n"/>
    </row>
    <row r="292" ht="15" customHeight="1">
      <c r="A292" s="63">
        <f>IF(C292="","",IFERROR(IF(SUMPRODUCT(MAX((tbl_Finance[Job Number]=C292&amp;"")*(tbl_Finance[Xero Invoice No]&lt;&gt;"")*tbl_Finance[Date]))=0,"",SUMPRODUCT(MAX((tbl_Finance[Job Number]=C292&amp;"")*(tbl_Finance[Xero Invoice No]&lt;&gt;"")*tbl_Finance[Date]))),""))</f>
        <v/>
      </c>
      <c r="B292" s="25">
        <f>IF(C292="","",IF(COUNTIFS(tbl_Finance[Job Number],C292&amp;"",tbl_Finance[Xero Invoice No],"&lt;&gt;")=0,"",IFERROR(IF(COUNTIFS(tbl_Finance[Job Number],C292&amp;"",tbl_Finance[Xero Invoice No],LOOKUP(2,1/((tbl_Finance[Job Number]=C292&amp;"")*(tbl_Finance[Xero Invoice No]&lt;&gt;"")),tbl_Finance[Xero Invoice No]))=COUNTIFS(tbl_Finance[Job Number],C292&amp;"",tbl_Finance[Xero Invoice No],"&lt;&gt;"),LOOKUP(2,1/((tbl_Finance[Job Number]=C292&amp;"")*(tbl_Finance[Xero Invoice No]&lt;&gt;"")),tbl_Finance[Xero Invoice No]),LOOKUP(2,1/((tbl_Finance[Job Number]=C292&amp;"")*(tbl_Finance[Xero Invoice No]&lt;&gt;"")),tbl_Finance[Xero Invoice No])&amp;" +more"),"")))</f>
        <v/>
      </c>
      <c r="C292" s="24" t="n"/>
      <c r="D292" s="25">
        <f>IF(C292="","",IF(COUNTIF(lst_Jobs,C292&amp;"")&gt;0,"OK","CHECK"))</f>
        <v/>
      </c>
      <c r="E292" s="25">
        <f>IF(C292="","",IFERROR(INDEX(lst_JobName,MATCH(C292&amp;"",lst_Jobs,0)),""))</f>
        <v/>
      </c>
      <c r="F292" s="25">
        <f>IF(C292="","",IFERROR(INDEX(tbl_Finance[Client],MATCH(C292&amp;"",tbl_Finance[Job Number],0)),""))</f>
        <v/>
      </c>
      <c r="G292" s="28">
        <f>IF(C292="","",COUNTIFS(tbl_Finance[Job Number],C292&amp;"",tbl_Finance[Ex GST],"&lt;&gt;"))</f>
        <v/>
      </c>
      <c r="H292" s="27">
        <f>IF(C292="","",SUMIFS(tbl_Finance[Ex GST],tbl_Finance[Job Number],C292&amp;""))</f>
        <v/>
      </c>
      <c r="I292" s="27">
        <f>IF(C292="","",SUMIFS(tbl_Finance[Ex GST],tbl_Finance[Job Number],C292&amp;"",tbl_Finance[Xero Invoice No],"&lt;&gt;"))</f>
        <v/>
      </c>
      <c r="J292" s="27">
        <f>IF(C292="","",H292-I292)</f>
        <v/>
      </c>
      <c r="K292" s="25">
        <f>IF(C292="","",IF(G292=0,"not invoiced yet",SUBSTITUTE(TRIM(IF(COUNTIFS(tbl_Finance[Job Number],C292&amp;"",tbl_Finance[Cost Centre],"ONSITE")&gt;0,"ONSITE ","")&amp;IF(COUNTIFS(tbl_Finance[Job Number],C292&amp;"",tbl_Finance[Cost Centre],"PRODUCTION")&gt;0,"PRODUCTION ","")&amp;IF(COUNTIFS(tbl_Finance[Job Number],C292&amp;"",tbl_Finance[Cost Centre],"VIDEO")&gt;0,"VIDEO ","")&amp;IF(COUNTIFS(tbl_Finance[Job Number],C292&amp;"",tbl_Finance[Cost Centre],"INTEGRATION")&gt;0,"INTEGRATION ","")&amp;IF(COUNTIFS(tbl_Finance[Job Number],C292&amp;"",tbl_Finance[Cost Centre],"CONSULTING")&gt;0,"CONSULTING ","")&amp;IF(COUNTIFS(tbl_Finance[Job Number],C292&amp;"",tbl_Finance[Cost Centre],"CTS")&gt;0,"CTS ",""))," ",", ")))</f>
        <v/>
      </c>
      <c r="L292" s="24" t="n"/>
      <c r="M292" s="25">
        <f>IF(L292="","",HYPERLINK(IF(LEFT(L292,4)="http",L292,set_QwilrBase&amp;L292),"Open quote"))</f>
        <v/>
      </c>
      <c r="N292" s="26" t="n"/>
      <c r="O292" s="26" t="n"/>
      <c r="P292" s="26" t="n"/>
      <c r="Q292" s="25">
        <f>IF(C292="","",IF(N(N292)+N(O292)+N(P292)=0,"Not split",IF(ROUND(N(N292)+N(O292)+N(P292),2)=ROUND(H292,2),"OK","MISMATCH")))</f>
        <v/>
      </c>
      <c r="R292" s="26" t="n"/>
      <c r="S292" s="26" t="n"/>
      <c r="T292" s="26" t="n"/>
      <c r="U292" s="27">
        <f>IF(C292="","",N(R292)+N(S292)+N(T292))</f>
        <v/>
      </c>
      <c r="V292" s="27">
        <f>IF(C292="","",H292-U292)</f>
        <v/>
      </c>
      <c r="W292" s="29">
        <f>IFERROR(V292/H292,"")</f>
        <v/>
      </c>
      <c r="X292" s="24" t="n"/>
    </row>
    <row r="293" ht="15" customHeight="1">
      <c r="A293" s="63">
        <f>IF(C293="","",IFERROR(IF(SUMPRODUCT(MAX((tbl_Finance[Job Number]=C293&amp;"")*(tbl_Finance[Xero Invoice No]&lt;&gt;"")*tbl_Finance[Date]))=0,"",SUMPRODUCT(MAX((tbl_Finance[Job Number]=C293&amp;"")*(tbl_Finance[Xero Invoice No]&lt;&gt;"")*tbl_Finance[Date]))),""))</f>
        <v/>
      </c>
      <c r="B293" s="25">
        <f>IF(C293="","",IF(COUNTIFS(tbl_Finance[Job Number],C293&amp;"",tbl_Finance[Xero Invoice No],"&lt;&gt;")=0,"",IFERROR(IF(COUNTIFS(tbl_Finance[Job Number],C293&amp;"",tbl_Finance[Xero Invoice No],LOOKUP(2,1/((tbl_Finance[Job Number]=C293&amp;"")*(tbl_Finance[Xero Invoice No]&lt;&gt;"")),tbl_Finance[Xero Invoice No]))=COUNTIFS(tbl_Finance[Job Number],C293&amp;"",tbl_Finance[Xero Invoice No],"&lt;&gt;"),LOOKUP(2,1/((tbl_Finance[Job Number]=C293&amp;"")*(tbl_Finance[Xero Invoice No]&lt;&gt;"")),tbl_Finance[Xero Invoice No]),LOOKUP(2,1/((tbl_Finance[Job Number]=C293&amp;"")*(tbl_Finance[Xero Invoice No]&lt;&gt;"")),tbl_Finance[Xero Invoice No])&amp;" +more"),"")))</f>
        <v/>
      </c>
      <c r="C293" s="24" t="n"/>
      <c r="D293" s="25">
        <f>IF(C293="","",IF(COUNTIF(lst_Jobs,C293&amp;"")&gt;0,"OK","CHECK"))</f>
        <v/>
      </c>
      <c r="E293" s="25">
        <f>IF(C293="","",IFERROR(INDEX(lst_JobName,MATCH(C293&amp;"",lst_Jobs,0)),""))</f>
        <v/>
      </c>
      <c r="F293" s="25">
        <f>IF(C293="","",IFERROR(INDEX(tbl_Finance[Client],MATCH(C293&amp;"",tbl_Finance[Job Number],0)),""))</f>
        <v/>
      </c>
      <c r="G293" s="28">
        <f>IF(C293="","",COUNTIFS(tbl_Finance[Job Number],C293&amp;"",tbl_Finance[Ex GST],"&lt;&gt;"))</f>
        <v/>
      </c>
      <c r="H293" s="27">
        <f>IF(C293="","",SUMIFS(tbl_Finance[Ex GST],tbl_Finance[Job Number],C293&amp;""))</f>
        <v/>
      </c>
      <c r="I293" s="27">
        <f>IF(C293="","",SUMIFS(tbl_Finance[Ex GST],tbl_Finance[Job Number],C293&amp;"",tbl_Finance[Xero Invoice No],"&lt;&gt;"))</f>
        <v/>
      </c>
      <c r="J293" s="27">
        <f>IF(C293="","",H293-I293)</f>
        <v/>
      </c>
      <c r="K293" s="25">
        <f>IF(C293="","",IF(G293=0,"not invoiced yet",SUBSTITUTE(TRIM(IF(COUNTIFS(tbl_Finance[Job Number],C293&amp;"",tbl_Finance[Cost Centre],"ONSITE")&gt;0,"ONSITE ","")&amp;IF(COUNTIFS(tbl_Finance[Job Number],C293&amp;"",tbl_Finance[Cost Centre],"PRODUCTION")&gt;0,"PRODUCTION ","")&amp;IF(COUNTIFS(tbl_Finance[Job Number],C293&amp;"",tbl_Finance[Cost Centre],"VIDEO")&gt;0,"VIDEO ","")&amp;IF(COUNTIFS(tbl_Finance[Job Number],C293&amp;"",tbl_Finance[Cost Centre],"INTEGRATION")&gt;0,"INTEGRATION ","")&amp;IF(COUNTIFS(tbl_Finance[Job Number],C293&amp;"",tbl_Finance[Cost Centre],"CONSULTING")&gt;0,"CONSULTING ","")&amp;IF(COUNTIFS(tbl_Finance[Job Number],C293&amp;"",tbl_Finance[Cost Centre],"CTS")&gt;0,"CTS ",""))," ",", ")))</f>
        <v/>
      </c>
      <c r="L293" s="24" t="n"/>
      <c r="M293" s="25">
        <f>IF(L293="","",HYPERLINK(IF(LEFT(L293,4)="http",L293,set_QwilrBase&amp;L293),"Open quote"))</f>
        <v/>
      </c>
      <c r="N293" s="26" t="n"/>
      <c r="O293" s="26" t="n"/>
      <c r="P293" s="26" t="n"/>
      <c r="Q293" s="25">
        <f>IF(C293="","",IF(N(N293)+N(O293)+N(P293)=0,"Not split",IF(ROUND(N(N293)+N(O293)+N(P293),2)=ROUND(H293,2),"OK","MISMATCH")))</f>
        <v/>
      </c>
      <c r="R293" s="26" t="n"/>
      <c r="S293" s="26" t="n"/>
      <c r="T293" s="26" t="n"/>
      <c r="U293" s="27">
        <f>IF(C293="","",N(R293)+N(S293)+N(T293))</f>
        <v/>
      </c>
      <c r="V293" s="27">
        <f>IF(C293="","",H293-U293)</f>
        <v/>
      </c>
      <c r="W293" s="29">
        <f>IFERROR(V293/H293,"")</f>
        <v/>
      </c>
      <c r="X293" s="24" t="n"/>
    </row>
    <row r="294" ht="15" customHeight="1">
      <c r="A294" s="63">
        <f>IF(C294="","",IFERROR(IF(SUMPRODUCT(MAX((tbl_Finance[Job Number]=C294&amp;"")*(tbl_Finance[Xero Invoice No]&lt;&gt;"")*tbl_Finance[Date]))=0,"",SUMPRODUCT(MAX((tbl_Finance[Job Number]=C294&amp;"")*(tbl_Finance[Xero Invoice No]&lt;&gt;"")*tbl_Finance[Date]))),""))</f>
        <v/>
      </c>
      <c r="B294" s="25">
        <f>IF(C294="","",IF(COUNTIFS(tbl_Finance[Job Number],C294&amp;"",tbl_Finance[Xero Invoice No],"&lt;&gt;")=0,"",IFERROR(IF(COUNTIFS(tbl_Finance[Job Number],C294&amp;"",tbl_Finance[Xero Invoice No],LOOKUP(2,1/((tbl_Finance[Job Number]=C294&amp;"")*(tbl_Finance[Xero Invoice No]&lt;&gt;"")),tbl_Finance[Xero Invoice No]))=COUNTIFS(tbl_Finance[Job Number],C294&amp;"",tbl_Finance[Xero Invoice No],"&lt;&gt;"),LOOKUP(2,1/((tbl_Finance[Job Number]=C294&amp;"")*(tbl_Finance[Xero Invoice No]&lt;&gt;"")),tbl_Finance[Xero Invoice No]),LOOKUP(2,1/((tbl_Finance[Job Number]=C294&amp;"")*(tbl_Finance[Xero Invoice No]&lt;&gt;"")),tbl_Finance[Xero Invoice No])&amp;" +more"),"")))</f>
        <v/>
      </c>
      <c r="C294" s="24" t="n"/>
      <c r="D294" s="25">
        <f>IF(C294="","",IF(COUNTIF(lst_Jobs,C294&amp;"")&gt;0,"OK","CHECK"))</f>
        <v/>
      </c>
      <c r="E294" s="25">
        <f>IF(C294="","",IFERROR(INDEX(lst_JobName,MATCH(C294&amp;"",lst_Jobs,0)),""))</f>
        <v/>
      </c>
      <c r="F294" s="25">
        <f>IF(C294="","",IFERROR(INDEX(tbl_Finance[Client],MATCH(C294&amp;"",tbl_Finance[Job Number],0)),""))</f>
        <v/>
      </c>
      <c r="G294" s="28">
        <f>IF(C294="","",COUNTIFS(tbl_Finance[Job Number],C294&amp;"",tbl_Finance[Ex GST],"&lt;&gt;"))</f>
        <v/>
      </c>
      <c r="H294" s="27">
        <f>IF(C294="","",SUMIFS(tbl_Finance[Ex GST],tbl_Finance[Job Number],C294&amp;""))</f>
        <v/>
      </c>
      <c r="I294" s="27">
        <f>IF(C294="","",SUMIFS(tbl_Finance[Ex GST],tbl_Finance[Job Number],C294&amp;"",tbl_Finance[Xero Invoice No],"&lt;&gt;"))</f>
        <v/>
      </c>
      <c r="J294" s="27">
        <f>IF(C294="","",H294-I294)</f>
        <v/>
      </c>
      <c r="K294" s="25">
        <f>IF(C294="","",IF(G294=0,"not invoiced yet",SUBSTITUTE(TRIM(IF(COUNTIFS(tbl_Finance[Job Number],C294&amp;"",tbl_Finance[Cost Centre],"ONSITE")&gt;0,"ONSITE ","")&amp;IF(COUNTIFS(tbl_Finance[Job Number],C294&amp;"",tbl_Finance[Cost Centre],"PRODUCTION")&gt;0,"PRODUCTION ","")&amp;IF(COUNTIFS(tbl_Finance[Job Number],C294&amp;"",tbl_Finance[Cost Centre],"VIDEO")&gt;0,"VIDEO ","")&amp;IF(COUNTIFS(tbl_Finance[Job Number],C294&amp;"",tbl_Finance[Cost Centre],"INTEGRATION")&gt;0,"INTEGRATION ","")&amp;IF(COUNTIFS(tbl_Finance[Job Number],C294&amp;"",tbl_Finance[Cost Centre],"CONSULTING")&gt;0,"CONSULTING ","")&amp;IF(COUNTIFS(tbl_Finance[Job Number],C294&amp;"",tbl_Finance[Cost Centre],"CTS")&gt;0,"CTS ",""))," ",", ")))</f>
        <v/>
      </c>
      <c r="L294" s="24" t="n"/>
      <c r="M294" s="25">
        <f>IF(L294="","",HYPERLINK(IF(LEFT(L294,4)="http",L294,set_QwilrBase&amp;L294),"Open quote"))</f>
        <v/>
      </c>
      <c r="N294" s="26" t="n"/>
      <c r="O294" s="26" t="n"/>
      <c r="P294" s="26" t="n"/>
      <c r="Q294" s="25">
        <f>IF(C294="","",IF(N(N294)+N(O294)+N(P294)=0,"Not split",IF(ROUND(N(N294)+N(O294)+N(P294),2)=ROUND(H294,2),"OK","MISMATCH")))</f>
        <v/>
      </c>
      <c r="R294" s="26" t="n"/>
      <c r="S294" s="26" t="n"/>
      <c r="T294" s="26" t="n"/>
      <c r="U294" s="27">
        <f>IF(C294="","",N(R294)+N(S294)+N(T294))</f>
        <v/>
      </c>
      <c r="V294" s="27">
        <f>IF(C294="","",H294-U294)</f>
        <v/>
      </c>
      <c r="W294" s="29">
        <f>IFERROR(V294/H294,"")</f>
        <v/>
      </c>
      <c r="X294" s="24" t="n"/>
    </row>
    <row r="295" ht="15" customHeight="1">
      <c r="A295" s="63">
        <f>IF(C295="","",IFERROR(IF(SUMPRODUCT(MAX((tbl_Finance[Job Number]=C295&amp;"")*(tbl_Finance[Xero Invoice No]&lt;&gt;"")*tbl_Finance[Date]))=0,"",SUMPRODUCT(MAX((tbl_Finance[Job Number]=C295&amp;"")*(tbl_Finance[Xero Invoice No]&lt;&gt;"")*tbl_Finance[Date]))),""))</f>
        <v/>
      </c>
      <c r="B295" s="25">
        <f>IF(C295="","",IF(COUNTIFS(tbl_Finance[Job Number],C295&amp;"",tbl_Finance[Xero Invoice No],"&lt;&gt;")=0,"",IFERROR(IF(COUNTIFS(tbl_Finance[Job Number],C295&amp;"",tbl_Finance[Xero Invoice No],LOOKUP(2,1/((tbl_Finance[Job Number]=C295&amp;"")*(tbl_Finance[Xero Invoice No]&lt;&gt;"")),tbl_Finance[Xero Invoice No]))=COUNTIFS(tbl_Finance[Job Number],C295&amp;"",tbl_Finance[Xero Invoice No],"&lt;&gt;"),LOOKUP(2,1/((tbl_Finance[Job Number]=C295&amp;"")*(tbl_Finance[Xero Invoice No]&lt;&gt;"")),tbl_Finance[Xero Invoice No]),LOOKUP(2,1/((tbl_Finance[Job Number]=C295&amp;"")*(tbl_Finance[Xero Invoice No]&lt;&gt;"")),tbl_Finance[Xero Invoice No])&amp;" +more"),"")))</f>
        <v/>
      </c>
      <c r="C295" s="24" t="n"/>
      <c r="D295" s="25">
        <f>IF(C295="","",IF(COUNTIF(lst_Jobs,C295&amp;"")&gt;0,"OK","CHECK"))</f>
        <v/>
      </c>
      <c r="E295" s="25">
        <f>IF(C295="","",IFERROR(INDEX(lst_JobName,MATCH(C295&amp;"",lst_Jobs,0)),""))</f>
        <v/>
      </c>
      <c r="F295" s="25">
        <f>IF(C295="","",IFERROR(INDEX(tbl_Finance[Client],MATCH(C295&amp;"",tbl_Finance[Job Number],0)),""))</f>
        <v/>
      </c>
      <c r="G295" s="28">
        <f>IF(C295="","",COUNTIFS(tbl_Finance[Job Number],C295&amp;"",tbl_Finance[Ex GST],"&lt;&gt;"))</f>
        <v/>
      </c>
      <c r="H295" s="27">
        <f>IF(C295="","",SUMIFS(tbl_Finance[Ex GST],tbl_Finance[Job Number],C295&amp;""))</f>
        <v/>
      </c>
      <c r="I295" s="27">
        <f>IF(C295="","",SUMIFS(tbl_Finance[Ex GST],tbl_Finance[Job Number],C295&amp;"",tbl_Finance[Xero Invoice No],"&lt;&gt;"))</f>
        <v/>
      </c>
      <c r="J295" s="27">
        <f>IF(C295="","",H295-I295)</f>
        <v/>
      </c>
      <c r="K295" s="25">
        <f>IF(C295="","",IF(G295=0,"not invoiced yet",SUBSTITUTE(TRIM(IF(COUNTIFS(tbl_Finance[Job Number],C295&amp;"",tbl_Finance[Cost Centre],"ONSITE")&gt;0,"ONSITE ","")&amp;IF(COUNTIFS(tbl_Finance[Job Number],C295&amp;"",tbl_Finance[Cost Centre],"PRODUCTION")&gt;0,"PRODUCTION ","")&amp;IF(COUNTIFS(tbl_Finance[Job Number],C295&amp;"",tbl_Finance[Cost Centre],"VIDEO")&gt;0,"VIDEO ","")&amp;IF(COUNTIFS(tbl_Finance[Job Number],C295&amp;"",tbl_Finance[Cost Centre],"INTEGRATION")&gt;0,"INTEGRATION ","")&amp;IF(COUNTIFS(tbl_Finance[Job Number],C295&amp;"",tbl_Finance[Cost Centre],"CONSULTING")&gt;0,"CONSULTING ","")&amp;IF(COUNTIFS(tbl_Finance[Job Number],C295&amp;"",tbl_Finance[Cost Centre],"CTS")&gt;0,"CTS ",""))," ",", ")))</f>
        <v/>
      </c>
      <c r="L295" s="24" t="n"/>
      <c r="M295" s="25">
        <f>IF(L295="","",HYPERLINK(IF(LEFT(L295,4)="http",L295,set_QwilrBase&amp;L295),"Open quote"))</f>
        <v/>
      </c>
      <c r="N295" s="26" t="n"/>
      <c r="O295" s="26" t="n"/>
      <c r="P295" s="26" t="n"/>
      <c r="Q295" s="25">
        <f>IF(C295="","",IF(N(N295)+N(O295)+N(P295)=0,"Not split",IF(ROUND(N(N295)+N(O295)+N(P295),2)=ROUND(H295,2),"OK","MISMATCH")))</f>
        <v/>
      </c>
      <c r="R295" s="26" t="n"/>
      <c r="S295" s="26" t="n"/>
      <c r="T295" s="26" t="n"/>
      <c r="U295" s="27">
        <f>IF(C295="","",N(R295)+N(S295)+N(T295))</f>
        <v/>
      </c>
      <c r="V295" s="27">
        <f>IF(C295="","",H295-U295)</f>
        <v/>
      </c>
      <c r="W295" s="29">
        <f>IFERROR(V295/H295,"")</f>
        <v/>
      </c>
      <c r="X295" s="24" t="n"/>
    </row>
    <row r="296" ht="15" customHeight="1">
      <c r="A296" s="63">
        <f>IF(C296="","",IFERROR(IF(SUMPRODUCT(MAX((tbl_Finance[Job Number]=C296&amp;"")*(tbl_Finance[Xero Invoice No]&lt;&gt;"")*tbl_Finance[Date]))=0,"",SUMPRODUCT(MAX((tbl_Finance[Job Number]=C296&amp;"")*(tbl_Finance[Xero Invoice No]&lt;&gt;"")*tbl_Finance[Date]))),""))</f>
        <v/>
      </c>
      <c r="B296" s="25">
        <f>IF(C296="","",IF(COUNTIFS(tbl_Finance[Job Number],C296&amp;"",tbl_Finance[Xero Invoice No],"&lt;&gt;")=0,"",IFERROR(IF(COUNTIFS(tbl_Finance[Job Number],C296&amp;"",tbl_Finance[Xero Invoice No],LOOKUP(2,1/((tbl_Finance[Job Number]=C296&amp;"")*(tbl_Finance[Xero Invoice No]&lt;&gt;"")),tbl_Finance[Xero Invoice No]))=COUNTIFS(tbl_Finance[Job Number],C296&amp;"",tbl_Finance[Xero Invoice No],"&lt;&gt;"),LOOKUP(2,1/((tbl_Finance[Job Number]=C296&amp;"")*(tbl_Finance[Xero Invoice No]&lt;&gt;"")),tbl_Finance[Xero Invoice No]),LOOKUP(2,1/((tbl_Finance[Job Number]=C296&amp;"")*(tbl_Finance[Xero Invoice No]&lt;&gt;"")),tbl_Finance[Xero Invoice No])&amp;" +more"),"")))</f>
        <v/>
      </c>
      <c r="C296" s="24" t="n"/>
      <c r="D296" s="25">
        <f>IF(C296="","",IF(COUNTIF(lst_Jobs,C296&amp;"")&gt;0,"OK","CHECK"))</f>
        <v/>
      </c>
      <c r="E296" s="25">
        <f>IF(C296="","",IFERROR(INDEX(lst_JobName,MATCH(C296&amp;"",lst_Jobs,0)),""))</f>
        <v/>
      </c>
      <c r="F296" s="25">
        <f>IF(C296="","",IFERROR(INDEX(tbl_Finance[Client],MATCH(C296&amp;"",tbl_Finance[Job Number],0)),""))</f>
        <v/>
      </c>
      <c r="G296" s="28">
        <f>IF(C296="","",COUNTIFS(tbl_Finance[Job Number],C296&amp;"",tbl_Finance[Ex GST],"&lt;&gt;"))</f>
        <v/>
      </c>
      <c r="H296" s="27">
        <f>IF(C296="","",SUMIFS(tbl_Finance[Ex GST],tbl_Finance[Job Number],C296&amp;""))</f>
        <v/>
      </c>
      <c r="I296" s="27">
        <f>IF(C296="","",SUMIFS(tbl_Finance[Ex GST],tbl_Finance[Job Number],C296&amp;"",tbl_Finance[Xero Invoice No],"&lt;&gt;"))</f>
        <v/>
      </c>
      <c r="J296" s="27">
        <f>IF(C296="","",H296-I296)</f>
        <v/>
      </c>
      <c r="K296" s="25">
        <f>IF(C296="","",IF(G296=0,"not invoiced yet",SUBSTITUTE(TRIM(IF(COUNTIFS(tbl_Finance[Job Number],C296&amp;"",tbl_Finance[Cost Centre],"ONSITE")&gt;0,"ONSITE ","")&amp;IF(COUNTIFS(tbl_Finance[Job Number],C296&amp;"",tbl_Finance[Cost Centre],"PRODUCTION")&gt;0,"PRODUCTION ","")&amp;IF(COUNTIFS(tbl_Finance[Job Number],C296&amp;"",tbl_Finance[Cost Centre],"VIDEO")&gt;0,"VIDEO ","")&amp;IF(COUNTIFS(tbl_Finance[Job Number],C296&amp;"",tbl_Finance[Cost Centre],"INTEGRATION")&gt;0,"INTEGRATION ","")&amp;IF(COUNTIFS(tbl_Finance[Job Number],C296&amp;"",tbl_Finance[Cost Centre],"CONSULTING")&gt;0,"CONSULTING ","")&amp;IF(COUNTIFS(tbl_Finance[Job Number],C296&amp;"",tbl_Finance[Cost Centre],"CTS")&gt;0,"CTS ",""))," ",", ")))</f>
        <v/>
      </c>
      <c r="L296" s="24" t="n"/>
      <c r="M296" s="25">
        <f>IF(L296="","",HYPERLINK(IF(LEFT(L296,4)="http",L296,set_QwilrBase&amp;L296),"Open quote"))</f>
        <v/>
      </c>
      <c r="N296" s="26" t="n"/>
      <c r="O296" s="26" t="n"/>
      <c r="P296" s="26" t="n"/>
      <c r="Q296" s="25">
        <f>IF(C296="","",IF(N(N296)+N(O296)+N(P296)=0,"Not split",IF(ROUND(N(N296)+N(O296)+N(P296),2)=ROUND(H296,2),"OK","MISMATCH")))</f>
        <v/>
      </c>
      <c r="R296" s="26" t="n"/>
      <c r="S296" s="26" t="n"/>
      <c r="T296" s="26" t="n"/>
      <c r="U296" s="27">
        <f>IF(C296="","",N(R296)+N(S296)+N(T296))</f>
        <v/>
      </c>
      <c r="V296" s="27">
        <f>IF(C296="","",H296-U296)</f>
        <v/>
      </c>
      <c r="W296" s="29">
        <f>IFERROR(V296/H296,"")</f>
        <v/>
      </c>
      <c r="X296" s="24" t="n"/>
    </row>
    <row r="297" ht="15" customHeight="1">
      <c r="A297" s="63">
        <f>IF(C297="","",IFERROR(IF(SUMPRODUCT(MAX((tbl_Finance[Job Number]=C297&amp;"")*(tbl_Finance[Xero Invoice No]&lt;&gt;"")*tbl_Finance[Date]))=0,"",SUMPRODUCT(MAX((tbl_Finance[Job Number]=C297&amp;"")*(tbl_Finance[Xero Invoice No]&lt;&gt;"")*tbl_Finance[Date]))),""))</f>
        <v/>
      </c>
      <c r="B297" s="25">
        <f>IF(C297="","",IF(COUNTIFS(tbl_Finance[Job Number],C297&amp;"",tbl_Finance[Xero Invoice No],"&lt;&gt;")=0,"",IFERROR(IF(COUNTIFS(tbl_Finance[Job Number],C297&amp;"",tbl_Finance[Xero Invoice No],LOOKUP(2,1/((tbl_Finance[Job Number]=C297&amp;"")*(tbl_Finance[Xero Invoice No]&lt;&gt;"")),tbl_Finance[Xero Invoice No]))=COUNTIFS(tbl_Finance[Job Number],C297&amp;"",tbl_Finance[Xero Invoice No],"&lt;&gt;"),LOOKUP(2,1/((tbl_Finance[Job Number]=C297&amp;"")*(tbl_Finance[Xero Invoice No]&lt;&gt;"")),tbl_Finance[Xero Invoice No]),LOOKUP(2,1/((tbl_Finance[Job Number]=C297&amp;"")*(tbl_Finance[Xero Invoice No]&lt;&gt;"")),tbl_Finance[Xero Invoice No])&amp;" +more"),"")))</f>
        <v/>
      </c>
      <c r="C297" s="24" t="n"/>
      <c r="D297" s="25">
        <f>IF(C297="","",IF(COUNTIF(lst_Jobs,C297&amp;"")&gt;0,"OK","CHECK"))</f>
        <v/>
      </c>
      <c r="E297" s="25">
        <f>IF(C297="","",IFERROR(INDEX(lst_JobName,MATCH(C297&amp;"",lst_Jobs,0)),""))</f>
        <v/>
      </c>
      <c r="F297" s="25">
        <f>IF(C297="","",IFERROR(INDEX(tbl_Finance[Client],MATCH(C297&amp;"",tbl_Finance[Job Number],0)),""))</f>
        <v/>
      </c>
      <c r="G297" s="28">
        <f>IF(C297="","",COUNTIFS(tbl_Finance[Job Number],C297&amp;"",tbl_Finance[Ex GST],"&lt;&gt;"))</f>
        <v/>
      </c>
      <c r="H297" s="27">
        <f>IF(C297="","",SUMIFS(tbl_Finance[Ex GST],tbl_Finance[Job Number],C297&amp;""))</f>
        <v/>
      </c>
      <c r="I297" s="27">
        <f>IF(C297="","",SUMIFS(tbl_Finance[Ex GST],tbl_Finance[Job Number],C297&amp;"",tbl_Finance[Xero Invoice No],"&lt;&gt;"))</f>
        <v/>
      </c>
      <c r="J297" s="27">
        <f>IF(C297="","",H297-I297)</f>
        <v/>
      </c>
      <c r="K297" s="25">
        <f>IF(C297="","",IF(G297=0,"not invoiced yet",SUBSTITUTE(TRIM(IF(COUNTIFS(tbl_Finance[Job Number],C297&amp;"",tbl_Finance[Cost Centre],"ONSITE")&gt;0,"ONSITE ","")&amp;IF(COUNTIFS(tbl_Finance[Job Number],C297&amp;"",tbl_Finance[Cost Centre],"PRODUCTION")&gt;0,"PRODUCTION ","")&amp;IF(COUNTIFS(tbl_Finance[Job Number],C297&amp;"",tbl_Finance[Cost Centre],"VIDEO")&gt;0,"VIDEO ","")&amp;IF(COUNTIFS(tbl_Finance[Job Number],C297&amp;"",tbl_Finance[Cost Centre],"INTEGRATION")&gt;0,"INTEGRATION ","")&amp;IF(COUNTIFS(tbl_Finance[Job Number],C297&amp;"",tbl_Finance[Cost Centre],"CONSULTING")&gt;0,"CONSULTING ","")&amp;IF(COUNTIFS(tbl_Finance[Job Number],C297&amp;"",tbl_Finance[Cost Centre],"CTS")&gt;0,"CTS ",""))," ",", ")))</f>
        <v/>
      </c>
      <c r="L297" s="24" t="n"/>
      <c r="M297" s="25">
        <f>IF(L297="","",HYPERLINK(IF(LEFT(L297,4)="http",L297,set_QwilrBase&amp;L297),"Open quote"))</f>
        <v/>
      </c>
      <c r="N297" s="26" t="n"/>
      <c r="O297" s="26" t="n"/>
      <c r="P297" s="26" t="n"/>
      <c r="Q297" s="25">
        <f>IF(C297="","",IF(N(N297)+N(O297)+N(P297)=0,"Not split",IF(ROUND(N(N297)+N(O297)+N(P297),2)=ROUND(H297,2),"OK","MISMATCH")))</f>
        <v/>
      </c>
      <c r="R297" s="26" t="n"/>
      <c r="S297" s="26" t="n"/>
      <c r="T297" s="26" t="n"/>
      <c r="U297" s="27">
        <f>IF(C297="","",N(R297)+N(S297)+N(T297))</f>
        <v/>
      </c>
      <c r="V297" s="27">
        <f>IF(C297="","",H297-U297)</f>
        <v/>
      </c>
      <c r="W297" s="29">
        <f>IFERROR(V297/H297,"")</f>
        <v/>
      </c>
      <c r="X297" s="24" t="n"/>
    </row>
    <row r="298" ht="15" customHeight="1">
      <c r="A298" s="63">
        <f>IF(C298="","",IFERROR(IF(SUMPRODUCT(MAX((tbl_Finance[Job Number]=C298&amp;"")*(tbl_Finance[Xero Invoice No]&lt;&gt;"")*tbl_Finance[Date]))=0,"",SUMPRODUCT(MAX((tbl_Finance[Job Number]=C298&amp;"")*(tbl_Finance[Xero Invoice No]&lt;&gt;"")*tbl_Finance[Date]))),""))</f>
        <v/>
      </c>
      <c r="B298" s="25">
        <f>IF(C298="","",IF(COUNTIFS(tbl_Finance[Job Number],C298&amp;"",tbl_Finance[Xero Invoice No],"&lt;&gt;")=0,"",IFERROR(IF(COUNTIFS(tbl_Finance[Job Number],C298&amp;"",tbl_Finance[Xero Invoice No],LOOKUP(2,1/((tbl_Finance[Job Number]=C298&amp;"")*(tbl_Finance[Xero Invoice No]&lt;&gt;"")),tbl_Finance[Xero Invoice No]))=COUNTIFS(tbl_Finance[Job Number],C298&amp;"",tbl_Finance[Xero Invoice No],"&lt;&gt;"),LOOKUP(2,1/((tbl_Finance[Job Number]=C298&amp;"")*(tbl_Finance[Xero Invoice No]&lt;&gt;"")),tbl_Finance[Xero Invoice No]),LOOKUP(2,1/((tbl_Finance[Job Number]=C298&amp;"")*(tbl_Finance[Xero Invoice No]&lt;&gt;"")),tbl_Finance[Xero Invoice No])&amp;" +more"),"")))</f>
        <v/>
      </c>
      <c r="C298" s="24" t="n"/>
      <c r="D298" s="25">
        <f>IF(C298="","",IF(COUNTIF(lst_Jobs,C298&amp;"")&gt;0,"OK","CHECK"))</f>
        <v/>
      </c>
      <c r="E298" s="25">
        <f>IF(C298="","",IFERROR(INDEX(lst_JobName,MATCH(C298&amp;"",lst_Jobs,0)),""))</f>
        <v/>
      </c>
      <c r="F298" s="25">
        <f>IF(C298="","",IFERROR(INDEX(tbl_Finance[Client],MATCH(C298&amp;"",tbl_Finance[Job Number],0)),""))</f>
        <v/>
      </c>
      <c r="G298" s="28">
        <f>IF(C298="","",COUNTIFS(tbl_Finance[Job Number],C298&amp;"",tbl_Finance[Ex GST],"&lt;&gt;"))</f>
        <v/>
      </c>
      <c r="H298" s="27">
        <f>IF(C298="","",SUMIFS(tbl_Finance[Ex GST],tbl_Finance[Job Number],C298&amp;""))</f>
        <v/>
      </c>
      <c r="I298" s="27">
        <f>IF(C298="","",SUMIFS(tbl_Finance[Ex GST],tbl_Finance[Job Number],C298&amp;"",tbl_Finance[Xero Invoice No],"&lt;&gt;"))</f>
        <v/>
      </c>
      <c r="J298" s="27">
        <f>IF(C298="","",H298-I298)</f>
        <v/>
      </c>
      <c r="K298" s="25">
        <f>IF(C298="","",IF(G298=0,"not invoiced yet",SUBSTITUTE(TRIM(IF(COUNTIFS(tbl_Finance[Job Number],C298&amp;"",tbl_Finance[Cost Centre],"ONSITE")&gt;0,"ONSITE ","")&amp;IF(COUNTIFS(tbl_Finance[Job Number],C298&amp;"",tbl_Finance[Cost Centre],"PRODUCTION")&gt;0,"PRODUCTION ","")&amp;IF(COUNTIFS(tbl_Finance[Job Number],C298&amp;"",tbl_Finance[Cost Centre],"VIDEO")&gt;0,"VIDEO ","")&amp;IF(COUNTIFS(tbl_Finance[Job Number],C298&amp;"",tbl_Finance[Cost Centre],"INTEGRATION")&gt;0,"INTEGRATION ","")&amp;IF(COUNTIFS(tbl_Finance[Job Number],C298&amp;"",tbl_Finance[Cost Centre],"CONSULTING")&gt;0,"CONSULTING ","")&amp;IF(COUNTIFS(tbl_Finance[Job Number],C298&amp;"",tbl_Finance[Cost Centre],"CTS")&gt;0,"CTS ",""))," ",", ")))</f>
        <v/>
      </c>
      <c r="L298" s="24" t="n"/>
      <c r="M298" s="25">
        <f>IF(L298="","",HYPERLINK(IF(LEFT(L298,4)="http",L298,set_QwilrBase&amp;L298),"Open quote"))</f>
        <v/>
      </c>
      <c r="N298" s="26" t="n"/>
      <c r="O298" s="26" t="n"/>
      <c r="P298" s="26" t="n"/>
      <c r="Q298" s="25">
        <f>IF(C298="","",IF(N(N298)+N(O298)+N(P298)=0,"Not split",IF(ROUND(N(N298)+N(O298)+N(P298),2)=ROUND(H298,2),"OK","MISMATCH")))</f>
        <v/>
      </c>
      <c r="R298" s="26" t="n"/>
      <c r="S298" s="26" t="n"/>
      <c r="T298" s="26" t="n"/>
      <c r="U298" s="27">
        <f>IF(C298="","",N(R298)+N(S298)+N(T298))</f>
        <v/>
      </c>
      <c r="V298" s="27">
        <f>IF(C298="","",H298-U298)</f>
        <v/>
      </c>
      <c r="W298" s="29">
        <f>IFERROR(V298/H298,"")</f>
        <v/>
      </c>
      <c r="X298" s="24" t="n"/>
    </row>
    <row r="299" ht="15" customHeight="1">
      <c r="A299" s="63">
        <f>IF(C299="","",IFERROR(IF(SUMPRODUCT(MAX((tbl_Finance[Job Number]=C299&amp;"")*(tbl_Finance[Xero Invoice No]&lt;&gt;"")*tbl_Finance[Date]))=0,"",SUMPRODUCT(MAX((tbl_Finance[Job Number]=C299&amp;"")*(tbl_Finance[Xero Invoice No]&lt;&gt;"")*tbl_Finance[Date]))),""))</f>
        <v/>
      </c>
      <c r="B299" s="25">
        <f>IF(C299="","",IF(COUNTIFS(tbl_Finance[Job Number],C299&amp;"",tbl_Finance[Xero Invoice No],"&lt;&gt;")=0,"",IFERROR(IF(COUNTIFS(tbl_Finance[Job Number],C299&amp;"",tbl_Finance[Xero Invoice No],LOOKUP(2,1/((tbl_Finance[Job Number]=C299&amp;"")*(tbl_Finance[Xero Invoice No]&lt;&gt;"")),tbl_Finance[Xero Invoice No]))=COUNTIFS(tbl_Finance[Job Number],C299&amp;"",tbl_Finance[Xero Invoice No],"&lt;&gt;"),LOOKUP(2,1/((tbl_Finance[Job Number]=C299&amp;"")*(tbl_Finance[Xero Invoice No]&lt;&gt;"")),tbl_Finance[Xero Invoice No]),LOOKUP(2,1/((tbl_Finance[Job Number]=C299&amp;"")*(tbl_Finance[Xero Invoice No]&lt;&gt;"")),tbl_Finance[Xero Invoice No])&amp;" +more"),"")))</f>
        <v/>
      </c>
      <c r="C299" s="24" t="n"/>
      <c r="D299" s="25">
        <f>IF(C299="","",IF(COUNTIF(lst_Jobs,C299&amp;"")&gt;0,"OK","CHECK"))</f>
        <v/>
      </c>
      <c r="E299" s="25">
        <f>IF(C299="","",IFERROR(INDEX(lst_JobName,MATCH(C299&amp;"",lst_Jobs,0)),""))</f>
        <v/>
      </c>
      <c r="F299" s="25">
        <f>IF(C299="","",IFERROR(INDEX(tbl_Finance[Client],MATCH(C299&amp;"",tbl_Finance[Job Number],0)),""))</f>
        <v/>
      </c>
      <c r="G299" s="28">
        <f>IF(C299="","",COUNTIFS(tbl_Finance[Job Number],C299&amp;"",tbl_Finance[Ex GST],"&lt;&gt;"))</f>
        <v/>
      </c>
      <c r="H299" s="27">
        <f>IF(C299="","",SUMIFS(tbl_Finance[Ex GST],tbl_Finance[Job Number],C299&amp;""))</f>
        <v/>
      </c>
      <c r="I299" s="27">
        <f>IF(C299="","",SUMIFS(tbl_Finance[Ex GST],tbl_Finance[Job Number],C299&amp;"",tbl_Finance[Xero Invoice No],"&lt;&gt;"))</f>
        <v/>
      </c>
      <c r="J299" s="27">
        <f>IF(C299="","",H299-I299)</f>
        <v/>
      </c>
      <c r="K299" s="25">
        <f>IF(C299="","",IF(G299=0,"not invoiced yet",SUBSTITUTE(TRIM(IF(COUNTIFS(tbl_Finance[Job Number],C299&amp;"",tbl_Finance[Cost Centre],"ONSITE")&gt;0,"ONSITE ","")&amp;IF(COUNTIFS(tbl_Finance[Job Number],C299&amp;"",tbl_Finance[Cost Centre],"PRODUCTION")&gt;0,"PRODUCTION ","")&amp;IF(COUNTIFS(tbl_Finance[Job Number],C299&amp;"",tbl_Finance[Cost Centre],"VIDEO")&gt;0,"VIDEO ","")&amp;IF(COUNTIFS(tbl_Finance[Job Number],C299&amp;"",tbl_Finance[Cost Centre],"INTEGRATION")&gt;0,"INTEGRATION ","")&amp;IF(COUNTIFS(tbl_Finance[Job Number],C299&amp;"",tbl_Finance[Cost Centre],"CONSULTING")&gt;0,"CONSULTING ","")&amp;IF(COUNTIFS(tbl_Finance[Job Number],C299&amp;"",tbl_Finance[Cost Centre],"CTS")&gt;0,"CTS ",""))," ",", ")))</f>
        <v/>
      </c>
      <c r="L299" s="24" t="n"/>
      <c r="M299" s="25">
        <f>IF(L299="","",HYPERLINK(IF(LEFT(L299,4)="http",L299,set_QwilrBase&amp;L299),"Open quote"))</f>
        <v/>
      </c>
      <c r="N299" s="26" t="n"/>
      <c r="O299" s="26" t="n"/>
      <c r="P299" s="26" t="n"/>
      <c r="Q299" s="25">
        <f>IF(C299="","",IF(N(N299)+N(O299)+N(P299)=0,"Not split",IF(ROUND(N(N299)+N(O299)+N(P299),2)=ROUND(H299,2),"OK","MISMATCH")))</f>
        <v/>
      </c>
      <c r="R299" s="26" t="n"/>
      <c r="S299" s="26" t="n"/>
      <c r="T299" s="26" t="n"/>
      <c r="U299" s="27">
        <f>IF(C299="","",N(R299)+N(S299)+N(T299))</f>
        <v/>
      </c>
      <c r="V299" s="27">
        <f>IF(C299="","",H299-U299)</f>
        <v/>
      </c>
      <c r="W299" s="29">
        <f>IFERROR(V299/H299,"")</f>
        <v/>
      </c>
      <c r="X299" s="24" t="n"/>
    </row>
    <row r="300" ht="15" customHeight="1">
      <c r="A300" s="63">
        <f>IF(C300="","",IFERROR(IF(SUMPRODUCT(MAX((tbl_Finance[Job Number]=C300&amp;"")*(tbl_Finance[Xero Invoice No]&lt;&gt;"")*tbl_Finance[Date]))=0,"",SUMPRODUCT(MAX((tbl_Finance[Job Number]=C300&amp;"")*(tbl_Finance[Xero Invoice No]&lt;&gt;"")*tbl_Finance[Date]))),""))</f>
        <v/>
      </c>
      <c r="B300" s="25">
        <f>IF(C300="","",IF(COUNTIFS(tbl_Finance[Job Number],C300&amp;"",tbl_Finance[Xero Invoice No],"&lt;&gt;")=0,"",IFERROR(IF(COUNTIFS(tbl_Finance[Job Number],C300&amp;"",tbl_Finance[Xero Invoice No],LOOKUP(2,1/((tbl_Finance[Job Number]=C300&amp;"")*(tbl_Finance[Xero Invoice No]&lt;&gt;"")),tbl_Finance[Xero Invoice No]))=COUNTIFS(tbl_Finance[Job Number],C300&amp;"",tbl_Finance[Xero Invoice No],"&lt;&gt;"),LOOKUP(2,1/((tbl_Finance[Job Number]=C300&amp;"")*(tbl_Finance[Xero Invoice No]&lt;&gt;"")),tbl_Finance[Xero Invoice No]),LOOKUP(2,1/((tbl_Finance[Job Number]=C300&amp;"")*(tbl_Finance[Xero Invoice No]&lt;&gt;"")),tbl_Finance[Xero Invoice No])&amp;" +more"),"")))</f>
        <v/>
      </c>
      <c r="C300" s="24" t="n"/>
      <c r="D300" s="25">
        <f>IF(C300="","",IF(COUNTIF(lst_Jobs,C300&amp;"")&gt;0,"OK","CHECK"))</f>
        <v/>
      </c>
      <c r="E300" s="25">
        <f>IF(C300="","",IFERROR(INDEX(lst_JobName,MATCH(C300&amp;"",lst_Jobs,0)),""))</f>
        <v/>
      </c>
      <c r="F300" s="25">
        <f>IF(C300="","",IFERROR(INDEX(tbl_Finance[Client],MATCH(C300&amp;"",tbl_Finance[Job Number],0)),""))</f>
        <v/>
      </c>
      <c r="G300" s="28">
        <f>IF(C300="","",COUNTIFS(tbl_Finance[Job Number],C300&amp;"",tbl_Finance[Ex GST],"&lt;&gt;"))</f>
        <v/>
      </c>
      <c r="H300" s="27">
        <f>IF(C300="","",SUMIFS(tbl_Finance[Ex GST],tbl_Finance[Job Number],C300&amp;""))</f>
        <v/>
      </c>
      <c r="I300" s="27">
        <f>IF(C300="","",SUMIFS(tbl_Finance[Ex GST],tbl_Finance[Job Number],C300&amp;"",tbl_Finance[Xero Invoice No],"&lt;&gt;"))</f>
        <v/>
      </c>
      <c r="J300" s="27">
        <f>IF(C300="","",H300-I300)</f>
        <v/>
      </c>
      <c r="K300" s="25">
        <f>IF(C300="","",IF(G300=0,"not invoiced yet",SUBSTITUTE(TRIM(IF(COUNTIFS(tbl_Finance[Job Number],C300&amp;"",tbl_Finance[Cost Centre],"ONSITE")&gt;0,"ONSITE ","")&amp;IF(COUNTIFS(tbl_Finance[Job Number],C300&amp;"",tbl_Finance[Cost Centre],"PRODUCTION")&gt;0,"PRODUCTION ","")&amp;IF(COUNTIFS(tbl_Finance[Job Number],C300&amp;"",tbl_Finance[Cost Centre],"VIDEO")&gt;0,"VIDEO ","")&amp;IF(COUNTIFS(tbl_Finance[Job Number],C300&amp;"",tbl_Finance[Cost Centre],"INTEGRATION")&gt;0,"INTEGRATION ","")&amp;IF(COUNTIFS(tbl_Finance[Job Number],C300&amp;"",tbl_Finance[Cost Centre],"CONSULTING")&gt;0,"CONSULTING ","")&amp;IF(COUNTIFS(tbl_Finance[Job Number],C300&amp;"",tbl_Finance[Cost Centre],"CTS")&gt;0,"CTS ",""))," ",", ")))</f>
        <v/>
      </c>
      <c r="L300" s="24" t="n"/>
      <c r="M300" s="25">
        <f>IF(L300="","",HYPERLINK(IF(LEFT(L300,4)="http",L300,set_QwilrBase&amp;L300),"Open quote"))</f>
        <v/>
      </c>
      <c r="N300" s="26" t="n"/>
      <c r="O300" s="26" t="n"/>
      <c r="P300" s="26" t="n"/>
      <c r="Q300" s="25">
        <f>IF(C300="","",IF(N(N300)+N(O300)+N(P300)=0,"Not split",IF(ROUND(N(N300)+N(O300)+N(P300),2)=ROUND(H300,2),"OK","MISMATCH")))</f>
        <v/>
      </c>
      <c r="R300" s="26" t="n"/>
      <c r="S300" s="26" t="n"/>
      <c r="T300" s="26" t="n"/>
      <c r="U300" s="27">
        <f>IF(C300="","",N(R300)+N(S300)+N(T300))</f>
        <v/>
      </c>
      <c r="V300" s="27">
        <f>IF(C300="","",H300-U300)</f>
        <v/>
      </c>
      <c r="W300" s="29">
        <f>IFERROR(V300/H300,"")</f>
        <v/>
      </c>
      <c r="X300" s="24" t="n"/>
    </row>
    <row r="301" ht="15" customHeight="1">
      <c r="A301" s="63">
        <f>IF(C301="","",IFERROR(IF(SUMPRODUCT(MAX((tbl_Finance[Job Number]=C301&amp;"")*(tbl_Finance[Xero Invoice No]&lt;&gt;"")*tbl_Finance[Date]))=0,"",SUMPRODUCT(MAX((tbl_Finance[Job Number]=C301&amp;"")*(tbl_Finance[Xero Invoice No]&lt;&gt;"")*tbl_Finance[Date]))),""))</f>
        <v/>
      </c>
      <c r="B301" s="25">
        <f>IF(C301="","",IF(COUNTIFS(tbl_Finance[Job Number],C301&amp;"",tbl_Finance[Xero Invoice No],"&lt;&gt;")=0,"",IFERROR(IF(COUNTIFS(tbl_Finance[Job Number],C301&amp;"",tbl_Finance[Xero Invoice No],LOOKUP(2,1/((tbl_Finance[Job Number]=C301&amp;"")*(tbl_Finance[Xero Invoice No]&lt;&gt;"")),tbl_Finance[Xero Invoice No]))=COUNTIFS(tbl_Finance[Job Number],C301&amp;"",tbl_Finance[Xero Invoice No],"&lt;&gt;"),LOOKUP(2,1/((tbl_Finance[Job Number]=C301&amp;"")*(tbl_Finance[Xero Invoice No]&lt;&gt;"")),tbl_Finance[Xero Invoice No]),LOOKUP(2,1/((tbl_Finance[Job Number]=C301&amp;"")*(tbl_Finance[Xero Invoice No]&lt;&gt;"")),tbl_Finance[Xero Invoice No])&amp;" +more"),"")))</f>
        <v/>
      </c>
      <c r="C301" s="24" t="n"/>
      <c r="D301" s="25">
        <f>IF(C301="","",IF(COUNTIF(lst_Jobs,C301&amp;"")&gt;0,"OK","CHECK"))</f>
        <v/>
      </c>
      <c r="E301" s="25">
        <f>IF(C301="","",IFERROR(INDEX(lst_JobName,MATCH(C301&amp;"",lst_Jobs,0)),""))</f>
        <v/>
      </c>
      <c r="F301" s="25">
        <f>IF(C301="","",IFERROR(INDEX(tbl_Finance[Client],MATCH(C301&amp;"",tbl_Finance[Job Number],0)),""))</f>
        <v/>
      </c>
      <c r="G301" s="28">
        <f>IF(C301="","",COUNTIFS(tbl_Finance[Job Number],C301&amp;"",tbl_Finance[Ex GST],"&lt;&gt;"))</f>
        <v/>
      </c>
      <c r="H301" s="27">
        <f>IF(C301="","",SUMIFS(tbl_Finance[Ex GST],tbl_Finance[Job Number],C301&amp;""))</f>
        <v/>
      </c>
      <c r="I301" s="27">
        <f>IF(C301="","",SUMIFS(tbl_Finance[Ex GST],tbl_Finance[Job Number],C301&amp;"",tbl_Finance[Xero Invoice No],"&lt;&gt;"))</f>
        <v/>
      </c>
      <c r="J301" s="27">
        <f>IF(C301="","",H301-I301)</f>
        <v/>
      </c>
      <c r="K301" s="25">
        <f>IF(C301="","",IF(G301=0,"not invoiced yet",SUBSTITUTE(TRIM(IF(COUNTIFS(tbl_Finance[Job Number],C301&amp;"",tbl_Finance[Cost Centre],"ONSITE")&gt;0,"ONSITE ","")&amp;IF(COUNTIFS(tbl_Finance[Job Number],C301&amp;"",tbl_Finance[Cost Centre],"PRODUCTION")&gt;0,"PRODUCTION ","")&amp;IF(COUNTIFS(tbl_Finance[Job Number],C301&amp;"",tbl_Finance[Cost Centre],"VIDEO")&gt;0,"VIDEO ","")&amp;IF(COUNTIFS(tbl_Finance[Job Number],C301&amp;"",tbl_Finance[Cost Centre],"INTEGRATION")&gt;0,"INTEGRATION ","")&amp;IF(COUNTIFS(tbl_Finance[Job Number],C301&amp;"",tbl_Finance[Cost Centre],"CONSULTING")&gt;0,"CONSULTING ","")&amp;IF(COUNTIFS(tbl_Finance[Job Number],C301&amp;"",tbl_Finance[Cost Centre],"CTS")&gt;0,"CTS ",""))," ",", ")))</f>
        <v/>
      </c>
      <c r="L301" s="24" t="n"/>
      <c r="M301" s="25">
        <f>IF(L301="","",HYPERLINK(IF(LEFT(L301,4)="http",L301,set_QwilrBase&amp;L301),"Open quote"))</f>
        <v/>
      </c>
      <c r="N301" s="26" t="n"/>
      <c r="O301" s="26" t="n"/>
      <c r="P301" s="26" t="n"/>
      <c r="Q301" s="25">
        <f>IF(C301="","",IF(N(N301)+N(O301)+N(P301)=0,"Not split",IF(ROUND(N(N301)+N(O301)+N(P301),2)=ROUND(H301,2),"OK","MISMATCH")))</f>
        <v/>
      </c>
      <c r="R301" s="26" t="n"/>
      <c r="S301" s="26" t="n"/>
      <c r="T301" s="26" t="n"/>
      <c r="U301" s="27">
        <f>IF(C301="","",N(R301)+N(S301)+N(T301))</f>
        <v/>
      </c>
      <c r="V301" s="27">
        <f>IF(C301="","",H301-U301)</f>
        <v/>
      </c>
      <c r="W301" s="29">
        <f>IFERROR(V301/H301,"")</f>
        <v/>
      </c>
      <c r="X301" s="24" t="n"/>
    </row>
    <row r="302" ht="15" customHeight="1">
      <c r="A302" s="63">
        <f>IF(C302="","",IFERROR(IF(SUMPRODUCT(MAX((tbl_Finance[Job Number]=C302&amp;"")*(tbl_Finance[Xero Invoice No]&lt;&gt;"")*tbl_Finance[Date]))=0,"",SUMPRODUCT(MAX((tbl_Finance[Job Number]=C302&amp;"")*(tbl_Finance[Xero Invoice No]&lt;&gt;"")*tbl_Finance[Date]))),""))</f>
        <v/>
      </c>
      <c r="B302" s="25">
        <f>IF(C302="","",IF(COUNTIFS(tbl_Finance[Job Number],C302&amp;"",tbl_Finance[Xero Invoice No],"&lt;&gt;")=0,"",IFERROR(IF(COUNTIFS(tbl_Finance[Job Number],C302&amp;"",tbl_Finance[Xero Invoice No],LOOKUP(2,1/((tbl_Finance[Job Number]=C302&amp;"")*(tbl_Finance[Xero Invoice No]&lt;&gt;"")),tbl_Finance[Xero Invoice No]))=COUNTIFS(tbl_Finance[Job Number],C302&amp;"",tbl_Finance[Xero Invoice No],"&lt;&gt;"),LOOKUP(2,1/((tbl_Finance[Job Number]=C302&amp;"")*(tbl_Finance[Xero Invoice No]&lt;&gt;"")),tbl_Finance[Xero Invoice No]),LOOKUP(2,1/((tbl_Finance[Job Number]=C302&amp;"")*(tbl_Finance[Xero Invoice No]&lt;&gt;"")),tbl_Finance[Xero Invoice No])&amp;" +more"),"")))</f>
        <v/>
      </c>
      <c r="C302" s="24" t="n"/>
      <c r="D302" s="25">
        <f>IF(C302="","",IF(COUNTIF(lst_Jobs,C302&amp;"")&gt;0,"OK","CHECK"))</f>
        <v/>
      </c>
      <c r="E302" s="25">
        <f>IF(C302="","",IFERROR(INDEX(lst_JobName,MATCH(C302&amp;"",lst_Jobs,0)),""))</f>
        <v/>
      </c>
      <c r="F302" s="25">
        <f>IF(C302="","",IFERROR(INDEX(tbl_Finance[Client],MATCH(C302&amp;"",tbl_Finance[Job Number],0)),""))</f>
        <v/>
      </c>
      <c r="G302" s="28">
        <f>IF(C302="","",COUNTIFS(tbl_Finance[Job Number],C302&amp;"",tbl_Finance[Ex GST],"&lt;&gt;"))</f>
        <v/>
      </c>
      <c r="H302" s="27">
        <f>IF(C302="","",SUMIFS(tbl_Finance[Ex GST],tbl_Finance[Job Number],C302&amp;""))</f>
        <v/>
      </c>
      <c r="I302" s="27">
        <f>IF(C302="","",SUMIFS(tbl_Finance[Ex GST],tbl_Finance[Job Number],C302&amp;"",tbl_Finance[Xero Invoice No],"&lt;&gt;"))</f>
        <v/>
      </c>
      <c r="J302" s="27">
        <f>IF(C302="","",H302-I302)</f>
        <v/>
      </c>
      <c r="K302" s="25">
        <f>IF(C302="","",IF(G302=0,"not invoiced yet",SUBSTITUTE(TRIM(IF(COUNTIFS(tbl_Finance[Job Number],C302&amp;"",tbl_Finance[Cost Centre],"ONSITE")&gt;0,"ONSITE ","")&amp;IF(COUNTIFS(tbl_Finance[Job Number],C302&amp;"",tbl_Finance[Cost Centre],"PRODUCTION")&gt;0,"PRODUCTION ","")&amp;IF(COUNTIFS(tbl_Finance[Job Number],C302&amp;"",tbl_Finance[Cost Centre],"VIDEO")&gt;0,"VIDEO ","")&amp;IF(COUNTIFS(tbl_Finance[Job Number],C302&amp;"",tbl_Finance[Cost Centre],"INTEGRATION")&gt;0,"INTEGRATION ","")&amp;IF(COUNTIFS(tbl_Finance[Job Number],C302&amp;"",tbl_Finance[Cost Centre],"CONSULTING")&gt;0,"CONSULTING ","")&amp;IF(COUNTIFS(tbl_Finance[Job Number],C302&amp;"",tbl_Finance[Cost Centre],"CTS")&gt;0,"CTS ",""))," ",", ")))</f>
        <v/>
      </c>
      <c r="L302" s="24" t="n"/>
      <c r="M302" s="25">
        <f>IF(L302="","",HYPERLINK(IF(LEFT(L302,4)="http",L302,set_QwilrBase&amp;L302),"Open quote"))</f>
        <v/>
      </c>
      <c r="N302" s="26" t="n"/>
      <c r="O302" s="26" t="n"/>
      <c r="P302" s="26" t="n"/>
      <c r="Q302" s="25">
        <f>IF(C302="","",IF(N(N302)+N(O302)+N(P302)=0,"Not split",IF(ROUND(N(N302)+N(O302)+N(P302),2)=ROUND(H302,2),"OK","MISMATCH")))</f>
        <v/>
      </c>
      <c r="R302" s="26" t="n"/>
      <c r="S302" s="26" t="n"/>
      <c r="T302" s="26" t="n"/>
      <c r="U302" s="27">
        <f>IF(C302="","",N(R302)+N(S302)+N(T302))</f>
        <v/>
      </c>
      <c r="V302" s="27">
        <f>IF(C302="","",H302-U302)</f>
        <v/>
      </c>
      <c r="W302" s="29">
        <f>IFERROR(V302/H302,"")</f>
        <v/>
      </c>
      <c r="X302" s="24" t="n"/>
    </row>
    <row r="303" ht="15" customHeight="1">
      <c r="A303" s="63">
        <f>IF(C303="","",IFERROR(IF(SUMPRODUCT(MAX((tbl_Finance[Job Number]=C303&amp;"")*(tbl_Finance[Xero Invoice No]&lt;&gt;"")*tbl_Finance[Date]))=0,"",SUMPRODUCT(MAX((tbl_Finance[Job Number]=C303&amp;"")*(tbl_Finance[Xero Invoice No]&lt;&gt;"")*tbl_Finance[Date]))),""))</f>
        <v/>
      </c>
      <c r="B303" s="25">
        <f>IF(C303="","",IF(COUNTIFS(tbl_Finance[Job Number],C303&amp;"",tbl_Finance[Xero Invoice No],"&lt;&gt;")=0,"",IFERROR(IF(COUNTIFS(tbl_Finance[Job Number],C303&amp;"",tbl_Finance[Xero Invoice No],LOOKUP(2,1/((tbl_Finance[Job Number]=C303&amp;"")*(tbl_Finance[Xero Invoice No]&lt;&gt;"")),tbl_Finance[Xero Invoice No]))=COUNTIFS(tbl_Finance[Job Number],C303&amp;"",tbl_Finance[Xero Invoice No],"&lt;&gt;"),LOOKUP(2,1/((tbl_Finance[Job Number]=C303&amp;"")*(tbl_Finance[Xero Invoice No]&lt;&gt;"")),tbl_Finance[Xero Invoice No]),LOOKUP(2,1/((tbl_Finance[Job Number]=C303&amp;"")*(tbl_Finance[Xero Invoice No]&lt;&gt;"")),tbl_Finance[Xero Invoice No])&amp;" +more"),"")))</f>
        <v/>
      </c>
      <c r="C303" s="24" t="n"/>
      <c r="D303" s="25">
        <f>IF(C303="","",IF(COUNTIF(lst_Jobs,C303&amp;"")&gt;0,"OK","CHECK"))</f>
        <v/>
      </c>
      <c r="E303" s="25">
        <f>IF(C303="","",IFERROR(INDEX(lst_JobName,MATCH(C303&amp;"",lst_Jobs,0)),""))</f>
        <v/>
      </c>
      <c r="F303" s="25">
        <f>IF(C303="","",IFERROR(INDEX(tbl_Finance[Client],MATCH(C303&amp;"",tbl_Finance[Job Number],0)),""))</f>
        <v/>
      </c>
      <c r="G303" s="28">
        <f>IF(C303="","",COUNTIFS(tbl_Finance[Job Number],C303&amp;"",tbl_Finance[Ex GST],"&lt;&gt;"))</f>
        <v/>
      </c>
      <c r="H303" s="27">
        <f>IF(C303="","",SUMIFS(tbl_Finance[Ex GST],tbl_Finance[Job Number],C303&amp;""))</f>
        <v/>
      </c>
      <c r="I303" s="27">
        <f>IF(C303="","",SUMIFS(tbl_Finance[Ex GST],tbl_Finance[Job Number],C303&amp;"",tbl_Finance[Xero Invoice No],"&lt;&gt;"))</f>
        <v/>
      </c>
      <c r="J303" s="27">
        <f>IF(C303="","",H303-I303)</f>
        <v/>
      </c>
      <c r="K303" s="25">
        <f>IF(C303="","",IF(G303=0,"not invoiced yet",SUBSTITUTE(TRIM(IF(COUNTIFS(tbl_Finance[Job Number],C303&amp;"",tbl_Finance[Cost Centre],"ONSITE")&gt;0,"ONSITE ","")&amp;IF(COUNTIFS(tbl_Finance[Job Number],C303&amp;"",tbl_Finance[Cost Centre],"PRODUCTION")&gt;0,"PRODUCTION ","")&amp;IF(COUNTIFS(tbl_Finance[Job Number],C303&amp;"",tbl_Finance[Cost Centre],"VIDEO")&gt;0,"VIDEO ","")&amp;IF(COUNTIFS(tbl_Finance[Job Number],C303&amp;"",tbl_Finance[Cost Centre],"INTEGRATION")&gt;0,"INTEGRATION ","")&amp;IF(COUNTIFS(tbl_Finance[Job Number],C303&amp;"",tbl_Finance[Cost Centre],"CONSULTING")&gt;0,"CONSULTING ","")&amp;IF(COUNTIFS(tbl_Finance[Job Number],C303&amp;"",tbl_Finance[Cost Centre],"CTS")&gt;0,"CTS ",""))," ",", ")))</f>
        <v/>
      </c>
      <c r="L303" s="24" t="n"/>
      <c r="M303" s="25">
        <f>IF(L303="","",HYPERLINK(IF(LEFT(L303,4)="http",L303,set_QwilrBase&amp;L303),"Open quote"))</f>
        <v/>
      </c>
      <c r="N303" s="26" t="n"/>
      <c r="O303" s="26" t="n"/>
      <c r="P303" s="26" t="n"/>
      <c r="Q303" s="25">
        <f>IF(C303="","",IF(N(N303)+N(O303)+N(P303)=0,"Not split",IF(ROUND(N(N303)+N(O303)+N(P303),2)=ROUND(H303,2),"OK","MISMATCH")))</f>
        <v/>
      </c>
      <c r="R303" s="26" t="n"/>
      <c r="S303" s="26" t="n"/>
      <c r="T303" s="26" t="n"/>
      <c r="U303" s="27">
        <f>IF(C303="","",N(R303)+N(S303)+N(T303))</f>
        <v/>
      </c>
      <c r="V303" s="27">
        <f>IF(C303="","",H303-U303)</f>
        <v/>
      </c>
      <c r="W303" s="29">
        <f>IFERROR(V303/H303,"")</f>
        <v/>
      </c>
      <c r="X303" s="24" t="n"/>
    </row>
    <row r="304" ht="15" customHeight="1">
      <c r="A304" s="63">
        <f>IF(C304="","",IFERROR(IF(SUMPRODUCT(MAX((tbl_Finance[Job Number]=C304&amp;"")*(tbl_Finance[Xero Invoice No]&lt;&gt;"")*tbl_Finance[Date]))=0,"",SUMPRODUCT(MAX((tbl_Finance[Job Number]=C304&amp;"")*(tbl_Finance[Xero Invoice No]&lt;&gt;"")*tbl_Finance[Date]))),""))</f>
        <v/>
      </c>
      <c r="B304" s="25">
        <f>IF(C304="","",IF(COUNTIFS(tbl_Finance[Job Number],C304&amp;"",tbl_Finance[Xero Invoice No],"&lt;&gt;")=0,"",IFERROR(IF(COUNTIFS(tbl_Finance[Job Number],C304&amp;"",tbl_Finance[Xero Invoice No],LOOKUP(2,1/((tbl_Finance[Job Number]=C304&amp;"")*(tbl_Finance[Xero Invoice No]&lt;&gt;"")),tbl_Finance[Xero Invoice No]))=COUNTIFS(tbl_Finance[Job Number],C304&amp;"",tbl_Finance[Xero Invoice No],"&lt;&gt;"),LOOKUP(2,1/((tbl_Finance[Job Number]=C304&amp;"")*(tbl_Finance[Xero Invoice No]&lt;&gt;"")),tbl_Finance[Xero Invoice No]),LOOKUP(2,1/((tbl_Finance[Job Number]=C304&amp;"")*(tbl_Finance[Xero Invoice No]&lt;&gt;"")),tbl_Finance[Xero Invoice No])&amp;" +more"),"")))</f>
        <v/>
      </c>
      <c r="C304" s="24" t="n"/>
      <c r="D304" s="25">
        <f>IF(C304="","",IF(COUNTIF(lst_Jobs,C304&amp;"")&gt;0,"OK","CHECK"))</f>
        <v/>
      </c>
      <c r="E304" s="25">
        <f>IF(C304="","",IFERROR(INDEX(lst_JobName,MATCH(C304&amp;"",lst_Jobs,0)),""))</f>
        <v/>
      </c>
      <c r="F304" s="25">
        <f>IF(C304="","",IFERROR(INDEX(tbl_Finance[Client],MATCH(C304&amp;"",tbl_Finance[Job Number],0)),""))</f>
        <v/>
      </c>
      <c r="G304" s="28">
        <f>IF(C304="","",COUNTIFS(tbl_Finance[Job Number],C304&amp;"",tbl_Finance[Ex GST],"&lt;&gt;"))</f>
        <v/>
      </c>
      <c r="H304" s="27">
        <f>IF(C304="","",SUMIFS(tbl_Finance[Ex GST],tbl_Finance[Job Number],C304&amp;""))</f>
        <v/>
      </c>
      <c r="I304" s="27">
        <f>IF(C304="","",SUMIFS(tbl_Finance[Ex GST],tbl_Finance[Job Number],C304&amp;"",tbl_Finance[Xero Invoice No],"&lt;&gt;"))</f>
        <v/>
      </c>
      <c r="J304" s="27">
        <f>IF(C304="","",H304-I304)</f>
        <v/>
      </c>
      <c r="K304" s="25">
        <f>IF(C304="","",IF(G304=0,"not invoiced yet",SUBSTITUTE(TRIM(IF(COUNTIFS(tbl_Finance[Job Number],C304&amp;"",tbl_Finance[Cost Centre],"ONSITE")&gt;0,"ONSITE ","")&amp;IF(COUNTIFS(tbl_Finance[Job Number],C304&amp;"",tbl_Finance[Cost Centre],"PRODUCTION")&gt;0,"PRODUCTION ","")&amp;IF(COUNTIFS(tbl_Finance[Job Number],C304&amp;"",tbl_Finance[Cost Centre],"VIDEO")&gt;0,"VIDEO ","")&amp;IF(COUNTIFS(tbl_Finance[Job Number],C304&amp;"",tbl_Finance[Cost Centre],"INTEGRATION")&gt;0,"INTEGRATION ","")&amp;IF(COUNTIFS(tbl_Finance[Job Number],C304&amp;"",tbl_Finance[Cost Centre],"CONSULTING")&gt;0,"CONSULTING ","")&amp;IF(COUNTIFS(tbl_Finance[Job Number],C304&amp;"",tbl_Finance[Cost Centre],"CTS")&gt;0,"CTS ",""))," ",", ")))</f>
        <v/>
      </c>
      <c r="L304" s="24" t="n"/>
      <c r="M304" s="25">
        <f>IF(L304="","",HYPERLINK(IF(LEFT(L304,4)="http",L304,set_QwilrBase&amp;L304),"Open quote"))</f>
        <v/>
      </c>
      <c r="N304" s="26" t="n"/>
      <c r="O304" s="26" t="n"/>
      <c r="P304" s="26" t="n"/>
      <c r="Q304" s="25">
        <f>IF(C304="","",IF(N(N304)+N(O304)+N(P304)=0,"Not split",IF(ROUND(N(N304)+N(O304)+N(P304),2)=ROUND(H304,2),"OK","MISMATCH")))</f>
        <v/>
      </c>
      <c r="R304" s="26" t="n"/>
      <c r="S304" s="26" t="n"/>
      <c r="T304" s="26" t="n"/>
      <c r="U304" s="27">
        <f>IF(C304="","",N(R304)+N(S304)+N(T304))</f>
        <v/>
      </c>
      <c r="V304" s="27">
        <f>IF(C304="","",H304-U304)</f>
        <v/>
      </c>
      <c r="W304" s="29">
        <f>IFERROR(V304/H304,"")</f>
        <v/>
      </c>
      <c r="X304" s="24" t="n"/>
    </row>
    <row r="305" ht="15" customHeight="1">
      <c r="A305" s="63">
        <f>IF(C305="","",IFERROR(IF(SUMPRODUCT(MAX((tbl_Finance[Job Number]=C305&amp;"")*(tbl_Finance[Xero Invoice No]&lt;&gt;"")*tbl_Finance[Date]))=0,"",SUMPRODUCT(MAX((tbl_Finance[Job Number]=C305&amp;"")*(tbl_Finance[Xero Invoice No]&lt;&gt;"")*tbl_Finance[Date]))),""))</f>
        <v/>
      </c>
      <c r="B305" s="25">
        <f>IF(C305="","",IF(COUNTIFS(tbl_Finance[Job Number],C305&amp;"",tbl_Finance[Xero Invoice No],"&lt;&gt;")=0,"",IFERROR(IF(COUNTIFS(tbl_Finance[Job Number],C305&amp;"",tbl_Finance[Xero Invoice No],LOOKUP(2,1/((tbl_Finance[Job Number]=C305&amp;"")*(tbl_Finance[Xero Invoice No]&lt;&gt;"")),tbl_Finance[Xero Invoice No]))=COUNTIFS(tbl_Finance[Job Number],C305&amp;"",tbl_Finance[Xero Invoice No],"&lt;&gt;"),LOOKUP(2,1/((tbl_Finance[Job Number]=C305&amp;"")*(tbl_Finance[Xero Invoice No]&lt;&gt;"")),tbl_Finance[Xero Invoice No]),LOOKUP(2,1/((tbl_Finance[Job Number]=C305&amp;"")*(tbl_Finance[Xero Invoice No]&lt;&gt;"")),tbl_Finance[Xero Invoice No])&amp;" +more"),"")))</f>
        <v/>
      </c>
      <c r="C305" s="24" t="n"/>
      <c r="D305" s="25">
        <f>IF(C305="","",IF(COUNTIF(lst_Jobs,C305&amp;"")&gt;0,"OK","CHECK"))</f>
        <v/>
      </c>
      <c r="E305" s="25">
        <f>IF(C305="","",IFERROR(INDEX(lst_JobName,MATCH(C305&amp;"",lst_Jobs,0)),""))</f>
        <v/>
      </c>
      <c r="F305" s="25">
        <f>IF(C305="","",IFERROR(INDEX(tbl_Finance[Client],MATCH(C305&amp;"",tbl_Finance[Job Number],0)),""))</f>
        <v/>
      </c>
      <c r="G305" s="28">
        <f>IF(C305="","",COUNTIFS(tbl_Finance[Job Number],C305&amp;"",tbl_Finance[Ex GST],"&lt;&gt;"))</f>
        <v/>
      </c>
      <c r="H305" s="27">
        <f>IF(C305="","",SUMIFS(tbl_Finance[Ex GST],tbl_Finance[Job Number],C305&amp;""))</f>
        <v/>
      </c>
      <c r="I305" s="27">
        <f>IF(C305="","",SUMIFS(tbl_Finance[Ex GST],tbl_Finance[Job Number],C305&amp;"",tbl_Finance[Xero Invoice No],"&lt;&gt;"))</f>
        <v/>
      </c>
      <c r="J305" s="27">
        <f>IF(C305="","",H305-I305)</f>
        <v/>
      </c>
      <c r="K305" s="25">
        <f>IF(C305="","",IF(G305=0,"not invoiced yet",SUBSTITUTE(TRIM(IF(COUNTIFS(tbl_Finance[Job Number],C305&amp;"",tbl_Finance[Cost Centre],"ONSITE")&gt;0,"ONSITE ","")&amp;IF(COUNTIFS(tbl_Finance[Job Number],C305&amp;"",tbl_Finance[Cost Centre],"PRODUCTION")&gt;0,"PRODUCTION ","")&amp;IF(COUNTIFS(tbl_Finance[Job Number],C305&amp;"",tbl_Finance[Cost Centre],"VIDEO")&gt;0,"VIDEO ","")&amp;IF(COUNTIFS(tbl_Finance[Job Number],C305&amp;"",tbl_Finance[Cost Centre],"INTEGRATION")&gt;0,"INTEGRATION ","")&amp;IF(COUNTIFS(tbl_Finance[Job Number],C305&amp;"",tbl_Finance[Cost Centre],"CONSULTING")&gt;0,"CONSULTING ","")&amp;IF(COUNTIFS(tbl_Finance[Job Number],C305&amp;"",tbl_Finance[Cost Centre],"CTS")&gt;0,"CTS ",""))," ",", ")))</f>
        <v/>
      </c>
      <c r="L305" s="24" t="n"/>
      <c r="M305" s="25">
        <f>IF(L305="","",HYPERLINK(IF(LEFT(L305,4)="http",L305,set_QwilrBase&amp;L305),"Open quote"))</f>
        <v/>
      </c>
      <c r="N305" s="26" t="n"/>
      <c r="O305" s="26" t="n"/>
      <c r="P305" s="26" t="n"/>
      <c r="Q305" s="25">
        <f>IF(C305="","",IF(N(N305)+N(O305)+N(P305)=0,"Not split",IF(ROUND(N(N305)+N(O305)+N(P305),2)=ROUND(H305,2),"OK","MISMATCH")))</f>
        <v/>
      </c>
      <c r="R305" s="26" t="n"/>
      <c r="S305" s="26" t="n"/>
      <c r="T305" s="26" t="n"/>
      <c r="U305" s="27">
        <f>IF(C305="","",N(R305)+N(S305)+N(T305))</f>
        <v/>
      </c>
      <c r="V305" s="27">
        <f>IF(C305="","",H305-U305)</f>
        <v/>
      </c>
      <c r="W305" s="29">
        <f>IFERROR(V305/H305,"")</f>
        <v/>
      </c>
      <c r="X305" s="24" t="n"/>
    </row>
    <row r="306" ht="15" customHeight="1">
      <c r="A306" s="63">
        <f>IF(C306="","",IFERROR(IF(SUMPRODUCT(MAX((tbl_Finance[Job Number]=C306&amp;"")*(tbl_Finance[Xero Invoice No]&lt;&gt;"")*tbl_Finance[Date]))=0,"",SUMPRODUCT(MAX((tbl_Finance[Job Number]=C306&amp;"")*(tbl_Finance[Xero Invoice No]&lt;&gt;"")*tbl_Finance[Date]))),""))</f>
        <v/>
      </c>
      <c r="B306" s="25">
        <f>IF(C306="","",IF(COUNTIFS(tbl_Finance[Job Number],C306&amp;"",tbl_Finance[Xero Invoice No],"&lt;&gt;")=0,"",IFERROR(IF(COUNTIFS(tbl_Finance[Job Number],C306&amp;"",tbl_Finance[Xero Invoice No],LOOKUP(2,1/((tbl_Finance[Job Number]=C306&amp;"")*(tbl_Finance[Xero Invoice No]&lt;&gt;"")),tbl_Finance[Xero Invoice No]))=COUNTIFS(tbl_Finance[Job Number],C306&amp;"",tbl_Finance[Xero Invoice No],"&lt;&gt;"),LOOKUP(2,1/((tbl_Finance[Job Number]=C306&amp;"")*(tbl_Finance[Xero Invoice No]&lt;&gt;"")),tbl_Finance[Xero Invoice No]),LOOKUP(2,1/((tbl_Finance[Job Number]=C306&amp;"")*(tbl_Finance[Xero Invoice No]&lt;&gt;"")),tbl_Finance[Xero Invoice No])&amp;" +more"),"")))</f>
        <v/>
      </c>
      <c r="C306" s="24" t="n"/>
      <c r="D306" s="25">
        <f>IF(C306="","",IF(COUNTIF(lst_Jobs,C306&amp;"")&gt;0,"OK","CHECK"))</f>
        <v/>
      </c>
      <c r="E306" s="25">
        <f>IF(C306="","",IFERROR(INDEX(lst_JobName,MATCH(C306&amp;"",lst_Jobs,0)),""))</f>
        <v/>
      </c>
      <c r="F306" s="25">
        <f>IF(C306="","",IFERROR(INDEX(tbl_Finance[Client],MATCH(C306&amp;"",tbl_Finance[Job Number],0)),""))</f>
        <v/>
      </c>
      <c r="G306" s="28">
        <f>IF(C306="","",COUNTIFS(tbl_Finance[Job Number],C306&amp;"",tbl_Finance[Ex GST],"&lt;&gt;"))</f>
        <v/>
      </c>
      <c r="H306" s="27">
        <f>IF(C306="","",SUMIFS(tbl_Finance[Ex GST],tbl_Finance[Job Number],C306&amp;""))</f>
        <v/>
      </c>
      <c r="I306" s="27">
        <f>IF(C306="","",SUMIFS(tbl_Finance[Ex GST],tbl_Finance[Job Number],C306&amp;"",tbl_Finance[Xero Invoice No],"&lt;&gt;"))</f>
        <v/>
      </c>
      <c r="J306" s="27">
        <f>IF(C306="","",H306-I306)</f>
        <v/>
      </c>
      <c r="K306" s="25">
        <f>IF(C306="","",IF(G306=0,"not invoiced yet",SUBSTITUTE(TRIM(IF(COUNTIFS(tbl_Finance[Job Number],C306&amp;"",tbl_Finance[Cost Centre],"ONSITE")&gt;0,"ONSITE ","")&amp;IF(COUNTIFS(tbl_Finance[Job Number],C306&amp;"",tbl_Finance[Cost Centre],"PRODUCTION")&gt;0,"PRODUCTION ","")&amp;IF(COUNTIFS(tbl_Finance[Job Number],C306&amp;"",tbl_Finance[Cost Centre],"VIDEO")&gt;0,"VIDEO ","")&amp;IF(COUNTIFS(tbl_Finance[Job Number],C306&amp;"",tbl_Finance[Cost Centre],"INTEGRATION")&gt;0,"INTEGRATION ","")&amp;IF(COUNTIFS(tbl_Finance[Job Number],C306&amp;"",tbl_Finance[Cost Centre],"CONSULTING")&gt;0,"CONSULTING ","")&amp;IF(COUNTIFS(tbl_Finance[Job Number],C306&amp;"",tbl_Finance[Cost Centre],"CTS")&gt;0,"CTS ",""))," ",", ")))</f>
        <v/>
      </c>
      <c r="L306" s="24" t="n"/>
      <c r="M306" s="25">
        <f>IF(L306="","",HYPERLINK(IF(LEFT(L306,4)="http",L306,set_QwilrBase&amp;L306),"Open quote"))</f>
        <v/>
      </c>
      <c r="N306" s="26" t="n"/>
      <c r="O306" s="26" t="n"/>
      <c r="P306" s="26" t="n"/>
      <c r="Q306" s="25">
        <f>IF(C306="","",IF(N(N306)+N(O306)+N(P306)=0,"Not split",IF(ROUND(N(N306)+N(O306)+N(P306),2)=ROUND(H306,2),"OK","MISMATCH")))</f>
        <v/>
      </c>
      <c r="R306" s="26" t="n"/>
      <c r="S306" s="26" t="n"/>
      <c r="T306" s="26" t="n"/>
      <c r="U306" s="27">
        <f>IF(C306="","",N(R306)+N(S306)+N(T306))</f>
        <v/>
      </c>
      <c r="V306" s="27">
        <f>IF(C306="","",H306-U306)</f>
        <v/>
      </c>
      <c r="W306" s="29">
        <f>IFERROR(V306/H306,"")</f>
        <v/>
      </c>
      <c r="X306" s="24" t="n"/>
    </row>
    <row r="307" ht="15" customHeight="1">
      <c r="A307" s="63">
        <f>IF(C307="","",IFERROR(IF(SUMPRODUCT(MAX((tbl_Finance[Job Number]=C307&amp;"")*(tbl_Finance[Xero Invoice No]&lt;&gt;"")*tbl_Finance[Date]))=0,"",SUMPRODUCT(MAX((tbl_Finance[Job Number]=C307&amp;"")*(tbl_Finance[Xero Invoice No]&lt;&gt;"")*tbl_Finance[Date]))),""))</f>
        <v/>
      </c>
      <c r="B307" s="25">
        <f>IF(C307="","",IF(COUNTIFS(tbl_Finance[Job Number],C307&amp;"",tbl_Finance[Xero Invoice No],"&lt;&gt;")=0,"",IFERROR(IF(COUNTIFS(tbl_Finance[Job Number],C307&amp;"",tbl_Finance[Xero Invoice No],LOOKUP(2,1/((tbl_Finance[Job Number]=C307&amp;"")*(tbl_Finance[Xero Invoice No]&lt;&gt;"")),tbl_Finance[Xero Invoice No]))=COUNTIFS(tbl_Finance[Job Number],C307&amp;"",tbl_Finance[Xero Invoice No],"&lt;&gt;"),LOOKUP(2,1/((tbl_Finance[Job Number]=C307&amp;"")*(tbl_Finance[Xero Invoice No]&lt;&gt;"")),tbl_Finance[Xero Invoice No]),LOOKUP(2,1/((tbl_Finance[Job Number]=C307&amp;"")*(tbl_Finance[Xero Invoice No]&lt;&gt;"")),tbl_Finance[Xero Invoice No])&amp;" +more"),"")))</f>
        <v/>
      </c>
      <c r="C307" s="24" t="n"/>
      <c r="D307" s="25">
        <f>IF(C307="","",IF(COUNTIF(lst_Jobs,C307&amp;"")&gt;0,"OK","CHECK"))</f>
        <v/>
      </c>
      <c r="E307" s="25">
        <f>IF(C307="","",IFERROR(INDEX(lst_JobName,MATCH(C307&amp;"",lst_Jobs,0)),""))</f>
        <v/>
      </c>
      <c r="F307" s="25">
        <f>IF(C307="","",IFERROR(INDEX(tbl_Finance[Client],MATCH(C307&amp;"",tbl_Finance[Job Number],0)),""))</f>
        <v/>
      </c>
      <c r="G307" s="28">
        <f>IF(C307="","",COUNTIFS(tbl_Finance[Job Number],C307&amp;"",tbl_Finance[Ex GST],"&lt;&gt;"))</f>
        <v/>
      </c>
      <c r="H307" s="27">
        <f>IF(C307="","",SUMIFS(tbl_Finance[Ex GST],tbl_Finance[Job Number],C307&amp;""))</f>
        <v/>
      </c>
      <c r="I307" s="27">
        <f>IF(C307="","",SUMIFS(tbl_Finance[Ex GST],tbl_Finance[Job Number],C307&amp;"",tbl_Finance[Xero Invoice No],"&lt;&gt;"))</f>
        <v/>
      </c>
      <c r="J307" s="27">
        <f>IF(C307="","",H307-I307)</f>
        <v/>
      </c>
      <c r="K307" s="25">
        <f>IF(C307="","",IF(G307=0,"not invoiced yet",SUBSTITUTE(TRIM(IF(COUNTIFS(tbl_Finance[Job Number],C307&amp;"",tbl_Finance[Cost Centre],"ONSITE")&gt;0,"ONSITE ","")&amp;IF(COUNTIFS(tbl_Finance[Job Number],C307&amp;"",tbl_Finance[Cost Centre],"PRODUCTION")&gt;0,"PRODUCTION ","")&amp;IF(COUNTIFS(tbl_Finance[Job Number],C307&amp;"",tbl_Finance[Cost Centre],"VIDEO")&gt;0,"VIDEO ","")&amp;IF(COUNTIFS(tbl_Finance[Job Number],C307&amp;"",tbl_Finance[Cost Centre],"INTEGRATION")&gt;0,"INTEGRATION ","")&amp;IF(COUNTIFS(tbl_Finance[Job Number],C307&amp;"",tbl_Finance[Cost Centre],"CONSULTING")&gt;0,"CONSULTING ","")&amp;IF(COUNTIFS(tbl_Finance[Job Number],C307&amp;"",tbl_Finance[Cost Centre],"CTS")&gt;0,"CTS ",""))," ",", ")))</f>
        <v/>
      </c>
      <c r="L307" s="24" t="n"/>
      <c r="M307" s="25">
        <f>IF(L307="","",HYPERLINK(IF(LEFT(L307,4)="http",L307,set_QwilrBase&amp;L307),"Open quote"))</f>
        <v/>
      </c>
      <c r="N307" s="26" t="n"/>
      <c r="O307" s="26" t="n"/>
      <c r="P307" s="26" t="n"/>
      <c r="Q307" s="25">
        <f>IF(C307="","",IF(N(N307)+N(O307)+N(P307)=0,"Not split",IF(ROUND(N(N307)+N(O307)+N(P307),2)=ROUND(H307,2),"OK","MISMATCH")))</f>
        <v/>
      </c>
      <c r="R307" s="26" t="n"/>
      <c r="S307" s="26" t="n"/>
      <c r="T307" s="26" t="n"/>
      <c r="U307" s="27">
        <f>IF(C307="","",N(R307)+N(S307)+N(T307))</f>
        <v/>
      </c>
      <c r="V307" s="27">
        <f>IF(C307="","",H307-U307)</f>
        <v/>
      </c>
      <c r="W307" s="29">
        <f>IFERROR(V307/H307,"")</f>
        <v/>
      </c>
      <c r="X307" s="24" t="n"/>
    </row>
    <row r="308" ht="15" customHeight="1">
      <c r="A308" s="63">
        <f>IF(C308="","",IFERROR(IF(SUMPRODUCT(MAX((tbl_Finance[Job Number]=C308&amp;"")*(tbl_Finance[Xero Invoice No]&lt;&gt;"")*tbl_Finance[Date]))=0,"",SUMPRODUCT(MAX((tbl_Finance[Job Number]=C308&amp;"")*(tbl_Finance[Xero Invoice No]&lt;&gt;"")*tbl_Finance[Date]))),""))</f>
        <v/>
      </c>
      <c r="B308" s="25">
        <f>IF(C308="","",IF(COUNTIFS(tbl_Finance[Job Number],C308&amp;"",tbl_Finance[Xero Invoice No],"&lt;&gt;")=0,"",IFERROR(IF(COUNTIFS(tbl_Finance[Job Number],C308&amp;"",tbl_Finance[Xero Invoice No],LOOKUP(2,1/((tbl_Finance[Job Number]=C308&amp;"")*(tbl_Finance[Xero Invoice No]&lt;&gt;"")),tbl_Finance[Xero Invoice No]))=COUNTIFS(tbl_Finance[Job Number],C308&amp;"",tbl_Finance[Xero Invoice No],"&lt;&gt;"),LOOKUP(2,1/((tbl_Finance[Job Number]=C308&amp;"")*(tbl_Finance[Xero Invoice No]&lt;&gt;"")),tbl_Finance[Xero Invoice No]),LOOKUP(2,1/((tbl_Finance[Job Number]=C308&amp;"")*(tbl_Finance[Xero Invoice No]&lt;&gt;"")),tbl_Finance[Xero Invoice No])&amp;" +more"),"")))</f>
        <v/>
      </c>
      <c r="C308" s="24" t="n"/>
      <c r="D308" s="25">
        <f>IF(C308="","",IF(COUNTIF(lst_Jobs,C308&amp;"")&gt;0,"OK","CHECK"))</f>
        <v/>
      </c>
      <c r="E308" s="25">
        <f>IF(C308="","",IFERROR(INDEX(lst_JobName,MATCH(C308&amp;"",lst_Jobs,0)),""))</f>
        <v/>
      </c>
      <c r="F308" s="25">
        <f>IF(C308="","",IFERROR(INDEX(tbl_Finance[Client],MATCH(C308&amp;"",tbl_Finance[Job Number],0)),""))</f>
        <v/>
      </c>
      <c r="G308" s="28">
        <f>IF(C308="","",COUNTIFS(tbl_Finance[Job Number],C308&amp;"",tbl_Finance[Ex GST],"&lt;&gt;"))</f>
        <v/>
      </c>
      <c r="H308" s="27">
        <f>IF(C308="","",SUMIFS(tbl_Finance[Ex GST],tbl_Finance[Job Number],C308&amp;""))</f>
        <v/>
      </c>
      <c r="I308" s="27">
        <f>IF(C308="","",SUMIFS(tbl_Finance[Ex GST],tbl_Finance[Job Number],C308&amp;"",tbl_Finance[Xero Invoice No],"&lt;&gt;"))</f>
        <v/>
      </c>
      <c r="J308" s="27">
        <f>IF(C308="","",H308-I308)</f>
        <v/>
      </c>
      <c r="K308" s="25">
        <f>IF(C308="","",IF(G308=0,"not invoiced yet",SUBSTITUTE(TRIM(IF(COUNTIFS(tbl_Finance[Job Number],C308&amp;"",tbl_Finance[Cost Centre],"ONSITE")&gt;0,"ONSITE ","")&amp;IF(COUNTIFS(tbl_Finance[Job Number],C308&amp;"",tbl_Finance[Cost Centre],"PRODUCTION")&gt;0,"PRODUCTION ","")&amp;IF(COUNTIFS(tbl_Finance[Job Number],C308&amp;"",tbl_Finance[Cost Centre],"VIDEO")&gt;0,"VIDEO ","")&amp;IF(COUNTIFS(tbl_Finance[Job Number],C308&amp;"",tbl_Finance[Cost Centre],"INTEGRATION")&gt;0,"INTEGRATION ","")&amp;IF(COUNTIFS(tbl_Finance[Job Number],C308&amp;"",tbl_Finance[Cost Centre],"CONSULTING")&gt;0,"CONSULTING ","")&amp;IF(COUNTIFS(tbl_Finance[Job Number],C308&amp;"",tbl_Finance[Cost Centre],"CTS")&gt;0,"CTS ",""))," ",", ")))</f>
        <v/>
      </c>
      <c r="L308" s="24" t="n"/>
      <c r="M308" s="25">
        <f>IF(L308="","",HYPERLINK(IF(LEFT(L308,4)="http",L308,set_QwilrBase&amp;L308),"Open quote"))</f>
        <v/>
      </c>
      <c r="N308" s="26" t="n"/>
      <c r="O308" s="26" t="n"/>
      <c r="P308" s="26" t="n"/>
      <c r="Q308" s="25">
        <f>IF(C308="","",IF(N(N308)+N(O308)+N(P308)=0,"Not split",IF(ROUND(N(N308)+N(O308)+N(P308),2)=ROUND(H308,2),"OK","MISMATCH")))</f>
        <v/>
      </c>
      <c r="R308" s="26" t="n"/>
      <c r="S308" s="26" t="n"/>
      <c r="T308" s="26" t="n"/>
      <c r="U308" s="27">
        <f>IF(C308="","",N(R308)+N(S308)+N(T308))</f>
        <v/>
      </c>
      <c r="V308" s="27">
        <f>IF(C308="","",H308-U308)</f>
        <v/>
      </c>
      <c r="W308" s="29">
        <f>IFERROR(V308/H308,"")</f>
        <v/>
      </c>
      <c r="X308" s="24" t="n"/>
    </row>
    <row r="309" ht="15" customHeight="1">
      <c r="A309" s="63">
        <f>IF(C309="","",IFERROR(IF(SUMPRODUCT(MAX((tbl_Finance[Job Number]=C309&amp;"")*(tbl_Finance[Xero Invoice No]&lt;&gt;"")*tbl_Finance[Date]))=0,"",SUMPRODUCT(MAX((tbl_Finance[Job Number]=C309&amp;"")*(tbl_Finance[Xero Invoice No]&lt;&gt;"")*tbl_Finance[Date]))),""))</f>
        <v/>
      </c>
      <c r="B309" s="25">
        <f>IF(C309="","",IF(COUNTIFS(tbl_Finance[Job Number],C309&amp;"",tbl_Finance[Xero Invoice No],"&lt;&gt;")=0,"",IFERROR(IF(COUNTIFS(tbl_Finance[Job Number],C309&amp;"",tbl_Finance[Xero Invoice No],LOOKUP(2,1/((tbl_Finance[Job Number]=C309&amp;"")*(tbl_Finance[Xero Invoice No]&lt;&gt;"")),tbl_Finance[Xero Invoice No]))=COUNTIFS(tbl_Finance[Job Number],C309&amp;"",tbl_Finance[Xero Invoice No],"&lt;&gt;"),LOOKUP(2,1/((tbl_Finance[Job Number]=C309&amp;"")*(tbl_Finance[Xero Invoice No]&lt;&gt;"")),tbl_Finance[Xero Invoice No]),LOOKUP(2,1/((tbl_Finance[Job Number]=C309&amp;"")*(tbl_Finance[Xero Invoice No]&lt;&gt;"")),tbl_Finance[Xero Invoice No])&amp;" +more"),"")))</f>
        <v/>
      </c>
      <c r="C309" s="24" t="n"/>
      <c r="D309" s="25">
        <f>IF(C309="","",IF(COUNTIF(lst_Jobs,C309&amp;"")&gt;0,"OK","CHECK"))</f>
        <v/>
      </c>
      <c r="E309" s="25">
        <f>IF(C309="","",IFERROR(INDEX(lst_JobName,MATCH(C309&amp;"",lst_Jobs,0)),""))</f>
        <v/>
      </c>
      <c r="F309" s="25">
        <f>IF(C309="","",IFERROR(INDEX(tbl_Finance[Client],MATCH(C309&amp;"",tbl_Finance[Job Number],0)),""))</f>
        <v/>
      </c>
      <c r="G309" s="28">
        <f>IF(C309="","",COUNTIFS(tbl_Finance[Job Number],C309&amp;"",tbl_Finance[Ex GST],"&lt;&gt;"))</f>
        <v/>
      </c>
      <c r="H309" s="27">
        <f>IF(C309="","",SUMIFS(tbl_Finance[Ex GST],tbl_Finance[Job Number],C309&amp;""))</f>
        <v/>
      </c>
      <c r="I309" s="27">
        <f>IF(C309="","",SUMIFS(tbl_Finance[Ex GST],tbl_Finance[Job Number],C309&amp;"",tbl_Finance[Xero Invoice No],"&lt;&gt;"))</f>
        <v/>
      </c>
      <c r="J309" s="27">
        <f>IF(C309="","",H309-I309)</f>
        <v/>
      </c>
      <c r="K309" s="25">
        <f>IF(C309="","",IF(G309=0,"not invoiced yet",SUBSTITUTE(TRIM(IF(COUNTIFS(tbl_Finance[Job Number],C309&amp;"",tbl_Finance[Cost Centre],"ONSITE")&gt;0,"ONSITE ","")&amp;IF(COUNTIFS(tbl_Finance[Job Number],C309&amp;"",tbl_Finance[Cost Centre],"PRODUCTION")&gt;0,"PRODUCTION ","")&amp;IF(COUNTIFS(tbl_Finance[Job Number],C309&amp;"",tbl_Finance[Cost Centre],"VIDEO")&gt;0,"VIDEO ","")&amp;IF(COUNTIFS(tbl_Finance[Job Number],C309&amp;"",tbl_Finance[Cost Centre],"INTEGRATION")&gt;0,"INTEGRATION ","")&amp;IF(COUNTIFS(tbl_Finance[Job Number],C309&amp;"",tbl_Finance[Cost Centre],"CONSULTING")&gt;0,"CONSULTING ","")&amp;IF(COUNTIFS(tbl_Finance[Job Number],C309&amp;"",tbl_Finance[Cost Centre],"CTS")&gt;0,"CTS ",""))," ",", ")))</f>
        <v/>
      </c>
      <c r="L309" s="24" t="n"/>
      <c r="M309" s="25">
        <f>IF(L309="","",HYPERLINK(IF(LEFT(L309,4)="http",L309,set_QwilrBase&amp;L309),"Open quote"))</f>
        <v/>
      </c>
      <c r="N309" s="26" t="n"/>
      <c r="O309" s="26" t="n"/>
      <c r="P309" s="26" t="n"/>
      <c r="Q309" s="25">
        <f>IF(C309="","",IF(N(N309)+N(O309)+N(P309)=0,"Not split",IF(ROUND(N(N309)+N(O309)+N(P309),2)=ROUND(H309,2),"OK","MISMATCH")))</f>
        <v/>
      </c>
      <c r="R309" s="26" t="n"/>
      <c r="S309" s="26" t="n"/>
      <c r="T309" s="26" t="n"/>
      <c r="U309" s="27">
        <f>IF(C309="","",N(R309)+N(S309)+N(T309))</f>
        <v/>
      </c>
      <c r="V309" s="27">
        <f>IF(C309="","",H309-U309)</f>
        <v/>
      </c>
      <c r="W309" s="29">
        <f>IFERROR(V309/H309,"")</f>
        <v/>
      </c>
      <c r="X309" s="24" t="n"/>
    </row>
    <row r="310" ht="15" customHeight="1">
      <c r="A310" s="63">
        <f>IF(C310="","",IFERROR(IF(SUMPRODUCT(MAX((tbl_Finance[Job Number]=C310&amp;"")*(tbl_Finance[Xero Invoice No]&lt;&gt;"")*tbl_Finance[Date]))=0,"",SUMPRODUCT(MAX((tbl_Finance[Job Number]=C310&amp;"")*(tbl_Finance[Xero Invoice No]&lt;&gt;"")*tbl_Finance[Date]))),""))</f>
        <v/>
      </c>
      <c r="B310" s="25">
        <f>IF(C310="","",IF(COUNTIFS(tbl_Finance[Job Number],C310&amp;"",tbl_Finance[Xero Invoice No],"&lt;&gt;")=0,"",IFERROR(IF(COUNTIFS(tbl_Finance[Job Number],C310&amp;"",tbl_Finance[Xero Invoice No],LOOKUP(2,1/((tbl_Finance[Job Number]=C310&amp;"")*(tbl_Finance[Xero Invoice No]&lt;&gt;"")),tbl_Finance[Xero Invoice No]))=COUNTIFS(tbl_Finance[Job Number],C310&amp;"",tbl_Finance[Xero Invoice No],"&lt;&gt;"),LOOKUP(2,1/((tbl_Finance[Job Number]=C310&amp;"")*(tbl_Finance[Xero Invoice No]&lt;&gt;"")),tbl_Finance[Xero Invoice No]),LOOKUP(2,1/((tbl_Finance[Job Number]=C310&amp;"")*(tbl_Finance[Xero Invoice No]&lt;&gt;"")),tbl_Finance[Xero Invoice No])&amp;" +more"),"")))</f>
        <v/>
      </c>
      <c r="C310" s="24" t="n"/>
      <c r="D310" s="25">
        <f>IF(C310="","",IF(COUNTIF(lst_Jobs,C310&amp;"")&gt;0,"OK","CHECK"))</f>
        <v/>
      </c>
      <c r="E310" s="25">
        <f>IF(C310="","",IFERROR(INDEX(lst_JobName,MATCH(C310&amp;"",lst_Jobs,0)),""))</f>
        <v/>
      </c>
      <c r="F310" s="25">
        <f>IF(C310="","",IFERROR(INDEX(tbl_Finance[Client],MATCH(C310&amp;"",tbl_Finance[Job Number],0)),""))</f>
        <v/>
      </c>
      <c r="G310" s="28">
        <f>IF(C310="","",COUNTIFS(tbl_Finance[Job Number],C310&amp;"",tbl_Finance[Ex GST],"&lt;&gt;"))</f>
        <v/>
      </c>
      <c r="H310" s="27">
        <f>IF(C310="","",SUMIFS(tbl_Finance[Ex GST],tbl_Finance[Job Number],C310&amp;""))</f>
        <v/>
      </c>
      <c r="I310" s="27">
        <f>IF(C310="","",SUMIFS(tbl_Finance[Ex GST],tbl_Finance[Job Number],C310&amp;"",tbl_Finance[Xero Invoice No],"&lt;&gt;"))</f>
        <v/>
      </c>
      <c r="J310" s="27">
        <f>IF(C310="","",H310-I310)</f>
        <v/>
      </c>
      <c r="K310" s="25">
        <f>IF(C310="","",IF(G310=0,"not invoiced yet",SUBSTITUTE(TRIM(IF(COUNTIFS(tbl_Finance[Job Number],C310&amp;"",tbl_Finance[Cost Centre],"ONSITE")&gt;0,"ONSITE ","")&amp;IF(COUNTIFS(tbl_Finance[Job Number],C310&amp;"",tbl_Finance[Cost Centre],"PRODUCTION")&gt;0,"PRODUCTION ","")&amp;IF(COUNTIFS(tbl_Finance[Job Number],C310&amp;"",tbl_Finance[Cost Centre],"VIDEO")&gt;0,"VIDEO ","")&amp;IF(COUNTIFS(tbl_Finance[Job Number],C310&amp;"",tbl_Finance[Cost Centre],"INTEGRATION")&gt;0,"INTEGRATION ","")&amp;IF(COUNTIFS(tbl_Finance[Job Number],C310&amp;"",tbl_Finance[Cost Centre],"CONSULTING")&gt;0,"CONSULTING ","")&amp;IF(COUNTIFS(tbl_Finance[Job Number],C310&amp;"",tbl_Finance[Cost Centre],"CTS")&gt;0,"CTS ",""))," ",", ")))</f>
        <v/>
      </c>
      <c r="L310" s="24" t="n"/>
      <c r="M310" s="25">
        <f>IF(L310="","",HYPERLINK(IF(LEFT(L310,4)="http",L310,set_QwilrBase&amp;L310),"Open quote"))</f>
        <v/>
      </c>
      <c r="N310" s="26" t="n"/>
      <c r="O310" s="26" t="n"/>
      <c r="P310" s="26" t="n"/>
      <c r="Q310" s="25">
        <f>IF(C310="","",IF(N(N310)+N(O310)+N(P310)=0,"Not split",IF(ROUND(N(N310)+N(O310)+N(P310),2)=ROUND(H310,2),"OK","MISMATCH")))</f>
        <v/>
      </c>
      <c r="R310" s="26" t="n"/>
      <c r="S310" s="26" t="n"/>
      <c r="T310" s="26" t="n"/>
      <c r="U310" s="27">
        <f>IF(C310="","",N(R310)+N(S310)+N(T310))</f>
        <v/>
      </c>
      <c r="V310" s="27">
        <f>IF(C310="","",H310-U310)</f>
        <v/>
      </c>
      <c r="W310" s="29">
        <f>IFERROR(V310/H310,"")</f>
        <v/>
      </c>
      <c r="X310" s="24" t="n"/>
    </row>
    <row r="311" ht="15" customHeight="1">
      <c r="A311" s="63">
        <f>IF(C311="","",IFERROR(IF(SUMPRODUCT(MAX((tbl_Finance[Job Number]=C311&amp;"")*(tbl_Finance[Xero Invoice No]&lt;&gt;"")*tbl_Finance[Date]))=0,"",SUMPRODUCT(MAX((tbl_Finance[Job Number]=C311&amp;"")*(tbl_Finance[Xero Invoice No]&lt;&gt;"")*tbl_Finance[Date]))),""))</f>
        <v/>
      </c>
      <c r="B311" s="25">
        <f>IF(C311="","",IF(COUNTIFS(tbl_Finance[Job Number],C311&amp;"",tbl_Finance[Xero Invoice No],"&lt;&gt;")=0,"",IFERROR(IF(COUNTIFS(tbl_Finance[Job Number],C311&amp;"",tbl_Finance[Xero Invoice No],LOOKUP(2,1/((tbl_Finance[Job Number]=C311&amp;"")*(tbl_Finance[Xero Invoice No]&lt;&gt;"")),tbl_Finance[Xero Invoice No]))=COUNTIFS(tbl_Finance[Job Number],C311&amp;"",tbl_Finance[Xero Invoice No],"&lt;&gt;"),LOOKUP(2,1/((tbl_Finance[Job Number]=C311&amp;"")*(tbl_Finance[Xero Invoice No]&lt;&gt;"")),tbl_Finance[Xero Invoice No]),LOOKUP(2,1/((tbl_Finance[Job Number]=C311&amp;"")*(tbl_Finance[Xero Invoice No]&lt;&gt;"")),tbl_Finance[Xero Invoice No])&amp;" +more"),"")))</f>
        <v/>
      </c>
      <c r="C311" s="24" t="n"/>
      <c r="D311" s="25">
        <f>IF(C311="","",IF(COUNTIF(lst_Jobs,C311&amp;"")&gt;0,"OK","CHECK"))</f>
        <v/>
      </c>
      <c r="E311" s="25">
        <f>IF(C311="","",IFERROR(INDEX(lst_JobName,MATCH(C311&amp;"",lst_Jobs,0)),""))</f>
        <v/>
      </c>
      <c r="F311" s="25">
        <f>IF(C311="","",IFERROR(INDEX(tbl_Finance[Client],MATCH(C311&amp;"",tbl_Finance[Job Number],0)),""))</f>
        <v/>
      </c>
      <c r="G311" s="28">
        <f>IF(C311="","",COUNTIFS(tbl_Finance[Job Number],C311&amp;"",tbl_Finance[Ex GST],"&lt;&gt;"))</f>
        <v/>
      </c>
      <c r="H311" s="27">
        <f>IF(C311="","",SUMIFS(tbl_Finance[Ex GST],tbl_Finance[Job Number],C311&amp;""))</f>
        <v/>
      </c>
      <c r="I311" s="27">
        <f>IF(C311="","",SUMIFS(tbl_Finance[Ex GST],tbl_Finance[Job Number],C311&amp;"",tbl_Finance[Xero Invoice No],"&lt;&gt;"))</f>
        <v/>
      </c>
      <c r="J311" s="27">
        <f>IF(C311="","",H311-I311)</f>
        <v/>
      </c>
      <c r="K311" s="25">
        <f>IF(C311="","",IF(G311=0,"not invoiced yet",SUBSTITUTE(TRIM(IF(COUNTIFS(tbl_Finance[Job Number],C311&amp;"",tbl_Finance[Cost Centre],"ONSITE")&gt;0,"ONSITE ","")&amp;IF(COUNTIFS(tbl_Finance[Job Number],C311&amp;"",tbl_Finance[Cost Centre],"PRODUCTION")&gt;0,"PRODUCTION ","")&amp;IF(COUNTIFS(tbl_Finance[Job Number],C311&amp;"",tbl_Finance[Cost Centre],"VIDEO")&gt;0,"VIDEO ","")&amp;IF(COUNTIFS(tbl_Finance[Job Number],C311&amp;"",tbl_Finance[Cost Centre],"INTEGRATION")&gt;0,"INTEGRATION ","")&amp;IF(COUNTIFS(tbl_Finance[Job Number],C311&amp;"",tbl_Finance[Cost Centre],"CONSULTING")&gt;0,"CONSULTING ","")&amp;IF(COUNTIFS(tbl_Finance[Job Number],C311&amp;"",tbl_Finance[Cost Centre],"CTS")&gt;0,"CTS ",""))," ",", ")))</f>
        <v/>
      </c>
      <c r="L311" s="24" t="n"/>
      <c r="M311" s="25">
        <f>IF(L311="","",HYPERLINK(IF(LEFT(L311,4)="http",L311,set_QwilrBase&amp;L311),"Open quote"))</f>
        <v/>
      </c>
      <c r="N311" s="26" t="n"/>
      <c r="O311" s="26" t="n"/>
      <c r="P311" s="26" t="n"/>
      <c r="Q311" s="25">
        <f>IF(C311="","",IF(N(N311)+N(O311)+N(P311)=0,"Not split",IF(ROUND(N(N311)+N(O311)+N(P311),2)=ROUND(H311,2),"OK","MISMATCH")))</f>
        <v/>
      </c>
      <c r="R311" s="26" t="n"/>
      <c r="S311" s="26" t="n"/>
      <c r="T311" s="26" t="n"/>
      <c r="U311" s="27">
        <f>IF(C311="","",N(R311)+N(S311)+N(T311))</f>
        <v/>
      </c>
      <c r="V311" s="27">
        <f>IF(C311="","",H311-U311)</f>
        <v/>
      </c>
      <c r="W311" s="29">
        <f>IFERROR(V311/H311,"")</f>
        <v/>
      </c>
      <c r="X311" s="24" t="n"/>
    </row>
    <row r="312" ht="15" customHeight="1">
      <c r="A312" s="63">
        <f>IF(C312="","",IFERROR(IF(SUMPRODUCT(MAX((tbl_Finance[Job Number]=C312&amp;"")*(tbl_Finance[Xero Invoice No]&lt;&gt;"")*tbl_Finance[Date]))=0,"",SUMPRODUCT(MAX((tbl_Finance[Job Number]=C312&amp;"")*(tbl_Finance[Xero Invoice No]&lt;&gt;"")*tbl_Finance[Date]))),""))</f>
        <v/>
      </c>
      <c r="B312" s="25">
        <f>IF(C312="","",IF(COUNTIFS(tbl_Finance[Job Number],C312&amp;"",tbl_Finance[Xero Invoice No],"&lt;&gt;")=0,"",IFERROR(IF(COUNTIFS(tbl_Finance[Job Number],C312&amp;"",tbl_Finance[Xero Invoice No],LOOKUP(2,1/((tbl_Finance[Job Number]=C312&amp;"")*(tbl_Finance[Xero Invoice No]&lt;&gt;"")),tbl_Finance[Xero Invoice No]))=COUNTIFS(tbl_Finance[Job Number],C312&amp;"",tbl_Finance[Xero Invoice No],"&lt;&gt;"),LOOKUP(2,1/((tbl_Finance[Job Number]=C312&amp;"")*(tbl_Finance[Xero Invoice No]&lt;&gt;"")),tbl_Finance[Xero Invoice No]),LOOKUP(2,1/((tbl_Finance[Job Number]=C312&amp;"")*(tbl_Finance[Xero Invoice No]&lt;&gt;"")),tbl_Finance[Xero Invoice No])&amp;" +more"),"")))</f>
        <v/>
      </c>
      <c r="C312" s="24" t="n"/>
      <c r="D312" s="25">
        <f>IF(C312="","",IF(COUNTIF(lst_Jobs,C312&amp;"")&gt;0,"OK","CHECK"))</f>
        <v/>
      </c>
      <c r="E312" s="25">
        <f>IF(C312="","",IFERROR(INDEX(lst_JobName,MATCH(C312&amp;"",lst_Jobs,0)),""))</f>
        <v/>
      </c>
      <c r="F312" s="25">
        <f>IF(C312="","",IFERROR(INDEX(tbl_Finance[Client],MATCH(C312&amp;"",tbl_Finance[Job Number],0)),""))</f>
        <v/>
      </c>
      <c r="G312" s="28">
        <f>IF(C312="","",COUNTIFS(tbl_Finance[Job Number],C312&amp;"",tbl_Finance[Ex GST],"&lt;&gt;"))</f>
        <v/>
      </c>
      <c r="H312" s="27">
        <f>IF(C312="","",SUMIFS(tbl_Finance[Ex GST],tbl_Finance[Job Number],C312&amp;""))</f>
        <v/>
      </c>
      <c r="I312" s="27">
        <f>IF(C312="","",SUMIFS(tbl_Finance[Ex GST],tbl_Finance[Job Number],C312&amp;"",tbl_Finance[Xero Invoice No],"&lt;&gt;"))</f>
        <v/>
      </c>
      <c r="J312" s="27">
        <f>IF(C312="","",H312-I312)</f>
        <v/>
      </c>
      <c r="K312" s="25">
        <f>IF(C312="","",IF(G312=0,"not invoiced yet",SUBSTITUTE(TRIM(IF(COUNTIFS(tbl_Finance[Job Number],C312&amp;"",tbl_Finance[Cost Centre],"ONSITE")&gt;0,"ONSITE ","")&amp;IF(COUNTIFS(tbl_Finance[Job Number],C312&amp;"",tbl_Finance[Cost Centre],"PRODUCTION")&gt;0,"PRODUCTION ","")&amp;IF(COUNTIFS(tbl_Finance[Job Number],C312&amp;"",tbl_Finance[Cost Centre],"VIDEO")&gt;0,"VIDEO ","")&amp;IF(COUNTIFS(tbl_Finance[Job Number],C312&amp;"",tbl_Finance[Cost Centre],"INTEGRATION")&gt;0,"INTEGRATION ","")&amp;IF(COUNTIFS(tbl_Finance[Job Number],C312&amp;"",tbl_Finance[Cost Centre],"CONSULTING")&gt;0,"CONSULTING ","")&amp;IF(COUNTIFS(tbl_Finance[Job Number],C312&amp;"",tbl_Finance[Cost Centre],"CTS")&gt;0,"CTS ",""))," ",", ")))</f>
        <v/>
      </c>
      <c r="L312" s="24" t="n"/>
      <c r="M312" s="25">
        <f>IF(L312="","",HYPERLINK(IF(LEFT(L312,4)="http",L312,set_QwilrBase&amp;L312),"Open quote"))</f>
        <v/>
      </c>
      <c r="N312" s="26" t="n"/>
      <c r="O312" s="26" t="n"/>
      <c r="P312" s="26" t="n"/>
      <c r="Q312" s="25">
        <f>IF(C312="","",IF(N(N312)+N(O312)+N(P312)=0,"Not split",IF(ROUND(N(N312)+N(O312)+N(P312),2)=ROUND(H312,2),"OK","MISMATCH")))</f>
        <v/>
      </c>
      <c r="R312" s="26" t="n"/>
      <c r="S312" s="26" t="n"/>
      <c r="T312" s="26" t="n"/>
      <c r="U312" s="27">
        <f>IF(C312="","",N(R312)+N(S312)+N(T312))</f>
        <v/>
      </c>
      <c r="V312" s="27">
        <f>IF(C312="","",H312-U312)</f>
        <v/>
      </c>
      <c r="W312" s="29">
        <f>IFERROR(V312/H312,"")</f>
        <v/>
      </c>
      <c r="X312" s="24" t="n"/>
    </row>
    <row r="313" ht="15" customHeight="1">
      <c r="A313" s="63">
        <f>IF(C313="","",IFERROR(IF(SUMPRODUCT(MAX((tbl_Finance[Job Number]=C313&amp;"")*(tbl_Finance[Xero Invoice No]&lt;&gt;"")*tbl_Finance[Date]))=0,"",SUMPRODUCT(MAX((tbl_Finance[Job Number]=C313&amp;"")*(tbl_Finance[Xero Invoice No]&lt;&gt;"")*tbl_Finance[Date]))),""))</f>
        <v/>
      </c>
      <c r="B313" s="25">
        <f>IF(C313="","",IF(COUNTIFS(tbl_Finance[Job Number],C313&amp;"",tbl_Finance[Xero Invoice No],"&lt;&gt;")=0,"",IFERROR(IF(COUNTIFS(tbl_Finance[Job Number],C313&amp;"",tbl_Finance[Xero Invoice No],LOOKUP(2,1/((tbl_Finance[Job Number]=C313&amp;"")*(tbl_Finance[Xero Invoice No]&lt;&gt;"")),tbl_Finance[Xero Invoice No]))=COUNTIFS(tbl_Finance[Job Number],C313&amp;"",tbl_Finance[Xero Invoice No],"&lt;&gt;"),LOOKUP(2,1/((tbl_Finance[Job Number]=C313&amp;"")*(tbl_Finance[Xero Invoice No]&lt;&gt;"")),tbl_Finance[Xero Invoice No]),LOOKUP(2,1/((tbl_Finance[Job Number]=C313&amp;"")*(tbl_Finance[Xero Invoice No]&lt;&gt;"")),tbl_Finance[Xero Invoice No])&amp;" +more"),"")))</f>
        <v/>
      </c>
      <c r="C313" s="24" t="n"/>
      <c r="D313" s="25">
        <f>IF(C313="","",IF(COUNTIF(lst_Jobs,C313&amp;"")&gt;0,"OK","CHECK"))</f>
        <v/>
      </c>
      <c r="E313" s="25">
        <f>IF(C313="","",IFERROR(INDEX(lst_JobName,MATCH(C313&amp;"",lst_Jobs,0)),""))</f>
        <v/>
      </c>
      <c r="F313" s="25">
        <f>IF(C313="","",IFERROR(INDEX(tbl_Finance[Client],MATCH(C313&amp;"",tbl_Finance[Job Number],0)),""))</f>
        <v/>
      </c>
      <c r="G313" s="28">
        <f>IF(C313="","",COUNTIFS(tbl_Finance[Job Number],C313&amp;"",tbl_Finance[Ex GST],"&lt;&gt;"))</f>
        <v/>
      </c>
      <c r="H313" s="27">
        <f>IF(C313="","",SUMIFS(tbl_Finance[Ex GST],tbl_Finance[Job Number],C313&amp;""))</f>
        <v/>
      </c>
      <c r="I313" s="27">
        <f>IF(C313="","",SUMIFS(tbl_Finance[Ex GST],tbl_Finance[Job Number],C313&amp;"",tbl_Finance[Xero Invoice No],"&lt;&gt;"))</f>
        <v/>
      </c>
      <c r="J313" s="27">
        <f>IF(C313="","",H313-I313)</f>
        <v/>
      </c>
      <c r="K313" s="25">
        <f>IF(C313="","",IF(G313=0,"not invoiced yet",SUBSTITUTE(TRIM(IF(COUNTIFS(tbl_Finance[Job Number],C313&amp;"",tbl_Finance[Cost Centre],"ONSITE")&gt;0,"ONSITE ","")&amp;IF(COUNTIFS(tbl_Finance[Job Number],C313&amp;"",tbl_Finance[Cost Centre],"PRODUCTION")&gt;0,"PRODUCTION ","")&amp;IF(COUNTIFS(tbl_Finance[Job Number],C313&amp;"",tbl_Finance[Cost Centre],"VIDEO")&gt;0,"VIDEO ","")&amp;IF(COUNTIFS(tbl_Finance[Job Number],C313&amp;"",tbl_Finance[Cost Centre],"INTEGRATION")&gt;0,"INTEGRATION ","")&amp;IF(COUNTIFS(tbl_Finance[Job Number],C313&amp;"",tbl_Finance[Cost Centre],"CONSULTING")&gt;0,"CONSULTING ","")&amp;IF(COUNTIFS(tbl_Finance[Job Number],C313&amp;"",tbl_Finance[Cost Centre],"CTS")&gt;0,"CTS ",""))," ",", ")))</f>
        <v/>
      </c>
      <c r="L313" s="24" t="n"/>
      <c r="M313" s="25">
        <f>IF(L313="","",HYPERLINK(IF(LEFT(L313,4)="http",L313,set_QwilrBase&amp;L313),"Open quote"))</f>
        <v/>
      </c>
      <c r="N313" s="26" t="n"/>
      <c r="O313" s="26" t="n"/>
      <c r="P313" s="26" t="n"/>
      <c r="Q313" s="25">
        <f>IF(C313="","",IF(N(N313)+N(O313)+N(P313)=0,"Not split",IF(ROUND(N(N313)+N(O313)+N(P313),2)=ROUND(H313,2),"OK","MISMATCH")))</f>
        <v/>
      </c>
      <c r="R313" s="26" t="n"/>
      <c r="S313" s="26" t="n"/>
      <c r="T313" s="26" t="n"/>
      <c r="U313" s="27">
        <f>IF(C313="","",N(R313)+N(S313)+N(T313))</f>
        <v/>
      </c>
      <c r="V313" s="27">
        <f>IF(C313="","",H313-U313)</f>
        <v/>
      </c>
      <c r="W313" s="29">
        <f>IFERROR(V313/H313,"")</f>
        <v/>
      </c>
      <c r="X313" s="24" t="n"/>
    </row>
    <row r="314" ht="15" customHeight="1">
      <c r="A314" s="63">
        <f>IF(C314="","",IFERROR(IF(SUMPRODUCT(MAX((tbl_Finance[Job Number]=C314&amp;"")*(tbl_Finance[Xero Invoice No]&lt;&gt;"")*tbl_Finance[Date]))=0,"",SUMPRODUCT(MAX((tbl_Finance[Job Number]=C314&amp;"")*(tbl_Finance[Xero Invoice No]&lt;&gt;"")*tbl_Finance[Date]))),""))</f>
        <v/>
      </c>
      <c r="B314" s="25">
        <f>IF(C314="","",IF(COUNTIFS(tbl_Finance[Job Number],C314&amp;"",tbl_Finance[Xero Invoice No],"&lt;&gt;")=0,"",IFERROR(IF(COUNTIFS(tbl_Finance[Job Number],C314&amp;"",tbl_Finance[Xero Invoice No],LOOKUP(2,1/((tbl_Finance[Job Number]=C314&amp;"")*(tbl_Finance[Xero Invoice No]&lt;&gt;"")),tbl_Finance[Xero Invoice No]))=COUNTIFS(tbl_Finance[Job Number],C314&amp;"",tbl_Finance[Xero Invoice No],"&lt;&gt;"),LOOKUP(2,1/((tbl_Finance[Job Number]=C314&amp;"")*(tbl_Finance[Xero Invoice No]&lt;&gt;"")),tbl_Finance[Xero Invoice No]),LOOKUP(2,1/((tbl_Finance[Job Number]=C314&amp;"")*(tbl_Finance[Xero Invoice No]&lt;&gt;"")),tbl_Finance[Xero Invoice No])&amp;" +more"),"")))</f>
        <v/>
      </c>
      <c r="C314" s="24" t="n"/>
      <c r="D314" s="25">
        <f>IF(C314="","",IF(COUNTIF(lst_Jobs,C314&amp;"")&gt;0,"OK","CHECK"))</f>
        <v/>
      </c>
      <c r="E314" s="25">
        <f>IF(C314="","",IFERROR(INDEX(lst_JobName,MATCH(C314&amp;"",lst_Jobs,0)),""))</f>
        <v/>
      </c>
      <c r="F314" s="25">
        <f>IF(C314="","",IFERROR(INDEX(tbl_Finance[Client],MATCH(C314&amp;"",tbl_Finance[Job Number],0)),""))</f>
        <v/>
      </c>
      <c r="G314" s="28">
        <f>IF(C314="","",COUNTIFS(tbl_Finance[Job Number],C314&amp;"",tbl_Finance[Ex GST],"&lt;&gt;"))</f>
        <v/>
      </c>
      <c r="H314" s="27">
        <f>IF(C314="","",SUMIFS(tbl_Finance[Ex GST],tbl_Finance[Job Number],C314&amp;""))</f>
        <v/>
      </c>
      <c r="I314" s="27">
        <f>IF(C314="","",SUMIFS(tbl_Finance[Ex GST],tbl_Finance[Job Number],C314&amp;"",tbl_Finance[Xero Invoice No],"&lt;&gt;"))</f>
        <v/>
      </c>
      <c r="J314" s="27">
        <f>IF(C314="","",H314-I314)</f>
        <v/>
      </c>
      <c r="K314" s="25">
        <f>IF(C314="","",IF(G314=0,"not invoiced yet",SUBSTITUTE(TRIM(IF(COUNTIFS(tbl_Finance[Job Number],C314&amp;"",tbl_Finance[Cost Centre],"ONSITE")&gt;0,"ONSITE ","")&amp;IF(COUNTIFS(tbl_Finance[Job Number],C314&amp;"",tbl_Finance[Cost Centre],"PRODUCTION")&gt;0,"PRODUCTION ","")&amp;IF(COUNTIFS(tbl_Finance[Job Number],C314&amp;"",tbl_Finance[Cost Centre],"VIDEO")&gt;0,"VIDEO ","")&amp;IF(COUNTIFS(tbl_Finance[Job Number],C314&amp;"",tbl_Finance[Cost Centre],"INTEGRATION")&gt;0,"INTEGRATION ","")&amp;IF(COUNTIFS(tbl_Finance[Job Number],C314&amp;"",tbl_Finance[Cost Centre],"CONSULTING")&gt;0,"CONSULTING ","")&amp;IF(COUNTIFS(tbl_Finance[Job Number],C314&amp;"",tbl_Finance[Cost Centre],"CTS")&gt;0,"CTS ",""))," ",", ")))</f>
        <v/>
      </c>
      <c r="L314" s="24" t="n"/>
      <c r="M314" s="25">
        <f>IF(L314="","",HYPERLINK(IF(LEFT(L314,4)="http",L314,set_QwilrBase&amp;L314),"Open quote"))</f>
        <v/>
      </c>
      <c r="N314" s="26" t="n"/>
      <c r="O314" s="26" t="n"/>
      <c r="P314" s="26" t="n"/>
      <c r="Q314" s="25">
        <f>IF(C314="","",IF(N(N314)+N(O314)+N(P314)=0,"Not split",IF(ROUND(N(N314)+N(O314)+N(P314),2)=ROUND(H314,2),"OK","MISMATCH")))</f>
        <v/>
      </c>
      <c r="R314" s="26" t="n"/>
      <c r="S314" s="26" t="n"/>
      <c r="T314" s="26" t="n"/>
      <c r="U314" s="27">
        <f>IF(C314="","",N(R314)+N(S314)+N(T314))</f>
        <v/>
      </c>
      <c r="V314" s="27">
        <f>IF(C314="","",H314-U314)</f>
        <v/>
      </c>
      <c r="W314" s="29">
        <f>IFERROR(V314/H314,"")</f>
        <v/>
      </c>
      <c r="X314" s="24" t="n"/>
    </row>
    <row r="315" ht="15" customHeight="1">
      <c r="A315" s="63">
        <f>IF(C315="","",IFERROR(IF(SUMPRODUCT(MAX((tbl_Finance[Job Number]=C315&amp;"")*(tbl_Finance[Xero Invoice No]&lt;&gt;"")*tbl_Finance[Date]))=0,"",SUMPRODUCT(MAX((tbl_Finance[Job Number]=C315&amp;"")*(tbl_Finance[Xero Invoice No]&lt;&gt;"")*tbl_Finance[Date]))),""))</f>
        <v/>
      </c>
      <c r="B315" s="25">
        <f>IF(C315="","",IF(COUNTIFS(tbl_Finance[Job Number],C315&amp;"",tbl_Finance[Xero Invoice No],"&lt;&gt;")=0,"",IFERROR(IF(COUNTIFS(tbl_Finance[Job Number],C315&amp;"",tbl_Finance[Xero Invoice No],LOOKUP(2,1/((tbl_Finance[Job Number]=C315&amp;"")*(tbl_Finance[Xero Invoice No]&lt;&gt;"")),tbl_Finance[Xero Invoice No]))=COUNTIFS(tbl_Finance[Job Number],C315&amp;"",tbl_Finance[Xero Invoice No],"&lt;&gt;"),LOOKUP(2,1/((tbl_Finance[Job Number]=C315&amp;"")*(tbl_Finance[Xero Invoice No]&lt;&gt;"")),tbl_Finance[Xero Invoice No]),LOOKUP(2,1/((tbl_Finance[Job Number]=C315&amp;"")*(tbl_Finance[Xero Invoice No]&lt;&gt;"")),tbl_Finance[Xero Invoice No])&amp;" +more"),"")))</f>
        <v/>
      </c>
      <c r="C315" s="24" t="n"/>
      <c r="D315" s="25">
        <f>IF(C315="","",IF(COUNTIF(lst_Jobs,C315&amp;"")&gt;0,"OK","CHECK"))</f>
        <v/>
      </c>
      <c r="E315" s="25">
        <f>IF(C315="","",IFERROR(INDEX(lst_JobName,MATCH(C315&amp;"",lst_Jobs,0)),""))</f>
        <v/>
      </c>
      <c r="F315" s="25">
        <f>IF(C315="","",IFERROR(INDEX(tbl_Finance[Client],MATCH(C315&amp;"",tbl_Finance[Job Number],0)),""))</f>
        <v/>
      </c>
      <c r="G315" s="28">
        <f>IF(C315="","",COUNTIFS(tbl_Finance[Job Number],C315&amp;"",tbl_Finance[Ex GST],"&lt;&gt;"))</f>
        <v/>
      </c>
      <c r="H315" s="27">
        <f>IF(C315="","",SUMIFS(tbl_Finance[Ex GST],tbl_Finance[Job Number],C315&amp;""))</f>
        <v/>
      </c>
      <c r="I315" s="27">
        <f>IF(C315="","",SUMIFS(tbl_Finance[Ex GST],tbl_Finance[Job Number],C315&amp;"",tbl_Finance[Xero Invoice No],"&lt;&gt;"))</f>
        <v/>
      </c>
      <c r="J315" s="27">
        <f>IF(C315="","",H315-I315)</f>
        <v/>
      </c>
      <c r="K315" s="25">
        <f>IF(C315="","",IF(G315=0,"not invoiced yet",SUBSTITUTE(TRIM(IF(COUNTIFS(tbl_Finance[Job Number],C315&amp;"",tbl_Finance[Cost Centre],"ONSITE")&gt;0,"ONSITE ","")&amp;IF(COUNTIFS(tbl_Finance[Job Number],C315&amp;"",tbl_Finance[Cost Centre],"PRODUCTION")&gt;0,"PRODUCTION ","")&amp;IF(COUNTIFS(tbl_Finance[Job Number],C315&amp;"",tbl_Finance[Cost Centre],"VIDEO")&gt;0,"VIDEO ","")&amp;IF(COUNTIFS(tbl_Finance[Job Number],C315&amp;"",tbl_Finance[Cost Centre],"INTEGRATION")&gt;0,"INTEGRATION ","")&amp;IF(COUNTIFS(tbl_Finance[Job Number],C315&amp;"",tbl_Finance[Cost Centre],"CONSULTING")&gt;0,"CONSULTING ","")&amp;IF(COUNTIFS(tbl_Finance[Job Number],C315&amp;"",tbl_Finance[Cost Centre],"CTS")&gt;0,"CTS ",""))," ",", ")))</f>
        <v/>
      </c>
      <c r="L315" s="24" t="n"/>
      <c r="M315" s="25">
        <f>IF(L315="","",HYPERLINK(IF(LEFT(L315,4)="http",L315,set_QwilrBase&amp;L315),"Open quote"))</f>
        <v/>
      </c>
      <c r="N315" s="26" t="n"/>
      <c r="O315" s="26" t="n"/>
      <c r="P315" s="26" t="n"/>
      <c r="Q315" s="25">
        <f>IF(C315="","",IF(N(N315)+N(O315)+N(P315)=0,"Not split",IF(ROUND(N(N315)+N(O315)+N(P315),2)=ROUND(H315,2),"OK","MISMATCH")))</f>
        <v/>
      </c>
      <c r="R315" s="26" t="n"/>
      <c r="S315" s="26" t="n"/>
      <c r="T315" s="26" t="n"/>
      <c r="U315" s="27">
        <f>IF(C315="","",N(R315)+N(S315)+N(T315))</f>
        <v/>
      </c>
      <c r="V315" s="27">
        <f>IF(C315="","",H315-U315)</f>
        <v/>
      </c>
      <c r="W315" s="29">
        <f>IFERROR(V315/H315,"")</f>
        <v/>
      </c>
      <c r="X315" s="24" t="n"/>
    </row>
    <row r="316" ht="15" customHeight="1">
      <c r="A316" s="63">
        <f>IF(C316="","",IFERROR(IF(SUMPRODUCT(MAX((tbl_Finance[Job Number]=C316&amp;"")*(tbl_Finance[Xero Invoice No]&lt;&gt;"")*tbl_Finance[Date]))=0,"",SUMPRODUCT(MAX((tbl_Finance[Job Number]=C316&amp;"")*(tbl_Finance[Xero Invoice No]&lt;&gt;"")*tbl_Finance[Date]))),""))</f>
        <v/>
      </c>
      <c r="B316" s="25">
        <f>IF(C316="","",IF(COUNTIFS(tbl_Finance[Job Number],C316&amp;"",tbl_Finance[Xero Invoice No],"&lt;&gt;")=0,"",IFERROR(IF(COUNTIFS(tbl_Finance[Job Number],C316&amp;"",tbl_Finance[Xero Invoice No],LOOKUP(2,1/((tbl_Finance[Job Number]=C316&amp;"")*(tbl_Finance[Xero Invoice No]&lt;&gt;"")),tbl_Finance[Xero Invoice No]))=COUNTIFS(tbl_Finance[Job Number],C316&amp;"",tbl_Finance[Xero Invoice No],"&lt;&gt;"),LOOKUP(2,1/((tbl_Finance[Job Number]=C316&amp;"")*(tbl_Finance[Xero Invoice No]&lt;&gt;"")),tbl_Finance[Xero Invoice No]),LOOKUP(2,1/((tbl_Finance[Job Number]=C316&amp;"")*(tbl_Finance[Xero Invoice No]&lt;&gt;"")),tbl_Finance[Xero Invoice No])&amp;" +more"),"")))</f>
        <v/>
      </c>
      <c r="C316" s="24" t="n"/>
      <c r="D316" s="25">
        <f>IF(C316="","",IF(COUNTIF(lst_Jobs,C316&amp;"")&gt;0,"OK","CHECK"))</f>
        <v/>
      </c>
      <c r="E316" s="25">
        <f>IF(C316="","",IFERROR(INDEX(lst_JobName,MATCH(C316&amp;"",lst_Jobs,0)),""))</f>
        <v/>
      </c>
      <c r="F316" s="25">
        <f>IF(C316="","",IFERROR(INDEX(tbl_Finance[Client],MATCH(C316&amp;"",tbl_Finance[Job Number],0)),""))</f>
        <v/>
      </c>
      <c r="G316" s="28">
        <f>IF(C316="","",COUNTIFS(tbl_Finance[Job Number],C316&amp;"",tbl_Finance[Ex GST],"&lt;&gt;"))</f>
        <v/>
      </c>
      <c r="H316" s="27">
        <f>IF(C316="","",SUMIFS(tbl_Finance[Ex GST],tbl_Finance[Job Number],C316&amp;""))</f>
        <v/>
      </c>
      <c r="I316" s="27">
        <f>IF(C316="","",SUMIFS(tbl_Finance[Ex GST],tbl_Finance[Job Number],C316&amp;"",tbl_Finance[Xero Invoice No],"&lt;&gt;"))</f>
        <v/>
      </c>
      <c r="J316" s="27">
        <f>IF(C316="","",H316-I316)</f>
        <v/>
      </c>
      <c r="K316" s="25">
        <f>IF(C316="","",IF(G316=0,"not invoiced yet",SUBSTITUTE(TRIM(IF(COUNTIFS(tbl_Finance[Job Number],C316&amp;"",tbl_Finance[Cost Centre],"ONSITE")&gt;0,"ONSITE ","")&amp;IF(COUNTIFS(tbl_Finance[Job Number],C316&amp;"",tbl_Finance[Cost Centre],"PRODUCTION")&gt;0,"PRODUCTION ","")&amp;IF(COUNTIFS(tbl_Finance[Job Number],C316&amp;"",tbl_Finance[Cost Centre],"VIDEO")&gt;0,"VIDEO ","")&amp;IF(COUNTIFS(tbl_Finance[Job Number],C316&amp;"",tbl_Finance[Cost Centre],"INTEGRATION")&gt;0,"INTEGRATION ","")&amp;IF(COUNTIFS(tbl_Finance[Job Number],C316&amp;"",tbl_Finance[Cost Centre],"CONSULTING")&gt;0,"CONSULTING ","")&amp;IF(COUNTIFS(tbl_Finance[Job Number],C316&amp;"",tbl_Finance[Cost Centre],"CTS")&gt;0,"CTS ",""))," ",", ")))</f>
        <v/>
      </c>
      <c r="L316" s="24" t="n"/>
      <c r="M316" s="25">
        <f>IF(L316="","",HYPERLINK(IF(LEFT(L316,4)="http",L316,set_QwilrBase&amp;L316),"Open quote"))</f>
        <v/>
      </c>
      <c r="N316" s="26" t="n"/>
      <c r="O316" s="26" t="n"/>
      <c r="P316" s="26" t="n"/>
      <c r="Q316" s="25">
        <f>IF(C316="","",IF(N(N316)+N(O316)+N(P316)=0,"Not split",IF(ROUND(N(N316)+N(O316)+N(P316),2)=ROUND(H316,2),"OK","MISMATCH")))</f>
        <v/>
      </c>
      <c r="R316" s="26" t="n"/>
      <c r="S316" s="26" t="n"/>
      <c r="T316" s="26" t="n"/>
      <c r="U316" s="27">
        <f>IF(C316="","",N(R316)+N(S316)+N(T316))</f>
        <v/>
      </c>
      <c r="V316" s="27">
        <f>IF(C316="","",H316-U316)</f>
        <v/>
      </c>
      <c r="W316" s="29">
        <f>IFERROR(V316/H316,"")</f>
        <v/>
      </c>
      <c r="X316" s="24" t="n"/>
    </row>
    <row r="317" ht="15" customHeight="1">
      <c r="A317" s="63">
        <f>IF(C317="","",IFERROR(IF(SUMPRODUCT(MAX((tbl_Finance[Job Number]=C317&amp;"")*(tbl_Finance[Xero Invoice No]&lt;&gt;"")*tbl_Finance[Date]))=0,"",SUMPRODUCT(MAX((tbl_Finance[Job Number]=C317&amp;"")*(tbl_Finance[Xero Invoice No]&lt;&gt;"")*tbl_Finance[Date]))),""))</f>
        <v/>
      </c>
      <c r="B317" s="25">
        <f>IF(C317="","",IF(COUNTIFS(tbl_Finance[Job Number],C317&amp;"",tbl_Finance[Xero Invoice No],"&lt;&gt;")=0,"",IFERROR(IF(COUNTIFS(tbl_Finance[Job Number],C317&amp;"",tbl_Finance[Xero Invoice No],LOOKUP(2,1/((tbl_Finance[Job Number]=C317&amp;"")*(tbl_Finance[Xero Invoice No]&lt;&gt;"")),tbl_Finance[Xero Invoice No]))=COUNTIFS(tbl_Finance[Job Number],C317&amp;"",tbl_Finance[Xero Invoice No],"&lt;&gt;"),LOOKUP(2,1/((tbl_Finance[Job Number]=C317&amp;"")*(tbl_Finance[Xero Invoice No]&lt;&gt;"")),tbl_Finance[Xero Invoice No]),LOOKUP(2,1/((tbl_Finance[Job Number]=C317&amp;"")*(tbl_Finance[Xero Invoice No]&lt;&gt;"")),tbl_Finance[Xero Invoice No])&amp;" +more"),"")))</f>
        <v/>
      </c>
      <c r="C317" s="24" t="n"/>
      <c r="D317" s="25">
        <f>IF(C317="","",IF(COUNTIF(lst_Jobs,C317&amp;"")&gt;0,"OK","CHECK"))</f>
        <v/>
      </c>
      <c r="E317" s="25">
        <f>IF(C317="","",IFERROR(INDEX(lst_JobName,MATCH(C317&amp;"",lst_Jobs,0)),""))</f>
        <v/>
      </c>
      <c r="F317" s="25">
        <f>IF(C317="","",IFERROR(INDEX(tbl_Finance[Client],MATCH(C317&amp;"",tbl_Finance[Job Number],0)),""))</f>
        <v/>
      </c>
      <c r="G317" s="28">
        <f>IF(C317="","",COUNTIFS(tbl_Finance[Job Number],C317&amp;"",tbl_Finance[Ex GST],"&lt;&gt;"))</f>
        <v/>
      </c>
      <c r="H317" s="27">
        <f>IF(C317="","",SUMIFS(tbl_Finance[Ex GST],tbl_Finance[Job Number],C317&amp;""))</f>
        <v/>
      </c>
      <c r="I317" s="27">
        <f>IF(C317="","",SUMIFS(tbl_Finance[Ex GST],tbl_Finance[Job Number],C317&amp;"",tbl_Finance[Xero Invoice No],"&lt;&gt;"))</f>
        <v/>
      </c>
      <c r="J317" s="27">
        <f>IF(C317="","",H317-I317)</f>
        <v/>
      </c>
      <c r="K317" s="25">
        <f>IF(C317="","",IF(G317=0,"not invoiced yet",SUBSTITUTE(TRIM(IF(COUNTIFS(tbl_Finance[Job Number],C317&amp;"",tbl_Finance[Cost Centre],"ONSITE")&gt;0,"ONSITE ","")&amp;IF(COUNTIFS(tbl_Finance[Job Number],C317&amp;"",tbl_Finance[Cost Centre],"PRODUCTION")&gt;0,"PRODUCTION ","")&amp;IF(COUNTIFS(tbl_Finance[Job Number],C317&amp;"",tbl_Finance[Cost Centre],"VIDEO")&gt;0,"VIDEO ","")&amp;IF(COUNTIFS(tbl_Finance[Job Number],C317&amp;"",tbl_Finance[Cost Centre],"INTEGRATION")&gt;0,"INTEGRATION ","")&amp;IF(COUNTIFS(tbl_Finance[Job Number],C317&amp;"",tbl_Finance[Cost Centre],"CONSULTING")&gt;0,"CONSULTING ","")&amp;IF(COUNTIFS(tbl_Finance[Job Number],C317&amp;"",tbl_Finance[Cost Centre],"CTS")&gt;0,"CTS ",""))," ",", ")))</f>
        <v/>
      </c>
      <c r="L317" s="24" t="n"/>
      <c r="M317" s="25">
        <f>IF(L317="","",HYPERLINK(IF(LEFT(L317,4)="http",L317,set_QwilrBase&amp;L317),"Open quote"))</f>
        <v/>
      </c>
      <c r="N317" s="26" t="n"/>
      <c r="O317" s="26" t="n"/>
      <c r="P317" s="26" t="n"/>
      <c r="Q317" s="25">
        <f>IF(C317="","",IF(N(N317)+N(O317)+N(P317)=0,"Not split",IF(ROUND(N(N317)+N(O317)+N(P317),2)=ROUND(H317,2),"OK","MISMATCH")))</f>
        <v/>
      </c>
      <c r="R317" s="26" t="n"/>
      <c r="S317" s="26" t="n"/>
      <c r="T317" s="26" t="n"/>
      <c r="U317" s="27">
        <f>IF(C317="","",N(R317)+N(S317)+N(T317))</f>
        <v/>
      </c>
      <c r="V317" s="27">
        <f>IF(C317="","",H317-U317)</f>
        <v/>
      </c>
      <c r="W317" s="29">
        <f>IFERROR(V317/H317,"")</f>
        <v/>
      </c>
      <c r="X317" s="24" t="n"/>
    </row>
    <row r="318" ht="15" customHeight="1">
      <c r="A318" s="63">
        <f>IF(C318="","",IFERROR(IF(SUMPRODUCT(MAX((tbl_Finance[Job Number]=C318&amp;"")*(tbl_Finance[Xero Invoice No]&lt;&gt;"")*tbl_Finance[Date]))=0,"",SUMPRODUCT(MAX((tbl_Finance[Job Number]=C318&amp;"")*(tbl_Finance[Xero Invoice No]&lt;&gt;"")*tbl_Finance[Date]))),""))</f>
        <v/>
      </c>
      <c r="B318" s="25">
        <f>IF(C318="","",IF(COUNTIFS(tbl_Finance[Job Number],C318&amp;"",tbl_Finance[Xero Invoice No],"&lt;&gt;")=0,"",IFERROR(IF(COUNTIFS(tbl_Finance[Job Number],C318&amp;"",tbl_Finance[Xero Invoice No],LOOKUP(2,1/((tbl_Finance[Job Number]=C318&amp;"")*(tbl_Finance[Xero Invoice No]&lt;&gt;"")),tbl_Finance[Xero Invoice No]))=COUNTIFS(tbl_Finance[Job Number],C318&amp;"",tbl_Finance[Xero Invoice No],"&lt;&gt;"),LOOKUP(2,1/((tbl_Finance[Job Number]=C318&amp;"")*(tbl_Finance[Xero Invoice No]&lt;&gt;"")),tbl_Finance[Xero Invoice No]),LOOKUP(2,1/((tbl_Finance[Job Number]=C318&amp;"")*(tbl_Finance[Xero Invoice No]&lt;&gt;"")),tbl_Finance[Xero Invoice No])&amp;" +more"),"")))</f>
        <v/>
      </c>
      <c r="C318" s="24" t="n"/>
      <c r="D318" s="25">
        <f>IF(C318="","",IF(COUNTIF(lst_Jobs,C318&amp;"")&gt;0,"OK","CHECK"))</f>
        <v/>
      </c>
      <c r="E318" s="25">
        <f>IF(C318="","",IFERROR(INDEX(lst_JobName,MATCH(C318&amp;"",lst_Jobs,0)),""))</f>
        <v/>
      </c>
      <c r="F318" s="25">
        <f>IF(C318="","",IFERROR(INDEX(tbl_Finance[Client],MATCH(C318&amp;"",tbl_Finance[Job Number],0)),""))</f>
        <v/>
      </c>
      <c r="G318" s="28">
        <f>IF(C318="","",COUNTIFS(tbl_Finance[Job Number],C318&amp;"",tbl_Finance[Ex GST],"&lt;&gt;"))</f>
        <v/>
      </c>
      <c r="H318" s="27">
        <f>IF(C318="","",SUMIFS(tbl_Finance[Ex GST],tbl_Finance[Job Number],C318&amp;""))</f>
        <v/>
      </c>
      <c r="I318" s="27">
        <f>IF(C318="","",SUMIFS(tbl_Finance[Ex GST],tbl_Finance[Job Number],C318&amp;"",tbl_Finance[Xero Invoice No],"&lt;&gt;"))</f>
        <v/>
      </c>
      <c r="J318" s="27">
        <f>IF(C318="","",H318-I318)</f>
        <v/>
      </c>
      <c r="K318" s="25">
        <f>IF(C318="","",IF(G318=0,"not invoiced yet",SUBSTITUTE(TRIM(IF(COUNTIFS(tbl_Finance[Job Number],C318&amp;"",tbl_Finance[Cost Centre],"ONSITE")&gt;0,"ONSITE ","")&amp;IF(COUNTIFS(tbl_Finance[Job Number],C318&amp;"",tbl_Finance[Cost Centre],"PRODUCTION")&gt;0,"PRODUCTION ","")&amp;IF(COUNTIFS(tbl_Finance[Job Number],C318&amp;"",tbl_Finance[Cost Centre],"VIDEO")&gt;0,"VIDEO ","")&amp;IF(COUNTIFS(tbl_Finance[Job Number],C318&amp;"",tbl_Finance[Cost Centre],"INTEGRATION")&gt;0,"INTEGRATION ","")&amp;IF(COUNTIFS(tbl_Finance[Job Number],C318&amp;"",tbl_Finance[Cost Centre],"CONSULTING")&gt;0,"CONSULTING ","")&amp;IF(COUNTIFS(tbl_Finance[Job Number],C318&amp;"",tbl_Finance[Cost Centre],"CTS")&gt;0,"CTS ",""))," ",", ")))</f>
        <v/>
      </c>
      <c r="L318" s="24" t="n"/>
      <c r="M318" s="25">
        <f>IF(L318="","",HYPERLINK(IF(LEFT(L318,4)="http",L318,set_QwilrBase&amp;L318),"Open quote"))</f>
        <v/>
      </c>
      <c r="N318" s="26" t="n"/>
      <c r="O318" s="26" t="n"/>
      <c r="P318" s="26" t="n"/>
      <c r="Q318" s="25">
        <f>IF(C318="","",IF(N(N318)+N(O318)+N(P318)=0,"Not split",IF(ROUND(N(N318)+N(O318)+N(P318),2)=ROUND(H318,2),"OK","MISMATCH")))</f>
        <v/>
      </c>
      <c r="R318" s="26" t="n"/>
      <c r="S318" s="26" t="n"/>
      <c r="T318" s="26" t="n"/>
      <c r="U318" s="27">
        <f>IF(C318="","",N(R318)+N(S318)+N(T318))</f>
        <v/>
      </c>
      <c r="V318" s="27">
        <f>IF(C318="","",H318-U318)</f>
        <v/>
      </c>
      <c r="W318" s="29">
        <f>IFERROR(V318/H318,"")</f>
        <v/>
      </c>
      <c r="X318" s="24" t="n"/>
    </row>
    <row r="319" ht="15" customHeight="1">
      <c r="A319" s="63">
        <f>IF(C319="","",IFERROR(IF(SUMPRODUCT(MAX((tbl_Finance[Job Number]=C319&amp;"")*(tbl_Finance[Xero Invoice No]&lt;&gt;"")*tbl_Finance[Date]))=0,"",SUMPRODUCT(MAX((tbl_Finance[Job Number]=C319&amp;"")*(tbl_Finance[Xero Invoice No]&lt;&gt;"")*tbl_Finance[Date]))),""))</f>
        <v/>
      </c>
      <c r="B319" s="25">
        <f>IF(C319="","",IF(COUNTIFS(tbl_Finance[Job Number],C319&amp;"",tbl_Finance[Xero Invoice No],"&lt;&gt;")=0,"",IFERROR(IF(COUNTIFS(tbl_Finance[Job Number],C319&amp;"",tbl_Finance[Xero Invoice No],LOOKUP(2,1/((tbl_Finance[Job Number]=C319&amp;"")*(tbl_Finance[Xero Invoice No]&lt;&gt;"")),tbl_Finance[Xero Invoice No]))=COUNTIFS(tbl_Finance[Job Number],C319&amp;"",tbl_Finance[Xero Invoice No],"&lt;&gt;"),LOOKUP(2,1/((tbl_Finance[Job Number]=C319&amp;"")*(tbl_Finance[Xero Invoice No]&lt;&gt;"")),tbl_Finance[Xero Invoice No]),LOOKUP(2,1/((tbl_Finance[Job Number]=C319&amp;"")*(tbl_Finance[Xero Invoice No]&lt;&gt;"")),tbl_Finance[Xero Invoice No])&amp;" +more"),"")))</f>
        <v/>
      </c>
      <c r="C319" s="24" t="n"/>
      <c r="D319" s="25">
        <f>IF(C319="","",IF(COUNTIF(lst_Jobs,C319&amp;"")&gt;0,"OK","CHECK"))</f>
        <v/>
      </c>
      <c r="E319" s="25">
        <f>IF(C319="","",IFERROR(INDEX(lst_JobName,MATCH(C319&amp;"",lst_Jobs,0)),""))</f>
        <v/>
      </c>
      <c r="F319" s="25">
        <f>IF(C319="","",IFERROR(INDEX(tbl_Finance[Client],MATCH(C319&amp;"",tbl_Finance[Job Number],0)),""))</f>
        <v/>
      </c>
      <c r="G319" s="28">
        <f>IF(C319="","",COUNTIFS(tbl_Finance[Job Number],C319&amp;"",tbl_Finance[Ex GST],"&lt;&gt;"))</f>
        <v/>
      </c>
      <c r="H319" s="27">
        <f>IF(C319="","",SUMIFS(tbl_Finance[Ex GST],tbl_Finance[Job Number],C319&amp;""))</f>
        <v/>
      </c>
      <c r="I319" s="27">
        <f>IF(C319="","",SUMIFS(tbl_Finance[Ex GST],tbl_Finance[Job Number],C319&amp;"",tbl_Finance[Xero Invoice No],"&lt;&gt;"))</f>
        <v/>
      </c>
      <c r="J319" s="27">
        <f>IF(C319="","",H319-I319)</f>
        <v/>
      </c>
      <c r="K319" s="25">
        <f>IF(C319="","",IF(G319=0,"not invoiced yet",SUBSTITUTE(TRIM(IF(COUNTIFS(tbl_Finance[Job Number],C319&amp;"",tbl_Finance[Cost Centre],"ONSITE")&gt;0,"ONSITE ","")&amp;IF(COUNTIFS(tbl_Finance[Job Number],C319&amp;"",tbl_Finance[Cost Centre],"PRODUCTION")&gt;0,"PRODUCTION ","")&amp;IF(COUNTIFS(tbl_Finance[Job Number],C319&amp;"",tbl_Finance[Cost Centre],"VIDEO")&gt;0,"VIDEO ","")&amp;IF(COUNTIFS(tbl_Finance[Job Number],C319&amp;"",tbl_Finance[Cost Centre],"INTEGRATION")&gt;0,"INTEGRATION ","")&amp;IF(COUNTIFS(tbl_Finance[Job Number],C319&amp;"",tbl_Finance[Cost Centre],"CONSULTING")&gt;0,"CONSULTING ","")&amp;IF(COUNTIFS(tbl_Finance[Job Number],C319&amp;"",tbl_Finance[Cost Centre],"CTS")&gt;0,"CTS ",""))," ",", ")))</f>
        <v/>
      </c>
      <c r="L319" s="24" t="n"/>
      <c r="M319" s="25">
        <f>IF(L319="","",HYPERLINK(IF(LEFT(L319,4)="http",L319,set_QwilrBase&amp;L319),"Open quote"))</f>
        <v/>
      </c>
      <c r="N319" s="26" t="n"/>
      <c r="O319" s="26" t="n"/>
      <c r="P319" s="26" t="n"/>
      <c r="Q319" s="25">
        <f>IF(C319="","",IF(N(N319)+N(O319)+N(P319)=0,"Not split",IF(ROUND(N(N319)+N(O319)+N(P319),2)=ROUND(H319,2),"OK","MISMATCH")))</f>
        <v/>
      </c>
      <c r="R319" s="26" t="n"/>
      <c r="S319" s="26" t="n"/>
      <c r="T319" s="26" t="n"/>
      <c r="U319" s="27">
        <f>IF(C319="","",N(R319)+N(S319)+N(T319))</f>
        <v/>
      </c>
      <c r="V319" s="27">
        <f>IF(C319="","",H319-U319)</f>
        <v/>
      </c>
      <c r="W319" s="29">
        <f>IFERROR(V319/H319,"")</f>
        <v/>
      </c>
      <c r="X319" s="24" t="n"/>
    </row>
    <row r="320" ht="15" customHeight="1">
      <c r="A320" s="63">
        <f>IF(C320="","",IFERROR(IF(SUMPRODUCT(MAX((tbl_Finance[Job Number]=C320&amp;"")*(tbl_Finance[Xero Invoice No]&lt;&gt;"")*tbl_Finance[Date]))=0,"",SUMPRODUCT(MAX((tbl_Finance[Job Number]=C320&amp;"")*(tbl_Finance[Xero Invoice No]&lt;&gt;"")*tbl_Finance[Date]))),""))</f>
        <v/>
      </c>
      <c r="B320" s="25">
        <f>IF(C320="","",IF(COUNTIFS(tbl_Finance[Job Number],C320&amp;"",tbl_Finance[Xero Invoice No],"&lt;&gt;")=0,"",IFERROR(IF(COUNTIFS(tbl_Finance[Job Number],C320&amp;"",tbl_Finance[Xero Invoice No],LOOKUP(2,1/((tbl_Finance[Job Number]=C320&amp;"")*(tbl_Finance[Xero Invoice No]&lt;&gt;"")),tbl_Finance[Xero Invoice No]))=COUNTIFS(tbl_Finance[Job Number],C320&amp;"",tbl_Finance[Xero Invoice No],"&lt;&gt;"),LOOKUP(2,1/((tbl_Finance[Job Number]=C320&amp;"")*(tbl_Finance[Xero Invoice No]&lt;&gt;"")),tbl_Finance[Xero Invoice No]),LOOKUP(2,1/((tbl_Finance[Job Number]=C320&amp;"")*(tbl_Finance[Xero Invoice No]&lt;&gt;"")),tbl_Finance[Xero Invoice No])&amp;" +more"),"")))</f>
        <v/>
      </c>
      <c r="C320" s="24" t="n"/>
      <c r="D320" s="25">
        <f>IF(C320="","",IF(COUNTIF(lst_Jobs,C320&amp;"")&gt;0,"OK","CHECK"))</f>
        <v/>
      </c>
      <c r="E320" s="25">
        <f>IF(C320="","",IFERROR(INDEX(lst_JobName,MATCH(C320&amp;"",lst_Jobs,0)),""))</f>
        <v/>
      </c>
      <c r="F320" s="25">
        <f>IF(C320="","",IFERROR(INDEX(tbl_Finance[Client],MATCH(C320&amp;"",tbl_Finance[Job Number],0)),""))</f>
        <v/>
      </c>
      <c r="G320" s="28">
        <f>IF(C320="","",COUNTIFS(tbl_Finance[Job Number],C320&amp;"",tbl_Finance[Ex GST],"&lt;&gt;"))</f>
        <v/>
      </c>
      <c r="H320" s="27">
        <f>IF(C320="","",SUMIFS(tbl_Finance[Ex GST],tbl_Finance[Job Number],C320&amp;""))</f>
        <v/>
      </c>
      <c r="I320" s="27">
        <f>IF(C320="","",SUMIFS(tbl_Finance[Ex GST],tbl_Finance[Job Number],C320&amp;"",tbl_Finance[Xero Invoice No],"&lt;&gt;"))</f>
        <v/>
      </c>
      <c r="J320" s="27">
        <f>IF(C320="","",H320-I320)</f>
        <v/>
      </c>
      <c r="K320" s="25">
        <f>IF(C320="","",IF(G320=0,"not invoiced yet",SUBSTITUTE(TRIM(IF(COUNTIFS(tbl_Finance[Job Number],C320&amp;"",tbl_Finance[Cost Centre],"ONSITE")&gt;0,"ONSITE ","")&amp;IF(COUNTIFS(tbl_Finance[Job Number],C320&amp;"",tbl_Finance[Cost Centre],"PRODUCTION")&gt;0,"PRODUCTION ","")&amp;IF(COUNTIFS(tbl_Finance[Job Number],C320&amp;"",tbl_Finance[Cost Centre],"VIDEO")&gt;0,"VIDEO ","")&amp;IF(COUNTIFS(tbl_Finance[Job Number],C320&amp;"",tbl_Finance[Cost Centre],"INTEGRATION")&gt;0,"INTEGRATION ","")&amp;IF(COUNTIFS(tbl_Finance[Job Number],C320&amp;"",tbl_Finance[Cost Centre],"CONSULTING")&gt;0,"CONSULTING ","")&amp;IF(COUNTIFS(tbl_Finance[Job Number],C320&amp;"",tbl_Finance[Cost Centre],"CTS")&gt;0,"CTS ",""))," ",", ")))</f>
        <v/>
      </c>
      <c r="L320" s="24" t="n"/>
      <c r="M320" s="25">
        <f>IF(L320="","",HYPERLINK(IF(LEFT(L320,4)="http",L320,set_QwilrBase&amp;L320),"Open quote"))</f>
        <v/>
      </c>
      <c r="N320" s="26" t="n"/>
      <c r="O320" s="26" t="n"/>
      <c r="P320" s="26" t="n"/>
      <c r="Q320" s="25">
        <f>IF(C320="","",IF(N(N320)+N(O320)+N(P320)=0,"Not split",IF(ROUND(N(N320)+N(O320)+N(P320),2)=ROUND(H320,2),"OK","MISMATCH")))</f>
        <v/>
      </c>
      <c r="R320" s="26" t="n"/>
      <c r="S320" s="26" t="n"/>
      <c r="T320" s="26" t="n"/>
      <c r="U320" s="27">
        <f>IF(C320="","",N(R320)+N(S320)+N(T320))</f>
        <v/>
      </c>
      <c r="V320" s="27">
        <f>IF(C320="","",H320-U320)</f>
        <v/>
      </c>
      <c r="W320" s="29">
        <f>IFERROR(V320/H320,"")</f>
        <v/>
      </c>
      <c r="X320" s="24" t="n"/>
    </row>
    <row r="321" ht="15" customHeight="1">
      <c r="A321" s="63">
        <f>IF(C321="","",IFERROR(IF(SUMPRODUCT(MAX((tbl_Finance[Job Number]=C321&amp;"")*(tbl_Finance[Xero Invoice No]&lt;&gt;"")*tbl_Finance[Date]))=0,"",SUMPRODUCT(MAX((tbl_Finance[Job Number]=C321&amp;"")*(tbl_Finance[Xero Invoice No]&lt;&gt;"")*tbl_Finance[Date]))),""))</f>
        <v/>
      </c>
      <c r="B321" s="25">
        <f>IF(C321="","",IF(COUNTIFS(tbl_Finance[Job Number],C321&amp;"",tbl_Finance[Xero Invoice No],"&lt;&gt;")=0,"",IFERROR(IF(COUNTIFS(tbl_Finance[Job Number],C321&amp;"",tbl_Finance[Xero Invoice No],LOOKUP(2,1/((tbl_Finance[Job Number]=C321&amp;"")*(tbl_Finance[Xero Invoice No]&lt;&gt;"")),tbl_Finance[Xero Invoice No]))=COUNTIFS(tbl_Finance[Job Number],C321&amp;"",tbl_Finance[Xero Invoice No],"&lt;&gt;"),LOOKUP(2,1/((tbl_Finance[Job Number]=C321&amp;"")*(tbl_Finance[Xero Invoice No]&lt;&gt;"")),tbl_Finance[Xero Invoice No]),LOOKUP(2,1/((tbl_Finance[Job Number]=C321&amp;"")*(tbl_Finance[Xero Invoice No]&lt;&gt;"")),tbl_Finance[Xero Invoice No])&amp;" +more"),"")))</f>
        <v/>
      </c>
      <c r="C321" s="24" t="n"/>
      <c r="D321" s="25">
        <f>IF(C321="","",IF(COUNTIF(lst_Jobs,C321&amp;"")&gt;0,"OK","CHECK"))</f>
        <v/>
      </c>
      <c r="E321" s="25">
        <f>IF(C321="","",IFERROR(INDEX(lst_JobName,MATCH(C321&amp;"",lst_Jobs,0)),""))</f>
        <v/>
      </c>
      <c r="F321" s="25">
        <f>IF(C321="","",IFERROR(INDEX(tbl_Finance[Client],MATCH(C321&amp;"",tbl_Finance[Job Number],0)),""))</f>
        <v/>
      </c>
      <c r="G321" s="28">
        <f>IF(C321="","",COUNTIFS(tbl_Finance[Job Number],C321&amp;"",tbl_Finance[Ex GST],"&lt;&gt;"))</f>
        <v/>
      </c>
      <c r="H321" s="27">
        <f>IF(C321="","",SUMIFS(tbl_Finance[Ex GST],tbl_Finance[Job Number],C321&amp;""))</f>
        <v/>
      </c>
      <c r="I321" s="27">
        <f>IF(C321="","",SUMIFS(tbl_Finance[Ex GST],tbl_Finance[Job Number],C321&amp;"",tbl_Finance[Xero Invoice No],"&lt;&gt;"))</f>
        <v/>
      </c>
      <c r="J321" s="27">
        <f>IF(C321="","",H321-I321)</f>
        <v/>
      </c>
      <c r="K321" s="25">
        <f>IF(C321="","",IF(G321=0,"not invoiced yet",SUBSTITUTE(TRIM(IF(COUNTIFS(tbl_Finance[Job Number],C321&amp;"",tbl_Finance[Cost Centre],"ONSITE")&gt;0,"ONSITE ","")&amp;IF(COUNTIFS(tbl_Finance[Job Number],C321&amp;"",tbl_Finance[Cost Centre],"PRODUCTION")&gt;0,"PRODUCTION ","")&amp;IF(COUNTIFS(tbl_Finance[Job Number],C321&amp;"",tbl_Finance[Cost Centre],"VIDEO")&gt;0,"VIDEO ","")&amp;IF(COUNTIFS(tbl_Finance[Job Number],C321&amp;"",tbl_Finance[Cost Centre],"INTEGRATION")&gt;0,"INTEGRATION ","")&amp;IF(COUNTIFS(tbl_Finance[Job Number],C321&amp;"",tbl_Finance[Cost Centre],"CONSULTING")&gt;0,"CONSULTING ","")&amp;IF(COUNTIFS(tbl_Finance[Job Number],C321&amp;"",tbl_Finance[Cost Centre],"CTS")&gt;0,"CTS ",""))," ",", ")))</f>
        <v/>
      </c>
      <c r="L321" s="24" t="n"/>
      <c r="M321" s="25">
        <f>IF(L321="","",HYPERLINK(IF(LEFT(L321,4)="http",L321,set_QwilrBase&amp;L321),"Open quote"))</f>
        <v/>
      </c>
      <c r="N321" s="26" t="n"/>
      <c r="O321" s="26" t="n"/>
      <c r="P321" s="26" t="n"/>
      <c r="Q321" s="25">
        <f>IF(C321="","",IF(N(N321)+N(O321)+N(P321)=0,"Not split",IF(ROUND(N(N321)+N(O321)+N(P321),2)=ROUND(H321,2),"OK","MISMATCH")))</f>
        <v/>
      </c>
      <c r="R321" s="26" t="n"/>
      <c r="S321" s="26" t="n"/>
      <c r="T321" s="26" t="n"/>
      <c r="U321" s="27">
        <f>IF(C321="","",N(R321)+N(S321)+N(T321))</f>
        <v/>
      </c>
      <c r="V321" s="27">
        <f>IF(C321="","",H321-U321)</f>
        <v/>
      </c>
      <c r="W321" s="29">
        <f>IFERROR(V321/H321,"")</f>
        <v/>
      </c>
      <c r="X321" s="24" t="n"/>
    </row>
    <row r="322" ht="15" customHeight="1">
      <c r="A322" s="63">
        <f>IF(C322="","",IFERROR(IF(SUMPRODUCT(MAX((tbl_Finance[Job Number]=C322&amp;"")*(tbl_Finance[Xero Invoice No]&lt;&gt;"")*tbl_Finance[Date]))=0,"",SUMPRODUCT(MAX((tbl_Finance[Job Number]=C322&amp;"")*(tbl_Finance[Xero Invoice No]&lt;&gt;"")*tbl_Finance[Date]))),""))</f>
        <v/>
      </c>
      <c r="B322" s="25">
        <f>IF(C322="","",IF(COUNTIFS(tbl_Finance[Job Number],C322&amp;"",tbl_Finance[Xero Invoice No],"&lt;&gt;")=0,"",IFERROR(IF(COUNTIFS(tbl_Finance[Job Number],C322&amp;"",tbl_Finance[Xero Invoice No],LOOKUP(2,1/((tbl_Finance[Job Number]=C322&amp;"")*(tbl_Finance[Xero Invoice No]&lt;&gt;"")),tbl_Finance[Xero Invoice No]))=COUNTIFS(tbl_Finance[Job Number],C322&amp;"",tbl_Finance[Xero Invoice No],"&lt;&gt;"),LOOKUP(2,1/((tbl_Finance[Job Number]=C322&amp;"")*(tbl_Finance[Xero Invoice No]&lt;&gt;"")),tbl_Finance[Xero Invoice No]),LOOKUP(2,1/((tbl_Finance[Job Number]=C322&amp;"")*(tbl_Finance[Xero Invoice No]&lt;&gt;"")),tbl_Finance[Xero Invoice No])&amp;" +more"),"")))</f>
        <v/>
      </c>
      <c r="C322" s="24" t="n"/>
      <c r="D322" s="25">
        <f>IF(C322="","",IF(COUNTIF(lst_Jobs,C322&amp;"")&gt;0,"OK","CHECK"))</f>
        <v/>
      </c>
      <c r="E322" s="25">
        <f>IF(C322="","",IFERROR(INDEX(lst_JobName,MATCH(C322&amp;"",lst_Jobs,0)),""))</f>
        <v/>
      </c>
      <c r="F322" s="25">
        <f>IF(C322="","",IFERROR(INDEX(tbl_Finance[Client],MATCH(C322&amp;"",tbl_Finance[Job Number],0)),""))</f>
        <v/>
      </c>
      <c r="G322" s="28">
        <f>IF(C322="","",COUNTIFS(tbl_Finance[Job Number],C322&amp;"",tbl_Finance[Ex GST],"&lt;&gt;"))</f>
        <v/>
      </c>
      <c r="H322" s="27">
        <f>IF(C322="","",SUMIFS(tbl_Finance[Ex GST],tbl_Finance[Job Number],C322&amp;""))</f>
        <v/>
      </c>
      <c r="I322" s="27">
        <f>IF(C322="","",SUMIFS(tbl_Finance[Ex GST],tbl_Finance[Job Number],C322&amp;"",tbl_Finance[Xero Invoice No],"&lt;&gt;"))</f>
        <v/>
      </c>
      <c r="J322" s="27">
        <f>IF(C322="","",H322-I322)</f>
        <v/>
      </c>
      <c r="K322" s="25">
        <f>IF(C322="","",IF(G322=0,"not invoiced yet",SUBSTITUTE(TRIM(IF(COUNTIFS(tbl_Finance[Job Number],C322&amp;"",tbl_Finance[Cost Centre],"ONSITE")&gt;0,"ONSITE ","")&amp;IF(COUNTIFS(tbl_Finance[Job Number],C322&amp;"",tbl_Finance[Cost Centre],"PRODUCTION")&gt;0,"PRODUCTION ","")&amp;IF(COUNTIFS(tbl_Finance[Job Number],C322&amp;"",tbl_Finance[Cost Centre],"VIDEO")&gt;0,"VIDEO ","")&amp;IF(COUNTIFS(tbl_Finance[Job Number],C322&amp;"",tbl_Finance[Cost Centre],"INTEGRATION")&gt;0,"INTEGRATION ","")&amp;IF(COUNTIFS(tbl_Finance[Job Number],C322&amp;"",tbl_Finance[Cost Centre],"CONSULTING")&gt;0,"CONSULTING ","")&amp;IF(COUNTIFS(tbl_Finance[Job Number],C322&amp;"",tbl_Finance[Cost Centre],"CTS")&gt;0,"CTS ",""))," ",", ")))</f>
        <v/>
      </c>
      <c r="L322" s="24" t="n"/>
      <c r="M322" s="25">
        <f>IF(L322="","",HYPERLINK(IF(LEFT(L322,4)="http",L322,set_QwilrBase&amp;L322),"Open quote"))</f>
        <v/>
      </c>
      <c r="N322" s="26" t="n"/>
      <c r="O322" s="26" t="n"/>
      <c r="P322" s="26" t="n"/>
      <c r="Q322" s="25">
        <f>IF(C322="","",IF(N(N322)+N(O322)+N(P322)=0,"Not split",IF(ROUND(N(N322)+N(O322)+N(P322),2)=ROUND(H322,2),"OK","MISMATCH")))</f>
        <v/>
      </c>
      <c r="R322" s="26" t="n"/>
      <c r="S322" s="26" t="n"/>
      <c r="T322" s="26" t="n"/>
      <c r="U322" s="27">
        <f>IF(C322="","",N(R322)+N(S322)+N(T322))</f>
        <v/>
      </c>
      <c r="V322" s="27">
        <f>IF(C322="","",H322-U322)</f>
        <v/>
      </c>
      <c r="W322" s="29">
        <f>IFERROR(V322/H322,"")</f>
        <v/>
      </c>
      <c r="X322" s="24" t="n"/>
    </row>
    <row r="323" ht="15" customHeight="1">
      <c r="A323" s="63">
        <f>IF(C323="","",IFERROR(IF(SUMPRODUCT(MAX((tbl_Finance[Job Number]=C323&amp;"")*(tbl_Finance[Xero Invoice No]&lt;&gt;"")*tbl_Finance[Date]))=0,"",SUMPRODUCT(MAX((tbl_Finance[Job Number]=C323&amp;"")*(tbl_Finance[Xero Invoice No]&lt;&gt;"")*tbl_Finance[Date]))),""))</f>
        <v/>
      </c>
      <c r="B323" s="25">
        <f>IF(C323="","",IF(COUNTIFS(tbl_Finance[Job Number],C323&amp;"",tbl_Finance[Xero Invoice No],"&lt;&gt;")=0,"",IFERROR(IF(COUNTIFS(tbl_Finance[Job Number],C323&amp;"",tbl_Finance[Xero Invoice No],LOOKUP(2,1/((tbl_Finance[Job Number]=C323&amp;"")*(tbl_Finance[Xero Invoice No]&lt;&gt;"")),tbl_Finance[Xero Invoice No]))=COUNTIFS(tbl_Finance[Job Number],C323&amp;"",tbl_Finance[Xero Invoice No],"&lt;&gt;"),LOOKUP(2,1/((tbl_Finance[Job Number]=C323&amp;"")*(tbl_Finance[Xero Invoice No]&lt;&gt;"")),tbl_Finance[Xero Invoice No]),LOOKUP(2,1/((tbl_Finance[Job Number]=C323&amp;"")*(tbl_Finance[Xero Invoice No]&lt;&gt;"")),tbl_Finance[Xero Invoice No])&amp;" +more"),"")))</f>
        <v/>
      </c>
      <c r="C323" s="24" t="n"/>
      <c r="D323" s="25">
        <f>IF(C323="","",IF(COUNTIF(lst_Jobs,C323&amp;"")&gt;0,"OK","CHECK"))</f>
        <v/>
      </c>
      <c r="E323" s="25">
        <f>IF(C323="","",IFERROR(INDEX(lst_JobName,MATCH(C323&amp;"",lst_Jobs,0)),""))</f>
        <v/>
      </c>
      <c r="F323" s="25">
        <f>IF(C323="","",IFERROR(INDEX(tbl_Finance[Client],MATCH(C323&amp;"",tbl_Finance[Job Number],0)),""))</f>
        <v/>
      </c>
      <c r="G323" s="28">
        <f>IF(C323="","",COUNTIFS(tbl_Finance[Job Number],C323&amp;"",tbl_Finance[Ex GST],"&lt;&gt;"))</f>
        <v/>
      </c>
      <c r="H323" s="27">
        <f>IF(C323="","",SUMIFS(tbl_Finance[Ex GST],tbl_Finance[Job Number],C323&amp;""))</f>
        <v/>
      </c>
      <c r="I323" s="27">
        <f>IF(C323="","",SUMIFS(tbl_Finance[Ex GST],tbl_Finance[Job Number],C323&amp;"",tbl_Finance[Xero Invoice No],"&lt;&gt;"))</f>
        <v/>
      </c>
      <c r="J323" s="27">
        <f>IF(C323="","",H323-I323)</f>
        <v/>
      </c>
      <c r="K323" s="25">
        <f>IF(C323="","",IF(G323=0,"not invoiced yet",SUBSTITUTE(TRIM(IF(COUNTIFS(tbl_Finance[Job Number],C323&amp;"",tbl_Finance[Cost Centre],"ONSITE")&gt;0,"ONSITE ","")&amp;IF(COUNTIFS(tbl_Finance[Job Number],C323&amp;"",tbl_Finance[Cost Centre],"PRODUCTION")&gt;0,"PRODUCTION ","")&amp;IF(COUNTIFS(tbl_Finance[Job Number],C323&amp;"",tbl_Finance[Cost Centre],"VIDEO")&gt;0,"VIDEO ","")&amp;IF(COUNTIFS(tbl_Finance[Job Number],C323&amp;"",tbl_Finance[Cost Centre],"INTEGRATION")&gt;0,"INTEGRATION ","")&amp;IF(COUNTIFS(tbl_Finance[Job Number],C323&amp;"",tbl_Finance[Cost Centre],"CONSULTING")&gt;0,"CONSULTING ","")&amp;IF(COUNTIFS(tbl_Finance[Job Number],C323&amp;"",tbl_Finance[Cost Centre],"CTS")&gt;0,"CTS ",""))," ",", ")))</f>
        <v/>
      </c>
      <c r="L323" s="24" t="n"/>
      <c r="M323" s="25">
        <f>IF(L323="","",HYPERLINK(IF(LEFT(L323,4)="http",L323,set_QwilrBase&amp;L323),"Open quote"))</f>
        <v/>
      </c>
      <c r="N323" s="26" t="n"/>
      <c r="O323" s="26" t="n"/>
      <c r="P323" s="26" t="n"/>
      <c r="Q323" s="25">
        <f>IF(C323="","",IF(N(N323)+N(O323)+N(P323)=0,"Not split",IF(ROUND(N(N323)+N(O323)+N(P323),2)=ROUND(H323,2),"OK","MISMATCH")))</f>
        <v/>
      </c>
      <c r="R323" s="26" t="n"/>
      <c r="S323" s="26" t="n"/>
      <c r="T323" s="26" t="n"/>
      <c r="U323" s="27">
        <f>IF(C323="","",N(R323)+N(S323)+N(T323))</f>
        <v/>
      </c>
      <c r="V323" s="27">
        <f>IF(C323="","",H323-U323)</f>
        <v/>
      </c>
      <c r="W323" s="29">
        <f>IFERROR(V323/H323,"")</f>
        <v/>
      </c>
      <c r="X323" s="24" t="n"/>
    </row>
    <row r="324" ht="15" customHeight="1">
      <c r="A324" s="63">
        <f>IF(C324="","",IFERROR(IF(SUMPRODUCT(MAX((tbl_Finance[Job Number]=C324&amp;"")*(tbl_Finance[Xero Invoice No]&lt;&gt;"")*tbl_Finance[Date]))=0,"",SUMPRODUCT(MAX((tbl_Finance[Job Number]=C324&amp;"")*(tbl_Finance[Xero Invoice No]&lt;&gt;"")*tbl_Finance[Date]))),""))</f>
        <v/>
      </c>
      <c r="B324" s="25">
        <f>IF(C324="","",IF(COUNTIFS(tbl_Finance[Job Number],C324&amp;"",tbl_Finance[Xero Invoice No],"&lt;&gt;")=0,"",IFERROR(IF(COUNTIFS(tbl_Finance[Job Number],C324&amp;"",tbl_Finance[Xero Invoice No],LOOKUP(2,1/((tbl_Finance[Job Number]=C324&amp;"")*(tbl_Finance[Xero Invoice No]&lt;&gt;"")),tbl_Finance[Xero Invoice No]))=COUNTIFS(tbl_Finance[Job Number],C324&amp;"",tbl_Finance[Xero Invoice No],"&lt;&gt;"),LOOKUP(2,1/((tbl_Finance[Job Number]=C324&amp;"")*(tbl_Finance[Xero Invoice No]&lt;&gt;"")),tbl_Finance[Xero Invoice No]),LOOKUP(2,1/((tbl_Finance[Job Number]=C324&amp;"")*(tbl_Finance[Xero Invoice No]&lt;&gt;"")),tbl_Finance[Xero Invoice No])&amp;" +more"),"")))</f>
        <v/>
      </c>
      <c r="C324" s="24" t="n"/>
      <c r="D324" s="25">
        <f>IF(C324="","",IF(COUNTIF(lst_Jobs,C324&amp;"")&gt;0,"OK","CHECK"))</f>
        <v/>
      </c>
      <c r="E324" s="25">
        <f>IF(C324="","",IFERROR(INDEX(lst_JobName,MATCH(C324&amp;"",lst_Jobs,0)),""))</f>
        <v/>
      </c>
      <c r="F324" s="25">
        <f>IF(C324="","",IFERROR(INDEX(tbl_Finance[Client],MATCH(C324&amp;"",tbl_Finance[Job Number],0)),""))</f>
        <v/>
      </c>
      <c r="G324" s="28">
        <f>IF(C324="","",COUNTIFS(tbl_Finance[Job Number],C324&amp;"",tbl_Finance[Ex GST],"&lt;&gt;"))</f>
        <v/>
      </c>
      <c r="H324" s="27">
        <f>IF(C324="","",SUMIFS(tbl_Finance[Ex GST],tbl_Finance[Job Number],C324&amp;""))</f>
        <v/>
      </c>
      <c r="I324" s="27">
        <f>IF(C324="","",SUMIFS(tbl_Finance[Ex GST],tbl_Finance[Job Number],C324&amp;"",tbl_Finance[Xero Invoice No],"&lt;&gt;"))</f>
        <v/>
      </c>
      <c r="J324" s="27">
        <f>IF(C324="","",H324-I324)</f>
        <v/>
      </c>
      <c r="K324" s="25">
        <f>IF(C324="","",IF(G324=0,"not invoiced yet",SUBSTITUTE(TRIM(IF(COUNTIFS(tbl_Finance[Job Number],C324&amp;"",tbl_Finance[Cost Centre],"ONSITE")&gt;0,"ONSITE ","")&amp;IF(COUNTIFS(tbl_Finance[Job Number],C324&amp;"",tbl_Finance[Cost Centre],"PRODUCTION")&gt;0,"PRODUCTION ","")&amp;IF(COUNTIFS(tbl_Finance[Job Number],C324&amp;"",tbl_Finance[Cost Centre],"VIDEO")&gt;0,"VIDEO ","")&amp;IF(COUNTIFS(tbl_Finance[Job Number],C324&amp;"",tbl_Finance[Cost Centre],"INTEGRATION")&gt;0,"INTEGRATION ","")&amp;IF(COUNTIFS(tbl_Finance[Job Number],C324&amp;"",tbl_Finance[Cost Centre],"CONSULTING")&gt;0,"CONSULTING ","")&amp;IF(COUNTIFS(tbl_Finance[Job Number],C324&amp;"",tbl_Finance[Cost Centre],"CTS")&gt;0,"CTS ",""))," ",", ")))</f>
        <v/>
      </c>
      <c r="L324" s="24" t="n"/>
      <c r="M324" s="25">
        <f>IF(L324="","",HYPERLINK(IF(LEFT(L324,4)="http",L324,set_QwilrBase&amp;L324),"Open quote"))</f>
        <v/>
      </c>
      <c r="N324" s="26" t="n"/>
      <c r="O324" s="26" t="n"/>
      <c r="P324" s="26" t="n"/>
      <c r="Q324" s="25">
        <f>IF(C324="","",IF(N(N324)+N(O324)+N(P324)=0,"Not split",IF(ROUND(N(N324)+N(O324)+N(P324),2)=ROUND(H324,2),"OK","MISMATCH")))</f>
        <v/>
      </c>
      <c r="R324" s="26" t="n"/>
      <c r="S324" s="26" t="n"/>
      <c r="T324" s="26" t="n"/>
      <c r="U324" s="27">
        <f>IF(C324="","",N(R324)+N(S324)+N(T324))</f>
        <v/>
      </c>
      <c r="V324" s="27">
        <f>IF(C324="","",H324-U324)</f>
        <v/>
      </c>
      <c r="W324" s="29">
        <f>IFERROR(V324/H324,"")</f>
        <v/>
      </c>
      <c r="X324" s="24" t="n"/>
    </row>
    <row r="325" ht="15" customHeight="1">
      <c r="A325" s="63">
        <f>IF(C325="","",IFERROR(IF(SUMPRODUCT(MAX((tbl_Finance[Job Number]=C325&amp;"")*(tbl_Finance[Xero Invoice No]&lt;&gt;"")*tbl_Finance[Date]))=0,"",SUMPRODUCT(MAX((tbl_Finance[Job Number]=C325&amp;"")*(tbl_Finance[Xero Invoice No]&lt;&gt;"")*tbl_Finance[Date]))),""))</f>
        <v/>
      </c>
      <c r="B325" s="25">
        <f>IF(C325="","",IF(COUNTIFS(tbl_Finance[Job Number],C325&amp;"",tbl_Finance[Xero Invoice No],"&lt;&gt;")=0,"",IFERROR(IF(COUNTIFS(tbl_Finance[Job Number],C325&amp;"",tbl_Finance[Xero Invoice No],LOOKUP(2,1/((tbl_Finance[Job Number]=C325&amp;"")*(tbl_Finance[Xero Invoice No]&lt;&gt;"")),tbl_Finance[Xero Invoice No]))=COUNTIFS(tbl_Finance[Job Number],C325&amp;"",tbl_Finance[Xero Invoice No],"&lt;&gt;"),LOOKUP(2,1/((tbl_Finance[Job Number]=C325&amp;"")*(tbl_Finance[Xero Invoice No]&lt;&gt;"")),tbl_Finance[Xero Invoice No]),LOOKUP(2,1/((tbl_Finance[Job Number]=C325&amp;"")*(tbl_Finance[Xero Invoice No]&lt;&gt;"")),tbl_Finance[Xero Invoice No])&amp;" +more"),"")))</f>
        <v/>
      </c>
      <c r="C325" s="24" t="n"/>
      <c r="D325" s="25">
        <f>IF(C325="","",IF(COUNTIF(lst_Jobs,C325&amp;"")&gt;0,"OK","CHECK"))</f>
        <v/>
      </c>
      <c r="E325" s="25">
        <f>IF(C325="","",IFERROR(INDEX(lst_JobName,MATCH(C325&amp;"",lst_Jobs,0)),""))</f>
        <v/>
      </c>
      <c r="F325" s="25">
        <f>IF(C325="","",IFERROR(INDEX(tbl_Finance[Client],MATCH(C325&amp;"",tbl_Finance[Job Number],0)),""))</f>
        <v/>
      </c>
      <c r="G325" s="28">
        <f>IF(C325="","",COUNTIFS(tbl_Finance[Job Number],C325&amp;"",tbl_Finance[Ex GST],"&lt;&gt;"))</f>
        <v/>
      </c>
      <c r="H325" s="27">
        <f>IF(C325="","",SUMIFS(tbl_Finance[Ex GST],tbl_Finance[Job Number],C325&amp;""))</f>
        <v/>
      </c>
      <c r="I325" s="27">
        <f>IF(C325="","",SUMIFS(tbl_Finance[Ex GST],tbl_Finance[Job Number],C325&amp;"",tbl_Finance[Xero Invoice No],"&lt;&gt;"))</f>
        <v/>
      </c>
      <c r="J325" s="27">
        <f>IF(C325="","",H325-I325)</f>
        <v/>
      </c>
      <c r="K325" s="25">
        <f>IF(C325="","",IF(G325=0,"not invoiced yet",SUBSTITUTE(TRIM(IF(COUNTIFS(tbl_Finance[Job Number],C325&amp;"",tbl_Finance[Cost Centre],"ONSITE")&gt;0,"ONSITE ","")&amp;IF(COUNTIFS(tbl_Finance[Job Number],C325&amp;"",tbl_Finance[Cost Centre],"PRODUCTION")&gt;0,"PRODUCTION ","")&amp;IF(COUNTIFS(tbl_Finance[Job Number],C325&amp;"",tbl_Finance[Cost Centre],"VIDEO")&gt;0,"VIDEO ","")&amp;IF(COUNTIFS(tbl_Finance[Job Number],C325&amp;"",tbl_Finance[Cost Centre],"INTEGRATION")&gt;0,"INTEGRATION ","")&amp;IF(COUNTIFS(tbl_Finance[Job Number],C325&amp;"",tbl_Finance[Cost Centre],"CONSULTING")&gt;0,"CONSULTING ","")&amp;IF(COUNTIFS(tbl_Finance[Job Number],C325&amp;"",tbl_Finance[Cost Centre],"CTS")&gt;0,"CTS ",""))," ",", ")))</f>
        <v/>
      </c>
      <c r="L325" s="24" t="n"/>
      <c r="M325" s="25">
        <f>IF(L325="","",HYPERLINK(IF(LEFT(L325,4)="http",L325,set_QwilrBase&amp;L325),"Open quote"))</f>
        <v/>
      </c>
      <c r="N325" s="26" t="n"/>
      <c r="O325" s="26" t="n"/>
      <c r="P325" s="26" t="n"/>
      <c r="Q325" s="25">
        <f>IF(C325="","",IF(N(N325)+N(O325)+N(P325)=0,"Not split",IF(ROUND(N(N325)+N(O325)+N(P325),2)=ROUND(H325,2),"OK","MISMATCH")))</f>
        <v/>
      </c>
      <c r="R325" s="26" t="n"/>
      <c r="S325" s="26" t="n"/>
      <c r="T325" s="26" t="n"/>
      <c r="U325" s="27">
        <f>IF(C325="","",N(R325)+N(S325)+N(T325))</f>
        <v/>
      </c>
      <c r="V325" s="27">
        <f>IF(C325="","",H325-U325)</f>
        <v/>
      </c>
      <c r="W325" s="29">
        <f>IFERROR(V325/H325,"")</f>
        <v/>
      </c>
      <c r="X325" s="24" t="n"/>
    </row>
    <row r="326" ht="15" customHeight="1">
      <c r="A326" s="63">
        <f>IF(C326="","",IFERROR(IF(SUMPRODUCT(MAX((tbl_Finance[Job Number]=C326&amp;"")*(tbl_Finance[Xero Invoice No]&lt;&gt;"")*tbl_Finance[Date]))=0,"",SUMPRODUCT(MAX((tbl_Finance[Job Number]=C326&amp;"")*(tbl_Finance[Xero Invoice No]&lt;&gt;"")*tbl_Finance[Date]))),""))</f>
        <v/>
      </c>
      <c r="B326" s="25">
        <f>IF(C326="","",IF(COUNTIFS(tbl_Finance[Job Number],C326&amp;"",tbl_Finance[Xero Invoice No],"&lt;&gt;")=0,"",IFERROR(IF(COUNTIFS(tbl_Finance[Job Number],C326&amp;"",tbl_Finance[Xero Invoice No],LOOKUP(2,1/((tbl_Finance[Job Number]=C326&amp;"")*(tbl_Finance[Xero Invoice No]&lt;&gt;"")),tbl_Finance[Xero Invoice No]))=COUNTIFS(tbl_Finance[Job Number],C326&amp;"",tbl_Finance[Xero Invoice No],"&lt;&gt;"),LOOKUP(2,1/((tbl_Finance[Job Number]=C326&amp;"")*(tbl_Finance[Xero Invoice No]&lt;&gt;"")),tbl_Finance[Xero Invoice No]),LOOKUP(2,1/((tbl_Finance[Job Number]=C326&amp;"")*(tbl_Finance[Xero Invoice No]&lt;&gt;"")),tbl_Finance[Xero Invoice No])&amp;" +more"),"")))</f>
        <v/>
      </c>
      <c r="C326" s="24" t="n"/>
      <c r="D326" s="25">
        <f>IF(C326="","",IF(COUNTIF(lst_Jobs,C326&amp;"")&gt;0,"OK","CHECK"))</f>
        <v/>
      </c>
      <c r="E326" s="25">
        <f>IF(C326="","",IFERROR(INDEX(lst_JobName,MATCH(C326&amp;"",lst_Jobs,0)),""))</f>
        <v/>
      </c>
      <c r="F326" s="25">
        <f>IF(C326="","",IFERROR(INDEX(tbl_Finance[Client],MATCH(C326&amp;"",tbl_Finance[Job Number],0)),""))</f>
        <v/>
      </c>
      <c r="G326" s="28">
        <f>IF(C326="","",COUNTIFS(tbl_Finance[Job Number],C326&amp;"",tbl_Finance[Ex GST],"&lt;&gt;"))</f>
        <v/>
      </c>
      <c r="H326" s="27">
        <f>IF(C326="","",SUMIFS(tbl_Finance[Ex GST],tbl_Finance[Job Number],C326&amp;""))</f>
        <v/>
      </c>
      <c r="I326" s="27">
        <f>IF(C326="","",SUMIFS(tbl_Finance[Ex GST],tbl_Finance[Job Number],C326&amp;"",tbl_Finance[Xero Invoice No],"&lt;&gt;"))</f>
        <v/>
      </c>
      <c r="J326" s="27">
        <f>IF(C326="","",H326-I326)</f>
        <v/>
      </c>
      <c r="K326" s="25">
        <f>IF(C326="","",IF(G326=0,"not invoiced yet",SUBSTITUTE(TRIM(IF(COUNTIFS(tbl_Finance[Job Number],C326&amp;"",tbl_Finance[Cost Centre],"ONSITE")&gt;0,"ONSITE ","")&amp;IF(COUNTIFS(tbl_Finance[Job Number],C326&amp;"",tbl_Finance[Cost Centre],"PRODUCTION")&gt;0,"PRODUCTION ","")&amp;IF(COUNTIFS(tbl_Finance[Job Number],C326&amp;"",tbl_Finance[Cost Centre],"VIDEO")&gt;0,"VIDEO ","")&amp;IF(COUNTIFS(tbl_Finance[Job Number],C326&amp;"",tbl_Finance[Cost Centre],"INTEGRATION")&gt;0,"INTEGRATION ","")&amp;IF(COUNTIFS(tbl_Finance[Job Number],C326&amp;"",tbl_Finance[Cost Centre],"CONSULTING")&gt;0,"CONSULTING ","")&amp;IF(COUNTIFS(tbl_Finance[Job Number],C326&amp;"",tbl_Finance[Cost Centre],"CTS")&gt;0,"CTS ",""))," ",", ")))</f>
        <v/>
      </c>
      <c r="L326" s="24" t="n"/>
      <c r="M326" s="25">
        <f>IF(L326="","",HYPERLINK(IF(LEFT(L326,4)="http",L326,set_QwilrBase&amp;L326),"Open quote"))</f>
        <v/>
      </c>
      <c r="N326" s="26" t="n"/>
      <c r="O326" s="26" t="n"/>
      <c r="P326" s="26" t="n"/>
      <c r="Q326" s="25">
        <f>IF(C326="","",IF(N(N326)+N(O326)+N(P326)=0,"Not split",IF(ROUND(N(N326)+N(O326)+N(P326),2)=ROUND(H326,2),"OK","MISMATCH")))</f>
        <v/>
      </c>
      <c r="R326" s="26" t="n"/>
      <c r="S326" s="26" t="n"/>
      <c r="T326" s="26" t="n"/>
      <c r="U326" s="27">
        <f>IF(C326="","",N(R326)+N(S326)+N(T326))</f>
        <v/>
      </c>
      <c r="V326" s="27">
        <f>IF(C326="","",H326-U326)</f>
        <v/>
      </c>
      <c r="W326" s="29">
        <f>IFERROR(V326/H326,"")</f>
        <v/>
      </c>
      <c r="X326" s="24" t="n"/>
    </row>
    <row r="327" ht="15" customHeight="1">
      <c r="A327" s="63">
        <f>IF(C327="","",IFERROR(IF(SUMPRODUCT(MAX((tbl_Finance[Job Number]=C327&amp;"")*(tbl_Finance[Xero Invoice No]&lt;&gt;"")*tbl_Finance[Date]))=0,"",SUMPRODUCT(MAX((tbl_Finance[Job Number]=C327&amp;"")*(tbl_Finance[Xero Invoice No]&lt;&gt;"")*tbl_Finance[Date]))),""))</f>
        <v/>
      </c>
      <c r="B327" s="25">
        <f>IF(C327="","",IF(COUNTIFS(tbl_Finance[Job Number],C327&amp;"",tbl_Finance[Xero Invoice No],"&lt;&gt;")=0,"",IFERROR(IF(COUNTIFS(tbl_Finance[Job Number],C327&amp;"",tbl_Finance[Xero Invoice No],LOOKUP(2,1/((tbl_Finance[Job Number]=C327&amp;"")*(tbl_Finance[Xero Invoice No]&lt;&gt;"")),tbl_Finance[Xero Invoice No]))=COUNTIFS(tbl_Finance[Job Number],C327&amp;"",tbl_Finance[Xero Invoice No],"&lt;&gt;"),LOOKUP(2,1/((tbl_Finance[Job Number]=C327&amp;"")*(tbl_Finance[Xero Invoice No]&lt;&gt;"")),tbl_Finance[Xero Invoice No]),LOOKUP(2,1/((tbl_Finance[Job Number]=C327&amp;"")*(tbl_Finance[Xero Invoice No]&lt;&gt;"")),tbl_Finance[Xero Invoice No])&amp;" +more"),"")))</f>
        <v/>
      </c>
      <c r="C327" s="24" t="n"/>
      <c r="D327" s="25">
        <f>IF(C327="","",IF(COUNTIF(lst_Jobs,C327&amp;"")&gt;0,"OK","CHECK"))</f>
        <v/>
      </c>
      <c r="E327" s="25">
        <f>IF(C327="","",IFERROR(INDEX(lst_JobName,MATCH(C327&amp;"",lst_Jobs,0)),""))</f>
        <v/>
      </c>
      <c r="F327" s="25">
        <f>IF(C327="","",IFERROR(INDEX(tbl_Finance[Client],MATCH(C327&amp;"",tbl_Finance[Job Number],0)),""))</f>
        <v/>
      </c>
      <c r="G327" s="28">
        <f>IF(C327="","",COUNTIFS(tbl_Finance[Job Number],C327&amp;"",tbl_Finance[Ex GST],"&lt;&gt;"))</f>
        <v/>
      </c>
      <c r="H327" s="27">
        <f>IF(C327="","",SUMIFS(tbl_Finance[Ex GST],tbl_Finance[Job Number],C327&amp;""))</f>
        <v/>
      </c>
      <c r="I327" s="27">
        <f>IF(C327="","",SUMIFS(tbl_Finance[Ex GST],tbl_Finance[Job Number],C327&amp;"",tbl_Finance[Xero Invoice No],"&lt;&gt;"))</f>
        <v/>
      </c>
      <c r="J327" s="27">
        <f>IF(C327="","",H327-I327)</f>
        <v/>
      </c>
      <c r="K327" s="25">
        <f>IF(C327="","",IF(G327=0,"not invoiced yet",SUBSTITUTE(TRIM(IF(COUNTIFS(tbl_Finance[Job Number],C327&amp;"",tbl_Finance[Cost Centre],"ONSITE")&gt;0,"ONSITE ","")&amp;IF(COUNTIFS(tbl_Finance[Job Number],C327&amp;"",tbl_Finance[Cost Centre],"PRODUCTION")&gt;0,"PRODUCTION ","")&amp;IF(COUNTIFS(tbl_Finance[Job Number],C327&amp;"",tbl_Finance[Cost Centre],"VIDEO")&gt;0,"VIDEO ","")&amp;IF(COUNTIFS(tbl_Finance[Job Number],C327&amp;"",tbl_Finance[Cost Centre],"INTEGRATION")&gt;0,"INTEGRATION ","")&amp;IF(COUNTIFS(tbl_Finance[Job Number],C327&amp;"",tbl_Finance[Cost Centre],"CONSULTING")&gt;0,"CONSULTING ","")&amp;IF(COUNTIFS(tbl_Finance[Job Number],C327&amp;"",tbl_Finance[Cost Centre],"CTS")&gt;0,"CTS ",""))," ",", ")))</f>
        <v/>
      </c>
      <c r="L327" s="24" t="n"/>
      <c r="M327" s="25">
        <f>IF(L327="","",HYPERLINK(IF(LEFT(L327,4)="http",L327,set_QwilrBase&amp;L327),"Open quote"))</f>
        <v/>
      </c>
      <c r="N327" s="26" t="n"/>
      <c r="O327" s="26" t="n"/>
      <c r="P327" s="26" t="n"/>
      <c r="Q327" s="25">
        <f>IF(C327="","",IF(N(N327)+N(O327)+N(P327)=0,"Not split",IF(ROUND(N(N327)+N(O327)+N(P327),2)=ROUND(H327,2),"OK","MISMATCH")))</f>
        <v/>
      </c>
      <c r="R327" s="26" t="n"/>
      <c r="S327" s="26" t="n"/>
      <c r="T327" s="26" t="n"/>
      <c r="U327" s="27">
        <f>IF(C327="","",N(R327)+N(S327)+N(T327))</f>
        <v/>
      </c>
      <c r="V327" s="27">
        <f>IF(C327="","",H327-U327)</f>
        <v/>
      </c>
      <c r="W327" s="29">
        <f>IFERROR(V327/H327,"")</f>
        <v/>
      </c>
      <c r="X327" s="24" t="n"/>
    </row>
    <row r="328" ht="15" customHeight="1">
      <c r="A328" s="63">
        <f>IF(C328="","",IFERROR(IF(SUMPRODUCT(MAX((tbl_Finance[Job Number]=C328&amp;"")*(tbl_Finance[Xero Invoice No]&lt;&gt;"")*tbl_Finance[Date]))=0,"",SUMPRODUCT(MAX((tbl_Finance[Job Number]=C328&amp;"")*(tbl_Finance[Xero Invoice No]&lt;&gt;"")*tbl_Finance[Date]))),""))</f>
        <v/>
      </c>
      <c r="B328" s="25">
        <f>IF(C328="","",IF(COUNTIFS(tbl_Finance[Job Number],C328&amp;"",tbl_Finance[Xero Invoice No],"&lt;&gt;")=0,"",IFERROR(IF(COUNTIFS(tbl_Finance[Job Number],C328&amp;"",tbl_Finance[Xero Invoice No],LOOKUP(2,1/((tbl_Finance[Job Number]=C328&amp;"")*(tbl_Finance[Xero Invoice No]&lt;&gt;"")),tbl_Finance[Xero Invoice No]))=COUNTIFS(tbl_Finance[Job Number],C328&amp;"",tbl_Finance[Xero Invoice No],"&lt;&gt;"),LOOKUP(2,1/((tbl_Finance[Job Number]=C328&amp;"")*(tbl_Finance[Xero Invoice No]&lt;&gt;"")),tbl_Finance[Xero Invoice No]),LOOKUP(2,1/((tbl_Finance[Job Number]=C328&amp;"")*(tbl_Finance[Xero Invoice No]&lt;&gt;"")),tbl_Finance[Xero Invoice No])&amp;" +more"),"")))</f>
        <v/>
      </c>
      <c r="C328" s="24" t="n"/>
      <c r="D328" s="25">
        <f>IF(C328="","",IF(COUNTIF(lst_Jobs,C328&amp;"")&gt;0,"OK","CHECK"))</f>
        <v/>
      </c>
      <c r="E328" s="25">
        <f>IF(C328="","",IFERROR(INDEX(lst_JobName,MATCH(C328&amp;"",lst_Jobs,0)),""))</f>
        <v/>
      </c>
      <c r="F328" s="25">
        <f>IF(C328="","",IFERROR(INDEX(tbl_Finance[Client],MATCH(C328&amp;"",tbl_Finance[Job Number],0)),""))</f>
        <v/>
      </c>
      <c r="G328" s="28">
        <f>IF(C328="","",COUNTIFS(tbl_Finance[Job Number],C328&amp;"",tbl_Finance[Ex GST],"&lt;&gt;"))</f>
        <v/>
      </c>
      <c r="H328" s="27">
        <f>IF(C328="","",SUMIFS(tbl_Finance[Ex GST],tbl_Finance[Job Number],C328&amp;""))</f>
        <v/>
      </c>
      <c r="I328" s="27">
        <f>IF(C328="","",SUMIFS(tbl_Finance[Ex GST],tbl_Finance[Job Number],C328&amp;"",tbl_Finance[Xero Invoice No],"&lt;&gt;"))</f>
        <v/>
      </c>
      <c r="J328" s="27">
        <f>IF(C328="","",H328-I328)</f>
        <v/>
      </c>
      <c r="K328" s="25">
        <f>IF(C328="","",IF(G328=0,"not invoiced yet",SUBSTITUTE(TRIM(IF(COUNTIFS(tbl_Finance[Job Number],C328&amp;"",tbl_Finance[Cost Centre],"ONSITE")&gt;0,"ONSITE ","")&amp;IF(COUNTIFS(tbl_Finance[Job Number],C328&amp;"",tbl_Finance[Cost Centre],"PRODUCTION")&gt;0,"PRODUCTION ","")&amp;IF(COUNTIFS(tbl_Finance[Job Number],C328&amp;"",tbl_Finance[Cost Centre],"VIDEO")&gt;0,"VIDEO ","")&amp;IF(COUNTIFS(tbl_Finance[Job Number],C328&amp;"",tbl_Finance[Cost Centre],"INTEGRATION")&gt;0,"INTEGRATION ","")&amp;IF(COUNTIFS(tbl_Finance[Job Number],C328&amp;"",tbl_Finance[Cost Centre],"CONSULTING")&gt;0,"CONSULTING ","")&amp;IF(COUNTIFS(tbl_Finance[Job Number],C328&amp;"",tbl_Finance[Cost Centre],"CTS")&gt;0,"CTS ",""))," ",", ")))</f>
        <v/>
      </c>
      <c r="L328" s="24" t="n"/>
      <c r="M328" s="25">
        <f>IF(L328="","",HYPERLINK(IF(LEFT(L328,4)="http",L328,set_QwilrBase&amp;L328),"Open quote"))</f>
        <v/>
      </c>
      <c r="N328" s="26" t="n"/>
      <c r="O328" s="26" t="n"/>
      <c r="P328" s="26" t="n"/>
      <c r="Q328" s="25">
        <f>IF(C328="","",IF(N(N328)+N(O328)+N(P328)=0,"Not split",IF(ROUND(N(N328)+N(O328)+N(P328),2)=ROUND(H328,2),"OK","MISMATCH")))</f>
        <v/>
      </c>
      <c r="R328" s="26" t="n"/>
      <c r="S328" s="26" t="n"/>
      <c r="T328" s="26" t="n"/>
      <c r="U328" s="27">
        <f>IF(C328="","",N(R328)+N(S328)+N(T328))</f>
        <v/>
      </c>
      <c r="V328" s="27">
        <f>IF(C328="","",H328-U328)</f>
        <v/>
      </c>
      <c r="W328" s="29">
        <f>IFERROR(V328/H328,"")</f>
        <v/>
      </c>
      <c r="X328" s="24" t="n"/>
    </row>
    <row r="329" ht="15" customHeight="1">
      <c r="A329" s="63">
        <f>IF(C329="","",IFERROR(IF(SUMPRODUCT(MAX((tbl_Finance[Job Number]=C329&amp;"")*(tbl_Finance[Xero Invoice No]&lt;&gt;"")*tbl_Finance[Date]))=0,"",SUMPRODUCT(MAX((tbl_Finance[Job Number]=C329&amp;"")*(tbl_Finance[Xero Invoice No]&lt;&gt;"")*tbl_Finance[Date]))),""))</f>
        <v/>
      </c>
      <c r="B329" s="25">
        <f>IF(C329="","",IF(COUNTIFS(tbl_Finance[Job Number],C329&amp;"",tbl_Finance[Xero Invoice No],"&lt;&gt;")=0,"",IFERROR(IF(COUNTIFS(tbl_Finance[Job Number],C329&amp;"",tbl_Finance[Xero Invoice No],LOOKUP(2,1/((tbl_Finance[Job Number]=C329&amp;"")*(tbl_Finance[Xero Invoice No]&lt;&gt;"")),tbl_Finance[Xero Invoice No]))=COUNTIFS(tbl_Finance[Job Number],C329&amp;"",tbl_Finance[Xero Invoice No],"&lt;&gt;"),LOOKUP(2,1/((tbl_Finance[Job Number]=C329&amp;"")*(tbl_Finance[Xero Invoice No]&lt;&gt;"")),tbl_Finance[Xero Invoice No]),LOOKUP(2,1/((tbl_Finance[Job Number]=C329&amp;"")*(tbl_Finance[Xero Invoice No]&lt;&gt;"")),tbl_Finance[Xero Invoice No])&amp;" +more"),"")))</f>
        <v/>
      </c>
      <c r="C329" s="24" t="n"/>
      <c r="D329" s="25">
        <f>IF(C329="","",IF(COUNTIF(lst_Jobs,C329&amp;"")&gt;0,"OK","CHECK"))</f>
        <v/>
      </c>
      <c r="E329" s="25">
        <f>IF(C329="","",IFERROR(INDEX(lst_JobName,MATCH(C329&amp;"",lst_Jobs,0)),""))</f>
        <v/>
      </c>
      <c r="F329" s="25">
        <f>IF(C329="","",IFERROR(INDEX(tbl_Finance[Client],MATCH(C329&amp;"",tbl_Finance[Job Number],0)),""))</f>
        <v/>
      </c>
      <c r="G329" s="28">
        <f>IF(C329="","",COUNTIFS(tbl_Finance[Job Number],C329&amp;"",tbl_Finance[Ex GST],"&lt;&gt;"))</f>
        <v/>
      </c>
      <c r="H329" s="27">
        <f>IF(C329="","",SUMIFS(tbl_Finance[Ex GST],tbl_Finance[Job Number],C329&amp;""))</f>
        <v/>
      </c>
      <c r="I329" s="27">
        <f>IF(C329="","",SUMIFS(tbl_Finance[Ex GST],tbl_Finance[Job Number],C329&amp;"",tbl_Finance[Xero Invoice No],"&lt;&gt;"))</f>
        <v/>
      </c>
      <c r="J329" s="27">
        <f>IF(C329="","",H329-I329)</f>
        <v/>
      </c>
      <c r="K329" s="25">
        <f>IF(C329="","",IF(G329=0,"not invoiced yet",SUBSTITUTE(TRIM(IF(COUNTIFS(tbl_Finance[Job Number],C329&amp;"",tbl_Finance[Cost Centre],"ONSITE")&gt;0,"ONSITE ","")&amp;IF(COUNTIFS(tbl_Finance[Job Number],C329&amp;"",tbl_Finance[Cost Centre],"PRODUCTION")&gt;0,"PRODUCTION ","")&amp;IF(COUNTIFS(tbl_Finance[Job Number],C329&amp;"",tbl_Finance[Cost Centre],"VIDEO")&gt;0,"VIDEO ","")&amp;IF(COUNTIFS(tbl_Finance[Job Number],C329&amp;"",tbl_Finance[Cost Centre],"INTEGRATION")&gt;0,"INTEGRATION ","")&amp;IF(COUNTIFS(tbl_Finance[Job Number],C329&amp;"",tbl_Finance[Cost Centre],"CONSULTING")&gt;0,"CONSULTING ","")&amp;IF(COUNTIFS(tbl_Finance[Job Number],C329&amp;"",tbl_Finance[Cost Centre],"CTS")&gt;0,"CTS ",""))," ",", ")))</f>
        <v/>
      </c>
      <c r="L329" s="24" t="n"/>
      <c r="M329" s="25">
        <f>IF(L329="","",HYPERLINK(IF(LEFT(L329,4)="http",L329,set_QwilrBase&amp;L329),"Open quote"))</f>
        <v/>
      </c>
      <c r="N329" s="26" t="n"/>
      <c r="O329" s="26" t="n"/>
      <c r="P329" s="26" t="n"/>
      <c r="Q329" s="25">
        <f>IF(C329="","",IF(N(N329)+N(O329)+N(P329)=0,"Not split",IF(ROUND(N(N329)+N(O329)+N(P329),2)=ROUND(H329,2),"OK","MISMATCH")))</f>
        <v/>
      </c>
      <c r="R329" s="26" t="n"/>
      <c r="S329" s="26" t="n"/>
      <c r="T329" s="26" t="n"/>
      <c r="U329" s="27">
        <f>IF(C329="","",N(R329)+N(S329)+N(T329))</f>
        <v/>
      </c>
      <c r="V329" s="27">
        <f>IF(C329="","",H329-U329)</f>
        <v/>
      </c>
      <c r="W329" s="29">
        <f>IFERROR(V329/H329,"")</f>
        <v/>
      </c>
      <c r="X329" s="24" t="n"/>
    </row>
    <row r="330" ht="15" customHeight="1">
      <c r="A330" s="63">
        <f>IF(C330="","",IFERROR(IF(SUMPRODUCT(MAX((tbl_Finance[Job Number]=C330&amp;"")*(tbl_Finance[Xero Invoice No]&lt;&gt;"")*tbl_Finance[Date]))=0,"",SUMPRODUCT(MAX((tbl_Finance[Job Number]=C330&amp;"")*(tbl_Finance[Xero Invoice No]&lt;&gt;"")*tbl_Finance[Date]))),""))</f>
        <v/>
      </c>
      <c r="B330" s="25">
        <f>IF(C330="","",IF(COUNTIFS(tbl_Finance[Job Number],C330&amp;"",tbl_Finance[Xero Invoice No],"&lt;&gt;")=0,"",IFERROR(IF(COUNTIFS(tbl_Finance[Job Number],C330&amp;"",tbl_Finance[Xero Invoice No],LOOKUP(2,1/((tbl_Finance[Job Number]=C330&amp;"")*(tbl_Finance[Xero Invoice No]&lt;&gt;"")),tbl_Finance[Xero Invoice No]))=COUNTIFS(tbl_Finance[Job Number],C330&amp;"",tbl_Finance[Xero Invoice No],"&lt;&gt;"),LOOKUP(2,1/((tbl_Finance[Job Number]=C330&amp;"")*(tbl_Finance[Xero Invoice No]&lt;&gt;"")),tbl_Finance[Xero Invoice No]),LOOKUP(2,1/((tbl_Finance[Job Number]=C330&amp;"")*(tbl_Finance[Xero Invoice No]&lt;&gt;"")),tbl_Finance[Xero Invoice No])&amp;" +more"),"")))</f>
        <v/>
      </c>
      <c r="C330" s="24" t="n"/>
      <c r="D330" s="25">
        <f>IF(C330="","",IF(COUNTIF(lst_Jobs,C330&amp;"")&gt;0,"OK","CHECK"))</f>
        <v/>
      </c>
      <c r="E330" s="25">
        <f>IF(C330="","",IFERROR(INDEX(lst_JobName,MATCH(C330&amp;"",lst_Jobs,0)),""))</f>
        <v/>
      </c>
      <c r="F330" s="25">
        <f>IF(C330="","",IFERROR(INDEX(tbl_Finance[Client],MATCH(C330&amp;"",tbl_Finance[Job Number],0)),""))</f>
        <v/>
      </c>
      <c r="G330" s="28">
        <f>IF(C330="","",COUNTIFS(tbl_Finance[Job Number],C330&amp;"",tbl_Finance[Ex GST],"&lt;&gt;"))</f>
        <v/>
      </c>
      <c r="H330" s="27">
        <f>IF(C330="","",SUMIFS(tbl_Finance[Ex GST],tbl_Finance[Job Number],C330&amp;""))</f>
        <v/>
      </c>
      <c r="I330" s="27">
        <f>IF(C330="","",SUMIFS(tbl_Finance[Ex GST],tbl_Finance[Job Number],C330&amp;"",tbl_Finance[Xero Invoice No],"&lt;&gt;"))</f>
        <v/>
      </c>
      <c r="J330" s="27">
        <f>IF(C330="","",H330-I330)</f>
        <v/>
      </c>
      <c r="K330" s="25">
        <f>IF(C330="","",IF(G330=0,"not invoiced yet",SUBSTITUTE(TRIM(IF(COUNTIFS(tbl_Finance[Job Number],C330&amp;"",tbl_Finance[Cost Centre],"ONSITE")&gt;0,"ONSITE ","")&amp;IF(COUNTIFS(tbl_Finance[Job Number],C330&amp;"",tbl_Finance[Cost Centre],"PRODUCTION")&gt;0,"PRODUCTION ","")&amp;IF(COUNTIFS(tbl_Finance[Job Number],C330&amp;"",tbl_Finance[Cost Centre],"VIDEO")&gt;0,"VIDEO ","")&amp;IF(COUNTIFS(tbl_Finance[Job Number],C330&amp;"",tbl_Finance[Cost Centre],"INTEGRATION")&gt;0,"INTEGRATION ","")&amp;IF(COUNTIFS(tbl_Finance[Job Number],C330&amp;"",tbl_Finance[Cost Centre],"CONSULTING")&gt;0,"CONSULTING ","")&amp;IF(COUNTIFS(tbl_Finance[Job Number],C330&amp;"",tbl_Finance[Cost Centre],"CTS")&gt;0,"CTS ",""))," ",", ")))</f>
        <v/>
      </c>
      <c r="L330" s="24" t="n"/>
      <c r="M330" s="25">
        <f>IF(L330="","",HYPERLINK(IF(LEFT(L330,4)="http",L330,set_QwilrBase&amp;L330),"Open quote"))</f>
        <v/>
      </c>
      <c r="N330" s="26" t="n"/>
      <c r="O330" s="26" t="n"/>
      <c r="P330" s="26" t="n"/>
      <c r="Q330" s="25">
        <f>IF(C330="","",IF(N(N330)+N(O330)+N(P330)=0,"Not split",IF(ROUND(N(N330)+N(O330)+N(P330),2)=ROUND(H330,2),"OK","MISMATCH")))</f>
        <v/>
      </c>
      <c r="R330" s="26" t="n"/>
      <c r="S330" s="26" t="n"/>
      <c r="T330" s="26" t="n"/>
      <c r="U330" s="27">
        <f>IF(C330="","",N(R330)+N(S330)+N(T330))</f>
        <v/>
      </c>
      <c r="V330" s="27">
        <f>IF(C330="","",H330-U330)</f>
        <v/>
      </c>
      <c r="W330" s="29">
        <f>IFERROR(V330/H330,"")</f>
        <v/>
      </c>
      <c r="X330" s="24" t="n"/>
    </row>
    <row r="331" ht="15" customHeight="1">
      <c r="A331" s="63">
        <f>IF(C331="","",IFERROR(IF(SUMPRODUCT(MAX((tbl_Finance[Job Number]=C331&amp;"")*(tbl_Finance[Xero Invoice No]&lt;&gt;"")*tbl_Finance[Date]))=0,"",SUMPRODUCT(MAX((tbl_Finance[Job Number]=C331&amp;"")*(tbl_Finance[Xero Invoice No]&lt;&gt;"")*tbl_Finance[Date]))),""))</f>
        <v/>
      </c>
      <c r="B331" s="25">
        <f>IF(C331="","",IF(COUNTIFS(tbl_Finance[Job Number],C331&amp;"",tbl_Finance[Xero Invoice No],"&lt;&gt;")=0,"",IFERROR(IF(COUNTIFS(tbl_Finance[Job Number],C331&amp;"",tbl_Finance[Xero Invoice No],LOOKUP(2,1/((tbl_Finance[Job Number]=C331&amp;"")*(tbl_Finance[Xero Invoice No]&lt;&gt;"")),tbl_Finance[Xero Invoice No]))=COUNTIFS(tbl_Finance[Job Number],C331&amp;"",tbl_Finance[Xero Invoice No],"&lt;&gt;"),LOOKUP(2,1/((tbl_Finance[Job Number]=C331&amp;"")*(tbl_Finance[Xero Invoice No]&lt;&gt;"")),tbl_Finance[Xero Invoice No]),LOOKUP(2,1/((tbl_Finance[Job Number]=C331&amp;"")*(tbl_Finance[Xero Invoice No]&lt;&gt;"")),tbl_Finance[Xero Invoice No])&amp;" +more"),"")))</f>
        <v/>
      </c>
      <c r="C331" s="24" t="n"/>
      <c r="D331" s="25">
        <f>IF(C331="","",IF(COUNTIF(lst_Jobs,C331&amp;"")&gt;0,"OK","CHECK"))</f>
        <v/>
      </c>
      <c r="E331" s="25">
        <f>IF(C331="","",IFERROR(INDEX(lst_JobName,MATCH(C331&amp;"",lst_Jobs,0)),""))</f>
        <v/>
      </c>
      <c r="F331" s="25">
        <f>IF(C331="","",IFERROR(INDEX(tbl_Finance[Client],MATCH(C331&amp;"",tbl_Finance[Job Number],0)),""))</f>
        <v/>
      </c>
      <c r="G331" s="28">
        <f>IF(C331="","",COUNTIFS(tbl_Finance[Job Number],C331&amp;"",tbl_Finance[Ex GST],"&lt;&gt;"))</f>
        <v/>
      </c>
      <c r="H331" s="27">
        <f>IF(C331="","",SUMIFS(tbl_Finance[Ex GST],tbl_Finance[Job Number],C331&amp;""))</f>
        <v/>
      </c>
      <c r="I331" s="27">
        <f>IF(C331="","",SUMIFS(tbl_Finance[Ex GST],tbl_Finance[Job Number],C331&amp;"",tbl_Finance[Xero Invoice No],"&lt;&gt;"))</f>
        <v/>
      </c>
      <c r="J331" s="27">
        <f>IF(C331="","",H331-I331)</f>
        <v/>
      </c>
      <c r="K331" s="25">
        <f>IF(C331="","",IF(G331=0,"not invoiced yet",SUBSTITUTE(TRIM(IF(COUNTIFS(tbl_Finance[Job Number],C331&amp;"",tbl_Finance[Cost Centre],"ONSITE")&gt;0,"ONSITE ","")&amp;IF(COUNTIFS(tbl_Finance[Job Number],C331&amp;"",tbl_Finance[Cost Centre],"PRODUCTION")&gt;0,"PRODUCTION ","")&amp;IF(COUNTIFS(tbl_Finance[Job Number],C331&amp;"",tbl_Finance[Cost Centre],"VIDEO")&gt;0,"VIDEO ","")&amp;IF(COUNTIFS(tbl_Finance[Job Number],C331&amp;"",tbl_Finance[Cost Centre],"INTEGRATION")&gt;0,"INTEGRATION ","")&amp;IF(COUNTIFS(tbl_Finance[Job Number],C331&amp;"",tbl_Finance[Cost Centre],"CONSULTING")&gt;0,"CONSULTING ","")&amp;IF(COUNTIFS(tbl_Finance[Job Number],C331&amp;"",tbl_Finance[Cost Centre],"CTS")&gt;0,"CTS ",""))," ",", ")))</f>
        <v/>
      </c>
      <c r="L331" s="24" t="n"/>
      <c r="M331" s="25">
        <f>IF(L331="","",HYPERLINK(IF(LEFT(L331,4)="http",L331,set_QwilrBase&amp;L331),"Open quote"))</f>
        <v/>
      </c>
      <c r="N331" s="26" t="n"/>
      <c r="O331" s="26" t="n"/>
      <c r="P331" s="26" t="n"/>
      <c r="Q331" s="25">
        <f>IF(C331="","",IF(N(N331)+N(O331)+N(P331)=0,"Not split",IF(ROUND(N(N331)+N(O331)+N(P331),2)=ROUND(H331,2),"OK","MISMATCH")))</f>
        <v/>
      </c>
      <c r="R331" s="26" t="n"/>
      <c r="S331" s="26" t="n"/>
      <c r="T331" s="26" t="n"/>
      <c r="U331" s="27">
        <f>IF(C331="","",N(R331)+N(S331)+N(T331))</f>
        <v/>
      </c>
      <c r="V331" s="27">
        <f>IF(C331="","",H331-U331)</f>
        <v/>
      </c>
      <c r="W331" s="29">
        <f>IFERROR(V331/H331,"")</f>
        <v/>
      </c>
      <c r="X331" s="24" t="n"/>
    </row>
    <row r="332" ht="15" customHeight="1">
      <c r="A332" s="63">
        <f>IF(C332="","",IFERROR(IF(SUMPRODUCT(MAX((tbl_Finance[Job Number]=C332&amp;"")*(tbl_Finance[Xero Invoice No]&lt;&gt;"")*tbl_Finance[Date]))=0,"",SUMPRODUCT(MAX((tbl_Finance[Job Number]=C332&amp;"")*(tbl_Finance[Xero Invoice No]&lt;&gt;"")*tbl_Finance[Date]))),""))</f>
        <v/>
      </c>
      <c r="B332" s="25">
        <f>IF(C332="","",IF(COUNTIFS(tbl_Finance[Job Number],C332&amp;"",tbl_Finance[Xero Invoice No],"&lt;&gt;")=0,"",IFERROR(IF(COUNTIFS(tbl_Finance[Job Number],C332&amp;"",tbl_Finance[Xero Invoice No],LOOKUP(2,1/((tbl_Finance[Job Number]=C332&amp;"")*(tbl_Finance[Xero Invoice No]&lt;&gt;"")),tbl_Finance[Xero Invoice No]))=COUNTIFS(tbl_Finance[Job Number],C332&amp;"",tbl_Finance[Xero Invoice No],"&lt;&gt;"),LOOKUP(2,1/((tbl_Finance[Job Number]=C332&amp;"")*(tbl_Finance[Xero Invoice No]&lt;&gt;"")),tbl_Finance[Xero Invoice No]),LOOKUP(2,1/((tbl_Finance[Job Number]=C332&amp;"")*(tbl_Finance[Xero Invoice No]&lt;&gt;"")),tbl_Finance[Xero Invoice No])&amp;" +more"),"")))</f>
        <v/>
      </c>
      <c r="C332" s="24" t="n"/>
      <c r="D332" s="25">
        <f>IF(C332="","",IF(COUNTIF(lst_Jobs,C332&amp;"")&gt;0,"OK","CHECK"))</f>
        <v/>
      </c>
      <c r="E332" s="25">
        <f>IF(C332="","",IFERROR(INDEX(lst_JobName,MATCH(C332&amp;"",lst_Jobs,0)),""))</f>
        <v/>
      </c>
      <c r="F332" s="25">
        <f>IF(C332="","",IFERROR(INDEX(tbl_Finance[Client],MATCH(C332&amp;"",tbl_Finance[Job Number],0)),""))</f>
        <v/>
      </c>
      <c r="G332" s="28">
        <f>IF(C332="","",COUNTIFS(tbl_Finance[Job Number],C332&amp;"",tbl_Finance[Ex GST],"&lt;&gt;"))</f>
        <v/>
      </c>
      <c r="H332" s="27">
        <f>IF(C332="","",SUMIFS(tbl_Finance[Ex GST],tbl_Finance[Job Number],C332&amp;""))</f>
        <v/>
      </c>
      <c r="I332" s="27">
        <f>IF(C332="","",SUMIFS(tbl_Finance[Ex GST],tbl_Finance[Job Number],C332&amp;"",tbl_Finance[Xero Invoice No],"&lt;&gt;"))</f>
        <v/>
      </c>
      <c r="J332" s="27">
        <f>IF(C332="","",H332-I332)</f>
        <v/>
      </c>
      <c r="K332" s="25">
        <f>IF(C332="","",IF(G332=0,"not invoiced yet",SUBSTITUTE(TRIM(IF(COUNTIFS(tbl_Finance[Job Number],C332&amp;"",tbl_Finance[Cost Centre],"ONSITE")&gt;0,"ONSITE ","")&amp;IF(COUNTIFS(tbl_Finance[Job Number],C332&amp;"",tbl_Finance[Cost Centre],"PRODUCTION")&gt;0,"PRODUCTION ","")&amp;IF(COUNTIFS(tbl_Finance[Job Number],C332&amp;"",tbl_Finance[Cost Centre],"VIDEO")&gt;0,"VIDEO ","")&amp;IF(COUNTIFS(tbl_Finance[Job Number],C332&amp;"",tbl_Finance[Cost Centre],"INTEGRATION")&gt;0,"INTEGRATION ","")&amp;IF(COUNTIFS(tbl_Finance[Job Number],C332&amp;"",tbl_Finance[Cost Centre],"CONSULTING")&gt;0,"CONSULTING ","")&amp;IF(COUNTIFS(tbl_Finance[Job Number],C332&amp;"",tbl_Finance[Cost Centre],"CTS")&gt;0,"CTS ",""))," ",", ")))</f>
        <v/>
      </c>
      <c r="L332" s="24" t="n"/>
      <c r="M332" s="25">
        <f>IF(L332="","",HYPERLINK(IF(LEFT(L332,4)="http",L332,set_QwilrBase&amp;L332),"Open quote"))</f>
        <v/>
      </c>
      <c r="N332" s="26" t="n"/>
      <c r="O332" s="26" t="n"/>
      <c r="P332" s="26" t="n"/>
      <c r="Q332" s="25">
        <f>IF(C332="","",IF(N(N332)+N(O332)+N(P332)=0,"Not split",IF(ROUND(N(N332)+N(O332)+N(P332),2)=ROUND(H332,2),"OK","MISMATCH")))</f>
        <v/>
      </c>
      <c r="R332" s="26" t="n"/>
      <c r="S332" s="26" t="n"/>
      <c r="T332" s="26" t="n"/>
      <c r="U332" s="27">
        <f>IF(C332="","",N(R332)+N(S332)+N(T332))</f>
        <v/>
      </c>
      <c r="V332" s="27">
        <f>IF(C332="","",H332-U332)</f>
        <v/>
      </c>
      <c r="W332" s="29">
        <f>IFERROR(V332/H332,"")</f>
        <v/>
      </c>
      <c r="X332" s="24" t="n"/>
    </row>
    <row r="333" ht="15" customHeight="1">
      <c r="A333" s="63">
        <f>IF(C333="","",IFERROR(IF(SUMPRODUCT(MAX((tbl_Finance[Job Number]=C333&amp;"")*(tbl_Finance[Xero Invoice No]&lt;&gt;"")*tbl_Finance[Date]))=0,"",SUMPRODUCT(MAX((tbl_Finance[Job Number]=C333&amp;"")*(tbl_Finance[Xero Invoice No]&lt;&gt;"")*tbl_Finance[Date]))),""))</f>
        <v/>
      </c>
      <c r="B333" s="25">
        <f>IF(C333="","",IF(COUNTIFS(tbl_Finance[Job Number],C333&amp;"",tbl_Finance[Xero Invoice No],"&lt;&gt;")=0,"",IFERROR(IF(COUNTIFS(tbl_Finance[Job Number],C333&amp;"",tbl_Finance[Xero Invoice No],LOOKUP(2,1/((tbl_Finance[Job Number]=C333&amp;"")*(tbl_Finance[Xero Invoice No]&lt;&gt;"")),tbl_Finance[Xero Invoice No]))=COUNTIFS(tbl_Finance[Job Number],C333&amp;"",tbl_Finance[Xero Invoice No],"&lt;&gt;"),LOOKUP(2,1/((tbl_Finance[Job Number]=C333&amp;"")*(tbl_Finance[Xero Invoice No]&lt;&gt;"")),tbl_Finance[Xero Invoice No]),LOOKUP(2,1/((tbl_Finance[Job Number]=C333&amp;"")*(tbl_Finance[Xero Invoice No]&lt;&gt;"")),tbl_Finance[Xero Invoice No])&amp;" +more"),"")))</f>
        <v/>
      </c>
      <c r="C333" s="24" t="n"/>
      <c r="D333" s="25">
        <f>IF(C333="","",IF(COUNTIF(lst_Jobs,C333&amp;"")&gt;0,"OK","CHECK"))</f>
        <v/>
      </c>
      <c r="E333" s="25">
        <f>IF(C333="","",IFERROR(INDEX(lst_JobName,MATCH(C333&amp;"",lst_Jobs,0)),""))</f>
        <v/>
      </c>
      <c r="F333" s="25">
        <f>IF(C333="","",IFERROR(INDEX(tbl_Finance[Client],MATCH(C333&amp;"",tbl_Finance[Job Number],0)),""))</f>
        <v/>
      </c>
      <c r="G333" s="28">
        <f>IF(C333="","",COUNTIFS(tbl_Finance[Job Number],C333&amp;"",tbl_Finance[Ex GST],"&lt;&gt;"))</f>
        <v/>
      </c>
      <c r="H333" s="27">
        <f>IF(C333="","",SUMIFS(tbl_Finance[Ex GST],tbl_Finance[Job Number],C333&amp;""))</f>
        <v/>
      </c>
      <c r="I333" s="27">
        <f>IF(C333="","",SUMIFS(tbl_Finance[Ex GST],tbl_Finance[Job Number],C333&amp;"",tbl_Finance[Xero Invoice No],"&lt;&gt;"))</f>
        <v/>
      </c>
      <c r="J333" s="27">
        <f>IF(C333="","",H333-I333)</f>
        <v/>
      </c>
      <c r="K333" s="25">
        <f>IF(C333="","",IF(G333=0,"not invoiced yet",SUBSTITUTE(TRIM(IF(COUNTIFS(tbl_Finance[Job Number],C333&amp;"",tbl_Finance[Cost Centre],"ONSITE")&gt;0,"ONSITE ","")&amp;IF(COUNTIFS(tbl_Finance[Job Number],C333&amp;"",tbl_Finance[Cost Centre],"PRODUCTION")&gt;0,"PRODUCTION ","")&amp;IF(COUNTIFS(tbl_Finance[Job Number],C333&amp;"",tbl_Finance[Cost Centre],"VIDEO")&gt;0,"VIDEO ","")&amp;IF(COUNTIFS(tbl_Finance[Job Number],C333&amp;"",tbl_Finance[Cost Centre],"INTEGRATION")&gt;0,"INTEGRATION ","")&amp;IF(COUNTIFS(tbl_Finance[Job Number],C333&amp;"",tbl_Finance[Cost Centre],"CONSULTING")&gt;0,"CONSULTING ","")&amp;IF(COUNTIFS(tbl_Finance[Job Number],C333&amp;"",tbl_Finance[Cost Centre],"CTS")&gt;0,"CTS ",""))," ",", ")))</f>
        <v/>
      </c>
      <c r="L333" s="24" t="n"/>
      <c r="M333" s="25">
        <f>IF(L333="","",HYPERLINK(IF(LEFT(L333,4)="http",L333,set_QwilrBase&amp;L333),"Open quote"))</f>
        <v/>
      </c>
      <c r="N333" s="26" t="n"/>
      <c r="O333" s="26" t="n"/>
      <c r="P333" s="26" t="n"/>
      <c r="Q333" s="25">
        <f>IF(C333="","",IF(N(N333)+N(O333)+N(P333)=0,"Not split",IF(ROUND(N(N333)+N(O333)+N(P333),2)=ROUND(H333,2),"OK","MISMATCH")))</f>
        <v/>
      </c>
      <c r="R333" s="26" t="n"/>
      <c r="S333" s="26" t="n"/>
      <c r="T333" s="26" t="n"/>
      <c r="U333" s="27">
        <f>IF(C333="","",N(R333)+N(S333)+N(T333))</f>
        <v/>
      </c>
      <c r="V333" s="27">
        <f>IF(C333="","",H333-U333)</f>
        <v/>
      </c>
      <c r="W333" s="29">
        <f>IFERROR(V333/H333,"")</f>
        <v/>
      </c>
      <c r="X333" s="24" t="n"/>
    </row>
    <row r="334" ht="15" customHeight="1">
      <c r="A334" s="63">
        <f>IF(C334="","",IFERROR(IF(SUMPRODUCT(MAX((tbl_Finance[Job Number]=C334&amp;"")*(tbl_Finance[Xero Invoice No]&lt;&gt;"")*tbl_Finance[Date]))=0,"",SUMPRODUCT(MAX((tbl_Finance[Job Number]=C334&amp;"")*(tbl_Finance[Xero Invoice No]&lt;&gt;"")*tbl_Finance[Date]))),""))</f>
        <v/>
      </c>
      <c r="B334" s="25">
        <f>IF(C334="","",IF(COUNTIFS(tbl_Finance[Job Number],C334&amp;"",tbl_Finance[Xero Invoice No],"&lt;&gt;")=0,"",IFERROR(IF(COUNTIFS(tbl_Finance[Job Number],C334&amp;"",tbl_Finance[Xero Invoice No],LOOKUP(2,1/((tbl_Finance[Job Number]=C334&amp;"")*(tbl_Finance[Xero Invoice No]&lt;&gt;"")),tbl_Finance[Xero Invoice No]))=COUNTIFS(tbl_Finance[Job Number],C334&amp;"",tbl_Finance[Xero Invoice No],"&lt;&gt;"),LOOKUP(2,1/((tbl_Finance[Job Number]=C334&amp;"")*(tbl_Finance[Xero Invoice No]&lt;&gt;"")),tbl_Finance[Xero Invoice No]),LOOKUP(2,1/((tbl_Finance[Job Number]=C334&amp;"")*(tbl_Finance[Xero Invoice No]&lt;&gt;"")),tbl_Finance[Xero Invoice No])&amp;" +more"),"")))</f>
        <v/>
      </c>
      <c r="C334" s="24" t="n"/>
      <c r="D334" s="25">
        <f>IF(C334="","",IF(COUNTIF(lst_Jobs,C334&amp;"")&gt;0,"OK","CHECK"))</f>
        <v/>
      </c>
      <c r="E334" s="25">
        <f>IF(C334="","",IFERROR(INDEX(lst_JobName,MATCH(C334&amp;"",lst_Jobs,0)),""))</f>
        <v/>
      </c>
      <c r="F334" s="25">
        <f>IF(C334="","",IFERROR(INDEX(tbl_Finance[Client],MATCH(C334&amp;"",tbl_Finance[Job Number],0)),""))</f>
        <v/>
      </c>
      <c r="G334" s="28">
        <f>IF(C334="","",COUNTIFS(tbl_Finance[Job Number],C334&amp;"",tbl_Finance[Ex GST],"&lt;&gt;"))</f>
        <v/>
      </c>
      <c r="H334" s="27">
        <f>IF(C334="","",SUMIFS(tbl_Finance[Ex GST],tbl_Finance[Job Number],C334&amp;""))</f>
        <v/>
      </c>
      <c r="I334" s="27">
        <f>IF(C334="","",SUMIFS(tbl_Finance[Ex GST],tbl_Finance[Job Number],C334&amp;"",tbl_Finance[Xero Invoice No],"&lt;&gt;"))</f>
        <v/>
      </c>
      <c r="J334" s="27">
        <f>IF(C334="","",H334-I334)</f>
        <v/>
      </c>
      <c r="K334" s="25">
        <f>IF(C334="","",IF(G334=0,"not invoiced yet",SUBSTITUTE(TRIM(IF(COUNTIFS(tbl_Finance[Job Number],C334&amp;"",tbl_Finance[Cost Centre],"ONSITE")&gt;0,"ONSITE ","")&amp;IF(COUNTIFS(tbl_Finance[Job Number],C334&amp;"",tbl_Finance[Cost Centre],"PRODUCTION")&gt;0,"PRODUCTION ","")&amp;IF(COUNTIFS(tbl_Finance[Job Number],C334&amp;"",tbl_Finance[Cost Centre],"VIDEO")&gt;0,"VIDEO ","")&amp;IF(COUNTIFS(tbl_Finance[Job Number],C334&amp;"",tbl_Finance[Cost Centre],"INTEGRATION")&gt;0,"INTEGRATION ","")&amp;IF(COUNTIFS(tbl_Finance[Job Number],C334&amp;"",tbl_Finance[Cost Centre],"CONSULTING")&gt;0,"CONSULTING ","")&amp;IF(COUNTIFS(tbl_Finance[Job Number],C334&amp;"",tbl_Finance[Cost Centre],"CTS")&gt;0,"CTS ",""))," ",", ")))</f>
        <v/>
      </c>
      <c r="L334" s="24" t="n"/>
      <c r="M334" s="25">
        <f>IF(L334="","",HYPERLINK(IF(LEFT(L334,4)="http",L334,set_QwilrBase&amp;L334),"Open quote"))</f>
        <v/>
      </c>
      <c r="N334" s="26" t="n"/>
      <c r="O334" s="26" t="n"/>
      <c r="P334" s="26" t="n"/>
      <c r="Q334" s="25">
        <f>IF(C334="","",IF(N(N334)+N(O334)+N(P334)=0,"Not split",IF(ROUND(N(N334)+N(O334)+N(P334),2)=ROUND(H334,2),"OK","MISMATCH")))</f>
        <v/>
      </c>
      <c r="R334" s="26" t="n"/>
      <c r="S334" s="26" t="n"/>
      <c r="T334" s="26" t="n"/>
      <c r="U334" s="27">
        <f>IF(C334="","",N(R334)+N(S334)+N(T334))</f>
        <v/>
      </c>
      <c r="V334" s="27">
        <f>IF(C334="","",H334-U334)</f>
        <v/>
      </c>
      <c r="W334" s="29">
        <f>IFERROR(V334/H334,"")</f>
        <v/>
      </c>
      <c r="X334" s="24" t="n"/>
    </row>
    <row r="335" ht="15" customHeight="1">
      <c r="A335" s="63">
        <f>IF(C335="","",IFERROR(IF(SUMPRODUCT(MAX((tbl_Finance[Job Number]=C335&amp;"")*(tbl_Finance[Xero Invoice No]&lt;&gt;"")*tbl_Finance[Date]))=0,"",SUMPRODUCT(MAX((tbl_Finance[Job Number]=C335&amp;"")*(tbl_Finance[Xero Invoice No]&lt;&gt;"")*tbl_Finance[Date]))),""))</f>
        <v/>
      </c>
      <c r="B335" s="25">
        <f>IF(C335="","",IF(COUNTIFS(tbl_Finance[Job Number],C335&amp;"",tbl_Finance[Xero Invoice No],"&lt;&gt;")=0,"",IFERROR(IF(COUNTIFS(tbl_Finance[Job Number],C335&amp;"",tbl_Finance[Xero Invoice No],LOOKUP(2,1/((tbl_Finance[Job Number]=C335&amp;"")*(tbl_Finance[Xero Invoice No]&lt;&gt;"")),tbl_Finance[Xero Invoice No]))=COUNTIFS(tbl_Finance[Job Number],C335&amp;"",tbl_Finance[Xero Invoice No],"&lt;&gt;"),LOOKUP(2,1/((tbl_Finance[Job Number]=C335&amp;"")*(tbl_Finance[Xero Invoice No]&lt;&gt;"")),tbl_Finance[Xero Invoice No]),LOOKUP(2,1/((tbl_Finance[Job Number]=C335&amp;"")*(tbl_Finance[Xero Invoice No]&lt;&gt;"")),tbl_Finance[Xero Invoice No])&amp;" +more"),"")))</f>
        <v/>
      </c>
      <c r="C335" s="24" t="n"/>
      <c r="D335" s="25">
        <f>IF(C335="","",IF(COUNTIF(lst_Jobs,C335&amp;"")&gt;0,"OK","CHECK"))</f>
        <v/>
      </c>
      <c r="E335" s="25">
        <f>IF(C335="","",IFERROR(INDEX(lst_JobName,MATCH(C335&amp;"",lst_Jobs,0)),""))</f>
        <v/>
      </c>
      <c r="F335" s="25">
        <f>IF(C335="","",IFERROR(INDEX(tbl_Finance[Client],MATCH(C335&amp;"",tbl_Finance[Job Number],0)),""))</f>
        <v/>
      </c>
      <c r="G335" s="28">
        <f>IF(C335="","",COUNTIFS(tbl_Finance[Job Number],C335&amp;"",tbl_Finance[Ex GST],"&lt;&gt;"))</f>
        <v/>
      </c>
      <c r="H335" s="27">
        <f>IF(C335="","",SUMIFS(tbl_Finance[Ex GST],tbl_Finance[Job Number],C335&amp;""))</f>
        <v/>
      </c>
      <c r="I335" s="27">
        <f>IF(C335="","",SUMIFS(tbl_Finance[Ex GST],tbl_Finance[Job Number],C335&amp;"",tbl_Finance[Xero Invoice No],"&lt;&gt;"))</f>
        <v/>
      </c>
      <c r="J335" s="27">
        <f>IF(C335="","",H335-I335)</f>
        <v/>
      </c>
      <c r="K335" s="25">
        <f>IF(C335="","",IF(G335=0,"not invoiced yet",SUBSTITUTE(TRIM(IF(COUNTIFS(tbl_Finance[Job Number],C335&amp;"",tbl_Finance[Cost Centre],"ONSITE")&gt;0,"ONSITE ","")&amp;IF(COUNTIFS(tbl_Finance[Job Number],C335&amp;"",tbl_Finance[Cost Centre],"PRODUCTION")&gt;0,"PRODUCTION ","")&amp;IF(COUNTIFS(tbl_Finance[Job Number],C335&amp;"",tbl_Finance[Cost Centre],"VIDEO")&gt;0,"VIDEO ","")&amp;IF(COUNTIFS(tbl_Finance[Job Number],C335&amp;"",tbl_Finance[Cost Centre],"INTEGRATION")&gt;0,"INTEGRATION ","")&amp;IF(COUNTIFS(tbl_Finance[Job Number],C335&amp;"",tbl_Finance[Cost Centre],"CONSULTING")&gt;0,"CONSULTING ","")&amp;IF(COUNTIFS(tbl_Finance[Job Number],C335&amp;"",tbl_Finance[Cost Centre],"CTS")&gt;0,"CTS ",""))," ",", ")))</f>
        <v/>
      </c>
      <c r="L335" s="24" t="n"/>
      <c r="M335" s="25">
        <f>IF(L335="","",HYPERLINK(IF(LEFT(L335,4)="http",L335,set_QwilrBase&amp;L335),"Open quote"))</f>
        <v/>
      </c>
      <c r="N335" s="26" t="n"/>
      <c r="O335" s="26" t="n"/>
      <c r="P335" s="26" t="n"/>
      <c r="Q335" s="25">
        <f>IF(C335="","",IF(N(N335)+N(O335)+N(P335)=0,"Not split",IF(ROUND(N(N335)+N(O335)+N(P335),2)=ROUND(H335,2),"OK","MISMATCH")))</f>
        <v/>
      </c>
      <c r="R335" s="26" t="n"/>
      <c r="S335" s="26" t="n"/>
      <c r="T335" s="26" t="n"/>
      <c r="U335" s="27">
        <f>IF(C335="","",N(R335)+N(S335)+N(T335))</f>
        <v/>
      </c>
      <c r="V335" s="27">
        <f>IF(C335="","",H335-U335)</f>
        <v/>
      </c>
      <c r="W335" s="29">
        <f>IFERROR(V335/H335,"")</f>
        <v/>
      </c>
      <c r="X335" s="24" t="n"/>
    </row>
    <row r="336" ht="15" customHeight="1">
      <c r="A336" s="63">
        <f>IF(C336="","",IFERROR(IF(SUMPRODUCT(MAX((tbl_Finance[Job Number]=C336&amp;"")*(tbl_Finance[Xero Invoice No]&lt;&gt;"")*tbl_Finance[Date]))=0,"",SUMPRODUCT(MAX((tbl_Finance[Job Number]=C336&amp;"")*(tbl_Finance[Xero Invoice No]&lt;&gt;"")*tbl_Finance[Date]))),""))</f>
        <v/>
      </c>
      <c r="B336" s="25">
        <f>IF(C336="","",IF(COUNTIFS(tbl_Finance[Job Number],C336&amp;"",tbl_Finance[Xero Invoice No],"&lt;&gt;")=0,"",IFERROR(IF(COUNTIFS(tbl_Finance[Job Number],C336&amp;"",tbl_Finance[Xero Invoice No],LOOKUP(2,1/((tbl_Finance[Job Number]=C336&amp;"")*(tbl_Finance[Xero Invoice No]&lt;&gt;"")),tbl_Finance[Xero Invoice No]))=COUNTIFS(tbl_Finance[Job Number],C336&amp;"",tbl_Finance[Xero Invoice No],"&lt;&gt;"),LOOKUP(2,1/((tbl_Finance[Job Number]=C336&amp;"")*(tbl_Finance[Xero Invoice No]&lt;&gt;"")),tbl_Finance[Xero Invoice No]),LOOKUP(2,1/((tbl_Finance[Job Number]=C336&amp;"")*(tbl_Finance[Xero Invoice No]&lt;&gt;"")),tbl_Finance[Xero Invoice No])&amp;" +more"),"")))</f>
        <v/>
      </c>
      <c r="C336" s="24" t="n"/>
      <c r="D336" s="25">
        <f>IF(C336="","",IF(COUNTIF(lst_Jobs,C336&amp;"")&gt;0,"OK","CHECK"))</f>
        <v/>
      </c>
      <c r="E336" s="25">
        <f>IF(C336="","",IFERROR(INDEX(lst_JobName,MATCH(C336&amp;"",lst_Jobs,0)),""))</f>
        <v/>
      </c>
      <c r="F336" s="25">
        <f>IF(C336="","",IFERROR(INDEX(tbl_Finance[Client],MATCH(C336&amp;"",tbl_Finance[Job Number],0)),""))</f>
        <v/>
      </c>
      <c r="G336" s="28">
        <f>IF(C336="","",COUNTIFS(tbl_Finance[Job Number],C336&amp;"",tbl_Finance[Ex GST],"&lt;&gt;"))</f>
        <v/>
      </c>
      <c r="H336" s="27">
        <f>IF(C336="","",SUMIFS(tbl_Finance[Ex GST],tbl_Finance[Job Number],C336&amp;""))</f>
        <v/>
      </c>
      <c r="I336" s="27">
        <f>IF(C336="","",SUMIFS(tbl_Finance[Ex GST],tbl_Finance[Job Number],C336&amp;"",tbl_Finance[Xero Invoice No],"&lt;&gt;"))</f>
        <v/>
      </c>
      <c r="J336" s="27">
        <f>IF(C336="","",H336-I336)</f>
        <v/>
      </c>
      <c r="K336" s="25">
        <f>IF(C336="","",IF(G336=0,"not invoiced yet",SUBSTITUTE(TRIM(IF(COUNTIFS(tbl_Finance[Job Number],C336&amp;"",tbl_Finance[Cost Centre],"ONSITE")&gt;0,"ONSITE ","")&amp;IF(COUNTIFS(tbl_Finance[Job Number],C336&amp;"",tbl_Finance[Cost Centre],"PRODUCTION")&gt;0,"PRODUCTION ","")&amp;IF(COUNTIFS(tbl_Finance[Job Number],C336&amp;"",tbl_Finance[Cost Centre],"VIDEO")&gt;0,"VIDEO ","")&amp;IF(COUNTIFS(tbl_Finance[Job Number],C336&amp;"",tbl_Finance[Cost Centre],"INTEGRATION")&gt;0,"INTEGRATION ","")&amp;IF(COUNTIFS(tbl_Finance[Job Number],C336&amp;"",tbl_Finance[Cost Centre],"CONSULTING")&gt;0,"CONSULTING ","")&amp;IF(COUNTIFS(tbl_Finance[Job Number],C336&amp;"",tbl_Finance[Cost Centre],"CTS")&gt;0,"CTS ",""))," ",", ")))</f>
        <v/>
      </c>
      <c r="L336" s="24" t="n"/>
      <c r="M336" s="25">
        <f>IF(L336="","",HYPERLINK(IF(LEFT(L336,4)="http",L336,set_QwilrBase&amp;L336),"Open quote"))</f>
        <v/>
      </c>
      <c r="N336" s="26" t="n"/>
      <c r="O336" s="26" t="n"/>
      <c r="P336" s="26" t="n"/>
      <c r="Q336" s="25">
        <f>IF(C336="","",IF(N(N336)+N(O336)+N(P336)=0,"Not split",IF(ROUND(N(N336)+N(O336)+N(P336),2)=ROUND(H336,2),"OK","MISMATCH")))</f>
        <v/>
      </c>
      <c r="R336" s="26" t="n"/>
      <c r="S336" s="26" t="n"/>
      <c r="T336" s="26" t="n"/>
      <c r="U336" s="27">
        <f>IF(C336="","",N(R336)+N(S336)+N(T336))</f>
        <v/>
      </c>
      <c r="V336" s="27">
        <f>IF(C336="","",H336-U336)</f>
        <v/>
      </c>
      <c r="W336" s="29">
        <f>IFERROR(V336/H336,"")</f>
        <v/>
      </c>
      <c r="X336" s="24" t="n"/>
    </row>
    <row r="337" ht="15" customHeight="1">
      <c r="A337" s="63">
        <f>IF(C337="","",IFERROR(IF(SUMPRODUCT(MAX((tbl_Finance[Job Number]=C337&amp;"")*(tbl_Finance[Xero Invoice No]&lt;&gt;"")*tbl_Finance[Date]))=0,"",SUMPRODUCT(MAX((tbl_Finance[Job Number]=C337&amp;"")*(tbl_Finance[Xero Invoice No]&lt;&gt;"")*tbl_Finance[Date]))),""))</f>
        <v/>
      </c>
      <c r="B337" s="25">
        <f>IF(C337="","",IF(COUNTIFS(tbl_Finance[Job Number],C337&amp;"",tbl_Finance[Xero Invoice No],"&lt;&gt;")=0,"",IFERROR(IF(COUNTIFS(tbl_Finance[Job Number],C337&amp;"",tbl_Finance[Xero Invoice No],LOOKUP(2,1/((tbl_Finance[Job Number]=C337&amp;"")*(tbl_Finance[Xero Invoice No]&lt;&gt;"")),tbl_Finance[Xero Invoice No]))=COUNTIFS(tbl_Finance[Job Number],C337&amp;"",tbl_Finance[Xero Invoice No],"&lt;&gt;"),LOOKUP(2,1/((tbl_Finance[Job Number]=C337&amp;"")*(tbl_Finance[Xero Invoice No]&lt;&gt;"")),tbl_Finance[Xero Invoice No]),LOOKUP(2,1/((tbl_Finance[Job Number]=C337&amp;"")*(tbl_Finance[Xero Invoice No]&lt;&gt;"")),tbl_Finance[Xero Invoice No])&amp;" +more"),"")))</f>
        <v/>
      </c>
      <c r="C337" s="24" t="n"/>
      <c r="D337" s="25">
        <f>IF(C337="","",IF(COUNTIF(lst_Jobs,C337&amp;"")&gt;0,"OK","CHECK"))</f>
        <v/>
      </c>
      <c r="E337" s="25">
        <f>IF(C337="","",IFERROR(INDEX(lst_JobName,MATCH(C337&amp;"",lst_Jobs,0)),""))</f>
        <v/>
      </c>
      <c r="F337" s="25">
        <f>IF(C337="","",IFERROR(INDEX(tbl_Finance[Client],MATCH(C337&amp;"",tbl_Finance[Job Number],0)),""))</f>
        <v/>
      </c>
      <c r="G337" s="28">
        <f>IF(C337="","",COUNTIFS(tbl_Finance[Job Number],C337&amp;"",tbl_Finance[Ex GST],"&lt;&gt;"))</f>
        <v/>
      </c>
      <c r="H337" s="27">
        <f>IF(C337="","",SUMIFS(tbl_Finance[Ex GST],tbl_Finance[Job Number],C337&amp;""))</f>
        <v/>
      </c>
      <c r="I337" s="27">
        <f>IF(C337="","",SUMIFS(tbl_Finance[Ex GST],tbl_Finance[Job Number],C337&amp;"",tbl_Finance[Xero Invoice No],"&lt;&gt;"))</f>
        <v/>
      </c>
      <c r="J337" s="27">
        <f>IF(C337="","",H337-I337)</f>
        <v/>
      </c>
      <c r="K337" s="25">
        <f>IF(C337="","",IF(G337=0,"not invoiced yet",SUBSTITUTE(TRIM(IF(COUNTIFS(tbl_Finance[Job Number],C337&amp;"",tbl_Finance[Cost Centre],"ONSITE")&gt;0,"ONSITE ","")&amp;IF(COUNTIFS(tbl_Finance[Job Number],C337&amp;"",tbl_Finance[Cost Centre],"PRODUCTION")&gt;0,"PRODUCTION ","")&amp;IF(COUNTIFS(tbl_Finance[Job Number],C337&amp;"",tbl_Finance[Cost Centre],"VIDEO")&gt;0,"VIDEO ","")&amp;IF(COUNTIFS(tbl_Finance[Job Number],C337&amp;"",tbl_Finance[Cost Centre],"INTEGRATION")&gt;0,"INTEGRATION ","")&amp;IF(COUNTIFS(tbl_Finance[Job Number],C337&amp;"",tbl_Finance[Cost Centre],"CONSULTING")&gt;0,"CONSULTING ","")&amp;IF(COUNTIFS(tbl_Finance[Job Number],C337&amp;"",tbl_Finance[Cost Centre],"CTS")&gt;0,"CTS ",""))," ",", ")))</f>
        <v/>
      </c>
      <c r="L337" s="24" t="n"/>
      <c r="M337" s="25">
        <f>IF(L337="","",HYPERLINK(IF(LEFT(L337,4)="http",L337,set_QwilrBase&amp;L337),"Open quote"))</f>
        <v/>
      </c>
      <c r="N337" s="26" t="n"/>
      <c r="O337" s="26" t="n"/>
      <c r="P337" s="26" t="n"/>
      <c r="Q337" s="25">
        <f>IF(C337="","",IF(N(N337)+N(O337)+N(P337)=0,"Not split",IF(ROUND(N(N337)+N(O337)+N(P337),2)=ROUND(H337,2),"OK","MISMATCH")))</f>
        <v/>
      </c>
      <c r="R337" s="26" t="n"/>
      <c r="S337" s="26" t="n"/>
      <c r="T337" s="26" t="n"/>
      <c r="U337" s="27">
        <f>IF(C337="","",N(R337)+N(S337)+N(T337))</f>
        <v/>
      </c>
      <c r="V337" s="27">
        <f>IF(C337="","",H337-U337)</f>
        <v/>
      </c>
      <c r="W337" s="29">
        <f>IFERROR(V337/H337,"")</f>
        <v/>
      </c>
      <c r="X337" s="24" t="n"/>
    </row>
    <row r="338" ht="15" customHeight="1">
      <c r="A338" s="63">
        <f>IF(C338="","",IFERROR(IF(SUMPRODUCT(MAX((tbl_Finance[Job Number]=C338&amp;"")*(tbl_Finance[Xero Invoice No]&lt;&gt;"")*tbl_Finance[Date]))=0,"",SUMPRODUCT(MAX((tbl_Finance[Job Number]=C338&amp;"")*(tbl_Finance[Xero Invoice No]&lt;&gt;"")*tbl_Finance[Date]))),""))</f>
        <v/>
      </c>
      <c r="B338" s="25">
        <f>IF(C338="","",IF(COUNTIFS(tbl_Finance[Job Number],C338&amp;"",tbl_Finance[Xero Invoice No],"&lt;&gt;")=0,"",IFERROR(IF(COUNTIFS(tbl_Finance[Job Number],C338&amp;"",tbl_Finance[Xero Invoice No],LOOKUP(2,1/((tbl_Finance[Job Number]=C338&amp;"")*(tbl_Finance[Xero Invoice No]&lt;&gt;"")),tbl_Finance[Xero Invoice No]))=COUNTIFS(tbl_Finance[Job Number],C338&amp;"",tbl_Finance[Xero Invoice No],"&lt;&gt;"),LOOKUP(2,1/((tbl_Finance[Job Number]=C338&amp;"")*(tbl_Finance[Xero Invoice No]&lt;&gt;"")),tbl_Finance[Xero Invoice No]),LOOKUP(2,1/((tbl_Finance[Job Number]=C338&amp;"")*(tbl_Finance[Xero Invoice No]&lt;&gt;"")),tbl_Finance[Xero Invoice No])&amp;" +more"),"")))</f>
        <v/>
      </c>
      <c r="C338" s="24" t="n"/>
      <c r="D338" s="25">
        <f>IF(C338="","",IF(COUNTIF(lst_Jobs,C338&amp;"")&gt;0,"OK","CHECK"))</f>
        <v/>
      </c>
      <c r="E338" s="25">
        <f>IF(C338="","",IFERROR(INDEX(lst_JobName,MATCH(C338&amp;"",lst_Jobs,0)),""))</f>
        <v/>
      </c>
      <c r="F338" s="25">
        <f>IF(C338="","",IFERROR(INDEX(tbl_Finance[Client],MATCH(C338&amp;"",tbl_Finance[Job Number],0)),""))</f>
        <v/>
      </c>
      <c r="G338" s="28">
        <f>IF(C338="","",COUNTIFS(tbl_Finance[Job Number],C338&amp;"",tbl_Finance[Ex GST],"&lt;&gt;"))</f>
        <v/>
      </c>
      <c r="H338" s="27">
        <f>IF(C338="","",SUMIFS(tbl_Finance[Ex GST],tbl_Finance[Job Number],C338&amp;""))</f>
        <v/>
      </c>
      <c r="I338" s="27">
        <f>IF(C338="","",SUMIFS(tbl_Finance[Ex GST],tbl_Finance[Job Number],C338&amp;"",tbl_Finance[Xero Invoice No],"&lt;&gt;"))</f>
        <v/>
      </c>
      <c r="J338" s="27">
        <f>IF(C338="","",H338-I338)</f>
        <v/>
      </c>
      <c r="K338" s="25">
        <f>IF(C338="","",IF(G338=0,"not invoiced yet",SUBSTITUTE(TRIM(IF(COUNTIFS(tbl_Finance[Job Number],C338&amp;"",tbl_Finance[Cost Centre],"ONSITE")&gt;0,"ONSITE ","")&amp;IF(COUNTIFS(tbl_Finance[Job Number],C338&amp;"",tbl_Finance[Cost Centre],"PRODUCTION")&gt;0,"PRODUCTION ","")&amp;IF(COUNTIFS(tbl_Finance[Job Number],C338&amp;"",tbl_Finance[Cost Centre],"VIDEO")&gt;0,"VIDEO ","")&amp;IF(COUNTIFS(tbl_Finance[Job Number],C338&amp;"",tbl_Finance[Cost Centre],"INTEGRATION")&gt;0,"INTEGRATION ","")&amp;IF(COUNTIFS(tbl_Finance[Job Number],C338&amp;"",tbl_Finance[Cost Centre],"CONSULTING")&gt;0,"CONSULTING ","")&amp;IF(COUNTIFS(tbl_Finance[Job Number],C338&amp;"",tbl_Finance[Cost Centre],"CTS")&gt;0,"CTS ",""))," ",", ")))</f>
        <v/>
      </c>
      <c r="L338" s="24" t="n"/>
      <c r="M338" s="25">
        <f>IF(L338="","",HYPERLINK(IF(LEFT(L338,4)="http",L338,set_QwilrBase&amp;L338),"Open quote"))</f>
        <v/>
      </c>
      <c r="N338" s="26" t="n"/>
      <c r="O338" s="26" t="n"/>
      <c r="P338" s="26" t="n"/>
      <c r="Q338" s="25">
        <f>IF(C338="","",IF(N(N338)+N(O338)+N(P338)=0,"Not split",IF(ROUND(N(N338)+N(O338)+N(P338),2)=ROUND(H338,2),"OK","MISMATCH")))</f>
        <v/>
      </c>
      <c r="R338" s="26" t="n"/>
      <c r="S338" s="26" t="n"/>
      <c r="T338" s="26" t="n"/>
      <c r="U338" s="27">
        <f>IF(C338="","",N(R338)+N(S338)+N(T338))</f>
        <v/>
      </c>
      <c r="V338" s="27">
        <f>IF(C338="","",H338-U338)</f>
        <v/>
      </c>
      <c r="W338" s="29">
        <f>IFERROR(V338/H338,"")</f>
        <v/>
      </c>
      <c r="X338" s="24" t="n"/>
    </row>
    <row r="339" ht="15" customHeight="1">
      <c r="A339" s="63">
        <f>IF(C339="","",IFERROR(IF(SUMPRODUCT(MAX((tbl_Finance[Job Number]=C339&amp;"")*(tbl_Finance[Xero Invoice No]&lt;&gt;"")*tbl_Finance[Date]))=0,"",SUMPRODUCT(MAX((tbl_Finance[Job Number]=C339&amp;"")*(tbl_Finance[Xero Invoice No]&lt;&gt;"")*tbl_Finance[Date]))),""))</f>
        <v/>
      </c>
      <c r="B339" s="25">
        <f>IF(C339="","",IF(COUNTIFS(tbl_Finance[Job Number],C339&amp;"",tbl_Finance[Xero Invoice No],"&lt;&gt;")=0,"",IFERROR(IF(COUNTIFS(tbl_Finance[Job Number],C339&amp;"",tbl_Finance[Xero Invoice No],LOOKUP(2,1/((tbl_Finance[Job Number]=C339&amp;"")*(tbl_Finance[Xero Invoice No]&lt;&gt;"")),tbl_Finance[Xero Invoice No]))=COUNTIFS(tbl_Finance[Job Number],C339&amp;"",tbl_Finance[Xero Invoice No],"&lt;&gt;"),LOOKUP(2,1/((tbl_Finance[Job Number]=C339&amp;"")*(tbl_Finance[Xero Invoice No]&lt;&gt;"")),tbl_Finance[Xero Invoice No]),LOOKUP(2,1/((tbl_Finance[Job Number]=C339&amp;"")*(tbl_Finance[Xero Invoice No]&lt;&gt;"")),tbl_Finance[Xero Invoice No])&amp;" +more"),"")))</f>
        <v/>
      </c>
      <c r="C339" s="24" t="n"/>
      <c r="D339" s="25">
        <f>IF(C339="","",IF(COUNTIF(lst_Jobs,C339&amp;"")&gt;0,"OK","CHECK"))</f>
        <v/>
      </c>
      <c r="E339" s="25">
        <f>IF(C339="","",IFERROR(INDEX(lst_JobName,MATCH(C339&amp;"",lst_Jobs,0)),""))</f>
        <v/>
      </c>
      <c r="F339" s="25">
        <f>IF(C339="","",IFERROR(INDEX(tbl_Finance[Client],MATCH(C339&amp;"",tbl_Finance[Job Number],0)),""))</f>
        <v/>
      </c>
      <c r="G339" s="28">
        <f>IF(C339="","",COUNTIFS(tbl_Finance[Job Number],C339&amp;"",tbl_Finance[Ex GST],"&lt;&gt;"))</f>
        <v/>
      </c>
      <c r="H339" s="27">
        <f>IF(C339="","",SUMIFS(tbl_Finance[Ex GST],tbl_Finance[Job Number],C339&amp;""))</f>
        <v/>
      </c>
      <c r="I339" s="27">
        <f>IF(C339="","",SUMIFS(tbl_Finance[Ex GST],tbl_Finance[Job Number],C339&amp;"",tbl_Finance[Xero Invoice No],"&lt;&gt;"))</f>
        <v/>
      </c>
      <c r="J339" s="27">
        <f>IF(C339="","",H339-I339)</f>
        <v/>
      </c>
      <c r="K339" s="25">
        <f>IF(C339="","",IF(G339=0,"not invoiced yet",SUBSTITUTE(TRIM(IF(COUNTIFS(tbl_Finance[Job Number],C339&amp;"",tbl_Finance[Cost Centre],"ONSITE")&gt;0,"ONSITE ","")&amp;IF(COUNTIFS(tbl_Finance[Job Number],C339&amp;"",tbl_Finance[Cost Centre],"PRODUCTION")&gt;0,"PRODUCTION ","")&amp;IF(COUNTIFS(tbl_Finance[Job Number],C339&amp;"",tbl_Finance[Cost Centre],"VIDEO")&gt;0,"VIDEO ","")&amp;IF(COUNTIFS(tbl_Finance[Job Number],C339&amp;"",tbl_Finance[Cost Centre],"INTEGRATION")&gt;0,"INTEGRATION ","")&amp;IF(COUNTIFS(tbl_Finance[Job Number],C339&amp;"",tbl_Finance[Cost Centre],"CONSULTING")&gt;0,"CONSULTING ","")&amp;IF(COUNTIFS(tbl_Finance[Job Number],C339&amp;"",tbl_Finance[Cost Centre],"CTS")&gt;0,"CTS ",""))," ",", ")))</f>
        <v/>
      </c>
      <c r="L339" s="24" t="n"/>
      <c r="M339" s="25">
        <f>IF(L339="","",HYPERLINK(IF(LEFT(L339,4)="http",L339,set_QwilrBase&amp;L339),"Open quote"))</f>
        <v/>
      </c>
      <c r="N339" s="26" t="n"/>
      <c r="O339" s="26" t="n"/>
      <c r="P339" s="26" t="n"/>
      <c r="Q339" s="25">
        <f>IF(C339="","",IF(N(N339)+N(O339)+N(P339)=0,"Not split",IF(ROUND(N(N339)+N(O339)+N(P339),2)=ROUND(H339,2),"OK","MISMATCH")))</f>
        <v/>
      </c>
      <c r="R339" s="26" t="n"/>
      <c r="S339" s="26" t="n"/>
      <c r="T339" s="26" t="n"/>
      <c r="U339" s="27">
        <f>IF(C339="","",N(R339)+N(S339)+N(T339))</f>
        <v/>
      </c>
      <c r="V339" s="27">
        <f>IF(C339="","",H339-U339)</f>
        <v/>
      </c>
      <c r="W339" s="29">
        <f>IFERROR(V339/H339,"")</f>
        <v/>
      </c>
      <c r="X339" s="24" t="n"/>
    </row>
    <row r="340" ht="15" customHeight="1">
      <c r="A340" s="63">
        <f>IF(C340="","",IFERROR(IF(SUMPRODUCT(MAX((tbl_Finance[Job Number]=C340&amp;"")*(tbl_Finance[Xero Invoice No]&lt;&gt;"")*tbl_Finance[Date]))=0,"",SUMPRODUCT(MAX((tbl_Finance[Job Number]=C340&amp;"")*(tbl_Finance[Xero Invoice No]&lt;&gt;"")*tbl_Finance[Date]))),""))</f>
        <v/>
      </c>
      <c r="B340" s="25">
        <f>IF(C340="","",IF(COUNTIFS(tbl_Finance[Job Number],C340&amp;"",tbl_Finance[Xero Invoice No],"&lt;&gt;")=0,"",IFERROR(IF(COUNTIFS(tbl_Finance[Job Number],C340&amp;"",tbl_Finance[Xero Invoice No],LOOKUP(2,1/((tbl_Finance[Job Number]=C340&amp;"")*(tbl_Finance[Xero Invoice No]&lt;&gt;"")),tbl_Finance[Xero Invoice No]))=COUNTIFS(tbl_Finance[Job Number],C340&amp;"",tbl_Finance[Xero Invoice No],"&lt;&gt;"),LOOKUP(2,1/((tbl_Finance[Job Number]=C340&amp;"")*(tbl_Finance[Xero Invoice No]&lt;&gt;"")),tbl_Finance[Xero Invoice No]),LOOKUP(2,1/((tbl_Finance[Job Number]=C340&amp;"")*(tbl_Finance[Xero Invoice No]&lt;&gt;"")),tbl_Finance[Xero Invoice No])&amp;" +more"),"")))</f>
        <v/>
      </c>
      <c r="C340" s="24" t="n"/>
      <c r="D340" s="25">
        <f>IF(C340="","",IF(COUNTIF(lst_Jobs,C340&amp;"")&gt;0,"OK","CHECK"))</f>
        <v/>
      </c>
      <c r="E340" s="25">
        <f>IF(C340="","",IFERROR(INDEX(lst_JobName,MATCH(C340&amp;"",lst_Jobs,0)),""))</f>
        <v/>
      </c>
      <c r="F340" s="25">
        <f>IF(C340="","",IFERROR(INDEX(tbl_Finance[Client],MATCH(C340&amp;"",tbl_Finance[Job Number],0)),""))</f>
        <v/>
      </c>
      <c r="G340" s="28">
        <f>IF(C340="","",COUNTIFS(tbl_Finance[Job Number],C340&amp;"",tbl_Finance[Ex GST],"&lt;&gt;"))</f>
        <v/>
      </c>
      <c r="H340" s="27">
        <f>IF(C340="","",SUMIFS(tbl_Finance[Ex GST],tbl_Finance[Job Number],C340&amp;""))</f>
        <v/>
      </c>
      <c r="I340" s="27">
        <f>IF(C340="","",SUMIFS(tbl_Finance[Ex GST],tbl_Finance[Job Number],C340&amp;"",tbl_Finance[Xero Invoice No],"&lt;&gt;"))</f>
        <v/>
      </c>
      <c r="J340" s="27">
        <f>IF(C340="","",H340-I340)</f>
        <v/>
      </c>
      <c r="K340" s="25">
        <f>IF(C340="","",IF(G340=0,"not invoiced yet",SUBSTITUTE(TRIM(IF(COUNTIFS(tbl_Finance[Job Number],C340&amp;"",tbl_Finance[Cost Centre],"ONSITE")&gt;0,"ONSITE ","")&amp;IF(COUNTIFS(tbl_Finance[Job Number],C340&amp;"",tbl_Finance[Cost Centre],"PRODUCTION")&gt;0,"PRODUCTION ","")&amp;IF(COUNTIFS(tbl_Finance[Job Number],C340&amp;"",tbl_Finance[Cost Centre],"VIDEO")&gt;0,"VIDEO ","")&amp;IF(COUNTIFS(tbl_Finance[Job Number],C340&amp;"",tbl_Finance[Cost Centre],"INTEGRATION")&gt;0,"INTEGRATION ","")&amp;IF(COUNTIFS(tbl_Finance[Job Number],C340&amp;"",tbl_Finance[Cost Centre],"CONSULTING")&gt;0,"CONSULTING ","")&amp;IF(COUNTIFS(tbl_Finance[Job Number],C340&amp;"",tbl_Finance[Cost Centre],"CTS")&gt;0,"CTS ",""))," ",", ")))</f>
        <v/>
      </c>
      <c r="L340" s="24" t="n"/>
      <c r="M340" s="25">
        <f>IF(L340="","",HYPERLINK(IF(LEFT(L340,4)="http",L340,set_QwilrBase&amp;L340),"Open quote"))</f>
        <v/>
      </c>
      <c r="N340" s="26" t="n"/>
      <c r="O340" s="26" t="n"/>
      <c r="P340" s="26" t="n"/>
      <c r="Q340" s="25">
        <f>IF(C340="","",IF(N(N340)+N(O340)+N(P340)=0,"Not split",IF(ROUND(N(N340)+N(O340)+N(P340),2)=ROUND(H340,2),"OK","MISMATCH")))</f>
        <v/>
      </c>
      <c r="R340" s="26" t="n"/>
      <c r="S340" s="26" t="n"/>
      <c r="T340" s="26" t="n"/>
      <c r="U340" s="27">
        <f>IF(C340="","",N(R340)+N(S340)+N(T340))</f>
        <v/>
      </c>
      <c r="V340" s="27">
        <f>IF(C340="","",H340-U340)</f>
        <v/>
      </c>
      <c r="W340" s="29">
        <f>IFERROR(V340/H340,"")</f>
        <v/>
      </c>
      <c r="X340" s="24" t="n"/>
    </row>
    <row r="341" ht="15" customHeight="1">
      <c r="A341" s="63">
        <f>IF(C341="","",IFERROR(IF(SUMPRODUCT(MAX((tbl_Finance[Job Number]=C341&amp;"")*(tbl_Finance[Xero Invoice No]&lt;&gt;"")*tbl_Finance[Date]))=0,"",SUMPRODUCT(MAX((tbl_Finance[Job Number]=C341&amp;"")*(tbl_Finance[Xero Invoice No]&lt;&gt;"")*tbl_Finance[Date]))),""))</f>
        <v/>
      </c>
      <c r="B341" s="25">
        <f>IF(C341="","",IF(COUNTIFS(tbl_Finance[Job Number],C341&amp;"",tbl_Finance[Xero Invoice No],"&lt;&gt;")=0,"",IFERROR(IF(COUNTIFS(tbl_Finance[Job Number],C341&amp;"",tbl_Finance[Xero Invoice No],LOOKUP(2,1/((tbl_Finance[Job Number]=C341&amp;"")*(tbl_Finance[Xero Invoice No]&lt;&gt;"")),tbl_Finance[Xero Invoice No]))=COUNTIFS(tbl_Finance[Job Number],C341&amp;"",tbl_Finance[Xero Invoice No],"&lt;&gt;"),LOOKUP(2,1/((tbl_Finance[Job Number]=C341&amp;"")*(tbl_Finance[Xero Invoice No]&lt;&gt;"")),tbl_Finance[Xero Invoice No]),LOOKUP(2,1/((tbl_Finance[Job Number]=C341&amp;"")*(tbl_Finance[Xero Invoice No]&lt;&gt;"")),tbl_Finance[Xero Invoice No])&amp;" +more"),"")))</f>
        <v/>
      </c>
      <c r="C341" s="24" t="n"/>
      <c r="D341" s="25">
        <f>IF(C341="","",IF(COUNTIF(lst_Jobs,C341&amp;"")&gt;0,"OK","CHECK"))</f>
        <v/>
      </c>
      <c r="E341" s="25">
        <f>IF(C341="","",IFERROR(INDEX(lst_JobName,MATCH(C341&amp;"",lst_Jobs,0)),""))</f>
        <v/>
      </c>
      <c r="F341" s="25">
        <f>IF(C341="","",IFERROR(INDEX(tbl_Finance[Client],MATCH(C341&amp;"",tbl_Finance[Job Number],0)),""))</f>
        <v/>
      </c>
      <c r="G341" s="28">
        <f>IF(C341="","",COUNTIFS(tbl_Finance[Job Number],C341&amp;"",tbl_Finance[Ex GST],"&lt;&gt;"))</f>
        <v/>
      </c>
      <c r="H341" s="27">
        <f>IF(C341="","",SUMIFS(tbl_Finance[Ex GST],tbl_Finance[Job Number],C341&amp;""))</f>
        <v/>
      </c>
      <c r="I341" s="27">
        <f>IF(C341="","",SUMIFS(tbl_Finance[Ex GST],tbl_Finance[Job Number],C341&amp;"",tbl_Finance[Xero Invoice No],"&lt;&gt;"))</f>
        <v/>
      </c>
      <c r="J341" s="27">
        <f>IF(C341="","",H341-I341)</f>
        <v/>
      </c>
      <c r="K341" s="25">
        <f>IF(C341="","",IF(G341=0,"not invoiced yet",SUBSTITUTE(TRIM(IF(COUNTIFS(tbl_Finance[Job Number],C341&amp;"",tbl_Finance[Cost Centre],"ONSITE")&gt;0,"ONSITE ","")&amp;IF(COUNTIFS(tbl_Finance[Job Number],C341&amp;"",tbl_Finance[Cost Centre],"PRODUCTION")&gt;0,"PRODUCTION ","")&amp;IF(COUNTIFS(tbl_Finance[Job Number],C341&amp;"",tbl_Finance[Cost Centre],"VIDEO")&gt;0,"VIDEO ","")&amp;IF(COUNTIFS(tbl_Finance[Job Number],C341&amp;"",tbl_Finance[Cost Centre],"INTEGRATION")&gt;0,"INTEGRATION ","")&amp;IF(COUNTIFS(tbl_Finance[Job Number],C341&amp;"",tbl_Finance[Cost Centre],"CONSULTING")&gt;0,"CONSULTING ","")&amp;IF(COUNTIFS(tbl_Finance[Job Number],C341&amp;"",tbl_Finance[Cost Centre],"CTS")&gt;0,"CTS ",""))," ",", ")))</f>
        <v/>
      </c>
      <c r="L341" s="24" t="n"/>
      <c r="M341" s="25">
        <f>IF(L341="","",HYPERLINK(IF(LEFT(L341,4)="http",L341,set_QwilrBase&amp;L341),"Open quote"))</f>
        <v/>
      </c>
      <c r="N341" s="26" t="n"/>
      <c r="O341" s="26" t="n"/>
      <c r="P341" s="26" t="n"/>
      <c r="Q341" s="25">
        <f>IF(C341="","",IF(N(N341)+N(O341)+N(P341)=0,"Not split",IF(ROUND(N(N341)+N(O341)+N(P341),2)=ROUND(H341,2),"OK","MISMATCH")))</f>
        <v/>
      </c>
      <c r="R341" s="26" t="n"/>
      <c r="S341" s="26" t="n"/>
      <c r="T341" s="26" t="n"/>
      <c r="U341" s="27">
        <f>IF(C341="","",N(R341)+N(S341)+N(T341))</f>
        <v/>
      </c>
      <c r="V341" s="27">
        <f>IF(C341="","",H341-U341)</f>
        <v/>
      </c>
      <c r="W341" s="29">
        <f>IFERROR(V341/H341,"")</f>
        <v/>
      </c>
      <c r="X341" s="24" t="n"/>
    </row>
    <row r="342" ht="15" customHeight="1">
      <c r="A342" s="63">
        <f>IF(C342="","",IFERROR(IF(SUMPRODUCT(MAX((tbl_Finance[Job Number]=C342&amp;"")*(tbl_Finance[Xero Invoice No]&lt;&gt;"")*tbl_Finance[Date]))=0,"",SUMPRODUCT(MAX((tbl_Finance[Job Number]=C342&amp;"")*(tbl_Finance[Xero Invoice No]&lt;&gt;"")*tbl_Finance[Date]))),""))</f>
        <v/>
      </c>
      <c r="B342" s="25">
        <f>IF(C342="","",IF(COUNTIFS(tbl_Finance[Job Number],C342&amp;"",tbl_Finance[Xero Invoice No],"&lt;&gt;")=0,"",IFERROR(IF(COUNTIFS(tbl_Finance[Job Number],C342&amp;"",tbl_Finance[Xero Invoice No],LOOKUP(2,1/((tbl_Finance[Job Number]=C342&amp;"")*(tbl_Finance[Xero Invoice No]&lt;&gt;"")),tbl_Finance[Xero Invoice No]))=COUNTIFS(tbl_Finance[Job Number],C342&amp;"",tbl_Finance[Xero Invoice No],"&lt;&gt;"),LOOKUP(2,1/((tbl_Finance[Job Number]=C342&amp;"")*(tbl_Finance[Xero Invoice No]&lt;&gt;"")),tbl_Finance[Xero Invoice No]),LOOKUP(2,1/((tbl_Finance[Job Number]=C342&amp;"")*(tbl_Finance[Xero Invoice No]&lt;&gt;"")),tbl_Finance[Xero Invoice No])&amp;" +more"),"")))</f>
        <v/>
      </c>
      <c r="C342" s="24" t="n"/>
      <c r="D342" s="25">
        <f>IF(C342="","",IF(COUNTIF(lst_Jobs,C342&amp;"")&gt;0,"OK","CHECK"))</f>
        <v/>
      </c>
      <c r="E342" s="25">
        <f>IF(C342="","",IFERROR(INDEX(lst_JobName,MATCH(C342&amp;"",lst_Jobs,0)),""))</f>
        <v/>
      </c>
      <c r="F342" s="25">
        <f>IF(C342="","",IFERROR(INDEX(tbl_Finance[Client],MATCH(C342&amp;"",tbl_Finance[Job Number],0)),""))</f>
        <v/>
      </c>
      <c r="G342" s="28">
        <f>IF(C342="","",COUNTIFS(tbl_Finance[Job Number],C342&amp;"",tbl_Finance[Ex GST],"&lt;&gt;"))</f>
        <v/>
      </c>
      <c r="H342" s="27">
        <f>IF(C342="","",SUMIFS(tbl_Finance[Ex GST],tbl_Finance[Job Number],C342&amp;""))</f>
        <v/>
      </c>
      <c r="I342" s="27">
        <f>IF(C342="","",SUMIFS(tbl_Finance[Ex GST],tbl_Finance[Job Number],C342&amp;"",tbl_Finance[Xero Invoice No],"&lt;&gt;"))</f>
        <v/>
      </c>
      <c r="J342" s="27">
        <f>IF(C342="","",H342-I342)</f>
        <v/>
      </c>
      <c r="K342" s="25">
        <f>IF(C342="","",IF(G342=0,"not invoiced yet",SUBSTITUTE(TRIM(IF(COUNTIFS(tbl_Finance[Job Number],C342&amp;"",tbl_Finance[Cost Centre],"ONSITE")&gt;0,"ONSITE ","")&amp;IF(COUNTIFS(tbl_Finance[Job Number],C342&amp;"",tbl_Finance[Cost Centre],"PRODUCTION")&gt;0,"PRODUCTION ","")&amp;IF(COUNTIFS(tbl_Finance[Job Number],C342&amp;"",tbl_Finance[Cost Centre],"VIDEO")&gt;0,"VIDEO ","")&amp;IF(COUNTIFS(tbl_Finance[Job Number],C342&amp;"",tbl_Finance[Cost Centre],"INTEGRATION")&gt;0,"INTEGRATION ","")&amp;IF(COUNTIFS(tbl_Finance[Job Number],C342&amp;"",tbl_Finance[Cost Centre],"CONSULTING")&gt;0,"CONSULTING ","")&amp;IF(COUNTIFS(tbl_Finance[Job Number],C342&amp;"",tbl_Finance[Cost Centre],"CTS")&gt;0,"CTS ",""))," ",", ")))</f>
        <v/>
      </c>
      <c r="L342" s="24" t="n"/>
      <c r="M342" s="25">
        <f>IF(L342="","",HYPERLINK(IF(LEFT(L342,4)="http",L342,set_QwilrBase&amp;L342),"Open quote"))</f>
        <v/>
      </c>
      <c r="N342" s="26" t="n"/>
      <c r="O342" s="26" t="n"/>
      <c r="P342" s="26" t="n"/>
      <c r="Q342" s="25">
        <f>IF(C342="","",IF(N(N342)+N(O342)+N(P342)=0,"Not split",IF(ROUND(N(N342)+N(O342)+N(P342),2)=ROUND(H342,2),"OK","MISMATCH")))</f>
        <v/>
      </c>
      <c r="R342" s="26" t="n"/>
      <c r="S342" s="26" t="n"/>
      <c r="T342" s="26" t="n"/>
      <c r="U342" s="27">
        <f>IF(C342="","",N(R342)+N(S342)+N(T342))</f>
        <v/>
      </c>
      <c r="V342" s="27">
        <f>IF(C342="","",H342-U342)</f>
        <v/>
      </c>
      <c r="W342" s="29">
        <f>IFERROR(V342/H342,"")</f>
        <v/>
      </c>
      <c r="X342" s="24" t="n"/>
    </row>
    <row r="343" ht="15" customHeight="1">
      <c r="A343" s="63">
        <f>IF(C343="","",IFERROR(IF(SUMPRODUCT(MAX((tbl_Finance[Job Number]=C343&amp;"")*(tbl_Finance[Xero Invoice No]&lt;&gt;"")*tbl_Finance[Date]))=0,"",SUMPRODUCT(MAX((tbl_Finance[Job Number]=C343&amp;"")*(tbl_Finance[Xero Invoice No]&lt;&gt;"")*tbl_Finance[Date]))),""))</f>
        <v/>
      </c>
      <c r="B343" s="25">
        <f>IF(C343="","",IF(COUNTIFS(tbl_Finance[Job Number],C343&amp;"",tbl_Finance[Xero Invoice No],"&lt;&gt;")=0,"",IFERROR(IF(COUNTIFS(tbl_Finance[Job Number],C343&amp;"",tbl_Finance[Xero Invoice No],LOOKUP(2,1/((tbl_Finance[Job Number]=C343&amp;"")*(tbl_Finance[Xero Invoice No]&lt;&gt;"")),tbl_Finance[Xero Invoice No]))=COUNTIFS(tbl_Finance[Job Number],C343&amp;"",tbl_Finance[Xero Invoice No],"&lt;&gt;"),LOOKUP(2,1/((tbl_Finance[Job Number]=C343&amp;"")*(tbl_Finance[Xero Invoice No]&lt;&gt;"")),tbl_Finance[Xero Invoice No]),LOOKUP(2,1/((tbl_Finance[Job Number]=C343&amp;"")*(tbl_Finance[Xero Invoice No]&lt;&gt;"")),tbl_Finance[Xero Invoice No])&amp;" +more"),"")))</f>
        <v/>
      </c>
      <c r="C343" s="24" t="n"/>
      <c r="D343" s="25">
        <f>IF(C343="","",IF(COUNTIF(lst_Jobs,C343&amp;"")&gt;0,"OK","CHECK"))</f>
        <v/>
      </c>
      <c r="E343" s="25">
        <f>IF(C343="","",IFERROR(INDEX(lst_JobName,MATCH(C343&amp;"",lst_Jobs,0)),""))</f>
        <v/>
      </c>
      <c r="F343" s="25">
        <f>IF(C343="","",IFERROR(INDEX(tbl_Finance[Client],MATCH(C343&amp;"",tbl_Finance[Job Number],0)),""))</f>
        <v/>
      </c>
      <c r="G343" s="28">
        <f>IF(C343="","",COUNTIFS(tbl_Finance[Job Number],C343&amp;"",tbl_Finance[Ex GST],"&lt;&gt;"))</f>
        <v/>
      </c>
      <c r="H343" s="27">
        <f>IF(C343="","",SUMIFS(tbl_Finance[Ex GST],tbl_Finance[Job Number],C343&amp;""))</f>
        <v/>
      </c>
      <c r="I343" s="27">
        <f>IF(C343="","",SUMIFS(tbl_Finance[Ex GST],tbl_Finance[Job Number],C343&amp;"",tbl_Finance[Xero Invoice No],"&lt;&gt;"))</f>
        <v/>
      </c>
      <c r="J343" s="27">
        <f>IF(C343="","",H343-I343)</f>
        <v/>
      </c>
      <c r="K343" s="25">
        <f>IF(C343="","",IF(G343=0,"not invoiced yet",SUBSTITUTE(TRIM(IF(COUNTIFS(tbl_Finance[Job Number],C343&amp;"",tbl_Finance[Cost Centre],"ONSITE")&gt;0,"ONSITE ","")&amp;IF(COUNTIFS(tbl_Finance[Job Number],C343&amp;"",tbl_Finance[Cost Centre],"PRODUCTION")&gt;0,"PRODUCTION ","")&amp;IF(COUNTIFS(tbl_Finance[Job Number],C343&amp;"",tbl_Finance[Cost Centre],"VIDEO")&gt;0,"VIDEO ","")&amp;IF(COUNTIFS(tbl_Finance[Job Number],C343&amp;"",tbl_Finance[Cost Centre],"INTEGRATION")&gt;0,"INTEGRATION ","")&amp;IF(COUNTIFS(tbl_Finance[Job Number],C343&amp;"",tbl_Finance[Cost Centre],"CONSULTING")&gt;0,"CONSULTING ","")&amp;IF(COUNTIFS(tbl_Finance[Job Number],C343&amp;"",tbl_Finance[Cost Centre],"CTS")&gt;0,"CTS ",""))," ",", ")))</f>
        <v/>
      </c>
      <c r="L343" s="24" t="n"/>
      <c r="M343" s="25">
        <f>IF(L343="","",HYPERLINK(IF(LEFT(L343,4)="http",L343,set_QwilrBase&amp;L343),"Open quote"))</f>
        <v/>
      </c>
      <c r="N343" s="26" t="n"/>
      <c r="O343" s="26" t="n"/>
      <c r="P343" s="26" t="n"/>
      <c r="Q343" s="25">
        <f>IF(C343="","",IF(N(N343)+N(O343)+N(P343)=0,"Not split",IF(ROUND(N(N343)+N(O343)+N(P343),2)=ROUND(H343,2),"OK","MISMATCH")))</f>
        <v/>
      </c>
      <c r="R343" s="26" t="n"/>
      <c r="S343" s="26" t="n"/>
      <c r="T343" s="26" t="n"/>
      <c r="U343" s="27">
        <f>IF(C343="","",N(R343)+N(S343)+N(T343))</f>
        <v/>
      </c>
      <c r="V343" s="27">
        <f>IF(C343="","",H343-U343)</f>
        <v/>
      </c>
      <c r="W343" s="29">
        <f>IFERROR(V343/H343,"")</f>
        <v/>
      </c>
      <c r="X343" s="24" t="n"/>
    </row>
    <row r="344" ht="15" customHeight="1">
      <c r="A344" s="63">
        <f>IF(C344="","",IFERROR(IF(SUMPRODUCT(MAX((tbl_Finance[Job Number]=C344&amp;"")*(tbl_Finance[Xero Invoice No]&lt;&gt;"")*tbl_Finance[Date]))=0,"",SUMPRODUCT(MAX((tbl_Finance[Job Number]=C344&amp;"")*(tbl_Finance[Xero Invoice No]&lt;&gt;"")*tbl_Finance[Date]))),""))</f>
        <v/>
      </c>
      <c r="B344" s="25">
        <f>IF(C344="","",IF(COUNTIFS(tbl_Finance[Job Number],C344&amp;"",tbl_Finance[Xero Invoice No],"&lt;&gt;")=0,"",IFERROR(IF(COUNTIFS(tbl_Finance[Job Number],C344&amp;"",tbl_Finance[Xero Invoice No],LOOKUP(2,1/((tbl_Finance[Job Number]=C344&amp;"")*(tbl_Finance[Xero Invoice No]&lt;&gt;"")),tbl_Finance[Xero Invoice No]))=COUNTIFS(tbl_Finance[Job Number],C344&amp;"",tbl_Finance[Xero Invoice No],"&lt;&gt;"),LOOKUP(2,1/((tbl_Finance[Job Number]=C344&amp;"")*(tbl_Finance[Xero Invoice No]&lt;&gt;"")),tbl_Finance[Xero Invoice No]),LOOKUP(2,1/((tbl_Finance[Job Number]=C344&amp;"")*(tbl_Finance[Xero Invoice No]&lt;&gt;"")),tbl_Finance[Xero Invoice No])&amp;" +more"),"")))</f>
        <v/>
      </c>
      <c r="C344" s="24" t="n"/>
      <c r="D344" s="25">
        <f>IF(C344="","",IF(COUNTIF(lst_Jobs,C344&amp;"")&gt;0,"OK","CHECK"))</f>
        <v/>
      </c>
      <c r="E344" s="25">
        <f>IF(C344="","",IFERROR(INDEX(lst_JobName,MATCH(C344&amp;"",lst_Jobs,0)),""))</f>
        <v/>
      </c>
      <c r="F344" s="25">
        <f>IF(C344="","",IFERROR(INDEX(tbl_Finance[Client],MATCH(C344&amp;"",tbl_Finance[Job Number],0)),""))</f>
        <v/>
      </c>
      <c r="G344" s="28">
        <f>IF(C344="","",COUNTIFS(tbl_Finance[Job Number],C344&amp;"",tbl_Finance[Ex GST],"&lt;&gt;"))</f>
        <v/>
      </c>
      <c r="H344" s="27">
        <f>IF(C344="","",SUMIFS(tbl_Finance[Ex GST],tbl_Finance[Job Number],C344&amp;""))</f>
        <v/>
      </c>
      <c r="I344" s="27">
        <f>IF(C344="","",SUMIFS(tbl_Finance[Ex GST],tbl_Finance[Job Number],C344&amp;"",tbl_Finance[Xero Invoice No],"&lt;&gt;"))</f>
        <v/>
      </c>
      <c r="J344" s="27">
        <f>IF(C344="","",H344-I344)</f>
        <v/>
      </c>
      <c r="K344" s="25">
        <f>IF(C344="","",IF(G344=0,"not invoiced yet",SUBSTITUTE(TRIM(IF(COUNTIFS(tbl_Finance[Job Number],C344&amp;"",tbl_Finance[Cost Centre],"ONSITE")&gt;0,"ONSITE ","")&amp;IF(COUNTIFS(tbl_Finance[Job Number],C344&amp;"",tbl_Finance[Cost Centre],"PRODUCTION")&gt;0,"PRODUCTION ","")&amp;IF(COUNTIFS(tbl_Finance[Job Number],C344&amp;"",tbl_Finance[Cost Centre],"VIDEO")&gt;0,"VIDEO ","")&amp;IF(COUNTIFS(tbl_Finance[Job Number],C344&amp;"",tbl_Finance[Cost Centre],"INTEGRATION")&gt;0,"INTEGRATION ","")&amp;IF(COUNTIFS(tbl_Finance[Job Number],C344&amp;"",tbl_Finance[Cost Centre],"CONSULTING")&gt;0,"CONSULTING ","")&amp;IF(COUNTIFS(tbl_Finance[Job Number],C344&amp;"",tbl_Finance[Cost Centre],"CTS")&gt;0,"CTS ",""))," ",", ")))</f>
        <v/>
      </c>
      <c r="L344" s="24" t="n"/>
      <c r="M344" s="25">
        <f>IF(L344="","",HYPERLINK(IF(LEFT(L344,4)="http",L344,set_QwilrBase&amp;L344),"Open quote"))</f>
        <v/>
      </c>
      <c r="N344" s="26" t="n"/>
      <c r="O344" s="26" t="n"/>
      <c r="P344" s="26" t="n"/>
      <c r="Q344" s="25">
        <f>IF(C344="","",IF(N(N344)+N(O344)+N(P344)=0,"Not split",IF(ROUND(N(N344)+N(O344)+N(P344),2)=ROUND(H344,2),"OK","MISMATCH")))</f>
        <v/>
      </c>
      <c r="R344" s="26" t="n"/>
      <c r="S344" s="26" t="n"/>
      <c r="T344" s="26" t="n"/>
      <c r="U344" s="27">
        <f>IF(C344="","",N(R344)+N(S344)+N(T344))</f>
        <v/>
      </c>
      <c r="V344" s="27">
        <f>IF(C344="","",H344-U344)</f>
        <v/>
      </c>
      <c r="W344" s="29">
        <f>IFERROR(V344/H344,"")</f>
        <v/>
      </c>
      <c r="X344" s="24" t="n"/>
    </row>
    <row r="345" ht="15" customHeight="1">
      <c r="A345" s="63">
        <f>IF(C345="","",IFERROR(IF(SUMPRODUCT(MAX((tbl_Finance[Job Number]=C345&amp;"")*(tbl_Finance[Xero Invoice No]&lt;&gt;"")*tbl_Finance[Date]))=0,"",SUMPRODUCT(MAX((tbl_Finance[Job Number]=C345&amp;"")*(tbl_Finance[Xero Invoice No]&lt;&gt;"")*tbl_Finance[Date]))),""))</f>
        <v/>
      </c>
      <c r="B345" s="25">
        <f>IF(C345="","",IF(COUNTIFS(tbl_Finance[Job Number],C345&amp;"",tbl_Finance[Xero Invoice No],"&lt;&gt;")=0,"",IFERROR(IF(COUNTIFS(tbl_Finance[Job Number],C345&amp;"",tbl_Finance[Xero Invoice No],LOOKUP(2,1/((tbl_Finance[Job Number]=C345&amp;"")*(tbl_Finance[Xero Invoice No]&lt;&gt;"")),tbl_Finance[Xero Invoice No]))=COUNTIFS(tbl_Finance[Job Number],C345&amp;"",tbl_Finance[Xero Invoice No],"&lt;&gt;"),LOOKUP(2,1/((tbl_Finance[Job Number]=C345&amp;"")*(tbl_Finance[Xero Invoice No]&lt;&gt;"")),tbl_Finance[Xero Invoice No]),LOOKUP(2,1/((tbl_Finance[Job Number]=C345&amp;"")*(tbl_Finance[Xero Invoice No]&lt;&gt;"")),tbl_Finance[Xero Invoice No])&amp;" +more"),"")))</f>
        <v/>
      </c>
      <c r="C345" s="24" t="n"/>
      <c r="D345" s="25">
        <f>IF(C345="","",IF(COUNTIF(lst_Jobs,C345&amp;"")&gt;0,"OK","CHECK"))</f>
        <v/>
      </c>
      <c r="E345" s="25">
        <f>IF(C345="","",IFERROR(INDEX(lst_JobName,MATCH(C345&amp;"",lst_Jobs,0)),""))</f>
        <v/>
      </c>
      <c r="F345" s="25">
        <f>IF(C345="","",IFERROR(INDEX(tbl_Finance[Client],MATCH(C345&amp;"",tbl_Finance[Job Number],0)),""))</f>
        <v/>
      </c>
      <c r="G345" s="28">
        <f>IF(C345="","",COUNTIFS(tbl_Finance[Job Number],C345&amp;"",tbl_Finance[Ex GST],"&lt;&gt;"))</f>
        <v/>
      </c>
      <c r="H345" s="27">
        <f>IF(C345="","",SUMIFS(tbl_Finance[Ex GST],tbl_Finance[Job Number],C345&amp;""))</f>
        <v/>
      </c>
      <c r="I345" s="27">
        <f>IF(C345="","",SUMIFS(tbl_Finance[Ex GST],tbl_Finance[Job Number],C345&amp;"",tbl_Finance[Xero Invoice No],"&lt;&gt;"))</f>
        <v/>
      </c>
      <c r="J345" s="27">
        <f>IF(C345="","",H345-I345)</f>
        <v/>
      </c>
      <c r="K345" s="25">
        <f>IF(C345="","",IF(G345=0,"not invoiced yet",SUBSTITUTE(TRIM(IF(COUNTIFS(tbl_Finance[Job Number],C345&amp;"",tbl_Finance[Cost Centre],"ONSITE")&gt;0,"ONSITE ","")&amp;IF(COUNTIFS(tbl_Finance[Job Number],C345&amp;"",tbl_Finance[Cost Centre],"PRODUCTION")&gt;0,"PRODUCTION ","")&amp;IF(COUNTIFS(tbl_Finance[Job Number],C345&amp;"",tbl_Finance[Cost Centre],"VIDEO")&gt;0,"VIDEO ","")&amp;IF(COUNTIFS(tbl_Finance[Job Number],C345&amp;"",tbl_Finance[Cost Centre],"INTEGRATION")&gt;0,"INTEGRATION ","")&amp;IF(COUNTIFS(tbl_Finance[Job Number],C345&amp;"",tbl_Finance[Cost Centre],"CONSULTING")&gt;0,"CONSULTING ","")&amp;IF(COUNTIFS(tbl_Finance[Job Number],C345&amp;"",tbl_Finance[Cost Centre],"CTS")&gt;0,"CTS ",""))," ",", ")))</f>
        <v/>
      </c>
      <c r="L345" s="24" t="n"/>
      <c r="M345" s="25">
        <f>IF(L345="","",HYPERLINK(IF(LEFT(L345,4)="http",L345,set_QwilrBase&amp;L345),"Open quote"))</f>
        <v/>
      </c>
      <c r="N345" s="26" t="n"/>
      <c r="O345" s="26" t="n"/>
      <c r="P345" s="26" t="n"/>
      <c r="Q345" s="25">
        <f>IF(C345="","",IF(N(N345)+N(O345)+N(P345)=0,"Not split",IF(ROUND(N(N345)+N(O345)+N(P345),2)=ROUND(H345,2),"OK","MISMATCH")))</f>
        <v/>
      </c>
      <c r="R345" s="26" t="n"/>
      <c r="S345" s="26" t="n"/>
      <c r="T345" s="26" t="n"/>
      <c r="U345" s="27">
        <f>IF(C345="","",N(R345)+N(S345)+N(T345))</f>
        <v/>
      </c>
      <c r="V345" s="27">
        <f>IF(C345="","",H345-U345)</f>
        <v/>
      </c>
      <c r="W345" s="29">
        <f>IFERROR(V345/H345,"")</f>
        <v/>
      </c>
      <c r="X345" s="24" t="n"/>
    </row>
    <row r="346" ht="15" customHeight="1">
      <c r="A346" s="63">
        <f>IF(C346="","",IFERROR(IF(SUMPRODUCT(MAX((tbl_Finance[Job Number]=C346&amp;"")*(tbl_Finance[Xero Invoice No]&lt;&gt;"")*tbl_Finance[Date]))=0,"",SUMPRODUCT(MAX((tbl_Finance[Job Number]=C346&amp;"")*(tbl_Finance[Xero Invoice No]&lt;&gt;"")*tbl_Finance[Date]))),""))</f>
        <v/>
      </c>
      <c r="B346" s="25">
        <f>IF(C346="","",IF(COUNTIFS(tbl_Finance[Job Number],C346&amp;"",tbl_Finance[Xero Invoice No],"&lt;&gt;")=0,"",IFERROR(IF(COUNTIFS(tbl_Finance[Job Number],C346&amp;"",tbl_Finance[Xero Invoice No],LOOKUP(2,1/((tbl_Finance[Job Number]=C346&amp;"")*(tbl_Finance[Xero Invoice No]&lt;&gt;"")),tbl_Finance[Xero Invoice No]))=COUNTIFS(tbl_Finance[Job Number],C346&amp;"",tbl_Finance[Xero Invoice No],"&lt;&gt;"),LOOKUP(2,1/((tbl_Finance[Job Number]=C346&amp;"")*(tbl_Finance[Xero Invoice No]&lt;&gt;"")),tbl_Finance[Xero Invoice No]),LOOKUP(2,1/((tbl_Finance[Job Number]=C346&amp;"")*(tbl_Finance[Xero Invoice No]&lt;&gt;"")),tbl_Finance[Xero Invoice No])&amp;" +more"),"")))</f>
        <v/>
      </c>
      <c r="C346" s="24" t="n"/>
      <c r="D346" s="25">
        <f>IF(C346="","",IF(COUNTIF(lst_Jobs,C346&amp;"")&gt;0,"OK","CHECK"))</f>
        <v/>
      </c>
      <c r="E346" s="25">
        <f>IF(C346="","",IFERROR(INDEX(lst_JobName,MATCH(C346&amp;"",lst_Jobs,0)),""))</f>
        <v/>
      </c>
      <c r="F346" s="25">
        <f>IF(C346="","",IFERROR(INDEX(tbl_Finance[Client],MATCH(C346&amp;"",tbl_Finance[Job Number],0)),""))</f>
        <v/>
      </c>
      <c r="G346" s="28">
        <f>IF(C346="","",COUNTIFS(tbl_Finance[Job Number],C346&amp;"",tbl_Finance[Ex GST],"&lt;&gt;"))</f>
        <v/>
      </c>
      <c r="H346" s="27">
        <f>IF(C346="","",SUMIFS(tbl_Finance[Ex GST],tbl_Finance[Job Number],C346&amp;""))</f>
        <v/>
      </c>
      <c r="I346" s="27">
        <f>IF(C346="","",SUMIFS(tbl_Finance[Ex GST],tbl_Finance[Job Number],C346&amp;"",tbl_Finance[Xero Invoice No],"&lt;&gt;"))</f>
        <v/>
      </c>
      <c r="J346" s="27">
        <f>IF(C346="","",H346-I346)</f>
        <v/>
      </c>
      <c r="K346" s="25">
        <f>IF(C346="","",IF(G346=0,"not invoiced yet",SUBSTITUTE(TRIM(IF(COUNTIFS(tbl_Finance[Job Number],C346&amp;"",tbl_Finance[Cost Centre],"ONSITE")&gt;0,"ONSITE ","")&amp;IF(COUNTIFS(tbl_Finance[Job Number],C346&amp;"",tbl_Finance[Cost Centre],"PRODUCTION")&gt;0,"PRODUCTION ","")&amp;IF(COUNTIFS(tbl_Finance[Job Number],C346&amp;"",tbl_Finance[Cost Centre],"VIDEO")&gt;0,"VIDEO ","")&amp;IF(COUNTIFS(tbl_Finance[Job Number],C346&amp;"",tbl_Finance[Cost Centre],"INTEGRATION")&gt;0,"INTEGRATION ","")&amp;IF(COUNTIFS(tbl_Finance[Job Number],C346&amp;"",tbl_Finance[Cost Centre],"CONSULTING")&gt;0,"CONSULTING ","")&amp;IF(COUNTIFS(tbl_Finance[Job Number],C346&amp;"",tbl_Finance[Cost Centre],"CTS")&gt;0,"CTS ",""))," ",", ")))</f>
        <v/>
      </c>
      <c r="L346" s="24" t="n"/>
      <c r="M346" s="25">
        <f>IF(L346="","",HYPERLINK(IF(LEFT(L346,4)="http",L346,set_QwilrBase&amp;L346),"Open quote"))</f>
        <v/>
      </c>
      <c r="N346" s="26" t="n"/>
      <c r="O346" s="26" t="n"/>
      <c r="P346" s="26" t="n"/>
      <c r="Q346" s="25">
        <f>IF(C346="","",IF(N(N346)+N(O346)+N(P346)=0,"Not split",IF(ROUND(N(N346)+N(O346)+N(P346),2)=ROUND(H346,2),"OK","MISMATCH")))</f>
        <v/>
      </c>
      <c r="R346" s="26" t="n"/>
      <c r="S346" s="26" t="n"/>
      <c r="T346" s="26" t="n"/>
      <c r="U346" s="27">
        <f>IF(C346="","",N(R346)+N(S346)+N(T346))</f>
        <v/>
      </c>
      <c r="V346" s="27">
        <f>IF(C346="","",H346-U346)</f>
        <v/>
      </c>
      <c r="W346" s="29">
        <f>IFERROR(V346/H346,"")</f>
        <v/>
      </c>
      <c r="X346" s="24" t="n"/>
    </row>
    <row r="347" ht="15" customHeight="1">
      <c r="A347" s="63">
        <f>IF(C347="","",IFERROR(IF(SUMPRODUCT(MAX((tbl_Finance[Job Number]=C347&amp;"")*(tbl_Finance[Xero Invoice No]&lt;&gt;"")*tbl_Finance[Date]))=0,"",SUMPRODUCT(MAX((tbl_Finance[Job Number]=C347&amp;"")*(tbl_Finance[Xero Invoice No]&lt;&gt;"")*tbl_Finance[Date]))),""))</f>
        <v/>
      </c>
      <c r="B347" s="25">
        <f>IF(C347="","",IF(COUNTIFS(tbl_Finance[Job Number],C347&amp;"",tbl_Finance[Xero Invoice No],"&lt;&gt;")=0,"",IFERROR(IF(COUNTIFS(tbl_Finance[Job Number],C347&amp;"",tbl_Finance[Xero Invoice No],LOOKUP(2,1/((tbl_Finance[Job Number]=C347&amp;"")*(tbl_Finance[Xero Invoice No]&lt;&gt;"")),tbl_Finance[Xero Invoice No]))=COUNTIFS(tbl_Finance[Job Number],C347&amp;"",tbl_Finance[Xero Invoice No],"&lt;&gt;"),LOOKUP(2,1/((tbl_Finance[Job Number]=C347&amp;"")*(tbl_Finance[Xero Invoice No]&lt;&gt;"")),tbl_Finance[Xero Invoice No]),LOOKUP(2,1/((tbl_Finance[Job Number]=C347&amp;"")*(tbl_Finance[Xero Invoice No]&lt;&gt;"")),tbl_Finance[Xero Invoice No])&amp;" +more"),"")))</f>
        <v/>
      </c>
      <c r="C347" s="24" t="n"/>
      <c r="D347" s="25">
        <f>IF(C347="","",IF(COUNTIF(lst_Jobs,C347&amp;"")&gt;0,"OK","CHECK"))</f>
        <v/>
      </c>
      <c r="E347" s="25">
        <f>IF(C347="","",IFERROR(INDEX(lst_JobName,MATCH(C347&amp;"",lst_Jobs,0)),""))</f>
        <v/>
      </c>
      <c r="F347" s="25">
        <f>IF(C347="","",IFERROR(INDEX(tbl_Finance[Client],MATCH(C347&amp;"",tbl_Finance[Job Number],0)),""))</f>
        <v/>
      </c>
      <c r="G347" s="28">
        <f>IF(C347="","",COUNTIFS(tbl_Finance[Job Number],C347&amp;"",tbl_Finance[Ex GST],"&lt;&gt;"))</f>
        <v/>
      </c>
      <c r="H347" s="27">
        <f>IF(C347="","",SUMIFS(tbl_Finance[Ex GST],tbl_Finance[Job Number],C347&amp;""))</f>
        <v/>
      </c>
      <c r="I347" s="27">
        <f>IF(C347="","",SUMIFS(tbl_Finance[Ex GST],tbl_Finance[Job Number],C347&amp;"",tbl_Finance[Xero Invoice No],"&lt;&gt;"))</f>
        <v/>
      </c>
      <c r="J347" s="27">
        <f>IF(C347="","",H347-I347)</f>
        <v/>
      </c>
      <c r="K347" s="25">
        <f>IF(C347="","",IF(G347=0,"not invoiced yet",SUBSTITUTE(TRIM(IF(COUNTIFS(tbl_Finance[Job Number],C347&amp;"",tbl_Finance[Cost Centre],"ONSITE")&gt;0,"ONSITE ","")&amp;IF(COUNTIFS(tbl_Finance[Job Number],C347&amp;"",tbl_Finance[Cost Centre],"PRODUCTION")&gt;0,"PRODUCTION ","")&amp;IF(COUNTIFS(tbl_Finance[Job Number],C347&amp;"",tbl_Finance[Cost Centre],"VIDEO")&gt;0,"VIDEO ","")&amp;IF(COUNTIFS(tbl_Finance[Job Number],C347&amp;"",tbl_Finance[Cost Centre],"INTEGRATION")&gt;0,"INTEGRATION ","")&amp;IF(COUNTIFS(tbl_Finance[Job Number],C347&amp;"",tbl_Finance[Cost Centre],"CONSULTING")&gt;0,"CONSULTING ","")&amp;IF(COUNTIFS(tbl_Finance[Job Number],C347&amp;"",tbl_Finance[Cost Centre],"CTS")&gt;0,"CTS ",""))," ",", ")))</f>
        <v/>
      </c>
      <c r="L347" s="24" t="n"/>
      <c r="M347" s="25">
        <f>IF(L347="","",HYPERLINK(IF(LEFT(L347,4)="http",L347,set_QwilrBase&amp;L347),"Open quote"))</f>
        <v/>
      </c>
      <c r="N347" s="26" t="n"/>
      <c r="O347" s="26" t="n"/>
      <c r="P347" s="26" t="n"/>
      <c r="Q347" s="25">
        <f>IF(C347="","",IF(N(N347)+N(O347)+N(P347)=0,"Not split",IF(ROUND(N(N347)+N(O347)+N(P347),2)=ROUND(H347,2),"OK","MISMATCH")))</f>
        <v/>
      </c>
      <c r="R347" s="26" t="n"/>
      <c r="S347" s="26" t="n"/>
      <c r="T347" s="26" t="n"/>
      <c r="U347" s="27">
        <f>IF(C347="","",N(R347)+N(S347)+N(T347))</f>
        <v/>
      </c>
      <c r="V347" s="27">
        <f>IF(C347="","",H347-U347)</f>
        <v/>
      </c>
      <c r="W347" s="29">
        <f>IFERROR(V347/H347,"")</f>
        <v/>
      </c>
      <c r="X347" s="24" t="n"/>
    </row>
    <row r="348" ht="15" customHeight="1">
      <c r="A348" s="63">
        <f>IF(C348="","",IFERROR(IF(SUMPRODUCT(MAX((tbl_Finance[Job Number]=C348&amp;"")*(tbl_Finance[Xero Invoice No]&lt;&gt;"")*tbl_Finance[Date]))=0,"",SUMPRODUCT(MAX((tbl_Finance[Job Number]=C348&amp;"")*(tbl_Finance[Xero Invoice No]&lt;&gt;"")*tbl_Finance[Date]))),""))</f>
        <v/>
      </c>
      <c r="B348" s="25">
        <f>IF(C348="","",IF(COUNTIFS(tbl_Finance[Job Number],C348&amp;"",tbl_Finance[Xero Invoice No],"&lt;&gt;")=0,"",IFERROR(IF(COUNTIFS(tbl_Finance[Job Number],C348&amp;"",tbl_Finance[Xero Invoice No],LOOKUP(2,1/((tbl_Finance[Job Number]=C348&amp;"")*(tbl_Finance[Xero Invoice No]&lt;&gt;"")),tbl_Finance[Xero Invoice No]))=COUNTIFS(tbl_Finance[Job Number],C348&amp;"",tbl_Finance[Xero Invoice No],"&lt;&gt;"),LOOKUP(2,1/((tbl_Finance[Job Number]=C348&amp;"")*(tbl_Finance[Xero Invoice No]&lt;&gt;"")),tbl_Finance[Xero Invoice No]),LOOKUP(2,1/((tbl_Finance[Job Number]=C348&amp;"")*(tbl_Finance[Xero Invoice No]&lt;&gt;"")),tbl_Finance[Xero Invoice No])&amp;" +more"),"")))</f>
        <v/>
      </c>
      <c r="C348" s="24" t="n"/>
      <c r="D348" s="25">
        <f>IF(C348="","",IF(COUNTIF(lst_Jobs,C348&amp;"")&gt;0,"OK","CHECK"))</f>
        <v/>
      </c>
      <c r="E348" s="25">
        <f>IF(C348="","",IFERROR(INDEX(lst_JobName,MATCH(C348&amp;"",lst_Jobs,0)),""))</f>
        <v/>
      </c>
      <c r="F348" s="25">
        <f>IF(C348="","",IFERROR(INDEX(tbl_Finance[Client],MATCH(C348&amp;"",tbl_Finance[Job Number],0)),""))</f>
        <v/>
      </c>
      <c r="G348" s="28">
        <f>IF(C348="","",COUNTIFS(tbl_Finance[Job Number],C348&amp;"",tbl_Finance[Ex GST],"&lt;&gt;"))</f>
        <v/>
      </c>
      <c r="H348" s="27">
        <f>IF(C348="","",SUMIFS(tbl_Finance[Ex GST],tbl_Finance[Job Number],C348&amp;""))</f>
        <v/>
      </c>
      <c r="I348" s="27">
        <f>IF(C348="","",SUMIFS(tbl_Finance[Ex GST],tbl_Finance[Job Number],C348&amp;"",tbl_Finance[Xero Invoice No],"&lt;&gt;"))</f>
        <v/>
      </c>
      <c r="J348" s="27">
        <f>IF(C348="","",H348-I348)</f>
        <v/>
      </c>
      <c r="K348" s="25">
        <f>IF(C348="","",IF(G348=0,"not invoiced yet",SUBSTITUTE(TRIM(IF(COUNTIFS(tbl_Finance[Job Number],C348&amp;"",tbl_Finance[Cost Centre],"ONSITE")&gt;0,"ONSITE ","")&amp;IF(COUNTIFS(tbl_Finance[Job Number],C348&amp;"",tbl_Finance[Cost Centre],"PRODUCTION")&gt;0,"PRODUCTION ","")&amp;IF(COUNTIFS(tbl_Finance[Job Number],C348&amp;"",tbl_Finance[Cost Centre],"VIDEO")&gt;0,"VIDEO ","")&amp;IF(COUNTIFS(tbl_Finance[Job Number],C348&amp;"",tbl_Finance[Cost Centre],"INTEGRATION")&gt;0,"INTEGRATION ","")&amp;IF(COUNTIFS(tbl_Finance[Job Number],C348&amp;"",tbl_Finance[Cost Centre],"CONSULTING")&gt;0,"CONSULTING ","")&amp;IF(COUNTIFS(tbl_Finance[Job Number],C348&amp;"",tbl_Finance[Cost Centre],"CTS")&gt;0,"CTS ",""))," ",", ")))</f>
        <v/>
      </c>
      <c r="L348" s="24" t="n"/>
      <c r="M348" s="25">
        <f>IF(L348="","",HYPERLINK(IF(LEFT(L348,4)="http",L348,set_QwilrBase&amp;L348),"Open quote"))</f>
        <v/>
      </c>
      <c r="N348" s="26" t="n"/>
      <c r="O348" s="26" t="n"/>
      <c r="P348" s="26" t="n"/>
      <c r="Q348" s="25">
        <f>IF(C348="","",IF(N(N348)+N(O348)+N(P348)=0,"Not split",IF(ROUND(N(N348)+N(O348)+N(P348),2)=ROUND(H348,2),"OK","MISMATCH")))</f>
        <v/>
      </c>
      <c r="R348" s="26" t="n"/>
      <c r="S348" s="26" t="n"/>
      <c r="T348" s="26" t="n"/>
      <c r="U348" s="27">
        <f>IF(C348="","",N(R348)+N(S348)+N(T348))</f>
        <v/>
      </c>
      <c r="V348" s="27">
        <f>IF(C348="","",H348-U348)</f>
        <v/>
      </c>
      <c r="W348" s="29">
        <f>IFERROR(V348/H348,"")</f>
        <v/>
      </c>
      <c r="X348" s="24" t="n"/>
    </row>
    <row r="349" ht="15" customHeight="1">
      <c r="A349" s="63">
        <f>IF(C349="","",IFERROR(IF(SUMPRODUCT(MAX((tbl_Finance[Job Number]=C349&amp;"")*(tbl_Finance[Xero Invoice No]&lt;&gt;"")*tbl_Finance[Date]))=0,"",SUMPRODUCT(MAX((tbl_Finance[Job Number]=C349&amp;"")*(tbl_Finance[Xero Invoice No]&lt;&gt;"")*tbl_Finance[Date]))),""))</f>
        <v/>
      </c>
      <c r="B349" s="25">
        <f>IF(C349="","",IF(COUNTIFS(tbl_Finance[Job Number],C349&amp;"",tbl_Finance[Xero Invoice No],"&lt;&gt;")=0,"",IFERROR(IF(COUNTIFS(tbl_Finance[Job Number],C349&amp;"",tbl_Finance[Xero Invoice No],LOOKUP(2,1/((tbl_Finance[Job Number]=C349&amp;"")*(tbl_Finance[Xero Invoice No]&lt;&gt;"")),tbl_Finance[Xero Invoice No]))=COUNTIFS(tbl_Finance[Job Number],C349&amp;"",tbl_Finance[Xero Invoice No],"&lt;&gt;"),LOOKUP(2,1/((tbl_Finance[Job Number]=C349&amp;"")*(tbl_Finance[Xero Invoice No]&lt;&gt;"")),tbl_Finance[Xero Invoice No]),LOOKUP(2,1/((tbl_Finance[Job Number]=C349&amp;"")*(tbl_Finance[Xero Invoice No]&lt;&gt;"")),tbl_Finance[Xero Invoice No])&amp;" +more"),"")))</f>
        <v/>
      </c>
      <c r="C349" s="24" t="n"/>
      <c r="D349" s="25">
        <f>IF(C349="","",IF(COUNTIF(lst_Jobs,C349&amp;"")&gt;0,"OK","CHECK"))</f>
        <v/>
      </c>
      <c r="E349" s="25">
        <f>IF(C349="","",IFERROR(INDEX(lst_JobName,MATCH(C349&amp;"",lst_Jobs,0)),""))</f>
        <v/>
      </c>
      <c r="F349" s="25">
        <f>IF(C349="","",IFERROR(INDEX(tbl_Finance[Client],MATCH(C349&amp;"",tbl_Finance[Job Number],0)),""))</f>
        <v/>
      </c>
      <c r="G349" s="28">
        <f>IF(C349="","",COUNTIFS(tbl_Finance[Job Number],C349&amp;"",tbl_Finance[Ex GST],"&lt;&gt;"))</f>
        <v/>
      </c>
      <c r="H349" s="27">
        <f>IF(C349="","",SUMIFS(tbl_Finance[Ex GST],tbl_Finance[Job Number],C349&amp;""))</f>
        <v/>
      </c>
      <c r="I349" s="27">
        <f>IF(C349="","",SUMIFS(tbl_Finance[Ex GST],tbl_Finance[Job Number],C349&amp;"",tbl_Finance[Xero Invoice No],"&lt;&gt;"))</f>
        <v/>
      </c>
      <c r="J349" s="27">
        <f>IF(C349="","",H349-I349)</f>
        <v/>
      </c>
      <c r="K349" s="25">
        <f>IF(C349="","",IF(G349=0,"not invoiced yet",SUBSTITUTE(TRIM(IF(COUNTIFS(tbl_Finance[Job Number],C349&amp;"",tbl_Finance[Cost Centre],"ONSITE")&gt;0,"ONSITE ","")&amp;IF(COUNTIFS(tbl_Finance[Job Number],C349&amp;"",tbl_Finance[Cost Centre],"PRODUCTION")&gt;0,"PRODUCTION ","")&amp;IF(COUNTIFS(tbl_Finance[Job Number],C349&amp;"",tbl_Finance[Cost Centre],"VIDEO")&gt;0,"VIDEO ","")&amp;IF(COUNTIFS(tbl_Finance[Job Number],C349&amp;"",tbl_Finance[Cost Centre],"INTEGRATION")&gt;0,"INTEGRATION ","")&amp;IF(COUNTIFS(tbl_Finance[Job Number],C349&amp;"",tbl_Finance[Cost Centre],"CONSULTING")&gt;0,"CONSULTING ","")&amp;IF(COUNTIFS(tbl_Finance[Job Number],C349&amp;"",tbl_Finance[Cost Centre],"CTS")&gt;0,"CTS ",""))," ",", ")))</f>
        <v/>
      </c>
      <c r="L349" s="24" t="n"/>
      <c r="M349" s="25">
        <f>IF(L349="","",HYPERLINK(IF(LEFT(L349,4)="http",L349,set_QwilrBase&amp;L349),"Open quote"))</f>
        <v/>
      </c>
      <c r="N349" s="26" t="n"/>
      <c r="O349" s="26" t="n"/>
      <c r="P349" s="26" t="n"/>
      <c r="Q349" s="25">
        <f>IF(C349="","",IF(N(N349)+N(O349)+N(P349)=0,"Not split",IF(ROUND(N(N349)+N(O349)+N(P349),2)=ROUND(H349,2),"OK","MISMATCH")))</f>
        <v/>
      </c>
      <c r="R349" s="26" t="n"/>
      <c r="S349" s="26" t="n"/>
      <c r="T349" s="26" t="n"/>
      <c r="U349" s="27">
        <f>IF(C349="","",N(R349)+N(S349)+N(T349))</f>
        <v/>
      </c>
      <c r="V349" s="27">
        <f>IF(C349="","",H349-U349)</f>
        <v/>
      </c>
      <c r="W349" s="29">
        <f>IFERROR(V349/H349,"")</f>
        <v/>
      </c>
      <c r="X349" s="24" t="n"/>
    </row>
    <row r="350" ht="15" customHeight="1">
      <c r="A350" s="63">
        <f>IF(C350="","",IFERROR(IF(SUMPRODUCT(MAX((tbl_Finance[Job Number]=C350&amp;"")*(tbl_Finance[Xero Invoice No]&lt;&gt;"")*tbl_Finance[Date]))=0,"",SUMPRODUCT(MAX((tbl_Finance[Job Number]=C350&amp;"")*(tbl_Finance[Xero Invoice No]&lt;&gt;"")*tbl_Finance[Date]))),""))</f>
        <v/>
      </c>
      <c r="B350" s="25">
        <f>IF(C350="","",IF(COUNTIFS(tbl_Finance[Job Number],C350&amp;"",tbl_Finance[Xero Invoice No],"&lt;&gt;")=0,"",IFERROR(IF(COUNTIFS(tbl_Finance[Job Number],C350&amp;"",tbl_Finance[Xero Invoice No],LOOKUP(2,1/((tbl_Finance[Job Number]=C350&amp;"")*(tbl_Finance[Xero Invoice No]&lt;&gt;"")),tbl_Finance[Xero Invoice No]))=COUNTIFS(tbl_Finance[Job Number],C350&amp;"",tbl_Finance[Xero Invoice No],"&lt;&gt;"),LOOKUP(2,1/((tbl_Finance[Job Number]=C350&amp;"")*(tbl_Finance[Xero Invoice No]&lt;&gt;"")),tbl_Finance[Xero Invoice No]),LOOKUP(2,1/((tbl_Finance[Job Number]=C350&amp;"")*(tbl_Finance[Xero Invoice No]&lt;&gt;"")),tbl_Finance[Xero Invoice No])&amp;" +more"),"")))</f>
        <v/>
      </c>
      <c r="C350" s="24" t="n"/>
      <c r="D350" s="25">
        <f>IF(C350="","",IF(COUNTIF(lst_Jobs,C350&amp;"")&gt;0,"OK","CHECK"))</f>
        <v/>
      </c>
      <c r="E350" s="25">
        <f>IF(C350="","",IFERROR(INDEX(lst_JobName,MATCH(C350&amp;"",lst_Jobs,0)),""))</f>
        <v/>
      </c>
      <c r="F350" s="25">
        <f>IF(C350="","",IFERROR(INDEX(tbl_Finance[Client],MATCH(C350&amp;"",tbl_Finance[Job Number],0)),""))</f>
        <v/>
      </c>
      <c r="G350" s="28">
        <f>IF(C350="","",COUNTIFS(tbl_Finance[Job Number],C350&amp;"",tbl_Finance[Ex GST],"&lt;&gt;"))</f>
        <v/>
      </c>
      <c r="H350" s="27">
        <f>IF(C350="","",SUMIFS(tbl_Finance[Ex GST],tbl_Finance[Job Number],C350&amp;""))</f>
        <v/>
      </c>
      <c r="I350" s="27">
        <f>IF(C350="","",SUMIFS(tbl_Finance[Ex GST],tbl_Finance[Job Number],C350&amp;"",tbl_Finance[Xero Invoice No],"&lt;&gt;"))</f>
        <v/>
      </c>
      <c r="J350" s="27">
        <f>IF(C350="","",H350-I350)</f>
        <v/>
      </c>
      <c r="K350" s="25">
        <f>IF(C350="","",IF(G350=0,"not invoiced yet",SUBSTITUTE(TRIM(IF(COUNTIFS(tbl_Finance[Job Number],C350&amp;"",tbl_Finance[Cost Centre],"ONSITE")&gt;0,"ONSITE ","")&amp;IF(COUNTIFS(tbl_Finance[Job Number],C350&amp;"",tbl_Finance[Cost Centre],"PRODUCTION")&gt;0,"PRODUCTION ","")&amp;IF(COUNTIFS(tbl_Finance[Job Number],C350&amp;"",tbl_Finance[Cost Centre],"VIDEO")&gt;0,"VIDEO ","")&amp;IF(COUNTIFS(tbl_Finance[Job Number],C350&amp;"",tbl_Finance[Cost Centre],"INTEGRATION")&gt;0,"INTEGRATION ","")&amp;IF(COUNTIFS(tbl_Finance[Job Number],C350&amp;"",tbl_Finance[Cost Centre],"CONSULTING")&gt;0,"CONSULTING ","")&amp;IF(COUNTIFS(tbl_Finance[Job Number],C350&amp;"",tbl_Finance[Cost Centre],"CTS")&gt;0,"CTS ",""))," ",", ")))</f>
        <v/>
      </c>
      <c r="L350" s="24" t="n"/>
      <c r="M350" s="25">
        <f>IF(L350="","",HYPERLINK(IF(LEFT(L350,4)="http",L350,set_QwilrBase&amp;L350),"Open quote"))</f>
        <v/>
      </c>
      <c r="N350" s="26" t="n"/>
      <c r="O350" s="26" t="n"/>
      <c r="P350" s="26" t="n"/>
      <c r="Q350" s="25">
        <f>IF(C350="","",IF(N(N350)+N(O350)+N(P350)=0,"Not split",IF(ROUND(N(N350)+N(O350)+N(P350),2)=ROUND(H350,2),"OK","MISMATCH")))</f>
        <v/>
      </c>
      <c r="R350" s="26" t="n"/>
      <c r="S350" s="26" t="n"/>
      <c r="T350" s="26" t="n"/>
      <c r="U350" s="27">
        <f>IF(C350="","",N(R350)+N(S350)+N(T350))</f>
        <v/>
      </c>
      <c r="V350" s="27">
        <f>IF(C350="","",H350-U350)</f>
        <v/>
      </c>
      <c r="W350" s="29">
        <f>IFERROR(V350/H350,"")</f>
        <v/>
      </c>
      <c r="X350" s="24" t="n"/>
    </row>
    <row r="351" ht="15" customHeight="1">
      <c r="A351" s="63">
        <f>IF(C351="","",IFERROR(IF(SUMPRODUCT(MAX((tbl_Finance[Job Number]=C351&amp;"")*(tbl_Finance[Xero Invoice No]&lt;&gt;"")*tbl_Finance[Date]))=0,"",SUMPRODUCT(MAX((tbl_Finance[Job Number]=C351&amp;"")*(tbl_Finance[Xero Invoice No]&lt;&gt;"")*tbl_Finance[Date]))),""))</f>
        <v/>
      </c>
      <c r="B351" s="25">
        <f>IF(C351="","",IF(COUNTIFS(tbl_Finance[Job Number],C351&amp;"",tbl_Finance[Xero Invoice No],"&lt;&gt;")=0,"",IFERROR(IF(COUNTIFS(tbl_Finance[Job Number],C351&amp;"",tbl_Finance[Xero Invoice No],LOOKUP(2,1/((tbl_Finance[Job Number]=C351&amp;"")*(tbl_Finance[Xero Invoice No]&lt;&gt;"")),tbl_Finance[Xero Invoice No]))=COUNTIFS(tbl_Finance[Job Number],C351&amp;"",tbl_Finance[Xero Invoice No],"&lt;&gt;"),LOOKUP(2,1/((tbl_Finance[Job Number]=C351&amp;"")*(tbl_Finance[Xero Invoice No]&lt;&gt;"")),tbl_Finance[Xero Invoice No]),LOOKUP(2,1/((tbl_Finance[Job Number]=C351&amp;"")*(tbl_Finance[Xero Invoice No]&lt;&gt;"")),tbl_Finance[Xero Invoice No])&amp;" +more"),"")))</f>
        <v/>
      </c>
      <c r="C351" s="24" t="n"/>
      <c r="D351" s="25">
        <f>IF(C351="","",IF(COUNTIF(lst_Jobs,C351&amp;"")&gt;0,"OK","CHECK"))</f>
        <v/>
      </c>
      <c r="E351" s="25">
        <f>IF(C351="","",IFERROR(INDEX(lst_JobName,MATCH(C351&amp;"",lst_Jobs,0)),""))</f>
        <v/>
      </c>
      <c r="F351" s="25">
        <f>IF(C351="","",IFERROR(INDEX(tbl_Finance[Client],MATCH(C351&amp;"",tbl_Finance[Job Number],0)),""))</f>
        <v/>
      </c>
      <c r="G351" s="28">
        <f>IF(C351="","",COUNTIFS(tbl_Finance[Job Number],C351&amp;"",tbl_Finance[Ex GST],"&lt;&gt;"))</f>
        <v/>
      </c>
      <c r="H351" s="27">
        <f>IF(C351="","",SUMIFS(tbl_Finance[Ex GST],tbl_Finance[Job Number],C351&amp;""))</f>
        <v/>
      </c>
      <c r="I351" s="27">
        <f>IF(C351="","",SUMIFS(tbl_Finance[Ex GST],tbl_Finance[Job Number],C351&amp;"",tbl_Finance[Xero Invoice No],"&lt;&gt;"))</f>
        <v/>
      </c>
      <c r="J351" s="27">
        <f>IF(C351="","",H351-I351)</f>
        <v/>
      </c>
      <c r="K351" s="25">
        <f>IF(C351="","",IF(G351=0,"not invoiced yet",SUBSTITUTE(TRIM(IF(COUNTIFS(tbl_Finance[Job Number],C351&amp;"",tbl_Finance[Cost Centre],"ONSITE")&gt;0,"ONSITE ","")&amp;IF(COUNTIFS(tbl_Finance[Job Number],C351&amp;"",tbl_Finance[Cost Centre],"PRODUCTION")&gt;0,"PRODUCTION ","")&amp;IF(COUNTIFS(tbl_Finance[Job Number],C351&amp;"",tbl_Finance[Cost Centre],"VIDEO")&gt;0,"VIDEO ","")&amp;IF(COUNTIFS(tbl_Finance[Job Number],C351&amp;"",tbl_Finance[Cost Centre],"INTEGRATION")&gt;0,"INTEGRATION ","")&amp;IF(COUNTIFS(tbl_Finance[Job Number],C351&amp;"",tbl_Finance[Cost Centre],"CONSULTING")&gt;0,"CONSULTING ","")&amp;IF(COUNTIFS(tbl_Finance[Job Number],C351&amp;"",tbl_Finance[Cost Centre],"CTS")&gt;0,"CTS ",""))," ",", ")))</f>
        <v/>
      </c>
      <c r="L351" s="24" t="n"/>
      <c r="M351" s="25">
        <f>IF(L351="","",HYPERLINK(IF(LEFT(L351,4)="http",L351,set_QwilrBase&amp;L351),"Open quote"))</f>
        <v/>
      </c>
      <c r="N351" s="26" t="n"/>
      <c r="O351" s="26" t="n"/>
      <c r="P351" s="26" t="n"/>
      <c r="Q351" s="25">
        <f>IF(C351="","",IF(N(N351)+N(O351)+N(P351)=0,"Not split",IF(ROUND(N(N351)+N(O351)+N(P351),2)=ROUND(H351,2),"OK","MISMATCH")))</f>
        <v/>
      </c>
      <c r="R351" s="26" t="n"/>
      <c r="S351" s="26" t="n"/>
      <c r="T351" s="26" t="n"/>
      <c r="U351" s="27">
        <f>IF(C351="","",N(R351)+N(S351)+N(T351))</f>
        <v/>
      </c>
      <c r="V351" s="27">
        <f>IF(C351="","",H351-U351)</f>
        <v/>
      </c>
      <c r="W351" s="29">
        <f>IFERROR(V351/H351,"")</f>
        <v/>
      </c>
      <c r="X351" s="24" t="n"/>
    </row>
    <row r="352" ht="15" customHeight="1">
      <c r="A352" s="63">
        <f>IF(C352="","",IFERROR(IF(SUMPRODUCT(MAX((tbl_Finance[Job Number]=C352&amp;"")*(tbl_Finance[Xero Invoice No]&lt;&gt;"")*tbl_Finance[Date]))=0,"",SUMPRODUCT(MAX((tbl_Finance[Job Number]=C352&amp;"")*(tbl_Finance[Xero Invoice No]&lt;&gt;"")*tbl_Finance[Date]))),""))</f>
        <v/>
      </c>
      <c r="B352" s="25">
        <f>IF(C352="","",IF(COUNTIFS(tbl_Finance[Job Number],C352&amp;"",tbl_Finance[Xero Invoice No],"&lt;&gt;")=0,"",IFERROR(IF(COUNTIFS(tbl_Finance[Job Number],C352&amp;"",tbl_Finance[Xero Invoice No],LOOKUP(2,1/((tbl_Finance[Job Number]=C352&amp;"")*(tbl_Finance[Xero Invoice No]&lt;&gt;"")),tbl_Finance[Xero Invoice No]))=COUNTIFS(tbl_Finance[Job Number],C352&amp;"",tbl_Finance[Xero Invoice No],"&lt;&gt;"),LOOKUP(2,1/((tbl_Finance[Job Number]=C352&amp;"")*(tbl_Finance[Xero Invoice No]&lt;&gt;"")),tbl_Finance[Xero Invoice No]),LOOKUP(2,1/((tbl_Finance[Job Number]=C352&amp;"")*(tbl_Finance[Xero Invoice No]&lt;&gt;"")),tbl_Finance[Xero Invoice No])&amp;" +more"),"")))</f>
        <v/>
      </c>
      <c r="C352" s="24" t="n"/>
      <c r="D352" s="25">
        <f>IF(C352="","",IF(COUNTIF(lst_Jobs,C352&amp;"")&gt;0,"OK","CHECK"))</f>
        <v/>
      </c>
      <c r="E352" s="25">
        <f>IF(C352="","",IFERROR(INDEX(lst_JobName,MATCH(C352&amp;"",lst_Jobs,0)),""))</f>
        <v/>
      </c>
      <c r="F352" s="25">
        <f>IF(C352="","",IFERROR(INDEX(tbl_Finance[Client],MATCH(C352&amp;"",tbl_Finance[Job Number],0)),""))</f>
        <v/>
      </c>
      <c r="G352" s="28">
        <f>IF(C352="","",COUNTIFS(tbl_Finance[Job Number],C352&amp;"",tbl_Finance[Ex GST],"&lt;&gt;"))</f>
        <v/>
      </c>
      <c r="H352" s="27">
        <f>IF(C352="","",SUMIFS(tbl_Finance[Ex GST],tbl_Finance[Job Number],C352&amp;""))</f>
        <v/>
      </c>
      <c r="I352" s="27">
        <f>IF(C352="","",SUMIFS(tbl_Finance[Ex GST],tbl_Finance[Job Number],C352&amp;"",tbl_Finance[Xero Invoice No],"&lt;&gt;"))</f>
        <v/>
      </c>
      <c r="J352" s="27">
        <f>IF(C352="","",H352-I352)</f>
        <v/>
      </c>
      <c r="K352" s="25">
        <f>IF(C352="","",IF(G352=0,"not invoiced yet",SUBSTITUTE(TRIM(IF(COUNTIFS(tbl_Finance[Job Number],C352&amp;"",tbl_Finance[Cost Centre],"ONSITE")&gt;0,"ONSITE ","")&amp;IF(COUNTIFS(tbl_Finance[Job Number],C352&amp;"",tbl_Finance[Cost Centre],"PRODUCTION")&gt;0,"PRODUCTION ","")&amp;IF(COUNTIFS(tbl_Finance[Job Number],C352&amp;"",tbl_Finance[Cost Centre],"VIDEO")&gt;0,"VIDEO ","")&amp;IF(COUNTIFS(tbl_Finance[Job Number],C352&amp;"",tbl_Finance[Cost Centre],"INTEGRATION")&gt;0,"INTEGRATION ","")&amp;IF(COUNTIFS(tbl_Finance[Job Number],C352&amp;"",tbl_Finance[Cost Centre],"CONSULTING")&gt;0,"CONSULTING ","")&amp;IF(COUNTIFS(tbl_Finance[Job Number],C352&amp;"",tbl_Finance[Cost Centre],"CTS")&gt;0,"CTS ",""))," ",", ")))</f>
        <v/>
      </c>
      <c r="L352" s="24" t="n"/>
      <c r="M352" s="25">
        <f>IF(L352="","",HYPERLINK(IF(LEFT(L352,4)="http",L352,set_QwilrBase&amp;L352),"Open quote"))</f>
        <v/>
      </c>
      <c r="N352" s="26" t="n"/>
      <c r="O352" s="26" t="n"/>
      <c r="P352" s="26" t="n"/>
      <c r="Q352" s="25">
        <f>IF(C352="","",IF(N(N352)+N(O352)+N(P352)=0,"Not split",IF(ROUND(N(N352)+N(O352)+N(P352),2)=ROUND(H352,2),"OK","MISMATCH")))</f>
        <v/>
      </c>
      <c r="R352" s="26" t="n"/>
      <c r="S352" s="26" t="n"/>
      <c r="T352" s="26" t="n"/>
      <c r="U352" s="27">
        <f>IF(C352="","",N(R352)+N(S352)+N(T352))</f>
        <v/>
      </c>
      <c r="V352" s="27">
        <f>IF(C352="","",H352-U352)</f>
        <v/>
      </c>
      <c r="W352" s="29">
        <f>IFERROR(V352/H352,"")</f>
        <v/>
      </c>
      <c r="X352" s="24" t="n"/>
    </row>
    <row r="353" ht="15" customHeight="1">
      <c r="A353" s="63">
        <f>IF(C353="","",IFERROR(IF(SUMPRODUCT(MAX((tbl_Finance[Job Number]=C353&amp;"")*(tbl_Finance[Xero Invoice No]&lt;&gt;"")*tbl_Finance[Date]))=0,"",SUMPRODUCT(MAX((tbl_Finance[Job Number]=C353&amp;"")*(tbl_Finance[Xero Invoice No]&lt;&gt;"")*tbl_Finance[Date]))),""))</f>
        <v/>
      </c>
      <c r="B353" s="25">
        <f>IF(C353="","",IF(COUNTIFS(tbl_Finance[Job Number],C353&amp;"",tbl_Finance[Xero Invoice No],"&lt;&gt;")=0,"",IFERROR(IF(COUNTIFS(tbl_Finance[Job Number],C353&amp;"",tbl_Finance[Xero Invoice No],LOOKUP(2,1/((tbl_Finance[Job Number]=C353&amp;"")*(tbl_Finance[Xero Invoice No]&lt;&gt;"")),tbl_Finance[Xero Invoice No]))=COUNTIFS(tbl_Finance[Job Number],C353&amp;"",tbl_Finance[Xero Invoice No],"&lt;&gt;"),LOOKUP(2,1/((tbl_Finance[Job Number]=C353&amp;"")*(tbl_Finance[Xero Invoice No]&lt;&gt;"")),tbl_Finance[Xero Invoice No]),LOOKUP(2,1/((tbl_Finance[Job Number]=C353&amp;"")*(tbl_Finance[Xero Invoice No]&lt;&gt;"")),tbl_Finance[Xero Invoice No])&amp;" +more"),"")))</f>
        <v/>
      </c>
      <c r="C353" s="24" t="n"/>
      <c r="D353" s="25">
        <f>IF(C353="","",IF(COUNTIF(lst_Jobs,C353&amp;"")&gt;0,"OK","CHECK"))</f>
        <v/>
      </c>
      <c r="E353" s="25">
        <f>IF(C353="","",IFERROR(INDEX(lst_JobName,MATCH(C353&amp;"",lst_Jobs,0)),""))</f>
        <v/>
      </c>
      <c r="F353" s="25">
        <f>IF(C353="","",IFERROR(INDEX(tbl_Finance[Client],MATCH(C353&amp;"",tbl_Finance[Job Number],0)),""))</f>
        <v/>
      </c>
      <c r="G353" s="28">
        <f>IF(C353="","",COUNTIFS(tbl_Finance[Job Number],C353&amp;"",tbl_Finance[Ex GST],"&lt;&gt;"))</f>
        <v/>
      </c>
      <c r="H353" s="27">
        <f>IF(C353="","",SUMIFS(tbl_Finance[Ex GST],tbl_Finance[Job Number],C353&amp;""))</f>
        <v/>
      </c>
      <c r="I353" s="27">
        <f>IF(C353="","",SUMIFS(tbl_Finance[Ex GST],tbl_Finance[Job Number],C353&amp;"",tbl_Finance[Xero Invoice No],"&lt;&gt;"))</f>
        <v/>
      </c>
      <c r="J353" s="27">
        <f>IF(C353="","",H353-I353)</f>
        <v/>
      </c>
      <c r="K353" s="25">
        <f>IF(C353="","",IF(G353=0,"not invoiced yet",SUBSTITUTE(TRIM(IF(COUNTIFS(tbl_Finance[Job Number],C353&amp;"",tbl_Finance[Cost Centre],"ONSITE")&gt;0,"ONSITE ","")&amp;IF(COUNTIFS(tbl_Finance[Job Number],C353&amp;"",tbl_Finance[Cost Centre],"PRODUCTION")&gt;0,"PRODUCTION ","")&amp;IF(COUNTIFS(tbl_Finance[Job Number],C353&amp;"",tbl_Finance[Cost Centre],"VIDEO")&gt;0,"VIDEO ","")&amp;IF(COUNTIFS(tbl_Finance[Job Number],C353&amp;"",tbl_Finance[Cost Centre],"INTEGRATION")&gt;0,"INTEGRATION ","")&amp;IF(COUNTIFS(tbl_Finance[Job Number],C353&amp;"",tbl_Finance[Cost Centre],"CONSULTING")&gt;0,"CONSULTING ","")&amp;IF(COUNTIFS(tbl_Finance[Job Number],C353&amp;"",tbl_Finance[Cost Centre],"CTS")&gt;0,"CTS ",""))," ",", ")))</f>
        <v/>
      </c>
      <c r="L353" s="24" t="n"/>
      <c r="M353" s="25">
        <f>IF(L353="","",HYPERLINK(IF(LEFT(L353,4)="http",L353,set_QwilrBase&amp;L353),"Open quote"))</f>
        <v/>
      </c>
      <c r="N353" s="26" t="n"/>
      <c r="O353" s="26" t="n"/>
      <c r="P353" s="26" t="n"/>
      <c r="Q353" s="25">
        <f>IF(C353="","",IF(N(N353)+N(O353)+N(P353)=0,"Not split",IF(ROUND(N(N353)+N(O353)+N(P353),2)=ROUND(H353,2),"OK","MISMATCH")))</f>
        <v/>
      </c>
      <c r="R353" s="26" t="n"/>
      <c r="S353" s="26" t="n"/>
      <c r="T353" s="26" t="n"/>
      <c r="U353" s="27">
        <f>IF(C353="","",N(R353)+N(S353)+N(T353))</f>
        <v/>
      </c>
      <c r="V353" s="27">
        <f>IF(C353="","",H353-U353)</f>
        <v/>
      </c>
      <c r="W353" s="29">
        <f>IFERROR(V353/H353,"")</f>
        <v/>
      </c>
      <c r="X353" s="24" t="n"/>
    </row>
    <row r="354" ht="15" customHeight="1">
      <c r="A354" s="63">
        <f>IF(C354="","",IFERROR(IF(SUMPRODUCT(MAX((tbl_Finance[Job Number]=C354&amp;"")*(tbl_Finance[Xero Invoice No]&lt;&gt;"")*tbl_Finance[Date]))=0,"",SUMPRODUCT(MAX((tbl_Finance[Job Number]=C354&amp;"")*(tbl_Finance[Xero Invoice No]&lt;&gt;"")*tbl_Finance[Date]))),""))</f>
        <v/>
      </c>
      <c r="B354" s="25">
        <f>IF(C354="","",IF(COUNTIFS(tbl_Finance[Job Number],C354&amp;"",tbl_Finance[Xero Invoice No],"&lt;&gt;")=0,"",IFERROR(IF(COUNTIFS(tbl_Finance[Job Number],C354&amp;"",tbl_Finance[Xero Invoice No],LOOKUP(2,1/((tbl_Finance[Job Number]=C354&amp;"")*(tbl_Finance[Xero Invoice No]&lt;&gt;"")),tbl_Finance[Xero Invoice No]))=COUNTIFS(tbl_Finance[Job Number],C354&amp;"",tbl_Finance[Xero Invoice No],"&lt;&gt;"),LOOKUP(2,1/((tbl_Finance[Job Number]=C354&amp;"")*(tbl_Finance[Xero Invoice No]&lt;&gt;"")),tbl_Finance[Xero Invoice No]),LOOKUP(2,1/((tbl_Finance[Job Number]=C354&amp;"")*(tbl_Finance[Xero Invoice No]&lt;&gt;"")),tbl_Finance[Xero Invoice No])&amp;" +more"),"")))</f>
        <v/>
      </c>
      <c r="C354" s="24" t="n"/>
      <c r="D354" s="25">
        <f>IF(C354="","",IF(COUNTIF(lst_Jobs,C354&amp;"")&gt;0,"OK","CHECK"))</f>
        <v/>
      </c>
      <c r="E354" s="25">
        <f>IF(C354="","",IFERROR(INDEX(lst_JobName,MATCH(C354&amp;"",lst_Jobs,0)),""))</f>
        <v/>
      </c>
      <c r="F354" s="25">
        <f>IF(C354="","",IFERROR(INDEX(tbl_Finance[Client],MATCH(C354&amp;"",tbl_Finance[Job Number],0)),""))</f>
        <v/>
      </c>
      <c r="G354" s="28">
        <f>IF(C354="","",COUNTIFS(tbl_Finance[Job Number],C354&amp;"",tbl_Finance[Ex GST],"&lt;&gt;"))</f>
        <v/>
      </c>
      <c r="H354" s="27">
        <f>IF(C354="","",SUMIFS(tbl_Finance[Ex GST],tbl_Finance[Job Number],C354&amp;""))</f>
        <v/>
      </c>
      <c r="I354" s="27">
        <f>IF(C354="","",SUMIFS(tbl_Finance[Ex GST],tbl_Finance[Job Number],C354&amp;"",tbl_Finance[Xero Invoice No],"&lt;&gt;"))</f>
        <v/>
      </c>
      <c r="J354" s="27">
        <f>IF(C354="","",H354-I354)</f>
        <v/>
      </c>
      <c r="K354" s="25">
        <f>IF(C354="","",IF(G354=0,"not invoiced yet",SUBSTITUTE(TRIM(IF(COUNTIFS(tbl_Finance[Job Number],C354&amp;"",tbl_Finance[Cost Centre],"ONSITE")&gt;0,"ONSITE ","")&amp;IF(COUNTIFS(tbl_Finance[Job Number],C354&amp;"",tbl_Finance[Cost Centre],"PRODUCTION")&gt;0,"PRODUCTION ","")&amp;IF(COUNTIFS(tbl_Finance[Job Number],C354&amp;"",tbl_Finance[Cost Centre],"VIDEO")&gt;0,"VIDEO ","")&amp;IF(COUNTIFS(tbl_Finance[Job Number],C354&amp;"",tbl_Finance[Cost Centre],"INTEGRATION")&gt;0,"INTEGRATION ","")&amp;IF(COUNTIFS(tbl_Finance[Job Number],C354&amp;"",tbl_Finance[Cost Centre],"CONSULTING")&gt;0,"CONSULTING ","")&amp;IF(COUNTIFS(tbl_Finance[Job Number],C354&amp;"",tbl_Finance[Cost Centre],"CTS")&gt;0,"CTS ",""))," ",", ")))</f>
        <v/>
      </c>
      <c r="L354" s="24" t="n"/>
      <c r="M354" s="25">
        <f>IF(L354="","",HYPERLINK(IF(LEFT(L354,4)="http",L354,set_QwilrBase&amp;L354),"Open quote"))</f>
        <v/>
      </c>
      <c r="N354" s="26" t="n"/>
      <c r="O354" s="26" t="n"/>
      <c r="P354" s="26" t="n"/>
      <c r="Q354" s="25">
        <f>IF(C354="","",IF(N(N354)+N(O354)+N(P354)=0,"Not split",IF(ROUND(N(N354)+N(O354)+N(P354),2)=ROUND(H354,2),"OK","MISMATCH")))</f>
        <v/>
      </c>
      <c r="R354" s="26" t="n"/>
      <c r="S354" s="26" t="n"/>
      <c r="T354" s="26" t="n"/>
      <c r="U354" s="27">
        <f>IF(C354="","",N(R354)+N(S354)+N(T354))</f>
        <v/>
      </c>
      <c r="V354" s="27">
        <f>IF(C354="","",H354-U354)</f>
        <v/>
      </c>
      <c r="W354" s="29">
        <f>IFERROR(V354/H354,"")</f>
        <v/>
      </c>
      <c r="X354" s="24" t="n"/>
    </row>
    <row r="355" ht="15" customHeight="1">
      <c r="A355" s="63">
        <f>IF(C355="","",IFERROR(IF(SUMPRODUCT(MAX((tbl_Finance[Job Number]=C355&amp;"")*(tbl_Finance[Xero Invoice No]&lt;&gt;"")*tbl_Finance[Date]))=0,"",SUMPRODUCT(MAX((tbl_Finance[Job Number]=C355&amp;"")*(tbl_Finance[Xero Invoice No]&lt;&gt;"")*tbl_Finance[Date]))),""))</f>
        <v/>
      </c>
      <c r="B355" s="25">
        <f>IF(C355="","",IF(COUNTIFS(tbl_Finance[Job Number],C355&amp;"",tbl_Finance[Xero Invoice No],"&lt;&gt;")=0,"",IFERROR(IF(COUNTIFS(tbl_Finance[Job Number],C355&amp;"",tbl_Finance[Xero Invoice No],LOOKUP(2,1/((tbl_Finance[Job Number]=C355&amp;"")*(tbl_Finance[Xero Invoice No]&lt;&gt;"")),tbl_Finance[Xero Invoice No]))=COUNTIFS(tbl_Finance[Job Number],C355&amp;"",tbl_Finance[Xero Invoice No],"&lt;&gt;"),LOOKUP(2,1/((tbl_Finance[Job Number]=C355&amp;"")*(tbl_Finance[Xero Invoice No]&lt;&gt;"")),tbl_Finance[Xero Invoice No]),LOOKUP(2,1/((tbl_Finance[Job Number]=C355&amp;"")*(tbl_Finance[Xero Invoice No]&lt;&gt;"")),tbl_Finance[Xero Invoice No])&amp;" +more"),"")))</f>
        <v/>
      </c>
      <c r="C355" s="24" t="n"/>
      <c r="D355" s="25">
        <f>IF(C355="","",IF(COUNTIF(lst_Jobs,C355&amp;"")&gt;0,"OK","CHECK"))</f>
        <v/>
      </c>
      <c r="E355" s="25">
        <f>IF(C355="","",IFERROR(INDEX(lst_JobName,MATCH(C355&amp;"",lst_Jobs,0)),""))</f>
        <v/>
      </c>
      <c r="F355" s="25">
        <f>IF(C355="","",IFERROR(INDEX(tbl_Finance[Client],MATCH(C355&amp;"",tbl_Finance[Job Number],0)),""))</f>
        <v/>
      </c>
      <c r="G355" s="28">
        <f>IF(C355="","",COUNTIFS(tbl_Finance[Job Number],C355&amp;"",tbl_Finance[Ex GST],"&lt;&gt;"))</f>
        <v/>
      </c>
      <c r="H355" s="27">
        <f>IF(C355="","",SUMIFS(tbl_Finance[Ex GST],tbl_Finance[Job Number],C355&amp;""))</f>
        <v/>
      </c>
      <c r="I355" s="27">
        <f>IF(C355="","",SUMIFS(tbl_Finance[Ex GST],tbl_Finance[Job Number],C355&amp;"",tbl_Finance[Xero Invoice No],"&lt;&gt;"))</f>
        <v/>
      </c>
      <c r="J355" s="27">
        <f>IF(C355="","",H355-I355)</f>
        <v/>
      </c>
      <c r="K355" s="25">
        <f>IF(C355="","",IF(G355=0,"not invoiced yet",SUBSTITUTE(TRIM(IF(COUNTIFS(tbl_Finance[Job Number],C355&amp;"",tbl_Finance[Cost Centre],"ONSITE")&gt;0,"ONSITE ","")&amp;IF(COUNTIFS(tbl_Finance[Job Number],C355&amp;"",tbl_Finance[Cost Centre],"PRODUCTION")&gt;0,"PRODUCTION ","")&amp;IF(COUNTIFS(tbl_Finance[Job Number],C355&amp;"",tbl_Finance[Cost Centre],"VIDEO")&gt;0,"VIDEO ","")&amp;IF(COUNTIFS(tbl_Finance[Job Number],C355&amp;"",tbl_Finance[Cost Centre],"INTEGRATION")&gt;0,"INTEGRATION ","")&amp;IF(COUNTIFS(tbl_Finance[Job Number],C355&amp;"",tbl_Finance[Cost Centre],"CONSULTING")&gt;0,"CONSULTING ","")&amp;IF(COUNTIFS(tbl_Finance[Job Number],C355&amp;"",tbl_Finance[Cost Centre],"CTS")&gt;0,"CTS ",""))," ",", ")))</f>
        <v/>
      </c>
      <c r="L355" s="24" t="n"/>
      <c r="M355" s="25">
        <f>IF(L355="","",HYPERLINK(IF(LEFT(L355,4)="http",L355,set_QwilrBase&amp;L355),"Open quote"))</f>
        <v/>
      </c>
      <c r="N355" s="26" t="n"/>
      <c r="O355" s="26" t="n"/>
      <c r="P355" s="26" t="n"/>
      <c r="Q355" s="25">
        <f>IF(C355="","",IF(N(N355)+N(O355)+N(P355)=0,"Not split",IF(ROUND(N(N355)+N(O355)+N(P355),2)=ROUND(H355,2),"OK","MISMATCH")))</f>
        <v/>
      </c>
      <c r="R355" s="26" t="n"/>
      <c r="S355" s="26" t="n"/>
      <c r="T355" s="26" t="n"/>
      <c r="U355" s="27">
        <f>IF(C355="","",N(R355)+N(S355)+N(T355))</f>
        <v/>
      </c>
      <c r="V355" s="27">
        <f>IF(C355="","",H355-U355)</f>
        <v/>
      </c>
      <c r="W355" s="29">
        <f>IFERROR(V355/H355,"")</f>
        <v/>
      </c>
      <c r="X355" s="24" t="n"/>
    </row>
    <row r="356" ht="15" customHeight="1">
      <c r="A356" s="63">
        <f>IF(C356="","",IFERROR(IF(SUMPRODUCT(MAX((tbl_Finance[Job Number]=C356&amp;"")*(tbl_Finance[Xero Invoice No]&lt;&gt;"")*tbl_Finance[Date]))=0,"",SUMPRODUCT(MAX((tbl_Finance[Job Number]=C356&amp;"")*(tbl_Finance[Xero Invoice No]&lt;&gt;"")*tbl_Finance[Date]))),""))</f>
        <v/>
      </c>
      <c r="B356" s="25">
        <f>IF(C356="","",IF(COUNTIFS(tbl_Finance[Job Number],C356&amp;"",tbl_Finance[Xero Invoice No],"&lt;&gt;")=0,"",IFERROR(IF(COUNTIFS(tbl_Finance[Job Number],C356&amp;"",tbl_Finance[Xero Invoice No],LOOKUP(2,1/((tbl_Finance[Job Number]=C356&amp;"")*(tbl_Finance[Xero Invoice No]&lt;&gt;"")),tbl_Finance[Xero Invoice No]))=COUNTIFS(tbl_Finance[Job Number],C356&amp;"",tbl_Finance[Xero Invoice No],"&lt;&gt;"),LOOKUP(2,1/((tbl_Finance[Job Number]=C356&amp;"")*(tbl_Finance[Xero Invoice No]&lt;&gt;"")),tbl_Finance[Xero Invoice No]),LOOKUP(2,1/((tbl_Finance[Job Number]=C356&amp;"")*(tbl_Finance[Xero Invoice No]&lt;&gt;"")),tbl_Finance[Xero Invoice No])&amp;" +more"),"")))</f>
        <v/>
      </c>
      <c r="C356" s="24" t="n"/>
      <c r="D356" s="25">
        <f>IF(C356="","",IF(COUNTIF(lst_Jobs,C356&amp;"")&gt;0,"OK","CHECK"))</f>
        <v/>
      </c>
      <c r="E356" s="25">
        <f>IF(C356="","",IFERROR(INDEX(lst_JobName,MATCH(C356&amp;"",lst_Jobs,0)),""))</f>
        <v/>
      </c>
      <c r="F356" s="25">
        <f>IF(C356="","",IFERROR(INDEX(tbl_Finance[Client],MATCH(C356&amp;"",tbl_Finance[Job Number],0)),""))</f>
        <v/>
      </c>
      <c r="G356" s="28">
        <f>IF(C356="","",COUNTIFS(tbl_Finance[Job Number],C356&amp;"",tbl_Finance[Ex GST],"&lt;&gt;"))</f>
        <v/>
      </c>
      <c r="H356" s="27">
        <f>IF(C356="","",SUMIFS(tbl_Finance[Ex GST],tbl_Finance[Job Number],C356&amp;""))</f>
        <v/>
      </c>
      <c r="I356" s="27">
        <f>IF(C356="","",SUMIFS(tbl_Finance[Ex GST],tbl_Finance[Job Number],C356&amp;"",tbl_Finance[Xero Invoice No],"&lt;&gt;"))</f>
        <v/>
      </c>
      <c r="J356" s="27">
        <f>IF(C356="","",H356-I356)</f>
        <v/>
      </c>
      <c r="K356" s="25">
        <f>IF(C356="","",IF(G356=0,"not invoiced yet",SUBSTITUTE(TRIM(IF(COUNTIFS(tbl_Finance[Job Number],C356&amp;"",tbl_Finance[Cost Centre],"ONSITE")&gt;0,"ONSITE ","")&amp;IF(COUNTIFS(tbl_Finance[Job Number],C356&amp;"",tbl_Finance[Cost Centre],"PRODUCTION")&gt;0,"PRODUCTION ","")&amp;IF(COUNTIFS(tbl_Finance[Job Number],C356&amp;"",tbl_Finance[Cost Centre],"VIDEO")&gt;0,"VIDEO ","")&amp;IF(COUNTIFS(tbl_Finance[Job Number],C356&amp;"",tbl_Finance[Cost Centre],"INTEGRATION")&gt;0,"INTEGRATION ","")&amp;IF(COUNTIFS(tbl_Finance[Job Number],C356&amp;"",tbl_Finance[Cost Centre],"CONSULTING")&gt;0,"CONSULTING ","")&amp;IF(COUNTIFS(tbl_Finance[Job Number],C356&amp;"",tbl_Finance[Cost Centre],"CTS")&gt;0,"CTS ",""))," ",", ")))</f>
        <v/>
      </c>
      <c r="L356" s="24" t="n"/>
      <c r="M356" s="25">
        <f>IF(L356="","",HYPERLINK(IF(LEFT(L356,4)="http",L356,set_QwilrBase&amp;L356),"Open quote"))</f>
        <v/>
      </c>
      <c r="N356" s="26" t="n"/>
      <c r="O356" s="26" t="n"/>
      <c r="P356" s="26" t="n"/>
      <c r="Q356" s="25">
        <f>IF(C356="","",IF(N(N356)+N(O356)+N(P356)=0,"Not split",IF(ROUND(N(N356)+N(O356)+N(P356),2)=ROUND(H356,2),"OK","MISMATCH")))</f>
        <v/>
      </c>
      <c r="R356" s="26" t="n"/>
      <c r="S356" s="26" t="n"/>
      <c r="T356" s="26" t="n"/>
      <c r="U356" s="27">
        <f>IF(C356="","",N(R356)+N(S356)+N(T356))</f>
        <v/>
      </c>
      <c r="V356" s="27">
        <f>IF(C356="","",H356-U356)</f>
        <v/>
      </c>
      <c r="W356" s="29">
        <f>IFERROR(V356/H356,"")</f>
        <v/>
      </c>
      <c r="X356" s="24" t="n"/>
    </row>
    <row r="357" ht="15" customHeight="1">
      <c r="A357" s="63">
        <f>IF(C357="","",IFERROR(IF(SUMPRODUCT(MAX((tbl_Finance[Job Number]=C357&amp;"")*(tbl_Finance[Xero Invoice No]&lt;&gt;"")*tbl_Finance[Date]))=0,"",SUMPRODUCT(MAX((tbl_Finance[Job Number]=C357&amp;"")*(tbl_Finance[Xero Invoice No]&lt;&gt;"")*tbl_Finance[Date]))),""))</f>
        <v/>
      </c>
      <c r="B357" s="25">
        <f>IF(C357="","",IF(COUNTIFS(tbl_Finance[Job Number],C357&amp;"",tbl_Finance[Xero Invoice No],"&lt;&gt;")=0,"",IFERROR(IF(COUNTIFS(tbl_Finance[Job Number],C357&amp;"",tbl_Finance[Xero Invoice No],LOOKUP(2,1/((tbl_Finance[Job Number]=C357&amp;"")*(tbl_Finance[Xero Invoice No]&lt;&gt;"")),tbl_Finance[Xero Invoice No]))=COUNTIFS(tbl_Finance[Job Number],C357&amp;"",tbl_Finance[Xero Invoice No],"&lt;&gt;"),LOOKUP(2,1/((tbl_Finance[Job Number]=C357&amp;"")*(tbl_Finance[Xero Invoice No]&lt;&gt;"")),tbl_Finance[Xero Invoice No]),LOOKUP(2,1/((tbl_Finance[Job Number]=C357&amp;"")*(tbl_Finance[Xero Invoice No]&lt;&gt;"")),tbl_Finance[Xero Invoice No])&amp;" +more"),"")))</f>
        <v/>
      </c>
      <c r="C357" s="24" t="n"/>
      <c r="D357" s="25">
        <f>IF(C357="","",IF(COUNTIF(lst_Jobs,C357&amp;"")&gt;0,"OK","CHECK"))</f>
        <v/>
      </c>
      <c r="E357" s="25">
        <f>IF(C357="","",IFERROR(INDEX(lst_JobName,MATCH(C357&amp;"",lst_Jobs,0)),""))</f>
        <v/>
      </c>
      <c r="F357" s="25">
        <f>IF(C357="","",IFERROR(INDEX(tbl_Finance[Client],MATCH(C357&amp;"",tbl_Finance[Job Number],0)),""))</f>
        <v/>
      </c>
      <c r="G357" s="28">
        <f>IF(C357="","",COUNTIFS(tbl_Finance[Job Number],C357&amp;"",tbl_Finance[Ex GST],"&lt;&gt;"))</f>
        <v/>
      </c>
      <c r="H357" s="27">
        <f>IF(C357="","",SUMIFS(tbl_Finance[Ex GST],tbl_Finance[Job Number],C357&amp;""))</f>
        <v/>
      </c>
      <c r="I357" s="27">
        <f>IF(C357="","",SUMIFS(tbl_Finance[Ex GST],tbl_Finance[Job Number],C357&amp;"",tbl_Finance[Xero Invoice No],"&lt;&gt;"))</f>
        <v/>
      </c>
      <c r="J357" s="27">
        <f>IF(C357="","",H357-I357)</f>
        <v/>
      </c>
      <c r="K357" s="25">
        <f>IF(C357="","",IF(G357=0,"not invoiced yet",SUBSTITUTE(TRIM(IF(COUNTIFS(tbl_Finance[Job Number],C357&amp;"",tbl_Finance[Cost Centre],"ONSITE")&gt;0,"ONSITE ","")&amp;IF(COUNTIFS(tbl_Finance[Job Number],C357&amp;"",tbl_Finance[Cost Centre],"PRODUCTION")&gt;0,"PRODUCTION ","")&amp;IF(COUNTIFS(tbl_Finance[Job Number],C357&amp;"",tbl_Finance[Cost Centre],"VIDEO")&gt;0,"VIDEO ","")&amp;IF(COUNTIFS(tbl_Finance[Job Number],C357&amp;"",tbl_Finance[Cost Centre],"INTEGRATION")&gt;0,"INTEGRATION ","")&amp;IF(COUNTIFS(tbl_Finance[Job Number],C357&amp;"",tbl_Finance[Cost Centre],"CONSULTING")&gt;0,"CONSULTING ","")&amp;IF(COUNTIFS(tbl_Finance[Job Number],C357&amp;"",tbl_Finance[Cost Centre],"CTS")&gt;0,"CTS ",""))," ",", ")))</f>
        <v/>
      </c>
      <c r="L357" s="24" t="n"/>
      <c r="M357" s="25">
        <f>IF(L357="","",HYPERLINK(IF(LEFT(L357,4)="http",L357,set_QwilrBase&amp;L357),"Open quote"))</f>
        <v/>
      </c>
      <c r="N357" s="26" t="n"/>
      <c r="O357" s="26" t="n"/>
      <c r="P357" s="26" t="n"/>
      <c r="Q357" s="25">
        <f>IF(C357="","",IF(N(N357)+N(O357)+N(P357)=0,"Not split",IF(ROUND(N(N357)+N(O357)+N(P357),2)=ROUND(H357,2),"OK","MISMATCH")))</f>
        <v/>
      </c>
      <c r="R357" s="26" t="n"/>
      <c r="S357" s="26" t="n"/>
      <c r="T357" s="26" t="n"/>
      <c r="U357" s="27">
        <f>IF(C357="","",N(R357)+N(S357)+N(T357))</f>
        <v/>
      </c>
      <c r="V357" s="27">
        <f>IF(C357="","",H357-U357)</f>
        <v/>
      </c>
      <c r="W357" s="29">
        <f>IFERROR(V357/H357,"")</f>
        <v/>
      </c>
      <c r="X357" s="24" t="n"/>
    </row>
    <row r="358" ht="15" customHeight="1">
      <c r="A358" s="63">
        <f>IF(C358="","",IFERROR(IF(SUMPRODUCT(MAX((tbl_Finance[Job Number]=C358&amp;"")*(tbl_Finance[Xero Invoice No]&lt;&gt;"")*tbl_Finance[Date]))=0,"",SUMPRODUCT(MAX((tbl_Finance[Job Number]=C358&amp;"")*(tbl_Finance[Xero Invoice No]&lt;&gt;"")*tbl_Finance[Date]))),""))</f>
        <v/>
      </c>
      <c r="B358" s="25">
        <f>IF(C358="","",IF(COUNTIFS(tbl_Finance[Job Number],C358&amp;"",tbl_Finance[Xero Invoice No],"&lt;&gt;")=0,"",IFERROR(IF(COUNTIFS(tbl_Finance[Job Number],C358&amp;"",tbl_Finance[Xero Invoice No],LOOKUP(2,1/((tbl_Finance[Job Number]=C358&amp;"")*(tbl_Finance[Xero Invoice No]&lt;&gt;"")),tbl_Finance[Xero Invoice No]))=COUNTIFS(tbl_Finance[Job Number],C358&amp;"",tbl_Finance[Xero Invoice No],"&lt;&gt;"),LOOKUP(2,1/((tbl_Finance[Job Number]=C358&amp;"")*(tbl_Finance[Xero Invoice No]&lt;&gt;"")),tbl_Finance[Xero Invoice No]),LOOKUP(2,1/((tbl_Finance[Job Number]=C358&amp;"")*(tbl_Finance[Xero Invoice No]&lt;&gt;"")),tbl_Finance[Xero Invoice No])&amp;" +more"),"")))</f>
        <v/>
      </c>
      <c r="C358" s="24" t="n"/>
      <c r="D358" s="25">
        <f>IF(C358="","",IF(COUNTIF(lst_Jobs,C358&amp;"")&gt;0,"OK","CHECK"))</f>
        <v/>
      </c>
      <c r="E358" s="25">
        <f>IF(C358="","",IFERROR(INDEX(lst_JobName,MATCH(C358&amp;"",lst_Jobs,0)),""))</f>
        <v/>
      </c>
      <c r="F358" s="25">
        <f>IF(C358="","",IFERROR(INDEX(tbl_Finance[Client],MATCH(C358&amp;"",tbl_Finance[Job Number],0)),""))</f>
        <v/>
      </c>
      <c r="G358" s="28">
        <f>IF(C358="","",COUNTIFS(tbl_Finance[Job Number],C358&amp;"",tbl_Finance[Ex GST],"&lt;&gt;"))</f>
        <v/>
      </c>
      <c r="H358" s="27">
        <f>IF(C358="","",SUMIFS(tbl_Finance[Ex GST],tbl_Finance[Job Number],C358&amp;""))</f>
        <v/>
      </c>
      <c r="I358" s="27">
        <f>IF(C358="","",SUMIFS(tbl_Finance[Ex GST],tbl_Finance[Job Number],C358&amp;"",tbl_Finance[Xero Invoice No],"&lt;&gt;"))</f>
        <v/>
      </c>
      <c r="J358" s="27">
        <f>IF(C358="","",H358-I358)</f>
        <v/>
      </c>
      <c r="K358" s="25">
        <f>IF(C358="","",IF(G358=0,"not invoiced yet",SUBSTITUTE(TRIM(IF(COUNTIFS(tbl_Finance[Job Number],C358&amp;"",tbl_Finance[Cost Centre],"ONSITE")&gt;0,"ONSITE ","")&amp;IF(COUNTIFS(tbl_Finance[Job Number],C358&amp;"",tbl_Finance[Cost Centre],"PRODUCTION")&gt;0,"PRODUCTION ","")&amp;IF(COUNTIFS(tbl_Finance[Job Number],C358&amp;"",tbl_Finance[Cost Centre],"VIDEO")&gt;0,"VIDEO ","")&amp;IF(COUNTIFS(tbl_Finance[Job Number],C358&amp;"",tbl_Finance[Cost Centre],"INTEGRATION")&gt;0,"INTEGRATION ","")&amp;IF(COUNTIFS(tbl_Finance[Job Number],C358&amp;"",tbl_Finance[Cost Centre],"CONSULTING")&gt;0,"CONSULTING ","")&amp;IF(COUNTIFS(tbl_Finance[Job Number],C358&amp;"",tbl_Finance[Cost Centre],"CTS")&gt;0,"CTS ",""))," ",", ")))</f>
        <v/>
      </c>
      <c r="L358" s="24" t="n"/>
      <c r="M358" s="25">
        <f>IF(L358="","",HYPERLINK(IF(LEFT(L358,4)="http",L358,set_QwilrBase&amp;L358),"Open quote"))</f>
        <v/>
      </c>
      <c r="N358" s="26" t="n"/>
      <c r="O358" s="26" t="n"/>
      <c r="P358" s="26" t="n"/>
      <c r="Q358" s="25">
        <f>IF(C358="","",IF(N(N358)+N(O358)+N(P358)=0,"Not split",IF(ROUND(N(N358)+N(O358)+N(P358),2)=ROUND(H358,2),"OK","MISMATCH")))</f>
        <v/>
      </c>
      <c r="R358" s="26" t="n"/>
      <c r="S358" s="26" t="n"/>
      <c r="T358" s="26" t="n"/>
      <c r="U358" s="27">
        <f>IF(C358="","",N(R358)+N(S358)+N(T358))</f>
        <v/>
      </c>
      <c r="V358" s="27">
        <f>IF(C358="","",H358-U358)</f>
        <v/>
      </c>
      <c r="W358" s="29">
        <f>IFERROR(V358/H358,"")</f>
        <v/>
      </c>
      <c r="X358" s="24" t="n"/>
    </row>
    <row r="359" ht="15" customHeight="1">
      <c r="A359" s="63">
        <f>IF(C359="","",IFERROR(IF(SUMPRODUCT(MAX((tbl_Finance[Job Number]=C359&amp;"")*(tbl_Finance[Xero Invoice No]&lt;&gt;"")*tbl_Finance[Date]))=0,"",SUMPRODUCT(MAX((tbl_Finance[Job Number]=C359&amp;"")*(tbl_Finance[Xero Invoice No]&lt;&gt;"")*tbl_Finance[Date]))),""))</f>
        <v/>
      </c>
      <c r="B359" s="25">
        <f>IF(C359="","",IF(COUNTIFS(tbl_Finance[Job Number],C359&amp;"",tbl_Finance[Xero Invoice No],"&lt;&gt;")=0,"",IFERROR(IF(COUNTIFS(tbl_Finance[Job Number],C359&amp;"",tbl_Finance[Xero Invoice No],LOOKUP(2,1/((tbl_Finance[Job Number]=C359&amp;"")*(tbl_Finance[Xero Invoice No]&lt;&gt;"")),tbl_Finance[Xero Invoice No]))=COUNTIFS(tbl_Finance[Job Number],C359&amp;"",tbl_Finance[Xero Invoice No],"&lt;&gt;"),LOOKUP(2,1/((tbl_Finance[Job Number]=C359&amp;"")*(tbl_Finance[Xero Invoice No]&lt;&gt;"")),tbl_Finance[Xero Invoice No]),LOOKUP(2,1/((tbl_Finance[Job Number]=C359&amp;"")*(tbl_Finance[Xero Invoice No]&lt;&gt;"")),tbl_Finance[Xero Invoice No])&amp;" +more"),"")))</f>
        <v/>
      </c>
      <c r="C359" s="24" t="n"/>
      <c r="D359" s="25">
        <f>IF(C359="","",IF(COUNTIF(lst_Jobs,C359&amp;"")&gt;0,"OK","CHECK"))</f>
        <v/>
      </c>
      <c r="E359" s="25">
        <f>IF(C359="","",IFERROR(INDEX(lst_JobName,MATCH(C359&amp;"",lst_Jobs,0)),""))</f>
        <v/>
      </c>
      <c r="F359" s="25">
        <f>IF(C359="","",IFERROR(INDEX(tbl_Finance[Client],MATCH(C359&amp;"",tbl_Finance[Job Number],0)),""))</f>
        <v/>
      </c>
      <c r="G359" s="28">
        <f>IF(C359="","",COUNTIFS(tbl_Finance[Job Number],C359&amp;"",tbl_Finance[Ex GST],"&lt;&gt;"))</f>
        <v/>
      </c>
      <c r="H359" s="27">
        <f>IF(C359="","",SUMIFS(tbl_Finance[Ex GST],tbl_Finance[Job Number],C359&amp;""))</f>
        <v/>
      </c>
      <c r="I359" s="27">
        <f>IF(C359="","",SUMIFS(tbl_Finance[Ex GST],tbl_Finance[Job Number],C359&amp;"",tbl_Finance[Xero Invoice No],"&lt;&gt;"))</f>
        <v/>
      </c>
      <c r="J359" s="27">
        <f>IF(C359="","",H359-I359)</f>
        <v/>
      </c>
      <c r="K359" s="25">
        <f>IF(C359="","",IF(G359=0,"not invoiced yet",SUBSTITUTE(TRIM(IF(COUNTIFS(tbl_Finance[Job Number],C359&amp;"",tbl_Finance[Cost Centre],"ONSITE")&gt;0,"ONSITE ","")&amp;IF(COUNTIFS(tbl_Finance[Job Number],C359&amp;"",tbl_Finance[Cost Centre],"PRODUCTION")&gt;0,"PRODUCTION ","")&amp;IF(COUNTIFS(tbl_Finance[Job Number],C359&amp;"",tbl_Finance[Cost Centre],"VIDEO")&gt;0,"VIDEO ","")&amp;IF(COUNTIFS(tbl_Finance[Job Number],C359&amp;"",tbl_Finance[Cost Centre],"INTEGRATION")&gt;0,"INTEGRATION ","")&amp;IF(COUNTIFS(tbl_Finance[Job Number],C359&amp;"",tbl_Finance[Cost Centre],"CONSULTING")&gt;0,"CONSULTING ","")&amp;IF(COUNTIFS(tbl_Finance[Job Number],C359&amp;"",tbl_Finance[Cost Centre],"CTS")&gt;0,"CTS ",""))," ",", ")))</f>
        <v/>
      </c>
      <c r="L359" s="24" t="n"/>
      <c r="M359" s="25">
        <f>IF(L359="","",HYPERLINK(IF(LEFT(L359,4)="http",L359,set_QwilrBase&amp;L359),"Open quote"))</f>
        <v/>
      </c>
      <c r="N359" s="26" t="n"/>
      <c r="O359" s="26" t="n"/>
      <c r="P359" s="26" t="n"/>
      <c r="Q359" s="25">
        <f>IF(C359="","",IF(N(N359)+N(O359)+N(P359)=0,"Not split",IF(ROUND(N(N359)+N(O359)+N(P359),2)=ROUND(H359,2),"OK","MISMATCH")))</f>
        <v/>
      </c>
      <c r="R359" s="26" t="n"/>
      <c r="S359" s="26" t="n"/>
      <c r="T359" s="26" t="n"/>
      <c r="U359" s="27">
        <f>IF(C359="","",N(R359)+N(S359)+N(T359))</f>
        <v/>
      </c>
      <c r="V359" s="27">
        <f>IF(C359="","",H359-U359)</f>
        <v/>
      </c>
      <c r="W359" s="29">
        <f>IFERROR(V359/H359,"")</f>
        <v/>
      </c>
      <c r="X359" s="24" t="n"/>
    </row>
    <row r="360" ht="15" customHeight="1">
      <c r="A360" s="63">
        <f>IF(C360="","",IFERROR(IF(SUMPRODUCT(MAX((tbl_Finance[Job Number]=C360&amp;"")*(tbl_Finance[Xero Invoice No]&lt;&gt;"")*tbl_Finance[Date]))=0,"",SUMPRODUCT(MAX((tbl_Finance[Job Number]=C360&amp;"")*(tbl_Finance[Xero Invoice No]&lt;&gt;"")*tbl_Finance[Date]))),""))</f>
        <v/>
      </c>
      <c r="B360" s="25">
        <f>IF(C360="","",IF(COUNTIFS(tbl_Finance[Job Number],C360&amp;"",tbl_Finance[Xero Invoice No],"&lt;&gt;")=0,"",IFERROR(IF(COUNTIFS(tbl_Finance[Job Number],C360&amp;"",tbl_Finance[Xero Invoice No],LOOKUP(2,1/((tbl_Finance[Job Number]=C360&amp;"")*(tbl_Finance[Xero Invoice No]&lt;&gt;"")),tbl_Finance[Xero Invoice No]))=COUNTIFS(tbl_Finance[Job Number],C360&amp;"",tbl_Finance[Xero Invoice No],"&lt;&gt;"),LOOKUP(2,1/((tbl_Finance[Job Number]=C360&amp;"")*(tbl_Finance[Xero Invoice No]&lt;&gt;"")),tbl_Finance[Xero Invoice No]),LOOKUP(2,1/((tbl_Finance[Job Number]=C360&amp;"")*(tbl_Finance[Xero Invoice No]&lt;&gt;"")),tbl_Finance[Xero Invoice No])&amp;" +more"),"")))</f>
        <v/>
      </c>
      <c r="C360" s="24" t="n"/>
      <c r="D360" s="25">
        <f>IF(C360="","",IF(COUNTIF(lst_Jobs,C360&amp;"")&gt;0,"OK","CHECK"))</f>
        <v/>
      </c>
      <c r="E360" s="25">
        <f>IF(C360="","",IFERROR(INDEX(lst_JobName,MATCH(C360&amp;"",lst_Jobs,0)),""))</f>
        <v/>
      </c>
      <c r="F360" s="25">
        <f>IF(C360="","",IFERROR(INDEX(tbl_Finance[Client],MATCH(C360&amp;"",tbl_Finance[Job Number],0)),""))</f>
        <v/>
      </c>
      <c r="G360" s="28">
        <f>IF(C360="","",COUNTIFS(tbl_Finance[Job Number],C360&amp;"",tbl_Finance[Ex GST],"&lt;&gt;"))</f>
        <v/>
      </c>
      <c r="H360" s="27">
        <f>IF(C360="","",SUMIFS(tbl_Finance[Ex GST],tbl_Finance[Job Number],C360&amp;""))</f>
        <v/>
      </c>
      <c r="I360" s="27">
        <f>IF(C360="","",SUMIFS(tbl_Finance[Ex GST],tbl_Finance[Job Number],C360&amp;"",tbl_Finance[Xero Invoice No],"&lt;&gt;"))</f>
        <v/>
      </c>
      <c r="J360" s="27">
        <f>IF(C360="","",H360-I360)</f>
        <v/>
      </c>
      <c r="K360" s="25">
        <f>IF(C360="","",IF(G360=0,"not invoiced yet",SUBSTITUTE(TRIM(IF(COUNTIFS(tbl_Finance[Job Number],C360&amp;"",tbl_Finance[Cost Centre],"ONSITE")&gt;0,"ONSITE ","")&amp;IF(COUNTIFS(tbl_Finance[Job Number],C360&amp;"",tbl_Finance[Cost Centre],"PRODUCTION")&gt;0,"PRODUCTION ","")&amp;IF(COUNTIFS(tbl_Finance[Job Number],C360&amp;"",tbl_Finance[Cost Centre],"VIDEO")&gt;0,"VIDEO ","")&amp;IF(COUNTIFS(tbl_Finance[Job Number],C360&amp;"",tbl_Finance[Cost Centre],"INTEGRATION")&gt;0,"INTEGRATION ","")&amp;IF(COUNTIFS(tbl_Finance[Job Number],C360&amp;"",tbl_Finance[Cost Centre],"CONSULTING")&gt;0,"CONSULTING ","")&amp;IF(COUNTIFS(tbl_Finance[Job Number],C360&amp;"",tbl_Finance[Cost Centre],"CTS")&gt;0,"CTS ",""))," ",", ")))</f>
        <v/>
      </c>
      <c r="L360" s="24" t="n"/>
      <c r="M360" s="25">
        <f>IF(L360="","",HYPERLINK(IF(LEFT(L360,4)="http",L360,set_QwilrBase&amp;L360),"Open quote"))</f>
        <v/>
      </c>
      <c r="N360" s="26" t="n"/>
      <c r="O360" s="26" t="n"/>
      <c r="P360" s="26" t="n"/>
      <c r="Q360" s="25">
        <f>IF(C360="","",IF(N(N360)+N(O360)+N(P360)=0,"Not split",IF(ROUND(N(N360)+N(O360)+N(P360),2)=ROUND(H360,2),"OK","MISMATCH")))</f>
        <v/>
      </c>
      <c r="R360" s="26" t="n"/>
      <c r="S360" s="26" t="n"/>
      <c r="T360" s="26" t="n"/>
      <c r="U360" s="27">
        <f>IF(C360="","",N(R360)+N(S360)+N(T360))</f>
        <v/>
      </c>
      <c r="V360" s="27">
        <f>IF(C360="","",H360-U360)</f>
        <v/>
      </c>
      <c r="W360" s="29">
        <f>IFERROR(V360/H360,"")</f>
        <v/>
      </c>
      <c r="X360" s="24" t="n"/>
    </row>
    <row r="361" ht="15" customHeight="1">
      <c r="A361" s="63">
        <f>IF(C361="","",IFERROR(IF(SUMPRODUCT(MAX((tbl_Finance[Job Number]=C361&amp;"")*(tbl_Finance[Xero Invoice No]&lt;&gt;"")*tbl_Finance[Date]))=0,"",SUMPRODUCT(MAX((tbl_Finance[Job Number]=C361&amp;"")*(tbl_Finance[Xero Invoice No]&lt;&gt;"")*tbl_Finance[Date]))),""))</f>
        <v/>
      </c>
      <c r="B361" s="25">
        <f>IF(C361="","",IF(COUNTIFS(tbl_Finance[Job Number],C361&amp;"",tbl_Finance[Xero Invoice No],"&lt;&gt;")=0,"",IFERROR(IF(COUNTIFS(tbl_Finance[Job Number],C361&amp;"",tbl_Finance[Xero Invoice No],LOOKUP(2,1/((tbl_Finance[Job Number]=C361&amp;"")*(tbl_Finance[Xero Invoice No]&lt;&gt;"")),tbl_Finance[Xero Invoice No]))=COUNTIFS(tbl_Finance[Job Number],C361&amp;"",tbl_Finance[Xero Invoice No],"&lt;&gt;"),LOOKUP(2,1/((tbl_Finance[Job Number]=C361&amp;"")*(tbl_Finance[Xero Invoice No]&lt;&gt;"")),tbl_Finance[Xero Invoice No]),LOOKUP(2,1/((tbl_Finance[Job Number]=C361&amp;"")*(tbl_Finance[Xero Invoice No]&lt;&gt;"")),tbl_Finance[Xero Invoice No])&amp;" +more"),"")))</f>
        <v/>
      </c>
      <c r="C361" s="24" t="n"/>
      <c r="D361" s="25">
        <f>IF(C361="","",IF(COUNTIF(lst_Jobs,C361&amp;"")&gt;0,"OK","CHECK"))</f>
        <v/>
      </c>
      <c r="E361" s="25">
        <f>IF(C361="","",IFERROR(INDEX(lst_JobName,MATCH(C361&amp;"",lst_Jobs,0)),""))</f>
        <v/>
      </c>
      <c r="F361" s="25">
        <f>IF(C361="","",IFERROR(INDEX(tbl_Finance[Client],MATCH(C361&amp;"",tbl_Finance[Job Number],0)),""))</f>
        <v/>
      </c>
      <c r="G361" s="28">
        <f>IF(C361="","",COUNTIFS(tbl_Finance[Job Number],C361&amp;"",tbl_Finance[Ex GST],"&lt;&gt;"))</f>
        <v/>
      </c>
      <c r="H361" s="27">
        <f>IF(C361="","",SUMIFS(tbl_Finance[Ex GST],tbl_Finance[Job Number],C361&amp;""))</f>
        <v/>
      </c>
      <c r="I361" s="27">
        <f>IF(C361="","",SUMIFS(tbl_Finance[Ex GST],tbl_Finance[Job Number],C361&amp;"",tbl_Finance[Xero Invoice No],"&lt;&gt;"))</f>
        <v/>
      </c>
      <c r="J361" s="27">
        <f>IF(C361="","",H361-I361)</f>
        <v/>
      </c>
      <c r="K361" s="25">
        <f>IF(C361="","",IF(G361=0,"not invoiced yet",SUBSTITUTE(TRIM(IF(COUNTIFS(tbl_Finance[Job Number],C361&amp;"",tbl_Finance[Cost Centre],"ONSITE")&gt;0,"ONSITE ","")&amp;IF(COUNTIFS(tbl_Finance[Job Number],C361&amp;"",tbl_Finance[Cost Centre],"PRODUCTION")&gt;0,"PRODUCTION ","")&amp;IF(COUNTIFS(tbl_Finance[Job Number],C361&amp;"",tbl_Finance[Cost Centre],"VIDEO")&gt;0,"VIDEO ","")&amp;IF(COUNTIFS(tbl_Finance[Job Number],C361&amp;"",tbl_Finance[Cost Centre],"INTEGRATION")&gt;0,"INTEGRATION ","")&amp;IF(COUNTIFS(tbl_Finance[Job Number],C361&amp;"",tbl_Finance[Cost Centre],"CONSULTING")&gt;0,"CONSULTING ","")&amp;IF(COUNTIFS(tbl_Finance[Job Number],C361&amp;"",tbl_Finance[Cost Centre],"CTS")&gt;0,"CTS ",""))," ",", ")))</f>
        <v/>
      </c>
      <c r="L361" s="24" t="n"/>
      <c r="M361" s="25">
        <f>IF(L361="","",HYPERLINK(IF(LEFT(L361,4)="http",L361,set_QwilrBase&amp;L361),"Open quote"))</f>
        <v/>
      </c>
      <c r="N361" s="26" t="n"/>
      <c r="O361" s="26" t="n"/>
      <c r="P361" s="26" t="n"/>
      <c r="Q361" s="25">
        <f>IF(C361="","",IF(N(N361)+N(O361)+N(P361)=0,"Not split",IF(ROUND(N(N361)+N(O361)+N(P361),2)=ROUND(H361,2),"OK","MISMATCH")))</f>
        <v/>
      </c>
      <c r="R361" s="26" t="n"/>
      <c r="S361" s="26" t="n"/>
      <c r="T361" s="26" t="n"/>
      <c r="U361" s="27">
        <f>IF(C361="","",N(R361)+N(S361)+N(T361))</f>
        <v/>
      </c>
      <c r="V361" s="27">
        <f>IF(C361="","",H361-U361)</f>
        <v/>
      </c>
      <c r="W361" s="29">
        <f>IFERROR(V361/H361,"")</f>
        <v/>
      </c>
      <c r="X361" s="24" t="n"/>
    </row>
    <row r="362" ht="15" customHeight="1">
      <c r="A362" s="63">
        <f>IF(C362="","",IFERROR(IF(SUMPRODUCT(MAX((tbl_Finance[Job Number]=C362&amp;"")*(tbl_Finance[Xero Invoice No]&lt;&gt;"")*tbl_Finance[Date]))=0,"",SUMPRODUCT(MAX((tbl_Finance[Job Number]=C362&amp;"")*(tbl_Finance[Xero Invoice No]&lt;&gt;"")*tbl_Finance[Date]))),""))</f>
        <v/>
      </c>
      <c r="B362" s="25">
        <f>IF(C362="","",IF(COUNTIFS(tbl_Finance[Job Number],C362&amp;"",tbl_Finance[Xero Invoice No],"&lt;&gt;")=0,"",IFERROR(IF(COUNTIFS(tbl_Finance[Job Number],C362&amp;"",tbl_Finance[Xero Invoice No],LOOKUP(2,1/((tbl_Finance[Job Number]=C362&amp;"")*(tbl_Finance[Xero Invoice No]&lt;&gt;"")),tbl_Finance[Xero Invoice No]))=COUNTIFS(tbl_Finance[Job Number],C362&amp;"",tbl_Finance[Xero Invoice No],"&lt;&gt;"),LOOKUP(2,1/((tbl_Finance[Job Number]=C362&amp;"")*(tbl_Finance[Xero Invoice No]&lt;&gt;"")),tbl_Finance[Xero Invoice No]),LOOKUP(2,1/((tbl_Finance[Job Number]=C362&amp;"")*(tbl_Finance[Xero Invoice No]&lt;&gt;"")),tbl_Finance[Xero Invoice No])&amp;" +more"),"")))</f>
        <v/>
      </c>
      <c r="C362" s="24" t="n"/>
      <c r="D362" s="25">
        <f>IF(C362="","",IF(COUNTIF(lst_Jobs,C362&amp;"")&gt;0,"OK","CHECK"))</f>
        <v/>
      </c>
      <c r="E362" s="25">
        <f>IF(C362="","",IFERROR(INDEX(lst_JobName,MATCH(C362&amp;"",lst_Jobs,0)),""))</f>
        <v/>
      </c>
      <c r="F362" s="25">
        <f>IF(C362="","",IFERROR(INDEX(tbl_Finance[Client],MATCH(C362&amp;"",tbl_Finance[Job Number],0)),""))</f>
        <v/>
      </c>
      <c r="G362" s="28">
        <f>IF(C362="","",COUNTIFS(tbl_Finance[Job Number],C362&amp;"",tbl_Finance[Ex GST],"&lt;&gt;"))</f>
        <v/>
      </c>
      <c r="H362" s="27">
        <f>IF(C362="","",SUMIFS(tbl_Finance[Ex GST],tbl_Finance[Job Number],C362&amp;""))</f>
        <v/>
      </c>
      <c r="I362" s="27">
        <f>IF(C362="","",SUMIFS(tbl_Finance[Ex GST],tbl_Finance[Job Number],C362&amp;"",tbl_Finance[Xero Invoice No],"&lt;&gt;"))</f>
        <v/>
      </c>
      <c r="J362" s="27">
        <f>IF(C362="","",H362-I362)</f>
        <v/>
      </c>
      <c r="K362" s="25">
        <f>IF(C362="","",IF(G362=0,"not invoiced yet",SUBSTITUTE(TRIM(IF(COUNTIFS(tbl_Finance[Job Number],C362&amp;"",tbl_Finance[Cost Centre],"ONSITE")&gt;0,"ONSITE ","")&amp;IF(COUNTIFS(tbl_Finance[Job Number],C362&amp;"",tbl_Finance[Cost Centre],"PRODUCTION")&gt;0,"PRODUCTION ","")&amp;IF(COUNTIFS(tbl_Finance[Job Number],C362&amp;"",tbl_Finance[Cost Centre],"VIDEO")&gt;0,"VIDEO ","")&amp;IF(COUNTIFS(tbl_Finance[Job Number],C362&amp;"",tbl_Finance[Cost Centre],"INTEGRATION")&gt;0,"INTEGRATION ","")&amp;IF(COUNTIFS(tbl_Finance[Job Number],C362&amp;"",tbl_Finance[Cost Centre],"CONSULTING")&gt;0,"CONSULTING ","")&amp;IF(COUNTIFS(tbl_Finance[Job Number],C362&amp;"",tbl_Finance[Cost Centre],"CTS")&gt;0,"CTS ",""))," ",", ")))</f>
        <v/>
      </c>
      <c r="L362" s="24" t="n"/>
      <c r="M362" s="25">
        <f>IF(L362="","",HYPERLINK(IF(LEFT(L362,4)="http",L362,set_QwilrBase&amp;L362),"Open quote"))</f>
        <v/>
      </c>
      <c r="N362" s="26" t="n"/>
      <c r="O362" s="26" t="n"/>
      <c r="P362" s="26" t="n"/>
      <c r="Q362" s="25">
        <f>IF(C362="","",IF(N(N362)+N(O362)+N(P362)=0,"Not split",IF(ROUND(N(N362)+N(O362)+N(P362),2)=ROUND(H362,2),"OK","MISMATCH")))</f>
        <v/>
      </c>
      <c r="R362" s="26" t="n"/>
      <c r="S362" s="26" t="n"/>
      <c r="T362" s="26" t="n"/>
      <c r="U362" s="27">
        <f>IF(C362="","",N(R362)+N(S362)+N(T362))</f>
        <v/>
      </c>
      <c r="V362" s="27">
        <f>IF(C362="","",H362-U362)</f>
        <v/>
      </c>
      <c r="W362" s="29">
        <f>IFERROR(V362/H362,"")</f>
        <v/>
      </c>
      <c r="X362" s="24" t="n"/>
    </row>
    <row r="363" ht="15" customHeight="1">
      <c r="A363" s="63">
        <f>IF(C363="","",IFERROR(IF(SUMPRODUCT(MAX((tbl_Finance[Job Number]=C363&amp;"")*(tbl_Finance[Xero Invoice No]&lt;&gt;"")*tbl_Finance[Date]))=0,"",SUMPRODUCT(MAX((tbl_Finance[Job Number]=C363&amp;"")*(tbl_Finance[Xero Invoice No]&lt;&gt;"")*tbl_Finance[Date]))),""))</f>
        <v/>
      </c>
      <c r="B363" s="25">
        <f>IF(C363="","",IF(COUNTIFS(tbl_Finance[Job Number],C363&amp;"",tbl_Finance[Xero Invoice No],"&lt;&gt;")=0,"",IFERROR(IF(COUNTIFS(tbl_Finance[Job Number],C363&amp;"",tbl_Finance[Xero Invoice No],LOOKUP(2,1/((tbl_Finance[Job Number]=C363&amp;"")*(tbl_Finance[Xero Invoice No]&lt;&gt;"")),tbl_Finance[Xero Invoice No]))=COUNTIFS(tbl_Finance[Job Number],C363&amp;"",tbl_Finance[Xero Invoice No],"&lt;&gt;"),LOOKUP(2,1/((tbl_Finance[Job Number]=C363&amp;"")*(tbl_Finance[Xero Invoice No]&lt;&gt;"")),tbl_Finance[Xero Invoice No]),LOOKUP(2,1/((tbl_Finance[Job Number]=C363&amp;"")*(tbl_Finance[Xero Invoice No]&lt;&gt;"")),tbl_Finance[Xero Invoice No])&amp;" +more"),"")))</f>
        <v/>
      </c>
      <c r="C363" s="24" t="n"/>
      <c r="D363" s="25">
        <f>IF(C363="","",IF(COUNTIF(lst_Jobs,C363&amp;"")&gt;0,"OK","CHECK"))</f>
        <v/>
      </c>
      <c r="E363" s="25">
        <f>IF(C363="","",IFERROR(INDEX(lst_JobName,MATCH(C363&amp;"",lst_Jobs,0)),""))</f>
        <v/>
      </c>
      <c r="F363" s="25">
        <f>IF(C363="","",IFERROR(INDEX(tbl_Finance[Client],MATCH(C363&amp;"",tbl_Finance[Job Number],0)),""))</f>
        <v/>
      </c>
      <c r="G363" s="28">
        <f>IF(C363="","",COUNTIFS(tbl_Finance[Job Number],C363&amp;"",tbl_Finance[Ex GST],"&lt;&gt;"))</f>
        <v/>
      </c>
      <c r="H363" s="27">
        <f>IF(C363="","",SUMIFS(tbl_Finance[Ex GST],tbl_Finance[Job Number],C363&amp;""))</f>
        <v/>
      </c>
      <c r="I363" s="27">
        <f>IF(C363="","",SUMIFS(tbl_Finance[Ex GST],tbl_Finance[Job Number],C363&amp;"",tbl_Finance[Xero Invoice No],"&lt;&gt;"))</f>
        <v/>
      </c>
      <c r="J363" s="27">
        <f>IF(C363="","",H363-I363)</f>
        <v/>
      </c>
      <c r="K363" s="25">
        <f>IF(C363="","",IF(G363=0,"not invoiced yet",SUBSTITUTE(TRIM(IF(COUNTIFS(tbl_Finance[Job Number],C363&amp;"",tbl_Finance[Cost Centre],"ONSITE")&gt;0,"ONSITE ","")&amp;IF(COUNTIFS(tbl_Finance[Job Number],C363&amp;"",tbl_Finance[Cost Centre],"PRODUCTION")&gt;0,"PRODUCTION ","")&amp;IF(COUNTIFS(tbl_Finance[Job Number],C363&amp;"",tbl_Finance[Cost Centre],"VIDEO")&gt;0,"VIDEO ","")&amp;IF(COUNTIFS(tbl_Finance[Job Number],C363&amp;"",tbl_Finance[Cost Centre],"INTEGRATION")&gt;0,"INTEGRATION ","")&amp;IF(COUNTIFS(tbl_Finance[Job Number],C363&amp;"",tbl_Finance[Cost Centre],"CONSULTING")&gt;0,"CONSULTING ","")&amp;IF(COUNTIFS(tbl_Finance[Job Number],C363&amp;"",tbl_Finance[Cost Centre],"CTS")&gt;0,"CTS ",""))," ",", ")))</f>
        <v/>
      </c>
      <c r="L363" s="24" t="n"/>
      <c r="M363" s="25">
        <f>IF(L363="","",HYPERLINK(IF(LEFT(L363,4)="http",L363,set_QwilrBase&amp;L363),"Open quote"))</f>
        <v/>
      </c>
      <c r="N363" s="26" t="n"/>
      <c r="O363" s="26" t="n"/>
      <c r="P363" s="26" t="n"/>
      <c r="Q363" s="25">
        <f>IF(C363="","",IF(N(N363)+N(O363)+N(P363)=0,"Not split",IF(ROUND(N(N363)+N(O363)+N(P363),2)=ROUND(H363,2),"OK","MISMATCH")))</f>
        <v/>
      </c>
      <c r="R363" s="26" t="n"/>
      <c r="S363" s="26" t="n"/>
      <c r="T363" s="26" t="n"/>
      <c r="U363" s="27">
        <f>IF(C363="","",N(R363)+N(S363)+N(T363))</f>
        <v/>
      </c>
      <c r="V363" s="27">
        <f>IF(C363="","",H363-U363)</f>
        <v/>
      </c>
      <c r="W363" s="29">
        <f>IFERROR(V363/H363,"")</f>
        <v/>
      </c>
      <c r="X363" s="24" t="n"/>
    </row>
    <row r="364" ht="15" customHeight="1">
      <c r="A364" s="63">
        <f>IF(C364="","",IFERROR(IF(SUMPRODUCT(MAX((tbl_Finance[Job Number]=C364&amp;"")*(tbl_Finance[Xero Invoice No]&lt;&gt;"")*tbl_Finance[Date]))=0,"",SUMPRODUCT(MAX((tbl_Finance[Job Number]=C364&amp;"")*(tbl_Finance[Xero Invoice No]&lt;&gt;"")*tbl_Finance[Date]))),""))</f>
        <v/>
      </c>
      <c r="B364" s="25">
        <f>IF(C364="","",IF(COUNTIFS(tbl_Finance[Job Number],C364&amp;"",tbl_Finance[Xero Invoice No],"&lt;&gt;")=0,"",IFERROR(IF(COUNTIFS(tbl_Finance[Job Number],C364&amp;"",tbl_Finance[Xero Invoice No],LOOKUP(2,1/((tbl_Finance[Job Number]=C364&amp;"")*(tbl_Finance[Xero Invoice No]&lt;&gt;"")),tbl_Finance[Xero Invoice No]))=COUNTIFS(tbl_Finance[Job Number],C364&amp;"",tbl_Finance[Xero Invoice No],"&lt;&gt;"),LOOKUP(2,1/((tbl_Finance[Job Number]=C364&amp;"")*(tbl_Finance[Xero Invoice No]&lt;&gt;"")),tbl_Finance[Xero Invoice No]),LOOKUP(2,1/((tbl_Finance[Job Number]=C364&amp;"")*(tbl_Finance[Xero Invoice No]&lt;&gt;"")),tbl_Finance[Xero Invoice No])&amp;" +more"),"")))</f>
        <v/>
      </c>
      <c r="C364" s="24" t="n"/>
      <c r="D364" s="25">
        <f>IF(C364="","",IF(COUNTIF(lst_Jobs,C364&amp;"")&gt;0,"OK","CHECK"))</f>
        <v/>
      </c>
      <c r="E364" s="25">
        <f>IF(C364="","",IFERROR(INDEX(lst_JobName,MATCH(C364&amp;"",lst_Jobs,0)),""))</f>
        <v/>
      </c>
      <c r="F364" s="25">
        <f>IF(C364="","",IFERROR(INDEX(tbl_Finance[Client],MATCH(C364&amp;"",tbl_Finance[Job Number],0)),""))</f>
        <v/>
      </c>
      <c r="G364" s="28">
        <f>IF(C364="","",COUNTIFS(tbl_Finance[Job Number],C364&amp;"",tbl_Finance[Ex GST],"&lt;&gt;"))</f>
        <v/>
      </c>
      <c r="H364" s="27">
        <f>IF(C364="","",SUMIFS(tbl_Finance[Ex GST],tbl_Finance[Job Number],C364&amp;""))</f>
        <v/>
      </c>
      <c r="I364" s="27">
        <f>IF(C364="","",SUMIFS(tbl_Finance[Ex GST],tbl_Finance[Job Number],C364&amp;"",tbl_Finance[Xero Invoice No],"&lt;&gt;"))</f>
        <v/>
      </c>
      <c r="J364" s="27">
        <f>IF(C364="","",H364-I364)</f>
        <v/>
      </c>
      <c r="K364" s="25">
        <f>IF(C364="","",IF(G364=0,"not invoiced yet",SUBSTITUTE(TRIM(IF(COUNTIFS(tbl_Finance[Job Number],C364&amp;"",tbl_Finance[Cost Centre],"ONSITE")&gt;0,"ONSITE ","")&amp;IF(COUNTIFS(tbl_Finance[Job Number],C364&amp;"",tbl_Finance[Cost Centre],"PRODUCTION")&gt;0,"PRODUCTION ","")&amp;IF(COUNTIFS(tbl_Finance[Job Number],C364&amp;"",tbl_Finance[Cost Centre],"VIDEO")&gt;0,"VIDEO ","")&amp;IF(COUNTIFS(tbl_Finance[Job Number],C364&amp;"",tbl_Finance[Cost Centre],"INTEGRATION")&gt;0,"INTEGRATION ","")&amp;IF(COUNTIFS(tbl_Finance[Job Number],C364&amp;"",tbl_Finance[Cost Centre],"CONSULTING")&gt;0,"CONSULTING ","")&amp;IF(COUNTIFS(tbl_Finance[Job Number],C364&amp;"",tbl_Finance[Cost Centre],"CTS")&gt;0,"CTS ",""))," ",", ")))</f>
        <v/>
      </c>
      <c r="L364" s="24" t="n"/>
      <c r="M364" s="25">
        <f>IF(L364="","",HYPERLINK(IF(LEFT(L364,4)="http",L364,set_QwilrBase&amp;L364),"Open quote"))</f>
        <v/>
      </c>
      <c r="N364" s="26" t="n"/>
      <c r="O364" s="26" t="n"/>
      <c r="P364" s="26" t="n"/>
      <c r="Q364" s="25">
        <f>IF(C364="","",IF(N(N364)+N(O364)+N(P364)=0,"Not split",IF(ROUND(N(N364)+N(O364)+N(P364),2)=ROUND(H364,2),"OK","MISMATCH")))</f>
        <v/>
      </c>
      <c r="R364" s="26" t="n"/>
      <c r="S364" s="26" t="n"/>
      <c r="T364" s="26" t="n"/>
      <c r="U364" s="27">
        <f>IF(C364="","",N(R364)+N(S364)+N(T364))</f>
        <v/>
      </c>
      <c r="V364" s="27">
        <f>IF(C364="","",H364-U364)</f>
        <v/>
      </c>
      <c r="W364" s="29">
        <f>IFERROR(V364/H364,"")</f>
        <v/>
      </c>
      <c r="X364" s="24" t="n"/>
    </row>
    <row r="365" ht="15" customHeight="1">
      <c r="A365" s="63">
        <f>IF(C365="","",IFERROR(IF(SUMPRODUCT(MAX((tbl_Finance[Job Number]=C365&amp;"")*(tbl_Finance[Xero Invoice No]&lt;&gt;"")*tbl_Finance[Date]))=0,"",SUMPRODUCT(MAX((tbl_Finance[Job Number]=C365&amp;"")*(tbl_Finance[Xero Invoice No]&lt;&gt;"")*tbl_Finance[Date]))),""))</f>
        <v/>
      </c>
      <c r="B365" s="25">
        <f>IF(C365="","",IF(COUNTIFS(tbl_Finance[Job Number],C365&amp;"",tbl_Finance[Xero Invoice No],"&lt;&gt;")=0,"",IFERROR(IF(COUNTIFS(tbl_Finance[Job Number],C365&amp;"",tbl_Finance[Xero Invoice No],LOOKUP(2,1/((tbl_Finance[Job Number]=C365&amp;"")*(tbl_Finance[Xero Invoice No]&lt;&gt;"")),tbl_Finance[Xero Invoice No]))=COUNTIFS(tbl_Finance[Job Number],C365&amp;"",tbl_Finance[Xero Invoice No],"&lt;&gt;"),LOOKUP(2,1/((tbl_Finance[Job Number]=C365&amp;"")*(tbl_Finance[Xero Invoice No]&lt;&gt;"")),tbl_Finance[Xero Invoice No]),LOOKUP(2,1/((tbl_Finance[Job Number]=C365&amp;"")*(tbl_Finance[Xero Invoice No]&lt;&gt;"")),tbl_Finance[Xero Invoice No])&amp;" +more"),"")))</f>
        <v/>
      </c>
      <c r="C365" s="24" t="n"/>
      <c r="D365" s="25">
        <f>IF(C365="","",IF(COUNTIF(lst_Jobs,C365&amp;"")&gt;0,"OK","CHECK"))</f>
        <v/>
      </c>
      <c r="E365" s="25">
        <f>IF(C365="","",IFERROR(INDEX(lst_JobName,MATCH(C365&amp;"",lst_Jobs,0)),""))</f>
        <v/>
      </c>
      <c r="F365" s="25">
        <f>IF(C365="","",IFERROR(INDEX(tbl_Finance[Client],MATCH(C365&amp;"",tbl_Finance[Job Number],0)),""))</f>
        <v/>
      </c>
      <c r="G365" s="28">
        <f>IF(C365="","",COUNTIFS(tbl_Finance[Job Number],C365&amp;"",tbl_Finance[Ex GST],"&lt;&gt;"))</f>
        <v/>
      </c>
      <c r="H365" s="27">
        <f>IF(C365="","",SUMIFS(tbl_Finance[Ex GST],tbl_Finance[Job Number],C365&amp;""))</f>
        <v/>
      </c>
      <c r="I365" s="27">
        <f>IF(C365="","",SUMIFS(tbl_Finance[Ex GST],tbl_Finance[Job Number],C365&amp;"",tbl_Finance[Xero Invoice No],"&lt;&gt;"))</f>
        <v/>
      </c>
      <c r="J365" s="27">
        <f>IF(C365="","",H365-I365)</f>
        <v/>
      </c>
      <c r="K365" s="25">
        <f>IF(C365="","",IF(G365=0,"not invoiced yet",SUBSTITUTE(TRIM(IF(COUNTIFS(tbl_Finance[Job Number],C365&amp;"",tbl_Finance[Cost Centre],"ONSITE")&gt;0,"ONSITE ","")&amp;IF(COUNTIFS(tbl_Finance[Job Number],C365&amp;"",tbl_Finance[Cost Centre],"PRODUCTION")&gt;0,"PRODUCTION ","")&amp;IF(COUNTIFS(tbl_Finance[Job Number],C365&amp;"",tbl_Finance[Cost Centre],"VIDEO")&gt;0,"VIDEO ","")&amp;IF(COUNTIFS(tbl_Finance[Job Number],C365&amp;"",tbl_Finance[Cost Centre],"INTEGRATION")&gt;0,"INTEGRATION ","")&amp;IF(COUNTIFS(tbl_Finance[Job Number],C365&amp;"",tbl_Finance[Cost Centre],"CONSULTING")&gt;0,"CONSULTING ","")&amp;IF(COUNTIFS(tbl_Finance[Job Number],C365&amp;"",tbl_Finance[Cost Centre],"CTS")&gt;0,"CTS ",""))," ",", ")))</f>
        <v/>
      </c>
      <c r="L365" s="24" t="n"/>
      <c r="M365" s="25">
        <f>IF(L365="","",HYPERLINK(IF(LEFT(L365,4)="http",L365,set_QwilrBase&amp;L365),"Open quote"))</f>
        <v/>
      </c>
      <c r="N365" s="26" t="n"/>
      <c r="O365" s="26" t="n"/>
      <c r="P365" s="26" t="n"/>
      <c r="Q365" s="25">
        <f>IF(C365="","",IF(N(N365)+N(O365)+N(P365)=0,"Not split",IF(ROUND(N(N365)+N(O365)+N(P365),2)=ROUND(H365,2),"OK","MISMATCH")))</f>
        <v/>
      </c>
      <c r="R365" s="26" t="n"/>
      <c r="S365" s="26" t="n"/>
      <c r="T365" s="26" t="n"/>
      <c r="U365" s="27">
        <f>IF(C365="","",N(R365)+N(S365)+N(T365))</f>
        <v/>
      </c>
      <c r="V365" s="27">
        <f>IF(C365="","",H365-U365)</f>
        <v/>
      </c>
      <c r="W365" s="29">
        <f>IFERROR(V365/H365,"")</f>
        <v/>
      </c>
      <c r="X365" s="24" t="n"/>
    </row>
    <row r="366" ht="15" customHeight="1">
      <c r="A366" s="63">
        <f>IF(C366="","",IFERROR(IF(SUMPRODUCT(MAX((tbl_Finance[Job Number]=C366&amp;"")*(tbl_Finance[Xero Invoice No]&lt;&gt;"")*tbl_Finance[Date]))=0,"",SUMPRODUCT(MAX((tbl_Finance[Job Number]=C366&amp;"")*(tbl_Finance[Xero Invoice No]&lt;&gt;"")*tbl_Finance[Date]))),""))</f>
        <v/>
      </c>
      <c r="B366" s="25">
        <f>IF(C366="","",IF(COUNTIFS(tbl_Finance[Job Number],C366&amp;"",tbl_Finance[Xero Invoice No],"&lt;&gt;")=0,"",IFERROR(IF(COUNTIFS(tbl_Finance[Job Number],C366&amp;"",tbl_Finance[Xero Invoice No],LOOKUP(2,1/((tbl_Finance[Job Number]=C366&amp;"")*(tbl_Finance[Xero Invoice No]&lt;&gt;"")),tbl_Finance[Xero Invoice No]))=COUNTIFS(tbl_Finance[Job Number],C366&amp;"",tbl_Finance[Xero Invoice No],"&lt;&gt;"),LOOKUP(2,1/((tbl_Finance[Job Number]=C366&amp;"")*(tbl_Finance[Xero Invoice No]&lt;&gt;"")),tbl_Finance[Xero Invoice No]),LOOKUP(2,1/((tbl_Finance[Job Number]=C366&amp;"")*(tbl_Finance[Xero Invoice No]&lt;&gt;"")),tbl_Finance[Xero Invoice No])&amp;" +more"),"")))</f>
        <v/>
      </c>
      <c r="C366" s="24" t="n"/>
      <c r="D366" s="25">
        <f>IF(C366="","",IF(COUNTIF(lst_Jobs,C366&amp;"")&gt;0,"OK","CHECK"))</f>
        <v/>
      </c>
      <c r="E366" s="25">
        <f>IF(C366="","",IFERROR(INDEX(lst_JobName,MATCH(C366&amp;"",lst_Jobs,0)),""))</f>
        <v/>
      </c>
      <c r="F366" s="25">
        <f>IF(C366="","",IFERROR(INDEX(tbl_Finance[Client],MATCH(C366&amp;"",tbl_Finance[Job Number],0)),""))</f>
        <v/>
      </c>
      <c r="G366" s="28">
        <f>IF(C366="","",COUNTIFS(tbl_Finance[Job Number],C366&amp;"",tbl_Finance[Ex GST],"&lt;&gt;"))</f>
        <v/>
      </c>
      <c r="H366" s="27">
        <f>IF(C366="","",SUMIFS(tbl_Finance[Ex GST],tbl_Finance[Job Number],C366&amp;""))</f>
        <v/>
      </c>
      <c r="I366" s="27">
        <f>IF(C366="","",SUMIFS(tbl_Finance[Ex GST],tbl_Finance[Job Number],C366&amp;"",tbl_Finance[Xero Invoice No],"&lt;&gt;"))</f>
        <v/>
      </c>
      <c r="J366" s="27">
        <f>IF(C366="","",H366-I366)</f>
        <v/>
      </c>
      <c r="K366" s="25">
        <f>IF(C366="","",IF(G366=0,"not invoiced yet",SUBSTITUTE(TRIM(IF(COUNTIFS(tbl_Finance[Job Number],C366&amp;"",tbl_Finance[Cost Centre],"ONSITE")&gt;0,"ONSITE ","")&amp;IF(COUNTIFS(tbl_Finance[Job Number],C366&amp;"",tbl_Finance[Cost Centre],"PRODUCTION")&gt;0,"PRODUCTION ","")&amp;IF(COUNTIFS(tbl_Finance[Job Number],C366&amp;"",tbl_Finance[Cost Centre],"VIDEO")&gt;0,"VIDEO ","")&amp;IF(COUNTIFS(tbl_Finance[Job Number],C366&amp;"",tbl_Finance[Cost Centre],"INTEGRATION")&gt;0,"INTEGRATION ","")&amp;IF(COUNTIFS(tbl_Finance[Job Number],C366&amp;"",tbl_Finance[Cost Centre],"CONSULTING")&gt;0,"CONSULTING ","")&amp;IF(COUNTIFS(tbl_Finance[Job Number],C366&amp;"",tbl_Finance[Cost Centre],"CTS")&gt;0,"CTS ",""))," ",", ")))</f>
        <v/>
      </c>
      <c r="L366" s="24" t="n"/>
      <c r="M366" s="25">
        <f>IF(L366="","",HYPERLINK(IF(LEFT(L366,4)="http",L366,set_QwilrBase&amp;L366),"Open quote"))</f>
        <v/>
      </c>
      <c r="N366" s="26" t="n"/>
      <c r="O366" s="26" t="n"/>
      <c r="P366" s="26" t="n"/>
      <c r="Q366" s="25">
        <f>IF(C366="","",IF(N(N366)+N(O366)+N(P366)=0,"Not split",IF(ROUND(N(N366)+N(O366)+N(P366),2)=ROUND(H366,2),"OK","MISMATCH")))</f>
        <v/>
      </c>
      <c r="R366" s="26" t="n"/>
      <c r="S366" s="26" t="n"/>
      <c r="T366" s="26" t="n"/>
      <c r="U366" s="27">
        <f>IF(C366="","",N(R366)+N(S366)+N(T366))</f>
        <v/>
      </c>
      <c r="V366" s="27">
        <f>IF(C366="","",H366-U366)</f>
        <v/>
      </c>
      <c r="W366" s="29">
        <f>IFERROR(V366/H366,"")</f>
        <v/>
      </c>
      <c r="X366" s="24" t="n"/>
    </row>
    <row r="367" ht="15" customHeight="1">
      <c r="A367" s="63">
        <f>IF(C367="","",IFERROR(IF(SUMPRODUCT(MAX((tbl_Finance[Job Number]=C367&amp;"")*(tbl_Finance[Xero Invoice No]&lt;&gt;"")*tbl_Finance[Date]))=0,"",SUMPRODUCT(MAX((tbl_Finance[Job Number]=C367&amp;"")*(tbl_Finance[Xero Invoice No]&lt;&gt;"")*tbl_Finance[Date]))),""))</f>
        <v/>
      </c>
      <c r="B367" s="25">
        <f>IF(C367="","",IF(COUNTIFS(tbl_Finance[Job Number],C367&amp;"",tbl_Finance[Xero Invoice No],"&lt;&gt;")=0,"",IFERROR(IF(COUNTIFS(tbl_Finance[Job Number],C367&amp;"",tbl_Finance[Xero Invoice No],LOOKUP(2,1/((tbl_Finance[Job Number]=C367&amp;"")*(tbl_Finance[Xero Invoice No]&lt;&gt;"")),tbl_Finance[Xero Invoice No]))=COUNTIFS(tbl_Finance[Job Number],C367&amp;"",tbl_Finance[Xero Invoice No],"&lt;&gt;"),LOOKUP(2,1/((tbl_Finance[Job Number]=C367&amp;"")*(tbl_Finance[Xero Invoice No]&lt;&gt;"")),tbl_Finance[Xero Invoice No]),LOOKUP(2,1/((tbl_Finance[Job Number]=C367&amp;"")*(tbl_Finance[Xero Invoice No]&lt;&gt;"")),tbl_Finance[Xero Invoice No])&amp;" +more"),"")))</f>
        <v/>
      </c>
      <c r="C367" s="24" t="n"/>
      <c r="D367" s="25">
        <f>IF(C367="","",IF(COUNTIF(lst_Jobs,C367&amp;"")&gt;0,"OK","CHECK"))</f>
        <v/>
      </c>
      <c r="E367" s="25">
        <f>IF(C367="","",IFERROR(INDEX(lst_JobName,MATCH(C367&amp;"",lst_Jobs,0)),""))</f>
        <v/>
      </c>
      <c r="F367" s="25">
        <f>IF(C367="","",IFERROR(INDEX(tbl_Finance[Client],MATCH(C367&amp;"",tbl_Finance[Job Number],0)),""))</f>
        <v/>
      </c>
      <c r="G367" s="28">
        <f>IF(C367="","",COUNTIFS(tbl_Finance[Job Number],C367&amp;"",tbl_Finance[Ex GST],"&lt;&gt;"))</f>
        <v/>
      </c>
      <c r="H367" s="27">
        <f>IF(C367="","",SUMIFS(tbl_Finance[Ex GST],tbl_Finance[Job Number],C367&amp;""))</f>
        <v/>
      </c>
      <c r="I367" s="27">
        <f>IF(C367="","",SUMIFS(tbl_Finance[Ex GST],tbl_Finance[Job Number],C367&amp;"",tbl_Finance[Xero Invoice No],"&lt;&gt;"))</f>
        <v/>
      </c>
      <c r="J367" s="27">
        <f>IF(C367="","",H367-I367)</f>
        <v/>
      </c>
      <c r="K367" s="25">
        <f>IF(C367="","",IF(G367=0,"not invoiced yet",SUBSTITUTE(TRIM(IF(COUNTIFS(tbl_Finance[Job Number],C367&amp;"",tbl_Finance[Cost Centre],"ONSITE")&gt;0,"ONSITE ","")&amp;IF(COUNTIFS(tbl_Finance[Job Number],C367&amp;"",tbl_Finance[Cost Centre],"PRODUCTION")&gt;0,"PRODUCTION ","")&amp;IF(COUNTIFS(tbl_Finance[Job Number],C367&amp;"",tbl_Finance[Cost Centre],"VIDEO")&gt;0,"VIDEO ","")&amp;IF(COUNTIFS(tbl_Finance[Job Number],C367&amp;"",tbl_Finance[Cost Centre],"INTEGRATION")&gt;0,"INTEGRATION ","")&amp;IF(COUNTIFS(tbl_Finance[Job Number],C367&amp;"",tbl_Finance[Cost Centre],"CONSULTING")&gt;0,"CONSULTING ","")&amp;IF(COUNTIFS(tbl_Finance[Job Number],C367&amp;"",tbl_Finance[Cost Centre],"CTS")&gt;0,"CTS ",""))," ",", ")))</f>
        <v/>
      </c>
      <c r="L367" s="24" t="n"/>
      <c r="M367" s="25">
        <f>IF(L367="","",HYPERLINK(IF(LEFT(L367,4)="http",L367,set_QwilrBase&amp;L367),"Open quote"))</f>
        <v/>
      </c>
      <c r="N367" s="26" t="n"/>
      <c r="O367" s="26" t="n"/>
      <c r="P367" s="26" t="n"/>
      <c r="Q367" s="25">
        <f>IF(C367="","",IF(N(N367)+N(O367)+N(P367)=0,"Not split",IF(ROUND(N(N367)+N(O367)+N(P367),2)=ROUND(H367,2),"OK","MISMATCH")))</f>
        <v/>
      </c>
      <c r="R367" s="26" t="n"/>
      <c r="S367" s="26" t="n"/>
      <c r="T367" s="26" t="n"/>
      <c r="U367" s="27">
        <f>IF(C367="","",N(R367)+N(S367)+N(T367))</f>
        <v/>
      </c>
      <c r="V367" s="27">
        <f>IF(C367="","",H367-U367)</f>
        <v/>
      </c>
      <c r="W367" s="29">
        <f>IFERROR(V367/H367,"")</f>
        <v/>
      </c>
      <c r="X367" s="24" t="n"/>
    </row>
    <row r="368" ht="15" customHeight="1">
      <c r="A368" s="63">
        <f>IF(C368="","",IFERROR(IF(SUMPRODUCT(MAX((tbl_Finance[Job Number]=C368&amp;"")*(tbl_Finance[Xero Invoice No]&lt;&gt;"")*tbl_Finance[Date]))=0,"",SUMPRODUCT(MAX((tbl_Finance[Job Number]=C368&amp;"")*(tbl_Finance[Xero Invoice No]&lt;&gt;"")*tbl_Finance[Date]))),""))</f>
        <v/>
      </c>
      <c r="B368" s="25">
        <f>IF(C368="","",IF(COUNTIFS(tbl_Finance[Job Number],C368&amp;"",tbl_Finance[Xero Invoice No],"&lt;&gt;")=0,"",IFERROR(IF(COUNTIFS(tbl_Finance[Job Number],C368&amp;"",tbl_Finance[Xero Invoice No],LOOKUP(2,1/((tbl_Finance[Job Number]=C368&amp;"")*(tbl_Finance[Xero Invoice No]&lt;&gt;"")),tbl_Finance[Xero Invoice No]))=COUNTIFS(tbl_Finance[Job Number],C368&amp;"",tbl_Finance[Xero Invoice No],"&lt;&gt;"),LOOKUP(2,1/((tbl_Finance[Job Number]=C368&amp;"")*(tbl_Finance[Xero Invoice No]&lt;&gt;"")),tbl_Finance[Xero Invoice No]),LOOKUP(2,1/((tbl_Finance[Job Number]=C368&amp;"")*(tbl_Finance[Xero Invoice No]&lt;&gt;"")),tbl_Finance[Xero Invoice No])&amp;" +more"),"")))</f>
        <v/>
      </c>
      <c r="C368" s="24" t="n"/>
      <c r="D368" s="25">
        <f>IF(C368="","",IF(COUNTIF(lst_Jobs,C368&amp;"")&gt;0,"OK","CHECK"))</f>
        <v/>
      </c>
      <c r="E368" s="25">
        <f>IF(C368="","",IFERROR(INDEX(lst_JobName,MATCH(C368&amp;"",lst_Jobs,0)),""))</f>
        <v/>
      </c>
      <c r="F368" s="25">
        <f>IF(C368="","",IFERROR(INDEX(tbl_Finance[Client],MATCH(C368&amp;"",tbl_Finance[Job Number],0)),""))</f>
        <v/>
      </c>
      <c r="G368" s="28">
        <f>IF(C368="","",COUNTIFS(tbl_Finance[Job Number],C368&amp;"",tbl_Finance[Ex GST],"&lt;&gt;"))</f>
        <v/>
      </c>
      <c r="H368" s="27">
        <f>IF(C368="","",SUMIFS(tbl_Finance[Ex GST],tbl_Finance[Job Number],C368&amp;""))</f>
        <v/>
      </c>
      <c r="I368" s="27">
        <f>IF(C368="","",SUMIFS(tbl_Finance[Ex GST],tbl_Finance[Job Number],C368&amp;"",tbl_Finance[Xero Invoice No],"&lt;&gt;"))</f>
        <v/>
      </c>
      <c r="J368" s="27">
        <f>IF(C368="","",H368-I368)</f>
        <v/>
      </c>
      <c r="K368" s="25">
        <f>IF(C368="","",IF(G368=0,"not invoiced yet",SUBSTITUTE(TRIM(IF(COUNTIFS(tbl_Finance[Job Number],C368&amp;"",tbl_Finance[Cost Centre],"ONSITE")&gt;0,"ONSITE ","")&amp;IF(COUNTIFS(tbl_Finance[Job Number],C368&amp;"",tbl_Finance[Cost Centre],"PRODUCTION")&gt;0,"PRODUCTION ","")&amp;IF(COUNTIFS(tbl_Finance[Job Number],C368&amp;"",tbl_Finance[Cost Centre],"VIDEO")&gt;0,"VIDEO ","")&amp;IF(COUNTIFS(tbl_Finance[Job Number],C368&amp;"",tbl_Finance[Cost Centre],"INTEGRATION")&gt;0,"INTEGRATION ","")&amp;IF(COUNTIFS(tbl_Finance[Job Number],C368&amp;"",tbl_Finance[Cost Centre],"CONSULTING")&gt;0,"CONSULTING ","")&amp;IF(COUNTIFS(tbl_Finance[Job Number],C368&amp;"",tbl_Finance[Cost Centre],"CTS")&gt;0,"CTS ",""))," ",", ")))</f>
        <v/>
      </c>
      <c r="L368" s="24" t="n"/>
      <c r="M368" s="25">
        <f>IF(L368="","",HYPERLINK(IF(LEFT(L368,4)="http",L368,set_QwilrBase&amp;L368),"Open quote"))</f>
        <v/>
      </c>
      <c r="N368" s="26" t="n"/>
      <c r="O368" s="26" t="n"/>
      <c r="P368" s="26" t="n"/>
      <c r="Q368" s="25">
        <f>IF(C368="","",IF(N(N368)+N(O368)+N(P368)=0,"Not split",IF(ROUND(N(N368)+N(O368)+N(P368),2)=ROUND(H368,2),"OK","MISMATCH")))</f>
        <v/>
      </c>
      <c r="R368" s="26" t="n"/>
      <c r="S368" s="26" t="n"/>
      <c r="T368" s="26" t="n"/>
      <c r="U368" s="27">
        <f>IF(C368="","",N(R368)+N(S368)+N(T368))</f>
        <v/>
      </c>
      <c r="V368" s="27">
        <f>IF(C368="","",H368-U368)</f>
        <v/>
      </c>
      <c r="W368" s="29">
        <f>IFERROR(V368/H368,"")</f>
        <v/>
      </c>
      <c r="X368" s="24" t="n"/>
    </row>
    <row r="369" ht="15" customHeight="1">
      <c r="A369" s="63">
        <f>IF(C369="","",IFERROR(IF(SUMPRODUCT(MAX((tbl_Finance[Job Number]=C369&amp;"")*(tbl_Finance[Xero Invoice No]&lt;&gt;"")*tbl_Finance[Date]))=0,"",SUMPRODUCT(MAX((tbl_Finance[Job Number]=C369&amp;"")*(tbl_Finance[Xero Invoice No]&lt;&gt;"")*tbl_Finance[Date]))),""))</f>
        <v/>
      </c>
      <c r="B369" s="25">
        <f>IF(C369="","",IF(COUNTIFS(tbl_Finance[Job Number],C369&amp;"",tbl_Finance[Xero Invoice No],"&lt;&gt;")=0,"",IFERROR(IF(COUNTIFS(tbl_Finance[Job Number],C369&amp;"",tbl_Finance[Xero Invoice No],LOOKUP(2,1/((tbl_Finance[Job Number]=C369&amp;"")*(tbl_Finance[Xero Invoice No]&lt;&gt;"")),tbl_Finance[Xero Invoice No]))=COUNTIFS(tbl_Finance[Job Number],C369&amp;"",tbl_Finance[Xero Invoice No],"&lt;&gt;"),LOOKUP(2,1/((tbl_Finance[Job Number]=C369&amp;"")*(tbl_Finance[Xero Invoice No]&lt;&gt;"")),tbl_Finance[Xero Invoice No]),LOOKUP(2,1/((tbl_Finance[Job Number]=C369&amp;"")*(tbl_Finance[Xero Invoice No]&lt;&gt;"")),tbl_Finance[Xero Invoice No])&amp;" +more"),"")))</f>
        <v/>
      </c>
      <c r="C369" s="24" t="n"/>
      <c r="D369" s="25">
        <f>IF(C369="","",IF(COUNTIF(lst_Jobs,C369&amp;"")&gt;0,"OK","CHECK"))</f>
        <v/>
      </c>
      <c r="E369" s="25">
        <f>IF(C369="","",IFERROR(INDEX(lst_JobName,MATCH(C369&amp;"",lst_Jobs,0)),""))</f>
        <v/>
      </c>
      <c r="F369" s="25">
        <f>IF(C369="","",IFERROR(INDEX(tbl_Finance[Client],MATCH(C369&amp;"",tbl_Finance[Job Number],0)),""))</f>
        <v/>
      </c>
      <c r="G369" s="28">
        <f>IF(C369="","",COUNTIFS(tbl_Finance[Job Number],C369&amp;"",tbl_Finance[Ex GST],"&lt;&gt;"))</f>
        <v/>
      </c>
      <c r="H369" s="27">
        <f>IF(C369="","",SUMIFS(tbl_Finance[Ex GST],tbl_Finance[Job Number],C369&amp;""))</f>
        <v/>
      </c>
      <c r="I369" s="27">
        <f>IF(C369="","",SUMIFS(tbl_Finance[Ex GST],tbl_Finance[Job Number],C369&amp;"",tbl_Finance[Xero Invoice No],"&lt;&gt;"))</f>
        <v/>
      </c>
      <c r="J369" s="27">
        <f>IF(C369="","",H369-I369)</f>
        <v/>
      </c>
      <c r="K369" s="25">
        <f>IF(C369="","",IF(G369=0,"not invoiced yet",SUBSTITUTE(TRIM(IF(COUNTIFS(tbl_Finance[Job Number],C369&amp;"",tbl_Finance[Cost Centre],"ONSITE")&gt;0,"ONSITE ","")&amp;IF(COUNTIFS(tbl_Finance[Job Number],C369&amp;"",tbl_Finance[Cost Centre],"PRODUCTION")&gt;0,"PRODUCTION ","")&amp;IF(COUNTIFS(tbl_Finance[Job Number],C369&amp;"",tbl_Finance[Cost Centre],"VIDEO")&gt;0,"VIDEO ","")&amp;IF(COUNTIFS(tbl_Finance[Job Number],C369&amp;"",tbl_Finance[Cost Centre],"INTEGRATION")&gt;0,"INTEGRATION ","")&amp;IF(COUNTIFS(tbl_Finance[Job Number],C369&amp;"",tbl_Finance[Cost Centre],"CONSULTING")&gt;0,"CONSULTING ","")&amp;IF(COUNTIFS(tbl_Finance[Job Number],C369&amp;"",tbl_Finance[Cost Centre],"CTS")&gt;0,"CTS ",""))," ",", ")))</f>
        <v/>
      </c>
      <c r="L369" s="24" t="n"/>
      <c r="M369" s="25">
        <f>IF(L369="","",HYPERLINK(IF(LEFT(L369,4)="http",L369,set_QwilrBase&amp;L369),"Open quote"))</f>
        <v/>
      </c>
      <c r="N369" s="26" t="n"/>
      <c r="O369" s="26" t="n"/>
      <c r="P369" s="26" t="n"/>
      <c r="Q369" s="25">
        <f>IF(C369="","",IF(N(N369)+N(O369)+N(P369)=0,"Not split",IF(ROUND(N(N369)+N(O369)+N(P369),2)=ROUND(H369,2),"OK","MISMATCH")))</f>
        <v/>
      </c>
      <c r="R369" s="26" t="n"/>
      <c r="S369" s="26" t="n"/>
      <c r="T369" s="26" t="n"/>
      <c r="U369" s="27">
        <f>IF(C369="","",N(R369)+N(S369)+N(T369))</f>
        <v/>
      </c>
      <c r="V369" s="27">
        <f>IF(C369="","",H369-U369)</f>
        <v/>
      </c>
      <c r="W369" s="29">
        <f>IFERROR(V369/H369,"")</f>
        <v/>
      </c>
      <c r="X369" s="24" t="n"/>
    </row>
    <row r="370" ht="15" customHeight="1">
      <c r="A370" s="63">
        <f>IF(C370="","",IFERROR(IF(SUMPRODUCT(MAX((tbl_Finance[Job Number]=C370&amp;"")*(tbl_Finance[Xero Invoice No]&lt;&gt;"")*tbl_Finance[Date]))=0,"",SUMPRODUCT(MAX((tbl_Finance[Job Number]=C370&amp;"")*(tbl_Finance[Xero Invoice No]&lt;&gt;"")*tbl_Finance[Date]))),""))</f>
        <v/>
      </c>
      <c r="B370" s="25">
        <f>IF(C370="","",IF(COUNTIFS(tbl_Finance[Job Number],C370&amp;"",tbl_Finance[Xero Invoice No],"&lt;&gt;")=0,"",IFERROR(IF(COUNTIFS(tbl_Finance[Job Number],C370&amp;"",tbl_Finance[Xero Invoice No],LOOKUP(2,1/((tbl_Finance[Job Number]=C370&amp;"")*(tbl_Finance[Xero Invoice No]&lt;&gt;"")),tbl_Finance[Xero Invoice No]))=COUNTIFS(tbl_Finance[Job Number],C370&amp;"",tbl_Finance[Xero Invoice No],"&lt;&gt;"),LOOKUP(2,1/((tbl_Finance[Job Number]=C370&amp;"")*(tbl_Finance[Xero Invoice No]&lt;&gt;"")),tbl_Finance[Xero Invoice No]),LOOKUP(2,1/((tbl_Finance[Job Number]=C370&amp;"")*(tbl_Finance[Xero Invoice No]&lt;&gt;"")),tbl_Finance[Xero Invoice No])&amp;" +more"),"")))</f>
        <v/>
      </c>
      <c r="C370" s="24" t="n"/>
      <c r="D370" s="25">
        <f>IF(C370="","",IF(COUNTIF(lst_Jobs,C370&amp;"")&gt;0,"OK","CHECK"))</f>
        <v/>
      </c>
      <c r="E370" s="25">
        <f>IF(C370="","",IFERROR(INDEX(lst_JobName,MATCH(C370&amp;"",lst_Jobs,0)),""))</f>
        <v/>
      </c>
      <c r="F370" s="25">
        <f>IF(C370="","",IFERROR(INDEX(tbl_Finance[Client],MATCH(C370&amp;"",tbl_Finance[Job Number],0)),""))</f>
        <v/>
      </c>
      <c r="G370" s="28">
        <f>IF(C370="","",COUNTIFS(tbl_Finance[Job Number],C370&amp;"",tbl_Finance[Ex GST],"&lt;&gt;"))</f>
        <v/>
      </c>
      <c r="H370" s="27">
        <f>IF(C370="","",SUMIFS(tbl_Finance[Ex GST],tbl_Finance[Job Number],C370&amp;""))</f>
        <v/>
      </c>
      <c r="I370" s="27">
        <f>IF(C370="","",SUMIFS(tbl_Finance[Ex GST],tbl_Finance[Job Number],C370&amp;"",tbl_Finance[Xero Invoice No],"&lt;&gt;"))</f>
        <v/>
      </c>
      <c r="J370" s="27">
        <f>IF(C370="","",H370-I370)</f>
        <v/>
      </c>
      <c r="K370" s="25">
        <f>IF(C370="","",IF(G370=0,"not invoiced yet",SUBSTITUTE(TRIM(IF(COUNTIFS(tbl_Finance[Job Number],C370&amp;"",tbl_Finance[Cost Centre],"ONSITE")&gt;0,"ONSITE ","")&amp;IF(COUNTIFS(tbl_Finance[Job Number],C370&amp;"",tbl_Finance[Cost Centre],"PRODUCTION")&gt;0,"PRODUCTION ","")&amp;IF(COUNTIFS(tbl_Finance[Job Number],C370&amp;"",tbl_Finance[Cost Centre],"VIDEO")&gt;0,"VIDEO ","")&amp;IF(COUNTIFS(tbl_Finance[Job Number],C370&amp;"",tbl_Finance[Cost Centre],"INTEGRATION")&gt;0,"INTEGRATION ","")&amp;IF(COUNTIFS(tbl_Finance[Job Number],C370&amp;"",tbl_Finance[Cost Centre],"CONSULTING")&gt;0,"CONSULTING ","")&amp;IF(COUNTIFS(tbl_Finance[Job Number],C370&amp;"",tbl_Finance[Cost Centre],"CTS")&gt;0,"CTS ",""))," ",", ")))</f>
        <v/>
      </c>
      <c r="L370" s="24" t="n"/>
      <c r="M370" s="25">
        <f>IF(L370="","",HYPERLINK(IF(LEFT(L370,4)="http",L370,set_QwilrBase&amp;L370),"Open quote"))</f>
        <v/>
      </c>
      <c r="N370" s="26" t="n"/>
      <c r="O370" s="26" t="n"/>
      <c r="P370" s="26" t="n"/>
      <c r="Q370" s="25">
        <f>IF(C370="","",IF(N(N370)+N(O370)+N(P370)=0,"Not split",IF(ROUND(N(N370)+N(O370)+N(P370),2)=ROUND(H370,2),"OK","MISMATCH")))</f>
        <v/>
      </c>
      <c r="R370" s="26" t="n"/>
      <c r="S370" s="26" t="n"/>
      <c r="T370" s="26" t="n"/>
      <c r="U370" s="27">
        <f>IF(C370="","",N(R370)+N(S370)+N(T370))</f>
        <v/>
      </c>
      <c r="V370" s="27">
        <f>IF(C370="","",H370-U370)</f>
        <v/>
      </c>
      <c r="W370" s="29">
        <f>IFERROR(V370/H370,"")</f>
        <v/>
      </c>
      <c r="X370" s="24" t="n"/>
    </row>
    <row r="371" ht="15" customHeight="1">
      <c r="A371" s="63">
        <f>IF(C371="","",IFERROR(IF(SUMPRODUCT(MAX((tbl_Finance[Job Number]=C371&amp;"")*(tbl_Finance[Xero Invoice No]&lt;&gt;"")*tbl_Finance[Date]))=0,"",SUMPRODUCT(MAX((tbl_Finance[Job Number]=C371&amp;"")*(tbl_Finance[Xero Invoice No]&lt;&gt;"")*tbl_Finance[Date]))),""))</f>
        <v/>
      </c>
      <c r="B371" s="25">
        <f>IF(C371="","",IF(COUNTIFS(tbl_Finance[Job Number],C371&amp;"",tbl_Finance[Xero Invoice No],"&lt;&gt;")=0,"",IFERROR(IF(COUNTIFS(tbl_Finance[Job Number],C371&amp;"",tbl_Finance[Xero Invoice No],LOOKUP(2,1/((tbl_Finance[Job Number]=C371&amp;"")*(tbl_Finance[Xero Invoice No]&lt;&gt;"")),tbl_Finance[Xero Invoice No]))=COUNTIFS(tbl_Finance[Job Number],C371&amp;"",tbl_Finance[Xero Invoice No],"&lt;&gt;"),LOOKUP(2,1/((tbl_Finance[Job Number]=C371&amp;"")*(tbl_Finance[Xero Invoice No]&lt;&gt;"")),tbl_Finance[Xero Invoice No]),LOOKUP(2,1/((tbl_Finance[Job Number]=C371&amp;"")*(tbl_Finance[Xero Invoice No]&lt;&gt;"")),tbl_Finance[Xero Invoice No])&amp;" +more"),"")))</f>
        <v/>
      </c>
      <c r="C371" s="24" t="n"/>
      <c r="D371" s="25">
        <f>IF(C371="","",IF(COUNTIF(lst_Jobs,C371&amp;"")&gt;0,"OK","CHECK"))</f>
        <v/>
      </c>
      <c r="E371" s="25">
        <f>IF(C371="","",IFERROR(INDEX(lst_JobName,MATCH(C371&amp;"",lst_Jobs,0)),""))</f>
        <v/>
      </c>
      <c r="F371" s="25">
        <f>IF(C371="","",IFERROR(INDEX(tbl_Finance[Client],MATCH(C371&amp;"",tbl_Finance[Job Number],0)),""))</f>
        <v/>
      </c>
      <c r="G371" s="28">
        <f>IF(C371="","",COUNTIFS(tbl_Finance[Job Number],C371&amp;"",tbl_Finance[Ex GST],"&lt;&gt;"))</f>
        <v/>
      </c>
      <c r="H371" s="27">
        <f>IF(C371="","",SUMIFS(tbl_Finance[Ex GST],tbl_Finance[Job Number],C371&amp;""))</f>
        <v/>
      </c>
      <c r="I371" s="27">
        <f>IF(C371="","",SUMIFS(tbl_Finance[Ex GST],tbl_Finance[Job Number],C371&amp;"",tbl_Finance[Xero Invoice No],"&lt;&gt;"))</f>
        <v/>
      </c>
      <c r="J371" s="27">
        <f>IF(C371="","",H371-I371)</f>
        <v/>
      </c>
      <c r="K371" s="25">
        <f>IF(C371="","",IF(G371=0,"not invoiced yet",SUBSTITUTE(TRIM(IF(COUNTIFS(tbl_Finance[Job Number],C371&amp;"",tbl_Finance[Cost Centre],"ONSITE")&gt;0,"ONSITE ","")&amp;IF(COUNTIFS(tbl_Finance[Job Number],C371&amp;"",tbl_Finance[Cost Centre],"PRODUCTION")&gt;0,"PRODUCTION ","")&amp;IF(COUNTIFS(tbl_Finance[Job Number],C371&amp;"",tbl_Finance[Cost Centre],"VIDEO")&gt;0,"VIDEO ","")&amp;IF(COUNTIFS(tbl_Finance[Job Number],C371&amp;"",tbl_Finance[Cost Centre],"INTEGRATION")&gt;0,"INTEGRATION ","")&amp;IF(COUNTIFS(tbl_Finance[Job Number],C371&amp;"",tbl_Finance[Cost Centre],"CONSULTING")&gt;0,"CONSULTING ","")&amp;IF(COUNTIFS(tbl_Finance[Job Number],C371&amp;"",tbl_Finance[Cost Centre],"CTS")&gt;0,"CTS ",""))," ",", ")))</f>
        <v/>
      </c>
      <c r="L371" s="24" t="n"/>
      <c r="M371" s="25">
        <f>IF(L371="","",HYPERLINK(IF(LEFT(L371,4)="http",L371,set_QwilrBase&amp;L371),"Open quote"))</f>
        <v/>
      </c>
      <c r="N371" s="26" t="n"/>
      <c r="O371" s="26" t="n"/>
      <c r="P371" s="26" t="n"/>
      <c r="Q371" s="25">
        <f>IF(C371="","",IF(N(N371)+N(O371)+N(P371)=0,"Not split",IF(ROUND(N(N371)+N(O371)+N(P371),2)=ROUND(H371,2),"OK","MISMATCH")))</f>
        <v/>
      </c>
      <c r="R371" s="26" t="n"/>
      <c r="S371" s="26" t="n"/>
      <c r="T371" s="26" t="n"/>
      <c r="U371" s="27">
        <f>IF(C371="","",N(R371)+N(S371)+N(T371))</f>
        <v/>
      </c>
      <c r="V371" s="27">
        <f>IF(C371="","",H371-U371)</f>
        <v/>
      </c>
      <c r="W371" s="29">
        <f>IFERROR(V371/H371,"")</f>
        <v/>
      </c>
      <c r="X371" s="24" t="n"/>
    </row>
    <row r="372" ht="15" customHeight="1">
      <c r="A372" s="63">
        <f>IF(C372="","",IFERROR(IF(SUMPRODUCT(MAX((tbl_Finance[Job Number]=C372&amp;"")*(tbl_Finance[Xero Invoice No]&lt;&gt;"")*tbl_Finance[Date]))=0,"",SUMPRODUCT(MAX((tbl_Finance[Job Number]=C372&amp;"")*(tbl_Finance[Xero Invoice No]&lt;&gt;"")*tbl_Finance[Date]))),""))</f>
        <v/>
      </c>
      <c r="B372" s="25">
        <f>IF(C372="","",IF(COUNTIFS(tbl_Finance[Job Number],C372&amp;"",tbl_Finance[Xero Invoice No],"&lt;&gt;")=0,"",IFERROR(IF(COUNTIFS(tbl_Finance[Job Number],C372&amp;"",tbl_Finance[Xero Invoice No],LOOKUP(2,1/((tbl_Finance[Job Number]=C372&amp;"")*(tbl_Finance[Xero Invoice No]&lt;&gt;"")),tbl_Finance[Xero Invoice No]))=COUNTIFS(tbl_Finance[Job Number],C372&amp;"",tbl_Finance[Xero Invoice No],"&lt;&gt;"),LOOKUP(2,1/((tbl_Finance[Job Number]=C372&amp;"")*(tbl_Finance[Xero Invoice No]&lt;&gt;"")),tbl_Finance[Xero Invoice No]),LOOKUP(2,1/((tbl_Finance[Job Number]=C372&amp;"")*(tbl_Finance[Xero Invoice No]&lt;&gt;"")),tbl_Finance[Xero Invoice No])&amp;" +more"),"")))</f>
        <v/>
      </c>
      <c r="C372" s="24" t="n"/>
      <c r="D372" s="25">
        <f>IF(C372="","",IF(COUNTIF(lst_Jobs,C372&amp;"")&gt;0,"OK","CHECK"))</f>
        <v/>
      </c>
      <c r="E372" s="25">
        <f>IF(C372="","",IFERROR(INDEX(lst_JobName,MATCH(C372&amp;"",lst_Jobs,0)),""))</f>
        <v/>
      </c>
      <c r="F372" s="25">
        <f>IF(C372="","",IFERROR(INDEX(tbl_Finance[Client],MATCH(C372&amp;"",tbl_Finance[Job Number],0)),""))</f>
        <v/>
      </c>
      <c r="G372" s="28">
        <f>IF(C372="","",COUNTIFS(tbl_Finance[Job Number],C372&amp;"",tbl_Finance[Ex GST],"&lt;&gt;"))</f>
        <v/>
      </c>
      <c r="H372" s="27">
        <f>IF(C372="","",SUMIFS(tbl_Finance[Ex GST],tbl_Finance[Job Number],C372&amp;""))</f>
        <v/>
      </c>
      <c r="I372" s="27">
        <f>IF(C372="","",SUMIFS(tbl_Finance[Ex GST],tbl_Finance[Job Number],C372&amp;"",tbl_Finance[Xero Invoice No],"&lt;&gt;"))</f>
        <v/>
      </c>
      <c r="J372" s="27">
        <f>IF(C372="","",H372-I372)</f>
        <v/>
      </c>
      <c r="K372" s="25">
        <f>IF(C372="","",IF(G372=0,"not invoiced yet",SUBSTITUTE(TRIM(IF(COUNTIFS(tbl_Finance[Job Number],C372&amp;"",tbl_Finance[Cost Centre],"ONSITE")&gt;0,"ONSITE ","")&amp;IF(COUNTIFS(tbl_Finance[Job Number],C372&amp;"",tbl_Finance[Cost Centre],"PRODUCTION")&gt;0,"PRODUCTION ","")&amp;IF(COUNTIFS(tbl_Finance[Job Number],C372&amp;"",tbl_Finance[Cost Centre],"VIDEO")&gt;0,"VIDEO ","")&amp;IF(COUNTIFS(tbl_Finance[Job Number],C372&amp;"",tbl_Finance[Cost Centre],"INTEGRATION")&gt;0,"INTEGRATION ","")&amp;IF(COUNTIFS(tbl_Finance[Job Number],C372&amp;"",tbl_Finance[Cost Centre],"CONSULTING")&gt;0,"CONSULTING ","")&amp;IF(COUNTIFS(tbl_Finance[Job Number],C372&amp;"",tbl_Finance[Cost Centre],"CTS")&gt;0,"CTS ",""))," ",", ")))</f>
        <v/>
      </c>
      <c r="L372" s="24" t="n"/>
      <c r="M372" s="25">
        <f>IF(L372="","",HYPERLINK(IF(LEFT(L372,4)="http",L372,set_QwilrBase&amp;L372),"Open quote"))</f>
        <v/>
      </c>
      <c r="N372" s="26" t="n"/>
      <c r="O372" s="26" t="n"/>
      <c r="P372" s="26" t="n"/>
      <c r="Q372" s="25">
        <f>IF(C372="","",IF(N(N372)+N(O372)+N(P372)=0,"Not split",IF(ROUND(N(N372)+N(O372)+N(P372),2)=ROUND(H372,2),"OK","MISMATCH")))</f>
        <v/>
      </c>
      <c r="R372" s="26" t="n"/>
      <c r="S372" s="26" t="n"/>
      <c r="T372" s="26" t="n"/>
      <c r="U372" s="27">
        <f>IF(C372="","",N(R372)+N(S372)+N(T372))</f>
        <v/>
      </c>
      <c r="V372" s="27">
        <f>IF(C372="","",H372-U372)</f>
        <v/>
      </c>
      <c r="W372" s="29">
        <f>IFERROR(V372/H372,"")</f>
        <v/>
      </c>
      <c r="X372" s="24" t="n"/>
    </row>
    <row r="373" ht="15" customHeight="1">
      <c r="A373" s="63">
        <f>IF(C373="","",IFERROR(IF(SUMPRODUCT(MAX((tbl_Finance[Job Number]=C373&amp;"")*(tbl_Finance[Xero Invoice No]&lt;&gt;"")*tbl_Finance[Date]))=0,"",SUMPRODUCT(MAX((tbl_Finance[Job Number]=C373&amp;"")*(tbl_Finance[Xero Invoice No]&lt;&gt;"")*tbl_Finance[Date]))),""))</f>
        <v/>
      </c>
      <c r="B373" s="25">
        <f>IF(C373="","",IF(COUNTIFS(tbl_Finance[Job Number],C373&amp;"",tbl_Finance[Xero Invoice No],"&lt;&gt;")=0,"",IFERROR(IF(COUNTIFS(tbl_Finance[Job Number],C373&amp;"",tbl_Finance[Xero Invoice No],LOOKUP(2,1/((tbl_Finance[Job Number]=C373&amp;"")*(tbl_Finance[Xero Invoice No]&lt;&gt;"")),tbl_Finance[Xero Invoice No]))=COUNTIFS(tbl_Finance[Job Number],C373&amp;"",tbl_Finance[Xero Invoice No],"&lt;&gt;"),LOOKUP(2,1/((tbl_Finance[Job Number]=C373&amp;"")*(tbl_Finance[Xero Invoice No]&lt;&gt;"")),tbl_Finance[Xero Invoice No]),LOOKUP(2,1/((tbl_Finance[Job Number]=C373&amp;"")*(tbl_Finance[Xero Invoice No]&lt;&gt;"")),tbl_Finance[Xero Invoice No])&amp;" +more"),"")))</f>
        <v/>
      </c>
      <c r="C373" s="24" t="n"/>
      <c r="D373" s="25">
        <f>IF(C373="","",IF(COUNTIF(lst_Jobs,C373&amp;"")&gt;0,"OK","CHECK"))</f>
        <v/>
      </c>
      <c r="E373" s="25">
        <f>IF(C373="","",IFERROR(INDEX(lst_JobName,MATCH(C373&amp;"",lst_Jobs,0)),""))</f>
        <v/>
      </c>
      <c r="F373" s="25">
        <f>IF(C373="","",IFERROR(INDEX(tbl_Finance[Client],MATCH(C373&amp;"",tbl_Finance[Job Number],0)),""))</f>
        <v/>
      </c>
      <c r="G373" s="28">
        <f>IF(C373="","",COUNTIFS(tbl_Finance[Job Number],C373&amp;"",tbl_Finance[Ex GST],"&lt;&gt;"))</f>
        <v/>
      </c>
      <c r="H373" s="27">
        <f>IF(C373="","",SUMIFS(tbl_Finance[Ex GST],tbl_Finance[Job Number],C373&amp;""))</f>
        <v/>
      </c>
      <c r="I373" s="27">
        <f>IF(C373="","",SUMIFS(tbl_Finance[Ex GST],tbl_Finance[Job Number],C373&amp;"",tbl_Finance[Xero Invoice No],"&lt;&gt;"))</f>
        <v/>
      </c>
      <c r="J373" s="27">
        <f>IF(C373="","",H373-I373)</f>
        <v/>
      </c>
      <c r="K373" s="25">
        <f>IF(C373="","",IF(G373=0,"not invoiced yet",SUBSTITUTE(TRIM(IF(COUNTIFS(tbl_Finance[Job Number],C373&amp;"",tbl_Finance[Cost Centre],"ONSITE")&gt;0,"ONSITE ","")&amp;IF(COUNTIFS(tbl_Finance[Job Number],C373&amp;"",tbl_Finance[Cost Centre],"PRODUCTION")&gt;0,"PRODUCTION ","")&amp;IF(COUNTIFS(tbl_Finance[Job Number],C373&amp;"",tbl_Finance[Cost Centre],"VIDEO")&gt;0,"VIDEO ","")&amp;IF(COUNTIFS(tbl_Finance[Job Number],C373&amp;"",tbl_Finance[Cost Centre],"INTEGRATION")&gt;0,"INTEGRATION ","")&amp;IF(COUNTIFS(tbl_Finance[Job Number],C373&amp;"",tbl_Finance[Cost Centre],"CONSULTING")&gt;0,"CONSULTING ","")&amp;IF(COUNTIFS(tbl_Finance[Job Number],C373&amp;"",tbl_Finance[Cost Centre],"CTS")&gt;0,"CTS ",""))," ",", ")))</f>
        <v/>
      </c>
      <c r="L373" s="24" t="n"/>
      <c r="M373" s="25">
        <f>IF(L373="","",HYPERLINK(IF(LEFT(L373,4)="http",L373,set_QwilrBase&amp;L373),"Open quote"))</f>
        <v/>
      </c>
      <c r="N373" s="26" t="n"/>
      <c r="O373" s="26" t="n"/>
      <c r="P373" s="26" t="n"/>
      <c r="Q373" s="25">
        <f>IF(C373="","",IF(N(N373)+N(O373)+N(P373)=0,"Not split",IF(ROUND(N(N373)+N(O373)+N(P373),2)=ROUND(H373,2),"OK","MISMATCH")))</f>
        <v/>
      </c>
      <c r="R373" s="26" t="n"/>
      <c r="S373" s="26" t="n"/>
      <c r="T373" s="26" t="n"/>
      <c r="U373" s="27">
        <f>IF(C373="","",N(R373)+N(S373)+N(T373))</f>
        <v/>
      </c>
      <c r="V373" s="27">
        <f>IF(C373="","",H373-U373)</f>
        <v/>
      </c>
      <c r="W373" s="29">
        <f>IFERROR(V373/H373,"")</f>
        <v/>
      </c>
      <c r="X373" s="24" t="n"/>
    </row>
    <row r="374" ht="15" customHeight="1">
      <c r="A374" s="63">
        <f>IF(C374="","",IFERROR(IF(SUMPRODUCT(MAX((tbl_Finance[Job Number]=C374&amp;"")*(tbl_Finance[Xero Invoice No]&lt;&gt;"")*tbl_Finance[Date]))=0,"",SUMPRODUCT(MAX((tbl_Finance[Job Number]=C374&amp;"")*(tbl_Finance[Xero Invoice No]&lt;&gt;"")*tbl_Finance[Date]))),""))</f>
        <v/>
      </c>
      <c r="B374" s="25">
        <f>IF(C374="","",IF(COUNTIFS(tbl_Finance[Job Number],C374&amp;"",tbl_Finance[Xero Invoice No],"&lt;&gt;")=0,"",IFERROR(IF(COUNTIFS(tbl_Finance[Job Number],C374&amp;"",tbl_Finance[Xero Invoice No],LOOKUP(2,1/((tbl_Finance[Job Number]=C374&amp;"")*(tbl_Finance[Xero Invoice No]&lt;&gt;"")),tbl_Finance[Xero Invoice No]))=COUNTIFS(tbl_Finance[Job Number],C374&amp;"",tbl_Finance[Xero Invoice No],"&lt;&gt;"),LOOKUP(2,1/((tbl_Finance[Job Number]=C374&amp;"")*(tbl_Finance[Xero Invoice No]&lt;&gt;"")),tbl_Finance[Xero Invoice No]),LOOKUP(2,1/((tbl_Finance[Job Number]=C374&amp;"")*(tbl_Finance[Xero Invoice No]&lt;&gt;"")),tbl_Finance[Xero Invoice No])&amp;" +more"),"")))</f>
        <v/>
      </c>
      <c r="C374" s="24" t="n"/>
      <c r="D374" s="25">
        <f>IF(C374="","",IF(COUNTIF(lst_Jobs,C374&amp;"")&gt;0,"OK","CHECK"))</f>
        <v/>
      </c>
      <c r="E374" s="25">
        <f>IF(C374="","",IFERROR(INDEX(lst_JobName,MATCH(C374&amp;"",lst_Jobs,0)),""))</f>
        <v/>
      </c>
      <c r="F374" s="25">
        <f>IF(C374="","",IFERROR(INDEX(tbl_Finance[Client],MATCH(C374&amp;"",tbl_Finance[Job Number],0)),""))</f>
        <v/>
      </c>
      <c r="G374" s="28">
        <f>IF(C374="","",COUNTIFS(tbl_Finance[Job Number],C374&amp;"",tbl_Finance[Ex GST],"&lt;&gt;"))</f>
        <v/>
      </c>
      <c r="H374" s="27">
        <f>IF(C374="","",SUMIFS(tbl_Finance[Ex GST],tbl_Finance[Job Number],C374&amp;""))</f>
        <v/>
      </c>
      <c r="I374" s="27">
        <f>IF(C374="","",SUMIFS(tbl_Finance[Ex GST],tbl_Finance[Job Number],C374&amp;"",tbl_Finance[Xero Invoice No],"&lt;&gt;"))</f>
        <v/>
      </c>
      <c r="J374" s="27">
        <f>IF(C374="","",H374-I374)</f>
        <v/>
      </c>
      <c r="K374" s="25">
        <f>IF(C374="","",IF(G374=0,"not invoiced yet",SUBSTITUTE(TRIM(IF(COUNTIFS(tbl_Finance[Job Number],C374&amp;"",tbl_Finance[Cost Centre],"ONSITE")&gt;0,"ONSITE ","")&amp;IF(COUNTIFS(tbl_Finance[Job Number],C374&amp;"",tbl_Finance[Cost Centre],"PRODUCTION")&gt;0,"PRODUCTION ","")&amp;IF(COUNTIFS(tbl_Finance[Job Number],C374&amp;"",tbl_Finance[Cost Centre],"VIDEO")&gt;0,"VIDEO ","")&amp;IF(COUNTIFS(tbl_Finance[Job Number],C374&amp;"",tbl_Finance[Cost Centre],"INTEGRATION")&gt;0,"INTEGRATION ","")&amp;IF(COUNTIFS(tbl_Finance[Job Number],C374&amp;"",tbl_Finance[Cost Centre],"CONSULTING")&gt;0,"CONSULTING ","")&amp;IF(COUNTIFS(tbl_Finance[Job Number],C374&amp;"",tbl_Finance[Cost Centre],"CTS")&gt;0,"CTS ",""))," ",", ")))</f>
        <v/>
      </c>
      <c r="L374" s="24" t="n"/>
      <c r="M374" s="25">
        <f>IF(L374="","",HYPERLINK(IF(LEFT(L374,4)="http",L374,set_QwilrBase&amp;L374),"Open quote"))</f>
        <v/>
      </c>
      <c r="N374" s="26" t="n"/>
      <c r="O374" s="26" t="n"/>
      <c r="P374" s="26" t="n"/>
      <c r="Q374" s="25">
        <f>IF(C374="","",IF(N(N374)+N(O374)+N(P374)=0,"Not split",IF(ROUND(N(N374)+N(O374)+N(P374),2)=ROUND(H374,2),"OK","MISMATCH")))</f>
        <v/>
      </c>
      <c r="R374" s="26" t="n"/>
      <c r="S374" s="26" t="n"/>
      <c r="T374" s="26" t="n"/>
      <c r="U374" s="27">
        <f>IF(C374="","",N(R374)+N(S374)+N(T374))</f>
        <v/>
      </c>
      <c r="V374" s="27">
        <f>IF(C374="","",H374-U374)</f>
        <v/>
      </c>
      <c r="W374" s="29">
        <f>IFERROR(V374/H374,"")</f>
        <v/>
      </c>
      <c r="X374" s="24" t="n"/>
    </row>
    <row r="375" ht="15" customHeight="1">
      <c r="A375" s="63">
        <f>IF(C375="","",IFERROR(IF(SUMPRODUCT(MAX((tbl_Finance[Job Number]=C375&amp;"")*(tbl_Finance[Xero Invoice No]&lt;&gt;"")*tbl_Finance[Date]))=0,"",SUMPRODUCT(MAX((tbl_Finance[Job Number]=C375&amp;"")*(tbl_Finance[Xero Invoice No]&lt;&gt;"")*tbl_Finance[Date]))),""))</f>
        <v/>
      </c>
      <c r="B375" s="25">
        <f>IF(C375="","",IF(COUNTIFS(tbl_Finance[Job Number],C375&amp;"",tbl_Finance[Xero Invoice No],"&lt;&gt;")=0,"",IFERROR(IF(COUNTIFS(tbl_Finance[Job Number],C375&amp;"",tbl_Finance[Xero Invoice No],LOOKUP(2,1/((tbl_Finance[Job Number]=C375&amp;"")*(tbl_Finance[Xero Invoice No]&lt;&gt;"")),tbl_Finance[Xero Invoice No]))=COUNTIFS(tbl_Finance[Job Number],C375&amp;"",tbl_Finance[Xero Invoice No],"&lt;&gt;"),LOOKUP(2,1/((tbl_Finance[Job Number]=C375&amp;"")*(tbl_Finance[Xero Invoice No]&lt;&gt;"")),tbl_Finance[Xero Invoice No]),LOOKUP(2,1/((tbl_Finance[Job Number]=C375&amp;"")*(tbl_Finance[Xero Invoice No]&lt;&gt;"")),tbl_Finance[Xero Invoice No])&amp;" +more"),"")))</f>
        <v/>
      </c>
      <c r="C375" s="24" t="n"/>
      <c r="D375" s="25">
        <f>IF(C375="","",IF(COUNTIF(lst_Jobs,C375&amp;"")&gt;0,"OK","CHECK"))</f>
        <v/>
      </c>
      <c r="E375" s="25">
        <f>IF(C375="","",IFERROR(INDEX(lst_JobName,MATCH(C375&amp;"",lst_Jobs,0)),""))</f>
        <v/>
      </c>
      <c r="F375" s="25">
        <f>IF(C375="","",IFERROR(INDEX(tbl_Finance[Client],MATCH(C375&amp;"",tbl_Finance[Job Number],0)),""))</f>
        <v/>
      </c>
      <c r="G375" s="28">
        <f>IF(C375="","",COUNTIFS(tbl_Finance[Job Number],C375&amp;"",tbl_Finance[Ex GST],"&lt;&gt;"))</f>
        <v/>
      </c>
      <c r="H375" s="27">
        <f>IF(C375="","",SUMIFS(tbl_Finance[Ex GST],tbl_Finance[Job Number],C375&amp;""))</f>
        <v/>
      </c>
      <c r="I375" s="27">
        <f>IF(C375="","",SUMIFS(tbl_Finance[Ex GST],tbl_Finance[Job Number],C375&amp;"",tbl_Finance[Xero Invoice No],"&lt;&gt;"))</f>
        <v/>
      </c>
      <c r="J375" s="27">
        <f>IF(C375="","",H375-I375)</f>
        <v/>
      </c>
      <c r="K375" s="25">
        <f>IF(C375="","",IF(G375=0,"not invoiced yet",SUBSTITUTE(TRIM(IF(COUNTIFS(tbl_Finance[Job Number],C375&amp;"",tbl_Finance[Cost Centre],"ONSITE")&gt;0,"ONSITE ","")&amp;IF(COUNTIFS(tbl_Finance[Job Number],C375&amp;"",tbl_Finance[Cost Centre],"PRODUCTION")&gt;0,"PRODUCTION ","")&amp;IF(COUNTIFS(tbl_Finance[Job Number],C375&amp;"",tbl_Finance[Cost Centre],"VIDEO")&gt;0,"VIDEO ","")&amp;IF(COUNTIFS(tbl_Finance[Job Number],C375&amp;"",tbl_Finance[Cost Centre],"INTEGRATION")&gt;0,"INTEGRATION ","")&amp;IF(COUNTIFS(tbl_Finance[Job Number],C375&amp;"",tbl_Finance[Cost Centre],"CONSULTING")&gt;0,"CONSULTING ","")&amp;IF(COUNTIFS(tbl_Finance[Job Number],C375&amp;"",tbl_Finance[Cost Centre],"CTS")&gt;0,"CTS ",""))," ",", ")))</f>
        <v/>
      </c>
      <c r="L375" s="24" t="n"/>
      <c r="M375" s="25">
        <f>IF(L375="","",HYPERLINK(IF(LEFT(L375,4)="http",L375,set_QwilrBase&amp;L375),"Open quote"))</f>
        <v/>
      </c>
      <c r="N375" s="26" t="n"/>
      <c r="O375" s="26" t="n"/>
      <c r="P375" s="26" t="n"/>
      <c r="Q375" s="25">
        <f>IF(C375="","",IF(N(N375)+N(O375)+N(P375)=0,"Not split",IF(ROUND(N(N375)+N(O375)+N(P375),2)=ROUND(H375,2),"OK","MISMATCH")))</f>
        <v/>
      </c>
      <c r="R375" s="26" t="n"/>
      <c r="S375" s="26" t="n"/>
      <c r="T375" s="26" t="n"/>
      <c r="U375" s="27">
        <f>IF(C375="","",N(R375)+N(S375)+N(T375))</f>
        <v/>
      </c>
      <c r="V375" s="27">
        <f>IF(C375="","",H375-U375)</f>
        <v/>
      </c>
      <c r="W375" s="29">
        <f>IFERROR(V375/H375,"")</f>
        <v/>
      </c>
      <c r="X375" s="24" t="n"/>
    </row>
    <row r="376" ht="15" customHeight="1">
      <c r="A376" s="63">
        <f>IF(C376="","",IFERROR(IF(SUMPRODUCT(MAX((tbl_Finance[Job Number]=C376&amp;"")*(tbl_Finance[Xero Invoice No]&lt;&gt;"")*tbl_Finance[Date]))=0,"",SUMPRODUCT(MAX((tbl_Finance[Job Number]=C376&amp;"")*(tbl_Finance[Xero Invoice No]&lt;&gt;"")*tbl_Finance[Date]))),""))</f>
        <v/>
      </c>
      <c r="B376" s="25">
        <f>IF(C376="","",IF(COUNTIFS(tbl_Finance[Job Number],C376&amp;"",tbl_Finance[Xero Invoice No],"&lt;&gt;")=0,"",IFERROR(IF(COUNTIFS(tbl_Finance[Job Number],C376&amp;"",tbl_Finance[Xero Invoice No],LOOKUP(2,1/((tbl_Finance[Job Number]=C376&amp;"")*(tbl_Finance[Xero Invoice No]&lt;&gt;"")),tbl_Finance[Xero Invoice No]))=COUNTIFS(tbl_Finance[Job Number],C376&amp;"",tbl_Finance[Xero Invoice No],"&lt;&gt;"),LOOKUP(2,1/((tbl_Finance[Job Number]=C376&amp;"")*(tbl_Finance[Xero Invoice No]&lt;&gt;"")),tbl_Finance[Xero Invoice No]),LOOKUP(2,1/((tbl_Finance[Job Number]=C376&amp;"")*(tbl_Finance[Xero Invoice No]&lt;&gt;"")),tbl_Finance[Xero Invoice No])&amp;" +more"),"")))</f>
        <v/>
      </c>
      <c r="C376" s="24" t="n"/>
      <c r="D376" s="25">
        <f>IF(C376="","",IF(COUNTIF(lst_Jobs,C376&amp;"")&gt;0,"OK","CHECK"))</f>
        <v/>
      </c>
      <c r="E376" s="25">
        <f>IF(C376="","",IFERROR(INDEX(lst_JobName,MATCH(C376&amp;"",lst_Jobs,0)),""))</f>
        <v/>
      </c>
      <c r="F376" s="25">
        <f>IF(C376="","",IFERROR(INDEX(tbl_Finance[Client],MATCH(C376&amp;"",tbl_Finance[Job Number],0)),""))</f>
        <v/>
      </c>
      <c r="G376" s="28">
        <f>IF(C376="","",COUNTIFS(tbl_Finance[Job Number],C376&amp;"",tbl_Finance[Ex GST],"&lt;&gt;"))</f>
        <v/>
      </c>
      <c r="H376" s="27">
        <f>IF(C376="","",SUMIFS(tbl_Finance[Ex GST],tbl_Finance[Job Number],C376&amp;""))</f>
        <v/>
      </c>
      <c r="I376" s="27">
        <f>IF(C376="","",SUMIFS(tbl_Finance[Ex GST],tbl_Finance[Job Number],C376&amp;"",tbl_Finance[Xero Invoice No],"&lt;&gt;"))</f>
        <v/>
      </c>
      <c r="J376" s="27">
        <f>IF(C376="","",H376-I376)</f>
        <v/>
      </c>
      <c r="K376" s="25">
        <f>IF(C376="","",IF(G376=0,"not invoiced yet",SUBSTITUTE(TRIM(IF(COUNTIFS(tbl_Finance[Job Number],C376&amp;"",tbl_Finance[Cost Centre],"ONSITE")&gt;0,"ONSITE ","")&amp;IF(COUNTIFS(tbl_Finance[Job Number],C376&amp;"",tbl_Finance[Cost Centre],"PRODUCTION")&gt;0,"PRODUCTION ","")&amp;IF(COUNTIFS(tbl_Finance[Job Number],C376&amp;"",tbl_Finance[Cost Centre],"VIDEO")&gt;0,"VIDEO ","")&amp;IF(COUNTIFS(tbl_Finance[Job Number],C376&amp;"",tbl_Finance[Cost Centre],"INTEGRATION")&gt;0,"INTEGRATION ","")&amp;IF(COUNTIFS(tbl_Finance[Job Number],C376&amp;"",tbl_Finance[Cost Centre],"CONSULTING")&gt;0,"CONSULTING ","")&amp;IF(COUNTIFS(tbl_Finance[Job Number],C376&amp;"",tbl_Finance[Cost Centre],"CTS")&gt;0,"CTS ",""))," ",", ")))</f>
        <v/>
      </c>
      <c r="L376" s="24" t="n"/>
      <c r="M376" s="25">
        <f>IF(L376="","",HYPERLINK(IF(LEFT(L376,4)="http",L376,set_QwilrBase&amp;L376),"Open quote"))</f>
        <v/>
      </c>
      <c r="N376" s="26" t="n"/>
      <c r="O376" s="26" t="n"/>
      <c r="P376" s="26" t="n"/>
      <c r="Q376" s="25">
        <f>IF(C376="","",IF(N(N376)+N(O376)+N(P376)=0,"Not split",IF(ROUND(N(N376)+N(O376)+N(P376),2)=ROUND(H376,2),"OK","MISMATCH")))</f>
        <v/>
      </c>
      <c r="R376" s="26" t="n"/>
      <c r="S376" s="26" t="n"/>
      <c r="T376" s="26" t="n"/>
      <c r="U376" s="27">
        <f>IF(C376="","",N(R376)+N(S376)+N(T376))</f>
        <v/>
      </c>
      <c r="V376" s="27">
        <f>IF(C376="","",H376-U376)</f>
        <v/>
      </c>
      <c r="W376" s="29">
        <f>IFERROR(V376/H376,"")</f>
        <v/>
      </c>
      <c r="X376" s="24" t="n"/>
    </row>
    <row r="377" ht="15" customHeight="1">
      <c r="A377" s="63">
        <f>IF(C377="","",IFERROR(IF(SUMPRODUCT(MAX((tbl_Finance[Job Number]=C377&amp;"")*(tbl_Finance[Xero Invoice No]&lt;&gt;"")*tbl_Finance[Date]))=0,"",SUMPRODUCT(MAX((tbl_Finance[Job Number]=C377&amp;"")*(tbl_Finance[Xero Invoice No]&lt;&gt;"")*tbl_Finance[Date]))),""))</f>
        <v/>
      </c>
      <c r="B377" s="25">
        <f>IF(C377="","",IF(COUNTIFS(tbl_Finance[Job Number],C377&amp;"",tbl_Finance[Xero Invoice No],"&lt;&gt;")=0,"",IFERROR(IF(COUNTIFS(tbl_Finance[Job Number],C377&amp;"",tbl_Finance[Xero Invoice No],LOOKUP(2,1/((tbl_Finance[Job Number]=C377&amp;"")*(tbl_Finance[Xero Invoice No]&lt;&gt;"")),tbl_Finance[Xero Invoice No]))=COUNTIFS(tbl_Finance[Job Number],C377&amp;"",tbl_Finance[Xero Invoice No],"&lt;&gt;"),LOOKUP(2,1/((tbl_Finance[Job Number]=C377&amp;"")*(tbl_Finance[Xero Invoice No]&lt;&gt;"")),tbl_Finance[Xero Invoice No]),LOOKUP(2,1/((tbl_Finance[Job Number]=C377&amp;"")*(tbl_Finance[Xero Invoice No]&lt;&gt;"")),tbl_Finance[Xero Invoice No])&amp;" +more"),"")))</f>
        <v/>
      </c>
      <c r="C377" s="24" t="n"/>
      <c r="D377" s="25">
        <f>IF(C377="","",IF(COUNTIF(lst_Jobs,C377&amp;"")&gt;0,"OK","CHECK"))</f>
        <v/>
      </c>
      <c r="E377" s="25">
        <f>IF(C377="","",IFERROR(INDEX(lst_JobName,MATCH(C377&amp;"",lst_Jobs,0)),""))</f>
        <v/>
      </c>
      <c r="F377" s="25">
        <f>IF(C377="","",IFERROR(INDEX(tbl_Finance[Client],MATCH(C377&amp;"",tbl_Finance[Job Number],0)),""))</f>
        <v/>
      </c>
      <c r="G377" s="28">
        <f>IF(C377="","",COUNTIFS(tbl_Finance[Job Number],C377&amp;"",tbl_Finance[Ex GST],"&lt;&gt;"))</f>
        <v/>
      </c>
      <c r="H377" s="27">
        <f>IF(C377="","",SUMIFS(tbl_Finance[Ex GST],tbl_Finance[Job Number],C377&amp;""))</f>
        <v/>
      </c>
      <c r="I377" s="27">
        <f>IF(C377="","",SUMIFS(tbl_Finance[Ex GST],tbl_Finance[Job Number],C377&amp;"",tbl_Finance[Xero Invoice No],"&lt;&gt;"))</f>
        <v/>
      </c>
      <c r="J377" s="27">
        <f>IF(C377="","",H377-I377)</f>
        <v/>
      </c>
      <c r="K377" s="25">
        <f>IF(C377="","",IF(G377=0,"not invoiced yet",SUBSTITUTE(TRIM(IF(COUNTIFS(tbl_Finance[Job Number],C377&amp;"",tbl_Finance[Cost Centre],"ONSITE")&gt;0,"ONSITE ","")&amp;IF(COUNTIFS(tbl_Finance[Job Number],C377&amp;"",tbl_Finance[Cost Centre],"PRODUCTION")&gt;0,"PRODUCTION ","")&amp;IF(COUNTIFS(tbl_Finance[Job Number],C377&amp;"",tbl_Finance[Cost Centre],"VIDEO")&gt;0,"VIDEO ","")&amp;IF(COUNTIFS(tbl_Finance[Job Number],C377&amp;"",tbl_Finance[Cost Centre],"INTEGRATION")&gt;0,"INTEGRATION ","")&amp;IF(COUNTIFS(tbl_Finance[Job Number],C377&amp;"",tbl_Finance[Cost Centre],"CONSULTING")&gt;0,"CONSULTING ","")&amp;IF(COUNTIFS(tbl_Finance[Job Number],C377&amp;"",tbl_Finance[Cost Centre],"CTS")&gt;0,"CTS ",""))," ",", ")))</f>
        <v/>
      </c>
      <c r="L377" s="24" t="n"/>
      <c r="M377" s="25">
        <f>IF(L377="","",HYPERLINK(IF(LEFT(L377,4)="http",L377,set_QwilrBase&amp;L377),"Open quote"))</f>
        <v/>
      </c>
      <c r="N377" s="26" t="n"/>
      <c r="O377" s="26" t="n"/>
      <c r="P377" s="26" t="n"/>
      <c r="Q377" s="25">
        <f>IF(C377="","",IF(N(N377)+N(O377)+N(P377)=0,"Not split",IF(ROUND(N(N377)+N(O377)+N(P377),2)=ROUND(H377,2),"OK","MISMATCH")))</f>
        <v/>
      </c>
      <c r="R377" s="26" t="n"/>
      <c r="S377" s="26" t="n"/>
      <c r="T377" s="26" t="n"/>
      <c r="U377" s="27">
        <f>IF(C377="","",N(R377)+N(S377)+N(T377))</f>
        <v/>
      </c>
      <c r="V377" s="27">
        <f>IF(C377="","",H377-U377)</f>
        <v/>
      </c>
      <c r="W377" s="29">
        <f>IFERROR(V377/H377,"")</f>
        <v/>
      </c>
      <c r="X377" s="24" t="n"/>
    </row>
    <row r="378" ht="15" customHeight="1">
      <c r="A378" s="63">
        <f>IF(C378="","",IFERROR(IF(SUMPRODUCT(MAX((tbl_Finance[Job Number]=C378&amp;"")*(tbl_Finance[Xero Invoice No]&lt;&gt;"")*tbl_Finance[Date]))=0,"",SUMPRODUCT(MAX((tbl_Finance[Job Number]=C378&amp;"")*(tbl_Finance[Xero Invoice No]&lt;&gt;"")*tbl_Finance[Date]))),""))</f>
        <v/>
      </c>
      <c r="B378" s="25">
        <f>IF(C378="","",IF(COUNTIFS(tbl_Finance[Job Number],C378&amp;"",tbl_Finance[Xero Invoice No],"&lt;&gt;")=0,"",IFERROR(IF(COUNTIFS(tbl_Finance[Job Number],C378&amp;"",tbl_Finance[Xero Invoice No],LOOKUP(2,1/((tbl_Finance[Job Number]=C378&amp;"")*(tbl_Finance[Xero Invoice No]&lt;&gt;"")),tbl_Finance[Xero Invoice No]))=COUNTIFS(tbl_Finance[Job Number],C378&amp;"",tbl_Finance[Xero Invoice No],"&lt;&gt;"),LOOKUP(2,1/((tbl_Finance[Job Number]=C378&amp;"")*(tbl_Finance[Xero Invoice No]&lt;&gt;"")),tbl_Finance[Xero Invoice No]),LOOKUP(2,1/((tbl_Finance[Job Number]=C378&amp;"")*(tbl_Finance[Xero Invoice No]&lt;&gt;"")),tbl_Finance[Xero Invoice No])&amp;" +more"),"")))</f>
        <v/>
      </c>
      <c r="C378" s="24" t="n"/>
      <c r="D378" s="25">
        <f>IF(C378="","",IF(COUNTIF(lst_Jobs,C378&amp;"")&gt;0,"OK","CHECK"))</f>
        <v/>
      </c>
      <c r="E378" s="25">
        <f>IF(C378="","",IFERROR(INDEX(lst_JobName,MATCH(C378&amp;"",lst_Jobs,0)),""))</f>
        <v/>
      </c>
      <c r="F378" s="25">
        <f>IF(C378="","",IFERROR(INDEX(tbl_Finance[Client],MATCH(C378&amp;"",tbl_Finance[Job Number],0)),""))</f>
        <v/>
      </c>
      <c r="G378" s="28">
        <f>IF(C378="","",COUNTIFS(tbl_Finance[Job Number],C378&amp;"",tbl_Finance[Ex GST],"&lt;&gt;"))</f>
        <v/>
      </c>
      <c r="H378" s="27">
        <f>IF(C378="","",SUMIFS(tbl_Finance[Ex GST],tbl_Finance[Job Number],C378&amp;""))</f>
        <v/>
      </c>
      <c r="I378" s="27">
        <f>IF(C378="","",SUMIFS(tbl_Finance[Ex GST],tbl_Finance[Job Number],C378&amp;"",tbl_Finance[Xero Invoice No],"&lt;&gt;"))</f>
        <v/>
      </c>
      <c r="J378" s="27">
        <f>IF(C378="","",H378-I378)</f>
        <v/>
      </c>
      <c r="K378" s="25">
        <f>IF(C378="","",IF(G378=0,"not invoiced yet",SUBSTITUTE(TRIM(IF(COUNTIFS(tbl_Finance[Job Number],C378&amp;"",tbl_Finance[Cost Centre],"ONSITE")&gt;0,"ONSITE ","")&amp;IF(COUNTIFS(tbl_Finance[Job Number],C378&amp;"",tbl_Finance[Cost Centre],"PRODUCTION")&gt;0,"PRODUCTION ","")&amp;IF(COUNTIFS(tbl_Finance[Job Number],C378&amp;"",tbl_Finance[Cost Centre],"VIDEO")&gt;0,"VIDEO ","")&amp;IF(COUNTIFS(tbl_Finance[Job Number],C378&amp;"",tbl_Finance[Cost Centre],"INTEGRATION")&gt;0,"INTEGRATION ","")&amp;IF(COUNTIFS(tbl_Finance[Job Number],C378&amp;"",tbl_Finance[Cost Centre],"CONSULTING")&gt;0,"CONSULTING ","")&amp;IF(COUNTIFS(tbl_Finance[Job Number],C378&amp;"",tbl_Finance[Cost Centre],"CTS")&gt;0,"CTS ",""))," ",", ")))</f>
        <v/>
      </c>
      <c r="L378" s="24" t="n"/>
      <c r="M378" s="25">
        <f>IF(L378="","",HYPERLINK(IF(LEFT(L378,4)="http",L378,set_QwilrBase&amp;L378),"Open quote"))</f>
        <v/>
      </c>
      <c r="N378" s="26" t="n"/>
      <c r="O378" s="26" t="n"/>
      <c r="P378" s="26" t="n"/>
      <c r="Q378" s="25">
        <f>IF(C378="","",IF(N(N378)+N(O378)+N(P378)=0,"Not split",IF(ROUND(N(N378)+N(O378)+N(P378),2)=ROUND(H378,2),"OK","MISMATCH")))</f>
        <v/>
      </c>
      <c r="R378" s="26" t="n"/>
      <c r="S378" s="26" t="n"/>
      <c r="T378" s="26" t="n"/>
      <c r="U378" s="27">
        <f>IF(C378="","",N(R378)+N(S378)+N(T378))</f>
        <v/>
      </c>
      <c r="V378" s="27">
        <f>IF(C378="","",H378-U378)</f>
        <v/>
      </c>
      <c r="W378" s="29">
        <f>IFERROR(V378/H378,"")</f>
        <v/>
      </c>
      <c r="X378" s="24" t="n"/>
    </row>
    <row r="379" ht="15" customHeight="1">
      <c r="A379" s="63">
        <f>IF(C379="","",IFERROR(IF(SUMPRODUCT(MAX((tbl_Finance[Job Number]=C379&amp;"")*(tbl_Finance[Xero Invoice No]&lt;&gt;"")*tbl_Finance[Date]))=0,"",SUMPRODUCT(MAX((tbl_Finance[Job Number]=C379&amp;"")*(tbl_Finance[Xero Invoice No]&lt;&gt;"")*tbl_Finance[Date]))),""))</f>
        <v/>
      </c>
      <c r="B379" s="25">
        <f>IF(C379="","",IF(COUNTIFS(tbl_Finance[Job Number],C379&amp;"",tbl_Finance[Xero Invoice No],"&lt;&gt;")=0,"",IFERROR(IF(COUNTIFS(tbl_Finance[Job Number],C379&amp;"",tbl_Finance[Xero Invoice No],LOOKUP(2,1/((tbl_Finance[Job Number]=C379&amp;"")*(tbl_Finance[Xero Invoice No]&lt;&gt;"")),tbl_Finance[Xero Invoice No]))=COUNTIFS(tbl_Finance[Job Number],C379&amp;"",tbl_Finance[Xero Invoice No],"&lt;&gt;"),LOOKUP(2,1/((tbl_Finance[Job Number]=C379&amp;"")*(tbl_Finance[Xero Invoice No]&lt;&gt;"")),tbl_Finance[Xero Invoice No]),LOOKUP(2,1/((tbl_Finance[Job Number]=C379&amp;"")*(tbl_Finance[Xero Invoice No]&lt;&gt;"")),tbl_Finance[Xero Invoice No])&amp;" +more"),"")))</f>
        <v/>
      </c>
      <c r="C379" s="24" t="n"/>
      <c r="D379" s="25">
        <f>IF(C379="","",IF(COUNTIF(lst_Jobs,C379&amp;"")&gt;0,"OK","CHECK"))</f>
        <v/>
      </c>
      <c r="E379" s="25">
        <f>IF(C379="","",IFERROR(INDEX(lst_JobName,MATCH(C379&amp;"",lst_Jobs,0)),""))</f>
        <v/>
      </c>
      <c r="F379" s="25">
        <f>IF(C379="","",IFERROR(INDEX(tbl_Finance[Client],MATCH(C379&amp;"",tbl_Finance[Job Number],0)),""))</f>
        <v/>
      </c>
      <c r="G379" s="28">
        <f>IF(C379="","",COUNTIFS(tbl_Finance[Job Number],C379&amp;"",tbl_Finance[Ex GST],"&lt;&gt;"))</f>
        <v/>
      </c>
      <c r="H379" s="27">
        <f>IF(C379="","",SUMIFS(tbl_Finance[Ex GST],tbl_Finance[Job Number],C379&amp;""))</f>
        <v/>
      </c>
      <c r="I379" s="27">
        <f>IF(C379="","",SUMIFS(tbl_Finance[Ex GST],tbl_Finance[Job Number],C379&amp;"",tbl_Finance[Xero Invoice No],"&lt;&gt;"))</f>
        <v/>
      </c>
      <c r="J379" s="27">
        <f>IF(C379="","",H379-I379)</f>
        <v/>
      </c>
      <c r="K379" s="25">
        <f>IF(C379="","",IF(G379=0,"not invoiced yet",SUBSTITUTE(TRIM(IF(COUNTIFS(tbl_Finance[Job Number],C379&amp;"",tbl_Finance[Cost Centre],"ONSITE")&gt;0,"ONSITE ","")&amp;IF(COUNTIFS(tbl_Finance[Job Number],C379&amp;"",tbl_Finance[Cost Centre],"PRODUCTION")&gt;0,"PRODUCTION ","")&amp;IF(COUNTIFS(tbl_Finance[Job Number],C379&amp;"",tbl_Finance[Cost Centre],"VIDEO")&gt;0,"VIDEO ","")&amp;IF(COUNTIFS(tbl_Finance[Job Number],C379&amp;"",tbl_Finance[Cost Centre],"INTEGRATION")&gt;0,"INTEGRATION ","")&amp;IF(COUNTIFS(tbl_Finance[Job Number],C379&amp;"",tbl_Finance[Cost Centre],"CONSULTING")&gt;0,"CONSULTING ","")&amp;IF(COUNTIFS(tbl_Finance[Job Number],C379&amp;"",tbl_Finance[Cost Centre],"CTS")&gt;0,"CTS ",""))," ",", ")))</f>
        <v/>
      </c>
      <c r="L379" s="24" t="n"/>
      <c r="M379" s="25">
        <f>IF(L379="","",HYPERLINK(IF(LEFT(L379,4)="http",L379,set_QwilrBase&amp;L379),"Open quote"))</f>
        <v/>
      </c>
      <c r="N379" s="26" t="n"/>
      <c r="O379" s="26" t="n"/>
      <c r="P379" s="26" t="n"/>
      <c r="Q379" s="25">
        <f>IF(C379="","",IF(N(N379)+N(O379)+N(P379)=0,"Not split",IF(ROUND(N(N379)+N(O379)+N(P379),2)=ROUND(H379,2),"OK","MISMATCH")))</f>
        <v/>
      </c>
      <c r="R379" s="26" t="n"/>
      <c r="S379" s="26" t="n"/>
      <c r="T379" s="26" t="n"/>
      <c r="U379" s="27">
        <f>IF(C379="","",N(R379)+N(S379)+N(T379))</f>
        <v/>
      </c>
      <c r="V379" s="27">
        <f>IF(C379="","",H379-U379)</f>
        <v/>
      </c>
      <c r="W379" s="29">
        <f>IFERROR(V379/H379,"")</f>
        <v/>
      </c>
      <c r="X379" s="24" t="n"/>
    </row>
    <row r="380" ht="15" customHeight="1">
      <c r="A380" s="63">
        <f>IF(C380="","",IFERROR(IF(SUMPRODUCT(MAX((tbl_Finance[Job Number]=C380&amp;"")*(tbl_Finance[Xero Invoice No]&lt;&gt;"")*tbl_Finance[Date]))=0,"",SUMPRODUCT(MAX((tbl_Finance[Job Number]=C380&amp;"")*(tbl_Finance[Xero Invoice No]&lt;&gt;"")*tbl_Finance[Date]))),""))</f>
        <v/>
      </c>
      <c r="B380" s="25">
        <f>IF(C380="","",IF(COUNTIFS(tbl_Finance[Job Number],C380&amp;"",tbl_Finance[Xero Invoice No],"&lt;&gt;")=0,"",IFERROR(IF(COUNTIFS(tbl_Finance[Job Number],C380&amp;"",tbl_Finance[Xero Invoice No],LOOKUP(2,1/((tbl_Finance[Job Number]=C380&amp;"")*(tbl_Finance[Xero Invoice No]&lt;&gt;"")),tbl_Finance[Xero Invoice No]))=COUNTIFS(tbl_Finance[Job Number],C380&amp;"",tbl_Finance[Xero Invoice No],"&lt;&gt;"),LOOKUP(2,1/((tbl_Finance[Job Number]=C380&amp;"")*(tbl_Finance[Xero Invoice No]&lt;&gt;"")),tbl_Finance[Xero Invoice No]),LOOKUP(2,1/((tbl_Finance[Job Number]=C380&amp;"")*(tbl_Finance[Xero Invoice No]&lt;&gt;"")),tbl_Finance[Xero Invoice No])&amp;" +more"),"")))</f>
        <v/>
      </c>
      <c r="C380" s="24" t="n"/>
      <c r="D380" s="25">
        <f>IF(C380="","",IF(COUNTIF(lst_Jobs,C380&amp;"")&gt;0,"OK","CHECK"))</f>
        <v/>
      </c>
      <c r="E380" s="25">
        <f>IF(C380="","",IFERROR(INDEX(lst_JobName,MATCH(C380&amp;"",lst_Jobs,0)),""))</f>
        <v/>
      </c>
      <c r="F380" s="25">
        <f>IF(C380="","",IFERROR(INDEX(tbl_Finance[Client],MATCH(C380&amp;"",tbl_Finance[Job Number],0)),""))</f>
        <v/>
      </c>
      <c r="G380" s="28">
        <f>IF(C380="","",COUNTIFS(tbl_Finance[Job Number],C380&amp;"",tbl_Finance[Ex GST],"&lt;&gt;"))</f>
        <v/>
      </c>
      <c r="H380" s="27">
        <f>IF(C380="","",SUMIFS(tbl_Finance[Ex GST],tbl_Finance[Job Number],C380&amp;""))</f>
        <v/>
      </c>
      <c r="I380" s="27">
        <f>IF(C380="","",SUMIFS(tbl_Finance[Ex GST],tbl_Finance[Job Number],C380&amp;"",tbl_Finance[Xero Invoice No],"&lt;&gt;"))</f>
        <v/>
      </c>
      <c r="J380" s="27">
        <f>IF(C380="","",H380-I380)</f>
        <v/>
      </c>
      <c r="K380" s="25">
        <f>IF(C380="","",IF(G380=0,"not invoiced yet",SUBSTITUTE(TRIM(IF(COUNTIFS(tbl_Finance[Job Number],C380&amp;"",tbl_Finance[Cost Centre],"ONSITE")&gt;0,"ONSITE ","")&amp;IF(COUNTIFS(tbl_Finance[Job Number],C380&amp;"",tbl_Finance[Cost Centre],"PRODUCTION")&gt;0,"PRODUCTION ","")&amp;IF(COUNTIFS(tbl_Finance[Job Number],C380&amp;"",tbl_Finance[Cost Centre],"VIDEO")&gt;0,"VIDEO ","")&amp;IF(COUNTIFS(tbl_Finance[Job Number],C380&amp;"",tbl_Finance[Cost Centre],"INTEGRATION")&gt;0,"INTEGRATION ","")&amp;IF(COUNTIFS(tbl_Finance[Job Number],C380&amp;"",tbl_Finance[Cost Centre],"CONSULTING")&gt;0,"CONSULTING ","")&amp;IF(COUNTIFS(tbl_Finance[Job Number],C380&amp;"",tbl_Finance[Cost Centre],"CTS")&gt;0,"CTS ",""))," ",", ")))</f>
        <v/>
      </c>
      <c r="L380" s="24" t="n"/>
      <c r="M380" s="25">
        <f>IF(L380="","",HYPERLINK(IF(LEFT(L380,4)="http",L380,set_QwilrBase&amp;L380),"Open quote"))</f>
        <v/>
      </c>
      <c r="N380" s="26" t="n"/>
      <c r="O380" s="26" t="n"/>
      <c r="P380" s="26" t="n"/>
      <c r="Q380" s="25">
        <f>IF(C380="","",IF(N(N380)+N(O380)+N(P380)=0,"Not split",IF(ROUND(N(N380)+N(O380)+N(P380),2)=ROUND(H380,2),"OK","MISMATCH")))</f>
        <v/>
      </c>
      <c r="R380" s="26" t="n"/>
      <c r="S380" s="26" t="n"/>
      <c r="T380" s="26" t="n"/>
      <c r="U380" s="27">
        <f>IF(C380="","",N(R380)+N(S380)+N(T380))</f>
        <v/>
      </c>
      <c r="V380" s="27">
        <f>IF(C380="","",H380-U380)</f>
        <v/>
      </c>
      <c r="W380" s="29">
        <f>IFERROR(V380/H380,"")</f>
        <v/>
      </c>
      <c r="X380" s="24" t="n"/>
    </row>
    <row r="381" ht="15" customHeight="1">
      <c r="A381" s="63">
        <f>IF(C381="","",IFERROR(IF(SUMPRODUCT(MAX((tbl_Finance[Job Number]=C381&amp;"")*(tbl_Finance[Xero Invoice No]&lt;&gt;"")*tbl_Finance[Date]))=0,"",SUMPRODUCT(MAX((tbl_Finance[Job Number]=C381&amp;"")*(tbl_Finance[Xero Invoice No]&lt;&gt;"")*tbl_Finance[Date]))),""))</f>
        <v/>
      </c>
      <c r="B381" s="25">
        <f>IF(C381="","",IF(COUNTIFS(tbl_Finance[Job Number],C381&amp;"",tbl_Finance[Xero Invoice No],"&lt;&gt;")=0,"",IFERROR(IF(COUNTIFS(tbl_Finance[Job Number],C381&amp;"",tbl_Finance[Xero Invoice No],LOOKUP(2,1/((tbl_Finance[Job Number]=C381&amp;"")*(tbl_Finance[Xero Invoice No]&lt;&gt;"")),tbl_Finance[Xero Invoice No]))=COUNTIFS(tbl_Finance[Job Number],C381&amp;"",tbl_Finance[Xero Invoice No],"&lt;&gt;"),LOOKUP(2,1/((tbl_Finance[Job Number]=C381&amp;"")*(tbl_Finance[Xero Invoice No]&lt;&gt;"")),tbl_Finance[Xero Invoice No]),LOOKUP(2,1/((tbl_Finance[Job Number]=C381&amp;"")*(tbl_Finance[Xero Invoice No]&lt;&gt;"")),tbl_Finance[Xero Invoice No])&amp;" +more"),"")))</f>
        <v/>
      </c>
      <c r="C381" s="24" t="n"/>
      <c r="D381" s="25">
        <f>IF(C381="","",IF(COUNTIF(lst_Jobs,C381&amp;"")&gt;0,"OK","CHECK"))</f>
        <v/>
      </c>
      <c r="E381" s="25">
        <f>IF(C381="","",IFERROR(INDEX(lst_JobName,MATCH(C381&amp;"",lst_Jobs,0)),""))</f>
        <v/>
      </c>
      <c r="F381" s="25">
        <f>IF(C381="","",IFERROR(INDEX(tbl_Finance[Client],MATCH(C381&amp;"",tbl_Finance[Job Number],0)),""))</f>
        <v/>
      </c>
      <c r="G381" s="28">
        <f>IF(C381="","",COUNTIFS(tbl_Finance[Job Number],C381&amp;"",tbl_Finance[Ex GST],"&lt;&gt;"))</f>
        <v/>
      </c>
      <c r="H381" s="27">
        <f>IF(C381="","",SUMIFS(tbl_Finance[Ex GST],tbl_Finance[Job Number],C381&amp;""))</f>
        <v/>
      </c>
      <c r="I381" s="27">
        <f>IF(C381="","",SUMIFS(tbl_Finance[Ex GST],tbl_Finance[Job Number],C381&amp;"",tbl_Finance[Xero Invoice No],"&lt;&gt;"))</f>
        <v/>
      </c>
      <c r="J381" s="27">
        <f>IF(C381="","",H381-I381)</f>
        <v/>
      </c>
      <c r="K381" s="25">
        <f>IF(C381="","",IF(G381=0,"not invoiced yet",SUBSTITUTE(TRIM(IF(COUNTIFS(tbl_Finance[Job Number],C381&amp;"",tbl_Finance[Cost Centre],"ONSITE")&gt;0,"ONSITE ","")&amp;IF(COUNTIFS(tbl_Finance[Job Number],C381&amp;"",tbl_Finance[Cost Centre],"PRODUCTION")&gt;0,"PRODUCTION ","")&amp;IF(COUNTIFS(tbl_Finance[Job Number],C381&amp;"",tbl_Finance[Cost Centre],"VIDEO")&gt;0,"VIDEO ","")&amp;IF(COUNTIFS(tbl_Finance[Job Number],C381&amp;"",tbl_Finance[Cost Centre],"INTEGRATION")&gt;0,"INTEGRATION ","")&amp;IF(COUNTIFS(tbl_Finance[Job Number],C381&amp;"",tbl_Finance[Cost Centre],"CONSULTING")&gt;0,"CONSULTING ","")&amp;IF(COUNTIFS(tbl_Finance[Job Number],C381&amp;"",tbl_Finance[Cost Centre],"CTS")&gt;0,"CTS ",""))," ",", ")))</f>
        <v/>
      </c>
      <c r="L381" s="24" t="n"/>
      <c r="M381" s="25">
        <f>IF(L381="","",HYPERLINK(IF(LEFT(L381,4)="http",L381,set_QwilrBase&amp;L381),"Open quote"))</f>
        <v/>
      </c>
      <c r="N381" s="26" t="n"/>
      <c r="O381" s="26" t="n"/>
      <c r="P381" s="26" t="n"/>
      <c r="Q381" s="25">
        <f>IF(C381="","",IF(N(N381)+N(O381)+N(P381)=0,"Not split",IF(ROUND(N(N381)+N(O381)+N(P381),2)=ROUND(H381,2),"OK","MISMATCH")))</f>
        <v/>
      </c>
      <c r="R381" s="26" t="n"/>
      <c r="S381" s="26" t="n"/>
      <c r="T381" s="26" t="n"/>
      <c r="U381" s="27">
        <f>IF(C381="","",N(R381)+N(S381)+N(T381))</f>
        <v/>
      </c>
      <c r="V381" s="27">
        <f>IF(C381="","",H381-U381)</f>
        <v/>
      </c>
      <c r="W381" s="29">
        <f>IFERROR(V381/H381,"")</f>
        <v/>
      </c>
      <c r="X381" s="24" t="n"/>
    </row>
    <row r="382" ht="15" customHeight="1">
      <c r="A382" s="63">
        <f>IF(C382="","",IFERROR(IF(SUMPRODUCT(MAX((tbl_Finance[Job Number]=C382&amp;"")*(tbl_Finance[Xero Invoice No]&lt;&gt;"")*tbl_Finance[Date]))=0,"",SUMPRODUCT(MAX((tbl_Finance[Job Number]=C382&amp;"")*(tbl_Finance[Xero Invoice No]&lt;&gt;"")*tbl_Finance[Date]))),""))</f>
        <v/>
      </c>
      <c r="B382" s="25">
        <f>IF(C382="","",IF(COUNTIFS(tbl_Finance[Job Number],C382&amp;"",tbl_Finance[Xero Invoice No],"&lt;&gt;")=0,"",IFERROR(IF(COUNTIFS(tbl_Finance[Job Number],C382&amp;"",tbl_Finance[Xero Invoice No],LOOKUP(2,1/((tbl_Finance[Job Number]=C382&amp;"")*(tbl_Finance[Xero Invoice No]&lt;&gt;"")),tbl_Finance[Xero Invoice No]))=COUNTIFS(tbl_Finance[Job Number],C382&amp;"",tbl_Finance[Xero Invoice No],"&lt;&gt;"),LOOKUP(2,1/((tbl_Finance[Job Number]=C382&amp;"")*(tbl_Finance[Xero Invoice No]&lt;&gt;"")),tbl_Finance[Xero Invoice No]),LOOKUP(2,1/((tbl_Finance[Job Number]=C382&amp;"")*(tbl_Finance[Xero Invoice No]&lt;&gt;"")),tbl_Finance[Xero Invoice No])&amp;" +more"),"")))</f>
        <v/>
      </c>
      <c r="C382" s="24" t="n"/>
      <c r="D382" s="25">
        <f>IF(C382="","",IF(COUNTIF(lst_Jobs,C382&amp;"")&gt;0,"OK","CHECK"))</f>
        <v/>
      </c>
      <c r="E382" s="25">
        <f>IF(C382="","",IFERROR(INDEX(lst_JobName,MATCH(C382&amp;"",lst_Jobs,0)),""))</f>
        <v/>
      </c>
      <c r="F382" s="25">
        <f>IF(C382="","",IFERROR(INDEX(tbl_Finance[Client],MATCH(C382&amp;"",tbl_Finance[Job Number],0)),""))</f>
        <v/>
      </c>
      <c r="G382" s="28">
        <f>IF(C382="","",COUNTIFS(tbl_Finance[Job Number],C382&amp;"",tbl_Finance[Ex GST],"&lt;&gt;"))</f>
        <v/>
      </c>
      <c r="H382" s="27">
        <f>IF(C382="","",SUMIFS(tbl_Finance[Ex GST],tbl_Finance[Job Number],C382&amp;""))</f>
        <v/>
      </c>
      <c r="I382" s="27">
        <f>IF(C382="","",SUMIFS(tbl_Finance[Ex GST],tbl_Finance[Job Number],C382&amp;"",tbl_Finance[Xero Invoice No],"&lt;&gt;"))</f>
        <v/>
      </c>
      <c r="J382" s="27">
        <f>IF(C382="","",H382-I382)</f>
        <v/>
      </c>
      <c r="K382" s="25">
        <f>IF(C382="","",IF(G382=0,"not invoiced yet",SUBSTITUTE(TRIM(IF(COUNTIFS(tbl_Finance[Job Number],C382&amp;"",tbl_Finance[Cost Centre],"ONSITE")&gt;0,"ONSITE ","")&amp;IF(COUNTIFS(tbl_Finance[Job Number],C382&amp;"",tbl_Finance[Cost Centre],"PRODUCTION")&gt;0,"PRODUCTION ","")&amp;IF(COUNTIFS(tbl_Finance[Job Number],C382&amp;"",tbl_Finance[Cost Centre],"VIDEO")&gt;0,"VIDEO ","")&amp;IF(COUNTIFS(tbl_Finance[Job Number],C382&amp;"",tbl_Finance[Cost Centre],"INTEGRATION")&gt;0,"INTEGRATION ","")&amp;IF(COUNTIFS(tbl_Finance[Job Number],C382&amp;"",tbl_Finance[Cost Centre],"CONSULTING")&gt;0,"CONSULTING ","")&amp;IF(COUNTIFS(tbl_Finance[Job Number],C382&amp;"",tbl_Finance[Cost Centre],"CTS")&gt;0,"CTS ",""))," ",", ")))</f>
        <v/>
      </c>
      <c r="L382" s="24" t="n"/>
      <c r="M382" s="25">
        <f>IF(L382="","",HYPERLINK(IF(LEFT(L382,4)="http",L382,set_QwilrBase&amp;L382),"Open quote"))</f>
        <v/>
      </c>
      <c r="N382" s="26" t="n"/>
      <c r="O382" s="26" t="n"/>
      <c r="P382" s="26" t="n"/>
      <c r="Q382" s="25">
        <f>IF(C382="","",IF(N(N382)+N(O382)+N(P382)=0,"Not split",IF(ROUND(N(N382)+N(O382)+N(P382),2)=ROUND(H382,2),"OK","MISMATCH")))</f>
        <v/>
      </c>
      <c r="R382" s="26" t="n"/>
      <c r="S382" s="26" t="n"/>
      <c r="T382" s="26" t="n"/>
      <c r="U382" s="27">
        <f>IF(C382="","",N(R382)+N(S382)+N(T382))</f>
        <v/>
      </c>
      <c r="V382" s="27">
        <f>IF(C382="","",H382-U382)</f>
        <v/>
      </c>
      <c r="W382" s="29">
        <f>IFERROR(V382/H382,"")</f>
        <v/>
      </c>
      <c r="X382" s="24" t="n"/>
    </row>
    <row r="383" ht="15" customHeight="1">
      <c r="A383" s="63">
        <f>IF(C383="","",IFERROR(IF(SUMPRODUCT(MAX((tbl_Finance[Job Number]=C383&amp;"")*(tbl_Finance[Xero Invoice No]&lt;&gt;"")*tbl_Finance[Date]))=0,"",SUMPRODUCT(MAX((tbl_Finance[Job Number]=C383&amp;"")*(tbl_Finance[Xero Invoice No]&lt;&gt;"")*tbl_Finance[Date]))),""))</f>
        <v/>
      </c>
      <c r="B383" s="25">
        <f>IF(C383="","",IF(COUNTIFS(tbl_Finance[Job Number],C383&amp;"",tbl_Finance[Xero Invoice No],"&lt;&gt;")=0,"",IFERROR(IF(COUNTIFS(tbl_Finance[Job Number],C383&amp;"",tbl_Finance[Xero Invoice No],LOOKUP(2,1/((tbl_Finance[Job Number]=C383&amp;"")*(tbl_Finance[Xero Invoice No]&lt;&gt;"")),tbl_Finance[Xero Invoice No]))=COUNTIFS(tbl_Finance[Job Number],C383&amp;"",tbl_Finance[Xero Invoice No],"&lt;&gt;"),LOOKUP(2,1/((tbl_Finance[Job Number]=C383&amp;"")*(tbl_Finance[Xero Invoice No]&lt;&gt;"")),tbl_Finance[Xero Invoice No]),LOOKUP(2,1/((tbl_Finance[Job Number]=C383&amp;"")*(tbl_Finance[Xero Invoice No]&lt;&gt;"")),tbl_Finance[Xero Invoice No])&amp;" +more"),"")))</f>
        <v/>
      </c>
      <c r="C383" s="24" t="n"/>
      <c r="D383" s="25">
        <f>IF(C383="","",IF(COUNTIF(lst_Jobs,C383&amp;"")&gt;0,"OK","CHECK"))</f>
        <v/>
      </c>
      <c r="E383" s="25">
        <f>IF(C383="","",IFERROR(INDEX(lst_JobName,MATCH(C383&amp;"",lst_Jobs,0)),""))</f>
        <v/>
      </c>
      <c r="F383" s="25">
        <f>IF(C383="","",IFERROR(INDEX(tbl_Finance[Client],MATCH(C383&amp;"",tbl_Finance[Job Number],0)),""))</f>
        <v/>
      </c>
      <c r="G383" s="28">
        <f>IF(C383="","",COUNTIFS(tbl_Finance[Job Number],C383&amp;"",tbl_Finance[Ex GST],"&lt;&gt;"))</f>
        <v/>
      </c>
      <c r="H383" s="27">
        <f>IF(C383="","",SUMIFS(tbl_Finance[Ex GST],tbl_Finance[Job Number],C383&amp;""))</f>
        <v/>
      </c>
      <c r="I383" s="27">
        <f>IF(C383="","",SUMIFS(tbl_Finance[Ex GST],tbl_Finance[Job Number],C383&amp;"",tbl_Finance[Xero Invoice No],"&lt;&gt;"))</f>
        <v/>
      </c>
      <c r="J383" s="27">
        <f>IF(C383="","",H383-I383)</f>
        <v/>
      </c>
      <c r="K383" s="25">
        <f>IF(C383="","",IF(G383=0,"not invoiced yet",SUBSTITUTE(TRIM(IF(COUNTIFS(tbl_Finance[Job Number],C383&amp;"",tbl_Finance[Cost Centre],"ONSITE")&gt;0,"ONSITE ","")&amp;IF(COUNTIFS(tbl_Finance[Job Number],C383&amp;"",tbl_Finance[Cost Centre],"PRODUCTION")&gt;0,"PRODUCTION ","")&amp;IF(COUNTIFS(tbl_Finance[Job Number],C383&amp;"",tbl_Finance[Cost Centre],"VIDEO")&gt;0,"VIDEO ","")&amp;IF(COUNTIFS(tbl_Finance[Job Number],C383&amp;"",tbl_Finance[Cost Centre],"INTEGRATION")&gt;0,"INTEGRATION ","")&amp;IF(COUNTIFS(tbl_Finance[Job Number],C383&amp;"",tbl_Finance[Cost Centre],"CONSULTING")&gt;0,"CONSULTING ","")&amp;IF(COUNTIFS(tbl_Finance[Job Number],C383&amp;"",tbl_Finance[Cost Centre],"CTS")&gt;0,"CTS ",""))," ",", ")))</f>
        <v/>
      </c>
      <c r="L383" s="24" t="n"/>
      <c r="M383" s="25">
        <f>IF(L383="","",HYPERLINK(IF(LEFT(L383,4)="http",L383,set_QwilrBase&amp;L383),"Open quote"))</f>
        <v/>
      </c>
      <c r="N383" s="26" t="n"/>
      <c r="O383" s="26" t="n"/>
      <c r="P383" s="26" t="n"/>
      <c r="Q383" s="25">
        <f>IF(C383="","",IF(N(N383)+N(O383)+N(P383)=0,"Not split",IF(ROUND(N(N383)+N(O383)+N(P383),2)=ROUND(H383,2),"OK","MISMATCH")))</f>
        <v/>
      </c>
      <c r="R383" s="26" t="n"/>
      <c r="S383" s="26" t="n"/>
      <c r="T383" s="26" t="n"/>
      <c r="U383" s="27">
        <f>IF(C383="","",N(R383)+N(S383)+N(T383))</f>
        <v/>
      </c>
      <c r="V383" s="27">
        <f>IF(C383="","",H383-U383)</f>
        <v/>
      </c>
      <c r="W383" s="29">
        <f>IFERROR(V383/H383,"")</f>
        <v/>
      </c>
      <c r="X383" s="24" t="n"/>
    </row>
    <row r="384" ht="15" customHeight="1">
      <c r="A384" s="63">
        <f>IF(C384="","",IFERROR(IF(SUMPRODUCT(MAX((tbl_Finance[Job Number]=C384&amp;"")*(tbl_Finance[Xero Invoice No]&lt;&gt;"")*tbl_Finance[Date]))=0,"",SUMPRODUCT(MAX((tbl_Finance[Job Number]=C384&amp;"")*(tbl_Finance[Xero Invoice No]&lt;&gt;"")*tbl_Finance[Date]))),""))</f>
        <v/>
      </c>
      <c r="B384" s="25">
        <f>IF(C384="","",IF(COUNTIFS(tbl_Finance[Job Number],C384&amp;"",tbl_Finance[Xero Invoice No],"&lt;&gt;")=0,"",IFERROR(IF(COUNTIFS(tbl_Finance[Job Number],C384&amp;"",tbl_Finance[Xero Invoice No],LOOKUP(2,1/((tbl_Finance[Job Number]=C384&amp;"")*(tbl_Finance[Xero Invoice No]&lt;&gt;"")),tbl_Finance[Xero Invoice No]))=COUNTIFS(tbl_Finance[Job Number],C384&amp;"",tbl_Finance[Xero Invoice No],"&lt;&gt;"),LOOKUP(2,1/((tbl_Finance[Job Number]=C384&amp;"")*(tbl_Finance[Xero Invoice No]&lt;&gt;"")),tbl_Finance[Xero Invoice No]),LOOKUP(2,1/((tbl_Finance[Job Number]=C384&amp;"")*(tbl_Finance[Xero Invoice No]&lt;&gt;"")),tbl_Finance[Xero Invoice No])&amp;" +more"),"")))</f>
        <v/>
      </c>
      <c r="C384" s="24" t="n"/>
      <c r="D384" s="25">
        <f>IF(C384="","",IF(COUNTIF(lst_Jobs,C384&amp;"")&gt;0,"OK","CHECK"))</f>
        <v/>
      </c>
      <c r="E384" s="25">
        <f>IF(C384="","",IFERROR(INDEX(lst_JobName,MATCH(C384&amp;"",lst_Jobs,0)),""))</f>
        <v/>
      </c>
      <c r="F384" s="25">
        <f>IF(C384="","",IFERROR(INDEX(tbl_Finance[Client],MATCH(C384&amp;"",tbl_Finance[Job Number],0)),""))</f>
        <v/>
      </c>
      <c r="G384" s="28">
        <f>IF(C384="","",COUNTIFS(tbl_Finance[Job Number],C384&amp;"",tbl_Finance[Ex GST],"&lt;&gt;"))</f>
        <v/>
      </c>
      <c r="H384" s="27">
        <f>IF(C384="","",SUMIFS(tbl_Finance[Ex GST],tbl_Finance[Job Number],C384&amp;""))</f>
        <v/>
      </c>
      <c r="I384" s="27">
        <f>IF(C384="","",SUMIFS(tbl_Finance[Ex GST],tbl_Finance[Job Number],C384&amp;"",tbl_Finance[Xero Invoice No],"&lt;&gt;"))</f>
        <v/>
      </c>
      <c r="J384" s="27">
        <f>IF(C384="","",H384-I384)</f>
        <v/>
      </c>
      <c r="K384" s="25">
        <f>IF(C384="","",IF(G384=0,"not invoiced yet",SUBSTITUTE(TRIM(IF(COUNTIFS(tbl_Finance[Job Number],C384&amp;"",tbl_Finance[Cost Centre],"ONSITE")&gt;0,"ONSITE ","")&amp;IF(COUNTIFS(tbl_Finance[Job Number],C384&amp;"",tbl_Finance[Cost Centre],"PRODUCTION")&gt;0,"PRODUCTION ","")&amp;IF(COUNTIFS(tbl_Finance[Job Number],C384&amp;"",tbl_Finance[Cost Centre],"VIDEO")&gt;0,"VIDEO ","")&amp;IF(COUNTIFS(tbl_Finance[Job Number],C384&amp;"",tbl_Finance[Cost Centre],"INTEGRATION")&gt;0,"INTEGRATION ","")&amp;IF(COUNTIFS(tbl_Finance[Job Number],C384&amp;"",tbl_Finance[Cost Centre],"CONSULTING")&gt;0,"CONSULTING ","")&amp;IF(COUNTIFS(tbl_Finance[Job Number],C384&amp;"",tbl_Finance[Cost Centre],"CTS")&gt;0,"CTS ",""))," ",", ")))</f>
        <v/>
      </c>
      <c r="L384" s="24" t="n"/>
      <c r="M384" s="25">
        <f>IF(L384="","",HYPERLINK(IF(LEFT(L384,4)="http",L384,set_QwilrBase&amp;L384),"Open quote"))</f>
        <v/>
      </c>
      <c r="N384" s="26" t="n"/>
      <c r="O384" s="26" t="n"/>
      <c r="P384" s="26" t="n"/>
      <c r="Q384" s="25">
        <f>IF(C384="","",IF(N(N384)+N(O384)+N(P384)=0,"Not split",IF(ROUND(N(N384)+N(O384)+N(P384),2)=ROUND(H384,2),"OK","MISMATCH")))</f>
        <v/>
      </c>
      <c r="R384" s="26" t="n"/>
      <c r="S384" s="26" t="n"/>
      <c r="T384" s="26" t="n"/>
      <c r="U384" s="27">
        <f>IF(C384="","",N(R384)+N(S384)+N(T384))</f>
        <v/>
      </c>
      <c r="V384" s="27">
        <f>IF(C384="","",H384-U384)</f>
        <v/>
      </c>
      <c r="W384" s="29">
        <f>IFERROR(V384/H384,"")</f>
        <v/>
      </c>
      <c r="X384" s="24" t="n"/>
    </row>
    <row r="385" ht="15" customHeight="1">
      <c r="A385" s="63">
        <f>IF(C385="","",IFERROR(IF(SUMPRODUCT(MAX((tbl_Finance[Job Number]=C385&amp;"")*(tbl_Finance[Xero Invoice No]&lt;&gt;"")*tbl_Finance[Date]))=0,"",SUMPRODUCT(MAX((tbl_Finance[Job Number]=C385&amp;"")*(tbl_Finance[Xero Invoice No]&lt;&gt;"")*tbl_Finance[Date]))),""))</f>
        <v/>
      </c>
      <c r="B385" s="25">
        <f>IF(C385="","",IF(COUNTIFS(tbl_Finance[Job Number],C385&amp;"",tbl_Finance[Xero Invoice No],"&lt;&gt;")=0,"",IFERROR(IF(COUNTIFS(tbl_Finance[Job Number],C385&amp;"",tbl_Finance[Xero Invoice No],LOOKUP(2,1/((tbl_Finance[Job Number]=C385&amp;"")*(tbl_Finance[Xero Invoice No]&lt;&gt;"")),tbl_Finance[Xero Invoice No]))=COUNTIFS(tbl_Finance[Job Number],C385&amp;"",tbl_Finance[Xero Invoice No],"&lt;&gt;"),LOOKUP(2,1/((tbl_Finance[Job Number]=C385&amp;"")*(tbl_Finance[Xero Invoice No]&lt;&gt;"")),tbl_Finance[Xero Invoice No]),LOOKUP(2,1/((tbl_Finance[Job Number]=C385&amp;"")*(tbl_Finance[Xero Invoice No]&lt;&gt;"")),tbl_Finance[Xero Invoice No])&amp;" +more"),"")))</f>
        <v/>
      </c>
      <c r="C385" s="24" t="n"/>
      <c r="D385" s="25">
        <f>IF(C385="","",IF(COUNTIF(lst_Jobs,C385&amp;"")&gt;0,"OK","CHECK"))</f>
        <v/>
      </c>
      <c r="E385" s="25">
        <f>IF(C385="","",IFERROR(INDEX(lst_JobName,MATCH(C385&amp;"",lst_Jobs,0)),""))</f>
        <v/>
      </c>
      <c r="F385" s="25">
        <f>IF(C385="","",IFERROR(INDEX(tbl_Finance[Client],MATCH(C385&amp;"",tbl_Finance[Job Number],0)),""))</f>
        <v/>
      </c>
      <c r="G385" s="28">
        <f>IF(C385="","",COUNTIFS(tbl_Finance[Job Number],C385&amp;"",tbl_Finance[Ex GST],"&lt;&gt;"))</f>
        <v/>
      </c>
      <c r="H385" s="27">
        <f>IF(C385="","",SUMIFS(tbl_Finance[Ex GST],tbl_Finance[Job Number],C385&amp;""))</f>
        <v/>
      </c>
      <c r="I385" s="27">
        <f>IF(C385="","",SUMIFS(tbl_Finance[Ex GST],tbl_Finance[Job Number],C385&amp;"",tbl_Finance[Xero Invoice No],"&lt;&gt;"))</f>
        <v/>
      </c>
      <c r="J385" s="27">
        <f>IF(C385="","",H385-I385)</f>
        <v/>
      </c>
      <c r="K385" s="25">
        <f>IF(C385="","",IF(G385=0,"not invoiced yet",SUBSTITUTE(TRIM(IF(COUNTIFS(tbl_Finance[Job Number],C385&amp;"",tbl_Finance[Cost Centre],"ONSITE")&gt;0,"ONSITE ","")&amp;IF(COUNTIFS(tbl_Finance[Job Number],C385&amp;"",tbl_Finance[Cost Centre],"PRODUCTION")&gt;0,"PRODUCTION ","")&amp;IF(COUNTIFS(tbl_Finance[Job Number],C385&amp;"",tbl_Finance[Cost Centre],"VIDEO")&gt;0,"VIDEO ","")&amp;IF(COUNTIFS(tbl_Finance[Job Number],C385&amp;"",tbl_Finance[Cost Centre],"INTEGRATION")&gt;0,"INTEGRATION ","")&amp;IF(COUNTIFS(tbl_Finance[Job Number],C385&amp;"",tbl_Finance[Cost Centre],"CONSULTING")&gt;0,"CONSULTING ","")&amp;IF(COUNTIFS(tbl_Finance[Job Number],C385&amp;"",tbl_Finance[Cost Centre],"CTS")&gt;0,"CTS ",""))," ",", ")))</f>
        <v/>
      </c>
      <c r="L385" s="24" t="n"/>
      <c r="M385" s="25">
        <f>IF(L385="","",HYPERLINK(IF(LEFT(L385,4)="http",L385,set_QwilrBase&amp;L385),"Open quote"))</f>
        <v/>
      </c>
      <c r="N385" s="26" t="n"/>
      <c r="O385" s="26" t="n"/>
      <c r="P385" s="26" t="n"/>
      <c r="Q385" s="25">
        <f>IF(C385="","",IF(N(N385)+N(O385)+N(P385)=0,"Not split",IF(ROUND(N(N385)+N(O385)+N(P385),2)=ROUND(H385,2),"OK","MISMATCH")))</f>
        <v/>
      </c>
      <c r="R385" s="26" t="n"/>
      <c r="S385" s="26" t="n"/>
      <c r="T385" s="26" t="n"/>
      <c r="U385" s="27">
        <f>IF(C385="","",N(R385)+N(S385)+N(T385))</f>
        <v/>
      </c>
      <c r="V385" s="27">
        <f>IF(C385="","",H385-U385)</f>
        <v/>
      </c>
      <c r="W385" s="29">
        <f>IFERROR(V385/H385,"")</f>
        <v/>
      </c>
      <c r="X385" s="24" t="n"/>
    </row>
    <row r="386" ht="15" customHeight="1">
      <c r="A386" s="63">
        <f>IF(C386="","",IFERROR(IF(SUMPRODUCT(MAX((tbl_Finance[Job Number]=C386&amp;"")*(tbl_Finance[Xero Invoice No]&lt;&gt;"")*tbl_Finance[Date]))=0,"",SUMPRODUCT(MAX((tbl_Finance[Job Number]=C386&amp;"")*(tbl_Finance[Xero Invoice No]&lt;&gt;"")*tbl_Finance[Date]))),""))</f>
        <v/>
      </c>
      <c r="B386" s="25">
        <f>IF(C386="","",IF(COUNTIFS(tbl_Finance[Job Number],C386&amp;"",tbl_Finance[Xero Invoice No],"&lt;&gt;")=0,"",IFERROR(IF(COUNTIFS(tbl_Finance[Job Number],C386&amp;"",tbl_Finance[Xero Invoice No],LOOKUP(2,1/((tbl_Finance[Job Number]=C386&amp;"")*(tbl_Finance[Xero Invoice No]&lt;&gt;"")),tbl_Finance[Xero Invoice No]))=COUNTIFS(tbl_Finance[Job Number],C386&amp;"",tbl_Finance[Xero Invoice No],"&lt;&gt;"),LOOKUP(2,1/((tbl_Finance[Job Number]=C386&amp;"")*(tbl_Finance[Xero Invoice No]&lt;&gt;"")),tbl_Finance[Xero Invoice No]),LOOKUP(2,1/((tbl_Finance[Job Number]=C386&amp;"")*(tbl_Finance[Xero Invoice No]&lt;&gt;"")),tbl_Finance[Xero Invoice No])&amp;" +more"),"")))</f>
        <v/>
      </c>
      <c r="C386" s="24" t="n"/>
      <c r="D386" s="25">
        <f>IF(C386="","",IF(COUNTIF(lst_Jobs,C386&amp;"")&gt;0,"OK","CHECK"))</f>
        <v/>
      </c>
      <c r="E386" s="25">
        <f>IF(C386="","",IFERROR(INDEX(lst_JobName,MATCH(C386&amp;"",lst_Jobs,0)),""))</f>
        <v/>
      </c>
      <c r="F386" s="25">
        <f>IF(C386="","",IFERROR(INDEX(tbl_Finance[Client],MATCH(C386&amp;"",tbl_Finance[Job Number],0)),""))</f>
        <v/>
      </c>
      <c r="G386" s="28">
        <f>IF(C386="","",COUNTIFS(tbl_Finance[Job Number],C386&amp;"",tbl_Finance[Ex GST],"&lt;&gt;"))</f>
        <v/>
      </c>
      <c r="H386" s="27">
        <f>IF(C386="","",SUMIFS(tbl_Finance[Ex GST],tbl_Finance[Job Number],C386&amp;""))</f>
        <v/>
      </c>
      <c r="I386" s="27">
        <f>IF(C386="","",SUMIFS(tbl_Finance[Ex GST],tbl_Finance[Job Number],C386&amp;"",tbl_Finance[Xero Invoice No],"&lt;&gt;"))</f>
        <v/>
      </c>
      <c r="J386" s="27">
        <f>IF(C386="","",H386-I386)</f>
        <v/>
      </c>
      <c r="K386" s="25">
        <f>IF(C386="","",IF(G386=0,"not invoiced yet",SUBSTITUTE(TRIM(IF(COUNTIFS(tbl_Finance[Job Number],C386&amp;"",tbl_Finance[Cost Centre],"ONSITE")&gt;0,"ONSITE ","")&amp;IF(COUNTIFS(tbl_Finance[Job Number],C386&amp;"",tbl_Finance[Cost Centre],"PRODUCTION")&gt;0,"PRODUCTION ","")&amp;IF(COUNTIFS(tbl_Finance[Job Number],C386&amp;"",tbl_Finance[Cost Centre],"VIDEO")&gt;0,"VIDEO ","")&amp;IF(COUNTIFS(tbl_Finance[Job Number],C386&amp;"",tbl_Finance[Cost Centre],"INTEGRATION")&gt;0,"INTEGRATION ","")&amp;IF(COUNTIFS(tbl_Finance[Job Number],C386&amp;"",tbl_Finance[Cost Centre],"CONSULTING")&gt;0,"CONSULTING ","")&amp;IF(COUNTIFS(tbl_Finance[Job Number],C386&amp;"",tbl_Finance[Cost Centre],"CTS")&gt;0,"CTS ",""))," ",", ")))</f>
        <v/>
      </c>
      <c r="L386" s="24" t="n"/>
      <c r="M386" s="25">
        <f>IF(L386="","",HYPERLINK(IF(LEFT(L386,4)="http",L386,set_QwilrBase&amp;L386),"Open quote"))</f>
        <v/>
      </c>
      <c r="N386" s="26" t="n"/>
      <c r="O386" s="26" t="n"/>
      <c r="P386" s="26" t="n"/>
      <c r="Q386" s="25">
        <f>IF(C386="","",IF(N(N386)+N(O386)+N(P386)=0,"Not split",IF(ROUND(N(N386)+N(O386)+N(P386),2)=ROUND(H386,2),"OK","MISMATCH")))</f>
        <v/>
      </c>
      <c r="R386" s="26" t="n"/>
      <c r="S386" s="26" t="n"/>
      <c r="T386" s="26" t="n"/>
      <c r="U386" s="27">
        <f>IF(C386="","",N(R386)+N(S386)+N(T386))</f>
        <v/>
      </c>
      <c r="V386" s="27">
        <f>IF(C386="","",H386-U386)</f>
        <v/>
      </c>
      <c r="W386" s="29">
        <f>IFERROR(V386/H386,"")</f>
        <v/>
      </c>
      <c r="X386" s="24" t="n"/>
    </row>
    <row r="387" ht="15" customHeight="1">
      <c r="A387" s="63">
        <f>IF(C387="","",IFERROR(IF(SUMPRODUCT(MAX((tbl_Finance[Job Number]=C387&amp;"")*(tbl_Finance[Xero Invoice No]&lt;&gt;"")*tbl_Finance[Date]))=0,"",SUMPRODUCT(MAX((tbl_Finance[Job Number]=C387&amp;"")*(tbl_Finance[Xero Invoice No]&lt;&gt;"")*tbl_Finance[Date]))),""))</f>
        <v/>
      </c>
      <c r="B387" s="25">
        <f>IF(C387="","",IF(COUNTIFS(tbl_Finance[Job Number],C387&amp;"",tbl_Finance[Xero Invoice No],"&lt;&gt;")=0,"",IFERROR(IF(COUNTIFS(tbl_Finance[Job Number],C387&amp;"",tbl_Finance[Xero Invoice No],LOOKUP(2,1/((tbl_Finance[Job Number]=C387&amp;"")*(tbl_Finance[Xero Invoice No]&lt;&gt;"")),tbl_Finance[Xero Invoice No]))=COUNTIFS(tbl_Finance[Job Number],C387&amp;"",tbl_Finance[Xero Invoice No],"&lt;&gt;"),LOOKUP(2,1/((tbl_Finance[Job Number]=C387&amp;"")*(tbl_Finance[Xero Invoice No]&lt;&gt;"")),tbl_Finance[Xero Invoice No]),LOOKUP(2,1/((tbl_Finance[Job Number]=C387&amp;"")*(tbl_Finance[Xero Invoice No]&lt;&gt;"")),tbl_Finance[Xero Invoice No])&amp;" +more"),"")))</f>
        <v/>
      </c>
      <c r="C387" s="24" t="n"/>
      <c r="D387" s="25">
        <f>IF(C387="","",IF(COUNTIF(lst_Jobs,C387&amp;"")&gt;0,"OK","CHECK"))</f>
        <v/>
      </c>
      <c r="E387" s="25">
        <f>IF(C387="","",IFERROR(INDEX(lst_JobName,MATCH(C387&amp;"",lst_Jobs,0)),""))</f>
        <v/>
      </c>
      <c r="F387" s="25">
        <f>IF(C387="","",IFERROR(INDEX(tbl_Finance[Client],MATCH(C387&amp;"",tbl_Finance[Job Number],0)),""))</f>
        <v/>
      </c>
      <c r="G387" s="28">
        <f>IF(C387="","",COUNTIFS(tbl_Finance[Job Number],C387&amp;"",tbl_Finance[Ex GST],"&lt;&gt;"))</f>
        <v/>
      </c>
      <c r="H387" s="27">
        <f>IF(C387="","",SUMIFS(tbl_Finance[Ex GST],tbl_Finance[Job Number],C387&amp;""))</f>
        <v/>
      </c>
      <c r="I387" s="27">
        <f>IF(C387="","",SUMIFS(tbl_Finance[Ex GST],tbl_Finance[Job Number],C387&amp;"",tbl_Finance[Xero Invoice No],"&lt;&gt;"))</f>
        <v/>
      </c>
      <c r="J387" s="27">
        <f>IF(C387="","",H387-I387)</f>
        <v/>
      </c>
      <c r="K387" s="25">
        <f>IF(C387="","",IF(G387=0,"not invoiced yet",SUBSTITUTE(TRIM(IF(COUNTIFS(tbl_Finance[Job Number],C387&amp;"",tbl_Finance[Cost Centre],"ONSITE")&gt;0,"ONSITE ","")&amp;IF(COUNTIFS(tbl_Finance[Job Number],C387&amp;"",tbl_Finance[Cost Centre],"PRODUCTION")&gt;0,"PRODUCTION ","")&amp;IF(COUNTIFS(tbl_Finance[Job Number],C387&amp;"",tbl_Finance[Cost Centre],"VIDEO")&gt;0,"VIDEO ","")&amp;IF(COUNTIFS(tbl_Finance[Job Number],C387&amp;"",tbl_Finance[Cost Centre],"INTEGRATION")&gt;0,"INTEGRATION ","")&amp;IF(COUNTIFS(tbl_Finance[Job Number],C387&amp;"",tbl_Finance[Cost Centre],"CONSULTING")&gt;0,"CONSULTING ","")&amp;IF(COUNTIFS(tbl_Finance[Job Number],C387&amp;"",tbl_Finance[Cost Centre],"CTS")&gt;0,"CTS ",""))," ",", ")))</f>
        <v/>
      </c>
      <c r="L387" s="24" t="n"/>
      <c r="M387" s="25">
        <f>IF(L387="","",HYPERLINK(IF(LEFT(L387,4)="http",L387,set_QwilrBase&amp;L387),"Open quote"))</f>
        <v/>
      </c>
      <c r="N387" s="26" t="n"/>
      <c r="O387" s="26" t="n"/>
      <c r="P387" s="26" t="n"/>
      <c r="Q387" s="25">
        <f>IF(C387="","",IF(N(N387)+N(O387)+N(P387)=0,"Not split",IF(ROUND(N(N387)+N(O387)+N(P387),2)=ROUND(H387,2),"OK","MISMATCH")))</f>
        <v/>
      </c>
      <c r="R387" s="26" t="n"/>
      <c r="S387" s="26" t="n"/>
      <c r="T387" s="26" t="n"/>
      <c r="U387" s="27">
        <f>IF(C387="","",N(R387)+N(S387)+N(T387))</f>
        <v/>
      </c>
      <c r="V387" s="27">
        <f>IF(C387="","",H387-U387)</f>
        <v/>
      </c>
      <c r="W387" s="29">
        <f>IFERROR(V387/H387,"")</f>
        <v/>
      </c>
      <c r="X387" s="24" t="n"/>
    </row>
    <row r="388" ht="15" customHeight="1">
      <c r="A388" s="63">
        <f>IF(C388="","",IFERROR(IF(SUMPRODUCT(MAX((tbl_Finance[Job Number]=C388&amp;"")*(tbl_Finance[Xero Invoice No]&lt;&gt;"")*tbl_Finance[Date]))=0,"",SUMPRODUCT(MAX((tbl_Finance[Job Number]=C388&amp;"")*(tbl_Finance[Xero Invoice No]&lt;&gt;"")*tbl_Finance[Date]))),""))</f>
        <v/>
      </c>
      <c r="B388" s="25">
        <f>IF(C388="","",IF(COUNTIFS(tbl_Finance[Job Number],C388&amp;"",tbl_Finance[Xero Invoice No],"&lt;&gt;")=0,"",IFERROR(IF(COUNTIFS(tbl_Finance[Job Number],C388&amp;"",tbl_Finance[Xero Invoice No],LOOKUP(2,1/((tbl_Finance[Job Number]=C388&amp;"")*(tbl_Finance[Xero Invoice No]&lt;&gt;"")),tbl_Finance[Xero Invoice No]))=COUNTIFS(tbl_Finance[Job Number],C388&amp;"",tbl_Finance[Xero Invoice No],"&lt;&gt;"),LOOKUP(2,1/((tbl_Finance[Job Number]=C388&amp;"")*(tbl_Finance[Xero Invoice No]&lt;&gt;"")),tbl_Finance[Xero Invoice No]),LOOKUP(2,1/((tbl_Finance[Job Number]=C388&amp;"")*(tbl_Finance[Xero Invoice No]&lt;&gt;"")),tbl_Finance[Xero Invoice No])&amp;" +more"),"")))</f>
        <v/>
      </c>
      <c r="C388" s="24" t="n"/>
      <c r="D388" s="25">
        <f>IF(C388="","",IF(COUNTIF(lst_Jobs,C388&amp;"")&gt;0,"OK","CHECK"))</f>
        <v/>
      </c>
      <c r="E388" s="25">
        <f>IF(C388="","",IFERROR(INDEX(lst_JobName,MATCH(C388&amp;"",lst_Jobs,0)),""))</f>
        <v/>
      </c>
      <c r="F388" s="25">
        <f>IF(C388="","",IFERROR(INDEX(tbl_Finance[Client],MATCH(C388&amp;"",tbl_Finance[Job Number],0)),""))</f>
        <v/>
      </c>
      <c r="G388" s="28">
        <f>IF(C388="","",COUNTIFS(tbl_Finance[Job Number],C388&amp;"",tbl_Finance[Ex GST],"&lt;&gt;"))</f>
        <v/>
      </c>
      <c r="H388" s="27">
        <f>IF(C388="","",SUMIFS(tbl_Finance[Ex GST],tbl_Finance[Job Number],C388&amp;""))</f>
        <v/>
      </c>
      <c r="I388" s="27">
        <f>IF(C388="","",SUMIFS(tbl_Finance[Ex GST],tbl_Finance[Job Number],C388&amp;"",tbl_Finance[Xero Invoice No],"&lt;&gt;"))</f>
        <v/>
      </c>
      <c r="J388" s="27">
        <f>IF(C388="","",H388-I388)</f>
        <v/>
      </c>
      <c r="K388" s="25">
        <f>IF(C388="","",IF(G388=0,"not invoiced yet",SUBSTITUTE(TRIM(IF(COUNTIFS(tbl_Finance[Job Number],C388&amp;"",tbl_Finance[Cost Centre],"ONSITE")&gt;0,"ONSITE ","")&amp;IF(COUNTIFS(tbl_Finance[Job Number],C388&amp;"",tbl_Finance[Cost Centre],"PRODUCTION")&gt;0,"PRODUCTION ","")&amp;IF(COUNTIFS(tbl_Finance[Job Number],C388&amp;"",tbl_Finance[Cost Centre],"VIDEO")&gt;0,"VIDEO ","")&amp;IF(COUNTIFS(tbl_Finance[Job Number],C388&amp;"",tbl_Finance[Cost Centre],"INTEGRATION")&gt;0,"INTEGRATION ","")&amp;IF(COUNTIFS(tbl_Finance[Job Number],C388&amp;"",tbl_Finance[Cost Centre],"CONSULTING")&gt;0,"CONSULTING ","")&amp;IF(COUNTIFS(tbl_Finance[Job Number],C388&amp;"",tbl_Finance[Cost Centre],"CTS")&gt;0,"CTS ",""))," ",", ")))</f>
        <v/>
      </c>
      <c r="L388" s="24" t="n"/>
      <c r="M388" s="25">
        <f>IF(L388="","",HYPERLINK(IF(LEFT(L388,4)="http",L388,set_QwilrBase&amp;L388),"Open quote"))</f>
        <v/>
      </c>
      <c r="N388" s="26" t="n"/>
      <c r="O388" s="26" t="n"/>
      <c r="P388" s="26" t="n"/>
      <c r="Q388" s="25">
        <f>IF(C388="","",IF(N(N388)+N(O388)+N(P388)=0,"Not split",IF(ROUND(N(N388)+N(O388)+N(P388),2)=ROUND(H388,2),"OK","MISMATCH")))</f>
        <v/>
      </c>
      <c r="R388" s="26" t="n"/>
      <c r="S388" s="26" t="n"/>
      <c r="T388" s="26" t="n"/>
      <c r="U388" s="27">
        <f>IF(C388="","",N(R388)+N(S388)+N(T388))</f>
        <v/>
      </c>
      <c r="V388" s="27">
        <f>IF(C388="","",H388-U388)</f>
        <v/>
      </c>
      <c r="W388" s="29">
        <f>IFERROR(V388/H388,"")</f>
        <v/>
      </c>
      <c r="X388" s="24" t="n"/>
    </row>
    <row r="389" ht="15" customHeight="1">
      <c r="A389" s="63">
        <f>IF(C389="","",IFERROR(IF(SUMPRODUCT(MAX((tbl_Finance[Job Number]=C389&amp;"")*(tbl_Finance[Xero Invoice No]&lt;&gt;"")*tbl_Finance[Date]))=0,"",SUMPRODUCT(MAX((tbl_Finance[Job Number]=C389&amp;"")*(tbl_Finance[Xero Invoice No]&lt;&gt;"")*tbl_Finance[Date]))),""))</f>
        <v/>
      </c>
      <c r="B389" s="25">
        <f>IF(C389="","",IF(COUNTIFS(tbl_Finance[Job Number],C389&amp;"",tbl_Finance[Xero Invoice No],"&lt;&gt;")=0,"",IFERROR(IF(COUNTIFS(tbl_Finance[Job Number],C389&amp;"",tbl_Finance[Xero Invoice No],LOOKUP(2,1/((tbl_Finance[Job Number]=C389&amp;"")*(tbl_Finance[Xero Invoice No]&lt;&gt;"")),tbl_Finance[Xero Invoice No]))=COUNTIFS(tbl_Finance[Job Number],C389&amp;"",tbl_Finance[Xero Invoice No],"&lt;&gt;"),LOOKUP(2,1/((tbl_Finance[Job Number]=C389&amp;"")*(tbl_Finance[Xero Invoice No]&lt;&gt;"")),tbl_Finance[Xero Invoice No]),LOOKUP(2,1/((tbl_Finance[Job Number]=C389&amp;"")*(tbl_Finance[Xero Invoice No]&lt;&gt;"")),tbl_Finance[Xero Invoice No])&amp;" +more"),"")))</f>
        <v/>
      </c>
      <c r="C389" s="24" t="n"/>
      <c r="D389" s="25">
        <f>IF(C389="","",IF(COUNTIF(lst_Jobs,C389&amp;"")&gt;0,"OK","CHECK"))</f>
        <v/>
      </c>
      <c r="E389" s="25">
        <f>IF(C389="","",IFERROR(INDEX(lst_JobName,MATCH(C389&amp;"",lst_Jobs,0)),""))</f>
        <v/>
      </c>
      <c r="F389" s="25">
        <f>IF(C389="","",IFERROR(INDEX(tbl_Finance[Client],MATCH(C389&amp;"",tbl_Finance[Job Number],0)),""))</f>
        <v/>
      </c>
      <c r="G389" s="28">
        <f>IF(C389="","",COUNTIFS(tbl_Finance[Job Number],C389&amp;"",tbl_Finance[Ex GST],"&lt;&gt;"))</f>
        <v/>
      </c>
      <c r="H389" s="27">
        <f>IF(C389="","",SUMIFS(tbl_Finance[Ex GST],tbl_Finance[Job Number],C389&amp;""))</f>
        <v/>
      </c>
      <c r="I389" s="27">
        <f>IF(C389="","",SUMIFS(tbl_Finance[Ex GST],tbl_Finance[Job Number],C389&amp;"",tbl_Finance[Xero Invoice No],"&lt;&gt;"))</f>
        <v/>
      </c>
      <c r="J389" s="27">
        <f>IF(C389="","",H389-I389)</f>
        <v/>
      </c>
      <c r="K389" s="25">
        <f>IF(C389="","",IF(G389=0,"not invoiced yet",SUBSTITUTE(TRIM(IF(COUNTIFS(tbl_Finance[Job Number],C389&amp;"",tbl_Finance[Cost Centre],"ONSITE")&gt;0,"ONSITE ","")&amp;IF(COUNTIFS(tbl_Finance[Job Number],C389&amp;"",tbl_Finance[Cost Centre],"PRODUCTION")&gt;0,"PRODUCTION ","")&amp;IF(COUNTIFS(tbl_Finance[Job Number],C389&amp;"",tbl_Finance[Cost Centre],"VIDEO")&gt;0,"VIDEO ","")&amp;IF(COUNTIFS(tbl_Finance[Job Number],C389&amp;"",tbl_Finance[Cost Centre],"INTEGRATION")&gt;0,"INTEGRATION ","")&amp;IF(COUNTIFS(tbl_Finance[Job Number],C389&amp;"",tbl_Finance[Cost Centre],"CONSULTING")&gt;0,"CONSULTING ","")&amp;IF(COUNTIFS(tbl_Finance[Job Number],C389&amp;"",tbl_Finance[Cost Centre],"CTS")&gt;0,"CTS ",""))," ",", ")))</f>
        <v/>
      </c>
      <c r="L389" s="24" t="n"/>
      <c r="M389" s="25">
        <f>IF(L389="","",HYPERLINK(IF(LEFT(L389,4)="http",L389,set_QwilrBase&amp;L389),"Open quote"))</f>
        <v/>
      </c>
      <c r="N389" s="26" t="n"/>
      <c r="O389" s="26" t="n"/>
      <c r="P389" s="26" t="n"/>
      <c r="Q389" s="25">
        <f>IF(C389="","",IF(N(N389)+N(O389)+N(P389)=0,"Not split",IF(ROUND(N(N389)+N(O389)+N(P389),2)=ROUND(H389,2),"OK","MISMATCH")))</f>
        <v/>
      </c>
      <c r="R389" s="26" t="n"/>
      <c r="S389" s="26" t="n"/>
      <c r="T389" s="26" t="n"/>
      <c r="U389" s="27">
        <f>IF(C389="","",N(R389)+N(S389)+N(T389))</f>
        <v/>
      </c>
      <c r="V389" s="27">
        <f>IF(C389="","",H389-U389)</f>
        <v/>
      </c>
      <c r="W389" s="29">
        <f>IFERROR(V389/H389,"")</f>
        <v/>
      </c>
      <c r="X389" s="24" t="n"/>
    </row>
    <row r="390" ht="15" customHeight="1">
      <c r="A390" s="63">
        <f>IF(C390="","",IFERROR(IF(SUMPRODUCT(MAX((tbl_Finance[Job Number]=C390&amp;"")*(tbl_Finance[Xero Invoice No]&lt;&gt;"")*tbl_Finance[Date]))=0,"",SUMPRODUCT(MAX((tbl_Finance[Job Number]=C390&amp;"")*(tbl_Finance[Xero Invoice No]&lt;&gt;"")*tbl_Finance[Date]))),""))</f>
        <v/>
      </c>
      <c r="B390" s="25">
        <f>IF(C390="","",IF(COUNTIFS(tbl_Finance[Job Number],C390&amp;"",tbl_Finance[Xero Invoice No],"&lt;&gt;")=0,"",IFERROR(IF(COUNTIFS(tbl_Finance[Job Number],C390&amp;"",tbl_Finance[Xero Invoice No],LOOKUP(2,1/((tbl_Finance[Job Number]=C390&amp;"")*(tbl_Finance[Xero Invoice No]&lt;&gt;"")),tbl_Finance[Xero Invoice No]))=COUNTIFS(tbl_Finance[Job Number],C390&amp;"",tbl_Finance[Xero Invoice No],"&lt;&gt;"),LOOKUP(2,1/((tbl_Finance[Job Number]=C390&amp;"")*(tbl_Finance[Xero Invoice No]&lt;&gt;"")),tbl_Finance[Xero Invoice No]),LOOKUP(2,1/((tbl_Finance[Job Number]=C390&amp;"")*(tbl_Finance[Xero Invoice No]&lt;&gt;"")),tbl_Finance[Xero Invoice No])&amp;" +more"),"")))</f>
        <v/>
      </c>
      <c r="C390" s="24" t="n"/>
      <c r="D390" s="25">
        <f>IF(C390="","",IF(COUNTIF(lst_Jobs,C390&amp;"")&gt;0,"OK","CHECK"))</f>
        <v/>
      </c>
      <c r="E390" s="25">
        <f>IF(C390="","",IFERROR(INDEX(lst_JobName,MATCH(C390&amp;"",lst_Jobs,0)),""))</f>
        <v/>
      </c>
      <c r="F390" s="25">
        <f>IF(C390="","",IFERROR(INDEX(tbl_Finance[Client],MATCH(C390&amp;"",tbl_Finance[Job Number],0)),""))</f>
        <v/>
      </c>
      <c r="G390" s="28">
        <f>IF(C390="","",COUNTIFS(tbl_Finance[Job Number],C390&amp;"",tbl_Finance[Ex GST],"&lt;&gt;"))</f>
        <v/>
      </c>
      <c r="H390" s="27">
        <f>IF(C390="","",SUMIFS(tbl_Finance[Ex GST],tbl_Finance[Job Number],C390&amp;""))</f>
        <v/>
      </c>
      <c r="I390" s="27">
        <f>IF(C390="","",SUMIFS(tbl_Finance[Ex GST],tbl_Finance[Job Number],C390&amp;"",tbl_Finance[Xero Invoice No],"&lt;&gt;"))</f>
        <v/>
      </c>
      <c r="J390" s="27">
        <f>IF(C390="","",H390-I390)</f>
        <v/>
      </c>
      <c r="K390" s="25">
        <f>IF(C390="","",IF(G390=0,"not invoiced yet",SUBSTITUTE(TRIM(IF(COUNTIFS(tbl_Finance[Job Number],C390&amp;"",tbl_Finance[Cost Centre],"ONSITE")&gt;0,"ONSITE ","")&amp;IF(COUNTIFS(tbl_Finance[Job Number],C390&amp;"",tbl_Finance[Cost Centre],"PRODUCTION")&gt;0,"PRODUCTION ","")&amp;IF(COUNTIFS(tbl_Finance[Job Number],C390&amp;"",tbl_Finance[Cost Centre],"VIDEO")&gt;0,"VIDEO ","")&amp;IF(COUNTIFS(tbl_Finance[Job Number],C390&amp;"",tbl_Finance[Cost Centre],"INTEGRATION")&gt;0,"INTEGRATION ","")&amp;IF(COUNTIFS(tbl_Finance[Job Number],C390&amp;"",tbl_Finance[Cost Centre],"CONSULTING")&gt;0,"CONSULTING ","")&amp;IF(COUNTIFS(tbl_Finance[Job Number],C390&amp;"",tbl_Finance[Cost Centre],"CTS")&gt;0,"CTS ",""))," ",", ")))</f>
        <v/>
      </c>
      <c r="L390" s="24" t="n"/>
      <c r="M390" s="25">
        <f>IF(L390="","",HYPERLINK(IF(LEFT(L390,4)="http",L390,set_QwilrBase&amp;L390),"Open quote"))</f>
        <v/>
      </c>
      <c r="N390" s="26" t="n"/>
      <c r="O390" s="26" t="n"/>
      <c r="P390" s="26" t="n"/>
      <c r="Q390" s="25">
        <f>IF(C390="","",IF(N(N390)+N(O390)+N(P390)=0,"Not split",IF(ROUND(N(N390)+N(O390)+N(P390),2)=ROUND(H390,2),"OK","MISMATCH")))</f>
        <v/>
      </c>
      <c r="R390" s="26" t="n"/>
      <c r="S390" s="26" t="n"/>
      <c r="T390" s="26" t="n"/>
      <c r="U390" s="27">
        <f>IF(C390="","",N(R390)+N(S390)+N(T390))</f>
        <v/>
      </c>
      <c r="V390" s="27">
        <f>IF(C390="","",H390-U390)</f>
        <v/>
      </c>
      <c r="W390" s="29">
        <f>IFERROR(V390/H390,"")</f>
        <v/>
      </c>
      <c r="X390" s="24" t="n"/>
    </row>
    <row r="391" ht="15" customHeight="1">
      <c r="A391" s="63">
        <f>IF(C391="","",IFERROR(IF(SUMPRODUCT(MAX((tbl_Finance[Job Number]=C391&amp;"")*(tbl_Finance[Xero Invoice No]&lt;&gt;"")*tbl_Finance[Date]))=0,"",SUMPRODUCT(MAX((tbl_Finance[Job Number]=C391&amp;"")*(tbl_Finance[Xero Invoice No]&lt;&gt;"")*tbl_Finance[Date]))),""))</f>
        <v/>
      </c>
      <c r="B391" s="25">
        <f>IF(C391="","",IF(COUNTIFS(tbl_Finance[Job Number],C391&amp;"",tbl_Finance[Xero Invoice No],"&lt;&gt;")=0,"",IFERROR(IF(COUNTIFS(tbl_Finance[Job Number],C391&amp;"",tbl_Finance[Xero Invoice No],LOOKUP(2,1/((tbl_Finance[Job Number]=C391&amp;"")*(tbl_Finance[Xero Invoice No]&lt;&gt;"")),tbl_Finance[Xero Invoice No]))=COUNTIFS(tbl_Finance[Job Number],C391&amp;"",tbl_Finance[Xero Invoice No],"&lt;&gt;"),LOOKUP(2,1/((tbl_Finance[Job Number]=C391&amp;"")*(tbl_Finance[Xero Invoice No]&lt;&gt;"")),tbl_Finance[Xero Invoice No]),LOOKUP(2,1/((tbl_Finance[Job Number]=C391&amp;"")*(tbl_Finance[Xero Invoice No]&lt;&gt;"")),tbl_Finance[Xero Invoice No])&amp;" +more"),"")))</f>
        <v/>
      </c>
      <c r="C391" s="24" t="n"/>
      <c r="D391" s="25">
        <f>IF(C391="","",IF(COUNTIF(lst_Jobs,C391&amp;"")&gt;0,"OK","CHECK"))</f>
        <v/>
      </c>
      <c r="E391" s="25">
        <f>IF(C391="","",IFERROR(INDEX(lst_JobName,MATCH(C391&amp;"",lst_Jobs,0)),""))</f>
        <v/>
      </c>
      <c r="F391" s="25">
        <f>IF(C391="","",IFERROR(INDEX(tbl_Finance[Client],MATCH(C391&amp;"",tbl_Finance[Job Number],0)),""))</f>
        <v/>
      </c>
      <c r="G391" s="28">
        <f>IF(C391="","",COUNTIFS(tbl_Finance[Job Number],C391&amp;"",tbl_Finance[Ex GST],"&lt;&gt;"))</f>
        <v/>
      </c>
      <c r="H391" s="27">
        <f>IF(C391="","",SUMIFS(tbl_Finance[Ex GST],tbl_Finance[Job Number],C391&amp;""))</f>
        <v/>
      </c>
      <c r="I391" s="27">
        <f>IF(C391="","",SUMIFS(tbl_Finance[Ex GST],tbl_Finance[Job Number],C391&amp;"",tbl_Finance[Xero Invoice No],"&lt;&gt;"))</f>
        <v/>
      </c>
      <c r="J391" s="27">
        <f>IF(C391="","",H391-I391)</f>
        <v/>
      </c>
      <c r="K391" s="25">
        <f>IF(C391="","",IF(G391=0,"not invoiced yet",SUBSTITUTE(TRIM(IF(COUNTIFS(tbl_Finance[Job Number],C391&amp;"",tbl_Finance[Cost Centre],"ONSITE")&gt;0,"ONSITE ","")&amp;IF(COUNTIFS(tbl_Finance[Job Number],C391&amp;"",tbl_Finance[Cost Centre],"PRODUCTION")&gt;0,"PRODUCTION ","")&amp;IF(COUNTIFS(tbl_Finance[Job Number],C391&amp;"",tbl_Finance[Cost Centre],"VIDEO")&gt;0,"VIDEO ","")&amp;IF(COUNTIFS(tbl_Finance[Job Number],C391&amp;"",tbl_Finance[Cost Centre],"INTEGRATION")&gt;0,"INTEGRATION ","")&amp;IF(COUNTIFS(tbl_Finance[Job Number],C391&amp;"",tbl_Finance[Cost Centre],"CONSULTING")&gt;0,"CONSULTING ","")&amp;IF(COUNTIFS(tbl_Finance[Job Number],C391&amp;"",tbl_Finance[Cost Centre],"CTS")&gt;0,"CTS ",""))," ",", ")))</f>
        <v/>
      </c>
      <c r="L391" s="24" t="n"/>
      <c r="M391" s="25">
        <f>IF(L391="","",HYPERLINK(IF(LEFT(L391,4)="http",L391,set_QwilrBase&amp;L391),"Open quote"))</f>
        <v/>
      </c>
      <c r="N391" s="26" t="n"/>
      <c r="O391" s="26" t="n"/>
      <c r="P391" s="26" t="n"/>
      <c r="Q391" s="25">
        <f>IF(C391="","",IF(N(N391)+N(O391)+N(P391)=0,"Not split",IF(ROUND(N(N391)+N(O391)+N(P391),2)=ROUND(H391,2),"OK","MISMATCH")))</f>
        <v/>
      </c>
      <c r="R391" s="26" t="n"/>
      <c r="S391" s="26" t="n"/>
      <c r="T391" s="26" t="n"/>
      <c r="U391" s="27">
        <f>IF(C391="","",N(R391)+N(S391)+N(T391))</f>
        <v/>
      </c>
      <c r="V391" s="27">
        <f>IF(C391="","",H391-U391)</f>
        <v/>
      </c>
      <c r="W391" s="29">
        <f>IFERROR(V391/H391,"")</f>
        <v/>
      </c>
      <c r="X391" s="24" t="n"/>
    </row>
    <row r="392" ht="15" customHeight="1">
      <c r="A392" s="63">
        <f>IF(C392="","",IFERROR(IF(SUMPRODUCT(MAX((tbl_Finance[Job Number]=C392&amp;"")*(tbl_Finance[Xero Invoice No]&lt;&gt;"")*tbl_Finance[Date]))=0,"",SUMPRODUCT(MAX((tbl_Finance[Job Number]=C392&amp;"")*(tbl_Finance[Xero Invoice No]&lt;&gt;"")*tbl_Finance[Date]))),""))</f>
        <v/>
      </c>
      <c r="B392" s="25">
        <f>IF(C392="","",IF(COUNTIFS(tbl_Finance[Job Number],C392&amp;"",tbl_Finance[Xero Invoice No],"&lt;&gt;")=0,"",IFERROR(IF(COUNTIFS(tbl_Finance[Job Number],C392&amp;"",tbl_Finance[Xero Invoice No],LOOKUP(2,1/((tbl_Finance[Job Number]=C392&amp;"")*(tbl_Finance[Xero Invoice No]&lt;&gt;"")),tbl_Finance[Xero Invoice No]))=COUNTIFS(tbl_Finance[Job Number],C392&amp;"",tbl_Finance[Xero Invoice No],"&lt;&gt;"),LOOKUP(2,1/((tbl_Finance[Job Number]=C392&amp;"")*(tbl_Finance[Xero Invoice No]&lt;&gt;"")),tbl_Finance[Xero Invoice No]),LOOKUP(2,1/((tbl_Finance[Job Number]=C392&amp;"")*(tbl_Finance[Xero Invoice No]&lt;&gt;"")),tbl_Finance[Xero Invoice No])&amp;" +more"),"")))</f>
        <v/>
      </c>
      <c r="C392" s="24" t="n"/>
      <c r="D392" s="25">
        <f>IF(C392="","",IF(COUNTIF(lst_Jobs,C392&amp;"")&gt;0,"OK","CHECK"))</f>
        <v/>
      </c>
      <c r="E392" s="25">
        <f>IF(C392="","",IFERROR(INDEX(lst_JobName,MATCH(C392&amp;"",lst_Jobs,0)),""))</f>
        <v/>
      </c>
      <c r="F392" s="25">
        <f>IF(C392="","",IFERROR(INDEX(tbl_Finance[Client],MATCH(C392&amp;"",tbl_Finance[Job Number],0)),""))</f>
        <v/>
      </c>
      <c r="G392" s="28">
        <f>IF(C392="","",COUNTIFS(tbl_Finance[Job Number],C392&amp;"",tbl_Finance[Ex GST],"&lt;&gt;"))</f>
        <v/>
      </c>
      <c r="H392" s="27">
        <f>IF(C392="","",SUMIFS(tbl_Finance[Ex GST],tbl_Finance[Job Number],C392&amp;""))</f>
        <v/>
      </c>
      <c r="I392" s="27">
        <f>IF(C392="","",SUMIFS(tbl_Finance[Ex GST],tbl_Finance[Job Number],C392&amp;"",tbl_Finance[Xero Invoice No],"&lt;&gt;"))</f>
        <v/>
      </c>
      <c r="J392" s="27">
        <f>IF(C392="","",H392-I392)</f>
        <v/>
      </c>
      <c r="K392" s="25">
        <f>IF(C392="","",IF(G392=0,"not invoiced yet",SUBSTITUTE(TRIM(IF(COUNTIFS(tbl_Finance[Job Number],C392&amp;"",tbl_Finance[Cost Centre],"ONSITE")&gt;0,"ONSITE ","")&amp;IF(COUNTIFS(tbl_Finance[Job Number],C392&amp;"",tbl_Finance[Cost Centre],"PRODUCTION")&gt;0,"PRODUCTION ","")&amp;IF(COUNTIFS(tbl_Finance[Job Number],C392&amp;"",tbl_Finance[Cost Centre],"VIDEO")&gt;0,"VIDEO ","")&amp;IF(COUNTIFS(tbl_Finance[Job Number],C392&amp;"",tbl_Finance[Cost Centre],"INTEGRATION")&gt;0,"INTEGRATION ","")&amp;IF(COUNTIFS(tbl_Finance[Job Number],C392&amp;"",tbl_Finance[Cost Centre],"CONSULTING")&gt;0,"CONSULTING ","")&amp;IF(COUNTIFS(tbl_Finance[Job Number],C392&amp;"",tbl_Finance[Cost Centre],"CTS")&gt;0,"CTS ",""))," ",", ")))</f>
        <v/>
      </c>
      <c r="L392" s="24" t="n"/>
      <c r="M392" s="25">
        <f>IF(L392="","",HYPERLINK(IF(LEFT(L392,4)="http",L392,set_QwilrBase&amp;L392),"Open quote"))</f>
        <v/>
      </c>
      <c r="N392" s="26" t="n"/>
      <c r="O392" s="26" t="n"/>
      <c r="P392" s="26" t="n"/>
      <c r="Q392" s="25">
        <f>IF(C392="","",IF(N(N392)+N(O392)+N(P392)=0,"Not split",IF(ROUND(N(N392)+N(O392)+N(P392),2)=ROUND(H392,2),"OK","MISMATCH")))</f>
        <v/>
      </c>
      <c r="R392" s="26" t="n"/>
      <c r="S392" s="26" t="n"/>
      <c r="T392" s="26" t="n"/>
      <c r="U392" s="27">
        <f>IF(C392="","",N(R392)+N(S392)+N(T392))</f>
        <v/>
      </c>
      <c r="V392" s="27">
        <f>IF(C392="","",H392-U392)</f>
        <v/>
      </c>
      <c r="W392" s="29">
        <f>IFERROR(V392/H392,"")</f>
        <v/>
      </c>
      <c r="X392" s="24" t="n"/>
    </row>
    <row r="393" ht="15" customHeight="1">
      <c r="A393" s="63">
        <f>IF(C393="","",IFERROR(IF(SUMPRODUCT(MAX((tbl_Finance[Job Number]=C393&amp;"")*(tbl_Finance[Xero Invoice No]&lt;&gt;"")*tbl_Finance[Date]))=0,"",SUMPRODUCT(MAX((tbl_Finance[Job Number]=C393&amp;"")*(tbl_Finance[Xero Invoice No]&lt;&gt;"")*tbl_Finance[Date]))),""))</f>
        <v/>
      </c>
      <c r="B393" s="25">
        <f>IF(C393="","",IF(COUNTIFS(tbl_Finance[Job Number],C393&amp;"",tbl_Finance[Xero Invoice No],"&lt;&gt;")=0,"",IFERROR(IF(COUNTIFS(tbl_Finance[Job Number],C393&amp;"",tbl_Finance[Xero Invoice No],LOOKUP(2,1/((tbl_Finance[Job Number]=C393&amp;"")*(tbl_Finance[Xero Invoice No]&lt;&gt;"")),tbl_Finance[Xero Invoice No]))=COUNTIFS(tbl_Finance[Job Number],C393&amp;"",tbl_Finance[Xero Invoice No],"&lt;&gt;"),LOOKUP(2,1/((tbl_Finance[Job Number]=C393&amp;"")*(tbl_Finance[Xero Invoice No]&lt;&gt;"")),tbl_Finance[Xero Invoice No]),LOOKUP(2,1/((tbl_Finance[Job Number]=C393&amp;"")*(tbl_Finance[Xero Invoice No]&lt;&gt;"")),tbl_Finance[Xero Invoice No])&amp;" +more"),"")))</f>
        <v/>
      </c>
      <c r="C393" s="24" t="n"/>
      <c r="D393" s="25">
        <f>IF(C393="","",IF(COUNTIF(lst_Jobs,C393&amp;"")&gt;0,"OK","CHECK"))</f>
        <v/>
      </c>
      <c r="E393" s="25">
        <f>IF(C393="","",IFERROR(INDEX(lst_JobName,MATCH(C393&amp;"",lst_Jobs,0)),""))</f>
        <v/>
      </c>
      <c r="F393" s="25">
        <f>IF(C393="","",IFERROR(INDEX(tbl_Finance[Client],MATCH(C393&amp;"",tbl_Finance[Job Number],0)),""))</f>
        <v/>
      </c>
      <c r="G393" s="28">
        <f>IF(C393="","",COUNTIFS(tbl_Finance[Job Number],C393&amp;"",tbl_Finance[Ex GST],"&lt;&gt;"))</f>
        <v/>
      </c>
      <c r="H393" s="27">
        <f>IF(C393="","",SUMIFS(tbl_Finance[Ex GST],tbl_Finance[Job Number],C393&amp;""))</f>
        <v/>
      </c>
      <c r="I393" s="27">
        <f>IF(C393="","",SUMIFS(tbl_Finance[Ex GST],tbl_Finance[Job Number],C393&amp;"",tbl_Finance[Xero Invoice No],"&lt;&gt;"))</f>
        <v/>
      </c>
      <c r="J393" s="27">
        <f>IF(C393="","",H393-I393)</f>
        <v/>
      </c>
      <c r="K393" s="25">
        <f>IF(C393="","",IF(G393=0,"not invoiced yet",SUBSTITUTE(TRIM(IF(COUNTIFS(tbl_Finance[Job Number],C393&amp;"",tbl_Finance[Cost Centre],"ONSITE")&gt;0,"ONSITE ","")&amp;IF(COUNTIFS(tbl_Finance[Job Number],C393&amp;"",tbl_Finance[Cost Centre],"PRODUCTION")&gt;0,"PRODUCTION ","")&amp;IF(COUNTIFS(tbl_Finance[Job Number],C393&amp;"",tbl_Finance[Cost Centre],"VIDEO")&gt;0,"VIDEO ","")&amp;IF(COUNTIFS(tbl_Finance[Job Number],C393&amp;"",tbl_Finance[Cost Centre],"INTEGRATION")&gt;0,"INTEGRATION ","")&amp;IF(COUNTIFS(tbl_Finance[Job Number],C393&amp;"",tbl_Finance[Cost Centre],"CONSULTING")&gt;0,"CONSULTING ","")&amp;IF(COUNTIFS(tbl_Finance[Job Number],C393&amp;"",tbl_Finance[Cost Centre],"CTS")&gt;0,"CTS ",""))," ",", ")))</f>
        <v/>
      </c>
      <c r="L393" s="24" t="n"/>
      <c r="M393" s="25">
        <f>IF(L393="","",HYPERLINK(IF(LEFT(L393,4)="http",L393,set_QwilrBase&amp;L393),"Open quote"))</f>
        <v/>
      </c>
      <c r="N393" s="26" t="n"/>
      <c r="O393" s="26" t="n"/>
      <c r="P393" s="26" t="n"/>
      <c r="Q393" s="25">
        <f>IF(C393="","",IF(N(N393)+N(O393)+N(P393)=0,"Not split",IF(ROUND(N(N393)+N(O393)+N(P393),2)=ROUND(H393,2),"OK","MISMATCH")))</f>
        <v/>
      </c>
      <c r="R393" s="26" t="n"/>
      <c r="S393" s="26" t="n"/>
      <c r="T393" s="26" t="n"/>
      <c r="U393" s="27">
        <f>IF(C393="","",N(R393)+N(S393)+N(T393))</f>
        <v/>
      </c>
      <c r="V393" s="27">
        <f>IF(C393="","",H393-U393)</f>
        <v/>
      </c>
      <c r="W393" s="29">
        <f>IFERROR(V393/H393,"")</f>
        <v/>
      </c>
      <c r="X393" s="24" t="n"/>
    </row>
    <row r="394" ht="15" customHeight="1">
      <c r="A394" s="63">
        <f>IF(C394="","",IFERROR(IF(SUMPRODUCT(MAX((tbl_Finance[Job Number]=C394&amp;"")*(tbl_Finance[Xero Invoice No]&lt;&gt;"")*tbl_Finance[Date]))=0,"",SUMPRODUCT(MAX((tbl_Finance[Job Number]=C394&amp;"")*(tbl_Finance[Xero Invoice No]&lt;&gt;"")*tbl_Finance[Date]))),""))</f>
        <v/>
      </c>
      <c r="B394" s="25">
        <f>IF(C394="","",IF(COUNTIFS(tbl_Finance[Job Number],C394&amp;"",tbl_Finance[Xero Invoice No],"&lt;&gt;")=0,"",IFERROR(IF(COUNTIFS(tbl_Finance[Job Number],C394&amp;"",tbl_Finance[Xero Invoice No],LOOKUP(2,1/((tbl_Finance[Job Number]=C394&amp;"")*(tbl_Finance[Xero Invoice No]&lt;&gt;"")),tbl_Finance[Xero Invoice No]))=COUNTIFS(tbl_Finance[Job Number],C394&amp;"",tbl_Finance[Xero Invoice No],"&lt;&gt;"),LOOKUP(2,1/((tbl_Finance[Job Number]=C394&amp;"")*(tbl_Finance[Xero Invoice No]&lt;&gt;"")),tbl_Finance[Xero Invoice No]),LOOKUP(2,1/((tbl_Finance[Job Number]=C394&amp;"")*(tbl_Finance[Xero Invoice No]&lt;&gt;"")),tbl_Finance[Xero Invoice No])&amp;" +more"),"")))</f>
        <v/>
      </c>
      <c r="C394" s="24" t="n"/>
      <c r="D394" s="25">
        <f>IF(C394="","",IF(COUNTIF(lst_Jobs,C394&amp;"")&gt;0,"OK","CHECK"))</f>
        <v/>
      </c>
      <c r="E394" s="25">
        <f>IF(C394="","",IFERROR(INDEX(lst_JobName,MATCH(C394&amp;"",lst_Jobs,0)),""))</f>
        <v/>
      </c>
      <c r="F394" s="25">
        <f>IF(C394="","",IFERROR(INDEX(tbl_Finance[Client],MATCH(C394&amp;"",tbl_Finance[Job Number],0)),""))</f>
        <v/>
      </c>
      <c r="G394" s="28">
        <f>IF(C394="","",COUNTIFS(tbl_Finance[Job Number],C394&amp;"",tbl_Finance[Ex GST],"&lt;&gt;"))</f>
        <v/>
      </c>
      <c r="H394" s="27">
        <f>IF(C394="","",SUMIFS(tbl_Finance[Ex GST],tbl_Finance[Job Number],C394&amp;""))</f>
        <v/>
      </c>
      <c r="I394" s="27">
        <f>IF(C394="","",SUMIFS(tbl_Finance[Ex GST],tbl_Finance[Job Number],C394&amp;"",tbl_Finance[Xero Invoice No],"&lt;&gt;"))</f>
        <v/>
      </c>
      <c r="J394" s="27">
        <f>IF(C394="","",H394-I394)</f>
        <v/>
      </c>
      <c r="K394" s="25">
        <f>IF(C394="","",IF(G394=0,"not invoiced yet",SUBSTITUTE(TRIM(IF(COUNTIFS(tbl_Finance[Job Number],C394&amp;"",tbl_Finance[Cost Centre],"ONSITE")&gt;0,"ONSITE ","")&amp;IF(COUNTIFS(tbl_Finance[Job Number],C394&amp;"",tbl_Finance[Cost Centre],"PRODUCTION")&gt;0,"PRODUCTION ","")&amp;IF(COUNTIFS(tbl_Finance[Job Number],C394&amp;"",tbl_Finance[Cost Centre],"VIDEO")&gt;0,"VIDEO ","")&amp;IF(COUNTIFS(tbl_Finance[Job Number],C394&amp;"",tbl_Finance[Cost Centre],"INTEGRATION")&gt;0,"INTEGRATION ","")&amp;IF(COUNTIFS(tbl_Finance[Job Number],C394&amp;"",tbl_Finance[Cost Centre],"CONSULTING")&gt;0,"CONSULTING ","")&amp;IF(COUNTIFS(tbl_Finance[Job Number],C394&amp;"",tbl_Finance[Cost Centre],"CTS")&gt;0,"CTS ",""))," ",", ")))</f>
        <v/>
      </c>
      <c r="L394" s="24" t="n"/>
      <c r="M394" s="25">
        <f>IF(L394="","",HYPERLINK(IF(LEFT(L394,4)="http",L394,set_QwilrBase&amp;L394),"Open quote"))</f>
        <v/>
      </c>
      <c r="N394" s="26" t="n"/>
      <c r="O394" s="26" t="n"/>
      <c r="P394" s="26" t="n"/>
      <c r="Q394" s="25">
        <f>IF(C394="","",IF(N(N394)+N(O394)+N(P394)=0,"Not split",IF(ROUND(N(N394)+N(O394)+N(P394),2)=ROUND(H394,2),"OK","MISMATCH")))</f>
        <v/>
      </c>
      <c r="R394" s="26" t="n"/>
      <c r="S394" s="26" t="n"/>
      <c r="T394" s="26" t="n"/>
      <c r="U394" s="27">
        <f>IF(C394="","",N(R394)+N(S394)+N(T394))</f>
        <v/>
      </c>
      <c r="V394" s="27">
        <f>IF(C394="","",H394-U394)</f>
        <v/>
      </c>
      <c r="W394" s="29">
        <f>IFERROR(V394/H394,"")</f>
        <v/>
      </c>
      <c r="X394" s="24" t="n"/>
    </row>
    <row r="395" ht="15" customHeight="1">
      <c r="A395" s="63">
        <f>IF(C395="","",IFERROR(IF(SUMPRODUCT(MAX((tbl_Finance[Job Number]=C395&amp;"")*(tbl_Finance[Xero Invoice No]&lt;&gt;"")*tbl_Finance[Date]))=0,"",SUMPRODUCT(MAX((tbl_Finance[Job Number]=C395&amp;"")*(tbl_Finance[Xero Invoice No]&lt;&gt;"")*tbl_Finance[Date]))),""))</f>
        <v/>
      </c>
      <c r="B395" s="25">
        <f>IF(C395="","",IF(COUNTIFS(tbl_Finance[Job Number],C395&amp;"",tbl_Finance[Xero Invoice No],"&lt;&gt;")=0,"",IFERROR(IF(COUNTIFS(tbl_Finance[Job Number],C395&amp;"",tbl_Finance[Xero Invoice No],LOOKUP(2,1/((tbl_Finance[Job Number]=C395&amp;"")*(tbl_Finance[Xero Invoice No]&lt;&gt;"")),tbl_Finance[Xero Invoice No]))=COUNTIFS(tbl_Finance[Job Number],C395&amp;"",tbl_Finance[Xero Invoice No],"&lt;&gt;"),LOOKUP(2,1/((tbl_Finance[Job Number]=C395&amp;"")*(tbl_Finance[Xero Invoice No]&lt;&gt;"")),tbl_Finance[Xero Invoice No]),LOOKUP(2,1/((tbl_Finance[Job Number]=C395&amp;"")*(tbl_Finance[Xero Invoice No]&lt;&gt;"")),tbl_Finance[Xero Invoice No])&amp;" +more"),"")))</f>
        <v/>
      </c>
      <c r="C395" s="24" t="n"/>
      <c r="D395" s="25">
        <f>IF(C395="","",IF(COUNTIF(lst_Jobs,C395&amp;"")&gt;0,"OK","CHECK"))</f>
        <v/>
      </c>
      <c r="E395" s="25">
        <f>IF(C395="","",IFERROR(INDEX(lst_JobName,MATCH(C395&amp;"",lst_Jobs,0)),""))</f>
        <v/>
      </c>
      <c r="F395" s="25">
        <f>IF(C395="","",IFERROR(INDEX(tbl_Finance[Client],MATCH(C395&amp;"",tbl_Finance[Job Number],0)),""))</f>
        <v/>
      </c>
      <c r="G395" s="28">
        <f>IF(C395="","",COUNTIFS(tbl_Finance[Job Number],C395&amp;"",tbl_Finance[Ex GST],"&lt;&gt;"))</f>
        <v/>
      </c>
      <c r="H395" s="27">
        <f>IF(C395="","",SUMIFS(tbl_Finance[Ex GST],tbl_Finance[Job Number],C395&amp;""))</f>
        <v/>
      </c>
      <c r="I395" s="27">
        <f>IF(C395="","",SUMIFS(tbl_Finance[Ex GST],tbl_Finance[Job Number],C395&amp;"",tbl_Finance[Xero Invoice No],"&lt;&gt;"))</f>
        <v/>
      </c>
      <c r="J395" s="27">
        <f>IF(C395="","",H395-I395)</f>
        <v/>
      </c>
      <c r="K395" s="25">
        <f>IF(C395="","",IF(G395=0,"not invoiced yet",SUBSTITUTE(TRIM(IF(COUNTIFS(tbl_Finance[Job Number],C395&amp;"",tbl_Finance[Cost Centre],"ONSITE")&gt;0,"ONSITE ","")&amp;IF(COUNTIFS(tbl_Finance[Job Number],C395&amp;"",tbl_Finance[Cost Centre],"PRODUCTION")&gt;0,"PRODUCTION ","")&amp;IF(COUNTIFS(tbl_Finance[Job Number],C395&amp;"",tbl_Finance[Cost Centre],"VIDEO")&gt;0,"VIDEO ","")&amp;IF(COUNTIFS(tbl_Finance[Job Number],C395&amp;"",tbl_Finance[Cost Centre],"INTEGRATION")&gt;0,"INTEGRATION ","")&amp;IF(COUNTIFS(tbl_Finance[Job Number],C395&amp;"",tbl_Finance[Cost Centre],"CONSULTING")&gt;0,"CONSULTING ","")&amp;IF(COUNTIFS(tbl_Finance[Job Number],C395&amp;"",tbl_Finance[Cost Centre],"CTS")&gt;0,"CTS ",""))," ",", ")))</f>
        <v/>
      </c>
      <c r="L395" s="24" t="n"/>
      <c r="M395" s="25">
        <f>IF(L395="","",HYPERLINK(IF(LEFT(L395,4)="http",L395,set_QwilrBase&amp;L395),"Open quote"))</f>
        <v/>
      </c>
      <c r="N395" s="26" t="n"/>
      <c r="O395" s="26" t="n"/>
      <c r="P395" s="26" t="n"/>
      <c r="Q395" s="25">
        <f>IF(C395="","",IF(N(N395)+N(O395)+N(P395)=0,"Not split",IF(ROUND(N(N395)+N(O395)+N(P395),2)=ROUND(H395,2),"OK","MISMATCH")))</f>
        <v/>
      </c>
      <c r="R395" s="26" t="n"/>
      <c r="S395" s="26" t="n"/>
      <c r="T395" s="26" t="n"/>
      <c r="U395" s="27">
        <f>IF(C395="","",N(R395)+N(S395)+N(T395))</f>
        <v/>
      </c>
      <c r="V395" s="27">
        <f>IF(C395="","",H395-U395)</f>
        <v/>
      </c>
      <c r="W395" s="29">
        <f>IFERROR(V395/H395,"")</f>
        <v/>
      </c>
      <c r="X395" s="24" t="n"/>
    </row>
    <row r="396" ht="15" customHeight="1">
      <c r="A396" s="63">
        <f>IF(C396="","",IFERROR(IF(SUMPRODUCT(MAX((tbl_Finance[Job Number]=C396&amp;"")*(tbl_Finance[Xero Invoice No]&lt;&gt;"")*tbl_Finance[Date]))=0,"",SUMPRODUCT(MAX((tbl_Finance[Job Number]=C396&amp;"")*(tbl_Finance[Xero Invoice No]&lt;&gt;"")*tbl_Finance[Date]))),""))</f>
        <v/>
      </c>
      <c r="B396" s="25">
        <f>IF(C396="","",IF(COUNTIFS(tbl_Finance[Job Number],C396&amp;"",tbl_Finance[Xero Invoice No],"&lt;&gt;")=0,"",IFERROR(IF(COUNTIFS(tbl_Finance[Job Number],C396&amp;"",tbl_Finance[Xero Invoice No],LOOKUP(2,1/((tbl_Finance[Job Number]=C396&amp;"")*(tbl_Finance[Xero Invoice No]&lt;&gt;"")),tbl_Finance[Xero Invoice No]))=COUNTIFS(tbl_Finance[Job Number],C396&amp;"",tbl_Finance[Xero Invoice No],"&lt;&gt;"),LOOKUP(2,1/((tbl_Finance[Job Number]=C396&amp;"")*(tbl_Finance[Xero Invoice No]&lt;&gt;"")),tbl_Finance[Xero Invoice No]),LOOKUP(2,1/((tbl_Finance[Job Number]=C396&amp;"")*(tbl_Finance[Xero Invoice No]&lt;&gt;"")),tbl_Finance[Xero Invoice No])&amp;" +more"),"")))</f>
        <v/>
      </c>
      <c r="C396" s="24" t="n"/>
      <c r="D396" s="25">
        <f>IF(C396="","",IF(COUNTIF(lst_Jobs,C396&amp;"")&gt;0,"OK","CHECK"))</f>
        <v/>
      </c>
      <c r="E396" s="25">
        <f>IF(C396="","",IFERROR(INDEX(lst_JobName,MATCH(C396&amp;"",lst_Jobs,0)),""))</f>
        <v/>
      </c>
      <c r="F396" s="25">
        <f>IF(C396="","",IFERROR(INDEX(tbl_Finance[Client],MATCH(C396&amp;"",tbl_Finance[Job Number],0)),""))</f>
        <v/>
      </c>
      <c r="G396" s="28">
        <f>IF(C396="","",COUNTIFS(tbl_Finance[Job Number],C396&amp;"",tbl_Finance[Ex GST],"&lt;&gt;"))</f>
        <v/>
      </c>
      <c r="H396" s="27">
        <f>IF(C396="","",SUMIFS(tbl_Finance[Ex GST],tbl_Finance[Job Number],C396&amp;""))</f>
        <v/>
      </c>
      <c r="I396" s="27">
        <f>IF(C396="","",SUMIFS(tbl_Finance[Ex GST],tbl_Finance[Job Number],C396&amp;"",tbl_Finance[Xero Invoice No],"&lt;&gt;"))</f>
        <v/>
      </c>
      <c r="J396" s="27">
        <f>IF(C396="","",H396-I396)</f>
        <v/>
      </c>
      <c r="K396" s="25">
        <f>IF(C396="","",IF(G396=0,"not invoiced yet",SUBSTITUTE(TRIM(IF(COUNTIFS(tbl_Finance[Job Number],C396&amp;"",tbl_Finance[Cost Centre],"ONSITE")&gt;0,"ONSITE ","")&amp;IF(COUNTIFS(tbl_Finance[Job Number],C396&amp;"",tbl_Finance[Cost Centre],"PRODUCTION")&gt;0,"PRODUCTION ","")&amp;IF(COUNTIFS(tbl_Finance[Job Number],C396&amp;"",tbl_Finance[Cost Centre],"VIDEO")&gt;0,"VIDEO ","")&amp;IF(COUNTIFS(tbl_Finance[Job Number],C396&amp;"",tbl_Finance[Cost Centre],"INTEGRATION")&gt;0,"INTEGRATION ","")&amp;IF(COUNTIFS(tbl_Finance[Job Number],C396&amp;"",tbl_Finance[Cost Centre],"CONSULTING")&gt;0,"CONSULTING ","")&amp;IF(COUNTIFS(tbl_Finance[Job Number],C396&amp;"",tbl_Finance[Cost Centre],"CTS")&gt;0,"CTS ",""))," ",", ")))</f>
        <v/>
      </c>
      <c r="L396" s="24" t="n"/>
      <c r="M396" s="25">
        <f>IF(L396="","",HYPERLINK(IF(LEFT(L396,4)="http",L396,set_QwilrBase&amp;L396),"Open quote"))</f>
        <v/>
      </c>
      <c r="N396" s="26" t="n"/>
      <c r="O396" s="26" t="n"/>
      <c r="P396" s="26" t="n"/>
      <c r="Q396" s="25">
        <f>IF(C396="","",IF(N(N396)+N(O396)+N(P396)=0,"Not split",IF(ROUND(N(N396)+N(O396)+N(P396),2)=ROUND(H396,2),"OK","MISMATCH")))</f>
        <v/>
      </c>
      <c r="R396" s="26" t="n"/>
      <c r="S396" s="26" t="n"/>
      <c r="T396" s="26" t="n"/>
      <c r="U396" s="27">
        <f>IF(C396="","",N(R396)+N(S396)+N(T396))</f>
        <v/>
      </c>
      <c r="V396" s="27">
        <f>IF(C396="","",H396-U396)</f>
        <v/>
      </c>
      <c r="W396" s="29">
        <f>IFERROR(V396/H396,"")</f>
        <v/>
      </c>
      <c r="X396" s="24" t="n"/>
    </row>
    <row r="397" ht="15" customHeight="1">
      <c r="A397" s="63">
        <f>IF(C397="","",IFERROR(IF(SUMPRODUCT(MAX((tbl_Finance[Job Number]=C397&amp;"")*(tbl_Finance[Xero Invoice No]&lt;&gt;"")*tbl_Finance[Date]))=0,"",SUMPRODUCT(MAX((tbl_Finance[Job Number]=C397&amp;"")*(tbl_Finance[Xero Invoice No]&lt;&gt;"")*tbl_Finance[Date]))),""))</f>
        <v/>
      </c>
      <c r="B397" s="25">
        <f>IF(C397="","",IF(COUNTIFS(tbl_Finance[Job Number],C397&amp;"",tbl_Finance[Xero Invoice No],"&lt;&gt;")=0,"",IFERROR(IF(COUNTIFS(tbl_Finance[Job Number],C397&amp;"",tbl_Finance[Xero Invoice No],LOOKUP(2,1/((tbl_Finance[Job Number]=C397&amp;"")*(tbl_Finance[Xero Invoice No]&lt;&gt;"")),tbl_Finance[Xero Invoice No]))=COUNTIFS(tbl_Finance[Job Number],C397&amp;"",tbl_Finance[Xero Invoice No],"&lt;&gt;"),LOOKUP(2,1/((tbl_Finance[Job Number]=C397&amp;"")*(tbl_Finance[Xero Invoice No]&lt;&gt;"")),tbl_Finance[Xero Invoice No]),LOOKUP(2,1/((tbl_Finance[Job Number]=C397&amp;"")*(tbl_Finance[Xero Invoice No]&lt;&gt;"")),tbl_Finance[Xero Invoice No])&amp;" +more"),"")))</f>
        <v/>
      </c>
      <c r="C397" s="24" t="n"/>
      <c r="D397" s="25">
        <f>IF(C397="","",IF(COUNTIF(lst_Jobs,C397&amp;"")&gt;0,"OK","CHECK"))</f>
        <v/>
      </c>
      <c r="E397" s="25">
        <f>IF(C397="","",IFERROR(INDEX(lst_JobName,MATCH(C397&amp;"",lst_Jobs,0)),""))</f>
        <v/>
      </c>
      <c r="F397" s="25">
        <f>IF(C397="","",IFERROR(INDEX(tbl_Finance[Client],MATCH(C397&amp;"",tbl_Finance[Job Number],0)),""))</f>
        <v/>
      </c>
      <c r="G397" s="28">
        <f>IF(C397="","",COUNTIFS(tbl_Finance[Job Number],C397&amp;"",tbl_Finance[Ex GST],"&lt;&gt;"))</f>
        <v/>
      </c>
      <c r="H397" s="27">
        <f>IF(C397="","",SUMIFS(tbl_Finance[Ex GST],tbl_Finance[Job Number],C397&amp;""))</f>
        <v/>
      </c>
      <c r="I397" s="27">
        <f>IF(C397="","",SUMIFS(tbl_Finance[Ex GST],tbl_Finance[Job Number],C397&amp;"",tbl_Finance[Xero Invoice No],"&lt;&gt;"))</f>
        <v/>
      </c>
      <c r="J397" s="27">
        <f>IF(C397="","",H397-I397)</f>
        <v/>
      </c>
      <c r="K397" s="25">
        <f>IF(C397="","",IF(G397=0,"not invoiced yet",SUBSTITUTE(TRIM(IF(COUNTIFS(tbl_Finance[Job Number],C397&amp;"",tbl_Finance[Cost Centre],"ONSITE")&gt;0,"ONSITE ","")&amp;IF(COUNTIFS(tbl_Finance[Job Number],C397&amp;"",tbl_Finance[Cost Centre],"PRODUCTION")&gt;0,"PRODUCTION ","")&amp;IF(COUNTIFS(tbl_Finance[Job Number],C397&amp;"",tbl_Finance[Cost Centre],"VIDEO")&gt;0,"VIDEO ","")&amp;IF(COUNTIFS(tbl_Finance[Job Number],C397&amp;"",tbl_Finance[Cost Centre],"INTEGRATION")&gt;0,"INTEGRATION ","")&amp;IF(COUNTIFS(tbl_Finance[Job Number],C397&amp;"",tbl_Finance[Cost Centre],"CONSULTING")&gt;0,"CONSULTING ","")&amp;IF(COUNTIFS(tbl_Finance[Job Number],C397&amp;"",tbl_Finance[Cost Centre],"CTS")&gt;0,"CTS ",""))," ",", ")))</f>
        <v/>
      </c>
      <c r="L397" s="24" t="n"/>
      <c r="M397" s="25">
        <f>IF(L397="","",HYPERLINK(IF(LEFT(L397,4)="http",L397,set_QwilrBase&amp;L397),"Open quote"))</f>
        <v/>
      </c>
      <c r="N397" s="26" t="n"/>
      <c r="O397" s="26" t="n"/>
      <c r="P397" s="26" t="n"/>
      <c r="Q397" s="25">
        <f>IF(C397="","",IF(N(N397)+N(O397)+N(P397)=0,"Not split",IF(ROUND(N(N397)+N(O397)+N(P397),2)=ROUND(H397,2),"OK","MISMATCH")))</f>
        <v/>
      </c>
      <c r="R397" s="26" t="n"/>
      <c r="S397" s="26" t="n"/>
      <c r="T397" s="26" t="n"/>
      <c r="U397" s="27">
        <f>IF(C397="","",N(R397)+N(S397)+N(T397))</f>
        <v/>
      </c>
      <c r="V397" s="27">
        <f>IF(C397="","",H397-U397)</f>
        <v/>
      </c>
      <c r="W397" s="29">
        <f>IFERROR(V397/H397,"")</f>
        <v/>
      </c>
      <c r="X397" s="24" t="n"/>
    </row>
    <row r="398" ht="15" customHeight="1">
      <c r="A398" s="63">
        <f>IF(C398="","",IFERROR(IF(SUMPRODUCT(MAX((tbl_Finance[Job Number]=C398&amp;"")*(tbl_Finance[Xero Invoice No]&lt;&gt;"")*tbl_Finance[Date]))=0,"",SUMPRODUCT(MAX((tbl_Finance[Job Number]=C398&amp;"")*(tbl_Finance[Xero Invoice No]&lt;&gt;"")*tbl_Finance[Date]))),""))</f>
        <v/>
      </c>
      <c r="B398" s="25">
        <f>IF(C398="","",IF(COUNTIFS(tbl_Finance[Job Number],C398&amp;"",tbl_Finance[Xero Invoice No],"&lt;&gt;")=0,"",IFERROR(IF(COUNTIFS(tbl_Finance[Job Number],C398&amp;"",tbl_Finance[Xero Invoice No],LOOKUP(2,1/((tbl_Finance[Job Number]=C398&amp;"")*(tbl_Finance[Xero Invoice No]&lt;&gt;"")),tbl_Finance[Xero Invoice No]))=COUNTIFS(tbl_Finance[Job Number],C398&amp;"",tbl_Finance[Xero Invoice No],"&lt;&gt;"),LOOKUP(2,1/((tbl_Finance[Job Number]=C398&amp;"")*(tbl_Finance[Xero Invoice No]&lt;&gt;"")),tbl_Finance[Xero Invoice No]),LOOKUP(2,1/((tbl_Finance[Job Number]=C398&amp;"")*(tbl_Finance[Xero Invoice No]&lt;&gt;"")),tbl_Finance[Xero Invoice No])&amp;" +more"),"")))</f>
        <v/>
      </c>
      <c r="C398" s="24" t="n"/>
      <c r="D398" s="25">
        <f>IF(C398="","",IF(COUNTIF(lst_Jobs,C398&amp;"")&gt;0,"OK","CHECK"))</f>
        <v/>
      </c>
      <c r="E398" s="25">
        <f>IF(C398="","",IFERROR(INDEX(lst_JobName,MATCH(C398&amp;"",lst_Jobs,0)),""))</f>
        <v/>
      </c>
      <c r="F398" s="25">
        <f>IF(C398="","",IFERROR(INDEX(tbl_Finance[Client],MATCH(C398&amp;"",tbl_Finance[Job Number],0)),""))</f>
        <v/>
      </c>
      <c r="G398" s="28">
        <f>IF(C398="","",COUNTIFS(tbl_Finance[Job Number],C398&amp;"",tbl_Finance[Ex GST],"&lt;&gt;"))</f>
        <v/>
      </c>
      <c r="H398" s="27">
        <f>IF(C398="","",SUMIFS(tbl_Finance[Ex GST],tbl_Finance[Job Number],C398&amp;""))</f>
        <v/>
      </c>
      <c r="I398" s="27">
        <f>IF(C398="","",SUMIFS(tbl_Finance[Ex GST],tbl_Finance[Job Number],C398&amp;"",tbl_Finance[Xero Invoice No],"&lt;&gt;"))</f>
        <v/>
      </c>
      <c r="J398" s="27">
        <f>IF(C398="","",H398-I398)</f>
        <v/>
      </c>
      <c r="K398" s="25">
        <f>IF(C398="","",IF(G398=0,"not invoiced yet",SUBSTITUTE(TRIM(IF(COUNTIFS(tbl_Finance[Job Number],C398&amp;"",tbl_Finance[Cost Centre],"ONSITE")&gt;0,"ONSITE ","")&amp;IF(COUNTIFS(tbl_Finance[Job Number],C398&amp;"",tbl_Finance[Cost Centre],"PRODUCTION")&gt;0,"PRODUCTION ","")&amp;IF(COUNTIFS(tbl_Finance[Job Number],C398&amp;"",tbl_Finance[Cost Centre],"VIDEO")&gt;0,"VIDEO ","")&amp;IF(COUNTIFS(tbl_Finance[Job Number],C398&amp;"",tbl_Finance[Cost Centre],"INTEGRATION")&gt;0,"INTEGRATION ","")&amp;IF(COUNTIFS(tbl_Finance[Job Number],C398&amp;"",tbl_Finance[Cost Centre],"CONSULTING")&gt;0,"CONSULTING ","")&amp;IF(COUNTIFS(tbl_Finance[Job Number],C398&amp;"",tbl_Finance[Cost Centre],"CTS")&gt;0,"CTS ",""))," ",", ")))</f>
        <v/>
      </c>
      <c r="L398" s="24" t="n"/>
      <c r="M398" s="25">
        <f>IF(L398="","",HYPERLINK(IF(LEFT(L398,4)="http",L398,set_QwilrBase&amp;L398),"Open quote"))</f>
        <v/>
      </c>
      <c r="N398" s="26" t="n"/>
      <c r="O398" s="26" t="n"/>
      <c r="P398" s="26" t="n"/>
      <c r="Q398" s="25">
        <f>IF(C398="","",IF(N(N398)+N(O398)+N(P398)=0,"Not split",IF(ROUND(N(N398)+N(O398)+N(P398),2)=ROUND(H398,2),"OK","MISMATCH")))</f>
        <v/>
      </c>
      <c r="R398" s="26" t="n"/>
      <c r="S398" s="26" t="n"/>
      <c r="T398" s="26" t="n"/>
      <c r="U398" s="27">
        <f>IF(C398="","",N(R398)+N(S398)+N(T398))</f>
        <v/>
      </c>
      <c r="V398" s="27">
        <f>IF(C398="","",H398-U398)</f>
        <v/>
      </c>
      <c r="W398" s="29">
        <f>IFERROR(V398/H398,"")</f>
        <v/>
      </c>
      <c r="X398" s="24" t="n"/>
    </row>
    <row r="399" ht="15" customHeight="1">
      <c r="A399" s="63">
        <f>IF(C399="","",IFERROR(IF(SUMPRODUCT(MAX((tbl_Finance[Job Number]=C399&amp;"")*(tbl_Finance[Xero Invoice No]&lt;&gt;"")*tbl_Finance[Date]))=0,"",SUMPRODUCT(MAX((tbl_Finance[Job Number]=C399&amp;"")*(tbl_Finance[Xero Invoice No]&lt;&gt;"")*tbl_Finance[Date]))),""))</f>
        <v/>
      </c>
      <c r="B399" s="25">
        <f>IF(C399="","",IF(COUNTIFS(tbl_Finance[Job Number],C399&amp;"",tbl_Finance[Xero Invoice No],"&lt;&gt;")=0,"",IFERROR(IF(COUNTIFS(tbl_Finance[Job Number],C399&amp;"",tbl_Finance[Xero Invoice No],LOOKUP(2,1/((tbl_Finance[Job Number]=C399&amp;"")*(tbl_Finance[Xero Invoice No]&lt;&gt;"")),tbl_Finance[Xero Invoice No]))=COUNTIFS(tbl_Finance[Job Number],C399&amp;"",tbl_Finance[Xero Invoice No],"&lt;&gt;"),LOOKUP(2,1/((tbl_Finance[Job Number]=C399&amp;"")*(tbl_Finance[Xero Invoice No]&lt;&gt;"")),tbl_Finance[Xero Invoice No]),LOOKUP(2,1/((tbl_Finance[Job Number]=C399&amp;"")*(tbl_Finance[Xero Invoice No]&lt;&gt;"")),tbl_Finance[Xero Invoice No])&amp;" +more"),"")))</f>
        <v/>
      </c>
      <c r="C399" s="24" t="n"/>
      <c r="D399" s="25">
        <f>IF(C399="","",IF(COUNTIF(lst_Jobs,C399&amp;"")&gt;0,"OK","CHECK"))</f>
        <v/>
      </c>
      <c r="E399" s="25">
        <f>IF(C399="","",IFERROR(INDEX(lst_JobName,MATCH(C399&amp;"",lst_Jobs,0)),""))</f>
        <v/>
      </c>
      <c r="F399" s="25">
        <f>IF(C399="","",IFERROR(INDEX(tbl_Finance[Client],MATCH(C399&amp;"",tbl_Finance[Job Number],0)),""))</f>
        <v/>
      </c>
      <c r="G399" s="28">
        <f>IF(C399="","",COUNTIFS(tbl_Finance[Job Number],C399&amp;"",tbl_Finance[Ex GST],"&lt;&gt;"))</f>
        <v/>
      </c>
      <c r="H399" s="27">
        <f>IF(C399="","",SUMIFS(tbl_Finance[Ex GST],tbl_Finance[Job Number],C399&amp;""))</f>
        <v/>
      </c>
      <c r="I399" s="27">
        <f>IF(C399="","",SUMIFS(tbl_Finance[Ex GST],tbl_Finance[Job Number],C399&amp;"",tbl_Finance[Xero Invoice No],"&lt;&gt;"))</f>
        <v/>
      </c>
      <c r="J399" s="27">
        <f>IF(C399="","",H399-I399)</f>
        <v/>
      </c>
      <c r="K399" s="25">
        <f>IF(C399="","",IF(G399=0,"not invoiced yet",SUBSTITUTE(TRIM(IF(COUNTIFS(tbl_Finance[Job Number],C399&amp;"",tbl_Finance[Cost Centre],"ONSITE")&gt;0,"ONSITE ","")&amp;IF(COUNTIFS(tbl_Finance[Job Number],C399&amp;"",tbl_Finance[Cost Centre],"PRODUCTION")&gt;0,"PRODUCTION ","")&amp;IF(COUNTIFS(tbl_Finance[Job Number],C399&amp;"",tbl_Finance[Cost Centre],"VIDEO")&gt;0,"VIDEO ","")&amp;IF(COUNTIFS(tbl_Finance[Job Number],C399&amp;"",tbl_Finance[Cost Centre],"INTEGRATION")&gt;0,"INTEGRATION ","")&amp;IF(COUNTIFS(tbl_Finance[Job Number],C399&amp;"",tbl_Finance[Cost Centre],"CONSULTING")&gt;0,"CONSULTING ","")&amp;IF(COUNTIFS(tbl_Finance[Job Number],C399&amp;"",tbl_Finance[Cost Centre],"CTS")&gt;0,"CTS ",""))," ",", ")))</f>
        <v/>
      </c>
      <c r="L399" s="24" t="n"/>
      <c r="M399" s="25">
        <f>IF(L399="","",HYPERLINK(IF(LEFT(L399,4)="http",L399,set_QwilrBase&amp;L399),"Open quote"))</f>
        <v/>
      </c>
      <c r="N399" s="26" t="n"/>
      <c r="O399" s="26" t="n"/>
      <c r="P399" s="26" t="n"/>
      <c r="Q399" s="25">
        <f>IF(C399="","",IF(N(N399)+N(O399)+N(P399)=0,"Not split",IF(ROUND(N(N399)+N(O399)+N(P399),2)=ROUND(H399,2),"OK","MISMATCH")))</f>
        <v/>
      </c>
      <c r="R399" s="26" t="n"/>
      <c r="S399" s="26" t="n"/>
      <c r="T399" s="26" t="n"/>
      <c r="U399" s="27">
        <f>IF(C399="","",N(R399)+N(S399)+N(T399))</f>
        <v/>
      </c>
      <c r="V399" s="27">
        <f>IF(C399="","",H399-U399)</f>
        <v/>
      </c>
      <c r="W399" s="29">
        <f>IFERROR(V399/H399,"")</f>
        <v/>
      </c>
      <c r="X399" s="24" t="n"/>
    </row>
    <row r="400" ht="15" customHeight="1">
      <c r="A400" s="63">
        <f>IF(C400="","",IFERROR(IF(SUMPRODUCT(MAX((tbl_Finance[Job Number]=C400&amp;"")*(tbl_Finance[Xero Invoice No]&lt;&gt;"")*tbl_Finance[Date]))=0,"",SUMPRODUCT(MAX((tbl_Finance[Job Number]=C400&amp;"")*(tbl_Finance[Xero Invoice No]&lt;&gt;"")*tbl_Finance[Date]))),""))</f>
        <v/>
      </c>
      <c r="B400" s="25">
        <f>IF(C400="","",IF(COUNTIFS(tbl_Finance[Job Number],C400&amp;"",tbl_Finance[Xero Invoice No],"&lt;&gt;")=0,"",IFERROR(IF(COUNTIFS(tbl_Finance[Job Number],C400&amp;"",tbl_Finance[Xero Invoice No],LOOKUP(2,1/((tbl_Finance[Job Number]=C400&amp;"")*(tbl_Finance[Xero Invoice No]&lt;&gt;"")),tbl_Finance[Xero Invoice No]))=COUNTIFS(tbl_Finance[Job Number],C400&amp;"",tbl_Finance[Xero Invoice No],"&lt;&gt;"),LOOKUP(2,1/((tbl_Finance[Job Number]=C400&amp;"")*(tbl_Finance[Xero Invoice No]&lt;&gt;"")),tbl_Finance[Xero Invoice No]),LOOKUP(2,1/((tbl_Finance[Job Number]=C400&amp;"")*(tbl_Finance[Xero Invoice No]&lt;&gt;"")),tbl_Finance[Xero Invoice No])&amp;" +more"),"")))</f>
        <v/>
      </c>
      <c r="C400" s="24" t="n"/>
      <c r="D400" s="25">
        <f>IF(C400="","",IF(COUNTIF(lst_Jobs,C400&amp;"")&gt;0,"OK","CHECK"))</f>
        <v/>
      </c>
      <c r="E400" s="25">
        <f>IF(C400="","",IFERROR(INDEX(lst_JobName,MATCH(C400&amp;"",lst_Jobs,0)),""))</f>
        <v/>
      </c>
      <c r="F400" s="25">
        <f>IF(C400="","",IFERROR(INDEX(tbl_Finance[Client],MATCH(C400&amp;"",tbl_Finance[Job Number],0)),""))</f>
        <v/>
      </c>
      <c r="G400" s="28">
        <f>IF(C400="","",COUNTIFS(tbl_Finance[Job Number],C400&amp;"",tbl_Finance[Ex GST],"&lt;&gt;"))</f>
        <v/>
      </c>
      <c r="H400" s="27">
        <f>IF(C400="","",SUMIFS(tbl_Finance[Ex GST],tbl_Finance[Job Number],C400&amp;""))</f>
        <v/>
      </c>
      <c r="I400" s="27">
        <f>IF(C400="","",SUMIFS(tbl_Finance[Ex GST],tbl_Finance[Job Number],C400&amp;"",tbl_Finance[Xero Invoice No],"&lt;&gt;"))</f>
        <v/>
      </c>
      <c r="J400" s="27">
        <f>IF(C400="","",H400-I400)</f>
        <v/>
      </c>
      <c r="K400" s="25">
        <f>IF(C400="","",IF(G400=0,"not invoiced yet",SUBSTITUTE(TRIM(IF(COUNTIFS(tbl_Finance[Job Number],C400&amp;"",tbl_Finance[Cost Centre],"ONSITE")&gt;0,"ONSITE ","")&amp;IF(COUNTIFS(tbl_Finance[Job Number],C400&amp;"",tbl_Finance[Cost Centre],"PRODUCTION")&gt;0,"PRODUCTION ","")&amp;IF(COUNTIFS(tbl_Finance[Job Number],C400&amp;"",tbl_Finance[Cost Centre],"VIDEO")&gt;0,"VIDEO ","")&amp;IF(COUNTIFS(tbl_Finance[Job Number],C400&amp;"",tbl_Finance[Cost Centre],"INTEGRATION")&gt;0,"INTEGRATION ","")&amp;IF(COUNTIFS(tbl_Finance[Job Number],C400&amp;"",tbl_Finance[Cost Centre],"CONSULTING")&gt;0,"CONSULTING ","")&amp;IF(COUNTIFS(tbl_Finance[Job Number],C400&amp;"",tbl_Finance[Cost Centre],"CTS")&gt;0,"CTS ",""))," ",", ")))</f>
        <v/>
      </c>
      <c r="L400" s="24" t="n"/>
      <c r="M400" s="25">
        <f>IF(L400="","",HYPERLINK(IF(LEFT(L400,4)="http",L400,set_QwilrBase&amp;L400),"Open quote"))</f>
        <v/>
      </c>
      <c r="N400" s="26" t="n"/>
      <c r="O400" s="26" t="n"/>
      <c r="P400" s="26" t="n"/>
      <c r="Q400" s="25">
        <f>IF(C400="","",IF(N(N400)+N(O400)+N(P400)=0,"Not split",IF(ROUND(N(N400)+N(O400)+N(P400),2)=ROUND(H400,2),"OK","MISMATCH")))</f>
        <v/>
      </c>
      <c r="R400" s="26" t="n"/>
      <c r="S400" s="26" t="n"/>
      <c r="T400" s="26" t="n"/>
      <c r="U400" s="27">
        <f>IF(C400="","",N(R400)+N(S400)+N(T400))</f>
        <v/>
      </c>
      <c r="V400" s="27">
        <f>IF(C400="","",H400-U400)</f>
        <v/>
      </c>
      <c r="W400" s="29">
        <f>IFERROR(V400/H400,"")</f>
        <v/>
      </c>
      <c r="X400" s="24" t="n"/>
    </row>
    <row r="401" ht="15" customHeight="1">
      <c r="A401" s="63">
        <f>IF(C401="","",IFERROR(IF(SUMPRODUCT(MAX((tbl_Finance[Job Number]=C401&amp;"")*(tbl_Finance[Xero Invoice No]&lt;&gt;"")*tbl_Finance[Date]))=0,"",SUMPRODUCT(MAX((tbl_Finance[Job Number]=C401&amp;"")*(tbl_Finance[Xero Invoice No]&lt;&gt;"")*tbl_Finance[Date]))),""))</f>
        <v/>
      </c>
      <c r="B401" s="25">
        <f>IF(C401="","",IF(COUNTIFS(tbl_Finance[Job Number],C401&amp;"",tbl_Finance[Xero Invoice No],"&lt;&gt;")=0,"",IFERROR(IF(COUNTIFS(tbl_Finance[Job Number],C401&amp;"",tbl_Finance[Xero Invoice No],LOOKUP(2,1/((tbl_Finance[Job Number]=C401&amp;"")*(tbl_Finance[Xero Invoice No]&lt;&gt;"")),tbl_Finance[Xero Invoice No]))=COUNTIFS(tbl_Finance[Job Number],C401&amp;"",tbl_Finance[Xero Invoice No],"&lt;&gt;"),LOOKUP(2,1/((tbl_Finance[Job Number]=C401&amp;"")*(tbl_Finance[Xero Invoice No]&lt;&gt;"")),tbl_Finance[Xero Invoice No]),LOOKUP(2,1/((tbl_Finance[Job Number]=C401&amp;"")*(tbl_Finance[Xero Invoice No]&lt;&gt;"")),tbl_Finance[Xero Invoice No])&amp;" +more"),"")))</f>
        <v/>
      </c>
      <c r="C401" s="24" t="n"/>
      <c r="D401" s="25">
        <f>IF(C401="","",IF(COUNTIF(lst_Jobs,C401&amp;"")&gt;0,"OK","CHECK"))</f>
        <v/>
      </c>
      <c r="E401" s="25">
        <f>IF(C401="","",IFERROR(INDEX(lst_JobName,MATCH(C401&amp;"",lst_Jobs,0)),""))</f>
        <v/>
      </c>
      <c r="F401" s="25">
        <f>IF(C401="","",IFERROR(INDEX(tbl_Finance[Client],MATCH(C401&amp;"",tbl_Finance[Job Number],0)),""))</f>
        <v/>
      </c>
      <c r="G401" s="28">
        <f>IF(C401="","",COUNTIFS(tbl_Finance[Job Number],C401&amp;"",tbl_Finance[Ex GST],"&lt;&gt;"))</f>
        <v/>
      </c>
      <c r="H401" s="27">
        <f>IF(C401="","",SUMIFS(tbl_Finance[Ex GST],tbl_Finance[Job Number],C401&amp;""))</f>
        <v/>
      </c>
      <c r="I401" s="27">
        <f>IF(C401="","",SUMIFS(tbl_Finance[Ex GST],tbl_Finance[Job Number],C401&amp;"",tbl_Finance[Xero Invoice No],"&lt;&gt;"))</f>
        <v/>
      </c>
      <c r="J401" s="27">
        <f>IF(C401="","",H401-I401)</f>
        <v/>
      </c>
      <c r="K401" s="25">
        <f>IF(C401="","",IF(G401=0,"not invoiced yet",SUBSTITUTE(TRIM(IF(COUNTIFS(tbl_Finance[Job Number],C401&amp;"",tbl_Finance[Cost Centre],"ONSITE")&gt;0,"ONSITE ","")&amp;IF(COUNTIFS(tbl_Finance[Job Number],C401&amp;"",tbl_Finance[Cost Centre],"PRODUCTION")&gt;0,"PRODUCTION ","")&amp;IF(COUNTIFS(tbl_Finance[Job Number],C401&amp;"",tbl_Finance[Cost Centre],"VIDEO")&gt;0,"VIDEO ","")&amp;IF(COUNTIFS(tbl_Finance[Job Number],C401&amp;"",tbl_Finance[Cost Centre],"INTEGRATION")&gt;0,"INTEGRATION ","")&amp;IF(COUNTIFS(tbl_Finance[Job Number],C401&amp;"",tbl_Finance[Cost Centre],"CONSULTING")&gt;0,"CONSULTING ","")&amp;IF(COUNTIFS(tbl_Finance[Job Number],C401&amp;"",tbl_Finance[Cost Centre],"CTS")&gt;0,"CTS ",""))," ",", ")))</f>
        <v/>
      </c>
      <c r="L401" s="24" t="n"/>
      <c r="M401" s="25">
        <f>IF(L401="","",HYPERLINK(IF(LEFT(L401,4)="http",L401,set_QwilrBase&amp;L401),"Open quote"))</f>
        <v/>
      </c>
      <c r="N401" s="26" t="n"/>
      <c r="O401" s="26" t="n"/>
      <c r="P401" s="26" t="n"/>
      <c r="Q401" s="25">
        <f>IF(C401="","",IF(N(N401)+N(O401)+N(P401)=0,"Not split",IF(ROUND(N(N401)+N(O401)+N(P401),2)=ROUND(H401,2),"OK","MISMATCH")))</f>
        <v/>
      </c>
      <c r="R401" s="26" t="n"/>
      <c r="S401" s="26" t="n"/>
      <c r="T401" s="26" t="n"/>
      <c r="U401" s="27">
        <f>IF(C401="","",N(R401)+N(S401)+N(T401))</f>
        <v/>
      </c>
      <c r="V401" s="27">
        <f>IF(C401="","",H401-U401)</f>
        <v/>
      </c>
      <c r="W401" s="29">
        <f>IFERROR(V401/H401,"")</f>
        <v/>
      </c>
      <c r="X401" s="24" t="n"/>
    </row>
    <row r="402" ht="15" customHeight="1">
      <c r="A402" s="63">
        <f>IF(C402="","",IFERROR(IF(SUMPRODUCT(MAX((tbl_Finance[Job Number]=C402&amp;"")*(tbl_Finance[Xero Invoice No]&lt;&gt;"")*tbl_Finance[Date]))=0,"",SUMPRODUCT(MAX((tbl_Finance[Job Number]=C402&amp;"")*(tbl_Finance[Xero Invoice No]&lt;&gt;"")*tbl_Finance[Date]))),""))</f>
        <v/>
      </c>
      <c r="B402" s="25">
        <f>IF(C402="","",IF(COUNTIFS(tbl_Finance[Job Number],C402&amp;"",tbl_Finance[Xero Invoice No],"&lt;&gt;")=0,"",IFERROR(IF(COUNTIFS(tbl_Finance[Job Number],C402&amp;"",tbl_Finance[Xero Invoice No],LOOKUP(2,1/((tbl_Finance[Job Number]=C402&amp;"")*(tbl_Finance[Xero Invoice No]&lt;&gt;"")),tbl_Finance[Xero Invoice No]))=COUNTIFS(tbl_Finance[Job Number],C402&amp;"",tbl_Finance[Xero Invoice No],"&lt;&gt;"),LOOKUP(2,1/((tbl_Finance[Job Number]=C402&amp;"")*(tbl_Finance[Xero Invoice No]&lt;&gt;"")),tbl_Finance[Xero Invoice No]),LOOKUP(2,1/((tbl_Finance[Job Number]=C402&amp;"")*(tbl_Finance[Xero Invoice No]&lt;&gt;"")),tbl_Finance[Xero Invoice No])&amp;" +more"),"")))</f>
        <v/>
      </c>
      <c r="C402" s="24" t="n"/>
      <c r="D402" s="25">
        <f>IF(C402="","",IF(COUNTIF(lst_Jobs,C402&amp;"")&gt;0,"OK","CHECK"))</f>
        <v/>
      </c>
      <c r="E402" s="25">
        <f>IF(C402="","",IFERROR(INDEX(lst_JobName,MATCH(C402&amp;"",lst_Jobs,0)),""))</f>
        <v/>
      </c>
      <c r="F402" s="25">
        <f>IF(C402="","",IFERROR(INDEX(tbl_Finance[Client],MATCH(C402&amp;"",tbl_Finance[Job Number],0)),""))</f>
        <v/>
      </c>
      <c r="G402" s="28">
        <f>IF(C402="","",COUNTIFS(tbl_Finance[Job Number],C402&amp;"",tbl_Finance[Ex GST],"&lt;&gt;"))</f>
        <v/>
      </c>
      <c r="H402" s="27">
        <f>IF(C402="","",SUMIFS(tbl_Finance[Ex GST],tbl_Finance[Job Number],C402&amp;""))</f>
        <v/>
      </c>
      <c r="I402" s="27">
        <f>IF(C402="","",SUMIFS(tbl_Finance[Ex GST],tbl_Finance[Job Number],C402&amp;"",tbl_Finance[Xero Invoice No],"&lt;&gt;"))</f>
        <v/>
      </c>
      <c r="J402" s="27">
        <f>IF(C402="","",H402-I402)</f>
        <v/>
      </c>
      <c r="K402" s="25">
        <f>IF(C402="","",IF(G402=0,"not invoiced yet",SUBSTITUTE(TRIM(IF(COUNTIFS(tbl_Finance[Job Number],C402&amp;"",tbl_Finance[Cost Centre],"ONSITE")&gt;0,"ONSITE ","")&amp;IF(COUNTIFS(tbl_Finance[Job Number],C402&amp;"",tbl_Finance[Cost Centre],"PRODUCTION")&gt;0,"PRODUCTION ","")&amp;IF(COUNTIFS(tbl_Finance[Job Number],C402&amp;"",tbl_Finance[Cost Centre],"VIDEO")&gt;0,"VIDEO ","")&amp;IF(COUNTIFS(tbl_Finance[Job Number],C402&amp;"",tbl_Finance[Cost Centre],"INTEGRATION")&gt;0,"INTEGRATION ","")&amp;IF(COUNTIFS(tbl_Finance[Job Number],C402&amp;"",tbl_Finance[Cost Centre],"CONSULTING")&gt;0,"CONSULTING ","")&amp;IF(COUNTIFS(tbl_Finance[Job Number],C402&amp;"",tbl_Finance[Cost Centre],"CTS")&gt;0,"CTS ",""))," ",", ")))</f>
        <v/>
      </c>
      <c r="L402" s="24" t="n"/>
      <c r="M402" s="25">
        <f>IF(L402="","",HYPERLINK(IF(LEFT(L402,4)="http",L402,set_QwilrBase&amp;L402),"Open quote"))</f>
        <v/>
      </c>
      <c r="N402" s="26" t="n"/>
      <c r="O402" s="26" t="n"/>
      <c r="P402" s="26" t="n"/>
      <c r="Q402" s="25">
        <f>IF(C402="","",IF(N(N402)+N(O402)+N(P402)=0,"Not split",IF(ROUND(N(N402)+N(O402)+N(P402),2)=ROUND(H402,2),"OK","MISMATCH")))</f>
        <v/>
      </c>
      <c r="R402" s="26" t="n"/>
      <c r="S402" s="26" t="n"/>
      <c r="T402" s="26" t="n"/>
      <c r="U402" s="27">
        <f>IF(C402="","",N(R402)+N(S402)+N(T402))</f>
        <v/>
      </c>
      <c r="V402" s="27">
        <f>IF(C402="","",H402-U402)</f>
        <v/>
      </c>
      <c r="W402" s="29">
        <f>IFERROR(V402/H402,"")</f>
        <v/>
      </c>
      <c r="X402" s="24" t="n"/>
    </row>
    <row r="403" ht="15" customHeight="1">
      <c r="A403" s="63">
        <f>IF(C403="","",IFERROR(IF(SUMPRODUCT(MAX((tbl_Finance[Job Number]=C403&amp;"")*(tbl_Finance[Xero Invoice No]&lt;&gt;"")*tbl_Finance[Date]))=0,"",SUMPRODUCT(MAX((tbl_Finance[Job Number]=C403&amp;"")*(tbl_Finance[Xero Invoice No]&lt;&gt;"")*tbl_Finance[Date]))),""))</f>
        <v/>
      </c>
      <c r="B403" s="25">
        <f>IF(C403="","",IF(COUNTIFS(tbl_Finance[Job Number],C403&amp;"",tbl_Finance[Xero Invoice No],"&lt;&gt;")=0,"",IFERROR(IF(COUNTIFS(tbl_Finance[Job Number],C403&amp;"",tbl_Finance[Xero Invoice No],LOOKUP(2,1/((tbl_Finance[Job Number]=C403&amp;"")*(tbl_Finance[Xero Invoice No]&lt;&gt;"")),tbl_Finance[Xero Invoice No]))=COUNTIFS(tbl_Finance[Job Number],C403&amp;"",tbl_Finance[Xero Invoice No],"&lt;&gt;"),LOOKUP(2,1/((tbl_Finance[Job Number]=C403&amp;"")*(tbl_Finance[Xero Invoice No]&lt;&gt;"")),tbl_Finance[Xero Invoice No]),LOOKUP(2,1/((tbl_Finance[Job Number]=C403&amp;"")*(tbl_Finance[Xero Invoice No]&lt;&gt;"")),tbl_Finance[Xero Invoice No])&amp;" +more"),"")))</f>
        <v/>
      </c>
      <c r="C403" s="24" t="n"/>
      <c r="D403" s="25">
        <f>IF(C403="","",IF(COUNTIF(lst_Jobs,C403&amp;"")&gt;0,"OK","CHECK"))</f>
        <v/>
      </c>
      <c r="E403" s="25">
        <f>IF(C403="","",IFERROR(INDEX(lst_JobName,MATCH(C403&amp;"",lst_Jobs,0)),""))</f>
        <v/>
      </c>
      <c r="F403" s="25">
        <f>IF(C403="","",IFERROR(INDEX(tbl_Finance[Client],MATCH(C403&amp;"",tbl_Finance[Job Number],0)),""))</f>
        <v/>
      </c>
      <c r="G403" s="28">
        <f>IF(C403="","",COUNTIFS(tbl_Finance[Job Number],C403&amp;"",tbl_Finance[Ex GST],"&lt;&gt;"))</f>
        <v/>
      </c>
      <c r="H403" s="27">
        <f>IF(C403="","",SUMIFS(tbl_Finance[Ex GST],tbl_Finance[Job Number],C403&amp;""))</f>
        <v/>
      </c>
      <c r="I403" s="27">
        <f>IF(C403="","",SUMIFS(tbl_Finance[Ex GST],tbl_Finance[Job Number],C403&amp;"",tbl_Finance[Xero Invoice No],"&lt;&gt;"))</f>
        <v/>
      </c>
      <c r="J403" s="27">
        <f>IF(C403="","",H403-I403)</f>
        <v/>
      </c>
      <c r="K403" s="25">
        <f>IF(C403="","",IF(G403=0,"not invoiced yet",SUBSTITUTE(TRIM(IF(COUNTIFS(tbl_Finance[Job Number],C403&amp;"",tbl_Finance[Cost Centre],"ONSITE")&gt;0,"ONSITE ","")&amp;IF(COUNTIFS(tbl_Finance[Job Number],C403&amp;"",tbl_Finance[Cost Centre],"PRODUCTION")&gt;0,"PRODUCTION ","")&amp;IF(COUNTIFS(tbl_Finance[Job Number],C403&amp;"",tbl_Finance[Cost Centre],"VIDEO")&gt;0,"VIDEO ","")&amp;IF(COUNTIFS(tbl_Finance[Job Number],C403&amp;"",tbl_Finance[Cost Centre],"INTEGRATION")&gt;0,"INTEGRATION ","")&amp;IF(COUNTIFS(tbl_Finance[Job Number],C403&amp;"",tbl_Finance[Cost Centre],"CONSULTING")&gt;0,"CONSULTING ","")&amp;IF(COUNTIFS(tbl_Finance[Job Number],C403&amp;"",tbl_Finance[Cost Centre],"CTS")&gt;0,"CTS ",""))," ",", ")))</f>
        <v/>
      </c>
      <c r="L403" s="24" t="n"/>
      <c r="M403" s="25">
        <f>IF(L403="","",HYPERLINK(IF(LEFT(L403,4)="http",L403,set_QwilrBase&amp;L403),"Open quote"))</f>
        <v/>
      </c>
      <c r="N403" s="26" t="n"/>
      <c r="O403" s="26" t="n"/>
      <c r="P403" s="26" t="n"/>
      <c r="Q403" s="25">
        <f>IF(C403="","",IF(N(N403)+N(O403)+N(P403)=0,"Not split",IF(ROUND(N(N403)+N(O403)+N(P403),2)=ROUND(H403,2),"OK","MISMATCH")))</f>
        <v/>
      </c>
      <c r="R403" s="26" t="n"/>
      <c r="S403" s="26" t="n"/>
      <c r="T403" s="26" t="n"/>
      <c r="U403" s="27">
        <f>IF(C403="","",N(R403)+N(S403)+N(T403))</f>
        <v/>
      </c>
      <c r="V403" s="27">
        <f>IF(C403="","",H403-U403)</f>
        <v/>
      </c>
      <c r="W403" s="29">
        <f>IFERROR(V403/H403,"")</f>
        <v/>
      </c>
      <c r="X403" s="24" t="n"/>
    </row>
    <row r="404" ht="15" customHeight="1">
      <c r="A404" s="63">
        <f>IF(C404="","",IFERROR(IF(SUMPRODUCT(MAX((tbl_Finance[Job Number]=C404&amp;"")*(tbl_Finance[Xero Invoice No]&lt;&gt;"")*tbl_Finance[Date]))=0,"",SUMPRODUCT(MAX((tbl_Finance[Job Number]=C404&amp;"")*(tbl_Finance[Xero Invoice No]&lt;&gt;"")*tbl_Finance[Date]))),""))</f>
        <v/>
      </c>
      <c r="B404" s="25">
        <f>IF(C404="","",IF(COUNTIFS(tbl_Finance[Job Number],C404&amp;"",tbl_Finance[Xero Invoice No],"&lt;&gt;")=0,"",IFERROR(IF(COUNTIFS(tbl_Finance[Job Number],C404&amp;"",tbl_Finance[Xero Invoice No],LOOKUP(2,1/((tbl_Finance[Job Number]=C404&amp;"")*(tbl_Finance[Xero Invoice No]&lt;&gt;"")),tbl_Finance[Xero Invoice No]))=COUNTIFS(tbl_Finance[Job Number],C404&amp;"",tbl_Finance[Xero Invoice No],"&lt;&gt;"),LOOKUP(2,1/((tbl_Finance[Job Number]=C404&amp;"")*(tbl_Finance[Xero Invoice No]&lt;&gt;"")),tbl_Finance[Xero Invoice No]),LOOKUP(2,1/((tbl_Finance[Job Number]=C404&amp;"")*(tbl_Finance[Xero Invoice No]&lt;&gt;"")),tbl_Finance[Xero Invoice No])&amp;" +more"),"")))</f>
        <v/>
      </c>
      <c r="C404" s="24" t="n"/>
      <c r="D404" s="25">
        <f>IF(C404="","",IF(COUNTIF(lst_Jobs,C404&amp;"")&gt;0,"OK","CHECK"))</f>
        <v/>
      </c>
      <c r="E404" s="25">
        <f>IF(C404="","",IFERROR(INDEX(lst_JobName,MATCH(C404&amp;"",lst_Jobs,0)),""))</f>
        <v/>
      </c>
      <c r="F404" s="25">
        <f>IF(C404="","",IFERROR(INDEX(tbl_Finance[Client],MATCH(C404&amp;"",tbl_Finance[Job Number],0)),""))</f>
        <v/>
      </c>
      <c r="G404" s="28">
        <f>IF(C404="","",COUNTIFS(tbl_Finance[Job Number],C404&amp;"",tbl_Finance[Ex GST],"&lt;&gt;"))</f>
        <v/>
      </c>
      <c r="H404" s="27">
        <f>IF(C404="","",SUMIFS(tbl_Finance[Ex GST],tbl_Finance[Job Number],C404&amp;""))</f>
        <v/>
      </c>
      <c r="I404" s="27">
        <f>IF(C404="","",SUMIFS(tbl_Finance[Ex GST],tbl_Finance[Job Number],C404&amp;"",tbl_Finance[Xero Invoice No],"&lt;&gt;"))</f>
        <v/>
      </c>
      <c r="J404" s="27">
        <f>IF(C404="","",H404-I404)</f>
        <v/>
      </c>
      <c r="K404" s="25">
        <f>IF(C404="","",IF(G404=0,"not invoiced yet",SUBSTITUTE(TRIM(IF(COUNTIFS(tbl_Finance[Job Number],C404&amp;"",tbl_Finance[Cost Centre],"ONSITE")&gt;0,"ONSITE ","")&amp;IF(COUNTIFS(tbl_Finance[Job Number],C404&amp;"",tbl_Finance[Cost Centre],"PRODUCTION")&gt;0,"PRODUCTION ","")&amp;IF(COUNTIFS(tbl_Finance[Job Number],C404&amp;"",tbl_Finance[Cost Centre],"VIDEO")&gt;0,"VIDEO ","")&amp;IF(COUNTIFS(tbl_Finance[Job Number],C404&amp;"",tbl_Finance[Cost Centre],"INTEGRATION")&gt;0,"INTEGRATION ","")&amp;IF(COUNTIFS(tbl_Finance[Job Number],C404&amp;"",tbl_Finance[Cost Centre],"CONSULTING")&gt;0,"CONSULTING ","")&amp;IF(COUNTIFS(tbl_Finance[Job Number],C404&amp;"",tbl_Finance[Cost Centre],"CTS")&gt;0,"CTS ",""))," ",", ")))</f>
        <v/>
      </c>
      <c r="L404" s="24" t="n"/>
      <c r="M404" s="25">
        <f>IF(L404="","",HYPERLINK(IF(LEFT(L404,4)="http",L404,set_QwilrBase&amp;L404),"Open quote"))</f>
        <v/>
      </c>
      <c r="N404" s="26" t="n"/>
      <c r="O404" s="26" t="n"/>
      <c r="P404" s="26" t="n"/>
      <c r="Q404" s="25">
        <f>IF(C404="","",IF(N(N404)+N(O404)+N(P404)=0,"Not split",IF(ROUND(N(N404)+N(O404)+N(P404),2)=ROUND(H404,2),"OK","MISMATCH")))</f>
        <v/>
      </c>
      <c r="R404" s="26" t="n"/>
      <c r="S404" s="26" t="n"/>
      <c r="T404" s="26" t="n"/>
      <c r="U404" s="27">
        <f>IF(C404="","",N(R404)+N(S404)+N(T404))</f>
        <v/>
      </c>
      <c r="V404" s="27">
        <f>IF(C404="","",H404-U404)</f>
        <v/>
      </c>
      <c r="W404" s="29">
        <f>IFERROR(V404/H404,"")</f>
        <v/>
      </c>
      <c r="X404" s="24" t="n"/>
    </row>
    <row r="405" ht="15" customHeight="1">
      <c r="A405" s="63">
        <f>IF(C405="","",IFERROR(IF(SUMPRODUCT(MAX((tbl_Finance[Job Number]=C405&amp;"")*(tbl_Finance[Xero Invoice No]&lt;&gt;"")*tbl_Finance[Date]))=0,"",SUMPRODUCT(MAX((tbl_Finance[Job Number]=C405&amp;"")*(tbl_Finance[Xero Invoice No]&lt;&gt;"")*tbl_Finance[Date]))),""))</f>
        <v/>
      </c>
      <c r="B405" s="25">
        <f>IF(C405="","",IF(COUNTIFS(tbl_Finance[Job Number],C405&amp;"",tbl_Finance[Xero Invoice No],"&lt;&gt;")=0,"",IFERROR(IF(COUNTIFS(tbl_Finance[Job Number],C405&amp;"",tbl_Finance[Xero Invoice No],LOOKUP(2,1/((tbl_Finance[Job Number]=C405&amp;"")*(tbl_Finance[Xero Invoice No]&lt;&gt;"")),tbl_Finance[Xero Invoice No]))=COUNTIFS(tbl_Finance[Job Number],C405&amp;"",tbl_Finance[Xero Invoice No],"&lt;&gt;"),LOOKUP(2,1/((tbl_Finance[Job Number]=C405&amp;"")*(tbl_Finance[Xero Invoice No]&lt;&gt;"")),tbl_Finance[Xero Invoice No]),LOOKUP(2,1/((tbl_Finance[Job Number]=C405&amp;"")*(tbl_Finance[Xero Invoice No]&lt;&gt;"")),tbl_Finance[Xero Invoice No])&amp;" +more"),"")))</f>
        <v/>
      </c>
      <c r="C405" s="24" t="n"/>
      <c r="D405" s="25">
        <f>IF(C405="","",IF(COUNTIF(lst_Jobs,C405&amp;"")&gt;0,"OK","CHECK"))</f>
        <v/>
      </c>
      <c r="E405" s="25">
        <f>IF(C405="","",IFERROR(INDEX(lst_JobName,MATCH(C405&amp;"",lst_Jobs,0)),""))</f>
        <v/>
      </c>
      <c r="F405" s="25">
        <f>IF(C405="","",IFERROR(INDEX(tbl_Finance[Client],MATCH(C405&amp;"",tbl_Finance[Job Number],0)),""))</f>
        <v/>
      </c>
      <c r="G405" s="28">
        <f>IF(C405="","",COUNTIFS(tbl_Finance[Job Number],C405&amp;"",tbl_Finance[Ex GST],"&lt;&gt;"))</f>
        <v/>
      </c>
      <c r="H405" s="27">
        <f>IF(C405="","",SUMIFS(tbl_Finance[Ex GST],tbl_Finance[Job Number],C405&amp;""))</f>
        <v/>
      </c>
      <c r="I405" s="27">
        <f>IF(C405="","",SUMIFS(tbl_Finance[Ex GST],tbl_Finance[Job Number],C405&amp;"",tbl_Finance[Xero Invoice No],"&lt;&gt;"))</f>
        <v/>
      </c>
      <c r="J405" s="27">
        <f>IF(C405="","",H405-I405)</f>
        <v/>
      </c>
      <c r="K405" s="25">
        <f>IF(C405="","",IF(G405=0,"not invoiced yet",SUBSTITUTE(TRIM(IF(COUNTIFS(tbl_Finance[Job Number],C405&amp;"",tbl_Finance[Cost Centre],"ONSITE")&gt;0,"ONSITE ","")&amp;IF(COUNTIFS(tbl_Finance[Job Number],C405&amp;"",tbl_Finance[Cost Centre],"PRODUCTION")&gt;0,"PRODUCTION ","")&amp;IF(COUNTIFS(tbl_Finance[Job Number],C405&amp;"",tbl_Finance[Cost Centre],"VIDEO")&gt;0,"VIDEO ","")&amp;IF(COUNTIFS(tbl_Finance[Job Number],C405&amp;"",tbl_Finance[Cost Centre],"INTEGRATION")&gt;0,"INTEGRATION ","")&amp;IF(COUNTIFS(tbl_Finance[Job Number],C405&amp;"",tbl_Finance[Cost Centre],"CONSULTING")&gt;0,"CONSULTING ","")&amp;IF(COUNTIFS(tbl_Finance[Job Number],C405&amp;"",tbl_Finance[Cost Centre],"CTS")&gt;0,"CTS ",""))," ",", ")))</f>
        <v/>
      </c>
      <c r="L405" s="24" t="n"/>
      <c r="M405" s="25">
        <f>IF(L405="","",HYPERLINK(IF(LEFT(L405,4)="http",L405,set_QwilrBase&amp;L405),"Open quote"))</f>
        <v/>
      </c>
      <c r="N405" s="26" t="n"/>
      <c r="O405" s="26" t="n"/>
      <c r="P405" s="26" t="n"/>
      <c r="Q405" s="25">
        <f>IF(C405="","",IF(N(N405)+N(O405)+N(P405)=0,"Not split",IF(ROUND(N(N405)+N(O405)+N(P405),2)=ROUND(H405,2),"OK","MISMATCH")))</f>
        <v/>
      </c>
      <c r="R405" s="26" t="n"/>
      <c r="S405" s="26" t="n"/>
      <c r="T405" s="26" t="n"/>
      <c r="U405" s="27">
        <f>IF(C405="","",N(R405)+N(S405)+N(T405))</f>
        <v/>
      </c>
      <c r="V405" s="27">
        <f>IF(C405="","",H405-U405)</f>
        <v/>
      </c>
      <c r="W405" s="29">
        <f>IFERROR(V405/H405,"")</f>
        <v/>
      </c>
      <c r="X405" s="24" t="n"/>
    </row>
    <row r="406" ht="15" customHeight="1">
      <c r="A406" s="63">
        <f>IF(C406="","",IFERROR(IF(SUMPRODUCT(MAX((tbl_Finance[Job Number]=C406&amp;"")*(tbl_Finance[Xero Invoice No]&lt;&gt;"")*tbl_Finance[Date]))=0,"",SUMPRODUCT(MAX((tbl_Finance[Job Number]=C406&amp;"")*(tbl_Finance[Xero Invoice No]&lt;&gt;"")*tbl_Finance[Date]))),""))</f>
        <v/>
      </c>
      <c r="B406" s="25">
        <f>IF(C406="","",IF(COUNTIFS(tbl_Finance[Job Number],C406&amp;"",tbl_Finance[Xero Invoice No],"&lt;&gt;")=0,"",IFERROR(IF(COUNTIFS(tbl_Finance[Job Number],C406&amp;"",tbl_Finance[Xero Invoice No],LOOKUP(2,1/((tbl_Finance[Job Number]=C406&amp;"")*(tbl_Finance[Xero Invoice No]&lt;&gt;"")),tbl_Finance[Xero Invoice No]))=COUNTIFS(tbl_Finance[Job Number],C406&amp;"",tbl_Finance[Xero Invoice No],"&lt;&gt;"),LOOKUP(2,1/((tbl_Finance[Job Number]=C406&amp;"")*(tbl_Finance[Xero Invoice No]&lt;&gt;"")),tbl_Finance[Xero Invoice No]),LOOKUP(2,1/((tbl_Finance[Job Number]=C406&amp;"")*(tbl_Finance[Xero Invoice No]&lt;&gt;"")),tbl_Finance[Xero Invoice No])&amp;" +more"),"")))</f>
        <v/>
      </c>
      <c r="C406" s="24" t="n"/>
      <c r="D406" s="25">
        <f>IF(C406="","",IF(COUNTIF(lst_Jobs,C406&amp;"")&gt;0,"OK","CHECK"))</f>
        <v/>
      </c>
      <c r="E406" s="25">
        <f>IF(C406="","",IFERROR(INDEX(lst_JobName,MATCH(C406&amp;"",lst_Jobs,0)),""))</f>
        <v/>
      </c>
      <c r="F406" s="25">
        <f>IF(C406="","",IFERROR(INDEX(tbl_Finance[Client],MATCH(C406&amp;"",tbl_Finance[Job Number],0)),""))</f>
        <v/>
      </c>
      <c r="G406" s="28">
        <f>IF(C406="","",COUNTIFS(tbl_Finance[Job Number],C406&amp;"",tbl_Finance[Ex GST],"&lt;&gt;"))</f>
        <v/>
      </c>
      <c r="H406" s="27">
        <f>IF(C406="","",SUMIFS(tbl_Finance[Ex GST],tbl_Finance[Job Number],C406&amp;""))</f>
        <v/>
      </c>
      <c r="I406" s="27">
        <f>IF(C406="","",SUMIFS(tbl_Finance[Ex GST],tbl_Finance[Job Number],C406&amp;"",tbl_Finance[Xero Invoice No],"&lt;&gt;"))</f>
        <v/>
      </c>
      <c r="J406" s="27">
        <f>IF(C406="","",H406-I406)</f>
        <v/>
      </c>
      <c r="K406" s="25">
        <f>IF(C406="","",IF(G406=0,"not invoiced yet",SUBSTITUTE(TRIM(IF(COUNTIFS(tbl_Finance[Job Number],C406&amp;"",tbl_Finance[Cost Centre],"ONSITE")&gt;0,"ONSITE ","")&amp;IF(COUNTIFS(tbl_Finance[Job Number],C406&amp;"",tbl_Finance[Cost Centre],"PRODUCTION")&gt;0,"PRODUCTION ","")&amp;IF(COUNTIFS(tbl_Finance[Job Number],C406&amp;"",tbl_Finance[Cost Centre],"VIDEO")&gt;0,"VIDEO ","")&amp;IF(COUNTIFS(tbl_Finance[Job Number],C406&amp;"",tbl_Finance[Cost Centre],"INTEGRATION")&gt;0,"INTEGRATION ","")&amp;IF(COUNTIFS(tbl_Finance[Job Number],C406&amp;"",tbl_Finance[Cost Centre],"CONSULTING")&gt;0,"CONSULTING ","")&amp;IF(COUNTIFS(tbl_Finance[Job Number],C406&amp;"",tbl_Finance[Cost Centre],"CTS")&gt;0,"CTS ",""))," ",", ")))</f>
        <v/>
      </c>
      <c r="L406" s="24" t="n"/>
      <c r="M406" s="25">
        <f>IF(L406="","",HYPERLINK(IF(LEFT(L406,4)="http",L406,set_QwilrBase&amp;L406),"Open quote"))</f>
        <v/>
      </c>
      <c r="N406" s="26" t="n"/>
      <c r="O406" s="26" t="n"/>
      <c r="P406" s="26" t="n"/>
      <c r="Q406" s="25">
        <f>IF(C406="","",IF(N(N406)+N(O406)+N(P406)=0,"Not split",IF(ROUND(N(N406)+N(O406)+N(P406),2)=ROUND(H406,2),"OK","MISMATCH")))</f>
        <v/>
      </c>
      <c r="R406" s="26" t="n"/>
      <c r="S406" s="26" t="n"/>
      <c r="T406" s="26" t="n"/>
      <c r="U406" s="27">
        <f>IF(C406="","",N(R406)+N(S406)+N(T406))</f>
        <v/>
      </c>
      <c r="V406" s="27">
        <f>IF(C406="","",H406-U406)</f>
        <v/>
      </c>
      <c r="W406" s="29">
        <f>IFERROR(V406/H406,"")</f>
        <v/>
      </c>
      <c r="X406" s="24" t="n"/>
    </row>
    <row r="407" ht="15" customHeight="1">
      <c r="A407" s="63">
        <f>IF(C407="","",IFERROR(IF(SUMPRODUCT(MAX((tbl_Finance[Job Number]=C407&amp;"")*(tbl_Finance[Xero Invoice No]&lt;&gt;"")*tbl_Finance[Date]))=0,"",SUMPRODUCT(MAX((tbl_Finance[Job Number]=C407&amp;"")*(tbl_Finance[Xero Invoice No]&lt;&gt;"")*tbl_Finance[Date]))),""))</f>
        <v/>
      </c>
      <c r="B407" s="25">
        <f>IF(C407="","",IF(COUNTIFS(tbl_Finance[Job Number],C407&amp;"",tbl_Finance[Xero Invoice No],"&lt;&gt;")=0,"",IFERROR(IF(COUNTIFS(tbl_Finance[Job Number],C407&amp;"",tbl_Finance[Xero Invoice No],LOOKUP(2,1/((tbl_Finance[Job Number]=C407&amp;"")*(tbl_Finance[Xero Invoice No]&lt;&gt;"")),tbl_Finance[Xero Invoice No]))=COUNTIFS(tbl_Finance[Job Number],C407&amp;"",tbl_Finance[Xero Invoice No],"&lt;&gt;"),LOOKUP(2,1/((tbl_Finance[Job Number]=C407&amp;"")*(tbl_Finance[Xero Invoice No]&lt;&gt;"")),tbl_Finance[Xero Invoice No]),LOOKUP(2,1/((tbl_Finance[Job Number]=C407&amp;"")*(tbl_Finance[Xero Invoice No]&lt;&gt;"")),tbl_Finance[Xero Invoice No])&amp;" +more"),"")))</f>
        <v/>
      </c>
      <c r="C407" s="24" t="n"/>
      <c r="D407" s="25">
        <f>IF(C407="","",IF(COUNTIF(lst_Jobs,C407&amp;"")&gt;0,"OK","CHECK"))</f>
        <v/>
      </c>
      <c r="E407" s="25">
        <f>IF(C407="","",IFERROR(INDEX(lst_JobName,MATCH(C407&amp;"",lst_Jobs,0)),""))</f>
        <v/>
      </c>
      <c r="F407" s="25">
        <f>IF(C407="","",IFERROR(INDEX(tbl_Finance[Client],MATCH(C407&amp;"",tbl_Finance[Job Number],0)),""))</f>
        <v/>
      </c>
      <c r="G407" s="28">
        <f>IF(C407="","",COUNTIFS(tbl_Finance[Job Number],C407&amp;"",tbl_Finance[Ex GST],"&lt;&gt;"))</f>
        <v/>
      </c>
      <c r="H407" s="27">
        <f>IF(C407="","",SUMIFS(tbl_Finance[Ex GST],tbl_Finance[Job Number],C407&amp;""))</f>
        <v/>
      </c>
      <c r="I407" s="27">
        <f>IF(C407="","",SUMIFS(tbl_Finance[Ex GST],tbl_Finance[Job Number],C407&amp;"",tbl_Finance[Xero Invoice No],"&lt;&gt;"))</f>
        <v/>
      </c>
      <c r="J407" s="27">
        <f>IF(C407="","",H407-I407)</f>
        <v/>
      </c>
      <c r="K407" s="25">
        <f>IF(C407="","",IF(G407=0,"not invoiced yet",SUBSTITUTE(TRIM(IF(COUNTIFS(tbl_Finance[Job Number],C407&amp;"",tbl_Finance[Cost Centre],"ONSITE")&gt;0,"ONSITE ","")&amp;IF(COUNTIFS(tbl_Finance[Job Number],C407&amp;"",tbl_Finance[Cost Centre],"PRODUCTION")&gt;0,"PRODUCTION ","")&amp;IF(COUNTIFS(tbl_Finance[Job Number],C407&amp;"",tbl_Finance[Cost Centre],"VIDEO")&gt;0,"VIDEO ","")&amp;IF(COUNTIFS(tbl_Finance[Job Number],C407&amp;"",tbl_Finance[Cost Centre],"INTEGRATION")&gt;0,"INTEGRATION ","")&amp;IF(COUNTIFS(tbl_Finance[Job Number],C407&amp;"",tbl_Finance[Cost Centre],"CONSULTING")&gt;0,"CONSULTING ","")&amp;IF(COUNTIFS(tbl_Finance[Job Number],C407&amp;"",tbl_Finance[Cost Centre],"CTS")&gt;0,"CTS ",""))," ",", ")))</f>
        <v/>
      </c>
      <c r="L407" s="24" t="n"/>
      <c r="M407" s="25">
        <f>IF(L407="","",HYPERLINK(IF(LEFT(L407,4)="http",L407,set_QwilrBase&amp;L407),"Open quote"))</f>
        <v/>
      </c>
      <c r="N407" s="26" t="n"/>
      <c r="O407" s="26" t="n"/>
      <c r="P407" s="26" t="n"/>
      <c r="Q407" s="25">
        <f>IF(C407="","",IF(N(N407)+N(O407)+N(P407)=0,"Not split",IF(ROUND(N(N407)+N(O407)+N(P407),2)=ROUND(H407,2),"OK","MISMATCH")))</f>
        <v/>
      </c>
      <c r="R407" s="26" t="n"/>
      <c r="S407" s="26" t="n"/>
      <c r="T407" s="26" t="n"/>
      <c r="U407" s="27">
        <f>IF(C407="","",N(R407)+N(S407)+N(T407))</f>
        <v/>
      </c>
      <c r="V407" s="27">
        <f>IF(C407="","",H407-U407)</f>
        <v/>
      </c>
      <c r="W407" s="29">
        <f>IFERROR(V407/H407,"")</f>
        <v/>
      </c>
      <c r="X407" s="24" t="n"/>
    </row>
    <row r="408" ht="15" customHeight="1">
      <c r="A408" s="63">
        <f>IF(C408="","",IFERROR(IF(SUMPRODUCT(MAX((tbl_Finance[Job Number]=C408&amp;"")*(tbl_Finance[Xero Invoice No]&lt;&gt;"")*tbl_Finance[Date]))=0,"",SUMPRODUCT(MAX((tbl_Finance[Job Number]=C408&amp;"")*(tbl_Finance[Xero Invoice No]&lt;&gt;"")*tbl_Finance[Date]))),""))</f>
        <v/>
      </c>
      <c r="B408" s="25">
        <f>IF(C408="","",IF(COUNTIFS(tbl_Finance[Job Number],C408&amp;"",tbl_Finance[Xero Invoice No],"&lt;&gt;")=0,"",IFERROR(IF(COUNTIFS(tbl_Finance[Job Number],C408&amp;"",tbl_Finance[Xero Invoice No],LOOKUP(2,1/((tbl_Finance[Job Number]=C408&amp;"")*(tbl_Finance[Xero Invoice No]&lt;&gt;"")),tbl_Finance[Xero Invoice No]))=COUNTIFS(tbl_Finance[Job Number],C408&amp;"",tbl_Finance[Xero Invoice No],"&lt;&gt;"),LOOKUP(2,1/((tbl_Finance[Job Number]=C408&amp;"")*(tbl_Finance[Xero Invoice No]&lt;&gt;"")),tbl_Finance[Xero Invoice No]),LOOKUP(2,1/((tbl_Finance[Job Number]=C408&amp;"")*(tbl_Finance[Xero Invoice No]&lt;&gt;"")),tbl_Finance[Xero Invoice No])&amp;" +more"),"")))</f>
        <v/>
      </c>
      <c r="C408" s="24" t="n"/>
      <c r="D408" s="25">
        <f>IF(C408="","",IF(COUNTIF(lst_Jobs,C408&amp;"")&gt;0,"OK","CHECK"))</f>
        <v/>
      </c>
      <c r="E408" s="25">
        <f>IF(C408="","",IFERROR(INDEX(lst_JobName,MATCH(C408&amp;"",lst_Jobs,0)),""))</f>
        <v/>
      </c>
      <c r="F408" s="25">
        <f>IF(C408="","",IFERROR(INDEX(tbl_Finance[Client],MATCH(C408&amp;"",tbl_Finance[Job Number],0)),""))</f>
        <v/>
      </c>
      <c r="G408" s="28">
        <f>IF(C408="","",COUNTIFS(tbl_Finance[Job Number],C408&amp;"",tbl_Finance[Ex GST],"&lt;&gt;"))</f>
        <v/>
      </c>
      <c r="H408" s="27">
        <f>IF(C408="","",SUMIFS(tbl_Finance[Ex GST],tbl_Finance[Job Number],C408&amp;""))</f>
        <v/>
      </c>
      <c r="I408" s="27">
        <f>IF(C408="","",SUMIFS(tbl_Finance[Ex GST],tbl_Finance[Job Number],C408&amp;"",tbl_Finance[Xero Invoice No],"&lt;&gt;"))</f>
        <v/>
      </c>
      <c r="J408" s="27">
        <f>IF(C408="","",H408-I408)</f>
        <v/>
      </c>
      <c r="K408" s="25">
        <f>IF(C408="","",IF(G408=0,"not invoiced yet",SUBSTITUTE(TRIM(IF(COUNTIFS(tbl_Finance[Job Number],C408&amp;"",tbl_Finance[Cost Centre],"ONSITE")&gt;0,"ONSITE ","")&amp;IF(COUNTIFS(tbl_Finance[Job Number],C408&amp;"",tbl_Finance[Cost Centre],"PRODUCTION")&gt;0,"PRODUCTION ","")&amp;IF(COUNTIFS(tbl_Finance[Job Number],C408&amp;"",tbl_Finance[Cost Centre],"VIDEO")&gt;0,"VIDEO ","")&amp;IF(COUNTIFS(tbl_Finance[Job Number],C408&amp;"",tbl_Finance[Cost Centre],"INTEGRATION")&gt;0,"INTEGRATION ","")&amp;IF(COUNTIFS(tbl_Finance[Job Number],C408&amp;"",tbl_Finance[Cost Centre],"CONSULTING")&gt;0,"CONSULTING ","")&amp;IF(COUNTIFS(tbl_Finance[Job Number],C408&amp;"",tbl_Finance[Cost Centre],"CTS")&gt;0,"CTS ",""))," ",", ")))</f>
        <v/>
      </c>
      <c r="L408" s="24" t="n"/>
      <c r="M408" s="25">
        <f>IF(L408="","",HYPERLINK(IF(LEFT(L408,4)="http",L408,set_QwilrBase&amp;L408),"Open quote"))</f>
        <v/>
      </c>
      <c r="N408" s="26" t="n"/>
      <c r="O408" s="26" t="n"/>
      <c r="P408" s="26" t="n"/>
      <c r="Q408" s="25">
        <f>IF(C408="","",IF(N(N408)+N(O408)+N(P408)=0,"Not split",IF(ROUND(N(N408)+N(O408)+N(P408),2)=ROUND(H408,2),"OK","MISMATCH")))</f>
        <v/>
      </c>
      <c r="R408" s="26" t="n"/>
      <c r="S408" s="26" t="n"/>
      <c r="T408" s="26" t="n"/>
      <c r="U408" s="27">
        <f>IF(C408="","",N(R408)+N(S408)+N(T408))</f>
        <v/>
      </c>
      <c r="V408" s="27">
        <f>IF(C408="","",H408-U408)</f>
        <v/>
      </c>
      <c r="W408" s="29">
        <f>IFERROR(V408/H408,"")</f>
        <v/>
      </c>
      <c r="X408" s="24" t="n"/>
    </row>
    <row r="409" ht="15" customHeight="1">
      <c r="A409" s="63">
        <f>IF(C409="","",IFERROR(IF(SUMPRODUCT(MAX((tbl_Finance[Job Number]=C409&amp;"")*(tbl_Finance[Xero Invoice No]&lt;&gt;"")*tbl_Finance[Date]))=0,"",SUMPRODUCT(MAX((tbl_Finance[Job Number]=C409&amp;"")*(tbl_Finance[Xero Invoice No]&lt;&gt;"")*tbl_Finance[Date]))),""))</f>
        <v/>
      </c>
      <c r="B409" s="25">
        <f>IF(C409="","",IF(COUNTIFS(tbl_Finance[Job Number],C409&amp;"",tbl_Finance[Xero Invoice No],"&lt;&gt;")=0,"",IFERROR(IF(COUNTIFS(tbl_Finance[Job Number],C409&amp;"",tbl_Finance[Xero Invoice No],LOOKUP(2,1/((tbl_Finance[Job Number]=C409&amp;"")*(tbl_Finance[Xero Invoice No]&lt;&gt;"")),tbl_Finance[Xero Invoice No]))=COUNTIFS(tbl_Finance[Job Number],C409&amp;"",tbl_Finance[Xero Invoice No],"&lt;&gt;"),LOOKUP(2,1/((tbl_Finance[Job Number]=C409&amp;"")*(tbl_Finance[Xero Invoice No]&lt;&gt;"")),tbl_Finance[Xero Invoice No]),LOOKUP(2,1/((tbl_Finance[Job Number]=C409&amp;"")*(tbl_Finance[Xero Invoice No]&lt;&gt;"")),tbl_Finance[Xero Invoice No])&amp;" +more"),"")))</f>
        <v/>
      </c>
      <c r="C409" s="24" t="n"/>
      <c r="D409" s="25">
        <f>IF(C409="","",IF(COUNTIF(lst_Jobs,C409&amp;"")&gt;0,"OK","CHECK"))</f>
        <v/>
      </c>
      <c r="E409" s="25">
        <f>IF(C409="","",IFERROR(INDEX(lst_JobName,MATCH(C409&amp;"",lst_Jobs,0)),""))</f>
        <v/>
      </c>
      <c r="F409" s="25">
        <f>IF(C409="","",IFERROR(INDEX(tbl_Finance[Client],MATCH(C409&amp;"",tbl_Finance[Job Number],0)),""))</f>
        <v/>
      </c>
      <c r="G409" s="28">
        <f>IF(C409="","",COUNTIFS(tbl_Finance[Job Number],C409&amp;"",tbl_Finance[Ex GST],"&lt;&gt;"))</f>
        <v/>
      </c>
      <c r="H409" s="27">
        <f>IF(C409="","",SUMIFS(tbl_Finance[Ex GST],tbl_Finance[Job Number],C409&amp;""))</f>
        <v/>
      </c>
      <c r="I409" s="27">
        <f>IF(C409="","",SUMIFS(tbl_Finance[Ex GST],tbl_Finance[Job Number],C409&amp;"",tbl_Finance[Xero Invoice No],"&lt;&gt;"))</f>
        <v/>
      </c>
      <c r="J409" s="27">
        <f>IF(C409="","",H409-I409)</f>
        <v/>
      </c>
      <c r="K409" s="25">
        <f>IF(C409="","",IF(G409=0,"not invoiced yet",SUBSTITUTE(TRIM(IF(COUNTIFS(tbl_Finance[Job Number],C409&amp;"",tbl_Finance[Cost Centre],"ONSITE")&gt;0,"ONSITE ","")&amp;IF(COUNTIFS(tbl_Finance[Job Number],C409&amp;"",tbl_Finance[Cost Centre],"PRODUCTION")&gt;0,"PRODUCTION ","")&amp;IF(COUNTIFS(tbl_Finance[Job Number],C409&amp;"",tbl_Finance[Cost Centre],"VIDEO")&gt;0,"VIDEO ","")&amp;IF(COUNTIFS(tbl_Finance[Job Number],C409&amp;"",tbl_Finance[Cost Centre],"INTEGRATION")&gt;0,"INTEGRATION ","")&amp;IF(COUNTIFS(tbl_Finance[Job Number],C409&amp;"",tbl_Finance[Cost Centre],"CONSULTING")&gt;0,"CONSULTING ","")&amp;IF(COUNTIFS(tbl_Finance[Job Number],C409&amp;"",tbl_Finance[Cost Centre],"CTS")&gt;0,"CTS ",""))," ",", ")))</f>
        <v/>
      </c>
      <c r="L409" s="24" t="n"/>
      <c r="M409" s="25">
        <f>IF(L409="","",HYPERLINK(IF(LEFT(L409,4)="http",L409,set_QwilrBase&amp;L409),"Open quote"))</f>
        <v/>
      </c>
      <c r="N409" s="26" t="n"/>
      <c r="O409" s="26" t="n"/>
      <c r="P409" s="26" t="n"/>
      <c r="Q409" s="25">
        <f>IF(C409="","",IF(N(N409)+N(O409)+N(P409)=0,"Not split",IF(ROUND(N(N409)+N(O409)+N(P409),2)=ROUND(H409,2),"OK","MISMATCH")))</f>
        <v/>
      </c>
      <c r="R409" s="26" t="n"/>
      <c r="S409" s="26" t="n"/>
      <c r="T409" s="26" t="n"/>
      <c r="U409" s="27">
        <f>IF(C409="","",N(R409)+N(S409)+N(T409))</f>
        <v/>
      </c>
      <c r="V409" s="27">
        <f>IF(C409="","",H409-U409)</f>
        <v/>
      </c>
      <c r="W409" s="29">
        <f>IFERROR(V409/H409,"")</f>
        <v/>
      </c>
      <c r="X409" s="24" t="n"/>
    </row>
    <row r="410" ht="15" customHeight="1">
      <c r="A410" s="63">
        <f>IF(C410="","",IFERROR(IF(SUMPRODUCT(MAX((tbl_Finance[Job Number]=C410&amp;"")*(tbl_Finance[Xero Invoice No]&lt;&gt;"")*tbl_Finance[Date]))=0,"",SUMPRODUCT(MAX((tbl_Finance[Job Number]=C410&amp;"")*(tbl_Finance[Xero Invoice No]&lt;&gt;"")*tbl_Finance[Date]))),""))</f>
        <v/>
      </c>
      <c r="B410" s="25">
        <f>IF(C410="","",IF(COUNTIFS(tbl_Finance[Job Number],C410&amp;"",tbl_Finance[Xero Invoice No],"&lt;&gt;")=0,"",IFERROR(IF(COUNTIFS(tbl_Finance[Job Number],C410&amp;"",tbl_Finance[Xero Invoice No],LOOKUP(2,1/((tbl_Finance[Job Number]=C410&amp;"")*(tbl_Finance[Xero Invoice No]&lt;&gt;"")),tbl_Finance[Xero Invoice No]))=COUNTIFS(tbl_Finance[Job Number],C410&amp;"",tbl_Finance[Xero Invoice No],"&lt;&gt;"),LOOKUP(2,1/((tbl_Finance[Job Number]=C410&amp;"")*(tbl_Finance[Xero Invoice No]&lt;&gt;"")),tbl_Finance[Xero Invoice No]),LOOKUP(2,1/((tbl_Finance[Job Number]=C410&amp;"")*(tbl_Finance[Xero Invoice No]&lt;&gt;"")),tbl_Finance[Xero Invoice No])&amp;" +more"),"")))</f>
        <v/>
      </c>
      <c r="C410" s="24" t="n"/>
      <c r="D410" s="25">
        <f>IF(C410="","",IF(COUNTIF(lst_Jobs,C410&amp;"")&gt;0,"OK","CHECK"))</f>
        <v/>
      </c>
      <c r="E410" s="25">
        <f>IF(C410="","",IFERROR(INDEX(lst_JobName,MATCH(C410&amp;"",lst_Jobs,0)),""))</f>
        <v/>
      </c>
      <c r="F410" s="25">
        <f>IF(C410="","",IFERROR(INDEX(tbl_Finance[Client],MATCH(C410&amp;"",tbl_Finance[Job Number],0)),""))</f>
        <v/>
      </c>
      <c r="G410" s="28">
        <f>IF(C410="","",COUNTIFS(tbl_Finance[Job Number],C410&amp;"",tbl_Finance[Ex GST],"&lt;&gt;"))</f>
        <v/>
      </c>
      <c r="H410" s="27">
        <f>IF(C410="","",SUMIFS(tbl_Finance[Ex GST],tbl_Finance[Job Number],C410&amp;""))</f>
        <v/>
      </c>
      <c r="I410" s="27">
        <f>IF(C410="","",SUMIFS(tbl_Finance[Ex GST],tbl_Finance[Job Number],C410&amp;"",tbl_Finance[Xero Invoice No],"&lt;&gt;"))</f>
        <v/>
      </c>
      <c r="J410" s="27">
        <f>IF(C410="","",H410-I410)</f>
        <v/>
      </c>
      <c r="K410" s="25">
        <f>IF(C410="","",IF(G410=0,"not invoiced yet",SUBSTITUTE(TRIM(IF(COUNTIFS(tbl_Finance[Job Number],C410&amp;"",tbl_Finance[Cost Centre],"ONSITE")&gt;0,"ONSITE ","")&amp;IF(COUNTIFS(tbl_Finance[Job Number],C410&amp;"",tbl_Finance[Cost Centre],"PRODUCTION")&gt;0,"PRODUCTION ","")&amp;IF(COUNTIFS(tbl_Finance[Job Number],C410&amp;"",tbl_Finance[Cost Centre],"VIDEO")&gt;0,"VIDEO ","")&amp;IF(COUNTIFS(tbl_Finance[Job Number],C410&amp;"",tbl_Finance[Cost Centre],"INTEGRATION")&gt;0,"INTEGRATION ","")&amp;IF(COUNTIFS(tbl_Finance[Job Number],C410&amp;"",tbl_Finance[Cost Centre],"CONSULTING")&gt;0,"CONSULTING ","")&amp;IF(COUNTIFS(tbl_Finance[Job Number],C410&amp;"",tbl_Finance[Cost Centre],"CTS")&gt;0,"CTS ",""))," ",", ")))</f>
        <v/>
      </c>
      <c r="L410" s="24" t="n"/>
      <c r="M410" s="25">
        <f>IF(L410="","",HYPERLINK(IF(LEFT(L410,4)="http",L410,set_QwilrBase&amp;L410),"Open quote"))</f>
        <v/>
      </c>
      <c r="N410" s="26" t="n"/>
      <c r="O410" s="26" t="n"/>
      <c r="P410" s="26" t="n"/>
      <c r="Q410" s="25">
        <f>IF(C410="","",IF(N(N410)+N(O410)+N(P410)=0,"Not split",IF(ROUND(N(N410)+N(O410)+N(P410),2)=ROUND(H410,2),"OK","MISMATCH")))</f>
        <v/>
      </c>
      <c r="R410" s="26" t="n"/>
      <c r="S410" s="26" t="n"/>
      <c r="T410" s="26" t="n"/>
      <c r="U410" s="27">
        <f>IF(C410="","",N(R410)+N(S410)+N(T410))</f>
        <v/>
      </c>
      <c r="V410" s="27">
        <f>IF(C410="","",H410-U410)</f>
        <v/>
      </c>
      <c r="W410" s="29">
        <f>IFERROR(V410/H410,"")</f>
        <v/>
      </c>
      <c r="X410" s="24" t="n"/>
    </row>
    <row r="411" ht="15" customHeight="1">
      <c r="A411" s="63">
        <f>IF(C411="","",IFERROR(IF(SUMPRODUCT(MAX((tbl_Finance[Job Number]=C411&amp;"")*(tbl_Finance[Xero Invoice No]&lt;&gt;"")*tbl_Finance[Date]))=0,"",SUMPRODUCT(MAX((tbl_Finance[Job Number]=C411&amp;"")*(tbl_Finance[Xero Invoice No]&lt;&gt;"")*tbl_Finance[Date]))),""))</f>
        <v/>
      </c>
      <c r="B411" s="25">
        <f>IF(C411="","",IF(COUNTIFS(tbl_Finance[Job Number],C411&amp;"",tbl_Finance[Xero Invoice No],"&lt;&gt;")=0,"",IFERROR(IF(COUNTIFS(tbl_Finance[Job Number],C411&amp;"",tbl_Finance[Xero Invoice No],LOOKUP(2,1/((tbl_Finance[Job Number]=C411&amp;"")*(tbl_Finance[Xero Invoice No]&lt;&gt;"")),tbl_Finance[Xero Invoice No]))=COUNTIFS(tbl_Finance[Job Number],C411&amp;"",tbl_Finance[Xero Invoice No],"&lt;&gt;"),LOOKUP(2,1/((tbl_Finance[Job Number]=C411&amp;"")*(tbl_Finance[Xero Invoice No]&lt;&gt;"")),tbl_Finance[Xero Invoice No]),LOOKUP(2,1/((tbl_Finance[Job Number]=C411&amp;"")*(tbl_Finance[Xero Invoice No]&lt;&gt;"")),tbl_Finance[Xero Invoice No])&amp;" +more"),"")))</f>
        <v/>
      </c>
      <c r="C411" s="24" t="n"/>
      <c r="D411" s="25">
        <f>IF(C411="","",IF(COUNTIF(lst_Jobs,C411&amp;"")&gt;0,"OK","CHECK"))</f>
        <v/>
      </c>
      <c r="E411" s="25">
        <f>IF(C411="","",IFERROR(INDEX(lst_JobName,MATCH(C411&amp;"",lst_Jobs,0)),""))</f>
        <v/>
      </c>
      <c r="F411" s="25">
        <f>IF(C411="","",IFERROR(INDEX(tbl_Finance[Client],MATCH(C411&amp;"",tbl_Finance[Job Number],0)),""))</f>
        <v/>
      </c>
      <c r="G411" s="28">
        <f>IF(C411="","",COUNTIFS(tbl_Finance[Job Number],C411&amp;"",tbl_Finance[Ex GST],"&lt;&gt;"))</f>
        <v/>
      </c>
      <c r="H411" s="27">
        <f>IF(C411="","",SUMIFS(tbl_Finance[Ex GST],tbl_Finance[Job Number],C411&amp;""))</f>
        <v/>
      </c>
      <c r="I411" s="27">
        <f>IF(C411="","",SUMIFS(tbl_Finance[Ex GST],tbl_Finance[Job Number],C411&amp;"",tbl_Finance[Xero Invoice No],"&lt;&gt;"))</f>
        <v/>
      </c>
      <c r="J411" s="27">
        <f>IF(C411="","",H411-I411)</f>
        <v/>
      </c>
      <c r="K411" s="25">
        <f>IF(C411="","",IF(G411=0,"not invoiced yet",SUBSTITUTE(TRIM(IF(COUNTIFS(tbl_Finance[Job Number],C411&amp;"",tbl_Finance[Cost Centre],"ONSITE")&gt;0,"ONSITE ","")&amp;IF(COUNTIFS(tbl_Finance[Job Number],C411&amp;"",tbl_Finance[Cost Centre],"PRODUCTION")&gt;0,"PRODUCTION ","")&amp;IF(COUNTIFS(tbl_Finance[Job Number],C411&amp;"",tbl_Finance[Cost Centre],"VIDEO")&gt;0,"VIDEO ","")&amp;IF(COUNTIFS(tbl_Finance[Job Number],C411&amp;"",tbl_Finance[Cost Centre],"INTEGRATION")&gt;0,"INTEGRATION ","")&amp;IF(COUNTIFS(tbl_Finance[Job Number],C411&amp;"",tbl_Finance[Cost Centre],"CONSULTING")&gt;0,"CONSULTING ","")&amp;IF(COUNTIFS(tbl_Finance[Job Number],C411&amp;"",tbl_Finance[Cost Centre],"CTS")&gt;0,"CTS ",""))," ",", ")))</f>
        <v/>
      </c>
      <c r="L411" s="24" t="n"/>
      <c r="M411" s="25">
        <f>IF(L411="","",HYPERLINK(IF(LEFT(L411,4)="http",L411,set_QwilrBase&amp;L411),"Open quote"))</f>
        <v/>
      </c>
      <c r="N411" s="26" t="n"/>
      <c r="O411" s="26" t="n"/>
      <c r="P411" s="26" t="n"/>
      <c r="Q411" s="25">
        <f>IF(C411="","",IF(N(N411)+N(O411)+N(P411)=0,"Not split",IF(ROUND(N(N411)+N(O411)+N(P411),2)=ROUND(H411,2),"OK","MISMATCH")))</f>
        <v/>
      </c>
      <c r="R411" s="26" t="n"/>
      <c r="S411" s="26" t="n"/>
      <c r="T411" s="26" t="n"/>
      <c r="U411" s="27">
        <f>IF(C411="","",N(R411)+N(S411)+N(T411))</f>
        <v/>
      </c>
      <c r="V411" s="27">
        <f>IF(C411="","",H411-U411)</f>
        <v/>
      </c>
      <c r="W411" s="29">
        <f>IFERROR(V411/H411,"")</f>
        <v/>
      </c>
      <c r="X411" s="24" t="n"/>
    </row>
    <row r="412" ht="15" customHeight="1">
      <c r="A412" s="63">
        <f>IF(C412="","",IFERROR(IF(SUMPRODUCT(MAX((tbl_Finance[Job Number]=C412&amp;"")*(tbl_Finance[Xero Invoice No]&lt;&gt;"")*tbl_Finance[Date]))=0,"",SUMPRODUCT(MAX((tbl_Finance[Job Number]=C412&amp;"")*(tbl_Finance[Xero Invoice No]&lt;&gt;"")*tbl_Finance[Date]))),""))</f>
        <v/>
      </c>
      <c r="B412" s="25">
        <f>IF(C412="","",IF(COUNTIFS(tbl_Finance[Job Number],C412&amp;"",tbl_Finance[Xero Invoice No],"&lt;&gt;")=0,"",IFERROR(IF(COUNTIFS(tbl_Finance[Job Number],C412&amp;"",tbl_Finance[Xero Invoice No],LOOKUP(2,1/((tbl_Finance[Job Number]=C412&amp;"")*(tbl_Finance[Xero Invoice No]&lt;&gt;"")),tbl_Finance[Xero Invoice No]))=COUNTIFS(tbl_Finance[Job Number],C412&amp;"",tbl_Finance[Xero Invoice No],"&lt;&gt;"),LOOKUP(2,1/((tbl_Finance[Job Number]=C412&amp;"")*(tbl_Finance[Xero Invoice No]&lt;&gt;"")),tbl_Finance[Xero Invoice No]),LOOKUP(2,1/((tbl_Finance[Job Number]=C412&amp;"")*(tbl_Finance[Xero Invoice No]&lt;&gt;"")),tbl_Finance[Xero Invoice No])&amp;" +more"),"")))</f>
        <v/>
      </c>
      <c r="C412" s="24" t="n"/>
      <c r="D412" s="25">
        <f>IF(C412="","",IF(COUNTIF(lst_Jobs,C412&amp;"")&gt;0,"OK","CHECK"))</f>
        <v/>
      </c>
      <c r="E412" s="25">
        <f>IF(C412="","",IFERROR(INDEX(lst_JobName,MATCH(C412&amp;"",lst_Jobs,0)),""))</f>
        <v/>
      </c>
      <c r="F412" s="25">
        <f>IF(C412="","",IFERROR(INDEX(tbl_Finance[Client],MATCH(C412&amp;"",tbl_Finance[Job Number],0)),""))</f>
        <v/>
      </c>
      <c r="G412" s="28">
        <f>IF(C412="","",COUNTIFS(tbl_Finance[Job Number],C412&amp;"",tbl_Finance[Ex GST],"&lt;&gt;"))</f>
        <v/>
      </c>
      <c r="H412" s="27">
        <f>IF(C412="","",SUMIFS(tbl_Finance[Ex GST],tbl_Finance[Job Number],C412&amp;""))</f>
        <v/>
      </c>
      <c r="I412" s="27">
        <f>IF(C412="","",SUMIFS(tbl_Finance[Ex GST],tbl_Finance[Job Number],C412&amp;"",tbl_Finance[Xero Invoice No],"&lt;&gt;"))</f>
        <v/>
      </c>
      <c r="J412" s="27">
        <f>IF(C412="","",H412-I412)</f>
        <v/>
      </c>
      <c r="K412" s="25">
        <f>IF(C412="","",IF(G412=0,"not invoiced yet",SUBSTITUTE(TRIM(IF(COUNTIFS(tbl_Finance[Job Number],C412&amp;"",tbl_Finance[Cost Centre],"ONSITE")&gt;0,"ONSITE ","")&amp;IF(COUNTIFS(tbl_Finance[Job Number],C412&amp;"",tbl_Finance[Cost Centre],"PRODUCTION")&gt;0,"PRODUCTION ","")&amp;IF(COUNTIFS(tbl_Finance[Job Number],C412&amp;"",tbl_Finance[Cost Centre],"VIDEO")&gt;0,"VIDEO ","")&amp;IF(COUNTIFS(tbl_Finance[Job Number],C412&amp;"",tbl_Finance[Cost Centre],"INTEGRATION")&gt;0,"INTEGRATION ","")&amp;IF(COUNTIFS(tbl_Finance[Job Number],C412&amp;"",tbl_Finance[Cost Centre],"CONSULTING")&gt;0,"CONSULTING ","")&amp;IF(COUNTIFS(tbl_Finance[Job Number],C412&amp;"",tbl_Finance[Cost Centre],"CTS")&gt;0,"CTS ",""))," ",", ")))</f>
        <v/>
      </c>
      <c r="L412" s="24" t="n"/>
      <c r="M412" s="25">
        <f>IF(L412="","",HYPERLINK(IF(LEFT(L412,4)="http",L412,set_QwilrBase&amp;L412),"Open quote"))</f>
        <v/>
      </c>
      <c r="N412" s="26" t="n"/>
      <c r="O412" s="26" t="n"/>
      <c r="P412" s="26" t="n"/>
      <c r="Q412" s="25">
        <f>IF(C412="","",IF(N(N412)+N(O412)+N(P412)=0,"Not split",IF(ROUND(N(N412)+N(O412)+N(P412),2)=ROUND(H412,2),"OK","MISMATCH")))</f>
        <v/>
      </c>
      <c r="R412" s="26" t="n"/>
      <c r="S412" s="26" t="n"/>
      <c r="T412" s="26" t="n"/>
      <c r="U412" s="27">
        <f>IF(C412="","",N(R412)+N(S412)+N(T412))</f>
        <v/>
      </c>
      <c r="V412" s="27">
        <f>IF(C412="","",H412-U412)</f>
        <v/>
      </c>
      <c r="W412" s="29">
        <f>IFERROR(V412/H412,"")</f>
        <v/>
      </c>
      <c r="X412" s="24" t="n"/>
    </row>
    <row r="413" ht="15" customHeight="1">
      <c r="A413" s="63">
        <f>IF(C413="","",IFERROR(IF(SUMPRODUCT(MAX((tbl_Finance[Job Number]=C413&amp;"")*(tbl_Finance[Xero Invoice No]&lt;&gt;"")*tbl_Finance[Date]))=0,"",SUMPRODUCT(MAX((tbl_Finance[Job Number]=C413&amp;"")*(tbl_Finance[Xero Invoice No]&lt;&gt;"")*tbl_Finance[Date]))),""))</f>
        <v/>
      </c>
      <c r="B413" s="25">
        <f>IF(C413="","",IF(COUNTIFS(tbl_Finance[Job Number],C413&amp;"",tbl_Finance[Xero Invoice No],"&lt;&gt;")=0,"",IFERROR(IF(COUNTIFS(tbl_Finance[Job Number],C413&amp;"",tbl_Finance[Xero Invoice No],LOOKUP(2,1/((tbl_Finance[Job Number]=C413&amp;"")*(tbl_Finance[Xero Invoice No]&lt;&gt;"")),tbl_Finance[Xero Invoice No]))=COUNTIFS(tbl_Finance[Job Number],C413&amp;"",tbl_Finance[Xero Invoice No],"&lt;&gt;"),LOOKUP(2,1/((tbl_Finance[Job Number]=C413&amp;"")*(tbl_Finance[Xero Invoice No]&lt;&gt;"")),tbl_Finance[Xero Invoice No]),LOOKUP(2,1/((tbl_Finance[Job Number]=C413&amp;"")*(tbl_Finance[Xero Invoice No]&lt;&gt;"")),tbl_Finance[Xero Invoice No])&amp;" +more"),"")))</f>
        <v/>
      </c>
      <c r="C413" s="24" t="n"/>
      <c r="D413" s="25">
        <f>IF(C413="","",IF(COUNTIF(lst_Jobs,C413&amp;"")&gt;0,"OK","CHECK"))</f>
        <v/>
      </c>
      <c r="E413" s="25">
        <f>IF(C413="","",IFERROR(INDEX(lst_JobName,MATCH(C413&amp;"",lst_Jobs,0)),""))</f>
        <v/>
      </c>
      <c r="F413" s="25">
        <f>IF(C413="","",IFERROR(INDEX(tbl_Finance[Client],MATCH(C413&amp;"",tbl_Finance[Job Number],0)),""))</f>
        <v/>
      </c>
      <c r="G413" s="28">
        <f>IF(C413="","",COUNTIFS(tbl_Finance[Job Number],C413&amp;"",tbl_Finance[Ex GST],"&lt;&gt;"))</f>
        <v/>
      </c>
      <c r="H413" s="27">
        <f>IF(C413="","",SUMIFS(tbl_Finance[Ex GST],tbl_Finance[Job Number],C413&amp;""))</f>
        <v/>
      </c>
      <c r="I413" s="27">
        <f>IF(C413="","",SUMIFS(tbl_Finance[Ex GST],tbl_Finance[Job Number],C413&amp;"",tbl_Finance[Xero Invoice No],"&lt;&gt;"))</f>
        <v/>
      </c>
      <c r="J413" s="27">
        <f>IF(C413="","",H413-I413)</f>
        <v/>
      </c>
      <c r="K413" s="25">
        <f>IF(C413="","",IF(G413=0,"not invoiced yet",SUBSTITUTE(TRIM(IF(COUNTIFS(tbl_Finance[Job Number],C413&amp;"",tbl_Finance[Cost Centre],"ONSITE")&gt;0,"ONSITE ","")&amp;IF(COUNTIFS(tbl_Finance[Job Number],C413&amp;"",tbl_Finance[Cost Centre],"PRODUCTION")&gt;0,"PRODUCTION ","")&amp;IF(COUNTIFS(tbl_Finance[Job Number],C413&amp;"",tbl_Finance[Cost Centre],"VIDEO")&gt;0,"VIDEO ","")&amp;IF(COUNTIFS(tbl_Finance[Job Number],C413&amp;"",tbl_Finance[Cost Centre],"INTEGRATION")&gt;0,"INTEGRATION ","")&amp;IF(COUNTIFS(tbl_Finance[Job Number],C413&amp;"",tbl_Finance[Cost Centre],"CONSULTING")&gt;0,"CONSULTING ","")&amp;IF(COUNTIFS(tbl_Finance[Job Number],C413&amp;"",tbl_Finance[Cost Centre],"CTS")&gt;0,"CTS ",""))," ",", ")))</f>
        <v/>
      </c>
      <c r="L413" s="24" t="n"/>
      <c r="M413" s="25">
        <f>IF(L413="","",HYPERLINK(IF(LEFT(L413,4)="http",L413,set_QwilrBase&amp;L413),"Open quote"))</f>
        <v/>
      </c>
      <c r="N413" s="26" t="n"/>
      <c r="O413" s="26" t="n"/>
      <c r="P413" s="26" t="n"/>
      <c r="Q413" s="25">
        <f>IF(C413="","",IF(N(N413)+N(O413)+N(P413)=0,"Not split",IF(ROUND(N(N413)+N(O413)+N(P413),2)=ROUND(H413,2),"OK","MISMATCH")))</f>
        <v/>
      </c>
      <c r="R413" s="26" t="n"/>
      <c r="S413" s="26" t="n"/>
      <c r="T413" s="26" t="n"/>
      <c r="U413" s="27">
        <f>IF(C413="","",N(R413)+N(S413)+N(T413))</f>
        <v/>
      </c>
      <c r="V413" s="27">
        <f>IF(C413="","",H413-U413)</f>
        <v/>
      </c>
      <c r="W413" s="29">
        <f>IFERROR(V413/H413,"")</f>
        <v/>
      </c>
      <c r="X413" s="24" t="n"/>
    </row>
    <row r="414" ht="15" customHeight="1">
      <c r="A414" s="63">
        <f>IF(C414="","",IFERROR(IF(SUMPRODUCT(MAX((tbl_Finance[Job Number]=C414&amp;"")*(tbl_Finance[Xero Invoice No]&lt;&gt;"")*tbl_Finance[Date]))=0,"",SUMPRODUCT(MAX((tbl_Finance[Job Number]=C414&amp;"")*(tbl_Finance[Xero Invoice No]&lt;&gt;"")*tbl_Finance[Date]))),""))</f>
        <v/>
      </c>
      <c r="B414" s="25">
        <f>IF(C414="","",IF(COUNTIFS(tbl_Finance[Job Number],C414&amp;"",tbl_Finance[Xero Invoice No],"&lt;&gt;")=0,"",IFERROR(IF(COUNTIFS(tbl_Finance[Job Number],C414&amp;"",tbl_Finance[Xero Invoice No],LOOKUP(2,1/((tbl_Finance[Job Number]=C414&amp;"")*(tbl_Finance[Xero Invoice No]&lt;&gt;"")),tbl_Finance[Xero Invoice No]))=COUNTIFS(tbl_Finance[Job Number],C414&amp;"",tbl_Finance[Xero Invoice No],"&lt;&gt;"),LOOKUP(2,1/((tbl_Finance[Job Number]=C414&amp;"")*(tbl_Finance[Xero Invoice No]&lt;&gt;"")),tbl_Finance[Xero Invoice No]),LOOKUP(2,1/((tbl_Finance[Job Number]=C414&amp;"")*(tbl_Finance[Xero Invoice No]&lt;&gt;"")),tbl_Finance[Xero Invoice No])&amp;" +more"),"")))</f>
        <v/>
      </c>
      <c r="C414" s="24" t="n"/>
      <c r="D414" s="25">
        <f>IF(C414="","",IF(COUNTIF(lst_Jobs,C414&amp;"")&gt;0,"OK","CHECK"))</f>
        <v/>
      </c>
      <c r="E414" s="25">
        <f>IF(C414="","",IFERROR(INDEX(lst_JobName,MATCH(C414&amp;"",lst_Jobs,0)),""))</f>
        <v/>
      </c>
      <c r="F414" s="25">
        <f>IF(C414="","",IFERROR(INDEX(tbl_Finance[Client],MATCH(C414&amp;"",tbl_Finance[Job Number],0)),""))</f>
        <v/>
      </c>
      <c r="G414" s="28">
        <f>IF(C414="","",COUNTIFS(tbl_Finance[Job Number],C414&amp;"",tbl_Finance[Ex GST],"&lt;&gt;"))</f>
        <v/>
      </c>
      <c r="H414" s="27">
        <f>IF(C414="","",SUMIFS(tbl_Finance[Ex GST],tbl_Finance[Job Number],C414&amp;""))</f>
        <v/>
      </c>
      <c r="I414" s="27">
        <f>IF(C414="","",SUMIFS(tbl_Finance[Ex GST],tbl_Finance[Job Number],C414&amp;"",tbl_Finance[Xero Invoice No],"&lt;&gt;"))</f>
        <v/>
      </c>
      <c r="J414" s="27">
        <f>IF(C414="","",H414-I414)</f>
        <v/>
      </c>
      <c r="K414" s="25">
        <f>IF(C414="","",IF(G414=0,"not invoiced yet",SUBSTITUTE(TRIM(IF(COUNTIFS(tbl_Finance[Job Number],C414&amp;"",tbl_Finance[Cost Centre],"ONSITE")&gt;0,"ONSITE ","")&amp;IF(COUNTIFS(tbl_Finance[Job Number],C414&amp;"",tbl_Finance[Cost Centre],"PRODUCTION")&gt;0,"PRODUCTION ","")&amp;IF(COUNTIFS(tbl_Finance[Job Number],C414&amp;"",tbl_Finance[Cost Centre],"VIDEO")&gt;0,"VIDEO ","")&amp;IF(COUNTIFS(tbl_Finance[Job Number],C414&amp;"",tbl_Finance[Cost Centre],"INTEGRATION")&gt;0,"INTEGRATION ","")&amp;IF(COUNTIFS(tbl_Finance[Job Number],C414&amp;"",tbl_Finance[Cost Centre],"CONSULTING")&gt;0,"CONSULTING ","")&amp;IF(COUNTIFS(tbl_Finance[Job Number],C414&amp;"",tbl_Finance[Cost Centre],"CTS")&gt;0,"CTS ",""))," ",", ")))</f>
        <v/>
      </c>
      <c r="L414" s="24" t="n"/>
      <c r="M414" s="25">
        <f>IF(L414="","",HYPERLINK(IF(LEFT(L414,4)="http",L414,set_QwilrBase&amp;L414),"Open quote"))</f>
        <v/>
      </c>
      <c r="N414" s="26" t="n"/>
      <c r="O414" s="26" t="n"/>
      <c r="P414" s="26" t="n"/>
      <c r="Q414" s="25">
        <f>IF(C414="","",IF(N(N414)+N(O414)+N(P414)=0,"Not split",IF(ROUND(N(N414)+N(O414)+N(P414),2)=ROUND(H414,2),"OK","MISMATCH")))</f>
        <v/>
      </c>
      <c r="R414" s="26" t="n"/>
      <c r="S414" s="26" t="n"/>
      <c r="T414" s="26" t="n"/>
      <c r="U414" s="27">
        <f>IF(C414="","",N(R414)+N(S414)+N(T414))</f>
        <v/>
      </c>
      <c r="V414" s="27">
        <f>IF(C414="","",H414-U414)</f>
        <v/>
      </c>
      <c r="W414" s="29">
        <f>IFERROR(V414/H414,"")</f>
        <v/>
      </c>
      <c r="X414" s="24" t="n"/>
    </row>
    <row r="415" ht="15" customHeight="1">
      <c r="A415" s="63">
        <f>IF(C415="","",IFERROR(IF(SUMPRODUCT(MAX((tbl_Finance[Job Number]=C415&amp;"")*(tbl_Finance[Xero Invoice No]&lt;&gt;"")*tbl_Finance[Date]))=0,"",SUMPRODUCT(MAX((tbl_Finance[Job Number]=C415&amp;"")*(tbl_Finance[Xero Invoice No]&lt;&gt;"")*tbl_Finance[Date]))),""))</f>
        <v/>
      </c>
      <c r="B415" s="25">
        <f>IF(C415="","",IF(COUNTIFS(tbl_Finance[Job Number],C415&amp;"",tbl_Finance[Xero Invoice No],"&lt;&gt;")=0,"",IFERROR(IF(COUNTIFS(tbl_Finance[Job Number],C415&amp;"",tbl_Finance[Xero Invoice No],LOOKUP(2,1/((tbl_Finance[Job Number]=C415&amp;"")*(tbl_Finance[Xero Invoice No]&lt;&gt;"")),tbl_Finance[Xero Invoice No]))=COUNTIFS(tbl_Finance[Job Number],C415&amp;"",tbl_Finance[Xero Invoice No],"&lt;&gt;"),LOOKUP(2,1/((tbl_Finance[Job Number]=C415&amp;"")*(tbl_Finance[Xero Invoice No]&lt;&gt;"")),tbl_Finance[Xero Invoice No]),LOOKUP(2,1/((tbl_Finance[Job Number]=C415&amp;"")*(tbl_Finance[Xero Invoice No]&lt;&gt;"")),tbl_Finance[Xero Invoice No])&amp;" +more"),"")))</f>
        <v/>
      </c>
      <c r="C415" s="24" t="n"/>
      <c r="D415" s="25">
        <f>IF(C415="","",IF(COUNTIF(lst_Jobs,C415&amp;"")&gt;0,"OK","CHECK"))</f>
        <v/>
      </c>
      <c r="E415" s="25">
        <f>IF(C415="","",IFERROR(INDEX(lst_JobName,MATCH(C415&amp;"",lst_Jobs,0)),""))</f>
        <v/>
      </c>
      <c r="F415" s="25">
        <f>IF(C415="","",IFERROR(INDEX(tbl_Finance[Client],MATCH(C415&amp;"",tbl_Finance[Job Number],0)),""))</f>
        <v/>
      </c>
      <c r="G415" s="28">
        <f>IF(C415="","",COUNTIFS(tbl_Finance[Job Number],C415&amp;"",tbl_Finance[Ex GST],"&lt;&gt;"))</f>
        <v/>
      </c>
      <c r="H415" s="27">
        <f>IF(C415="","",SUMIFS(tbl_Finance[Ex GST],tbl_Finance[Job Number],C415&amp;""))</f>
        <v/>
      </c>
      <c r="I415" s="27">
        <f>IF(C415="","",SUMIFS(tbl_Finance[Ex GST],tbl_Finance[Job Number],C415&amp;"",tbl_Finance[Xero Invoice No],"&lt;&gt;"))</f>
        <v/>
      </c>
      <c r="J415" s="27">
        <f>IF(C415="","",H415-I415)</f>
        <v/>
      </c>
      <c r="K415" s="25">
        <f>IF(C415="","",IF(G415=0,"not invoiced yet",SUBSTITUTE(TRIM(IF(COUNTIFS(tbl_Finance[Job Number],C415&amp;"",tbl_Finance[Cost Centre],"ONSITE")&gt;0,"ONSITE ","")&amp;IF(COUNTIFS(tbl_Finance[Job Number],C415&amp;"",tbl_Finance[Cost Centre],"PRODUCTION")&gt;0,"PRODUCTION ","")&amp;IF(COUNTIFS(tbl_Finance[Job Number],C415&amp;"",tbl_Finance[Cost Centre],"VIDEO")&gt;0,"VIDEO ","")&amp;IF(COUNTIFS(tbl_Finance[Job Number],C415&amp;"",tbl_Finance[Cost Centre],"INTEGRATION")&gt;0,"INTEGRATION ","")&amp;IF(COUNTIFS(tbl_Finance[Job Number],C415&amp;"",tbl_Finance[Cost Centre],"CONSULTING")&gt;0,"CONSULTING ","")&amp;IF(COUNTIFS(tbl_Finance[Job Number],C415&amp;"",tbl_Finance[Cost Centre],"CTS")&gt;0,"CTS ",""))," ",", ")))</f>
        <v/>
      </c>
      <c r="L415" s="24" t="n"/>
      <c r="M415" s="25">
        <f>IF(L415="","",HYPERLINK(IF(LEFT(L415,4)="http",L415,set_QwilrBase&amp;L415),"Open quote"))</f>
        <v/>
      </c>
      <c r="N415" s="26" t="n"/>
      <c r="O415" s="26" t="n"/>
      <c r="P415" s="26" t="n"/>
      <c r="Q415" s="25">
        <f>IF(C415="","",IF(N(N415)+N(O415)+N(P415)=0,"Not split",IF(ROUND(N(N415)+N(O415)+N(P415),2)=ROUND(H415,2),"OK","MISMATCH")))</f>
        <v/>
      </c>
      <c r="R415" s="26" t="n"/>
      <c r="S415" s="26" t="n"/>
      <c r="T415" s="26" t="n"/>
      <c r="U415" s="27">
        <f>IF(C415="","",N(R415)+N(S415)+N(T415))</f>
        <v/>
      </c>
      <c r="V415" s="27">
        <f>IF(C415="","",H415-U415)</f>
        <v/>
      </c>
      <c r="W415" s="29">
        <f>IFERROR(V415/H415,"")</f>
        <v/>
      </c>
      <c r="X415" s="24" t="n"/>
    </row>
    <row r="416" ht="15" customHeight="1">
      <c r="A416" s="63">
        <f>IF(C416="","",IFERROR(IF(SUMPRODUCT(MAX((tbl_Finance[Job Number]=C416&amp;"")*(tbl_Finance[Xero Invoice No]&lt;&gt;"")*tbl_Finance[Date]))=0,"",SUMPRODUCT(MAX((tbl_Finance[Job Number]=C416&amp;"")*(tbl_Finance[Xero Invoice No]&lt;&gt;"")*tbl_Finance[Date]))),""))</f>
        <v/>
      </c>
      <c r="B416" s="25">
        <f>IF(C416="","",IF(COUNTIFS(tbl_Finance[Job Number],C416&amp;"",tbl_Finance[Xero Invoice No],"&lt;&gt;")=0,"",IFERROR(IF(COUNTIFS(tbl_Finance[Job Number],C416&amp;"",tbl_Finance[Xero Invoice No],LOOKUP(2,1/((tbl_Finance[Job Number]=C416&amp;"")*(tbl_Finance[Xero Invoice No]&lt;&gt;"")),tbl_Finance[Xero Invoice No]))=COUNTIFS(tbl_Finance[Job Number],C416&amp;"",tbl_Finance[Xero Invoice No],"&lt;&gt;"),LOOKUP(2,1/((tbl_Finance[Job Number]=C416&amp;"")*(tbl_Finance[Xero Invoice No]&lt;&gt;"")),tbl_Finance[Xero Invoice No]),LOOKUP(2,1/((tbl_Finance[Job Number]=C416&amp;"")*(tbl_Finance[Xero Invoice No]&lt;&gt;"")),tbl_Finance[Xero Invoice No])&amp;" +more"),"")))</f>
        <v/>
      </c>
      <c r="C416" s="24" t="n"/>
      <c r="D416" s="25">
        <f>IF(C416="","",IF(COUNTIF(lst_Jobs,C416&amp;"")&gt;0,"OK","CHECK"))</f>
        <v/>
      </c>
      <c r="E416" s="25">
        <f>IF(C416="","",IFERROR(INDEX(lst_JobName,MATCH(C416&amp;"",lst_Jobs,0)),""))</f>
        <v/>
      </c>
      <c r="F416" s="25">
        <f>IF(C416="","",IFERROR(INDEX(tbl_Finance[Client],MATCH(C416&amp;"",tbl_Finance[Job Number],0)),""))</f>
        <v/>
      </c>
      <c r="G416" s="28">
        <f>IF(C416="","",COUNTIFS(tbl_Finance[Job Number],C416&amp;"",tbl_Finance[Ex GST],"&lt;&gt;"))</f>
        <v/>
      </c>
      <c r="H416" s="27">
        <f>IF(C416="","",SUMIFS(tbl_Finance[Ex GST],tbl_Finance[Job Number],C416&amp;""))</f>
        <v/>
      </c>
      <c r="I416" s="27">
        <f>IF(C416="","",SUMIFS(tbl_Finance[Ex GST],tbl_Finance[Job Number],C416&amp;"",tbl_Finance[Xero Invoice No],"&lt;&gt;"))</f>
        <v/>
      </c>
      <c r="J416" s="27">
        <f>IF(C416="","",H416-I416)</f>
        <v/>
      </c>
      <c r="K416" s="25">
        <f>IF(C416="","",IF(G416=0,"not invoiced yet",SUBSTITUTE(TRIM(IF(COUNTIFS(tbl_Finance[Job Number],C416&amp;"",tbl_Finance[Cost Centre],"ONSITE")&gt;0,"ONSITE ","")&amp;IF(COUNTIFS(tbl_Finance[Job Number],C416&amp;"",tbl_Finance[Cost Centre],"PRODUCTION")&gt;0,"PRODUCTION ","")&amp;IF(COUNTIFS(tbl_Finance[Job Number],C416&amp;"",tbl_Finance[Cost Centre],"VIDEO")&gt;0,"VIDEO ","")&amp;IF(COUNTIFS(tbl_Finance[Job Number],C416&amp;"",tbl_Finance[Cost Centre],"INTEGRATION")&gt;0,"INTEGRATION ","")&amp;IF(COUNTIFS(tbl_Finance[Job Number],C416&amp;"",tbl_Finance[Cost Centre],"CONSULTING")&gt;0,"CONSULTING ","")&amp;IF(COUNTIFS(tbl_Finance[Job Number],C416&amp;"",tbl_Finance[Cost Centre],"CTS")&gt;0,"CTS ",""))," ",", ")))</f>
        <v/>
      </c>
      <c r="L416" s="24" t="n"/>
      <c r="M416" s="25">
        <f>IF(L416="","",HYPERLINK(IF(LEFT(L416,4)="http",L416,set_QwilrBase&amp;L416),"Open quote"))</f>
        <v/>
      </c>
      <c r="N416" s="26" t="n"/>
      <c r="O416" s="26" t="n"/>
      <c r="P416" s="26" t="n"/>
      <c r="Q416" s="25">
        <f>IF(C416="","",IF(N(N416)+N(O416)+N(P416)=0,"Not split",IF(ROUND(N(N416)+N(O416)+N(P416),2)=ROUND(H416,2),"OK","MISMATCH")))</f>
        <v/>
      </c>
      <c r="R416" s="26" t="n"/>
      <c r="S416" s="26" t="n"/>
      <c r="T416" s="26" t="n"/>
      <c r="U416" s="27">
        <f>IF(C416="","",N(R416)+N(S416)+N(T416))</f>
        <v/>
      </c>
      <c r="V416" s="27">
        <f>IF(C416="","",H416-U416)</f>
        <v/>
      </c>
      <c r="W416" s="29">
        <f>IFERROR(V416/H416,"")</f>
        <v/>
      </c>
      <c r="X416" s="24" t="n"/>
    </row>
    <row r="417" ht="15" customHeight="1">
      <c r="A417" s="63">
        <f>IF(C417="","",IFERROR(IF(SUMPRODUCT(MAX((tbl_Finance[Job Number]=C417&amp;"")*(tbl_Finance[Xero Invoice No]&lt;&gt;"")*tbl_Finance[Date]))=0,"",SUMPRODUCT(MAX((tbl_Finance[Job Number]=C417&amp;"")*(tbl_Finance[Xero Invoice No]&lt;&gt;"")*tbl_Finance[Date]))),""))</f>
        <v/>
      </c>
      <c r="B417" s="25">
        <f>IF(C417="","",IF(COUNTIFS(tbl_Finance[Job Number],C417&amp;"",tbl_Finance[Xero Invoice No],"&lt;&gt;")=0,"",IFERROR(IF(COUNTIFS(tbl_Finance[Job Number],C417&amp;"",tbl_Finance[Xero Invoice No],LOOKUP(2,1/((tbl_Finance[Job Number]=C417&amp;"")*(tbl_Finance[Xero Invoice No]&lt;&gt;"")),tbl_Finance[Xero Invoice No]))=COUNTIFS(tbl_Finance[Job Number],C417&amp;"",tbl_Finance[Xero Invoice No],"&lt;&gt;"),LOOKUP(2,1/((tbl_Finance[Job Number]=C417&amp;"")*(tbl_Finance[Xero Invoice No]&lt;&gt;"")),tbl_Finance[Xero Invoice No]),LOOKUP(2,1/((tbl_Finance[Job Number]=C417&amp;"")*(tbl_Finance[Xero Invoice No]&lt;&gt;"")),tbl_Finance[Xero Invoice No])&amp;" +more"),"")))</f>
        <v/>
      </c>
      <c r="C417" s="24" t="n"/>
      <c r="D417" s="25">
        <f>IF(C417="","",IF(COUNTIF(lst_Jobs,C417&amp;"")&gt;0,"OK","CHECK"))</f>
        <v/>
      </c>
      <c r="E417" s="25">
        <f>IF(C417="","",IFERROR(INDEX(lst_JobName,MATCH(C417&amp;"",lst_Jobs,0)),""))</f>
        <v/>
      </c>
      <c r="F417" s="25">
        <f>IF(C417="","",IFERROR(INDEX(tbl_Finance[Client],MATCH(C417&amp;"",tbl_Finance[Job Number],0)),""))</f>
        <v/>
      </c>
      <c r="G417" s="28">
        <f>IF(C417="","",COUNTIFS(tbl_Finance[Job Number],C417&amp;"",tbl_Finance[Ex GST],"&lt;&gt;"))</f>
        <v/>
      </c>
      <c r="H417" s="27">
        <f>IF(C417="","",SUMIFS(tbl_Finance[Ex GST],tbl_Finance[Job Number],C417&amp;""))</f>
        <v/>
      </c>
      <c r="I417" s="27">
        <f>IF(C417="","",SUMIFS(tbl_Finance[Ex GST],tbl_Finance[Job Number],C417&amp;"",tbl_Finance[Xero Invoice No],"&lt;&gt;"))</f>
        <v/>
      </c>
      <c r="J417" s="27">
        <f>IF(C417="","",H417-I417)</f>
        <v/>
      </c>
      <c r="K417" s="25">
        <f>IF(C417="","",IF(G417=0,"not invoiced yet",SUBSTITUTE(TRIM(IF(COUNTIFS(tbl_Finance[Job Number],C417&amp;"",tbl_Finance[Cost Centre],"ONSITE")&gt;0,"ONSITE ","")&amp;IF(COUNTIFS(tbl_Finance[Job Number],C417&amp;"",tbl_Finance[Cost Centre],"PRODUCTION")&gt;0,"PRODUCTION ","")&amp;IF(COUNTIFS(tbl_Finance[Job Number],C417&amp;"",tbl_Finance[Cost Centre],"VIDEO")&gt;0,"VIDEO ","")&amp;IF(COUNTIFS(tbl_Finance[Job Number],C417&amp;"",tbl_Finance[Cost Centre],"INTEGRATION")&gt;0,"INTEGRATION ","")&amp;IF(COUNTIFS(tbl_Finance[Job Number],C417&amp;"",tbl_Finance[Cost Centre],"CONSULTING")&gt;0,"CONSULTING ","")&amp;IF(COUNTIFS(tbl_Finance[Job Number],C417&amp;"",tbl_Finance[Cost Centre],"CTS")&gt;0,"CTS ",""))," ",", ")))</f>
        <v/>
      </c>
      <c r="L417" s="24" t="n"/>
      <c r="M417" s="25">
        <f>IF(L417="","",HYPERLINK(IF(LEFT(L417,4)="http",L417,set_QwilrBase&amp;L417),"Open quote"))</f>
        <v/>
      </c>
      <c r="N417" s="26" t="n"/>
      <c r="O417" s="26" t="n"/>
      <c r="P417" s="26" t="n"/>
      <c r="Q417" s="25">
        <f>IF(C417="","",IF(N(N417)+N(O417)+N(P417)=0,"Not split",IF(ROUND(N(N417)+N(O417)+N(P417),2)=ROUND(H417,2),"OK","MISMATCH")))</f>
        <v/>
      </c>
      <c r="R417" s="26" t="n"/>
      <c r="S417" s="26" t="n"/>
      <c r="T417" s="26" t="n"/>
      <c r="U417" s="27">
        <f>IF(C417="","",N(R417)+N(S417)+N(T417))</f>
        <v/>
      </c>
      <c r="V417" s="27">
        <f>IF(C417="","",H417-U417)</f>
        <v/>
      </c>
      <c r="W417" s="29">
        <f>IFERROR(V417/H417,"")</f>
        <v/>
      </c>
      <c r="X417" s="24" t="n"/>
    </row>
    <row r="418" ht="15" customHeight="1">
      <c r="A418" s="63">
        <f>IF(C418="","",IFERROR(IF(SUMPRODUCT(MAX((tbl_Finance[Job Number]=C418&amp;"")*(tbl_Finance[Xero Invoice No]&lt;&gt;"")*tbl_Finance[Date]))=0,"",SUMPRODUCT(MAX((tbl_Finance[Job Number]=C418&amp;"")*(tbl_Finance[Xero Invoice No]&lt;&gt;"")*tbl_Finance[Date]))),""))</f>
        <v/>
      </c>
      <c r="B418" s="25">
        <f>IF(C418="","",IF(COUNTIFS(tbl_Finance[Job Number],C418&amp;"",tbl_Finance[Xero Invoice No],"&lt;&gt;")=0,"",IFERROR(IF(COUNTIFS(tbl_Finance[Job Number],C418&amp;"",tbl_Finance[Xero Invoice No],LOOKUP(2,1/((tbl_Finance[Job Number]=C418&amp;"")*(tbl_Finance[Xero Invoice No]&lt;&gt;"")),tbl_Finance[Xero Invoice No]))=COUNTIFS(tbl_Finance[Job Number],C418&amp;"",tbl_Finance[Xero Invoice No],"&lt;&gt;"),LOOKUP(2,1/((tbl_Finance[Job Number]=C418&amp;"")*(tbl_Finance[Xero Invoice No]&lt;&gt;"")),tbl_Finance[Xero Invoice No]),LOOKUP(2,1/((tbl_Finance[Job Number]=C418&amp;"")*(tbl_Finance[Xero Invoice No]&lt;&gt;"")),tbl_Finance[Xero Invoice No])&amp;" +more"),"")))</f>
        <v/>
      </c>
      <c r="C418" s="24" t="n"/>
      <c r="D418" s="25">
        <f>IF(C418="","",IF(COUNTIF(lst_Jobs,C418&amp;"")&gt;0,"OK","CHECK"))</f>
        <v/>
      </c>
      <c r="E418" s="25">
        <f>IF(C418="","",IFERROR(INDEX(lst_JobName,MATCH(C418&amp;"",lst_Jobs,0)),""))</f>
        <v/>
      </c>
      <c r="F418" s="25">
        <f>IF(C418="","",IFERROR(INDEX(tbl_Finance[Client],MATCH(C418&amp;"",tbl_Finance[Job Number],0)),""))</f>
        <v/>
      </c>
      <c r="G418" s="28">
        <f>IF(C418="","",COUNTIFS(tbl_Finance[Job Number],C418&amp;"",tbl_Finance[Ex GST],"&lt;&gt;"))</f>
        <v/>
      </c>
      <c r="H418" s="27">
        <f>IF(C418="","",SUMIFS(tbl_Finance[Ex GST],tbl_Finance[Job Number],C418&amp;""))</f>
        <v/>
      </c>
      <c r="I418" s="27">
        <f>IF(C418="","",SUMIFS(tbl_Finance[Ex GST],tbl_Finance[Job Number],C418&amp;"",tbl_Finance[Xero Invoice No],"&lt;&gt;"))</f>
        <v/>
      </c>
      <c r="J418" s="27">
        <f>IF(C418="","",H418-I418)</f>
        <v/>
      </c>
      <c r="K418" s="25">
        <f>IF(C418="","",IF(G418=0,"not invoiced yet",SUBSTITUTE(TRIM(IF(COUNTIFS(tbl_Finance[Job Number],C418&amp;"",tbl_Finance[Cost Centre],"ONSITE")&gt;0,"ONSITE ","")&amp;IF(COUNTIFS(tbl_Finance[Job Number],C418&amp;"",tbl_Finance[Cost Centre],"PRODUCTION")&gt;0,"PRODUCTION ","")&amp;IF(COUNTIFS(tbl_Finance[Job Number],C418&amp;"",tbl_Finance[Cost Centre],"VIDEO")&gt;0,"VIDEO ","")&amp;IF(COUNTIFS(tbl_Finance[Job Number],C418&amp;"",tbl_Finance[Cost Centre],"INTEGRATION")&gt;0,"INTEGRATION ","")&amp;IF(COUNTIFS(tbl_Finance[Job Number],C418&amp;"",tbl_Finance[Cost Centre],"CONSULTING")&gt;0,"CONSULTING ","")&amp;IF(COUNTIFS(tbl_Finance[Job Number],C418&amp;"",tbl_Finance[Cost Centre],"CTS")&gt;0,"CTS ",""))," ",", ")))</f>
        <v/>
      </c>
      <c r="L418" s="24" t="n"/>
      <c r="M418" s="25">
        <f>IF(L418="","",HYPERLINK(IF(LEFT(L418,4)="http",L418,set_QwilrBase&amp;L418),"Open quote"))</f>
        <v/>
      </c>
      <c r="N418" s="26" t="n"/>
      <c r="O418" s="26" t="n"/>
      <c r="P418" s="26" t="n"/>
      <c r="Q418" s="25">
        <f>IF(C418="","",IF(N(N418)+N(O418)+N(P418)=0,"Not split",IF(ROUND(N(N418)+N(O418)+N(P418),2)=ROUND(H418,2),"OK","MISMATCH")))</f>
        <v/>
      </c>
      <c r="R418" s="26" t="n"/>
      <c r="S418" s="26" t="n"/>
      <c r="T418" s="26" t="n"/>
      <c r="U418" s="27">
        <f>IF(C418="","",N(R418)+N(S418)+N(T418))</f>
        <v/>
      </c>
      <c r="V418" s="27">
        <f>IF(C418="","",H418-U418)</f>
        <v/>
      </c>
      <c r="W418" s="29">
        <f>IFERROR(V418/H418,"")</f>
        <v/>
      </c>
      <c r="X418" s="24" t="n"/>
    </row>
    <row r="419" ht="15" customHeight="1">
      <c r="A419" s="63">
        <f>IF(C419="","",IFERROR(IF(SUMPRODUCT(MAX((tbl_Finance[Job Number]=C419&amp;"")*(tbl_Finance[Xero Invoice No]&lt;&gt;"")*tbl_Finance[Date]))=0,"",SUMPRODUCT(MAX((tbl_Finance[Job Number]=C419&amp;"")*(tbl_Finance[Xero Invoice No]&lt;&gt;"")*tbl_Finance[Date]))),""))</f>
        <v/>
      </c>
      <c r="B419" s="25">
        <f>IF(C419="","",IF(COUNTIFS(tbl_Finance[Job Number],C419&amp;"",tbl_Finance[Xero Invoice No],"&lt;&gt;")=0,"",IFERROR(IF(COUNTIFS(tbl_Finance[Job Number],C419&amp;"",tbl_Finance[Xero Invoice No],LOOKUP(2,1/((tbl_Finance[Job Number]=C419&amp;"")*(tbl_Finance[Xero Invoice No]&lt;&gt;"")),tbl_Finance[Xero Invoice No]))=COUNTIFS(tbl_Finance[Job Number],C419&amp;"",tbl_Finance[Xero Invoice No],"&lt;&gt;"),LOOKUP(2,1/((tbl_Finance[Job Number]=C419&amp;"")*(tbl_Finance[Xero Invoice No]&lt;&gt;"")),tbl_Finance[Xero Invoice No]),LOOKUP(2,1/((tbl_Finance[Job Number]=C419&amp;"")*(tbl_Finance[Xero Invoice No]&lt;&gt;"")),tbl_Finance[Xero Invoice No])&amp;" +more"),"")))</f>
        <v/>
      </c>
      <c r="C419" s="24" t="n"/>
      <c r="D419" s="25">
        <f>IF(C419="","",IF(COUNTIF(lst_Jobs,C419&amp;"")&gt;0,"OK","CHECK"))</f>
        <v/>
      </c>
      <c r="E419" s="25">
        <f>IF(C419="","",IFERROR(INDEX(lst_JobName,MATCH(C419&amp;"",lst_Jobs,0)),""))</f>
        <v/>
      </c>
      <c r="F419" s="25">
        <f>IF(C419="","",IFERROR(INDEX(tbl_Finance[Client],MATCH(C419&amp;"",tbl_Finance[Job Number],0)),""))</f>
        <v/>
      </c>
      <c r="G419" s="28">
        <f>IF(C419="","",COUNTIFS(tbl_Finance[Job Number],C419&amp;"",tbl_Finance[Ex GST],"&lt;&gt;"))</f>
        <v/>
      </c>
      <c r="H419" s="27">
        <f>IF(C419="","",SUMIFS(tbl_Finance[Ex GST],tbl_Finance[Job Number],C419&amp;""))</f>
        <v/>
      </c>
      <c r="I419" s="27">
        <f>IF(C419="","",SUMIFS(tbl_Finance[Ex GST],tbl_Finance[Job Number],C419&amp;"",tbl_Finance[Xero Invoice No],"&lt;&gt;"))</f>
        <v/>
      </c>
      <c r="J419" s="27">
        <f>IF(C419="","",H419-I419)</f>
        <v/>
      </c>
      <c r="K419" s="25">
        <f>IF(C419="","",IF(G419=0,"not invoiced yet",SUBSTITUTE(TRIM(IF(COUNTIFS(tbl_Finance[Job Number],C419&amp;"",tbl_Finance[Cost Centre],"ONSITE")&gt;0,"ONSITE ","")&amp;IF(COUNTIFS(tbl_Finance[Job Number],C419&amp;"",tbl_Finance[Cost Centre],"PRODUCTION")&gt;0,"PRODUCTION ","")&amp;IF(COUNTIFS(tbl_Finance[Job Number],C419&amp;"",tbl_Finance[Cost Centre],"VIDEO")&gt;0,"VIDEO ","")&amp;IF(COUNTIFS(tbl_Finance[Job Number],C419&amp;"",tbl_Finance[Cost Centre],"INTEGRATION")&gt;0,"INTEGRATION ","")&amp;IF(COUNTIFS(tbl_Finance[Job Number],C419&amp;"",tbl_Finance[Cost Centre],"CONSULTING")&gt;0,"CONSULTING ","")&amp;IF(COUNTIFS(tbl_Finance[Job Number],C419&amp;"",tbl_Finance[Cost Centre],"CTS")&gt;0,"CTS ",""))," ",", ")))</f>
        <v/>
      </c>
      <c r="L419" s="24" t="n"/>
      <c r="M419" s="25">
        <f>IF(L419="","",HYPERLINK(IF(LEFT(L419,4)="http",L419,set_QwilrBase&amp;L419),"Open quote"))</f>
        <v/>
      </c>
      <c r="N419" s="26" t="n"/>
      <c r="O419" s="26" t="n"/>
      <c r="P419" s="26" t="n"/>
      <c r="Q419" s="25">
        <f>IF(C419="","",IF(N(N419)+N(O419)+N(P419)=0,"Not split",IF(ROUND(N(N419)+N(O419)+N(P419),2)=ROUND(H419,2),"OK","MISMATCH")))</f>
        <v/>
      </c>
      <c r="R419" s="26" t="n"/>
      <c r="S419" s="26" t="n"/>
      <c r="T419" s="26" t="n"/>
      <c r="U419" s="27">
        <f>IF(C419="","",N(R419)+N(S419)+N(T419))</f>
        <v/>
      </c>
      <c r="V419" s="27">
        <f>IF(C419="","",H419-U419)</f>
        <v/>
      </c>
      <c r="W419" s="29">
        <f>IFERROR(V419/H419,"")</f>
        <v/>
      </c>
      <c r="X419" s="24" t="n"/>
    </row>
    <row r="420" ht="15" customHeight="1">
      <c r="A420" s="63">
        <f>IF(C420="","",IFERROR(IF(SUMPRODUCT(MAX((tbl_Finance[Job Number]=C420&amp;"")*(tbl_Finance[Xero Invoice No]&lt;&gt;"")*tbl_Finance[Date]))=0,"",SUMPRODUCT(MAX((tbl_Finance[Job Number]=C420&amp;"")*(tbl_Finance[Xero Invoice No]&lt;&gt;"")*tbl_Finance[Date]))),""))</f>
        <v/>
      </c>
      <c r="B420" s="25">
        <f>IF(C420="","",IF(COUNTIFS(tbl_Finance[Job Number],C420&amp;"",tbl_Finance[Xero Invoice No],"&lt;&gt;")=0,"",IFERROR(IF(COUNTIFS(tbl_Finance[Job Number],C420&amp;"",tbl_Finance[Xero Invoice No],LOOKUP(2,1/((tbl_Finance[Job Number]=C420&amp;"")*(tbl_Finance[Xero Invoice No]&lt;&gt;"")),tbl_Finance[Xero Invoice No]))=COUNTIFS(tbl_Finance[Job Number],C420&amp;"",tbl_Finance[Xero Invoice No],"&lt;&gt;"),LOOKUP(2,1/((tbl_Finance[Job Number]=C420&amp;"")*(tbl_Finance[Xero Invoice No]&lt;&gt;"")),tbl_Finance[Xero Invoice No]),LOOKUP(2,1/((tbl_Finance[Job Number]=C420&amp;"")*(tbl_Finance[Xero Invoice No]&lt;&gt;"")),tbl_Finance[Xero Invoice No])&amp;" +more"),"")))</f>
        <v/>
      </c>
      <c r="C420" s="24" t="n"/>
      <c r="D420" s="25">
        <f>IF(C420="","",IF(COUNTIF(lst_Jobs,C420&amp;"")&gt;0,"OK","CHECK"))</f>
        <v/>
      </c>
      <c r="E420" s="25">
        <f>IF(C420="","",IFERROR(INDEX(lst_JobName,MATCH(C420&amp;"",lst_Jobs,0)),""))</f>
        <v/>
      </c>
      <c r="F420" s="25">
        <f>IF(C420="","",IFERROR(INDEX(tbl_Finance[Client],MATCH(C420&amp;"",tbl_Finance[Job Number],0)),""))</f>
        <v/>
      </c>
      <c r="G420" s="28">
        <f>IF(C420="","",COUNTIFS(tbl_Finance[Job Number],C420&amp;"",tbl_Finance[Ex GST],"&lt;&gt;"))</f>
        <v/>
      </c>
      <c r="H420" s="27">
        <f>IF(C420="","",SUMIFS(tbl_Finance[Ex GST],tbl_Finance[Job Number],C420&amp;""))</f>
        <v/>
      </c>
      <c r="I420" s="27">
        <f>IF(C420="","",SUMIFS(tbl_Finance[Ex GST],tbl_Finance[Job Number],C420&amp;"",tbl_Finance[Xero Invoice No],"&lt;&gt;"))</f>
        <v/>
      </c>
      <c r="J420" s="27">
        <f>IF(C420="","",H420-I420)</f>
        <v/>
      </c>
      <c r="K420" s="25">
        <f>IF(C420="","",IF(G420=0,"not invoiced yet",SUBSTITUTE(TRIM(IF(COUNTIFS(tbl_Finance[Job Number],C420&amp;"",tbl_Finance[Cost Centre],"ONSITE")&gt;0,"ONSITE ","")&amp;IF(COUNTIFS(tbl_Finance[Job Number],C420&amp;"",tbl_Finance[Cost Centre],"PRODUCTION")&gt;0,"PRODUCTION ","")&amp;IF(COUNTIFS(tbl_Finance[Job Number],C420&amp;"",tbl_Finance[Cost Centre],"VIDEO")&gt;0,"VIDEO ","")&amp;IF(COUNTIFS(tbl_Finance[Job Number],C420&amp;"",tbl_Finance[Cost Centre],"INTEGRATION")&gt;0,"INTEGRATION ","")&amp;IF(COUNTIFS(tbl_Finance[Job Number],C420&amp;"",tbl_Finance[Cost Centre],"CONSULTING")&gt;0,"CONSULTING ","")&amp;IF(COUNTIFS(tbl_Finance[Job Number],C420&amp;"",tbl_Finance[Cost Centre],"CTS")&gt;0,"CTS ",""))," ",", ")))</f>
        <v/>
      </c>
      <c r="L420" s="24" t="n"/>
      <c r="M420" s="25">
        <f>IF(L420="","",HYPERLINK(IF(LEFT(L420,4)="http",L420,set_QwilrBase&amp;L420),"Open quote"))</f>
        <v/>
      </c>
      <c r="N420" s="26" t="n"/>
      <c r="O420" s="26" t="n"/>
      <c r="P420" s="26" t="n"/>
      <c r="Q420" s="25">
        <f>IF(C420="","",IF(N(N420)+N(O420)+N(P420)=0,"Not split",IF(ROUND(N(N420)+N(O420)+N(P420),2)=ROUND(H420,2),"OK","MISMATCH")))</f>
        <v/>
      </c>
      <c r="R420" s="26" t="n"/>
      <c r="S420" s="26" t="n"/>
      <c r="T420" s="26" t="n"/>
      <c r="U420" s="27">
        <f>IF(C420="","",N(R420)+N(S420)+N(T420))</f>
        <v/>
      </c>
      <c r="V420" s="27">
        <f>IF(C420="","",H420-U420)</f>
        <v/>
      </c>
      <c r="W420" s="29">
        <f>IFERROR(V420/H420,"")</f>
        <v/>
      </c>
      <c r="X420" s="24" t="n"/>
    </row>
    <row r="421" ht="15" customHeight="1">
      <c r="A421" s="63">
        <f>IF(C421="","",IFERROR(IF(SUMPRODUCT(MAX((tbl_Finance[Job Number]=C421&amp;"")*(tbl_Finance[Xero Invoice No]&lt;&gt;"")*tbl_Finance[Date]))=0,"",SUMPRODUCT(MAX((tbl_Finance[Job Number]=C421&amp;"")*(tbl_Finance[Xero Invoice No]&lt;&gt;"")*tbl_Finance[Date]))),""))</f>
        <v/>
      </c>
      <c r="B421" s="25">
        <f>IF(C421="","",IF(COUNTIFS(tbl_Finance[Job Number],C421&amp;"",tbl_Finance[Xero Invoice No],"&lt;&gt;")=0,"",IFERROR(IF(COUNTIFS(tbl_Finance[Job Number],C421&amp;"",tbl_Finance[Xero Invoice No],LOOKUP(2,1/((tbl_Finance[Job Number]=C421&amp;"")*(tbl_Finance[Xero Invoice No]&lt;&gt;"")),tbl_Finance[Xero Invoice No]))=COUNTIFS(tbl_Finance[Job Number],C421&amp;"",tbl_Finance[Xero Invoice No],"&lt;&gt;"),LOOKUP(2,1/((tbl_Finance[Job Number]=C421&amp;"")*(tbl_Finance[Xero Invoice No]&lt;&gt;"")),tbl_Finance[Xero Invoice No]),LOOKUP(2,1/((tbl_Finance[Job Number]=C421&amp;"")*(tbl_Finance[Xero Invoice No]&lt;&gt;"")),tbl_Finance[Xero Invoice No])&amp;" +more"),"")))</f>
        <v/>
      </c>
      <c r="C421" s="24" t="n"/>
      <c r="D421" s="25">
        <f>IF(C421="","",IF(COUNTIF(lst_Jobs,C421&amp;"")&gt;0,"OK","CHECK"))</f>
        <v/>
      </c>
      <c r="E421" s="25">
        <f>IF(C421="","",IFERROR(INDEX(lst_JobName,MATCH(C421&amp;"",lst_Jobs,0)),""))</f>
        <v/>
      </c>
      <c r="F421" s="25">
        <f>IF(C421="","",IFERROR(INDEX(tbl_Finance[Client],MATCH(C421&amp;"",tbl_Finance[Job Number],0)),""))</f>
        <v/>
      </c>
      <c r="G421" s="28">
        <f>IF(C421="","",COUNTIFS(tbl_Finance[Job Number],C421&amp;"",tbl_Finance[Ex GST],"&lt;&gt;"))</f>
        <v/>
      </c>
      <c r="H421" s="27">
        <f>IF(C421="","",SUMIFS(tbl_Finance[Ex GST],tbl_Finance[Job Number],C421&amp;""))</f>
        <v/>
      </c>
      <c r="I421" s="27">
        <f>IF(C421="","",SUMIFS(tbl_Finance[Ex GST],tbl_Finance[Job Number],C421&amp;"",tbl_Finance[Xero Invoice No],"&lt;&gt;"))</f>
        <v/>
      </c>
      <c r="J421" s="27">
        <f>IF(C421="","",H421-I421)</f>
        <v/>
      </c>
      <c r="K421" s="25">
        <f>IF(C421="","",IF(G421=0,"not invoiced yet",SUBSTITUTE(TRIM(IF(COUNTIFS(tbl_Finance[Job Number],C421&amp;"",tbl_Finance[Cost Centre],"ONSITE")&gt;0,"ONSITE ","")&amp;IF(COUNTIFS(tbl_Finance[Job Number],C421&amp;"",tbl_Finance[Cost Centre],"PRODUCTION")&gt;0,"PRODUCTION ","")&amp;IF(COUNTIFS(tbl_Finance[Job Number],C421&amp;"",tbl_Finance[Cost Centre],"VIDEO")&gt;0,"VIDEO ","")&amp;IF(COUNTIFS(tbl_Finance[Job Number],C421&amp;"",tbl_Finance[Cost Centre],"INTEGRATION")&gt;0,"INTEGRATION ","")&amp;IF(COUNTIFS(tbl_Finance[Job Number],C421&amp;"",tbl_Finance[Cost Centre],"CONSULTING")&gt;0,"CONSULTING ","")&amp;IF(COUNTIFS(tbl_Finance[Job Number],C421&amp;"",tbl_Finance[Cost Centre],"CTS")&gt;0,"CTS ",""))," ",", ")))</f>
        <v/>
      </c>
      <c r="L421" s="24" t="n"/>
      <c r="M421" s="25">
        <f>IF(L421="","",HYPERLINK(IF(LEFT(L421,4)="http",L421,set_QwilrBase&amp;L421),"Open quote"))</f>
        <v/>
      </c>
      <c r="N421" s="26" t="n"/>
      <c r="O421" s="26" t="n"/>
      <c r="P421" s="26" t="n"/>
      <c r="Q421" s="25">
        <f>IF(C421="","",IF(N(N421)+N(O421)+N(P421)=0,"Not split",IF(ROUND(N(N421)+N(O421)+N(P421),2)=ROUND(H421,2),"OK","MISMATCH")))</f>
        <v/>
      </c>
      <c r="R421" s="26" t="n"/>
      <c r="S421" s="26" t="n"/>
      <c r="T421" s="26" t="n"/>
      <c r="U421" s="27">
        <f>IF(C421="","",N(R421)+N(S421)+N(T421))</f>
        <v/>
      </c>
      <c r="V421" s="27">
        <f>IF(C421="","",H421-U421)</f>
        <v/>
      </c>
      <c r="W421" s="29">
        <f>IFERROR(V421/H421,"")</f>
        <v/>
      </c>
      <c r="X421" s="24" t="n"/>
    </row>
    <row r="422" ht="15" customHeight="1">
      <c r="A422" s="63">
        <f>IF(C422="","",IFERROR(IF(SUMPRODUCT(MAX((tbl_Finance[Job Number]=C422&amp;"")*(tbl_Finance[Xero Invoice No]&lt;&gt;"")*tbl_Finance[Date]))=0,"",SUMPRODUCT(MAX((tbl_Finance[Job Number]=C422&amp;"")*(tbl_Finance[Xero Invoice No]&lt;&gt;"")*tbl_Finance[Date]))),""))</f>
        <v/>
      </c>
      <c r="B422" s="25">
        <f>IF(C422="","",IF(COUNTIFS(tbl_Finance[Job Number],C422&amp;"",tbl_Finance[Xero Invoice No],"&lt;&gt;")=0,"",IFERROR(IF(COUNTIFS(tbl_Finance[Job Number],C422&amp;"",tbl_Finance[Xero Invoice No],LOOKUP(2,1/((tbl_Finance[Job Number]=C422&amp;"")*(tbl_Finance[Xero Invoice No]&lt;&gt;"")),tbl_Finance[Xero Invoice No]))=COUNTIFS(tbl_Finance[Job Number],C422&amp;"",tbl_Finance[Xero Invoice No],"&lt;&gt;"),LOOKUP(2,1/((tbl_Finance[Job Number]=C422&amp;"")*(tbl_Finance[Xero Invoice No]&lt;&gt;"")),tbl_Finance[Xero Invoice No]),LOOKUP(2,1/((tbl_Finance[Job Number]=C422&amp;"")*(tbl_Finance[Xero Invoice No]&lt;&gt;"")),tbl_Finance[Xero Invoice No])&amp;" +more"),"")))</f>
        <v/>
      </c>
      <c r="C422" s="24" t="n"/>
      <c r="D422" s="25">
        <f>IF(C422="","",IF(COUNTIF(lst_Jobs,C422&amp;"")&gt;0,"OK","CHECK"))</f>
        <v/>
      </c>
      <c r="E422" s="25">
        <f>IF(C422="","",IFERROR(INDEX(lst_JobName,MATCH(C422&amp;"",lst_Jobs,0)),""))</f>
        <v/>
      </c>
      <c r="F422" s="25">
        <f>IF(C422="","",IFERROR(INDEX(tbl_Finance[Client],MATCH(C422&amp;"",tbl_Finance[Job Number],0)),""))</f>
        <v/>
      </c>
      <c r="G422" s="28">
        <f>IF(C422="","",COUNTIFS(tbl_Finance[Job Number],C422&amp;"",tbl_Finance[Ex GST],"&lt;&gt;"))</f>
        <v/>
      </c>
      <c r="H422" s="27">
        <f>IF(C422="","",SUMIFS(tbl_Finance[Ex GST],tbl_Finance[Job Number],C422&amp;""))</f>
        <v/>
      </c>
      <c r="I422" s="27">
        <f>IF(C422="","",SUMIFS(tbl_Finance[Ex GST],tbl_Finance[Job Number],C422&amp;"",tbl_Finance[Xero Invoice No],"&lt;&gt;"))</f>
        <v/>
      </c>
      <c r="J422" s="27">
        <f>IF(C422="","",H422-I422)</f>
        <v/>
      </c>
      <c r="K422" s="25">
        <f>IF(C422="","",IF(G422=0,"not invoiced yet",SUBSTITUTE(TRIM(IF(COUNTIFS(tbl_Finance[Job Number],C422&amp;"",tbl_Finance[Cost Centre],"ONSITE")&gt;0,"ONSITE ","")&amp;IF(COUNTIFS(tbl_Finance[Job Number],C422&amp;"",tbl_Finance[Cost Centre],"PRODUCTION")&gt;0,"PRODUCTION ","")&amp;IF(COUNTIFS(tbl_Finance[Job Number],C422&amp;"",tbl_Finance[Cost Centre],"VIDEO")&gt;0,"VIDEO ","")&amp;IF(COUNTIFS(tbl_Finance[Job Number],C422&amp;"",tbl_Finance[Cost Centre],"INTEGRATION")&gt;0,"INTEGRATION ","")&amp;IF(COUNTIFS(tbl_Finance[Job Number],C422&amp;"",tbl_Finance[Cost Centre],"CONSULTING")&gt;0,"CONSULTING ","")&amp;IF(COUNTIFS(tbl_Finance[Job Number],C422&amp;"",tbl_Finance[Cost Centre],"CTS")&gt;0,"CTS ",""))," ",", ")))</f>
        <v/>
      </c>
      <c r="L422" s="24" t="n"/>
      <c r="M422" s="25">
        <f>IF(L422="","",HYPERLINK(IF(LEFT(L422,4)="http",L422,set_QwilrBase&amp;L422),"Open quote"))</f>
        <v/>
      </c>
      <c r="N422" s="26" t="n"/>
      <c r="O422" s="26" t="n"/>
      <c r="P422" s="26" t="n"/>
      <c r="Q422" s="25">
        <f>IF(C422="","",IF(N(N422)+N(O422)+N(P422)=0,"Not split",IF(ROUND(N(N422)+N(O422)+N(P422),2)=ROUND(H422,2),"OK","MISMATCH")))</f>
        <v/>
      </c>
      <c r="R422" s="26" t="n"/>
      <c r="S422" s="26" t="n"/>
      <c r="T422" s="26" t="n"/>
      <c r="U422" s="27">
        <f>IF(C422="","",N(R422)+N(S422)+N(T422))</f>
        <v/>
      </c>
      <c r="V422" s="27">
        <f>IF(C422="","",H422-U422)</f>
        <v/>
      </c>
      <c r="W422" s="29">
        <f>IFERROR(V422/H422,"")</f>
        <v/>
      </c>
      <c r="X422" s="24" t="n"/>
    </row>
    <row r="423" ht="15" customHeight="1">
      <c r="A423" s="63">
        <f>IF(C423="","",IFERROR(IF(SUMPRODUCT(MAX((tbl_Finance[Job Number]=C423&amp;"")*(tbl_Finance[Xero Invoice No]&lt;&gt;"")*tbl_Finance[Date]))=0,"",SUMPRODUCT(MAX((tbl_Finance[Job Number]=C423&amp;"")*(tbl_Finance[Xero Invoice No]&lt;&gt;"")*tbl_Finance[Date]))),""))</f>
        <v/>
      </c>
      <c r="B423" s="25">
        <f>IF(C423="","",IF(COUNTIFS(tbl_Finance[Job Number],C423&amp;"",tbl_Finance[Xero Invoice No],"&lt;&gt;")=0,"",IFERROR(IF(COUNTIFS(tbl_Finance[Job Number],C423&amp;"",tbl_Finance[Xero Invoice No],LOOKUP(2,1/((tbl_Finance[Job Number]=C423&amp;"")*(tbl_Finance[Xero Invoice No]&lt;&gt;"")),tbl_Finance[Xero Invoice No]))=COUNTIFS(tbl_Finance[Job Number],C423&amp;"",tbl_Finance[Xero Invoice No],"&lt;&gt;"),LOOKUP(2,1/((tbl_Finance[Job Number]=C423&amp;"")*(tbl_Finance[Xero Invoice No]&lt;&gt;"")),tbl_Finance[Xero Invoice No]),LOOKUP(2,1/((tbl_Finance[Job Number]=C423&amp;"")*(tbl_Finance[Xero Invoice No]&lt;&gt;"")),tbl_Finance[Xero Invoice No])&amp;" +more"),"")))</f>
        <v/>
      </c>
      <c r="C423" s="24" t="n"/>
      <c r="D423" s="25">
        <f>IF(C423="","",IF(COUNTIF(lst_Jobs,C423&amp;"")&gt;0,"OK","CHECK"))</f>
        <v/>
      </c>
      <c r="E423" s="25">
        <f>IF(C423="","",IFERROR(INDEX(lst_JobName,MATCH(C423&amp;"",lst_Jobs,0)),""))</f>
        <v/>
      </c>
      <c r="F423" s="25">
        <f>IF(C423="","",IFERROR(INDEX(tbl_Finance[Client],MATCH(C423&amp;"",tbl_Finance[Job Number],0)),""))</f>
        <v/>
      </c>
      <c r="G423" s="28">
        <f>IF(C423="","",COUNTIFS(tbl_Finance[Job Number],C423&amp;"",tbl_Finance[Ex GST],"&lt;&gt;"))</f>
        <v/>
      </c>
      <c r="H423" s="27">
        <f>IF(C423="","",SUMIFS(tbl_Finance[Ex GST],tbl_Finance[Job Number],C423&amp;""))</f>
        <v/>
      </c>
      <c r="I423" s="27">
        <f>IF(C423="","",SUMIFS(tbl_Finance[Ex GST],tbl_Finance[Job Number],C423&amp;"",tbl_Finance[Xero Invoice No],"&lt;&gt;"))</f>
        <v/>
      </c>
      <c r="J423" s="27">
        <f>IF(C423="","",H423-I423)</f>
        <v/>
      </c>
      <c r="K423" s="25">
        <f>IF(C423="","",IF(G423=0,"not invoiced yet",SUBSTITUTE(TRIM(IF(COUNTIFS(tbl_Finance[Job Number],C423&amp;"",tbl_Finance[Cost Centre],"ONSITE")&gt;0,"ONSITE ","")&amp;IF(COUNTIFS(tbl_Finance[Job Number],C423&amp;"",tbl_Finance[Cost Centre],"PRODUCTION")&gt;0,"PRODUCTION ","")&amp;IF(COUNTIFS(tbl_Finance[Job Number],C423&amp;"",tbl_Finance[Cost Centre],"VIDEO")&gt;0,"VIDEO ","")&amp;IF(COUNTIFS(tbl_Finance[Job Number],C423&amp;"",tbl_Finance[Cost Centre],"INTEGRATION")&gt;0,"INTEGRATION ","")&amp;IF(COUNTIFS(tbl_Finance[Job Number],C423&amp;"",tbl_Finance[Cost Centre],"CONSULTING")&gt;0,"CONSULTING ","")&amp;IF(COUNTIFS(tbl_Finance[Job Number],C423&amp;"",tbl_Finance[Cost Centre],"CTS")&gt;0,"CTS ",""))," ",", ")))</f>
        <v/>
      </c>
      <c r="L423" s="24" t="n"/>
      <c r="M423" s="25">
        <f>IF(L423="","",HYPERLINK(IF(LEFT(L423,4)="http",L423,set_QwilrBase&amp;L423),"Open quote"))</f>
        <v/>
      </c>
      <c r="N423" s="26" t="n"/>
      <c r="O423" s="26" t="n"/>
      <c r="P423" s="26" t="n"/>
      <c r="Q423" s="25">
        <f>IF(C423="","",IF(N(N423)+N(O423)+N(P423)=0,"Not split",IF(ROUND(N(N423)+N(O423)+N(P423),2)=ROUND(H423,2),"OK","MISMATCH")))</f>
        <v/>
      </c>
      <c r="R423" s="26" t="n"/>
      <c r="S423" s="26" t="n"/>
      <c r="T423" s="26" t="n"/>
      <c r="U423" s="27">
        <f>IF(C423="","",N(R423)+N(S423)+N(T423))</f>
        <v/>
      </c>
      <c r="V423" s="27">
        <f>IF(C423="","",H423-U423)</f>
        <v/>
      </c>
      <c r="W423" s="29">
        <f>IFERROR(V423/H423,"")</f>
        <v/>
      </c>
      <c r="X423" s="24" t="n"/>
    </row>
    <row r="424" ht="15" customHeight="1">
      <c r="A424" s="63">
        <f>IF(C424="","",IFERROR(IF(SUMPRODUCT(MAX((tbl_Finance[Job Number]=C424&amp;"")*(tbl_Finance[Xero Invoice No]&lt;&gt;"")*tbl_Finance[Date]))=0,"",SUMPRODUCT(MAX((tbl_Finance[Job Number]=C424&amp;"")*(tbl_Finance[Xero Invoice No]&lt;&gt;"")*tbl_Finance[Date]))),""))</f>
        <v/>
      </c>
      <c r="B424" s="25">
        <f>IF(C424="","",IF(COUNTIFS(tbl_Finance[Job Number],C424&amp;"",tbl_Finance[Xero Invoice No],"&lt;&gt;")=0,"",IFERROR(IF(COUNTIFS(tbl_Finance[Job Number],C424&amp;"",tbl_Finance[Xero Invoice No],LOOKUP(2,1/((tbl_Finance[Job Number]=C424&amp;"")*(tbl_Finance[Xero Invoice No]&lt;&gt;"")),tbl_Finance[Xero Invoice No]))=COUNTIFS(tbl_Finance[Job Number],C424&amp;"",tbl_Finance[Xero Invoice No],"&lt;&gt;"),LOOKUP(2,1/((tbl_Finance[Job Number]=C424&amp;"")*(tbl_Finance[Xero Invoice No]&lt;&gt;"")),tbl_Finance[Xero Invoice No]),LOOKUP(2,1/((tbl_Finance[Job Number]=C424&amp;"")*(tbl_Finance[Xero Invoice No]&lt;&gt;"")),tbl_Finance[Xero Invoice No])&amp;" +more"),"")))</f>
        <v/>
      </c>
      <c r="C424" s="24" t="n"/>
      <c r="D424" s="25">
        <f>IF(C424="","",IF(COUNTIF(lst_Jobs,C424&amp;"")&gt;0,"OK","CHECK"))</f>
        <v/>
      </c>
      <c r="E424" s="25">
        <f>IF(C424="","",IFERROR(INDEX(lst_JobName,MATCH(C424&amp;"",lst_Jobs,0)),""))</f>
        <v/>
      </c>
      <c r="F424" s="25">
        <f>IF(C424="","",IFERROR(INDEX(tbl_Finance[Client],MATCH(C424&amp;"",tbl_Finance[Job Number],0)),""))</f>
        <v/>
      </c>
      <c r="G424" s="28">
        <f>IF(C424="","",COUNTIFS(tbl_Finance[Job Number],C424&amp;"",tbl_Finance[Ex GST],"&lt;&gt;"))</f>
        <v/>
      </c>
      <c r="H424" s="27">
        <f>IF(C424="","",SUMIFS(tbl_Finance[Ex GST],tbl_Finance[Job Number],C424&amp;""))</f>
        <v/>
      </c>
      <c r="I424" s="27">
        <f>IF(C424="","",SUMIFS(tbl_Finance[Ex GST],tbl_Finance[Job Number],C424&amp;"",tbl_Finance[Xero Invoice No],"&lt;&gt;"))</f>
        <v/>
      </c>
      <c r="J424" s="27">
        <f>IF(C424="","",H424-I424)</f>
        <v/>
      </c>
      <c r="K424" s="25">
        <f>IF(C424="","",IF(G424=0,"not invoiced yet",SUBSTITUTE(TRIM(IF(COUNTIFS(tbl_Finance[Job Number],C424&amp;"",tbl_Finance[Cost Centre],"ONSITE")&gt;0,"ONSITE ","")&amp;IF(COUNTIFS(tbl_Finance[Job Number],C424&amp;"",tbl_Finance[Cost Centre],"PRODUCTION")&gt;0,"PRODUCTION ","")&amp;IF(COUNTIFS(tbl_Finance[Job Number],C424&amp;"",tbl_Finance[Cost Centre],"VIDEO")&gt;0,"VIDEO ","")&amp;IF(COUNTIFS(tbl_Finance[Job Number],C424&amp;"",tbl_Finance[Cost Centre],"INTEGRATION")&gt;0,"INTEGRATION ","")&amp;IF(COUNTIFS(tbl_Finance[Job Number],C424&amp;"",tbl_Finance[Cost Centre],"CONSULTING")&gt;0,"CONSULTING ","")&amp;IF(COUNTIFS(tbl_Finance[Job Number],C424&amp;"",tbl_Finance[Cost Centre],"CTS")&gt;0,"CTS ",""))," ",", ")))</f>
        <v/>
      </c>
      <c r="L424" s="24" t="n"/>
      <c r="M424" s="25">
        <f>IF(L424="","",HYPERLINK(IF(LEFT(L424,4)="http",L424,set_QwilrBase&amp;L424),"Open quote"))</f>
        <v/>
      </c>
      <c r="N424" s="26" t="n"/>
      <c r="O424" s="26" t="n"/>
      <c r="P424" s="26" t="n"/>
      <c r="Q424" s="25">
        <f>IF(C424="","",IF(N(N424)+N(O424)+N(P424)=0,"Not split",IF(ROUND(N(N424)+N(O424)+N(P424),2)=ROUND(H424,2),"OK","MISMATCH")))</f>
        <v/>
      </c>
      <c r="R424" s="26" t="n"/>
      <c r="S424" s="26" t="n"/>
      <c r="T424" s="26" t="n"/>
      <c r="U424" s="27">
        <f>IF(C424="","",N(R424)+N(S424)+N(T424))</f>
        <v/>
      </c>
      <c r="V424" s="27">
        <f>IF(C424="","",H424-U424)</f>
        <v/>
      </c>
      <c r="W424" s="29">
        <f>IFERROR(V424/H424,"")</f>
        <v/>
      </c>
      <c r="X424" s="24" t="n"/>
    </row>
    <row r="425" ht="15" customHeight="1">
      <c r="A425" s="63">
        <f>IF(C425="","",IFERROR(IF(SUMPRODUCT(MAX((tbl_Finance[Job Number]=C425&amp;"")*(tbl_Finance[Xero Invoice No]&lt;&gt;"")*tbl_Finance[Date]))=0,"",SUMPRODUCT(MAX((tbl_Finance[Job Number]=C425&amp;"")*(tbl_Finance[Xero Invoice No]&lt;&gt;"")*tbl_Finance[Date]))),""))</f>
        <v/>
      </c>
      <c r="B425" s="25">
        <f>IF(C425="","",IF(COUNTIFS(tbl_Finance[Job Number],C425&amp;"",tbl_Finance[Xero Invoice No],"&lt;&gt;")=0,"",IFERROR(IF(COUNTIFS(tbl_Finance[Job Number],C425&amp;"",tbl_Finance[Xero Invoice No],LOOKUP(2,1/((tbl_Finance[Job Number]=C425&amp;"")*(tbl_Finance[Xero Invoice No]&lt;&gt;"")),tbl_Finance[Xero Invoice No]))=COUNTIFS(tbl_Finance[Job Number],C425&amp;"",tbl_Finance[Xero Invoice No],"&lt;&gt;"),LOOKUP(2,1/((tbl_Finance[Job Number]=C425&amp;"")*(tbl_Finance[Xero Invoice No]&lt;&gt;"")),tbl_Finance[Xero Invoice No]),LOOKUP(2,1/((tbl_Finance[Job Number]=C425&amp;"")*(tbl_Finance[Xero Invoice No]&lt;&gt;"")),tbl_Finance[Xero Invoice No])&amp;" +more"),"")))</f>
        <v/>
      </c>
      <c r="C425" s="24" t="n"/>
      <c r="D425" s="25">
        <f>IF(C425="","",IF(COUNTIF(lst_Jobs,C425&amp;"")&gt;0,"OK","CHECK"))</f>
        <v/>
      </c>
      <c r="E425" s="25">
        <f>IF(C425="","",IFERROR(INDEX(lst_JobName,MATCH(C425&amp;"",lst_Jobs,0)),""))</f>
        <v/>
      </c>
      <c r="F425" s="25">
        <f>IF(C425="","",IFERROR(INDEX(tbl_Finance[Client],MATCH(C425&amp;"",tbl_Finance[Job Number],0)),""))</f>
        <v/>
      </c>
      <c r="G425" s="28">
        <f>IF(C425="","",COUNTIFS(tbl_Finance[Job Number],C425&amp;"",tbl_Finance[Ex GST],"&lt;&gt;"))</f>
        <v/>
      </c>
      <c r="H425" s="27">
        <f>IF(C425="","",SUMIFS(tbl_Finance[Ex GST],tbl_Finance[Job Number],C425&amp;""))</f>
        <v/>
      </c>
      <c r="I425" s="27">
        <f>IF(C425="","",SUMIFS(tbl_Finance[Ex GST],tbl_Finance[Job Number],C425&amp;"",tbl_Finance[Xero Invoice No],"&lt;&gt;"))</f>
        <v/>
      </c>
      <c r="J425" s="27">
        <f>IF(C425="","",H425-I425)</f>
        <v/>
      </c>
      <c r="K425" s="25">
        <f>IF(C425="","",IF(G425=0,"not invoiced yet",SUBSTITUTE(TRIM(IF(COUNTIFS(tbl_Finance[Job Number],C425&amp;"",tbl_Finance[Cost Centre],"ONSITE")&gt;0,"ONSITE ","")&amp;IF(COUNTIFS(tbl_Finance[Job Number],C425&amp;"",tbl_Finance[Cost Centre],"PRODUCTION")&gt;0,"PRODUCTION ","")&amp;IF(COUNTIFS(tbl_Finance[Job Number],C425&amp;"",tbl_Finance[Cost Centre],"VIDEO")&gt;0,"VIDEO ","")&amp;IF(COUNTIFS(tbl_Finance[Job Number],C425&amp;"",tbl_Finance[Cost Centre],"INTEGRATION")&gt;0,"INTEGRATION ","")&amp;IF(COUNTIFS(tbl_Finance[Job Number],C425&amp;"",tbl_Finance[Cost Centre],"CONSULTING")&gt;0,"CONSULTING ","")&amp;IF(COUNTIFS(tbl_Finance[Job Number],C425&amp;"",tbl_Finance[Cost Centre],"CTS")&gt;0,"CTS ",""))," ",", ")))</f>
        <v/>
      </c>
      <c r="L425" s="24" t="n"/>
      <c r="M425" s="25">
        <f>IF(L425="","",HYPERLINK(IF(LEFT(L425,4)="http",L425,set_QwilrBase&amp;L425),"Open quote"))</f>
        <v/>
      </c>
      <c r="N425" s="26" t="n"/>
      <c r="O425" s="26" t="n"/>
      <c r="P425" s="26" t="n"/>
      <c r="Q425" s="25">
        <f>IF(C425="","",IF(N(N425)+N(O425)+N(P425)=0,"Not split",IF(ROUND(N(N425)+N(O425)+N(P425),2)=ROUND(H425,2),"OK","MISMATCH")))</f>
        <v/>
      </c>
      <c r="R425" s="26" t="n"/>
      <c r="S425" s="26" t="n"/>
      <c r="T425" s="26" t="n"/>
      <c r="U425" s="27">
        <f>IF(C425="","",N(R425)+N(S425)+N(T425))</f>
        <v/>
      </c>
      <c r="V425" s="27">
        <f>IF(C425="","",H425-U425)</f>
        <v/>
      </c>
      <c r="W425" s="29">
        <f>IFERROR(V425/H425,"")</f>
        <v/>
      </c>
      <c r="X425" s="24" t="n"/>
    </row>
    <row r="426" ht="15" customHeight="1">
      <c r="A426" s="63">
        <f>IF(C426="","",IFERROR(IF(SUMPRODUCT(MAX((tbl_Finance[Job Number]=C426&amp;"")*(tbl_Finance[Xero Invoice No]&lt;&gt;"")*tbl_Finance[Date]))=0,"",SUMPRODUCT(MAX((tbl_Finance[Job Number]=C426&amp;"")*(tbl_Finance[Xero Invoice No]&lt;&gt;"")*tbl_Finance[Date]))),""))</f>
        <v/>
      </c>
      <c r="B426" s="25">
        <f>IF(C426="","",IF(COUNTIFS(tbl_Finance[Job Number],C426&amp;"",tbl_Finance[Xero Invoice No],"&lt;&gt;")=0,"",IFERROR(IF(COUNTIFS(tbl_Finance[Job Number],C426&amp;"",tbl_Finance[Xero Invoice No],LOOKUP(2,1/((tbl_Finance[Job Number]=C426&amp;"")*(tbl_Finance[Xero Invoice No]&lt;&gt;"")),tbl_Finance[Xero Invoice No]))=COUNTIFS(tbl_Finance[Job Number],C426&amp;"",tbl_Finance[Xero Invoice No],"&lt;&gt;"),LOOKUP(2,1/((tbl_Finance[Job Number]=C426&amp;"")*(tbl_Finance[Xero Invoice No]&lt;&gt;"")),tbl_Finance[Xero Invoice No]),LOOKUP(2,1/((tbl_Finance[Job Number]=C426&amp;"")*(tbl_Finance[Xero Invoice No]&lt;&gt;"")),tbl_Finance[Xero Invoice No])&amp;" +more"),"")))</f>
        <v/>
      </c>
      <c r="C426" s="24" t="n"/>
      <c r="D426" s="25">
        <f>IF(C426="","",IF(COUNTIF(lst_Jobs,C426&amp;"")&gt;0,"OK","CHECK"))</f>
        <v/>
      </c>
      <c r="E426" s="25">
        <f>IF(C426="","",IFERROR(INDEX(lst_JobName,MATCH(C426&amp;"",lst_Jobs,0)),""))</f>
        <v/>
      </c>
      <c r="F426" s="25">
        <f>IF(C426="","",IFERROR(INDEX(tbl_Finance[Client],MATCH(C426&amp;"",tbl_Finance[Job Number],0)),""))</f>
        <v/>
      </c>
      <c r="G426" s="28">
        <f>IF(C426="","",COUNTIFS(tbl_Finance[Job Number],C426&amp;"",tbl_Finance[Ex GST],"&lt;&gt;"))</f>
        <v/>
      </c>
      <c r="H426" s="27">
        <f>IF(C426="","",SUMIFS(tbl_Finance[Ex GST],tbl_Finance[Job Number],C426&amp;""))</f>
        <v/>
      </c>
      <c r="I426" s="27">
        <f>IF(C426="","",SUMIFS(tbl_Finance[Ex GST],tbl_Finance[Job Number],C426&amp;"",tbl_Finance[Xero Invoice No],"&lt;&gt;"))</f>
        <v/>
      </c>
      <c r="J426" s="27">
        <f>IF(C426="","",H426-I426)</f>
        <v/>
      </c>
      <c r="K426" s="25">
        <f>IF(C426="","",IF(G426=0,"not invoiced yet",SUBSTITUTE(TRIM(IF(COUNTIFS(tbl_Finance[Job Number],C426&amp;"",tbl_Finance[Cost Centre],"ONSITE")&gt;0,"ONSITE ","")&amp;IF(COUNTIFS(tbl_Finance[Job Number],C426&amp;"",tbl_Finance[Cost Centre],"PRODUCTION")&gt;0,"PRODUCTION ","")&amp;IF(COUNTIFS(tbl_Finance[Job Number],C426&amp;"",tbl_Finance[Cost Centre],"VIDEO")&gt;0,"VIDEO ","")&amp;IF(COUNTIFS(tbl_Finance[Job Number],C426&amp;"",tbl_Finance[Cost Centre],"INTEGRATION")&gt;0,"INTEGRATION ","")&amp;IF(COUNTIFS(tbl_Finance[Job Number],C426&amp;"",tbl_Finance[Cost Centre],"CONSULTING")&gt;0,"CONSULTING ","")&amp;IF(COUNTIFS(tbl_Finance[Job Number],C426&amp;"",tbl_Finance[Cost Centre],"CTS")&gt;0,"CTS ",""))," ",", ")))</f>
        <v/>
      </c>
      <c r="L426" s="24" t="n"/>
      <c r="M426" s="25">
        <f>IF(L426="","",HYPERLINK(IF(LEFT(L426,4)="http",L426,set_QwilrBase&amp;L426),"Open quote"))</f>
        <v/>
      </c>
      <c r="N426" s="26" t="n"/>
      <c r="O426" s="26" t="n"/>
      <c r="P426" s="26" t="n"/>
      <c r="Q426" s="25">
        <f>IF(C426="","",IF(N(N426)+N(O426)+N(P426)=0,"Not split",IF(ROUND(N(N426)+N(O426)+N(P426),2)=ROUND(H426,2),"OK","MISMATCH")))</f>
        <v/>
      </c>
      <c r="R426" s="26" t="n"/>
      <c r="S426" s="26" t="n"/>
      <c r="T426" s="26" t="n"/>
      <c r="U426" s="27">
        <f>IF(C426="","",N(R426)+N(S426)+N(T426))</f>
        <v/>
      </c>
      <c r="V426" s="27">
        <f>IF(C426="","",H426-U426)</f>
        <v/>
      </c>
      <c r="W426" s="29">
        <f>IFERROR(V426/H426,"")</f>
        <v/>
      </c>
      <c r="X426" s="24" t="n"/>
    </row>
    <row r="427" ht="15" customHeight="1">
      <c r="A427" s="63">
        <f>IF(C427="","",IFERROR(IF(SUMPRODUCT(MAX((tbl_Finance[Job Number]=C427&amp;"")*(tbl_Finance[Xero Invoice No]&lt;&gt;"")*tbl_Finance[Date]))=0,"",SUMPRODUCT(MAX((tbl_Finance[Job Number]=C427&amp;"")*(tbl_Finance[Xero Invoice No]&lt;&gt;"")*tbl_Finance[Date]))),""))</f>
        <v/>
      </c>
      <c r="B427" s="25">
        <f>IF(C427="","",IF(COUNTIFS(tbl_Finance[Job Number],C427&amp;"",tbl_Finance[Xero Invoice No],"&lt;&gt;")=0,"",IFERROR(IF(COUNTIFS(tbl_Finance[Job Number],C427&amp;"",tbl_Finance[Xero Invoice No],LOOKUP(2,1/((tbl_Finance[Job Number]=C427&amp;"")*(tbl_Finance[Xero Invoice No]&lt;&gt;"")),tbl_Finance[Xero Invoice No]))=COUNTIFS(tbl_Finance[Job Number],C427&amp;"",tbl_Finance[Xero Invoice No],"&lt;&gt;"),LOOKUP(2,1/((tbl_Finance[Job Number]=C427&amp;"")*(tbl_Finance[Xero Invoice No]&lt;&gt;"")),tbl_Finance[Xero Invoice No]),LOOKUP(2,1/((tbl_Finance[Job Number]=C427&amp;"")*(tbl_Finance[Xero Invoice No]&lt;&gt;"")),tbl_Finance[Xero Invoice No])&amp;" +more"),"")))</f>
        <v/>
      </c>
      <c r="C427" s="24" t="n"/>
      <c r="D427" s="25">
        <f>IF(C427="","",IF(COUNTIF(lst_Jobs,C427&amp;"")&gt;0,"OK","CHECK"))</f>
        <v/>
      </c>
      <c r="E427" s="25">
        <f>IF(C427="","",IFERROR(INDEX(lst_JobName,MATCH(C427&amp;"",lst_Jobs,0)),""))</f>
        <v/>
      </c>
      <c r="F427" s="25">
        <f>IF(C427="","",IFERROR(INDEX(tbl_Finance[Client],MATCH(C427&amp;"",tbl_Finance[Job Number],0)),""))</f>
        <v/>
      </c>
      <c r="G427" s="28">
        <f>IF(C427="","",COUNTIFS(tbl_Finance[Job Number],C427&amp;"",tbl_Finance[Ex GST],"&lt;&gt;"))</f>
        <v/>
      </c>
      <c r="H427" s="27">
        <f>IF(C427="","",SUMIFS(tbl_Finance[Ex GST],tbl_Finance[Job Number],C427&amp;""))</f>
        <v/>
      </c>
      <c r="I427" s="27">
        <f>IF(C427="","",SUMIFS(tbl_Finance[Ex GST],tbl_Finance[Job Number],C427&amp;"",tbl_Finance[Xero Invoice No],"&lt;&gt;"))</f>
        <v/>
      </c>
      <c r="J427" s="27">
        <f>IF(C427="","",H427-I427)</f>
        <v/>
      </c>
      <c r="K427" s="25">
        <f>IF(C427="","",IF(G427=0,"not invoiced yet",SUBSTITUTE(TRIM(IF(COUNTIFS(tbl_Finance[Job Number],C427&amp;"",tbl_Finance[Cost Centre],"ONSITE")&gt;0,"ONSITE ","")&amp;IF(COUNTIFS(tbl_Finance[Job Number],C427&amp;"",tbl_Finance[Cost Centre],"PRODUCTION")&gt;0,"PRODUCTION ","")&amp;IF(COUNTIFS(tbl_Finance[Job Number],C427&amp;"",tbl_Finance[Cost Centre],"VIDEO")&gt;0,"VIDEO ","")&amp;IF(COUNTIFS(tbl_Finance[Job Number],C427&amp;"",tbl_Finance[Cost Centre],"INTEGRATION")&gt;0,"INTEGRATION ","")&amp;IF(COUNTIFS(tbl_Finance[Job Number],C427&amp;"",tbl_Finance[Cost Centre],"CONSULTING")&gt;0,"CONSULTING ","")&amp;IF(COUNTIFS(tbl_Finance[Job Number],C427&amp;"",tbl_Finance[Cost Centre],"CTS")&gt;0,"CTS ",""))," ",", ")))</f>
        <v/>
      </c>
      <c r="L427" s="24" t="n"/>
      <c r="M427" s="25">
        <f>IF(L427="","",HYPERLINK(IF(LEFT(L427,4)="http",L427,set_QwilrBase&amp;L427),"Open quote"))</f>
        <v/>
      </c>
      <c r="N427" s="26" t="n"/>
      <c r="O427" s="26" t="n"/>
      <c r="P427" s="26" t="n"/>
      <c r="Q427" s="25">
        <f>IF(C427="","",IF(N(N427)+N(O427)+N(P427)=0,"Not split",IF(ROUND(N(N427)+N(O427)+N(P427),2)=ROUND(H427,2),"OK","MISMATCH")))</f>
        <v/>
      </c>
      <c r="R427" s="26" t="n"/>
      <c r="S427" s="26" t="n"/>
      <c r="T427" s="26" t="n"/>
      <c r="U427" s="27">
        <f>IF(C427="","",N(R427)+N(S427)+N(T427))</f>
        <v/>
      </c>
      <c r="V427" s="27">
        <f>IF(C427="","",H427-U427)</f>
        <v/>
      </c>
      <c r="W427" s="29">
        <f>IFERROR(V427/H427,"")</f>
        <v/>
      </c>
      <c r="X427" s="24" t="n"/>
    </row>
    <row r="428" ht="15" customHeight="1">
      <c r="A428" s="63">
        <f>IF(C428="","",IFERROR(IF(SUMPRODUCT(MAX((tbl_Finance[Job Number]=C428&amp;"")*(tbl_Finance[Xero Invoice No]&lt;&gt;"")*tbl_Finance[Date]))=0,"",SUMPRODUCT(MAX((tbl_Finance[Job Number]=C428&amp;"")*(tbl_Finance[Xero Invoice No]&lt;&gt;"")*tbl_Finance[Date]))),""))</f>
        <v/>
      </c>
      <c r="B428" s="25">
        <f>IF(C428="","",IF(COUNTIFS(tbl_Finance[Job Number],C428&amp;"",tbl_Finance[Xero Invoice No],"&lt;&gt;")=0,"",IFERROR(IF(COUNTIFS(tbl_Finance[Job Number],C428&amp;"",tbl_Finance[Xero Invoice No],LOOKUP(2,1/((tbl_Finance[Job Number]=C428&amp;"")*(tbl_Finance[Xero Invoice No]&lt;&gt;"")),tbl_Finance[Xero Invoice No]))=COUNTIFS(tbl_Finance[Job Number],C428&amp;"",tbl_Finance[Xero Invoice No],"&lt;&gt;"),LOOKUP(2,1/((tbl_Finance[Job Number]=C428&amp;"")*(tbl_Finance[Xero Invoice No]&lt;&gt;"")),tbl_Finance[Xero Invoice No]),LOOKUP(2,1/((tbl_Finance[Job Number]=C428&amp;"")*(tbl_Finance[Xero Invoice No]&lt;&gt;"")),tbl_Finance[Xero Invoice No])&amp;" +more"),"")))</f>
        <v/>
      </c>
      <c r="C428" s="24" t="n"/>
      <c r="D428" s="25">
        <f>IF(C428="","",IF(COUNTIF(lst_Jobs,C428&amp;"")&gt;0,"OK","CHECK"))</f>
        <v/>
      </c>
      <c r="E428" s="25">
        <f>IF(C428="","",IFERROR(INDEX(lst_JobName,MATCH(C428&amp;"",lst_Jobs,0)),""))</f>
        <v/>
      </c>
      <c r="F428" s="25">
        <f>IF(C428="","",IFERROR(INDEX(tbl_Finance[Client],MATCH(C428&amp;"",tbl_Finance[Job Number],0)),""))</f>
        <v/>
      </c>
      <c r="G428" s="28">
        <f>IF(C428="","",COUNTIFS(tbl_Finance[Job Number],C428&amp;"",tbl_Finance[Ex GST],"&lt;&gt;"))</f>
        <v/>
      </c>
      <c r="H428" s="27">
        <f>IF(C428="","",SUMIFS(tbl_Finance[Ex GST],tbl_Finance[Job Number],C428&amp;""))</f>
        <v/>
      </c>
      <c r="I428" s="27">
        <f>IF(C428="","",SUMIFS(tbl_Finance[Ex GST],tbl_Finance[Job Number],C428&amp;"",tbl_Finance[Xero Invoice No],"&lt;&gt;"))</f>
        <v/>
      </c>
      <c r="J428" s="27">
        <f>IF(C428="","",H428-I428)</f>
        <v/>
      </c>
      <c r="K428" s="25">
        <f>IF(C428="","",IF(G428=0,"not invoiced yet",SUBSTITUTE(TRIM(IF(COUNTIFS(tbl_Finance[Job Number],C428&amp;"",tbl_Finance[Cost Centre],"ONSITE")&gt;0,"ONSITE ","")&amp;IF(COUNTIFS(tbl_Finance[Job Number],C428&amp;"",tbl_Finance[Cost Centre],"PRODUCTION")&gt;0,"PRODUCTION ","")&amp;IF(COUNTIFS(tbl_Finance[Job Number],C428&amp;"",tbl_Finance[Cost Centre],"VIDEO")&gt;0,"VIDEO ","")&amp;IF(COUNTIFS(tbl_Finance[Job Number],C428&amp;"",tbl_Finance[Cost Centre],"INTEGRATION")&gt;0,"INTEGRATION ","")&amp;IF(COUNTIFS(tbl_Finance[Job Number],C428&amp;"",tbl_Finance[Cost Centre],"CONSULTING")&gt;0,"CONSULTING ","")&amp;IF(COUNTIFS(tbl_Finance[Job Number],C428&amp;"",tbl_Finance[Cost Centre],"CTS")&gt;0,"CTS ",""))," ",", ")))</f>
        <v/>
      </c>
      <c r="L428" s="24" t="n"/>
      <c r="M428" s="25">
        <f>IF(L428="","",HYPERLINK(IF(LEFT(L428,4)="http",L428,set_QwilrBase&amp;L428),"Open quote"))</f>
        <v/>
      </c>
      <c r="N428" s="26" t="n"/>
      <c r="O428" s="26" t="n"/>
      <c r="P428" s="26" t="n"/>
      <c r="Q428" s="25">
        <f>IF(C428="","",IF(N(N428)+N(O428)+N(P428)=0,"Not split",IF(ROUND(N(N428)+N(O428)+N(P428),2)=ROUND(H428,2),"OK","MISMATCH")))</f>
        <v/>
      </c>
      <c r="R428" s="26" t="n"/>
      <c r="S428" s="26" t="n"/>
      <c r="T428" s="26" t="n"/>
      <c r="U428" s="27">
        <f>IF(C428="","",N(R428)+N(S428)+N(T428))</f>
        <v/>
      </c>
      <c r="V428" s="27">
        <f>IF(C428="","",H428-U428)</f>
        <v/>
      </c>
      <c r="W428" s="29">
        <f>IFERROR(V428/H428,"")</f>
        <v/>
      </c>
      <c r="X428" s="24" t="n"/>
    </row>
    <row r="429" ht="15" customHeight="1">
      <c r="A429" s="63">
        <f>IF(C429="","",IFERROR(IF(SUMPRODUCT(MAX((tbl_Finance[Job Number]=C429&amp;"")*(tbl_Finance[Xero Invoice No]&lt;&gt;"")*tbl_Finance[Date]))=0,"",SUMPRODUCT(MAX((tbl_Finance[Job Number]=C429&amp;"")*(tbl_Finance[Xero Invoice No]&lt;&gt;"")*tbl_Finance[Date]))),""))</f>
        <v/>
      </c>
      <c r="B429" s="25">
        <f>IF(C429="","",IF(COUNTIFS(tbl_Finance[Job Number],C429&amp;"",tbl_Finance[Xero Invoice No],"&lt;&gt;")=0,"",IFERROR(IF(COUNTIFS(tbl_Finance[Job Number],C429&amp;"",tbl_Finance[Xero Invoice No],LOOKUP(2,1/((tbl_Finance[Job Number]=C429&amp;"")*(tbl_Finance[Xero Invoice No]&lt;&gt;"")),tbl_Finance[Xero Invoice No]))=COUNTIFS(tbl_Finance[Job Number],C429&amp;"",tbl_Finance[Xero Invoice No],"&lt;&gt;"),LOOKUP(2,1/((tbl_Finance[Job Number]=C429&amp;"")*(tbl_Finance[Xero Invoice No]&lt;&gt;"")),tbl_Finance[Xero Invoice No]),LOOKUP(2,1/((tbl_Finance[Job Number]=C429&amp;"")*(tbl_Finance[Xero Invoice No]&lt;&gt;"")),tbl_Finance[Xero Invoice No])&amp;" +more"),"")))</f>
        <v/>
      </c>
      <c r="C429" s="24" t="n"/>
      <c r="D429" s="25">
        <f>IF(C429="","",IF(COUNTIF(lst_Jobs,C429&amp;"")&gt;0,"OK","CHECK"))</f>
        <v/>
      </c>
      <c r="E429" s="25">
        <f>IF(C429="","",IFERROR(INDEX(lst_JobName,MATCH(C429&amp;"",lst_Jobs,0)),""))</f>
        <v/>
      </c>
      <c r="F429" s="25">
        <f>IF(C429="","",IFERROR(INDEX(tbl_Finance[Client],MATCH(C429&amp;"",tbl_Finance[Job Number],0)),""))</f>
        <v/>
      </c>
      <c r="G429" s="28">
        <f>IF(C429="","",COUNTIFS(tbl_Finance[Job Number],C429&amp;"",tbl_Finance[Ex GST],"&lt;&gt;"))</f>
        <v/>
      </c>
      <c r="H429" s="27">
        <f>IF(C429="","",SUMIFS(tbl_Finance[Ex GST],tbl_Finance[Job Number],C429&amp;""))</f>
        <v/>
      </c>
      <c r="I429" s="27">
        <f>IF(C429="","",SUMIFS(tbl_Finance[Ex GST],tbl_Finance[Job Number],C429&amp;"",tbl_Finance[Xero Invoice No],"&lt;&gt;"))</f>
        <v/>
      </c>
      <c r="J429" s="27">
        <f>IF(C429="","",H429-I429)</f>
        <v/>
      </c>
      <c r="K429" s="25">
        <f>IF(C429="","",IF(G429=0,"not invoiced yet",SUBSTITUTE(TRIM(IF(COUNTIFS(tbl_Finance[Job Number],C429&amp;"",tbl_Finance[Cost Centre],"ONSITE")&gt;0,"ONSITE ","")&amp;IF(COUNTIFS(tbl_Finance[Job Number],C429&amp;"",tbl_Finance[Cost Centre],"PRODUCTION")&gt;0,"PRODUCTION ","")&amp;IF(COUNTIFS(tbl_Finance[Job Number],C429&amp;"",tbl_Finance[Cost Centre],"VIDEO")&gt;0,"VIDEO ","")&amp;IF(COUNTIFS(tbl_Finance[Job Number],C429&amp;"",tbl_Finance[Cost Centre],"INTEGRATION")&gt;0,"INTEGRATION ","")&amp;IF(COUNTIFS(tbl_Finance[Job Number],C429&amp;"",tbl_Finance[Cost Centre],"CONSULTING")&gt;0,"CONSULTING ","")&amp;IF(COUNTIFS(tbl_Finance[Job Number],C429&amp;"",tbl_Finance[Cost Centre],"CTS")&gt;0,"CTS ",""))," ",", ")))</f>
        <v/>
      </c>
      <c r="L429" s="24" t="n"/>
      <c r="M429" s="25">
        <f>IF(L429="","",HYPERLINK(IF(LEFT(L429,4)="http",L429,set_QwilrBase&amp;L429),"Open quote"))</f>
        <v/>
      </c>
      <c r="N429" s="26" t="n"/>
      <c r="O429" s="26" t="n"/>
      <c r="P429" s="26" t="n"/>
      <c r="Q429" s="25">
        <f>IF(C429="","",IF(N(N429)+N(O429)+N(P429)=0,"Not split",IF(ROUND(N(N429)+N(O429)+N(P429),2)=ROUND(H429,2),"OK","MISMATCH")))</f>
        <v/>
      </c>
      <c r="R429" s="26" t="n"/>
      <c r="S429" s="26" t="n"/>
      <c r="T429" s="26" t="n"/>
      <c r="U429" s="27">
        <f>IF(C429="","",N(R429)+N(S429)+N(T429))</f>
        <v/>
      </c>
      <c r="V429" s="27">
        <f>IF(C429="","",H429-U429)</f>
        <v/>
      </c>
      <c r="W429" s="29">
        <f>IFERROR(V429/H429,"")</f>
        <v/>
      </c>
      <c r="X429" s="24" t="n"/>
    </row>
    <row r="430" ht="15" customHeight="1">
      <c r="A430" s="63">
        <f>IF(C430="","",IFERROR(IF(SUMPRODUCT(MAX((tbl_Finance[Job Number]=C430&amp;"")*(tbl_Finance[Xero Invoice No]&lt;&gt;"")*tbl_Finance[Date]))=0,"",SUMPRODUCT(MAX((tbl_Finance[Job Number]=C430&amp;"")*(tbl_Finance[Xero Invoice No]&lt;&gt;"")*tbl_Finance[Date]))),""))</f>
        <v/>
      </c>
      <c r="B430" s="25">
        <f>IF(C430="","",IF(COUNTIFS(tbl_Finance[Job Number],C430&amp;"",tbl_Finance[Xero Invoice No],"&lt;&gt;")=0,"",IFERROR(IF(COUNTIFS(tbl_Finance[Job Number],C430&amp;"",tbl_Finance[Xero Invoice No],LOOKUP(2,1/((tbl_Finance[Job Number]=C430&amp;"")*(tbl_Finance[Xero Invoice No]&lt;&gt;"")),tbl_Finance[Xero Invoice No]))=COUNTIFS(tbl_Finance[Job Number],C430&amp;"",tbl_Finance[Xero Invoice No],"&lt;&gt;"),LOOKUP(2,1/((tbl_Finance[Job Number]=C430&amp;"")*(tbl_Finance[Xero Invoice No]&lt;&gt;"")),tbl_Finance[Xero Invoice No]),LOOKUP(2,1/((tbl_Finance[Job Number]=C430&amp;"")*(tbl_Finance[Xero Invoice No]&lt;&gt;"")),tbl_Finance[Xero Invoice No])&amp;" +more"),"")))</f>
        <v/>
      </c>
      <c r="C430" s="24" t="n"/>
      <c r="D430" s="25">
        <f>IF(C430="","",IF(COUNTIF(lst_Jobs,C430&amp;"")&gt;0,"OK","CHECK"))</f>
        <v/>
      </c>
      <c r="E430" s="25">
        <f>IF(C430="","",IFERROR(INDEX(lst_JobName,MATCH(C430&amp;"",lst_Jobs,0)),""))</f>
        <v/>
      </c>
      <c r="F430" s="25">
        <f>IF(C430="","",IFERROR(INDEX(tbl_Finance[Client],MATCH(C430&amp;"",tbl_Finance[Job Number],0)),""))</f>
        <v/>
      </c>
      <c r="G430" s="28">
        <f>IF(C430="","",COUNTIFS(tbl_Finance[Job Number],C430&amp;"",tbl_Finance[Ex GST],"&lt;&gt;"))</f>
        <v/>
      </c>
      <c r="H430" s="27">
        <f>IF(C430="","",SUMIFS(tbl_Finance[Ex GST],tbl_Finance[Job Number],C430&amp;""))</f>
        <v/>
      </c>
      <c r="I430" s="27">
        <f>IF(C430="","",SUMIFS(tbl_Finance[Ex GST],tbl_Finance[Job Number],C430&amp;"",tbl_Finance[Xero Invoice No],"&lt;&gt;"))</f>
        <v/>
      </c>
      <c r="J430" s="27">
        <f>IF(C430="","",H430-I430)</f>
        <v/>
      </c>
      <c r="K430" s="25">
        <f>IF(C430="","",IF(G430=0,"not invoiced yet",SUBSTITUTE(TRIM(IF(COUNTIFS(tbl_Finance[Job Number],C430&amp;"",tbl_Finance[Cost Centre],"ONSITE")&gt;0,"ONSITE ","")&amp;IF(COUNTIFS(tbl_Finance[Job Number],C430&amp;"",tbl_Finance[Cost Centre],"PRODUCTION")&gt;0,"PRODUCTION ","")&amp;IF(COUNTIFS(tbl_Finance[Job Number],C430&amp;"",tbl_Finance[Cost Centre],"VIDEO")&gt;0,"VIDEO ","")&amp;IF(COUNTIFS(tbl_Finance[Job Number],C430&amp;"",tbl_Finance[Cost Centre],"INTEGRATION")&gt;0,"INTEGRATION ","")&amp;IF(COUNTIFS(tbl_Finance[Job Number],C430&amp;"",tbl_Finance[Cost Centre],"CONSULTING")&gt;0,"CONSULTING ","")&amp;IF(COUNTIFS(tbl_Finance[Job Number],C430&amp;"",tbl_Finance[Cost Centre],"CTS")&gt;0,"CTS ",""))," ",", ")))</f>
        <v/>
      </c>
      <c r="L430" s="24" t="n"/>
      <c r="M430" s="25">
        <f>IF(L430="","",HYPERLINK(IF(LEFT(L430,4)="http",L430,set_QwilrBase&amp;L430),"Open quote"))</f>
        <v/>
      </c>
      <c r="N430" s="26" t="n"/>
      <c r="O430" s="26" t="n"/>
      <c r="P430" s="26" t="n"/>
      <c r="Q430" s="25">
        <f>IF(C430="","",IF(N(N430)+N(O430)+N(P430)=0,"Not split",IF(ROUND(N(N430)+N(O430)+N(P430),2)=ROUND(H430,2),"OK","MISMATCH")))</f>
        <v/>
      </c>
      <c r="R430" s="26" t="n"/>
      <c r="S430" s="26" t="n"/>
      <c r="T430" s="26" t="n"/>
      <c r="U430" s="27">
        <f>IF(C430="","",N(R430)+N(S430)+N(T430))</f>
        <v/>
      </c>
      <c r="V430" s="27">
        <f>IF(C430="","",H430-U430)</f>
        <v/>
      </c>
      <c r="W430" s="29">
        <f>IFERROR(V430/H430,"")</f>
        <v/>
      </c>
      <c r="X430" s="24" t="n"/>
    </row>
    <row r="431" ht="15" customHeight="1">
      <c r="A431" s="63">
        <f>IF(C431="","",IFERROR(IF(SUMPRODUCT(MAX((tbl_Finance[Job Number]=C431&amp;"")*(tbl_Finance[Xero Invoice No]&lt;&gt;"")*tbl_Finance[Date]))=0,"",SUMPRODUCT(MAX((tbl_Finance[Job Number]=C431&amp;"")*(tbl_Finance[Xero Invoice No]&lt;&gt;"")*tbl_Finance[Date]))),""))</f>
        <v/>
      </c>
      <c r="B431" s="25">
        <f>IF(C431="","",IF(COUNTIFS(tbl_Finance[Job Number],C431&amp;"",tbl_Finance[Xero Invoice No],"&lt;&gt;")=0,"",IFERROR(IF(COUNTIFS(tbl_Finance[Job Number],C431&amp;"",tbl_Finance[Xero Invoice No],LOOKUP(2,1/((tbl_Finance[Job Number]=C431&amp;"")*(tbl_Finance[Xero Invoice No]&lt;&gt;"")),tbl_Finance[Xero Invoice No]))=COUNTIFS(tbl_Finance[Job Number],C431&amp;"",tbl_Finance[Xero Invoice No],"&lt;&gt;"),LOOKUP(2,1/((tbl_Finance[Job Number]=C431&amp;"")*(tbl_Finance[Xero Invoice No]&lt;&gt;"")),tbl_Finance[Xero Invoice No]),LOOKUP(2,1/((tbl_Finance[Job Number]=C431&amp;"")*(tbl_Finance[Xero Invoice No]&lt;&gt;"")),tbl_Finance[Xero Invoice No])&amp;" +more"),"")))</f>
        <v/>
      </c>
      <c r="C431" s="24" t="n"/>
      <c r="D431" s="25">
        <f>IF(C431="","",IF(COUNTIF(lst_Jobs,C431&amp;"")&gt;0,"OK","CHECK"))</f>
        <v/>
      </c>
      <c r="E431" s="25">
        <f>IF(C431="","",IFERROR(INDEX(lst_JobName,MATCH(C431&amp;"",lst_Jobs,0)),""))</f>
        <v/>
      </c>
      <c r="F431" s="25">
        <f>IF(C431="","",IFERROR(INDEX(tbl_Finance[Client],MATCH(C431&amp;"",tbl_Finance[Job Number],0)),""))</f>
        <v/>
      </c>
      <c r="G431" s="28">
        <f>IF(C431="","",COUNTIFS(tbl_Finance[Job Number],C431&amp;"",tbl_Finance[Ex GST],"&lt;&gt;"))</f>
        <v/>
      </c>
      <c r="H431" s="27">
        <f>IF(C431="","",SUMIFS(tbl_Finance[Ex GST],tbl_Finance[Job Number],C431&amp;""))</f>
        <v/>
      </c>
      <c r="I431" s="27">
        <f>IF(C431="","",SUMIFS(tbl_Finance[Ex GST],tbl_Finance[Job Number],C431&amp;"",tbl_Finance[Xero Invoice No],"&lt;&gt;"))</f>
        <v/>
      </c>
      <c r="J431" s="27">
        <f>IF(C431="","",H431-I431)</f>
        <v/>
      </c>
      <c r="K431" s="25">
        <f>IF(C431="","",IF(G431=0,"not invoiced yet",SUBSTITUTE(TRIM(IF(COUNTIFS(tbl_Finance[Job Number],C431&amp;"",tbl_Finance[Cost Centre],"ONSITE")&gt;0,"ONSITE ","")&amp;IF(COUNTIFS(tbl_Finance[Job Number],C431&amp;"",tbl_Finance[Cost Centre],"PRODUCTION")&gt;0,"PRODUCTION ","")&amp;IF(COUNTIFS(tbl_Finance[Job Number],C431&amp;"",tbl_Finance[Cost Centre],"VIDEO")&gt;0,"VIDEO ","")&amp;IF(COUNTIFS(tbl_Finance[Job Number],C431&amp;"",tbl_Finance[Cost Centre],"INTEGRATION")&gt;0,"INTEGRATION ","")&amp;IF(COUNTIFS(tbl_Finance[Job Number],C431&amp;"",tbl_Finance[Cost Centre],"CONSULTING")&gt;0,"CONSULTING ","")&amp;IF(COUNTIFS(tbl_Finance[Job Number],C431&amp;"",tbl_Finance[Cost Centre],"CTS")&gt;0,"CTS ",""))," ",", ")))</f>
        <v/>
      </c>
      <c r="L431" s="24" t="n"/>
      <c r="M431" s="25">
        <f>IF(L431="","",HYPERLINK(IF(LEFT(L431,4)="http",L431,set_QwilrBase&amp;L431),"Open quote"))</f>
        <v/>
      </c>
      <c r="N431" s="26" t="n"/>
      <c r="O431" s="26" t="n"/>
      <c r="P431" s="26" t="n"/>
      <c r="Q431" s="25">
        <f>IF(C431="","",IF(N(N431)+N(O431)+N(P431)=0,"Not split",IF(ROUND(N(N431)+N(O431)+N(P431),2)=ROUND(H431,2),"OK","MISMATCH")))</f>
        <v/>
      </c>
      <c r="R431" s="26" t="n"/>
      <c r="S431" s="26" t="n"/>
      <c r="T431" s="26" t="n"/>
      <c r="U431" s="27">
        <f>IF(C431="","",N(R431)+N(S431)+N(T431))</f>
        <v/>
      </c>
      <c r="V431" s="27">
        <f>IF(C431="","",H431-U431)</f>
        <v/>
      </c>
      <c r="W431" s="29">
        <f>IFERROR(V431/H431,"")</f>
        <v/>
      </c>
      <c r="X431" s="24" t="n"/>
    </row>
    <row r="432" ht="15" customHeight="1">
      <c r="A432" s="63">
        <f>IF(C432="","",IFERROR(IF(SUMPRODUCT(MAX((tbl_Finance[Job Number]=C432&amp;"")*(tbl_Finance[Xero Invoice No]&lt;&gt;"")*tbl_Finance[Date]))=0,"",SUMPRODUCT(MAX((tbl_Finance[Job Number]=C432&amp;"")*(tbl_Finance[Xero Invoice No]&lt;&gt;"")*tbl_Finance[Date]))),""))</f>
        <v/>
      </c>
      <c r="B432" s="25">
        <f>IF(C432="","",IF(COUNTIFS(tbl_Finance[Job Number],C432&amp;"",tbl_Finance[Xero Invoice No],"&lt;&gt;")=0,"",IFERROR(IF(COUNTIFS(tbl_Finance[Job Number],C432&amp;"",tbl_Finance[Xero Invoice No],LOOKUP(2,1/((tbl_Finance[Job Number]=C432&amp;"")*(tbl_Finance[Xero Invoice No]&lt;&gt;"")),tbl_Finance[Xero Invoice No]))=COUNTIFS(tbl_Finance[Job Number],C432&amp;"",tbl_Finance[Xero Invoice No],"&lt;&gt;"),LOOKUP(2,1/((tbl_Finance[Job Number]=C432&amp;"")*(tbl_Finance[Xero Invoice No]&lt;&gt;"")),tbl_Finance[Xero Invoice No]),LOOKUP(2,1/((tbl_Finance[Job Number]=C432&amp;"")*(tbl_Finance[Xero Invoice No]&lt;&gt;"")),tbl_Finance[Xero Invoice No])&amp;" +more"),"")))</f>
        <v/>
      </c>
      <c r="C432" s="24" t="n"/>
      <c r="D432" s="25">
        <f>IF(C432="","",IF(COUNTIF(lst_Jobs,C432&amp;"")&gt;0,"OK","CHECK"))</f>
        <v/>
      </c>
      <c r="E432" s="25">
        <f>IF(C432="","",IFERROR(INDEX(lst_JobName,MATCH(C432&amp;"",lst_Jobs,0)),""))</f>
        <v/>
      </c>
      <c r="F432" s="25">
        <f>IF(C432="","",IFERROR(INDEX(tbl_Finance[Client],MATCH(C432&amp;"",tbl_Finance[Job Number],0)),""))</f>
        <v/>
      </c>
      <c r="G432" s="28">
        <f>IF(C432="","",COUNTIFS(tbl_Finance[Job Number],C432&amp;"",tbl_Finance[Ex GST],"&lt;&gt;"))</f>
        <v/>
      </c>
      <c r="H432" s="27">
        <f>IF(C432="","",SUMIFS(tbl_Finance[Ex GST],tbl_Finance[Job Number],C432&amp;""))</f>
        <v/>
      </c>
      <c r="I432" s="27">
        <f>IF(C432="","",SUMIFS(tbl_Finance[Ex GST],tbl_Finance[Job Number],C432&amp;"",tbl_Finance[Xero Invoice No],"&lt;&gt;"))</f>
        <v/>
      </c>
      <c r="J432" s="27">
        <f>IF(C432="","",H432-I432)</f>
        <v/>
      </c>
      <c r="K432" s="25">
        <f>IF(C432="","",IF(G432=0,"not invoiced yet",SUBSTITUTE(TRIM(IF(COUNTIFS(tbl_Finance[Job Number],C432&amp;"",tbl_Finance[Cost Centre],"ONSITE")&gt;0,"ONSITE ","")&amp;IF(COUNTIFS(tbl_Finance[Job Number],C432&amp;"",tbl_Finance[Cost Centre],"PRODUCTION")&gt;0,"PRODUCTION ","")&amp;IF(COUNTIFS(tbl_Finance[Job Number],C432&amp;"",tbl_Finance[Cost Centre],"VIDEO")&gt;0,"VIDEO ","")&amp;IF(COUNTIFS(tbl_Finance[Job Number],C432&amp;"",tbl_Finance[Cost Centre],"INTEGRATION")&gt;0,"INTEGRATION ","")&amp;IF(COUNTIFS(tbl_Finance[Job Number],C432&amp;"",tbl_Finance[Cost Centre],"CONSULTING")&gt;0,"CONSULTING ","")&amp;IF(COUNTIFS(tbl_Finance[Job Number],C432&amp;"",tbl_Finance[Cost Centre],"CTS")&gt;0,"CTS ",""))," ",", ")))</f>
        <v/>
      </c>
      <c r="L432" s="24" t="n"/>
      <c r="M432" s="25">
        <f>IF(L432="","",HYPERLINK(IF(LEFT(L432,4)="http",L432,set_QwilrBase&amp;L432),"Open quote"))</f>
        <v/>
      </c>
      <c r="N432" s="26" t="n"/>
      <c r="O432" s="26" t="n"/>
      <c r="P432" s="26" t="n"/>
      <c r="Q432" s="25">
        <f>IF(C432="","",IF(N(N432)+N(O432)+N(P432)=0,"Not split",IF(ROUND(N(N432)+N(O432)+N(P432),2)=ROUND(H432,2),"OK","MISMATCH")))</f>
        <v/>
      </c>
      <c r="R432" s="26" t="n"/>
      <c r="S432" s="26" t="n"/>
      <c r="T432" s="26" t="n"/>
      <c r="U432" s="27">
        <f>IF(C432="","",N(R432)+N(S432)+N(T432))</f>
        <v/>
      </c>
      <c r="V432" s="27">
        <f>IF(C432="","",H432-U432)</f>
        <v/>
      </c>
      <c r="W432" s="29">
        <f>IFERROR(V432/H432,"")</f>
        <v/>
      </c>
      <c r="X432" s="24" t="n"/>
    </row>
  </sheetData>
  <sheetProtection selectLockedCells="0" selectUnlockedCells="0" sheet="1" objects="0" insertRows="0" insertHyperlinks="1" autoFilter="0" scenarios="0" formatColumns="0" deleteColumns="1" insertColumns="1" pivotTables="1" deleteRows="1" formatCells="0" formatRows="0" sort="0"/>
  <mergeCells count="1">
    <mergeCell ref="A3:K3"/>
  </mergeCells>
  <conditionalFormatting sqref="D5:D5000">
    <cfRule type="expression" priority="1" dxfId="0" stopIfTrue="0">
      <formula>D5="CHECK"</formula>
    </cfRule>
  </conditionalFormatting>
  <conditionalFormatting sqref="Q5:Q5000">
    <cfRule type="expression" priority="2" dxfId="1" stopIfTrue="0">
      <formula>Q5="MISMATCH"</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008B6A2B"/>
    <outlinePr summaryBelow="1" summaryRight="1"/>
    <pageSetUpPr/>
  </sheetPr>
  <dimension ref="A1:N330"/>
  <sheetViews>
    <sheetView showGridLines="0" tabSelected="0" zoomScale="90" workbookViewId="0">
      <pane xSplit="3" ySplit="4" topLeftCell="D5"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16" customWidth="1" min="3" max="3"/>
    <col width="15" customWidth="1" min="4" max="4"/>
    <col width="12" customWidth="1" min="5" max="5"/>
    <col width="26" customWidth="1" min="6" max="6"/>
    <col width="14" customWidth="1" min="7" max="7"/>
    <col width="50" customWidth="1" min="8" max="8"/>
    <col width="26" customWidth="1" min="9" max="9"/>
    <col width="15" customWidth="1" min="10" max="10"/>
    <col width="11" customWidth="1" min="11" max="11"/>
    <col width="14" customWidth="1" min="12" max="12"/>
    <col width="14" customWidth="1" min="13" max="13"/>
    <col width="40" customWidth="1" min="14" max="14"/>
  </cols>
  <sheetData>
    <row r="1" ht="24" customHeight="1">
      <c r="A1" s="18" t="inlineStr">
        <is>
          <t>WIP Movements</t>
        </is>
      </c>
    </row>
    <row r="2" ht="16" customHeight="1">
      <c r="A2" s="2" t="inlineStr">
        <is>
          <t>Every journal that moves revenue between the P&amp;L and GL 11300 Work in Progress. SIGN RULE: + = revenue recognised this month (WIP balance up). - = revenue deferred out of this month (WIP balance down).</t>
        </is>
      </c>
    </row>
    <row r="3" ht="22" customHeight="1">
      <c r="A3" s="19">
        <f>"Amount  "&amp;TEXT(SUBTOTAL(109,tbl_WIP[Amount]),"$#,##0.00")</f>
        <v/>
      </c>
    </row>
    <row r="4" ht="34" customHeight="1">
      <c r="A4" s="20" t="inlineStr">
        <is>
          <t>Month</t>
        </is>
      </c>
      <c r="B4" s="21" t="inlineStr">
        <is>
          <t>Invoice Date</t>
        </is>
      </c>
      <c r="C4" s="20" t="inlineStr">
        <is>
          <t>Xero Invoice No</t>
        </is>
      </c>
      <c r="D4" s="20" t="inlineStr">
        <is>
          <t>Job Number</t>
        </is>
      </c>
      <c r="E4" s="21" t="inlineStr">
        <is>
          <t>Job in Xero?</t>
        </is>
      </c>
      <c r="F4" s="20" t="inlineStr">
        <is>
          <t>Client</t>
        </is>
      </c>
      <c r="G4" s="20" t="inlineStr">
        <is>
          <t>Cost Centre</t>
        </is>
      </c>
      <c r="H4" s="20" t="inlineStr">
        <is>
          <t>Description</t>
        </is>
      </c>
      <c r="I4" s="20" t="inlineStr">
        <is>
          <t>Type</t>
        </is>
      </c>
      <c r="J4" s="20" t="inlineStr">
        <is>
          <t>Amount</t>
        </is>
      </c>
      <c r="K4" s="20" t="inlineStr">
        <is>
          <t>GL Code</t>
        </is>
      </c>
      <c r="L4" s="20" t="inlineStr">
        <is>
          <t>Journal Ref</t>
        </is>
      </c>
      <c r="M4" s="20" t="inlineStr">
        <is>
          <t>Posted to Xero</t>
        </is>
      </c>
      <c r="N4" s="20" t="inlineStr">
        <is>
          <t>Notes</t>
        </is>
      </c>
    </row>
    <row r="5" ht="15" customHeight="1">
      <c r="A5" s="65" t="n">
        <v>46234</v>
      </c>
      <c r="B5" s="63">
        <f>IF(C5="","",IFERROR(INDEX(tbl_Finance[Date],MATCH(C5&amp;"",tbl_Finance[Xero Invoice No],0)),""))</f>
        <v/>
      </c>
      <c r="C5" s="24" t="n"/>
      <c r="D5" s="24" t="inlineStr">
        <is>
          <t>2506208</t>
        </is>
      </c>
      <c r="E5" s="25">
        <f>IF(D5="","",IF(COUNTIF(lst_Jobs,D5&amp;"")&gt;0,"OK","CHECK"))</f>
        <v/>
      </c>
      <c r="F5" s="24" t="inlineStr">
        <is>
          <t>CBA</t>
        </is>
      </c>
      <c r="G5" s="24" t="inlineStr">
        <is>
          <t>PRODUCTION</t>
        </is>
      </c>
      <c r="H5" s="24" t="inlineStr">
        <is>
          <t>CBA AGM 2026 Pre-production work at $130ph</t>
        </is>
      </c>
      <c r="I5" s="24" t="inlineStr">
        <is>
          <t>Accrual - unbilled work</t>
        </is>
      </c>
      <c r="J5" s="26" t="n">
        <v>2535</v>
      </c>
      <c r="K5" s="24" t="inlineStr">
        <is>
          <t>11300</t>
        </is>
      </c>
      <c r="L5" s="24" t="n"/>
      <c r="M5" s="24" t="inlineStr">
        <is>
          <t>Y</t>
        </is>
      </c>
      <c r="N5" s="24" t="inlineStr">
        <is>
          <t>Migrated from FY27 Revenue Tracker v2 - confirm type/sign</t>
        </is>
      </c>
    </row>
    <row r="6" ht="15" customHeight="1">
      <c r="A6" s="65" t="n">
        <v>46234</v>
      </c>
      <c r="B6" s="63">
        <f>IF(C6="","",IFERROR(INDEX(tbl_Finance[Date],MATCH(C6&amp;"",tbl_Finance[Xero Invoice No],0)),""))</f>
        <v/>
      </c>
      <c r="C6" s="24" t="n"/>
      <c r="D6" s="24" t="inlineStr">
        <is>
          <t>25070702</t>
        </is>
      </c>
      <c r="E6" s="25">
        <f>IF(D6="","",IF(COUNTIF(lst_Jobs,D6&amp;"")&gt;0,"OK","CHECK"))</f>
        <v/>
      </c>
      <c r="F6" s="24" t="inlineStr">
        <is>
          <t>APA</t>
        </is>
      </c>
      <c r="G6" s="24" t="inlineStr">
        <is>
          <t>INTEGRATION</t>
        </is>
      </c>
      <c r="H6" s="24" t="inlineStr">
        <is>
          <t>APA BNE &amp; NT Year 1/3 Inv9988 (Revenue) Sep 2025 - Aug 2026</t>
        </is>
      </c>
      <c r="I6" s="24" t="inlineStr">
        <is>
          <t>Accrual - unbilled work</t>
        </is>
      </c>
      <c r="J6" s="26" t="n">
        <v>308.16</v>
      </c>
      <c r="K6" s="24" t="inlineStr">
        <is>
          <t>11300</t>
        </is>
      </c>
      <c r="L6" s="24" t="n"/>
      <c r="M6" s="24" t="inlineStr">
        <is>
          <t>Y</t>
        </is>
      </c>
      <c r="N6" s="24" t="inlineStr">
        <is>
          <t>Migrated from FY27 Revenue Tracker v2 - confirm type/sign</t>
        </is>
      </c>
    </row>
    <row r="7" ht="15" customHeight="1">
      <c r="A7" s="65" t="n">
        <v>46234</v>
      </c>
      <c r="B7" s="63">
        <f>IF(C7="","",IFERROR(INDEX(tbl_Finance[Date],MATCH(C7&amp;"",tbl_Finance[Xero Invoice No],0)),""))</f>
        <v/>
      </c>
      <c r="C7" s="24" t="n"/>
      <c r="D7" s="24" t="inlineStr">
        <is>
          <t>3072</t>
        </is>
      </c>
      <c r="E7" s="25">
        <f>IF(D7="","",IF(COUNTIF(lst_Jobs,D7&amp;"")&gt;0,"OK","CHECK"))</f>
        <v/>
      </c>
      <c r="F7" s="24" t="inlineStr">
        <is>
          <t>APA Thomastown</t>
        </is>
      </c>
      <c r="G7" s="24" t="inlineStr">
        <is>
          <t>INTEGRATION</t>
        </is>
      </c>
      <c r="H7" s="24" t="inlineStr">
        <is>
          <t>APA Thomastown INV-10133 Year 3 Licence (January - December 2026)</t>
        </is>
      </c>
      <c r="I7" s="24" t="inlineStr">
        <is>
          <t>Accrual - unbilled work</t>
        </is>
      </c>
      <c r="J7" s="26" t="n">
        <v>1033.06</v>
      </c>
      <c r="K7" s="24" t="inlineStr">
        <is>
          <t>11300</t>
        </is>
      </c>
      <c r="L7" s="24" t="n"/>
      <c r="M7" s="24" t="inlineStr">
        <is>
          <t>Y</t>
        </is>
      </c>
      <c r="N7" s="24" t="inlineStr">
        <is>
          <t>Migrated from FY27 Revenue Tracker v2 - confirm type/sign</t>
        </is>
      </c>
    </row>
    <row r="8" ht="15" customHeight="1">
      <c r="A8" s="65" t="n">
        <v>46234</v>
      </c>
      <c r="B8" s="63">
        <f>IF(C8="","",IFERROR(INDEX(tbl_Finance[Date],MATCH(C8&amp;"",tbl_Finance[Xero Invoice No],0)),""))</f>
        <v/>
      </c>
      <c r="C8" s="24" t="n"/>
      <c r="D8" s="24" t="inlineStr">
        <is>
          <t>2519</t>
        </is>
      </c>
      <c r="E8" s="25">
        <f>IF(D8="","",IF(COUNTIF(lst_Jobs,D8&amp;"")&gt;0,"OK","CHECK"))</f>
        <v/>
      </c>
      <c r="F8" s="24" t="inlineStr">
        <is>
          <t>NSW Property</t>
        </is>
      </c>
      <c r="G8" s="24" t="inlineStr">
        <is>
          <t>INTEGRATION</t>
        </is>
      </c>
      <c r="H8" s="24" t="inlineStr">
        <is>
          <t>NSW Property 6PSQ Multi-Tennant Year 4 INV 10162 Revenue (November - October 2026)</t>
        </is>
      </c>
      <c r="I8" s="24" t="inlineStr">
        <is>
          <t>Accrual - unbilled work</t>
        </is>
      </c>
      <c r="J8" s="26" t="n">
        <v>929.33</v>
      </c>
      <c r="K8" s="24" t="inlineStr">
        <is>
          <t>11300</t>
        </is>
      </c>
      <c r="L8" s="24" t="n"/>
      <c r="M8" s="24" t="inlineStr">
        <is>
          <t>Y</t>
        </is>
      </c>
      <c r="N8" s="24" t="inlineStr">
        <is>
          <t>Migrated from FY27 Revenue Tracker v2 - confirm type/sign</t>
        </is>
      </c>
    </row>
    <row r="9" ht="15" customHeight="1">
      <c r="A9" s="65" t="n">
        <v>46234</v>
      </c>
      <c r="B9" s="63">
        <f>IF(C9="","",IFERROR(INDEX(tbl_Finance[Date],MATCH(C9&amp;"",tbl_Finance[Xero Invoice No],0)),""))</f>
        <v/>
      </c>
      <c r="C9" s="24" t="n"/>
      <c r="D9" s="24" t="inlineStr">
        <is>
          <t>2510804</t>
        </is>
      </c>
      <c r="E9" s="25">
        <f>IF(D9="","",IF(COUNTIF(lst_Jobs,D9&amp;"")&gt;0,"OK","CHECK"))</f>
        <v/>
      </c>
      <c r="F9" s="24" t="inlineStr">
        <is>
          <t>Presynct</t>
        </is>
      </c>
      <c r="G9" s="24" t="inlineStr">
        <is>
          <t>INTEGRATION</t>
        </is>
      </c>
      <c r="H9" s="24" t="inlineStr">
        <is>
          <t>Presynct - QLD - Condeco Desk Booking System INV 10199 Revenue (Nov 2025 - Oct 2025)</t>
        </is>
      </c>
      <c r="I9" s="24" t="inlineStr">
        <is>
          <t>Accrual - unbilled work</t>
        </is>
      </c>
      <c r="J9" s="26" t="n">
        <v>439.33</v>
      </c>
      <c r="K9" s="24" t="inlineStr">
        <is>
          <t>11300</t>
        </is>
      </c>
      <c r="L9" s="24" t="n"/>
      <c r="M9" s="24" t="inlineStr">
        <is>
          <t>Y</t>
        </is>
      </c>
      <c r="N9" s="24" t="inlineStr">
        <is>
          <t>Migrated from FY27 Revenue Tracker v2 - confirm type/sign</t>
        </is>
      </c>
    </row>
    <row r="10" ht="15" customHeight="1">
      <c r="A10" s="65" t="n">
        <v>46234</v>
      </c>
      <c r="B10" s="63">
        <f>IF(C10="","",IFERROR(INDEX(tbl_Finance[Date],MATCH(C10&amp;"",tbl_Finance[Xero Invoice No],0)),""))</f>
        <v/>
      </c>
      <c r="C10" s="24" t="n"/>
      <c r="D10" s="24" t="inlineStr">
        <is>
          <t>2719</t>
        </is>
      </c>
      <c r="E10" s="25">
        <f>IF(D10="","",IF(COUNTIF(lst_Jobs,D10&amp;"")&gt;0,"OK","CHECK"))</f>
        <v/>
      </c>
      <c r="F10" s="24" t="inlineStr">
        <is>
          <t>NSW Property</t>
        </is>
      </c>
      <c r="G10" s="24" t="inlineStr">
        <is>
          <t>INTEGRATION</t>
        </is>
      </c>
      <c r="H10" s="24" t="inlineStr">
        <is>
          <t>NSW Property GSP Proxyclick INV 10176 Revenue (Dec 2025 - Nov 2026)</t>
        </is>
      </c>
      <c r="I10" s="24" t="inlineStr">
        <is>
          <t>Accrual - unbilled work</t>
        </is>
      </c>
      <c r="J10" s="26" t="n">
        <v>381.15</v>
      </c>
      <c r="K10" s="24" t="inlineStr">
        <is>
          <t>11300</t>
        </is>
      </c>
      <c r="L10" s="24" t="n"/>
      <c r="M10" s="24" t="inlineStr">
        <is>
          <t>Y</t>
        </is>
      </c>
      <c r="N10" s="24" t="inlineStr">
        <is>
          <t>Migrated from FY27 Revenue Tracker v2 - confirm type/sign</t>
        </is>
      </c>
    </row>
    <row r="11" ht="15" customHeight="1">
      <c r="A11" s="65" t="n">
        <v>46234</v>
      </c>
      <c r="B11" s="63">
        <f>IF(C11="","",IFERROR(INDEX(tbl_Finance[Date],MATCH(C11&amp;"",tbl_Finance[Xero Invoice No],0)),""))</f>
        <v/>
      </c>
      <c r="C11" s="24" t="n"/>
      <c r="D11" s="24" t="inlineStr">
        <is>
          <t>2834</t>
        </is>
      </c>
      <c r="E11" s="25">
        <f>IF(D11="","",IF(COUNTIF(lst_Jobs,D11&amp;"")&gt;0,"OK","CHECK"))</f>
        <v/>
      </c>
      <c r="F11" s="24" t="inlineStr">
        <is>
          <t>APA</t>
        </is>
      </c>
      <c r="G11" s="24" t="inlineStr">
        <is>
          <t>INTEGRATION</t>
        </is>
      </c>
      <c r="H11" s="24" t="inlineStr">
        <is>
          <t>APA Young Year 4 INV-10280 Revenue (Mar 2026 - Feb 2027)</t>
        </is>
      </c>
      <c r="I11" s="24" t="inlineStr">
        <is>
          <t>Accrual - unbilled work</t>
        </is>
      </c>
      <c r="J11" s="26" t="n">
        <v>312.9</v>
      </c>
      <c r="K11" s="24" t="inlineStr">
        <is>
          <t>11300</t>
        </is>
      </c>
      <c r="L11" s="24" t="n"/>
      <c r="M11" s="24" t="inlineStr">
        <is>
          <t>Y</t>
        </is>
      </c>
      <c r="N11" s="24" t="inlineStr">
        <is>
          <t>Migrated from FY27 Revenue Tracker v2 - confirm type/sign</t>
        </is>
      </c>
    </row>
    <row r="12" ht="15" customHeight="1">
      <c r="A12" s="65" t="n">
        <v>46234</v>
      </c>
      <c r="B12" s="63">
        <f>IF(C12="","",IFERROR(INDEX(tbl_Finance[Date],MATCH(C12&amp;"",tbl_Finance[Xero Invoice No],0)),""))</f>
        <v/>
      </c>
      <c r="C12" s="24" t="n"/>
      <c r="D12" s="24" t="inlineStr">
        <is>
          <t>3027</t>
        </is>
      </c>
      <c r="E12" s="25">
        <f>IF(D12="","",IF(COUNTIF(lst_Jobs,D12&amp;"")&gt;0,"OK","CHECK"))</f>
        <v/>
      </c>
      <c r="F12" s="24" t="inlineStr">
        <is>
          <t>NSW Property</t>
        </is>
      </c>
      <c r="G12" s="24" t="inlineStr">
        <is>
          <t>INTEGRATION</t>
        </is>
      </c>
      <c r="H12" s="24" t="inlineStr">
        <is>
          <t>NSW Property  - 231 Eliz L13 Touchdown - Condeco Desk Booking System (INV10391 Revenue)</t>
        </is>
      </c>
      <c r="I12" s="24" t="inlineStr">
        <is>
          <t>Accrual - unbilled work</t>
        </is>
      </c>
      <c r="J12" s="26" t="n">
        <v>721.7</v>
      </c>
      <c r="K12" s="24" t="inlineStr">
        <is>
          <t>11300</t>
        </is>
      </c>
      <c r="L12" s="24" t="n"/>
      <c r="M12" s="24" t="inlineStr">
        <is>
          <t>Y</t>
        </is>
      </c>
      <c r="N12" s="24" t="inlineStr">
        <is>
          <t>Migrated from FY27 Revenue Tracker v2 - confirm type/sign</t>
        </is>
      </c>
    </row>
    <row r="13" ht="15" customHeight="1">
      <c r="A13" s="65" t="n">
        <v>46234</v>
      </c>
      <c r="B13" s="63">
        <f>IF(C13="","",IFERROR(INDEX(tbl_Finance[Date],MATCH(C13&amp;"",tbl_Finance[Xero Invoice No],0)),""))</f>
        <v/>
      </c>
      <c r="C13" s="24" t="n"/>
      <c r="D13" s="24" t="inlineStr">
        <is>
          <t>3027</t>
        </is>
      </c>
      <c r="E13" s="25">
        <f>IF(D13="","",IF(COUNTIF(lst_Jobs,D13&amp;"")&gt;0,"OK","CHECK"))</f>
        <v/>
      </c>
      <c r="F13" s="24" t="inlineStr">
        <is>
          <t>NSW Property</t>
        </is>
      </c>
      <c r="G13" s="24" t="inlineStr">
        <is>
          <t>INTEGRATION</t>
        </is>
      </c>
      <c r="H13" s="24" t="inlineStr">
        <is>
          <t>NSW Property - 231 Eliz Workplace L1 (INV10392 Revenue)</t>
        </is>
      </c>
      <c r="I13" s="24" t="inlineStr">
        <is>
          <t>Accrual - unbilled work</t>
        </is>
      </c>
      <c r="J13" s="26" t="n">
        <v>876.35</v>
      </c>
      <c r="K13" s="24" t="inlineStr">
        <is>
          <t>11300</t>
        </is>
      </c>
      <c r="L13" s="24" t="n"/>
      <c r="M13" s="24" t="inlineStr">
        <is>
          <t>Y</t>
        </is>
      </c>
      <c r="N13" s="24" t="inlineStr">
        <is>
          <t>Migrated from FY27 Revenue Tracker v2 - confirm type/sign</t>
        </is>
      </c>
    </row>
    <row r="14" ht="15" customHeight="1">
      <c r="A14" s="65" t="n">
        <v>46234</v>
      </c>
      <c r="B14" s="63">
        <f>IF(C14="","",IFERROR(INDEX(tbl_Finance[Date],MATCH(C14&amp;"",tbl_Finance[Xero Invoice No],0)),""))</f>
        <v/>
      </c>
      <c r="C14" s="24" t="n"/>
      <c r="D14" s="24" t="inlineStr">
        <is>
          <t>25060301</t>
        </is>
      </c>
      <c r="E14" s="25">
        <f>IF(D14="","",IF(COUNTIF(lst_Jobs,D14&amp;"")&gt;0,"OK","CHECK"))</f>
        <v/>
      </c>
      <c r="F14" s="24" t="inlineStr">
        <is>
          <t>NSW Property</t>
        </is>
      </c>
      <c r="G14" s="24" t="inlineStr">
        <is>
          <t>INTEGRATION</t>
        </is>
      </c>
      <c r="H14" s="24" t="inlineStr">
        <is>
          <t>NSW Property - 6PSQ Workplace L12 Hub (INV10393 Revenue)</t>
        </is>
      </c>
      <c r="I14" s="24" t="inlineStr">
        <is>
          <t>Accrual - unbilled work</t>
        </is>
      </c>
      <c r="J14" s="26" t="n">
        <v>2964.14</v>
      </c>
      <c r="K14" s="24" t="inlineStr">
        <is>
          <t>11300</t>
        </is>
      </c>
      <c r="L14" s="24" t="n"/>
      <c r="M14" s="24" t="inlineStr">
        <is>
          <t>Y</t>
        </is>
      </c>
      <c r="N14" s="24" t="inlineStr">
        <is>
          <t>Migrated from FY27 Revenue Tracker v2 - confirm type/sign</t>
        </is>
      </c>
    </row>
    <row r="15" ht="15" customHeight="1">
      <c r="A15" s="65" t="n">
        <v>46234</v>
      </c>
      <c r="B15" s="63">
        <f>IF(C15="","",IFERROR(INDEX(tbl_Finance[Date],MATCH(C15&amp;"",tbl_Finance[Xero Invoice No],0)),""))</f>
        <v/>
      </c>
      <c r="C15" s="24" t="n"/>
      <c r="D15" s="24" t="inlineStr">
        <is>
          <t>2519</t>
        </is>
      </c>
      <c r="E15" s="25">
        <f>IF(D15="","",IF(COUNTIF(lst_Jobs,D15&amp;"")&gt;0,"OK","CHECK"))</f>
        <v/>
      </c>
      <c r="F15" s="24" t="inlineStr">
        <is>
          <t>NSW Property</t>
        </is>
      </c>
      <c r="G15" s="24" t="inlineStr">
        <is>
          <t>INTEGRATION</t>
        </is>
      </c>
      <c r="H15" s="24" t="inlineStr">
        <is>
          <t>NSW Property - 6PSQ L11 Touchdown (INV10394 Revenue)</t>
        </is>
      </c>
      <c r="I15" s="24" t="inlineStr">
        <is>
          <t>Accrual - unbilled work</t>
        </is>
      </c>
      <c r="J15" s="26" t="n">
        <v>799.03</v>
      </c>
      <c r="K15" s="24" t="inlineStr">
        <is>
          <t>11300</t>
        </is>
      </c>
      <c r="L15" s="24" t="n"/>
      <c r="M15" s="24" t="inlineStr">
        <is>
          <t>Y</t>
        </is>
      </c>
      <c r="N15" s="24" t="inlineStr">
        <is>
          <t>Migrated from FY27 Revenue Tracker v2 - confirm type/sign</t>
        </is>
      </c>
    </row>
    <row r="16" ht="15" customHeight="1">
      <c r="A16" s="65" t="n">
        <v>46234</v>
      </c>
      <c r="B16" s="63">
        <f>IF(C16="","",IFERROR(INDEX(tbl_Finance[Date],MATCH(C16&amp;"",tbl_Finance[Xero Invoice No],0)),""))</f>
        <v/>
      </c>
      <c r="C16" s="24" t="n"/>
      <c r="D16" s="24" t="inlineStr">
        <is>
          <t>3068</t>
        </is>
      </c>
      <c r="E16" s="25">
        <f>IF(D16="","",IF(COUNTIF(lst_Jobs,D16&amp;"")&gt;0,"OK","CHECK"))</f>
        <v/>
      </c>
      <c r="F16" s="24" t="inlineStr">
        <is>
          <t>NSW Property</t>
        </is>
      </c>
      <c r="G16" s="24" t="inlineStr">
        <is>
          <t>INTEGRATION</t>
        </is>
      </c>
      <c r="H16" s="24" t="inlineStr">
        <is>
          <t>NSW Property  – Penrith 50 Belmore St – Workplace Hub (INV10395 Revenue)</t>
        </is>
      </c>
      <c r="I16" s="24" t="inlineStr">
        <is>
          <t>Accrual - unbilled work</t>
        </is>
      </c>
      <c r="J16" s="26" t="n">
        <v>154.65</v>
      </c>
      <c r="K16" s="24" t="inlineStr">
        <is>
          <t>11300</t>
        </is>
      </c>
      <c r="L16" s="24" t="n"/>
      <c r="M16" s="24" t="inlineStr">
        <is>
          <t>Y</t>
        </is>
      </c>
      <c r="N16" s="24" t="inlineStr">
        <is>
          <t>Migrated from FY27 Revenue Tracker v2 - confirm type/sign</t>
        </is>
      </c>
    </row>
    <row r="17" ht="15" customHeight="1">
      <c r="A17" s="65" t="n">
        <v>46234</v>
      </c>
      <c r="B17" s="63">
        <f>IF(C17="","",IFERROR(INDEX(tbl_Finance[Date],MATCH(C17&amp;"",tbl_Finance[Xero Invoice No],0)),""))</f>
        <v/>
      </c>
      <c r="C17" s="24" t="n"/>
      <c r="D17" s="24" t="inlineStr">
        <is>
          <t>25051302</t>
        </is>
      </c>
      <c r="E17" s="25">
        <f>IF(D17="","",IF(COUNTIF(lst_Jobs,D17&amp;"")&gt;0,"OK","CHECK"))</f>
        <v/>
      </c>
      <c r="F17" s="24" t="inlineStr">
        <is>
          <t>NSW Property</t>
        </is>
      </c>
      <c r="G17" s="24" t="inlineStr">
        <is>
          <t>INTEGRATION</t>
        </is>
      </c>
      <c r="H17" s="24" t="inlineStr">
        <is>
          <t>NSW Property - Penrith BDA (INV10396)</t>
        </is>
      </c>
      <c r="I17" s="24" t="inlineStr">
        <is>
          <t>Accrual - unbilled work</t>
        </is>
      </c>
      <c r="J17" s="26" t="n">
        <v>1494.96</v>
      </c>
      <c r="K17" s="24" t="inlineStr">
        <is>
          <t>11300</t>
        </is>
      </c>
      <c r="L17" s="24" t="n"/>
      <c r="M17" s="24" t="inlineStr">
        <is>
          <t>Y</t>
        </is>
      </c>
      <c r="N17" s="24" t="inlineStr">
        <is>
          <t>Migrated from FY27 Revenue Tracker v2 - confirm type/sign</t>
        </is>
      </c>
    </row>
    <row r="18" ht="15" customHeight="1">
      <c r="A18" s="65" t="n">
        <v>46234</v>
      </c>
      <c r="B18" s="63">
        <f>IF(C18="","",IFERROR(INDEX(tbl_Finance[Date],MATCH(C18&amp;"",tbl_Finance[Xero Invoice No],0)),""))</f>
        <v/>
      </c>
      <c r="C18" s="24" t="n"/>
      <c r="D18" s="24" t="inlineStr">
        <is>
          <t>25060307</t>
        </is>
      </c>
      <c r="E18" s="25">
        <f>IF(D18="","",IF(COUNTIF(lst_Jobs,D18&amp;"")&gt;0,"OK","CHECK"))</f>
        <v/>
      </c>
      <c r="F18" s="24" t="inlineStr">
        <is>
          <t>NSW Property</t>
        </is>
      </c>
      <c r="G18" s="24" t="inlineStr">
        <is>
          <t>INTEGRATION</t>
        </is>
      </c>
      <c r="H18" s="24" t="inlineStr">
        <is>
          <t>NSW Property - RA Molesworth St (INV10397 Revenue)</t>
        </is>
      </c>
      <c r="I18" s="24" t="inlineStr">
        <is>
          <t>Accrual - unbilled work</t>
        </is>
      </c>
      <c r="J18" s="26" t="n">
        <v>786.14</v>
      </c>
      <c r="K18" s="24" t="inlineStr">
        <is>
          <t>11300</t>
        </is>
      </c>
      <c r="L18" s="24" t="n"/>
      <c r="M18" s="24" t="inlineStr">
        <is>
          <t>Y</t>
        </is>
      </c>
      <c r="N18" s="24" t="inlineStr">
        <is>
          <t>Migrated from FY27 Revenue Tracker v2 - confirm type/sign</t>
        </is>
      </c>
    </row>
    <row r="19" ht="15" customHeight="1">
      <c r="A19" s="65" t="n">
        <v>46234</v>
      </c>
      <c r="B19" s="63">
        <f>IF(C19="","",IFERROR(INDEX(tbl_Finance[Date],MATCH(C19&amp;"",tbl_Finance[Xero Invoice No],0)),""))</f>
        <v/>
      </c>
      <c r="C19" s="24" t="n"/>
      <c r="D19" s="24" t="inlineStr">
        <is>
          <t>2510805</t>
        </is>
      </c>
      <c r="E19" s="25">
        <f>IF(D19="","",IF(COUNTIF(lst_Jobs,D19&amp;"")&gt;0,"OK","CHECK"))</f>
        <v/>
      </c>
      <c r="F19" s="24" t="inlineStr">
        <is>
          <t>NSW Property</t>
        </is>
      </c>
      <c r="G19" s="24" t="inlineStr">
        <is>
          <t>INTEGRATION</t>
        </is>
      </c>
      <c r="H19" s="24" t="inlineStr">
        <is>
          <t>NSW Property - RA Newcastle Bellvue (INV10398 Revenue)</t>
        </is>
      </c>
      <c r="I19" s="24" t="inlineStr">
        <is>
          <t>Accrual - unbilled work</t>
        </is>
      </c>
      <c r="J19" s="26" t="n">
        <v>270.64</v>
      </c>
      <c r="K19" s="24" t="inlineStr">
        <is>
          <t>11300</t>
        </is>
      </c>
      <c r="L19" s="24" t="n"/>
      <c r="M19" s="24" t="inlineStr">
        <is>
          <t>Y</t>
        </is>
      </c>
      <c r="N19" s="24" t="inlineStr">
        <is>
          <t>Migrated from FY27 Revenue Tracker v2 - confirm type/sign</t>
        </is>
      </c>
    </row>
    <row r="20" ht="15" customHeight="1">
      <c r="A20" s="65" t="n">
        <v>46234</v>
      </c>
      <c r="B20" s="63">
        <f>IF(C20="","",IFERROR(INDEX(tbl_Finance[Date],MATCH(C20&amp;"",tbl_Finance[Xero Invoice No],0)),""))</f>
        <v/>
      </c>
      <c r="C20" s="24" t="n"/>
      <c r="D20" s="24" t="inlineStr">
        <is>
          <t>2603202</t>
        </is>
      </c>
      <c r="E20" s="25">
        <f>IF(D20="","",IF(COUNTIF(lst_Jobs,D20&amp;"")&gt;0,"OK","CHECK"))</f>
        <v/>
      </c>
      <c r="F20" s="24" t="inlineStr">
        <is>
          <t>NSW Property</t>
        </is>
      </c>
      <c r="G20" s="24" t="inlineStr">
        <is>
          <t>INTEGRATION</t>
        </is>
      </c>
      <c r="H20" s="24" t="inlineStr">
        <is>
          <t>NSW Property - 5 O’Keefe Ave Nowra Workplace Hub (INV10399 Revenue)</t>
        </is>
      </c>
      <c r="I20" s="24" t="inlineStr">
        <is>
          <t>Accrual - unbilled work</t>
        </is>
      </c>
      <c r="J20" s="26" t="n">
        <v>2242.44</v>
      </c>
      <c r="K20" s="24" t="inlineStr">
        <is>
          <t>11300</t>
        </is>
      </c>
      <c r="L20" s="24" t="n"/>
      <c r="M20" s="24" t="inlineStr">
        <is>
          <t>Y</t>
        </is>
      </c>
      <c r="N20" s="24" t="inlineStr">
        <is>
          <t>Migrated from FY27 Revenue Tracker v2 - confirm type/sign</t>
        </is>
      </c>
    </row>
    <row r="21" ht="15" customHeight="1">
      <c r="A21" s="65" t="n">
        <v>46234</v>
      </c>
      <c r="B21" s="63">
        <f>IF(C21="","",IFERROR(INDEX(tbl_Finance[Date],MATCH(C21&amp;"",tbl_Finance[Xero Invoice No],0)),""))</f>
        <v/>
      </c>
      <c r="C21" s="24" t="n"/>
      <c r="D21" s="24" t="inlineStr">
        <is>
          <t>25041502</t>
        </is>
      </c>
      <c r="E21" s="25">
        <f>IF(D21="","",IF(COUNTIF(lst_Jobs,D21&amp;"")&gt;0,"OK","CHECK"))</f>
        <v/>
      </c>
      <c r="F21" s="24" t="inlineStr">
        <is>
          <t>NSW Property</t>
        </is>
      </c>
      <c r="G21" s="24" t="inlineStr">
        <is>
          <t>INTEGRATION</t>
        </is>
      </c>
      <c r="H21" s="24" t="inlineStr">
        <is>
          <t>NSW Property -  Maitland 510-516 High St WP Services (INV10400 Revenue)</t>
        </is>
      </c>
      <c r="I21" s="24" t="inlineStr">
        <is>
          <t>Accrual - unbilled work</t>
        </is>
      </c>
      <c r="J21" s="26" t="n">
        <v>3041.47</v>
      </c>
      <c r="K21" s="24" t="inlineStr">
        <is>
          <t>11300</t>
        </is>
      </c>
      <c r="L21" s="24" t="n"/>
      <c r="M21" s="24" t="inlineStr">
        <is>
          <t>Y</t>
        </is>
      </c>
      <c r="N21" s="24" t="inlineStr">
        <is>
          <t>Migrated from FY27 Revenue Tracker v2 - confirm type/sign</t>
        </is>
      </c>
    </row>
    <row r="22" ht="15" customHeight="1">
      <c r="A22" s="65" t="n">
        <v>46234</v>
      </c>
      <c r="B22" s="63">
        <f>IF(C22="","",IFERROR(INDEX(tbl_Finance[Date],MATCH(C22&amp;"",tbl_Finance[Xero Invoice No],0)),""))</f>
        <v/>
      </c>
      <c r="C22" s="24" t="n"/>
      <c r="D22" s="24" t="inlineStr">
        <is>
          <t>3068</t>
        </is>
      </c>
      <c r="E22" s="25">
        <f>IF(D22="","",IF(COUNTIF(lst_Jobs,D22&amp;"")&gt;0,"OK","CHECK"))</f>
        <v/>
      </c>
      <c r="F22" s="24" t="inlineStr">
        <is>
          <t>NSW Property</t>
        </is>
      </c>
      <c r="G22" s="24" t="inlineStr">
        <is>
          <t>INTEGRATION</t>
        </is>
      </c>
      <c r="H22" s="24" t="inlineStr">
        <is>
          <t>NSW Property -  252 Pitt St Parkline Workplace Hub (INV10401 Revenue)</t>
        </is>
      </c>
      <c r="I22" s="24" t="inlineStr">
        <is>
          <t>Accrual - unbilled work</t>
        </is>
      </c>
      <c r="J22" s="26" t="n">
        <v>4085.36</v>
      </c>
      <c r="K22" s="24" t="inlineStr">
        <is>
          <t>11300</t>
        </is>
      </c>
      <c r="L22" s="24" t="n"/>
      <c r="M22" s="24" t="inlineStr">
        <is>
          <t>Y</t>
        </is>
      </c>
      <c r="N22" s="24" t="inlineStr">
        <is>
          <t>Migrated from FY27 Revenue Tracker v2 - confirm type/sign</t>
        </is>
      </c>
    </row>
    <row r="23" ht="15" customHeight="1">
      <c r="A23" s="65" t="n">
        <v>46234</v>
      </c>
      <c r="B23" s="63">
        <f>IF(C23="","",IFERROR(INDEX(tbl_Finance[Date],MATCH(C23&amp;"",tbl_Finance[Xero Invoice No],0)),""))</f>
        <v/>
      </c>
      <c r="C23" s="24" t="n"/>
      <c r="D23" s="24" t="inlineStr">
        <is>
          <t>2510205</t>
        </is>
      </c>
      <c r="E23" s="25">
        <f>IF(D23="","",IF(COUNTIF(lst_Jobs,D23&amp;"")&gt;0,"OK","CHECK"))</f>
        <v/>
      </c>
      <c r="F23" s="24" t="inlineStr">
        <is>
          <t>NSW Property</t>
        </is>
      </c>
      <c r="G23" s="24" t="inlineStr">
        <is>
          <t>INTEGRATION</t>
        </is>
      </c>
      <c r="H23" s="24" t="inlineStr">
        <is>
          <t>NSW Property - Sydney 1 Prince Albert Workplace Hub (INV10412 Revenue)</t>
        </is>
      </c>
      <c r="I23" s="24" t="inlineStr">
        <is>
          <t>Accrual - unbilled work</t>
        </is>
      </c>
      <c r="J23" s="26" t="n">
        <v>1868.7</v>
      </c>
      <c r="K23" s="24" t="inlineStr">
        <is>
          <t>11300</t>
        </is>
      </c>
      <c r="L23" s="24" t="n"/>
      <c r="M23" s="24" t="inlineStr">
        <is>
          <t>Y</t>
        </is>
      </c>
      <c r="N23" s="24" t="inlineStr">
        <is>
          <t>Migrated from FY27 Revenue Tracker v2 - confirm type/sign</t>
        </is>
      </c>
    </row>
    <row r="24" ht="15" customHeight="1">
      <c r="A24" s="65" t="n">
        <v>46234</v>
      </c>
      <c r="B24" s="63">
        <f>IF(C24="","",IFERROR(INDEX(tbl_Finance[Date],MATCH(C24&amp;"",tbl_Finance[Xero Invoice No],0)),""))</f>
        <v/>
      </c>
      <c r="C24" s="24" t="n"/>
      <c r="D24" s="24" t="inlineStr">
        <is>
          <t>26043001</t>
        </is>
      </c>
      <c r="E24" s="25">
        <f>IF(D24="","",IF(COUNTIF(lst_Jobs,D24&amp;"")&gt;0,"OK","CHECK"))</f>
        <v/>
      </c>
      <c r="F24" s="24" t="inlineStr">
        <is>
          <t>CBA</t>
        </is>
      </c>
      <c r="G24" s="24" t="inlineStr">
        <is>
          <t>ONSITE</t>
        </is>
      </c>
      <c r="H24" s="24" t="inlineStr">
        <is>
          <t>CBA Melbourne Half of May 2026 not invoiced yet (Invoiced in June)</t>
        </is>
      </c>
      <c r="I24" s="24" t="inlineStr">
        <is>
          <t>Deferral - invoiced in advance</t>
        </is>
      </c>
      <c r="J24" s="26" t="n">
        <v>-5950</v>
      </c>
      <c r="K24" s="24" t="inlineStr">
        <is>
          <t>11300</t>
        </is>
      </c>
      <c r="L24" s="24" t="n"/>
      <c r="M24" s="24" t="inlineStr">
        <is>
          <t>Y</t>
        </is>
      </c>
      <c r="N24" s="24" t="inlineStr">
        <is>
          <t>Migrated from FY27 Revenue Tracker v2 - confirm type/sign</t>
        </is>
      </c>
    </row>
    <row r="25" ht="15" customHeight="1">
      <c r="A25" s="65" t="n">
        <v>46234</v>
      </c>
      <c r="B25" s="63">
        <f>IF(C25="","",IFERROR(INDEX(tbl_Finance[Date],MATCH(C25&amp;"",tbl_Finance[Xero Invoice No],0)),""))</f>
        <v/>
      </c>
      <c r="C25" s="24" t="n"/>
      <c r="D25" s="24" t="inlineStr">
        <is>
          <t>2604704</t>
        </is>
      </c>
      <c r="E25" s="25">
        <f>IF(D25="","",IF(COUNTIF(lst_Jobs,D25&amp;"")&gt;0,"OK","CHECK"))</f>
        <v/>
      </c>
      <c r="F25" s="24" t="inlineStr">
        <is>
          <t>Aware Super</t>
        </is>
      </c>
      <c r="G25" s="24" t="inlineStr">
        <is>
          <t>INTEGRATION</t>
        </is>
      </c>
      <c r="H25" s="24" t="inlineStr">
        <is>
          <t>Aware Super Seminar Room Audio Upgrade [INT] Revenue</t>
        </is>
      </c>
      <c r="I25" s="24" t="inlineStr">
        <is>
          <t>Accrual - unbilled work</t>
        </is>
      </c>
      <c r="J25" s="26" t="n">
        <v>1821.25</v>
      </c>
      <c r="K25" s="24" t="inlineStr">
        <is>
          <t>11300</t>
        </is>
      </c>
      <c r="L25" s="24" t="n"/>
      <c r="M25" s="24" t="inlineStr">
        <is>
          <t>Y</t>
        </is>
      </c>
      <c r="N25" s="24" t="inlineStr">
        <is>
          <t>Migrated from FY27 Revenue Tracker v2 - confirm type/sign</t>
        </is>
      </c>
    </row>
    <row r="26" ht="15" customHeight="1">
      <c r="A26" s="65" t="n">
        <v>46234</v>
      </c>
      <c r="B26" s="63">
        <f>IF(C26="","",IFERROR(INDEX(tbl_Finance[Date],MATCH(C26&amp;"",tbl_Finance[Xero Invoice No],0)),""))</f>
        <v/>
      </c>
      <c r="C26" s="24" t="n"/>
      <c r="D26" s="24" t="inlineStr">
        <is>
          <t>3028</t>
        </is>
      </c>
      <c r="E26" s="25">
        <f>IF(D26="","",IF(COUNTIF(lst_Jobs,D26&amp;"")&gt;0,"OK","CHECK"))</f>
        <v/>
      </c>
      <c r="F26" s="24" t="inlineStr">
        <is>
          <t>APA</t>
        </is>
      </c>
      <c r="G26" s="24" t="inlineStr">
        <is>
          <t>INTEGRATION</t>
        </is>
      </c>
      <c r="H26" s="24" t="inlineStr">
        <is>
          <t>APA Kidman Proxyclick Term 3 Jun26-Dec26 INV-10477 (Revenue)</t>
        </is>
      </c>
      <c r="I26" s="24" t="inlineStr">
        <is>
          <t>Accrual - unbilled work</t>
        </is>
      </c>
      <c r="J26" s="26" t="n">
        <v>996.74</v>
      </c>
      <c r="K26" s="24" t="inlineStr">
        <is>
          <t>11300</t>
        </is>
      </c>
      <c r="L26" s="24" t="n"/>
      <c r="M26" s="24" t="inlineStr">
        <is>
          <t>Y</t>
        </is>
      </c>
      <c r="N26" s="24" t="inlineStr">
        <is>
          <t>Migrated from FY27 Revenue Tracker v2 - confirm type/sign</t>
        </is>
      </c>
    </row>
    <row r="27" ht="15" customHeight="1">
      <c r="A27" s="65" t="n">
        <v>46234</v>
      </c>
      <c r="B27" s="63">
        <f>IF(C27="","",IFERROR(INDEX(tbl_Finance[Date],MATCH(C27&amp;"",tbl_Finance[Xero Invoice No],0)),""))</f>
        <v/>
      </c>
      <c r="C27" s="24" t="n"/>
      <c r="D27" s="24" t="inlineStr">
        <is>
          <t>2855</t>
        </is>
      </c>
      <c r="E27" s="25">
        <f>IF(D27="","",IF(COUNTIF(lst_Jobs,D27&amp;"")&gt;0,"OK","CHECK"))</f>
        <v/>
      </c>
      <c r="F27" s="24" t="inlineStr">
        <is>
          <t>APA</t>
        </is>
      </c>
      <c r="G27" s="24" t="inlineStr">
        <is>
          <t>INTEGRATION</t>
        </is>
      </c>
      <c r="H27" s="24" t="inlineStr">
        <is>
          <t>APA Melbourne Proxyclick Jul26-Jun27 INV-10501(Revenue)</t>
        </is>
      </c>
      <c r="I27" s="24" t="inlineStr">
        <is>
          <t>Accrual - unbilled work</t>
        </is>
      </c>
      <c r="J27" s="26" t="n">
        <v>1357.33</v>
      </c>
      <c r="K27" s="24" t="inlineStr">
        <is>
          <t>11300</t>
        </is>
      </c>
      <c r="L27" s="24" t="n"/>
      <c r="M27" s="24" t="inlineStr">
        <is>
          <t>Y</t>
        </is>
      </c>
      <c r="N27" s="24" t="inlineStr">
        <is>
          <t>Migrated from FY27 Revenue Tracker v2 - confirm type/sign</t>
        </is>
      </c>
    </row>
    <row r="28" ht="15" customHeight="1">
      <c r="A28" s="65" t="n">
        <v>46234</v>
      </c>
      <c r="B28" s="63">
        <f>IF(C28="","",IFERROR(INDEX(tbl_Finance[Date],MATCH(C28&amp;"",tbl_Finance[Xero Invoice No],0)),""))</f>
        <v/>
      </c>
      <c r="C28" s="24" t="n"/>
      <c r="D28" s="24" t="inlineStr">
        <is>
          <t>2857</t>
        </is>
      </c>
      <c r="E28" s="25">
        <f>IF(D28="","",IF(COUNTIF(lst_Jobs,D28&amp;"")&gt;0,"OK","CHECK"))</f>
        <v/>
      </c>
      <c r="F28" s="24" t="inlineStr">
        <is>
          <t>APA</t>
        </is>
      </c>
      <c r="G28" s="24" t="inlineStr">
        <is>
          <t>INTEGRATION</t>
        </is>
      </c>
      <c r="H28" s="24" t="inlineStr">
        <is>
          <t>APA Sydney Proxyclick Jul26-Jun27 INV-10502(Revenue)</t>
        </is>
      </c>
      <c r="I28" s="24" t="inlineStr">
        <is>
          <t>Accrual - unbilled work</t>
        </is>
      </c>
      <c r="J28" s="26" t="n">
        <v>1357.33</v>
      </c>
      <c r="K28" s="24" t="inlineStr">
        <is>
          <t>11300</t>
        </is>
      </c>
      <c r="L28" s="24" t="n"/>
      <c r="M28" s="24" t="inlineStr">
        <is>
          <t>Y</t>
        </is>
      </c>
      <c r="N28" s="24" t="inlineStr">
        <is>
          <t>Migrated from FY27 Revenue Tracker v2 - confirm type/sign</t>
        </is>
      </c>
    </row>
    <row r="29" ht="15" customHeight="1">
      <c r="A29" s="65" t="n">
        <v>46234</v>
      </c>
      <c r="B29" s="63">
        <f>IF(C29="","",IFERROR(INDEX(tbl_Finance[Date],MATCH(C29&amp;"",tbl_Finance[Xero Invoice No],0)),""))</f>
        <v/>
      </c>
      <c r="C29" s="24" t="n"/>
      <c r="D29" s="24" t="inlineStr">
        <is>
          <t>2848</t>
        </is>
      </c>
      <c r="E29" s="25">
        <f>IF(D29="","",IF(COUNTIF(lst_Jobs,D29&amp;"")&gt;0,"OK","CHECK"))</f>
        <v/>
      </c>
      <c r="F29" s="24" t="inlineStr">
        <is>
          <t>APA</t>
        </is>
      </c>
      <c r="G29" s="24" t="inlineStr">
        <is>
          <t>INTEGRATION</t>
        </is>
      </c>
      <c r="H29" s="24" t="inlineStr">
        <is>
          <t>APA Adelaide Proxyclick INV-10514 Renewal Jul26-Jun27 (Revenue)</t>
        </is>
      </c>
      <c r="I29" s="24" t="inlineStr">
        <is>
          <t>Accrual - unbilled work</t>
        </is>
      </c>
      <c r="J29" s="26" t="n">
        <v>618.08</v>
      </c>
      <c r="K29" s="24" t="inlineStr">
        <is>
          <t>11300</t>
        </is>
      </c>
      <c r="L29" s="24" t="n"/>
      <c r="M29" s="24" t="inlineStr">
        <is>
          <t>Y</t>
        </is>
      </c>
      <c r="N29" s="24" t="inlineStr">
        <is>
          <t>Migrated from FY27 Revenue Tracker v2 - confirm type/sign</t>
        </is>
      </c>
    </row>
    <row r="30" ht="15" customHeight="1">
      <c r="A30" s="65" t="n">
        <v>46234</v>
      </c>
      <c r="B30" s="63">
        <f>IF(C30="","",IFERROR(INDEX(tbl_Finance[Date],MATCH(C30&amp;"",tbl_Finance[Xero Invoice No],0)),""))</f>
        <v/>
      </c>
      <c r="C30" s="24" t="n"/>
      <c r="D30" s="24" t="inlineStr">
        <is>
          <t>2606101</t>
        </is>
      </c>
      <c r="E30" s="25">
        <f>IF(D30="","",IF(COUNTIF(lst_Jobs,D30&amp;"")&gt;0,"OK","CHECK"))</f>
        <v/>
      </c>
      <c r="F30" s="24" t="inlineStr">
        <is>
          <t>APA</t>
        </is>
      </c>
      <c r="G30" s="24" t="inlineStr">
        <is>
          <t>INTEGRATION</t>
        </is>
      </c>
      <c r="H30" s="24" t="inlineStr">
        <is>
          <t>APA | Young Eptura Proxyclick Licence Renewal Mar27-Feb28 INV-10548 (Revenue)</t>
        </is>
      </c>
      <c r="I30" s="24" t="inlineStr">
        <is>
          <t>Deferral - invoiced in advance</t>
        </is>
      </c>
      <c r="J30" s="26" t="n">
        <v>-4205</v>
      </c>
      <c r="K30" s="24" t="inlineStr">
        <is>
          <t>11300</t>
        </is>
      </c>
      <c r="L30" s="24" t="n"/>
      <c r="M30" s="24" t="inlineStr">
        <is>
          <t>Y</t>
        </is>
      </c>
      <c r="N30" s="24" t="inlineStr">
        <is>
          <t>Migrated from FY27 Revenue Tracker v2 - confirm type/sign</t>
        </is>
      </c>
    </row>
    <row r="31" ht="15" customHeight="1">
      <c r="A31" s="65" t="n">
        <v>46234</v>
      </c>
      <c r="B31" s="63">
        <f>IF(C31="","",IFERROR(INDEX(tbl_Finance[Date],MATCH(C31&amp;"",tbl_Finance[Xero Invoice No],0)),""))</f>
        <v/>
      </c>
      <c r="C31" s="24" t="n"/>
      <c r="D31" s="24" t="inlineStr">
        <is>
          <t>2605402</t>
        </is>
      </c>
      <c r="E31" s="25">
        <f>IF(D31="","",IF(COUNTIF(lst_Jobs,D31&amp;"")&gt;0,"OK","CHECK"))</f>
        <v/>
      </c>
      <c r="F31" s="24" t="inlineStr">
        <is>
          <t>AGL</t>
        </is>
      </c>
      <c r="G31" s="24" t="inlineStr">
        <is>
          <t>PRODUCTION</t>
        </is>
      </c>
      <c r="H31" s="24" t="inlineStr">
        <is>
          <t>AGL FYR - Employee Town Hall [PRD] pre-prod work</t>
        </is>
      </c>
      <c r="I31" s="24" t="inlineStr">
        <is>
          <t>Accrual - unbilled work</t>
        </is>
      </c>
      <c r="J31" s="26" t="n">
        <v>1322.5</v>
      </c>
      <c r="K31" s="24" t="inlineStr">
        <is>
          <t>11300</t>
        </is>
      </c>
      <c r="L31" s="24" t="n"/>
      <c r="M31" s="24" t="inlineStr">
        <is>
          <t>Y</t>
        </is>
      </c>
      <c r="N31" s="24" t="inlineStr">
        <is>
          <t>Migrated from FY27 Revenue Tracker v2 - confirm type/sign</t>
        </is>
      </c>
    </row>
    <row r="32" ht="15" customHeight="1">
      <c r="A32" s="65" t="n">
        <v>46234</v>
      </c>
      <c r="B32" s="63">
        <f>IF(C32="","",IFERROR(INDEX(tbl_Finance[Date],MATCH(C32&amp;"",tbl_Finance[Xero Invoice No],0)),""))</f>
        <v/>
      </c>
      <c r="C32" s="24" t="n"/>
      <c r="D32" s="24" t="inlineStr">
        <is>
          <t>26061105</t>
        </is>
      </c>
      <c r="E32" s="25">
        <f>IF(D32="","",IF(COUNTIF(lst_Jobs,D32&amp;"")&gt;0,"OK","CHECK"))</f>
        <v/>
      </c>
      <c r="F32" s="24" t="inlineStr">
        <is>
          <t>CBA</t>
        </is>
      </c>
      <c r="G32" s="24" t="inlineStr">
        <is>
          <t>PRODUCTION</t>
        </is>
      </c>
      <c r="H32" s="24" t="inlineStr">
        <is>
          <t>CBA - FYR 2026 - 12.8.26 [PRD] pre-prod work</t>
        </is>
      </c>
      <c r="I32" s="24" t="inlineStr">
        <is>
          <t>Accrual - unbilled work</t>
        </is>
      </c>
      <c r="J32" s="26" t="n">
        <v>417.5</v>
      </c>
      <c r="K32" s="24" t="inlineStr">
        <is>
          <t>11300</t>
        </is>
      </c>
      <c r="L32" s="24" t="n"/>
      <c r="M32" s="24" t="inlineStr">
        <is>
          <t>Y</t>
        </is>
      </c>
      <c r="N32" s="24" t="inlineStr">
        <is>
          <t>Migrated from FY27 Revenue Tracker v2 - confirm type/sign</t>
        </is>
      </c>
    </row>
    <row r="33" ht="15" customHeight="1">
      <c r="A33" s="65" t="n">
        <v>46234</v>
      </c>
      <c r="B33" s="63">
        <f>IF(C33="","",IFERROR(INDEX(tbl_Finance[Date],MATCH(C33&amp;"",tbl_Finance[Xero Invoice No],0)),""))</f>
        <v/>
      </c>
      <c r="C33" s="24" t="n"/>
      <c r="D33" s="24" t="inlineStr">
        <is>
          <t>2606903</t>
        </is>
      </c>
      <c r="E33" s="25">
        <f>IF(D33="","",IF(COUNTIF(lst_Jobs,D33&amp;"")&gt;0,"OK","CHECK"))</f>
        <v/>
      </c>
      <c r="F33" s="24" t="inlineStr">
        <is>
          <t>Virgin</t>
        </is>
      </c>
      <c r="G33" s="24" t="inlineStr">
        <is>
          <t>PRODUCTION</t>
        </is>
      </c>
      <c r="H33" s="24" t="inlineStr">
        <is>
          <t>Virgin FY26 Results [PRD] pre-prod work</t>
        </is>
      </c>
      <c r="I33" s="24" t="inlineStr">
        <is>
          <t>Accrual - unbilled work</t>
        </is>
      </c>
      <c r="J33" s="26" t="n">
        <v>57.5</v>
      </c>
      <c r="K33" s="24" t="inlineStr">
        <is>
          <t>11300</t>
        </is>
      </c>
      <c r="L33" s="24" t="n"/>
      <c r="M33" s="24" t="inlineStr">
        <is>
          <t>Y</t>
        </is>
      </c>
      <c r="N33" s="24" t="inlineStr">
        <is>
          <t>Migrated from FY27 Revenue Tracker v2 - confirm type/sign</t>
        </is>
      </c>
    </row>
    <row r="34" ht="15" customHeight="1">
      <c r="A34" s="65" t="n">
        <v>46234</v>
      </c>
      <c r="B34" s="63">
        <f>IF(C34="","",IFERROR(INDEX(tbl_Finance[Date],MATCH(C34&amp;"",tbl_Finance[Xero Invoice No],0)),""))</f>
        <v/>
      </c>
      <c r="C34" s="24" t="n"/>
      <c r="D34" s="24" t="inlineStr">
        <is>
          <t>26061109</t>
        </is>
      </c>
      <c r="E34" s="25">
        <f>IF(D34="","",IF(COUNTIF(lst_Jobs,D34&amp;"")&gt;0,"OK","CHECK"))</f>
        <v/>
      </c>
      <c r="F34" s="24" t="inlineStr">
        <is>
          <t>Ventia</t>
        </is>
      </c>
      <c r="G34" s="24" t="inlineStr">
        <is>
          <t>PRODUCTION</t>
        </is>
      </c>
      <c r="H34" s="24" t="inlineStr">
        <is>
          <t>Ventia - FYR26 - 24.8.26 [PRD] pre-prod work</t>
        </is>
      </c>
      <c r="I34" s="24" t="inlineStr">
        <is>
          <t>Accrual - unbilled work</t>
        </is>
      </c>
      <c r="J34" s="26" t="n">
        <v>862.5</v>
      </c>
      <c r="K34" s="24" t="inlineStr">
        <is>
          <t>11300</t>
        </is>
      </c>
      <c r="L34" s="24" t="n"/>
      <c r="M34" s="24" t="inlineStr">
        <is>
          <t>Y</t>
        </is>
      </c>
      <c r="N34" s="24" t="inlineStr">
        <is>
          <t>Migrated from FY27 Revenue Tracker v2 - confirm type/sign</t>
        </is>
      </c>
    </row>
    <row r="35" ht="15" customHeight="1">
      <c r="A35" s="65" t="n">
        <v>46234</v>
      </c>
      <c r="B35" s="63">
        <f>IF(C35="","",IFERROR(INDEX(tbl_Finance[Date],MATCH(C35&amp;"",tbl_Finance[Xero Invoice No],0)),""))</f>
        <v/>
      </c>
      <c r="C35" s="24" t="n"/>
      <c r="D35" s="24" t="inlineStr">
        <is>
          <t>26061107</t>
        </is>
      </c>
      <c r="E35" s="25">
        <f>IF(D35="","",IF(COUNTIF(lst_Jobs,D35&amp;"")&gt;0,"OK","CHECK"))</f>
        <v/>
      </c>
      <c r="F35" s="24" t="inlineStr">
        <is>
          <t>Downer</t>
        </is>
      </c>
      <c r="G35" s="24" t="inlineStr">
        <is>
          <t>PRODUCTION</t>
        </is>
      </c>
      <c r="H35" s="24" t="inlineStr">
        <is>
          <t>Downer - FYR 2026 - 19.8.26 [PRD] pre-prod work</t>
        </is>
      </c>
      <c r="I35" s="24" t="inlineStr">
        <is>
          <t>Accrual - unbilled work</t>
        </is>
      </c>
      <c r="J35" s="26" t="n">
        <v>115</v>
      </c>
      <c r="K35" s="24" t="inlineStr">
        <is>
          <t>11300</t>
        </is>
      </c>
      <c r="L35" s="24" t="n"/>
      <c r="M35" s="24" t="inlineStr">
        <is>
          <t>Y</t>
        </is>
      </c>
      <c r="N35" s="24" t="inlineStr">
        <is>
          <t>Migrated from FY27 Revenue Tracker v2 - confirm type/sign</t>
        </is>
      </c>
    </row>
    <row r="36" ht="15" customHeight="1">
      <c r="A36" s="65" t="n">
        <v>46234</v>
      </c>
      <c r="B36" s="63">
        <f>IF(C36="","",IFERROR(INDEX(tbl_Finance[Date],MATCH(C36&amp;"",tbl_Finance[Xero Invoice No],0)),""))</f>
        <v/>
      </c>
      <c r="C36" s="24" t="n"/>
      <c r="D36" s="24" t="inlineStr">
        <is>
          <t>26061108</t>
        </is>
      </c>
      <c r="E36" s="25">
        <f>IF(D36="","",IF(COUNTIF(lst_Jobs,D36&amp;"")&gt;0,"OK","CHECK"))</f>
        <v/>
      </c>
      <c r="F36" s="24" t="inlineStr">
        <is>
          <t>APA</t>
        </is>
      </c>
      <c r="G36" s="24" t="inlineStr">
        <is>
          <t>PRODUCTION</t>
        </is>
      </c>
      <c r="H36" s="24" t="inlineStr">
        <is>
          <t>APA FYR All Hands August 2026 Package - Conf Call (Revenue) INV-10521</t>
        </is>
      </c>
      <c r="I36" s="24" t="inlineStr">
        <is>
          <t>Deferral - invoiced in advance</t>
        </is>
      </c>
      <c r="J36" s="26" t="n">
        <v>-600</v>
      </c>
      <c r="K36" s="24" t="inlineStr">
        <is>
          <t>11300</t>
        </is>
      </c>
      <c r="L36" s="24" t="n"/>
      <c r="M36" s="24" t="inlineStr">
        <is>
          <t>Y</t>
        </is>
      </c>
      <c r="N36" s="24" t="inlineStr">
        <is>
          <t>Migrated from FY27 Revenue Tracker v2 - confirm type/sign</t>
        </is>
      </c>
    </row>
    <row r="37" ht="15" customHeight="1">
      <c r="A37" s="65" t="n">
        <v>46234</v>
      </c>
      <c r="B37" s="63">
        <f>IF(C37="","",IFERROR(INDEX(tbl_Finance[Date],MATCH(C37&amp;"",tbl_Finance[Xero Invoice No],0)),""))</f>
        <v/>
      </c>
      <c r="C37" s="24" t="n"/>
      <c r="D37" s="24" t="inlineStr">
        <is>
          <t>26061108</t>
        </is>
      </c>
      <c r="E37" s="25">
        <f>IF(D37="","",IF(COUNTIF(lst_Jobs,D37&amp;"")&gt;0,"OK","CHECK"))</f>
        <v/>
      </c>
      <c r="F37" s="24" t="inlineStr">
        <is>
          <t>APA</t>
        </is>
      </c>
      <c r="G37" s="24" t="inlineStr">
        <is>
          <t>PRODUCTION</t>
        </is>
      </c>
      <c r="H37" s="24" t="inlineStr">
        <is>
          <t>APA FYR 20.7.26 [PRD]</t>
        </is>
      </c>
      <c r="I37" s="24" t="inlineStr">
        <is>
          <t>Deferral - invoiced in advance</t>
        </is>
      </c>
      <c r="J37" s="26" t="n">
        <v>-237.5</v>
      </c>
      <c r="K37" s="24" t="inlineStr">
        <is>
          <t>11300</t>
        </is>
      </c>
      <c r="L37" s="24" t="n"/>
      <c r="M37" s="24" t="inlineStr">
        <is>
          <t>Y</t>
        </is>
      </c>
      <c r="N37" s="24" t="inlineStr">
        <is>
          <t>Migrated from FY27 Revenue Tracker v2 - confirm type/sign</t>
        </is>
      </c>
    </row>
    <row r="38" ht="15" customHeight="1">
      <c r="A38" s="65" t="n">
        <v>46234</v>
      </c>
      <c r="B38" s="63">
        <f>IF(C38="","",IFERROR(INDEX(tbl_Finance[Date],MATCH(C38&amp;"",tbl_Finance[Xero Invoice No],0)),""))</f>
        <v/>
      </c>
      <c r="C38" s="24" t="n"/>
      <c r="D38" s="24" t="inlineStr">
        <is>
          <t>26061108</t>
        </is>
      </c>
      <c r="E38" s="25">
        <f>IF(D38="","",IF(COUNTIF(lst_Jobs,D38&amp;"")&gt;0,"OK","CHECK"))</f>
        <v/>
      </c>
      <c r="F38" s="24" t="inlineStr">
        <is>
          <t>APA</t>
        </is>
      </c>
      <c r="G38" s="24" t="inlineStr">
        <is>
          <t>PRODUCTION</t>
        </is>
      </c>
      <c r="H38" s="24" t="inlineStr">
        <is>
          <t>APA FYR All Hands August 2026 Package - Prd Equipment Hire (Revenue) INV-10521</t>
        </is>
      </c>
      <c r="I38" s="24" t="inlineStr">
        <is>
          <t>Deferral - invoiced in advance</t>
        </is>
      </c>
      <c r="J38" s="26" t="n">
        <v>-5413.6</v>
      </c>
      <c r="K38" s="24" t="inlineStr">
        <is>
          <t>11300</t>
        </is>
      </c>
      <c r="L38" s="24" t="n"/>
      <c r="M38" s="24" t="inlineStr">
        <is>
          <t>Y</t>
        </is>
      </c>
      <c r="N38" s="24" t="inlineStr">
        <is>
          <t>Migrated from FY27 Revenue Tracker v2 - confirm type/sign</t>
        </is>
      </c>
    </row>
    <row r="39" ht="15" customHeight="1">
      <c r="A39" s="65" t="n">
        <v>46234</v>
      </c>
      <c r="B39" s="63">
        <f>IF(C39="","",IFERROR(INDEX(tbl_Finance[Date],MATCH(C39&amp;"",tbl_Finance[Xero Invoice No],0)),""))</f>
        <v/>
      </c>
      <c r="C39" s="24" t="n"/>
      <c r="D39" s="24" t="inlineStr">
        <is>
          <t>26061108V</t>
        </is>
      </c>
      <c r="E39" s="25">
        <f>IF(D39="","",IF(COUNTIF(lst_Jobs,D39&amp;"")&gt;0,"OK","CHECK"))</f>
        <v/>
      </c>
      <c r="F39" s="24" t="inlineStr">
        <is>
          <t>APA</t>
        </is>
      </c>
      <c r="G39" s="24" t="inlineStr">
        <is>
          <t>VIDEO</t>
        </is>
      </c>
      <c r="H39" s="24" t="inlineStr">
        <is>
          <t>APA FYR All Hands August 2026 Package - Vid Equipment Hire (Revenue) INV-10521</t>
        </is>
      </c>
      <c r="I39" s="24" t="inlineStr">
        <is>
          <t>Deferral - invoiced in advance</t>
        </is>
      </c>
      <c r="J39" s="26" t="n">
        <v>-592</v>
      </c>
      <c r="K39" s="24" t="inlineStr">
        <is>
          <t>11300</t>
        </is>
      </c>
      <c r="L39" s="24" t="n"/>
      <c r="M39" s="24" t="inlineStr">
        <is>
          <t>Y</t>
        </is>
      </c>
      <c r="N39" s="24" t="inlineStr">
        <is>
          <t>Migrated from FY27 Revenue Tracker v2 - confirm type/sign</t>
        </is>
      </c>
    </row>
    <row r="40" ht="15" customHeight="1">
      <c r="A40" s="65" t="n">
        <v>46234</v>
      </c>
      <c r="B40" s="63">
        <f>IF(C40="","",IFERROR(INDEX(tbl_Finance[Date],MATCH(C40&amp;"",tbl_Finance[Xero Invoice No],0)),""))</f>
        <v/>
      </c>
      <c r="C40" s="24" t="n"/>
      <c r="D40" s="24" t="inlineStr">
        <is>
          <t>26061108</t>
        </is>
      </c>
      <c r="E40" s="25">
        <f>IF(D40="","",IF(COUNTIF(lst_Jobs,D40&amp;"")&gt;0,"OK","CHECK"))</f>
        <v/>
      </c>
      <c r="F40" s="24" t="inlineStr">
        <is>
          <t>APA</t>
        </is>
      </c>
      <c r="G40" s="24" t="inlineStr">
        <is>
          <t>PRODUCTION</t>
        </is>
      </c>
      <c r="H40" s="24" t="inlineStr">
        <is>
          <t>APA FYR All Hands August 2026 Package - Prd Labour (Revenue) INV-10521</t>
        </is>
      </c>
      <c r="I40" s="24" t="inlineStr">
        <is>
          <t>Deferral - invoiced in advance</t>
        </is>
      </c>
      <c r="J40" s="26" t="n">
        <v>-4520</v>
      </c>
      <c r="K40" s="24" t="inlineStr">
        <is>
          <t>11300</t>
        </is>
      </c>
      <c r="L40" s="24" t="n"/>
      <c r="M40" s="24" t="inlineStr">
        <is>
          <t>Y</t>
        </is>
      </c>
      <c r="N40" s="24" t="inlineStr">
        <is>
          <t>Migrated from FY27 Revenue Tracker v2 - confirm type/sign</t>
        </is>
      </c>
    </row>
    <row r="41" ht="15" customHeight="1">
      <c r="A41" s="65" t="n">
        <v>46234</v>
      </c>
      <c r="B41" s="63">
        <f>IF(C41="","",IFERROR(INDEX(tbl_Finance[Date],MATCH(C41&amp;"",tbl_Finance[Xero Invoice No],0)),""))</f>
        <v/>
      </c>
      <c r="C41" s="24" t="n"/>
      <c r="D41" s="24" t="inlineStr">
        <is>
          <t>26061108V</t>
        </is>
      </c>
      <c r="E41" s="25">
        <f>IF(D41="","",IF(COUNTIF(lst_Jobs,D41&amp;"")&gt;0,"OK","CHECK"))</f>
        <v/>
      </c>
      <c r="F41" s="24" t="inlineStr">
        <is>
          <t>APA</t>
        </is>
      </c>
      <c r="G41" s="24" t="inlineStr">
        <is>
          <t>VIDEO</t>
        </is>
      </c>
      <c r="H41" s="24" t="inlineStr">
        <is>
          <t>APA FYR All Hands August 2026 Package - Vid Labour (Revenue) INV-10521</t>
        </is>
      </c>
      <c r="I41" s="24" t="inlineStr">
        <is>
          <t>Deferral - invoiced in advance</t>
        </is>
      </c>
      <c r="J41" s="26" t="n">
        <v>-485</v>
      </c>
      <c r="K41" s="24" t="inlineStr">
        <is>
          <t>11300</t>
        </is>
      </c>
      <c r="L41" s="24" t="n"/>
      <c r="M41" s="24" t="inlineStr">
        <is>
          <t>Y</t>
        </is>
      </c>
      <c r="N41" s="24" t="inlineStr">
        <is>
          <t>Migrated from FY27 Revenue Tracker v2 - confirm type/sign</t>
        </is>
      </c>
    </row>
    <row r="42" ht="15" customHeight="1">
      <c r="A42" s="65" t="n">
        <v>46234</v>
      </c>
      <c r="B42" s="63">
        <f>IF(C42="","",IFERROR(INDEX(tbl_Finance[Date],MATCH(C42&amp;"",tbl_Finance[Xero Invoice No],0)),""))</f>
        <v/>
      </c>
      <c r="C42" s="24" t="n"/>
      <c r="D42" s="24" t="inlineStr">
        <is>
          <t>26061108</t>
        </is>
      </c>
      <c r="E42" s="25">
        <f>IF(D42="","",IF(COUNTIF(lst_Jobs,D42&amp;"")&gt;0,"OK","CHECK"))</f>
        <v/>
      </c>
      <c r="F42" s="24" t="inlineStr">
        <is>
          <t>APA</t>
        </is>
      </c>
      <c r="G42" s="24" t="inlineStr">
        <is>
          <t>PRODUCTION</t>
        </is>
      </c>
      <c r="H42" s="24" t="inlineStr">
        <is>
          <t>APA FYR All Hands August 2026 Package - Transport (Revenue) INV-10521</t>
        </is>
      </c>
      <c r="I42" s="24" t="inlineStr">
        <is>
          <t>Deferral - invoiced in advance</t>
        </is>
      </c>
      <c r="J42" s="26" t="n">
        <v>-300</v>
      </c>
      <c r="K42" s="24" t="inlineStr">
        <is>
          <t>11300</t>
        </is>
      </c>
      <c r="L42" s="24" t="n"/>
      <c r="M42" s="24" t="inlineStr">
        <is>
          <t>Y</t>
        </is>
      </c>
      <c r="N42" s="24" t="inlineStr">
        <is>
          <t>Migrated from FY27 Revenue Tracker v2 - confirm type/sign</t>
        </is>
      </c>
    </row>
    <row r="43" ht="15" customHeight="1">
      <c r="A43" s="65" t="n">
        <v>46234</v>
      </c>
      <c r="B43" s="63">
        <f>IF(C43="","",IFERROR(INDEX(tbl_Finance[Date],MATCH(C43&amp;"",tbl_Finance[Xero Invoice No],0)),""))</f>
        <v/>
      </c>
      <c r="C43" s="24" t="n"/>
      <c r="D43" s="24" t="inlineStr">
        <is>
          <t>26061108</t>
        </is>
      </c>
      <c r="E43" s="25">
        <f>IF(D43="","",IF(COUNTIF(lst_Jobs,D43&amp;"")&gt;0,"OK","CHECK"))</f>
        <v/>
      </c>
      <c r="F43" s="24" t="inlineStr">
        <is>
          <t>APA</t>
        </is>
      </c>
      <c r="G43" s="24" t="inlineStr">
        <is>
          <t>PRODUCTION</t>
        </is>
      </c>
      <c r="H43" s="24" t="inlineStr">
        <is>
          <t>APA FYR All Hands August 2026 Package - Tech  Event Mgmt (Revenue) INV-10521</t>
        </is>
      </c>
      <c r="I43" s="24" t="inlineStr">
        <is>
          <t>Deferral - invoiced in advance</t>
        </is>
      </c>
      <c r="J43" s="26" t="n">
        <v>-690</v>
      </c>
      <c r="K43" s="24" t="inlineStr">
        <is>
          <t>11300</t>
        </is>
      </c>
      <c r="L43" s="24" t="n"/>
      <c r="M43" s="24" t="inlineStr">
        <is>
          <t>Y</t>
        </is>
      </c>
      <c r="N43" s="24" t="inlineStr">
        <is>
          <t>Migrated from FY27 Revenue Tracker v2 - confirm type/sign</t>
        </is>
      </c>
    </row>
    <row r="44" ht="15" customHeight="1">
      <c r="A44" s="65" t="n">
        <v>46234</v>
      </c>
      <c r="B44" s="63">
        <f>IF(C44="","",IFERROR(INDEX(tbl_Finance[Date],MATCH(C44&amp;"",tbl_Finance[Xero Invoice No],0)),""))</f>
        <v/>
      </c>
      <c r="C44" s="24" t="n"/>
      <c r="D44" s="24" t="inlineStr">
        <is>
          <t>26061607</t>
        </is>
      </c>
      <c r="E44" s="25">
        <f>IF(D44="","",IF(COUNTIF(lst_Jobs,D44&amp;"")&gt;0,"OK","CHECK"))</f>
        <v/>
      </c>
      <c r="F44" s="24" t="inlineStr">
        <is>
          <t>APA</t>
        </is>
      </c>
      <c r="G44" s="24" t="inlineStr">
        <is>
          <t>PRODUCTION</t>
        </is>
      </c>
      <c r="H44" s="24" t="inlineStr">
        <is>
          <t>APA Qtrly All Hands Nov 2026 Package - Prd Equipment Hire (Revenue) INV-10521</t>
        </is>
      </c>
      <c r="I44" s="24" t="inlineStr">
        <is>
          <t>Deferral - invoiced in advance</t>
        </is>
      </c>
      <c r="J44" s="26" t="n">
        <v>-5269.6</v>
      </c>
      <c r="K44" s="24" t="inlineStr">
        <is>
          <t>11300</t>
        </is>
      </c>
      <c r="L44" s="24" t="n"/>
      <c r="M44" s="24" t="inlineStr">
        <is>
          <t>Y</t>
        </is>
      </c>
      <c r="N44" s="24" t="inlineStr">
        <is>
          <t>Migrated from FY27 Revenue Tracker v2 - confirm type/sign</t>
        </is>
      </c>
    </row>
    <row r="45" ht="15" customHeight="1">
      <c r="A45" s="65" t="n">
        <v>46234</v>
      </c>
      <c r="B45" s="63">
        <f>IF(C45="","",IFERROR(INDEX(tbl_Finance[Date],MATCH(C45&amp;"",tbl_Finance[Xero Invoice No],0)),""))</f>
        <v/>
      </c>
      <c r="C45" s="24" t="n"/>
      <c r="D45" s="24" t="inlineStr">
        <is>
          <t>26061607V</t>
        </is>
      </c>
      <c r="E45" s="25">
        <f>IF(D45="","",IF(COUNTIF(lst_Jobs,D45&amp;"")&gt;0,"OK","CHECK"))</f>
        <v/>
      </c>
      <c r="F45" s="24" t="inlineStr">
        <is>
          <t>APA</t>
        </is>
      </c>
      <c r="G45" s="24" t="inlineStr">
        <is>
          <t>VIDEO</t>
        </is>
      </c>
      <c r="H45" s="24" t="inlineStr">
        <is>
          <t>APA Qtrly All Hands Nov 2026 Package - Vid Equipment Hire (Revenue) INV-10521</t>
        </is>
      </c>
      <c r="I45" s="24" t="inlineStr">
        <is>
          <t>Deferral - invoiced in advance</t>
        </is>
      </c>
      <c r="J45" s="26" t="n">
        <v>-592</v>
      </c>
      <c r="K45" s="24" t="inlineStr">
        <is>
          <t>11300</t>
        </is>
      </c>
      <c r="L45" s="24" t="n"/>
      <c r="M45" s="24" t="inlineStr">
        <is>
          <t>Y</t>
        </is>
      </c>
      <c r="N45" s="24" t="inlineStr">
        <is>
          <t>Migrated from FY27 Revenue Tracker v2 - confirm type/sign</t>
        </is>
      </c>
    </row>
    <row r="46" ht="15" customHeight="1">
      <c r="A46" s="65" t="n">
        <v>46234</v>
      </c>
      <c r="B46" s="63">
        <f>IF(C46="","",IFERROR(INDEX(tbl_Finance[Date],MATCH(C46&amp;"",tbl_Finance[Xero Invoice No],0)),""))</f>
        <v/>
      </c>
      <c r="C46" s="24" t="n"/>
      <c r="D46" s="24" t="inlineStr">
        <is>
          <t>26061607</t>
        </is>
      </c>
      <c r="E46" s="25">
        <f>IF(D46="","",IF(COUNTIF(lst_Jobs,D46&amp;"")&gt;0,"OK","CHECK"))</f>
        <v/>
      </c>
      <c r="F46" s="24" t="inlineStr">
        <is>
          <t>APA</t>
        </is>
      </c>
      <c r="G46" s="24" t="inlineStr">
        <is>
          <t>PRODUCTION</t>
        </is>
      </c>
      <c r="H46" s="24" t="inlineStr">
        <is>
          <t>APA Qtrly All Hands Nov 2026 Package - Prd Labour (Revenue) INV-10521</t>
        </is>
      </c>
      <c r="I46" s="24" t="inlineStr">
        <is>
          <t>Deferral - invoiced in advance</t>
        </is>
      </c>
      <c r="J46" s="26" t="n">
        <v>-4869</v>
      </c>
      <c r="K46" s="24" t="inlineStr">
        <is>
          <t>11300</t>
        </is>
      </c>
      <c r="L46" s="24" t="n"/>
      <c r="M46" s="24" t="inlineStr">
        <is>
          <t>Y</t>
        </is>
      </c>
      <c r="N46" s="24" t="inlineStr">
        <is>
          <t>Migrated from FY27 Revenue Tracker v2 - confirm type/sign</t>
        </is>
      </c>
    </row>
    <row r="47" ht="15" customHeight="1">
      <c r="A47" s="65" t="n">
        <v>46234</v>
      </c>
      <c r="B47" s="63">
        <f>IF(C47="","",IFERROR(INDEX(tbl_Finance[Date],MATCH(C47&amp;"",tbl_Finance[Xero Invoice No],0)),""))</f>
        <v/>
      </c>
      <c r="C47" s="24" t="n"/>
      <c r="D47" s="24" t="inlineStr">
        <is>
          <t>26061607V</t>
        </is>
      </c>
      <c r="E47" s="25">
        <f>IF(D47="","",IF(COUNTIF(lst_Jobs,D47&amp;"")&gt;0,"OK","CHECK"))</f>
        <v/>
      </c>
      <c r="F47" s="24" t="inlineStr">
        <is>
          <t>APA</t>
        </is>
      </c>
      <c r="G47" s="24" t="inlineStr">
        <is>
          <t>VIDEO</t>
        </is>
      </c>
      <c r="H47" s="24" t="inlineStr">
        <is>
          <t>APA Qtrly All Hands Nov 2026 Package - Vid Labour (Revenue) INV-10521</t>
        </is>
      </c>
      <c r="I47" s="24" t="inlineStr">
        <is>
          <t>Deferral - invoiced in advance</t>
        </is>
      </c>
      <c r="J47" s="26" t="n">
        <v>-485</v>
      </c>
      <c r="K47" s="24" t="inlineStr">
        <is>
          <t>11300</t>
        </is>
      </c>
      <c r="L47" s="24" t="n"/>
      <c r="M47" s="24" t="inlineStr">
        <is>
          <t>Y</t>
        </is>
      </c>
      <c r="N47" s="24" t="inlineStr">
        <is>
          <t>Migrated from FY27 Revenue Tracker v2 - confirm type/sign</t>
        </is>
      </c>
    </row>
    <row r="48" ht="15" customHeight="1">
      <c r="A48" s="65" t="n">
        <v>46234</v>
      </c>
      <c r="B48" s="63">
        <f>IF(C48="","",IFERROR(INDEX(tbl_Finance[Date],MATCH(C48&amp;"",tbl_Finance[Xero Invoice No],0)),""))</f>
        <v/>
      </c>
      <c r="C48" s="24" t="n"/>
      <c r="D48" s="24" t="inlineStr">
        <is>
          <t>26061607</t>
        </is>
      </c>
      <c r="E48" s="25">
        <f>IF(D48="","",IF(COUNTIF(lst_Jobs,D48&amp;"")&gt;0,"OK","CHECK"))</f>
        <v/>
      </c>
      <c r="F48" s="24" t="inlineStr">
        <is>
          <t>APA</t>
        </is>
      </c>
      <c r="G48" s="24" t="inlineStr">
        <is>
          <t>PRODUCTION</t>
        </is>
      </c>
      <c r="H48" s="24" t="inlineStr">
        <is>
          <t>APA Qtrly All Hands Nov 2026 Package - Conf Call (Revenue) INV-10521</t>
        </is>
      </c>
      <c r="I48" s="24" t="inlineStr">
        <is>
          <t>Deferral - invoiced in advance</t>
        </is>
      </c>
      <c r="J48" s="26" t="n">
        <v>-750</v>
      </c>
      <c r="K48" s="24" t="inlineStr">
        <is>
          <t>11300</t>
        </is>
      </c>
      <c r="L48" s="24" t="n"/>
      <c r="M48" s="24" t="inlineStr">
        <is>
          <t>Y</t>
        </is>
      </c>
      <c r="N48" s="24" t="inlineStr">
        <is>
          <t>Migrated from FY27 Revenue Tracker v2 - confirm type/sign</t>
        </is>
      </c>
    </row>
    <row r="49" ht="15" customHeight="1">
      <c r="A49" s="65" t="n">
        <v>46234</v>
      </c>
      <c r="B49" s="63">
        <f>IF(C49="","",IFERROR(INDEX(tbl_Finance[Date],MATCH(C49&amp;"",tbl_Finance[Xero Invoice No],0)),""))</f>
        <v/>
      </c>
      <c r="C49" s="24" t="n"/>
      <c r="D49" s="24" t="inlineStr">
        <is>
          <t>26061607</t>
        </is>
      </c>
      <c r="E49" s="25">
        <f>IF(D49="","",IF(COUNTIF(lst_Jobs,D49&amp;"")&gt;0,"OK","CHECK"))</f>
        <v/>
      </c>
      <c r="F49" s="24" t="inlineStr">
        <is>
          <t>APA</t>
        </is>
      </c>
      <c r="G49" s="24" t="inlineStr">
        <is>
          <t>PRODUCTION</t>
        </is>
      </c>
      <c r="H49" s="24" t="inlineStr">
        <is>
          <t>APA Qtrly All Hands Nov 2026 Package - Transport (Revenue) INV-10521</t>
        </is>
      </c>
      <c r="I49" s="24" t="inlineStr">
        <is>
          <t>Deferral - invoiced in advance</t>
        </is>
      </c>
      <c r="J49" s="26" t="n">
        <v>-300</v>
      </c>
      <c r="K49" s="24" t="inlineStr">
        <is>
          <t>11300</t>
        </is>
      </c>
      <c r="L49" s="24" t="n"/>
      <c r="M49" s="24" t="inlineStr">
        <is>
          <t>Y</t>
        </is>
      </c>
      <c r="N49" s="24" t="inlineStr">
        <is>
          <t>Migrated from FY27 Revenue Tracker v2 - confirm type/sign</t>
        </is>
      </c>
    </row>
    <row r="50" ht="15" customHeight="1">
      <c r="A50" s="65" t="n">
        <v>46234</v>
      </c>
      <c r="B50" s="63">
        <f>IF(C50="","",IFERROR(INDEX(tbl_Finance[Date],MATCH(C50&amp;"",tbl_Finance[Xero Invoice No],0)),""))</f>
        <v/>
      </c>
      <c r="C50" s="24" t="n"/>
      <c r="D50" s="24" t="inlineStr">
        <is>
          <t>26061607</t>
        </is>
      </c>
      <c r="E50" s="25">
        <f>IF(D50="","",IF(COUNTIF(lst_Jobs,D50&amp;"")&gt;0,"OK","CHECK"))</f>
        <v/>
      </c>
      <c r="F50" s="24" t="inlineStr">
        <is>
          <t>APA</t>
        </is>
      </c>
      <c r="G50" s="24" t="inlineStr">
        <is>
          <t>PRODUCTION</t>
        </is>
      </c>
      <c r="H50" s="24" t="inlineStr">
        <is>
          <t>APA Qtrly All Hands Nov 2026 Package - Tech  Event Mgmt (Revenue) INV-10521</t>
        </is>
      </c>
      <c r="I50" s="24" t="inlineStr">
        <is>
          <t>Deferral - invoiced in advance</t>
        </is>
      </c>
      <c r="J50" s="26" t="n">
        <v>-690</v>
      </c>
      <c r="K50" s="24" t="inlineStr">
        <is>
          <t>11300</t>
        </is>
      </c>
      <c r="L50" s="24" t="n"/>
      <c r="M50" s="24" t="inlineStr">
        <is>
          <t>Y</t>
        </is>
      </c>
      <c r="N50" s="24" t="inlineStr">
        <is>
          <t>Migrated from FY27 Revenue Tracker v2 - confirm type/sign</t>
        </is>
      </c>
    </row>
    <row r="51" ht="15" customHeight="1">
      <c r="A51" s="65" t="n">
        <v>46234</v>
      </c>
      <c r="B51" s="63">
        <f>IF(C51="","",IFERROR(INDEX(tbl_Finance[Date],MATCH(C51&amp;"",tbl_Finance[Xero Invoice No],0)),""))</f>
        <v/>
      </c>
      <c r="C51" s="24" t="n"/>
      <c r="D51" s="24" t="inlineStr">
        <is>
          <t>26061607</t>
        </is>
      </c>
      <c r="E51" s="25">
        <f>IF(D51="","",IF(COUNTIF(lst_Jobs,D51&amp;"")&gt;0,"OK","CHECK"))</f>
        <v/>
      </c>
      <c r="F51" s="24" t="inlineStr">
        <is>
          <t>APA</t>
        </is>
      </c>
      <c r="G51" s="24" t="inlineStr">
        <is>
          <t>PRODUCTION</t>
        </is>
      </c>
      <c r="H51" s="24" t="inlineStr">
        <is>
          <t>APA Qtrly All Hands Nov 2026 Package - Travel (Revenue) INV-10521</t>
        </is>
      </c>
      <c r="I51" s="24" t="inlineStr">
        <is>
          <t>Deferral - invoiced in advance</t>
        </is>
      </c>
      <c r="J51" s="26" t="n">
        <v>-1025</v>
      </c>
      <c r="K51" s="24" t="inlineStr">
        <is>
          <t>11300</t>
        </is>
      </c>
      <c r="L51" s="24" t="n"/>
      <c r="M51" s="24" t="inlineStr">
        <is>
          <t>Y</t>
        </is>
      </c>
      <c r="N51" s="24" t="inlineStr">
        <is>
          <t>Migrated from FY27 Revenue Tracker v2 - confirm type/sign</t>
        </is>
      </c>
    </row>
    <row r="52" ht="15" customHeight="1">
      <c r="A52" s="65" t="n">
        <v>46234</v>
      </c>
      <c r="B52" s="63">
        <f>IF(C52="","",IFERROR(INDEX(tbl_Finance[Date],MATCH(C52&amp;"",tbl_Finance[Xero Invoice No],0)),""))</f>
        <v/>
      </c>
      <c r="C52" s="24" t="n"/>
      <c r="D52" s="24" t="inlineStr">
        <is>
          <t>26061608</t>
        </is>
      </c>
      <c r="E52" s="25">
        <f>IF(D52="","",IF(COUNTIF(lst_Jobs,D52&amp;"")&gt;0,"OK","CHECK"))</f>
        <v/>
      </c>
      <c r="F52" s="24" t="inlineStr">
        <is>
          <t>APA</t>
        </is>
      </c>
      <c r="G52" s="24" t="inlineStr">
        <is>
          <t>PRODUCTION</t>
        </is>
      </c>
      <c r="H52" s="24" t="inlineStr">
        <is>
          <t>APA Qtrly All Hands Feb 2027 Package - Prd Equipment Hire (Revenue) INV-10521</t>
        </is>
      </c>
      <c r="I52" s="24" t="inlineStr">
        <is>
          <t>Deferral - invoiced in advance</t>
        </is>
      </c>
      <c r="J52" s="26" t="n">
        <v>-5857.6</v>
      </c>
      <c r="K52" s="24" t="inlineStr">
        <is>
          <t>11300</t>
        </is>
      </c>
      <c r="L52" s="24" t="n"/>
      <c r="M52" s="24" t="inlineStr">
        <is>
          <t>Y</t>
        </is>
      </c>
      <c r="N52" s="24" t="inlineStr">
        <is>
          <t>Migrated from FY27 Revenue Tracker v2 - confirm type/sign</t>
        </is>
      </c>
    </row>
    <row r="53" ht="15" customHeight="1">
      <c r="A53" s="65" t="n">
        <v>46234</v>
      </c>
      <c r="B53" s="63">
        <f>IF(C53="","",IFERROR(INDEX(tbl_Finance[Date],MATCH(C53&amp;"",tbl_Finance[Xero Invoice No],0)),""))</f>
        <v/>
      </c>
      <c r="C53" s="24" t="n"/>
      <c r="D53" s="24" t="inlineStr">
        <is>
          <t>26061608V</t>
        </is>
      </c>
      <c r="E53" s="25">
        <f>IF(D53="","",IF(COUNTIF(lst_Jobs,D53&amp;"")&gt;0,"OK","CHECK"))</f>
        <v/>
      </c>
      <c r="F53" s="24" t="inlineStr">
        <is>
          <t>APA</t>
        </is>
      </c>
      <c r="G53" s="24" t="inlineStr">
        <is>
          <t>VIDEO</t>
        </is>
      </c>
      <c r="H53" s="24" t="inlineStr">
        <is>
          <t>APA Qtrly All Hands Feb 2027 Package - Vid Equipment Hire (Revenue) INV-10521</t>
        </is>
      </c>
      <c r="I53" s="24" t="inlineStr">
        <is>
          <t>Deferral - invoiced in advance</t>
        </is>
      </c>
      <c r="J53" s="26" t="n">
        <v>-592</v>
      </c>
      <c r="K53" s="24" t="inlineStr">
        <is>
          <t>11300</t>
        </is>
      </c>
      <c r="L53" s="24" t="n"/>
      <c r="M53" s="24" t="inlineStr">
        <is>
          <t>Y</t>
        </is>
      </c>
      <c r="N53" s="24" t="inlineStr">
        <is>
          <t>Migrated from FY27 Revenue Tracker v2 - confirm type/sign</t>
        </is>
      </c>
    </row>
    <row r="54" ht="15" customHeight="1">
      <c r="A54" s="65" t="n">
        <v>46234</v>
      </c>
      <c r="B54" s="63">
        <f>IF(C54="","",IFERROR(INDEX(tbl_Finance[Date],MATCH(C54&amp;"",tbl_Finance[Xero Invoice No],0)),""))</f>
        <v/>
      </c>
      <c r="C54" s="24" t="n"/>
      <c r="D54" s="24" t="inlineStr">
        <is>
          <t>26061608</t>
        </is>
      </c>
      <c r="E54" s="25">
        <f>IF(D54="","",IF(COUNTIF(lst_Jobs,D54&amp;"")&gt;0,"OK","CHECK"))</f>
        <v/>
      </c>
      <c r="F54" s="24" t="inlineStr">
        <is>
          <t>APA</t>
        </is>
      </c>
      <c r="G54" s="24" t="inlineStr">
        <is>
          <t>PRODUCTION</t>
        </is>
      </c>
      <c r="H54" s="24" t="inlineStr">
        <is>
          <t>APA Qtrly All Hands Feb 2027 Package - Prd Labour (Revenue) INV-10521</t>
        </is>
      </c>
      <c r="I54" s="24" t="inlineStr">
        <is>
          <t>Deferral - invoiced in advance</t>
        </is>
      </c>
      <c r="J54" s="26" t="n">
        <v>-4076</v>
      </c>
      <c r="K54" s="24" t="inlineStr">
        <is>
          <t>11300</t>
        </is>
      </c>
      <c r="L54" s="24" t="n"/>
      <c r="M54" s="24" t="inlineStr">
        <is>
          <t>Y</t>
        </is>
      </c>
      <c r="N54" s="24" t="inlineStr">
        <is>
          <t>Migrated from FY27 Revenue Tracker v2 - confirm type/sign</t>
        </is>
      </c>
    </row>
    <row r="55" ht="15" customHeight="1">
      <c r="A55" s="65" t="n">
        <v>46234</v>
      </c>
      <c r="B55" s="63">
        <f>IF(C55="","",IFERROR(INDEX(tbl_Finance[Date],MATCH(C55&amp;"",tbl_Finance[Xero Invoice No],0)),""))</f>
        <v/>
      </c>
      <c r="C55" s="24" t="n"/>
      <c r="D55" s="24" t="inlineStr">
        <is>
          <t>26061608V</t>
        </is>
      </c>
      <c r="E55" s="25">
        <f>IF(D55="","",IF(COUNTIF(lst_Jobs,D55&amp;"")&gt;0,"OK","CHECK"))</f>
        <v/>
      </c>
      <c r="F55" s="24" t="inlineStr">
        <is>
          <t>APA</t>
        </is>
      </c>
      <c r="G55" s="24" t="inlineStr">
        <is>
          <t>VIDEO</t>
        </is>
      </c>
      <c r="H55" s="24" t="inlineStr">
        <is>
          <t>APA Qtrly All Hands Feb 2027 Package - Vid Labour (Revenue) INV-10521</t>
        </is>
      </c>
      <c r="I55" s="24" t="inlineStr">
        <is>
          <t>Deferral - invoiced in advance</t>
        </is>
      </c>
      <c r="J55" s="26" t="n">
        <v>-485</v>
      </c>
      <c r="K55" s="24" t="inlineStr">
        <is>
          <t>11300</t>
        </is>
      </c>
      <c r="L55" s="24" t="n"/>
      <c r="M55" s="24" t="inlineStr">
        <is>
          <t>Y</t>
        </is>
      </c>
      <c r="N55" s="24" t="inlineStr">
        <is>
          <t>Migrated from FY27 Revenue Tracker v2 - confirm type/sign</t>
        </is>
      </c>
    </row>
    <row r="56" ht="15" customHeight="1">
      <c r="A56" s="65" t="n">
        <v>46234</v>
      </c>
      <c r="B56" s="63">
        <f>IF(C56="","",IFERROR(INDEX(tbl_Finance[Date],MATCH(C56&amp;"",tbl_Finance[Xero Invoice No],0)),""))</f>
        <v/>
      </c>
      <c r="C56" s="24" t="n"/>
      <c r="D56" s="24" t="inlineStr">
        <is>
          <t>26061608</t>
        </is>
      </c>
      <c r="E56" s="25">
        <f>IF(D56="","",IF(COUNTIF(lst_Jobs,D56&amp;"")&gt;0,"OK","CHECK"))</f>
        <v/>
      </c>
      <c r="F56" s="24" t="inlineStr">
        <is>
          <t>APA</t>
        </is>
      </c>
      <c r="G56" s="24" t="inlineStr">
        <is>
          <t>PRODUCTION</t>
        </is>
      </c>
      <c r="H56" s="24" t="inlineStr">
        <is>
          <t>APA Qtrly All Hands Feb 2027 Package - Conf Call (Revenue) INV-10521</t>
        </is>
      </c>
      <c r="I56" s="24" t="inlineStr">
        <is>
          <t>Deferral - invoiced in advance</t>
        </is>
      </c>
      <c r="J56" s="26" t="n">
        <v>-600</v>
      </c>
      <c r="K56" s="24" t="inlineStr">
        <is>
          <t>11300</t>
        </is>
      </c>
      <c r="L56" s="24" t="n"/>
      <c r="M56" s="24" t="inlineStr">
        <is>
          <t>Y</t>
        </is>
      </c>
      <c r="N56" s="24" t="inlineStr">
        <is>
          <t>Migrated from FY27 Revenue Tracker v2 - confirm type/sign</t>
        </is>
      </c>
    </row>
    <row r="57" ht="15" customHeight="1">
      <c r="A57" s="65" t="n">
        <v>46234</v>
      </c>
      <c r="B57" s="63">
        <f>IF(C57="","",IFERROR(INDEX(tbl_Finance[Date],MATCH(C57&amp;"",tbl_Finance[Xero Invoice No],0)),""))</f>
        <v/>
      </c>
      <c r="C57" s="24" t="n"/>
      <c r="D57" s="24" t="inlineStr">
        <is>
          <t>26061608</t>
        </is>
      </c>
      <c r="E57" s="25">
        <f>IF(D57="","",IF(COUNTIF(lst_Jobs,D57&amp;"")&gt;0,"OK","CHECK"))</f>
        <v/>
      </c>
      <c r="F57" s="24" t="inlineStr">
        <is>
          <t>APA</t>
        </is>
      </c>
      <c r="G57" s="24" t="inlineStr">
        <is>
          <t>PRODUCTION</t>
        </is>
      </c>
      <c r="H57" s="24" t="inlineStr">
        <is>
          <t>APA Qtrly All Hands Feb 2027 Package - Transport (Revenue) INV-10521</t>
        </is>
      </c>
      <c r="I57" s="24" t="inlineStr">
        <is>
          <t>Deferral - invoiced in advance</t>
        </is>
      </c>
      <c r="J57" s="26" t="n">
        <v>-300</v>
      </c>
      <c r="K57" s="24" t="inlineStr">
        <is>
          <t>11300</t>
        </is>
      </c>
      <c r="L57" s="24" t="n"/>
      <c r="M57" s="24" t="inlineStr">
        <is>
          <t>Y</t>
        </is>
      </c>
      <c r="N57" s="24" t="inlineStr">
        <is>
          <t>Migrated from FY27 Revenue Tracker v2 - confirm type/sign</t>
        </is>
      </c>
    </row>
    <row r="58" ht="15" customHeight="1">
      <c r="A58" s="65" t="n">
        <v>46234</v>
      </c>
      <c r="B58" s="63">
        <f>IF(C58="","",IFERROR(INDEX(tbl_Finance[Date],MATCH(C58&amp;"",tbl_Finance[Xero Invoice No],0)),""))</f>
        <v/>
      </c>
      <c r="C58" s="24" t="n"/>
      <c r="D58" s="24" t="inlineStr">
        <is>
          <t>26061608</t>
        </is>
      </c>
      <c r="E58" s="25">
        <f>IF(D58="","",IF(COUNTIF(lst_Jobs,D58&amp;"")&gt;0,"OK","CHECK"))</f>
        <v/>
      </c>
      <c r="F58" s="24" t="inlineStr">
        <is>
          <t>APA</t>
        </is>
      </c>
      <c r="G58" s="24" t="inlineStr">
        <is>
          <t>PRODUCTION</t>
        </is>
      </c>
      <c r="H58" s="24" t="inlineStr">
        <is>
          <t>APA Qtrly All Hands Feb 2027 Package - Tech  Event Mgmt (Revenue) INV-10521</t>
        </is>
      </c>
      <c r="I58" s="24" t="inlineStr">
        <is>
          <t>Deferral - invoiced in advance</t>
        </is>
      </c>
      <c r="J58" s="26" t="n">
        <v>-690</v>
      </c>
      <c r="K58" s="24" t="inlineStr">
        <is>
          <t>11300</t>
        </is>
      </c>
      <c r="L58" s="24" t="n"/>
      <c r="M58" s="24" t="inlineStr">
        <is>
          <t>Y</t>
        </is>
      </c>
      <c r="N58" s="24" t="inlineStr">
        <is>
          <t>Migrated from FY27 Revenue Tracker v2 - confirm type/sign</t>
        </is>
      </c>
    </row>
    <row r="59" ht="15" customHeight="1">
      <c r="A59" s="65" t="n">
        <v>46234</v>
      </c>
      <c r="B59" s="63">
        <f>IF(C59="","",IFERROR(INDEX(tbl_Finance[Date],MATCH(C59&amp;"",tbl_Finance[Xero Invoice No],0)),""))</f>
        <v/>
      </c>
      <c r="C59" s="24" t="n"/>
      <c r="D59" s="24" t="inlineStr">
        <is>
          <t>26061609</t>
        </is>
      </c>
      <c r="E59" s="25">
        <f>IF(D59="","",IF(COUNTIF(lst_Jobs,D59&amp;"")&gt;0,"OK","CHECK"))</f>
        <v/>
      </c>
      <c r="F59" s="24" t="inlineStr">
        <is>
          <t>APA</t>
        </is>
      </c>
      <c r="G59" s="24" t="inlineStr">
        <is>
          <t>PRODUCTION</t>
        </is>
      </c>
      <c r="H59" s="24" t="inlineStr">
        <is>
          <t>APA Qtrly All Hands May 2027 Package - Prd Equipment Hire (Revenue) INV-10521</t>
        </is>
      </c>
      <c r="I59" s="24" t="inlineStr">
        <is>
          <t>Deferral - invoiced in advance</t>
        </is>
      </c>
      <c r="J59" s="26" t="n">
        <v>-5857.6</v>
      </c>
      <c r="K59" s="24" t="inlineStr">
        <is>
          <t>11300</t>
        </is>
      </c>
      <c r="L59" s="24" t="n"/>
      <c r="M59" s="24" t="inlineStr">
        <is>
          <t>Y</t>
        </is>
      </c>
      <c r="N59" s="24" t="inlineStr">
        <is>
          <t>Migrated from FY27 Revenue Tracker v2 - confirm type/sign</t>
        </is>
      </c>
    </row>
    <row r="60" ht="15" customHeight="1">
      <c r="A60" s="65" t="n">
        <v>46234</v>
      </c>
      <c r="B60" s="63">
        <f>IF(C60="","",IFERROR(INDEX(tbl_Finance[Date],MATCH(C60&amp;"",tbl_Finance[Xero Invoice No],0)),""))</f>
        <v/>
      </c>
      <c r="C60" s="24" t="n"/>
      <c r="D60" s="24" t="inlineStr">
        <is>
          <t>26061609V</t>
        </is>
      </c>
      <c r="E60" s="25">
        <f>IF(D60="","",IF(COUNTIF(lst_Jobs,D60&amp;"")&gt;0,"OK","CHECK"))</f>
        <v/>
      </c>
      <c r="F60" s="24" t="inlineStr">
        <is>
          <t>APA</t>
        </is>
      </c>
      <c r="G60" s="24" t="inlineStr">
        <is>
          <t>VIDEO</t>
        </is>
      </c>
      <c r="H60" s="24" t="inlineStr">
        <is>
          <t>APA Qtrly All Hands May 2027 Package - Vid Equipment Hire (Revenue) INV-10521</t>
        </is>
      </c>
      <c r="I60" s="24" t="inlineStr">
        <is>
          <t>Deferral - invoiced in advance</t>
        </is>
      </c>
      <c r="J60" s="26" t="n">
        <v>-592</v>
      </c>
      <c r="K60" s="24" t="inlineStr">
        <is>
          <t>11300</t>
        </is>
      </c>
      <c r="L60" s="24" t="n"/>
      <c r="M60" s="24" t="inlineStr">
        <is>
          <t>Y</t>
        </is>
      </c>
      <c r="N60" s="24" t="inlineStr">
        <is>
          <t>Migrated from FY27 Revenue Tracker v2 - confirm type/sign</t>
        </is>
      </c>
    </row>
    <row r="61" ht="15" customHeight="1">
      <c r="A61" s="65" t="n">
        <v>46234</v>
      </c>
      <c r="B61" s="63">
        <f>IF(C61="","",IFERROR(INDEX(tbl_Finance[Date],MATCH(C61&amp;"",tbl_Finance[Xero Invoice No],0)),""))</f>
        <v/>
      </c>
      <c r="C61" s="24" t="n"/>
      <c r="D61" s="24" t="inlineStr">
        <is>
          <t>26061609</t>
        </is>
      </c>
      <c r="E61" s="25">
        <f>IF(D61="","",IF(COUNTIF(lst_Jobs,D61&amp;"")&gt;0,"OK","CHECK"))</f>
        <v/>
      </c>
      <c r="F61" s="24" t="inlineStr">
        <is>
          <t>APA</t>
        </is>
      </c>
      <c r="G61" s="24" t="inlineStr">
        <is>
          <t>PRODUCTION</t>
        </is>
      </c>
      <c r="H61" s="24" t="inlineStr">
        <is>
          <t>APA Qtrly All Hands May 2027 Package - Prd Labour (Revenue) INV-10521</t>
        </is>
      </c>
      <c r="I61" s="24" t="inlineStr">
        <is>
          <t>Deferral - invoiced in advance</t>
        </is>
      </c>
      <c r="J61" s="26" t="n">
        <v>-4995</v>
      </c>
      <c r="K61" s="24" t="inlineStr">
        <is>
          <t>11300</t>
        </is>
      </c>
      <c r="L61" s="24" t="n"/>
      <c r="M61" s="24" t="inlineStr">
        <is>
          <t>Y</t>
        </is>
      </c>
      <c r="N61" s="24" t="inlineStr">
        <is>
          <t>Migrated from FY27 Revenue Tracker v2 - confirm type/sign</t>
        </is>
      </c>
    </row>
    <row r="62" ht="15" customHeight="1">
      <c r="A62" s="65" t="n">
        <v>46234</v>
      </c>
      <c r="B62" s="63">
        <f>IF(C62="","",IFERROR(INDEX(tbl_Finance[Date],MATCH(C62&amp;"",tbl_Finance[Xero Invoice No],0)),""))</f>
        <v/>
      </c>
      <c r="C62" s="24" t="n"/>
      <c r="D62" s="24" t="inlineStr">
        <is>
          <t>26061609V</t>
        </is>
      </c>
      <c r="E62" s="25">
        <f>IF(D62="","",IF(COUNTIF(lst_Jobs,D62&amp;"")&gt;0,"OK","CHECK"))</f>
        <v/>
      </c>
      <c r="F62" s="24" t="inlineStr">
        <is>
          <t>APA</t>
        </is>
      </c>
      <c r="G62" s="24" t="inlineStr">
        <is>
          <t>VIDEO</t>
        </is>
      </c>
      <c r="H62" s="24" t="inlineStr">
        <is>
          <t>APA Qtrly All Hands May 2027 Package - Vid Labour (Revenue) INV-10521</t>
        </is>
      </c>
      <c r="I62" s="24" t="inlineStr">
        <is>
          <t>Deferral - invoiced in advance</t>
        </is>
      </c>
      <c r="J62" s="26" t="n">
        <v>-485</v>
      </c>
      <c r="K62" s="24" t="inlineStr">
        <is>
          <t>11300</t>
        </is>
      </c>
      <c r="L62" s="24" t="n"/>
      <c r="M62" s="24" t="inlineStr">
        <is>
          <t>Y</t>
        </is>
      </c>
      <c r="N62" s="24" t="inlineStr">
        <is>
          <t>Migrated from FY27 Revenue Tracker v2 - confirm type/sign</t>
        </is>
      </c>
    </row>
    <row r="63" ht="15" customHeight="1">
      <c r="A63" s="65" t="n">
        <v>46234</v>
      </c>
      <c r="B63" s="63">
        <f>IF(C63="","",IFERROR(INDEX(tbl_Finance[Date],MATCH(C63&amp;"",tbl_Finance[Xero Invoice No],0)),""))</f>
        <v/>
      </c>
      <c r="C63" s="24" t="n"/>
      <c r="D63" s="24" t="inlineStr">
        <is>
          <t>26061609</t>
        </is>
      </c>
      <c r="E63" s="25">
        <f>IF(D63="","",IF(COUNTIF(lst_Jobs,D63&amp;"")&gt;0,"OK","CHECK"))</f>
        <v/>
      </c>
      <c r="F63" s="24" t="inlineStr">
        <is>
          <t>APA</t>
        </is>
      </c>
      <c r="G63" s="24" t="inlineStr">
        <is>
          <t>PRODUCTION</t>
        </is>
      </c>
      <c r="H63" s="24" t="inlineStr">
        <is>
          <t>APA Qtrly All Hands May 2027 Package - Conf Call (Revenue) INV-10521</t>
        </is>
      </c>
      <c r="I63" s="24" t="inlineStr">
        <is>
          <t>Deferral - invoiced in advance</t>
        </is>
      </c>
      <c r="J63" s="26" t="n">
        <v>-750</v>
      </c>
      <c r="K63" s="24" t="inlineStr">
        <is>
          <t>11300</t>
        </is>
      </c>
      <c r="L63" s="24" t="n"/>
      <c r="M63" s="24" t="inlineStr">
        <is>
          <t>Y</t>
        </is>
      </c>
      <c r="N63" s="24" t="inlineStr">
        <is>
          <t>Migrated from FY27 Revenue Tracker v2 - confirm type/sign</t>
        </is>
      </c>
    </row>
    <row r="64" ht="15" customHeight="1">
      <c r="A64" s="65" t="n">
        <v>46234</v>
      </c>
      <c r="B64" s="63">
        <f>IF(C64="","",IFERROR(INDEX(tbl_Finance[Date],MATCH(C64&amp;"",tbl_Finance[Xero Invoice No],0)),""))</f>
        <v/>
      </c>
      <c r="C64" s="24" t="n"/>
      <c r="D64" s="24" t="inlineStr">
        <is>
          <t>26061609</t>
        </is>
      </c>
      <c r="E64" s="25">
        <f>IF(D64="","",IF(COUNTIF(lst_Jobs,D64&amp;"")&gt;0,"OK","CHECK"))</f>
        <v/>
      </c>
      <c r="F64" s="24" t="inlineStr">
        <is>
          <t>APA</t>
        </is>
      </c>
      <c r="G64" s="24" t="inlineStr">
        <is>
          <t>PRODUCTION</t>
        </is>
      </c>
      <c r="H64" s="24" t="inlineStr">
        <is>
          <t>APA Qtrly All Hands May 2027 Package - Transport (Revenue) INV-10521</t>
        </is>
      </c>
      <c r="I64" s="24" t="inlineStr">
        <is>
          <t>Deferral - invoiced in advance</t>
        </is>
      </c>
      <c r="J64" s="26" t="n">
        <v>-300</v>
      </c>
      <c r="K64" s="24" t="inlineStr">
        <is>
          <t>11300</t>
        </is>
      </c>
      <c r="L64" s="24" t="n"/>
      <c r="M64" s="24" t="inlineStr">
        <is>
          <t>Y</t>
        </is>
      </c>
      <c r="N64" s="24" t="inlineStr">
        <is>
          <t>Migrated from FY27 Revenue Tracker v2 - confirm type/sign</t>
        </is>
      </c>
    </row>
    <row r="65" ht="15" customHeight="1">
      <c r="A65" s="65" t="n">
        <v>46234</v>
      </c>
      <c r="B65" s="63">
        <f>IF(C65="","",IFERROR(INDEX(tbl_Finance[Date],MATCH(C65&amp;"",tbl_Finance[Xero Invoice No],0)),""))</f>
        <v/>
      </c>
      <c r="C65" s="24" t="n"/>
      <c r="D65" s="24" t="inlineStr">
        <is>
          <t>26061609</t>
        </is>
      </c>
      <c r="E65" s="25">
        <f>IF(D65="","",IF(COUNTIF(lst_Jobs,D65&amp;"")&gt;0,"OK","CHECK"))</f>
        <v/>
      </c>
      <c r="F65" s="24" t="inlineStr">
        <is>
          <t>APA</t>
        </is>
      </c>
      <c r="G65" s="24" t="inlineStr">
        <is>
          <t>PRODUCTION</t>
        </is>
      </c>
      <c r="H65" s="24" t="inlineStr">
        <is>
          <t>APA Qtrly All Hands May 2027 Package - Tech  Event Mgmt (Revenue) INV-10521</t>
        </is>
      </c>
      <c r="I65" s="24" t="inlineStr">
        <is>
          <t>Deferral - invoiced in advance</t>
        </is>
      </c>
      <c r="J65" s="26" t="n">
        <v>-690</v>
      </c>
      <c r="K65" s="24" t="inlineStr">
        <is>
          <t>11300</t>
        </is>
      </c>
      <c r="L65" s="24" t="n"/>
      <c r="M65" s="24" t="inlineStr">
        <is>
          <t>Y</t>
        </is>
      </c>
      <c r="N65" s="24" t="inlineStr">
        <is>
          <t>Migrated from FY27 Revenue Tracker v2 - confirm type/sign</t>
        </is>
      </c>
    </row>
    <row r="66" ht="15" customHeight="1">
      <c r="A66" s="65" t="n">
        <v>46234</v>
      </c>
      <c r="B66" s="63">
        <f>IF(C66="","",IFERROR(INDEX(tbl_Finance[Date],MATCH(C66&amp;"",tbl_Finance[Xero Invoice No],0)),""))</f>
        <v/>
      </c>
      <c r="C66" s="24" t="n"/>
      <c r="D66" s="24" t="inlineStr">
        <is>
          <t>26061609</t>
        </is>
      </c>
      <c r="E66" s="25">
        <f>IF(D66="","",IF(COUNTIF(lst_Jobs,D66&amp;"")&gt;0,"OK","CHECK"))</f>
        <v/>
      </c>
      <c r="F66" s="24" t="inlineStr">
        <is>
          <t>APA</t>
        </is>
      </c>
      <c r="G66" s="24" t="inlineStr">
        <is>
          <t>PRODUCTION</t>
        </is>
      </c>
      <c r="H66" s="24" t="inlineStr">
        <is>
          <t>APA Qtrly All Hands May 2027 Package - Travel (Revenue) INV-10521</t>
        </is>
      </c>
      <c r="I66" s="24" t="inlineStr">
        <is>
          <t>Deferral - invoiced in advance</t>
        </is>
      </c>
      <c r="J66" s="26" t="n">
        <v>-1200</v>
      </c>
      <c r="K66" s="24" t="inlineStr">
        <is>
          <t>11300</t>
        </is>
      </c>
      <c r="L66" s="24" t="n"/>
      <c r="M66" s="24" t="inlineStr">
        <is>
          <t>Y</t>
        </is>
      </c>
      <c r="N66" s="24" t="inlineStr">
        <is>
          <t>Migrated from FY27 Revenue Tracker v2 - confirm type/sign</t>
        </is>
      </c>
    </row>
    <row r="67" ht="15" customHeight="1">
      <c r="A67" s="65" t="n">
        <v>46234</v>
      </c>
      <c r="B67" s="63">
        <f>IF(C67="","",IFERROR(INDEX(tbl_Finance[Date],MATCH(C67&amp;"",tbl_Finance[Xero Invoice No],0)),""))</f>
        <v/>
      </c>
      <c r="C67" s="24" t="n"/>
      <c r="D67" s="24" t="inlineStr">
        <is>
          <t>2603104</t>
        </is>
      </c>
      <c r="E67" s="25">
        <f>IF(D67="","",IF(COUNTIF(lst_Jobs,D67&amp;"")&gt;0,"OK","CHECK"))</f>
        <v/>
      </c>
      <c r="F67" s="24" t="inlineStr">
        <is>
          <t>Cochlear</t>
        </is>
      </c>
      <c r="G67" s="24" t="inlineStr">
        <is>
          <t>PRODUCTION</t>
        </is>
      </c>
      <c r="H67" s="24" t="inlineStr">
        <is>
          <t>Cochlear FY26 Results 18.8.26 [PRD] pre-prod work</t>
        </is>
      </c>
      <c r="I67" s="24" t="inlineStr">
        <is>
          <t>Accrual - unbilled work</t>
        </is>
      </c>
      <c r="J67" s="26" t="n">
        <v>172.5</v>
      </c>
      <c r="K67" s="24" t="inlineStr">
        <is>
          <t>11300</t>
        </is>
      </c>
      <c r="L67" s="24" t="n"/>
      <c r="M67" s="24" t="inlineStr">
        <is>
          <t>Y</t>
        </is>
      </c>
      <c r="N67" s="24" t="inlineStr">
        <is>
          <t>Migrated from FY27 Revenue Tracker v2 - confirm type/sign</t>
        </is>
      </c>
    </row>
    <row r="68" ht="15" customHeight="1">
      <c r="A68" s="65" t="n">
        <v>46234</v>
      </c>
      <c r="B68" s="63">
        <f>IF(C68="","",IFERROR(INDEX(tbl_Finance[Date],MATCH(C68&amp;"",tbl_Finance[Xero Invoice No],0)),""))</f>
        <v/>
      </c>
      <c r="C68" s="24" t="n"/>
      <c r="D68" s="24" t="inlineStr">
        <is>
          <t>2512804</t>
        </is>
      </c>
      <c r="E68" s="25">
        <f>IF(D68="","",IF(COUNTIF(lst_Jobs,D68&amp;"")&gt;0,"OK","CHECK"))</f>
        <v/>
      </c>
      <c r="F68" s="24" t="inlineStr">
        <is>
          <t>RSNSW</t>
        </is>
      </c>
      <c r="G68" s="24" t="inlineStr">
        <is>
          <t>PRODUCTION</t>
        </is>
      </c>
      <c r="H68" s="24" t="inlineStr">
        <is>
          <t>RSNSW Ordinary General Meeting 5.8.26 [PRD] pre-prod work</t>
        </is>
      </c>
      <c r="I68" s="24" t="inlineStr">
        <is>
          <t>Accrual - unbilled work</t>
        </is>
      </c>
      <c r="J68" s="26" t="n">
        <v>115</v>
      </c>
      <c r="K68" s="24" t="inlineStr">
        <is>
          <t>11300</t>
        </is>
      </c>
      <c r="L68" s="24" t="n"/>
      <c r="M68" s="24" t="inlineStr">
        <is>
          <t>Y</t>
        </is>
      </c>
      <c r="N68" s="24" t="inlineStr">
        <is>
          <t>Migrated from FY27 Revenue Tracker v2 - confirm type/sign</t>
        </is>
      </c>
    </row>
    <row r="69" ht="15" customHeight="1">
      <c r="A69" s="65" t="n">
        <v>46234</v>
      </c>
      <c r="B69" s="63">
        <f>IF(C69="","",IFERROR(INDEX(tbl_Finance[Date],MATCH(C69&amp;"",tbl_Finance[Xero Invoice No],0)),""))</f>
        <v/>
      </c>
      <c r="C69" s="24" t="n"/>
      <c r="D69" s="24" t="inlineStr">
        <is>
          <t>26061108</t>
        </is>
      </c>
      <c r="E69" s="25">
        <f>IF(D69="","",IF(COUNTIF(lst_Jobs,D69&amp;"")&gt;0,"OK","CHECK"))</f>
        <v/>
      </c>
      <c r="F69" s="24" t="inlineStr">
        <is>
          <t>APA</t>
        </is>
      </c>
      <c r="G69" s="24" t="inlineStr">
        <is>
          <t>PRODUCTION</t>
        </is>
      </c>
      <c r="H69" s="24" t="inlineStr">
        <is>
          <t>APA - Qtly All Hands FYR26 - 20.8.26 [PRD] pre-prod work</t>
        </is>
      </c>
      <c r="I69" s="24" t="inlineStr">
        <is>
          <t>Accrual - unbilled work</t>
        </is>
      </c>
      <c r="J69" s="26" t="n">
        <v>172.5</v>
      </c>
      <c r="K69" s="24" t="inlineStr">
        <is>
          <t>11300</t>
        </is>
      </c>
      <c r="L69" s="24" t="n"/>
      <c r="M69" s="24" t="inlineStr">
        <is>
          <t>Y</t>
        </is>
      </c>
      <c r="N69" s="24" t="inlineStr">
        <is>
          <t>Migrated from FY27 Revenue Tracker v2 - confirm type/sign</t>
        </is>
      </c>
    </row>
    <row r="70" ht="15" customHeight="1">
      <c r="A70" s="65" t="n">
        <v>46265</v>
      </c>
      <c r="B70" s="63">
        <f>IF(C70="","",IFERROR(INDEX(tbl_Finance[Date],MATCH(C70&amp;"",tbl_Finance[Xero Invoice No],0)),""))</f>
        <v/>
      </c>
      <c r="C70" s="24" t="n"/>
      <c r="D70" s="24" t="inlineStr">
        <is>
          <t>26062503</t>
        </is>
      </c>
      <c r="E70" s="25">
        <f>IF(D70="","",IF(COUNTIF(lst_Jobs,D70&amp;"")&gt;0,"OK","CHECK"))</f>
        <v/>
      </c>
      <c r="F70" s="24" t="inlineStr">
        <is>
          <t>Aware Super</t>
        </is>
      </c>
      <c r="G70" s="24" t="n"/>
      <c r="H70" s="24" t="inlineStr">
        <is>
          <t>Aware Super 24.16 UC Engine Replacement [INT] Labour Revenue INV-10619 | Pre work</t>
        </is>
      </c>
      <c r="I70" s="24" t="inlineStr">
        <is>
          <t>Accrual - unbilled work</t>
        </is>
      </c>
      <c r="J70" s="26" t="n">
        <v>671</v>
      </c>
      <c r="K70" s="24" t="inlineStr">
        <is>
          <t>11300</t>
        </is>
      </c>
      <c r="L70" s="24" t="n"/>
      <c r="M70" s="24" t="inlineStr">
        <is>
          <t>Y</t>
        </is>
      </c>
      <c r="N70" s="24" t="inlineStr">
        <is>
          <t>Migrated from FY27 Revenue Tracker v2 - confirm type/sign</t>
        </is>
      </c>
    </row>
    <row r="71" ht="15" customHeight="1">
      <c r="A71" s="65" t="n">
        <v>46265</v>
      </c>
      <c r="B71" s="63">
        <f>IF(C71="","",IFERROR(INDEX(tbl_Finance[Date],MATCH(C71&amp;"",tbl_Finance[Xero Invoice No],0)),""))</f>
        <v/>
      </c>
      <c r="C71" s="24" t="n"/>
      <c r="D71" s="24" t="inlineStr">
        <is>
          <t>26062901</t>
        </is>
      </c>
      <c r="E71" s="25">
        <f>IF(D71="","",IF(COUNTIF(lst_Jobs,D71&amp;"")&gt;0,"OK","CHECK"))</f>
        <v/>
      </c>
      <c r="F71" s="24" t="inlineStr">
        <is>
          <t>Aware Super</t>
        </is>
      </c>
      <c r="G71" s="24" t="n"/>
      <c r="H71" s="24" t="inlineStr">
        <is>
          <t>Aware | SYD 28.06 Services [INT] Labour Revenue Pre work</t>
        </is>
      </c>
      <c r="I71" s="24" t="inlineStr">
        <is>
          <t>Deferral - invoiced in advance</t>
        </is>
      </c>
      <c r="J71" s="26" t="n">
        <v>-1450</v>
      </c>
      <c r="K71" s="24" t="inlineStr">
        <is>
          <t>11300</t>
        </is>
      </c>
      <c r="L71" s="24" t="n"/>
      <c r="M71" s="24" t="inlineStr">
        <is>
          <t>Y</t>
        </is>
      </c>
      <c r="N71" s="24" t="inlineStr">
        <is>
          <t>Migrated from FY27 Revenue Tracker v2 - confirm type/sign</t>
        </is>
      </c>
    </row>
    <row r="72" ht="15" customHeight="1">
      <c r="A72" s="65" t="n"/>
      <c r="B72" s="63">
        <f>IF(C72="","",IFERROR(INDEX(tbl_Finance[Date],MATCH(C72&amp;"",tbl_Finance[Xero Invoice No],0)),""))</f>
        <v/>
      </c>
      <c r="C72" s="24" t="n"/>
      <c r="D72" s="24" t="inlineStr">
        <is>
          <t>2604704</t>
        </is>
      </c>
      <c r="E72" s="25">
        <f>IF(D72="","",IF(COUNTIF(lst_Jobs,D72&amp;"")&gt;0,"OK","CHECK"))</f>
        <v/>
      </c>
      <c r="F72" s="24" t="inlineStr">
        <is>
          <t>Aware Super</t>
        </is>
      </c>
      <c r="G72" s="24" t="n"/>
      <c r="H72" s="24" t="inlineStr">
        <is>
          <t>Aware Super Seminar Room Audio Upgrade [INT] Labour Revenue INV-10596 | Pre work</t>
        </is>
      </c>
      <c r="I72" s="24" t="inlineStr">
        <is>
          <t>Accrual - unbilled work</t>
        </is>
      </c>
      <c r="J72" s="26" t="n"/>
      <c r="K72" s="24" t="inlineStr">
        <is>
          <t>11300</t>
        </is>
      </c>
      <c r="L72" s="24" t="n"/>
      <c r="M72" s="24" t="inlineStr">
        <is>
          <t>Y</t>
        </is>
      </c>
      <c r="N72" s="24" t="inlineStr">
        <is>
          <t>Migrated from FY27 Revenue Tracker v2 - confirm type/sign</t>
        </is>
      </c>
    </row>
    <row r="73" ht="15" customHeight="1">
      <c r="A73" s="65" t="n">
        <v>46265</v>
      </c>
      <c r="B73" s="63">
        <f>IF(C73="","",IFERROR(INDEX(tbl_Finance[Date],MATCH(C73&amp;"",tbl_Finance[Xero Invoice No],0)),""))</f>
        <v/>
      </c>
      <c r="C73" s="24" t="n"/>
      <c r="D73" s="24" t="inlineStr">
        <is>
          <t>26061602</t>
        </is>
      </c>
      <c r="E73" s="25">
        <f>IF(D73="","",IF(COUNTIF(lst_Jobs,D73&amp;"")&gt;0,"OK","CHECK"))</f>
        <v/>
      </c>
      <c r="F73" s="24" t="inlineStr">
        <is>
          <t>ASX</t>
        </is>
      </c>
      <c r="G73" s="24" t="n"/>
      <c r="H73" s="24" t="inlineStr">
        <is>
          <t>ASX CEO Connect (Extended Results) 1.9.26 [PRD] Pre-prod labour</t>
        </is>
      </c>
      <c r="I73" s="24" t="inlineStr">
        <is>
          <t>Accrual - unbilled work</t>
        </is>
      </c>
      <c r="J73" s="26" t="n">
        <v>1852.5</v>
      </c>
      <c r="K73" s="24" t="inlineStr">
        <is>
          <t>11300</t>
        </is>
      </c>
      <c r="L73" s="24" t="n"/>
      <c r="M73" s="24" t="inlineStr">
        <is>
          <t>Y</t>
        </is>
      </c>
      <c r="N73" s="24" t="inlineStr">
        <is>
          <t>Migrated from FY27 Revenue Tracker v2 - confirm type/sign</t>
        </is>
      </c>
    </row>
    <row r="74" ht="15" customHeight="1">
      <c r="A74" s="65" t="n">
        <v>46265</v>
      </c>
      <c r="B74" s="63">
        <f>IF(C74="","",IFERROR(INDEX(tbl_Finance[Date],MATCH(C74&amp;"",tbl_Finance[Xero Invoice No],0)),""))</f>
        <v/>
      </c>
      <c r="C74" s="24" t="n"/>
      <c r="D74" s="24" t="inlineStr">
        <is>
          <t>26071701</t>
        </is>
      </c>
      <c r="E74" s="25">
        <f>IF(D74="","",IF(COUNTIF(lst_Jobs,D74&amp;"")&gt;0,"OK","CHECK"))</f>
        <v/>
      </c>
      <c r="F74" s="24" t="inlineStr">
        <is>
          <t>ASX</t>
        </is>
      </c>
      <c r="G74" s="24" t="n"/>
      <c r="H74" s="24" t="inlineStr">
        <is>
          <t>ASX Live - 9.9.26 [PRD] Pre-prod labour</t>
        </is>
      </c>
      <c r="I74" s="24" t="inlineStr">
        <is>
          <t>Accrual - unbilled work</t>
        </is>
      </c>
      <c r="J74" s="26" t="n">
        <v>1885</v>
      </c>
      <c r="K74" s="24" t="inlineStr">
        <is>
          <t>11300</t>
        </is>
      </c>
      <c r="L74" s="24" t="n"/>
      <c r="M74" s="24" t="inlineStr">
        <is>
          <t>Y</t>
        </is>
      </c>
      <c r="N74" s="24" t="inlineStr">
        <is>
          <t>Migrated from FY27 Revenue Tracker v2 - confirm type/sign</t>
        </is>
      </c>
    </row>
    <row r="75" ht="15" customHeight="1">
      <c r="A75" s="65" t="n">
        <v>46265</v>
      </c>
      <c r="B75" s="63">
        <f>IF(C75="","",IFERROR(INDEX(tbl_Finance[Date],MATCH(C75&amp;"",tbl_Finance[Xero Invoice No],0)),""))</f>
        <v/>
      </c>
      <c r="C75" s="24" t="n"/>
      <c r="D75" s="24" t="inlineStr">
        <is>
          <t>26072102</t>
        </is>
      </c>
      <c r="E75" s="25">
        <f>IF(D75="","",IF(COUNTIF(lst_Jobs,D75&amp;"")&gt;0,"OK","CHECK"))</f>
        <v/>
      </c>
      <c r="F75" s="24" t="inlineStr">
        <is>
          <t>Ventia</t>
        </is>
      </c>
      <c r="G75" s="24" t="n"/>
      <c r="H75" s="24" t="inlineStr">
        <is>
          <t>Ventia - RUOK? Day - 10.09.2026 [PRD] pre-prd labour</t>
        </is>
      </c>
      <c r="I75" s="24" t="inlineStr">
        <is>
          <t>Accrual - unbilled work</t>
        </is>
      </c>
      <c r="J75" s="26" t="n">
        <v>585</v>
      </c>
      <c r="K75" s="24" t="inlineStr">
        <is>
          <t>11300</t>
        </is>
      </c>
      <c r="L75" s="24" t="n"/>
      <c r="M75" s="24" t="inlineStr">
        <is>
          <t>Y</t>
        </is>
      </c>
      <c r="N75" s="24" t="inlineStr">
        <is>
          <t>Migrated from FY27 Revenue Tracker v2 - confirm type/sign</t>
        </is>
      </c>
    </row>
    <row r="76" ht="15" customHeight="1">
      <c r="A76" s="65" t="n">
        <v>46265</v>
      </c>
      <c r="B76" s="63">
        <f>IF(C76="","",IFERROR(INDEX(tbl_Finance[Date],MATCH(C76&amp;"",tbl_Finance[Xero Invoice No],0)),""))</f>
        <v/>
      </c>
      <c r="C76" s="24" t="n"/>
      <c r="D76" s="24" t="inlineStr">
        <is>
          <t>26082502</t>
        </is>
      </c>
      <c r="E76" s="25">
        <f>IF(D76="","",IF(COUNTIF(lst_Jobs,D76&amp;"")&gt;0,"OK","CHECK"))</f>
        <v/>
      </c>
      <c r="F76" s="24" t="inlineStr">
        <is>
          <t>ICC</t>
        </is>
      </c>
      <c r="G76" s="24" t="n"/>
      <c r="H76" s="24" t="inlineStr">
        <is>
          <t>ICC - Presenter &amp; Speaker Preparation - September 2026 [PRD] pre-prod labour</t>
        </is>
      </c>
      <c r="I76" s="24" t="inlineStr">
        <is>
          <t>Accrual - unbilled work</t>
        </is>
      </c>
      <c r="J76" s="26" t="n">
        <v>292.5</v>
      </c>
      <c r="K76" s="24" t="inlineStr">
        <is>
          <t>11300</t>
        </is>
      </c>
      <c r="L76" s="24" t="n"/>
      <c r="M76" s="24" t="inlineStr">
        <is>
          <t>Y</t>
        </is>
      </c>
      <c r="N76" s="24" t="inlineStr">
        <is>
          <t>Migrated from FY27 Revenue Tracker v2 - confirm type/sign</t>
        </is>
      </c>
    </row>
    <row r="77" ht="15" customHeight="1">
      <c r="A77" s="65" t="n">
        <v>46265</v>
      </c>
      <c r="B77" s="63">
        <f>IF(C77="","",IFERROR(INDEX(tbl_Finance[Date],MATCH(C77&amp;"",tbl_Finance[Xero Invoice No],0)),""))</f>
        <v/>
      </c>
      <c r="C77" s="24" t="n"/>
      <c r="D77" s="24" t="inlineStr">
        <is>
          <t>26032302</t>
        </is>
      </c>
      <c r="E77" s="25">
        <f>IF(D77="","",IF(COUNTIF(lst_Jobs,D77&amp;"")&gt;0,"OK","CHECK"))</f>
        <v/>
      </c>
      <c r="F77" s="24" t="inlineStr">
        <is>
          <t>RSNSW</t>
        </is>
      </c>
      <c r="G77" s="24" t="n"/>
      <c r="H77" s="24" t="inlineStr">
        <is>
          <t>RSNSW - OGM - 2.9.2026 [PRD] pre-prod labour</t>
        </is>
      </c>
      <c r="I77" s="24" t="inlineStr">
        <is>
          <t>Accrual - unbilled work</t>
        </is>
      </c>
      <c r="J77" s="26" t="n">
        <v>260</v>
      </c>
      <c r="K77" s="24" t="inlineStr">
        <is>
          <t>11300</t>
        </is>
      </c>
      <c r="L77" s="24" t="n"/>
      <c r="M77" s="24" t="inlineStr">
        <is>
          <t>Y</t>
        </is>
      </c>
      <c r="N77" s="24" t="inlineStr">
        <is>
          <t>Migrated from FY27 Revenue Tracker v2 - confirm type/sign</t>
        </is>
      </c>
    </row>
    <row r="78" ht="15" customHeight="1">
      <c r="A78" s="65" t="n">
        <v>46265</v>
      </c>
      <c r="B78" s="63">
        <f>IF(C78="","",IFERROR(INDEX(tbl_Finance[Date],MATCH(C78&amp;"",tbl_Finance[Xero Invoice No],0)),""))</f>
        <v/>
      </c>
      <c r="C78" s="24" t="n"/>
      <c r="D78" s="24" t="inlineStr">
        <is>
          <t>26061602V</t>
        </is>
      </c>
      <c r="E78" s="25">
        <f>IF(D78="","",IF(COUNTIF(lst_Jobs,D78&amp;"")&gt;0,"OK","CHECK"))</f>
        <v/>
      </c>
      <c r="F78" s="24" t="inlineStr">
        <is>
          <t>ASX</t>
        </is>
      </c>
      <c r="G78" s="24" t="n"/>
      <c r="H78" s="24" t="inlineStr">
        <is>
          <t>ASX CEO Connect (Extended Results) 1.9.26 [VID] pre-vid labour</t>
        </is>
      </c>
      <c r="I78" s="24" t="inlineStr">
        <is>
          <t>Accrual - unbilled work</t>
        </is>
      </c>
      <c r="J78" s="26" t="n">
        <v>190</v>
      </c>
      <c r="K78" s="24" t="inlineStr">
        <is>
          <t>11300</t>
        </is>
      </c>
      <c r="L78" s="24" t="n"/>
      <c r="M78" s="24" t="inlineStr">
        <is>
          <t>Y</t>
        </is>
      </c>
      <c r="N78" s="24" t="inlineStr">
        <is>
          <t>Migrated from FY27 Revenue Tracker v2 - confirm type/sign</t>
        </is>
      </c>
    </row>
    <row r="79" ht="15" customHeight="1">
      <c r="A79" s="65" t="n">
        <v>46265</v>
      </c>
      <c r="B79" s="63">
        <f>IF(C79="","",IFERROR(INDEX(tbl_Finance[Date],MATCH(C79&amp;"",tbl_Finance[Xero Invoice No],0)),""))</f>
        <v/>
      </c>
      <c r="C79" s="24" t="n"/>
      <c r="D79" s="24" t="inlineStr">
        <is>
          <t>2591012C</t>
        </is>
      </c>
      <c r="E79" s="25">
        <f>IF(D79="","",IF(COUNTIF(lst_Jobs,D79&amp;"")&gt;0,"OK","CHECK"))</f>
        <v/>
      </c>
      <c r="F79" s="24" t="inlineStr">
        <is>
          <t>St Luke</t>
        </is>
      </c>
      <c r="G79" s="24" t="n"/>
      <c r="H79" s="24" t="inlineStr">
        <is>
          <t>St Luke Equipment Sale | DL to advise to invoice in SEPT26 | Indicative Revenue</t>
        </is>
      </c>
      <c r="I79" s="24" t="inlineStr">
        <is>
          <t>Deferral - invoiced in advance</t>
        </is>
      </c>
      <c r="J79" s="26" t="n">
        <v>-4227.27</v>
      </c>
      <c r="K79" s="24" t="inlineStr">
        <is>
          <t>11300</t>
        </is>
      </c>
      <c r="L79" s="24" t="n"/>
      <c r="M79" s="24" t="inlineStr">
        <is>
          <t>Y</t>
        </is>
      </c>
      <c r="N79" s="24" t="inlineStr">
        <is>
          <t>Migrated from FY27 Revenue Tracker v2 - confirm type/sign</t>
        </is>
      </c>
    </row>
    <row r="80" ht="15" customHeight="1">
      <c r="A80" s="65" t="n">
        <v>46265</v>
      </c>
      <c r="B80" s="63">
        <f>IF(C80="","",IFERROR(INDEX(tbl_Finance[Date],MATCH(C80&amp;"",tbl_Finance[Xero Invoice No],0)),""))</f>
        <v/>
      </c>
      <c r="C80" s="24" t="n"/>
      <c r="D80" s="24" t="inlineStr">
        <is>
          <t>26061108</t>
        </is>
      </c>
      <c r="E80" s="25">
        <f>IF(D80="","",IF(COUNTIF(lst_Jobs,D80&amp;"")&gt;0,"OK","CHECK"))</f>
        <v/>
      </c>
      <c r="F80" s="24" t="inlineStr">
        <is>
          <t>APA</t>
        </is>
      </c>
      <c r="G80" s="24" t="inlineStr">
        <is>
          <t>PRODUCTION</t>
        </is>
      </c>
      <c r="H80" s="24" t="inlineStr">
        <is>
          <t>APA FYR All Hands August 2026 Package - Prd Equipment Hire (Revenue) INV-10521</t>
        </is>
      </c>
      <c r="I80" s="24" t="inlineStr">
        <is>
          <t>Accrual - unbilled work</t>
        </is>
      </c>
      <c r="J80" s="26" t="n">
        <v>5413.6</v>
      </c>
      <c r="K80" s="24" t="inlineStr">
        <is>
          <t>11300</t>
        </is>
      </c>
      <c r="L80" s="24" t="n"/>
      <c r="M80" s="24" t="inlineStr">
        <is>
          <t>Y</t>
        </is>
      </c>
      <c r="N80" s="24" t="inlineStr">
        <is>
          <t>Migrated from FY27 Revenue Tracker v2 - confirm type/sign</t>
        </is>
      </c>
    </row>
    <row r="81" ht="15" customHeight="1">
      <c r="A81" s="65" t="n">
        <v>46265</v>
      </c>
      <c r="B81" s="63">
        <f>IF(C81="","",IFERROR(INDEX(tbl_Finance[Date],MATCH(C81&amp;"",tbl_Finance[Xero Invoice No],0)),""))</f>
        <v/>
      </c>
      <c r="C81" s="24" t="n"/>
      <c r="D81" s="24" t="inlineStr">
        <is>
          <t>26061108V</t>
        </is>
      </c>
      <c r="E81" s="25">
        <f>IF(D81="","",IF(COUNTIF(lst_Jobs,D81&amp;"")&gt;0,"OK","CHECK"))</f>
        <v/>
      </c>
      <c r="F81" s="24" t="inlineStr">
        <is>
          <t>APA</t>
        </is>
      </c>
      <c r="G81" s="24" t="inlineStr">
        <is>
          <t>VIDEO</t>
        </is>
      </c>
      <c r="H81" s="24" t="inlineStr">
        <is>
          <t>APA FYR All Hands August 2026 Package - Vid Equipment Hire (Revenue) INV-10521</t>
        </is>
      </c>
      <c r="I81" s="24" t="inlineStr">
        <is>
          <t>Accrual - unbilled work</t>
        </is>
      </c>
      <c r="J81" s="26" t="n">
        <v>592</v>
      </c>
      <c r="K81" s="24" t="inlineStr">
        <is>
          <t>11300</t>
        </is>
      </c>
      <c r="L81" s="24" t="n"/>
      <c r="M81" s="24" t="inlineStr">
        <is>
          <t>Y</t>
        </is>
      </c>
      <c r="N81" s="24" t="inlineStr">
        <is>
          <t>Migrated from FY27 Revenue Tracker v2 - confirm type/sign</t>
        </is>
      </c>
    </row>
    <row r="82" ht="15" customHeight="1">
      <c r="A82" s="65" t="n">
        <v>46265</v>
      </c>
      <c r="B82" s="63">
        <f>IF(C82="","",IFERROR(INDEX(tbl_Finance[Date],MATCH(C82&amp;"",tbl_Finance[Xero Invoice No],0)),""))</f>
        <v/>
      </c>
      <c r="C82" s="24" t="n"/>
      <c r="D82" s="24" t="inlineStr">
        <is>
          <t>26061108</t>
        </is>
      </c>
      <c r="E82" s="25">
        <f>IF(D82="","",IF(COUNTIF(lst_Jobs,D82&amp;"")&gt;0,"OK","CHECK"))</f>
        <v/>
      </c>
      <c r="F82" s="24" t="inlineStr">
        <is>
          <t>APA</t>
        </is>
      </c>
      <c r="G82" s="24" t="inlineStr">
        <is>
          <t>PRODUCTION</t>
        </is>
      </c>
      <c r="H82" s="24" t="inlineStr">
        <is>
          <t>APA FYR All Hands August 2026 Package - Prd Labour (Revenue) INV-10521</t>
        </is>
      </c>
      <c r="I82" s="24" t="inlineStr">
        <is>
          <t>Accrual - unbilled work</t>
        </is>
      </c>
      <c r="J82" s="26" t="n">
        <v>4520</v>
      </c>
      <c r="K82" s="24" t="inlineStr">
        <is>
          <t>11300</t>
        </is>
      </c>
      <c r="L82" s="24" t="n"/>
      <c r="M82" s="24" t="inlineStr">
        <is>
          <t>Y</t>
        </is>
      </c>
      <c r="N82" s="24" t="inlineStr">
        <is>
          <t>Migrated from FY27 Revenue Tracker v2 - confirm type/sign</t>
        </is>
      </c>
    </row>
    <row r="83" ht="15" customHeight="1">
      <c r="A83" s="65" t="n">
        <v>46265</v>
      </c>
      <c r="B83" s="63">
        <f>IF(C83="","",IFERROR(INDEX(tbl_Finance[Date],MATCH(C83&amp;"",tbl_Finance[Xero Invoice No],0)),""))</f>
        <v/>
      </c>
      <c r="C83" s="24" t="n"/>
      <c r="D83" s="24" t="inlineStr">
        <is>
          <t>26061108V</t>
        </is>
      </c>
      <c r="E83" s="25">
        <f>IF(D83="","",IF(COUNTIF(lst_Jobs,D83&amp;"")&gt;0,"OK","CHECK"))</f>
        <v/>
      </c>
      <c r="F83" s="24" t="inlineStr">
        <is>
          <t>APA</t>
        </is>
      </c>
      <c r="G83" s="24" t="inlineStr">
        <is>
          <t>VIDEO</t>
        </is>
      </c>
      <c r="H83" s="24" t="inlineStr">
        <is>
          <t>APA FYR All Hands August 2026 Package - Vid Labour (Revenue) INV-10521</t>
        </is>
      </c>
      <c r="I83" s="24" t="inlineStr">
        <is>
          <t>Accrual - unbilled work</t>
        </is>
      </c>
      <c r="J83" s="26" t="n">
        <v>485</v>
      </c>
      <c r="K83" s="24" t="inlineStr">
        <is>
          <t>11300</t>
        </is>
      </c>
      <c r="L83" s="24" t="n"/>
      <c r="M83" s="24" t="inlineStr">
        <is>
          <t>Y</t>
        </is>
      </c>
      <c r="N83" s="24" t="inlineStr">
        <is>
          <t>Migrated from FY27 Revenue Tracker v2 - confirm type/sign</t>
        </is>
      </c>
    </row>
    <row r="84" ht="15" customHeight="1">
      <c r="A84" s="65" t="n">
        <v>46265</v>
      </c>
      <c r="B84" s="63">
        <f>IF(C84="","",IFERROR(INDEX(tbl_Finance[Date],MATCH(C84&amp;"",tbl_Finance[Xero Invoice No],0)),""))</f>
        <v/>
      </c>
      <c r="C84" s="24" t="n"/>
      <c r="D84" s="24" t="inlineStr">
        <is>
          <t>26061108</t>
        </is>
      </c>
      <c r="E84" s="25">
        <f>IF(D84="","",IF(COUNTIF(lst_Jobs,D84&amp;"")&gt;0,"OK","CHECK"))</f>
        <v/>
      </c>
      <c r="F84" s="24" t="inlineStr">
        <is>
          <t>APA</t>
        </is>
      </c>
      <c r="G84" s="24" t="inlineStr">
        <is>
          <t>PRODUCTION</t>
        </is>
      </c>
      <c r="H84" s="24" t="inlineStr">
        <is>
          <t>APA FYR All Hands August 2026 Package - Conf Call (Revenue) INV-10521</t>
        </is>
      </c>
      <c r="I84" s="24" t="inlineStr">
        <is>
          <t>Accrual - unbilled work</t>
        </is>
      </c>
      <c r="J84" s="26" t="n">
        <v>600</v>
      </c>
      <c r="K84" s="24" t="inlineStr">
        <is>
          <t>11300</t>
        </is>
      </c>
      <c r="L84" s="24" t="n"/>
      <c r="M84" s="24" t="inlineStr">
        <is>
          <t>Y</t>
        </is>
      </c>
      <c r="N84" s="24" t="inlineStr">
        <is>
          <t>Migrated from FY27 Revenue Tracker v2 - confirm type/sign</t>
        </is>
      </c>
    </row>
    <row r="85" ht="15" customHeight="1">
      <c r="A85" s="65" t="n">
        <v>46265</v>
      </c>
      <c r="B85" s="63">
        <f>IF(C85="","",IFERROR(INDEX(tbl_Finance[Date],MATCH(C85&amp;"",tbl_Finance[Xero Invoice No],0)),""))</f>
        <v/>
      </c>
      <c r="C85" s="24" t="n"/>
      <c r="D85" s="24" t="inlineStr">
        <is>
          <t>26061108</t>
        </is>
      </c>
      <c r="E85" s="25">
        <f>IF(D85="","",IF(COUNTIF(lst_Jobs,D85&amp;"")&gt;0,"OK","CHECK"))</f>
        <v/>
      </c>
      <c r="F85" s="24" t="inlineStr">
        <is>
          <t>APA</t>
        </is>
      </c>
      <c r="G85" s="24" t="inlineStr">
        <is>
          <t>PRODUCTION</t>
        </is>
      </c>
      <c r="H85" s="24" t="inlineStr">
        <is>
          <t>APA FYR All Hands August 2026 Package - Transport (Revenue) INV-10521</t>
        </is>
      </c>
      <c r="I85" s="24" t="inlineStr">
        <is>
          <t>Accrual - unbilled work</t>
        </is>
      </c>
      <c r="J85" s="26" t="n">
        <v>300</v>
      </c>
      <c r="K85" s="24" t="inlineStr">
        <is>
          <t>11300</t>
        </is>
      </c>
      <c r="L85" s="24" t="n"/>
      <c r="M85" s="24" t="inlineStr">
        <is>
          <t>Y</t>
        </is>
      </c>
      <c r="N85" s="24" t="inlineStr">
        <is>
          <t>Migrated from FY27 Revenue Tracker v2 - confirm type/sign</t>
        </is>
      </c>
    </row>
    <row r="86" ht="15" customHeight="1">
      <c r="A86" s="65" t="n">
        <v>46265</v>
      </c>
      <c r="B86" s="63">
        <f>IF(C86="","",IFERROR(INDEX(tbl_Finance[Date],MATCH(C86&amp;"",tbl_Finance[Xero Invoice No],0)),""))</f>
        <v/>
      </c>
      <c r="C86" s="24" t="n"/>
      <c r="D86" s="24" t="inlineStr">
        <is>
          <t>26061108</t>
        </is>
      </c>
      <c r="E86" s="25">
        <f>IF(D86="","",IF(COUNTIF(lst_Jobs,D86&amp;"")&gt;0,"OK","CHECK"))</f>
        <v/>
      </c>
      <c r="F86" s="24" t="inlineStr">
        <is>
          <t>APA</t>
        </is>
      </c>
      <c r="G86" s="24" t="inlineStr">
        <is>
          <t>PRODUCTION</t>
        </is>
      </c>
      <c r="H86" s="24" t="inlineStr">
        <is>
          <t>APA FYR All Hands August 2026 Package - Tech  Event Mgmt (Revenue) INV-10521</t>
        </is>
      </c>
      <c r="I86" s="24" t="inlineStr">
        <is>
          <t>Accrual - unbilled work</t>
        </is>
      </c>
      <c r="J86" s="26" t="n">
        <v>690</v>
      </c>
      <c r="K86" s="24" t="inlineStr">
        <is>
          <t>11300</t>
        </is>
      </c>
      <c r="L86" s="24" t="n"/>
      <c r="M86" s="24" t="inlineStr">
        <is>
          <t>Y</t>
        </is>
      </c>
      <c r="N86" s="24" t="inlineStr">
        <is>
          <t>Migrated from FY27 Revenue Tracker v2 - confirm type/sign</t>
        </is>
      </c>
    </row>
    <row r="87" ht="15" customHeight="1">
      <c r="A87" s="65" t="n">
        <v>46265</v>
      </c>
      <c r="B87" s="63">
        <f>IF(C87="","",IFERROR(INDEX(tbl_Finance[Date],MATCH(C87&amp;"",tbl_Finance[Xero Invoice No],0)),""))</f>
        <v/>
      </c>
      <c r="C87" s="24" t="n"/>
      <c r="D87" s="24" t="inlineStr">
        <is>
          <t>2605402</t>
        </is>
      </c>
      <c r="E87" s="25">
        <f>IF(D87="","",IF(COUNTIF(lst_Jobs,D87&amp;"")&gt;0,"OK","CHECK"))</f>
        <v/>
      </c>
      <c r="F87" s="24" t="inlineStr">
        <is>
          <t>AGL</t>
        </is>
      </c>
      <c r="G87" s="24" t="inlineStr">
        <is>
          <t>PRODUCTION</t>
        </is>
      </c>
      <c r="H87" s="24" t="inlineStr">
        <is>
          <t>AGL FYR - Employee Town Hall [PRD] pre-prod work</t>
        </is>
      </c>
      <c r="I87" s="24" t="inlineStr">
        <is>
          <t>Deferral - invoiced in advance</t>
        </is>
      </c>
      <c r="J87" s="26" t="n">
        <v>-1322.5</v>
      </c>
      <c r="K87" s="24" t="inlineStr">
        <is>
          <t>11300</t>
        </is>
      </c>
      <c r="L87" s="24" t="n"/>
      <c r="M87" s="24" t="inlineStr">
        <is>
          <t>Y</t>
        </is>
      </c>
      <c r="N87" s="24" t="inlineStr">
        <is>
          <t>Migrated from FY27 Revenue Tracker v2 - confirm type/sign</t>
        </is>
      </c>
    </row>
    <row r="88" ht="15" customHeight="1">
      <c r="A88" s="65" t="n">
        <v>46265</v>
      </c>
      <c r="B88" s="63">
        <f>IF(C88="","",IFERROR(INDEX(tbl_Finance[Date],MATCH(C88&amp;"",tbl_Finance[Xero Invoice No],0)),""))</f>
        <v/>
      </c>
      <c r="C88" s="24" t="n"/>
      <c r="D88" s="24" t="inlineStr">
        <is>
          <t>26061105</t>
        </is>
      </c>
      <c r="E88" s="25">
        <f>IF(D88="","",IF(COUNTIF(lst_Jobs,D88&amp;"")&gt;0,"OK","CHECK"))</f>
        <v/>
      </c>
      <c r="F88" s="24" t="inlineStr">
        <is>
          <t>CBA</t>
        </is>
      </c>
      <c r="G88" s="24" t="inlineStr">
        <is>
          <t>PRODUCTION</t>
        </is>
      </c>
      <c r="H88" s="24" t="inlineStr">
        <is>
          <t>CBA - FYR 2026 - 12.8.26 [PRD] pre-prod work</t>
        </is>
      </c>
      <c r="I88" s="24" t="inlineStr">
        <is>
          <t>Deferral - invoiced in advance</t>
        </is>
      </c>
      <c r="J88" s="26" t="n">
        <v>-417.5</v>
      </c>
      <c r="K88" s="24" t="inlineStr">
        <is>
          <t>11300</t>
        </is>
      </c>
      <c r="L88" s="24" t="n"/>
      <c r="M88" s="24" t="inlineStr">
        <is>
          <t>Y</t>
        </is>
      </c>
      <c r="N88" s="24" t="inlineStr">
        <is>
          <t>Migrated from FY27 Revenue Tracker v2 - confirm type/sign</t>
        </is>
      </c>
    </row>
    <row r="89" ht="15" customHeight="1">
      <c r="A89" s="65" t="n">
        <v>46265</v>
      </c>
      <c r="B89" s="63">
        <f>IF(C89="","",IFERROR(INDEX(tbl_Finance[Date],MATCH(C89&amp;"",tbl_Finance[Xero Invoice No],0)),""))</f>
        <v/>
      </c>
      <c r="C89" s="24" t="n"/>
      <c r="D89" s="24" t="inlineStr">
        <is>
          <t>2606903</t>
        </is>
      </c>
      <c r="E89" s="25">
        <f>IF(D89="","",IF(COUNTIF(lst_Jobs,D89&amp;"")&gt;0,"OK","CHECK"))</f>
        <v/>
      </c>
      <c r="F89" s="24" t="inlineStr">
        <is>
          <t>Virgin</t>
        </is>
      </c>
      <c r="G89" s="24" t="inlineStr">
        <is>
          <t>PRODUCTION</t>
        </is>
      </c>
      <c r="H89" s="24" t="inlineStr">
        <is>
          <t>Virgin FY26 Results [PRD] pre-prod work</t>
        </is>
      </c>
      <c r="I89" s="24" t="inlineStr">
        <is>
          <t>Deferral - invoiced in advance</t>
        </is>
      </c>
      <c r="J89" s="26" t="n">
        <v>-57.5</v>
      </c>
      <c r="K89" s="24" t="inlineStr">
        <is>
          <t>11300</t>
        </is>
      </c>
      <c r="L89" s="24" t="n"/>
      <c r="M89" s="24" t="inlineStr">
        <is>
          <t>Y</t>
        </is>
      </c>
      <c r="N89" s="24" t="inlineStr">
        <is>
          <t>Migrated from FY27 Revenue Tracker v2 - confirm type/sign</t>
        </is>
      </c>
    </row>
    <row r="90" ht="15" customHeight="1">
      <c r="A90" s="65" t="n">
        <v>46265</v>
      </c>
      <c r="B90" s="63">
        <f>IF(C90="","",IFERROR(INDEX(tbl_Finance[Date],MATCH(C90&amp;"",tbl_Finance[Xero Invoice No],0)),""))</f>
        <v/>
      </c>
      <c r="C90" s="24" t="n"/>
      <c r="D90" s="24" t="inlineStr">
        <is>
          <t>26061109</t>
        </is>
      </c>
      <c r="E90" s="25">
        <f>IF(D90="","",IF(COUNTIF(lst_Jobs,D90&amp;"")&gt;0,"OK","CHECK"))</f>
        <v/>
      </c>
      <c r="F90" s="24" t="inlineStr">
        <is>
          <t>Ventia</t>
        </is>
      </c>
      <c r="G90" s="24" t="inlineStr">
        <is>
          <t>PRODUCTION</t>
        </is>
      </c>
      <c r="H90" s="24" t="inlineStr">
        <is>
          <t>Ventia - FYR26 - 24.8.26 [PRD] pre-prod work</t>
        </is>
      </c>
      <c r="I90" s="24" t="inlineStr">
        <is>
          <t>Deferral - invoiced in advance</t>
        </is>
      </c>
      <c r="J90" s="26" t="n">
        <v>-862.5</v>
      </c>
      <c r="K90" s="24" t="inlineStr">
        <is>
          <t>11300</t>
        </is>
      </c>
      <c r="L90" s="24" t="n"/>
      <c r="M90" s="24" t="inlineStr">
        <is>
          <t>Y</t>
        </is>
      </c>
      <c r="N90" s="24" t="inlineStr">
        <is>
          <t>Migrated from FY27 Revenue Tracker v2 - confirm type/sign</t>
        </is>
      </c>
    </row>
    <row r="91" ht="15" customHeight="1">
      <c r="A91" s="65" t="n">
        <v>46265</v>
      </c>
      <c r="B91" s="63">
        <f>IF(C91="","",IFERROR(INDEX(tbl_Finance[Date],MATCH(C91&amp;"",tbl_Finance[Xero Invoice No],0)),""))</f>
        <v/>
      </c>
      <c r="C91" s="24" t="n"/>
      <c r="D91" s="24" t="inlineStr">
        <is>
          <t>26061107</t>
        </is>
      </c>
      <c r="E91" s="25">
        <f>IF(D91="","",IF(COUNTIF(lst_Jobs,D91&amp;"")&gt;0,"OK","CHECK"))</f>
        <v/>
      </c>
      <c r="F91" s="24" t="inlineStr">
        <is>
          <t>Downer</t>
        </is>
      </c>
      <c r="G91" s="24" t="inlineStr">
        <is>
          <t>PRODUCTION</t>
        </is>
      </c>
      <c r="H91" s="24" t="inlineStr">
        <is>
          <t>Downer - FYR 2026 - 19.8.26 [PRD] pre-prod work</t>
        </is>
      </c>
      <c r="I91" s="24" t="inlineStr">
        <is>
          <t>Deferral - invoiced in advance</t>
        </is>
      </c>
      <c r="J91" s="26" t="n">
        <v>-115</v>
      </c>
      <c r="K91" s="24" t="inlineStr">
        <is>
          <t>11300</t>
        </is>
      </c>
      <c r="L91" s="24" t="n"/>
      <c r="M91" s="24" t="inlineStr">
        <is>
          <t>Y</t>
        </is>
      </c>
      <c r="N91" s="24" t="inlineStr">
        <is>
          <t>Migrated from FY27 Revenue Tracker v2 - confirm type/sign</t>
        </is>
      </c>
    </row>
    <row r="92" ht="15" customHeight="1">
      <c r="A92" s="65" t="n">
        <v>46265</v>
      </c>
      <c r="B92" s="63">
        <f>IF(C92="","",IFERROR(INDEX(tbl_Finance[Date],MATCH(C92&amp;"",tbl_Finance[Xero Invoice No],0)),""))</f>
        <v/>
      </c>
      <c r="C92" s="24" t="n"/>
      <c r="D92" s="24" t="inlineStr">
        <is>
          <t>2603104</t>
        </is>
      </c>
      <c r="E92" s="25">
        <f>IF(D92="","",IF(COUNTIF(lst_Jobs,D92&amp;"")&gt;0,"OK","CHECK"))</f>
        <v/>
      </c>
      <c r="F92" s="24" t="inlineStr">
        <is>
          <t>Cochlear</t>
        </is>
      </c>
      <c r="G92" s="24" t="inlineStr">
        <is>
          <t>PRODUCTION</t>
        </is>
      </c>
      <c r="H92" s="24" t="inlineStr">
        <is>
          <t>Cochlear FY26 Results 18.8.26 [PRD] pre-prod work</t>
        </is>
      </c>
      <c r="I92" s="24" t="inlineStr">
        <is>
          <t>Deferral - invoiced in advance</t>
        </is>
      </c>
      <c r="J92" s="26" t="n">
        <v>-172.5</v>
      </c>
      <c r="K92" s="24" t="inlineStr">
        <is>
          <t>11300</t>
        </is>
      </c>
      <c r="L92" s="24" t="n"/>
      <c r="M92" s="24" t="inlineStr">
        <is>
          <t>Y</t>
        </is>
      </c>
      <c r="N92" s="24" t="inlineStr">
        <is>
          <t>Migrated from FY27 Revenue Tracker v2 - confirm type/sign</t>
        </is>
      </c>
    </row>
    <row r="93" ht="15" customHeight="1">
      <c r="A93" s="65" t="n">
        <v>46265</v>
      </c>
      <c r="B93" s="63">
        <f>IF(C93="","",IFERROR(INDEX(tbl_Finance[Date],MATCH(C93&amp;"",tbl_Finance[Xero Invoice No],0)),""))</f>
        <v/>
      </c>
      <c r="C93" s="24" t="n"/>
      <c r="D93" s="24" t="inlineStr">
        <is>
          <t>2512804</t>
        </is>
      </c>
      <c r="E93" s="25">
        <f>IF(D93="","",IF(COUNTIF(lst_Jobs,D93&amp;"")&gt;0,"OK","CHECK"))</f>
        <v/>
      </c>
      <c r="F93" s="24" t="inlineStr">
        <is>
          <t>RSNSW</t>
        </is>
      </c>
      <c r="G93" s="24" t="inlineStr">
        <is>
          <t>PRODUCTION</t>
        </is>
      </c>
      <c r="H93" s="24" t="inlineStr">
        <is>
          <t>RSNSW Ordinary General Meeting 5.8.26 [PRD] pre-prod work</t>
        </is>
      </c>
      <c r="I93" s="24" t="inlineStr">
        <is>
          <t>Deferral - invoiced in advance</t>
        </is>
      </c>
      <c r="J93" s="26" t="n">
        <v>-115</v>
      </c>
      <c r="K93" s="24" t="inlineStr">
        <is>
          <t>11300</t>
        </is>
      </c>
      <c r="L93" s="24" t="n"/>
      <c r="M93" s="24" t="inlineStr">
        <is>
          <t>Y</t>
        </is>
      </c>
      <c r="N93" s="24" t="inlineStr">
        <is>
          <t>Migrated from FY27 Revenue Tracker v2 - confirm type/sign</t>
        </is>
      </c>
    </row>
    <row r="94" ht="15" customHeight="1">
      <c r="A94" s="65" t="n">
        <v>46265</v>
      </c>
      <c r="B94" s="63">
        <f>IF(C94="","",IFERROR(INDEX(tbl_Finance[Date],MATCH(C94&amp;"",tbl_Finance[Xero Invoice No],0)),""))</f>
        <v/>
      </c>
      <c r="C94" s="24" t="n"/>
      <c r="D94" s="24" t="inlineStr">
        <is>
          <t>26061108</t>
        </is>
      </c>
      <c r="E94" s="25">
        <f>IF(D94="","",IF(COUNTIF(lst_Jobs,D94&amp;"")&gt;0,"OK","CHECK"))</f>
        <v/>
      </c>
      <c r="F94" s="24" t="inlineStr">
        <is>
          <t>APA</t>
        </is>
      </c>
      <c r="G94" s="24" t="inlineStr">
        <is>
          <t>PRODUCTION</t>
        </is>
      </c>
      <c r="H94" s="24" t="inlineStr">
        <is>
          <t>APA - Qtly All Hands FYR26 - 20.8.26 [PRD] pre-prod work</t>
        </is>
      </c>
      <c r="I94" s="24" t="inlineStr">
        <is>
          <t>Deferral - invoiced in advance</t>
        </is>
      </c>
      <c r="J94" s="26" t="n">
        <v>-172.5</v>
      </c>
      <c r="K94" s="24" t="inlineStr">
        <is>
          <t>11300</t>
        </is>
      </c>
      <c r="L94" s="24" t="n"/>
      <c r="M94" s="24" t="inlineStr">
        <is>
          <t>Y</t>
        </is>
      </c>
      <c r="N94" s="24" t="inlineStr">
        <is>
          <t>Migrated from FY27 Revenue Tracker v2 - confirm type/sign</t>
        </is>
      </c>
    </row>
    <row r="95" ht="15" customHeight="1">
      <c r="A95" s="65" t="n">
        <v>46265</v>
      </c>
      <c r="B95" s="63">
        <f>IF(C95="","",IFERROR(INDEX(tbl_Finance[Date],MATCH(C95&amp;"",tbl_Finance[Xero Invoice No],0)),""))</f>
        <v/>
      </c>
      <c r="C95" s="24" t="n"/>
      <c r="D95" s="24" t="inlineStr">
        <is>
          <t>2606101</t>
        </is>
      </c>
      <c r="E95" s="25">
        <f>IF(D95="","",IF(COUNTIF(lst_Jobs,D95&amp;"")&gt;0,"OK","CHECK"))</f>
        <v/>
      </c>
      <c r="F95" s="24" t="inlineStr">
        <is>
          <t>APA</t>
        </is>
      </c>
      <c r="G95" s="24" t="inlineStr">
        <is>
          <t>INTEGRATION</t>
        </is>
      </c>
      <c r="H95" s="24" t="inlineStr">
        <is>
          <t>APA | Young Eptura Proxyclick Licence Renewal Mar27-Feb28 INV-10548 (Revenue)</t>
        </is>
      </c>
      <c r="I95" s="24" t="inlineStr">
        <is>
          <t>Accrual - unbilled work</t>
        </is>
      </c>
      <c r="J95" s="26" t="n">
        <v>0</v>
      </c>
      <c r="K95" s="24" t="inlineStr">
        <is>
          <t>11300</t>
        </is>
      </c>
      <c r="L95" s="24" t="n"/>
      <c r="M95" s="24" t="inlineStr">
        <is>
          <t>Y</t>
        </is>
      </c>
      <c r="N95" s="24" t="inlineStr">
        <is>
          <t>Migrated from FY27 Revenue Tracker v2 - confirm type/sign</t>
        </is>
      </c>
    </row>
    <row r="96" ht="15" customHeight="1">
      <c r="A96" s="65" t="n">
        <v>46265</v>
      </c>
      <c r="B96" s="63">
        <f>IF(C96="","",IFERROR(INDEX(tbl_Finance[Date],MATCH(C96&amp;"",tbl_Finance[Xero Invoice No],0)),""))</f>
        <v/>
      </c>
      <c r="C96" s="24" t="n"/>
      <c r="D96" s="24" t="inlineStr">
        <is>
          <t>3028</t>
        </is>
      </c>
      <c r="E96" s="25">
        <f>IF(D96="","",IF(COUNTIF(lst_Jobs,D96&amp;"")&gt;0,"OK","CHECK"))</f>
        <v/>
      </c>
      <c r="F96" s="24" t="inlineStr">
        <is>
          <t>APA</t>
        </is>
      </c>
      <c r="G96" s="24" t="inlineStr">
        <is>
          <t>INTEGRATION</t>
        </is>
      </c>
      <c r="H96" s="24" t="inlineStr">
        <is>
          <t>APA Kidman Proxyclick Term 3 Jun26-Dec26 INV-10477 (Revenue)</t>
        </is>
      </c>
      <c r="I96" s="24" t="inlineStr">
        <is>
          <t>Accrual - unbilled work</t>
        </is>
      </c>
      <c r="J96" s="26" t="n">
        <v>996.74</v>
      </c>
      <c r="K96" s="24" t="inlineStr">
        <is>
          <t>11300</t>
        </is>
      </c>
      <c r="L96" s="24" t="n"/>
      <c r="M96" s="24" t="inlineStr">
        <is>
          <t>Y</t>
        </is>
      </c>
      <c r="N96" s="24" t="inlineStr">
        <is>
          <t>Migrated from FY27 Revenue Tracker v2 - confirm type/sign</t>
        </is>
      </c>
    </row>
    <row r="97" ht="15" customHeight="1">
      <c r="A97" s="65" t="n">
        <v>46265</v>
      </c>
      <c r="B97" s="63">
        <f>IF(C97="","",IFERROR(INDEX(tbl_Finance[Date],MATCH(C97&amp;"",tbl_Finance[Xero Invoice No],0)),""))</f>
        <v/>
      </c>
      <c r="C97" s="24" t="n"/>
      <c r="D97" s="24" t="inlineStr">
        <is>
          <t>2855</t>
        </is>
      </c>
      <c r="E97" s="25">
        <f>IF(D97="","",IF(COUNTIF(lst_Jobs,D97&amp;"")&gt;0,"OK","CHECK"))</f>
        <v/>
      </c>
      <c r="F97" s="24" t="inlineStr">
        <is>
          <t>APA</t>
        </is>
      </c>
      <c r="G97" s="24" t="inlineStr">
        <is>
          <t>INTEGRATION</t>
        </is>
      </c>
      <c r="H97" s="24" t="inlineStr">
        <is>
          <t>APA Melbourne Proxyclick Jul26-Jun27 INV-10501(Revenue)</t>
        </is>
      </c>
      <c r="I97" s="24" t="inlineStr">
        <is>
          <t>Accrual - unbilled work</t>
        </is>
      </c>
      <c r="J97" s="26" t="n">
        <v>1357.33</v>
      </c>
      <c r="K97" s="24" t="inlineStr">
        <is>
          <t>11300</t>
        </is>
      </c>
      <c r="L97" s="24" t="n"/>
      <c r="M97" s="24" t="inlineStr">
        <is>
          <t>Y</t>
        </is>
      </c>
      <c r="N97" s="24" t="inlineStr">
        <is>
          <t>Migrated from FY27 Revenue Tracker v2 - confirm type/sign</t>
        </is>
      </c>
    </row>
    <row r="98" ht="15" customHeight="1">
      <c r="A98" s="65" t="n">
        <v>46265</v>
      </c>
      <c r="B98" s="63">
        <f>IF(C98="","",IFERROR(INDEX(tbl_Finance[Date],MATCH(C98&amp;"",tbl_Finance[Xero Invoice No],0)),""))</f>
        <v/>
      </c>
      <c r="C98" s="24" t="n"/>
      <c r="D98" s="24" t="inlineStr">
        <is>
          <t>2857</t>
        </is>
      </c>
      <c r="E98" s="25">
        <f>IF(D98="","",IF(COUNTIF(lst_Jobs,D98&amp;"")&gt;0,"OK","CHECK"))</f>
        <v/>
      </c>
      <c r="F98" s="24" t="inlineStr">
        <is>
          <t>APA</t>
        </is>
      </c>
      <c r="G98" s="24" t="inlineStr">
        <is>
          <t>INTEGRATION</t>
        </is>
      </c>
      <c r="H98" s="24" t="inlineStr">
        <is>
          <t>APA Sydney Proxyclick Jul26-Jun27 INV-10502(Revenue)</t>
        </is>
      </c>
      <c r="I98" s="24" t="inlineStr">
        <is>
          <t>Accrual - unbilled work</t>
        </is>
      </c>
      <c r="J98" s="26" t="n">
        <v>1357.33</v>
      </c>
      <c r="K98" s="24" t="inlineStr">
        <is>
          <t>11300</t>
        </is>
      </c>
      <c r="L98" s="24" t="n"/>
      <c r="M98" s="24" t="inlineStr">
        <is>
          <t>Y</t>
        </is>
      </c>
      <c r="N98" s="24" t="inlineStr">
        <is>
          <t>Migrated from FY27 Revenue Tracker v2 - confirm type/sign</t>
        </is>
      </c>
    </row>
    <row r="99" ht="15" customHeight="1">
      <c r="A99" s="65" t="n">
        <v>46265</v>
      </c>
      <c r="B99" s="63">
        <f>IF(C99="","",IFERROR(INDEX(tbl_Finance[Date],MATCH(C99&amp;"",tbl_Finance[Xero Invoice No],0)),""))</f>
        <v/>
      </c>
      <c r="C99" s="24" t="n"/>
      <c r="D99" s="24" t="inlineStr">
        <is>
          <t>2848</t>
        </is>
      </c>
      <c r="E99" s="25">
        <f>IF(D99="","",IF(COUNTIF(lst_Jobs,D99&amp;"")&gt;0,"OK","CHECK"))</f>
        <v/>
      </c>
      <c r="F99" s="24" t="inlineStr">
        <is>
          <t>APA</t>
        </is>
      </c>
      <c r="G99" s="24" t="inlineStr">
        <is>
          <t>INTEGRATION</t>
        </is>
      </c>
      <c r="H99" s="24" t="inlineStr">
        <is>
          <t>APA Adelaide Proxyclick INV-10514 Renewal Jul26-Jun27 (Revenue)</t>
        </is>
      </c>
      <c r="I99" s="24" t="inlineStr">
        <is>
          <t>Accrual - unbilled work</t>
        </is>
      </c>
      <c r="J99" s="26" t="n">
        <v>618.08</v>
      </c>
      <c r="K99" s="24" t="inlineStr">
        <is>
          <t>11300</t>
        </is>
      </c>
      <c r="L99" s="24" t="n"/>
      <c r="M99" s="24" t="inlineStr">
        <is>
          <t>Y</t>
        </is>
      </c>
      <c r="N99" s="24" t="inlineStr">
        <is>
          <t>Migrated from FY27 Revenue Tracker v2 - confirm type/sign</t>
        </is>
      </c>
    </row>
    <row r="100" ht="15" customHeight="1">
      <c r="A100" s="65" t="n">
        <v>46265</v>
      </c>
      <c r="B100" s="63">
        <f>IF(C100="","",IFERROR(INDEX(tbl_Finance[Date],MATCH(C100&amp;"",tbl_Finance[Xero Invoice No],0)),""))</f>
        <v/>
      </c>
      <c r="C100" s="24" t="n"/>
      <c r="D100" s="24" t="inlineStr">
        <is>
          <t>2604704</t>
        </is>
      </c>
      <c r="E100" s="25">
        <f>IF(D100="","",IF(COUNTIF(lst_Jobs,D100&amp;"")&gt;0,"OK","CHECK"))</f>
        <v/>
      </c>
      <c r="F100" s="24" t="inlineStr">
        <is>
          <t>Aware Super</t>
        </is>
      </c>
      <c r="G100" s="24" t="inlineStr">
        <is>
          <t>INTEGRATION</t>
        </is>
      </c>
      <c r="H100" s="24" t="inlineStr">
        <is>
          <t>Aware Super Seminar Room Audio Upgrade [INT] Revenue</t>
        </is>
      </c>
      <c r="I100" s="24" t="inlineStr">
        <is>
          <t>Accrual - unbilled work</t>
        </is>
      </c>
      <c r="J100" s="26" t="n">
        <v>1361.25</v>
      </c>
      <c r="K100" s="24" t="inlineStr">
        <is>
          <t>11300</t>
        </is>
      </c>
      <c r="L100" s="24" t="n"/>
      <c r="M100" s="24" t="inlineStr">
        <is>
          <t>Y</t>
        </is>
      </c>
      <c r="N100" s="24" t="inlineStr">
        <is>
          <t>Migrated from FY27 Revenue Tracker v2 - confirm type/sign</t>
        </is>
      </c>
    </row>
    <row r="101" ht="15" customHeight="1">
      <c r="A101" s="65" t="n">
        <v>46265</v>
      </c>
      <c r="B101" s="63">
        <f>IF(C101="","",IFERROR(INDEX(tbl_Finance[Date],MATCH(C101&amp;"",tbl_Finance[Xero Invoice No],0)),""))</f>
        <v/>
      </c>
      <c r="C101" s="24" t="n"/>
      <c r="D101" s="24" t="inlineStr">
        <is>
          <t>26061105</t>
        </is>
      </c>
      <c r="E101" s="25">
        <f>IF(D101="","",IF(COUNTIF(lst_Jobs,D101&amp;"")&gt;0,"OK","CHECK"))</f>
        <v/>
      </c>
      <c r="F101" s="24" t="inlineStr">
        <is>
          <t>CBA</t>
        </is>
      </c>
      <c r="G101" s="24" t="inlineStr">
        <is>
          <t>PRODUCTION</t>
        </is>
      </c>
      <c r="H101" s="24" t="inlineStr">
        <is>
          <t>CBA - FYR 2026 - 12.8.26 [PRD] pre-prod work</t>
        </is>
      </c>
      <c r="I101" s="24" t="inlineStr">
        <is>
          <t>Deferral - invoiced in advance</t>
        </is>
      </c>
      <c r="J101" s="26" t="n">
        <v>-285</v>
      </c>
      <c r="K101" s="24" t="inlineStr">
        <is>
          <t>11300</t>
        </is>
      </c>
      <c r="L101" s="24" t="n"/>
      <c r="M101" s="24" t="inlineStr">
        <is>
          <t>Y</t>
        </is>
      </c>
      <c r="N101" s="24" t="inlineStr">
        <is>
          <t>Migrated from FY27 Revenue Tracker v2 - confirm type/sign</t>
        </is>
      </c>
    </row>
    <row r="102" ht="15" customHeight="1">
      <c r="A102" s="65" t="n">
        <v>46265</v>
      </c>
      <c r="B102" s="63">
        <f>IF(C102="","",IFERROR(INDEX(tbl_Finance[Date],MATCH(C102&amp;"",tbl_Finance[Xero Invoice No],0)),""))</f>
        <v/>
      </c>
      <c r="C102" s="24" t="n"/>
      <c r="D102" s="24" t="inlineStr">
        <is>
          <t>2603104</t>
        </is>
      </c>
      <c r="E102" s="25">
        <f>IF(D102="","",IF(COUNTIF(lst_Jobs,D102&amp;"")&gt;0,"OK","CHECK"))</f>
        <v/>
      </c>
      <c r="F102" s="24" t="inlineStr">
        <is>
          <t>Cochlear</t>
        </is>
      </c>
      <c r="G102" s="24" t="inlineStr">
        <is>
          <t>PRODUCTION</t>
        </is>
      </c>
      <c r="H102" s="24" t="inlineStr">
        <is>
          <t>Cochlear FY26 Results 18.8.26 [PRD] pre-prod work</t>
        </is>
      </c>
      <c r="I102" s="24" t="inlineStr">
        <is>
          <t>Deferral - invoiced in advance</t>
        </is>
      </c>
      <c r="J102" s="26" t="n">
        <v>-95</v>
      </c>
      <c r="K102" s="24" t="inlineStr">
        <is>
          <t>11300</t>
        </is>
      </c>
      <c r="L102" s="24" t="n"/>
      <c r="M102" s="24" t="inlineStr">
        <is>
          <t>Y</t>
        </is>
      </c>
      <c r="N102" s="24" t="inlineStr">
        <is>
          <t>Migrated from FY27 Revenue Tracker v2 - confirm type/sign</t>
        </is>
      </c>
    </row>
    <row r="103" ht="15" customHeight="1">
      <c r="A103" s="65" t="n">
        <v>46265</v>
      </c>
      <c r="B103" s="63">
        <f>IF(C103="","",IFERROR(INDEX(tbl_Finance[Date],MATCH(C103&amp;"",tbl_Finance[Xero Invoice No],0)),""))</f>
        <v/>
      </c>
      <c r="C103" s="24" t="n"/>
      <c r="D103" s="24" t="inlineStr">
        <is>
          <t>26052702</t>
        </is>
      </c>
      <c r="E103" s="25">
        <f>IF(D103="","",IF(COUNTIF(lst_Jobs,D103&amp;"")&gt;0,"OK","CHECK"))</f>
        <v/>
      </c>
      <c r="F103" s="24" t="inlineStr">
        <is>
          <t>ASX</t>
        </is>
      </c>
      <c r="G103" s="24" t="inlineStr">
        <is>
          <t>PRODUCTION</t>
        </is>
      </c>
      <c r="H103" s="24" t="inlineStr">
        <is>
          <t>ASX - FYR - 13.8.26 [PRD]</t>
        </is>
      </c>
      <c r="I103" s="24" t="inlineStr">
        <is>
          <t>Deferral - invoiced in advance</t>
        </is>
      </c>
      <c r="J103" s="26" t="n">
        <v>-95</v>
      </c>
      <c r="K103" s="24" t="inlineStr">
        <is>
          <t>11300</t>
        </is>
      </c>
      <c r="L103" s="24" t="n"/>
      <c r="M103" s="24" t="inlineStr">
        <is>
          <t>Y</t>
        </is>
      </c>
      <c r="N103" s="24" t="inlineStr">
        <is>
          <t>Migrated from FY27 Revenue Tracker v2 - confirm type/sign</t>
        </is>
      </c>
    </row>
    <row r="104" ht="15" customHeight="1">
      <c r="A104" s="65" t="n">
        <v>46265</v>
      </c>
      <c r="B104" s="63">
        <f>IF(C104="","",IFERROR(INDEX(tbl_Finance[Date],MATCH(C104&amp;"",tbl_Finance[Xero Invoice No],0)),""))</f>
        <v/>
      </c>
      <c r="C104" s="24" t="n"/>
      <c r="D104" s="24" t="inlineStr">
        <is>
          <t>2606904</t>
        </is>
      </c>
      <c r="E104" s="25">
        <f>IF(D104="","",IF(COUNTIF(lst_Jobs,D104&amp;"")&gt;0,"OK","CHECK"))</f>
        <v/>
      </c>
      <c r="F104" s="24" t="inlineStr">
        <is>
          <t>Symal</t>
        </is>
      </c>
      <c r="G104" s="24" t="inlineStr">
        <is>
          <t>PRODUCTION</t>
        </is>
      </c>
      <c r="H104" s="24" t="inlineStr">
        <is>
          <t>Symal - FYR26 (Melb) - 24.8.26 [PRD]</t>
        </is>
      </c>
      <c r="I104" s="24" t="inlineStr">
        <is>
          <t>Deferral - invoiced in advance</t>
        </is>
      </c>
      <c r="J104" s="26" t="n">
        <v>-71.25</v>
      </c>
      <c r="K104" s="24" t="inlineStr">
        <is>
          <t>11300</t>
        </is>
      </c>
      <c r="L104" s="24" t="n"/>
      <c r="M104" s="24" t="inlineStr">
        <is>
          <t>Y</t>
        </is>
      </c>
      <c r="N104" s="24" t="inlineStr">
        <is>
          <t>Migrated from FY27 Revenue Tracker v2 - confirm type/sign</t>
        </is>
      </c>
    </row>
    <row r="105" ht="15" customHeight="1">
      <c r="A105" s="65" t="n">
        <v>46265</v>
      </c>
      <c r="B105" s="63">
        <f>IF(C105="","",IFERROR(INDEX(tbl_Finance[Date],MATCH(C105&amp;"",tbl_Finance[Xero Invoice No],0)),""))</f>
        <v/>
      </c>
      <c r="C105" s="24" t="n"/>
      <c r="D105" s="24" t="inlineStr">
        <is>
          <t>3027</t>
        </is>
      </c>
      <c r="E105" s="25">
        <f>IF(D105="","",IF(COUNTIF(lst_Jobs,D105&amp;"")&gt;0,"OK","CHECK"))</f>
        <v/>
      </c>
      <c r="F105" s="24" t="inlineStr">
        <is>
          <t>NSW Property</t>
        </is>
      </c>
      <c r="G105" s="24" t="inlineStr">
        <is>
          <t>INTEGRATION</t>
        </is>
      </c>
      <c r="H105" s="24" t="inlineStr">
        <is>
          <t>NSW Property  - 231 Eliz L13 Touchdown - Condeco Desk Booking System (INV10391 Revenue)</t>
        </is>
      </c>
      <c r="I105" s="24" t="inlineStr">
        <is>
          <t>Accrual - unbilled work</t>
        </is>
      </c>
      <c r="J105" s="26" t="n">
        <v>721.7</v>
      </c>
      <c r="K105" s="24" t="inlineStr">
        <is>
          <t>11300</t>
        </is>
      </c>
      <c r="L105" s="24" t="n"/>
      <c r="M105" s="24" t="inlineStr">
        <is>
          <t>Y</t>
        </is>
      </c>
      <c r="N105" s="24" t="inlineStr">
        <is>
          <t>Migrated from FY27 Revenue Tracker v2 - confirm type/sign</t>
        </is>
      </c>
    </row>
    <row r="106" ht="15" customHeight="1">
      <c r="A106" s="65" t="n">
        <v>46265</v>
      </c>
      <c r="B106" s="63">
        <f>IF(C106="","",IFERROR(INDEX(tbl_Finance[Date],MATCH(C106&amp;"",tbl_Finance[Xero Invoice No],0)),""))</f>
        <v/>
      </c>
      <c r="C106" s="24" t="n"/>
      <c r="D106" s="24" t="inlineStr">
        <is>
          <t>3027</t>
        </is>
      </c>
      <c r="E106" s="25">
        <f>IF(D106="","",IF(COUNTIF(lst_Jobs,D106&amp;"")&gt;0,"OK","CHECK"))</f>
        <v/>
      </c>
      <c r="F106" s="24" t="inlineStr">
        <is>
          <t>NSW Property</t>
        </is>
      </c>
      <c r="G106" s="24" t="inlineStr">
        <is>
          <t>INTEGRATION</t>
        </is>
      </c>
      <c r="H106" s="24" t="inlineStr">
        <is>
          <t>NSW Property - 231 Eliz Workplace L1 (INV10392 Revenue)</t>
        </is>
      </c>
      <c r="I106" s="24" t="inlineStr">
        <is>
          <t>Accrual - unbilled work</t>
        </is>
      </c>
      <c r="J106" s="26" t="n">
        <v>876.35</v>
      </c>
      <c r="K106" s="24" t="inlineStr">
        <is>
          <t>11300</t>
        </is>
      </c>
      <c r="L106" s="24" t="n"/>
      <c r="M106" s="24" t="inlineStr">
        <is>
          <t>Y</t>
        </is>
      </c>
      <c r="N106" s="24" t="inlineStr">
        <is>
          <t>Migrated from FY27 Revenue Tracker v2 - confirm type/sign</t>
        </is>
      </c>
    </row>
    <row r="107" ht="15" customHeight="1">
      <c r="A107" s="65" t="n">
        <v>46265</v>
      </c>
      <c r="B107" s="63">
        <f>IF(C107="","",IFERROR(INDEX(tbl_Finance[Date],MATCH(C107&amp;"",tbl_Finance[Xero Invoice No],0)),""))</f>
        <v/>
      </c>
      <c r="C107" s="24" t="n"/>
      <c r="D107" s="24" t="inlineStr">
        <is>
          <t>25060301</t>
        </is>
      </c>
      <c r="E107" s="25">
        <f>IF(D107="","",IF(COUNTIF(lst_Jobs,D107&amp;"")&gt;0,"OK","CHECK"))</f>
        <v/>
      </c>
      <c r="F107" s="24" t="inlineStr">
        <is>
          <t>NSW Property</t>
        </is>
      </c>
      <c r="G107" s="24" t="inlineStr">
        <is>
          <t>INTEGRATION</t>
        </is>
      </c>
      <c r="H107" s="24" t="inlineStr">
        <is>
          <t>NSW Property - 6PSQ Workplace L12 Hub (INV10393 Revenue)</t>
        </is>
      </c>
      <c r="I107" s="24" t="inlineStr">
        <is>
          <t>Accrual - unbilled work</t>
        </is>
      </c>
      <c r="J107" s="26" t="n">
        <v>2964.14</v>
      </c>
      <c r="K107" s="24" t="inlineStr">
        <is>
          <t>11300</t>
        </is>
      </c>
      <c r="L107" s="24" t="n"/>
      <c r="M107" s="24" t="inlineStr">
        <is>
          <t>Y</t>
        </is>
      </c>
      <c r="N107" s="24" t="inlineStr">
        <is>
          <t>Migrated from FY27 Revenue Tracker v2 - confirm type/sign</t>
        </is>
      </c>
    </row>
    <row r="108" ht="15" customHeight="1">
      <c r="A108" s="65" t="n">
        <v>46265</v>
      </c>
      <c r="B108" s="63">
        <f>IF(C108="","",IFERROR(INDEX(tbl_Finance[Date],MATCH(C108&amp;"",tbl_Finance[Xero Invoice No],0)),""))</f>
        <v/>
      </c>
      <c r="C108" s="24" t="n"/>
      <c r="D108" s="24" t="inlineStr">
        <is>
          <t>2519</t>
        </is>
      </c>
      <c r="E108" s="25">
        <f>IF(D108="","",IF(COUNTIF(lst_Jobs,D108&amp;"")&gt;0,"OK","CHECK"))</f>
        <v/>
      </c>
      <c r="F108" s="24" t="inlineStr">
        <is>
          <t>NSW Property</t>
        </is>
      </c>
      <c r="G108" s="24" t="inlineStr">
        <is>
          <t>INTEGRATION</t>
        </is>
      </c>
      <c r="H108" s="24" t="inlineStr">
        <is>
          <t>NSW Property - 6PSQ L11 Touchdown (INV10394 Revenue)</t>
        </is>
      </c>
      <c r="I108" s="24" t="inlineStr">
        <is>
          <t>Accrual - unbilled work</t>
        </is>
      </c>
      <c r="J108" s="26" t="n">
        <v>799.03</v>
      </c>
      <c r="K108" s="24" t="inlineStr">
        <is>
          <t>11300</t>
        </is>
      </c>
      <c r="L108" s="24" t="n"/>
      <c r="M108" s="24" t="inlineStr">
        <is>
          <t>Y</t>
        </is>
      </c>
      <c r="N108" s="24" t="inlineStr">
        <is>
          <t>Migrated from FY27 Revenue Tracker v2 - confirm type/sign</t>
        </is>
      </c>
    </row>
    <row r="109" ht="15" customHeight="1">
      <c r="A109" s="65" t="n">
        <v>46265</v>
      </c>
      <c r="B109" s="63">
        <f>IF(C109="","",IFERROR(INDEX(tbl_Finance[Date],MATCH(C109&amp;"",tbl_Finance[Xero Invoice No],0)),""))</f>
        <v/>
      </c>
      <c r="C109" s="24" t="n"/>
      <c r="D109" s="24" t="inlineStr">
        <is>
          <t>3068</t>
        </is>
      </c>
      <c r="E109" s="25">
        <f>IF(D109="","",IF(COUNTIF(lst_Jobs,D109&amp;"")&gt;0,"OK","CHECK"))</f>
        <v/>
      </c>
      <c r="F109" s="24" t="inlineStr">
        <is>
          <t>NSW Property</t>
        </is>
      </c>
      <c r="G109" s="24" t="inlineStr">
        <is>
          <t>INTEGRATION</t>
        </is>
      </c>
      <c r="H109" s="24" t="inlineStr">
        <is>
          <t>NSW Property  – Penrith 50 Belmore St – Workplace Hub (INV10395 Revenue)</t>
        </is>
      </c>
      <c r="I109" s="24" t="inlineStr">
        <is>
          <t>Accrual - unbilled work</t>
        </is>
      </c>
      <c r="J109" s="26" t="n">
        <v>154.65</v>
      </c>
      <c r="K109" s="24" t="inlineStr">
        <is>
          <t>11300</t>
        </is>
      </c>
      <c r="L109" s="24" t="n"/>
      <c r="M109" s="24" t="inlineStr">
        <is>
          <t>Y</t>
        </is>
      </c>
      <c r="N109" s="24" t="inlineStr">
        <is>
          <t>Migrated from FY27 Revenue Tracker v2 - confirm type/sign</t>
        </is>
      </c>
    </row>
    <row r="110" ht="15" customHeight="1">
      <c r="A110" s="65" t="n">
        <v>46265</v>
      </c>
      <c r="B110" s="63">
        <f>IF(C110="","",IFERROR(INDEX(tbl_Finance[Date],MATCH(C110&amp;"",tbl_Finance[Xero Invoice No],0)),""))</f>
        <v/>
      </c>
      <c r="C110" s="24" t="n"/>
      <c r="D110" s="24" t="inlineStr">
        <is>
          <t>25051302</t>
        </is>
      </c>
      <c r="E110" s="25">
        <f>IF(D110="","",IF(COUNTIF(lst_Jobs,D110&amp;"")&gt;0,"OK","CHECK"))</f>
        <v/>
      </c>
      <c r="F110" s="24" t="inlineStr">
        <is>
          <t>NSW Property</t>
        </is>
      </c>
      <c r="G110" s="24" t="inlineStr">
        <is>
          <t>INTEGRATION</t>
        </is>
      </c>
      <c r="H110" s="24" t="inlineStr">
        <is>
          <t>NSW Property - Penrith BDA (INV10396)</t>
        </is>
      </c>
      <c r="I110" s="24" t="inlineStr">
        <is>
          <t>Accrual - unbilled work</t>
        </is>
      </c>
      <c r="J110" s="26" t="n">
        <v>1494.96</v>
      </c>
      <c r="K110" s="24" t="inlineStr">
        <is>
          <t>11300</t>
        </is>
      </c>
      <c r="L110" s="24" t="n"/>
      <c r="M110" s="24" t="inlineStr">
        <is>
          <t>Y</t>
        </is>
      </c>
      <c r="N110" s="24" t="inlineStr">
        <is>
          <t>Migrated from FY27 Revenue Tracker v2 - confirm type/sign</t>
        </is>
      </c>
    </row>
    <row r="111" ht="15" customHeight="1">
      <c r="A111" s="65" t="n">
        <v>46265</v>
      </c>
      <c r="B111" s="63">
        <f>IF(C111="","",IFERROR(INDEX(tbl_Finance[Date],MATCH(C111&amp;"",tbl_Finance[Xero Invoice No],0)),""))</f>
        <v/>
      </c>
      <c r="C111" s="24" t="n"/>
      <c r="D111" s="24" t="inlineStr">
        <is>
          <t>25051302</t>
        </is>
      </c>
      <c r="E111" s="25">
        <f>IF(D111="","",IF(COUNTIF(lst_Jobs,D111&amp;"")&gt;0,"OK","CHECK"))</f>
        <v/>
      </c>
      <c r="F111" s="24" t="inlineStr">
        <is>
          <t>NSW Property</t>
        </is>
      </c>
      <c r="G111" s="24" t="inlineStr">
        <is>
          <t>INTEGRATION</t>
        </is>
      </c>
      <c r="H111" s="24" t="inlineStr">
        <is>
          <t>NSW Property - RA Molesworth St (INV10397 Revenue)</t>
        </is>
      </c>
      <c r="I111" s="24" t="inlineStr">
        <is>
          <t>Accrual - unbilled work</t>
        </is>
      </c>
      <c r="J111" s="26" t="n">
        <v>786.14</v>
      </c>
      <c r="K111" s="24" t="inlineStr">
        <is>
          <t>11300</t>
        </is>
      </c>
      <c r="L111" s="24" t="n"/>
      <c r="M111" s="24" t="inlineStr">
        <is>
          <t>Y</t>
        </is>
      </c>
      <c r="N111" s="24" t="inlineStr">
        <is>
          <t>Migrated from FY27 Revenue Tracker v2 - confirm type/sign</t>
        </is>
      </c>
    </row>
    <row r="112" ht="15" customHeight="1">
      <c r="A112" s="65" t="n">
        <v>46265</v>
      </c>
      <c r="B112" s="63">
        <f>IF(C112="","",IFERROR(INDEX(tbl_Finance[Date],MATCH(C112&amp;"",tbl_Finance[Xero Invoice No],0)),""))</f>
        <v/>
      </c>
      <c r="C112" s="24" t="n"/>
      <c r="D112" s="24" t="inlineStr">
        <is>
          <t>25060307</t>
        </is>
      </c>
      <c r="E112" s="25">
        <f>IF(D112="","",IF(COUNTIF(lst_Jobs,D112&amp;"")&gt;0,"OK","CHECK"))</f>
        <v/>
      </c>
      <c r="F112" s="24" t="inlineStr">
        <is>
          <t>NSW Property</t>
        </is>
      </c>
      <c r="G112" s="24" t="inlineStr">
        <is>
          <t>INTEGRATION</t>
        </is>
      </c>
      <c r="H112" s="24" t="inlineStr">
        <is>
          <t>NSW Property - RA Newcastle Bellvue (INV10398 Revenue)</t>
        </is>
      </c>
      <c r="I112" s="24" t="inlineStr">
        <is>
          <t>Accrual - unbilled work</t>
        </is>
      </c>
      <c r="J112" s="26" t="n">
        <v>270.64</v>
      </c>
      <c r="K112" s="24" t="inlineStr">
        <is>
          <t>11300</t>
        </is>
      </c>
      <c r="L112" s="24" t="n"/>
      <c r="M112" s="24" t="inlineStr">
        <is>
          <t>Y</t>
        </is>
      </c>
      <c r="N112" s="24" t="inlineStr">
        <is>
          <t>Migrated from FY27 Revenue Tracker v2 - confirm type/sign</t>
        </is>
      </c>
    </row>
    <row r="113" ht="15" customHeight="1">
      <c r="A113" s="65" t="n">
        <v>46265</v>
      </c>
      <c r="B113" s="63">
        <f>IF(C113="","",IFERROR(INDEX(tbl_Finance[Date],MATCH(C113&amp;"",tbl_Finance[Xero Invoice No],0)),""))</f>
        <v/>
      </c>
      <c r="C113" s="24" t="n"/>
      <c r="D113" s="24" t="inlineStr">
        <is>
          <t>2510805</t>
        </is>
      </c>
      <c r="E113" s="25">
        <f>IF(D113="","",IF(COUNTIF(lst_Jobs,D113&amp;"")&gt;0,"OK","CHECK"))</f>
        <v/>
      </c>
      <c r="F113" s="24" t="inlineStr">
        <is>
          <t>NSW Property</t>
        </is>
      </c>
      <c r="G113" s="24" t="inlineStr">
        <is>
          <t>INTEGRATION</t>
        </is>
      </c>
      <c r="H113" s="24" t="inlineStr">
        <is>
          <t>NSW Property - 5 O’Keefe Ave Nowra Workplace Hub (INV10399 Revenue)</t>
        </is>
      </c>
      <c r="I113" s="24" t="inlineStr">
        <is>
          <t>Accrual - unbilled work</t>
        </is>
      </c>
      <c r="J113" s="26" t="n">
        <v>2242.44</v>
      </c>
      <c r="K113" s="24" t="inlineStr">
        <is>
          <t>11300</t>
        </is>
      </c>
      <c r="L113" s="24" t="n"/>
      <c r="M113" s="24" t="inlineStr">
        <is>
          <t>Y</t>
        </is>
      </c>
      <c r="N113" s="24" t="inlineStr">
        <is>
          <t>Migrated from FY27 Revenue Tracker v2 - confirm type/sign</t>
        </is>
      </c>
    </row>
    <row r="114" ht="15" customHeight="1">
      <c r="A114" s="65" t="n">
        <v>46265</v>
      </c>
      <c r="B114" s="63">
        <f>IF(C114="","",IFERROR(INDEX(tbl_Finance[Date],MATCH(C114&amp;"",tbl_Finance[Xero Invoice No],0)),""))</f>
        <v/>
      </c>
      <c r="C114" s="24" t="n"/>
      <c r="D114" s="24" t="inlineStr">
        <is>
          <t>2603202</t>
        </is>
      </c>
      <c r="E114" s="25">
        <f>IF(D114="","",IF(COUNTIF(lst_Jobs,D114&amp;"")&gt;0,"OK","CHECK"))</f>
        <v/>
      </c>
      <c r="F114" s="24" t="inlineStr">
        <is>
          <t>NSW Property</t>
        </is>
      </c>
      <c r="G114" s="24" t="inlineStr">
        <is>
          <t>INTEGRATION</t>
        </is>
      </c>
      <c r="H114" s="24" t="inlineStr">
        <is>
          <t>NSW Property -  Maitland 510-516 High St WP Services (INV10400 Revenue)</t>
        </is>
      </c>
      <c r="I114" s="24" t="inlineStr">
        <is>
          <t>Accrual - unbilled work</t>
        </is>
      </c>
      <c r="J114" s="26" t="n">
        <v>3041.47</v>
      </c>
      <c r="K114" s="24" t="inlineStr">
        <is>
          <t>11300</t>
        </is>
      </c>
      <c r="L114" s="24" t="n"/>
      <c r="M114" s="24" t="inlineStr">
        <is>
          <t>Y</t>
        </is>
      </c>
      <c r="N114" s="24" t="inlineStr">
        <is>
          <t>Migrated from FY27 Revenue Tracker v2 - confirm type/sign</t>
        </is>
      </c>
    </row>
    <row r="115" ht="15" customHeight="1">
      <c r="A115" s="65" t="n">
        <v>46265</v>
      </c>
      <c r="B115" s="63">
        <f>IF(C115="","",IFERROR(INDEX(tbl_Finance[Date],MATCH(C115&amp;"",tbl_Finance[Xero Invoice No],0)),""))</f>
        <v/>
      </c>
      <c r="C115" s="24" t="n"/>
      <c r="D115" s="24" t="inlineStr">
        <is>
          <t>25041502</t>
        </is>
      </c>
      <c r="E115" s="25">
        <f>IF(D115="","",IF(COUNTIF(lst_Jobs,D115&amp;"")&gt;0,"OK","CHECK"))</f>
        <v/>
      </c>
      <c r="F115" s="24" t="inlineStr">
        <is>
          <t>NSW Property</t>
        </is>
      </c>
      <c r="G115" s="24" t="inlineStr">
        <is>
          <t>INTEGRATION</t>
        </is>
      </c>
      <c r="H115" s="24" t="inlineStr">
        <is>
          <t>NSW Property -  252 Pitt St Parkline Workplace Hub (INV10401 Revenue)</t>
        </is>
      </c>
      <c r="I115" s="24" t="inlineStr">
        <is>
          <t>Accrual - unbilled work</t>
        </is>
      </c>
      <c r="J115" s="26" t="n">
        <v>4085.36</v>
      </c>
      <c r="K115" s="24" t="inlineStr">
        <is>
          <t>11300</t>
        </is>
      </c>
      <c r="L115" s="24" t="n"/>
      <c r="M115" s="24" t="inlineStr">
        <is>
          <t>Y</t>
        </is>
      </c>
      <c r="N115" s="24" t="inlineStr">
        <is>
          <t>Migrated from FY27 Revenue Tracker v2 - confirm type/sign</t>
        </is>
      </c>
    </row>
    <row r="116" ht="15" customHeight="1">
      <c r="A116" s="65" t="n">
        <v>46265</v>
      </c>
      <c r="B116" s="63">
        <f>IF(C116="","",IFERROR(INDEX(tbl_Finance[Date],MATCH(C116&amp;"",tbl_Finance[Xero Invoice No],0)),""))</f>
        <v/>
      </c>
      <c r="C116" s="24" t="n"/>
      <c r="D116" s="24" t="inlineStr">
        <is>
          <t>3068</t>
        </is>
      </c>
      <c r="E116" s="25">
        <f>IF(D116="","",IF(COUNTIF(lst_Jobs,D116&amp;"")&gt;0,"OK","CHECK"))</f>
        <v/>
      </c>
      <c r="F116" s="24" t="inlineStr">
        <is>
          <t>NSW Property</t>
        </is>
      </c>
      <c r="G116" s="24" t="inlineStr">
        <is>
          <t>INTEGRATION</t>
        </is>
      </c>
      <c r="H116" s="24" t="inlineStr">
        <is>
          <t>NSW Property - Sydney 1 Prince Albert Workplace Hub (INV10412 Revenue)</t>
        </is>
      </c>
      <c r="I116" s="24" t="inlineStr">
        <is>
          <t>Accrual - unbilled work</t>
        </is>
      </c>
      <c r="J116" s="26" t="n">
        <v>1868.7</v>
      </c>
      <c r="K116" s="24" t="inlineStr">
        <is>
          <t>11300</t>
        </is>
      </c>
      <c r="L116" s="24" t="n"/>
      <c r="M116" s="24" t="inlineStr">
        <is>
          <t>Y</t>
        </is>
      </c>
      <c r="N116" s="24" t="inlineStr">
        <is>
          <t>Migrated from FY27 Revenue Tracker v2 - confirm type/sign</t>
        </is>
      </c>
    </row>
    <row r="117" ht="15" customHeight="1">
      <c r="A117" s="65" t="n">
        <v>46265</v>
      </c>
      <c r="B117" s="63">
        <f>IF(C117="","",IFERROR(INDEX(tbl_Finance[Date],MATCH(C117&amp;"",tbl_Finance[Xero Invoice No],0)),""))</f>
        <v/>
      </c>
      <c r="C117" s="24" t="n"/>
      <c r="D117" s="24" t="inlineStr">
        <is>
          <t>25121208</t>
        </is>
      </c>
      <c r="E117" s="25">
        <f>IF(D117="","",IF(COUNTIF(lst_Jobs,D117&amp;"")&gt;0,"OK","CHECK"))</f>
        <v/>
      </c>
      <c r="F117" s="24" t="inlineStr">
        <is>
          <t>APA</t>
        </is>
      </c>
      <c r="G117" s="24" t="inlineStr">
        <is>
          <t>PRODUCTION</t>
        </is>
      </c>
      <c r="H117" s="24" t="inlineStr">
        <is>
          <t>APA FYR August 2026 Package - Equipment Hire (Revenue)</t>
        </is>
      </c>
      <c r="I117" s="24" t="inlineStr">
        <is>
          <t>Accrual - unbilled work</t>
        </is>
      </c>
      <c r="J117" s="26" t="n">
        <v>2737.5</v>
      </c>
      <c r="K117" s="24" t="inlineStr">
        <is>
          <t>11300</t>
        </is>
      </c>
      <c r="L117" s="24" t="n"/>
      <c r="M117" s="24" t="inlineStr">
        <is>
          <t>Y</t>
        </is>
      </c>
      <c r="N117" s="24" t="inlineStr">
        <is>
          <t>Migrated from FY27 Revenue Tracker v2 - confirm type/sign</t>
        </is>
      </c>
    </row>
    <row r="118" ht="15" customHeight="1">
      <c r="A118" s="65" t="n">
        <v>46265</v>
      </c>
      <c r="B118" s="63">
        <f>IF(C118="","",IFERROR(INDEX(tbl_Finance[Date],MATCH(C118&amp;"",tbl_Finance[Xero Invoice No],0)),""))</f>
        <v/>
      </c>
      <c r="C118" s="24" t="n"/>
      <c r="D118" s="24" t="inlineStr">
        <is>
          <t>25121208</t>
        </is>
      </c>
      <c r="E118" s="25">
        <f>IF(D118="","",IF(COUNTIF(lst_Jobs,D118&amp;"")&gt;0,"OK","CHECK"))</f>
        <v/>
      </c>
      <c r="F118" s="24" t="inlineStr">
        <is>
          <t>APA</t>
        </is>
      </c>
      <c r="G118" s="24" t="inlineStr">
        <is>
          <t>PRODUCTION</t>
        </is>
      </c>
      <c r="H118" s="24" t="inlineStr">
        <is>
          <t>APA FYR August 2026 Package - Prod Labour (Revenue)</t>
        </is>
      </c>
      <c r="I118" s="24" t="inlineStr">
        <is>
          <t>Accrual - unbilled work</t>
        </is>
      </c>
      <c r="J118" s="26" t="n">
        <v>1900</v>
      </c>
      <c r="K118" s="24" t="inlineStr">
        <is>
          <t>11300</t>
        </is>
      </c>
      <c r="L118" s="24" t="n"/>
      <c r="M118" s="24" t="inlineStr">
        <is>
          <t>Y</t>
        </is>
      </c>
      <c r="N118" s="24" t="inlineStr">
        <is>
          <t>Migrated from FY27 Revenue Tracker v2 - confirm type/sign</t>
        </is>
      </c>
    </row>
    <row r="119" ht="15" customHeight="1">
      <c r="A119" s="65" t="n">
        <v>46265</v>
      </c>
      <c r="B119" s="63">
        <f>IF(C119="","",IFERROR(INDEX(tbl_Finance[Date],MATCH(C119&amp;"",tbl_Finance[Xero Invoice No],0)),""))</f>
        <v/>
      </c>
      <c r="C119" s="24" t="n"/>
      <c r="D119" s="24" t="inlineStr">
        <is>
          <t>25121208</t>
        </is>
      </c>
      <c r="E119" s="25">
        <f>IF(D119="","",IF(COUNTIF(lst_Jobs,D119&amp;"")&gt;0,"OK","CHECK"))</f>
        <v/>
      </c>
      <c r="F119" s="24" t="inlineStr">
        <is>
          <t>APA</t>
        </is>
      </c>
      <c r="G119" s="24" t="inlineStr">
        <is>
          <t>PRODUCTION</t>
        </is>
      </c>
      <c r="H119" s="24" t="inlineStr">
        <is>
          <t>APA FYR August 2026 Package - Conference Call (Revenue)</t>
        </is>
      </c>
      <c r="I119" s="24" t="inlineStr">
        <is>
          <t>Accrual - unbilled work</t>
        </is>
      </c>
      <c r="J119" s="26" t="n">
        <v>3575</v>
      </c>
      <c r="K119" s="24" t="inlineStr">
        <is>
          <t>11300</t>
        </is>
      </c>
      <c r="L119" s="24" t="n"/>
      <c r="M119" s="24" t="inlineStr">
        <is>
          <t>Y</t>
        </is>
      </c>
      <c r="N119" s="24" t="inlineStr">
        <is>
          <t>Migrated from FY27 Revenue Tracker v2 - confirm type/sign</t>
        </is>
      </c>
    </row>
    <row r="120" ht="15" customHeight="1">
      <c r="A120" s="65" t="n">
        <v>46265</v>
      </c>
      <c r="B120" s="63">
        <f>IF(C120="","",IFERROR(INDEX(tbl_Finance[Date],MATCH(C120&amp;"",tbl_Finance[Xero Invoice No],0)),""))</f>
        <v/>
      </c>
      <c r="C120" s="24" t="n"/>
      <c r="D120" s="24" t="inlineStr">
        <is>
          <t>25121208</t>
        </is>
      </c>
      <c r="E120" s="25">
        <f>IF(D120="","",IF(COUNTIF(lst_Jobs,D120&amp;"")&gt;0,"OK","CHECK"))</f>
        <v/>
      </c>
      <c r="F120" s="24" t="inlineStr">
        <is>
          <t>APA</t>
        </is>
      </c>
      <c r="G120" s="24" t="inlineStr">
        <is>
          <t>PRODUCTION</t>
        </is>
      </c>
      <c r="H120" s="24" t="inlineStr">
        <is>
          <t>APA FYR August 2026 Package - Tech Event Mgmt (Revenue)</t>
        </is>
      </c>
      <c r="I120" s="24" t="inlineStr">
        <is>
          <t>Accrual - unbilled work</t>
        </is>
      </c>
      <c r="J120" s="26" t="n">
        <v>230</v>
      </c>
      <c r="K120" s="24" t="inlineStr">
        <is>
          <t>11300</t>
        </is>
      </c>
      <c r="L120" s="24" t="n"/>
      <c r="M120" s="24" t="inlineStr">
        <is>
          <t>Y</t>
        </is>
      </c>
      <c r="N120" s="24" t="inlineStr">
        <is>
          <t>Migrated from FY27 Revenue Tracker v2 - confirm type/sign</t>
        </is>
      </c>
    </row>
    <row r="121" ht="15" customHeight="1">
      <c r="A121" s="65" t="n">
        <v>46265</v>
      </c>
      <c r="B121" s="63">
        <f>IF(C121="","",IFERROR(INDEX(tbl_Finance[Date],MATCH(C121&amp;"",tbl_Finance[Xero Invoice No],0)),""))</f>
        <v/>
      </c>
      <c r="C121" s="24" t="n"/>
      <c r="D121" s="24" t="inlineStr">
        <is>
          <t>25121208</t>
        </is>
      </c>
      <c r="E121" s="25">
        <f>IF(D121="","",IF(COUNTIF(lst_Jobs,D121&amp;"")&gt;0,"OK","CHECK"))</f>
        <v/>
      </c>
      <c r="F121" s="24" t="inlineStr">
        <is>
          <t>APA</t>
        </is>
      </c>
      <c r="G121" s="24" t="inlineStr">
        <is>
          <t>PRODUCTION</t>
        </is>
      </c>
      <c r="H121" s="24" t="inlineStr">
        <is>
          <t>APA FYR August 2026 Package - Freight (Revenue)</t>
        </is>
      </c>
      <c r="I121" s="24" t="inlineStr">
        <is>
          <t>Accrual - unbilled work</t>
        </is>
      </c>
      <c r="J121" s="26" t="n">
        <v>300</v>
      </c>
      <c r="K121" s="24" t="inlineStr">
        <is>
          <t>11300</t>
        </is>
      </c>
      <c r="L121" s="24" t="n"/>
      <c r="M121" s="24" t="inlineStr">
        <is>
          <t>Y</t>
        </is>
      </c>
      <c r="N121" s="24" t="inlineStr">
        <is>
          <t>Migrated from FY27 Revenue Tracker v2 - confirm type/sign</t>
        </is>
      </c>
    </row>
    <row r="122" ht="15" customHeight="1">
      <c r="A122" s="65" t="n">
        <v>46265</v>
      </c>
      <c r="B122" s="63">
        <f>IF(C122="","",IFERROR(INDEX(tbl_Finance[Date],MATCH(C122&amp;"",tbl_Finance[Xero Invoice No],0)),""))</f>
        <v/>
      </c>
      <c r="C122" s="24" t="n"/>
      <c r="D122" s="24" t="inlineStr">
        <is>
          <t>2506208</t>
        </is>
      </c>
      <c r="E122" s="25">
        <f>IF(D122="","",IF(COUNTIF(lst_Jobs,D122&amp;"")&gt;0,"OK","CHECK"))</f>
        <v/>
      </c>
      <c r="F122" s="24" t="inlineStr">
        <is>
          <t>CBA</t>
        </is>
      </c>
      <c r="G122" s="24" t="inlineStr">
        <is>
          <t>PRODUCTION</t>
        </is>
      </c>
      <c r="H122" s="24" t="inlineStr">
        <is>
          <t>CBA AGM 2026 Pre-production work at $130ph</t>
        </is>
      </c>
      <c r="I122" s="24" t="inlineStr">
        <is>
          <t>Accrual - unbilled work</t>
        </is>
      </c>
      <c r="J122" s="26" t="n">
        <v>1787.5</v>
      </c>
      <c r="K122" s="24" t="inlineStr">
        <is>
          <t>11300</t>
        </is>
      </c>
      <c r="L122" s="24" t="n"/>
      <c r="M122" s="24" t="inlineStr">
        <is>
          <t>Y</t>
        </is>
      </c>
      <c r="N122" s="24" t="inlineStr">
        <is>
          <t>Migrated from FY27 Revenue Tracker v2 - confirm type/sign</t>
        </is>
      </c>
    </row>
    <row r="123" ht="15" customHeight="1">
      <c r="A123" s="65" t="n">
        <v>46265</v>
      </c>
      <c r="B123" s="63">
        <f>IF(C123="","",IFERROR(INDEX(tbl_Finance[Date],MATCH(C123&amp;"",tbl_Finance[Xero Invoice No],0)),""))</f>
        <v/>
      </c>
      <c r="C123" s="24" t="n"/>
      <c r="D123" s="24" t="inlineStr">
        <is>
          <t>25070702</t>
        </is>
      </c>
      <c r="E123" s="25">
        <f>IF(D123="","",IF(COUNTIF(lst_Jobs,D123&amp;"")&gt;0,"OK","CHECK"))</f>
        <v/>
      </c>
      <c r="F123" s="24" t="inlineStr">
        <is>
          <t>APA</t>
        </is>
      </c>
      <c r="G123" s="24" t="inlineStr">
        <is>
          <t>INTEGRATION</t>
        </is>
      </c>
      <c r="H123" s="24" t="inlineStr">
        <is>
          <t>APA BNE &amp; NT Year 1/3 Inv9988 (Revenue) Sep 2025 - Aug 2026</t>
        </is>
      </c>
      <c r="I123" s="24" t="inlineStr">
        <is>
          <t>Accrual - unbilled work</t>
        </is>
      </c>
      <c r="J123" s="26" t="n">
        <v>308.16</v>
      </c>
      <c r="K123" s="24" t="inlineStr">
        <is>
          <t>11300</t>
        </is>
      </c>
      <c r="L123" s="24" t="n"/>
      <c r="M123" s="24" t="inlineStr">
        <is>
          <t>Y</t>
        </is>
      </c>
      <c r="N123" s="24" t="inlineStr">
        <is>
          <t>Migrated from FY27 Revenue Tracker v2 - confirm type/sign</t>
        </is>
      </c>
    </row>
    <row r="124" ht="15" customHeight="1">
      <c r="A124" s="65" t="n">
        <v>46265</v>
      </c>
      <c r="B124" s="63">
        <f>IF(C124="","",IFERROR(INDEX(tbl_Finance[Date],MATCH(C124&amp;"",tbl_Finance[Xero Invoice No],0)),""))</f>
        <v/>
      </c>
      <c r="C124" s="24" t="n"/>
      <c r="D124" s="24" t="inlineStr">
        <is>
          <t>3072</t>
        </is>
      </c>
      <c r="E124" s="25">
        <f>IF(D124="","",IF(COUNTIF(lst_Jobs,D124&amp;"")&gt;0,"OK","CHECK"))</f>
        <v/>
      </c>
      <c r="F124" s="24" t="inlineStr">
        <is>
          <t>APA Thomastown</t>
        </is>
      </c>
      <c r="G124" s="24" t="inlineStr">
        <is>
          <t>INTEGRATION</t>
        </is>
      </c>
      <c r="H124" s="24" t="inlineStr">
        <is>
          <t>APA Thomastown INV-10133 Year 3 Licence (January - December 2026)</t>
        </is>
      </c>
      <c r="I124" s="24" t="inlineStr">
        <is>
          <t>Accrual - unbilled work</t>
        </is>
      </c>
      <c r="J124" s="26" t="n">
        <v>1033.06</v>
      </c>
      <c r="K124" s="24" t="inlineStr">
        <is>
          <t>11300</t>
        </is>
      </c>
      <c r="L124" s="24" t="n"/>
      <c r="M124" s="24" t="inlineStr">
        <is>
          <t>Y</t>
        </is>
      </c>
      <c r="N124" s="24" t="inlineStr">
        <is>
          <t>Migrated from FY27 Revenue Tracker v2 - confirm type/sign</t>
        </is>
      </c>
    </row>
    <row r="125" ht="15" customHeight="1">
      <c r="A125" s="65" t="n">
        <v>46265</v>
      </c>
      <c r="B125" s="63">
        <f>IF(C125="","",IFERROR(INDEX(tbl_Finance[Date],MATCH(C125&amp;"",tbl_Finance[Xero Invoice No],0)),""))</f>
        <v/>
      </c>
      <c r="C125" s="24" t="n"/>
      <c r="D125" s="24" t="inlineStr">
        <is>
          <t>2519</t>
        </is>
      </c>
      <c r="E125" s="25">
        <f>IF(D125="","",IF(COUNTIF(lst_Jobs,D125&amp;"")&gt;0,"OK","CHECK"))</f>
        <v/>
      </c>
      <c r="F125" s="24" t="inlineStr">
        <is>
          <t>NSW Property</t>
        </is>
      </c>
      <c r="G125" s="24" t="inlineStr">
        <is>
          <t>INTEGRATION</t>
        </is>
      </c>
      <c r="H125" s="24" t="inlineStr">
        <is>
          <t>NSW Property 6PSQ Multi-Tennant Year 4 INV 10162 Revenue (November - October 2026)</t>
        </is>
      </c>
      <c r="I125" s="24" t="inlineStr">
        <is>
          <t>Accrual - unbilled work</t>
        </is>
      </c>
      <c r="J125" s="26" t="n">
        <v>929.33</v>
      </c>
      <c r="K125" s="24" t="inlineStr">
        <is>
          <t>11300</t>
        </is>
      </c>
      <c r="L125" s="24" t="n"/>
      <c r="M125" s="24" t="inlineStr">
        <is>
          <t>Y</t>
        </is>
      </c>
      <c r="N125" s="24" t="inlineStr">
        <is>
          <t>Migrated from FY27 Revenue Tracker v2 - confirm type/sign</t>
        </is>
      </c>
    </row>
    <row r="126" ht="15" customHeight="1">
      <c r="A126" s="65" t="n">
        <v>46265</v>
      </c>
      <c r="B126" s="63">
        <f>IF(C126="","",IFERROR(INDEX(tbl_Finance[Date],MATCH(C126&amp;"",tbl_Finance[Xero Invoice No],0)),""))</f>
        <v/>
      </c>
      <c r="C126" s="24" t="n"/>
      <c r="D126" s="24" t="inlineStr">
        <is>
          <t>2510804</t>
        </is>
      </c>
      <c r="E126" s="25">
        <f>IF(D126="","",IF(COUNTIF(lst_Jobs,D126&amp;"")&gt;0,"OK","CHECK"))</f>
        <v/>
      </c>
      <c r="F126" s="24" t="inlineStr">
        <is>
          <t>Presynct</t>
        </is>
      </c>
      <c r="G126" s="24" t="inlineStr">
        <is>
          <t>INTEGRATION</t>
        </is>
      </c>
      <c r="H126" s="24" t="inlineStr">
        <is>
          <t>Presynct - QLD - Condeco Desk Booking System INV 10199 Revenue (Nov 2025 - Oct 2025)</t>
        </is>
      </c>
      <c r="I126" s="24" t="inlineStr">
        <is>
          <t>Accrual - unbilled work</t>
        </is>
      </c>
      <c r="J126" s="26" t="n">
        <v>439.33</v>
      </c>
      <c r="K126" s="24" t="inlineStr">
        <is>
          <t>11300</t>
        </is>
      </c>
      <c r="L126" s="24" t="n"/>
      <c r="M126" s="24" t="inlineStr">
        <is>
          <t>Y</t>
        </is>
      </c>
      <c r="N126" s="24" t="inlineStr">
        <is>
          <t>Migrated from FY27 Revenue Tracker v2 - confirm type/sign</t>
        </is>
      </c>
    </row>
    <row r="127" ht="15" customHeight="1">
      <c r="A127" s="65" t="n">
        <v>46265</v>
      </c>
      <c r="B127" s="63">
        <f>IF(C127="","",IFERROR(INDEX(tbl_Finance[Date],MATCH(C127&amp;"",tbl_Finance[Xero Invoice No],0)),""))</f>
        <v/>
      </c>
      <c r="C127" s="24" t="n"/>
      <c r="D127" s="24" t="inlineStr">
        <is>
          <t>2719</t>
        </is>
      </c>
      <c r="E127" s="25">
        <f>IF(D127="","",IF(COUNTIF(lst_Jobs,D127&amp;"")&gt;0,"OK","CHECK"))</f>
        <v/>
      </c>
      <c r="F127" s="24" t="inlineStr">
        <is>
          <t>NSW Property</t>
        </is>
      </c>
      <c r="G127" s="24" t="inlineStr">
        <is>
          <t>INTEGRATION</t>
        </is>
      </c>
      <c r="H127" s="24" t="inlineStr">
        <is>
          <t>NSW Property GSP Proxyclick INV 10176 Revenue (Dec 2025 - Nov 2026)</t>
        </is>
      </c>
      <c r="I127" s="24" t="inlineStr">
        <is>
          <t>Accrual - unbilled work</t>
        </is>
      </c>
      <c r="J127" s="26" t="n">
        <v>381.15</v>
      </c>
      <c r="K127" s="24" t="inlineStr">
        <is>
          <t>11300</t>
        </is>
      </c>
      <c r="L127" s="24" t="n"/>
      <c r="M127" s="24" t="inlineStr">
        <is>
          <t>Y</t>
        </is>
      </c>
      <c r="N127" s="24" t="inlineStr">
        <is>
          <t>Migrated from FY27 Revenue Tracker v2 - confirm type/sign</t>
        </is>
      </c>
    </row>
    <row r="128" ht="15" customHeight="1">
      <c r="A128" s="65" t="n">
        <v>46265</v>
      </c>
      <c r="B128" s="63">
        <f>IF(C128="","",IFERROR(INDEX(tbl_Finance[Date],MATCH(C128&amp;"",tbl_Finance[Xero Invoice No],0)),""))</f>
        <v/>
      </c>
      <c r="C128" s="24" t="n"/>
      <c r="D128" s="24" t="inlineStr">
        <is>
          <t>2834</t>
        </is>
      </c>
      <c r="E128" s="25">
        <f>IF(D128="","",IF(COUNTIF(lst_Jobs,D128&amp;"")&gt;0,"OK","CHECK"))</f>
        <v/>
      </c>
      <c r="F128" s="24" t="inlineStr">
        <is>
          <t>APA</t>
        </is>
      </c>
      <c r="G128" s="24" t="inlineStr">
        <is>
          <t>INTEGRATION</t>
        </is>
      </c>
      <c r="H128" s="24" t="inlineStr">
        <is>
          <t>APA Young Year 4 INV-10280 Revenue (Mar 2026 - Feb 2027)</t>
        </is>
      </c>
      <c r="I128" s="24" t="inlineStr">
        <is>
          <t>Accrual - unbilled work</t>
        </is>
      </c>
      <c r="J128" s="26" t="n">
        <v>312.9</v>
      </c>
      <c r="K128" s="24" t="inlineStr">
        <is>
          <t>11300</t>
        </is>
      </c>
      <c r="L128" s="24" t="n"/>
      <c r="M128" s="24" t="inlineStr">
        <is>
          <t>Y</t>
        </is>
      </c>
      <c r="N128" s="24" t="inlineStr">
        <is>
          <t>Migrated from FY27 Revenue Tracker v2 - confirm type/sign</t>
        </is>
      </c>
    </row>
    <row r="129" ht="15" customHeight="1">
      <c r="A129" s="65" t="n">
        <v>46265</v>
      </c>
      <c r="B129" s="63">
        <f>IF(C129="","",IFERROR(INDEX(tbl_Finance[Date],MATCH(C129&amp;"",tbl_Finance[Xero Invoice No],0)),""))</f>
        <v/>
      </c>
      <c r="C129" s="24" t="n"/>
      <c r="D129" s="24" t="inlineStr">
        <is>
          <t>25021901</t>
        </is>
      </c>
      <c r="E129" s="25">
        <f>IF(D129="","",IF(COUNTIF(lst_Jobs,D129&amp;"")&gt;0,"OK","CHECK"))</f>
        <v/>
      </c>
      <c r="F129" s="24" t="inlineStr">
        <is>
          <t>DaFF</t>
        </is>
      </c>
      <c r="G129" s="24" t="inlineStr">
        <is>
          <t>INTEGRATION</t>
        </is>
      </c>
      <c r="H129" s="24" t="inlineStr">
        <is>
          <t>DAFF Consulting services invoiced in advance (INV9860)</t>
        </is>
      </c>
      <c r="I129" s="24" t="inlineStr">
        <is>
          <t>Accrual - unbilled work</t>
        </is>
      </c>
      <c r="J129" s="26" t="n">
        <v>536.25</v>
      </c>
      <c r="K129" s="24" t="inlineStr">
        <is>
          <t>11300</t>
        </is>
      </c>
      <c r="L129" s="24" t="n"/>
      <c r="M129" s="24" t="inlineStr">
        <is>
          <t>Y</t>
        </is>
      </c>
      <c r="N129" s="24" t="inlineStr">
        <is>
          <t>Migrated from FY27 Revenue Tracker v2 - confirm type/sign</t>
        </is>
      </c>
    </row>
    <row r="130" ht="15" customHeight="1">
      <c r="A130" s="65" t="n">
        <v>46265</v>
      </c>
      <c r="B130" s="63">
        <f>IF(C130="","",IFERROR(INDEX(tbl_Finance[Date],MATCH(C130&amp;"",tbl_Finance[Xero Invoice No],0)),""))</f>
        <v/>
      </c>
      <c r="C130" s="24" t="n"/>
      <c r="D130" s="24" t="inlineStr">
        <is>
          <t>26081901</t>
        </is>
      </c>
      <c r="E130" s="25">
        <f>IF(D130="","",IF(COUNTIF(lst_Jobs,D130&amp;"")&gt;0,"OK","CHECK"))</f>
        <v/>
      </c>
      <c r="F130" s="24" t="inlineStr">
        <is>
          <t>Auspost</t>
        </is>
      </c>
      <c r="G130" s="24" t="inlineStr">
        <is>
          <t>INTEGRATION</t>
        </is>
      </c>
      <c r="H130" s="24" t="inlineStr">
        <is>
          <t>AusPayNet | Logitech Room Essentials Subscription [INT] License Revenue INV-10574 (12 months lincense)</t>
        </is>
      </c>
      <c r="I130" s="24" t="inlineStr">
        <is>
          <t>Deferral - invoiced in advance</t>
        </is>
      </c>
      <c r="J130" s="26" t="n">
        <v>-993</v>
      </c>
      <c r="K130" s="24" t="inlineStr">
        <is>
          <t>11300</t>
        </is>
      </c>
      <c r="L130" s="24" t="n"/>
      <c r="M130" s="24" t="inlineStr">
        <is>
          <t>Y</t>
        </is>
      </c>
      <c r="N130" s="24" t="inlineStr">
        <is>
          <t>Migrated from FY27 Revenue Tracker v2 - confirm type/sign</t>
        </is>
      </c>
    </row>
    <row r="131" ht="15" customHeight="1">
      <c r="A131" s="65" t="n"/>
      <c r="B131" s="63">
        <f>IF(C131="","",IFERROR(INDEX(tbl_Finance[Date],MATCH(C131&amp;"",tbl_Finance[Xero Invoice No],0)),""))</f>
        <v/>
      </c>
      <c r="C131" s="24" t="n"/>
      <c r="D131" s="24" t="n"/>
      <c r="E131" s="25">
        <f>IF(D131="","",IF(COUNTIF(lst_Jobs,D131&amp;"")&gt;0,"OK","CHECK"))</f>
        <v/>
      </c>
      <c r="F131" s="24" t="n"/>
      <c r="G131" s="24" t="n"/>
      <c r="H131" s="24" t="n"/>
      <c r="I131" s="24" t="n"/>
      <c r="J131" s="26" t="n"/>
      <c r="K131" s="24" t="n"/>
      <c r="L131" s="24" t="n"/>
      <c r="M131" s="24" t="n"/>
      <c r="N131" s="24" t="n"/>
    </row>
    <row r="132" ht="15" customHeight="1">
      <c r="A132" s="65" t="n"/>
      <c r="B132" s="63">
        <f>IF(C132="","",IFERROR(INDEX(tbl_Finance[Date],MATCH(C132&amp;"",tbl_Finance[Xero Invoice No],0)),""))</f>
        <v/>
      </c>
      <c r="C132" s="24" t="n"/>
      <c r="D132" s="24" t="n"/>
      <c r="E132" s="25">
        <f>IF(D132="","",IF(COUNTIF(lst_Jobs,D132&amp;"")&gt;0,"OK","CHECK"))</f>
        <v/>
      </c>
      <c r="F132" s="24" t="n"/>
      <c r="G132" s="24" t="n"/>
      <c r="H132" s="24" t="n"/>
      <c r="I132" s="24" t="n"/>
      <c r="J132" s="26" t="n"/>
      <c r="K132" s="24" t="n"/>
      <c r="L132" s="24" t="n"/>
      <c r="M132" s="24" t="n"/>
      <c r="N132" s="24" t="n"/>
    </row>
    <row r="133" ht="15" customHeight="1">
      <c r="A133" s="65" t="n"/>
      <c r="B133" s="63">
        <f>IF(C133="","",IFERROR(INDEX(tbl_Finance[Date],MATCH(C133&amp;"",tbl_Finance[Xero Invoice No],0)),""))</f>
        <v/>
      </c>
      <c r="C133" s="24" t="n"/>
      <c r="D133" s="24" t="n"/>
      <c r="E133" s="25">
        <f>IF(D133="","",IF(COUNTIF(lst_Jobs,D133&amp;"")&gt;0,"OK","CHECK"))</f>
        <v/>
      </c>
      <c r="F133" s="24" t="n"/>
      <c r="G133" s="24" t="n"/>
      <c r="H133" s="24" t="n"/>
      <c r="I133" s="24" t="n"/>
      <c r="J133" s="26" t="n"/>
      <c r="K133" s="24" t="n"/>
      <c r="L133" s="24" t="n"/>
      <c r="M133" s="24" t="n"/>
      <c r="N133" s="24" t="n"/>
    </row>
    <row r="134" ht="15" customHeight="1">
      <c r="A134" s="65" t="n"/>
      <c r="B134" s="63">
        <f>IF(C134="","",IFERROR(INDEX(tbl_Finance[Date],MATCH(C134&amp;"",tbl_Finance[Xero Invoice No],0)),""))</f>
        <v/>
      </c>
      <c r="C134" s="24" t="n"/>
      <c r="D134" s="24" t="n"/>
      <c r="E134" s="25">
        <f>IF(D134="","",IF(COUNTIF(lst_Jobs,D134&amp;"")&gt;0,"OK","CHECK"))</f>
        <v/>
      </c>
      <c r="F134" s="24" t="n"/>
      <c r="G134" s="24" t="n"/>
      <c r="H134" s="24" t="n"/>
      <c r="I134" s="24" t="n"/>
      <c r="J134" s="26" t="n"/>
      <c r="K134" s="24" t="n"/>
      <c r="L134" s="24" t="n"/>
      <c r="M134" s="24" t="n"/>
      <c r="N134" s="24" t="n"/>
    </row>
    <row r="135" ht="15" customHeight="1">
      <c r="A135" s="65" t="n"/>
      <c r="B135" s="63">
        <f>IF(C135="","",IFERROR(INDEX(tbl_Finance[Date],MATCH(C135&amp;"",tbl_Finance[Xero Invoice No],0)),""))</f>
        <v/>
      </c>
      <c r="C135" s="24" t="n"/>
      <c r="D135" s="24" t="n"/>
      <c r="E135" s="25">
        <f>IF(D135="","",IF(COUNTIF(lst_Jobs,D135&amp;"")&gt;0,"OK","CHECK"))</f>
        <v/>
      </c>
      <c r="F135" s="24" t="n"/>
      <c r="G135" s="24" t="n"/>
      <c r="H135" s="24" t="n"/>
      <c r="I135" s="24" t="n"/>
      <c r="J135" s="26" t="n"/>
      <c r="K135" s="24" t="n"/>
      <c r="L135" s="24" t="n"/>
      <c r="M135" s="24" t="n"/>
      <c r="N135" s="24" t="n"/>
    </row>
    <row r="136" ht="15" customHeight="1">
      <c r="A136" s="65" t="n"/>
      <c r="B136" s="63">
        <f>IF(C136="","",IFERROR(INDEX(tbl_Finance[Date],MATCH(C136&amp;"",tbl_Finance[Xero Invoice No],0)),""))</f>
        <v/>
      </c>
      <c r="C136" s="24" t="n"/>
      <c r="D136" s="24" t="n"/>
      <c r="E136" s="25">
        <f>IF(D136="","",IF(COUNTIF(lst_Jobs,D136&amp;"")&gt;0,"OK","CHECK"))</f>
        <v/>
      </c>
      <c r="F136" s="24" t="n"/>
      <c r="G136" s="24" t="n"/>
      <c r="H136" s="24" t="n"/>
      <c r="I136" s="24" t="n"/>
      <c r="J136" s="26" t="n"/>
      <c r="K136" s="24" t="n"/>
      <c r="L136" s="24" t="n"/>
      <c r="M136" s="24" t="n"/>
      <c r="N136" s="24" t="n"/>
    </row>
    <row r="137" ht="15" customHeight="1">
      <c r="A137" s="65" t="n"/>
      <c r="B137" s="63">
        <f>IF(C137="","",IFERROR(INDEX(tbl_Finance[Date],MATCH(C137&amp;"",tbl_Finance[Xero Invoice No],0)),""))</f>
        <v/>
      </c>
      <c r="C137" s="24" t="n"/>
      <c r="D137" s="24" t="n"/>
      <c r="E137" s="25">
        <f>IF(D137="","",IF(COUNTIF(lst_Jobs,D137&amp;"")&gt;0,"OK","CHECK"))</f>
        <v/>
      </c>
      <c r="F137" s="24" t="n"/>
      <c r="G137" s="24" t="n"/>
      <c r="H137" s="24" t="n"/>
      <c r="I137" s="24" t="n"/>
      <c r="J137" s="26" t="n"/>
      <c r="K137" s="24" t="n"/>
      <c r="L137" s="24" t="n"/>
      <c r="M137" s="24" t="n"/>
      <c r="N137" s="24" t="n"/>
    </row>
    <row r="138" ht="15" customHeight="1">
      <c r="A138" s="65" t="n"/>
      <c r="B138" s="63">
        <f>IF(C138="","",IFERROR(INDEX(tbl_Finance[Date],MATCH(C138&amp;"",tbl_Finance[Xero Invoice No],0)),""))</f>
        <v/>
      </c>
      <c r="C138" s="24" t="n"/>
      <c r="D138" s="24" t="n"/>
      <c r="E138" s="25">
        <f>IF(D138="","",IF(COUNTIF(lst_Jobs,D138&amp;"")&gt;0,"OK","CHECK"))</f>
        <v/>
      </c>
      <c r="F138" s="24" t="n"/>
      <c r="G138" s="24" t="n"/>
      <c r="H138" s="24" t="n"/>
      <c r="I138" s="24" t="n"/>
      <c r="J138" s="26" t="n"/>
      <c r="K138" s="24" t="n"/>
      <c r="L138" s="24" t="n"/>
      <c r="M138" s="24" t="n"/>
      <c r="N138" s="24" t="n"/>
    </row>
    <row r="139" ht="15" customHeight="1">
      <c r="A139" s="65" t="n"/>
      <c r="B139" s="63">
        <f>IF(C139="","",IFERROR(INDEX(tbl_Finance[Date],MATCH(C139&amp;"",tbl_Finance[Xero Invoice No],0)),""))</f>
        <v/>
      </c>
      <c r="C139" s="24" t="n"/>
      <c r="D139" s="24" t="n"/>
      <c r="E139" s="25">
        <f>IF(D139="","",IF(COUNTIF(lst_Jobs,D139&amp;"")&gt;0,"OK","CHECK"))</f>
        <v/>
      </c>
      <c r="F139" s="24" t="n"/>
      <c r="G139" s="24" t="n"/>
      <c r="H139" s="24" t="n"/>
      <c r="I139" s="24" t="n"/>
      <c r="J139" s="26" t="n"/>
      <c r="K139" s="24" t="n"/>
      <c r="L139" s="24" t="n"/>
      <c r="M139" s="24" t="n"/>
      <c r="N139" s="24" t="n"/>
    </row>
    <row r="140" ht="15" customHeight="1">
      <c r="A140" s="65" t="n"/>
      <c r="B140" s="63">
        <f>IF(C140="","",IFERROR(INDEX(tbl_Finance[Date],MATCH(C140&amp;"",tbl_Finance[Xero Invoice No],0)),""))</f>
        <v/>
      </c>
      <c r="C140" s="24" t="n"/>
      <c r="D140" s="24" t="n"/>
      <c r="E140" s="25">
        <f>IF(D140="","",IF(COUNTIF(lst_Jobs,D140&amp;"")&gt;0,"OK","CHECK"))</f>
        <v/>
      </c>
      <c r="F140" s="24" t="n"/>
      <c r="G140" s="24" t="n"/>
      <c r="H140" s="24" t="n"/>
      <c r="I140" s="24" t="n"/>
      <c r="J140" s="26" t="n"/>
      <c r="K140" s="24" t="n"/>
      <c r="L140" s="24" t="n"/>
      <c r="M140" s="24" t="n"/>
      <c r="N140" s="24" t="n"/>
    </row>
    <row r="141" ht="15" customHeight="1">
      <c r="A141" s="65" t="n"/>
      <c r="B141" s="63">
        <f>IF(C141="","",IFERROR(INDEX(tbl_Finance[Date],MATCH(C141&amp;"",tbl_Finance[Xero Invoice No],0)),""))</f>
        <v/>
      </c>
      <c r="C141" s="24" t="n"/>
      <c r="D141" s="24" t="n"/>
      <c r="E141" s="25">
        <f>IF(D141="","",IF(COUNTIF(lst_Jobs,D141&amp;"")&gt;0,"OK","CHECK"))</f>
        <v/>
      </c>
      <c r="F141" s="24" t="n"/>
      <c r="G141" s="24" t="n"/>
      <c r="H141" s="24" t="n"/>
      <c r="I141" s="24" t="n"/>
      <c r="J141" s="26" t="n"/>
      <c r="K141" s="24" t="n"/>
      <c r="L141" s="24" t="n"/>
      <c r="M141" s="24" t="n"/>
      <c r="N141" s="24" t="n"/>
    </row>
    <row r="142" ht="15" customHeight="1">
      <c r="A142" s="65" t="n"/>
      <c r="B142" s="63">
        <f>IF(C142="","",IFERROR(INDEX(tbl_Finance[Date],MATCH(C142&amp;"",tbl_Finance[Xero Invoice No],0)),""))</f>
        <v/>
      </c>
      <c r="C142" s="24" t="n"/>
      <c r="D142" s="24" t="n"/>
      <c r="E142" s="25">
        <f>IF(D142="","",IF(COUNTIF(lst_Jobs,D142&amp;"")&gt;0,"OK","CHECK"))</f>
        <v/>
      </c>
      <c r="F142" s="24" t="n"/>
      <c r="G142" s="24" t="n"/>
      <c r="H142" s="24" t="n"/>
      <c r="I142" s="24" t="n"/>
      <c r="J142" s="26" t="n"/>
      <c r="K142" s="24" t="n"/>
      <c r="L142" s="24" t="n"/>
      <c r="M142" s="24" t="n"/>
      <c r="N142" s="24" t="n"/>
    </row>
    <row r="143" ht="15" customHeight="1">
      <c r="A143" s="65" t="n"/>
      <c r="B143" s="63">
        <f>IF(C143="","",IFERROR(INDEX(tbl_Finance[Date],MATCH(C143&amp;"",tbl_Finance[Xero Invoice No],0)),""))</f>
        <v/>
      </c>
      <c r="C143" s="24" t="n"/>
      <c r="D143" s="24" t="n"/>
      <c r="E143" s="25">
        <f>IF(D143="","",IF(COUNTIF(lst_Jobs,D143&amp;"")&gt;0,"OK","CHECK"))</f>
        <v/>
      </c>
      <c r="F143" s="24" t="n"/>
      <c r="G143" s="24" t="n"/>
      <c r="H143" s="24" t="n"/>
      <c r="I143" s="24" t="n"/>
      <c r="J143" s="26" t="n"/>
      <c r="K143" s="24" t="n"/>
      <c r="L143" s="24" t="n"/>
      <c r="M143" s="24" t="n"/>
      <c r="N143" s="24" t="n"/>
    </row>
    <row r="144" ht="15" customHeight="1">
      <c r="A144" s="65" t="n"/>
      <c r="B144" s="63">
        <f>IF(C144="","",IFERROR(INDEX(tbl_Finance[Date],MATCH(C144&amp;"",tbl_Finance[Xero Invoice No],0)),""))</f>
        <v/>
      </c>
      <c r="C144" s="24" t="n"/>
      <c r="D144" s="24" t="n"/>
      <c r="E144" s="25">
        <f>IF(D144="","",IF(COUNTIF(lst_Jobs,D144&amp;"")&gt;0,"OK","CHECK"))</f>
        <v/>
      </c>
      <c r="F144" s="24" t="n"/>
      <c r="G144" s="24" t="n"/>
      <c r="H144" s="24" t="n"/>
      <c r="I144" s="24" t="n"/>
      <c r="J144" s="26" t="n"/>
      <c r="K144" s="24" t="n"/>
      <c r="L144" s="24" t="n"/>
      <c r="M144" s="24" t="n"/>
      <c r="N144" s="24" t="n"/>
    </row>
    <row r="145" ht="15" customHeight="1">
      <c r="A145" s="65" t="n"/>
      <c r="B145" s="63">
        <f>IF(C145="","",IFERROR(INDEX(tbl_Finance[Date],MATCH(C145&amp;"",tbl_Finance[Xero Invoice No],0)),""))</f>
        <v/>
      </c>
      <c r="C145" s="24" t="n"/>
      <c r="D145" s="24" t="n"/>
      <c r="E145" s="25">
        <f>IF(D145="","",IF(COUNTIF(lst_Jobs,D145&amp;"")&gt;0,"OK","CHECK"))</f>
        <v/>
      </c>
      <c r="F145" s="24" t="n"/>
      <c r="G145" s="24" t="n"/>
      <c r="H145" s="24" t="n"/>
      <c r="I145" s="24" t="n"/>
      <c r="J145" s="26" t="n"/>
      <c r="K145" s="24" t="n"/>
      <c r="L145" s="24" t="n"/>
      <c r="M145" s="24" t="n"/>
      <c r="N145" s="24" t="n"/>
    </row>
    <row r="146" ht="15" customHeight="1">
      <c r="A146" s="65" t="n"/>
      <c r="B146" s="63">
        <f>IF(C146="","",IFERROR(INDEX(tbl_Finance[Date],MATCH(C146&amp;"",tbl_Finance[Xero Invoice No],0)),""))</f>
        <v/>
      </c>
      <c r="C146" s="24" t="n"/>
      <c r="D146" s="24" t="n"/>
      <c r="E146" s="25">
        <f>IF(D146="","",IF(COUNTIF(lst_Jobs,D146&amp;"")&gt;0,"OK","CHECK"))</f>
        <v/>
      </c>
      <c r="F146" s="24" t="n"/>
      <c r="G146" s="24" t="n"/>
      <c r="H146" s="24" t="n"/>
      <c r="I146" s="24" t="n"/>
      <c r="J146" s="26" t="n"/>
      <c r="K146" s="24" t="n"/>
      <c r="L146" s="24" t="n"/>
      <c r="M146" s="24" t="n"/>
      <c r="N146" s="24" t="n"/>
    </row>
    <row r="147" ht="15" customHeight="1">
      <c r="A147" s="65" t="n"/>
      <c r="B147" s="63">
        <f>IF(C147="","",IFERROR(INDEX(tbl_Finance[Date],MATCH(C147&amp;"",tbl_Finance[Xero Invoice No],0)),""))</f>
        <v/>
      </c>
      <c r="C147" s="24" t="n"/>
      <c r="D147" s="24" t="n"/>
      <c r="E147" s="25">
        <f>IF(D147="","",IF(COUNTIF(lst_Jobs,D147&amp;"")&gt;0,"OK","CHECK"))</f>
        <v/>
      </c>
      <c r="F147" s="24" t="n"/>
      <c r="G147" s="24" t="n"/>
      <c r="H147" s="24" t="n"/>
      <c r="I147" s="24" t="n"/>
      <c r="J147" s="26" t="n"/>
      <c r="K147" s="24" t="n"/>
      <c r="L147" s="24" t="n"/>
      <c r="M147" s="24" t="n"/>
      <c r="N147" s="24" t="n"/>
    </row>
    <row r="148" ht="15" customHeight="1">
      <c r="A148" s="65" t="n"/>
      <c r="B148" s="63">
        <f>IF(C148="","",IFERROR(INDEX(tbl_Finance[Date],MATCH(C148&amp;"",tbl_Finance[Xero Invoice No],0)),""))</f>
        <v/>
      </c>
      <c r="C148" s="24" t="n"/>
      <c r="D148" s="24" t="n"/>
      <c r="E148" s="25">
        <f>IF(D148="","",IF(COUNTIF(lst_Jobs,D148&amp;"")&gt;0,"OK","CHECK"))</f>
        <v/>
      </c>
      <c r="F148" s="24" t="n"/>
      <c r="G148" s="24" t="n"/>
      <c r="H148" s="24" t="n"/>
      <c r="I148" s="24" t="n"/>
      <c r="J148" s="26" t="n"/>
      <c r="K148" s="24" t="n"/>
      <c r="L148" s="24" t="n"/>
      <c r="M148" s="24" t="n"/>
      <c r="N148" s="24" t="n"/>
    </row>
    <row r="149" ht="15" customHeight="1">
      <c r="A149" s="65" t="n"/>
      <c r="B149" s="63">
        <f>IF(C149="","",IFERROR(INDEX(tbl_Finance[Date],MATCH(C149&amp;"",tbl_Finance[Xero Invoice No],0)),""))</f>
        <v/>
      </c>
      <c r="C149" s="24" t="n"/>
      <c r="D149" s="24" t="n"/>
      <c r="E149" s="25">
        <f>IF(D149="","",IF(COUNTIF(lst_Jobs,D149&amp;"")&gt;0,"OK","CHECK"))</f>
        <v/>
      </c>
      <c r="F149" s="24" t="n"/>
      <c r="G149" s="24" t="n"/>
      <c r="H149" s="24" t="n"/>
      <c r="I149" s="24" t="n"/>
      <c r="J149" s="26" t="n"/>
      <c r="K149" s="24" t="n"/>
      <c r="L149" s="24" t="n"/>
      <c r="M149" s="24" t="n"/>
      <c r="N149" s="24" t="n"/>
    </row>
    <row r="150" ht="15" customHeight="1">
      <c r="A150" s="65" t="n"/>
      <c r="B150" s="63">
        <f>IF(C150="","",IFERROR(INDEX(tbl_Finance[Date],MATCH(C150&amp;"",tbl_Finance[Xero Invoice No],0)),""))</f>
        <v/>
      </c>
      <c r="C150" s="24" t="n"/>
      <c r="D150" s="24" t="n"/>
      <c r="E150" s="25">
        <f>IF(D150="","",IF(COUNTIF(lst_Jobs,D150&amp;"")&gt;0,"OK","CHECK"))</f>
        <v/>
      </c>
      <c r="F150" s="24" t="n"/>
      <c r="G150" s="24" t="n"/>
      <c r="H150" s="24" t="n"/>
      <c r="I150" s="24" t="n"/>
      <c r="J150" s="26" t="n"/>
      <c r="K150" s="24" t="n"/>
      <c r="L150" s="24" t="n"/>
      <c r="M150" s="24" t="n"/>
      <c r="N150" s="24" t="n"/>
    </row>
    <row r="151" ht="15" customHeight="1">
      <c r="A151" s="65" t="n"/>
      <c r="B151" s="63">
        <f>IF(C151="","",IFERROR(INDEX(tbl_Finance[Date],MATCH(C151&amp;"",tbl_Finance[Xero Invoice No],0)),""))</f>
        <v/>
      </c>
      <c r="C151" s="24" t="n"/>
      <c r="D151" s="24" t="n"/>
      <c r="E151" s="25">
        <f>IF(D151="","",IF(COUNTIF(lst_Jobs,D151&amp;"")&gt;0,"OK","CHECK"))</f>
        <v/>
      </c>
      <c r="F151" s="24" t="n"/>
      <c r="G151" s="24" t="n"/>
      <c r="H151" s="24" t="n"/>
      <c r="I151" s="24" t="n"/>
      <c r="J151" s="26" t="n"/>
      <c r="K151" s="24" t="n"/>
      <c r="L151" s="24" t="n"/>
      <c r="M151" s="24" t="n"/>
      <c r="N151" s="24" t="n"/>
    </row>
    <row r="152" ht="15" customHeight="1">
      <c r="A152" s="65" t="n"/>
      <c r="B152" s="63">
        <f>IF(C152="","",IFERROR(INDEX(tbl_Finance[Date],MATCH(C152&amp;"",tbl_Finance[Xero Invoice No],0)),""))</f>
        <v/>
      </c>
      <c r="C152" s="24" t="n"/>
      <c r="D152" s="24" t="n"/>
      <c r="E152" s="25">
        <f>IF(D152="","",IF(COUNTIF(lst_Jobs,D152&amp;"")&gt;0,"OK","CHECK"))</f>
        <v/>
      </c>
      <c r="F152" s="24" t="n"/>
      <c r="G152" s="24" t="n"/>
      <c r="H152" s="24" t="n"/>
      <c r="I152" s="24" t="n"/>
      <c r="J152" s="26" t="n"/>
      <c r="K152" s="24" t="n"/>
      <c r="L152" s="24" t="n"/>
      <c r="M152" s="24" t="n"/>
      <c r="N152" s="24" t="n"/>
    </row>
    <row r="153" ht="15" customHeight="1">
      <c r="A153" s="65" t="n"/>
      <c r="B153" s="63">
        <f>IF(C153="","",IFERROR(INDEX(tbl_Finance[Date],MATCH(C153&amp;"",tbl_Finance[Xero Invoice No],0)),""))</f>
        <v/>
      </c>
      <c r="C153" s="24" t="n"/>
      <c r="D153" s="24" t="n"/>
      <c r="E153" s="25">
        <f>IF(D153="","",IF(COUNTIF(lst_Jobs,D153&amp;"")&gt;0,"OK","CHECK"))</f>
        <v/>
      </c>
      <c r="F153" s="24" t="n"/>
      <c r="G153" s="24" t="n"/>
      <c r="H153" s="24" t="n"/>
      <c r="I153" s="24" t="n"/>
      <c r="J153" s="26" t="n"/>
      <c r="K153" s="24" t="n"/>
      <c r="L153" s="24" t="n"/>
      <c r="M153" s="24" t="n"/>
      <c r="N153" s="24" t="n"/>
    </row>
    <row r="154" ht="15" customHeight="1">
      <c r="A154" s="65" t="n"/>
      <c r="B154" s="63">
        <f>IF(C154="","",IFERROR(INDEX(tbl_Finance[Date],MATCH(C154&amp;"",tbl_Finance[Xero Invoice No],0)),""))</f>
        <v/>
      </c>
      <c r="C154" s="24" t="n"/>
      <c r="D154" s="24" t="n"/>
      <c r="E154" s="25">
        <f>IF(D154="","",IF(COUNTIF(lst_Jobs,D154&amp;"")&gt;0,"OK","CHECK"))</f>
        <v/>
      </c>
      <c r="F154" s="24" t="n"/>
      <c r="G154" s="24" t="n"/>
      <c r="H154" s="24" t="n"/>
      <c r="I154" s="24" t="n"/>
      <c r="J154" s="26" t="n"/>
      <c r="K154" s="24" t="n"/>
      <c r="L154" s="24" t="n"/>
      <c r="M154" s="24" t="n"/>
      <c r="N154" s="24" t="n"/>
    </row>
    <row r="155" ht="15" customHeight="1">
      <c r="A155" s="65" t="n"/>
      <c r="B155" s="63">
        <f>IF(C155="","",IFERROR(INDEX(tbl_Finance[Date],MATCH(C155&amp;"",tbl_Finance[Xero Invoice No],0)),""))</f>
        <v/>
      </c>
      <c r="C155" s="24" t="n"/>
      <c r="D155" s="24" t="n"/>
      <c r="E155" s="25">
        <f>IF(D155="","",IF(COUNTIF(lst_Jobs,D155&amp;"")&gt;0,"OK","CHECK"))</f>
        <v/>
      </c>
      <c r="F155" s="24" t="n"/>
      <c r="G155" s="24" t="n"/>
      <c r="H155" s="24" t="n"/>
      <c r="I155" s="24" t="n"/>
      <c r="J155" s="26" t="n"/>
      <c r="K155" s="24" t="n"/>
      <c r="L155" s="24" t="n"/>
      <c r="M155" s="24" t="n"/>
      <c r="N155" s="24" t="n"/>
    </row>
    <row r="156" ht="15" customHeight="1">
      <c r="A156" s="65" t="n"/>
      <c r="B156" s="63">
        <f>IF(C156="","",IFERROR(INDEX(tbl_Finance[Date],MATCH(C156&amp;"",tbl_Finance[Xero Invoice No],0)),""))</f>
        <v/>
      </c>
      <c r="C156" s="24" t="n"/>
      <c r="D156" s="24" t="n"/>
      <c r="E156" s="25">
        <f>IF(D156="","",IF(COUNTIF(lst_Jobs,D156&amp;"")&gt;0,"OK","CHECK"))</f>
        <v/>
      </c>
      <c r="F156" s="24" t="n"/>
      <c r="G156" s="24" t="n"/>
      <c r="H156" s="24" t="n"/>
      <c r="I156" s="24" t="n"/>
      <c r="J156" s="26" t="n"/>
      <c r="K156" s="24" t="n"/>
      <c r="L156" s="24" t="n"/>
      <c r="M156" s="24" t="n"/>
      <c r="N156" s="24" t="n"/>
    </row>
    <row r="157" ht="15" customHeight="1">
      <c r="A157" s="65" t="n"/>
      <c r="B157" s="63">
        <f>IF(C157="","",IFERROR(INDEX(tbl_Finance[Date],MATCH(C157&amp;"",tbl_Finance[Xero Invoice No],0)),""))</f>
        <v/>
      </c>
      <c r="C157" s="24" t="n"/>
      <c r="D157" s="24" t="n"/>
      <c r="E157" s="25">
        <f>IF(D157="","",IF(COUNTIF(lst_Jobs,D157&amp;"")&gt;0,"OK","CHECK"))</f>
        <v/>
      </c>
      <c r="F157" s="24" t="n"/>
      <c r="G157" s="24" t="n"/>
      <c r="H157" s="24" t="n"/>
      <c r="I157" s="24" t="n"/>
      <c r="J157" s="26" t="n"/>
      <c r="K157" s="24" t="n"/>
      <c r="L157" s="24" t="n"/>
      <c r="M157" s="24" t="n"/>
      <c r="N157" s="24" t="n"/>
    </row>
    <row r="158" ht="15" customHeight="1">
      <c r="A158" s="65" t="n"/>
      <c r="B158" s="63">
        <f>IF(C158="","",IFERROR(INDEX(tbl_Finance[Date],MATCH(C158&amp;"",tbl_Finance[Xero Invoice No],0)),""))</f>
        <v/>
      </c>
      <c r="C158" s="24" t="n"/>
      <c r="D158" s="24" t="n"/>
      <c r="E158" s="25">
        <f>IF(D158="","",IF(COUNTIF(lst_Jobs,D158&amp;"")&gt;0,"OK","CHECK"))</f>
        <v/>
      </c>
      <c r="F158" s="24" t="n"/>
      <c r="G158" s="24" t="n"/>
      <c r="H158" s="24" t="n"/>
      <c r="I158" s="24" t="n"/>
      <c r="J158" s="26" t="n"/>
      <c r="K158" s="24" t="n"/>
      <c r="L158" s="24" t="n"/>
      <c r="M158" s="24" t="n"/>
      <c r="N158" s="24" t="n"/>
    </row>
    <row r="159" ht="15" customHeight="1">
      <c r="A159" s="65" t="n"/>
      <c r="B159" s="63">
        <f>IF(C159="","",IFERROR(INDEX(tbl_Finance[Date],MATCH(C159&amp;"",tbl_Finance[Xero Invoice No],0)),""))</f>
        <v/>
      </c>
      <c r="C159" s="24" t="n"/>
      <c r="D159" s="24" t="n"/>
      <c r="E159" s="25">
        <f>IF(D159="","",IF(COUNTIF(lst_Jobs,D159&amp;"")&gt;0,"OK","CHECK"))</f>
        <v/>
      </c>
      <c r="F159" s="24" t="n"/>
      <c r="G159" s="24" t="n"/>
      <c r="H159" s="24" t="n"/>
      <c r="I159" s="24" t="n"/>
      <c r="J159" s="26" t="n"/>
      <c r="K159" s="24" t="n"/>
      <c r="L159" s="24" t="n"/>
      <c r="M159" s="24" t="n"/>
      <c r="N159" s="24" t="n"/>
    </row>
    <row r="160" ht="15" customHeight="1">
      <c r="A160" s="65" t="n"/>
      <c r="B160" s="63">
        <f>IF(C160="","",IFERROR(INDEX(tbl_Finance[Date],MATCH(C160&amp;"",tbl_Finance[Xero Invoice No],0)),""))</f>
        <v/>
      </c>
      <c r="C160" s="24" t="n"/>
      <c r="D160" s="24" t="n"/>
      <c r="E160" s="25">
        <f>IF(D160="","",IF(COUNTIF(lst_Jobs,D160&amp;"")&gt;0,"OK","CHECK"))</f>
        <v/>
      </c>
      <c r="F160" s="24" t="n"/>
      <c r="G160" s="24" t="n"/>
      <c r="H160" s="24" t="n"/>
      <c r="I160" s="24" t="n"/>
      <c r="J160" s="26" t="n"/>
      <c r="K160" s="24" t="n"/>
      <c r="L160" s="24" t="n"/>
      <c r="M160" s="24" t="n"/>
      <c r="N160" s="24" t="n"/>
    </row>
    <row r="161" ht="15" customHeight="1">
      <c r="A161" s="65" t="n"/>
      <c r="B161" s="63">
        <f>IF(C161="","",IFERROR(INDEX(tbl_Finance[Date],MATCH(C161&amp;"",tbl_Finance[Xero Invoice No],0)),""))</f>
        <v/>
      </c>
      <c r="C161" s="24" t="n"/>
      <c r="D161" s="24" t="n"/>
      <c r="E161" s="25">
        <f>IF(D161="","",IF(COUNTIF(lst_Jobs,D161&amp;"")&gt;0,"OK","CHECK"))</f>
        <v/>
      </c>
      <c r="F161" s="24" t="n"/>
      <c r="G161" s="24" t="n"/>
      <c r="H161" s="24" t="n"/>
      <c r="I161" s="24" t="n"/>
      <c r="J161" s="26" t="n"/>
      <c r="K161" s="24" t="n"/>
      <c r="L161" s="24" t="n"/>
      <c r="M161" s="24" t="n"/>
      <c r="N161" s="24" t="n"/>
    </row>
    <row r="162" ht="15" customHeight="1">
      <c r="A162" s="65" t="n"/>
      <c r="B162" s="63">
        <f>IF(C162="","",IFERROR(INDEX(tbl_Finance[Date],MATCH(C162&amp;"",tbl_Finance[Xero Invoice No],0)),""))</f>
        <v/>
      </c>
      <c r="C162" s="24" t="n"/>
      <c r="D162" s="24" t="n"/>
      <c r="E162" s="25">
        <f>IF(D162="","",IF(COUNTIF(lst_Jobs,D162&amp;"")&gt;0,"OK","CHECK"))</f>
        <v/>
      </c>
      <c r="F162" s="24" t="n"/>
      <c r="G162" s="24" t="n"/>
      <c r="H162" s="24" t="n"/>
      <c r="I162" s="24" t="n"/>
      <c r="J162" s="26" t="n"/>
      <c r="K162" s="24" t="n"/>
      <c r="L162" s="24" t="n"/>
      <c r="M162" s="24" t="n"/>
      <c r="N162" s="24" t="n"/>
    </row>
    <row r="163" ht="15" customHeight="1">
      <c r="A163" s="65" t="n"/>
      <c r="B163" s="63">
        <f>IF(C163="","",IFERROR(INDEX(tbl_Finance[Date],MATCH(C163&amp;"",tbl_Finance[Xero Invoice No],0)),""))</f>
        <v/>
      </c>
      <c r="C163" s="24" t="n"/>
      <c r="D163" s="24" t="n"/>
      <c r="E163" s="25">
        <f>IF(D163="","",IF(COUNTIF(lst_Jobs,D163&amp;"")&gt;0,"OK","CHECK"))</f>
        <v/>
      </c>
      <c r="F163" s="24" t="n"/>
      <c r="G163" s="24" t="n"/>
      <c r="H163" s="24" t="n"/>
      <c r="I163" s="24" t="n"/>
      <c r="J163" s="26" t="n"/>
      <c r="K163" s="24" t="n"/>
      <c r="L163" s="24" t="n"/>
      <c r="M163" s="24" t="n"/>
      <c r="N163" s="24" t="n"/>
    </row>
    <row r="164" ht="15" customHeight="1">
      <c r="A164" s="65" t="n"/>
      <c r="B164" s="63">
        <f>IF(C164="","",IFERROR(INDEX(tbl_Finance[Date],MATCH(C164&amp;"",tbl_Finance[Xero Invoice No],0)),""))</f>
        <v/>
      </c>
      <c r="C164" s="24" t="n"/>
      <c r="D164" s="24" t="n"/>
      <c r="E164" s="25">
        <f>IF(D164="","",IF(COUNTIF(lst_Jobs,D164&amp;"")&gt;0,"OK","CHECK"))</f>
        <v/>
      </c>
      <c r="F164" s="24" t="n"/>
      <c r="G164" s="24" t="n"/>
      <c r="H164" s="24" t="n"/>
      <c r="I164" s="24" t="n"/>
      <c r="J164" s="26" t="n"/>
      <c r="K164" s="24" t="n"/>
      <c r="L164" s="24" t="n"/>
      <c r="M164" s="24" t="n"/>
      <c r="N164" s="24" t="n"/>
    </row>
    <row r="165" ht="15" customHeight="1">
      <c r="A165" s="65" t="n"/>
      <c r="B165" s="63">
        <f>IF(C165="","",IFERROR(INDEX(tbl_Finance[Date],MATCH(C165&amp;"",tbl_Finance[Xero Invoice No],0)),""))</f>
        <v/>
      </c>
      <c r="C165" s="24" t="n"/>
      <c r="D165" s="24" t="n"/>
      <c r="E165" s="25">
        <f>IF(D165="","",IF(COUNTIF(lst_Jobs,D165&amp;"")&gt;0,"OK","CHECK"))</f>
        <v/>
      </c>
      <c r="F165" s="24" t="n"/>
      <c r="G165" s="24" t="n"/>
      <c r="H165" s="24" t="n"/>
      <c r="I165" s="24" t="n"/>
      <c r="J165" s="26" t="n"/>
      <c r="K165" s="24" t="n"/>
      <c r="L165" s="24" t="n"/>
      <c r="M165" s="24" t="n"/>
      <c r="N165" s="24" t="n"/>
    </row>
    <row r="166" ht="15" customHeight="1">
      <c r="A166" s="65" t="n"/>
      <c r="B166" s="63">
        <f>IF(C166="","",IFERROR(INDEX(tbl_Finance[Date],MATCH(C166&amp;"",tbl_Finance[Xero Invoice No],0)),""))</f>
        <v/>
      </c>
      <c r="C166" s="24" t="n"/>
      <c r="D166" s="24" t="n"/>
      <c r="E166" s="25">
        <f>IF(D166="","",IF(COUNTIF(lst_Jobs,D166&amp;"")&gt;0,"OK","CHECK"))</f>
        <v/>
      </c>
      <c r="F166" s="24" t="n"/>
      <c r="G166" s="24" t="n"/>
      <c r="H166" s="24" t="n"/>
      <c r="I166" s="24" t="n"/>
      <c r="J166" s="26" t="n"/>
      <c r="K166" s="24" t="n"/>
      <c r="L166" s="24" t="n"/>
      <c r="M166" s="24" t="n"/>
      <c r="N166" s="24" t="n"/>
    </row>
    <row r="167" ht="15" customHeight="1">
      <c r="A167" s="65" t="n"/>
      <c r="B167" s="63">
        <f>IF(C167="","",IFERROR(INDEX(tbl_Finance[Date],MATCH(C167&amp;"",tbl_Finance[Xero Invoice No],0)),""))</f>
        <v/>
      </c>
      <c r="C167" s="24" t="n"/>
      <c r="D167" s="24" t="n"/>
      <c r="E167" s="25">
        <f>IF(D167="","",IF(COUNTIF(lst_Jobs,D167&amp;"")&gt;0,"OK","CHECK"))</f>
        <v/>
      </c>
      <c r="F167" s="24" t="n"/>
      <c r="G167" s="24" t="n"/>
      <c r="H167" s="24" t="n"/>
      <c r="I167" s="24" t="n"/>
      <c r="J167" s="26" t="n"/>
      <c r="K167" s="24" t="n"/>
      <c r="L167" s="24" t="n"/>
      <c r="M167" s="24" t="n"/>
      <c r="N167" s="24" t="n"/>
    </row>
    <row r="168" ht="15" customHeight="1">
      <c r="A168" s="65" t="n"/>
      <c r="B168" s="63">
        <f>IF(C168="","",IFERROR(INDEX(tbl_Finance[Date],MATCH(C168&amp;"",tbl_Finance[Xero Invoice No],0)),""))</f>
        <v/>
      </c>
      <c r="C168" s="24" t="n"/>
      <c r="D168" s="24" t="n"/>
      <c r="E168" s="25">
        <f>IF(D168="","",IF(COUNTIF(lst_Jobs,D168&amp;"")&gt;0,"OK","CHECK"))</f>
        <v/>
      </c>
      <c r="F168" s="24" t="n"/>
      <c r="G168" s="24" t="n"/>
      <c r="H168" s="24" t="n"/>
      <c r="I168" s="24" t="n"/>
      <c r="J168" s="26" t="n"/>
      <c r="K168" s="24" t="n"/>
      <c r="L168" s="24" t="n"/>
      <c r="M168" s="24" t="n"/>
      <c r="N168" s="24" t="n"/>
    </row>
    <row r="169" ht="15" customHeight="1">
      <c r="A169" s="65" t="n"/>
      <c r="B169" s="63">
        <f>IF(C169="","",IFERROR(INDEX(tbl_Finance[Date],MATCH(C169&amp;"",tbl_Finance[Xero Invoice No],0)),""))</f>
        <v/>
      </c>
      <c r="C169" s="24" t="n"/>
      <c r="D169" s="24" t="n"/>
      <c r="E169" s="25">
        <f>IF(D169="","",IF(COUNTIF(lst_Jobs,D169&amp;"")&gt;0,"OK","CHECK"))</f>
        <v/>
      </c>
      <c r="F169" s="24" t="n"/>
      <c r="G169" s="24" t="n"/>
      <c r="H169" s="24" t="n"/>
      <c r="I169" s="24" t="n"/>
      <c r="J169" s="26" t="n"/>
      <c r="K169" s="24" t="n"/>
      <c r="L169" s="24" t="n"/>
      <c r="M169" s="24" t="n"/>
      <c r="N169" s="24" t="n"/>
    </row>
    <row r="170" ht="15" customHeight="1">
      <c r="A170" s="65" t="n"/>
      <c r="B170" s="63">
        <f>IF(C170="","",IFERROR(INDEX(tbl_Finance[Date],MATCH(C170&amp;"",tbl_Finance[Xero Invoice No],0)),""))</f>
        <v/>
      </c>
      <c r="C170" s="24" t="n"/>
      <c r="D170" s="24" t="n"/>
      <c r="E170" s="25">
        <f>IF(D170="","",IF(COUNTIF(lst_Jobs,D170&amp;"")&gt;0,"OK","CHECK"))</f>
        <v/>
      </c>
      <c r="F170" s="24" t="n"/>
      <c r="G170" s="24" t="n"/>
      <c r="H170" s="24" t="n"/>
      <c r="I170" s="24" t="n"/>
      <c r="J170" s="26" t="n"/>
      <c r="K170" s="24" t="n"/>
      <c r="L170" s="24" t="n"/>
      <c r="M170" s="24" t="n"/>
      <c r="N170" s="24" t="n"/>
    </row>
    <row r="171" ht="15" customHeight="1">
      <c r="A171" s="65" t="n"/>
      <c r="B171" s="63">
        <f>IF(C171="","",IFERROR(INDEX(tbl_Finance[Date],MATCH(C171&amp;"",tbl_Finance[Xero Invoice No],0)),""))</f>
        <v/>
      </c>
      <c r="C171" s="24" t="n"/>
      <c r="D171" s="24" t="n"/>
      <c r="E171" s="25">
        <f>IF(D171="","",IF(COUNTIF(lst_Jobs,D171&amp;"")&gt;0,"OK","CHECK"))</f>
        <v/>
      </c>
      <c r="F171" s="24" t="n"/>
      <c r="G171" s="24" t="n"/>
      <c r="H171" s="24" t="n"/>
      <c r="I171" s="24" t="n"/>
      <c r="J171" s="26" t="n"/>
      <c r="K171" s="24" t="n"/>
      <c r="L171" s="24" t="n"/>
      <c r="M171" s="24" t="n"/>
      <c r="N171" s="24" t="n"/>
    </row>
    <row r="172" ht="15" customHeight="1">
      <c r="A172" s="65" t="n"/>
      <c r="B172" s="63">
        <f>IF(C172="","",IFERROR(INDEX(tbl_Finance[Date],MATCH(C172&amp;"",tbl_Finance[Xero Invoice No],0)),""))</f>
        <v/>
      </c>
      <c r="C172" s="24" t="n"/>
      <c r="D172" s="24" t="n"/>
      <c r="E172" s="25">
        <f>IF(D172="","",IF(COUNTIF(lst_Jobs,D172&amp;"")&gt;0,"OK","CHECK"))</f>
        <v/>
      </c>
      <c r="F172" s="24" t="n"/>
      <c r="G172" s="24" t="n"/>
      <c r="H172" s="24" t="n"/>
      <c r="I172" s="24" t="n"/>
      <c r="J172" s="26" t="n"/>
      <c r="K172" s="24" t="n"/>
      <c r="L172" s="24" t="n"/>
      <c r="M172" s="24" t="n"/>
      <c r="N172" s="24" t="n"/>
    </row>
    <row r="173" ht="15" customHeight="1">
      <c r="A173" s="65" t="n"/>
      <c r="B173" s="63">
        <f>IF(C173="","",IFERROR(INDEX(tbl_Finance[Date],MATCH(C173&amp;"",tbl_Finance[Xero Invoice No],0)),""))</f>
        <v/>
      </c>
      <c r="C173" s="24" t="n"/>
      <c r="D173" s="24" t="n"/>
      <c r="E173" s="25">
        <f>IF(D173="","",IF(COUNTIF(lst_Jobs,D173&amp;"")&gt;0,"OK","CHECK"))</f>
        <v/>
      </c>
      <c r="F173" s="24" t="n"/>
      <c r="G173" s="24" t="n"/>
      <c r="H173" s="24" t="n"/>
      <c r="I173" s="24" t="n"/>
      <c r="J173" s="26" t="n"/>
      <c r="K173" s="24" t="n"/>
      <c r="L173" s="24" t="n"/>
      <c r="M173" s="24" t="n"/>
      <c r="N173" s="24" t="n"/>
    </row>
    <row r="174" ht="15" customHeight="1">
      <c r="A174" s="65" t="n"/>
      <c r="B174" s="63">
        <f>IF(C174="","",IFERROR(INDEX(tbl_Finance[Date],MATCH(C174&amp;"",tbl_Finance[Xero Invoice No],0)),""))</f>
        <v/>
      </c>
      <c r="C174" s="24" t="n"/>
      <c r="D174" s="24" t="n"/>
      <c r="E174" s="25">
        <f>IF(D174="","",IF(COUNTIF(lst_Jobs,D174&amp;"")&gt;0,"OK","CHECK"))</f>
        <v/>
      </c>
      <c r="F174" s="24" t="n"/>
      <c r="G174" s="24" t="n"/>
      <c r="H174" s="24" t="n"/>
      <c r="I174" s="24" t="n"/>
      <c r="J174" s="26" t="n"/>
      <c r="K174" s="24" t="n"/>
      <c r="L174" s="24" t="n"/>
      <c r="M174" s="24" t="n"/>
      <c r="N174" s="24" t="n"/>
    </row>
    <row r="175" ht="15" customHeight="1">
      <c r="A175" s="65" t="n"/>
      <c r="B175" s="63">
        <f>IF(C175="","",IFERROR(INDEX(tbl_Finance[Date],MATCH(C175&amp;"",tbl_Finance[Xero Invoice No],0)),""))</f>
        <v/>
      </c>
      <c r="C175" s="24" t="n"/>
      <c r="D175" s="24" t="n"/>
      <c r="E175" s="25">
        <f>IF(D175="","",IF(COUNTIF(lst_Jobs,D175&amp;"")&gt;0,"OK","CHECK"))</f>
        <v/>
      </c>
      <c r="F175" s="24" t="n"/>
      <c r="G175" s="24" t="n"/>
      <c r="H175" s="24" t="n"/>
      <c r="I175" s="24" t="n"/>
      <c r="J175" s="26" t="n"/>
      <c r="K175" s="24" t="n"/>
      <c r="L175" s="24" t="n"/>
      <c r="M175" s="24" t="n"/>
      <c r="N175" s="24" t="n"/>
    </row>
    <row r="176" ht="15" customHeight="1">
      <c r="A176" s="65" t="n"/>
      <c r="B176" s="63">
        <f>IF(C176="","",IFERROR(INDEX(tbl_Finance[Date],MATCH(C176&amp;"",tbl_Finance[Xero Invoice No],0)),""))</f>
        <v/>
      </c>
      <c r="C176" s="24" t="n"/>
      <c r="D176" s="24" t="n"/>
      <c r="E176" s="25">
        <f>IF(D176="","",IF(COUNTIF(lst_Jobs,D176&amp;"")&gt;0,"OK","CHECK"))</f>
        <v/>
      </c>
      <c r="F176" s="24" t="n"/>
      <c r="G176" s="24" t="n"/>
      <c r="H176" s="24" t="n"/>
      <c r="I176" s="24" t="n"/>
      <c r="J176" s="26" t="n"/>
      <c r="K176" s="24" t="n"/>
      <c r="L176" s="24" t="n"/>
      <c r="M176" s="24" t="n"/>
      <c r="N176" s="24" t="n"/>
    </row>
    <row r="177" ht="15" customHeight="1">
      <c r="A177" s="65" t="n"/>
      <c r="B177" s="63">
        <f>IF(C177="","",IFERROR(INDEX(tbl_Finance[Date],MATCH(C177&amp;"",tbl_Finance[Xero Invoice No],0)),""))</f>
        <v/>
      </c>
      <c r="C177" s="24" t="n"/>
      <c r="D177" s="24" t="n"/>
      <c r="E177" s="25">
        <f>IF(D177="","",IF(COUNTIF(lst_Jobs,D177&amp;"")&gt;0,"OK","CHECK"))</f>
        <v/>
      </c>
      <c r="F177" s="24" t="n"/>
      <c r="G177" s="24" t="n"/>
      <c r="H177" s="24" t="n"/>
      <c r="I177" s="24" t="n"/>
      <c r="J177" s="26" t="n"/>
      <c r="K177" s="24" t="n"/>
      <c r="L177" s="24" t="n"/>
      <c r="M177" s="24" t="n"/>
      <c r="N177" s="24" t="n"/>
    </row>
    <row r="178" ht="15" customHeight="1">
      <c r="A178" s="65" t="n"/>
      <c r="B178" s="63">
        <f>IF(C178="","",IFERROR(INDEX(tbl_Finance[Date],MATCH(C178&amp;"",tbl_Finance[Xero Invoice No],0)),""))</f>
        <v/>
      </c>
      <c r="C178" s="24" t="n"/>
      <c r="D178" s="24" t="n"/>
      <c r="E178" s="25">
        <f>IF(D178="","",IF(COUNTIF(lst_Jobs,D178&amp;"")&gt;0,"OK","CHECK"))</f>
        <v/>
      </c>
      <c r="F178" s="24" t="n"/>
      <c r="G178" s="24" t="n"/>
      <c r="H178" s="24" t="n"/>
      <c r="I178" s="24" t="n"/>
      <c r="J178" s="26" t="n"/>
      <c r="K178" s="24" t="n"/>
      <c r="L178" s="24" t="n"/>
      <c r="M178" s="24" t="n"/>
      <c r="N178" s="24" t="n"/>
    </row>
    <row r="179" ht="15" customHeight="1">
      <c r="A179" s="65" t="n"/>
      <c r="B179" s="63">
        <f>IF(C179="","",IFERROR(INDEX(tbl_Finance[Date],MATCH(C179&amp;"",tbl_Finance[Xero Invoice No],0)),""))</f>
        <v/>
      </c>
      <c r="C179" s="24" t="n"/>
      <c r="D179" s="24" t="n"/>
      <c r="E179" s="25">
        <f>IF(D179="","",IF(COUNTIF(lst_Jobs,D179&amp;"")&gt;0,"OK","CHECK"))</f>
        <v/>
      </c>
      <c r="F179" s="24" t="n"/>
      <c r="G179" s="24" t="n"/>
      <c r="H179" s="24" t="n"/>
      <c r="I179" s="24" t="n"/>
      <c r="J179" s="26" t="n"/>
      <c r="K179" s="24" t="n"/>
      <c r="L179" s="24" t="n"/>
      <c r="M179" s="24" t="n"/>
      <c r="N179" s="24" t="n"/>
    </row>
    <row r="180" ht="15" customHeight="1">
      <c r="A180" s="65" t="n"/>
      <c r="B180" s="63">
        <f>IF(C180="","",IFERROR(INDEX(tbl_Finance[Date],MATCH(C180&amp;"",tbl_Finance[Xero Invoice No],0)),""))</f>
        <v/>
      </c>
      <c r="C180" s="24" t="n"/>
      <c r="D180" s="24" t="n"/>
      <c r="E180" s="25">
        <f>IF(D180="","",IF(COUNTIF(lst_Jobs,D180&amp;"")&gt;0,"OK","CHECK"))</f>
        <v/>
      </c>
      <c r="F180" s="24" t="n"/>
      <c r="G180" s="24" t="n"/>
      <c r="H180" s="24" t="n"/>
      <c r="I180" s="24" t="n"/>
      <c r="J180" s="26" t="n"/>
      <c r="K180" s="24" t="n"/>
      <c r="L180" s="24" t="n"/>
      <c r="M180" s="24" t="n"/>
      <c r="N180" s="24" t="n"/>
    </row>
    <row r="181" ht="15" customHeight="1">
      <c r="A181" s="65" t="n"/>
      <c r="B181" s="63">
        <f>IF(C181="","",IFERROR(INDEX(tbl_Finance[Date],MATCH(C181&amp;"",tbl_Finance[Xero Invoice No],0)),""))</f>
        <v/>
      </c>
      <c r="C181" s="24" t="n"/>
      <c r="D181" s="24" t="n"/>
      <c r="E181" s="25">
        <f>IF(D181="","",IF(COUNTIF(lst_Jobs,D181&amp;"")&gt;0,"OK","CHECK"))</f>
        <v/>
      </c>
      <c r="F181" s="24" t="n"/>
      <c r="G181" s="24" t="n"/>
      <c r="H181" s="24" t="n"/>
      <c r="I181" s="24" t="n"/>
      <c r="J181" s="26" t="n"/>
      <c r="K181" s="24" t="n"/>
      <c r="L181" s="24" t="n"/>
      <c r="M181" s="24" t="n"/>
      <c r="N181" s="24" t="n"/>
    </row>
    <row r="182" ht="15" customHeight="1">
      <c r="A182" s="65" t="n"/>
      <c r="B182" s="63">
        <f>IF(C182="","",IFERROR(INDEX(tbl_Finance[Date],MATCH(C182&amp;"",tbl_Finance[Xero Invoice No],0)),""))</f>
        <v/>
      </c>
      <c r="C182" s="24" t="n"/>
      <c r="D182" s="24" t="n"/>
      <c r="E182" s="25">
        <f>IF(D182="","",IF(COUNTIF(lst_Jobs,D182&amp;"")&gt;0,"OK","CHECK"))</f>
        <v/>
      </c>
      <c r="F182" s="24" t="n"/>
      <c r="G182" s="24" t="n"/>
      <c r="H182" s="24" t="n"/>
      <c r="I182" s="24" t="n"/>
      <c r="J182" s="26" t="n"/>
      <c r="K182" s="24" t="n"/>
      <c r="L182" s="24" t="n"/>
      <c r="M182" s="24" t="n"/>
      <c r="N182" s="24" t="n"/>
    </row>
    <row r="183" ht="15" customHeight="1">
      <c r="A183" s="65" t="n"/>
      <c r="B183" s="63">
        <f>IF(C183="","",IFERROR(INDEX(tbl_Finance[Date],MATCH(C183&amp;"",tbl_Finance[Xero Invoice No],0)),""))</f>
        <v/>
      </c>
      <c r="C183" s="24" t="n"/>
      <c r="D183" s="24" t="n"/>
      <c r="E183" s="25">
        <f>IF(D183="","",IF(COUNTIF(lst_Jobs,D183&amp;"")&gt;0,"OK","CHECK"))</f>
        <v/>
      </c>
      <c r="F183" s="24" t="n"/>
      <c r="G183" s="24" t="n"/>
      <c r="H183" s="24" t="n"/>
      <c r="I183" s="24" t="n"/>
      <c r="J183" s="26" t="n"/>
      <c r="K183" s="24" t="n"/>
      <c r="L183" s="24" t="n"/>
      <c r="M183" s="24" t="n"/>
      <c r="N183" s="24" t="n"/>
    </row>
    <row r="184" ht="15" customHeight="1">
      <c r="A184" s="65" t="n"/>
      <c r="B184" s="63">
        <f>IF(C184="","",IFERROR(INDEX(tbl_Finance[Date],MATCH(C184&amp;"",tbl_Finance[Xero Invoice No],0)),""))</f>
        <v/>
      </c>
      <c r="C184" s="24" t="n"/>
      <c r="D184" s="24" t="n"/>
      <c r="E184" s="25">
        <f>IF(D184="","",IF(COUNTIF(lst_Jobs,D184&amp;"")&gt;0,"OK","CHECK"))</f>
        <v/>
      </c>
      <c r="F184" s="24" t="n"/>
      <c r="G184" s="24" t="n"/>
      <c r="H184" s="24" t="n"/>
      <c r="I184" s="24" t="n"/>
      <c r="J184" s="26" t="n"/>
      <c r="K184" s="24" t="n"/>
      <c r="L184" s="24" t="n"/>
      <c r="M184" s="24" t="n"/>
      <c r="N184" s="24" t="n"/>
    </row>
    <row r="185" ht="15" customHeight="1">
      <c r="A185" s="65" t="n"/>
      <c r="B185" s="63">
        <f>IF(C185="","",IFERROR(INDEX(tbl_Finance[Date],MATCH(C185&amp;"",tbl_Finance[Xero Invoice No],0)),""))</f>
        <v/>
      </c>
      <c r="C185" s="24" t="n"/>
      <c r="D185" s="24" t="n"/>
      <c r="E185" s="25">
        <f>IF(D185="","",IF(COUNTIF(lst_Jobs,D185&amp;"")&gt;0,"OK","CHECK"))</f>
        <v/>
      </c>
      <c r="F185" s="24" t="n"/>
      <c r="G185" s="24" t="n"/>
      <c r="H185" s="24" t="n"/>
      <c r="I185" s="24" t="n"/>
      <c r="J185" s="26" t="n"/>
      <c r="K185" s="24" t="n"/>
      <c r="L185" s="24" t="n"/>
      <c r="M185" s="24" t="n"/>
      <c r="N185" s="24" t="n"/>
    </row>
    <row r="186" ht="15" customHeight="1">
      <c r="A186" s="65" t="n"/>
      <c r="B186" s="63">
        <f>IF(C186="","",IFERROR(INDEX(tbl_Finance[Date],MATCH(C186&amp;"",tbl_Finance[Xero Invoice No],0)),""))</f>
        <v/>
      </c>
      <c r="C186" s="24" t="n"/>
      <c r="D186" s="24" t="n"/>
      <c r="E186" s="25">
        <f>IF(D186="","",IF(COUNTIF(lst_Jobs,D186&amp;"")&gt;0,"OK","CHECK"))</f>
        <v/>
      </c>
      <c r="F186" s="24" t="n"/>
      <c r="G186" s="24" t="n"/>
      <c r="H186" s="24" t="n"/>
      <c r="I186" s="24" t="n"/>
      <c r="J186" s="26" t="n"/>
      <c r="K186" s="24" t="n"/>
      <c r="L186" s="24" t="n"/>
      <c r="M186" s="24" t="n"/>
      <c r="N186" s="24" t="n"/>
    </row>
    <row r="187" ht="15" customHeight="1">
      <c r="A187" s="65" t="n"/>
      <c r="B187" s="63">
        <f>IF(C187="","",IFERROR(INDEX(tbl_Finance[Date],MATCH(C187&amp;"",tbl_Finance[Xero Invoice No],0)),""))</f>
        <v/>
      </c>
      <c r="C187" s="24" t="n"/>
      <c r="D187" s="24" t="n"/>
      <c r="E187" s="25">
        <f>IF(D187="","",IF(COUNTIF(lst_Jobs,D187&amp;"")&gt;0,"OK","CHECK"))</f>
        <v/>
      </c>
      <c r="F187" s="24" t="n"/>
      <c r="G187" s="24" t="n"/>
      <c r="H187" s="24" t="n"/>
      <c r="I187" s="24" t="n"/>
      <c r="J187" s="26" t="n"/>
      <c r="K187" s="24" t="n"/>
      <c r="L187" s="24" t="n"/>
      <c r="M187" s="24" t="n"/>
      <c r="N187" s="24" t="n"/>
    </row>
    <row r="188" ht="15" customHeight="1">
      <c r="A188" s="65" t="n"/>
      <c r="B188" s="63">
        <f>IF(C188="","",IFERROR(INDEX(tbl_Finance[Date],MATCH(C188&amp;"",tbl_Finance[Xero Invoice No],0)),""))</f>
        <v/>
      </c>
      <c r="C188" s="24" t="n"/>
      <c r="D188" s="24" t="n"/>
      <c r="E188" s="25">
        <f>IF(D188="","",IF(COUNTIF(lst_Jobs,D188&amp;"")&gt;0,"OK","CHECK"))</f>
        <v/>
      </c>
      <c r="F188" s="24" t="n"/>
      <c r="G188" s="24" t="n"/>
      <c r="H188" s="24" t="n"/>
      <c r="I188" s="24" t="n"/>
      <c r="J188" s="26" t="n"/>
      <c r="K188" s="24" t="n"/>
      <c r="L188" s="24" t="n"/>
      <c r="M188" s="24" t="n"/>
      <c r="N188" s="24" t="n"/>
    </row>
    <row r="189" ht="15" customHeight="1">
      <c r="A189" s="65" t="n"/>
      <c r="B189" s="63">
        <f>IF(C189="","",IFERROR(INDEX(tbl_Finance[Date],MATCH(C189&amp;"",tbl_Finance[Xero Invoice No],0)),""))</f>
        <v/>
      </c>
      <c r="C189" s="24" t="n"/>
      <c r="D189" s="24" t="n"/>
      <c r="E189" s="25">
        <f>IF(D189="","",IF(COUNTIF(lst_Jobs,D189&amp;"")&gt;0,"OK","CHECK"))</f>
        <v/>
      </c>
      <c r="F189" s="24" t="n"/>
      <c r="G189" s="24" t="n"/>
      <c r="H189" s="24" t="n"/>
      <c r="I189" s="24" t="n"/>
      <c r="J189" s="26" t="n"/>
      <c r="K189" s="24" t="n"/>
      <c r="L189" s="24" t="n"/>
      <c r="M189" s="24" t="n"/>
      <c r="N189" s="24" t="n"/>
    </row>
    <row r="190" ht="15" customHeight="1">
      <c r="A190" s="65" t="n"/>
      <c r="B190" s="63">
        <f>IF(C190="","",IFERROR(INDEX(tbl_Finance[Date],MATCH(C190&amp;"",tbl_Finance[Xero Invoice No],0)),""))</f>
        <v/>
      </c>
      <c r="C190" s="24" t="n"/>
      <c r="D190" s="24" t="n"/>
      <c r="E190" s="25">
        <f>IF(D190="","",IF(COUNTIF(lst_Jobs,D190&amp;"")&gt;0,"OK","CHECK"))</f>
        <v/>
      </c>
      <c r="F190" s="24" t="n"/>
      <c r="G190" s="24" t="n"/>
      <c r="H190" s="24" t="n"/>
      <c r="I190" s="24" t="n"/>
      <c r="J190" s="26" t="n"/>
      <c r="K190" s="24" t="n"/>
      <c r="L190" s="24" t="n"/>
      <c r="M190" s="24" t="n"/>
      <c r="N190" s="24" t="n"/>
    </row>
    <row r="191" ht="15" customHeight="1">
      <c r="A191" s="65" t="n"/>
      <c r="B191" s="63">
        <f>IF(C191="","",IFERROR(INDEX(tbl_Finance[Date],MATCH(C191&amp;"",tbl_Finance[Xero Invoice No],0)),""))</f>
        <v/>
      </c>
      <c r="C191" s="24" t="n"/>
      <c r="D191" s="24" t="n"/>
      <c r="E191" s="25">
        <f>IF(D191="","",IF(COUNTIF(lst_Jobs,D191&amp;"")&gt;0,"OK","CHECK"))</f>
        <v/>
      </c>
      <c r="F191" s="24" t="n"/>
      <c r="G191" s="24" t="n"/>
      <c r="H191" s="24" t="n"/>
      <c r="I191" s="24" t="n"/>
      <c r="J191" s="26" t="n"/>
      <c r="K191" s="24" t="n"/>
      <c r="L191" s="24" t="n"/>
      <c r="M191" s="24" t="n"/>
      <c r="N191" s="24" t="n"/>
    </row>
    <row r="192" ht="15" customHeight="1">
      <c r="A192" s="65" t="n"/>
      <c r="B192" s="63">
        <f>IF(C192="","",IFERROR(INDEX(tbl_Finance[Date],MATCH(C192&amp;"",tbl_Finance[Xero Invoice No],0)),""))</f>
        <v/>
      </c>
      <c r="C192" s="24" t="n"/>
      <c r="D192" s="24" t="n"/>
      <c r="E192" s="25">
        <f>IF(D192="","",IF(COUNTIF(lst_Jobs,D192&amp;"")&gt;0,"OK","CHECK"))</f>
        <v/>
      </c>
      <c r="F192" s="24" t="n"/>
      <c r="G192" s="24" t="n"/>
      <c r="H192" s="24" t="n"/>
      <c r="I192" s="24" t="n"/>
      <c r="J192" s="26" t="n"/>
      <c r="K192" s="24" t="n"/>
      <c r="L192" s="24" t="n"/>
      <c r="M192" s="24" t="n"/>
      <c r="N192" s="24" t="n"/>
    </row>
    <row r="193" ht="15" customHeight="1">
      <c r="A193" s="65" t="n"/>
      <c r="B193" s="63">
        <f>IF(C193="","",IFERROR(INDEX(tbl_Finance[Date],MATCH(C193&amp;"",tbl_Finance[Xero Invoice No],0)),""))</f>
        <v/>
      </c>
      <c r="C193" s="24" t="n"/>
      <c r="D193" s="24" t="n"/>
      <c r="E193" s="25">
        <f>IF(D193="","",IF(COUNTIF(lst_Jobs,D193&amp;"")&gt;0,"OK","CHECK"))</f>
        <v/>
      </c>
      <c r="F193" s="24" t="n"/>
      <c r="G193" s="24" t="n"/>
      <c r="H193" s="24" t="n"/>
      <c r="I193" s="24" t="n"/>
      <c r="J193" s="26" t="n"/>
      <c r="K193" s="24" t="n"/>
      <c r="L193" s="24" t="n"/>
      <c r="M193" s="24" t="n"/>
      <c r="N193" s="24" t="n"/>
    </row>
    <row r="194" ht="15" customHeight="1">
      <c r="A194" s="65" t="n"/>
      <c r="B194" s="63">
        <f>IF(C194="","",IFERROR(INDEX(tbl_Finance[Date],MATCH(C194&amp;"",tbl_Finance[Xero Invoice No],0)),""))</f>
        <v/>
      </c>
      <c r="C194" s="24" t="n"/>
      <c r="D194" s="24" t="n"/>
      <c r="E194" s="25">
        <f>IF(D194="","",IF(COUNTIF(lst_Jobs,D194&amp;"")&gt;0,"OK","CHECK"))</f>
        <v/>
      </c>
      <c r="F194" s="24" t="n"/>
      <c r="G194" s="24" t="n"/>
      <c r="H194" s="24" t="n"/>
      <c r="I194" s="24" t="n"/>
      <c r="J194" s="26" t="n"/>
      <c r="K194" s="24" t="n"/>
      <c r="L194" s="24" t="n"/>
      <c r="M194" s="24" t="n"/>
      <c r="N194" s="24" t="n"/>
    </row>
    <row r="195" ht="15" customHeight="1">
      <c r="A195" s="65" t="n"/>
      <c r="B195" s="63">
        <f>IF(C195="","",IFERROR(INDEX(tbl_Finance[Date],MATCH(C195&amp;"",tbl_Finance[Xero Invoice No],0)),""))</f>
        <v/>
      </c>
      <c r="C195" s="24" t="n"/>
      <c r="D195" s="24" t="n"/>
      <c r="E195" s="25">
        <f>IF(D195="","",IF(COUNTIF(lst_Jobs,D195&amp;"")&gt;0,"OK","CHECK"))</f>
        <v/>
      </c>
      <c r="F195" s="24" t="n"/>
      <c r="G195" s="24" t="n"/>
      <c r="H195" s="24" t="n"/>
      <c r="I195" s="24" t="n"/>
      <c r="J195" s="26" t="n"/>
      <c r="K195" s="24" t="n"/>
      <c r="L195" s="24" t="n"/>
      <c r="M195" s="24" t="n"/>
      <c r="N195" s="24" t="n"/>
    </row>
    <row r="196" ht="15" customHeight="1">
      <c r="A196" s="65" t="n"/>
      <c r="B196" s="63">
        <f>IF(C196="","",IFERROR(INDEX(tbl_Finance[Date],MATCH(C196&amp;"",tbl_Finance[Xero Invoice No],0)),""))</f>
        <v/>
      </c>
      <c r="C196" s="24" t="n"/>
      <c r="D196" s="24" t="n"/>
      <c r="E196" s="25">
        <f>IF(D196="","",IF(COUNTIF(lst_Jobs,D196&amp;"")&gt;0,"OK","CHECK"))</f>
        <v/>
      </c>
      <c r="F196" s="24" t="n"/>
      <c r="G196" s="24" t="n"/>
      <c r="H196" s="24" t="n"/>
      <c r="I196" s="24" t="n"/>
      <c r="J196" s="26" t="n"/>
      <c r="K196" s="24" t="n"/>
      <c r="L196" s="24" t="n"/>
      <c r="M196" s="24" t="n"/>
      <c r="N196" s="24" t="n"/>
    </row>
    <row r="197" ht="15" customHeight="1">
      <c r="A197" s="65" t="n"/>
      <c r="B197" s="63">
        <f>IF(C197="","",IFERROR(INDEX(tbl_Finance[Date],MATCH(C197&amp;"",tbl_Finance[Xero Invoice No],0)),""))</f>
        <v/>
      </c>
      <c r="C197" s="24" t="n"/>
      <c r="D197" s="24" t="n"/>
      <c r="E197" s="25">
        <f>IF(D197="","",IF(COUNTIF(lst_Jobs,D197&amp;"")&gt;0,"OK","CHECK"))</f>
        <v/>
      </c>
      <c r="F197" s="24" t="n"/>
      <c r="G197" s="24" t="n"/>
      <c r="H197" s="24" t="n"/>
      <c r="I197" s="24" t="n"/>
      <c r="J197" s="26" t="n"/>
      <c r="K197" s="24" t="n"/>
      <c r="L197" s="24" t="n"/>
      <c r="M197" s="24" t="n"/>
      <c r="N197" s="24" t="n"/>
    </row>
    <row r="198" ht="15" customHeight="1">
      <c r="A198" s="65" t="n"/>
      <c r="B198" s="63">
        <f>IF(C198="","",IFERROR(INDEX(tbl_Finance[Date],MATCH(C198&amp;"",tbl_Finance[Xero Invoice No],0)),""))</f>
        <v/>
      </c>
      <c r="C198" s="24" t="n"/>
      <c r="D198" s="24" t="n"/>
      <c r="E198" s="25">
        <f>IF(D198="","",IF(COUNTIF(lst_Jobs,D198&amp;"")&gt;0,"OK","CHECK"))</f>
        <v/>
      </c>
      <c r="F198" s="24" t="n"/>
      <c r="G198" s="24" t="n"/>
      <c r="H198" s="24" t="n"/>
      <c r="I198" s="24" t="n"/>
      <c r="J198" s="26" t="n"/>
      <c r="K198" s="24" t="n"/>
      <c r="L198" s="24" t="n"/>
      <c r="M198" s="24" t="n"/>
      <c r="N198" s="24" t="n"/>
    </row>
    <row r="199" ht="15" customHeight="1">
      <c r="A199" s="65" t="n"/>
      <c r="B199" s="63">
        <f>IF(C199="","",IFERROR(INDEX(tbl_Finance[Date],MATCH(C199&amp;"",tbl_Finance[Xero Invoice No],0)),""))</f>
        <v/>
      </c>
      <c r="C199" s="24" t="n"/>
      <c r="D199" s="24" t="n"/>
      <c r="E199" s="25">
        <f>IF(D199="","",IF(COUNTIF(lst_Jobs,D199&amp;"")&gt;0,"OK","CHECK"))</f>
        <v/>
      </c>
      <c r="F199" s="24" t="n"/>
      <c r="G199" s="24" t="n"/>
      <c r="H199" s="24" t="n"/>
      <c r="I199" s="24" t="n"/>
      <c r="J199" s="26" t="n"/>
      <c r="K199" s="24" t="n"/>
      <c r="L199" s="24" t="n"/>
      <c r="M199" s="24" t="n"/>
      <c r="N199" s="24" t="n"/>
    </row>
    <row r="200" ht="15" customHeight="1">
      <c r="A200" s="65" t="n"/>
      <c r="B200" s="63">
        <f>IF(C200="","",IFERROR(INDEX(tbl_Finance[Date],MATCH(C200&amp;"",tbl_Finance[Xero Invoice No],0)),""))</f>
        <v/>
      </c>
      <c r="C200" s="24" t="n"/>
      <c r="D200" s="24" t="n"/>
      <c r="E200" s="25">
        <f>IF(D200="","",IF(COUNTIF(lst_Jobs,D200&amp;"")&gt;0,"OK","CHECK"))</f>
        <v/>
      </c>
      <c r="F200" s="24" t="n"/>
      <c r="G200" s="24" t="n"/>
      <c r="H200" s="24" t="n"/>
      <c r="I200" s="24" t="n"/>
      <c r="J200" s="26" t="n"/>
      <c r="K200" s="24" t="n"/>
      <c r="L200" s="24" t="n"/>
      <c r="M200" s="24" t="n"/>
      <c r="N200" s="24" t="n"/>
    </row>
    <row r="201" ht="15" customHeight="1">
      <c r="A201" s="65" t="n"/>
      <c r="B201" s="63">
        <f>IF(C201="","",IFERROR(INDEX(tbl_Finance[Date],MATCH(C201&amp;"",tbl_Finance[Xero Invoice No],0)),""))</f>
        <v/>
      </c>
      <c r="C201" s="24" t="n"/>
      <c r="D201" s="24" t="n"/>
      <c r="E201" s="25">
        <f>IF(D201="","",IF(COUNTIF(lst_Jobs,D201&amp;"")&gt;0,"OK","CHECK"))</f>
        <v/>
      </c>
      <c r="F201" s="24" t="n"/>
      <c r="G201" s="24" t="n"/>
      <c r="H201" s="24" t="n"/>
      <c r="I201" s="24" t="n"/>
      <c r="J201" s="26" t="n"/>
      <c r="K201" s="24" t="n"/>
      <c r="L201" s="24" t="n"/>
      <c r="M201" s="24" t="n"/>
      <c r="N201" s="24" t="n"/>
    </row>
    <row r="202" ht="15" customHeight="1">
      <c r="A202" s="65" t="n"/>
      <c r="B202" s="63">
        <f>IF(C202="","",IFERROR(INDEX(tbl_Finance[Date],MATCH(C202&amp;"",tbl_Finance[Xero Invoice No],0)),""))</f>
        <v/>
      </c>
      <c r="C202" s="24" t="n"/>
      <c r="D202" s="24" t="n"/>
      <c r="E202" s="25">
        <f>IF(D202="","",IF(COUNTIF(lst_Jobs,D202&amp;"")&gt;0,"OK","CHECK"))</f>
        <v/>
      </c>
      <c r="F202" s="24" t="n"/>
      <c r="G202" s="24" t="n"/>
      <c r="H202" s="24" t="n"/>
      <c r="I202" s="24" t="n"/>
      <c r="J202" s="26" t="n"/>
      <c r="K202" s="24" t="n"/>
      <c r="L202" s="24" t="n"/>
      <c r="M202" s="24" t="n"/>
      <c r="N202" s="24" t="n"/>
    </row>
    <row r="203" ht="15" customHeight="1">
      <c r="A203" s="65" t="n"/>
      <c r="B203" s="63">
        <f>IF(C203="","",IFERROR(INDEX(tbl_Finance[Date],MATCH(C203&amp;"",tbl_Finance[Xero Invoice No],0)),""))</f>
        <v/>
      </c>
      <c r="C203" s="24" t="n"/>
      <c r="D203" s="24" t="n"/>
      <c r="E203" s="25">
        <f>IF(D203="","",IF(COUNTIF(lst_Jobs,D203&amp;"")&gt;0,"OK","CHECK"))</f>
        <v/>
      </c>
      <c r="F203" s="24" t="n"/>
      <c r="G203" s="24" t="n"/>
      <c r="H203" s="24" t="n"/>
      <c r="I203" s="24" t="n"/>
      <c r="J203" s="26" t="n"/>
      <c r="K203" s="24" t="n"/>
      <c r="L203" s="24" t="n"/>
      <c r="M203" s="24" t="n"/>
      <c r="N203" s="24" t="n"/>
    </row>
    <row r="204" ht="15" customHeight="1">
      <c r="A204" s="65" t="n"/>
      <c r="B204" s="63">
        <f>IF(C204="","",IFERROR(INDEX(tbl_Finance[Date],MATCH(C204&amp;"",tbl_Finance[Xero Invoice No],0)),""))</f>
        <v/>
      </c>
      <c r="C204" s="24" t="n"/>
      <c r="D204" s="24" t="n"/>
      <c r="E204" s="25">
        <f>IF(D204="","",IF(COUNTIF(lst_Jobs,D204&amp;"")&gt;0,"OK","CHECK"))</f>
        <v/>
      </c>
      <c r="F204" s="24" t="n"/>
      <c r="G204" s="24" t="n"/>
      <c r="H204" s="24" t="n"/>
      <c r="I204" s="24" t="n"/>
      <c r="J204" s="26" t="n"/>
      <c r="K204" s="24" t="n"/>
      <c r="L204" s="24" t="n"/>
      <c r="M204" s="24" t="n"/>
      <c r="N204" s="24" t="n"/>
    </row>
    <row r="205" ht="15" customHeight="1">
      <c r="A205" s="65" t="n"/>
      <c r="B205" s="63">
        <f>IF(C205="","",IFERROR(INDEX(tbl_Finance[Date],MATCH(C205&amp;"",tbl_Finance[Xero Invoice No],0)),""))</f>
        <v/>
      </c>
      <c r="C205" s="24" t="n"/>
      <c r="D205" s="24" t="n"/>
      <c r="E205" s="25">
        <f>IF(D205="","",IF(COUNTIF(lst_Jobs,D205&amp;"")&gt;0,"OK","CHECK"))</f>
        <v/>
      </c>
      <c r="F205" s="24" t="n"/>
      <c r="G205" s="24" t="n"/>
      <c r="H205" s="24" t="n"/>
      <c r="I205" s="24" t="n"/>
      <c r="J205" s="26" t="n"/>
      <c r="K205" s="24" t="n"/>
      <c r="L205" s="24" t="n"/>
      <c r="M205" s="24" t="n"/>
      <c r="N205" s="24" t="n"/>
    </row>
    <row r="206" ht="15" customHeight="1">
      <c r="A206" s="65" t="n"/>
      <c r="B206" s="63">
        <f>IF(C206="","",IFERROR(INDEX(tbl_Finance[Date],MATCH(C206&amp;"",tbl_Finance[Xero Invoice No],0)),""))</f>
        <v/>
      </c>
      <c r="C206" s="24" t="n"/>
      <c r="D206" s="24" t="n"/>
      <c r="E206" s="25">
        <f>IF(D206="","",IF(COUNTIF(lst_Jobs,D206&amp;"")&gt;0,"OK","CHECK"))</f>
        <v/>
      </c>
      <c r="F206" s="24" t="n"/>
      <c r="G206" s="24" t="n"/>
      <c r="H206" s="24" t="n"/>
      <c r="I206" s="24" t="n"/>
      <c r="J206" s="26" t="n"/>
      <c r="K206" s="24" t="n"/>
      <c r="L206" s="24" t="n"/>
      <c r="M206" s="24" t="n"/>
      <c r="N206" s="24" t="n"/>
    </row>
    <row r="207" ht="15" customHeight="1">
      <c r="A207" s="65" t="n"/>
      <c r="B207" s="63">
        <f>IF(C207="","",IFERROR(INDEX(tbl_Finance[Date],MATCH(C207&amp;"",tbl_Finance[Xero Invoice No],0)),""))</f>
        <v/>
      </c>
      <c r="C207" s="24" t="n"/>
      <c r="D207" s="24" t="n"/>
      <c r="E207" s="25">
        <f>IF(D207="","",IF(COUNTIF(lst_Jobs,D207&amp;"")&gt;0,"OK","CHECK"))</f>
        <v/>
      </c>
      <c r="F207" s="24" t="n"/>
      <c r="G207" s="24" t="n"/>
      <c r="H207" s="24" t="n"/>
      <c r="I207" s="24" t="n"/>
      <c r="J207" s="26" t="n"/>
      <c r="K207" s="24" t="n"/>
      <c r="L207" s="24" t="n"/>
      <c r="M207" s="24" t="n"/>
      <c r="N207" s="24" t="n"/>
    </row>
    <row r="208" ht="15" customHeight="1">
      <c r="A208" s="65" t="n"/>
      <c r="B208" s="63">
        <f>IF(C208="","",IFERROR(INDEX(tbl_Finance[Date],MATCH(C208&amp;"",tbl_Finance[Xero Invoice No],0)),""))</f>
        <v/>
      </c>
      <c r="C208" s="24" t="n"/>
      <c r="D208" s="24" t="n"/>
      <c r="E208" s="25">
        <f>IF(D208="","",IF(COUNTIF(lst_Jobs,D208&amp;"")&gt;0,"OK","CHECK"))</f>
        <v/>
      </c>
      <c r="F208" s="24" t="n"/>
      <c r="G208" s="24" t="n"/>
      <c r="H208" s="24" t="n"/>
      <c r="I208" s="24" t="n"/>
      <c r="J208" s="26" t="n"/>
      <c r="K208" s="24" t="n"/>
      <c r="L208" s="24" t="n"/>
      <c r="M208" s="24" t="n"/>
      <c r="N208" s="24" t="n"/>
    </row>
    <row r="209" ht="15" customHeight="1">
      <c r="A209" s="65" t="n"/>
      <c r="B209" s="63">
        <f>IF(C209="","",IFERROR(INDEX(tbl_Finance[Date],MATCH(C209&amp;"",tbl_Finance[Xero Invoice No],0)),""))</f>
        <v/>
      </c>
      <c r="C209" s="24" t="n"/>
      <c r="D209" s="24" t="n"/>
      <c r="E209" s="25">
        <f>IF(D209="","",IF(COUNTIF(lst_Jobs,D209&amp;"")&gt;0,"OK","CHECK"))</f>
        <v/>
      </c>
      <c r="F209" s="24" t="n"/>
      <c r="G209" s="24" t="n"/>
      <c r="H209" s="24" t="n"/>
      <c r="I209" s="24" t="n"/>
      <c r="J209" s="26" t="n"/>
      <c r="K209" s="24" t="n"/>
      <c r="L209" s="24" t="n"/>
      <c r="M209" s="24" t="n"/>
      <c r="N209" s="24" t="n"/>
    </row>
    <row r="210" ht="15" customHeight="1">
      <c r="A210" s="65" t="n"/>
      <c r="B210" s="63">
        <f>IF(C210="","",IFERROR(INDEX(tbl_Finance[Date],MATCH(C210&amp;"",tbl_Finance[Xero Invoice No],0)),""))</f>
        <v/>
      </c>
      <c r="C210" s="24" t="n"/>
      <c r="D210" s="24" t="n"/>
      <c r="E210" s="25">
        <f>IF(D210="","",IF(COUNTIF(lst_Jobs,D210&amp;"")&gt;0,"OK","CHECK"))</f>
        <v/>
      </c>
      <c r="F210" s="24" t="n"/>
      <c r="G210" s="24" t="n"/>
      <c r="H210" s="24" t="n"/>
      <c r="I210" s="24" t="n"/>
      <c r="J210" s="26" t="n"/>
      <c r="K210" s="24" t="n"/>
      <c r="L210" s="24" t="n"/>
      <c r="M210" s="24" t="n"/>
      <c r="N210" s="24" t="n"/>
    </row>
    <row r="211" ht="15" customHeight="1">
      <c r="A211" s="65" t="n"/>
      <c r="B211" s="63">
        <f>IF(C211="","",IFERROR(INDEX(tbl_Finance[Date],MATCH(C211&amp;"",tbl_Finance[Xero Invoice No],0)),""))</f>
        <v/>
      </c>
      <c r="C211" s="24" t="n"/>
      <c r="D211" s="24" t="n"/>
      <c r="E211" s="25">
        <f>IF(D211="","",IF(COUNTIF(lst_Jobs,D211&amp;"")&gt;0,"OK","CHECK"))</f>
        <v/>
      </c>
      <c r="F211" s="24" t="n"/>
      <c r="G211" s="24" t="n"/>
      <c r="H211" s="24" t="n"/>
      <c r="I211" s="24" t="n"/>
      <c r="J211" s="26" t="n"/>
      <c r="K211" s="24" t="n"/>
      <c r="L211" s="24" t="n"/>
      <c r="M211" s="24" t="n"/>
      <c r="N211" s="24" t="n"/>
    </row>
    <row r="212" ht="15" customHeight="1">
      <c r="A212" s="65" t="n"/>
      <c r="B212" s="63">
        <f>IF(C212="","",IFERROR(INDEX(tbl_Finance[Date],MATCH(C212&amp;"",tbl_Finance[Xero Invoice No],0)),""))</f>
        <v/>
      </c>
      <c r="C212" s="24" t="n"/>
      <c r="D212" s="24" t="n"/>
      <c r="E212" s="25">
        <f>IF(D212="","",IF(COUNTIF(lst_Jobs,D212&amp;"")&gt;0,"OK","CHECK"))</f>
        <v/>
      </c>
      <c r="F212" s="24" t="n"/>
      <c r="G212" s="24" t="n"/>
      <c r="H212" s="24" t="n"/>
      <c r="I212" s="24" t="n"/>
      <c r="J212" s="26" t="n"/>
      <c r="K212" s="24" t="n"/>
      <c r="L212" s="24" t="n"/>
      <c r="M212" s="24" t="n"/>
      <c r="N212" s="24" t="n"/>
    </row>
    <row r="213" ht="15" customHeight="1">
      <c r="A213" s="65" t="n"/>
      <c r="B213" s="63">
        <f>IF(C213="","",IFERROR(INDEX(tbl_Finance[Date],MATCH(C213&amp;"",tbl_Finance[Xero Invoice No],0)),""))</f>
        <v/>
      </c>
      <c r="C213" s="24" t="n"/>
      <c r="D213" s="24" t="n"/>
      <c r="E213" s="25">
        <f>IF(D213="","",IF(COUNTIF(lst_Jobs,D213&amp;"")&gt;0,"OK","CHECK"))</f>
        <v/>
      </c>
      <c r="F213" s="24" t="n"/>
      <c r="G213" s="24" t="n"/>
      <c r="H213" s="24" t="n"/>
      <c r="I213" s="24" t="n"/>
      <c r="J213" s="26" t="n"/>
      <c r="K213" s="24" t="n"/>
      <c r="L213" s="24" t="n"/>
      <c r="M213" s="24" t="n"/>
      <c r="N213" s="24" t="n"/>
    </row>
    <row r="214" ht="15" customHeight="1">
      <c r="A214" s="65" t="n"/>
      <c r="B214" s="63">
        <f>IF(C214="","",IFERROR(INDEX(tbl_Finance[Date],MATCH(C214&amp;"",tbl_Finance[Xero Invoice No],0)),""))</f>
        <v/>
      </c>
      <c r="C214" s="24" t="n"/>
      <c r="D214" s="24" t="n"/>
      <c r="E214" s="25">
        <f>IF(D214="","",IF(COUNTIF(lst_Jobs,D214&amp;"")&gt;0,"OK","CHECK"))</f>
        <v/>
      </c>
      <c r="F214" s="24" t="n"/>
      <c r="G214" s="24" t="n"/>
      <c r="H214" s="24" t="n"/>
      <c r="I214" s="24" t="n"/>
      <c r="J214" s="26" t="n"/>
      <c r="K214" s="24" t="n"/>
      <c r="L214" s="24" t="n"/>
      <c r="M214" s="24" t="n"/>
      <c r="N214" s="24" t="n"/>
    </row>
    <row r="215" ht="15" customHeight="1">
      <c r="A215" s="65" t="n"/>
      <c r="B215" s="63">
        <f>IF(C215="","",IFERROR(INDEX(tbl_Finance[Date],MATCH(C215&amp;"",tbl_Finance[Xero Invoice No],0)),""))</f>
        <v/>
      </c>
      <c r="C215" s="24" t="n"/>
      <c r="D215" s="24" t="n"/>
      <c r="E215" s="25">
        <f>IF(D215="","",IF(COUNTIF(lst_Jobs,D215&amp;"")&gt;0,"OK","CHECK"))</f>
        <v/>
      </c>
      <c r="F215" s="24" t="n"/>
      <c r="G215" s="24" t="n"/>
      <c r="H215" s="24" t="n"/>
      <c r="I215" s="24" t="n"/>
      <c r="J215" s="26" t="n"/>
      <c r="K215" s="24" t="n"/>
      <c r="L215" s="24" t="n"/>
      <c r="M215" s="24" t="n"/>
      <c r="N215" s="24" t="n"/>
    </row>
    <row r="216" ht="15" customHeight="1">
      <c r="A216" s="65" t="n"/>
      <c r="B216" s="63">
        <f>IF(C216="","",IFERROR(INDEX(tbl_Finance[Date],MATCH(C216&amp;"",tbl_Finance[Xero Invoice No],0)),""))</f>
        <v/>
      </c>
      <c r="C216" s="24" t="n"/>
      <c r="D216" s="24" t="n"/>
      <c r="E216" s="25">
        <f>IF(D216="","",IF(COUNTIF(lst_Jobs,D216&amp;"")&gt;0,"OK","CHECK"))</f>
        <v/>
      </c>
      <c r="F216" s="24" t="n"/>
      <c r="G216" s="24" t="n"/>
      <c r="H216" s="24" t="n"/>
      <c r="I216" s="24" t="n"/>
      <c r="J216" s="26" t="n"/>
      <c r="K216" s="24" t="n"/>
      <c r="L216" s="24" t="n"/>
      <c r="M216" s="24" t="n"/>
      <c r="N216" s="24" t="n"/>
    </row>
    <row r="217" ht="15" customHeight="1">
      <c r="A217" s="65" t="n"/>
      <c r="B217" s="63">
        <f>IF(C217="","",IFERROR(INDEX(tbl_Finance[Date],MATCH(C217&amp;"",tbl_Finance[Xero Invoice No],0)),""))</f>
        <v/>
      </c>
      <c r="C217" s="24" t="n"/>
      <c r="D217" s="24" t="n"/>
      <c r="E217" s="25">
        <f>IF(D217="","",IF(COUNTIF(lst_Jobs,D217&amp;"")&gt;0,"OK","CHECK"))</f>
        <v/>
      </c>
      <c r="F217" s="24" t="n"/>
      <c r="G217" s="24" t="n"/>
      <c r="H217" s="24" t="n"/>
      <c r="I217" s="24" t="n"/>
      <c r="J217" s="26" t="n"/>
      <c r="K217" s="24" t="n"/>
      <c r="L217" s="24" t="n"/>
      <c r="M217" s="24" t="n"/>
      <c r="N217" s="24" t="n"/>
    </row>
    <row r="218" ht="15" customHeight="1">
      <c r="A218" s="65" t="n"/>
      <c r="B218" s="63">
        <f>IF(C218="","",IFERROR(INDEX(tbl_Finance[Date],MATCH(C218&amp;"",tbl_Finance[Xero Invoice No],0)),""))</f>
        <v/>
      </c>
      <c r="C218" s="24" t="n"/>
      <c r="D218" s="24" t="n"/>
      <c r="E218" s="25">
        <f>IF(D218="","",IF(COUNTIF(lst_Jobs,D218&amp;"")&gt;0,"OK","CHECK"))</f>
        <v/>
      </c>
      <c r="F218" s="24" t="n"/>
      <c r="G218" s="24" t="n"/>
      <c r="H218" s="24" t="n"/>
      <c r="I218" s="24" t="n"/>
      <c r="J218" s="26" t="n"/>
      <c r="K218" s="24" t="n"/>
      <c r="L218" s="24" t="n"/>
      <c r="M218" s="24" t="n"/>
      <c r="N218" s="24" t="n"/>
    </row>
    <row r="219" ht="15" customHeight="1">
      <c r="A219" s="65" t="n"/>
      <c r="B219" s="63">
        <f>IF(C219="","",IFERROR(INDEX(tbl_Finance[Date],MATCH(C219&amp;"",tbl_Finance[Xero Invoice No],0)),""))</f>
        <v/>
      </c>
      <c r="C219" s="24" t="n"/>
      <c r="D219" s="24" t="n"/>
      <c r="E219" s="25">
        <f>IF(D219="","",IF(COUNTIF(lst_Jobs,D219&amp;"")&gt;0,"OK","CHECK"))</f>
        <v/>
      </c>
      <c r="F219" s="24" t="n"/>
      <c r="G219" s="24" t="n"/>
      <c r="H219" s="24" t="n"/>
      <c r="I219" s="24" t="n"/>
      <c r="J219" s="26" t="n"/>
      <c r="K219" s="24" t="n"/>
      <c r="L219" s="24" t="n"/>
      <c r="M219" s="24" t="n"/>
      <c r="N219" s="24" t="n"/>
    </row>
    <row r="220" ht="15" customHeight="1">
      <c r="A220" s="65" t="n"/>
      <c r="B220" s="63">
        <f>IF(C220="","",IFERROR(INDEX(tbl_Finance[Date],MATCH(C220&amp;"",tbl_Finance[Xero Invoice No],0)),""))</f>
        <v/>
      </c>
      <c r="C220" s="24" t="n"/>
      <c r="D220" s="24" t="n"/>
      <c r="E220" s="25">
        <f>IF(D220="","",IF(COUNTIF(lst_Jobs,D220&amp;"")&gt;0,"OK","CHECK"))</f>
        <v/>
      </c>
      <c r="F220" s="24" t="n"/>
      <c r="G220" s="24" t="n"/>
      <c r="H220" s="24" t="n"/>
      <c r="I220" s="24" t="n"/>
      <c r="J220" s="26" t="n"/>
      <c r="K220" s="24" t="n"/>
      <c r="L220" s="24" t="n"/>
      <c r="M220" s="24" t="n"/>
      <c r="N220" s="24" t="n"/>
    </row>
    <row r="221" ht="15" customHeight="1">
      <c r="A221" s="65" t="n"/>
      <c r="B221" s="63">
        <f>IF(C221="","",IFERROR(INDEX(tbl_Finance[Date],MATCH(C221&amp;"",tbl_Finance[Xero Invoice No],0)),""))</f>
        <v/>
      </c>
      <c r="C221" s="24" t="n"/>
      <c r="D221" s="24" t="n"/>
      <c r="E221" s="25">
        <f>IF(D221="","",IF(COUNTIF(lst_Jobs,D221&amp;"")&gt;0,"OK","CHECK"))</f>
        <v/>
      </c>
      <c r="F221" s="24" t="n"/>
      <c r="G221" s="24" t="n"/>
      <c r="H221" s="24" t="n"/>
      <c r="I221" s="24" t="n"/>
      <c r="J221" s="26" t="n"/>
      <c r="K221" s="24" t="n"/>
      <c r="L221" s="24" t="n"/>
      <c r="M221" s="24" t="n"/>
      <c r="N221" s="24" t="n"/>
    </row>
    <row r="222" ht="15" customHeight="1">
      <c r="A222" s="65" t="n"/>
      <c r="B222" s="63">
        <f>IF(C222="","",IFERROR(INDEX(tbl_Finance[Date],MATCH(C222&amp;"",tbl_Finance[Xero Invoice No],0)),""))</f>
        <v/>
      </c>
      <c r="C222" s="24" t="n"/>
      <c r="D222" s="24" t="n"/>
      <c r="E222" s="25">
        <f>IF(D222="","",IF(COUNTIF(lst_Jobs,D222&amp;"")&gt;0,"OK","CHECK"))</f>
        <v/>
      </c>
      <c r="F222" s="24" t="n"/>
      <c r="G222" s="24" t="n"/>
      <c r="H222" s="24" t="n"/>
      <c r="I222" s="24" t="n"/>
      <c r="J222" s="26" t="n"/>
      <c r="K222" s="24" t="n"/>
      <c r="L222" s="24" t="n"/>
      <c r="M222" s="24" t="n"/>
      <c r="N222" s="24" t="n"/>
    </row>
    <row r="223" ht="15" customHeight="1">
      <c r="A223" s="65" t="n"/>
      <c r="B223" s="63">
        <f>IF(C223="","",IFERROR(INDEX(tbl_Finance[Date],MATCH(C223&amp;"",tbl_Finance[Xero Invoice No],0)),""))</f>
        <v/>
      </c>
      <c r="C223" s="24" t="n"/>
      <c r="D223" s="24" t="n"/>
      <c r="E223" s="25">
        <f>IF(D223="","",IF(COUNTIF(lst_Jobs,D223&amp;"")&gt;0,"OK","CHECK"))</f>
        <v/>
      </c>
      <c r="F223" s="24" t="n"/>
      <c r="G223" s="24" t="n"/>
      <c r="H223" s="24" t="n"/>
      <c r="I223" s="24" t="n"/>
      <c r="J223" s="26" t="n"/>
      <c r="K223" s="24" t="n"/>
      <c r="L223" s="24" t="n"/>
      <c r="M223" s="24" t="n"/>
      <c r="N223" s="24" t="n"/>
    </row>
    <row r="224" ht="15" customHeight="1">
      <c r="A224" s="65" t="n"/>
      <c r="B224" s="63">
        <f>IF(C224="","",IFERROR(INDEX(tbl_Finance[Date],MATCH(C224&amp;"",tbl_Finance[Xero Invoice No],0)),""))</f>
        <v/>
      </c>
      <c r="C224" s="24" t="n"/>
      <c r="D224" s="24" t="n"/>
      <c r="E224" s="25">
        <f>IF(D224="","",IF(COUNTIF(lst_Jobs,D224&amp;"")&gt;0,"OK","CHECK"))</f>
        <v/>
      </c>
      <c r="F224" s="24" t="n"/>
      <c r="G224" s="24" t="n"/>
      <c r="H224" s="24" t="n"/>
      <c r="I224" s="24" t="n"/>
      <c r="J224" s="26" t="n"/>
      <c r="K224" s="24" t="n"/>
      <c r="L224" s="24" t="n"/>
      <c r="M224" s="24" t="n"/>
      <c r="N224" s="24" t="n"/>
    </row>
    <row r="225" ht="15" customHeight="1">
      <c r="A225" s="65" t="n"/>
      <c r="B225" s="63">
        <f>IF(C225="","",IFERROR(INDEX(tbl_Finance[Date],MATCH(C225&amp;"",tbl_Finance[Xero Invoice No],0)),""))</f>
        <v/>
      </c>
      <c r="C225" s="24" t="n"/>
      <c r="D225" s="24" t="n"/>
      <c r="E225" s="25">
        <f>IF(D225="","",IF(COUNTIF(lst_Jobs,D225&amp;"")&gt;0,"OK","CHECK"))</f>
        <v/>
      </c>
      <c r="F225" s="24" t="n"/>
      <c r="G225" s="24" t="n"/>
      <c r="H225" s="24" t="n"/>
      <c r="I225" s="24" t="n"/>
      <c r="J225" s="26" t="n"/>
      <c r="K225" s="24" t="n"/>
      <c r="L225" s="24" t="n"/>
      <c r="M225" s="24" t="n"/>
      <c r="N225" s="24" t="n"/>
    </row>
    <row r="226" ht="15" customHeight="1">
      <c r="A226" s="65" t="n"/>
      <c r="B226" s="63">
        <f>IF(C226="","",IFERROR(INDEX(tbl_Finance[Date],MATCH(C226&amp;"",tbl_Finance[Xero Invoice No],0)),""))</f>
        <v/>
      </c>
      <c r="C226" s="24" t="n"/>
      <c r="D226" s="24" t="n"/>
      <c r="E226" s="25">
        <f>IF(D226="","",IF(COUNTIF(lst_Jobs,D226&amp;"")&gt;0,"OK","CHECK"))</f>
        <v/>
      </c>
      <c r="F226" s="24" t="n"/>
      <c r="G226" s="24" t="n"/>
      <c r="H226" s="24" t="n"/>
      <c r="I226" s="24" t="n"/>
      <c r="J226" s="26" t="n"/>
      <c r="K226" s="24" t="n"/>
      <c r="L226" s="24" t="n"/>
      <c r="M226" s="24" t="n"/>
      <c r="N226" s="24" t="n"/>
    </row>
    <row r="227" ht="15" customHeight="1">
      <c r="A227" s="65" t="n"/>
      <c r="B227" s="63">
        <f>IF(C227="","",IFERROR(INDEX(tbl_Finance[Date],MATCH(C227&amp;"",tbl_Finance[Xero Invoice No],0)),""))</f>
        <v/>
      </c>
      <c r="C227" s="24" t="n"/>
      <c r="D227" s="24" t="n"/>
      <c r="E227" s="25">
        <f>IF(D227="","",IF(COUNTIF(lst_Jobs,D227&amp;"")&gt;0,"OK","CHECK"))</f>
        <v/>
      </c>
      <c r="F227" s="24" t="n"/>
      <c r="G227" s="24" t="n"/>
      <c r="H227" s="24" t="n"/>
      <c r="I227" s="24" t="n"/>
      <c r="J227" s="26" t="n"/>
      <c r="K227" s="24" t="n"/>
      <c r="L227" s="24" t="n"/>
      <c r="M227" s="24" t="n"/>
      <c r="N227" s="24" t="n"/>
    </row>
    <row r="228" ht="15" customHeight="1">
      <c r="A228" s="65" t="n"/>
      <c r="B228" s="63">
        <f>IF(C228="","",IFERROR(INDEX(tbl_Finance[Date],MATCH(C228&amp;"",tbl_Finance[Xero Invoice No],0)),""))</f>
        <v/>
      </c>
      <c r="C228" s="24" t="n"/>
      <c r="D228" s="24" t="n"/>
      <c r="E228" s="25">
        <f>IF(D228="","",IF(COUNTIF(lst_Jobs,D228&amp;"")&gt;0,"OK","CHECK"))</f>
        <v/>
      </c>
      <c r="F228" s="24" t="n"/>
      <c r="G228" s="24" t="n"/>
      <c r="H228" s="24" t="n"/>
      <c r="I228" s="24" t="n"/>
      <c r="J228" s="26" t="n"/>
      <c r="K228" s="24" t="n"/>
      <c r="L228" s="24" t="n"/>
      <c r="M228" s="24" t="n"/>
      <c r="N228" s="24" t="n"/>
    </row>
    <row r="229" ht="15" customHeight="1">
      <c r="A229" s="65" t="n"/>
      <c r="B229" s="63">
        <f>IF(C229="","",IFERROR(INDEX(tbl_Finance[Date],MATCH(C229&amp;"",tbl_Finance[Xero Invoice No],0)),""))</f>
        <v/>
      </c>
      <c r="C229" s="24" t="n"/>
      <c r="D229" s="24" t="n"/>
      <c r="E229" s="25">
        <f>IF(D229="","",IF(COUNTIF(lst_Jobs,D229&amp;"")&gt;0,"OK","CHECK"))</f>
        <v/>
      </c>
      <c r="F229" s="24" t="n"/>
      <c r="G229" s="24" t="n"/>
      <c r="H229" s="24" t="n"/>
      <c r="I229" s="24" t="n"/>
      <c r="J229" s="26" t="n"/>
      <c r="K229" s="24" t="n"/>
      <c r="L229" s="24" t="n"/>
      <c r="M229" s="24" t="n"/>
      <c r="N229" s="24" t="n"/>
    </row>
    <row r="230" ht="15" customHeight="1">
      <c r="A230" s="65" t="n"/>
      <c r="B230" s="63">
        <f>IF(C230="","",IFERROR(INDEX(tbl_Finance[Date],MATCH(C230&amp;"",tbl_Finance[Xero Invoice No],0)),""))</f>
        <v/>
      </c>
      <c r="C230" s="24" t="n"/>
      <c r="D230" s="24" t="n"/>
      <c r="E230" s="25">
        <f>IF(D230="","",IF(COUNTIF(lst_Jobs,D230&amp;"")&gt;0,"OK","CHECK"))</f>
        <v/>
      </c>
      <c r="F230" s="24" t="n"/>
      <c r="G230" s="24" t="n"/>
      <c r="H230" s="24" t="n"/>
      <c r="I230" s="24" t="n"/>
      <c r="J230" s="26" t="n"/>
      <c r="K230" s="24" t="n"/>
      <c r="L230" s="24" t="n"/>
      <c r="M230" s="24" t="n"/>
      <c r="N230" s="24" t="n"/>
    </row>
    <row r="231" ht="15" customHeight="1">
      <c r="A231" s="65" t="n"/>
      <c r="B231" s="63">
        <f>IF(C231="","",IFERROR(INDEX(tbl_Finance[Date],MATCH(C231&amp;"",tbl_Finance[Xero Invoice No],0)),""))</f>
        <v/>
      </c>
      <c r="C231" s="24" t="n"/>
      <c r="D231" s="24" t="n"/>
      <c r="E231" s="25">
        <f>IF(D231="","",IF(COUNTIF(lst_Jobs,D231&amp;"")&gt;0,"OK","CHECK"))</f>
        <v/>
      </c>
      <c r="F231" s="24" t="n"/>
      <c r="G231" s="24" t="n"/>
      <c r="H231" s="24" t="n"/>
      <c r="I231" s="24" t="n"/>
      <c r="J231" s="26" t="n"/>
      <c r="K231" s="24" t="n"/>
      <c r="L231" s="24" t="n"/>
      <c r="M231" s="24" t="n"/>
      <c r="N231" s="24" t="n"/>
    </row>
    <row r="232" ht="15" customHeight="1">
      <c r="A232" s="65" t="n"/>
      <c r="B232" s="63">
        <f>IF(C232="","",IFERROR(INDEX(tbl_Finance[Date],MATCH(C232&amp;"",tbl_Finance[Xero Invoice No],0)),""))</f>
        <v/>
      </c>
      <c r="C232" s="24" t="n"/>
      <c r="D232" s="24" t="n"/>
      <c r="E232" s="25">
        <f>IF(D232="","",IF(COUNTIF(lst_Jobs,D232&amp;"")&gt;0,"OK","CHECK"))</f>
        <v/>
      </c>
      <c r="F232" s="24" t="n"/>
      <c r="G232" s="24" t="n"/>
      <c r="H232" s="24" t="n"/>
      <c r="I232" s="24" t="n"/>
      <c r="J232" s="26" t="n"/>
      <c r="K232" s="24" t="n"/>
      <c r="L232" s="24" t="n"/>
      <c r="M232" s="24" t="n"/>
      <c r="N232" s="24" t="n"/>
    </row>
    <row r="233" ht="15" customHeight="1">
      <c r="A233" s="65" t="n"/>
      <c r="B233" s="63">
        <f>IF(C233="","",IFERROR(INDEX(tbl_Finance[Date],MATCH(C233&amp;"",tbl_Finance[Xero Invoice No],0)),""))</f>
        <v/>
      </c>
      <c r="C233" s="24" t="n"/>
      <c r="D233" s="24" t="n"/>
      <c r="E233" s="25">
        <f>IF(D233="","",IF(COUNTIF(lst_Jobs,D233&amp;"")&gt;0,"OK","CHECK"))</f>
        <v/>
      </c>
      <c r="F233" s="24" t="n"/>
      <c r="G233" s="24" t="n"/>
      <c r="H233" s="24" t="n"/>
      <c r="I233" s="24" t="n"/>
      <c r="J233" s="26" t="n"/>
      <c r="K233" s="24" t="n"/>
      <c r="L233" s="24" t="n"/>
      <c r="M233" s="24" t="n"/>
      <c r="N233" s="24" t="n"/>
    </row>
    <row r="234" ht="15" customHeight="1">
      <c r="A234" s="65" t="n"/>
      <c r="B234" s="63">
        <f>IF(C234="","",IFERROR(INDEX(tbl_Finance[Date],MATCH(C234&amp;"",tbl_Finance[Xero Invoice No],0)),""))</f>
        <v/>
      </c>
      <c r="C234" s="24" t="n"/>
      <c r="D234" s="24" t="n"/>
      <c r="E234" s="25">
        <f>IF(D234="","",IF(COUNTIF(lst_Jobs,D234&amp;"")&gt;0,"OK","CHECK"))</f>
        <v/>
      </c>
      <c r="F234" s="24" t="n"/>
      <c r="G234" s="24" t="n"/>
      <c r="H234" s="24" t="n"/>
      <c r="I234" s="24" t="n"/>
      <c r="J234" s="26" t="n"/>
      <c r="K234" s="24" t="n"/>
      <c r="L234" s="24" t="n"/>
      <c r="M234" s="24" t="n"/>
      <c r="N234" s="24" t="n"/>
    </row>
    <row r="235" ht="15" customHeight="1">
      <c r="A235" s="65" t="n"/>
      <c r="B235" s="63">
        <f>IF(C235="","",IFERROR(INDEX(tbl_Finance[Date],MATCH(C235&amp;"",tbl_Finance[Xero Invoice No],0)),""))</f>
        <v/>
      </c>
      <c r="C235" s="24" t="n"/>
      <c r="D235" s="24" t="n"/>
      <c r="E235" s="25">
        <f>IF(D235="","",IF(COUNTIF(lst_Jobs,D235&amp;"")&gt;0,"OK","CHECK"))</f>
        <v/>
      </c>
      <c r="F235" s="24" t="n"/>
      <c r="G235" s="24" t="n"/>
      <c r="H235" s="24" t="n"/>
      <c r="I235" s="24" t="n"/>
      <c r="J235" s="26" t="n"/>
      <c r="K235" s="24" t="n"/>
      <c r="L235" s="24" t="n"/>
      <c r="M235" s="24" t="n"/>
      <c r="N235" s="24" t="n"/>
    </row>
    <row r="236" ht="15" customHeight="1">
      <c r="A236" s="65" t="n"/>
      <c r="B236" s="63">
        <f>IF(C236="","",IFERROR(INDEX(tbl_Finance[Date],MATCH(C236&amp;"",tbl_Finance[Xero Invoice No],0)),""))</f>
        <v/>
      </c>
      <c r="C236" s="24" t="n"/>
      <c r="D236" s="24" t="n"/>
      <c r="E236" s="25">
        <f>IF(D236="","",IF(COUNTIF(lst_Jobs,D236&amp;"")&gt;0,"OK","CHECK"))</f>
        <v/>
      </c>
      <c r="F236" s="24" t="n"/>
      <c r="G236" s="24" t="n"/>
      <c r="H236" s="24" t="n"/>
      <c r="I236" s="24" t="n"/>
      <c r="J236" s="26" t="n"/>
      <c r="K236" s="24" t="n"/>
      <c r="L236" s="24" t="n"/>
      <c r="M236" s="24" t="n"/>
      <c r="N236" s="24" t="n"/>
    </row>
    <row r="237" ht="15" customHeight="1">
      <c r="A237" s="65" t="n"/>
      <c r="B237" s="63">
        <f>IF(C237="","",IFERROR(INDEX(tbl_Finance[Date],MATCH(C237&amp;"",tbl_Finance[Xero Invoice No],0)),""))</f>
        <v/>
      </c>
      <c r="C237" s="24" t="n"/>
      <c r="D237" s="24" t="n"/>
      <c r="E237" s="25">
        <f>IF(D237="","",IF(COUNTIF(lst_Jobs,D237&amp;"")&gt;0,"OK","CHECK"))</f>
        <v/>
      </c>
      <c r="F237" s="24" t="n"/>
      <c r="G237" s="24" t="n"/>
      <c r="H237" s="24" t="n"/>
      <c r="I237" s="24" t="n"/>
      <c r="J237" s="26" t="n"/>
      <c r="K237" s="24" t="n"/>
      <c r="L237" s="24" t="n"/>
      <c r="M237" s="24" t="n"/>
      <c r="N237" s="24" t="n"/>
    </row>
    <row r="238" ht="15" customHeight="1">
      <c r="A238" s="65" t="n"/>
      <c r="B238" s="63">
        <f>IF(C238="","",IFERROR(INDEX(tbl_Finance[Date],MATCH(C238&amp;"",tbl_Finance[Xero Invoice No],0)),""))</f>
        <v/>
      </c>
      <c r="C238" s="24" t="n"/>
      <c r="D238" s="24" t="n"/>
      <c r="E238" s="25">
        <f>IF(D238="","",IF(COUNTIF(lst_Jobs,D238&amp;"")&gt;0,"OK","CHECK"))</f>
        <v/>
      </c>
      <c r="F238" s="24" t="n"/>
      <c r="G238" s="24" t="n"/>
      <c r="H238" s="24" t="n"/>
      <c r="I238" s="24" t="n"/>
      <c r="J238" s="26" t="n"/>
      <c r="K238" s="24" t="n"/>
      <c r="L238" s="24" t="n"/>
      <c r="M238" s="24" t="n"/>
      <c r="N238" s="24" t="n"/>
    </row>
    <row r="239" ht="15" customHeight="1">
      <c r="A239" s="65" t="n"/>
      <c r="B239" s="63">
        <f>IF(C239="","",IFERROR(INDEX(tbl_Finance[Date],MATCH(C239&amp;"",tbl_Finance[Xero Invoice No],0)),""))</f>
        <v/>
      </c>
      <c r="C239" s="24" t="n"/>
      <c r="D239" s="24" t="n"/>
      <c r="E239" s="25">
        <f>IF(D239="","",IF(COUNTIF(lst_Jobs,D239&amp;"")&gt;0,"OK","CHECK"))</f>
        <v/>
      </c>
      <c r="F239" s="24" t="n"/>
      <c r="G239" s="24" t="n"/>
      <c r="H239" s="24" t="n"/>
      <c r="I239" s="24" t="n"/>
      <c r="J239" s="26" t="n"/>
      <c r="K239" s="24" t="n"/>
      <c r="L239" s="24" t="n"/>
      <c r="M239" s="24" t="n"/>
      <c r="N239" s="24" t="n"/>
    </row>
    <row r="240" ht="15" customHeight="1">
      <c r="A240" s="65" t="n"/>
      <c r="B240" s="63">
        <f>IF(C240="","",IFERROR(INDEX(tbl_Finance[Date],MATCH(C240&amp;"",tbl_Finance[Xero Invoice No],0)),""))</f>
        <v/>
      </c>
      <c r="C240" s="24" t="n"/>
      <c r="D240" s="24" t="n"/>
      <c r="E240" s="25">
        <f>IF(D240="","",IF(COUNTIF(lst_Jobs,D240&amp;"")&gt;0,"OK","CHECK"))</f>
        <v/>
      </c>
      <c r="F240" s="24" t="n"/>
      <c r="G240" s="24" t="n"/>
      <c r="H240" s="24" t="n"/>
      <c r="I240" s="24" t="n"/>
      <c r="J240" s="26" t="n"/>
      <c r="K240" s="24" t="n"/>
      <c r="L240" s="24" t="n"/>
      <c r="M240" s="24" t="n"/>
      <c r="N240" s="24" t="n"/>
    </row>
    <row r="241" ht="15" customHeight="1">
      <c r="A241" s="65" t="n"/>
      <c r="B241" s="63">
        <f>IF(C241="","",IFERROR(INDEX(tbl_Finance[Date],MATCH(C241&amp;"",tbl_Finance[Xero Invoice No],0)),""))</f>
        <v/>
      </c>
      <c r="C241" s="24" t="n"/>
      <c r="D241" s="24" t="n"/>
      <c r="E241" s="25">
        <f>IF(D241="","",IF(COUNTIF(lst_Jobs,D241&amp;"")&gt;0,"OK","CHECK"))</f>
        <v/>
      </c>
      <c r="F241" s="24" t="n"/>
      <c r="G241" s="24" t="n"/>
      <c r="H241" s="24" t="n"/>
      <c r="I241" s="24" t="n"/>
      <c r="J241" s="26" t="n"/>
      <c r="K241" s="24" t="n"/>
      <c r="L241" s="24" t="n"/>
      <c r="M241" s="24" t="n"/>
      <c r="N241" s="24" t="n"/>
    </row>
    <row r="242" ht="15" customHeight="1">
      <c r="A242" s="65" t="n"/>
      <c r="B242" s="63">
        <f>IF(C242="","",IFERROR(INDEX(tbl_Finance[Date],MATCH(C242&amp;"",tbl_Finance[Xero Invoice No],0)),""))</f>
        <v/>
      </c>
      <c r="C242" s="24" t="n"/>
      <c r="D242" s="24" t="n"/>
      <c r="E242" s="25">
        <f>IF(D242="","",IF(COUNTIF(lst_Jobs,D242&amp;"")&gt;0,"OK","CHECK"))</f>
        <v/>
      </c>
      <c r="F242" s="24" t="n"/>
      <c r="G242" s="24" t="n"/>
      <c r="H242" s="24" t="n"/>
      <c r="I242" s="24" t="n"/>
      <c r="J242" s="26" t="n"/>
      <c r="K242" s="24" t="n"/>
      <c r="L242" s="24" t="n"/>
      <c r="M242" s="24" t="n"/>
      <c r="N242" s="24" t="n"/>
    </row>
    <row r="243" ht="15" customHeight="1">
      <c r="A243" s="65" t="n"/>
      <c r="B243" s="63">
        <f>IF(C243="","",IFERROR(INDEX(tbl_Finance[Date],MATCH(C243&amp;"",tbl_Finance[Xero Invoice No],0)),""))</f>
        <v/>
      </c>
      <c r="C243" s="24" t="n"/>
      <c r="D243" s="24" t="n"/>
      <c r="E243" s="25">
        <f>IF(D243="","",IF(COUNTIF(lst_Jobs,D243&amp;"")&gt;0,"OK","CHECK"))</f>
        <v/>
      </c>
      <c r="F243" s="24" t="n"/>
      <c r="G243" s="24" t="n"/>
      <c r="H243" s="24" t="n"/>
      <c r="I243" s="24" t="n"/>
      <c r="J243" s="26" t="n"/>
      <c r="K243" s="24" t="n"/>
      <c r="L243" s="24" t="n"/>
      <c r="M243" s="24" t="n"/>
      <c r="N243" s="24" t="n"/>
    </row>
    <row r="244" ht="15" customHeight="1">
      <c r="A244" s="65" t="n"/>
      <c r="B244" s="63">
        <f>IF(C244="","",IFERROR(INDEX(tbl_Finance[Date],MATCH(C244&amp;"",tbl_Finance[Xero Invoice No],0)),""))</f>
        <v/>
      </c>
      <c r="C244" s="24" t="n"/>
      <c r="D244" s="24" t="n"/>
      <c r="E244" s="25">
        <f>IF(D244="","",IF(COUNTIF(lst_Jobs,D244&amp;"")&gt;0,"OK","CHECK"))</f>
        <v/>
      </c>
      <c r="F244" s="24" t="n"/>
      <c r="G244" s="24" t="n"/>
      <c r="H244" s="24" t="n"/>
      <c r="I244" s="24" t="n"/>
      <c r="J244" s="26" t="n"/>
      <c r="K244" s="24" t="n"/>
      <c r="L244" s="24" t="n"/>
      <c r="M244" s="24" t="n"/>
      <c r="N244" s="24" t="n"/>
    </row>
    <row r="245" ht="15" customHeight="1">
      <c r="A245" s="65" t="n"/>
      <c r="B245" s="63">
        <f>IF(C245="","",IFERROR(INDEX(tbl_Finance[Date],MATCH(C245&amp;"",tbl_Finance[Xero Invoice No],0)),""))</f>
        <v/>
      </c>
      <c r="C245" s="24" t="n"/>
      <c r="D245" s="24" t="n"/>
      <c r="E245" s="25">
        <f>IF(D245="","",IF(COUNTIF(lst_Jobs,D245&amp;"")&gt;0,"OK","CHECK"))</f>
        <v/>
      </c>
      <c r="F245" s="24" t="n"/>
      <c r="G245" s="24" t="n"/>
      <c r="H245" s="24" t="n"/>
      <c r="I245" s="24" t="n"/>
      <c r="J245" s="26" t="n"/>
      <c r="K245" s="24" t="n"/>
      <c r="L245" s="24" t="n"/>
      <c r="M245" s="24" t="n"/>
      <c r="N245" s="24" t="n"/>
    </row>
    <row r="246" ht="15" customHeight="1">
      <c r="A246" s="65" t="n"/>
      <c r="B246" s="63">
        <f>IF(C246="","",IFERROR(INDEX(tbl_Finance[Date],MATCH(C246&amp;"",tbl_Finance[Xero Invoice No],0)),""))</f>
        <v/>
      </c>
      <c r="C246" s="24" t="n"/>
      <c r="D246" s="24" t="n"/>
      <c r="E246" s="25">
        <f>IF(D246="","",IF(COUNTIF(lst_Jobs,D246&amp;"")&gt;0,"OK","CHECK"))</f>
        <v/>
      </c>
      <c r="F246" s="24" t="n"/>
      <c r="G246" s="24" t="n"/>
      <c r="H246" s="24" t="n"/>
      <c r="I246" s="24" t="n"/>
      <c r="J246" s="26" t="n"/>
      <c r="K246" s="24" t="n"/>
      <c r="L246" s="24" t="n"/>
      <c r="M246" s="24" t="n"/>
      <c r="N246" s="24" t="n"/>
    </row>
    <row r="247" ht="15" customHeight="1">
      <c r="A247" s="65" t="n"/>
      <c r="B247" s="63">
        <f>IF(C247="","",IFERROR(INDEX(tbl_Finance[Date],MATCH(C247&amp;"",tbl_Finance[Xero Invoice No],0)),""))</f>
        <v/>
      </c>
      <c r="C247" s="24" t="n"/>
      <c r="D247" s="24" t="n"/>
      <c r="E247" s="25">
        <f>IF(D247="","",IF(COUNTIF(lst_Jobs,D247&amp;"")&gt;0,"OK","CHECK"))</f>
        <v/>
      </c>
      <c r="F247" s="24" t="n"/>
      <c r="G247" s="24" t="n"/>
      <c r="H247" s="24" t="n"/>
      <c r="I247" s="24" t="n"/>
      <c r="J247" s="26" t="n"/>
      <c r="K247" s="24" t="n"/>
      <c r="L247" s="24" t="n"/>
      <c r="M247" s="24" t="n"/>
      <c r="N247" s="24" t="n"/>
    </row>
    <row r="248" ht="15" customHeight="1">
      <c r="A248" s="65" t="n"/>
      <c r="B248" s="63">
        <f>IF(C248="","",IFERROR(INDEX(tbl_Finance[Date],MATCH(C248&amp;"",tbl_Finance[Xero Invoice No],0)),""))</f>
        <v/>
      </c>
      <c r="C248" s="24" t="n"/>
      <c r="D248" s="24" t="n"/>
      <c r="E248" s="25">
        <f>IF(D248="","",IF(COUNTIF(lst_Jobs,D248&amp;"")&gt;0,"OK","CHECK"))</f>
        <v/>
      </c>
      <c r="F248" s="24" t="n"/>
      <c r="G248" s="24" t="n"/>
      <c r="H248" s="24" t="n"/>
      <c r="I248" s="24" t="n"/>
      <c r="J248" s="26" t="n"/>
      <c r="K248" s="24" t="n"/>
      <c r="L248" s="24" t="n"/>
      <c r="M248" s="24" t="n"/>
      <c r="N248" s="24" t="n"/>
    </row>
    <row r="249" ht="15" customHeight="1">
      <c r="A249" s="65" t="n"/>
      <c r="B249" s="63">
        <f>IF(C249="","",IFERROR(INDEX(tbl_Finance[Date],MATCH(C249&amp;"",tbl_Finance[Xero Invoice No],0)),""))</f>
        <v/>
      </c>
      <c r="C249" s="24" t="n"/>
      <c r="D249" s="24" t="n"/>
      <c r="E249" s="25">
        <f>IF(D249="","",IF(COUNTIF(lst_Jobs,D249&amp;"")&gt;0,"OK","CHECK"))</f>
        <v/>
      </c>
      <c r="F249" s="24" t="n"/>
      <c r="G249" s="24" t="n"/>
      <c r="H249" s="24" t="n"/>
      <c r="I249" s="24" t="n"/>
      <c r="J249" s="26" t="n"/>
      <c r="K249" s="24" t="n"/>
      <c r="L249" s="24" t="n"/>
      <c r="M249" s="24" t="n"/>
      <c r="N249" s="24" t="n"/>
    </row>
    <row r="250" ht="15" customHeight="1">
      <c r="A250" s="65" t="n"/>
      <c r="B250" s="63">
        <f>IF(C250="","",IFERROR(INDEX(tbl_Finance[Date],MATCH(C250&amp;"",tbl_Finance[Xero Invoice No],0)),""))</f>
        <v/>
      </c>
      <c r="C250" s="24" t="n"/>
      <c r="D250" s="24" t="n"/>
      <c r="E250" s="25">
        <f>IF(D250="","",IF(COUNTIF(lst_Jobs,D250&amp;"")&gt;0,"OK","CHECK"))</f>
        <v/>
      </c>
      <c r="F250" s="24" t="n"/>
      <c r="G250" s="24" t="n"/>
      <c r="H250" s="24" t="n"/>
      <c r="I250" s="24" t="n"/>
      <c r="J250" s="26" t="n"/>
      <c r="K250" s="24" t="n"/>
      <c r="L250" s="24" t="n"/>
      <c r="M250" s="24" t="n"/>
      <c r="N250" s="24" t="n"/>
    </row>
    <row r="251" ht="15" customHeight="1">
      <c r="A251" s="65" t="n"/>
      <c r="B251" s="63">
        <f>IF(C251="","",IFERROR(INDEX(tbl_Finance[Date],MATCH(C251&amp;"",tbl_Finance[Xero Invoice No],0)),""))</f>
        <v/>
      </c>
      <c r="C251" s="24" t="n"/>
      <c r="D251" s="24" t="n"/>
      <c r="E251" s="25">
        <f>IF(D251="","",IF(COUNTIF(lst_Jobs,D251&amp;"")&gt;0,"OK","CHECK"))</f>
        <v/>
      </c>
      <c r="F251" s="24" t="n"/>
      <c r="G251" s="24" t="n"/>
      <c r="H251" s="24" t="n"/>
      <c r="I251" s="24" t="n"/>
      <c r="J251" s="26" t="n"/>
      <c r="K251" s="24" t="n"/>
      <c r="L251" s="24" t="n"/>
      <c r="M251" s="24" t="n"/>
      <c r="N251" s="24" t="n"/>
    </row>
    <row r="252" ht="15" customHeight="1">
      <c r="A252" s="65" t="n"/>
      <c r="B252" s="63">
        <f>IF(C252="","",IFERROR(INDEX(tbl_Finance[Date],MATCH(C252&amp;"",tbl_Finance[Xero Invoice No],0)),""))</f>
        <v/>
      </c>
      <c r="C252" s="24" t="n"/>
      <c r="D252" s="24" t="n"/>
      <c r="E252" s="25">
        <f>IF(D252="","",IF(COUNTIF(lst_Jobs,D252&amp;"")&gt;0,"OK","CHECK"))</f>
        <v/>
      </c>
      <c r="F252" s="24" t="n"/>
      <c r="G252" s="24" t="n"/>
      <c r="H252" s="24" t="n"/>
      <c r="I252" s="24" t="n"/>
      <c r="J252" s="26" t="n"/>
      <c r="K252" s="24" t="n"/>
      <c r="L252" s="24" t="n"/>
      <c r="M252" s="24" t="n"/>
      <c r="N252" s="24" t="n"/>
    </row>
    <row r="253" ht="15" customHeight="1">
      <c r="A253" s="65" t="n"/>
      <c r="B253" s="63">
        <f>IF(C253="","",IFERROR(INDEX(tbl_Finance[Date],MATCH(C253&amp;"",tbl_Finance[Xero Invoice No],0)),""))</f>
        <v/>
      </c>
      <c r="C253" s="24" t="n"/>
      <c r="D253" s="24" t="n"/>
      <c r="E253" s="25">
        <f>IF(D253="","",IF(COUNTIF(lst_Jobs,D253&amp;"")&gt;0,"OK","CHECK"))</f>
        <v/>
      </c>
      <c r="F253" s="24" t="n"/>
      <c r="G253" s="24" t="n"/>
      <c r="H253" s="24" t="n"/>
      <c r="I253" s="24" t="n"/>
      <c r="J253" s="26" t="n"/>
      <c r="K253" s="24" t="n"/>
      <c r="L253" s="24" t="n"/>
      <c r="M253" s="24" t="n"/>
      <c r="N253" s="24" t="n"/>
    </row>
    <row r="254" ht="15" customHeight="1">
      <c r="A254" s="65" t="n"/>
      <c r="B254" s="63">
        <f>IF(C254="","",IFERROR(INDEX(tbl_Finance[Date],MATCH(C254&amp;"",tbl_Finance[Xero Invoice No],0)),""))</f>
        <v/>
      </c>
      <c r="C254" s="24" t="n"/>
      <c r="D254" s="24" t="n"/>
      <c r="E254" s="25">
        <f>IF(D254="","",IF(COUNTIF(lst_Jobs,D254&amp;"")&gt;0,"OK","CHECK"))</f>
        <v/>
      </c>
      <c r="F254" s="24" t="n"/>
      <c r="G254" s="24" t="n"/>
      <c r="H254" s="24" t="n"/>
      <c r="I254" s="24" t="n"/>
      <c r="J254" s="26" t="n"/>
      <c r="K254" s="24" t="n"/>
      <c r="L254" s="24" t="n"/>
      <c r="M254" s="24" t="n"/>
      <c r="N254" s="24" t="n"/>
    </row>
    <row r="255" ht="15" customHeight="1">
      <c r="A255" s="65" t="n"/>
      <c r="B255" s="63">
        <f>IF(C255="","",IFERROR(INDEX(tbl_Finance[Date],MATCH(C255&amp;"",tbl_Finance[Xero Invoice No],0)),""))</f>
        <v/>
      </c>
      <c r="C255" s="24" t="n"/>
      <c r="D255" s="24" t="n"/>
      <c r="E255" s="25">
        <f>IF(D255="","",IF(COUNTIF(lst_Jobs,D255&amp;"")&gt;0,"OK","CHECK"))</f>
        <v/>
      </c>
      <c r="F255" s="24" t="n"/>
      <c r="G255" s="24" t="n"/>
      <c r="H255" s="24" t="n"/>
      <c r="I255" s="24" t="n"/>
      <c r="J255" s="26" t="n"/>
      <c r="K255" s="24" t="n"/>
      <c r="L255" s="24" t="n"/>
      <c r="M255" s="24" t="n"/>
      <c r="N255" s="24" t="n"/>
    </row>
    <row r="256" ht="15" customHeight="1">
      <c r="A256" s="65" t="n"/>
      <c r="B256" s="63">
        <f>IF(C256="","",IFERROR(INDEX(tbl_Finance[Date],MATCH(C256&amp;"",tbl_Finance[Xero Invoice No],0)),""))</f>
        <v/>
      </c>
      <c r="C256" s="24" t="n"/>
      <c r="D256" s="24" t="n"/>
      <c r="E256" s="25">
        <f>IF(D256="","",IF(COUNTIF(lst_Jobs,D256&amp;"")&gt;0,"OK","CHECK"))</f>
        <v/>
      </c>
      <c r="F256" s="24" t="n"/>
      <c r="G256" s="24" t="n"/>
      <c r="H256" s="24" t="n"/>
      <c r="I256" s="24" t="n"/>
      <c r="J256" s="26" t="n"/>
      <c r="K256" s="24" t="n"/>
      <c r="L256" s="24" t="n"/>
      <c r="M256" s="24" t="n"/>
      <c r="N256" s="24" t="n"/>
    </row>
    <row r="257" ht="15" customHeight="1">
      <c r="A257" s="65" t="n"/>
      <c r="B257" s="63">
        <f>IF(C257="","",IFERROR(INDEX(tbl_Finance[Date],MATCH(C257&amp;"",tbl_Finance[Xero Invoice No],0)),""))</f>
        <v/>
      </c>
      <c r="C257" s="24" t="n"/>
      <c r="D257" s="24" t="n"/>
      <c r="E257" s="25">
        <f>IF(D257="","",IF(COUNTIF(lst_Jobs,D257&amp;"")&gt;0,"OK","CHECK"))</f>
        <v/>
      </c>
      <c r="F257" s="24" t="n"/>
      <c r="G257" s="24" t="n"/>
      <c r="H257" s="24" t="n"/>
      <c r="I257" s="24" t="n"/>
      <c r="J257" s="26" t="n"/>
      <c r="K257" s="24" t="n"/>
      <c r="L257" s="24" t="n"/>
      <c r="M257" s="24" t="n"/>
      <c r="N257" s="24" t="n"/>
    </row>
    <row r="258" ht="15" customHeight="1">
      <c r="A258" s="65" t="n"/>
      <c r="B258" s="63">
        <f>IF(C258="","",IFERROR(INDEX(tbl_Finance[Date],MATCH(C258&amp;"",tbl_Finance[Xero Invoice No],0)),""))</f>
        <v/>
      </c>
      <c r="C258" s="24" t="n"/>
      <c r="D258" s="24" t="n"/>
      <c r="E258" s="25">
        <f>IF(D258="","",IF(COUNTIF(lst_Jobs,D258&amp;"")&gt;0,"OK","CHECK"))</f>
        <v/>
      </c>
      <c r="F258" s="24" t="n"/>
      <c r="G258" s="24" t="n"/>
      <c r="H258" s="24" t="n"/>
      <c r="I258" s="24" t="n"/>
      <c r="J258" s="26" t="n"/>
      <c r="K258" s="24" t="n"/>
      <c r="L258" s="24" t="n"/>
      <c r="M258" s="24" t="n"/>
      <c r="N258" s="24" t="n"/>
    </row>
    <row r="259" ht="15" customHeight="1">
      <c r="A259" s="65" t="n"/>
      <c r="B259" s="63">
        <f>IF(C259="","",IFERROR(INDEX(tbl_Finance[Date],MATCH(C259&amp;"",tbl_Finance[Xero Invoice No],0)),""))</f>
        <v/>
      </c>
      <c r="C259" s="24" t="n"/>
      <c r="D259" s="24" t="n"/>
      <c r="E259" s="25">
        <f>IF(D259="","",IF(COUNTIF(lst_Jobs,D259&amp;"")&gt;0,"OK","CHECK"))</f>
        <v/>
      </c>
      <c r="F259" s="24" t="n"/>
      <c r="G259" s="24" t="n"/>
      <c r="H259" s="24" t="n"/>
      <c r="I259" s="24" t="n"/>
      <c r="J259" s="26" t="n"/>
      <c r="K259" s="24" t="n"/>
      <c r="L259" s="24" t="n"/>
      <c r="M259" s="24" t="n"/>
      <c r="N259" s="24" t="n"/>
    </row>
    <row r="260" ht="15" customHeight="1">
      <c r="A260" s="65" t="n"/>
      <c r="B260" s="63">
        <f>IF(C260="","",IFERROR(INDEX(tbl_Finance[Date],MATCH(C260&amp;"",tbl_Finance[Xero Invoice No],0)),""))</f>
        <v/>
      </c>
      <c r="C260" s="24" t="n"/>
      <c r="D260" s="24" t="n"/>
      <c r="E260" s="25">
        <f>IF(D260="","",IF(COUNTIF(lst_Jobs,D260&amp;"")&gt;0,"OK","CHECK"))</f>
        <v/>
      </c>
      <c r="F260" s="24" t="n"/>
      <c r="G260" s="24" t="n"/>
      <c r="H260" s="24" t="n"/>
      <c r="I260" s="24" t="n"/>
      <c r="J260" s="26" t="n"/>
      <c r="K260" s="24" t="n"/>
      <c r="L260" s="24" t="n"/>
      <c r="M260" s="24" t="n"/>
      <c r="N260" s="24" t="n"/>
    </row>
    <row r="261" ht="15" customHeight="1">
      <c r="A261" s="65" t="n"/>
      <c r="B261" s="63">
        <f>IF(C261="","",IFERROR(INDEX(tbl_Finance[Date],MATCH(C261&amp;"",tbl_Finance[Xero Invoice No],0)),""))</f>
        <v/>
      </c>
      <c r="C261" s="24" t="n"/>
      <c r="D261" s="24" t="n"/>
      <c r="E261" s="25">
        <f>IF(D261="","",IF(COUNTIF(lst_Jobs,D261&amp;"")&gt;0,"OK","CHECK"))</f>
        <v/>
      </c>
      <c r="F261" s="24" t="n"/>
      <c r="G261" s="24" t="n"/>
      <c r="H261" s="24" t="n"/>
      <c r="I261" s="24" t="n"/>
      <c r="J261" s="26" t="n"/>
      <c r="K261" s="24" t="n"/>
      <c r="L261" s="24" t="n"/>
      <c r="M261" s="24" t="n"/>
      <c r="N261" s="24" t="n"/>
    </row>
    <row r="262" ht="15" customHeight="1">
      <c r="A262" s="65" t="n"/>
      <c r="B262" s="63">
        <f>IF(C262="","",IFERROR(INDEX(tbl_Finance[Date],MATCH(C262&amp;"",tbl_Finance[Xero Invoice No],0)),""))</f>
        <v/>
      </c>
      <c r="C262" s="24" t="n"/>
      <c r="D262" s="24" t="n"/>
      <c r="E262" s="25">
        <f>IF(D262="","",IF(COUNTIF(lst_Jobs,D262&amp;"")&gt;0,"OK","CHECK"))</f>
        <v/>
      </c>
      <c r="F262" s="24" t="n"/>
      <c r="G262" s="24" t="n"/>
      <c r="H262" s="24" t="n"/>
      <c r="I262" s="24" t="n"/>
      <c r="J262" s="26" t="n"/>
      <c r="K262" s="24" t="n"/>
      <c r="L262" s="24" t="n"/>
      <c r="M262" s="24" t="n"/>
      <c r="N262" s="24" t="n"/>
    </row>
    <row r="263" ht="15" customHeight="1">
      <c r="A263" s="65" t="n"/>
      <c r="B263" s="63">
        <f>IF(C263="","",IFERROR(INDEX(tbl_Finance[Date],MATCH(C263&amp;"",tbl_Finance[Xero Invoice No],0)),""))</f>
        <v/>
      </c>
      <c r="C263" s="24" t="n"/>
      <c r="D263" s="24" t="n"/>
      <c r="E263" s="25">
        <f>IF(D263="","",IF(COUNTIF(lst_Jobs,D263&amp;"")&gt;0,"OK","CHECK"))</f>
        <v/>
      </c>
      <c r="F263" s="24" t="n"/>
      <c r="G263" s="24" t="n"/>
      <c r="H263" s="24" t="n"/>
      <c r="I263" s="24" t="n"/>
      <c r="J263" s="26" t="n"/>
      <c r="K263" s="24" t="n"/>
      <c r="L263" s="24" t="n"/>
      <c r="M263" s="24" t="n"/>
      <c r="N263" s="24" t="n"/>
    </row>
    <row r="264" ht="15" customHeight="1">
      <c r="A264" s="65" t="n"/>
      <c r="B264" s="63">
        <f>IF(C264="","",IFERROR(INDEX(tbl_Finance[Date],MATCH(C264&amp;"",tbl_Finance[Xero Invoice No],0)),""))</f>
        <v/>
      </c>
      <c r="C264" s="24" t="n"/>
      <c r="D264" s="24" t="n"/>
      <c r="E264" s="25">
        <f>IF(D264="","",IF(COUNTIF(lst_Jobs,D264&amp;"")&gt;0,"OK","CHECK"))</f>
        <v/>
      </c>
      <c r="F264" s="24" t="n"/>
      <c r="G264" s="24" t="n"/>
      <c r="H264" s="24" t="n"/>
      <c r="I264" s="24" t="n"/>
      <c r="J264" s="26" t="n"/>
      <c r="K264" s="24" t="n"/>
      <c r="L264" s="24" t="n"/>
      <c r="M264" s="24" t="n"/>
      <c r="N264" s="24" t="n"/>
    </row>
    <row r="265" ht="15" customHeight="1">
      <c r="A265" s="65" t="n"/>
      <c r="B265" s="63">
        <f>IF(C265="","",IFERROR(INDEX(tbl_Finance[Date],MATCH(C265&amp;"",tbl_Finance[Xero Invoice No],0)),""))</f>
        <v/>
      </c>
      <c r="C265" s="24" t="n"/>
      <c r="D265" s="24" t="n"/>
      <c r="E265" s="25">
        <f>IF(D265="","",IF(COUNTIF(lst_Jobs,D265&amp;"")&gt;0,"OK","CHECK"))</f>
        <v/>
      </c>
      <c r="F265" s="24" t="n"/>
      <c r="G265" s="24" t="n"/>
      <c r="H265" s="24" t="n"/>
      <c r="I265" s="24" t="n"/>
      <c r="J265" s="26" t="n"/>
      <c r="K265" s="24" t="n"/>
      <c r="L265" s="24" t="n"/>
      <c r="M265" s="24" t="n"/>
      <c r="N265" s="24" t="n"/>
    </row>
    <row r="266" ht="15" customHeight="1">
      <c r="A266" s="65" t="n"/>
      <c r="B266" s="63">
        <f>IF(C266="","",IFERROR(INDEX(tbl_Finance[Date],MATCH(C266&amp;"",tbl_Finance[Xero Invoice No],0)),""))</f>
        <v/>
      </c>
      <c r="C266" s="24" t="n"/>
      <c r="D266" s="24" t="n"/>
      <c r="E266" s="25">
        <f>IF(D266="","",IF(COUNTIF(lst_Jobs,D266&amp;"")&gt;0,"OK","CHECK"))</f>
        <v/>
      </c>
      <c r="F266" s="24" t="n"/>
      <c r="G266" s="24" t="n"/>
      <c r="H266" s="24" t="n"/>
      <c r="I266" s="24" t="n"/>
      <c r="J266" s="26" t="n"/>
      <c r="K266" s="24" t="n"/>
      <c r="L266" s="24" t="n"/>
      <c r="M266" s="24" t="n"/>
      <c r="N266" s="24" t="n"/>
    </row>
    <row r="267" ht="15" customHeight="1">
      <c r="A267" s="65" t="n"/>
      <c r="B267" s="63">
        <f>IF(C267="","",IFERROR(INDEX(tbl_Finance[Date],MATCH(C267&amp;"",tbl_Finance[Xero Invoice No],0)),""))</f>
        <v/>
      </c>
      <c r="C267" s="24" t="n"/>
      <c r="D267" s="24" t="n"/>
      <c r="E267" s="25">
        <f>IF(D267="","",IF(COUNTIF(lst_Jobs,D267&amp;"")&gt;0,"OK","CHECK"))</f>
        <v/>
      </c>
      <c r="F267" s="24" t="n"/>
      <c r="G267" s="24" t="n"/>
      <c r="H267" s="24" t="n"/>
      <c r="I267" s="24" t="n"/>
      <c r="J267" s="26" t="n"/>
      <c r="K267" s="24" t="n"/>
      <c r="L267" s="24" t="n"/>
      <c r="M267" s="24" t="n"/>
      <c r="N267" s="24" t="n"/>
    </row>
    <row r="268" ht="15" customHeight="1">
      <c r="A268" s="65" t="n"/>
      <c r="B268" s="63">
        <f>IF(C268="","",IFERROR(INDEX(tbl_Finance[Date],MATCH(C268&amp;"",tbl_Finance[Xero Invoice No],0)),""))</f>
        <v/>
      </c>
      <c r="C268" s="24" t="n"/>
      <c r="D268" s="24" t="n"/>
      <c r="E268" s="25">
        <f>IF(D268="","",IF(COUNTIF(lst_Jobs,D268&amp;"")&gt;0,"OK","CHECK"))</f>
        <v/>
      </c>
      <c r="F268" s="24" t="n"/>
      <c r="G268" s="24" t="n"/>
      <c r="H268" s="24" t="n"/>
      <c r="I268" s="24" t="n"/>
      <c r="J268" s="26" t="n"/>
      <c r="K268" s="24" t="n"/>
      <c r="L268" s="24" t="n"/>
      <c r="M268" s="24" t="n"/>
      <c r="N268" s="24" t="n"/>
    </row>
    <row r="269" ht="15" customHeight="1">
      <c r="A269" s="65" t="n"/>
      <c r="B269" s="63">
        <f>IF(C269="","",IFERROR(INDEX(tbl_Finance[Date],MATCH(C269&amp;"",tbl_Finance[Xero Invoice No],0)),""))</f>
        <v/>
      </c>
      <c r="C269" s="24" t="n"/>
      <c r="D269" s="24" t="n"/>
      <c r="E269" s="25">
        <f>IF(D269="","",IF(COUNTIF(lst_Jobs,D269&amp;"")&gt;0,"OK","CHECK"))</f>
        <v/>
      </c>
      <c r="F269" s="24" t="n"/>
      <c r="G269" s="24" t="n"/>
      <c r="H269" s="24" t="n"/>
      <c r="I269" s="24" t="n"/>
      <c r="J269" s="26" t="n"/>
      <c r="K269" s="24" t="n"/>
      <c r="L269" s="24" t="n"/>
      <c r="M269" s="24" t="n"/>
      <c r="N269" s="24" t="n"/>
    </row>
    <row r="270" ht="15" customHeight="1">
      <c r="A270" s="65" t="n"/>
      <c r="B270" s="63">
        <f>IF(C270="","",IFERROR(INDEX(tbl_Finance[Date],MATCH(C270&amp;"",tbl_Finance[Xero Invoice No],0)),""))</f>
        <v/>
      </c>
      <c r="C270" s="24" t="n"/>
      <c r="D270" s="24" t="n"/>
      <c r="E270" s="25">
        <f>IF(D270="","",IF(COUNTIF(lst_Jobs,D270&amp;"")&gt;0,"OK","CHECK"))</f>
        <v/>
      </c>
      <c r="F270" s="24" t="n"/>
      <c r="G270" s="24" t="n"/>
      <c r="H270" s="24" t="n"/>
      <c r="I270" s="24" t="n"/>
      <c r="J270" s="26" t="n"/>
      <c r="K270" s="24" t="n"/>
      <c r="L270" s="24" t="n"/>
      <c r="M270" s="24" t="n"/>
      <c r="N270" s="24" t="n"/>
    </row>
    <row r="271" ht="15" customHeight="1">
      <c r="A271" s="65" t="n"/>
      <c r="B271" s="63">
        <f>IF(C271="","",IFERROR(INDEX(tbl_Finance[Date],MATCH(C271&amp;"",tbl_Finance[Xero Invoice No],0)),""))</f>
        <v/>
      </c>
      <c r="C271" s="24" t="n"/>
      <c r="D271" s="24" t="n"/>
      <c r="E271" s="25">
        <f>IF(D271="","",IF(COUNTIF(lst_Jobs,D271&amp;"")&gt;0,"OK","CHECK"))</f>
        <v/>
      </c>
      <c r="F271" s="24" t="n"/>
      <c r="G271" s="24" t="n"/>
      <c r="H271" s="24" t="n"/>
      <c r="I271" s="24" t="n"/>
      <c r="J271" s="26" t="n"/>
      <c r="K271" s="24" t="n"/>
      <c r="L271" s="24" t="n"/>
      <c r="M271" s="24" t="n"/>
      <c r="N271" s="24" t="n"/>
    </row>
    <row r="272" ht="15" customHeight="1">
      <c r="A272" s="65" t="n"/>
      <c r="B272" s="63">
        <f>IF(C272="","",IFERROR(INDEX(tbl_Finance[Date],MATCH(C272&amp;"",tbl_Finance[Xero Invoice No],0)),""))</f>
        <v/>
      </c>
      <c r="C272" s="24" t="n"/>
      <c r="D272" s="24" t="n"/>
      <c r="E272" s="25">
        <f>IF(D272="","",IF(COUNTIF(lst_Jobs,D272&amp;"")&gt;0,"OK","CHECK"))</f>
        <v/>
      </c>
      <c r="F272" s="24" t="n"/>
      <c r="G272" s="24" t="n"/>
      <c r="H272" s="24" t="n"/>
      <c r="I272" s="24" t="n"/>
      <c r="J272" s="26" t="n"/>
      <c r="K272" s="24" t="n"/>
      <c r="L272" s="24" t="n"/>
      <c r="M272" s="24" t="n"/>
      <c r="N272" s="24" t="n"/>
    </row>
    <row r="273" ht="15" customHeight="1">
      <c r="A273" s="65" t="n"/>
      <c r="B273" s="63">
        <f>IF(C273="","",IFERROR(INDEX(tbl_Finance[Date],MATCH(C273&amp;"",tbl_Finance[Xero Invoice No],0)),""))</f>
        <v/>
      </c>
      <c r="C273" s="24" t="n"/>
      <c r="D273" s="24" t="n"/>
      <c r="E273" s="25">
        <f>IF(D273="","",IF(COUNTIF(lst_Jobs,D273&amp;"")&gt;0,"OK","CHECK"))</f>
        <v/>
      </c>
      <c r="F273" s="24" t="n"/>
      <c r="G273" s="24" t="n"/>
      <c r="H273" s="24" t="n"/>
      <c r="I273" s="24" t="n"/>
      <c r="J273" s="26" t="n"/>
      <c r="K273" s="24" t="n"/>
      <c r="L273" s="24" t="n"/>
      <c r="M273" s="24" t="n"/>
      <c r="N273" s="24" t="n"/>
    </row>
    <row r="274" ht="15" customHeight="1">
      <c r="A274" s="65" t="n"/>
      <c r="B274" s="63">
        <f>IF(C274="","",IFERROR(INDEX(tbl_Finance[Date],MATCH(C274&amp;"",tbl_Finance[Xero Invoice No],0)),""))</f>
        <v/>
      </c>
      <c r="C274" s="24" t="n"/>
      <c r="D274" s="24" t="n"/>
      <c r="E274" s="25">
        <f>IF(D274="","",IF(COUNTIF(lst_Jobs,D274&amp;"")&gt;0,"OK","CHECK"))</f>
        <v/>
      </c>
      <c r="F274" s="24" t="n"/>
      <c r="G274" s="24" t="n"/>
      <c r="H274" s="24" t="n"/>
      <c r="I274" s="24" t="n"/>
      <c r="J274" s="26" t="n"/>
      <c r="K274" s="24" t="n"/>
      <c r="L274" s="24" t="n"/>
      <c r="M274" s="24" t="n"/>
      <c r="N274" s="24" t="n"/>
    </row>
    <row r="275" ht="15" customHeight="1">
      <c r="A275" s="65" t="n"/>
      <c r="B275" s="63">
        <f>IF(C275="","",IFERROR(INDEX(tbl_Finance[Date],MATCH(C275&amp;"",tbl_Finance[Xero Invoice No],0)),""))</f>
        <v/>
      </c>
      <c r="C275" s="24" t="n"/>
      <c r="D275" s="24" t="n"/>
      <c r="E275" s="25">
        <f>IF(D275="","",IF(COUNTIF(lst_Jobs,D275&amp;"")&gt;0,"OK","CHECK"))</f>
        <v/>
      </c>
      <c r="F275" s="24" t="n"/>
      <c r="G275" s="24" t="n"/>
      <c r="H275" s="24" t="n"/>
      <c r="I275" s="24" t="n"/>
      <c r="J275" s="26" t="n"/>
      <c r="K275" s="24" t="n"/>
      <c r="L275" s="24" t="n"/>
      <c r="M275" s="24" t="n"/>
      <c r="N275" s="24" t="n"/>
    </row>
    <row r="276" ht="15" customHeight="1">
      <c r="A276" s="65" t="n"/>
      <c r="B276" s="63">
        <f>IF(C276="","",IFERROR(INDEX(tbl_Finance[Date],MATCH(C276&amp;"",tbl_Finance[Xero Invoice No],0)),""))</f>
        <v/>
      </c>
      <c r="C276" s="24" t="n"/>
      <c r="D276" s="24" t="n"/>
      <c r="E276" s="25">
        <f>IF(D276="","",IF(COUNTIF(lst_Jobs,D276&amp;"")&gt;0,"OK","CHECK"))</f>
        <v/>
      </c>
      <c r="F276" s="24" t="n"/>
      <c r="G276" s="24" t="n"/>
      <c r="H276" s="24" t="n"/>
      <c r="I276" s="24" t="n"/>
      <c r="J276" s="26" t="n"/>
      <c r="K276" s="24" t="n"/>
      <c r="L276" s="24" t="n"/>
      <c r="M276" s="24" t="n"/>
      <c r="N276" s="24" t="n"/>
    </row>
    <row r="277" ht="15" customHeight="1">
      <c r="A277" s="65" t="n"/>
      <c r="B277" s="63">
        <f>IF(C277="","",IFERROR(INDEX(tbl_Finance[Date],MATCH(C277&amp;"",tbl_Finance[Xero Invoice No],0)),""))</f>
        <v/>
      </c>
      <c r="C277" s="24" t="n"/>
      <c r="D277" s="24" t="n"/>
      <c r="E277" s="25">
        <f>IF(D277="","",IF(COUNTIF(lst_Jobs,D277&amp;"")&gt;0,"OK","CHECK"))</f>
        <v/>
      </c>
      <c r="F277" s="24" t="n"/>
      <c r="G277" s="24" t="n"/>
      <c r="H277" s="24" t="n"/>
      <c r="I277" s="24" t="n"/>
      <c r="J277" s="26" t="n"/>
      <c r="K277" s="24" t="n"/>
      <c r="L277" s="24" t="n"/>
      <c r="M277" s="24" t="n"/>
      <c r="N277" s="24" t="n"/>
    </row>
    <row r="278" ht="15" customHeight="1">
      <c r="A278" s="65" t="n"/>
      <c r="B278" s="63">
        <f>IF(C278="","",IFERROR(INDEX(tbl_Finance[Date],MATCH(C278&amp;"",tbl_Finance[Xero Invoice No],0)),""))</f>
        <v/>
      </c>
      <c r="C278" s="24" t="n"/>
      <c r="D278" s="24" t="n"/>
      <c r="E278" s="25">
        <f>IF(D278="","",IF(COUNTIF(lst_Jobs,D278&amp;"")&gt;0,"OK","CHECK"))</f>
        <v/>
      </c>
      <c r="F278" s="24" t="n"/>
      <c r="G278" s="24" t="n"/>
      <c r="H278" s="24" t="n"/>
      <c r="I278" s="24" t="n"/>
      <c r="J278" s="26" t="n"/>
      <c r="K278" s="24" t="n"/>
      <c r="L278" s="24" t="n"/>
      <c r="M278" s="24" t="n"/>
      <c r="N278" s="24" t="n"/>
    </row>
    <row r="279" ht="15" customHeight="1">
      <c r="A279" s="65" t="n"/>
      <c r="B279" s="63">
        <f>IF(C279="","",IFERROR(INDEX(tbl_Finance[Date],MATCH(C279&amp;"",tbl_Finance[Xero Invoice No],0)),""))</f>
        <v/>
      </c>
      <c r="C279" s="24" t="n"/>
      <c r="D279" s="24" t="n"/>
      <c r="E279" s="25">
        <f>IF(D279="","",IF(COUNTIF(lst_Jobs,D279&amp;"")&gt;0,"OK","CHECK"))</f>
        <v/>
      </c>
      <c r="F279" s="24" t="n"/>
      <c r="G279" s="24" t="n"/>
      <c r="H279" s="24" t="n"/>
      <c r="I279" s="24" t="n"/>
      <c r="J279" s="26" t="n"/>
      <c r="K279" s="24" t="n"/>
      <c r="L279" s="24" t="n"/>
      <c r="M279" s="24" t="n"/>
      <c r="N279" s="24" t="n"/>
    </row>
    <row r="280" ht="15" customHeight="1">
      <c r="A280" s="65" t="n"/>
      <c r="B280" s="63">
        <f>IF(C280="","",IFERROR(INDEX(tbl_Finance[Date],MATCH(C280&amp;"",tbl_Finance[Xero Invoice No],0)),""))</f>
        <v/>
      </c>
      <c r="C280" s="24" t="n"/>
      <c r="D280" s="24" t="n"/>
      <c r="E280" s="25">
        <f>IF(D280="","",IF(COUNTIF(lst_Jobs,D280&amp;"")&gt;0,"OK","CHECK"))</f>
        <v/>
      </c>
      <c r="F280" s="24" t="n"/>
      <c r="G280" s="24" t="n"/>
      <c r="H280" s="24" t="n"/>
      <c r="I280" s="24" t="n"/>
      <c r="J280" s="26" t="n"/>
      <c r="K280" s="24" t="n"/>
      <c r="L280" s="24" t="n"/>
      <c r="M280" s="24" t="n"/>
      <c r="N280" s="24" t="n"/>
    </row>
    <row r="281" ht="15" customHeight="1">
      <c r="A281" s="65" t="n"/>
      <c r="B281" s="63">
        <f>IF(C281="","",IFERROR(INDEX(tbl_Finance[Date],MATCH(C281&amp;"",tbl_Finance[Xero Invoice No],0)),""))</f>
        <v/>
      </c>
      <c r="C281" s="24" t="n"/>
      <c r="D281" s="24" t="n"/>
      <c r="E281" s="25">
        <f>IF(D281="","",IF(COUNTIF(lst_Jobs,D281&amp;"")&gt;0,"OK","CHECK"))</f>
        <v/>
      </c>
      <c r="F281" s="24" t="n"/>
      <c r="G281" s="24" t="n"/>
      <c r="H281" s="24" t="n"/>
      <c r="I281" s="24" t="n"/>
      <c r="J281" s="26" t="n"/>
      <c r="K281" s="24" t="n"/>
      <c r="L281" s="24" t="n"/>
      <c r="M281" s="24" t="n"/>
      <c r="N281" s="24" t="n"/>
    </row>
    <row r="282" ht="15" customHeight="1">
      <c r="A282" s="65" t="n"/>
      <c r="B282" s="63">
        <f>IF(C282="","",IFERROR(INDEX(tbl_Finance[Date],MATCH(C282&amp;"",tbl_Finance[Xero Invoice No],0)),""))</f>
        <v/>
      </c>
      <c r="C282" s="24" t="n"/>
      <c r="D282" s="24" t="n"/>
      <c r="E282" s="25">
        <f>IF(D282="","",IF(COUNTIF(lst_Jobs,D282&amp;"")&gt;0,"OK","CHECK"))</f>
        <v/>
      </c>
      <c r="F282" s="24" t="n"/>
      <c r="G282" s="24" t="n"/>
      <c r="H282" s="24" t="n"/>
      <c r="I282" s="24" t="n"/>
      <c r="J282" s="26" t="n"/>
      <c r="K282" s="24" t="n"/>
      <c r="L282" s="24" t="n"/>
      <c r="M282" s="24" t="n"/>
      <c r="N282" s="24" t="n"/>
    </row>
    <row r="283" ht="15" customHeight="1">
      <c r="A283" s="65" t="n"/>
      <c r="B283" s="63">
        <f>IF(C283="","",IFERROR(INDEX(tbl_Finance[Date],MATCH(C283&amp;"",tbl_Finance[Xero Invoice No],0)),""))</f>
        <v/>
      </c>
      <c r="C283" s="24" t="n"/>
      <c r="D283" s="24" t="n"/>
      <c r="E283" s="25">
        <f>IF(D283="","",IF(COUNTIF(lst_Jobs,D283&amp;"")&gt;0,"OK","CHECK"))</f>
        <v/>
      </c>
      <c r="F283" s="24" t="n"/>
      <c r="G283" s="24" t="n"/>
      <c r="H283" s="24" t="n"/>
      <c r="I283" s="24" t="n"/>
      <c r="J283" s="26" t="n"/>
      <c r="K283" s="24" t="n"/>
      <c r="L283" s="24" t="n"/>
      <c r="M283" s="24" t="n"/>
      <c r="N283" s="24" t="n"/>
    </row>
    <row r="284" ht="15" customHeight="1">
      <c r="A284" s="65" t="n"/>
      <c r="B284" s="63">
        <f>IF(C284="","",IFERROR(INDEX(tbl_Finance[Date],MATCH(C284&amp;"",tbl_Finance[Xero Invoice No],0)),""))</f>
        <v/>
      </c>
      <c r="C284" s="24" t="n"/>
      <c r="D284" s="24" t="n"/>
      <c r="E284" s="25">
        <f>IF(D284="","",IF(COUNTIF(lst_Jobs,D284&amp;"")&gt;0,"OK","CHECK"))</f>
        <v/>
      </c>
      <c r="F284" s="24" t="n"/>
      <c r="G284" s="24" t="n"/>
      <c r="H284" s="24" t="n"/>
      <c r="I284" s="24" t="n"/>
      <c r="J284" s="26" t="n"/>
      <c r="K284" s="24" t="n"/>
      <c r="L284" s="24" t="n"/>
      <c r="M284" s="24" t="n"/>
      <c r="N284" s="24" t="n"/>
    </row>
    <row r="285" ht="15" customHeight="1">
      <c r="A285" s="65" t="n"/>
      <c r="B285" s="63">
        <f>IF(C285="","",IFERROR(INDEX(tbl_Finance[Date],MATCH(C285&amp;"",tbl_Finance[Xero Invoice No],0)),""))</f>
        <v/>
      </c>
      <c r="C285" s="24" t="n"/>
      <c r="D285" s="24" t="n"/>
      <c r="E285" s="25">
        <f>IF(D285="","",IF(COUNTIF(lst_Jobs,D285&amp;"")&gt;0,"OK","CHECK"))</f>
        <v/>
      </c>
      <c r="F285" s="24" t="n"/>
      <c r="G285" s="24" t="n"/>
      <c r="H285" s="24" t="n"/>
      <c r="I285" s="24" t="n"/>
      <c r="J285" s="26" t="n"/>
      <c r="K285" s="24" t="n"/>
      <c r="L285" s="24" t="n"/>
      <c r="M285" s="24" t="n"/>
      <c r="N285" s="24" t="n"/>
    </row>
    <row r="286" ht="15" customHeight="1">
      <c r="A286" s="65" t="n"/>
      <c r="B286" s="63">
        <f>IF(C286="","",IFERROR(INDEX(tbl_Finance[Date],MATCH(C286&amp;"",tbl_Finance[Xero Invoice No],0)),""))</f>
        <v/>
      </c>
      <c r="C286" s="24" t="n"/>
      <c r="D286" s="24" t="n"/>
      <c r="E286" s="25">
        <f>IF(D286="","",IF(COUNTIF(lst_Jobs,D286&amp;"")&gt;0,"OK","CHECK"))</f>
        <v/>
      </c>
      <c r="F286" s="24" t="n"/>
      <c r="G286" s="24" t="n"/>
      <c r="H286" s="24" t="n"/>
      <c r="I286" s="24" t="n"/>
      <c r="J286" s="26" t="n"/>
      <c r="K286" s="24" t="n"/>
      <c r="L286" s="24" t="n"/>
      <c r="M286" s="24" t="n"/>
      <c r="N286" s="24" t="n"/>
    </row>
    <row r="287" ht="15" customHeight="1">
      <c r="A287" s="65" t="n"/>
      <c r="B287" s="63">
        <f>IF(C287="","",IFERROR(INDEX(tbl_Finance[Date],MATCH(C287&amp;"",tbl_Finance[Xero Invoice No],0)),""))</f>
        <v/>
      </c>
      <c r="C287" s="24" t="n"/>
      <c r="D287" s="24" t="n"/>
      <c r="E287" s="25">
        <f>IF(D287="","",IF(COUNTIF(lst_Jobs,D287&amp;"")&gt;0,"OK","CHECK"))</f>
        <v/>
      </c>
      <c r="F287" s="24" t="n"/>
      <c r="G287" s="24" t="n"/>
      <c r="H287" s="24" t="n"/>
      <c r="I287" s="24" t="n"/>
      <c r="J287" s="26" t="n"/>
      <c r="K287" s="24" t="n"/>
      <c r="L287" s="24" t="n"/>
      <c r="M287" s="24" t="n"/>
      <c r="N287" s="24" t="n"/>
    </row>
    <row r="288" ht="15" customHeight="1">
      <c r="A288" s="65" t="n"/>
      <c r="B288" s="63">
        <f>IF(C288="","",IFERROR(INDEX(tbl_Finance[Date],MATCH(C288&amp;"",tbl_Finance[Xero Invoice No],0)),""))</f>
        <v/>
      </c>
      <c r="C288" s="24" t="n"/>
      <c r="D288" s="24" t="n"/>
      <c r="E288" s="25">
        <f>IF(D288="","",IF(COUNTIF(lst_Jobs,D288&amp;"")&gt;0,"OK","CHECK"))</f>
        <v/>
      </c>
      <c r="F288" s="24" t="n"/>
      <c r="G288" s="24" t="n"/>
      <c r="H288" s="24" t="n"/>
      <c r="I288" s="24" t="n"/>
      <c r="J288" s="26" t="n"/>
      <c r="K288" s="24" t="n"/>
      <c r="L288" s="24" t="n"/>
      <c r="M288" s="24" t="n"/>
      <c r="N288" s="24" t="n"/>
    </row>
    <row r="289" ht="15" customHeight="1">
      <c r="A289" s="65" t="n"/>
      <c r="B289" s="63">
        <f>IF(C289="","",IFERROR(INDEX(tbl_Finance[Date],MATCH(C289&amp;"",tbl_Finance[Xero Invoice No],0)),""))</f>
        <v/>
      </c>
      <c r="C289" s="24" t="n"/>
      <c r="D289" s="24" t="n"/>
      <c r="E289" s="25">
        <f>IF(D289="","",IF(COUNTIF(lst_Jobs,D289&amp;"")&gt;0,"OK","CHECK"))</f>
        <v/>
      </c>
      <c r="F289" s="24" t="n"/>
      <c r="G289" s="24" t="n"/>
      <c r="H289" s="24" t="n"/>
      <c r="I289" s="24" t="n"/>
      <c r="J289" s="26" t="n"/>
      <c r="K289" s="24" t="n"/>
      <c r="L289" s="24" t="n"/>
      <c r="M289" s="24" t="n"/>
      <c r="N289" s="24" t="n"/>
    </row>
    <row r="290" ht="15" customHeight="1">
      <c r="A290" s="65" t="n"/>
      <c r="B290" s="63">
        <f>IF(C290="","",IFERROR(INDEX(tbl_Finance[Date],MATCH(C290&amp;"",tbl_Finance[Xero Invoice No],0)),""))</f>
        <v/>
      </c>
      <c r="C290" s="24" t="n"/>
      <c r="D290" s="24" t="n"/>
      <c r="E290" s="25">
        <f>IF(D290="","",IF(COUNTIF(lst_Jobs,D290&amp;"")&gt;0,"OK","CHECK"))</f>
        <v/>
      </c>
      <c r="F290" s="24" t="n"/>
      <c r="G290" s="24" t="n"/>
      <c r="H290" s="24" t="n"/>
      <c r="I290" s="24" t="n"/>
      <c r="J290" s="26" t="n"/>
      <c r="K290" s="24" t="n"/>
      <c r="L290" s="24" t="n"/>
      <c r="M290" s="24" t="n"/>
      <c r="N290" s="24" t="n"/>
    </row>
    <row r="291" ht="15" customHeight="1">
      <c r="A291" s="65" t="n"/>
      <c r="B291" s="63">
        <f>IF(C291="","",IFERROR(INDEX(tbl_Finance[Date],MATCH(C291&amp;"",tbl_Finance[Xero Invoice No],0)),""))</f>
        <v/>
      </c>
      <c r="C291" s="24" t="n"/>
      <c r="D291" s="24" t="n"/>
      <c r="E291" s="25">
        <f>IF(D291="","",IF(COUNTIF(lst_Jobs,D291&amp;"")&gt;0,"OK","CHECK"))</f>
        <v/>
      </c>
      <c r="F291" s="24" t="n"/>
      <c r="G291" s="24" t="n"/>
      <c r="H291" s="24" t="n"/>
      <c r="I291" s="24" t="n"/>
      <c r="J291" s="26" t="n"/>
      <c r="K291" s="24" t="n"/>
      <c r="L291" s="24" t="n"/>
      <c r="M291" s="24" t="n"/>
      <c r="N291" s="24" t="n"/>
    </row>
    <row r="292" ht="15" customHeight="1">
      <c r="A292" s="65" t="n"/>
      <c r="B292" s="63">
        <f>IF(C292="","",IFERROR(INDEX(tbl_Finance[Date],MATCH(C292&amp;"",tbl_Finance[Xero Invoice No],0)),""))</f>
        <v/>
      </c>
      <c r="C292" s="24" t="n"/>
      <c r="D292" s="24" t="n"/>
      <c r="E292" s="25">
        <f>IF(D292="","",IF(COUNTIF(lst_Jobs,D292&amp;"")&gt;0,"OK","CHECK"))</f>
        <v/>
      </c>
      <c r="F292" s="24" t="n"/>
      <c r="G292" s="24" t="n"/>
      <c r="H292" s="24" t="n"/>
      <c r="I292" s="24" t="n"/>
      <c r="J292" s="26" t="n"/>
      <c r="K292" s="24" t="n"/>
      <c r="L292" s="24" t="n"/>
      <c r="M292" s="24" t="n"/>
      <c r="N292" s="24" t="n"/>
    </row>
    <row r="293" ht="15" customHeight="1">
      <c r="A293" s="65" t="n"/>
      <c r="B293" s="63">
        <f>IF(C293="","",IFERROR(INDEX(tbl_Finance[Date],MATCH(C293&amp;"",tbl_Finance[Xero Invoice No],0)),""))</f>
        <v/>
      </c>
      <c r="C293" s="24" t="n"/>
      <c r="D293" s="24" t="n"/>
      <c r="E293" s="25">
        <f>IF(D293="","",IF(COUNTIF(lst_Jobs,D293&amp;"")&gt;0,"OK","CHECK"))</f>
        <v/>
      </c>
      <c r="F293" s="24" t="n"/>
      <c r="G293" s="24" t="n"/>
      <c r="H293" s="24" t="n"/>
      <c r="I293" s="24" t="n"/>
      <c r="J293" s="26" t="n"/>
      <c r="K293" s="24" t="n"/>
      <c r="L293" s="24" t="n"/>
      <c r="M293" s="24" t="n"/>
      <c r="N293" s="24" t="n"/>
    </row>
    <row r="294" ht="15" customHeight="1">
      <c r="A294" s="65" t="n"/>
      <c r="B294" s="63">
        <f>IF(C294="","",IFERROR(INDEX(tbl_Finance[Date],MATCH(C294&amp;"",tbl_Finance[Xero Invoice No],0)),""))</f>
        <v/>
      </c>
      <c r="C294" s="24" t="n"/>
      <c r="D294" s="24" t="n"/>
      <c r="E294" s="25">
        <f>IF(D294="","",IF(COUNTIF(lst_Jobs,D294&amp;"")&gt;0,"OK","CHECK"))</f>
        <v/>
      </c>
      <c r="F294" s="24" t="n"/>
      <c r="G294" s="24" t="n"/>
      <c r="H294" s="24" t="n"/>
      <c r="I294" s="24" t="n"/>
      <c r="J294" s="26" t="n"/>
      <c r="K294" s="24" t="n"/>
      <c r="L294" s="24" t="n"/>
      <c r="M294" s="24" t="n"/>
      <c r="N294" s="24" t="n"/>
    </row>
    <row r="295" ht="15" customHeight="1">
      <c r="A295" s="65" t="n"/>
      <c r="B295" s="63">
        <f>IF(C295="","",IFERROR(INDEX(tbl_Finance[Date],MATCH(C295&amp;"",tbl_Finance[Xero Invoice No],0)),""))</f>
        <v/>
      </c>
      <c r="C295" s="24" t="n"/>
      <c r="D295" s="24" t="n"/>
      <c r="E295" s="25">
        <f>IF(D295="","",IF(COUNTIF(lst_Jobs,D295&amp;"")&gt;0,"OK","CHECK"))</f>
        <v/>
      </c>
      <c r="F295" s="24" t="n"/>
      <c r="G295" s="24" t="n"/>
      <c r="H295" s="24" t="n"/>
      <c r="I295" s="24" t="n"/>
      <c r="J295" s="26" t="n"/>
      <c r="K295" s="24" t="n"/>
      <c r="L295" s="24" t="n"/>
      <c r="M295" s="24" t="n"/>
      <c r="N295" s="24" t="n"/>
    </row>
    <row r="296" ht="15" customHeight="1">
      <c r="A296" s="65" t="n"/>
      <c r="B296" s="63">
        <f>IF(C296="","",IFERROR(INDEX(tbl_Finance[Date],MATCH(C296&amp;"",tbl_Finance[Xero Invoice No],0)),""))</f>
        <v/>
      </c>
      <c r="C296" s="24" t="n"/>
      <c r="D296" s="24" t="n"/>
      <c r="E296" s="25">
        <f>IF(D296="","",IF(COUNTIF(lst_Jobs,D296&amp;"")&gt;0,"OK","CHECK"))</f>
        <v/>
      </c>
      <c r="F296" s="24" t="n"/>
      <c r="G296" s="24" t="n"/>
      <c r="H296" s="24" t="n"/>
      <c r="I296" s="24" t="n"/>
      <c r="J296" s="26" t="n"/>
      <c r="K296" s="24" t="n"/>
      <c r="L296" s="24" t="n"/>
      <c r="M296" s="24" t="n"/>
      <c r="N296" s="24" t="n"/>
    </row>
    <row r="297" ht="15" customHeight="1">
      <c r="A297" s="65" t="n"/>
      <c r="B297" s="63">
        <f>IF(C297="","",IFERROR(INDEX(tbl_Finance[Date],MATCH(C297&amp;"",tbl_Finance[Xero Invoice No],0)),""))</f>
        <v/>
      </c>
      <c r="C297" s="24" t="n"/>
      <c r="D297" s="24" t="n"/>
      <c r="E297" s="25">
        <f>IF(D297="","",IF(COUNTIF(lst_Jobs,D297&amp;"")&gt;0,"OK","CHECK"))</f>
        <v/>
      </c>
      <c r="F297" s="24" t="n"/>
      <c r="G297" s="24" t="n"/>
      <c r="H297" s="24" t="n"/>
      <c r="I297" s="24" t="n"/>
      <c r="J297" s="26" t="n"/>
      <c r="K297" s="24" t="n"/>
      <c r="L297" s="24" t="n"/>
      <c r="M297" s="24" t="n"/>
      <c r="N297" s="24" t="n"/>
    </row>
    <row r="298" ht="15" customHeight="1">
      <c r="A298" s="65" t="n"/>
      <c r="B298" s="63">
        <f>IF(C298="","",IFERROR(INDEX(tbl_Finance[Date],MATCH(C298&amp;"",tbl_Finance[Xero Invoice No],0)),""))</f>
        <v/>
      </c>
      <c r="C298" s="24" t="n"/>
      <c r="D298" s="24" t="n"/>
      <c r="E298" s="25">
        <f>IF(D298="","",IF(COUNTIF(lst_Jobs,D298&amp;"")&gt;0,"OK","CHECK"))</f>
        <v/>
      </c>
      <c r="F298" s="24" t="n"/>
      <c r="G298" s="24" t="n"/>
      <c r="H298" s="24" t="n"/>
      <c r="I298" s="24" t="n"/>
      <c r="J298" s="26" t="n"/>
      <c r="K298" s="24" t="n"/>
      <c r="L298" s="24" t="n"/>
      <c r="M298" s="24" t="n"/>
      <c r="N298" s="24" t="n"/>
    </row>
    <row r="299" ht="15" customHeight="1">
      <c r="A299" s="65" t="n"/>
      <c r="B299" s="63">
        <f>IF(C299="","",IFERROR(INDEX(tbl_Finance[Date],MATCH(C299&amp;"",tbl_Finance[Xero Invoice No],0)),""))</f>
        <v/>
      </c>
      <c r="C299" s="24" t="n"/>
      <c r="D299" s="24" t="n"/>
      <c r="E299" s="25">
        <f>IF(D299="","",IF(COUNTIF(lst_Jobs,D299&amp;"")&gt;0,"OK","CHECK"))</f>
        <v/>
      </c>
      <c r="F299" s="24" t="n"/>
      <c r="G299" s="24" t="n"/>
      <c r="H299" s="24" t="n"/>
      <c r="I299" s="24" t="n"/>
      <c r="J299" s="26" t="n"/>
      <c r="K299" s="24" t="n"/>
      <c r="L299" s="24" t="n"/>
      <c r="M299" s="24" t="n"/>
      <c r="N299" s="24" t="n"/>
    </row>
    <row r="300" ht="15" customHeight="1">
      <c r="A300" s="65" t="n"/>
      <c r="B300" s="63">
        <f>IF(C300="","",IFERROR(INDEX(tbl_Finance[Date],MATCH(C300&amp;"",tbl_Finance[Xero Invoice No],0)),""))</f>
        <v/>
      </c>
      <c r="C300" s="24" t="n"/>
      <c r="D300" s="24" t="n"/>
      <c r="E300" s="25">
        <f>IF(D300="","",IF(COUNTIF(lst_Jobs,D300&amp;"")&gt;0,"OK","CHECK"))</f>
        <v/>
      </c>
      <c r="F300" s="24" t="n"/>
      <c r="G300" s="24" t="n"/>
      <c r="H300" s="24" t="n"/>
      <c r="I300" s="24" t="n"/>
      <c r="J300" s="26" t="n"/>
      <c r="K300" s="24" t="n"/>
      <c r="L300" s="24" t="n"/>
      <c r="M300" s="24" t="n"/>
      <c r="N300" s="24" t="n"/>
    </row>
    <row r="301" ht="15" customHeight="1">
      <c r="A301" s="65" t="n"/>
      <c r="B301" s="63">
        <f>IF(C301="","",IFERROR(INDEX(tbl_Finance[Date],MATCH(C301&amp;"",tbl_Finance[Xero Invoice No],0)),""))</f>
        <v/>
      </c>
      <c r="C301" s="24" t="n"/>
      <c r="D301" s="24" t="n"/>
      <c r="E301" s="25">
        <f>IF(D301="","",IF(COUNTIF(lst_Jobs,D301&amp;"")&gt;0,"OK","CHECK"))</f>
        <v/>
      </c>
      <c r="F301" s="24" t="n"/>
      <c r="G301" s="24" t="n"/>
      <c r="H301" s="24" t="n"/>
      <c r="I301" s="24" t="n"/>
      <c r="J301" s="26" t="n"/>
      <c r="K301" s="24" t="n"/>
      <c r="L301" s="24" t="n"/>
      <c r="M301" s="24" t="n"/>
      <c r="N301" s="24" t="n"/>
    </row>
    <row r="302" ht="15" customHeight="1">
      <c r="A302" s="65" t="n"/>
      <c r="B302" s="63">
        <f>IF(C302="","",IFERROR(INDEX(tbl_Finance[Date],MATCH(C302&amp;"",tbl_Finance[Xero Invoice No],0)),""))</f>
        <v/>
      </c>
      <c r="C302" s="24" t="n"/>
      <c r="D302" s="24" t="n"/>
      <c r="E302" s="25">
        <f>IF(D302="","",IF(COUNTIF(lst_Jobs,D302&amp;"")&gt;0,"OK","CHECK"))</f>
        <v/>
      </c>
      <c r="F302" s="24" t="n"/>
      <c r="G302" s="24" t="n"/>
      <c r="H302" s="24" t="n"/>
      <c r="I302" s="24" t="n"/>
      <c r="J302" s="26" t="n"/>
      <c r="K302" s="24" t="n"/>
      <c r="L302" s="24" t="n"/>
      <c r="M302" s="24" t="n"/>
      <c r="N302" s="24" t="n"/>
    </row>
    <row r="303" ht="15" customHeight="1">
      <c r="A303" s="65" t="n"/>
      <c r="B303" s="63">
        <f>IF(C303="","",IFERROR(INDEX(tbl_Finance[Date],MATCH(C303&amp;"",tbl_Finance[Xero Invoice No],0)),""))</f>
        <v/>
      </c>
      <c r="C303" s="24" t="n"/>
      <c r="D303" s="24" t="n"/>
      <c r="E303" s="25">
        <f>IF(D303="","",IF(COUNTIF(lst_Jobs,D303&amp;"")&gt;0,"OK","CHECK"))</f>
        <v/>
      </c>
      <c r="F303" s="24" t="n"/>
      <c r="G303" s="24" t="n"/>
      <c r="H303" s="24" t="n"/>
      <c r="I303" s="24" t="n"/>
      <c r="J303" s="26" t="n"/>
      <c r="K303" s="24" t="n"/>
      <c r="L303" s="24" t="n"/>
      <c r="M303" s="24" t="n"/>
      <c r="N303" s="24" t="n"/>
    </row>
    <row r="304" ht="15" customHeight="1">
      <c r="A304" s="65" t="n"/>
      <c r="B304" s="63">
        <f>IF(C304="","",IFERROR(INDEX(tbl_Finance[Date],MATCH(C304&amp;"",tbl_Finance[Xero Invoice No],0)),""))</f>
        <v/>
      </c>
      <c r="C304" s="24" t="n"/>
      <c r="D304" s="24" t="n"/>
      <c r="E304" s="25">
        <f>IF(D304="","",IF(COUNTIF(lst_Jobs,D304&amp;"")&gt;0,"OK","CHECK"))</f>
        <v/>
      </c>
      <c r="F304" s="24" t="n"/>
      <c r="G304" s="24" t="n"/>
      <c r="H304" s="24" t="n"/>
      <c r="I304" s="24" t="n"/>
      <c r="J304" s="26" t="n"/>
      <c r="K304" s="24" t="n"/>
      <c r="L304" s="24" t="n"/>
      <c r="M304" s="24" t="n"/>
      <c r="N304" s="24" t="n"/>
    </row>
    <row r="305" ht="15" customHeight="1">
      <c r="A305" s="65" t="n"/>
      <c r="B305" s="63">
        <f>IF(C305="","",IFERROR(INDEX(tbl_Finance[Date],MATCH(C305&amp;"",tbl_Finance[Xero Invoice No],0)),""))</f>
        <v/>
      </c>
      <c r="C305" s="24" t="n"/>
      <c r="D305" s="24" t="n"/>
      <c r="E305" s="25">
        <f>IF(D305="","",IF(COUNTIF(lst_Jobs,D305&amp;"")&gt;0,"OK","CHECK"))</f>
        <v/>
      </c>
      <c r="F305" s="24" t="n"/>
      <c r="G305" s="24" t="n"/>
      <c r="H305" s="24" t="n"/>
      <c r="I305" s="24" t="n"/>
      <c r="J305" s="26" t="n"/>
      <c r="K305" s="24" t="n"/>
      <c r="L305" s="24" t="n"/>
      <c r="M305" s="24" t="n"/>
      <c r="N305" s="24" t="n"/>
    </row>
    <row r="306" ht="15" customHeight="1">
      <c r="A306" s="65" t="n"/>
      <c r="B306" s="63">
        <f>IF(C306="","",IFERROR(INDEX(tbl_Finance[Date],MATCH(C306&amp;"",tbl_Finance[Xero Invoice No],0)),""))</f>
        <v/>
      </c>
      <c r="C306" s="24" t="n"/>
      <c r="D306" s="24" t="n"/>
      <c r="E306" s="25">
        <f>IF(D306="","",IF(COUNTIF(lst_Jobs,D306&amp;"")&gt;0,"OK","CHECK"))</f>
        <v/>
      </c>
      <c r="F306" s="24" t="n"/>
      <c r="G306" s="24" t="n"/>
      <c r="H306" s="24" t="n"/>
      <c r="I306" s="24" t="n"/>
      <c r="J306" s="26" t="n"/>
      <c r="K306" s="24" t="n"/>
      <c r="L306" s="24" t="n"/>
      <c r="M306" s="24" t="n"/>
      <c r="N306" s="24" t="n"/>
    </row>
    <row r="307" ht="15" customHeight="1">
      <c r="A307" s="65" t="n"/>
      <c r="B307" s="63">
        <f>IF(C307="","",IFERROR(INDEX(tbl_Finance[Date],MATCH(C307&amp;"",tbl_Finance[Xero Invoice No],0)),""))</f>
        <v/>
      </c>
      <c r="C307" s="24" t="n"/>
      <c r="D307" s="24" t="n"/>
      <c r="E307" s="25">
        <f>IF(D307="","",IF(COUNTIF(lst_Jobs,D307&amp;"")&gt;0,"OK","CHECK"))</f>
        <v/>
      </c>
      <c r="F307" s="24" t="n"/>
      <c r="G307" s="24" t="n"/>
      <c r="H307" s="24" t="n"/>
      <c r="I307" s="24" t="n"/>
      <c r="J307" s="26" t="n"/>
      <c r="K307" s="24" t="n"/>
      <c r="L307" s="24" t="n"/>
      <c r="M307" s="24" t="n"/>
      <c r="N307" s="24" t="n"/>
    </row>
    <row r="308" ht="15" customHeight="1">
      <c r="A308" s="65" t="n"/>
      <c r="B308" s="63">
        <f>IF(C308="","",IFERROR(INDEX(tbl_Finance[Date],MATCH(C308&amp;"",tbl_Finance[Xero Invoice No],0)),""))</f>
        <v/>
      </c>
      <c r="C308" s="24" t="n"/>
      <c r="D308" s="24" t="n"/>
      <c r="E308" s="25">
        <f>IF(D308="","",IF(COUNTIF(lst_Jobs,D308&amp;"")&gt;0,"OK","CHECK"))</f>
        <v/>
      </c>
      <c r="F308" s="24" t="n"/>
      <c r="G308" s="24" t="n"/>
      <c r="H308" s="24" t="n"/>
      <c r="I308" s="24" t="n"/>
      <c r="J308" s="26" t="n"/>
      <c r="K308" s="24" t="n"/>
      <c r="L308" s="24" t="n"/>
      <c r="M308" s="24" t="n"/>
      <c r="N308" s="24" t="n"/>
    </row>
    <row r="309" ht="15" customHeight="1">
      <c r="A309" s="65" t="n"/>
      <c r="B309" s="63">
        <f>IF(C309="","",IFERROR(INDEX(tbl_Finance[Date],MATCH(C309&amp;"",tbl_Finance[Xero Invoice No],0)),""))</f>
        <v/>
      </c>
      <c r="C309" s="24" t="n"/>
      <c r="D309" s="24" t="n"/>
      <c r="E309" s="25">
        <f>IF(D309="","",IF(COUNTIF(lst_Jobs,D309&amp;"")&gt;0,"OK","CHECK"))</f>
        <v/>
      </c>
      <c r="F309" s="24" t="n"/>
      <c r="G309" s="24" t="n"/>
      <c r="H309" s="24" t="n"/>
      <c r="I309" s="24" t="n"/>
      <c r="J309" s="26" t="n"/>
      <c r="K309" s="24" t="n"/>
      <c r="L309" s="24" t="n"/>
      <c r="M309" s="24" t="n"/>
      <c r="N309" s="24" t="n"/>
    </row>
    <row r="310" ht="15" customHeight="1">
      <c r="A310" s="65" t="n"/>
      <c r="B310" s="63">
        <f>IF(C310="","",IFERROR(INDEX(tbl_Finance[Date],MATCH(C310&amp;"",tbl_Finance[Xero Invoice No],0)),""))</f>
        <v/>
      </c>
      <c r="C310" s="24" t="n"/>
      <c r="D310" s="24" t="n"/>
      <c r="E310" s="25">
        <f>IF(D310="","",IF(COUNTIF(lst_Jobs,D310&amp;"")&gt;0,"OK","CHECK"))</f>
        <v/>
      </c>
      <c r="F310" s="24" t="n"/>
      <c r="G310" s="24" t="n"/>
      <c r="H310" s="24" t="n"/>
      <c r="I310" s="24" t="n"/>
      <c r="J310" s="26" t="n"/>
      <c r="K310" s="24" t="n"/>
      <c r="L310" s="24" t="n"/>
      <c r="M310" s="24" t="n"/>
      <c r="N310" s="24" t="n"/>
    </row>
    <row r="311" ht="15" customHeight="1">
      <c r="A311" s="65" t="n"/>
      <c r="B311" s="63">
        <f>IF(C311="","",IFERROR(INDEX(tbl_Finance[Date],MATCH(C311&amp;"",tbl_Finance[Xero Invoice No],0)),""))</f>
        <v/>
      </c>
      <c r="C311" s="24" t="n"/>
      <c r="D311" s="24" t="n"/>
      <c r="E311" s="25">
        <f>IF(D311="","",IF(COUNTIF(lst_Jobs,D311&amp;"")&gt;0,"OK","CHECK"))</f>
        <v/>
      </c>
      <c r="F311" s="24" t="n"/>
      <c r="G311" s="24" t="n"/>
      <c r="H311" s="24" t="n"/>
      <c r="I311" s="24" t="n"/>
      <c r="J311" s="26" t="n"/>
      <c r="K311" s="24" t="n"/>
      <c r="L311" s="24" t="n"/>
      <c r="M311" s="24" t="n"/>
      <c r="N311" s="24" t="n"/>
    </row>
    <row r="312" ht="15" customHeight="1">
      <c r="A312" s="65" t="n"/>
      <c r="B312" s="63">
        <f>IF(C312="","",IFERROR(INDEX(tbl_Finance[Date],MATCH(C312&amp;"",tbl_Finance[Xero Invoice No],0)),""))</f>
        <v/>
      </c>
      <c r="C312" s="24" t="n"/>
      <c r="D312" s="24" t="n"/>
      <c r="E312" s="25">
        <f>IF(D312="","",IF(COUNTIF(lst_Jobs,D312&amp;"")&gt;0,"OK","CHECK"))</f>
        <v/>
      </c>
      <c r="F312" s="24" t="n"/>
      <c r="G312" s="24" t="n"/>
      <c r="H312" s="24" t="n"/>
      <c r="I312" s="24" t="n"/>
      <c r="J312" s="26" t="n"/>
      <c r="K312" s="24" t="n"/>
      <c r="L312" s="24" t="n"/>
      <c r="M312" s="24" t="n"/>
      <c r="N312" s="24" t="n"/>
    </row>
    <row r="313" ht="15" customHeight="1">
      <c r="A313" s="65" t="n"/>
      <c r="B313" s="63">
        <f>IF(C313="","",IFERROR(INDEX(tbl_Finance[Date],MATCH(C313&amp;"",tbl_Finance[Xero Invoice No],0)),""))</f>
        <v/>
      </c>
      <c r="C313" s="24" t="n"/>
      <c r="D313" s="24" t="n"/>
      <c r="E313" s="25">
        <f>IF(D313="","",IF(COUNTIF(lst_Jobs,D313&amp;"")&gt;0,"OK","CHECK"))</f>
        <v/>
      </c>
      <c r="F313" s="24" t="n"/>
      <c r="G313" s="24" t="n"/>
      <c r="H313" s="24" t="n"/>
      <c r="I313" s="24" t="n"/>
      <c r="J313" s="26" t="n"/>
      <c r="K313" s="24" t="n"/>
      <c r="L313" s="24" t="n"/>
      <c r="M313" s="24" t="n"/>
      <c r="N313" s="24" t="n"/>
    </row>
    <row r="314" ht="15" customHeight="1">
      <c r="A314" s="65" t="n"/>
      <c r="B314" s="63">
        <f>IF(C314="","",IFERROR(INDEX(tbl_Finance[Date],MATCH(C314&amp;"",tbl_Finance[Xero Invoice No],0)),""))</f>
        <v/>
      </c>
      <c r="C314" s="24" t="n"/>
      <c r="D314" s="24" t="n"/>
      <c r="E314" s="25">
        <f>IF(D314="","",IF(COUNTIF(lst_Jobs,D314&amp;"")&gt;0,"OK","CHECK"))</f>
        <v/>
      </c>
      <c r="F314" s="24" t="n"/>
      <c r="G314" s="24" t="n"/>
      <c r="H314" s="24" t="n"/>
      <c r="I314" s="24" t="n"/>
      <c r="J314" s="26" t="n"/>
      <c r="K314" s="24" t="n"/>
      <c r="L314" s="24" t="n"/>
      <c r="M314" s="24" t="n"/>
      <c r="N314" s="24" t="n"/>
    </row>
    <row r="315" ht="15" customHeight="1">
      <c r="A315" s="65" t="n"/>
      <c r="B315" s="63">
        <f>IF(C315="","",IFERROR(INDEX(tbl_Finance[Date],MATCH(C315&amp;"",tbl_Finance[Xero Invoice No],0)),""))</f>
        <v/>
      </c>
      <c r="C315" s="24" t="n"/>
      <c r="D315" s="24" t="n"/>
      <c r="E315" s="25">
        <f>IF(D315="","",IF(COUNTIF(lst_Jobs,D315&amp;"")&gt;0,"OK","CHECK"))</f>
        <v/>
      </c>
      <c r="F315" s="24" t="n"/>
      <c r="G315" s="24" t="n"/>
      <c r="H315" s="24" t="n"/>
      <c r="I315" s="24" t="n"/>
      <c r="J315" s="26" t="n"/>
      <c r="K315" s="24" t="n"/>
      <c r="L315" s="24" t="n"/>
      <c r="M315" s="24" t="n"/>
      <c r="N315" s="24" t="n"/>
    </row>
    <row r="316" ht="15" customHeight="1">
      <c r="A316" s="65" t="n"/>
      <c r="B316" s="63">
        <f>IF(C316="","",IFERROR(INDEX(tbl_Finance[Date],MATCH(C316&amp;"",tbl_Finance[Xero Invoice No],0)),""))</f>
        <v/>
      </c>
      <c r="C316" s="24" t="n"/>
      <c r="D316" s="24" t="n"/>
      <c r="E316" s="25">
        <f>IF(D316="","",IF(COUNTIF(lst_Jobs,D316&amp;"")&gt;0,"OK","CHECK"))</f>
        <v/>
      </c>
      <c r="F316" s="24" t="n"/>
      <c r="G316" s="24" t="n"/>
      <c r="H316" s="24" t="n"/>
      <c r="I316" s="24" t="n"/>
      <c r="J316" s="26" t="n"/>
      <c r="K316" s="24" t="n"/>
      <c r="L316" s="24" t="n"/>
      <c r="M316" s="24" t="n"/>
      <c r="N316" s="24" t="n"/>
    </row>
    <row r="317" ht="15" customHeight="1">
      <c r="A317" s="65" t="n"/>
      <c r="B317" s="63">
        <f>IF(C317="","",IFERROR(INDEX(tbl_Finance[Date],MATCH(C317&amp;"",tbl_Finance[Xero Invoice No],0)),""))</f>
        <v/>
      </c>
      <c r="C317" s="24" t="n"/>
      <c r="D317" s="24" t="n"/>
      <c r="E317" s="25">
        <f>IF(D317="","",IF(COUNTIF(lst_Jobs,D317&amp;"")&gt;0,"OK","CHECK"))</f>
        <v/>
      </c>
      <c r="F317" s="24" t="n"/>
      <c r="G317" s="24" t="n"/>
      <c r="H317" s="24" t="n"/>
      <c r="I317" s="24" t="n"/>
      <c r="J317" s="26" t="n"/>
      <c r="K317" s="24" t="n"/>
      <c r="L317" s="24" t="n"/>
      <c r="M317" s="24" t="n"/>
      <c r="N317" s="24" t="n"/>
    </row>
    <row r="318" ht="15" customHeight="1">
      <c r="A318" s="65" t="n"/>
      <c r="B318" s="63">
        <f>IF(C318="","",IFERROR(INDEX(tbl_Finance[Date],MATCH(C318&amp;"",tbl_Finance[Xero Invoice No],0)),""))</f>
        <v/>
      </c>
      <c r="C318" s="24" t="n"/>
      <c r="D318" s="24" t="n"/>
      <c r="E318" s="25">
        <f>IF(D318="","",IF(COUNTIF(lst_Jobs,D318&amp;"")&gt;0,"OK","CHECK"))</f>
        <v/>
      </c>
      <c r="F318" s="24" t="n"/>
      <c r="G318" s="24" t="n"/>
      <c r="H318" s="24" t="n"/>
      <c r="I318" s="24" t="n"/>
      <c r="J318" s="26" t="n"/>
      <c r="K318" s="24" t="n"/>
      <c r="L318" s="24" t="n"/>
      <c r="M318" s="24" t="n"/>
      <c r="N318" s="24" t="n"/>
    </row>
    <row r="319" ht="15" customHeight="1">
      <c r="A319" s="65" t="n"/>
      <c r="B319" s="63">
        <f>IF(C319="","",IFERROR(INDEX(tbl_Finance[Date],MATCH(C319&amp;"",tbl_Finance[Xero Invoice No],0)),""))</f>
        <v/>
      </c>
      <c r="C319" s="24" t="n"/>
      <c r="D319" s="24" t="n"/>
      <c r="E319" s="25">
        <f>IF(D319="","",IF(COUNTIF(lst_Jobs,D319&amp;"")&gt;0,"OK","CHECK"))</f>
        <v/>
      </c>
      <c r="F319" s="24" t="n"/>
      <c r="G319" s="24" t="n"/>
      <c r="H319" s="24" t="n"/>
      <c r="I319" s="24" t="n"/>
      <c r="J319" s="26" t="n"/>
      <c r="K319" s="24" t="n"/>
      <c r="L319" s="24" t="n"/>
      <c r="M319" s="24" t="n"/>
      <c r="N319" s="24" t="n"/>
    </row>
    <row r="320" ht="15" customHeight="1">
      <c r="A320" s="65" t="n"/>
      <c r="B320" s="63">
        <f>IF(C320="","",IFERROR(INDEX(tbl_Finance[Date],MATCH(C320&amp;"",tbl_Finance[Xero Invoice No],0)),""))</f>
        <v/>
      </c>
      <c r="C320" s="24" t="n"/>
      <c r="D320" s="24" t="n"/>
      <c r="E320" s="25">
        <f>IF(D320="","",IF(COUNTIF(lst_Jobs,D320&amp;"")&gt;0,"OK","CHECK"))</f>
        <v/>
      </c>
      <c r="F320" s="24" t="n"/>
      <c r="G320" s="24" t="n"/>
      <c r="H320" s="24" t="n"/>
      <c r="I320" s="24" t="n"/>
      <c r="J320" s="26" t="n"/>
      <c r="K320" s="24" t="n"/>
      <c r="L320" s="24" t="n"/>
      <c r="M320" s="24" t="n"/>
      <c r="N320" s="24" t="n"/>
    </row>
    <row r="321" ht="15" customHeight="1">
      <c r="A321" s="65" t="n"/>
      <c r="B321" s="63">
        <f>IF(C321="","",IFERROR(INDEX(tbl_Finance[Date],MATCH(C321&amp;"",tbl_Finance[Xero Invoice No],0)),""))</f>
        <v/>
      </c>
      <c r="C321" s="24" t="n"/>
      <c r="D321" s="24" t="n"/>
      <c r="E321" s="25">
        <f>IF(D321="","",IF(COUNTIF(lst_Jobs,D321&amp;"")&gt;0,"OK","CHECK"))</f>
        <v/>
      </c>
      <c r="F321" s="24" t="n"/>
      <c r="G321" s="24" t="n"/>
      <c r="H321" s="24" t="n"/>
      <c r="I321" s="24" t="n"/>
      <c r="J321" s="26" t="n"/>
      <c r="K321" s="24" t="n"/>
      <c r="L321" s="24" t="n"/>
      <c r="M321" s="24" t="n"/>
      <c r="N321" s="24" t="n"/>
    </row>
    <row r="322" ht="15" customHeight="1">
      <c r="A322" s="65" t="n"/>
      <c r="B322" s="63">
        <f>IF(C322="","",IFERROR(INDEX(tbl_Finance[Date],MATCH(C322&amp;"",tbl_Finance[Xero Invoice No],0)),""))</f>
        <v/>
      </c>
      <c r="C322" s="24" t="n"/>
      <c r="D322" s="24" t="n"/>
      <c r="E322" s="25">
        <f>IF(D322="","",IF(COUNTIF(lst_Jobs,D322&amp;"")&gt;0,"OK","CHECK"))</f>
        <v/>
      </c>
      <c r="F322" s="24" t="n"/>
      <c r="G322" s="24" t="n"/>
      <c r="H322" s="24" t="n"/>
      <c r="I322" s="24" t="n"/>
      <c r="J322" s="26" t="n"/>
      <c r="K322" s="24" t="n"/>
      <c r="L322" s="24" t="n"/>
      <c r="M322" s="24" t="n"/>
      <c r="N322" s="24" t="n"/>
    </row>
    <row r="323" ht="15" customHeight="1">
      <c r="A323" s="65" t="n"/>
      <c r="B323" s="63">
        <f>IF(C323="","",IFERROR(INDEX(tbl_Finance[Date],MATCH(C323&amp;"",tbl_Finance[Xero Invoice No],0)),""))</f>
        <v/>
      </c>
      <c r="C323" s="24" t="n"/>
      <c r="D323" s="24" t="n"/>
      <c r="E323" s="25">
        <f>IF(D323="","",IF(COUNTIF(lst_Jobs,D323&amp;"")&gt;0,"OK","CHECK"))</f>
        <v/>
      </c>
      <c r="F323" s="24" t="n"/>
      <c r="G323" s="24" t="n"/>
      <c r="H323" s="24" t="n"/>
      <c r="I323" s="24" t="n"/>
      <c r="J323" s="26" t="n"/>
      <c r="K323" s="24" t="n"/>
      <c r="L323" s="24" t="n"/>
      <c r="M323" s="24" t="n"/>
      <c r="N323" s="24" t="n"/>
    </row>
    <row r="324" ht="15" customHeight="1">
      <c r="A324" s="65" t="n"/>
      <c r="B324" s="63">
        <f>IF(C324="","",IFERROR(INDEX(tbl_Finance[Date],MATCH(C324&amp;"",tbl_Finance[Xero Invoice No],0)),""))</f>
        <v/>
      </c>
      <c r="C324" s="24" t="n"/>
      <c r="D324" s="24" t="n"/>
      <c r="E324" s="25">
        <f>IF(D324="","",IF(COUNTIF(lst_Jobs,D324&amp;"")&gt;0,"OK","CHECK"))</f>
        <v/>
      </c>
      <c r="F324" s="24" t="n"/>
      <c r="G324" s="24" t="n"/>
      <c r="H324" s="24" t="n"/>
      <c r="I324" s="24" t="n"/>
      <c r="J324" s="26" t="n"/>
      <c r="K324" s="24" t="n"/>
      <c r="L324" s="24" t="n"/>
      <c r="M324" s="24" t="n"/>
      <c r="N324" s="24" t="n"/>
    </row>
    <row r="325" ht="15" customHeight="1">
      <c r="A325" s="65" t="n"/>
      <c r="B325" s="63">
        <f>IF(C325="","",IFERROR(INDEX(tbl_Finance[Date],MATCH(C325&amp;"",tbl_Finance[Xero Invoice No],0)),""))</f>
        <v/>
      </c>
      <c r="C325" s="24" t="n"/>
      <c r="D325" s="24" t="n"/>
      <c r="E325" s="25">
        <f>IF(D325="","",IF(COUNTIF(lst_Jobs,D325&amp;"")&gt;0,"OK","CHECK"))</f>
        <v/>
      </c>
      <c r="F325" s="24" t="n"/>
      <c r="G325" s="24" t="n"/>
      <c r="H325" s="24" t="n"/>
      <c r="I325" s="24" t="n"/>
      <c r="J325" s="26" t="n"/>
      <c r="K325" s="24" t="n"/>
      <c r="L325" s="24" t="n"/>
      <c r="M325" s="24" t="n"/>
      <c r="N325" s="24" t="n"/>
    </row>
    <row r="326" ht="15" customHeight="1">
      <c r="A326" s="65" t="n"/>
      <c r="B326" s="63">
        <f>IF(C326="","",IFERROR(INDEX(tbl_Finance[Date],MATCH(C326&amp;"",tbl_Finance[Xero Invoice No],0)),""))</f>
        <v/>
      </c>
      <c r="C326" s="24" t="n"/>
      <c r="D326" s="24" t="n"/>
      <c r="E326" s="25">
        <f>IF(D326="","",IF(COUNTIF(lst_Jobs,D326&amp;"")&gt;0,"OK","CHECK"))</f>
        <v/>
      </c>
      <c r="F326" s="24" t="n"/>
      <c r="G326" s="24" t="n"/>
      <c r="H326" s="24" t="n"/>
      <c r="I326" s="24" t="n"/>
      <c r="J326" s="26" t="n"/>
      <c r="K326" s="24" t="n"/>
      <c r="L326" s="24" t="n"/>
      <c r="M326" s="24" t="n"/>
      <c r="N326" s="24" t="n"/>
    </row>
    <row r="327" ht="15" customHeight="1">
      <c r="A327" s="65" t="n"/>
      <c r="B327" s="63">
        <f>IF(C327="","",IFERROR(INDEX(tbl_Finance[Date],MATCH(C327&amp;"",tbl_Finance[Xero Invoice No],0)),""))</f>
        <v/>
      </c>
      <c r="C327" s="24" t="n"/>
      <c r="D327" s="24" t="n"/>
      <c r="E327" s="25">
        <f>IF(D327="","",IF(COUNTIF(lst_Jobs,D327&amp;"")&gt;0,"OK","CHECK"))</f>
        <v/>
      </c>
      <c r="F327" s="24" t="n"/>
      <c r="G327" s="24" t="n"/>
      <c r="H327" s="24" t="n"/>
      <c r="I327" s="24" t="n"/>
      <c r="J327" s="26" t="n"/>
      <c r="K327" s="24" t="n"/>
      <c r="L327" s="24" t="n"/>
      <c r="M327" s="24" t="n"/>
      <c r="N327" s="24" t="n"/>
    </row>
    <row r="328" ht="15" customHeight="1">
      <c r="A328" s="65" t="n"/>
      <c r="B328" s="63">
        <f>IF(C328="","",IFERROR(INDEX(tbl_Finance[Date],MATCH(C328&amp;"",tbl_Finance[Xero Invoice No],0)),""))</f>
        <v/>
      </c>
      <c r="C328" s="24" t="n"/>
      <c r="D328" s="24" t="n"/>
      <c r="E328" s="25">
        <f>IF(D328="","",IF(COUNTIF(lst_Jobs,D328&amp;"")&gt;0,"OK","CHECK"))</f>
        <v/>
      </c>
      <c r="F328" s="24" t="n"/>
      <c r="G328" s="24" t="n"/>
      <c r="H328" s="24" t="n"/>
      <c r="I328" s="24" t="n"/>
      <c r="J328" s="26" t="n"/>
      <c r="K328" s="24" t="n"/>
      <c r="L328" s="24" t="n"/>
      <c r="M328" s="24" t="n"/>
      <c r="N328" s="24" t="n"/>
    </row>
    <row r="329" ht="15" customHeight="1">
      <c r="A329" s="65" t="n"/>
      <c r="B329" s="63">
        <f>IF(C329="","",IFERROR(INDEX(tbl_Finance[Date],MATCH(C329&amp;"",tbl_Finance[Xero Invoice No],0)),""))</f>
        <v/>
      </c>
      <c r="C329" s="24" t="n"/>
      <c r="D329" s="24" t="n"/>
      <c r="E329" s="25">
        <f>IF(D329="","",IF(COUNTIF(lst_Jobs,D329&amp;"")&gt;0,"OK","CHECK"))</f>
        <v/>
      </c>
      <c r="F329" s="24" t="n"/>
      <c r="G329" s="24" t="n"/>
      <c r="H329" s="24" t="n"/>
      <c r="I329" s="24" t="n"/>
      <c r="J329" s="26" t="n"/>
      <c r="K329" s="24" t="n"/>
      <c r="L329" s="24" t="n"/>
      <c r="M329" s="24" t="n"/>
      <c r="N329" s="24" t="n"/>
    </row>
    <row r="330" ht="15" customHeight="1">
      <c r="A330" s="65" t="n"/>
      <c r="B330" s="63">
        <f>IF(C330="","",IFERROR(INDEX(tbl_Finance[Date],MATCH(C330&amp;"",tbl_Finance[Xero Invoice No],0)),""))</f>
        <v/>
      </c>
      <c r="C330" s="24" t="n"/>
      <c r="D330" s="24" t="n"/>
      <c r="E330" s="25">
        <f>IF(D330="","",IF(COUNTIF(lst_Jobs,D330&amp;"")&gt;0,"OK","CHECK"))</f>
        <v/>
      </c>
      <c r="F330" s="24" t="n"/>
      <c r="G330" s="24" t="n"/>
      <c r="H330" s="24" t="n"/>
      <c r="I330" s="24" t="n"/>
      <c r="J330" s="26" t="n"/>
      <c r="K330" s="24" t="n"/>
      <c r="L330" s="24" t="n"/>
      <c r="M330" s="24" t="n"/>
      <c r="N330" s="24" t="n"/>
    </row>
  </sheetData>
  <sheetProtection selectLockedCells="0" selectUnlockedCells="0" sheet="1" objects="0" insertRows="0" insertHyperlinks="1" autoFilter="0" scenarios="0" formatColumns="0" deleteColumns="1" insertColumns="1" pivotTables="1" deleteRows="1" formatCells="0" formatRows="0" sort="0"/>
  <mergeCells count="1">
    <mergeCell ref="A3:L3"/>
  </mergeCells>
  <conditionalFormatting sqref="E5:E5000">
    <cfRule type="expression" priority="1" dxfId="0" stopIfTrue="0">
      <formula>E5="CHECK"</formula>
    </cfRule>
  </conditionalFormatting>
  <conditionalFormatting sqref="M5:M5000">
    <cfRule type="expression" priority="2" dxfId="1" stopIfTrue="0">
      <formula>M5="N"</formula>
    </cfRule>
  </conditionalFormatting>
  <dataValidations count="4">
    <dataValidation sqref="G5:G20000" showDropDown="0" showInputMessage="0" showErrorMessage="1" allowBlank="1" errorTitle="Not on the list" error="&quot;Cost Centre&quot; is not on the list in the Lists sheet. Add it there if it is genuinely new." type="list" errorStyle="warning">
      <formula1>lst_CostCentre</formula1>
    </dataValidation>
    <dataValidation sqref="I5:I20000" showDropDown="0" showInputMessage="0" showErrorMessage="1" allowBlank="1" errorTitle="Not on the list" error="&quot;Type&quot; is not on the list in the Lists sheet. Add it there if it is genuinely new." type="list" errorStyle="warning">
      <formula1>lst_WIPType</formula1>
    </dataValidation>
    <dataValidation sqref="K5:K20000" showDropDown="0" showInputMessage="0" showErrorMessage="1" allowBlank="1" errorTitle="Not on the list" error="&quot;GL Code&quot; is not on the list in the Lists sheet. Add it there if it is genuinely new." type="list" errorStyle="warning">
      <formula1>lst_WIPGL</formula1>
    </dataValidation>
    <dataValidation sqref="M5:M20000" showDropDown="0" showInputMessage="0" showErrorMessage="1" allowBlank="1" errorTitle="Not on the list" error="&quot;Posted to Xero&quot; is not on the list in the Lists sheet. Add it there if it is genuinely new." type="list" errorStyle="warning">
      <formula1>lst_YN</formula1>
    </dataValidation>
  </dataValidations>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A6A6A6"/>
    <outlinePr summaryBelow="1" summaryRight="1"/>
    <pageSetUpPr/>
  </sheetPr>
  <dimension ref="A1:U427"/>
  <sheetViews>
    <sheetView showGridLines="0" tabSelected="0" zoomScale="90" workbookViewId="0">
      <pane ySplit="4" topLeftCell="A5" activePane="bottomLeft" state="frozen"/>
      <selection pane="bottomLeft" activeCell="A1" sqref="A1"/>
    </sheetView>
  </sheetViews>
  <sheetFormatPr baseColWidth="8" defaultRowHeight="15"/>
  <cols>
    <col width="15" customWidth="1" min="1" max="1"/>
    <col width="17" customWidth="1" min="2" max="2"/>
    <col width="15" customWidth="1" min="3" max="3"/>
    <col width="20" customWidth="1" min="4" max="4"/>
    <col width="14" customWidth="1" min="5" max="5"/>
    <col width="16" customWidth="1" min="6" max="6"/>
    <col width="33" customWidth="1" min="7" max="7"/>
    <col width="15" customWidth="1" min="8" max="8"/>
    <col width="14" customWidth="1" min="9" max="9"/>
    <col width="13" customWidth="1" min="11" max="11"/>
    <col width="36" customWidth="1" min="12" max="12"/>
    <col width="18" customWidth="1" min="14" max="14"/>
    <col width="16" customWidth="1" min="16" max="16"/>
    <col width="48" customWidth="1" min="17" max="17"/>
    <col width="14" customWidth="1" min="18" max="18"/>
    <col width="26" customWidth="1" min="20" max="20"/>
    <col width="44" customWidth="1" min="21" max="21"/>
  </cols>
  <sheetData>
    <row r="1" ht="24" customHeight="1">
      <c r="A1" s="18" t="inlineStr">
        <is>
          <t>Reference Lists</t>
        </is>
      </c>
    </row>
    <row r="2" ht="16" customHeight="1">
      <c r="A2" s="2" t="inlineStr">
        <is>
          <t>Every dropdown in this workbook reads from here. Add a value to the bottom of a list and it appears in the dropdowns - no macros, nothing to re-run.</t>
        </is>
      </c>
    </row>
    <row r="3" ht="6" customHeight="1"/>
    <row r="4" ht="30" customHeight="1">
      <c r="A4" s="21" t="inlineStr">
        <is>
          <t>Cost Centre</t>
        </is>
      </c>
      <c r="B4" s="21" t="inlineStr">
        <is>
          <t>Invoice Type</t>
        </is>
      </c>
      <c r="C4" s="21" t="inlineStr">
        <is>
          <t>Tax Code</t>
        </is>
      </c>
      <c r="D4" s="21" t="inlineStr">
        <is>
          <t>Status</t>
        </is>
      </c>
      <c r="E4" s="21" t="inlineStr">
        <is>
          <t>Yes / No</t>
        </is>
      </c>
      <c r="F4" s="21" t="inlineStr">
        <is>
          <t>Ariba Status</t>
        </is>
      </c>
      <c r="G4" s="21" t="inlineStr">
        <is>
          <t>WIP Movement Type</t>
        </is>
      </c>
      <c r="H4" s="21" t="inlineStr">
        <is>
          <t>WIP GL Code</t>
        </is>
      </c>
      <c r="I4" s="21" t="inlineStr">
        <is>
          <t>Team</t>
        </is>
      </c>
      <c r="K4" s="21" t="inlineStr">
        <is>
          <t>Revenue GL</t>
        </is>
      </c>
      <c r="L4" s="21" t="inlineStr">
        <is>
          <t>GL Account Name (from Xero)</t>
        </is>
      </c>
      <c r="N4" s="21" t="inlineStr">
        <is>
          <t>Month (period end)</t>
        </is>
      </c>
      <c r="P4" s="21" t="inlineStr">
        <is>
          <t>Job Number</t>
        </is>
      </c>
      <c r="Q4" s="21" t="inlineStr">
        <is>
          <t>Job Name (from Xero)</t>
        </is>
      </c>
      <c r="R4" s="21" t="inlineStr">
        <is>
          <t>CC</t>
        </is>
      </c>
      <c r="T4" s="21" t="inlineStr">
        <is>
          <t>Settings</t>
        </is>
      </c>
    </row>
    <row r="5">
      <c r="A5" s="66" t="inlineStr">
        <is>
          <t>ONSITE</t>
        </is>
      </c>
      <c r="B5" s="66" t="inlineStr">
        <is>
          <t>Contract</t>
        </is>
      </c>
      <c r="C5" s="66" t="inlineStr">
        <is>
          <t>GST 10%</t>
        </is>
      </c>
      <c r="D5" s="66" t="inlineStr">
        <is>
          <t>To Invoice</t>
        </is>
      </c>
      <c r="E5" s="66" t="inlineStr">
        <is>
          <t>Y</t>
        </is>
      </c>
      <c r="F5" s="66" t="inlineStr">
        <is>
          <t>N/A</t>
        </is>
      </c>
      <c r="G5" s="66" t="inlineStr">
        <is>
          <t>Accrual - unbilled work</t>
        </is>
      </c>
      <c r="H5" s="66" t="inlineStr">
        <is>
          <t>11300</t>
        </is>
      </c>
      <c r="I5" s="66" t="inlineStr">
        <is>
          <t>Onsite</t>
        </is>
      </c>
      <c r="K5" s="66" t="inlineStr">
        <is>
          <t>41100</t>
        </is>
      </c>
      <c r="L5" s="66" t="inlineStr">
        <is>
          <t>Contract Support Staff</t>
        </is>
      </c>
      <c r="N5" s="67" t="n">
        <v>45138</v>
      </c>
      <c r="P5" s="66" t="inlineStr">
        <is>
          <t>1144</t>
        </is>
      </c>
      <c r="Q5" s="66" t="inlineStr">
        <is>
          <t>Bankwest PER Half Tech</t>
        </is>
      </c>
      <c r="R5" s="66" t="inlineStr">
        <is>
          <t>ONSITE</t>
        </is>
      </c>
      <c r="T5" s="43" t="inlineStr">
        <is>
          <t>Qwilr base address</t>
        </is>
      </c>
      <c r="U5" s="68" t="inlineStr">
        <is>
          <t>https://cts.qwilr.com/</t>
        </is>
      </c>
    </row>
    <row r="6">
      <c r="A6" s="66" t="inlineStr">
        <is>
          <t>PRODUCTION</t>
        </is>
      </c>
      <c r="B6" s="66" t="inlineStr">
        <is>
          <t>Chargeback</t>
        </is>
      </c>
      <c r="C6" s="66" t="inlineStr">
        <is>
          <t>GST Free</t>
        </is>
      </c>
      <c r="D6" s="66" t="inlineStr">
        <is>
          <t>Draft</t>
        </is>
      </c>
      <c r="E6" s="66" t="inlineStr">
        <is>
          <t>N</t>
        </is>
      </c>
      <c r="F6" s="66" t="inlineStr">
        <is>
          <t>Awaiting PO</t>
        </is>
      </c>
      <c r="G6" s="66" t="inlineStr">
        <is>
          <t>Reversal of prior accrual</t>
        </is>
      </c>
      <c r="H6" s="66" t="inlineStr">
        <is>
          <t>44100</t>
        </is>
      </c>
      <c r="I6" s="66" t="inlineStr">
        <is>
          <t>Production</t>
        </is>
      </c>
      <c r="K6" s="66" t="inlineStr">
        <is>
          <t>41150</t>
        </is>
      </c>
      <c r="L6" s="66" t="inlineStr">
        <is>
          <t>Mobile Phone Plans</t>
        </is>
      </c>
      <c r="N6" s="67" t="n">
        <v>45169</v>
      </c>
      <c r="P6" s="66" t="inlineStr">
        <is>
          <t>1350</t>
        </is>
      </c>
      <c r="Q6" s="66" t="inlineStr">
        <is>
          <t>CBA Brisbane ONS</t>
        </is>
      </c>
      <c r="R6" s="66" t="inlineStr">
        <is>
          <t>ONSITE</t>
        </is>
      </c>
      <c r="T6" s="43" t="inlineStr">
        <is>
          <t>Current RMS base address</t>
        </is>
      </c>
      <c r="U6" s="68" t="inlineStr"/>
    </row>
    <row r="7">
      <c r="A7" s="66" t="inlineStr">
        <is>
          <t>VIDEO</t>
        </is>
      </c>
      <c r="B7" s="66" t="inlineStr">
        <is>
          <t>Ad-hoc</t>
        </is>
      </c>
      <c r="C7" s="66" t="inlineStr">
        <is>
          <t>Export (0%)</t>
        </is>
      </c>
      <c r="D7" s="66" t="inlineStr">
        <is>
          <t>Awaiting Approval</t>
        </is>
      </c>
      <c r="E7" s="66" t="inlineStr">
        <is>
          <t>N/A</t>
        </is>
      </c>
      <c r="F7" s="66" t="inlineStr">
        <is>
          <t>To Upload</t>
        </is>
      </c>
      <c r="G7" s="66" t="inlineStr">
        <is>
          <t>Deferral - invoiced in advance</t>
        </is>
      </c>
      <c r="H7" s="66" t="inlineStr">
        <is>
          <t>44200</t>
        </is>
      </c>
      <c r="I7" s="66" t="inlineStr">
        <is>
          <t>Consulting</t>
        </is>
      </c>
      <c r="K7" s="66" t="inlineStr">
        <is>
          <t>41175</t>
        </is>
      </c>
      <c r="L7" s="66" t="inlineStr">
        <is>
          <t>Subscriptions &amp; Licences - Income</t>
        </is>
      </c>
      <c r="N7" s="67" t="n">
        <v>45199</v>
      </c>
      <c r="P7" s="66" t="inlineStr">
        <is>
          <t>1400</t>
        </is>
      </c>
      <c r="Q7" s="66" t="inlineStr">
        <is>
          <t>DTTL Mel Tech FT 2</t>
        </is>
      </c>
      <c r="R7" s="66" t="inlineStr">
        <is>
          <t>ONSITE</t>
        </is>
      </c>
      <c r="T7" s="32" t="inlineStr">
        <is>
          <t>Optional. Paste the whole Current RMS address straight onto the Production sheet and it links without this. Fill this in only if you would rather type the bare opportunity number - end it with a slash.</t>
        </is>
      </c>
    </row>
    <row r="8">
      <c r="A8" s="66" t="inlineStr">
        <is>
          <t>INTEGRATION</t>
        </is>
      </c>
      <c r="B8" s="66" t="inlineStr">
        <is>
          <t>Project</t>
        </is>
      </c>
      <c r="C8" s="66" t="inlineStr">
        <is>
          <t>BAS Excluded</t>
        </is>
      </c>
      <c r="D8" s="66" t="inlineStr">
        <is>
          <t>Invoiced</t>
        </is>
      </c>
      <c r="F8" s="66" t="inlineStr">
        <is>
          <t>Uploaded</t>
        </is>
      </c>
      <c r="G8" s="66" t="inlineStr">
        <is>
          <t>Release of deferral</t>
        </is>
      </c>
      <c r="I8" s="66" t="inlineStr">
        <is>
          <t>Other</t>
        </is>
      </c>
      <c r="K8" s="66" t="inlineStr">
        <is>
          <t>41200</t>
        </is>
      </c>
      <c r="L8" s="66" t="inlineStr">
        <is>
          <t>Contract Maintenance</t>
        </is>
      </c>
      <c r="N8" s="67" t="n">
        <v>45230</v>
      </c>
      <c r="P8" s="66" t="inlineStr">
        <is>
          <t>1401</t>
        </is>
      </c>
      <c r="Q8" s="66" t="inlineStr">
        <is>
          <t>DTTL SYD FT Tech 2</t>
        </is>
      </c>
      <c r="R8" s="66" t="inlineStr">
        <is>
          <t>ONSITE</t>
        </is>
      </c>
      <c r="T8" s="43" t="inlineStr">
        <is>
          <t>GST rate</t>
        </is>
      </c>
      <c r="U8" s="69" t="n">
        <v>0.1</v>
      </c>
    </row>
    <row r="9">
      <c r="A9" s="66" t="inlineStr">
        <is>
          <t>CONSULTING</t>
        </is>
      </c>
      <c r="B9" s="66" t="inlineStr">
        <is>
          <t>Progress Claim</t>
        </is>
      </c>
      <c r="D9" s="66" t="inlineStr">
        <is>
          <t>Sent</t>
        </is>
      </c>
      <c r="F9" s="66" t="inlineStr">
        <is>
          <t>Approved</t>
        </is>
      </c>
      <c r="G9" s="66" t="inlineStr">
        <is>
          <t>Adjustment / correction</t>
        </is>
      </c>
      <c r="K9" s="66" t="inlineStr">
        <is>
          <t>41500</t>
        </is>
      </c>
      <c r="L9" s="66" t="inlineStr">
        <is>
          <t>Contract Help Desk</t>
        </is>
      </c>
      <c r="N9" s="67" t="n">
        <v>45260</v>
      </c>
      <c r="P9" s="66" t="inlineStr">
        <is>
          <t>1530</t>
        </is>
      </c>
      <c r="Q9" s="66" t="inlineStr">
        <is>
          <t>DTTL BNE Onsite</t>
        </is>
      </c>
      <c r="R9" s="66" t="inlineStr">
        <is>
          <t>ONSITE</t>
        </is>
      </c>
    </row>
    <row r="10">
      <c r="A10" s="66" t="inlineStr">
        <is>
          <t>CTS</t>
        </is>
      </c>
      <c r="B10" s="66" t="inlineStr">
        <is>
          <t>Milestone</t>
        </is>
      </c>
      <c r="D10" s="66" t="inlineStr">
        <is>
          <t>Paid</t>
        </is>
      </c>
      <c r="F10" s="66" t="inlineStr">
        <is>
          <t>Rejected</t>
        </is>
      </c>
      <c r="G10" s="66" t="inlineStr">
        <is>
          <t>Migrated opening balance</t>
        </is>
      </c>
      <c r="K10" s="66" t="inlineStr">
        <is>
          <t>42100</t>
        </is>
      </c>
      <c r="L10" s="66" t="inlineStr">
        <is>
          <t>Production Labour</t>
        </is>
      </c>
      <c r="N10" s="67" t="n">
        <v>45291</v>
      </c>
      <c r="P10" s="66" t="inlineStr">
        <is>
          <t>1668</t>
        </is>
      </c>
      <c r="Q10" s="66" t="inlineStr">
        <is>
          <t>CBA Dedicated Tech</t>
        </is>
      </c>
      <c r="R10" s="66" t="inlineStr">
        <is>
          <t>ONSITE</t>
        </is>
      </c>
    </row>
    <row r="11">
      <c r="B11" s="66" t="inlineStr">
        <is>
          <t>Subscription</t>
        </is>
      </c>
      <c r="D11" s="66" t="inlineStr">
        <is>
          <t>On Hold</t>
        </is>
      </c>
      <c r="K11" s="66" t="inlineStr">
        <is>
          <t>42150</t>
        </is>
      </c>
      <c r="L11" s="66" t="inlineStr">
        <is>
          <t>Video Labour</t>
        </is>
      </c>
      <c r="N11" s="67" t="n">
        <v>45322</v>
      </c>
      <c r="P11" s="66" t="inlineStr">
        <is>
          <t>1750</t>
        </is>
      </c>
      <c r="Q11" s="66" t="inlineStr">
        <is>
          <t>Bankwest Spotify</t>
        </is>
      </c>
      <c r="R11" s="66" t="inlineStr"/>
    </row>
    <row r="12">
      <c r="B12" s="66" t="inlineStr">
        <is>
          <t>Equipment Sale</t>
        </is>
      </c>
      <c r="D12" s="66" t="inlineStr">
        <is>
          <t>Cancelled</t>
        </is>
      </c>
      <c r="K12" s="66" t="inlineStr">
        <is>
          <t>42200</t>
        </is>
      </c>
      <c r="L12" s="66" t="inlineStr">
        <is>
          <t>Ad Hoc Service Labour</t>
        </is>
      </c>
      <c r="N12" s="67" t="n">
        <v>45351</v>
      </c>
      <c r="P12" s="66" t="inlineStr">
        <is>
          <t>1755</t>
        </is>
      </c>
      <c r="Q12" s="66" t="inlineStr">
        <is>
          <t>CBA Spotify</t>
        </is>
      </c>
      <c r="R12" s="66" t="inlineStr">
        <is>
          <t>ONSITE</t>
        </is>
      </c>
    </row>
    <row r="13">
      <c r="B13" s="66" t="inlineStr">
        <is>
          <t>Recharge</t>
        </is>
      </c>
      <c r="D13" s="66" t="inlineStr">
        <is>
          <t>Credited</t>
        </is>
      </c>
      <c r="K13" s="66" t="inlineStr">
        <is>
          <t>42300</t>
        </is>
      </c>
      <c r="L13" s="66" t="inlineStr">
        <is>
          <t>Installation Labour</t>
        </is>
      </c>
      <c r="N13" s="67" t="n">
        <v>45382</v>
      </c>
      <c r="P13" s="66" t="inlineStr">
        <is>
          <t>1771</t>
        </is>
      </c>
      <c r="Q13" s="66" t="inlineStr">
        <is>
          <t>Integration - Training</t>
        </is>
      </c>
      <c r="R13" s="66" t="inlineStr">
        <is>
          <t>INTEGRATION</t>
        </is>
      </c>
    </row>
    <row r="14">
      <c r="B14" s="66" t="inlineStr">
        <is>
          <t>Credit Note</t>
        </is>
      </c>
      <c r="K14" s="66" t="inlineStr">
        <is>
          <t>42500</t>
        </is>
      </c>
      <c r="L14" s="66" t="inlineStr">
        <is>
          <t>Equipment Hires</t>
        </is>
      </c>
      <c r="N14" s="67" t="n">
        <v>45412</v>
      </c>
      <c r="P14" s="66" t="inlineStr">
        <is>
          <t>1862</t>
        </is>
      </c>
      <c r="Q14" s="66" t="inlineStr">
        <is>
          <t>DTTL ADL Onsite</t>
        </is>
      </c>
      <c r="R14" s="66" t="inlineStr">
        <is>
          <t>ONSITE</t>
        </is>
      </c>
    </row>
    <row r="15">
      <c r="K15" s="66" t="inlineStr">
        <is>
          <t>42600</t>
        </is>
      </c>
      <c r="L15" s="66" t="inlineStr">
        <is>
          <t>Equipment Sales</t>
        </is>
      </c>
      <c r="N15" s="67" t="n">
        <v>45443</v>
      </c>
      <c r="P15" s="66" t="inlineStr">
        <is>
          <t>20250731</t>
        </is>
      </c>
      <c r="Q15" s="66" t="inlineStr">
        <is>
          <t>PWC National Pool of Hours</t>
        </is>
      </c>
      <c r="R15" s="66" t="inlineStr">
        <is>
          <t>ONSITE</t>
        </is>
      </c>
    </row>
    <row r="16">
      <c r="K16" s="66" t="inlineStr">
        <is>
          <t>42700</t>
        </is>
      </c>
      <c r="L16" s="66" t="inlineStr">
        <is>
          <t>Conference Call Charge</t>
        </is>
      </c>
      <c r="N16" s="67" t="n">
        <v>45473</v>
      </c>
      <c r="P16" s="66" t="inlineStr">
        <is>
          <t>2026021101</t>
        </is>
      </c>
      <c r="Q16" s="66" t="inlineStr">
        <is>
          <t>AusPayNet Quarterly AV Support &amp; Maintenance 2026</t>
        </is>
      </c>
      <c r="R16" s="66" t="inlineStr">
        <is>
          <t>ONSITE</t>
        </is>
      </c>
    </row>
    <row r="17">
      <c r="K17" s="66" t="inlineStr">
        <is>
          <t>42800</t>
        </is>
      </c>
      <c r="L17" s="66" t="inlineStr">
        <is>
          <t>Tech Consulting/Project Manage</t>
        </is>
      </c>
      <c r="N17" s="67" t="n">
        <v>45504</v>
      </c>
      <c r="P17" s="66" t="inlineStr">
        <is>
          <t>20260801</t>
        </is>
      </c>
      <c r="Q17" s="66" t="inlineStr">
        <is>
          <t>CTS Day 2026</t>
        </is>
      </c>
      <c r="R17" s="66" t="inlineStr">
        <is>
          <t>CTS</t>
        </is>
      </c>
    </row>
    <row r="18">
      <c r="K18" s="66" t="inlineStr">
        <is>
          <t>42900</t>
        </is>
      </c>
      <c r="L18" s="66" t="inlineStr">
        <is>
          <t>Tech Event Management</t>
        </is>
      </c>
      <c r="N18" s="67" t="n">
        <v>45535</v>
      </c>
      <c r="P18" s="66" t="inlineStr">
        <is>
          <t>2192</t>
        </is>
      </c>
      <c r="Q18" s="66" t="inlineStr">
        <is>
          <t>Bankwest Additional Tech</t>
        </is>
      </c>
      <c r="R18" s="66" t="inlineStr">
        <is>
          <t>ONSITE</t>
        </is>
      </c>
    </row>
    <row r="19">
      <c r="K19" s="66" t="inlineStr">
        <is>
          <t>44100</t>
        </is>
      </c>
      <c r="L19" s="66" t="inlineStr">
        <is>
          <t>Opening Work in Progress</t>
        </is>
      </c>
      <c r="N19" s="67" t="n">
        <v>45565</v>
      </c>
      <c r="P19" s="66" t="inlineStr">
        <is>
          <t>2347</t>
        </is>
      </c>
      <c r="Q19" s="66" t="inlineStr">
        <is>
          <t>DTTL Dedicated Tech</t>
        </is>
      </c>
      <c r="R19" s="66" t="inlineStr">
        <is>
          <t>ONSITE</t>
        </is>
      </c>
    </row>
    <row r="20">
      <c r="K20" s="66" t="inlineStr">
        <is>
          <t>44200</t>
        </is>
      </c>
      <c r="L20" s="66" t="inlineStr">
        <is>
          <t>Closing Work in Progress</t>
        </is>
      </c>
      <c r="N20" s="67" t="n">
        <v>45596</v>
      </c>
      <c r="P20" s="66" t="inlineStr">
        <is>
          <t>2392</t>
        </is>
      </c>
      <c r="Q20" s="66" t="inlineStr">
        <is>
          <t>PWC – MEL Technician</t>
        </is>
      </c>
      <c r="R20" s="66" t="inlineStr">
        <is>
          <t>ONSITE</t>
        </is>
      </c>
    </row>
    <row r="21">
      <c r="K21" s="66" t="inlineStr">
        <is>
          <t>45005</t>
        </is>
      </c>
      <c r="L21" s="66" t="inlineStr">
        <is>
          <t>Freight &amp; Travel - ADMIN</t>
        </is>
      </c>
      <c r="N21" s="67" t="n">
        <v>45626</v>
      </c>
      <c r="P21" s="66" t="inlineStr">
        <is>
          <t>2402</t>
        </is>
      </c>
      <c r="Q21" s="66" t="inlineStr">
        <is>
          <t>DTTL SYD FT Tech 1</t>
        </is>
      </c>
      <c r="R21" s="66" t="inlineStr">
        <is>
          <t>ONSITE</t>
        </is>
      </c>
    </row>
    <row r="22">
      <c r="K22" s="66" t="inlineStr">
        <is>
          <t>45010</t>
        </is>
      </c>
      <c r="L22" s="66" t="inlineStr">
        <is>
          <t>Freight &amp; Travel - ONS</t>
        </is>
      </c>
      <c r="N22" s="67" t="n">
        <v>45657</v>
      </c>
      <c r="P22" s="66" t="inlineStr">
        <is>
          <t>2407312</t>
        </is>
      </c>
      <c r="Q22" s="66" t="inlineStr">
        <is>
          <t>Hills Performance Centre</t>
        </is>
      </c>
      <c r="R22" s="66" t="inlineStr">
        <is>
          <t>CONSULTING</t>
        </is>
      </c>
    </row>
    <row r="23">
      <c r="K23" s="66" t="inlineStr">
        <is>
          <t>45015</t>
        </is>
      </c>
      <c r="L23" s="66" t="inlineStr">
        <is>
          <t>Freight &amp; Travel - PRD</t>
        </is>
      </c>
      <c r="N23" s="67" t="n">
        <v>45688</v>
      </c>
      <c r="P23" s="66" t="inlineStr">
        <is>
          <t>24102501</t>
        </is>
      </c>
      <c r="Q23" s="66" t="inlineStr">
        <is>
          <t>PWC - MEL Tech 12Months</t>
        </is>
      </c>
      <c r="R23" s="66" t="inlineStr">
        <is>
          <t>ONSITE</t>
        </is>
      </c>
    </row>
    <row r="24">
      <c r="K24" s="66" t="inlineStr">
        <is>
          <t>45020</t>
        </is>
      </c>
      <c r="L24" s="66" t="inlineStr">
        <is>
          <t>Freight &amp; Travel - VID</t>
        </is>
      </c>
      <c r="N24" s="67" t="n">
        <v>45716</v>
      </c>
      <c r="P24" s="66" t="inlineStr">
        <is>
          <t>24121001</t>
        </is>
      </c>
      <c r="Q24" s="66" t="inlineStr">
        <is>
          <t>BW PER Studio Equipment Supply</t>
        </is>
      </c>
      <c r="R24" s="66" t="inlineStr">
        <is>
          <t>INTEGRATION</t>
        </is>
      </c>
    </row>
    <row r="25">
      <c r="K25" s="66" t="inlineStr">
        <is>
          <t>45025</t>
        </is>
      </c>
      <c r="L25" s="66" t="inlineStr">
        <is>
          <t>Freight &amp; Travel - INTEGRATION</t>
        </is>
      </c>
      <c r="N25" s="67" t="n">
        <v>45747</v>
      </c>
      <c r="P25" s="66" t="inlineStr">
        <is>
          <t>2479</t>
        </is>
      </c>
      <c r="Q25" s="66" t="inlineStr">
        <is>
          <t>CONSULTING - Quotes</t>
        </is>
      </c>
      <c r="R25" s="66" t="inlineStr">
        <is>
          <t>CONSULTING</t>
        </is>
      </c>
    </row>
    <row r="26">
      <c r="K26" s="66" t="inlineStr">
        <is>
          <t>45030</t>
        </is>
      </c>
      <c r="L26" s="66" t="inlineStr">
        <is>
          <t>Freight &amp; Travel - CONS</t>
        </is>
      </c>
      <c r="N26" s="67" t="n">
        <v>45777</v>
      </c>
      <c r="P26" s="66" t="inlineStr">
        <is>
          <t>2480</t>
        </is>
      </c>
      <c r="Q26" s="66" t="inlineStr">
        <is>
          <t>ONSITE - Quotes</t>
        </is>
      </c>
      <c r="R26" s="66" t="inlineStr">
        <is>
          <t>ONSITE</t>
        </is>
      </c>
    </row>
    <row r="27">
      <c r="K27" s="66" t="inlineStr">
        <is>
          <t>46005</t>
        </is>
      </c>
      <c r="L27" s="66" t="inlineStr">
        <is>
          <t>Credit Card Fees - ADMIN</t>
        </is>
      </c>
      <c r="N27" s="67" t="n">
        <v>45808</v>
      </c>
      <c r="P27" s="66" t="inlineStr">
        <is>
          <t>2481</t>
        </is>
      </c>
      <c r="Q27" s="66" t="inlineStr">
        <is>
          <t>Production - Quotes</t>
        </is>
      </c>
      <c r="R27" s="66" t="inlineStr">
        <is>
          <t>PRODUCTION</t>
        </is>
      </c>
    </row>
    <row r="28">
      <c r="K28" s="66" t="inlineStr">
        <is>
          <t>46010</t>
        </is>
      </c>
      <c r="L28" s="66" t="inlineStr">
        <is>
          <t>Credit Card Collected - ONS</t>
        </is>
      </c>
      <c r="N28" s="67" t="n">
        <v>45838</v>
      </c>
      <c r="P28" s="66" t="inlineStr">
        <is>
          <t>2482</t>
        </is>
      </c>
      <c r="Q28" s="66" t="inlineStr">
        <is>
          <t>VIDEO - Quotes</t>
        </is>
      </c>
      <c r="R28" s="66" t="inlineStr">
        <is>
          <t>VIDEO</t>
        </is>
      </c>
    </row>
    <row r="29">
      <c r="K29" s="66" t="inlineStr">
        <is>
          <t>46015</t>
        </is>
      </c>
      <c r="L29" s="66" t="inlineStr">
        <is>
          <t>Credit Card Collected - PRD</t>
        </is>
      </c>
      <c r="N29" s="67" t="n">
        <v>45869</v>
      </c>
      <c r="P29" s="66" t="inlineStr">
        <is>
          <t>2488</t>
        </is>
      </c>
      <c r="Q29" s="66" t="inlineStr">
        <is>
          <t>PWC IT P/T BNE</t>
        </is>
      </c>
      <c r="R29" s="66" t="inlineStr">
        <is>
          <t>ONSITE</t>
        </is>
      </c>
    </row>
    <row r="30">
      <c r="K30" s="66" t="inlineStr">
        <is>
          <t>46020</t>
        </is>
      </c>
      <c r="L30" s="66" t="inlineStr">
        <is>
          <t>Credit Card Collected - VID</t>
        </is>
      </c>
      <c r="N30" s="67" t="n">
        <v>45900</v>
      </c>
      <c r="P30" s="66" t="inlineStr">
        <is>
          <t>25011601</t>
        </is>
      </c>
      <c r="Q30" s="66" t="inlineStr">
        <is>
          <t>DTTL Hobart ITS AV Ref</t>
        </is>
      </c>
      <c r="R30" s="66" t="inlineStr">
        <is>
          <t>INTEGRATION</t>
        </is>
      </c>
    </row>
    <row r="31">
      <c r="K31" s="66" t="inlineStr">
        <is>
          <t>46025</t>
        </is>
      </c>
      <c r="L31" s="66" t="inlineStr">
        <is>
          <t>Credit Card Collected - INTEGRATION</t>
        </is>
      </c>
      <c r="N31" s="67" t="n">
        <v>45930</v>
      </c>
      <c r="P31" s="66" t="inlineStr">
        <is>
          <t>2501738</t>
        </is>
      </c>
      <c r="Q31" s="66" t="inlineStr">
        <is>
          <t>APA HYR25 &amp; FYR25</t>
        </is>
      </c>
      <c r="R31" s="66" t="inlineStr">
        <is>
          <t>PRODUCTION</t>
        </is>
      </c>
    </row>
    <row r="32">
      <c r="K32" s="66" t="inlineStr">
        <is>
          <t>46030</t>
        </is>
      </c>
      <c r="L32" s="66" t="inlineStr">
        <is>
          <t>Credit Card Collected - CONS</t>
        </is>
      </c>
      <c r="N32" s="67" t="n">
        <v>45961</v>
      </c>
      <c r="P32" s="66" t="inlineStr">
        <is>
          <t>2502</t>
        </is>
      </c>
      <c r="Q32" s="66" t="inlineStr">
        <is>
          <t>ONS CBA (non-chargeable)</t>
        </is>
      </c>
      <c r="R32" s="66" t="inlineStr"/>
    </row>
    <row r="33">
      <c r="K33" s="66" t="inlineStr">
        <is>
          <t>47005</t>
        </is>
      </c>
      <c r="L33" s="66" t="inlineStr">
        <is>
          <t>Meal &amp; Travel - ADMIN</t>
        </is>
      </c>
      <c r="N33" s="67" t="n">
        <v>45991</v>
      </c>
      <c r="P33" s="66" t="inlineStr">
        <is>
          <t>25021901</t>
        </is>
      </c>
      <c r="Q33" s="66" t="inlineStr">
        <is>
          <t>DAFF Technology Standard</t>
        </is>
      </c>
      <c r="R33" s="66" t="inlineStr">
        <is>
          <t>CONSULTING</t>
        </is>
      </c>
    </row>
    <row r="34">
      <c r="K34" s="66" t="inlineStr">
        <is>
          <t>47010</t>
        </is>
      </c>
      <c r="L34" s="66" t="inlineStr">
        <is>
          <t>Meal &amp; Travel - ONS</t>
        </is>
      </c>
      <c r="N34" s="67" t="n">
        <v>46022</v>
      </c>
      <c r="P34" s="66" t="inlineStr">
        <is>
          <t>2503</t>
        </is>
      </c>
      <c r="Q34" s="66" t="inlineStr">
        <is>
          <t>ONS DTTL (non-chargeable)</t>
        </is>
      </c>
      <c r="R34" s="66" t="inlineStr"/>
    </row>
    <row r="35">
      <c r="K35" s="66" t="inlineStr">
        <is>
          <t>47015</t>
        </is>
      </c>
      <c r="L35" s="66" t="inlineStr">
        <is>
          <t>Meal &amp; Travel - PRD</t>
        </is>
      </c>
      <c r="N35" s="67" t="n">
        <v>46053</v>
      </c>
      <c r="P35" s="66" t="inlineStr">
        <is>
          <t>25032701</t>
        </is>
      </c>
      <c r="Q35" s="66" t="inlineStr">
        <is>
          <t>St Catherines Chargeable</t>
        </is>
      </c>
      <c r="R35" s="66" t="inlineStr">
        <is>
          <t>ONSITE</t>
        </is>
      </c>
    </row>
    <row r="36">
      <c r="K36" s="66" t="inlineStr">
        <is>
          <t>47020</t>
        </is>
      </c>
      <c r="L36" s="66" t="inlineStr">
        <is>
          <t>Meal &amp; Travel - VID</t>
        </is>
      </c>
      <c r="N36" s="67" t="n">
        <v>46081</v>
      </c>
      <c r="P36" s="66" t="inlineStr">
        <is>
          <t>25032701NC</t>
        </is>
      </c>
      <c r="Q36" s="66" t="inlineStr">
        <is>
          <t>St Catherines Non-Chgble</t>
        </is>
      </c>
      <c r="R36" s="66" t="inlineStr">
        <is>
          <t>ONSITE</t>
        </is>
      </c>
    </row>
    <row r="37">
      <c r="K37" s="66" t="inlineStr">
        <is>
          <t>47025</t>
        </is>
      </c>
      <c r="L37" s="66" t="inlineStr">
        <is>
          <t>Meal &amp; Travel - INTEGRATION</t>
        </is>
      </c>
      <c r="N37" s="67" t="n">
        <v>46112</v>
      </c>
      <c r="P37" s="66" t="inlineStr">
        <is>
          <t>2504</t>
        </is>
      </c>
      <c r="Q37" s="66" t="inlineStr">
        <is>
          <t>ONS WBC (non-chargeable)</t>
        </is>
      </c>
      <c r="R37" s="66" t="inlineStr"/>
    </row>
    <row r="38">
      <c r="K38" s="66" t="inlineStr">
        <is>
          <t>47030</t>
        </is>
      </c>
      <c r="L38" s="66" t="inlineStr">
        <is>
          <t>Meal &amp; Travel - CONS</t>
        </is>
      </c>
      <c r="N38" s="67" t="n">
        <v>46142</v>
      </c>
      <c r="P38" s="66" t="inlineStr">
        <is>
          <t>25041502</t>
        </is>
      </c>
      <c r="Q38" s="66" t="inlineStr">
        <is>
          <t>PDNSW DB License Ext</t>
        </is>
      </c>
      <c r="R38" s="66" t="inlineStr">
        <is>
          <t>INTEGRATION</t>
        </is>
      </c>
    </row>
    <row r="39">
      <c r="K39" s="66" t="inlineStr">
        <is>
          <t>48000</t>
        </is>
      </c>
      <c r="L39" s="66" t="inlineStr">
        <is>
          <t>Miscellaneous Income</t>
        </is>
      </c>
      <c r="N39" s="67" t="n">
        <v>46173</v>
      </c>
      <c r="P39" s="66" t="inlineStr">
        <is>
          <t>2505</t>
        </is>
      </c>
      <c r="Q39" s="66" t="inlineStr">
        <is>
          <t>ONS PWC (non-chargeable)</t>
        </is>
      </c>
      <c r="R39" s="66" t="inlineStr"/>
    </row>
    <row r="40">
      <c r="N40" s="67" t="n">
        <v>46203</v>
      </c>
      <c r="P40" s="66" t="inlineStr">
        <is>
          <t>25051302</t>
        </is>
      </c>
      <c r="Q40" s="66" t="inlineStr">
        <is>
          <t>NSW Prop Bradfield Desk Booking + Penrith Additional</t>
        </is>
      </c>
      <c r="R40" s="66" t="inlineStr">
        <is>
          <t>INTEGRATION</t>
        </is>
      </c>
    </row>
    <row r="41">
      <c r="N41" s="67" t="n">
        <v>46234</v>
      </c>
      <c r="P41" s="66" t="inlineStr">
        <is>
          <t>25051403</t>
        </is>
      </c>
      <c r="Q41" s="66" t="inlineStr">
        <is>
          <t>DTTL SYD Tech Supp TMT AP</t>
        </is>
      </c>
      <c r="R41" s="66" t="inlineStr">
        <is>
          <t>ONSITE</t>
        </is>
      </c>
    </row>
    <row r="42">
      <c r="N42" s="67" t="n">
        <v>46265</v>
      </c>
      <c r="P42" s="66" t="inlineStr">
        <is>
          <t>25052802</t>
        </is>
      </c>
      <c r="Q42" s="66" t="inlineStr">
        <is>
          <t>Aus Retirement Trust Members Meeting 2025</t>
        </is>
      </c>
      <c r="R42" s="66" t="inlineStr">
        <is>
          <t>PRODUCTION</t>
        </is>
      </c>
    </row>
    <row r="43">
      <c r="N43" s="67" t="n">
        <v>46295</v>
      </c>
      <c r="P43" s="66" t="inlineStr">
        <is>
          <t>2505901</t>
        </is>
      </c>
      <c r="Q43" s="66" t="inlineStr">
        <is>
          <t>COS Projector Lens Supply</t>
        </is>
      </c>
      <c r="R43" s="66" t="inlineStr">
        <is>
          <t>INTEGRATION</t>
        </is>
      </c>
    </row>
    <row r="44">
      <c r="N44" s="67" t="n">
        <v>46326</v>
      </c>
      <c r="P44" s="66" t="inlineStr">
        <is>
          <t>2506</t>
        </is>
      </c>
      <c r="Q44" s="66" t="inlineStr">
        <is>
          <t>ONS BWEST (non-chargeable)</t>
        </is>
      </c>
      <c r="R44" s="66" t="inlineStr"/>
    </row>
    <row r="45">
      <c r="N45" s="67" t="n">
        <v>46356</v>
      </c>
      <c r="P45" s="66" t="inlineStr">
        <is>
          <t>25060301</t>
        </is>
      </c>
      <c r="Q45" s="66" t="inlineStr">
        <is>
          <t>6PSQ L12 Desk Booking</t>
        </is>
      </c>
      <c r="R45" s="66" t="inlineStr">
        <is>
          <t>INTEGRATION</t>
        </is>
      </c>
    </row>
    <row r="46">
      <c r="N46" s="67" t="n">
        <v>46387</v>
      </c>
      <c r="P46" s="66" t="inlineStr">
        <is>
          <t>25060307</t>
        </is>
      </c>
      <c r="Q46" s="66" t="inlineStr">
        <is>
          <t>DPIE Molesworth St D/B</t>
        </is>
      </c>
      <c r="R46" s="66" t="inlineStr">
        <is>
          <t>INTEGRATION</t>
        </is>
      </c>
    </row>
    <row r="47">
      <c r="N47" s="67" t="n">
        <v>46418</v>
      </c>
      <c r="P47" s="66" t="inlineStr">
        <is>
          <t>2506208</t>
        </is>
      </c>
      <c r="Q47" s="66" t="inlineStr">
        <is>
          <t>CBA AGM 2026</t>
        </is>
      </c>
      <c r="R47" s="66" t="inlineStr">
        <is>
          <t>PRODUCTION</t>
        </is>
      </c>
    </row>
    <row r="48">
      <c r="N48" s="67" t="n">
        <v>46446</v>
      </c>
      <c r="P48" s="66" t="inlineStr">
        <is>
          <t>2506208V</t>
        </is>
      </c>
      <c r="Q48" s="66" t="inlineStr">
        <is>
          <t>CBA AGM 2026</t>
        </is>
      </c>
      <c r="R48" s="66" t="inlineStr">
        <is>
          <t>VIDEO</t>
        </is>
      </c>
    </row>
    <row r="49">
      <c r="N49" s="67" t="n">
        <v>46477</v>
      </c>
      <c r="P49" s="66" t="inlineStr">
        <is>
          <t>25063001V</t>
        </is>
      </c>
      <c r="Q49" s="66" t="inlineStr">
        <is>
          <t>APA All Hands Staff</t>
        </is>
      </c>
      <c r="R49" s="66" t="inlineStr">
        <is>
          <t>VIDEO</t>
        </is>
      </c>
    </row>
    <row r="50">
      <c r="N50" s="67" t="n">
        <v>46507</v>
      </c>
      <c r="P50" s="66" t="inlineStr">
        <is>
          <t>25070702</t>
        </is>
      </c>
      <c r="Q50" s="66" t="inlineStr">
        <is>
          <t>APA VMS Brisbane &amp; Darwin</t>
        </is>
      </c>
      <c r="R50" s="66" t="inlineStr">
        <is>
          <t>INTEGRATION</t>
        </is>
      </c>
    </row>
    <row r="51">
      <c r="N51" s="67" t="n">
        <v>46538</v>
      </c>
      <c r="P51" s="66" t="inlineStr">
        <is>
          <t>2507203</t>
        </is>
      </c>
      <c r="Q51" s="66" t="inlineStr">
        <is>
          <t>Hills Grammar Airmedia Supply</t>
        </is>
      </c>
      <c r="R51" s="66" t="inlineStr">
        <is>
          <t>INTEGRATION</t>
        </is>
      </c>
    </row>
    <row r="52">
      <c r="N52" s="67" t="n">
        <v>46568</v>
      </c>
      <c r="P52" s="66" t="inlineStr">
        <is>
          <t>25081402</t>
        </is>
      </c>
      <c r="Q52" s="66" t="inlineStr">
        <is>
          <t>Hills Grammar Loan Airmedia Purchase</t>
        </is>
      </c>
      <c r="R52" s="66" t="inlineStr">
        <is>
          <t>INTEGRATION</t>
        </is>
      </c>
    </row>
    <row r="53">
      <c r="N53" s="67" t="n">
        <v>46599</v>
      </c>
      <c r="P53" s="66" t="inlineStr">
        <is>
          <t>25082501</t>
        </is>
      </c>
      <c r="Q53" s="66" t="inlineStr">
        <is>
          <t>APA Sydney Tablet Brackets</t>
        </is>
      </c>
      <c r="R53" s="66" t="inlineStr">
        <is>
          <t>INTEGRATION</t>
        </is>
      </c>
    </row>
    <row r="54">
      <c r="N54" s="67" t="n">
        <v>46630</v>
      </c>
      <c r="P54" s="66" t="inlineStr">
        <is>
          <t>25091703</t>
        </is>
      </c>
      <c r="Q54" s="66" t="inlineStr">
        <is>
          <t>Scentre Group Marion Superscreen (D10396) Test and Cert</t>
        </is>
      </c>
      <c r="R54" s="66" t="inlineStr">
        <is>
          <t>CONSULTING</t>
        </is>
      </c>
    </row>
    <row r="55">
      <c r="N55" s="67" t="n">
        <v>46660</v>
      </c>
      <c r="P55" s="66" t="inlineStr">
        <is>
          <t>25101301</t>
        </is>
      </c>
      <c r="Q55" s="66" t="inlineStr">
        <is>
          <t>PWC IT Support – Melbourne</t>
        </is>
      </c>
      <c r="R55" s="66" t="inlineStr">
        <is>
          <t>ONSITE</t>
        </is>
      </c>
    </row>
    <row r="56">
      <c r="N56" s="67" t="n">
        <v>46691</v>
      </c>
      <c r="P56" s="66" t="inlineStr">
        <is>
          <t>25101301B</t>
        </is>
      </c>
      <c r="Q56" s="66" t="inlineStr">
        <is>
          <t>PWC IT Support – Sydney</t>
        </is>
      </c>
      <c r="R56" s="66" t="inlineStr">
        <is>
          <t>ONSITE</t>
        </is>
      </c>
    </row>
    <row r="57">
      <c r="N57" s="67" t="n">
        <v>46721</v>
      </c>
      <c r="P57" s="66" t="inlineStr">
        <is>
          <t>2510202</t>
        </is>
      </c>
      <c r="Q57" s="66" t="inlineStr">
        <is>
          <t>HP Poly Room Assessment</t>
        </is>
      </c>
      <c r="R57" s="66" t="inlineStr">
        <is>
          <t>CONSULTING</t>
        </is>
      </c>
    </row>
    <row r="58">
      <c r="N58" s="67" t="n">
        <v>46752</v>
      </c>
      <c r="P58" s="66" t="inlineStr">
        <is>
          <t>2510205</t>
        </is>
      </c>
      <c r="Q58" s="66" t="inlineStr">
        <is>
          <t>NSW Property RGB Desk Booking</t>
        </is>
      </c>
      <c r="R58" s="66" t="inlineStr">
        <is>
          <t>INTEGRATION</t>
        </is>
      </c>
    </row>
    <row r="59">
      <c r="N59" s="67" t="n">
        <v>46783</v>
      </c>
      <c r="P59" s="66" t="inlineStr">
        <is>
          <t>2510210</t>
        </is>
      </c>
      <c r="Q59" s="66" t="inlineStr">
        <is>
          <t>Scentre Group Westfield Bondi Screen Tests</t>
        </is>
      </c>
      <c r="R59" s="66" t="inlineStr">
        <is>
          <t>CONSULTING</t>
        </is>
      </c>
    </row>
    <row r="60">
      <c r="N60" s="67" t="n">
        <v>46812</v>
      </c>
      <c r="P60" s="66" t="inlineStr">
        <is>
          <t>25102701</t>
        </is>
      </c>
      <c r="Q60" s="66" t="inlineStr">
        <is>
          <t>DEWR - Studio Upgrade - Consulting, Design</t>
        </is>
      </c>
      <c r="R60" s="66" t="inlineStr">
        <is>
          <t>CONSULTING</t>
        </is>
      </c>
    </row>
    <row r="61">
      <c r="N61" s="67" t="n">
        <v>46843</v>
      </c>
      <c r="P61" s="66" t="inlineStr">
        <is>
          <t>25102801</t>
        </is>
      </c>
      <c r="Q61" s="66" t="inlineStr">
        <is>
          <t>DTTL SYD QQT Additional Mics Install in L45 Seminar Space</t>
        </is>
      </c>
      <c r="R61" s="66" t="inlineStr">
        <is>
          <t>INTEGRATION</t>
        </is>
      </c>
    </row>
    <row r="62">
      <c r="N62" s="67" t="n">
        <v>46873</v>
      </c>
      <c r="P62" s="66" t="inlineStr">
        <is>
          <t>25102802</t>
        </is>
      </c>
      <c r="Q62" s="66" t="inlineStr">
        <is>
          <t>Novigi Meeting Space Inspection</t>
        </is>
      </c>
      <c r="R62" s="66" t="inlineStr">
        <is>
          <t>CONSULTING</t>
        </is>
      </c>
    </row>
    <row r="63">
      <c r="N63" s="67" t="n">
        <v>46904</v>
      </c>
      <c r="P63" s="66" t="inlineStr">
        <is>
          <t>2510804</t>
        </is>
      </c>
      <c r="Q63" s="66" t="inlineStr">
        <is>
          <t>CommSecurity Presynct QLD Desk Booking</t>
        </is>
      </c>
      <c r="R63" s="66" t="inlineStr">
        <is>
          <t>INTEGRATION</t>
        </is>
      </c>
    </row>
    <row r="64">
      <c r="N64" s="67" t="n">
        <v>46934</v>
      </c>
      <c r="P64" s="66" t="inlineStr">
        <is>
          <t>2510805</t>
        </is>
      </c>
      <c r="Q64" s="66" t="inlineStr">
        <is>
          <t>PNSW Reconstruction Authority Newcastle</t>
        </is>
      </c>
      <c r="R64" s="66" t="inlineStr">
        <is>
          <t>INTEGRATION</t>
        </is>
      </c>
    </row>
    <row r="65">
      <c r="N65" s="67" t="n">
        <v>46965</v>
      </c>
      <c r="P65" s="66" t="inlineStr">
        <is>
          <t>25111203</t>
        </is>
      </c>
      <c r="Q65" s="66" t="inlineStr">
        <is>
          <t>CoS | Barco E3 Sale</t>
        </is>
      </c>
      <c r="R65" s="66" t="inlineStr">
        <is>
          <t>INTEGRATION</t>
        </is>
      </c>
    </row>
    <row r="66">
      <c r="N66" s="67" t="n">
        <v>46996</v>
      </c>
      <c r="P66" s="66" t="inlineStr">
        <is>
          <t>25112801</t>
        </is>
      </c>
      <c r="Q66" s="66" t="inlineStr">
        <is>
          <t>APA MEL - iPad &amp; Bouncepad Sale</t>
        </is>
      </c>
      <c r="R66" s="66" t="inlineStr">
        <is>
          <t>INTEGRATION</t>
        </is>
      </c>
    </row>
    <row r="67">
      <c r="N67" s="67" t="n">
        <v>47026</v>
      </c>
      <c r="P67" s="66" t="inlineStr">
        <is>
          <t>25121001</t>
        </is>
      </c>
      <c r="Q67" s="66" t="inlineStr">
        <is>
          <t>HP Poly Mic System Sale and Install at Mission Australia</t>
        </is>
      </c>
      <c r="R67" s="66" t="inlineStr">
        <is>
          <t>INTEGRATION</t>
        </is>
      </c>
    </row>
    <row r="68">
      <c r="N68" s="67" t="n">
        <v>47057</v>
      </c>
      <c r="P68" s="66" t="inlineStr">
        <is>
          <t>25121007</t>
        </is>
      </c>
      <c r="Q68" s="66" t="inlineStr">
        <is>
          <t>Novigi SYD/MEL boardroom Mic upgrade + Cable Tidy</t>
        </is>
      </c>
      <c r="R68" s="66" t="inlineStr">
        <is>
          <t>INTEGRATION</t>
        </is>
      </c>
    </row>
    <row r="69">
      <c r="N69" s="67" t="n">
        <v>47087</v>
      </c>
      <c r="P69" s="66" t="inlineStr">
        <is>
          <t>25121208</t>
        </is>
      </c>
      <c r="Q69" s="66" t="inlineStr">
        <is>
          <t>APA HYR &amp; FYR Package 2026</t>
        </is>
      </c>
      <c r="R69" s="66" t="inlineStr">
        <is>
          <t>PRODUCTION</t>
        </is>
      </c>
    </row>
    <row r="70">
      <c r="N70" s="67" t="n">
        <v>47118</v>
      </c>
      <c r="P70" s="66" t="inlineStr">
        <is>
          <t>2512503</t>
        </is>
      </c>
      <c r="Q70" s="66" t="inlineStr">
        <is>
          <t>Ventia EOY Town Hall 10.12.2025</t>
        </is>
      </c>
      <c r="R70" s="66" t="inlineStr">
        <is>
          <t>PRODUCTION</t>
        </is>
      </c>
    </row>
    <row r="71">
      <c r="N71" s="67" t="n">
        <v>47149</v>
      </c>
      <c r="P71" s="66" t="inlineStr">
        <is>
          <t>2512503V</t>
        </is>
      </c>
      <c r="Q71" s="66" t="inlineStr">
        <is>
          <t>Ventia EOY Town Hall 10.12.2025</t>
        </is>
      </c>
      <c r="R71" s="66" t="inlineStr">
        <is>
          <t>VIDEO</t>
        </is>
      </c>
    </row>
    <row r="72">
      <c r="N72" s="67" t="n">
        <v>47177</v>
      </c>
      <c r="P72" s="66" t="inlineStr">
        <is>
          <t>2512804</t>
        </is>
      </c>
      <c r="Q72" s="66" t="inlineStr">
        <is>
          <t>RSNSW Ordinary General Meeting 5.8.26</t>
        </is>
      </c>
      <c r="R72" s="66" t="inlineStr">
        <is>
          <t>PRODUCTION</t>
        </is>
      </c>
    </row>
    <row r="73">
      <c r="N73" s="67" t="n">
        <v>47208</v>
      </c>
      <c r="P73" s="66" t="inlineStr">
        <is>
          <t>2512804V</t>
        </is>
      </c>
      <c r="Q73" s="66" t="inlineStr">
        <is>
          <t>RSNSW Ordinary General Meeting 5.8.26</t>
        </is>
      </c>
      <c r="R73" s="66" t="inlineStr">
        <is>
          <t>VIDEO</t>
        </is>
      </c>
    </row>
    <row r="74">
      <c r="N74" s="67" t="n">
        <v>47238</v>
      </c>
      <c r="P74" s="66" t="inlineStr">
        <is>
          <t>2512805</t>
        </is>
      </c>
      <c r="Q74" s="66" t="inlineStr">
        <is>
          <t>RSNSW Ordinary General Meeting 7.10.2026</t>
        </is>
      </c>
      <c r="R74" s="66" t="inlineStr">
        <is>
          <t>PRODUCTION</t>
        </is>
      </c>
    </row>
    <row r="75">
      <c r="N75" s="67" t="n">
        <v>47269</v>
      </c>
      <c r="P75" s="66" t="inlineStr">
        <is>
          <t>2512805V</t>
        </is>
      </c>
      <c r="Q75" s="66" t="inlineStr">
        <is>
          <t>RSNSW Ordinary General Meeting 7.10.2026</t>
        </is>
      </c>
      <c r="R75" s="66" t="inlineStr">
        <is>
          <t>VIDEO</t>
        </is>
      </c>
    </row>
    <row r="76">
      <c r="N76" s="67" t="n">
        <v>47299</v>
      </c>
      <c r="P76" s="66" t="inlineStr">
        <is>
          <t>2512806</t>
        </is>
      </c>
      <c r="Q76" s="66" t="inlineStr">
        <is>
          <t>RSNSW Ordinary General Meeting 2.12.26</t>
        </is>
      </c>
      <c r="R76" s="66" t="inlineStr">
        <is>
          <t>PRODUCTION</t>
        </is>
      </c>
    </row>
    <row r="77">
      <c r="N77" s="67" t="n">
        <v>47330</v>
      </c>
      <c r="P77" s="66" t="inlineStr">
        <is>
          <t>2512806V</t>
        </is>
      </c>
      <c r="Q77" s="66" t="inlineStr">
        <is>
          <t>RSNSW Ordinary General Meeting 2.12.26</t>
        </is>
      </c>
      <c r="R77" s="66" t="inlineStr">
        <is>
          <t>VIDEO</t>
        </is>
      </c>
    </row>
    <row r="78">
      <c r="N78" s="67" t="n">
        <v>47361</v>
      </c>
      <c r="P78" s="66" t="inlineStr">
        <is>
          <t>2519</t>
        </is>
      </c>
      <c r="Q78" s="66" t="inlineStr">
        <is>
          <t>NSW Prop-6PSQ Visitor MG</t>
        </is>
      </c>
      <c r="R78" s="66" t="inlineStr">
        <is>
          <t>INTEGRATION</t>
        </is>
      </c>
    </row>
    <row r="79">
      <c r="N79" s="67" t="n">
        <v>47391</v>
      </c>
      <c r="P79" s="66" t="inlineStr">
        <is>
          <t>2521</t>
        </is>
      </c>
      <c r="Q79" s="66" t="inlineStr">
        <is>
          <t>PWC - PER Tech</t>
        </is>
      </c>
      <c r="R79" s="66" t="inlineStr">
        <is>
          <t>ONSITE</t>
        </is>
      </c>
    </row>
    <row r="80">
      <c r="N80" s="67" t="n">
        <v>47422</v>
      </c>
      <c r="P80" s="66" t="inlineStr">
        <is>
          <t>2540</t>
        </is>
      </c>
      <c r="Q80" s="66" t="inlineStr">
        <is>
          <t>PWC - SYD Tech</t>
        </is>
      </c>
      <c r="R80" s="66" t="inlineStr">
        <is>
          <t>ONSITE</t>
        </is>
      </c>
    </row>
    <row r="81">
      <c r="N81" s="67" t="n">
        <v>47452</v>
      </c>
      <c r="P81" s="66" t="inlineStr">
        <is>
          <t>2543</t>
        </is>
      </c>
      <c r="Q81" s="66" t="inlineStr">
        <is>
          <t>DTTL MEL Tech (PT)</t>
        </is>
      </c>
      <c r="R81" s="66" t="inlineStr">
        <is>
          <t>ONSITE</t>
        </is>
      </c>
    </row>
    <row r="82">
      <c r="N82" s="67" t="n">
        <v>47483</v>
      </c>
      <c r="P82" s="66" t="inlineStr">
        <is>
          <t>2591012</t>
        </is>
      </c>
      <c r="Q82" s="66" t="inlineStr">
        <is>
          <t>St. Luke's Non-chargeable</t>
        </is>
      </c>
      <c r="R82" s="66" t="inlineStr">
        <is>
          <t>PRODUCTION</t>
        </is>
      </c>
    </row>
    <row r="83">
      <c r="N83" s="67" t="n">
        <v>47514</v>
      </c>
      <c r="P83" s="66" t="inlineStr">
        <is>
          <t>2591012C</t>
        </is>
      </c>
      <c r="Q83" s="66" t="inlineStr">
        <is>
          <t>St. Luke's Church</t>
        </is>
      </c>
      <c r="R83" s="66" t="inlineStr">
        <is>
          <t>PRODUCTION</t>
        </is>
      </c>
    </row>
    <row r="84">
      <c r="N84" s="67" t="n">
        <v>47542</v>
      </c>
      <c r="P84" s="66" t="inlineStr">
        <is>
          <t>2593</t>
        </is>
      </c>
      <c r="Q84" s="66" t="inlineStr">
        <is>
          <t>PWC CBR Technician</t>
        </is>
      </c>
      <c r="R84" s="66" t="inlineStr">
        <is>
          <t>ONSITE</t>
        </is>
      </c>
    </row>
    <row r="85">
      <c r="N85" s="67" t="n">
        <v>47573</v>
      </c>
      <c r="P85" s="66" t="inlineStr">
        <is>
          <t>2598</t>
        </is>
      </c>
      <c r="Q85" s="66" t="inlineStr">
        <is>
          <t>DTTL WA Tech</t>
        </is>
      </c>
      <c r="R85" s="66" t="inlineStr">
        <is>
          <t>ONSITE</t>
        </is>
      </c>
    </row>
    <row r="86">
      <c r="N86" s="67" t="n">
        <v>47603</v>
      </c>
      <c r="P86" s="66" t="inlineStr">
        <is>
          <t>26011404</t>
        </is>
      </c>
      <c r="Q86" s="66" t="inlineStr">
        <is>
          <t>ASX CEO Connect (Extended Results) 1.9.26</t>
        </is>
      </c>
      <c r="R86" s="66" t="inlineStr">
        <is>
          <t>PRODUCTION</t>
        </is>
      </c>
    </row>
    <row r="87">
      <c r="N87" s="67" t="n">
        <v>47634</v>
      </c>
      <c r="P87" s="66" t="inlineStr">
        <is>
          <t>26011404V</t>
        </is>
      </c>
      <c r="Q87" s="66" t="inlineStr">
        <is>
          <t>ASX CEO Connect (Extended Results) 1.9.26</t>
        </is>
      </c>
      <c r="R87" s="66" t="inlineStr">
        <is>
          <t>VIDEO</t>
        </is>
      </c>
    </row>
    <row r="88">
      <c r="N88" s="67" t="n">
        <v>47664</v>
      </c>
      <c r="P88" s="66" t="inlineStr">
        <is>
          <t>26011407</t>
        </is>
      </c>
      <c r="Q88" s="66" t="inlineStr">
        <is>
          <t>ASX CEO Connect 27.10.26</t>
        </is>
      </c>
      <c r="R88" s="66" t="inlineStr">
        <is>
          <t>PRODUCTION</t>
        </is>
      </c>
    </row>
    <row r="89">
      <c r="N89" s="67" t="n">
        <v>47695</v>
      </c>
      <c r="P89" s="66" t="inlineStr">
        <is>
          <t>26011407V</t>
        </is>
      </c>
      <c r="Q89" s="66" t="inlineStr">
        <is>
          <t>ASX CEO Connect 27.10.26</t>
        </is>
      </c>
      <c r="R89" s="66" t="inlineStr">
        <is>
          <t>VIDEO</t>
        </is>
      </c>
    </row>
    <row r="90">
      <c r="N90" s="67" t="n">
        <v>47726</v>
      </c>
      <c r="P90" s="66" t="inlineStr">
        <is>
          <t>26011408</t>
        </is>
      </c>
      <c r="Q90" s="66" t="inlineStr">
        <is>
          <t>ASX CEO Connect 1.12.26</t>
        </is>
      </c>
      <c r="R90" s="66" t="inlineStr">
        <is>
          <t>PRODUCTION</t>
        </is>
      </c>
    </row>
    <row r="91">
      <c r="N91" s="67" t="n">
        <v>47756</v>
      </c>
      <c r="P91" s="66" t="inlineStr">
        <is>
          <t>26011408V</t>
        </is>
      </c>
      <c r="Q91" s="66" t="inlineStr">
        <is>
          <t>ASX CEO Connect 1.12.26</t>
        </is>
      </c>
      <c r="R91" s="66" t="inlineStr">
        <is>
          <t>VIDEO</t>
        </is>
      </c>
    </row>
    <row r="92">
      <c r="N92" s="67" t="n">
        <v>47787</v>
      </c>
      <c r="P92" s="66" t="inlineStr">
        <is>
          <t>26011409</t>
        </is>
      </c>
      <c r="Q92" s="66" t="inlineStr">
        <is>
          <t>ASX Investor Days Sydney &amp; Melbourne 2026</t>
        </is>
      </c>
      <c r="R92" s="66" t="inlineStr">
        <is>
          <t>PRODUCTION</t>
        </is>
      </c>
    </row>
    <row r="93">
      <c r="N93" s="67" t="n">
        <v>47817</v>
      </c>
      <c r="P93" s="66" t="inlineStr">
        <is>
          <t>26011501</t>
        </is>
      </c>
      <c r="Q93" s="66" t="inlineStr">
        <is>
          <t>ASX Refinitiv Charity Golf Classic H/L Vid 2026</t>
        </is>
      </c>
      <c r="R93" s="66" t="inlineStr">
        <is>
          <t>VIDEO</t>
        </is>
      </c>
    </row>
    <row r="94">
      <c r="N94" s="67" t="n">
        <v>47848</v>
      </c>
      <c r="P94" s="66" t="inlineStr">
        <is>
          <t>26011502</t>
        </is>
      </c>
      <c r="Q94" s="66" t="inlineStr">
        <is>
          <t>ASX Charity Regatta Highlights Video 2026</t>
        </is>
      </c>
      <c r="R94" s="66" t="inlineStr">
        <is>
          <t>VIDEO</t>
        </is>
      </c>
    </row>
    <row r="95">
      <c r="N95" s="67" t="n">
        <v>47879</v>
      </c>
      <c r="P95" s="66" t="inlineStr">
        <is>
          <t>26012301</t>
        </is>
      </c>
      <c r="Q95" s="66" t="inlineStr">
        <is>
          <t>PWC IT Support - Brisbane</t>
        </is>
      </c>
      <c r="R95" s="66" t="inlineStr">
        <is>
          <t>ONSITE</t>
        </is>
      </c>
    </row>
    <row r="96">
      <c r="N96" s="67" t="n">
        <v>47907</v>
      </c>
      <c r="P96" s="66" t="inlineStr">
        <is>
          <t>2601701</t>
        </is>
      </c>
      <c r="Q96" s="66" t="inlineStr">
        <is>
          <t>CEOi - TLP Brand Video</t>
        </is>
      </c>
      <c r="R96" s="66" t="inlineStr">
        <is>
          <t>VIDEO</t>
        </is>
      </c>
    </row>
    <row r="97">
      <c r="N97" s="67" t="n">
        <v>47938</v>
      </c>
      <c r="P97" s="66" t="inlineStr">
        <is>
          <t>26021602</t>
        </is>
      </c>
      <c r="Q97" s="66" t="inlineStr">
        <is>
          <t>Gen E ABS AV Support (Canberra)</t>
        </is>
      </c>
      <c r="R97" s="66" t="inlineStr">
        <is>
          <t>ONSITE</t>
        </is>
      </c>
    </row>
    <row r="98">
      <c r="N98" s="67" t="n">
        <v>47968</v>
      </c>
      <c r="P98" s="66" t="inlineStr">
        <is>
          <t>26021602N</t>
        </is>
      </c>
      <c r="Q98" s="66" t="inlineStr">
        <is>
          <t>Gen E ABS AV Support (Canberra) [ONS non-chargeable]</t>
        </is>
      </c>
      <c r="R98" s="66" t="inlineStr"/>
    </row>
    <row r="99">
      <c r="N99" s="67" t="n">
        <v>47999</v>
      </c>
      <c r="P99" s="66" t="inlineStr">
        <is>
          <t>26021801</t>
        </is>
      </c>
      <c r="Q99" s="66" t="inlineStr">
        <is>
          <t>Aware Super Seminar Room AV Upgrade</t>
        </is>
      </c>
      <c r="R99" s="66" t="inlineStr">
        <is>
          <t>INTEGRATION</t>
        </is>
      </c>
    </row>
    <row r="100">
      <c r="N100" s="67" t="n">
        <v>48029</v>
      </c>
      <c r="P100" s="66" t="inlineStr">
        <is>
          <t>2602203</t>
        </is>
      </c>
      <c r="Q100" s="66" t="inlineStr">
        <is>
          <t>YSG Studio Orange Room Upgrade</t>
        </is>
      </c>
      <c r="R100" s="66" t="inlineStr">
        <is>
          <t>CONSULTING</t>
        </is>
      </c>
    </row>
    <row r="101">
      <c r="P101" s="66" t="inlineStr">
        <is>
          <t>26022301</t>
        </is>
      </c>
      <c r="Q101" s="66" t="inlineStr">
        <is>
          <t>Aware Super AV Maintenance</t>
        </is>
      </c>
      <c r="R101" s="66" t="inlineStr">
        <is>
          <t>ONSITE</t>
        </is>
      </c>
    </row>
    <row r="102">
      <c r="P102" s="66" t="inlineStr">
        <is>
          <t>26022301C</t>
        </is>
      </c>
      <c r="Q102" s="66" t="inlineStr">
        <is>
          <t>Aware Super AV Maintenance</t>
        </is>
      </c>
      <c r="R102" s="66" t="inlineStr">
        <is>
          <t>CONSULTING</t>
        </is>
      </c>
    </row>
    <row r="103">
      <c r="P103" s="66" t="inlineStr">
        <is>
          <t>26022301NC</t>
        </is>
      </c>
      <c r="Q103" s="66" t="inlineStr">
        <is>
          <t>Aware Super AV Maintenance Non-chargeable</t>
        </is>
      </c>
      <c r="R103" s="66" t="inlineStr">
        <is>
          <t>ONSITE</t>
        </is>
      </c>
    </row>
    <row r="104">
      <c r="P104" s="66" t="inlineStr">
        <is>
          <t>26022301P</t>
        </is>
      </c>
      <c r="Q104" s="66" t="inlineStr">
        <is>
          <t>Aware Super AV Maintenance</t>
        </is>
      </c>
      <c r="R104" s="66" t="inlineStr">
        <is>
          <t>PRODUCTION</t>
        </is>
      </c>
    </row>
    <row r="105">
      <c r="P105" s="66" t="inlineStr">
        <is>
          <t>26022302</t>
        </is>
      </c>
      <c r="Q105" s="66" t="inlineStr">
        <is>
          <t>GP - Talking Philanthropy - 18.9.26</t>
        </is>
      </c>
      <c r="R105" s="66" t="inlineStr">
        <is>
          <t>PRODUCTION</t>
        </is>
      </c>
    </row>
    <row r="106">
      <c r="P106" s="66" t="inlineStr">
        <is>
          <t>26022302V</t>
        </is>
      </c>
      <c r="Q106" s="66" t="inlineStr">
        <is>
          <t>GP - Talking Philanthropy - 18.9.26</t>
        </is>
      </c>
      <c r="R106" s="66" t="inlineStr">
        <is>
          <t>VIDEO</t>
        </is>
      </c>
    </row>
    <row r="107">
      <c r="P107" s="66" t="inlineStr">
        <is>
          <t>26022601</t>
        </is>
      </c>
      <c r="Q107" s="66" t="inlineStr">
        <is>
          <t>ART - Annual Members Meeting - 25.11.26</t>
        </is>
      </c>
      <c r="R107" s="66" t="inlineStr">
        <is>
          <t>PRODUCTION</t>
        </is>
      </c>
    </row>
    <row r="108">
      <c r="P108" s="66" t="inlineStr">
        <is>
          <t>26022601V</t>
        </is>
      </c>
      <c r="Q108" s="66" t="inlineStr">
        <is>
          <t>ART - Annual Members Meeting - 25.11.26</t>
        </is>
      </c>
      <c r="R108" s="66" t="inlineStr">
        <is>
          <t>VIDEO</t>
        </is>
      </c>
    </row>
    <row r="109">
      <c r="P109" s="66" t="inlineStr">
        <is>
          <t>2602901</t>
        </is>
      </c>
      <c r="Q109" s="66" t="inlineStr">
        <is>
          <t>HP-Telstra: Phone Modification</t>
        </is>
      </c>
      <c r="R109" s="66" t="inlineStr">
        <is>
          <t>INTEGRATION</t>
        </is>
      </c>
    </row>
    <row r="110">
      <c r="P110" s="66" t="inlineStr">
        <is>
          <t>2603104</t>
        </is>
      </c>
      <c r="Q110" s="66" t="inlineStr">
        <is>
          <t>Cochlear FY26 Results 18.8.26</t>
        </is>
      </c>
      <c r="R110" s="66" t="inlineStr">
        <is>
          <t>PRODUCTION</t>
        </is>
      </c>
    </row>
    <row r="111">
      <c r="P111" s="66" t="inlineStr">
        <is>
          <t>2603104V</t>
        </is>
      </c>
      <c r="Q111" s="66" t="inlineStr">
        <is>
          <t>Cochlear FY26 Results 18.8.26</t>
        </is>
      </c>
      <c r="R111" s="66" t="inlineStr">
        <is>
          <t>VIDEO</t>
        </is>
      </c>
    </row>
    <row r="112">
      <c r="P112" s="66" t="inlineStr">
        <is>
          <t>2603105</t>
        </is>
      </c>
      <c r="Q112" s="66" t="inlineStr">
        <is>
          <t>Cochlear - AGM - 26.10.26</t>
        </is>
      </c>
      <c r="R112" s="66" t="inlineStr">
        <is>
          <t>PRODUCTION</t>
        </is>
      </c>
    </row>
    <row r="113">
      <c r="P113" s="66" t="inlineStr">
        <is>
          <t>2603105V</t>
        </is>
      </c>
      <c r="Q113" s="66" t="inlineStr">
        <is>
          <t>Cochlear - AGM - 26.10.26</t>
        </is>
      </c>
      <c r="R113" s="66" t="inlineStr">
        <is>
          <t>VIDEO</t>
        </is>
      </c>
    </row>
    <row r="114">
      <c r="P114" s="66" t="inlineStr">
        <is>
          <t>2603202</t>
        </is>
      </c>
      <c r="Q114" s="66" t="inlineStr">
        <is>
          <t>Property NSW 5 O’Keefe Ave Nowra Workplace Hub</t>
        </is>
      </c>
      <c r="R114" s="66" t="inlineStr">
        <is>
          <t>INTEGRATION</t>
        </is>
      </c>
    </row>
    <row r="115">
      <c r="P115" s="66" t="inlineStr">
        <is>
          <t>26032301</t>
        </is>
      </c>
      <c r="Q115" s="66" t="inlineStr">
        <is>
          <t>RSNSW - OGM - 1.7.2026</t>
        </is>
      </c>
      <c r="R115" s="66" t="inlineStr">
        <is>
          <t>PRODUCTION</t>
        </is>
      </c>
    </row>
    <row r="116">
      <c r="P116" s="66" t="inlineStr">
        <is>
          <t>26032301V</t>
        </is>
      </c>
      <c r="Q116" s="66" t="inlineStr">
        <is>
          <t>RSNSW - OGM - 1.7.2026</t>
        </is>
      </c>
      <c r="R116" s="66" t="inlineStr">
        <is>
          <t>VIDEO</t>
        </is>
      </c>
    </row>
    <row r="117">
      <c r="P117" s="66" t="inlineStr">
        <is>
          <t>26032302</t>
        </is>
      </c>
      <c r="Q117" s="66" t="inlineStr">
        <is>
          <t>RSNSW - OGM - 2.9.2026</t>
        </is>
      </c>
      <c r="R117" s="66" t="inlineStr">
        <is>
          <t>PRODUCTION</t>
        </is>
      </c>
    </row>
    <row r="118">
      <c r="P118" s="66" t="inlineStr">
        <is>
          <t>26032302V</t>
        </is>
      </c>
      <c r="Q118" s="66" t="inlineStr">
        <is>
          <t>RSNSW - OGM - 2.9.2026</t>
        </is>
      </c>
      <c r="R118" s="66" t="inlineStr">
        <is>
          <t>VIDEO</t>
        </is>
      </c>
    </row>
    <row r="119">
      <c r="P119" s="66" t="inlineStr">
        <is>
          <t>26032501</t>
        </is>
      </c>
      <c r="Q119" s="66" t="inlineStr">
        <is>
          <t>ChorusCall - Regal Partners AGM - 28.5.26</t>
        </is>
      </c>
      <c r="R119" s="66" t="inlineStr">
        <is>
          <t>PRODUCTION</t>
        </is>
      </c>
    </row>
    <row r="120">
      <c r="P120" s="66" t="inlineStr">
        <is>
          <t>26032502</t>
        </is>
      </c>
      <c r="Q120" s="66" t="inlineStr">
        <is>
          <t>3YS Owls - Governance Top 100 2026 - 30.10.26</t>
        </is>
      </c>
      <c r="R120" s="66" t="inlineStr">
        <is>
          <t>PRODUCTION</t>
        </is>
      </c>
    </row>
    <row r="121">
      <c r="P121" s="66" t="inlineStr">
        <is>
          <t>26032502V</t>
        </is>
      </c>
      <c r="Q121" s="66" t="inlineStr">
        <is>
          <t>3YS Owls - Governance Top 100 2026 - 30.10.26</t>
        </is>
      </c>
      <c r="R121" s="66" t="inlineStr">
        <is>
          <t>VIDEO</t>
        </is>
      </c>
    </row>
    <row r="122">
      <c r="P122" s="66" t="inlineStr">
        <is>
          <t>26032701</t>
        </is>
      </c>
      <c r="Q122" s="66" t="inlineStr">
        <is>
          <t>MUFG - A1N AGM - 7.5.26</t>
        </is>
      </c>
      <c r="R122" s="66" t="inlineStr">
        <is>
          <t>PRODUCTION</t>
        </is>
      </c>
    </row>
    <row r="123">
      <c r="P123" s="66" t="inlineStr">
        <is>
          <t>26032701V</t>
        </is>
      </c>
      <c r="Q123" s="66" t="inlineStr">
        <is>
          <t>MUFG - A1N AGM - 7.5.26</t>
        </is>
      </c>
      <c r="R123" s="66" t="inlineStr">
        <is>
          <t>VIDEO</t>
        </is>
      </c>
    </row>
    <row r="124">
      <c r="P124" s="66" t="inlineStr">
        <is>
          <t>26032702</t>
        </is>
      </c>
      <c r="Q124" s="66" t="inlineStr">
        <is>
          <t>Ventia Transport Australia and Ventia Networking 6.5.26</t>
        </is>
      </c>
      <c r="R124" s="66" t="inlineStr">
        <is>
          <t>PRODUCTION</t>
        </is>
      </c>
    </row>
    <row r="125">
      <c r="P125" s="66" t="inlineStr">
        <is>
          <t>26032704</t>
        </is>
      </c>
      <c r="Q125" s="66" t="inlineStr">
        <is>
          <t>CBA LES - April 2026</t>
        </is>
      </c>
      <c r="R125" s="66" t="inlineStr">
        <is>
          <t>PRODUCTION</t>
        </is>
      </c>
    </row>
    <row r="126">
      <c r="P126" s="66" t="inlineStr">
        <is>
          <t>26033003</t>
        </is>
      </c>
      <c r="Q126" s="66" t="inlineStr">
        <is>
          <t>DTTL 8PSQ Dream Big Microphones</t>
        </is>
      </c>
      <c r="R126" s="66" t="inlineStr">
        <is>
          <t>INTEGRATION</t>
        </is>
      </c>
    </row>
    <row r="127">
      <c r="P127" s="66" t="inlineStr">
        <is>
          <t>26033004</t>
        </is>
      </c>
      <c r="Q127" s="66" t="inlineStr">
        <is>
          <t>DTTL Melbourne Bluetooth Audio</t>
        </is>
      </c>
      <c r="R127" s="66" t="inlineStr">
        <is>
          <t>INTEGRATION</t>
        </is>
      </c>
    </row>
    <row r="128">
      <c r="P128" s="66" t="inlineStr">
        <is>
          <t>26033005</t>
        </is>
      </c>
      <c r="Q128" s="66" t="inlineStr">
        <is>
          <t>DTTL QQT &amp; 8PSQ Crestron Connect Adaptor</t>
        </is>
      </c>
      <c r="R128" s="66" t="inlineStr">
        <is>
          <t>INTEGRATION</t>
        </is>
      </c>
    </row>
    <row r="129">
      <c r="P129" s="66" t="inlineStr">
        <is>
          <t>26033006</t>
        </is>
      </c>
      <c r="Q129" s="66" t="inlineStr">
        <is>
          <t>DTTL 8PSQ Bluetooth Audio</t>
        </is>
      </c>
      <c r="R129" s="66" t="inlineStr">
        <is>
          <t>INTEGRATION</t>
        </is>
      </c>
    </row>
    <row r="130">
      <c r="P130" s="66" t="inlineStr">
        <is>
          <t>26033007</t>
        </is>
      </c>
      <c r="Q130" s="66" t="inlineStr">
        <is>
          <t>DTTL QQT Lv45 Seminar Wheels repair</t>
        </is>
      </c>
      <c r="R130" s="66" t="inlineStr">
        <is>
          <t>INTEGRATION</t>
        </is>
      </c>
    </row>
    <row r="131">
      <c r="P131" s="66" t="inlineStr">
        <is>
          <t>26033008</t>
        </is>
      </c>
      <c r="Q131" s="66" t="inlineStr">
        <is>
          <t>DTTL MEL Repair of Lv31 LED panels</t>
        </is>
      </c>
      <c r="R131" s="66" t="inlineStr">
        <is>
          <t>INTEGRATION</t>
        </is>
      </c>
    </row>
    <row r="132">
      <c r="P132" s="66" t="inlineStr">
        <is>
          <t>26041603</t>
        </is>
      </c>
      <c r="Q132" s="66" t="inlineStr">
        <is>
          <t>Optiver - Town Hall - 23.7.26</t>
        </is>
      </c>
      <c r="R132" s="66" t="inlineStr">
        <is>
          <t>PRODUCTION</t>
        </is>
      </c>
    </row>
    <row r="133">
      <c r="P133" s="66" t="inlineStr">
        <is>
          <t>26041603V</t>
        </is>
      </c>
      <c r="Q133" s="66" t="inlineStr">
        <is>
          <t>Optiver - Town Hall - 23.7.26</t>
        </is>
      </c>
      <c r="R133" s="66" t="inlineStr">
        <is>
          <t>VIDEO</t>
        </is>
      </c>
    </row>
    <row r="134">
      <c r="P134" s="66" t="inlineStr">
        <is>
          <t>26041701</t>
        </is>
      </c>
      <c r="Q134" s="66" t="inlineStr">
        <is>
          <t>N2 Dance End of Year Concert Videos 2026</t>
        </is>
      </c>
      <c r="R134" s="66" t="inlineStr">
        <is>
          <t>VIDEO</t>
        </is>
      </c>
    </row>
    <row r="135">
      <c r="P135" s="66" t="inlineStr">
        <is>
          <t>26042001</t>
        </is>
      </c>
      <c r="Q135" s="66" t="inlineStr">
        <is>
          <t>ASX - AGM - 22.10.26</t>
        </is>
      </c>
      <c r="R135" s="66" t="inlineStr">
        <is>
          <t>PRODUCTION</t>
        </is>
      </c>
    </row>
    <row r="136">
      <c r="P136" s="66" t="inlineStr">
        <is>
          <t>26042001V</t>
        </is>
      </c>
      <c r="Q136" s="66" t="inlineStr">
        <is>
          <t>ASX - AGM - 22.10.26</t>
        </is>
      </c>
      <c r="R136" s="66" t="inlineStr">
        <is>
          <t>VIDEO</t>
        </is>
      </c>
    </row>
    <row r="137">
      <c r="P137" s="66" t="inlineStr">
        <is>
          <t>2604201</t>
        </is>
      </c>
      <c r="Q137" s="66" t="inlineStr">
        <is>
          <t>Bankwest - Stage Hire - 27.5.2026</t>
        </is>
      </c>
      <c r="R137" s="66" t="inlineStr">
        <is>
          <t>PRODUCTION</t>
        </is>
      </c>
    </row>
    <row r="138">
      <c r="P138" s="66" t="inlineStr">
        <is>
          <t>2604202</t>
        </is>
      </c>
      <c r="Q138" s="66" t="inlineStr">
        <is>
          <t>Ventia - Ventia Awards - 30.7.26</t>
        </is>
      </c>
      <c r="R138" s="66" t="inlineStr">
        <is>
          <t>PRODUCTION</t>
        </is>
      </c>
    </row>
    <row r="139">
      <c r="P139" s="66" t="inlineStr">
        <is>
          <t>2604202V</t>
        </is>
      </c>
      <c r="Q139" s="66" t="inlineStr">
        <is>
          <t>Ventia - Ventia Awards - 30.7.26</t>
        </is>
      </c>
      <c r="R139" s="66" t="inlineStr">
        <is>
          <t>VIDEO</t>
        </is>
      </c>
    </row>
    <row r="140">
      <c r="P140" s="66" t="inlineStr">
        <is>
          <t>2604203V</t>
        </is>
      </c>
      <c r="Q140" s="66" t="inlineStr">
        <is>
          <t>Ventia - Investor Day - 4.5.2026</t>
        </is>
      </c>
      <c r="R140" s="66" t="inlineStr">
        <is>
          <t>VIDEO</t>
        </is>
      </c>
    </row>
    <row r="141">
      <c r="P141" s="66" t="inlineStr">
        <is>
          <t>2604204</t>
        </is>
      </c>
      <c r="Q141" s="66" t="inlineStr">
        <is>
          <t>Ventia - AGM - 21.5.26</t>
        </is>
      </c>
      <c r="R141" s="66" t="inlineStr">
        <is>
          <t>PRODUCTION</t>
        </is>
      </c>
    </row>
    <row r="142">
      <c r="P142" s="66" t="inlineStr">
        <is>
          <t>2604204V</t>
        </is>
      </c>
      <c r="Q142" s="66" t="inlineStr">
        <is>
          <t>Ventia - AGM - 21.5.26</t>
        </is>
      </c>
      <c r="R142" s="66" t="inlineStr">
        <is>
          <t>VIDEO</t>
        </is>
      </c>
    </row>
    <row r="143">
      <c r="P143" s="66" t="inlineStr">
        <is>
          <t>26042802</t>
        </is>
      </c>
      <c r="Q143" s="66" t="inlineStr">
        <is>
          <t>DTTL DAR Meeting Room Extension Cable Install</t>
        </is>
      </c>
      <c r="R143" s="66" t="inlineStr">
        <is>
          <t>INTEGRATION</t>
        </is>
      </c>
    </row>
    <row r="144">
      <c r="P144" s="66" t="inlineStr">
        <is>
          <t>26043001</t>
        </is>
      </c>
      <c r="Q144" s="66" t="inlineStr">
        <is>
          <t>CBA FT Tech MEL - 12 months</t>
        </is>
      </c>
      <c r="R144" s="66" t="inlineStr">
        <is>
          <t>ONSITE</t>
        </is>
      </c>
    </row>
    <row r="145">
      <c r="P145" s="66" t="inlineStr">
        <is>
          <t>26043002</t>
        </is>
      </c>
      <c r="Q145" s="66" t="inlineStr">
        <is>
          <t>CTS Town Hall</t>
        </is>
      </c>
      <c r="R145" s="66" t="inlineStr">
        <is>
          <t>CTS</t>
        </is>
      </c>
    </row>
    <row r="146">
      <c r="P146" s="66" t="inlineStr">
        <is>
          <t>26043003</t>
        </is>
      </c>
      <c r="Q146" s="66" t="inlineStr">
        <is>
          <t>PwC Screen Replacements SYD+MEL</t>
        </is>
      </c>
      <c r="R146" s="66" t="inlineStr">
        <is>
          <t>INTEGRATION</t>
        </is>
      </c>
    </row>
    <row r="147">
      <c r="P147" s="66" t="inlineStr">
        <is>
          <t>2604704</t>
        </is>
      </c>
      <c r="Q147" s="66" t="inlineStr">
        <is>
          <t>Aware Super Seminar Room Audio Upgrade</t>
        </is>
      </c>
      <c r="R147" s="66" t="inlineStr">
        <is>
          <t>INTEGRATION</t>
        </is>
      </c>
    </row>
    <row r="148">
      <c r="P148" s="66" t="inlineStr">
        <is>
          <t>2604802</t>
        </is>
      </c>
      <c r="Q148" s="66" t="inlineStr">
        <is>
          <t>PwC - Audio Support - 29.4.26</t>
        </is>
      </c>
      <c r="R148" s="66" t="inlineStr">
        <is>
          <t>PRODUCTION</t>
        </is>
      </c>
    </row>
    <row r="149">
      <c r="P149" s="66" t="inlineStr">
        <is>
          <t>26051101</t>
        </is>
      </c>
      <c r="Q149" s="66" t="inlineStr">
        <is>
          <t>DTTL Mardi Gras/Vivid Event 27/05/26</t>
        </is>
      </c>
      <c r="R149" s="66" t="inlineStr">
        <is>
          <t>PRODUCTION</t>
        </is>
      </c>
    </row>
    <row r="150">
      <c r="P150" s="66" t="inlineStr">
        <is>
          <t>26051101V</t>
        </is>
      </c>
      <c r="Q150" s="66" t="inlineStr">
        <is>
          <t>DTTL Mardi Gras/Vivid Event 27/05/26</t>
        </is>
      </c>
      <c r="R150" s="66" t="inlineStr">
        <is>
          <t>VIDEO</t>
        </is>
      </c>
    </row>
    <row r="151">
      <c r="P151" s="66" t="inlineStr">
        <is>
          <t>26051102</t>
        </is>
      </c>
      <c r="Q151" s="66" t="inlineStr">
        <is>
          <t>DTTL - CEO Roadshow - 1.6.26</t>
        </is>
      </c>
      <c r="R151" s="66" t="inlineStr">
        <is>
          <t>PRODUCTION</t>
        </is>
      </c>
    </row>
    <row r="152">
      <c r="P152" s="66" t="inlineStr">
        <is>
          <t>26051102V</t>
        </is>
      </c>
      <c r="Q152" s="66" t="inlineStr">
        <is>
          <t>DTTL - CEO Roadshow - 1.6.26</t>
        </is>
      </c>
      <c r="R152" s="66" t="inlineStr">
        <is>
          <t>VIDEO</t>
        </is>
      </c>
    </row>
    <row r="153">
      <c r="P153" s="66" t="inlineStr">
        <is>
          <t>26051103</t>
        </is>
      </c>
      <c r="Q153" s="66" t="inlineStr">
        <is>
          <t>PwC PER Studio Support 25.05.26</t>
        </is>
      </c>
      <c r="R153" s="66" t="inlineStr">
        <is>
          <t>PRODUCTION</t>
        </is>
      </c>
    </row>
    <row r="154">
      <c r="P154" s="66" t="inlineStr">
        <is>
          <t>26051103V</t>
        </is>
      </c>
      <c r="Q154" s="66" t="inlineStr">
        <is>
          <t>PwC PER Studio Support 25.05.26</t>
        </is>
      </c>
      <c r="R154" s="66" t="inlineStr">
        <is>
          <t>VIDEO</t>
        </is>
      </c>
    </row>
    <row r="155">
      <c r="P155" s="66" t="inlineStr">
        <is>
          <t>26051201</t>
        </is>
      </c>
      <c r="Q155" s="66" t="inlineStr">
        <is>
          <t>ASX CEO Farewell Highlights</t>
        </is>
      </c>
      <c r="R155" s="66" t="inlineStr">
        <is>
          <t>VIDEO</t>
        </is>
      </c>
    </row>
    <row r="156">
      <c r="P156" s="66" t="inlineStr">
        <is>
          <t>26051301</t>
        </is>
      </c>
      <c r="Q156" s="66" t="inlineStr">
        <is>
          <t>HP-BAE | Phone Mod</t>
        </is>
      </c>
      <c r="R156" s="66" t="inlineStr">
        <is>
          <t>INTEGRATION</t>
        </is>
      </c>
    </row>
    <row r="157">
      <c r="P157" s="66" t="inlineStr">
        <is>
          <t>26051401</t>
        </is>
      </c>
      <c r="Q157" s="66" t="inlineStr">
        <is>
          <t>ASX - Business Meeting - 27.5.26</t>
        </is>
      </c>
      <c r="R157" s="66" t="inlineStr">
        <is>
          <t>PRODUCTION</t>
        </is>
      </c>
    </row>
    <row r="158">
      <c r="P158" s="66" t="inlineStr">
        <is>
          <t>26051401V</t>
        </is>
      </c>
      <c r="Q158" s="66" t="inlineStr">
        <is>
          <t>ASX - Business Meeting - 27.5.26</t>
        </is>
      </c>
      <c r="R158" s="66" t="inlineStr">
        <is>
          <t>VIDEO</t>
        </is>
      </c>
    </row>
    <row r="159">
      <c r="P159" s="66" t="inlineStr">
        <is>
          <t>26051402</t>
        </is>
      </c>
      <c r="Q159" s="66" t="inlineStr">
        <is>
          <t>PwC Foldback Monitor Hire</t>
        </is>
      </c>
      <c r="R159" s="66" t="inlineStr">
        <is>
          <t>PRODUCTION</t>
        </is>
      </c>
    </row>
    <row r="160">
      <c r="P160" s="66" t="inlineStr">
        <is>
          <t>26051801</t>
        </is>
      </c>
      <c r="Q160" s="66" t="inlineStr">
        <is>
          <t>PwC | Mel Studio Equipment</t>
        </is>
      </c>
      <c r="R160" s="66" t="inlineStr">
        <is>
          <t>INTEGRATION</t>
        </is>
      </c>
    </row>
    <row r="161">
      <c r="P161" s="66" t="inlineStr">
        <is>
          <t>26051803</t>
        </is>
      </c>
      <c r="Q161" s="66" t="inlineStr">
        <is>
          <t>AVIT - Taronga ZOO AV Support - May 2026</t>
        </is>
      </c>
      <c r="R161" s="66" t="inlineStr">
        <is>
          <t>PRODUCTION</t>
        </is>
      </c>
    </row>
    <row r="162">
      <c r="P162" s="66" t="inlineStr">
        <is>
          <t>26052001</t>
        </is>
      </c>
      <c r="Q162" s="66" t="inlineStr">
        <is>
          <t>MeetMagic - AI Behaviour Event - 29.5.26</t>
        </is>
      </c>
      <c r="R162" s="66" t="inlineStr">
        <is>
          <t>PRODUCTION</t>
        </is>
      </c>
    </row>
    <row r="163">
      <c r="P163" s="66" t="inlineStr">
        <is>
          <t>26052001V</t>
        </is>
      </c>
      <c r="Q163" s="66" t="inlineStr">
        <is>
          <t>MeetMagic - AI Behaviour Event - 29.5.26</t>
        </is>
      </c>
      <c r="R163" s="66" t="inlineStr">
        <is>
          <t>VIDEO</t>
        </is>
      </c>
    </row>
    <row r="164">
      <c r="P164" s="66" t="inlineStr">
        <is>
          <t>26052002</t>
        </is>
      </c>
      <c r="Q164" s="66" t="inlineStr">
        <is>
          <t>DTTL BNE L23 Training Rooms Upgrade</t>
        </is>
      </c>
      <c r="R164" s="66" t="inlineStr">
        <is>
          <t>INTEGRATION</t>
        </is>
      </c>
    </row>
    <row r="165">
      <c r="P165" s="66" t="inlineStr">
        <is>
          <t>26052003</t>
        </is>
      </c>
      <c r="Q165" s="66" t="inlineStr">
        <is>
          <t>DTTL Mobile Commbox Displays</t>
        </is>
      </c>
      <c r="R165" s="66" t="inlineStr">
        <is>
          <t>INTEGRATION</t>
        </is>
      </c>
    </row>
    <row r="166">
      <c r="P166" s="66" t="inlineStr">
        <is>
          <t>26052004</t>
        </is>
      </c>
      <c r="Q166" s="66" t="inlineStr">
        <is>
          <t>CBA - Live Event Support - June 2026</t>
        </is>
      </c>
      <c r="R166" s="66" t="inlineStr">
        <is>
          <t>PRODUCTION</t>
        </is>
      </c>
    </row>
    <row r="167">
      <c r="P167" s="66" t="inlineStr">
        <is>
          <t>26052101</t>
        </is>
      </c>
      <c r="Q167" s="66" t="inlineStr">
        <is>
          <t>MeetMagic - Human AI Event Highlights</t>
        </is>
      </c>
      <c r="R167" s="66" t="inlineStr">
        <is>
          <t>VIDEO</t>
        </is>
      </c>
    </row>
    <row r="168">
      <c r="P168" s="66" t="inlineStr">
        <is>
          <t>26052102</t>
        </is>
      </c>
      <c r="Q168" s="66" t="inlineStr">
        <is>
          <t>HP-D3 | Austrac Phone Mods</t>
        </is>
      </c>
      <c r="R168" s="66" t="inlineStr">
        <is>
          <t>INTEGRATION</t>
        </is>
      </c>
    </row>
    <row r="169">
      <c r="P169" s="66" t="inlineStr">
        <is>
          <t>26052103</t>
        </is>
      </c>
      <c r="Q169" s="66" t="inlineStr">
        <is>
          <t>Ventia - LTI FY26 Video Record</t>
        </is>
      </c>
      <c r="R169" s="66" t="inlineStr">
        <is>
          <t>VIDEO</t>
        </is>
      </c>
    </row>
    <row r="170">
      <c r="P170" s="66" t="inlineStr">
        <is>
          <t>26052501V</t>
        </is>
      </c>
      <c r="Q170" s="66" t="inlineStr">
        <is>
          <t>AVIT - Taronga AV Event Support - 26-27.5.26</t>
        </is>
      </c>
      <c r="R170" s="66" t="inlineStr">
        <is>
          <t>VIDEO</t>
        </is>
      </c>
    </row>
    <row r="171">
      <c r="P171" s="66" t="inlineStr">
        <is>
          <t>26052502</t>
        </is>
      </c>
      <c r="Q171" s="66" t="inlineStr">
        <is>
          <t>AVIT - Taronga AV Event Support 4-5.06.26</t>
        </is>
      </c>
      <c r="R171" s="66" t="inlineStr">
        <is>
          <t>PRODUCTION</t>
        </is>
      </c>
    </row>
    <row r="172">
      <c r="P172" s="66" t="inlineStr">
        <is>
          <t>26052502V</t>
        </is>
      </c>
      <c r="Q172" s="66" t="inlineStr">
        <is>
          <t>AVIT - Taronga AV Event Support 4-5.06.26</t>
        </is>
      </c>
      <c r="R172" s="66" t="inlineStr">
        <is>
          <t>VIDEO</t>
        </is>
      </c>
    </row>
    <row r="173">
      <c r="P173" s="66" t="inlineStr">
        <is>
          <t>26052602</t>
        </is>
      </c>
      <c r="Q173" s="66" t="inlineStr">
        <is>
          <t>DTTL MEL Display Supply</t>
        </is>
      </c>
      <c r="R173" s="66" t="inlineStr">
        <is>
          <t>INTEGRATION</t>
        </is>
      </c>
    </row>
    <row r="174">
      <c r="P174" s="66" t="inlineStr">
        <is>
          <t>26052701</t>
        </is>
      </c>
      <c r="Q174" s="66" t="inlineStr">
        <is>
          <t>Aware | SYD 28.06 Equipment</t>
        </is>
      </c>
      <c r="R174" s="66" t="inlineStr">
        <is>
          <t>INTEGRATION</t>
        </is>
      </c>
    </row>
    <row r="175">
      <c r="P175" s="66" t="inlineStr">
        <is>
          <t>26052702</t>
        </is>
      </c>
      <c r="Q175" s="66" t="inlineStr">
        <is>
          <t>ASX - FYR - 13.8.26</t>
        </is>
      </c>
      <c r="R175" s="66" t="inlineStr">
        <is>
          <t>PRODUCTION</t>
        </is>
      </c>
    </row>
    <row r="176">
      <c r="P176" s="66" t="inlineStr">
        <is>
          <t>26052702V</t>
        </is>
      </c>
      <c r="Q176" s="66" t="inlineStr">
        <is>
          <t>ASX - FYR - 13.8.26</t>
        </is>
      </c>
      <c r="R176" s="66" t="inlineStr">
        <is>
          <t>VIDEO</t>
        </is>
      </c>
    </row>
    <row r="177">
      <c r="P177" s="66" t="inlineStr">
        <is>
          <t>26052703</t>
        </is>
      </c>
      <c r="Q177" s="66" t="inlineStr">
        <is>
          <t>Microsoft Town Hall - 21.7.26</t>
        </is>
      </c>
      <c r="R177" s="66" t="inlineStr">
        <is>
          <t>PRODUCTION</t>
        </is>
      </c>
    </row>
    <row r="178">
      <c r="P178" s="66" t="inlineStr">
        <is>
          <t>26052703V</t>
        </is>
      </c>
      <c r="Q178" s="66" t="inlineStr">
        <is>
          <t>Microsoft Town Hall - 21.7.26</t>
        </is>
      </c>
      <c r="R178" s="66" t="inlineStr">
        <is>
          <t>VIDEO</t>
        </is>
      </c>
    </row>
    <row r="179">
      <c r="P179" s="66" t="inlineStr">
        <is>
          <t>26052704</t>
        </is>
      </c>
      <c r="Q179" s="66" t="inlineStr">
        <is>
          <t>AVIT - Pinsent Masons Technician Callout</t>
        </is>
      </c>
      <c r="R179" s="66" t="inlineStr">
        <is>
          <t>ONSITE</t>
        </is>
      </c>
    </row>
    <row r="180">
      <c r="P180" s="66" t="inlineStr">
        <is>
          <t>26052901</t>
        </is>
      </c>
      <c r="Q180" s="66" t="inlineStr">
        <is>
          <t>Causeway Productions - Stool Hire - 1.6.27</t>
        </is>
      </c>
      <c r="R180" s="66" t="inlineStr">
        <is>
          <t>PRODUCTION</t>
        </is>
      </c>
    </row>
    <row r="181">
      <c r="P181" s="66" t="inlineStr">
        <is>
          <t>26052901V</t>
        </is>
      </c>
      <c r="Q181" s="66" t="inlineStr">
        <is>
          <t>Causeway Productions - Stool Hire - 1.6.27</t>
        </is>
      </c>
      <c r="R181" s="66" t="inlineStr">
        <is>
          <t>VIDEO</t>
        </is>
      </c>
    </row>
    <row r="182">
      <c r="P182" s="66" t="inlineStr">
        <is>
          <t>2605401</t>
        </is>
      </c>
      <c r="Q182" s="66" t="inlineStr">
        <is>
          <t>AGL FYR - Investor Briefing - 12.8.26</t>
        </is>
      </c>
      <c r="R182" s="66" t="inlineStr">
        <is>
          <t>PRODUCTION</t>
        </is>
      </c>
    </row>
    <row r="183">
      <c r="P183" s="66" t="inlineStr">
        <is>
          <t>2605401V</t>
        </is>
      </c>
      <c r="Q183" s="66" t="inlineStr">
        <is>
          <t>AGL FYR - Investor Briefing - 12.8.26</t>
        </is>
      </c>
      <c r="R183" s="66" t="inlineStr">
        <is>
          <t>VIDEO</t>
        </is>
      </c>
    </row>
    <row r="184">
      <c r="P184" s="66" t="inlineStr">
        <is>
          <t>2605402</t>
        </is>
      </c>
      <c r="Q184" s="66" t="inlineStr">
        <is>
          <t>AGL FYR - Employee Town Hall - 12.8.26</t>
        </is>
      </c>
      <c r="R184" s="66" t="inlineStr">
        <is>
          <t>PRODUCTION</t>
        </is>
      </c>
    </row>
    <row r="185">
      <c r="P185" s="66" t="inlineStr">
        <is>
          <t>2605402V</t>
        </is>
      </c>
      <c r="Q185" s="66" t="inlineStr">
        <is>
          <t>AGL FYR - Employee Town Hall - 12.8.26</t>
        </is>
      </c>
      <c r="R185" s="66" t="inlineStr">
        <is>
          <t>VIDEO</t>
        </is>
      </c>
    </row>
    <row r="186">
      <c r="P186" s="66" t="inlineStr">
        <is>
          <t>2605403</t>
        </is>
      </c>
      <c r="Q186" s="66" t="inlineStr">
        <is>
          <t>ARUP - Oves Awards - 23.7.26</t>
        </is>
      </c>
      <c r="R186" s="66" t="inlineStr">
        <is>
          <t>PRODUCTION</t>
        </is>
      </c>
    </row>
    <row r="187">
      <c r="P187" s="66" t="inlineStr">
        <is>
          <t>2605403V</t>
        </is>
      </c>
      <c r="Q187" s="66" t="inlineStr">
        <is>
          <t>ARUP - Oves Awards - 23.7.26</t>
        </is>
      </c>
      <c r="R187" s="66" t="inlineStr">
        <is>
          <t>VIDEO</t>
        </is>
      </c>
    </row>
    <row r="188">
      <c r="P188" s="66" t="inlineStr">
        <is>
          <t>2605501</t>
        </is>
      </c>
      <c r="Q188" s="66" t="inlineStr">
        <is>
          <t>DTTL Tech Support AWS AP AI Symposium</t>
        </is>
      </c>
      <c r="R188" s="66" t="inlineStr">
        <is>
          <t>ONSITE</t>
        </is>
      </c>
    </row>
    <row r="189">
      <c r="P189" s="66" t="inlineStr">
        <is>
          <t>2605502</t>
        </is>
      </c>
      <c r="Q189" s="66" t="inlineStr">
        <is>
          <t>CBA BNE - Event Support - 13.5.26</t>
        </is>
      </c>
      <c r="R189" s="66" t="inlineStr">
        <is>
          <t>PRODUCTION</t>
        </is>
      </c>
    </row>
    <row r="190">
      <c r="P190" s="66" t="inlineStr">
        <is>
          <t>2605502V</t>
        </is>
      </c>
      <c r="Q190" s="66" t="inlineStr">
        <is>
          <t>CBA BNE - Event Support - 13.5.26</t>
        </is>
      </c>
      <c r="R190" s="66" t="inlineStr">
        <is>
          <t>VIDEO</t>
        </is>
      </c>
    </row>
    <row r="191">
      <c r="P191" s="66" t="inlineStr">
        <is>
          <t>2605503</t>
        </is>
      </c>
      <c r="Q191" s="66" t="inlineStr">
        <is>
          <t>DTTL L31 reception Led Wall Audio DSP Repair</t>
        </is>
      </c>
      <c r="R191" s="66" t="inlineStr">
        <is>
          <t>INTEGRATION</t>
        </is>
      </c>
    </row>
    <row r="192">
      <c r="P192" s="66" t="inlineStr">
        <is>
          <t>2605605</t>
        </is>
      </c>
      <c r="Q192" s="66" t="inlineStr">
        <is>
          <t>DTTL Hobart AV Fitout</t>
        </is>
      </c>
      <c r="R192" s="66" t="inlineStr">
        <is>
          <t>INTEGRATION</t>
        </is>
      </c>
    </row>
    <row r="193">
      <c r="P193" s="66" t="inlineStr">
        <is>
          <t>2605606</t>
        </is>
      </c>
      <c r="Q193" s="66" t="inlineStr">
        <is>
          <t>Ventia Internal Townhall 8.05.26</t>
        </is>
      </c>
      <c r="R193" s="66" t="inlineStr">
        <is>
          <t>PRODUCTION</t>
        </is>
      </c>
    </row>
    <row r="194">
      <c r="P194" s="66" t="inlineStr">
        <is>
          <t>2605606V</t>
        </is>
      </c>
      <c r="Q194" s="66" t="inlineStr">
        <is>
          <t>Ventia Internal Townhall 8.05.26</t>
        </is>
      </c>
      <c r="R194" s="66" t="inlineStr">
        <is>
          <t>VIDEO</t>
        </is>
      </c>
    </row>
    <row r="195">
      <c r="P195" s="66" t="inlineStr">
        <is>
          <t>2605609</t>
        </is>
      </c>
      <c r="Q195" s="66" t="inlineStr">
        <is>
          <t>ASX - CEO Farewell - 27.5.26</t>
        </is>
      </c>
      <c r="R195" s="66" t="inlineStr">
        <is>
          <t>PRODUCTION</t>
        </is>
      </c>
    </row>
    <row r="196">
      <c r="P196" s="66" t="inlineStr">
        <is>
          <t>2605609V</t>
        </is>
      </c>
      <c r="Q196" s="66" t="inlineStr">
        <is>
          <t>ASX - CEO Farewell - 27.5.26</t>
        </is>
      </c>
      <c r="R196" s="66" t="inlineStr">
        <is>
          <t>VIDEO</t>
        </is>
      </c>
    </row>
    <row r="197">
      <c r="P197" s="66" t="inlineStr">
        <is>
          <t>2605610</t>
        </is>
      </c>
      <c r="Q197" s="66" t="inlineStr">
        <is>
          <t>ASX CEO Farewell Additional Costs</t>
        </is>
      </c>
      <c r="R197" s="66" t="inlineStr">
        <is>
          <t>PRODUCTION</t>
        </is>
      </c>
    </row>
    <row r="198">
      <c r="P198" s="66" t="inlineStr">
        <is>
          <t>2605704</t>
        </is>
      </c>
      <c r="Q198" s="66" t="inlineStr">
        <is>
          <t>CBA CBPS Auditorium Upgrade</t>
        </is>
      </c>
      <c r="R198" s="66" t="inlineStr">
        <is>
          <t>INTEGRATION</t>
        </is>
      </c>
    </row>
    <row r="199">
      <c r="P199" s="66" t="inlineStr">
        <is>
          <t>2605801</t>
        </is>
      </c>
      <c r="Q199" s="66" t="inlineStr">
        <is>
          <t>Dimensional - AV Support - 3-4.6.26</t>
        </is>
      </c>
      <c r="R199" s="66" t="inlineStr">
        <is>
          <t>PRODUCTION</t>
        </is>
      </c>
    </row>
    <row r="200">
      <c r="P200" s="66" t="inlineStr">
        <is>
          <t>2605803</t>
        </is>
      </c>
      <c r="Q200" s="66" t="inlineStr">
        <is>
          <t>St Catherine's - Dedicated Tech - 12.6.26</t>
        </is>
      </c>
      <c r="R200" s="66" t="inlineStr">
        <is>
          <t>PRODUCTION</t>
        </is>
      </c>
    </row>
    <row r="201">
      <c r="P201" s="66" t="inlineStr">
        <is>
          <t>2605804</t>
        </is>
      </c>
      <c r="Q201" s="66" t="inlineStr">
        <is>
          <t>City of Sydney Supply of Barco Projector Shutters</t>
        </is>
      </c>
      <c r="R201" s="66" t="inlineStr">
        <is>
          <t>INTEGRATION</t>
        </is>
      </c>
    </row>
    <row r="202">
      <c r="P202" s="66" t="inlineStr">
        <is>
          <t>2605806</t>
        </is>
      </c>
      <c r="Q202" s="66" t="inlineStr">
        <is>
          <t>Aware Super AV Fitout @ 555 Collins Street MEL</t>
        </is>
      </c>
      <c r="R202" s="66" t="inlineStr">
        <is>
          <t>INTEGRATION</t>
        </is>
      </c>
    </row>
    <row r="203">
      <c r="P203" s="66" t="inlineStr">
        <is>
          <t>26061001</t>
        </is>
      </c>
      <c r="Q203" s="66" t="inlineStr">
        <is>
          <t>Garvan August All Clear Event 25.8.26</t>
        </is>
      </c>
      <c r="R203" s="66" t="inlineStr">
        <is>
          <t>PRODUCTION</t>
        </is>
      </c>
    </row>
    <row r="204">
      <c r="P204" s="66" t="inlineStr">
        <is>
          <t>26061002</t>
        </is>
      </c>
      <c r="Q204" s="66" t="inlineStr">
        <is>
          <t>Optiver - Fireside Event Support - 18.6.26</t>
        </is>
      </c>
      <c r="R204" s="66" t="inlineStr">
        <is>
          <t>PRODUCTION</t>
        </is>
      </c>
    </row>
    <row r="205">
      <c r="P205" s="66" t="inlineStr">
        <is>
          <t>26061002V</t>
        </is>
      </c>
      <c r="Q205" s="66" t="inlineStr">
        <is>
          <t>Optiver - Fireside Event Support - 18.6.26</t>
        </is>
      </c>
      <c r="R205" s="66" t="inlineStr">
        <is>
          <t>VIDEO</t>
        </is>
      </c>
    </row>
    <row r="206">
      <c r="P206" s="66" t="inlineStr">
        <is>
          <t>26061102</t>
        </is>
      </c>
      <c r="Q206" s="66" t="inlineStr">
        <is>
          <t>CSE Invest Sri Lanka | 16.8.26</t>
        </is>
      </c>
      <c r="R206" s="66" t="inlineStr">
        <is>
          <t>PRODUCTION</t>
        </is>
      </c>
    </row>
    <row r="207">
      <c r="P207" s="66" t="inlineStr">
        <is>
          <t>26061102V</t>
        </is>
      </c>
      <c r="Q207" s="66" t="inlineStr">
        <is>
          <t>CSE Invest Sri Lanka | 16.8.26</t>
        </is>
      </c>
      <c r="R207" s="66" t="inlineStr">
        <is>
          <t>VIDEO</t>
        </is>
      </c>
    </row>
    <row r="208">
      <c r="P208" s="66" t="inlineStr">
        <is>
          <t>26061103</t>
        </is>
      </c>
      <c r="Q208" s="66" t="inlineStr">
        <is>
          <t>Circadia Australia Elevate | 14.8.26</t>
        </is>
      </c>
      <c r="R208" s="66" t="inlineStr">
        <is>
          <t>PRODUCTION</t>
        </is>
      </c>
    </row>
    <row r="209">
      <c r="P209" s="66" t="inlineStr">
        <is>
          <t>26061103V</t>
        </is>
      </c>
      <c r="Q209" s="66" t="inlineStr">
        <is>
          <t>Circadia Australia Elevate | 14.8.26</t>
        </is>
      </c>
      <c r="R209" s="66" t="inlineStr">
        <is>
          <t>VIDEO</t>
        </is>
      </c>
    </row>
    <row r="210">
      <c r="P210" s="66" t="inlineStr">
        <is>
          <t>26061104</t>
        </is>
      </c>
      <c r="Q210" s="66" t="inlineStr">
        <is>
          <t>MUFG - FYR26 - 12.8.26</t>
        </is>
      </c>
      <c r="R210" s="66" t="inlineStr">
        <is>
          <t>PRODUCTION</t>
        </is>
      </c>
    </row>
    <row r="211">
      <c r="P211" s="66" t="inlineStr">
        <is>
          <t>26061104V</t>
        </is>
      </c>
      <c r="Q211" s="66" t="inlineStr">
        <is>
          <t>MUFG - FYR26 - 12.8.26</t>
        </is>
      </c>
      <c r="R211" s="66" t="inlineStr">
        <is>
          <t>VIDEO</t>
        </is>
      </c>
    </row>
    <row r="212">
      <c r="P212" s="66" t="inlineStr">
        <is>
          <t>26061105</t>
        </is>
      </c>
      <c r="Q212" s="66" t="inlineStr">
        <is>
          <t>CBA - FYR 2026 - 12.8.26</t>
        </is>
      </c>
      <c r="R212" s="66" t="inlineStr">
        <is>
          <t>PRODUCTION</t>
        </is>
      </c>
    </row>
    <row r="213">
      <c r="P213" s="66" t="inlineStr">
        <is>
          <t>26061105V</t>
        </is>
      </c>
      <c r="Q213" s="66" t="inlineStr">
        <is>
          <t>CBA - FYR 2026 - 12.8.26</t>
        </is>
      </c>
      <c r="R213" s="66" t="inlineStr">
        <is>
          <t>VIDEO</t>
        </is>
      </c>
    </row>
    <row r="214">
      <c r="P214" s="66" t="inlineStr">
        <is>
          <t>26061106</t>
        </is>
      </c>
      <c r="Q214" s="66" t="inlineStr">
        <is>
          <t>TLC Full Year Results MEL</t>
        </is>
      </c>
      <c r="R214" s="66" t="inlineStr">
        <is>
          <t>PRODUCTION</t>
        </is>
      </c>
    </row>
    <row r="215">
      <c r="P215" s="66" t="inlineStr">
        <is>
          <t>26061106V</t>
        </is>
      </c>
      <c r="Q215" s="66" t="inlineStr">
        <is>
          <t>TLC Full Year Results MEL</t>
        </is>
      </c>
      <c r="R215" s="66" t="inlineStr">
        <is>
          <t>VIDEO</t>
        </is>
      </c>
    </row>
    <row r="216">
      <c r="P216" s="66" t="inlineStr">
        <is>
          <t>26061107</t>
        </is>
      </c>
      <c r="Q216" s="66" t="inlineStr">
        <is>
          <t>Downer - FYR 2026 - 20.8.26</t>
        </is>
      </c>
      <c r="R216" s="66" t="inlineStr">
        <is>
          <t>PRODUCTION</t>
        </is>
      </c>
    </row>
    <row r="217">
      <c r="P217" s="66" t="inlineStr">
        <is>
          <t>26061107V</t>
        </is>
      </c>
      <c r="Q217" s="66" t="inlineStr">
        <is>
          <t>Downer - FYR 2026 - 20.8.26</t>
        </is>
      </c>
      <c r="R217" s="66" t="inlineStr">
        <is>
          <t>VIDEO</t>
        </is>
      </c>
    </row>
    <row r="218">
      <c r="P218" s="66" t="inlineStr">
        <is>
          <t>26061108</t>
        </is>
      </c>
      <c r="Q218" s="66" t="inlineStr">
        <is>
          <t>APA - Qtly All Hands FYR26 - 20.8.26</t>
        </is>
      </c>
      <c r="R218" s="66" t="inlineStr">
        <is>
          <t>PRODUCTION</t>
        </is>
      </c>
    </row>
    <row r="219">
      <c r="P219" s="66" t="inlineStr">
        <is>
          <t>26061108V</t>
        </is>
      </c>
      <c r="Q219" s="66" t="inlineStr">
        <is>
          <t>APA - Qtly All Hands FYR26 - 20.8.26</t>
        </is>
      </c>
      <c r="R219" s="66" t="inlineStr">
        <is>
          <t>VIDEO</t>
        </is>
      </c>
    </row>
    <row r="220">
      <c r="P220" s="66" t="inlineStr">
        <is>
          <t>26061109</t>
        </is>
      </c>
      <c r="Q220" s="66" t="inlineStr">
        <is>
          <t>Ventia - FYR26 - 24.8.26</t>
        </is>
      </c>
      <c r="R220" s="66" t="inlineStr">
        <is>
          <t>PRODUCTION</t>
        </is>
      </c>
    </row>
    <row r="221">
      <c r="P221" s="66" t="inlineStr">
        <is>
          <t>26061109V</t>
        </is>
      </c>
      <c r="Q221" s="66" t="inlineStr">
        <is>
          <t>Ventia - FYR26 - 24.8.26</t>
        </is>
      </c>
      <c r="R221" s="66" t="inlineStr">
        <is>
          <t>VIDEO</t>
        </is>
      </c>
    </row>
    <row r="222">
      <c r="P222" s="66" t="inlineStr">
        <is>
          <t>26061201</t>
        </is>
      </c>
      <c r="Q222" s="66" t="inlineStr">
        <is>
          <t>PWC - Firmwide Webcast - 30.6.26</t>
        </is>
      </c>
      <c r="R222" s="66" t="inlineStr">
        <is>
          <t>PRODUCTION</t>
        </is>
      </c>
    </row>
    <row r="223">
      <c r="P223" s="66" t="inlineStr">
        <is>
          <t>26061201V</t>
        </is>
      </c>
      <c r="Q223" s="66" t="inlineStr">
        <is>
          <t>PWC - Firmwide Webcast - 30.6.26</t>
        </is>
      </c>
      <c r="R223" s="66" t="inlineStr">
        <is>
          <t>VIDEO</t>
        </is>
      </c>
    </row>
    <row r="224">
      <c r="P224" s="66" t="inlineStr">
        <is>
          <t>26061202</t>
        </is>
      </c>
      <c r="Q224" s="66" t="inlineStr">
        <is>
          <t>CBA AGM 2027</t>
        </is>
      </c>
      <c r="R224" s="66" t="inlineStr">
        <is>
          <t>PRODUCTION</t>
        </is>
      </c>
    </row>
    <row r="225">
      <c r="P225" s="66" t="inlineStr">
        <is>
          <t>26061202V</t>
        </is>
      </c>
      <c r="Q225" s="66" t="inlineStr">
        <is>
          <t>CBA AGM 2027</t>
        </is>
      </c>
      <c r="R225" s="66" t="inlineStr">
        <is>
          <t>VIDEO</t>
        </is>
      </c>
    </row>
    <row r="226">
      <c r="P226" s="66" t="inlineStr">
        <is>
          <t>26061501</t>
        </is>
      </c>
      <c r="Q226" s="66" t="inlineStr">
        <is>
          <t>DTTL MEL Lv29 Display Supply</t>
        </is>
      </c>
      <c r="R226" s="66" t="inlineStr">
        <is>
          <t>INTEGRATION</t>
        </is>
      </c>
    </row>
    <row r="227">
      <c r="P227" s="66" t="inlineStr">
        <is>
          <t>26061602</t>
        </is>
      </c>
      <c r="Q227" s="66" t="inlineStr">
        <is>
          <t>ASX - CEO Connect (Extended) - 1.9.26</t>
        </is>
      </c>
      <c r="R227" s="66" t="inlineStr">
        <is>
          <t>PRODUCTION</t>
        </is>
      </c>
    </row>
    <row r="228">
      <c r="P228" s="66" t="inlineStr">
        <is>
          <t>26061602V</t>
        </is>
      </c>
      <c r="Q228" s="66" t="inlineStr">
        <is>
          <t>ASX - CEO Connect (Extended) - 1.9.26</t>
        </is>
      </c>
      <c r="R228" s="66" t="inlineStr">
        <is>
          <t>VIDEO</t>
        </is>
      </c>
    </row>
    <row r="229">
      <c r="P229" s="66" t="inlineStr">
        <is>
          <t>26061605</t>
        </is>
      </c>
      <c r="Q229" s="66" t="inlineStr">
        <is>
          <t>MUFG - IBM Ltd AGM - 27.10.26</t>
        </is>
      </c>
      <c r="R229" s="66" t="inlineStr">
        <is>
          <t>PRODUCTION</t>
        </is>
      </c>
    </row>
    <row r="230">
      <c r="P230" s="66" t="inlineStr">
        <is>
          <t>26061605V</t>
        </is>
      </c>
      <c r="Q230" s="66" t="inlineStr">
        <is>
          <t>MUFG - IBM Ltd AGM - 27.10.26</t>
        </is>
      </c>
      <c r="R230" s="66" t="inlineStr">
        <is>
          <t>VIDEO</t>
        </is>
      </c>
    </row>
    <row r="231">
      <c r="P231" s="66" t="inlineStr">
        <is>
          <t>26061606</t>
        </is>
      </c>
      <c r="Q231" s="66" t="inlineStr">
        <is>
          <t>MUFG - Endeavour AGM - 30.10.26</t>
        </is>
      </c>
      <c r="R231" s="66" t="inlineStr">
        <is>
          <t>PRODUCTION</t>
        </is>
      </c>
    </row>
    <row r="232">
      <c r="P232" s="66" t="inlineStr">
        <is>
          <t>26061606V</t>
        </is>
      </c>
      <c r="Q232" s="66" t="inlineStr">
        <is>
          <t>MUFG - Endeavour AGM - 30.10.26</t>
        </is>
      </c>
      <c r="R232" s="66" t="inlineStr">
        <is>
          <t>VIDEO</t>
        </is>
      </c>
    </row>
    <row r="233">
      <c r="P233" s="66" t="inlineStr">
        <is>
          <t>26061607</t>
        </is>
      </c>
      <c r="Q233" s="66" t="inlineStr">
        <is>
          <t>APA - Qtly All Hands (BNE) - 4.11.26</t>
        </is>
      </c>
      <c r="R233" s="66" t="inlineStr">
        <is>
          <t>PRODUCTION</t>
        </is>
      </c>
    </row>
    <row r="234">
      <c r="P234" s="66" t="inlineStr">
        <is>
          <t>26061607V</t>
        </is>
      </c>
      <c r="Q234" s="66" t="inlineStr">
        <is>
          <t>APA - Qtly All Hands (BNE) - 4.11.26</t>
        </is>
      </c>
      <c r="R234" s="66" t="inlineStr">
        <is>
          <t>VIDEO</t>
        </is>
      </c>
    </row>
    <row r="235">
      <c r="P235" s="66" t="inlineStr">
        <is>
          <t>26061608</t>
        </is>
      </c>
      <c r="Q235" s="66" t="inlineStr">
        <is>
          <t>APA - Qtly All Hands Sydney - Feb 27</t>
        </is>
      </c>
      <c r="R235" s="66" t="inlineStr">
        <is>
          <t>PRODUCTION</t>
        </is>
      </c>
    </row>
    <row r="236">
      <c r="P236" s="66" t="inlineStr">
        <is>
          <t>26061608V</t>
        </is>
      </c>
      <c r="Q236" s="66" t="inlineStr">
        <is>
          <t>APA - Qtly All Hands Sydney - Feb 27</t>
        </is>
      </c>
      <c r="R236" s="66" t="inlineStr">
        <is>
          <t>VIDEO</t>
        </is>
      </c>
    </row>
    <row r="237">
      <c r="P237" s="66" t="inlineStr">
        <is>
          <t>26061609</t>
        </is>
      </c>
      <c r="Q237" s="66" t="inlineStr">
        <is>
          <t>APA Qtly All Hands Perth - May 2027</t>
        </is>
      </c>
      <c r="R237" s="66" t="inlineStr">
        <is>
          <t>PRODUCTION</t>
        </is>
      </c>
    </row>
    <row r="238">
      <c r="P238" s="66" t="inlineStr">
        <is>
          <t>26061609V</t>
        </is>
      </c>
      <c r="Q238" s="66" t="inlineStr">
        <is>
          <t>APA Qtly All Hands Perth - May 2027</t>
        </is>
      </c>
      <c r="R238" s="66" t="inlineStr">
        <is>
          <t>VIDEO</t>
        </is>
      </c>
    </row>
    <row r="239">
      <c r="P239" s="66" t="inlineStr">
        <is>
          <t>26061611</t>
        </is>
      </c>
      <c r="Q239" s="66" t="inlineStr">
        <is>
          <t>QBE - Keynote Event - 27.10.26</t>
        </is>
      </c>
      <c r="R239" s="66" t="inlineStr">
        <is>
          <t>PRODUCTION</t>
        </is>
      </c>
    </row>
    <row r="240">
      <c r="P240" s="66" t="inlineStr">
        <is>
          <t>26061611V</t>
        </is>
      </c>
      <c r="Q240" s="66" t="inlineStr">
        <is>
          <t>QBE - Keynote Event - 27.10.26</t>
        </is>
      </c>
      <c r="R240" s="66" t="inlineStr">
        <is>
          <t>VIDEO</t>
        </is>
      </c>
    </row>
    <row r="241">
      <c r="P241" s="66" t="inlineStr">
        <is>
          <t>26061612</t>
        </is>
      </c>
      <c r="Q241" s="66" t="inlineStr">
        <is>
          <t>Chorus Call - Redox AGM - 7.10.26</t>
        </is>
      </c>
      <c r="R241" s="66" t="inlineStr">
        <is>
          <t>PRODUCTION</t>
        </is>
      </c>
    </row>
    <row r="242">
      <c r="P242" s="66" t="inlineStr">
        <is>
          <t>26061612V</t>
        </is>
      </c>
      <c r="Q242" s="66" t="inlineStr">
        <is>
          <t>Chorus Call - Redox AGM - 7.10.26</t>
        </is>
      </c>
      <c r="R242" s="66" t="inlineStr">
        <is>
          <t>VIDEO</t>
        </is>
      </c>
    </row>
    <row r="243">
      <c r="P243" s="66" t="inlineStr">
        <is>
          <t>26061701</t>
        </is>
      </c>
      <c r="Q243" s="66" t="inlineStr">
        <is>
          <t>CBA - LES - July 2026</t>
        </is>
      </c>
      <c r="R243" s="66" t="inlineStr">
        <is>
          <t>PRODUCTION</t>
        </is>
      </c>
    </row>
    <row r="244">
      <c r="P244" s="66" t="inlineStr">
        <is>
          <t>26061702</t>
        </is>
      </c>
      <c r="Q244" s="66" t="inlineStr">
        <is>
          <t>Garvan - Morning Tea Event - 31.7.26</t>
        </is>
      </c>
      <c r="R244" s="66" t="inlineStr">
        <is>
          <t>PRODUCTION</t>
        </is>
      </c>
    </row>
    <row r="245">
      <c r="P245" s="66" t="inlineStr">
        <is>
          <t>26061801</t>
        </is>
      </c>
      <c r="Q245" s="66" t="inlineStr">
        <is>
          <t>APA - Investor Briefing FYR26 - 20.8.26</t>
        </is>
      </c>
      <c r="R245" s="66" t="inlineStr">
        <is>
          <t>PRODUCTION</t>
        </is>
      </c>
    </row>
    <row r="246">
      <c r="P246" s="66" t="inlineStr">
        <is>
          <t>26061801V</t>
        </is>
      </c>
      <c r="Q246" s="66" t="inlineStr">
        <is>
          <t>APA - Investor Briefing FYR26 - 20.8.26</t>
        </is>
      </c>
      <c r="R246" s="66" t="inlineStr">
        <is>
          <t>VIDEO</t>
        </is>
      </c>
    </row>
    <row r="247">
      <c r="P247" s="66" t="inlineStr">
        <is>
          <t>26062201</t>
        </is>
      </c>
      <c r="Q247" s="66" t="inlineStr">
        <is>
          <t>PWC - Tax &amp; Legal Webcast 02.07.26</t>
        </is>
      </c>
      <c r="R247" s="66" t="inlineStr">
        <is>
          <t>PRODUCTION</t>
        </is>
      </c>
    </row>
    <row r="248">
      <c r="P248" s="66" t="inlineStr">
        <is>
          <t>26062201V</t>
        </is>
      </c>
      <c r="Q248" s="66" t="inlineStr">
        <is>
          <t>PWC - Tax &amp; Legal Webcast 02.07.26</t>
        </is>
      </c>
      <c r="R248" s="66" t="inlineStr">
        <is>
          <t>VIDEO</t>
        </is>
      </c>
    </row>
    <row r="249">
      <c r="P249" s="66" t="inlineStr">
        <is>
          <t>26062202</t>
        </is>
      </c>
      <c r="Q249" s="66" t="inlineStr">
        <is>
          <t>PWC - Early Careers Webcast - 29.7.26</t>
        </is>
      </c>
      <c r="R249" s="66" t="inlineStr">
        <is>
          <t>PRODUCTION</t>
        </is>
      </c>
    </row>
    <row r="250">
      <c r="P250" s="66" t="inlineStr">
        <is>
          <t>26062202V</t>
        </is>
      </c>
      <c r="Q250" s="66" t="inlineStr">
        <is>
          <t>PWC - Early Careers Webcast - 29.7.26</t>
        </is>
      </c>
      <c r="R250" s="66" t="inlineStr">
        <is>
          <t>VIDEO</t>
        </is>
      </c>
    </row>
    <row r="251">
      <c r="P251" s="66" t="inlineStr">
        <is>
          <t>26062403</t>
        </is>
      </c>
      <c r="Q251" s="66" t="inlineStr">
        <is>
          <t>CBA - CommBank Private Hosting 25.6.26</t>
        </is>
      </c>
      <c r="R251" s="66" t="inlineStr">
        <is>
          <t>PRODUCTION</t>
        </is>
      </c>
    </row>
    <row r="252">
      <c r="P252" s="66" t="inlineStr">
        <is>
          <t>26062403V</t>
        </is>
      </c>
      <c r="Q252" s="66" t="inlineStr">
        <is>
          <t>CBA - CommBank Private Hosting 25.6.26</t>
        </is>
      </c>
      <c r="R252" s="66" t="inlineStr">
        <is>
          <t>VIDEO</t>
        </is>
      </c>
    </row>
    <row r="253">
      <c r="P253" s="66" t="inlineStr">
        <is>
          <t>26062501</t>
        </is>
      </c>
      <c r="Q253" s="66" t="inlineStr">
        <is>
          <t>DTTL STL Travel (SYD-MEL Return)</t>
        </is>
      </c>
      <c r="R253" s="66" t="inlineStr">
        <is>
          <t>ONSITE</t>
        </is>
      </c>
    </row>
    <row r="254">
      <c r="P254" s="66" t="inlineStr">
        <is>
          <t>26062503</t>
        </is>
      </c>
      <c r="Q254" s="66" t="inlineStr">
        <is>
          <t>Aware Super 24.16 UC Engine Replacement</t>
        </is>
      </c>
      <c r="R254" s="66" t="inlineStr">
        <is>
          <t>INTEGRATION</t>
        </is>
      </c>
    </row>
    <row r="255">
      <c r="P255" s="66" t="inlineStr">
        <is>
          <t>26062601</t>
        </is>
      </c>
      <c r="Q255" s="66" t="inlineStr">
        <is>
          <t>Ventia - XELT Event - 29.6.26</t>
        </is>
      </c>
      <c r="R255" s="66" t="inlineStr">
        <is>
          <t>PRODUCTION</t>
        </is>
      </c>
    </row>
    <row r="256">
      <c r="P256" s="66" t="inlineStr">
        <is>
          <t>26062601V</t>
        </is>
      </c>
      <c r="Q256" s="66" t="inlineStr">
        <is>
          <t>Ventia - XELT Event - 29.6.26</t>
        </is>
      </c>
      <c r="R256" s="66" t="inlineStr">
        <is>
          <t>VIDEO</t>
        </is>
      </c>
    </row>
    <row r="257">
      <c r="P257" s="66" t="inlineStr">
        <is>
          <t>26062901</t>
        </is>
      </c>
      <c r="Q257" s="66" t="inlineStr">
        <is>
          <t>Aware | SYD 28.06 Services</t>
        </is>
      </c>
      <c r="R257" s="66" t="inlineStr">
        <is>
          <t>INTEGRATION</t>
        </is>
      </c>
    </row>
    <row r="258">
      <c r="P258" s="66" t="inlineStr">
        <is>
          <t>26062902</t>
        </is>
      </c>
      <c r="Q258" s="66" t="inlineStr">
        <is>
          <t>Aware | SYD Occupancy Sensors</t>
        </is>
      </c>
      <c r="R258" s="66" t="inlineStr">
        <is>
          <t>INTEGRATION</t>
        </is>
      </c>
    </row>
    <row r="259">
      <c r="P259" s="66" t="inlineStr">
        <is>
          <t>26063002</t>
        </is>
      </c>
      <c r="Q259" s="66" t="inlineStr">
        <is>
          <t>CEOi - CEO Connect - 11.8.26</t>
        </is>
      </c>
      <c r="R259" s="66" t="inlineStr">
        <is>
          <t>PRODUCTION</t>
        </is>
      </c>
    </row>
    <row r="260">
      <c r="P260" s="66" t="inlineStr">
        <is>
          <t>26063002V</t>
        </is>
      </c>
      <c r="Q260" s="66" t="inlineStr">
        <is>
          <t>CEOi - CEO Connect - 11.8.26</t>
        </is>
      </c>
      <c r="R260" s="66" t="inlineStr">
        <is>
          <t>VIDEO</t>
        </is>
      </c>
    </row>
    <row r="261">
      <c r="P261" s="66" t="inlineStr">
        <is>
          <t>2606401V</t>
        </is>
      </c>
      <c r="Q261" s="66" t="inlineStr">
        <is>
          <t>PWC - NRW Webcast - 11.6.26</t>
        </is>
      </c>
      <c r="R261" s="66" t="inlineStr">
        <is>
          <t>VIDEO</t>
        </is>
      </c>
    </row>
    <row r="262">
      <c r="P262" s="66" t="inlineStr">
        <is>
          <t>2606901</t>
        </is>
      </c>
      <c r="Q262" s="66" t="inlineStr">
        <is>
          <t>PwC | Syd Studio Equipment</t>
        </is>
      </c>
      <c r="R262" s="66" t="inlineStr">
        <is>
          <t>INTEGRATION</t>
        </is>
      </c>
    </row>
    <row r="263">
      <c r="P263" s="66" t="inlineStr">
        <is>
          <t>2606902</t>
        </is>
      </c>
      <c r="Q263" s="66" t="inlineStr">
        <is>
          <t>AVIT - Taronga AV Support - 9-11.6.26</t>
        </is>
      </c>
      <c r="R263" s="66" t="inlineStr">
        <is>
          <t>PRODUCTION</t>
        </is>
      </c>
    </row>
    <row r="264">
      <c r="P264" s="66" t="inlineStr">
        <is>
          <t>2606903</t>
        </is>
      </c>
      <c r="Q264" s="66" t="inlineStr">
        <is>
          <t>Virgin FY26 Results</t>
        </is>
      </c>
      <c r="R264" s="66" t="inlineStr">
        <is>
          <t>PRODUCTION</t>
        </is>
      </c>
    </row>
    <row r="265">
      <c r="P265" s="66" t="inlineStr">
        <is>
          <t>2606903V</t>
        </is>
      </c>
      <c r="Q265" s="66" t="inlineStr">
        <is>
          <t>Virgin FY26 Results</t>
        </is>
      </c>
      <c r="R265" s="66" t="inlineStr">
        <is>
          <t>VIDEO</t>
        </is>
      </c>
    </row>
    <row r="266">
      <c r="P266" s="66" t="inlineStr">
        <is>
          <t>2606904</t>
        </is>
      </c>
      <c r="Q266" s="66" t="inlineStr">
        <is>
          <t>Symal - FYR26 (Melb) - 24.8.26</t>
        </is>
      </c>
      <c r="R266" s="66" t="inlineStr">
        <is>
          <t>PRODUCTION</t>
        </is>
      </c>
    </row>
    <row r="267">
      <c r="P267" s="66" t="inlineStr">
        <is>
          <t>2606904V</t>
        </is>
      </c>
      <c r="Q267" s="66" t="inlineStr">
        <is>
          <t>Symal - FYR26 (Melb) - 24.8.26</t>
        </is>
      </c>
      <c r="R267" s="66" t="inlineStr">
        <is>
          <t>VIDEO</t>
        </is>
      </c>
    </row>
    <row r="268">
      <c r="P268" s="66" t="inlineStr">
        <is>
          <t>2606905</t>
        </is>
      </c>
      <c r="Q268" s="66" t="inlineStr">
        <is>
          <t>Dimensional - Audio Tech Support - 22.6.26</t>
        </is>
      </c>
      <c r="R268" s="66" t="inlineStr">
        <is>
          <t>PRODUCTION</t>
        </is>
      </c>
    </row>
    <row r="269">
      <c r="P269" s="66" t="inlineStr">
        <is>
          <t>2606906</t>
        </is>
      </c>
      <c r="Q269" s="66" t="inlineStr">
        <is>
          <t>St Catherines Case Study Video Non-Chrgable</t>
        </is>
      </c>
      <c r="R269" s="66" t="inlineStr">
        <is>
          <t>VIDEO</t>
        </is>
      </c>
    </row>
    <row r="270">
      <c r="P270" s="66" t="inlineStr">
        <is>
          <t>26071303</t>
        </is>
      </c>
      <c r="Q270" s="66" t="inlineStr">
        <is>
          <t>Ventia - Melbourne Office Event - 30.7.26</t>
        </is>
      </c>
      <c r="R270" s="66" t="inlineStr">
        <is>
          <t>PRODUCTION</t>
        </is>
      </c>
    </row>
    <row r="271">
      <c r="P271" s="66" t="inlineStr">
        <is>
          <t>26071304</t>
        </is>
      </c>
      <c r="Q271" s="66" t="inlineStr">
        <is>
          <t>YSG | Orange Room Upgrade</t>
        </is>
      </c>
      <c r="R271" s="66" t="inlineStr">
        <is>
          <t>INTEGRATION</t>
        </is>
      </c>
    </row>
    <row r="272">
      <c r="P272" s="66" t="inlineStr">
        <is>
          <t>26071403</t>
        </is>
      </c>
      <c r="Q272" s="66" t="inlineStr">
        <is>
          <t>Elkiem - Studio Support - 4.11.26</t>
        </is>
      </c>
      <c r="R272" s="66" t="inlineStr">
        <is>
          <t>PRODUCTION</t>
        </is>
      </c>
    </row>
    <row r="273">
      <c r="P273" s="66" t="inlineStr">
        <is>
          <t>26071404</t>
        </is>
      </c>
      <c r="Q273" s="66" t="inlineStr">
        <is>
          <t>Elkiem - Studio Support - 9.12.26</t>
        </is>
      </c>
      <c r="R273" s="66" t="inlineStr">
        <is>
          <t>PRODUCTION</t>
        </is>
      </c>
    </row>
    <row r="274">
      <c r="P274" s="66" t="inlineStr">
        <is>
          <t>26071405</t>
        </is>
      </c>
      <c r="Q274" s="66" t="inlineStr">
        <is>
          <t>PWC - Event Technician - 29.7.26</t>
        </is>
      </c>
      <c r="R274" s="66" t="inlineStr">
        <is>
          <t>PRODUCTION</t>
        </is>
      </c>
    </row>
    <row r="275">
      <c r="P275" s="66" t="inlineStr">
        <is>
          <t>26071501</t>
        </is>
      </c>
      <c r="Q275" s="66" t="inlineStr">
        <is>
          <t>Ventia - Half Year Results Briefing - 24.8.26</t>
        </is>
      </c>
      <c r="R275" s="66" t="inlineStr">
        <is>
          <t>PRODUCTION</t>
        </is>
      </c>
    </row>
    <row r="276">
      <c r="P276" s="66" t="inlineStr">
        <is>
          <t>26071501V</t>
        </is>
      </c>
      <c r="Q276" s="66" t="inlineStr">
        <is>
          <t>Ventia - Half Year Results Briefing - 24.8.26</t>
        </is>
      </c>
      <c r="R276" s="66" t="inlineStr">
        <is>
          <t>VIDEO</t>
        </is>
      </c>
    </row>
    <row r="277">
      <c r="P277" s="66" t="inlineStr">
        <is>
          <t>26071601</t>
        </is>
      </c>
      <c r="Q277" s="66" t="inlineStr">
        <is>
          <t>Aware | PER | Barry Marshall and Albany Rooms BYOD USB-C Replcmnt</t>
        </is>
      </c>
      <c r="R277" s="66" t="inlineStr">
        <is>
          <t>INTEGRATION</t>
        </is>
      </c>
    </row>
    <row r="278">
      <c r="P278" s="66" t="inlineStr">
        <is>
          <t>26071701</t>
        </is>
      </c>
      <c r="Q278" s="66" t="inlineStr">
        <is>
          <t>ASX Live - 9.9.26</t>
        </is>
      </c>
      <c r="R278" s="66" t="inlineStr">
        <is>
          <t>PRODUCTION</t>
        </is>
      </c>
    </row>
    <row r="279">
      <c r="P279" s="66" t="inlineStr">
        <is>
          <t>26071701V</t>
        </is>
      </c>
      <c r="Q279" s="66" t="inlineStr">
        <is>
          <t>ASX Live - 9.9.26</t>
        </is>
      </c>
      <c r="R279" s="66" t="inlineStr">
        <is>
          <t>VIDEO</t>
        </is>
      </c>
    </row>
    <row r="280">
      <c r="P280" s="66" t="inlineStr">
        <is>
          <t>26071901</t>
        </is>
      </c>
      <c r="Q280" s="66" t="inlineStr">
        <is>
          <t>Elkiem - Studio Support - 11.8.26</t>
        </is>
      </c>
      <c r="R280" s="66" t="inlineStr">
        <is>
          <t>PRODUCTION</t>
        </is>
      </c>
    </row>
    <row r="281">
      <c r="P281" s="66" t="inlineStr">
        <is>
          <t>26072003</t>
        </is>
      </c>
      <c r="Q281" s="66" t="inlineStr">
        <is>
          <t>CBA Live Event Support August 2026</t>
        </is>
      </c>
      <c r="R281" s="66" t="inlineStr">
        <is>
          <t>PRODUCTION</t>
        </is>
      </c>
    </row>
    <row r="282">
      <c r="P282" s="66" t="inlineStr">
        <is>
          <t>26072101</t>
        </is>
      </c>
      <c r="Q282" s="66" t="inlineStr">
        <is>
          <t>Aware MEL 17.02 Amp Replacement</t>
        </is>
      </c>
      <c r="R282" s="66" t="inlineStr">
        <is>
          <t>INTEGRATION</t>
        </is>
      </c>
    </row>
    <row r="283">
      <c r="P283" s="66" t="inlineStr">
        <is>
          <t>26072101</t>
        </is>
      </c>
      <c r="Q283" s="66" t="inlineStr">
        <is>
          <t>Aware_Mel 17.02 Amp Replacement</t>
        </is>
      </c>
      <c r="R283" s="66" t="inlineStr">
        <is>
          <t>INTEGRATION</t>
        </is>
      </c>
    </row>
    <row r="284">
      <c r="P284" s="66" t="inlineStr">
        <is>
          <t>26072102</t>
        </is>
      </c>
      <c r="Q284" s="66" t="inlineStr">
        <is>
          <t>Ventia - RUOK? Day - 10.09.2026</t>
        </is>
      </c>
      <c r="R284" s="66" t="inlineStr">
        <is>
          <t>PRODUCTION</t>
        </is>
      </c>
    </row>
    <row r="285">
      <c r="P285" s="66" t="inlineStr">
        <is>
          <t>26072102V</t>
        </is>
      </c>
      <c r="Q285" s="66" t="inlineStr">
        <is>
          <t>Ventia - RUOK? Day - 10.09.2026</t>
        </is>
      </c>
      <c r="R285" s="66" t="inlineStr">
        <is>
          <t>VIDEO</t>
        </is>
      </c>
    </row>
    <row r="286">
      <c r="P286" s="66" t="inlineStr">
        <is>
          <t>26072802</t>
        </is>
      </c>
      <c r="Q286" s="66" t="inlineStr">
        <is>
          <t>ON24 KWM Sydney Event - 18.08.2026</t>
        </is>
      </c>
      <c r="R286" s="66" t="inlineStr">
        <is>
          <t>PRODUCTION</t>
        </is>
      </c>
    </row>
    <row r="287">
      <c r="P287" s="66" t="inlineStr">
        <is>
          <t>26072802V</t>
        </is>
      </c>
      <c r="Q287" s="66" t="inlineStr">
        <is>
          <t>ON24 KWM Sydney Event - 18.08.2026</t>
        </is>
      </c>
      <c r="R287" s="66" t="inlineStr">
        <is>
          <t>VIDEO</t>
        </is>
      </c>
    </row>
    <row r="288">
      <c r="P288" s="66" t="inlineStr">
        <is>
          <t>26072902</t>
        </is>
      </c>
      <c r="Q288" s="66" t="inlineStr">
        <is>
          <t>PWC AI Townhall 6.8.26</t>
        </is>
      </c>
      <c r="R288" s="66" t="inlineStr">
        <is>
          <t>PRODUCTION</t>
        </is>
      </c>
    </row>
    <row r="289">
      <c r="P289" s="66" t="inlineStr">
        <is>
          <t>26072902V</t>
        </is>
      </c>
      <c r="Q289" s="66" t="inlineStr">
        <is>
          <t>PWC AI Townhall 6.8.26</t>
        </is>
      </c>
      <c r="R289" s="66" t="inlineStr">
        <is>
          <t>VIDEO</t>
        </is>
      </c>
    </row>
    <row r="290">
      <c r="P290" s="66" t="inlineStr">
        <is>
          <t>26072903</t>
        </is>
      </c>
      <c r="Q290" s="66" t="inlineStr">
        <is>
          <t>PWC - GB Webcast - 11.8.26</t>
        </is>
      </c>
      <c r="R290" s="66" t="inlineStr">
        <is>
          <t>PRODUCTION</t>
        </is>
      </c>
    </row>
    <row r="291">
      <c r="P291" s="66" t="inlineStr">
        <is>
          <t>26072903V</t>
        </is>
      </c>
      <c r="Q291" s="66" t="inlineStr">
        <is>
          <t>PWC - GB Webcast - 11.8.26</t>
        </is>
      </c>
      <c r="R291" s="66" t="inlineStr">
        <is>
          <t>VIDEO</t>
        </is>
      </c>
    </row>
    <row r="292">
      <c r="P292" s="66" t="inlineStr">
        <is>
          <t>26072906</t>
        </is>
      </c>
      <c r="Q292" s="66" t="inlineStr">
        <is>
          <t>ASX Advisory Group on Corporate Governance</t>
        </is>
      </c>
      <c r="R292" s="66" t="inlineStr">
        <is>
          <t>PRODUCTION</t>
        </is>
      </c>
    </row>
    <row r="293">
      <c r="P293" s="66" t="inlineStr">
        <is>
          <t>26072906V</t>
        </is>
      </c>
      <c r="Q293" s="66" t="inlineStr">
        <is>
          <t>ASX Advisory Group on Corporate Governance</t>
        </is>
      </c>
      <c r="R293" s="66" t="inlineStr">
        <is>
          <t>VIDEO</t>
        </is>
      </c>
    </row>
    <row r="294">
      <c r="P294" s="66" t="inlineStr">
        <is>
          <t>26073103</t>
        </is>
      </c>
      <c r="Q294" s="66" t="inlineStr">
        <is>
          <t>DTTL PER AV &amp; Hospitality Tech (SEP26-FEB27)</t>
        </is>
      </c>
      <c r="R294" s="66" t="inlineStr">
        <is>
          <t>ONSITE</t>
        </is>
      </c>
    </row>
    <row r="295">
      <c r="P295" s="66" t="inlineStr">
        <is>
          <t>26073103N</t>
        </is>
      </c>
      <c r="Q295" s="66" t="inlineStr">
        <is>
          <t>DTTL PER AV &amp; Hospitality Tech (SEP26-FEB27) [ONS] non-chargeable</t>
        </is>
      </c>
      <c r="R295" s="66" t="inlineStr"/>
    </row>
    <row r="296">
      <c r="P296" s="66" t="inlineStr">
        <is>
          <t>26073105</t>
        </is>
      </c>
      <c r="Q296" s="66" t="inlineStr">
        <is>
          <t>Elkiem - Studio Support - 25.8.26</t>
        </is>
      </c>
      <c r="R296" s="66" t="inlineStr">
        <is>
          <t>PRODUCTION</t>
        </is>
      </c>
    </row>
    <row r="297">
      <c r="P297" s="66" t="inlineStr">
        <is>
          <t>26073106</t>
        </is>
      </c>
      <c r="Q297" s="66" t="inlineStr">
        <is>
          <t>Elkiem - Studio Support - 18.9.26</t>
        </is>
      </c>
      <c r="R297" s="66" t="inlineStr">
        <is>
          <t>PRODUCTION</t>
        </is>
      </c>
    </row>
    <row r="298">
      <c r="P298" s="66" t="inlineStr">
        <is>
          <t>26073107</t>
        </is>
      </c>
      <c r="Q298" s="66" t="inlineStr">
        <is>
          <t>DTTL Travel for Technician &amp; Coverage ADL-HOB</t>
        </is>
      </c>
      <c r="R298" s="66" t="inlineStr">
        <is>
          <t>ONSITE</t>
        </is>
      </c>
    </row>
    <row r="299">
      <c r="P299" s="66" t="inlineStr">
        <is>
          <t>26073110</t>
        </is>
      </c>
      <c r="Q299" s="66" t="inlineStr">
        <is>
          <t>Garvan - Weizmann Dinner Event - 20.8.26</t>
        </is>
      </c>
      <c r="R299" s="66" t="inlineStr">
        <is>
          <t>PRODUCTION</t>
        </is>
      </c>
    </row>
    <row r="300">
      <c r="P300" s="66" t="inlineStr">
        <is>
          <t>26073110V</t>
        </is>
      </c>
      <c r="Q300" s="66" t="inlineStr">
        <is>
          <t>Garvan - Weizmann Dinner Event - 20.8.26</t>
        </is>
      </c>
      <c r="R300" s="66" t="inlineStr">
        <is>
          <t>VIDEO</t>
        </is>
      </c>
    </row>
    <row r="301">
      <c r="P301" s="66" t="inlineStr">
        <is>
          <t>26073111</t>
        </is>
      </c>
      <c r="Q301" s="66" t="inlineStr">
        <is>
          <t>Downer - FYR &amp; Employee Webcast - 25.8.26</t>
        </is>
      </c>
      <c r="R301" s="66" t="inlineStr">
        <is>
          <t>PRODUCTION</t>
        </is>
      </c>
    </row>
    <row r="302">
      <c r="P302" s="66" t="inlineStr">
        <is>
          <t>26073111V</t>
        </is>
      </c>
      <c r="Q302" s="66" t="inlineStr">
        <is>
          <t>Downer - FYR &amp; Employee Webcast - 25.8.26</t>
        </is>
      </c>
      <c r="R302" s="66" t="inlineStr">
        <is>
          <t>VIDEO</t>
        </is>
      </c>
    </row>
    <row r="303">
      <c r="P303" s="66" t="inlineStr">
        <is>
          <t>2607703</t>
        </is>
      </c>
      <c r="Q303" s="66" t="inlineStr">
        <is>
          <t>Garvan - YPO Event - 6.8.2026</t>
        </is>
      </c>
      <c r="R303" s="66" t="inlineStr">
        <is>
          <t>PRODUCTION</t>
        </is>
      </c>
    </row>
    <row r="304">
      <c r="P304" s="66" t="inlineStr">
        <is>
          <t>2607703V</t>
        </is>
      </c>
      <c r="Q304" s="66" t="inlineStr">
        <is>
          <t>Garvan - YPO Event - 6.8.2026</t>
        </is>
      </c>
      <c r="R304" s="66" t="inlineStr">
        <is>
          <t>VIDEO</t>
        </is>
      </c>
    </row>
    <row r="305">
      <c r="P305" s="66" t="inlineStr">
        <is>
          <t>2608101</t>
        </is>
      </c>
      <c r="Q305" s="66" t="inlineStr">
        <is>
          <t>ART - AMM Captioning - 25.11.26</t>
        </is>
      </c>
      <c r="R305" s="66" t="inlineStr">
        <is>
          <t>PRODUCTION</t>
        </is>
      </c>
    </row>
    <row r="306">
      <c r="P306" s="66" t="inlineStr">
        <is>
          <t>2608101V</t>
        </is>
      </c>
      <c r="Q306" s="66" t="inlineStr">
        <is>
          <t>ART - AMM Captioning - 25.11.26</t>
        </is>
      </c>
      <c r="R306" s="66" t="inlineStr">
        <is>
          <t>VIDEO</t>
        </is>
      </c>
    </row>
    <row r="307">
      <c r="P307" s="66" t="inlineStr">
        <is>
          <t>2608102</t>
        </is>
      </c>
      <c r="Q307" s="66" t="inlineStr">
        <is>
          <t>ART - Education Session Captioning - 25.11.26</t>
        </is>
      </c>
      <c r="R307" s="66" t="inlineStr">
        <is>
          <t>PRODUCTION</t>
        </is>
      </c>
    </row>
    <row r="308">
      <c r="P308" s="66" t="inlineStr">
        <is>
          <t>26081101</t>
        </is>
      </c>
      <c r="Q308" s="66" t="inlineStr">
        <is>
          <t>Vega Global - Payments Forum - 17.9.26</t>
        </is>
      </c>
      <c r="R308" s="66" t="inlineStr">
        <is>
          <t>PRODUCTION</t>
        </is>
      </c>
    </row>
    <row r="309">
      <c r="P309" s="66" t="inlineStr">
        <is>
          <t>26081302</t>
        </is>
      </c>
      <c r="Q309" s="66" t="inlineStr">
        <is>
          <t>Ubank - Volunteer Day - 11.11.26</t>
        </is>
      </c>
      <c r="R309" s="66" t="inlineStr">
        <is>
          <t>PRODUCTION</t>
        </is>
      </c>
    </row>
    <row r="310">
      <c r="P310" s="66" t="inlineStr">
        <is>
          <t>26081302V</t>
        </is>
      </c>
      <c r="Q310" s="66" t="inlineStr">
        <is>
          <t>Ubank - Volunteer Day - 11.11.26</t>
        </is>
      </c>
      <c r="R310" s="66" t="inlineStr">
        <is>
          <t>VIDEO</t>
        </is>
      </c>
    </row>
    <row r="311">
      <c r="P311" s="66" t="inlineStr">
        <is>
          <t>26081402</t>
        </is>
      </c>
      <c r="Q311" s="66" t="inlineStr">
        <is>
          <t>Dimensional - AV Support - 19.8.26</t>
        </is>
      </c>
      <c r="R311" s="66" t="inlineStr">
        <is>
          <t>PRODUCTION</t>
        </is>
      </c>
    </row>
    <row r="312">
      <c r="P312" s="66" t="inlineStr">
        <is>
          <t>26081801</t>
        </is>
      </c>
      <c r="Q312" s="66" t="inlineStr">
        <is>
          <t>Microsoft - SME&amp;C Town Hall 14.10.2026</t>
        </is>
      </c>
      <c r="R312" s="66" t="inlineStr">
        <is>
          <t>PRODUCTION</t>
        </is>
      </c>
    </row>
    <row r="313">
      <c r="P313" s="66" t="inlineStr">
        <is>
          <t>26081801V</t>
        </is>
      </c>
      <c r="Q313" s="66" t="inlineStr">
        <is>
          <t>Microsoft - SME&amp;C Town Hall 14.10.2026</t>
        </is>
      </c>
      <c r="R313" s="66" t="inlineStr">
        <is>
          <t>VIDEO</t>
        </is>
      </c>
    </row>
    <row r="314">
      <c r="P314" s="66" t="inlineStr">
        <is>
          <t>26081901</t>
        </is>
      </c>
      <c r="Q314" s="66" t="inlineStr">
        <is>
          <t>AusPayNet Logitech Essentials for Room License Renewal</t>
        </is>
      </c>
      <c r="R314" s="66" t="inlineStr">
        <is>
          <t>INTEGRATION</t>
        </is>
      </c>
    </row>
    <row r="315">
      <c r="P315" s="66" t="inlineStr">
        <is>
          <t>26081904</t>
        </is>
      </c>
      <c r="Q315" s="66" t="inlineStr">
        <is>
          <t>Garvan - AllClear Program Meeting - 2.9.26</t>
        </is>
      </c>
      <c r="R315" s="66" t="inlineStr">
        <is>
          <t>PRODUCTION</t>
        </is>
      </c>
    </row>
    <row r="316">
      <c r="P316" s="66" t="inlineStr">
        <is>
          <t>26082402</t>
        </is>
      </c>
      <c r="Q316" s="66" t="inlineStr">
        <is>
          <t>TLC - 2026 AGM - 14.10.26</t>
        </is>
      </c>
      <c r="R316" s="66" t="inlineStr">
        <is>
          <t>PRODUCTION</t>
        </is>
      </c>
    </row>
    <row r="317">
      <c r="P317" s="66" t="inlineStr">
        <is>
          <t>26082402V</t>
        </is>
      </c>
      <c r="Q317" s="66" t="inlineStr">
        <is>
          <t>TLC - 2026 AGM - 14.10.26</t>
        </is>
      </c>
      <c r="R317" s="66" t="inlineStr">
        <is>
          <t>VIDEO</t>
        </is>
      </c>
    </row>
    <row r="318">
      <c r="P318" s="66" t="inlineStr">
        <is>
          <t>26082501</t>
        </is>
      </c>
      <c r="Q318" s="66" t="inlineStr">
        <is>
          <t>CBA - LES - September 2026</t>
        </is>
      </c>
      <c r="R318" s="66" t="inlineStr">
        <is>
          <t>PRODUCTION</t>
        </is>
      </c>
    </row>
    <row r="319">
      <c r="P319" s="66" t="inlineStr">
        <is>
          <t>26082502</t>
        </is>
      </c>
      <c r="Q319" s="66" t="inlineStr">
        <is>
          <t>ICC - Presenter &amp; Speaker Preparation - September 2026</t>
        </is>
      </c>
      <c r="R319" s="66" t="inlineStr">
        <is>
          <t>PRODUCTION</t>
        </is>
      </c>
    </row>
    <row r="320">
      <c r="P320" s="66" t="inlineStr">
        <is>
          <t>26082502V</t>
        </is>
      </c>
      <c r="Q320" s="66" t="inlineStr">
        <is>
          <t>ICC - Presenter &amp; Speaker Preparation - September 2026</t>
        </is>
      </c>
      <c r="R320" s="66" t="inlineStr">
        <is>
          <t>VIDEO</t>
        </is>
      </c>
    </row>
    <row r="321">
      <c r="P321" s="66" t="inlineStr">
        <is>
          <t>26082702</t>
        </is>
      </c>
      <c r="Q321" s="66" t="inlineStr">
        <is>
          <t>Garvan - Breast Cancer Public Lecture - 1.10.26</t>
        </is>
      </c>
      <c r="R321" s="66" t="inlineStr">
        <is>
          <t>PRODUCTION</t>
        </is>
      </c>
    </row>
    <row r="322">
      <c r="P322" s="66" t="inlineStr">
        <is>
          <t>26082703</t>
        </is>
      </c>
      <c r="Q322" s="66" t="inlineStr">
        <is>
          <t>APA - RUOK Day - 10.9.26</t>
        </is>
      </c>
      <c r="R322" s="66" t="inlineStr">
        <is>
          <t>PRODUCTION</t>
        </is>
      </c>
    </row>
    <row r="323">
      <c r="P323" s="66" t="inlineStr">
        <is>
          <t>26082703V</t>
        </is>
      </c>
      <c r="Q323" s="66" t="inlineStr">
        <is>
          <t>APA - RUOK Day - 10.9.26</t>
        </is>
      </c>
      <c r="R323" s="66" t="inlineStr">
        <is>
          <t>VIDEO</t>
        </is>
      </c>
    </row>
    <row r="324">
      <c r="P324" s="66" t="inlineStr">
        <is>
          <t>26082704</t>
        </is>
      </c>
      <c r="Q324" s="66" t="inlineStr">
        <is>
          <t>DTTL Travel for National STL &amp; Coverage SYD-PER</t>
        </is>
      </c>
      <c r="R324" s="66" t="inlineStr">
        <is>
          <t>ONSITE</t>
        </is>
      </c>
    </row>
    <row r="325">
      <c r="P325" s="66" t="inlineStr">
        <is>
          <t>26082801</t>
        </is>
      </c>
      <c r="Q325" s="66" t="inlineStr">
        <is>
          <t>Ricoh Australia - SHELL AV Support</t>
        </is>
      </c>
      <c r="R325" s="66" t="inlineStr">
        <is>
          <t>ONSITE</t>
        </is>
      </c>
    </row>
    <row r="326">
      <c r="P326" s="66" t="inlineStr">
        <is>
          <t>2608402</t>
        </is>
      </c>
      <c r="Q326" s="66" t="inlineStr">
        <is>
          <t>Garvan - Suttons Event - 15.10.26</t>
        </is>
      </c>
      <c r="R326" s="66" t="inlineStr">
        <is>
          <t>PRODUCTION</t>
        </is>
      </c>
    </row>
    <row r="327">
      <c r="P327" s="66" t="inlineStr">
        <is>
          <t>2608404</t>
        </is>
      </c>
      <c r="Q327" s="66" t="inlineStr">
        <is>
          <t>St Vincents Public Hospital - Awards Night - 26.8.25</t>
        </is>
      </c>
      <c r="R327" s="66" t="inlineStr">
        <is>
          <t>PRODUCTION</t>
        </is>
      </c>
    </row>
    <row r="328">
      <c r="P328" s="66" t="inlineStr">
        <is>
          <t>2608404V</t>
        </is>
      </c>
      <c r="Q328" s="66" t="inlineStr">
        <is>
          <t>St Vincents Public Hospital - Awards Night - 26.8.25</t>
        </is>
      </c>
      <c r="R328" s="66" t="inlineStr">
        <is>
          <t>VIDEO</t>
        </is>
      </c>
    </row>
    <row r="329">
      <c r="P329" s="66" t="inlineStr">
        <is>
          <t>2608604</t>
        </is>
      </c>
      <c r="Q329" s="66" t="inlineStr">
        <is>
          <t>ASX - FYR Employee Town Hall - 13.8.26</t>
        </is>
      </c>
      <c r="R329" s="66" t="inlineStr">
        <is>
          <t>PRODUCTION</t>
        </is>
      </c>
    </row>
    <row r="330">
      <c r="P330" s="66" t="inlineStr">
        <is>
          <t>2608604V</t>
        </is>
      </c>
      <c r="Q330" s="66" t="inlineStr">
        <is>
          <t>ASX - FYR Employee Town Hall - 13.8.26</t>
        </is>
      </c>
      <c r="R330" s="66" t="inlineStr">
        <is>
          <t>VIDEO</t>
        </is>
      </c>
    </row>
    <row r="331">
      <c r="P331" s="66" t="inlineStr">
        <is>
          <t>2608701</t>
        </is>
      </c>
      <c r="Q331" s="66" t="inlineStr">
        <is>
          <t>Elkeim - Studio Support - 10.9.26</t>
        </is>
      </c>
      <c r="R331" s="66" t="inlineStr">
        <is>
          <t>PRODUCTION</t>
        </is>
      </c>
    </row>
    <row r="332">
      <c r="P332" s="66" t="inlineStr">
        <is>
          <t>2608702</t>
        </is>
      </c>
      <c r="Q332" s="66" t="inlineStr">
        <is>
          <t>APA - Qtly All Hands SYD Screen Hire - 20.8.26</t>
        </is>
      </c>
      <c r="R332" s="66" t="inlineStr">
        <is>
          <t>PRODUCTION</t>
        </is>
      </c>
    </row>
    <row r="333">
      <c r="P333" s="66" t="inlineStr">
        <is>
          <t>26091002</t>
        </is>
      </c>
      <c r="Q333" s="66" t="inlineStr">
        <is>
          <t>GP - Talking Philanthropy - Event Videography 18.9.26</t>
        </is>
      </c>
      <c r="R333" s="66" t="inlineStr">
        <is>
          <t>PRODUCTION</t>
        </is>
      </c>
    </row>
    <row r="334">
      <c r="P334" s="66" t="inlineStr">
        <is>
          <t>26091002V</t>
        </is>
      </c>
      <c r="Q334" s="66" t="inlineStr">
        <is>
          <t>GP - Talking Philanthropy - Event Videography 18.9.26</t>
        </is>
      </c>
      <c r="R334" s="66" t="inlineStr">
        <is>
          <t>VIDEO</t>
        </is>
      </c>
    </row>
    <row r="335">
      <c r="P335" s="66" t="inlineStr">
        <is>
          <t>26091601</t>
        </is>
      </c>
      <c r="Q335" s="66" t="inlineStr">
        <is>
          <t>Automic - September All Hands - 25.9.26</t>
        </is>
      </c>
      <c r="R335" s="66" t="inlineStr">
        <is>
          <t>PRODUCTION</t>
        </is>
      </c>
    </row>
    <row r="336">
      <c r="P336" s="66" t="inlineStr">
        <is>
          <t>26091601V</t>
        </is>
      </c>
      <c r="Q336" s="66" t="inlineStr">
        <is>
          <t>Automic - September All Hands - 25.9.26</t>
        </is>
      </c>
      <c r="R336" s="66" t="inlineStr">
        <is>
          <t>VIDEO</t>
        </is>
      </c>
    </row>
    <row r="337">
      <c r="P337" s="66" t="inlineStr">
        <is>
          <t>26091604</t>
        </is>
      </c>
      <c r="Q337" s="66" t="inlineStr">
        <is>
          <t>The George Institute - SYD CV Symposium - 29-30.10.26</t>
        </is>
      </c>
      <c r="R337" s="66" t="inlineStr">
        <is>
          <t>PRODUCTION</t>
        </is>
      </c>
    </row>
    <row r="338">
      <c r="P338" s="66" t="inlineStr">
        <is>
          <t>26091604V</t>
        </is>
      </c>
      <c r="Q338" s="66" t="inlineStr">
        <is>
          <t>The George Institute - SYD CV Symposium - 29-30.10.26</t>
        </is>
      </c>
      <c r="R338" s="66" t="inlineStr">
        <is>
          <t>VIDEO</t>
        </is>
      </c>
    </row>
    <row r="339">
      <c r="P339" s="66" t="inlineStr">
        <is>
          <t>2609402</t>
        </is>
      </c>
      <c r="Q339" s="66" t="inlineStr">
        <is>
          <t>MUFG - SUN Investor Day - 29.10.26</t>
        </is>
      </c>
      <c r="R339" s="66" t="inlineStr">
        <is>
          <t>PRODUCTION</t>
        </is>
      </c>
    </row>
    <row r="340">
      <c r="P340" s="66" t="inlineStr">
        <is>
          <t>2609402V</t>
        </is>
      </c>
      <c r="Q340" s="66" t="inlineStr">
        <is>
          <t>MUFG - SUN Investor Day - 29.10.26</t>
        </is>
      </c>
      <c r="R340" s="66" t="inlineStr">
        <is>
          <t>VIDEO</t>
        </is>
      </c>
    </row>
    <row r="341">
      <c r="P341" s="66" t="inlineStr">
        <is>
          <t>2609801</t>
        </is>
      </c>
      <c r="Q341" s="66" t="inlineStr">
        <is>
          <t>Elkiem - Studio Support - 16.9.26</t>
        </is>
      </c>
      <c r="R341" s="66" t="inlineStr">
        <is>
          <t>PRODUCTION</t>
        </is>
      </c>
    </row>
    <row r="342">
      <c r="P342" s="66" t="inlineStr">
        <is>
          <t>2645</t>
        </is>
      </c>
      <c r="Q342" s="66" t="inlineStr">
        <is>
          <t>EY SYD Tech Support</t>
        </is>
      </c>
      <c r="R342" s="66" t="inlineStr">
        <is>
          <t>ONSITE</t>
        </is>
      </c>
    </row>
    <row r="343">
      <c r="P343" s="66" t="inlineStr">
        <is>
          <t>2648</t>
        </is>
      </c>
      <c r="Q343" s="66" t="inlineStr">
        <is>
          <t>DTTL MEL Additional Tech</t>
        </is>
      </c>
      <c r="R343" s="66" t="inlineStr">
        <is>
          <t>ONSITE</t>
        </is>
      </c>
    </row>
    <row r="344">
      <c r="P344" s="66" t="inlineStr">
        <is>
          <t>2658</t>
        </is>
      </c>
      <c r="Q344" s="66" t="inlineStr">
        <is>
          <t>EY MELB Tech</t>
        </is>
      </c>
      <c r="R344" s="66" t="inlineStr">
        <is>
          <t>ONSITE</t>
        </is>
      </c>
    </row>
    <row r="345">
      <c r="P345" s="66" t="inlineStr">
        <is>
          <t>2675</t>
        </is>
      </c>
      <c r="Q345" s="66" t="inlineStr">
        <is>
          <t>ONS EY (non-chargeable)</t>
        </is>
      </c>
      <c r="R345" s="66" t="inlineStr"/>
    </row>
    <row r="346">
      <c r="P346" s="66" t="inlineStr">
        <is>
          <t>2685</t>
        </is>
      </c>
      <c r="Q346" s="66" t="inlineStr">
        <is>
          <t>APA Proxyclick BNE &amp; DRW</t>
        </is>
      </c>
      <c r="R346" s="66" t="inlineStr">
        <is>
          <t>INTEGRATION</t>
        </is>
      </c>
    </row>
    <row r="347">
      <c r="P347" s="66" t="inlineStr">
        <is>
          <t>2706</t>
        </is>
      </c>
      <c r="Q347" s="66" t="inlineStr">
        <is>
          <t>EPA 6PSQ Proxyclick VMS</t>
        </is>
      </c>
      <c r="R347" s="66" t="inlineStr">
        <is>
          <t>INTEGRATION</t>
        </is>
      </c>
    </row>
    <row r="348">
      <c r="P348" s="66" t="inlineStr">
        <is>
          <t>2719</t>
        </is>
      </c>
      <c r="Q348" s="66" t="inlineStr">
        <is>
          <t>GSP - 6PSQProxyclickOnb</t>
        </is>
      </c>
      <c r="R348" s="66" t="inlineStr">
        <is>
          <t>INTEGRATION</t>
        </is>
      </c>
    </row>
    <row r="349">
      <c r="P349" s="66" t="inlineStr">
        <is>
          <t>2722</t>
        </is>
      </c>
      <c r="Q349" s="66" t="inlineStr">
        <is>
          <t>PWC Monthly Consulting</t>
        </is>
      </c>
      <c r="R349" s="66" t="inlineStr">
        <is>
          <t>CONSULTING</t>
        </is>
      </c>
    </row>
    <row r="350">
      <c r="P350" s="66" t="inlineStr">
        <is>
          <t>2726</t>
        </is>
      </c>
      <c r="Q350" s="66" t="inlineStr">
        <is>
          <t>KPMG MEL Tech</t>
        </is>
      </c>
      <c r="R350" s="66" t="inlineStr">
        <is>
          <t>ONSITE</t>
        </is>
      </c>
    </row>
    <row r="351">
      <c r="P351" s="66" t="inlineStr">
        <is>
          <t>2756</t>
        </is>
      </c>
      <c r="Q351" s="66" t="inlineStr">
        <is>
          <t>CTS Mgmt Meetings</t>
        </is>
      </c>
      <c r="R351" s="66" t="inlineStr">
        <is>
          <t>CTS</t>
        </is>
      </c>
    </row>
    <row r="352">
      <c r="P352" s="66" t="inlineStr">
        <is>
          <t>2834</t>
        </is>
      </c>
      <c r="Q352" s="66" t="inlineStr">
        <is>
          <t>APA Young - Visitor Mgmt</t>
        </is>
      </c>
      <c r="R352" s="66" t="inlineStr">
        <is>
          <t>INTEGRATION</t>
        </is>
      </c>
    </row>
    <row r="353">
      <c r="P353" s="66" t="inlineStr">
        <is>
          <t>2838</t>
        </is>
      </c>
      <c r="Q353" s="66" t="inlineStr">
        <is>
          <t>KPMG SYD Tech</t>
        </is>
      </c>
      <c r="R353" s="66" t="inlineStr">
        <is>
          <t>ONSITE</t>
        </is>
      </c>
    </row>
    <row r="354">
      <c r="P354" s="66" t="inlineStr">
        <is>
          <t>2846</t>
        </is>
      </c>
      <c r="Q354" s="66" t="inlineStr">
        <is>
          <t>DTTL National STL</t>
        </is>
      </c>
      <c r="R354" s="66" t="inlineStr">
        <is>
          <t>ONSITE</t>
        </is>
      </c>
    </row>
    <row r="355">
      <c r="P355" s="66" t="inlineStr">
        <is>
          <t>2848</t>
        </is>
      </c>
      <c r="Q355" s="66" t="inlineStr">
        <is>
          <t>APA ADL Visitor Mgmt</t>
        </is>
      </c>
      <c r="R355" s="66" t="inlineStr">
        <is>
          <t>INTEGRATION</t>
        </is>
      </c>
    </row>
    <row r="356">
      <c r="P356" s="66" t="inlineStr">
        <is>
          <t>2849</t>
        </is>
      </c>
      <c r="Q356" s="66" t="inlineStr">
        <is>
          <t>DTTL SYD Internal</t>
        </is>
      </c>
      <c r="R356" s="66" t="inlineStr">
        <is>
          <t>ONSITE</t>
        </is>
      </c>
    </row>
    <row r="357">
      <c r="P357" s="66" t="inlineStr">
        <is>
          <t>2855</t>
        </is>
      </c>
      <c r="Q357" s="66" t="inlineStr">
        <is>
          <t>APA Melbourne VMS</t>
        </is>
      </c>
      <c r="R357" s="66" t="inlineStr">
        <is>
          <t>INTEGRATION</t>
        </is>
      </c>
    </row>
    <row r="358">
      <c r="P358" s="66" t="inlineStr">
        <is>
          <t>2857</t>
        </is>
      </c>
      <c r="Q358" s="66" t="inlineStr">
        <is>
          <t>APA Sydney Visitor Mgmt</t>
        </is>
      </c>
      <c r="R358" s="66" t="inlineStr">
        <is>
          <t>INTEGRATION</t>
        </is>
      </c>
    </row>
    <row r="359">
      <c r="P359" s="66" t="inlineStr">
        <is>
          <t>2877</t>
        </is>
      </c>
      <c r="Q359" s="66" t="inlineStr">
        <is>
          <t>DEWR Maintenance Ext</t>
        </is>
      </c>
      <c r="R359" s="66" t="inlineStr">
        <is>
          <t>INTEGRATION</t>
        </is>
      </c>
    </row>
    <row r="360">
      <c r="P360" s="66" t="inlineStr">
        <is>
          <t>2879</t>
        </is>
      </c>
      <c r="Q360" s="66" t="inlineStr">
        <is>
          <t>ONS Ricoh-QANTAS (non-chgble)</t>
        </is>
      </c>
      <c r="R360" s="66" t="inlineStr"/>
    </row>
    <row r="361">
      <c r="P361" s="66" t="inlineStr">
        <is>
          <t>2880</t>
        </is>
      </c>
      <c r="Q361" s="66" t="inlineStr">
        <is>
          <t>Ricoh - QANTAS</t>
        </is>
      </c>
      <c r="R361" s="66" t="inlineStr">
        <is>
          <t>ONSITE</t>
        </is>
      </c>
    </row>
    <row r="362">
      <c r="P362" s="66" t="inlineStr">
        <is>
          <t>2892</t>
        </is>
      </c>
      <c r="Q362" s="66" t="inlineStr">
        <is>
          <t>JP Morgan Onsite Tech</t>
        </is>
      </c>
      <c r="R362" s="66" t="inlineStr">
        <is>
          <t>ONSITE</t>
        </is>
      </c>
    </row>
    <row r="363">
      <c r="P363" s="66" t="inlineStr">
        <is>
          <t>2896</t>
        </is>
      </c>
      <c r="Q363" s="66" t="inlineStr">
        <is>
          <t>ONS KPMG (non-chargeable)</t>
        </is>
      </c>
      <c r="R363" s="66" t="inlineStr"/>
    </row>
    <row r="364">
      <c r="P364" s="66" t="inlineStr">
        <is>
          <t>2897</t>
        </is>
      </c>
      <c r="Q364" s="66" t="inlineStr">
        <is>
          <t>ONS JPM (non-chargeable)</t>
        </is>
      </c>
      <c r="R364" s="66" t="inlineStr"/>
    </row>
    <row r="365">
      <c r="P365" s="66" t="inlineStr">
        <is>
          <t>2900</t>
        </is>
      </c>
      <c r="Q365" s="66" t="inlineStr">
        <is>
          <t>ONS Ammacus-Woolworths (non-chargeable)</t>
        </is>
      </c>
      <c r="R365" s="66" t="inlineStr"/>
    </row>
    <row r="366">
      <c r="P366" s="66" t="inlineStr">
        <is>
          <t>2906</t>
        </is>
      </c>
      <c r="Q366" s="66" t="inlineStr">
        <is>
          <t>KPMG BNE Tech</t>
        </is>
      </c>
      <c r="R366" s="66" t="inlineStr">
        <is>
          <t>ONSITE</t>
        </is>
      </c>
    </row>
    <row r="367">
      <c r="P367" s="66" t="inlineStr">
        <is>
          <t>2907</t>
        </is>
      </c>
      <c r="Q367" s="66" t="inlineStr">
        <is>
          <t>Ammacus-Woolworths Tech</t>
        </is>
      </c>
      <c r="R367" s="66" t="inlineStr">
        <is>
          <t>ONSITE</t>
        </is>
      </c>
    </row>
    <row r="368">
      <c r="P368" s="66" t="inlineStr">
        <is>
          <t>2910</t>
        </is>
      </c>
      <c r="Q368" s="66" t="inlineStr">
        <is>
          <t>Office Move 2024</t>
        </is>
      </c>
      <c r="R368" s="66" t="inlineStr">
        <is>
          <t>CTS</t>
        </is>
      </c>
    </row>
    <row r="369">
      <c r="P369" s="66" t="inlineStr">
        <is>
          <t>2977</t>
        </is>
      </c>
      <c r="Q369" s="66" t="inlineStr">
        <is>
          <t>St Catherine's School (CONS)</t>
        </is>
      </c>
      <c r="R369" s="66" t="inlineStr"/>
    </row>
    <row r="370">
      <c r="P370" s="66" t="inlineStr">
        <is>
          <t>3014</t>
        </is>
      </c>
      <c r="Q370" s="66" t="inlineStr">
        <is>
          <t>ONS Ricoh/Campari (Chargeable)</t>
        </is>
      </c>
      <c r="R370" s="66" t="inlineStr"/>
    </row>
    <row r="371">
      <c r="P371" s="66" t="inlineStr">
        <is>
          <t>3015</t>
        </is>
      </c>
      <c r="Q371" s="66" t="inlineStr">
        <is>
          <t>ONS Ricoh/Campari (Non Chgble)</t>
        </is>
      </c>
      <c r="R371" s="66" t="inlineStr"/>
    </row>
    <row r="372">
      <c r="P372" s="66" t="inlineStr">
        <is>
          <t>3027</t>
        </is>
      </c>
      <c r="Q372" s="66" t="inlineStr">
        <is>
          <t>DPIE Elizabeth St Booking</t>
        </is>
      </c>
      <c r="R372" s="66" t="inlineStr">
        <is>
          <t>INTEGRATION</t>
        </is>
      </c>
    </row>
    <row r="373">
      <c r="P373" s="66" t="inlineStr">
        <is>
          <t>3028</t>
        </is>
      </c>
      <c r="Q373" s="66" t="inlineStr">
        <is>
          <t>APA Kidman Park VMS</t>
        </is>
      </c>
      <c r="R373" s="66" t="inlineStr">
        <is>
          <t>INTEGRATION</t>
        </is>
      </c>
    </row>
    <row r="374">
      <c r="P374" s="66" t="inlineStr">
        <is>
          <t>3034</t>
        </is>
      </c>
      <c r="Q374" s="66" t="inlineStr">
        <is>
          <t>ARUP ONS (non-chargeable)</t>
        </is>
      </c>
      <c r="R374" s="66" t="inlineStr"/>
    </row>
    <row r="375">
      <c r="P375" s="66" t="inlineStr">
        <is>
          <t>3035</t>
        </is>
      </c>
      <c r="Q375" s="66" t="inlineStr">
        <is>
          <t>ARUP ONS National (Chargeable)</t>
        </is>
      </c>
      <c r="R375" s="66" t="inlineStr"/>
    </row>
    <row r="376">
      <c r="P376" s="66" t="inlineStr">
        <is>
          <t>3040</t>
        </is>
      </c>
      <c r="Q376" s="66" t="inlineStr">
        <is>
          <t>Corrs MELB Office Reloc</t>
        </is>
      </c>
      <c r="R376" s="66" t="inlineStr">
        <is>
          <t>CONSULTING</t>
        </is>
      </c>
    </row>
    <row r="377">
      <c r="P377" s="66" t="inlineStr">
        <is>
          <t>3042</t>
        </is>
      </c>
      <c r="Q377" s="66" t="inlineStr">
        <is>
          <t>Corrs-PER Office Reloc</t>
        </is>
      </c>
      <c r="R377" s="66" t="inlineStr">
        <is>
          <t>CONSULTING</t>
        </is>
      </c>
    </row>
    <row r="378">
      <c r="P378" s="66" t="inlineStr">
        <is>
          <t>3046</t>
        </is>
      </c>
      <c r="Q378" s="66" t="inlineStr">
        <is>
          <t>Stone&amp;Chalk ONS [chargeable]</t>
        </is>
      </c>
      <c r="R378" s="66" t="inlineStr"/>
    </row>
    <row r="379">
      <c r="P379" s="66" t="inlineStr">
        <is>
          <t>3047</t>
        </is>
      </c>
      <c r="Q379" s="66" t="inlineStr">
        <is>
          <t>Stone&amp;Chalk ONS [non-chargable]</t>
        </is>
      </c>
      <c r="R379" s="66" t="inlineStr"/>
    </row>
    <row r="380">
      <c r="P380" s="66" t="inlineStr">
        <is>
          <t>3048</t>
        </is>
      </c>
      <c r="Q380" s="66" t="inlineStr">
        <is>
          <t>Stone &amp; Chalk Audit 2</t>
        </is>
      </c>
      <c r="R380" s="66" t="inlineStr">
        <is>
          <t>CONSULTING</t>
        </is>
      </c>
    </row>
    <row r="381">
      <c r="P381" s="66" t="inlineStr">
        <is>
          <t>3056</t>
        </is>
      </c>
      <c r="Q381" s="66" t="inlineStr">
        <is>
          <t>AusPayNet Onsite [Chargeable]</t>
        </is>
      </c>
      <c r="R381" s="66" t="inlineStr"/>
    </row>
    <row r="382">
      <c r="P382" s="66" t="inlineStr">
        <is>
          <t>3057</t>
        </is>
      </c>
      <c r="Q382" s="66" t="inlineStr">
        <is>
          <t>AusPayNet ONS[Non-Chargeable]</t>
        </is>
      </c>
      <c r="R382" s="66" t="inlineStr"/>
    </row>
    <row r="383">
      <c r="P383" s="66" t="inlineStr">
        <is>
          <t>3059</t>
        </is>
      </c>
      <c r="Q383" s="66" t="inlineStr">
        <is>
          <t>CBA AGM 2025</t>
        </is>
      </c>
      <c r="R383" s="66" t="inlineStr">
        <is>
          <t>PRODUCTION</t>
        </is>
      </c>
    </row>
    <row r="384">
      <c r="P384" s="66" t="inlineStr">
        <is>
          <t>3068</t>
        </is>
      </c>
      <c r="Q384" s="66" t="inlineStr">
        <is>
          <t>DPIE Pitt and Penrith</t>
        </is>
      </c>
      <c r="R384" s="66" t="inlineStr">
        <is>
          <t>INTEGRATION</t>
        </is>
      </c>
    </row>
    <row r="385">
      <c r="P385" s="66" t="inlineStr">
        <is>
          <t>3072</t>
        </is>
      </c>
      <c r="Q385" s="66" t="inlineStr">
        <is>
          <t>APA Thomastown</t>
        </is>
      </c>
      <c r="R385" s="66" t="inlineStr">
        <is>
          <t>INTEGRATION</t>
        </is>
      </c>
    </row>
    <row r="386">
      <c r="P386" s="66" t="inlineStr">
        <is>
          <t>585</t>
        </is>
      </c>
      <c r="Q386" s="66" t="inlineStr">
        <is>
          <t>CBA Team Leader</t>
        </is>
      </c>
      <c r="R386" s="66" t="inlineStr">
        <is>
          <t>ONSITE</t>
        </is>
      </c>
    </row>
    <row r="387">
      <c r="P387" s="66" t="inlineStr">
        <is>
          <t>586</t>
        </is>
      </c>
      <c r="Q387" s="66" t="inlineStr">
        <is>
          <t>CBA Tech NP</t>
        </is>
      </c>
      <c r="R387" s="66" t="inlineStr">
        <is>
          <t>ONSITE</t>
        </is>
      </c>
    </row>
    <row r="388">
      <c r="P388" s="66" t="inlineStr">
        <is>
          <t>587</t>
        </is>
      </c>
      <c r="Q388" s="66" t="inlineStr">
        <is>
          <t>CBA Tech TN</t>
        </is>
      </c>
      <c r="R388" s="66" t="inlineStr">
        <is>
          <t>ONSITE</t>
        </is>
      </c>
    </row>
    <row r="389">
      <c r="P389" s="66" t="inlineStr">
        <is>
          <t>724</t>
        </is>
      </c>
      <c r="Q389" s="66" t="inlineStr">
        <is>
          <t>DTTL SYD NTSL</t>
        </is>
      </c>
      <c r="R389" s="66" t="inlineStr">
        <is>
          <t>ONSITE</t>
        </is>
      </c>
    </row>
    <row r="390">
      <c r="P390" s="66" t="inlineStr">
        <is>
          <t>725</t>
        </is>
      </c>
      <c r="Q390" s="66" t="inlineStr">
        <is>
          <t>DTTL Mel Tech FT 1</t>
        </is>
      </c>
      <c r="R390" s="66" t="inlineStr">
        <is>
          <t>ONSITE</t>
        </is>
      </c>
    </row>
    <row r="391">
      <c r="P391" s="66" t="inlineStr">
        <is>
          <t>729</t>
        </is>
      </c>
      <c r="Q391" s="66" t="inlineStr">
        <is>
          <t>DTTL Consulting</t>
        </is>
      </c>
      <c r="R391" s="66" t="inlineStr">
        <is>
          <t>CONSULTING</t>
        </is>
      </c>
    </row>
    <row r="392">
      <c r="P392" s="66" t="inlineStr">
        <is>
          <t>732</t>
        </is>
      </c>
      <c r="Q392" s="66" t="inlineStr">
        <is>
          <t>Bank West Contract</t>
        </is>
      </c>
      <c r="R392" s="66" t="inlineStr">
        <is>
          <t>ONSITE</t>
        </is>
      </c>
    </row>
    <row r="393">
      <c r="P393" s="66" t="inlineStr">
        <is>
          <t>9000</t>
        </is>
      </c>
      <c r="Q393" s="66" t="inlineStr">
        <is>
          <t>OFFICE / ADMIN</t>
        </is>
      </c>
      <c r="R393" s="66" t="inlineStr">
        <is>
          <t>CTS</t>
        </is>
      </c>
    </row>
    <row r="394">
      <c r="P394" s="66" t="inlineStr">
        <is>
          <t>9001</t>
        </is>
      </c>
      <c r="Q394" s="66" t="inlineStr">
        <is>
          <t>OFFICE/ADMIN Orientation</t>
        </is>
      </c>
      <c r="R394" s="66" t="inlineStr">
        <is>
          <t>CTS</t>
        </is>
      </c>
    </row>
    <row r="395">
      <c r="P395" s="66" t="inlineStr">
        <is>
          <t>9050</t>
        </is>
      </c>
      <c r="Q395" s="66" t="inlineStr">
        <is>
          <t>OFFICE ASSETS</t>
        </is>
      </c>
      <c r="R395" s="66" t="inlineStr">
        <is>
          <t>CTS</t>
        </is>
      </c>
    </row>
    <row r="396">
      <c r="P396" s="66" t="inlineStr">
        <is>
          <t>9100</t>
        </is>
      </c>
      <c r="Q396" s="66" t="inlineStr">
        <is>
          <t>PRODUCTION</t>
        </is>
      </c>
      <c r="R396" s="66" t="inlineStr">
        <is>
          <t>PRODUCTION</t>
        </is>
      </c>
    </row>
    <row r="397">
      <c r="P397" s="66" t="inlineStr">
        <is>
          <t>9101</t>
        </is>
      </c>
      <c r="Q397" s="66" t="inlineStr">
        <is>
          <t>PRODUCTION - Orientation</t>
        </is>
      </c>
      <c r="R397" s="66" t="inlineStr">
        <is>
          <t>PRODUCTION</t>
        </is>
      </c>
    </row>
    <row r="398">
      <c r="P398" s="66" t="inlineStr">
        <is>
          <t>9102</t>
        </is>
      </c>
      <c r="Q398" s="66" t="inlineStr">
        <is>
          <t>Production - Training</t>
        </is>
      </c>
      <c r="R398" s="66" t="inlineStr">
        <is>
          <t>PRODUCTION</t>
        </is>
      </c>
    </row>
    <row r="399">
      <c r="P399" s="66" t="inlineStr">
        <is>
          <t>9105</t>
        </is>
      </c>
      <c r="Q399" s="66" t="inlineStr">
        <is>
          <t>ONSITE (including PROD backup)</t>
        </is>
      </c>
      <c r="R399" s="66" t="inlineStr"/>
    </row>
    <row r="400">
      <c r="P400" s="66" t="inlineStr">
        <is>
          <t>9106</t>
        </is>
      </c>
      <c r="Q400" s="66" t="inlineStr">
        <is>
          <t>ONSITE - Orientation</t>
        </is>
      </c>
      <c r="R400" s="66" t="inlineStr">
        <is>
          <t>ONSITE</t>
        </is>
      </c>
    </row>
    <row r="401">
      <c r="P401" s="66" t="inlineStr">
        <is>
          <t>9107</t>
        </is>
      </c>
      <c r="Q401" s="66" t="inlineStr">
        <is>
          <t>ONSITE - Assets</t>
        </is>
      </c>
      <c r="R401" s="66" t="inlineStr">
        <is>
          <t>ONSITE</t>
        </is>
      </c>
    </row>
    <row r="402">
      <c r="P402" s="66" t="inlineStr">
        <is>
          <t>9108</t>
        </is>
      </c>
      <c r="Q402" s="66" t="inlineStr">
        <is>
          <t>ONSITE - Sales</t>
        </is>
      </c>
      <c r="R402" s="66" t="inlineStr">
        <is>
          <t>ONSITE</t>
        </is>
      </c>
    </row>
    <row r="403">
      <c r="P403" s="66" t="inlineStr">
        <is>
          <t>9109</t>
        </is>
      </c>
      <c r="Q403" s="66" t="inlineStr">
        <is>
          <t>ONSITE - Marketing</t>
        </is>
      </c>
      <c r="R403" s="66" t="inlineStr">
        <is>
          <t>ONSITE</t>
        </is>
      </c>
    </row>
    <row r="404">
      <c r="P404" s="66" t="inlineStr">
        <is>
          <t>9125</t>
        </is>
      </c>
      <c r="Q404" s="66" t="inlineStr">
        <is>
          <t>VIDEO DEPT</t>
        </is>
      </c>
      <c r="R404" s="66" t="inlineStr">
        <is>
          <t>VIDEO</t>
        </is>
      </c>
    </row>
    <row r="405">
      <c r="P405" s="66" t="inlineStr">
        <is>
          <t>9126</t>
        </is>
      </c>
      <c r="Q405" s="66" t="inlineStr">
        <is>
          <t>VIDEO - Orientation</t>
        </is>
      </c>
      <c r="R405" s="66" t="inlineStr">
        <is>
          <t>VIDEO</t>
        </is>
      </c>
    </row>
    <row r="406">
      <c r="P406" s="66" t="inlineStr">
        <is>
          <t>9127</t>
        </is>
      </c>
      <c r="Q406" s="66" t="inlineStr">
        <is>
          <t>VIDEO - Assets</t>
        </is>
      </c>
      <c r="R406" s="66" t="inlineStr">
        <is>
          <t>VIDEO</t>
        </is>
      </c>
    </row>
    <row r="407">
      <c r="P407" s="66" t="inlineStr">
        <is>
          <t>9128</t>
        </is>
      </c>
      <c r="Q407" s="66" t="inlineStr">
        <is>
          <t>VIDEO - Sales</t>
        </is>
      </c>
      <c r="R407" s="66" t="inlineStr">
        <is>
          <t>VIDEO</t>
        </is>
      </c>
    </row>
    <row r="408">
      <c r="P408" s="66" t="inlineStr">
        <is>
          <t>9129</t>
        </is>
      </c>
      <c r="Q408" s="66" t="inlineStr">
        <is>
          <t>VIDEO - Marketing</t>
        </is>
      </c>
      <c r="R408" s="66" t="inlineStr">
        <is>
          <t>VIDEO</t>
        </is>
      </c>
    </row>
    <row r="409">
      <c r="P409" s="66" t="inlineStr">
        <is>
          <t>9150</t>
        </is>
      </c>
      <c r="Q409" s="66" t="inlineStr">
        <is>
          <t>PRODUCTION - Assets</t>
        </is>
      </c>
      <c r="R409" s="66" t="inlineStr">
        <is>
          <t>PRODUCTION</t>
        </is>
      </c>
    </row>
    <row r="410">
      <c r="P410" s="66" t="inlineStr">
        <is>
          <t>9175</t>
        </is>
      </c>
      <c r="Q410" s="66" t="inlineStr">
        <is>
          <t>PRODUCTION - Sales</t>
        </is>
      </c>
      <c r="R410" s="66" t="inlineStr">
        <is>
          <t>PRODUCTION</t>
        </is>
      </c>
    </row>
    <row r="411">
      <c r="P411" s="66" t="inlineStr">
        <is>
          <t>9176</t>
        </is>
      </c>
      <c r="Q411" s="66" t="inlineStr">
        <is>
          <t>Production - Marketing</t>
        </is>
      </c>
      <c r="R411" s="66" t="inlineStr">
        <is>
          <t>PRODUCTION</t>
        </is>
      </c>
    </row>
    <row r="412">
      <c r="P412" s="66" t="inlineStr">
        <is>
          <t>9178</t>
        </is>
      </c>
      <c r="Q412" s="66" t="inlineStr">
        <is>
          <t>Production – Webcasts</t>
        </is>
      </c>
      <c r="R412" s="66" t="inlineStr">
        <is>
          <t>PRODUCTION</t>
        </is>
      </c>
    </row>
    <row r="413">
      <c r="P413" s="66" t="inlineStr">
        <is>
          <t>9200</t>
        </is>
      </c>
      <c r="Q413" s="66" t="inlineStr">
        <is>
          <t>INTEGRATION</t>
        </is>
      </c>
      <c r="R413" s="66" t="inlineStr">
        <is>
          <t>INTEGRATION</t>
        </is>
      </c>
    </row>
    <row r="414">
      <c r="P414" s="66" t="inlineStr">
        <is>
          <t>9201</t>
        </is>
      </c>
      <c r="Q414" s="66" t="inlineStr">
        <is>
          <t>INTEGRATION - Orientation [INT</t>
        </is>
      </c>
      <c r="R414" s="66" t="inlineStr"/>
    </row>
    <row r="415">
      <c r="P415" s="66" t="inlineStr">
        <is>
          <t>9202</t>
        </is>
      </c>
      <c r="Q415" s="66" t="inlineStr">
        <is>
          <t>INTEGRATION - Quotes</t>
        </is>
      </c>
      <c r="R415" s="66" t="inlineStr">
        <is>
          <t>INTEGRATION</t>
        </is>
      </c>
    </row>
    <row r="416">
      <c r="P416" s="66" t="inlineStr">
        <is>
          <t>9225</t>
        </is>
      </c>
      <c r="Q416" s="66" t="inlineStr">
        <is>
          <t>Integration - SALES</t>
        </is>
      </c>
      <c r="R416" s="66" t="inlineStr">
        <is>
          <t>INTEGRATION</t>
        </is>
      </c>
    </row>
    <row r="417">
      <c r="P417" s="66" t="inlineStr">
        <is>
          <t>9226</t>
        </is>
      </c>
      <c r="Q417" s="66" t="inlineStr">
        <is>
          <t>Integration - Marketing</t>
        </is>
      </c>
      <c r="R417" s="66" t="inlineStr">
        <is>
          <t>INTEGRATION</t>
        </is>
      </c>
    </row>
    <row r="418">
      <c r="P418" s="66" t="inlineStr">
        <is>
          <t>9300</t>
        </is>
      </c>
      <c r="Q418" s="66" t="inlineStr">
        <is>
          <t>HUMAN RESOURCES</t>
        </is>
      </c>
      <c r="R418" s="66" t="inlineStr">
        <is>
          <t>CTS</t>
        </is>
      </c>
    </row>
    <row r="419">
      <c r="P419" s="66" t="inlineStr">
        <is>
          <t>9301</t>
        </is>
      </c>
      <c r="Q419" s="66" t="inlineStr">
        <is>
          <t>Recruitment</t>
        </is>
      </c>
      <c r="R419" s="66" t="inlineStr">
        <is>
          <t>CTS</t>
        </is>
      </c>
    </row>
    <row r="420">
      <c r="P420" s="66" t="inlineStr">
        <is>
          <t>9350</t>
        </is>
      </c>
      <c r="Q420" s="66" t="inlineStr">
        <is>
          <t>MARKETING (external)</t>
        </is>
      </c>
      <c r="R420" s="66" t="inlineStr">
        <is>
          <t>CTS</t>
        </is>
      </c>
    </row>
    <row r="421">
      <c r="P421" s="66" t="inlineStr">
        <is>
          <t>9375</t>
        </is>
      </c>
      <c r="Q421" s="66" t="inlineStr">
        <is>
          <t>MARKETING / COMMS</t>
        </is>
      </c>
      <c r="R421" s="66" t="inlineStr">
        <is>
          <t>CTS</t>
        </is>
      </c>
    </row>
    <row r="422">
      <c r="P422" s="66" t="inlineStr">
        <is>
          <t>9400</t>
        </is>
      </c>
      <c r="Q422" s="66" t="inlineStr">
        <is>
          <t>CONSULTING</t>
        </is>
      </c>
      <c r="R422" s="66" t="inlineStr">
        <is>
          <t>CONSULTING</t>
        </is>
      </c>
    </row>
    <row r="423">
      <c r="P423" s="66" t="inlineStr">
        <is>
          <t>9402</t>
        </is>
      </c>
      <c r="Q423" s="66" t="inlineStr">
        <is>
          <t>CONSULTING - Assets</t>
        </is>
      </c>
      <c r="R423" s="66" t="inlineStr">
        <is>
          <t>CONSULTING</t>
        </is>
      </c>
    </row>
    <row r="424">
      <c r="P424" s="66" t="inlineStr">
        <is>
          <t>9403</t>
        </is>
      </c>
      <c r="Q424" s="66" t="inlineStr">
        <is>
          <t>CONSULTING - Sales</t>
        </is>
      </c>
      <c r="R424" s="66" t="inlineStr">
        <is>
          <t>CONSULTING</t>
        </is>
      </c>
    </row>
    <row r="425">
      <c r="P425" s="66" t="inlineStr">
        <is>
          <t>9405</t>
        </is>
      </c>
      <c r="Q425" s="66" t="inlineStr">
        <is>
          <t>CONSULTING - Marketing</t>
        </is>
      </c>
      <c r="R425" s="66" t="inlineStr">
        <is>
          <t>CONSULTING</t>
        </is>
      </c>
    </row>
    <row r="426">
      <c r="P426" s="66" t="inlineStr">
        <is>
          <t>9407</t>
        </is>
      </c>
      <c r="Q426" s="66" t="inlineStr">
        <is>
          <t>CONSULTING - Training</t>
        </is>
      </c>
      <c r="R426" s="66" t="inlineStr">
        <is>
          <t>CONSULTING</t>
        </is>
      </c>
    </row>
    <row r="427">
      <c r="P427" s="66" t="inlineStr">
        <is>
          <t>974</t>
        </is>
      </c>
      <c r="Q427" s="66" t="inlineStr">
        <is>
          <t>DTTL 1300 Number</t>
        </is>
      </c>
      <c r="R427" s="66" t="inlineStr">
        <is>
          <t>ONSITE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2026-09-23T00:04:31Z</dcterms:created>
  <dcterms:modified xsi:type="dcterms:W3CDTF">2026-09-23T00:04:36Z</dcterms:modified>
</cp:coreProperties>
</file>